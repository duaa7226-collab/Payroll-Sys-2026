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12.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1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comments9.xml" ContentType="application/vnd.openxmlformats-officedocument.spreadsheetml.comment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vmlDrawing1.vml" ContentType="application/vnd.openxmlformats-officedocument.vmlDrawing"/>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_rels/workbook.xml.rels" ContentType="application/vnd.openxmlformats-package.relationships+xml"/>
  <Override PartName="/xl/media/image1.png" ContentType="image/png"/>
  <Override PartName="/xl/tables/table4.xml" ContentType="application/vnd.openxmlformats-officedocument.spreadsheetml.table+xml"/>
  <Override PartName="/xl/tables/table1.xml" ContentType="application/vnd.openxmlformats-officedocument.spreadsheetml.table+xml"/>
  <Override PartName="/xl/tables/table3.xml" ContentType="application/vnd.openxmlformats-officedocument.spreadsheetml.table+xml"/>
  <Override PartName="/xl/tables/table5.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_Dashboard" sheetId="1" state="visible" r:id="rId3"/>
    <sheet name="Payslip_Print" sheetId="2" state="visible" r:id="rId4"/>
    <sheet name="Monthly_Import" sheetId="3" state="visible" r:id="rId5"/>
    <sheet name="Settings" sheetId="4" state="visible" r:id="rId6"/>
    <sheet name="Paste_FTR" sheetId="5" state="visible" r:id="rId7"/>
    <sheet name="Paste_RLVL" sheetId="6" state="visible" r:id="rId8"/>
    <sheet name="Rider_Master" sheetId="7" state="visible" r:id="rId9"/>
    <sheet name="Adjustments" sheetId="8" state="visible" r:id="rId10"/>
    <sheet name="Rider_Input" sheetId="9" state="visible" r:id="rId11"/>
    <sheet name="Salary_Calculation" sheetId="10" state="visible" r:id="rId12"/>
    <sheet name="Payslip_Data" sheetId="11" state="visible" r:id="rId13"/>
    <sheet name="Instructions" sheetId="12" state="visible" r:id="rId14"/>
    <sheet name="WR" sheetId="13" state="visible" r:id="rId15"/>
    <sheet name="Car deduction" sheetId="14" state="visible" r:id="rId16"/>
  </sheets>
  <definedNames>
    <definedName function="false" hidden="false" localSheetId="2" name="_xlnm.Print_Area" vbProcedure="false">Monthly_Import!$B$1:$F$64</definedName>
    <definedName function="false" hidden="false" localSheetId="1" name="_xlnm.Print_Area" vbProcedure="false">Payslip_Print!$B$5:$I$48</definedName>
    <definedName function="false" hidden="false" localSheetId="8" name="_xlnm.Print_Titles" vbProcedure="false">Rider_Input!$1:$1</definedName>
    <definedName function="false" hidden="false" localSheetId="9" name="_xlnm.Print_Titles" vbProcedure="false">Salary_Calculation!$1:$1</definedName>
    <definedName function="false" hidden="false" localSheetId="0" name="_xlnm.Print_Area" vbProcedure="false">Summary_Dashboard!$B$1:$O$103</definedName>
    <definedName function="false" hidden="false" name="Company_Name" vbProcedure="false">Settings!$B$11</definedName>
    <definedName function="false" hidden="false" name="c_FTR_ID" vbProcedure="false">Monthly_Import!$E$28</definedName>
    <definedName function="false" hidden="false" name="c_FTR_Orders" vbProcedure="false">Monthly_Import!$E$29</definedName>
    <definedName function="false" hidden="false" name="c_FTR_WD" vbProcedure="false">Monthly_Import!$E$30</definedName>
    <definedName function="false" hidden="false" name="c_RLVL_Bal" vbProcedure="false">Monthly_Import!$E$34</definedName>
    <definedName function="false" hidden="false" name="c_RLVL_ID" vbProcedure="false">Monthly_Import!$E$31</definedName>
    <definedName function="false" hidden="false" name="c_RLVL_Missed" vbProcedure="false">Monthly_Import!$E$33</definedName>
    <definedName function="false" hidden="false" name="c_RLVL_Orders" vbProcedure="false">Monthly_Import!$E$32</definedName>
    <definedName function="false" hidden="false" name="c_RLVL_Stack" vbProcedure="false">Monthly_Import!$E$35</definedName>
    <definedName function="false" hidden="false" name="Dash_End" vbProcedure="false">Summary_Dashboard!$R$6</definedName>
    <definedName function="false" hidden="false" name="Dash_Month_List" vbProcedure="false">OFFSET(Payslip_Data!$AK$2,0,0,1+MAX(0,COUNT(Payslip_Data!$AJ$2:$AJ$25)),1)</definedName>
    <definedName function="false" hidden="false" name="Dash_Start" vbProcedure="false">Summary_Dashboard!$R$5</definedName>
    <definedName function="false" hidden="false" name="Default_Basic" vbProcedure="false">Settings!$B$5</definedName>
    <definedName function="false" hidden="false" name="Extra_Rate" vbProcedure="false">Settings!$B$10</definedName>
    <definedName function="false" hidden="false" name="Fixed_Rate" vbProcedure="false">Settings!$B$8</definedName>
    <definedName function="false" hidden="false" name="FTR_Data" vbProcedure="false">Paste_FTR!$A$2:$BZ$1001</definedName>
    <definedName function="false" hidden="false" name="Logo_Text" vbProcedure="false">Settings!$B$12</definedName>
    <definedName function="false" hidden="false" name="Missing_Rate" vbProcedure="false">Settings!$B$9</definedName>
    <definedName function="false" hidden="false" name="Month_List" vbProcedure="false">OFFSET(Payslip_Data!$AJ$2,0,0,MAX(1,COUNT(Payslip_Data!$AJ$2:$AJ$25)),1)</definedName>
    <definedName function="false" hidden="false" name="Rate_Method" vbProcedure="false">Settings!$B$4</definedName>
    <definedName function="false" hidden="false" name="Rider_List" vbProcedure="false">OFFSET(Payslip_Data!$AL$2,0,0,MAX(1,COUNT(Payslip_Data!$AL$2:$AL$501)),1)</definedName>
    <definedName function="false" hidden="false" name="RLVL_Data" vbProcedure="false">Paste_RLVL!$A$2:$BZ$1001</definedName>
    <definedName function="false" hidden="false" name="Salary_Month" vbProcedure="false">Settings!$B$13</definedName>
    <definedName function="false" hidden="false" name="Std_Days" vbProcedure="false">Settings!$B$7</definedName>
    <definedName function="false" hidden="false" name="Std_Orders" vbProcedure="false">Settings!$B$6</definedName>
  </definedNames>
  <calcPr iterateCount="100" refMode="A1" iterate="false" iterateDelta="0.0001"/>
  <extLst>
    <ext xmlns:loext="http://schemas.libreoffice.org/" uri="{7626C862-2A13-11E5-B345-FEFF819CDC9F}">
      <loext:extCalcPr stringRefSyntax="ExcelA1"/>
    </ext>
  </extLst>
</workbook>
</file>

<file path=xl/comments9.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AUTO-FILLED from Paste_FTR / Paste_RLVL / Rider_Master / Adjustments. Do not type here – paste new exports instead. (You can still overwrite a single cell for a one-off manual override.)</t>
        </r>
      </text>
    </comment>
  </commentList>
</comments>
</file>

<file path=xl/sharedStrings.xml><?xml version="1.0" encoding="utf-8"?>
<sst xmlns="http://schemas.openxmlformats.org/spreadsheetml/2006/main" count="536" uniqueCount="343">
  <si>
    <r>
      <rPr>
        <b val="true"/>
        <sz val="26"/>
        <color rgb="FF2C3E50"/>
        <rFont val="Segoe UI"/>
        <family val="0"/>
        <charset val="1"/>
      </rPr>
      <t xml:space="preserve">PAYROLL DASHBOARD  |  </t>
    </r>
    <r>
      <rPr>
        <b val="true"/>
        <sz val="26"/>
        <color rgb="FF2C3E50"/>
        <rFont val="FreeSans"/>
        <family val="2"/>
      </rPr>
      <t xml:space="preserve">لوحة الرواتب</t>
    </r>
  </si>
  <si>
    <r>
      <rPr>
        <b val="true"/>
        <sz val="9"/>
        <color rgb="FF2C3E50"/>
        <rFont val="Segoe UI"/>
        <family val="0"/>
        <charset val="1"/>
      </rPr>
      <t xml:space="preserve">Month filter  |  </t>
    </r>
    <r>
      <rPr>
        <b val="true"/>
        <sz val="9"/>
        <color rgb="FF2C3E50"/>
        <rFont val="FreeSans"/>
        <family val="2"/>
      </rPr>
      <t xml:space="preserve">الشهر ▸</t>
    </r>
  </si>
  <si>
    <t xml:space="preserve">All Months</t>
  </si>
  <si>
    <t xml:space="preserve">◂ All Months or one month</t>
  </si>
  <si>
    <t xml:space="preserve">Filter start</t>
  </si>
  <si>
    <t xml:space="preserve">Filter end (excl.)</t>
  </si>
  <si>
    <r>
      <rPr>
        <b val="true"/>
        <sz val="8"/>
        <color rgb="FF6B7A8C"/>
        <rFont val="Segoe UI"/>
        <family val="0"/>
        <charset val="1"/>
      </rPr>
      <t xml:space="preserve">TOTAL RIDERS  |  </t>
    </r>
    <r>
      <rPr>
        <b val="true"/>
        <sz val="8"/>
        <color rgb="FF6B7A8C"/>
        <rFont val="FreeSans"/>
        <family val="2"/>
      </rPr>
      <t xml:space="preserve">عدد المندوبين</t>
    </r>
  </si>
  <si>
    <r>
      <rPr>
        <b val="true"/>
        <sz val="8"/>
        <color rgb="FF6B7A8C"/>
        <rFont val="Segoe UI"/>
        <family val="0"/>
        <charset val="1"/>
      </rPr>
      <t xml:space="preserve">TOTAL GROSS SALARY  |  </t>
    </r>
    <r>
      <rPr>
        <b val="true"/>
        <sz val="8"/>
        <color rgb="FF6B7A8C"/>
        <rFont val="FreeSans"/>
        <family val="2"/>
      </rPr>
      <t xml:space="preserve">إجمالي الراتب</t>
    </r>
  </si>
  <si>
    <r>
      <rPr>
        <b val="true"/>
        <sz val="8"/>
        <color rgb="FF6B7A8C"/>
        <rFont val="Segoe UI"/>
        <family val="0"/>
        <charset val="1"/>
      </rPr>
      <t xml:space="preserve">TOTAL DEDUCTIONS  |  </t>
    </r>
    <r>
      <rPr>
        <b val="true"/>
        <sz val="8"/>
        <color rgb="FF6B7A8C"/>
        <rFont val="FreeSans"/>
        <family val="2"/>
      </rPr>
      <t xml:space="preserve">الخصومات</t>
    </r>
  </si>
  <si>
    <r>
      <rPr>
        <b val="true"/>
        <sz val="8"/>
        <color rgb="FF6B7A8C"/>
        <rFont val="Segoe UI"/>
        <family val="0"/>
        <charset val="1"/>
      </rPr>
      <t xml:space="preserve">TOTAL FINAL SALARY  |  </t>
    </r>
    <r>
      <rPr>
        <b val="true"/>
        <sz val="8"/>
        <color rgb="FF6B7A8C"/>
        <rFont val="FreeSans"/>
        <family val="2"/>
      </rPr>
      <t xml:space="preserve">صافي الرواتب</t>
    </r>
  </si>
  <si>
    <t xml:space="preserve">Chart data</t>
  </si>
  <si>
    <t xml:space="preserve">Gross</t>
  </si>
  <si>
    <t xml:space="preserve">Deductions</t>
  </si>
  <si>
    <r>
      <rPr>
        <b val="true"/>
        <sz val="8"/>
        <color rgb="FF6B7A8C"/>
        <rFont val="Segoe UI"/>
        <family val="0"/>
        <charset val="1"/>
      </rPr>
      <t xml:space="preserve">AMOUNT DUE FROM RIDERS  |  </t>
    </r>
    <r>
      <rPr>
        <b val="true"/>
        <sz val="8"/>
        <color rgb="FF6B7A8C"/>
        <rFont val="FreeSans"/>
        <family val="2"/>
      </rPr>
      <t xml:space="preserve">مستحق على المندوبين</t>
    </r>
  </si>
  <si>
    <r>
      <rPr>
        <b val="true"/>
        <sz val="8"/>
        <color rgb="FF6B7A8C"/>
        <rFont val="Segoe UI"/>
        <family val="0"/>
        <charset val="1"/>
      </rPr>
      <t xml:space="preserve">COMPLETED ORDERS  |  </t>
    </r>
    <r>
      <rPr>
        <b val="true"/>
        <sz val="8"/>
        <color rgb="FF6B7A8C"/>
        <rFont val="FreeSans"/>
        <family val="2"/>
      </rPr>
      <t xml:space="preserve">الطلبات المكتملة</t>
    </r>
  </si>
  <si>
    <r>
      <rPr>
        <b val="true"/>
        <sz val="8"/>
        <color rgb="FF6B7A8C"/>
        <rFont val="Segoe UI"/>
        <family val="0"/>
        <charset val="1"/>
      </rPr>
      <t xml:space="preserve">MISSING ORDERS  |  </t>
    </r>
    <r>
      <rPr>
        <b val="true"/>
        <sz val="8"/>
        <color rgb="FF6B7A8C"/>
        <rFont val="FreeSans"/>
        <family val="2"/>
      </rPr>
      <t xml:space="preserve">الطلبات الناقصة</t>
    </r>
  </si>
  <si>
    <r>
      <rPr>
        <b val="true"/>
        <sz val="8"/>
        <color rgb="FF6B7A8C"/>
        <rFont val="Segoe UI"/>
        <family val="0"/>
        <charset val="1"/>
      </rPr>
      <t xml:space="preserve">EXTRA ORDERS  |  </t>
    </r>
    <r>
      <rPr>
        <b val="true"/>
        <sz val="8"/>
        <color rgb="FF6B7A8C"/>
        <rFont val="FreeSans"/>
        <family val="2"/>
      </rPr>
      <t xml:space="preserve">الطلبات الإضافية</t>
    </r>
  </si>
  <si>
    <t xml:space="preserve">Final salary</t>
  </si>
  <si>
    <t xml:space="preserve">Due from riders</t>
  </si>
  <si>
    <r>
      <rPr>
        <b val="true"/>
        <sz val="10"/>
        <color rgb="FF2F7DC4"/>
        <rFont val="Segoe UI"/>
        <family val="0"/>
        <charset val="1"/>
      </rPr>
      <t xml:space="preserve">PAYROLL COMPOSITION  |  </t>
    </r>
    <r>
      <rPr>
        <b val="true"/>
        <sz val="10"/>
        <color rgb="FF2F7DC4"/>
        <rFont val="FreeSans"/>
        <family val="2"/>
      </rPr>
      <t xml:space="preserve">تكوين الرواتب</t>
    </r>
  </si>
  <si>
    <r>
      <rPr>
        <b val="true"/>
        <sz val="10"/>
        <color rgb="FFF47C20"/>
        <rFont val="Segoe UI"/>
        <family val="0"/>
        <charset val="1"/>
      </rPr>
      <t xml:space="preserve">PAYMENT STATUS  |  </t>
    </r>
    <r>
      <rPr>
        <b val="true"/>
        <sz val="10"/>
        <color rgb="FFF47C20"/>
        <rFont val="FreeSans"/>
        <family val="2"/>
      </rPr>
      <t xml:space="preserve">حالات الدفع</t>
    </r>
  </si>
  <si>
    <r>
      <rPr>
        <b val="true"/>
        <sz val="10"/>
        <color rgb="FF2C3E50"/>
        <rFont val="Segoe UI"/>
        <family val="0"/>
        <charset val="1"/>
      </rPr>
      <t xml:space="preserve">STATUS BREAKDOWN  |  </t>
    </r>
    <r>
      <rPr>
        <b val="true"/>
        <sz val="10"/>
        <color rgb="FF2C3E50"/>
        <rFont val="FreeSans"/>
        <family val="2"/>
      </rPr>
      <t xml:space="preserve">توزيع الحالات</t>
    </r>
  </si>
  <si>
    <r>
      <rPr>
        <b val="true"/>
        <sz val="10"/>
        <color rgb="FF1E8E4E"/>
        <rFont val="Segoe UI"/>
        <family val="0"/>
        <charset val="1"/>
      </rPr>
      <t xml:space="preserve">TOP 10 BY FINAL SALARY  |  </t>
    </r>
    <r>
      <rPr>
        <b val="true"/>
        <sz val="10"/>
        <color rgb="FF1E8E4E"/>
        <rFont val="FreeSans"/>
        <family val="2"/>
      </rPr>
      <t xml:space="preserve">أعلى ١٠ رواتب</t>
    </r>
  </si>
  <si>
    <t xml:space="preserve">Status</t>
  </si>
  <si>
    <t xml:space="preserve">Riders</t>
  </si>
  <si>
    <t xml:space="preserve">Share</t>
  </si>
  <si>
    <t xml:space="preserve">#</t>
  </si>
  <si>
    <t xml:space="preserve">Rider ID</t>
  </si>
  <si>
    <t xml:space="preserve">Rider Name</t>
  </si>
  <si>
    <t xml:space="preserve">Final Salary</t>
  </si>
  <si>
    <t xml:space="preserve">Orders</t>
  </si>
  <si>
    <t xml:space="preserve">Top-10 row index</t>
  </si>
  <si>
    <t xml:space="preserve">Paid in Full</t>
  </si>
  <si>
    <t xml:space="preserve">Paid After Deductions</t>
  </si>
  <si>
    <t xml:space="preserve">No Salary – Amount Due from Rider</t>
  </si>
  <si>
    <t xml:space="preserve">No Orders</t>
  </si>
  <si>
    <t xml:space="preserve">Review Required</t>
  </si>
  <si>
    <r>
      <rPr>
        <b val="true"/>
        <sz val="10"/>
        <color rgb="FFC62828"/>
        <rFont val="Segoe UI"/>
        <family val="0"/>
        <charset val="1"/>
      </rPr>
      <t xml:space="preserve">EXCEPTION REPORT  |  </t>
    </r>
    <r>
      <rPr>
        <b val="true"/>
        <sz val="10"/>
        <color rgb="FFC62828"/>
        <rFont val="FreeSans"/>
        <family val="2"/>
      </rPr>
      <t xml:space="preserve">تقرير الاستثناءات – </t>
    </r>
    <r>
      <rPr>
        <b val="true"/>
        <sz val="10"/>
        <color rgb="FFC62828"/>
        <rFont val="Segoe UI"/>
        <family val="0"/>
        <charset val="1"/>
      </rPr>
      <t xml:space="preserve">invalid or incomplete records (all months)</t>
    </r>
  </si>
  <si>
    <t xml:space="preserve">Month</t>
  </si>
  <si>
    <r>
      <rPr>
        <b val="true"/>
        <sz val="8.5"/>
        <color rgb="FFFFFFFF"/>
        <rFont val="Segoe UI"/>
        <family val="0"/>
        <charset val="1"/>
      </rPr>
      <t xml:space="preserve">Reason  |  </t>
    </r>
    <r>
      <rPr>
        <b val="true"/>
        <sz val="8.5"/>
        <color rgb="FFFFFFFF"/>
        <rFont val="FreeSans"/>
        <family val="2"/>
      </rPr>
      <t xml:space="preserve">السبب</t>
    </r>
  </si>
  <si>
    <r>
      <rPr>
        <b val="true"/>
        <sz val="10"/>
        <color rgb="FF2F7DC4"/>
        <rFont val="Segoe UI"/>
        <family val="0"/>
        <charset val="1"/>
      </rPr>
      <t xml:space="preserve">SPECIFICATION EXAMPLE CHECKS  |  </t>
    </r>
    <r>
      <rPr>
        <b val="true"/>
        <sz val="10"/>
        <color rgb="FF2F7DC4"/>
        <rFont val="FreeSans"/>
        <family val="2"/>
      </rPr>
      <t xml:space="preserve">فحص الأمثلة – </t>
    </r>
    <r>
      <rPr>
        <b val="true"/>
        <sz val="10"/>
        <color rgb="FF2F7DC4"/>
        <rFont val="Segoe UI"/>
        <family val="0"/>
        <charset val="1"/>
      </rPr>
      <t xml:space="preserve">formulas re-compute the three worked examples from the rules</t>
    </r>
  </si>
  <si>
    <t xml:space="preserve">Example</t>
  </si>
  <si>
    <t xml:space="preserve">Calendar Days</t>
  </si>
  <si>
    <t xml:space="preserve">Working Days</t>
  </si>
  <si>
    <t xml:space="preserve">Completed Orders</t>
  </si>
  <si>
    <t xml:space="preserve">Base Rate Used</t>
  </si>
  <si>
    <t xml:space="preserve">Rider Target</t>
  </si>
  <si>
    <t xml:space="preserve">Earned Salary</t>
  </si>
  <si>
    <t xml:space="preserve">Missing-Order Deduction</t>
  </si>
  <si>
    <t xml:space="preserve">Extra-Order Bonus</t>
  </si>
  <si>
    <t xml:space="preserve">Gross Before Deductions</t>
  </si>
  <si>
    <t xml:space="preserve">Other Deductions</t>
  </si>
  <si>
    <t xml:space="preserve">Amount Due from Rider</t>
  </si>
  <si>
    <t xml:space="preserve">Example 1 – exact rate 2000/450</t>
  </si>
  <si>
    <t xml:space="preserve">Example 2 – Rider 4849914 (fixed 4.44)</t>
  </si>
  <si>
    <t xml:space="preserve">Example 3 – Rider 4648308 (fixed 4.44)</t>
  </si>
  <si>
    <t xml:space="preserve">Blue = typed from the specification. Example 3 other deductions = 112 + 93.12 (stacking + rider balance). Example 1 rate = Default Basic Payment / Standard Orders.</t>
  </si>
  <si>
    <t xml:space="preserve">Check</t>
  </si>
  <si>
    <t xml:space="preserve">Calculated</t>
  </si>
  <si>
    <t xml:space="preserve">Expected (spec)</t>
  </si>
  <si>
    <t xml:space="preserve">Difference</t>
  </si>
  <si>
    <t xml:space="preserve">Result</t>
  </si>
  <si>
    <t xml:space="preserve">Ex.1 Rider target (225)</t>
  </si>
  <si>
    <t xml:space="preserve">Ex.1 Earned salary (888.89)</t>
  </si>
  <si>
    <t xml:space="preserve">Ex.1 Missing-order deduction (175)</t>
  </si>
  <si>
    <t xml:space="preserve">Ex.1 Salary before other deductions (713.89)</t>
  </si>
  <si>
    <t xml:space="preserve">Ex.2 Rider target (120)</t>
  </si>
  <si>
    <t xml:space="preserve">Ex.2 Earned salary at 4.44 (319.68)</t>
  </si>
  <si>
    <t xml:space="preserve">Ex.2 Missing-order deduction (336)</t>
  </si>
  <si>
    <t xml:space="preserve">Ex.2 Salary before other deductions (-16.32)</t>
  </si>
  <si>
    <t xml:space="preserve">Ex.2 Company payment (0)</t>
  </si>
  <si>
    <t xml:space="preserve">Ex.2 Amount due from rider (16.32)</t>
  </si>
  <si>
    <t xml:space="preserve">Ex.3 Basic salary for target (2,064.60)</t>
  </si>
  <si>
    <t xml:space="preserve">Ex.3 Extra-order bonus (860)</t>
  </si>
  <si>
    <t xml:space="preserve">Ex.3 Gross salary (2,924.60)</t>
  </si>
  <si>
    <t xml:space="preserve">Ex.3 Final salary (2,719.48)</t>
  </si>
  <si>
    <t xml:space="preserve">Ex.3 Final salary vs 2,718.88 quoted in the spec note</t>
  </si>
  <si>
    <t xml:space="preserve">Live: Rider 4849914 total amount due incl. other deductions (Fixed rate only)</t>
  </si>
  <si>
    <t xml:space="preserve">Live: Rider 4648308 final salary (Fixed rate only)</t>
  </si>
  <si>
    <t xml:space="preserve">The 2,718.88 figure differs from the calculated 2,719.48 by 0.60 and is deliberately flagged for review (see spec note on Example 3).</t>
  </si>
  <si>
    <r>
      <rPr>
        <b val="true"/>
        <sz val="9"/>
        <color rgb="FF6B7A8C"/>
        <rFont val="Segoe UI"/>
        <family val="0"/>
        <charset val="1"/>
      </rPr>
      <t xml:space="preserve">SELECT PAYSLIP  |  </t>
    </r>
    <r>
      <rPr>
        <b val="true"/>
        <sz val="9"/>
        <color rgb="FF6B7A8C"/>
        <rFont val="FreeSans"/>
        <family val="2"/>
      </rPr>
      <t xml:space="preserve">اختيار القسيمة</t>
    </r>
  </si>
  <si>
    <r>
      <rPr>
        <b val="true"/>
        <sz val="10"/>
        <color rgb="FF2C3E50"/>
        <rFont val="Segoe UI"/>
        <family val="0"/>
        <charset val="1"/>
      </rPr>
      <t xml:space="preserve">Month / </t>
    </r>
    <r>
      <rPr>
        <b val="true"/>
        <sz val="10"/>
        <color rgb="FF2C3E50"/>
        <rFont val="FreeSans"/>
        <family val="2"/>
      </rPr>
      <t xml:space="preserve">الشهر ▸</t>
    </r>
  </si>
  <si>
    <r>
      <rPr>
        <b val="true"/>
        <sz val="10"/>
        <color rgb="FF2C3E50"/>
        <rFont val="Segoe UI"/>
        <family val="0"/>
        <charset val="1"/>
      </rPr>
      <t xml:space="preserve">Rider ID / </t>
    </r>
    <r>
      <rPr>
        <b val="true"/>
        <sz val="10"/>
        <color rgb="FF2C3E50"/>
        <rFont val="FreeSans"/>
        <family val="2"/>
      </rPr>
      <t xml:space="preserve">المندوب ▸</t>
    </r>
  </si>
  <si>
    <t xml:space="preserve">Print: File ▸ Print ▸ PDF</t>
  </si>
  <si>
    <t xml:space="preserve">Record # (auto)</t>
  </si>
  <si>
    <r>
      <rPr>
        <b val="true"/>
        <sz val="24"/>
        <color rgb="FF2C3E50"/>
        <rFont val="Segoe UI"/>
        <family val="0"/>
        <charset val="1"/>
      </rPr>
      <t xml:space="preserve">PAYSLIP  |  </t>
    </r>
    <r>
      <rPr>
        <b val="true"/>
        <sz val="24"/>
        <color rgb="FF2C3E50"/>
        <rFont val="FreeSans"/>
        <family val="2"/>
      </rPr>
      <t xml:space="preserve">قسيمة راتب</t>
    </r>
  </si>
  <si>
    <r>
      <rPr>
        <b val="true"/>
        <sz val="8"/>
        <color rgb="FF6B7A8C"/>
        <rFont val="Segoe UI"/>
        <family val="0"/>
        <charset val="1"/>
      </rPr>
      <t xml:space="preserve">RIDER  |  </t>
    </r>
    <r>
      <rPr>
        <b val="true"/>
        <sz val="8"/>
        <color rgb="FF6B7A8C"/>
        <rFont val="FreeSans"/>
        <family val="2"/>
      </rPr>
      <t xml:space="preserve">المندوب</t>
    </r>
  </si>
  <si>
    <r>
      <rPr>
        <b val="true"/>
        <sz val="8"/>
        <color rgb="FF6B7A8C"/>
        <rFont val="Segoe UI"/>
        <family val="0"/>
        <charset val="1"/>
      </rPr>
      <t xml:space="preserve">PAYMENT STATUS  |  </t>
    </r>
    <r>
      <rPr>
        <b val="true"/>
        <sz val="8"/>
        <color rgb="FF6B7A8C"/>
        <rFont val="FreeSans"/>
        <family val="2"/>
      </rPr>
      <t xml:space="preserve">حالة الدفع</t>
    </r>
  </si>
  <si>
    <r>
      <rPr>
        <b val="true"/>
        <sz val="7.5"/>
        <color rgb="FF6B7A8C"/>
        <rFont val="Segoe UI"/>
        <family val="0"/>
        <charset val="1"/>
      </rPr>
      <t xml:space="preserve">WORKING DAYS  |  </t>
    </r>
    <r>
      <rPr>
        <b val="true"/>
        <sz val="7.5"/>
        <color rgb="FF6B7A8C"/>
        <rFont val="FreeSans"/>
        <family val="2"/>
      </rPr>
      <t xml:space="preserve">أيام العمل</t>
    </r>
  </si>
  <si>
    <r>
      <rPr>
        <b val="true"/>
        <sz val="7.5"/>
        <color rgb="FF6B7A8C"/>
        <rFont val="Segoe UI"/>
        <family val="0"/>
        <charset val="1"/>
      </rPr>
      <t xml:space="preserve">TARGET ORDERS  |  </t>
    </r>
    <r>
      <rPr>
        <b val="true"/>
        <sz val="7.5"/>
        <color rgb="FF6B7A8C"/>
        <rFont val="FreeSans"/>
        <family val="2"/>
      </rPr>
      <t xml:space="preserve">الهدف</t>
    </r>
  </si>
  <si>
    <r>
      <rPr>
        <b val="true"/>
        <sz val="7.5"/>
        <color rgb="FF6B7A8C"/>
        <rFont val="Segoe UI"/>
        <family val="0"/>
        <charset val="1"/>
      </rPr>
      <t xml:space="preserve">COMPLETED  |  </t>
    </r>
    <r>
      <rPr>
        <b val="true"/>
        <sz val="7.5"/>
        <color rgb="FF6B7A8C"/>
        <rFont val="FreeSans"/>
        <family val="2"/>
      </rPr>
      <t xml:space="preserve">المكتملة</t>
    </r>
  </si>
  <si>
    <r>
      <rPr>
        <b val="true"/>
        <sz val="7.5"/>
        <color rgb="FF6B7A8C"/>
        <rFont val="Segoe UI"/>
        <family val="0"/>
        <charset val="1"/>
      </rPr>
      <t xml:space="preserve">ACHIEVEMENT  |  </t>
    </r>
    <r>
      <rPr>
        <b val="true"/>
        <sz val="7.5"/>
        <color rgb="FF6B7A8C"/>
        <rFont val="FreeSans"/>
        <family val="2"/>
      </rPr>
      <t xml:space="preserve">الإنجاز</t>
    </r>
  </si>
  <si>
    <r>
      <rPr>
        <b val="true"/>
        <sz val="10"/>
        <color rgb="FF2F7DC4"/>
        <rFont val="Segoe UI"/>
        <family val="0"/>
        <charset val="1"/>
      </rPr>
      <t xml:space="preserve">EARNINGS  |  </t>
    </r>
    <r>
      <rPr>
        <b val="true"/>
        <sz val="10"/>
        <color rgb="FF2F7DC4"/>
        <rFont val="FreeSans"/>
        <family val="2"/>
      </rPr>
      <t xml:space="preserve">المستحقات</t>
    </r>
  </si>
  <si>
    <r>
      <rPr>
        <b val="true"/>
        <sz val="10"/>
        <color rgb="FFC62828"/>
        <rFont val="Segoe UI"/>
        <family val="0"/>
        <charset val="1"/>
      </rPr>
      <t xml:space="preserve">DEDUCTIONS  |  </t>
    </r>
    <r>
      <rPr>
        <b val="true"/>
        <sz val="10"/>
        <color rgb="FFC62828"/>
        <rFont val="FreeSans"/>
        <family val="2"/>
      </rPr>
      <t xml:space="preserve">الخصومات</t>
    </r>
  </si>
  <si>
    <r>
      <rPr>
        <sz val="9.5"/>
        <color rgb="FF2C3E50"/>
        <rFont val="Segoe UI"/>
        <family val="0"/>
        <charset val="1"/>
      </rPr>
      <t xml:space="preserve">Basic Payment (contract)  |  </t>
    </r>
    <r>
      <rPr>
        <sz val="9.5"/>
        <color rgb="FF2C3E50"/>
        <rFont val="FreeSans"/>
        <family val="2"/>
      </rPr>
      <t xml:space="preserve">الدفعة الأساسية</t>
    </r>
  </si>
  <si>
    <r>
      <rPr>
        <sz val="9.5"/>
        <color rgb="FF2C3E50"/>
        <rFont val="Segoe UI"/>
        <family val="0"/>
        <charset val="1"/>
      </rPr>
      <t xml:space="preserve">Missing Orders  |  </t>
    </r>
    <r>
      <rPr>
        <sz val="9.5"/>
        <color rgb="FF2C3E50"/>
        <rFont val="FreeSans"/>
        <family val="2"/>
      </rPr>
      <t xml:space="preserve">الطلبات الناقصة</t>
    </r>
  </si>
  <si>
    <r>
      <rPr>
        <sz val="9.5"/>
        <color rgb="FF2C3E50"/>
        <rFont val="Segoe UI"/>
        <family val="0"/>
        <charset val="1"/>
      </rPr>
      <t xml:space="preserve">Orders counted at base rate  |  </t>
    </r>
    <r>
      <rPr>
        <sz val="9.5"/>
        <color rgb="FF2C3E50"/>
        <rFont val="FreeSans"/>
        <family val="2"/>
      </rPr>
      <t xml:space="preserve">الطلبات بالسعر الأساسي</t>
    </r>
  </si>
  <si>
    <r>
      <rPr>
        <sz val="9.5"/>
        <color rgb="FF2C3E50"/>
        <rFont val="Segoe UI"/>
        <family val="0"/>
        <charset val="1"/>
      </rPr>
      <t xml:space="preserve">Missing-Order Deduction  |  </t>
    </r>
    <r>
      <rPr>
        <sz val="9.5"/>
        <color rgb="FF2C3E50"/>
        <rFont val="FreeSans"/>
        <family val="2"/>
      </rPr>
      <t xml:space="preserve">خصم الطلبات الناقصة</t>
    </r>
  </si>
  <si>
    <r>
      <rPr>
        <sz val="9.5"/>
        <color rgb="FF2C3E50"/>
        <rFont val="Segoe UI"/>
        <family val="0"/>
        <charset val="1"/>
      </rPr>
      <t xml:space="preserve">Earned Salary  |  </t>
    </r>
    <r>
      <rPr>
        <sz val="9.5"/>
        <color rgb="FF2C3E50"/>
        <rFont val="FreeSans"/>
        <family val="2"/>
      </rPr>
      <t xml:space="preserve">الراتب المكتسب</t>
    </r>
  </si>
  <si>
    <r>
      <rPr>
        <sz val="9.5"/>
        <color rgb="FF2C3E50"/>
        <rFont val="Segoe UI"/>
        <family val="0"/>
        <charset val="1"/>
      </rPr>
      <t xml:space="preserve">missed_days_penalty  |  </t>
    </r>
    <r>
      <rPr>
        <sz val="9.5"/>
        <color rgb="FF2C3E50"/>
        <rFont val="FreeSans"/>
        <family val="2"/>
      </rPr>
      <t xml:space="preserve">غرامة الأيام الفائتة</t>
    </r>
  </si>
  <si>
    <r>
      <rPr>
        <sz val="9.5"/>
        <color rgb="FF2C3E50"/>
        <rFont val="Segoe UI"/>
        <family val="0"/>
        <charset val="1"/>
      </rPr>
      <t xml:space="preserve">Extra Orders  |  </t>
    </r>
    <r>
      <rPr>
        <sz val="9.5"/>
        <color rgb="FF2C3E50"/>
        <rFont val="FreeSans"/>
        <family val="2"/>
      </rPr>
      <t xml:space="preserve">الطلبات الإضافية</t>
    </r>
  </si>
  <si>
    <r>
      <rPr>
        <sz val="9.5"/>
        <color rgb="FF2C3E50"/>
        <rFont val="Segoe UI"/>
        <family val="0"/>
        <charset val="1"/>
      </rPr>
      <t xml:space="preserve">Rider Balance  |  </t>
    </r>
    <r>
      <rPr>
        <sz val="9.5"/>
        <color rgb="FF2C3E50"/>
        <rFont val="FreeSans"/>
        <family val="2"/>
      </rPr>
      <t xml:space="preserve">محفظة المندوب</t>
    </r>
  </si>
  <si>
    <r>
      <rPr>
        <sz val="9.5"/>
        <color rgb="FF2C3E50"/>
        <rFont val="Segoe UI"/>
        <family val="0"/>
        <charset val="1"/>
      </rPr>
      <t xml:space="preserve">Extra-Order Bonus  |  </t>
    </r>
    <r>
      <rPr>
        <sz val="9.5"/>
        <color rgb="FF2C3E50"/>
        <rFont val="FreeSans"/>
        <family val="2"/>
      </rPr>
      <t xml:space="preserve">مكافأة الطلبات الإضافية</t>
    </r>
  </si>
  <si>
    <r>
      <rPr>
        <sz val="9.5"/>
        <color rgb="FF2C3E50"/>
        <rFont val="Segoe UI"/>
        <family val="0"/>
        <charset val="1"/>
      </rPr>
      <t xml:space="preserve">stacking_deduction  |  </t>
    </r>
    <r>
      <rPr>
        <sz val="9.5"/>
        <color rgb="FF2C3E50"/>
        <rFont val="FreeSans"/>
        <family val="2"/>
      </rPr>
      <t xml:space="preserve">خصم الطلبات المتعددة</t>
    </r>
  </si>
  <si>
    <r>
      <rPr>
        <sz val="9.5"/>
        <color rgb="FF2C3E50"/>
        <rFont val="Segoe UI"/>
        <family val="0"/>
        <charset val="1"/>
      </rPr>
      <t xml:space="preserve">Basic Salary at Target  |  </t>
    </r>
    <r>
      <rPr>
        <sz val="9.5"/>
        <color rgb="FF2C3E50"/>
        <rFont val="FreeSans"/>
        <family val="2"/>
      </rPr>
      <t xml:space="preserve">الراتب الأساسي للهدف</t>
    </r>
  </si>
  <si>
    <r>
      <rPr>
        <sz val="9.5"/>
        <color rgb="FF2C3E50"/>
        <rFont val="Segoe UI"/>
        <family val="0"/>
        <charset val="1"/>
      </rPr>
      <t xml:space="preserve">Other Deductions  |  </t>
    </r>
    <r>
      <rPr>
        <sz val="9.5"/>
        <color rgb="FF2C3E50"/>
        <rFont val="FreeSans"/>
        <family val="2"/>
      </rPr>
      <t xml:space="preserve">خصومات أخرى</t>
    </r>
  </si>
  <si>
    <r>
      <rPr>
        <b val="true"/>
        <sz val="9.5"/>
        <color rgb="FF2C3E50"/>
        <rFont val="Segoe UI"/>
        <family val="0"/>
        <charset val="1"/>
      </rPr>
      <t xml:space="preserve">GROSS SALARY  |  </t>
    </r>
    <r>
      <rPr>
        <b val="true"/>
        <sz val="9.5"/>
        <color rgb="FF2C3E50"/>
        <rFont val="FreeSans"/>
        <family val="2"/>
      </rPr>
      <t xml:space="preserve">إجمالي الراتب قبل الخصم</t>
    </r>
  </si>
  <si>
    <r>
      <rPr>
        <b val="true"/>
        <sz val="9.5"/>
        <color rgb="FF2C3E50"/>
        <rFont val="Segoe UI"/>
        <family val="0"/>
        <charset val="1"/>
      </rPr>
      <t xml:space="preserve">TOTAL DEDUCTIONS  |  </t>
    </r>
    <r>
      <rPr>
        <b val="true"/>
        <sz val="9.5"/>
        <color rgb="FF2C3E50"/>
        <rFont val="FreeSans"/>
        <family val="2"/>
      </rPr>
      <t xml:space="preserve">إجمالي الخصومات</t>
    </r>
  </si>
  <si>
    <r>
      <rPr>
        <b val="true"/>
        <sz val="9"/>
        <color rgb="FFFFFFFF"/>
        <rFont val="Segoe UI"/>
        <family val="0"/>
        <charset val="1"/>
      </rPr>
      <t xml:space="preserve">FINAL SALARY (PAYABLE)  |  </t>
    </r>
    <r>
      <rPr>
        <b val="true"/>
        <sz val="9"/>
        <color rgb="FFFFFFFF"/>
        <rFont val="FreeSans"/>
        <family val="2"/>
      </rPr>
      <t xml:space="preserve">صافي الراتب المستحق</t>
    </r>
  </si>
  <si>
    <r>
      <rPr>
        <b val="true"/>
        <sz val="8.5"/>
        <color rgb="FFFFFFFF"/>
        <rFont val="Segoe UI"/>
        <family val="0"/>
        <charset val="1"/>
      </rPr>
      <t xml:space="preserve">NEGATIVE BALANCE / AMOUNT DUE FROM RIDER  |  </t>
    </r>
    <r>
      <rPr>
        <b val="true"/>
        <sz val="8.5"/>
        <color rgb="FFFFFFFF"/>
        <rFont val="FreeSans"/>
        <family val="2"/>
      </rPr>
      <t xml:space="preserve">المبلغ المستحق على المندوب</t>
    </r>
  </si>
  <si>
    <r>
      <rPr>
        <b val="true"/>
        <sz val="10"/>
        <color rgb="FF2C3E50"/>
        <rFont val="Segoe UI"/>
        <family val="0"/>
        <charset val="1"/>
      </rPr>
      <t xml:space="preserve">HOW THIS WAS CALCULATED  |  </t>
    </r>
    <r>
      <rPr>
        <b val="true"/>
        <sz val="10"/>
        <color rgb="FF2C3E50"/>
        <rFont val="FreeSans"/>
        <family val="2"/>
      </rPr>
      <t xml:space="preserve">طريقة الحساب</t>
    </r>
  </si>
  <si>
    <r>
      <rPr>
        <b val="true"/>
        <sz val="10"/>
        <color rgb="FF2C3E50"/>
        <rFont val="Segoe UI"/>
        <family val="0"/>
        <charset val="1"/>
      </rPr>
      <t xml:space="preserve">NOTES  |  </t>
    </r>
    <r>
      <rPr>
        <b val="true"/>
        <sz val="10"/>
        <color rgb="FF2C3E50"/>
        <rFont val="FreeSans"/>
        <family val="2"/>
      </rPr>
      <t xml:space="preserve">ملاحظات</t>
    </r>
  </si>
  <si>
    <r>
      <rPr>
        <b val="true"/>
        <sz val="8.5"/>
        <color rgb="FF6B7A8C"/>
        <rFont val="Segoe UI"/>
        <family val="0"/>
        <charset val="1"/>
      </rPr>
      <t xml:space="preserve">Rider Signature  |  </t>
    </r>
    <r>
      <rPr>
        <b val="true"/>
        <sz val="8.5"/>
        <color rgb="FF6B7A8C"/>
        <rFont val="FreeSans"/>
        <family val="2"/>
      </rPr>
      <t xml:space="preserve">توقيع المندوب</t>
    </r>
  </si>
  <si>
    <r>
      <rPr>
        <b val="true"/>
        <sz val="8.5"/>
        <color rgb="FF6B7A8C"/>
        <rFont val="Segoe UI"/>
        <family val="0"/>
        <charset val="1"/>
      </rPr>
      <t xml:space="preserve">Payroll Officer  |  </t>
    </r>
    <r>
      <rPr>
        <b val="true"/>
        <sz val="8.5"/>
        <color rgb="FF6B7A8C"/>
        <rFont val="FreeSans"/>
        <family val="2"/>
      </rPr>
      <t xml:space="preserve">مسؤول الرواتب</t>
    </r>
  </si>
  <si>
    <r>
      <rPr>
        <b val="true"/>
        <sz val="8.5"/>
        <color rgb="FF6B7A8C"/>
        <rFont val="Segoe UI"/>
        <family val="0"/>
        <charset val="1"/>
      </rPr>
      <t xml:space="preserve">Approved by  |  </t>
    </r>
    <r>
      <rPr>
        <b val="true"/>
        <sz val="8.5"/>
        <color rgb="FF6B7A8C"/>
        <rFont val="FreeSans"/>
        <family val="2"/>
      </rPr>
      <t xml:space="preserve">اعتماد الإدارة</t>
    </r>
  </si>
  <si>
    <r>
      <rPr>
        <sz val="8"/>
        <color rgb="FF6B7A8C"/>
        <rFont val="Segoe UI"/>
        <family val="0"/>
        <charset val="1"/>
      </rPr>
      <t xml:space="preserve">Date / </t>
    </r>
    <r>
      <rPr>
        <sz val="8"/>
        <color rgb="FF6B7A8C"/>
        <rFont val="FreeSans"/>
        <family val="2"/>
      </rPr>
      <t xml:space="preserve">التاريخ</t>
    </r>
    <r>
      <rPr>
        <sz val="8"/>
        <color rgb="FF6B7A8C"/>
        <rFont val="Segoe UI"/>
        <family val="0"/>
        <charset val="1"/>
      </rPr>
      <t xml:space="preserve">:  ____ / ____ / ________</t>
    </r>
  </si>
  <si>
    <r>
      <rPr>
        <b val="true"/>
        <sz val="16"/>
        <color rgb="FF2C3E50"/>
        <rFont val="Segoe UI"/>
        <family val="0"/>
        <charset val="1"/>
      </rPr>
      <t xml:space="preserve">Monthly Import – new month in 5 minutes / </t>
    </r>
    <r>
      <rPr>
        <b val="true"/>
        <sz val="16"/>
        <color rgb="FF2C3E50"/>
        <rFont val="FreeSans"/>
        <family val="2"/>
      </rPr>
      <t xml:space="preserve">الاستيراد الشهري</t>
    </r>
  </si>
  <si>
    <t xml:space="preserve">1. Save last month's file as a copy (e.g. Salary_2026-08.xlsx) – keep it as your archive, then reuse this file.</t>
  </si>
  <si>
    <t xml:space="preserve">Helper area – formulas only, do not edit</t>
  </si>
  <si>
    <t xml:space="preserve">2. Settings → B13: type the new Salary Month (calendar days are calculated automatically).</t>
  </si>
  <si>
    <t xml:space="preserve">3. Paste_FTR: select row 2 downward → Delete, then paste the new 'FTR Cost' export from cell A1 (header row included).</t>
  </si>
  <si>
    <t xml:space="preserve">Row in RLVL</t>
  </si>
  <si>
    <t xml:space="preserve">In Rider_Master?</t>
  </si>
  <si>
    <t xml:space="preserve">Orders FTR</t>
  </si>
  <si>
    <t xml:space="preserve">Orders RLVL</t>
  </si>
  <si>
    <t xml:space="preserve">Duplicate?</t>
  </si>
  <si>
    <t xml:space="preserve">Issue</t>
  </si>
  <si>
    <t xml:space="preserve">Issue #</t>
  </si>
  <si>
    <t xml:space="preserve">4. Paste_RLVL: same – delete old rows, paste the new RLVL export from A1.</t>
  </si>
  <si>
    <t xml:space="preserve">5. Adjustments (optional): clear last month's rows, add this month's Other Deductions (car, TGA, advances…).</t>
  </si>
  <si>
    <t xml:space="preserve">6. Come back here: banner must say READY. Fix anything under 'Items to review'. New riders appear automatically – no setup needed.</t>
  </si>
  <si>
    <t xml:space="preserve">7. Summary_Dashboard for totals, Payslip_Print for payslips (print or Save as PDF).</t>
  </si>
  <si>
    <r>
      <rPr>
        <b val="true"/>
        <sz val="11"/>
        <color rgb="FFFFFFFF"/>
        <rFont val="Calibri"/>
        <family val="0"/>
        <charset val="1"/>
      </rPr>
      <t xml:space="preserve">Import Health / </t>
    </r>
    <r>
      <rPr>
        <b val="true"/>
        <sz val="11"/>
        <color rgb="FFFFFFFF"/>
        <rFont val="FreeSans"/>
        <family val="2"/>
      </rPr>
      <t xml:space="preserve">فحص الاستيراد</t>
    </r>
  </si>
  <si>
    <t xml:space="preserve">Salary Month set</t>
  </si>
  <si>
    <t xml:space="preserve">Riders found in Paste_FTR</t>
  </si>
  <si>
    <t xml:space="preserve">Riders found in Paste_RLVL</t>
  </si>
  <si>
    <t xml:space="preserve">Riders loaded into salary engine (capacity 500)</t>
  </si>
  <si>
    <t xml:space="preserve">FTR riders missing from RLVL</t>
  </si>
  <si>
    <t xml:space="preserve">RLVL riders missing from FTR</t>
  </si>
  <si>
    <t xml:space="preserve">Orders differ between FTR and RLVL</t>
  </si>
  <si>
    <t xml:space="preserve">Duplicate Rider IDs</t>
  </si>
  <si>
    <t xml:space="preserve">Column mapping: columns not found</t>
  </si>
  <si>
    <t xml:space="preserve">Records flagged 'Review Required' in Salary_Calculation</t>
  </si>
  <si>
    <t xml:space="preserve">New riders not in Rider_Master (information only)</t>
  </si>
  <si>
    <t xml:space="preserve">Column Mapping – finds each column by header text (use * as wildcard); edit only if the export headers change</t>
  </si>
  <si>
    <t xml:space="preserve">Field</t>
  </si>
  <si>
    <t xml:space="preserve">Header contains / text</t>
  </si>
  <si>
    <t xml:space="preserve">Sheet</t>
  </si>
  <si>
    <t xml:space="preserve">Column #</t>
  </si>
  <si>
    <t xml:space="preserve">Found?</t>
  </si>
  <si>
    <t xml:space="preserve">Rider ID (FTR)</t>
  </si>
  <si>
    <t xml:space="preserve">*rider_id</t>
  </si>
  <si>
    <t xml:space="preserve">Paste_FTR</t>
  </si>
  <si>
    <t xml:space="preserve">Completed Orders (FTR)</t>
  </si>
  <si>
    <t xml:space="preserve">*completed_orders</t>
  </si>
  <si>
    <t xml:space="preserve">Working Days (FTR)</t>
  </si>
  <si>
    <t xml:space="preserve">working_days</t>
  </si>
  <si>
    <t xml:space="preserve">Rider ID (RLVL)</t>
  </si>
  <si>
    <t xml:space="preserve">Paste_RLVL</t>
  </si>
  <si>
    <t xml:space="preserve">Completed Orders (RLVL, cross-check only)</t>
  </si>
  <si>
    <t xml:space="preserve">missed_days_penalty (RLVL)</t>
  </si>
  <si>
    <t xml:space="preserve">*missed_days_penalty</t>
  </si>
  <si>
    <t xml:space="preserve">Rider Balance (RLVL)</t>
  </si>
  <si>
    <t xml:space="preserve">*Rider Balance</t>
  </si>
  <si>
    <t xml:space="preserve">stacking_deduction (RLVL)</t>
  </si>
  <si>
    <t xml:space="preserve">*stacking_deduction</t>
  </si>
  <si>
    <t xml:space="preserve">Items to review – first 25 (all riders, full list in helper column P)</t>
  </si>
  <si>
    <r>
      <rPr>
        <b val="true"/>
        <sz val="18"/>
        <color rgb="FF2C3E50"/>
        <rFont val="Segoe UI"/>
        <family val="0"/>
        <charset val="1"/>
      </rPr>
      <t xml:space="preserve">Settings / </t>
    </r>
    <r>
      <rPr>
        <b val="true"/>
        <sz val="18"/>
        <color rgb="FF2C3E50"/>
        <rFont val="FreeSans"/>
        <family val="2"/>
      </rPr>
      <t xml:space="preserve">الإعدادات</t>
    </r>
  </si>
  <si>
    <r>
      <rPr>
        <b val="true"/>
        <sz val="11"/>
        <color rgb="FFFFFFFF"/>
        <rFont val="Calibri"/>
        <family val="2"/>
        <charset val="1"/>
      </rPr>
      <t xml:space="preserve">Setting / </t>
    </r>
    <r>
      <rPr>
        <b val="true"/>
        <sz val="11"/>
        <color rgb="FFFFFFFF"/>
        <rFont val="FreeSans"/>
        <family val="2"/>
      </rPr>
      <t xml:space="preserve">الإعداد</t>
    </r>
  </si>
  <si>
    <r>
      <rPr>
        <b val="true"/>
        <sz val="11"/>
        <color rgb="FFFFFFFF"/>
        <rFont val="Calibri"/>
        <family val="2"/>
        <charset val="1"/>
      </rPr>
      <t xml:space="preserve">Value / </t>
    </r>
    <r>
      <rPr>
        <b val="true"/>
        <sz val="11"/>
        <color rgb="FFFFFFFF"/>
        <rFont val="FreeSans"/>
        <family val="2"/>
      </rPr>
      <t xml:space="preserve">القيمة</t>
    </r>
  </si>
  <si>
    <r>
      <rPr>
        <b val="true"/>
        <sz val="11"/>
        <color rgb="FFFFFFFF"/>
        <rFont val="Calibri"/>
        <family val="2"/>
        <charset val="1"/>
      </rPr>
      <t xml:space="preserve">Description / </t>
    </r>
    <r>
      <rPr>
        <b val="true"/>
        <sz val="11"/>
        <color rgb="FFFFFFFF"/>
        <rFont val="FreeSans"/>
        <family val="2"/>
      </rPr>
      <t xml:space="preserve">الوصف</t>
    </r>
  </si>
  <si>
    <t xml:space="preserve">Order Rate Method</t>
  </si>
  <si>
    <t xml:space="preserve">Exact rate</t>
  </si>
  <si>
    <t xml:space="preserve">Exact rate = Basic Payment / 450; Fixed rate = 4.44</t>
  </si>
  <si>
    <t xml:space="preserve">Default Basic Payment</t>
  </si>
  <si>
    <t xml:space="preserve">Default SAR basic payment for 450 standard monthly orders (type this into Rider_Input for new riders; used by Example 1 on the dashboard)</t>
  </si>
  <si>
    <t xml:space="preserve">Standard Monthly Orders</t>
  </si>
  <si>
    <t xml:space="preserve">Standard monthly target orders for a 30-day month</t>
  </si>
  <si>
    <t xml:space="preserve">Standard Month Days</t>
  </si>
  <si>
    <t xml:space="preserve">Denominator for calendar-day adjustment</t>
  </si>
  <si>
    <t xml:space="preserve">Fixed Order Rate</t>
  </si>
  <si>
    <t xml:space="preserve">Used only when Order Rate Method = Fixed rate</t>
  </si>
  <si>
    <t xml:space="preserve">Missing-Order Deduction Rate</t>
  </si>
  <si>
    <t xml:space="preserve">SAR per missing order</t>
  </si>
  <si>
    <t xml:space="preserve">Extra-Order Bonus Rate</t>
  </si>
  <si>
    <t xml:space="preserve">SAR per extra order</t>
  </si>
  <si>
    <t xml:space="preserve">Company Name</t>
  </si>
  <si>
    <t xml:space="preserve">Elite Development</t>
  </si>
  <si>
    <t xml:space="preserve">Company name printed on payslips and footers</t>
  </si>
  <si>
    <t xml:space="preserve">Company Logo Placeholder</t>
  </si>
  <si>
    <t xml:space="preserve">Logo embedded (picture)</t>
  </si>
  <si>
    <t xml:space="preserve">The Elite Development logo is embedded as a picture on Payslip_Print, Summary_Dashboard, Instructions, Settings and Monthly_Import. To replace it: right-click the picture → Change Picture.</t>
  </si>
  <si>
    <t xml:space="preserve">Salary Month (any date in the month)</t>
  </si>
  <si>
    <t xml:space="preserve">CHANGE THIS EACH MONTH. Drives Salary Month and Calendar Days for every rider (days in month are calculated automatically).</t>
  </si>
  <si>
    <t xml:space="preserve">Status Labels</t>
  </si>
  <si>
    <t xml:space="preserve">Meaning</t>
  </si>
  <si>
    <t xml:space="preserve">Payable salary with no deductions reducing the gross salary</t>
  </si>
  <si>
    <t xml:space="preserve">Positive final salary after deductions</t>
  </si>
  <si>
    <t xml:space="preserve">No payable salary remains and an amount is due from the rider</t>
  </si>
  <si>
    <t xml:space="preserve">Input is incomplete or violates a validation rule</t>
  </si>
  <si>
    <t xml:space="preserve">Rider completed zero orders in the month</t>
  </si>
  <si>
    <t xml:space="preserve">Contract Name</t>
  </si>
  <si>
    <t xml:space="preserve">rider_id</t>
  </si>
  <si>
    <t xml:space="preserve">is_active</t>
  </si>
  <si>
    <t xml:space="preserve">city_name</t>
  </si>
  <si>
    <t xml:space="preserve">rider_vehicle_type</t>
  </si>
  <si>
    <t xml:space="preserve">contract_start_date_local</t>
  </si>
  <si>
    <t xml:space="preserve">contract_end_date_local</t>
  </si>
  <si>
    <t xml:space="preserve">completed_orders</t>
  </si>
  <si>
    <t xml:space="preserve">total_monthly_working_hours</t>
  </si>
  <si>
    <t xml:space="preserve">working_hours</t>
  </si>
  <si>
    <t xml:space="preserve">fully_working_days</t>
  </si>
  <si>
    <t xml:space="preserve">city_monthly_flat_salary</t>
  </si>
  <si>
    <t xml:space="preserve">city_payment</t>
  </si>
  <si>
    <t xml:space="preserve">basic_rate</t>
  </si>
  <si>
    <t xml:space="preserve">declined_penalties_day_logic</t>
  </si>
  <si>
    <t xml:space="preserve">inactive_reason</t>
  </si>
  <si>
    <t xml:space="preserve">excused_absence_days</t>
  </si>
  <si>
    <t xml:space="preserve">missed_weekends</t>
  </si>
  <si>
    <t xml:space="preserve">missed_eom</t>
  </si>
  <si>
    <t xml:space="preserve">total_missed_days</t>
  </si>
  <si>
    <t xml:space="preserve">missed_days_after_allowance</t>
  </si>
  <si>
    <t xml:space="preserve">missed_days_penalty</t>
  </si>
  <si>
    <t xml:space="preserve">missed_days_penalty_logic</t>
  </si>
  <si>
    <t xml:space="preserve">segment</t>
  </si>
  <si>
    <t xml:space="preserve">segment_rate</t>
  </si>
  <si>
    <t xml:space="preserve">segment_payment</t>
  </si>
  <si>
    <t xml:space="preserve">manhattan_distance_payable</t>
  </si>
  <si>
    <t xml:space="preserve">distance_payment</t>
  </si>
  <si>
    <t xml:space="preserve">◀ PASTE AREA: keep the header in row 1, paste the new monthly export from A1. Clear old rows first (select row 2 downward → Delete). Up to 1,000 rows / columns A:BZ are read.</t>
  </si>
  <si>
    <t xml:space="preserve">nokhaba_tatweer_ftr</t>
  </si>
  <si>
    <t xml:space="preserve">Qp</t>
  </si>
  <si>
    <t xml:space="preserve">car</t>
  </si>
  <si>
    <t xml:space="preserve">Active</t>
  </si>
  <si>
    <t xml:space="preserve">Adjusted in basic payment</t>
  </si>
  <si>
    <t xml:space="preserve">E</t>
  </si>
  <si>
    <t xml:space="preserve">No missed days</t>
  </si>
  <si>
    <t xml:space="preserve">D</t>
  </si>
  <si>
    <t xml:space="preserve">500 per day penalty</t>
  </si>
  <si>
    <t xml:space="preserve">C</t>
  </si>
  <si>
    <r>
      <rPr>
        <b val="true"/>
        <sz val="11"/>
        <color rgb="FFFEFFF8"/>
        <rFont val="FreeSans"/>
        <family val="2"/>
      </rPr>
      <t xml:space="preserve">معرف المندوب </t>
    </r>
    <r>
      <rPr>
        <b val="true"/>
        <sz val="11"/>
        <color rgb="FFFEFFF8"/>
        <rFont val="Calibri"/>
        <family val="2"/>
        <charset val="1"/>
      </rPr>
      <t xml:space="preserve">- rider_id</t>
    </r>
  </si>
  <si>
    <r>
      <rPr>
        <b val="true"/>
        <sz val="11"/>
        <color rgb="FFFEFFF8"/>
        <rFont val="FreeSans"/>
        <family val="2"/>
      </rPr>
      <t xml:space="preserve">الطلبات المكتملة </t>
    </r>
    <r>
      <rPr>
        <b val="true"/>
        <sz val="11"/>
        <color rgb="FFFEFFF8"/>
        <rFont val="Calibri"/>
        <family val="2"/>
        <charset val="1"/>
      </rPr>
      <t xml:space="preserve">- completed_orders</t>
    </r>
  </si>
  <si>
    <r>
      <rPr>
        <b val="true"/>
        <sz val="11"/>
        <color rgb="FFFEFFF8"/>
        <rFont val="FreeSans"/>
        <family val="2"/>
      </rPr>
      <t xml:space="preserve">الدفعة الأساسية </t>
    </r>
    <r>
      <rPr>
        <b val="true"/>
        <sz val="11"/>
        <color rgb="FFFEFFF8"/>
        <rFont val="Calibri"/>
        <family val="2"/>
        <charset val="1"/>
      </rPr>
      <t xml:space="preserve">- basic_payment</t>
    </r>
  </si>
  <si>
    <r>
      <rPr>
        <b val="true"/>
        <sz val="11"/>
        <color rgb="FFFEFFF8"/>
        <rFont val="FreeSans"/>
        <family val="2"/>
      </rPr>
      <t xml:space="preserve">خصم الطلبات المتعددة </t>
    </r>
    <r>
      <rPr>
        <b val="true"/>
        <sz val="11"/>
        <color rgb="FFFEFFF8"/>
        <rFont val="Calibri"/>
        <family val="2"/>
        <charset val="1"/>
      </rPr>
      <t xml:space="preserve">- stacking_deduction</t>
    </r>
  </si>
  <si>
    <r>
      <rPr>
        <b val="true"/>
        <sz val="11"/>
        <color rgb="FFFEFFF8"/>
        <rFont val="FreeSans"/>
        <family val="2"/>
      </rPr>
      <t xml:space="preserve">غرامة الرفض اليومية </t>
    </r>
    <r>
      <rPr>
        <b val="true"/>
        <sz val="11"/>
        <color rgb="FFFEFFF8"/>
        <rFont val="Calibri"/>
        <family val="2"/>
        <charset val="1"/>
      </rPr>
      <t xml:space="preserve">- declined_penalties_day_logic</t>
    </r>
  </si>
  <si>
    <r>
      <rPr>
        <b val="true"/>
        <sz val="11"/>
        <color rgb="FFFEFFF8"/>
        <rFont val="FreeSans"/>
        <family val="2"/>
      </rPr>
      <t xml:space="preserve">غرامة التأخير </t>
    </r>
    <r>
      <rPr>
        <b val="true"/>
        <sz val="11"/>
        <color rgb="FFFEFFF8"/>
        <rFont val="Calibri"/>
        <family val="2"/>
        <charset val="1"/>
      </rPr>
      <t xml:space="preserve">- late_penalty</t>
    </r>
  </si>
  <si>
    <r>
      <rPr>
        <b val="true"/>
        <sz val="11"/>
        <color rgb="FFFEFFF8"/>
        <rFont val="FreeSans"/>
        <family val="2"/>
      </rPr>
      <t xml:space="preserve">غرامة عدم الحضور </t>
    </r>
    <r>
      <rPr>
        <b val="true"/>
        <sz val="11"/>
        <color rgb="FFFEFFF8"/>
        <rFont val="Calibri"/>
        <family val="2"/>
        <charset val="1"/>
      </rPr>
      <t xml:space="preserve">- no_show_penalty</t>
    </r>
  </si>
  <si>
    <r>
      <rPr>
        <b val="true"/>
        <sz val="11"/>
        <color rgb="FFFEFFF8"/>
        <rFont val="FreeSans"/>
        <family val="2"/>
      </rPr>
      <t xml:space="preserve">غرامة عدم الحضور للمدن الخاصة </t>
    </r>
    <r>
      <rPr>
        <b val="true"/>
        <sz val="11"/>
        <color rgb="FFFEFFF8"/>
        <rFont val="Calibri"/>
        <family val="2"/>
        <charset val="1"/>
      </rPr>
      <t xml:space="preserve">- no_show_penalty_special_cities</t>
    </r>
  </si>
  <si>
    <r>
      <rPr>
        <b val="true"/>
        <sz val="11"/>
        <color rgb="FFFEFFF8"/>
        <rFont val="FreeSans"/>
        <family val="2"/>
      </rPr>
      <t xml:space="preserve">غرامة معدل القبول اليومية </t>
    </r>
    <r>
      <rPr>
        <b val="true"/>
        <sz val="11"/>
        <color rgb="FFFEFFF8"/>
        <rFont val="Calibri"/>
        <family val="2"/>
        <charset val="1"/>
      </rPr>
      <t xml:space="preserve">- daily_acceptance_rate_penalty</t>
    </r>
  </si>
  <si>
    <r>
      <rPr>
        <b val="true"/>
        <sz val="11"/>
        <color rgb="FFFEFFF8"/>
        <rFont val="FreeSans"/>
        <family val="2"/>
      </rPr>
      <t xml:space="preserve">بدل المسافة </t>
    </r>
    <r>
      <rPr>
        <b val="true"/>
        <sz val="11"/>
        <color rgb="FFFEFFF8"/>
        <rFont val="Calibri"/>
        <family val="2"/>
        <charset val="1"/>
      </rPr>
      <t xml:space="preserve">- distance_payment</t>
    </r>
  </si>
  <si>
    <r>
      <rPr>
        <b val="true"/>
        <sz val="11"/>
        <color rgb="FFFEFFF8"/>
        <rFont val="FreeSans"/>
        <family val="2"/>
      </rPr>
      <t xml:space="preserve">غرامة الأيام الفائتة </t>
    </r>
    <r>
      <rPr>
        <b val="true"/>
        <sz val="11"/>
        <color rgb="FFFEFFF8"/>
        <rFont val="Calibri"/>
        <family val="2"/>
        <charset val="1"/>
      </rPr>
      <t xml:space="preserve">- missed_days_penalty</t>
    </r>
  </si>
  <si>
    <r>
      <rPr>
        <b val="true"/>
        <sz val="11"/>
        <color rgb="FFFEFFF8"/>
        <rFont val="FreeSans"/>
        <family val="2"/>
      </rPr>
      <t xml:space="preserve">بدل الفئات </t>
    </r>
    <r>
      <rPr>
        <b val="true"/>
        <sz val="11"/>
        <color rgb="FFFEFFF8"/>
        <rFont val="Calibri"/>
        <family val="2"/>
        <charset val="1"/>
      </rPr>
      <t xml:space="preserve">- segment_payment</t>
    </r>
  </si>
  <si>
    <r>
      <rPr>
        <b val="true"/>
        <sz val="11"/>
        <color rgb="FFFEFFF8"/>
        <rFont val="FreeSans"/>
        <family val="2"/>
      </rPr>
      <t xml:space="preserve">الدفع الأساسي للمندوب </t>
    </r>
    <r>
      <rPr>
        <b val="true"/>
        <sz val="11"/>
        <color rgb="FFFEFFF8"/>
        <rFont val="Calibri"/>
        <family val="2"/>
        <charset val="1"/>
      </rPr>
      <t xml:space="preserve">- rider_basic</t>
    </r>
  </si>
  <si>
    <r>
      <rPr>
        <b val="true"/>
        <sz val="11"/>
        <color rgb="FFFEFFF8"/>
        <rFont val="FreeSans"/>
        <family val="2"/>
      </rPr>
      <t xml:space="preserve">تقييم المندوب </t>
    </r>
    <r>
      <rPr>
        <b val="true"/>
        <sz val="11"/>
        <color rgb="FFFEFFF8"/>
        <rFont val="Calibri"/>
        <family val="2"/>
        <charset val="1"/>
      </rPr>
      <t xml:space="preserve">- rider_scoring</t>
    </r>
  </si>
  <si>
    <r>
      <rPr>
        <b val="true"/>
        <sz val="11"/>
        <color rgb="FFFEFFF8"/>
        <rFont val="FreeSans"/>
        <family val="2"/>
      </rPr>
      <t xml:space="preserve">محفظة المندوب </t>
    </r>
    <r>
      <rPr>
        <b val="true"/>
        <sz val="11"/>
        <color rgb="FFFEFFF8"/>
        <rFont val="Calibri"/>
        <family val="2"/>
        <charset val="1"/>
      </rPr>
      <t xml:space="preserve">- Rider Balance</t>
    </r>
  </si>
  <si>
    <t xml:space="preserve">Basic Payment (blank = default)</t>
  </si>
  <si>
    <t xml:space="preserve">Notes</t>
  </si>
  <si>
    <t xml:space="preserve">OPTIONAL. The salary engine works without this sheet: unknown riders show as 'Rider &lt;ID&gt;' with the default basic payment.
To add new riders: type under the last row (the table grows by itself) or copy the IDs listed in Monthly_Import → 'Items to review'.
Fill Rider Name for payslips, and Basic Payment only for riders on a different contract.</t>
  </si>
  <si>
    <t xml:space="preserve">Note / Reason</t>
  </si>
  <si>
    <t xml:space="preserve">OPTIONAL monthly extras, one line per deduction. Type under the last row – the table grows by itself.
Several lines for the same Rider ID are added together into 'Other Deductions' (car deduction, TGA fines, advances…) and the note appears on the payslip.
Clear the rows at the start of each month (leave the header and one row).</t>
  </si>
  <si>
    <t xml:space="preserve">Salary Month</t>
  </si>
  <si>
    <t xml:space="preserve">Basic Payment</t>
  </si>
  <si>
    <t xml:space="preserve">Calendar Days in Month</t>
  </si>
  <si>
    <r>
      <rPr>
        <b val="true"/>
        <sz val="11"/>
        <color rgb="FFFFFFFF"/>
        <rFont val="Calibri"/>
        <family val="2"/>
        <charset val="1"/>
      </rPr>
      <t xml:space="preserve">Rider Balance / </t>
    </r>
    <r>
      <rPr>
        <b val="true"/>
        <sz val="11"/>
        <color rgb="FFFFFFFF"/>
        <rFont val="FreeSans"/>
        <family val="2"/>
      </rPr>
      <t xml:space="preserve">محفظة المندوب</t>
    </r>
  </si>
  <si>
    <r>
      <rPr>
        <b val="true"/>
        <sz val="11"/>
        <color rgb="FFFFFFFF"/>
        <rFont val="Calibri"/>
        <family val="2"/>
        <charset val="1"/>
      </rPr>
      <t xml:space="preserve">stacking_deduction / </t>
    </r>
    <r>
      <rPr>
        <b val="true"/>
        <sz val="11"/>
        <color rgb="FFFFFFFF"/>
        <rFont val="FreeSans"/>
        <family val="2"/>
      </rPr>
      <t xml:space="preserve">خصم الطلبات المتعددة</t>
    </r>
  </si>
  <si>
    <t xml:space="preserve">Monthly Target Orders</t>
  </si>
  <si>
    <t xml:space="preserve">Rider Target Orders</t>
  </si>
  <si>
    <t xml:space="preserve">Base Order Rate</t>
  </si>
  <si>
    <t xml:space="preserve">Orders Counted at Base Rate</t>
  </si>
  <si>
    <t xml:space="preserve">Missing Orders</t>
  </si>
  <si>
    <t xml:space="preserve">Extra Orders</t>
  </si>
  <si>
    <t xml:space="preserve">Gross Salary Before Deductions</t>
  </si>
  <si>
    <t xml:space="preserve">Rider Balance</t>
  </si>
  <si>
    <t xml:space="preserve">stacking_deduction</t>
  </si>
  <si>
    <t xml:space="preserve">Total Deductions</t>
  </si>
  <si>
    <t xml:space="preserve">Negative Balance / Amount Due from Rider</t>
  </si>
  <si>
    <t xml:space="preserve">Payment Status</t>
  </si>
  <si>
    <t xml:space="preserve">Salary Before Other Deductions</t>
  </si>
  <si>
    <t xml:space="preserve">Total Amount Due from Rider</t>
  </si>
  <si>
    <t xml:space="preserve">Exception Reason</t>
  </si>
  <si>
    <t xml:space="preserve">Basic Salary for Target</t>
  </si>
  <si>
    <t xml:space="preserve">Source Row</t>
  </si>
  <si>
    <t xml:space="preserve">Key</t>
  </si>
  <si>
    <t xml:space="preserve">Month Key</t>
  </si>
  <si>
    <t xml:space="preserve">Exception Seq</t>
  </si>
  <si>
    <t xml:space="preserve">Selected Month Seq</t>
  </si>
  <si>
    <t xml:space="preserve">Month List (payslip)</t>
  </si>
  <si>
    <t xml:space="preserve">Month List (dashboard)</t>
  </si>
  <si>
    <t xml:space="preserve">Rider List (selected month)</t>
  </si>
  <si>
    <t xml:space="preserve">Rank Key (top 10)</t>
  </si>
  <si>
    <t xml:space="preserve">Helper sheet: one row per Salary_Calculation row, plus dropdown lists. Do not edit – all cells are formulas.</t>
  </si>
  <si>
    <r>
      <rPr>
        <b val="true"/>
        <sz val="18"/>
        <color rgb="FF2C3E50"/>
        <rFont val="Segoe UI"/>
        <family val="0"/>
        <charset val="1"/>
      </rPr>
      <t xml:space="preserve">Automated Rider Salary Workbook / </t>
    </r>
    <r>
      <rPr>
        <b val="true"/>
        <sz val="18"/>
        <color rgb="FF2C3E50"/>
        <rFont val="FreeSans"/>
        <family val="2"/>
      </rPr>
      <t xml:space="preserve">ملف آلي لحساب رواتب المندوبين</t>
    </r>
  </si>
  <si>
    <r>
      <rPr>
        <b val="true"/>
        <sz val="11"/>
        <color theme="1"/>
        <rFont val="Calibri"/>
        <family val="2"/>
        <charset val="1"/>
      </rPr>
      <t xml:space="preserve">Purpose / </t>
    </r>
    <r>
      <rPr>
        <b val="true"/>
        <sz val="11"/>
        <color theme="1"/>
        <rFont val="FreeSans"/>
        <family val="2"/>
      </rPr>
      <t xml:space="preserve">الغرض</t>
    </r>
  </si>
  <si>
    <t xml:space="preserve">Calculate rider salary, deductions, bonuses, payable salary, and amount due automatically.</t>
  </si>
  <si>
    <r>
      <rPr>
        <b val="true"/>
        <sz val="11"/>
        <color theme="1"/>
        <rFont val="Calibri"/>
        <family val="2"/>
        <charset val="1"/>
      </rPr>
      <t xml:space="preserve">Workflow / </t>
    </r>
    <r>
      <rPr>
        <b val="true"/>
        <sz val="11"/>
        <color theme="1"/>
        <rFont val="FreeSans"/>
        <family val="2"/>
      </rPr>
      <t xml:space="preserve">طريقة الاستخدام</t>
    </r>
  </si>
  <si>
    <t xml:space="preserve">MONTHLY: (1) Settings B13 = new month. (2) Paste new FTR export into Paste_FTR and RLVL export into Paste_RLVL (header in row 1). (3) Optional extra deductions in Adjustments. (4) Check the READY banner on Monthly_Import. (5) Read Summary_Dashboard / print Payslip_Print. Full steps are on Monthly_Import.</t>
  </si>
  <si>
    <r>
      <rPr>
        <b val="true"/>
        <sz val="11"/>
        <color theme="1"/>
        <rFont val="Calibri"/>
        <family val="2"/>
        <charset val="1"/>
      </rPr>
      <t xml:space="preserve">Rate method / </t>
    </r>
    <r>
      <rPr>
        <b val="true"/>
        <sz val="11"/>
        <color theme="1"/>
        <rFont val="FreeSans"/>
        <family val="2"/>
      </rPr>
      <t xml:space="preserve">طريقة السعر</t>
    </r>
  </si>
  <si>
    <t xml:space="preserve">Exact rate = Basic Payment / 450. Fixed rate = 4.44 SAR per order. The selected method applies consistently.</t>
  </si>
  <si>
    <r>
      <rPr>
        <b val="true"/>
        <sz val="11"/>
        <color theme="1"/>
        <rFont val="Calibri"/>
        <family val="2"/>
        <charset val="1"/>
      </rPr>
      <t xml:space="preserve">Target logic / </t>
    </r>
    <r>
      <rPr>
        <b val="true"/>
        <sz val="11"/>
        <color theme="1"/>
        <rFont val="FreeSans"/>
        <family val="2"/>
      </rPr>
      <t xml:space="preserve">منطق الهدف</t>
    </r>
  </si>
  <si>
    <t xml:space="preserve">Monthly Target = 450 / 30 × calendar days. Rider Target = 450 / 30 × working days. Decimal targets are retained internally and displayed to 2 decimals.</t>
  </si>
  <si>
    <r>
      <rPr>
        <b val="true"/>
        <sz val="11"/>
        <color theme="1"/>
        <rFont val="Calibri"/>
        <family val="2"/>
        <charset val="1"/>
      </rPr>
      <t xml:space="preserve">Below target / </t>
    </r>
    <r>
      <rPr>
        <b val="true"/>
        <sz val="11"/>
        <color theme="1"/>
        <rFont val="FreeSans"/>
        <family val="2"/>
      </rPr>
      <t xml:space="preserve">أقل من الهدف</t>
    </r>
  </si>
  <si>
    <t xml:space="preserve">Missing Orders = MAX(Rider Target − Completed Orders, 0). Missing-order deduction = Missing Orders × 7. Negative results are shown as amount due.</t>
  </si>
  <si>
    <r>
      <rPr>
        <b val="true"/>
        <sz val="11"/>
        <color theme="1"/>
        <rFont val="Calibri"/>
        <family val="2"/>
        <charset val="1"/>
      </rPr>
      <t xml:space="preserve">Above target / </t>
    </r>
    <r>
      <rPr>
        <b val="true"/>
        <sz val="11"/>
        <color theme="1"/>
        <rFont val="FreeSans"/>
        <family val="2"/>
      </rPr>
      <t xml:space="preserve">أعلى من الهدف</t>
    </r>
  </si>
  <si>
    <t xml:space="preserve">Extra Orders = MAX(Completed Orders − Rider Target, 0). Extra-order bonus = Extra Orders × 10.</t>
  </si>
  <si>
    <r>
      <rPr>
        <b val="true"/>
        <sz val="11"/>
        <color theme="1"/>
        <rFont val="Calibri"/>
        <family val="2"/>
        <charset val="1"/>
      </rPr>
      <t xml:space="preserve">Deductions / </t>
    </r>
    <r>
      <rPr>
        <b val="true"/>
        <sz val="11"/>
        <color theme="1"/>
        <rFont val="FreeSans"/>
        <family val="2"/>
      </rPr>
      <t xml:space="preserve">الخصومات</t>
    </r>
  </si>
  <si>
    <t xml:space="preserve">missed_days_penalty + Rider Balance + stacking_deduction + Other Deductions. Each item is shown separately.</t>
  </si>
  <si>
    <r>
      <rPr>
        <b val="true"/>
        <sz val="11"/>
        <color theme="1"/>
        <rFont val="Calibri"/>
        <family val="2"/>
        <charset val="1"/>
      </rPr>
      <t xml:space="preserve">Statuses / </t>
    </r>
    <r>
      <rPr>
        <b val="true"/>
        <sz val="11"/>
        <color theme="1"/>
        <rFont val="FreeSans"/>
        <family val="2"/>
      </rPr>
      <t xml:space="preserve">الحالات</t>
    </r>
  </si>
  <si>
    <t xml:space="preserve">Paid in Full; Paid After Deductions; No Salary – Amount Due from Rider; No Orders; Review Required.</t>
  </si>
  <si>
    <r>
      <rPr>
        <b val="true"/>
        <sz val="11"/>
        <color theme="1"/>
        <rFont val="Calibri"/>
        <family val="2"/>
        <charset val="1"/>
      </rPr>
      <t xml:space="preserve">Review rules / </t>
    </r>
    <r>
      <rPr>
        <b val="true"/>
        <sz val="11"/>
        <color theme="1"/>
        <rFont val="FreeSans"/>
        <family val="2"/>
      </rPr>
      <t xml:space="preserve">قواعد المراجعة</t>
    </r>
  </si>
  <si>
    <t xml:space="preserve">Review Required is used for blanks, invalid calendar days, working days outside 0–calendar days, negative orders, or non-positive Basic Payment.</t>
  </si>
  <si>
    <r>
      <rPr>
        <b val="true"/>
        <sz val="11"/>
        <color theme="1"/>
        <rFont val="Calibri"/>
        <family val="2"/>
        <charset val="1"/>
      </rPr>
      <t xml:space="preserve">Source seed / </t>
    </r>
    <r>
      <rPr>
        <b val="true"/>
        <sz val="11"/>
        <color theme="1"/>
        <rFont val="FreeSans"/>
        <family val="2"/>
      </rPr>
      <t xml:space="preserve">مصدر البيانات</t>
    </r>
  </si>
  <si>
    <t xml:space="preserve">Rider_Input is now filled automatically: IDs, orders and working days from Paste_FTR; missed-days penalty, rider balance and stacking deduction from Paste_RLVL (absolute values); names/basic payment from Rider_Master (optional); other deductions from Adjustments. New riders appear automatically.</t>
  </si>
  <si>
    <r>
      <rPr>
        <b val="true"/>
        <sz val="11"/>
        <color theme="1"/>
        <rFont val="Calibri"/>
        <family val="2"/>
        <charset val="1"/>
      </rPr>
      <t xml:space="preserve">Example mismatch / </t>
    </r>
    <r>
      <rPr>
        <b val="true"/>
        <sz val="11"/>
        <color theme="1"/>
        <rFont val="FreeSans"/>
        <family val="2"/>
      </rPr>
      <t xml:space="preserve">اختلاف المثال</t>
    </r>
  </si>
  <si>
    <t xml:space="preserve">Example 3 calculates to 2,719.48 SAR after deductions of 112 and 93.12. The written 2,718.88 result is flagged on Summary_Dashboard for review.</t>
  </si>
  <si>
    <r>
      <rPr>
        <b val="true"/>
        <sz val="11"/>
        <color theme="1"/>
        <rFont val="Calibri"/>
        <family val="2"/>
        <charset val="1"/>
      </rPr>
      <t xml:space="preserve">Expansion / </t>
    </r>
    <r>
      <rPr>
        <b val="true"/>
        <sz val="11"/>
        <color theme="1"/>
        <rFont val="FreeSans"/>
        <family val="2"/>
      </rPr>
      <t xml:space="preserve">التوسع</t>
    </r>
  </si>
  <si>
    <t xml:space="preserve">Rider_Input and Salary_Calculation include 200 ready-to-fill slots; the Excel Tables can be extended and formulas are visible for audit.</t>
  </si>
  <si>
    <r>
      <rPr>
        <b val="true"/>
        <sz val="11"/>
        <color theme="1"/>
        <rFont val="Calibri"/>
        <family val="2"/>
        <charset val="1"/>
      </rPr>
      <t xml:space="preserve">Payslips / </t>
    </r>
    <r>
      <rPr>
        <b val="true"/>
        <sz val="11"/>
        <color theme="1"/>
        <rFont val="FreeSans"/>
        <family val="2"/>
      </rPr>
      <t xml:space="preserve">القسائم</t>
    </r>
  </si>
  <si>
    <t xml:space="preserve">Open Payslip_Print, choose the Salary Month first, then the Rider ID (the rider list shows only riders in that month). Print or Save as PDF – the print area is set to one A4 page.</t>
  </si>
  <si>
    <r>
      <rPr>
        <b val="true"/>
        <sz val="11"/>
        <color theme="1"/>
        <rFont val="Calibri"/>
        <family val="2"/>
        <charset val="1"/>
      </rPr>
      <t xml:space="preserve">Adding riders / </t>
    </r>
    <r>
      <rPr>
        <b val="true"/>
        <sz val="11"/>
        <color theme="1"/>
        <rFont val="FreeSans"/>
        <family val="2"/>
      </rPr>
      <t xml:space="preserve">إضافة مندوبين</t>
    </r>
  </si>
  <si>
    <t xml:space="preserve">Type into the next empty row of Rider_Input (500 rows prepared). Salary_Calculation and Payslip_Data are pre-filled with formulas for 500 rows. To go beyond 500, extend all three tables by dragging the table handle down and fill the formulas down.</t>
  </si>
  <si>
    <r>
      <rPr>
        <b val="true"/>
        <sz val="11"/>
        <color theme="1"/>
        <rFont val="Calibri"/>
        <family val="2"/>
        <charset val="1"/>
      </rPr>
      <t xml:space="preserve">Rounding / </t>
    </r>
    <r>
      <rPr>
        <b val="true"/>
        <sz val="11"/>
        <color theme="1"/>
        <rFont val="FreeSans"/>
        <family val="2"/>
      </rPr>
      <t xml:space="preserve">التقريب</t>
    </r>
  </si>
  <si>
    <t xml:space="preserve">Rates, targets and earnings keep full decimal precision. Final Salary, Amount Due and Total Amount Due are rounded to 2 decimals (halalas) because they are the amounts actually paid or collected.</t>
  </si>
  <si>
    <r>
      <rPr>
        <b val="true"/>
        <sz val="11"/>
        <color theme="1"/>
        <rFont val="Calibri"/>
        <family val="2"/>
        <charset val="1"/>
      </rPr>
      <t xml:space="preserve">Extra checks / </t>
    </r>
    <r>
      <rPr>
        <b val="true"/>
        <sz val="11"/>
        <color theme="1"/>
        <rFont val="FreeSans"/>
        <family val="2"/>
      </rPr>
      <t xml:space="preserve">فحوصات إضافية</t>
    </r>
  </si>
  <si>
    <t xml:space="preserve">Besides the rules above, a record is also flagged Review Required for duplicate Rider ID + month, negative deductions, or calendar days that do not match the real days of that month.</t>
  </si>
  <si>
    <r>
      <rPr>
        <b val="true"/>
        <sz val="11"/>
        <color theme="1"/>
        <rFont val="Calibri"/>
        <family val="2"/>
        <charset val="1"/>
      </rPr>
      <t xml:space="preserve">Example checks / </t>
    </r>
    <r>
      <rPr>
        <b val="true"/>
        <sz val="11"/>
        <color theme="1"/>
        <rFont val="FreeSans"/>
        <family val="2"/>
      </rPr>
      <t xml:space="preserve">فحص الأمثلة</t>
    </r>
  </si>
  <si>
    <t xml:space="preserve">Summary_Dashboard (bottom) recomputes the three worked examples. Example 3 correctly gives 2,719.48; the 2,718.88 figure is flagged as a mismatch.</t>
  </si>
  <si>
    <r>
      <rPr>
        <b val="true"/>
        <sz val="11"/>
        <color theme="1"/>
        <rFont val="Calibri"/>
        <family val="2"/>
        <charset val="1"/>
      </rPr>
      <t xml:space="preserve">Colour code / </t>
    </r>
    <r>
      <rPr>
        <b val="true"/>
        <sz val="11"/>
        <color theme="1"/>
        <rFont val="FreeSans"/>
        <family val="2"/>
      </rPr>
      <t xml:space="preserve">الألوان</t>
    </r>
  </si>
  <si>
    <t xml:space="preserve">Yellow = selectors/inputs, navy = pulled inputs, teal = calculations, red = deductions and amounts due, green = payable salary.</t>
  </si>
  <si>
    <r>
      <rPr>
        <b val="true"/>
        <sz val="11"/>
        <color rgb="FFFEFFF8"/>
        <rFont val="FreeSans"/>
        <family val="2"/>
      </rPr>
      <t xml:space="preserve">حالة ضريبة القيمة المضافة </t>
    </r>
    <r>
      <rPr>
        <b val="true"/>
        <sz val="11"/>
        <color rgb="FFFEFFF8"/>
        <rFont val="Calibri"/>
        <family val="2"/>
        <charset val="1"/>
      </rPr>
      <t xml:space="preserve">- VAT Status</t>
    </r>
  </si>
  <si>
    <r>
      <rPr>
        <b val="true"/>
        <sz val="11"/>
        <color rgb="FFFEFFF8"/>
        <rFont val="FreeSans"/>
        <family val="2"/>
      </rPr>
      <t xml:space="preserve">الرقم الضريبي </t>
    </r>
    <r>
      <rPr>
        <b val="true"/>
        <sz val="11"/>
        <color rgb="FFFEFFF8"/>
        <rFont val="Calibri"/>
        <family val="2"/>
        <charset val="1"/>
      </rPr>
      <t xml:space="preserve">- VAT No.</t>
    </r>
  </si>
  <si>
    <r>
      <rPr>
        <b val="true"/>
        <sz val="11"/>
        <color rgb="FFFEFFF8"/>
        <rFont val="FreeSans"/>
        <family val="2"/>
      </rPr>
      <t xml:space="preserve">بدل الفئات</t>
    </r>
    <r>
      <rPr>
        <b val="true"/>
        <sz val="11"/>
        <color rgb="FFFEFFF8"/>
        <rFont val="Calibri"/>
        <family val="2"/>
        <charset val="1"/>
      </rPr>
      <t xml:space="preserve">- segment_payment</t>
    </r>
  </si>
  <si>
    <r>
      <rPr>
        <b val="true"/>
        <sz val="11"/>
        <color rgb="FFFEFFF8"/>
        <rFont val="FreeSans"/>
        <family val="2"/>
      </rPr>
      <t xml:space="preserve">المبلغ قبل الضريبة </t>
    </r>
    <r>
      <rPr>
        <b val="true"/>
        <sz val="11"/>
        <color rgb="FFFEFFF8"/>
        <rFont val="Calibri"/>
        <family val="2"/>
        <charset val="1"/>
      </rPr>
      <t xml:space="preserve">- Amount Excl. VAT</t>
    </r>
  </si>
  <si>
    <r>
      <rPr>
        <b val="true"/>
        <sz val="11"/>
        <color rgb="FFFEFFF8"/>
        <rFont val="FreeSans"/>
        <family val="2"/>
      </rPr>
      <t xml:space="preserve">مبلغ القيمة المضافة </t>
    </r>
    <r>
      <rPr>
        <b val="true"/>
        <sz val="11"/>
        <color rgb="FFFEFFF8"/>
        <rFont val="Calibri"/>
        <family val="2"/>
        <charset val="1"/>
      </rPr>
      <t xml:space="preserve">- VAT</t>
    </r>
  </si>
  <si>
    <r>
      <rPr>
        <b val="true"/>
        <sz val="11"/>
        <color rgb="FFFEFFF8"/>
        <rFont val="FreeSans"/>
        <family val="2"/>
      </rPr>
      <t xml:space="preserve">المبلغ شامل الضريبة </t>
    </r>
    <r>
      <rPr>
        <b val="true"/>
        <sz val="11"/>
        <color rgb="FFFEFFF8"/>
        <rFont val="Calibri"/>
        <family val="2"/>
        <charset val="1"/>
      </rPr>
      <t xml:space="preserve">- Amount Incl. VAT</t>
    </r>
  </si>
  <si>
    <t xml:space="preserve">الاستعلام الحكومي</t>
  </si>
  <si>
    <r>
      <rPr>
        <b val="true"/>
        <sz val="11"/>
        <color rgb="FFFEFFF8"/>
        <rFont val="FreeSans"/>
        <family val="2"/>
      </rPr>
      <t xml:space="preserve">خصم السيارة أغسطس </t>
    </r>
    <r>
      <rPr>
        <b val="true"/>
        <sz val="11"/>
        <color rgb="FFFEFFF8"/>
        <rFont val="Calibri"/>
        <family val="2"/>
        <charset val="1"/>
      </rPr>
      <t xml:space="preserve">2026 - Car Deduction Aug 26</t>
    </r>
  </si>
  <si>
    <r>
      <rPr>
        <b val="true"/>
        <sz val="11"/>
        <color rgb="FFFEFFF8"/>
        <rFont val="FreeSans"/>
        <family val="2"/>
      </rPr>
      <t xml:space="preserve">غرامات الهيئة العامة للنقل أغسطس </t>
    </r>
    <r>
      <rPr>
        <b val="true"/>
        <sz val="11"/>
        <color rgb="FFFEFFF8"/>
        <rFont val="Calibri"/>
        <family val="2"/>
        <charset val="1"/>
      </rPr>
      <t xml:space="preserve">2026 - TGA Aug 2026</t>
    </r>
  </si>
  <si>
    <r>
      <rPr>
        <b val="true"/>
        <sz val="11"/>
        <color rgb="FFFEFFF8"/>
        <rFont val="FreeSans"/>
        <family val="2"/>
      </rPr>
      <t xml:space="preserve">إجمالي الخصومات </t>
    </r>
    <r>
      <rPr>
        <b val="true"/>
        <sz val="11"/>
        <color rgb="FFFEFFF8"/>
        <rFont val="Calibri"/>
        <family val="2"/>
        <charset val="1"/>
      </rPr>
      <t xml:space="preserve">- Total Deduction</t>
    </r>
  </si>
  <si>
    <r>
      <rPr>
        <b val="true"/>
        <sz val="11"/>
        <color rgb="FFFEFFF8"/>
        <rFont val="FreeSans"/>
        <family val="2"/>
      </rPr>
      <t xml:space="preserve">صافي المستحق </t>
    </r>
    <r>
      <rPr>
        <b val="true"/>
        <sz val="11"/>
        <color rgb="FFFEFFF8"/>
        <rFont val="Calibri"/>
        <family val="2"/>
        <charset val="1"/>
      </rPr>
      <t xml:space="preserve">FTR - Net FTR</t>
    </r>
  </si>
  <si>
    <t xml:space="preserve">Yes</t>
  </si>
  <si>
    <t xml:space="preserve">Car Name</t>
  </si>
  <si>
    <t xml:space="preserve">Car Plate No</t>
  </si>
  <si>
    <t xml:space="preserve">Amount</t>
  </si>
</sst>
</file>

<file path=xl/styles.xml><?xml version="1.0" encoding="utf-8"?>
<styleSheet xmlns="http://schemas.openxmlformats.org/spreadsheetml/2006/main">
  <numFmts count="15">
    <numFmt numFmtId="164" formatCode="General"/>
    <numFmt numFmtId="165" formatCode="mmmm\ yyyy"/>
    <numFmt numFmtId="166" formatCode="yyyy\-mm\-dd"/>
    <numFmt numFmtId="167" formatCode="0"/>
    <numFmt numFmtId="168" formatCode="&quot;SAR &quot;#,##0.00"/>
    <numFmt numFmtId="169" formatCode="#,##0"/>
    <numFmt numFmtId="170" formatCode="#,##0.00"/>
    <numFmt numFmtId="171" formatCode="0%"/>
    <numFmt numFmtId="172" formatCode="General"/>
    <numFmt numFmtId="173" formatCode="mmm\ yyyy"/>
    <numFmt numFmtId="174" formatCode="0.0000"/>
    <numFmt numFmtId="175" formatCode="0.00"/>
    <numFmt numFmtId="176" formatCode="#,##0.00;[RED]\-#,##0.00"/>
    <numFmt numFmtId="177" formatCode="yyyy\-mm\-dd\ hh:mm:ss"/>
    <numFmt numFmtId="178" formatCode="0.0000000"/>
  </numFmts>
  <fonts count="92">
    <font>
      <sz val="11"/>
      <color theme="1"/>
      <name val="Calibri"/>
      <family val="2"/>
      <charset val="1"/>
    </font>
    <font>
      <sz val="10"/>
      <name val="Arial"/>
      <family val="0"/>
    </font>
    <font>
      <sz val="10"/>
      <name val="Arial"/>
      <family val="0"/>
    </font>
    <font>
      <sz val="10"/>
      <name val="Arial"/>
      <family val="0"/>
    </font>
    <font>
      <b val="true"/>
      <sz val="26"/>
      <color rgb="FF2C3E50"/>
      <name val="Segoe UI"/>
      <family val="0"/>
      <charset val="1"/>
    </font>
    <font>
      <b val="true"/>
      <sz val="26"/>
      <color rgb="FF2C3E50"/>
      <name val="FreeSans"/>
      <family val="2"/>
    </font>
    <font>
      <b val="true"/>
      <sz val="11"/>
      <color rgb="FF2F7DC4"/>
      <name val="Segoe UI"/>
      <family val="0"/>
      <charset val="1"/>
    </font>
    <font>
      <b val="true"/>
      <sz val="9"/>
      <color rgb="FF2C3E50"/>
      <name val="Segoe UI"/>
      <family val="0"/>
      <charset val="1"/>
    </font>
    <font>
      <b val="true"/>
      <sz val="9"/>
      <color rgb="FF2C3E50"/>
      <name val="FreeSans"/>
      <family val="2"/>
    </font>
    <font>
      <b val="true"/>
      <sz val="12"/>
      <color rgb="FF0000FF"/>
      <name val="Segoe UI"/>
      <family val="0"/>
      <charset val="1"/>
    </font>
    <font>
      <i val="true"/>
      <sz val="8"/>
      <color rgb="FF6B7A8C"/>
      <name val="Segoe UI"/>
      <family val="0"/>
      <charset val="1"/>
    </font>
    <font>
      <sz val="8"/>
      <color rgb="FF6B7A8C"/>
      <name val="Segoe UI"/>
      <family val="0"/>
      <charset val="1"/>
    </font>
    <font>
      <b val="true"/>
      <sz val="8"/>
      <color rgb="FF6B7A8C"/>
      <name val="Segoe UI"/>
      <family val="0"/>
      <charset val="1"/>
    </font>
    <font>
      <b val="true"/>
      <sz val="8"/>
      <color rgb="FF6B7A8C"/>
      <name val="FreeSans"/>
      <family val="2"/>
    </font>
    <font>
      <b val="true"/>
      <sz val="24"/>
      <color rgb="FF2F7DC4"/>
      <name val="Segoe UI"/>
      <family val="0"/>
      <charset val="1"/>
    </font>
    <font>
      <b val="true"/>
      <sz val="24"/>
      <color rgb="FFC62828"/>
      <name val="Segoe UI"/>
      <family val="0"/>
      <charset val="1"/>
    </font>
    <font>
      <b val="true"/>
      <sz val="24"/>
      <color rgb="FF1E8E4E"/>
      <name val="Segoe UI"/>
      <family val="0"/>
      <charset val="1"/>
    </font>
    <font>
      <sz val="8.5"/>
      <color rgb="FF6B7A8C"/>
      <name val="Segoe UI"/>
      <family val="0"/>
      <charset val="1"/>
    </font>
    <font>
      <b val="true"/>
      <sz val="24"/>
      <color rgb="FFF47C20"/>
      <name val="Segoe UI"/>
      <family val="0"/>
      <charset val="1"/>
    </font>
    <font>
      <b val="true"/>
      <sz val="10"/>
      <color rgb="FF1E8E4E"/>
      <name val="Segoe UI"/>
      <family val="0"/>
      <charset val="1"/>
    </font>
    <font>
      <b val="true"/>
      <sz val="10"/>
      <color rgb="FF2F7DC4"/>
      <name val="Segoe UI"/>
      <family val="0"/>
      <charset val="1"/>
    </font>
    <font>
      <b val="true"/>
      <sz val="10"/>
      <color rgb="FF2F7DC4"/>
      <name val="FreeSans"/>
      <family val="2"/>
    </font>
    <font>
      <b val="true"/>
      <sz val="10"/>
      <color rgb="FFF47C20"/>
      <name val="Segoe UI"/>
      <family val="0"/>
      <charset val="1"/>
    </font>
    <font>
      <b val="true"/>
      <sz val="10"/>
      <color rgb="FFF47C20"/>
      <name val="FreeSans"/>
      <family val="2"/>
    </font>
    <font>
      <b val="true"/>
      <sz val="10"/>
      <color rgb="FF2C3E50"/>
      <name val="Segoe UI"/>
      <family val="0"/>
      <charset val="1"/>
    </font>
    <font>
      <b val="true"/>
      <sz val="10"/>
      <color rgb="FF2C3E50"/>
      <name val="FreeSans"/>
      <family val="2"/>
    </font>
    <font>
      <b val="true"/>
      <sz val="10"/>
      <color rgb="FF1E8E4E"/>
      <name val="FreeSans"/>
      <family val="2"/>
    </font>
    <font>
      <b val="true"/>
      <sz val="8.5"/>
      <color rgb="FF6B7A8C"/>
      <name val="Segoe UI"/>
      <family val="0"/>
      <charset val="1"/>
    </font>
    <font>
      <sz val="7"/>
      <color rgb="FFBFBFBF"/>
      <name val="Segoe UI"/>
      <family val="0"/>
      <charset val="1"/>
    </font>
    <font>
      <sz val="9.5"/>
      <color rgb="FF2C3E50"/>
      <name val="Segoe UI"/>
      <family val="0"/>
      <charset val="1"/>
    </font>
    <font>
      <sz val="9.5"/>
      <color rgb="FF6B7A8C"/>
      <name val="Segoe UI"/>
      <family val="0"/>
      <charset val="1"/>
    </font>
    <font>
      <b val="true"/>
      <sz val="9.5"/>
      <color rgb="FF6B7A8C"/>
      <name val="Segoe UI"/>
      <family val="0"/>
      <charset val="1"/>
    </font>
    <font>
      <b val="true"/>
      <sz val="9.5"/>
      <color rgb="FF1E8E4E"/>
      <name val="Segoe UI"/>
      <family val="0"/>
      <charset val="1"/>
    </font>
    <font>
      <b val="true"/>
      <sz val="10"/>
      <color rgb="FFC62828"/>
      <name val="Segoe UI"/>
      <family val="0"/>
      <charset val="1"/>
    </font>
    <font>
      <b val="true"/>
      <sz val="10"/>
      <color rgb="FFC62828"/>
      <name val="FreeSans"/>
      <family val="2"/>
    </font>
    <font>
      <b val="true"/>
      <sz val="9"/>
      <color rgb="FFC62828"/>
      <name val="Segoe UI"/>
      <family val="0"/>
      <charset val="1"/>
    </font>
    <font>
      <b val="true"/>
      <sz val="8.5"/>
      <color rgb="FFFFFFFF"/>
      <name val="Segoe UI"/>
      <family val="0"/>
      <charset val="1"/>
    </font>
    <font>
      <b val="true"/>
      <sz val="8.5"/>
      <color rgb="FFFFFFFF"/>
      <name val="FreeSans"/>
      <family val="2"/>
    </font>
    <font>
      <sz val="9"/>
      <color rgb="FF6B7A8C"/>
      <name val="Segoe UI"/>
      <family val="0"/>
      <charset val="1"/>
    </font>
    <font>
      <sz val="9"/>
      <color rgb="FF2C3E50"/>
      <name val="Segoe UI"/>
      <family val="0"/>
      <charset val="1"/>
    </font>
    <font>
      <b val="true"/>
      <sz val="8"/>
      <color rgb="FFFFFFFF"/>
      <name val="Segoe UI"/>
      <family val="0"/>
      <charset val="1"/>
    </font>
    <font>
      <sz val="9"/>
      <color rgb="FF0000FF"/>
      <name val="Segoe UI"/>
      <family val="0"/>
      <charset val="1"/>
    </font>
    <font>
      <i val="true"/>
      <sz val="8.5"/>
      <color rgb="FFC62828"/>
      <name val="Segoe UI"/>
      <family val="0"/>
      <charset val="1"/>
    </font>
    <font>
      <sz val="10"/>
      <color rgb="FF000000"/>
      <name val="Calibri"/>
      <family val="2"/>
    </font>
    <font>
      <b val="true"/>
      <sz val="9"/>
      <color rgb="FF6B7A8C"/>
      <name val="Segoe UI"/>
      <family val="0"/>
      <charset val="1"/>
    </font>
    <font>
      <b val="true"/>
      <sz val="9"/>
      <color rgb="FF6B7A8C"/>
      <name val="FreeSans"/>
      <family val="2"/>
    </font>
    <font>
      <b val="true"/>
      <sz val="24"/>
      <color rgb="FF2C3E50"/>
      <name val="Segoe UI"/>
      <family val="0"/>
      <charset val="1"/>
    </font>
    <font>
      <b val="true"/>
      <sz val="24"/>
      <color rgb="FF2C3E50"/>
      <name val="FreeSans"/>
      <family val="2"/>
    </font>
    <font>
      <sz val="10"/>
      <color rgb="FF6B7A8C"/>
      <name val="Segoe UI"/>
      <family val="0"/>
      <charset val="1"/>
    </font>
    <font>
      <b val="true"/>
      <sz val="18"/>
      <color rgb="FF2C3E50"/>
      <name val="Segoe UI"/>
      <family val="0"/>
      <charset val="1"/>
    </font>
    <font>
      <b val="true"/>
      <sz val="13"/>
      <color rgb="FFFFFFFF"/>
      <name val="Segoe UI"/>
      <family val="0"/>
      <charset val="1"/>
    </font>
    <font>
      <b val="true"/>
      <sz val="7.5"/>
      <color rgb="FF6B7A8C"/>
      <name val="Segoe UI"/>
      <family val="0"/>
      <charset val="1"/>
    </font>
    <font>
      <b val="true"/>
      <sz val="7.5"/>
      <color rgb="FF6B7A8C"/>
      <name val="FreeSans"/>
      <family val="2"/>
    </font>
    <font>
      <b val="true"/>
      <sz val="22"/>
      <color rgb="FF2F7DC4"/>
      <name val="Segoe UI"/>
      <family val="0"/>
      <charset val="1"/>
    </font>
    <font>
      <b val="true"/>
      <sz val="22"/>
      <color rgb="FFF47C20"/>
      <name val="Segoe UI"/>
      <family val="0"/>
      <charset val="1"/>
    </font>
    <font>
      <b val="true"/>
      <sz val="22"/>
      <color rgb="FF1E8E4E"/>
      <name val="Segoe UI"/>
      <family val="0"/>
      <charset val="1"/>
    </font>
    <font>
      <b val="true"/>
      <sz val="22"/>
      <color rgb="FF2C3E50"/>
      <name val="Segoe UI"/>
      <family val="0"/>
      <charset val="1"/>
    </font>
    <font>
      <sz val="9.5"/>
      <color rgb="FF2C3E50"/>
      <name val="FreeSans"/>
      <family val="2"/>
    </font>
    <font>
      <b val="true"/>
      <sz val="10.5"/>
      <color rgb="FF2C3E50"/>
      <name val="Segoe UI"/>
      <family val="0"/>
      <charset val="1"/>
    </font>
    <font>
      <b val="true"/>
      <sz val="10.5"/>
      <color rgb="FFC62828"/>
      <name val="Segoe UI"/>
      <family val="0"/>
      <charset val="1"/>
    </font>
    <font>
      <b val="true"/>
      <sz val="10.5"/>
      <color rgb="FF1E8E4E"/>
      <name val="Segoe UI"/>
      <family val="0"/>
      <charset val="1"/>
    </font>
    <font>
      <b val="true"/>
      <sz val="9.5"/>
      <color rgb="FF2C3E50"/>
      <name val="Segoe UI"/>
      <family val="0"/>
      <charset val="1"/>
    </font>
    <font>
      <b val="true"/>
      <sz val="9.5"/>
      <color rgb="FF2C3E50"/>
      <name val="FreeSans"/>
      <family val="2"/>
    </font>
    <font>
      <b val="true"/>
      <sz val="9"/>
      <color rgb="FFFFFFFF"/>
      <name val="Segoe UI"/>
      <family val="0"/>
      <charset val="1"/>
    </font>
    <font>
      <b val="true"/>
      <sz val="9"/>
      <color rgb="FFFFFFFF"/>
      <name val="FreeSans"/>
      <family val="2"/>
    </font>
    <font>
      <b val="true"/>
      <sz val="26"/>
      <color rgb="FFFFFFFF"/>
      <name val="Segoe UI"/>
      <family val="0"/>
      <charset val="1"/>
    </font>
    <font>
      <sz val="8.5"/>
      <color rgb="FFFFFFFF"/>
      <name val="Segoe UI"/>
      <family val="0"/>
      <charset val="1"/>
    </font>
    <font>
      <b val="true"/>
      <sz val="8.5"/>
      <color rgb="FF6B7A8C"/>
      <name val="FreeSans"/>
      <family val="2"/>
    </font>
    <font>
      <sz val="8"/>
      <color rgb="FF6B7A8C"/>
      <name val="FreeSans"/>
      <family val="2"/>
    </font>
    <font>
      <b val="true"/>
      <sz val="16"/>
      <color rgb="FF2C3E50"/>
      <name val="Segoe UI"/>
      <family val="0"/>
      <charset val="1"/>
    </font>
    <font>
      <b val="true"/>
      <sz val="16"/>
      <color rgb="FF2C3E50"/>
      <name val="FreeSans"/>
      <family val="2"/>
    </font>
    <font>
      <sz val="11"/>
      <name val="Calibri"/>
      <family val="0"/>
      <charset val="1"/>
    </font>
    <font>
      <i val="true"/>
      <sz val="11"/>
      <color rgb="FF7F7F7F"/>
      <name val="Calibri"/>
      <family val="0"/>
      <charset val="1"/>
    </font>
    <font>
      <b val="true"/>
      <sz val="11"/>
      <color rgb="FFFFFFFF"/>
      <name val="Calibri"/>
      <family val="0"/>
      <charset val="1"/>
    </font>
    <font>
      <sz val="9"/>
      <name val="Calibri"/>
      <family val="0"/>
      <charset val="1"/>
    </font>
    <font>
      <b val="true"/>
      <sz val="13"/>
      <name val="Calibri"/>
      <family val="0"/>
      <charset val="1"/>
    </font>
    <font>
      <b val="true"/>
      <sz val="11"/>
      <color rgb="FFFFFFFF"/>
      <name val="FreeSans"/>
      <family val="2"/>
    </font>
    <font>
      <b val="true"/>
      <sz val="11"/>
      <name val="Calibri"/>
      <family val="0"/>
      <charset val="1"/>
    </font>
    <font>
      <sz val="11"/>
      <color rgb="FF0000FF"/>
      <name val="Calibri"/>
      <family val="0"/>
      <charset val="1"/>
    </font>
    <font>
      <sz val="10"/>
      <name val="Calibri"/>
      <family val="0"/>
      <charset val="1"/>
    </font>
    <font>
      <b val="true"/>
      <sz val="16"/>
      <color rgb="FFFFFFFF"/>
      <name val="Calibri"/>
      <family val="2"/>
      <charset val="1"/>
    </font>
    <font>
      <b val="true"/>
      <sz val="18"/>
      <color rgb="FF2C3E50"/>
      <name val="FreeSans"/>
      <family val="2"/>
    </font>
    <font>
      <b val="true"/>
      <sz val="11"/>
      <color rgb="FFFFFFFF"/>
      <name val="Calibri"/>
      <family val="2"/>
      <charset val="1"/>
    </font>
    <font>
      <b val="true"/>
      <sz val="11"/>
      <color theme="1"/>
      <name val="Calibri"/>
      <family val="2"/>
      <charset val="1"/>
    </font>
    <font>
      <b val="true"/>
      <sz val="11"/>
      <color rgb="FFFEFFF8"/>
      <name val="Calibri"/>
      <family val="2"/>
      <charset val="1"/>
    </font>
    <font>
      <b val="true"/>
      <sz val="11"/>
      <color rgb="FFC62828"/>
      <name val="Calibri"/>
      <family val="0"/>
      <charset val="1"/>
    </font>
    <font>
      <b val="true"/>
      <sz val="11"/>
      <color rgb="FFFEFFF8"/>
      <name val="FreeSans"/>
      <family val="2"/>
    </font>
    <font>
      <i val="true"/>
      <sz val="11"/>
      <color rgb="FF595959"/>
      <name val="Calibri"/>
      <family val="0"/>
      <charset val="1"/>
    </font>
    <font>
      <sz val="10"/>
      <name val="Arial"/>
      <family val="2"/>
    </font>
    <font>
      <b val="true"/>
      <sz val="10"/>
      <color rgb="FFFFFFFF"/>
      <name val="Segoe UI"/>
      <family val="0"/>
      <charset val="1"/>
    </font>
    <font>
      <i val="true"/>
      <sz val="9"/>
      <color rgb="FF6B7A8C"/>
      <name val="Segoe UI"/>
      <family val="0"/>
      <charset val="1"/>
    </font>
    <font>
      <b val="true"/>
      <sz val="11"/>
      <color theme="1"/>
      <name val="FreeSans"/>
      <family val="2"/>
    </font>
  </fonts>
  <fills count="22">
    <fill>
      <patternFill patternType="none"/>
    </fill>
    <fill>
      <patternFill patternType="gray125"/>
    </fill>
    <fill>
      <patternFill patternType="solid">
        <fgColor rgb="FF2F7DC4"/>
        <bgColor rgb="FF2F7FD0"/>
      </patternFill>
    </fill>
    <fill>
      <patternFill patternType="solid">
        <fgColor rgb="FFF47C20"/>
        <bgColor rgb="FFE0A100"/>
      </patternFill>
    </fill>
    <fill>
      <patternFill patternType="solid">
        <fgColor rgb="FFFFF2CC"/>
        <bgColor rgb="FFFFF3CD"/>
      </patternFill>
    </fill>
    <fill>
      <patternFill patternType="solid">
        <fgColor rgb="FFFFFFFF"/>
        <bgColor rgb="FFFEFFF8"/>
      </patternFill>
    </fill>
    <fill>
      <patternFill patternType="solid">
        <fgColor rgb="FFE8F5E9"/>
        <bgColor rgb="FFEAF1F8"/>
      </patternFill>
    </fill>
    <fill>
      <patternFill patternType="solid">
        <fgColor rgb="FFF4F8FD"/>
        <bgColor rgb="FFF7F9FC"/>
      </patternFill>
    </fill>
    <fill>
      <patternFill patternType="solid">
        <fgColor rgb="FFF7F9FC"/>
        <bgColor rgb="FFF9F9F9"/>
      </patternFill>
    </fill>
    <fill>
      <patternFill patternType="solid">
        <fgColor rgb="FF2C3E50"/>
        <bgColor rgb="FF1B2A41"/>
      </patternFill>
    </fill>
    <fill>
      <patternFill patternType="solid">
        <fgColor rgb="FFEEF2F7"/>
        <bgColor rgb="FFEEF3FA"/>
      </patternFill>
    </fill>
    <fill>
      <patternFill patternType="solid">
        <fgColor rgb="FF6B7A8C"/>
        <bgColor rgb="FF7F7F7F"/>
      </patternFill>
    </fill>
    <fill>
      <patternFill patternType="solid">
        <fgColor rgb="FFEEF3FA"/>
        <bgColor rgb="FFEEF2F7"/>
      </patternFill>
    </fill>
    <fill>
      <patternFill patternType="solid">
        <fgColor rgb="FF1E8E4E"/>
        <bgColor rgb="FF2E7D32"/>
      </patternFill>
    </fill>
    <fill>
      <patternFill patternType="solid">
        <fgColor rgb="FF2F7FD0"/>
        <bgColor rgb="FF2F7DC4"/>
      </patternFill>
    </fill>
    <fill>
      <patternFill patternType="solid">
        <fgColor rgb="FF1B2A41"/>
        <bgColor rgb="FF2C3E50"/>
      </patternFill>
    </fill>
    <fill>
      <patternFill patternType="solid">
        <fgColor rgb="FFD9E2F3"/>
        <bgColor rgb="FFE1E7EF"/>
      </patternFill>
    </fill>
    <fill>
      <patternFill patternType="solid">
        <fgColor rgb="FFC62828"/>
        <bgColor rgb="FF8E2430"/>
      </patternFill>
    </fill>
    <fill>
      <patternFill patternType="solid">
        <fgColor rgb="FF13B1E2"/>
        <bgColor rgb="FF2F7FD0"/>
      </patternFill>
    </fill>
    <fill>
      <patternFill patternType="solid">
        <fgColor rgb="FFEAF1F8"/>
        <bgColor rgb="FFEEF2F7"/>
      </patternFill>
    </fill>
    <fill>
      <patternFill patternType="solid">
        <fgColor rgb="FF2E7D32"/>
        <bgColor rgb="FF1E8E4E"/>
      </patternFill>
    </fill>
    <fill>
      <patternFill patternType="solid">
        <fgColor rgb="FF7F7F7F"/>
        <bgColor rgb="FF878787"/>
      </patternFill>
    </fill>
  </fills>
  <borders count="21">
    <border diagonalUp="false" diagonalDown="false">
      <left/>
      <right/>
      <top/>
      <bottom/>
      <diagonal/>
    </border>
    <border diagonalUp="false" diagonalDown="false">
      <left style="medium">
        <color rgb="FF2F7DC4"/>
      </left>
      <right style="medium">
        <color rgb="FF2F7DC4"/>
      </right>
      <top style="medium">
        <color rgb="FF2F7DC4"/>
      </top>
      <bottom style="medium">
        <color rgb="FF2F7DC4"/>
      </bottom>
      <diagonal/>
    </border>
    <border diagonalUp="false" diagonalDown="false">
      <left style="thin">
        <color rgb="FFE1E7EF"/>
      </left>
      <right style="thin">
        <color rgb="FFE1E7EF"/>
      </right>
      <top style="thick">
        <color rgb="FF2F7DC4"/>
      </top>
      <bottom/>
      <diagonal/>
    </border>
    <border diagonalUp="false" diagonalDown="false">
      <left style="thin">
        <color rgb="FFE1E7EF"/>
      </left>
      <right style="thin">
        <color rgb="FFE1E7EF"/>
      </right>
      <top style="thick">
        <color rgb="FFC62828"/>
      </top>
      <bottom/>
      <diagonal/>
    </border>
    <border diagonalUp="false" diagonalDown="false">
      <left style="thin">
        <color rgb="FFE1E7EF"/>
      </left>
      <right style="thin">
        <color rgb="FFE1E7EF"/>
      </right>
      <top style="thick">
        <color rgb="FF1E8E4E"/>
      </top>
      <bottom/>
      <diagonal/>
    </border>
    <border diagonalUp="false" diagonalDown="false">
      <left style="thin">
        <color rgb="FFE1E7EF"/>
      </left>
      <right style="thin">
        <color rgb="FFE1E7EF"/>
      </right>
      <top/>
      <bottom/>
      <diagonal/>
    </border>
    <border diagonalUp="false" diagonalDown="false">
      <left style="thin">
        <color rgb="FFE1E7EF"/>
      </left>
      <right style="thin">
        <color rgb="FFE1E7EF"/>
      </right>
      <top/>
      <bottom style="thin">
        <color rgb="FFE1E7EF"/>
      </bottom>
      <diagonal/>
    </border>
    <border diagonalUp="false" diagonalDown="false">
      <left style="thin">
        <color rgb="FFE1E7EF"/>
      </left>
      <right style="thin">
        <color rgb="FFE1E7EF"/>
      </right>
      <top style="thick">
        <color rgb="FFF47C20"/>
      </top>
      <bottom/>
      <diagonal/>
    </border>
    <border diagonalUp="false" diagonalDown="false">
      <left/>
      <right/>
      <top/>
      <bottom style="medium">
        <color rgb="FF2F7DC4"/>
      </bottom>
      <diagonal/>
    </border>
    <border diagonalUp="false" diagonalDown="false">
      <left/>
      <right/>
      <top/>
      <bottom style="medium">
        <color rgb="FFF47C20"/>
      </bottom>
      <diagonal/>
    </border>
    <border diagonalUp="false" diagonalDown="false">
      <left/>
      <right/>
      <top/>
      <bottom style="medium">
        <color rgb="FF2C3E50"/>
      </bottom>
      <diagonal/>
    </border>
    <border diagonalUp="false" diagonalDown="false">
      <left/>
      <right/>
      <top/>
      <bottom style="medium">
        <color rgb="FF1E8E4E"/>
      </bottom>
      <diagonal/>
    </border>
    <border diagonalUp="false" diagonalDown="false">
      <left/>
      <right/>
      <top/>
      <bottom style="thin">
        <color rgb="FFE1E7EF"/>
      </bottom>
      <diagonal/>
    </border>
    <border diagonalUp="false" diagonalDown="false">
      <left/>
      <right/>
      <top/>
      <bottom style="medium">
        <color rgb="FFC62828"/>
      </bottom>
      <diagonal/>
    </border>
    <border diagonalUp="false" diagonalDown="false">
      <left style="thick">
        <color rgb="FF2F7DC4"/>
      </left>
      <right/>
      <top/>
      <bottom/>
      <diagonal/>
    </border>
    <border diagonalUp="false" diagonalDown="false">
      <left style="thin">
        <color rgb="FFE1E7EF"/>
      </left>
      <right style="thin">
        <color rgb="FFE1E7EF"/>
      </right>
      <top style="thick">
        <color rgb="FF2C3E50"/>
      </top>
      <bottom/>
      <diagonal/>
    </border>
    <border diagonalUp="false" diagonalDown="false">
      <left/>
      <right/>
      <top style="medium">
        <color rgb="FF1E8E4E"/>
      </top>
      <bottom style="thin">
        <color rgb="FFE1E7EF"/>
      </bottom>
      <diagonal/>
    </border>
    <border diagonalUp="false" diagonalDown="false">
      <left/>
      <right/>
      <top style="medium">
        <color rgb="FFC62828"/>
      </top>
      <bottom style="thin">
        <color rgb="FFE1E7EF"/>
      </bottom>
      <diagonal/>
    </border>
    <border diagonalUp="false" diagonalDown="false">
      <left/>
      <right/>
      <top style="thin">
        <color rgb="FF2C3E50"/>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right" vertical="center" textRotation="0" wrapText="true" indent="0" shrinkToFit="false"/>
      <protection locked="true" hidden="false"/>
    </xf>
    <xf numFmtId="164" fontId="6" fillId="0" borderId="0" xfId="0" applyFont="true" applyBorder="true" applyAlignment="true" applyProtection="false">
      <alignment horizontal="right" vertical="center" textRotation="0" wrapText="true" indent="0" shrinkToFit="false"/>
      <protection locked="true" hidden="false"/>
    </xf>
    <xf numFmtId="164" fontId="7" fillId="0" borderId="0" xfId="0" applyFont="true" applyBorder="true" applyAlignment="true" applyProtection="false">
      <alignment horizontal="right" vertical="center" textRotation="0" wrapText="true" indent="0" shrinkToFit="false"/>
      <protection locked="true" hidden="false"/>
    </xf>
    <xf numFmtId="165" fontId="9" fillId="4"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4" fontId="12" fillId="5" borderId="2" xfId="0" applyFont="true" applyBorder="true" applyAlignment="true" applyProtection="false">
      <alignment horizontal="center" vertical="center" textRotation="0" wrapText="true" indent="0" shrinkToFit="false"/>
      <protection locked="true" hidden="false"/>
    </xf>
    <xf numFmtId="164" fontId="12" fillId="5" borderId="3" xfId="0" applyFont="true" applyBorder="true" applyAlignment="true" applyProtection="false">
      <alignment horizontal="center" vertical="center" textRotation="0" wrapText="true" indent="0" shrinkToFit="false"/>
      <protection locked="true" hidden="false"/>
    </xf>
    <xf numFmtId="164" fontId="12" fillId="5" borderId="4" xfId="0" applyFont="true" applyBorder="true" applyAlignment="true" applyProtection="false">
      <alignment horizontal="center" vertical="center" textRotation="0" wrapText="true" indent="0" shrinkToFit="false"/>
      <protection locked="true" hidden="false"/>
    </xf>
    <xf numFmtId="167" fontId="14" fillId="5" borderId="5" xfId="0" applyFont="true" applyBorder="true" applyAlignment="true" applyProtection="false">
      <alignment horizontal="center" vertical="center" textRotation="0" wrapText="true" indent="0" shrinkToFit="false"/>
      <protection locked="true" hidden="false"/>
    </xf>
    <xf numFmtId="168" fontId="14" fillId="5" borderId="5" xfId="0" applyFont="true" applyBorder="true" applyAlignment="true" applyProtection="false">
      <alignment horizontal="center" vertical="center" textRotation="0" wrapText="true" indent="0" shrinkToFit="false"/>
      <protection locked="true" hidden="false"/>
    </xf>
    <xf numFmtId="168" fontId="15" fillId="5" borderId="5" xfId="0" applyFont="true" applyBorder="true" applyAlignment="true" applyProtection="false">
      <alignment horizontal="center" vertical="center" textRotation="0" wrapText="true" indent="0" shrinkToFit="false"/>
      <protection locked="true" hidden="false"/>
    </xf>
    <xf numFmtId="168" fontId="16" fillId="5" borderId="5"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7" fillId="5" borderId="6" xfId="0" applyFont="true" applyBorder="true" applyAlignment="true" applyProtection="false">
      <alignment horizontal="center" vertical="center" textRotation="0" wrapText="tru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64" fontId="12" fillId="5" borderId="7" xfId="0" applyFont="true" applyBorder="true" applyAlignment="true" applyProtection="false">
      <alignment horizontal="center" vertical="center" textRotation="0" wrapText="true" indent="0" shrinkToFit="false"/>
      <protection locked="true" hidden="false"/>
    </xf>
    <xf numFmtId="169" fontId="14" fillId="5" borderId="5" xfId="0" applyFont="true" applyBorder="true" applyAlignment="true" applyProtection="false">
      <alignment horizontal="center" vertical="center" textRotation="0" wrapText="true" indent="0" shrinkToFit="false"/>
      <protection locked="true" hidden="false"/>
    </xf>
    <xf numFmtId="170" fontId="18" fillId="5" borderId="5" xfId="0" applyFont="true" applyBorder="true" applyAlignment="true" applyProtection="false">
      <alignment horizontal="center" vertical="center" textRotation="0" wrapText="true" indent="0" shrinkToFit="false"/>
      <protection locked="true" hidden="false"/>
    </xf>
    <xf numFmtId="170" fontId="16" fillId="5" borderId="5" xfId="0" applyFont="true" applyBorder="true" applyAlignment="true" applyProtection="false">
      <alignment horizontal="center" vertical="center" textRotation="0" wrapText="true" indent="0" shrinkToFit="false"/>
      <protection locked="true" hidden="false"/>
    </xf>
    <xf numFmtId="164" fontId="19" fillId="6" borderId="0" xfId="0" applyFont="true" applyBorder="true" applyAlignment="true" applyProtection="false">
      <alignment horizontal="left" vertical="center" textRotation="0" wrapText="true" indent="1" shrinkToFit="false"/>
      <protection locked="true" hidden="false"/>
    </xf>
    <xf numFmtId="164" fontId="20" fillId="5" borderId="8" xfId="0" applyFont="true" applyBorder="true" applyAlignment="true" applyProtection="false">
      <alignment horizontal="left" vertical="center" textRotation="0" wrapText="true" indent="0" shrinkToFit="false"/>
      <protection locked="true" hidden="false"/>
    </xf>
    <xf numFmtId="164" fontId="22" fillId="5" borderId="9" xfId="0" applyFont="true" applyBorder="true" applyAlignment="true" applyProtection="false">
      <alignment horizontal="left" vertical="center" textRotation="0" wrapText="true" indent="0" shrinkToFit="false"/>
      <protection locked="true" hidden="false"/>
    </xf>
    <xf numFmtId="164" fontId="24" fillId="5" borderId="10" xfId="0" applyFont="true" applyBorder="true" applyAlignment="true" applyProtection="false">
      <alignment horizontal="left" vertical="center" textRotation="0" wrapText="true" indent="0" shrinkToFit="false"/>
      <protection locked="true" hidden="false"/>
    </xf>
    <xf numFmtId="164" fontId="19" fillId="5" borderId="11" xfId="0" applyFont="true" applyBorder="true" applyAlignment="true" applyProtection="false">
      <alignment horizontal="left" vertical="center" textRotation="0" wrapText="true" indent="0" shrinkToFit="false"/>
      <protection locked="true" hidden="false"/>
    </xf>
    <xf numFmtId="164" fontId="27" fillId="7" borderId="0" xfId="0" applyFont="true" applyBorder="true" applyAlignment="true" applyProtection="false">
      <alignment horizontal="left" vertical="center" textRotation="0" wrapText="true" indent="1" shrinkToFit="false"/>
      <protection locked="true" hidden="false"/>
    </xf>
    <xf numFmtId="164" fontId="27" fillId="7" borderId="0" xfId="0" applyFont="true" applyBorder="false" applyAlignment="true" applyProtection="false">
      <alignment horizontal="center" vertical="center" textRotation="0" wrapText="true" indent="0" shrinkToFit="false"/>
      <protection locked="true" hidden="false"/>
    </xf>
    <xf numFmtId="164" fontId="27" fillId="7" borderId="0" xfId="0" applyFont="true" applyBorder="true" applyAlignment="true" applyProtection="false">
      <alignment horizontal="center" vertical="center" textRotation="0" wrapText="tru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29" fillId="5" borderId="12" xfId="0" applyFont="true" applyBorder="true" applyAlignment="true" applyProtection="false">
      <alignment horizontal="left" vertical="center" textRotation="0" wrapText="true" indent="1" shrinkToFit="false"/>
      <protection locked="true" hidden="false"/>
    </xf>
    <xf numFmtId="167" fontId="24" fillId="5" borderId="12" xfId="0" applyFont="true" applyBorder="true" applyAlignment="true" applyProtection="false">
      <alignment horizontal="center" vertical="center" textRotation="0" wrapText="true" indent="0" shrinkToFit="false"/>
      <protection locked="true" hidden="false"/>
    </xf>
    <xf numFmtId="171" fontId="30" fillId="5" borderId="12" xfId="0" applyFont="true" applyBorder="true" applyAlignment="true" applyProtection="false">
      <alignment horizontal="center" vertical="center" textRotation="0" wrapText="true" indent="0" shrinkToFit="false"/>
      <protection locked="true" hidden="false"/>
    </xf>
    <xf numFmtId="172" fontId="31" fillId="5" borderId="0" xfId="0" applyFont="true" applyBorder="false" applyAlignment="true" applyProtection="false">
      <alignment horizontal="center" vertical="center" textRotation="0" wrapText="true" indent="0" shrinkToFit="false"/>
      <protection locked="true" hidden="false"/>
    </xf>
    <xf numFmtId="167" fontId="29" fillId="5" borderId="0" xfId="0" applyFont="true" applyBorder="false" applyAlignment="true" applyProtection="false">
      <alignment horizontal="center" vertical="center" textRotation="0" wrapText="true" indent="0" shrinkToFit="false"/>
      <protection locked="true" hidden="false"/>
    </xf>
    <xf numFmtId="164" fontId="29" fillId="5" borderId="0" xfId="0" applyFont="true" applyBorder="true" applyAlignment="true" applyProtection="false">
      <alignment horizontal="left" vertical="center" textRotation="0" wrapText="true" indent="1" shrinkToFit="false"/>
      <protection locked="true" hidden="false"/>
    </xf>
    <xf numFmtId="168" fontId="32" fillId="5" borderId="0" xfId="0" applyFont="true" applyBorder="false" applyAlignment="true" applyProtection="false">
      <alignment horizontal="right" vertical="center" textRotation="0" wrapText="true" indent="0" shrinkToFit="false"/>
      <protection locked="true" hidden="false"/>
    </xf>
    <xf numFmtId="169" fontId="29" fillId="5" borderId="0" xfId="0" applyFont="true" applyBorder="false" applyAlignment="true" applyProtection="false">
      <alignment horizontal="center" vertical="center" textRotation="0" wrapText="true" indent="0" shrinkToFit="false"/>
      <protection locked="true" hidden="false"/>
    </xf>
    <xf numFmtId="172" fontId="31" fillId="8" borderId="0" xfId="0" applyFont="true" applyBorder="false" applyAlignment="true" applyProtection="false">
      <alignment horizontal="center" vertical="center" textRotation="0" wrapText="true" indent="0" shrinkToFit="false"/>
      <protection locked="true" hidden="false"/>
    </xf>
    <xf numFmtId="167" fontId="29" fillId="8" borderId="0" xfId="0" applyFont="true" applyBorder="false" applyAlignment="true" applyProtection="false">
      <alignment horizontal="center" vertical="center" textRotation="0" wrapText="true" indent="0" shrinkToFit="false"/>
      <protection locked="true" hidden="false"/>
    </xf>
    <xf numFmtId="164" fontId="29" fillId="8" borderId="0" xfId="0" applyFont="true" applyBorder="true" applyAlignment="true" applyProtection="false">
      <alignment horizontal="left" vertical="center" textRotation="0" wrapText="true" indent="1" shrinkToFit="false"/>
      <protection locked="true" hidden="false"/>
    </xf>
    <xf numFmtId="168" fontId="32" fillId="8" borderId="0" xfId="0" applyFont="true" applyBorder="false" applyAlignment="true" applyProtection="false">
      <alignment horizontal="right" vertical="center" textRotation="0" wrapText="true" indent="0" shrinkToFit="false"/>
      <protection locked="true" hidden="false"/>
    </xf>
    <xf numFmtId="169" fontId="29" fillId="8" borderId="0" xfId="0" applyFont="true" applyBorder="false" applyAlignment="true" applyProtection="false">
      <alignment horizontal="center" vertical="center" textRotation="0" wrapText="true" indent="0" shrinkToFit="false"/>
      <protection locked="true" hidden="false"/>
    </xf>
    <xf numFmtId="164" fontId="33" fillId="5" borderId="13" xfId="0" applyFont="true" applyBorder="true" applyAlignment="true" applyProtection="false">
      <alignment horizontal="left" vertical="center" textRotation="0" wrapText="true" indent="0" shrinkToFit="false"/>
      <protection locked="true" hidden="false"/>
    </xf>
    <xf numFmtId="164" fontId="35" fillId="0" borderId="0" xfId="0" applyFont="true" applyBorder="true" applyAlignment="true" applyProtection="false">
      <alignment horizontal="left" vertical="center" textRotation="0" wrapText="true" indent="0" shrinkToFit="false"/>
      <protection locked="true" hidden="false"/>
    </xf>
    <xf numFmtId="164" fontId="36" fillId="9" borderId="0" xfId="0" applyFont="true" applyBorder="false" applyAlignment="true" applyProtection="false">
      <alignment horizontal="center" vertical="center" textRotation="0" wrapText="true" indent="0" shrinkToFit="false"/>
      <protection locked="true" hidden="false"/>
    </xf>
    <xf numFmtId="164" fontId="36" fillId="9" borderId="0" xfId="0" applyFont="true" applyBorder="true" applyAlignment="true" applyProtection="false">
      <alignment horizontal="center" vertical="center" textRotation="0" wrapText="true" indent="0" shrinkToFit="false"/>
      <protection locked="true" hidden="false"/>
    </xf>
    <xf numFmtId="164" fontId="38" fillId="5" borderId="12" xfId="0" applyFont="true" applyBorder="true" applyAlignment="true" applyProtection="false">
      <alignment horizontal="center" vertical="center" textRotation="0" wrapText="true" indent="0" shrinkToFit="false"/>
      <protection locked="true" hidden="false"/>
    </xf>
    <xf numFmtId="167" fontId="39" fillId="5" borderId="12" xfId="0" applyFont="true" applyBorder="true" applyAlignment="true" applyProtection="false">
      <alignment horizontal="center" vertical="center" textRotation="0" wrapText="true" indent="0" shrinkToFit="false"/>
      <protection locked="true" hidden="false"/>
    </xf>
    <xf numFmtId="173" fontId="39" fillId="5" borderId="12" xfId="0" applyFont="true" applyBorder="true" applyAlignment="true" applyProtection="false">
      <alignment horizontal="center" vertical="center" textRotation="0" wrapText="true" indent="0" shrinkToFit="false"/>
      <protection locked="true" hidden="false"/>
    </xf>
    <xf numFmtId="164" fontId="39" fillId="5" borderId="12" xfId="0" applyFont="true" applyBorder="true" applyAlignment="true" applyProtection="false">
      <alignment horizontal="left" vertical="center" textRotation="0" wrapText="true" indent="0" shrinkToFit="false"/>
      <protection locked="true" hidden="false"/>
    </xf>
    <xf numFmtId="164" fontId="40" fillId="9" borderId="0" xfId="0" applyFont="true" applyBorder="true" applyAlignment="true" applyProtection="false">
      <alignment horizontal="center" vertical="center" textRotation="0" wrapText="true" indent="0" shrinkToFit="false"/>
      <protection locked="true" hidden="false"/>
    </xf>
    <xf numFmtId="164" fontId="40" fillId="9" borderId="0" xfId="0" applyFont="true" applyBorder="false" applyAlignment="true" applyProtection="false">
      <alignment horizontal="center" vertical="center" textRotation="0" wrapText="true" indent="0" shrinkToFit="false"/>
      <protection locked="true" hidden="false"/>
    </xf>
    <xf numFmtId="168" fontId="39" fillId="5" borderId="12" xfId="0" applyFont="true" applyBorder="true" applyAlignment="true" applyProtection="false">
      <alignment horizontal="left" vertical="center" textRotation="0" wrapText="true" indent="0" shrinkToFit="false"/>
      <protection locked="true" hidden="false"/>
    </xf>
    <xf numFmtId="167" fontId="41" fillId="5" borderId="12" xfId="0" applyFont="true" applyBorder="true" applyAlignment="true" applyProtection="false">
      <alignment horizontal="right" vertical="center" textRotation="0" wrapText="true" indent="0" shrinkToFit="false"/>
      <protection locked="true" hidden="false"/>
    </xf>
    <xf numFmtId="174" fontId="39" fillId="5" borderId="12" xfId="0" applyFont="true" applyBorder="true" applyAlignment="true" applyProtection="false">
      <alignment horizontal="right" vertical="center" textRotation="0" wrapText="true" indent="0" shrinkToFit="false"/>
      <protection locked="true" hidden="false"/>
    </xf>
    <xf numFmtId="175" fontId="39" fillId="5" borderId="12" xfId="0" applyFont="true" applyBorder="true" applyAlignment="true" applyProtection="false">
      <alignment horizontal="right" vertical="center" textRotation="0" wrapText="true" indent="0" shrinkToFit="false"/>
      <protection locked="true" hidden="false"/>
    </xf>
    <xf numFmtId="168" fontId="39" fillId="5" borderId="12" xfId="0" applyFont="true" applyBorder="true" applyAlignment="true" applyProtection="false">
      <alignment horizontal="right" vertical="center" textRotation="0" wrapText="true" indent="0" shrinkToFit="false"/>
      <protection locked="true" hidden="false"/>
    </xf>
    <xf numFmtId="168" fontId="41" fillId="5" borderId="12" xfId="0" applyFont="true" applyBorder="true" applyAlignment="true" applyProtection="false">
      <alignment horizontal="right" vertical="center" textRotation="0" wrapText="true" indent="0" shrinkToFit="false"/>
      <protection locked="true" hidden="false"/>
    </xf>
    <xf numFmtId="164" fontId="39" fillId="5" borderId="12" xfId="0" applyFont="true" applyBorder="true" applyAlignment="true" applyProtection="false">
      <alignment horizontal="left" vertical="center" textRotation="0" wrapText="true" indent="1" shrinkToFit="false"/>
      <protection locked="true" hidden="false"/>
    </xf>
    <xf numFmtId="176" fontId="39" fillId="5" borderId="12" xfId="0" applyFont="true" applyBorder="true" applyAlignment="true" applyProtection="false">
      <alignment horizontal="right" vertical="center" textRotation="0" wrapText="true" indent="0" shrinkToFit="false"/>
      <protection locked="true" hidden="false"/>
    </xf>
    <xf numFmtId="176" fontId="41" fillId="5" borderId="12" xfId="0" applyFont="true" applyBorder="true" applyAlignment="true" applyProtection="false">
      <alignment horizontal="right" vertical="center" textRotation="0" wrapText="true" indent="0" shrinkToFit="false"/>
      <protection locked="true" hidden="false"/>
    </xf>
    <xf numFmtId="164" fontId="7" fillId="5" borderId="12" xfId="0" applyFont="true" applyBorder="true" applyAlignment="true" applyProtection="false">
      <alignment horizontal="center" vertical="center" textRotation="0" wrapText="true" indent="0" shrinkToFit="false"/>
      <protection locked="true" hidden="false"/>
    </xf>
    <xf numFmtId="164" fontId="42" fillId="0" borderId="0" xfId="0" applyFont="true" applyBorder="true" applyAlignment="true" applyProtection="false">
      <alignment horizontal="left" vertical="center" textRotation="0" wrapText="true" indent="0" shrinkToFit="false"/>
      <protection locked="true" hidden="false"/>
    </xf>
    <xf numFmtId="164" fontId="44" fillId="10" borderId="0" xfId="0" applyFont="true" applyBorder="true" applyAlignment="true" applyProtection="false">
      <alignment horizontal="left" vertical="center" textRotation="0" wrapText="true" indent="1" shrinkToFit="false"/>
      <protection locked="true" hidden="false"/>
    </xf>
    <xf numFmtId="164" fontId="24" fillId="0" borderId="0" xfId="0" applyFont="true" applyBorder="false" applyAlignment="true" applyProtection="false">
      <alignment horizontal="right" vertical="center" textRotation="0" wrapText="true" indent="0" shrinkToFit="false"/>
      <protection locked="true" hidden="false"/>
    </xf>
    <xf numFmtId="167" fontId="9" fillId="4"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right" vertical="center" textRotation="0" wrapText="true" indent="0" shrinkToFit="false"/>
      <protection locked="true" hidden="false"/>
    </xf>
    <xf numFmtId="172" fontId="38" fillId="0" borderId="0" xfId="0" applyFont="true" applyBorder="true" applyAlignment="true" applyProtection="false">
      <alignment horizontal="center" vertical="center" textRotation="0" wrapText="true" indent="0" shrinkToFit="false"/>
      <protection locked="true" hidden="false"/>
    </xf>
    <xf numFmtId="164" fontId="44" fillId="0" borderId="0" xfId="0" applyFont="true" applyBorder="true" applyAlignment="true" applyProtection="false">
      <alignment horizontal="left" vertical="center" textRotation="0" wrapText="true" indent="1" shrinkToFit="false"/>
      <protection locked="true" hidden="false"/>
    </xf>
    <xf numFmtId="164" fontId="46" fillId="0" borderId="0" xfId="0" applyFont="true" applyBorder="true" applyAlignment="true" applyProtection="false">
      <alignment horizontal="right" vertical="center" textRotation="0" wrapText="true" indent="0" shrinkToFit="false"/>
      <protection locked="true" hidden="false"/>
    </xf>
    <xf numFmtId="164" fontId="48" fillId="0" borderId="0" xfId="0" applyFont="true" applyBorder="true" applyAlignment="true" applyProtection="false">
      <alignment horizontal="right" vertical="center" textRotation="0" wrapText="true" indent="0" shrinkToFit="false"/>
      <protection locked="true" hidden="false"/>
    </xf>
    <xf numFmtId="164" fontId="38" fillId="0" borderId="0" xfId="0" applyFont="true" applyBorder="true" applyAlignment="true" applyProtection="false">
      <alignment horizontal="right" vertical="center" textRotation="0" wrapText="true" indent="0" shrinkToFit="false"/>
      <protection locked="true" hidden="false"/>
    </xf>
    <xf numFmtId="164" fontId="12" fillId="7" borderId="14" xfId="0" applyFont="true" applyBorder="true" applyAlignment="true" applyProtection="false">
      <alignment horizontal="left" vertical="center" textRotation="0" wrapText="true" indent="1" shrinkToFit="false"/>
      <protection locked="true" hidden="false"/>
    </xf>
    <xf numFmtId="164" fontId="12" fillId="7" borderId="0" xfId="0" applyFont="true" applyBorder="true" applyAlignment="true" applyProtection="false">
      <alignment horizontal="right" vertical="center" textRotation="0" wrapText="true" indent="1" shrinkToFit="false"/>
      <protection locked="true" hidden="false"/>
    </xf>
    <xf numFmtId="164" fontId="49" fillId="7" borderId="14" xfId="0" applyFont="true" applyBorder="true" applyAlignment="true" applyProtection="false">
      <alignment horizontal="left" vertical="center" textRotation="0" wrapText="true" indent="1" shrinkToFit="false"/>
      <protection locked="true" hidden="false"/>
    </xf>
    <xf numFmtId="164" fontId="50" fillId="11" borderId="0" xfId="0" applyFont="true" applyBorder="true" applyAlignment="true" applyProtection="false">
      <alignment horizontal="center" vertical="center" textRotation="0" wrapText="true" indent="0" shrinkToFit="false"/>
      <protection locked="true" hidden="false"/>
    </xf>
    <xf numFmtId="164" fontId="6" fillId="7" borderId="14" xfId="0" applyFont="true" applyBorder="true" applyAlignment="true" applyProtection="false">
      <alignment horizontal="left" vertical="center" textRotation="0" wrapText="true" indent="1" shrinkToFit="false"/>
      <protection locked="true" hidden="false"/>
    </xf>
    <xf numFmtId="164" fontId="38" fillId="7" borderId="14" xfId="0" applyFont="true" applyBorder="true" applyAlignment="true" applyProtection="false">
      <alignment horizontal="left" vertical="center" textRotation="0" wrapText="true" indent="1" shrinkToFit="false"/>
      <protection locked="true" hidden="false"/>
    </xf>
    <xf numFmtId="164" fontId="38" fillId="7" borderId="0" xfId="0" applyFont="true" applyBorder="true" applyAlignment="true" applyProtection="false">
      <alignment horizontal="right" vertical="center" textRotation="0" wrapText="true" indent="1" shrinkToFit="false"/>
      <protection locked="true" hidden="false"/>
    </xf>
    <xf numFmtId="164" fontId="51" fillId="5" borderId="2" xfId="0" applyFont="true" applyBorder="true" applyAlignment="true" applyProtection="false">
      <alignment horizontal="center" vertical="center" textRotation="0" wrapText="true" indent="0" shrinkToFit="false"/>
      <protection locked="true" hidden="false"/>
    </xf>
    <xf numFmtId="164" fontId="51" fillId="5" borderId="7" xfId="0" applyFont="true" applyBorder="true" applyAlignment="true" applyProtection="false">
      <alignment horizontal="center" vertical="center" textRotation="0" wrapText="true" indent="0" shrinkToFit="false"/>
      <protection locked="true" hidden="false"/>
    </xf>
    <xf numFmtId="164" fontId="51" fillId="5" borderId="4" xfId="0" applyFont="true" applyBorder="true" applyAlignment="true" applyProtection="false">
      <alignment horizontal="center" vertical="center" textRotation="0" wrapText="true" indent="0" shrinkToFit="false"/>
      <protection locked="true" hidden="false"/>
    </xf>
    <xf numFmtId="164" fontId="51" fillId="5" borderId="15" xfId="0" applyFont="true" applyBorder="true" applyAlignment="true" applyProtection="false">
      <alignment horizontal="center" vertical="center" textRotation="0" wrapText="true" indent="0" shrinkToFit="false"/>
      <protection locked="true" hidden="false"/>
    </xf>
    <xf numFmtId="167" fontId="53" fillId="5" borderId="5" xfId="0" applyFont="true" applyBorder="true" applyAlignment="true" applyProtection="false">
      <alignment horizontal="center" vertical="center" textRotation="0" wrapText="true" indent="0" shrinkToFit="false"/>
      <protection locked="true" hidden="false"/>
    </xf>
    <xf numFmtId="175" fontId="54" fillId="5" borderId="5" xfId="0" applyFont="true" applyBorder="true" applyAlignment="true" applyProtection="false">
      <alignment horizontal="center" vertical="center" textRotation="0" wrapText="true" indent="0" shrinkToFit="false"/>
      <protection locked="true" hidden="false"/>
    </xf>
    <xf numFmtId="169" fontId="55" fillId="5" borderId="5" xfId="0" applyFont="true" applyBorder="true" applyAlignment="true" applyProtection="false">
      <alignment horizontal="center" vertical="center" textRotation="0" wrapText="true" indent="0" shrinkToFit="false"/>
      <protection locked="true" hidden="false"/>
    </xf>
    <xf numFmtId="171" fontId="56" fillId="5" borderId="5" xfId="0" applyFont="true" applyBorder="true" applyAlignment="true" applyProtection="false">
      <alignment horizontal="center" vertical="center" textRotation="0" wrapText="true" indent="0" shrinkToFit="false"/>
      <protection locked="true" hidden="false"/>
    </xf>
    <xf numFmtId="164" fontId="11" fillId="5" borderId="6" xfId="0" applyFont="true" applyBorder="true" applyAlignment="true" applyProtection="false">
      <alignment horizontal="center" vertical="center" textRotation="0" wrapText="true" indent="0" shrinkToFit="false"/>
      <protection locked="true" hidden="false"/>
    </xf>
    <xf numFmtId="168" fontId="58" fillId="5" borderId="12" xfId="0" applyFont="true" applyBorder="true" applyAlignment="true" applyProtection="false">
      <alignment horizontal="right" vertical="center" textRotation="0" wrapText="false" indent="0" shrinkToFit="true"/>
      <protection locked="true" hidden="false"/>
    </xf>
    <xf numFmtId="175" fontId="58" fillId="5" borderId="12" xfId="0" applyFont="true" applyBorder="true" applyAlignment="true" applyProtection="false">
      <alignment horizontal="right" vertical="center" textRotation="0" wrapText="false" indent="0" shrinkToFit="true"/>
      <protection locked="true" hidden="false"/>
    </xf>
    <xf numFmtId="164" fontId="29" fillId="8" borderId="12" xfId="0" applyFont="true" applyBorder="true" applyAlignment="true" applyProtection="false">
      <alignment horizontal="left" vertical="center" textRotation="0" wrapText="true" indent="1" shrinkToFit="false"/>
      <protection locked="true" hidden="false"/>
    </xf>
    <xf numFmtId="175" fontId="58" fillId="8" borderId="12" xfId="0" applyFont="true" applyBorder="true" applyAlignment="true" applyProtection="false">
      <alignment horizontal="right" vertical="center" textRotation="0" wrapText="false" indent="0" shrinkToFit="true"/>
      <protection locked="true" hidden="false"/>
    </xf>
    <xf numFmtId="168" fontId="59" fillId="8" borderId="12" xfId="0" applyFont="true" applyBorder="true" applyAlignment="true" applyProtection="false">
      <alignment horizontal="right" vertical="center" textRotation="0" wrapText="false" indent="0" shrinkToFit="true"/>
      <protection locked="true" hidden="false"/>
    </xf>
    <xf numFmtId="168" fontId="59" fillId="5" borderId="12" xfId="0" applyFont="true" applyBorder="true" applyAlignment="true" applyProtection="false">
      <alignment horizontal="right" vertical="center" textRotation="0" wrapText="false" indent="0" shrinkToFit="true"/>
      <protection locked="true" hidden="false"/>
    </xf>
    <xf numFmtId="168" fontId="60" fillId="5" borderId="12" xfId="0" applyFont="true" applyBorder="true" applyAlignment="true" applyProtection="false">
      <alignment horizontal="right" vertical="center" textRotation="0" wrapText="false" indent="0" shrinkToFit="true"/>
      <protection locked="true" hidden="false"/>
    </xf>
    <xf numFmtId="168" fontId="58" fillId="8" borderId="12" xfId="0" applyFont="true" applyBorder="true" applyAlignment="true" applyProtection="false">
      <alignment horizontal="right" vertical="center" textRotation="0" wrapText="false" indent="0" shrinkToFit="true"/>
      <protection locked="true" hidden="false"/>
    </xf>
    <xf numFmtId="164" fontId="61" fillId="12" borderId="16" xfId="0" applyFont="true" applyBorder="true" applyAlignment="true" applyProtection="false">
      <alignment horizontal="left" vertical="center" textRotation="0" wrapText="true" indent="1" shrinkToFit="false"/>
      <protection locked="true" hidden="false"/>
    </xf>
    <xf numFmtId="168" fontId="60" fillId="12" borderId="16" xfId="0" applyFont="true" applyBorder="true" applyAlignment="true" applyProtection="false">
      <alignment horizontal="right" vertical="center" textRotation="0" wrapText="false" indent="0" shrinkToFit="true"/>
      <protection locked="true" hidden="false"/>
    </xf>
    <xf numFmtId="164" fontId="61" fillId="12" borderId="17" xfId="0" applyFont="true" applyBorder="true" applyAlignment="true" applyProtection="false">
      <alignment horizontal="left" vertical="center" textRotation="0" wrapText="true" indent="1" shrinkToFit="false"/>
      <protection locked="true" hidden="false"/>
    </xf>
    <xf numFmtId="168" fontId="59" fillId="12" borderId="17" xfId="0" applyFont="true" applyBorder="true" applyAlignment="true" applyProtection="false">
      <alignment horizontal="right" vertical="center" textRotation="0" wrapText="false" indent="0" shrinkToFit="true"/>
      <protection locked="true" hidden="false"/>
    </xf>
    <xf numFmtId="164" fontId="63" fillId="13" borderId="0" xfId="0" applyFont="true" applyBorder="true" applyAlignment="true" applyProtection="false">
      <alignment horizontal="left" vertical="center" textRotation="0" wrapText="true" indent="1" shrinkToFit="false"/>
      <protection locked="true" hidden="false"/>
    </xf>
    <xf numFmtId="164" fontId="36" fillId="11" borderId="0" xfId="0" applyFont="true" applyBorder="true" applyAlignment="true" applyProtection="false">
      <alignment horizontal="left" vertical="center" textRotation="0" wrapText="true" indent="1" shrinkToFit="false"/>
      <protection locked="true" hidden="false"/>
    </xf>
    <xf numFmtId="168" fontId="65" fillId="13" borderId="0" xfId="0" applyFont="true" applyBorder="true" applyAlignment="true" applyProtection="false">
      <alignment horizontal="left" vertical="center" textRotation="0" wrapText="true" indent="1" shrinkToFit="false"/>
      <protection locked="true" hidden="false"/>
    </xf>
    <xf numFmtId="168" fontId="65" fillId="11" borderId="0" xfId="0" applyFont="true" applyBorder="true" applyAlignment="true" applyProtection="false">
      <alignment horizontal="left" vertical="center" textRotation="0" wrapText="true" indent="1" shrinkToFit="false"/>
      <protection locked="true" hidden="false"/>
    </xf>
    <xf numFmtId="164" fontId="66" fillId="13" borderId="0" xfId="0" applyFont="true" applyBorder="true" applyAlignment="true" applyProtection="false">
      <alignment horizontal="left" vertical="center" textRotation="0" wrapText="true" indent="1" shrinkToFit="false"/>
      <protection locked="true" hidden="false"/>
    </xf>
    <xf numFmtId="164" fontId="66" fillId="11" borderId="0" xfId="0" applyFont="true" applyBorder="true" applyAlignment="true" applyProtection="false">
      <alignment horizontal="left" vertical="center" textRotation="0" wrapText="true" indent="1" shrinkToFit="false"/>
      <protection locked="true" hidden="false"/>
    </xf>
    <xf numFmtId="164" fontId="39" fillId="7" borderId="0" xfId="0" applyFont="true" applyBorder="true" applyAlignment="true" applyProtection="false">
      <alignment horizontal="left" vertical="top" textRotation="0" wrapText="true" indent="1" shrinkToFit="false"/>
      <protection locked="true" hidden="false"/>
    </xf>
    <xf numFmtId="164" fontId="27" fillId="5" borderId="18" xfId="0" applyFont="true" applyBorder="true" applyAlignment="true" applyProtection="false">
      <alignment horizontal="center" vertical="center" textRotation="0" wrapText="true" indent="0" shrinkToFit="false"/>
      <protection locked="true" hidden="false"/>
    </xf>
    <xf numFmtId="164" fontId="11" fillId="5" borderId="0"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true" applyAlignment="true" applyProtection="false">
      <alignment horizontal="center" vertical="center" textRotation="0" wrapText="true" indent="0" shrinkToFit="false"/>
      <protection locked="true" hidden="false"/>
    </xf>
    <xf numFmtId="164" fontId="69" fillId="0" borderId="0" xfId="0" applyFont="true" applyBorder="true" applyAlignment="true" applyProtection="false">
      <alignment horizontal="general" vertical="center" textRotation="0" wrapText="true" indent="1" shrinkToFit="false"/>
      <protection locked="true" hidden="false"/>
    </xf>
    <xf numFmtId="164" fontId="71" fillId="0" borderId="0" xfId="0" applyFont="true" applyBorder="true" applyAlignment="true" applyProtection="false">
      <alignment horizontal="general" vertical="center" textRotation="0" wrapText="true" indent="0" shrinkToFit="false"/>
      <protection locked="true" hidden="false"/>
    </xf>
    <xf numFmtId="164" fontId="72" fillId="0" borderId="0" xfId="0" applyFont="true" applyBorder="false" applyAlignment="false" applyProtection="false">
      <alignment horizontal="general" vertical="bottom" textRotation="0" wrapText="false" indent="0" shrinkToFit="false"/>
      <protection locked="true" hidden="false"/>
    </xf>
    <xf numFmtId="164" fontId="73" fillId="14" borderId="0" xfId="0" applyFont="true" applyBorder="false" applyAlignment="true" applyProtection="false">
      <alignment horizontal="center" vertical="bottom" textRotation="0" wrapText="true" indent="0" shrinkToFit="false"/>
      <protection locked="true" hidden="false"/>
    </xf>
    <xf numFmtId="164" fontId="74" fillId="0" borderId="0" xfId="0" applyFont="true" applyBorder="false" applyAlignment="false" applyProtection="false">
      <alignment horizontal="general" vertical="bottom" textRotation="0" wrapText="false" indent="0" shrinkToFit="false"/>
      <protection locked="true" hidden="false"/>
    </xf>
    <xf numFmtId="164" fontId="75" fillId="0" borderId="0" xfId="0" applyFont="true" applyBorder="true" applyAlignment="true" applyProtection="false">
      <alignment horizontal="general" vertical="center" textRotation="0" wrapText="false" indent="1" shrinkToFit="false"/>
      <protection locked="true" hidden="false"/>
    </xf>
    <xf numFmtId="164" fontId="73" fillId="15" borderId="0" xfId="0" applyFont="true" applyBorder="true" applyAlignment="true" applyProtection="false">
      <alignment horizontal="general" vertical="center" textRotation="0" wrapText="false" indent="1" shrinkToFit="false"/>
      <protection locked="true" hidden="false"/>
    </xf>
    <xf numFmtId="164" fontId="0" fillId="0" borderId="19" xfId="0" applyFont="true" applyBorder="true" applyAlignment="false" applyProtection="false">
      <alignment horizontal="general" vertical="bottom" textRotation="0" wrapText="false" indent="0" shrinkToFit="false"/>
      <protection locked="true" hidden="false"/>
    </xf>
    <xf numFmtId="165" fontId="0" fillId="0" borderId="19" xfId="0" applyFont="false" applyBorder="true" applyAlignment="true" applyProtection="false">
      <alignment horizontal="center" vertical="bottom" textRotation="0" wrapText="false" indent="0" shrinkToFit="false"/>
      <protection locked="true" hidden="false"/>
    </xf>
    <xf numFmtId="164" fontId="0" fillId="0" borderId="19" xfId="0" applyFont="false" applyBorder="true" applyAlignment="true" applyProtection="false">
      <alignment horizontal="center" vertical="bottom" textRotation="0" wrapText="false" indent="0" shrinkToFit="false"/>
      <protection locked="true" hidden="false"/>
    </xf>
    <xf numFmtId="167" fontId="0" fillId="0" borderId="19" xfId="0" applyFont="false" applyBorder="true" applyAlignment="true" applyProtection="false">
      <alignment horizontal="center" vertical="bottom" textRotation="0" wrapText="false" indent="0" shrinkToFit="false"/>
      <protection locked="true" hidden="false"/>
    </xf>
    <xf numFmtId="164" fontId="77" fillId="16" borderId="19" xfId="0" applyFont="true" applyBorder="true" applyAlignment="false" applyProtection="false">
      <alignment horizontal="general" vertical="bottom" textRotation="0" wrapText="false" indent="0" shrinkToFit="false"/>
      <protection locked="true" hidden="false"/>
    </xf>
    <xf numFmtId="164" fontId="78" fillId="4" borderId="19" xfId="0" applyFont="true" applyBorder="true" applyAlignment="false" applyProtection="false">
      <alignment horizontal="general" vertical="bottom" textRotation="0" wrapText="false" indent="0" shrinkToFit="false"/>
      <protection locked="true" hidden="false"/>
    </xf>
    <xf numFmtId="164" fontId="0" fillId="0" borderId="19" xfId="0" applyFont="false" applyBorder="true" applyAlignment="false" applyProtection="false">
      <alignment horizontal="general" vertical="bottom" textRotation="0" wrapText="false" indent="0" shrinkToFit="false"/>
      <protection locked="true" hidden="false"/>
    </xf>
    <xf numFmtId="164" fontId="73" fillId="17" borderId="0" xfId="0" applyFont="true" applyBorder="true" applyAlignment="true" applyProtection="false">
      <alignment horizontal="general" vertical="center" textRotation="0" wrapText="false" indent="1" shrinkToFit="false"/>
      <protection locked="true" hidden="false"/>
    </xf>
    <xf numFmtId="164" fontId="79" fillId="0" borderId="19" xfId="0" applyFont="true" applyBorder="true" applyAlignment="true" applyProtection="false">
      <alignment horizontal="left" vertical="bottom" textRotation="0" wrapText="false" indent="0" shrinkToFit="false"/>
      <protection locked="true" hidden="false"/>
    </xf>
    <xf numFmtId="164" fontId="79" fillId="0" borderId="19" xfId="0" applyFont="true" applyBorder="true" applyAlignment="false" applyProtection="false">
      <alignment horizontal="general" vertical="bottom" textRotation="0" wrapText="false" indent="0" shrinkToFit="false"/>
      <protection locked="true" hidden="false"/>
    </xf>
    <xf numFmtId="164" fontId="80" fillId="0" borderId="0" xfId="0" applyFont="true" applyBorder="false" applyAlignment="true" applyProtection="false">
      <alignment horizontal="center" vertical="center" textRotation="0" wrapText="false" indent="0" shrinkToFit="false"/>
      <protection locked="true" hidden="false"/>
    </xf>
    <xf numFmtId="164" fontId="49" fillId="0" borderId="0" xfId="0" applyFont="true" applyBorder="false" applyAlignment="true" applyProtection="false">
      <alignment horizontal="general" vertical="center" textRotation="0" wrapText="true" indent="0" shrinkToFit="false"/>
      <protection locked="true" hidden="false"/>
    </xf>
    <xf numFmtId="164" fontId="82" fillId="2" borderId="0" xfId="0" applyFont="true" applyBorder="fals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83" fillId="4" borderId="0" xfId="0" applyFont="true" applyBorder="false" applyAlignment="true" applyProtection="false">
      <alignment horizontal="general" vertical="bottom" textRotation="0" wrapText="true" indent="0" shrinkToFit="false"/>
      <protection locked="true" hidden="false"/>
    </xf>
    <xf numFmtId="168" fontId="0" fillId="0" borderId="0" xfId="0" applyFont="false" applyBorder="false" applyAlignment="true" applyProtection="false">
      <alignment horizontal="general" vertical="bottom" textRotation="0" wrapText="true" indent="0" shrinkToFit="false"/>
      <protection locked="true" hidden="false"/>
    </xf>
    <xf numFmtId="175" fontId="0" fillId="0" borderId="0" xfId="0" applyFont="false" applyBorder="false" applyAlignment="true" applyProtection="false">
      <alignment horizontal="general" vertical="bottom" textRotation="0" wrapText="true" indent="0" shrinkToFit="false"/>
      <protection locked="true" hidden="false"/>
    </xf>
    <xf numFmtId="165" fontId="0" fillId="0" borderId="0" xfId="0" applyFont="false" applyBorder="false" applyAlignment="true" applyProtection="false">
      <alignment horizontal="general" vertical="bottom" textRotation="0" wrapText="true" indent="0" shrinkToFit="false"/>
      <protection locked="true" hidden="false"/>
    </xf>
    <xf numFmtId="164" fontId="84" fillId="18" borderId="20" xfId="0" applyFont="true" applyBorder="true" applyAlignment="true" applyProtection="false">
      <alignment horizontal="center" vertical="center" textRotation="0" wrapText="true" indent="0" shrinkToFit="false"/>
      <protection locked="true" hidden="false"/>
    </xf>
    <xf numFmtId="164" fontId="85" fillId="0" borderId="0" xfId="0" applyFont="true" applyBorder="false" applyAlignment="false" applyProtection="false">
      <alignment horizontal="general" vertical="bottom" textRotation="0" wrapText="false" indent="0" shrinkToFit="false"/>
      <protection locked="true" hidden="false"/>
    </xf>
    <xf numFmtId="164" fontId="0" fillId="0" borderId="20" xfId="0" applyFont="true" applyBorder="true" applyAlignment="false" applyProtection="false">
      <alignment horizontal="general" vertical="bottom" textRotation="0" wrapText="false" indent="0" shrinkToFit="false"/>
      <protection locked="true" hidden="false"/>
    </xf>
    <xf numFmtId="172" fontId="0" fillId="0" borderId="20" xfId="0" applyFont="false" applyBorder="true" applyAlignment="false" applyProtection="false">
      <alignment horizontal="general" vertical="bottom" textRotation="0" wrapText="false" indent="0" shrinkToFit="false"/>
      <protection locked="true" hidden="false"/>
    </xf>
    <xf numFmtId="177" fontId="0" fillId="0" borderId="20" xfId="0" applyFont="false" applyBorder="true" applyAlignment="false" applyProtection="false">
      <alignment horizontal="general" vertical="bottom" textRotation="0" wrapText="false" indent="0" shrinkToFit="false"/>
      <protection locked="true" hidden="false"/>
    </xf>
    <xf numFmtId="164" fontId="86" fillId="18" borderId="20" xfId="0" applyFont="true" applyBorder="true" applyAlignment="true" applyProtection="false">
      <alignment horizontal="center" vertical="center" textRotation="0" wrapText="true" indent="0" shrinkToFit="false"/>
      <protection locked="true" hidden="false"/>
    </xf>
    <xf numFmtId="164" fontId="73" fillId="15" borderId="0" xfId="0" applyFont="true" applyBorder="false" applyAlignment="true" applyProtection="false">
      <alignment horizontal="center" vertical="center" textRotation="0" wrapText="true" indent="0" shrinkToFit="false"/>
      <protection locked="true" hidden="false"/>
    </xf>
    <xf numFmtId="164" fontId="87" fillId="0" borderId="0" xfId="0" applyFont="true" applyBorder="false" applyAlignment="true" applyProtection="false">
      <alignment horizontal="general" vertical="top" textRotation="0" wrapText="true" indent="0" shrinkToFit="false"/>
      <protection locked="true" hidden="false"/>
    </xf>
    <xf numFmtId="164" fontId="0" fillId="4" borderId="19" xfId="0" applyFont="false" applyBorder="true" applyAlignment="false" applyProtection="false">
      <alignment horizontal="general" vertical="bottom" textRotation="0" wrapText="false" indent="0" shrinkToFit="false"/>
      <protection locked="true" hidden="false"/>
    </xf>
    <xf numFmtId="168" fontId="0" fillId="4" borderId="19" xfId="0" applyFont="false" applyBorder="true" applyAlignment="false" applyProtection="false">
      <alignment horizontal="general" vertical="bottom" textRotation="0" wrapText="false" indent="0" shrinkToFit="false"/>
      <protection locked="true" hidden="false"/>
    </xf>
    <xf numFmtId="164" fontId="73" fillId="15" borderId="0" xfId="0" applyFont="true" applyBorder="false" applyAlignment="true" applyProtection="false">
      <alignment horizontal="center" vertical="center" textRotation="0" wrapText="false" indent="0" shrinkToFit="false"/>
      <protection locked="true" hidden="false"/>
    </xf>
    <xf numFmtId="164" fontId="82" fillId="9" borderId="0" xfId="0" applyFont="true" applyBorder="false" applyAlignment="true" applyProtection="false">
      <alignment horizontal="center" vertical="center" textRotation="0" wrapText="true" indent="0" shrinkToFit="false"/>
      <protection locked="true" hidden="false"/>
    </xf>
    <xf numFmtId="166" fontId="0" fillId="19" borderId="0" xfId="0" applyFont="false" applyBorder="false" applyAlignment="true" applyProtection="false">
      <alignment horizontal="general" vertical="bottom" textRotation="0" wrapText="true" indent="0" shrinkToFit="false"/>
      <protection locked="true" hidden="false"/>
    </xf>
    <xf numFmtId="172" fontId="0" fillId="19" borderId="0" xfId="0" applyFont="false" applyBorder="false" applyAlignment="true" applyProtection="false">
      <alignment horizontal="general" vertical="bottom" textRotation="0" wrapText="true" indent="0" shrinkToFit="false"/>
      <protection locked="true" hidden="false"/>
    </xf>
    <xf numFmtId="164" fontId="0" fillId="19" borderId="0" xfId="0" applyFont="false" applyBorder="false" applyAlignment="true" applyProtection="false">
      <alignment horizontal="general" vertical="bottom" textRotation="0" wrapText="true" indent="0" shrinkToFit="false"/>
      <protection locked="true" hidden="false"/>
    </xf>
    <xf numFmtId="168" fontId="0" fillId="19" borderId="0" xfId="0" applyFont="false" applyBorder="false" applyAlignment="true" applyProtection="false">
      <alignment horizontal="general" vertical="bottom" textRotation="0" wrapText="true" indent="0" shrinkToFit="false"/>
      <protection locked="true" hidden="false"/>
    </xf>
    <xf numFmtId="164" fontId="73" fillId="15" borderId="19" xfId="0" applyFont="true" applyBorder="true" applyAlignment="true" applyProtection="false">
      <alignment horizontal="center" vertical="center" textRotation="0" wrapText="true" indent="0" shrinkToFit="false"/>
      <protection locked="true" hidden="false"/>
    </xf>
    <xf numFmtId="164" fontId="73" fillId="14" borderId="19" xfId="0" applyFont="true" applyBorder="true" applyAlignment="true" applyProtection="false">
      <alignment horizontal="center" vertical="center" textRotation="0" wrapText="true" indent="0" shrinkToFit="false"/>
      <protection locked="true" hidden="false"/>
    </xf>
    <xf numFmtId="164" fontId="73" fillId="17" borderId="19" xfId="0" applyFont="true" applyBorder="true" applyAlignment="true" applyProtection="false">
      <alignment horizontal="center" vertical="center" textRotation="0" wrapText="true" indent="0" shrinkToFit="false"/>
      <protection locked="true" hidden="false"/>
    </xf>
    <xf numFmtId="164" fontId="73" fillId="20" borderId="19" xfId="0" applyFont="true" applyBorder="true" applyAlignment="true" applyProtection="false">
      <alignment horizontal="center" vertical="center" textRotation="0" wrapText="true" indent="0" shrinkToFit="false"/>
      <protection locked="true" hidden="false"/>
    </xf>
    <xf numFmtId="164" fontId="73" fillId="21" borderId="19" xfId="0" applyFont="true" applyBorder="true" applyAlignment="true" applyProtection="false">
      <alignment horizontal="center" vertical="center" textRotation="0" wrapText="true" indent="0" shrinkToFit="false"/>
      <protection locked="true" hidden="false"/>
    </xf>
    <xf numFmtId="173" fontId="71" fillId="0" borderId="19" xfId="0" applyFont="true" applyBorder="true" applyAlignment="false" applyProtection="false">
      <alignment horizontal="general" vertical="bottom" textRotation="0" wrapText="false" indent="0" shrinkToFit="false"/>
      <protection locked="true" hidden="false"/>
    </xf>
    <xf numFmtId="167" fontId="71" fillId="0" borderId="19" xfId="0" applyFont="true" applyBorder="true" applyAlignment="false" applyProtection="false">
      <alignment horizontal="general" vertical="bottom" textRotation="0" wrapText="false" indent="0" shrinkToFit="false"/>
      <protection locked="true" hidden="false"/>
    </xf>
    <xf numFmtId="164" fontId="71" fillId="0" borderId="19" xfId="0" applyFont="true" applyBorder="true" applyAlignment="false" applyProtection="false">
      <alignment horizontal="general" vertical="bottom" textRotation="0" wrapText="false" indent="0" shrinkToFit="false"/>
      <protection locked="true" hidden="false"/>
    </xf>
    <xf numFmtId="168" fontId="71" fillId="0" borderId="19" xfId="0" applyFont="true" applyBorder="true" applyAlignment="false" applyProtection="false">
      <alignment horizontal="general" vertical="bottom" textRotation="0" wrapText="false" indent="0" shrinkToFit="false"/>
      <protection locked="true" hidden="false"/>
    </xf>
    <xf numFmtId="175" fontId="71" fillId="0" borderId="19" xfId="0" applyFont="true" applyBorder="true" applyAlignment="false" applyProtection="false">
      <alignment horizontal="general" vertical="bottom" textRotation="0" wrapText="false" indent="0" shrinkToFit="false"/>
      <protection locked="true" hidden="false"/>
    </xf>
    <xf numFmtId="169" fontId="71" fillId="0" borderId="19" xfId="0" applyFont="true" applyBorder="true" applyAlignment="false" applyProtection="false">
      <alignment horizontal="general" vertical="bottom" textRotation="0" wrapText="false" indent="0" shrinkToFit="false"/>
      <protection locked="true" hidden="false"/>
    </xf>
    <xf numFmtId="168" fontId="77" fillId="0" borderId="19" xfId="0" applyFont="true" applyBorder="true" applyAlignment="false" applyProtection="false">
      <alignment horizontal="general" vertical="bottom" textRotation="0" wrapText="false" indent="0" shrinkToFit="false"/>
      <protection locked="true" hidden="false"/>
    </xf>
    <xf numFmtId="164" fontId="73" fillId="14" borderId="0" xfId="0" applyFont="true" applyBorder="false" applyAlignment="true" applyProtection="false">
      <alignment horizontal="center" vertical="center" textRotation="0" wrapText="true" indent="0" shrinkToFit="false"/>
      <protection locked="true" hidden="false"/>
    </xf>
    <xf numFmtId="164" fontId="89" fillId="2" borderId="0" xfId="0" applyFont="true" applyBorder="false" applyAlignment="false" applyProtection="false">
      <alignment horizontal="general" vertical="bottom" textRotation="0" wrapText="false" indent="0" shrinkToFit="false"/>
      <protection locked="true" hidden="false"/>
    </xf>
    <xf numFmtId="164" fontId="90" fillId="0" borderId="0" xfId="0" applyFont="true" applyBorder="false" applyAlignment="false" applyProtection="false">
      <alignment horizontal="general" vertical="bottom" textRotation="0" wrapText="false" indent="0" shrinkToFit="false"/>
      <protection locked="true" hidden="false"/>
    </xf>
    <xf numFmtId="164" fontId="71" fillId="0" borderId="0" xfId="0" applyFont="true" applyBorder="false" applyAlignment="false" applyProtection="false">
      <alignment horizontal="general" vertical="bottom" textRotation="0" wrapText="false" indent="0" shrinkToFit="false"/>
      <protection locked="true" hidden="false"/>
    </xf>
    <xf numFmtId="173" fontId="71" fillId="0" borderId="0" xfId="0" applyFont="true" applyBorder="false" applyAlignment="false" applyProtection="false">
      <alignment horizontal="general" vertical="bottom" textRotation="0" wrapText="false" indent="0" shrinkToFit="false"/>
      <protection locked="true" hidden="false"/>
    </xf>
    <xf numFmtId="167" fontId="71" fillId="0" borderId="0" xfId="0" applyFont="true" applyBorder="false" applyAlignment="false" applyProtection="false">
      <alignment horizontal="general" vertical="bottom" textRotation="0" wrapText="false" indent="0" shrinkToFit="false"/>
      <protection locked="true" hidden="false"/>
    </xf>
    <xf numFmtId="175" fontId="71" fillId="0" borderId="0" xfId="0" applyFont="true" applyBorder="false" applyAlignment="false" applyProtection="false">
      <alignment horizontal="general" vertical="bottom" textRotation="0" wrapText="false" indent="0" shrinkToFit="false"/>
      <protection locked="true" hidden="false"/>
    </xf>
    <xf numFmtId="169" fontId="71" fillId="0" borderId="0" xfId="0" applyFont="true" applyBorder="false" applyAlignment="false" applyProtection="false">
      <alignment horizontal="general" vertical="bottom" textRotation="0" wrapText="false" indent="0" shrinkToFit="false"/>
      <protection locked="true" hidden="false"/>
    </xf>
    <xf numFmtId="168" fontId="71" fillId="0" borderId="0" xfId="0" applyFont="true" applyBorder="fals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78" fontId="0" fillId="0" borderId="0" xfId="0" applyFont="false" applyBorder="false" applyAlignment="false" applyProtection="false">
      <alignment horizontal="general" vertical="bottom" textRotation="0" wrapText="false" indent="0" shrinkToFit="false"/>
      <protection locked="true" hidden="false"/>
    </xf>
    <xf numFmtId="164" fontId="83"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7">
    <dxf>
      <font>
        <b val="1"/>
        <color rgb="FF7A5A00"/>
      </font>
      <fill>
        <patternFill>
          <bgColor rgb="FFFFF3CD"/>
        </patternFill>
      </fill>
    </dxf>
    <dxf>
      <fill>
        <patternFill>
          <bgColor rgb="FFFFF3CD"/>
        </patternFill>
      </fill>
    </dxf>
    <dxf>
      <font>
        <b val="1"/>
        <color rgb="FF1E8E4E"/>
      </font>
      <fill>
        <patternFill>
          <bgColor rgb="FFE8F5E9"/>
        </patternFill>
      </fill>
    </dxf>
    <dxf>
      <font>
        <b val="1"/>
        <color rgb="FFC62828"/>
      </font>
      <fill>
        <patternFill>
          <bgColor rgb="FFFDECEA"/>
        </patternFill>
      </fill>
    </dxf>
    <dxf>
      <fill>
        <patternFill>
          <bgColor rgb="FF1E8E4E"/>
        </patternFill>
      </fill>
    </dxf>
    <dxf>
      <fill>
        <patternFill>
          <bgColor rgb="FFC62828"/>
        </patternFill>
      </fill>
    </dxf>
    <dxf>
      <font>
        <b val="1"/>
        <color rgb="FF3D2B00"/>
      </font>
      <fill>
        <patternFill>
          <bgColor rgb="FFE0A100"/>
        </patternFill>
      </fill>
    </dxf>
    <dxf>
      <fill>
        <patternFill>
          <bgColor rgb="FF7B8794"/>
        </patternFill>
      </fill>
    </dxf>
    <dxf>
      <fill>
        <patternFill>
          <bgColor rgb="FF9AA5B1"/>
        </patternFill>
      </fill>
    </dxf>
    <dxf>
      <fill>
        <patternFill>
          <bgColor rgb="FF8E2430"/>
        </patternFill>
      </fill>
    </dxf>
    <dxf>
      <font>
        <color rgb="FF2E7D32"/>
      </font>
    </dxf>
    <dxf>
      <font>
        <b val="1"/>
        <color rgb="FF2E7D32"/>
      </font>
      <fill>
        <patternFill>
          <bgColor rgb="FFE8F5E9"/>
        </patternFill>
      </fill>
    </dxf>
    <dxf>
      <font>
        <b val="1"/>
        <color rgb="FF2E7D32"/>
      </font>
    </dxf>
    <dxf>
      <font>
        <b val="1"/>
        <color rgb="FF7F6000"/>
      </font>
      <fill>
        <patternFill>
          <bgColor rgb="FFFFF3CD"/>
        </patternFill>
      </fill>
    </dxf>
    <dxf>
      <fill>
        <patternFill patternType="solid">
          <fgColor rgb="FF1B2A41"/>
          <bgColor rgb="FF000000"/>
        </patternFill>
      </fill>
    </dxf>
    <dxf>
      <fill>
        <patternFill patternType="solid">
          <fgColor rgb="FFFFF2CC"/>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2C3E50"/>
          <bgColor rgb="FF000000"/>
        </patternFill>
      </fill>
    </dxf>
    <dxf>
      <fill>
        <patternFill patternType="solid">
          <fgColor rgb="FFEAF1F8"/>
          <bgColor rgb="FF000000"/>
        </patternFill>
      </fill>
    </dxf>
    <dxf>
      <fill>
        <patternFill patternType="solid">
          <bgColor rgb="FF000000"/>
        </patternFill>
      </fill>
    </dxf>
    <dxf>
      <fill>
        <patternFill patternType="solid">
          <fgColor rgb="FF2F7FD0"/>
          <bgColor rgb="FF000000"/>
        </patternFill>
      </fill>
    </dxf>
    <dxf>
      <fill>
        <patternFill patternType="solid">
          <fgColor rgb="FFC62828"/>
          <bgColor rgb="FF000000"/>
        </patternFill>
      </fill>
    </dxf>
    <dxf>
      <fill>
        <patternFill patternType="solid">
          <fgColor rgb="FF2E7D32"/>
          <bgColor rgb="FF000000"/>
        </patternFill>
      </fill>
    </dxf>
    <dxf>
      <fill>
        <patternFill patternType="solid">
          <fgColor rgb="FFFDECEA"/>
          <bgColor rgb="FF000000"/>
        </patternFill>
      </fill>
    </dxf>
    <dxf>
      <fill>
        <patternFill patternType="solid">
          <fgColor rgb="FF7F7F7F"/>
          <bgColor rgb="FF000000"/>
        </patternFill>
      </fill>
    </dxf>
    <dxf>
      <font>
        <b val="1"/>
        <color rgb="FFC62828"/>
      </font>
    </dxf>
  </dxfs>
  <colors>
    <indexedColors>
      <rgbColor rgb="FF000000"/>
      <rgbColor rgb="FFFFFFFF"/>
      <rgbColor rgb="FFFF0000"/>
      <rgbColor rgb="FF00FF00"/>
      <rgbColor rgb="FF0000FF"/>
      <rgbColor rgb="FFFFF2CC"/>
      <rgbColor rgb="FFFF00FF"/>
      <rgbColor rgb="FFF7F9FC"/>
      <rgbColor rgb="FF800000"/>
      <rgbColor rgb="FF2E7D32"/>
      <rgbColor rgb="FF000080"/>
      <rgbColor rgb="FF7F6000"/>
      <rgbColor rgb="FF800080"/>
      <rgbColor rgb="FF4F81BD"/>
      <rgbColor rgb="FFBFBFBF"/>
      <rgbColor rgb="FF7F7F7F"/>
      <rgbColor rgb="FF7F8C9B"/>
      <rgbColor rgb="FFC62828"/>
      <rgbColor rgb="FFFFF3CD"/>
      <rgbColor rgb="FFE8F5E9"/>
      <rgbColor rgb="FF660066"/>
      <rgbColor rgb="FFEEF2F7"/>
      <rgbColor rgb="FF2F7DC4"/>
      <rgbColor rgb="FFD9D9D9"/>
      <rgbColor rgb="FF000080"/>
      <rgbColor rgb="FFFF00FF"/>
      <rgbColor rgb="FFFEFFF8"/>
      <rgbColor rgb="FFF9F9F9"/>
      <rgbColor rgb="FF800080"/>
      <rgbColor rgb="FF800000"/>
      <rgbColor rgb="FF7B8794"/>
      <rgbColor rgb="FF0000FF"/>
      <rgbColor rgb="FF13B1E2"/>
      <rgbColor rgb="FFEAF1F8"/>
      <rgbColor rgb="FFE1E7EF"/>
      <rgbColor rgb="FFFFE699"/>
      <rgbColor rgb="FFD9E2F3"/>
      <rgbColor rgb="FFFDECEA"/>
      <rgbColor rgb="FF878787"/>
      <rgbColor rgb="FFF4B183"/>
      <rgbColor rgb="FF2F7FD0"/>
      <rgbColor rgb="FFF4F8FD"/>
      <rgbColor rgb="FFEEF3FA"/>
      <rgbColor rgb="FFFFC000"/>
      <rgbColor rgb="FFE0A100"/>
      <rgbColor rgb="FFF47C20"/>
      <rgbColor rgb="FF6B7A8C"/>
      <rgbColor rgb="FF9AA5B1"/>
      <rgbColor rgb="FF1B2A41"/>
      <rgbColor rgb="FF1E8E4E"/>
      <rgbColor rgb="FF003300"/>
      <rgbColor rgb="FF3D2B00"/>
      <rgbColor rgb="FF8E2430"/>
      <rgbColor rgb="FF7A5A00"/>
      <rgbColor rgb="FF595959"/>
      <rgbColor rgb="FF2C3E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spPr>
            <a:solidFill>
              <a:srgbClr val="4f81bd"/>
            </a:solidFill>
            <a:ln w="9360">
              <a:solidFill>
                <a:srgbClr val="f9f9f9"/>
              </a:solidFill>
              <a:round/>
            </a:ln>
          </c:spPr>
          <c:invertIfNegative val="0"/>
          <c:dPt>
            <c:idx val="0"/>
            <c:invertIfNegative val="0"/>
            <c:spPr>
              <a:solidFill>
                <a:srgbClr val="2f7dc4"/>
              </a:solidFill>
              <a:ln w="9360">
                <a:solidFill>
                  <a:srgbClr val="f9f9f9"/>
                </a:solidFill>
                <a:round/>
              </a:ln>
            </c:spPr>
          </c:dPt>
          <c:dPt>
            <c:idx val="1"/>
            <c:invertIfNegative val="0"/>
            <c:spPr>
              <a:solidFill>
                <a:srgbClr val="c62828"/>
              </a:solidFill>
              <a:ln w="9360">
                <a:solidFill>
                  <a:srgbClr val="f9f9f9"/>
                </a:solidFill>
                <a:round/>
              </a:ln>
            </c:spPr>
          </c:dPt>
          <c:dPt>
            <c:idx val="2"/>
            <c:invertIfNegative val="0"/>
            <c:spPr>
              <a:solidFill>
                <a:srgbClr val="1e8e4e"/>
              </a:solidFill>
              <a:ln w="9360">
                <a:solidFill>
                  <a:srgbClr val="f9f9f9"/>
                </a:solidFill>
                <a:round/>
              </a:ln>
            </c:spPr>
          </c:dPt>
          <c:dPt>
            <c:idx val="3"/>
            <c:invertIfNegative val="0"/>
            <c:spPr>
              <a:solidFill>
                <a:srgbClr val="f47c20"/>
              </a:solidFill>
              <a:ln w="9360">
                <a:solidFill>
                  <a:srgbClr val="f9f9f9"/>
                </a:solidFill>
                <a:round/>
              </a:ln>
            </c:spPr>
          </c:dPt>
          <c:dLbls>
            <c:dLbl>
              <c:idx val="0"/>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2"/>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3"/>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Summary_Dashboard!$Q$9:$Q$12</c:f>
              <c:strCache>
                <c:ptCount val="4"/>
                <c:pt idx="0">
                  <c:v>Gross</c:v>
                </c:pt>
                <c:pt idx="1">
                  <c:v>Deductions</c:v>
                </c:pt>
                <c:pt idx="2">
                  <c:v>Final salary</c:v>
                </c:pt>
                <c:pt idx="3">
                  <c:v>Due from riders</c:v>
                </c:pt>
              </c:strCache>
            </c:strRef>
          </c:cat>
          <c:val>
            <c:numRef>
              <c:f>Summary_Dashboard!$R$9:$R$12</c:f>
              <c:numCache>
                <c:formatCode>#,##0</c:formatCode>
                <c:ptCount val="4"/>
                <c:pt idx="0">
                  <c:v>17676.2222222222</c:v>
                </c:pt>
                <c:pt idx="1">
                  <c:v>4478.75</c:v>
                </c:pt>
                <c:pt idx="2">
                  <c:v>14208.35</c:v>
                </c:pt>
                <c:pt idx="3">
                  <c:v>1026.86</c:v>
                </c:pt>
              </c:numCache>
            </c:numRef>
          </c:val>
        </c:ser>
        <c:gapWidth val="60"/>
        <c:overlap val="0"/>
        <c:axId val="90945275"/>
        <c:axId val="51681925"/>
      </c:barChart>
      <c:catAx>
        <c:axId val="9094527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1681925"/>
        <c:crosses val="autoZero"/>
        <c:auto val="1"/>
        <c:lblAlgn val="ctr"/>
        <c:lblOffset val="100"/>
        <c:noMultiLvlLbl val="0"/>
      </c:catAx>
      <c:valAx>
        <c:axId val="51681925"/>
        <c:scaling>
          <c:orientation val="minMax"/>
        </c:scaling>
        <c:delete val="0"/>
        <c:axPos val="l"/>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094527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4f81bd"/>
            </a:solidFill>
            <a:ln w="0">
              <a:noFill/>
            </a:ln>
          </c:spPr>
          <c:explosion val="0"/>
          <c:dPt>
            <c:idx val="0"/>
            <c:spPr>
              <a:solidFill>
                <a:srgbClr val="1e8e4e"/>
              </a:solidFill>
              <a:ln w="0">
                <a:noFill/>
              </a:ln>
            </c:spPr>
          </c:dPt>
          <c:dPt>
            <c:idx val="1"/>
            <c:spPr>
              <a:solidFill>
                <a:srgbClr val="2f7dc4"/>
              </a:solidFill>
              <a:ln w="0">
                <a:noFill/>
              </a:ln>
            </c:spPr>
          </c:dPt>
          <c:dPt>
            <c:idx val="2"/>
            <c:spPr>
              <a:solidFill>
                <a:srgbClr val="c62828"/>
              </a:solidFill>
              <a:ln w="0">
                <a:noFill/>
              </a:ln>
            </c:spPr>
          </c:dPt>
          <c:dPt>
            <c:idx val="3"/>
            <c:spPr>
              <a:solidFill>
                <a:srgbClr val="9aa5b1"/>
              </a:solidFill>
              <a:ln w="0">
                <a:noFill/>
              </a:ln>
            </c:spPr>
          </c:dPt>
          <c:dPt>
            <c:idx val="4"/>
            <c:spPr>
              <a:solidFill>
                <a:srgbClr val="e0a100"/>
              </a:solidFill>
              <a:ln w="0">
                <a:noFill/>
              </a:ln>
            </c:spPr>
          </c:dPt>
          <c:dLbls>
            <c:dLbl>
              <c:idx val="0"/>
              <c:txPr>
                <a:bodyPr wrap="none"/>
                <a:lstStyle/>
                <a:p>
                  <a:pPr>
                    <a:defRPr b="0" sz="1000" spc="-1" strike="noStrike">
                      <a:latin typeface="Arial"/>
                    </a:defRPr>
                  </a:pPr>
                </a:p>
              </c:txPr>
              <c:showLegendKey val="0"/>
              <c:showVal val="0"/>
              <c:showCatName val="0"/>
              <c:showSerName val="0"/>
              <c:showPercent val="0"/>
              <c:separator> </c:separator>
            </c:dLbl>
            <c:dLbl>
              <c:idx val="1"/>
              <c:txPr>
                <a:bodyPr wrap="none"/>
                <a:lstStyle/>
                <a:p>
                  <a:pPr>
                    <a:defRPr b="0" sz="1000" spc="-1" strike="noStrike">
                      <a:latin typeface="Arial"/>
                    </a:defRPr>
                  </a:pPr>
                </a:p>
              </c:txPr>
              <c:showLegendKey val="0"/>
              <c:showVal val="0"/>
              <c:showCatName val="0"/>
              <c:showSerName val="0"/>
              <c:showPercent val="0"/>
              <c:separator> </c:separator>
            </c:dLbl>
            <c:dLbl>
              <c:idx val="2"/>
              <c:txPr>
                <a:bodyPr wrap="none"/>
                <a:lstStyle/>
                <a:p>
                  <a:pPr>
                    <a:defRPr b="0" sz="1000" spc="-1" strike="noStrike">
                      <a:latin typeface="Arial"/>
                    </a:defRPr>
                  </a:pPr>
                </a:p>
              </c:txPr>
              <c:showLegendKey val="0"/>
              <c:showVal val="0"/>
              <c:showCatName val="0"/>
              <c:showSerName val="0"/>
              <c:showPercent val="0"/>
              <c:separator> </c:separator>
            </c:dLbl>
            <c:dLbl>
              <c:idx val="3"/>
              <c:txPr>
                <a:bodyPr wrap="none"/>
                <a:lstStyle/>
                <a:p>
                  <a:pPr>
                    <a:defRPr b="0" sz="1000" spc="-1" strike="noStrike">
                      <a:latin typeface="Arial"/>
                    </a:defRPr>
                  </a:pPr>
                </a:p>
              </c:txPr>
              <c:showLegendKey val="0"/>
              <c:showVal val="0"/>
              <c:showCatName val="0"/>
              <c:showSerName val="0"/>
              <c:showPercent val="0"/>
              <c:separator> </c:separator>
            </c:dLbl>
            <c:dLbl>
              <c:idx val="4"/>
              <c:txPr>
                <a:bodyPr wrap="none"/>
                <a:lstStyle/>
                <a:p>
                  <a:pPr>
                    <a:defRPr b="0" sz="1000" spc="-1" strike="noStrike">
                      <a:latin typeface="Arial"/>
                    </a:defRPr>
                  </a:pPr>
                </a:p>
              </c:txPr>
              <c:showLegendKey val="0"/>
              <c:showVal val="0"/>
              <c:showCatName val="0"/>
              <c:showSerName val="0"/>
              <c:showPercent val="0"/>
              <c:separator> </c:separator>
            </c:dLbl>
            <c:txPr>
              <a:bodyPr wrap="none"/>
              <a:lstStyle/>
              <a:p>
                <a:pPr>
                  <a:defRPr b="0" sz="1000" spc="-1" strike="noStrike">
                    <a:latin typeface="Arial"/>
                  </a:defRPr>
                </a:pPr>
              </a:p>
            </c:txPr>
            <c:showLegendKey val="0"/>
            <c:showVal val="0"/>
            <c:showCatName val="0"/>
            <c:showSerName val="0"/>
            <c:showPercent val="0"/>
            <c:separator> </c:separator>
            <c:showLeaderLines val="1"/>
          </c:dLbls>
          <c:cat>
            <c:strRef>
              <c:f>Summary_Dashboard!$B$35:$B$39</c:f>
              <c:strCache>
                <c:ptCount val="5"/>
                <c:pt idx="0">
                  <c:v>Paid in Full</c:v>
                </c:pt>
                <c:pt idx="1">
                  <c:v>Paid After Deductions</c:v>
                </c:pt>
                <c:pt idx="2">
                  <c:v>No Salary – Amount Due from Rider</c:v>
                </c:pt>
                <c:pt idx="3">
                  <c:v>No Orders</c:v>
                </c:pt>
                <c:pt idx="4">
                  <c:v>Review Required</c:v>
                </c:pt>
              </c:strCache>
            </c:strRef>
          </c:cat>
          <c:val>
            <c:numRef>
              <c:f>Summary_Dashboard!$E$35:$E$39</c:f>
              <c:numCache>
                <c:formatCode>0</c:formatCode>
                <c:ptCount val="5"/>
                <c:pt idx="0">
                  <c:v>0</c:v>
                </c:pt>
                <c:pt idx="1">
                  <c:v>11</c:v>
                </c:pt>
                <c:pt idx="2">
                  <c:v>4</c:v>
                </c:pt>
                <c:pt idx="3">
                  <c:v>0</c:v>
                </c:pt>
                <c:pt idx="4">
                  <c:v>0</c:v>
                </c:pt>
              </c:numCache>
            </c:numRef>
          </c:val>
        </c:ser>
        <c:firstSliceAng val="0"/>
        <c:holeSize val="50"/>
      </c:doughnut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image" Target="../media/image1.png"/>
</Relationships>
</file>

<file path=xl/drawings/_rels/drawing5.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17</xdr:row>
      <xdr:rowOff>0</xdr:rowOff>
    </xdr:from>
    <xdr:to>
      <xdr:col>7</xdr:col>
      <xdr:colOff>118080</xdr:colOff>
      <xdr:row>30</xdr:row>
      <xdr:rowOff>187200</xdr:rowOff>
    </xdr:to>
    <xdr:graphicFrame>
      <xdr:nvGraphicFramePr>
        <xdr:cNvPr id="0" name="Chart 1"/>
        <xdr:cNvGraphicFramePr/>
      </xdr:nvGraphicFramePr>
      <xdr:xfrm>
        <a:off x="141120" y="4229280"/>
        <a:ext cx="5615640" cy="2663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17</xdr:row>
      <xdr:rowOff>0</xdr:rowOff>
    </xdr:from>
    <xdr:to>
      <xdr:col>13</xdr:col>
      <xdr:colOff>117720</xdr:colOff>
      <xdr:row>30</xdr:row>
      <xdr:rowOff>187200</xdr:rowOff>
    </xdr:to>
    <xdr:graphicFrame>
      <xdr:nvGraphicFramePr>
        <xdr:cNvPr id="1" name="Chart 2"/>
        <xdr:cNvGraphicFramePr/>
      </xdr:nvGraphicFramePr>
      <xdr:xfrm>
        <a:off x="5638680" y="4229280"/>
        <a:ext cx="5615640" cy="2663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1</xdr:row>
      <xdr:rowOff>0</xdr:rowOff>
    </xdr:from>
    <xdr:to>
      <xdr:col>2</xdr:col>
      <xdr:colOff>559800</xdr:colOff>
      <xdr:row>4</xdr:row>
      <xdr:rowOff>237960</xdr:rowOff>
    </xdr:to>
    <xdr:pic>
      <xdr:nvPicPr>
        <xdr:cNvPr id="2" name="Image 3" descr="Picture"/>
        <xdr:cNvPicPr/>
      </xdr:nvPicPr>
      <xdr:blipFill>
        <a:blip r:embed="rId3"/>
        <a:stretch/>
      </xdr:blipFill>
      <xdr:spPr>
        <a:xfrm>
          <a:off x="141120" y="76320"/>
          <a:ext cx="1476000" cy="11808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xdr:row>
      <xdr:rowOff>68760</xdr:rowOff>
    </xdr:from>
    <xdr:to>
      <xdr:col>2</xdr:col>
      <xdr:colOff>446760</xdr:colOff>
      <xdr:row>8</xdr:row>
      <xdr:rowOff>135000</xdr:rowOff>
    </xdr:to>
    <xdr:pic>
      <xdr:nvPicPr>
        <xdr:cNvPr id="3" name="Image 1" descr="Picture"/>
        <xdr:cNvPicPr/>
      </xdr:nvPicPr>
      <xdr:blipFill>
        <a:blip r:embed="rId1"/>
        <a:stretch/>
      </xdr:blipFill>
      <xdr:spPr>
        <a:xfrm>
          <a:off x="141120" y="743040"/>
          <a:ext cx="1476000" cy="118080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0</xdr:row>
      <xdr:rowOff>0</xdr:rowOff>
    </xdr:from>
    <xdr:to>
      <xdr:col>4</xdr:col>
      <xdr:colOff>685440</xdr:colOff>
      <xdr:row>0</xdr:row>
      <xdr:rowOff>552240</xdr:rowOff>
    </xdr:to>
    <xdr:pic>
      <xdr:nvPicPr>
        <xdr:cNvPr id="4" name="Image 1" descr="Picture"/>
        <xdr:cNvPicPr/>
      </xdr:nvPicPr>
      <xdr:blipFill>
        <a:blip r:embed="rId1"/>
        <a:stretch/>
      </xdr:blipFill>
      <xdr:spPr>
        <a:xfrm>
          <a:off x="6696000" y="0"/>
          <a:ext cx="685440" cy="55224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685440</xdr:colOff>
      <xdr:row>0</xdr:row>
      <xdr:rowOff>552240</xdr:rowOff>
    </xdr:to>
    <xdr:pic>
      <xdr:nvPicPr>
        <xdr:cNvPr id="5" name="Image 1" descr="Picture"/>
        <xdr:cNvPicPr/>
      </xdr:nvPicPr>
      <xdr:blipFill>
        <a:blip r:embed="rId1"/>
        <a:stretch/>
      </xdr:blipFill>
      <xdr:spPr>
        <a:xfrm>
          <a:off x="0" y="0"/>
          <a:ext cx="685440" cy="55224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685440</xdr:colOff>
      <xdr:row>0</xdr:row>
      <xdr:rowOff>552240</xdr:rowOff>
    </xdr:to>
    <xdr:pic>
      <xdr:nvPicPr>
        <xdr:cNvPr id="6" name="Image 1" descr="Picture"/>
        <xdr:cNvPicPr/>
      </xdr:nvPicPr>
      <xdr:blipFill>
        <a:blip r:embed="rId1"/>
        <a:stretch/>
      </xdr:blipFill>
      <xdr:spPr>
        <a:xfrm>
          <a:off x="0" y="0"/>
          <a:ext cx="685440" cy="552240"/>
        </a:xfrm>
        <a:prstGeom prst="rect">
          <a:avLst/>
        </a:prstGeom>
        <a:ln w="0">
          <a:noFill/>
        </a:ln>
      </xdr:spPr>
    </xdr:pic>
    <xdr:clientData/>
  </xdr:twoCellAnchor>
</xdr:wsDr>
</file>

<file path=xl/tables/table1.xml><?xml version="1.0" encoding="utf-8"?>
<table xmlns="http://schemas.openxmlformats.org/spreadsheetml/2006/main" id="1" name="Adj_Input" displayName="Adj_Input" ref="A1:C2" headerRowCount="1" totalsRowCount="0" totalsRowShown="0">
  <autoFilter ref="A1:C2"/>
  <tableColumns count="3">
    <tableColumn id="1" name="Rider ID"/>
    <tableColumn id="2" name="Other Deductions"/>
    <tableColumn id="3" name="Note / Reason"/>
  </tableColumns>
</table>
</file>

<file path=xl/tables/table2.xml><?xml version="1.0" encoding="utf-8"?>
<table xmlns="http://schemas.openxmlformats.org/spreadsheetml/2006/main" id="2" name="Payslip_Lookup" displayName="Payslip_Lookup" ref="A1:AH501" headerRowCount="1" totalsRowCount="0" totalsRowShown="0">
  <autoFilter ref="A1:AH501"/>
  <tableColumns count="34">
    <tableColumn id="1" name="Key"/>
    <tableColumn id="2" name="Month Key"/>
    <tableColumn id="3" name="Salary Month"/>
    <tableColumn id="4" name="Rider ID"/>
    <tableColumn id="5" name="Rider Name"/>
    <tableColumn id="6" name="Working Days"/>
    <tableColumn id="7" name="Calendar Days"/>
    <tableColumn id="8" name="Monthly Target Orders"/>
    <tableColumn id="9" name="Rider Target Orders"/>
    <tableColumn id="10" name="Completed Orders"/>
    <tableColumn id="11" name="Base Order Rate"/>
    <tableColumn id="12" name="Basic Payment"/>
    <tableColumn id="13" name="Earned Salary"/>
    <tableColumn id="14" name="Orders Counted at Base Rate"/>
    <tableColumn id="15" name="Missing Orders"/>
    <tableColumn id="16" name="Missing-Order Deduction"/>
    <tableColumn id="17" name="Extra Orders"/>
    <tableColumn id="18" name="Extra-Order Bonus"/>
    <tableColumn id="19" name="Basic Salary for Target"/>
    <tableColumn id="20" name="Gross Salary Before Deductions"/>
    <tableColumn id="21" name="missed_days_penalty"/>
    <tableColumn id="22" name="Rider Balance"/>
    <tableColumn id="23" name="stacking_deduction"/>
    <tableColumn id="24" name="Other Deductions"/>
    <tableColumn id="25" name="Total Deductions"/>
    <tableColumn id="26" name="Final Salary"/>
    <tableColumn id="27" name="Negative Balance / Amount Due from Rider"/>
    <tableColumn id="28" name="Total Amount Due from Rider"/>
    <tableColumn id="29" name="Salary Before Other Deductions"/>
    <tableColumn id="30" name="Payment Status"/>
    <tableColumn id="31" name="Notes"/>
    <tableColumn id="32" name="Exception Reason"/>
    <tableColumn id="33" name="Exception Seq"/>
    <tableColumn id="34" name="Selected Month Seq"/>
  </tableColumns>
</table>
</file>

<file path=xl/tables/table3.xml><?xml version="1.0" encoding="utf-8"?>
<table xmlns="http://schemas.openxmlformats.org/spreadsheetml/2006/main" id="3" name="Rider_Input" displayName="Rider_Input" ref="A1:L501" headerRowCount="1" totalsRowCount="0" totalsRowShown="0">
  <autoFilter ref="A1:L501"/>
  <tableColumns count="12">
    <tableColumn id="1" name="Salary Month"/>
    <tableColumn id="2" name="Rider ID"/>
    <tableColumn id="3" name="Rider Name"/>
    <tableColumn id="4" name="Basic Payment"/>
    <tableColumn id="5" name="Calendar Days in Month"/>
    <tableColumn id="6" name="Working Days"/>
    <tableColumn id="7" name="Completed Orders"/>
    <tableColumn id="8" name="missed_days_penalty"/>
    <tableColumn id="9" name="Rider Balance / محفظة المندوب"/>
    <tableColumn id="10" name="stacking_deduction / خصم الطلبات المتعددة"/>
    <tableColumn id="11" name="Other Deductions"/>
    <tableColumn id="12" name="Notes"/>
  </tableColumns>
</table>
</file>

<file path=xl/tables/table4.xml><?xml version="1.0" encoding="utf-8"?>
<table xmlns="http://schemas.openxmlformats.org/spreadsheetml/2006/main" id="4" name="Rider_Master" displayName="Rider_Master" ref="A1:D16" headerRowCount="1" totalsRowCount="0" totalsRowShown="0">
  <autoFilter ref="A1:D16"/>
  <tableColumns count="4">
    <tableColumn id="1" name="Rider ID"/>
    <tableColumn id="2" name="Rider Name"/>
    <tableColumn id="3" name="Basic Payment (blank = default)"/>
    <tableColumn id="4" name="Notes"/>
  </tableColumns>
</table>
</file>

<file path=xl/tables/table5.xml><?xml version="1.0" encoding="utf-8"?>
<table xmlns="http://schemas.openxmlformats.org/spreadsheetml/2006/main" id="5" name="Salary_Calculation" displayName="Salary_Calculation" ref="A1:AE501" headerRowCount="1" totalsRowCount="0" totalsRowShown="0">
  <autoFilter ref="A1:AE501"/>
  <tableColumns count="31">
    <tableColumn id="1" name="Salary Month"/>
    <tableColumn id="2" name="Rider ID"/>
    <tableColumn id="3" name="Rider Name"/>
    <tableColumn id="4" name="Basic Payment"/>
    <tableColumn id="5" name="Calendar Days"/>
    <tableColumn id="6" name="Working Days"/>
    <tableColumn id="7" name="Monthly Target Orders"/>
    <tableColumn id="8" name="Rider Target Orders"/>
    <tableColumn id="9" name="Completed Orders"/>
    <tableColumn id="10" name="Base Order Rate"/>
    <tableColumn id="11" name="Orders Counted at Base Rate"/>
    <tableColumn id="12" name="Earned Salary"/>
    <tableColumn id="13" name="Missing Orders"/>
    <tableColumn id="14" name="Missing-Order Deduction"/>
    <tableColumn id="15" name="Extra Orders"/>
    <tableColumn id="16" name="Extra-Order Bonus"/>
    <tableColumn id="17" name="Gross Salary Before Deductions"/>
    <tableColumn id="18" name="missed_days_penalty"/>
    <tableColumn id="19" name="Rider Balance"/>
    <tableColumn id="20" name="stacking_deduction"/>
    <tableColumn id="21" name="Other Deductions"/>
    <tableColumn id="22" name="Total Deductions"/>
    <tableColumn id="23" name="Final Salary"/>
    <tableColumn id="24" name="Negative Balance / Amount Due from Rider"/>
    <tableColumn id="25" name="Payment Status"/>
    <tableColumn id="26" name="Notes"/>
    <tableColumn id="27" name="Salary Before Other Deductions"/>
    <tableColumn id="28" name="Total Amount Due from Rider"/>
    <tableColumn id="29" name="Exception Reason"/>
    <tableColumn id="30" name="Basic Salary for Target"/>
    <tableColumn id="31" name="Source Row"/>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table" Target="../tables/table4.xml"/>
</Relationships>
</file>

<file path=xl/worksheets/_rels/sheet8.xml.rels><?xml version="1.0" encoding="UTF-8"?>
<Relationships xmlns="http://schemas.openxmlformats.org/package/2006/relationships"><Relationship Id="rId1" Type="http://schemas.openxmlformats.org/officeDocument/2006/relationships/table" Target="../tables/table1.x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1.vml"/><Relationship Id="rId3" Type="http://schemas.openxmlformats.org/officeDocument/2006/relationships/table" Target="../tables/table3.xml"/>
</Relationships>
</file>

<file path=xl/worksheets/_rels/sheet10.xml.rels><?xml version="1.0" encoding="UTF-8"?>
<Relationships xmlns="http://schemas.openxmlformats.org/package/2006/relationships"><Relationship Id="rId1" Type="http://schemas.openxmlformats.org/officeDocument/2006/relationships/table" Target="../tables/table5.xml"/>
</Relationships>
</file>

<file path=xl/worksheets/_rels/sheet11.xml.rels><?xml version="1.0" encoding="UTF-8"?>
<Relationships xmlns="http://schemas.openxmlformats.org/package/2006/relationships"><Relationship Id="rId1" Type="http://schemas.openxmlformats.org/officeDocument/2006/relationships/table" Target="../tables/table2.xml"/>
</Relationships>
</file>

<file path=xl/worksheets/_rels/sheet12.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DC4"/>
    <pageSetUpPr fitToPage="true"/>
  </sheetPr>
  <dimension ref="B1:R10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15" min="2" style="0" width="13"/>
    <col collapsed="false" customWidth="true" hidden="false" outlineLevel="0" max="16" min="16" style="0" width="3"/>
    <col collapsed="false" customWidth="true" hidden="false" outlineLevel="0" max="19" min="17" style="0" width="16"/>
  </cols>
  <sheetData>
    <row r="1" customFormat="false" ht="6" hidden="false" customHeight="true" outlineLevel="0" collapsed="false">
      <c r="B1" s="1"/>
      <c r="C1" s="1"/>
      <c r="D1" s="1"/>
      <c r="E1" s="1"/>
      <c r="F1" s="1"/>
      <c r="G1" s="1"/>
      <c r="H1" s="2"/>
      <c r="I1" s="2"/>
      <c r="J1" s="2"/>
      <c r="K1" s="2"/>
      <c r="L1" s="2"/>
      <c r="M1" s="2"/>
      <c r="N1" s="2"/>
    </row>
    <row r="2" customFormat="false" ht="24.75" hidden="false" customHeight="true" outlineLevel="0" collapsed="false">
      <c r="F2" s="3" t="s">
        <v>0</v>
      </c>
      <c r="G2" s="3"/>
      <c r="H2" s="3"/>
      <c r="I2" s="3"/>
      <c r="J2" s="3"/>
      <c r="K2" s="3"/>
      <c r="L2" s="3"/>
      <c r="M2" s="3"/>
      <c r="N2" s="3"/>
    </row>
    <row r="3" customFormat="false" ht="24.75" hidden="false" customHeight="true" outlineLevel="0" collapsed="false">
      <c r="F3" s="3"/>
      <c r="G3" s="3"/>
      <c r="H3" s="3"/>
      <c r="I3" s="3"/>
      <c r="J3" s="3"/>
      <c r="K3" s="3"/>
      <c r="L3" s="3"/>
      <c r="M3" s="3"/>
      <c r="N3" s="3"/>
    </row>
    <row r="4" customFormat="false" ht="24.75" hidden="false" customHeight="true" outlineLevel="0" collapsed="false">
      <c r="F4" s="4" t="str">
        <f aca="false">"Elite Development  ·  "&amp;IF($K$5="All Months","All months",TEXT($K$5,"mmmm yyyy"))&amp;"  ·  "&amp;$B$8&amp;" riders"</f>
        <v>Elite Development  ·  All months  ·  15 riders</v>
      </c>
      <c r="G4" s="4"/>
      <c r="H4" s="4"/>
      <c r="I4" s="4"/>
      <c r="J4" s="4"/>
      <c r="K4" s="4"/>
      <c r="L4" s="4"/>
      <c r="M4" s="4"/>
      <c r="N4" s="4"/>
    </row>
    <row r="5" customFormat="false" ht="24.75" hidden="false" customHeight="true" outlineLevel="0" collapsed="false">
      <c r="I5" s="5" t="s">
        <v>1</v>
      </c>
      <c r="J5" s="5"/>
      <c r="K5" s="6" t="s">
        <v>2</v>
      </c>
      <c r="L5" s="6"/>
      <c r="M5" s="7" t="s">
        <v>3</v>
      </c>
      <c r="N5" s="7"/>
      <c r="Q5" s="8" t="s">
        <v>4</v>
      </c>
      <c r="R5" s="9" t="n">
        <f aca="false">IF($K$5="All Months",1,$K$5)</f>
        <v>1</v>
      </c>
    </row>
    <row r="6" customFormat="false" ht="9.75" hidden="false" customHeight="true" outlineLevel="0" collapsed="false">
      <c r="Q6" s="8" t="s">
        <v>5</v>
      </c>
      <c r="R6" s="9" t="n">
        <f aca="false">IF($K$5="All Months",2958465,EDATE($K$5,1))</f>
        <v>2958465</v>
      </c>
    </row>
    <row r="7" customFormat="false" ht="19.5" hidden="false" customHeight="true" outlineLevel="0" collapsed="false">
      <c r="B7" s="10" t="s">
        <v>6</v>
      </c>
      <c r="C7" s="10"/>
      <c r="D7" s="10"/>
      <c r="E7" s="10" t="s">
        <v>7</v>
      </c>
      <c r="F7" s="10"/>
      <c r="G7" s="10"/>
      <c r="H7" s="11" t="s">
        <v>8</v>
      </c>
      <c r="I7" s="11"/>
      <c r="J7" s="11"/>
      <c r="K7" s="12" t="s">
        <v>9</v>
      </c>
      <c r="L7" s="12"/>
      <c r="M7" s="12"/>
    </row>
    <row r="8" customFormat="false" ht="37.5" hidden="false" customHeight="true" outlineLevel="0" collapsed="false">
      <c r="B8" s="13" t="n">
        <f aca="false">COUNTIFS(Salary_Calculation[Salary Month],"&gt;="&amp;Dash_Start,Salary_Calculation[Salary Month],"&lt;"&amp;Dash_End)</f>
        <v>15</v>
      </c>
      <c r="C8" s="13"/>
      <c r="D8" s="13"/>
      <c r="E8" s="14" t="n">
        <f aca="false">SUMIFS(Salary_Calculation[Gross Salary Before Deductions],Salary_Calculation[Salary Month],"&gt;="&amp;Dash_Start,Salary_Calculation[Salary Month],"&lt;"&amp;Dash_End)</f>
        <v>17676.2222222222</v>
      </c>
      <c r="F8" s="14"/>
      <c r="G8" s="14"/>
      <c r="H8" s="15" t="n">
        <f aca="false">SUMIFS(Salary_Calculation[Total Deductions],Salary_Calculation[Salary Month],"&gt;="&amp;Dash_Start,Salary_Calculation[Salary Month],"&lt;"&amp;Dash_End)</f>
        <v>4478.75</v>
      </c>
      <c r="I8" s="15"/>
      <c r="J8" s="15"/>
      <c r="K8" s="16" t="n">
        <f aca="false">SUMIFS(Salary_Calculation[Final Salary],Salary_Calculation[Salary Month],"&gt;="&amp;Dash_Start,Salary_Calculation[Salary Month],"&lt;"&amp;Dash_End)</f>
        <v>14208.35</v>
      </c>
      <c r="L8" s="16"/>
      <c r="M8" s="16"/>
      <c r="Q8" s="17" t="s">
        <v>10</v>
      </c>
    </row>
    <row r="9" customFormat="false" ht="19.5" hidden="false" customHeight="true" outlineLevel="0" collapsed="false">
      <c r="B9" s="18" t="str">
        <f aca="false">"review required: "&amp;COUNTIFS(Salary_Calculation[Payment Status],"Review Required",Salary_Calculation[Salary Month],"&gt;="&amp;Dash_Start,Salary_Calculation[Salary Month],"&lt;"&amp;Dash_End)</f>
        <v>review required: 0</v>
      </c>
      <c r="C9" s="18"/>
      <c r="D9" s="18"/>
      <c r="E9" s="18" t="str">
        <f aca="false">IFERROR("avg SAR "&amp;TEXT(E8/$B$8,"#,##0")&amp;" per rider","")</f>
        <v>avg SAR 1,178 per rider</v>
      </c>
      <c r="F9" s="18"/>
      <c r="G9" s="18"/>
      <c r="H9" s="18" t="str">
        <f aca="false">IFERROR(TEXT(H8/E8,"0.0%")&amp;" of gross salary","")</f>
        <v>25.3% of gross salary</v>
      </c>
      <c r="I9" s="18"/>
      <c r="J9" s="18"/>
      <c r="K9" s="18" t="str">
        <f aca="false">IFERROR("avg SAR "&amp;TEXT(K8/$B$8,"#,##0")&amp;" per rider","")</f>
        <v>avg SAR 947 per rider</v>
      </c>
      <c r="L9" s="18"/>
      <c r="M9" s="18"/>
      <c r="Q9" s="8" t="s">
        <v>11</v>
      </c>
      <c r="R9" s="19" t="n">
        <f aca="false">E8</f>
        <v>17676.2222222222</v>
      </c>
    </row>
    <row r="10" customFormat="false" ht="7.5" hidden="false" customHeight="true" outlineLevel="0" collapsed="false">
      <c r="Q10" s="8" t="s">
        <v>12</v>
      </c>
      <c r="R10" s="19" t="n">
        <f aca="false">H8</f>
        <v>4478.75</v>
      </c>
    </row>
    <row r="11" customFormat="false" ht="19.5" hidden="false" customHeight="true" outlineLevel="0" collapsed="false">
      <c r="B11" s="11" t="s">
        <v>13</v>
      </c>
      <c r="C11" s="11"/>
      <c r="D11" s="11"/>
      <c r="E11" s="10" t="s">
        <v>14</v>
      </c>
      <c r="F11" s="10"/>
      <c r="G11" s="10"/>
      <c r="H11" s="20" t="s">
        <v>15</v>
      </c>
      <c r="I11" s="20"/>
      <c r="J11" s="20"/>
      <c r="K11" s="12" t="s">
        <v>16</v>
      </c>
      <c r="L11" s="12"/>
      <c r="M11" s="12"/>
      <c r="Q11" s="8" t="s">
        <v>17</v>
      </c>
      <c r="R11" s="19" t="n">
        <f aca="false">K8</f>
        <v>14208.35</v>
      </c>
    </row>
    <row r="12" customFormat="false" ht="37.5" hidden="false" customHeight="true" outlineLevel="0" collapsed="false">
      <c r="B12" s="15" t="n">
        <f aca="false">SUMIFS(Salary_Calculation[Total Amount Due from Rider],Salary_Calculation[Salary Month],"&gt;="&amp;Dash_Start,Salary_Calculation[Salary Month],"&lt;"&amp;Dash_End)</f>
        <v>1026.86</v>
      </c>
      <c r="C12" s="15"/>
      <c r="D12" s="15"/>
      <c r="E12" s="21" t="n">
        <f aca="false">SUMIFS(Salary_Calculation[Completed Orders],Salary_Calculation[Salary Month],"&gt;="&amp;Dash_Start,Salary_Calculation[Salary Month],"&lt;"&amp;Dash_End)</f>
        <v>4734</v>
      </c>
      <c r="F12" s="21"/>
      <c r="G12" s="21"/>
      <c r="H12" s="22" t="n">
        <f aca="false">SUMIFS(Salary_Calculation[Missing Orders],Salary_Calculation[Salary Month],"&gt;="&amp;Dash_Start,Salary_Calculation[Salary Month],"&lt;"&amp;Dash_End)</f>
        <v>586</v>
      </c>
      <c r="I12" s="22"/>
      <c r="J12" s="22"/>
      <c r="K12" s="23" t="n">
        <f aca="false">SUMIFS(Salary_Calculation[Extra Orders],Salary_Calculation[Salary Month],"&gt;="&amp;Dash_Start,Salary_Calculation[Salary Month],"&lt;"&amp;Dash_End)</f>
        <v>130</v>
      </c>
      <c r="L12" s="23"/>
      <c r="M12" s="23"/>
      <c r="Q12" s="8" t="s">
        <v>18</v>
      </c>
      <c r="R12" s="19" t="n">
        <f aca="false">B12</f>
        <v>1026.86</v>
      </c>
    </row>
    <row r="13" customFormat="false" ht="19.5" hidden="false" customHeight="true" outlineLevel="0" collapsed="false">
      <c r="B13" s="18" t="str">
        <f aca="false">COUNTIFS(Salary_Calculation[Total Amount Due from Rider],"&gt;0",Salary_Calculation[Salary Month],"&gt;="&amp;Dash_Start,Salary_Calculation[Salary Month],"&lt;"&amp;Dash_End)&amp;" rider(s) owe the company"</f>
        <v>4 rider(s) owe the company</v>
      </c>
      <c r="C13" s="18"/>
      <c r="D13" s="18"/>
      <c r="E13" s="18" t="str">
        <f aca="false">IFERROR("avg "&amp;TEXT(E12/$B$8,"#,##0")&amp;" per rider","")</f>
        <v>avg 316 per rider</v>
      </c>
      <c r="F13" s="18"/>
      <c r="G13" s="18"/>
      <c r="H13" s="18" t="str">
        <f aca="false">COUNTIFS(Salary_Calculation[Missing Orders],"&gt;0",Salary_Calculation[Salary Month],"&gt;="&amp;Dash_Start,Salary_Calculation[Salary Month],"&lt;"&amp;Dash_End)&amp;" rider(s) below target"</f>
        <v>12 rider(s) below target</v>
      </c>
      <c r="I13" s="18"/>
      <c r="J13" s="18"/>
      <c r="K13" s="18" t="str">
        <f aca="false">COUNTIFS(Salary_Calculation[Extra Orders],"&gt;0",Salary_Calculation[Salary Month],"&gt;="&amp;Dash_Start,Salary_Calculation[Salary Month],"&lt;"&amp;Dash_End)&amp;" rider(s) earned a bonus"</f>
        <v>3 rider(s) earned a bonus</v>
      </c>
      <c r="L13" s="18"/>
      <c r="M13" s="18"/>
    </row>
    <row r="14" customFormat="false" ht="7.5" hidden="false" customHeight="true" outlineLevel="0" collapsed="false"/>
    <row r="15" customFormat="false" ht="25.5" hidden="false" customHeight="true" outlineLevel="0" collapsed="false">
      <c r="B15" s="24" t="str">
        <f aca="false">IF(COUNTIFS(Salary_Calculation[Payment Status],"Review Required",Salary_Calculation[Salary Month],"&gt;="&amp;Dash_Start,Salary_Calculation[Salary Month],"&lt;"&amp;Dash_End)=0,"✔  All records valid – no exceptions","⚠  "&amp;COUNTIFS(Salary_Calculation[Payment Status],"Review Required",Salary_Calculation[Salary Month],"&gt;="&amp;Dash_Start,Salary_Calculation[Salary Month],"&lt;"&amp;Dash_End)&amp;" record(s) require review – see the Exception Report below")</f>
        <v>✔  All records valid – no exceptions</v>
      </c>
      <c r="C15" s="24"/>
      <c r="D15" s="24"/>
      <c r="E15" s="24"/>
      <c r="F15" s="24"/>
      <c r="G15" s="24"/>
      <c r="H15" s="24"/>
      <c r="I15" s="24"/>
      <c r="J15" s="24"/>
      <c r="K15" s="24"/>
      <c r="L15" s="24"/>
      <c r="M15" s="24"/>
    </row>
    <row r="16" customFormat="false" ht="9.75" hidden="false" customHeight="true" outlineLevel="0" collapsed="false"/>
    <row r="17" customFormat="false" ht="15" hidden="false" customHeight="true" outlineLevel="0" collapsed="false">
      <c r="B17" s="25" t="s">
        <v>19</v>
      </c>
      <c r="C17" s="25"/>
      <c r="D17" s="25"/>
      <c r="E17" s="25"/>
      <c r="F17" s="25"/>
      <c r="G17" s="25"/>
      <c r="H17" s="26" t="s">
        <v>20</v>
      </c>
      <c r="I17" s="26"/>
      <c r="J17" s="26"/>
      <c r="K17" s="26"/>
      <c r="L17" s="26"/>
      <c r="M17" s="26"/>
    </row>
    <row r="33" customFormat="false" ht="15" hidden="false" customHeight="true" outlineLevel="0" collapsed="false">
      <c r="B33" s="27" t="s">
        <v>21</v>
      </c>
      <c r="C33" s="27"/>
      <c r="D33" s="27"/>
      <c r="E33" s="27"/>
      <c r="F33" s="27"/>
      <c r="H33" s="28" t="s">
        <v>22</v>
      </c>
      <c r="I33" s="28"/>
      <c r="J33" s="28"/>
      <c r="K33" s="28"/>
      <c r="L33" s="28"/>
      <c r="M33" s="28"/>
    </row>
    <row r="34" customFormat="false" ht="15" hidden="false" customHeight="true" outlineLevel="0" collapsed="false">
      <c r="B34" s="29" t="s">
        <v>23</v>
      </c>
      <c r="C34" s="29"/>
      <c r="D34" s="29"/>
      <c r="E34" s="30" t="s">
        <v>24</v>
      </c>
      <c r="F34" s="30" t="s">
        <v>25</v>
      </c>
      <c r="H34" s="30" t="s">
        <v>26</v>
      </c>
      <c r="I34" s="30" t="s">
        <v>27</v>
      </c>
      <c r="J34" s="31" t="s">
        <v>28</v>
      </c>
      <c r="K34" s="31"/>
      <c r="L34" s="30" t="s">
        <v>29</v>
      </c>
      <c r="M34" s="30" t="s">
        <v>30</v>
      </c>
      <c r="Q34" s="32" t="s">
        <v>31</v>
      </c>
    </row>
    <row r="35" customFormat="false" ht="21.75" hidden="false" customHeight="true" outlineLevel="0" collapsed="false">
      <c r="B35" s="33" t="s">
        <v>32</v>
      </c>
      <c r="C35" s="33"/>
      <c r="D35" s="33"/>
      <c r="E35" s="34" t="n">
        <f aca="false">COUNTIFS(Salary_Calculation[Payment Status],$B35,Salary_Calculation[Salary Month],"&gt;="&amp;Dash_Start,Salary_Calculation[Salary Month],"&lt;"&amp;Dash_End)</f>
        <v>0</v>
      </c>
      <c r="F35" s="35" t="n">
        <f aca="false">IF($B$8=0,0,E35/$B$8)</f>
        <v>0</v>
      </c>
      <c r="H35" s="36" t="n">
        <f aca="false">IF($R35="","",1)</f>
        <v>1</v>
      </c>
      <c r="I35" s="37" t="n">
        <f aca="false">IF($R35="","",INDEX(Payslip_Lookup[Rider ID],$R35))</f>
        <v>4648308</v>
      </c>
      <c r="J35" s="38" t="str">
        <f aca="false">IF($R35="","",INDEX(Payslip_Lookup[Rider Name],$R35))</f>
        <v>Rider 4648308</v>
      </c>
      <c r="K35" s="38"/>
      <c r="L35" s="39" t="n">
        <f aca="false">IF($R35="","",INDEX(Payslip_Lookup[Final Salary],$R35))</f>
        <v>2721.55</v>
      </c>
      <c r="M35" s="40" t="n">
        <f aca="false">IF($R35="","",INDEX(Payslip_Lookup[Completed Orders],$R35))</f>
        <v>551</v>
      </c>
      <c r="R35" s="32" t="n">
        <f aca="false">IFERROR(MATCH(LARGE(Payslip_Data!$AM$2:$AM$501,1),Payslip_Data!$AM$2:$AM$501,0),"")</f>
        <v>11</v>
      </c>
    </row>
    <row r="36" customFormat="false" ht="21.75" hidden="false" customHeight="true" outlineLevel="0" collapsed="false">
      <c r="B36" s="33" t="s">
        <v>33</v>
      </c>
      <c r="C36" s="33"/>
      <c r="D36" s="33"/>
      <c r="E36" s="34" t="n">
        <f aca="false">COUNTIFS(Salary_Calculation[Payment Status],$B36,Salary_Calculation[Salary Month],"&gt;="&amp;Dash_Start,Salary_Calculation[Salary Month],"&lt;"&amp;Dash_End)</f>
        <v>11</v>
      </c>
      <c r="F36" s="35" t="n">
        <f aca="false">IF($B$8=0,0,E36/$B$8)</f>
        <v>0.733333333333333</v>
      </c>
      <c r="H36" s="41" t="n">
        <f aca="false">IF($R36="","",2)</f>
        <v>2</v>
      </c>
      <c r="I36" s="42" t="n">
        <f aca="false">IF($R36="","",INDEX(Payslip_Lookup[Rider ID],$R36))</f>
        <v>4747290</v>
      </c>
      <c r="J36" s="43" t="str">
        <f aca="false">IF($R36="","",INDEX(Payslip_Lookup[Rider Name],$R36))</f>
        <v>Rider 4747290</v>
      </c>
      <c r="K36" s="43"/>
      <c r="L36" s="44" t="n">
        <f aca="false">IF($R36="","",INDEX(Payslip_Lookup[Final Salary],$R36))</f>
        <v>2240.64</v>
      </c>
      <c r="M36" s="45" t="n">
        <f aca="false">IF($R36="","",INDEX(Payslip_Lookup[Completed Orders],$R36))</f>
        <v>498</v>
      </c>
      <c r="R36" s="32" t="n">
        <f aca="false">IFERROR(MATCH(LARGE(Payslip_Data!$AM$2:$AM$501,2),Payslip_Data!$AM$2:$AM$501,0),"")</f>
        <v>7</v>
      </c>
    </row>
    <row r="37" customFormat="false" ht="21.75" hidden="false" customHeight="true" outlineLevel="0" collapsed="false">
      <c r="B37" s="33" t="s">
        <v>34</v>
      </c>
      <c r="C37" s="33"/>
      <c r="D37" s="33"/>
      <c r="E37" s="34" t="n">
        <f aca="false">COUNTIFS(Salary_Calculation[Payment Status],$B37,Salary_Calculation[Salary Month],"&gt;="&amp;Dash_Start,Salary_Calculation[Salary Month],"&lt;"&amp;Dash_End)</f>
        <v>4</v>
      </c>
      <c r="F37" s="35" t="n">
        <f aca="false">IF($B$8=0,0,E37/$B$8)</f>
        <v>0.266666666666667</v>
      </c>
      <c r="H37" s="36" t="n">
        <f aca="false">IF($R37="","",3)</f>
        <v>3</v>
      </c>
      <c r="I37" s="37" t="n">
        <f aca="false">IF($R37="","",INDEX(Payslip_Lookup[Rider ID],$R37))</f>
        <v>4611383</v>
      </c>
      <c r="J37" s="38" t="str">
        <f aca="false">IF($R37="","",INDEX(Payslip_Lookup[Rider Name],$R37))</f>
        <v>Rider 4611383</v>
      </c>
      <c r="K37" s="38"/>
      <c r="L37" s="39" t="n">
        <f aca="false">IF($R37="","",INDEX(Payslip_Lookup[Final Salary],$R37))</f>
        <v>1848.27</v>
      </c>
      <c r="M37" s="40" t="n">
        <f aca="false">IF($R37="","",INDEX(Payslip_Lookup[Completed Orders],$R37))</f>
        <v>476</v>
      </c>
      <c r="R37" s="32" t="n">
        <f aca="false">IFERROR(MATCH(LARGE(Payslip_Data!$AM$2:$AM$501,3),Payslip_Data!$AM$2:$AM$501,0),"")</f>
        <v>15</v>
      </c>
    </row>
    <row r="38" customFormat="false" ht="21.75" hidden="false" customHeight="true" outlineLevel="0" collapsed="false">
      <c r="B38" s="33" t="s">
        <v>35</v>
      </c>
      <c r="C38" s="33"/>
      <c r="D38" s="33"/>
      <c r="E38" s="34" t="n">
        <f aca="false">COUNTIFS(Salary_Calculation[Payment Status],$B38,Salary_Calculation[Salary Month],"&gt;="&amp;Dash_Start,Salary_Calculation[Salary Month],"&lt;"&amp;Dash_End)</f>
        <v>0</v>
      </c>
      <c r="F38" s="35" t="n">
        <f aca="false">IF($B$8=0,0,E38/$B$8)</f>
        <v>0</v>
      </c>
      <c r="H38" s="41" t="n">
        <f aca="false">IF($R38="","",4)</f>
        <v>4</v>
      </c>
      <c r="I38" s="42" t="n">
        <f aca="false">IF($R38="","",INDEX(Payslip_Lookup[Rider ID],$R38))</f>
        <v>4643856</v>
      </c>
      <c r="J38" s="43" t="str">
        <f aca="false">IF($R38="","",INDEX(Payslip_Lookup[Rider Name],$R38))</f>
        <v>Rider 4643856</v>
      </c>
      <c r="K38" s="43"/>
      <c r="L38" s="44" t="n">
        <f aca="false">IF($R38="","",INDEX(Payslip_Lookup[Final Salary],$R38))</f>
        <v>1675.29</v>
      </c>
      <c r="M38" s="45" t="n">
        <f aca="false">IF($R38="","",INDEX(Payslip_Lookup[Completed Orders],$R38))</f>
        <v>449</v>
      </c>
      <c r="R38" s="32" t="n">
        <f aca="false">IFERROR(MATCH(LARGE(Payslip_Data!$AM$2:$AM$501,4),Payslip_Data!$AM$2:$AM$501,0),"")</f>
        <v>13</v>
      </c>
    </row>
    <row r="39" customFormat="false" ht="21.75" hidden="false" customHeight="true" outlineLevel="0" collapsed="false">
      <c r="B39" s="33" t="s">
        <v>36</v>
      </c>
      <c r="C39" s="33"/>
      <c r="D39" s="33"/>
      <c r="E39" s="34" t="n">
        <f aca="false">COUNTIFS(Salary_Calculation[Payment Status],$B39,Salary_Calculation[Salary Month],"&gt;="&amp;Dash_Start,Salary_Calculation[Salary Month],"&lt;"&amp;Dash_End)</f>
        <v>0</v>
      </c>
      <c r="F39" s="35" t="n">
        <f aca="false">IF($B$8=0,0,E39/$B$8)</f>
        <v>0</v>
      </c>
      <c r="H39" s="36" t="n">
        <f aca="false">IF($R39="","",5)</f>
        <v>5</v>
      </c>
      <c r="I39" s="37" t="n">
        <f aca="false">IF($R39="","",INDEX(Payslip_Lookup[Rider ID],$R39))</f>
        <v>4642935</v>
      </c>
      <c r="J39" s="38" t="str">
        <f aca="false">IF($R39="","",INDEX(Payslip_Lookup[Rider Name],$R39))</f>
        <v>Rider 4642935</v>
      </c>
      <c r="K39" s="38"/>
      <c r="L39" s="39" t="n">
        <f aca="false">IF($R39="","",INDEX(Payslip_Lookup[Final Salary],$R39))</f>
        <v>1602.49</v>
      </c>
      <c r="M39" s="40" t="n">
        <f aca="false">IF($R39="","",INDEX(Payslip_Lookup[Completed Orders],$R39))</f>
        <v>442</v>
      </c>
      <c r="R39" s="32" t="n">
        <f aca="false">IFERROR(MATCH(LARGE(Payslip_Data!$AM$2:$AM$501,5),Payslip_Data!$AM$2:$AM$501,0),"")</f>
        <v>14</v>
      </c>
    </row>
    <row r="40" customFormat="false" ht="21.75" hidden="false" customHeight="true" outlineLevel="0" collapsed="false">
      <c r="H40" s="41" t="n">
        <f aca="false">IF($R40="","",6)</f>
        <v>6</v>
      </c>
      <c r="I40" s="42" t="n">
        <f aca="false">IF($R40="","",INDEX(Payslip_Lookup[Rider ID],$R40))</f>
        <v>4652654</v>
      </c>
      <c r="J40" s="43" t="str">
        <f aca="false">IF($R40="","",INDEX(Payslip_Lookup[Rider Name],$R40))</f>
        <v>Rider 4652654</v>
      </c>
      <c r="K40" s="43"/>
      <c r="L40" s="44" t="n">
        <f aca="false">IF($R40="","",INDEX(Payslip_Lookup[Final Salary],$R40))</f>
        <v>1454.79</v>
      </c>
      <c r="M40" s="45" t="n">
        <f aca="false">IF($R40="","",INDEX(Payslip_Lookup[Completed Orders],$R40))</f>
        <v>433</v>
      </c>
      <c r="R40" s="32" t="n">
        <f aca="false">IFERROR(MATCH(LARGE(Payslip_Data!$AM$2:$AM$501,6),Payslip_Data!$AM$2:$AM$501,0),"")</f>
        <v>8</v>
      </c>
    </row>
    <row r="41" customFormat="false" ht="21.75" hidden="false" customHeight="true" outlineLevel="0" collapsed="false">
      <c r="H41" s="36" t="n">
        <f aca="false">IF($R41="","",7)</f>
        <v>7</v>
      </c>
      <c r="I41" s="37" t="n">
        <f aca="false">IF($R41="","",INDEX(Payslip_Lookup[Rider ID],$R41))</f>
        <v>4648709</v>
      </c>
      <c r="J41" s="38" t="str">
        <f aca="false">IF($R41="","",INDEX(Payslip_Lookup[Rider Name],$R41))</f>
        <v>Rider 4648709</v>
      </c>
      <c r="K41" s="38"/>
      <c r="L41" s="39" t="n">
        <f aca="false">IF($R41="","",INDEX(Payslip_Lookup[Final Salary],$R41))</f>
        <v>877.6</v>
      </c>
      <c r="M41" s="40" t="n">
        <f aca="false">IF($R41="","",INDEX(Payslip_Lookup[Completed Orders],$R41))</f>
        <v>391</v>
      </c>
      <c r="R41" s="32" t="n">
        <f aca="false">IFERROR(MATCH(LARGE(Payslip_Data!$AM$2:$AM$501,7),Payslip_Data!$AM$2:$AM$501,0),"")</f>
        <v>10</v>
      </c>
    </row>
    <row r="42" customFormat="false" ht="21.75" hidden="false" customHeight="true" outlineLevel="0" collapsed="false">
      <c r="H42" s="41" t="n">
        <f aca="false">IF($R42="","",8)</f>
        <v>8</v>
      </c>
      <c r="I42" s="42" t="n">
        <f aca="false">IF($R42="","",INDEX(Payslip_Lookup[Rider ID],$R42))</f>
        <v>4644774</v>
      </c>
      <c r="J42" s="43" t="str">
        <f aca="false">IF($R42="","",INDEX(Payslip_Lookup[Rider Name],$R42))</f>
        <v>Rider 4644774</v>
      </c>
      <c r="K42" s="43"/>
      <c r="L42" s="44" t="n">
        <f aca="false">IF($R42="","",INDEX(Payslip_Lookup[Final Salary],$R42))</f>
        <v>617.8</v>
      </c>
      <c r="M42" s="45" t="n">
        <f aca="false">IF($R42="","",INDEX(Payslip_Lookup[Completed Orders],$R42))</f>
        <v>367</v>
      </c>
      <c r="R42" s="32" t="n">
        <f aca="false">IFERROR(MATCH(LARGE(Payslip_Data!$AM$2:$AM$501,8),Payslip_Data!$AM$2:$AM$501,0),"")</f>
        <v>12</v>
      </c>
    </row>
    <row r="43" customFormat="false" ht="21.75" hidden="false" customHeight="true" outlineLevel="0" collapsed="false">
      <c r="H43" s="36" t="n">
        <f aca="false">IF($R43="","",9)</f>
        <v>9</v>
      </c>
      <c r="I43" s="37" t="n">
        <f aca="false">IF($R43="","",INDEX(Payslip_Lookup[Rider ID],$R43))</f>
        <v>4652587</v>
      </c>
      <c r="J43" s="38" t="str">
        <f aca="false">IF($R43="","",INDEX(Payslip_Lookup[Rider Name],$R43))</f>
        <v>Rider 4652587</v>
      </c>
      <c r="K43" s="38"/>
      <c r="L43" s="39" t="n">
        <f aca="false">IF($R43="","",INDEX(Payslip_Lookup[Final Salary],$R43))</f>
        <v>555.86</v>
      </c>
      <c r="M43" s="40" t="n">
        <f aca="false">IF($R43="","",INDEX(Payslip_Lookup[Completed Orders],$R43))</f>
        <v>382</v>
      </c>
      <c r="R43" s="32" t="n">
        <f aca="false">IFERROR(MATCH(LARGE(Payslip_Data!$AM$2:$AM$501,9),Payslip_Data!$AM$2:$AM$501,0),"")</f>
        <v>9</v>
      </c>
    </row>
    <row r="44" customFormat="false" ht="21.75" hidden="false" customHeight="true" outlineLevel="0" collapsed="false">
      <c r="H44" s="41" t="n">
        <f aca="false">IF($R44="","",10)</f>
        <v>10</v>
      </c>
      <c r="I44" s="42" t="n">
        <f aca="false">IF($R44="","",INDEX(Payslip_Lookup[Rider ID],$R44))</f>
        <v>4844480</v>
      </c>
      <c r="J44" s="43" t="str">
        <f aca="false">IF($R44="","",INDEX(Payslip_Lookup[Rider Name],$R44))</f>
        <v>Rider 4844480</v>
      </c>
      <c r="K44" s="43"/>
      <c r="L44" s="44" t="n">
        <f aca="false">IF($R44="","",INDEX(Payslip_Lookup[Final Salary],$R44))</f>
        <v>363.5</v>
      </c>
      <c r="M44" s="45" t="n">
        <f aca="false">IF($R44="","",INDEX(Payslip_Lookup[Completed Orders],$R44))</f>
        <v>150</v>
      </c>
      <c r="R44" s="32" t="n">
        <f aca="false">IFERROR(MATCH(LARGE(Payslip_Data!$AM$2:$AM$501,10),Payslip_Data!$AM$2:$AM$501,0),"")</f>
        <v>4</v>
      </c>
    </row>
    <row r="47" customFormat="false" ht="15" hidden="false" customHeight="true" outlineLevel="0" collapsed="false">
      <c r="B47" s="46" t="s">
        <v>37</v>
      </c>
      <c r="C47" s="46"/>
      <c r="D47" s="46"/>
      <c r="E47" s="46"/>
      <c r="F47" s="46"/>
      <c r="G47" s="46"/>
      <c r="H47" s="46"/>
      <c r="I47" s="46"/>
      <c r="J47" s="46"/>
      <c r="K47" s="46"/>
      <c r="L47" s="46"/>
      <c r="M47" s="46"/>
      <c r="N47" s="46"/>
    </row>
    <row r="48" customFormat="false" ht="15" hidden="false" customHeight="false" outlineLevel="0" collapsed="false">
      <c r="B48" s="47" t="str">
        <f aca="false">COUNTIF(Payslip_Lookup[Payment Status],"Review Required")&amp;" record(s) need review"&amp;IF(COUNTIF(Payslip_Lookup[Payment Status],"Review Required")&gt;25," (first 25 shown – filter Salary_Calculation on Payment Status for all)","")</f>
        <v>0 record(s) need review</v>
      </c>
      <c r="C48" s="47"/>
      <c r="D48" s="47"/>
      <c r="E48" s="47"/>
      <c r="F48" s="47"/>
      <c r="G48" s="47"/>
      <c r="H48" s="47"/>
      <c r="I48" s="47"/>
      <c r="J48" s="47"/>
      <c r="K48" s="47"/>
      <c r="L48" s="47"/>
      <c r="M48" s="47"/>
      <c r="N48" s="47"/>
    </row>
    <row r="49" customFormat="false" ht="15" hidden="false" customHeight="true" outlineLevel="0" collapsed="false">
      <c r="B49" s="48" t="s">
        <v>26</v>
      </c>
      <c r="C49" s="48" t="s">
        <v>27</v>
      </c>
      <c r="D49" s="48" t="s">
        <v>38</v>
      </c>
      <c r="E49" s="49" t="s">
        <v>28</v>
      </c>
      <c r="F49" s="49"/>
      <c r="G49" s="49" t="s">
        <v>39</v>
      </c>
      <c r="H49" s="49"/>
      <c r="I49" s="49"/>
      <c r="J49" s="49"/>
      <c r="K49" s="49"/>
      <c r="L49" s="49"/>
      <c r="M49" s="49"/>
      <c r="N49" s="49"/>
    </row>
    <row r="50" customFormat="false" ht="15" hidden="false" customHeight="false" outlineLevel="0" collapsed="false">
      <c r="B50" s="50" t="str">
        <f aca="false">IF(1&lt;=COUNTIF(Payslip_Lookup[Payment Status],"Review Required"),1,"")</f>
        <v/>
      </c>
      <c r="C50" s="51" t="str">
        <f aca="false">IF($B50="","",INDEX(Payslip_Lookup[Rider ID],MATCH($B50,Payslip_Lookup[Exception Seq],0)))</f>
        <v/>
      </c>
      <c r="D50" s="52" t="str">
        <f aca="false">IF($B50="","",INDEX(Payslip_Lookup[Salary Month],MATCH($B50,Payslip_Lookup[Exception Seq],0)))</f>
        <v/>
      </c>
      <c r="E50" s="53" t="str">
        <f aca="false">IF($B50="","",INDEX(Payslip_Lookup[Rider Name],MATCH($B50,Payslip_Lookup[Exception Seq],0)))</f>
        <v/>
      </c>
      <c r="F50" s="53"/>
      <c r="G50" s="53" t="str">
        <f aca="false">IF($B50="","",INDEX(Payslip_Lookup[Exception Reason],MATCH($B50,Payslip_Lookup[Exception Seq],0)))</f>
        <v/>
      </c>
      <c r="H50" s="53"/>
      <c r="I50" s="53"/>
      <c r="J50" s="53"/>
      <c r="K50" s="53"/>
      <c r="L50" s="53"/>
      <c r="M50" s="53"/>
      <c r="N50" s="53"/>
    </row>
    <row r="51" customFormat="false" ht="15" hidden="false" customHeight="false" outlineLevel="0" collapsed="false">
      <c r="B51" s="50" t="str">
        <f aca="false">IF(2&lt;=COUNTIF(Payslip_Lookup[Payment Status],"Review Required"),2,"")</f>
        <v/>
      </c>
      <c r="C51" s="51" t="str">
        <f aca="false">IF($B51="","",INDEX(Payslip_Lookup[Rider ID],MATCH($B51,Payslip_Lookup[Exception Seq],0)))</f>
        <v/>
      </c>
      <c r="D51" s="52" t="str">
        <f aca="false">IF($B51="","",INDEX(Payslip_Lookup[Salary Month],MATCH($B51,Payslip_Lookup[Exception Seq],0)))</f>
        <v/>
      </c>
      <c r="E51" s="53" t="str">
        <f aca="false">IF($B51="","",INDEX(Payslip_Lookup[Rider Name],MATCH($B51,Payslip_Lookup[Exception Seq],0)))</f>
        <v/>
      </c>
      <c r="F51" s="53"/>
      <c r="G51" s="53" t="str">
        <f aca="false">IF($B51="","",INDEX(Payslip_Lookup[Exception Reason],MATCH($B51,Payslip_Lookup[Exception Seq],0)))</f>
        <v/>
      </c>
      <c r="H51" s="53"/>
      <c r="I51" s="53"/>
      <c r="J51" s="53"/>
      <c r="K51" s="53"/>
      <c r="L51" s="53"/>
      <c r="M51" s="53"/>
      <c r="N51" s="53"/>
    </row>
    <row r="52" customFormat="false" ht="15" hidden="false" customHeight="false" outlineLevel="0" collapsed="false">
      <c r="B52" s="50" t="str">
        <f aca="false">IF(3&lt;=COUNTIF(Payslip_Lookup[Payment Status],"Review Required"),3,"")</f>
        <v/>
      </c>
      <c r="C52" s="51" t="str">
        <f aca="false">IF($B52="","",INDEX(Payslip_Lookup[Rider ID],MATCH($B52,Payslip_Lookup[Exception Seq],0)))</f>
        <v/>
      </c>
      <c r="D52" s="52" t="str">
        <f aca="false">IF($B52="","",INDEX(Payslip_Lookup[Salary Month],MATCH($B52,Payslip_Lookup[Exception Seq],0)))</f>
        <v/>
      </c>
      <c r="E52" s="53" t="str">
        <f aca="false">IF($B52="","",INDEX(Payslip_Lookup[Rider Name],MATCH($B52,Payslip_Lookup[Exception Seq],0)))</f>
        <v/>
      </c>
      <c r="F52" s="53"/>
      <c r="G52" s="53" t="str">
        <f aca="false">IF($B52="","",INDEX(Payslip_Lookup[Exception Reason],MATCH($B52,Payslip_Lookup[Exception Seq],0)))</f>
        <v/>
      </c>
      <c r="H52" s="53"/>
      <c r="I52" s="53"/>
      <c r="J52" s="53"/>
      <c r="K52" s="53"/>
      <c r="L52" s="53"/>
      <c r="M52" s="53"/>
      <c r="N52" s="53"/>
    </row>
    <row r="53" customFormat="false" ht="15" hidden="false" customHeight="false" outlineLevel="0" collapsed="false">
      <c r="B53" s="50" t="str">
        <f aca="false">IF(4&lt;=COUNTIF(Payslip_Lookup[Payment Status],"Review Required"),4,"")</f>
        <v/>
      </c>
      <c r="C53" s="51" t="str">
        <f aca="false">IF($B53="","",INDEX(Payslip_Lookup[Rider ID],MATCH($B53,Payslip_Lookup[Exception Seq],0)))</f>
        <v/>
      </c>
      <c r="D53" s="52" t="str">
        <f aca="false">IF($B53="","",INDEX(Payslip_Lookup[Salary Month],MATCH($B53,Payslip_Lookup[Exception Seq],0)))</f>
        <v/>
      </c>
      <c r="E53" s="53" t="str">
        <f aca="false">IF($B53="","",INDEX(Payslip_Lookup[Rider Name],MATCH($B53,Payslip_Lookup[Exception Seq],0)))</f>
        <v/>
      </c>
      <c r="F53" s="53"/>
      <c r="G53" s="53" t="str">
        <f aca="false">IF($B53="","",INDEX(Payslip_Lookup[Exception Reason],MATCH($B53,Payslip_Lookup[Exception Seq],0)))</f>
        <v/>
      </c>
      <c r="H53" s="53"/>
      <c r="I53" s="53"/>
      <c r="J53" s="53"/>
      <c r="K53" s="53"/>
      <c r="L53" s="53"/>
      <c r="M53" s="53"/>
      <c r="N53" s="53"/>
    </row>
    <row r="54" customFormat="false" ht="15" hidden="false" customHeight="false" outlineLevel="0" collapsed="false">
      <c r="B54" s="50" t="str">
        <f aca="false">IF(5&lt;=COUNTIF(Payslip_Lookup[Payment Status],"Review Required"),5,"")</f>
        <v/>
      </c>
      <c r="C54" s="51" t="str">
        <f aca="false">IF($B54="","",INDEX(Payslip_Lookup[Rider ID],MATCH($B54,Payslip_Lookup[Exception Seq],0)))</f>
        <v/>
      </c>
      <c r="D54" s="52" t="str">
        <f aca="false">IF($B54="","",INDEX(Payslip_Lookup[Salary Month],MATCH($B54,Payslip_Lookup[Exception Seq],0)))</f>
        <v/>
      </c>
      <c r="E54" s="53" t="str">
        <f aca="false">IF($B54="","",INDEX(Payslip_Lookup[Rider Name],MATCH($B54,Payslip_Lookup[Exception Seq],0)))</f>
        <v/>
      </c>
      <c r="F54" s="53"/>
      <c r="G54" s="53" t="str">
        <f aca="false">IF($B54="","",INDEX(Payslip_Lookup[Exception Reason],MATCH($B54,Payslip_Lookup[Exception Seq],0)))</f>
        <v/>
      </c>
      <c r="H54" s="53"/>
      <c r="I54" s="53"/>
      <c r="J54" s="53"/>
      <c r="K54" s="53"/>
      <c r="L54" s="53"/>
      <c r="M54" s="53"/>
      <c r="N54" s="53"/>
    </row>
    <row r="55" customFormat="false" ht="15" hidden="false" customHeight="false" outlineLevel="0" collapsed="false">
      <c r="B55" s="50" t="str">
        <f aca="false">IF(6&lt;=COUNTIF(Payslip_Lookup[Payment Status],"Review Required"),6,"")</f>
        <v/>
      </c>
      <c r="C55" s="51" t="str">
        <f aca="false">IF($B55="","",INDEX(Payslip_Lookup[Rider ID],MATCH($B55,Payslip_Lookup[Exception Seq],0)))</f>
        <v/>
      </c>
      <c r="D55" s="52" t="str">
        <f aca="false">IF($B55="","",INDEX(Payslip_Lookup[Salary Month],MATCH($B55,Payslip_Lookup[Exception Seq],0)))</f>
        <v/>
      </c>
      <c r="E55" s="53" t="str">
        <f aca="false">IF($B55="","",INDEX(Payslip_Lookup[Rider Name],MATCH($B55,Payslip_Lookup[Exception Seq],0)))</f>
        <v/>
      </c>
      <c r="F55" s="53"/>
      <c r="G55" s="53" t="str">
        <f aca="false">IF($B55="","",INDEX(Payslip_Lookup[Exception Reason],MATCH($B55,Payslip_Lookup[Exception Seq],0)))</f>
        <v/>
      </c>
      <c r="H55" s="53"/>
      <c r="I55" s="53"/>
      <c r="J55" s="53"/>
      <c r="K55" s="53"/>
      <c r="L55" s="53"/>
      <c r="M55" s="53"/>
      <c r="N55" s="53"/>
    </row>
    <row r="56" customFormat="false" ht="15" hidden="false" customHeight="false" outlineLevel="0" collapsed="false">
      <c r="B56" s="50" t="str">
        <f aca="false">IF(7&lt;=COUNTIF(Payslip_Lookup[Payment Status],"Review Required"),7,"")</f>
        <v/>
      </c>
      <c r="C56" s="51" t="str">
        <f aca="false">IF($B56="","",INDEX(Payslip_Lookup[Rider ID],MATCH($B56,Payslip_Lookup[Exception Seq],0)))</f>
        <v/>
      </c>
      <c r="D56" s="52" t="str">
        <f aca="false">IF($B56="","",INDEX(Payslip_Lookup[Salary Month],MATCH($B56,Payslip_Lookup[Exception Seq],0)))</f>
        <v/>
      </c>
      <c r="E56" s="53" t="str">
        <f aca="false">IF($B56="","",INDEX(Payslip_Lookup[Rider Name],MATCH($B56,Payslip_Lookup[Exception Seq],0)))</f>
        <v/>
      </c>
      <c r="F56" s="53"/>
      <c r="G56" s="53" t="str">
        <f aca="false">IF($B56="","",INDEX(Payslip_Lookup[Exception Reason],MATCH($B56,Payslip_Lookup[Exception Seq],0)))</f>
        <v/>
      </c>
      <c r="H56" s="53"/>
      <c r="I56" s="53"/>
      <c r="J56" s="53"/>
      <c r="K56" s="53"/>
      <c r="L56" s="53"/>
      <c r="M56" s="53"/>
      <c r="N56" s="53"/>
    </row>
    <row r="57" customFormat="false" ht="15" hidden="false" customHeight="false" outlineLevel="0" collapsed="false">
      <c r="B57" s="50" t="str">
        <f aca="false">IF(8&lt;=COUNTIF(Payslip_Lookup[Payment Status],"Review Required"),8,"")</f>
        <v/>
      </c>
      <c r="C57" s="51" t="str">
        <f aca="false">IF($B57="","",INDEX(Payslip_Lookup[Rider ID],MATCH($B57,Payslip_Lookup[Exception Seq],0)))</f>
        <v/>
      </c>
      <c r="D57" s="52" t="str">
        <f aca="false">IF($B57="","",INDEX(Payslip_Lookup[Salary Month],MATCH($B57,Payslip_Lookup[Exception Seq],0)))</f>
        <v/>
      </c>
      <c r="E57" s="53" t="str">
        <f aca="false">IF($B57="","",INDEX(Payslip_Lookup[Rider Name],MATCH($B57,Payslip_Lookup[Exception Seq],0)))</f>
        <v/>
      </c>
      <c r="F57" s="53"/>
      <c r="G57" s="53" t="str">
        <f aca="false">IF($B57="","",INDEX(Payslip_Lookup[Exception Reason],MATCH($B57,Payslip_Lookup[Exception Seq],0)))</f>
        <v/>
      </c>
      <c r="H57" s="53"/>
      <c r="I57" s="53"/>
      <c r="J57" s="53"/>
      <c r="K57" s="53"/>
      <c r="L57" s="53"/>
      <c r="M57" s="53"/>
      <c r="N57" s="53"/>
    </row>
    <row r="58" customFormat="false" ht="15" hidden="false" customHeight="false" outlineLevel="0" collapsed="false">
      <c r="B58" s="50" t="str">
        <f aca="false">IF(9&lt;=COUNTIF(Payslip_Lookup[Payment Status],"Review Required"),9,"")</f>
        <v/>
      </c>
      <c r="C58" s="51" t="str">
        <f aca="false">IF($B58="","",INDEX(Payslip_Lookup[Rider ID],MATCH($B58,Payslip_Lookup[Exception Seq],0)))</f>
        <v/>
      </c>
      <c r="D58" s="52" t="str">
        <f aca="false">IF($B58="","",INDEX(Payslip_Lookup[Salary Month],MATCH($B58,Payslip_Lookup[Exception Seq],0)))</f>
        <v/>
      </c>
      <c r="E58" s="53" t="str">
        <f aca="false">IF($B58="","",INDEX(Payslip_Lookup[Rider Name],MATCH($B58,Payslip_Lookup[Exception Seq],0)))</f>
        <v/>
      </c>
      <c r="F58" s="53"/>
      <c r="G58" s="53" t="str">
        <f aca="false">IF($B58="","",INDEX(Payslip_Lookup[Exception Reason],MATCH($B58,Payslip_Lookup[Exception Seq],0)))</f>
        <v/>
      </c>
      <c r="H58" s="53"/>
      <c r="I58" s="53"/>
      <c r="J58" s="53"/>
      <c r="K58" s="53"/>
      <c r="L58" s="53"/>
      <c r="M58" s="53"/>
      <c r="N58" s="53"/>
    </row>
    <row r="59" customFormat="false" ht="15" hidden="false" customHeight="false" outlineLevel="0" collapsed="false">
      <c r="B59" s="50" t="str">
        <f aca="false">IF(10&lt;=COUNTIF(Payslip_Lookup[Payment Status],"Review Required"),10,"")</f>
        <v/>
      </c>
      <c r="C59" s="51" t="str">
        <f aca="false">IF($B59="","",INDEX(Payslip_Lookup[Rider ID],MATCH($B59,Payslip_Lookup[Exception Seq],0)))</f>
        <v/>
      </c>
      <c r="D59" s="52" t="str">
        <f aca="false">IF($B59="","",INDEX(Payslip_Lookup[Salary Month],MATCH($B59,Payslip_Lookup[Exception Seq],0)))</f>
        <v/>
      </c>
      <c r="E59" s="53" t="str">
        <f aca="false">IF($B59="","",INDEX(Payslip_Lookup[Rider Name],MATCH($B59,Payslip_Lookup[Exception Seq],0)))</f>
        <v/>
      </c>
      <c r="F59" s="53"/>
      <c r="G59" s="53" t="str">
        <f aca="false">IF($B59="","",INDEX(Payslip_Lookup[Exception Reason],MATCH($B59,Payslip_Lookup[Exception Seq],0)))</f>
        <v/>
      </c>
      <c r="H59" s="53"/>
      <c r="I59" s="53"/>
      <c r="J59" s="53"/>
      <c r="K59" s="53"/>
      <c r="L59" s="53"/>
      <c r="M59" s="53"/>
      <c r="N59" s="53"/>
    </row>
    <row r="60" customFormat="false" ht="15" hidden="false" customHeight="false" outlineLevel="0" collapsed="false">
      <c r="B60" s="50" t="str">
        <f aca="false">IF(11&lt;=COUNTIF(Payslip_Lookup[Payment Status],"Review Required"),11,"")</f>
        <v/>
      </c>
      <c r="C60" s="51" t="str">
        <f aca="false">IF($B60="","",INDEX(Payslip_Lookup[Rider ID],MATCH($B60,Payslip_Lookup[Exception Seq],0)))</f>
        <v/>
      </c>
      <c r="D60" s="52" t="str">
        <f aca="false">IF($B60="","",INDEX(Payslip_Lookup[Salary Month],MATCH($B60,Payslip_Lookup[Exception Seq],0)))</f>
        <v/>
      </c>
      <c r="E60" s="53" t="str">
        <f aca="false">IF($B60="","",INDEX(Payslip_Lookup[Rider Name],MATCH($B60,Payslip_Lookup[Exception Seq],0)))</f>
        <v/>
      </c>
      <c r="F60" s="53"/>
      <c r="G60" s="53" t="str">
        <f aca="false">IF($B60="","",INDEX(Payslip_Lookup[Exception Reason],MATCH($B60,Payslip_Lookup[Exception Seq],0)))</f>
        <v/>
      </c>
      <c r="H60" s="53"/>
      <c r="I60" s="53"/>
      <c r="J60" s="53"/>
      <c r="K60" s="53"/>
      <c r="L60" s="53"/>
      <c r="M60" s="53"/>
      <c r="N60" s="53"/>
    </row>
    <row r="61" customFormat="false" ht="15" hidden="false" customHeight="false" outlineLevel="0" collapsed="false">
      <c r="B61" s="50" t="str">
        <f aca="false">IF(12&lt;=COUNTIF(Payslip_Lookup[Payment Status],"Review Required"),12,"")</f>
        <v/>
      </c>
      <c r="C61" s="51" t="str">
        <f aca="false">IF($B61="","",INDEX(Payslip_Lookup[Rider ID],MATCH($B61,Payslip_Lookup[Exception Seq],0)))</f>
        <v/>
      </c>
      <c r="D61" s="52" t="str">
        <f aca="false">IF($B61="","",INDEX(Payslip_Lookup[Salary Month],MATCH($B61,Payslip_Lookup[Exception Seq],0)))</f>
        <v/>
      </c>
      <c r="E61" s="53" t="str">
        <f aca="false">IF($B61="","",INDEX(Payslip_Lookup[Rider Name],MATCH($B61,Payslip_Lookup[Exception Seq],0)))</f>
        <v/>
      </c>
      <c r="F61" s="53"/>
      <c r="G61" s="53" t="str">
        <f aca="false">IF($B61="","",INDEX(Payslip_Lookup[Exception Reason],MATCH($B61,Payslip_Lookup[Exception Seq],0)))</f>
        <v/>
      </c>
      <c r="H61" s="53"/>
      <c r="I61" s="53"/>
      <c r="J61" s="53"/>
      <c r="K61" s="53"/>
      <c r="L61" s="53"/>
      <c r="M61" s="53"/>
      <c r="N61" s="53"/>
    </row>
    <row r="62" customFormat="false" ht="15" hidden="false" customHeight="false" outlineLevel="0" collapsed="false">
      <c r="B62" s="50" t="str">
        <f aca="false">IF(13&lt;=COUNTIF(Payslip_Lookup[Payment Status],"Review Required"),13,"")</f>
        <v/>
      </c>
      <c r="C62" s="51" t="str">
        <f aca="false">IF($B62="","",INDEX(Payslip_Lookup[Rider ID],MATCH($B62,Payslip_Lookup[Exception Seq],0)))</f>
        <v/>
      </c>
      <c r="D62" s="52" t="str">
        <f aca="false">IF($B62="","",INDEX(Payslip_Lookup[Salary Month],MATCH($B62,Payslip_Lookup[Exception Seq],0)))</f>
        <v/>
      </c>
      <c r="E62" s="53" t="str">
        <f aca="false">IF($B62="","",INDEX(Payslip_Lookup[Rider Name],MATCH($B62,Payslip_Lookup[Exception Seq],0)))</f>
        <v/>
      </c>
      <c r="F62" s="53"/>
      <c r="G62" s="53" t="str">
        <f aca="false">IF($B62="","",INDEX(Payslip_Lookup[Exception Reason],MATCH($B62,Payslip_Lookup[Exception Seq],0)))</f>
        <v/>
      </c>
      <c r="H62" s="53"/>
      <c r="I62" s="53"/>
      <c r="J62" s="53"/>
      <c r="K62" s="53"/>
      <c r="L62" s="53"/>
      <c r="M62" s="53"/>
      <c r="N62" s="53"/>
    </row>
    <row r="63" customFormat="false" ht="15" hidden="false" customHeight="false" outlineLevel="0" collapsed="false">
      <c r="B63" s="50" t="str">
        <f aca="false">IF(14&lt;=COUNTIF(Payslip_Lookup[Payment Status],"Review Required"),14,"")</f>
        <v/>
      </c>
      <c r="C63" s="51" t="str">
        <f aca="false">IF($B63="","",INDEX(Payslip_Lookup[Rider ID],MATCH($B63,Payslip_Lookup[Exception Seq],0)))</f>
        <v/>
      </c>
      <c r="D63" s="52" t="str">
        <f aca="false">IF($B63="","",INDEX(Payslip_Lookup[Salary Month],MATCH($B63,Payslip_Lookup[Exception Seq],0)))</f>
        <v/>
      </c>
      <c r="E63" s="53" t="str">
        <f aca="false">IF($B63="","",INDEX(Payslip_Lookup[Rider Name],MATCH($B63,Payslip_Lookup[Exception Seq],0)))</f>
        <v/>
      </c>
      <c r="F63" s="53"/>
      <c r="G63" s="53" t="str">
        <f aca="false">IF($B63="","",INDEX(Payslip_Lookup[Exception Reason],MATCH($B63,Payslip_Lookup[Exception Seq],0)))</f>
        <v/>
      </c>
      <c r="H63" s="53"/>
      <c r="I63" s="53"/>
      <c r="J63" s="53"/>
      <c r="K63" s="53"/>
      <c r="L63" s="53"/>
      <c r="M63" s="53"/>
      <c r="N63" s="53"/>
    </row>
    <row r="64" customFormat="false" ht="15" hidden="false" customHeight="false" outlineLevel="0" collapsed="false">
      <c r="B64" s="50" t="str">
        <f aca="false">IF(15&lt;=COUNTIF(Payslip_Lookup[Payment Status],"Review Required"),15,"")</f>
        <v/>
      </c>
      <c r="C64" s="51" t="str">
        <f aca="false">IF($B64="","",INDEX(Payslip_Lookup[Rider ID],MATCH($B64,Payslip_Lookup[Exception Seq],0)))</f>
        <v/>
      </c>
      <c r="D64" s="52" t="str">
        <f aca="false">IF($B64="","",INDEX(Payslip_Lookup[Salary Month],MATCH($B64,Payslip_Lookup[Exception Seq],0)))</f>
        <v/>
      </c>
      <c r="E64" s="53" t="str">
        <f aca="false">IF($B64="","",INDEX(Payslip_Lookup[Rider Name],MATCH($B64,Payslip_Lookup[Exception Seq],0)))</f>
        <v/>
      </c>
      <c r="F64" s="53"/>
      <c r="G64" s="53" t="str">
        <f aca="false">IF($B64="","",INDEX(Payslip_Lookup[Exception Reason],MATCH($B64,Payslip_Lookup[Exception Seq],0)))</f>
        <v/>
      </c>
      <c r="H64" s="53"/>
      <c r="I64" s="53"/>
      <c r="J64" s="53"/>
      <c r="K64" s="53"/>
      <c r="L64" s="53"/>
      <c r="M64" s="53"/>
      <c r="N64" s="53"/>
    </row>
    <row r="65" customFormat="false" ht="15" hidden="false" customHeight="false" outlineLevel="0" collapsed="false">
      <c r="B65" s="50" t="str">
        <f aca="false">IF(16&lt;=COUNTIF(Payslip_Lookup[Payment Status],"Review Required"),16,"")</f>
        <v/>
      </c>
      <c r="C65" s="51" t="str">
        <f aca="false">IF($B65="","",INDEX(Payslip_Lookup[Rider ID],MATCH($B65,Payslip_Lookup[Exception Seq],0)))</f>
        <v/>
      </c>
      <c r="D65" s="52" t="str">
        <f aca="false">IF($B65="","",INDEX(Payslip_Lookup[Salary Month],MATCH($B65,Payslip_Lookup[Exception Seq],0)))</f>
        <v/>
      </c>
      <c r="E65" s="53" t="str">
        <f aca="false">IF($B65="","",INDEX(Payslip_Lookup[Rider Name],MATCH($B65,Payslip_Lookup[Exception Seq],0)))</f>
        <v/>
      </c>
      <c r="F65" s="53"/>
      <c r="G65" s="53" t="str">
        <f aca="false">IF($B65="","",INDEX(Payslip_Lookup[Exception Reason],MATCH($B65,Payslip_Lookup[Exception Seq],0)))</f>
        <v/>
      </c>
      <c r="H65" s="53"/>
      <c r="I65" s="53"/>
      <c r="J65" s="53"/>
      <c r="K65" s="53"/>
      <c r="L65" s="53"/>
      <c r="M65" s="53"/>
      <c r="N65" s="53"/>
    </row>
    <row r="66" customFormat="false" ht="15" hidden="false" customHeight="false" outlineLevel="0" collapsed="false">
      <c r="B66" s="50" t="str">
        <f aca="false">IF(17&lt;=COUNTIF(Payslip_Lookup[Payment Status],"Review Required"),17,"")</f>
        <v/>
      </c>
      <c r="C66" s="51" t="str">
        <f aca="false">IF($B66="","",INDEX(Payslip_Lookup[Rider ID],MATCH($B66,Payslip_Lookup[Exception Seq],0)))</f>
        <v/>
      </c>
      <c r="D66" s="52" t="str">
        <f aca="false">IF($B66="","",INDEX(Payslip_Lookup[Salary Month],MATCH($B66,Payslip_Lookup[Exception Seq],0)))</f>
        <v/>
      </c>
      <c r="E66" s="53" t="str">
        <f aca="false">IF($B66="","",INDEX(Payslip_Lookup[Rider Name],MATCH($B66,Payslip_Lookup[Exception Seq],0)))</f>
        <v/>
      </c>
      <c r="F66" s="53"/>
      <c r="G66" s="53" t="str">
        <f aca="false">IF($B66="","",INDEX(Payslip_Lookup[Exception Reason],MATCH($B66,Payslip_Lookup[Exception Seq],0)))</f>
        <v/>
      </c>
      <c r="H66" s="53"/>
      <c r="I66" s="53"/>
      <c r="J66" s="53"/>
      <c r="K66" s="53"/>
      <c r="L66" s="53"/>
      <c r="M66" s="53"/>
      <c r="N66" s="53"/>
    </row>
    <row r="67" customFormat="false" ht="15" hidden="false" customHeight="false" outlineLevel="0" collapsed="false">
      <c r="B67" s="50" t="str">
        <f aca="false">IF(18&lt;=COUNTIF(Payslip_Lookup[Payment Status],"Review Required"),18,"")</f>
        <v/>
      </c>
      <c r="C67" s="51" t="str">
        <f aca="false">IF($B67="","",INDEX(Payslip_Lookup[Rider ID],MATCH($B67,Payslip_Lookup[Exception Seq],0)))</f>
        <v/>
      </c>
      <c r="D67" s="52" t="str">
        <f aca="false">IF($B67="","",INDEX(Payslip_Lookup[Salary Month],MATCH($B67,Payslip_Lookup[Exception Seq],0)))</f>
        <v/>
      </c>
      <c r="E67" s="53" t="str">
        <f aca="false">IF($B67="","",INDEX(Payslip_Lookup[Rider Name],MATCH($B67,Payslip_Lookup[Exception Seq],0)))</f>
        <v/>
      </c>
      <c r="F67" s="53"/>
      <c r="G67" s="53" t="str">
        <f aca="false">IF($B67="","",INDEX(Payslip_Lookup[Exception Reason],MATCH($B67,Payslip_Lookup[Exception Seq],0)))</f>
        <v/>
      </c>
      <c r="H67" s="53"/>
      <c r="I67" s="53"/>
      <c r="J67" s="53"/>
      <c r="K67" s="53"/>
      <c r="L67" s="53"/>
      <c r="M67" s="53"/>
      <c r="N67" s="53"/>
    </row>
    <row r="68" customFormat="false" ht="15" hidden="false" customHeight="false" outlineLevel="0" collapsed="false">
      <c r="B68" s="50" t="str">
        <f aca="false">IF(19&lt;=COUNTIF(Payslip_Lookup[Payment Status],"Review Required"),19,"")</f>
        <v/>
      </c>
      <c r="C68" s="51" t="str">
        <f aca="false">IF($B68="","",INDEX(Payslip_Lookup[Rider ID],MATCH($B68,Payslip_Lookup[Exception Seq],0)))</f>
        <v/>
      </c>
      <c r="D68" s="52" t="str">
        <f aca="false">IF($B68="","",INDEX(Payslip_Lookup[Salary Month],MATCH($B68,Payslip_Lookup[Exception Seq],0)))</f>
        <v/>
      </c>
      <c r="E68" s="53" t="str">
        <f aca="false">IF($B68="","",INDEX(Payslip_Lookup[Rider Name],MATCH($B68,Payslip_Lookup[Exception Seq],0)))</f>
        <v/>
      </c>
      <c r="F68" s="53"/>
      <c r="G68" s="53" t="str">
        <f aca="false">IF($B68="","",INDEX(Payslip_Lookup[Exception Reason],MATCH($B68,Payslip_Lookup[Exception Seq],0)))</f>
        <v/>
      </c>
      <c r="H68" s="53"/>
      <c r="I68" s="53"/>
      <c r="J68" s="53"/>
      <c r="K68" s="53"/>
      <c r="L68" s="53"/>
      <c r="M68" s="53"/>
      <c r="N68" s="53"/>
    </row>
    <row r="69" customFormat="false" ht="15" hidden="false" customHeight="false" outlineLevel="0" collapsed="false">
      <c r="B69" s="50" t="str">
        <f aca="false">IF(20&lt;=COUNTIF(Payslip_Lookup[Payment Status],"Review Required"),20,"")</f>
        <v/>
      </c>
      <c r="C69" s="51" t="str">
        <f aca="false">IF($B69="","",INDEX(Payslip_Lookup[Rider ID],MATCH($B69,Payslip_Lookup[Exception Seq],0)))</f>
        <v/>
      </c>
      <c r="D69" s="52" t="str">
        <f aca="false">IF($B69="","",INDEX(Payslip_Lookup[Salary Month],MATCH($B69,Payslip_Lookup[Exception Seq],0)))</f>
        <v/>
      </c>
      <c r="E69" s="53" t="str">
        <f aca="false">IF($B69="","",INDEX(Payslip_Lookup[Rider Name],MATCH($B69,Payslip_Lookup[Exception Seq],0)))</f>
        <v/>
      </c>
      <c r="F69" s="53"/>
      <c r="G69" s="53" t="str">
        <f aca="false">IF($B69="","",INDEX(Payslip_Lookup[Exception Reason],MATCH($B69,Payslip_Lookup[Exception Seq],0)))</f>
        <v/>
      </c>
      <c r="H69" s="53"/>
      <c r="I69" s="53"/>
      <c r="J69" s="53"/>
      <c r="K69" s="53"/>
      <c r="L69" s="53"/>
      <c r="M69" s="53"/>
      <c r="N69" s="53"/>
    </row>
    <row r="70" customFormat="false" ht="15" hidden="false" customHeight="false" outlineLevel="0" collapsed="false">
      <c r="B70" s="50" t="str">
        <f aca="false">IF(21&lt;=COUNTIF(Payslip_Lookup[Payment Status],"Review Required"),21,"")</f>
        <v/>
      </c>
      <c r="C70" s="51" t="str">
        <f aca="false">IF($B70="","",INDEX(Payslip_Lookup[Rider ID],MATCH($B70,Payslip_Lookup[Exception Seq],0)))</f>
        <v/>
      </c>
      <c r="D70" s="52" t="str">
        <f aca="false">IF($B70="","",INDEX(Payslip_Lookup[Salary Month],MATCH($B70,Payslip_Lookup[Exception Seq],0)))</f>
        <v/>
      </c>
      <c r="E70" s="53" t="str">
        <f aca="false">IF($B70="","",INDEX(Payslip_Lookup[Rider Name],MATCH($B70,Payslip_Lookup[Exception Seq],0)))</f>
        <v/>
      </c>
      <c r="F70" s="53"/>
      <c r="G70" s="53" t="str">
        <f aca="false">IF($B70="","",INDEX(Payslip_Lookup[Exception Reason],MATCH($B70,Payslip_Lookup[Exception Seq],0)))</f>
        <v/>
      </c>
      <c r="H70" s="53"/>
      <c r="I70" s="53"/>
      <c r="J70" s="53"/>
      <c r="K70" s="53"/>
      <c r="L70" s="53"/>
      <c r="M70" s="53"/>
      <c r="N70" s="53"/>
    </row>
    <row r="71" customFormat="false" ht="15" hidden="false" customHeight="false" outlineLevel="0" collapsed="false">
      <c r="B71" s="50" t="str">
        <f aca="false">IF(22&lt;=COUNTIF(Payslip_Lookup[Payment Status],"Review Required"),22,"")</f>
        <v/>
      </c>
      <c r="C71" s="51" t="str">
        <f aca="false">IF($B71="","",INDEX(Payslip_Lookup[Rider ID],MATCH($B71,Payslip_Lookup[Exception Seq],0)))</f>
        <v/>
      </c>
      <c r="D71" s="52" t="str">
        <f aca="false">IF($B71="","",INDEX(Payslip_Lookup[Salary Month],MATCH($B71,Payslip_Lookup[Exception Seq],0)))</f>
        <v/>
      </c>
      <c r="E71" s="53" t="str">
        <f aca="false">IF($B71="","",INDEX(Payslip_Lookup[Rider Name],MATCH($B71,Payslip_Lookup[Exception Seq],0)))</f>
        <v/>
      </c>
      <c r="F71" s="53"/>
      <c r="G71" s="53" t="str">
        <f aca="false">IF($B71="","",INDEX(Payslip_Lookup[Exception Reason],MATCH($B71,Payslip_Lookup[Exception Seq],0)))</f>
        <v/>
      </c>
      <c r="H71" s="53"/>
      <c r="I71" s="53"/>
      <c r="J71" s="53"/>
      <c r="K71" s="53"/>
      <c r="L71" s="53"/>
      <c r="M71" s="53"/>
      <c r="N71" s="53"/>
    </row>
    <row r="72" customFormat="false" ht="15" hidden="false" customHeight="false" outlineLevel="0" collapsed="false">
      <c r="B72" s="50" t="str">
        <f aca="false">IF(23&lt;=COUNTIF(Payslip_Lookup[Payment Status],"Review Required"),23,"")</f>
        <v/>
      </c>
      <c r="C72" s="51" t="str">
        <f aca="false">IF($B72="","",INDEX(Payslip_Lookup[Rider ID],MATCH($B72,Payslip_Lookup[Exception Seq],0)))</f>
        <v/>
      </c>
      <c r="D72" s="52" t="str">
        <f aca="false">IF($B72="","",INDEX(Payslip_Lookup[Salary Month],MATCH($B72,Payslip_Lookup[Exception Seq],0)))</f>
        <v/>
      </c>
      <c r="E72" s="53" t="str">
        <f aca="false">IF($B72="","",INDEX(Payslip_Lookup[Rider Name],MATCH($B72,Payslip_Lookup[Exception Seq],0)))</f>
        <v/>
      </c>
      <c r="F72" s="53"/>
      <c r="G72" s="53" t="str">
        <f aca="false">IF($B72="","",INDEX(Payslip_Lookup[Exception Reason],MATCH($B72,Payslip_Lookup[Exception Seq],0)))</f>
        <v/>
      </c>
      <c r="H72" s="53"/>
      <c r="I72" s="53"/>
      <c r="J72" s="53"/>
      <c r="K72" s="53"/>
      <c r="L72" s="53"/>
      <c r="M72" s="53"/>
      <c r="N72" s="53"/>
    </row>
    <row r="73" customFormat="false" ht="15" hidden="false" customHeight="false" outlineLevel="0" collapsed="false">
      <c r="B73" s="50" t="str">
        <f aca="false">IF(24&lt;=COUNTIF(Payslip_Lookup[Payment Status],"Review Required"),24,"")</f>
        <v/>
      </c>
      <c r="C73" s="51" t="str">
        <f aca="false">IF($B73="","",INDEX(Payslip_Lookup[Rider ID],MATCH($B73,Payslip_Lookup[Exception Seq],0)))</f>
        <v/>
      </c>
      <c r="D73" s="52" t="str">
        <f aca="false">IF($B73="","",INDEX(Payslip_Lookup[Salary Month],MATCH($B73,Payslip_Lookup[Exception Seq],0)))</f>
        <v/>
      </c>
      <c r="E73" s="53" t="str">
        <f aca="false">IF($B73="","",INDEX(Payslip_Lookup[Rider Name],MATCH($B73,Payslip_Lookup[Exception Seq],0)))</f>
        <v/>
      </c>
      <c r="F73" s="53"/>
      <c r="G73" s="53" t="str">
        <f aca="false">IF($B73="","",INDEX(Payslip_Lookup[Exception Reason],MATCH($B73,Payslip_Lookup[Exception Seq],0)))</f>
        <v/>
      </c>
      <c r="H73" s="53"/>
      <c r="I73" s="53"/>
      <c r="J73" s="53"/>
      <c r="K73" s="53"/>
      <c r="L73" s="53"/>
      <c r="M73" s="53"/>
      <c r="N73" s="53"/>
    </row>
    <row r="74" customFormat="false" ht="15" hidden="false" customHeight="false" outlineLevel="0" collapsed="false">
      <c r="B74" s="50" t="str">
        <f aca="false">IF(25&lt;=COUNTIF(Payslip_Lookup[Payment Status],"Review Required"),25,"")</f>
        <v/>
      </c>
      <c r="C74" s="51" t="str">
        <f aca="false">IF($B74="","",INDEX(Payslip_Lookup[Rider ID],MATCH($B74,Payslip_Lookup[Exception Seq],0)))</f>
        <v/>
      </c>
      <c r="D74" s="52" t="str">
        <f aca="false">IF($B74="","",INDEX(Payslip_Lookup[Salary Month],MATCH($B74,Payslip_Lookup[Exception Seq],0)))</f>
        <v/>
      </c>
      <c r="E74" s="53" t="str">
        <f aca="false">IF($B74="","",INDEX(Payslip_Lookup[Rider Name],MATCH($B74,Payslip_Lookup[Exception Seq],0)))</f>
        <v/>
      </c>
      <c r="F74" s="53"/>
      <c r="G74" s="53" t="str">
        <f aca="false">IF($B74="","",INDEX(Payslip_Lookup[Exception Reason],MATCH($B74,Payslip_Lookup[Exception Seq],0)))</f>
        <v/>
      </c>
      <c r="H74" s="53"/>
      <c r="I74" s="53"/>
      <c r="J74" s="53"/>
      <c r="K74" s="53"/>
      <c r="L74" s="53"/>
      <c r="M74" s="53"/>
      <c r="N74" s="53"/>
    </row>
    <row r="78" customFormat="false" ht="15" hidden="false" customHeight="true" outlineLevel="0" collapsed="false">
      <c r="B78" s="25" t="s">
        <v>40</v>
      </c>
      <c r="C78" s="25"/>
      <c r="D78" s="25"/>
      <c r="E78" s="25"/>
      <c r="F78" s="25"/>
      <c r="G78" s="25"/>
      <c r="H78" s="25"/>
      <c r="I78" s="25"/>
      <c r="J78" s="25"/>
      <c r="K78" s="25"/>
      <c r="L78" s="25"/>
      <c r="M78" s="25"/>
      <c r="N78" s="25"/>
      <c r="O78" s="25"/>
    </row>
    <row r="79" customFormat="false" ht="31.5" hidden="false" customHeight="true" outlineLevel="0" collapsed="false">
      <c r="B79" s="54" t="s">
        <v>41</v>
      </c>
      <c r="C79" s="54"/>
      <c r="D79" s="55" t="s">
        <v>42</v>
      </c>
      <c r="E79" s="55" t="s">
        <v>43</v>
      </c>
      <c r="F79" s="55" t="s">
        <v>44</v>
      </c>
      <c r="G79" s="55" t="s">
        <v>45</v>
      </c>
      <c r="H79" s="55" t="s">
        <v>46</v>
      </c>
      <c r="I79" s="55" t="s">
        <v>47</v>
      </c>
      <c r="J79" s="55" t="s">
        <v>48</v>
      </c>
      <c r="K79" s="55" t="s">
        <v>49</v>
      </c>
      <c r="L79" s="55" t="s">
        <v>50</v>
      </c>
      <c r="M79" s="55" t="s">
        <v>51</v>
      </c>
      <c r="N79" s="55" t="s">
        <v>29</v>
      </c>
      <c r="O79" s="55" t="s">
        <v>52</v>
      </c>
    </row>
    <row r="80" customFormat="false" ht="21.75" hidden="false" customHeight="true" outlineLevel="0" collapsed="false">
      <c r="B80" s="56" t="s">
        <v>53</v>
      </c>
      <c r="C80" s="56"/>
      <c r="D80" s="57" t="n">
        <v>30</v>
      </c>
      <c r="E80" s="57" t="n">
        <v>15</v>
      </c>
      <c r="F80" s="57" t="n">
        <v>200</v>
      </c>
      <c r="G80" s="58" t="n">
        <f aca="false">Default_Basic/Std_Orders</f>
        <v>4.44444444444445</v>
      </c>
      <c r="H80" s="59" t="n">
        <f aca="false">Std_Orders/Std_Days*E80</f>
        <v>225</v>
      </c>
      <c r="I80" s="60" t="n">
        <f aca="false">MIN(F80,H80)*G80</f>
        <v>888.888888888889</v>
      </c>
      <c r="J80" s="60" t="n">
        <f aca="false">MAX(H80-F80,0)*Missing_Rate</f>
        <v>175</v>
      </c>
      <c r="K80" s="60" t="n">
        <f aca="false">MAX(F80-H80,0)*Extra_Rate</f>
        <v>0</v>
      </c>
      <c r="L80" s="60" t="n">
        <f aca="false">MAX(I80-J80+K80,0)</f>
        <v>713.888888888889</v>
      </c>
      <c r="M80" s="60" t="n">
        <v>0</v>
      </c>
      <c r="N80" s="60" t="n">
        <f aca="false">MAX(L80-M80,0)</f>
        <v>713.888888888889</v>
      </c>
      <c r="O80" s="60" t="n">
        <f aca="false">MAX(J80-I80,0)+MAX(M80-L80,0)</f>
        <v>0</v>
      </c>
    </row>
    <row r="81" customFormat="false" ht="21.75" hidden="false" customHeight="true" outlineLevel="0" collapsed="false">
      <c r="B81" s="56" t="s">
        <v>54</v>
      </c>
      <c r="C81" s="56"/>
      <c r="D81" s="57" t="n">
        <v>31</v>
      </c>
      <c r="E81" s="57" t="n">
        <v>8</v>
      </c>
      <c r="F81" s="57" t="n">
        <v>72</v>
      </c>
      <c r="G81" s="58" t="n">
        <f aca="false">Fixed_Rate</f>
        <v>4.44</v>
      </c>
      <c r="H81" s="59" t="n">
        <f aca="false">Std_Orders/Std_Days*E81</f>
        <v>120</v>
      </c>
      <c r="I81" s="60" t="n">
        <f aca="false">MIN(F81,H81)*G81</f>
        <v>319.68</v>
      </c>
      <c r="J81" s="60" t="n">
        <f aca="false">MAX(H81-F81,0)*Missing_Rate</f>
        <v>336</v>
      </c>
      <c r="K81" s="60" t="n">
        <f aca="false">MAX(F81-H81,0)*Extra_Rate</f>
        <v>0</v>
      </c>
      <c r="L81" s="60" t="n">
        <f aca="false">MAX(I81-J81+K81,0)</f>
        <v>0</v>
      </c>
      <c r="M81" s="60" t="n">
        <v>0</v>
      </c>
      <c r="N81" s="60" t="n">
        <f aca="false">MAX(L81-M81,0)</f>
        <v>0</v>
      </c>
      <c r="O81" s="60" t="n">
        <f aca="false">MAX(J81-I81,0)+MAX(M81-L81,0)</f>
        <v>16.32</v>
      </c>
    </row>
    <row r="82" customFormat="false" ht="21.75" hidden="false" customHeight="true" outlineLevel="0" collapsed="false">
      <c r="B82" s="56" t="s">
        <v>55</v>
      </c>
      <c r="C82" s="56"/>
      <c r="D82" s="57" t="n">
        <v>31</v>
      </c>
      <c r="E82" s="57" t="n">
        <v>31</v>
      </c>
      <c r="F82" s="57" t="n">
        <v>551</v>
      </c>
      <c r="G82" s="58" t="n">
        <f aca="false">Fixed_Rate</f>
        <v>4.44</v>
      </c>
      <c r="H82" s="59" t="n">
        <f aca="false">Std_Orders/Std_Days*E82</f>
        <v>465</v>
      </c>
      <c r="I82" s="60" t="n">
        <f aca="false">MIN(F82,H82)*G82</f>
        <v>2064.6</v>
      </c>
      <c r="J82" s="60" t="n">
        <f aca="false">MAX(H82-F82,0)*Missing_Rate</f>
        <v>0</v>
      </c>
      <c r="K82" s="60" t="n">
        <f aca="false">MAX(F82-H82,0)*Extra_Rate</f>
        <v>860</v>
      </c>
      <c r="L82" s="60" t="n">
        <f aca="false">MAX(I82-J82+K82,0)</f>
        <v>2924.6</v>
      </c>
      <c r="M82" s="61" t="n">
        <f aca="false">112+93.12</f>
        <v>205.12</v>
      </c>
      <c r="N82" s="60" t="n">
        <f aca="false">MAX(L82-M82,0)</f>
        <v>2719.48</v>
      </c>
      <c r="O82" s="60" t="n">
        <f aca="false">MAX(J82-I82,0)+MAX(M82-L82,0)</f>
        <v>0</v>
      </c>
    </row>
    <row r="83" customFormat="false" ht="15" hidden="false" customHeight="true" outlineLevel="0" collapsed="false">
      <c r="B83" s="7" t="s">
        <v>56</v>
      </c>
      <c r="C83" s="7"/>
      <c r="D83" s="7"/>
      <c r="E83" s="7"/>
      <c r="F83" s="7"/>
      <c r="G83" s="7"/>
      <c r="H83" s="7"/>
      <c r="I83" s="7"/>
      <c r="J83" s="7"/>
      <c r="K83" s="7"/>
      <c r="L83" s="7"/>
      <c r="M83" s="7"/>
      <c r="N83" s="7"/>
      <c r="O83" s="7"/>
    </row>
    <row r="85" customFormat="false" ht="15" hidden="false" customHeight="true" outlineLevel="0" collapsed="false">
      <c r="B85" s="49" t="s">
        <v>57</v>
      </c>
      <c r="C85" s="49"/>
      <c r="D85" s="49"/>
      <c r="E85" s="49"/>
      <c r="F85" s="49"/>
      <c r="G85" s="48" t="s">
        <v>58</v>
      </c>
      <c r="H85" s="48" t="s">
        <v>59</v>
      </c>
      <c r="I85" s="48" t="s">
        <v>60</v>
      </c>
      <c r="J85" s="49" t="s">
        <v>61</v>
      </c>
      <c r="K85" s="49"/>
    </row>
    <row r="86" customFormat="false" ht="19.5" hidden="false" customHeight="true" outlineLevel="0" collapsed="false">
      <c r="B86" s="62" t="s">
        <v>62</v>
      </c>
      <c r="C86" s="62"/>
      <c r="D86" s="62"/>
      <c r="E86" s="62"/>
      <c r="F86" s="62"/>
      <c r="G86" s="63" t="n">
        <f aca="false">H80</f>
        <v>225</v>
      </c>
      <c r="H86" s="64" t="n">
        <v>225</v>
      </c>
      <c r="I86" s="63" t="n">
        <f aca="false">IF(AND(ISNUMBER(G86),ISNUMBER(H86)),ROUND(G86-H86,2),"")</f>
        <v>0</v>
      </c>
      <c r="J86" s="65" t="str">
        <f aca="false">IF(I86="","n/a",IF(ABS(I86)&lt;0.005,"OK","MISMATCH – review"))</f>
        <v>OK</v>
      </c>
      <c r="K86" s="65"/>
    </row>
    <row r="87" customFormat="false" ht="19.5" hidden="false" customHeight="true" outlineLevel="0" collapsed="false">
      <c r="B87" s="62" t="s">
        <v>63</v>
      </c>
      <c r="C87" s="62"/>
      <c r="D87" s="62"/>
      <c r="E87" s="62"/>
      <c r="F87" s="62"/>
      <c r="G87" s="63" t="n">
        <f aca="false">I80</f>
        <v>888.888888888889</v>
      </c>
      <c r="H87" s="64" t="n">
        <v>888.89</v>
      </c>
      <c r="I87" s="63" t="n">
        <f aca="false">IF(AND(ISNUMBER(G87),ISNUMBER(H87)),ROUND(G87-H87,2),"")</f>
        <v>-0</v>
      </c>
      <c r="J87" s="65" t="str">
        <f aca="false">IF(I87="","n/a",IF(ABS(I87)&lt;0.005,"OK","MISMATCH – review"))</f>
        <v>OK</v>
      </c>
      <c r="K87" s="65"/>
    </row>
    <row r="88" customFormat="false" ht="19.5" hidden="false" customHeight="true" outlineLevel="0" collapsed="false">
      <c r="B88" s="62" t="s">
        <v>64</v>
      </c>
      <c r="C88" s="62"/>
      <c r="D88" s="62"/>
      <c r="E88" s="62"/>
      <c r="F88" s="62"/>
      <c r="G88" s="63" t="n">
        <f aca="false">J80</f>
        <v>175</v>
      </c>
      <c r="H88" s="64" t="n">
        <v>175</v>
      </c>
      <c r="I88" s="63" t="n">
        <f aca="false">IF(AND(ISNUMBER(G88),ISNUMBER(H88)),ROUND(G88-H88,2),"")</f>
        <v>0</v>
      </c>
      <c r="J88" s="65" t="str">
        <f aca="false">IF(I88="","n/a",IF(ABS(I88)&lt;0.005,"OK","MISMATCH – review"))</f>
        <v>OK</v>
      </c>
      <c r="K88" s="65"/>
    </row>
    <row r="89" customFormat="false" ht="19.5" hidden="false" customHeight="true" outlineLevel="0" collapsed="false">
      <c r="B89" s="62" t="s">
        <v>65</v>
      </c>
      <c r="C89" s="62"/>
      <c r="D89" s="62"/>
      <c r="E89" s="62"/>
      <c r="F89" s="62"/>
      <c r="G89" s="63" t="n">
        <f aca="false">I80-J80</f>
        <v>713.888888888889</v>
      </c>
      <c r="H89" s="64" t="n">
        <v>713.89</v>
      </c>
      <c r="I89" s="63" t="n">
        <f aca="false">IF(AND(ISNUMBER(G89),ISNUMBER(H89)),ROUND(G89-H89,2),"")</f>
        <v>-0</v>
      </c>
      <c r="J89" s="65" t="str">
        <f aca="false">IF(I89="","n/a",IF(ABS(I89)&lt;0.005,"OK","MISMATCH – review"))</f>
        <v>OK</v>
      </c>
      <c r="K89" s="65"/>
    </row>
    <row r="90" customFormat="false" ht="19.5" hidden="false" customHeight="true" outlineLevel="0" collapsed="false">
      <c r="B90" s="62" t="s">
        <v>66</v>
      </c>
      <c r="C90" s="62"/>
      <c r="D90" s="62"/>
      <c r="E90" s="62"/>
      <c r="F90" s="62"/>
      <c r="G90" s="63" t="n">
        <f aca="false">H81</f>
        <v>120</v>
      </c>
      <c r="H90" s="64" t="n">
        <v>120</v>
      </c>
      <c r="I90" s="63" t="n">
        <f aca="false">IF(AND(ISNUMBER(G90),ISNUMBER(H90)),ROUND(G90-H90,2),"")</f>
        <v>0</v>
      </c>
      <c r="J90" s="65" t="str">
        <f aca="false">IF(I90="","n/a",IF(ABS(I90)&lt;0.005,"OK","MISMATCH – review"))</f>
        <v>OK</v>
      </c>
      <c r="K90" s="65"/>
    </row>
    <row r="91" customFormat="false" ht="19.5" hidden="false" customHeight="true" outlineLevel="0" collapsed="false">
      <c r="B91" s="62" t="s">
        <v>67</v>
      </c>
      <c r="C91" s="62"/>
      <c r="D91" s="62"/>
      <c r="E91" s="62"/>
      <c r="F91" s="62"/>
      <c r="G91" s="63" t="n">
        <f aca="false">I81</f>
        <v>319.68</v>
      </c>
      <c r="H91" s="64" t="n">
        <v>319.68</v>
      </c>
      <c r="I91" s="63" t="n">
        <f aca="false">IF(AND(ISNUMBER(G91),ISNUMBER(H91)),ROUND(G91-H91,2),"")</f>
        <v>0</v>
      </c>
      <c r="J91" s="65" t="str">
        <f aca="false">IF(I91="","n/a",IF(ABS(I91)&lt;0.005,"OK","MISMATCH – review"))</f>
        <v>OK</v>
      </c>
      <c r="K91" s="65"/>
    </row>
    <row r="92" customFormat="false" ht="19.5" hidden="false" customHeight="true" outlineLevel="0" collapsed="false">
      <c r="B92" s="62" t="s">
        <v>68</v>
      </c>
      <c r="C92" s="62"/>
      <c r="D92" s="62"/>
      <c r="E92" s="62"/>
      <c r="F92" s="62"/>
      <c r="G92" s="63" t="n">
        <f aca="false">J81</f>
        <v>336</v>
      </c>
      <c r="H92" s="64" t="n">
        <v>336</v>
      </c>
      <c r="I92" s="63" t="n">
        <f aca="false">IF(AND(ISNUMBER(G92),ISNUMBER(H92)),ROUND(G92-H92,2),"")</f>
        <v>0</v>
      </c>
      <c r="J92" s="65" t="str">
        <f aca="false">IF(I92="","n/a",IF(ABS(I92)&lt;0.005,"OK","MISMATCH – review"))</f>
        <v>OK</v>
      </c>
      <c r="K92" s="65"/>
    </row>
    <row r="93" customFormat="false" ht="19.5" hidden="false" customHeight="true" outlineLevel="0" collapsed="false">
      <c r="B93" s="62" t="s">
        <v>69</v>
      </c>
      <c r="C93" s="62"/>
      <c r="D93" s="62"/>
      <c r="E93" s="62"/>
      <c r="F93" s="62"/>
      <c r="G93" s="63" t="n">
        <f aca="false">I81-J81</f>
        <v>-16.32</v>
      </c>
      <c r="H93" s="64" t="n">
        <v>-16.32</v>
      </c>
      <c r="I93" s="63" t="n">
        <f aca="false">IF(AND(ISNUMBER(G93),ISNUMBER(H93)),ROUND(G93-H93,2),"")</f>
        <v>0</v>
      </c>
      <c r="J93" s="65" t="str">
        <f aca="false">IF(I93="","n/a",IF(ABS(I93)&lt;0.005,"OK","MISMATCH – review"))</f>
        <v>OK</v>
      </c>
      <c r="K93" s="65"/>
    </row>
    <row r="94" customFormat="false" ht="19.5" hidden="false" customHeight="true" outlineLevel="0" collapsed="false">
      <c r="B94" s="62" t="s">
        <v>70</v>
      </c>
      <c r="C94" s="62"/>
      <c r="D94" s="62"/>
      <c r="E94" s="62"/>
      <c r="F94" s="62"/>
      <c r="G94" s="63" t="n">
        <f aca="false">N81</f>
        <v>0</v>
      </c>
      <c r="H94" s="64" t="n">
        <v>0</v>
      </c>
      <c r="I94" s="63" t="n">
        <f aca="false">IF(AND(ISNUMBER(G94),ISNUMBER(H94)),ROUND(G94-H94,2),"")</f>
        <v>0</v>
      </c>
      <c r="J94" s="65" t="str">
        <f aca="false">IF(I94="","n/a",IF(ABS(I94)&lt;0.005,"OK","MISMATCH – review"))</f>
        <v>OK</v>
      </c>
      <c r="K94" s="65"/>
    </row>
    <row r="95" customFormat="false" ht="19.5" hidden="false" customHeight="true" outlineLevel="0" collapsed="false">
      <c r="B95" s="62" t="s">
        <v>71</v>
      </c>
      <c r="C95" s="62"/>
      <c r="D95" s="62"/>
      <c r="E95" s="62"/>
      <c r="F95" s="62"/>
      <c r="G95" s="63" t="n">
        <f aca="false">O81</f>
        <v>16.32</v>
      </c>
      <c r="H95" s="64" t="n">
        <v>16.32</v>
      </c>
      <c r="I95" s="63" t="n">
        <f aca="false">IF(AND(ISNUMBER(G95),ISNUMBER(H95)),ROUND(G95-H95,2),"")</f>
        <v>0</v>
      </c>
      <c r="J95" s="65" t="str">
        <f aca="false">IF(I95="","n/a",IF(ABS(I95)&lt;0.005,"OK","MISMATCH – review"))</f>
        <v>OK</v>
      </c>
      <c r="K95" s="65"/>
    </row>
    <row r="96" customFormat="false" ht="19.5" hidden="false" customHeight="true" outlineLevel="0" collapsed="false">
      <c r="B96" s="62" t="s">
        <v>72</v>
      </c>
      <c r="C96" s="62"/>
      <c r="D96" s="62"/>
      <c r="E96" s="62"/>
      <c r="F96" s="62"/>
      <c r="G96" s="63" t="n">
        <f aca="false">MIN(F82,H82)*G82</f>
        <v>2064.6</v>
      </c>
      <c r="H96" s="64" t="n">
        <v>2064.6</v>
      </c>
      <c r="I96" s="63" t="n">
        <f aca="false">IF(AND(ISNUMBER(G96),ISNUMBER(H96)),ROUND(G96-H96,2),"")</f>
        <v>0</v>
      </c>
      <c r="J96" s="65" t="str">
        <f aca="false">IF(I96="","n/a",IF(ABS(I96)&lt;0.005,"OK","MISMATCH – review"))</f>
        <v>OK</v>
      </c>
      <c r="K96" s="65"/>
    </row>
    <row r="97" customFormat="false" ht="19.5" hidden="false" customHeight="true" outlineLevel="0" collapsed="false">
      <c r="B97" s="62" t="s">
        <v>73</v>
      </c>
      <c r="C97" s="62"/>
      <c r="D97" s="62"/>
      <c r="E97" s="62"/>
      <c r="F97" s="62"/>
      <c r="G97" s="63" t="n">
        <f aca="false">K82</f>
        <v>860</v>
      </c>
      <c r="H97" s="64" t="n">
        <v>860</v>
      </c>
      <c r="I97" s="63" t="n">
        <f aca="false">IF(AND(ISNUMBER(G97),ISNUMBER(H97)),ROUND(G97-H97,2),"")</f>
        <v>0</v>
      </c>
      <c r="J97" s="65" t="str">
        <f aca="false">IF(I97="","n/a",IF(ABS(I97)&lt;0.005,"OK","MISMATCH – review"))</f>
        <v>OK</v>
      </c>
      <c r="K97" s="65"/>
    </row>
    <row r="98" customFormat="false" ht="19.5" hidden="false" customHeight="true" outlineLevel="0" collapsed="false">
      <c r="B98" s="62" t="s">
        <v>74</v>
      </c>
      <c r="C98" s="62"/>
      <c r="D98" s="62"/>
      <c r="E98" s="62"/>
      <c r="F98" s="62"/>
      <c r="G98" s="63" t="n">
        <f aca="false">L82</f>
        <v>2924.6</v>
      </c>
      <c r="H98" s="64" t="n">
        <v>2924.6</v>
      </c>
      <c r="I98" s="63" t="n">
        <f aca="false">IF(AND(ISNUMBER(G98),ISNUMBER(H98)),ROUND(G98-H98,2),"")</f>
        <v>0</v>
      </c>
      <c r="J98" s="65" t="str">
        <f aca="false">IF(I98="","n/a",IF(ABS(I98)&lt;0.005,"OK","MISMATCH – review"))</f>
        <v>OK</v>
      </c>
      <c r="K98" s="65"/>
    </row>
    <row r="99" customFormat="false" ht="19.5" hidden="false" customHeight="true" outlineLevel="0" collapsed="false">
      <c r="B99" s="62" t="s">
        <v>75</v>
      </c>
      <c r="C99" s="62"/>
      <c r="D99" s="62"/>
      <c r="E99" s="62"/>
      <c r="F99" s="62"/>
      <c r="G99" s="63" t="n">
        <f aca="false">N82</f>
        <v>2719.48</v>
      </c>
      <c r="H99" s="64" t="n">
        <v>2719.48</v>
      </c>
      <c r="I99" s="63" t="n">
        <f aca="false">IF(AND(ISNUMBER(G99),ISNUMBER(H99)),ROUND(G99-H99,2),"")</f>
        <v>0</v>
      </c>
      <c r="J99" s="65" t="str">
        <f aca="false">IF(I99="","n/a",IF(ABS(I99)&lt;0.005,"OK","MISMATCH – review"))</f>
        <v>OK</v>
      </c>
      <c r="K99" s="65"/>
    </row>
    <row r="100" customFormat="false" ht="19.5" hidden="false" customHeight="true" outlineLevel="0" collapsed="false">
      <c r="B100" s="62" t="s">
        <v>76</v>
      </c>
      <c r="C100" s="62"/>
      <c r="D100" s="62"/>
      <c r="E100" s="62"/>
      <c r="F100" s="62"/>
      <c r="G100" s="63" t="n">
        <f aca="false">N82</f>
        <v>2719.48</v>
      </c>
      <c r="H100" s="64" t="n">
        <v>2718.88</v>
      </c>
      <c r="I100" s="63" t="n">
        <f aca="false">IF(AND(ISNUMBER(G100),ISNUMBER(H100)),ROUND(G100-H100,2),"")</f>
        <v>0.6</v>
      </c>
      <c r="J100" s="65" t="str">
        <f aca="false">IF(I100="","n/a",IF(ABS(I100)&lt;0.005,"OK","MISMATCH – review"))</f>
        <v>MISMATCH – review</v>
      </c>
      <c r="K100" s="65"/>
    </row>
    <row r="101" customFormat="false" ht="19.5" hidden="false" customHeight="true" outlineLevel="0" collapsed="false">
      <c r="B101" s="62" t="s">
        <v>77</v>
      </c>
      <c r="C101" s="62"/>
      <c r="D101" s="62"/>
      <c r="E101" s="62"/>
      <c r="F101" s="62"/>
      <c r="G101" s="63" t="str">
        <f aca="false">IF(Rate_Method="Fixed rate",SUMIFS(Salary_Calculation[Total Amount Due from Rider],Salary_Calculation[Rider ID],4849914),"n/a – set Fixed rate")</f>
        <v>n/a – set Fixed rate</v>
      </c>
      <c r="H101" s="63" t="n">
        <f aca="false">O81+268.09+32</f>
        <v>316.41</v>
      </c>
      <c r="I101" s="63" t="str">
        <f aca="false">IF(AND(ISNUMBER(G101),ISNUMBER(H101)),ROUND(G101-H101,2),"")</f>
        <v/>
      </c>
      <c r="J101" s="65" t="str">
        <f aca="false">IF(I101="","n/a",IF(ABS(I101)&lt;0.005,"OK","MISMATCH – review"))</f>
        <v>n/a</v>
      </c>
      <c r="K101" s="65"/>
    </row>
    <row r="102" customFormat="false" ht="19.5" hidden="false" customHeight="true" outlineLevel="0" collapsed="false">
      <c r="B102" s="62" t="s">
        <v>78</v>
      </c>
      <c r="C102" s="62"/>
      <c r="D102" s="62"/>
      <c r="E102" s="62"/>
      <c r="F102" s="62"/>
      <c r="G102" s="63" t="str">
        <f aca="false">IF(Rate_Method="Fixed rate",SUMIFS(Salary_Calculation[Final Salary],Salary_Calculation[Rider ID],4648308),"n/a – set Fixed rate")</f>
        <v>n/a – set Fixed rate</v>
      </c>
      <c r="H102" s="64" t="n">
        <v>2719.48</v>
      </c>
      <c r="I102" s="63" t="str">
        <f aca="false">IF(AND(ISNUMBER(G102),ISNUMBER(H102)),ROUND(G102-H102,2),"")</f>
        <v/>
      </c>
      <c r="J102" s="65" t="str">
        <f aca="false">IF(I102="","n/a",IF(ABS(I102)&lt;0.005,"OK","MISMATCH – review"))</f>
        <v>n/a</v>
      </c>
      <c r="K102" s="65"/>
    </row>
    <row r="103" customFormat="false" ht="15" hidden="false" customHeight="true" outlineLevel="0" collapsed="false">
      <c r="B103" s="66" t="s">
        <v>79</v>
      </c>
      <c r="C103" s="66"/>
      <c r="D103" s="66"/>
      <c r="E103" s="66"/>
      <c r="F103" s="66"/>
      <c r="G103" s="66"/>
      <c r="H103" s="66"/>
      <c r="I103" s="66"/>
      <c r="J103" s="66"/>
      <c r="K103" s="66"/>
      <c r="L103" s="66"/>
      <c r="M103" s="66"/>
      <c r="N103" s="66"/>
      <c r="O103" s="66"/>
    </row>
  </sheetData>
  <mergeCells count="148">
    <mergeCell ref="F2:N3"/>
    <mergeCell ref="F4:N4"/>
    <mergeCell ref="I5:J5"/>
    <mergeCell ref="K5:L5"/>
    <mergeCell ref="M5:N5"/>
    <mergeCell ref="B7:D7"/>
    <mergeCell ref="E7:G7"/>
    <mergeCell ref="H7:J7"/>
    <mergeCell ref="K7:M7"/>
    <mergeCell ref="B8:D8"/>
    <mergeCell ref="E8:G8"/>
    <mergeCell ref="H8:J8"/>
    <mergeCell ref="K8:M8"/>
    <mergeCell ref="B9:D9"/>
    <mergeCell ref="E9:G9"/>
    <mergeCell ref="H9:J9"/>
    <mergeCell ref="K9:M9"/>
    <mergeCell ref="B11:D11"/>
    <mergeCell ref="E11:G11"/>
    <mergeCell ref="H11:J11"/>
    <mergeCell ref="K11:M11"/>
    <mergeCell ref="B12:D12"/>
    <mergeCell ref="E12:G12"/>
    <mergeCell ref="H12:J12"/>
    <mergeCell ref="K12:M12"/>
    <mergeCell ref="B13:D13"/>
    <mergeCell ref="E13:G13"/>
    <mergeCell ref="H13:J13"/>
    <mergeCell ref="K13:M13"/>
    <mergeCell ref="B15:M15"/>
    <mergeCell ref="B17:G17"/>
    <mergeCell ref="H17:M17"/>
    <mergeCell ref="B33:F33"/>
    <mergeCell ref="H33:M33"/>
    <mergeCell ref="B34:D34"/>
    <mergeCell ref="J34:K34"/>
    <mergeCell ref="B35:D35"/>
    <mergeCell ref="J35:K35"/>
    <mergeCell ref="B36:D36"/>
    <mergeCell ref="J36:K36"/>
    <mergeCell ref="B37:D37"/>
    <mergeCell ref="J37:K37"/>
    <mergeCell ref="B38:D38"/>
    <mergeCell ref="J38:K38"/>
    <mergeCell ref="B39:D39"/>
    <mergeCell ref="J39:K39"/>
    <mergeCell ref="J40:K40"/>
    <mergeCell ref="J41:K41"/>
    <mergeCell ref="J42:K42"/>
    <mergeCell ref="J43:K43"/>
    <mergeCell ref="J44:K44"/>
    <mergeCell ref="B47:N47"/>
    <mergeCell ref="B48:N48"/>
    <mergeCell ref="E49:F49"/>
    <mergeCell ref="G49:N49"/>
    <mergeCell ref="E50:F50"/>
    <mergeCell ref="G50:N50"/>
    <mergeCell ref="E51:F51"/>
    <mergeCell ref="G51:N51"/>
    <mergeCell ref="E52:F52"/>
    <mergeCell ref="G52:N52"/>
    <mergeCell ref="E53:F53"/>
    <mergeCell ref="G53:N53"/>
    <mergeCell ref="E54:F54"/>
    <mergeCell ref="G54:N54"/>
    <mergeCell ref="E55:F55"/>
    <mergeCell ref="G55:N55"/>
    <mergeCell ref="E56:F56"/>
    <mergeCell ref="G56:N56"/>
    <mergeCell ref="E57:F57"/>
    <mergeCell ref="G57:N57"/>
    <mergeCell ref="E58:F58"/>
    <mergeCell ref="G58:N58"/>
    <mergeCell ref="E59:F59"/>
    <mergeCell ref="G59:N59"/>
    <mergeCell ref="E60:F60"/>
    <mergeCell ref="G60:N60"/>
    <mergeCell ref="E61:F61"/>
    <mergeCell ref="G61:N61"/>
    <mergeCell ref="E62:F62"/>
    <mergeCell ref="G62:N62"/>
    <mergeCell ref="E63:F63"/>
    <mergeCell ref="G63:N63"/>
    <mergeCell ref="E64:F64"/>
    <mergeCell ref="G64:N64"/>
    <mergeCell ref="E65:F65"/>
    <mergeCell ref="G65:N65"/>
    <mergeCell ref="E66:F66"/>
    <mergeCell ref="G66:N66"/>
    <mergeCell ref="E67:F67"/>
    <mergeCell ref="G67:N67"/>
    <mergeCell ref="E68:F68"/>
    <mergeCell ref="G68:N68"/>
    <mergeCell ref="E69:F69"/>
    <mergeCell ref="G69:N69"/>
    <mergeCell ref="E70:F70"/>
    <mergeCell ref="G70:N70"/>
    <mergeCell ref="E71:F71"/>
    <mergeCell ref="G71:N71"/>
    <mergeCell ref="E72:F72"/>
    <mergeCell ref="G72:N72"/>
    <mergeCell ref="E73:F73"/>
    <mergeCell ref="G73:N73"/>
    <mergeCell ref="E74:F74"/>
    <mergeCell ref="G74:N74"/>
    <mergeCell ref="B78:O78"/>
    <mergeCell ref="B79:C79"/>
    <mergeCell ref="B80:C80"/>
    <mergeCell ref="B81:C81"/>
    <mergeCell ref="B82:C82"/>
    <mergeCell ref="B83:O83"/>
    <mergeCell ref="B85:F85"/>
    <mergeCell ref="J85:K85"/>
    <mergeCell ref="B86:F86"/>
    <mergeCell ref="J86:K86"/>
    <mergeCell ref="B87:F87"/>
    <mergeCell ref="J87:K87"/>
    <mergeCell ref="B88:F88"/>
    <mergeCell ref="J88:K88"/>
    <mergeCell ref="B89:F89"/>
    <mergeCell ref="J89:K89"/>
    <mergeCell ref="B90:F90"/>
    <mergeCell ref="J90:K90"/>
    <mergeCell ref="B91:F91"/>
    <mergeCell ref="J91:K91"/>
    <mergeCell ref="B92:F92"/>
    <mergeCell ref="J92:K92"/>
    <mergeCell ref="B93:F93"/>
    <mergeCell ref="J93:K93"/>
    <mergeCell ref="B94:F94"/>
    <mergeCell ref="J94:K94"/>
    <mergeCell ref="B95:F95"/>
    <mergeCell ref="J95:K95"/>
    <mergeCell ref="B96:F96"/>
    <mergeCell ref="J96:K96"/>
    <mergeCell ref="B97:F97"/>
    <mergeCell ref="J97:K97"/>
    <mergeCell ref="B98:F98"/>
    <mergeCell ref="J98:K98"/>
    <mergeCell ref="B99:F99"/>
    <mergeCell ref="J99:K99"/>
    <mergeCell ref="B100:F100"/>
    <mergeCell ref="J100:K100"/>
    <mergeCell ref="B101:F101"/>
    <mergeCell ref="J101:K101"/>
    <mergeCell ref="B102:F102"/>
    <mergeCell ref="J102:K102"/>
    <mergeCell ref="B103:O103"/>
  </mergeCells>
  <conditionalFormatting sqref="B15:M15">
    <cfRule type="expression" priority="2" aboveAverage="0" equalAverage="0" bottom="0" percent="0" rank="0" text="" dxfId="0">
      <formula>LEFT($B$15,1)&lt;&gt;"✔"</formula>
    </cfRule>
  </conditionalFormatting>
  <conditionalFormatting sqref="B50:N74">
    <cfRule type="expression" priority="3" aboveAverage="0" equalAverage="0" bottom="0" percent="0" rank="0" text="" dxfId="1">
      <formula>$B50&lt;&gt;""</formula>
    </cfRule>
  </conditionalFormatting>
  <conditionalFormatting sqref="J86:K102">
    <cfRule type="expression" priority="4" aboveAverage="0" equalAverage="0" bottom="0" percent="0" rank="0" text="" dxfId="2">
      <formula>$J86="OK"</formula>
    </cfRule>
    <cfRule type="expression" priority="5" aboveAverage="0" equalAverage="0" bottom="0" percent="0" rank="0" text="" dxfId="3">
      <formula>LEFT($J86,8)="MISMATCH"</formula>
    </cfRule>
  </conditionalFormatting>
  <dataValidations count="1">
    <dataValidation allowBlank="false" error="Choose All Months or a month from the list." errorStyle="stop" errorTitle="Month" operator="between" showDropDown="false" showErrorMessage="true" showInputMessage="false" sqref="K5" type="list">
      <formula1>Dash_Month_List</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8E4E"/>
    <pageSetUpPr fitToPage="true"/>
  </sheetPr>
  <dimension ref="B1:I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9" min="2" style="0" width="14.6"/>
    <col collapsed="false" customWidth="true" hidden="false" outlineLevel="0" max="10" min="10" style="0" width="2"/>
  </cols>
  <sheetData>
    <row r="1" customFormat="false" ht="15" hidden="false" customHeight="true" outlineLevel="0" collapsed="false">
      <c r="B1" s="67" t="s">
        <v>80</v>
      </c>
      <c r="C1" s="67"/>
      <c r="D1" s="67"/>
      <c r="E1" s="67"/>
      <c r="F1" s="67"/>
      <c r="G1" s="67"/>
      <c r="H1" s="67"/>
      <c r="I1" s="67"/>
    </row>
    <row r="2" customFormat="false" ht="23.1" hidden="false" customHeight="true" outlineLevel="0" collapsed="false">
      <c r="B2" s="68" t="s">
        <v>81</v>
      </c>
      <c r="C2" s="6" t="n">
        <f aca="false">Salary_Month</f>
        <v>46235</v>
      </c>
      <c r="D2" s="6"/>
      <c r="E2" s="68" t="s">
        <v>82</v>
      </c>
      <c r="F2" s="69" t="n">
        <f aca="false">Payslip_Data!AL2</f>
        <v>4849914</v>
      </c>
      <c r="G2" s="69"/>
      <c r="H2" s="70" t="s">
        <v>83</v>
      </c>
      <c r="I2" s="70"/>
    </row>
    <row r="3" customFormat="false" ht="15" hidden="false" customHeight="false" outlineLevel="0" collapsed="false">
      <c r="B3" s="71" t="s">
        <v>84</v>
      </c>
      <c r="C3" s="72" t="n">
        <f aca="false">IFERROR(MATCH($F$2&amp;"|"&amp;$C$2,Payslip_Lookup[Key],0),"")</f>
        <v>1</v>
      </c>
      <c r="D3" s="72"/>
      <c r="E3" s="73" t="str">
        <f aca="false">IF($C$3="","⚠ No record for this month + rider. Choose the month first, then the rider.","✔ Record found – payslip ready to print.")</f>
        <v>✔ Record found – payslip ready to print.</v>
      </c>
      <c r="F3" s="73"/>
      <c r="G3" s="73"/>
      <c r="H3" s="73"/>
      <c r="I3" s="73"/>
    </row>
    <row r="4" customFormat="false" ht="7.5" hidden="false" customHeight="true" outlineLevel="0" collapsed="false"/>
    <row r="5" customFormat="false" ht="6" hidden="false" customHeight="true" outlineLevel="0" collapsed="false">
      <c r="B5" s="1"/>
      <c r="C5" s="1"/>
      <c r="D5" s="1"/>
      <c r="E5" s="1"/>
      <c r="F5" s="2"/>
      <c r="G5" s="2"/>
      <c r="H5" s="2"/>
      <c r="I5" s="2"/>
    </row>
    <row r="6" customFormat="false" ht="24.75" hidden="false" customHeight="true" outlineLevel="0" collapsed="false">
      <c r="E6" s="74" t="s">
        <v>85</v>
      </c>
      <c r="F6" s="74"/>
      <c r="G6" s="74"/>
      <c r="H6" s="74"/>
      <c r="I6" s="74"/>
    </row>
    <row r="7" customFormat="false" ht="24.75" hidden="false" customHeight="true" outlineLevel="0" collapsed="false">
      <c r="E7" s="4" t="str">
        <f aca="false">IF($C$3="","",TEXT(INDEX(Payslip_Lookup[Salary Month],$C$3),"dd mmm yyyy")&amp;"  –  "&amp;TEXT(EOMONTH(INDEX(Payslip_Lookup[Salary Month],$C$3),0),"dd mmm yyyy"))</f>
        <v>01 Aug 2026  –  31 Aug 2026</v>
      </c>
      <c r="F7" s="4"/>
      <c r="G7" s="4"/>
      <c r="H7" s="4"/>
      <c r="I7" s="4"/>
    </row>
    <row r="8" customFormat="false" ht="24.75" hidden="false" customHeight="true" outlineLevel="0" collapsed="false">
      <c r="E8" s="75" t="str">
        <f aca="false">IF($C$3="","","Payslip No. PS-"&amp;TEXT(INDEX(Payslip_Lookup[Salary Month],$C$3),"yyyymm")&amp;"-"&amp;INDEX(Payslip_Lookup[Rider ID],$C$3))</f>
        <v>Payslip No. PS-202608-4849914</v>
      </c>
      <c r="F8" s="75"/>
      <c r="G8" s="75"/>
      <c r="H8" s="75"/>
      <c r="I8" s="75"/>
    </row>
    <row r="9" customFormat="false" ht="24.75" hidden="false" customHeight="true" outlineLevel="0" collapsed="false">
      <c r="E9" s="76" t="str">
        <f aca="false">"Issued by "&amp;Company_Name&amp;"  ·  Payroll Department"</f>
        <v>Issued by Elite Development  ·  Payroll Department</v>
      </c>
      <c r="F9" s="76"/>
      <c r="G9" s="76"/>
      <c r="H9" s="76"/>
      <c r="I9" s="76"/>
    </row>
    <row r="10" customFormat="false" ht="7.5" hidden="false" customHeight="true" outlineLevel="0" collapsed="false"/>
    <row r="11" customFormat="false" ht="21.75" hidden="false" customHeight="true" outlineLevel="0" collapsed="false">
      <c r="B11" s="77" t="s">
        <v>86</v>
      </c>
      <c r="C11" s="77"/>
      <c r="D11" s="77"/>
      <c r="E11" s="77"/>
      <c r="F11" s="78" t="s">
        <v>87</v>
      </c>
      <c r="G11" s="78"/>
      <c r="H11" s="78"/>
      <c r="I11" s="78"/>
    </row>
    <row r="12" customFormat="false" ht="27.75" hidden="false" customHeight="true" outlineLevel="0" collapsed="false">
      <c r="B12" s="79" t="str">
        <f aca="false">IF($C$3="","",INDEX(Payslip_Lookup[Rider Name],$C$3))</f>
        <v>Rider 4849914</v>
      </c>
      <c r="C12" s="79"/>
      <c r="D12" s="79"/>
      <c r="E12" s="79"/>
      <c r="F12" s="80" t="str">
        <f aca="false">IF($C$3="","",INDEX(Payslip_Lookup[Payment Status],$C$3))</f>
        <v>No Salary – Amount Due from Rider</v>
      </c>
      <c r="G12" s="80"/>
      <c r="H12" s="80"/>
      <c r="I12" s="80"/>
    </row>
    <row r="13" customFormat="false" ht="21.75" hidden="false" customHeight="true" outlineLevel="0" collapsed="false">
      <c r="B13" s="81" t="str">
        <f aca="false">IF($C$3="","","Rider ID  "&amp;INDEX(Payslip_Lookup[Rider ID],$C$3))</f>
        <v>Rider ID  4849914</v>
      </c>
      <c r="C13" s="81"/>
      <c r="D13" s="81"/>
      <c r="E13" s="81"/>
      <c r="F13" s="80"/>
      <c r="G13" s="80"/>
      <c r="H13" s="80"/>
      <c r="I13" s="80"/>
    </row>
    <row r="14" customFormat="false" ht="21.75" hidden="false" customHeight="true" outlineLevel="0" collapsed="false">
      <c r="B14" s="82" t="str">
        <f aca="false">IF($C$3="","","Salary month: "&amp;TEXT(INDEX(Payslip_Lookup[Salary Month],$C$3),"mmmm yyyy"))</f>
        <v>Salary month: August 2026</v>
      </c>
      <c r="C14" s="82"/>
      <c r="D14" s="82"/>
      <c r="E14" s="82"/>
      <c r="F14" s="83" t="str">
        <f aca="false">IF($C$3="","","Base rate SAR "&amp;TEXT(INDEX(Payslip_Lookup[Base Order Rate],$C$3),"0.00")&amp;" / order  ·  "&amp;Rate_Method)</f>
        <v>Base rate SAR 4.44 / order  ·  Exact rate</v>
      </c>
      <c r="G14" s="83"/>
      <c r="H14" s="83"/>
      <c r="I14" s="83"/>
    </row>
    <row r="15" customFormat="false" ht="7.5" hidden="false" customHeight="true" outlineLevel="0" collapsed="false"/>
    <row r="16" customFormat="false" ht="19.5" hidden="false" customHeight="true" outlineLevel="0" collapsed="false">
      <c r="B16" s="84" t="s">
        <v>88</v>
      </c>
      <c r="C16" s="84"/>
      <c r="D16" s="85" t="s">
        <v>89</v>
      </c>
      <c r="E16" s="85"/>
      <c r="F16" s="86" t="s">
        <v>90</v>
      </c>
      <c r="G16" s="86"/>
      <c r="H16" s="87" t="s">
        <v>91</v>
      </c>
      <c r="I16" s="87"/>
    </row>
    <row r="17" customFormat="false" ht="33.75" hidden="false" customHeight="true" outlineLevel="0" collapsed="false">
      <c r="B17" s="88" t="n">
        <f aca="false">IF($C$3="","",INDEX(Payslip_Lookup[Working Days],$C$3))</f>
        <v>8</v>
      </c>
      <c r="C17" s="88"/>
      <c r="D17" s="89" t="n">
        <f aca="false">IF($C$3="","",INDEX(Payslip_Lookup[Rider Target Orders],$C$3))</f>
        <v>120</v>
      </c>
      <c r="E17" s="89"/>
      <c r="F17" s="90" t="n">
        <f aca="false">IF($C$3="","",INDEX(Payslip_Lookup[Completed Orders],$C$3))</f>
        <v>72</v>
      </c>
      <c r="G17" s="90"/>
      <c r="H17" s="91" t="n">
        <f aca="false">IF(OR($C$3="",N(INDEX(Payslip_Lookup[Rider Target Orders],$C$3))=0),"",INDEX(Payslip_Lookup[Completed Orders],$C$3)/INDEX(Payslip_Lookup[Rider Target Orders],$C$3))</f>
        <v>0.6</v>
      </c>
      <c r="I17" s="91"/>
    </row>
    <row r="18" customFormat="false" ht="19.5" hidden="false" customHeight="true" outlineLevel="0" collapsed="false">
      <c r="B18" s="92" t="str">
        <f aca="false">IF($C$3="","","of "&amp;INDEX(Payslip_Lookup[Calendar Days],$C$3)&amp;" calendar days")</f>
        <v>of 31 calendar days</v>
      </c>
      <c r="C18" s="92"/>
      <c r="D18" s="92" t="str">
        <f aca="false">IF($C$3="","","monthly target "&amp;TEXT(INDEX(Payslip_Lookup[Monthly Target Orders],$C$3),"0.##"))</f>
        <v>monthly target 465</v>
      </c>
      <c r="E18" s="92"/>
      <c r="F18" s="92" t="str">
        <f aca="false">IF($C$3="","",IF(INDEX(Payslip_Lookup[Extra Orders],$C$3)&gt;0,"▲ "&amp;TEXT(INDEX(Payslip_Lookup[Extra Orders],$C$3),"0.##")&amp;" extra orders",IF(INDEX(Payslip_Lookup[Missing Orders],$C$3)&gt;0,"▼ "&amp;TEXT(INDEX(Payslip_Lookup[Missing Orders],$C$3),"0.##")&amp;" missing orders","target met")))</f>
        <v>▼ 48 missing orders</v>
      </c>
      <c r="G18" s="92"/>
      <c r="H18" s="92" t="str">
        <f aca="false">IF($C$3="","","completed ÷ target")</f>
        <v>completed ÷ target</v>
      </c>
      <c r="I18" s="92"/>
    </row>
    <row r="19" customFormat="false" ht="7.5" hidden="false" customHeight="true" outlineLevel="0" collapsed="false"/>
    <row r="20" customFormat="false" ht="24" hidden="false" customHeight="true" outlineLevel="0" collapsed="false">
      <c r="B20" s="25" t="s">
        <v>92</v>
      </c>
      <c r="C20" s="25"/>
      <c r="D20" s="25"/>
      <c r="E20" s="25"/>
      <c r="F20" s="46" t="s">
        <v>93</v>
      </c>
      <c r="G20" s="46"/>
      <c r="H20" s="46"/>
      <c r="I20" s="46"/>
    </row>
    <row r="21" customFormat="false" ht="24.75" hidden="false" customHeight="true" outlineLevel="0" collapsed="false">
      <c r="B21" s="33" t="s">
        <v>94</v>
      </c>
      <c r="C21" s="33"/>
      <c r="D21" s="33"/>
      <c r="E21" s="93" t="n">
        <f aca="false">IF($C$3="","",INDEX(Payslip_Lookup[Basic Payment],$C$3))</f>
        <v>2000</v>
      </c>
      <c r="F21" s="33" t="s">
        <v>95</v>
      </c>
      <c r="G21" s="33"/>
      <c r="H21" s="33"/>
      <c r="I21" s="94" t="n">
        <f aca="false">IF($C$3="","",INDEX(Payslip_Lookup[Missing Orders],$C$3))</f>
        <v>48</v>
      </c>
    </row>
    <row r="22" customFormat="false" ht="24.75" hidden="false" customHeight="true" outlineLevel="0" collapsed="false">
      <c r="B22" s="95" t="s">
        <v>96</v>
      </c>
      <c r="C22" s="95"/>
      <c r="D22" s="95"/>
      <c r="E22" s="96" t="n">
        <f aca="false">IF($C$3="","",INDEX(Payslip_Lookup[Orders Counted at Base Rate],$C$3))</f>
        <v>72</v>
      </c>
      <c r="F22" s="95" t="s">
        <v>97</v>
      </c>
      <c r="G22" s="95"/>
      <c r="H22" s="95"/>
      <c r="I22" s="97" t="n">
        <f aca="false">IF($C$3="","",INDEX(Payslip_Lookup[Missing-Order Deduction],$C$3))</f>
        <v>336</v>
      </c>
    </row>
    <row r="23" customFormat="false" ht="24.75" hidden="false" customHeight="true" outlineLevel="0" collapsed="false">
      <c r="B23" s="33" t="s">
        <v>98</v>
      </c>
      <c r="C23" s="33"/>
      <c r="D23" s="33"/>
      <c r="E23" s="93" t="n">
        <f aca="false">IF($C$3="","",INDEX(Payslip_Lookup[Earned Salary],$C$3))</f>
        <v>320</v>
      </c>
      <c r="F23" s="33" t="s">
        <v>99</v>
      </c>
      <c r="G23" s="33"/>
      <c r="H23" s="33"/>
      <c r="I23" s="98" t="n">
        <f aca="false">IF($C$3="","",INDEX(Payslip_Lookup[missed_days_penalty],$C$3))</f>
        <v>0</v>
      </c>
    </row>
    <row r="24" customFormat="false" ht="24.75" hidden="false" customHeight="true" outlineLevel="0" collapsed="false">
      <c r="B24" s="95" t="s">
        <v>100</v>
      </c>
      <c r="C24" s="95"/>
      <c r="D24" s="95"/>
      <c r="E24" s="96" t="n">
        <f aca="false">IF($C$3="","",INDEX(Payslip_Lookup[Extra Orders],$C$3))</f>
        <v>0</v>
      </c>
      <c r="F24" s="95" t="s">
        <v>101</v>
      </c>
      <c r="G24" s="95"/>
      <c r="H24" s="95"/>
      <c r="I24" s="97" t="n">
        <f aca="false">IF($C$3="","",INDEX(Payslip_Lookup[Rider Balance],$C$3))</f>
        <v>268.09</v>
      </c>
    </row>
    <row r="25" customFormat="false" ht="24.75" hidden="false" customHeight="true" outlineLevel="0" collapsed="false">
      <c r="B25" s="33" t="s">
        <v>102</v>
      </c>
      <c r="C25" s="33"/>
      <c r="D25" s="33"/>
      <c r="E25" s="99" t="n">
        <f aca="false">IF($C$3="","",INDEX(Payslip_Lookup[Extra-Order Bonus],$C$3))</f>
        <v>0</v>
      </c>
      <c r="F25" s="33" t="s">
        <v>103</v>
      </c>
      <c r="G25" s="33"/>
      <c r="H25" s="33"/>
      <c r="I25" s="98" t="n">
        <f aca="false">IF($C$3="","",INDEX(Payslip_Lookup[stacking_deduction],$C$3))</f>
        <v>32</v>
      </c>
    </row>
    <row r="26" customFormat="false" ht="24.75" hidden="false" customHeight="true" outlineLevel="0" collapsed="false">
      <c r="B26" s="95" t="s">
        <v>104</v>
      </c>
      <c r="C26" s="95"/>
      <c r="D26" s="95"/>
      <c r="E26" s="100" t="n">
        <f aca="false">IF($C$3="","",INDEX(Payslip_Lookup[Basic Salary for Target],$C$3))</f>
        <v>533.333333333333</v>
      </c>
      <c r="F26" s="95" t="s">
        <v>105</v>
      </c>
      <c r="G26" s="95"/>
      <c r="H26" s="95"/>
      <c r="I26" s="97" t="n">
        <f aca="false">IF($C$3="","",INDEX(Payslip_Lookup[Other Deductions],$C$3))</f>
        <v>0</v>
      </c>
    </row>
    <row r="27" customFormat="false" ht="24.75" hidden="false" customHeight="true" outlineLevel="0" collapsed="false">
      <c r="B27" s="101" t="s">
        <v>106</v>
      </c>
      <c r="C27" s="101"/>
      <c r="D27" s="101"/>
      <c r="E27" s="102" t="n">
        <f aca="false">IF($C$3="","",INDEX(Payslip_Lookup[Gross Salary Before Deductions],$C$3))</f>
        <v>0</v>
      </c>
      <c r="F27" s="103" t="s">
        <v>107</v>
      </c>
      <c r="G27" s="103"/>
      <c r="H27" s="103"/>
      <c r="I27" s="104" t="n">
        <f aca="false">IF($C$3="","",INDEX(Payslip_Lookup[Total Deductions],$C$3))</f>
        <v>300.09</v>
      </c>
    </row>
    <row r="28" customFormat="false" ht="9.75" hidden="false" customHeight="true" outlineLevel="0" collapsed="false"/>
    <row r="29" customFormat="false" ht="21.75" hidden="false" customHeight="true" outlineLevel="0" collapsed="false">
      <c r="B29" s="105" t="s">
        <v>108</v>
      </c>
      <c r="C29" s="105"/>
      <c r="D29" s="105"/>
      <c r="E29" s="105"/>
      <c r="F29" s="106" t="s">
        <v>109</v>
      </c>
      <c r="G29" s="106"/>
      <c r="H29" s="106"/>
      <c r="I29" s="106"/>
    </row>
    <row r="30" customFormat="false" ht="24" hidden="false" customHeight="true" outlineLevel="0" collapsed="false">
      <c r="B30" s="107" t="n">
        <f aca="false">IF($C$3="","",INDEX(Payslip_Lookup[Final Salary],$C$3))</f>
        <v>0</v>
      </c>
      <c r="C30" s="107"/>
      <c r="D30" s="107"/>
      <c r="E30" s="107"/>
      <c r="F30" s="108" t="n">
        <f aca="false">IF($C$3="","",INDEX(Payslip_Lookup[Negative Balance / Amount Due from Rider],$C$3))</f>
        <v>16</v>
      </c>
      <c r="G30" s="108"/>
      <c r="H30" s="108"/>
      <c r="I30" s="108"/>
    </row>
    <row r="31" customFormat="false" ht="24" hidden="false" customHeight="true" outlineLevel="0" collapsed="false">
      <c r="B31" s="107"/>
      <c r="C31" s="107"/>
      <c r="D31" s="107"/>
      <c r="E31" s="107"/>
      <c r="F31" s="108"/>
      <c r="G31" s="108"/>
      <c r="H31" s="108"/>
      <c r="I31" s="108"/>
    </row>
    <row r="32" customFormat="false" ht="21.75" hidden="false" customHeight="true" outlineLevel="0" collapsed="false">
      <c r="B32" s="109" t="str">
        <f aca="false">IF($C$3="","","Salary before other deductions: SAR "&amp;TEXT(INDEX(Payslip_Lookup[Salary Before Other Deductions],$C$3),"#,##0.00;-#,##0.00"))</f>
        <v>Salary before other deductions: SAR -16.00</v>
      </c>
      <c r="C32" s="109"/>
      <c r="D32" s="109"/>
      <c r="E32" s="109"/>
      <c r="F32" s="110" t="str">
        <f aca="false">IF($C$3="","","Total amount due from rider (incl. deductions beyond salary): SAR "&amp;TEXT(INDEX(Payslip_Lookup[Total Amount Due from Rider],$C$3),"#,##0.00"))</f>
        <v>Total amount due from rider (incl. deductions beyond salary): SAR 316.09</v>
      </c>
      <c r="G32" s="110"/>
      <c r="H32" s="110"/>
      <c r="I32" s="110"/>
    </row>
    <row r="33" customFormat="false" ht="9.75" hidden="false" customHeight="true" outlineLevel="0" collapsed="false"/>
    <row r="34" customFormat="false" ht="24" hidden="false" customHeight="true" outlineLevel="0" collapsed="false">
      <c r="B34" s="27" t="s">
        <v>110</v>
      </c>
      <c r="C34" s="27"/>
      <c r="D34" s="27"/>
      <c r="E34" s="27"/>
      <c r="F34" s="27"/>
      <c r="G34" s="27"/>
      <c r="H34" s="27"/>
      <c r="I34" s="27"/>
    </row>
    <row r="35" customFormat="false" ht="19.5" hidden="false" customHeight="true" outlineLevel="0" collapsed="false">
      <c r="B35" s="62" t="str">
        <f aca="false">IF($C$3="","","① Rider target = monthly target "&amp;TEXT(INDEX(Payslip_Lookup[Monthly Target Orders],$C$3),"0.##")&amp;" ÷ "&amp;INDEX(Payslip_Lookup[Calendar Days],$C$3)&amp;" days × "&amp;INDEX(Payslip_Lookup[Working Days],$C$3)&amp;" working days = "&amp;TEXT(INDEX(Payslip_Lookup[Rider Target Orders],$C$3),"0.00")&amp;" orders")</f>
        <v>① Rider target = monthly target 465 ÷ 31 days × 8 working days = 120.00 orders</v>
      </c>
      <c r="C35" s="62"/>
      <c r="D35" s="62"/>
      <c r="E35" s="62"/>
      <c r="F35" s="62"/>
      <c r="G35" s="62"/>
      <c r="H35" s="62"/>
      <c r="I35" s="62"/>
    </row>
    <row r="36" customFormat="false" ht="19.5" hidden="false" customHeight="true" outlineLevel="0" collapsed="false">
      <c r="B36" s="62" t="str">
        <f aca="false">IF($C$3="","","② Earned salary = "&amp;TEXT(INDEX(Payslip_Lookup[Orders Counted at Base Rate],$C$3),"0.00")&amp;" orders × SAR "&amp;TEXT(INDEX(Payslip_Lookup[Base Order Rate],$C$3),"0.00")&amp;" = SAR "&amp;TEXT(INDEX(Payslip_Lookup[Earned Salary],$C$3),"#,##0.00"))</f>
        <v>② Earned salary = 72.00 orders × SAR 4.44 = SAR 320.00</v>
      </c>
      <c r="C36" s="62"/>
      <c r="D36" s="62"/>
      <c r="E36" s="62"/>
      <c r="F36" s="62"/>
      <c r="G36" s="62"/>
      <c r="H36" s="62"/>
      <c r="I36" s="62"/>
    </row>
    <row r="37" customFormat="false" ht="19.5" hidden="false" customHeight="true" outlineLevel="0" collapsed="false">
      <c r="B37" s="62" t="str">
        <f aca="false">IF($C$3="","","③ "&amp;IF(INDEX(Payslip_Lookup[Missing Orders],$C$3)&gt;0,"Shortfall: "&amp;TEXT(INDEX(Payslip_Lookup[Missing Orders],$C$3),"0.##")&amp;" missing orders × SAR "&amp;Missing_Rate&amp;" = SAR "&amp;TEXT(INDEX(Payslip_Lookup[Missing-Order Deduction],$C$3),"#,##0.00")&amp;" deducted",IF(INDEX(Payslip_Lookup[Extra Orders],$C$3)&gt;0,"Bonus: "&amp;TEXT(INDEX(Payslip_Lookup[Extra Orders],$C$3),"0.##")&amp;" extra orders × SAR "&amp;Extra_Rate&amp;" = SAR "&amp;TEXT(INDEX(Payslip_Lookup[Extra-Order Bonus],$C$3),"#,##0.00"),"Target met exactly – no shortfall or bonus")))</f>
        <v>③ Shortfall: 48 missing orders × SAR 7 = SAR 336.00 deducted</v>
      </c>
      <c r="C37" s="62"/>
      <c r="D37" s="62"/>
      <c r="E37" s="62"/>
      <c r="F37" s="62"/>
      <c r="G37" s="62"/>
      <c r="H37" s="62"/>
      <c r="I37" s="62"/>
    </row>
    <row r="38" customFormat="false" ht="9.75" hidden="false" customHeight="true" outlineLevel="0" collapsed="false"/>
    <row r="39" customFormat="false" ht="24" hidden="false" customHeight="true" outlineLevel="0" collapsed="false">
      <c r="B39" s="27" t="s">
        <v>111</v>
      </c>
      <c r="C39" s="27"/>
      <c r="D39" s="27"/>
      <c r="E39" s="27"/>
      <c r="F39" s="27"/>
      <c r="G39" s="27"/>
      <c r="H39" s="27"/>
      <c r="I39" s="27"/>
    </row>
    <row r="40" customFormat="false" ht="21.75" hidden="false" customHeight="true" outlineLevel="0" collapsed="false">
      <c r="B40" s="111" t="str">
        <f aca="false">IF($C$3="","",INDEX(Payslip_Lookup[Notes],$C$3)&amp;IF(INDEX(Payslip_Lookup[Exception Reason],$C$3)&lt;&gt;"","   ⚠ REVIEW REQUIRED: "&amp;INDEX(Payslip_Lookup[Exception Reason],$C$3),""))</f>
        <v/>
      </c>
      <c r="C40" s="111"/>
      <c r="D40" s="111"/>
      <c r="E40" s="111"/>
      <c r="F40" s="111"/>
      <c r="G40" s="111"/>
      <c r="H40" s="111"/>
      <c r="I40" s="111"/>
    </row>
    <row r="41" customFormat="false" ht="21.75" hidden="false" customHeight="true" outlineLevel="0" collapsed="false">
      <c r="B41" s="111"/>
      <c r="C41" s="111"/>
      <c r="D41" s="111"/>
      <c r="E41" s="111"/>
      <c r="F41" s="111"/>
      <c r="G41" s="111"/>
      <c r="H41" s="111"/>
      <c r="I41" s="111"/>
    </row>
    <row r="42" customFormat="false" ht="9.75" hidden="false" customHeight="true" outlineLevel="0" collapsed="false"/>
    <row r="43" customFormat="false" ht="33.75" hidden="false" customHeight="true" outlineLevel="0" collapsed="false"/>
    <row r="44" customFormat="false" ht="18" hidden="false" customHeight="true" outlineLevel="0" collapsed="false">
      <c r="B44" s="112" t="s">
        <v>112</v>
      </c>
      <c r="C44" s="112"/>
      <c r="E44" s="112" t="s">
        <v>113</v>
      </c>
      <c r="F44" s="112"/>
      <c r="H44" s="112" t="s">
        <v>114</v>
      </c>
      <c r="I44" s="112"/>
    </row>
    <row r="45" customFormat="false" ht="18" hidden="false" customHeight="true" outlineLevel="0" collapsed="false">
      <c r="B45" s="113" t="s">
        <v>115</v>
      </c>
      <c r="C45" s="113"/>
      <c r="E45" s="113" t="s">
        <v>115</v>
      </c>
      <c r="F45" s="113"/>
      <c r="H45" s="113" t="s">
        <v>115</v>
      </c>
      <c r="I45" s="113"/>
    </row>
    <row r="46" customFormat="false" ht="7.5" hidden="false" customHeight="true" outlineLevel="0" collapsed="false"/>
    <row r="47" customFormat="false" ht="6" hidden="false" customHeight="true" outlineLevel="0" collapsed="false">
      <c r="B47" s="1"/>
      <c r="C47" s="1"/>
      <c r="D47" s="1"/>
      <c r="E47" s="1"/>
      <c r="F47" s="2"/>
      <c r="G47" s="2"/>
      <c r="H47" s="2"/>
      <c r="I47" s="2"/>
    </row>
    <row r="48" customFormat="false" ht="21.75" hidden="false" customHeight="true" outlineLevel="0" collapsed="false">
      <c r="B48" s="114" t="str">
        <f aca="false">Company_Name&amp;"  ·  System-generated payslip  ·  Amounts in Saudi Riyals (SAR)  ·  المبالغ بالريال السعودي"</f>
        <v>Elite Development  ·  System-generated payslip  ·  Amounts in Saudi Riyals (SAR)  ·  المبالغ بالريال السعودي</v>
      </c>
      <c r="C48" s="114"/>
      <c r="D48" s="114"/>
      <c r="E48" s="114"/>
      <c r="F48" s="114"/>
      <c r="G48" s="114"/>
      <c r="H48" s="114"/>
      <c r="I48" s="114"/>
    </row>
  </sheetData>
  <mergeCells count="64">
    <mergeCell ref="B1:I1"/>
    <mergeCell ref="C2:D2"/>
    <mergeCell ref="F2:G2"/>
    <mergeCell ref="H2:I2"/>
    <mergeCell ref="C3:D3"/>
    <mergeCell ref="E3:I3"/>
    <mergeCell ref="E6:I6"/>
    <mergeCell ref="E7:I7"/>
    <mergeCell ref="E8:I8"/>
    <mergeCell ref="E9:I9"/>
    <mergeCell ref="B11:E11"/>
    <mergeCell ref="F11:I11"/>
    <mergeCell ref="B12:E12"/>
    <mergeCell ref="F12:I13"/>
    <mergeCell ref="B13:E13"/>
    <mergeCell ref="B14:E14"/>
    <mergeCell ref="F14:I14"/>
    <mergeCell ref="B16:C16"/>
    <mergeCell ref="D16:E16"/>
    <mergeCell ref="F16:G16"/>
    <mergeCell ref="H16:I16"/>
    <mergeCell ref="B17:C17"/>
    <mergeCell ref="D17:E17"/>
    <mergeCell ref="F17:G17"/>
    <mergeCell ref="H17:I17"/>
    <mergeCell ref="B18:C18"/>
    <mergeCell ref="D18:E18"/>
    <mergeCell ref="F18:G18"/>
    <mergeCell ref="H18:I18"/>
    <mergeCell ref="B20:E20"/>
    <mergeCell ref="F20:I20"/>
    <mergeCell ref="B21:D21"/>
    <mergeCell ref="F21:H21"/>
    <mergeCell ref="B22:D22"/>
    <mergeCell ref="F22:H22"/>
    <mergeCell ref="B23:D23"/>
    <mergeCell ref="F23:H23"/>
    <mergeCell ref="B24:D24"/>
    <mergeCell ref="F24:H24"/>
    <mergeCell ref="B25:D25"/>
    <mergeCell ref="F25:H25"/>
    <mergeCell ref="B26:D26"/>
    <mergeCell ref="F26:H26"/>
    <mergeCell ref="B27:D27"/>
    <mergeCell ref="F27:H27"/>
    <mergeCell ref="B29:E29"/>
    <mergeCell ref="F29:I29"/>
    <mergeCell ref="B30:E31"/>
    <mergeCell ref="F30:I31"/>
    <mergeCell ref="B32:E32"/>
    <mergeCell ref="F32:I32"/>
    <mergeCell ref="B34:I34"/>
    <mergeCell ref="B35:I35"/>
    <mergeCell ref="B36:I36"/>
    <mergeCell ref="B37:I37"/>
    <mergeCell ref="B39:I39"/>
    <mergeCell ref="B40:I41"/>
    <mergeCell ref="B44:C44"/>
    <mergeCell ref="E44:F44"/>
    <mergeCell ref="H44:I44"/>
    <mergeCell ref="B45:C45"/>
    <mergeCell ref="E45:F45"/>
    <mergeCell ref="H45:I45"/>
    <mergeCell ref="B48:I48"/>
  </mergeCells>
  <conditionalFormatting sqref="F12:I13">
    <cfRule type="expression" priority="2" aboveAverage="0" equalAverage="0" bottom="0" percent="0" rank="0" text="" dxfId="4">
      <formula>OR($F$12="Paid in Full",$F$12="Paid After Deductions")</formula>
    </cfRule>
    <cfRule type="expression" priority="3" aboveAverage="0" equalAverage="0" bottom="0" percent="0" rank="0" text="" dxfId="5">
      <formula>LEFT($F$12,10)="No Salary "</formula>
    </cfRule>
    <cfRule type="expression" priority="4" aboveAverage="0" equalAverage="0" bottom="0" percent="0" rank="0" text="" dxfId="6">
      <formula>$F$12="Review Required"</formula>
    </cfRule>
    <cfRule type="expression" priority="5" aboveAverage="0" equalAverage="0" bottom="0" percent="0" rank="0" text="" dxfId="7">
      <formula>$F$12="No Orders"</formula>
    </cfRule>
  </conditionalFormatting>
  <conditionalFormatting sqref="B29:E32">
    <cfRule type="expression" priority="6" aboveAverage="0" equalAverage="0" bottom="0" percent="0" rank="0" text="" dxfId="8">
      <formula>$C$3=""</formula>
    </cfRule>
    <cfRule type="expression" priority="7" aboveAverage="0" equalAverage="0" bottom="0" percent="0" rank="0" text="" dxfId="6">
      <formula>$F$12="Review Required"</formula>
    </cfRule>
    <cfRule type="expression" priority="8" aboveAverage="0" equalAverage="0" bottom="0" percent="0" rank="0" text="" dxfId="9">
      <formula>AND($C$3&lt;&gt;"",N($B$30)=0)</formula>
    </cfRule>
  </conditionalFormatting>
  <conditionalFormatting sqref="F29:I32">
    <cfRule type="expression" priority="9" aboveAverage="0" equalAverage="0" bottom="0" percent="0" rank="0" text="" dxfId="6">
      <formula>$F$12="Review Required"</formula>
    </cfRule>
    <cfRule type="expression" priority="10" aboveAverage="0" equalAverage="0" bottom="0" percent="0" rank="0" text="" dxfId="5">
      <formula>AND(ISNUMBER($F$30),$F$30&gt;0)</formula>
    </cfRule>
    <cfRule type="expression" priority="11" aboveAverage="0" equalAverage="0" bottom="0" percent="0" rank="0" text="" dxfId="8">
      <formula>AND(ISNUMBER($F$30),$F$30=0)</formula>
    </cfRule>
  </conditionalFormatting>
  <conditionalFormatting sqref="B40:I41">
    <cfRule type="expression" priority="12" aboveAverage="0" equalAverage="0" bottom="0" percent="0" rank="0" text="" dxfId="1">
      <formula>$F$12="Review Required"</formula>
    </cfRule>
  </conditionalFormatting>
  <dataValidations count="2">
    <dataValidation allowBlank="false" error="Choose a month from the list." errorStyle="stop" errorTitle="Salary Month" operator="between" showDropDown="false" showErrorMessage="true" showInputMessage="false" sqref="C2" type="list">
      <formula1>Month_List</formula1>
      <formula2>0</formula2>
    </dataValidation>
    <dataValidation allowBlank="false" error="Choose a Rider ID from the list." errorStyle="stop" errorTitle="Rider ID" operator="between" showDropDown="false" showErrorMessage="true" showInputMessage="false" sqref="F2" type="list">
      <formula1>Rider_List</formula1>
      <formula2>0</formula2>
    </dataValidation>
  </dataValidations>
  <printOptions headings="false" gridLines="false" gridLinesSet="true" horizontalCentered="true" verticalCentered="false"/>
  <pageMargins left="0.4" right="0.4" top="0.4" bottom="0.4"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7C20"/>
    <pageSetUpPr fitToPage="true"/>
  </sheetPr>
  <dimension ref="B1:Q5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2"/>
    <col collapsed="false" customWidth="true" hidden="false" outlineLevel="0" max="3" min="3" style="0" width="26"/>
    <col collapsed="false" customWidth="true" hidden="false" outlineLevel="0" max="4" min="4" style="0" width="14"/>
    <col collapsed="false" customWidth="true" hidden="false" outlineLevel="0" max="5" min="5" style="0" width="16"/>
    <col collapsed="false" customWidth="true" hidden="false" outlineLevel="0" max="6" min="6" style="0" width="22"/>
    <col collapsed="false" customWidth="true" hidden="false" outlineLevel="0" max="7" min="7" style="0" width="3"/>
    <col collapsed="false" customWidth="true" hidden="false" outlineLevel="0" max="15" min="9" style="0" width="14"/>
    <col collapsed="false" customWidth="true" hidden="false" outlineLevel="0" max="16" min="16" style="0" width="46"/>
    <col collapsed="false" customWidth="true" hidden="false" outlineLevel="0" max="17" min="17" style="0" width="14"/>
  </cols>
  <sheetData>
    <row r="1" customFormat="false" ht="61.5" hidden="false" customHeight="true" outlineLevel="0" collapsed="false">
      <c r="B1" s="115" t="s">
        <v>116</v>
      </c>
      <c r="C1" s="115"/>
      <c r="D1" s="115"/>
    </row>
    <row r="2" customFormat="false" ht="6" hidden="false" customHeight="true" outlineLevel="0" collapsed="false">
      <c r="B2" s="1"/>
      <c r="C2" s="1"/>
      <c r="D2" s="2"/>
      <c r="E2" s="2"/>
      <c r="F2" s="2"/>
    </row>
    <row r="3" customFormat="false" ht="21.75" hidden="false" customHeight="true" outlineLevel="0" collapsed="false">
      <c r="B3" s="116" t="s">
        <v>117</v>
      </c>
      <c r="C3" s="116"/>
      <c r="D3" s="116"/>
      <c r="E3" s="116"/>
      <c r="F3" s="116"/>
      <c r="I3" s="117" t="s">
        <v>118</v>
      </c>
    </row>
    <row r="4" customFormat="false" ht="21.75" hidden="false" customHeight="true" outlineLevel="0" collapsed="false">
      <c r="B4" s="116" t="s">
        <v>119</v>
      </c>
      <c r="C4" s="116"/>
      <c r="D4" s="116"/>
      <c r="E4" s="116"/>
      <c r="F4" s="116"/>
    </row>
    <row r="5" customFormat="false" ht="21.75" hidden="false" customHeight="true" outlineLevel="0" collapsed="false">
      <c r="B5" s="116" t="s">
        <v>120</v>
      </c>
      <c r="C5" s="116"/>
      <c r="D5" s="116"/>
      <c r="E5" s="116"/>
      <c r="F5" s="116"/>
      <c r="I5" s="118" t="s">
        <v>26</v>
      </c>
      <c r="J5" s="118" t="s">
        <v>27</v>
      </c>
      <c r="K5" s="118" t="s">
        <v>121</v>
      </c>
      <c r="L5" s="118" t="s">
        <v>122</v>
      </c>
      <c r="M5" s="118" t="s">
        <v>123</v>
      </c>
      <c r="N5" s="118" t="s">
        <v>124</v>
      </c>
      <c r="O5" s="118" t="s">
        <v>125</v>
      </c>
      <c r="P5" s="118" t="s">
        <v>126</v>
      </c>
      <c r="Q5" s="118" t="s">
        <v>127</v>
      </c>
    </row>
    <row r="6" customFormat="false" ht="21.75" hidden="false" customHeight="true" outlineLevel="0" collapsed="false">
      <c r="B6" s="116" t="s">
        <v>128</v>
      </c>
      <c r="C6" s="116"/>
      <c r="D6" s="116"/>
      <c r="E6" s="116"/>
      <c r="F6" s="116"/>
      <c r="I6" s="119" t="n">
        <v>1</v>
      </c>
      <c r="J6" s="119" t="n">
        <f aca="false">IFERROR(IF(INDEX(Rider_Input[Rider ID],I6)="","",INDEX(Rider_Input[Rider ID],I6)),"")</f>
        <v>4849914</v>
      </c>
      <c r="K6" s="119" t="n">
        <f aca="false">IF(J6="","",IFERROR(MATCH(J6,INDEX(RLVL_Data,0,c_RLVL_ID),0),""))</f>
        <v>15</v>
      </c>
      <c r="L6" s="119" t="n">
        <f aca="false">IF(J6="","",IF(ISNUMBER(MATCH(J6,Rider_Master[Rider ID],0)),1,0))</f>
        <v>1</v>
      </c>
      <c r="M6" s="119" t="n">
        <f aca="false">IF(J6="","",INDEX(Rider_Input[Completed Orders],I6))</f>
        <v>72</v>
      </c>
      <c r="N6" s="119" t="n">
        <f aca="false">IF(OR(J6="",K6=""),"",IFERROR(INDEX(RLVL_Data,K6,c_RLVL_Orders),""))</f>
        <v>72</v>
      </c>
      <c r="O6" s="119" t="n">
        <f aca="false">IF(J6="","",IF(COUNTIF($J$6:$J$505,J6)&gt;1,1,0))</f>
        <v>0</v>
      </c>
      <c r="P6" s="119" t="str">
        <f aca="false">IF(J6="","",IF(K6="","Not found in Paste_RLVL – deductions set to 0; ","")&amp;IF(L6=0,"New rider (not in Rider_Master) – OK, shown as Rider &lt;ID&gt;; ","")&amp;IF(AND(N6&lt;&gt;"",N6&lt;&gt;M6),"Orders differ: FTR "&amp;M6&amp;" vs RLVL "&amp;N6&amp;"; ","")&amp;IF(O6=1,"Duplicate Rider ID; ",""))</f>
        <v/>
      </c>
      <c r="Q6" s="119" t="str">
        <f aca="false">IF(P6="","",COUNTIF(P$6:P6,"?*"))</f>
        <v/>
      </c>
    </row>
    <row r="7" customFormat="false" ht="21.75" hidden="false" customHeight="true" outlineLevel="0" collapsed="false">
      <c r="B7" s="116" t="s">
        <v>129</v>
      </c>
      <c r="C7" s="116"/>
      <c r="D7" s="116"/>
      <c r="E7" s="116"/>
      <c r="F7" s="116"/>
      <c r="I7" s="119" t="n">
        <v>2</v>
      </c>
      <c r="J7" s="119" t="n">
        <f aca="false">IFERROR(IF(INDEX(Rider_Input[Rider ID],I7)="","",INDEX(Rider_Input[Rider ID],I7)),"")</f>
        <v>4849909</v>
      </c>
      <c r="K7" s="119" t="n">
        <f aca="false">IF(J7="","",IFERROR(MATCH(J7,INDEX(RLVL_Data,0,c_RLVL_ID),0),""))</f>
        <v>14</v>
      </c>
      <c r="L7" s="119" t="n">
        <f aca="false">IF(J7="","",IF(ISNUMBER(MATCH(J7,Rider_Master[Rider ID],0)),1,0))</f>
        <v>1</v>
      </c>
      <c r="M7" s="119" t="n">
        <f aca="false">IF(J7="","",INDEX(Rider_Input[Completed Orders],I7))</f>
        <v>101</v>
      </c>
      <c r="N7" s="119" t="n">
        <f aca="false">IF(OR(J7="",K7=""),"",IFERROR(INDEX(RLVL_Data,K7,c_RLVL_Orders),""))</f>
        <v>101</v>
      </c>
      <c r="O7" s="119" t="n">
        <f aca="false">IF(J7="","",IF(COUNTIF($J$6:$J$505,J7)&gt;1,1,0))</f>
        <v>0</v>
      </c>
      <c r="P7" s="119" t="str">
        <f aca="false">IF(J7="","",IF(K7="","Not found in Paste_RLVL – deductions set to 0; ","")&amp;IF(L7=0,"New rider (not in Rider_Master) – OK, shown as Rider &lt;ID&gt;; ","")&amp;IF(AND(N7&lt;&gt;"",N7&lt;&gt;M7),"Orders differ: FTR "&amp;M7&amp;" vs RLVL "&amp;N7&amp;"; ","")&amp;IF(O7=1,"Duplicate Rider ID; ",""))</f>
        <v/>
      </c>
      <c r="Q7" s="119" t="str">
        <f aca="false">IF(P7="","",COUNTIF(P$6:P7,"?*"))</f>
        <v/>
      </c>
    </row>
    <row r="8" customFormat="false" ht="21.75" hidden="false" customHeight="true" outlineLevel="0" collapsed="false">
      <c r="B8" s="116" t="s">
        <v>130</v>
      </c>
      <c r="C8" s="116"/>
      <c r="D8" s="116"/>
      <c r="E8" s="116"/>
      <c r="F8" s="116"/>
      <c r="I8" s="119" t="n">
        <v>3</v>
      </c>
      <c r="J8" s="119" t="n">
        <f aca="false">IFERROR(IF(INDEX(Rider_Input[Rider ID],I8)="","",INDEX(Rider_Input[Rider ID],I8)),"")</f>
        <v>4849222</v>
      </c>
      <c r="K8" s="119" t="n">
        <f aca="false">IF(J8="","",IFERROR(MATCH(J8,INDEX(RLVL_Data,0,c_RLVL_ID),0),""))</f>
        <v>13</v>
      </c>
      <c r="L8" s="119" t="n">
        <f aca="false">IF(J8="","",IF(ISNUMBER(MATCH(J8,Rider_Master[Rider ID],0)),1,0))</f>
        <v>1</v>
      </c>
      <c r="M8" s="119" t="n">
        <f aca="false">IF(J8="","",INDEX(Rider_Input[Completed Orders],I8))</f>
        <v>105</v>
      </c>
      <c r="N8" s="119" t="n">
        <f aca="false">IF(OR(J8="",K8=""),"",IFERROR(INDEX(RLVL_Data,K8,c_RLVL_Orders),""))</f>
        <v>105</v>
      </c>
      <c r="O8" s="119" t="n">
        <f aca="false">IF(J8="","",IF(COUNTIF($J$6:$J$505,J8)&gt;1,1,0))</f>
        <v>0</v>
      </c>
      <c r="P8" s="119" t="str">
        <f aca="false">IF(J8="","",IF(K8="","Not found in Paste_RLVL – deductions set to 0; ","")&amp;IF(L8=0,"New rider (not in Rider_Master) – OK, shown as Rider &lt;ID&gt;; ","")&amp;IF(AND(N8&lt;&gt;"",N8&lt;&gt;M8),"Orders differ: FTR "&amp;M8&amp;" vs RLVL "&amp;N8&amp;"; ","")&amp;IF(O8=1,"Duplicate Rider ID; ",""))</f>
        <v/>
      </c>
      <c r="Q8" s="119" t="str">
        <f aca="false">IF(P8="","",COUNTIF(P$6:P8,"?*"))</f>
        <v/>
      </c>
    </row>
    <row r="9" customFormat="false" ht="21.75" hidden="false" customHeight="true" outlineLevel="0" collapsed="false">
      <c r="B9" s="116" t="s">
        <v>131</v>
      </c>
      <c r="C9" s="116"/>
      <c r="D9" s="116"/>
      <c r="E9" s="116"/>
      <c r="F9" s="116"/>
      <c r="I9" s="119" t="n">
        <v>4</v>
      </c>
      <c r="J9" s="119" t="n">
        <f aca="false">IFERROR(IF(INDEX(Rider_Input[Rider ID],I9)="","",INDEX(Rider_Input[Rider ID],I9)),"")</f>
        <v>4844480</v>
      </c>
      <c r="K9" s="119" t="n">
        <f aca="false">IF(J9="","",IFERROR(MATCH(J9,INDEX(RLVL_Data,0,c_RLVL_ID),0),""))</f>
        <v>12</v>
      </c>
      <c r="L9" s="119" t="n">
        <f aca="false">IF(J9="","",IF(ISNUMBER(MATCH(J9,Rider_Master[Rider ID],0)),1,0))</f>
        <v>1</v>
      </c>
      <c r="M9" s="119" t="n">
        <f aca="false">IF(J9="","",INDEX(Rider_Input[Completed Orders],I9))</f>
        <v>150</v>
      </c>
      <c r="N9" s="119" t="n">
        <f aca="false">IF(OR(J9="",K9=""),"",IFERROR(INDEX(RLVL_Data,K9,c_RLVL_Orders),""))</f>
        <v>150</v>
      </c>
      <c r="O9" s="119" t="n">
        <f aca="false">IF(J9="","",IF(COUNTIF($J$6:$J$505,J9)&gt;1,1,0))</f>
        <v>0</v>
      </c>
      <c r="P9" s="119" t="str">
        <f aca="false">IF(J9="","",IF(K9="","Not found in Paste_RLVL – deductions set to 0; ","")&amp;IF(L9=0,"New rider (not in Rider_Master) – OK, shown as Rider &lt;ID&gt;; ","")&amp;IF(AND(N9&lt;&gt;"",N9&lt;&gt;M9),"Orders differ: FTR "&amp;M9&amp;" vs RLVL "&amp;N9&amp;"; ","")&amp;IF(O9=1,"Duplicate Rider ID; ",""))</f>
        <v/>
      </c>
      <c r="Q9" s="119" t="str">
        <f aca="false">IF(P9="","",COUNTIF(P$6:P9,"?*"))</f>
        <v/>
      </c>
    </row>
    <row r="10" customFormat="false" ht="15" hidden="false" customHeight="false" outlineLevel="0" collapsed="false">
      <c r="I10" s="119" t="n">
        <v>5</v>
      </c>
      <c r="J10" s="119" t="n">
        <f aca="false">IFERROR(IF(INDEX(Rider_Input[Rider ID],I10)="","",INDEX(Rider_Input[Rider ID],I10)),"")</f>
        <v>4838478</v>
      </c>
      <c r="K10" s="119" t="n">
        <f aca="false">IF(J10="","",IFERROR(MATCH(J10,INDEX(RLVL_Data,0,c_RLVL_ID),0),""))</f>
        <v>11</v>
      </c>
      <c r="L10" s="119" t="n">
        <f aca="false">IF(J10="","",IF(ISNUMBER(MATCH(J10,Rider_Master[Rider ID],0)),1,0))</f>
        <v>1</v>
      </c>
      <c r="M10" s="119" t="n">
        <f aca="false">IF(J10="","",INDEX(Rider_Input[Completed Orders],I10))</f>
        <v>171</v>
      </c>
      <c r="N10" s="119" t="n">
        <f aca="false">IF(OR(J10="",K10=""),"",IFERROR(INDEX(RLVL_Data,K10,c_RLVL_Orders),""))</f>
        <v>171</v>
      </c>
      <c r="O10" s="119" t="n">
        <f aca="false">IF(J10="","",IF(COUNTIF($J$6:$J$505,J10)&gt;1,1,0))</f>
        <v>0</v>
      </c>
      <c r="P10" s="119" t="str">
        <f aca="false">IF(J10="","",IF(K10="","Not found in Paste_RLVL – deductions set to 0; ","")&amp;IF(L10=0,"New rider (not in Rider_Master) – OK, shown as Rider &lt;ID&gt;; ","")&amp;IF(AND(N10&lt;&gt;"",N10&lt;&gt;M10),"Orders differ: FTR "&amp;M10&amp;" vs RLVL "&amp;N10&amp;"; ","")&amp;IF(O10=1,"Duplicate Rider ID; ",""))</f>
        <v/>
      </c>
      <c r="Q10" s="119" t="str">
        <f aca="false">IF(P10="","",COUNTIF(P$6:P10,"?*"))</f>
        <v/>
      </c>
    </row>
    <row r="11" customFormat="false" ht="30" hidden="false" customHeight="true" outlineLevel="0" collapsed="false">
      <c r="B11" s="120" t="str">
        <f aca="false">IF(COUNTIF(D14:D23,"CHECK")=0,"✔ READY – all checks passed ("&amp;C15&amp;" riders loaded for "&amp;TEXT(Salary_Month,"mmmm yyyy")&amp;")","⚠ CHECK – "&amp;COUNTIF(D14:D23,"CHECK")&amp;" item(s) marked CHECK below; review before paying")</f>
        <v>✔ READY – all checks passed (15 riders loaded for August 2026)</v>
      </c>
      <c r="C11" s="120"/>
      <c r="D11" s="120"/>
      <c r="E11" s="120"/>
      <c r="F11" s="120"/>
      <c r="I11" s="119" t="n">
        <v>6</v>
      </c>
      <c r="J11" s="119" t="n">
        <f aca="false">IFERROR(IF(INDEX(Rider_Input[Rider ID],I11)="","",INDEX(Rider_Input[Rider ID],I11)),"")</f>
        <v>4838471</v>
      </c>
      <c r="K11" s="119" t="n">
        <f aca="false">IF(J11="","",IFERROR(MATCH(J11,INDEX(RLVL_Data,0,c_RLVL_ID),0),""))</f>
        <v>10</v>
      </c>
      <c r="L11" s="119" t="n">
        <f aca="false">IF(J11="","",IF(ISNUMBER(MATCH(J11,Rider_Master[Rider ID],0)),1,0))</f>
        <v>1</v>
      </c>
      <c r="M11" s="119" t="n">
        <f aca="false">IF(J11="","",INDEX(Rider_Input[Completed Orders],I11))</f>
        <v>146</v>
      </c>
      <c r="N11" s="119" t="n">
        <f aca="false">IF(OR(J11="",K11=""),"",IFERROR(INDEX(RLVL_Data,K11,c_RLVL_Orders),""))</f>
        <v>146</v>
      </c>
      <c r="O11" s="119" t="n">
        <f aca="false">IF(J11="","",IF(COUNTIF($J$6:$J$505,J11)&gt;1,1,0))</f>
        <v>0</v>
      </c>
      <c r="P11" s="119" t="str">
        <f aca="false">IF(J11="","",IF(K11="","Not found in Paste_RLVL – deductions set to 0; ","")&amp;IF(L11=0,"New rider (not in Rider_Master) – OK, shown as Rider &lt;ID&gt;; ","")&amp;IF(AND(N11&lt;&gt;"",N11&lt;&gt;M11),"Orders differ: FTR "&amp;M11&amp;" vs RLVL "&amp;N11&amp;"; ","")&amp;IF(O11=1,"Duplicate Rider ID; ",""))</f>
        <v/>
      </c>
      <c r="Q11" s="119" t="str">
        <f aca="false">IF(P11="","",COUNTIF(P$6:P11,"?*"))</f>
        <v/>
      </c>
    </row>
    <row r="12" customFormat="false" ht="15" hidden="false" customHeight="false" outlineLevel="0" collapsed="false">
      <c r="I12" s="119" t="n">
        <v>7</v>
      </c>
      <c r="J12" s="119" t="n">
        <f aca="false">IFERROR(IF(INDEX(Rider_Input[Rider ID],I12)="","",INDEX(Rider_Input[Rider ID],I12)),"")</f>
        <v>4747290</v>
      </c>
      <c r="K12" s="119" t="n">
        <f aca="false">IF(J12="","",IFERROR(MATCH(J12,INDEX(RLVL_Data,0,c_RLVL_ID),0),""))</f>
        <v>9</v>
      </c>
      <c r="L12" s="119" t="n">
        <f aca="false">IF(J12="","",IF(ISNUMBER(MATCH(J12,Rider_Master[Rider ID],0)),1,0))</f>
        <v>1</v>
      </c>
      <c r="M12" s="119" t="n">
        <f aca="false">IF(J12="","",INDEX(Rider_Input[Completed Orders],I12))</f>
        <v>498</v>
      </c>
      <c r="N12" s="119" t="n">
        <f aca="false">IF(OR(J12="",K12=""),"",IFERROR(INDEX(RLVL_Data,K12,c_RLVL_Orders),""))</f>
        <v>498</v>
      </c>
      <c r="O12" s="119" t="n">
        <f aca="false">IF(J12="","",IF(COUNTIF($J$6:$J$505,J12)&gt;1,1,0))</f>
        <v>0</v>
      </c>
      <c r="P12" s="119" t="str">
        <f aca="false">IF(J12="","",IF(K12="","Not found in Paste_RLVL – deductions set to 0; ","")&amp;IF(L12=0,"New rider (not in Rider_Master) – OK, shown as Rider &lt;ID&gt;; ","")&amp;IF(AND(N12&lt;&gt;"",N12&lt;&gt;M12),"Orders differ: FTR "&amp;M12&amp;" vs RLVL "&amp;N12&amp;"; ","")&amp;IF(O12=1,"Duplicate Rider ID; ",""))</f>
        <v/>
      </c>
      <c r="Q12" s="119" t="str">
        <f aca="false">IF(P12="","",COUNTIF(P$6:P12,"?*"))</f>
        <v/>
      </c>
    </row>
    <row r="13" customFormat="false" ht="21.75" hidden="false" customHeight="true" outlineLevel="0" collapsed="false">
      <c r="B13" s="121" t="s">
        <v>132</v>
      </c>
      <c r="C13" s="121"/>
      <c r="D13" s="121"/>
      <c r="E13" s="121"/>
      <c r="F13" s="121"/>
      <c r="I13" s="119" t="n">
        <v>8</v>
      </c>
      <c r="J13" s="119" t="n">
        <f aca="false">IFERROR(IF(INDEX(Rider_Input[Rider ID],I13)="","",INDEX(Rider_Input[Rider ID],I13)),"")</f>
        <v>4652654</v>
      </c>
      <c r="K13" s="119" t="n">
        <f aca="false">IF(J13="","",IFERROR(MATCH(J13,INDEX(RLVL_Data,0,c_RLVL_ID),0),""))</f>
        <v>8</v>
      </c>
      <c r="L13" s="119" t="n">
        <f aca="false">IF(J13="","",IF(ISNUMBER(MATCH(J13,Rider_Master[Rider ID],0)),1,0))</f>
        <v>1</v>
      </c>
      <c r="M13" s="119" t="n">
        <f aca="false">IF(J13="","",INDEX(Rider_Input[Completed Orders],I13))</f>
        <v>433</v>
      </c>
      <c r="N13" s="119" t="n">
        <f aca="false">IF(OR(J13="",K13=""),"",IFERROR(INDEX(RLVL_Data,K13,c_RLVL_Orders),""))</f>
        <v>433</v>
      </c>
      <c r="O13" s="119" t="n">
        <f aca="false">IF(J13="","",IF(COUNTIF($J$6:$J$505,J13)&gt;1,1,0))</f>
        <v>0</v>
      </c>
      <c r="P13" s="119" t="str">
        <f aca="false">IF(J13="","",IF(K13="","Not found in Paste_RLVL – deductions set to 0; ","")&amp;IF(L13=0,"New rider (not in Rider_Master) – OK, shown as Rider &lt;ID&gt;; ","")&amp;IF(AND(N13&lt;&gt;"",N13&lt;&gt;M13),"Orders differ: FTR "&amp;M13&amp;" vs RLVL "&amp;N13&amp;"; ","")&amp;IF(O13=1,"Duplicate Rider ID; ",""))</f>
        <v/>
      </c>
      <c r="Q13" s="119" t="str">
        <f aca="false">IF(P13="","",COUNTIF(P$6:P13,"?*"))</f>
        <v/>
      </c>
    </row>
    <row r="14" customFormat="false" ht="15" hidden="false" customHeight="false" outlineLevel="0" collapsed="false">
      <c r="B14" s="122" t="s">
        <v>133</v>
      </c>
      <c r="C14" s="123" t="n">
        <f aca="false">IF(ISNUMBER(Salary_Month),Salary_Month,"MISSING")</f>
        <v>46235</v>
      </c>
      <c r="D14" s="124" t="str">
        <f aca="false">IF(ISNUMBER(C14),"OK","CHECK")</f>
        <v>OK</v>
      </c>
      <c r="I14" s="119" t="n">
        <v>9</v>
      </c>
      <c r="J14" s="119" t="n">
        <f aca="false">IFERROR(IF(INDEX(Rider_Input[Rider ID],I14)="","",INDEX(Rider_Input[Rider ID],I14)),"")</f>
        <v>4652587</v>
      </c>
      <c r="K14" s="119" t="n">
        <f aca="false">IF(J14="","",IFERROR(MATCH(J14,INDEX(RLVL_Data,0,c_RLVL_ID),0),""))</f>
        <v>7</v>
      </c>
      <c r="L14" s="119" t="n">
        <f aca="false">IF(J14="","",IF(ISNUMBER(MATCH(J14,Rider_Master[Rider ID],0)),1,0))</f>
        <v>1</v>
      </c>
      <c r="M14" s="119" t="n">
        <f aca="false">IF(J14="","",INDEX(Rider_Input[Completed Orders],I14))</f>
        <v>382</v>
      </c>
      <c r="N14" s="119" t="n">
        <f aca="false">IF(OR(J14="",K14=""),"",IFERROR(INDEX(RLVL_Data,K14,c_RLVL_Orders),""))</f>
        <v>382</v>
      </c>
      <c r="O14" s="119" t="n">
        <f aca="false">IF(J14="","",IF(COUNTIF($J$6:$J$505,J14)&gt;1,1,0))</f>
        <v>0</v>
      </c>
      <c r="P14" s="119" t="str">
        <f aca="false">IF(J14="","",IF(K14="","Not found in Paste_RLVL – deductions set to 0; ","")&amp;IF(L14=0,"New rider (not in Rider_Master) – OK, shown as Rider &lt;ID&gt;; ","")&amp;IF(AND(N14&lt;&gt;"",N14&lt;&gt;M14),"Orders differ: FTR "&amp;M14&amp;" vs RLVL "&amp;N14&amp;"; ","")&amp;IF(O14=1,"Duplicate Rider ID; ",""))</f>
        <v/>
      </c>
      <c r="Q14" s="119" t="str">
        <f aca="false">IF(P14="","",COUNTIF(P$6:P14,"?*"))</f>
        <v/>
      </c>
    </row>
    <row r="15" customFormat="false" ht="15" hidden="false" customHeight="false" outlineLevel="0" collapsed="false">
      <c r="B15" s="122" t="s">
        <v>134</v>
      </c>
      <c r="C15" s="125" t="n">
        <f aca="false">IFERROR(COUNT(INDEX(FTR_Data,0,c_FTR_ID)),0)</f>
        <v>15</v>
      </c>
      <c r="D15" s="124" t="str">
        <f aca="false">IF(C15&gt;0,"OK","CHECK")</f>
        <v>OK</v>
      </c>
      <c r="I15" s="119" t="n">
        <v>10</v>
      </c>
      <c r="J15" s="119" t="n">
        <f aca="false">IFERROR(IF(INDEX(Rider_Input[Rider ID],I15)="","",INDEX(Rider_Input[Rider ID],I15)),"")</f>
        <v>4648709</v>
      </c>
      <c r="K15" s="119" t="n">
        <f aca="false">IF(J15="","",IFERROR(MATCH(J15,INDEX(RLVL_Data,0,c_RLVL_ID),0),""))</f>
        <v>6</v>
      </c>
      <c r="L15" s="119" t="n">
        <f aca="false">IF(J15="","",IF(ISNUMBER(MATCH(J15,Rider_Master[Rider ID],0)),1,0))</f>
        <v>1</v>
      </c>
      <c r="M15" s="119" t="n">
        <f aca="false">IF(J15="","",INDEX(Rider_Input[Completed Orders],I15))</f>
        <v>391</v>
      </c>
      <c r="N15" s="119" t="n">
        <f aca="false">IF(OR(J15="",K15=""),"",IFERROR(INDEX(RLVL_Data,K15,c_RLVL_Orders),""))</f>
        <v>391</v>
      </c>
      <c r="O15" s="119" t="n">
        <f aca="false">IF(J15="","",IF(COUNTIF($J$6:$J$505,J15)&gt;1,1,0))</f>
        <v>0</v>
      </c>
      <c r="P15" s="119" t="str">
        <f aca="false">IF(J15="","",IF(K15="","Not found in Paste_RLVL – deductions set to 0; ","")&amp;IF(L15=0,"New rider (not in Rider_Master) – OK, shown as Rider &lt;ID&gt;; ","")&amp;IF(AND(N15&lt;&gt;"",N15&lt;&gt;M15),"Orders differ: FTR "&amp;M15&amp;" vs RLVL "&amp;N15&amp;"; ","")&amp;IF(O15=1,"Duplicate Rider ID; ",""))</f>
        <v/>
      </c>
      <c r="Q15" s="119" t="str">
        <f aca="false">IF(P15="","",COUNTIF(P$6:P15,"?*"))</f>
        <v/>
      </c>
    </row>
    <row r="16" customFormat="false" ht="15" hidden="false" customHeight="false" outlineLevel="0" collapsed="false">
      <c r="B16" s="122" t="s">
        <v>135</v>
      </c>
      <c r="C16" s="125" t="n">
        <f aca="false">IFERROR(COUNT(INDEX(RLVL_Data,0,c_RLVL_ID)),0)</f>
        <v>15</v>
      </c>
      <c r="D16" s="124" t="str">
        <f aca="false">IF(C16&gt;0,"OK","CHECK")</f>
        <v>OK</v>
      </c>
      <c r="I16" s="119" t="n">
        <v>11</v>
      </c>
      <c r="J16" s="119" t="n">
        <f aca="false">IFERROR(IF(INDEX(Rider_Input[Rider ID],I16)="","",INDEX(Rider_Input[Rider ID],I16)),"")</f>
        <v>4648308</v>
      </c>
      <c r="K16" s="119" t="n">
        <f aca="false">IF(J16="","",IFERROR(MATCH(J16,INDEX(RLVL_Data,0,c_RLVL_ID),0),""))</f>
        <v>5</v>
      </c>
      <c r="L16" s="119" t="n">
        <f aca="false">IF(J16="","",IF(ISNUMBER(MATCH(J16,Rider_Master[Rider ID],0)),1,0))</f>
        <v>1</v>
      </c>
      <c r="M16" s="119" t="n">
        <f aca="false">IF(J16="","",INDEX(Rider_Input[Completed Orders],I16))</f>
        <v>551</v>
      </c>
      <c r="N16" s="119" t="n">
        <f aca="false">IF(OR(J16="",K16=""),"",IFERROR(INDEX(RLVL_Data,K16,c_RLVL_Orders),""))</f>
        <v>551</v>
      </c>
      <c r="O16" s="119" t="n">
        <f aca="false">IF(J16="","",IF(COUNTIF($J$6:$J$505,J16)&gt;1,1,0))</f>
        <v>0</v>
      </c>
      <c r="P16" s="119" t="str">
        <f aca="false">IF(J16="","",IF(K16="","Not found in Paste_RLVL – deductions set to 0; ","")&amp;IF(L16=0,"New rider (not in Rider_Master) – OK, shown as Rider &lt;ID&gt;; ","")&amp;IF(AND(N16&lt;&gt;"",N16&lt;&gt;M16),"Orders differ: FTR "&amp;M16&amp;" vs RLVL "&amp;N16&amp;"; ","")&amp;IF(O16=1,"Duplicate Rider ID; ",""))</f>
        <v/>
      </c>
      <c r="Q16" s="119" t="str">
        <f aca="false">IF(P16="","",COUNTIF(P$6:P16,"?*"))</f>
        <v/>
      </c>
    </row>
    <row r="17" customFormat="false" ht="15" hidden="false" customHeight="false" outlineLevel="0" collapsed="false">
      <c r="B17" s="122" t="s">
        <v>136</v>
      </c>
      <c r="C17" s="125" t="n">
        <f aca="false">COUNTIF(Rider_Input[Rider ID],"&gt;0")</f>
        <v>15</v>
      </c>
      <c r="D17" s="124" t="str">
        <f aca="false">IF(AND(C17=C15,C15&lt;=500),"OK","CHECK")</f>
        <v>OK</v>
      </c>
      <c r="I17" s="119" t="n">
        <v>12</v>
      </c>
      <c r="J17" s="119" t="n">
        <f aca="false">IFERROR(IF(INDEX(Rider_Input[Rider ID],I17)="","",INDEX(Rider_Input[Rider ID],I17)),"")</f>
        <v>4644774</v>
      </c>
      <c r="K17" s="119" t="n">
        <f aca="false">IF(J17="","",IFERROR(MATCH(J17,INDEX(RLVL_Data,0,c_RLVL_ID),0),""))</f>
        <v>4</v>
      </c>
      <c r="L17" s="119" t="n">
        <f aca="false">IF(J17="","",IF(ISNUMBER(MATCH(J17,Rider_Master[Rider ID],0)),1,0))</f>
        <v>1</v>
      </c>
      <c r="M17" s="119" t="n">
        <f aca="false">IF(J17="","",INDEX(Rider_Input[Completed Orders],I17))</f>
        <v>367</v>
      </c>
      <c r="N17" s="119" t="n">
        <f aca="false">IF(OR(J17="",K17=""),"",IFERROR(INDEX(RLVL_Data,K17,c_RLVL_Orders),""))</f>
        <v>367</v>
      </c>
      <c r="O17" s="119" t="n">
        <f aca="false">IF(J17="","",IF(COUNTIF($J$6:$J$505,J17)&gt;1,1,0))</f>
        <v>0</v>
      </c>
      <c r="P17" s="119" t="str">
        <f aca="false">IF(J17="","",IF(K17="","Not found in Paste_RLVL – deductions set to 0; ","")&amp;IF(L17=0,"New rider (not in Rider_Master) – OK, shown as Rider &lt;ID&gt;; ","")&amp;IF(AND(N17&lt;&gt;"",N17&lt;&gt;M17),"Orders differ: FTR "&amp;M17&amp;" vs RLVL "&amp;N17&amp;"; ","")&amp;IF(O17=1,"Duplicate Rider ID; ",""))</f>
        <v/>
      </c>
      <c r="Q17" s="119" t="str">
        <f aca="false">IF(P17="","",COUNTIF(P$6:P17,"?*"))</f>
        <v/>
      </c>
    </row>
    <row r="18" customFormat="false" ht="15" hidden="false" customHeight="false" outlineLevel="0" collapsed="false">
      <c r="B18" s="122" t="s">
        <v>137</v>
      </c>
      <c r="C18" s="125" t="n">
        <f aca="false">SUMPRODUCT(($J$6:$J$505&lt;&gt;"")*($K$6:$K$505=""))</f>
        <v>0</v>
      </c>
      <c r="D18" s="124" t="str">
        <f aca="false">IF(C18=0,"OK","CHECK")</f>
        <v>OK</v>
      </c>
      <c r="I18" s="119" t="n">
        <v>13</v>
      </c>
      <c r="J18" s="119" t="n">
        <f aca="false">IFERROR(IF(INDEX(Rider_Input[Rider ID],I18)="","",INDEX(Rider_Input[Rider ID],I18)),"")</f>
        <v>4643856</v>
      </c>
      <c r="K18" s="119" t="n">
        <f aca="false">IF(J18="","",IFERROR(MATCH(J18,INDEX(RLVL_Data,0,c_RLVL_ID),0),""))</f>
        <v>3</v>
      </c>
      <c r="L18" s="119" t="n">
        <f aca="false">IF(J18="","",IF(ISNUMBER(MATCH(J18,Rider_Master[Rider ID],0)),1,0))</f>
        <v>1</v>
      </c>
      <c r="M18" s="119" t="n">
        <f aca="false">IF(J18="","",INDEX(Rider_Input[Completed Orders],I18))</f>
        <v>449</v>
      </c>
      <c r="N18" s="119" t="n">
        <f aca="false">IF(OR(J18="",K18=""),"",IFERROR(INDEX(RLVL_Data,K18,c_RLVL_Orders),""))</f>
        <v>449</v>
      </c>
      <c r="O18" s="119" t="n">
        <f aca="false">IF(J18="","",IF(COUNTIF($J$6:$J$505,J18)&gt;1,1,0))</f>
        <v>0</v>
      </c>
      <c r="P18" s="119" t="str">
        <f aca="false">IF(J18="","",IF(K18="","Not found in Paste_RLVL – deductions set to 0; ","")&amp;IF(L18=0,"New rider (not in Rider_Master) – OK, shown as Rider &lt;ID&gt;; ","")&amp;IF(AND(N18&lt;&gt;"",N18&lt;&gt;M18),"Orders differ: FTR "&amp;M18&amp;" vs RLVL "&amp;N18&amp;"; ","")&amp;IF(O18=1,"Duplicate Rider ID; ",""))</f>
        <v/>
      </c>
      <c r="Q18" s="119" t="str">
        <f aca="false">IF(P18="","",COUNTIF(P$6:P18,"?*"))</f>
        <v/>
      </c>
    </row>
    <row r="19" customFormat="false" ht="15" hidden="false" customHeight="false" outlineLevel="0" collapsed="false">
      <c r="B19" s="122" t="s">
        <v>138</v>
      </c>
      <c r="C19" s="125" t="n">
        <f aca="false">IFERROR(SUMPRODUCT((INDEX(RLVL_Data,0,c_RLVL_ID)&lt;&gt;"")*(COUNTIF(INDEX(FTR_Data,0,c_FTR_ID),INDEX(RLVL_Data,0,c_RLVL_ID))=0)),0)</f>
        <v>0</v>
      </c>
      <c r="D19" s="124" t="str">
        <f aca="false">IF(C19=0,"OK","CHECK")</f>
        <v>OK</v>
      </c>
      <c r="I19" s="119" t="n">
        <v>14</v>
      </c>
      <c r="J19" s="119" t="n">
        <f aca="false">IFERROR(IF(INDEX(Rider_Input[Rider ID],I19)="","",INDEX(Rider_Input[Rider ID],I19)),"")</f>
        <v>4642935</v>
      </c>
      <c r="K19" s="119" t="n">
        <f aca="false">IF(J19="","",IFERROR(MATCH(J19,INDEX(RLVL_Data,0,c_RLVL_ID),0),""))</f>
        <v>2</v>
      </c>
      <c r="L19" s="119" t="n">
        <f aca="false">IF(J19="","",IF(ISNUMBER(MATCH(J19,Rider_Master[Rider ID],0)),1,0))</f>
        <v>1</v>
      </c>
      <c r="M19" s="119" t="n">
        <f aca="false">IF(J19="","",INDEX(Rider_Input[Completed Orders],I19))</f>
        <v>442</v>
      </c>
      <c r="N19" s="119" t="n">
        <f aca="false">IF(OR(J19="",K19=""),"",IFERROR(INDEX(RLVL_Data,K19,c_RLVL_Orders),""))</f>
        <v>442</v>
      </c>
      <c r="O19" s="119" t="n">
        <f aca="false">IF(J19="","",IF(COUNTIF($J$6:$J$505,J19)&gt;1,1,0))</f>
        <v>0</v>
      </c>
      <c r="P19" s="119" t="str">
        <f aca="false">IF(J19="","",IF(K19="","Not found in Paste_RLVL – deductions set to 0; ","")&amp;IF(L19=0,"New rider (not in Rider_Master) – OK, shown as Rider &lt;ID&gt;; ","")&amp;IF(AND(N19&lt;&gt;"",N19&lt;&gt;M19),"Orders differ: FTR "&amp;M19&amp;" vs RLVL "&amp;N19&amp;"; ","")&amp;IF(O19=1,"Duplicate Rider ID; ",""))</f>
        <v/>
      </c>
      <c r="Q19" s="119" t="str">
        <f aca="false">IF(P19="","",COUNTIF(P$6:P19,"?*"))</f>
        <v/>
      </c>
    </row>
    <row r="20" customFormat="false" ht="15" hidden="false" customHeight="false" outlineLevel="0" collapsed="false">
      <c r="B20" s="122" t="s">
        <v>139</v>
      </c>
      <c r="C20" s="125" t="n">
        <f aca="false">SUMPRODUCT(($N$6:$N$505&lt;&gt;"")*($N$6:$N$505&lt;&gt;$M$6:$M$505))</f>
        <v>0</v>
      </c>
      <c r="D20" s="124" t="str">
        <f aca="false">IF(C20=0,"OK","CHECK")</f>
        <v>OK</v>
      </c>
      <c r="I20" s="119" t="n">
        <v>15</v>
      </c>
      <c r="J20" s="119" t="n">
        <f aca="false">IFERROR(IF(INDEX(Rider_Input[Rider ID],I20)="","",INDEX(Rider_Input[Rider ID],I20)),"")</f>
        <v>4611383</v>
      </c>
      <c r="K20" s="119" t="n">
        <f aca="false">IF(J20="","",IFERROR(MATCH(J20,INDEX(RLVL_Data,0,c_RLVL_ID),0),""))</f>
        <v>1</v>
      </c>
      <c r="L20" s="119" t="n">
        <f aca="false">IF(J20="","",IF(ISNUMBER(MATCH(J20,Rider_Master[Rider ID],0)),1,0))</f>
        <v>1</v>
      </c>
      <c r="M20" s="119" t="n">
        <f aca="false">IF(J20="","",INDEX(Rider_Input[Completed Orders],I20))</f>
        <v>476</v>
      </c>
      <c r="N20" s="119" t="n">
        <f aca="false">IF(OR(J20="",K20=""),"",IFERROR(INDEX(RLVL_Data,K20,c_RLVL_Orders),""))</f>
        <v>476</v>
      </c>
      <c r="O20" s="119" t="n">
        <f aca="false">IF(J20="","",IF(COUNTIF($J$6:$J$505,J20)&gt;1,1,0))</f>
        <v>0</v>
      </c>
      <c r="P20" s="119" t="str">
        <f aca="false">IF(J20="","",IF(K20="","Not found in Paste_RLVL – deductions set to 0; ","")&amp;IF(L20=0,"New rider (not in Rider_Master) – OK, shown as Rider &lt;ID&gt;; ","")&amp;IF(AND(N20&lt;&gt;"",N20&lt;&gt;M20),"Orders differ: FTR "&amp;M20&amp;" vs RLVL "&amp;N20&amp;"; ","")&amp;IF(O20=1,"Duplicate Rider ID; ",""))</f>
        <v/>
      </c>
      <c r="Q20" s="119" t="str">
        <f aca="false">IF(P20="","",COUNTIF(P$6:P20,"?*"))</f>
        <v/>
      </c>
    </row>
    <row r="21" customFormat="false" ht="15" hidden="false" customHeight="false" outlineLevel="0" collapsed="false">
      <c r="B21" s="122" t="s">
        <v>140</v>
      </c>
      <c r="C21" s="125" t="n">
        <f aca="false">SUM($O$6:$O$505)</f>
        <v>0</v>
      </c>
      <c r="D21" s="124" t="str">
        <f aca="false">IF(C21=0,"OK","CHECK")</f>
        <v>OK</v>
      </c>
      <c r="I21" s="119" t="n">
        <v>16</v>
      </c>
      <c r="J21" s="119" t="str">
        <f aca="false">IFERROR(IF(INDEX(Rider_Input[Rider ID],I21)="","",INDEX(Rider_Input[Rider ID],I21)),"")</f>
        <v/>
      </c>
      <c r="K21" s="119" t="str">
        <f aca="false">IF(J21="","",IFERROR(MATCH(J21,INDEX(RLVL_Data,0,c_RLVL_ID),0),""))</f>
        <v/>
      </c>
      <c r="L21" s="119" t="str">
        <f aca="false">IF(J21="","",IF(ISNUMBER(MATCH(J21,Rider_Master[Rider ID],0)),1,0))</f>
        <v/>
      </c>
      <c r="M21" s="119" t="str">
        <f aca="false">IF(J21="","",INDEX(Rider_Input[Completed Orders],I21))</f>
        <v/>
      </c>
      <c r="N21" s="119" t="str">
        <f aca="false">IF(OR(J21="",K21=""),"",IFERROR(INDEX(RLVL_Data,K21,c_RLVL_Orders),""))</f>
        <v/>
      </c>
      <c r="O21" s="119" t="str">
        <f aca="false">IF(J21="","",IF(COUNTIF($J$6:$J$505,J21)&gt;1,1,0))</f>
        <v/>
      </c>
      <c r="P21" s="119" t="str">
        <f aca="false">IF(J21="","",IF(K21="","Not found in Paste_RLVL – deductions set to 0; ","")&amp;IF(L21=0,"New rider (not in Rider_Master) – OK, shown as Rider &lt;ID&gt;; ","")&amp;IF(AND(N21&lt;&gt;"",N21&lt;&gt;M21),"Orders differ: FTR "&amp;M21&amp;" vs RLVL "&amp;N21&amp;"; ","")&amp;IF(O21=1,"Duplicate Rider ID; ",""))</f>
        <v/>
      </c>
      <c r="Q21" s="119" t="str">
        <f aca="false">IF(P21="","",COUNTIF(P$6:P21,"?*"))</f>
        <v/>
      </c>
    </row>
    <row r="22" customFormat="false" ht="15" hidden="false" customHeight="false" outlineLevel="0" collapsed="false">
      <c r="B22" s="122" t="s">
        <v>141</v>
      </c>
      <c r="C22" s="125" t="n">
        <f aca="false">COUNTIF(F28:F35,"MISSING")</f>
        <v>0</v>
      </c>
      <c r="D22" s="124" t="str">
        <f aca="false">IF(C22=0,"OK","CHECK")</f>
        <v>OK</v>
      </c>
      <c r="I22" s="119" t="n">
        <v>17</v>
      </c>
      <c r="J22" s="119" t="str">
        <f aca="false">IFERROR(IF(INDEX(Rider_Input[Rider ID],I22)="","",INDEX(Rider_Input[Rider ID],I22)),"")</f>
        <v/>
      </c>
      <c r="K22" s="119" t="str">
        <f aca="false">IF(J22="","",IFERROR(MATCH(J22,INDEX(RLVL_Data,0,c_RLVL_ID),0),""))</f>
        <v/>
      </c>
      <c r="L22" s="119" t="str">
        <f aca="false">IF(J22="","",IF(ISNUMBER(MATCH(J22,Rider_Master[Rider ID],0)),1,0))</f>
        <v/>
      </c>
      <c r="M22" s="119" t="str">
        <f aca="false">IF(J22="","",INDEX(Rider_Input[Completed Orders],I22))</f>
        <v/>
      </c>
      <c r="N22" s="119" t="str">
        <f aca="false">IF(OR(J22="",K22=""),"",IFERROR(INDEX(RLVL_Data,K22,c_RLVL_Orders),""))</f>
        <v/>
      </c>
      <c r="O22" s="119" t="str">
        <f aca="false">IF(J22="","",IF(COUNTIF($J$6:$J$505,J22)&gt;1,1,0))</f>
        <v/>
      </c>
      <c r="P22" s="119" t="str">
        <f aca="false">IF(J22="","",IF(K22="","Not found in Paste_RLVL – deductions set to 0; ","")&amp;IF(L22=0,"New rider (not in Rider_Master) – OK, shown as Rider &lt;ID&gt;; ","")&amp;IF(AND(N22&lt;&gt;"",N22&lt;&gt;M22),"Orders differ: FTR "&amp;M22&amp;" vs RLVL "&amp;N22&amp;"; ","")&amp;IF(O22=1,"Duplicate Rider ID; ",""))</f>
        <v/>
      </c>
      <c r="Q22" s="119" t="str">
        <f aca="false">IF(P22="","",COUNTIF(P$6:P22,"?*"))</f>
        <v/>
      </c>
    </row>
    <row r="23" customFormat="false" ht="15" hidden="false" customHeight="false" outlineLevel="0" collapsed="false">
      <c r="B23" s="122" t="s">
        <v>142</v>
      </c>
      <c r="C23" s="125" t="n">
        <f aca="false">COUNTIF(Salary_Calculation[Payment Status],"Review Required")</f>
        <v>0</v>
      </c>
      <c r="D23" s="124" t="str">
        <f aca="false">IF(C23=0,"OK","CHECK")</f>
        <v>OK</v>
      </c>
      <c r="I23" s="119" t="n">
        <v>18</v>
      </c>
      <c r="J23" s="119" t="str">
        <f aca="false">IFERROR(IF(INDEX(Rider_Input[Rider ID],I23)="","",INDEX(Rider_Input[Rider ID],I23)),"")</f>
        <v/>
      </c>
      <c r="K23" s="119" t="str">
        <f aca="false">IF(J23="","",IFERROR(MATCH(J23,INDEX(RLVL_Data,0,c_RLVL_ID),0),""))</f>
        <v/>
      </c>
      <c r="L23" s="119" t="str">
        <f aca="false">IF(J23="","",IF(ISNUMBER(MATCH(J23,Rider_Master[Rider ID],0)),1,0))</f>
        <v/>
      </c>
      <c r="M23" s="119" t="str">
        <f aca="false">IF(J23="","",INDEX(Rider_Input[Completed Orders],I23))</f>
        <v/>
      </c>
      <c r="N23" s="119" t="str">
        <f aca="false">IF(OR(J23="",K23=""),"",IFERROR(INDEX(RLVL_Data,K23,c_RLVL_Orders),""))</f>
        <v/>
      </c>
      <c r="O23" s="119" t="str">
        <f aca="false">IF(J23="","",IF(COUNTIF($J$6:$J$505,J23)&gt;1,1,0))</f>
        <v/>
      </c>
      <c r="P23" s="119" t="str">
        <f aca="false">IF(J23="","",IF(K23="","Not found in Paste_RLVL – deductions set to 0; ","")&amp;IF(L23=0,"New rider (not in Rider_Master) – OK, shown as Rider &lt;ID&gt;; ","")&amp;IF(AND(N23&lt;&gt;"",N23&lt;&gt;M23),"Orders differ: FTR "&amp;M23&amp;" vs RLVL "&amp;N23&amp;"; ","")&amp;IF(O23=1,"Duplicate Rider ID; ",""))</f>
        <v/>
      </c>
      <c r="Q23" s="119" t="str">
        <f aca="false">IF(P23="","",COUNTIF(P$6:P23,"?*"))</f>
        <v/>
      </c>
    </row>
    <row r="24" customFormat="false" ht="15" hidden="false" customHeight="false" outlineLevel="0" collapsed="false">
      <c r="B24" s="122" t="s">
        <v>143</v>
      </c>
      <c r="C24" s="125" t="n">
        <f aca="false">SUMPRODUCT(($J$6:$J$505&lt;&gt;"")*($L$6:$L$505=0))</f>
        <v>0</v>
      </c>
      <c r="D24" s="124" t="str">
        <f aca="false">IF(C24=0,"OK","INFO")</f>
        <v>OK</v>
      </c>
      <c r="I24" s="119" t="n">
        <v>19</v>
      </c>
      <c r="J24" s="119" t="str">
        <f aca="false">IFERROR(IF(INDEX(Rider_Input[Rider ID],I24)="","",INDEX(Rider_Input[Rider ID],I24)),"")</f>
        <v/>
      </c>
      <c r="K24" s="119" t="str">
        <f aca="false">IF(J24="","",IFERROR(MATCH(J24,INDEX(RLVL_Data,0,c_RLVL_ID),0),""))</f>
        <v/>
      </c>
      <c r="L24" s="119" t="str">
        <f aca="false">IF(J24="","",IF(ISNUMBER(MATCH(J24,Rider_Master[Rider ID],0)),1,0))</f>
        <v/>
      </c>
      <c r="M24" s="119" t="str">
        <f aca="false">IF(J24="","",INDEX(Rider_Input[Completed Orders],I24))</f>
        <v/>
      </c>
      <c r="N24" s="119" t="str">
        <f aca="false">IF(OR(J24="",K24=""),"",IFERROR(INDEX(RLVL_Data,K24,c_RLVL_Orders),""))</f>
        <v/>
      </c>
      <c r="O24" s="119" t="str">
        <f aca="false">IF(J24="","",IF(COUNTIF($J$6:$J$505,J24)&gt;1,1,0))</f>
        <v/>
      </c>
      <c r="P24" s="119" t="str">
        <f aca="false">IF(J24="","",IF(K24="","Not found in Paste_RLVL – deductions set to 0; ","")&amp;IF(L24=0,"New rider (not in Rider_Master) – OK, shown as Rider &lt;ID&gt;; ","")&amp;IF(AND(N24&lt;&gt;"",N24&lt;&gt;M24),"Orders differ: FTR "&amp;M24&amp;" vs RLVL "&amp;N24&amp;"; ","")&amp;IF(O24=1,"Duplicate Rider ID; ",""))</f>
        <v/>
      </c>
      <c r="Q24" s="119" t="str">
        <f aca="false">IF(P24="","",COUNTIF(P$6:P24,"?*"))</f>
        <v/>
      </c>
    </row>
    <row r="25" customFormat="false" ht="15" hidden="false" customHeight="false" outlineLevel="0" collapsed="false">
      <c r="I25" s="119" t="n">
        <v>20</v>
      </c>
      <c r="J25" s="119" t="str">
        <f aca="false">IFERROR(IF(INDEX(Rider_Input[Rider ID],I25)="","",INDEX(Rider_Input[Rider ID],I25)),"")</f>
        <v/>
      </c>
      <c r="K25" s="119" t="str">
        <f aca="false">IF(J25="","",IFERROR(MATCH(J25,INDEX(RLVL_Data,0,c_RLVL_ID),0),""))</f>
        <v/>
      </c>
      <c r="L25" s="119" t="str">
        <f aca="false">IF(J25="","",IF(ISNUMBER(MATCH(J25,Rider_Master[Rider ID],0)),1,0))</f>
        <v/>
      </c>
      <c r="M25" s="119" t="str">
        <f aca="false">IF(J25="","",INDEX(Rider_Input[Completed Orders],I25))</f>
        <v/>
      </c>
      <c r="N25" s="119" t="str">
        <f aca="false">IF(OR(J25="",K25=""),"",IFERROR(INDEX(RLVL_Data,K25,c_RLVL_Orders),""))</f>
        <v/>
      </c>
      <c r="O25" s="119" t="str">
        <f aca="false">IF(J25="","",IF(COUNTIF($J$6:$J$505,J25)&gt;1,1,0))</f>
        <v/>
      </c>
      <c r="P25" s="119" t="str">
        <f aca="false">IF(J25="","",IF(K25="","Not found in Paste_RLVL – deductions set to 0; ","")&amp;IF(L25=0,"New rider (not in Rider_Master) – OK, shown as Rider &lt;ID&gt;; ","")&amp;IF(AND(N25&lt;&gt;"",N25&lt;&gt;M25),"Orders differ: FTR "&amp;M25&amp;" vs RLVL "&amp;N25&amp;"; ","")&amp;IF(O25=1,"Duplicate Rider ID; ",""))</f>
        <v/>
      </c>
      <c r="Q25" s="119" t="str">
        <f aca="false">IF(P25="","",COUNTIF(P$6:P25,"?*"))</f>
        <v/>
      </c>
    </row>
    <row r="26" customFormat="false" ht="21.75" hidden="false" customHeight="true" outlineLevel="0" collapsed="false">
      <c r="B26" s="121" t="s">
        <v>144</v>
      </c>
      <c r="C26" s="121"/>
      <c r="D26" s="121"/>
      <c r="E26" s="121"/>
      <c r="F26" s="121"/>
      <c r="I26" s="119" t="n">
        <v>21</v>
      </c>
      <c r="J26" s="119" t="str">
        <f aca="false">IFERROR(IF(INDEX(Rider_Input[Rider ID],I26)="","",INDEX(Rider_Input[Rider ID],I26)),"")</f>
        <v/>
      </c>
      <c r="K26" s="119" t="str">
        <f aca="false">IF(J26="","",IFERROR(MATCH(J26,INDEX(RLVL_Data,0,c_RLVL_ID),0),""))</f>
        <v/>
      </c>
      <c r="L26" s="119" t="str">
        <f aca="false">IF(J26="","",IF(ISNUMBER(MATCH(J26,Rider_Master[Rider ID],0)),1,0))</f>
        <v/>
      </c>
      <c r="M26" s="119" t="str">
        <f aca="false">IF(J26="","",INDEX(Rider_Input[Completed Orders],I26))</f>
        <v/>
      </c>
      <c r="N26" s="119" t="str">
        <f aca="false">IF(OR(J26="",K26=""),"",IFERROR(INDEX(RLVL_Data,K26,c_RLVL_Orders),""))</f>
        <v/>
      </c>
      <c r="O26" s="119" t="str">
        <f aca="false">IF(J26="","",IF(COUNTIF($J$6:$J$505,J26)&gt;1,1,0))</f>
        <v/>
      </c>
      <c r="P26" s="119" t="str">
        <f aca="false">IF(J26="","",IF(K26="","Not found in Paste_RLVL – deductions set to 0; ","")&amp;IF(L26=0,"New rider (not in Rider_Master) – OK, shown as Rider &lt;ID&gt;; ","")&amp;IF(AND(N26&lt;&gt;"",N26&lt;&gt;M26),"Orders differ: FTR "&amp;M26&amp;" vs RLVL "&amp;N26&amp;"; ","")&amp;IF(O26=1,"Duplicate Rider ID; ",""))</f>
        <v/>
      </c>
      <c r="Q26" s="119" t="str">
        <f aca="false">IF(P26="","",COUNTIF(P$6:P26,"?*"))</f>
        <v/>
      </c>
    </row>
    <row r="27" customFormat="false" ht="15" hidden="false" customHeight="false" outlineLevel="0" collapsed="false">
      <c r="B27" s="126" t="s">
        <v>145</v>
      </c>
      <c r="C27" s="126" t="s">
        <v>146</v>
      </c>
      <c r="D27" s="126" t="s">
        <v>147</v>
      </c>
      <c r="E27" s="126" t="s">
        <v>148</v>
      </c>
      <c r="F27" s="126" t="s">
        <v>149</v>
      </c>
      <c r="I27" s="119" t="n">
        <v>22</v>
      </c>
      <c r="J27" s="119" t="str">
        <f aca="false">IFERROR(IF(INDEX(Rider_Input[Rider ID],I27)="","",INDEX(Rider_Input[Rider ID],I27)),"")</f>
        <v/>
      </c>
      <c r="K27" s="119" t="str">
        <f aca="false">IF(J27="","",IFERROR(MATCH(J27,INDEX(RLVL_Data,0,c_RLVL_ID),0),""))</f>
        <v/>
      </c>
      <c r="L27" s="119" t="str">
        <f aca="false">IF(J27="","",IF(ISNUMBER(MATCH(J27,Rider_Master[Rider ID],0)),1,0))</f>
        <v/>
      </c>
      <c r="M27" s="119" t="str">
        <f aca="false">IF(J27="","",INDEX(Rider_Input[Completed Orders],I27))</f>
        <v/>
      </c>
      <c r="N27" s="119" t="str">
        <f aca="false">IF(OR(J27="",K27=""),"",IFERROR(INDEX(RLVL_Data,K27,c_RLVL_Orders),""))</f>
        <v/>
      </c>
      <c r="O27" s="119" t="str">
        <f aca="false">IF(J27="","",IF(COUNTIF($J$6:$J$505,J27)&gt;1,1,0))</f>
        <v/>
      </c>
      <c r="P27" s="119" t="str">
        <f aca="false">IF(J27="","",IF(K27="","Not found in Paste_RLVL – deductions set to 0; ","")&amp;IF(L27=0,"New rider (not in Rider_Master) – OK, shown as Rider &lt;ID&gt;; ","")&amp;IF(AND(N27&lt;&gt;"",N27&lt;&gt;M27),"Orders differ: FTR "&amp;M27&amp;" vs RLVL "&amp;N27&amp;"; ","")&amp;IF(O27=1,"Duplicate Rider ID; ",""))</f>
        <v/>
      </c>
      <c r="Q27" s="119" t="str">
        <f aca="false">IF(P27="","",COUNTIF(P$6:P27,"?*"))</f>
        <v/>
      </c>
    </row>
    <row r="28" customFormat="false" ht="15" hidden="false" customHeight="false" outlineLevel="0" collapsed="false">
      <c r="B28" s="122" t="s">
        <v>150</v>
      </c>
      <c r="C28" s="127" t="s">
        <v>151</v>
      </c>
      <c r="D28" s="122" t="s">
        <v>152</v>
      </c>
      <c r="E28" s="122" t="n">
        <f aca="false">IFERROR(MATCH($C28,Paste_FTR!$A$1:$BZ$1,0),"not found")</f>
        <v>2</v>
      </c>
      <c r="F28" s="128" t="str">
        <f aca="false">IF(ISNUMBER(E28),"OK","MISSING")</f>
        <v>OK</v>
      </c>
      <c r="I28" s="119" t="n">
        <v>23</v>
      </c>
      <c r="J28" s="119" t="str">
        <f aca="false">IFERROR(IF(INDEX(Rider_Input[Rider ID],I28)="","",INDEX(Rider_Input[Rider ID],I28)),"")</f>
        <v/>
      </c>
      <c r="K28" s="119" t="str">
        <f aca="false">IF(J28="","",IFERROR(MATCH(J28,INDEX(RLVL_Data,0,c_RLVL_ID),0),""))</f>
        <v/>
      </c>
      <c r="L28" s="119" t="str">
        <f aca="false">IF(J28="","",IF(ISNUMBER(MATCH(J28,Rider_Master[Rider ID],0)),1,0))</f>
        <v/>
      </c>
      <c r="M28" s="119" t="str">
        <f aca="false">IF(J28="","",INDEX(Rider_Input[Completed Orders],I28))</f>
        <v/>
      </c>
      <c r="N28" s="119" t="str">
        <f aca="false">IF(OR(J28="",K28=""),"",IFERROR(INDEX(RLVL_Data,K28,c_RLVL_Orders),""))</f>
        <v/>
      </c>
      <c r="O28" s="119" t="str">
        <f aca="false">IF(J28="","",IF(COUNTIF($J$6:$J$505,J28)&gt;1,1,0))</f>
        <v/>
      </c>
      <c r="P28" s="119" t="str">
        <f aca="false">IF(J28="","",IF(K28="","Not found in Paste_RLVL – deductions set to 0; ","")&amp;IF(L28=0,"New rider (not in Rider_Master) – OK, shown as Rider &lt;ID&gt;; ","")&amp;IF(AND(N28&lt;&gt;"",N28&lt;&gt;M28),"Orders differ: FTR "&amp;M28&amp;" vs RLVL "&amp;N28&amp;"; ","")&amp;IF(O28=1,"Duplicate Rider ID; ",""))</f>
        <v/>
      </c>
      <c r="Q28" s="119" t="str">
        <f aca="false">IF(P28="","",COUNTIF(P$6:P28,"?*"))</f>
        <v/>
      </c>
    </row>
    <row r="29" customFormat="false" ht="15" hidden="false" customHeight="false" outlineLevel="0" collapsed="false">
      <c r="B29" s="122" t="s">
        <v>153</v>
      </c>
      <c r="C29" s="127" t="s">
        <v>154</v>
      </c>
      <c r="D29" s="122" t="s">
        <v>152</v>
      </c>
      <c r="E29" s="122" t="n">
        <f aca="false">IFERROR(MATCH($C29,Paste_FTR!$A$1:$BZ$1,0),"not found")</f>
        <v>8</v>
      </c>
      <c r="F29" s="128" t="str">
        <f aca="false">IF(ISNUMBER(E29),"OK","MISSING")</f>
        <v>OK</v>
      </c>
      <c r="I29" s="119" t="n">
        <v>24</v>
      </c>
      <c r="J29" s="119" t="str">
        <f aca="false">IFERROR(IF(INDEX(Rider_Input[Rider ID],I29)="","",INDEX(Rider_Input[Rider ID],I29)),"")</f>
        <v/>
      </c>
      <c r="K29" s="119" t="str">
        <f aca="false">IF(J29="","",IFERROR(MATCH(J29,INDEX(RLVL_Data,0,c_RLVL_ID),0),""))</f>
        <v/>
      </c>
      <c r="L29" s="119" t="str">
        <f aca="false">IF(J29="","",IF(ISNUMBER(MATCH(J29,Rider_Master[Rider ID],0)),1,0))</f>
        <v/>
      </c>
      <c r="M29" s="119" t="str">
        <f aca="false">IF(J29="","",INDEX(Rider_Input[Completed Orders],I29))</f>
        <v/>
      </c>
      <c r="N29" s="119" t="str">
        <f aca="false">IF(OR(J29="",K29=""),"",IFERROR(INDEX(RLVL_Data,K29,c_RLVL_Orders),""))</f>
        <v/>
      </c>
      <c r="O29" s="119" t="str">
        <f aca="false">IF(J29="","",IF(COUNTIF($J$6:$J$505,J29)&gt;1,1,0))</f>
        <v/>
      </c>
      <c r="P29" s="119" t="str">
        <f aca="false">IF(J29="","",IF(K29="","Not found in Paste_RLVL – deductions set to 0; ","")&amp;IF(L29=0,"New rider (not in Rider_Master) – OK, shown as Rider &lt;ID&gt;; ","")&amp;IF(AND(N29&lt;&gt;"",N29&lt;&gt;M29),"Orders differ: FTR "&amp;M29&amp;" vs RLVL "&amp;N29&amp;"; ","")&amp;IF(O29=1,"Duplicate Rider ID; ",""))</f>
        <v/>
      </c>
      <c r="Q29" s="119" t="str">
        <f aca="false">IF(P29="","",COUNTIF(P$6:P29,"?*"))</f>
        <v/>
      </c>
    </row>
    <row r="30" customFormat="false" ht="15" hidden="false" customHeight="false" outlineLevel="0" collapsed="false">
      <c r="B30" s="122" t="s">
        <v>155</v>
      </c>
      <c r="C30" s="127" t="s">
        <v>156</v>
      </c>
      <c r="D30" s="122" t="s">
        <v>152</v>
      </c>
      <c r="E30" s="122" t="n">
        <f aca="false">IFERROR(MATCH($C30,Paste_FTR!$A$1:$BZ$1,0),"not found")</f>
        <v>12</v>
      </c>
      <c r="F30" s="128" t="str">
        <f aca="false">IF(ISNUMBER(E30),"OK","MISSING")</f>
        <v>OK</v>
      </c>
      <c r="I30" s="119" t="n">
        <v>25</v>
      </c>
      <c r="J30" s="119" t="str">
        <f aca="false">IFERROR(IF(INDEX(Rider_Input[Rider ID],I30)="","",INDEX(Rider_Input[Rider ID],I30)),"")</f>
        <v/>
      </c>
      <c r="K30" s="119" t="str">
        <f aca="false">IF(J30="","",IFERROR(MATCH(J30,INDEX(RLVL_Data,0,c_RLVL_ID),0),""))</f>
        <v/>
      </c>
      <c r="L30" s="119" t="str">
        <f aca="false">IF(J30="","",IF(ISNUMBER(MATCH(J30,Rider_Master[Rider ID],0)),1,0))</f>
        <v/>
      </c>
      <c r="M30" s="119" t="str">
        <f aca="false">IF(J30="","",INDEX(Rider_Input[Completed Orders],I30))</f>
        <v/>
      </c>
      <c r="N30" s="119" t="str">
        <f aca="false">IF(OR(J30="",K30=""),"",IFERROR(INDEX(RLVL_Data,K30,c_RLVL_Orders),""))</f>
        <v/>
      </c>
      <c r="O30" s="119" t="str">
        <f aca="false">IF(J30="","",IF(COUNTIF($J$6:$J$505,J30)&gt;1,1,0))</f>
        <v/>
      </c>
      <c r="P30" s="119" t="str">
        <f aca="false">IF(J30="","",IF(K30="","Not found in Paste_RLVL – deductions set to 0; ","")&amp;IF(L30=0,"New rider (not in Rider_Master) – OK, shown as Rider &lt;ID&gt;; ","")&amp;IF(AND(N30&lt;&gt;"",N30&lt;&gt;M30),"Orders differ: FTR "&amp;M30&amp;" vs RLVL "&amp;N30&amp;"; ","")&amp;IF(O30=1,"Duplicate Rider ID; ",""))</f>
        <v/>
      </c>
      <c r="Q30" s="119" t="str">
        <f aca="false">IF(P30="","",COUNTIF(P$6:P30,"?*"))</f>
        <v/>
      </c>
    </row>
    <row r="31" customFormat="false" ht="15" hidden="false" customHeight="false" outlineLevel="0" collapsed="false">
      <c r="B31" s="122" t="s">
        <v>157</v>
      </c>
      <c r="C31" s="127" t="s">
        <v>151</v>
      </c>
      <c r="D31" s="122" t="s">
        <v>158</v>
      </c>
      <c r="E31" s="122" t="n">
        <f aca="false">IFERROR(MATCH($C31,Paste_RLVL!$A$1:$BZ$1,0),"not found")</f>
        <v>1</v>
      </c>
      <c r="F31" s="128" t="str">
        <f aca="false">IF(ISNUMBER(E31),"OK","MISSING")</f>
        <v>OK</v>
      </c>
      <c r="I31" s="119" t="n">
        <v>26</v>
      </c>
      <c r="J31" s="119" t="str">
        <f aca="false">IFERROR(IF(INDEX(Rider_Input[Rider ID],I31)="","",INDEX(Rider_Input[Rider ID],I31)),"")</f>
        <v/>
      </c>
      <c r="K31" s="119" t="str">
        <f aca="false">IF(J31="","",IFERROR(MATCH(J31,INDEX(RLVL_Data,0,c_RLVL_ID),0),""))</f>
        <v/>
      </c>
      <c r="L31" s="119" t="str">
        <f aca="false">IF(J31="","",IF(ISNUMBER(MATCH(J31,Rider_Master[Rider ID],0)),1,0))</f>
        <v/>
      </c>
      <c r="M31" s="119" t="str">
        <f aca="false">IF(J31="","",INDEX(Rider_Input[Completed Orders],I31))</f>
        <v/>
      </c>
      <c r="N31" s="119" t="str">
        <f aca="false">IF(OR(J31="",K31=""),"",IFERROR(INDEX(RLVL_Data,K31,c_RLVL_Orders),""))</f>
        <v/>
      </c>
      <c r="O31" s="119" t="str">
        <f aca="false">IF(J31="","",IF(COUNTIF($J$6:$J$505,J31)&gt;1,1,0))</f>
        <v/>
      </c>
      <c r="P31" s="119" t="str">
        <f aca="false">IF(J31="","",IF(K31="","Not found in Paste_RLVL – deductions set to 0; ","")&amp;IF(L31=0,"New rider (not in Rider_Master) – OK, shown as Rider &lt;ID&gt;; ","")&amp;IF(AND(N31&lt;&gt;"",N31&lt;&gt;M31),"Orders differ: FTR "&amp;M31&amp;" vs RLVL "&amp;N31&amp;"; ","")&amp;IF(O31=1,"Duplicate Rider ID; ",""))</f>
        <v/>
      </c>
      <c r="Q31" s="119" t="str">
        <f aca="false">IF(P31="","",COUNTIF(P$6:P31,"?*"))</f>
        <v/>
      </c>
    </row>
    <row r="32" customFormat="false" ht="15" hidden="false" customHeight="false" outlineLevel="0" collapsed="false">
      <c r="B32" s="122" t="s">
        <v>159</v>
      </c>
      <c r="C32" s="127" t="s">
        <v>154</v>
      </c>
      <c r="D32" s="122" t="s">
        <v>158</v>
      </c>
      <c r="E32" s="122" t="n">
        <f aca="false">IFERROR(MATCH($C32,Paste_RLVL!$A$1:$BZ$1,0),"not found")</f>
        <v>3</v>
      </c>
      <c r="F32" s="128" t="str">
        <f aca="false">IF(ISNUMBER(E32),"OK","MISSING")</f>
        <v>OK</v>
      </c>
      <c r="I32" s="119" t="n">
        <v>27</v>
      </c>
      <c r="J32" s="119" t="str">
        <f aca="false">IFERROR(IF(INDEX(Rider_Input[Rider ID],I32)="","",INDEX(Rider_Input[Rider ID],I32)),"")</f>
        <v/>
      </c>
      <c r="K32" s="119" t="str">
        <f aca="false">IF(J32="","",IFERROR(MATCH(J32,INDEX(RLVL_Data,0,c_RLVL_ID),0),""))</f>
        <v/>
      </c>
      <c r="L32" s="119" t="str">
        <f aca="false">IF(J32="","",IF(ISNUMBER(MATCH(J32,Rider_Master[Rider ID],0)),1,0))</f>
        <v/>
      </c>
      <c r="M32" s="119" t="str">
        <f aca="false">IF(J32="","",INDEX(Rider_Input[Completed Orders],I32))</f>
        <v/>
      </c>
      <c r="N32" s="119" t="str">
        <f aca="false">IF(OR(J32="",K32=""),"",IFERROR(INDEX(RLVL_Data,K32,c_RLVL_Orders),""))</f>
        <v/>
      </c>
      <c r="O32" s="119" t="str">
        <f aca="false">IF(J32="","",IF(COUNTIF($J$6:$J$505,J32)&gt;1,1,0))</f>
        <v/>
      </c>
      <c r="P32" s="119" t="str">
        <f aca="false">IF(J32="","",IF(K32="","Not found in Paste_RLVL – deductions set to 0; ","")&amp;IF(L32=0,"New rider (not in Rider_Master) – OK, shown as Rider &lt;ID&gt;; ","")&amp;IF(AND(N32&lt;&gt;"",N32&lt;&gt;M32),"Orders differ: FTR "&amp;M32&amp;" vs RLVL "&amp;N32&amp;"; ","")&amp;IF(O32=1,"Duplicate Rider ID; ",""))</f>
        <v/>
      </c>
      <c r="Q32" s="119" t="str">
        <f aca="false">IF(P32="","",COUNTIF(P$6:P32,"?*"))</f>
        <v/>
      </c>
    </row>
    <row r="33" customFormat="false" ht="15" hidden="false" customHeight="false" outlineLevel="0" collapsed="false">
      <c r="B33" s="122" t="s">
        <v>160</v>
      </c>
      <c r="C33" s="127" t="s">
        <v>161</v>
      </c>
      <c r="D33" s="122" t="s">
        <v>158</v>
      </c>
      <c r="E33" s="122" t="n">
        <f aca="false">IFERROR(MATCH($C33,Paste_RLVL!$A$1:$BZ$1,0),"not found")</f>
        <v>12</v>
      </c>
      <c r="F33" s="128" t="str">
        <f aca="false">IF(ISNUMBER(E33),"OK","MISSING")</f>
        <v>OK</v>
      </c>
      <c r="I33" s="119" t="n">
        <v>28</v>
      </c>
      <c r="J33" s="119" t="str">
        <f aca="false">IFERROR(IF(INDEX(Rider_Input[Rider ID],I33)="","",INDEX(Rider_Input[Rider ID],I33)),"")</f>
        <v/>
      </c>
      <c r="K33" s="119" t="str">
        <f aca="false">IF(J33="","",IFERROR(MATCH(J33,INDEX(RLVL_Data,0,c_RLVL_ID),0),""))</f>
        <v/>
      </c>
      <c r="L33" s="119" t="str">
        <f aca="false">IF(J33="","",IF(ISNUMBER(MATCH(J33,Rider_Master[Rider ID],0)),1,0))</f>
        <v/>
      </c>
      <c r="M33" s="119" t="str">
        <f aca="false">IF(J33="","",INDEX(Rider_Input[Completed Orders],I33))</f>
        <v/>
      </c>
      <c r="N33" s="119" t="str">
        <f aca="false">IF(OR(J33="",K33=""),"",IFERROR(INDEX(RLVL_Data,K33,c_RLVL_Orders),""))</f>
        <v/>
      </c>
      <c r="O33" s="119" t="str">
        <f aca="false">IF(J33="","",IF(COUNTIF($J$6:$J$505,J33)&gt;1,1,0))</f>
        <v/>
      </c>
      <c r="P33" s="119" t="str">
        <f aca="false">IF(J33="","",IF(K33="","Not found in Paste_RLVL – deductions set to 0; ","")&amp;IF(L33=0,"New rider (not in Rider_Master) – OK, shown as Rider &lt;ID&gt;; ","")&amp;IF(AND(N33&lt;&gt;"",N33&lt;&gt;M33),"Orders differ: FTR "&amp;M33&amp;" vs RLVL "&amp;N33&amp;"; ","")&amp;IF(O33=1,"Duplicate Rider ID; ",""))</f>
        <v/>
      </c>
      <c r="Q33" s="119" t="str">
        <f aca="false">IF(P33="","",COUNTIF(P$6:P33,"?*"))</f>
        <v/>
      </c>
    </row>
    <row r="34" customFormat="false" ht="15" hidden="false" customHeight="false" outlineLevel="0" collapsed="false">
      <c r="B34" s="122" t="s">
        <v>162</v>
      </c>
      <c r="C34" s="127" t="s">
        <v>163</v>
      </c>
      <c r="D34" s="122" t="s">
        <v>158</v>
      </c>
      <c r="E34" s="122" t="n">
        <f aca="false">IFERROR(MATCH($C34,Paste_RLVL!$A$1:$BZ$1,0),"not found")</f>
        <v>16</v>
      </c>
      <c r="F34" s="128" t="str">
        <f aca="false">IF(ISNUMBER(E34),"OK","MISSING")</f>
        <v>OK</v>
      </c>
      <c r="I34" s="119" t="n">
        <v>29</v>
      </c>
      <c r="J34" s="119" t="str">
        <f aca="false">IFERROR(IF(INDEX(Rider_Input[Rider ID],I34)="","",INDEX(Rider_Input[Rider ID],I34)),"")</f>
        <v/>
      </c>
      <c r="K34" s="119" t="str">
        <f aca="false">IF(J34="","",IFERROR(MATCH(J34,INDEX(RLVL_Data,0,c_RLVL_ID),0),""))</f>
        <v/>
      </c>
      <c r="L34" s="119" t="str">
        <f aca="false">IF(J34="","",IF(ISNUMBER(MATCH(J34,Rider_Master[Rider ID],0)),1,0))</f>
        <v/>
      </c>
      <c r="M34" s="119" t="str">
        <f aca="false">IF(J34="","",INDEX(Rider_Input[Completed Orders],I34))</f>
        <v/>
      </c>
      <c r="N34" s="119" t="str">
        <f aca="false">IF(OR(J34="",K34=""),"",IFERROR(INDEX(RLVL_Data,K34,c_RLVL_Orders),""))</f>
        <v/>
      </c>
      <c r="O34" s="119" t="str">
        <f aca="false">IF(J34="","",IF(COUNTIF($J$6:$J$505,J34)&gt;1,1,0))</f>
        <v/>
      </c>
      <c r="P34" s="119" t="str">
        <f aca="false">IF(J34="","",IF(K34="","Not found in Paste_RLVL – deductions set to 0; ","")&amp;IF(L34=0,"New rider (not in Rider_Master) – OK, shown as Rider &lt;ID&gt;; ","")&amp;IF(AND(N34&lt;&gt;"",N34&lt;&gt;M34),"Orders differ: FTR "&amp;M34&amp;" vs RLVL "&amp;N34&amp;"; ","")&amp;IF(O34=1,"Duplicate Rider ID; ",""))</f>
        <v/>
      </c>
      <c r="Q34" s="119" t="str">
        <f aca="false">IF(P34="","",COUNTIF(P$6:P34,"?*"))</f>
        <v/>
      </c>
    </row>
    <row r="35" customFormat="false" ht="15" hidden="false" customHeight="false" outlineLevel="0" collapsed="false">
      <c r="B35" s="122" t="s">
        <v>164</v>
      </c>
      <c r="C35" s="127" t="s">
        <v>165</v>
      </c>
      <c r="D35" s="122" t="s">
        <v>158</v>
      </c>
      <c r="E35" s="122" t="n">
        <f aca="false">IFERROR(MATCH($C35,Paste_RLVL!$A$1:$BZ$1,0),"not found")</f>
        <v>5</v>
      </c>
      <c r="F35" s="128" t="str">
        <f aca="false">IF(ISNUMBER(E35),"OK","MISSING")</f>
        <v>OK</v>
      </c>
      <c r="I35" s="119" t="n">
        <v>30</v>
      </c>
      <c r="J35" s="119" t="str">
        <f aca="false">IFERROR(IF(INDEX(Rider_Input[Rider ID],I35)="","",INDEX(Rider_Input[Rider ID],I35)),"")</f>
        <v/>
      </c>
      <c r="K35" s="119" t="str">
        <f aca="false">IF(J35="","",IFERROR(MATCH(J35,INDEX(RLVL_Data,0,c_RLVL_ID),0),""))</f>
        <v/>
      </c>
      <c r="L35" s="119" t="str">
        <f aca="false">IF(J35="","",IF(ISNUMBER(MATCH(J35,Rider_Master[Rider ID],0)),1,0))</f>
        <v/>
      </c>
      <c r="M35" s="119" t="str">
        <f aca="false">IF(J35="","",INDEX(Rider_Input[Completed Orders],I35))</f>
        <v/>
      </c>
      <c r="N35" s="119" t="str">
        <f aca="false">IF(OR(J35="",K35=""),"",IFERROR(INDEX(RLVL_Data,K35,c_RLVL_Orders),""))</f>
        <v/>
      </c>
      <c r="O35" s="119" t="str">
        <f aca="false">IF(J35="","",IF(COUNTIF($J$6:$J$505,J35)&gt;1,1,0))</f>
        <v/>
      </c>
      <c r="P35" s="119" t="str">
        <f aca="false">IF(J35="","",IF(K35="","Not found in Paste_RLVL – deductions set to 0; ","")&amp;IF(L35=0,"New rider (not in Rider_Master) – OK, shown as Rider &lt;ID&gt;; ","")&amp;IF(AND(N35&lt;&gt;"",N35&lt;&gt;M35),"Orders differ: FTR "&amp;M35&amp;" vs RLVL "&amp;N35&amp;"; ","")&amp;IF(O35=1,"Duplicate Rider ID; ",""))</f>
        <v/>
      </c>
      <c r="Q35" s="119" t="str">
        <f aca="false">IF(P35="","",COUNTIF(P$6:P35,"?*"))</f>
        <v/>
      </c>
    </row>
    <row r="36" customFormat="false" ht="15" hidden="false" customHeight="false" outlineLevel="0" collapsed="false">
      <c r="I36" s="119" t="n">
        <v>31</v>
      </c>
      <c r="J36" s="119" t="str">
        <f aca="false">IFERROR(IF(INDEX(Rider_Input[Rider ID],I36)="","",INDEX(Rider_Input[Rider ID],I36)),"")</f>
        <v/>
      </c>
      <c r="K36" s="119" t="str">
        <f aca="false">IF(J36="","",IFERROR(MATCH(J36,INDEX(RLVL_Data,0,c_RLVL_ID),0),""))</f>
        <v/>
      </c>
      <c r="L36" s="119" t="str">
        <f aca="false">IF(J36="","",IF(ISNUMBER(MATCH(J36,Rider_Master[Rider ID],0)),1,0))</f>
        <v/>
      </c>
      <c r="M36" s="119" t="str">
        <f aca="false">IF(J36="","",INDEX(Rider_Input[Completed Orders],I36))</f>
        <v/>
      </c>
      <c r="N36" s="119" t="str">
        <f aca="false">IF(OR(J36="",K36=""),"",IFERROR(INDEX(RLVL_Data,K36,c_RLVL_Orders),""))</f>
        <v/>
      </c>
      <c r="O36" s="119" t="str">
        <f aca="false">IF(J36="","",IF(COUNTIF($J$6:$J$505,J36)&gt;1,1,0))</f>
        <v/>
      </c>
      <c r="P36" s="119" t="str">
        <f aca="false">IF(J36="","",IF(K36="","Not found in Paste_RLVL – deductions set to 0; ","")&amp;IF(L36=0,"New rider (not in Rider_Master) – OK, shown as Rider &lt;ID&gt;; ","")&amp;IF(AND(N36&lt;&gt;"",N36&lt;&gt;M36),"Orders differ: FTR "&amp;M36&amp;" vs RLVL "&amp;N36&amp;"; ","")&amp;IF(O36=1,"Duplicate Rider ID; ",""))</f>
        <v/>
      </c>
      <c r="Q36" s="119" t="str">
        <f aca="false">IF(P36="","",COUNTIF(P$6:P36,"?*"))</f>
        <v/>
      </c>
    </row>
    <row r="37" customFormat="false" ht="15" hidden="false" customHeight="false" outlineLevel="0" collapsed="false">
      <c r="I37" s="119" t="n">
        <v>32</v>
      </c>
      <c r="J37" s="119" t="str">
        <f aca="false">IFERROR(IF(INDEX(Rider_Input[Rider ID],I37)="","",INDEX(Rider_Input[Rider ID],I37)),"")</f>
        <v/>
      </c>
      <c r="K37" s="119" t="str">
        <f aca="false">IF(J37="","",IFERROR(MATCH(J37,INDEX(RLVL_Data,0,c_RLVL_ID),0),""))</f>
        <v/>
      </c>
      <c r="L37" s="119" t="str">
        <f aca="false">IF(J37="","",IF(ISNUMBER(MATCH(J37,Rider_Master[Rider ID],0)),1,0))</f>
        <v/>
      </c>
      <c r="M37" s="119" t="str">
        <f aca="false">IF(J37="","",INDEX(Rider_Input[Completed Orders],I37))</f>
        <v/>
      </c>
      <c r="N37" s="119" t="str">
        <f aca="false">IF(OR(J37="",K37=""),"",IFERROR(INDEX(RLVL_Data,K37,c_RLVL_Orders),""))</f>
        <v/>
      </c>
      <c r="O37" s="119" t="str">
        <f aca="false">IF(J37="","",IF(COUNTIF($J$6:$J$505,J37)&gt;1,1,0))</f>
        <v/>
      </c>
      <c r="P37" s="119" t="str">
        <f aca="false">IF(J37="","",IF(K37="","Not found in Paste_RLVL – deductions set to 0; ","")&amp;IF(L37=0,"New rider (not in Rider_Master) – OK, shown as Rider &lt;ID&gt;; ","")&amp;IF(AND(N37&lt;&gt;"",N37&lt;&gt;M37),"Orders differ: FTR "&amp;M37&amp;" vs RLVL "&amp;N37&amp;"; ","")&amp;IF(O37=1,"Duplicate Rider ID; ",""))</f>
        <v/>
      </c>
      <c r="Q37" s="119" t="str">
        <f aca="false">IF(P37="","",COUNTIF(P$6:P37,"?*"))</f>
        <v/>
      </c>
    </row>
    <row r="38" customFormat="false" ht="21.75" hidden="false" customHeight="true" outlineLevel="0" collapsed="false">
      <c r="B38" s="129" t="s">
        <v>166</v>
      </c>
      <c r="C38" s="129"/>
      <c r="D38" s="129"/>
      <c r="E38" s="129"/>
      <c r="F38" s="129"/>
      <c r="I38" s="119" t="n">
        <v>33</v>
      </c>
      <c r="J38" s="119" t="str">
        <f aca="false">IFERROR(IF(INDEX(Rider_Input[Rider ID],I38)="","",INDEX(Rider_Input[Rider ID],I38)),"")</f>
        <v/>
      </c>
      <c r="K38" s="119" t="str">
        <f aca="false">IF(J38="","",IFERROR(MATCH(J38,INDEX(RLVL_Data,0,c_RLVL_ID),0),""))</f>
        <v/>
      </c>
      <c r="L38" s="119" t="str">
        <f aca="false">IF(J38="","",IF(ISNUMBER(MATCH(J38,Rider_Master[Rider ID],0)),1,0))</f>
        <v/>
      </c>
      <c r="M38" s="119" t="str">
        <f aca="false">IF(J38="","",INDEX(Rider_Input[Completed Orders],I38))</f>
        <v/>
      </c>
      <c r="N38" s="119" t="str">
        <f aca="false">IF(OR(J38="",K38=""),"",IFERROR(INDEX(RLVL_Data,K38,c_RLVL_Orders),""))</f>
        <v/>
      </c>
      <c r="O38" s="119" t="str">
        <f aca="false">IF(J38="","",IF(COUNTIF($J$6:$J$505,J38)&gt;1,1,0))</f>
        <v/>
      </c>
      <c r="P38" s="119" t="str">
        <f aca="false">IF(J38="","",IF(K38="","Not found in Paste_RLVL – deductions set to 0; ","")&amp;IF(L38=0,"New rider (not in Rider_Master) – OK, shown as Rider &lt;ID&gt;; ","")&amp;IF(AND(N38&lt;&gt;"",N38&lt;&gt;M38),"Orders differ: FTR "&amp;M38&amp;" vs RLVL "&amp;N38&amp;"; ","")&amp;IF(O38=1,"Duplicate Rider ID; ",""))</f>
        <v/>
      </c>
      <c r="Q38" s="119" t="str">
        <f aca="false">IF(P38="","",COUNTIF(P$6:P38,"?*"))</f>
        <v/>
      </c>
    </row>
    <row r="39" customFormat="false" ht="15" hidden="false" customHeight="false" outlineLevel="0" collapsed="false">
      <c r="B39" s="126" t="s">
        <v>27</v>
      </c>
      <c r="C39" s="126" t="s">
        <v>126</v>
      </c>
      <c r="I39" s="119" t="n">
        <v>34</v>
      </c>
      <c r="J39" s="119" t="str">
        <f aca="false">IFERROR(IF(INDEX(Rider_Input[Rider ID],I39)="","",INDEX(Rider_Input[Rider ID],I39)),"")</f>
        <v/>
      </c>
      <c r="K39" s="119" t="str">
        <f aca="false">IF(J39="","",IFERROR(MATCH(J39,INDEX(RLVL_Data,0,c_RLVL_ID),0),""))</f>
        <v/>
      </c>
      <c r="L39" s="119" t="str">
        <f aca="false">IF(J39="","",IF(ISNUMBER(MATCH(J39,Rider_Master[Rider ID],0)),1,0))</f>
        <v/>
      </c>
      <c r="M39" s="119" t="str">
        <f aca="false">IF(J39="","",INDEX(Rider_Input[Completed Orders],I39))</f>
        <v/>
      </c>
      <c r="N39" s="119" t="str">
        <f aca="false">IF(OR(J39="",K39=""),"",IFERROR(INDEX(RLVL_Data,K39,c_RLVL_Orders),""))</f>
        <v/>
      </c>
      <c r="O39" s="119" t="str">
        <f aca="false">IF(J39="","",IF(COUNTIF($J$6:$J$505,J39)&gt;1,1,0))</f>
        <v/>
      </c>
      <c r="P39" s="119" t="str">
        <f aca="false">IF(J39="","",IF(K39="","Not found in Paste_RLVL – deductions set to 0; ","")&amp;IF(L39=0,"New rider (not in Rider_Master) – OK, shown as Rider &lt;ID&gt;; ","")&amp;IF(AND(N39&lt;&gt;"",N39&lt;&gt;M39),"Orders differ: FTR "&amp;M39&amp;" vs RLVL "&amp;N39&amp;"; ","")&amp;IF(O39=1,"Duplicate Rider ID; ",""))</f>
        <v/>
      </c>
      <c r="Q39" s="119" t="str">
        <f aca="false">IF(P39="","",COUNTIF(P$6:P39,"?*"))</f>
        <v/>
      </c>
    </row>
    <row r="40" customFormat="false" ht="15" hidden="false" customHeight="false" outlineLevel="0" collapsed="false">
      <c r="B40" s="130" t="str">
        <f aca="false">IFERROR(INDEX($J$6:$J$505,MATCH(1,$Q$6:$Q$505,0)),"")</f>
        <v/>
      </c>
      <c r="C40" s="131" t="str">
        <f aca="false">IFERROR(INDEX($P$6:$P$505,MATCH(1,$Q$6:$Q$505,0)),"")</f>
        <v/>
      </c>
      <c r="D40" s="131"/>
      <c r="E40" s="131"/>
      <c r="F40" s="131"/>
      <c r="I40" s="119" t="n">
        <v>35</v>
      </c>
      <c r="J40" s="119" t="str">
        <f aca="false">IFERROR(IF(INDEX(Rider_Input[Rider ID],I40)="","",INDEX(Rider_Input[Rider ID],I40)),"")</f>
        <v/>
      </c>
      <c r="K40" s="119" t="str">
        <f aca="false">IF(J40="","",IFERROR(MATCH(J40,INDEX(RLVL_Data,0,c_RLVL_ID),0),""))</f>
        <v/>
      </c>
      <c r="L40" s="119" t="str">
        <f aca="false">IF(J40="","",IF(ISNUMBER(MATCH(J40,Rider_Master[Rider ID],0)),1,0))</f>
        <v/>
      </c>
      <c r="M40" s="119" t="str">
        <f aca="false">IF(J40="","",INDEX(Rider_Input[Completed Orders],I40))</f>
        <v/>
      </c>
      <c r="N40" s="119" t="str">
        <f aca="false">IF(OR(J40="",K40=""),"",IFERROR(INDEX(RLVL_Data,K40,c_RLVL_Orders),""))</f>
        <v/>
      </c>
      <c r="O40" s="119" t="str">
        <f aca="false">IF(J40="","",IF(COUNTIF($J$6:$J$505,J40)&gt;1,1,0))</f>
        <v/>
      </c>
      <c r="P40" s="119" t="str">
        <f aca="false">IF(J40="","",IF(K40="","Not found in Paste_RLVL – deductions set to 0; ","")&amp;IF(L40=0,"New rider (not in Rider_Master) – OK, shown as Rider &lt;ID&gt;; ","")&amp;IF(AND(N40&lt;&gt;"",N40&lt;&gt;M40),"Orders differ: FTR "&amp;M40&amp;" vs RLVL "&amp;N40&amp;"; ","")&amp;IF(O40=1,"Duplicate Rider ID; ",""))</f>
        <v/>
      </c>
      <c r="Q40" s="119" t="str">
        <f aca="false">IF(P40="","",COUNTIF(P$6:P40,"?*"))</f>
        <v/>
      </c>
    </row>
    <row r="41" customFormat="false" ht="15" hidden="false" customHeight="false" outlineLevel="0" collapsed="false">
      <c r="B41" s="130" t="str">
        <f aca="false">IFERROR(INDEX($J$6:$J$505,MATCH(2,$Q$6:$Q$505,0)),"")</f>
        <v/>
      </c>
      <c r="C41" s="131" t="str">
        <f aca="false">IFERROR(INDEX($P$6:$P$505,MATCH(2,$Q$6:$Q$505,0)),"")</f>
        <v/>
      </c>
      <c r="D41" s="131"/>
      <c r="E41" s="131"/>
      <c r="F41" s="131"/>
      <c r="I41" s="119" t="n">
        <v>36</v>
      </c>
      <c r="J41" s="119" t="str">
        <f aca="false">IFERROR(IF(INDEX(Rider_Input[Rider ID],I41)="","",INDEX(Rider_Input[Rider ID],I41)),"")</f>
        <v/>
      </c>
      <c r="K41" s="119" t="str">
        <f aca="false">IF(J41="","",IFERROR(MATCH(J41,INDEX(RLVL_Data,0,c_RLVL_ID),0),""))</f>
        <v/>
      </c>
      <c r="L41" s="119" t="str">
        <f aca="false">IF(J41="","",IF(ISNUMBER(MATCH(J41,Rider_Master[Rider ID],0)),1,0))</f>
        <v/>
      </c>
      <c r="M41" s="119" t="str">
        <f aca="false">IF(J41="","",INDEX(Rider_Input[Completed Orders],I41))</f>
        <v/>
      </c>
      <c r="N41" s="119" t="str">
        <f aca="false">IF(OR(J41="",K41=""),"",IFERROR(INDEX(RLVL_Data,K41,c_RLVL_Orders),""))</f>
        <v/>
      </c>
      <c r="O41" s="119" t="str">
        <f aca="false">IF(J41="","",IF(COUNTIF($J$6:$J$505,J41)&gt;1,1,0))</f>
        <v/>
      </c>
      <c r="P41" s="119" t="str">
        <f aca="false">IF(J41="","",IF(K41="","Not found in Paste_RLVL – deductions set to 0; ","")&amp;IF(L41=0,"New rider (not in Rider_Master) – OK, shown as Rider &lt;ID&gt;; ","")&amp;IF(AND(N41&lt;&gt;"",N41&lt;&gt;M41),"Orders differ: FTR "&amp;M41&amp;" vs RLVL "&amp;N41&amp;"; ","")&amp;IF(O41=1,"Duplicate Rider ID; ",""))</f>
        <v/>
      </c>
      <c r="Q41" s="119" t="str">
        <f aca="false">IF(P41="","",COUNTIF(P$6:P41,"?*"))</f>
        <v/>
      </c>
    </row>
    <row r="42" customFormat="false" ht="15" hidden="false" customHeight="false" outlineLevel="0" collapsed="false">
      <c r="B42" s="130" t="str">
        <f aca="false">IFERROR(INDEX($J$6:$J$505,MATCH(3,$Q$6:$Q$505,0)),"")</f>
        <v/>
      </c>
      <c r="C42" s="131" t="str">
        <f aca="false">IFERROR(INDEX($P$6:$P$505,MATCH(3,$Q$6:$Q$505,0)),"")</f>
        <v/>
      </c>
      <c r="D42" s="131"/>
      <c r="E42" s="131"/>
      <c r="F42" s="131"/>
      <c r="I42" s="119" t="n">
        <v>37</v>
      </c>
      <c r="J42" s="119" t="str">
        <f aca="false">IFERROR(IF(INDEX(Rider_Input[Rider ID],I42)="","",INDEX(Rider_Input[Rider ID],I42)),"")</f>
        <v/>
      </c>
      <c r="K42" s="119" t="str">
        <f aca="false">IF(J42="","",IFERROR(MATCH(J42,INDEX(RLVL_Data,0,c_RLVL_ID),0),""))</f>
        <v/>
      </c>
      <c r="L42" s="119" t="str">
        <f aca="false">IF(J42="","",IF(ISNUMBER(MATCH(J42,Rider_Master[Rider ID],0)),1,0))</f>
        <v/>
      </c>
      <c r="M42" s="119" t="str">
        <f aca="false">IF(J42="","",INDEX(Rider_Input[Completed Orders],I42))</f>
        <v/>
      </c>
      <c r="N42" s="119" t="str">
        <f aca="false">IF(OR(J42="",K42=""),"",IFERROR(INDEX(RLVL_Data,K42,c_RLVL_Orders),""))</f>
        <v/>
      </c>
      <c r="O42" s="119" t="str">
        <f aca="false">IF(J42="","",IF(COUNTIF($J$6:$J$505,J42)&gt;1,1,0))</f>
        <v/>
      </c>
      <c r="P42" s="119" t="str">
        <f aca="false">IF(J42="","",IF(K42="","Not found in Paste_RLVL – deductions set to 0; ","")&amp;IF(L42=0,"New rider (not in Rider_Master) – OK, shown as Rider &lt;ID&gt;; ","")&amp;IF(AND(N42&lt;&gt;"",N42&lt;&gt;M42),"Orders differ: FTR "&amp;M42&amp;" vs RLVL "&amp;N42&amp;"; ","")&amp;IF(O42=1,"Duplicate Rider ID; ",""))</f>
        <v/>
      </c>
      <c r="Q42" s="119" t="str">
        <f aca="false">IF(P42="","",COUNTIF(P$6:P42,"?*"))</f>
        <v/>
      </c>
    </row>
    <row r="43" customFormat="false" ht="15" hidden="false" customHeight="false" outlineLevel="0" collapsed="false">
      <c r="B43" s="130" t="str">
        <f aca="false">IFERROR(INDEX($J$6:$J$505,MATCH(4,$Q$6:$Q$505,0)),"")</f>
        <v/>
      </c>
      <c r="C43" s="131" t="str">
        <f aca="false">IFERROR(INDEX($P$6:$P$505,MATCH(4,$Q$6:$Q$505,0)),"")</f>
        <v/>
      </c>
      <c r="D43" s="131"/>
      <c r="E43" s="131"/>
      <c r="F43" s="131"/>
      <c r="I43" s="119" t="n">
        <v>38</v>
      </c>
      <c r="J43" s="119" t="str">
        <f aca="false">IFERROR(IF(INDEX(Rider_Input[Rider ID],I43)="","",INDEX(Rider_Input[Rider ID],I43)),"")</f>
        <v/>
      </c>
      <c r="K43" s="119" t="str">
        <f aca="false">IF(J43="","",IFERROR(MATCH(J43,INDEX(RLVL_Data,0,c_RLVL_ID),0),""))</f>
        <v/>
      </c>
      <c r="L43" s="119" t="str">
        <f aca="false">IF(J43="","",IF(ISNUMBER(MATCH(J43,Rider_Master[Rider ID],0)),1,0))</f>
        <v/>
      </c>
      <c r="M43" s="119" t="str">
        <f aca="false">IF(J43="","",INDEX(Rider_Input[Completed Orders],I43))</f>
        <v/>
      </c>
      <c r="N43" s="119" t="str">
        <f aca="false">IF(OR(J43="",K43=""),"",IFERROR(INDEX(RLVL_Data,K43,c_RLVL_Orders),""))</f>
        <v/>
      </c>
      <c r="O43" s="119" t="str">
        <f aca="false">IF(J43="","",IF(COUNTIF($J$6:$J$505,J43)&gt;1,1,0))</f>
        <v/>
      </c>
      <c r="P43" s="119" t="str">
        <f aca="false">IF(J43="","",IF(K43="","Not found in Paste_RLVL – deductions set to 0; ","")&amp;IF(L43=0,"New rider (not in Rider_Master) – OK, shown as Rider &lt;ID&gt;; ","")&amp;IF(AND(N43&lt;&gt;"",N43&lt;&gt;M43),"Orders differ: FTR "&amp;M43&amp;" vs RLVL "&amp;N43&amp;"; ","")&amp;IF(O43=1,"Duplicate Rider ID; ",""))</f>
        <v/>
      </c>
      <c r="Q43" s="119" t="str">
        <f aca="false">IF(P43="","",COUNTIF(P$6:P43,"?*"))</f>
        <v/>
      </c>
    </row>
    <row r="44" customFormat="false" ht="15" hidden="false" customHeight="false" outlineLevel="0" collapsed="false">
      <c r="B44" s="130" t="str">
        <f aca="false">IFERROR(INDEX($J$6:$J$505,MATCH(5,$Q$6:$Q$505,0)),"")</f>
        <v/>
      </c>
      <c r="C44" s="131" t="str">
        <f aca="false">IFERROR(INDEX($P$6:$P$505,MATCH(5,$Q$6:$Q$505,0)),"")</f>
        <v/>
      </c>
      <c r="D44" s="131"/>
      <c r="E44" s="131"/>
      <c r="F44" s="131"/>
      <c r="I44" s="119" t="n">
        <v>39</v>
      </c>
      <c r="J44" s="119" t="str">
        <f aca="false">IFERROR(IF(INDEX(Rider_Input[Rider ID],I44)="","",INDEX(Rider_Input[Rider ID],I44)),"")</f>
        <v/>
      </c>
      <c r="K44" s="119" t="str">
        <f aca="false">IF(J44="","",IFERROR(MATCH(J44,INDEX(RLVL_Data,0,c_RLVL_ID),0),""))</f>
        <v/>
      </c>
      <c r="L44" s="119" t="str">
        <f aca="false">IF(J44="","",IF(ISNUMBER(MATCH(J44,Rider_Master[Rider ID],0)),1,0))</f>
        <v/>
      </c>
      <c r="M44" s="119" t="str">
        <f aca="false">IF(J44="","",INDEX(Rider_Input[Completed Orders],I44))</f>
        <v/>
      </c>
      <c r="N44" s="119" t="str">
        <f aca="false">IF(OR(J44="",K44=""),"",IFERROR(INDEX(RLVL_Data,K44,c_RLVL_Orders),""))</f>
        <v/>
      </c>
      <c r="O44" s="119" t="str">
        <f aca="false">IF(J44="","",IF(COUNTIF($J$6:$J$505,J44)&gt;1,1,0))</f>
        <v/>
      </c>
      <c r="P44" s="119" t="str">
        <f aca="false">IF(J44="","",IF(K44="","Not found in Paste_RLVL – deductions set to 0; ","")&amp;IF(L44=0,"New rider (not in Rider_Master) – OK, shown as Rider &lt;ID&gt;; ","")&amp;IF(AND(N44&lt;&gt;"",N44&lt;&gt;M44),"Orders differ: FTR "&amp;M44&amp;" vs RLVL "&amp;N44&amp;"; ","")&amp;IF(O44=1,"Duplicate Rider ID; ",""))</f>
        <v/>
      </c>
      <c r="Q44" s="119" t="str">
        <f aca="false">IF(P44="","",COUNTIF(P$6:P44,"?*"))</f>
        <v/>
      </c>
    </row>
    <row r="45" customFormat="false" ht="15" hidden="false" customHeight="false" outlineLevel="0" collapsed="false">
      <c r="B45" s="130" t="str">
        <f aca="false">IFERROR(INDEX($J$6:$J$505,MATCH(6,$Q$6:$Q$505,0)),"")</f>
        <v/>
      </c>
      <c r="C45" s="131" t="str">
        <f aca="false">IFERROR(INDEX($P$6:$P$505,MATCH(6,$Q$6:$Q$505,0)),"")</f>
        <v/>
      </c>
      <c r="D45" s="131"/>
      <c r="E45" s="131"/>
      <c r="F45" s="131"/>
      <c r="I45" s="119" t="n">
        <v>40</v>
      </c>
      <c r="J45" s="119" t="str">
        <f aca="false">IFERROR(IF(INDEX(Rider_Input[Rider ID],I45)="","",INDEX(Rider_Input[Rider ID],I45)),"")</f>
        <v/>
      </c>
      <c r="K45" s="119" t="str">
        <f aca="false">IF(J45="","",IFERROR(MATCH(J45,INDEX(RLVL_Data,0,c_RLVL_ID),0),""))</f>
        <v/>
      </c>
      <c r="L45" s="119" t="str">
        <f aca="false">IF(J45="","",IF(ISNUMBER(MATCH(J45,Rider_Master[Rider ID],0)),1,0))</f>
        <v/>
      </c>
      <c r="M45" s="119" t="str">
        <f aca="false">IF(J45="","",INDEX(Rider_Input[Completed Orders],I45))</f>
        <v/>
      </c>
      <c r="N45" s="119" t="str">
        <f aca="false">IF(OR(J45="",K45=""),"",IFERROR(INDEX(RLVL_Data,K45,c_RLVL_Orders),""))</f>
        <v/>
      </c>
      <c r="O45" s="119" t="str">
        <f aca="false">IF(J45="","",IF(COUNTIF($J$6:$J$505,J45)&gt;1,1,0))</f>
        <v/>
      </c>
      <c r="P45" s="119" t="str">
        <f aca="false">IF(J45="","",IF(K45="","Not found in Paste_RLVL – deductions set to 0; ","")&amp;IF(L45=0,"New rider (not in Rider_Master) – OK, shown as Rider &lt;ID&gt;; ","")&amp;IF(AND(N45&lt;&gt;"",N45&lt;&gt;M45),"Orders differ: FTR "&amp;M45&amp;" vs RLVL "&amp;N45&amp;"; ","")&amp;IF(O45=1,"Duplicate Rider ID; ",""))</f>
        <v/>
      </c>
      <c r="Q45" s="119" t="str">
        <f aca="false">IF(P45="","",COUNTIF(P$6:P45,"?*"))</f>
        <v/>
      </c>
    </row>
    <row r="46" customFormat="false" ht="15" hidden="false" customHeight="false" outlineLevel="0" collapsed="false">
      <c r="B46" s="130" t="str">
        <f aca="false">IFERROR(INDEX($J$6:$J$505,MATCH(7,$Q$6:$Q$505,0)),"")</f>
        <v/>
      </c>
      <c r="C46" s="131" t="str">
        <f aca="false">IFERROR(INDEX($P$6:$P$505,MATCH(7,$Q$6:$Q$505,0)),"")</f>
        <v/>
      </c>
      <c r="D46" s="131"/>
      <c r="E46" s="131"/>
      <c r="F46" s="131"/>
      <c r="I46" s="119" t="n">
        <v>41</v>
      </c>
      <c r="J46" s="119" t="str">
        <f aca="false">IFERROR(IF(INDEX(Rider_Input[Rider ID],I46)="","",INDEX(Rider_Input[Rider ID],I46)),"")</f>
        <v/>
      </c>
      <c r="K46" s="119" t="str">
        <f aca="false">IF(J46="","",IFERROR(MATCH(J46,INDEX(RLVL_Data,0,c_RLVL_ID),0),""))</f>
        <v/>
      </c>
      <c r="L46" s="119" t="str">
        <f aca="false">IF(J46="","",IF(ISNUMBER(MATCH(J46,Rider_Master[Rider ID],0)),1,0))</f>
        <v/>
      </c>
      <c r="M46" s="119" t="str">
        <f aca="false">IF(J46="","",INDEX(Rider_Input[Completed Orders],I46))</f>
        <v/>
      </c>
      <c r="N46" s="119" t="str">
        <f aca="false">IF(OR(J46="",K46=""),"",IFERROR(INDEX(RLVL_Data,K46,c_RLVL_Orders),""))</f>
        <v/>
      </c>
      <c r="O46" s="119" t="str">
        <f aca="false">IF(J46="","",IF(COUNTIF($J$6:$J$505,J46)&gt;1,1,0))</f>
        <v/>
      </c>
      <c r="P46" s="119" t="str">
        <f aca="false">IF(J46="","",IF(K46="","Not found in Paste_RLVL – deductions set to 0; ","")&amp;IF(L46=0,"New rider (not in Rider_Master) – OK, shown as Rider &lt;ID&gt;; ","")&amp;IF(AND(N46&lt;&gt;"",N46&lt;&gt;M46),"Orders differ: FTR "&amp;M46&amp;" vs RLVL "&amp;N46&amp;"; ","")&amp;IF(O46=1,"Duplicate Rider ID; ",""))</f>
        <v/>
      </c>
      <c r="Q46" s="119" t="str">
        <f aca="false">IF(P46="","",COUNTIF(P$6:P46,"?*"))</f>
        <v/>
      </c>
    </row>
    <row r="47" customFormat="false" ht="15" hidden="false" customHeight="false" outlineLevel="0" collapsed="false">
      <c r="B47" s="130" t="str">
        <f aca="false">IFERROR(INDEX($J$6:$J$505,MATCH(8,$Q$6:$Q$505,0)),"")</f>
        <v/>
      </c>
      <c r="C47" s="131" t="str">
        <f aca="false">IFERROR(INDEX($P$6:$P$505,MATCH(8,$Q$6:$Q$505,0)),"")</f>
        <v/>
      </c>
      <c r="D47" s="131"/>
      <c r="E47" s="131"/>
      <c r="F47" s="131"/>
      <c r="I47" s="119" t="n">
        <v>42</v>
      </c>
      <c r="J47" s="119" t="str">
        <f aca="false">IFERROR(IF(INDEX(Rider_Input[Rider ID],I47)="","",INDEX(Rider_Input[Rider ID],I47)),"")</f>
        <v/>
      </c>
      <c r="K47" s="119" t="str">
        <f aca="false">IF(J47="","",IFERROR(MATCH(J47,INDEX(RLVL_Data,0,c_RLVL_ID),0),""))</f>
        <v/>
      </c>
      <c r="L47" s="119" t="str">
        <f aca="false">IF(J47="","",IF(ISNUMBER(MATCH(J47,Rider_Master[Rider ID],0)),1,0))</f>
        <v/>
      </c>
      <c r="M47" s="119" t="str">
        <f aca="false">IF(J47="","",INDEX(Rider_Input[Completed Orders],I47))</f>
        <v/>
      </c>
      <c r="N47" s="119" t="str">
        <f aca="false">IF(OR(J47="",K47=""),"",IFERROR(INDEX(RLVL_Data,K47,c_RLVL_Orders),""))</f>
        <v/>
      </c>
      <c r="O47" s="119" t="str">
        <f aca="false">IF(J47="","",IF(COUNTIF($J$6:$J$505,J47)&gt;1,1,0))</f>
        <v/>
      </c>
      <c r="P47" s="119" t="str">
        <f aca="false">IF(J47="","",IF(K47="","Not found in Paste_RLVL – deductions set to 0; ","")&amp;IF(L47=0,"New rider (not in Rider_Master) – OK, shown as Rider &lt;ID&gt;; ","")&amp;IF(AND(N47&lt;&gt;"",N47&lt;&gt;M47),"Orders differ: FTR "&amp;M47&amp;" vs RLVL "&amp;N47&amp;"; ","")&amp;IF(O47=1,"Duplicate Rider ID; ",""))</f>
        <v/>
      </c>
      <c r="Q47" s="119" t="str">
        <f aca="false">IF(P47="","",COUNTIF(P$6:P47,"?*"))</f>
        <v/>
      </c>
    </row>
    <row r="48" customFormat="false" ht="15" hidden="false" customHeight="false" outlineLevel="0" collapsed="false">
      <c r="B48" s="130" t="str">
        <f aca="false">IFERROR(INDEX($J$6:$J$505,MATCH(9,$Q$6:$Q$505,0)),"")</f>
        <v/>
      </c>
      <c r="C48" s="131" t="str">
        <f aca="false">IFERROR(INDEX($P$6:$P$505,MATCH(9,$Q$6:$Q$505,0)),"")</f>
        <v/>
      </c>
      <c r="D48" s="131"/>
      <c r="E48" s="131"/>
      <c r="F48" s="131"/>
      <c r="I48" s="119" t="n">
        <v>43</v>
      </c>
      <c r="J48" s="119" t="str">
        <f aca="false">IFERROR(IF(INDEX(Rider_Input[Rider ID],I48)="","",INDEX(Rider_Input[Rider ID],I48)),"")</f>
        <v/>
      </c>
      <c r="K48" s="119" t="str">
        <f aca="false">IF(J48="","",IFERROR(MATCH(J48,INDEX(RLVL_Data,0,c_RLVL_ID),0),""))</f>
        <v/>
      </c>
      <c r="L48" s="119" t="str">
        <f aca="false">IF(J48="","",IF(ISNUMBER(MATCH(J48,Rider_Master[Rider ID],0)),1,0))</f>
        <v/>
      </c>
      <c r="M48" s="119" t="str">
        <f aca="false">IF(J48="","",INDEX(Rider_Input[Completed Orders],I48))</f>
        <v/>
      </c>
      <c r="N48" s="119" t="str">
        <f aca="false">IF(OR(J48="",K48=""),"",IFERROR(INDEX(RLVL_Data,K48,c_RLVL_Orders),""))</f>
        <v/>
      </c>
      <c r="O48" s="119" t="str">
        <f aca="false">IF(J48="","",IF(COUNTIF($J$6:$J$505,J48)&gt;1,1,0))</f>
        <v/>
      </c>
      <c r="P48" s="119" t="str">
        <f aca="false">IF(J48="","",IF(K48="","Not found in Paste_RLVL – deductions set to 0; ","")&amp;IF(L48=0,"New rider (not in Rider_Master) – OK, shown as Rider &lt;ID&gt;; ","")&amp;IF(AND(N48&lt;&gt;"",N48&lt;&gt;M48),"Orders differ: FTR "&amp;M48&amp;" vs RLVL "&amp;N48&amp;"; ","")&amp;IF(O48=1,"Duplicate Rider ID; ",""))</f>
        <v/>
      </c>
      <c r="Q48" s="119" t="str">
        <f aca="false">IF(P48="","",COUNTIF(P$6:P48,"?*"))</f>
        <v/>
      </c>
    </row>
    <row r="49" customFormat="false" ht="15" hidden="false" customHeight="false" outlineLevel="0" collapsed="false">
      <c r="B49" s="130" t="str">
        <f aca="false">IFERROR(INDEX($J$6:$J$505,MATCH(10,$Q$6:$Q$505,0)),"")</f>
        <v/>
      </c>
      <c r="C49" s="131" t="str">
        <f aca="false">IFERROR(INDEX($P$6:$P$505,MATCH(10,$Q$6:$Q$505,0)),"")</f>
        <v/>
      </c>
      <c r="D49" s="131"/>
      <c r="E49" s="131"/>
      <c r="F49" s="131"/>
      <c r="I49" s="119" t="n">
        <v>44</v>
      </c>
      <c r="J49" s="119" t="str">
        <f aca="false">IFERROR(IF(INDEX(Rider_Input[Rider ID],I49)="","",INDEX(Rider_Input[Rider ID],I49)),"")</f>
        <v/>
      </c>
      <c r="K49" s="119" t="str">
        <f aca="false">IF(J49="","",IFERROR(MATCH(J49,INDEX(RLVL_Data,0,c_RLVL_ID),0),""))</f>
        <v/>
      </c>
      <c r="L49" s="119" t="str">
        <f aca="false">IF(J49="","",IF(ISNUMBER(MATCH(J49,Rider_Master[Rider ID],0)),1,0))</f>
        <v/>
      </c>
      <c r="M49" s="119" t="str">
        <f aca="false">IF(J49="","",INDEX(Rider_Input[Completed Orders],I49))</f>
        <v/>
      </c>
      <c r="N49" s="119" t="str">
        <f aca="false">IF(OR(J49="",K49=""),"",IFERROR(INDEX(RLVL_Data,K49,c_RLVL_Orders),""))</f>
        <v/>
      </c>
      <c r="O49" s="119" t="str">
        <f aca="false">IF(J49="","",IF(COUNTIF($J$6:$J$505,J49)&gt;1,1,0))</f>
        <v/>
      </c>
      <c r="P49" s="119" t="str">
        <f aca="false">IF(J49="","",IF(K49="","Not found in Paste_RLVL – deductions set to 0; ","")&amp;IF(L49=0,"New rider (not in Rider_Master) – OK, shown as Rider &lt;ID&gt;; ","")&amp;IF(AND(N49&lt;&gt;"",N49&lt;&gt;M49),"Orders differ: FTR "&amp;M49&amp;" vs RLVL "&amp;N49&amp;"; ","")&amp;IF(O49=1,"Duplicate Rider ID; ",""))</f>
        <v/>
      </c>
      <c r="Q49" s="119" t="str">
        <f aca="false">IF(P49="","",COUNTIF(P$6:P49,"?*"))</f>
        <v/>
      </c>
    </row>
    <row r="50" customFormat="false" ht="15" hidden="false" customHeight="false" outlineLevel="0" collapsed="false">
      <c r="B50" s="130" t="str">
        <f aca="false">IFERROR(INDEX($J$6:$J$505,MATCH(11,$Q$6:$Q$505,0)),"")</f>
        <v/>
      </c>
      <c r="C50" s="131" t="str">
        <f aca="false">IFERROR(INDEX($P$6:$P$505,MATCH(11,$Q$6:$Q$505,0)),"")</f>
        <v/>
      </c>
      <c r="D50" s="131"/>
      <c r="E50" s="131"/>
      <c r="F50" s="131"/>
      <c r="I50" s="119" t="n">
        <v>45</v>
      </c>
      <c r="J50" s="119" t="str">
        <f aca="false">IFERROR(IF(INDEX(Rider_Input[Rider ID],I50)="","",INDEX(Rider_Input[Rider ID],I50)),"")</f>
        <v/>
      </c>
      <c r="K50" s="119" t="str">
        <f aca="false">IF(J50="","",IFERROR(MATCH(J50,INDEX(RLVL_Data,0,c_RLVL_ID),0),""))</f>
        <v/>
      </c>
      <c r="L50" s="119" t="str">
        <f aca="false">IF(J50="","",IF(ISNUMBER(MATCH(J50,Rider_Master[Rider ID],0)),1,0))</f>
        <v/>
      </c>
      <c r="M50" s="119" t="str">
        <f aca="false">IF(J50="","",INDEX(Rider_Input[Completed Orders],I50))</f>
        <v/>
      </c>
      <c r="N50" s="119" t="str">
        <f aca="false">IF(OR(J50="",K50=""),"",IFERROR(INDEX(RLVL_Data,K50,c_RLVL_Orders),""))</f>
        <v/>
      </c>
      <c r="O50" s="119" t="str">
        <f aca="false">IF(J50="","",IF(COUNTIF($J$6:$J$505,J50)&gt;1,1,0))</f>
        <v/>
      </c>
      <c r="P50" s="119" t="str">
        <f aca="false">IF(J50="","",IF(K50="","Not found in Paste_RLVL – deductions set to 0; ","")&amp;IF(L50=0,"New rider (not in Rider_Master) – OK, shown as Rider &lt;ID&gt;; ","")&amp;IF(AND(N50&lt;&gt;"",N50&lt;&gt;M50),"Orders differ: FTR "&amp;M50&amp;" vs RLVL "&amp;N50&amp;"; ","")&amp;IF(O50=1,"Duplicate Rider ID; ",""))</f>
        <v/>
      </c>
      <c r="Q50" s="119" t="str">
        <f aca="false">IF(P50="","",COUNTIF(P$6:P50,"?*"))</f>
        <v/>
      </c>
    </row>
    <row r="51" customFormat="false" ht="15" hidden="false" customHeight="false" outlineLevel="0" collapsed="false">
      <c r="B51" s="130" t="str">
        <f aca="false">IFERROR(INDEX($J$6:$J$505,MATCH(12,$Q$6:$Q$505,0)),"")</f>
        <v/>
      </c>
      <c r="C51" s="131" t="str">
        <f aca="false">IFERROR(INDEX($P$6:$P$505,MATCH(12,$Q$6:$Q$505,0)),"")</f>
        <v/>
      </c>
      <c r="D51" s="131"/>
      <c r="E51" s="131"/>
      <c r="F51" s="131"/>
      <c r="I51" s="119" t="n">
        <v>46</v>
      </c>
      <c r="J51" s="119" t="str">
        <f aca="false">IFERROR(IF(INDEX(Rider_Input[Rider ID],I51)="","",INDEX(Rider_Input[Rider ID],I51)),"")</f>
        <v/>
      </c>
      <c r="K51" s="119" t="str">
        <f aca="false">IF(J51="","",IFERROR(MATCH(J51,INDEX(RLVL_Data,0,c_RLVL_ID),0),""))</f>
        <v/>
      </c>
      <c r="L51" s="119" t="str">
        <f aca="false">IF(J51="","",IF(ISNUMBER(MATCH(J51,Rider_Master[Rider ID],0)),1,0))</f>
        <v/>
      </c>
      <c r="M51" s="119" t="str">
        <f aca="false">IF(J51="","",INDEX(Rider_Input[Completed Orders],I51))</f>
        <v/>
      </c>
      <c r="N51" s="119" t="str">
        <f aca="false">IF(OR(J51="",K51=""),"",IFERROR(INDEX(RLVL_Data,K51,c_RLVL_Orders),""))</f>
        <v/>
      </c>
      <c r="O51" s="119" t="str">
        <f aca="false">IF(J51="","",IF(COUNTIF($J$6:$J$505,J51)&gt;1,1,0))</f>
        <v/>
      </c>
      <c r="P51" s="119" t="str">
        <f aca="false">IF(J51="","",IF(K51="","Not found in Paste_RLVL – deductions set to 0; ","")&amp;IF(L51=0,"New rider (not in Rider_Master) – OK, shown as Rider &lt;ID&gt;; ","")&amp;IF(AND(N51&lt;&gt;"",N51&lt;&gt;M51),"Orders differ: FTR "&amp;M51&amp;" vs RLVL "&amp;N51&amp;"; ","")&amp;IF(O51=1,"Duplicate Rider ID; ",""))</f>
        <v/>
      </c>
      <c r="Q51" s="119" t="str">
        <f aca="false">IF(P51="","",COUNTIF(P$6:P51,"?*"))</f>
        <v/>
      </c>
    </row>
    <row r="52" customFormat="false" ht="15" hidden="false" customHeight="false" outlineLevel="0" collapsed="false">
      <c r="B52" s="130" t="str">
        <f aca="false">IFERROR(INDEX($J$6:$J$505,MATCH(13,$Q$6:$Q$505,0)),"")</f>
        <v/>
      </c>
      <c r="C52" s="131" t="str">
        <f aca="false">IFERROR(INDEX($P$6:$P$505,MATCH(13,$Q$6:$Q$505,0)),"")</f>
        <v/>
      </c>
      <c r="D52" s="131"/>
      <c r="E52" s="131"/>
      <c r="F52" s="131"/>
      <c r="I52" s="119" t="n">
        <v>47</v>
      </c>
      <c r="J52" s="119" t="str">
        <f aca="false">IFERROR(IF(INDEX(Rider_Input[Rider ID],I52)="","",INDEX(Rider_Input[Rider ID],I52)),"")</f>
        <v/>
      </c>
      <c r="K52" s="119" t="str">
        <f aca="false">IF(J52="","",IFERROR(MATCH(J52,INDEX(RLVL_Data,0,c_RLVL_ID),0),""))</f>
        <v/>
      </c>
      <c r="L52" s="119" t="str">
        <f aca="false">IF(J52="","",IF(ISNUMBER(MATCH(J52,Rider_Master[Rider ID],0)),1,0))</f>
        <v/>
      </c>
      <c r="M52" s="119" t="str">
        <f aca="false">IF(J52="","",INDEX(Rider_Input[Completed Orders],I52))</f>
        <v/>
      </c>
      <c r="N52" s="119" t="str">
        <f aca="false">IF(OR(J52="",K52=""),"",IFERROR(INDEX(RLVL_Data,K52,c_RLVL_Orders),""))</f>
        <v/>
      </c>
      <c r="O52" s="119" t="str">
        <f aca="false">IF(J52="","",IF(COUNTIF($J$6:$J$505,J52)&gt;1,1,0))</f>
        <v/>
      </c>
      <c r="P52" s="119" t="str">
        <f aca="false">IF(J52="","",IF(K52="","Not found in Paste_RLVL – deductions set to 0; ","")&amp;IF(L52=0,"New rider (not in Rider_Master) – OK, shown as Rider &lt;ID&gt;; ","")&amp;IF(AND(N52&lt;&gt;"",N52&lt;&gt;M52),"Orders differ: FTR "&amp;M52&amp;" vs RLVL "&amp;N52&amp;"; ","")&amp;IF(O52=1,"Duplicate Rider ID; ",""))</f>
        <v/>
      </c>
      <c r="Q52" s="119" t="str">
        <f aca="false">IF(P52="","",COUNTIF(P$6:P52,"?*"))</f>
        <v/>
      </c>
    </row>
    <row r="53" customFormat="false" ht="15" hidden="false" customHeight="false" outlineLevel="0" collapsed="false">
      <c r="B53" s="130" t="str">
        <f aca="false">IFERROR(INDEX($J$6:$J$505,MATCH(14,$Q$6:$Q$505,0)),"")</f>
        <v/>
      </c>
      <c r="C53" s="131" t="str">
        <f aca="false">IFERROR(INDEX($P$6:$P$505,MATCH(14,$Q$6:$Q$505,0)),"")</f>
        <v/>
      </c>
      <c r="D53" s="131"/>
      <c r="E53" s="131"/>
      <c r="F53" s="131"/>
      <c r="I53" s="119" t="n">
        <v>48</v>
      </c>
      <c r="J53" s="119" t="str">
        <f aca="false">IFERROR(IF(INDEX(Rider_Input[Rider ID],I53)="","",INDEX(Rider_Input[Rider ID],I53)),"")</f>
        <v/>
      </c>
      <c r="K53" s="119" t="str">
        <f aca="false">IF(J53="","",IFERROR(MATCH(J53,INDEX(RLVL_Data,0,c_RLVL_ID),0),""))</f>
        <v/>
      </c>
      <c r="L53" s="119" t="str">
        <f aca="false">IF(J53="","",IF(ISNUMBER(MATCH(J53,Rider_Master[Rider ID],0)),1,0))</f>
        <v/>
      </c>
      <c r="M53" s="119" t="str">
        <f aca="false">IF(J53="","",INDEX(Rider_Input[Completed Orders],I53))</f>
        <v/>
      </c>
      <c r="N53" s="119" t="str">
        <f aca="false">IF(OR(J53="",K53=""),"",IFERROR(INDEX(RLVL_Data,K53,c_RLVL_Orders),""))</f>
        <v/>
      </c>
      <c r="O53" s="119" t="str">
        <f aca="false">IF(J53="","",IF(COUNTIF($J$6:$J$505,J53)&gt;1,1,0))</f>
        <v/>
      </c>
      <c r="P53" s="119" t="str">
        <f aca="false">IF(J53="","",IF(K53="","Not found in Paste_RLVL – deductions set to 0; ","")&amp;IF(L53=0,"New rider (not in Rider_Master) – OK, shown as Rider &lt;ID&gt;; ","")&amp;IF(AND(N53&lt;&gt;"",N53&lt;&gt;M53),"Orders differ: FTR "&amp;M53&amp;" vs RLVL "&amp;N53&amp;"; ","")&amp;IF(O53=1,"Duplicate Rider ID; ",""))</f>
        <v/>
      </c>
      <c r="Q53" s="119" t="str">
        <f aca="false">IF(P53="","",COUNTIF(P$6:P53,"?*"))</f>
        <v/>
      </c>
    </row>
    <row r="54" customFormat="false" ht="15" hidden="false" customHeight="false" outlineLevel="0" collapsed="false">
      <c r="B54" s="130" t="str">
        <f aca="false">IFERROR(INDEX($J$6:$J$505,MATCH(15,$Q$6:$Q$505,0)),"")</f>
        <v/>
      </c>
      <c r="C54" s="131" t="str">
        <f aca="false">IFERROR(INDEX($P$6:$P$505,MATCH(15,$Q$6:$Q$505,0)),"")</f>
        <v/>
      </c>
      <c r="D54" s="131"/>
      <c r="E54" s="131"/>
      <c r="F54" s="131"/>
      <c r="I54" s="119" t="n">
        <v>49</v>
      </c>
      <c r="J54" s="119" t="str">
        <f aca="false">IFERROR(IF(INDEX(Rider_Input[Rider ID],I54)="","",INDEX(Rider_Input[Rider ID],I54)),"")</f>
        <v/>
      </c>
      <c r="K54" s="119" t="str">
        <f aca="false">IF(J54="","",IFERROR(MATCH(J54,INDEX(RLVL_Data,0,c_RLVL_ID),0),""))</f>
        <v/>
      </c>
      <c r="L54" s="119" t="str">
        <f aca="false">IF(J54="","",IF(ISNUMBER(MATCH(J54,Rider_Master[Rider ID],0)),1,0))</f>
        <v/>
      </c>
      <c r="M54" s="119" t="str">
        <f aca="false">IF(J54="","",INDEX(Rider_Input[Completed Orders],I54))</f>
        <v/>
      </c>
      <c r="N54" s="119" t="str">
        <f aca="false">IF(OR(J54="",K54=""),"",IFERROR(INDEX(RLVL_Data,K54,c_RLVL_Orders),""))</f>
        <v/>
      </c>
      <c r="O54" s="119" t="str">
        <f aca="false">IF(J54="","",IF(COUNTIF($J$6:$J$505,J54)&gt;1,1,0))</f>
        <v/>
      </c>
      <c r="P54" s="119" t="str">
        <f aca="false">IF(J54="","",IF(K54="","Not found in Paste_RLVL – deductions set to 0; ","")&amp;IF(L54=0,"New rider (not in Rider_Master) – OK, shown as Rider &lt;ID&gt;; ","")&amp;IF(AND(N54&lt;&gt;"",N54&lt;&gt;M54),"Orders differ: FTR "&amp;M54&amp;" vs RLVL "&amp;N54&amp;"; ","")&amp;IF(O54=1,"Duplicate Rider ID; ",""))</f>
        <v/>
      </c>
      <c r="Q54" s="119" t="str">
        <f aca="false">IF(P54="","",COUNTIF(P$6:P54,"?*"))</f>
        <v/>
      </c>
    </row>
    <row r="55" customFormat="false" ht="15" hidden="false" customHeight="false" outlineLevel="0" collapsed="false">
      <c r="B55" s="130" t="str">
        <f aca="false">IFERROR(INDEX($J$6:$J$505,MATCH(16,$Q$6:$Q$505,0)),"")</f>
        <v/>
      </c>
      <c r="C55" s="131" t="str">
        <f aca="false">IFERROR(INDEX($P$6:$P$505,MATCH(16,$Q$6:$Q$505,0)),"")</f>
        <v/>
      </c>
      <c r="D55" s="131"/>
      <c r="E55" s="131"/>
      <c r="F55" s="131"/>
      <c r="I55" s="119" t="n">
        <v>50</v>
      </c>
      <c r="J55" s="119" t="str">
        <f aca="false">IFERROR(IF(INDEX(Rider_Input[Rider ID],I55)="","",INDEX(Rider_Input[Rider ID],I55)),"")</f>
        <v/>
      </c>
      <c r="K55" s="119" t="str">
        <f aca="false">IF(J55="","",IFERROR(MATCH(J55,INDEX(RLVL_Data,0,c_RLVL_ID),0),""))</f>
        <v/>
      </c>
      <c r="L55" s="119" t="str">
        <f aca="false">IF(J55="","",IF(ISNUMBER(MATCH(J55,Rider_Master[Rider ID],0)),1,0))</f>
        <v/>
      </c>
      <c r="M55" s="119" t="str">
        <f aca="false">IF(J55="","",INDEX(Rider_Input[Completed Orders],I55))</f>
        <v/>
      </c>
      <c r="N55" s="119" t="str">
        <f aca="false">IF(OR(J55="",K55=""),"",IFERROR(INDEX(RLVL_Data,K55,c_RLVL_Orders),""))</f>
        <v/>
      </c>
      <c r="O55" s="119" t="str">
        <f aca="false">IF(J55="","",IF(COUNTIF($J$6:$J$505,J55)&gt;1,1,0))</f>
        <v/>
      </c>
      <c r="P55" s="119" t="str">
        <f aca="false">IF(J55="","",IF(K55="","Not found in Paste_RLVL – deductions set to 0; ","")&amp;IF(L55=0,"New rider (not in Rider_Master) – OK, shown as Rider &lt;ID&gt;; ","")&amp;IF(AND(N55&lt;&gt;"",N55&lt;&gt;M55),"Orders differ: FTR "&amp;M55&amp;" vs RLVL "&amp;N55&amp;"; ","")&amp;IF(O55=1,"Duplicate Rider ID; ",""))</f>
        <v/>
      </c>
      <c r="Q55" s="119" t="str">
        <f aca="false">IF(P55="","",COUNTIF(P$6:P55,"?*"))</f>
        <v/>
      </c>
    </row>
    <row r="56" customFormat="false" ht="15" hidden="false" customHeight="false" outlineLevel="0" collapsed="false">
      <c r="B56" s="130" t="str">
        <f aca="false">IFERROR(INDEX($J$6:$J$505,MATCH(17,$Q$6:$Q$505,0)),"")</f>
        <v/>
      </c>
      <c r="C56" s="131" t="str">
        <f aca="false">IFERROR(INDEX($P$6:$P$505,MATCH(17,$Q$6:$Q$505,0)),"")</f>
        <v/>
      </c>
      <c r="D56" s="131"/>
      <c r="E56" s="131"/>
      <c r="F56" s="131"/>
      <c r="I56" s="119" t="n">
        <v>51</v>
      </c>
      <c r="J56" s="119" t="str">
        <f aca="false">IFERROR(IF(INDEX(Rider_Input[Rider ID],I56)="","",INDEX(Rider_Input[Rider ID],I56)),"")</f>
        <v/>
      </c>
      <c r="K56" s="119" t="str">
        <f aca="false">IF(J56="","",IFERROR(MATCH(J56,INDEX(RLVL_Data,0,c_RLVL_ID),0),""))</f>
        <v/>
      </c>
      <c r="L56" s="119" t="str">
        <f aca="false">IF(J56="","",IF(ISNUMBER(MATCH(J56,Rider_Master[Rider ID],0)),1,0))</f>
        <v/>
      </c>
      <c r="M56" s="119" t="str">
        <f aca="false">IF(J56="","",INDEX(Rider_Input[Completed Orders],I56))</f>
        <v/>
      </c>
      <c r="N56" s="119" t="str">
        <f aca="false">IF(OR(J56="",K56=""),"",IFERROR(INDEX(RLVL_Data,K56,c_RLVL_Orders),""))</f>
        <v/>
      </c>
      <c r="O56" s="119" t="str">
        <f aca="false">IF(J56="","",IF(COUNTIF($J$6:$J$505,J56)&gt;1,1,0))</f>
        <v/>
      </c>
      <c r="P56" s="119" t="str">
        <f aca="false">IF(J56="","",IF(K56="","Not found in Paste_RLVL – deductions set to 0; ","")&amp;IF(L56=0,"New rider (not in Rider_Master) – OK, shown as Rider &lt;ID&gt;; ","")&amp;IF(AND(N56&lt;&gt;"",N56&lt;&gt;M56),"Orders differ: FTR "&amp;M56&amp;" vs RLVL "&amp;N56&amp;"; ","")&amp;IF(O56=1,"Duplicate Rider ID; ",""))</f>
        <v/>
      </c>
      <c r="Q56" s="119" t="str">
        <f aca="false">IF(P56="","",COUNTIF(P$6:P56,"?*"))</f>
        <v/>
      </c>
    </row>
    <row r="57" customFormat="false" ht="15" hidden="false" customHeight="false" outlineLevel="0" collapsed="false">
      <c r="B57" s="130" t="str">
        <f aca="false">IFERROR(INDEX($J$6:$J$505,MATCH(18,$Q$6:$Q$505,0)),"")</f>
        <v/>
      </c>
      <c r="C57" s="131" t="str">
        <f aca="false">IFERROR(INDEX($P$6:$P$505,MATCH(18,$Q$6:$Q$505,0)),"")</f>
        <v/>
      </c>
      <c r="D57" s="131"/>
      <c r="E57" s="131"/>
      <c r="F57" s="131"/>
      <c r="I57" s="119" t="n">
        <v>52</v>
      </c>
      <c r="J57" s="119" t="str">
        <f aca="false">IFERROR(IF(INDEX(Rider_Input[Rider ID],I57)="","",INDEX(Rider_Input[Rider ID],I57)),"")</f>
        <v/>
      </c>
      <c r="K57" s="119" t="str">
        <f aca="false">IF(J57="","",IFERROR(MATCH(J57,INDEX(RLVL_Data,0,c_RLVL_ID),0),""))</f>
        <v/>
      </c>
      <c r="L57" s="119" t="str">
        <f aca="false">IF(J57="","",IF(ISNUMBER(MATCH(J57,Rider_Master[Rider ID],0)),1,0))</f>
        <v/>
      </c>
      <c r="M57" s="119" t="str">
        <f aca="false">IF(J57="","",INDEX(Rider_Input[Completed Orders],I57))</f>
        <v/>
      </c>
      <c r="N57" s="119" t="str">
        <f aca="false">IF(OR(J57="",K57=""),"",IFERROR(INDEX(RLVL_Data,K57,c_RLVL_Orders),""))</f>
        <v/>
      </c>
      <c r="O57" s="119" t="str">
        <f aca="false">IF(J57="","",IF(COUNTIF($J$6:$J$505,J57)&gt;1,1,0))</f>
        <v/>
      </c>
      <c r="P57" s="119" t="str">
        <f aca="false">IF(J57="","",IF(K57="","Not found in Paste_RLVL – deductions set to 0; ","")&amp;IF(L57=0,"New rider (not in Rider_Master) – OK, shown as Rider &lt;ID&gt;; ","")&amp;IF(AND(N57&lt;&gt;"",N57&lt;&gt;M57),"Orders differ: FTR "&amp;M57&amp;" vs RLVL "&amp;N57&amp;"; ","")&amp;IF(O57=1,"Duplicate Rider ID; ",""))</f>
        <v/>
      </c>
      <c r="Q57" s="119" t="str">
        <f aca="false">IF(P57="","",COUNTIF(P$6:P57,"?*"))</f>
        <v/>
      </c>
    </row>
    <row r="58" customFormat="false" ht="15" hidden="false" customHeight="false" outlineLevel="0" collapsed="false">
      <c r="B58" s="130" t="str">
        <f aca="false">IFERROR(INDEX($J$6:$J$505,MATCH(19,$Q$6:$Q$505,0)),"")</f>
        <v/>
      </c>
      <c r="C58" s="131" t="str">
        <f aca="false">IFERROR(INDEX($P$6:$P$505,MATCH(19,$Q$6:$Q$505,0)),"")</f>
        <v/>
      </c>
      <c r="D58" s="131"/>
      <c r="E58" s="131"/>
      <c r="F58" s="131"/>
      <c r="I58" s="119" t="n">
        <v>53</v>
      </c>
      <c r="J58" s="119" t="str">
        <f aca="false">IFERROR(IF(INDEX(Rider_Input[Rider ID],I58)="","",INDEX(Rider_Input[Rider ID],I58)),"")</f>
        <v/>
      </c>
      <c r="K58" s="119" t="str">
        <f aca="false">IF(J58="","",IFERROR(MATCH(J58,INDEX(RLVL_Data,0,c_RLVL_ID),0),""))</f>
        <v/>
      </c>
      <c r="L58" s="119" t="str">
        <f aca="false">IF(J58="","",IF(ISNUMBER(MATCH(J58,Rider_Master[Rider ID],0)),1,0))</f>
        <v/>
      </c>
      <c r="M58" s="119" t="str">
        <f aca="false">IF(J58="","",INDEX(Rider_Input[Completed Orders],I58))</f>
        <v/>
      </c>
      <c r="N58" s="119" t="str">
        <f aca="false">IF(OR(J58="",K58=""),"",IFERROR(INDEX(RLVL_Data,K58,c_RLVL_Orders),""))</f>
        <v/>
      </c>
      <c r="O58" s="119" t="str">
        <f aca="false">IF(J58="","",IF(COUNTIF($J$6:$J$505,J58)&gt;1,1,0))</f>
        <v/>
      </c>
      <c r="P58" s="119" t="str">
        <f aca="false">IF(J58="","",IF(K58="","Not found in Paste_RLVL – deductions set to 0; ","")&amp;IF(L58=0,"New rider (not in Rider_Master) – OK, shown as Rider &lt;ID&gt;; ","")&amp;IF(AND(N58&lt;&gt;"",N58&lt;&gt;M58),"Orders differ: FTR "&amp;M58&amp;" vs RLVL "&amp;N58&amp;"; ","")&amp;IF(O58=1,"Duplicate Rider ID; ",""))</f>
        <v/>
      </c>
      <c r="Q58" s="119" t="str">
        <f aca="false">IF(P58="","",COUNTIF(P$6:P58,"?*"))</f>
        <v/>
      </c>
    </row>
    <row r="59" customFormat="false" ht="15" hidden="false" customHeight="false" outlineLevel="0" collapsed="false">
      <c r="B59" s="130" t="str">
        <f aca="false">IFERROR(INDEX($J$6:$J$505,MATCH(20,$Q$6:$Q$505,0)),"")</f>
        <v/>
      </c>
      <c r="C59" s="131" t="str">
        <f aca="false">IFERROR(INDEX($P$6:$P$505,MATCH(20,$Q$6:$Q$505,0)),"")</f>
        <v/>
      </c>
      <c r="D59" s="131"/>
      <c r="E59" s="131"/>
      <c r="F59" s="131"/>
      <c r="I59" s="119" t="n">
        <v>54</v>
      </c>
      <c r="J59" s="119" t="str">
        <f aca="false">IFERROR(IF(INDEX(Rider_Input[Rider ID],I59)="","",INDEX(Rider_Input[Rider ID],I59)),"")</f>
        <v/>
      </c>
      <c r="K59" s="119" t="str">
        <f aca="false">IF(J59="","",IFERROR(MATCH(J59,INDEX(RLVL_Data,0,c_RLVL_ID),0),""))</f>
        <v/>
      </c>
      <c r="L59" s="119" t="str">
        <f aca="false">IF(J59="","",IF(ISNUMBER(MATCH(J59,Rider_Master[Rider ID],0)),1,0))</f>
        <v/>
      </c>
      <c r="M59" s="119" t="str">
        <f aca="false">IF(J59="","",INDEX(Rider_Input[Completed Orders],I59))</f>
        <v/>
      </c>
      <c r="N59" s="119" t="str">
        <f aca="false">IF(OR(J59="",K59=""),"",IFERROR(INDEX(RLVL_Data,K59,c_RLVL_Orders),""))</f>
        <v/>
      </c>
      <c r="O59" s="119" t="str">
        <f aca="false">IF(J59="","",IF(COUNTIF($J$6:$J$505,J59)&gt;1,1,0))</f>
        <v/>
      </c>
      <c r="P59" s="119" t="str">
        <f aca="false">IF(J59="","",IF(K59="","Not found in Paste_RLVL – deductions set to 0; ","")&amp;IF(L59=0,"New rider (not in Rider_Master) – OK, shown as Rider &lt;ID&gt;; ","")&amp;IF(AND(N59&lt;&gt;"",N59&lt;&gt;M59),"Orders differ: FTR "&amp;M59&amp;" vs RLVL "&amp;N59&amp;"; ","")&amp;IF(O59=1,"Duplicate Rider ID; ",""))</f>
        <v/>
      </c>
      <c r="Q59" s="119" t="str">
        <f aca="false">IF(P59="","",COUNTIF(P$6:P59,"?*"))</f>
        <v/>
      </c>
    </row>
    <row r="60" customFormat="false" ht="15" hidden="false" customHeight="false" outlineLevel="0" collapsed="false">
      <c r="B60" s="130" t="str">
        <f aca="false">IFERROR(INDEX($J$6:$J$505,MATCH(21,$Q$6:$Q$505,0)),"")</f>
        <v/>
      </c>
      <c r="C60" s="131" t="str">
        <f aca="false">IFERROR(INDEX($P$6:$P$505,MATCH(21,$Q$6:$Q$505,0)),"")</f>
        <v/>
      </c>
      <c r="D60" s="131"/>
      <c r="E60" s="131"/>
      <c r="F60" s="131"/>
      <c r="I60" s="119" t="n">
        <v>55</v>
      </c>
      <c r="J60" s="119" t="str">
        <f aca="false">IFERROR(IF(INDEX(Rider_Input[Rider ID],I60)="","",INDEX(Rider_Input[Rider ID],I60)),"")</f>
        <v/>
      </c>
      <c r="K60" s="119" t="str">
        <f aca="false">IF(J60="","",IFERROR(MATCH(J60,INDEX(RLVL_Data,0,c_RLVL_ID),0),""))</f>
        <v/>
      </c>
      <c r="L60" s="119" t="str">
        <f aca="false">IF(J60="","",IF(ISNUMBER(MATCH(J60,Rider_Master[Rider ID],0)),1,0))</f>
        <v/>
      </c>
      <c r="M60" s="119" t="str">
        <f aca="false">IF(J60="","",INDEX(Rider_Input[Completed Orders],I60))</f>
        <v/>
      </c>
      <c r="N60" s="119" t="str">
        <f aca="false">IF(OR(J60="",K60=""),"",IFERROR(INDEX(RLVL_Data,K60,c_RLVL_Orders),""))</f>
        <v/>
      </c>
      <c r="O60" s="119" t="str">
        <f aca="false">IF(J60="","",IF(COUNTIF($J$6:$J$505,J60)&gt;1,1,0))</f>
        <v/>
      </c>
      <c r="P60" s="119" t="str">
        <f aca="false">IF(J60="","",IF(K60="","Not found in Paste_RLVL – deductions set to 0; ","")&amp;IF(L60=0,"New rider (not in Rider_Master) – OK, shown as Rider &lt;ID&gt;; ","")&amp;IF(AND(N60&lt;&gt;"",N60&lt;&gt;M60),"Orders differ: FTR "&amp;M60&amp;" vs RLVL "&amp;N60&amp;"; ","")&amp;IF(O60=1,"Duplicate Rider ID; ",""))</f>
        <v/>
      </c>
      <c r="Q60" s="119" t="str">
        <f aca="false">IF(P60="","",COUNTIF(P$6:P60,"?*"))</f>
        <v/>
      </c>
    </row>
    <row r="61" customFormat="false" ht="15" hidden="false" customHeight="false" outlineLevel="0" collapsed="false">
      <c r="B61" s="130" t="str">
        <f aca="false">IFERROR(INDEX($J$6:$J$505,MATCH(22,$Q$6:$Q$505,0)),"")</f>
        <v/>
      </c>
      <c r="C61" s="131" t="str">
        <f aca="false">IFERROR(INDEX($P$6:$P$505,MATCH(22,$Q$6:$Q$505,0)),"")</f>
        <v/>
      </c>
      <c r="D61" s="131"/>
      <c r="E61" s="131"/>
      <c r="F61" s="131"/>
      <c r="I61" s="119" t="n">
        <v>56</v>
      </c>
      <c r="J61" s="119" t="str">
        <f aca="false">IFERROR(IF(INDEX(Rider_Input[Rider ID],I61)="","",INDEX(Rider_Input[Rider ID],I61)),"")</f>
        <v/>
      </c>
      <c r="K61" s="119" t="str">
        <f aca="false">IF(J61="","",IFERROR(MATCH(J61,INDEX(RLVL_Data,0,c_RLVL_ID),0),""))</f>
        <v/>
      </c>
      <c r="L61" s="119" t="str">
        <f aca="false">IF(J61="","",IF(ISNUMBER(MATCH(J61,Rider_Master[Rider ID],0)),1,0))</f>
        <v/>
      </c>
      <c r="M61" s="119" t="str">
        <f aca="false">IF(J61="","",INDEX(Rider_Input[Completed Orders],I61))</f>
        <v/>
      </c>
      <c r="N61" s="119" t="str">
        <f aca="false">IF(OR(J61="",K61=""),"",IFERROR(INDEX(RLVL_Data,K61,c_RLVL_Orders),""))</f>
        <v/>
      </c>
      <c r="O61" s="119" t="str">
        <f aca="false">IF(J61="","",IF(COUNTIF($J$6:$J$505,J61)&gt;1,1,0))</f>
        <v/>
      </c>
      <c r="P61" s="119" t="str">
        <f aca="false">IF(J61="","",IF(K61="","Not found in Paste_RLVL – deductions set to 0; ","")&amp;IF(L61=0,"New rider (not in Rider_Master) – OK, shown as Rider &lt;ID&gt;; ","")&amp;IF(AND(N61&lt;&gt;"",N61&lt;&gt;M61),"Orders differ: FTR "&amp;M61&amp;" vs RLVL "&amp;N61&amp;"; ","")&amp;IF(O61=1,"Duplicate Rider ID; ",""))</f>
        <v/>
      </c>
      <c r="Q61" s="119" t="str">
        <f aca="false">IF(P61="","",COUNTIF(P$6:P61,"?*"))</f>
        <v/>
      </c>
    </row>
    <row r="62" customFormat="false" ht="15" hidden="false" customHeight="false" outlineLevel="0" collapsed="false">
      <c r="B62" s="130" t="str">
        <f aca="false">IFERROR(INDEX($J$6:$J$505,MATCH(23,$Q$6:$Q$505,0)),"")</f>
        <v/>
      </c>
      <c r="C62" s="131" t="str">
        <f aca="false">IFERROR(INDEX($P$6:$P$505,MATCH(23,$Q$6:$Q$505,0)),"")</f>
        <v/>
      </c>
      <c r="D62" s="131"/>
      <c r="E62" s="131"/>
      <c r="F62" s="131"/>
      <c r="I62" s="119" t="n">
        <v>57</v>
      </c>
      <c r="J62" s="119" t="str">
        <f aca="false">IFERROR(IF(INDEX(Rider_Input[Rider ID],I62)="","",INDEX(Rider_Input[Rider ID],I62)),"")</f>
        <v/>
      </c>
      <c r="K62" s="119" t="str">
        <f aca="false">IF(J62="","",IFERROR(MATCH(J62,INDEX(RLVL_Data,0,c_RLVL_ID),0),""))</f>
        <v/>
      </c>
      <c r="L62" s="119" t="str">
        <f aca="false">IF(J62="","",IF(ISNUMBER(MATCH(J62,Rider_Master[Rider ID],0)),1,0))</f>
        <v/>
      </c>
      <c r="M62" s="119" t="str">
        <f aca="false">IF(J62="","",INDEX(Rider_Input[Completed Orders],I62))</f>
        <v/>
      </c>
      <c r="N62" s="119" t="str">
        <f aca="false">IF(OR(J62="",K62=""),"",IFERROR(INDEX(RLVL_Data,K62,c_RLVL_Orders),""))</f>
        <v/>
      </c>
      <c r="O62" s="119" t="str">
        <f aca="false">IF(J62="","",IF(COUNTIF($J$6:$J$505,J62)&gt;1,1,0))</f>
        <v/>
      </c>
      <c r="P62" s="119" t="str">
        <f aca="false">IF(J62="","",IF(K62="","Not found in Paste_RLVL – deductions set to 0; ","")&amp;IF(L62=0,"New rider (not in Rider_Master) – OK, shown as Rider &lt;ID&gt;; ","")&amp;IF(AND(N62&lt;&gt;"",N62&lt;&gt;M62),"Orders differ: FTR "&amp;M62&amp;" vs RLVL "&amp;N62&amp;"; ","")&amp;IF(O62=1,"Duplicate Rider ID; ",""))</f>
        <v/>
      </c>
      <c r="Q62" s="119" t="str">
        <f aca="false">IF(P62="","",COUNTIF(P$6:P62,"?*"))</f>
        <v/>
      </c>
    </row>
    <row r="63" customFormat="false" ht="15" hidden="false" customHeight="false" outlineLevel="0" collapsed="false">
      <c r="B63" s="130" t="str">
        <f aca="false">IFERROR(INDEX($J$6:$J$505,MATCH(24,$Q$6:$Q$505,0)),"")</f>
        <v/>
      </c>
      <c r="C63" s="131" t="str">
        <f aca="false">IFERROR(INDEX($P$6:$P$505,MATCH(24,$Q$6:$Q$505,0)),"")</f>
        <v/>
      </c>
      <c r="D63" s="131"/>
      <c r="E63" s="131"/>
      <c r="F63" s="131"/>
      <c r="I63" s="119" t="n">
        <v>58</v>
      </c>
      <c r="J63" s="119" t="str">
        <f aca="false">IFERROR(IF(INDEX(Rider_Input[Rider ID],I63)="","",INDEX(Rider_Input[Rider ID],I63)),"")</f>
        <v/>
      </c>
      <c r="K63" s="119" t="str">
        <f aca="false">IF(J63="","",IFERROR(MATCH(J63,INDEX(RLVL_Data,0,c_RLVL_ID),0),""))</f>
        <v/>
      </c>
      <c r="L63" s="119" t="str">
        <f aca="false">IF(J63="","",IF(ISNUMBER(MATCH(J63,Rider_Master[Rider ID],0)),1,0))</f>
        <v/>
      </c>
      <c r="M63" s="119" t="str">
        <f aca="false">IF(J63="","",INDEX(Rider_Input[Completed Orders],I63))</f>
        <v/>
      </c>
      <c r="N63" s="119" t="str">
        <f aca="false">IF(OR(J63="",K63=""),"",IFERROR(INDEX(RLVL_Data,K63,c_RLVL_Orders),""))</f>
        <v/>
      </c>
      <c r="O63" s="119" t="str">
        <f aca="false">IF(J63="","",IF(COUNTIF($J$6:$J$505,J63)&gt;1,1,0))</f>
        <v/>
      </c>
      <c r="P63" s="119" t="str">
        <f aca="false">IF(J63="","",IF(K63="","Not found in Paste_RLVL – deductions set to 0; ","")&amp;IF(L63=0,"New rider (not in Rider_Master) – OK, shown as Rider &lt;ID&gt;; ","")&amp;IF(AND(N63&lt;&gt;"",N63&lt;&gt;M63),"Orders differ: FTR "&amp;M63&amp;" vs RLVL "&amp;N63&amp;"; ","")&amp;IF(O63=1,"Duplicate Rider ID; ",""))</f>
        <v/>
      </c>
      <c r="Q63" s="119" t="str">
        <f aca="false">IF(P63="","",COUNTIF(P$6:P63,"?*"))</f>
        <v/>
      </c>
    </row>
    <row r="64" customFormat="false" ht="15" hidden="false" customHeight="false" outlineLevel="0" collapsed="false">
      <c r="B64" s="130" t="str">
        <f aca="false">IFERROR(INDEX($J$6:$J$505,MATCH(25,$Q$6:$Q$505,0)),"")</f>
        <v/>
      </c>
      <c r="C64" s="131" t="str">
        <f aca="false">IFERROR(INDEX($P$6:$P$505,MATCH(25,$Q$6:$Q$505,0)),"")</f>
        <v/>
      </c>
      <c r="D64" s="131"/>
      <c r="E64" s="131"/>
      <c r="F64" s="131"/>
      <c r="I64" s="119" t="n">
        <v>59</v>
      </c>
      <c r="J64" s="119" t="str">
        <f aca="false">IFERROR(IF(INDEX(Rider_Input[Rider ID],I64)="","",INDEX(Rider_Input[Rider ID],I64)),"")</f>
        <v/>
      </c>
      <c r="K64" s="119" t="str">
        <f aca="false">IF(J64="","",IFERROR(MATCH(J64,INDEX(RLVL_Data,0,c_RLVL_ID),0),""))</f>
        <v/>
      </c>
      <c r="L64" s="119" t="str">
        <f aca="false">IF(J64="","",IF(ISNUMBER(MATCH(J64,Rider_Master[Rider ID],0)),1,0))</f>
        <v/>
      </c>
      <c r="M64" s="119" t="str">
        <f aca="false">IF(J64="","",INDEX(Rider_Input[Completed Orders],I64))</f>
        <v/>
      </c>
      <c r="N64" s="119" t="str">
        <f aca="false">IF(OR(J64="",K64=""),"",IFERROR(INDEX(RLVL_Data,K64,c_RLVL_Orders),""))</f>
        <v/>
      </c>
      <c r="O64" s="119" t="str">
        <f aca="false">IF(J64="","",IF(COUNTIF($J$6:$J$505,J64)&gt;1,1,0))</f>
        <v/>
      </c>
      <c r="P64" s="119" t="str">
        <f aca="false">IF(J64="","",IF(K64="","Not found in Paste_RLVL – deductions set to 0; ","")&amp;IF(L64=0,"New rider (not in Rider_Master) – OK, shown as Rider &lt;ID&gt;; ","")&amp;IF(AND(N64&lt;&gt;"",N64&lt;&gt;M64),"Orders differ: FTR "&amp;M64&amp;" vs RLVL "&amp;N64&amp;"; ","")&amp;IF(O64=1,"Duplicate Rider ID; ",""))</f>
        <v/>
      </c>
      <c r="Q64" s="119" t="str">
        <f aca="false">IF(P64="","",COUNTIF(P$6:P64,"?*"))</f>
        <v/>
      </c>
    </row>
    <row r="65" customFormat="false" ht="15" hidden="false" customHeight="false" outlineLevel="0" collapsed="false">
      <c r="I65" s="119" t="n">
        <v>60</v>
      </c>
      <c r="J65" s="119" t="str">
        <f aca="false">IFERROR(IF(INDEX(Rider_Input[Rider ID],I65)="","",INDEX(Rider_Input[Rider ID],I65)),"")</f>
        <v/>
      </c>
      <c r="K65" s="119" t="str">
        <f aca="false">IF(J65="","",IFERROR(MATCH(J65,INDEX(RLVL_Data,0,c_RLVL_ID),0),""))</f>
        <v/>
      </c>
      <c r="L65" s="119" t="str">
        <f aca="false">IF(J65="","",IF(ISNUMBER(MATCH(J65,Rider_Master[Rider ID],0)),1,0))</f>
        <v/>
      </c>
      <c r="M65" s="119" t="str">
        <f aca="false">IF(J65="","",INDEX(Rider_Input[Completed Orders],I65))</f>
        <v/>
      </c>
      <c r="N65" s="119" t="str">
        <f aca="false">IF(OR(J65="",K65=""),"",IFERROR(INDEX(RLVL_Data,K65,c_RLVL_Orders),""))</f>
        <v/>
      </c>
      <c r="O65" s="119" t="str">
        <f aca="false">IF(J65="","",IF(COUNTIF($J$6:$J$505,J65)&gt;1,1,0))</f>
        <v/>
      </c>
      <c r="P65" s="119" t="str">
        <f aca="false">IF(J65="","",IF(K65="","Not found in Paste_RLVL – deductions set to 0; ","")&amp;IF(L65=0,"New rider (not in Rider_Master) – OK, shown as Rider &lt;ID&gt;; ","")&amp;IF(AND(N65&lt;&gt;"",N65&lt;&gt;M65),"Orders differ: FTR "&amp;M65&amp;" vs RLVL "&amp;N65&amp;"; ","")&amp;IF(O65=1,"Duplicate Rider ID; ",""))</f>
        <v/>
      </c>
      <c r="Q65" s="119" t="str">
        <f aca="false">IF(P65="","",COUNTIF(P$6:P65,"?*"))</f>
        <v/>
      </c>
    </row>
    <row r="66" customFormat="false" ht="15" hidden="false" customHeight="false" outlineLevel="0" collapsed="false">
      <c r="I66" s="119" t="n">
        <v>61</v>
      </c>
      <c r="J66" s="119" t="str">
        <f aca="false">IFERROR(IF(INDEX(Rider_Input[Rider ID],I66)="","",INDEX(Rider_Input[Rider ID],I66)),"")</f>
        <v/>
      </c>
      <c r="K66" s="119" t="str">
        <f aca="false">IF(J66="","",IFERROR(MATCH(J66,INDEX(RLVL_Data,0,c_RLVL_ID),0),""))</f>
        <v/>
      </c>
      <c r="L66" s="119" t="str">
        <f aca="false">IF(J66="","",IF(ISNUMBER(MATCH(J66,Rider_Master[Rider ID],0)),1,0))</f>
        <v/>
      </c>
      <c r="M66" s="119" t="str">
        <f aca="false">IF(J66="","",INDEX(Rider_Input[Completed Orders],I66))</f>
        <v/>
      </c>
      <c r="N66" s="119" t="str">
        <f aca="false">IF(OR(J66="",K66=""),"",IFERROR(INDEX(RLVL_Data,K66,c_RLVL_Orders),""))</f>
        <v/>
      </c>
      <c r="O66" s="119" t="str">
        <f aca="false">IF(J66="","",IF(COUNTIF($J$6:$J$505,J66)&gt;1,1,0))</f>
        <v/>
      </c>
      <c r="P66" s="119" t="str">
        <f aca="false">IF(J66="","",IF(K66="","Not found in Paste_RLVL – deductions set to 0; ","")&amp;IF(L66=0,"New rider (not in Rider_Master) – OK, shown as Rider &lt;ID&gt;; ","")&amp;IF(AND(N66&lt;&gt;"",N66&lt;&gt;M66),"Orders differ: FTR "&amp;M66&amp;" vs RLVL "&amp;N66&amp;"; ","")&amp;IF(O66=1,"Duplicate Rider ID; ",""))</f>
        <v/>
      </c>
      <c r="Q66" s="119" t="str">
        <f aca="false">IF(P66="","",COUNTIF(P$6:P66,"?*"))</f>
        <v/>
      </c>
    </row>
    <row r="67" customFormat="false" ht="15" hidden="false" customHeight="false" outlineLevel="0" collapsed="false">
      <c r="I67" s="119" t="n">
        <v>62</v>
      </c>
      <c r="J67" s="119" t="str">
        <f aca="false">IFERROR(IF(INDEX(Rider_Input[Rider ID],I67)="","",INDEX(Rider_Input[Rider ID],I67)),"")</f>
        <v/>
      </c>
      <c r="K67" s="119" t="str">
        <f aca="false">IF(J67="","",IFERROR(MATCH(J67,INDEX(RLVL_Data,0,c_RLVL_ID),0),""))</f>
        <v/>
      </c>
      <c r="L67" s="119" t="str">
        <f aca="false">IF(J67="","",IF(ISNUMBER(MATCH(J67,Rider_Master[Rider ID],0)),1,0))</f>
        <v/>
      </c>
      <c r="M67" s="119" t="str">
        <f aca="false">IF(J67="","",INDEX(Rider_Input[Completed Orders],I67))</f>
        <v/>
      </c>
      <c r="N67" s="119" t="str">
        <f aca="false">IF(OR(J67="",K67=""),"",IFERROR(INDEX(RLVL_Data,K67,c_RLVL_Orders),""))</f>
        <v/>
      </c>
      <c r="O67" s="119" t="str">
        <f aca="false">IF(J67="","",IF(COUNTIF($J$6:$J$505,J67)&gt;1,1,0))</f>
        <v/>
      </c>
      <c r="P67" s="119" t="str">
        <f aca="false">IF(J67="","",IF(K67="","Not found in Paste_RLVL – deductions set to 0; ","")&amp;IF(L67=0,"New rider (not in Rider_Master) – OK, shown as Rider &lt;ID&gt;; ","")&amp;IF(AND(N67&lt;&gt;"",N67&lt;&gt;M67),"Orders differ: FTR "&amp;M67&amp;" vs RLVL "&amp;N67&amp;"; ","")&amp;IF(O67=1,"Duplicate Rider ID; ",""))</f>
        <v/>
      </c>
      <c r="Q67" s="119" t="str">
        <f aca="false">IF(P67="","",COUNTIF(P$6:P67,"?*"))</f>
        <v/>
      </c>
    </row>
    <row r="68" customFormat="false" ht="15" hidden="false" customHeight="false" outlineLevel="0" collapsed="false">
      <c r="I68" s="119" t="n">
        <v>63</v>
      </c>
      <c r="J68" s="119" t="str">
        <f aca="false">IFERROR(IF(INDEX(Rider_Input[Rider ID],I68)="","",INDEX(Rider_Input[Rider ID],I68)),"")</f>
        <v/>
      </c>
      <c r="K68" s="119" t="str">
        <f aca="false">IF(J68="","",IFERROR(MATCH(J68,INDEX(RLVL_Data,0,c_RLVL_ID),0),""))</f>
        <v/>
      </c>
      <c r="L68" s="119" t="str">
        <f aca="false">IF(J68="","",IF(ISNUMBER(MATCH(J68,Rider_Master[Rider ID],0)),1,0))</f>
        <v/>
      </c>
      <c r="M68" s="119" t="str">
        <f aca="false">IF(J68="","",INDEX(Rider_Input[Completed Orders],I68))</f>
        <v/>
      </c>
      <c r="N68" s="119" t="str">
        <f aca="false">IF(OR(J68="",K68=""),"",IFERROR(INDEX(RLVL_Data,K68,c_RLVL_Orders),""))</f>
        <v/>
      </c>
      <c r="O68" s="119" t="str">
        <f aca="false">IF(J68="","",IF(COUNTIF($J$6:$J$505,J68)&gt;1,1,0))</f>
        <v/>
      </c>
      <c r="P68" s="119" t="str">
        <f aca="false">IF(J68="","",IF(K68="","Not found in Paste_RLVL – deductions set to 0; ","")&amp;IF(L68=0,"New rider (not in Rider_Master) – OK, shown as Rider &lt;ID&gt;; ","")&amp;IF(AND(N68&lt;&gt;"",N68&lt;&gt;M68),"Orders differ: FTR "&amp;M68&amp;" vs RLVL "&amp;N68&amp;"; ","")&amp;IF(O68=1,"Duplicate Rider ID; ",""))</f>
        <v/>
      </c>
      <c r="Q68" s="119" t="str">
        <f aca="false">IF(P68="","",COUNTIF(P$6:P68,"?*"))</f>
        <v/>
      </c>
    </row>
    <row r="69" customFormat="false" ht="15" hidden="false" customHeight="false" outlineLevel="0" collapsed="false">
      <c r="I69" s="119" t="n">
        <v>64</v>
      </c>
      <c r="J69" s="119" t="str">
        <f aca="false">IFERROR(IF(INDEX(Rider_Input[Rider ID],I69)="","",INDEX(Rider_Input[Rider ID],I69)),"")</f>
        <v/>
      </c>
      <c r="K69" s="119" t="str">
        <f aca="false">IF(J69="","",IFERROR(MATCH(J69,INDEX(RLVL_Data,0,c_RLVL_ID),0),""))</f>
        <v/>
      </c>
      <c r="L69" s="119" t="str">
        <f aca="false">IF(J69="","",IF(ISNUMBER(MATCH(J69,Rider_Master[Rider ID],0)),1,0))</f>
        <v/>
      </c>
      <c r="M69" s="119" t="str">
        <f aca="false">IF(J69="","",INDEX(Rider_Input[Completed Orders],I69))</f>
        <v/>
      </c>
      <c r="N69" s="119" t="str">
        <f aca="false">IF(OR(J69="",K69=""),"",IFERROR(INDEX(RLVL_Data,K69,c_RLVL_Orders),""))</f>
        <v/>
      </c>
      <c r="O69" s="119" t="str">
        <f aca="false">IF(J69="","",IF(COUNTIF($J$6:$J$505,J69)&gt;1,1,0))</f>
        <v/>
      </c>
      <c r="P69" s="119" t="str">
        <f aca="false">IF(J69="","",IF(K69="","Not found in Paste_RLVL – deductions set to 0; ","")&amp;IF(L69=0,"New rider (not in Rider_Master) – OK, shown as Rider &lt;ID&gt;; ","")&amp;IF(AND(N69&lt;&gt;"",N69&lt;&gt;M69),"Orders differ: FTR "&amp;M69&amp;" vs RLVL "&amp;N69&amp;"; ","")&amp;IF(O69=1,"Duplicate Rider ID; ",""))</f>
        <v/>
      </c>
      <c r="Q69" s="119" t="str">
        <f aca="false">IF(P69="","",COUNTIF(P$6:P69,"?*"))</f>
        <v/>
      </c>
    </row>
    <row r="70" customFormat="false" ht="15" hidden="false" customHeight="false" outlineLevel="0" collapsed="false">
      <c r="I70" s="119" t="n">
        <v>65</v>
      </c>
      <c r="J70" s="119" t="str">
        <f aca="false">IFERROR(IF(INDEX(Rider_Input[Rider ID],I70)="","",INDEX(Rider_Input[Rider ID],I70)),"")</f>
        <v/>
      </c>
      <c r="K70" s="119" t="str">
        <f aca="false">IF(J70="","",IFERROR(MATCH(J70,INDEX(RLVL_Data,0,c_RLVL_ID),0),""))</f>
        <v/>
      </c>
      <c r="L70" s="119" t="str">
        <f aca="false">IF(J70="","",IF(ISNUMBER(MATCH(J70,Rider_Master[Rider ID],0)),1,0))</f>
        <v/>
      </c>
      <c r="M70" s="119" t="str">
        <f aca="false">IF(J70="","",INDEX(Rider_Input[Completed Orders],I70))</f>
        <v/>
      </c>
      <c r="N70" s="119" t="str">
        <f aca="false">IF(OR(J70="",K70=""),"",IFERROR(INDEX(RLVL_Data,K70,c_RLVL_Orders),""))</f>
        <v/>
      </c>
      <c r="O70" s="119" t="str">
        <f aca="false">IF(J70="","",IF(COUNTIF($J$6:$J$505,J70)&gt;1,1,0))</f>
        <v/>
      </c>
      <c r="P70" s="119" t="str">
        <f aca="false">IF(J70="","",IF(K70="","Not found in Paste_RLVL – deductions set to 0; ","")&amp;IF(L70=0,"New rider (not in Rider_Master) – OK, shown as Rider &lt;ID&gt;; ","")&amp;IF(AND(N70&lt;&gt;"",N70&lt;&gt;M70),"Orders differ: FTR "&amp;M70&amp;" vs RLVL "&amp;N70&amp;"; ","")&amp;IF(O70=1,"Duplicate Rider ID; ",""))</f>
        <v/>
      </c>
      <c r="Q70" s="119" t="str">
        <f aca="false">IF(P70="","",COUNTIF(P$6:P70,"?*"))</f>
        <v/>
      </c>
    </row>
    <row r="71" customFormat="false" ht="15" hidden="false" customHeight="false" outlineLevel="0" collapsed="false">
      <c r="I71" s="119" t="n">
        <v>66</v>
      </c>
      <c r="J71" s="119" t="str">
        <f aca="false">IFERROR(IF(INDEX(Rider_Input[Rider ID],I71)="","",INDEX(Rider_Input[Rider ID],I71)),"")</f>
        <v/>
      </c>
      <c r="K71" s="119" t="str">
        <f aca="false">IF(J71="","",IFERROR(MATCH(J71,INDEX(RLVL_Data,0,c_RLVL_ID),0),""))</f>
        <v/>
      </c>
      <c r="L71" s="119" t="str">
        <f aca="false">IF(J71="","",IF(ISNUMBER(MATCH(J71,Rider_Master[Rider ID],0)),1,0))</f>
        <v/>
      </c>
      <c r="M71" s="119" t="str">
        <f aca="false">IF(J71="","",INDEX(Rider_Input[Completed Orders],I71))</f>
        <v/>
      </c>
      <c r="N71" s="119" t="str">
        <f aca="false">IF(OR(J71="",K71=""),"",IFERROR(INDEX(RLVL_Data,K71,c_RLVL_Orders),""))</f>
        <v/>
      </c>
      <c r="O71" s="119" t="str">
        <f aca="false">IF(J71="","",IF(COUNTIF($J$6:$J$505,J71)&gt;1,1,0))</f>
        <v/>
      </c>
      <c r="P71" s="119" t="str">
        <f aca="false">IF(J71="","",IF(K71="","Not found in Paste_RLVL – deductions set to 0; ","")&amp;IF(L71=0,"New rider (not in Rider_Master) – OK, shown as Rider &lt;ID&gt;; ","")&amp;IF(AND(N71&lt;&gt;"",N71&lt;&gt;M71),"Orders differ: FTR "&amp;M71&amp;" vs RLVL "&amp;N71&amp;"; ","")&amp;IF(O71=1,"Duplicate Rider ID; ",""))</f>
        <v/>
      </c>
      <c r="Q71" s="119" t="str">
        <f aca="false">IF(P71="","",COUNTIF(P$6:P71,"?*"))</f>
        <v/>
      </c>
    </row>
    <row r="72" customFormat="false" ht="15" hidden="false" customHeight="false" outlineLevel="0" collapsed="false">
      <c r="I72" s="119" t="n">
        <v>67</v>
      </c>
      <c r="J72" s="119" t="str">
        <f aca="false">IFERROR(IF(INDEX(Rider_Input[Rider ID],I72)="","",INDEX(Rider_Input[Rider ID],I72)),"")</f>
        <v/>
      </c>
      <c r="K72" s="119" t="str">
        <f aca="false">IF(J72="","",IFERROR(MATCH(J72,INDEX(RLVL_Data,0,c_RLVL_ID),0),""))</f>
        <v/>
      </c>
      <c r="L72" s="119" t="str">
        <f aca="false">IF(J72="","",IF(ISNUMBER(MATCH(J72,Rider_Master[Rider ID],0)),1,0))</f>
        <v/>
      </c>
      <c r="M72" s="119" t="str">
        <f aca="false">IF(J72="","",INDEX(Rider_Input[Completed Orders],I72))</f>
        <v/>
      </c>
      <c r="N72" s="119" t="str">
        <f aca="false">IF(OR(J72="",K72=""),"",IFERROR(INDEX(RLVL_Data,K72,c_RLVL_Orders),""))</f>
        <v/>
      </c>
      <c r="O72" s="119" t="str">
        <f aca="false">IF(J72="","",IF(COUNTIF($J$6:$J$505,J72)&gt;1,1,0))</f>
        <v/>
      </c>
      <c r="P72" s="119" t="str">
        <f aca="false">IF(J72="","",IF(K72="","Not found in Paste_RLVL – deductions set to 0; ","")&amp;IF(L72=0,"New rider (not in Rider_Master) – OK, shown as Rider &lt;ID&gt;; ","")&amp;IF(AND(N72&lt;&gt;"",N72&lt;&gt;M72),"Orders differ: FTR "&amp;M72&amp;" vs RLVL "&amp;N72&amp;"; ","")&amp;IF(O72=1,"Duplicate Rider ID; ",""))</f>
        <v/>
      </c>
      <c r="Q72" s="119" t="str">
        <f aca="false">IF(P72="","",COUNTIF(P$6:P72,"?*"))</f>
        <v/>
      </c>
    </row>
    <row r="73" customFormat="false" ht="15" hidden="false" customHeight="false" outlineLevel="0" collapsed="false">
      <c r="I73" s="119" t="n">
        <v>68</v>
      </c>
      <c r="J73" s="119" t="str">
        <f aca="false">IFERROR(IF(INDEX(Rider_Input[Rider ID],I73)="","",INDEX(Rider_Input[Rider ID],I73)),"")</f>
        <v/>
      </c>
      <c r="K73" s="119" t="str">
        <f aca="false">IF(J73="","",IFERROR(MATCH(J73,INDEX(RLVL_Data,0,c_RLVL_ID),0),""))</f>
        <v/>
      </c>
      <c r="L73" s="119" t="str">
        <f aca="false">IF(J73="","",IF(ISNUMBER(MATCH(J73,Rider_Master[Rider ID],0)),1,0))</f>
        <v/>
      </c>
      <c r="M73" s="119" t="str">
        <f aca="false">IF(J73="","",INDEX(Rider_Input[Completed Orders],I73))</f>
        <v/>
      </c>
      <c r="N73" s="119" t="str">
        <f aca="false">IF(OR(J73="",K73=""),"",IFERROR(INDEX(RLVL_Data,K73,c_RLVL_Orders),""))</f>
        <v/>
      </c>
      <c r="O73" s="119" t="str">
        <f aca="false">IF(J73="","",IF(COUNTIF($J$6:$J$505,J73)&gt;1,1,0))</f>
        <v/>
      </c>
      <c r="P73" s="119" t="str">
        <f aca="false">IF(J73="","",IF(K73="","Not found in Paste_RLVL – deductions set to 0; ","")&amp;IF(L73=0,"New rider (not in Rider_Master) – OK, shown as Rider &lt;ID&gt;; ","")&amp;IF(AND(N73&lt;&gt;"",N73&lt;&gt;M73),"Orders differ: FTR "&amp;M73&amp;" vs RLVL "&amp;N73&amp;"; ","")&amp;IF(O73=1,"Duplicate Rider ID; ",""))</f>
        <v/>
      </c>
      <c r="Q73" s="119" t="str">
        <f aca="false">IF(P73="","",COUNTIF(P$6:P73,"?*"))</f>
        <v/>
      </c>
    </row>
    <row r="74" customFormat="false" ht="15" hidden="false" customHeight="false" outlineLevel="0" collapsed="false">
      <c r="I74" s="119" t="n">
        <v>69</v>
      </c>
      <c r="J74" s="119" t="str">
        <f aca="false">IFERROR(IF(INDEX(Rider_Input[Rider ID],I74)="","",INDEX(Rider_Input[Rider ID],I74)),"")</f>
        <v/>
      </c>
      <c r="K74" s="119" t="str">
        <f aca="false">IF(J74="","",IFERROR(MATCH(J74,INDEX(RLVL_Data,0,c_RLVL_ID),0),""))</f>
        <v/>
      </c>
      <c r="L74" s="119" t="str">
        <f aca="false">IF(J74="","",IF(ISNUMBER(MATCH(J74,Rider_Master[Rider ID],0)),1,0))</f>
        <v/>
      </c>
      <c r="M74" s="119" t="str">
        <f aca="false">IF(J74="","",INDEX(Rider_Input[Completed Orders],I74))</f>
        <v/>
      </c>
      <c r="N74" s="119" t="str">
        <f aca="false">IF(OR(J74="",K74=""),"",IFERROR(INDEX(RLVL_Data,K74,c_RLVL_Orders),""))</f>
        <v/>
      </c>
      <c r="O74" s="119" t="str">
        <f aca="false">IF(J74="","",IF(COUNTIF($J$6:$J$505,J74)&gt;1,1,0))</f>
        <v/>
      </c>
      <c r="P74" s="119" t="str">
        <f aca="false">IF(J74="","",IF(K74="","Not found in Paste_RLVL – deductions set to 0; ","")&amp;IF(L74=0,"New rider (not in Rider_Master) – OK, shown as Rider &lt;ID&gt;; ","")&amp;IF(AND(N74&lt;&gt;"",N74&lt;&gt;M74),"Orders differ: FTR "&amp;M74&amp;" vs RLVL "&amp;N74&amp;"; ","")&amp;IF(O74=1,"Duplicate Rider ID; ",""))</f>
        <v/>
      </c>
      <c r="Q74" s="119" t="str">
        <f aca="false">IF(P74="","",COUNTIF(P$6:P74,"?*"))</f>
        <v/>
      </c>
    </row>
    <row r="75" customFormat="false" ht="15" hidden="false" customHeight="false" outlineLevel="0" collapsed="false">
      <c r="I75" s="119" t="n">
        <v>70</v>
      </c>
      <c r="J75" s="119" t="str">
        <f aca="false">IFERROR(IF(INDEX(Rider_Input[Rider ID],I75)="","",INDEX(Rider_Input[Rider ID],I75)),"")</f>
        <v/>
      </c>
      <c r="K75" s="119" t="str">
        <f aca="false">IF(J75="","",IFERROR(MATCH(J75,INDEX(RLVL_Data,0,c_RLVL_ID),0),""))</f>
        <v/>
      </c>
      <c r="L75" s="119" t="str">
        <f aca="false">IF(J75="","",IF(ISNUMBER(MATCH(J75,Rider_Master[Rider ID],0)),1,0))</f>
        <v/>
      </c>
      <c r="M75" s="119" t="str">
        <f aca="false">IF(J75="","",INDEX(Rider_Input[Completed Orders],I75))</f>
        <v/>
      </c>
      <c r="N75" s="119" t="str">
        <f aca="false">IF(OR(J75="",K75=""),"",IFERROR(INDEX(RLVL_Data,K75,c_RLVL_Orders),""))</f>
        <v/>
      </c>
      <c r="O75" s="119" t="str">
        <f aca="false">IF(J75="","",IF(COUNTIF($J$6:$J$505,J75)&gt;1,1,0))</f>
        <v/>
      </c>
      <c r="P75" s="119" t="str">
        <f aca="false">IF(J75="","",IF(K75="","Not found in Paste_RLVL – deductions set to 0; ","")&amp;IF(L75=0,"New rider (not in Rider_Master) – OK, shown as Rider &lt;ID&gt;; ","")&amp;IF(AND(N75&lt;&gt;"",N75&lt;&gt;M75),"Orders differ: FTR "&amp;M75&amp;" vs RLVL "&amp;N75&amp;"; ","")&amp;IF(O75=1,"Duplicate Rider ID; ",""))</f>
        <v/>
      </c>
      <c r="Q75" s="119" t="str">
        <f aca="false">IF(P75="","",COUNTIF(P$6:P75,"?*"))</f>
        <v/>
      </c>
    </row>
    <row r="76" customFormat="false" ht="15" hidden="false" customHeight="false" outlineLevel="0" collapsed="false">
      <c r="I76" s="119" t="n">
        <v>71</v>
      </c>
      <c r="J76" s="119" t="str">
        <f aca="false">IFERROR(IF(INDEX(Rider_Input[Rider ID],I76)="","",INDEX(Rider_Input[Rider ID],I76)),"")</f>
        <v/>
      </c>
      <c r="K76" s="119" t="str">
        <f aca="false">IF(J76="","",IFERROR(MATCH(J76,INDEX(RLVL_Data,0,c_RLVL_ID),0),""))</f>
        <v/>
      </c>
      <c r="L76" s="119" t="str">
        <f aca="false">IF(J76="","",IF(ISNUMBER(MATCH(J76,Rider_Master[Rider ID],0)),1,0))</f>
        <v/>
      </c>
      <c r="M76" s="119" t="str">
        <f aca="false">IF(J76="","",INDEX(Rider_Input[Completed Orders],I76))</f>
        <v/>
      </c>
      <c r="N76" s="119" t="str">
        <f aca="false">IF(OR(J76="",K76=""),"",IFERROR(INDEX(RLVL_Data,K76,c_RLVL_Orders),""))</f>
        <v/>
      </c>
      <c r="O76" s="119" t="str">
        <f aca="false">IF(J76="","",IF(COUNTIF($J$6:$J$505,J76)&gt;1,1,0))</f>
        <v/>
      </c>
      <c r="P76" s="119" t="str">
        <f aca="false">IF(J76="","",IF(K76="","Not found in Paste_RLVL – deductions set to 0; ","")&amp;IF(L76=0,"New rider (not in Rider_Master) – OK, shown as Rider &lt;ID&gt;; ","")&amp;IF(AND(N76&lt;&gt;"",N76&lt;&gt;M76),"Orders differ: FTR "&amp;M76&amp;" vs RLVL "&amp;N76&amp;"; ","")&amp;IF(O76=1,"Duplicate Rider ID; ",""))</f>
        <v/>
      </c>
      <c r="Q76" s="119" t="str">
        <f aca="false">IF(P76="","",COUNTIF(P$6:P76,"?*"))</f>
        <v/>
      </c>
    </row>
    <row r="77" customFormat="false" ht="15" hidden="false" customHeight="false" outlineLevel="0" collapsed="false">
      <c r="I77" s="119" t="n">
        <v>72</v>
      </c>
      <c r="J77" s="119" t="str">
        <f aca="false">IFERROR(IF(INDEX(Rider_Input[Rider ID],I77)="","",INDEX(Rider_Input[Rider ID],I77)),"")</f>
        <v/>
      </c>
      <c r="K77" s="119" t="str">
        <f aca="false">IF(J77="","",IFERROR(MATCH(J77,INDEX(RLVL_Data,0,c_RLVL_ID),0),""))</f>
        <v/>
      </c>
      <c r="L77" s="119" t="str">
        <f aca="false">IF(J77="","",IF(ISNUMBER(MATCH(J77,Rider_Master[Rider ID],0)),1,0))</f>
        <v/>
      </c>
      <c r="M77" s="119" t="str">
        <f aca="false">IF(J77="","",INDEX(Rider_Input[Completed Orders],I77))</f>
        <v/>
      </c>
      <c r="N77" s="119" t="str">
        <f aca="false">IF(OR(J77="",K77=""),"",IFERROR(INDEX(RLVL_Data,K77,c_RLVL_Orders),""))</f>
        <v/>
      </c>
      <c r="O77" s="119" t="str">
        <f aca="false">IF(J77="","",IF(COUNTIF($J$6:$J$505,J77)&gt;1,1,0))</f>
        <v/>
      </c>
      <c r="P77" s="119" t="str">
        <f aca="false">IF(J77="","",IF(K77="","Not found in Paste_RLVL – deductions set to 0; ","")&amp;IF(L77=0,"New rider (not in Rider_Master) – OK, shown as Rider &lt;ID&gt;; ","")&amp;IF(AND(N77&lt;&gt;"",N77&lt;&gt;M77),"Orders differ: FTR "&amp;M77&amp;" vs RLVL "&amp;N77&amp;"; ","")&amp;IF(O77=1,"Duplicate Rider ID; ",""))</f>
        <v/>
      </c>
      <c r="Q77" s="119" t="str">
        <f aca="false">IF(P77="","",COUNTIF(P$6:P77,"?*"))</f>
        <v/>
      </c>
    </row>
    <row r="78" customFormat="false" ht="15" hidden="false" customHeight="false" outlineLevel="0" collapsed="false">
      <c r="I78" s="119" t="n">
        <v>73</v>
      </c>
      <c r="J78" s="119" t="str">
        <f aca="false">IFERROR(IF(INDEX(Rider_Input[Rider ID],I78)="","",INDEX(Rider_Input[Rider ID],I78)),"")</f>
        <v/>
      </c>
      <c r="K78" s="119" t="str">
        <f aca="false">IF(J78="","",IFERROR(MATCH(J78,INDEX(RLVL_Data,0,c_RLVL_ID),0),""))</f>
        <v/>
      </c>
      <c r="L78" s="119" t="str">
        <f aca="false">IF(J78="","",IF(ISNUMBER(MATCH(J78,Rider_Master[Rider ID],0)),1,0))</f>
        <v/>
      </c>
      <c r="M78" s="119" t="str">
        <f aca="false">IF(J78="","",INDEX(Rider_Input[Completed Orders],I78))</f>
        <v/>
      </c>
      <c r="N78" s="119" t="str">
        <f aca="false">IF(OR(J78="",K78=""),"",IFERROR(INDEX(RLVL_Data,K78,c_RLVL_Orders),""))</f>
        <v/>
      </c>
      <c r="O78" s="119" t="str">
        <f aca="false">IF(J78="","",IF(COUNTIF($J$6:$J$505,J78)&gt;1,1,0))</f>
        <v/>
      </c>
      <c r="P78" s="119" t="str">
        <f aca="false">IF(J78="","",IF(K78="","Not found in Paste_RLVL – deductions set to 0; ","")&amp;IF(L78=0,"New rider (not in Rider_Master) – OK, shown as Rider &lt;ID&gt;; ","")&amp;IF(AND(N78&lt;&gt;"",N78&lt;&gt;M78),"Orders differ: FTR "&amp;M78&amp;" vs RLVL "&amp;N78&amp;"; ","")&amp;IF(O78=1,"Duplicate Rider ID; ",""))</f>
        <v/>
      </c>
      <c r="Q78" s="119" t="str">
        <f aca="false">IF(P78="","",COUNTIF(P$6:P78,"?*"))</f>
        <v/>
      </c>
    </row>
    <row r="79" customFormat="false" ht="15" hidden="false" customHeight="false" outlineLevel="0" collapsed="false">
      <c r="I79" s="119" t="n">
        <v>74</v>
      </c>
      <c r="J79" s="119" t="str">
        <f aca="false">IFERROR(IF(INDEX(Rider_Input[Rider ID],I79)="","",INDEX(Rider_Input[Rider ID],I79)),"")</f>
        <v/>
      </c>
      <c r="K79" s="119" t="str">
        <f aca="false">IF(J79="","",IFERROR(MATCH(J79,INDEX(RLVL_Data,0,c_RLVL_ID),0),""))</f>
        <v/>
      </c>
      <c r="L79" s="119" t="str">
        <f aca="false">IF(J79="","",IF(ISNUMBER(MATCH(J79,Rider_Master[Rider ID],0)),1,0))</f>
        <v/>
      </c>
      <c r="M79" s="119" t="str">
        <f aca="false">IF(J79="","",INDEX(Rider_Input[Completed Orders],I79))</f>
        <v/>
      </c>
      <c r="N79" s="119" t="str">
        <f aca="false">IF(OR(J79="",K79=""),"",IFERROR(INDEX(RLVL_Data,K79,c_RLVL_Orders),""))</f>
        <v/>
      </c>
      <c r="O79" s="119" t="str">
        <f aca="false">IF(J79="","",IF(COUNTIF($J$6:$J$505,J79)&gt;1,1,0))</f>
        <v/>
      </c>
      <c r="P79" s="119" t="str">
        <f aca="false">IF(J79="","",IF(K79="","Not found in Paste_RLVL – deductions set to 0; ","")&amp;IF(L79=0,"New rider (not in Rider_Master) – OK, shown as Rider &lt;ID&gt;; ","")&amp;IF(AND(N79&lt;&gt;"",N79&lt;&gt;M79),"Orders differ: FTR "&amp;M79&amp;" vs RLVL "&amp;N79&amp;"; ","")&amp;IF(O79=1,"Duplicate Rider ID; ",""))</f>
        <v/>
      </c>
      <c r="Q79" s="119" t="str">
        <f aca="false">IF(P79="","",COUNTIF(P$6:P79,"?*"))</f>
        <v/>
      </c>
    </row>
    <row r="80" customFormat="false" ht="15" hidden="false" customHeight="false" outlineLevel="0" collapsed="false">
      <c r="I80" s="119" t="n">
        <v>75</v>
      </c>
      <c r="J80" s="119" t="str">
        <f aca="false">IFERROR(IF(INDEX(Rider_Input[Rider ID],I80)="","",INDEX(Rider_Input[Rider ID],I80)),"")</f>
        <v/>
      </c>
      <c r="K80" s="119" t="str">
        <f aca="false">IF(J80="","",IFERROR(MATCH(J80,INDEX(RLVL_Data,0,c_RLVL_ID),0),""))</f>
        <v/>
      </c>
      <c r="L80" s="119" t="str">
        <f aca="false">IF(J80="","",IF(ISNUMBER(MATCH(J80,Rider_Master[Rider ID],0)),1,0))</f>
        <v/>
      </c>
      <c r="M80" s="119" t="str">
        <f aca="false">IF(J80="","",INDEX(Rider_Input[Completed Orders],I80))</f>
        <v/>
      </c>
      <c r="N80" s="119" t="str">
        <f aca="false">IF(OR(J80="",K80=""),"",IFERROR(INDEX(RLVL_Data,K80,c_RLVL_Orders),""))</f>
        <v/>
      </c>
      <c r="O80" s="119" t="str">
        <f aca="false">IF(J80="","",IF(COUNTIF($J$6:$J$505,J80)&gt;1,1,0))</f>
        <v/>
      </c>
      <c r="P80" s="119" t="str">
        <f aca="false">IF(J80="","",IF(K80="","Not found in Paste_RLVL – deductions set to 0; ","")&amp;IF(L80=0,"New rider (not in Rider_Master) – OK, shown as Rider &lt;ID&gt;; ","")&amp;IF(AND(N80&lt;&gt;"",N80&lt;&gt;M80),"Orders differ: FTR "&amp;M80&amp;" vs RLVL "&amp;N80&amp;"; ","")&amp;IF(O80=1,"Duplicate Rider ID; ",""))</f>
        <v/>
      </c>
      <c r="Q80" s="119" t="str">
        <f aca="false">IF(P80="","",COUNTIF(P$6:P80,"?*"))</f>
        <v/>
      </c>
    </row>
    <row r="81" customFormat="false" ht="15" hidden="false" customHeight="false" outlineLevel="0" collapsed="false">
      <c r="I81" s="119" t="n">
        <v>76</v>
      </c>
      <c r="J81" s="119" t="str">
        <f aca="false">IFERROR(IF(INDEX(Rider_Input[Rider ID],I81)="","",INDEX(Rider_Input[Rider ID],I81)),"")</f>
        <v/>
      </c>
      <c r="K81" s="119" t="str">
        <f aca="false">IF(J81="","",IFERROR(MATCH(J81,INDEX(RLVL_Data,0,c_RLVL_ID),0),""))</f>
        <v/>
      </c>
      <c r="L81" s="119" t="str">
        <f aca="false">IF(J81="","",IF(ISNUMBER(MATCH(J81,Rider_Master[Rider ID],0)),1,0))</f>
        <v/>
      </c>
      <c r="M81" s="119" t="str">
        <f aca="false">IF(J81="","",INDEX(Rider_Input[Completed Orders],I81))</f>
        <v/>
      </c>
      <c r="N81" s="119" t="str">
        <f aca="false">IF(OR(J81="",K81=""),"",IFERROR(INDEX(RLVL_Data,K81,c_RLVL_Orders),""))</f>
        <v/>
      </c>
      <c r="O81" s="119" t="str">
        <f aca="false">IF(J81="","",IF(COUNTIF($J$6:$J$505,J81)&gt;1,1,0))</f>
        <v/>
      </c>
      <c r="P81" s="119" t="str">
        <f aca="false">IF(J81="","",IF(K81="","Not found in Paste_RLVL – deductions set to 0; ","")&amp;IF(L81=0,"New rider (not in Rider_Master) – OK, shown as Rider &lt;ID&gt;; ","")&amp;IF(AND(N81&lt;&gt;"",N81&lt;&gt;M81),"Orders differ: FTR "&amp;M81&amp;" vs RLVL "&amp;N81&amp;"; ","")&amp;IF(O81=1,"Duplicate Rider ID; ",""))</f>
        <v/>
      </c>
      <c r="Q81" s="119" t="str">
        <f aca="false">IF(P81="","",COUNTIF(P$6:P81,"?*"))</f>
        <v/>
      </c>
    </row>
    <row r="82" customFormat="false" ht="15" hidden="false" customHeight="false" outlineLevel="0" collapsed="false">
      <c r="I82" s="119" t="n">
        <v>77</v>
      </c>
      <c r="J82" s="119" t="str">
        <f aca="false">IFERROR(IF(INDEX(Rider_Input[Rider ID],I82)="","",INDEX(Rider_Input[Rider ID],I82)),"")</f>
        <v/>
      </c>
      <c r="K82" s="119" t="str">
        <f aca="false">IF(J82="","",IFERROR(MATCH(J82,INDEX(RLVL_Data,0,c_RLVL_ID),0),""))</f>
        <v/>
      </c>
      <c r="L82" s="119" t="str">
        <f aca="false">IF(J82="","",IF(ISNUMBER(MATCH(J82,Rider_Master[Rider ID],0)),1,0))</f>
        <v/>
      </c>
      <c r="M82" s="119" t="str">
        <f aca="false">IF(J82="","",INDEX(Rider_Input[Completed Orders],I82))</f>
        <v/>
      </c>
      <c r="N82" s="119" t="str">
        <f aca="false">IF(OR(J82="",K82=""),"",IFERROR(INDEX(RLVL_Data,K82,c_RLVL_Orders),""))</f>
        <v/>
      </c>
      <c r="O82" s="119" t="str">
        <f aca="false">IF(J82="","",IF(COUNTIF($J$6:$J$505,J82)&gt;1,1,0))</f>
        <v/>
      </c>
      <c r="P82" s="119" t="str">
        <f aca="false">IF(J82="","",IF(K82="","Not found in Paste_RLVL – deductions set to 0; ","")&amp;IF(L82=0,"New rider (not in Rider_Master) – OK, shown as Rider &lt;ID&gt;; ","")&amp;IF(AND(N82&lt;&gt;"",N82&lt;&gt;M82),"Orders differ: FTR "&amp;M82&amp;" vs RLVL "&amp;N82&amp;"; ","")&amp;IF(O82=1,"Duplicate Rider ID; ",""))</f>
        <v/>
      </c>
      <c r="Q82" s="119" t="str">
        <f aca="false">IF(P82="","",COUNTIF(P$6:P82,"?*"))</f>
        <v/>
      </c>
    </row>
    <row r="83" customFormat="false" ht="15" hidden="false" customHeight="false" outlineLevel="0" collapsed="false">
      <c r="I83" s="119" t="n">
        <v>78</v>
      </c>
      <c r="J83" s="119" t="str">
        <f aca="false">IFERROR(IF(INDEX(Rider_Input[Rider ID],I83)="","",INDEX(Rider_Input[Rider ID],I83)),"")</f>
        <v/>
      </c>
      <c r="K83" s="119" t="str">
        <f aca="false">IF(J83="","",IFERROR(MATCH(J83,INDEX(RLVL_Data,0,c_RLVL_ID),0),""))</f>
        <v/>
      </c>
      <c r="L83" s="119" t="str">
        <f aca="false">IF(J83="","",IF(ISNUMBER(MATCH(J83,Rider_Master[Rider ID],0)),1,0))</f>
        <v/>
      </c>
      <c r="M83" s="119" t="str">
        <f aca="false">IF(J83="","",INDEX(Rider_Input[Completed Orders],I83))</f>
        <v/>
      </c>
      <c r="N83" s="119" t="str">
        <f aca="false">IF(OR(J83="",K83=""),"",IFERROR(INDEX(RLVL_Data,K83,c_RLVL_Orders),""))</f>
        <v/>
      </c>
      <c r="O83" s="119" t="str">
        <f aca="false">IF(J83="","",IF(COUNTIF($J$6:$J$505,J83)&gt;1,1,0))</f>
        <v/>
      </c>
      <c r="P83" s="119" t="str">
        <f aca="false">IF(J83="","",IF(K83="","Not found in Paste_RLVL – deductions set to 0; ","")&amp;IF(L83=0,"New rider (not in Rider_Master) – OK, shown as Rider &lt;ID&gt;; ","")&amp;IF(AND(N83&lt;&gt;"",N83&lt;&gt;M83),"Orders differ: FTR "&amp;M83&amp;" vs RLVL "&amp;N83&amp;"; ","")&amp;IF(O83=1,"Duplicate Rider ID; ",""))</f>
        <v/>
      </c>
      <c r="Q83" s="119" t="str">
        <f aca="false">IF(P83="","",COUNTIF(P$6:P83,"?*"))</f>
        <v/>
      </c>
    </row>
    <row r="84" customFormat="false" ht="15" hidden="false" customHeight="false" outlineLevel="0" collapsed="false">
      <c r="I84" s="119" t="n">
        <v>79</v>
      </c>
      <c r="J84" s="119" t="str">
        <f aca="false">IFERROR(IF(INDEX(Rider_Input[Rider ID],I84)="","",INDEX(Rider_Input[Rider ID],I84)),"")</f>
        <v/>
      </c>
      <c r="K84" s="119" t="str">
        <f aca="false">IF(J84="","",IFERROR(MATCH(J84,INDEX(RLVL_Data,0,c_RLVL_ID),0),""))</f>
        <v/>
      </c>
      <c r="L84" s="119" t="str">
        <f aca="false">IF(J84="","",IF(ISNUMBER(MATCH(J84,Rider_Master[Rider ID],0)),1,0))</f>
        <v/>
      </c>
      <c r="M84" s="119" t="str">
        <f aca="false">IF(J84="","",INDEX(Rider_Input[Completed Orders],I84))</f>
        <v/>
      </c>
      <c r="N84" s="119" t="str">
        <f aca="false">IF(OR(J84="",K84=""),"",IFERROR(INDEX(RLVL_Data,K84,c_RLVL_Orders),""))</f>
        <v/>
      </c>
      <c r="O84" s="119" t="str">
        <f aca="false">IF(J84="","",IF(COUNTIF($J$6:$J$505,J84)&gt;1,1,0))</f>
        <v/>
      </c>
      <c r="P84" s="119" t="str">
        <f aca="false">IF(J84="","",IF(K84="","Not found in Paste_RLVL – deductions set to 0; ","")&amp;IF(L84=0,"New rider (not in Rider_Master) – OK, shown as Rider &lt;ID&gt;; ","")&amp;IF(AND(N84&lt;&gt;"",N84&lt;&gt;M84),"Orders differ: FTR "&amp;M84&amp;" vs RLVL "&amp;N84&amp;"; ","")&amp;IF(O84=1,"Duplicate Rider ID; ",""))</f>
        <v/>
      </c>
      <c r="Q84" s="119" t="str">
        <f aca="false">IF(P84="","",COUNTIF(P$6:P84,"?*"))</f>
        <v/>
      </c>
    </row>
    <row r="85" customFormat="false" ht="15" hidden="false" customHeight="false" outlineLevel="0" collapsed="false">
      <c r="I85" s="119" t="n">
        <v>80</v>
      </c>
      <c r="J85" s="119" t="str">
        <f aca="false">IFERROR(IF(INDEX(Rider_Input[Rider ID],I85)="","",INDEX(Rider_Input[Rider ID],I85)),"")</f>
        <v/>
      </c>
      <c r="K85" s="119" t="str">
        <f aca="false">IF(J85="","",IFERROR(MATCH(J85,INDEX(RLVL_Data,0,c_RLVL_ID),0),""))</f>
        <v/>
      </c>
      <c r="L85" s="119" t="str">
        <f aca="false">IF(J85="","",IF(ISNUMBER(MATCH(J85,Rider_Master[Rider ID],0)),1,0))</f>
        <v/>
      </c>
      <c r="M85" s="119" t="str">
        <f aca="false">IF(J85="","",INDEX(Rider_Input[Completed Orders],I85))</f>
        <v/>
      </c>
      <c r="N85" s="119" t="str">
        <f aca="false">IF(OR(J85="",K85=""),"",IFERROR(INDEX(RLVL_Data,K85,c_RLVL_Orders),""))</f>
        <v/>
      </c>
      <c r="O85" s="119" t="str">
        <f aca="false">IF(J85="","",IF(COUNTIF($J$6:$J$505,J85)&gt;1,1,0))</f>
        <v/>
      </c>
      <c r="P85" s="119" t="str">
        <f aca="false">IF(J85="","",IF(K85="","Not found in Paste_RLVL – deductions set to 0; ","")&amp;IF(L85=0,"New rider (not in Rider_Master) – OK, shown as Rider &lt;ID&gt;; ","")&amp;IF(AND(N85&lt;&gt;"",N85&lt;&gt;M85),"Orders differ: FTR "&amp;M85&amp;" vs RLVL "&amp;N85&amp;"; ","")&amp;IF(O85=1,"Duplicate Rider ID; ",""))</f>
        <v/>
      </c>
      <c r="Q85" s="119" t="str">
        <f aca="false">IF(P85="","",COUNTIF(P$6:P85,"?*"))</f>
        <v/>
      </c>
    </row>
    <row r="86" customFormat="false" ht="15" hidden="false" customHeight="false" outlineLevel="0" collapsed="false">
      <c r="I86" s="119" t="n">
        <v>81</v>
      </c>
      <c r="J86" s="119" t="str">
        <f aca="false">IFERROR(IF(INDEX(Rider_Input[Rider ID],I86)="","",INDEX(Rider_Input[Rider ID],I86)),"")</f>
        <v/>
      </c>
      <c r="K86" s="119" t="str">
        <f aca="false">IF(J86="","",IFERROR(MATCH(J86,INDEX(RLVL_Data,0,c_RLVL_ID),0),""))</f>
        <v/>
      </c>
      <c r="L86" s="119" t="str">
        <f aca="false">IF(J86="","",IF(ISNUMBER(MATCH(J86,Rider_Master[Rider ID],0)),1,0))</f>
        <v/>
      </c>
      <c r="M86" s="119" t="str">
        <f aca="false">IF(J86="","",INDEX(Rider_Input[Completed Orders],I86))</f>
        <v/>
      </c>
      <c r="N86" s="119" t="str">
        <f aca="false">IF(OR(J86="",K86=""),"",IFERROR(INDEX(RLVL_Data,K86,c_RLVL_Orders),""))</f>
        <v/>
      </c>
      <c r="O86" s="119" t="str">
        <f aca="false">IF(J86="","",IF(COUNTIF($J$6:$J$505,J86)&gt;1,1,0))</f>
        <v/>
      </c>
      <c r="P86" s="119" t="str">
        <f aca="false">IF(J86="","",IF(K86="","Not found in Paste_RLVL – deductions set to 0; ","")&amp;IF(L86=0,"New rider (not in Rider_Master) – OK, shown as Rider &lt;ID&gt;; ","")&amp;IF(AND(N86&lt;&gt;"",N86&lt;&gt;M86),"Orders differ: FTR "&amp;M86&amp;" vs RLVL "&amp;N86&amp;"; ","")&amp;IF(O86=1,"Duplicate Rider ID; ",""))</f>
        <v/>
      </c>
      <c r="Q86" s="119" t="str">
        <f aca="false">IF(P86="","",COUNTIF(P$6:P86,"?*"))</f>
        <v/>
      </c>
    </row>
    <row r="87" customFormat="false" ht="15" hidden="false" customHeight="false" outlineLevel="0" collapsed="false">
      <c r="I87" s="119" t="n">
        <v>82</v>
      </c>
      <c r="J87" s="119" t="str">
        <f aca="false">IFERROR(IF(INDEX(Rider_Input[Rider ID],I87)="","",INDEX(Rider_Input[Rider ID],I87)),"")</f>
        <v/>
      </c>
      <c r="K87" s="119" t="str">
        <f aca="false">IF(J87="","",IFERROR(MATCH(J87,INDEX(RLVL_Data,0,c_RLVL_ID),0),""))</f>
        <v/>
      </c>
      <c r="L87" s="119" t="str">
        <f aca="false">IF(J87="","",IF(ISNUMBER(MATCH(J87,Rider_Master[Rider ID],0)),1,0))</f>
        <v/>
      </c>
      <c r="M87" s="119" t="str">
        <f aca="false">IF(J87="","",INDEX(Rider_Input[Completed Orders],I87))</f>
        <v/>
      </c>
      <c r="N87" s="119" t="str">
        <f aca="false">IF(OR(J87="",K87=""),"",IFERROR(INDEX(RLVL_Data,K87,c_RLVL_Orders),""))</f>
        <v/>
      </c>
      <c r="O87" s="119" t="str">
        <f aca="false">IF(J87="","",IF(COUNTIF($J$6:$J$505,J87)&gt;1,1,0))</f>
        <v/>
      </c>
      <c r="P87" s="119" t="str">
        <f aca="false">IF(J87="","",IF(K87="","Not found in Paste_RLVL – deductions set to 0; ","")&amp;IF(L87=0,"New rider (not in Rider_Master) – OK, shown as Rider &lt;ID&gt;; ","")&amp;IF(AND(N87&lt;&gt;"",N87&lt;&gt;M87),"Orders differ: FTR "&amp;M87&amp;" vs RLVL "&amp;N87&amp;"; ","")&amp;IF(O87=1,"Duplicate Rider ID; ",""))</f>
        <v/>
      </c>
      <c r="Q87" s="119" t="str">
        <f aca="false">IF(P87="","",COUNTIF(P$6:P87,"?*"))</f>
        <v/>
      </c>
    </row>
    <row r="88" customFormat="false" ht="15" hidden="false" customHeight="false" outlineLevel="0" collapsed="false">
      <c r="I88" s="119" t="n">
        <v>83</v>
      </c>
      <c r="J88" s="119" t="str">
        <f aca="false">IFERROR(IF(INDEX(Rider_Input[Rider ID],I88)="","",INDEX(Rider_Input[Rider ID],I88)),"")</f>
        <v/>
      </c>
      <c r="K88" s="119" t="str">
        <f aca="false">IF(J88="","",IFERROR(MATCH(J88,INDEX(RLVL_Data,0,c_RLVL_ID),0),""))</f>
        <v/>
      </c>
      <c r="L88" s="119" t="str">
        <f aca="false">IF(J88="","",IF(ISNUMBER(MATCH(J88,Rider_Master[Rider ID],0)),1,0))</f>
        <v/>
      </c>
      <c r="M88" s="119" t="str">
        <f aca="false">IF(J88="","",INDEX(Rider_Input[Completed Orders],I88))</f>
        <v/>
      </c>
      <c r="N88" s="119" t="str">
        <f aca="false">IF(OR(J88="",K88=""),"",IFERROR(INDEX(RLVL_Data,K88,c_RLVL_Orders),""))</f>
        <v/>
      </c>
      <c r="O88" s="119" t="str">
        <f aca="false">IF(J88="","",IF(COUNTIF($J$6:$J$505,J88)&gt;1,1,0))</f>
        <v/>
      </c>
      <c r="P88" s="119" t="str">
        <f aca="false">IF(J88="","",IF(K88="","Not found in Paste_RLVL – deductions set to 0; ","")&amp;IF(L88=0,"New rider (not in Rider_Master) – OK, shown as Rider &lt;ID&gt;; ","")&amp;IF(AND(N88&lt;&gt;"",N88&lt;&gt;M88),"Orders differ: FTR "&amp;M88&amp;" vs RLVL "&amp;N88&amp;"; ","")&amp;IF(O88=1,"Duplicate Rider ID; ",""))</f>
        <v/>
      </c>
      <c r="Q88" s="119" t="str">
        <f aca="false">IF(P88="","",COUNTIF(P$6:P88,"?*"))</f>
        <v/>
      </c>
    </row>
    <row r="89" customFormat="false" ht="15" hidden="false" customHeight="false" outlineLevel="0" collapsed="false">
      <c r="I89" s="119" t="n">
        <v>84</v>
      </c>
      <c r="J89" s="119" t="str">
        <f aca="false">IFERROR(IF(INDEX(Rider_Input[Rider ID],I89)="","",INDEX(Rider_Input[Rider ID],I89)),"")</f>
        <v/>
      </c>
      <c r="K89" s="119" t="str">
        <f aca="false">IF(J89="","",IFERROR(MATCH(J89,INDEX(RLVL_Data,0,c_RLVL_ID),0),""))</f>
        <v/>
      </c>
      <c r="L89" s="119" t="str">
        <f aca="false">IF(J89="","",IF(ISNUMBER(MATCH(J89,Rider_Master[Rider ID],0)),1,0))</f>
        <v/>
      </c>
      <c r="M89" s="119" t="str">
        <f aca="false">IF(J89="","",INDEX(Rider_Input[Completed Orders],I89))</f>
        <v/>
      </c>
      <c r="N89" s="119" t="str">
        <f aca="false">IF(OR(J89="",K89=""),"",IFERROR(INDEX(RLVL_Data,K89,c_RLVL_Orders),""))</f>
        <v/>
      </c>
      <c r="O89" s="119" t="str">
        <f aca="false">IF(J89="","",IF(COUNTIF($J$6:$J$505,J89)&gt;1,1,0))</f>
        <v/>
      </c>
      <c r="P89" s="119" t="str">
        <f aca="false">IF(J89="","",IF(K89="","Not found in Paste_RLVL – deductions set to 0; ","")&amp;IF(L89=0,"New rider (not in Rider_Master) – OK, shown as Rider &lt;ID&gt;; ","")&amp;IF(AND(N89&lt;&gt;"",N89&lt;&gt;M89),"Orders differ: FTR "&amp;M89&amp;" vs RLVL "&amp;N89&amp;"; ","")&amp;IF(O89=1,"Duplicate Rider ID; ",""))</f>
        <v/>
      </c>
      <c r="Q89" s="119" t="str">
        <f aca="false">IF(P89="","",COUNTIF(P$6:P89,"?*"))</f>
        <v/>
      </c>
    </row>
    <row r="90" customFormat="false" ht="15" hidden="false" customHeight="false" outlineLevel="0" collapsed="false">
      <c r="I90" s="119" t="n">
        <v>85</v>
      </c>
      <c r="J90" s="119" t="str">
        <f aca="false">IFERROR(IF(INDEX(Rider_Input[Rider ID],I90)="","",INDEX(Rider_Input[Rider ID],I90)),"")</f>
        <v/>
      </c>
      <c r="K90" s="119" t="str">
        <f aca="false">IF(J90="","",IFERROR(MATCH(J90,INDEX(RLVL_Data,0,c_RLVL_ID),0),""))</f>
        <v/>
      </c>
      <c r="L90" s="119" t="str">
        <f aca="false">IF(J90="","",IF(ISNUMBER(MATCH(J90,Rider_Master[Rider ID],0)),1,0))</f>
        <v/>
      </c>
      <c r="M90" s="119" t="str">
        <f aca="false">IF(J90="","",INDEX(Rider_Input[Completed Orders],I90))</f>
        <v/>
      </c>
      <c r="N90" s="119" t="str">
        <f aca="false">IF(OR(J90="",K90=""),"",IFERROR(INDEX(RLVL_Data,K90,c_RLVL_Orders),""))</f>
        <v/>
      </c>
      <c r="O90" s="119" t="str">
        <f aca="false">IF(J90="","",IF(COUNTIF($J$6:$J$505,J90)&gt;1,1,0))</f>
        <v/>
      </c>
      <c r="P90" s="119" t="str">
        <f aca="false">IF(J90="","",IF(K90="","Not found in Paste_RLVL – deductions set to 0; ","")&amp;IF(L90=0,"New rider (not in Rider_Master) – OK, shown as Rider &lt;ID&gt;; ","")&amp;IF(AND(N90&lt;&gt;"",N90&lt;&gt;M90),"Orders differ: FTR "&amp;M90&amp;" vs RLVL "&amp;N90&amp;"; ","")&amp;IF(O90=1,"Duplicate Rider ID; ",""))</f>
        <v/>
      </c>
      <c r="Q90" s="119" t="str">
        <f aca="false">IF(P90="","",COUNTIF(P$6:P90,"?*"))</f>
        <v/>
      </c>
    </row>
    <row r="91" customFormat="false" ht="15" hidden="false" customHeight="false" outlineLevel="0" collapsed="false">
      <c r="I91" s="119" t="n">
        <v>86</v>
      </c>
      <c r="J91" s="119" t="str">
        <f aca="false">IFERROR(IF(INDEX(Rider_Input[Rider ID],I91)="","",INDEX(Rider_Input[Rider ID],I91)),"")</f>
        <v/>
      </c>
      <c r="K91" s="119" t="str">
        <f aca="false">IF(J91="","",IFERROR(MATCH(J91,INDEX(RLVL_Data,0,c_RLVL_ID),0),""))</f>
        <v/>
      </c>
      <c r="L91" s="119" t="str">
        <f aca="false">IF(J91="","",IF(ISNUMBER(MATCH(J91,Rider_Master[Rider ID],0)),1,0))</f>
        <v/>
      </c>
      <c r="M91" s="119" t="str">
        <f aca="false">IF(J91="","",INDEX(Rider_Input[Completed Orders],I91))</f>
        <v/>
      </c>
      <c r="N91" s="119" t="str">
        <f aca="false">IF(OR(J91="",K91=""),"",IFERROR(INDEX(RLVL_Data,K91,c_RLVL_Orders),""))</f>
        <v/>
      </c>
      <c r="O91" s="119" t="str">
        <f aca="false">IF(J91="","",IF(COUNTIF($J$6:$J$505,J91)&gt;1,1,0))</f>
        <v/>
      </c>
      <c r="P91" s="119" t="str">
        <f aca="false">IF(J91="","",IF(K91="","Not found in Paste_RLVL – deductions set to 0; ","")&amp;IF(L91=0,"New rider (not in Rider_Master) – OK, shown as Rider &lt;ID&gt;; ","")&amp;IF(AND(N91&lt;&gt;"",N91&lt;&gt;M91),"Orders differ: FTR "&amp;M91&amp;" vs RLVL "&amp;N91&amp;"; ","")&amp;IF(O91=1,"Duplicate Rider ID; ",""))</f>
        <v/>
      </c>
      <c r="Q91" s="119" t="str">
        <f aca="false">IF(P91="","",COUNTIF(P$6:P91,"?*"))</f>
        <v/>
      </c>
    </row>
    <row r="92" customFormat="false" ht="15" hidden="false" customHeight="false" outlineLevel="0" collapsed="false">
      <c r="I92" s="119" t="n">
        <v>87</v>
      </c>
      <c r="J92" s="119" t="str">
        <f aca="false">IFERROR(IF(INDEX(Rider_Input[Rider ID],I92)="","",INDEX(Rider_Input[Rider ID],I92)),"")</f>
        <v/>
      </c>
      <c r="K92" s="119" t="str">
        <f aca="false">IF(J92="","",IFERROR(MATCH(J92,INDEX(RLVL_Data,0,c_RLVL_ID),0),""))</f>
        <v/>
      </c>
      <c r="L92" s="119" t="str">
        <f aca="false">IF(J92="","",IF(ISNUMBER(MATCH(J92,Rider_Master[Rider ID],0)),1,0))</f>
        <v/>
      </c>
      <c r="M92" s="119" t="str">
        <f aca="false">IF(J92="","",INDEX(Rider_Input[Completed Orders],I92))</f>
        <v/>
      </c>
      <c r="N92" s="119" t="str">
        <f aca="false">IF(OR(J92="",K92=""),"",IFERROR(INDEX(RLVL_Data,K92,c_RLVL_Orders),""))</f>
        <v/>
      </c>
      <c r="O92" s="119" t="str">
        <f aca="false">IF(J92="","",IF(COUNTIF($J$6:$J$505,J92)&gt;1,1,0))</f>
        <v/>
      </c>
      <c r="P92" s="119" t="str">
        <f aca="false">IF(J92="","",IF(K92="","Not found in Paste_RLVL – deductions set to 0; ","")&amp;IF(L92=0,"New rider (not in Rider_Master) – OK, shown as Rider &lt;ID&gt;; ","")&amp;IF(AND(N92&lt;&gt;"",N92&lt;&gt;M92),"Orders differ: FTR "&amp;M92&amp;" vs RLVL "&amp;N92&amp;"; ","")&amp;IF(O92=1,"Duplicate Rider ID; ",""))</f>
        <v/>
      </c>
      <c r="Q92" s="119" t="str">
        <f aca="false">IF(P92="","",COUNTIF(P$6:P92,"?*"))</f>
        <v/>
      </c>
    </row>
    <row r="93" customFormat="false" ht="15" hidden="false" customHeight="false" outlineLevel="0" collapsed="false">
      <c r="I93" s="119" t="n">
        <v>88</v>
      </c>
      <c r="J93" s="119" t="str">
        <f aca="false">IFERROR(IF(INDEX(Rider_Input[Rider ID],I93)="","",INDEX(Rider_Input[Rider ID],I93)),"")</f>
        <v/>
      </c>
      <c r="K93" s="119" t="str">
        <f aca="false">IF(J93="","",IFERROR(MATCH(J93,INDEX(RLVL_Data,0,c_RLVL_ID),0),""))</f>
        <v/>
      </c>
      <c r="L93" s="119" t="str">
        <f aca="false">IF(J93="","",IF(ISNUMBER(MATCH(J93,Rider_Master[Rider ID],0)),1,0))</f>
        <v/>
      </c>
      <c r="M93" s="119" t="str">
        <f aca="false">IF(J93="","",INDEX(Rider_Input[Completed Orders],I93))</f>
        <v/>
      </c>
      <c r="N93" s="119" t="str">
        <f aca="false">IF(OR(J93="",K93=""),"",IFERROR(INDEX(RLVL_Data,K93,c_RLVL_Orders),""))</f>
        <v/>
      </c>
      <c r="O93" s="119" t="str">
        <f aca="false">IF(J93="","",IF(COUNTIF($J$6:$J$505,J93)&gt;1,1,0))</f>
        <v/>
      </c>
      <c r="P93" s="119" t="str">
        <f aca="false">IF(J93="","",IF(K93="","Not found in Paste_RLVL – deductions set to 0; ","")&amp;IF(L93=0,"New rider (not in Rider_Master) – OK, shown as Rider &lt;ID&gt;; ","")&amp;IF(AND(N93&lt;&gt;"",N93&lt;&gt;M93),"Orders differ: FTR "&amp;M93&amp;" vs RLVL "&amp;N93&amp;"; ","")&amp;IF(O93=1,"Duplicate Rider ID; ",""))</f>
        <v/>
      </c>
      <c r="Q93" s="119" t="str">
        <f aca="false">IF(P93="","",COUNTIF(P$6:P93,"?*"))</f>
        <v/>
      </c>
    </row>
    <row r="94" customFormat="false" ht="15" hidden="false" customHeight="false" outlineLevel="0" collapsed="false">
      <c r="I94" s="119" t="n">
        <v>89</v>
      </c>
      <c r="J94" s="119" t="str">
        <f aca="false">IFERROR(IF(INDEX(Rider_Input[Rider ID],I94)="","",INDEX(Rider_Input[Rider ID],I94)),"")</f>
        <v/>
      </c>
      <c r="K94" s="119" t="str">
        <f aca="false">IF(J94="","",IFERROR(MATCH(J94,INDEX(RLVL_Data,0,c_RLVL_ID),0),""))</f>
        <v/>
      </c>
      <c r="L94" s="119" t="str">
        <f aca="false">IF(J94="","",IF(ISNUMBER(MATCH(J94,Rider_Master[Rider ID],0)),1,0))</f>
        <v/>
      </c>
      <c r="M94" s="119" t="str">
        <f aca="false">IF(J94="","",INDEX(Rider_Input[Completed Orders],I94))</f>
        <v/>
      </c>
      <c r="N94" s="119" t="str">
        <f aca="false">IF(OR(J94="",K94=""),"",IFERROR(INDEX(RLVL_Data,K94,c_RLVL_Orders),""))</f>
        <v/>
      </c>
      <c r="O94" s="119" t="str">
        <f aca="false">IF(J94="","",IF(COUNTIF($J$6:$J$505,J94)&gt;1,1,0))</f>
        <v/>
      </c>
      <c r="P94" s="119" t="str">
        <f aca="false">IF(J94="","",IF(K94="","Not found in Paste_RLVL – deductions set to 0; ","")&amp;IF(L94=0,"New rider (not in Rider_Master) – OK, shown as Rider &lt;ID&gt;; ","")&amp;IF(AND(N94&lt;&gt;"",N94&lt;&gt;M94),"Orders differ: FTR "&amp;M94&amp;" vs RLVL "&amp;N94&amp;"; ","")&amp;IF(O94=1,"Duplicate Rider ID; ",""))</f>
        <v/>
      </c>
      <c r="Q94" s="119" t="str">
        <f aca="false">IF(P94="","",COUNTIF(P$6:P94,"?*"))</f>
        <v/>
      </c>
    </row>
    <row r="95" customFormat="false" ht="15" hidden="false" customHeight="false" outlineLevel="0" collapsed="false">
      <c r="I95" s="119" t="n">
        <v>90</v>
      </c>
      <c r="J95" s="119" t="str">
        <f aca="false">IFERROR(IF(INDEX(Rider_Input[Rider ID],I95)="","",INDEX(Rider_Input[Rider ID],I95)),"")</f>
        <v/>
      </c>
      <c r="K95" s="119" t="str">
        <f aca="false">IF(J95="","",IFERROR(MATCH(J95,INDEX(RLVL_Data,0,c_RLVL_ID),0),""))</f>
        <v/>
      </c>
      <c r="L95" s="119" t="str">
        <f aca="false">IF(J95="","",IF(ISNUMBER(MATCH(J95,Rider_Master[Rider ID],0)),1,0))</f>
        <v/>
      </c>
      <c r="M95" s="119" t="str">
        <f aca="false">IF(J95="","",INDEX(Rider_Input[Completed Orders],I95))</f>
        <v/>
      </c>
      <c r="N95" s="119" t="str">
        <f aca="false">IF(OR(J95="",K95=""),"",IFERROR(INDEX(RLVL_Data,K95,c_RLVL_Orders),""))</f>
        <v/>
      </c>
      <c r="O95" s="119" t="str">
        <f aca="false">IF(J95="","",IF(COUNTIF($J$6:$J$505,J95)&gt;1,1,0))</f>
        <v/>
      </c>
      <c r="P95" s="119" t="str">
        <f aca="false">IF(J95="","",IF(K95="","Not found in Paste_RLVL – deductions set to 0; ","")&amp;IF(L95=0,"New rider (not in Rider_Master) – OK, shown as Rider &lt;ID&gt;; ","")&amp;IF(AND(N95&lt;&gt;"",N95&lt;&gt;M95),"Orders differ: FTR "&amp;M95&amp;" vs RLVL "&amp;N95&amp;"; ","")&amp;IF(O95=1,"Duplicate Rider ID; ",""))</f>
        <v/>
      </c>
      <c r="Q95" s="119" t="str">
        <f aca="false">IF(P95="","",COUNTIF(P$6:P95,"?*"))</f>
        <v/>
      </c>
    </row>
    <row r="96" customFormat="false" ht="15" hidden="false" customHeight="false" outlineLevel="0" collapsed="false">
      <c r="I96" s="119" t="n">
        <v>91</v>
      </c>
      <c r="J96" s="119" t="str">
        <f aca="false">IFERROR(IF(INDEX(Rider_Input[Rider ID],I96)="","",INDEX(Rider_Input[Rider ID],I96)),"")</f>
        <v/>
      </c>
      <c r="K96" s="119" t="str">
        <f aca="false">IF(J96="","",IFERROR(MATCH(J96,INDEX(RLVL_Data,0,c_RLVL_ID),0),""))</f>
        <v/>
      </c>
      <c r="L96" s="119" t="str">
        <f aca="false">IF(J96="","",IF(ISNUMBER(MATCH(J96,Rider_Master[Rider ID],0)),1,0))</f>
        <v/>
      </c>
      <c r="M96" s="119" t="str">
        <f aca="false">IF(J96="","",INDEX(Rider_Input[Completed Orders],I96))</f>
        <v/>
      </c>
      <c r="N96" s="119" t="str">
        <f aca="false">IF(OR(J96="",K96=""),"",IFERROR(INDEX(RLVL_Data,K96,c_RLVL_Orders),""))</f>
        <v/>
      </c>
      <c r="O96" s="119" t="str">
        <f aca="false">IF(J96="","",IF(COUNTIF($J$6:$J$505,J96)&gt;1,1,0))</f>
        <v/>
      </c>
      <c r="P96" s="119" t="str">
        <f aca="false">IF(J96="","",IF(K96="","Not found in Paste_RLVL – deductions set to 0; ","")&amp;IF(L96=0,"New rider (not in Rider_Master) – OK, shown as Rider &lt;ID&gt;; ","")&amp;IF(AND(N96&lt;&gt;"",N96&lt;&gt;M96),"Orders differ: FTR "&amp;M96&amp;" vs RLVL "&amp;N96&amp;"; ","")&amp;IF(O96=1,"Duplicate Rider ID; ",""))</f>
        <v/>
      </c>
      <c r="Q96" s="119" t="str">
        <f aca="false">IF(P96="","",COUNTIF(P$6:P96,"?*"))</f>
        <v/>
      </c>
    </row>
    <row r="97" customFormat="false" ht="15" hidden="false" customHeight="false" outlineLevel="0" collapsed="false">
      <c r="I97" s="119" t="n">
        <v>92</v>
      </c>
      <c r="J97" s="119" t="str">
        <f aca="false">IFERROR(IF(INDEX(Rider_Input[Rider ID],I97)="","",INDEX(Rider_Input[Rider ID],I97)),"")</f>
        <v/>
      </c>
      <c r="K97" s="119" t="str">
        <f aca="false">IF(J97="","",IFERROR(MATCH(J97,INDEX(RLVL_Data,0,c_RLVL_ID),0),""))</f>
        <v/>
      </c>
      <c r="L97" s="119" t="str">
        <f aca="false">IF(J97="","",IF(ISNUMBER(MATCH(J97,Rider_Master[Rider ID],0)),1,0))</f>
        <v/>
      </c>
      <c r="M97" s="119" t="str">
        <f aca="false">IF(J97="","",INDEX(Rider_Input[Completed Orders],I97))</f>
        <v/>
      </c>
      <c r="N97" s="119" t="str">
        <f aca="false">IF(OR(J97="",K97=""),"",IFERROR(INDEX(RLVL_Data,K97,c_RLVL_Orders),""))</f>
        <v/>
      </c>
      <c r="O97" s="119" t="str">
        <f aca="false">IF(J97="","",IF(COUNTIF($J$6:$J$505,J97)&gt;1,1,0))</f>
        <v/>
      </c>
      <c r="P97" s="119" t="str">
        <f aca="false">IF(J97="","",IF(K97="","Not found in Paste_RLVL – deductions set to 0; ","")&amp;IF(L97=0,"New rider (not in Rider_Master) – OK, shown as Rider &lt;ID&gt;; ","")&amp;IF(AND(N97&lt;&gt;"",N97&lt;&gt;M97),"Orders differ: FTR "&amp;M97&amp;" vs RLVL "&amp;N97&amp;"; ","")&amp;IF(O97=1,"Duplicate Rider ID; ",""))</f>
        <v/>
      </c>
      <c r="Q97" s="119" t="str">
        <f aca="false">IF(P97="","",COUNTIF(P$6:P97,"?*"))</f>
        <v/>
      </c>
    </row>
    <row r="98" customFormat="false" ht="15" hidden="false" customHeight="false" outlineLevel="0" collapsed="false">
      <c r="I98" s="119" t="n">
        <v>93</v>
      </c>
      <c r="J98" s="119" t="str">
        <f aca="false">IFERROR(IF(INDEX(Rider_Input[Rider ID],I98)="","",INDEX(Rider_Input[Rider ID],I98)),"")</f>
        <v/>
      </c>
      <c r="K98" s="119" t="str">
        <f aca="false">IF(J98="","",IFERROR(MATCH(J98,INDEX(RLVL_Data,0,c_RLVL_ID),0),""))</f>
        <v/>
      </c>
      <c r="L98" s="119" t="str">
        <f aca="false">IF(J98="","",IF(ISNUMBER(MATCH(J98,Rider_Master[Rider ID],0)),1,0))</f>
        <v/>
      </c>
      <c r="M98" s="119" t="str">
        <f aca="false">IF(J98="","",INDEX(Rider_Input[Completed Orders],I98))</f>
        <v/>
      </c>
      <c r="N98" s="119" t="str">
        <f aca="false">IF(OR(J98="",K98=""),"",IFERROR(INDEX(RLVL_Data,K98,c_RLVL_Orders),""))</f>
        <v/>
      </c>
      <c r="O98" s="119" t="str">
        <f aca="false">IF(J98="","",IF(COUNTIF($J$6:$J$505,J98)&gt;1,1,0))</f>
        <v/>
      </c>
      <c r="P98" s="119" t="str">
        <f aca="false">IF(J98="","",IF(K98="","Not found in Paste_RLVL – deductions set to 0; ","")&amp;IF(L98=0,"New rider (not in Rider_Master) – OK, shown as Rider &lt;ID&gt;; ","")&amp;IF(AND(N98&lt;&gt;"",N98&lt;&gt;M98),"Orders differ: FTR "&amp;M98&amp;" vs RLVL "&amp;N98&amp;"; ","")&amp;IF(O98=1,"Duplicate Rider ID; ",""))</f>
        <v/>
      </c>
      <c r="Q98" s="119" t="str">
        <f aca="false">IF(P98="","",COUNTIF(P$6:P98,"?*"))</f>
        <v/>
      </c>
    </row>
    <row r="99" customFormat="false" ht="15" hidden="false" customHeight="false" outlineLevel="0" collapsed="false">
      <c r="I99" s="119" t="n">
        <v>94</v>
      </c>
      <c r="J99" s="119" t="str">
        <f aca="false">IFERROR(IF(INDEX(Rider_Input[Rider ID],I99)="","",INDEX(Rider_Input[Rider ID],I99)),"")</f>
        <v/>
      </c>
      <c r="K99" s="119" t="str">
        <f aca="false">IF(J99="","",IFERROR(MATCH(J99,INDEX(RLVL_Data,0,c_RLVL_ID),0),""))</f>
        <v/>
      </c>
      <c r="L99" s="119" t="str">
        <f aca="false">IF(J99="","",IF(ISNUMBER(MATCH(J99,Rider_Master[Rider ID],0)),1,0))</f>
        <v/>
      </c>
      <c r="M99" s="119" t="str">
        <f aca="false">IF(J99="","",INDEX(Rider_Input[Completed Orders],I99))</f>
        <v/>
      </c>
      <c r="N99" s="119" t="str">
        <f aca="false">IF(OR(J99="",K99=""),"",IFERROR(INDEX(RLVL_Data,K99,c_RLVL_Orders),""))</f>
        <v/>
      </c>
      <c r="O99" s="119" t="str">
        <f aca="false">IF(J99="","",IF(COUNTIF($J$6:$J$505,J99)&gt;1,1,0))</f>
        <v/>
      </c>
      <c r="P99" s="119" t="str">
        <f aca="false">IF(J99="","",IF(K99="","Not found in Paste_RLVL – deductions set to 0; ","")&amp;IF(L99=0,"New rider (not in Rider_Master) – OK, shown as Rider &lt;ID&gt;; ","")&amp;IF(AND(N99&lt;&gt;"",N99&lt;&gt;M99),"Orders differ: FTR "&amp;M99&amp;" vs RLVL "&amp;N99&amp;"; ","")&amp;IF(O99=1,"Duplicate Rider ID; ",""))</f>
        <v/>
      </c>
      <c r="Q99" s="119" t="str">
        <f aca="false">IF(P99="","",COUNTIF(P$6:P99,"?*"))</f>
        <v/>
      </c>
    </row>
    <row r="100" customFormat="false" ht="15" hidden="false" customHeight="false" outlineLevel="0" collapsed="false">
      <c r="I100" s="119" t="n">
        <v>95</v>
      </c>
      <c r="J100" s="119" t="str">
        <f aca="false">IFERROR(IF(INDEX(Rider_Input[Rider ID],I100)="","",INDEX(Rider_Input[Rider ID],I100)),"")</f>
        <v/>
      </c>
      <c r="K100" s="119" t="str">
        <f aca="false">IF(J100="","",IFERROR(MATCH(J100,INDEX(RLVL_Data,0,c_RLVL_ID),0),""))</f>
        <v/>
      </c>
      <c r="L100" s="119" t="str">
        <f aca="false">IF(J100="","",IF(ISNUMBER(MATCH(J100,Rider_Master[Rider ID],0)),1,0))</f>
        <v/>
      </c>
      <c r="M100" s="119" t="str">
        <f aca="false">IF(J100="","",INDEX(Rider_Input[Completed Orders],I100))</f>
        <v/>
      </c>
      <c r="N100" s="119" t="str">
        <f aca="false">IF(OR(J100="",K100=""),"",IFERROR(INDEX(RLVL_Data,K100,c_RLVL_Orders),""))</f>
        <v/>
      </c>
      <c r="O100" s="119" t="str">
        <f aca="false">IF(J100="","",IF(COUNTIF($J$6:$J$505,J100)&gt;1,1,0))</f>
        <v/>
      </c>
      <c r="P100" s="119" t="str">
        <f aca="false">IF(J100="","",IF(K100="","Not found in Paste_RLVL – deductions set to 0; ","")&amp;IF(L100=0,"New rider (not in Rider_Master) – OK, shown as Rider &lt;ID&gt;; ","")&amp;IF(AND(N100&lt;&gt;"",N100&lt;&gt;M100),"Orders differ: FTR "&amp;M100&amp;" vs RLVL "&amp;N100&amp;"; ","")&amp;IF(O100=1,"Duplicate Rider ID; ",""))</f>
        <v/>
      </c>
      <c r="Q100" s="119" t="str">
        <f aca="false">IF(P100="","",COUNTIF(P$6:P100,"?*"))</f>
        <v/>
      </c>
    </row>
    <row r="101" customFormat="false" ht="15" hidden="false" customHeight="false" outlineLevel="0" collapsed="false">
      <c r="I101" s="119" t="n">
        <v>96</v>
      </c>
      <c r="J101" s="119" t="str">
        <f aca="false">IFERROR(IF(INDEX(Rider_Input[Rider ID],I101)="","",INDEX(Rider_Input[Rider ID],I101)),"")</f>
        <v/>
      </c>
      <c r="K101" s="119" t="str">
        <f aca="false">IF(J101="","",IFERROR(MATCH(J101,INDEX(RLVL_Data,0,c_RLVL_ID),0),""))</f>
        <v/>
      </c>
      <c r="L101" s="119" t="str">
        <f aca="false">IF(J101="","",IF(ISNUMBER(MATCH(J101,Rider_Master[Rider ID],0)),1,0))</f>
        <v/>
      </c>
      <c r="M101" s="119" t="str">
        <f aca="false">IF(J101="","",INDEX(Rider_Input[Completed Orders],I101))</f>
        <v/>
      </c>
      <c r="N101" s="119" t="str">
        <f aca="false">IF(OR(J101="",K101=""),"",IFERROR(INDEX(RLVL_Data,K101,c_RLVL_Orders),""))</f>
        <v/>
      </c>
      <c r="O101" s="119" t="str">
        <f aca="false">IF(J101="","",IF(COUNTIF($J$6:$J$505,J101)&gt;1,1,0))</f>
        <v/>
      </c>
      <c r="P101" s="119" t="str">
        <f aca="false">IF(J101="","",IF(K101="","Not found in Paste_RLVL – deductions set to 0; ","")&amp;IF(L101=0,"New rider (not in Rider_Master) – OK, shown as Rider &lt;ID&gt;; ","")&amp;IF(AND(N101&lt;&gt;"",N101&lt;&gt;M101),"Orders differ: FTR "&amp;M101&amp;" vs RLVL "&amp;N101&amp;"; ","")&amp;IF(O101=1,"Duplicate Rider ID; ",""))</f>
        <v/>
      </c>
      <c r="Q101" s="119" t="str">
        <f aca="false">IF(P101="","",COUNTIF(P$6:P101,"?*"))</f>
        <v/>
      </c>
    </row>
    <row r="102" customFormat="false" ht="15" hidden="false" customHeight="false" outlineLevel="0" collapsed="false">
      <c r="I102" s="119" t="n">
        <v>97</v>
      </c>
      <c r="J102" s="119" t="str">
        <f aca="false">IFERROR(IF(INDEX(Rider_Input[Rider ID],I102)="","",INDEX(Rider_Input[Rider ID],I102)),"")</f>
        <v/>
      </c>
      <c r="K102" s="119" t="str">
        <f aca="false">IF(J102="","",IFERROR(MATCH(J102,INDEX(RLVL_Data,0,c_RLVL_ID),0),""))</f>
        <v/>
      </c>
      <c r="L102" s="119" t="str">
        <f aca="false">IF(J102="","",IF(ISNUMBER(MATCH(J102,Rider_Master[Rider ID],0)),1,0))</f>
        <v/>
      </c>
      <c r="M102" s="119" t="str">
        <f aca="false">IF(J102="","",INDEX(Rider_Input[Completed Orders],I102))</f>
        <v/>
      </c>
      <c r="N102" s="119" t="str">
        <f aca="false">IF(OR(J102="",K102=""),"",IFERROR(INDEX(RLVL_Data,K102,c_RLVL_Orders),""))</f>
        <v/>
      </c>
      <c r="O102" s="119" t="str">
        <f aca="false">IF(J102="","",IF(COUNTIF($J$6:$J$505,J102)&gt;1,1,0))</f>
        <v/>
      </c>
      <c r="P102" s="119" t="str">
        <f aca="false">IF(J102="","",IF(K102="","Not found in Paste_RLVL – deductions set to 0; ","")&amp;IF(L102=0,"New rider (not in Rider_Master) – OK, shown as Rider &lt;ID&gt;; ","")&amp;IF(AND(N102&lt;&gt;"",N102&lt;&gt;M102),"Orders differ: FTR "&amp;M102&amp;" vs RLVL "&amp;N102&amp;"; ","")&amp;IF(O102=1,"Duplicate Rider ID; ",""))</f>
        <v/>
      </c>
      <c r="Q102" s="119" t="str">
        <f aca="false">IF(P102="","",COUNTIF(P$6:P102,"?*"))</f>
        <v/>
      </c>
    </row>
    <row r="103" customFormat="false" ht="15" hidden="false" customHeight="false" outlineLevel="0" collapsed="false">
      <c r="I103" s="119" t="n">
        <v>98</v>
      </c>
      <c r="J103" s="119" t="str">
        <f aca="false">IFERROR(IF(INDEX(Rider_Input[Rider ID],I103)="","",INDEX(Rider_Input[Rider ID],I103)),"")</f>
        <v/>
      </c>
      <c r="K103" s="119" t="str">
        <f aca="false">IF(J103="","",IFERROR(MATCH(J103,INDEX(RLVL_Data,0,c_RLVL_ID),0),""))</f>
        <v/>
      </c>
      <c r="L103" s="119" t="str">
        <f aca="false">IF(J103="","",IF(ISNUMBER(MATCH(J103,Rider_Master[Rider ID],0)),1,0))</f>
        <v/>
      </c>
      <c r="M103" s="119" t="str">
        <f aca="false">IF(J103="","",INDEX(Rider_Input[Completed Orders],I103))</f>
        <v/>
      </c>
      <c r="N103" s="119" t="str">
        <f aca="false">IF(OR(J103="",K103=""),"",IFERROR(INDEX(RLVL_Data,K103,c_RLVL_Orders),""))</f>
        <v/>
      </c>
      <c r="O103" s="119" t="str">
        <f aca="false">IF(J103="","",IF(COUNTIF($J$6:$J$505,J103)&gt;1,1,0))</f>
        <v/>
      </c>
      <c r="P103" s="119" t="str">
        <f aca="false">IF(J103="","",IF(K103="","Not found in Paste_RLVL – deductions set to 0; ","")&amp;IF(L103=0,"New rider (not in Rider_Master) – OK, shown as Rider &lt;ID&gt;; ","")&amp;IF(AND(N103&lt;&gt;"",N103&lt;&gt;M103),"Orders differ: FTR "&amp;M103&amp;" vs RLVL "&amp;N103&amp;"; ","")&amp;IF(O103=1,"Duplicate Rider ID; ",""))</f>
        <v/>
      </c>
      <c r="Q103" s="119" t="str">
        <f aca="false">IF(P103="","",COUNTIF(P$6:P103,"?*"))</f>
        <v/>
      </c>
    </row>
    <row r="104" customFormat="false" ht="15" hidden="false" customHeight="false" outlineLevel="0" collapsed="false">
      <c r="I104" s="119" t="n">
        <v>99</v>
      </c>
      <c r="J104" s="119" t="str">
        <f aca="false">IFERROR(IF(INDEX(Rider_Input[Rider ID],I104)="","",INDEX(Rider_Input[Rider ID],I104)),"")</f>
        <v/>
      </c>
      <c r="K104" s="119" t="str">
        <f aca="false">IF(J104="","",IFERROR(MATCH(J104,INDEX(RLVL_Data,0,c_RLVL_ID),0),""))</f>
        <v/>
      </c>
      <c r="L104" s="119" t="str">
        <f aca="false">IF(J104="","",IF(ISNUMBER(MATCH(J104,Rider_Master[Rider ID],0)),1,0))</f>
        <v/>
      </c>
      <c r="M104" s="119" t="str">
        <f aca="false">IF(J104="","",INDEX(Rider_Input[Completed Orders],I104))</f>
        <v/>
      </c>
      <c r="N104" s="119" t="str">
        <f aca="false">IF(OR(J104="",K104=""),"",IFERROR(INDEX(RLVL_Data,K104,c_RLVL_Orders),""))</f>
        <v/>
      </c>
      <c r="O104" s="119" t="str">
        <f aca="false">IF(J104="","",IF(COUNTIF($J$6:$J$505,J104)&gt;1,1,0))</f>
        <v/>
      </c>
      <c r="P104" s="119" t="str">
        <f aca="false">IF(J104="","",IF(K104="","Not found in Paste_RLVL – deductions set to 0; ","")&amp;IF(L104=0,"New rider (not in Rider_Master) – OK, shown as Rider &lt;ID&gt;; ","")&amp;IF(AND(N104&lt;&gt;"",N104&lt;&gt;M104),"Orders differ: FTR "&amp;M104&amp;" vs RLVL "&amp;N104&amp;"; ","")&amp;IF(O104=1,"Duplicate Rider ID; ",""))</f>
        <v/>
      </c>
      <c r="Q104" s="119" t="str">
        <f aca="false">IF(P104="","",COUNTIF(P$6:P104,"?*"))</f>
        <v/>
      </c>
    </row>
    <row r="105" customFormat="false" ht="15" hidden="false" customHeight="false" outlineLevel="0" collapsed="false">
      <c r="I105" s="119" t="n">
        <v>100</v>
      </c>
      <c r="J105" s="119" t="str">
        <f aca="false">IFERROR(IF(INDEX(Rider_Input[Rider ID],I105)="","",INDEX(Rider_Input[Rider ID],I105)),"")</f>
        <v/>
      </c>
      <c r="K105" s="119" t="str">
        <f aca="false">IF(J105="","",IFERROR(MATCH(J105,INDEX(RLVL_Data,0,c_RLVL_ID),0),""))</f>
        <v/>
      </c>
      <c r="L105" s="119" t="str">
        <f aca="false">IF(J105="","",IF(ISNUMBER(MATCH(J105,Rider_Master[Rider ID],0)),1,0))</f>
        <v/>
      </c>
      <c r="M105" s="119" t="str">
        <f aca="false">IF(J105="","",INDEX(Rider_Input[Completed Orders],I105))</f>
        <v/>
      </c>
      <c r="N105" s="119" t="str">
        <f aca="false">IF(OR(J105="",K105=""),"",IFERROR(INDEX(RLVL_Data,K105,c_RLVL_Orders),""))</f>
        <v/>
      </c>
      <c r="O105" s="119" t="str">
        <f aca="false">IF(J105="","",IF(COUNTIF($J$6:$J$505,J105)&gt;1,1,0))</f>
        <v/>
      </c>
      <c r="P105" s="119" t="str">
        <f aca="false">IF(J105="","",IF(K105="","Not found in Paste_RLVL – deductions set to 0; ","")&amp;IF(L105=0,"New rider (not in Rider_Master) – OK, shown as Rider &lt;ID&gt;; ","")&amp;IF(AND(N105&lt;&gt;"",N105&lt;&gt;M105),"Orders differ: FTR "&amp;M105&amp;" vs RLVL "&amp;N105&amp;"; ","")&amp;IF(O105=1,"Duplicate Rider ID; ",""))</f>
        <v/>
      </c>
      <c r="Q105" s="119" t="str">
        <f aca="false">IF(P105="","",COUNTIF(P$6:P105,"?*"))</f>
        <v/>
      </c>
    </row>
    <row r="106" customFormat="false" ht="15" hidden="false" customHeight="false" outlineLevel="0" collapsed="false">
      <c r="I106" s="119" t="n">
        <v>101</v>
      </c>
      <c r="J106" s="119" t="str">
        <f aca="false">IFERROR(IF(INDEX(Rider_Input[Rider ID],I106)="","",INDEX(Rider_Input[Rider ID],I106)),"")</f>
        <v/>
      </c>
      <c r="K106" s="119" t="str">
        <f aca="false">IF(J106="","",IFERROR(MATCH(J106,INDEX(RLVL_Data,0,c_RLVL_ID),0),""))</f>
        <v/>
      </c>
      <c r="L106" s="119" t="str">
        <f aca="false">IF(J106="","",IF(ISNUMBER(MATCH(J106,Rider_Master[Rider ID],0)),1,0))</f>
        <v/>
      </c>
      <c r="M106" s="119" t="str">
        <f aca="false">IF(J106="","",INDEX(Rider_Input[Completed Orders],I106))</f>
        <v/>
      </c>
      <c r="N106" s="119" t="str">
        <f aca="false">IF(OR(J106="",K106=""),"",IFERROR(INDEX(RLVL_Data,K106,c_RLVL_Orders),""))</f>
        <v/>
      </c>
      <c r="O106" s="119" t="str">
        <f aca="false">IF(J106="","",IF(COUNTIF($J$6:$J$505,J106)&gt;1,1,0))</f>
        <v/>
      </c>
      <c r="P106" s="119" t="str">
        <f aca="false">IF(J106="","",IF(K106="","Not found in Paste_RLVL – deductions set to 0; ","")&amp;IF(L106=0,"New rider (not in Rider_Master) – OK, shown as Rider &lt;ID&gt;; ","")&amp;IF(AND(N106&lt;&gt;"",N106&lt;&gt;M106),"Orders differ: FTR "&amp;M106&amp;" vs RLVL "&amp;N106&amp;"; ","")&amp;IF(O106=1,"Duplicate Rider ID; ",""))</f>
        <v/>
      </c>
      <c r="Q106" s="119" t="str">
        <f aca="false">IF(P106="","",COUNTIF(P$6:P106,"?*"))</f>
        <v/>
      </c>
    </row>
    <row r="107" customFormat="false" ht="15" hidden="false" customHeight="false" outlineLevel="0" collapsed="false">
      <c r="I107" s="119" t="n">
        <v>102</v>
      </c>
      <c r="J107" s="119" t="str">
        <f aca="false">IFERROR(IF(INDEX(Rider_Input[Rider ID],I107)="","",INDEX(Rider_Input[Rider ID],I107)),"")</f>
        <v/>
      </c>
      <c r="K107" s="119" t="str">
        <f aca="false">IF(J107="","",IFERROR(MATCH(J107,INDEX(RLVL_Data,0,c_RLVL_ID),0),""))</f>
        <v/>
      </c>
      <c r="L107" s="119" t="str">
        <f aca="false">IF(J107="","",IF(ISNUMBER(MATCH(J107,Rider_Master[Rider ID],0)),1,0))</f>
        <v/>
      </c>
      <c r="M107" s="119" t="str">
        <f aca="false">IF(J107="","",INDEX(Rider_Input[Completed Orders],I107))</f>
        <v/>
      </c>
      <c r="N107" s="119" t="str">
        <f aca="false">IF(OR(J107="",K107=""),"",IFERROR(INDEX(RLVL_Data,K107,c_RLVL_Orders),""))</f>
        <v/>
      </c>
      <c r="O107" s="119" t="str">
        <f aca="false">IF(J107="","",IF(COUNTIF($J$6:$J$505,J107)&gt;1,1,0))</f>
        <v/>
      </c>
      <c r="P107" s="119" t="str">
        <f aca="false">IF(J107="","",IF(K107="","Not found in Paste_RLVL – deductions set to 0; ","")&amp;IF(L107=0,"New rider (not in Rider_Master) – OK, shown as Rider &lt;ID&gt;; ","")&amp;IF(AND(N107&lt;&gt;"",N107&lt;&gt;M107),"Orders differ: FTR "&amp;M107&amp;" vs RLVL "&amp;N107&amp;"; ","")&amp;IF(O107=1,"Duplicate Rider ID; ",""))</f>
        <v/>
      </c>
      <c r="Q107" s="119" t="str">
        <f aca="false">IF(P107="","",COUNTIF(P$6:P107,"?*"))</f>
        <v/>
      </c>
    </row>
    <row r="108" customFormat="false" ht="15" hidden="false" customHeight="false" outlineLevel="0" collapsed="false">
      <c r="I108" s="119" t="n">
        <v>103</v>
      </c>
      <c r="J108" s="119" t="str">
        <f aca="false">IFERROR(IF(INDEX(Rider_Input[Rider ID],I108)="","",INDEX(Rider_Input[Rider ID],I108)),"")</f>
        <v/>
      </c>
      <c r="K108" s="119" t="str">
        <f aca="false">IF(J108="","",IFERROR(MATCH(J108,INDEX(RLVL_Data,0,c_RLVL_ID),0),""))</f>
        <v/>
      </c>
      <c r="L108" s="119" t="str">
        <f aca="false">IF(J108="","",IF(ISNUMBER(MATCH(J108,Rider_Master[Rider ID],0)),1,0))</f>
        <v/>
      </c>
      <c r="M108" s="119" t="str">
        <f aca="false">IF(J108="","",INDEX(Rider_Input[Completed Orders],I108))</f>
        <v/>
      </c>
      <c r="N108" s="119" t="str">
        <f aca="false">IF(OR(J108="",K108=""),"",IFERROR(INDEX(RLVL_Data,K108,c_RLVL_Orders),""))</f>
        <v/>
      </c>
      <c r="O108" s="119" t="str">
        <f aca="false">IF(J108="","",IF(COUNTIF($J$6:$J$505,J108)&gt;1,1,0))</f>
        <v/>
      </c>
      <c r="P108" s="119" t="str">
        <f aca="false">IF(J108="","",IF(K108="","Not found in Paste_RLVL – deductions set to 0; ","")&amp;IF(L108=0,"New rider (not in Rider_Master) – OK, shown as Rider &lt;ID&gt;; ","")&amp;IF(AND(N108&lt;&gt;"",N108&lt;&gt;M108),"Orders differ: FTR "&amp;M108&amp;" vs RLVL "&amp;N108&amp;"; ","")&amp;IF(O108=1,"Duplicate Rider ID; ",""))</f>
        <v/>
      </c>
      <c r="Q108" s="119" t="str">
        <f aca="false">IF(P108="","",COUNTIF(P$6:P108,"?*"))</f>
        <v/>
      </c>
    </row>
    <row r="109" customFormat="false" ht="15" hidden="false" customHeight="false" outlineLevel="0" collapsed="false">
      <c r="I109" s="119" t="n">
        <v>104</v>
      </c>
      <c r="J109" s="119" t="str">
        <f aca="false">IFERROR(IF(INDEX(Rider_Input[Rider ID],I109)="","",INDEX(Rider_Input[Rider ID],I109)),"")</f>
        <v/>
      </c>
      <c r="K109" s="119" t="str">
        <f aca="false">IF(J109="","",IFERROR(MATCH(J109,INDEX(RLVL_Data,0,c_RLVL_ID),0),""))</f>
        <v/>
      </c>
      <c r="L109" s="119" t="str">
        <f aca="false">IF(J109="","",IF(ISNUMBER(MATCH(J109,Rider_Master[Rider ID],0)),1,0))</f>
        <v/>
      </c>
      <c r="M109" s="119" t="str">
        <f aca="false">IF(J109="","",INDEX(Rider_Input[Completed Orders],I109))</f>
        <v/>
      </c>
      <c r="N109" s="119" t="str">
        <f aca="false">IF(OR(J109="",K109=""),"",IFERROR(INDEX(RLVL_Data,K109,c_RLVL_Orders),""))</f>
        <v/>
      </c>
      <c r="O109" s="119" t="str">
        <f aca="false">IF(J109="","",IF(COUNTIF($J$6:$J$505,J109)&gt;1,1,0))</f>
        <v/>
      </c>
      <c r="P109" s="119" t="str">
        <f aca="false">IF(J109="","",IF(K109="","Not found in Paste_RLVL – deductions set to 0; ","")&amp;IF(L109=0,"New rider (not in Rider_Master) – OK, shown as Rider &lt;ID&gt;; ","")&amp;IF(AND(N109&lt;&gt;"",N109&lt;&gt;M109),"Orders differ: FTR "&amp;M109&amp;" vs RLVL "&amp;N109&amp;"; ","")&amp;IF(O109=1,"Duplicate Rider ID; ",""))</f>
        <v/>
      </c>
      <c r="Q109" s="119" t="str">
        <f aca="false">IF(P109="","",COUNTIF(P$6:P109,"?*"))</f>
        <v/>
      </c>
    </row>
    <row r="110" customFormat="false" ht="15" hidden="false" customHeight="false" outlineLevel="0" collapsed="false">
      <c r="I110" s="119" t="n">
        <v>105</v>
      </c>
      <c r="J110" s="119" t="str">
        <f aca="false">IFERROR(IF(INDEX(Rider_Input[Rider ID],I110)="","",INDEX(Rider_Input[Rider ID],I110)),"")</f>
        <v/>
      </c>
      <c r="K110" s="119" t="str">
        <f aca="false">IF(J110="","",IFERROR(MATCH(J110,INDEX(RLVL_Data,0,c_RLVL_ID),0),""))</f>
        <v/>
      </c>
      <c r="L110" s="119" t="str">
        <f aca="false">IF(J110="","",IF(ISNUMBER(MATCH(J110,Rider_Master[Rider ID],0)),1,0))</f>
        <v/>
      </c>
      <c r="M110" s="119" t="str">
        <f aca="false">IF(J110="","",INDEX(Rider_Input[Completed Orders],I110))</f>
        <v/>
      </c>
      <c r="N110" s="119" t="str">
        <f aca="false">IF(OR(J110="",K110=""),"",IFERROR(INDEX(RLVL_Data,K110,c_RLVL_Orders),""))</f>
        <v/>
      </c>
      <c r="O110" s="119" t="str">
        <f aca="false">IF(J110="","",IF(COUNTIF($J$6:$J$505,J110)&gt;1,1,0))</f>
        <v/>
      </c>
      <c r="P110" s="119" t="str">
        <f aca="false">IF(J110="","",IF(K110="","Not found in Paste_RLVL – deductions set to 0; ","")&amp;IF(L110=0,"New rider (not in Rider_Master) – OK, shown as Rider &lt;ID&gt;; ","")&amp;IF(AND(N110&lt;&gt;"",N110&lt;&gt;M110),"Orders differ: FTR "&amp;M110&amp;" vs RLVL "&amp;N110&amp;"; ","")&amp;IF(O110=1,"Duplicate Rider ID; ",""))</f>
        <v/>
      </c>
      <c r="Q110" s="119" t="str">
        <f aca="false">IF(P110="","",COUNTIF(P$6:P110,"?*"))</f>
        <v/>
      </c>
    </row>
    <row r="111" customFormat="false" ht="15" hidden="false" customHeight="false" outlineLevel="0" collapsed="false">
      <c r="I111" s="119" t="n">
        <v>106</v>
      </c>
      <c r="J111" s="119" t="str">
        <f aca="false">IFERROR(IF(INDEX(Rider_Input[Rider ID],I111)="","",INDEX(Rider_Input[Rider ID],I111)),"")</f>
        <v/>
      </c>
      <c r="K111" s="119" t="str">
        <f aca="false">IF(J111="","",IFERROR(MATCH(J111,INDEX(RLVL_Data,0,c_RLVL_ID),0),""))</f>
        <v/>
      </c>
      <c r="L111" s="119" t="str">
        <f aca="false">IF(J111="","",IF(ISNUMBER(MATCH(J111,Rider_Master[Rider ID],0)),1,0))</f>
        <v/>
      </c>
      <c r="M111" s="119" t="str">
        <f aca="false">IF(J111="","",INDEX(Rider_Input[Completed Orders],I111))</f>
        <v/>
      </c>
      <c r="N111" s="119" t="str">
        <f aca="false">IF(OR(J111="",K111=""),"",IFERROR(INDEX(RLVL_Data,K111,c_RLVL_Orders),""))</f>
        <v/>
      </c>
      <c r="O111" s="119" t="str">
        <f aca="false">IF(J111="","",IF(COUNTIF($J$6:$J$505,J111)&gt;1,1,0))</f>
        <v/>
      </c>
      <c r="P111" s="119" t="str">
        <f aca="false">IF(J111="","",IF(K111="","Not found in Paste_RLVL – deductions set to 0; ","")&amp;IF(L111=0,"New rider (not in Rider_Master) – OK, shown as Rider &lt;ID&gt;; ","")&amp;IF(AND(N111&lt;&gt;"",N111&lt;&gt;M111),"Orders differ: FTR "&amp;M111&amp;" vs RLVL "&amp;N111&amp;"; ","")&amp;IF(O111=1,"Duplicate Rider ID; ",""))</f>
        <v/>
      </c>
      <c r="Q111" s="119" t="str">
        <f aca="false">IF(P111="","",COUNTIF(P$6:P111,"?*"))</f>
        <v/>
      </c>
    </row>
    <row r="112" customFormat="false" ht="15" hidden="false" customHeight="false" outlineLevel="0" collapsed="false">
      <c r="I112" s="119" t="n">
        <v>107</v>
      </c>
      <c r="J112" s="119" t="str">
        <f aca="false">IFERROR(IF(INDEX(Rider_Input[Rider ID],I112)="","",INDEX(Rider_Input[Rider ID],I112)),"")</f>
        <v/>
      </c>
      <c r="K112" s="119" t="str">
        <f aca="false">IF(J112="","",IFERROR(MATCH(J112,INDEX(RLVL_Data,0,c_RLVL_ID),0),""))</f>
        <v/>
      </c>
      <c r="L112" s="119" t="str">
        <f aca="false">IF(J112="","",IF(ISNUMBER(MATCH(J112,Rider_Master[Rider ID],0)),1,0))</f>
        <v/>
      </c>
      <c r="M112" s="119" t="str">
        <f aca="false">IF(J112="","",INDEX(Rider_Input[Completed Orders],I112))</f>
        <v/>
      </c>
      <c r="N112" s="119" t="str">
        <f aca="false">IF(OR(J112="",K112=""),"",IFERROR(INDEX(RLVL_Data,K112,c_RLVL_Orders),""))</f>
        <v/>
      </c>
      <c r="O112" s="119" t="str">
        <f aca="false">IF(J112="","",IF(COUNTIF($J$6:$J$505,J112)&gt;1,1,0))</f>
        <v/>
      </c>
      <c r="P112" s="119" t="str">
        <f aca="false">IF(J112="","",IF(K112="","Not found in Paste_RLVL – deductions set to 0; ","")&amp;IF(L112=0,"New rider (not in Rider_Master) – OK, shown as Rider &lt;ID&gt;; ","")&amp;IF(AND(N112&lt;&gt;"",N112&lt;&gt;M112),"Orders differ: FTR "&amp;M112&amp;" vs RLVL "&amp;N112&amp;"; ","")&amp;IF(O112=1,"Duplicate Rider ID; ",""))</f>
        <v/>
      </c>
      <c r="Q112" s="119" t="str">
        <f aca="false">IF(P112="","",COUNTIF(P$6:P112,"?*"))</f>
        <v/>
      </c>
    </row>
    <row r="113" customFormat="false" ht="15" hidden="false" customHeight="false" outlineLevel="0" collapsed="false">
      <c r="I113" s="119" t="n">
        <v>108</v>
      </c>
      <c r="J113" s="119" t="str">
        <f aca="false">IFERROR(IF(INDEX(Rider_Input[Rider ID],I113)="","",INDEX(Rider_Input[Rider ID],I113)),"")</f>
        <v/>
      </c>
      <c r="K113" s="119" t="str">
        <f aca="false">IF(J113="","",IFERROR(MATCH(J113,INDEX(RLVL_Data,0,c_RLVL_ID),0),""))</f>
        <v/>
      </c>
      <c r="L113" s="119" t="str">
        <f aca="false">IF(J113="","",IF(ISNUMBER(MATCH(J113,Rider_Master[Rider ID],0)),1,0))</f>
        <v/>
      </c>
      <c r="M113" s="119" t="str">
        <f aca="false">IF(J113="","",INDEX(Rider_Input[Completed Orders],I113))</f>
        <v/>
      </c>
      <c r="N113" s="119" t="str">
        <f aca="false">IF(OR(J113="",K113=""),"",IFERROR(INDEX(RLVL_Data,K113,c_RLVL_Orders),""))</f>
        <v/>
      </c>
      <c r="O113" s="119" t="str">
        <f aca="false">IF(J113="","",IF(COUNTIF($J$6:$J$505,J113)&gt;1,1,0))</f>
        <v/>
      </c>
      <c r="P113" s="119" t="str">
        <f aca="false">IF(J113="","",IF(K113="","Not found in Paste_RLVL – deductions set to 0; ","")&amp;IF(L113=0,"New rider (not in Rider_Master) – OK, shown as Rider &lt;ID&gt;; ","")&amp;IF(AND(N113&lt;&gt;"",N113&lt;&gt;M113),"Orders differ: FTR "&amp;M113&amp;" vs RLVL "&amp;N113&amp;"; ","")&amp;IF(O113=1,"Duplicate Rider ID; ",""))</f>
        <v/>
      </c>
      <c r="Q113" s="119" t="str">
        <f aca="false">IF(P113="","",COUNTIF(P$6:P113,"?*"))</f>
        <v/>
      </c>
    </row>
    <row r="114" customFormat="false" ht="15" hidden="false" customHeight="false" outlineLevel="0" collapsed="false">
      <c r="I114" s="119" t="n">
        <v>109</v>
      </c>
      <c r="J114" s="119" t="str">
        <f aca="false">IFERROR(IF(INDEX(Rider_Input[Rider ID],I114)="","",INDEX(Rider_Input[Rider ID],I114)),"")</f>
        <v/>
      </c>
      <c r="K114" s="119" t="str">
        <f aca="false">IF(J114="","",IFERROR(MATCH(J114,INDEX(RLVL_Data,0,c_RLVL_ID),0),""))</f>
        <v/>
      </c>
      <c r="L114" s="119" t="str">
        <f aca="false">IF(J114="","",IF(ISNUMBER(MATCH(J114,Rider_Master[Rider ID],0)),1,0))</f>
        <v/>
      </c>
      <c r="M114" s="119" t="str">
        <f aca="false">IF(J114="","",INDEX(Rider_Input[Completed Orders],I114))</f>
        <v/>
      </c>
      <c r="N114" s="119" t="str">
        <f aca="false">IF(OR(J114="",K114=""),"",IFERROR(INDEX(RLVL_Data,K114,c_RLVL_Orders),""))</f>
        <v/>
      </c>
      <c r="O114" s="119" t="str">
        <f aca="false">IF(J114="","",IF(COUNTIF($J$6:$J$505,J114)&gt;1,1,0))</f>
        <v/>
      </c>
      <c r="P114" s="119" t="str">
        <f aca="false">IF(J114="","",IF(K114="","Not found in Paste_RLVL – deductions set to 0; ","")&amp;IF(L114=0,"New rider (not in Rider_Master) – OK, shown as Rider &lt;ID&gt;; ","")&amp;IF(AND(N114&lt;&gt;"",N114&lt;&gt;M114),"Orders differ: FTR "&amp;M114&amp;" vs RLVL "&amp;N114&amp;"; ","")&amp;IF(O114=1,"Duplicate Rider ID; ",""))</f>
        <v/>
      </c>
      <c r="Q114" s="119" t="str">
        <f aca="false">IF(P114="","",COUNTIF(P$6:P114,"?*"))</f>
        <v/>
      </c>
    </row>
    <row r="115" customFormat="false" ht="15" hidden="false" customHeight="false" outlineLevel="0" collapsed="false">
      <c r="I115" s="119" t="n">
        <v>110</v>
      </c>
      <c r="J115" s="119" t="str">
        <f aca="false">IFERROR(IF(INDEX(Rider_Input[Rider ID],I115)="","",INDEX(Rider_Input[Rider ID],I115)),"")</f>
        <v/>
      </c>
      <c r="K115" s="119" t="str">
        <f aca="false">IF(J115="","",IFERROR(MATCH(J115,INDEX(RLVL_Data,0,c_RLVL_ID),0),""))</f>
        <v/>
      </c>
      <c r="L115" s="119" t="str">
        <f aca="false">IF(J115="","",IF(ISNUMBER(MATCH(J115,Rider_Master[Rider ID],0)),1,0))</f>
        <v/>
      </c>
      <c r="M115" s="119" t="str">
        <f aca="false">IF(J115="","",INDEX(Rider_Input[Completed Orders],I115))</f>
        <v/>
      </c>
      <c r="N115" s="119" t="str">
        <f aca="false">IF(OR(J115="",K115=""),"",IFERROR(INDEX(RLVL_Data,K115,c_RLVL_Orders),""))</f>
        <v/>
      </c>
      <c r="O115" s="119" t="str">
        <f aca="false">IF(J115="","",IF(COUNTIF($J$6:$J$505,J115)&gt;1,1,0))</f>
        <v/>
      </c>
      <c r="P115" s="119" t="str">
        <f aca="false">IF(J115="","",IF(K115="","Not found in Paste_RLVL – deductions set to 0; ","")&amp;IF(L115=0,"New rider (not in Rider_Master) – OK, shown as Rider &lt;ID&gt;; ","")&amp;IF(AND(N115&lt;&gt;"",N115&lt;&gt;M115),"Orders differ: FTR "&amp;M115&amp;" vs RLVL "&amp;N115&amp;"; ","")&amp;IF(O115=1,"Duplicate Rider ID; ",""))</f>
        <v/>
      </c>
      <c r="Q115" s="119" t="str">
        <f aca="false">IF(P115="","",COUNTIF(P$6:P115,"?*"))</f>
        <v/>
      </c>
    </row>
    <row r="116" customFormat="false" ht="15" hidden="false" customHeight="false" outlineLevel="0" collapsed="false">
      <c r="I116" s="119" t="n">
        <v>111</v>
      </c>
      <c r="J116" s="119" t="str">
        <f aca="false">IFERROR(IF(INDEX(Rider_Input[Rider ID],I116)="","",INDEX(Rider_Input[Rider ID],I116)),"")</f>
        <v/>
      </c>
      <c r="K116" s="119" t="str">
        <f aca="false">IF(J116="","",IFERROR(MATCH(J116,INDEX(RLVL_Data,0,c_RLVL_ID),0),""))</f>
        <v/>
      </c>
      <c r="L116" s="119" t="str">
        <f aca="false">IF(J116="","",IF(ISNUMBER(MATCH(J116,Rider_Master[Rider ID],0)),1,0))</f>
        <v/>
      </c>
      <c r="M116" s="119" t="str">
        <f aca="false">IF(J116="","",INDEX(Rider_Input[Completed Orders],I116))</f>
        <v/>
      </c>
      <c r="N116" s="119" t="str">
        <f aca="false">IF(OR(J116="",K116=""),"",IFERROR(INDEX(RLVL_Data,K116,c_RLVL_Orders),""))</f>
        <v/>
      </c>
      <c r="O116" s="119" t="str">
        <f aca="false">IF(J116="","",IF(COUNTIF($J$6:$J$505,J116)&gt;1,1,0))</f>
        <v/>
      </c>
      <c r="P116" s="119" t="str">
        <f aca="false">IF(J116="","",IF(K116="","Not found in Paste_RLVL – deductions set to 0; ","")&amp;IF(L116=0,"New rider (not in Rider_Master) – OK, shown as Rider &lt;ID&gt;; ","")&amp;IF(AND(N116&lt;&gt;"",N116&lt;&gt;M116),"Orders differ: FTR "&amp;M116&amp;" vs RLVL "&amp;N116&amp;"; ","")&amp;IF(O116=1,"Duplicate Rider ID; ",""))</f>
        <v/>
      </c>
      <c r="Q116" s="119" t="str">
        <f aca="false">IF(P116="","",COUNTIF(P$6:P116,"?*"))</f>
        <v/>
      </c>
    </row>
    <row r="117" customFormat="false" ht="15" hidden="false" customHeight="false" outlineLevel="0" collapsed="false">
      <c r="I117" s="119" t="n">
        <v>112</v>
      </c>
      <c r="J117" s="119" t="str">
        <f aca="false">IFERROR(IF(INDEX(Rider_Input[Rider ID],I117)="","",INDEX(Rider_Input[Rider ID],I117)),"")</f>
        <v/>
      </c>
      <c r="K117" s="119" t="str">
        <f aca="false">IF(J117="","",IFERROR(MATCH(J117,INDEX(RLVL_Data,0,c_RLVL_ID),0),""))</f>
        <v/>
      </c>
      <c r="L117" s="119" t="str">
        <f aca="false">IF(J117="","",IF(ISNUMBER(MATCH(J117,Rider_Master[Rider ID],0)),1,0))</f>
        <v/>
      </c>
      <c r="M117" s="119" t="str">
        <f aca="false">IF(J117="","",INDEX(Rider_Input[Completed Orders],I117))</f>
        <v/>
      </c>
      <c r="N117" s="119" t="str">
        <f aca="false">IF(OR(J117="",K117=""),"",IFERROR(INDEX(RLVL_Data,K117,c_RLVL_Orders),""))</f>
        <v/>
      </c>
      <c r="O117" s="119" t="str">
        <f aca="false">IF(J117="","",IF(COUNTIF($J$6:$J$505,J117)&gt;1,1,0))</f>
        <v/>
      </c>
      <c r="P117" s="119" t="str">
        <f aca="false">IF(J117="","",IF(K117="","Not found in Paste_RLVL – deductions set to 0; ","")&amp;IF(L117=0,"New rider (not in Rider_Master) – OK, shown as Rider &lt;ID&gt;; ","")&amp;IF(AND(N117&lt;&gt;"",N117&lt;&gt;M117),"Orders differ: FTR "&amp;M117&amp;" vs RLVL "&amp;N117&amp;"; ","")&amp;IF(O117=1,"Duplicate Rider ID; ",""))</f>
        <v/>
      </c>
      <c r="Q117" s="119" t="str">
        <f aca="false">IF(P117="","",COUNTIF(P$6:P117,"?*"))</f>
        <v/>
      </c>
    </row>
    <row r="118" customFormat="false" ht="15" hidden="false" customHeight="false" outlineLevel="0" collapsed="false">
      <c r="I118" s="119" t="n">
        <v>113</v>
      </c>
      <c r="J118" s="119" t="str">
        <f aca="false">IFERROR(IF(INDEX(Rider_Input[Rider ID],I118)="","",INDEX(Rider_Input[Rider ID],I118)),"")</f>
        <v/>
      </c>
      <c r="K118" s="119" t="str">
        <f aca="false">IF(J118="","",IFERROR(MATCH(J118,INDEX(RLVL_Data,0,c_RLVL_ID),0),""))</f>
        <v/>
      </c>
      <c r="L118" s="119" t="str">
        <f aca="false">IF(J118="","",IF(ISNUMBER(MATCH(J118,Rider_Master[Rider ID],0)),1,0))</f>
        <v/>
      </c>
      <c r="M118" s="119" t="str">
        <f aca="false">IF(J118="","",INDEX(Rider_Input[Completed Orders],I118))</f>
        <v/>
      </c>
      <c r="N118" s="119" t="str">
        <f aca="false">IF(OR(J118="",K118=""),"",IFERROR(INDEX(RLVL_Data,K118,c_RLVL_Orders),""))</f>
        <v/>
      </c>
      <c r="O118" s="119" t="str">
        <f aca="false">IF(J118="","",IF(COUNTIF($J$6:$J$505,J118)&gt;1,1,0))</f>
        <v/>
      </c>
      <c r="P118" s="119" t="str">
        <f aca="false">IF(J118="","",IF(K118="","Not found in Paste_RLVL – deductions set to 0; ","")&amp;IF(L118=0,"New rider (not in Rider_Master) – OK, shown as Rider &lt;ID&gt;; ","")&amp;IF(AND(N118&lt;&gt;"",N118&lt;&gt;M118),"Orders differ: FTR "&amp;M118&amp;" vs RLVL "&amp;N118&amp;"; ","")&amp;IF(O118=1,"Duplicate Rider ID; ",""))</f>
        <v/>
      </c>
      <c r="Q118" s="119" t="str">
        <f aca="false">IF(P118="","",COUNTIF(P$6:P118,"?*"))</f>
        <v/>
      </c>
    </row>
    <row r="119" customFormat="false" ht="15" hidden="false" customHeight="false" outlineLevel="0" collapsed="false">
      <c r="I119" s="119" t="n">
        <v>114</v>
      </c>
      <c r="J119" s="119" t="str">
        <f aca="false">IFERROR(IF(INDEX(Rider_Input[Rider ID],I119)="","",INDEX(Rider_Input[Rider ID],I119)),"")</f>
        <v/>
      </c>
      <c r="K119" s="119" t="str">
        <f aca="false">IF(J119="","",IFERROR(MATCH(J119,INDEX(RLVL_Data,0,c_RLVL_ID),0),""))</f>
        <v/>
      </c>
      <c r="L119" s="119" t="str">
        <f aca="false">IF(J119="","",IF(ISNUMBER(MATCH(J119,Rider_Master[Rider ID],0)),1,0))</f>
        <v/>
      </c>
      <c r="M119" s="119" t="str">
        <f aca="false">IF(J119="","",INDEX(Rider_Input[Completed Orders],I119))</f>
        <v/>
      </c>
      <c r="N119" s="119" t="str">
        <f aca="false">IF(OR(J119="",K119=""),"",IFERROR(INDEX(RLVL_Data,K119,c_RLVL_Orders),""))</f>
        <v/>
      </c>
      <c r="O119" s="119" t="str">
        <f aca="false">IF(J119="","",IF(COUNTIF($J$6:$J$505,J119)&gt;1,1,0))</f>
        <v/>
      </c>
      <c r="P119" s="119" t="str">
        <f aca="false">IF(J119="","",IF(K119="","Not found in Paste_RLVL – deductions set to 0; ","")&amp;IF(L119=0,"New rider (not in Rider_Master) – OK, shown as Rider &lt;ID&gt;; ","")&amp;IF(AND(N119&lt;&gt;"",N119&lt;&gt;M119),"Orders differ: FTR "&amp;M119&amp;" vs RLVL "&amp;N119&amp;"; ","")&amp;IF(O119=1,"Duplicate Rider ID; ",""))</f>
        <v/>
      </c>
      <c r="Q119" s="119" t="str">
        <f aca="false">IF(P119="","",COUNTIF(P$6:P119,"?*"))</f>
        <v/>
      </c>
    </row>
    <row r="120" customFormat="false" ht="15" hidden="false" customHeight="false" outlineLevel="0" collapsed="false">
      <c r="I120" s="119" t="n">
        <v>115</v>
      </c>
      <c r="J120" s="119" t="str">
        <f aca="false">IFERROR(IF(INDEX(Rider_Input[Rider ID],I120)="","",INDEX(Rider_Input[Rider ID],I120)),"")</f>
        <v/>
      </c>
      <c r="K120" s="119" t="str">
        <f aca="false">IF(J120="","",IFERROR(MATCH(J120,INDEX(RLVL_Data,0,c_RLVL_ID),0),""))</f>
        <v/>
      </c>
      <c r="L120" s="119" t="str">
        <f aca="false">IF(J120="","",IF(ISNUMBER(MATCH(J120,Rider_Master[Rider ID],0)),1,0))</f>
        <v/>
      </c>
      <c r="M120" s="119" t="str">
        <f aca="false">IF(J120="","",INDEX(Rider_Input[Completed Orders],I120))</f>
        <v/>
      </c>
      <c r="N120" s="119" t="str">
        <f aca="false">IF(OR(J120="",K120=""),"",IFERROR(INDEX(RLVL_Data,K120,c_RLVL_Orders),""))</f>
        <v/>
      </c>
      <c r="O120" s="119" t="str">
        <f aca="false">IF(J120="","",IF(COUNTIF($J$6:$J$505,J120)&gt;1,1,0))</f>
        <v/>
      </c>
      <c r="P120" s="119" t="str">
        <f aca="false">IF(J120="","",IF(K120="","Not found in Paste_RLVL – deductions set to 0; ","")&amp;IF(L120=0,"New rider (not in Rider_Master) – OK, shown as Rider &lt;ID&gt;; ","")&amp;IF(AND(N120&lt;&gt;"",N120&lt;&gt;M120),"Orders differ: FTR "&amp;M120&amp;" vs RLVL "&amp;N120&amp;"; ","")&amp;IF(O120=1,"Duplicate Rider ID; ",""))</f>
        <v/>
      </c>
      <c r="Q120" s="119" t="str">
        <f aca="false">IF(P120="","",COUNTIF(P$6:P120,"?*"))</f>
        <v/>
      </c>
    </row>
    <row r="121" customFormat="false" ht="15" hidden="false" customHeight="false" outlineLevel="0" collapsed="false">
      <c r="I121" s="119" t="n">
        <v>116</v>
      </c>
      <c r="J121" s="119" t="str">
        <f aca="false">IFERROR(IF(INDEX(Rider_Input[Rider ID],I121)="","",INDEX(Rider_Input[Rider ID],I121)),"")</f>
        <v/>
      </c>
      <c r="K121" s="119" t="str">
        <f aca="false">IF(J121="","",IFERROR(MATCH(J121,INDEX(RLVL_Data,0,c_RLVL_ID),0),""))</f>
        <v/>
      </c>
      <c r="L121" s="119" t="str">
        <f aca="false">IF(J121="","",IF(ISNUMBER(MATCH(J121,Rider_Master[Rider ID],0)),1,0))</f>
        <v/>
      </c>
      <c r="M121" s="119" t="str">
        <f aca="false">IF(J121="","",INDEX(Rider_Input[Completed Orders],I121))</f>
        <v/>
      </c>
      <c r="N121" s="119" t="str">
        <f aca="false">IF(OR(J121="",K121=""),"",IFERROR(INDEX(RLVL_Data,K121,c_RLVL_Orders),""))</f>
        <v/>
      </c>
      <c r="O121" s="119" t="str">
        <f aca="false">IF(J121="","",IF(COUNTIF($J$6:$J$505,J121)&gt;1,1,0))</f>
        <v/>
      </c>
      <c r="P121" s="119" t="str">
        <f aca="false">IF(J121="","",IF(K121="","Not found in Paste_RLVL – deductions set to 0; ","")&amp;IF(L121=0,"New rider (not in Rider_Master) – OK, shown as Rider &lt;ID&gt;; ","")&amp;IF(AND(N121&lt;&gt;"",N121&lt;&gt;M121),"Orders differ: FTR "&amp;M121&amp;" vs RLVL "&amp;N121&amp;"; ","")&amp;IF(O121=1,"Duplicate Rider ID; ",""))</f>
        <v/>
      </c>
      <c r="Q121" s="119" t="str">
        <f aca="false">IF(P121="","",COUNTIF(P$6:P121,"?*"))</f>
        <v/>
      </c>
    </row>
    <row r="122" customFormat="false" ht="15" hidden="false" customHeight="false" outlineLevel="0" collapsed="false">
      <c r="I122" s="119" t="n">
        <v>117</v>
      </c>
      <c r="J122" s="119" t="str">
        <f aca="false">IFERROR(IF(INDEX(Rider_Input[Rider ID],I122)="","",INDEX(Rider_Input[Rider ID],I122)),"")</f>
        <v/>
      </c>
      <c r="K122" s="119" t="str">
        <f aca="false">IF(J122="","",IFERROR(MATCH(J122,INDEX(RLVL_Data,0,c_RLVL_ID),0),""))</f>
        <v/>
      </c>
      <c r="L122" s="119" t="str">
        <f aca="false">IF(J122="","",IF(ISNUMBER(MATCH(J122,Rider_Master[Rider ID],0)),1,0))</f>
        <v/>
      </c>
      <c r="M122" s="119" t="str">
        <f aca="false">IF(J122="","",INDEX(Rider_Input[Completed Orders],I122))</f>
        <v/>
      </c>
      <c r="N122" s="119" t="str">
        <f aca="false">IF(OR(J122="",K122=""),"",IFERROR(INDEX(RLVL_Data,K122,c_RLVL_Orders),""))</f>
        <v/>
      </c>
      <c r="O122" s="119" t="str">
        <f aca="false">IF(J122="","",IF(COUNTIF($J$6:$J$505,J122)&gt;1,1,0))</f>
        <v/>
      </c>
      <c r="P122" s="119" t="str">
        <f aca="false">IF(J122="","",IF(K122="","Not found in Paste_RLVL – deductions set to 0; ","")&amp;IF(L122=0,"New rider (not in Rider_Master) – OK, shown as Rider &lt;ID&gt;; ","")&amp;IF(AND(N122&lt;&gt;"",N122&lt;&gt;M122),"Orders differ: FTR "&amp;M122&amp;" vs RLVL "&amp;N122&amp;"; ","")&amp;IF(O122=1,"Duplicate Rider ID; ",""))</f>
        <v/>
      </c>
      <c r="Q122" s="119" t="str">
        <f aca="false">IF(P122="","",COUNTIF(P$6:P122,"?*"))</f>
        <v/>
      </c>
    </row>
    <row r="123" customFormat="false" ht="15" hidden="false" customHeight="false" outlineLevel="0" collapsed="false">
      <c r="I123" s="119" t="n">
        <v>118</v>
      </c>
      <c r="J123" s="119" t="str">
        <f aca="false">IFERROR(IF(INDEX(Rider_Input[Rider ID],I123)="","",INDEX(Rider_Input[Rider ID],I123)),"")</f>
        <v/>
      </c>
      <c r="K123" s="119" t="str">
        <f aca="false">IF(J123="","",IFERROR(MATCH(J123,INDEX(RLVL_Data,0,c_RLVL_ID),0),""))</f>
        <v/>
      </c>
      <c r="L123" s="119" t="str">
        <f aca="false">IF(J123="","",IF(ISNUMBER(MATCH(J123,Rider_Master[Rider ID],0)),1,0))</f>
        <v/>
      </c>
      <c r="M123" s="119" t="str">
        <f aca="false">IF(J123="","",INDEX(Rider_Input[Completed Orders],I123))</f>
        <v/>
      </c>
      <c r="N123" s="119" t="str">
        <f aca="false">IF(OR(J123="",K123=""),"",IFERROR(INDEX(RLVL_Data,K123,c_RLVL_Orders),""))</f>
        <v/>
      </c>
      <c r="O123" s="119" t="str">
        <f aca="false">IF(J123="","",IF(COUNTIF($J$6:$J$505,J123)&gt;1,1,0))</f>
        <v/>
      </c>
      <c r="P123" s="119" t="str">
        <f aca="false">IF(J123="","",IF(K123="","Not found in Paste_RLVL – deductions set to 0; ","")&amp;IF(L123=0,"New rider (not in Rider_Master) – OK, shown as Rider &lt;ID&gt;; ","")&amp;IF(AND(N123&lt;&gt;"",N123&lt;&gt;M123),"Orders differ: FTR "&amp;M123&amp;" vs RLVL "&amp;N123&amp;"; ","")&amp;IF(O123=1,"Duplicate Rider ID; ",""))</f>
        <v/>
      </c>
      <c r="Q123" s="119" t="str">
        <f aca="false">IF(P123="","",COUNTIF(P$6:P123,"?*"))</f>
        <v/>
      </c>
    </row>
    <row r="124" customFormat="false" ht="15" hidden="false" customHeight="false" outlineLevel="0" collapsed="false">
      <c r="I124" s="119" t="n">
        <v>119</v>
      </c>
      <c r="J124" s="119" t="str">
        <f aca="false">IFERROR(IF(INDEX(Rider_Input[Rider ID],I124)="","",INDEX(Rider_Input[Rider ID],I124)),"")</f>
        <v/>
      </c>
      <c r="K124" s="119" t="str">
        <f aca="false">IF(J124="","",IFERROR(MATCH(J124,INDEX(RLVL_Data,0,c_RLVL_ID),0),""))</f>
        <v/>
      </c>
      <c r="L124" s="119" t="str">
        <f aca="false">IF(J124="","",IF(ISNUMBER(MATCH(J124,Rider_Master[Rider ID],0)),1,0))</f>
        <v/>
      </c>
      <c r="M124" s="119" t="str">
        <f aca="false">IF(J124="","",INDEX(Rider_Input[Completed Orders],I124))</f>
        <v/>
      </c>
      <c r="N124" s="119" t="str">
        <f aca="false">IF(OR(J124="",K124=""),"",IFERROR(INDEX(RLVL_Data,K124,c_RLVL_Orders),""))</f>
        <v/>
      </c>
      <c r="O124" s="119" t="str">
        <f aca="false">IF(J124="","",IF(COUNTIF($J$6:$J$505,J124)&gt;1,1,0))</f>
        <v/>
      </c>
      <c r="P124" s="119" t="str">
        <f aca="false">IF(J124="","",IF(K124="","Not found in Paste_RLVL – deductions set to 0; ","")&amp;IF(L124=0,"New rider (not in Rider_Master) – OK, shown as Rider &lt;ID&gt;; ","")&amp;IF(AND(N124&lt;&gt;"",N124&lt;&gt;M124),"Orders differ: FTR "&amp;M124&amp;" vs RLVL "&amp;N124&amp;"; ","")&amp;IF(O124=1,"Duplicate Rider ID; ",""))</f>
        <v/>
      </c>
      <c r="Q124" s="119" t="str">
        <f aca="false">IF(P124="","",COUNTIF(P$6:P124,"?*"))</f>
        <v/>
      </c>
    </row>
    <row r="125" customFormat="false" ht="15" hidden="false" customHeight="false" outlineLevel="0" collapsed="false">
      <c r="I125" s="119" t="n">
        <v>120</v>
      </c>
      <c r="J125" s="119" t="str">
        <f aca="false">IFERROR(IF(INDEX(Rider_Input[Rider ID],I125)="","",INDEX(Rider_Input[Rider ID],I125)),"")</f>
        <v/>
      </c>
      <c r="K125" s="119" t="str">
        <f aca="false">IF(J125="","",IFERROR(MATCH(J125,INDEX(RLVL_Data,0,c_RLVL_ID),0),""))</f>
        <v/>
      </c>
      <c r="L125" s="119" t="str">
        <f aca="false">IF(J125="","",IF(ISNUMBER(MATCH(J125,Rider_Master[Rider ID],0)),1,0))</f>
        <v/>
      </c>
      <c r="M125" s="119" t="str">
        <f aca="false">IF(J125="","",INDEX(Rider_Input[Completed Orders],I125))</f>
        <v/>
      </c>
      <c r="N125" s="119" t="str">
        <f aca="false">IF(OR(J125="",K125=""),"",IFERROR(INDEX(RLVL_Data,K125,c_RLVL_Orders),""))</f>
        <v/>
      </c>
      <c r="O125" s="119" t="str">
        <f aca="false">IF(J125="","",IF(COUNTIF($J$6:$J$505,J125)&gt;1,1,0))</f>
        <v/>
      </c>
      <c r="P125" s="119" t="str">
        <f aca="false">IF(J125="","",IF(K125="","Not found in Paste_RLVL – deductions set to 0; ","")&amp;IF(L125=0,"New rider (not in Rider_Master) – OK, shown as Rider &lt;ID&gt;; ","")&amp;IF(AND(N125&lt;&gt;"",N125&lt;&gt;M125),"Orders differ: FTR "&amp;M125&amp;" vs RLVL "&amp;N125&amp;"; ","")&amp;IF(O125=1,"Duplicate Rider ID; ",""))</f>
        <v/>
      </c>
      <c r="Q125" s="119" t="str">
        <f aca="false">IF(P125="","",COUNTIF(P$6:P125,"?*"))</f>
        <v/>
      </c>
    </row>
    <row r="126" customFormat="false" ht="15" hidden="false" customHeight="false" outlineLevel="0" collapsed="false">
      <c r="I126" s="119" t="n">
        <v>121</v>
      </c>
      <c r="J126" s="119" t="str">
        <f aca="false">IFERROR(IF(INDEX(Rider_Input[Rider ID],I126)="","",INDEX(Rider_Input[Rider ID],I126)),"")</f>
        <v/>
      </c>
      <c r="K126" s="119" t="str">
        <f aca="false">IF(J126="","",IFERROR(MATCH(J126,INDEX(RLVL_Data,0,c_RLVL_ID),0),""))</f>
        <v/>
      </c>
      <c r="L126" s="119" t="str">
        <f aca="false">IF(J126="","",IF(ISNUMBER(MATCH(J126,Rider_Master[Rider ID],0)),1,0))</f>
        <v/>
      </c>
      <c r="M126" s="119" t="str">
        <f aca="false">IF(J126="","",INDEX(Rider_Input[Completed Orders],I126))</f>
        <v/>
      </c>
      <c r="N126" s="119" t="str">
        <f aca="false">IF(OR(J126="",K126=""),"",IFERROR(INDEX(RLVL_Data,K126,c_RLVL_Orders),""))</f>
        <v/>
      </c>
      <c r="O126" s="119" t="str">
        <f aca="false">IF(J126="","",IF(COUNTIF($J$6:$J$505,J126)&gt;1,1,0))</f>
        <v/>
      </c>
      <c r="P126" s="119" t="str">
        <f aca="false">IF(J126="","",IF(K126="","Not found in Paste_RLVL – deductions set to 0; ","")&amp;IF(L126=0,"New rider (not in Rider_Master) – OK, shown as Rider &lt;ID&gt;; ","")&amp;IF(AND(N126&lt;&gt;"",N126&lt;&gt;M126),"Orders differ: FTR "&amp;M126&amp;" vs RLVL "&amp;N126&amp;"; ","")&amp;IF(O126=1,"Duplicate Rider ID; ",""))</f>
        <v/>
      </c>
      <c r="Q126" s="119" t="str">
        <f aca="false">IF(P126="","",COUNTIF(P$6:P126,"?*"))</f>
        <v/>
      </c>
    </row>
    <row r="127" customFormat="false" ht="15" hidden="false" customHeight="false" outlineLevel="0" collapsed="false">
      <c r="I127" s="119" t="n">
        <v>122</v>
      </c>
      <c r="J127" s="119" t="str">
        <f aca="false">IFERROR(IF(INDEX(Rider_Input[Rider ID],I127)="","",INDEX(Rider_Input[Rider ID],I127)),"")</f>
        <v/>
      </c>
      <c r="K127" s="119" t="str">
        <f aca="false">IF(J127="","",IFERROR(MATCH(J127,INDEX(RLVL_Data,0,c_RLVL_ID),0),""))</f>
        <v/>
      </c>
      <c r="L127" s="119" t="str">
        <f aca="false">IF(J127="","",IF(ISNUMBER(MATCH(J127,Rider_Master[Rider ID],0)),1,0))</f>
        <v/>
      </c>
      <c r="M127" s="119" t="str">
        <f aca="false">IF(J127="","",INDEX(Rider_Input[Completed Orders],I127))</f>
        <v/>
      </c>
      <c r="N127" s="119" t="str">
        <f aca="false">IF(OR(J127="",K127=""),"",IFERROR(INDEX(RLVL_Data,K127,c_RLVL_Orders),""))</f>
        <v/>
      </c>
      <c r="O127" s="119" t="str">
        <f aca="false">IF(J127="","",IF(COUNTIF($J$6:$J$505,J127)&gt;1,1,0))</f>
        <v/>
      </c>
      <c r="P127" s="119" t="str">
        <f aca="false">IF(J127="","",IF(K127="","Not found in Paste_RLVL – deductions set to 0; ","")&amp;IF(L127=0,"New rider (not in Rider_Master) – OK, shown as Rider &lt;ID&gt;; ","")&amp;IF(AND(N127&lt;&gt;"",N127&lt;&gt;M127),"Orders differ: FTR "&amp;M127&amp;" vs RLVL "&amp;N127&amp;"; ","")&amp;IF(O127=1,"Duplicate Rider ID; ",""))</f>
        <v/>
      </c>
      <c r="Q127" s="119" t="str">
        <f aca="false">IF(P127="","",COUNTIF(P$6:P127,"?*"))</f>
        <v/>
      </c>
    </row>
    <row r="128" customFormat="false" ht="15" hidden="false" customHeight="false" outlineLevel="0" collapsed="false">
      <c r="I128" s="119" t="n">
        <v>123</v>
      </c>
      <c r="J128" s="119" t="str">
        <f aca="false">IFERROR(IF(INDEX(Rider_Input[Rider ID],I128)="","",INDEX(Rider_Input[Rider ID],I128)),"")</f>
        <v/>
      </c>
      <c r="K128" s="119" t="str">
        <f aca="false">IF(J128="","",IFERROR(MATCH(J128,INDEX(RLVL_Data,0,c_RLVL_ID),0),""))</f>
        <v/>
      </c>
      <c r="L128" s="119" t="str">
        <f aca="false">IF(J128="","",IF(ISNUMBER(MATCH(J128,Rider_Master[Rider ID],0)),1,0))</f>
        <v/>
      </c>
      <c r="M128" s="119" t="str">
        <f aca="false">IF(J128="","",INDEX(Rider_Input[Completed Orders],I128))</f>
        <v/>
      </c>
      <c r="N128" s="119" t="str">
        <f aca="false">IF(OR(J128="",K128=""),"",IFERROR(INDEX(RLVL_Data,K128,c_RLVL_Orders),""))</f>
        <v/>
      </c>
      <c r="O128" s="119" t="str">
        <f aca="false">IF(J128="","",IF(COUNTIF($J$6:$J$505,J128)&gt;1,1,0))</f>
        <v/>
      </c>
      <c r="P128" s="119" t="str">
        <f aca="false">IF(J128="","",IF(K128="","Not found in Paste_RLVL – deductions set to 0; ","")&amp;IF(L128=0,"New rider (not in Rider_Master) – OK, shown as Rider &lt;ID&gt;; ","")&amp;IF(AND(N128&lt;&gt;"",N128&lt;&gt;M128),"Orders differ: FTR "&amp;M128&amp;" vs RLVL "&amp;N128&amp;"; ","")&amp;IF(O128=1,"Duplicate Rider ID; ",""))</f>
        <v/>
      </c>
      <c r="Q128" s="119" t="str">
        <f aca="false">IF(P128="","",COUNTIF(P$6:P128,"?*"))</f>
        <v/>
      </c>
    </row>
    <row r="129" customFormat="false" ht="15" hidden="false" customHeight="false" outlineLevel="0" collapsed="false">
      <c r="I129" s="119" t="n">
        <v>124</v>
      </c>
      <c r="J129" s="119" t="str">
        <f aca="false">IFERROR(IF(INDEX(Rider_Input[Rider ID],I129)="","",INDEX(Rider_Input[Rider ID],I129)),"")</f>
        <v/>
      </c>
      <c r="K129" s="119" t="str">
        <f aca="false">IF(J129="","",IFERROR(MATCH(J129,INDEX(RLVL_Data,0,c_RLVL_ID),0),""))</f>
        <v/>
      </c>
      <c r="L129" s="119" t="str">
        <f aca="false">IF(J129="","",IF(ISNUMBER(MATCH(J129,Rider_Master[Rider ID],0)),1,0))</f>
        <v/>
      </c>
      <c r="M129" s="119" t="str">
        <f aca="false">IF(J129="","",INDEX(Rider_Input[Completed Orders],I129))</f>
        <v/>
      </c>
      <c r="N129" s="119" t="str">
        <f aca="false">IF(OR(J129="",K129=""),"",IFERROR(INDEX(RLVL_Data,K129,c_RLVL_Orders),""))</f>
        <v/>
      </c>
      <c r="O129" s="119" t="str">
        <f aca="false">IF(J129="","",IF(COUNTIF($J$6:$J$505,J129)&gt;1,1,0))</f>
        <v/>
      </c>
      <c r="P129" s="119" t="str">
        <f aca="false">IF(J129="","",IF(K129="","Not found in Paste_RLVL – deductions set to 0; ","")&amp;IF(L129=0,"New rider (not in Rider_Master) – OK, shown as Rider &lt;ID&gt;; ","")&amp;IF(AND(N129&lt;&gt;"",N129&lt;&gt;M129),"Orders differ: FTR "&amp;M129&amp;" vs RLVL "&amp;N129&amp;"; ","")&amp;IF(O129=1,"Duplicate Rider ID; ",""))</f>
        <v/>
      </c>
      <c r="Q129" s="119" t="str">
        <f aca="false">IF(P129="","",COUNTIF(P$6:P129,"?*"))</f>
        <v/>
      </c>
    </row>
    <row r="130" customFormat="false" ht="15" hidden="false" customHeight="false" outlineLevel="0" collapsed="false">
      <c r="I130" s="119" t="n">
        <v>125</v>
      </c>
      <c r="J130" s="119" t="str">
        <f aca="false">IFERROR(IF(INDEX(Rider_Input[Rider ID],I130)="","",INDEX(Rider_Input[Rider ID],I130)),"")</f>
        <v/>
      </c>
      <c r="K130" s="119" t="str">
        <f aca="false">IF(J130="","",IFERROR(MATCH(J130,INDEX(RLVL_Data,0,c_RLVL_ID),0),""))</f>
        <v/>
      </c>
      <c r="L130" s="119" t="str">
        <f aca="false">IF(J130="","",IF(ISNUMBER(MATCH(J130,Rider_Master[Rider ID],0)),1,0))</f>
        <v/>
      </c>
      <c r="M130" s="119" t="str">
        <f aca="false">IF(J130="","",INDEX(Rider_Input[Completed Orders],I130))</f>
        <v/>
      </c>
      <c r="N130" s="119" t="str">
        <f aca="false">IF(OR(J130="",K130=""),"",IFERROR(INDEX(RLVL_Data,K130,c_RLVL_Orders),""))</f>
        <v/>
      </c>
      <c r="O130" s="119" t="str">
        <f aca="false">IF(J130="","",IF(COUNTIF($J$6:$J$505,J130)&gt;1,1,0))</f>
        <v/>
      </c>
      <c r="P130" s="119" t="str">
        <f aca="false">IF(J130="","",IF(K130="","Not found in Paste_RLVL – deductions set to 0; ","")&amp;IF(L130=0,"New rider (not in Rider_Master) – OK, shown as Rider &lt;ID&gt;; ","")&amp;IF(AND(N130&lt;&gt;"",N130&lt;&gt;M130),"Orders differ: FTR "&amp;M130&amp;" vs RLVL "&amp;N130&amp;"; ","")&amp;IF(O130=1,"Duplicate Rider ID; ",""))</f>
        <v/>
      </c>
      <c r="Q130" s="119" t="str">
        <f aca="false">IF(P130="","",COUNTIF(P$6:P130,"?*"))</f>
        <v/>
      </c>
    </row>
    <row r="131" customFormat="false" ht="15" hidden="false" customHeight="false" outlineLevel="0" collapsed="false">
      <c r="I131" s="119" t="n">
        <v>126</v>
      </c>
      <c r="J131" s="119" t="str">
        <f aca="false">IFERROR(IF(INDEX(Rider_Input[Rider ID],I131)="","",INDEX(Rider_Input[Rider ID],I131)),"")</f>
        <v/>
      </c>
      <c r="K131" s="119" t="str">
        <f aca="false">IF(J131="","",IFERROR(MATCH(J131,INDEX(RLVL_Data,0,c_RLVL_ID),0),""))</f>
        <v/>
      </c>
      <c r="L131" s="119" t="str">
        <f aca="false">IF(J131="","",IF(ISNUMBER(MATCH(J131,Rider_Master[Rider ID],0)),1,0))</f>
        <v/>
      </c>
      <c r="M131" s="119" t="str">
        <f aca="false">IF(J131="","",INDEX(Rider_Input[Completed Orders],I131))</f>
        <v/>
      </c>
      <c r="N131" s="119" t="str">
        <f aca="false">IF(OR(J131="",K131=""),"",IFERROR(INDEX(RLVL_Data,K131,c_RLVL_Orders),""))</f>
        <v/>
      </c>
      <c r="O131" s="119" t="str">
        <f aca="false">IF(J131="","",IF(COUNTIF($J$6:$J$505,J131)&gt;1,1,0))</f>
        <v/>
      </c>
      <c r="P131" s="119" t="str">
        <f aca="false">IF(J131="","",IF(K131="","Not found in Paste_RLVL – deductions set to 0; ","")&amp;IF(L131=0,"New rider (not in Rider_Master) – OK, shown as Rider &lt;ID&gt;; ","")&amp;IF(AND(N131&lt;&gt;"",N131&lt;&gt;M131),"Orders differ: FTR "&amp;M131&amp;" vs RLVL "&amp;N131&amp;"; ","")&amp;IF(O131=1,"Duplicate Rider ID; ",""))</f>
        <v/>
      </c>
      <c r="Q131" s="119" t="str">
        <f aca="false">IF(P131="","",COUNTIF(P$6:P131,"?*"))</f>
        <v/>
      </c>
    </row>
    <row r="132" customFormat="false" ht="15" hidden="false" customHeight="false" outlineLevel="0" collapsed="false">
      <c r="I132" s="119" t="n">
        <v>127</v>
      </c>
      <c r="J132" s="119" t="str">
        <f aca="false">IFERROR(IF(INDEX(Rider_Input[Rider ID],I132)="","",INDEX(Rider_Input[Rider ID],I132)),"")</f>
        <v/>
      </c>
      <c r="K132" s="119" t="str">
        <f aca="false">IF(J132="","",IFERROR(MATCH(J132,INDEX(RLVL_Data,0,c_RLVL_ID),0),""))</f>
        <v/>
      </c>
      <c r="L132" s="119" t="str">
        <f aca="false">IF(J132="","",IF(ISNUMBER(MATCH(J132,Rider_Master[Rider ID],0)),1,0))</f>
        <v/>
      </c>
      <c r="M132" s="119" t="str">
        <f aca="false">IF(J132="","",INDEX(Rider_Input[Completed Orders],I132))</f>
        <v/>
      </c>
      <c r="N132" s="119" t="str">
        <f aca="false">IF(OR(J132="",K132=""),"",IFERROR(INDEX(RLVL_Data,K132,c_RLVL_Orders),""))</f>
        <v/>
      </c>
      <c r="O132" s="119" t="str">
        <f aca="false">IF(J132="","",IF(COUNTIF($J$6:$J$505,J132)&gt;1,1,0))</f>
        <v/>
      </c>
      <c r="P132" s="119" t="str">
        <f aca="false">IF(J132="","",IF(K132="","Not found in Paste_RLVL – deductions set to 0; ","")&amp;IF(L132=0,"New rider (not in Rider_Master) – OK, shown as Rider &lt;ID&gt;; ","")&amp;IF(AND(N132&lt;&gt;"",N132&lt;&gt;M132),"Orders differ: FTR "&amp;M132&amp;" vs RLVL "&amp;N132&amp;"; ","")&amp;IF(O132=1,"Duplicate Rider ID; ",""))</f>
        <v/>
      </c>
      <c r="Q132" s="119" t="str">
        <f aca="false">IF(P132="","",COUNTIF(P$6:P132,"?*"))</f>
        <v/>
      </c>
    </row>
    <row r="133" customFormat="false" ht="15" hidden="false" customHeight="false" outlineLevel="0" collapsed="false">
      <c r="I133" s="119" t="n">
        <v>128</v>
      </c>
      <c r="J133" s="119" t="str">
        <f aca="false">IFERROR(IF(INDEX(Rider_Input[Rider ID],I133)="","",INDEX(Rider_Input[Rider ID],I133)),"")</f>
        <v/>
      </c>
      <c r="K133" s="119" t="str">
        <f aca="false">IF(J133="","",IFERROR(MATCH(J133,INDEX(RLVL_Data,0,c_RLVL_ID),0),""))</f>
        <v/>
      </c>
      <c r="L133" s="119" t="str">
        <f aca="false">IF(J133="","",IF(ISNUMBER(MATCH(J133,Rider_Master[Rider ID],0)),1,0))</f>
        <v/>
      </c>
      <c r="M133" s="119" t="str">
        <f aca="false">IF(J133="","",INDEX(Rider_Input[Completed Orders],I133))</f>
        <v/>
      </c>
      <c r="N133" s="119" t="str">
        <f aca="false">IF(OR(J133="",K133=""),"",IFERROR(INDEX(RLVL_Data,K133,c_RLVL_Orders),""))</f>
        <v/>
      </c>
      <c r="O133" s="119" t="str">
        <f aca="false">IF(J133="","",IF(COUNTIF($J$6:$J$505,J133)&gt;1,1,0))</f>
        <v/>
      </c>
      <c r="P133" s="119" t="str">
        <f aca="false">IF(J133="","",IF(K133="","Not found in Paste_RLVL – deductions set to 0; ","")&amp;IF(L133=0,"New rider (not in Rider_Master) – OK, shown as Rider &lt;ID&gt;; ","")&amp;IF(AND(N133&lt;&gt;"",N133&lt;&gt;M133),"Orders differ: FTR "&amp;M133&amp;" vs RLVL "&amp;N133&amp;"; ","")&amp;IF(O133=1,"Duplicate Rider ID; ",""))</f>
        <v/>
      </c>
      <c r="Q133" s="119" t="str">
        <f aca="false">IF(P133="","",COUNTIF(P$6:P133,"?*"))</f>
        <v/>
      </c>
    </row>
    <row r="134" customFormat="false" ht="15" hidden="false" customHeight="false" outlineLevel="0" collapsed="false">
      <c r="I134" s="119" t="n">
        <v>129</v>
      </c>
      <c r="J134" s="119" t="str">
        <f aca="false">IFERROR(IF(INDEX(Rider_Input[Rider ID],I134)="","",INDEX(Rider_Input[Rider ID],I134)),"")</f>
        <v/>
      </c>
      <c r="K134" s="119" t="str">
        <f aca="false">IF(J134="","",IFERROR(MATCH(J134,INDEX(RLVL_Data,0,c_RLVL_ID),0),""))</f>
        <v/>
      </c>
      <c r="L134" s="119" t="str">
        <f aca="false">IF(J134="","",IF(ISNUMBER(MATCH(J134,Rider_Master[Rider ID],0)),1,0))</f>
        <v/>
      </c>
      <c r="M134" s="119" t="str">
        <f aca="false">IF(J134="","",INDEX(Rider_Input[Completed Orders],I134))</f>
        <v/>
      </c>
      <c r="N134" s="119" t="str">
        <f aca="false">IF(OR(J134="",K134=""),"",IFERROR(INDEX(RLVL_Data,K134,c_RLVL_Orders),""))</f>
        <v/>
      </c>
      <c r="O134" s="119" t="str">
        <f aca="false">IF(J134="","",IF(COUNTIF($J$6:$J$505,J134)&gt;1,1,0))</f>
        <v/>
      </c>
      <c r="P134" s="119" t="str">
        <f aca="false">IF(J134="","",IF(K134="","Not found in Paste_RLVL – deductions set to 0; ","")&amp;IF(L134=0,"New rider (not in Rider_Master) – OK, shown as Rider &lt;ID&gt;; ","")&amp;IF(AND(N134&lt;&gt;"",N134&lt;&gt;M134),"Orders differ: FTR "&amp;M134&amp;" vs RLVL "&amp;N134&amp;"; ","")&amp;IF(O134=1,"Duplicate Rider ID; ",""))</f>
        <v/>
      </c>
      <c r="Q134" s="119" t="str">
        <f aca="false">IF(P134="","",COUNTIF(P$6:P134,"?*"))</f>
        <v/>
      </c>
    </row>
    <row r="135" customFormat="false" ht="15" hidden="false" customHeight="false" outlineLevel="0" collapsed="false">
      <c r="I135" s="119" t="n">
        <v>130</v>
      </c>
      <c r="J135" s="119" t="str">
        <f aca="false">IFERROR(IF(INDEX(Rider_Input[Rider ID],I135)="","",INDEX(Rider_Input[Rider ID],I135)),"")</f>
        <v/>
      </c>
      <c r="K135" s="119" t="str">
        <f aca="false">IF(J135="","",IFERROR(MATCH(J135,INDEX(RLVL_Data,0,c_RLVL_ID),0),""))</f>
        <v/>
      </c>
      <c r="L135" s="119" t="str">
        <f aca="false">IF(J135="","",IF(ISNUMBER(MATCH(J135,Rider_Master[Rider ID],0)),1,0))</f>
        <v/>
      </c>
      <c r="M135" s="119" t="str">
        <f aca="false">IF(J135="","",INDEX(Rider_Input[Completed Orders],I135))</f>
        <v/>
      </c>
      <c r="N135" s="119" t="str">
        <f aca="false">IF(OR(J135="",K135=""),"",IFERROR(INDEX(RLVL_Data,K135,c_RLVL_Orders),""))</f>
        <v/>
      </c>
      <c r="O135" s="119" t="str">
        <f aca="false">IF(J135="","",IF(COUNTIF($J$6:$J$505,J135)&gt;1,1,0))</f>
        <v/>
      </c>
      <c r="P135" s="119" t="str">
        <f aca="false">IF(J135="","",IF(K135="","Not found in Paste_RLVL – deductions set to 0; ","")&amp;IF(L135=0,"New rider (not in Rider_Master) – OK, shown as Rider &lt;ID&gt;; ","")&amp;IF(AND(N135&lt;&gt;"",N135&lt;&gt;M135),"Orders differ: FTR "&amp;M135&amp;" vs RLVL "&amp;N135&amp;"; ","")&amp;IF(O135=1,"Duplicate Rider ID; ",""))</f>
        <v/>
      </c>
      <c r="Q135" s="119" t="str">
        <f aca="false">IF(P135="","",COUNTIF(P$6:P135,"?*"))</f>
        <v/>
      </c>
    </row>
    <row r="136" customFormat="false" ht="15" hidden="false" customHeight="false" outlineLevel="0" collapsed="false">
      <c r="I136" s="119" t="n">
        <v>131</v>
      </c>
      <c r="J136" s="119" t="str">
        <f aca="false">IFERROR(IF(INDEX(Rider_Input[Rider ID],I136)="","",INDEX(Rider_Input[Rider ID],I136)),"")</f>
        <v/>
      </c>
      <c r="K136" s="119" t="str">
        <f aca="false">IF(J136="","",IFERROR(MATCH(J136,INDEX(RLVL_Data,0,c_RLVL_ID),0),""))</f>
        <v/>
      </c>
      <c r="L136" s="119" t="str">
        <f aca="false">IF(J136="","",IF(ISNUMBER(MATCH(J136,Rider_Master[Rider ID],0)),1,0))</f>
        <v/>
      </c>
      <c r="M136" s="119" t="str">
        <f aca="false">IF(J136="","",INDEX(Rider_Input[Completed Orders],I136))</f>
        <v/>
      </c>
      <c r="N136" s="119" t="str">
        <f aca="false">IF(OR(J136="",K136=""),"",IFERROR(INDEX(RLVL_Data,K136,c_RLVL_Orders),""))</f>
        <v/>
      </c>
      <c r="O136" s="119" t="str">
        <f aca="false">IF(J136="","",IF(COUNTIF($J$6:$J$505,J136)&gt;1,1,0))</f>
        <v/>
      </c>
      <c r="P136" s="119" t="str">
        <f aca="false">IF(J136="","",IF(K136="","Not found in Paste_RLVL – deductions set to 0; ","")&amp;IF(L136=0,"New rider (not in Rider_Master) – OK, shown as Rider &lt;ID&gt;; ","")&amp;IF(AND(N136&lt;&gt;"",N136&lt;&gt;M136),"Orders differ: FTR "&amp;M136&amp;" vs RLVL "&amp;N136&amp;"; ","")&amp;IF(O136=1,"Duplicate Rider ID; ",""))</f>
        <v/>
      </c>
      <c r="Q136" s="119" t="str">
        <f aca="false">IF(P136="","",COUNTIF(P$6:P136,"?*"))</f>
        <v/>
      </c>
    </row>
    <row r="137" customFormat="false" ht="15" hidden="false" customHeight="false" outlineLevel="0" collapsed="false">
      <c r="I137" s="119" t="n">
        <v>132</v>
      </c>
      <c r="J137" s="119" t="str">
        <f aca="false">IFERROR(IF(INDEX(Rider_Input[Rider ID],I137)="","",INDEX(Rider_Input[Rider ID],I137)),"")</f>
        <v/>
      </c>
      <c r="K137" s="119" t="str">
        <f aca="false">IF(J137="","",IFERROR(MATCH(J137,INDEX(RLVL_Data,0,c_RLVL_ID),0),""))</f>
        <v/>
      </c>
      <c r="L137" s="119" t="str">
        <f aca="false">IF(J137="","",IF(ISNUMBER(MATCH(J137,Rider_Master[Rider ID],0)),1,0))</f>
        <v/>
      </c>
      <c r="M137" s="119" t="str">
        <f aca="false">IF(J137="","",INDEX(Rider_Input[Completed Orders],I137))</f>
        <v/>
      </c>
      <c r="N137" s="119" t="str">
        <f aca="false">IF(OR(J137="",K137=""),"",IFERROR(INDEX(RLVL_Data,K137,c_RLVL_Orders),""))</f>
        <v/>
      </c>
      <c r="O137" s="119" t="str">
        <f aca="false">IF(J137="","",IF(COUNTIF($J$6:$J$505,J137)&gt;1,1,0))</f>
        <v/>
      </c>
      <c r="P137" s="119" t="str">
        <f aca="false">IF(J137="","",IF(K137="","Not found in Paste_RLVL – deductions set to 0; ","")&amp;IF(L137=0,"New rider (not in Rider_Master) – OK, shown as Rider &lt;ID&gt;; ","")&amp;IF(AND(N137&lt;&gt;"",N137&lt;&gt;M137),"Orders differ: FTR "&amp;M137&amp;" vs RLVL "&amp;N137&amp;"; ","")&amp;IF(O137=1,"Duplicate Rider ID; ",""))</f>
        <v/>
      </c>
      <c r="Q137" s="119" t="str">
        <f aca="false">IF(P137="","",COUNTIF(P$6:P137,"?*"))</f>
        <v/>
      </c>
    </row>
    <row r="138" customFormat="false" ht="15" hidden="false" customHeight="false" outlineLevel="0" collapsed="false">
      <c r="I138" s="119" t="n">
        <v>133</v>
      </c>
      <c r="J138" s="119" t="str">
        <f aca="false">IFERROR(IF(INDEX(Rider_Input[Rider ID],I138)="","",INDEX(Rider_Input[Rider ID],I138)),"")</f>
        <v/>
      </c>
      <c r="K138" s="119" t="str">
        <f aca="false">IF(J138="","",IFERROR(MATCH(J138,INDEX(RLVL_Data,0,c_RLVL_ID),0),""))</f>
        <v/>
      </c>
      <c r="L138" s="119" t="str">
        <f aca="false">IF(J138="","",IF(ISNUMBER(MATCH(J138,Rider_Master[Rider ID],0)),1,0))</f>
        <v/>
      </c>
      <c r="M138" s="119" t="str">
        <f aca="false">IF(J138="","",INDEX(Rider_Input[Completed Orders],I138))</f>
        <v/>
      </c>
      <c r="N138" s="119" t="str">
        <f aca="false">IF(OR(J138="",K138=""),"",IFERROR(INDEX(RLVL_Data,K138,c_RLVL_Orders),""))</f>
        <v/>
      </c>
      <c r="O138" s="119" t="str">
        <f aca="false">IF(J138="","",IF(COUNTIF($J$6:$J$505,J138)&gt;1,1,0))</f>
        <v/>
      </c>
      <c r="P138" s="119" t="str">
        <f aca="false">IF(J138="","",IF(K138="","Not found in Paste_RLVL – deductions set to 0; ","")&amp;IF(L138=0,"New rider (not in Rider_Master) – OK, shown as Rider &lt;ID&gt;; ","")&amp;IF(AND(N138&lt;&gt;"",N138&lt;&gt;M138),"Orders differ: FTR "&amp;M138&amp;" vs RLVL "&amp;N138&amp;"; ","")&amp;IF(O138=1,"Duplicate Rider ID; ",""))</f>
        <v/>
      </c>
      <c r="Q138" s="119" t="str">
        <f aca="false">IF(P138="","",COUNTIF(P$6:P138,"?*"))</f>
        <v/>
      </c>
    </row>
    <row r="139" customFormat="false" ht="15" hidden="false" customHeight="false" outlineLevel="0" collapsed="false">
      <c r="I139" s="119" t="n">
        <v>134</v>
      </c>
      <c r="J139" s="119" t="str">
        <f aca="false">IFERROR(IF(INDEX(Rider_Input[Rider ID],I139)="","",INDEX(Rider_Input[Rider ID],I139)),"")</f>
        <v/>
      </c>
      <c r="K139" s="119" t="str">
        <f aca="false">IF(J139="","",IFERROR(MATCH(J139,INDEX(RLVL_Data,0,c_RLVL_ID),0),""))</f>
        <v/>
      </c>
      <c r="L139" s="119" t="str">
        <f aca="false">IF(J139="","",IF(ISNUMBER(MATCH(J139,Rider_Master[Rider ID],0)),1,0))</f>
        <v/>
      </c>
      <c r="M139" s="119" t="str">
        <f aca="false">IF(J139="","",INDEX(Rider_Input[Completed Orders],I139))</f>
        <v/>
      </c>
      <c r="N139" s="119" t="str">
        <f aca="false">IF(OR(J139="",K139=""),"",IFERROR(INDEX(RLVL_Data,K139,c_RLVL_Orders),""))</f>
        <v/>
      </c>
      <c r="O139" s="119" t="str">
        <f aca="false">IF(J139="","",IF(COUNTIF($J$6:$J$505,J139)&gt;1,1,0))</f>
        <v/>
      </c>
      <c r="P139" s="119" t="str">
        <f aca="false">IF(J139="","",IF(K139="","Not found in Paste_RLVL – deductions set to 0; ","")&amp;IF(L139=0,"New rider (not in Rider_Master) – OK, shown as Rider &lt;ID&gt;; ","")&amp;IF(AND(N139&lt;&gt;"",N139&lt;&gt;M139),"Orders differ: FTR "&amp;M139&amp;" vs RLVL "&amp;N139&amp;"; ","")&amp;IF(O139=1,"Duplicate Rider ID; ",""))</f>
        <v/>
      </c>
      <c r="Q139" s="119" t="str">
        <f aca="false">IF(P139="","",COUNTIF(P$6:P139,"?*"))</f>
        <v/>
      </c>
    </row>
    <row r="140" customFormat="false" ht="15" hidden="false" customHeight="false" outlineLevel="0" collapsed="false">
      <c r="I140" s="119" t="n">
        <v>135</v>
      </c>
      <c r="J140" s="119" t="str">
        <f aca="false">IFERROR(IF(INDEX(Rider_Input[Rider ID],I140)="","",INDEX(Rider_Input[Rider ID],I140)),"")</f>
        <v/>
      </c>
      <c r="K140" s="119" t="str">
        <f aca="false">IF(J140="","",IFERROR(MATCH(J140,INDEX(RLVL_Data,0,c_RLVL_ID),0),""))</f>
        <v/>
      </c>
      <c r="L140" s="119" t="str">
        <f aca="false">IF(J140="","",IF(ISNUMBER(MATCH(J140,Rider_Master[Rider ID],0)),1,0))</f>
        <v/>
      </c>
      <c r="M140" s="119" t="str">
        <f aca="false">IF(J140="","",INDEX(Rider_Input[Completed Orders],I140))</f>
        <v/>
      </c>
      <c r="N140" s="119" t="str">
        <f aca="false">IF(OR(J140="",K140=""),"",IFERROR(INDEX(RLVL_Data,K140,c_RLVL_Orders),""))</f>
        <v/>
      </c>
      <c r="O140" s="119" t="str">
        <f aca="false">IF(J140="","",IF(COUNTIF($J$6:$J$505,J140)&gt;1,1,0))</f>
        <v/>
      </c>
      <c r="P140" s="119" t="str">
        <f aca="false">IF(J140="","",IF(K140="","Not found in Paste_RLVL – deductions set to 0; ","")&amp;IF(L140=0,"New rider (not in Rider_Master) – OK, shown as Rider &lt;ID&gt;; ","")&amp;IF(AND(N140&lt;&gt;"",N140&lt;&gt;M140),"Orders differ: FTR "&amp;M140&amp;" vs RLVL "&amp;N140&amp;"; ","")&amp;IF(O140=1,"Duplicate Rider ID; ",""))</f>
        <v/>
      </c>
      <c r="Q140" s="119" t="str">
        <f aca="false">IF(P140="","",COUNTIF(P$6:P140,"?*"))</f>
        <v/>
      </c>
    </row>
    <row r="141" customFormat="false" ht="15" hidden="false" customHeight="false" outlineLevel="0" collapsed="false">
      <c r="I141" s="119" t="n">
        <v>136</v>
      </c>
      <c r="J141" s="119" t="str">
        <f aca="false">IFERROR(IF(INDEX(Rider_Input[Rider ID],I141)="","",INDEX(Rider_Input[Rider ID],I141)),"")</f>
        <v/>
      </c>
      <c r="K141" s="119" t="str">
        <f aca="false">IF(J141="","",IFERROR(MATCH(J141,INDEX(RLVL_Data,0,c_RLVL_ID),0),""))</f>
        <v/>
      </c>
      <c r="L141" s="119" t="str">
        <f aca="false">IF(J141="","",IF(ISNUMBER(MATCH(J141,Rider_Master[Rider ID],0)),1,0))</f>
        <v/>
      </c>
      <c r="M141" s="119" t="str">
        <f aca="false">IF(J141="","",INDEX(Rider_Input[Completed Orders],I141))</f>
        <v/>
      </c>
      <c r="N141" s="119" t="str">
        <f aca="false">IF(OR(J141="",K141=""),"",IFERROR(INDEX(RLVL_Data,K141,c_RLVL_Orders),""))</f>
        <v/>
      </c>
      <c r="O141" s="119" t="str">
        <f aca="false">IF(J141="","",IF(COUNTIF($J$6:$J$505,J141)&gt;1,1,0))</f>
        <v/>
      </c>
      <c r="P141" s="119" t="str">
        <f aca="false">IF(J141="","",IF(K141="","Not found in Paste_RLVL – deductions set to 0; ","")&amp;IF(L141=0,"New rider (not in Rider_Master) – OK, shown as Rider &lt;ID&gt;; ","")&amp;IF(AND(N141&lt;&gt;"",N141&lt;&gt;M141),"Orders differ: FTR "&amp;M141&amp;" vs RLVL "&amp;N141&amp;"; ","")&amp;IF(O141=1,"Duplicate Rider ID; ",""))</f>
        <v/>
      </c>
      <c r="Q141" s="119" t="str">
        <f aca="false">IF(P141="","",COUNTIF(P$6:P141,"?*"))</f>
        <v/>
      </c>
    </row>
    <row r="142" customFormat="false" ht="15" hidden="false" customHeight="false" outlineLevel="0" collapsed="false">
      <c r="I142" s="119" t="n">
        <v>137</v>
      </c>
      <c r="J142" s="119" t="str">
        <f aca="false">IFERROR(IF(INDEX(Rider_Input[Rider ID],I142)="","",INDEX(Rider_Input[Rider ID],I142)),"")</f>
        <v/>
      </c>
      <c r="K142" s="119" t="str">
        <f aca="false">IF(J142="","",IFERROR(MATCH(J142,INDEX(RLVL_Data,0,c_RLVL_ID),0),""))</f>
        <v/>
      </c>
      <c r="L142" s="119" t="str">
        <f aca="false">IF(J142="","",IF(ISNUMBER(MATCH(J142,Rider_Master[Rider ID],0)),1,0))</f>
        <v/>
      </c>
      <c r="M142" s="119" t="str">
        <f aca="false">IF(J142="","",INDEX(Rider_Input[Completed Orders],I142))</f>
        <v/>
      </c>
      <c r="N142" s="119" t="str">
        <f aca="false">IF(OR(J142="",K142=""),"",IFERROR(INDEX(RLVL_Data,K142,c_RLVL_Orders),""))</f>
        <v/>
      </c>
      <c r="O142" s="119" t="str">
        <f aca="false">IF(J142="","",IF(COUNTIF($J$6:$J$505,J142)&gt;1,1,0))</f>
        <v/>
      </c>
      <c r="P142" s="119" t="str">
        <f aca="false">IF(J142="","",IF(K142="","Not found in Paste_RLVL – deductions set to 0; ","")&amp;IF(L142=0,"New rider (not in Rider_Master) – OK, shown as Rider &lt;ID&gt;; ","")&amp;IF(AND(N142&lt;&gt;"",N142&lt;&gt;M142),"Orders differ: FTR "&amp;M142&amp;" vs RLVL "&amp;N142&amp;"; ","")&amp;IF(O142=1,"Duplicate Rider ID; ",""))</f>
        <v/>
      </c>
      <c r="Q142" s="119" t="str">
        <f aca="false">IF(P142="","",COUNTIF(P$6:P142,"?*"))</f>
        <v/>
      </c>
    </row>
    <row r="143" customFormat="false" ht="15" hidden="false" customHeight="false" outlineLevel="0" collapsed="false">
      <c r="I143" s="119" t="n">
        <v>138</v>
      </c>
      <c r="J143" s="119" t="str">
        <f aca="false">IFERROR(IF(INDEX(Rider_Input[Rider ID],I143)="","",INDEX(Rider_Input[Rider ID],I143)),"")</f>
        <v/>
      </c>
      <c r="K143" s="119" t="str">
        <f aca="false">IF(J143="","",IFERROR(MATCH(J143,INDEX(RLVL_Data,0,c_RLVL_ID),0),""))</f>
        <v/>
      </c>
      <c r="L143" s="119" t="str">
        <f aca="false">IF(J143="","",IF(ISNUMBER(MATCH(J143,Rider_Master[Rider ID],0)),1,0))</f>
        <v/>
      </c>
      <c r="M143" s="119" t="str">
        <f aca="false">IF(J143="","",INDEX(Rider_Input[Completed Orders],I143))</f>
        <v/>
      </c>
      <c r="N143" s="119" t="str">
        <f aca="false">IF(OR(J143="",K143=""),"",IFERROR(INDEX(RLVL_Data,K143,c_RLVL_Orders),""))</f>
        <v/>
      </c>
      <c r="O143" s="119" t="str">
        <f aca="false">IF(J143="","",IF(COUNTIF($J$6:$J$505,J143)&gt;1,1,0))</f>
        <v/>
      </c>
      <c r="P143" s="119" t="str">
        <f aca="false">IF(J143="","",IF(K143="","Not found in Paste_RLVL – deductions set to 0; ","")&amp;IF(L143=0,"New rider (not in Rider_Master) – OK, shown as Rider &lt;ID&gt;; ","")&amp;IF(AND(N143&lt;&gt;"",N143&lt;&gt;M143),"Orders differ: FTR "&amp;M143&amp;" vs RLVL "&amp;N143&amp;"; ","")&amp;IF(O143=1,"Duplicate Rider ID; ",""))</f>
        <v/>
      </c>
      <c r="Q143" s="119" t="str">
        <f aca="false">IF(P143="","",COUNTIF(P$6:P143,"?*"))</f>
        <v/>
      </c>
    </row>
    <row r="144" customFormat="false" ht="15" hidden="false" customHeight="false" outlineLevel="0" collapsed="false">
      <c r="I144" s="119" t="n">
        <v>139</v>
      </c>
      <c r="J144" s="119" t="str">
        <f aca="false">IFERROR(IF(INDEX(Rider_Input[Rider ID],I144)="","",INDEX(Rider_Input[Rider ID],I144)),"")</f>
        <v/>
      </c>
      <c r="K144" s="119" t="str">
        <f aca="false">IF(J144="","",IFERROR(MATCH(J144,INDEX(RLVL_Data,0,c_RLVL_ID),0),""))</f>
        <v/>
      </c>
      <c r="L144" s="119" t="str">
        <f aca="false">IF(J144="","",IF(ISNUMBER(MATCH(J144,Rider_Master[Rider ID],0)),1,0))</f>
        <v/>
      </c>
      <c r="M144" s="119" t="str">
        <f aca="false">IF(J144="","",INDEX(Rider_Input[Completed Orders],I144))</f>
        <v/>
      </c>
      <c r="N144" s="119" t="str">
        <f aca="false">IF(OR(J144="",K144=""),"",IFERROR(INDEX(RLVL_Data,K144,c_RLVL_Orders),""))</f>
        <v/>
      </c>
      <c r="O144" s="119" t="str">
        <f aca="false">IF(J144="","",IF(COUNTIF($J$6:$J$505,J144)&gt;1,1,0))</f>
        <v/>
      </c>
      <c r="P144" s="119" t="str">
        <f aca="false">IF(J144="","",IF(K144="","Not found in Paste_RLVL – deductions set to 0; ","")&amp;IF(L144=0,"New rider (not in Rider_Master) – OK, shown as Rider &lt;ID&gt;; ","")&amp;IF(AND(N144&lt;&gt;"",N144&lt;&gt;M144),"Orders differ: FTR "&amp;M144&amp;" vs RLVL "&amp;N144&amp;"; ","")&amp;IF(O144=1,"Duplicate Rider ID; ",""))</f>
        <v/>
      </c>
      <c r="Q144" s="119" t="str">
        <f aca="false">IF(P144="","",COUNTIF(P$6:P144,"?*"))</f>
        <v/>
      </c>
    </row>
    <row r="145" customFormat="false" ht="15" hidden="false" customHeight="false" outlineLevel="0" collapsed="false">
      <c r="I145" s="119" t="n">
        <v>140</v>
      </c>
      <c r="J145" s="119" t="str">
        <f aca="false">IFERROR(IF(INDEX(Rider_Input[Rider ID],I145)="","",INDEX(Rider_Input[Rider ID],I145)),"")</f>
        <v/>
      </c>
      <c r="K145" s="119" t="str">
        <f aca="false">IF(J145="","",IFERROR(MATCH(J145,INDEX(RLVL_Data,0,c_RLVL_ID),0),""))</f>
        <v/>
      </c>
      <c r="L145" s="119" t="str">
        <f aca="false">IF(J145="","",IF(ISNUMBER(MATCH(J145,Rider_Master[Rider ID],0)),1,0))</f>
        <v/>
      </c>
      <c r="M145" s="119" t="str">
        <f aca="false">IF(J145="","",INDEX(Rider_Input[Completed Orders],I145))</f>
        <v/>
      </c>
      <c r="N145" s="119" t="str">
        <f aca="false">IF(OR(J145="",K145=""),"",IFERROR(INDEX(RLVL_Data,K145,c_RLVL_Orders),""))</f>
        <v/>
      </c>
      <c r="O145" s="119" t="str">
        <f aca="false">IF(J145="","",IF(COUNTIF($J$6:$J$505,J145)&gt;1,1,0))</f>
        <v/>
      </c>
      <c r="P145" s="119" t="str">
        <f aca="false">IF(J145="","",IF(K145="","Not found in Paste_RLVL – deductions set to 0; ","")&amp;IF(L145=0,"New rider (not in Rider_Master) – OK, shown as Rider &lt;ID&gt;; ","")&amp;IF(AND(N145&lt;&gt;"",N145&lt;&gt;M145),"Orders differ: FTR "&amp;M145&amp;" vs RLVL "&amp;N145&amp;"; ","")&amp;IF(O145=1,"Duplicate Rider ID; ",""))</f>
        <v/>
      </c>
      <c r="Q145" s="119" t="str">
        <f aca="false">IF(P145="","",COUNTIF(P$6:P145,"?*"))</f>
        <v/>
      </c>
    </row>
    <row r="146" customFormat="false" ht="15" hidden="false" customHeight="false" outlineLevel="0" collapsed="false">
      <c r="I146" s="119" t="n">
        <v>141</v>
      </c>
      <c r="J146" s="119" t="str">
        <f aca="false">IFERROR(IF(INDEX(Rider_Input[Rider ID],I146)="","",INDEX(Rider_Input[Rider ID],I146)),"")</f>
        <v/>
      </c>
      <c r="K146" s="119" t="str">
        <f aca="false">IF(J146="","",IFERROR(MATCH(J146,INDEX(RLVL_Data,0,c_RLVL_ID),0),""))</f>
        <v/>
      </c>
      <c r="L146" s="119" t="str">
        <f aca="false">IF(J146="","",IF(ISNUMBER(MATCH(J146,Rider_Master[Rider ID],0)),1,0))</f>
        <v/>
      </c>
      <c r="M146" s="119" t="str">
        <f aca="false">IF(J146="","",INDEX(Rider_Input[Completed Orders],I146))</f>
        <v/>
      </c>
      <c r="N146" s="119" t="str">
        <f aca="false">IF(OR(J146="",K146=""),"",IFERROR(INDEX(RLVL_Data,K146,c_RLVL_Orders),""))</f>
        <v/>
      </c>
      <c r="O146" s="119" t="str">
        <f aca="false">IF(J146="","",IF(COUNTIF($J$6:$J$505,J146)&gt;1,1,0))</f>
        <v/>
      </c>
      <c r="P146" s="119" t="str">
        <f aca="false">IF(J146="","",IF(K146="","Not found in Paste_RLVL – deductions set to 0; ","")&amp;IF(L146=0,"New rider (not in Rider_Master) – OK, shown as Rider &lt;ID&gt;; ","")&amp;IF(AND(N146&lt;&gt;"",N146&lt;&gt;M146),"Orders differ: FTR "&amp;M146&amp;" vs RLVL "&amp;N146&amp;"; ","")&amp;IF(O146=1,"Duplicate Rider ID; ",""))</f>
        <v/>
      </c>
      <c r="Q146" s="119" t="str">
        <f aca="false">IF(P146="","",COUNTIF(P$6:P146,"?*"))</f>
        <v/>
      </c>
    </row>
    <row r="147" customFormat="false" ht="15" hidden="false" customHeight="false" outlineLevel="0" collapsed="false">
      <c r="I147" s="119" t="n">
        <v>142</v>
      </c>
      <c r="J147" s="119" t="str">
        <f aca="false">IFERROR(IF(INDEX(Rider_Input[Rider ID],I147)="","",INDEX(Rider_Input[Rider ID],I147)),"")</f>
        <v/>
      </c>
      <c r="K147" s="119" t="str">
        <f aca="false">IF(J147="","",IFERROR(MATCH(J147,INDEX(RLVL_Data,0,c_RLVL_ID),0),""))</f>
        <v/>
      </c>
      <c r="L147" s="119" t="str">
        <f aca="false">IF(J147="","",IF(ISNUMBER(MATCH(J147,Rider_Master[Rider ID],0)),1,0))</f>
        <v/>
      </c>
      <c r="M147" s="119" t="str">
        <f aca="false">IF(J147="","",INDEX(Rider_Input[Completed Orders],I147))</f>
        <v/>
      </c>
      <c r="N147" s="119" t="str">
        <f aca="false">IF(OR(J147="",K147=""),"",IFERROR(INDEX(RLVL_Data,K147,c_RLVL_Orders),""))</f>
        <v/>
      </c>
      <c r="O147" s="119" t="str">
        <f aca="false">IF(J147="","",IF(COUNTIF($J$6:$J$505,J147)&gt;1,1,0))</f>
        <v/>
      </c>
      <c r="P147" s="119" t="str">
        <f aca="false">IF(J147="","",IF(K147="","Not found in Paste_RLVL – deductions set to 0; ","")&amp;IF(L147=0,"New rider (not in Rider_Master) – OK, shown as Rider &lt;ID&gt;; ","")&amp;IF(AND(N147&lt;&gt;"",N147&lt;&gt;M147),"Orders differ: FTR "&amp;M147&amp;" vs RLVL "&amp;N147&amp;"; ","")&amp;IF(O147=1,"Duplicate Rider ID; ",""))</f>
        <v/>
      </c>
      <c r="Q147" s="119" t="str">
        <f aca="false">IF(P147="","",COUNTIF(P$6:P147,"?*"))</f>
        <v/>
      </c>
    </row>
    <row r="148" customFormat="false" ht="15" hidden="false" customHeight="false" outlineLevel="0" collapsed="false">
      <c r="I148" s="119" t="n">
        <v>143</v>
      </c>
      <c r="J148" s="119" t="str">
        <f aca="false">IFERROR(IF(INDEX(Rider_Input[Rider ID],I148)="","",INDEX(Rider_Input[Rider ID],I148)),"")</f>
        <v/>
      </c>
      <c r="K148" s="119" t="str">
        <f aca="false">IF(J148="","",IFERROR(MATCH(J148,INDEX(RLVL_Data,0,c_RLVL_ID),0),""))</f>
        <v/>
      </c>
      <c r="L148" s="119" t="str">
        <f aca="false">IF(J148="","",IF(ISNUMBER(MATCH(J148,Rider_Master[Rider ID],0)),1,0))</f>
        <v/>
      </c>
      <c r="M148" s="119" t="str">
        <f aca="false">IF(J148="","",INDEX(Rider_Input[Completed Orders],I148))</f>
        <v/>
      </c>
      <c r="N148" s="119" t="str">
        <f aca="false">IF(OR(J148="",K148=""),"",IFERROR(INDEX(RLVL_Data,K148,c_RLVL_Orders),""))</f>
        <v/>
      </c>
      <c r="O148" s="119" t="str">
        <f aca="false">IF(J148="","",IF(COUNTIF($J$6:$J$505,J148)&gt;1,1,0))</f>
        <v/>
      </c>
      <c r="P148" s="119" t="str">
        <f aca="false">IF(J148="","",IF(K148="","Not found in Paste_RLVL – deductions set to 0; ","")&amp;IF(L148=0,"New rider (not in Rider_Master) – OK, shown as Rider &lt;ID&gt;; ","")&amp;IF(AND(N148&lt;&gt;"",N148&lt;&gt;M148),"Orders differ: FTR "&amp;M148&amp;" vs RLVL "&amp;N148&amp;"; ","")&amp;IF(O148=1,"Duplicate Rider ID; ",""))</f>
        <v/>
      </c>
      <c r="Q148" s="119" t="str">
        <f aca="false">IF(P148="","",COUNTIF(P$6:P148,"?*"))</f>
        <v/>
      </c>
    </row>
    <row r="149" customFormat="false" ht="15" hidden="false" customHeight="false" outlineLevel="0" collapsed="false">
      <c r="I149" s="119" t="n">
        <v>144</v>
      </c>
      <c r="J149" s="119" t="str">
        <f aca="false">IFERROR(IF(INDEX(Rider_Input[Rider ID],I149)="","",INDEX(Rider_Input[Rider ID],I149)),"")</f>
        <v/>
      </c>
      <c r="K149" s="119" t="str">
        <f aca="false">IF(J149="","",IFERROR(MATCH(J149,INDEX(RLVL_Data,0,c_RLVL_ID),0),""))</f>
        <v/>
      </c>
      <c r="L149" s="119" t="str">
        <f aca="false">IF(J149="","",IF(ISNUMBER(MATCH(J149,Rider_Master[Rider ID],0)),1,0))</f>
        <v/>
      </c>
      <c r="M149" s="119" t="str">
        <f aca="false">IF(J149="","",INDEX(Rider_Input[Completed Orders],I149))</f>
        <v/>
      </c>
      <c r="N149" s="119" t="str">
        <f aca="false">IF(OR(J149="",K149=""),"",IFERROR(INDEX(RLVL_Data,K149,c_RLVL_Orders),""))</f>
        <v/>
      </c>
      <c r="O149" s="119" t="str">
        <f aca="false">IF(J149="","",IF(COUNTIF($J$6:$J$505,J149)&gt;1,1,0))</f>
        <v/>
      </c>
      <c r="P149" s="119" t="str">
        <f aca="false">IF(J149="","",IF(K149="","Not found in Paste_RLVL – deductions set to 0; ","")&amp;IF(L149=0,"New rider (not in Rider_Master) – OK, shown as Rider &lt;ID&gt;; ","")&amp;IF(AND(N149&lt;&gt;"",N149&lt;&gt;M149),"Orders differ: FTR "&amp;M149&amp;" vs RLVL "&amp;N149&amp;"; ","")&amp;IF(O149=1,"Duplicate Rider ID; ",""))</f>
        <v/>
      </c>
      <c r="Q149" s="119" t="str">
        <f aca="false">IF(P149="","",COUNTIF(P$6:P149,"?*"))</f>
        <v/>
      </c>
    </row>
    <row r="150" customFormat="false" ht="15" hidden="false" customHeight="false" outlineLevel="0" collapsed="false">
      <c r="I150" s="119" t="n">
        <v>145</v>
      </c>
      <c r="J150" s="119" t="str">
        <f aca="false">IFERROR(IF(INDEX(Rider_Input[Rider ID],I150)="","",INDEX(Rider_Input[Rider ID],I150)),"")</f>
        <v/>
      </c>
      <c r="K150" s="119" t="str">
        <f aca="false">IF(J150="","",IFERROR(MATCH(J150,INDEX(RLVL_Data,0,c_RLVL_ID),0),""))</f>
        <v/>
      </c>
      <c r="L150" s="119" t="str">
        <f aca="false">IF(J150="","",IF(ISNUMBER(MATCH(J150,Rider_Master[Rider ID],0)),1,0))</f>
        <v/>
      </c>
      <c r="M150" s="119" t="str">
        <f aca="false">IF(J150="","",INDEX(Rider_Input[Completed Orders],I150))</f>
        <v/>
      </c>
      <c r="N150" s="119" t="str">
        <f aca="false">IF(OR(J150="",K150=""),"",IFERROR(INDEX(RLVL_Data,K150,c_RLVL_Orders),""))</f>
        <v/>
      </c>
      <c r="O150" s="119" t="str">
        <f aca="false">IF(J150="","",IF(COUNTIF($J$6:$J$505,J150)&gt;1,1,0))</f>
        <v/>
      </c>
      <c r="P150" s="119" t="str">
        <f aca="false">IF(J150="","",IF(K150="","Not found in Paste_RLVL – deductions set to 0; ","")&amp;IF(L150=0,"New rider (not in Rider_Master) – OK, shown as Rider &lt;ID&gt;; ","")&amp;IF(AND(N150&lt;&gt;"",N150&lt;&gt;M150),"Orders differ: FTR "&amp;M150&amp;" vs RLVL "&amp;N150&amp;"; ","")&amp;IF(O150=1,"Duplicate Rider ID; ",""))</f>
        <v/>
      </c>
      <c r="Q150" s="119" t="str">
        <f aca="false">IF(P150="","",COUNTIF(P$6:P150,"?*"))</f>
        <v/>
      </c>
    </row>
    <row r="151" customFormat="false" ht="15" hidden="false" customHeight="false" outlineLevel="0" collapsed="false">
      <c r="I151" s="119" t="n">
        <v>146</v>
      </c>
      <c r="J151" s="119" t="str">
        <f aca="false">IFERROR(IF(INDEX(Rider_Input[Rider ID],I151)="","",INDEX(Rider_Input[Rider ID],I151)),"")</f>
        <v/>
      </c>
      <c r="K151" s="119" t="str">
        <f aca="false">IF(J151="","",IFERROR(MATCH(J151,INDEX(RLVL_Data,0,c_RLVL_ID),0),""))</f>
        <v/>
      </c>
      <c r="L151" s="119" t="str">
        <f aca="false">IF(J151="","",IF(ISNUMBER(MATCH(J151,Rider_Master[Rider ID],0)),1,0))</f>
        <v/>
      </c>
      <c r="M151" s="119" t="str">
        <f aca="false">IF(J151="","",INDEX(Rider_Input[Completed Orders],I151))</f>
        <v/>
      </c>
      <c r="N151" s="119" t="str">
        <f aca="false">IF(OR(J151="",K151=""),"",IFERROR(INDEX(RLVL_Data,K151,c_RLVL_Orders),""))</f>
        <v/>
      </c>
      <c r="O151" s="119" t="str">
        <f aca="false">IF(J151="","",IF(COUNTIF($J$6:$J$505,J151)&gt;1,1,0))</f>
        <v/>
      </c>
      <c r="P151" s="119" t="str">
        <f aca="false">IF(J151="","",IF(K151="","Not found in Paste_RLVL – deductions set to 0; ","")&amp;IF(L151=0,"New rider (not in Rider_Master) – OK, shown as Rider &lt;ID&gt;; ","")&amp;IF(AND(N151&lt;&gt;"",N151&lt;&gt;M151),"Orders differ: FTR "&amp;M151&amp;" vs RLVL "&amp;N151&amp;"; ","")&amp;IF(O151=1,"Duplicate Rider ID; ",""))</f>
        <v/>
      </c>
      <c r="Q151" s="119" t="str">
        <f aca="false">IF(P151="","",COUNTIF(P$6:P151,"?*"))</f>
        <v/>
      </c>
    </row>
    <row r="152" customFormat="false" ht="15" hidden="false" customHeight="false" outlineLevel="0" collapsed="false">
      <c r="I152" s="119" t="n">
        <v>147</v>
      </c>
      <c r="J152" s="119" t="str">
        <f aca="false">IFERROR(IF(INDEX(Rider_Input[Rider ID],I152)="","",INDEX(Rider_Input[Rider ID],I152)),"")</f>
        <v/>
      </c>
      <c r="K152" s="119" t="str">
        <f aca="false">IF(J152="","",IFERROR(MATCH(J152,INDEX(RLVL_Data,0,c_RLVL_ID),0),""))</f>
        <v/>
      </c>
      <c r="L152" s="119" t="str">
        <f aca="false">IF(J152="","",IF(ISNUMBER(MATCH(J152,Rider_Master[Rider ID],0)),1,0))</f>
        <v/>
      </c>
      <c r="M152" s="119" t="str">
        <f aca="false">IF(J152="","",INDEX(Rider_Input[Completed Orders],I152))</f>
        <v/>
      </c>
      <c r="N152" s="119" t="str">
        <f aca="false">IF(OR(J152="",K152=""),"",IFERROR(INDEX(RLVL_Data,K152,c_RLVL_Orders),""))</f>
        <v/>
      </c>
      <c r="O152" s="119" t="str">
        <f aca="false">IF(J152="","",IF(COUNTIF($J$6:$J$505,J152)&gt;1,1,0))</f>
        <v/>
      </c>
      <c r="P152" s="119" t="str">
        <f aca="false">IF(J152="","",IF(K152="","Not found in Paste_RLVL – deductions set to 0; ","")&amp;IF(L152=0,"New rider (not in Rider_Master) – OK, shown as Rider &lt;ID&gt;; ","")&amp;IF(AND(N152&lt;&gt;"",N152&lt;&gt;M152),"Orders differ: FTR "&amp;M152&amp;" vs RLVL "&amp;N152&amp;"; ","")&amp;IF(O152=1,"Duplicate Rider ID; ",""))</f>
        <v/>
      </c>
      <c r="Q152" s="119" t="str">
        <f aca="false">IF(P152="","",COUNTIF(P$6:P152,"?*"))</f>
        <v/>
      </c>
    </row>
    <row r="153" customFormat="false" ht="15" hidden="false" customHeight="false" outlineLevel="0" collapsed="false">
      <c r="I153" s="119" t="n">
        <v>148</v>
      </c>
      <c r="J153" s="119" t="str">
        <f aca="false">IFERROR(IF(INDEX(Rider_Input[Rider ID],I153)="","",INDEX(Rider_Input[Rider ID],I153)),"")</f>
        <v/>
      </c>
      <c r="K153" s="119" t="str">
        <f aca="false">IF(J153="","",IFERROR(MATCH(J153,INDEX(RLVL_Data,0,c_RLVL_ID),0),""))</f>
        <v/>
      </c>
      <c r="L153" s="119" t="str">
        <f aca="false">IF(J153="","",IF(ISNUMBER(MATCH(J153,Rider_Master[Rider ID],0)),1,0))</f>
        <v/>
      </c>
      <c r="M153" s="119" t="str">
        <f aca="false">IF(J153="","",INDEX(Rider_Input[Completed Orders],I153))</f>
        <v/>
      </c>
      <c r="N153" s="119" t="str">
        <f aca="false">IF(OR(J153="",K153=""),"",IFERROR(INDEX(RLVL_Data,K153,c_RLVL_Orders),""))</f>
        <v/>
      </c>
      <c r="O153" s="119" t="str">
        <f aca="false">IF(J153="","",IF(COUNTIF($J$6:$J$505,J153)&gt;1,1,0))</f>
        <v/>
      </c>
      <c r="P153" s="119" t="str">
        <f aca="false">IF(J153="","",IF(K153="","Not found in Paste_RLVL – deductions set to 0; ","")&amp;IF(L153=0,"New rider (not in Rider_Master) – OK, shown as Rider &lt;ID&gt;; ","")&amp;IF(AND(N153&lt;&gt;"",N153&lt;&gt;M153),"Orders differ: FTR "&amp;M153&amp;" vs RLVL "&amp;N153&amp;"; ","")&amp;IF(O153=1,"Duplicate Rider ID; ",""))</f>
        <v/>
      </c>
      <c r="Q153" s="119" t="str">
        <f aca="false">IF(P153="","",COUNTIF(P$6:P153,"?*"))</f>
        <v/>
      </c>
    </row>
    <row r="154" customFormat="false" ht="15" hidden="false" customHeight="false" outlineLevel="0" collapsed="false">
      <c r="I154" s="119" t="n">
        <v>149</v>
      </c>
      <c r="J154" s="119" t="str">
        <f aca="false">IFERROR(IF(INDEX(Rider_Input[Rider ID],I154)="","",INDEX(Rider_Input[Rider ID],I154)),"")</f>
        <v/>
      </c>
      <c r="K154" s="119" t="str">
        <f aca="false">IF(J154="","",IFERROR(MATCH(J154,INDEX(RLVL_Data,0,c_RLVL_ID),0),""))</f>
        <v/>
      </c>
      <c r="L154" s="119" t="str">
        <f aca="false">IF(J154="","",IF(ISNUMBER(MATCH(J154,Rider_Master[Rider ID],0)),1,0))</f>
        <v/>
      </c>
      <c r="M154" s="119" t="str">
        <f aca="false">IF(J154="","",INDEX(Rider_Input[Completed Orders],I154))</f>
        <v/>
      </c>
      <c r="N154" s="119" t="str">
        <f aca="false">IF(OR(J154="",K154=""),"",IFERROR(INDEX(RLVL_Data,K154,c_RLVL_Orders),""))</f>
        <v/>
      </c>
      <c r="O154" s="119" t="str">
        <f aca="false">IF(J154="","",IF(COUNTIF($J$6:$J$505,J154)&gt;1,1,0))</f>
        <v/>
      </c>
      <c r="P154" s="119" t="str">
        <f aca="false">IF(J154="","",IF(K154="","Not found in Paste_RLVL – deductions set to 0; ","")&amp;IF(L154=0,"New rider (not in Rider_Master) – OK, shown as Rider &lt;ID&gt;; ","")&amp;IF(AND(N154&lt;&gt;"",N154&lt;&gt;M154),"Orders differ: FTR "&amp;M154&amp;" vs RLVL "&amp;N154&amp;"; ","")&amp;IF(O154=1,"Duplicate Rider ID; ",""))</f>
        <v/>
      </c>
      <c r="Q154" s="119" t="str">
        <f aca="false">IF(P154="","",COUNTIF(P$6:P154,"?*"))</f>
        <v/>
      </c>
    </row>
    <row r="155" customFormat="false" ht="15" hidden="false" customHeight="false" outlineLevel="0" collapsed="false">
      <c r="I155" s="119" t="n">
        <v>150</v>
      </c>
      <c r="J155" s="119" t="str">
        <f aca="false">IFERROR(IF(INDEX(Rider_Input[Rider ID],I155)="","",INDEX(Rider_Input[Rider ID],I155)),"")</f>
        <v/>
      </c>
      <c r="K155" s="119" t="str">
        <f aca="false">IF(J155="","",IFERROR(MATCH(J155,INDEX(RLVL_Data,0,c_RLVL_ID),0),""))</f>
        <v/>
      </c>
      <c r="L155" s="119" t="str">
        <f aca="false">IF(J155="","",IF(ISNUMBER(MATCH(J155,Rider_Master[Rider ID],0)),1,0))</f>
        <v/>
      </c>
      <c r="M155" s="119" t="str">
        <f aca="false">IF(J155="","",INDEX(Rider_Input[Completed Orders],I155))</f>
        <v/>
      </c>
      <c r="N155" s="119" t="str">
        <f aca="false">IF(OR(J155="",K155=""),"",IFERROR(INDEX(RLVL_Data,K155,c_RLVL_Orders),""))</f>
        <v/>
      </c>
      <c r="O155" s="119" t="str">
        <f aca="false">IF(J155="","",IF(COUNTIF($J$6:$J$505,J155)&gt;1,1,0))</f>
        <v/>
      </c>
      <c r="P155" s="119" t="str">
        <f aca="false">IF(J155="","",IF(K155="","Not found in Paste_RLVL – deductions set to 0; ","")&amp;IF(L155=0,"New rider (not in Rider_Master) – OK, shown as Rider &lt;ID&gt;; ","")&amp;IF(AND(N155&lt;&gt;"",N155&lt;&gt;M155),"Orders differ: FTR "&amp;M155&amp;" vs RLVL "&amp;N155&amp;"; ","")&amp;IF(O155=1,"Duplicate Rider ID; ",""))</f>
        <v/>
      </c>
      <c r="Q155" s="119" t="str">
        <f aca="false">IF(P155="","",COUNTIF(P$6:P155,"?*"))</f>
        <v/>
      </c>
    </row>
    <row r="156" customFormat="false" ht="15" hidden="false" customHeight="false" outlineLevel="0" collapsed="false">
      <c r="I156" s="119" t="n">
        <v>151</v>
      </c>
      <c r="J156" s="119" t="str">
        <f aca="false">IFERROR(IF(INDEX(Rider_Input[Rider ID],I156)="","",INDEX(Rider_Input[Rider ID],I156)),"")</f>
        <v/>
      </c>
      <c r="K156" s="119" t="str">
        <f aca="false">IF(J156="","",IFERROR(MATCH(J156,INDEX(RLVL_Data,0,c_RLVL_ID),0),""))</f>
        <v/>
      </c>
      <c r="L156" s="119" t="str">
        <f aca="false">IF(J156="","",IF(ISNUMBER(MATCH(J156,Rider_Master[Rider ID],0)),1,0))</f>
        <v/>
      </c>
      <c r="M156" s="119" t="str">
        <f aca="false">IF(J156="","",INDEX(Rider_Input[Completed Orders],I156))</f>
        <v/>
      </c>
      <c r="N156" s="119" t="str">
        <f aca="false">IF(OR(J156="",K156=""),"",IFERROR(INDEX(RLVL_Data,K156,c_RLVL_Orders),""))</f>
        <v/>
      </c>
      <c r="O156" s="119" t="str">
        <f aca="false">IF(J156="","",IF(COUNTIF($J$6:$J$505,J156)&gt;1,1,0))</f>
        <v/>
      </c>
      <c r="P156" s="119" t="str">
        <f aca="false">IF(J156="","",IF(K156="","Not found in Paste_RLVL – deductions set to 0; ","")&amp;IF(L156=0,"New rider (not in Rider_Master) – OK, shown as Rider &lt;ID&gt;; ","")&amp;IF(AND(N156&lt;&gt;"",N156&lt;&gt;M156),"Orders differ: FTR "&amp;M156&amp;" vs RLVL "&amp;N156&amp;"; ","")&amp;IF(O156=1,"Duplicate Rider ID; ",""))</f>
        <v/>
      </c>
      <c r="Q156" s="119" t="str">
        <f aca="false">IF(P156="","",COUNTIF(P$6:P156,"?*"))</f>
        <v/>
      </c>
    </row>
    <row r="157" customFormat="false" ht="15" hidden="false" customHeight="false" outlineLevel="0" collapsed="false">
      <c r="I157" s="119" t="n">
        <v>152</v>
      </c>
      <c r="J157" s="119" t="str">
        <f aca="false">IFERROR(IF(INDEX(Rider_Input[Rider ID],I157)="","",INDEX(Rider_Input[Rider ID],I157)),"")</f>
        <v/>
      </c>
      <c r="K157" s="119" t="str">
        <f aca="false">IF(J157="","",IFERROR(MATCH(J157,INDEX(RLVL_Data,0,c_RLVL_ID),0),""))</f>
        <v/>
      </c>
      <c r="L157" s="119" t="str">
        <f aca="false">IF(J157="","",IF(ISNUMBER(MATCH(J157,Rider_Master[Rider ID],0)),1,0))</f>
        <v/>
      </c>
      <c r="M157" s="119" t="str">
        <f aca="false">IF(J157="","",INDEX(Rider_Input[Completed Orders],I157))</f>
        <v/>
      </c>
      <c r="N157" s="119" t="str">
        <f aca="false">IF(OR(J157="",K157=""),"",IFERROR(INDEX(RLVL_Data,K157,c_RLVL_Orders),""))</f>
        <v/>
      </c>
      <c r="O157" s="119" t="str">
        <f aca="false">IF(J157="","",IF(COUNTIF($J$6:$J$505,J157)&gt;1,1,0))</f>
        <v/>
      </c>
      <c r="P157" s="119" t="str">
        <f aca="false">IF(J157="","",IF(K157="","Not found in Paste_RLVL – deductions set to 0; ","")&amp;IF(L157=0,"New rider (not in Rider_Master) – OK, shown as Rider &lt;ID&gt;; ","")&amp;IF(AND(N157&lt;&gt;"",N157&lt;&gt;M157),"Orders differ: FTR "&amp;M157&amp;" vs RLVL "&amp;N157&amp;"; ","")&amp;IF(O157=1,"Duplicate Rider ID; ",""))</f>
        <v/>
      </c>
      <c r="Q157" s="119" t="str">
        <f aca="false">IF(P157="","",COUNTIF(P$6:P157,"?*"))</f>
        <v/>
      </c>
    </row>
    <row r="158" customFormat="false" ht="15" hidden="false" customHeight="false" outlineLevel="0" collapsed="false">
      <c r="I158" s="119" t="n">
        <v>153</v>
      </c>
      <c r="J158" s="119" t="str">
        <f aca="false">IFERROR(IF(INDEX(Rider_Input[Rider ID],I158)="","",INDEX(Rider_Input[Rider ID],I158)),"")</f>
        <v/>
      </c>
      <c r="K158" s="119" t="str">
        <f aca="false">IF(J158="","",IFERROR(MATCH(J158,INDEX(RLVL_Data,0,c_RLVL_ID),0),""))</f>
        <v/>
      </c>
      <c r="L158" s="119" t="str">
        <f aca="false">IF(J158="","",IF(ISNUMBER(MATCH(J158,Rider_Master[Rider ID],0)),1,0))</f>
        <v/>
      </c>
      <c r="M158" s="119" t="str">
        <f aca="false">IF(J158="","",INDEX(Rider_Input[Completed Orders],I158))</f>
        <v/>
      </c>
      <c r="N158" s="119" t="str">
        <f aca="false">IF(OR(J158="",K158=""),"",IFERROR(INDEX(RLVL_Data,K158,c_RLVL_Orders),""))</f>
        <v/>
      </c>
      <c r="O158" s="119" t="str">
        <f aca="false">IF(J158="","",IF(COUNTIF($J$6:$J$505,J158)&gt;1,1,0))</f>
        <v/>
      </c>
      <c r="P158" s="119" t="str">
        <f aca="false">IF(J158="","",IF(K158="","Not found in Paste_RLVL – deductions set to 0; ","")&amp;IF(L158=0,"New rider (not in Rider_Master) – OK, shown as Rider &lt;ID&gt;; ","")&amp;IF(AND(N158&lt;&gt;"",N158&lt;&gt;M158),"Orders differ: FTR "&amp;M158&amp;" vs RLVL "&amp;N158&amp;"; ","")&amp;IF(O158=1,"Duplicate Rider ID; ",""))</f>
        <v/>
      </c>
      <c r="Q158" s="119" t="str">
        <f aca="false">IF(P158="","",COUNTIF(P$6:P158,"?*"))</f>
        <v/>
      </c>
    </row>
    <row r="159" customFormat="false" ht="15" hidden="false" customHeight="false" outlineLevel="0" collapsed="false">
      <c r="I159" s="119" t="n">
        <v>154</v>
      </c>
      <c r="J159" s="119" t="str">
        <f aca="false">IFERROR(IF(INDEX(Rider_Input[Rider ID],I159)="","",INDEX(Rider_Input[Rider ID],I159)),"")</f>
        <v/>
      </c>
      <c r="K159" s="119" t="str">
        <f aca="false">IF(J159="","",IFERROR(MATCH(J159,INDEX(RLVL_Data,0,c_RLVL_ID),0),""))</f>
        <v/>
      </c>
      <c r="L159" s="119" t="str">
        <f aca="false">IF(J159="","",IF(ISNUMBER(MATCH(J159,Rider_Master[Rider ID],0)),1,0))</f>
        <v/>
      </c>
      <c r="M159" s="119" t="str">
        <f aca="false">IF(J159="","",INDEX(Rider_Input[Completed Orders],I159))</f>
        <v/>
      </c>
      <c r="N159" s="119" t="str">
        <f aca="false">IF(OR(J159="",K159=""),"",IFERROR(INDEX(RLVL_Data,K159,c_RLVL_Orders),""))</f>
        <v/>
      </c>
      <c r="O159" s="119" t="str">
        <f aca="false">IF(J159="","",IF(COUNTIF($J$6:$J$505,J159)&gt;1,1,0))</f>
        <v/>
      </c>
      <c r="P159" s="119" t="str">
        <f aca="false">IF(J159="","",IF(K159="","Not found in Paste_RLVL – deductions set to 0; ","")&amp;IF(L159=0,"New rider (not in Rider_Master) – OK, shown as Rider &lt;ID&gt;; ","")&amp;IF(AND(N159&lt;&gt;"",N159&lt;&gt;M159),"Orders differ: FTR "&amp;M159&amp;" vs RLVL "&amp;N159&amp;"; ","")&amp;IF(O159=1,"Duplicate Rider ID; ",""))</f>
        <v/>
      </c>
      <c r="Q159" s="119" t="str">
        <f aca="false">IF(P159="","",COUNTIF(P$6:P159,"?*"))</f>
        <v/>
      </c>
    </row>
    <row r="160" customFormat="false" ht="15" hidden="false" customHeight="false" outlineLevel="0" collapsed="false">
      <c r="I160" s="119" t="n">
        <v>155</v>
      </c>
      <c r="J160" s="119" t="str">
        <f aca="false">IFERROR(IF(INDEX(Rider_Input[Rider ID],I160)="","",INDEX(Rider_Input[Rider ID],I160)),"")</f>
        <v/>
      </c>
      <c r="K160" s="119" t="str">
        <f aca="false">IF(J160="","",IFERROR(MATCH(J160,INDEX(RLVL_Data,0,c_RLVL_ID),0),""))</f>
        <v/>
      </c>
      <c r="L160" s="119" t="str">
        <f aca="false">IF(J160="","",IF(ISNUMBER(MATCH(J160,Rider_Master[Rider ID],0)),1,0))</f>
        <v/>
      </c>
      <c r="M160" s="119" t="str">
        <f aca="false">IF(J160="","",INDEX(Rider_Input[Completed Orders],I160))</f>
        <v/>
      </c>
      <c r="N160" s="119" t="str">
        <f aca="false">IF(OR(J160="",K160=""),"",IFERROR(INDEX(RLVL_Data,K160,c_RLVL_Orders),""))</f>
        <v/>
      </c>
      <c r="O160" s="119" t="str">
        <f aca="false">IF(J160="","",IF(COUNTIF($J$6:$J$505,J160)&gt;1,1,0))</f>
        <v/>
      </c>
      <c r="P160" s="119" t="str">
        <f aca="false">IF(J160="","",IF(K160="","Not found in Paste_RLVL – deductions set to 0; ","")&amp;IF(L160=0,"New rider (not in Rider_Master) – OK, shown as Rider &lt;ID&gt;; ","")&amp;IF(AND(N160&lt;&gt;"",N160&lt;&gt;M160),"Orders differ: FTR "&amp;M160&amp;" vs RLVL "&amp;N160&amp;"; ","")&amp;IF(O160=1,"Duplicate Rider ID; ",""))</f>
        <v/>
      </c>
      <c r="Q160" s="119" t="str">
        <f aca="false">IF(P160="","",COUNTIF(P$6:P160,"?*"))</f>
        <v/>
      </c>
    </row>
    <row r="161" customFormat="false" ht="15" hidden="false" customHeight="false" outlineLevel="0" collapsed="false">
      <c r="I161" s="119" t="n">
        <v>156</v>
      </c>
      <c r="J161" s="119" t="str">
        <f aca="false">IFERROR(IF(INDEX(Rider_Input[Rider ID],I161)="","",INDEX(Rider_Input[Rider ID],I161)),"")</f>
        <v/>
      </c>
      <c r="K161" s="119" t="str">
        <f aca="false">IF(J161="","",IFERROR(MATCH(J161,INDEX(RLVL_Data,0,c_RLVL_ID),0),""))</f>
        <v/>
      </c>
      <c r="L161" s="119" t="str">
        <f aca="false">IF(J161="","",IF(ISNUMBER(MATCH(J161,Rider_Master[Rider ID],0)),1,0))</f>
        <v/>
      </c>
      <c r="M161" s="119" t="str">
        <f aca="false">IF(J161="","",INDEX(Rider_Input[Completed Orders],I161))</f>
        <v/>
      </c>
      <c r="N161" s="119" t="str">
        <f aca="false">IF(OR(J161="",K161=""),"",IFERROR(INDEX(RLVL_Data,K161,c_RLVL_Orders),""))</f>
        <v/>
      </c>
      <c r="O161" s="119" t="str">
        <f aca="false">IF(J161="","",IF(COUNTIF($J$6:$J$505,J161)&gt;1,1,0))</f>
        <v/>
      </c>
      <c r="P161" s="119" t="str">
        <f aca="false">IF(J161="","",IF(K161="","Not found in Paste_RLVL – deductions set to 0; ","")&amp;IF(L161=0,"New rider (not in Rider_Master) – OK, shown as Rider &lt;ID&gt;; ","")&amp;IF(AND(N161&lt;&gt;"",N161&lt;&gt;M161),"Orders differ: FTR "&amp;M161&amp;" vs RLVL "&amp;N161&amp;"; ","")&amp;IF(O161=1,"Duplicate Rider ID; ",""))</f>
        <v/>
      </c>
      <c r="Q161" s="119" t="str">
        <f aca="false">IF(P161="","",COUNTIF(P$6:P161,"?*"))</f>
        <v/>
      </c>
    </row>
    <row r="162" customFormat="false" ht="15" hidden="false" customHeight="false" outlineLevel="0" collapsed="false">
      <c r="I162" s="119" t="n">
        <v>157</v>
      </c>
      <c r="J162" s="119" t="str">
        <f aca="false">IFERROR(IF(INDEX(Rider_Input[Rider ID],I162)="","",INDEX(Rider_Input[Rider ID],I162)),"")</f>
        <v/>
      </c>
      <c r="K162" s="119" t="str">
        <f aca="false">IF(J162="","",IFERROR(MATCH(J162,INDEX(RLVL_Data,0,c_RLVL_ID),0),""))</f>
        <v/>
      </c>
      <c r="L162" s="119" t="str">
        <f aca="false">IF(J162="","",IF(ISNUMBER(MATCH(J162,Rider_Master[Rider ID],0)),1,0))</f>
        <v/>
      </c>
      <c r="M162" s="119" t="str">
        <f aca="false">IF(J162="","",INDEX(Rider_Input[Completed Orders],I162))</f>
        <v/>
      </c>
      <c r="N162" s="119" t="str">
        <f aca="false">IF(OR(J162="",K162=""),"",IFERROR(INDEX(RLVL_Data,K162,c_RLVL_Orders),""))</f>
        <v/>
      </c>
      <c r="O162" s="119" t="str">
        <f aca="false">IF(J162="","",IF(COUNTIF($J$6:$J$505,J162)&gt;1,1,0))</f>
        <v/>
      </c>
      <c r="P162" s="119" t="str">
        <f aca="false">IF(J162="","",IF(K162="","Not found in Paste_RLVL – deductions set to 0; ","")&amp;IF(L162=0,"New rider (not in Rider_Master) – OK, shown as Rider &lt;ID&gt;; ","")&amp;IF(AND(N162&lt;&gt;"",N162&lt;&gt;M162),"Orders differ: FTR "&amp;M162&amp;" vs RLVL "&amp;N162&amp;"; ","")&amp;IF(O162=1,"Duplicate Rider ID; ",""))</f>
        <v/>
      </c>
      <c r="Q162" s="119" t="str">
        <f aca="false">IF(P162="","",COUNTIF(P$6:P162,"?*"))</f>
        <v/>
      </c>
    </row>
    <row r="163" customFormat="false" ht="15" hidden="false" customHeight="false" outlineLevel="0" collapsed="false">
      <c r="I163" s="119" t="n">
        <v>158</v>
      </c>
      <c r="J163" s="119" t="str">
        <f aca="false">IFERROR(IF(INDEX(Rider_Input[Rider ID],I163)="","",INDEX(Rider_Input[Rider ID],I163)),"")</f>
        <v/>
      </c>
      <c r="K163" s="119" t="str">
        <f aca="false">IF(J163="","",IFERROR(MATCH(J163,INDEX(RLVL_Data,0,c_RLVL_ID),0),""))</f>
        <v/>
      </c>
      <c r="L163" s="119" t="str">
        <f aca="false">IF(J163="","",IF(ISNUMBER(MATCH(J163,Rider_Master[Rider ID],0)),1,0))</f>
        <v/>
      </c>
      <c r="M163" s="119" t="str">
        <f aca="false">IF(J163="","",INDEX(Rider_Input[Completed Orders],I163))</f>
        <v/>
      </c>
      <c r="N163" s="119" t="str">
        <f aca="false">IF(OR(J163="",K163=""),"",IFERROR(INDEX(RLVL_Data,K163,c_RLVL_Orders),""))</f>
        <v/>
      </c>
      <c r="O163" s="119" t="str">
        <f aca="false">IF(J163="","",IF(COUNTIF($J$6:$J$505,J163)&gt;1,1,0))</f>
        <v/>
      </c>
      <c r="P163" s="119" t="str">
        <f aca="false">IF(J163="","",IF(K163="","Not found in Paste_RLVL – deductions set to 0; ","")&amp;IF(L163=0,"New rider (not in Rider_Master) – OK, shown as Rider &lt;ID&gt;; ","")&amp;IF(AND(N163&lt;&gt;"",N163&lt;&gt;M163),"Orders differ: FTR "&amp;M163&amp;" vs RLVL "&amp;N163&amp;"; ","")&amp;IF(O163=1,"Duplicate Rider ID; ",""))</f>
        <v/>
      </c>
      <c r="Q163" s="119" t="str">
        <f aca="false">IF(P163="","",COUNTIF(P$6:P163,"?*"))</f>
        <v/>
      </c>
    </row>
    <row r="164" customFormat="false" ht="15" hidden="false" customHeight="false" outlineLevel="0" collapsed="false">
      <c r="I164" s="119" t="n">
        <v>159</v>
      </c>
      <c r="J164" s="119" t="str">
        <f aca="false">IFERROR(IF(INDEX(Rider_Input[Rider ID],I164)="","",INDEX(Rider_Input[Rider ID],I164)),"")</f>
        <v/>
      </c>
      <c r="K164" s="119" t="str">
        <f aca="false">IF(J164="","",IFERROR(MATCH(J164,INDEX(RLVL_Data,0,c_RLVL_ID),0),""))</f>
        <v/>
      </c>
      <c r="L164" s="119" t="str">
        <f aca="false">IF(J164="","",IF(ISNUMBER(MATCH(J164,Rider_Master[Rider ID],0)),1,0))</f>
        <v/>
      </c>
      <c r="M164" s="119" t="str">
        <f aca="false">IF(J164="","",INDEX(Rider_Input[Completed Orders],I164))</f>
        <v/>
      </c>
      <c r="N164" s="119" t="str">
        <f aca="false">IF(OR(J164="",K164=""),"",IFERROR(INDEX(RLVL_Data,K164,c_RLVL_Orders),""))</f>
        <v/>
      </c>
      <c r="O164" s="119" t="str">
        <f aca="false">IF(J164="","",IF(COUNTIF($J$6:$J$505,J164)&gt;1,1,0))</f>
        <v/>
      </c>
      <c r="P164" s="119" t="str">
        <f aca="false">IF(J164="","",IF(K164="","Not found in Paste_RLVL – deductions set to 0; ","")&amp;IF(L164=0,"New rider (not in Rider_Master) – OK, shown as Rider &lt;ID&gt;; ","")&amp;IF(AND(N164&lt;&gt;"",N164&lt;&gt;M164),"Orders differ: FTR "&amp;M164&amp;" vs RLVL "&amp;N164&amp;"; ","")&amp;IF(O164=1,"Duplicate Rider ID; ",""))</f>
        <v/>
      </c>
      <c r="Q164" s="119" t="str">
        <f aca="false">IF(P164="","",COUNTIF(P$6:P164,"?*"))</f>
        <v/>
      </c>
    </row>
    <row r="165" customFormat="false" ht="15" hidden="false" customHeight="false" outlineLevel="0" collapsed="false">
      <c r="I165" s="119" t="n">
        <v>160</v>
      </c>
      <c r="J165" s="119" t="str">
        <f aca="false">IFERROR(IF(INDEX(Rider_Input[Rider ID],I165)="","",INDEX(Rider_Input[Rider ID],I165)),"")</f>
        <v/>
      </c>
      <c r="K165" s="119" t="str">
        <f aca="false">IF(J165="","",IFERROR(MATCH(J165,INDEX(RLVL_Data,0,c_RLVL_ID),0),""))</f>
        <v/>
      </c>
      <c r="L165" s="119" t="str">
        <f aca="false">IF(J165="","",IF(ISNUMBER(MATCH(J165,Rider_Master[Rider ID],0)),1,0))</f>
        <v/>
      </c>
      <c r="M165" s="119" t="str">
        <f aca="false">IF(J165="","",INDEX(Rider_Input[Completed Orders],I165))</f>
        <v/>
      </c>
      <c r="N165" s="119" t="str">
        <f aca="false">IF(OR(J165="",K165=""),"",IFERROR(INDEX(RLVL_Data,K165,c_RLVL_Orders),""))</f>
        <v/>
      </c>
      <c r="O165" s="119" t="str">
        <f aca="false">IF(J165="","",IF(COUNTIF($J$6:$J$505,J165)&gt;1,1,0))</f>
        <v/>
      </c>
      <c r="P165" s="119" t="str">
        <f aca="false">IF(J165="","",IF(K165="","Not found in Paste_RLVL – deductions set to 0; ","")&amp;IF(L165=0,"New rider (not in Rider_Master) – OK, shown as Rider &lt;ID&gt;; ","")&amp;IF(AND(N165&lt;&gt;"",N165&lt;&gt;M165),"Orders differ: FTR "&amp;M165&amp;" vs RLVL "&amp;N165&amp;"; ","")&amp;IF(O165=1,"Duplicate Rider ID; ",""))</f>
        <v/>
      </c>
      <c r="Q165" s="119" t="str">
        <f aca="false">IF(P165="","",COUNTIF(P$6:P165,"?*"))</f>
        <v/>
      </c>
    </row>
    <row r="166" customFormat="false" ht="15" hidden="false" customHeight="false" outlineLevel="0" collapsed="false">
      <c r="I166" s="119" t="n">
        <v>161</v>
      </c>
      <c r="J166" s="119" t="str">
        <f aca="false">IFERROR(IF(INDEX(Rider_Input[Rider ID],I166)="","",INDEX(Rider_Input[Rider ID],I166)),"")</f>
        <v/>
      </c>
      <c r="K166" s="119" t="str">
        <f aca="false">IF(J166="","",IFERROR(MATCH(J166,INDEX(RLVL_Data,0,c_RLVL_ID),0),""))</f>
        <v/>
      </c>
      <c r="L166" s="119" t="str">
        <f aca="false">IF(J166="","",IF(ISNUMBER(MATCH(J166,Rider_Master[Rider ID],0)),1,0))</f>
        <v/>
      </c>
      <c r="M166" s="119" t="str">
        <f aca="false">IF(J166="","",INDEX(Rider_Input[Completed Orders],I166))</f>
        <v/>
      </c>
      <c r="N166" s="119" t="str">
        <f aca="false">IF(OR(J166="",K166=""),"",IFERROR(INDEX(RLVL_Data,K166,c_RLVL_Orders),""))</f>
        <v/>
      </c>
      <c r="O166" s="119" t="str">
        <f aca="false">IF(J166="","",IF(COUNTIF($J$6:$J$505,J166)&gt;1,1,0))</f>
        <v/>
      </c>
      <c r="P166" s="119" t="str">
        <f aca="false">IF(J166="","",IF(K166="","Not found in Paste_RLVL – deductions set to 0; ","")&amp;IF(L166=0,"New rider (not in Rider_Master) – OK, shown as Rider &lt;ID&gt;; ","")&amp;IF(AND(N166&lt;&gt;"",N166&lt;&gt;M166),"Orders differ: FTR "&amp;M166&amp;" vs RLVL "&amp;N166&amp;"; ","")&amp;IF(O166=1,"Duplicate Rider ID; ",""))</f>
        <v/>
      </c>
      <c r="Q166" s="119" t="str">
        <f aca="false">IF(P166="","",COUNTIF(P$6:P166,"?*"))</f>
        <v/>
      </c>
    </row>
    <row r="167" customFormat="false" ht="15" hidden="false" customHeight="false" outlineLevel="0" collapsed="false">
      <c r="I167" s="119" t="n">
        <v>162</v>
      </c>
      <c r="J167" s="119" t="str">
        <f aca="false">IFERROR(IF(INDEX(Rider_Input[Rider ID],I167)="","",INDEX(Rider_Input[Rider ID],I167)),"")</f>
        <v/>
      </c>
      <c r="K167" s="119" t="str">
        <f aca="false">IF(J167="","",IFERROR(MATCH(J167,INDEX(RLVL_Data,0,c_RLVL_ID),0),""))</f>
        <v/>
      </c>
      <c r="L167" s="119" t="str">
        <f aca="false">IF(J167="","",IF(ISNUMBER(MATCH(J167,Rider_Master[Rider ID],0)),1,0))</f>
        <v/>
      </c>
      <c r="M167" s="119" t="str">
        <f aca="false">IF(J167="","",INDEX(Rider_Input[Completed Orders],I167))</f>
        <v/>
      </c>
      <c r="N167" s="119" t="str">
        <f aca="false">IF(OR(J167="",K167=""),"",IFERROR(INDEX(RLVL_Data,K167,c_RLVL_Orders),""))</f>
        <v/>
      </c>
      <c r="O167" s="119" t="str">
        <f aca="false">IF(J167="","",IF(COUNTIF($J$6:$J$505,J167)&gt;1,1,0))</f>
        <v/>
      </c>
      <c r="P167" s="119" t="str">
        <f aca="false">IF(J167="","",IF(K167="","Not found in Paste_RLVL – deductions set to 0; ","")&amp;IF(L167=0,"New rider (not in Rider_Master) – OK, shown as Rider &lt;ID&gt;; ","")&amp;IF(AND(N167&lt;&gt;"",N167&lt;&gt;M167),"Orders differ: FTR "&amp;M167&amp;" vs RLVL "&amp;N167&amp;"; ","")&amp;IF(O167=1,"Duplicate Rider ID; ",""))</f>
        <v/>
      </c>
      <c r="Q167" s="119" t="str">
        <f aca="false">IF(P167="","",COUNTIF(P$6:P167,"?*"))</f>
        <v/>
      </c>
    </row>
    <row r="168" customFormat="false" ht="15" hidden="false" customHeight="false" outlineLevel="0" collapsed="false">
      <c r="I168" s="119" t="n">
        <v>163</v>
      </c>
      <c r="J168" s="119" t="str">
        <f aca="false">IFERROR(IF(INDEX(Rider_Input[Rider ID],I168)="","",INDEX(Rider_Input[Rider ID],I168)),"")</f>
        <v/>
      </c>
      <c r="K168" s="119" t="str">
        <f aca="false">IF(J168="","",IFERROR(MATCH(J168,INDEX(RLVL_Data,0,c_RLVL_ID),0),""))</f>
        <v/>
      </c>
      <c r="L168" s="119" t="str">
        <f aca="false">IF(J168="","",IF(ISNUMBER(MATCH(J168,Rider_Master[Rider ID],0)),1,0))</f>
        <v/>
      </c>
      <c r="M168" s="119" t="str">
        <f aca="false">IF(J168="","",INDEX(Rider_Input[Completed Orders],I168))</f>
        <v/>
      </c>
      <c r="N168" s="119" t="str">
        <f aca="false">IF(OR(J168="",K168=""),"",IFERROR(INDEX(RLVL_Data,K168,c_RLVL_Orders),""))</f>
        <v/>
      </c>
      <c r="O168" s="119" t="str">
        <f aca="false">IF(J168="","",IF(COUNTIF($J$6:$J$505,J168)&gt;1,1,0))</f>
        <v/>
      </c>
      <c r="P168" s="119" t="str">
        <f aca="false">IF(J168="","",IF(K168="","Not found in Paste_RLVL – deductions set to 0; ","")&amp;IF(L168=0,"New rider (not in Rider_Master) – OK, shown as Rider &lt;ID&gt;; ","")&amp;IF(AND(N168&lt;&gt;"",N168&lt;&gt;M168),"Orders differ: FTR "&amp;M168&amp;" vs RLVL "&amp;N168&amp;"; ","")&amp;IF(O168=1,"Duplicate Rider ID; ",""))</f>
        <v/>
      </c>
      <c r="Q168" s="119" t="str">
        <f aca="false">IF(P168="","",COUNTIF(P$6:P168,"?*"))</f>
        <v/>
      </c>
    </row>
    <row r="169" customFormat="false" ht="15" hidden="false" customHeight="false" outlineLevel="0" collapsed="false">
      <c r="I169" s="119" t="n">
        <v>164</v>
      </c>
      <c r="J169" s="119" t="str">
        <f aca="false">IFERROR(IF(INDEX(Rider_Input[Rider ID],I169)="","",INDEX(Rider_Input[Rider ID],I169)),"")</f>
        <v/>
      </c>
      <c r="K169" s="119" t="str">
        <f aca="false">IF(J169="","",IFERROR(MATCH(J169,INDEX(RLVL_Data,0,c_RLVL_ID),0),""))</f>
        <v/>
      </c>
      <c r="L169" s="119" t="str">
        <f aca="false">IF(J169="","",IF(ISNUMBER(MATCH(J169,Rider_Master[Rider ID],0)),1,0))</f>
        <v/>
      </c>
      <c r="M169" s="119" t="str">
        <f aca="false">IF(J169="","",INDEX(Rider_Input[Completed Orders],I169))</f>
        <v/>
      </c>
      <c r="N169" s="119" t="str">
        <f aca="false">IF(OR(J169="",K169=""),"",IFERROR(INDEX(RLVL_Data,K169,c_RLVL_Orders),""))</f>
        <v/>
      </c>
      <c r="O169" s="119" t="str">
        <f aca="false">IF(J169="","",IF(COUNTIF($J$6:$J$505,J169)&gt;1,1,0))</f>
        <v/>
      </c>
      <c r="P169" s="119" t="str">
        <f aca="false">IF(J169="","",IF(K169="","Not found in Paste_RLVL – deductions set to 0; ","")&amp;IF(L169=0,"New rider (not in Rider_Master) – OK, shown as Rider &lt;ID&gt;; ","")&amp;IF(AND(N169&lt;&gt;"",N169&lt;&gt;M169),"Orders differ: FTR "&amp;M169&amp;" vs RLVL "&amp;N169&amp;"; ","")&amp;IF(O169=1,"Duplicate Rider ID; ",""))</f>
        <v/>
      </c>
      <c r="Q169" s="119" t="str">
        <f aca="false">IF(P169="","",COUNTIF(P$6:P169,"?*"))</f>
        <v/>
      </c>
    </row>
    <row r="170" customFormat="false" ht="15" hidden="false" customHeight="false" outlineLevel="0" collapsed="false">
      <c r="I170" s="119" t="n">
        <v>165</v>
      </c>
      <c r="J170" s="119" t="str">
        <f aca="false">IFERROR(IF(INDEX(Rider_Input[Rider ID],I170)="","",INDEX(Rider_Input[Rider ID],I170)),"")</f>
        <v/>
      </c>
      <c r="K170" s="119" t="str">
        <f aca="false">IF(J170="","",IFERROR(MATCH(J170,INDEX(RLVL_Data,0,c_RLVL_ID),0),""))</f>
        <v/>
      </c>
      <c r="L170" s="119" t="str">
        <f aca="false">IF(J170="","",IF(ISNUMBER(MATCH(J170,Rider_Master[Rider ID],0)),1,0))</f>
        <v/>
      </c>
      <c r="M170" s="119" t="str">
        <f aca="false">IF(J170="","",INDEX(Rider_Input[Completed Orders],I170))</f>
        <v/>
      </c>
      <c r="N170" s="119" t="str">
        <f aca="false">IF(OR(J170="",K170=""),"",IFERROR(INDEX(RLVL_Data,K170,c_RLVL_Orders),""))</f>
        <v/>
      </c>
      <c r="O170" s="119" t="str">
        <f aca="false">IF(J170="","",IF(COUNTIF($J$6:$J$505,J170)&gt;1,1,0))</f>
        <v/>
      </c>
      <c r="P170" s="119" t="str">
        <f aca="false">IF(J170="","",IF(K170="","Not found in Paste_RLVL – deductions set to 0; ","")&amp;IF(L170=0,"New rider (not in Rider_Master) – OK, shown as Rider &lt;ID&gt;; ","")&amp;IF(AND(N170&lt;&gt;"",N170&lt;&gt;M170),"Orders differ: FTR "&amp;M170&amp;" vs RLVL "&amp;N170&amp;"; ","")&amp;IF(O170=1,"Duplicate Rider ID; ",""))</f>
        <v/>
      </c>
      <c r="Q170" s="119" t="str">
        <f aca="false">IF(P170="","",COUNTIF(P$6:P170,"?*"))</f>
        <v/>
      </c>
    </row>
    <row r="171" customFormat="false" ht="15" hidden="false" customHeight="false" outlineLevel="0" collapsed="false">
      <c r="I171" s="119" t="n">
        <v>166</v>
      </c>
      <c r="J171" s="119" t="str">
        <f aca="false">IFERROR(IF(INDEX(Rider_Input[Rider ID],I171)="","",INDEX(Rider_Input[Rider ID],I171)),"")</f>
        <v/>
      </c>
      <c r="K171" s="119" t="str">
        <f aca="false">IF(J171="","",IFERROR(MATCH(J171,INDEX(RLVL_Data,0,c_RLVL_ID),0),""))</f>
        <v/>
      </c>
      <c r="L171" s="119" t="str">
        <f aca="false">IF(J171="","",IF(ISNUMBER(MATCH(J171,Rider_Master[Rider ID],0)),1,0))</f>
        <v/>
      </c>
      <c r="M171" s="119" t="str">
        <f aca="false">IF(J171="","",INDEX(Rider_Input[Completed Orders],I171))</f>
        <v/>
      </c>
      <c r="N171" s="119" t="str">
        <f aca="false">IF(OR(J171="",K171=""),"",IFERROR(INDEX(RLVL_Data,K171,c_RLVL_Orders),""))</f>
        <v/>
      </c>
      <c r="O171" s="119" t="str">
        <f aca="false">IF(J171="","",IF(COUNTIF($J$6:$J$505,J171)&gt;1,1,0))</f>
        <v/>
      </c>
      <c r="P171" s="119" t="str">
        <f aca="false">IF(J171="","",IF(K171="","Not found in Paste_RLVL – deductions set to 0; ","")&amp;IF(L171=0,"New rider (not in Rider_Master) – OK, shown as Rider &lt;ID&gt;; ","")&amp;IF(AND(N171&lt;&gt;"",N171&lt;&gt;M171),"Orders differ: FTR "&amp;M171&amp;" vs RLVL "&amp;N171&amp;"; ","")&amp;IF(O171=1,"Duplicate Rider ID; ",""))</f>
        <v/>
      </c>
      <c r="Q171" s="119" t="str">
        <f aca="false">IF(P171="","",COUNTIF(P$6:P171,"?*"))</f>
        <v/>
      </c>
    </row>
    <row r="172" customFormat="false" ht="15" hidden="false" customHeight="false" outlineLevel="0" collapsed="false">
      <c r="I172" s="119" t="n">
        <v>167</v>
      </c>
      <c r="J172" s="119" t="str">
        <f aca="false">IFERROR(IF(INDEX(Rider_Input[Rider ID],I172)="","",INDEX(Rider_Input[Rider ID],I172)),"")</f>
        <v/>
      </c>
      <c r="K172" s="119" t="str">
        <f aca="false">IF(J172="","",IFERROR(MATCH(J172,INDEX(RLVL_Data,0,c_RLVL_ID),0),""))</f>
        <v/>
      </c>
      <c r="L172" s="119" t="str">
        <f aca="false">IF(J172="","",IF(ISNUMBER(MATCH(J172,Rider_Master[Rider ID],0)),1,0))</f>
        <v/>
      </c>
      <c r="M172" s="119" t="str">
        <f aca="false">IF(J172="","",INDEX(Rider_Input[Completed Orders],I172))</f>
        <v/>
      </c>
      <c r="N172" s="119" t="str">
        <f aca="false">IF(OR(J172="",K172=""),"",IFERROR(INDEX(RLVL_Data,K172,c_RLVL_Orders),""))</f>
        <v/>
      </c>
      <c r="O172" s="119" t="str">
        <f aca="false">IF(J172="","",IF(COUNTIF($J$6:$J$505,J172)&gt;1,1,0))</f>
        <v/>
      </c>
      <c r="P172" s="119" t="str">
        <f aca="false">IF(J172="","",IF(K172="","Not found in Paste_RLVL – deductions set to 0; ","")&amp;IF(L172=0,"New rider (not in Rider_Master) – OK, shown as Rider &lt;ID&gt;; ","")&amp;IF(AND(N172&lt;&gt;"",N172&lt;&gt;M172),"Orders differ: FTR "&amp;M172&amp;" vs RLVL "&amp;N172&amp;"; ","")&amp;IF(O172=1,"Duplicate Rider ID; ",""))</f>
        <v/>
      </c>
      <c r="Q172" s="119" t="str">
        <f aca="false">IF(P172="","",COUNTIF(P$6:P172,"?*"))</f>
        <v/>
      </c>
    </row>
    <row r="173" customFormat="false" ht="15" hidden="false" customHeight="false" outlineLevel="0" collapsed="false">
      <c r="I173" s="119" t="n">
        <v>168</v>
      </c>
      <c r="J173" s="119" t="str">
        <f aca="false">IFERROR(IF(INDEX(Rider_Input[Rider ID],I173)="","",INDEX(Rider_Input[Rider ID],I173)),"")</f>
        <v/>
      </c>
      <c r="K173" s="119" t="str">
        <f aca="false">IF(J173="","",IFERROR(MATCH(J173,INDEX(RLVL_Data,0,c_RLVL_ID),0),""))</f>
        <v/>
      </c>
      <c r="L173" s="119" t="str">
        <f aca="false">IF(J173="","",IF(ISNUMBER(MATCH(J173,Rider_Master[Rider ID],0)),1,0))</f>
        <v/>
      </c>
      <c r="M173" s="119" t="str">
        <f aca="false">IF(J173="","",INDEX(Rider_Input[Completed Orders],I173))</f>
        <v/>
      </c>
      <c r="N173" s="119" t="str">
        <f aca="false">IF(OR(J173="",K173=""),"",IFERROR(INDEX(RLVL_Data,K173,c_RLVL_Orders),""))</f>
        <v/>
      </c>
      <c r="O173" s="119" t="str">
        <f aca="false">IF(J173="","",IF(COUNTIF($J$6:$J$505,J173)&gt;1,1,0))</f>
        <v/>
      </c>
      <c r="P173" s="119" t="str">
        <f aca="false">IF(J173="","",IF(K173="","Not found in Paste_RLVL – deductions set to 0; ","")&amp;IF(L173=0,"New rider (not in Rider_Master) – OK, shown as Rider &lt;ID&gt;; ","")&amp;IF(AND(N173&lt;&gt;"",N173&lt;&gt;M173),"Orders differ: FTR "&amp;M173&amp;" vs RLVL "&amp;N173&amp;"; ","")&amp;IF(O173=1,"Duplicate Rider ID; ",""))</f>
        <v/>
      </c>
      <c r="Q173" s="119" t="str">
        <f aca="false">IF(P173="","",COUNTIF(P$6:P173,"?*"))</f>
        <v/>
      </c>
    </row>
    <row r="174" customFormat="false" ht="15" hidden="false" customHeight="false" outlineLevel="0" collapsed="false">
      <c r="I174" s="119" t="n">
        <v>169</v>
      </c>
      <c r="J174" s="119" t="str">
        <f aca="false">IFERROR(IF(INDEX(Rider_Input[Rider ID],I174)="","",INDEX(Rider_Input[Rider ID],I174)),"")</f>
        <v/>
      </c>
      <c r="K174" s="119" t="str">
        <f aca="false">IF(J174="","",IFERROR(MATCH(J174,INDEX(RLVL_Data,0,c_RLVL_ID),0),""))</f>
        <v/>
      </c>
      <c r="L174" s="119" t="str">
        <f aca="false">IF(J174="","",IF(ISNUMBER(MATCH(J174,Rider_Master[Rider ID],0)),1,0))</f>
        <v/>
      </c>
      <c r="M174" s="119" t="str">
        <f aca="false">IF(J174="","",INDEX(Rider_Input[Completed Orders],I174))</f>
        <v/>
      </c>
      <c r="N174" s="119" t="str">
        <f aca="false">IF(OR(J174="",K174=""),"",IFERROR(INDEX(RLVL_Data,K174,c_RLVL_Orders),""))</f>
        <v/>
      </c>
      <c r="O174" s="119" t="str">
        <f aca="false">IF(J174="","",IF(COUNTIF($J$6:$J$505,J174)&gt;1,1,0))</f>
        <v/>
      </c>
      <c r="P174" s="119" t="str">
        <f aca="false">IF(J174="","",IF(K174="","Not found in Paste_RLVL – deductions set to 0; ","")&amp;IF(L174=0,"New rider (not in Rider_Master) – OK, shown as Rider &lt;ID&gt;; ","")&amp;IF(AND(N174&lt;&gt;"",N174&lt;&gt;M174),"Orders differ: FTR "&amp;M174&amp;" vs RLVL "&amp;N174&amp;"; ","")&amp;IF(O174=1,"Duplicate Rider ID; ",""))</f>
        <v/>
      </c>
      <c r="Q174" s="119" t="str">
        <f aca="false">IF(P174="","",COUNTIF(P$6:P174,"?*"))</f>
        <v/>
      </c>
    </row>
    <row r="175" customFormat="false" ht="15" hidden="false" customHeight="false" outlineLevel="0" collapsed="false">
      <c r="I175" s="119" t="n">
        <v>170</v>
      </c>
      <c r="J175" s="119" t="str">
        <f aca="false">IFERROR(IF(INDEX(Rider_Input[Rider ID],I175)="","",INDEX(Rider_Input[Rider ID],I175)),"")</f>
        <v/>
      </c>
      <c r="K175" s="119" t="str">
        <f aca="false">IF(J175="","",IFERROR(MATCH(J175,INDEX(RLVL_Data,0,c_RLVL_ID),0),""))</f>
        <v/>
      </c>
      <c r="L175" s="119" t="str">
        <f aca="false">IF(J175="","",IF(ISNUMBER(MATCH(J175,Rider_Master[Rider ID],0)),1,0))</f>
        <v/>
      </c>
      <c r="M175" s="119" t="str">
        <f aca="false">IF(J175="","",INDEX(Rider_Input[Completed Orders],I175))</f>
        <v/>
      </c>
      <c r="N175" s="119" t="str">
        <f aca="false">IF(OR(J175="",K175=""),"",IFERROR(INDEX(RLVL_Data,K175,c_RLVL_Orders),""))</f>
        <v/>
      </c>
      <c r="O175" s="119" t="str">
        <f aca="false">IF(J175="","",IF(COUNTIF($J$6:$J$505,J175)&gt;1,1,0))</f>
        <v/>
      </c>
      <c r="P175" s="119" t="str">
        <f aca="false">IF(J175="","",IF(K175="","Not found in Paste_RLVL – deductions set to 0; ","")&amp;IF(L175=0,"New rider (not in Rider_Master) – OK, shown as Rider &lt;ID&gt;; ","")&amp;IF(AND(N175&lt;&gt;"",N175&lt;&gt;M175),"Orders differ: FTR "&amp;M175&amp;" vs RLVL "&amp;N175&amp;"; ","")&amp;IF(O175=1,"Duplicate Rider ID; ",""))</f>
        <v/>
      </c>
      <c r="Q175" s="119" t="str">
        <f aca="false">IF(P175="","",COUNTIF(P$6:P175,"?*"))</f>
        <v/>
      </c>
    </row>
    <row r="176" customFormat="false" ht="15" hidden="false" customHeight="false" outlineLevel="0" collapsed="false">
      <c r="I176" s="119" t="n">
        <v>171</v>
      </c>
      <c r="J176" s="119" t="str">
        <f aca="false">IFERROR(IF(INDEX(Rider_Input[Rider ID],I176)="","",INDEX(Rider_Input[Rider ID],I176)),"")</f>
        <v/>
      </c>
      <c r="K176" s="119" t="str">
        <f aca="false">IF(J176="","",IFERROR(MATCH(J176,INDEX(RLVL_Data,0,c_RLVL_ID),0),""))</f>
        <v/>
      </c>
      <c r="L176" s="119" t="str">
        <f aca="false">IF(J176="","",IF(ISNUMBER(MATCH(J176,Rider_Master[Rider ID],0)),1,0))</f>
        <v/>
      </c>
      <c r="M176" s="119" t="str">
        <f aca="false">IF(J176="","",INDEX(Rider_Input[Completed Orders],I176))</f>
        <v/>
      </c>
      <c r="N176" s="119" t="str">
        <f aca="false">IF(OR(J176="",K176=""),"",IFERROR(INDEX(RLVL_Data,K176,c_RLVL_Orders),""))</f>
        <v/>
      </c>
      <c r="O176" s="119" t="str">
        <f aca="false">IF(J176="","",IF(COUNTIF($J$6:$J$505,J176)&gt;1,1,0))</f>
        <v/>
      </c>
      <c r="P176" s="119" t="str">
        <f aca="false">IF(J176="","",IF(K176="","Not found in Paste_RLVL – deductions set to 0; ","")&amp;IF(L176=0,"New rider (not in Rider_Master) – OK, shown as Rider &lt;ID&gt;; ","")&amp;IF(AND(N176&lt;&gt;"",N176&lt;&gt;M176),"Orders differ: FTR "&amp;M176&amp;" vs RLVL "&amp;N176&amp;"; ","")&amp;IF(O176=1,"Duplicate Rider ID; ",""))</f>
        <v/>
      </c>
      <c r="Q176" s="119" t="str">
        <f aca="false">IF(P176="","",COUNTIF(P$6:P176,"?*"))</f>
        <v/>
      </c>
    </row>
    <row r="177" customFormat="false" ht="15" hidden="false" customHeight="false" outlineLevel="0" collapsed="false">
      <c r="I177" s="119" t="n">
        <v>172</v>
      </c>
      <c r="J177" s="119" t="str">
        <f aca="false">IFERROR(IF(INDEX(Rider_Input[Rider ID],I177)="","",INDEX(Rider_Input[Rider ID],I177)),"")</f>
        <v/>
      </c>
      <c r="K177" s="119" t="str">
        <f aca="false">IF(J177="","",IFERROR(MATCH(J177,INDEX(RLVL_Data,0,c_RLVL_ID),0),""))</f>
        <v/>
      </c>
      <c r="L177" s="119" t="str">
        <f aca="false">IF(J177="","",IF(ISNUMBER(MATCH(J177,Rider_Master[Rider ID],0)),1,0))</f>
        <v/>
      </c>
      <c r="M177" s="119" t="str">
        <f aca="false">IF(J177="","",INDEX(Rider_Input[Completed Orders],I177))</f>
        <v/>
      </c>
      <c r="N177" s="119" t="str">
        <f aca="false">IF(OR(J177="",K177=""),"",IFERROR(INDEX(RLVL_Data,K177,c_RLVL_Orders),""))</f>
        <v/>
      </c>
      <c r="O177" s="119" t="str">
        <f aca="false">IF(J177="","",IF(COUNTIF($J$6:$J$505,J177)&gt;1,1,0))</f>
        <v/>
      </c>
      <c r="P177" s="119" t="str">
        <f aca="false">IF(J177="","",IF(K177="","Not found in Paste_RLVL – deductions set to 0; ","")&amp;IF(L177=0,"New rider (not in Rider_Master) – OK, shown as Rider &lt;ID&gt;; ","")&amp;IF(AND(N177&lt;&gt;"",N177&lt;&gt;M177),"Orders differ: FTR "&amp;M177&amp;" vs RLVL "&amp;N177&amp;"; ","")&amp;IF(O177=1,"Duplicate Rider ID; ",""))</f>
        <v/>
      </c>
      <c r="Q177" s="119" t="str">
        <f aca="false">IF(P177="","",COUNTIF(P$6:P177,"?*"))</f>
        <v/>
      </c>
    </row>
    <row r="178" customFormat="false" ht="15" hidden="false" customHeight="false" outlineLevel="0" collapsed="false">
      <c r="I178" s="119" t="n">
        <v>173</v>
      </c>
      <c r="J178" s="119" t="str">
        <f aca="false">IFERROR(IF(INDEX(Rider_Input[Rider ID],I178)="","",INDEX(Rider_Input[Rider ID],I178)),"")</f>
        <v/>
      </c>
      <c r="K178" s="119" t="str">
        <f aca="false">IF(J178="","",IFERROR(MATCH(J178,INDEX(RLVL_Data,0,c_RLVL_ID),0),""))</f>
        <v/>
      </c>
      <c r="L178" s="119" t="str">
        <f aca="false">IF(J178="","",IF(ISNUMBER(MATCH(J178,Rider_Master[Rider ID],0)),1,0))</f>
        <v/>
      </c>
      <c r="M178" s="119" t="str">
        <f aca="false">IF(J178="","",INDEX(Rider_Input[Completed Orders],I178))</f>
        <v/>
      </c>
      <c r="N178" s="119" t="str">
        <f aca="false">IF(OR(J178="",K178=""),"",IFERROR(INDEX(RLVL_Data,K178,c_RLVL_Orders),""))</f>
        <v/>
      </c>
      <c r="O178" s="119" t="str">
        <f aca="false">IF(J178="","",IF(COUNTIF($J$6:$J$505,J178)&gt;1,1,0))</f>
        <v/>
      </c>
      <c r="P178" s="119" t="str">
        <f aca="false">IF(J178="","",IF(K178="","Not found in Paste_RLVL – deductions set to 0; ","")&amp;IF(L178=0,"New rider (not in Rider_Master) – OK, shown as Rider &lt;ID&gt;; ","")&amp;IF(AND(N178&lt;&gt;"",N178&lt;&gt;M178),"Orders differ: FTR "&amp;M178&amp;" vs RLVL "&amp;N178&amp;"; ","")&amp;IF(O178=1,"Duplicate Rider ID; ",""))</f>
        <v/>
      </c>
      <c r="Q178" s="119" t="str">
        <f aca="false">IF(P178="","",COUNTIF(P$6:P178,"?*"))</f>
        <v/>
      </c>
    </row>
    <row r="179" customFormat="false" ht="15" hidden="false" customHeight="false" outlineLevel="0" collapsed="false">
      <c r="I179" s="119" t="n">
        <v>174</v>
      </c>
      <c r="J179" s="119" t="str">
        <f aca="false">IFERROR(IF(INDEX(Rider_Input[Rider ID],I179)="","",INDEX(Rider_Input[Rider ID],I179)),"")</f>
        <v/>
      </c>
      <c r="K179" s="119" t="str">
        <f aca="false">IF(J179="","",IFERROR(MATCH(J179,INDEX(RLVL_Data,0,c_RLVL_ID),0),""))</f>
        <v/>
      </c>
      <c r="L179" s="119" t="str">
        <f aca="false">IF(J179="","",IF(ISNUMBER(MATCH(J179,Rider_Master[Rider ID],0)),1,0))</f>
        <v/>
      </c>
      <c r="M179" s="119" t="str">
        <f aca="false">IF(J179="","",INDEX(Rider_Input[Completed Orders],I179))</f>
        <v/>
      </c>
      <c r="N179" s="119" t="str">
        <f aca="false">IF(OR(J179="",K179=""),"",IFERROR(INDEX(RLVL_Data,K179,c_RLVL_Orders),""))</f>
        <v/>
      </c>
      <c r="O179" s="119" t="str">
        <f aca="false">IF(J179="","",IF(COUNTIF($J$6:$J$505,J179)&gt;1,1,0))</f>
        <v/>
      </c>
      <c r="P179" s="119" t="str">
        <f aca="false">IF(J179="","",IF(K179="","Not found in Paste_RLVL – deductions set to 0; ","")&amp;IF(L179=0,"New rider (not in Rider_Master) – OK, shown as Rider &lt;ID&gt;; ","")&amp;IF(AND(N179&lt;&gt;"",N179&lt;&gt;M179),"Orders differ: FTR "&amp;M179&amp;" vs RLVL "&amp;N179&amp;"; ","")&amp;IF(O179=1,"Duplicate Rider ID; ",""))</f>
        <v/>
      </c>
      <c r="Q179" s="119" t="str">
        <f aca="false">IF(P179="","",COUNTIF(P$6:P179,"?*"))</f>
        <v/>
      </c>
    </row>
    <row r="180" customFormat="false" ht="15" hidden="false" customHeight="false" outlineLevel="0" collapsed="false">
      <c r="I180" s="119" t="n">
        <v>175</v>
      </c>
      <c r="J180" s="119" t="str">
        <f aca="false">IFERROR(IF(INDEX(Rider_Input[Rider ID],I180)="","",INDEX(Rider_Input[Rider ID],I180)),"")</f>
        <v/>
      </c>
      <c r="K180" s="119" t="str">
        <f aca="false">IF(J180="","",IFERROR(MATCH(J180,INDEX(RLVL_Data,0,c_RLVL_ID),0),""))</f>
        <v/>
      </c>
      <c r="L180" s="119" t="str">
        <f aca="false">IF(J180="","",IF(ISNUMBER(MATCH(J180,Rider_Master[Rider ID],0)),1,0))</f>
        <v/>
      </c>
      <c r="M180" s="119" t="str">
        <f aca="false">IF(J180="","",INDEX(Rider_Input[Completed Orders],I180))</f>
        <v/>
      </c>
      <c r="N180" s="119" t="str">
        <f aca="false">IF(OR(J180="",K180=""),"",IFERROR(INDEX(RLVL_Data,K180,c_RLVL_Orders),""))</f>
        <v/>
      </c>
      <c r="O180" s="119" t="str">
        <f aca="false">IF(J180="","",IF(COUNTIF($J$6:$J$505,J180)&gt;1,1,0))</f>
        <v/>
      </c>
      <c r="P180" s="119" t="str">
        <f aca="false">IF(J180="","",IF(K180="","Not found in Paste_RLVL – deductions set to 0; ","")&amp;IF(L180=0,"New rider (not in Rider_Master) – OK, shown as Rider &lt;ID&gt;; ","")&amp;IF(AND(N180&lt;&gt;"",N180&lt;&gt;M180),"Orders differ: FTR "&amp;M180&amp;" vs RLVL "&amp;N180&amp;"; ","")&amp;IF(O180=1,"Duplicate Rider ID; ",""))</f>
        <v/>
      </c>
      <c r="Q180" s="119" t="str">
        <f aca="false">IF(P180="","",COUNTIF(P$6:P180,"?*"))</f>
        <v/>
      </c>
    </row>
    <row r="181" customFormat="false" ht="15" hidden="false" customHeight="false" outlineLevel="0" collapsed="false">
      <c r="I181" s="119" t="n">
        <v>176</v>
      </c>
      <c r="J181" s="119" t="str">
        <f aca="false">IFERROR(IF(INDEX(Rider_Input[Rider ID],I181)="","",INDEX(Rider_Input[Rider ID],I181)),"")</f>
        <v/>
      </c>
      <c r="K181" s="119" t="str">
        <f aca="false">IF(J181="","",IFERROR(MATCH(J181,INDEX(RLVL_Data,0,c_RLVL_ID),0),""))</f>
        <v/>
      </c>
      <c r="L181" s="119" t="str">
        <f aca="false">IF(J181="","",IF(ISNUMBER(MATCH(J181,Rider_Master[Rider ID],0)),1,0))</f>
        <v/>
      </c>
      <c r="M181" s="119" t="str">
        <f aca="false">IF(J181="","",INDEX(Rider_Input[Completed Orders],I181))</f>
        <v/>
      </c>
      <c r="N181" s="119" t="str">
        <f aca="false">IF(OR(J181="",K181=""),"",IFERROR(INDEX(RLVL_Data,K181,c_RLVL_Orders),""))</f>
        <v/>
      </c>
      <c r="O181" s="119" t="str">
        <f aca="false">IF(J181="","",IF(COUNTIF($J$6:$J$505,J181)&gt;1,1,0))</f>
        <v/>
      </c>
      <c r="P181" s="119" t="str">
        <f aca="false">IF(J181="","",IF(K181="","Not found in Paste_RLVL – deductions set to 0; ","")&amp;IF(L181=0,"New rider (not in Rider_Master) – OK, shown as Rider &lt;ID&gt;; ","")&amp;IF(AND(N181&lt;&gt;"",N181&lt;&gt;M181),"Orders differ: FTR "&amp;M181&amp;" vs RLVL "&amp;N181&amp;"; ","")&amp;IF(O181=1,"Duplicate Rider ID; ",""))</f>
        <v/>
      </c>
      <c r="Q181" s="119" t="str">
        <f aca="false">IF(P181="","",COUNTIF(P$6:P181,"?*"))</f>
        <v/>
      </c>
    </row>
    <row r="182" customFormat="false" ht="15" hidden="false" customHeight="false" outlineLevel="0" collapsed="false">
      <c r="I182" s="119" t="n">
        <v>177</v>
      </c>
      <c r="J182" s="119" t="str">
        <f aca="false">IFERROR(IF(INDEX(Rider_Input[Rider ID],I182)="","",INDEX(Rider_Input[Rider ID],I182)),"")</f>
        <v/>
      </c>
      <c r="K182" s="119" t="str">
        <f aca="false">IF(J182="","",IFERROR(MATCH(J182,INDEX(RLVL_Data,0,c_RLVL_ID),0),""))</f>
        <v/>
      </c>
      <c r="L182" s="119" t="str">
        <f aca="false">IF(J182="","",IF(ISNUMBER(MATCH(J182,Rider_Master[Rider ID],0)),1,0))</f>
        <v/>
      </c>
      <c r="M182" s="119" t="str">
        <f aca="false">IF(J182="","",INDEX(Rider_Input[Completed Orders],I182))</f>
        <v/>
      </c>
      <c r="N182" s="119" t="str">
        <f aca="false">IF(OR(J182="",K182=""),"",IFERROR(INDEX(RLVL_Data,K182,c_RLVL_Orders),""))</f>
        <v/>
      </c>
      <c r="O182" s="119" t="str">
        <f aca="false">IF(J182="","",IF(COUNTIF($J$6:$J$505,J182)&gt;1,1,0))</f>
        <v/>
      </c>
      <c r="P182" s="119" t="str">
        <f aca="false">IF(J182="","",IF(K182="","Not found in Paste_RLVL – deductions set to 0; ","")&amp;IF(L182=0,"New rider (not in Rider_Master) – OK, shown as Rider &lt;ID&gt;; ","")&amp;IF(AND(N182&lt;&gt;"",N182&lt;&gt;M182),"Orders differ: FTR "&amp;M182&amp;" vs RLVL "&amp;N182&amp;"; ","")&amp;IF(O182=1,"Duplicate Rider ID; ",""))</f>
        <v/>
      </c>
      <c r="Q182" s="119" t="str">
        <f aca="false">IF(P182="","",COUNTIF(P$6:P182,"?*"))</f>
        <v/>
      </c>
    </row>
    <row r="183" customFormat="false" ht="15" hidden="false" customHeight="false" outlineLevel="0" collapsed="false">
      <c r="I183" s="119" t="n">
        <v>178</v>
      </c>
      <c r="J183" s="119" t="str">
        <f aca="false">IFERROR(IF(INDEX(Rider_Input[Rider ID],I183)="","",INDEX(Rider_Input[Rider ID],I183)),"")</f>
        <v/>
      </c>
      <c r="K183" s="119" t="str">
        <f aca="false">IF(J183="","",IFERROR(MATCH(J183,INDEX(RLVL_Data,0,c_RLVL_ID),0),""))</f>
        <v/>
      </c>
      <c r="L183" s="119" t="str">
        <f aca="false">IF(J183="","",IF(ISNUMBER(MATCH(J183,Rider_Master[Rider ID],0)),1,0))</f>
        <v/>
      </c>
      <c r="M183" s="119" t="str">
        <f aca="false">IF(J183="","",INDEX(Rider_Input[Completed Orders],I183))</f>
        <v/>
      </c>
      <c r="N183" s="119" t="str">
        <f aca="false">IF(OR(J183="",K183=""),"",IFERROR(INDEX(RLVL_Data,K183,c_RLVL_Orders),""))</f>
        <v/>
      </c>
      <c r="O183" s="119" t="str">
        <f aca="false">IF(J183="","",IF(COUNTIF($J$6:$J$505,J183)&gt;1,1,0))</f>
        <v/>
      </c>
      <c r="P183" s="119" t="str">
        <f aca="false">IF(J183="","",IF(K183="","Not found in Paste_RLVL – deductions set to 0; ","")&amp;IF(L183=0,"New rider (not in Rider_Master) – OK, shown as Rider &lt;ID&gt;; ","")&amp;IF(AND(N183&lt;&gt;"",N183&lt;&gt;M183),"Orders differ: FTR "&amp;M183&amp;" vs RLVL "&amp;N183&amp;"; ","")&amp;IF(O183=1,"Duplicate Rider ID; ",""))</f>
        <v/>
      </c>
      <c r="Q183" s="119" t="str">
        <f aca="false">IF(P183="","",COUNTIF(P$6:P183,"?*"))</f>
        <v/>
      </c>
    </row>
    <row r="184" customFormat="false" ht="15" hidden="false" customHeight="false" outlineLevel="0" collapsed="false">
      <c r="I184" s="119" t="n">
        <v>179</v>
      </c>
      <c r="J184" s="119" t="str">
        <f aca="false">IFERROR(IF(INDEX(Rider_Input[Rider ID],I184)="","",INDEX(Rider_Input[Rider ID],I184)),"")</f>
        <v/>
      </c>
      <c r="K184" s="119" t="str">
        <f aca="false">IF(J184="","",IFERROR(MATCH(J184,INDEX(RLVL_Data,0,c_RLVL_ID),0),""))</f>
        <v/>
      </c>
      <c r="L184" s="119" t="str">
        <f aca="false">IF(J184="","",IF(ISNUMBER(MATCH(J184,Rider_Master[Rider ID],0)),1,0))</f>
        <v/>
      </c>
      <c r="M184" s="119" t="str">
        <f aca="false">IF(J184="","",INDEX(Rider_Input[Completed Orders],I184))</f>
        <v/>
      </c>
      <c r="N184" s="119" t="str">
        <f aca="false">IF(OR(J184="",K184=""),"",IFERROR(INDEX(RLVL_Data,K184,c_RLVL_Orders),""))</f>
        <v/>
      </c>
      <c r="O184" s="119" t="str">
        <f aca="false">IF(J184="","",IF(COUNTIF($J$6:$J$505,J184)&gt;1,1,0))</f>
        <v/>
      </c>
      <c r="P184" s="119" t="str">
        <f aca="false">IF(J184="","",IF(K184="","Not found in Paste_RLVL – deductions set to 0; ","")&amp;IF(L184=0,"New rider (not in Rider_Master) – OK, shown as Rider &lt;ID&gt;; ","")&amp;IF(AND(N184&lt;&gt;"",N184&lt;&gt;M184),"Orders differ: FTR "&amp;M184&amp;" vs RLVL "&amp;N184&amp;"; ","")&amp;IF(O184=1,"Duplicate Rider ID; ",""))</f>
        <v/>
      </c>
      <c r="Q184" s="119" t="str">
        <f aca="false">IF(P184="","",COUNTIF(P$6:P184,"?*"))</f>
        <v/>
      </c>
    </row>
    <row r="185" customFormat="false" ht="15" hidden="false" customHeight="false" outlineLevel="0" collapsed="false">
      <c r="I185" s="119" t="n">
        <v>180</v>
      </c>
      <c r="J185" s="119" t="str">
        <f aca="false">IFERROR(IF(INDEX(Rider_Input[Rider ID],I185)="","",INDEX(Rider_Input[Rider ID],I185)),"")</f>
        <v/>
      </c>
      <c r="K185" s="119" t="str">
        <f aca="false">IF(J185="","",IFERROR(MATCH(J185,INDEX(RLVL_Data,0,c_RLVL_ID),0),""))</f>
        <v/>
      </c>
      <c r="L185" s="119" t="str">
        <f aca="false">IF(J185="","",IF(ISNUMBER(MATCH(J185,Rider_Master[Rider ID],0)),1,0))</f>
        <v/>
      </c>
      <c r="M185" s="119" t="str">
        <f aca="false">IF(J185="","",INDEX(Rider_Input[Completed Orders],I185))</f>
        <v/>
      </c>
      <c r="N185" s="119" t="str">
        <f aca="false">IF(OR(J185="",K185=""),"",IFERROR(INDEX(RLVL_Data,K185,c_RLVL_Orders),""))</f>
        <v/>
      </c>
      <c r="O185" s="119" t="str">
        <f aca="false">IF(J185="","",IF(COUNTIF($J$6:$J$505,J185)&gt;1,1,0))</f>
        <v/>
      </c>
      <c r="P185" s="119" t="str">
        <f aca="false">IF(J185="","",IF(K185="","Not found in Paste_RLVL – deductions set to 0; ","")&amp;IF(L185=0,"New rider (not in Rider_Master) – OK, shown as Rider &lt;ID&gt;; ","")&amp;IF(AND(N185&lt;&gt;"",N185&lt;&gt;M185),"Orders differ: FTR "&amp;M185&amp;" vs RLVL "&amp;N185&amp;"; ","")&amp;IF(O185=1,"Duplicate Rider ID; ",""))</f>
        <v/>
      </c>
      <c r="Q185" s="119" t="str">
        <f aca="false">IF(P185="","",COUNTIF(P$6:P185,"?*"))</f>
        <v/>
      </c>
    </row>
    <row r="186" customFormat="false" ht="15" hidden="false" customHeight="false" outlineLevel="0" collapsed="false">
      <c r="I186" s="119" t="n">
        <v>181</v>
      </c>
      <c r="J186" s="119" t="str">
        <f aca="false">IFERROR(IF(INDEX(Rider_Input[Rider ID],I186)="","",INDEX(Rider_Input[Rider ID],I186)),"")</f>
        <v/>
      </c>
      <c r="K186" s="119" t="str">
        <f aca="false">IF(J186="","",IFERROR(MATCH(J186,INDEX(RLVL_Data,0,c_RLVL_ID),0),""))</f>
        <v/>
      </c>
      <c r="L186" s="119" t="str">
        <f aca="false">IF(J186="","",IF(ISNUMBER(MATCH(J186,Rider_Master[Rider ID],0)),1,0))</f>
        <v/>
      </c>
      <c r="M186" s="119" t="str">
        <f aca="false">IF(J186="","",INDEX(Rider_Input[Completed Orders],I186))</f>
        <v/>
      </c>
      <c r="N186" s="119" t="str">
        <f aca="false">IF(OR(J186="",K186=""),"",IFERROR(INDEX(RLVL_Data,K186,c_RLVL_Orders),""))</f>
        <v/>
      </c>
      <c r="O186" s="119" t="str">
        <f aca="false">IF(J186="","",IF(COUNTIF($J$6:$J$505,J186)&gt;1,1,0))</f>
        <v/>
      </c>
      <c r="P186" s="119" t="str">
        <f aca="false">IF(J186="","",IF(K186="","Not found in Paste_RLVL – deductions set to 0; ","")&amp;IF(L186=0,"New rider (not in Rider_Master) – OK, shown as Rider &lt;ID&gt;; ","")&amp;IF(AND(N186&lt;&gt;"",N186&lt;&gt;M186),"Orders differ: FTR "&amp;M186&amp;" vs RLVL "&amp;N186&amp;"; ","")&amp;IF(O186=1,"Duplicate Rider ID; ",""))</f>
        <v/>
      </c>
      <c r="Q186" s="119" t="str">
        <f aca="false">IF(P186="","",COUNTIF(P$6:P186,"?*"))</f>
        <v/>
      </c>
    </row>
    <row r="187" customFormat="false" ht="15" hidden="false" customHeight="false" outlineLevel="0" collapsed="false">
      <c r="I187" s="119" t="n">
        <v>182</v>
      </c>
      <c r="J187" s="119" t="str">
        <f aca="false">IFERROR(IF(INDEX(Rider_Input[Rider ID],I187)="","",INDEX(Rider_Input[Rider ID],I187)),"")</f>
        <v/>
      </c>
      <c r="K187" s="119" t="str">
        <f aca="false">IF(J187="","",IFERROR(MATCH(J187,INDEX(RLVL_Data,0,c_RLVL_ID),0),""))</f>
        <v/>
      </c>
      <c r="L187" s="119" t="str">
        <f aca="false">IF(J187="","",IF(ISNUMBER(MATCH(J187,Rider_Master[Rider ID],0)),1,0))</f>
        <v/>
      </c>
      <c r="M187" s="119" t="str">
        <f aca="false">IF(J187="","",INDEX(Rider_Input[Completed Orders],I187))</f>
        <v/>
      </c>
      <c r="N187" s="119" t="str">
        <f aca="false">IF(OR(J187="",K187=""),"",IFERROR(INDEX(RLVL_Data,K187,c_RLVL_Orders),""))</f>
        <v/>
      </c>
      <c r="O187" s="119" t="str">
        <f aca="false">IF(J187="","",IF(COUNTIF($J$6:$J$505,J187)&gt;1,1,0))</f>
        <v/>
      </c>
      <c r="P187" s="119" t="str">
        <f aca="false">IF(J187="","",IF(K187="","Not found in Paste_RLVL – deductions set to 0; ","")&amp;IF(L187=0,"New rider (not in Rider_Master) – OK, shown as Rider &lt;ID&gt;; ","")&amp;IF(AND(N187&lt;&gt;"",N187&lt;&gt;M187),"Orders differ: FTR "&amp;M187&amp;" vs RLVL "&amp;N187&amp;"; ","")&amp;IF(O187=1,"Duplicate Rider ID; ",""))</f>
        <v/>
      </c>
      <c r="Q187" s="119" t="str">
        <f aca="false">IF(P187="","",COUNTIF(P$6:P187,"?*"))</f>
        <v/>
      </c>
    </row>
    <row r="188" customFormat="false" ht="15" hidden="false" customHeight="false" outlineLevel="0" collapsed="false">
      <c r="I188" s="119" t="n">
        <v>183</v>
      </c>
      <c r="J188" s="119" t="str">
        <f aca="false">IFERROR(IF(INDEX(Rider_Input[Rider ID],I188)="","",INDEX(Rider_Input[Rider ID],I188)),"")</f>
        <v/>
      </c>
      <c r="K188" s="119" t="str">
        <f aca="false">IF(J188="","",IFERROR(MATCH(J188,INDEX(RLVL_Data,0,c_RLVL_ID),0),""))</f>
        <v/>
      </c>
      <c r="L188" s="119" t="str">
        <f aca="false">IF(J188="","",IF(ISNUMBER(MATCH(J188,Rider_Master[Rider ID],0)),1,0))</f>
        <v/>
      </c>
      <c r="M188" s="119" t="str">
        <f aca="false">IF(J188="","",INDEX(Rider_Input[Completed Orders],I188))</f>
        <v/>
      </c>
      <c r="N188" s="119" t="str">
        <f aca="false">IF(OR(J188="",K188=""),"",IFERROR(INDEX(RLVL_Data,K188,c_RLVL_Orders),""))</f>
        <v/>
      </c>
      <c r="O188" s="119" t="str">
        <f aca="false">IF(J188="","",IF(COUNTIF($J$6:$J$505,J188)&gt;1,1,0))</f>
        <v/>
      </c>
      <c r="P188" s="119" t="str">
        <f aca="false">IF(J188="","",IF(K188="","Not found in Paste_RLVL – deductions set to 0; ","")&amp;IF(L188=0,"New rider (not in Rider_Master) – OK, shown as Rider &lt;ID&gt;; ","")&amp;IF(AND(N188&lt;&gt;"",N188&lt;&gt;M188),"Orders differ: FTR "&amp;M188&amp;" vs RLVL "&amp;N188&amp;"; ","")&amp;IF(O188=1,"Duplicate Rider ID; ",""))</f>
        <v/>
      </c>
      <c r="Q188" s="119" t="str">
        <f aca="false">IF(P188="","",COUNTIF(P$6:P188,"?*"))</f>
        <v/>
      </c>
    </row>
    <row r="189" customFormat="false" ht="15" hidden="false" customHeight="false" outlineLevel="0" collapsed="false">
      <c r="I189" s="119" t="n">
        <v>184</v>
      </c>
      <c r="J189" s="119" t="str">
        <f aca="false">IFERROR(IF(INDEX(Rider_Input[Rider ID],I189)="","",INDEX(Rider_Input[Rider ID],I189)),"")</f>
        <v/>
      </c>
      <c r="K189" s="119" t="str">
        <f aca="false">IF(J189="","",IFERROR(MATCH(J189,INDEX(RLVL_Data,0,c_RLVL_ID),0),""))</f>
        <v/>
      </c>
      <c r="L189" s="119" t="str">
        <f aca="false">IF(J189="","",IF(ISNUMBER(MATCH(J189,Rider_Master[Rider ID],0)),1,0))</f>
        <v/>
      </c>
      <c r="M189" s="119" t="str">
        <f aca="false">IF(J189="","",INDEX(Rider_Input[Completed Orders],I189))</f>
        <v/>
      </c>
      <c r="N189" s="119" t="str">
        <f aca="false">IF(OR(J189="",K189=""),"",IFERROR(INDEX(RLVL_Data,K189,c_RLVL_Orders),""))</f>
        <v/>
      </c>
      <c r="O189" s="119" t="str">
        <f aca="false">IF(J189="","",IF(COUNTIF($J$6:$J$505,J189)&gt;1,1,0))</f>
        <v/>
      </c>
      <c r="P189" s="119" t="str">
        <f aca="false">IF(J189="","",IF(K189="","Not found in Paste_RLVL – deductions set to 0; ","")&amp;IF(L189=0,"New rider (not in Rider_Master) – OK, shown as Rider &lt;ID&gt;; ","")&amp;IF(AND(N189&lt;&gt;"",N189&lt;&gt;M189),"Orders differ: FTR "&amp;M189&amp;" vs RLVL "&amp;N189&amp;"; ","")&amp;IF(O189=1,"Duplicate Rider ID; ",""))</f>
        <v/>
      </c>
      <c r="Q189" s="119" t="str">
        <f aca="false">IF(P189="","",COUNTIF(P$6:P189,"?*"))</f>
        <v/>
      </c>
    </row>
    <row r="190" customFormat="false" ht="15" hidden="false" customHeight="false" outlineLevel="0" collapsed="false">
      <c r="I190" s="119" t="n">
        <v>185</v>
      </c>
      <c r="J190" s="119" t="str">
        <f aca="false">IFERROR(IF(INDEX(Rider_Input[Rider ID],I190)="","",INDEX(Rider_Input[Rider ID],I190)),"")</f>
        <v/>
      </c>
      <c r="K190" s="119" t="str">
        <f aca="false">IF(J190="","",IFERROR(MATCH(J190,INDEX(RLVL_Data,0,c_RLVL_ID),0),""))</f>
        <v/>
      </c>
      <c r="L190" s="119" t="str">
        <f aca="false">IF(J190="","",IF(ISNUMBER(MATCH(J190,Rider_Master[Rider ID],0)),1,0))</f>
        <v/>
      </c>
      <c r="M190" s="119" t="str">
        <f aca="false">IF(J190="","",INDEX(Rider_Input[Completed Orders],I190))</f>
        <v/>
      </c>
      <c r="N190" s="119" t="str">
        <f aca="false">IF(OR(J190="",K190=""),"",IFERROR(INDEX(RLVL_Data,K190,c_RLVL_Orders),""))</f>
        <v/>
      </c>
      <c r="O190" s="119" t="str">
        <f aca="false">IF(J190="","",IF(COUNTIF($J$6:$J$505,J190)&gt;1,1,0))</f>
        <v/>
      </c>
      <c r="P190" s="119" t="str">
        <f aca="false">IF(J190="","",IF(K190="","Not found in Paste_RLVL – deductions set to 0; ","")&amp;IF(L190=0,"New rider (not in Rider_Master) – OK, shown as Rider &lt;ID&gt;; ","")&amp;IF(AND(N190&lt;&gt;"",N190&lt;&gt;M190),"Orders differ: FTR "&amp;M190&amp;" vs RLVL "&amp;N190&amp;"; ","")&amp;IF(O190=1,"Duplicate Rider ID; ",""))</f>
        <v/>
      </c>
      <c r="Q190" s="119" t="str">
        <f aca="false">IF(P190="","",COUNTIF(P$6:P190,"?*"))</f>
        <v/>
      </c>
    </row>
    <row r="191" customFormat="false" ht="15" hidden="false" customHeight="false" outlineLevel="0" collapsed="false">
      <c r="I191" s="119" t="n">
        <v>186</v>
      </c>
      <c r="J191" s="119" t="str">
        <f aca="false">IFERROR(IF(INDEX(Rider_Input[Rider ID],I191)="","",INDEX(Rider_Input[Rider ID],I191)),"")</f>
        <v/>
      </c>
      <c r="K191" s="119" t="str">
        <f aca="false">IF(J191="","",IFERROR(MATCH(J191,INDEX(RLVL_Data,0,c_RLVL_ID),0),""))</f>
        <v/>
      </c>
      <c r="L191" s="119" t="str">
        <f aca="false">IF(J191="","",IF(ISNUMBER(MATCH(J191,Rider_Master[Rider ID],0)),1,0))</f>
        <v/>
      </c>
      <c r="M191" s="119" t="str">
        <f aca="false">IF(J191="","",INDEX(Rider_Input[Completed Orders],I191))</f>
        <v/>
      </c>
      <c r="N191" s="119" t="str">
        <f aca="false">IF(OR(J191="",K191=""),"",IFERROR(INDEX(RLVL_Data,K191,c_RLVL_Orders),""))</f>
        <v/>
      </c>
      <c r="O191" s="119" t="str">
        <f aca="false">IF(J191="","",IF(COUNTIF($J$6:$J$505,J191)&gt;1,1,0))</f>
        <v/>
      </c>
      <c r="P191" s="119" t="str">
        <f aca="false">IF(J191="","",IF(K191="","Not found in Paste_RLVL – deductions set to 0; ","")&amp;IF(L191=0,"New rider (not in Rider_Master) – OK, shown as Rider &lt;ID&gt;; ","")&amp;IF(AND(N191&lt;&gt;"",N191&lt;&gt;M191),"Orders differ: FTR "&amp;M191&amp;" vs RLVL "&amp;N191&amp;"; ","")&amp;IF(O191=1,"Duplicate Rider ID; ",""))</f>
        <v/>
      </c>
      <c r="Q191" s="119" t="str">
        <f aca="false">IF(P191="","",COUNTIF(P$6:P191,"?*"))</f>
        <v/>
      </c>
    </row>
    <row r="192" customFormat="false" ht="15" hidden="false" customHeight="false" outlineLevel="0" collapsed="false">
      <c r="I192" s="119" t="n">
        <v>187</v>
      </c>
      <c r="J192" s="119" t="str">
        <f aca="false">IFERROR(IF(INDEX(Rider_Input[Rider ID],I192)="","",INDEX(Rider_Input[Rider ID],I192)),"")</f>
        <v/>
      </c>
      <c r="K192" s="119" t="str">
        <f aca="false">IF(J192="","",IFERROR(MATCH(J192,INDEX(RLVL_Data,0,c_RLVL_ID),0),""))</f>
        <v/>
      </c>
      <c r="L192" s="119" t="str">
        <f aca="false">IF(J192="","",IF(ISNUMBER(MATCH(J192,Rider_Master[Rider ID],0)),1,0))</f>
        <v/>
      </c>
      <c r="M192" s="119" t="str">
        <f aca="false">IF(J192="","",INDEX(Rider_Input[Completed Orders],I192))</f>
        <v/>
      </c>
      <c r="N192" s="119" t="str">
        <f aca="false">IF(OR(J192="",K192=""),"",IFERROR(INDEX(RLVL_Data,K192,c_RLVL_Orders),""))</f>
        <v/>
      </c>
      <c r="O192" s="119" t="str">
        <f aca="false">IF(J192="","",IF(COUNTIF($J$6:$J$505,J192)&gt;1,1,0))</f>
        <v/>
      </c>
      <c r="P192" s="119" t="str">
        <f aca="false">IF(J192="","",IF(K192="","Not found in Paste_RLVL – deductions set to 0; ","")&amp;IF(L192=0,"New rider (not in Rider_Master) – OK, shown as Rider &lt;ID&gt;; ","")&amp;IF(AND(N192&lt;&gt;"",N192&lt;&gt;M192),"Orders differ: FTR "&amp;M192&amp;" vs RLVL "&amp;N192&amp;"; ","")&amp;IF(O192=1,"Duplicate Rider ID; ",""))</f>
        <v/>
      </c>
      <c r="Q192" s="119" t="str">
        <f aca="false">IF(P192="","",COUNTIF(P$6:P192,"?*"))</f>
        <v/>
      </c>
    </row>
    <row r="193" customFormat="false" ht="15" hidden="false" customHeight="false" outlineLevel="0" collapsed="false">
      <c r="I193" s="119" t="n">
        <v>188</v>
      </c>
      <c r="J193" s="119" t="str">
        <f aca="false">IFERROR(IF(INDEX(Rider_Input[Rider ID],I193)="","",INDEX(Rider_Input[Rider ID],I193)),"")</f>
        <v/>
      </c>
      <c r="K193" s="119" t="str">
        <f aca="false">IF(J193="","",IFERROR(MATCH(J193,INDEX(RLVL_Data,0,c_RLVL_ID),0),""))</f>
        <v/>
      </c>
      <c r="L193" s="119" t="str">
        <f aca="false">IF(J193="","",IF(ISNUMBER(MATCH(J193,Rider_Master[Rider ID],0)),1,0))</f>
        <v/>
      </c>
      <c r="M193" s="119" t="str">
        <f aca="false">IF(J193="","",INDEX(Rider_Input[Completed Orders],I193))</f>
        <v/>
      </c>
      <c r="N193" s="119" t="str">
        <f aca="false">IF(OR(J193="",K193=""),"",IFERROR(INDEX(RLVL_Data,K193,c_RLVL_Orders),""))</f>
        <v/>
      </c>
      <c r="O193" s="119" t="str">
        <f aca="false">IF(J193="","",IF(COUNTIF($J$6:$J$505,J193)&gt;1,1,0))</f>
        <v/>
      </c>
      <c r="P193" s="119" t="str">
        <f aca="false">IF(J193="","",IF(K193="","Not found in Paste_RLVL – deductions set to 0; ","")&amp;IF(L193=0,"New rider (not in Rider_Master) – OK, shown as Rider &lt;ID&gt;; ","")&amp;IF(AND(N193&lt;&gt;"",N193&lt;&gt;M193),"Orders differ: FTR "&amp;M193&amp;" vs RLVL "&amp;N193&amp;"; ","")&amp;IF(O193=1,"Duplicate Rider ID; ",""))</f>
        <v/>
      </c>
      <c r="Q193" s="119" t="str">
        <f aca="false">IF(P193="","",COUNTIF(P$6:P193,"?*"))</f>
        <v/>
      </c>
    </row>
    <row r="194" customFormat="false" ht="15" hidden="false" customHeight="false" outlineLevel="0" collapsed="false">
      <c r="I194" s="119" t="n">
        <v>189</v>
      </c>
      <c r="J194" s="119" t="str">
        <f aca="false">IFERROR(IF(INDEX(Rider_Input[Rider ID],I194)="","",INDEX(Rider_Input[Rider ID],I194)),"")</f>
        <v/>
      </c>
      <c r="K194" s="119" t="str">
        <f aca="false">IF(J194="","",IFERROR(MATCH(J194,INDEX(RLVL_Data,0,c_RLVL_ID),0),""))</f>
        <v/>
      </c>
      <c r="L194" s="119" t="str">
        <f aca="false">IF(J194="","",IF(ISNUMBER(MATCH(J194,Rider_Master[Rider ID],0)),1,0))</f>
        <v/>
      </c>
      <c r="M194" s="119" t="str">
        <f aca="false">IF(J194="","",INDEX(Rider_Input[Completed Orders],I194))</f>
        <v/>
      </c>
      <c r="N194" s="119" t="str">
        <f aca="false">IF(OR(J194="",K194=""),"",IFERROR(INDEX(RLVL_Data,K194,c_RLVL_Orders),""))</f>
        <v/>
      </c>
      <c r="O194" s="119" t="str">
        <f aca="false">IF(J194="","",IF(COUNTIF($J$6:$J$505,J194)&gt;1,1,0))</f>
        <v/>
      </c>
      <c r="P194" s="119" t="str">
        <f aca="false">IF(J194="","",IF(K194="","Not found in Paste_RLVL – deductions set to 0; ","")&amp;IF(L194=0,"New rider (not in Rider_Master) – OK, shown as Rider &lt;ID&gt;; ","")&amp;IF(AND(N194&lt;&gt;"",N194&lt;&gt;M194),"Orders differ: FTR "&amp;M194&amp;" vs RLVL "&amp;N194&amp;"; ","")&amp;IF(O194=1,"Duplicate Rider ID; ",""))</f>
        <v/>
      </c>
      <c r="Q194" s="119" t="str">
        <f aca="false">IF(P194="","",COUNTIF(P$6:P194,"?*"))</f>
        <v/>
      </c>
    </row>
    <row r="195" customFormat="false" ht="15" hidden="false" customHeight="false" outlineLevel="0" collapsed="false">
      <c r="I195" s="119" t="n">
        <v>190</v>
      </c>
      <c r="J195" s="119" t="str">
        <f aca="false">IFERROR(IF(INDEX(Rider_Input[Rider ID],I195)="","",INDEX(Rider_Input[Rider ID],I195)),"")</f>
        <v/>
      </c>
      <c r="K195" s="119" t="str">
        <f aca="false">IF(J195="","",IFERROR(MATCH(J195,INDEX(RLVL_Data,0,c_RLVL_ID),0),""))</f>
        <v/>
      </c>
      <c r="L195" s="119" t="str">
        <f aca="false">IF(J195="","",IF(ISNUMBER(MATCH(J195,Rider_Master[Rider ID],0)),1,0))</f>
        <v/>
      </c>
      <c r="M195" s="119" t="str">
        <f aca="false">IF(J195="","",INDEX(Rider_Input[Completed Orders],I195))</f>
        <v/>
      </c>
      <c r="N195" s="119" t="str">
        <f aca="false">IF(OR(J195="",K195=""),"",IFERROR(INDEX(RLVL_Data,K195,c_RLVL_Orders),""))</f>
        <v/>
      </c>
      <c r="O195" s="119" t="str">
        <f aca="false">IF(J195="","",IF(COUNTIF($J$6:$J$505,J195)&gt;1,1,0))</f>
        <v/>
      </c>
      <c r="P195" s="119" t="str">
        <f aca="false">IF(J195="","",IF(K195="","Not found in Paste_RLVL – deductions set to 0; ","")&amp;IF(L195=0,"New rider (not in Rider_Master) – OK, shown as Rider &lt;ID&gt;; ","")&amp;IF(AND(N195&lt;&gt;"",N195&lt;&gt;M195),"Orders differ: FTR "&amp;M195&amp;" vs RLVL "&amp;N195&amp;"; ","")&amp;IF(O195=1,"Duplicate Rider ID; ",""))</f>
        <v/>
      </c>
      <c r="Q195" s="119" t="str">
        <f aca="false">IF(P195="","",COUNTIF(P$6:P195,"?*"))</f>
        <v/>
      </c>
    </row>
    <row r="196" customFormat="false" ht="15" hidden="false" customHeight="false" outlineLevel="0" collapsed="false">
      <c r="I196" s="119" t="n">
        <v>191</v>
      </c>
      <c r="J196" s="119" t="str">
        <f aca="false">IFERROR(IF(INDEX(Rider_Input[Rider ID],I196)="","",INDEX(Rider_Input[Rider ID],I196)),"")</f>
        <v/>
      </c>
      <c r="K196" s="119" t="str">
        <f aca="false">IF(J196="","",IFERROR(MATCH(J196,INDEX(RLVL_Data,0,c_RLVL_ID),0),""))</f>
        <v/>
      </c>
      <c r="L196" s="119" t="str">
        <f aca="false">IF(J196="","",IF(ISNUMBER(MATCH(J196,Rider_Master[Rider ID],0)),1,0))</f>
        <v/>
      </c>
      <c r="M196" s="119" t="str">
        <f aca="false">IF(J196="","",INDEX(Rider_Input[Completed Orders],I196))</f>
        <v/>
      </c>
      <c r="N196" s="119" t="str">
        <f aca="false">IF(OR(J196="",K196=""),"",IFERROR(INDEX(RLVL_Data,K196,c_RLVL_Orders),""))</f>
        <v/>
      </c>
      <c r="O196" s="119" t="str">
        <f aca="false">IF(J196="","",IF(COUNTIF($J$6:$J$505,J196)&gt;1,1,0))</f>
        <v/>
      </c>
      <c r="P196" s="119" t="str">
        <f aca="false">IF(J196="","",IF(K196="","Not found in Paste_RLVL – deductions set to 0; ","")&amp;IF(L196=0,"New rider (not in Rider_Master) – OK, shown as Rider &lt;ID&gt;; ","")&amp;IF(AND(N196&lt;&gt;"",N196&lt;&gt;M196),"Orders differ: FTR "&amp;M196&amp;" vs RLVL "&amp;N196&amp;"; ","")&amp;IF(O196=1,"Duplicate Rider ID; ",""))</f>
        <v/>
      </c>
      <c r="Q196" s="119" t="str">
        <f aca="false">IF(P196="","",COUNTIF(P$6:P196,"?*"))</f>
        <v/>
      </c>
    </row>
    <row r="197" customFormat="false" ht="15" hidden="false" customHeight="false" outlineLevel="0" collapsed="false">
      <c r="I197" s="119" t="n">
        <v>192</v>
      </c>
      <c r="J197" s="119" t="str">
        <f aca="false">IFERROR(IF(INDEX(Rider_Input[Rider ID],I197)="","",INDEX(Rider_Input[Rider ID],I197)),"")</f>
        <v/>
      </c>
      <c r="K197" s="119" t="str">
        <f aca="false">IF(J197="","",IFERROR(MATCH(J197,INDEX(RLVL_Data,0,c_RLVL_ID),0),""))</f>
        <v/>
      </c>
      <c r="L197" s="119" t="str">
        <f aca="false">IF(J197="","",IF(ISNUMBER(MATCH(J197,Rider_Master[Rider ID],0)),1,0))</f>
        <v/>
      </c>
      <c r="M197" s="119" t="str">
        <f aca="false">IF(J197="","",INDEX(Rider_Input[Completed Orders],I197))</f>
        <v/>
      </c>
      <c r="N197" s="119" t="str">
        <f aca="false">IF(OR(J197="",K197=""),"",IFERROR(INDEX(RLVL_Data,K197,c_RLVL_Orders),""))</f>
        <v/>
      </c>
      <c r="O197" s="119" t="str">
        <f aca="false">IF(J197="","",IF(COUNTIF($J$6:$J$505,J197)&gt;1,1,0))</f>
        <v/>
      </c>
      <c r="P197" s="119" t="str">
        <f aca="false">IF(J197="","",IF(K197="","Not found in Paste_RLVL – deductions set to 0; ","")&amp;IF(L197=0,"New rider (not in Rider_Master) – OK, shown as Rider &lt;ID&gt;; ","")&amp;IF(AND(N197&lt;&gt;"",N197&lt;&gt;M197),"Orders differ: FTR "&amp;M197&amp;" vs RLVL "&amp;N197&amp;"; ","")&amp;IF(O197=1,"Duplicate Rider ID; ",""))</f>
        <v/>
      </c>
      <c r="Q197" s="119" t="str">
        <f aca="false">IF(P197="","",COUNTIF(P$6:P197,"?*"))</f>
        <v/>
      </c>
    </row>
    <row r="198" customFormat="false" ht="15" hidden="false" customHeight="false" outlineLevel="0" collapsed="false">
      <c r="I198" s="119" t="n">
        <v>193</v>
      </c>
      <c r="J198" s="119" t="str">
        <f aca="false">IFERROR(IF(INDEX(Rider_Input[Rider ID],I198)="","",INDEX(Rider_Input[Rider ID],I198)),"")</f>
        <v/>
      </c>
      <c r="K198" s="119" t="str">
        <f aca="false">IF(J198="","",IFERROR(MATCH(J198,INDEX(RLVL_Data,0,c_RLVL_ID),0),""))</f>
        <v/>
      </c>
      <c r="L198" s="119" t="str">
        <f aca="false">IF(J198="","",IF(ISNUMBER(MATCH(J198,Rider_Master[Rider ID],0)),1,0))</f>
        <v/>
      </c>
      <c r="M198" s="119" t="str">
        <f aca="false">IF(J198="","",INDEX(Rider_Input[Completed Orders],I198))</f>
        <v/>
      </c>
      <c r="N198" s="119" t="str">
        <f aca="false">IF(OR(J198="",K198=""),"",IFERROR(INDEX(RLVL_Data,K198,c_RLVL_Orders),""))</f>
        <v/>
      </c>
      <c r="O198" s="119" t="str">
        <f aca="false">IF(J198="","",IF(COUNTIF($J$6:$J$505,J198)&gt;1,1,0))</f>
        <v/>
      </c>
      <c r="P198" s="119" t="str">
        <f aca="false">IF(J198="","",IF(K198="","Not found in Paste_RLVL – deductions set to 0; ","")&amp;IF(L198=0,"New rider (not in Rider_Master) – OK, shown as Rider &lt;ID&gt;; ","")&amp;IF(AND(N198&lt;&gt;"",N198&lt;&gt;M198),"Orders differ: FTR "&amp;M198&amp;" vs RLVL "&amp;N198&amp;"; ","")&amp;IF(O198=1,"Duplicate Rider ID; ",""))</f>
        <v/>
      </c>
      <c r="Q198" s="119" t="str">
        <f aca="false">IF(P198="","",COUNTIF(P$6:P198,"?*"))</f>
        <v/>
      </c>
    </row>
    <row r="199" customFormat="false" ht="15" hidden="false" customHeight="false" outlineLevel="0" collapsed="false">
      <c r="I199" s="119" t="n">
        <v>194</v>
      </c>
      <c r="J199" s="119" t="str">
        <f aca="false">IFERROR(IF(INDEX(Rider_Input[Rider ID],I199)="","",INDEX(Rider_Input[Rider ID],I199)),"")</f>
        <v/>
      </c>
      <c r="K199" s="119" t="str">
        <f aca="false">IF(J199="","",IFERROR(MATCH(J199,INDEX(RLVL_Data,0,c_RLVL_ID),0),""))</f>
        <v/>
      </c>
      <c r="L199" s="119" t="str">
        <f aca="false">IF(J199="","",IF(ISNUMBER(MATCH(J199,Rider_Master[Rider ID],0)),1,0))</f>
        <v/>
      </c>
      <c r="M199" s="119" t="str">
        <f aca="false">IF(J199="","",INDEX(Rider_Input[Completed Orders],I199))</f>
        <v/>
      </c>
      <c r="N199" s="119" t="str">
        <f aca="false">IF(OR(J199="",K199=""),"",IFERROR(INDEX(RLVL_Data,K199,c_RLVL_Orders),""))</f>
        <v/>
      </c>
      <c r="O199" s="119" t="str">
        <f aca="false">IF(J199="","",IF(COUNTIF($J$6:$J$505,J199)&gt;1,1,0))</f>
        <v/>
      </c>
      <c r="P199" s="119" t="str">
        <f aca="false">IF(J199="","",IF(K199="","Not found in Paste_RLVL – deductions set to 0; ","")&amp;IF(L199=0,"New rider (not in Rider_Master) – OK, shown as Rider &lt;ID&gt;; ","")&amp;IF(AND(N199&lt;&gt;"",N199&lt;&gt;M199),"Orders differ: FTR "&amp;M199&amp;" vs RLVL "&amp;N199&amp;"; ","")&amp;IF(O199=1,"Duplicate Rider ID; ",""))</f>
        <v/>
      </c>
      <c r="Q199" s="119" t="str">
        <f aca="false">IF(P199="","",COUNTIF(P$6:P199,"?*"))</f>
        <v/>
      </c>
    </row>
    <row r="200" customFormat="false" ht="15" hidden="false" customHeight="false" outlineLevel="0" collapsed="false">
      <c r="I200" s="119" t="n">
        <v>195</v>
      </c>
      <c r="J200" s="119" t="str">
        <f aca="false">IFERROR(IF(INDEX(Rider_Input[Rider ID],I200)="","",INDEX(Rider_Input[Rider ID],I200)),"")</f>
        <v/>
      </c>
      <c r="K200" s="119" t="str">
        <f aca="false">IF(J200="","",IFERROR(MATCH(J200,INDEX(RLVL_Data,0,c_RLVL_ID),0),""))</f>
        <v/>
      </c>
      <c r="L200" s="119" t="str">
        <f aca="false">IF(J200="","",IF(ISNUMBER(MATCH(J200,Rider_Master[Rider ID],0)),1,0))</f>
        <v/>
      </c>
      <c r="M200" s="119" t="str">
        <f aca="false">IF(J200="","",INDEX(Rider_Input[Completed Orders],I200))</f>
        <v/>
      </c>
      <c r="N200" s="119" t="str">
        <f aca="false">IF(OR(J200="",K200=""),"",IFERROR(INDEX(RLVL_Data,K200,c_RLVL_Orders),""))</f>
        <v/>
      </c>
      <c r="O200" s="119" t="str">
        <f aca="false">IF(J200="","",IF(COUNTIF($J$6:$J$505,J200)&gt;1,1,0))</f>
        <v/>
      </c>
      <c r="P200" s="119" t="str">
        <f aca="false">IF(J200="","",IF(K200="","Not found in Paste_RLVL – deductions set to 0; ","")&amp;IF(L200=0,"New rider (not in Rider_Master) – OK, shown as Rider &lt;ID&gt;; ","")&amp;IF(AND(N200&lt;&gt;"",N200&lt;&gt;M200),"Orders differ: FTR "&amp;M200&amp;" vs RLVL "&amp;N200&amp;"; ","")&amp;IF(O200=1,"Duplicate Rider ID; ",""))</f>
        <v/>
      </c>
      <c r="Q200" s="119" t="str">
        <f aca="false">IF(P200="","",COUNTIF(P$6:P200,"?*"))</f>
        <v/>
      </c>
    </row>
    <row r="201" customFormat="false" ht="15" hidden="false" customHeight="false" outlineLevel="0" collapsed="false">
      <c r="I201" s="119" t="n">
        <v>196</v>
      </c>
      <c r="J201" s="119" t="str">
        <f aca="false">IFERROR(IF(INDEX(Rider_Input[Rider ID],I201)="","",INDEX(Rider_Input[Rider ID],I201)),"")</f>
        <v/>
      </c>
      <c r="K201" s="119" t="str">
        <f aca="false">IF(J201="","",IFERROR(MATCH(J201,INDEX(RLVL_Data,0,c_RLVL_ID),0),""))</f>
        <v/>
      </c>
      <c r="L201" s="119" t="str">
        <f aca="false">IF(J201="","",IF(ISNUMBER(MATCH(J201,Rider_Master[Rider ID],0)),1,0))</f>
        <v/>
      </c>
      <c r="M201" s="119" t="str">
        <f aca="false">IF(J201="","",INDEX(Rider_Input[Completed Orders],I201))</f>
        <v/>
      </c>
      <c r="N201" s="119" t="str">
        <f aca="false">IF(OR(J201="",K201=""),"",IFERROR(INDEX(RLVL_Data,K201,c_RLVL_Orders),""))</f>
        <v/>
      </c>
      <c r="O201" s="119" t="str">
        <f aca="false">IF(J201="","",IF(COUNTIF($J$6:$J$505,J201)&gt;1,1,0))</f>
        <v/>
      </c>
      <c r="P201" s="119" t="str">
        <f aca="false">IF(J201="","",IF(K201="","Not found in Paste_RLVL – deductions set to 0; ","")&amp;IF(L201=0,"New rider (not in Rider_Master) – OK, shown as Rider &lt;ID&gt;; ","")&amp;IF(AND(N201&lt;&gt;"",N201&lt;&gt;M201),"Orders differ: FTR "&amp;M201&amp;" vs RLVL "&amp;N201&amp;"; ","")&amp;IF(O201=1,"Duplicate Rider ID; ",""))</f>
        <v/>
      </c>
      <c r="Q201" s="119" t="str">
        <f aca="false">IF(P201="","",COUNTIF(P$6:P201,"?*"))</f>
        <v/>
      </c>
    </row>
    <row r="202" customFormat="false" ht="15" hidden="false" customHeight="false" outlineLevel="0" collapsed="false">
      <c r="I202" s="119" t="n">
        <v>197</v>
      </c>
      <c r="J202" s="119" t="str">
        <f aca="false">IFERROR(IF(INDEX(Rider_Input[Rider ID],I202)="","",INDEX(Rider_Input[Rider ID],I202)),"")</f>
        <v/>
      </c>
      <c r="K202" s="119" t="str">
        <f aca="false">IF(J202="","",IFERROR(MATCH(J202,INDEX(RLVL_Data,0,c_RLVL_ID),0),""))</f>
        <v/>
      </c>
      <c r="L202" s="119" t="str">
        <f aca="false">IF(J202="","",IF(ISNUMBER(MATCH(J202,Rider_Master[Rider ID],0)),1,0))</f>
        <v/>
      </c>
      <c r="M202" s="119" t="str">
        <f aca="false">IF(J202="","",INDEX(Rider_Input[Completed Orders],I202))</f>
        <v/>
      </c>
      <c r="N202" s="119" t="str">
        <f aca="false">IF(OR(J202="",K202=""),"",IFERROR(INDEX(RLVL_Data,K202,c_RLVL_Orders),""))</f>
        <v/>
      </c>
      <c r="O202" s="119" t="str">
        <f aca="false">IF(J202="","",IF(COUNTIF($J$6:$J$505,J202)&gt;1,1,0))</f>
        <v/>
      </c>
      <c r="P202" s="119" t="str">
        <f aca="false">IF(J202="","",IF(K202="","Not found in Paste_RLVL – deductions set to 0; ","")&amp;IF(L202=0,"New rider (not in Rider_Master) – OK, shown as Rider &lt;ID&gt;; ","")&amp;IF(AND(N202&lt;&gt;"",N202&lt;&gt;M202),"Orders differ: FTR "&amp;M202&amp;" vs RLVL "&amp;N202&amp;"; ","")&amp;IF(O202=1,"Duplicate Rider ID; ",""))</f>
        <v/>
      </c>
      <c r="Q202" s="119" t="str">
        <f aca="false">IF(P202="","",COUNTIF(P$6:P202,"?*"))</f>
        <v/>
      </c>
    </row>
    <row r="203" customFormat="false" ht="15" hidden="false" customHeight="false" outlineLevel="0" collapsed="false">
      <c r="I203" s="119" t="n">
        <v>198</v>
      </c>
      <c r="J203" s="119" t="str">
        <f aca="false">IFERROR(IF(INDEX(Rider_Input[Rider ID],I203)="","",INDEX(Rider_Input[Rider ID],I203)),"")</f>
        <v/>
      </c>
      <c r="K203" s="119" t="str">
        <f aca="false">IF(J203="","",IFERROR(MATCH(J203,INDEX(RLVL_Data,0,c_RLVL_ID),0),""))</f>
        <v/>
      </c>
      <c r="L203" s="119" t="str">
        <f aca="false">IF(J203="","",IF(ISNUMBER(MATCH(J203,Rider_Master[Rider ID],0)),1,0))</f>
        <v/>
      </c>
      <c r="M203" s="119" t="str">
        <f aca="false">IF(J203="","",INDEX(Rider_Input[Completed Orders],I203))</f>
        <v/>
      </c>
      <c r="N203" s="119" t="str">
        <f aca="false">IF(OR(J203="",K203=""),"",IFERROR(INDEX(RLVL_Data,K203,c_RLVL_Orders),""))</f>
        <v/>
      </c>
      <c r="O203" s="119" t="str">
        <f aca="false">IF(J203="","",IF(COUNTIF($J$6:$J$505,J203)&gt;1,1,0))</f>
        <v/>
      </c>
      <c r="P203" s="119" t="str">
        <f aca="false">IF(J203="","",IF(K203="","Not found in Paste_RLVL – deductions set to 0; ","")&amp;IF(L203=0,"New rider (not in Rider_Master) – OK, shown as Rider &lt;ID&gt;; ","")&amp;IF(AND(N203&lt;&gt;"",N203&lt;&gt;M203),"Orders differ: FTR "&amp;M203&amp;" vs RLVL "&amp;N203&amp;"; ","")&amp;IF(O203=1,"Duplicate Rider ID; ",""))</f>
        <v/>
      </c>
      <c r="Q203" s="119" t="str">
        <f aca="false">IF(P203="","",COUNTIF(P$6:P203,"?*"))</f>
        <v/>
      </c>
    </row>
    <row r="204" customFormat="false" ht="15" hidden="false" customHeight="false" outlineLevel="0" collapsed="false">
      <c r="I204" s="119" t="n">
        <v>199</v>
      </c>
      <c r="J204" s="119" t="str">
        <f aca="false">IFERROR(IF(INDEX(Rider_Input[Rider ID],I204)="","",INDEX(Rider_Input[Rider ID],I204)),"")</f>
        <v/>
      </c>
      <c r="K204" s="119" t="str">
        <f aca="false">IF(J204="","",IFERROR(MATCH(J204,INDEX(RLVL_Data,0,c_RLVL_ID),0),""))</f>
        <v/>
      </c>
      <c r="L204" s="119" t="str">
        <f aca="false">IF(J204="","",IF(ISNUMBER(MATCH(J204,Rider_Master[Rider ID],0)),1,0))</f>
        <v/>
      </c>
      <c r="M204" s="119" t="str">
        <f aca="false">IF(J204="","",INDEX(Rider_Input[Completed Orders],I204))</f>
        <v/>
      </c>
      <c r="N204" s="119" t="str">
        <f aca="false">IF(OR(J204="",K204=""),"",IFERROR(INDEX(RLVL_Data,K204,c_RLVL_Orders),""))</f>
        <v/>
      </c>
      <c r="O204" s="119" t="str">
        <f aca="false">IF(J204="","",IF(COUNTIF($J$6:$J$505,J204)&gt;1,1,0))</f>
        <v/>
      </c>
      <c r="P204" s="119" t="str">
        <f aca="false">IF(J204="","",IF(K204="","Not found in Paste_RLVL – deductions set to 0; ","")&amp;IF(L204=0,"New rider (not in Rider_Master) – OK, shown as Rider &lt;ID&gt;; ","")&amp;IF(AND(N204&lt;&gt;"",N204&lt;&gt;M204),"Orders differ: FTR "&amp;M204&amp;" vs RLVL "&amp;N204&amp;"; ","")&amp;IF(O204=1,"Duplicate Rider ID; ",""))</f>
        <v/>
      </c>
      <c r="Q204" s="119" t="str">
        <f aca="false">IF(P204="","",COUNTIF(P$6:P204,"?*"))</f>
        <v/>
      </c>
    </row>
    <row r="205" customFormat="false" ht="15" hidden="false" customHeight="false" outlineLevel="0" collapsed="false">
      <c r="I205" s="119" t="n">
        <v>200</v>
      </c>
      <c r="J205" s="119" t="str">
        <f aca="false">IFERROR(IF(INDEX(Rider_Input[Rider ID],I205)="","",INDEX(Rider_Input[Rider ID],I205)),"")</f>
        <v/>
      </c>
      <c r="K205" s="119" t="str">
        <f aca="false">IF(J205="","",IFERROR(MATCH(J205,INDEX(RLVL_Data,0,c_RLVL_ID),0),""))</f>
        <v/>
      </c>
      <c r="L205" s="119" t="str">
        <f aca="false">IF(J205="","",IF(ISNUMBER(MATCH(J205,Rider_Master[Rider ID],0)),1,0))</f>
        <v/>
      </c>
      <c r="M205" s="119" t="str">
        <f aca="false">IF(J205="","",INDEX(Rider_Input[Completed Orders],I205))</f>
        <v/>
      </c>
      <c r="N205" s="119" t="str">
        <f aca="false">IF(OR(J205="",K205=""),"",IFERROR(INDEX(RLVL_Data,K205,c_RLVL_Orders),""))</f>
        <v/>
      </c>
      <c r="O205" s="119" t="str">
        <f aca="false">IF(J205="","",IF(COUNTIF($J$6:$J$505,J205)&gt;1,1,0))</f>
        <v/>
      </c>
      <c r="P205" s="119" t="str">
        <f aca="false">IF(J205="","",IF(K205="","Not found in Paste_RLVL – deductions set to 0; ","")&amp;IF(L205=0,"New rider (not in Rider_Master) – OK, shown as Rider &lt;ID&gt;; ","")&amp;IF(AND(N205&lt;&gt;"",N205&lt;&gt;M205),"Orders differ: FTR "&amp;M205&amp;" vs RLVL "&amp;N205&amp;"; ","")&amp;IF(O205=1,"Duplicate Rider ID; ",""))</f>
        <v/>
      </c>
      <c r="Q205" s="119" t="str">
        <f aca="false">IF(P205="","",COUNTIF(P$6:P205,"?*"))</f>
        <v/>
      </c>
    </row>
    <row r="206" customFormat="false" ht="15" hidden="false" customHeight="false" outlineLevel="0" collapsed="false">
      <c r="I206" s="119" t="n">
        <v>201</v>
      </c>
      <c r="J206" s="119" t="str">
        <f aca="false">IFERROR(IF(INDEX(Rider_Input[Rider ID],I206)="","",INDEX(Rider_Input[Rider ID],I206)),"")</f>
        <v/>
      </c>
      <c r="K206" s="119" t="str">
        <f aca="false">IF(J206="","",IFERROR(MATCH(J206,INDEX(RLVL_Data,0,c_RLVL_ID),0),""))</f>
        <v/>
      </c>
      <c r="L206" s="119" t="str">
        <f aca="false">IF(J206="","",IF(ISNUMBER(MATCH(J206,Rider_Master[Rider ID],0)),1,0))</f>
        <v/>
      </c>
      <c r="M206" s="119" t="str">
        <f aca="false">IF(J206="","",INDEX(Rider_Input[Completed Orders],I206))</f>
        <v/>
      </c>
      <c r="N206" s="119" t="str">
        <f aca="false">IF(OR(J206="",K206=""),"",IFERROR(INDEX(RLVL_Data,K206,c_RLVL_Orders),""))</f>
        <v/>
      </c>
      <c r="O206" s="119" t="str">
        <f aca="false">IF(J206="","",IF(COUNTIF($J$6:$J$505,J206)&gt;1,1,0))</f>
        <v/>
      </c>
      <c r="P206" s="119" t="str">
        <f aca="false">IF(J206="","",IF(K206="","Not found in Paste_RLVL – deductions set to 0; ","")&amp;IF(L206=0,"New rider (not in Rider_Master) – OK, shown as Rider &lt;ID&gt;; ","")&amp;IF(AND(N206&lt;&gt;"",N206&lt;&gt;M206),"Orders differ: FTR "&amp;M206&amp;" vs RLVL "&amp;N206&amp;"; ","")&amp;IF(O206=1,"Duplicate Rider ID; ",""))</f>
        <v/>
      </c>
      <c r="Q206" s="119" t="str">
        <f aca="false">IF(P206="","",COUNTIF(P$6:P206,"?*"))</f>
        <v/>
      </c>
    </row>
    <row r="207" customFormat="false" ht="15" hidden="false" customHeight="false" outlineLevel="0" collapsed="false">
      <c r="I207" s="119" t="n">
        <v>202</v>
      </c>
      <c r="J207" s="119" t="str">
        <f aca="false">IFERROR(IF(INDEX(Rider_Input[Rider ID],I207)="","",INDEX(Rider_Input[Rider ID],I207)),"")</f>
        <v/>
      </c>
      <c r="K207" s="119" t="str">
        <f aca="false">IF(J207="","",IFERROR(MATCH(J207,INDEX(RLVL_Data,0,c_RLVL_ID),0),""))</f>
        <v/>
      </c>
      <c r="L207" s="119" t="str">
        <f aca="false">IF(J207="","",IF(ISNUMBER(MATCH(J207,Rider_Master[Rider ID],0)),1,0))</f>
        <v/>
      </c>
      <c r="M207" s="119" t="str">
        <f aca="false">IF(J207="","",INDEX(Rider_Input[Completed Orders],I207))</f>
        <v/>
      </c>
      <c r="N207" s="119" t="str">
        <f aca="false">IF(OR(J207="",K207=""),"",IFERROR(INDEX(RLVL_Data,K207,c_RLVL_Orders),""))</f>
        <v/>
      </c>
      <c r="O207" s="119" t="str">
        <f aca="false">IF(J207="","",IF(COUNTIF($J$6:$J$505,J207)&gt;1,1,0))</f>
        <v/>
      </c>
      <c r="P207" s="119" t="str">
        <f aca="false">IF(J207="","",IF(K207="","Not found in Paste_RLVL – deductions set to 0; ","")&amp;IF(L207=0,"New rider (not in Rider_Master) – OK, shown as Rider &lt;ID&gt;; ","")&amp;IF(AND(N207&lt;&gt;"",N207&lt;&gt;M207),"Orders differ: FTR "&amp;M207&amp;" vs RLVL "&amp;N207&amp;"; ","")&amp;IF(O207=1,"Duplicate Rider ID; ",""))</f>
        <v/>
      </c>
      <c r="Q207" s="119" t="str">
        <f aca="false">IF(P207="","",COUNTIF(P$6:P207,"?*"))</f>
        <v/>
      </c>
    </row>
    <row r="208" customFormat="false" ht="15" hidden="false" customHeight="false" outlineLevel="0" collapsed="false">
      <c r="I208" s="119" t="n">
        <v>203</v>
      </c>
      <c r="J208" s="119" t="str">
        <f aca="false">IFERROR(IF(INDEX(Rider_Input[Rider ID],I208)="","",INDEX(Rider_Input[Rider ID],I208)),"")</f>
        <v/>
      </c>
      <c r="K208" s="119" t="str">
        <f aca="false">IF(J208="","",IFERROR(MATCH(J208,INDEX(RLVL_Data,0,c_RLVL_ID),0),""))</f>
        <v/>
      </c>
      <c r="L208" s="119" t="str">
        <f aca="false">IF(J208="","",IF(ISNUMBER(MATCH(J208,Rider_Master[Rider ID],0)),1,0))</f>
        <v/>
      </c>
      <c r="M208" s="119" t="str">
        <f aca="false">IF(J208="","",INDEX(Rider_Input[Completed Orders],I208))</f>
        <v/>
      </c>
      <c r="N208" s="119" t="str">
        <f aca="false">IF(OR(J208="",K208=""),"",IFERROR(INDEX(RLVL_Data,K208,c_RLVL_Orders),""))</f>
        <v/>
      </c>
      <c r="O208" s="119" t="str">
        <f aca="false">IF(J208="","",IF(COUNTIF($J$6:$J$505,J208)&gt;1,1,0))</f>
        <v/>
      </c>
      <c r="P208" s="119" t="str">
        <f aca="false">IF(J208="","",IF(K208="","Not found in Paste_RLVL – deductions set to 0; ","")&amp;IF(L208=0,"New rider (not in Rider_Master) – OK, shown as Rider &lt;ID&gt;; ","")&amp;IF(AND(N208&lt;&gt;"",N208&lt;&gt;M208),"Orders differ: FTR "&amp;M208&amp;" vs RLVL "&amp;N208&amp;"; ","")&amp;IF(O208=1,"Duplicate Rider ID; ",""))</f>
        <v/>
      </c>
      <c r="Q208" s="119" t="str">
        <f aca="false">IF(P208="","",COUNTIF(P$6:P208,"?*"))</f>
        <v/>
      </c>
    </row>
    <row r="209" customFormat="false" ht="15" hidden="false" customHeight="false" outlineLevel="0" collapsed="false">
      <c r="I209" s="119" t="n">
        <v>204</v>
      </c>
      <c r="J209" s="119" t="str">
        <f aca="false">IFERROR(IF(INDEX(Rider_Input[Rider ID],I209)="","",INDEX(Rider_Input[Rider ID],I209)),"")</f>
        <v/>
      </c>
      <c r="K209" s="119" t="str">
        <f aca="false">IF(J209="","",IFERROR(MATCH(J209,INDEX(RLVL_Data,0,c_RLVL_ID),0),""))</f>
        <v/>
      </c>
      <c r="L209" s="119" t="str">
        <f aca="false">IF(J209="","",IF(ISNUMBER(MATCH(J209,Rider_Master[Rider ID],0)),1,0))</f>
        <v/>
      </c>
      <c r="M209" s="119" t="str">
        <f aca="false">IF(J209="","",INDEX(Rider_Input[Completed Orders],I209))</f>
        <v/>
      </c>
      <c r="N209" s="119" t="str">
        <f aca="false">IF(OR(J209="",K209=""),"",IFERROR(INDEX(RLVL_Data,K209,c_RLVL_Orders),""))</f>
        <v/>
      </c>
      <c r="O209" s="119" t="str">
        <f aca="false">IF(J209="","",IF(COUNTIF($J$6:$J$505,J209)&gt;1,1,0))</f>
        <v/>
      </c>
      <c r="P209" s="119" t="str">
        <f aca="false">IF(J209="","",IF(K209="","Not found in Paste_RLVL – deductions set to 0; ","")&amp;IF(L209=0,"New rider (not in Rider_Master) – OK, shown as Rider &lt;ID&gt;; ","")&amp;IF(AND(N209&lt;&gt;"",N209&lt;&gt;M209),"Orders differ: FTR "&amp;M209&amp;" vs RLVL "&amp;N209&amp;"; ","")&amp;IF(O209=1,"Duplicate Rider ID; ",""))</f>
        <v/>
      </c>
      <c r="Q209" s="119" t="str">
        <f aca="false">IF(P209="","",COUNTIF(P$6:P209,"?*"))</f>
        <v/>
      </c>
    </row>
    <row r="210" customFormat="false" ht="15" hidden="false" customHeight="false" outlineLevel="0" collapsed="false">
      <c r="I210" s="119" t="n">
        <v>205</v>
      </c>
      <c r="J210" s="119" t="str">
        <f aca="false">IFERROR(IF(INDEX(Rider_Input[Rider ID],I210)="","",INDEX(Rider_Input[Rider ID],I210)),"")</f>
        <v/>
      </c>
      <c r="K210" s="119" t="str">
        <f aca="false">IF(J210="","",IFERROR(MATCH(J210,INDEX(RLVL_Data,0,c_RLVL_ID),0),""))</f>
        <v/>
      </c>
      <c r="L210" s="119" t="str">
        <f aca="false">IF(J210="","",IF(ISNUMBER(MATCH(J210,Rider_Master[Rider ID],0)),1,0))</f>
        <v/>
      </c>
      <c r="M210" s="119" t="str">
        <f aca="false">IF(J210="","",INDEX(Rider_Input[Completed Orders],I210))</f>
        <v/>
      </c>
      <c r="N210" s="119" t="str">
        <f aca="false">IF(OR(J210="",K210=""),"",IFERROR(INDEX(RLVL_Data,K210,c_RLVL_Orders),""))</f>
        <v/>
      </c>
      <c r="O210" s="119" t="str">
        <f aca="false">IF(J210="","",IF(COUNTIF($J$6:$J$505,J210)&gt;1,1,0))</f>
        <v/>
      </c>
      <c r="P210" s="119" t="str">
        <f aca="false">IF(J210="","",IF(K210="","Not found in Paste_RLVL – deductions set to 0; ","")&amp;IF(L210=0,"New rider (not in Rider_Master) – OK, shown as Rider &lt;ID&gt;; ","")&amp;IF(AND(N210&lt;&gt;"",N210&lt;&gt;M210),"Orders differ: FTR "&amp;M210&amp;" vs RLVL "&amp;N210&amp;"; ","")&amp;IF(O210=1,"Duplicate Rider ID; ",""))</f>
        <v/>
      </c>
      <c r="Q210" s="119" t="str">
        <f aca="false">IF(P210="","",COUNTIF(P$6:P210,"?*"))</f>
        <v/>
      </c>
    </row>
    <row r="211" customFormat="false" ht="15" hidden="false" customHeight="false" outlineLevel="0" collapsed="false">
      <c r="I211" s="119" t="n">
        <v>206</v>
      </c>
      <c r="J211" s="119" t="str">
        <f aca="false">IFERROR(IF(INDEX(Rider_Input[Rider ID],I211)="","",INDEX(Rider_Input[Rider ID],I211)),"")</f>
        <v/>
      </c>
      <c r="K211" s="119" t="str">
        <f aca="false">IF(J211="","",IFERROR(MATCH(J211,INDEX(RLVL_Data,0,c_RLVL_ID),0),""))</f>
        <v/>
      </c>
      <c r="L211" s="119" t="str">
        <f aca="false">IF(J211="","",IF(ISNUMBER(MATCH(J211,Rider_Master[Rider ID],0)),1,0))</f>
        <v/>
      </c>
      <c r="M211" s="119" t="str">
        <f aca="false">IF(J211="","",INDEX(Rider_Input[Completed Orders],I211))</f>
        <v/>
      </c>
      <c r="N211" s="119" t="str">
        <f aca="false">IF(OR(J211="",K211=""),"",IFERROR(INDEX(RLVL_Data,K211,c_RLVL_Orders),""))</f>
        <v/>
      </c>
      <c r="O211" s="119" t="str">
        <f aca="false">IF(J211="","",IF(COUNTIF($J$6:$J$505,J211)&gt;1,1,0))</f>
        <v/>
      </c>
      <c r="P211" s="119" t="str">
        <f aca="false">IF(J211="","",IF(K211="","Not found in Paste_RLVL – deductions set to 0; ","")&amp;IF(L211=0,"New rider (not in Rider_Master) – OK, shown as Rider &lt;ID&gt;; ","")&amp;IF(AND(N211&lt;&gt;"",N211&lt;&gt;M211),"Orders differ: FTR "&amp;M211&amp;" vs RLVL "&amp;N211&amp;"; ","")&amp;IF(O211=1,"Duplicate Rider ID; ",""))</f>
        <v/>
      </c>
      <c r="Q211" s="119" t="str">
        <f aca="false">IF(P211="","",COUNTIF(P$6:P211,"?*"))</f>
        <v/>
      </c>
    </row>
    <row r="212" customFormat="false" ht="15" hidden="false" customHeight="false" outlineLevel="0" collapsed="false">
      <c r="I212" s="119" t="n">
        <v>207</v>
      </c>
      <c r="J212" s="119" t="str">
        <f aca="false">IFERROR(IF(INDEX(Rider_Input[Rider ID],I212)="","",INDEX(Rider_Input[Rider ID],I212)),"")</f>
        <v/>
      </c>
      <c r="K212" s="119" t="str">
        <f aca="false">IF(J212="","",IFERROR(MATCH(J212,INDEX(RLVL_Data,0,c_RLVL_ID),0),""))</f>
        <v/>
      </c>
      <c r="L212" s="119" t="str">
        <f aca="false">IF(J212="","",IF(ISNUMBER(MATCH(J212,Rider_Master[Rider ID],0)),1,0))</f>
        <v/>
      </c>
      <c r="M212" s="119" t="str">
        <f aca="false">IF(J212="","",INDEX(Rider_Input[Completed Orders],I212))</f>
        <v/>
      </c>
      <c r="N212" s="119" t="str">
        <f aca="false">IF(OR(J212="",K212=""),"",IFERROR(INDEX(RLVL_Data,K212,c_RLVL_Orders),""))</f>
        <v/>
      </c>
      <c r="O212" s="119" t="str">
        <f aca="false">IF(J212="","",IF(COUNTIF($J$6:$J$505,J212)&gt;1,1,0))</f>
        <v/>
      </c>
      <c r="P212" s="119" t="str">
        <f aca="false">IF(J212="","",IF(K212="","Not found in Paste_RLVL – deductions set to 0; ","")&amp;IF(L212=0,"New rider (not in Rider_Master) – OK, shown as Rider &lt;ID&gt;; ","")&amp;IF(AND(N212&lt;&gt;"",N212&lt;&gt;M212),"Orders differ: FTR "&amp;M212&amp;" vs RLVL "&amp;N212&amp;"; ","")&amp;IF(O212=1,"Duplicate Rider ID; ",""))</f>
        <v/>
      </c>
      <c r="Q212" s="119" t="str">
        <f aca="false">IF(P212="","",COUNTIF(P$6:P212,"?*"))</f>
        <v/>
      </c>
    </row>
    <row r="213" customFormat="false" ht="15" hidden="false" customHeight="false" outlineLevel="0" collapsed="false">
      <c r="I213" s="119" t="n">
        <v>208</v>
      </c>
      <c r="J213" s="119" t="str">
        <f aca="false">IFERROR(IF(INDEX(Rider_Input[Rider ID],I213)="","",INDEX(Rider_Input[Rider ID],I213)),"")</f>
        <v/>
      </c>
      <c r="K213" s="119" t="str">
        <f aca="false">IF(J213="","",IFERROR(MATCH(J213,INDEX(RLVL_Data,0,c_RLVL_ID),0),""))</f>
        <v/>
      </c>
      <c r="L213" s="119" t="str">
        <f aca="false">IF(J213="","",IF(ISNUMBER(MATCH(J213,Rider_Master[Rider ID],0)),1,0))</f>
        <v/>
      </c>
      <c r="M213" s="119" t="str">
        <f aca="false">IF(J213="","",INDEX(Rider_Input[Completed Orders],I213))</f>
        <v/>
      </c>
      <c r="N213" s="119" t="str">
        <f aca="false">IF(OR(J213="",K213=""),"",IFERROR(INDEX(RLVL_Data,K213,c_RLVL_Orders),""))</f>
        <v/>
      </c>
      <c r="O213" s="119" t="str">
        <f aca="false">IF(J213="","",IF(COUNTIF($J$6:$J$505,J213)&gt;1,1,0))</f>
        <v/>
      </c>
      <c r="P213" s="119" t="str">
        <f aca="false">IF(J213="","",IF(K213="","Not found in Paste_RLVL – deductions set to 0; ","")&amp;IF(L213=0,"New rider (not in Rider_Master) – OK, shown as Rider &lt;ID&gt;; ","")&amp;IF(AND(N213&lt;&gt;"",N213&lt;&gt;M213),"Orders differ: FTR "&amp;M213&amp;" vs RLVL "&amp;N213&amp;"; ","")&amp;IF(O213=1,"Duplicate Rider ID; ",""))</f>
        <v/>
      </c>
      <c r="Q213" s="119" t="str">
        <f aca="false">IF(P213="","",COUNTIF(P$6:P213,"?*"))</f>
        <v/>
      </c>
    </row>
    <row r="214" customFormat="false" ht="15" hidden="false" customHeight="false" outlineLevel="0" collapsed="false">
      <c r="I214" s="119" t="n">
        <v>209</v>
      </c>
      <c r="J214" s="119" t="str">
        <f aca="false">IFERROR(IF(INDEX(Rider_Input[Rider ID],I214)="","",INDEX(Rider_Input[Rider ID],I214)),"")</f>
        <v/>
      </c>
      <c r="K214" s="119" t="str">
        <f aca="false">IF(J214="","",IFERROR(MATCH(J214,INDEX(RLVL_Data,0,c_RLVL_ID),0),""))</f>
        <v/>
      </c>
      <c r="L214" s="119" t="str">
        <f aca="false">IF(J214="","",IF(ISNUMBER(MATCH(J214,Rider_Master[Rider ID],0)),1,0))</f>
        <v/>
      </c>
      <c r="M214" s="119" t="str">
        <f aca="false">IF(J214="","",INDEX(Rider_Input[Completed Orders],I214))</f>
        <v/>
      </c>
      <c r="N214" s="119" t="str">
        <f aca="false">IF(OR(J214="",K214=""),"",IFERROR(INDEX(RLVL_Data,K214,c_RLVL_Orders),""))</f>
        <v/>
      </c>
      <c r="O214" s="119" t="str">
        <f aca="false">IF(J214="","",IF(COUNTIF($J$6:$J$505,J214)&gt;1,1,0))</f>
        <v/>
      </c>
      <c r="P214" s="119" t="str">
        <f aca="false">IF(J214="","",IF(K214="","Not found in Paste_RLVL – deductions set to 0; ","")&amp;IF(L214=0,"New rider (not in Rider_Master) – OK, shown as Rider &lt;ID&gt;; ","")&amp;IF(AND(N214&lt;&gt;"",N214&lt;&gt;M214),"Orders differ: FTR "&amp;M214&amp;" vs RLVL "&amp;N214&amp;"; ","")&amp;IF(O214=1,"Duplicate Rider ID; ",""))</f>
        <v/>
      </c>
      <c r="Q214" s="119" t="str">
        <f aca="false">IF(P214="","",COUNTIF(P$6:P214,"?*"))</f>
        <v/>
      </c>
    </row>
    <row r="215" customFormat="false" ht="15" hidden="false" customHeight="false" outlineLevel="0" collapsed="false">
      <c r="I215" s="119" t="n">
        <v>210</v>
      </c>
      <c r="J215" s="119" t="str">
        <f aca="false">IFERROR(IF(INDEX(Rider_Input[Rider ID],I215)="","",INDEX(Rider_Input[Rider ID],I215)),"")</f>
        <v/>
      </c>
      <c r="K215" s="119" t="str">
        <f aca="false">IF(J215="","",IFERROR(MATCH(J215,INDEX(RLVL_Data,0,c_RLVL_ID),0),""))</f>
        <v/>
      </c>
      <c r="L215" s="119" t="str">
        <f aca="false">IF(J215="","",IF(ISNUMBER(MATCH(J215,Rider_Master[Rider ID],0)),1,0))</f>
        <v/>
      </c>
      <c r="M215" s="119" t="str">
        <f aca="false">IF(J215="","",INDEX(Rider_Input[Completed Orders],I215))</f>
        <v/>
      </c>
      <c r="N215" s="119" t="str">
        <f aca="false">IF(OR(J215="",K215=""),"",IFERROR(INDEX(RLVL_Data,K215,c_RLVL_Orders),""))</f>
        <v/>
      </c>
      <c r="O215" s="119" t="str">
        <f aca="false">IF(J215="","",IF(COUNTIF($J$6:$J$505,J215)&gt;1,1,0))</f>
        <v/>
      </c>
      <c r="P215" s="119" t="str">
        <f aca="false">IF(J215="","",IF(K215="","Not found in Paste_RLVL – deductions set to 0; ","")&amp;IF(L215=0,"New rider (not in Rider_Master) – OK, shown as Rider &lt;ID&gt;; ","")&amp;IF(AND(N215&lt;&gt;"",N215&lt;&gt;M215),"Orders differ: FTR "&amp;M215&amp;" vs RLVL "&amp;N215&amp;"; ","")&amp;IF(O215=1,"Duplicate Rider ID; ",""))</f>
        <v/>
      </c>
      <c r="Q215" s="119" t="str">
        <f aca="false">IF(P215="","",COUNTIF(P$6:P215,"?*"))</f>
        <v/>
      </c>
    </row>
    <row r="216" customFormat="false" ht="15" hidden="false" customHeight="false" outlineLevel="0" collapsed="false">
      <c r="I216" s="119" t="n">
        <v>211</v>
      </c>
      <c r="J216" s="119" t="str">
        <f aca="false">IFERROR(IF(INDEX(Rider_Input[Rider ID],I216)="","",INDEX(Rider_Input[Rider ID],I216)),"")</f>
        <v/>
      </c>
      <c r="K216" s="119" t="str">
        <f aca="false">IF(J216="","",IFERROR(MATCH(J216,INDEX(RLVL_Data,0,c_RLVL_ID),0),""))</f>
        <v/>
      </c>
      <c r="L216" s="119" t="str">
        <f aca="false">IF(J216="","",IF(ISNUMBER(MATCH(J216,Rider_Master[Rider ID],0)),1,0))</f>
        <v/>
      </c>
      <c r="M216" s="119" t="str">
        <f aca="false">IF(J216="","",INDEX(Rider_Input[Completed Orders],I216))</f>
        <v/>
      </c>
      <c r="N216" s="119" t="str">
        <f aca="false">IF(OR(J216="",K216=""),"",IFERROR(INDEX(RLVL_Data,K216,c_RLVL_Orders),""))</f>
        <v/>
      </c>
      <c r="O216" s="119" t="str">
        <f aca="false">IF(J216="","",IF(COUNTIF($J$6:$J$505,J216)&gt;1,1,0))</f>
        <v/>
      </c>
      <c r="P216" s="119" t="str">
        <f aca="false">IF(J216="","",IF(K216="","Not found in Paste_RLVL – deductions set to 0; ","")&amp;IF(L216=0,"New rider (not in Rider_Master) – OK, shown as Rider &lt;ID&gt;; ","")&amp;IF(AND(N216&lt;&gt;"",N216&lt;&gt;M216),"Orders differ: FTR "&amp;M216&amp;" vs RLVL "&amp;N216&amp;"; ","")&amp;IF(O216=1,"Duplicate Rider ID; ",""))</f>
        <v/>
      </c>
      <c r="Q216" s="119" t="str">
        <f aca="false">IF(P216="","",COUNTIF(P$6:P216,"?*"))</f>
        <v/>
      </c>
    </row>
    <row r="217" customFormat="false" ht="15" hidden="false" customHeight="false" outlineLevel="0" collapsed="false">
      <c r="I217" s="119" t="n">
        <v>212</v>
      </c>
      <c r="J217" s="119" t="str">
        <f aca="false">IFERROR(IF(INDEX(Rider_Input[Rider ID],I217)="","",INDEX(Rider_Input[Rider ID],I217)),"")</f>
        <v/>
      </c>
      <c r="K217" s="119" t="str">
        <f aca="false">IF(J217="","",IFERROR(MATCH(J217,INDEX(RLVL_Data,0,c_RLVL_ID),0),""))</f>
        <v/>
      </c>
      <c r="L217" s="119" t="str">
        <f aca="false">IF(J217="","",IF(ISNUMBER(MATCH(J217,Rider_Master[Rider ID],0)),1,0))</f>
        <v/>
      </c>
      <c r="M217" s="119" t="str">
        <f aca="false">IF(J217="","",INDEX(Rider_Input[Completed Orders],I217))</f>
        <v/>
      </c>
      <c r="N217" s="119" t="str">
        <f aca="false">IF(OR(J217="",K217=""),"",IFERROR(INDEX(RLVL_Data,K217,c_RLVL_Orders),""))</f>
        <v/>
      </c>
      <c r="O217" s="119" t="str">
        <f aca="false">IF(J217="","",IF(COUNTIF($J$6:$J$505,J217)&gt;1,1,0))</f>
        <v/>
      </c>
      <c r="P217" s="119" t="str">
        <f aca="false">IF(J217="","",IF(K217="","Not found in Paste_RLVL – deductions set to 0; ","")&amp;IF(L217=0,"New rider (not in Rider_Master) – OK, shown as Rider &lt;ID&gt;; ","")&amp;IF(AND(N217&lt;&gt;"",N217&lt;&gt;M217),"Orders differ: FTR "&amp;M217&amp;" vs RLVL "&amp;N217&amp;"; ","")&amp;IF(O217=1,"Duplicate Rider ID; ",""))</f>
        <v/>
      </c>
      <c r="Q217" s="119" t="str">
        <f aca="false">IF(P217="","",COUNTIF(P$6:P217,"?*"))</f>
        <v/>
      </c>
    </row>
    <row r="218" customFormat="false" ht="15" hidden="false" customHeight="false" outlineLevel="0" collapsed="false">
      <c r="I218" s="119" t="n">
        <v>213</v>
      </c>
      <c r="J218" s="119" t="str">
        <f aca="false">IFERROR(IF(INDEX(Rider_Input[Rider ID],I218)="","",INDEX(Rider_Input[Rider ID],I218)),"")</f>
        <v/>
      </c>
      <c r="K218" s="119" t="str">
        <f aca="false">IF(J218="","",IFERROR(MATCH(J218,INDEX(RLVL_Data,0,c_RLVL_ID),0),""))</f>
        <v/>
      </c>
      <c r="L218" s="119" t="str">
        <f aca="false">IF(J218="","",IF(ISNUMBER(MATCH(J218,Rider_Master[Rider ID],0)),1,0))</f>
        <v/>
      </c>
      <c r="M218" s="119" t="str">
        <f aca="false">IF(J218="","",INDEX(Rider_Input[Completed Orders],I218))</f>
        <v/>
      </c>
      <c r="N218" s="119" t="str">
        <f aca="false">IF(OR(J218="",K218=""),"",IFERROR(INDEX(RLVL_Data,K218,c_RLVL_Orders),""))</f>
        <v/>
      </c>
      <c r="O218" s="119" t="str">
        <f aca="false">IF(J218="","",IF(COUNTIF($J$6:$J$505,J218)&gt;1,1,0))</f>
        <v/>
      </c>
      <c r="P218" s="119" t="str">
        <f aca="false">IF(J218="","",IF(K218="","Not found in Paste_RLVL – deductions set to 0; ","")&amp;IF(L218=0,"New rider (not in Rider_Master) – OK, shown as Rider &lt;ID&gt;; ","")&amp;IF(AND(N218&lt;&gt;"",N218&lt;&gt;M218),"Orders differ: FTR "&amp;M218&amp;" vs RLVL "&amp;N218&amp;"; ","")&amp;IF(O218=1,"Duplicate Rider ID; ",""))</f>
        <v/>
      </c>
      <c r="Q218" s="119" t="str">
        <f aca="false">IF(P218="","",COUNTIF(P$6:P218,"?*"))</f>
        <v/>
      </c>
    </row>
    <row r="219" customFormat="false" ht="15" hidden="false" customHeight="false" outlineLevel="0" collapsed="false">
      <c r="I219" s="119" t="n">
        <v>214</v>
      </c>
      <c r="J219" s="119" t="str">
        <f aca="false">IFERROR(IF(INDEX(Rider_Input[Rider ID],I219)="","",INDEX(Rider_Input[Rider ID],I219)),"")</f>
        <v/>
      </c>
      <c r="K219" s="119" t="str">
        <f aca="false">IF(J219="","",IFERROR(MATCH(J219,INDEX(RLVL_Data,0,c_RLVL_ID),0),""))</f>
        <v/>
      </c>
      <c r="L219" s="119" t="str">
        <f aca="false">IF(J219="","",IF(ISNUMBER(MATCH(J219,Rider_Master[Rider ID],0)),1,0))</f>
        <v/>
      </c>
      <c r="M219" s="119" t="str">
        <f aca="false">IF(J219="","",INDEX(Rider_Input[Completed Orders],I219))</f>
        <v/>
      </c>
      <c r="N219" s="119" t="str">
        <f aca="false">IF(OR(J219="",K219=""),"",IFERROR(INDEX(RLVL_Data,K219,c_RLVL_Orders),""))</f>
        <v/>
      </c>
      <c r="O219" s="119" t="str">
        <f aca="false">IF(J219="","",IF(COUNTIF($J$6:$J$505,J219)&gt;1,1,0))</f>
        <v/>
      </c>
      <c r="P219" s="119" t="str">
        <f aca="false">IF(J219="","",IF(K219="","Not found in Paste_RLVL – deductions set to 0; ","")&amp;IF(L219=0,"New rider (not in Rider_Master) – OK, shown as Rider &lt;ID&gt;; ","")&amp;IF(AND(N219&lt;&gt;"",N219&lt;&gt;M219),"Orders differ: FTR "&amp;M219&amp;" vs RLVL "&amp;N219&amp;"; ","")&amp;IF(O219=1,"Duplicate Rider ID; ",""))</f>
        <v/>
      </c>
      <c r="Q219" s="119" t="str">
        <f aca="false">IF(P219="","",COUNTIF(P$6:P219,"?*"))</f>
        <v/>
      </c>
    </row>
    <row r="220" customFormat="false" ht="15" hidden="false" customHeight="false" outlineLevel="0" collapsed="false">
      <c r="I220" s="119" t="n">
        <v>215</v>
      </c>
      <c r="J220" s="119" t="str">
        <f aca="false">IFERROR(IF(INDEX(Rider_Input[Rider ID],I220)="","",INDEX(Rider_Input[Rider ID],I220)),"")</f>
        <v/>
      </c>
      <c r="K220" s="119" t="str">
        <f aca="false">IF(J220="","",IFERROR(MATCH(J220,INDEX(RLVL_Data,0,c_RLVL_ID),0),""))</f>
        <v/>
      </c>
      <c r="L220" s="119" t="str">
        <f aca="false">IF(J220="","",IF(ISNUMBER(MATCH(J220,Rider_Master[Rider ID],0)),1,0))</f>
        <v/>
      </c>
      <c r="M220" s="119" t="str">
        <f aca="false">IF(J220="","",INDEX(Rider_Input[Completed Orders],I220))</f>
        <v/>
      </c>
      <c r="N220" s="119" t="str">
        <f aca="false">IF(OR(J220="",K220=""),"",IFERROR(INDEX(RLVL_Data,K220,c_RLVL_Orders),""))</f>
        <v/>
      </c>
      <c r="O220" s="119" t="str">
        <f aca="false">IF(J220="","",IF(COUNTIF($J$6:$J$505,J220)&gt;1,1,0))</f>
        <v/>
      </c>
      <c r="P220" s="119" t="str">
        <f aca="false">IF(J220="","",IF(K220="","Not found in Paste_RLVL – deductions set to 0; ","")&amp;IF(L220=0,"New rider (not in Rider_Master) – OK, shown as Rider &lt;ID&gt;; ","")&amp;IF(AND(N220&lt;&gt;"",N220&lt;&gt;M220),"Orders differ: FTR "&amp;M220&amp;" vs RLVL "&amp;N220&amp;"; ","")&amp;IF(O220=1,"Duplicate Rider ID; ",""))</f>
        <v/>
      </c>
      <c r="Q220" s="119" t="str">
        <f aca="false">IF(P220="","",COUNTIF(P$6:P220,"?*"))</f>
        <v/>
      </c>
    </row>
    <row r="221" customFormat="false" ht="15" hidden="false" customHeight="false" outlineLevel="0" collapsed="false">
      <c r="I221" s="119" t="n">
        <v>216</v>
      </c>
      <c r="J221" s="119" t="str">
        <f aca="false">IFERROR(IF(INDEX(Rider_Input[Rider ID],I221)="","",INDEX(Rider_Input[Rider ID],I221)),"")</f>
        <v/>
      </c>
      <c r="K221" s="119" t="str">
        <f aca="false">IF(J221="","",IFERROR(MATCH(J221,INDEX(RLVL_Data,0,c_RLVL_ID),0),""))</f>
        <v/>
      </c>
      <c r="L221" s="119" t="str">
        <f aca="false">IF(J221="","",IF(ISNUMBER(MATCH(J221,Rider_Master[Rider ID],0)),1,0))</f>
        <v/>
      </c>
      <c r="M221" s="119" t="str">
        <f aca="false">IF(J221="","",INDEX(Rider_Input[Completed Orders],I221))</f>
        <v/>
      </c>
      <c r="N221" s="119" t="str">
        <f aca="false">IF(OR(J221="",K221=""),"",IFERROR(INDEX(RLVL_Data,K221,c_RLVL_Orders),""))</f>
        <v/>
      </c>
      <c r="O221" s="119" t="str">
        <f aca="false">IF(J221="","",IF(COUNTIF($J$6:$J$505,J221)&gt;1,1,0))</f>
        <v/>
      </c>
      <c r="P221" s="119" t="str">
        <f aca="false">IF(J221="","",IF(K221="","Not found in Paste_RLVL – deductions set to 0; ","")&amp;IF(L221=0,"New rider (not in Rider_Master) – OK, shown as Rider &lt;ID&gt;; ","")&amp;IF(AND(N221&lt;&gt;"",N221&lt;&gt;M221),"Orders differ: FTR "&amp;M221&amp;" vs RLVL "&amp;N221&amp;"; ","")&amp;IF(O221=1,"Duplicate Rider ID; ",""))</f>
        <v/>
      </c>
      <c r="Q221" s="119" t="str">
        <f aca="false">IF(P221="","",COUNTIF(P$6:P221,"?*"))</f>
        <v/>
      </c>
    </row>
    <row r="222" customFormat="false" ht="15" hidden="false" customHeight="false" outlineLevel="0" collapsed="false">
      <c r="I222" s="119" t="n">
        <v>217</v>
      </c>
      <c r="J222" s="119" t="str">
        <f aca="false">IFERROR(IF(INDEX(Rider_Input[Rider ID],I222)="","",INDEX(Rider_Input[Rider ID],I222)),"")</f>
        <v/>
      </c>
      <c r="K222" s="119" t="str">
        <f aca="false">IF(J222="","",IFERROR(MATCH(J222,INDEX(RLVL_Data,0,c_RLVL_ID),0),""))</f>
        <v/>
      </c>
      <c r="L222" s="119" t="str">
        <f aca="false">IF(J222="","",IF(ISNUMBER(MATCH(J222,Rider_Master[Rider ID],0)),1,0))</f>
        <v/>
      </c>
      <c r="M222" s="119" t="str">
        <f aca="false">IF(J222="","",INDEX(Rider_Input[Completed Orders],I222))</f>
        <v/>
      </c>
      <c r="N222" s="119" t="str">
        <f aca="false">IF(OR(J222="",K222=""),"",IFERROR(INDEX(RLVL_Data,K222,c_RLVL_Orders),""))</f>
        <v/>
      </c>
      <c r="O222" s="119" t="str">
        <f aca="false">IF(J222="","",IF(COUNTIF($J$6:$J$505,J222)&gt;1,1,0))</f>
        <v/>
      </c>
      <c r="P222" s="119" t="str">
        <f aca="false">IF(J222="","",IF(K222="","Not found in Paste_RLVL – deductions set to 0; ","")&amp;IF(L222=0,"New rider (not in Rider_Master) – OK, shown as Rider &lt;ID&gt;; ","")&amp;IF(AND(N222&lt;&gt;"",N222&lt;&gt;M222),"Orders differ: FTR "&amp;M222&amp;" vs RLVL "&amp;N222&amp;"; ","")&amp;IF(O222=1,"Duplicate Rider ID; ",""))</f>
        <v/>
      </c>
      <c r="Q222" s="119" t="str">
        <f aca="false">IF(P222="","",COUNTIF(P$6:P222,"?*"))</f>
        <v/>
      </c>
    </row>
    <row r="223" customFormat="false" ht="15" hidden="false" customHeight="false" outlineLevel="0" collapsed="false">
      <c r="I223" s="119" t="n">
        <v>218</v>
      </c>
      <c r="J223" s="119" t="str">
        <f aca="false">IFERROR(IF(INDEX(Rider_Input[Rider ID],I223)="","",INDEX(Rider_Input[Rider ID],I223)),"")</f>
        <v/>
      </c>
      <c r="K223" s="119" t="str">
        <f aca="false">IF(J223="","",IFERROR(MATCH(J223,INDEX(RLVL_Data,0,c_RLVL_ID),0),""))</f>
        <v/>
      </c>
      <c r="L223" s="119" t="str">
        <f aca="false">IF(J223="","",IF(ISNUMBER(MATCH(J223,Rider_Master[Rider ID],0)),1,0))</f>
        <v/>
      </c>
      <c r="M223" s="119" t="str">
        <f aca="false">IF(J223="","",INDEX(Rider_Input[Completed Orders],I223))</f>
        <v/>
      </c>
      <c r="N223" s="119" t="str">
        <f aca="false">IF(OR(J223="",K223=""),"",IFERROR(INDEX(RLVL_Data,K223,c_RLVL_Orders),""))</f>
        <v/>
      </c>
      <c r="O223" s="119" t="str">
        <f aca="false">IF(J223="","",IF(COUNTIF($J$6:$J$505,J223)&gt;1,1,0))</f>
        <v/>
      </c>
      <c r="P223" s="119" t="str">
        <f aca="false">IF(J223="","",IF(K223="","Not found in Paste_RLVL – deductions set to 0; ","")&amp;IF(L223=0,"New rider (not in Rider_Master) – OK, shown as Rider &lt;ID&gt;; ","")&amp;IF(AND(N223&lt;&gt;"",N223&lt;&gt;M223),"Orders differ: FTR "&amp;M223&amp;" vs RLVL "&amp;N223&amp;"; ","")&amp;IF(O223=1,"Duplicate Rider ID; ",""))</f>
        <v/>
      </c>
      <c r="Q223" s="119" t="str">
        <f aca="false">IF(P223="","",COUNTIF(P$6:P223,"?*"))</f>
        <v/>
      </c>
    </row>
    <row r="224" customFormat="false" ht="15" hidden="false" customHeight="false" outlineLevel="0" collapsed="false">
      <c r="I224" s="119" t="n">
        <v>219</v>
      </c>
      <c r="J224" s="119" t="str">
        <f aca="false">IFERROR(IF(INDEX(Rider_Input[Rider ID],I224)="","",INDEX(Rider_Input[Rider ID],I224)),"")</f>
        <v/>
      </c>
      <c r="K224" s="119" t="str">
        <f aca="false">IF(J224="","",IFERROR(MATCH(J224,INDEX(RLVL_Data,0,c_RLVL_ID),0),""))</f>
        <v/>
      </c>
      <c r="L224" s="119" t="str">
        <f aca="false">IF(J224="","",IF(ISNUMBER(MATCH(J224,Rider_Master[Rider ID],0)),1,0))</f>
        <v/>
      </c>
      <c r="M224" s="119" t="str">
        <f aca="false">IF(J224="","",INDEX(Rider_Input[Completed Orders],I224))</f>
        <v/>
      </c>
      <c r="N224" s="119" t="str">
        <f aca="false">IF(OR(J224="",K224=""),"",IFERROR(INDEX(RLVL_Data,K224,c_RLVL_Orders),""))</f>
        <v/>
      </c>
      <c r="O224" s="119" t="str">
        <f aca="false">IF(J224="","",IF(COUNTIF($J$6:$J$505,J224)&gt;1,1,0))</f>
        <v/>
      </c>
      <c r="P224" s="119" t="str">
        <f aca="false">IF(J224="","",IF(K224="","Not found in Paste_RLVL – deductions set to 0; ","")&amp;IF(L224=0,"New rider (not in Rider_Master) – OK, shown as Rider &lt;ID&gt;; ","")&amp;IF(AND(N224&lt;&gt;"",N224&lt;&gt;M224),"Orders differ: FTR "&amp;M224&amp;" vs RLVL "&amp;N224&amp;"; ","")&amp;IF(O224=1,"Duplicate Rider ID; ",""))</f>
        <v/>
      </c>
      <c r="Q224" s="119" t="str">
        <f aca="false">IF(P224="","",COUNTIF(P$6:P224,"?*"))</f>
        <v/>
      </c>
    </row>
    <row r="225" customFormat="false" ht="15" hidden="false" customHeight="false" outlineLevel="0" collapsed="false">
      <c r="I225" s="119" t="n">
        <v>220</v>
      </c>
      <c r="J225" s="119" t="str">
        <f aca="false">IFERROR(IF(INDEX(Rider_Input[Rider ID],I225)="","",INDEX(Rider_Input[Rider ID],I225)),"")</f>
        <v/>
      </c>
      <c r="K225" s="119" t="str">
        <f aca="false">IF(J225="","",IFERROR(MATCH(J225,INDEX(RLVL_Data,0,c_RLVL_ID),0),""))</f>
        <v/>
      </c>
      <c r="L225" s="119" t="str">
        <f aca="false">IF(J225="","",IF(ISNUMBER(MATCH(J225,Rider_Master[Rider ID],0)),1,0))</f>
        <v/>
      </c>
      <c r="M225" s="119" t="str">
        <f aca="false">IF(J225="","",INDEX(Rider_Input[Completed Orders],I225))</f>
        <v/>
      </c>
      <c r="N225" s="119" t="str">
        <f aca="false">IF(OR(J225="",K225=""),"",IFERROR(INDEX(RLVL_Data,K225,c_RLVL_Orders),""))</f>
        <v/>
      </c>
      <c r="O225" s="119" t="str">
        <f aca="false">IF(J225="","",IF(COUNTIF($J$6:$J$505,J225)&gt;1,1,0))</f>
        <v/>
      </c>
      <c r="P225" s="119" t="str">
        <f aca="false">IF(J225="","",IF(K225="","Not found in Paste_RLVL – deductions set to 0; ","")&amp;IF(L225=0,"New rider (not in Rider_Master) – OK, shown as Rider &lt;ID&gt;; ","")&amp;IF(AND(N225&lt;&gt;"",N225&lt;&gt;M225),"Orders differ: FTR "&amp;M225&amp;" vs RLVL "&amp;N225&amp;"; ","")&amp;IF(O225=1,"Duplicate Rider ID; ",""))</f>
        <v/>
      </c>
      <c r="Q225" s="119" t="str">
        <f aca="false">IF(P225="","",COUNTIF(P$6:P225,"?*"))</f>
        <v/>
      </c>
    </row>
    <row r="226" customFormat="false" ht="15" hidden="false" customHeight="false" outlineLevel="0" collapsed="false">
      <c r="I226" s="119" t="n">
        <v>221</v>
      </c>
      <c r="J226" s="119" t="str">
        <f aca="false">IFERROR(IF(INDEX(Rider_Input[Rider ID],I226)="","",INDEX(Rider_Input[Rider ID],I226)),"")</f>
        <v/>
      </c>
      <c r="K226" s="119" t="str">
        <f aca="false">IF(J226="","",IFERROR(MATCH(J226,INDEX(RLVL_Data,0,c_RLVL_ID),0),""))</f>
        <v/>
      </c>
      <c r="L226" s="119" t="str">
        <f aca="false">IF(J226="","",IF(ISNUMBER(MATCH(J226,Rider_Master[Rider ID],0)),1,0))</f>
        <v/>
      </c>
      <c r="M226" s="119" t="str">
        <f aca="false">IF(J226="","",INDEX(Rider_Input[Completed Orders],I226))</f>
        <v/>
      </c>
      <c r="N226" s="119" t="str">
        <f aca="false">IF(OR(J226="",K226=""),"",IFERROR(INDEX(RLVL_Data,K226,c_RLVL_Orders),""))</f>
        <v/>
      </c>
      <c r="O226" s="119" t="str">
        <f aca="false">IF(J226="","",IF(COUNTIF($J$6:$J$505,J226)&gt;1,1,0))</f>
        <v/>
      </c>
      <c r="P226" s="119" t="str">
        <f aca="false">IF(J226="","",IF(K226="","Not found in Paste_RLVL – deductions set to 0; ","")&amp;IF(L226=0,"New rider (not in Rider_Master) – OK, shown as Rider &lt;ID&gt;; ","")&amp;IF(AND(N226&lt;&gt;"",N226&lt;&gt;M226),"Orders differ: FTR "&amp;M226&amp;" vs RLVL "&amp;N226&amp;"; ","")&amp;IF(O226=1,"Duplicate Rider ID; ",""))</f>
        <v/>
      </c>
      <c r="Q226" s="119" t="str">
        <f aca="false">IF(P226="","",COUNTIF(P$6:P226,"?*"))</f>
        <v/>
      </c>
    </row>
    <row r="227" customFormat="false" ht="15" hidden="false" customHeight="false" outlineLevel="0" collapsed="false">
      <c r="I227" s="119" t="n">
        <v>222</v>
      </c>
      <c r="J227" s="119" t="str">
        <f aca="false">IFERROR(IF(INDEX(Rider_Input[Rider ID],I227)="","",INDEX(Rider_Input[Rider ID],I227)),"")</f>
        <v/>
      </c>
      <c r="K227" s="119" t="str">
        <f aca="false">IF(J227="","",IFERROR(MATCH(J227,INDEX(RLVL_Data,0,c_RLVL_ID),0),""))</f>
        <v/>
      </c>
      <c r="L227" s="119" t="str">
        <f aca="false">IF(J227="","",IF(ISNUMBER(MATCH(J227,Rider_Master[Rider ID],0)),1,0))</f>
        <v/>
      </c>
      <c r="M227" s="119" t="str">
        <f aca="false">IF(J227="","",INDEX(Rider_Input[Completed Orders],I227))</f>
        <v/>
      </c>
      <c r="N227" s="119" t="str">
        <f aca="false">IF(OR(J227="",K227=""),"",IFERROR(INDEX(RLVL_Data,K227,c_RLVL_Orders),""))</f>
        <v/>
      </c>
      <c r="O227" s="119" t="str">
        <f aca="false">IF(J227="","",IF(COUNTIF($J$6:$J$505,J227)&gt;1,1,0))</f>
        <v/>
      </c>
      <c r="P227" s="119" t="str">
        <f aca="false">IF(J227="","",IF(K227="","Not found in Paste_RLVL – deductions set to 0; ","")&amp;IF(L227=0,"New rider (not in Rider_Master) – OK, shown as Rider &lt;ID&gt;; ","")&amp;IF(AND(N227&lt;&gt;"",N227&lt;&gt;M227),"Orders differ: FTR "&amp;M227&amp;" vs RLVL "&amp;N227&amp;"; ","")&amp;IF(O227=1,"Duplicate Rider ID; ",""))</f>
        <v/>
      </c>
      <c r="Q227" s="119" t="str">
        <f aca="false">IF(P227="","",COUNTIF(P$6:P227,"?*"))</f>
        <v/>
      </c>
    </row>
    <row r="228" customFormat="false" ht="15" hidden="false" customHeight="false" outlineLevel="0" collapsed="false">
      <c r="I228" s="119" t="n">
        <v>223</v>
      </c>
      <c r="J228" s="119" t="str">
        <f aca="false">IFERROR(IF(INDEX(Rider_Input[Rider ID],I228)="","",INDEX(Rider_Input[Rider ID],I228)),"")</f>
        <v/>
      </c>
      <c r="K228" s="119" t="str">
        <f aca="false">IF(J228="","",IFERROR(MATCH(J228,INDEX(RLVL_Data,0,c_RLVL_ID),0),""))</f>
        <v/>
      </c>
      <c r="L228" s="119" t="str">
        <f aca="false">IF(J228="","",IF(ISNUMBER(MATCH(J228,Rider_Master[Rider ID],0)),1,0))</f>
        <v/>
      </c>
      <c r="M228" s="119" t="str">
        <f aca="false">IF(J228="","",INDEX(Rider_Input[Completed Orders],I228))</f>
        <v/>
      </c>
      <c r="N228" s="119" t="str">
        <f aca="false">IF(OR(J228="",K228=""),"",IFERROR(INDEX(RLVL_Data,K228,c_RLVL_Orders),""))</f>
        <v/>
      </c>
      <c r="O228" s="119" t="str">
        <f aca="false">IF(J228="","",IF(COUNTIF($J$6:$J$505,J228)&gt;1,1,0))</f>
        <v/>
      </c>
      <c r="P228" s="119" t="str">
        <f aca="false">IF(J228="","",IF(K228="","Not found in Paste_RLVL – deductions set to 0; ","")&amp;IF(L228=0,"New rider (not in Rider_Master) – OK, shown as Rider &lt;ID&gt;; ","")&amp;IF(AND(N228&lt;&gt;"",N228&lt;&gt;M228),"Orders differ: FTR "&amp;M228&amp;" vs RLVL "&amp;N228&amp;"; ","")&amp;IF(O228=1,"Duplicate Rider ID; ",""))</f>
        <v/>
      </c>
      <c r="Q228" s="119" t="str">
        <f aca="false">IF(P228="","",COUNTIF(P$6:P228,"?*"))</f>
        <v/>
      </c>
    </row>
    <row r="229" customFormat="false" ht="15" hidden="false" customHeight="false" outlineLevel="0" collapsed="false">
      <c r="I229" s="119" t="n">
        <v>224</v>
      </c>
      <c r="J229" s="119" t="str">
        <f aca="false">IFERROR(IF(INDEX(Rider_Input[Rider ID],I229)="","",INDEX(Rider_Input[Rider ID],I229)),"")</f>
        <v/>
      </c>
      <c r="K229" s="119" t="str">
        <f aca="false">IF(J229="","",IFERROR(MATCH(J229,INDEX(RLVL_Data,0,c_RLVL_ID),0),""))</f>
        <v/>
      </c>
      <c r="L229" s="119" t="str">
        <f aca="false">IF(J229="","",IF(ISNUMBER(MATCH(J229,Rider_Master[Rider ID],0)),1,0))</f>
        <v/>
      </c>
      <c r="M229" s="119" t="str">
        <f aca="false">IF(J229="","",INDEX(Rider_Input[Completed Orders],I229))</f>
        <v/>
      </c>
      <c r="N229" s="119" t="str">
        <f aca="false">IF(OR(J229="",K229=""),"",IFERROR(INDEX(RLVL_Data,K229,c_RLVL_Orders),""))</f>
        <v/>
      </c>
      <c r="O229" s="119" t="str">
        <f aca="false">IF(J229="","",IF(COUNTIF($J$6:$J$505,J229)&gt;1,1,0))</f>
        <v/>
      </c>
      <c r="P229" s="119" t="str">
        <f aca="false">IF(J229="","",IF(K229="","Not found in Paste_RLVL – deductions set to 0; ","")&amp;IF(L229=0,"New rider (not in Rider_Master) – OK, shown as Rider &lt;ID&gt;; ","")&amp;IF(AND(N229&lt;&gt;"",N229&lt;&gt;M229),"Orders differ: FTR "&amp;M229&amp;" vs RLVL "&amp;N229&amp;"; ","")&amp;IF(O229=1,"Duplicate Rider ID; ",""))</f>
        <v/>
      </c>
      <c r="Q229" s="119" t="str">
        <f aca="false">IF(P229="","",COUNTIF(P$6:P229,"?*"))</f>
        <v/>
      </c>
    </row>
    <row r="230" customFormat="false" ht="15" hidden="false" customHeight="false" outlineLevel="0" collapsed="false">
      <c r="I230" s="119" t="n">
        <v>225</v>
      </c>
      <c r="J230" s="119" t="str">
        <f aca="false">IFERROR(IF(INDEX(Rider_Input[Rider ID],I230)="","",INDEX(Rider_Input[Rider ID],I230)),"")</f>
        <v/>
      </c>
      <c r="K230" s="119" t="str">
        <f aca="false">IF(J230="","",IFERROR(MATCH(J230,INDEX(RLVL_Data,0,c_RLVL_ID),0),""))</f>
        <v/>
      </c>
      <c r="L230" s="119" t="str">
        <f aca="false">IF(J230="","",IF(ISNUMBER(MATCH(J230,Rider_Master[Rider ID],0)),1,0))</f>
        <v/>
      </c>
      <c r="M230" s="119" t="str">
        <f aca="false">IF(J230="","",INDEX(Rider_Input[Completed Orders],I230))</f>
        <v/>
      </c>
      <c r="N230" s="119" t="str">
        <f aca="false">IF(OR(J230="",K230=""),"",IFERROR(INDEX(RLVL_Data,K230,c_RLVL_Orders),""))</f>
        <v/>
      </c>
      <c r="O230" s="119" t="str">
        <f aca="false">IF(J230="","",IF(COUNTIF($J$6:$J$505,J230)&gt;1,1,0))</f>
        <v/>
      </c>
      <c r="P230" s="119" t="str">
        <f aca="false">IF(J230="","",IF(K230="","Not found in Paste_RLVL – deductions set to 0; ","")&amp;IF(L230=0,"New rider (not in Rider_Master) – OK, shown as Rider &lt;ID&gt;; ","")&amp;IF(AND(N230&lt;&gt;"",N230&lt;&gt;M230),"Orders differ: FTR "&amp;M230&amp;" vs RLVL "&amp;N230&amp;"; ","")&amp;IF(O230=1,"Duplicate Rider ID; ",""))</f>
        <v/>
      </c>
      <c r="Q230" s="119" t="str">
        <f aca="false">IF(P230="","",COUNTIF(P$6:P230,"?*"))</f>
        <v/>
      </c>
    </row>
    <row r="231" customFormat="false" ht="15" hidden="false" customHeight="false" outlineLevel="0" collapsed="false">
      <c r="I231" s="119" t="n">
        <v>226</v>
      </c>
      <c r="J231" s="119" t="str">
        <f aca="false">IFERROR(IF(INDEX(Rider_Input[Rider ID],I231)="","",INDEX(Rider_Input[Rider ID],I231)),"")</f>
        <v/>
      </c>
      <c r="K231" s="119" t="str">
        <f aca="false">IF(J231="","",IFERROR(MATCH(J231,INDEX(RLVL_Data,0,c_RLVL_ID),0),""))</f>
        <v/>
      </c>
      <c r="L231" s="119" t="str">
        <f aca="false">IF(J231="","",IF(ISNUMBER(MATCH(J231,Rider_Master[Rider ID],0)),1,0))</f>
        <v/>
      </c>
      <c r="M231" s="119" t="str">
        <f aca="false">IF(J231="","",INDEX(Rider_Input[Completed Orders],I231))</f>
        <v/>
      </c>
      <c r="N231" s="119" t="str">
        <f aca="false">IF(OR(J231="",K231=""),"",IFERROR(INDEX(RLVL_Data,K231,c_RLVL_Orders),""))</f>
        <v/>
      </c>
      <c r="O231" s="119" t="str">
        <f aca="false">IF(J231="","",IF(COUNTIF($J$6:$J$505,J231)&gt;1,1,0))</f>
        <v/>
      </c>
      <c r="P231" s="119" t="str">
        <f aca="false">IF(J231="","",IF(K231="","Not found in Paste_RLVL – deductions set to 0; ","")&amp;IF(L231=0,"New rider (not in Rider_Master) – OK, shown as Rider &lt;ID&gt;; ","")&amp;IF(AND(N231&lt;&gt;"",N231&lt;&gt;M231),"Orders differ: FTR "&amp;M231&amp;" vs RLVL "&amp;N231&amp;"; ","")&amp;IF(O231=1,"Duplicate Rider ID; ",""))</f>
        <v/>
      </c>
      <c r="Q231" s="119" t="str">
        <f aca="false">IF(P231="","",COUNTIF(P$6:P231,"?*"))</f>
        <v/>
      </c>
    </row>
    <row r="232" customFormat="false" ht="15" hidden="false" customHeight="false" outlineLevel="0" collapsed="false">
      <c r="I232" s="119" t="n">
        <v>227</v>
      </c>
      <c r="J232" s="119" t="str">
        <f aca="false">IFERROR(IF(INDEX(Rider_Input[Rider ID],I232)="","",INDEX(Rider_Input[Rider ID],I232)),"")</f>
        <v/>
      </c>
      <c r="K232" s="119" t="str">
        <f aca="false">IF(J232="","",IFERROR(MATCH(J232,INDEX(RLVL_Data,0,c_RLVL_ID),0),""))</f>
        <v/>
      </c>
      <c r="L232" s="119" t="str">
        <f aca="false">IF(J232="","",IF(ISNUMBER(MATCH(J232,Rider_Master[Rider ID],0)),1,0))</f>
        <v/>
      </c>
      <c r="M232" s="119" t="str">
        <f aca="false">IF(J232="","",INDEX(Rider_Input[Completed Orders],I232))</f>
        <v/>
      </c>
      <c r="N232" s="119" t="str">
        <f aca="false">IF(OR(J232="",K232=""),"",IFERROR(INDEX(RLVL_Data,K232,c_RLVL_Orders),""))</f>
        <v/>
      </c>
      <c r="O232" s="119" t="str">
        <f aca="false">IF(J232="","",IF(COUNTIF($J$6:$J$505,J232)&gt;1,1,0))</f>
        <v/>
      </c>
      <c r="P232" s="119" t="str">
        <f aca="false">IF(J232="","",IF(K232="","Not found in Paste_RLVL – deductions set to 0; ","")&amp;IF(L232=0,"New rider (not in Rider_Master) – OK, shown as Rider &lt;ID&gt;; ","")&amp;IF(AND(N232&lt;&gt;"",N232&lt;&gt;M232),"Orders differ: FTR "&amp;M232&amp;" vs RLVL "&amp;N232&amp;"; ","")&amp;IF(O232=1,"Duplicate Rider ID; ",""))</f>
        <v/>
      </c>
      <c r="Q232" s="119" t="str">
        <f aca="false">IF(P232="","",COUNTIF(P$6:P232,"?*"))</f>
        <v/>
      </c>
    </row>
    <row r="233" customFormat="false" ht="15" hidden="false" customHeight="false" outlineLevel="0" collapsed="false">
      <c r="I233" s="119" t="n">
        <v>228</v>
      </c>
      <c r="J233" s="119" t="str">
        <f aca="false">IFERROR(IF(INDEX(Rider_Input[Rider ID],I233)="","",INDEX(Rider_Input[Rider ID],I233)),"")</f>
        <v/>
      </c>
      <c r="K233" s="119" t="str">
        <f aca="false">IF(J233="","",IFERROR(MATCH(J233,INDEX(RLVL_Data,0,c_RLVL_ID),0),""))</f>
        <v/>
      </c>
      <c r="L233" s="119" t="str">
        <f aca="false">IF(J233="","",IF(ISNUMBER(MATCH(J233,Rider_Master[Rider ID],0)),1,0))</f>
        <v/>
      </c>
      <c r="M233" s="119" t="str">
        <f aca="false">IF(J233="","",INDEX(Rider_Input[Completed Orders],I233))</f>
        <v/>
      </c>
      <c r="N233" s="119" t="str">
        <f aca="false">IF(OR(J233="",K233=""),"",IFERROR(INDEX(RLVL_Data,K233,c_RLVL_Orders),""))</f>
        <v/>
      </c>
      <c r="O233" s="119" t="str">
        <f aca="false">IF(J233="","",IF(COUNTIF($J$6:$J$505,J233)&gt;1,1,0))</f>
        <v/>
      </c>
      <c r="P233" s="119" t="str">
        <f aca="false">IF(J233="","",IF(K233="","Not found in Paste_RLVL – deductions set to 0; ","")&amp;IF(L233=0,"New rider (not in Rider_Master) – OK, shown as Rider &lt;ID&gt;; ","")&amp;IF(AND(N233&lt;&gt;"",N233&lt;&gt;M233),"Orders differ: FTR "&amp;M233&amp;" vs RLVL "&amp;N233&amp;"; ","")&amp;IF(O233=1,"Duplicate Rider ID; ",""))</f>
        <v/>
      </c>
      <c r="Q233" s="119" t="str">
        <f aca="false">IF(P233="","",COUNTIF(P$6:P233,"?*"))</f>
        <v/>
      </c>
    </row>
    <row r="234" customFormat="false" ht="15" hidden="false" customHeight="false" outlineLevel="0" collapsed="false">
      <c r="I234" s="119" t="n">
        <v>229</v>
      </c>
      <c r="J234" s="119" t="str">
        <f aca="false">IFERROR(IF(INDEX(Rider_Input[Rider ID],I234)="","",INDEX(Rider_Input[Rider ID],I234)),"")</f>
        <v/>
      </c>
      <c r="K234" s="119" t="str">
        <f aca="false">IF(J234="","",IFERROR(MATCH(J234,INDEX(RLVL_Data,0,c_RLVL_ID),0),""))</f>
        <v/>
      </c>
      <c r="L234" s="119" t="str">
        <f aca="false">IF(J234="","",IF(ISNUMBER(MATCH(J234,Rider_Master[Rider ID],0)),1,0))</f>
        <v/>
      </c>
      <c r="M234" s="119" t="str">
        <f aca="false">IF(J234="","",INDEX(Rider_Input[Completed Orders],I234))</f>
        <v/>
      </c>
      <c r="N234" s="119" t="str">
        <f aca="false">IF(OR(J234="",K234=""),"",IFERROR(INDEX(RLVL_Data,K234,c_RLVL_Orders),""))</f>
        <v/>
      </c>
      <c r="O234" s="119" t="str">
        <f aca="false">IF(J234="","",IF(COUNTIF($J$6:$J$505,J234)&gt;1,1,0))</f>
        <v/>
      </c>
      <c r="P234" s="119" t="str">
        <f aca="false">IF(J234="","",IF(K234="","Not found in Paste_RLVL – deductions set to 0; ","")&amp;IF(L234=0,"New rider (not in Rider_Master) – OK, shown as Rider &lt;ID&gt;; ","")&amp;IF(AND(N234&lt;&gt;"",N234&lt;&gt;M234),"Orders differ: FTR "&amp;M234&amp;" vs RLVL "&amp;N234&amp;"; ","")&amp;IF(O234=1,"Duplicate Rider ID; ",""))</f>
        <v/>
      </c>
      <c r="Q234" s="119" t="str">
        <f aca="false">IF(P234="","",COUNTIF(P$6:P234,"?*"))</f>
        <v/>
      </c>
    </row>
    <row r="235" customFormat="false" ht="15" hidden="false" customHeight="false" outlineLevel="0" collapsed="false">
      <c r="I235" s="119" t="n">
        <v>230</v>
      </c>
      <c r="J235" s="119" t="str">
        <f aca="false">IFERROR(IF(INDEX(Rider_Input[Rider ID],I235)="","",INDEX(Rider_Input[Rider ID],I235)),"")</f>
        <v/>
      </c>
      <c r="K235" s="119" t="str">
        <f aca="false">IF(J235="","",IFERROR(MATCH(J235,INDEX(RLVL_Data,0,c_RLVL_ID),0),""))</f>
        <v/>
      </c>
      <c r="L235" s="119" t="str">
        <f aca="false">IF(J235="","",IF(ISNUMBER(MATCH(J235,Rider_Master[Rider ID],0)),1,0))</f>
        <v/>
      </c>
      <c r="M235" s="119" t="str">
        <f aca="false">IF(J235="","",INDEX(Rider_Input[Completed Orders],I235))</f>
        <v/>
      </c>
      <c r="N235" s="119" t="str">
        <f aca="false">IF(OR(J235="",K235=""),"",IFERROR(INDEX(RLVL_Data,K235,c_RLVL_Orders),""))</f>
        <v/>
      </c>
      <c r="O235" s="119" t="str">
        <f aca="false">IF(J235="","",IF(COUNTIF($J$6:$J$505,J235)&gt;1,1,0))</f>
        <v/>
      </c>
      <c r="P235" s="119" t="str">
        <f aca="false">IF(J235="","",IF(K235="","Not found in Paste_RLVL – deductions set to 0; ","")&amp;IF(L235=0,"New rider (not in Rider_Master) – OK, shown as Rider &lt;ID&gt;; ","")&amp;IF(AND(N235&lt;&gt;"",N235&lt;&gt;M235),"Orders differ: FTR "&amp;M235&amp;" vs RLVL "&amp;N235&amp;"; ","")&amp;IF(O235=1,"Duplicate Rider ID; ",""))</f>
        <v/>
      </c>
      <c r="Q235" s="119" t="str">
        <f aca="false">IF(P235="","",COUNTIF(P$6:P235,"?*"))</f>
        <v/>
      </c>
    </row>
    <row r="236" customFormat="false" ht="15" hidden="false" customHeight="false" outlineLevel="0" collapsed="false">
      <c r="I236" s="119" t="n">
        <v>231</v>
      </c>
      <c r="J236" s="119" t="str">
        <f aca="false">IFERROR(IF(INDEX(Rider_Input[Rider ID],I236)="","",INDEX(Rider_Input[Rider ID],I236)),"")</f>
        <v/>
      </c>
      <c r="K236" s="119" t="str">
        <f aca="false">IF(J236="","",IFERROR(MATCH(J236,INDEX(RLVL_Data,0,c_RLVL_ID),0),""))</f>
        <v/>
      </c>
      <c r="L236" s="119" t="str">
        <f aca="false">IF(J236="","",IF(ISNUMBER(MATCH(J236,Rider_Master[Rider ID],0)),1,0))</f>
        <v/>
      </c>
      <c r="M236" s="119" t="str">
        <f aca="false">IF(J236="","",INDEX(Rider_Input[Completed Orders],I236))</f>
        <v/>
      </c>
      <c r="N236" s="119" t="str">
        <f aca="false">IF(OR(J236="",K236=""),"",IFERROR(INDEX(RLVL_Data,K236,c_RLVL_Orders),""))</f>
        <v/>
      </c>
      <c r="O236" s="119" t="str">
        <f aca="false">IF(J236="","",IF(COUNTIF($J$6:$J$505,J236)&gt;1,1,0))</f>
        <v/>
      </c>
      <c r="P236" s="119" t="str">
        <f aca="false">IF(J236="","",IF(K236="","Not found in Paste_RLVL – deductions set to 0; ","")&amp;IF(L236=0,"New rider (not in Rider_Master) – OK, shown as Rider &lt;ID&gt;; ","")&amp;IF(AND(N236&lt;&gt;"",N236&lt;&gt;M236),"Orders differ: FTR "&amp;M236&amp;" vs RLVL "&amp;N236&amp;"; ","")&amp;IF(O236=1,"Duplicate Rider ID; ",""))</f>
        <v/>
      </c>
      <c r="Q236" s="119" t="str">
        <f aca="false">IF(P236="","",COUNTIF(P$6:P236,"?*"))</f>
        <v/>
      </c>
    </row>
    <row r="237" customFormat="false" ht="15" hidden="false" customHeight="false" outlineLevel="0" collapsed="false">
      <c r="I237" s="119" t="n">
        <v>232</v>
      </c>
      <c r="J237" s="119" t="str">
        <f aca="false">IFERROR(IF(INDEX(Rider_Input[Rider ID],I237)="","",INDEX(Rider_Input[Rider ID],I237)),"")</f>
        <v/>
      </c>
      <c r="K237" s="119" t="str">
        <f aca="false">IF(J237="","",IFERROR(MATCH(J237,INDEX(RLVL_Data,0,c_RLVL_ID),0),""))</f>
        <v/>
      </c>
      <c r="L237" s="119" t="str">
        <f aca="false">IF(J237="","",IF(ISNUMBER(MATCH(J237,Rider_Master[Rider ID],0)),1,0))</f>
        <v/>
      </c>
      <c r="M237" s="119" t="str">
        <f aca="false">IF(J237="","",INDEX(Rider_Input[Completed Orders],I237))</f>
        <v/>
      </c>
      <c r="N237" s="119" t="str">
        <f aca="false">IF(OR(J237="",K237=""),"",IFERROR(INDEX(RLVL_Data,K237,c_RLVL_Orders),""))</f>
        <v/>
      </c>
      <c r="O237" s="119" t="str">
        <f aca="false">IF(J237="","",IF(COUNTIF($J$6:$J$505,J237)&gt;1,1,0))</f>
        <v/>
      </c>
      <c r="P237" s="119" t="str">
        <f aca="false">IF(J237="","",IF(K237="","Not found in Paste_RLVL – deductions set to 0; ","")&amp;IF(L237=0,"New rider (not in Rider_Master) – OK, shown as Rider &lt;ID&gt;; ","")&amp;IF(AND(N237&lt;&gt;"",N237&lt;&gt;M237),"Orders differ: FTR "&amp;M237&amp;" vs RLVL "&amp;N237&amp;"; ","")&amp;IF(O237=1,"Duplicate Rider ID; ",""))</f>
        <v/>
      </c>
      <c r="Q237" s="119" t="str">
        <f aca="false">IF(P237="","",COUNTIF(P$6:P237,"?*"))</f>
        <v/>
      </c>
    </row>
    <row r="238" customFormat="false" ht="15" hidden="false" customHeight="false" outlineLevel="0" collapsed="false">
      <c r="I238" s="119" t="n">
        <v>233</v>
      </c>
      <c r="J238" s="119" t="str">
        <f aca="false">IFERROR(IF(INDEX(Rider_Input[Rider ID],I238)="","",INDEX(Rider_Input[Rider ID],I238)),"")</f>
        <v/>
      </c>
      <c r="K238" s="119" t="str">
        <f aca="false">IF(J238="","",IFERROR(MATCH(J238,INDEX(RLVL_Data,0,c_RLVL_ID),0),""))</f>
        <v/>
      </c>
      <c r="L238" s="119" t="str">
        <f aca="false">IF(J238="","",IF(ISNUMBER(MATCH(J238,Rider_Master[Rider ID],0)),1,0))</f>
        <v/>
      </c>
      <c r="M238" s="119" t="str">
        <f aca="false">IF(J238="","",INDEX(Rider_Input[Completed Orders],I238))</f>
        <v/>
      </c>
      <c r="N238" s="119" t="str">
        <f aca="false">IF(OR(J238="",K238=""),"",IFERROR(INDEX(RLVL_Data,K238,c_RLVL_Orders),""))</f>
        <v/>
      </c>
      <c r="O238" s="119" t="str">
        <f aca="false">IF(J238="","",IF(COUNTIF($J$6:$J$505,J238)&gt;1,1,0))</f>
        <v/>
      </c>
      <c r="P238" s="119" t="str">
        <f aca="false">IF(J238="","",IF(K238="","Not found in Paste_RLVL – deductions set to 0; ","")&amp;IF(L238=0,"New rider (not in Rider_Master) – OK, shown as Rider &lt;ID&gt;; ","")&amp;IF(AND(N238&lt;&gt;"",N238&lt;&gt;M238),"Orders differ: FTR "&amp;M238&amp;" vs RLVL "&amp;N238&amp;"; ","")&amp;IF(O238=1,"Duplicate Rider ID; ",""))</f>
        <v/>
      </c>
      <c r="Q238" s="119" t="str">
        <f aca="false">IF(P238="","",COUNTIF(P$6:P238,"?*"))</f>
        <v/>
      </c>
    </row>
    <row r="239" customFormat="false" ht="15" hidden="false" customHeight="false" outlineLevel="0" collapsed="false">
      <c r="I239" s="119" t="n">
        <v>234</v>
      </c>
      <c r="J239" s="119" t="str">
        <f aca="false">IFERROR(IF(INDEX(Rider_Input[Rider ID],I239)="","",INDEX(Rider_Input[Rider ID],I239)),"")</f>
        <v/>
      </c>
      <c r="K239" s="119" t="str">
        <f aca="false">IF(J239="","",IFERROR(MATCH(J239,INDEX(RLVL_Data,0,c_RLVL_ID),0),""))</f>
        <v/>
      </c>
      <c r="L239" s="119" t="str">
        <f aca="false">IF(J239="","",IF(ISNUMBER(MATCH(J239,Rider_Master[Rider ID],0)),1,0))</f>
        <v/>
      </c>
      <c r="M239" s="119" t="str">
        <f aca="false">IF(J239="","",INDEX(Rider_Input[Completed Orders],I239))</f>
        <v/>
      </c>
      <c r="N239" s="119" t="str">
        <f aca="false">IF(OR(J239="",K239=""),"",IFERROR(INDEX(RLVL_Data,K239,c_RLVL_Orders),""))</f>
        <v/>
      </c>
      <c r="O239" s="119" t="str">
        <f aca="false">IF(J239="","",IF(COUNTIF($J$6:$J$505,J239)&gt;1,1,0))</f>
        <v/>
      </c>
      <c r="P239" s="119" t="str">
        <f aca="false">IF(J239="","",IF(K239="","Not found in Paste_RLVL – deductions set to 0; ","")&amp;IF(L239=0,"New rider (not in Rider_Master) – OK, shown as Rider &lt;ID&gt;; ","")&amp;IF(AND(N239&lt;&gt;"",N239&lt;&gt;M239),"Orders differ: FTR "&amp;M239&amp;" vs RLVL "&amp;N239&amp;"; ","")&amp;IF(O239=1,"Duplicate Rider ID; ",""))</f>
        <v/>
      </c>
      <c r="Q239" s="119" t="str">
        <f aca="false">IF(P239="","",COUNTIF(P$6:P239,"?*"))</f>
        <v/>
      </c>
    </row>
    <row r="240" customFormat="false" ht="15" hidden="false" customHeight="false" outlineLevel="0" collapsed="false">
      <c r="I240" s="119" t="n">
        <v>235</v>
      </c>
      <c r="J240" s="119" t="str">
        <f aca="false">IFERROR(IF(INDEX(Rider_Input[Rider ID],I240)="","",INDEX(Rider_Input[Rider ID],I240)),"")</f>
        <v/>
      </c>
      <c r="K240" s="119" t="str">
        <f aca="false">IF(J240="","",IFERROR(MATCH(J240,INDEX(RLVL_Data,0,c_RLVL_ID),0),""))</f>
        <v/>
      </c>
      <c r="L240" s="119" t="str">
        <f aca="false">IF(J240="","",IF(ISNUMBER(MATCH(J240,Rider_Master[Rider ID],0)),1,0))</f>
        <v/>
      </c>
      <c r="M240" s="119" t="str">
        <f aca="false">IF(J240="","",INDEX(Rider_Input[Completed Orders],I240))</f>
        <v/>
      </c>
      <c r="N240" s="119" t="str">
        <f aca="false">IF(OR(J240="",K240=""),"",IFERROR(INDEX(RLVL_Data,K240,c_RLVL_Orders),""))</f>
        <v/>
      </c>
      <c r="O240" s="119" t="str">
        <f aca="false">IF(J240="","",IF(COUNTIF($J$6:$J$505,J240)&gt;1,1,0))</f>
        <v/>
      </c>
      <c r="P240" s="119" t="str">
        <f aca="false">IF(J240="","",IF(K240="","Not found in Paste_RLVL – deductions set to 0; ","")&amp;IF(L240=0,"New rider (not in Rider_Master) – OK, shown as Rider &lt;ID&gt;; ","")&amp;IF(AND(N240&lt;&gt;"",N240&lt;&gt;M240),"Orders differ: FTR "&amp;M240&amp;" vs RLVL "&amp;N240&amp;"; ","")&amp;IF(O240=1,"Duplicate Rider ID; ",""))</f>
        <v/>
      </c>
      <c r="Q240" s="119" t="str">
        <f aca="false">IF(P240="","",COUNTIF(P$6:P240,"?*"))</f>
        <v/>
      </c>
    </row>
    <row r="241" customFormat="false" ht="15" hidden="false" customHeight="false" outlineLevel="0" collapsed="false">
      <c r="I241" s="119" t="n">
        <v>236</v>
      </c>
      <c r="J241" s="119" t="str">
        <f aca="false">IFERROR(IF(INDEX(Rider_Input[Rider ID],I241)="","",INDEX(Rider_Input[Rider ID],I241)),"")</f>
        <v/>
      </c>
      <c r="K241" s="119" t="str">
        <f aca="false">IF(J241="","",IFERROR(MATCH(J241,INDEX(RLVL_Data,0,c_RLVL_ID),0),""))</f>
        <v/>
      </c>
      <c r="L241" s="119" t="str">
        <f aca="false">IF(J241="","",IF(ISNUMBER(MATCH(J241,Rider_Master[Rider ID],0)),1,0))</f>
        <v/>
      </c>
      <c r="M241" s="119" t="str">
        <f aca="false">IF(J241="","",INDEX(Rider_Input[Completed Orders],I241))</f>
        <v/>
      </c>
      <c r="N241" s="119" t="str">
        <f aca="false">IF(OR(J241="",K241=""),"",IFERROR(INDEX(RLVL_Data,K241,c_RLVL_Orders),""))</f>
        <v/>
      </c>
      <c r="O241" s="119" t="str">
        <f aca="false">IF(J241="","",IF(COUNTIF($J$6:$J$505,J241)&gt;1,1,0))</f>
        <v/>
      </c>
      <c r="P241" s="119" t="str">
        <f aca="false">IF(J241="","",IF(K241="","Not found in Paste_RLVL – deductions set to 0; ","")&amp;IF(L241=0,"New rider (not in Rider_Master) – OK, shown as Rider &lt;ID&gt;; ","")&amp;IF(AND(N241&lt;&gt;"",N241&lt;&gt;M241),"Orders differ: FTR "&amp;M241&amp;" vs RLVL "&amp;N241&amp;"; ","")&amp;IF(O241=1,"Duplicate Rider ID; ",""))</f>
        <v/>
      </c>
      <c r="Q241" s="119" t="str">
        <f aca="false">IF(P241="","",COUNTIF(P$6:P241,"?*"))</f>
        <v/>
      </c>
    </row>
    <row r="242" customFormat="false" ht="15" hidden="false" customHeight="false" outlineLevel="0" collapsed="false">
      <c r="I242" s="119" t="n">
        <v>237</v>
      </c>
      <c r="J242" s="119" t="str">
        <f aca="false">IFERROR(IF(INDEX(Rider_Input[Rider ID],I242)="","",INDEX(Rider_Input[Rider ID],I242)),"")</f>
        <v/>
      </c>
      <c r="K242" s="119" t="str">
        <f aca="false">IF(J242="","",IFERROR(MATCH(J242,INDEX(RLVL_Data,0,c_RLVL_ID),0),""))</f>
        <v/>
      </c>
      <c r="L242" s="119" t="str">
        <f aca="false">IF(J242="","",IF(ISNUMBER(MATCH(J242,Rider_Master[Rider ID],0)),1,0))</f>
        <v/>
      </c>
      <c r="M242" s="119" t="str">
        <f aca="false">IF(J242="","",INDEX(Rider_Input[Completed Orders],I242))</f>
        <v/>
      </c>
      <c r="N242" s="119" t="str">
        <f aca="false">IF(OR(J242="",K242=""),"",IFERROR(INDEX(RLVL_Data,K242,c_RLVL_Orders),""))</f>
        <v/>
      </c>
      <c r="O242" s="119" t="str">
        <f aca="false">IF(J242="","",IF(COUNTIF($J$6:$J$505,J242)&gt;1,1,0))</f>
        <v/>
      </c>
      <c r="P242" s="119" t="str">
        <f aca="false">IF(J242="","",IF(K242="","Not found in Paste_RLVL – deductions set to 0; ","")&amp;IF(L242=0,"New rider (not in Rider_Master) – OK, shown as Rider &lt;ID&gt;; ","")&amp;IF(AND(N242&lt;&gt;"",N242&lt;&gt;M242),"Orders differ: FTR "&amp;M242&amp;" vs RLVL "&amp;N242&amp;"; ","")&amp;IF(O242=1,"Duplicate Rider ID; ",""))</f>
        <v/>
      </c>
      <c r="Q242" s="119" t="str">
        <f aca="false">IF(P242="","",COUNTIF(P$6:P242,"?*"))</f>
        <v/>
      </c>
    </row>
    <row r="243" customFormat="false" ht="15" hidden="false" customHeight="false" outlineLevel="0" collapsed="false">
      <c r="I243" s="119" t="n">
        <v>238</v>
      </c>
      <c r="J243" s="119" t="str">
        <f aca="false">IFERROR(IF(INDEX(Rider_Input[Rider ID],I243)="","",INDEX(Rider_Input[Rider ID],I243)),"")</f>
        <v/>
      </c>
      <c r="K243" s="119" t="str">
        <f aca="false">IF(J243="","",IFERROR(MATCH(J243,INDEX(RLVL_Data,0,c_RLVL_ID),0),""))</f>
        <v/>
      </c>
      <c r="L243" s="119" t="str">
        <f aca="false">IF(J243="","",IF(ISNUMBER(MATCH(J243,Rider_Master[Rider ID],0)),1,0))</f>
        <v/>
      </c>
      <c r="M243" s="119" t="str">
        <f aca="false">IF(J243="","",INDEX(Rider_Input[Completed Orders],I243))</f>
        <v/>
      </c>
      <c r="N243" s="119" t="str">
        <f aca="false">IF(OR(J243="",K243=""),"",IFERROR(INDEX(RLVL_Data,K243,c_RLVL_Orders),""))</f>
        <v/>
      </c>
      <c r="O243" s="119" t="str">
        <f aca="false">IF(J243="","",IF(COUNTIF($J$6:$J$505,J243)&gt;1,1,0))</f>
        <v/>
      </c>
      <c r="P243" s="119" t="str">
        <f aca="false">IF(J243="","",IF(K243="","Not found in Paste_RLVL – deductions set to 0; ","")&amp;IF(L243=0,"New rider (not in Rider_Master) – OK, shown as Rider &lt;ID&gt;; ","")&amp;IF(AND(N243&lt;&gt;"",N243&lt;&gt;M243),"Orders differ: FTR "&amp;M243&amp;" vs RLVL "&amp;N243&amp;"; ","")&amp;IF(O243=1,"Duplicate Rider ID; ",""))</f>
        <v/>
      </c>
      <c r="Q243" s="119" t="str">
        <f aca="false">IF(P243="","",COUNTIF(P$6:P243,"?*"))</f>
        <v/>
      </c>
    </row>
    <row r="244" customFormat="false" ht="15" hidden="false" customHeight="false" outlineLevel="0" collapsed="false">
      <c r="I244" s="119" t="n">
        <v>239</v>
      </c>
      <c r="J244" s="119" t="str">
        <f aca="false">IFERROR(IF(INDEX(Rider_Input[Rider ID],I244)="","",INDEX(Rider_Input[Rider ID],I244)),"")</f>
        <v/>
      </c>
      <c r="K244" s="119" t="str">
        <f aca="false">IF(J244="","",IFERROR(MATCH(J244,INDEX(RLVL_Data,0,c_RLVL_ID),0),""))</f>
        <v/>
      </c>
      <c r="L244" s="119" t="str">
        <f aca="false">IF(J244="","",IF(ISNUMBER(MATCH(J244,Rider_Master[Rider ID],0)),1,0))</f>
        <v/>
      </c>
      <c r="M244" s="119" t="str">
        <f aca="false">IF(J244="","",INDEX(Rider_Input[Completed Orders],I244))</f>
        <v/>
      </c>
      <c r="N244" s="119" t="str">
        <f aca="false">IF(OR(J244="",K244=""),"",IFERROR(INDEX(RLVL_Data,K244,c_RLVL_Orders),""))</f>
        <v/>
      </c>
      <c r="O244" s="119" t="str">
        <f aca="false">IF(J244="","",IF(COUNTIF($J$6:$J$505,J244)&gt;1,1,0))</f>
        <v/>
      </c>
      <c r="P244" s="119" t="str">
        <f aca="false">IF(J244="","",IF(K244="","Not found in Paste_RLVL – deductions set to 0; ","")&amp;IF(L244=0,"New rider (not in Rider_Master) – OK, shown as Rider &lt;ID&gt;; ","")&amp;IF(AND(N244&lt;&gt;"",N244&lt;&gt;M244),"Orders differ: FTR "&amp;M244&amp;" vs RLVL "&amp;N244&amp;"; ","")&amp;IF(O244=1,"Duplicate Rider ID; ",""))</f>
        <v/>
      </c>
      <c r="Q244" s="119" t="str">
        <f aca="false">IF(P244="","",COUNTIF(P$6:P244,"?*"))</f>
        <v/>
      </c>
    </row>
    <row r="245" customFormat="false" ht="15" hidden="false" customHeight="false" outlineLevel="0" collapsed="false">
      <c r="I245" s="119" t="n">
        <v>240</v>
      </c>
      <c r="J245" s="119" t="str">
        <f aca="false">IFERROR(IF(INDEX(Rider_Input[Rider ID],I245)="","",INDEX(Rider_Input[Rider ID],I245)),"")</f>
        <v/>
      </c>
      <c r="K245" s="119" t="str">
        <f aca="false">IF(J245="","",IFERROR(MATCH(J245,INDEX(RLVL_Data,0,c_RLVL_ID),0),""))</f>
        <v/>
      </c>
      <c r="L245" s="119" t="str">
        <f aca="false">IF(J245="","",IF(ISNUMBER(MATCH(J245,Rider_Master[Rider ID],0)),1,0))</f>
        <v/>
      </c>
      <c r="M245" s="119" t="str">
        <f aca="false">IF(J245="","",INDEX(Rider_Input[Completed Orders],I245))</f>
        <v/>
      </c>
      <c r="N245" s="119" t="str">
        <f aca="false">IF(OR(J245="",K245=""),"",IFERROR(INDEX(RLVL_Data,K245,c_RLVL_Orders),""))</f>
        <v/>
      </c>
      <c r="O245" s="119" t="str">
        <f aca="false">IF(J245="","",IF(COUNTIF($J$6:$J$505,J245)&gt;1,1,0))</f>
        <v/>
      </c>
      <c r="P245" s="119" t="str">
        <f aca="false">IF(J245="","",IF(K245="","Not found in Paste_RLVL – deductions set to 0; ","")&amp;IF(L245=0,"New rider (not in Rider_Master) – OK, shown as Rider &lt;ID&gt;; ","")&amp;IF(AND(N245&lt;&gt;"",N245&lt;&gt;M245),"Orders differ: FTR "&amp;M245&amp;" vs RLVL "&amp;N245&amp;"; ","")&amp;IF(O245=1,"Duplicate Rider ID; ",""))</f>
        <v/>
      </c>
      <c r="Q245" s="119" t="str">
        <f aca="false">IF(P245="","",COUNTIF(P$6:P245,"?*"))</f>
        <v/>
      </c>
    </row>
    <row r="246" customFormat="false" ht="15" hidden="false" customHeight="false" outlineLevel="0" collapsed="false">
      <c r="I246" s="119" t="n">
        <v>241</v>
      </c>
      <c r="J246" s="119" t="str">
        <f aca="false">IFERROR(IF(INDEX(Rider_Input[Rider ID],I246)="","",INDEX(Rider_Input[Rider ID],I246)),"")</f>
        <v/>
      </c>
      <c r="K246" s="119" t="str">
        <f aca="false">IF(J246="","",IFERROR(MATCH(J246,INDEX(RLVL_Data,0,c_RLVL_ID),0),""))</f>
        <v/>
      </c>
      <c r="L246" s="119" t="str">
        <f aca="false">IF(J246="","",IF(ISNUMBER(MATCH(J246,Rider_Master[Rider ID],0)),1,0))</f>
        <v/>
      </c>
      <c r="M246" s="119" t="str">
        <f aca="false">IF(J246="","",INDEX(Rider_Input[Completed Orders],I246))</f>
        <v/>
      </c>
      <c r="N246" s="119" t="str">
        <f aca="false">IF(OR(J246="",K246=""),"",IFERROR(INDEX(RLVL_Data,K246,c_RLVL_Orders),""))</f>
        <v/>
      </c>
      <c r="O246" s="119" t="str">
        <f aca="false">IF(J246="","",IF(COUNTIF($J$6:$J$505,J246)&gt;1,1,0))</f>
        <v/>
      </c>
      <c r="P246" s="119" t="str">
        <f aca="false">IF(J246="","",IF(K246="","Not found in Paste_RLVL – deductions set to 0; ","")&amp;IF(L246=0,"New rider (not in Rider_Master) – OK, shown as Rider &lt;ID&gt;; ","")&amp;IF(AND(N246&lt;&gt;"",N246&lt;&gt;M246),"Orders differ: FTR "&amp;M246&amp;" vs RLVL "&amp;N246&amp;"; ","")&amp;IF(O246=1,"Duplicate Rider ID; ",""))</f>
        <v/>
      </c>
      <c r="Q246" s="119" t="str">
        <f aca="false">IF(P246="","",COUNTIF(P$6:P246,"?*"))</f>
        <v/>
      </c>
    </row>
    <row r="247" customFormat="false" ht="15" hidden="false" customHeight="false" outlineLevel="0" collapsed="false">
      <c r="I247" s="119" t="n">
        <v>242</v>
      </c>
      <c r="J247" s="119" t="str">
        <f aca="false">IFERROR(IF(INDEX(Rider_Input[Rider ID],I247)="","",INDEX(Rider_Input[Rider ID],I247)),"")</f>
        <v/>
      </c>
      <c r="K247" s="119" t="str">
        <f aca="false">IF(J247="","",IFERROR(MATCH(J247,INDEX(RLVL_Data,0,c_RLVL_ID),0),""))</f>
        <v/>
      </c>
      <c r="L247" s="119" t="str">
        <f aca="false">IF(J247="","",IF(ISNUMBER(MATCH(J247,Rider_Master[Rider ID],0)),1,0))</f>
        <v/>
      </c>
      <c r="M247" s="119" t="str">
        <f aca="false">IF(J247="","",INDEX(Rider_Input[Completed Orders],I247))</f>
        <v/>
      </c>
      <c r="N247" s="119" t="str">
        <f aca="false">IF(OR(J247="",K247=""),"",IFERROR(INDEX(RLVL_Data,K247,c_RLVL_Orders),""))</f>
        <v/>
      </c>
      <c r="O247" s="119" t="str">
        <f aca="false">IF(J247="","",IF(COUNTIF($J$6:$J$505,J247)&gt;1,1,0))</f>
        <v/>
      </c>
      <c r="P247" s="119" t="str">
        <f aca="false">IF(J247="","",IF(K247="","Not found in Paste_RLVL – deductions set to 0; ","")&amp;IF(L247=0,"New rider (not in Rider_Master) – OK, shown as Rider &lt;ID&gt;; ","")&amp;IF(AND(N247&lt;&gt;"",N247&lt;&gt;M247),"Orders differ: FTR "&amp;M247&amp;" vs RLVL "&amp;N247&amp;"; ","")&amp;IF(O247=1,"Duplicate Rider ID; ",""))</f>
        <v/>
      </c>
      <c r="Q247" s="119" t="str">
        <f aca="false">IF(P247="","",COUNTIF(P$6:P247,"?*"))</f>
        <v/>
      </c>
    </row>
    <row r="248" customFormat="false" ht="15" hidden="false" customHeight="false" outlineLevel="0" collapsed="false">
      <c r="I248" s="119" t="n">
        <v>243</v>
      </c>
      <c r="J248" s="119" t="str">
        <f aca="false">IFERROR(IF(INDEX(Rider_Input[Rider ID],I248)="","",INDEX(Rider_Input[Rider ID],I248)),"")</f>
        <v/>
      </c>
      <c r="K248" s="119" t="str">
        <f aca="false">IF(J248="","",IFERROR(MATCH(J248,INDEX(RLVL_Data,0,c_RLVL_ID),0),""))</f>
        <v/>
      </c>
      <c r="L248" s="119" t="str">
        <f aca="false">IF(J248="","",IF(ISNUMBER(MATCH(J248,Rider_Master[Rider ID],0)),1,0))</f>
        <v/>
      </c>
      <c r="M248" s="119" t="str">
        <f aca="false">IF(J248="","",INDEX(Rider_Input[Completed Orders],I248))</f>
        <v/>
      </c>
      <c r="N248" s="119" t="str">
        <f aca="false">IF(OR(J248="",K248=""),"",IFERROR(INDEX(RLVL_Data,K248,c_RLVL_Orders),""))</f>
        <v/>
      </c>
      <c r="O248" s="119" t="str">
        <f aca="false">IF(J248="","",IF(COUNTIF($J$6:$J$505,J248)&gt;1,1,0))</f>
        <v/>
      </c>
      <c r="P248" s="119" t="str">
        <f aca="false">IF(J248="","",IF(K248="","Not found in Paste_RLVL – deductions set to 0; ","")&amp;IF(L248=0,"New rider (not in Rider_Master) – OK, shown as Rider &lt;ID&gt;; ","")&amp;IF(AND(N248&lt;&gt;"",N248&lt;&gt;M248),"Orders differ: FTR "&amp;M248&amp;" vs RLVL "&amp;N248&amp;"; ","")&amp;IF(O248=1,"Duplicate Rider ID; ",""))</f>
        <v/>
      </c>
      <c r="Q248" s="119" t="str">
        <f aca="false">IF(P248="","",COUNTIF(P$6:P248,"?*"))</f>
        <v/>
      </c>
    </row>
    <row r="249" customFormat="false" ht="15" hidden="false" customHeight="false" outlineLevel="0" collapsed="false">
      <c r="I249" s="119" t="n">
        <v>244</v>
      </c>
      <c r="J249" s="119" t="str">
        <f aca="false">IFERROR(IF(INDEX(Rider_Input[Rider ID],I249)="","",INDEX(Rider_Input[Rider ID],I249)),"")</f>
        <v/>
      </c>
      <c r="K249" s="119" t="str">
        <f aca="false">IF(J249="","",IFERROR(MATCH(J249,INDEX(RLVL_Data,0,c_RLVL_ID),0),""))</f>
        <v/>
      </c>
      <c r="L249" s="119" t="str">
        <f aca="false">IF(J249="","",IF(ISNUMBER(MATCH(J249,Rider_Master[Rider ID],0)),1,0))</f>
        <v/>
      </c>
      <c r="M249" s="119" t="str">
        <f aca="false">IF(J249="","",INDEX(Rider_Input[Completed Orders],I249))</f>
        <v/>
      </c>
      <c r="N249" s="119" t="str">
        <f aca="false">IF(OR(J249="",K249=""),"",IFERROR(INDEX(RLVL_Data,K249,c_RLVL_Orders),""))</f>
        <v/>
      </c>
      <c r="O249" s="119" t="str">
        <f aca="false">IF(J249="","",IF(COUNTIF($J$6:$J$505,J249)&gt;1,1,0))</f>
        <v/>
      </c>
      <c r="P249" s="119" t="str">
        <f aca="false">IF(J249="","",IF(K249="","Not found in Paste_RLVL – deductions set to 0; ","")&amp;IF(L249=0,"New rider (not in Rider_Master) – OK, shown as Rider &lt;ID&gt;; ","")&amp;IF(AND(N249&lt;&gt;"",N249&lt;&gt;M249),"Orders differ: FTR "&amp;M249&amp;" vs RLVL "&amp;N249&amp;"; ","")&amp;IF(O249=1,"Duplicate Rider ID; ",""))</f>
        <v/>
      </c>
      <c r="Q249" s="119" t="str">
        <f aca="false">IF(P249="","",COUNTIF(P$6:P249,"?*"))</f>
        <v/>
      </c>
    </row>
    <row r="250" customFormat="false" ht="15" hidden="false" customHeight="false" outlineLevel="0" collapsed="false">
      <c r="I250" s="119" t="n">
        <v>245</v>
      </c>
      <c r="J250" s="119" t="str">
        <f aca="false">IFERROR(IF(INDEX(Rider_Input[Rider ID],I250)="","",INDEX(Rider_Input[Rider ID],I250)),"")</f>
        <v/>
      </c>
      <c r="K250" s="119" t="str">
        <f aca="false">IF(J250="","",IFERROR(MATCH(J250,INDEX(RLVL_Data,0,c_RLVL_ID),0),""))</f>
        <v/>
      </c>
      <c r="L250" s="119" t="str">
        <f aca="false">IF(J250="","",IF(ISNUMBER(MATCH(J250,Rider_Master[Rider ID],0)),1,0))</f>
        <v/>
      </c>
      <c r="M250" s="119" t="str">
        <f aca="false">IF(J250="","",INDEX(Rider_Input[Completed Orders],I250))</f>
        <v/>
      </c>
      <c r="N250" s="119" t="str">
        <f aca="false">IF(OR(J250="",K250=""),"",IFERROR(INDEX(RLVL_Data,K250,c_RLVL_Orders),""))</f>
        <v/>
      </c>
      <c r="O250" s="119" t="str">
        <f aca="false">IF(J250="","",IF(COUNTIF($J$6:$J$505,J250)&gt;1,1,0))</f>
        <v/>
      </c>
      <c r="P250" s="119" t="str">
        <f aca="false">IF(J250="","",IF(K250="","Not found in Paste_RLVL – deductions set to 0; ","")&amp;IF(L250=0,"New rider (not in Rider_Master) – OK, shown as Rider &lt;ID&gt;; ","")&amp;IF(AND(N250&lt;&gt;"",N250&lt;&gt;M250),"Orders differ: FTR "&amp;M250&amp;" vs RLVL "&amp;N250&amp;"; ","")&amp;IF(O250=1,"Duplicate Rider ID; ",""))</f>
        <v/>
      </c>
      <c r="Q250" s="119" t="str">
        <f aca="false">IF(P250="","",COUNTIF(P$6:P250,"?*"))</f>
        <v/>
      </c>
    </row>
    <row r="251" customFormat="false" ht="15" hidden="false" customHeight="false" outlineLevel="0" collapsed="false">
      <c r="I251" s="119" t="n">
        <v>246</v>
      </c>
      <c r="J251" s="119" t="str">
        <f aca="false">IFERROR(IF(INDEX(Rider_Input[Rider ID],I251)="","",INDEX(Rider_Input[Rider ID],I251)),"")</f>
        <v/>
      </c>
      <c r="K251" s="119" t="str">
        <f aca="false">IF(J251="","",IFERROR(MATCH(J251,INDEX(RLVL_Data,0,c_RLVL_ID),0),""))</f>
        <v/>
      </c>
      <c r="L251" s="119" t="str">
        <f aca="false">IF(J251="","",IF(ISNUMBER(MATCH(J251,Rider_Master[Rider ID],0)),1,0))</f>
        <v/>
      </c>
      <c r="M251" s="119" t="str">
        <f aca="false">IF(J251="","",INDEX(Rider_Input[Completed Orders],I251))</f>
        <v/>
      </c>
      <c r="N251" s="119" t="str">
        <f aca="false">IF(OR(J251="",K251=""),"",IFERROR(INDEX(RLVL_Data,K251,c_RLVL_Orders),""))</f>
        <v/>
      </c>
      <c r="O251" s="119" t="str">
        <f aca="false">IF(J251="","",IF(COUNTIF($J$6:$J$505,J251)&gt;1,1,0))</f>
        <v/>
      </c>
      <c r="P251" s="119" t="str">
        <f aca="false">IF(J251="","",IF(K251="","Not found in Paste_RLVL – deductions set to 0; ","")&amp;IF(L251=0,"New rider (not in Rider_Master) – OK, shown as Rider &lt;ID&gt;; ","")&amp;IF(AND(N251&lt;&gt;"",N251&lt;&gt;M251),"Orders differ: FTR "&amp;M251&amp;" vs RLVL "&amp;N251&amp;"; ","")&amp;IF(O251=1,"Duplicate Rider ID; ",""))</f>
        <v/>
      </c>
      <c r="Q251" s="119" t="str">
        <f aca="false">IF(P251="","",COUNTIF(P$6:P251,"?*"))</f>
        <v/>
      </c>
    </row>
    <row r="252" customFormat="false" ht="15" hidden="false" customHeight="false" outlineLevel="0" collapsed="false">
      <c r="I252" s="119" t="n">
        <v>247</v>
      </c>
      <c r="J252" s="119" t="str">
        <f aca="false">IFERROR(IF(INDEX(Rider_Input[Rider ID],I252)="","",INDEX(Rider_Input[Rider ID],I252)),"")</f>
        <v/>
      </c>
      <c r="K252" s="119" t="str">
        <f aca="false">IF(J252="","",IFERROR(MATCH(J252,INDEX(RLVL_Data,0,c_RLVL_ID),0),""))</f>
        <v/>
      </c>
      <c r="L252" s="119" t="str">
        <f aca="false">IF(J252="","",IF(ISNUMBER(MATCH(J252,Rider_Master[Rider ID],0)),1,0))</f>
        <v/>
      </c>
      <c r="M252" s="119" t="str">
        <f aca="false">IF(J252="","",INDEX(Rider_Input[Completed Orders],I252))</f>
        <v/>
      </c>
      <c r="N252" s="119" t="str">
        <f aca="false">IF(OR(J252="",K252=""),"",IFERROR(INDEX(RLVL_Data,K252,c_RLVL_Orders),""))</f>
        <v/>
      </c>
      <c r="O252" s="119" t="str">
        <f aca="false">IF(J252="","",IF(COUNTIF($J$6:$J$505,J252)&gt;1,1,0))</f>
        <v/>
      </c>
      <c r="P252" s="119" t="str">
        <f aca="false">IF(J252="","",IF(K252="","Not found in Paste_RLVL – deductions set to 0; ","")&amp;IF(L252=0,"New rider (not in Rider_Master) – OK, shown as Rider &lt;ID&gt;; ","")&amp;IF(AND(N252&lt;&gt;"",N252&lt;&gt;M252),"Orders differ: FTR "&amp;M252&amp;" vs RLVL "&amp;N252&amp;"; ","")&amp;IF(O252=1,"Duplicate Rider ID; ",""))</f>
        <v/>
      </c>
      <c r="Q252" s="119" t="str">
        <f aca="false">IF(P252="","",COUNTIF(P$6:P252,"?*"))</f>
        <v/>
      </c>
    </row>
    <row r="253" customFormat="false" ht="15" hidden="false" customHeight="false" outlineLevel="0" collapsed="false">
      <c r="I253" s="119" t="n">
        <v>248</v>
      </c>
      <c r="J253" s="119" t="str">
        <f aca="false">IFERROR(IF(INDEX(Rider_Input[Rider ID],I253)="","",INDEX(Rider_Input[Rider ID],I253)),"")</f>
        <v/>
      </c>
      <c r="K253" s="119" t="str">
        <f aca="false">IF(J253="","",IFERROR(MATCH(J253,INDEX(RLVL_Data,0,c_RLVL_ID),0),""))</f>
        <v/>
      </c>
      <c r="L253" s="119" t="str">
        <f aca="false">IF(J253="","",IF(ISNUMBER(MATCH(J253,Rider_Master[Rider ID],0)),1,0))</f>
        <v/>
      </c>
      <c r="M253" s="119" t="str">
        <f aca="false">IF(J253="","",INDEX(Rider_Input[Completed Orders],I253))</f>
        <v/>
      </c>
      <c r="N253" s="119" t="str">
        <f aca="false">IF(OR(J253="",K253=""),"",IFERROR(INDEX(RLVL_Data,K253,c_RLVL_Orders),""))</f>
        <v/>
      </c>
      <c r="O253" s="119" t="str">
        <f aca="false">IF(J253="","",IF(COUNTIF($J$6:$J$505,J253)&gt;1,1,0))</f>
        <v/>
      </c>
      <c r="P253" s="119" t="str">
        <f aca="false">IF(J253="","",IF(K253="","Not found in Paste_RLVL – deductions set to 0; ","")&amp;IF(L253=0,"New rider (not in Rider_Master) – OK, shown as Rider &lt;ID&gt;; ","")&amp;IF(AND(N253&lt;&gt;"",N253&lt;&gt;M253),"Orders differ: FTR "&amp;M253&amp;" vs RLVL "&amp;N253&amp;"; ","")&amp;IF(O253=1,"Duplicate Rider ID; ",""))</f>
        <v/>
      </c>
      <c r="Q253" s="119" t="str">
        <f aca="false">IF(P253="","",COUNTIF(P$6:P253,"?*"))</f>
        <v/>
      </c>
    </row>
    <row r="254" customFormat="false" ht="15" hidden="false" customHeight="false" outlineLevel="0" collapsed="false">
      <c r="I254" s="119" t="n">
        <v>249</v>
      </c>
      <c r="J254" s="119" t="str">
        <f aca="false">IFERROR(IF(INDEX(Rider_Input[Rider ID],I254)="","",INDEX(Rider_Input[Rider ID],I254)),"")</f>
        <v/>
      </c>
      <c r="K254" s="119" t="str">
        <f aca="false">IF(J254="","",IFERROR(MATCH(J254,INDEX(RLVL_Data,0,c_RLVL_ID),0),""))</f>
        <v/>
      </c>
      <c r="L254" s="119" t="str">
        <f aca="false">IF(J254="","",IF(ISNUMBER(MATCH(J254,Rider_Master[Rider ID],0)),1,0))</f>
        <v/>
      </c>
      <c r="M254" s="119" t="str">
        <f aca="false">IF(J254="","",INDEX(Rider_Input[Completed Orders],I254))</f>
        <v/>
      </c>
      <c r="N254" s="119" t="str">
        <f aca="false">IF(OR(J254="",K254=""),"",IFERROR(INDEX(RLVL_Data,K254,c_RLVL_Orders),""))</f>
        <v/>
      </c>
      <c r="O254" s="119" t="str">
        <f aca="false">IF(J254="","",IF(COUNTIF($J$6:$J$505,J254)&gt;1,1,0))</f>
        <v/>
      </c>
      <c r="P254" s="119" t="str">
        <f aca="false">IF(J254="","",IF(K254="","Not found in Paste_RLVL – deductions set to 0; ","")&amp;IF(L254=0,"New rider (not in Rider_Master) – OK, shown as Rider &lt;ID&gt;; ","")&amp;IF(AND(N254&lt;&gt;"",N254&lt;&gt;M254),"Orders differ: FTR "&amp;M254&amp;" vs RLVL "&amp;N254&amp;"; ","")&amp;IF(O254=1,"Duplicate Rider ID; ",""))</f>
        <v/>
      </c>
      <c r="Q254" s="119" t="str">
        <f aca="false">IF(P254="","",COUNTIF(P$6:P254,"?*"))</f>
        <v/>
      </c>
    </row>
    <row r="255" customFormat="false" ht="15" hidden="false" customHeight="false" outlineLevel="0" collapsed="false">
      <c r="I255" s="119" t="n">
        <v>250</v>
      </c>
      <c r="J255" s="119" t="str">
        <f aca="false">IFERROR(IF(INDEX(Rider_Input[Rider ID],I255)="","",INDEX(Rider_Input[Rider ID],I255)),"")</f>
        <v/>
      </c>
      <c r="K255" s="119" t="str">
        <f aca="false">IF(J255="","",IFERROR(MATCH(J255,INDEX(RLVL_Data,0,c_RLVL_ID),0),""))</f>
        <v/>
      </c>
      <c r="L255" s="119" t="str">
        <f aca="false">IF(J255="","",IF(ISNUMBER(MATCH(J255,Rider_Master[Rider ID],0)),1,0))</f>
        <v/>
      </c>
      <c r="M255" s="119" t="str">
        <f aca="false">IF(J255="","",INDEX(Rider_Input[Completed Orders],I255))</f>
        <v/>
      </c>
      <c r="N255" s="119" t="str">
        <f aca="false">IF(OR(J255="",K255=""),"",IFERROR(INDEX(RLVL_Data,K255,c_RLVL_Orders),""))</f>
        <v/>
      </c>
      <c r="O255" s="119" t="str">
        <f aca="false">IF(J255="","",IF(COUNTIF($J$6:$J$505,J255)&gt;1,1,0))</f>
        <v/>
      </c>
      <c r="P255" s="119" t="str">
        <f aca="false">IF(J255="","",IF(K255="","Not found in Paste_RLVL – deductions set to 0; ","")&amp;IF(L255=0,"New rider (not in Rider_Master) – OK, shown as Rider &lt;ID&gt;; ","")&amp;IF(AND(N255&lt;&gt;"",N255&lt;&gt;M255),"Orders differ: FTR "&amp;M255&amp;" vs RLVL "&amp;N255&amp;"; ","")&amp;IF(O255=1,"Duplicate Rider ID; ",""))</f>
        <v/>
      </c>
      <c r="Q255" s="119" t="str">
        <f aca="false">IF(P255="","",COUNTIF(P$6:P255,"?*"))</f>
        <v/>
      </c>
    </row>
    <row r="256" customFormat="false" ht="15" hidden="false" customHeight="false" outlineLevel="0" collapsed="false">
      <c r="I256" s="119" t="n">
        <v>251</v>
      </c>
      <c r="J256" s="119" t="str">
        <f aca="false">IFERROR(IF(INDEX(Rider_Input[Rider ID],I256)="","",INDEX(Rider_Input[Rider ID],I256)),"")</f>
        <v/>
      </c>
      <c r="K256" s="119" t="str">
        <f aca="false">IF(J256="","",IFERROR(MATCH(J256,INDEX(RLVL_Data,0,c_RLVL_ID),0),""))</f>
        <v/>
      </c>
      <c r="L256" s="119" t="str">
        <f aca="false">IF(J256="","",IF(ISNUMBER(MATCH(J256,Rider_Master[Rider ID],0)),1,0))</f>
        <v/>
      </c>
      <c r="M256" s="119" t="str">
        <f aca="false">IF(J256="","",INDEX(Rider_Input[Completed Orders],I256))</f>
        <v/>
      </c>
      <c r="N256" s="119" t="str">
        <f aca="false">IF(OR(J256="",K256=""),"",IFERROR(INDEX(RLVL_Data,K256,c_RLVL_Orders),""))</f>
        <v/>
      </c>
      <c r="O256" s="119" t="str">
        <f aca="false">IF(J256="","",IF(COUNTIF($J$6:$J$505,J256)&gt;1,1,0))</f>
        <v/>
      </c>
      <c r="P256" s="119" t="str">
        <f aca="false">IF(J256="","",IF(K256="","Not found in Paste_RLVL – deductions set to 0; ","")&amp;IF(L256=0,"New rider (not in Rider_Master) – OK, shown as Rider &lt;ID&gt;; ","")&amp;IF(AND(N256&lt;&gt;"",N256&lt;&gt;M256),"Orders differ: FTR "&amp;M256&amp;" vs RLVL "&amp;N256&amp;"; ","")&amp;IF(O256=1,"Duplicate Rider ID; ",""))</f>
        <v/>
      </c>
      <c r="Q256" s="119" t="str">
        <f aca="false">IF(P256="","",COUNTIF(P$6:P256,"?*"))</f>
        <v/>
      </c>
    </row>
    <row r="257" customFormat="false" ht="15" hidden="false" customHeight="false" outlineLevel="0" collapsed="false">
      <c r="I257" s="119" t="n">
        <v>252</v>
      </c>
      <c r="J257" s="119" t="str">
        <f aca="false">IFERROR(IF(INDEX(Rider_Input[Rider ID],I257)="","",INDEX(Rider_Input[Rider ID],I257)),"")</f>
        <v/>
      </c>
      <c r="K257" s="119" t="str">
        <f aca="false">IF(J257="","",IFERROR(MATCH(J257,INDEX(RLVL_Data,0,c_RLVL_ID),0),""))</f>
        <v/>
      </c>
      <c r="L257" s="119" t="str">
        <f aca="false">IF(J257="","",IF(ISNUMBER(MATCH(J257,Rider_Master[Rider ID],0)),1,0))</f>
        <v/>
      </c>
      <c r="M257" s="119" t="str">
        <f aca="false">IF(J257="","",INDEX(Rider_Input[Completed Orders],I257))</f>
        <v/>
      </c>
      <c r="N257" s="119" t="str">
        <f aca="false">IF(OR(J257="",K257=""),"",IFERROR(INDEX(RLVL_Data,K257,c_RLVL_Orders),""))</f>
        <v/>
      </c>
      <c r="O257" s="119" t="str">
        <f aca="false">IF(J257="","",IF(COUNTIF($J$6:$J$505,J257)&gt;1,1,0))</f>
        <v/>
      </c>
      <c r="P257" s="119" t="str">
        <f aca="false">IF(J257="","",IF(K257="","Not found in Paste_RLVL – deductions set to 0; ","")&amp;IF(L257=0,"New rider (not in Rider_Master) – OK, shown as Rider &lt;ID&gt;; ","")&amp;IF(AND(N257&lt;&gt;"",N257&lt;&gt;M257),"Orders differ: FTR "&amp;M257&amp;" vs RLVL "&amp;N257&amp;"; ","")&amp;IF(O257=1,"Duplicate Rider ID; ",""))</f>
        <v/>
      </c>
      <c r="Q257" s="119" t="str">
        <f aca="false">IF(P257="","",COUNTIF(P$6:P257,"?*"))</f>
        <v/>
      </c>
    </row>
    <row r="258" customFormat="false" ht="15" hidden="false" customHeight="false" outlineLevel="0" collapsed="false">
      <c r="I258" s="119" t="n">
        <v>253</v>
      </c>
      <c r="J258" s="119" t="str">
        <f aca="false">IFERROR(IF(INDEX(Rider_Input[Rider ID],I258)="","",INDEX(Rider_Input[Rider ID],I258)),"")</f>
        <v/>
      </c>
      <c r="K258" s="119" t="str">
        <f aca="false">IF(J258="","",IFERROR(MATCH(J258,INDEX(RLVL_Data,0,c_RLVL_ID),0),""))</f>
        <v/>
      </c>
      <c r="L258" s="119" t="str">
        <f aca="false">IF(J258="","",IF(ISNUMBER(MATCH(J258,Rider_Master[Rider ID],0)),1,0))</f>
        <v/>
      </c>
      <c r="M258" s="119" t="str">
        <f aca="false">IF(J258="","",INDEX(Rider_Input[Completed Orders],I258))</f>
        <v/>
      </c>
      <c r="N258" s="119" t="str">
        <f aca="false">IF(OR(J258="",K258=""),"",IFERROR(INDEX(RLVL_Data,K258,c_RLVL_Orders),""))</f>
        <v/>
      </c>
      <c r="O258" s="119" t="str">
        <f aca="false">IF(J258="","",IF(COUNTIF($J$6:$J$505,J258)&gt;1,1,0))</f>
        <v/>
      </c>
      <c r="P258" s="119" t="str">
        <f aca="false">IF(J258="","",IF(K258="","Not found in Paste_RLVL – deductions set to 0; ","")&amp;IF(L258=0,"New rider (not in Rider_Master) – OK, shown as Rider &lt;ID&gt;; ","")&amp;IF(AND(N258&lt;&gt;"",N258&lt;&gt;M258),"Orders differ: FTR "&amp;M258&amp;" vs RLVL "&amp;N258&amp;"; ","")&amp;IF(O258=1,"Duplicate Rider ID; ",""))</f>
        <v/>
      </c>
      <c r="Q258" s="119" t="str">
        <f aca="false">IF(P258="","",COUNTIF(P$6:P258,"?*"))</f>
        <v/>
      </c>
    </row>
    <row r="259" customFormat="false" ht="15" hidden="false" customHeight="false" outlineLevel="0" collapsed="false">
      <c r="I259" s="119" t="n">
        <v>254</v>
      </c>
      <c r="J259" s="119" t="str">
        <f aca="false">IFERROR(IF(INDEX(Rider_Input[Rider ID],I259)="","",INDEX(Rider_Input[Rider ID],I259)),"")</f>
        <v/>
      </c>
      <c r="K259" s="119" t="str">
        <f aca="false">IF(J259="","",IFERROR(MATCH(J259,INDEX(RLVL_Data,0,c_RLVL_ID),0),""))</f>
        <v/>
      </c>
      <c r="L259" s="119" t="str">
        <f aca="false">IF(J259="","",IF(ISNUMBER(MATCH(J259,Rider_Master[Rider ID],0)),1,0))</f>
        <v/>
      </c>
      <c r="M259" s="119" t="str">
        <f aca="false">IF(J259="","",INDEX(Rider_Input[Completed Orders],I259))</f>
        <v/>
      </c>
      <c r="N259" s="119" t="str">
        <f aca="false">IF(OR(J259="",K259=""),"",IFERROR(INDEX(RLVL_Data,K259,c_RLVL_Orders),""))</f>
        <v/>
      </c>
      <c r="O259" s="119" t="str">
        <f aca="false">IF(J259="","",IF(COUNTIF($J$6:$J$505,J259)&gt;1,1,0))</f>
        <v/>
      </c>
      <c r="P259" s="119" t="str">
        <f aca="false">IF(J259="","",IF(K259="","Not found in Paste_RLVL – deductions set to 0; ","")&amp;IF(L259=0,"New rider (not in Rider_Master) – OK, shown as Rider &lt;ID&gt;; ","")&amp;IF(AND(N259&lt;&gt;"",N259&lt;&gt;M259),"Orders differ: FTR "&amp;M259&amp;" vs RLVL "&amp;N259&amp;"; ","")&amp;IF(O259=1,"Duplicate Rider ID; ",""))</f>
        <v/>
      </c>
      <c r="Q259" s="119" t="str">
        <f aca="false">IF(P259="","",COUNTIF(P$6:P259,"?*"))</f>
        <v/>
      </c>
    </row>
    <row r="260" customFormat="false" ht="15" hidden="false" customHeight="false" outlineLevel="0" collapsed="false">
      <c r="I260" s="119" t="n">
        <v>255</v>
      </c>
      <c r="J260" s="119" t="str">
        <f aca="false">IFERROR(IF(INDEX(Rider_Input[Rider ID],I260)="","",INDEX(Rider_Input[Rider ID],I260)),"")</f>
        <v/>
      </c>
      <c r="K260" s="119" t="str">
        <f aca="false">IF(J260="","",IFERROR(MATCH(J260,INDEX(RLVL_Data,0,c_RLVL_ID),0),""))</f>
        <v/>
      </c>
      <c r="L260" s="119" t="str">
        <f aca="false">IF(J260="","",IF(ISNUMBER(MATCH(J260,Rider_Master[Rider ID],0)),1,0))</f>
        <v/>
      </c>
      <c r="M260" s="119" t="str">
        <f aca="false">IF(J260="","",INDEX(Rider_Input[Completed Orders],I260))</f>
        <v/>
      </c>
      <c r="N260" s="119" t="str">
        <f aca="false">IF(OR(J260="",K260=""),"",IFERROR(INDEX(RLVL_Data,K260,c_RLVL_Orders),""))</f>
        <v/>
      </c>
      <c r="O260" s="119" t="str">
        <f aca="false">IF(J260="","",IF(COUNTIF($J$6:$J$505,J260)&gt;1,1,0))</f>
        <v/>
      </c>
      <c r="P260" s="119" t="str">
        <f aca="false">IF(J260="","",IF(K260="","Not found in Paste_RLVL – deductions set to 0; ","")&amp;IF(L260=0,"New rider (not in Rider_Master) – OK, shown as Rider &lt;ID&gt;; ","")&amp;IF(AND(N260&lt;&gt;"",N260&lt;&gt;M260),"Orders differ: FTR "&amp;M260&amp;" vs RLVL "&amp;N260&amp;"; ","")&amp;IF(O260=1,"Duplicate Rider ID; ",""))</f>
        <v/>
      </c>
      <c r="Q260" s="119" t="str">
        <f aca="false">IF(P260="","",COUNTIF(P$6:P260,"?*"))</f>
        <v/>
      </c>
    </row>
    <row r="261" customFormat="false" ht="15" hidden="false" customHeight="false" outlineLevel="0" collapsed="false">
      <c r="I261" s="119" t="n">
        <v>256</v>
      </c>
      <c r="J261" s="119" t="str">
        <f aca="false">IFERROR(IF(INDEX(Rider_Input[Rider ID],I261)="","",INDEX(Rider_Input[Rider ID],I261)),"")</f>
        <v/>
      </c>
      <c r="K261" s="119" t="str">
        <f aca="false">IF(J261="","",IFERROR(MATCH(J261,INDEX(RLVL_Data,0,c_RLVL_ID),0),""))</f>
        <v/>
      </c>
      <c r="L261" s="119" t="str">
        <f aca="false">IF(J261="","",IF(ISNUMBER(MATCH(J261,Rider_Master[Rider ID],0)),1,0))</f>
        <v/>
      </c>
      <c r="M261" s="119" t="str">
        <f aca="false">IF(J261="","",INDEX(Rider_Input[Completed Orders],I261))</f>
        <v/>
      </c>
      <c r="N261" s="119" t="str">
        <f aca="false">IF(OR(J261="",K261=""),"",IFERROR(INDEX(RLVL_Data,K261,c_RLVL_Orders),""))</f>
        <v/>
      </c>
      <c r="O261" s="119" t="str">
        <f aca="false">IF(J261="","",IF(COUNTIF($J$6:$J$505,J261)&gt;1,1,0))</f>
        <v/>
      </c>
      <c r="P261" s="119" t="str">
        <f aca="false">IF(J261="","",IF(K261="","Not found in Paste_RLVL – deductions set to 0; ","")&amp;IF(L261=0,"New rider (not in Rider_Master) – OK, shown as Rider &lt;ID&gt;; ","")&amp;IF(AND(N261&lt;&gt;"",N261&lt;&gt;M261),"Orders differ: FTR "&amp;M261&amp;" vs RLVL "&amp;N261&amp;"; ","")&amp;IF(O261=1,"Duplicate Rider ID; ",""))</f>
        <v/>
      </c>
      <c r="Q261" s="119" t="str">
        <f aca="false">IF(P261="","",COUNTIF(P$6:P261,"?*"))</f>
        <v/>
      </c>
    </row>
    <row r="262" customFormat="false" ht="15" hidden="false" customHeight="false" outlineLevel="0" collapsed="false">
      <c r="I262" s="119" t="n">
        <v>257</v>
      </c>
      <c r="J262" s="119" t="str">
        <f aca="false">IFERROR(IF(INDEX(Rider_Input[Rider ID],I262)="","",INDEX(Rider_Input[Rider ID],I262)),"")</f>
        <v/>
      </c>
      <c r="K262" s="119" t="str">
        <f aca="false">IF(J262="","",IFERROR(MATCH(J262,INDEX(RLVL_Data,0,c_RLVL_ID),0),""))</f>
        <v/>
      </c>
      <c r="L262" s="119" t="str">
        <f aca="false">IF(J262="","",IF(ISNUMBER(MATCH(J262,Rider_Master[Rider ID],0)),1,0))</f>
        <v/>
      </c>
      <c r="M262" s="119" t="str">
        <f aca="false">IF(J262="","",INDEX(Rider_Input[Completed Orders],I262))</f>
        <v/>
      </c>
      <c r="N262" s="119" t="str">
        <f aca="false">IF(OR(J262="",K262=""),"",IFERROR(INDEX(RLVL_Data,K262,c_RLVL_Orders),""))</f>
        <v/>
      </c>
      <c r="O262" s="119" t="str">
        <f aca="false">IF(J262="","",IF(COUNTIF($J$6:$J$505,J262)&gt;1,1,0))</f>
        <v/>
      </c>
      <c r="P262" s="119" t="str">
        <f aca="false">IF(J262="","",IF(K262="","Not found in Paste_RLVL – deductions set to 0; ","")&amp;IF(L262=0,"New rider (not in Rider_Master) – OK, shown as Rider &lt;ID&gt;; ","")&amp;IF(AND(N262&lt;&gt;"",N262&lt;&gt;M262),"Orders differ: FTR "&amp;M262&amp;" vs RLVL "&amp;N262&amp;"; ","")&amp;IF(O262=1,"Duplicate Rider ID; ",""))</f>
        <v/>
      </c>
      <c r="Q262" s="119" t="str">
        <f aca="false">IF(P262="","",COUNTIF(P$6:P262,"?*"))</f>
        <v/>
      </c>
    </row>
    <row r="263" customFormat="false" ht="15" hidden="false" customHeight="false" outlineLevel="0" collapsed="false">
      <c r="I263" s="119" t="n">
        <v>258</v>
      </c>
      <c r="J263" s="119" t="str">
        <f aca="false">IFERROR(IF(INDEX(Rider_Input[Rider ID],I263)="","",INDEX(Rider_Input[Rider ID],I263)),"")</f>
        <v/>
      </c>
      <c r="K263" s="119" t="str">
        <f aca="false">IF(J263="","",IFERROR(MATCH(J263,INDEX(RLVL_Data,0,c_RLVL_ID),0),""))</f>
        <v/>
      </c>
      <c r="L263" s="119" t="str">
        <f aca="false">IF(J263="","",IF(ISNUMBER(MATCH(J263,Rider_Master[Rider ID],0)),1,0))</f>
        <v/>
      </c>
      <c r="M263" s="119" t="str">
        <f aca="false">IF(J263="","",INDEX(Rider_Input[Completed Orders],I263))</f>
        <v/>
      </c>
      <c r="N263" s="119" t="str">
        <f aca="false">IF(OR(J263="",K263=""),"",IFERROR(INDEX(RLVL_Data,K263,c_RLVL_Orders),""))</f>
        <v/>
      </c>
      <c r="O263" s="119" t="str">
        <f aca="false">IF(J263="","",IF(COUNTIF($J$6:$J$505,J263)&gt;1,1,0))</f>
        <v/>
      </c>
      <c r="P263" s="119" t="str">
        <f aca="false">IF(J263="","",IF(K263="","Not found in Paste_RLVL – deductions set to 0; ","")&amp;IF(L263=0,"New rider (not in Rider_Master) – OK, shown as Rider &lt;ID&gt;; ","")&amp;IF(AND(N263&lt;&gt;"",N263&lt;&gt;M263),"Orders differ: FTR "&amp;M263&amp;" vs RLVL "&amp;N263&amp;"; ","")&amp;IF(O263=1,"Duplicate Rider ID; ",""))</f>
        <v/>
      </c>
      <c r="Q263" s="119" t="str">
        <f aca="false">IF(P263="","",COUNTIF(P$6:P263,"?*"))</f>
        <v/>
      </c>
    </row>
    <row r="264" customFormat="false" ht="15" hidden="false" customHeight="false" outlineLevel="0" collapsed="false">
      <c r="I264" s="119" t="n">
        <v>259</v>
      </c>
      <c r="J264" s="119" t="str">
        <f aca="false">IFERROR(IF(INDEX(Rider_Input[Rider ID],I264)="","",INDEX(Rider_Input[Rider ID],I264)),"")</f>
        <v/>
      </c>
      <c r="K264" s="119" t="str">
        <f aca="false">IF(J264="","",IFERROR(MATCH(J264,INDEX(RLVL_Data,0,c_RLVL_ID),0),""))</f>
        <v/>
      </c>
      <c r="L264" s="119" t="str">
        <f aca="false">IF(J264="","",IF(ISNUMBER(MATCH(J264,Rider_Master[Rider ID],0)),1,0))</f>
        <v/>
      </c>
      <c r="M264" s="119" t="str">
        <f aca="false">IF(J264="","",INDEX(Rider_Input[Completed Orders],I264))</f>
        <v/>
      </c>
      <c r="N264" s="119" t="str">
        <f aca="false">IF(OR(J264="",K264=""),"",IFERROR(INDEX(RLVL_Data,K264,c_RLVL_Orders),""))</f>
        <v/>
      </c>
      <c r="O264" s="119" t="str">
        <f aca="false">IF(J264="","",IF(COUNTIF($J$6:$J$505,J264)&gt;1,1,0))</f>
        <v/>
      </c>
      <c r="P264" s="119" t="str">
        <f aca="false">IF(J264="","",IF(K264="","Not found in Paste_RLVL – deductions set to 0; ","")&amp;IF(L264=0,"New rider (not in Rider_Master) – OK, shown as Rider &lt;ID&gt;; ","")&amp;IF(AND(N264&lt;&gt;"",N264&lt;&gt;M264),"Orders differ: FTR "&amp;M264&amp;" vs RLVL "&amp;N264&amp;"; ","")&amp;IF(O264=1,"Duplicate Rider ID; ",""))</f>
        <v/>
      </c>
      <c r="Q264" s="119" t="str">
        <f aca="false">IF(P264="","",COUNTIF(P$6:P264,"?*"))</f>
        <v/>
      </c>
    </row>
    <row r="265" customFormat="false" ht="15" hidden="false" customHeight="false" outlineLevel="0" collapsed="false">
      <c r="I265" s="119" t="n">
        <v>260</v>
      </c>
      <c r="J265" s="119" t="str">
        <f aca="false">IFERROR(IF(INDEX(Rider_Input[Rider ID],I265)="","",INDEX(Rider_Input[Rider ID],I265)),"")</f>
        <v/>
      </c>
      <c r="K265" s="119" t="str">
        <f aca="false">IF(J265="","",IFERROR(MATCH(J265,INDEX(RLVL_Data,0,c_RLVL_ID),0),""))</f>
        <v/>
      </c>
      <c r="L265" s="119" t="str">
        <f aca="false">IF(J265="","",IF(ISNUMBER(MATCH(J265,Rider_Master[Rider ID],0)),1,0))</f>
        <v/>
      </c>
      <c r="M265" s="119" t="str">
        <f aca="false">IF(J265="","",INDEX(Rider_Input[Completed Orders],I265))</f>
        <v/>
      </c>
      <c r="N265" s="119" t="str">
        <f aca="false">IF(OR(J265="",K265=""),"",IFERROR(INDEX(RLVL_Data,K265,c_RLVL_Orders),""))</f>
        <v/>
      </c>
      <c r="O265" s="119" t="str">
        <f aca="false">IF(J265="","",IF(COUNTIF($J$6:$J$505,J265)&gt;1,1,0))</f>
        <v/>
      </c>
      <c r="P265" s="119" t="str">
        <f aca="false">IF(J265="","",IF(K265="","Not found in Paste_RLVL – deductions set to 0; ","")&amp;IF(L265=0,"New rider (not in Rider_Master) – OK, shown as Rider &lt;ID&gt;; ","")&amp;IF(AND(N265&lt;&gt;"",N265&lt;&gt;M265),"Orders differ: FTR "&amp;M265&amp;" vs RLVL "&amp;N265&amp;"; ","")&amp;IF(O265=1,"Duplicate Rider ID; ",""))</f>
        <v/>
      </c>
      <c r="Q265" s="119" t="str">
        <f aca="false">IF(P265="","",COUNTIF(P$6:P265,"?*"))</f>
        <v/>
      </c>
    </row>
    <row r="266" customFormat="false" ht="15" hidden="false" customHeight="false" outlineLevel="0" collapsed="false">
      <c r="I266" s="119" t="n">
        <v>261</v>
      </c>
      <c r="J266" s="119" t="str">
        <f aca="false">IFERROR(IF(INDEX(Rider_Input[Rider ID],I266)="","",INDEX(Rider_Input[Rider ID],I266)),"")</f>
        <v/>
      </c>
      <c r="K266" s="119" t="str">
        <f aca="false">IF(J266="","",IFERROR(MATCH(J266,INDEX(RLVL_Data,0,c_RLVL_ID),0),""))</f>
        <v/>
      </c>
      <c r="L266" s="119" t="str">
        <f aca="false">IF(J266="","",IF(ISNUMBER(MATCH(J266,Rider_Master[Rider ID],0)),1,0))</f>
        <v/>
      </c>
      <c r="M266" s="119" t="str">
        <f aca="false">IF(J266="","",INDEX(Rider_Input[Completed Orders],I266))</f>
        <v/>
      </c>
      <c r="N266" s="119" t="str">
        <f aca="false">IF(OR(J266="",K266=""),"",IFERROR(INDEX(RLVL_Data,K266,c_RLVL_Orders),""))</f>
        <v/>
      </c>
      <c r="O266" s="119" t="str">
        <f aca="false">IF(J266="","",IF(COUNTIF($J$6:$J$505,J266)&gt;1,1,0))</f>
        <v/>
      </c>
      <c r="P266" s="119" t="str">
        <f aca="false">IF(J266="","",IF(K266="","Not found in Paste_RLVL – deductions set to 0; ","")&amp;IF(L266=0,"New rider (not in Rider_Master) – OK, shown as Rider &lt;ID&gt;; ","")&amp;IF(AND(N266&lt;&gt;"",N266&lt;&gt;M266),"Orders differ: FTR "&amp;M266&amp;" vs RLVL "&amp;N266&amp;"; ","")&amp;IF(O266=1,"Duplicate Rider ID; ",""))</f>
        <v/>
      </c>
      <c r="Q266" s="119" t="str">
        <f aca="false">IF(P266="","",COUNTIF(P$6:P266,"?*"))</f>
        <v/>
      </c>
    </row>
    <row r="267" customFormat="false" ht="15" hidden="false" customHeight="false" outlineLevel="0" collapsed="false">
      <c r="I267" s="119" t="n">
        <v>262</v>
      </c>
      <c r="J267" s="119" t="str">
        <f aca="false">IFERROR(IF(INDEX(Rider_Input[Rider ID],I267)="","",INDEX(Rider_Input[Rider ID],I267)),"")</f>
        <v/>
      </c>
      <c r="K267" s="119" t="str">
        <f aca="false">IF(J267="","",IFERROR(MATCH(J267,INDEX(RLVL_Data,0,c_RLVL_ID),0),""))</f>
        <v/>
      </c>
      <c r="L267" s="119" t="str">
        <f aca="false">IF(J267="","",IF(ISNUMBER(MATCH(J267,Rider_Master[Rider ID],0)),1,0))</f>
        <v/>
      </c>
      <c r="M267" s="119" t="str">
        <f aca="false">IF(J267="","",INDEX(Rider_Input[Completed Orders],I267))</f>
        <v/>
      </c>
      <c r="N267" s="119" t="str">
        <f aca="false">IF(OR(J267="",K267=""),"",IFERROR(INDEX(RLVL_Data,K267,c_RLVL_Orders),""))</f>
        <v/>
      </c>
      <c r="O267" s="119" t="str">
        <f aca="false">IF(J267="","",IF(COUNTIF($J$6:$J$505,J267)&gt;1,1,0))</f>
        <v/>
      </c>
      <c r="P267" s="119" t="str">
        <f aca="false">IF(J267="","",IF(K267="","Not found in Paste_RLVL – deductions set to 0; ","")&amp;IF(L267=0,"New rider (not in Rider_Master) – OK, shown as Rider &lt;ID&gt;; ","")&amp;IF(AND(N267&lt;&gt;"",N267&lt;&gt;M267),"Orders differ: FTR "&amp;M267&amp;" vs RLVL "&amp;N267&amp;"; ","")&amp;IF(O267=1,"Duplicate Rider ID; ",""))</f>
        <v/>
      </c>
      <c r="Q267" s="119" t="str">
        <f aca="false">IF(P267="","",COUNTIF(P$6:P267,"?*"))</f>
        <v/>
      </c>
    </row>
    <row r="268" customFormat="false" ht="15" hidden="false" customHeight="false" outlineLevel="0" collapsed="false">
      <c r="I268" s="119" t="n">
        <v>263</v>
      </c>
      <c r="J268" s="119" t="str">
        <f aca="false">IFERROR(IF(INDEX(Rider_Input[Rider ID],I268)="","",INDEX(Rider_Input[Rider ID],I268)),"")</f>
        <v/>
      </c>
      <c r="K268" s="119" t="str">
        <f aca="false">IF(J268="","",IFERROR(MATCH(J268,INDEX(RLVL_Data,0,c_RLVL_ID),0),""))</f>
        <v/>
      </c>
      <c r="L268" s="119" t="str">
        <f aca="false">IF(J268="","",IF(ISNUMBER(MATCH(J268,Rider_Master[Rider ID],0)),1,0))</f>
        <v/>
      </c>
      <c r="M268" s="119" t="str">
        <f aca="false">IF(J268="","",INDEX(Rider_Input[Completed Orders],I268))</f>
        <v/>
      </c>
      <c r="N268" s="119" t="str">
        <f aca="false">IF(OR(J268="",K268=""),"",IFERROR(INDEX(RLVL_Data,K268,c_RLVL_Orders),""))</f>
        <v/>
      </c>
      <c r="O268" s="119" t="str">
        <f aca="false">IF(J268="","",IF(COUNTIF($J$6:$J$505,J268)&gt;1,1,0))</f>
        <v/>
      </c>
      <c r="P268" s="119" t="str">
        <f aca="false">IF(J268="","",IF(K268="","Not found in Paste_RLVL – deductions set to 0; ","")&amp;IF(L268=0,"New rider (not in Rider_Master) – OK, shown as Rider &lt;ID&gt;; ","")&amp;IF(AND(N268&lt;&gt;"",N268&lt;&gt;M268),"Orders differ: FTR "&amp;M268&amp;" vs RLVL "&amp;N268&amp;"; ","")&amp;IF(O268=1,"Duplicate Rider ID; ",""))</f>
        <v/>
      </c>
      <c r="Q268" s="119" t="str">
        <f aca="false">IF(P268="","",COUNTIF(P$6:P268,"?*"))</f>
        <v/>
      </c>
    </row>
    <row r="269" customFormat="false" ht="15" hidden="false" customHeight="false" outlineLevel="0" collapsed="false">
      <c r="I269" s="119" t="n">
        <v>264</v>
      </c>
      <c r="J269" s="119" t="str">
        <f aca="false">IFERROR(IF(INDEX(Rider_Input[Rider ID],I269)="","",INDEX(Rider_Input[Rider ID],I269)),"")</f>
        <v/>
      </c>
      <c r="K269" s="119" t="str">
        <f aca="false">IF(J269="","",IFERROR(MATCH(J269,INDEX(RLVL_Data,0,c_RLVL_ID),0),""))</f>
        <v/>
      </c>
      <c r="L269" s="119" t="str">
        <f aca="false">IF(J269="","",IF(ISNUMBER(MATCH(J269,Rider_Master[Rider ID],0)),1,0))</f>
        <v/>
      </c>
      <c r="M269" s="119" t="str">
        <f aca="false">IF(J269="","",INDEX(Rider_Input[Completed Orders],I269))</f>
        <v/>
      </c>
      <c r="N269" s="119" t="str">
        <f aca="false">IF(OR(J269="",K269=""),"",IFERROR(INDEX(RLVL_Data,K269,c_RLVL_Orders),""))</f>
        <v/>
      </c>
      <c r="O269" s="119" t="str">
        <f aca="false">IF(J269="","",IF(COUNTIF($J$6:$J$505,J269)&gt;1,1,0))</f>
        <v/>
      </c>
      <c r="P269" s="119" t="str">
        <f aca="false">IF(J269="","",IF(K269="","Not found in Paste_RLVL – deductions set to 0; ","")&amp;IF(L269=0,"New rider (not in Rider_Master) – OK, shown as Rider &lt;ID&gt;; ","")&amp;IF(AND(N269&lt;&gt;"",N269&lt;&gt;M269),"Orders differ: FTR "&amp;M269&amp;" vs RLVL "&amp;N269&amp;"; ","")&amp;IF(O269=1,"Duplicate Rider ID; ",""))</f>
        <v/>
      </c>
      <c r="Q269" s="119" t="str">
        <f aca="false">IF(P269="","",COUNTIF(P$6:P269,"?*"))</f>
        <v/>
      </c>
    </row>
    <row r="270" customFormat="false" ht="15" hidden="false" customHeight="false" outlineLevel="0" collapsed="false">
      <c r="I270" s="119" t="n">
        <v>265</v>
      </c>
      <c r="J270" s="119" t="str">
        <f aca="false">IFERROR(IF(INDEX(Rider_Input[Rider ID],I270)="","",INDEX(Rider_Input[Rider ID],I270)),"")</f>
        <v/>
      </c>
      <c r="K270" s="119" t="str">
        <f aca="false">IF(J270="","",IFERROR(MATCH(J270,INDEX(RLVL_Data,0,c_RLVL_ID),0),""))</f>
        <v/>
      </c>
      <c r="L270" s="119" t="str">
        <f aca="false">IF(J270="","",IF(ISNUMBER(MATCH(J270,Rider_Master[Rider ID],0)),1,0))</f>
        <v/>
      </c>
      <c r="M270" s="119" t="str">
        <f aca="false">IF(J270="","",INDEX(Rider_Input[Completed Orders],I270))</f>
        <v/>
      </c>
      <c r="N270" s="119" t="str">
        <f aca="false">IF(OR(J270="",K270=""),"",IFERROR(INDEX(RLVL_Data,K270,c_RLVL_Orders),""))</f>
        <v/>
      </c>
      <c r="O270" s="119" t="str">
        <f aca="false">IF(J270="","",IF(COUNTIF($J$6:$J$505,J270)&gt;1,1,0))</f>
        <v/>
      </c>
      <c r="P270" s="119" t="str">
        <f aca="false">IF(J270="","",IF(K270="","Not found in Paste_RLVL – deductions set to 0; ","")&amp;IF(L270=0,"New rider (not in Rider_Master) – OK, shown as Rider &lt;ID&gt;; ","")&amp;IF(AND(N270&lt;&gt;"",N270&lt;&gt;M270),"Orders differ: FTR "&amp;M270&amp;" vs RLVL "&amp;N270&amp;"; ","")&amp;IF(O270=1,"Duplicate Rider ID; ",""))</f>
        <v/>
      </c>
      <c r="Q270" s="119" t="str">
        <f aca="false">IF(P270="","",COUNTIF(P$6:P270,"?*"))</f>
        <v/>
      </c>
    </row>
    <row r="271" customFormat="false" ht="15" hidden="false" customHeight="false" outlineLevel="0" collapsed="false">
      <c r="I271" s="119" t="n">
        <v>266</v>
      </c>
      <c r="J271" s="119" t="str">
        <f aca="false">IFERROR(IF(INDEX(Rider_Input[Rider ID],I271)="","",INDEX(Rider_Input[Rider ID],I271)),"")</f>
        <v/>
      </c>
      <c r="K271" s="119" t="str">
        <f aca="false">IF(J271="","",IFERROR(MATCH(J271,INDEX(RLVL_Data,0,c_RLVL_ID),0),""))</f>
        <v/>
      </c>
      <c r="L271" s="119" t="str">
        <f aca="false">IF(J271="","",IF(ISNUMBER(MATCH(J271,Rider_Master[Rider ID],0)),1,0))</f>
        <v/>
      </c>
      <c r="M271" s="119" t="str">
        <f aca="false">IF(J271="","",INDEX(Rider_Input[Completed Orders],I271))</f>
        <v/>
      </c>
      <c r="N271" s="119" t="str">
        <f aca="false">IF(OR(J271="",K271=""),"",IFERROR(INDEX(RLVL_Data,K271,c_RLVL_Orders),""))</f>
        <v/>
      </c>
      <c r="O271" s="119" t="str">
        <f aca="false">IF(J271="","",IF(COUNTIF($J$6:$J$505,J271)&gt;1,1,0))</f>
        <v/>
      </c>
      <c r="P271" s="119" t="str">
        <f aca="false">IF(J271="","",IF(K271="","Not found in Paste_RLVL – deductions set to 0; ","")&amp;IF(L271=0,"New rider (not in Rider_Master) – OK, shown as Rider &lt;ID&gt;; ","")&amp;IF(AND(N271&lt;&gt;"",N271&lt;&gt;M271),"Orders differ: FTR "&amp;M271&amp;" vs RLVL "&amp;N271&amp;"; ","")&amp;IF(O271=1,"Duplicate Rider ID; ",""))</f>
        <v/>
      </c>
      <c r="Q271" s="119" t="str">
        <f aca="false">IF(P271="","",COUNTIF(P$6:P271,"?*"))</f>
        <v/>
      </c>
    </row>
    <row r="272" customFormat="false" ht="15" hidden="false" customHeight="false" outlineLevel="0" collapsed="false">
      <c r="I272" s="119" t="n">
        <v>267</v>
      </c>
      <c r="J272" s="119" t="str">
        <f aca="false">IFERROR(IF(INDEX(Rider_Input[Rider ID],I272)="","",INDEX(Rider_Input[Rider ID],I272)),"")</f>
        <v/>
      </c>
      <c r="K272" s="119" t="str">
        <f aca="false">IF(J272="","",IFERROR(MATCH(J272,INDEX(RLVL_Data,0,c_RLVL_ID),0),""))</f>
        <v/>
      </c>
      <c r="L272" s="119" t="str">
        <f aca="false">IF(J272="","",IF(ISNUMBER(MATCH(J272,Rider_Master[Rider ID],0)),1,0))</f>
        <v/>
      </c>
      <c r="M272" s="119" t="str">
        <f aca="false">IF(J272="","",INDEX(Rider_Input[Completed Orders],I272))</f>
        <v/>
      </c>
      <c r="N272" s="119" t="str">
        <f aca="false">IF(OR(J272="",K272=""),"",IFERROR(INDEX(RLVL_Data,K272,c_RLVL_Orders),""))</f>
        <v/>
      </c>
      <c r="O272" s="119" t="str">
        <f aca="false">IF(J272="","",IF(COUNTIF($J$6:$J$505,J272)&gt;1,1,0))</f>
        <v/>
      </c>
      <c r="P272" s="119" t="str">
        <f aca="false">IF(J272="","",IF(K272="","Not found in Paste_RLVL – deductions set to 0; ","")&amp;IF(L272=0,"New rider (not in Rider_Master) – OK, shown as Rider &lt;ID&gt;; ","")&amp;IF(AND(N272&lt;&gt;"",N272&lt;&gt;M272),"Orders differ: FTR "&amp;M272&amp;" vs RLVL "&amp;N272&amp;"; ","")&amp;IF(O272=1,"Duplicate Rider ID; ",""))</f>
        <v/>
      </c>
      <c r="Q272" s="119" t="str">
        <f aca="false">IF(P272="","",COUNTIF(P$6:P272,"?*"))</f>
        <v/>
      </c>
    </row>
    <row r="273" customFormat="false" ht="15" hidden="false" customHeight="false" outlineLevel="0" collapsed="false">
      <c r="I273" s="119" t="n">
        <v>268</v>
      </c>
      <c r="J273" s="119" t="str">
        <f aca="false">IFERROR(IF(INDEX(Rider_Input[Rider ID],I273)="","",INDEX(Rider_Input[Rider ID],I273)),"")</f>
        <v/>
      </c>
      <c r="K273" s="119" t="str">
        <f aca="false">IF(J273="","",IFERROR(MATCH(J273,INDEX(RLVL_Data,0,c_RLVL_ID),0),""))</f>
        <v/>
      </c>
      <c r="L273" s="119" t="str">
        <f aca="false">IF(J273="","",IF(ISNUMBER(MATCH(J273,Rider_Master[Rider ID],0)),1,0))</f>
        <v/>
      </c>
      <c r="M273" s="119" t="str">
        <f aca="false">IF(J273="","",INDEX(Rider_Input[Completed Orders],I273))</f>
        <v/>
      </c>
      <c r="N273" s="119" t="str">
        <f aca="false">IF(OR(J273="",K273=""),"",IFERROR(INDEX(RLVL_Data,K273,c_RLVL_Orders),""))</f>
        <v/>
      </c>
      <c r="O273" s="119" t="str">
        <f aca="false">IF(J273="","",IF(COUNTIF($J$6:$J$505,J273)&gt;1,1,0))</f>
        <v/>
      </c>
      <c r="P273" s="119" t="str">
        <f aca="false">IF(J273="","",IF(K273="","Not found in Paste_RLVL – deductions set to 0; ","")&amp;IF(L273=0,"New rider (not in Rider_Master) – OK, shown as Rider &lt;ID&gt;; ","")&amp;IF(AND(N273&lt;&gt;"",N273&lt;&gt;M273),"Orders differ: FTR "&amp;M273&amp;" vs RLVL "&amp;N273&amp;"; ","")&amp;IF(O273=1,"Duplicate Rider ID; ",""))</f>
        <v/>
      </c>
      <c r="Q273" s="119" t="str">
        <f aca="false">IF(P273="","",COUNTIF(P$6:P273,"?*"))</f>
        <v/>
      </c>
    </row>
    <row r="274" customFormat="false" ht="15" hidden="false" customHeight="false" outlineLevel="0" collapsed="false">
      <c r="I274" s="119" t="n">
        <v>269</v>
      </c>
      <c r="J274" s="119" t="str">
        <f aca="false">IFERROR(IF(INDEX(Rider_Input[Rider ID],I274)="","",INDEX(Rider_Input[Rider ID],I274)),"")</f>
        <v/>
      </c>
      <c r="K274" s="119" t="str">
        <f aca="false">IF(J274="","",IFERROR(MATCH(J274,INDEX(RLVL_Data,0,c_RLVL_ID),0),""))</f>
        <v/>
      </c>
      <c r="L274" s="119" t="str">
        <f aca="false">IF(J274="","",IF(ISNUMBER(MATCH(J274,Rider_Master[Rider ID],0)),1,0))</f>
        <v/>
      </c>
      <c r="M274" s="119" t="str">
        <f aca="false">IF(J274="","",INDEX(Rider_Input[Completed Orders],I274))</f>
        <v/>
      </c>
      <c r="N274" s="119" t="str">
        <f aca="false">IF(OR(J274="",K274=""),"",IFERROR(INDEX(RLVL_Data,K274,c_RLVL_Orders),""))</f>
        <v/>
      </c>
      <c r="O274" s="119" t="str">
        <f aca="false">IF(J274="","",IF(COUNTIF($J$6:$J$505,J274)&gt;1,1,0))</f>
        <v/>
      </c>
      <c r="P274" s="119" t="str">
        <f aca="false">IF(J274="","",IF(K274="","Not found in Paste_RLVL – deductions set to 0; ","")&amp;IF(L274=0,"New rider (not in Rider_Master) – OK, shown as Rider &lt;ID&gt;; ","")&amp;IF(AND(N274&lt;&gt;"",N274&lt;&gt;M274),"Orders differ: FTR "&amp;M274&amp;" vs RLVL "&amp;N274&amp;"; ","")&amp;IF(O274=1,"Duplicate Rider ID; ",""))</f>
        <v/>
      </c>
      <c r="Q274" s="119" t="str">
        <f aca="false">IF(P274="","",COUNTIF(P$6:P274,"?*"))</f>
        <v/>
      </c>
    </row>
    <row r="275" customFormat="false" ht="15" hidden="false" customHeight="false" outlineLevel="0" collapsed="false">
      <c r="I275" s="119" t="n">
        <v>270</v>
      </c>
      <c r="J275" s="119" t="str">
        <f aca="false">IFERROR(IF(INDEX(Rider_Input[Rider ID],I275)="","",INDEX(Rider_Input[Rider ID],I275)),"")</f>
        <v/>
      </c>
      <c r="K275" s="119" t="str">
        <f aca="false">IF(J275="","",IFERROR(MATCH(J275,INDEX(RLVL_Data,0,c_RLVL_ID),0),""))</f>
        <v/>
      </c>
      <c r="L275" s="119" t="str">
        <f aca="false">IF(J275="","",IF(ISNUMBER(MATCH(J275,Rider_Master[Rider ID],0)),1,0))</f>
        <v/>
      </c>
      <c r="M275" s="119" t="str">
        <f aca="false">IF(J275="","",INDEX(Rider_Input[Completed Orders],I275))</f>
        <v/>
      </c>
      <c r="N275" s="119" t="str">
        <f aca="false">IF(OR(J275="",K275=""),"",IFERROR(INDEX(RLVL_Data,K275,c_RLVL_Orders),""))</f>
        <v/>
      </c>
      <c r="O275" s="119" t="str">
        <f aca="false">IF(J275="","",IF(COUNTIF($J$6:$J$505,J275)&gt;1,1,0))</f>
        <v/>
      </c>
      <c r="P275" s="119" t="str">
        <f aca="false">IF(J275="","",IF(K275="","Not found in Paste_RLVL – deductions set to 0; ","")&amp;IF(L275=0,"New rider (not in Rider_Master) – OK, shown as Rider &lt;ID&gt;; ","")&amp;IF(AND(N275&lt;&gt;"",N275&lt;&gt;M275),"Orders differ: FTR "&amp;M275&amp;" vs RLVL "&amp;N275&amp;"; ","")&amp;IF(O275=1,"Duplicate Rider ID; ",""))</f>
        <v/>
      </c>
      <c r="Q275" s="119" t="str">
        <f aca="false">IF(P275="","",COUNTIF(P$6:P275,"?*"))</f>
        <v/>
      </c>
    </row>
    <row r="276" customFormat="false" ht="15" hidden="false" customHeight="false" outlineLevel="0" collapsed="false">
      <c r="I276" s="119" t="n">
        <v>271</v>
      </c>
      <c r="J276" s="119" t="str">
        <f aca="false">IFERROR(IF(INDEX(Rider_Input[Rider ID],I276)="","",INDEX(Rider_Input[Rider ID],I276)),"")</f>
        <v/>
      </c>
      <c r="K276" s="119" t="str">
        <f aca="false">IF(J276="","",IFERROR(MATCH(J276,INDEX(RLVL_Data,0,c_RLVL_ID),0),""))</f>
        <v/>
      </c>
      <c r="L276" s="119" t="str">
        <f aca="false">IF(J276="","",IF(ISNUMBER(MATCH(J276,Rider_Master[Rider ID],0)),1,0))</f>
        <v/>
      </c>
      <c r="M276" s="119" t="str">
        <f aca="false">IF(J276="","",INDEX(Rider_Input[Completed Orders],I276))</f>
        <v/>
      </c>
      <c r="N276" s="119" t="str">
        <f aca="false">IF(OR(J276="",K276=""),"",IFERROR(INDEX(RLVL_Data,K276,c_RLVL_Orders),""))</f>
        <v/>
      </c>
      <c r="O276" s="119" t="str">
        <f aca="false">IF(J276="","",IF(COUNTIF($J$6:$J$505,J276)&gt;1,1,0))</f>
        <v/>
      </c>
      <c r="P276" s="119" t="str">
        <f aca="false">IF(J276="","",IF(K276="","Not found in Paste_RLVL – deductions set to 0; ","")&amp;IF(L276=0,"New rider (not in Rider_Master) – OK, shown as Rider &lt;ID&gt;; ","")&amp;IF(AND(N276&lt;&gt;"",N276&lt;&gt;M276),"Orders differ: FTR "&amp;M276&amp;" vs RLVL "&amp;N276&amp;"; ","")&amp;IF(O276=1,"Duplicate Rider ID; ",""))</f>
        <v/>
      </c>
      <c r="Q276" s="119" t="str">
        <f aca="false">IF(P276="","",COUNTIF(P$6:P276,"?*"))</f>
        <v/>
      </c>
    </row>
    <row r="277" customFormat="false" ht="15" hidden="false" customHeight="false" outlineLevel="0" collapsed="false">
      <c r="I277" s="119" t="n">
        <v>272</v>
      </c>
      <c r="J277" s="119" t="str">
        <f aca="false">IFERROR(IF(INDEX(Rider_Input[Rider ID],I277)="","",INDEX(Rider_Input[Rider ID],I277)),"")</f>
        <v/>
      </c>
      <c r="K277" s="119" t="str">
        <f aca="false">IF(J277="","",IFERROR(MATCH(J277,INDEX(RLVL_Data,0,c_RLVL_ID),0),""))</f>
        <v/>
      </c>
      <c r="L277" s="119" t="str">
        <f aca="false">IF(J277="","",IF(ISNUMBER(MATCH(J277,Rider_Master[Rider ID],0)),1,0))</f>
        <v/>
      </c>
      <c r="M277" s="119" t="str">
        <f aca="false">IF(J277="","",INDEX(Rider_Input[Completed Orders],I277))</f>
        <v/>
      </c>
      <c r="N277" s="119" t="str">
        <f aca="false">IF(OR(J277="",K277=""),"",IFERROR(INDEX(RLVL_Data,K277,c_RLVL_Orders),""))</f>
        <v/>
      </c>
      <c r="O277" s="119" t="str">
        <f aca="false">IF(J277="","",IF(COUNTIF($J$6:$J$505,J277)&gt;1,1,0))</f>
        <v/>
      </c>
      <c r="P277" s="119" t="str">
        <f aca="false">IF(J277="","",IF(K277="","Not found in Paste_RLVL – deductions set to 0; ","")&amp;IF(L277=0,"New rider (not in Rider_Master) – OK, shown as Rider &lt;ID&gt;; ","")&amp;IF(AND(N277&lt;&gt;"",N277&lt;&gt;M277),"Orders differ: FTR "&amp;M277&amp;" vs RLVL "&amp;N277&amp;"; ","")&amp;IF(O277=1,"Duplicate Rider ID; ",""))</f>
        <v/>
      </c>
      <c r="Q277" s="119" t="str">
        <f aca="false">IF(P277="","",COUNTIF(P$6:P277,"?*"))</f>
        <v/>
      </c>
    </row>
    <row r="278" customFormat="false" ht="15" hidden="false" customHeight="false" outlineLevel="0" collapsed="false">
      <c r="I278" s="119" t="n">
        <v>273</v>
      </c>
      <c r="J278" s="119" t="str">
        <f aca="false">IFERROR(IF(INDEX(Rider_Input[Rider ID],I278)="","",INDEX(Rider_Input[Rider ID],I278)),"")</f>
        <v/>
      </c>
      <c r="K278" s="119" t="str">
        <f aca="false">IF(J278="","",IFERROR(MATCH(J278,INDEX(RLVL_Data,0,c_RLVL_ID),0),""))</f>
        <v/>
      </c>
      <c r="L278" s="119" t="str">
        <f aca="false">IF(J278="","",IF(ISNUMBER(MATCH(J278,Rider_Master[Rider ID],0)),1,0))</f>
        <v/>
      </c>
      <c r="M278" s="119" t="str">
        <f aca="false">IF(J278="","",INDEX(Rider_Input[Completed Orders],I278))</f>
        <v/>
      </c>
      <c r="N278" s="119" t="str">
        <f aca="false">IF(OR(J278="",K278=""),"",IFERROR(INDEX(RLVL_Data,K278,c_RLVL_Orders),""))</f>
        <v/>
      </c>
      <c r="O278" s="119" t="str">
        <f aca="false">IF(J278="","",IF(COUNTIF($J$6:$J$505,J278)&gt;1,1,0))</f>
        <v/>
      </c>
      <c r="P278" s="119" t="str">
        <f aca="false">IF(J278="","",IF(K278="","Not found in Paste_RLVL – deductions set to 0; ","")&amp;IF(L278=0,"New rider (not in Rider_Master) – OK, shown as Rider &lt;ID&gt;; ","")&amp;IF(AND(N278&lt;&gt;"",N278&lt;&gt;M278),"Orders differ: FTR "&amp;M278&amp;" vs RLVL "&amp;N278&amp;"; ","")&amp;IF(O278=1,"Duplicate Rider ID; ",""))</f>
        <v/>
      </c>
      <c r="Q278" s="119" t="str">
        <f aca="false">IF(P278="","",COUNTIF(P$6:P278,"?*"))</f>
        <v/>
      </c>
    </row>
    <row r="279" customFormat="false" ht="15" hidden="false" customHeight="false" outlineLevel="0" collapsed="false">
      <c r="I279" s="119" t="n">
        <v>274</v>
      </c>
      <c r="J279" s="119" t="str">
        <f aca="false">IFERROR(IF(INDEX(Rider_Input[Rider ID],I279)="","",INDEX(Rider_Input[Rider ID],I279)),"")</f>
        <v/>
      </c>
      <c r="K279" s="119" t="str">
        <f aca="false">IF(J279="","",IFERROR(MATCH(J279,INDEX(RLVL_Data,0,c_RLVL_ID),0),""))</f>
        <v/>
      </c>
      <c r="L279" s="119" t="str">
        <f aca="false">IF(J279="","",IF(ISNUMBER(MATCH(J279,Rider_Master[Rider ID],0)),1,0))</f>
        <v/>
      </c>
      <c r="M279" s="119" t="str">
        <f aca="false">IF(J279="","",INDEX(Rider_Input[Completed Orders],I279))</f>
        <v/>
      </c>
      <c r="N279" s="119" t="str">
        <f aca="false">IF(OR(J279="",K279=""),"",IFERROR(INDEX(RLVL_Data,K279,c_RLVL_Orders),""))</f>
        <v/>
      </c>
      <c r="O279" s="119" t="str">
        <f aca="false">IF(J279="","",IF(COUNTIF($J$6:$J$505,J279)&gt;1,1,0))</f>
        <v/>
      </c>
      <c r="P279" s="119" t="str">
        <f aca="false">IF(J279="","",IF(K279="","Not found in Paste_RLVL – deductions set to 0; ","")&amp;IF(L279=0,"New rider (not in Rider_Master) – OK, shown as Rider &lt;ID&gt;; ","")&amp;IF(AND(N279&lt;&gt;"",N279&lt;&gt;M279),"Orders differ: FTR "&amp;M279&amp;" vs RLVL "&amp;N279&amp;"; ","")&amp;IF(O279=1,"Duplicate Rider ID; ",""))</f>
        <v/>
      </c>
      <c r="Q279" s="119" t="str">
        <f aca="false">IF(P279="","",COUNTIF(P$6:P279,"?*"))</f>
        <v/>
      </c>
    </row>
    <row r="280" customFormat="false" ht="15" hidden="false" customHeight="false" outlineLevel="0" collapsed="false">
      <c r="I280" s="119" t="n">
        <v>275</v>
      </c>
      <c r="J280" s="119" t="str">
        <f aca="false">IFERROR(IF(INDEX(Rider_Input[Rider ID],I280)="","",INDEX(Rider_Input[Rider ID],I280)),"")</f>
        <v/>
      </c>
      <c r="K280" s="119" t="str">
        <f aca="false">IF(J280="","",IFERROR(MATCH(J280,INDEX(RLVL_Data,0,c_RLVL_ID),0),""))</f>
        <v/>
      </c>
      <c r="L280" s="119" t="str">
        <f aca="false">IF(J280="","",IF(ISNUMBER(MATCH(J280,Rider_Master[Rider ID],0)),1,0))</f>
        <v/>
      </c>
      <c r="M280" s="119" t="str">
        <f aca="false">IF(J280="","",INDEX(Rider_Input[Completed Orders],I280))</f>
        <v/>
      </c>
      <c r="N280" s="119" t="str">
        <f aca="false">IF(OR(J280="",K280=""),"",IFERROR(INDEX(RLVL_Data,K280,c_RLVL_Orders),""))</f>
        <v/>
      </c>
      <c r="O280" s="119" t="str">
        <f aca="false">IF(J280="","",IF(COUNTIF($J$6:$J$505,J280)&gt;1,1,0))</f>
        <v/>
      </c>
      <c r="P280" s="119" t="str">
        <f aca="false">IF(J280="","",IF(K280="","Not found in Paste_RLVL – deductions set to 0; ","")&amp;IF(L280=0,"New rider (not in Rider_Master) – OK, shown as Rider &lt;ID&gt;; ","")&amp;IF(AND(N280&lt;&gt;"",N280&lt;&gt;M280),"Orders differ: FTR "&amp;M280&amp;" vs RLVL "&amp;N280&amp;"; ","")&amp;IF(O280=1,"Duplicate Rider ID; ",""))</f>
        <v/>
      </c>
      <c r="Q280" s="119" t="str">
        <f aca="false">IF(P280="","",COUNTIF(P$6:P280,"?*"))</f>
        <v/>
      </c>
    </row>
    <row r="281" customFormat="false" ht="15" hidden="false" customHeight="false" outlineLevel="0" collapsed="false">
      <c r="I281" s="119" t="n">
        <v>276</v>
      </c>
      <c r="J281" s="119" t="str">
        <f aca="false">IFERROR(IF(INDEX(Rider_Input[Rider ID],I281)="","",INDEX(Rider_Input[Rider ID],I281)),"")</f>
        <v/>
      </c>
      <c r="K281" s="119" t="str">
        <f aca="false">IF(J281="","",IFERROR(MATCH(J281,INDEX(RLVL_Data,0,c_RLVL_ID),0),""))</f>
        <v/>
      </c>
      <c r="L281" s="119" t="str">
        <f aca="false">IF(J281="","",IF(ISNUMBER(MATCH(J281,Rider_Master[Rider ID],0)),1,0))</f>
        <v/>
      </c>
      <c r="M281" s="119" t="str">
        <f aca="false">IF(J281="","",INDEX(Rider_Input[Completed Orders],I281))</f>
        <v/>
      </c>
      <c r="N281" s="119" t="str">
        <f aca="false">IF(OR(J281="",K281=""),"",IFERROR(INDEX(RLVL_Data,K281,c_RLVL_Orders),""))</f>
        <v/>
      </c>
      <c r="O281" s="119" t="str">
        <f aca="false">IF(J281="","",IF(COUNTIF($J$6:$J$505,J281)&gt;1,1,0))</f>
        <v/>
      </c>
      <c r="P281" s="119" t="str">
        <f aca="false">IF(J281="","",IF(K281="","Not found in Paste_RLVL – deductions set to 0; ","")&amp;IF(L281=0,"New rider (not in Rider_Master) – OK, shown as Rider &lt;ID&gt;; ","")&amp;IF(AND(N281&lt;&gt;"",N281&lt;&gt;M281),"Orders differ: FTR "&amp;M281&amp;" vs RLVL "&amp;N281&amp;"; ","")&amp;IF(O281=1,"Duplicate Rider ID; ",""))</f>
        <v/>
      </c>
      <c r="Q281" s="119" t="str">
        <f aca="false">IF(P281="","",COUNTIF(P$6:P281,"?*"))</f>
        <v/>
      </c>
    </row>
    <row r="282" customFormat="false" ht="15" hidden="false" customHeight="false" outlineLevel="0" collapsed="false">
      <c r="I282" s="119" t="n">
        <v>277</v>
      </c>
      <c r="J282" s="119" t="str">
        <f aca="false">IFERROR(IF(INDEX(Rider_Input[Rider ID],I282)="","",INDEX(Rider_Input[Rider ID],I282)),"")</f>
        <v/>
      </c>
      <c r="K282" s="119" t="str">
        <f aca="false">IF(J282="","",IFERROR(MATCH(J282,INDEX(RLVL_Data,0,c_RLVL_ID),0),""))</f>
        <v/>
      </c>
      <c r="L282" s="119" t="str">
        <f aca="false">IF(J282="","",IF(ISNUMBER(MATCH(J282,Rider_Master[Rider ID],0)),1,0))</f>
        <v/>
      </c>
      <c r="M282" s="119" t="str">
        <f aca="false">IF(J282="","",INDEX(Rider_Input[Completed Orders],I282))</f>
        <v/>
      </c>
      <c r="N282" s="119" t="str">
        <f aca="false">IF(OR(J282="",K282=""),"",IFERROR(INDEX(RLVL_Data,K282,c_RLVL_Orders),""))</f>
        <v/>
      </c>
      <c r="O282" s="119" t="str">
        <f aca="false">IF(J282="","",IF(COUNTIF($J$6:$J$505,J282)&gt;1,1,0))</f>
        <v/>
      </c>
      <c r="P282" s="119" t="str">
        <f aca="false">IF(J282="","",IF(K282="","Not found in Paste_RLVL – deductions set to 0; ","")&amp;IF(L282=0,"New rider (not in Rider_Master) – OK, shown as Rider &lt;ID&gt;; ","")&amp;IF(AND(N282&lt;&gt;"",N282&lt;&gt;M282),"Orders differ: FTR "&amp;M282&amp;" vs RLVL "&amp;N282&amp;"; ","")&amp;IF(O282=1,"Duplicate Rider ID; ",""))</f>
        <v/>
      </c>
      <c r="Q282" s="119" t="str">
        <f aca="false">IF(P282="","",COUNTIF(P$6:P282,"?*"))</f>
        <v/>
      </c>
    </row>
    <row r="283" customFormat="false" ht="15" hidden="false" customHeight="false" outlineLevel="0" collapsed="false">
      <c r="I283" s="119" t="n">
        <v>278</v>
      </c>
      <c r="J283" s="119" t="str">
        <f aca="false">IFERROR(IF(INDEX(Rider_Input[Rider ID],I283)="","",INDEX(Rider_Input[Rider ID],I283)),"")</f>
        <v/>
      </c>
      <c r="K283" s="119" t="str">
        <f aca="false">IF(J283="","",IFERROR(MATCH(J283,INDEX(RLVL_Data,0,c_RLVL_ID),0),""))</f>
        <v/>
      </c>
      <c r="L283" s="119" t="str">
        <f aca="false">IF(J283="","",IF(ISNUMBER(MATCH(J283,Rider_Master[Rider ID],0)),1,0))</f>
        <v/>
      </c>
      <c r="M283" s="119" t="str">
        <f aca="false">IF(J283="","",INDEX(Rider_Input[Completed Orders],I283))</f>
        <v/>
      </c>
      <c r="N283" s="119" t="str">
        <f aca="false">IF(OR(J283="",K283=""),"",IFERROR(INDEX(RLVL_Data,K283,c_RLVL_Orders),""))</f>
        <v/>
      </c>
      <c r="O283" s="119" t="str">
        <f aca="false">IF(J283="","",IF(COUNTIF($J$6:$J$505,J283)&gt;1,1,0))</f>
        <v/>
      </c>
      <c r="P283" s="119" t="str">
        <f aca="false">IF(J283="","",IF(K283="","Not found in Paste_RLVL – deductions set to 0; ","")&amp;IF(L283=0,"New rider (not in Rider_Master) – OK, shown as Rider &lt;ID&gt;; ","")&amp;IF(AND(N283&lt;&gt;"",N283&lt;&gt;M283),"Orders differ: FTR "&amp;M283&amp;" vs RLVL "&amp;N283&amp;"; ","")&amp;IF(O283=1,"Duplicate Rider ID; ",""))</f>
        <v/>
      </c>
      <c r="Q283" s="119" t="str">
        <f aca="false">IF(P283="","",COUNTIF(P$6:P283,"?*"))</f>
        <v/>
      </c>
    </row>
    <row r="284" customFormat="false" ht="15" hidden="false" customHeight="false" outlineLevel="0" collapsed="false">
      <c r="I284" s="119" t="n">
        <v>279</v>
      </c>
      <c r="J284" s="119" t="str">
        <f aca="false">IFERROR(IF(INDEX(Rider_Input[Rider ID],I284)="","",INDEX(Rider_Input[Rider ID],I284)),"")</f>
        <v/>
      </c>
      <c r="K284" s="119" t="str">
        <f aca="false">IF(J284="","",IFERROR(MATCH(J284,INDEX(RLVL_Data,0,c_RLVL_ID),0),""))</f>
        <v/>
      </c>
      <c r="L284" s="119" t="str">
        <f aca="false">IF(J284="","",IF(ISNUMBER(MATCH(J284,Rider_Master[Rider ID],0)),1,0))</f>
        <v/>
      </c>
      <c r="M284" s="119" t="str">
        <f aca="false">IF(J284="","",INDEX(Rider_Input[Completed Orders],I284))</f>
        <v/>
      </c>
      <c r="N284" s="119" t="str">
        <f aca="false">IF(OR(J284="",K284=""),"",IFERROR(INDEX(RLVL_Data,K284,c_RLVL_Orders),""))</f>
        <v/>
      </c>
      <c r="O284" s="119" t="str">
        <f aca="false">IF(J284="","",IF(COUNTIF($J$6:$J$505,J284)&gt;1,1,0))</f>
        <v/>
      </c>
      <c r="P284" s="119" t="str">
        <f aca="false">IF(J284="","",IF(K284="","Not found in Paste_RLVL – deductions set to 0; ","")&amp;IF(L284=0,"New rider (not in Rider_Master) – OK, shown as Rider &lt;ID&gt;; ","")&amp;IF(AND(N284&lt;&gt;"",N284&lt;&gt;M284),"Orders differ: FTR "&amp;M284&amp;" vs RLVL "&amp;N284&amp;"; ","")&amp;IF(O284=1,"Duplicate Rider ID; ",""))</f>
        <v/>
      </c>
      <c r="Q284" s="119" t="str">
        <f aca="false">IF(P284="","",COUNTIF(P$6:P284,"?*"))</f>
        <v/>
      </c>
    </row>
    <row r="285" customFormat="false" ht="15" hidden="false" customHeight="false" outlineLevel="0" collapsed="false">
      <c r="I285" s="119" t="n">
        <v>280</v>
      </c>
      <c r="J285" s="119" t="str">
        <f aca="false">IFERROR(IF(INDEX(Rider_Input[Rider ID],I285)="","",INDEX(Rider_Input[Rider ID],I285)),"")</f>
        <v/>
      </c>
      <c r="K285" s="119" t="str">
        <f aca="false">IF(J285="","",IFERROR(MATCH(J285,INDEX(RLVL_Data,0,c_RLVL_ID),0),""))</f>
        <v/>
      </c>
      <c r="L285" s="119" t="str">
        <f aca="false">IF(J285="","",IF(ISNUMBER(MATCH(J285,Rider_Master[Rider ID],0)),1,0))</f>
        <v/>
      </c>
      <c r="M285" s="119" t="str">
        <f aca="false">IF(J285="","",INDEX(Rider_Input[Completed Orders],I285))</f>
        <v/>
      </c>
      <c r="N285" s="119" t="str">
        <f aca="false">IF(OR(J285="",K285=""),"",IFERROR(INDEX(RLVL_Data,K285,c_RLVL_Orders),""))</f>
        <v/>
      </c>
      <c r="O285" s="119" t="str">
        <f aca="false">IF(J285="","",IF(COUNTIF($J$6:$J$505,J285)&gt;1,1,0))</f>
        <v/>
      </c>
      <c r="P285" s="119" t="str">
        <f aca="false">IF(J285="","",IF(K285="","Not found in Paste_RLVL – deductions set to 0; ","")&amp;IF(L285=0,"New rider (not in Rider_Master) – OK, shown as Rider &lt;ID&gt;; ","")&amp;IF(AND(N285&lt;&gt;"",N285&lt;&gt;M285),"Orders differ: FTR "&amp;M285&amp;" vs RLVL "&amp;N285&amp;"; ","")&amp;IF(O285=1,"Duplicate Rider ID; ",""))</f>
        <v/>
      </c>
      <c r="Q285" s="119" t="str">
        <f aca="false">IF(P285="","",COUNTIF(P$6:P285,"?*"))</f>
        <v/>
      </c>
    </row>
    <row r="286" customFormat="false" ht="15" hidden="false" customHeight="false" outlineLevel="0" collapsed="false">
      <c r="I286" s="119" t="n">
        <v>281</v>
      </c>
      <c r="J286" s="119" t="str">
        <f aca="false">IFERROR(IF(INDEX(Rider_Input[Rider ID],I286)="","",INDEX(Rider_Input[Rider ID],I286)),"")</f>
        <v/>
      </c>
      <c r="K286" s="119" t="str">
        <f aca="false">IF(J286="","",IFERROR(MATCH(J286,INDEX(RLVL_Data,0,c_RLVL_ID),0),""))</f>
        <v/>
      </c>
      <c r="L286" s="119" t="str">
        <f aca="false">IF(J286="","",IF(ISNUMBER(MATCH(J286,Rider_Master[Rider ID],0)),1,0))</f>
        <v/>
      </c>
      <c r="M286" s="119" t="str">
        <f aca="false">IF(J286="","",INDEX(Rider_Input[Completed Orders],I286))</f>
        <v/>
      </c>
      <c r="N286" s="119" t="str">
        <f aca="false">IF(OR(J286="",K286=""),"",IFERROR(INDEX(RLVL_Data,K286,c_RLVL_Orders),""))</f>
        <v/>
      </c>
      <c r="O286" s="119" t="str">
        <f aca="false">IF(J286="","",IF(COUNTIF($J$6:$J$505,J286)&gt;1,1,0))</f>
        <v/>
      </c>
      <c r="P286" s="119" t="str">
        <f aca="false">IF(J286="","",IF(K286="","Not found in Paste_RLVL – deductions set to 0; ","")&amp;IF(L286=0,"New rider (not in Rider_Master) – OK, shown as Rider &lt;ID&gt;; ","")&amp;IF(AND(N286&lt;&gt;"",N286&lt;&gt;M286),"Orders differ: FTR "&amp;M286&amp;" vs RLVL "&amp;N286&amp;"; ","")&amp;IF(O286=1,"Duplicate Rider ID; ",""))</f>
        <v/>
      </c>
      <c r="Q286" s="119" t="str">
        <f aca="false">IF(P286="","",COUNTIF(P$6:P286,"?*"))</f>
        <v/>
      </c>
    </row>
    <row r="287" customFormat="false" ht="15" hidden="false" customHeight="false" outlineLevel="0" collapsed="false">
      <c r="I287" s="119" t="n">
        <v>282</v>
      </c>
      <c r="J287" s="119" t="str">
        <f aca="false">IFERROR(IF(INDEX(Rider_Input[Rider ID],I287)="","",INDEX(Rider_Input[Rider ID],I287)),"")</f>
        <v/>
      </c>
      <c r="K287" s="119" t="str">
        <f aca="false">IF(J287="","",IFERROR(MATCH(J287,INDEX(RLVL_Data,0,c_RLVL_ID),0),""))</f>
        <v/>
      </c>
      <c r="L287" s="119" t="str">
        <f aca="false">IF(J287="","",IF(ISNUMBER(MATCH(J287,Rider_Master[Rider ID],0)),1,0))</f>
        <v/>
      </c>
      <c r="M287" s="119" t="str">
        <f aca="false">IF(J287="","",INDEX(Rider_Input[Completed Orders],I287))</f>
        <v/>
      </c>
      <c r="N287" s="119" t="str">
        <f aca="false">IF(OR(J287="",K287=""),"",IFERROR(INDEX(RLVL_Data,K287,c_RLVL_Orders),""))</f>
        <v/>
      </c>
      <c r="O287" s="119" t="str">
        <f aca="false">IF(J287="","",IF(COUNTIF($J$6:$J$505,J287)&gt;1,1,0))</f>
        <v/>
      </c>
      <c r="P287" s="119" t="str">
        <f aca="false">IF(J287="","",IF(K287="","Not found in Paste_RLVL – deductions set to 0; ","")&amp;IF(L287=0,"New rider (not in Rider_Master) – OK, shown as Rider &lt;ID&gt;; ","")&amp;IF(AND(N287&lt;&gt;"",N287&lt;&gt;M287),"Orders differ: FTR "&amp;M287&amp;" vs RLVL "&amp;N287&amp;"; ","")&amp;IF(O287=1,"Duplicate Rider ID; ",""))</f>
        <v/>
      </c>
      <c r="Q287" s="119" t="str">
        <f aca="false">IF(P287="","",COUNTIF(P$6:P287,"?*"))</f>
        <v/>
      </c>
    </row>
    <row r="288" customFormat="false" ht="15" hidden="false" customHeight="false" outlineLevel="0" collapsed="false">
      <c r="I288" s="119" t="n">
        <v>283</v>
      </c>
      <c r="J288" s="119" t="str">
        <f aca="false">IFERROR(IF(INDEX(Rider_Input[Rider ID],I288)="","",INDEX(Rider_Input[Rider ID],I288)),"")</f>
        <v/>
      </c>
      <c r="K288" s="119" t="str">
        <f aca="false">IF(J288="","",IFERROR(MATCH(J288,INDEX(RLVL_Data,0,c_RLVL_ID),0),""))</f>
        <v/>
      </c>
      <c r="L288" s="119" t="str">
        <f aca="false">IF(J288="","",IF(ISNUMBER(MATCH(J288,Rider_Master[Rider ID],0)),1,0))</f>
        <v/>
      </c>
      <c r="M288" s="119" t="str">
        <f aca="false">IF(J288="","",INDEX(Rider_Input[Completed Orders],I288))</f>
        <v/>
      </c>
      <c r="N288" s="119" t="str">
        <f aca="false">IF(OR(J288="",K288=""),"",IFERROR(INDEX(RLVL_Data,K288,c_RLVL_Orders),""))</f>
        <v/>
      </c>
      <c r="O288" s="119" t="str">
        <f aca="false">IF(J288="","",IF(COUNTIF($J$6:$J$505,J288)&gt;1,1,0))</f>
        <v/>
      </c>
      <c r="P288" s="119" t="str">
        <f aca="false">IF(J288="","",IF(K288="","Not found in Paste_RLVL – deductions set to 0; ","")&amp;IF(L288=0,"New rider (not in Rider_Master) – OK, shown as Rider &lt;ID&gt;; ","")&amp;IF(AND(N288&lt;&gt;"",N288&lt;&gt;M288),"Orders differ: FTR "&amp;M288&amp;" vs RLVL "&amp;N288&amp;"; ","")&amp;IF(O288=1,"Duplicate Rider ID; ",""))</f>
        <v/>
      </c>
      <c r="Q288" s="119" t="str">
        <f aca="false">IF(P288="","",COUNTIF(P$6:P288,"?*"))</f>
        <v/>
      </c>
    </row>
    <row r="289" customFormat="false" ht="15" hidden="false" customHeight="false" outlineLevel="0" collapsed="false">
      <c r="I289" s="119" t="n">
        <v>284</v>
      </c>
      <c r="J289" s="119" t="str">
        <f aca="false">IFERROR(IF(INDEX(Rider_Input[Rider ID],I289)="","",INDEX(Rider_Input[Rider ID],I289)),"")</f>
        <v/>
      </c>
      <c r="K289" s="119" t="str">
        <f aca="false">IF(J289="","",IFERROR(MATCH(J289,INDEX(RLVL_Data,0,c_RLVL_ID),0),""))</f>
        <v/>
      </c>
      <c r="L289" s="119" t="str">
        <f aca="false">IF(J289="","",IF(ISNUMBER(MATCH(J289,Rider_Master[Rider ID],0)),1,0))</f>
        <v/>
      </c>
      <c r="M289" s="119" t="str">
        <f aca="false">IF(J289="","",INDEX(Rider_Input[Completed Orders],I289))</f>
        <v/>
      </c>
      <c r="N289" s="119" t="str">
        <f aca="false">IF(OR(J289="",K289=""),"",IFERROR(INDEX(RLVL_Data,K289,c_RLVL_Orders),""))</f>
        <v/>
      </c>
      <c r="O289" s="119" t="str">
        <f aca="false">IF(J289="","",IF(COUNTIF($J$6:$J$505,J289)&gt;1,1,0))</f>
        <v/>
      </c>
      <c r="P289" s="119" t="str">
        <f aca="false">IF(J289="","",IF(K289="","Not found in Paste_RLVL – deductions set to 0; ","")&amp;IF(L289=0,"New rider (not in Rider_Master) – OK, shown as Rider &lt;ID&gt;; ","")&amp;IF(AND(N289&lt;&gt;"",N289&lt;&gt;M289),"Orders differ: FTR "&amp;M289&amp;" vs RLVL "&amp;N289&amp;"; ","")&amp;IF(O289=1,"Duplicate Rider ID; ",""))</f>
        <v/>
      </c>
      <c r="Q289" s="119" t="str">
        <f aca="false">IF(P289="","",COUNTIF(P$6:P289,"?*"))</f>
        <v/>
      </c>
    </row>
    <row r="290" customFormat="false" ht="15" hidden="false" customHeight="false" outlineLevel="0" collapsed="false">
      <c r="I290" s="119" t="n">
        <v>285</v>
      </c>
      <c r="J290" s="119" t="str">
        <f aca="false">IFERROR(IF(INDEX(Rider_Input[Rider ID],I290)="","",INDEX(Rider_Input[Rider ID],I290)),"")</f>
        <v/>
      </c>
      <c r="K290" s="119" t="str">
        <f aca="false">IF(J290="","",IFERROR(MATCH(J290,INDEX(RLVL_Data,0,c_RLVL_ID),0),""))</f>
        <v/>
      </c>
      <c r="L290" s="119" t="str">
        <f aca="false">IF(J290="","",IF(ISNUMBER(MATCH(J290,Rider_Master[Rider ID],0)),1,0))</f>
        <v/>
      </c>
      <c r="M290" s="119" t="str">
        <f aca="false">IF(J290="","",INDEX(Rider_Input[Completed Orders],I290))</f>
        <v/>
      </c>
      <c r="N290" s="119" t="str">
        <f aca="false">IF(OR(J290="",K290=""),"",IFERROR(INDEX(RLVL_Data,K290,c_RLVL_Orders),""))</f>
        <v/>
      </c>
      <c r="O290" s="119" t="str">
        <f aca="false">IF(J290="","",IF(COUNTIF($J$6:$J$505,J290)&gt;1,1,0))</f>
        <v/>
      </c>
      <c r="P290" s="119" t="str">
        <f aca="false">IF(J290="","",IF(K290="","Not found in Paste_RLVL – deductions set to 0; ","")&amp;IF(L290=0,"New rider (not in Rider_Master) – OK, shown as Rider &lt;ID&gt;; ","")&amp;IF(AND(N290&lt;&gt;"",N290&lt;&gt;M290),"Orders differ: FTR "&amp;M290&amp;" vs RLVL "&amp;N290&amp;"; ","")&amp;IF(O290=1,"Duplicate Rider ID; ",""))</f>
        <v/>
      </c>
      <c r="Q290" s="119" t="str">
        <f aca="false">IF(P290="","",COUNTIF(P$6:P290,"?*"))</f>
        <v/>
      </c>
    </row>
    <row r="291" customFormat="false" ht="15" hidden="false" customHeight="false" outlineLevel="0" collapsed="false">
      <c r="I291" s="119" t="n">
        <v>286</v>
      </c>
      <c r="J291" s="119" t="str">
        <f aca="false">IFERROR(IF(INDEX(Rider_Input[Rider ID],I291)="","",INDEX(Rider_Input[Rider ID],I291)),"")</f>
        <v/>
      </c>
      <c r="K291" s="119" t="str">
        <f aca="false">IF(J291="","",IFERROR(MATCH(J291,INDEX(RLVL_Data,0,c_RLVL_ID),0),""))</f>
        <v/>
      </c>
      <c r="L291" s="119" t="str">
        <f aca="false">IF(J291="","",IF(ISNUMBER(MATCH(J291,Rider_Master[Rider ID],0)),1,0))</f>
        <v/>
      </c>
      <c r="M291" s="119" t="str">
        <f aca="false">IF(J291="","",INDEX(Rider_Input[Completed Orders],I291))</f>
        <v/>
      </c>
      <c r="N291" s="119" t="str">
        <f aca="false">IF(OR(J291="",K291=""),"",IFERROR(INDEX(RLVL_Data,K291,c_RLVL_Orders),""))</f>
        <v/>
      </c>
      <c r="O291" s="119" t="str">
        <f aca="false">IF(J291="","",IF(COUNTIF($J$6:$J$505,J291)&gt;1,1,0))</f>
        <v/>
      </c>
      <c r="P291" s="119" t="str">
        <f aca="false">IF(J291="","",IF(K291="","Not found in Paste_RLVL – deductions set to 0; ","")&amp;IF(L291=0,"New rider (not in Rider_Master) – OK, shown as Rider &lt;ID&gt;; ","")&amp;IF(AND(N291&lt;&gt;"",N291&lt;&gt;M291),"Orders differ: FTR "&amp;M291&amp;" vs RLVL "&amp;N291&amp;"; ","")&amp;IF(O291=1,"Duplicate Rider ID; ",""))</f>
        <v/>
      </c>
      <c r="Q291" s="119" t="str">
        <f aca="false">IF(P291="","",COUNTIF(P$6:P291,"?*"))</f>
        <v/>
      </c>
    </row>
    <row r="292" customFormat="false" ht="15" hidden="false" customHeight="false" outlineLevel="0" collapsed="false">
      <c r="I292" s="119" t="n">
        <v>287</v>
      </c>
      <c r="J292" s="119" t="str">
        <f aca="false">IFERROR(IF(INDEX(Rider_Input[Rider ID],I292)="","",INDEX(Rider_Input[Rider ID],I292)),"")</f>
        <v/>
      </c>
      <c r="K292" s="119" t="str">
        <f aca="false">IF(J292="","",IFERROR(MATCH(J292,INDEX(RLVL_Data,0,c_RLVL_ID),0),""))</f>
        <v/>
      </c>
      <c r="L292" s="119" t="str">
        <f aca="false">IF(J292="","",IF(ISNUMBER(MATCH(J292,Rider_Master[Rider ID],0)),1,0))</f>
        <v/>
      </c>
      <c r="M292" s="119" t="str">
        <f aca="false">IF(J292="","",INDEX(Rider_Input[Completed Orders],I292))</f>
        <v/>
      </c>
      <c r="N292" s="119" t="str">
        <f aca="false">IF(OR(J292="",K292=""),"",IFERROR(INDEX(RLVL_Data,K292,c_RLVL_Orders),""))</f>
        <v/>
      </c>
      <c r="O292" s="119" t="str">
        <f aca="false">IF(J292="","",IF(COUNTIF($J$6:$J$505,J292)&gt;1,1,0))</f>
        <v/>
      </c>
      <c r="P292" s="119" t="str">
        <f aca="false">IF(J292="","",IF(K292="","Not found in Paste_RLVL – deductions set to 0; ","")&amp;IF(L292=0,"New rider (not in Rider_Master) – OK, shown as Rider &lt;ID&gt;; ","")&amp;IF(AND(N292&lt;&gt;"",N292&lt;&gt;M292),"Orders differ: FTR "&amp;M292&amp;" vs RLVL "&amp;N292&amp;"; ","")&amp;IF(O292=1,"Duplicate Rider ID; ",""))</f>
        <v/>
      </c>
      <c r="Q292" s="119" t="str">
        <f aca="false">IF(P292="","",COUNTIF(P$6:P292,"?*"))</f>
        <v/>
      </c>
    </row>
    <row r="293" customFormat="false" ht="15" hidden="false" customHeight="false" outlineLevel="0" collapsed="false">
      <c r="I293" s="119" t="n">
        <v>288</v>
      </c>
      <c r="J293" s="119" t="str">
        <f aca="false">IFERROR(IF(INDEX(Rider_Input[Rider ID],I293)="","",INDEX(Rider_Input[Rider ID],I293)),"")</f>
        <v/>
      </c>
      <c r="K293" s="119" t="str">
        <f aca="false">IF(J293="","",IFERROR(MATCH(J293,INDEX(RLVL_Data,0,c_RLVL_ID),0),""))</f>
        <v/>
      </c>
      <c r="L293" s="119" t="str">
        <f aca="false">IF(J293="","",IF(ISNUMBER(MATCH(J293,Rider_Master[Rider ID],0)),1,0))</f>
        <v/>
      </c>
      <c r="M293" s="119" t="str">
        <f aca="false">IF(J293="","",INDEX(Rider_Input[Completed Orders],I293))</f>
        <v/>
      </c>
      <c r="N293" s="119" t="str">
        <f aca="false">IF(OR(J293="",K293=""),"",IFERROR(INDEX(RLVL_Data,K293,c_RLVL_Orders),""))</f>
        <v/>
      </c>
      <c r="O293" s="119" t="str">
        <f aca="false">IF(J293="","",IF(COUNTIF($J$6:$J$505,J293)&gt;1,1,0))</f>
        <v/>
      </c>
      <c r="P293" s="119" t="str">
        <f aca="false">IF(J293="","",IF(K293="","Not found in Paste_RLVL – deductions set to 0; ","")&amp;IF(L293=0,"New rider (not in Rider_Master) – OK, shown as Rider &lt;ID&gt;; ","")&amp;IF(AND(N293&lt;&gt;"",N293&lt;&gt;M293),"Orders differ: FTR "&amp;M293&amp;" vs RLVL "&amp;N293&amp;"; ","")&amp;IF(O293=1,"Duplicate Rider ID; ",""))</f>
        <v/>
      </c>
      <c r="Q293" s="119" t="str">
        <f aca="false">IF(P293="","",COUNTIF(P$6:P293,"?*"))</f>
        <v/>
      </c>
    </row>
    <row r="294" customFormat="false" ht="15" hidden="false" customHeight="false" outlineLevel="0" collapsed="false">
      <c r="I294" s="119" t="n">
        <v>289</v>
      </c>
      <c r="J294" s="119" t="str">
        <f aca="false">IFERROR(IF(INDEX(Rider_Input[Rider ID],I294)="","",INDEX(Rider_Input[Rider ID],I294)),"")</f>
        <v/>
      </c>
      <c r="K294" s="119" t="str">
        <f aca="false">IF(J294="","",IFERROR(MATCH(J294,INDEX(RLVL_Data,0,c_RLVL_ID),0),""))</f>
        <v/>
      </c>
      <c r="L294" s="119" t="str">
        <f aca="false">IF(J294="","",IF(ISNUMBER(MATCH(J294,Rider_Master[Rider ID],0)),1,0))</f>
        <v/>
      </c>
      <c r="M294" s="119" t="str">
        <f aca="false">IF(J294="","",INDEX(Rider_Input[Completed Orders],I294))</f>
        <v/>
      </c>
      <c r="N294" s="119" t="str">
        <f aca="false">IF(OR(J294="",K294=""),"",IFERROR(INDEX(RLVL_Data,K294,c_RLVL_Orders),""))</f>
        <v/>
      </c>
      <c r="O294" s="119" t="str">
        <f aca="false">IF(J294="","",IF(COUNTIF($J$6:$J$505,J294)&gt;1,1,0))</f>
        <v/>
      </c>
      <c r="P294" s="119" t="str">
        <f aca="false">IF(J294="","",IF(K294="","Not found in Paste_RLVL – deductions set to 0; ","")&amp;IF(L294=0,"New rider (not in Rider_Master) – OK, shown as Rider &lt;ID&gt;; ","")&amp;IF(AND(N294&lt;&gt;"",N294&lt;&gt;M294),"Orders differ: FTR "&amp;M294&amp;" vs RLVL "&amp;N294&amp;"; ","")&amp;IF(O294=1,"Duplicate Rider ID; ",""))</f>
        <v/>
      </c>
      <c r="Q294" s="119" t="str">
        <f aca="false">IF(P294="","",COUNTIF(P$6:P294,"?*"))</f>
        <v/>
      </c>
    </row>
    <row r="295" customFormat="false" ht="15" hidden="false" customHeight="false" outlineLevel="0" collapsed="false">
      <c r="I295" s="119" t="n">
        <v>290</v>
      </c>
      <c r="J295" s="119" t="str">
        <f aca="false">IFERROR(IF(INDEX(Rider_Input[Rider ID],I295)="","",INDEX(Rider_Input[Rider ID],I295)),"")</f>
        <v/>
      </c>
      <c r="K295" s="119" t="str">
        <f aca="false">IF(J295="","",IFERROR(MATCH(J295,INDEX(RLVL_Data,0,c_RLVL_ID),0),""))</f>
        <v/>
      </c>
      <c r="L295" s="119" t="str">
        <f aca="false">IF(J295="","",IF(ISNUMBER(MATCH(J295,Rider_Master[Rider ID],0)),1,0))</f>
        <v/>
      </c>
      <c r="M295" s="119" t="str">
        <f aca="false">IF(J295="","",INDEX(Rider_Input[Completed Orders],I295))</f>
        <v/>
      </c>
      <c r="N295" s="119" t="str">
        <f aca="false">IF(OR(J295="",K295=""),"",IFERROR(INDEX(RLVL_Data,K295,c_RLVL_Orders),""))</f>
        <v/>
      </c>
      <c r="O295" s="119" t="str">
        <f aca="false">IF(J295="","",IF(COUNTIF($J$6:$J$505,J295)&gt;1,1,0))</f>
        <v/>
      </c>
      <c r="P295" s="119" t="str">
        <f aca="false">IF(J295="","",IF(K295="","Not found in Paste_RLVL – deductions set to 0; ","")&amp;IF(L295=0,"New rider (not in Rider_Master) – OK, shown as Rider &lt;ID&gt;; ","")&amp;IF(AND(N295&lt;&gt;"",N295&lt;&gt;M295),"Orders differ: FTR "&amp;M295&amp;" vs RLVL "&amp;N295&amp;"; ","")&amp;IF(O295=1,"Duplicate Rider ID; ",""))</f>
        <v/>
      </c>
      <c r="Q295" s="119" t="str">
        <f aca="false">IF(P295="","",COUNTIF(P$6:P295,"?*"))</f>
        <v/>
      </c>
    </row>
    <row r="296" customFormat="false" ht="15" hidden="false" customHeight="false" outlineLevel="0" collapsed="false">
      <c r="I296" s="119" t="n">
        <v>291</v>
      </c>
      <c r="J296" s="119" t="str">
        <f aca="false">IFERROR(IF(INDEX(Rider_Input[Rider ID],I296)="","",INDEX(Rider_Input[Rider ID],I296)),"")</f>
        <v/>
      </c>
      <c r="K296" s="119" t="str">
        <f aca="false">IF(J296="","",IFERROR(MATCH(J296,INDEX(RLVL_Data,0,c_RLVL_ID),0),""))</f>
        <v/>
      </c>
      <c r="L296" s="119" t="str">
        <f aca="false">IF(J296="","",IF(ISNUMBER(MATCH(J296,Rider_Master[Rider ID],0)),1,0))</f>
        <v/>
      </c>
      <c r="M296" s="119" t="str">
        <f aca="false">IF(J296="","",INDEX(Rider_Input[Completed Orders],I296))</f>
        <v/>
      </c>
      <c r="N296" s="119" t="str">
        <f aca="false">IF(OR(J296="",K296=""),"",IFERROR(INDEX(RLVL_Data,K296,c_RLVL_Orders),""))</f>
        <v/>
      </c>
      <c r="O296" s="119" t="str">
        <f aca="false">IF(J296="","",IF(COUNTIF($J$6:$J$505,J296)&gt;1,1,0))</f>
        <v/>
      </c>
      <c r="P296" s="119" t="str">
        <f aca="false">IF(J296="","",IF(K296="","Not found in Paste_RLVL – deductions set to 0; ","")&amp;IF(L296=0,"New rider (not in Rider_Master) – OK, shown as Rider &lt;ID&gt;; ","")&amp;IF(AND(N296&lt;&gt;"",N296&lt;&gt;M296),"Orders differ: FTR "&amp;M296&amp;" vs RLVL "&amp;N296&amp;"; ","")&amp;IF(O296=1,"Duplicate Rider ID; ",""))</f>
        <v/>
      </c>
      <c r="Q296" s="119" t="str">
        <f aca="false">IF(P296="","",COUNTIF(P$6:P296,"?*"))</f>
        <v/>
      </c>
    </row>
    <row r="297" customFormat="false" ht="15" hidden="false" customHeight="false" outlineLevel="0" collapsed="false">
      <c r="I297" s="119" t="n">
        <v>292</v>
      </c>
      <c r="J297" s="119" t="str">
        <f aca="false">IFERROR(IF(INDEX(Rider_Input[Rider ID],I297)="","",INDEX(Rider_Input[Rider ID],I297)),"")</f>
        <v/>
      </c>
      <c r="K297" s="119" t="str">
        <f aca="false">IF(J297="","",IFERROR(MATCH(J297,INDEX(RLVL_Data,0,c_RLVL_ID),0),""))</f>
        <v/>
      </c>
      <c r="L297" s="119" t="str">
        <f aca="false">IF(J297="","",IF(ISNUMBER(MATCH(J297,Rider_Master[Rider ID],0)),1,0))</f>
        <v/>
      </c>
      <c r="M297" s="119" t="str">
        <f aca="false">IF(J297="","",INDEX(Rider_Input[Completed Orders],I297))</f>
        <v/>
      </c>
      <c r="N297" s="119" t="str">
        <f aca="false">IF(OR(J297="",K297=""),"",IFERROR(INDEX(RLVL_Data,K297,c_RLVL_Orders),""))</f>
        <v/>
      </c>
      <c r="O297" s="119" t="str">
        <f aca="false">IF(J297="","",IF(COUNTIF($J$6:$J$505,J297)&gt;1,1,0))</f>
        <v/>
      </c>
      <c r="P297" s="119" t="str">
        <f aca="false">IF(J297="","",IF(K297="","Not found in Paste_RLVL – deductions set to 0; ","")&amp;IF(L297=0,"New rider (not in Rider_Master) – OK, shown as Rider &lt;ID&gt;; ","")&amp;IF(AND(N297&lt;&gt;"",N297&lt;&gt;M297),"Orders differ: FTR "&amp;M297&amp;" vs RLVL "&amp;N297&amp;"; ","")&amp;IF(O297=1,"Duplicate Rider ID; ",""))</f>
        <v/>
      </c>
      <c r="Q297" s="119" t="str">
        <f aca="false">IF(P297="","",COUNTIF(P$6:P297,"?*"))</f>
        <v/>
      </c>
    </row>
    <row r="298" customFormat="false" ht="15" hidden="false" customHeight="false" outlineLevel="0" collapsed="false">
      <c r="I298" s="119" t="n">
        <v>293</v>
      </c>
      <c r="J298" s="119" t="str">
        <f aca="false">IFERROR(IF(INDEX(Rider_Input[Rider ID],I298)="","",INDEX(Rider_Input[Rider ID],I298)),"")</f>
        <v/>
      </c>
      <c r="K298" s="119" t="str">
        <f aca="false">IF(J298="","",IFERROR(MATCH(J298,INDEX(RLVL_Data,0,c_RLVL_ID),0),""))</f>
        <v/>
      </c>
      <c r="L298" s="119" t="str">
        <f aca="false">IF(J298="","",IF(ISNUMBER(MATCH(J298,Rider_Master[Rider ID],0)),1,0))</f>
        <v/>
      </c>
      <c r="M298" s="119" t="str">
        <f aca="false">IF(J298="","",INDEX(Rider_Input[Completed Orders],I298))</f>
        <v/>
      </c>
      <c r="N298" s="119" t="str">
        <f aca="false">IF(OR(J298="",K298=""),"",IFERROR(INDEX(RLVL_Data,K298,c_RLVL_Orders),""))</f>
        <v/>
      </c>
      <c r="O298" s="119" t="str">
        <f aca="false">IF(J298="","",IF(COUNTIF($J$6:$J$505,J298)&gt;1,1,0))</f>
        <v/>
      </c>
      <c r="P298" s="119" t="str">
        <f aca="false">IF(J298="","",IF(K298="","Not found in Paste_RLVL – deductions set to 0; ","")&amp;IF(L298=0,"New rider (not in Rider_Master) – OK, shown as Rider &lt;ID&gt;; ","")&amp;IF(AND(N298&lt;&gt;"",N298&lt;&gt;M298),"Orders differ: FTR "&amp;M298&amp;" vs RLVL "&amp;N298&amp;"; ","")&amp;IF(O298=1,"Duplicate Rider ID; ",""))</f>
        <v/>
      </c>
      <c r="Q298" s="119" t="str">
        <f aca="false">IF(P298="","",COUNTIF(P$6:P298,"?*"))</f>
        <v/>
      </c>
    </row>
    <row r="299" customFormat="false" ht="15" hidden="false" customHeight="false" outlineLevel="0" collapsed="false">
      <c r="I299" s="119" t="n">
        <v>294</v>
      </c>
      <c r="J299" s="119" t="str">
        <f aca="false">IFERROR(IF(INDEX(Rider_Input[Rider ID],I299)="","",INDEX(Rider_Input[Rider ID],I299)),"")</f>
        <v/>
      </c>
      <c r="K299" s="119" t="str">
        <f aca="false">IF(J299="","",IFERROR(MATCH(J299,INDEX(RLVL_Data,0,c_RLVL_ID),0),""))</f>
        <v/>
      </c>
      <c r="L299" s="119" t="str">
        <f aca="false">IF(J299="","",IF(ISNUMBER(MATCH(J299,Rider_Master[Rider ID],0)),1,0))</f>
        <v/>
      </c>
      <c r="M299" s="119" t="str">
        <f aca="false">IF(J299="","",INDEX(Rider_Input[Completed Orders],I299))</f>
        <v/>
      </c>
      <c r="N299" s="119" t="str">
        <f aca="false">IF(OR(J299="",K299=""),"",IFERROR(INDEX(RLVL_Data,K299,c_RLVL_Orders),""))</f>
        <v/>
      </c>
      <c r="O299" s="119" t="str">
        <f aca="false">IF(J299="","",IF(COUNTIF($J$6:$J$505,J299)&gt;1,1,0))</f>
        <v/>
      </c>
      <c r="P299" s="119" t="str">
        <f aca="false">IF(J299="","",IF(K299="","Not found in Paste_RLVL – deductions set to 0; ","")&amp;IF(L299=0,"New rider (not in Rider_Master) – OK, shown as Rider &lt;ID&gt;; ","")&amp;IF(AND(N299&lt;&gt;"",N299&lt;&gt;M299),"Orders differ: FTR "&amp;M299&amp;" vs RLVL "&amp;N299&amp;"; ","")&amp;IF(O299=1,"Duplicate Rider ID; ",""))</f>
        <v/>
      </c>
      <c r="Q299" s="119" t="str">
        <f aca="false">IF(P299="","",COUNTIF(P$6:P299,"?*"))</f>
        <v/>
      </c>
    </row>
    <row r="300" customFormat="false" ht="15" hidden="false" customHeight="false" outlineLevel="0" collapsed="false">
      <c r="I300" s="119" t="n">
        <v>295</v>
      </c>
      <c r="J300" s="119" t="str">
        <f aca="false">IFERROR(IF(INDEX(Rider_Input[Rider ID],I300)="","",INDEX(Rider_Input[Rider ID],I300)),"")</f>
        <v/>
      </c>
      <c r="K300" s="119" t="str">
        <f aca="false">IF(J300="","",IFERROR(MATCH(J300,INDEX(RLVL_Data,0,c_RLVL_ID),0),""))</f>
        <v/>
      </c>
      <c r="L300" s="119" t="str">
        <f aca="false">IF(J300="","",IF(ISNUMBER(MATCH(J300,Rider_Master[Rider ID],0)),1,0))</f>
        <v/>
      </c>
      <c r="M300" s="119" t="str">
        <f aca="false">IF(J300="","",INDEX(Rider_Input[Completed Orders],I300))</f>
        <v/>
      </c>
      <c r="N300" s="119" t="str">
        <f aca="false">IF(OR(J300="",K300=""),"",IFERROR(INDEX(RLVL_Data,K300,c_RLVL_Orders),""))</f>
        <v/>
      </c>
      <c r="O300" s="119" t="str">
        <f aca="false">IF(J300="","",IF(COUNTIF($J$6:$J$505,J300)&gt;1,1,0))</f>
        <v/>
      </c>
      <c r="P300" s="119" t="str">
        <f aca="false">IF(J300="","",IF(K300="","Not found in Paste_RLVL – deductions set to 0; ","")&amp;IF(L300=0,"New rider (not in Rider_Master) – OK, shown as Rider &lt;ID&gt;; ","")&amp;IF(AND(N300&lt;&gt;"",N300&lt;&gt;M300),"Orders differ: FTR "&amp;M300&amp;" vs RLVL "&amp;N300&amp;"; ","")&amp;IF(O300=1,"Duplicate Rider ID; ",""))</f>
        <v/>
      </c>
      <c r="Q300" s="119" t="str">
        <f aca="false">IF(P300="","",COUNTIF(P$6:P300,"?*"))</f>
        <v/>
      </c>
    </row>
    <row r="301" customFormat="false" ht="15" hidden="false" customHeight="false" outlineLevel="0" collapsed="false">
      <c r="I301" s="119" t="n">
        <v>296</v>
      </c>
      <c r="J301" s="119" t="str">
        <f aca="false">IFERROR(IF(INDEX(Rider_Input[Rider ID],I301)="","",INDEX(Rider_Input[Rider ID],I301)),"")</f>
        <v/>
      </c>
      <c r="K301" s="119" t="str">
        <f aca="false">IF(J301="","",IFERROR(MATCH(J301,INDEX(RLVL_Data,0,c_RLVL_ID),0),""))</f>
        <v/>
      </c>
      <c r="L301" s="119" t="str">
        <f aca="false">IF(J301="","",IF(ISNUMBER(MATCH(J301,Rider_Master[Rider ID],0)),1,0))</f>
        <v/>
      </c>
      <c r="M301" s="119" t="str">
        <f aca="false">IF(J301="","",INDEX(Rider_Input[Completed Orders],I301))</f>
        <v/>
      </c>
      <c r="N301" s="119" t="str">
        <f aca="false">IF(OR(J301="",K301=""),"",IFERROR(INDEX(RLVL_Data,K301,c_RLVL_Orders),""))</f>
        <v/>
      </c>
      <c r="O301" s="119" t="str">
        <f aca="false">IF(J301="","",IF(COUNTIF($J$6:$J$505,J301)&gt;1,1,0))</f>
        <v/>
      </c>
      <c r="P301" s="119" t="str">
        <f aca="false">IF(J301="","",IF(K301="","Not found in Paste_RLVL – deductions set to 0; ","")&amp;IF(L301=0,"New rider (not in Rider_Master) – OK, shown as Rider &lt;ID&gt;; ","")&amp;IF(AND(N301&lt;&gt;"",N301&lt;&gt;M301),"Orders differ: FTR "&amp;M301&amp;" vs RLVL "&amp;N301&amp;"; ","")&amp;IF(O301=1,"Duplicate Rider ID; ",""))</f>
        <v/>
      </c>
      <c r="Q301" s="119" t="str">
        <f aca="false">IF(P301="","",COUNTIF(P$6:P301,"?*"))</f>
        <v/>
      </c>
    </row>
    <row r="302" customFormat="false" ht="15" hidden="false" customHeight="false" outlineLevel="0" collapsed="false">
      <c r="I302" s="119" t="n">
        <v>297</v>
      </c>
      <c r="J302" s="119" t="str">
        <f aca="false">IFERROR(IF(INDEX(Rider_Input[Rider ID],I302)="","",INDEX(Rider_Input[Rider ID],I302)),"")</f>
        <v/>
      </c>
      <c r="K302" s="119" t="str">
        <f aca="false">IF(J302="","",IFERROR(MATCH(J302,INDEX(RLVL_Data,0,c_RLVL_ID),0),""))</f>
        <v/>
      </c>
      <c r="L302" s="119" t="str">
        <f aca="false">IF(J302="","",IF(ISNUMBER(MATCH(J302,Rider_Master[Rider ID],0)),1,0))</f>
        <v/>
      </c>
      <c r="M302" s="119" t="str">
        <f aca="false">IF(J302="","",INDEX(Rider_Input[Completed Orders],I302))</f>
        <v/>
      </c>
      <c r="N302" s="119" t="str">
        <f aca="false">IF(OR(J302="",K302=""),"",IFERROR(INDEX(RLVL_Data,K302,c_RLVL_Orders),""))</f>
        <v/>
      </c>
      <c r="O302" s="119" t="str">
        <f aca="false">IF(J302="","",IF(COUNTIF($J$6:$J$505,J302)&gt;1,1,0))</f>
        <v/>
      </c>
      <c r="P302" s="119" t="str">
        <f aca="false">IF(J302="","",IF(K302="","Not found in Paste_RLVL – deductions set to 0; ","")&amp;IF(L302=0,"New rider (not in Rider_Master) – OK, shown as Rider &lt;ID&gt;; ","")&amp;IF(AND(N302&lt;&gt;"",N302&lt;&gt;M302),"Orders differ: FTR "&amp;M302&amp;" vs RLVL "&amp;N302&amp;"; ","")&amp;IF(O302=1,"Duplicate Rider ID; ",""))</f>
        <v/>
      </c>
      <c r="Q302" s="119" t="str">
        <f aca="false">IF(P302="","",COUNTIF(P$6:P302,"?*"))</f>
        <v/>
      </c>
    </row>
    <row r="303" customFormat="false" ht="15" hidden="false" customHeight="false" outlineLevel="0" collapsed="false">
      <c r="I303" s="119" t="n">
        <v>298</v>
      </c>
      <c r="J303" s="119" t="str">
        <f aca="false">IFERROR(IF(INDEX(Rider_Input[Rider ID],I303)="","",INDEX(Rider_Input[Rider ID],I303)),"")</f>
        <v/>
      </c>
      <c r="K303" s="119" t="str">
        <f aca="false">IF(J303="","",IFERROR(MATCH(J303,INDEX(RLVL_Data,0,c_RLVL_ID),0),""))</f>
        <v/>
      </c>
      <c r="L303" s="119" t="str">
        <f aca="false">IF(J303="","",IF(ISNUMBER(MATCH(J303,Rider_Master[Rider ID],0)),1,0))</f>
        <v/>
      </c>
      <c r="M303" s="119" t="str">
        <f aca="false">IF(J303="","",INDEX(Rider_Input[Completed Orders],I303))</f>
        <v/>
      </c>
      <c r="N303" s="119" t="str">
        <f aca="false">IF(OR(J303="",K303=""),"",IFERROR(INDEX(RLVL_Data,K303,c_RLVL_Orders),""))</f>
        <v/>
      </c>
      <c r="O303" s="119" t="str">
        <f aca="false">IF(J303="","",IF(COUNTIF($J$6:$J$505,J303)&gt;1,1,0))</f>
        <v/>
      </c>
      <c r="P303" s="119" t="str">
        <f aca="false">IF(J303="","",IF(K303="","Not found in Paste_RLVL – deductions set to 0; ","")&amp;IF(L303=0,"New rider (not in Rider_Master) – OK, shown as Rider &lt;ID&gt;; ","")&amp;IF(AND(N303&lt;&gt;"",N303&lt;&gt;M303),"Orders differ: FTR "&amp;M303&amp;" vs RLVL "&amp;N303&amp;"; ","")&amp;IF(O303=1,"Duplicate Rider ID; ",""))</f>
        <v/>
      </c>
      <c r="Q303" s="119" t="str">
        <f aca="false">IF(P303="","",COUNTIF(P$6:P303,"?*"))</f>
        <v/>
      </c>
    </row>
    <row r="304" customFormat="false" ht="15" hidden="false" customHeight="false" outlineLevel="0" collapsed="false">
      <c r="I304" s="119" t="n">
        <v>299</v>
      </c>
      <c r="J304" s="119" t="str">
        <f aca="false">IFERROR(IF(INDEX(Rider_Input[Rider ID],I304)="","",INDEX(Rider_Input[Rider ID],I304)),"")</f>
        <v/>
      </c>
      <c r="K304" s="119" t="str">
        <f aca="false">IF(J304="","",IFERROR(MATCH(J304,INDEX(RLVL_Data,0,c_RLVL_ID),0),""))</f>
        <v/>
      </c>
      <c r="L304" s="119" t="str">
        <f aca="false">IF(J304="","",IF(ISNUMBER(MATCH(J304,Rider_Master[Rider ID],0)),1,0))</f>
        <v/>
      </c>
      <c r="M304" s="119" t="str">
        <f aca="false">IF(J304="","",INDEX(Rider_Input[Completed Orders],I304))</f>
        <v/>
      </c>
      <c r="N304" s="119" t="str">
        <f aca="false">IF(OR(J304="",K304=""),"",IFERROR(INDEX(RLVL_Data,K304,c_RLVL_Orders),""))</f>
        <v/>
      </c>
      <c r="O304" s="119" t="str">
        <f aca="false">IF(J304="","",IF(COUNTIF($J$6:$J$505,J304)&gt;1,1,0))</f>
        <v/>
      </c>
      <c r="P304" s="119" t="str">
        <f aca="false">IF(J304="","",IF(K304="","Not found in Paste_RLVL – deductions set to 0; ","")&amp;IF(L304=0,"New rider (not in Rider_Master) – OK, shown as Rider &lt;ID&gt;; ","")&amp;IF(AND(N304&lt;&gt;"",N304&lt;&gt;M304),"Orders differ: FTR "&amp;M304&amp;" vs RLVL "&amp;N304&amp;"; ","")&amp;IF(O304=1,"Duplicate Rider ID; ",""))</f>
        <v/>
      </c>
      <c r="Q304" s="119" t="str">
        <f aca="false">IF(P304="","",COUNTIF(P$6:P304,"?*"))</f>
        <v/>
      </c>
    </row>
    <row r="305" customFormat="false" ht="15" hidden="false" customHeight="false" outlineLevel="0" collapsed="false">
      <c r="I305" s="119" t="n">
        <v>300</v>
      </c>
      <c r="J305" s="119" t="str">
        <f aca="false">IFERROR(IF(INDEX(Rider_Input[Rider ID],I305)="","",INDEX(Rider_Input[Rider ID],I305)),"")</f>
        <v/>
      </c>
      <c r="K305" s="119" t="str">
        <f aca="false">IF(J305="","",IFERROR(MATCH(J305,INDEX(RLVL_Data,0,c_RLVL_ID),0),""))</f>
        <v/>
      </c>
      <c r="L305" s="119" t="str">
        <f aca="false">IF(J305="","",IF(ISNUMBER(MATCH(J305,Rider_Master[Rider ID],0)),1,0))</f>
        <v/>
      </c>
      <c r="M305" s="119" t="str">
        <f aca="false">IF(J305="","",INDEX(Rider_Input[Completed Orders],I305))</f>
        <v/>
      </c>
      <c r="N305" s="119" t="str">
        <f aca="false">IF(OR(J305="",K305=""),"",IFERROR(INDEX(RLVL_Data,K305,c_RLVL_Orders),""))</f>
        <v/>
      </c>
      <c r="O305" s="119" t="str">
        <f aca="false">IF(J305="","",IF(COUNTIF($J$6:$J$505,J305)&gt;1,1,0))</f>
        <v/>
      </c>
      <c r="P305" s="119" t="str">
        <f aca="false">IF(J305="","",IF(K305="","Not found in Paste_RLVL – deductions set to 0; ","")&amp;IF(L305=0,"New rider (not in Rider_Master) – OK, shown as Rider &lt;ID&gt;; ","")&amp;IF(AND(N305&lt;&gt;"",N305&lt;&gt;M305),"Orders differ: FTR "&amp;M305&amp;" vs RLVL "&amp;N305&amp;"; ","")&amp;IF(O305=1,"Duplicate Rider ID; ",""))</f>
        <v/>
      </c>
      <c r="Q305" s="119" t="str">
        <f aca="false">IF(P305="","",COUNTIF(P$6:P305,"?*"))</f>
        <v/>
      </c>
    </row>
    <row r="306" customFormat="false" ht="15" hidden="false" customHeight="false" outlineLevel="0" collapsed="false">
      <c r="I306" s="119" t="n">
        <v>301</v>
      </c>
      <c r="J306" s="119" t="str">
        <f aca="false">IFERROR(IF(INDEX(Rider_Input[Rider ID],I306)="","",INDEX(Rider_Input[Rider ID],I306)),"")</f>
        <v/>
      </c>
      <c r="K306" s="119" t="str">
        <f aca="false">IF(J306="","",IFERROR(MATCH(J306,INDEX(RLVL_Data,0,c_RLVL_ID),0),""))</f>
        <v/>
      </c>
      <c r="L306" s="119" t="str">
        <f aca="false">IF(J306="","",IF(ISNUMBER(MATCH(J306,Rider_Master[Rider ID],0)),1,0))</f>
        <v/>
      </c>
      <c r="M306" s="119" t="str">
        <f aca="false">IF(J306="","",INDEX(Rider_Input[Completed Orders],I306))</f>
        <v/>
      </c>
      <c r="N306" s="119" t="str">
        <f aca="false">IF(OR(J306="",K306=""),"",IFERROR(INDEX(RLVL_Data,K306,c_RLVL_Orders),""))</f>
        <v/>
      </c>
      <c r="O306" s="119" t="str">
        <f aca="false">IF(J306="","",IF(COUNTIF($J$6:$J$505,J306)&gt;1,1,0))</f>
        <v/>
      </c>
      <c r="P306" s="119" t="str">
        <f aca="false">IF(J306="","",IF(K306="","Not found in Paste_RLVL – deductions set to 0; ","")&amp;IF(L306=0,"New rider (not in Rider_Master) – OK, shown as Rider &lt;ID&gt;; ","")&amp;IF(AND(N306&lt;&gt;"",N306&lt;&gt;M306),"Orders differ: FTR "&amp;M306&amp;" vs RLVL "&amp;N306&amp;"; ","")&amp;IF(O306=1,"Duplicate Rider ID; ",""))</f>
        <v/>
      </c>
      <c r="Q306" s="119" t="str">
        <f aca="false">IF(P306="","",COUNTIF(P$6:P306,"?*"))</f>
        <v/>
      </c>
    </row>
    <row r="307" customFormat="false" ht="15" hidden="false" customHeight="false" outlineLevel="0" collapsed="false">
      <c r="I307" s="119" t="n">
        <v>302</v>
      </c>
      <c r="J307" s="119" t="str">
        <f aca="false">IFERROR(IF(INDEX(Rider_Input[Rider ID],I307)="","",INDEX(Rider_Input[Rider ID],I307)),"")</f>
        <v/>
      </c>
      <c r="K307" s="119" t="str">
        <f aca="false">IF(J307="","",IFERROR(MATCH(J307,INDEX(RLVL_Data,0,c_RLVL_ID),0),""))</f>
        <v/>
      </c>
      <c r="L307" s="119" t="str">
        <f aca="false">IF(J307="","",IF(ISNUMBER(MATCH(J307,Rider_Master[Rider ID],0)),1,0))</f>
        <v/>
      </c>
      <c r="M307" s="119" t="str">
        <f aca="false">IF(J307="","",INDEX(Rider_Input[Completed Orders],I307))</f>
        <v/>
      </c>
      <c r="N307" s="119" t="str">
        <f aca="false">IF(OR(J307="",K307=""),"",IFERROR(INDEX(RLVL_Data,K307,c_RLVL_Orders),""))</f>
        <v/>
      </c>
      <c r="O307" s="119" t="str">
        <f aca="false">IF(J307="","",IF(COUNTIF($J$6:$J$505,J307)&gt;1,1,0))</f>
        <v/>
      </c>
      <c r="P307" s="119" t="str">
        <f aca="false">IF(J307="","",IF(K307="","Not found in Paste_RLVL – deductions set to 0; ","")&amp;IF(L307=0,"New rider (not in Rider_Master) – OK, shown as Rider &lt;ID&gt;; ","")&amp;IF(AND(N307&lt;&gt;"",N307&lt;&gt;M307),"Orders differ: FTR "&amp;M307&amp;" vs RLVL "&amp;N307&amp;"; ","")&amp;IF(O307=1,"Duplicate Rider ID; ",""))</f>
        <v/>
      </c>
      <c r="Q307" s="119" t="str">
        <f aca="false">IF(P307="","",COUNTIF(P$6:P307,"?*"))</f>
        <v/>
      </c>
    </row>
    <row r="308" customFormat="false" ht="15" hidden="false" customHeight="false" outlineLevel="0" collapsed="false">
      <c r="I308" s="119" t="n">
        <v>303</v>
      </c>
      <c r="J308" s="119" t="str">
        <f aca="false">IFERROR(IF(INDEX(Rider_Input[Rider ID],I308)="","",INDEX(Rider_Input[Rider ID],I308)),"")</f>
        <v/>
      </c>
      <c r="K308" s="119" t="str">
        <f aca="false">IF(J308="","",IFERROR(MATCH(J308,INDEX(RLVL_Data,0,c_RLVL_ID),0),""))</f>
        <v/>
      </c>
      <c r="L308" s="119" t="str">
        <f aca="false">IF(J308="","",IF(ISNUMBER(MATCH(J308,Rider_Master[Rider ID],0)),1,0))</f>
        <v/>
      </c>
      <c r="M308" s="119" t="str">
        <f aca="false">IF(J308="","",INDEX(Rider_Input[Completed Orders],I308))</f>
        <v/>
      </c>
      <c r="N308" s="119" t="str">
        <f aca="false">IF(OR(J308="",K308=""),"",IFERROR(INDEX(RLVL_Data,K308,c_RLVL_Orders),""))</f>
        <v/>
      </c>
      <c r="O308" s="119" t="str">
        <f aca="false">IF(J308="","",IF(COUNTIF($J$6:$J$505,J308)&gt;1,1,0))</f>
        <v/>
      </c>
      <c r="P308" s="119" t="str">
        <f aca="false">IF(J308="","",IF(K308="","Not found in Paste_RLVL – deductions set to 0; ","")&amp;IF(L308=0,"New rider (not in Rider_Master) – OK, shown as Rider &lt;ID&gt;; ","")&amp;IF(AND(N308&lt;&gt;"",N308&lt;&gt;M308),"Orders differ: FTR "&amp;M308&amp;" vs RLVL "&amp;N308&amp;"; ","")&amp;IF(O308=1,"Duplicate Rider ID; ",""))</f>
        <v/>
      </c>
      <c r="Q308" s="119" t="str">
        <f aca="false">IF(P308="","",COUNTIF(P$6:P308,"?*"))</f>
        <v/>
      </c>
    </row>
    <row r="309" customFormat="false" ht="15" hidden="false" customHeight="false" outlineLevel="0" collapsed="false">
      <c r="I309" s="119" t="n">
        <v>304</v>
      </c>
      <c r="J309" s="119" t="str">
        <f aca="false">IFERROR(IF(INDEX(Rider_Input[Rider ID],I309)="","",INDEX(Rider_Input[Rider ID],I309)),"")</f>
        <v/>
      </c>
      <c r="K309" s="119" t="str">
        <f aca="false">IF(J309="","",IFERROR(MATCH(J309,INDEX(RLVL_Data,0,c_RLVL_ID),0),""))</f>
        <v/>
      </c>
      <c r="L309" s="119" t="str">
        <f aca="false">IF(J309="","",IF(ISNUMBER(MATCH(J309,Rider_Master[Rider ID],0)),1,0))</f>
        <v/>
      </c>
      <c r="M309" s="119" t="str">
        <f aca="false">IF(J309="","",INDEX(Rider_Input[Completed Orders],I309))</f>
        <v/>
      </c>
      <c r="N309" s="119" t="str">
        <f aca="false">IF(OR(J309="",K309=""),"",IFERROR(INDEX(RLVL_Data,K309,c_RLVL_Orders),""))</f>
        <v/>
      </c>
      <c r="O309" s="119" t="str">
        <f aca="false">IF(J309="","",IF(COUNTIF($J$6:$J$505,J309)&gt;1,1,0))</f>
        <v/>
      </c>
      <c r="P309" s="119" t="str">
        <f aca="false">IF(J309="","",IF(K309="","Not found in Paste_RLVL – deductions set to 0; ","")&amp;IF(L309=0,"New rider (not in Rider_Master) – OK, shown as Rider &lt;ID&gt;; ","")&amp;IF(AND(N309&lt;&gt;"",N309&lt;&gt;M309),"Orders differ: FTR "&amp;M309&amp;" vs RLVL "&amp;N309&amp;"; ","")&amp;IF(O309=1,"Duplicate Rider ID; ",""))</f>
        <v/>
      </c>
      <c r="Q309" s="119" t="str">
        <f aca="false">IF(P309="","",COUNTIF(P$6:P309,"?*"))</f>
        <v/>
      </c>
    </row>
    <row r="310" customFormat="false" ht="15" hidden="false" customHeight="false" outlineLevel="0" collapsed="false">
      <c r="I310" s="119" t="n">
        <v>305</v>
      </c>
      <c r="J310" s="119" t="str">
        <f aca="false">IFERROR(IF(INDEX(Rider_Input[Rider ID],I310)="","",INDEX(Rider_Input[Rider ID],I310)),"")</f>
        <v/>
      </c>
      <c r="K310" s="119" t="str">
        <f aca="false">IF(J310="","",IFERROR(MATCH(J310,INDEX(RLVL_Data,0,c_RLVL_ID),0),""))</f>
        <v/>
      </c>
      <c r="L310" s="119" t="str">
        <f aca="false">IF(J310="","",IF(ISNUMBER(MATCH(J310,Rider_Master[Rider ID],0)),1,0))</f>
        <v/>
      </c>
      <c r="M310" s="119" t="str">
        <f aca="false">IF(J310="","",INDEX(Rider_Input[Completed Orders],I310))</f>
        <v/>
      </c>
      <c r="N310" s="119" t="str">
        <f aca="false">IF(OR(J310="",K310=""),"",IFERROR(INDEX(RLVL_Data,K310,c_RLVL_Orders),""))</f>
        <v/>
      </c>
      <c r="O310" s="119" t="str">
        <f aca="false">IF(J310="","",IF(COUNTIF($J$6:$J$505,J310)&gt;1,1,0))</f>
        <v/>
      </c>
      <c r="P310" s="119" t="str">
        <f aca="false">IF(J310="","",IF(K310="","Not found in Paste_RLVL – deductions set to 0; ","")&amp;IF(L310=0,"New rider (not in Rider_Master) – OK, shown as Rider &lt;ID&gt;; ","")&amp;IF(AND(N310&lt;&gt;"",N310&lt;&gt;M310),"Orders differ: FTR "&amp;M310&amp;" vs RLVL "&amp;N310&amp;"; ","")&amp;IF(O310=1,"Duplicate Rider ID; ",""))</f>
        <v/>
      </c>
      <c r="Q310" s="119" t="str">
        <f aca="false">IF(P310="","",COUNTIF(P$6:P310,"?*"))</f>
        <v/>
      </c>
    </row>
    <row r="311" customFormat="false" ht="15" hidden="false" customHeight="false" outlineLevel="0" collapsed="false">
      <c r="I311" s="119" t="n">
        <v>306</v>
      </c>
      <c r="J311" s="119" t="str">
        <f aca="false">IFERROR(IF(INDEX(Rider_Input[Rider ID],I311)="","",INDEX(Rider_Input[Rider ID],I311)),"")</f>
        <v/>
      </c>
      <c r="K311" s="119" t="str">
        <f aca="false">IF(J311="","",IFERROR(MATCH(J311,INDEX(RLVL_Data,0,c_RLVL_ID),0),""))</f>
        <v/>
      </c>
      <c r="L311" s="119" t="str">
        <f aca="false">IF(J311="","",IF(ISNUMBER(MATCH(J311,Rider_Master[Rider ID],0)),1,0))</f>
        <v/>
      </c>
      <c r="M311" s="119" t="str">
        <f aca="false">IF(J311="","",INDEX(Rider_Input[Completed Orders],I311))</f>
        <v/>
      </c>
      <c r="N311" s="119" t="str">
        <f aca="false">IF(OR(J311="",K311=""),"",IFERROR(INDEX(RLVL_Data,K311,c_RLVL_Orders),""))</f>
        <v/>
      </c>
      <c r="O311" s="119" t="str">
        <f aca="false">IF(J311="","",IF(COUNTIF($J$6:$J$505,J311)&gt;1,1,0))</f>
        <v/>
      </c>
      <c r="P311" s="119" t="str">
        <f aca="false">IF(J311="","",IF(K311="","Not found in Paste_RLVL – deductions set to 0; ","")&amp;IF(L311=0,"New rider (not in Rider_Master) – OK, shown as Rider &lt;ID&gt;; ","")&amp;IF(AND(N311&lt;&gt;"",N311&lt;&gt;M311),"Orders differ: FTR "&amp;M311&amp;" vs RLVL "&amp;N311&amp;"; ","")&amp;IF(O311=1,"Duplicate Rider ID; ",""))</f>
        <v/>
      </c>
      <c r="Q311" s="119" t="str">
        <f aca="false">IF(P311="","",COUNTIF(P$6:P311,"?*"))</f>
        <v/>
      </c>
    </row>
    <row r="312" customFormat="false" ht="15" hidden="false" customHeight="false" outlineLevel="0" collapsed="false">
      <c r="I312" s="119" t="n">
        <v>307</v>
      </c>
      <c r="J312" s="119" t="str">
        <f aca="false">IFERROR(IF(INDEX(Rider_Input[Rider ID],I312)="","",INDEX(Rider_Input[Rider ID],I312)),"")</f>
        <v/>
      </c>
      <c r="K312" s="119" t="str">
        <f aca="false">IF(J312="","",IFERROR(MATCH(J312,INDEX(RLVL_Data,0,c_RLVL_ID),0),""))</f>
        <v/>
      </c>
      <c r="L312" s="119" t="str">
        <f aca="false">IF(J312="","",IF(ISNUMBER(MATCH(J312,Rider_Master[Rider ID],0)),1,0))</f>
        <v/>
      </c>
      <c r="M312" s="119" t="str">
        <f aca="false">IF(J312="","",INDEX(Rider_Input[Completed Orders],I312))</f>
        <v/>
      </c>
      <c r="N312" s="119" t="str">
        <f aca="false">IF(OR(J312="",K312=""),"",IFERROR(INDEX(RLVL_Data,K312,c_RLVL_Orders),""))</f>
        <v/>
      </c>
      <c r="O312" s="119" t="str">
        <f aca="false">IF(J312="","",IF(COUNTIF($J$6:$J$505,J312)&gt;1,1,0))</f>
        <v/>
      </c>
      <c r="P312" s="119" t="str">
        <f aca="false">IF(J312="","",IF(K312="","Not found in Paste_RLVL – deductions set to 0; ","")&amp;IF(L312=0,"New rider (not in Rider_Master) – OK, shown as Rider &lt;ID&gt;; ","")&amp;IF(AND(N312&lt;&gt;"",N312&lt;&gt;M312),"Orders differ: FTR "&amp;M312&amp;" vs RLVL "&amp;N312&amp;"; ","")&amp;IF(O312=1,"Duplicate Rider ID; ",""))</f>
        <v/>
      </c>
      <c r="Q312" s="119" t="str">
        <f aca="false">IF(P312="","",COUNTIF(P$6:P312,"?*"))</f>
        <v/>
      </c>
    </row>
    <row r="313" customFormat="false" ht="15" hidden="false" customHeight="false" outlineLevel="0" collapsed="false">
      <c r="I313" s="119" t="n">
        <v>308</v>
      </c>
      <c r="J313" s="119" t="str">
        <f aca="false">IFERROR(IF(INDEX(Rider_Input[Rider ID],I313)="","",INDEX(Rider_Input[Rider ID],I313)),"")</f>
        <v/>
      </c>
      <c r="K313" s="119" t="str">
        <f aca="false">IF(J313="","",IFERROR(MATCH(J313,INDEX(RLVL_Data,0,c_RLVL_ID),0),""))</f>
        <v/>
      </c>
      <c r="L313" s="119" t="str">
        <f aca="false">IF(J313="","",IF(ISNUMBER(MATCH(J313,Rider_Master[Rider ID],0)),1,0))</f>
        <v/>
      </c>
      <c r="M313" s="119" t="str">
        <f aca="false">IF(J313="","",INDEX(Rider_Input[Completed Orders],I313))</f>
        <v/>
      </c>
      <c r="N313" s="119" t="str">
        <f aca="false">IF(OR(J313="",K313=""),"",IFERROR(INDEX(RLVL_Data,K313,c_RLVL_Orders),""))</f>
        <v/>
      </c>
      <c r="O313" s="119" t="str">
        <f aca="false">IF(J313="","",IF(COUNTIF($J$6:$J$505,J313)&gt;1,1,0))</f>
        <v/>
      </c>
      <c r="P313" s="119" t="str">
        <f aca="false">IF(J313="","",IF(K313="","Not found in Paste_RLVL – deductions set to 0; ","")&amp;IF(L313=0,"New rider (not in Rider_Master) – OK, shown as Rider &lt;ID&gt;; ","")&amp;IF(AND(N313&lt;&gt;"",N313&lt;&gt;M313),"Orders differ: FTR "&amp;M313&amp;" vs RLVL "&amp;N313&amp;"; ","")&amp;IF(O313=1,"Duplicate Rider ID; ",""))</f>
        <v/>
      </c>
      <c r="Q313" s="119" t="str">
        <f aca="false">IF(P313="","",COUNTIF(P$6:P313,"?*"))</f>
        <v/>
      </c>
    </row>
    <row r="314" customFormat="false" ht="15" hidden="false" customHeight="false" outlineLevel="0" collapsed="false">
      <c r="I314" s="119" t="n">
        <v>309</v>
      </c>
      <c r="J314" s="119" t="str">
        <f aca="false">IFERROR(IF(INDEX(Rider_Input[Rider ID],I314)="","",INDEX(Rider_Input[Rider ID],I314)),"")</f>
        <v/>
      </c>
      <c r="K314" s="119" t="str">
        <f aca="false">IF(J314="","",IFERROR(MATCH(J314,INDEX(RLVL_Data,0,c_RLVL_ID),0),""))</f>
        <v/>
      </c>
      <c r="L314" s="119" t="str">
        <f aca="false">IF(J314="","",IF(ISNUMBER(MATCH(J314,Rider_Master[Rider ID],0)),1,0))</f>
        <v/>
      </c>
      <c r="M314" s="119" t="str">
        <f aca="false">IF(J314="","",INDEX(Rider_Input[Completed Orders],I314))</f>
        <v/>
      </c>
      <c r="N314" s="119" t="str">
        <f aca="false">IF(OR(J314="",K314=""),"",IFERROR(INDEX(RLVL_Data,K314,c_RLVL_Orders),""))</f>
        <v/>
      </c>
      <c r="O314" s="119" t="str">
        <f aca="false">IF(J314="","",IF(COUNTIF($J$6:$J$505,J314)&gt;1,1,0))</f>
        <v/>
      </c>
      <c r="P314" s="119" t="str">
        <f aca="false">IF(J314="","",IF(K314="","Not found in Paste_RLVL – deductions set to 0; ","")&amp;IF(L314=0,"New rider (not in Rider_Master) – OK, shown as Rider &lt;ID&gt;; ","")&amp;IF(AND(N314&lt;&gt;"",N314&lt;&gt;M314),"Orders differ: FTR "&amp;M314&amp;" vs RLVL "&amp;N314&amp;"; ","")&amp;IF(O314=1,"Duplicate Rider ID; ",""))</f>
        <v/>
      </c>
      <c r="Q314" s="119" t="str">
        <f aca="false">IF(P314="","",COUNTIF(P$6:P314,"?*"))</f>
        <v/>
      </c>
    </row>
    <row r="315" customFormat="false" ht="15" hidden="false" customHeight="false" outlineLevel="0" collapsed="false">
      <c r="I315" s="119" t="n">
        <v>310</v>
      </c>
      <c r="J315" s="119" t="str">
        <f aca="false">IFERROR(IF(INDEX(Rider_Input[Rider ID],I315)="","",INDEX(Rider_Input[Rider ID],I315)),"")</f>
        <v/>
      </c>
      <c r="K315" s="119" t="str">
        <f aca="false">IF(J315="","",IFERROR(MATCH(J315,INDEX(RLVL_Data,0,c_RLVL_ID),0),""))</f>
        <v/>
      </c>
      <c r="L315" s="119" t="str">
        <f aca="false">IF(J315="","",IF(ISNUMBER(MATCH(J315,Rider_Master[Rider ID],0)),1,0))</f>
        <v/>
      </c>
      <c r="M315" s="119" t="str">
        <f aca="false">IF(J315="","",INDEX(Rider_Input[Completed Orders],I315))</f>
        <v/>
      </c>
      <c r="N315" s="119" t="str">
        <f aca="false">IF(OR(J315="",K315=""),"",IFERROR(INDEX(RLVL_Data,K315,c_RLVL_Orders),""))</f>
        <v/>
      </c>
      <c r="O315" s="119" t="str">
        <f aca="false">IF(J315="","",IF(COUNTIF($J$6:$J$505,J315)&gt;1,1,0))</f>
        <v/>
      </c>
      <c r="P315" s="119" t="str">
        <f aca="false">IF(J315="","",IF(K315="","Not found in Paste_RLVL – deductions set to 0; ","")&amp;IF(L315=0,"New rider (not in Rider_Master) – OK, shown as Rider &lt;ID&gt;; ","")&amp;IF(AND(N315&lt;&gt;"",N315&lt;&gt;M315),"Orders differ: FTR "&amp;M315&amp;" vs RLVL "&amp;N315&amp;"; ","")&amp;IF(O315=1,"Duplicate Rider ID; ",""))</f>
        <v/>
      </c>
      <c r="Q315" s="119" t="str">
        <f aca="false">IF(P315="","",COUNTIF(P$6:P315,"?*"))</f>
        <v/>
      </c>
    </row>
    <row r="316" customFormat="false" ht="15" hidden="false" customHeight="false" outlineLevel="0" collapsed="false">
      <c r="I316" s="119" t="n">
        <v>311</v>
      </c>
      <c r="J316" s="119" t="str">
        <f aca="false">IFERROR(IF(INDEX(Rider_Input[Rider ID],I316)="","",INDEX(Rider_Input[Rider ID],I316)),"")</f>
        <v/>
      </c>
      <c r="K316" s="119" t="str">
        <f aca="false">IF(J316="","",IFERROR(MATCH(J316,INDEX(RLVL_Data,0,c_RLVL_ID),0),""))</f>
        <v/>
      </c>
      <c r="L316" s="119" t="str">
        <f aca="false">IF(J316="","",IF(ISNUMBER(MATCH(J316,Rider_Master[Rider ID],0)),1,0))</f>
        <v/>
      </c>
      <c r="M316" s="119" t="str">
        <f aca="false">IF(J316="","",INDEX(Rider_Input[Completed Orders],I316))</f>
        <v/>
      </c>
      <c r="N316" s="119" t="str">
        <f aca="false">IF(OR(J316="",K316=""),"",IFERROR(INDEX(RLVL_Data,K316,c_RLVL_Orders),""))</f>
        <v/>
      </c>
      <c r="O316" s="119" t="str">
        <f aca="false">IF(J316="","",IF(COUNTIF($J$6:$J$505,J316)&gt;1,1,0))</f>
        <v/>
      </c>
      <c r="P316" s="119" t="str">
        <f aca="false">IF(J316="","",IF(K316="","Not found in Paste_RLVL – deductions set to 0; ","")&amp;IF(L316=0,"New rider (not in Rider_Master) – OK, shown as Rider &lt;ID&gt;; ","")&amp;IF(AND(N316&lt;&gt;"",N316&lt;&gt;M316),"Orders differ: FTR "&amp;M316&amp;" vs RLVL "&amp;N316&amp;"; ","")&amp;IF(O316=1,"Duplicate Rider ID; ",""))</f>
        <v/>
      </c>
      <c r="Q316" s="119" t="str">
        <f aca="false">IF(P316="","",COUNTIF(P$6:P316,"?*"))</f>
        <v/>
      </c>
    </row>
    <row r="317" customFormat="false" ht="15" hidden="false" customHeight="false" outlineLevel="0" collapsed="false">
      <c r="I317" s="119" t="n">
        <v>312</v>
      </c>
      <c r="J317" s="119" t="str">
        <f aca="false">IFERROR(IF(INDEX(Rider_Input[Rider ID],I317)="","",INDEX(Rider_Input[Rider ID],I317)),"")</f>
        <v/>
      </c>
      <c r="K317" s="119" t="str">
        <f aca="false">IF(J317="","",IFERROR(MATCH(J317,INDEX(RLVL_Data,0,c_RLVL_ID),0),""))</f>
        <v/>
      </c>
      <c r="L317" s="119" t="str">
        <f aca="false">IF(J317="","",IF(ISNUMBER(MATCH(J317,Rider_Master[Rider ID],0)),1,0))</f>
        <v/>
      </c>
      <c r="M317" s="119" t="str">
        <f aca="false">IF(J317="","",INDEX(Rider_Input[Completed Orders],I317))</f>
        <v/>
      </c>
      <c r="N317" s="119" t="str">
        <f aca="false">IF(OR(J317="",K317=""),"",IFERROR(INDEX(RLVL_Data,K317,c_RLVL_Orders),""))</f>
        <v/>
      </c>
      <c r="O317" s="119" t="str">
        <f aca="false">IF(J317="","",IF(COUNTIF($J$6:$J$505,J317)&gt;1,1,0))</f>
        <v/>
      </c>
      <c r="P317" s="119" t="str">
        <f aca="false">IF(J317="","",IF(K317="","Not found in Paste_RLVL – deductions set to 0; ","")&amp;IF(L317=0,"New rider (not in Rider_Master) – OK, shown as Rider &lt;ID&gt;; ","")&amp;IF(AND(N317&lt;&gt;"",N317&lt;&gt;M317),"Orders differ: FTR "&amp;M317&amp;" vs RLVL "&amp;N317&amp;"; ","")&amp;IF(O317=1,"Duplicate Rider ID; ",""))</f>
        <v/>
      </c>
      <c r="Q317" s="119" t="str">
        <f aca="false">IF(P317="","",COUNTIF(P$6:P317,"?*"))</f>
        <v/>
      </c>
    </row>
    <row r="318" customFormat="false" ht="15" hidden="false" customHeight="false" outlineLevel="0" collapsed="false">
      <c r="I318" s="119" t="n">
        <v>313</v>
      </c>
      <c r="J318" s="119" t="str">
        <f aca="false">IFERROR(IF(INDEX(Rider_Input[Rider ID],I318)="","",INDEX(Rider_Input[Rider ID],I318)),"")</f>
        <v/>
      </c>
      <c r="K318" s="119" t="str">
        <f aca="false">IF(J318="","",IFERROR(MATCH(J318,INDEX(RLVL_Data,0,c_RLVL_ID),0),""))</f>
        <v/>
      </c>
      <c r="L318" s="119" t="str">
        <f aca="false">IF(J318="","",IF(ISNUMBER(MATCH(J318,Rider_Master[Rider ID],0)),1,0))</f>
        <v/>
      </c>
      <c r="M318" s="119" t="str">
        <f aca="false">IF(J318="","",INDEX(Rider_Input[Completed Orders],I318))</f>
        <v/>
      </c>
      <c r="N318" s="119" t="str">
        <f aca="false">IF(OR(J318="",K318=""),"",IFERROR(INDEX(RLVL_Data,K318,c_RLVL_Orders),""))</f>
        <v/>
      </c>
      <c r="O318" s="119" t="str">
        <f aca="false">IF(J318="","",IF(COUNTIF($J$6:$J$505,J318)&gt;1,1,0))</f>
        <v/>
      </c>
      <c r="P318" s="119" t="str">
        <f aca="false">IF(J318="","",IF(K318="","Not found in Paste_RLVL – deductions set to 0; ","")&amp;IF(L318=0,"New rider (not in Rider_Master) – OK, shown as Rider &lt;ID&gt;; ","")&amp;IF(AND(N318&lt;&gt;"",N318&lt;&gt;M318),"Orders differ: FTR "&amp;M318&amp;" vs RLVL "&amp;N318&amp;"; ","")&amp;IF(O318=1,"Duplicate Rider ID; ",""))</f>
        <v/>
      </c>
      <c r="Q318" s="119" t="str">
        <f aca="false">IF(P318="","",COUNTIF(P$6:P318,"?*"))</f>
        <v/>
      </c>
    </row>
    <row r="319" customFormat="false" ht="15" hidden="false" customHeight="false" outlineLevel="0" collapsed="false">
      <c r="I319" s="119" t="n">
        <v>314</v>
      </c>
      <c r="J319" s="119" t="str">
        <f aca="false">IFERROR(IF(INDEX(Rider_Input[Rider ID],I319)="","",INDEX(Rider_Input[Rider ID],I319)),"")</f>
        <v/>
      </c>
      <c r="K319" s="119" t="str">
        <f aca="false">IF(J319="","",IFERROR(MATCH(J319,INDEX(RLVL_Data,0,c_RLVL_ID),0),""))</f>
        <v/>
      </c>
      <c r="L319" s="119" t="str">
        <f aca="false">IF(J319="","",IF(ISNUMBER(MATCH(J319,Rider_Master[Rider ID],0)),1,0))</f>
        <v/>
      </c>
      <c r="M319" s="119" t="str">
        <f aca="false">IF(J319="","",INDEX(Rider_Input[Completed Orders],I319))</f>
        <v/>
      </c>
      <c r="N319" s="119" t="str">
        <f aca="false">IF(OR(J319="",K319=""),"",IFERROR(INDEX(RLVL_Data,K319,c_RLVL_Orders),""))</f>
        <v/>
      </c>
      <c r="O319" s="119" t="str">
        <f aca="false">IF(J319="","",IF(COUNTIF($J$6:$J$505,J319)&gt;1,1,0))</f>
        <v/>
      </c>
      <c r="P319" s="119" t="str">
        <f aca="false">IF(J319="","",IF(K319="","Not found in Paste_RLVL – deductions set to 0; ","")&amp;IF(L319=0,"New rider (not in Rider_Master) – OK, shown as Rider &lt;ID&gt;; ","")&amp;IF(AND(N319&lt;&gt;"",N319&lt;&gt;M319),"Orders differ: FTR "&amp;M319&amp;" vs RLVL "&amp;N319&amp;"; ","")&amp;IF(O319=1,"Duplicate Rider ID; ",""))</f>
        <v/>
      </c>
      <c r="Q319" s="119" t="str">
        <f aca="false">IF(P319="","",COUNTIF(P$6:P319,"?*"))</f>
        <v/>
      </c>
    </row>
    <row r="320" customFormat="false" ht="15" hidden="false" customHeight="false" outlineLevel="0" collapsed="false">
      <c r="I320" s="119" t="n">
        <v>315</v>
      </c>
      <c r="J320" s="119" t="str">
        <f aca="false">IFERROR(IF(INDEX(Rider_Input[Rider ID],I320)="","",INDEX(Rider_Input[Rider ID],I320)),"")</f>
        <v/>
      </c>
      <c r="K320" s="119" t="str">
        <f aca="false">IF(J320="","",IFERROR(MATCH(J320,INDEX(RLVL_Data,0,c_RLVL_ID),0),""))</f>
        <v/>
      </c>
      <c r="L320" s="119" t="str">
        <f aca="false">IF(J320="","",IF(ISNUMBER(MATCH(J320,Rider_Master[Rider ID],0)),1,0))</f>
        <v/>
      </c>
      <c r="M320" s="119" t="str">
        <f aca="false">IF(J320="","",INDEX(Rider_Input[Completed Orders],I320))</f>
        <v/>
      </c>
      <c r="N320" s="119" t="str">
        <f aca="false">IF(OR(J320="",K320=""),"",IFERROR(INDEX(RLVL_Data,K320,c_RLVL_Orders),""))</f>
        <v/>
      </c>
      <c r="O320" s="119" t="str">
        <f aca="false">IF(J320="","",IF(COUNTIF($J$6:$J$505,J320)&gt;1,1,0))</f>
        <v/>
      </c>
      <c r="P320" s="119" t="str">
        <f aca="false">IF(J320="","",IF(K320="","Not found in Paste_RLVL – deductions set to 0; ","")&amp;IF(L320=0,"New rider (not in Rider_Master) – OK, shown as Rider &lt;ID&gt;; ","")&amp;IF(AND(N320&lt;&gt;"",N320&lt;&gt;M320),"Orders differ: FTR "&amp;M320&amp;" vs RLVL "&amp;N320&amp;"; ","")&amp;IF(O320=1,"Duplicate Rider ID; ",""))</f>
        <v/>
      </c>
      <c r="Q320" s="119" t="str">
        <f aca="false">IF(P320="","",COUNTIF(P$6:P320,"?*"))</f>
        <v/>
      </c>
    </row>
    <row r="321" customFormat="false" ht="15" hidden="false" customHeight="false" outlineLevel="0" collapsed="false">
      <c r="I321" s="119" t="n">
        <v>316</v>
      </c>
      <c r="J321" s="119" t="str">
        <f aca="false">IFERROR(IF(INDEX(Rider_Input[Rider ID],I321)="","",INDEX(Rider_Input[Rider ID],I321)),"")</f>
        <v/>
      </c>
      <c r="K321" s="119" t="str">
        <f aca="false">IF(J321="","",IFERROR(MATCH(J321,INDEX(RLVL_Data,0,c_RLVL_ID),0),""))</f>
        <v/>
      </c>
      <c r="L321" s="119" t="str">
        <f aca="false">IF(J321="","",IF(ISNUMBER(MATCH(J321,Rider_Master[Rider ID],0)),1,0))</f>
        <v/>
      </c>
      <c r="M321" s="119" t="str">
        <f aca="false">IF(J321="","",INDEX(Rider_Input[Completed Orders],I321))</f>
        <v/>
      </c>
      <c r="N321" s="119" t="str">
        <f aca="false">IF(OR(J321="",K321=""),"",IFERROR(INDEX(RLVL_Data,K321,c_RLVL_Orders),""))</f>
        <v/>
      </c>
      <c r="O321" s="119" t="str">
        <f aca="false">IF(J321="","",IF(COUNTIF($J$6:$J$505,J321)&gt;1,1,0))</f>
        <v/>
      </c>
      <c r="P321" s="119" t="str">
        <f aca="false">IF(J321="","",IF(K321="","Not found in Paste_RLVL – deductions set to 0; ","")&amp;IF(L321=0,"New rider (not in Rider_Master) – OK, shown as Rider &lt;ID&gt;; ","")&amp;IF(AND(N321&lt;&gt;"",N321&lt;&gt;M321),"Orders differ: FTR "&amp;M321&amp;" vs RLVL "&amp;N321&amp;"; ","")&amp;IF(O321=1,"Duplicate Rider ID; ",""))</f>
        <v/>
      </c>
      <c r="Q321" s="119" t="str">
        <f aca="false">IF(P321="","",COUNTIF(P$6:P321,"?*"))</f>
        <v/>
      </c>
    </row>
    <row r="322" customFormat="false" ht="15" hidden="false" customHeight="false" outlineLevel="0" collapsed="false">
      <c r="I322" s="119" t="n">
        <v>317</v>
      </c>
      <c r="J322" s="119" t="str">
        <f aca="false">IFERROR(IF(INDEX(Rider_Input[Rider ID],I322)="","",INDEX(Rider_Input[Rider ID],I322)),"")</f>
        <v/>
      </c>
      <c r="K322" s="119" t="str">
        <f aca="false">IF(J322="","",IFERROR(MATCH(J322,INDEX(RLVL_Data,0,c_RLVL_ID),0),""))</f>
        <v/>
      </c>
      <c r="L322" s="119" t="str">
        <f aca="false">IF(J322="","",IF(ISNUMBER(MATCH(J322,Rider_Master[Rider ID],0)),1,0))</f>
        <v/>
      </c>
      <c r="M322" s="119" t="str">
        <f aca="false">IF(J322="","",INDEX(Rider_Input[Completed Orders],I322))</f>
        <v/>
      </c>
      <c r="N322" s="119" t="str">
        <f aca="false">IF(OR(J322="",K322=""),"",IFERROR(INDEX(RLVL_Data,K322,c_RLVL_Orders),""))</f>
        <v/>
      </c>
      <c r="O322" s="119" t="str">
        <f aca="false">IF(J322="","",IF(COUNTIF($J$6:$J$505,J322)&gt;1,1,0))</f>
        <v/>
      </c>
      <c r="P322" s="119" t="str">
        <f aca="false">IF(J322="","",IF(K322="","Not found in Paste_RLVL – deductions set to 0; ","")&amp;IF(L322=0,"New rider (not in Rider_Master) – OK, shown as Rider &lt;ID&gt;; ","")&amp;IF(AND(N322&lt;&gt;"",N322&lt;&gt;M322),"Orders differ: FTR "&amp;M322&amp;" vs RLVL "&amp;N322&amp;"; ","")&amp;IF(O322=1,"Duplicate Rider ID; ",""))</f>
        <v/>
      </c>
      <c r="Q322" s="119" t="str">
        <f aca="false">IF(P322="","",COUNTIF(P$6:P322,"?*"))</f>
        <v/>
      </c>
    </row>
    <row r="323" customFormat="false" ht="15" hidden="false" customHeight="false" outlineLevel="0" collapsed="false">
      <c r="I323" s="119" t="n">
        <v>318</v>
      </c>
      <c r="J323" s="119" t="str">
        <f aca="false">IFERROR(IF(INDEX(Rider_Input[Rider ID],I323)="","",INDEX(Rider_Input[Rider ID],I323)),"")</f>
        <v/>
      </c>
      <c r="K323" s="119" t="str">
        <f aca="false">IF(J323="","",IFERROR(MATCH(J323,INDEX(RLVL_Data,0,c_RLVL_ID),0),""))</f>
        <v/>
      </c>
      <c r="L323" s="119" t="str">
        <f aca="false">IF(J323="","",IF(ISNUMBER(MATCH(J323,Rider_Master[Rider ID],0)),1,0))</f>
        <v/>
      </c>
      <c r="M323" s="119" t="str">
        <f aca="false">IF(J323="","",INDEX(Rider_Input[Completed Orders],I323))</f>
        <v/>
      </c>
      <c r="N323" s="119" t="str">
        <f aca="false">IF(OR(J323="",K323=""),"",IFERROR(INDEX(RLVL_Data,K323,c_RLVL_Orders),""))</f>
        <v/>
      </c>
      <c r="O323" s="119" t="str">
        <f aca="false">IF(J323="","",IF(COUNTIF($J$6:$J$505,J323)&gt;1,1,0))</f>
        <v/>
      </c>
      <c r="P323" s="119" t="str">
        <f aca="false">IF(J323="","",IF(K323="","Not found in Paste_RLVL – deductions set to 0; ","")&amp;IF(L323=0,"New rider (not in Rider_Master) – OK, shown as Rider &lt;ID&gt;; ","")&amp;IF(AND(N323&lt;&gt;"",N323&lt;&gt;M323),"Orders differ: FTR "&amp;M323&amp;" vs RLVL "&amp;N323&amp;"; ","")&amp;IF(O323=1,"Duplicate Rider ID; ",""))</f>
        <v/>
      </c>
      <c r="Q323" s="119" t="str">
        <f aca="false">IF(P323="","",COUNTIF(P$6:P323,"?*"))</f>
        <v/>
      </c>
    </row>
    <row r="324" customFormat="false" ht="15" hidden="false" customHeight="false" outlineLevel="0" collapsed="false">
      <c r="I324" s="119" t="n">
        <v>319</v>
      </c>
      <c r="J324" s="119" t="str">
        <f aca="false">IFERROR(IF(INDEX(Rider_Input[Rider ID],I324)="","",INDEX(Rider_Input[Rider ID],I324)),"")</f>
        <v/>
      </c>
      <c r="K324" s="119" t="str">
        <f aca="false">IF(J324="","",IFERROR(MATCH(J324,INDEX(RLVL_Data,0,c_RLVL_ID),0),""))</f>
        <v/>
      </c>
      <c r="L324" s="119" t="str">
        <f aca="false">IF(J324="","",IF(ISNUMBER(MATCH(J324,Rider_Master[Rider ID],0)),1,0))</f>
        <v/>
      </c>
      <c r="M324" s="119" t="str">
        <f aca="false">IF(J324="","",INDEX(Rider_Input[Completed Orders],I324))</f>
        <v/>
      </c>
      <c r="N324" s="119" t="str">
        <f aca="false">IF(OR(J324="",K324=""),"",IFERROR(INDEX(RLVL_Data,K324,c_RLVL_Orders),""))</f>
        <v/>
      </c>
      <c r="O324" s="119" t="str">
        <f aca="false">IF(J324="","",IF(COUNTIF($J$6:$J$505,J324)&gt;1,1,0))</f>
        <v/>
      </c>
      <c r="P324" s="119" t="str">
        <f aca="false">IF(J324="","",IF(K324="","Not found in Paste_RLVL – deductions set to 0; ","")&amp;IF(L324=0,"New rider (not in Rider_Master) – OK, shown as Rider &lt;ID&gt;; ","")&amp;IF(AND(N324&lt;&gt;"",N324&lt;&gt;M324),"Orders differ: FTR "&amp;M324&amp;" vs RLVL "&amp;N324&amp;"; ","")&amp;IF(O324=1,"Duplicate Rider ID; ",""))</f>
        <v/>
      </c>
      <c r="Q324" s="119" t="str">
        <f aca="false">IF(P324="","",COUNTIF(P$6:P324,"?*"))</f>
        <v/>
      </c>
    </row>
    <row r="325" customFormat="false" ht="15" hidden="false" customHeight="false" outlineLevel="0" collapsed="false">
      <c r="I325" s="119" t="n">
        <v>320</v>
      </c>
      <c r="J325" s="119" t="str">
        <f aca="false">IFERROR(IF(INDEX(Rider_Input[Rider ID],I325)="","",INDEX(Rider_Input[Rider ID],I325)),"")</f>
        <v/>
      </c>
      <c r="K325" s="119" t="str">
        <f aca="false">IF(J325="","",IFERROR(MATCH(J325,INDEX(RLVL_Data,0,c_RLVL_ID),0),""))</f>
        <v/>
      </c>
      <c r="L325" s="119" t="str">
        <f aca="false">IF(J325="","",IF(ISNUMBER(MATCH(J325,Rider_Master[Rider ID],0)),1,0))</f>
        <v/>
      </c>
      <c r="M325" s="119" t="str">
        <f aca="false">IF(J325="","",INDEX(Rider_Input[Completed Orders],I325))</f>
        <v/>
      </c>
      <c r="N325" s="119" t="str">
        <f aca="false">IF(OR(J325="",K325=""),"",IFERROR(INDEX(RLVL_Data,K325,c_RLVL_Orders),""))</f>
        <v/>
      </c>
      <c r="O325" s="119" t="str">
        <f aca="false">IF(J325="","",IF(COUNTIF($J$6:$J$505,J325)&gt;1,1,0))</f>
        <v/>
      </c>
      <c r="P325" s="119" t="str">
        <f aca="false">IF(J325="","",IF(K325="","Not found in Paste_RLVL – deductions set to 0; ","")&amp;IF(L325=0,"New rider (not in Rider_Master) – OK, shown as Rider &lt;ID&gt;; ","")&amp;IF(AND(N325&lt;&gt;"",N325&lt;&gt;M325),"Orders differ: FTR "&amp;M325&amp;" vs RLVL "&amp;N325&amp;"; ","")&amp;IF(O325=1,"Duplicate Rider ID; ",""))</f>
        <v/>
      </c>
      <c r="Q325" s="119" t="str">
        <f aca="false">IF(P325="","",COUNTIF(P$6:P325,"?*"))</f>
        <v/>
      </c>
    </row>
    <row r="326" customFormat="false" ht="15" hidden="false" customHeight="false" outlineLevel="0" collapsed="false">
      <c r="I326" s="119" t="n">
        <v>321</v>
      </c>
      <c r="J326" s="119" t="str">
        <f aca="false">IFERROR(IF(INDEX(Rider_Input[Rider ID],I326)="","",INDEX(Rider_Input[Rider ID],I326)),"")</f>
        <v/>
      </c>
      <c r="K326" s="119" t="str">
        <f aca="false">IF(J326="","",IFERROR(MATCH(J326,INDEX(RLVL_Data,0,c_RLVL_ID),0),""))</f>
        <v/>
      </c>
      <c r="L326" s="119" t="str">
        <f aca="false">IF(J326="","",IF(ISNUMBER(MATCH(J326,Rider_Master[Rider ID],0)),1,0))</f>
        <v/>
      </c>
      <c r="M326" s="119" t="str">
        <f aca="false">IF(J326="","",INDEX(Rider_Input[Completed Orders],I326))</f>
        <v/>
      </c>
      <c r="N326" s="119" t="str">
        <f aca="false">IF(OR(J326="",K326=""),"",IFERROR(INDEX(RLVL_Data,K326,c_RLVL_Orders),""))</f>
        <v/>
      </c>
      <c r="O326" s="119" t="str">
        <f aca="false">IF(J326="","",IF(COUNTIF($J$6:$J$505,J326)&gt;1,1,0))</f>
        <v/>
      </c>
      <c r="P326" s="119" t="str">
        <f aca="false">IF(J326="","",IF(K326="","Not found in Paste_RLVL – deductions set to 0; ","")&amp;IF(L326=0,"New rider (not in Rider_Master) – OK, shown as Rider &lt;ID&gt;; ","")&amp;IF(AND(N326&lt;&gt;"",N326&lt;&gt;M326),"Orders differ: FTR "&amp;M326&amp;" vs RLVL "&amp;N326&amp;"; ","")&amp;IF(O326=1,"Duplicate Rider ID; ",""))</f>
        <v/>
      </c>
      <c r="Q326" s="119" t="str">
        <f aca="false">IF(P326="","",COUNTIF(P$6:P326,"?*"))</f>
        <v/>
      </c>
    </row>
    <row r="327" customFormat="false" ht="15" hidden="false" customHeight="false" outlineLevel="0" collapsed="false">
      <c r="I327" s="119" t="n">
        <v>322</v>
      </c>
      <c r="J327" s="119" t="str">
        <f aca="false">IFERROR(IF(INDEX(Rider_Input[Rider ID],I327)="","",INDEX(Rider_Input[Rider ID],I327)),"")</f>
        <v/>
      </c>
      <c r="K327" s="119" t="str">
        <f aca="false">IF(J327="","",IFERROR(MATCH(J327,INDEX(RLVL_Data,0,c_RLVL_ID),0),""))</f>
        <v/>
      </c>
      <c r="L327" s="119" t="str">
        <f aca="false">IF(J327="","",IF(ISNUMBER(MATCH(J327,Rider_Master[Rider ID],0)),1,0))</f>
        <v/>
      </c>
      <c r="M327" s="119" t="str">
        <f aca="false">IF(J327="","",INDEX(Rider_Input[Completed Orders],I327))</f>
        <v/>
      </c>
      <c r="N327" s="119" t="str">
        <f aca="false">IF(OR(J327="",K327=""),"",IFERROR(INDEX(RLVL_Data,K327,c_RLVL_Orders),""))</f>
        <v/>
      </c>
      <c r="O327" s="119" t="str">
        <f aca="false">IF(J327="","",IF(COUNTIF($J$6:$J$505,J327)&gt;1,1,0))</f>
        <v/>
      </c>
      <c r="P327" s="119" t="str">
        <f aca="false">IF(J327="","",IF(K327="","Not found in Paste_RLVL – deductions set to 0; ","")&amp;IF(L327=0,"New rider (not in Rider_Master) – OK, shown as Rider &lt;ID&gt;; ","")&amp;IF(AND(N327&lt;&gt;"",N327&lt;&gt;M327),"Orders differ: FTR "&amp;M327&amp;" vs RLVL "&amp;N327&amp;"; ","")&amp;IF(O327=1,"Duplicate Rider ID; ",""))</f>
        <v/>
      </c>
      <c r="Q327" s="119" t="str">
        <f aca="false">IF(P327="","",COUNTIF(P$6:P327,"?*"))</f>
        <v/>
      </c>
    </row>
    <row r="328" customFormat="false" ht="15" hidden="false" customHeight="false" outlineLevel="0" collapsed="false">
      <c r="I328" s="119" t="n">
        <v>323</v>
      </c>
      <c r="J328" s="119" t="str">
        <f aca="false">IFERROR(IF(INDEX(Rider_Input[Rider ID],I328)="","",INDEX(Rider_Input[Rider ID],I328)),"")</f>
        <v/>
      </c>
      <c r="K328" s="119" t="str">
        <f aca="false">IF(J328="","",IFERROR(MATCH(J328,INDEX(RLVL_Data,0,c_RLVL_ID),0),""))</f>
        <v/>
      </c>
      <c r="L328" s="119" t="str">
        <f aca="false">IF(J328="","",IF(ISNUMBER(MATCH(J328,Rider_Master[Rider ID],0)),1,0))</f>
        <v/>
      </c>
      <c r="M328" s="119" t="str">
        <f aca="false">IF(J328="","",INDEX(Rider_Input[Completed Orders],I328))</f>
        <v/>
      </c>
      <c r="N328" s="119" t="str">
        <f aca="false">IF(OR(J328="",K328=""),"",IFERROR(INDEX(RLVL_Data,K328,c_RLVL_Orders),""))</f>
        <v/>
      </c>
      <c r="O328" s="119" t="str">
        <f aca="false">IF(J328="","",IF(COUNTIF($J$6:$J$505,J328)&gt;1,1,0))</f>
        <v/>
      </c>
      <c r="P328" s="119" t="str">
        <f aca="false">IF(J328="","",IF(K328="","Not found in Paste_RLVL – deductions set to 0; ","")&amp;IF(L328=0,"New rider (not in Rider_Master) – OK, shown as Rider &lt;ID&gt;; ","")&amp;IF(AND(N328&lt;&gt;"",N328&lt;&gt;M328),"Orders differ: FTR "&amp;M328&amp;" vs RLVL "&amp;N328&amp;"; ","")&amp;IF(O328=1,"Duplicate Rider ID; ",""))</f>
        <v/>
      </c>
      <c r="Q328" s="119" t="str">
        <f aca="false">IF(P328="","",COUNTIF(P$6:P328,"?*"))</f>
        <v/>
      </c>
    </row>
    <row r="329" customFormat="false" ht="15" hidden="false" customHeight="false" outlineLevel="0" collapsed="false">
      <c r="I329" s="119" t="n">
        <v>324</v>
      </c>
      <c r="J329" s="119" t="str">
        <f aca="false">IFERROR(IF(INDEX(Rider_Input[Rider ID],I329)="","",INDEX(Rider_Input[Rider ID],I329)),"")</f>
        <v/>
      </c>
      <c r="K329" s="119" t="str">
        <f aca="false">IF(J329="","",IFERROR(MATCH(J329,INDEX(RLVL_Data,0,c_RLVL_ID),0),""))</f>
        <v/>
      </c>
      <c r="L329" s="119" t="str">
        <f aca="false">IF(J329="","",IF(ISNUMBER(MATCH(J329,Rider_Master[Rider ID],0)),1,0))</f>
        <v/>
      </c>
      <c r="M329" s="119" t="str">
        <f aca="false">IF(J329="","",INDEX(Rider_Input[Completed Orders],I329))</f>
        <v/>
      </c>
      <c r="N329" s="119" t="str">
        <f aca="false">IF(OR(J329="",K329=""),"",IFERROR(INDEX(RLVL_Data,K329,c_RLVL_Orders),""))</f>
        <v/>
      </c>
      <c r="O329" s="119" t="str">
        <f aca="false">IF(J329="","",IF(COUNTIF($J$6:$J$505,J329)&gt;1,1,0))</f>
        <v/>
      </c>
      <c r="P329" s="119" t="str">
        <f aca="false">IF(J329="","",IF(K329="","Not found in Paste_RLVL – deductions set to 0; ","")&amp;IF(L329=0,"New rider (not in Rider_Master) – OK, shown as Rider &lt;ID&gt;; ","")&amp;IF(AND(N329&lt;&gt;"",N329&lt;&gt;M329),"Orders differ: FTR "&amp;M329&amp;" vs RLVL "&amp;N329&amp;"; ","")&amp;IF(O329=1,"Duplicate Rider ID; ",""))</f>
        <v/>
      </c>
      <c r="Q329" s="119" t="str">
        <f aca="false">IF(P329="","",COUNTIF(P$6:P329,"?*"))</f>
        <v/>
      </c>
    </row>
    <row r="330" customFormat="false" ht="15" hidden="false" customHeight="false" outlineLevel="0" collapsed="false">
      <c r="I330" s="119" t="n">
        <v>325</v>
      </c>
      <c r="J330" s="119" t="str">
        <f aca="false">IFERROR(IF(INDEX(Rider_Input[Rider ID],I330)="","",INDEX(Rider_Input[Rider ID],I330)),"")</f>
        <v/>
      </c>
      <c r="K330" s="119" t="str">
        <f aca="false">IF(J330="","",IFERROR(MATCH(J330,INDEX(RLVL_Data,0,c_RLVL_ID),0),""))</f>
        <v/>
      </c>
      <c r="L330" s="119" t="str">
        <f aca="false">IF(J330="","",IF(ISNUMBER(MATCH(J330,Rider_Master[Rider ID],0)),1,0))</f>
        <v/>
      </c>
      <c r="M330" s="119" t="str">
        <f aca="false">IF(J330="","",INDEX(Rider_Input[Completed Orders],I330))</f>
        <v/>
      </c>
      <c r="N330" s="119" t="str">
        <f aca="false">IF(OR(J330="",K330=""),"",IFERROR(INDEX(RLVL_Data,K330,c_RLVL_Orders),""))</f>
        <v/>
      </c>
      <c r="O330" s="119" t="str">
        <f aca="false">IF(J330="","",IF(COUNTIF($J$6:$J$505,J330)&gt;1,1,0))</f>
        <v/>
      </c>
      <c r="P330" s="119" t="str">
        <f aca="false">IF(J330="","",IF(K330="","Not found in Paste_RLVL – deductions set to 0; ","")&amp;IF(L330=0,"New rider (not in Rider_Master) – OK, shown as Rider &lt;ID&gt;; ","")&amp;IF(AND(N330&lt;&gt;"",N330&lt;&gt;M330),"Orders differ: FTR "&amp;M330&amp;" vs RLVL "&amp;N330&amp;"; ","")&amp;IF(O330=1,"Duplicate Rider ID; ",""))</f>
        <v/>
      </c>
      <c r="Q330" s="119" t="str">
        <f aca="false">IF(P330="","",COUNTIF(P$6:P330,"?*"))</f>
        <v/>
      </c>
    </row>
    <row r="331" customFormat="false" ht="15" hidden="false" customHeight="false" outlineLevel="0" collapsed="false">
      <c r="I331" s="119" t="n">
        <v>326</v>
      </c>
      <c r="J331" s="119" t="str">
        <f aca="false">IFERROR(IF(INDEX(Rider_Input[Rider ID],I331)="","",INDEX(Rider_Input[Rider ID],I331)),"")</f>
        <v/>
      </c>
      <c r="K331" s="119" t="str">
        <f aca="false">IF(J331="","",IFERROR(MATCH(J331,INDEX(RLVL_Data,0,c_RLVL_ID),0),""))</f>
        <v/>
      </c>
      <c r="L331" s="119" t="str">
        <f aca="false">IF(J331="","",IF(ISNUMBER(MATCH(J331,Rider_Master[Rider ID],0)),1,0))</f>
        <v/>
      </c>
      <c r="M331" s="119" t="str">
        <f aca="false">IF(J331="","",INDEX(Rider_Input[Completed Orders],I331))</f>
        <v/>
      </c>
      <c r="N331" s="119" t="str">
        <f aca="false">IF(OR(J331="",K331=""),"",IFERROR(INDEX(RLVL_Data,K331,c_RLVL_Orders),""))</f>
        <v/>
      </c>
      <c r="O331" s="119" t="str">
        <f aca="false">IF(J331="","",IF(COUNTIF($J$6:$J$505,J331)&gt;1,1,0))</f>
        <v/>
      </c>
      <c r="P331" s="119" t="str">
        <f aca="false">IF(J331="","",IF(K331="","Not found in Paste_RLVL – deductions set to 0; ","")&amp;IF(L331=0,"New rider (not in Rider_Master) – OK, shown as Rider &lt;ID&gt;; ","")&amp;IF(AND(N331&lt;&gt;"",N331&lt;&gt;M331),"Orders differ: FTR "&amp;M331&amp;" vs RLVL "&amp;N331&amp;"; ","")&amp;IF(O331=1,"Duplicate Rider ID; ",""))</f>
        <v/>
      </c>
      <c r="Q331" s="119" t="str">
        <f aca="false">IF(P331="","",COUNTIF(P$6:P331,"?*"))</f>
        <v/>
      </c>
    </row>
    <row r="332" customFormat="false" ht="15" hidden="false" customHeight="false" outlineLevel="0" collapsed="false">
      <c r="I332" s="119" t="n">
        <v>327</v>
      </c>
      <c r="J332" s="119" t="str">
        <f aca="false">IFERROR(IF(INDEX(Rider_Input[Rider ID],I332)="","",INDEX(Rider_Input[Rider ID],I332)),"")</f>
        <v/>
      </c>
      <c r="K332" s="119" t="str">
        <f aca="false">IF(J332="","",IFERROR(MATCH(J332,INDEX(RLVL_Data,0,c_RLVL_ID),0),""))</f>
        <v/>
      </c>
      <c r="L332" s="119" t="str">
        <f aca="false">IF(J332="","",IF(ISNUMBER(MATCH(J332,Rider_Master[Rider ID],0)),1,0))</f>
        <v/>
      </c>
      <c r="M332" s="119" t="str">
        <f aca="false">IF(J332="","",INDEX(Rider_Input[Completed Orders],I332))</f>
        <v/>
      </c>
      <c r="N332" s="119" t="str">
        <f aca="false">IF(OR(J332="",K332=""),"",IFERROR(INDEX(RLVL_Data,K332,c_RLVL_Orders),""))</f>
        <v/>
      </c>
      <c r="O332" s="119" t="str">
        <f aca="false">IF(J332="","",IF(COUNTIF($J$6:$J$505,J332)&gt;1,1,0))</f>
        <v/>
      </c>
      <c r="P332" s="119" t="str">
        <f aca="false">IF(J332="","",IF(K332="","Not found in Paste_RLVL – deductions set to 0; ","")&amp;IF(L332=0,"New rider (not in Rider_Master) – OK, shown as Rider &lt;ID&gt;; ","")&amp;IF(AND(N332&lt;&gt;"",N332&lt;&gt;M332),"Orders differ: FTR "&amp;M332&amp;" vs RLVL "&amp;N332&amp;"; ","")&amp;IF(O332=1,"Duplicate Rider ID; ",""))</f>
        <v/>
      </c>
      <c r="Q332" s="119" t="str">
        <f aca="false">IF(P332="","",COUNTIF(P$6:P332,"?*"))</f>
        <v/>
      </c>
    </row>
    <row r="333" customFormat="false" ht="15" hidden="false" customHeight="false" outlineLevel="0" collapsed="false">
      <c r="I333" s="119" t="n">
        <v>328</v>
      </c>
      <c r="J333" s="119" t="str">
        <f aca="false">IFERROR(IF(INDEX(Rider_Input[Rider ID],I333)="","",INDEX(Rider_Input[Rider ID],I333)),"")</f>
        <v/>
      </c>
      <c r="K333" s="119" t="str">
        <f aca="false">IF(J333="","",IFERROR(MATCH(J333,INDEX(RLVL_Data,0,c_RLVL_ID),0),""))</f>
        <v/>
      </c>
      <c r="L333" s="119" t="str">
        <f aca="false">IF(J333="","",IF(ISNUMBER(MATCH(J333,Rider_Master[Rider ID],0)),1,0))</f>
        <v/>
      </c>
      <c r="M333" s="119" t="str">
        <f aca="false">IF(J333="","",INDEX(Rider_Input[Completed Orders],I333))</f>
        <v/>
      </c>
      <c r="N333" s="119" t="str">
        <f aca="false">IF(OR(J333="",K333=""),"",IFERROR(INDEX(RLVL_Data,K333,c_RLVL_Orders),""))</f>
        <v/>
      </c>
      <c r="O333" s="119" t="str">
        <f aca="false">IF(J333="","",IF(COUNTIF($J$6:$J$505,J333)&gt;1,1,0))</f>
        <v/>
      </c>
      <c r="P333" s="119" t="str">
        <f aca="false">IF(J333="","",IF(K333="","Not found in Paste_RLVL – deductions set to 0; ","")&amp;IF(L333=0,"New rider (not in Rider_Master) – OK, shown as Rider &lt;ID&gt;; ","")&amp;IF(AND(N333&lt;&gt;"",N333&lt;&gt;M333),"Orders differ: FTR "&amp;M333&amp;" vs RLVL "&amp;N333&amp;"; ","")&amp;IF(O333=1,"Duplicate Rider ID; ",""))</f>
        <v/>
      </c>
      <c r="Q333" s="119" t="str">
        <f aca="false">IF(P333="","",COUNTIF(P$6:P333,"?*"))</f>
        <v/>
      </c>
    </row>
    <row r="334" customFormat="false" ht="15" hidden="false" customHeight="false" outlineLevel="0" collapsed="false">
      <c r="I334" s="119" t="n">
        <v>329</v>
      </c>
      <c r="J334" s="119" t="str">
        <f aca="false">IFERROR(IF(INDEX(Rider_Input[Rider ID],I334)="","",INDEX(Rider_Input[Rider ID],I334)),"")</f>
        <v/>
      </c>
      <c r="K334" s="119" t="str">
        <f aca="false">IF(J334="","",IFERROR(MATCH(J334,INDEX(RLVL_Data,0,c_RLVL_ID),0),""))</f>
        <v/>
      </c>
      <c r="L334" s="119" t="str">
        <f aca="false">IF(J334="","",IF(ISNUMBER(MATCH(J334,Rider_Master[Rider ID],0)),1,0))</f>
        <v/>
      </c>
      <c r="M334" s="119" t="str">
        <f aca="false">IF(J334="","",INDEX(Rider_Input[Completed Orders],I334))</f>
        <v/>
      </c>
      <c r="N334" s="119" t="str">
        <f aca="false">IF(OR(J334="",K334=""),"",IFERROR(INDEX(RLVL_Data,K334,c_RLVL_Orders),""))</f>
        <v/>
      </c>
      <c r="O334" s="119" t="str">
        <f aca="false">IF(J334="","",IF(COUNTIF($J$6:$J$505,J334)&gt;1,1,0))</f>
        <v/>
      </c>
      <c r="P334" s="119" t="str">
        <f aca="false">IF(J334="","",IF(K334="","Not found in Paste_RLVL – deductions set to 0; ","")&amp;IF(L334=0,"New rider (not in Rider_Master) – OK, shown as Rider &lt;ID&gt;; ","")&amp;IF(AND(N334&lt;&gt;"",N334&lt;&gt;M334),"Orders differ: FTR "&amp;M334&amp;" vs RLVL "&amp;N334&amp;"; ","")&amp;IF(O334=1,"Duplicate Rider ID; ",""))</f>
        <v/>
      </c>
      <c r="Q334" s="119" t="str">
        <f aca="false">IF(P334="","",COUNTIF(P$6:P334,"?*"))</f>
        <v/>
      </c>
    </row>
    <row r="335" customFormat="false" ht="15" hidden="false" customHeight="false" outlineLevel="0" collapsed="false">
      <c r="I335" s="119" t="n">
        <v>330</v>
      </c>
      <c r="J335" s="119" t="str">
        <f aca="false">IFERROR(IF(INDEX(Rider_Input[Rider ID],I335)="","",INDEX(Rider_Input[Rider ID],I335)),"")</f>
        <v/>
      </c>
      <c r="K335" s="119" t="str">
        <f aca="false">IF(J335="","",IFERROR(MATCH(J335,INDEX(RLVL_Data,0,c_RLVL_ID),0),""))</f>
        <v/>
      </c>
      <c r="L335" s="119" t="str">
        <f aca="false">IF(J335="","",IF(ISNUMBER(MATCH(J335,Rider_Master[Rider ID],0)),1,0))</f>
        <v/>
      </c>
      <c r="M335" s="119" t="str">
        <f aca="false">IF(J335="","",INDEX(Rider_Input[Completed Orders],I335))</f>
        <v/>
      </c>
      <c r="N335" s="119" t="str">
        <f aca="false">IF(OR(J335="",K335=""),"",IFERROR(INDEX(RLVL_Data,K335,c_RLVL_Orders),""))</f>
        <v/>
      </c>
      <c r="O335" s="119" t="str">
        <f aca="false">IF(J335="","",IF(COUNTIF($J$6:$J$505,J335)&gt;1,1,0))</f>
        <v/>
      </c>
      <c r="P335" s="119" t="str">
        <f aca="false">IF(J335="","",IF(K335="","Not found in Paste_RLVL – deductions set to 0; ","")&amp;IF(L335=0,"New rider (not in Rider_Master) – OK, shown as Rider &lt;ID&gt;; ","")&amp;IF(AND(N335&lt;&gt;"",N335&lt;&gt;M335),"Orders differ: FTR "&amp;M335&amp;" vs RLVL "&amp;N335&amp;"; ","")&amp;IF(O335=1,"Duplicate Rider ID; ",""))</f>
        <v/>
      </c>
      <c r="Q335" s="119" t="str">
        <f aca="false">IF(P335="","",COUNTIF(P$6:P335,"?*"))</f>
        <v/>
      </c>
    </row>
    <row r="336" customFormat="false" ht="15" hidden="false" customHeight="false" outlineLevel="0" collapsed="false">
      <c r="I336" s="119" t="n">
        <v>331</v>
      </c>
      <c r="J336" s="119" t="str">
        <f aca="false">IFERROR(IF(INDEX(Rider_Input[Rider ID],I336)="","",INDEX(Rider_Input[Rider ID],I336)),"")</f>
        <v/>
      </c>
      <c r="K336" s="119" t="str">
        <f aca="false">IF(J336="","",IFERROR(MATCH(J336,INDEX(RLVL_Data,0,c_RLVL_ID),0),""))</f>
        <v/>
      </c>
      <c r="L336" s="119" t="str">
        <f aca="false">IF(J336="","",IF(ISNUMBER(MATCH(J336,Rider_Master[Rider ID],0)),1,0))</f>
        <v/>
      </c>
      <c r="M336" s="119" t="str">
        <f aca="false">IF(J336="","",INDEX(Rider_Input[Completed Orders],I336))</f>
        <v/>
      </c>
      <c r="N336" s="119" t="str">
        <f aca="false">IF(OR(J336="",K336=""),"",IFERROR(INDEX(RLVL_Data,K336,c_RLVL_Orders),""))</f>
        <v/>
      </c>
      <c r="O336" s="119" t="str">
        <f aca="false">IF(J336="","",IF(COUNTIF($J$6:$J$505,J336)&gt;1,1,0))</f>
        <v/>
      </c>
      <c r="P336" s="119" t="str">
        <f aca="false">IF(J336="","",IF(K336="","Not found in Paste_RLVL – deductions set to 0; ","")&amp;IF(L336=0,"New rider (not in Rider_Master) – OK, shown as Rider &lt;ID&gt;; ","")&amp;IF(AND(N336&lt;&gt;"",N336&lt;&gt;M336),"Orders differ: FTR "&amp;M336&amp;" vs RLVL "&amp;N336&amp;"; ","")&amp;IF(O336=1,"Duplicate Rider ID; ",""))</f>
        <v/>
      </c>
      <c r="Q336" s="119" t="str">
        <f aca="false">IF(P336="","",COUNTIF(P$6:P336,"?*"))</f>
        <v/>
      </c>
    </row>
    <row r="337" customFormat="false" ht="15" hidden="false" customHeight="false" outlineLevel="0" collapsed="false">
      <c r="I337" s="119" t="n">
        <v>332</v>
      </c>
      <c r="J337" s="119" t="str">
        <f aca="false">IFERROR(IF(INDEX(Rider_Input[Rider ID],I337)="","",INDEX(Rider_Input[Rider ID],I337)),"")</f>
        <v/>
      </c>
      <c r="K337" s="119" t="str">
        <f aca="false">IF(J337="","",IFERROR(MATCH(J337,INDEX(RLVL_Data,0,c_RLVL_ID),0),""))</f>
        <v/>
      </c>
      <c r="L337" s="119" t="str">
        <f aca="false">IF(J337="","",IF(ISNUMBER(MATCH(J337,Rider_Master[Rider ID],0)),1,0))</f>
        <v/>
      </c>
      <c r="M337" s="119" t="str">
        <f aca="false">IF(J337="","",INDEX(Rider_Input[Completed Orders],I337))</f>
        <v/>
      </c>
      <c r="N337" s="119" t="str">
        <f aca="false">IF(OR(J337="",K337=""),"",IFERROR(INDEX(RLVL_Data,K337,c_RLVL_Orders),""))</f>
        <v/>
      </c>
      <c r="O337" s="119" t="str">
        <f aca="false">IF(J337="","",IF(COUNTIF($J$6:$J$505,J337)&gt;1,1,0))</f>
        <v/>
      </c>
      <c r="P337" s="119" t="str">
        <f aca="false">IF(J337="","",IF(K337="","Not found in Paste_RLVL – deductions set to 0; ","")&amp;IF(L337=0,"New rider (not in Rider_Master) – OK, shown as Rider &lt;ID&gt;; ","")&amp;IF(AND(N337&lt;&gt;"",N337&lt;&gt;M337),"Orders differ: FTR "&amp;M337&amp;" vs RLVL "&amp;N337&amp;"; ","")&amp;IF(O337=1,"Duplicate Rider ID; ",""))</f>
        <v/>
      </c>
      <c r="Q337" s="119" t="str">
        <f aca="false">IF(P337="","",COUNTIF(P$6:P337,"?*"))</f>
        <v/>
      </c>
    </row>
    <row r="338" customFormat="false" ht="15" hidden="false" customHeight="false" outlineLevel="0" collapsed="false">
      <c r="I338" s="119" t="n">
        <v>333</v>
      </c>
      <c r="J338" s="119" t="str">
        <f aca="false">IFERROR(IF(INDEX(Rider_Input[Rider ID],I338)="","",INDEX(Rider_Input[Rider ID],I338)),"")</f>
        <v/>
      </c>
      <c r="K338" s="119" t="str">
        <f aca="false">IF(J338="","",IFERROR(MATCH(J338,INDEX(RLVL_Data,0,c_RLVL_ID),0),""))</f>
        <v/>
      </c>
      <c r="L338" s="119" t="str">
        <f aca="false">IF(J338="","",IF(ISNUMBER(MATCH(J338,Rider_Master[Rider ID],0)),1,0))</f>
        <v/>
      </c>
      <c r="M338" s="119" t="str">
        <f aca="false">IF(J338="","",INDEX(Rider_Input[Completed Orders],I338))</f>
        <v/>
      </c>
      <c r="N338" s="119" t="str">
        <f aca="false">IF(OR(J338="",K338=""),"",IFERROR(INDEX(RLVL_Data,K338,c_RLVL_Orders),""))</f>
        <v/>
      </c>
      <c r="O338" s="119" t="str">
        <f aca="false">IF(J338="","",IF(COUNTIF($J$6:$J$505,J338)&gt;1,1,0))</f>
        <v/>
      </c>
      <c r="P338" s="119" t="str">
        <f aca="false">IF(J338="","",IF(K338="","Not found in Paste_RLVL – deductions set to 0; ","")&amp;IF(L338=0,"New rider (not in Rider_Master) – OK, shown as Rider &lt;ID&gt;; ","")&amp;IF(AND(N338&lt;&gt;"",N338&lt;&gt;M338),"Orders differ: FTR "&amp;M338&amp;" vs RLVL "&amp;N338&amp;"; ","")&amp;IF(O338=1,"Duplicate Rider ID; ",""))</f>
        <v/>
      </c>
      <c r="Q338" s="119" t="str">
        <f aca="false">IF(P338="","",COUNTIF(P$6:P338,"?*"))</f>
        <v/>
      </c>
    </row>
    <row r="339" customFormat="false" ht="15" hidden="false" customHeight="false" outlineLevel="0" collapsed="false">
      <c r="I339" s="119" t="n">
        <v>334</v>
      </c>
      <c r="J339" s="119" t="str">
        <f aca="false">IFERROR(IF(INDEX(Rider_Input[Rider ID],I339)="","",INDEX(Rider_Input[Rider ID],I339)),"")</f>
        <v/>
      </c>
      <c r="K339" s="119" t="str">
        <f aca="false">IF(J339="","",IFERROR(MATCH(J339,INDEX(RLVL_Data,0,c_RLVL_ID),0),""))</f>
        <v/>
      </c>
      <c r="L339" s="119" t="str">
        <f aca="false">IF(J339="","",IF(ISNUMBER(MATCH(J339,Rider_Master[Rider ID],0)),1,0))</f>
        <v/>
      </c>
      <c r="M339" s="119" t="str">
        <f aca="false">IF(J339="","",INDEX(Rider_Input[Completed Orders],I339))</f>
        <v/>
      </c>
      <c r="N339" s="119" t="str">
        <f aca="false">IF(OR(J339="",K339=""),"",IFERROR(INDEX(RLVL_Data,K339,c_RLVL_Orders),""))</f>
        <v/>
      </c>
      <c r="O339" s="119" t="str">
        <f aca="false">IF(J339="","",IF(COUNTIF($J$6:$J$505,J339)&gt;1,1,0))</f>
        <v/>
      </c>
      <c r="P339" s="119" t="str">
        <f aca="false">IF(J339="","",IF(K339="","Not found in Paste_RLVL – deductions set to 0; ","")&amp;IF(L339=0,"New rider (not in Rider_Master) – OK, shown as Rider &lt;ID&gt;; ","")&amp;IF(AND(N339&lt;&gt;"",N339&lt;&gt;M339),"Orders differ: FTR "&amp;M339&amp;" vs RLVL "&amp;N339&amp;"; ","")&amp;IF(O339=1,"Duplicate Rider ID; ",""))</f>
        <v/>
      </c>
      <c r="Q339" s="119" t="str">
        <f aca="false">IF(P339="","",COUNTIF(P$6:P339,"?*"))</f>
        <v/>
      </c>
    </row>
    <row r="340" customFormat="false" ht="15" hidden="false" customHeight="false" outlineLevel="0" collapsed="false">
      <c r="I340" s="119" t="n">
        <v>335</v>
      </c>
      <c r="J340" s="119" t="str">
        <f aca="false">IFERROR(IF(INDEX(Rider_Input[Rider ID],I340)="","",INDEX(Rider_Input[Rider ID],I340)),"")</f>
        <v/>
      </c>
      <c r="K340" s="119" t="str">
        <f aca="false">IF(J340="","",IFERROR(MATCH(J340,INDEX(RLVL_Data,0,c_RLVL_ID),0),""))</f>
        <v/>
      </c>
      <c r="L340" s="119" t="str">
        <f aca="false">IF(J340="","",IF(ISNUMBER(MATCH(J340,Rider_Master[Rider ID],0)),1,0))</f>
        <v/>
      </c>
      <c r="M340" s="119" t="str">
        <f aca="false">IF(J340="","",INDEX(Rider_Input[Completed Orders],I340))</f>
        <v/>
      </c>
      <c r="N340" s="119" t="str">
        <f aca="false">IF(OR(J340="",K340=""),"",IFERROR(INDEX(RLVL_Data,K340,c_RLVL_Orders),""))</f>
        <v/>
      </c>
      <c r="O340" s="119" t="str">
        <f aca="false">IF(J340="","",IF(COUNTIF($J$6:$J$505,J340)&gt;1,1,0))</f>
        <v/>
      </c>
      <c r="P340" s="119" t="str">
        <f aca="false">IF(J340="","",IF(K340="","Not found in Paste_RLVL – deductions set to 0; ","")&amp;IF(L340=0,"New rider (not in Rider_Master) – OK, shown as Rider &lt;ID&gt;; ","")&amp;IF(AND(N340&lt;&gt;"",N340&lt;&gt;M340),"Orders differ: FTR "&amp;M340&amp;" vs RLVL "&amp;N340&amp;"; ","")&amp;IF(O340=1,"Duplicate Rider ID; ",""))</f>
        <v/>
      </c>
      <c r="Q340" s="119" t="str">
        <f aca="false">IF(P340="","",COUNTIF(P$6:P340,"?*"))</f>
        <v/>
      </c>
    </row>
    <row r="341" customFormat="false" ht="15" hidden="false" customHeight="false" outlineLevel="0" collapsed="false">
      <c r="I341" s="119" t="n">
        <v>336</v>
      </c>
      <c r="J341" s="119" t="str">
        <f aca="false">IFERROR(IF(INDEX(Rider_Input[Rider ID],I341)="","",INDEX(Rider_Input[Rider ID],I341)),"")</f>
        <v/>
      </c>
      <c r="K341" s="119" t="str">
        <f aca="false">IF(J341="","",IFERROR(MATCH(J341,INDEX(RLVL_Data,0,c_RLVL_ID),0),""))</f>
        <v/>
      </c>
      <c r="L341" s="119" t="str">
        <f aca="false">IF(J341="","",IF(ISNUMBER(MATCH(J341,Rider_Master[Rider ID],0)),1,0))</f>
        <v/>
      </c>
      <c r="M341" s="119" t="str">
        <f aca="false">IF(J341="","",INDEX(Rider_Input[Completed Orders],I341))</f>
        <v/>
      </c>
      <c r="N341" s="119" t="str">
        <f aca="false">IF(OR(J341="",K341=""),"",IFERROR(INDEX(RLVL_Data,K341,c_RLVL_Orders),""))</f>
        <v/>
      </c>
      <c r="O341" s="119" t="str">
        <f aca="false">IF(J341="","",IF(COUNTIF($J$6:$J$505,J341)&gt;1,1,0))</f>
        <v/>
      </c>
      <c r="P341" s="119" t="str">
        <f aca="false">IF(J341="","",IF(K341="","Not found in Paste_RLVL – deductions set to 0; ","")&amp;IF(L341=0,"New rider (not in Rider_Master) – OK, shown as Rider &lt;ID&gt;; ","")&amp;IF(AND(N341&lt;&gt;"",N341&lt;&gt;M341),"Orders differ: FTR "&amp;M341&amp;" vs RLVL "&amp;N341&amp;"; ","")&amp;IF(O341=1,"Duplicate Rider ID; ",""))</f>
        <v/>
      </c>
      <c r="Q341" s="119" t="str">
        <f aca="false">IF(P341="","",COUNTIF(P$6:P341,"?*"))</f>
        <v/>
      </c>
    </row>
    <row r="342" customFormat="false" ht="15" hidden="false" customHeight="false" outlineLevel="0" collapsed="false">
      <c r="I342" s="119" t="n">
        <v>337</v>
      </c>
      <c r="J342" s="119" t="str">
        <f aca="false">IFERROR(IF(INDEX(Rider_Input[Rider ID],I342)="","",INDEX(Rider_Input[Rider ID],I342)),"")</f>
        <v/>
      </c>
      <c r="K342" s="119" t="str">
        <f aca="false">IF(J342="","",IFERROR(MATCH(J342,INDEX(RLVL_Data,0,c_RLVL_ID),0),""))</f>
        <v/>
      </c>
      <c r="L342" s="119" t="str">
        <f aca="false">IF(J342="","",IF(ISNUMBER(MATCH(J342,Rider_Master[Rider ID],0)),1,0))</f>
        <v/>
      </c>
      <c r="M342" s="119" t="str">
        <f aca="false">IF(J342="","",INDEX(Rider_Input[Completed Orders],I342))</f>
        <v/>
      </c>
      <c r="N342" s="119" t="str">
        <f aca="false">IF(OR(J342="",K342=""),"",IFERROR(INDEX(RLVL_Data,K342,c_RLVL_Orders),""))</f>
        <v/>
      </c>
      <c r="O342" s="119" t="str">
        <f aca="false">IF(J342="","",IF(COUNTIF($J$6:$J$505,J342)&gt;1,1,0))</f>
        <v/>
      </c>
      <c r="P342" s="119" t="str">
        <f aca="false">IF(J342="","",IF(K342="","Not found in Paste_RLVL – deductions set to 0; ","")&amp;IF(L342=0,"New rider (not in Rider_Master) – OK, shown as Rider &lt;ID&gt;; ","")&amp;IF(AND(N342&lt;&gt;"",N342&lt;&gt;M342),"Orders differ: FTR "&amp;M342&amp;" vs RLVL "&amp;N342&amp;"; ","")&amp;IF(O342=1,"Duplicate Rider ID; ",""))</f>
        <v/>
      </c>
      <c r="Q342" s="119" t="str">
        <f aca="false">IF(P342="","",COUNTIF(P$6:P342,"?*"))</f>
        <v/>
      </c>
    </row>
    <row r="343" customFormat="false" ht="15" hidden="false" customHeight="false" outlineLevel="0" collapsed="false">
      <c r="I343" s="119" t="n">
        <v>338</v>
      </c>
      <c r="J343" s="119" t="str">
        <f aca="false">IFERROR(IF(INDEX(Rider_Input[Rider ID],I343)="","",INDEX(Rider_Input[Rider ID],I343)),"")</f>
        <v/>
      </c>
      <c r="K343" s="119" t="str">
        <f aca="false">IF(J343="","",IFERROR(MATCH(J343,INDEX(RLVL_Data,0,c_RLVL_ID),0),""))</f>
        <v/>
      </c>
      <c r="L343" s="119" t="str">
        <f aca="false">IF(J343="","",IF(ISNUMBER(MATCH(J343,Rider_Master[Rider ID],0)),1,0))</f>
        <v/>
      </c>
      <c r="M343" s="119" t="str">
        <f aca="false">IF(J343="","",INDEX(Rider_Input[Completed Orders],I343))</f>
        <v/>
      </c>
      <c r="N343" s="119" t="str">
        <f aca="false">IF(OR(J343="",K343=""),"",IFERROR(INDEX(RLVL_Data,K343,c_RLVL_Orders),""))</f>
        <v/>
      </c>
      <c r="O343" s="119" t="str">
        <f aca="false">IF(J343="","",IF(COUNTIF($J$6:$J$505,J343)&gt;1,1,0))</f>
        <v/>
      </c>
      <c r="P343" s="119" t="str">
        <f aca="false">IF(J343="","",IF(K343="","Not found in Paste_RLVL – deductions set to 0; ","")&amp;IF(L343=0,"New rider (not in Rider_Master) – OK, shown as Rider &lt;ID&gt;; ","")&amp;IF(AND(N343&lt;&gt;"",N343&lt;&gt;M343),"Orders differ: FTR "&amp;M343&amp;" vs RLVL "&amp;N343&amp;"; ","")&amp;IF(O343=1,"Duplicate Rider ID; ",""))</f>
        <v/>
      </c>
      <c r="Q343" s="119" t="str">
        <f aca="false">IF(P343="","",COUNTIF(P$6:P343,"?*"))</f>
        <v/>
      </c>
    </row>
    <row r="344" customFormat="false" ht="15" hidden="false" customHeight="false" outlineLevel="0" collapsed="false">
      <c r="I344" s="119" t="n">
        <v>339</v>
      </c>
      <c r="J344" s="119" t="str">
        <f aca="false">IFERROR(IF(INDEX(Rider_Input[Rider ID],I344)="","",INDEX(Rider_Input[Rider ID],I344)),"")</f>
        <v/>
      </c>
      <c r="K344" s="119" t="str">
        <f aca="false">IF(J344="","",IFERROR(MATCH(J344,INDEX(RLVL_Data,0,c_RLVL_ID),0),""))</f>
        <v/>
      </c>
      <c r="L344" s="119" t="str">
        <f aca="false">IF(J344="","",IF(ISNUMBER(MATCH(J344,Rider_Master[Rider ID],0)),1,0))</f>
        <v/>
      </c>
      <c r="M344" s="119" t="str">
        <f aca="false">IF(J344="","",INDEX(Rider_Input[Completed Orders],I344))</f>
        <v/>
      </c>
      <c r="N344" s="119" t="str">
        <f aca="false">IF(OR(J344="",K344=""),"",IFERROR(INDEX(RLVL_Data,K344,c_RLVL_Orders),""))</f>
        <v/>
      </c>
      <c r="O344" s="119" t="str">
        <f aca="false">IF(J344="","",IF(COUNTIF($J$6:$J$505,J344)&gt;1,1,0))</f>
        <v/>
      </c>
      <c r="P344" s="119" t="str">
        <f aca="false">IF(J344="","",IF(K344="","Not found in Paste_RLVL – deductions set to 0; ","")&amp;IF(L344=0,"New rider (not in Rider_Master) – OK, shown as Rider &lt;ID&gt;; ","")&amp;IF(AND(N344&lt;&gt;"",N344&lt;&gt;M344),"Orders differ: FTR "&amp;M344&amp;" vs RLVL "&amp;N344&amp;"; ","")&amp;IF(O344=1,"Duplicate Rider ID; ",""))</f>
        <v/>
      </c>
      <c r="Q344" s="119" t="str">
        <f aca="false">IF(P344="","",COUNTIF(P$6:P344,"?*"))</f>
        <v/>
      </c>
    </row>
    <row r="345" customFormat="false" ht="15" hidden="false" customHeight="false" outlineLevel="0" collapsed="false">
      <c r="I345" s="119" t="n">
        <v>340</v>
      </c>
      <c r="J345" s="119" t="str">
        <f aca="false">IFERROR(IF(INDEX(Rider_Input[Rider ID],I345)="","",INDEX(Rider_Input[Rider ID],I345)),"")</f>
        <v/>
      </c>
      <c r="K345" s="119" t="str">
        <f aca="false">IF(J345="","",IFERROR(MATCH(J345,INDEX(RLVL_Data,0,c_RLVL_ID),0),""))</f>
        <v/>
      </c>
      <c r="L345" s="119" t="str">
        <f aca="false">IF(J345="","",IF(ISNUMBER(MATCH(J345,Rider_Master[Rider ID],0)),1,0))</f>
        <v/>
      </c>
      <c r="M345" s="119" t="str">
        <f aca="false">IF(J345="","",INDEX(Rider_Input[Completed Orders],I345))</f>
        <v/>
      </c>
      <c r="N345" s="119" t="str">
        <f aca="false">IF(OR(J345="",K345=""),"",IFERROR(INDEX(RLVL_Data,K345,c_RLVL_Orders),""))</f>
        <v/>
      </c>
      <c r="O345" s="119" t="str">
        <f aca="false">IF(J345="","",IF(COUNTIF($J$6:$J$505,J345)&gt;1,1,0))</f>
        <v/>
      </c>
      <c r="P345" s="119" t="str">
        <f aca="false">IF(J345="","",IF(K345="","Not found in Paste_RLVL – deductions set to 0; ","")&amp;IF(L345=0,"New rider (not in Rider_Master) – OK, shown as Rider &lt;ID&gt;; ","")&amp;IF(AND(N345&lt;&gt;"",N345&lt;&gt;M345),"Orders differ: FTR "&amp;M345&amp;" vs RLVL "&amp;N345&amp;"; ","")&amp;IF(O345=1,"Duplicate Rider ID; ",""))</f>
        <v/>
      </c>
      <c r="Q345" s="119" t="str">
        <f aca="false">IF(P345="","",COUNTIF(P$6:P345,"?*"))</f>
        <v/>
      </c>
    </row>
    <row r="346" customFormat="false" ht="15" hidden="false" customHeight="false" outlineLevel="0" collapsed="false">
      <c r="I346" s="119" t="n">
        <v>341</v>
      </c>
      <c r="J346" s="119" t="str">
        <f aca="false">IFERROR(IF(INDEX(Rider_Input[Rider ID],I346)="","",INDEX(Rider_Input[Rider ID],I346)),"")</f>
        <v/>
      </c>
      <c r="K346" s="119" t="str">
        <f aca="false">IF(J346="","",IFERROR(MATCH(J346,INDEX(RLVL_Data,0,c_RLVL_ID),0),""))</f>
        <v/>
      </c>
      <c r="L346" s="119" t="str">
        <f aca="false">IF(J346="","",IF(ISNUMBER(MATCH(J346,Rider_Master[Rider ID],0)),1,0))</f>
        <v/>
      </c>
      <c r="M346" s="119" t="str">
        <f aca="false">IF(J346="","",INDEX(Rider_Input[Completed Orders],I346))</f>
        <v/>
      </c>
      <c r="N346" s="119" t="str">
        <f aca="false">IF(OR(J346="",K346=""),"",IFERROR(INDEX(RLVL_Data,K346,c_RLVL_Orders),""))</f>
        <v/>
      </c>
      <c r="O346" s="119" t="str">
        <f aca="false">IF(J346="","",IF(COUNTIF($J$6:$J$505,J346)&gt;1,1,0))</f>
        <v/>
      </c>
      <c r="P346" s="119" t="str">
        <f aca="false">IF(J346="","",IF(K346="","Not found in Paste_RLVL – deductions set to 0; ","")&amp;IF(L346=0,"New rider (not in Rider_Master) – OK, shown as Rider &lt;ID&gt;; ","")&amp;IF(AND(N346&lt;&gt;"",N346&lt;&gt;M346),"Orders differ: FTR "&amp;M346&amp;" vs RLVL "&amp;N346&amp;"; ","")&amp;IF(O346=1,"Duplicate Rider ID; ",""))</f>
        <v/>
      </c>
      <c r="Q346" s="119" t="str">
        <f aca="false">IF(P346="","",COUNTIF(P$6:P346,"?*"))</f>
        <v/>
      </c>
    </row>
    <row r="347" customFormat="false" ht="15" hidden="false" customHeight="false" outlineLevel="0" collapsed="false">
      <c r="I347" s="119" t="n">
        <v>342</v>
      </c>
      <c r="J347" s="119" t="str">
        <f aca="false">IFERROR(IF(INDEX(Rider_Input[Rider ID],I347)="","",INDEX(Rider_Input[Rider ID],I347)),"")</f>
        <v/>
      </c>
      <c r="K347" s="119" t="str">
        <f aca="false">IF(J347="","",IFERROR(MATCH(J347,INDEX(RLVL_Data,0,c_RLVL_ID),0),""))</f>
        <v/>
      </c>
      <c r="L347" s="119" t="str">
        <f aca="false">IF(J347="","",IF(ISNUMBER(MATCH(J347,Rider_Master[Rider ID],0)),1,0))</f>
        <v/>
      </c>
      <c r="M347" s="119" t="str">
        <f aca="false">IF(J347="","",INDEX(Rider_Input[Completed Orders],I347))</f>
        <v/>
      </c>
      <c r="N347" s="119" t="str">
        <f aca="false">IF(OR(J347="",K347=""),"",IFERROR(INDEX(RLVL_Data,K347,c_RLVL_Orders),""))</f>
        <v/>
      </c>
      <c r="O347" s="119" t="str">
        <f aca="false">IF(J347="","",IF(COUNTIF($J$6:$J$505,J347)&gt;1,1,0))</f>
        <v/>
      </c>
      <c r="P347" s="119" t="str">
        <f aca="false">IF(J347="","",IF(K347="","Not found in Paste_RLVL – deductions set to 0; ","")&amp;IF(L347=0,"New rider (not in Rider_Master) – OK, shown as Rider &lt;ID&gt;; ","")&amp;IF(AND(N347&lt;&gt;"",N347&lt;&gt;M347),"Orders differ: FTR "&amp;M347&amp;" vs RLVL "&amp;N347&amp;"; ","")&amp;IF(O347=1,"Duplicate Rider ID; ",""))</f>
        <v/>
      </c>
      <c r="Q347" s="119" t="str">
        <f aca="false">IF(P347="","",COUNTIF(P$6:P347,"?*"))</f>
        <v/>
      </c>
    </row>
    <row r="348" customFormat="false" ht="15" hidden="false" customHeight="false" outlineLevel="0" collapsed="false">
      <c r="I348" s="119" t="n">
        <v>343</v>
      </c>
      <c r="J348" s="119" t="str">
        <f aca="false">IFERROR(IF(INDEX(Rider_Input[Rider ID],I348)="","",INDEX(Rider_Input[Rider ID],I348)),"")</f>
        <v/>
      </c>
      <c r="K348" s="119" t="str">
        <f aca="false">IF(J348="","",IFERROR(MATCH(J348,INDEX(RLVL_Data,0,c_RLVL_ID),0),""))</f>
        <v/>
      </c>
      <c r="L348" s="119" t="str">
        <f aca="false">IF(J348="","",IF(ISNUMBER(MATCH(J348,Rider_Master[Rider ID],0)),1,0))</f>
        <v/>
      </c>
      <c r="M348" s="119" t="str">
        <f aca="false">IF(J348="","",INDEX(Rider_Input[Completed Orders],I348))</f>
        <v/>
      </c>
      <c r="N348" s="119" t="str">
        <f aca="false">IF(OR(J348="",K348=""),"",IFERROR(INDEX(RLVL_Data,K348,c_RLVL_Orders),""))</f>
        <v/>
      </c>
      <c r="O348" s="119" t="str">
        <f aca="false">IF(J348="","",IF(COUNTIF($J$6:$J$505,J348)&gt;1,1,0))</f>
        <v/>
      </c>
      <c r="P348" s="119" t="str">
        <f aca="false">IF(J348="","",IF(K348="","Not found in Paste_RLVL – deductions set to 0; ","")&amp;IF(L348=0,"New rider (not in Rider_Master) – OK, shown as Rider &lt;ID&gt;; ","")&amp;IF(AND(N348&lt;&gt;"",N348&lt;&gt;M348),"Orders differ: FTR "&amp;M348&amp;" vs RLVL "&amp;N348&amp;"; ","")&amp;IF(O348=1,"Duplicate Rider ID; ",""))</f>
        <v/>
      </c>
      <c r="Q348" s="119" t="str">
        <f aca="false">IF(P348="","",COUNTIF(P$6:P348,"?*"))</f>
        <v/>
      </c>
    </row>
    <row r="349" customFormat="false" ht="15" hidden="false" customHeight="false" outlineLevel="0" collapsed="false">
      <c r="I349" s="119" t="n">
        <v>344</v>
      </c>
      <c r="J349" s="119" t="str">
        <f aca="false">IFERROR(IF(INDEX(Rider_Input[Rider ID],I349)="","",INDEX(Rider_Input[Rider ID],I349)),"")</f>
        <v/>
      </c>
      <c r="K349" s="119" t="str">
        <f aca="false">IF(J349="","",IFERROR(MATCH(J349,INDEX(RLVL_Data,0,c_RLVL_ID),0),""))</f>
        <v/>
      </c>
      <c r="L349" s="119" t="str">
        <f aca="false">IF(J349="","",IF(ISNUMBER(MATCH(J349,Rider_Master[Rider ID],0)),1,0))</f>
        <v/>
      </c>
      <c r="M349" s="119" t="str">
        <f aca="false">IF(J349="","",INDEX(Rider_Input[Completed Orders],I349))</f>
        <v/>
      </c>
      <c r="N349" s="119" t="str">
        <f aca="false">IF(OR(J349="",K349=""),"",IFERROR(INDEX(RLVL_Data,K349,c_RLVL_Orders),""))</f>
        <v/>
      </c>
      <c r="O349" s="119" t="str">
        <f aca="false">IF(J349="","",IF(COUNTIF($J$6:$J$505,J349)&gt;1,1,0))</f>
        <v/>
      </c>
      <c r="P349" s="119" t="str">
        <f aca="false">IF(J349="","",IF(K349="","Not found in Paste_RLVL – deductions set to 0; ","")&amp;IF(L349=0,"New rider (not in Rider_Master) – OK, shown as Rider &lt;ID&gt;; ","")&amp;IF(AND(N349&lt;&gt;"",N349&lt;&gt;M349),"Orders differ: FTR "&amp;M349&amp;" vs RLVL "&amp;N349&amp;"; ","")&amp;IF(O349=1,"Duplicate Rider ID; ",""))</f>
        <v/>
      </c>
      <c r="Q349" s="119" t="str">
        <f aca="false">IF(P349="","",COUNTIF(P$6:P349,"?*"))</f>
        <v/>
      </c>
    </row>
    <row r="350" customFormat="false" ht="15" hidden="false" customHeight="false" outlineLevel="0" collapsed="false">
      <c r="I350" s="119" t="n">
        <v>345</v>
      </c>
      <c r="J350" s="119" t="str">
        <f aca="false">IFERROR(IF(INDEX(Rider_Input[Rider ID],I350)="","",INDEX(Rider_Input[Rider ID],I350)),"")</f>
        <v/>
      </c>
      <c r="K350" s="119" t="str">
        <f aca="false">IF(J350="","",IFERROR(MATCH(J350,INDEX(RLVL_Data,0,c_RLVL_ID),0),""))</f>
        <v/>
      </c>
      <c r="L350" s="119" t="str">
        <f aca="false">IF(J350="","",IF(ISNUMBER(MATCH(J350,Rider_Master[Rider ID],0)),1,0))</f>
        <v/>
      </c>
      <c r="M350" s="119" t="str">
        <f aca="false">IF(J350="","",INDEX(Rider_Input[Completed Orders],I350))</f>
        <v/>
      </c>
      <c r="N350" s="119" t="str">
        <f aca="false">IF(OR(J350="",K350=""),"",IFERROR(INDEX(RLVL_Data,K350,c_RLVL_Orders),""))</f>
        <v/>
      </c>
      <c r="O350" s="119" t="str">
        <f aca="false">IF(J350="","",IF(COUNTIF($J$6:$J$505,J350)&gt;1,1,0))</f>
        <v/>
      </c>
      <c r="P350" s="119" t="str">
        <f aca="false">IF(J350="","",IF(K350="","Not found in Paste_RLVL – deductions set to 0; ","")&amp;IF(L350=0,"New rider (not in Rider_Master) – OK, shown as Rider &lt;ID&gt;; ","")&amp;IF(AND(N350&lt;&gt;"",N350&lt;&gt;M350),"Orders differ: FTR "&amp;M350&amp;" vs RLVL "&amp;N350&amp;"; ","")&amp;IF(O350=1,"Duplicate Rider ID; ",""))</f>
        <v/>
      </c>
      <c r="Q350" s="119" t="str">
        <f aca="false">IF(P350="","",COUNTIF(P$6:P350,"?*"))</f>
        <v/>
      </c>
    </row>
    <row r="351" customFormat="false" ht="15" hidden="false" customHeight="false" outlineLevel="0" collapsed="false">
      <c r="I351" s="119" t="n">
        <v>346</v>
      </c>
      <c r="J351" s="119" t="str">
        <f aca="false">IFERROR(IF(INDEX(Rider_Input[Rider ID],I351)="","",INDEX(Rider_Input[Rider ID],I351)),"")</f>
        <v/>
      </c>
      <c r="K351" s="119" t="str">
        <f aca="false">IF(J351="","",IFERROR(MATCH(J351,INDEX(RLVL_Data,0,c_RLVL_ID),0),""))</f>
        <v/>
      </c>
      <c r="L351" s="119" t="str">
        <f aca="false">IF(J351="","",IF(ISNUMBER(MATCH(J351,Rider_Master[Rider ID],0)),1,0))</f>
        <v/>
      </c>
      <c r="M351" s="119" t="str">
        <f aca="false">IF(J351="","",INDEX(Rider_Input[Completed Orders],I351))</f>
        <v/>
      </c>
      <c r="N351" s="119" t="str">
        <f aca="false">IF(OR(J351="",K351=""),"",IFERROR(INDEX(RLVL_Data,K351,c_RLVL_Orders),""))</f>
        <v/>
      </c>
      <c r="O351" s="119" t="str">
        <f aca="false">IF(J351="","",IF(COUNTIF($J$6:$J$505,J351)&gt;1,1,0))</f>
        <v/>
      </c>
      <c r="P351" s="119" t="str">
        <f aca="false">IF(J351="","",IF(K351="","Not found in Paste_RLVL – deductions set to 0; ","")&amp;IF(L351=0,"New rider (not in Rider_Master) – OK, shown as Rider &lt;ID&gt;; ","")&amp;IF(AND(N351&lt;&gt;"",N351&lt;&gt;M351),"Orders differ: FTR "&amp;M351&amp;" vs RLVL "&amp;N351&amp;"; ","")&amp;IF(O351=1,"Duplicate Rider ID; ",""))</f>
        <v/>
      </c>
      <c r="Q351" s="119" t="str">
        <f aca="false">IF(P351="","",COUNTIF(P$6:P351,"?*"))</f>
        <v/>
      </c>
    </row>
    <row r="352" customFormat="false" ht="15" hidden="false" customHeight="false" outlineLevel="0" collapsed="false">
      <c r="I352" s="119" t="n">
        <v>347</v>
      </c>
      <c r="J352" s="119" t="str">
        <f aca="false">IFERROR(IF(INDEX(Rider_Input[Rider ID],I352)="","",INDEX(Rider_Input[Rider ID],I352)),"")</f>
        <v/>
      </c>
      <c r="K352" s="119" t="str">
        <f aca="false">IF(J352="","",IFERROR(MATCH(J352,INDEX(RLVL_Data,0,c_RLVL_ID),0),""))</f>
        <v/>
      </c>
      <c r="L352" s="119" t="str">
        <f aca="false">IF(J352="","",IF(ISNUMBER(MATCH(J352,Rider_Master[Rider ID],0)),1,0))</f>
        <v/>
      </c>
      <c r="M352" s="119" t="str">
        <f aca="false">IF(J352="","",INDEX(Rider_Input[Completed Orders],I352))</f>
        <v/>
      </c>
      <c r="N352" s="119" t="str">
        <f aca="false">IF(OR(J352="",K352=""),"",IFERROR(INDEX(RLVL_Data,K352,c_RLVL_Orders),""))</f>
        <v/>
      </c>
      <c r="O352" s="119" t="str">
        <f aca="false">IF(J352="","",IF(COUNTIF($J$6:$J$505,J352)&gt;1,1,0))</f>
        <v/>
      </c>
      <c r="P352" s="119" t="str">
        <f aca="false">IF(J352="","",IF(K352="","Not found in Paste_RLVL – deductions set to 0; ","")&amp;IF(L352=0,"New rider (not in Rider_Master) – OK, shown as Rider &lt;ID&gt;; ","")&amp;IF(AND(N352&lt;&gt;"",N352&lt;&gt;M352),"Orders differ: FTR "&amp;M352&amp;" vs RLVL "&amp;N352&amp;"; ","")&amp;IF(O352=1,"Duplicate Rider ID; ",""))</f>
        <v/>
      </c>
      <c r="Q352" s="119" t="str">
        <f aca="false">IF(P352="","",COUNTIF(P$6:P352,"?*"))</f>
        <v/>
      </c>
    </row>
    <row r="353" customFormat="false" ht="15" hidden="false" customHeight="false" outlineLevel="0" collapsed="false">
      <c r="I353" s="119" t="n">
        <v>348</v>
      </c>
      <c r="J353" s="119" t="str">
        <f aca="false">IFERROR(IF(INDEX(Rider_Input[Rider ID],I353)="","",INDEX(Rider_Input[Rider ID],I353)),"")</f>
        <v/>
      </c>
      <c r="K353" s="119" t="str">
        <f aca="false">IF(J353="","",IFERROR(MATCH(J353,INDEX(RLVL_Data,0,c_RLVL_ID),0),""))</f>
        <v/>
      </c>
      <c r="L353" s="119" t="str">
        <f aca="false">IF(J353="","",IF(ISNUMBER(MATCH(J353,Rider_Master[Rider ID],0)),1,0))</f>
        <v/>
      </c>
      <c r="M353" s="119" t="str">
        <f aca="false">IF(J353="","",INDEX(Rider_Input[Completed Orders],I353))</f>
        <v/>
      </c>
      <c r="N353" s="119" t="str">
        <f aca="false">IF(OR(J353="",K353=""),"",IFERROR(INDEX(RLVL_Data,K353,c_RLVL_Orders),""))</f>
        <v/>
      </c>
      <c r="O353" s="119" t="str">
        <f aca="false">IF(J353="","",IF(COUNTIF($J$6:$J$505,J353)&gt;1,1,0))</f>
        <v/>
      </c>
      <c r="P353" s="119" t="str">
        <f aca="false">IF(J353="","",IF(K353="","Not found in Paste_RLVL – deductions set to 0; ","")&amp;IF(L353=0,"New rider (not in Rider_Master) – OK, shown as Rider &lt;ID&gt;; ","")&amp;IF(AND(N353&lt;&gt;"",N353&lt;&gt;M353),"Orders differ: FTR "&amp;M353&amp;" vs RLVL "&amp;N353&amp;"; ","")&amp;IF(O353=1,"Duplicate Rider ID; ",""))</f>
        <v/>
      </c>
      <c r="Q353" s="119" t="str">
        <f aca="false">IF(P353="","",COUNTIF(P$6:P353,"?*"))</f>
        <v/>
      </c>
    </row>
    <row r="354" customFormat="false" ht="15" hidden="false" customHeight="false" outlineLevel="0" collapsed="false">
      <c r="I354" s="119" t="n">
        <v>349</v>
      </c>
      <c r="J354" s="119" t="str">
        <f aca="false">IFERROR(IF(INDEX(Rider_Input[Rider ID],I354)="","",INDEX(Rider_Input[Rider ID],I354)),"")</f>
        <v/>
      </c>
      <c r="K354" s="119" t="str">
        <f aca="false">IF(J354="","",IFERROR(MATCH(J354,INDEX(RLVL_Data,0,c_RLVL_ID),0),""))</f>
        <v/>
      </c>
      <c r="L354" s="119" t="str">
        <f aca="false">IF(J354="","",IF(ISNUMBER(MATCH(J354,Rider_Master[Rider ID],0)),1,0))</f>
        <v/>
      </c>
      <c r="M354" s="119" t="str">
        <f aca="false">IF(J354="","",INDEX(Rider_Input[Completed Orders],I354))</f>
        <v/>
      </c>
      <c r="N354" s="119" t="str">
        <f aca="false">IF(OR(J354="",K354=""),"",IFERROR(INDEX(RLVL_Data,K354,c_RLVL_Orders),""))</f>
        <v/>
      </c>
      <c r="O354" s="119" t="str">
        <f aca="false">IF(J354="","",IF(COUNTIF($J$6:$J$505,J354)&gt;1,1,0))</f>
        <v/>
      </c>
      <c r="P354" s="119" t="str">
        <f aca="false">IF(J354="","",IF(K354="","Not found in Paste_RLVL – deductions set to 0; ","")&amp;IF(L354=0,"New rider (not in Rider_Master) – OK, shown as Rider &lt;ID&gt;; ","")&amp;IF(AND(N354&lt;&gt;"",N354&lt;&gt;M354),"Orders differ: FTR "&amp;M354&amp;" vs RLVL "&amp;N354&amp;"; ","")&amp;IF(O354=1,"Duplicate Rider ID; ",""))</f>
        <v/>
      </c>
      <c r="Q354" s="119" t="str">
        <f aca="false">IF(P354="","",COUNTIF(P$6:P354,"?*"))</f>
        <v/>
      </c>
    </row>
    <row r="355" customFormat="false" ht="15" hidden="false" customHeight="false" outlineLevel="0" collapsed="false">
      <c r="I355" s="119" t="n">
        <v>350</v>
      </c>
      <c r="J355" s="119" t="str">
        <f aca="false">IFERROR(IF(INDEX(Rider_Input[Rider ID],I355)="","",INDEX(Rider_Input[Rider ID],I355)),"")</f>
        <v/>
      </c>
      <c r="K355" s="119" t="str">
        <f aca="false">IF(J355="","",IFERROR(MATCH(J355,INDEX(RLVL_Data,0,c_RLVL_ID),0),""))</f>
        <v/>
      </c>
      <c r="L355" s="119" t="str">
        <f aca="false">IF(J355="","",IF(ISNUMBER(MATCH(J355,Rider_Master[Rider ID],0)),1,0))</f>
        <v/>
      </c>
      <c r="M355" s="119" t="str">
        <f aca="false">IF(J355="","",INDEX(Rider_Input[Completed Orders],I355))</f>
        <v/>
      </c>
      <c r="N355" s="119" t="str">
        <f aca="false">IF(OR(J355="",K355=""),"",IFERROR(INDEX(RLVL_Data,K355,c_RLVL_Orders),""))</f>
        <v/>
      </c>
      <c r="O355" s="119" t="str">
        <f aca="false">IF(J355="","",IF(COUNTIF($J$6:$J$505,J355)&gt;1,1,0))</f>
        <v/>
      </c>
      <c r="P355" s="119" t="str">
        <f aca="false">IF(J355="","",IF(K355="","Not found in Paste_RLVL – deductions set to 0; ","")&amp;IF(L355=0,"New rider (not in Rider_Master) – OK, shown as Rider &lt;ID&gt;; ","")&amp;IF(AND(N355&lt;&gt;"",N355&lt;&gt;M355),"Orders differ: FTR "&amp;M355&amp;" vs RLVL "&amp;N355&amp;"; ","")&amp;IF(O355=1,"Duplicate Rider ID; ",""))</f>
        <v/>
      </c>
      <c r="Q355" s="119" t="str">
        <f aca="false">IF(P355="","",COUNTIF(P$6:P355,"?*"))</f>
        <v/>
      </c>
    </row>
    <row r="356" customFormat="false" ht="15" hidden="false" customHeight="false" outlineLevel="0" collapsed="false">
      <c r="I356" s="119" t="n">
        <v>351</v>
      </c>
      <c r="J356" s="119" t="str">
        <f aca="false">IFERROR(IF(INDEX(Rider_Input[Rider ID],I356)="","",INDEX(Rider_Input[Rider ID],I356)),"")</f>
        <v/>
      </c>
      <c r="K356" s="119" t="str">
        <f aca="false">IF(J356="","",IFERROR(MATCH(J356,INDEX(RLVL_Data,0,c_RLVL_ID),0),""))</f>
        <v/>
      </c>
      <c r="L356" s="119" t="str">
        <f aca="false">IF(J356="","",IF(ISNUMBER(MATCH(J356,Rider_Master[Rider ID],0)),1,0))</f>
        <v/>
      </c>
      <c r="M356" s="119" t="str">
        <f aca="false">IF(J356="","",INDEX(Rider_Input[Completed Orders],I356))</f>
        <v/>
      </c>
      <c r="N356" s="119" t="str">
        <f aca="false">IF(OR(J356="",K356=""),"",IFERROR(INDEX(RLVL_Data,K356,c_RLVL_Orders),""))</f>
        <v/>
      </c>
      <c r="O356" s="119" t="str">
        <f aca="false">IF(J356="","",IF(COUNTIF($J$6:$J$505,J356)&gt;1,1,0))</f>
        <v/>
      </c>
      <c r="P356" s="119" t="str">
        <f aca="false">IF(J356="","",IF(K356="","Not found in Paste_RLVL – deductions set to 0; ","")&amp;IF(L356=0,"New rider (not in Rider_Master) – OK, shown as Rider &lt;ID&gt;; ","")&amp;IF(AND(N356&lt;&gt;"",N356&lt;&gt;M356),"Orders differ: FTR "&amp;M356&amp;" vs RLVL "&amp;N356&amp;"; ","")&amp;IF(O356=1,"Duplicate Rider ID; ",""))</f>
        <v/>
      </c>
      <c r="Q356" s="119" t="str">
        <f aca="false">IF(P356="","",COUNTIF(P$6:P356,"?*"))</f>
        <v/>
      </c>
    </row>
    <row r="357" customFormat="false" ht="15" hidden="false" customHeight="false" outlineLevel="0" collapsed="false">
      <c r="I357" s="119" t="n">
        <v>352</v>
      </c>
      <c r="J357" s="119" t="str">
        <f aca="false">IFERROR(IF(INDEX(Rider_Input[Rider ID],I357)="","",INDEX(Rider_Input[Rider ID],I357)),"")</f>
        <v/>
      </c>
      <c r="K357" s="119" t="str">
        <f aca="false">IF(J357="","",IFERROR(MATCH(J357,INDEX(RLVL_Data,0,c_RLVL_ID),0),""))</f>
        <v/>
      </c>
      <c r="L357" s="119" t="str">
        <f aca="false">IF(J357="","",IF(ISNUMBER(MATCH(J357,Rider_Master[Rider ID],0)),1,0))</f>
        <v/>
      </c>
      <c r="M357" s="119" t="str">
        <f aca="false">IF(J357="","",INDEX(Rider_Input[Completed Orders],I357))</f>
        <v/>
      </c>
      <c r="N357" s="119" t="str">
        <f aca="false">IF(OR(J357="",K357=""),"",IFERROR(INDEX(RLVL_Data,K357,c_RLVL_Orders),""))</f>
        <v/>
      </c>
      <c r="O357" s="119" t="str">
        <f aca="false">IF(J357="","",IF(COUNTIF($J$6:$J$505,J357)&gt;1,1,0))</f>
        <v/>
      </c>
      <c r="P357" s="119" t="str">
        <f aca="false">IF(J357="","",IF(K357="","Not found in Paste_RLVL – deductions set to 0; ","")&amp;IF(L357=0,"New rider (not in Rider_Master) – OK, shown as Rider &lt;ID&gt;; ","")&amp;IF(AND(N357&lt;&gt;"",N357&lt;&gt;M357),"Orders differ: FTR "&amp;M357&amp;" vs RLVL "&amp;N357&amp;"; ","")&amp;IF(O357=1,"Duplicate Rider ID; ",""))</f>
        <v/>
      </c>
      <c r="Q357" s="119" t="str">
        <f aca="false">IF(P357="","",COUNTIF(P$6:P357,"?*"))</f>
        <v/>
      </c>
    </row>
    <row r="358" customFormat="false" ht="15" hidden="false" customHeight="false" outlineLevel="0" collapsed="false">
      <c r="I358" s="119" t="n">
        <v>353</v>
      </c>
      <c r="J358" s="119" t="str">
        <f aca="false">IFERROR(IF(INDEX(Rider_Input[Rider ID],I358)="","",INDEX(Rider_Input[Rider ID],I358)),"")</f>
        <v/>
      </c>
      <c r="K358" s="119" t="str">
        <f aca="false">IF(J358="","",IFERROR(MATCH(J358,INDEX(RLVL_Data,0,c_RLVL_ID),0),""))</f>
        <v/>
      </c>
      <c r="L358" s="119" t="str">
        <f aca="false">IF(J358="","",IF(ISNUMBER(MATCH(J358,Rider_Master[Rider ID],0)),1,0))</f>
        <v/>
      </c>
      <c r="M358" s="119" t="str">
        <f aca="false">IF(J358="","",INDEX(Rider_Input[Completed Orders],I358))</f>
        <v/>
      </c>
      <c r="N358" s="119" t="str">
        <f aca="false">IF(OR(J358="",K358=""),"",IFERROR(INDEX(RLVL_Data,K358,c_RLVL_Orders),""))</f>
        <v/>
      </c>
      <c r="O358" s="119" t="str">
        <f aca="false">IF(J358="","",IF(COUNTIF($J$6:$J$505,J358)&gt;1,1,0))</f>
        <v/>
      </c>
      <c r="P358" s="119" t="str">
        <f aca="false">IF(J358="","",IF(K358="","Not found in Paste_RLVL – deductions set to 0; ","")&amp;IF(L358=0,"New rider (not in Rider_Master) – OK, shown as Rider &lt;ID&gt;; ","")&amp;IF(AND(N358&lt;&gt;"",N358&lt;&gt;M358),"Orders differ: FTR "&amp;M358&amp;" vs RLVL "&amp;N358&amp;"; ","")&amp;IF(O358=1,"Duplicate Rider ID; ",""))</f>
        <v/>
      </c>
      <c r="Q358" s="119" t="str">
        <f aca="false">IF(P358="","",COUNTIF(P$6:P358,"?*"))</f>
        <v/>
      </c>
    </row>
    <row r="359" customFormat="false" ht="15" hidden="false" customHeight="false" outlineLevel="0" collapsed="false">
      <c r="I359" s="119" t="n">
        <v>354</v>
      </c>
      <c r="J359" s="119" t="str">
        <f aca="false">IFERROR(IF(INDEX(Rider_Input[Rider ID],I359)="","",INDEX(Rider_Input[Rider ID],I359)),"")</f>
        <v/>
      </c>
      <c r="K359" s="119" t="str">
        <f aca="false">IF(J359="","",IFERROR(MATCH(J359,INDEX(RLVL_Data,0,c_RLVL_ID),0),""))</f>
        <v/>
      </c>
      <c r="L359" s="119" t="str">
        <f aca="false">IF(J359="","",IF(ISNUMBER(MATCH(J359,Rider_Master[Rider ID],0)),1,0))</f>
        <v/>
      </c>
      <c r="M359" s="119" t="str">
        <f aca="false">IF(J359="","",INDEX(Rider_Input[Completed Orders],I359))</f>
        <v/>
      </c>
      <c r="N359" s="119" t="str">
        <f aca="false">IF(OR(J359="",K359=""),"",IFERROR(INDEX(RLVL_Data,K359,c_RLVL_Orders),""))</f>
        <v/>
      </c>
      <c r="O359" s="119" t="str">
        <f aca="false">IF(J359="","",IF(COUNTIF($J$6:$J$505,J359)&gt;1,1,0))</f>
        <v/>
      </c>
      <c r="P359" s="119" t="str">
        <f aca="false">IF(J359="","",IF(K359="","Not found in Paste_RLVL – deductions set to 0; ","")&amp;IF(L359=0,"New rider (not in Rider_Master) – OK, shown as Rider &lt;ID&gt;; ","")&amp;IF(AND(N359&lt;&gt;"",N359&lt;&gt;M359),"Orders differ: FTR "&amp;M359&amp;" vs RLVL "&amp;N359&amp;"; ","")&amp;IF(O359=1,"Duplicate Rider ID; ",""))</f>
        <v/>
      </c>
      <c r="Q359" s="119" t="str">
        <f aca="false">IF(P359="","",COUNTIF(P$6:P359,"?*"))</f>
        <v/>
      </c>
    </row>
    <row r="360" customFormat="false" ht="15" hidden="false" customHeight="false" outlineLevel="0" collapsed="false">
      <c r="I360" s="119" t="n">
        <v>355</v>
      </c>
      <c r="J360" s="119" t="str">
        <f aca="false">IFERROR(IF(INDEX(Rider_Input[Rider ID],I360)="","",INDEX(Rider_Input[Rider ID],I360)),"")</f>
        <v/>
      </c>
      <c r="K360" s="119" t="str">
        <f aca="false">IF(J360="","",IFERROR(MATCH(J360,INDEX(RLVL_Data,0,c_RLVL_ID),0),""))</f>
        <v/>
      </c>
      <c r="L360" s="119" t="str">
        <f aca="false">IF(J360="","",IF(ISNUMBER(MATCH(J360,Rider_Master[Rider ID],0)),1,0))</f>
        <v/>
      </c>
      <c r="M360" s="119" t="str">
        <f aca="false">IF(J360="","",INDEX(Rider_Input[Completed Orders],I360))</f>
        <v/>
      </c>
      <c r="N360" s="119" t="str">
        <f aca="false">IF(OR(J360="",K360=""),"",IFERROR(INDEX(RLVL_Data,K360,c_RLVL_Orders),""))</f>
        <v/>
      </c>
      <c r="O360" s="119" t="str">
        <f aca="false">IF(J360="","",IF(COUNTIF($J$6:$J$505,J360)&gt;1,1,0))</f>
        <v/>
      </c>
      <c r="P360" s="119" t="str">
        <f aca="false">IF(J360="","",IF(K360="","Not found in Paste_RLVL – deductions set to 0; ","")&amp;IF(L360=0,"New rider (not in Rider_Master) – OK, shown as Rider &lt;ID&gt;; ","")&amp;IF(AND(N360&lt;&gt;"",N360&lt;&gt;M360),"Orders differ: FTR "&amp;M360&amp;" vs RLVL "&amp;N360&amp;"; ","")&amp;IF(O360=1,"Duplicate Rider ID; ",""))</f>
        <v/>
      </c>
      <c r="Q360" s="119" t="str">
        <f aca="false">IF(P360="","",COUNTIF(P$6:P360,"?*"))</f>
        <v/>
      </c>
    </row>
    <row r="361" customFormat="false" ht="15" hidden="false" customHeight="false" outlineLevel="0" collapsed="false">
      <c r="I361" s="119" t="n">
        <v>356</v>
      </c>
      <c r="J361" s="119" t="str">
        <f aca="false">IFERROR(IF(INDEX(Rider_Input[Rider ID],I361)="","",INDEX(Rider_Input[Rider ID],I361)),"")</f>
        <v/>
      </c>
      <c r="K361" s="119" t="str">
        <f aca="false">IF(J361="","",IFERROR(MATCH(J361,INDEX(RLVL_Data,0,c_RLVL_ID),0),""))</f>
        <v/>
      </c>
      <c r="L361" s="119" t="str">
        <f aca="false">IF(J361="","",IF(ISNUMBER(MATCH(J361,Rider_Master[Rider ID],0)),1,0))</f>
        <v/>
      </c>
      <c r="M361" s="119" t="str">
        <f aca="false">IF(J361="","",INDEX(Rider_Input[Completed Orders],I361))</f>
        <v/>
      </c>
      <c r="N361" s="119" t="str">
        <f aca="false">IF(OR(J361="",K361=""),"",IFERROR(INDEX(RLVL_Data,K361,c_RLVL_Orders),""))</f>
        <v/>
      </c>
      <c r="O361" s="119" t="str">
        <f aca="false">IF(J361="","",IF(COUNTIF($J$6:$J$505,J361)&gt;1,1,0))</f>
        <v/>
      </c>
      <c r="P361" s="119" t="str">
        <f aca="false">IF(J361="","",IF(K361="","Not found in Paste_RLVL – deductions set to 0; ","")&amp;IF(L361=0,"New rider (not in Rider_Master) – OK, shown as Rider &lt;ID&gt;; ","")&amp;IF(AND(N361&lt;&gt;"",N361&lt;&gt;M361),"Orders differ: FTR "&amp;M361&amp;" vs RLVL "&amp;N361&amp;"; ","")&amp;IF(O361=1,"Duplicate Rider ID; ",""))</f>
        <v/>
      </c>
      <c r="Q361" s="119" t="str">
        <f aca="false">IF(P361="","",COUNTIF(P$6:P361,"?*"))</f>
        <v/>
      </c>
    </row>
    <row r="362" customFormat="false" ht="15" hidden="false" customHeight="false" outlineLevel="0" collapsed="false">
      <c r="I362" s="119" t="n">
        <v>357</v>
      </c>
      <c r="J362" s="119" t="str">
        <f aca="false">IFERROR(IF(INDEX(Rider_Input[Rider ID],I362)="","",INDEX(Rider_Input[Rider ID],I362)),"")</f>
        <v/>
      </c>
      <c r="K362" s="119" t="str">
        <f aca="false">IF(J362="","",IFERROR(MATCH(J362,INDEX(RLVL_Data,0,c_RLVL_ID),0),""))</f>
        <v/>
      </c>
      <c r="L362" s="119" t="str">
        <f aca="false">IF(J362="","",IF(ISNUMBER(MATCH(J362,Rider_Master[Rider ID],0)),1,0))</f>
        <v/>
      </c>
      <c r="M362" s="119" t="str">
        <f aca="false">IF(J362="","",INDEX(Rider_Input[Completed Orders],I362))</f>
        <v/>
      </c>
      <c r="N362" s="119" t="str">
        <f aca="false">IF(OR(J362="",K362=""),"",IFERROR(INDEX(RLVL_Data,K362,c_RLVL_Orders),""))</f>
        <v/>
      </c>
      <c r="O362" s="119" t="str">
        <f aca="false">IF(J362="","",IF(COUNTIF($J$6:$J$505,J362)&gt;1,1,0))</f>
        <v/>
      </c>
      <c r="P362" s="119" t="str">
        <f aca="false">IF(J362="","",IF(K362="","Not found in Paste_RLVL – deductions set to 0; ","")&amp;IF(L362=0,"New rider (not in Rider_Master) – OK, shown as Rider &lt;ID&gt;; ","")&amp;IF(AND(N362&lt;&gt;"",N362&lt;&gt;M362),"Orders differ: FTR "&amp;M362&amp;" vs RLVL "&amp;N362&amp;"; ","")&amp;IF(O362=1,"Duplicate Rider ID; ",""))</f>
        <v/>
      </c>
      <c r="Q362" s="119" t="str">
        <f aca="false">IF(P362="","",COUNTIF(P$6:P362,"?*"))</f>
        <v/>
      </c>
    </row>
    <row r="363" customFormat="false" ht="15" hidden="false" customHeight="false" outlineLevel="0" collapsed="false">
      <c r="I363" s="119" t="n">
        <v>358</v>
      </c>
      <c r="J363" s="119" t="str">
        <f aca="false">IFERROR(IF(INDEX(Rider_Input[Rider ID],I363)="","",INDEX(Rider_Input[Rider ID],I363)),"")</f>
        <v/>
      </c>
      <c r="K363" s="119" t="str">
        <f aca="false">IF(J363="","",IFERROR(MATCH(J363,INDEX(RLVL_Data,0,c_RLVL_ID),0),""))</f>
        <v/>
      </c>
      <c r="L363" s="119" t="str">
        <f aca="false">IF(J363="","",IF(ISNUMBER(MATCH(J363,Rider_Master[Rider ID],0)),1,0))</f>
        <v/>
      </c>
      <c r="M363" s="119" t="str">
        <f aca="false">IF(J363="","",INDEX(Rider_Input[Completed Orders],I363))</f>
        <v/>
      </c>
      <c r="N363" s="119" t="str">
        <f aca="false">IF(OR(J363="",K363=""),"",IFERROR(INDEX(RLVL_Data,K363,c_RLVL_Orders),""))</f>
        <v/>
      </c>
      <c r="O363" s="119" t="str">
        <f aca="false">IF(J363="","",IF(COUNTIF($J$6:$J$505,J363)&gt;1,1,0))</f>
        <v/>
      </c>
      <c r="P363" s="119" t="str">
        <f aca="false">IF(J363="","",IF(K363="","Not found in Paste_RLVL – deductions set to 0; ","")&amp;IF(L363=0,"New rider (not in Rider_Master) – OK, shown as Rider &lt;ID&gt;; ","")&amp;IF(AND(N363&lt;&gt;"",N363&lt;&gt;M363),"Orders differ: FTR "&amp;M363&amp;" vs RLVL "&amp;N363&amp;"; ","")&amp;IF(O363=1,"Duplicate Rider ID; ",""))</f>
        <v/>
      </c>
      <c r="Q363" s="119" t="str">
        <f aca="false">IF(P363="","",COUNTIF(P$6:P363,"?*"))</f>
        <v/>
      </c>
    </row>
    <row r="364" customFormat="false" ht="15" hidden="false" customHeight="false" outlineLevel="0" collapsed="false">
      <c r="I364" s="119" t="n">
        <v>359</v>
      </c>
      <c r="J364" s="119" t="str">
        <f aca="false">IFERROR(IF(INDEX(Rider_Input[Rider ID],I364)="","",INDEX(Rider_Input[Rider ID],I364)),"")</f>
        <v/>
      </c>
      <c r="K364" s="119" t="str">
        <f aca="false">IF(J364="","",IFERROR(MATCH(J364,INDEX(RLVL_Data,0,c_RLVL_ID),0),""))</f>
        <v/>
      </c>
      <c r="L364" s="119" t="str">
        <f aca="false">IF(J364="","",IF(ISNUMBER(MATCH(J364,Rider_Master[Rider ID],0)),1,0))</f>
        <v/>
      </c>
      <c r="M364" s="119" t="str">
        <f aca="false">IF(J364="","",INDEX(Rider_Input[Completed Orders],I364))</f>
        <v/>
      </c>
      <c r="N364" s="119" t="str">
        <f aca="false">IF(OR(J364="",K364=""),"",IFERROR(INDEX(RLVL_Data,K364,c_RLVL_Orders),""))</f>
        <v/>
      </c>
      <c r="O364" s="119" t="str">
        <f aca="false">IF(J364="","",IF(COUNTIF($J$6:$J$505,J364)&gt;1,1,0))</f>
        <v/>
      </c>
      <c r="P364" s="119" t="str">
        <f aca="false">IF(J364="","",IF(K364="","Not found in Paste_RLVL – deductions set to 0; ","")&amp;IF(L364=0,"New rider (not in Rider_Master) – OK, shown as Rider &lt;ID&gt;; ","")&amp;IF(AND(N364&lt;&gt;"",N364&lt;&gt;M364),"Orders differ: FTR "&amp;M364&amp;" vs RLVL "&amp;N364&amp;"; ","")&amp;IF(O364=1,"Duplicate Rider ID; ",""))</f>
        <v/>
      </c>
      <c r="Q364" s="119" t="str">
        <f aca="false">IF(P364="","",COUNTIF(P$6:P364,"?*"))</f>
        <v/>
      </c>
    </row>
    <row r="365" customFormat="false" ht="15" hidden="false" customHeight="false" outlineLevel="0" collapsed="false">
      <c r="I365" s="119" t="n">
        <v>360</v>
      </c>
      <c r="J365" s="119" t="str">
        <f aca="false">IFERROR(IF(INDEX(Rider_Input[Rider ID],I365)="","",INDEX(Rider_Input[Rider ID],I365)),"")</f>
        <v/>
      </c>
      <c r="K365" s="119" t="str">
        <f aca="false">IF(J365="","",IFERROR(MATCH(J365,INDEX(RLVL_Data,0,c_RLVL_ID),0),""))</f>
        <v/>
      </c>
      <c r="L365" s="119" t="str">
        <f aca="false">IF(J365="","",IF(ISNUMBER(MATCH(J365,Rider_Master[Rider ID],0)),1,0))</f>
        <v/>
      </c>
      <c r="M365" s="119" t="str">
        <f aca="false">IF(J365="","",INDEX(Rider_Input[Completed Orders],I365))</f>
        <v/>
      </c>
      <c r="N365" s="119" t="str">
        <f aca="false">IF(OR(J365="",K365=""),"",IFERROR(INDEX(RLVL_Data,K365,c_RLVL_Orders),""))</f>
        <v/>
      </c>
      <c r="O365" s="119" t="str">
        <f aca="false">IF(J365="","",IF(COUNTIF($J$6:$J$505,J365)&gt;1,1,0))</f>
        <v/>
      </c>
      <c r="P365" s="119" t="str">
        <f aca="false">IF(J365="","",IF(K365="","Not found in Paste_RLVL – deductions set to 0; ","")&amp;IF(L365=0,"New rider (not in Rider_Master) – OK, shown as Rider &lt;ID&gt;; ","")&amp;IF(AND(N365&lt;&gt;"",N365&lt;&gt;M365),"Orders differ: FTR "&amp;M365&amp;" vs RLVL "&amp;N365&amp;"; ","")&amp;IF(O365=1,"Duplicate Rider ID; ",""))</f>
        <v/>
      </c>
      <c r="Q365" s="119" t="str">
        <f aca="false">IF(P365="","",COUNTIF(P$6:P365,"?*"))</f>
        <v/>
      </c>
    </row>
    <row r="366" customFormat="false" ht="15" hidden="false" customHeight="false" outlineLevel="0" collapsed="false">
      <c r="I366" s="119" t="n">
        <v>361</v>
      </c>
      <c r="J366" s="119" t="str">
        <f aca="false">IFERROR(IF(INDEX(Rider_Input[Rider ID],I366)="","",INDEX(Rider_Input[Rider ID],I366)),"")</f>
        <v/>
      </c>
      <c r="K366" s="119" t="str">
        <f aca="false">IF(J366="","",IFERROR(MATCH(J366,INDEX(RLVL_Data,0,c_RLVL_ID),0),""))</f>
        <v/>
      </c>
      <c r="L366" s="119" t="str">
        <f aca="false">IF(J366="","",IF(ISNUMBER(MATCH(J366,Rider_Master[Rider ID],0)),1,0))</f>
        <v/>
      </c>
      <c r="M366" s="119" t="str">
        <f aca="false">IF(J366="","",INDEX(Rider_Input[Completed Orders],I366))</f>
        <v/>
      </c>
      <c r="N366" s="119" t="str">
        <f aca="false">IF(OR(J366="",K366=""),"",IFERROR(INDEX(RLVL_Data,K366,c_RLVL_Orders),""))</f>
        <v/>
      </c>
      <c r="O366" s="119" t="str">
        <f aca="false">IF(J366="","",IF(COUNTIF($J$6:$J$505,J366)&gt;1,1,0))</f>
        <v/>
      </c>
      <c r="P366" s="119" t="str">
        <f aca="false">IF(J366="","",IF(K366="","Not found in Paste_RLVL – deductions set to 0; ","")&amp;IF(L366=0,"New rider (not in Rider_Master) – OK, shown as Rider &lt;ID&gt;; ","")&amp;IF(AND(N366&lt;&gt;"",N366&lt;&gt;M366),"Orders differ: FTR "&amp;M366&amp;" vs RLVL "&amp;N366&amp;"; ","")&amp;IF(O366=1,"Duplicate Rider ID; ",""))</f>
        <v/>
      </c>
      <c r="Q366" s="119" t="str">
        <f aca="false">IF(P366="","",COUNTIF(P$6:P366,"?*"))</f>
        <v/>
      </c>
    </row>
    <row r="367" customFormat="false" ht="15" hidden="false" customHeight="false" outlineLevel="0" collapsed="false">
      <c r="I367" s="119" t="n">
        <v>362</v>
      </c>
      <c r="J367" s="119" t="str">
        <f aca="false">IFERROR(IF(INDEX(Rider_Input[Rider ID],I367)="","",INDEX(Rider_Input[Rider ID],I367)),"")</f>
        <v/>
      </c>
      <c r="K367" s="119" t="str">
        <f aca="false">IF(J367="","",IFERROR(MATCH(J367,INDEX(RLVL_Data,0,c_RLVL_ID),0),""))</f>
        <v/>
      </c>
      <c r="L367" s="119" t="str">
        <f aca="false">IF(J367="","",IF(ISNUMBER(MATCH(J367,Rider_Master[Rider ID],0)),1,0))</f>
        <v/>
      </c>
      <c r="M367" s="119" t="str">
        <f aca="false">IF(J367="","",INDEX(Rider_Input[Completed Orders],I367))</f>
        <v/>
      </c>
      <c r="N367" s="119" t="str">
        <f aca="false">IF(OR(J367="",K367=""),"",IFERROR(INDEX(RLVL_Data,K367,c_RLVL_Orders),""))</f>
        <v/>
      </c>
      <c r="O367" s="119" t="str">
        <f aca="false">IF(J367="","",IF(COUNTIF($J$6:$J$505,J367)&gt;1,1,0))</f>
        <v/>
      </c>
      <c r="P367" s="119" t="str">
        <f aca="false">IF(J367="","",IF(K367="","Not found in Paste_RLVL – deductions set to 0; ","")&amp;IF(L367=0,"New rider (not in Rider_Master) – OK, shown as Rider &lt;ID&gt;; ","")&amp;IF(AND(N367&lt;&gt;"",N367&lt;&gt;M367),"Orders differ: FTR "&amp;M367&amp;" vs RLVL "&amp;N367&amp;"; ","")&amp;IF(O367=1,"Duplicate Rider ID; ",""))</f>
        <v/>
      </c>
      <c r="Q367" s="119" t="str">
        <f aca="false">IF(P367="","",COUNTIF(P$6:P367,"?*"))</f>
        <v/>
      </c>
    </row>
    <row r="368" customFormat="false" ht="15" hidden="false" customHeight="false" outlineLevel="0" collapsed="false">
      <c r="I368" s="119" t="n">
        <v>363</v>
      </c>
      <c r="J368" s="119" t="str">
        <f aca="false">IFERROR(IF(INDEX(Rider_Input[Rider ID],I368)="","",INDEX(Rider_Input[Rider ID],I368)),"")</f>
        <v/>
      </c>
      <c r="K368" s="119" t="str">
        <f aca="false">IF(J368="","",IFERROR(MATCH(J368,INDEX(RLVL_Data,0,c_RLVL_ID),0),""))</f>
        <v/>
      </c>
      <c r="L368" s="119" t="str">
        <f aca="false">IF(J368="","",IF(ISNUMBER(MATCH(J368,Rider_Master[Rider ID],0)),1,0))</f>
        <v/>
      </c>
      <c r="M368" s="119" t="str">
        <f aca="false">IF(J368="","",INDEX(Rider_Input[Completed Orders],I368))</f>
        <v/>
      </c>
      <c r="N368" s="119" t="str">
        <f aca="false">IF(OR(J368="",K368=""),"",IFERROR(INDEX(RLVL_Data,K368,c_RLVL_Orders),""))</f>
        <v/>
      </c>
      <c r="O368" s="119" t="str">
        <f aca="false">IF(J368="","",IF(COUNTIF($J$6:$J$505,J368)&gt;1,1,0))</f>
        <v/>
      </c>
      <c r="P368" s="119" t="str">
        <f aca="false">IF(J368="","",IF(K368="","Not found in Paste_RLVL – deductions set to 0; ","")&amp;IF(L368=0,"New rider (not in Rider_Master) – OK, shown as Rider &lt;ID&gt;; ","")&amp;IF(AND(N368&lt;&gt;"",N368&lt;&gt;M368),"Orders differ: FTR "&amp;M368&amp;" vs RLVL "&amp;N368&amp;"; ","")&amp;IF(O368=1,"Duplicate Rider ID; ",""))</f>
        <v/>
      </c>
      <c r="Q368" s="119" t="str">
        <f aca="false">IF(P368="","",COUNTIF(P$6:P368,"?*"))</f>
        <v/>
      </c>
    </row>
    <row r="369" customFormat="false" ht="15" hidden="false" customHeight="false" outlineLevel="0" collapsed="false">
      <c r="I369" s="119" t="n">
        <v>364</v>
      </c>
      <c r="J369" s="119" t="str">
        <f aca="false">IFERROR(IF(INDEX(Rider_Input[Rider ID],I369)="","",INDEX(Rider_Input[Rider ID],I369)),"")</f>
        <v/>
      </c>
      <c r="K369" s="119" t="str">
        <f aca="false">IF(J369="","",IFERROR(MATCH(J369,INDEX(RLVL_Data,0,c_RLVL_ID),0),""))</f>
        <v/>
      </c>
      <c r="L369" s="119" t="str">
        <f aca="false">IF(J369="","",IF(ISNUMBER(MATCH(J369,Rider_Master[Rider ID],0)),1,0))</f>
        <v/>
      </c>
      <c r="M369" s="119" t="str">
        <f aca="false">IF(J369="","",INDEX(Rider_Input[Completed Orders],I369))</f>
        <v/>
      </c>
      <c r="N369" s="119" t="str">
        <f aca="false">IF(OR(J369="",K369=""),"",IFERROR(INDEX(RLVL_Data,K369,c_RLVL_Orders),""))</f>
        <v/>
      </c>
      <c r="O369" s="119" t="str">
        <f aca="false">IF(J369="","",IF(COUNTIF($J$6:$J$505,J369)&gt;1,1,0))</f>
        <v/>
      </c>
      <c r="P369" s="119" t="str">
        <f aca="false">IF(J369="","",IF(K369="","Not found in Paste_RLVL – deductions set to 0; ","")&amp;IF(L369=0,"New rider (not in Rider_Master) – OK, shown as Rider &lt;ID&gt;; ","")&amp;IF(AND(N369&lt;&gt;"",N369&lt;&gt;M369),"Orders differ: FTR "&amp;M369&amp;" vs RLVL "&amp;N369&amp;"; ","")&amp;IF(O369=1,"Duplicate Rider ID; ",""))</f>
        <v/>
      </c>
      <c r="Q369" s="119" t="str">
        <f aca="false">IF(P369="","",COUNTIF(P$6:P369,"?*"))</f>
        <v/>
      </c>
    </row>
    <row r="370" customFormat="false" ht="15" hidden="false" customHeight="false" outlineLevel="0" collapsed="false">
      <c r="I370" s="119" t="n">
        <v>365</v>
      </c>
      <c r="J370" s="119" t="str">
        <f aca="false">IFERROR(IF(INDEX(Rider_Input[Rider ID],I370)="","",INDEX(Rider_Input[Rider ID],I370)),"")</f>
        <v/>
      </c>
      <c r="K370" s="119" t="str">
        <f aca="false">IF(J370="","",IFERROR(MATCH(J370,INDEX(RLVL_Data,0,c_RLVL_ID),0),""))</f>
        <v/>
      </c>
      <c r="L370" s="119" t="str">
        <f aca="false">IF(J370="","",IF(ISNUMBER(MATCH(J370,Rider_Master[Rider ID],0)),1,0))</f>
        <v/>
      </c>
      <c r="M370" s="119" t="str">
        <f aca="false">IF(J370="","",INDEX(Rider_Input[Completed Orders],I370))</f>
        <v/>
      </c>
      <c r="N370" s="119" t="str">
        <f aca="false">IF(OR(J370="",K370=""),"",IFERROR(INDEX(RLVL_Data,K370,c_RLVL_Orders),""))</f>
        <v/>
      </c>
      <c r="O370" s="119" t="str">
        <f aca="false">IF(J370="","",IF(COUNTIF($J$6:$J$505,J370)&gt;1,1,0))</f>
        <v/>
      </c>
      <c r="P370" s="119" t="str">
        <f aca="false">IF(J370="","",IF(K370="","Not found in Paste_RLVL – deductions set to 0; ","")&amp;IF(L370=0,"New rider (not in Rider_Master) – OK, shown as Rider &lt;ID&gt;; ","")&amp;IF(AND(N370&lt;&gt;"",N370&lt;&gt;M370),"Orders differ: FTR "&amp;M370&amp;" vs RLVL "&amp;N370&amp;"; ","")&amp;IF(O370=1,"Duplicate Rider ID; ",""))</f>
        <v/>
      </c>
      <c r="Q370" s="119" t="str">
        <f aca="false">IF(P370="","",COUNTIF(P$6:P370,"?*"))</f>
        <v/>
      </c>
    </row>
    <row r="371" customFormat="false" ht="15" hidden="false" customHeight="false" outlineLevel="0" collapsed="false">
      <c r="I371" s="119" t="n">
        <v>366</v>
      </c>
      <c r="J371" s="119" t="str">
        <f aca="false">IFERROR(IF(INDEX(Rider_Input[Rider ID],I371)="","",INDEX(Rider_Input[Rider ID],I371)),"")</f>
        <v/>
      </c>
      <c r="K371" s="119" t="str">
        <f aca="false">IF(J371="","",IFERROR(MATCH(J371,INDEX(RLVL_Data,0,c_RLVL_ID),0),""))</f>
        <v/>
      </c>
      <c r="L371" s="119" t="str">
        <f aca="false">IF(J371="","",IF(ISNUMBER(MATCH(J371,Rider_Master[Rider ID],0)),1,0))</f>
        <v/>
      </c>
      <c r="M371" s="119" t="str">
        <f aca="false">IF(J371="","",INDEX(Rider_Input[Completed Orders],I371))</f>
        <v/>
      </c>
      <c r="N371" s="119" t="str">
        <f aca="false">IF(OR(J371="",K371=""),"",IFERROR(INDEX(RLVL_Data,K371,c_RLVL_Orders),""))</f>
        <v/>
      </c>
      <c r="O371" s="119" t="str">
        <f aca="false">IF(J371="","",IF(COUNTIF($J$6:$J$505,J371)&gt;1,1,0))</f>
        <v/>
      </c>
      <c r="P371" s="119" t="str">
        <f aca="false">IF(J371="","",IF(K371="","Not found in Paste_RLVL – deductions set to 0; ","")&amp;IF(L371=0,"New rider (not in Rider_Master) – OK, shown as Rider &lt;ID&gt;; ","")&amp;IF(AND(N371&lt;&gt;"",N371&lt;&gt;M371),"Orders differ: FTR "&amp;M371&amp;" vs RLVL "&amp;N371&amp;"; ","")&amp;IF(O371=1,"Duplicate Rider ID; ",""))</f>
        <v/>
      </c>
      <c r="Q371" s="119" t="str">
        <f aca="false">IF(P371="","",COUNTIF(P$6:P371,"?*"))</f>
        <v/>
      </c>
    </row>
    <row r="372" customFormat="false" ht="15" hidden="false" customHeight="false" outlineLevel="0" collapsed="false">
      <c r="I372" s="119" t="n">
        <v>367</v>
      </c>
      <c r="J372" s="119" t="str">
        <f aca="false">IFERROR(IF(INDEX(Rider_Input[Rider ID],I372)="","",INDEX(Rider_Input[Rider ID],I372)),"")</f>
        <v/>
      </c>
      <c r="K372" s="119" t="str">
        <f aca="false">IF(J372="","",IFERROR(MATCH(J372,INDEX(RLVL_Data,0,c_RLVL_ID),0),""))</f>
        <v/>
      </c>
      <c r="L372" s="119" t="str">
        <f aca="false">IF(J372="","",IF(ISNUMBER(MATCH(J372,Rider_Master[Rider ID],0)),1,0))</f>
        <v/>
      </c>
      <c r="M372" s="119" t="str">
        <f aca="false">IF(J372="","",INDEX(Rider_Input[Completed Orders],I372))</f>
        <v/>
      </c>
      <c r="N372" s="119" t="str">
        <f aca="false">IF(OR(J372="",K372=""),"",IFERROR(INDEX(RLVL_Data,K372,c_RLVL_Orders),""))</f>
        <v/>
      </c>
      <c r="O372" s="119" t="str">
        <f aca="false">IF(J372="","",IF(COUNTIF($J$6:$J$505,J372)&gt;1,1,0))</f>
        <v/>
      </c>
      <c r="P372" s="119" t="str">
        <f aca="false">IF(J372="","",IF(K372="","Not found in Paste_RLVL – deductions set to 0; ","")&amp;IF(L372=0,"New rider (not in Rider_Master) – OK, shown as Rider &lt;ID&gt;; ","")&amp;IF(AND(N372&lt;&gt;"",N372&lt;&gt;M372),"Orders differ: FTR "&amp;M372&amp;" vs RLVL "&amp;N372&amp;"; ","")&amp;IF(O372=1,"Duplicate Rider ID; ",""))</f>
        <v/>
      </c>
      <c r="Q372" s="119" t="str">
        <f aca="false">IF(P372="","",COUNTIF(P$6:P372,"?*"))</f>
        <v/>
      </c>
    </row>
    <row r="373" customFormat="false" ht="15" hidden="false" customHeight="false" outlineLevel="0" collapsed="false">
      <c r="I373" s="119" t="n">
        <v>368</v>
      </c>
      <c r="J373" s="119" t="str">
        <f aca="false">IFERROR(IF(INDEX(Rider_Input[Rider ID],I373)="","",INDEX(Rider_Input[Rider ID],I373)),"")</f>
        <v/>
      </c>
      <c r="K373" s="119" t="str">
        <f aca="false">IF(J373="","",IFERROR(MATCH(J373,INDEX(RLVL_Data,0,c_RLVL_ID),0),""))</f>
        <v/>
      </c>
      <c r="L373" s="119" t="str">
        <f aca="false">IF(J373="","",IF(ISNUMBER(MATCH(J373,Rider_Master[Rider ID],0)),1,0))</f>
        <v/>
      </c>
      <c r="M373" s="119" t="str">
        <f aca="false">IF(J373="","",INDEX(Rider_Input[Completed Orders],I373))</f>
        <v/>
      </c>
      <c r="N373" s="119" t="str">
        <f aca="false">IF(OR(J373="",K373=""),"",IFERROR(INDEX(RLVL_Data,K373,c_RLVL_Orders),""))</f>
        <v/>
      </c>
      <c r="O373" s="119" t="str">
        <f aca="false">IF(J373="","",IF(COUNTIF($J$6:$J$505,J373)&gt;1,1,0))</f>
        <v/>
      </c>
      <c r="P373" s="119" t="str">
        <f aca="false">IF(J373="","",IF(K373="","Not found in Paste_RLVL – deductions set to 0; ","")&amp;IF(L373=0,"New rider (not in Rider_Master) – OK, shown as Rider &lt;ID&gt;; ","")&amp;IF(AND(N373&lt;&gt;"",N373&lt;&gt;M373),"Orders differ: FTR "&amp;M373&amp;" vs RLVL "&amp;N373&amp;"; ","")&amp;IF(O373=1,"Duplicate Rider ID; ",""))</f>
        <v/>
      </c>
      <c r="Q373" s="119" t="str">
        <f aca="false">IF(P373="","",COUNTIF(P$6:P373,"?*"))</f>
        <v/>
      </c>
    </row>
    <row r="374" customFormat="false" ht="15" hidden="false" customHeight="false" outlineLevel="0" collapsed="false">
      <c r="I374" s="119" t="n">
        <v>369</v>
      </c>
      <c r="J374" s="119" t="str">
        <f aca="false">IFERROR(IF(INDEX(Rider_Input[Rider ID],I374)="","",INDEX(Rider_Input[Rider ID],I374)),"")</f>
        <v/>
      </c>
      <c r="K374" s="119" t="str">
        <f aca="false">IF(J374="","",IFERROR(MATCH(J374,INDEX(RLVL_Data,0,c_RLVL_ID),0),""))</f>
        <v/>
      </c>
      <c r="L374" s="119" t="str">
        <f aca="false">IF(J374="","",IF(ISNUMBER(MATCH(J374,Rider_Master[Rider ID],0)),1,0))</f>
        <v/>
      </c>
      <c r="M374" s="119" t="str">
        <f aca="false">IF(J374="","",INDEX(Rider_Input[Completed Orders],I374))</f>
        <v/>
      </c>
      <c r="N374" s="119" t="str">
        <f aca="false">IF(OR(J374="",K374=""),"",IFERROR(INDEX(RLVL_Data,K374,c_RLVL_Orders),""))</f>
        <v/>
      </c>
      <c r="O374" s="119" t="str">
        <f aca="false">IF(J374="","",IF(COUNTIF($J$6:$J$505,J374)&gt;1,1,0))</f>
        <v/>
      </c>
      <c r="P374" s="119" t="str">
        <f aca="false">IF(J374="","",IF(K374="","Not found in Paste_RLVL – deductions set to 0; ","")&amp;IF(L374=0,"New rider (not in Rider_Master) – OK, shown as Rider &lt;ID&gt;; ","")&amp;IF(AND(N374&lt;&gt;"",N374&lt;&gt;M374),"Orders differ: FTR "&amp;M374&amp;" vs RLVL "&amp;N374&amp;"; ","")&amp;IF(O374=1,"Duplicate Rider ID; ",""))</f>
        <v/>
      </c>
      <c r="Q374" s="119" t="str">
        <f aca="false">IF(P374="","",COUNTIF(P$6:P374,"?*"))</f>
        <v/>
      </c>
    </row>
    <row r="375" customFormat="false" ht="15" hidden="false" customHeight="false" outlineLevel="0" collapsed="false">
      <c r="I375" s="119" t="n">
        <v>370</v>
      </c>
      <c r="J375" s="119" t="str">
        <f aca="false">IFERROR(IF(INDEX(Rider_Input[Rider ID],I375)="","",INDEX(Rider_Input[Rider ID],I375)),"")</f>
        <v/>
      </c>
      <c r="K375" s="119" t="str">
        <f aca="false">IF(J375="","",IFERROR(MATCH(J375,INDEX(RLVL_Data,0,c_RLVL_ID),0),""))</f>
        <v/>
      </c>
      <c r="L375" s="119" t="str">
        <f aca="false">IF(J375="","",IF(ISNUMBER(MATCH(J375,Rider_Master[Rider ID],0)),1,0))</f>
        <v/>
      </c>
      <c r="M375" s="119" t="str">
        <f aca="false">IF(J375="","",INDEX(Rider_Input[Completed Orders],I375))</f>
        <v/>
      </c>
      <c r="N375" s="119" t="str">
        <f aca="false">IF(OR(J375="",K375=""),"",IFERROR(INDEX(RLVL_Data,K375,c_RLVL_Orders),""))</f>
        <v/>
      </c>
      <c r="O375" s="119" t="str">
        <f aca="false">IF(J375="","",IF(COUNTIF($J$6:$J$505,J375)&gt;1,1,0))</f>
        <v/>
      </c>
      <c r="P375" s="119" t="str">
        <f aca="false">IF(J375="","",IF(K375="","Not found in Paste_RLVL – deductions set to 0; ","")&amp;IF(L375=0,"New rider (not in Rider_Master) – OK, shown as Rider &lt;ID&gt;; ","")&amp;IF(AND(N375&lt;&gt;"",N375&lt;&gt;M375),"Orders differ: FTR "&amp;M375&amp;" vs RLVL "&amp;N375&amp;"; ","")&amp;IF(O375=1,"Duplicate Rider ID; ",""))</f>
        <v/>
      </c>
      <c r="Q375" s="119" t="str">
        <f aca="false">IF(P375="","",COUNTIF(P$6:P375,"?*"))</f>
        <v/>
      </c>
    </row>
    <row r="376" customFormat="false" ht="15" hidden="false" customHeight="false" outlineLevel="0" collapsed="false">
      <c r="I376" s="119" t="n">
        <v>371</v>
      </c>
      <c r="J376" s="119" t="str">
        <f aca="false">IFERROR(IF(INDEX(Rider_Input[Rider ID],I376)="","",INDEX(Rider_Input[Rider ID],I376)),"")</f>
        <v/>
      </c>
      <c r="K376" s="119" t="str">
        <f aca="false">IF(J376="","",IFERROR(MATCH(J376,INDEX(RLVL_Data,0,c_RLVL_ID),0),""))</f>
        <v/>
      </c>
      <c r="L376" s="119" t="str">
        <f aca="false">IF(J376="","",IF(ISNUMBER(MATCH(J376,Rider_Master[Rider ID],0)),1,0))</f>
        <v/>
      </c>
      <c r="M376" s="119" t="str">
        <f aca="false">IF(J376="","",INDEX(Rider_Input[Completed Orders],I376))</f>
        <v/>
      </c>
      <c r="N376" s="119" t="str">
        <f aca="false">IF(OR(J376="",K376=""),"",IFERROR(INDEX(RLVL_Data,K376,c_RLVL_Orders),""))</f>
        <v/>
      </c>
      <c r="O376" s="119" t="str">
        <f aca="false">IF(J376="","",IF(COUNTIF($J$6:$J$505,J376)&gt;1,1,0))</f>
        <v/>
      </c>
      <c r="P376" s="119" t="str">
        <f aca="false">IF(J376="","",IF(K376="","Not found in Paste_RLVL – deductions set to 0; ","")&amp;IF(L376=0,"New rider (not in Rider_Master) – OK, shown as Rider &lt;ID&gt;; ","")&amp;IF(AND(N376&lt;&gt;"",N376&lt;&gt;M376),"Orders differ: FTR "&amp;M376&amp;" vs RLVL "&amp;N376&amp;"; ","")&amp;IF(O376=1,"Duplicate Rider ID; ",""))</f>
        <v/>
      </c>
      <c r="Q376" s="119" t="str">
        <f aca="false">IF(P376="","",COUNTIF(P$6:P376,"?*"))</f>
        <v/>
      </c>
    </row>
    <row r="377" customFormat="false" ht="15" hidden="false" customHeight="false" outlineLevel="0" collapsed="false">
      <c r="I377" s="119" t="n">
        <v>372</v>
      </c>
      <c r="J377" s="119" t="str">
        <f aca="false">IFERROR(IF(INDEX(Rider_Input[Rider ID],I377)="","",INDEX(Rider_Input[Rider ID],I377)),"")</f>
        <v/>
      </c>
      <c r="K377" s="119" t="str">
        <f aca="false">IF(J377="","",IFERROR(MATCH(J377,INDEX(RLVL_Data,0,c_RLVL_ID),0),""))</f>
        <v/>
      </c>
      <c r="L377" s="119" t="str">
        <f aca="false">IF(J377="","",IF(ISNUMBER(MATCH(J377,Rider_Master[Rider ID],0)),1,0))</f>
        <v/>
      </c>
      <c r="M377" s="119" t="str">
        <f aca="false">IF(J377="","",INDEX(Rider_Input[Completed Orders],I377))</f>
        <v/>
      </c>
      <c r="N377" s="119" t="str">
        <f aca="false">IF(OR(J377="",K377=""),"",IFERROR(INDEX(RLVL_Data,K377,c_RLVL_Orders),""))</f>
        <v/>
      </c>
      <c r="O377" s="119" t="str">
        <f aca="false">IF(J377="","",IF(COUNTIF($J$6:$J$505,J377)&gt;1,1,0))</f>
        <v/>
      </c>
      <c r="P377" s="119" t="str">
        <f aca="false">IF(J377="","",IF(K377="","Not found in Paste_RLVL – deductions set to 0; ","")&amp;IF(L377=0,"New rider (not in Rider_Master) – OK, shown as Rider &lt;ID&gt;; ","")&amp;IF(AND(N377&lt;&gt;"",N377&lt;&gt;M377),"Orders differ: FTR "&amp;M377&amp;" vs RLVL "&amp;N377&amp;"; ","")&amp;IF(O377=1,"Duplicate Rider ID; ",""))</f>
        <v/>
      </c>
      <c r="Q377" s="119" t="str">
        <f aca="false">IF(P377="","",COUNTIF(P$6:P377,"?*"))</f>
        <v/>
      </c>
    </row>
    <row r="378" customFormat="false" ht="15" hidden="false" customHeight="false" outlineLevel="0" collapsed="false">
      <c r="I378" s="119" t="n">
        <v>373</v>
      </c>
      <c r="J378" s="119" t="str">
        <f aca="false">IFERROR(IF(INDEX(Rider_Input[Rider ID],I378)="","",INDEX(Rider_Input[Rider ID],I378)),"")</f>
        <v/>
      </c>
      <c r="K378" s="119" t="str">
        <f aca="false">IF(J378="","",IFERROR(MATCH(J378,INDEX(RLVL_Data,0,c_RLVL_ID),0),""))</f>
        <v/>
      </c>
      <c r="L378" s="119" t="str">
        <f aca="false">IF(J378="","",IF(ISNUMBER(MATCH(J378,Rider_Master[Rider ID],0)),1,0))</f>
        <v/>
      </c>
      <c r="M378" s="119" t="str">
        <f aca="false">IF(J378="","",INDEX(Rider_Input[Completed Orders],I378))</f>
        <v/>
      </c>
      <c r="N378" s="119" t="str">
        <f aca="false">IF(OR(J378="",K378=""),"",IFERROR(INDEX(RLVL_Data,K378,c_RLVL_Orders),""))</f>
        <v/>
      </c>
      <c r="O378" s="119" t="str">
        <f aca="false">IF(J378="","",IF(COUNTIF($J$6:$J$505,J378)&gt;1,1,0))</f>
        <v/>
      </c>
      <c r="P378" s="119" t="str">
        <f aca="false">IF(J378="","",IF(K378="","Not found in Paste_RLVL – deductions set to 0; ","")&amp;IF(L378=0,"New rider (not in Rider_Master) – OK, shown as Rider &lt;ID&gt;; ","")&amp;IF(AND(N378&lt;&gt;"",N378&lt;&gt;M378),"Orders differ: FTR "&amp;M378&amp;" vs RLVL "&amp;N378&amp;"; ","")&amp;IF(O378=1,"Duplicate Rider ID; ",""))</f>
        <v/>
      </c>
      <c r="Q378" s="119" t="str">
        <f aca="false">IF(P378="","",COUNTIF(P$6:P378,"?*"))</f>
        <v/>
      </c>
    </row>
    <row r="379" customFormat="false" ht="15" hidden="false" customHeight="false" outlineLevel="0" collapsed="false">
      <c r="I379" s="119" t="n">
        <v>374</v>
      </c>
      <c r="J379" s="119" t="str">
        <f aca="false">IFERROR(IF(INDEX(Rider_Input[Rider ID],I379)="","",INDEX(Rider_Input[Rider ID],I379)),"")</f>
        <v/>
      </c>
      <c r="K379" s="119" t="str">
        <f aca="false">IF(J379="","",IFERROR(MATCH(J379,INDEX(RLVL_Data,0,c_RLVL_ID),0),""))</f>
        <v/>
      </c>
      <c r="L379" s="119" t="str">
        <f aca="false">IF(J379="","",IF(ISNUMBER(MATCH(J379,Rider_Master[Rider ID],0)),1,0))</f>
        <v/>
      </c>
      <c r="M379" s="119" t="str">
        <f aca="false">IF(J379="","",INDEX(Rider_Input[Completed Orders],I379))</f>
        <v/>
      </c>
      <c r="N379" s="119" t="str">
        <f aca="false">IF(OR(J379="",K379=""),"",IFERROR(INDEX(RLVL_Data,K379,c_RLVL_Orders),""))</f>
        <v/>
      </c>
      <c r="O379" s="119" t="str">
        <f aca="false">IF(J379="","",IF(COUNTIF($J$6:$J$505,J379)&gt;1,1,0))</f>
        <v/>
      </c>
      <c r="P379" s="119" t="str">
        <f aca="false">IF(J379="","",IF(K379="","Not found in Paste_RLVL – deductions set to 0; ","")&amp;IF(L379=0,"New rider (not in Rider_Master) – OK, shown as Rider &lt;ID&gt;; ","")&amp;IF(AND(N379&lt;&gt;"",N379&lt;&gt;M379),"Orders differ: FTR "&amp;M379&amp;" vs RLVL "&amp;N379&amp;"; ","")&amp;IF(O379=1,"Duplicate Rider ID; ",""))</f>
        <v/>
      </c>
      <c r="Q379" s="119" t="str">
        <f aca="false">IF(P379="","",COUNTIF(P$6:P379,"?*"))</f>
        <v/>
      </c>
    </row>
    <row r="380" customFormat="false" ht="15" hidden="false" customHeight="false" outlineLevel="0" collapsed="false">
      <c r="I380" s="119" t="n">
        <v>375</v>
      </c>
      <c r="J380" s="119" t="str">
        <f aca="false">IFERROR(IF(INDEX(Rider_Input[Rider ID],I380)="","",INDEX(Rider_Input[Rider ID],I380)),"")</f>
        <v/>
      </c>
      <c r="K380" s="119" t="str">
        <f aca="false">IF(J380="","",IFERROR(MATCH(J380,INDEX(RLVL_Data,0,c_RLVL_ID),0),""))</f>
        <v/>
      </c>
      <c r="L380" s="119" t="str">
        <f aca="false">IF(J380="","",IF(ISNUMBER(MATCH(J380,Rider_Master[Rider ID],0)),1,0))</f>
        <v/>
      </c>
      <c r="M380" s="119" t="str">
        <f aca="false">IF(J380="","",INDEX(Rider_Input[Completed Orders],I380))</f>
        <v/>
      </c>
      <c r="N380" s="119" t="str">
        <f aca="false">IF(OR(J380="",K380=""),"",IFERROR(INDEX(RLVL_Data,K380,c_RLVL_Orders),""))</f>
        <v/>
      </c>
      <c r="O380" s="119" t="str">
        <f aca="false">IF(J380="","",IF(COUNTIF($J$6:$J$505,J380)&gt;1,1,0))</f>
        <v/>
      </c>
      <c r="P380" s="119" t="str">
        <f aca="false">IF(J380="","",IF(K380="","Not found in Paste_RLVL – deductions set to 0; ","")&amp;IF(L380=0,"New rider (not in Rider_Master) – OK, shown as Rider &lt;ID&gt;; ","")&amp;IF(AND(N380&lt;&gt;"",N380&lt;&gt;M380),"Orders differ: FTR "&amp;M380&amp;" vs RLVL "&amp;N380&amp;"; ","")&amp;IF(O380=1,"Duplicate Rider ID; ",""))</f>
        <v/>
      </c>
      <c r="Q380" s="119" t="str">
        <f aca="false">IF(P380="","",COUNTIF(P$6:P380,"?*"))</f>
        <v/>
      </c>
    </row>
    <row r="381" customFormat="false" ht="15" hidden="false" customHeight="false" outlineLevel="0" collapsed="false">
      <c r="I381" s="119" t="n">
        <v>376</v>
      </c>
      <c r="J381" s="119" t="str">
        <f aca="false">IFERROR(IF(INDEX(Rider_Input[Rider ID],I381)="","",INDEX(Rider_Input[Rider ID],I381)),"")</f>
        <v/>
      </c>
      <c r="K381" s="119" t="str">
        <f aca="false">IF(J381="","",IFERROR(MATCH(J381,INDEX(RLVL_Data,0,c_RLVL_ID),0),""))</f>
        <v/>
      </c>
      <c r="L381" s="119" t="str">
        <f aca="false">IF(J381="","",IF(ISNUMBER(MATCH(J381,Rider_Master[Rider ID],0)),1,0))</f>
        <v/>
      </c>
      <c r="M381" s="119" t="str">
        <f aca="false">IF(J381="","",INDEX(Rider_Input[Completed Orders],I381))</f>
        <v/>
      </c>
      <c r="N381" s="119" t="str">
        <f aca="false">IF(OR(J381="",K381=""),"",IFERROR(INDEX(RLVL_Data,K381,c_RLVL_Orders),""))</f>
        <v/>
      </c>
      <c r="O381" s="119" t="str">
        <f aca="false">IF(J381="","",IF(COUNTIF($J$6:$J$505,J381)&gt;1,1,0))</f>
        <v/>
      </c>
      <c r="P381" s="119" t="str">
        <f aca="false">IF(J381="","",IF(K381="","Not found in Paste_RLVL – deductions set to 0; ","")&amp;IF(L381=0,"New rider (not in Rider_Master) – OK, shown as Rider &lt;ID&gt;; ","")&amp;IF(AND(N381&lt;&gt;"",N381&lt;&gt;M381),"Orders differ: FTR "&amp;M381&amp;" vs RLVL "&amp;N381&amp;"; ","")&amp;IF(O381=1,"Duplicate Rider ID; ",""))</f>
        <v/>
      </c>
      <c r="Q381" s="119" t="str">
        <f aca="false">IF(P381="","",COUNTIF(P$6:P381,"?*"))</f>
        <v/>
      </c>
    </row>
    <row r="382" customFormat="false" ht="15" hidden="false" customHeight="false" outlineLevel="0" collapsed="false">
      <c r="I382" s="119" t="n">
        <v>377</v>
      </c>
      <c r="J382" s="119" t="str">
        <f aca="false">IFERROR(IF(INDEX(Rider_Input[Rider ID],I382)="","",INDEX(Rider_Input[Rider ID],I382)),"")</f>
        <v/>
      </c>
      <c r="K382" s="119" t="str">
        <f aca="false">IF(J382="","",IFERROR(MATCH(J382,INDEX(RLVL_Data,0,c_RLVL_ID),0),""))</f>
        <v/>
      </c>
      <c r="L382" s="119" t="str">
        <f aca="false">IF(J382="","",IF(ISNUMBER(MATCH(J382,Rider_Master[Rider ID],0)),1,0))</f>
        <v/>
      </c>
      <c r="M382" s="119" t="str">
        <f aca="false">IF(J382="","",INDEX(Rider_Input[Completed Orders],I382))</f>
        <v/>
      </c>
      <c r="N382" s="119" t="str">
        <f aca="false">IF(OR(J382="",K382=""),"",IFERROR(INDEX(RLVL_Data,K382,c_RLVL_Orders),""))</f>
        <v/>
      </c>
      <c r="O382" s="119" t="str">
        <f aca="false">IF(J382="","",IF(COUNTIF($J$6:$J$505,J382)&gt;1,1,0))</f>
        <v/>
      </c>
      <c r="P382" s="119" t="str">
        <f aca="false">IF(J382="","",IF(K382="","Not found in Paste_RLVL – deductions set to 0; ","")&amp;IF(L382=0,"New rider (not in Rider_Master) – OK, shown as Rider &lt;ID&gt;; ","")&amp;IF(AND(N382&lt;&gt;"",N382&lt;&gt;M382),"Orders differ: FTR "&amp;M382&amp;" vs RLVL "&amp;N382&amp;"; ","")&amp;IF(O382=1,"Duplicate Rider ID; ",""))</f>
        <v/>
      </c>
      <c r="Q382" s="119" t="str">
        <f aca="false">IF(P382="","",COUNTIF(P$6:P382,"?*"))</f>
        <v/>
      </c>
    </row>
    <row r="383" customFormat="false" ht="15" hidden="false" customHeight="false" outlineLevel="0" collapsed="false">
      <c r="I383" s="119" t="n">
        <v>378</v>
      </c>
      <c r="J383" s="119" t="str">
        <f aca="false">IFERROR(IF(INDEX(Rider_Input[Rider ID],I383)="","",INDEX(Rider_Input[Rider ID],I383)),"")</f>
        <v/>
      </c>
      <c r="K383" s="119" t="str">
        <f aca="false">IF(J383="","",IFERROR(MATCH(J383,INDEX(RLVL_Data,0,c_RLVL_ID),0),""))</f>
        <v/>
      </c>
      <c r="L383" s="119" t="str">
        <f aca="false">IF(J383="","",IF(ISNUMBER(MATCH(J383,Rider_Master[Rider ID],0)),1,0))</f>
        <v/>
      </c>
      <c r="M383" s="119" t="str">
        <f aca="false">IF(J383="","",INDEX(Rider_Input[Completed Orders],I383))</f>
        <v/>
      </c>
      <c r="N383" s="119" t="str">
        <f aca="false">IF(OR(J383="",K383=""),"",IFERROR(INDEX(RLVL_Data,K383,c_RLVL_Orders),""))</f>
        <v/>
      </c>
      <c r="O383" s="119" t="str">
        <f aca="false">IF(J383="","",IF(COUNTIF($J$6:$J$505,J383)&gt;1,1,0))</f>
        <v/>
      </c>
      <c r="P383" s="119" t="str">
        <f aca="false">IF(J383="","",IF(K383="","Not found in Paste_RLVL – deductions set to 0; ","")&amp;IF(L383=0,"New rider (not in Rider_Master) – OK, shown as Rider &lt;ID&gt;; ","")&amp;IF(AND(N383&lt;&gt;"",N383&lt;&gt;M383),"Orders differ: FTR "&amp;M383&amp;" vs RLVL "&amp;N383&amp;"; ","")&amp;IF(O383=1,"Duplicate Rider ID; ",""))</f>
        <v/>
      </c>
      <c r="Q383" s="119" t="str">
        <f aca="false">IF(P383="","",COUNTIF(P$6:P383,"?*"))</f>
        <v/>
      </c>
    </row>
    <row r="384" customFormat="false" ht="15" hidden="false" customHeight="false" outlineLevel="0" collapsed="false">
      <c r="I384" s="119" t="n">
        <v>379</v>
      </c>
      <c r="J384" s="119" t="str">
        <f aca="false">IFERROR(IF(INDEX(Rider_Input[Rider ID],I384)="","",INDEX(Rider_Input[Rider ID],I384)),"")</f>
        <v/>
      </c>
      <c r="K384" s="119" t="str">
        <f aca="false">IF(J384="","",IFERROR(MATCH(J384,INDEX(RLVL_Data,0,c_RLVL_ID),0),""))</f>
        <v/>
      </c>
      <c r="L384" s="119" t="str">
        <f aca="false">IF(J384="","",IF(ISNUMBER(MATCH(J384,Rider_Master[Rider ID],0)),1,0))</f>
        <v/>
      </c>
      <c r="M384" s="119" t="str">
        <f aca="false">IF(J384="","",INDEX(Rider_Input[Completed Orders],I384))</f>
        <v/>
      </c>
      <c r="N384" s="119" t="str">
        <f aca="false">IF(OR(J384="",K384=""),"",IFERROR(INDEX(RLVL_Data,K384,c_RLVL_Orders),""))</f>
        <v/>
      </c>
      <c r="O384" s="119" t="str">
        <f aca="false">IF(J384="","",IF(COUNTIF($J$6:$J$505,J384)&gt;1,1,0))</f>
        <v/>
      </c>
      <c r="P384" s="119" t="str">
        <f aca="false">IF(J384="","",IF(K384="","Not found in Paste_RLVL – deductions set to 0; ","")&amp;IF(L384=0,"New rider (not in Rider_Master) – OK, shown as Rider &lt;ID&gt;; ","")&amp;IF(AND(N384&lt;&gt;"",N384&lt;&gt;M384),"Orders differ: FTR "&amp;M384&amp;" vs RLVL "&amp;N384&amp;"; ","")&amp;IF(O384=1,"Duplicate Rider ID; ",""))</f>
        <v/>
      </c>
      <c r="Q384" s="119" t="str">
        <f aca="false">IF(P384="","",COUNTIF(P$6:P384,"?*"))</f>
        <v/>
      </c>
    </row>
    <row r="385" customFormat="false" ht="15" hidden="false" customHeight="false" outlineLevel="0" collapsed="false">
      <c r="I385" s="119" t="n">
        <v>380</v>
      </c>
      <c r="J385" s="119" t="str">
        <f aca="false">IFERROR(IF(INDEX(Rider_Input[Rider ID],I385)="","",INDEX(Rider_Input[Rider ID],I385)),"")</f>
        <v/>
      </c>
      <c r="K385" s="119" t="str">
        <f aca="false">IF(J385="","",IFERROR(MATCH(J385,INDEX(RLVL_Data,0,c_RLVL_ID),0),""))</f>
        <v/>
      </c>
      <c r="L385" s="119" t="str">
        <f aca="false">IF(J385="","",IF(ISNUMBER(MATCH(J385,Rider_Master[Rider ID],0)),1,0))</f>
        <v/>
      </c>
      <c r="M385" s="119" t="str">
        <f aca="false">IF(J385="","",INDEX(Rider_Input[Completed Orders],I385))</f>
        <v/>
      </c>
      <c r="N385" s="119" t="str">
        <f aca="false">IF(OR(J385="",K385=""),"",IFERROR(INDEX(RLVL_Data,K385,c_RLVL_Orders),""))</f>
        <v/>
      </c>
      <c r="O385" s="119" t="str">
        <f aca="false">IF(J385="","",IF(COUNTIF($J$6:$J$505,J385)&gt;1,1,0))</f>
        <v/>
      </c>
      <c r="P385" s="119" t="str">
        <f aca="false">IF(J385="","",IF(K385="","Not found in Paste_RLVL – deductions set to 0; ","")&amp;IF(L385=0,"New rider (not in Rider_Master) – OK, shown as Rider &lt;ID&gt;; ","")&amp;IF(AND(N385&lt;&gt;"",N385&lt;&gt;M385),"Orders differ: FTR "&amp;M385&amp;" vs RLVL "&amp;N385&amp;"; ","")&amp;IF(O385=1,"Duplicate Rider ID; ",""))</f>
        <v/>
      </c>
      <c r="Q385" s="119" t="str">
        <f aca="false">IF(P385="","",COUNTIF(P$6:P385,"?*"))</f>
        <v/>
      </c>
    </row>
    <row r="386" customFormat="false" ht="15" hidden="false" customHeight="false" outlineLevel="0" collapsed="false">
      <c r="I386" s="119" t="n">
        <v>381</v>
      </c>
      <c r="J386" s="119" t="str">
        <f aca="false">IFERROR(IF(INDEX(Rider_Input[Rider ID],I386)="","",INDEX(Rider_Input[Rider ID],I386)),"")</f>
        <v/>
      </c>
      <c r="K386" s="119" t="str">
        <f aca="false">IF(J386="","",IFERROR(MATCH(J386,INDEX(RLVL_Data,0,c_RLVL_ID),0),""))</f>
        <v/>
      </c>
      <c r="L386" s="119" t="str">
        <f aca="false">IF(J386="","",IF(ISNUMBER(MATCH(J386,Rider_Master[Rider ID],0)),1,0))</f>
        <v/>
      </c>
      <c r="M386" s="119" t="str">
        <f aca="false">IF(J386="","",INDEX(Rider_Input[Completed Orders],I386))</f>
        <v/>
      </c>
      <c r="N386" s="119" t="str">
        <f aca="false">IF(OR(J386="",K386=""),"",IFERROR(INDEX(RLVL_Data,K386,c_RLVL_Orders),""))</f>
        <v/>
      </c>
      <c r="O386" s="119" t="str">
        <f aca="false">IF(J386="","",IF(COUNTIF($J$6:$J$505,J386)&gt;1,1,0))</f>
        <v/>
      </c>
      <c r="P386" s="119" t="str">
        <f aca="false">IF(J386="","",IF(K386="","Not found in Paste_RLVL – deductions set to 0; ","")&amp;IF(L386=0,"New rider (not in Rider_Master) – OK, shown as Rider &lt;ID&gt;; ","")&amp;IF(AND(N386&lt;&gt;"",N386&lt;&gt;M386),"Orders differ: FTR "&amp;M386&amp;" vs RLVL "&amp;N386&amp;"; ","")&amp;IF(O386=1,"Duplicate Rider ID; ",""))</f>
        <v/>
      </c>
      <c r="Q386" s="119" t="str">
        <f aca="false">IF(P386="","",COUNTIF(P$6:P386,"?*"))</f>
        <v/>
      </c>
    </row>
    <row r="387" customFormat="false" ht="15" hidden="false" customHeight="false" outlineLevel="0" collapsed="false">
      <c r="I387" s="119" t="n">
        <v>382</v>
      </c>
      <c r="J387" s="119" t="str">
        <f aca="false">IFERROR(IF(INDEX(Rider_Input[Rider ID],I387)="","",INDEX(Rider_Input[Rider ID],I387)),"")</f>
        <v/>
      </c>
      <c r="K387" s="119" t="str">
        <f aca="false">IF(J387="","",IFERROR(MATCH(J387,INDEX(RLVL_Data,0,c_RLVL_ID),0),""))</f>
        <v/>
      </c>
      <c r="L387" s="119" t="str">
        <f aca="false">IF(J387="","",IF(ISNUMBER(MATCH(J387,Rider_Master[Rider ID],0)),1,0))</f>
        <v/>
      </c>
      <c r="M387" s="119" t="str">
        <f aca="false">IF(J387="","",INDEX(Rider_Input[Completed Orders],I387))</f>
        <v/>
      </c>
      <c r="N387" s="119" t="str">
        <f aca="false">IF(OR(J387="",K387=""),"",IFERROR(INDEX(RLVL_Data,K387,c_RLVL_Orders),""))</f>
        <v/>
      </c>
      <c r="O387" s="119" t="str">
        <f aca="false">IF(J387="","",IF(COUNTIF($J$6:$J$505,J387)&gt;1,1,0))</f>
        <v/>
      </c>
      <c r="P387" s="119" t="str">
        <f aca="false">IF(J387="","",IF(K387="","Not found in Paste_RLVL – deductions set to 0; ","")&amp;IF(L387=0,"New rider (not in Rider_Master) – OK, shown as Rider &lt;ID&gt;; ","")&amp;IF(AND(N387&lt;&gt;"",N387&lt;&gt;M387),"Orders differ: FTR "&amp;M387&amp;" vs RLVL "&amp;N387&amp;"; ","")&amp;IF(O387=1,"Duplicate Rider ID; ",""))</f>
        <v/>
      </c>
      <c r="Q387" s="119" t="str">
        <f aca="false">IF(P387="","",COUNTIF(P$6:P387,"?*"))</f>
        <v/>
      </c>
    </row>
    <row r="388" customFormat="false" ht="15" hidden="false" customHeight="false" outlineLevel="0" collapsed="false">
      <c r="I388" s="119" t="n">
        <v>383</v>
      </c>
      <c r="J388" s="119" t="str">
        <f aca="false">IFERROR(IF(INDEX(Rider_Input[Rider ID],I388)="","",INDEX(Rider_Input[Rider ID],I388)),"")</f>
        <v/>
      </c>
      <c r="K388" s="119" t="str">
        <f aca="false">IF(J388="","",IFERROR(MATCH(J388,INDEX(RLVL_Data,0,c_RLVL_ID),0),""))</f>
        <v/>
      </c>
      <c r="L388" s="119" t="str">
        <f aca="false">IF(J388="","",IF(ISNUMBER(MATCH(J388,Rider_Master[Rider ID],0)),1,0))</f>
        <v/>
      </c>
      <c r="M388" s="119" t="str">
        <f aca="false">IF(J388="","",INDEX(Rider_Input[Completed Orders],I388))</f>
        <v/>
      </c>
      <c r="N388" s="119" t="str">
        <f aca="false">IF(OR(J388="",K388=""),"",IFERROR(INDEX(RLVL_Data,K388,c_RLVL_Orders),""))</f>
        <v/>
      </c>
      <c r="O388" s="119" t="str">
        <f aca="false">IF(J388="","",IF(COUNTIF($J$6:$J$505,J388)&gt;1,1,0))</f>
        <v/>
      </c>
      <c r="P388" s="119" t="str">
        <f aca="false">IF(J388="","",IF(K388="","Not found in Paste_RLVL – deductions set to 0; ","")&amp;IF(L388=0,"New rider (not in Rider_Master) – OK, shown as Rider &lt;ID&gt;; ","")&amp;IF(AND(N388&lt;&gt;"",N388&lt;&gt;M388),"Orders differ: FTR "&amp;M388&amp;" vs RLVL "&amp;N388&amp;"; ","")&amp;IF(O388=1,"Duplicate Rider ID; ",""))</f>
        <v/>
      </c>
      <c r="Q388" s="119" t="str">
        <f aca="false">IF(P388="","",COUNTIF(P$6:P388,"?*"))</f>
        <v/>
      </c>
    </row>
    <row r="389" customFormat="false" ht="15" hidden="false" customHeight="false" outlineLevel="0" collapsed="false">
      <c r="I389" s="119" t="n">
        <v>384</v>
      </c>
      <c r="J389" s="119" t="str">
        <f aca="false">IFERROR(IF(INDEX(Rider_Input[Rider ID],I389)="","",INDEX(Rider_Input[Rider ID],I389)),"")</f>
        <v/>
      </c>
      <c r="K389" s="119" t="str">
        <f aca="false">IF(J389="","",IFERROR(MATCH(J389,INDEX(RLVL_Data,0,c_RLVL_ID),0),""))</f>
        <v/>
      </c>
      <c r="L389" s="119" t="str">
        <f aca="false">IF(J389="","",IF(ISNUMBER(MATCH(J389,Rider_Master[Rider ID],0)),1,0))</f>
        <v/>
      </c>
      <c r="M389" s="119" t="str">
        <f aca="false">IF(J389="","",INDEX(Rider_Input[Completed Orders],I389))</f>
        <v/>
      </c>
      <c r="N389" s="119" t="str">
        <f aca="false">IF(OR(J389="",K389=""),"",IFERROR(INDEX(RLVL_Data,K389,c_RLVL_Orders),""))</f>
        <v/>
      </c>
      <c r="O389" s="119" t="str">
        <f aca="false">IF(J389="","",IF(COUNTIF($J$6:$J$505,J389)&gt;1,1,0))</f>
        <v/>
      </c>
      <c r="P389" s="119" t="str">
        <f aca="false">IF(J389="","",IF(K389="","Not found in Paste_RLVL – deductions set to 0; ","")&amp;IF(L389=0,"New rider (not in Rider_Master) – OK, shown as Rider &lt;ID&gt;; ","")&amp;IF(AND(N389&lt;&gt;"",N389&lt;&gt;M389),"Orders differ: FTR "&amp;M389&amp;" vs RLVL "&amp;N389&amp;"; ","")&amp;IF(O389=1,"Duplicate Rider ID; ",""))</f>
        <v/>
      </c>
      <c r="Q389" s="119" t="str">
        <f aca="false">IF(P389="","",COUNTIF(P$6:P389,"?*"))</f>
        <v/>
      </c>
    </row>
    <row r="390" customFormat="false" ht="15" hidden="false" customHeight="false" outlineLevel="0" collapsed="false">
      <c r="I390" s="119" t="n">
        <v>385</v>
      </c>
      <c r="J390" s="119" t="str">
        <f aca="false">IFERROR(IF(INDEX(Rider_Input[Rider ID],I390)="","",INDEX(Rider_Input[Rider ID],I390)),"")</f>
        <v/>
      </c>
      <c r="K390" s="119" t="str">
        <f aca="false">IF(J390="","",IFERROR(MATCH(J390,INDEX(RLVL_Data,0,c_RLVL_ID),0),""))</f>
        <v/>
      </c>
      <c r="L390" s="119" t="str">
        <f aca="false">IF(J390="","",IF(ISNUMBER(MATCH(J390,Rider_Master[Rider ID],0)),1,0))</f>
        <v/>
      </c>
      <c r="M390" s="119" t="str">
        <f aca="false">IF(J390="","",INDEX(Rider_Input[Completed Orders],I390))</f>
        <v/>
      </c>
      <c r="N390" s="119" t="str">
        <f aca="false">IF(OR(J390="",K390=""),"",IFERROR(INDEX(RLVL_Data,K390,c_RLVL_Orders),""))</f>
        <v/>
      </c>
      <c r="O390" s="119" t="str">
        <f aca="false">IF(J390="","",IF(COUNTIF($J$6:$J$505,J390)&gt;1,1,0))</f>
        <v/>
      </c>
      <c r="P390" s="119" t="str">
        <f aca="false">IF(J390="","",IF(K390="","Not found in Paste_RLVL – deductions set to 0; ","")&amp;IF(L390=0,"New rider (not in Rider_Master) – OK, shown as Rider &lt;ID&gt;; ","")&amp;IF(AND(N390&lt;&gt;"",N390&lt;&gt;M390),"Orders differ: FTR "&amp;M390&amp;" vs RLVL "&amp;N390&amp;"; ","")&amp;IF(O390=1,"Duplicate Rider ID; ",""))</f>
        <v/>
      </c>
      <c r="Q390" s="119" t="str">
        <f aca="false">IF(P390="","",COUNTIF(P$6:P390,"?*"))</f>
        <v/>
      </c>
    </row>
    <row r="391" customFormat="false" ht="15" hidden="false" customHeight="false" outlineLevel="0" collapsed="false">
      <c r="I391" s="119" t="n">
        <v>386</v>
      </c>
      <c r="J391" s="119" t="str">
        <f aca="false">IFERROR(IF(INDEX(Rider_Input[Rider ID],I391)="","",INDEX(Rider_Input[Rider ID],I391)),"")</f>
        <v/>
      </c>
      <c r="K391" s="119" t="str">
        <f aca="false">IF(J391="","",IFERROR(MATCH(J391,INDEX(RLVL_Data,0,c_RLVL_ID),0),""))</f>
        <v/>
      </c>
      <c r="L391" s="119" t="str">
        <f aca="false">IF(J391="","",IF(ISNUMBER(MATCH(J391,Rider_Master[Rider ID],0)),1,0))</f>
        <v/>
      </c>
      <c r="M391" s="119" t="str">
        <f aca="false">IF(J391="","",INDEX(Rider_Input[Completed Orders],I391))</f>
        <v/>
      </c>
      <c r="N391" s="119" t="str">
        <f aca="false">IF(OR(J391="",K391=""),"",IFERROR(INDEX(RLVL_Data,K391,c_RLVL_Orders),""))</f>
        <v/>
      </c>
      <c r="O391" s="119" t="str">
        <f aca="false">IF(J391="","",IF(COUNTIF($J$6:$J$505,J391)&gt;1,1,0))</f>
        <v/>
      </c>
      <c r="P391" s="119" t="str">
        <f aca="false">IF(J391="","",IF(K391="","Not found in Paste_RLVL – deductions set to 0; ","")&amp;IF(L391=0,"New rider (not in Rider_Master) – OK, shown as Rider &lt;ID&gt;; ","")&amp;IF(AND(N391&lt;&gt;"",N391&lt;&gt;M391),"Orders differ: FTR "&amp;M391&amp;" vs RLVL "&amp;N391&amp;"; ","")&amp;IF(O391=1,"Duplicate Rider ID; ",""))</f>
        <v/>
      </c>
      <c r="Q391" s="119" t="str">
        <f aca="false">IF(P391="","",COUNTIF(P$6:P391,"?*"))</f>
        <v/>
      </c>
    </row>
    <row r="392" customFormat="false" ht="15" hidden="false" customHeight="false" outlineLevel="0" collapsed="false">
      <c r="I392" s="119" t="n">
        <v>387</v>
      </c>
      <c r="J392" s="119" t="str">
        <f aca="false">IFERROR(IF(INDEX(Rider_Input[Rider ID],I392)="","",INDEX(Rider_Input[Rider ID],I392)),"")</f>
        <v/>
      </c>
      <c r="K392" s="119" t="str">
        <f aca="false">IF(J392="","",IFERROR(MATCH(J392,INDEX(RLVL_Data,0,c_RLVL_ID),0),""))</f>
        <v/>
      </c>
      <c r="L392" s="119" t="str">
        <f aca="false">IF(J392="","",IF(ISNUMBER(MATCH(J392,Rider_Master[Rider ID],0)),1,0))</f>
        <v/>
      </c>
      <c r="M392" s="119" t="str">
        <f aca="false">IF(J392="","",INDEX(Rider_Input[Completed Orders],I392))</f>
        <v/>
      </c>
      <c r="N392" s="119" t="str">
        <f aca="false">IF(OR(J392="",K392=""),"",IFERROR(INDEX(RLVL_Data,K392,c_RLVL_Orders),""))</f>
        <v/>
      </c>
      <c r="O392" s="119" t="str">
        <f aca="false">IF(J392="","",IF(COUNTIF($J$6:$J$505,J392)&gt;1,1,0))</f>
        <v/>
      </c>
      <c r="P392" s="119" t="str">
        <f aca="false">IF(J392="","",IF(K392="","Not found in Paste_RLVL – deductions set to 0; ","")&amp;IF(L392=0,"New rider (not in Rider_Master) – OK, shown as Rider &lt;ID&gt;; ","")&amp;IF(AND(N392&lt;&gt;"",N392&lt;&gt;M392),"Orders differ: FTR "&amp;M392&amp;" vs RLVL "&amp;N392&amp;"; ","")&amp;IF(O392=1,"Duplicate Rider ID; ",""))</f>
        <v/>
      </c>
      <c r="Q392" s="119" t="str">
        <f aca="false">IF(P392="","",COUNTIF(P$6:P392,"?*"))</f>
        <v/>
      </c>
    </row>
    <row r="393" customFormat="false" ht="15" hidden="false" customHeight="false" outlineLevel="0" collapsed="false">
      <c r="I393" s="119" t="n">
        <v>388</v>
      </c>
      <c r="J393" s="119" t="str">
        <f aca="false">IFERROR(IF(INDEX(Rider_Input[Rider ID],I393)="","",INDEX(Rider_Input[Rider ID],I393)),"")</f>
        <v/>
      </c>
      <c r="K393" s="119" t="str">
        <f aca="false">IF(J393="","",IFERROR(MATCH(J393,INDEX(RLVL_Data,0,c_RLVL_ID),0),""))</f>
        <v/>
      </c>
      <c r="L393" s="119" t="str">
        <f aca="false">IF(J393="","",IF(ISNUMBER(MATCH(J393,Rider_Master[Rider ID],0)),1,0))</f>
        <v/>
      </c>
      <c r="M393" s="119" t="str">
        <f aca="false">IF(J393="","",INDEX(Rider_Input[Completed Orders],I393))</f>
        <v/>
      </c>
      <c r="N393" s="119" t="str">
        <f aca="false">IF(OR(J393="",K393=""),"",IFERROR(INDEX(RLVL_Data,K393,c_RLVL_Orders),""))</f>
        <v/>
      </c>
      <c r="O393" s="119" t="str">
        <f aca="false">IF(J393="","",IF(COUNTIF($J$6:$J$505,J393)&gt;1,1,0))</f>
        <v/>
      </c>
      <c r="P393" s="119" t="str">
        <f aca="false">IF(J393="","",IF(K393="","Not found in Paste_RLVL – deductions set to 0; ","")&amp;IF(L393=0,"New rider (not in Rider_Master) – OK, shown as Rider &lt;ID&gt;; ","")&amp;IF(AND(N393&lt;&gt;"",N393&lt;&gt;M393),"Orders differ: FTR "&amp;M393&amp;" vs RLVL "&amp;N393&amp;"; ","")&amp;IF(O393=1,"Duplicate Rider ID; ",""))</f>
        <v/>
      </c>
      <c r="Q393" s="119" t="str">
        <f aca="false">IF(P393="","",COUNTIF(P$6:P393,"?*"))</f>
        <v/>
      </c>
    </row>
    <row r="394" customFormat="false" ht="15" hidden="false" customHeight="false" outlineLevel="0" collapsed="false">
      <c r="I394" s="119" t="n">
        <v>389</v>
      </c>
      <c r="J394" s="119" t="str">
        <f aca="false">IFERROR(IF(INDEX(Rider_Input[Rider ID],I394)="","",INDEX(Rider_Input[Rider ID],I394)),"")</f>
        <v/>
      </c>
      <c r="K394" s="119" t="str">
        <f aca="false">IF(J394="","",IFERROR(MATCH(J394,INDEX(RLVL_Data,0,c_RLVL_ID),0),""))</f>
        <v/>
      </c>
      <c r="L394" s="119" t="str">
        <f aca="false">IF(J394="","",IF(ISNUMBER(MATCH(J394,Rider_Master[Rider ID],0)),1,0))</f>
        <v/>
      </c>
      <c r="M394" s="119" t="str">
        <f aca="false">IF(J394="","",INDEX(Rider_Input[Completed Orders],I394))</f>
        <v/>
      </c>
      <c r="N394" s="119" t="str">
        <f aca="false">IF(OR(J394="",K394=""),"",IFERROR(INDEX(RLVL_Data,K394,c_RLVL_Orders),""))</f>
        <v/>
      </c>
      <c r="O394" s="119" t="str">
        <f aca="false">IF(J394="","",IF(COUNTIF($J$6:$J$505,J394)&gt;1,1,0))</f>
        <v/>
      </c>
      <c r="P394" s="119" t="str">
        <f aca="false">IF(J394="","",IF(K394="","Not found in Paste_RLVL – deductions set to 0; ","")&amp;IF(L394=0,"New rider (not in Rider_Master) – OK, shown as Rider &lt;ID&gt;; ","")&amp;IF(AND(N394&lt;&gt;"",N394&lt;&gt;M394),"Orders differ: FTR "&amp;M394&amp;" vs RLVL "&amp;N394&amp;"; ","")&amp;IF(O394=1,"Duplicate Rider ID; ",""))</f>
        <v/>
      </c>
      <c r="Q394" s="119" t="str">
        <f aca="false">IF(P394="","",COUNTIF(P$6:P394,"?*"))</f>
        <v/>
      </c>
    </row>
    <row r="395" customFormat="false" ht="15" hidden="false" customHeight="false" outlineLevel="0" collapsed="false">
      <c r="I395" s="119" t="n">
        <v>390</v>
      </c>
      <c r="J395" s="119" t="str">
        <f aca="false">IFERROR(IF(INDEX(Rider_Input[Rider ID],I395)="","",INDEX(Rider_Input[Rider ID],I395)),"")</f>
        <v/>
      </c>
      <c r="K395" s="119" t="str">
        <f aca="false">IF(J395="","",IFERROR(MATCH(J395,INDEX(RLVL_Data,0,c_RLVL_ID),0),""))</f>
        <v/>
      </c>
      <c r="L395" s="119" t="str">
        <f aca="false">IF(J395="","",IF(ISNUMBER(MATCH(J395,Rider_Master[Rider ID],0)),1,0))</f>
        <v/>
      </c>
      <c r="M395" s="119" t="str">
        <f aca="false">IF(J395="","",INDEX(Rider_Input[Completed Orders],I395))</f>
        <v/>
      </c>
      <c r="N395" s="119" t="str">
        <f aca="false">IF(OR(J395="",K395=""),"",IFERROR(INDEX(RLVL_Data,K395,c_RLVL_Orders),""))</f>
        <v/>
      </c>
      <c r="O395" s="119" t="str">
        <f aca="false">IF(J395="","",IF(COUNTIF($J$6:$J$505,J395)&gt;1,1,0))</f>
        <v/>
      </c>
      <c r="P395" s="119" t="str">
        <f aca="false">IF(J395="","",IF(K395="","Not found in Paste_RLVL – deductions set to 0; ","")&amp;IF(L395=0,"New rider (not in Rider_Master) – OK, shown as Rider &lt;ID&gt;; ","")&amp;IF(AND(N395&lt;&gt;"",N395&lt;&gt;M395),"Orders differ: FTR "&amp;M395&amp;" vs RLVL "&amp;N395&amp;"; ","")&amp;IF(O395=1,"Duplicate Rider ID; ",""))</f>
        <v/>
      </c>
      <c r="Q395" s="119" t="str">
        <f aca="false">IF(P395="","",COUNTIF(P$6:P395,"?*"))</f>
        <v/>
      </c>
    </row>
    <row r="396" customFormat="false" ht="15" hidden="false" customHeight="false" outlineLevel="0" collapsed="false">
      <c r="I396" s="119" t="n">
        <v>391</v>
      </c>
      <c r="J396" s="119" t="str">
        <f aca="false">IFERROR(IF(INDEX(Rider_Input[Rider ID],I396)="","",INDEX(Rider_Input[Rider ID],I396)),"")</f>
        <v/>
      </c>
      <c r="K396" s="119" t="str">
        <f aca="false">IF(J396="","",IFERROR(MATCH(J396,INDEX(RLVL_Data,0,c_RLVL_ID),0),""))</f>
        <v/>
      </c>
      <c r="L396" s="119" t="str">
        <f aca="false">IF(J396="","",IF(ISNUMBER(MATCH(J396,Rider_Master[Rider ID],0)),1,0))</f>
        <v/>
      </c>
      <c r="M396" s="119" t="str">
        <f aca="false">IF(J396="","",INDEX(Rider_Input[Completed Orders],I396))</f>
        <v/>
      </c>
      <c r="N396" s="119" t="str">
        <f aca="false">IF(OR(J396="",K396=""),"",IFERROR(INDEX(RLVL_Data,K396,c_RLVL_Orders),""))</f>
        <v/>
      </c>
      <c r="O396" s="119" t="str">
        <f aca="false">IF(J396="","",IF(COUNTIF($J$6:$J$505,J396)&gt;1,1,0))</f>
        <v/>
      </c>
      <c r="P396" s="119" t="str">
        <f aca="false">IF(J396="","",IF(K396="","Not found in Paste_RLVL – deductions set to 0; ","")&amp;IF(L396=0,"New rider (not in Rider_Master) – OK, shown as Rider &lt;ID&gt;; ","")&amp;IF(AND(N396&lt;&gt;"",N396&lt;&gt;M396),"Orders differ: FTR "&amp;M396&amp;" vs RLVL "&amp;N396&amp;"; ","")&amp;IF(O396=1,"Duplicate Rider ID; ",""))</f>
        <v/>
      </c>
      <c r="Q396" s="119" t="str">
        <f aca="false">IF(P396="","",COUNTIF(P$6:P396,"?*"))</f>
        <v/>
      </c>
    </row>
    <row r="397" customFormat="false" ht="15" hidden="false" customHeight="false" outlineLevel="0" collapsed="false">
      <c r="I397" s="119" t="n">
        <v>392</v>
      </c>
      <c r="J397" s="119" t="str">
        <f aca="false">IFERROR(IF(INDEX(Rider_Input[Rider ID],I397)="","",INDEX(Rider_Input[Rider ID],I397)),"")</f>
        <v/>
      </c>
      <c r="K397" s="119" t="str">
        <f aca="false">IF(J397="","",IFERROR(MATCH(J397,INDEX(RLVL_Data,0,c_RLVL_ID),0),""))</f>
        <v/>
      </c>
      <c r="L397" s="119" t="str">
        <f aca="false">IF(J397="","",IF(ISNUMBER(MATCH(J397,Rider_Master[Rider ID],0)),1,0))</f>
        <v/>
      </c>
      <c r="M397" s="119" t="str">
        <f aca="false">IF(J397="","",INDEX(Rider_Input[Completed Orders],I397))</f>
        <v/>
      </c>
      <c r="N397" s="119" t="str">
        <f aca="false">IF(OR(J397="",K397=""),"",IFERROR(INDEX(RLVL_Data,K397,c_RLVL_Orders),""))</f>
        <v/>
      </c>
      <c r="O397" s="119" t="str">
        <f aca="false">IF(J397="","",IF(COUNTIF($J$6:$J$505,J397)&gt;1,1,0))</f>
        <v/>
      </c>
      <c r="P397" s="119" t="str">
        <f aca="false">IF(J397="","",IF(K397="","Not found in Paste_RLVL – deductions set to 0; ","")&amp;IF(L397=0,"New rider (not in Rider_Master) – OK, shown as Rider &lt;ID&gt;; ","")&amp;IF(AND(N397&lt;&gt;"",N397&lt;&gt;M397),"Orders differ: FTR "&amp;M397&amp;" vs RLVL "&amp;N397&amp;"; ","")&amp;IF(O397=1,"Duplicate Rider ID; ",""))</f>
        <v/>
      </c>
      <c r="Q397" s="119" t="str">
        <f aca="false">IF(P397="","",COUNTIF(P$6:P397,"?*"))</f>
        <v/>
      </c>
    </row>
    <row r="398" customFormat="false" ht="15" hidden="false" customHeight="false" outlineLevel="0" collapsed="false">
      <c r="I398" s="119" t="n">
        <v>393</v>
      </c>
      <c r="J398" s="119" t="str">
        <f aca="false">IFERROR(IF(INDEX(Rider_Input[Rider ID],I398)="","",INDEX(Rider_Input[Rider ID],I398)),"")</f>
        <v/>
      </c>
      <c r="K398" s="119" t="str">
        <f aca="false">IF(J398="","",IFERROR(MATCH(J398,INDEX(RLVL_Data,0,c_RLVL_ID),0),""))</f>
        <v/>
      </c>
      <c r="L398" s="119" t="str">
        <f aca="false">IF(J398="","",IF(ISNUMBER(MATCH(J398,Rider_Master[Rider ID],0)),1,0))</f>
        <v/>
      </c>
      <c r="M398" s="119" t="str">
        <f aca="false">IF(J398="","",INDEX(Rider_Input[Completed Orders],I398))</f>
        <v/>
      </c>
      <c r="N398" s="119" t="str">
        <f aca="false">IF(OR(J398="",K398=""),"",IFERROR(INDEX(RLVL_Data,K398,c_RLVL_Orders),""))</f>
        <v/>
      </c>
      <c r="O398" s="119" t="str">
        <f aca="false">IF(J398="","",IF(COUNTIF($J$6:$J$505,J398)&gt;1,1,0))</f>
        <v/>
      </c>
      <c r="P398" s="119" t="str">
        <f aca="false">IF(J398="","",IF(K398="","Not found in Paste_RLVL – deductions set to 0; ","")&amp;IF(L398=0,"New rider (not in Rider_Master) – OK, shown as Rider &lt;ID&gt;; ","")&amp;IF(AND(N398&lt;&gt;"",N398&lt;&gt;M398),"Orders differ: FTR "&amp;M398&amp;" vs RLVL "&amp;N398&amp;"; ","")&amp;IF(O398=1,"Duplicate Rider ID; ",""))</f>
        <v/>
      </c>
      <c r="Q398" s="119" t="str">
        <f aca="false">IF(P398="","",COUNTIF(P$6:P398,"?*"))</f>
        <v/>
      </c>
    </row>
    <row r="399" customFormat="false" ht="15" hidden="false" customHeight="false" outlineLevel="0" collapsed="false">
      <c r="I399" s="119" t="n">
        <v>394</v>
      </c>
      <c r="J399" s="119" t="str">
        <f aca="false">IFERROR(IF(INDEX(Rider_Input[Rider ID],I399)="","",INDEX(Rider_Input[Rider ID],I399)),"")</f>
        <v/>
      </c>
      <c r="K399" s="119" t="str">
        <f aca="false">IF(J399="","",IFERROR(MATCH(J399,INDEX(RLVL_Data,0,c_RLVL_ID),0),""))</f>
        <v/>
      </c>
      <c r="L399" s="119" t="str">
        <f aca="false">IF(J399="","",IF(ISNUMBER(MATCH(J399,Rider_Master[Rider ID],0)),1,0))</f>
        <v/>
      </c>
      <c r="M399" s="119" t="str">
        <f aca="false">IF(J399="","",INDEX(Rider_Input[Completed Orders],I399))</f>
        <v/>
      </c>
      <c r="N399" s="119" t="str">
        <f aca="false">IF(OR(J399="",K399=""),"",IFERROR(INDEX(RLVL_Data,K399,c_RLVL_Orders),""))</f>
        <v/>
      </c>
      <c r="O399" s="119" t="str">
        <f aca="false">IF(J399="","",IF(COUNTIF($J$6:$J$505,J399)&gt;1,1,0))</f>
        <v/>
      </c>
      <c r="P399" s="119" t="str">
        <f aca="false">IF(J399="","",IF(K399="","Not found in Paste_RLVL – deductions set to 0; ","")&amp;IF(L399=0,"New rider (not in Rider_Master) – OK, shown as Rider &lt;ID&gt;; ","")&amp;IF(AND(N399&lt;&gt;"",N399&lt;&gt;M399),"Orders differ: FTR "&amp;M399&amp;" vs RLVL "&amp;N399&amp;"; ","")&amp;IF(O399=1,"Duplicate Rider ID; ",""))</f>
        <v/>
      </c>
      <c r="Q399" s="119" t="str">
        <f aca="false">IF(P399="","",COUNTIF(P$6:P399,"?*"))</f>
        <v/>
      </c>
    </row>
    <row r="400" customFormat="false" ht="15" hidden="false" customHeight="false" outlineLevel="0" collapsed="false">
      <c r="I400" s="119" t="n">
        <v>395</v>
      </c>
      <c r="J400" s="119" t="str">
        <f aca="false">IFERROR(IF(INDEX(Rider_Input[Rider ID],I400)="","",INDEX(Rider_Input[Rider ID],I400)),"")</f>
        <v/>
      </c>
      <c r="K400" s="119" t="str">
        <f aca="false">IF(J400="","",IFERROR(MATCH(J400,INDEX(RLVL_Data,0,c_RLVL_ID),0),""))</f>
        <v/>
      </c>
      <c r="L400" s="119" t="str">
        <f aca="false">IF(J400="","",IF(ISNUMBER(MATCH(J400,Rider_Master[Rider ID],0)),1,0))</f>
        <v/>
      </c>
      <c r="M400" s="119" t="str">
        <f aca="false">IF(J400="","",INDEX(Rider_Input[Completed Orders],I400))</f>
        <v/>
      </c>
      <c r="N400" s="119" t="str">
        <f aca="false">IF(OR(J400="",K400=""),"",IFERROR(INDEX(RLVL_Data,K400,c_RLVL_Orders),""))</f>
        <v/>
      </c>
      <c r="O400" s="119" t="str">
        <f aca="false">IF(J400="","",IF(COUNTIF($J$6:$J$505,J400)&gt;1,1,0))</f>
        <v/>
      </c>
      <c r="P400" s="119" t="str">
        <f aca="false">IF(J400="","",IF(K400="","Not found in Paste_RLVL – deductions set to 0; ","")&amp;IF(L400=0,"New rider (not in Rider_Master) – OK, shown as Rider &lt;ID&gt;; ","")&amp;IF(AND(N400&lt;&gt;"",N400&lt;&gt;M400),"Orders differ: FTR "&amp;M400&amp;" vs RLVL "&amp;N400&amp;"; ","")&amp;IF(O400=1,"Duplicate Rider ID; ",""))</f>
        <v/>
      </c>
      <c r="Q400" s="119" t="str">
        <f aca="false">IF(P400="","",COUNTIF(P$6:P400,"?*"))</f>
        <v/>
      </c>
    </row>
    <row r="401" customFormat="false" ht="15" hidden="false" customHeight="false" outlineLevel="0" collapsed="false">
      <c r="I401" s="119" t="n">
        <v>396</v>
      </c>
      <c r="J401" s="119" t="str">
        <f aca="false">IFERROR(IF(INDEX(Rider_Input[Rider ID],I401)="","",INDEX(Rider_Input[Rider ID],I401)),"")</f>
        <v/>
      </c>
      <c r="K401" s="119" t="str">
        <f aca="false">IF(J401="","",IFERROR(MATCH(J401,INDEX(RLVL_Data,0,c_RLVL_ID),0),""))</f>
        <v/>
      </c>
      <c r="L401" s="119" t="str">
        <f aca="false">IF(J401="","",IF(ISNUMBER(MATCH(J401,Rider_Master[Rider ID],0)),1,0))</f>
        <v/>
      </c>
      <c r="M401" s="119" t="str">
        <f aca="false">IF(J401="","",INDEX(Rider_Input[Completed Orders],I401))</f>
        <v/>
      </c>
      <c r="N401" s="119" t="str">
        <f aca="false">IF(OR(J401="",K401=""),"",IFERROR(INDEX(RLVL_Data,K401,c_RLVL_Orders),""))</f>
        <v/>
      </c>
      <c r="O401" s="119" t="str">
        <f aca="false">IF(J401="","",IF(COUNTIF($J$6:$J$505,J401)&gt;1,1,0))</f>
        <v/>
      </c>
      <c r="P401" s="119" t="str">
        <f aca="false">IF(J401="","",IF(K401="","Not found in Paste_RLVL – deductions set to 0; ","")&amp;IF(L401=0,"New rider (not in Rider_Master) – OK, shown as Rider &lt;ID&gt;; ","")&amp;IF(AND(N401&lt;&gt;"",N401&lt;&gt;M401),"Orders differ: FTR "&amp;M401&amp;" vs RLVL "&amp;N401&amp;"; ","")&amp;IF(O401=1,"Duplicate Rider ID; ",""))</f>
        <v/>
      </c>
      <c r="Q401" s="119" t="str">
        <f aca="false">IF(P401="","",COUNTIF(P$6:P401,"?*"))</f>
        <v/>
      </c>
    </row>
    <row r="402" customFormat="false" ht="15" hidden="false" customHeight="false" outlineLevel="0" collapsed="false">
      <c r="I402" s="119" t="n">
        <v>397</v>
      </c>
      <c r="J402" s="119" t="str">
        <f aca="false">IFERROR(IF(INDEX(Rider_Input[Rider ID],I402)="","",INDEX(Rider_Input[Rider ID],I402)),"")</f>
        <v/>
      </c>
      <c r="K402" s="119" t="str">
        <f aca="false">IF(J402="","",IFERROR(MATCH(J402,INDEX(RLVL_Data,0,c_RLVL_ID),0),""))</f>
        <v/>
      </c>
      <c r="L402" s="119" t="str">
        <f aca="false">IF(J402="","",IF(ISNUMBER(MATCH(J402,Rider_Master[Rider ID],0)),1,0))</f>
        <v/>
      </c>
      <c r="M402" s="119" t="str">
        <f aca="false">IF(J402="","",INDEX(Rider_Input[Completed Orders],I402))</f>
        <v/>
      </c>
      <c r="N402" s="119" t="str">
        <f aca="false">IF(OR(J402="",K402=""),"",IFERROR(INDEX(RLVL_Data,K402,c_RLVL_Orders),""))</f>
        <v/>
      </c>
      <c r="O402" s="119" t="str">
        <f aca="false">IF(J402="","",IF(COUNTIF($J$6:$J$505,J402)&gt;1,1,0))</f>
        <v/>
      </c>
      <c r="P402" s="119" t="str">
        <f aca="false">IF(J402="","",IF(K402="","Not found in Paste_RLVL – deductions set to 0; ","")&amp;IF(L402=0,"New rider (not in Rider_Master) – OK, shown as Rider &lt;ID&gt;; ","")&amp;IF(AND(N402&lt;&gt;"",N402&lt;&gt;M402),"Orders differ: FTR "&amp;M402&amp;" vs RLVL "&amp;N402&amp;"; ","")&amp;IF(O402=1,"Duplicate Rider ID; ",""))</f>
        <v/>
      </c>
      <c r="Q402" s="119" t="str">
        <f aca="false">IF(P402="","",COUNTIF(P$6:P402,"?*"))</f>
        <v/>
      </c>
    </row>
    <row r="403" customFormat="false" ht="15" hidden="false" customHeight="false" outlineLevel="0" collapsed="false">
      <c r="I403" s="119" t="n">
        <v>398</v>
      </c>
      <c r="J403" s="119" t="str">
        <f aca="false">IFERROR(IF(INDEX(Rider_Input[Rider ID],I403)="","",INDEX(Rider_Input[Rider ID],I403)),"")</f>
        <v/>
      </c>
      <c r="K403" s="119" t="str">
        <f aca="false">IF(J403="","",IFERROR(MATCH(J403,INDEX(RLVL_Data,0,c_RLVL_ID),0),""))</f>
        <v/>
      </c>
      <c r="L403" s="119" t="str">
        <f aca="false">IF(J403="","",IF(ISNUMBER(MATCH(J403,Rider_Master[Rider ID],0)),1,0))</f>
        <v/>
      </c>
      <c r="M403" s="119" t="str">
        <f aca="false">IF(J403="","",INDEX(Rider_Input[Completed Orders],I403))</f>
        <v/>
      </c>
      <c r="N403" s="119" t="str">
        <f aca="false">IF(OR(J403="",K403=""),"",IFERROR(INDEX(RLVL_Data,K403,c_RLVL_Orders),""))</f>
        <v/>
      </c>
      <c r="O403" s="119" t="str">
        <f aca="false">IF(J403="","",IF(COUNTIF($J$6:$J$505,J403)&gt;1,1,0))</f>
        <v/>
      </c>
      <c r="P403" s="119" t="str">
        <f aca="false">IF(J403="","",IF(K403="","Not found in Paste_RLVL – deductions set to 0; ","")&amp;IF(L403=0,"New rider (not in Rider_Master) – OK, shown as Rider &lt;ID&gt;; ","")&amp;IF(AND(N403&lt;&gt;"",N403&lt;&gt;M403),"Orders differ: FTR "&amp;M403&amp;" vs RLVL "&amp;N403&amp;"; ","")&amp;IF(O403=1,"Duplicate Rider ID; ",""))</f>
        <v/>
      </c>
      <c r="Q403" s="119" t="str">
        <f aca="false">IF(P403="","",COUNTIF(P$6:P403,"?*"))</f>
        <v/>
      </c>
    </row>
    <row r="404" customFormat="false" ht="15" hidden="false" customHeight="false" outlineLevel="0" collapsed="false">
      <c r="I404" s="119" t="n">
        <v>399</v>
      </c>
      <c r="J404" s="119" t="str">
        <f aca="false">IFERROR(IF(INDEX(Rider_Input[Rider ID],I404)="","",INDEX(Rider_Input[Rider ID],I404)),"")</f>
        <v/>
      </c>
      <c r="K404" s="119" t="str">
        <f aca="false">IF(J404="","",IFERROR(MATCH(J404,INDEX(RLVL_Data,0,c_RLVL_ID),0),""))</f>
        <v/>
      </c>
      <c r="L404" s="119" t="str">
        <f aca="false">IF(J404="","",IF(ISNUMBER(MATCH(J404,Rider_Master[Rider ID],0)),1,0))</f>
        <v/>
      </c>
      <c r="M404" s="119" t="str">
        <f aca="false">IF(J404="","",INDEX(Rider_Input[Completed Orders],I404))</f>
        <v/>
      </c>
      <c r="N404" s="119" t="str">
        <f aca="false">IF(OR(J404="",K404=""),"",IFERROR(INDEX(RLVL_Data,K404,c_RLVL_Orders),""))</f>
        <v/>
      </c>
      <c r="O404" s="119" t="str">
        <f aca="false">IF(J404="","",IF(COUNTIF($J$6:$J$505,J404)&gt;1,1,0))</f>
        <v/>
      </c>
      <c r="P404" s="119" t="str">
        <f aca="false">IF(J404="","",IF(K404="","Not found in Paste_RLVL – deductions set to 0; ","")&amp;IF(L404=0,"New rider (not in Rider_Master) – OK, shown as Rider &lt;ID&gt;; ","")&amp;IF(AND(N404&lt;&gt;"",N404&lt;&gt;M404),"Orders differ: FTR "&amp;M404&amp;" vs RLVL "&amp;N404&amp;"; ","")&amp;IF(O404=1,"Duplicate Rider ID; ",""))</f>
        <v/>
      </c>
      <c r="Q404" s="119" t="str">
        <f aca="false">IF(P404="","",COUNTIF(P$6:P404,"?*"))</f>
        <v/>
      </c>
    </row>
    <row r="405" customFormat="false" ht="15" hidden="false" customHeight="false" outlineLevel="0" collapsed="false">
      <c r="I405" s="119" t="n">
        <v>400</v>
      </c>
      <c r="J405" s="119" t="str">
        <f aca="false">IFERROR(IF(INDEX(Rider_Input[Rider ID],I405)="","",INDEX(Rider_Input[Rider ID],I405)),"")</f>
        <v/>
      </c>
      <c r="K405" s="119" t="str">
        <f aca="false">IF(J405="","",IFERROR(MATCH(J405,INDEX(RLVL_Data,0,c_RLVL_ID),0),""))</f>
        <v/>
      </c>
      <c r="L405" s="119" t="str">
        <f aca="false">IF(J405="","",IF(ISNUMBER(MATCH(J405,Rider_Master[Rider ID],0)),1,0))</f>
        <v/>
      </c>
      <c r="M405" s="119" t="str">
        <f aca="false">IF(J405="","",INDEX(Rider_Input[Completed Orders],I405))</f>
        <v/>
      </c>
      <c r="N405" s="119" t="str">
        <f aca="false">IF(OR(J405="",K405=""),"",IFERROR(INDEX(RLVL_Data,K405,c_RLVL_Orders),""))</f>
        <v/>
      </c>
      <c r="O405" s="119" t="str">
        <f aca="false">IF(J405="","",IF(COUNTIF($J$6:$J$505,J405)&gt;1,1,0))</f>
        <v/>
      </c>
      <c r="P405" s="119" t="str">
        <f aca="false">IF(J405="","",IF(K405="","Not found in Paste_RLVL – deductions set to 0; ","")&amp;IF(L405=0,"New rider (not in Rider_Master) – OK, shown as Rider &lt;ID&gt;; ","")&amp;IF(AND(N405&lt;&gt;"",N405&lt;&gt;M405),"Orders differ: FTR "&amp;M405&amp;" vs RLVL "&amp;N405&amp;"; ","")&amp;IF(O405=1,"Duplicate Rider ID; ",""))</f>
        <v/>
      </c>
      <c r="Q405" s="119" t="str">
        <f aca="false">IF(P405="","",COUNTIF(P$6:P405,"?*"))</f>
        <v/>
      </c>
    </row>
    <row r="406" customFormat="false" ht="15" hidden="false" customHeight="false" outlineLevel="0" collapsed="false">
      <c r="I406" s="119" t="n">
        <v>401</v>
      </c>
      <c r="J406" s="119" t="str">
        <f aca="false">IFERROR(IF(INDEX(Rider_Input[Rider ID],I406)="","",INDEX(Rider_Input[Rider ID],I406)),"")</f>
        <v/>
      </c>
      <c r="K406" s="119" t="str">
        <f aca="false">IF(J406="","",IFERROR(MATCH(J406,INDEX(RLVL_Data,0,c_RLVL_ID),0),""))</f>
        <v/>
      </c>
      <c r="L406" s="119" t="str">
        <f aca="false">IF(J406="","",IF(ISNUMBER(MATCH(J406,Rider_Master[Rider ID],0)),1,0))</f>
        <v/>
      </c>
      <c r="M406" s="119" t="str">
        <f aca="false">IF(J406="","",INDEX(Rider_Input[Completed Orders],I406))</f>
        <v/>
      </c>
      <c r="N406" s="119" t="str">
        <f aca="false">IF(OR(J406="",K406=""),"",IFERROR(INDEX(RLVL_Data,K406,c_RLVL_Orders),""))</f>
        <v/>
      </c>
      <c r="O406" s="119" t="str">
        <f aca="false">IF(J406="","",IF(COUNTIF($J$6:$J$505,J406)&gt;1,1,0))</f>
        <v/>
      </c>
      <c r="P406" s="119" t="str">
        <f aca="false">IF(J406="","",IF(K406="","Not found in Paste_RLVL – deductions set to 0; ","")&amp;IF(L406=0,"New rider (not in Rider_Master) – OK, shown as Rider &lt;ID&gt;; ","")&amp;IF(AND(N406&lt;&gt;"",N406&lt;&gt;M406),"Orders differ: FTR "&amp;M406&amp;" vs RLVL "&amp;N406&amp;"; ","")&amp;IF(O406=1,"Duplicate Rider ID; ",""))</f>
        <v/>
      </c>
      <c r="Q406" s="119" t="str">
        <f aca="false">IF(P406="","",COUNTIF(P$6:P406,"?*"))</f>
        <v/>
      </c>
    </row>
    <row r="407" customFormat="false" ht="15" hidden="false" customHeight="false" outlineLevel="0" collapsed="false">
      <c r="I407" s="119" t="n">
        <v>402</v>
      </c>
      <c r="J407" s="119" t="str">
        <f aca="false">IFERROR(IF(INDEX(Rider_Input[Rider ID],I407)="","",INDEX(Rider_Input[Rider ID],I407)),"")</f>
        <v/>
      </c>
      <c r="K407" s="119" t="str">
        <f aca="false">IF(J407="","",IFERROR(MATCH(J407,INDEX(RLVL_Data,0,c_RLVL_ID),0),""))</f>
        <v/>
      </c>
      <c r="L407" s="119" t="str">
        <f aca="false">IF(J407="","",IF(ISNUMBER(MATCH(J407,Rider_Master[Rider ID],0)),1,0))</f>
        <v/>
      </c>
      <c r="M407" s="119" t="str">
        <f aca="false">IF(J407="","",INDEX(Rider_Input[Completed Orders],I407))</f>
        <v/>
      </c>
      <c r="N407" s="119" t="str">
        <f aca="false">IF(OR(J407="",K407=""),"",IFERROR(INDEX(RLVL_Data,K407,c_RLVL_Orders),""))</f>
        <v/>
      </c>
      <c r="O407" s="119" t="str">
        <f aca="false">IF(J407="","",IF(COUNTIF($J$6:$J$505,J407)&gt;1,1,0))</f>
        <v/>
      </c>
      <c r="P407" s="119" t="str">
        <f aca="false">IF(J407="","",IF(K407="","Not found in Paste_RLVL – deductions set to 0; ","")&amp;IF(L407=0,"New rider (not in Rider_Master) – OK, shown as Rider &lt;ID&gt;; ","")&amp;IF(AND(N407&lt;&gt;"",N407&lt;&gt;M407),"Orders differ: FTR "&amp;M407&amp;" vs RLVL "&amp;N407&amp;"; ","")&amp;IF(O407=1,"Duplicate Rider ID; ",""))</f>
        <v/>
      </c>
      <c r="Q407" s="119" t="str">
        <f aca="false">IF(P407="","",COUNTIF(P$6:P407,"?*"))</f>
        <v/>
      </c>
    </row>
    <row r="408" customFormat="false" ht="15" hidden="false" customHeight="false" outlineLevel="0" collapsed="false">
      <c r="I408" s="119" t="n">
        <v>403</v>
      </c>
      <c r="J408" s="119" t="str">
        <f aca="false">IFERROR(IF(INDEX(Rider_Input[Rider ID],I408)="","",INDEX(Rider_Input[Rider ID],I408)),"")</f>
        <v/>
      </c>
      <c r="K408" s="119" t="str">
        <f aca="false">IF(J408="","",IFERROR(MATCH(J408,INDEX(RLVL_Data,0,c_RLVL_ID),0),""))</f>
        <v/>
      </c>
      <c r="L408" s="119" t="str">
        <f aca="false">IF(J408="","",IF(ISNUMBER(MATCH(J408,Rider_Master[Rider ID],0)),1,0))</f>
        <v/>
      </c>
      <c r="M408" s="119" t="str">
        <f aca="false">IF(J408="","",INDEX(Rider_Input[Completed Orders],I408))</f>
        <v/>
      </c>
      <c r="N408" s="119" t="str">
        <f aca="false">IF(OR(J408="",K408=""),"",IFERROR(INDEX(RLVL_Data,K408,c_RLVL_Orders),""))</f>
        <v/>
      </c>
      <c r="O408" s="119" t="str">
        <f aca="false">IF(J408="","",IF(COUNTIF($J$6:$J$505,J408)&gt;1,1,0))</f>
        <v/>
      </c>
      <c r="P408" s="119" t="str">
        <f aca="false">IF(J408="","",IF(K408="","Not found in Paste_RLVL – deductions set to 0; ","")&amp;IF(L408=0,"New rider (not in Rider_Master) – OK, shown as Rider &lt;ID&gt;; ","")&amp;IF(AND(N408&lt;&gt;"",N408&lt;&gt;M408),"Orders differ: FTR "&amp;M408&amp;" vs RLVL "&amp;N408&amp;"; ","")&amp;IF(O408=1,"Duplicate Rider ID; ",""))</f>
        <v/>
      </c>
      <c r="Q408" s="119" t="str">
        <f aca="false">IF(P408="","",COUNTIF(P$6:P408,"?*"))</f>
        <v/>
      </c>
    </row>
    <row r="409" customFormat="false" ht="15" hidden="false" customHeight="false" outlineLevel="0" collapsed="false">
      <c r="I409" s="119" t="n">
        <v>404</v>
      </c>
      <c r="J409" s="119" t="str">
        <f aca="false">IFERROR(IF(INDEX(Rider_Input[Rider ID],I409)="","",INDEX(Rider_Input[Rider ID],I409)),"")</f>
        <v/>
      </c>
      <c r="K409" s="119" t="str">
        <f aca="false">IF(J409="","",IFERROR(MATCH(J409,INDEX(RLVL_Data,0,c_RLVL_ID),0),""))</f>
        <v/>
      </c>
      <c r="L409" s="119" t="str">
        <f aca="false">IF(J409="","",IF(ISNUMBER(MATCH(J409,Rider_Master[Rider ID],0)),1,0))</f>
        <v/>
      </c>
      <c r="M409" s="119" t="str">
        <f aca="false">IF(J409="","",INDEX(Rider_Input[Completed Orders],I409))</f>
        <v/>
      </c>
      <c r="N409" s="119" t="str">
        <f aca="false">IF(OR(J409="",K409=""),"",IFERROR(INDEX(RLVL_Data,K409,c_RLVL_Orders),""))</f>
        <v/>
      </c>
      <c r="O409" s="119" t="str">
        <f aca="false">IF(J409="","",IF(COUNTIF($J$6:$J$505,J409)&gt;1,1,0))</f>
        <v/>
      </c>
      <c r="P409" s="119" t="str">
        <f aca="false">IF(J409="","",IF(K409="","Not found in Paste_RLVL – deductions set to 0; ","")&amp;IF(L409=0,"New rider (not in Rider_Master) – OK, shown as Rider &lt;ID&gt;; ","")&amp;IF(AND(N409&lt;&gt;"",N409&lt;&gt;M409),"Orders differ: FTR "&amp;M409&amp;" vs RLVL "&amp;N409&amp;"; ","")&amp;IF(O409=1,"Duplicate Rider ID; ",""))</f>
        <v/>
      </c>
      <c r="Q409" s="119" t="str">
        <f aca="false">IF(P409="","",COUNTIF(P$6:P409,"?*"))</f>
        <v/>
      </c>
    </row>
    <row r="410" customFormat="false" ht="15" hidden="false" customHeight="false" outlineLevel="0" collapsed="false">
      <c r="I410" s="119" t="n">
        <v>405</v>
      </c>
      <c r="J410" s="119" t="str">
        <f aca="false">IFERROR(IF(INDEX(Rider_Input[Rider ID],I410)="","",INDEX(Rider_Input[Rider ID],I410)),"")</f>
        <v/>
      </c>
      <c r="K410" s="119" t="str">
        <f aca="false">IF(J410="","",IFERROR(MATCH(J410,INDEX(RLVL_Data,0,c_RLVL_ID),0),""))</f>
        <v/>
      </c>
      <c r="L410" s="119" t="str">
        <f aca="false">IF(J410="","",IF(ISNUMBER(MATCH(J410,Rider_Master[Rider ID],0)),1,0))</f>
        <v/>
      </c>
      <c r="M410" s="119" t="str">
        <f aca="false">IF(J410="","",INDEX(Rider_Input[Completed Orders],I410))</f>
        <v/>
      </c>
      <c r="N410" s="119" t="str">
        <f aca="false">IF(OR(J410="",K410=""),"",IFERROR(INDEX(RLVL_Data,K410,c_RLVL_Orders),""))</f>
        <v/>
      </c>
      <c r="O410" s="119" t="str">
        <f aca="false">IF(J410="","",IF(COUNTIF($J$6:$J$505,J410)&gt;1,1,0))</f>
        <v/>
      </c>
      <c r="P410" s="119" t="str">
        <f aca="false">IF(J410="","",IF(K410="","Not found in Paste_RLVL – deductions set to 0; ","")&amp;IF(L410=0,"New rider (not in Rider_Master) – OK, shown as Rider &lt;ID&gt;; ","")&amp;IF(AND(N410&lt;&gt;"",N410&lt;&gt;M410),"Orders differ: FTR "&amp;M410&amp;" vs RLVL "&amp;N410&amp;"; ","")&amp;IF(O410=1,"Duplicate Rider ID; ",""))</f>
        <v/>
      </c>
      <c r="Q410" s="119" t="str">
        <f aca="false">IF(P410="","",COUNTIF(P$6:P410,"?*"))</f>
        <v/>
      </c>
    </row>
    <row r="411" customFormat="false" ht="15" hidden="false" customHeight="false" outlineLevel="0" collapsed="false">
      <c r="I411" s="119" t="n">
        <v>406</v>
      </c>
      <c r="J411" s="119" t="str">
        <f aca="false">IFERROR(IF(INDEX(Rider_Input[Rider ID],I411)="","",INDEX(Rider_Input[Rider ID],I411)),"")</f>
        <v/>
      </c>
      <c r="K411" s="119" t="str">
        <f aca="false">IF(J411="","",IFERROR(MATCH(J411,INDEX(RLVL_Data,0,c_RLVL_ID),0),""))</f>
        <v/>
      </c>
      <c r="L411" s="119" t="str">
        <f aca="false">IF(J411="","",IF(ISNUMBER(MATCH(J411,Rider_Master[Rider ID],0)),1,0))</f>
        <v/>
      </c>
      <c r="M411" s="119" t="str">
        <f aca="false">IF(J411="","",INDEX(Rider_Input[Completed Orders],I411))</f>
        <v/>
      </c>
      <c r="N411" s="119" t="str">
        <f aca="false">IF(OR(J411="",K411=""),"",IFERROR(INDEX(RLVL_Data,K411,c_RLVL_Orders),""))</f>
        <v/>
      </c>
      <c r="O411" s="119" t="str">
        <f aca="false">IF(J411="","",IF(COUNTIF($J$6:$J$505,J411)&gt;1,1,0))</f>
        <v/>
      </c>
      <c r="P411" s="119" t="str">
        <f aca="false">IF(J411="","",IF(K411="","Not found in Paste_RLVL – deductions set to 0; ","")&amp;IF(L411=0,"New rider (not in Rider_Master) – OK, shown as Rider &lt;ID&gt;; ","")&amp;IF(AND(N411&lt;&gt;"",N411&lt;&gt;M411),"Orders differ: FTR "&amp;M411&amp;" vs RLVL "&amp;N411&amp;"; ","")&amp;IF(O411=1,"Duplicate Rider ID; ",""))</f>
        <v/>
      </c>
      <c r="Q411" s="119" t="str">
        <f aca="false">IF(P411="","",COUNTIF(P$6:P411,"?*"))</f>
        <v/>
      </c>
    </row>
    <row r="412" customFormat="false" ht="15" hidden="false" customHeight="false" outlineLevel="0" collapsed="false">
      <c r="I412" s="119" t="n">
        <v>407</v>
      </c>
      <c r="J412" s="119" t="str">
        <f aca="false">IFERROR(IF(INDEX(Rider_Input[Rider ID],I412)="","",INDEX(Rider_Input[Rider ID],I412)),"")</f>
        <v/>
      </c>
      <c r="K412" s="119" t="str">
        <f aca="false">IF(J412="","",IFERROR(MATCH(J412,INDEX(RLVL_Data,0,c_RLVL_ID),0),""))</f>
        <v/>
      </c>
      <c r="L412" s="119" t="str">
        <f aca="false">IF(J412="","",IF(ISNUMBER(MATCH(J412,Rider_Master[Rider ID],0)),1,0))</f>
        <v/>
      </c>
      <c r="M412" s="119" t="str">
        <f aca="false">IF(J412="","",INDEX(Rider_Input[Completed Orders],I412))</f>
        <v/>
      </c>
      <c r="N412" s="119" t="str">
        <f aca="false">IF(OR(J412="",K412=""),"",IFERROR(INDEX(RLVL_Data,K412,c_RLVL_Orders),""))</f>
        <v/>
      </c>
      <c r="O412" s="119" t="str">
        <f aca="false">IF(J412="","",IF(COUNTIF($J$6:$J$505,J412)&gt;1,1,0))</f>
        <v/>
      </c>
      <c r="P412" s="119" t="str">
        <f aca="false">IF(J412="","",IF(K412="","Not found in Paste_RLVL – deductions set to 0; ","")&amp;IF(L412=0,"New rider (not in Rider_Master) – OK, shown as Rider &lt;ID&gt;; ","")&amp;IF(AND(N412&lt;&gt;"",N412&lt;&gt;M412),"Orders differ: FTR "&amp;M412&amp;" vs RLVL "&amp;N412&amp;"; ","")&amp;IF(O412=1,"Duplicate Rider ID; ",""))</f>
        <v/>
      </c>
      <c r="Q412" s="119" t="str">
        <f aca="false">IF(P412="","",COUNTIF(P$6:P412,"?*"))</f>
        <v/>
      </c>
    </row>
    <row r="413" customFormat="false" ht="15" hidden="false" customHeight="false" outlineLevel="0" collapsed="false">
      <c r="I413" s="119" t="n">
        <v>408</v>
      </c>
      <c r="J413" s="119" t="str">
        <f aca="false">IFERROR(IF(INDEX(Rider_Input[Rider ID],I413)="","",INDEX(Rider_Input[Rider ID],I413)),"")</f>
        <v/>
      </c>
      <c r="K413" s="119" t="str">
        <f aca="false">IF(J413="","",IFERROR(MATCH(J413,INDEX(RLVL_Data,0,c_RLVL_ID),0),""))</f>
        <v/>
      </c>
      <c r="L413" s="119" t="str">
        <f aca="false">IF(J413="","",IF(ISNUMBER(MATCH(J413,Rider_Master[Rider ID],0)),1,0))</f>
        <v/>
      </c>
      <c r="M413" s="119" t="str">
        <f aca="false">IF(J413="","",INDEX(Rider_Input[Completed Orders],I413))</f>
        <v/>
      </c>
      <c r="N413" s="119" t="str">
        <f aca="false">IF(OR(J413="",K413=""),"",IFERROR(INDEX(RLVL_Data,K413,c_RLVL_Orders),""))</f>
        <v/>
      </c>
      <c r="O413" s="119" t="str">
        <f aca="false">IF(J413="","",IF(COUNTIF($J$6:$J$505,J413)&gt;1,1,0))</f>
        <v/>
      </c>
      <c r="P413" s="119" t="str">
        <f aca="false">IF(J413="","",IF(K413="","Not found in Paste_RLVL – deductions set to 0; ","")&amp;IF(L413=0,"New rider (not in Rider_Master) – OK, shown as Rider &lt;ID&gt;; ","")&amp;IF(AND(N413&lt;&gt;"",N413&lt;&gt;M413),"Orders differ: FTR "&amp;M413&amp;" vs RLVL "&amp;N413&amp;"; ","")&amp;IF(O413=1,"Duplicate Rider ID; ",""))</f>
        <v/>
      </c>
      <c r="Q413" s="119" t="str">
        <f aca="false">IF(P413="","",COUNTIF(P$6:P413,"?*"))</f>
        <v/>
      </c>
    </row>
    <row r="414" customFormat="false" ht="15" hidden="false" customHeight="false" outlineLevel="0" collapsed="false">
      <c r="I414" s="119" t="n">
        <v>409</v>
      </c>
      <c r="J414" s="119" t="str">
        <f aca="false">IFERROR(IF(INDEX(Rider_Input[Rider ID],I414)="","",INDEX(Rider_Input[Rider ID],I414)),"")</f>
        <v/>
      </c>
      <c r="K414" s="119" t="str">
        <f aca="false">IF(J414="","",IFERROR(MATCH(J414,INDEX(RLVL_Data,0,c_RLVL_ID),0),""))</f>
        <v/>
      </c>
      <c r="L414" s="119" t="str">
        <f aca="false">IF(J414="","",IF(ISNUMBER(MATCH(J414,Rider_Master[Rider ID],0)),1,0))</f>
        <v/>
      </c>
      <c r="M414" s="119" t="str">
        <f aca="false">IF(J414="","",INDEX(Rider_Input[Completed Orders],I414))</f>
        <v/>
      </c>
      <c r="N414" s="119" t="str">
        <f aca="false">IF(OR(J414="",K414=""),"",IFERROR(INDEX(RLVL_Data,K414,c_RLVL_Orders),""))</f>
        <v/>
      </c>
      <c r="O414" s="119" t="str">
        <f aca="false">IF(J414="","",IF(COUNTIF($J$6:$J$505,J414)&gt;1,1,0))</f>
        <v/>
      </c>
      <c r="P414" s="119" t="str">
        <f aca="false">IF(J414="","",IF(K414="","Not found in Paste_RLVL – deductions set to 0; ","")&amp;IF(L414=0,"New rider (not in Rider_Master) – OK, shown as Rider &lt;ID&gt;; ","")&amp;IF(AND(N414&lt;&gt;"",N414&lt;&gt;M414),"Orders differ: FTR "&amp;M414&amp;" vs RLVL "&amp;N414&amp;"; ","")&amp;IF(O414=1,"Duplicate Rider ID; ",""))</f>
        <v/>
      </c>
      <c r="Q414" s="119" t="str">
        <f aca="false">IF(P414="","",COUNTIF(P$6:P414,"?*"))</f>
        <v/>
      </c>
    </row>
    <row r="415" customFormat="false" ht="15" hidden="false" customHeight="false" outlineLevel="0" collapsed="false">
      <c r="I415" s="119" t="n">
        <v>410</v>
      </c>
      <c r="J415" s="119" t="str">
        <f aca="false">IFERROR(IF(INDEX(Rider_Input[Rider ID],I415)="","",INDEX(Rider_Input[Rider ID],I415)),"")</f>
        <v/>
      </c>
      <c r="K415" s="119" t="str">
        <f aca="false">IF(J415="","",IFERROR(MATCH(J415,INDEX(RLVL_Data,0,c_RLVL_ID),0),""))</f>
        <v/>
      </c>
      <c r="L415" s="119" t="str">
        <f aca="false">IF(J415="","",IF(ISNUMBER(MATCH(J415,Rider_Master[Rider ID],0)),1,0))</f>
        <v/>
      </c>
      <c r="M415" s="119" t="str">
        <f aca="false">IF(J415="","",INDEX(Rider_Input[Completed Orders],I415))</f>
        <v/>
      </c>
      <c r="N415" s="119" t="str">
        <f aca="false">IF(OR(J415="",K415=""),"",IFERROR(INDEX(RLVL_Data,K415,c_RLVL_Orders),""))</f>
        <v/>
      </c>
      <c r="O415" s="119" t="str">
        <f aca="false">IF(J415="","",IF(COUNTIF($J$6:$J$505,J415)&gt;1,1,0))</f>
        <v/>
      </c>
      <c r="P415" s="119" t="str">
        <f aca="false">IF(J415="","",IF(K415="","Not found in Paste_RLVL – deductions set to 0; ","")&amp;IF(L415=0,"New rider (not in Rider_Master) – OK, shown as Rider &lt;ID&gt;; ","")&amp;IF(AND(N415&lt;&gt;"",N415&lt;&gt;M415),"Orders differ: FTR "&amp;M415&amp;" vs RLVL "&amp;N415&amp;"; ","")&amp;IF(O415=1,"Duplicate Rider ID; ",""))</f>
        <v/>
      </c>
      <c r="Q415" s="119" t="str">
        <f aca="false">IF(P415="","",COUNTIF(P$6:P415,"?*"))</f>
        <v/>
      </c>
    </row>
    <row r="416" customFormat="false" ht="15" hidden="false" customHeight="false" outlineLevel="0" collapsed="false">
      <c r="I416" s="119" t="n">
        <v>411</v>
      </c>
      <c r="J416" s="119" t="str">
        <f aca="false">IFERROR(IF(INDEX(Rider_Input[Rider ID],I416)="","",INDEX(Rider_Input[Rider ID],I416)),"")</f>
        <v/>
      </c>
      <c r="K416" s="119" t="str">
        <f aca="false">IF(J416="","",IFERROR(MATCH(J416,INDEX(RLVL_Data,0,c_RLVL_ID),0),""))</f>
        <v/>
      </c>
      <c r="L416" s="119" t="str">
        <f aca="false">IF(J416="","",IF(ISNUMBER(MATCH(J416,Rider_Master[Rider ID],0)),1,0))</f>
        <v/>
      </c>
      <c r="M416" s="119" t="str">
        <f aca="false">IF(J416="","",INDEX(Rider_Input[Completed Orders],I416))</f>
        <v/>
      </c>
      <c r="N416" s="119" t="str">
        <f aca="false">IF(OR(J416="",K416=""),"",IFERROR(INDEX(RLVL_Data,K416,c_RLVL_Orders),""))</f>
        <v/>
      </c>
      <c r="O416" s="119" t="str">
        <f aca="false">IF(J416="","",IF(COUNTIF($J$6:$J$505,J416)&gt;1,1,0))</f>
        <v/>
      </c>
      <c r="P416" s="119" t="str">
        <f aca="false">IF(J416="","",IF(K416="","Not found in Paste_RLVL – deductions set to 0; ","")&amp;IF(L416=0,"New rider (not in Rider_Master) – OK, shown as Rider &lt;ID&gt;; ","")&amp;IF(AND(N416&lt;&gt;"",N416&lt;&gt;M416),"Orders differ: FTR "&amp;M416&amp;" vs RLVL "&amp;N416&amp;"; ","")&amp;IF(O416=1,"Duplicate Rider ID; ",""))</f>
        <v/>
      </c>
      <c r="Q416" s="119" t="str">
        <f aca="false">IF(P416="","",COUNTIF(P$6:P416,"?*"))</f>
        <v/>
      </c>
    </row>
    <row r="417" customFormat="false" ht="15" hidden="false" customHeight="false" outlineLevel="0" collapsed="false">
      <c r="I417" s="119" t="n">
        <v>412</v>
      </c>
      <c r="J417" s="119" t="str">
        <f aca="false">IFERROR(IF(INDEX(Rider_Input[Rider ID],I417)="","",INDEX(Rider_Input[Rider ID],I417)),"")</f>
        <v/>
      </c>
      <c r="K417" s="119" t="str">
        <f aca="false">IF(J417="","",IFERROR(MATCH(J417,INDEX(RLVL_Data,0,c_RLVL_ID),0),""))</f>
        <v/>
      </c>
      <c r="L417" s="119" t="str">
        <f aca="false">IF(J417="","",IF(ISNUMBER(MATCH(J417,Rider_Master[Rider ID],0)),1,0))</f>
        <v/>
      </c>
      <c r="M417" s="119" t="str">
        <f aca="false">IF(J417="","",INDEX(Rider_Input[Completed Orders],I417))</f>
        <v/>
      </c>
      <c r="N417" s="119" t="str">
        <f aca="false">IF(OR(J417="",K417=""),"",IFERROR(INDEX(RLVL_Data,K417,c_RLVL_Orders),""))</f>
        <v/>
      </c>
      <c r="O417" s="119" t="str">
        <f aca="false">IF(J417="","",IF(COUNTIF($J$6:$J$505,J417)&gt;1,1,0))</f>
        <v/>
      </c>
      <c r="P417" s="119" t="str">
        <f aca="false">IF(J417="","",IF(K417="","Not found in Paste_RLVL – deductions set to 0; ","")&amp;IF(L417=0,"New rider (not in Rider_Master) – OK, shown as Rider &lt;ID&gt;; ","")&amp;IF(AND(N417&lt;&gt;"",N417&lt;&gt;M417),"Orders differ: FTR "&amp;M417&amp;" vs RLVL "&amp;N417&amp;"; ","")&amp;IF(O417=1,"Duplicate Rider ID; ",""))</f>
        <v/>
      </c>
      <c r="Q417" s="119" t="str">
        <f aca="false">IF(P417="","",COUNTIF(P$6:P417,"?*"))</f>
        <v/>
      </c>
    </row>
    <row r="418" customFormat="false" ht="15" hidden="false" customHeight="false" outlineLevel="0" collapsed="false">
      <c r="I418" s="119" t="n">
        <v>413</v>
      </c>
      <c r="J418" s="119" t="str">
        <f aca="false">IFERROR(IF(INDEX(Rider_Input[Rider ID],I418)="","",INDEX(Rider_Input[Rider ID],I418)),"")</f>
        <v/>
      </c>
      <c r="K418" s="119" t="str">
        <f aca="false">IF(J418="","",IFERROR(MATCH(J418,INDEX(RLVL_Data,0,c_RLVL_ID),0),""))</f>
        <v/>
      </c>
      <c r="L418" s="119" t="str">
        <f aca="false">IF(J418="","",IF(ISNUMBER(MATCH(J418,Rider_Master[Rider ID],0)),1,0))</f>
        <v/>
      </c>
      <c r="M418" s="119" t="str">
        <f aca="false">IF(J418="","",INDEX(Rider_Input[Completed Orders],I418))</f>
        <v/>
      </c>
      <c r="N418" s="119" t="str">
        <f aca="false">IF(OR(J418="",K418=""),"",IFERROR(INDEX(RLVL_Data,K418,c_RLVL_Orders),""))</f>
        <v/>
      </c>
      <c r="O418" s="119" t="str">
        <f aca="false">IF(J418="","",IF(COUNTIF($J$6:$J$505,J418)&gt;1,1,0))</f>
        <v/>
      </c>
      <c r="P418" s="119" t="str">
        <f aca="false">IF(J418="","",IF(K418="","Not found in Paste_RLVL – deductions set to 0; ","")&amp;IF(L418=0,"New rider (not in Rider_Master) – OK, shown as Rider &lt;ID&gt;; ","")&amp;IF(AND(N418&lt;&gt;"",N418&lt;&gt;M418),"Orders differ: FTR "&amp;M418&amp;" vs RLVL "&amp;N418&amp;"; ","")&amp;IF(O418=1,"Duplicate Rider ID; ",""))</f>
        <v/>
      </c>
      <c r="Q418" s="119" t="str">
        <f aca="false">IF(P418="","",COUNTIF(P$6:P418,"?*"))</f>
        <v/>
      </c>
    </row>
    <row r="419" customFormat="false" ht="15" hidden="false" customHeight="false" outlineLevel="0" collapsed="false">
      <c r="I419" s="119" t="n">
        <v>414</v>
      </c>
      <c r="J419" s="119" t="str">
        <f aca="false">IFERROR(IF(INDEX(Rider_Input[Rider ID],I419)="","",INDEX(Rider_Input[Rider ID],I419)),"")</f>
        <v/>
      </c>
      <c r="K419" s="119" t="str">
        <f aca="false">IF(J419="","",IFERROR(MATCH(J419,INDEX(RLVL_Data,0,c_RLVL_ID),0),""))</f>
        <v/>
      </c>
      <c r="L419" s="119" t="str">
        <f aca="false">IF(J419="","",IF(ISNUMBER(MATCH(J419,Rider_Master[Rider ID],0)),1,0))</f>
        <v/>
      </c>
      <c r="M419" s="119" t="str">
        <f aca="false">IF(J419="","",INDEX(Rider_Input[Completed Orders],I419))</f>
        <v/>
      </c>
      <c r="N419" s="119" t="str">
        <f aca="false">IF(OR(J419="",K419=""),"",IFERROR(INDEX(RLVL_Data,K419,c_RLVL_Orders),""))</f>
        <v/>
      </c>
      <c r="O419" s="119" t="str">
        <f aca="false">IF(J419="","",IF(COUNTIF($J$6:$J$505,J419)&gt;1,1,0))</f>
        <v/>
      </c>
      <c r="P419" s="119" t="str">
        <f aca="false">IF(J419="","",IF(K419="","Not found in Paste_RLVL – deductions set to 0; ","")&amp;IF(L419=0,"New rider (not in Rider_Master) – OK, shown as Rider &lt;ID&gt;; ","")&amp;IF(AND(N419&lt;&gt;"",N419&lt;&gt;M419),"Orders differ: FTR "&amp;M419&amp;" vs RLVL "&amp;N419&amp;"; ","")&amp;IF(O419=1,"Duplicate Rider ID; ",""))</f>
        <v/>
      </c>
      <c r="Q419" s="119" t="str">
        <f aca="false">IF(P419="","",COUNTIF(P$6:P419,"?*"))</f>
        <v/>
      </c>
    </row>
    <row r="420" customFormat="false" ht="15" hidden="false" customHeight="false" outlineLevel="0" collapsed="false">
      <c r="I420" s="119" t="n">
        <v>415</v>
      </c>
      <c r="J420" s="119" t="str">
        <f aca="false">IFERROR(IF(INDEX(Rider_Input[Rider ID],I420)="","",INDEX(Rider_Input[Rider ID],I420)),"")</f>
        <v/>
      </c>
      <c r="K420" s="119" t="str">
        <f aca="false">IF(J420="","",IFERROR(MATCH(J420,INDEX(RLVL_Data,0,c_RLVL_ID),0),""))</f>
        <v/>
      </c>
      <c r="L420" s="119" t="str">
        <f aca="false">IF(J420="","",IF(ISNUMBER(MATCH(J420,Rider_Master[Rider ID],0)),1,0))</f>
        <v/>
      </c>
      <c r="M420" s="119" t="str">
        <f aca="false">IF(J420="","",INDEX(Rider_Input[Completed Orders],I420))</f>
        <v/>
      </c>
      <c r="N420" s="119" t="str">
        <f aca="false">IF(OR(J420="",K420=""),"",IFERROR(INDEX(RLVL_Data,K420,c_RLVL_Orders),""))</f>
        <v/>
      </c>
      <c r="O420" s="119" t="str">
        <f aca="false">IF(J420="","",IF(COUNTIF($J$6:$J$505,J420)&gt;1,1,0))</f>
        <v/>
      </c>
      <c r="P420" s="119" t="str">
        <f aca="false">IF(J420="","",IF(K420="","Not found in Paste_RLVL – deductions set to 0; ","")&amp;IF(L420=0,"New rider (not in Rider_Master) – OK, shown as Rider &lt;ID&gt;; ","")&amp;IF(AND(N420&lt;&gt;"",N420&lt;&gt;M420),"Orders differ: FTR "&amp;M420&amp;" vs RLVL "&amp;N420&amp;"; ","")&amp;IF(O420=1,"Duplicate Rider ID; ",""))</f>
        <v/>
      </c>
      <c r="Q420" s="119" t="str">
        <f aca="false">IF(P420="","",COUNTIF(P$6:P420,"?*"))</f>
        <v/>
      </c>
    </row>
    <row r="421" customFormat="false" ht="15" hidden="false" customHeight="false" outlineLevel="0" collapsed="false">
      <c r="I421" s="119" t="n">
        <v>416</v>
      </c>
      <c r="J421" s="119" t="str">
        <f aca="false">IFERROR(IF(INDEX(Rider_Input[Rider ID],I421)="","",INDEX(Rider_Input[Rider ID],I421)),"")</f>
        <v/>
      </c>
      <c r="K421" s="119" t="str">
        <f aca="false">IF(J421="","",IFERROR(MATCH(J421,INDEX(RLVL_Data,0,c_RLVL_ID),0),""))</f>
        <v/>
      </c>
      <c r="L421" s="119" t="str">
        <f aca="false">IF(J421="","",IF(ISNUMBER(MATCH(J421,Rider_Master[Rider ID],0)),1,0))</f>
        <v/>
      </c>
      <c r="M421" s="119" t="str">
        <f aca="false">IF(J421="","",INDEX(Rider_Input[Completed Orders],I421))</f>
        <v/>
      </c>
      <c r="N421" s="119" t="str">
        <f aca="false">IF(OR(J421="",K421=""),"",IFERROR(INDEX(RLVL_Data,K421,c_RLVL_Orders),""))</f>
        <v/>
      </c>
      <c r="O421" s="119" t="str">
        <f aca="false">IF(J421="","",IF(COUNTIF($J$6:$J$505,J421)&gt;1,1,0))</f>
        <v/>
      </c>
      <c r="P421" s="119" t="str">
        <f aca="false">IF(J421="","",IF(K421="","Not found in Paste_RLVL – deductions set to 0; ","")&amp;IF(L421=0,"New rider (not in Rider_Master) – OK, shown as Rider &lt;ID&gt;; ","")&amp;IF(AND(N421&lt;&gt;"",N421&lt;&gt;M421),"Orders differ: FTR "&amp;M421&amp;" vs RLVL "&amp;N421&amp;"; ","")&amp;IF(O421=1,"Duplicate Rider ID; ",""))</f>
        <v/>
      </c>
      <c r="Q421" s="119" t="str">
        <f aca="false">IF(P421="","",COUNTIF(P$6:P421,"?*"))</f>
        <v/>
      </c>
    </row>
    <row r="422" customFormat="false" ht="15" hidden="false" customHeight="false" outlineLevel="0" collapsed="false">
      <c r="I422" s="119" t="n">
        <v>417</v>
      </c>
      <c r="J422" s="119" t="str">
        <f aca="false">IFERROR(IF(INDEX(Rider_Input[Rider ID],I422)="","",INDEX(Rider_Input[Rider ID],I422)),"")</f>
        <v/>
      </c>
      <c r="K422" s="119" t="str">
        <f aca="false">IF(J422="","",IFERROR(MATCH(J422,INDEX(RLVL_Data,0,c_RLVL_ID),0),""))</f>
        <v/>
      </c>
      <c r="L422" s="119" t="str">
        <f aca="false">IF(J422="","",IF(ISNUMBER(MATCH(J422,Rider_Master[Rider ID],0)),1,0))</f>
        <v/>
      </c>
      <c r="M422" s="119" t="str">
        <f aca="false">IF(J422="","",INDEX(Rider_Input[Completed Orders],I422))</f>
        <v/>
      </c>
      <c r="N422" s="119" t="str">
        <f aca="false">IF(OR(J422="",K422=""),"",IFERROR(INDEX(RLVL_Data,K422,c_RLVL_Orders),""))</f>
        <v/>
      </c>
      <c r="O422" s="119" t="str">
        <f aca="false">IF(J422="","",IF(COUNTIF($J$6:$J$505,J422)&gt;1,1,0))</f>
        <v/>
      </c>
      <c r="P422" s="119" t="str">
        <f aca="false">IF(J422="","",IF(K422="","Not found in Paste_RLVL – deductions set to 0; ","")&amp;IF(L422=0,"New rider (not in Rider_Master) – OK, shown as Rider &lt;ID&gt;; ","")&amp;IF(AND(N422&lt;&gt;"",N422&lt;&gt;M422),"Orders differ: FTR "&amp;M422&amp;" vs RLVL "&amp;N422&amp;"; ","")&amp;IF(O422=1,"Duplicate Rider ID; ",""))</f>
        <v/>
      </c>
      <c r="Q422" s="119" t="str">
        <f aca="false">IF(P422="","",COUNTIF(P$6:P422,"?*"))</f>
        <v/>
      </c>
    </row>
    <row r="423" customFormat="false" ht="15" hidden="false" customHeight="false" outlineLevel="0" collapsed="false">
      <c r="I423" s="119" t="n">
        <v>418</v>
      </c>
      <c r="J423" s="119" t="str">
        <f aca="false">IFERROR(IF(INDEX(Rider_Input[Rider ID],I423)="","",INDEX(Rider_Input[Rider ID],I423)),"")</f>
        <v/>
      </c>
      <c r="K423" s="119" t="str">
        <f aca="false">IF(J423="","",IFERROR(MATCH(J423,INDEX(RLVL_Data,0,c_RLVL_ID),0),""))</f>
        <v/>
      </c>
      <c r="L423" s="119" t="str">
        <f aca="false">IF(J423="","",IF(ISNUMBER(MATCH(J423,Rider_Master[Rider ID],0)),1,0))</f>
        <v/>
      </c>
      <c r="M423" s="119" t="str">
        <f aca="false">IF(J423="","",INDEX(Rider_Input[Completed Orders],I423))</f>
        <v/>
      </c>
      <c r="N423" s="119" t="str">
        <f aca="false">IF(OR(J423="",K423=""),"",IFERROR(INDEX(RLVL_Data,K423,c_RLVL_Orders),""))</f>
        <v/>
      </c>
      <c r="O423" s="119" t="str">
        <f aca="false">IF(J423="","",IF(COUNTIF($J$6:$J$505,J423)&gt;1,1,0))</f>
        <v/>
      </c>
      <c r="P423" s="119" t="str">
        <f aca="false">IF(J423="","",IF(K423="","Not found in Paste_RLVL – deductions set to 0; ","")&amp;IF(L423=0,"New rider (not in Rider_Master) – OK, shown as Rider &lt;ID&gt;; ","")&amp;IF(AND(N423&lt;&gt;"",N423&lt;&gt;M423),"Orders differ: FTR "&amp;M423&amp;" vs RLVL "&amp;N423&amp;"; ","")&amp;IF(O423=1,"Duplicate Rider ID; ",""))</f>
        <v/>
      </c>
      <c r="Q423" s="119" t="str">
        <f aca="false">IF(P423="","",COUNTIF(P$6:P423,"?*"))</f>
        <v/>
      </c>
    </row>
    <row r="424" customFormat="false" ht="15" hidden="false" customHeight="false" outlineLevel="0" collapsed="false">
      <c r="I424" s="119" t="n">
        <v>419</v>
      </c>
      <c r="J424" s="119" t="str">
        <f aca="false">IFERROR(IF(INDEX(Rider_Input[Rider ID],I424)="","",INDEX(Rider_Input[Rider ID],I424)),"")</f>
        <v/>
      </c>
      <c r="K424" s="119" t="str">
        <f aca="false">IF(J424="","",IFERROR(MATCH(J424,INDEX(RLVL_Data,0,c_RLVL_ID),0),""))</f>
        <v/>
      </c>
      <c r="L424" s="119" t="str">
        <f aca="false">IF(J424="","",IF(ISNUMBER(MATCH(J424,Rider_Master[Rider ID],0)),1,0))</f>
        <v/>
      </c>
      <c r="M424" s="119" t="str">
        <f aca="false">IF(J424="","",INDEX(Rider_Input[Completed Orders],I424))</f>
        <v/>
      </c>
      <c r="N424" s="119" t="str">
        <f aca="false">IF(OR(J424="",K424=""),"",IFERROR(INDEX(RLVL_Data,K424,c_RLVL_Orders),""))</f>
        <v/>
      </c>
      <c r="O424" s="119" t="str">
        <f aca="false">IF(J424="","",IF(COUNTIF($J$6:$J$505,J424)&gt;1,1,0))</f>
        <v/>
      </c>
      <c r="P424" s="119" t="str">
        <f aca="false">IF(J424="","",IF(K424="","Not found in Paste_RLVL – deductions set to 0; ","")&amp;IF(L424=0,"New rider (not in Rider_Master) – OK, shown as Rider &lt;ID&gt;; ","")&amp;IF(AND(N424&lt;&gt;"",N424&lt;&gt;M424),"Orders differ: FTR "&amp;M424&amp;" vs RLVL "&amp;N424&amp;"; ","")&amp;IF(O424=1,"Duplicate Rider ID; ",""))</f>
        <v/>
      </c>
      <c r="Q424" s="119" t="str">
        <f aca="false">IF(P424="","",COUNTIF(P$6:P424,"?*"))</f>
        <v/>
      </c>
    </row>
    <row r="425" customFormat="false" ht="15" hidden="false" customHeight="false" outlineLevel="0" collapsed="false">
      <c r="I425" s="119" t="n">
        <v>420</v>
      </c>
      <c r="J425" s="119" t="str">
        <f aca="false">IFERROR(IF(INDEX(Rider_Input[Rider ID],I425)="","",INDEX(Rider_Input[Rider ID],I425)),"")</f>
        <v/>
      </c>
      <c r="K425" s="119" t="str">
        <f aca="false">IF(J425="","",IFERROR(MATCH(J425,INDEX(RLVL_Data,0,c_RLVL_ID),0),""))</f>
        <v/>
      </c>
      <c r="L425" s="119" t="str">
        <f aca="false">IF(J425="","",IF(ISNUMBER(MATCH(J425,Rider_Master[Rider ID],0)),1,0))</f>
        <v/>
      </c>
      <c r="M425" s="119" t="str">
        <f aca="false">IF(J425="","",INDEX(Rider_Input[Completed Orders],I425))</f>
        <v/>
      </c>
      <c r="N425" s="119" t="str">
        <f aca="false">IF(OR(J425="",K425=""),"",IFERROR(INDEX(RLVL_Data,K425,c_RLVL_Orders),""))</f>
        <v/>
      </c>
      <c r="O425" s="119" t="str">
        <f aca="false">IF(J425="","",IF(COUNTIF($J$6:$J$505,J425)&gt;1,1,0))</f>
        <v/>
      </c>
      <c r="P425" s="119" t="str">
        <f aca="false">IF(J425="","",IF(K425="","Not found in Paste_RLVL – deductions set to 0; ","")&amp;IF(L425=0,"New rider (not in Rider_Master) – OK, shown as Rider &lt;ID&gt;; ","")&amp;IF(AND(N425&lt;&gt;"",N425&lt;&gt;M425),"Orders differ: FTR "&amp;M425&amp;" vs RLVL "&amp;N425&amp;"; ","")&amp;IF(O425=1,"Duplicate Rider ID; ",""))</f>
        <v/>
      </c>
      <c r="Q425" s="119" t="str">
        <f aca="false">IF(P425="","",COUNTIF(P$6:P425,"?*"))</f>
        <v/>
      </c>
    </row>
    <row r="426" customFormat="false" ht="15" hidden="false" customHeight="false" outlineLevel="0" collapsed="false">
      <c r="I426" s="119" t="n">
        <v>421</v>
      </c>
      <c r="J426" s="119" t="str">
        <f aca="false">IFERROR(IF(INDEX(Rider_Input[Rider ID],I426)="","",INDEX(Rider_Input[Rider ID],I426)),"")</f>
        <v/>
      </c>
      <c r="K426" s="119" t="str">
        <f aca="false">IF(J426="","",IFERROR(MATCH(J426,INDEX(RLVL_Data,0,c_RLVL_ID),0),""))</f>
        <v/>
      </c>
      <c r="L426" s="119" t="str">
        <f aca="false">IF(J426="","",IF(ISNUMBER(MATCH(J426,Rider_Master[Rider ID],0)),1,0))</f>
        <v/>
      </c>
      <c r="M426" s="119" t="str">
        <f aca="false">IF(J426="","",INDEX(Rider_Input[Completed Orders],I426))</f>
        <v/>
      </c>
      <c r="N426" s="119" t="str">
        <f aca="false">IF(OR(J426="",K426=""),"",IFERROR(INDEX(RLVL_Data,K426,c_RLVL_Orders),""))</f>
        <v/>
      </c>
      <c r="O426" s="119" t="str">
        <f aca="false">IF(J426="","",IF(COUNTIF($J$6:$J$505,J426)&gt;1,1,0))</f>
        <v/>
      </c>
      <c r="P426" s="119" t="str">
        <f aca="false">IF(J426="","",IF(K426="","Not found in Paste_RLVL – deductions set to 0; ","")&amp;IF(L426=0,"New rider (not in Rider_Master) – OK, shown as Rider &lt;ID&gt;; ","")&amp;IF(AND(N426&lt;&gt;"",N426&lt;&gt;M426),"Orders differ: FTR "&amp;M426&amp;" vs RLVL "&amp;N426&amp;"; ","")&amp;IF(O426=1,"Duplicate Rider ID; ",""))</f>
        <v/>
      </c>
      <c r="Q426" s="119" t="str">
        <f aca="false">IF(P426="","",COUNTIF(P$6:P426,"?*"))</f>
        <v/>
      </c>
    </row>
    <row r="427" customFormat="false" ht="15" hidden="false" customHeight="false" outlineLevel="0" collapsed="false">
      <c r="I427" s="119" t="n">
        <v>422</v>
      </c>
      <c r="J427" s="119" t="str">
        <f aca="false">IFERROR(IF(INDEX(Rider_Input[Rider ID],I427)="","",INDEX(Rider_Input[Rider ID],I427)),"")</f>
        <v/>
      </c>
      <c r="K427" s="119" t="str">
        <f aca="false">IF(J427="","",IFERROR(MATCH(J427,INDEX(RLVL_Data,0,c_RLVL_ID),0),""))</f>
        <v/>
      </c>
      <c r="L427" s="119" t="str">
        <f aca="false">IF(J427="","",IF(ISNUMBER(MATCH(J427,Rider_Master[Rider ID],0)),1,0))</f>
        <v/>
      </c>
      <c r="M427" s="119" t="str">
        <f aca="false">IF(J427="","",INDEX(Rider_Input[Completed Orders],I427))</f>
        <v/>
      </c>
      <c r="N427" s="119" t="str">
        <f aca="false">IF(OR(J427="",K427=""),"",IFERROR(INDEX(RLVL_Data,K427,c_RLVL_Orders),""))</f>
        <v/>
      </c>
      <c r="O427" s="119" t="str">
        <f aca="false">IF(J427="","",IF(COUNTIF($J$6:$J$505,J427)&gt;1,1,0))</f>
        <v/>
      </c>
      <c r="P427" s="119" t="str">
        <f aca="false">IF(J427="","",IF(K427="","Not found in Paste_RLVL – deductions set to 0; ","")&amp;IF(L427=0,"New rider (not in Rider_Master) – OK, shown as Rider &lt;ID&gt;; ","")&amp;IF(AND(N427&lt;&gt;"",N427&lt;&gt;M427),"Orders differ: FTR "&amp;M427&amp;" vs RLVL "&amp;N427&amp;"; ","")&amp;IF(O427=1,"Duplicate Rider ID; ",""))</f>
        <v/>
      </c>
      <c r="Q427" s="119" t="str">
        <f aca="false">IF(P427="","",COUNTIF(P$6:P427,"?*"))</f>
        <v/>
      </c>
    </row>
    <row r="428" customFormat="false" ht="15" hidden="false" customHeight="false" outlineLevel="0" collapsed="false">
      <c r="I428" s="119" t="n">
        <v>423</v>
      </c>
      <c r="J428" s="119" t="str">
        <f aca="false">IFERROR(IF(INDEX(Rider_Input[Rider ID],I428)="","",INDEX(Rider_Input[Rider ID],I428)),"")</f>
        <v/>
      </c>
      <c r="K428" s="119" t="str">
        <f aca="false">IF(J428="","",IFERROR(MATCH(J428,INDEX(RLVL_Data,0,c_RLVL_ID),0),""))</f>
        <v/>
      </c>
      <c r="L428" s="119" t="str">
        <f aca="false">IF(J428="","",IF(ISNUMBER(MATCH(J428,Rider_Master[Rider ID],0)),1,0))</f>
        <v/>
      </c>
      <c r="M428" s="119" t="str">
        <f aca="false">IF(J428="","",INDEX(Rider_Input[Completed Orders],I428))</f>
        <v/>
      </c>
      <c r="N428" s="119" t="str">
        <f aca="false">IF(OR(J428="",K428=""),"",IFERROR(INDEX(RLVL_Data,K428,c_RLVL_Orders),""))</f>
        <v/>
      </c>
      <c r="O428" s="119" t="str">
        <f aca="false">IF(J428="","",IF(COUNTIF($J$6:$J$505,J428)&gt;1,1,0))</f>
        <v/>
      </c>
      <c r="P428" s="119" t="str">
        <f aca="false">IF(J428="","",IF(K428="","Not found in Paste_RLVL – deductions set to 0; ","")&amp;IF(L428=0,"New rider (not in Rider_Master) – OK, shown as Rider &lt;ID&gt;; ","")&amp;IF(AND(N428&lt;&gt;"",N428&lt;&gt;M428),"Orders differ: FTR "&amp;M428&amp;" vs RLVL "&amp;N428&amp;"; ","")&amp;IF(O428=1,"Duplicate Rider ID; ",""))</f>
        <v/>
      </c>
      <c r="Q428" s="119" t="str">
        <f aca="false">IF(P428="","",COUNTIF(P$6:P428,"?*"))</f>
        <v/>
      </c>
    </row>
    <row r="429" customFormat="false" ht="15" hidden="false" customHeight="false" outlineLevel="0" collapsed="false">
      <c r="I429" s="119" t="n">
        <v>424</v>
      </c>
      <c r="J429" s="119" t="str">
        <f aca="false">IFERROR(IF(INDEX(Rider_Input[Rider ID],I429)="","",INDEX(Rider_Input[Rider ID],I429)),"")</f>
        <v/>
      </c>
      <c r="K429" s="119" t="str">
        <f aca="false">IF(J429="","",IFERROR(MATCH(J429,INDEX(RLVL_Data,0,c_RLVL_ID),0),""))</f>
        <v/>
      </c>
      <c r="L429" s="119" t="str">
        <f aca="false">IF(J429="","",IF(ISNUMBER(MATCH(J429,Rider_Master[Rider ID],0)),1,0))</f>
        <v/>
      </c>
      <c r="M429" s="119" t="str">
        <f aca="false">IF(J429="","",INDEX(Rider_Input[Completed Orders],I429))</f>
        <v/>
      </c>
      <c r="N429" s="119" t="str">
        <f aca="false">IF(OR(J429="",K429=""),"",IFERROR(INDEX(RLVL_Data,K429,c_RLVL_Orders),""))</f>
        <v/>
      </c>
      <c r="O429" s="119" t="str">
        <f aca="false">IF(J429="","",IF(COUNTIF($J$6:$J$505,J429)&gt;1,1,0))</f>
        <v/>
      </c>
      <c r="P429" s="119" t="str">
        <f aca="false">IF(J429="","",IF(K429="","Not found in Paste_RLVL – deductions set to 0; ","")&amp;IF(L429=0,"New rider (not in Rider_Master) – OK, shown as Rider &lt;ID&gt;; ","")&amp;IF(AND(N429&lt;&gt;"",N429&lt;&gt;M429),"Orders differ: FTR "&amp;M429&amp;" vs RLVL "&amp;N429&amp;"; ","")&amp;IF(O429=1,"Duplicate Rider ID; ",""))</f>
        <v/>
      </c>
      <c r="Q429" s="119" t="str">
        <f aca="false">IF(P429="","",COUNTIF(P$6:P429,"?*"))</f>
        <v/>
      </c>
    </row>
    <row r="430" customFormat="false" ht="15" hidden="false" customHeight="false" outlineLevel="0" collapsed="false">
      <c r="I430" s="119" t="n">
        <v>425</v>
      </c>
      <c r="J430" s="119" t="str">
        <f aca="false">IFERROR(IF(INDEX(Rider_Input[Rider ID],I430)="","",INDEX(Rider_Input[Rider ID],I430)),"")</f>
        <v/>
      </c>
      <c r="K430" s="119" t="str">
        <f aca="false">IF(J430="","",IFERROR(MATCH(J430,INDEX(RLVL_Data,0,c_RLVL_ID),0),""))</f>
        <v/>
      </c>
      <c r="L430" s="119" t="str">
        <f aca="false">IF(J430="","",IF(ISNUMBER(MATCH(J430,Rider_Master[Rider ID],0)),1,0))</f>
        <v/>
      </c>
      <c r="M430" s="119" t="str">
        <f aca="false">IF(J430="","",INDEX(Rider_Input[Completed Orders],I430))</f>
        <v/>
      </c>
      <c r="N430" s="119" t="str">
        <f aca="false">IF(OR(J430="",K430=""),"",IFERROR(INDEX(RLVL_Data,K430,c_RLVL_Orders),""))</f>
        <v/>
      </c>
      <c r="O430" s="119" t="str">
        <f aca="false">IF(J430="","",IF(COUNTIF($J$6:$J$505,J430)&gt;1,1,0))</f>
        <v/>
      </c>
      <c r="P430" s="119" t="str">
        <f aca="false">IF(J430="","",IF(K430="","Not found in Paste_RLVL – deductions set to 0; ","")&amp;IF(L430=0,"New rider (not in Rider_Master) – OK, shown as Rider &lt;ID&gt;; ","")&amp;IF(AND(N430&lt;&gt;"",N430&lt;&gt;M430),"Orders differ: FTR "&amp;M430&amp;" vs RLVL "&amp;N430&amp;"; ","")&amp;IF(O430=1,"Duplicate Rider ID; ",""))</f>
        <v/>
      </c>
      <c r="Q430" s="119" t="str">
        <f aca="false">IF(P430="","",COUNTIF(P$6:P430,"?*"))</f>
        <v/>
      </c>
    </row>
    <row r="431" customFormat="false" ht="15" hidden="false" customHeight="false" outlineLevel="0" collapsed="false">
      <c r="I431" s="119" t="n">
        <v>426</v>
      </c>
      <c r="J431" s="119" t="str">
        <f aca="false">IFERROR(IF(INDEX(Rider_Input[Rider ID],I431)="","",INDEX(Rider_Input[Rider ID],I431)),"")</f>
        <v/>
      </c>
      <c r="K431" s="119" t="str">
        <f aca="false">IF(J431="","",IFERROR(MATCH(J431,INDEX(RLVL_Data,0,c_RLVL_ID),0),""))</f>
        <v/>
      </c>
      <c r="L431" s="119" t="str">
        <f aca="false">IF(J431="","",IF(ISNUMBER(MATCH(J431,Rider_Master[Rider ID],0)),1,0))</f>
        <v/>
      </c>
      <c r="M431" s="119" t="str">
        <f aca="false">IF(J431="","",INDEX(Rider_Input[Completed Orders],I431))</f>
        <v/>
      </c>
      <c r="N431" s="119" t="str">
        <f aca="false">IF(OR(J431="",K431=""),"",IFERROR(INDEX(RLVL_Data,K431,c_RLVL_Orders),""))</f>
        <v/>
      </c>
      <c r="O431" s="119" t="str">
        <f aca="false">IF(J431="","",IF(COUNTIF($J$6:$J$505,J431)&gt;1,1,0))</f>
        <v/>
      </c>
      <c r="P431" s="119" t="str">
        <f aca="false">IF(J431="","",IF(K431="","Not found in Paste_RLVL – deductions set to 0; ","")&amp;IF(L431=0,"New rider (not in Rider_Master) – OK, shown as Rider &lt;ID&gt;; ","")&amp;IF(AND(N431&lt;&gt;"",N431&lt;&gt;M431),"Orders differ: FTR "&amp;M431&amp;" vs RLVL "&amp;N431&amp;"; ","")&amp;IF(O431=1,"Duplicate Rider ID; ",""))</f>
        <v/>
      </c>
      <c r="Q431" s="119" t="str">
        <f aca="false">IF(P431="","",COUNTIF(P$6:P431,"?*"))</f>
        <v/>
      </c>
    </row>
    <row r="432" customFormat="false" ht="15" hidden="false" customHeight="false" outlineLevel="0" collapsed="false">
      <c r="I432" s="119" t="n">
        <v>427</v>
      </c>
      <c r="J432" s="119" t="str">
        <f aca="false">IFERROR(IF(INDEX(Rider_Input[Rider ID],I432)="","",INDEX(Rider_Input[Rider ID],I432)),"")</f>
        <v/>
      </c>
      <c r="K432" s="119" t="str">
        <f aca="false">IF(J432="","",IFERROR(MATCH(J432,INDEX(RLVL_Data,0,c_RLVL_ID),0),""))</f>
        <v/>
      </c>
      <c r="L432" s="119" t="str">
        <f aca="false">IF(J432="","",IF(ISNUMBER(MATCH(J432,Rider_Master[Rider ID],0)),1,0))</f>
        <v/>
      </c>
      <c r="M432" s="119" t="str">
        <f aca="false">IF(J432="","",INDEX(Rider_Input[Completed Orders],I432))</f>
        <v/>
      </c>
      <c r="N432" s="119" t="str">
        <f aca="false">IF(OR(J432="",K432=""),"",IFERROR(INDEX(RLVL_Data,K432,c_RLVL_Orders),""))</f>
        <v/>
      </c>
      <c r="O432" s="119" t="str">
        <f aca="false">IF(J432="","",IF(COUNTIF($J$6:$J$505,J432)&gt;1,1,0))</f>
        <v/>
      </c>
      <c r="P432" s="119" t="str">
        <f aca="false">IF(J432="","",IF(K432="","Not found in Paste_RLVL – deductions set to 0; ","")&amp;IF(L432=0,"New rider (not in Rider_Master) – OK, shown as Rider &lt;ID&gt;; ","")&amp;IF(AND(N432&lt;&gt;"",N432&lt;&gt;M432),"Orders differ: FTR "&amp;M432&amp;" vs RLVL "&amp;N432&amp;"; ","")&amp;IF(O432=1,"Duplicate Rider ID; ",""))</f>
        <v/>
      </c>
      <c r="Q432" s="119" t="str">
        <f aca="false">IF(P432="","",COUNTIF(P$6:P432,"?*"))</f>
        <v/>
      </c>
    </row>
    <row r="433" customFormat="false" ht="15" hidden="false" customHeight="false" outlineLevel="0" collapsed="false">
      <c r="I433" s="119" t="n">
        <v>428</v>
      </c>
      <c r="J433" s="119" t="str">
        <f aca="false">IFERROR(IF(INDEX(Rider_Input[Rider ID],I433)="","",INDEX(Rider_Input[Rider ID],I433)),"")</f>
        <v/>
      </c>
      <c r="K433" s="119" t="str">
        <f aca="false">IF(J433="","",IFERROR(MATCH(J433,INDEX(RLVL_Data,0,c_RLVL_ID),0),""))</f>
        <v/>
      </c>
      <c r="L433" s="119" t="str">
        <f aca="false">IF(J433="","",IF(ISNUMBER(MATCH(J433,Rider_Master[Rider ID],0)),1,0))</f>
        <v/>
      </c>
      <c r="M433" s="119" t="str">
        <f aca="false">IF(J433="","",INDEX(Rider_Input[Completed Orders],I433))</f>
        <v/>
      </c>
      <c r="N433" s="119" t="str">
        <f aca="false">IF(OR(J433="",K433=""),"",IFERROR(INDEX(RLVL_Data,K433,c_RLVL_Orders),""))</f>
        <v/>
      </c>
      <c r="O433" s="119" t="str">
        <f aca="false">IF(J433="","",IF(COUNTIF($J$6:$J$505,J433)&gt;1,1,0))</f>
        <v/>
      </c>
      <c r="P433" s="119" t="str">
        <f aca="false">IF(J433="","",IF(K433="","Not found in Paste_RLVL – deductions set to 0; ","")&amp;IF(L433=0,"New rider (not in Rider_Master) – OK, shown as Rider &lt;ID&gt;; ","")&amp;IF(AND(N433&lt;&gt;"",N433&lt;&gt;M433),"Orders differ: FTR "&amp;M433&amp;" vs RLVL "&amp;N433&amp;"; ","")&amp;IF(O433=1,"Duplicate Rider ID; ",""))</f>
        <v/>
      </c>
      <c r="Q433" s="119" t="str">
        <f aca="false">IF(P433="","",COUNTIF(P$6:P433,"?*"))</f>
        <v/>
      </c>
    </row>
    <row r="434" customFormat="false" ht="15" hidden="false" customHeight="false" outlineLevel="0" collapsed="false">
      <c r="I434" s="119" t="n">
        <v>429</v>
      </c>
      <c r="J434" s="119" t="str">
        <f aca="false">IFERROR(IF(INDEX(Rider_Input[Rider ID],I434)="","",INDEX(Rider_Input[Rider ID],I434)),"")</f>
        <v/>
      </c>
      <c r="K434" s="119" t="str">
        <f aca="false">IF(J434="","",IFERROR(MATCH(J434,INDEX(RLVL_Data,0,c_RLVL_ID),0),""))</f>
        <v/>
      </c>
      <c r="L434" s="119" t="str">
        <f aca="false">IF(J434="","",IF(ISNUMBER(MATCH(J434,Rider_Master[Rider ID],0)),1,0))</f>
        <v/>
      </c>
      <c r="M434" s="119" t="str">
        <f aca="false">IF(J434="","",INDEX(Rider_Input[Completed Orders],I434))</f>
        <v/>
      </c>
      <c r="N434" s="119" t="str">
        <f aca="false">IF(OR(J434="",K434=""),"",IFERROR(INDEX(RLVL_Data,K434,c_RLVL_Orders),""))</f>
        <v/>
      </c>
      <c r="O434" s="119" t="str">
        <f aca="false">IF(J434="","",IF(COUNTIF($J$6:$J$505,J434)&gt;1,1,0))</f>
        <v/>
      </c>
      <c r="P434" s="119" t="str">
        <f aca="false">IF(J434="","",IF(K434="","Not found in Paste_RLVL – deductions set to 0; ","")&amp;IF(L434=0,"New rider (not in Rider_Master) – OK, shown as Rider &lt;ID&gt;; ","")&amp;IF(AND(N434&lt;&gt;"",N434&lt;&gt;M434),"Orders differ: FTR "&amp;M434&amp;" vs RLVL "&amp;N434&amp;"; ","")&amp;IF(O434=1,"Duplicate Rider ID; ",""))</f>
        <v/>
      </c>
      <c r="Q434" s="119" t="str">
        <f aca="false">IF(P434="","",COUNTIF(P$6:P434,"?*"))</f>
        <v/>
      </c>
    </row>
    <row r="435" customFormat="false" ht="15" hidden="false" customHeight="false" outlineLevel="0" collapsed="false">
      <c r="I435" s="119" t="n">
        <v>430</v>
      </c>
      <c r="J435" s="119" t="str">
        <f aca="false">IFERROR(IF(INDEX(Rider_Input[Rider ID],I435)="","",INDEX(Rider_Input[Rider ID],I435)),"")</f>
        <v/>
      </c>
      <c r="K435" s="119" t="str">
        <f aca="false">IF(J435="","",IFERROR(MATCH(J435,INDEX(RLVL_Data,0,c_RLVL_ID),0),""))</f>
        <v/>
      </c>
      <c r="L435" s="119" t="str">
        <f aca="false">IF(J435="","",IF(ISNUMBER(MATCH(J435,Rider_Master[Rider ID],0)),1,0))</f>
        <v/>
      </c>
      <c r="M435" s="119" t="str">
        <f aca="false">IF(J435="","",INDEX(Rider_Input[Completed Orders],I435))</f>
        <v/>
      </c>
      <c r="N435" s="119" t="str">
        <f aca="false">IF(OR(J435="",K435=""),"",IFERROR(INDEX(RLVL_Data,K435,c_RLVL_Orders),""))</f>
        <v/>
      </c>
      <c r="O435" s="119" t="str">
        <f aca="false">IF(J435="","",IF(COUNTIF($J$6:$J$505,J435)&gt;1,1,0))</f>
        <v/>
      </c>
      <c r="P435" s="119" t="str">
        <f aca="false">IF(J435="","",IF(K435="","Not found in Paste_RLVL – deductions set to 0; ","")&amp;IF(L435=0,"New rider (not in Rider_Master) – OK, shown as Rider &lt;ID&gt;; ","")&amp;IF(AND(N435&lt;&gt;"",N435&lt;&gt;M435),"Orders differ: FTR "&amp;M435&amp;" vs RLVL "&amp;N435&amp;"; ","")&amp;IF(O435=1,"Duplicate Rider ID; ",""))</f>
        <v/>
      </c>
      <c r="Q435" s="119" t="str">
        <f aca="false">IF(P435="","",COUNTIF(P$6:P435,"?*"))</f>
        <v/>
      </c>
    </row>
    <row r="436" customFormat="false" ht="15" hidden="false" customHeight="false" outlineLevel="0" collapsed="false">
      <c r="I436" s="119" t="n">
        <v>431</v>
      </c>
      <c r="J436" s="119" t="str">
        <f aca="false">IFERROR(IF(INDEX(Rider_Input[Rider ID],I436)="","",INDEX(Rider_Input[Rider ID],I436)),"")</f>
        <v/>
      </c>
      <c r="K436" s="119" t="str">
        <f aca="false">IF(J436="","",IFERROR(MATCH(J436,INDEX(RLVL_Data,0,c_RLVL_ID),0),""))</f>
        <v/>
      </c>
      <c r="L436" s="119" t="str">
        <f aca="false">IF(J436="","",IF(ISNUMBER(MATCH(J436,Rider_Master[Rider ID],0)),1,0))</f>
        <v/>
      </c>
      <c r="M436" s="119" t="str">
        <f aca="false">IF(J436="","",INDEX(Rider_Input[Completed Orders],I436))</f>
        <v/>
      </c>
      <c r="N436" s="119" t="str">
        <f aca="false">IF(OR(J436="",K436=""),"",IFERROR(INDEX(RLVL_Data,K436,c_RLVL_Orders),""))</f>
        <v/>
      </c>
      <c r="O436" s="119" t="str">
        <f aca="false">IF(J436="","",IF(COUNTIF($J$6:$J$505,J436)&gt;1,1,0))</f>
        <v/>
      </c>
      <c r="P436" s="119" t="str">
        <f aca="false">IF(J436="","",IF(K436="","Not found in Paste_RLVL – deductions set to 0; ","")&amp;IF(L436=0,"New rider (not in Rider_Master) – OK, shown as Rider &lt;ID&gt;; ","")&amp;IF(AND(N436&lt;&gt;"",N436&lt;&gt;M436),"Orders differ: FTR "&amp;M436&amp;" vs RLVL "&amp;N436&amp;"; ","")&amp;IF(O436=1,"Duplicate Rider ID; ",""))</f>
        <v/>
      </c>
      <c r="Q436" s="119" t="str">
        <f aca="false">IF(P436="","",COUNTIF(P$6:P436,"?*"))</f>
        <v/>
      </c>
    </row>
    <row r="437" customFormat="false" ht="15" hidden="false" customHeight="false" outlineLevel="0" collapsed="false">
      <c r="I437" s="119" t="n">
        <v>432</v>
      </c>
      <c r="J437" s="119" t="str">
        <f aca="false">IFERROR(IF(INDEX(Rider_Input[Rider ID],I437)="","",INDEX(Rider_Input[Rider ID],I437)),"")</f>
        <v/>
      </c>
      <c r="K437" s="119" t="str">
        <f aca="false">IF(J437="","",IFERROR(MATCH(J437,INDEX(RLVL_Data,0,c_RLVL_ID),0),""))</f>
        <v/>
      </c>
      <c r="L437" s="119" t="str">
        <f aca="false">IF(J437="","",IF(ISNUMBER(MATCH(J437,Rider_Master[Rider ID],0)),1,0))</f>
        <v/>
      </c>
      <c r="M437" s="119" t="str">
        <f aca="false">IF(J437="","",INDEX(Rider_Input[Completed Orders],I437))</f>
        <v/>
      </c>
      <c r="N437" s="119" t="str">
        <f aca="false">IF(OR(J437="",K437=""),"",IFERROR(INDEX(RLVL_Data,K437,c_RLVL_Orders),""))</f>
        <v/>
      </c>
      <c r="O437" s="119" t="str">
        <f aca="false">IF(J437="","",IF(COUNTIF($J$6:$J$505,J437)&gt;1,1,0))</f>
        <v/>
      </c>
      <c r="P437" s="119" t="str">
        <f aca="false">IF(J437="","",IF(K437="","Not found in Paste_RLVL – deductions set to 0; ","")&amp;IF(L437=0,"New rider (not in Rider_Master) – OK, shown as Rider &lt;ID&gt;; ","")&amp;IF(AND(N437&lt;&gt;"",N437&lt;&gt;M437),"Orders differ: FTR "&amp;M437&amp;" vs RLVL "&amp;N437&amp;"; ","")&amp;IF(O437=1,"Duplicate Rider ID; ",""))</f>
        <v/>
      </c>
      <c r="Q437" s="119" t="str">
        <f aca="false">IF(P437="","",COUNTIF(P$6:P437,"?*"))</f>
        <v/>
      </c>
    </row>
    <row r="438" customFormat="false" ht="15" hidden="false" customHeight="false" outlineLevel="0" collapsed="false">
      <c r="I438" s="119" t="n">
        <v>433</v>
      </c>
      <c r="J438" s="119" t="str">
        <f aca="false">IFERROR(IF(INDEX(Rider_Input[Rider ID],I438)="","",INDEX(Rider_Input[Rider ID],I438)),"")</f>
        <v/>
      </c>
      <c r="K438" s="119" t="str">
        <f aca="false">IF(J438="","",IFERROR(MATCH(J438,INDEX(RLVL_Data,0,c_RLVL_ID),0),""))</f>
        <v/>
      </c>
      <c r="L438" s="119" t="str">
        <f aca="false">IF(J438="","",IF(ISNUMBER(MATCH(J438,Rider_Master[Rider ID],0)),1,0))</f>
        <v/>
      </c>
      <c r="M438" s="119" t="str">
        <f aca="false">IF(J438="","",INDEX(Rider_Input[Completed Orders],I438))</f>
        <v/>
      </c>
      <c r="N438" s="119" t="str">
        <f aca="false">IF(OR(J438="",K438=""),"",IFERROR(INDEX(RLVL_Data,K438,c_RLVL_Orders),""))</f>
        <v/>
      </c>
      <c r="O438" s="119" t="str">
        <f aca="false">IF(J438="","",IF(COUNTIF($J$6:$J$505,J438)&gt;1,1,0))</f>
        <v/>
      </c>
      <c r="P438" s="119" t="str">
        <f aca="false">IF(J438="","",IF(K438="","Not found in Paste_RLVL – deductions set to 0; ","")&amp;IF(L438=0,"New rider (not in Rider_Master) – OK, shown as Rider &lt;ID&gt;; ","")&amp;IF(AND(N438&lt;&gt;"",N438&lt;&gt;M438),"Orders differ: FTR "&amp;M438&amp;" vs RLVL "&amp;N438&amp;"; ","")&amp;IF(O438=1,"Duplicate Rider ID; ",""))</f>
        <v/>
      </c>
      <c r="Q438" s="119" t="str">
        <f aca="false">IF(P438="","",COUNTIF(P$6:P438,"?*"))</f>
        <v/>
      </c>
    </row>
    <row r="439" customFormat="false" ht="15" hidden="false" customHeight="false" outlineLevel="0" collapsed="false">
      <c r="I439" s="119" t="n">
        <v>434</v>
      </c>
      <c r="J439" s="119" t="str">
        <f aca="false">IFERROR(IF(INDEX(Rider_Input[Rider ID],I439)="","",INDEX(Rider_Input[Rider ID],I439)),"")</f>
        <v/>
      </c>
      <c r="K439" s="119" t="str">
        <f aca="false">IF(J439="","",IFERROR(MATCH(J439,INDEX(RLVL_Data,0,c_RLVL_ID),0),""))</f>
        <v/>
      </c>
      <c r="L439" s="119" t="str">
        <f aca="false">IF(J439="","",IF(ISNUMBER(MATCH(J439,Rider_Master[Rider ID],0)),1,0))</f>
        <v/>
      </c>
      <c r="M439" s="119" t="str">
        <f aca="false">IF(J439="","",INDEX(Rider_Input[Completed Orders],I439))</f>
        <v/>
      </c>
      <c r="N439" s="119" t="str">
        <f aca="false">IF(OR(J439="",K439=""),"",IFERROR(INDEX(RLVL_Data,K439,c_RLVL_Orders),""))</f>
        <v/>
      </c>
      <c r="O439" s="119" t="str">
        <f aca="false">IF(J439="","",IF(COUNTIF($J$6:$J$505,J439)&gt;1,1,0))</f>
        <v/>
      </c>
      <c r="P439" s="119" t="str">
        <f aca="false">IF(J439="","",IF(K439="","Not found in Paste_RLVL – deductions set to 0; ","")&amp;IF(L439=0,"New rider (not in Rider_Master) – OK, shown as Rider &lt;ID&gt;; ","")&amp;IF(AND(N439&lt;&gt;"",N439&lt;&gt;M439),"Orders differ: FTR "&amp;M439&amp;" vs RLVL "&amp;N439&amp;"; ","")&amp;IF(O439=1,"Duplicate Rider ID; ",""))</f>
        <v/>
      </c>
      <c r="Q439" s="119" t="str">
        <f aca="false">IF(P439="","",COUNTIF(P$6:P439,"?*"))</f>
        <v/>
      </c>
    </row>
    <row r="440" customFormat="false" ht="15" hidden="false" customHeight="false" outlineLevel="0" collapsed="false">
      <c r="I440" s="119" t="n">
        <v>435</v>
      </c>
      <c r="J440" s="119" t="str">
        <f aca="false">IFERROR(IF(INDEX(Rider_Input[Rider ID],I440)="","",INDEX(Rider_Input[Rider ID],I440)),"")</f>
        <v/>
      </c>
      <c r="K440" s="119" t="str">
        <f aca="false">IF(J440="","",IFERROR(MATCH(J440,INDEX(RLVL_Data,0,c_RLVL_ID),0),""))</f>
        <v/>
      </c>
      <c r="L440" s="119" t="str">
        <f aca="false">IF(J440="","",IF(ISNUMBER(MATCH(J440,Rider_Master[Rider ID],0)),1,0))</f>
        <v/>
      </c>
      <c r="M440" s="119" t="str">
        <f aca="false">IF(J440="","",INDEX(Rider_Input[Completed Orders],I440))</f>
        <v/>
      </c>
      <c r="N440" s="119" t="str">
        <f aca="false">IF(OR(J440="",K440=""),"",IFERROR(INDEX(RLVL_Data,K440,c_RLVL_Orders),""))</f>
        <v/>
      </c>
      <c r="O440" s="119" t="str">
        <f aca="false">IF(J440="","",IF(COUNTIF($J$6:$J$505,J440)&gt;1,1,0))</f>
        <v/>
      </c>
      <c r="P440" s="119" t="str">
        <f aca="false">IF(J440="","",IF(K440="","Not found in Paste_RLVL – deductions set to 0; ","")&amp;IF(L440=0,"New rider (not in Rider_Master) – OK, shown as Rider &lt;ID&gt;; ","")&amp;IF(AND(N440&lt;&gt;"",N440&lt;&gt;M440),"Orders differ: FTR "&amp;M440&amp;" vs RLVL "&amp;N440&amp;"; ","")&amp;IF(O440=1,"Duplicate Rider ID; ",""))</f>
        <v/>
      </c>
      <c r="Q440" s="119" t="str">
        <f aca="false">IF(P440="","",COUNTIF(P$6:P440,"?*"))</f>
        <v/>
      </c>
    </row>
    <row r="441" customFormat="false" ht="15" hidden="false" customHeight="false" outlineLevel="0" collapsed="false">
      <c r="I441" s="119" t="n">
        <v>436</v>
      </c>
      <c r="J441" s="119" t="str">
        <f aca="false">IFERROR(IF(INDEX(Rider_Input[Rider ID],I441)="","",INDEX(Rider_Input[Rider ID],I441)),"")</f>
        <v/>
      </c>
      <c r="K441" s="119" t="str">
        <f aca="false">IF(J441="","",IFERROR(MATCH(J441,INDEX(RLVL_Data,0,c_RLVL_ID),0),""))</f>
        <v/>
      </c>
      <c r="L441" s="119" t="str">
        <f aca="false">IF(J441="","",IF(ISNUMBER(MATCH(J441,Rider_Master[Rider ID],0)),1,0))</f>
        <v/>
      </c>
      <c r="M441" s="119" t="str">
        <f aca="false">IF(J441="","",INDEX(Rider_Input[Completed Orders],I441))</f>
        <v/>
      </c>
      <c r="N441" s="119" t="str">
        <f aca="false">IF(OR(J441="",K441=""),"",IFERROR(INDEX(RLVL_Data,K441,c_RLVL_Orders),""))</f>
        <v/>
      </c>
      <c r="O441" s="119" t="str">
        <f aca="false">IF(J441="","",IF(COUNTIF($J$6:$J$505,J441)&gt;1,1,0))</f>
        <v/>
      </c>
      <c r="P441" s="119" t="str">
        <f aca="false">IF(J441="","",IF(K441="","Not found in Paste_RLVL – deductions set to 0; ","")&amp;IF(L441=0,"New rider (not in Rider_Master) – OK, shown as Rider &lt;ID&gt;; ","")&amp;IF(AND(N441&lt;&gt;"",N441&lt;&gt;M441),"Orders differ: FTR "&amp;M441&amp;" vs RLVL "&amp;N441&amp;"; ","")&amp;IF(O441=1,"Duplicate Rider ID; ",""))</f>
        <v/>
      </c>
      <c r="Q441" s="119" t="str">
        <f aca="false">IF(P441="","",COUNTIF(P$6:P441,"?*"))</f>
        <v/>
      </c>
    </row>
    <row r="442" customFormat="false" ht="15" hidden="false" customHeight="false" outlineLevel="0" collapsed="false">
      <c r="I442" s="119" t="n">
        <v>437</v>
      </c>
      <c r="J442" s="119" t="str">
        <f aca="false">IFERROR(IF(INDEX(Rider_Input[Rider ID],I442)="","",INDEX(Rider_Input[Rider ID],I442)),"")</f>
        <v/>
      </c>
      <c r="K442" s="119" t="str">
        <f aca="false">IF(J442="","",IFERROR(MATCH(J442,INDEX(RLVL_Data,0,c_RLVL_ID),0),""))</f>
        <v/>
      </c>
      <c r="L442" s="119" t="str">
        <f aca="false">IF(J442="","",IF(ISNUMBER(MATCH(J442,Rider_Master[Rider ID],0)),1,0))</f>
        <v/>
      </c>
      <c r="M442" s="119" t="str">
        <f aca="false">IF(J442="","",INDEX(Rider_Input[Completed Orders],I442))</f>
        <v/>
      </c>
      <c r="N442" s="119" t="str">
        <f aca="false">IF(OR(J442="",K442=""),"",IFERROR(INDEX(RLVL_Data,K442,c_RLVL_Orders),""))</f>
        <v/>
      </c>
      <c r="O442" s="119" t="str">
        <f aca="false">IF(J442="","",IF(COUNTIF($J$6:$J$505,J442)&gt;1,1,0))</f>
        <v/>
      </c>
      <c r="P442" s="119" t="str">
        <f aca="false">IF(J442="","",IF(K442="","Not found in Paste_RLVL – deductions set to 0; ","")&amp;IF(L442=0,"New rider (not in Rider_Master) – OK, shown as Rider &lt;ID&gt;; ","")&amp;IF(AND(N442&lt;&gt;"",N442&lt;&gt;M442),"Orders differ: FTR "&amp;M442&amp;" vs RLVL "&amp;N442&amp;"; ","")&amp;IF(O442=1,"Duplicate Rider ID; ",""))</f>
        <v/>
      </c>
      <c r="Q442" s="119" t="str">
        <f aca="false">IF(P442="","",COUNTIF(P$6:P442,"?*"))</f>
        <v/>
      </c>
    </row>
    <row r="443" customFormat="false" ht="15" hidden="false" customHeight="false" outlineLevel="0" collapsed="false">
      <c r="I443" s="119" t="n">
        <v>438</v>
      </c>
      <c r="J443" s="119" t="str">
        <f aca="false">IFERROR(IF(INDEX(Rider_Input[Rider ID],I443)="","",INDEX(Rider_Input[Rider ID],I443)),"")</f>
        <v/>
      </c>
      <c r="K443" s="119" t="str">
        <f aca="false">IF(J443="","",IFERROR(MATCH(J443,INDEX(RLVL_Data,0,c_RLVL_ID),0),""))</f>
        <v/>
      </c>
      <c r="L443" s="119" t="str">
        <f aca="false">IF(J443="","",IF(ISNUMBER(MATCH(J443,Rider_Master[Rider ID],0)),1,0))</f>
        <v/>
      </c>
      <c r="M443" s="119" t="str">
        <f aca="false">IF(J443="","",INDEX(Rider_Input[Completed Orders],I443))</f>
        <v/>
      </c>
      <c r="N443" s="119" t="str">
        <f aca="false">IF(OR(J443="",K443=""),"",IFERROR(INDEX(RLVL_Data,K443,c_RLVL_Orders),""))</f>
        <v/>
      </c>
      <c r="O443" s="119" t="str">
        <f aca="false">IF(J443="","",IF(COUNTIF($J$6:$J$505,J443)&gt;1,1,0))</f>
        <v/>
      </c>
      <c r="P443" s="119" t="str">
        <f aca="false">IF(J443="","",IF(K443="","Not found in Paste_RLVL – deductions set to 0; ","")&amp;IF(L443=0,"New rider (not in Rider_Master) – OK, shown as Rider &lt;ID&gt;; ","")&amp;IF(AND(N443&lt;&gt;"",N443&lt;&gt;M443),"Orders differ: FTR "&amp;M443&amp;" vs RLVL "&amp;N443&amp;"; ","")&amp;IF(O443=1,"Duplicate Rider ID; ",""))</f>
        <v/>
      </c>
      <c r="Q443" s="119" t="str">
        <f aca="false">IF(P443="","",COUNTIF(P$6:P443,"?*"))</f>
        <v/>
      </c>
    </row>
    <row r="444" customFormat="false" ht="15" hidden="false" customHeight="false" outlineLevel="0" collapsed="false">
      <c r="I444" s="119" t="n">
        <v>439</v>
      </c>
      <c r="J444" s="119" t="str">
        <f aca="false">IFERROR(IF(INDEX(Rider_Input[Rider ID],I444)="","",INDEX(Rider_Input[Rider ID],I444)),"")</f>
        <v/>
      </c>
      <c r="K444" s="119" t="str">
        <f aca="false">IF(J444="","",IFERROR(MATCH(J444,INDEX(RLVL_Data,0,c_RLVL_ID),0),""))</f>
        <v/>
      </c>
      <c r="L444" s="119" t="str">
        <f aca="false">IF(J444="","",IF(ISNUMBER(MATCH(J444,Rider_Master[Rider ID],0)),1,0))</f>
        <v/>
      </c>
      <c r="M444" s="119" t="str">
        <f aca="false">IF(J444="","",INDEX(Rider_Input[Completed Orders],I444))</f>
        <v/>
      </c>
      <c r="N444" s="119" t="str">
        <f aca="false">IF(OR(J444="",K444=""),"",IFERROR(INDEX(RLVL_Data,K444,c_RLVL_Orders),""))</f>
        <v/>
      </c>
      <c r="O444" s="119" t="str">
        <f aca="false">IF(J444="","",IF(COUNTIF($J$6:$J$505,J444)&gt;1,1,0))</f>
        <v/>
      </c>
      <c r="P444" s="119" t="str">
        <f aca="false">IF(J444="","",IF(K444="","Not found in Paste_RLVL – deductions set to 0; ","")&amp;IF(L444=0,"New rider (not in Rider_Master) – OK, shown as Rider &lt;ID&gt;; ","")&amp;IF(AND(N444&lt;&gt;"",N444&lt;&gt;M444),"Orders differ: FTR "&amp;M444&amp;" vs RLVL "&amp;N444&amp;"; ","")&amp;IF(O444=1,"Duplicate Rider ID; ",""))</f>
        <v/>
      </c>
      <c r="Q444" s="119" t="str">
        <f aca="false">IF(P444="","",COUNTIF(P$6:P444,"?*"))</f>
        <v/>
      </c>
    </row>
    <row r="445" customFormat="false" ht="15" hidden="false" customHeight="false" outlineLevel="0" collapsed="false">
      <c r="I445" s="119" t="n">
        <v>440</v>
      </c>
      <c r="J445" s="119" t="str">
        <f aca="false">IFERROR(IF(INDEX(Rider_Input[Rider ID],I445)="","",INDEX(Rider_Input[Rider ID],I445)),"")</f>
        <v/>
      </c>
      <c r="K445" s="119" t="str">
        <f aca="false">IF(J445="","",IFERROR(MATCH(J445,INDEX(RLVL_Data,0,c_RLVL_ID),0),""))</f>
        <v/>
      </c>
      <c r="L445" s="119" t="str">
        <f aca="false">IF(J445="","",IF(ISNUMBER(MATCH(J445,Rider_Master[Rider ID],0)),1,0))</f>
        <v/>
      </c>
      <c r="M445" s="119" t="str">
        <f aca="false">IF(J445="","",INDEX(Rider_Input[Completed Orders],I445))</f>
        <v/>
      </c>
      <c r="N445" s="119" t="str">
        <f aca="false">IF(OR(J445="",K445=""),"",IFERROR(INDEX(RLVL_Data,K445,c_RLVL_Orders),""))</f>
        <v/>
      </c>
      <c r="O445" s="119" t="str">
        <f aca="false">IF(J445="","",IF(COUNTIF($J$6:$J$505,J445)&gt;1,1,0))</f>
        <v/>
      </c>
      <c r="P445" s="119" t="str">
        <f aca="false">IF(J445="","",IF(K445="","Not found in Paste_RLVL – deductions set to 0; ","")&amp;IF(L445=0,"New rider (not in Rider_Master) – OK, shown as Rider &lt;ID&gt;; ","")&amp;IF(AND(N445&lt;&gt;"",N445&lt;&gt;M445),"Orders differ: FTR "&amp;M445&amp;" vs RLVL "&amp;N445&amp;"; ","")&amp;IF(O445=1,"Duplicate Rider ID; ",""))</f>
        <v/>
      </c>
      <c r="Q445" s="119" t="str">
        <f aca="false">IF(P445="","",COUNTIF(P$6:P445,"?*"))</f>
        <v/>
      </c>
    </row>
    <row r="446" customFormat="false" ht="15" hidden="false" customHeight="false" outlineLevel="0" collapsed="false">
      <c r="I446" s="119" t="n">
        <v>441</v>
      </c>
      <c r="J446" s="119" t="str">
        <f aca="false">IFERROR(IF(INDEX(Rider_Input[Rider ID],I446)="","",INDEX(Rider_Input[Rider ID],I446)),"")</f>
        <v/>
      </c>
      <c r="K446" s="119" t="str">
        <f aca="false">IF(J446="","",IFERROR(MATCH(J446,INDEX(RLVL_Data,0,c_RLVL_ID),0),""))</f>
        <v/>
      </c>
      <c r="L446" s="119" t="str">
        <f aca="false">IF(J446="","",IF(ISNUMBER(MATCH(J446,Rider_Master[Rider ID],0)),1,0))</f>
        <v/>
      </c>
      <c r="M446" s="119" t="str">
        <f aca="false">IF(J446="","",INDEX(Rider_Input[Completed Orders],I446))</f>
        <v/>
      </c>
      <c r="N446" s="119" t="str">
        <f aca="false">IF(OR(J446="",K446=""),"",IFERROR(INDEX(RLVL_Data,K446,c_RLVL_Orders),""))</f>
        <v/>
      </c>
      <c r="O446" s="119" t="str">
        <f aca="false">IF(J446="","",IF(COUNTIF($J$6:$J$505,J446)&gt;1,1,0))</f>
        <v/>
      </c>
      <c r="P446" s="119" t="str">
        <f aca="false">IF(J446="","",IF(K446="","Not found in Paste_RLVL – deductions set to 0; ","")&amp;IF(L446=0,"New rider (not in Rider_Master) – OK, shown as Rider &lt;ID&gt;; ","")&amp;IF(AND(N446&lt;&gt;"",N446&lt;&gt;M446),"Orders differ: FTR "&amp;M446&amp;" vs RLVL "&amp;N446&amp;"; ","")&amp;IF(O446=1,"Duplicate Rider ID; ",""))</f>
        <v/>
      </c>
      <c r="Q446" s="119" t="str">
        <f aca="false">IF(P446="","",COUNTIF(P$6:P446,"?*"))</f>
        <v/>
      </c>
    </row>
    <row r="447" customFormat="false" ht="15" hidden="false" customHeight="false" outlineLevel="0" collapsed="false">
      <c r="I447" s="119" t="n">
        <v>442</v>
      </c>
      <c r="J447" s="119" t="str">
        <f aca="false">IFERROR(IF(INDEX(Rider_Input[Rider ID],I447)="","",INDEX(Rider_Input[Rider ID],I447)),"")</f>
        <v/>
      </c>
      <c r="K447" s="119" t="str">
        <f aca="false">IF(J447="","",IFERROR(MATCH(J447,INDEX(RLVL_Data,0,c_RLVL_ID),0),""))</f>
        <v/>
      </c>
      <c r="L447" s="119" t="str">
        <f aca="false">IF(J447="","",IF(ISNUMBER(MATCH(J447,Rider_Master[Rider ID],0)),1,0))</f>
        <v/>
      </c>
      <c r="M447" s="119" t="str">
        <f aca="false">IF(J447="","",INDEX(Rider_Input[Completed Orders],I447))</f>
        <v/>
      </c>
      <c r="N447" s="119" t="str">
        <f aca="false">IF(OR(J447="",K447=""),"",IFERROR(INDEX(RLVL_Data,K447,c_RLVL_Orders),""))</f>
        <v/>
      </c>
      <c r="O447" s="119" t="str">
        <f aca="false">IF(J447="","",IF(COUNTIF($J$6:$J$505,J447)&gt;1,1,0))</f>
        <v/>
      </c>
      <c r="P447" s="119" t="str">
        <f aca="false">IF(J447="","",IF(K447="","Not found in Paste_RLVL – deductions set to 0; ","")&amp;IF(L447=0,"New rider (not in Rider_Master) – OK, shown as Rider &lt;ID&gt;; ","")&amp;IF(AND(N447&lt;&gt;"",N447&lt;&gt;M447),"Orders differ: FTR "&amp;M447&amp;" vs RLVL "&amp;N447&amp;"; ","")&amp;IF(O447=1,"Duplicate Rider ID; ",""))</f>
        <v/>
      </c>
      <c r="Q447" s="119" t="str">
        <f aca="false">IF(P447="","",COUNTIF(P$6:P447,"?*"))</f>
        <v/>
      </c>
    </row>
    <row r="448" customFormat="false" ht="15" hidden="false" customHeight="false" outlineLevel="0" collapsed="false">
      <c r="I448" s="119" t="n">
        <v>443</v>
      </c>
      <c r="J448" s="119" t="str">
        <f aca="false">IFERROR(IF(INDEX(Rider_Input[Rider ID],I448)="","",INDEX(Rider_Input[Rider ID],I448)),"")</f>
        <v/>
      </c>
      <c r="K448" s="119" t="str">
        <f aca="false">IF(J448="","",IFERROR(MATCH(J448,INDEX(RLVL_Data,0,c_RLVL_ID),0),""))</f>
        <v/>
      </c>
      <c r="L448" s="119" t="str">
        <f aca="false">IF(J448="","",IF(ISNUMBER(MATCH(J448,Rider_Master[Rider ID],0)),1,0))</f>
        <v/>
      </c>
      <c r="M448" s="119" t="str">
        <f aca="false">IF(J448="","",INDEX(Rider_Input[Completed Orders],I448))</f>
        <v/>
      </c>
      <c r="N448" s="119" t="str">
        <f aca="false">IF(OR(J448="",K448=""),"",IFERROR(INDEX(RLVL_Data,K448,c_RLVL_Orders),""))</f>
        <v/>
      </c>
      <c r="O448" s="119" t="str">
        <f aca="false">IF(J448="","",IF(COUNTIF($J$6:$J$505,J448)&gt;1,1,0))</f>
        <v/>
      </c>
      <c r="P448" s="119" t="str">
        <f aca="false">IF(J448="","",IF(K448="","Not found in Paste_RLVL – deductions set to 0; ","")&amp;IF(L448=0,"New rider (not in Rider_Master) – OK, shown as Rider &lt;ID&gt;; ","")&amp;IF(AND(N448&lt;&gt;"",N448&lt;&gt;M448),"Orders differ: FTR "&amp;M448&amp;" vs RLVL "&amp;N448&amp;"; ","")&amp;IF(O448=1,"Duplicate Rider ID; ",""))</f>
        <v/>
      </c>
      <c r="Q448" s="119" t="str">
        <f aca="false">IF(P448="","",COUNTIF(P$6:P448,"?*"))</f>
        <v/>
      </c>
    </row>
    <row r="449" customFormat="false" ht="15" hidden="false" customHeight="false" outlineLevel="0" collapsed="false">
      <c r="I449" s="119" t="n">
        <v>444</v>
      </c>
      <c r="J449" s="119" t="str">
        <f aca="false">IFERROR(IF(INDEX(Rider_Input[Rider ID],I449)="","",INDEX(Rider_Input[Rider ID],I449)),"")</f>
        <v/>
      </c>
      <c r="K449" s="119" t="str">
        <f aca="false">IF(J449="","",IFERROR(MATCH(J449,INDEX(RLVL_Data,0,c_RLVL_ID),0),""))</f>
        <v/>
      </c>
      <c r="L449" s="119" t="str">
        <f aca="false">IF(J449="","",IF(ISNUMBER(MATCH(J449,Rider_Master[Rider ID],0)),1,0))</f>
        <v/>
      </c>
      <c r="M449" s="119" t="str">
        <f aca="false">IF(J449="","",INDEX(Rider_Input[Completed Orders],I449))</f>
        <v/>
      </c>
      <c r="N449" s="119" t="str">
        <f aca="false">IF(OR(J449="",K449=""),"",IFERROR(INDEX(RLVL_Data,K449,c_RLVL_Orders),""))</f>
        <v/>
      </c>
      <c r="O449" s="119" t="str">
        <f aca="false">IF(J449="","",IF(COUNTIF($J$6:$J$505,J449)&gt;1,1,0))</f>
        <v/>
      </c>
      <c r="P449" s="119" t="str">
        <f aca="false">IF(J449="","",IF(K449="","Not found in Paste_RLVL – deductions set to 0; ","")&amp;IF(L449=0,"New rider (not in Rider_Master) – OK, shown as Rider &lt;ID&gt;; ","")&amp;IF(AND(N449&lt;&gt;"",N449&lt;&gt;M449),"Orders differ: FTR "&amp;M449&amp;" vs RLVL "&amp;N449&amp;"; ","")&amp;IF(O449=1,"Duplicate Rider ID; ",""))</f>
        <v/>
      </c>
      <c r="Q449" s="119" t="str">
        <f aca="false">IF(P449="","",COUNTIF(P$6:P449,"?*"))</f>
        <v/>
      </c>
    </row>
    <row r="450" customFormat="false" ht="15" hidden="false" customHeight="false" outlineLevel="0" collapsed="false">
      <c r="I450" s="119" t="n">
        <v>445</v>
      </c>
      <c r="J450" s="119" t="str">
        <f aca="false">IFERROR(IF(INDEX(Rider_Input[Rider ID],I450)="","",INDEX(Rider_Input[Rider ID],I450)),"")</f>
        <v/>
      </c>
      <c r="K450" s="119" t="str">
        <f aca="false">IF(J450="","",IFERROR(MATCH(J450,INDEX(RLVL_Data,0,c_RLVL_ID),0),""))</f>
        <v/>
      </c>
      <c r="L450" s="119" t="str">
        <f aca="false">IF(J450="","",IF(ISNUMBER(MATCH(J450,Rider_Master[Rider ID],0)),1,0))</f>
        <v/>
      </c>
      <c r="M450" s="119" t="str">
        <f aca="false">IF(J450="","",INDEX(Rider_Input[Completed Orders],I450))</f>
        <v/>
      </c>
      <c r="N450" s="119" t="str">
        <f aca="false">IF(OR(J450="",K450=""),"",IFERROR(INDEX(RLVL_Data,K450,c_RLVL_Orders),""))</f>
        <v/>
      </c>
      <c r="O450" s="119" t="str">
        <f aca="false">IF(J450="","",IF(COUNTIF($J$6:$J$505,J450)&gt;1,1,0))</f>
        <v/>
      </c>
      <c r="P450" s="119" t="str">
        <f aca="false">IF(J450="","",IF(K450="","Not found in Paste_RLVL – deductions set to 0; ","")&amp;IF(L450=0,"New rider (not in Rider_Master) – OK, shown as Rider &lt;ID&gt;; ","")&amp;IF(AND(N450&lt;&gt;"",N450&lt;&gt;M450),"Orders differ: FTR "&amp;M450&amp;" vs RLVL "&amp;N450&amp;"; ","")&amp;IF(O450=1,"Duplicate Rider ID; ",""))</f>
        <v/>
      </c>
      <c r="Q450" s="119" t="str">
        <f aca="false">IF(P450="","",COUNTIF(P$6:P450,"?*"))</f>
        <v/>
      </c>
    </row>
    <row r="451" customFormat="false" ht="15" hidden="false" customHeight="false" outlineLevel="0" collapsed="false">
      <c r="I451" s="119" t="n">
        <v>446</v>
      </c>
      <c r="J451" s="119" t="str">
        <f aca="false">IFERROR(IF(INDEX(Rider_Input[Rider ID],I451)="","",INDEX(Rider_Input[Rider ID],I451)),"")</f>
        <v/>
      </c>
      <c r="K451" s="119" t="str">
        <f aca="false">IF(J451="","",IFERROR(MATCH(J451,INDEX(RLVL_Data,0,c_RLVL_ID),0),""))</f>
        <v/>
      </c>
      <c r="L451" s="119" t="str">
        <f aca="false">IF(J451="","",IF(ISNUMBER(MATCH(J451,Rider_Master[Rider ID],0)),1,0))</f>
        <v/>
      </c>
      <c r="M451" s="119" t="str">
        <f aca="false">IF(J451="","",INDEX(Rider_Input[Completed Orders],I451))</f>
        <v/>
      </c>
      <c r="N451" s="119" t="str">
        <f aca="false">IF(OR(J451="",K451=""),"",IFERROR(INDEX(RLVL_Data,K451,c_RLVL_Orders),""))</f>
        <v/>
      </c>
      <c r="O451" s="119" t="str">
        <f aca="false">IF(J451="","",IF(COUNTIF($J$6:$J$505,J451)&gt;1,1,0))</f>
        <v/>
      </c>
      <c r="P451" s="119" t="str">
        <f aca="false">IF(J451="","",IF(K451="","Not found in Paste_RLVL – deductions set to 0; ","")&amp;IF(L451=0,"New rider (not in Rider_Master) – OK, shown as Rider &lt;ID&gt;; ","")&amp;IF(AND(N451&lt;&gt;"",N451&lt;&gt;M451),"Orders differ: FTR "&amp;M451&amp;" vs RLVL "&amp;N451&amp;"; ","")&amp;IF(O451=1,"Duplicate Rider ID; ",""))</f>
        <v/>
      </c>
      <c r="Q451" s="119" t="str">
        <f aca="false">IF(P451="","",COUNTIF(P$6:P451,"?*"))</f>
        <v/>
      </c>
    </row>
    <row r="452" customFormat="false" ht="15" hidden="false" customHeight="false" outlineLevel="0" collapsed="false">
      <c r="I452" s="119" t="n">
        <v>447</v>
      </c>
      <c r="J452" s="119" t="str">
        <f aca="false">IFERROR(IF(INDEX(Rider_Input[Rider ID],I452)="","",INDEX(Rider_Input[Rider ID],I452)),"")</f>
        <v/>
      </c>
      <c r="K452" s="119" t="str">
        <f aca="false">IF(J452="","",IFERROR(MATCH(J452,INDEX(RLVL_Data,0,c_RLVL_ID),0),""))</f>
        <v/>
      </c>
      <c r="L452" s="119" t="str">
        <f aca="false">IF(J452="","",IF(ISNUMBER(MATCH(J452,Rider_Master[Rider ID],0)),1,0))</f>
        <v/>
      </c>
      <c r="M452" s="119" t="str">
        <f aca="false">IF(J452="","",INDEX(Rider_Input[Completed Orders],I452))</f>
        <v/>
      </c>
      <c r="N452" s="119" t="str">
        <f aca="false">IF(OR(J452="",K452=""),"",IFERROR(INDEX(RLVL_Data,K452,c_RLVL_Orders),""))</f>
        <v/>
      </c>
      <c r="O452" s="119" t="str">
        <f aca="false">IF(J452="","",IF(COUNTIF($J$6:$J$505,J452)&gt;1,1,0))</f>
        <v/>
      </c>
      <c r="P452" s="119" t="str">
        <f aca="false">IF(J452="","",IF(K452="","Not found in Paste_RLVL – deductions set to 0; ","")&amp;IF(L452=0,"New rider (not in Rider_Master) – OK, shown as Rider &lt;ID&gt;; ","")&amp;IF(AND(N452&lt;&gt;"",N452&lt;&gt;M452),"Orders differ: FTR "&amp;M452&amp;" vs RLVL "&amp;N452&amp;"; ","")&amp;IF(O452=1,"Duplicate Rider ID; ",""))</f>
        <v/>
      </c>
      <c r="Q452" s="119" t="str">
        <f aca="false">IF(P452="","",COUNTIF(P$6:P452,"?*"))</f>
        <v/>
      </c>
    </row>
    <row r="453" customFormat="false" ht="15" hidden="false" customHeight="false" outlineLevel="0" collapsed="false">
      <c r="I453" s="119" t="n">
        <v>448</v>
      </c>
      <c r="J453" s="119" t="str">
        <f aca="false">IFERROR(IF(INDEX(Rider_Input[Rider ID],I453)="","",INDEX(Rider_Input[Rider ID],I453)),"")</f>
        <v/>
      </c>
      <c r="K453" s="119" t="str">
        <f aca="false">IF(J453="","",IFERROR(MATCH(J453,INDEX(RLVL_Data,0,c_RLVL_ID),0),""))</f>
        <v/>
      </c>
      <c r="L453" s="119" t="str">
        <f aca="false">IF(J453="","",IF(ISNUMBER(MATCH(J453,Rider_Master[Rider ID],0)),1,0))</f>
        <v/>
      </c>
      <c r="M453" s="119" t="str">
        <f aca="false">IF(J453="","",INDEX(Rider_Input[Completed Orders],I453))</f>
        <v/>
      </c>
      <c r="N453" s="119" t="str">
        <f aca="false">IF(OR(J453="",K453=""),"",IFERROR(INDEX(RLVL_Data,K453,c_RLVL_Orders),""))</f>
        <v/>
      </c>
      <c r="O453" s="119" t="str">
        <f aca="false">IF(J453="","",IF(COUNTIF($J$6:$J$505,J453)&gt;1,1,0))</f>
        <v/>
      </c>
      <c r="P453" s="119" t="str">
        <f aca="false">IF(J453="","",IF(K453="","Not found in Paste_RLVL – deductions set to 0; ","")&amp;IF(L453=0,"New rider (not in Rider_Master) – OK, shown as Rider &lt;ID&gt;; ","")&amp;IF(AND(N453&lt;&gt;"",N453&lt;&gt;M453),"Orders differ: FTR "&amp;M453&amp;" vs RLVL "&amp;N453&amp;"; ","")&amp;IF(O453=1,"Duplicate Rider ID; ",""))</f>
        <v/>
      </c>
      <c r="Q453" s="119" t="str">
        <f aca="false">IF(P453="","",COUNTIF(P$6:P453,"?*"))</f>
        <v/>
      </c>
    </row>
    <row r="454" customFormat="false" ht="15" hidden="false" customHeight="false" outlineLevel="0" collapsed="false">
      <c r="I454" s="119" t="n">
        <v>449</v>
      </c>
      <c r="J454" s="119" t="str">
        <f aca="false">IFERROR(IF(INDEX(Rider_Input[Rider ID],I454)="","",INDEX(Rider_Input[Rider ID],I454)),"")</f>
        <v/>
      </c>
      <c r="K454" s="119" t="str">
        <f aca="false">IF(J454="","",IFERROR(MATCH(J454,INDEX(RLVL_Data,0,c_RLVL_ID),0),""))</f>
        <v/>
      </c>
      <c r="L454" s="119" t="str">
        <f aca="false">IF(J454="","",IF(ISNUMBER(MATCH(J454,Rider_Master[Rider ID],0)),1,0))</f>
        <v/>
      </c>
      <c r="M454" s="119" t="str">
        <f aca="false">IF(J454="","",INDEX(Rider_Input[Completed Orders],I454))</f>
        <v/>
      </c>
      <c r="N454" s="119" t="str">
        <f aca="false">IF(OR(J454="",K454=""),"",IFERROR(INDEX(RLVL_Data,K454,c_RLVL_Orders),""))</f>
        <v/>
      </c>
      <c r="O454" s="119" t="str">
        <f aca="false">IF(J454="","",IF(COUNTIF($J$6:$J$505,J454)&gt;1,1,0))</f>
        <v/>
      </c>
      <c r="P454" s="119" t="str">
        <f aca="false">IF(J454="","",IF(K454="","Not found in Paste_RLVL – deductions set to 0; ","")&amp;IF(L454=0,"New rider (not in Rider_Master) – OK, shown as Rider &lt;ID&gt;; ","")&amp;IF(AND(N454&lt;&gt;"",N454&lt;&gt;M454),"Orders differ: FTR "&amp;M454&amp;" vs RLVL "&amp;N454&amp;"; ","")&amp;IF(O454=1,"Duplicate Rider ID; ",""))</f>
        <v/>
      </c>
      <c r="Q454" s="119" t="str">
        <f aca="false">IF(P454="","",COUNTIF(P$6:P454,"?*"))</f>
        <v/>
      </c>
    </row>
    <row r="455" customFormat="false" ht="15" hidden="false" customHeight="false" outlineLevel="0" collapsed="false">
      <c r="I455" s="119" t="n">
        <v>450</v>
      </c>
      <c r="J455" s="119" t="str">
        <f aca="false">IFERROR(IF(INDEX(Rider_Input[Rider ID],I455)="","",INDEX(Rider_Input[Rider ID],I455)),"")</f>
        <v/>
      </c>
      <c r="K455" s="119" t="str">
        <f aca="false">IF(J455="","",IFERROR(MATCH(J455,INDEX(RLVL_Data,0,c_RLVL_ID),0),""))</f>
        <v/>
      </c>
      <c r="L455" s="119" t="str">
        <f aca="false">IF(J455="","",IF(ISNUMBER(MATCH(J455,Rider_Master[Rider ID],0)),1,0))</f>
        <v/>
      </c>
      <c r="M455" s="119" t="str">
        <f aca="false">IF(J455="","",INDEX(Rider_Input[Completed Orders],I455))</f>
        <v/>
      </c>
      <c r="N455" s="119" t="str">
        <f aca="false">IF(OR(J455="",K455=""),"",IFERROR(INDEX(RLVL_Data,K455,c_RLVL_Orders),""))</f>
        <v/>
      </c>
      <c r="O455" s="119" t="str">
        <f aca="false">IF(J455="","",IF(COUNTIF($J$6:$J$505,J455)&gt;1,1,0))</f>
        <v/>
      </c>
      <c r="P455" s="119" t="str">
        <f aca="false">IF(J455="","",IF(K455="","Not found in Paste_RLVL – deductions set to 0; ","")&amp;IF(L455=0,"New rider (not in Rider_Master) – OK, shown as Rider &lt;ID&gt;; ","")&amp;IF(AND(N455&lt;&gt;"",N455&lt;&gt;M455),"Orders differ: FTR "&amp;M455&amp;" vs RLVL "&amp;N455&amp;"; ","")&amp;IF(O455=1,"Duplicate Rider ID; ",""))</f>
        <v/>
      </c>
      <c r="Q455" s="119" t="str">
        <f aca="false">IF(P455="","",COUNTIF(P$6:P455,"?*"))</f>
        <v/>
      </c>
    </row>
    <row r="456" customFormat="false" ht="15" hidden="false" customHeight="false" outlineLevel="0" collapsed="false">
      <c r="I456" s="119" t="n">
        <v>451</v>
      </c>
      <c r="J456" s="119" t="str">
        <f aca="false">IFERROR(IF(INDEX(Rider_Input[Rider ID],I456)="","",INDEX(Rider_Input[Rider ID],I456)),"")</f>
        <v/>
      </c>
      <c r="K456" s="119" t="str">
        <f aca="false">IF(J456="","",IFERROR(MATCH(J456,INDEX(RLVL_Data,0,c_RLVL_ID),0),""))</f>
        <v/>
      </c>
      <c r="L456" s="119" t="str">
        <f aca="false">IF(J456="","",IF(ISNUMBER(MATCH(J456,Rider_Master[Rider ID],0)),1,0))</f>
        <v/>
      </c>
      <c r="M456" s="119" t="str">
        <f aca="false">IF(J456="","",INDEX(Rider_Input[Completed Orders],I456))</f>
        <v/>
      </c>
      <c r="N456" s="119" t="str">
        <f aca="false">IF(OR(J456="",K456=""),"",IFERROR(INDEX(RLVL_Data,K456,c_RLVL_Orders),""))</f>
        <v/>
      </c>
      <c r="O456" s="119" t="str">
        <f aca="false">IF(J456="","",IF(COUNTIF($J$6:$J$505,J456)&gt;1,1,0))</f>
        <v/>
      </c>
      <c r="P456" s="119" t="str">
        <f aca="false">IF(J456="","",IF(K456="","Not found in Paste_RLVL – deductions set to 0; ","")&amp;IF(L456=0,"New rider (not in Rider_Master) – OK, shown as Rider &lt;ID&gt;; ","")&amp;IF(AND(N456&lt;&gt;"",N456&lt;&gt;M456),"Orders differ: FTR "&amp;M456&amp;" vs RLVL "&amp;N456&amp;"; ","")&amp;IF(O456=1,"Duplicate Rider ID; ",""))</f>
        <v/>
      </c>
      <c r="Q456" s="119" t="str">
        <f aca="false">IF(P456="","",COUNTIF(P$6:P456,"?*"))</f>
        <v/>
      </c>
    </row>
    <row r="457" customFormat="false" ht="15" hidden="false" customHeight="false" outlineLevel="0" collapsed="false">
      <c r="I457" s="119" t="n">
        <v>452</v>
      </c>
      <c r="J457" s="119" t="str">
        <f aca="false">IFERROR(IF(INDEX(Rider_Input[Rider ID],I457)="","",INDEX(Rider_Input[Rider ID],I457)),"")</f>
        <v/>
      </c>
      <c r="K457" s="119" t="str">
        <f aca="false">IF(J457="","",IFERROR(MATCH(J457,INDEX(RLVL_Data,0,c_RLVL_ID),0),""))</f>
        <v/>
      </c>
      <c r="L457" s="119" t="str">
        <f aca="false">IF(J457="","",IF(ISNUMBER(MATCH(J457,Rider_Master[Rider ID],0)),1,0))</f>
        <v/>
      </c>
      <c r="M457" s="119" t="str">
        <f aca="false">IF(J457="","",INDEX(Rider_Input[Completed Orders],I457))</f>
        <v/>
      </c>
      <c r="N457" s="119" t="str">
        <f aca="false">IF(OR(J457="",K457=""),"",IFERROR(INDEX(RLVL_Data,K457,c_RLVL_Orders),""))</f>
        <v/>
      </c>
      <c r="O457" s="119" t="str">
        <f aca="false">IF(J457="","",IF(COUNTIF($J$6:$J$505,J457)&gt;1,1,0))</f>
        <v/>
      </c>
      <c r="P457" s="119" t="str">
        <f aca="false">IF(J457="","",IF(K457="","Not found in Paste_RLVL – deductions set to 0; ","")&amp;IF(L457=0,"New rider (not in Rider_Master) – OK, shown as Rider &lt;ID&gt;; ","")&amp;IF(AND(N457&lt;&gt;"",N457&lt;&gt;M457),"Orders differ: FTR "&amp;M457&amp;" vs RLVL "&amp;N457&amp;"; ","")&amp;IF(O457=1,"Duplicate Rider ID; ",""))</f>
        <v/>
      </c>
      <c r="Q457" s="119" t="str">
        <f aca="false">IF(P457="","",COUNTIF(P$6:P457,"?*"))</f>
        <v/>
      </c>
    </row>
    <row r="458" customFormat="false" ht="15" hidden="false" customHeight="false" outlineLevel="0" collapsed="false">
      <c r="I458" s="119" t="n">
        <v>453</v>
      </c>
      <c r="J458" s="119" t="str">
        <f aca="false">IFERROR(IF(INDEX(Rider_Input[Rider ID],I458)="","",INDEX(Rider_Input[Rider ID],I458)),"")</f>
        <v/>
      </c>
      <c r="K458" s="119" t="str">
        <f aca="false">IF(J458="","",IFERROR(MATCH(J458,INDEX(RLVL_Data,0,c_RLVL_ID),0),""))</f>
        <v/>
      </c>
      <c r="L458" s="119" t="str">
        <f aca="false">IF(J458="","",IF(ISNUMBER(MATCH(J458,Rider_Master[Rider ID],0)),1,0))</f>
        <v/>
      </c>
      <c r="M458" s="119" t="str">
        <f aca="false">IF(J458="","",INDEX(Rider_Input[Completed Orders],I458))</f>
        <v/>
      </c>
      <c r="N458" s="119" t="str">
        <f aca="false">IF(OR(J458="",K458=""),"",IFERROR(INDEX(RLVL_Data,K458,c_RLVL_Orders),""))</f>
        <v/>
      </c>
      <c r="O458" s="119" t="str">
        <f aca="false">IF(J458="","",IF(COUNTIF($J$6:$J$505,J458)&gt;1,1,0))</f>
        <v/>
      </c>
      <c r="P458" s="119" t="str">
        <f aca="false">IF(J458="","",IF(K458="","Not found in Paste_RLVL – deductions set to 0; ","")&amp;IF(L458=0,"New rider (not in Rider_Master) – OK, shown as Rider &lt;ID&gt;; ","")&amp;IF(AND(N458&lt;&gt;"",N458&lt;&gt;M458),"Orders differ: FTR "&amp;M458&amp;" vs RLVL "&amp;N458&amp;"; ","")&amp;IF(O458=1,"Duplicate Rider ID; ",""))</f>
        <v/>
      </c>
      <c r="Q458" s="119" t="str">
        <f aca="false">IF(P458="","",COUNTIF(P$6:P458,"?*"))</f>
        <v/>
      </c>
    </row>
    <row r="459" customFormat="false" ht="15" hidden="false" customHeight="false" outlineLevel="0" collapsed="false">
      <c r="I459" s="119" t="n">
        <v>454</v>
      </c>
      <c r="J459" s="119" t="str">
        <f aca="false">IFERROR(IF(INDEX(Rider_Input[Rider ID],I459)="","",INDEX(Rider_Input[Rider ID],I459)),"")</f>
        <v/>
      </c>
      <c r="K459" s="119" t="str">
        <f aca="false">IF(J459="","",IFERROR(MATCH(J459,INDEX(RLVL_Data,0,c_RLVL_ID),0),""))</f>
        <v/>
      </c>
      <c r="L459" s="119" t="str">
        <f aca="false">IF(J459="","",IF(ISNUMBER(MATCH(J459,Rider_Master[Rider ID],0)),1,0))</f>
        <v/>
      </c>
      <c r="M459" s="119" t="str">
        <f aca="false">IF(J459="","",INDEX(Rider_Input[Completed Orders],I459))</f>
        <v/>
      </c>
      <c r="N459" s="119" t="str">
        <f aca="false">IF(OR(J459="",K459=""),"",IFERROR(INDEX(RLVL_Data,K459,c_RLVL_Orders),""))</f>
        <v/>
      </c>
      <c r="O459" s="119" t="str">
        <f aca="false">IF(J459="","",IF(COUNTIF($J$6:$J$505,J459)&gt;1,1,0))</f>
        <v/>
      </c>
      <c r="P459" s="119" t="str">
        <f aca="false">IF(J459="","",IF(K459="","Not found in Paste_RLVL – deductions set to 0; ","")&amp;IF(L459=0,"New rider (not in Rider_Master) – OK, shown as Rider &lt;ID&gt;; ","")&amp;IF(AND(N459&lt;&gt;"",N459&lt;&gt;M459),"Orders differ: FTR "&amp;M459&amp;" vs RLVL "&amp;N459&amp;"; ","")&amp;IF(O459=1,"Duplicate Rider ID; ",""))</f>
        <v/>
      </c>
      <c r="Q459" s="119" t="str">
        <f aca="false">IF(P459="","",COUNTIF(P$6:P459,"?*"))</f>
        <v/>
      </c>
    </row>
    <row r="460" customFormat="false" ht="15" hidden="false" customHeight="false" outlineLevel="0" collapsed="false">
      <c r="I460" s="119" t="n">
        <v>455</v>
      </c>
      <c r="J460" s="119" t="str">
        <f aca="false">IFERROR(IF(INDEX(Rider_Input[Rider ID],I460)="","",INDEX(Rider_Input[Rider ID],I460)),"")</f>
        <v/>
      </c>
      <c r="K460" s="119" t="str">
        <f aca="false">IF(J460="","",IFERROR(MATCH(J460,INDEX(RLVL_Data,0,c_RLVL_ID),0),""))</f>
        <v/>
      </c>
      <c r="L460" s="119" t="str">
        <f aca="false">IF(J460="","",IF(ISNUMBER(MATCH(J460,Rider_Master[Rider ID],0)),1,0))</f>
        <v/>
      </c>
      <c r="M460" s="119" t="str">
        <f aca="false">IF(J460="","",INDEX(Rider_Input[Completed Orders],I460))</f>
        <v/>
      </c>
      <c r="N460" s="119" t="str">
        <f aca="false">IF(OR(J460="",K460=""),"",IFERROR(INDEX(RLVL_Data,K460,c_RLVL_Orders),""))</f>
        <v/>
      </c>
      <c r="O460" s="119" t="str">
        <f aca="false">IF(J460="","",IF(COUNTIF($J$6:$J$505,J460)&gt;1,1,0))</f>
        <v/>
      </c>
      <c r="P460" s="119" t="str">
        <f aca="false">IF(J460="","",IF(K460="","Not found in Paste_RLVL – deductions set to 0; ","")&amp;IF(L460=0,"New rider (not in Rider_Master) – OK, shown as Rider &lt;ID&gt;; ","")&amp;IF(AND(N460&lt;&gt;"",N460&lt;&gt;M460),"Orders differ: FTR "&amp;M460&amp;" vs RLVL "&amp;N460&amp;"; ","")&amp;IF(O460=1,"Duplicate Rider ID; ",""))</f>
        <v/>
      </c>
      <c r="Q460" s="119" t="str">
        <f aca="false">IF(P460="","",COUNTIF(P$6:P460,"?*"))</f>
        <v/>
      </c>
    </row>
    <row r="461" customFormat="false" ht="15" hidden="false" customHeight="false" outlineLevel="0" collapsed="false">
      <c r="I461" s="119" t="n">
        <v>456</v>
      </c>
      <c r="J461" s="119" t="str">
        <f aca="false">IFERROR(IF(INDEX(Rider_Input[Rider ID],I461)="","",INDEX(Rider_Input[Rider ID],I461)),"")</f>
        <v/>
      </c>
      <c r="K461" s="119" t="str">
        <f aca="false">IF(J461="","",IFERROR(MATCH(J461,INDEX(RLVL_Data,0,c_RLVL_ID),0),""))</f>
        <v/>
      </c>
      <c r="L461" s="119" t="str">
        <f aca="false">IF(J461="","",IF(ISNUMBER(MATCH(J461,Rider_Master[Rider ID],0)),1,0))</f>
        <v/>
      </c>
      <c r="M461" s="119" t="str">
        <f aca="false">IF(J461="","",INDEX(Rider_Input[Completed Orders],I461))</f>
        <v/>
      </c>
      <c r="N461" s="119" t="str">
        <f aca="false">IF(OR(J461="",K461=""),"",IFERROR(INDEX(RLVL_Data,K461,c_RLVL_Orders),""))</f>
        <v/>
      </c>
      <c r="O461" s="119" t="str">
        <f aca="false">IF(J461="","",IF(COUNTIF($J$6:$J$505,J461)&gt;1,1,0))</f>
        <v/>
      </c>
      <c r="P461" s="119" t="str">
        <f aca="false">IF(J461="","",IF(K461="","Not found in Paste_RLVL – deductions set to 0; ","")&amp;IF(L461=0,"New rider (not in Rider_Master) – OK, shown as Rider &lt;ID&gt;; ","")&amp;IF(AND(N461&lt;&gt;"",N461&lt;&gt;M461),"Orders differ: FTR "&amp;M461&amp;" vs RLVL "&amp;N461&amp;"; ","")&amp;IF(O461=1,"Duplicate Rider ID; ",""))</f>
        <v/>
      </c>
      <c r="Q461" s="119" t="str">
        <f aca="false">IF(P461="","",COUNTIF(P$6:P461,"?*"))</f>
        <v/>
      </c>
    </row>
    <row r="462" customFormat="false" ht="15" hidden="false" customHeight="false" outlineLevel="0" collapsed="false">
      <c r="I462" s="119" t="n">
        <v>457</v>
      </c>
      <c r="J462" s="119" t="str">
        <f aca="false">IFERROR(IF(INDEX(Rider_Input[Rider ID],I462)="","",INDEX(Rider_Input[Rider ID],I462)),"")</f>
        <v/>
      </c>
      <c r="K462" s="119" t="str">
        <f aca="false">IF(J462="","",IFERROR(MATCH(J462,INDEX(RLVL_Data,0,c_RLVL_ID),0),""))</f>
        <v/>
      </c>
      <c r="L462" s="119" t="str">
        <f aca="false">IF(J462="","",IF(ISNUMBER(MATCH(J462,Rider_Master[Rider ID],0)),1,0))</f>
        <v/>
      </c>
      <c r="M462" s="119" t="str">
        <f aca="false">IF(J462="","",INDEX(Rider_Input[Completed Orders],I462))</f>
        <v/>
      </c>
      <c r="N462" s="119" t="str">
        <f aca="false">IF(OR(J462="",K462=""),"",IFERROR(INDEX(RLVL_Data,K462,c_RLVL_Orders),""))</f>
        <v/>
      </c>
      <c r="O462" s="119" t="str">
        <f aca="false">IF(J462="","",IF(COUNTIF($J$6:$J$505,J462)&gt;1,1,0))</f>
        <v/>
      </c>
      <c r="P462" s="119" t="str">
        <f aca="false">IF(J462="","",IF(K462="","Not found in Paste_RLVL – deductions set to 0; ","")&amp;IF(L462=0,"New rider (not in Rider_Master) – OK, shown as Rider &lt;ID&gt;; ","")&amp;IF(AND(N462&lt;&gt;"",N462&lt;&gt;M462),"Orders differ: FTR "&amp;M462&amp;" vs RLVL "&amp;N462&amp;"; ","")&amp;IF(O462=1,"Duplicate Rider ID; ",""))</f>
        <v/>
      </c>
      <c r="Q462" s="119" t="str">
        <f aca="false">IF(P462="","",COUNTIF(P$6:P462,"?*"))</f>
        <v/>
      </c>
    </row>
    <row r="463" customFormat="false" ht="15" hidden="false" customHeight="false" outlineLevel="0" collapsed="false">
      <c r="I463" s="119" t="n">
        <v>458</v>
      </c>
      <c r="J463" s="119" t="str">
        <f aca="false">IFERROR(IF(INDEX(Rider_Input[Rider ID],I463)="","",INDEX(Rider_Input[Rider ID],I463)),"")</f>
        <v/>
      </c>
      <c r="K463" s="119" t="str">
        <f aca="false">IF(J463="","",IFERROR(MATCH(J463,INDEX(RLVL_Data,0,c_RLVL_ID),0),""))</f>
        <v/>
      </c>
      <c r="L463" s="119" t="str">
        <f aca="false">IF(J463="","",IF(ISNUMBER(MATCH(J463,Rider_Master[Rider ID],0)),1,0))</f>
        <v/>
      </c>
      <c r="M463" s="119" t="str">
        <f aca="false">IF(J463="","",INDEX(Rider_Input[Completed Orders],I463))</f>
        <v/>
      </c>
      <c r="N463" s="119" t="str">
        <f aca="false">IF(OR(J463="",K463=""),"",IFERROR(INDEX(RLVL_Data,K463,c_RLVL_Orders),""))</f>
        <v/>
      </c>
      <c r="O463" s="119" t="str">
        <f aca="false">IF(J463="","",IF(COUNTIF($J$6:$J$505,J463)&gt;1,1,0))</f>
        <v/>
      </c>
      <c r="P463" s="119" t="str">
        <f aca="false">IF(J463="","",IF(K463="","Not found in Paste_RLVL – deductions set to 0; ","")&amp;IF(L463=0,"New rider (not in Rider_Master) – OK, shown as Rider &lt;ID&gt;; ","")&amp;IF(AND(N463&lt;&gt;"",N463&lt;&gt;M463),"Orders differ: FTR "&amp;M463&amp;" vs RLVL "&amp;N463&amp;"; ","")&amp;IF(O463=1,"Duplicate Rider ID; ",""))</f>
        <v/>
      </c>
      <c r="Q463" s="119" t="str">
        <f aca="false">IF(P463="","",COUNTIF(P$6:P463,"?*"))</f>
        <v/>
      </c>
    </row>
    <row r="464" customFormat="false" ht="15" hidden="false" customHeight="false" outlineLevel="0" collapsed="false">
      <c r="I464" s="119" t="n">
        <v>459</v>
      </c>
      <c r="J464" s="119" t="str">
        <f aca="false">IFERROR(IF(INDEX(Rider_Input[Rider ID],I464)="","",INDEX(Rider_Input[Rider ID],I464)),"")</f>
        <v/>
      </c>
      <c r="K464" s="119" t="str">
        <f aca="false">IF(J464="","",IFERROR(MATCH(J464,INDEX(RLVL_Data,0,c_RLVL_ID),0),""))</f>
        <v/>
      </c>
      <c r="L464" s="119" t="str">
        <f aca="false">IF(J464="","",IF(ISNUMBER(MATCH(J464,Rider_Master[Rider ID],0)),1,0))</f>
        <v/>
      </c>
      <c r="M464" s="119" t="str">
        <f aca="false">IF(J464="","",INDEX(Rider_Input[Completed Orders],I464))</f>
        <v/>
      </c>
      <c r="N464" s="119" t="str">
        <f aca="false">IF(OR(J464="",K464=""),"",IFERROR(INDEX(RLVL_Data,K464,c_RLVL_Orders),""))</f>
        <v/>
      </c>
      <c r="O464" s="119" t="str">
        <f aca="false">IF(J464="","",IF(COUNTIF($J$6:$J$505,J464)&gt;1,1,0))</f>
        <v/>
      </c>
      <c r="P464" s="119" t="str">
        <f aca="false">IF(J464="","",IF(K464="","Not found in Paste_RLVL – deductions set to 0; ","")&amp;IF(L464=0,"New rider (not in Rider_Master) – OK, shown as Rider &lt;ID&gt;; ","")&amp;IF(AND(N464&lt;&gt;"",N464&lt;&gt;M464),"Orders differ: FTR "&amp;M464&amp;" vs RLVL "&amp;N464&amp;"; ","")&amp;IF(O464=1,"Duplicate Rider ID; ",""))</f>
        <v/>
      </c>
      <c r="Q464" s="119" t="str">
        <f aca="false">IF(P464="","",COUNTIF(P$6:P464,"?*"))</f>
        <v/>
      </c>
    </row>
    <row r="465" customFormat="false" ht="15" hidden="false" customHeight="false" outlineLevel="0" collapsed="false">
      <c r="I465" s="119" t="n">
        <v>460</v>
      </c>
      <c r="J465" s="119" t="str">
        <f aca="false">IFERROR(IF(INDEX(Rider_Input[Rider ID],I465)="","",INDEX(Rider_Input[Rider ID],I465)),"")</f>
        <v/>
      </c>
      <c r="K465" s="119" t="str">
        <f aca="false">IF(J465="","",IFERROR(MATCH(J465,INDEX(RLVL_Data,0,c_RLVL_ID),0),""))</f>
        <v/>
      </c>
      <c r="L465" s="119" t="str">
        <f aca="false">IF(J465="","",IF(ISNUMBER(MATCH(J465,Rider_Master[Rider ID],0)),1,0))</f>
        <v/>
      </c>
      <c r="M465" s="119" t="str">
        <f aca="false">IF(J465="","",INDEX(Rider_Input[Completed Orders],I465))</f>
        <v/>
      </c>
      <c r="N465" s="119" t="str">
        <f aca="false">IF(OR(J465="",K465=""),"",IFERROR(INDEX(RLVL_Data,K465,c_RLVL_Orders),""))</f>
        <v/>
      </c>
      <c r="O465" s="119" t="str">
        <f aca="false">IF(J465="","",IF(COUNTIF($J$6:$J$505,J465)&gt;1,1,0))</f>
        <v/>
      </c>
      <c r="P465" s="119" t="str">
        <f aca="false">IF(J465="","",IF(K465="","Not found in Paste_RLVL – deductions set to 0; ","")&amp;IF(L465=0,"New rider (not in Rider_Master) – OK, shown as Rider &lt;ID&gt;; ","")&amp;IF(AND(N465&lt;&gt;"",N465&lt;&gt;M465),"Orders differ: FTR "&amp;M465&amp;" vs RLVL "&amp;N465&amp;"; ","")&amp;IF(O465=1,"Duplicate Rider ID; ",""))</f>
        <v/>
      </c>
      <c r="Q465" s="119" t="str">
        <f aca="false">IF(P465="","",COUNTIF(P$6:P465,"?*"))</f>
        <v/>
      </c>
    </row>
    <row r="466" customFormat="false" ht="15" hidden="false" customHeight="false" outlineLevel="0" collapsed="false">
      <c r="I466" s="119" t="n">
        <v>461</v>
      </c>
      <c r="J466" s="119" t="str">
        <f aca="false">IFERROR(IF(INDEX(Rider_Input[Rider ID],I466)="","",INDEX(Rider_Input[Rider ID],I466)),"")</f>
        <v/>
      </c>
      <c r="K466" s="119" t="str">
        <f aca="false">IF(J466="","",IFERROR(MATCH(J466,INDEX(RLVL_Data,0,c_RLVL_ID),0),""))</f>
        <v/>
      </c>
      <c r="L466" s="119" t="str">
        <f aca="false">IF(J466="","",IF(ISNUMBER(MATCH(J466,Rider_Master[Rider ID],0)),1,0))</f>
        <v/>
      </c>
      <c r="M466" s="119" t="str">
        <f aca="false">IF(J466="","",INDEX(Rider_Input[Completed Orders],I466))</f>
        <v/>
      </c>
      <c r="N466" s="119" t="str">
        <f aca="false">IF(OR(J466="",K466=""),"",IFERROR(INDEX(RLVL_Data,K466,c_RLVL_Orders),""))</f>
        <v/>
      </c>
      <c r="O466" s="119" t="str">
        <f aca="false">IF(J466="","",IF(COUNTIF($J$6:$J$505,J466)&gt;1,1,0))</f>
        <v/>
      </c>
      <c r="P466" s="119" t="str">
        <f aca="false">IF(J466="","",IF(K466="","Not found in Paste_RLVL – deductions set to 0; ","")&amp;IF(L466=0,"New rider (not in Rider_Master) – OK, shown as Rider &lt;ID&gt;; ","")&amp;IF(AND(N466&lt;&gt;"",N466&lt;&gt;M466),"Orders differ: FTR "&amp;M466&amp;" vs RLVL "&amp;N466&amp;"; ","")&amp;IF(O466=1,"Duplicate Rider ID; ",""))</f>
        <v/>
      </c>
      <c r="Q466" s="119" t="str">
        <f aca="false">IF(P466="","",COUNTIF(P$6:P466,"?*"))</f>
        <v/>
      </c>
    </row>
    <row r="467" customFormat="false" ht="15" hidden="false" customHeight="false" outlineLevel="0" collapsed="false">
      <c r="I467" s="119" t="n">
        <v>462</v>
      </c>
      <c r="J467" s="119" t="str">
        <f aca="false">IFERROR(IF(INDEX(Rider_Input[Rider ID],I467)="","",INDEX(Rider_Input[Rider ID],I467)),"")</f>
        <v/>
      </c>
      <c r="K467" s="119" t="str">
        <f aca="false">IF(J467="","",IFERROR(MATCH(J467,INDEX(RLVL_Data,0,c_RLVL_ID),0),""))</f>
        <v/>
      </c>
      <c r="L467" s="119" t="str">
        <f aca="false">IF(J467="","",IF(ISNUMBER(MATCH(J467,Rider_Master[Rider ID],0)),1,0))</f>
        <v/>
      </c>
      <c r="M467" s="119" t="str">
        <f aca="false">IF(J467="","",INDEX(Rider_Input[Completed Orders],I467))</f>
        <v/>
      </c>
      <c r="N467" s="119" t="str">
        <f aca="false">IF(OR(J467="",K467=""),"",IFERROR(INDEX(RLVL_Data,K467,c_RLVL_Orders),""))</f>
        <v/>
      </c>
      <c r="O467" s="119" t="str">
        <f aca="false">IF(J467="","",IF(COUNTIF($J$6:$J$505,J467)&gt;1,1,0))</f>
        <v/>
      </c>
      <c r="P467" s="119" t="str">
        <f aca="false">IF(J467="","",IF(K467="","Not found in Paste_RLVL – deductions set to 0; ","")&amp;IF(L467=0,"New rider (not in Rider_Master) – OK, shown as Rider &lt;ID&gt;; ","")&amp;IF(AND(N467&lt;&gt;"",N467&lt;&gt;M467),"Orders differ: FTR "&amp;M467&amp;" vs RLVL "&amp;N467&amp;"; ","")&amp;IF(O467=1,"Duplicate Rider ID; ",""))</f>
        <v/>
      </c>
      <c r="Q467" s="119" t="str">
        <f aca="false">IF(P467="","",COUNTIF(P$6:P467,"?*"))</f>
        <v/>
      </c>
    </row>
    <row r="468" customFormat="false" ht="15" hidden="false" customHeight="false" outlineLevel="0" collapsed="false">
      <c r="I468" s="119" t="n">
        <v>463</v>
      </c>
      <c r="J468" s="119" t="str">
        <f aca="false">IFERROR(IF(INDEX(Rider_Input[Rider ID],I468)="","",INDEX(Rider_Input[Rider ID],I468)),"")</f>
        <v/>
      </c>
      <c r="K468" s="119" t="str">
        <f aca="false">IF(J468="","",IFERROR(MATCH(J468,INDEX(RLVL_Data,0,c_RLVL_ID),0),""))</f>
        <v/>
      </c>
      <c r="L468" s="119" t="str">
        <f aca="false">IF(J468="","",IF(ISNUMBER(MATCH(J468,Rider_Master[Rider ID],0)),1,0))</f>
        <v/>
      </c>
      <c r="M468" s="119" t="str">
        <f aca="false">IF(J468="","",INDEX(Rider_Input[Completed Orders],I468))</f>
        <v/>
      </c>
      <c r="N468" s="119" t="str">
        <f aca="false">IF(OR(J468="",K468=""),"",IFERROR(INDEX(RLVL_Data,K468,c_RLVL_Orders),""))</f>
        <v/>
      </c>
      <c r="O468" s="119" t="str">
        <f aca="false">IF(J468="","",IF(COUNTIF($J$6:$J$505,J468)&gt;1,1,0))</f>
        <v/>
      </c>
      <c r="P468" s="119" t="str">
        <f aca="false">IF(J468="","",IF(K468="","Not found in Paste_RLVL – deductions set to 0; ","")&amp;IF(L468=0,"New rider (not in Rider_Master) – OK, shown as Rider &lt;ID&gt;; ","")&amp;IF(AND(N468&lt;&gt;"",N468&lt;&gt;M468),"Orders differ: FTR "&amp;M468&amp;" vs RLVL "&amp;N468&amp;"; ","")&amp;IF(O468=1,"Duplicate Rider ID; ",""))</f>
        <v/>
      </c>
      <c r="Q468" s="119" t="str">
        <f aca="false">IF(P468="","",COUNTIF(P$6:P468,"?*"))</f>
        <v/>
      </c>
    </row>
    <row r="469" customFormat="false" ht="15" hidden="false" customHeight="false" outlineLevel="0" collapsed="false">
      <c r="I469" s="119" t="n">
        <v>464</v>
      </c>
      <c r="J469" s="119" t="str">
        <f aca="false">IFERROR(IF(INDEX(Rider_Input[Rider ID],I469)="","",INDEX(Rider_Input[Rider ID],I469)),"")</f>
        <v/>
      </c>
      <c r="K469" s="119" t="str">
        <f aca="false">IF(J469="","",IFERROR(MATCH(J469,INDEX(RLVL_Data,0,c_RLVL_ID),0),""))</f>
        <v/>
      </c>
      <c r="L469" s="119" t="str">
        <f aca="false">IF(J469="","",IF(ISNUMBER(MATCH(J469,Rider_Master[Rider ID],0)),1,0))</f>
        <v/>
      </c>
      <c r="M469" s="119" t="str">
        <f aca="false">IF(J469="","",INDEX(Rider_Input[Completed Orders],I469))</f>
        <v/>
      </c>
      <c r="N469" s="119" t="str">
        <f aca="false">IF(OR(J469="",K469=""),"",IFERROR(INDEX(RLVL_Data,K469,c_RLVL_Orders),""))</f>
        <v/>
      </c>
      <c r="O469" s="119" t="str">
        <f aca="false">IF(J469="","",IF(COUNTIF($J$6:$J$505,J469)&gt;1,1,0))</f>
        <v/>
      </c>
      <c r="P469" s="119" t="str">
        <f aca="false">IF(J469="","",IF(K469="","Not found in Paste_RLVL – deductions set to 0; ","")&amp;IF(L469=0,"New rider (not in Rider_Master) – OK, shown as Rider &lt;ID&gt;; ","")&amp;IF(AND(N469&lt;&gt;"",N469&lt;&gt;M469),"Orders differ: FTR "&amp;M469&amp;" vs RLVL "&amp;N469&amp;"; ","")&amp;IF(O469=1,"Duplicate Rider ID; ",""))</f>
        <v/>
      </c>
      <c r="Q469" s="119" t="str">
        <f aca="false">IF(P469="","",COUNTIF(P$6:P469,"?*"))</f>
        <v/>
      </c>
    </row>
    <row r="470" customFormat="false" ht="15" hidden="false" customHeight="false" outlineLevel="0" collapsed="false">
      <c r="I470" s="119" t="n">
        <v>465</v>
      </c>
      <c r="J470" s="119" t="str">
        <f aca="false">IFERROR(IF(INDEX(Rider_Input[Rider ID],I470)="","",INDEX(Rider_Input[Rider ID],I470)),"")</f>
        <v/>
      </c>
      <c r="K470" s="119" t="str">
        <f aca="false">IF(J470="","",IFERROR(MATCH(J470,INDEX(RLVL_Data,0,c_RLVL_ID),0),""))</f>
        <v/>
      </c>
      <c r="L470" s="119" t="str">
        <f aca="false">IF(J470="","",IF(ISNUMBER(MATCH(J470,Rider_Master[Rider ID],0)),1,0))</f>
        <v/>
      </c>
      <c r="M470" s="119" t="str">
        <f aca="false">IF(J470="","",INDEX(Rider_Input[Completed Orders],I470))</f>
        <v/>
      </c>
      <c r="N470" s="119" t="str">
        <f aca="false">IF(OR(J470="",K470=""),"",IFERROR(INDEX(RLVL_Data,K470,c_RLVL_Orders),""))</f>
        <v/>
      </c>
      <c r="O470" s="119" t="str">
        <f aca="false">IF(J470="","",IF(COUNTIF($J$6:$J$505,J470)&gt;1,1,0))</f>
        <v/>
      </c>
      <c r="P470" s="119" t="str">
        <f aca="false">IF(J470="","",IF(K470="","Not found in Paste_RLVL – deductions set to 0; ","")&amp;IF(L470=0,"New rider (not in Rider_Master) – OK, shown as Rider &lt;ID&gt;; ","")&amp;IF(AND(N470&lt;&gt;"",N470&lt;&gt;M470),"Orders differ: FTR "&amp;M470&amp;" vs RLVL "&amp;N470&amp;"; ","")&amp;IF(O470=1,"Duplicate Rider ID; ",""))</f>
        <v/>
      </c>
      <c r="Q470" s="119" t="str">
        <f aca="false">IF(P470="","",COUNTIF(P$6:P470,"?*"))</f>
        <v/>
      </c>
    </row>
    <row r="471" customFormat="false" ht="15" hidden="false" customHeight="false" outlineLevel="0" collapsed="false">
      <c r="I471" s="119" t="n">
        <v>466</v>
      </c>
      <c r="J471" s="119" t="str">
        <f aca="false">IFERROR(IF(INDEX(Rider_Input[Rider ID],I471)="","",INDEX(Rider_Input[Rider ID],I471)),"")</f>
        <v/>
      </c>
      <c r="K471" s="119" t="str">
        <f aca="false">IF(J471="","",IFERROR(MATCH(J471,INDEX(RLVL_Data,0,c_RLVL_ID),0),""))</f>
        <v/>
      </c>
      <c r="L471" s="119" t="str">
        <f aca="false">IF(J471="","",IF(ISNUMBER(MATCH(J471,Rider_Master[Rider ID],0)),1,0))</f>
        <v/>
      </c>
      <c r="M471" s="119" t="str">
        <f aca="false">IF(J471="","",INDEX(Rider_Input[Completed Orders],I471))</f>
        <v/>
      </c>
      <c r="N471" s="119" t="str">
        <f aca="false">IF(OR(J471="",K471=""),"",IFERROR(INDEX(RLVL_Data,K471,c_RLVL_Orders),""))</f>
        <v/>
      </c>
      <c r="O471" s="119" t="str">
        <f aca="false">IF(J471="","",IF(COUNTIF($J$6:$J$505,J471)&gt;1,1,0))</f>
        <v/>
      </c>
      <c r="P471" s="119" t="str">
        <f aca="false">IF(J471="","",IF(K471="","Not found in Paste_RLVL – deductions set to 0; ","")&amp;IF(L471=0,"New rider (not in Rider_Master) – OK, shown as Rider &lt;ID&gt;; ","")&amp;IF(AND(N471&lt;&gt;"",N471&lt;&gt;M471),"Orders differ: FTR "&amp;M471&amp;" vs RLVL "&amp;N471&amp;"; ","")&amp;IF(O471=1,"Duplicate Rider ID; ",""))</f>
        <v/>
      </c>
      <c r="Q471" s="119" t="str">
        <f aca="false">IF(P471="","",COUNTIF(P$6:P471,"?*"))</f>
        <v/>
      </c>
    </row>
    <row r="472" customFormat="false" ht="15" hidden="false" customHeight="false" outlineLevel="0" collapsed="false">
      <c r="I472" s="119" t="n">
        <v>467</v>
      </c>
      <c r="J472" s="119" t="str">
        <f aca="false">IFERROR(IF(INDEX(Rider_Input[Rider ID],I472)="","",INDEX(Rider_Input[Rider ID],I472)),"")</f>
        <v/>
      </c>
      <c r="K472" s="119" t="str">
        <f aca="false">IF(J472="","",IFERROR(MATCH(J472,INDEX(RLVL_Data,0,c_RLVL_ID),0),""))</f>
        <v/>
      </c>
      <c r="L472" s="119" t="str">
        <f aca="false">IF(J472="","",IF(ISNUMBER(MATCH(J472,Rider_Master[Rider ID],0)),1,0))</f>
        <v/>
      </c>
      <c r="M472" s="119" t="str">
        <f aca="false">IF(J472="","",INDEX(Rider_Input[Completed Orders],I472))</f>
        <v/>
      </c>
      <c r="N472" s="119" t="str">
        <f aca="false">IF(OR(J472="",K472=""),"",IFERROR(INDEX(RLVL_Data,K472,c_RLVL_Orders),""))</f>
        <v/>
      </c>
      <c r="O472" s="119" t="str">
        <f aca="false">IF(J472="","",IF(COUNTIF($J$6:$J$505,J472)&gt;1,1,0))</f>
        <v/>
      </c>
      <c r="P472" s="119" t="str">
        <f aca="false">IF(J472="","",IF(K472="","Not found in Paste_RLVL – deductions set to 0; ","")&amp;IF(L472=0,"New rider (not in Rider_Master) – OK, shown as Rider &lt;ID&gt;; ","")&amp;IF(AND(N472&lt;&gt;"",N472&lt;&gt;M472),"Orders differ: FTR "&amp;M472&amp;" vs RLVL "&amp;N472&amp;"; ","")&amp;IF(O472=1,"Duplicate Rider ID; ",""))</f>
        <v/>
      </c>
      <c r="Q472" s="119" t="str">
        <f aca="false">IF(P472="","",COUNTIF(P$6:P472,"?*"))</f>
        <v/>
      </c>
    </row>
    <row r="473" customFormat="false" ht="15" hidden="false" customHeight="false" outlineLevel="0" collapsed="false">
      <c r="I473" s="119" t="n">
        <v>468</v>
      </c>
      <c r="J473" s="119" t="str">
        <f aca="false">IFERROR(IF(INDEX(Rider_Input[Rider ID],I473)="","",INDEX(Rider_Input[Rider ID],I473)),"")</f>
        <v/>
      </c>
      <c r="K473" s="119" t="str">
        <f aca="false">IF(J473="","",IFERROR(MATCH(J473,INDEX(RLVL_Data,0,c_RLVL_ID),0),""))</f>
        <v/>
      </c>
      <c r="L473" s="119" t="str">
        <f aca="false">IF(J473="","",IF(ISNUMBER(MATCH(J473,Rider_Master[Rider ID],0)),1,0))</f>
        <v/>
      </c>
      <c r="M473" s="119" t="str">
        <f aca="false">IF(J473="","",INDEX(Rider_Input[Completed Orders],I473))</f>
        <v/>
      </c>
      <c r="N473" s="119" t="str">
        <f aca="false">IF(OR(J473="",K473=""),"",IFERROR(INDEX(RLVL_Data,K473,c_RLVL_Orders),""))</f>
        <v/>
      </c>
      <c r="O473" s="119" t="str">
        <f aca="false">IF(J473="","",IF(COUNTIF($J$6:$J$505,J473)&gt;1,1,0))</f>
        <v/>
      </c>
      <c r="P473" s="119" t="str">
        <f aca="false">IF(J473="","",IF(K473="","Not found in Paste_RLVL – deductions set to 0; ","")&amp;IF(L473=0,"New rider (not in Rider_Master) – OK, shown as Rider &lt;ID&gt;; ","")&amp;IF(AND(N473&lt;&gt;"",N473&lt;&gt;M473),"Orders differ: FTR "&amp;M473&amp;" vs RLVL "&amp;N473&amp;"; ","")&amp;IF(O473=1,"Duplicate Rider ID; ",""))</f>
        <v/>
      </c>
      <c r="Q473" s="119" t="str">
        <f aca="false">IF(P473="","",COUNTIF(P$6:P473,"?*"))</f>
        <v/>
      </c>
    </row>
    <row r="474" customFormat="false" ht="15" hidden="false" customHeight="false" outlineLevel="0" collapsed="false">
      <c r="I474" s="119" t="n">
        <v>469</v>
      </c>
      <c r="J474" s="119" t="str">
        <f aca="false">IFERROR(IF(INDEX(Rider_Input[Rider ID],I474)="","",INDEX(Rider_Input[Rider ID],I474)),"")</f>
        <v/>
      </c>
      <c r="K474" s="119" t="str">
        <f aca="false">IF(J474="","",IFERROR(MATCH(J474,INDEX(RLVL_Data,0,c_RLVL_ID),0),""))</f>
        <v/>
      </c>
      <c r="L474" s="119" t="str">
        <f aca="false">IF(J474="","",IF(ISNUMBER(MATCH(J474,Rider_Master[Rider ID],0)),1,0))</f>
        <v/>
      </c>
      <c r="M474" s="119" t="str">
        <f aca="false">IF(J474="","",INDEX(Rider_Input[Completed Orders],I474))</f>
        <v/>
      </c>
      <c r="N474" s="119" t="str">
        <f aca="false">IF(OR(J474="",K474=""),"",IFERROR(INDEX(RLVL_Data,K474,c_RLVL_Orders),""))</f>
        <v/>
      </c>
      <c r="O474" s="119" t="str">
        <f aca="false">IF(J474="","",IF(COUNTIF($J$6:$J$505,J474)&gt;1,1,0))</f>
        <v/>
      </c>
      <c r="P474" s="119" t="str">
        <f aca="false">IF(J474="","",IF(K474="","Not found in Paste_RLVL – deductions set to 0; ","")&amp;IF(L474=0,"New rider (not in Rider_Master) – OK, shown as Rider &lt;ID&gt;; ","")&amp;IF(AND(N474&lt;&gt;"",N474&lt;&gt;M474),"Orders differ: FTR "&amp;M474&amp;" vs RLVL "&amp;N474&amp;"; ","")&amp;IF(O474=1,"Duplicate Rider ID; ",""))</f>
        <v/>
      </c>
      <c r="Q474" s="119" t="str">
        <f aca="false">IF(P474="","",COUNTIF(P$6:P474,"?*"))</f>
        <v/>
      </c>
    </row>
    <row r="475" customFormat="false" ht="15" hidden="false" customHeight="false" outlineLevel="0" collapsed="false">
      <c r="I475" s="119" t="n">
        <v>470</v>
      </c>
      <c r="J475" s="119" t="str">
        <f aca="false">IFERROR(IF(INDEX(Rider_Input[Rider ID],I475)="","",INDEX(Rider_Input[Rider ID],I475)),"")</f>
        <v/>
      </c>
      <c r="K475" s="119" t="str">
        <f aca="false">IF(J475="","",IFERROR(MATCH(J475,INDEX(RLVL_Data,0,c_RLVL_ID),0),""))</f>
        <v/>
      </c>
      <c r="L475" s="119" t="str">
        <f aca="false">IF(J475="","",IF(ISNUMBER(MATCH(J475,Rider_Master[Rider ID],0)),1,0))</f>
        <v/>
      </c>
      <c r="M475" s="119" t="str">
        <f aca="false">IF(J475="","",INDEX(Rider_Input[Completed Orders],I475))</f>
        <v/>
      </c>
      <c r="N475" s="119" t="str">
        <f aca="false">IF(OR(J475="",K475=""),"",IFERROR(INDEX(RLVL_Data,K475,c_RLVL_Orders),""))</f>
        <v/>
      </c>
      <c r="O475" s="119" t="str">
        <f aca="false">IF(J475="","",IF(COUNTIF($J$6:$J$505,J475)&gt;1,1,0))</f>
        <v/>
      </c>
      <c r="P475" s="119" t="str">
        <f aca="false">IF(J475="","",IF(K475="","Not found in Paste_RLVL – deductions set to 0; ","")&amp;IF(L475=0,"New rider (not in Rider_Master) – OK, shown as Rider &lt;ID&gt;; ","")&amp;IF(AND(N475&lt;&gt;"",N475&lt;&gt;M475),"Orders differ: FTR "&amp;M475&amp;" vs RLVL "&amp;N475&amp;"; ","")&amp;IF(O475=1,"Duplicate Rider ID; ",""))</f>
        <v/>
      </c>
      <c r="Q475" s="119" t="str">
        <f aca="false">IF(P475="","",COUNTIF(P$6:P475,"?*"))</f>
        <v/>
      </c>
    </row>
    <row r="476" customFormat="false" ht="15" hidden="false" customHeight="false" outlineLevel="0" collapsed="false">
      <c r="I476" s="119" t="n">
        <v>471</v>
      </c>
      <c r="J476" s="119" t="str">
        <f aca="false">IFERROR(IF(INDEX(Rider_Input[Rider ID],I476)="","",INDEX(Rider_Input[Rider ID],I476)),"")</f>
        <v/>
      </c>
      <c r="K476" s="119" t="str">
        <f aca="false">IF(J476="","",IFERROR(MATCH(J476,INDEX(RLVL_Data,0,c_RLVL_ID),0),""))</f>
        <v/>
      </c>
      <c r="L476" s="119" t="str">
        <f aca="false">IF(J476="","",IF(ISNUMBER(MATCH(J476,Rider_Master[Rider ID],0)),1,0))</f>
        <v/>
      </c>
      <c r="M476" s="119" t="str">
        <f aca="false">IF(J476="","",INDEX(Rider_Input[Completed Orders],I476))</f>
        <v/>
      </c>
      <c r="N476" s="119" t="str">
        <f aca="false">IF(OR(J476="",K476=""),"",IFERROR(INDEX(RLVL_Data,K476,c_RLVL_Orders),""))</f>
        <v/>
      </c>
      <c r="O476" s="119" t="str">
        <f aca="false">IF(J476="","",IF(COUNTIF($J$6:$J$505,J476)&gt;1,1,0))</f>
        <v/>
      </c>
      <c r="P476" s="119" t="str">
        <f aca="false">IF(J476="","",IF(K476="","Not found in Paste_RLVL – deductions set to 0; ","")&amp;IF(L476=0,"New rider (not in Rider_Master) – OK, shown as Rider &lt;ID&gt;; ","")&amp;IF(AND(N476&lt;&gt;"",N476&lt;&gt;M476),"Orders differ: FTR "&amp;M476&amp;" vs RLVL "&amp;N476&amp;"; ","")&amp;IF(O476=1,"Duplicate Rider ID; ",""))</f>
        <v/>
      </c>
      <c r="Q476" s="119" t="str">
        <f aca="false">IF(P476="","",COUNTIF(P$6:P476,"?*"))</f>
        <v/>
      </c>
    </row>
    <row r="477" customFormat="false" ht="15" hidden="false" customHeight="false" outlineLevel="0" collapsed="false">
      <c r="I477" s="119" t="n">
        <v>472</v>
      </c>
      <c r="J477" s="119" t="str">
        <f aca="false">IFERROR(IF(INDEX(Rider_Input[Rider ID],I477)="","",INDEX(Rider_Input[Rider ID],I477)),"")</f>
        <v/>
      </c>
      <c r="K477" s="119" t="str">
        <f aca="false">IF(J477="","",IFERROR(MATCH(J477,INDEX(RLVL_Data,0,c_RLVL_ID),0),""))</f>
        <v/>
      </c>
      <c r="L477" s="119" t="str">
        <f aca="false">IF(J477="","",IF(ISNUMBER(MATCH(J477,Rider_Master[Rider ID],0)),1,0))</f>
        <v/>
      </c>
      <c r="M477" s="119" t="str">
        <f aca="false">IF(J477="","",INDEX(Rider_Input[Completed Orders],I477))</f>
        <v/>
      </c>
      <c r="N477" s="119" t="str">
        <f aca="false">IF(OR(J477="",K477=""),"",IFERROR(INDEX(RLVL_Data,K477,c_RLVL_Orders),""))</f>
        <v/>
      </c>
      <c r="O477" s="119" t="str">
        <f aca="false">IF(J477="","",IF(COUNTIF($J$6:$J$505,J477)&gt;1,1,0))</f>
        <v/>
      </c>
      <c r="P477" s="119" t="str">
        <f aca="false">IF(J477="","",IF(K477="","Not found in Paste_RLVL – deductions set to 0; ","")&amp;IF(L477=0,"New rider (not in Rider_Master) – OK, shown as Rider &lt;ID&gt;; ","")&amp;IF(AND(N477&lt;&gt;"",N477&lt;&gt;M477),"Orders differ: FTR "&amp;M477&amp;" vs RLVL "&amp;N477&amp;"; ","")&amp;IF(O477=1,"Duplicate Rider ID; ",""))</f>
        <v/>
      </c>
      <c r="Q477" s="119" t="str">
        <f aca="false">IF(P477="","",COUNTIF(P$6:P477,"?*"))</f>
        <v/>
      </c>
    </row>
    <row r="478" customFormat="false" ht="15" hidden="false" customHeight="false" outlineLevel="0" collapsed="false">
      <c r="I478" s="119" t="n">
        <v>473</v>
      </c>
      <c r="J478" s="119" t="str">
        <f aca="false">IFERROR(IF(INDEX(Rider_Input[Rider ID],I478)="","",INDEX(Rider_Input[Rider ID],I478)),"")</f>
        <v/>
      </c>
      <c r="K478" s="119" t="str">
        <f aca="false">IF(J478="","",IFERROR(MATCH(J478,INDEX(RLVL_Data,0,c_RLVL_ID),0),""))</f>
        <v/>
      </c>
      <c r="L478" s="119" t="str">
        <f aca="false">IF(J478="","",IF(ISNUMBER(MATCH(J478,Rider_Master[Rider ID],0)),1,0))</f>
        <v/>
      </c>
      <c r="M478" s="119" t="str">
        <f aca="false">IF(J478="","",INDEX(Rider_Input[Completed Orders],I478))</f>
        <v/>
      </c>
      <c r="N478" s="119" t="str">
        <f aca="false">IF(OR(J478="",K478=""),"",IFERROR(INDEX(RLVL_Data,K478,c_RLVL_Orders),""))</f>
        <v/>
      </c>
      <c r="O478" s="119" t="str">
        <f aca="false">IF(J478="","",IF(COUNTIF($J$6:$J$505,J478)&gt;1,1,0))</f>
        <v/>
      </c>
      <c r="P478" s="119" t="str">
        <f aca="false">IF(J478="","",IF(K478="","Not found in Paste_RLVL – deductions set to 0; ","")&amp;IF(L478=0,"New rider (not in Rider_Master) – OK, shown as Rider &lt;ID&gt;; ","")&amp;IF(AND(N478&lt;&gt;"",N478&lt;&gt;M478),"Orders differ: FTR "&amp;M478&amp;" vs RLVL "&amp;N478&amp;"; ","")&amp;IF(O478=1,"Duplicate Rider ID; ",""))</f>
        <v/>
      </c>
      <c r="Q478" s="119" t="str">
        <f aca="false">IF(P478="","",COUNTIF(P$6:P478,"?*"))</f>
        <v/>
      </c>
    </row>
    <row r="479" customFormat="false" ht="15" hidden="false" customHeight="false" outlineLevel="0" collapsed="false">
      <c r="I479" s="119" t="n">
        <v>474</v>
      </c>
      <c r="J479" s="119" t="str">
        <f aca="false">IFERROR(IF(INDEX(Rider_Input[Rider ID],I479)="","",INDEX(Rider_Input[Rider ID],I479)),"")</f>
        <v/>
      </c>
      <c r="K479" s="119" t="str">
        <f aca="false">IF(J479="","",IFERROR(MATCH(J479,INDEX(RLVL_Data,0,c_RLVL_ID),0),""))</f>
        <v/>
      </c>
      <c r="L479" s="119" t="str">
        <f aca="false">IF(J479="","",IF(ISNUMBER(MATCH(J479,Rider_Master[Rider ID],0)),1,0))</f>
        <v/>
      </c>
      <c r="M479" s="119" t="str">
        <f aca="false">IF(J479="","",INDEX(Rider_Input[Completed Orders],I479))</f>
        <v/>
      </c>
      <c r="N479" s="119" t="str">
        <f aca="false">IF(OR(J479="",K479=""),"",IFERROR(INDEX(RLVL_Data,K479,c_RLVL_Orders),""))</f>
        <v/>
      </c>
      <c r="O479" s="119" t="str">
        <f aca="false">IF(J479="","",IF(COUNTIF($J$6:$J$505,J479)&gt;1,1,0))</f>
        <v/>
      </c>
      <c r="P479" s="119" t="str">
        <f aca="false">IF(J479="","",IF(K479="","Not found in Paste_RLVL – deductions set to 0; ","")&amp;IF(L479=0,"New rider (not in Rider_Master) – OK, shown as Rider &lt;ID&gt;; ","")&amp;IF(AND(N479&lt;&gt;"",N479&lt;&gt;M479),"Orders differ: FTR "&amp;M479&amp;" vs RLVL "&amp;N479&amp;"; ","")&amp;IF(O479=1,"Duplicate Rider ID; ",""))</f>
        <v/>
      </c>
      <c r="Q479" s="119" t="str">
        <f aca="false">IF(P479="","",COUNTIF(P$6:P479,"?*"))</f>
        <v/>
      </c>
    </row>
    <row r="480" customFormat="false" ht="15" hidden="false" customHeight="false" outlineLevel="0" collapsed="false">
      <c r="I480" s="119" t="n">
        <v>475</v>
      </c>
      <c r="J480" s="119" t="str">
        <f aca="false">IFERROR(IF(INDEX(Rider_Input[Rider ID],I480)="","",INDEX(Rider_Input[Rider ID],I480)),"")</f>
        <v/>
      </c>
      <c r="K480" s="119" t="str">
        <f aca="false">IF(J480="","",IFERROR(MATCH(J480,INDEX(RLVL_Data,0,c_RLVL_ID),0),""))</f>
        <v/>
      </c>
      <c r="L480" s="119" t="str">
        <f aca="false">IF(J480="","",IF(ISNUMBER(MATCH(J480,Rider_Master[Rider ID],0)),1,0))</f>
        <v/>
      </c>
      <c r="M480" s="119" t="str">
        <f aca="false">IF(J480="","",INDEX(Rider_Input[Completed Orders],I480))</f>
        <v/>
      </c>
      <c r="N480" s="119" t="str">
        <f aca="false">IF(OR(J480="",K480=""),"",IFERROR(INDEX(RLVL_Data,K480,c_RLVL_Orders),""))</f>
        <v/>
      </c>
      <c r="O480" s="119" t="str">
        <f aca="false">IF(J480="","",IF(COUNTIF($J$6:$J$505,J480)&gt;1,1,0))</f>
        <v/>
      </c>
      <c r="P480" s="119" t="str">
        <f aca="false">IF(J480="","",IF(K480="","Not found in Paste_RLVL – deductions set to 0; ","")&amp;IF(L480=0,"New rider (not in Rider_Master) – OK, shown as Rider &lt;ID&gt;; ","")&amp;IF(AND(N480&lt;&gt;"",N480&lt;&gt;M480),"Orders differ: FTR "&amp;M480&amp;" vs RLVL "&amp;N480&amp;"; ","")&amp;IF(O480=1,"Duplicate Rider ID; ",""))</f>
        <v/>
      </c>
      <c r="Q480" s="119" t="str">
        <f aca="false">IF(P480="","",COUNTIF(P$6:P480,"?*"))</f>
        <v/>
      </c>
    </row>
    <row r="481" customFormat="false" ht="15" hidden="false" customHeight="false" outlineLevel="0" collapsed="false">
      <c r="I481" s="119" t="n">
        <v>476</v>
      </c>
      <c r="J481" s="119" t="str">
        <f aca="false">IFERROR(IF(INDEX(Rider_Input[Rider ID],I481)="","",INDEX(Rider_Input[Rider ID],I481)),"")</f>
        <v/>
      </c>
      <c r="K481" s="119" t="str">
        <f aca="false">IF(J481="","",IFERROR(MATCH(J481,INDEX(RLVL_Data,0,c_RLVL_ID),0),""))</f>
        <v/>
      </c>
      <c r="L481" s="119" t="str">
        <f aca="false">IF(J481="","",IF(ISNUMBER(MATCH(J481,Rider_Master[Rider ID],0)),1,0))</f>
        <v/>
      </c>
      <c r="M481" s="119" t="str">
        <f aca="false">IF(J481="","",INDEX(Rider_Input[Completed Orders],I481))</f>
        <v/>
      </c>
      <c r="N481" s="119" t="str">
        <f aca="false">IF(OR(J481="",K481=""),"",IFERROR(INDEX(RLVL_Data,K481,c_RLVL_Orders),""))</f>
        <v/>
      </c>
      <c r="O481" s="119" t="str">
        <f aca="false">IF(J481="","",IF(COUNTIF($J$6:$J$505,J481)&gt;1,1,0))</f>
        <v/>
      </c>
      <c r="P481" s="119" t="str">
        <f aca="false">IF(J481="","",IF(K481="","Not found in Paste_RLVL – deductions set to 0; ","")&amp;IF(L481=0,"New rider (not in Rider_Master) – OK, shown as Rider &lt;ID&gt;; ","")&amp;IF(AND(N481&lt;&gt;"",N481&lt;&gt;M481),"Orders differ: FTR "&amp;M481&amp;" vs RLVL "&amp;N481&amp;"; ","")&amp;IF(O481=1,"Duplicate Rider ID; ",""))</f>
        <v/>
      </c>
      <c r="Q481" s="119" t="str">
        <f aca="false">IF(P481="","",COUNTIF(P$6:P481,"?*"))</f>
        <v/>
      </c>
    </row>
    <row r="482" customFormat="false" ht="15" hidden="false" customHeight="false" outlineLevel="0" collapsed="false">
      <c r="I482" s="119" t="n">
        <v>477</v>
      </c>
      <c r="J482" s="119" t="str">
        <f aca="false">IFERROR(IF(INDEX(Rider_Input[Rider ID],I482)="","",INDEX(Rider_Input[Rider ID],I482)),"")</f>
        <v/>
      </c>
      <c r="K482" s="119" t="str">
        <f aca="false">IF(J482="","",IFERROR(MATCH(J482,INDEX(RLVL_Data,0,c_RLVL_ID),0),""))</f>
        <v/>
      </c>
      <c r="L482" s="119" t="str">
        <f aca="false">IF(J482="","",IF(ISNUMBER(MATCH(J482,Rider_Master[Rider ID],0)),1,0))</f>
        <v/>
      </c>
      <c r="M482" s="119" t="str">
        <f aca="false">IF(J482="","",INDEX(Rider_Input[Completed Orders],I482))</f>
        <v/>
      </c>
      <c r="N482" s="119" t="str">
        <f aca="false">IF(OR(J482="",K482=""),"",IFERROR(INDEX(RLVL_Data,K482,c_RLVL_Orders),""))</f>
        <v/>
      </c>
      <c r="O482" s="119" t="str">
        <f aca="false">IF(J482="","",IF(COUNTIF($J$6:$J$505,J482)&gt;1,1,0))</f>
        <v/>
      </c>
      <c r="P482" s="119" t="str">
        <f aca="false">IF(J482="","",IF(K482="","Not found in Paste_RLVL – deductions set to 0; ","")&amp;IF(L482=0,"New rider (not in Rider_Master) – OK, shown as Rider &lt;ID&gt;; ","")&amp;IF(AND(N482&lt;&gt;"",N482&lt;&gt;M482),"Orders differ: FTR "&amp;M482&amp;" vs RLVL "&amp;N482&amp;"; ","")&amp;IF(O482=1,"Duplicate Rider ID; ",""))</f>
        <v/>
      </c>
      <c r="Q482" s="119" t="str">
        <f aca="false">IF(P482="","",COUNTIF(P$6:P482,"?*"))</f>
        <v/>
      </c>
    </row>
    <row r="483" customFormat="false" ht="15" hidden="false" customHeight="false" outlineLevel="0" collapsed="false">
      <c r="I483" s="119" t="n">
        <v>478</v>
      </c>
      <c r="J483" s="119" t="str">
        <f aca="false">IFERROR(IF(INDEX(Rider_Input[Rider ID],I483)="","",INDEX(Rider_Input[Rider ID],I483)),"")</f>
        <v/>
      </c>
      <c r="K483" s="119" t="str">
        <f aca="false">IF(J483="","",IFERROR(MATCH(J483,INDEX(RLVL_Data,0,c_RLVL_ID),0),""))</f>
        <v/>
      </c>
      <c r="L483" s="119" t="str">
        <f aca="false">IF(J483="","",IF(ISNUMBER(MATCH(J483,Rider_Master[Rider ID],0)),1,0))</f>
        <v/>
      </c>
      <c r="M483" s="119" t="str">
        <f aca="false">IF(J483="","",INDEX(Rider_Input[Completed Orders],I483))</f>
        <v/>
      </c>
      <c r="N483" s="119" t="str">
        <f aca="false">IF(OR(J483="",K483=""),"",IFERROR(INDEX(RLVL_Data,K483,c_RLVL_Orders),""))</f>
        <v/>
      </c>
      <c r="O483" s="119" t="str">
        <f aca="false">IF(J483="","",IF(COUNTIF($J$6:$J$505,J483)&gt;1,1,0))</f>
        <v/>
      </c>
      <c r="P483" s="119" t="str">
        <f aca="false">IF(J483="","",IF(K483="","Not found in Paste_RLVL – deductions set to 0; ","")&amp;IF(L483=0,"New rider (not in Rider_Master) – OK, shown as Rider &lt;ID&gt;; ","")&amp;IF(AND(N483&lt;&gt;"",N483&lt;&gt;M483),"Orders differ: FTR "&amp;M483&amp;" vs RLVL "&amp;N483&amp;"; ","")&amp;IF(O483=1,"Duplicate Rider ID; ",""))</f>
        <v/>
      </c>
      <c r="Q483" s="119" t="str">
        <f aca="false">IF(P483="","",COUNTIF(P$6:P483,"?*"))</f>
        <v/>
      </c>
    </row>
    <row r="484" customFormat="false" ht="15" hidden="false" customHeight="false" outlineLevel="0" collapsed="false">
      <c r="I484" s="119" t="n">
        <v>479</v>
      </c>
      <c r="J484" s="119" t="str">
        <f aca="false">IFERROR(IF(INDEX(Rider_Input[Rider ID],I484)="","",INDEX(Rider_Input[Rider ID],I484)),"")</f>
        <v/>
      </c>
      <c r="K484" s="119" t="str">
        <f aca="false">IF(J484="","",IFERROR(MATCH(J484,INDEX(RLVL_Data,0,c_RLVL_ID),0),""))</f>
        <v/>
      </c>
      <c r="L484" s="119" t="str">
        <f aca="false">IF(J484="","",IF(ISNUMBER(MATCH(J484,Rider_Master[Rider ID],0)),1,0))</f>
        <v/>
      </c>
      <c r="M484" s="119" t="str">
        <f aca="false">IF(J484="","",INDEX(Rider_Input[Completed Orders],I484))</f>
        <v/>
      </c>
      <c r="N484" s="119" t="str">
        <f aca="false">IF(OR(J484="",K484=""),"",IFERROR(INDEX(RLVL_Data,K484,c_RLVL_Orders),""))</f>
        <v/>
      </c>
      <c r="O484" s="119" t="str">
        <f aca="false">IF(J484="","",IF(COUNTIF($J$6:$J$505,J484)&gt;1,1,0))</f>
        <v/>
      </c>
      <c r="P484" s="119" t="str">
        <f aca="false">IF(J484="","",IF(K484="","Not found in Paste_RLVL – deductions set to 0; ","")&amp;IF(L484=0,"New rider (not in Rider_Master) – OK, shown as Rider &lt;ID&gt;; ","")&amp;IF(AND(N484&lt;&gt;"",N484&lt;&gt;M484),"Orders differ: FTR "&amp;M484&amp;" vs RLVL "&amp;N484&amp;"; ","")&amp;IF(O484=1,"Duplicate Rider ID; ",""))</f>
        <v/>
      </c>
      <c r="Q484" s="119" t="str">
        <f aca="false">IF(P484="","",COUNTIF(P$6:P484,"?*"))</f>
        <v/>
      </c>
    </row>
    <row r="485" customFormat="false" ht="15" hidden="false" customHeight="false" outlineLevel="0" collapsed="false">
      <c r="I485" s="119" t="n">
        <v>480</v>
      </c>
      <c r="J485" s="119" t="str">
        <f aca="false">IFERROR(IF(INDEX(Rider_Input[Rider ID],I485)="","",INDEX(Rider_Input[Rider ID],I485)),"")</f>
        <v/>
      </c>
      <c r="K485" s="119" t="str">
        <f aca="false">IF(J485="","",IFERROR(MATCH(J485,INDEX(RLVL_Data,0,c_RLVL_ID),0),""))</f>
        <v/>
      </c>
      <c r="L485" s="119" t="str">
        <f aca="false">IF(J485="","",IF(ISNUMBER(MATCH(J485,Rider_Master[Rider ID],0)),1,0))</f>
        <v/>
      </c>
      <c r="M485" s="119" t="str">
        <f aca="false">IF(J485="","",INDEX(Rider_Input[Completed Orders],I485))</f>
        <v/>
      </c>
      <c r="N485" s="119" t="str">
        <f aca="false">IF(OR(J485="",K485=""),"",IFERROR(INDEX(RLVL_Data,K485,c_RLVL_Orders),""))</f>
        <v/>
      </c>
      <c r="O485" s="119" t="str">
        <f aca="false">IF(J485="","",IF(COUNTIF($J$6:$J$505,J485)&gt;1,1,0))</f>
        <v/>
      </c>
      <c r="P485" s="119" t="str">
        <f aca="false">IF(J485="","",IF(K485="","Not found in Paste_RLVL – deductions set to 0; ","")&amp;IF(L485=0,"New rider (not in Rider_Master) – OK, shown as Rider &lt;ID&gt;; ","")&amp;IF(AND(N485&lt;&gt;"",N485&lt;&gt;M485),"Orders differ: FTR "&amp;M485&amp;" vs RLVL "&amp;N485&amp;"; ","")&amp;IF(O485=1,"Duplicate Rider ID; ",""))</f>
        <v/>
      </c>
      <c r="Q485" s="119" t="str">
        <f aca="false">IF(P485="","",COUNTIF(P$6:P485,"?*"))</f>
        <v/>
      </c>
    </row>
    <row r="486" customFormat="false" ht="15" hidden="false" customHeight="false" outlineLevel="0" collapsed="false">
      <c r="I486" s="119" t="n">
        <v>481</v>
      </c>
      <c r="J486" s="119" t="str">
        <f aca="false">IFERROR(IF(INDEX(Rider_Input[Rider ID],I486)="","",INDEX(Rider_Input[Rider ID],I486)),"")</f>
        <v/>
      </c>
      <c r="K486" s="119" t="str">
        <f aca="false">IF(J486="","",IFERROR(MATCH(J486,INDEX(RLVL_Data,0,c_RLVL_ID),0),""))</f>
        <v/>
      </c>
      <c r="L486" s="119" t="str">
        <f aca="false">IF(J486="","",IF(ISNUMBER(MATCH(J486,Rider_Master[Rider ID],0)),1,0))</f>
        <v/>
      </c>
      <c r="M486" s="119" t="str">
        <f aca="false">IF(J486="","",INDEX(Rider_Input[Completed Orders],I486))</f>
        <v/>
      </c>
      <c r="N486" s="119" t="str">
        <f aca="false">IF(OR(J486="",K486=""),"",IFERROR(INDEX(RLVL_Data,K486,c_RLVL_Orders),""))</f>
        <v/>
      </c>
      <c r="O486" s="119" t="str">
        <f aca="false">IF(J486="","",IF(COUNTIF($J$6:$J$505,J486)&gt;1,1,0))</f>
        <v/>
      </c>
      <c r="P486" s="119" t="str">
        <f aca="false">IF(J486="","",IF(K486="","Not found in Paste_RLVL – deductions set to 0; ","")&amp;IF(L486=0,"New rider (not in Rider_Master) – OK, shown as Rider &lt;ID&gt;; ","")&amp;IF(AND(N486&lt;&gt;"",N486&lt;&gt;M486),"Orders differ: FTR "&amp;M486&amp;" vs RLVL "&amp;N486&amp;"; ","")&amp;IF(O486=1,"Duplicate Rider ID; ",""))</f>
        <v/>
      </c>
      <c r="Q486" s="119" t="str">
        <f aca="false">IF(P486="","",COUNTIF(P$6:P486,"?*"))</f>
        <v/>
      </c>
    </row>
    <row r="487" customFormat="false" ht="15" hidden="false" customHeight="false" outlineLevel="0" collapsed="false">
      <c r="I487" s="119" t="n">
        <v>482</v>
      </c>
      <c r="J487" s="119" t="str">
        <f aca="false">IFERROR(IF(INDEX(Rider_Input[Rider ID],I487)="","",INDEX(Rider_Input[Rider ID],I487)),"")</f>
        <v/>
      </c>
      <c r="K487" s="119" t="str">
        <f aca="false">IF(J487="","",IFERROR(MATCH(J487,INDEX(RLVL_Data,0,c_RLVL_ID),0),""))</f>
        <v/>
      </c>
      <c r="L487" s="119" t="str">
        <f aca="false">IF(J487="","",IF(ISNUMBER(MATCH(J487,Rider_Master[Rider ID],0)),1,0))</f>
        <v/>
      </c>
      <c r="M487" s="119" t="str">
        <f aca="false">IF(J487="","",INDEX(Rider_Input[Completed Orders],I487))</f>
        <v/>
      </c>
      <c r="N487" s="119" t="str">
        <f aca="false">IF(OR(J487="",K487=""),"",IFERROR(INDEX(RLVL_Data,K487,c_RLVL_Orders),""))</f>
        <v/>
      </c>
      <c r="O487" s="119" t="str">
        <f aca="false">IF(J487="","",IF(COUNTIF($J$6:$J$505,J487)&gt;1,1,0))</f>
        <v/>
      </c>
      <c r="P487" s="119" t="str">
        <f aca="false">IF(J487="","",IF(K487="","Not found in Paste_RLVL – deductions set to 0; ","")&amp;IF(L487=0,"New rider (not in Rider_Master) – OK, shown as Rider &lt;ID&gt;; ","")&amp;IF(AND(N487&lt;&gt;"",N487&lt;&gt;M487),"Orders differ: FTR "&amp;M487&amp;" vs RLVL "&amp;N487&amp;"; ","")&amp;IF(O487=1,"Duplicate Rider ID; ",""))</f>
        <v/>
      </c>
      <c r="Q487" s="119" t="str">
        <f aca="false">IF(P487="","",COUNTIF(P$6:P487,"?*"))</f>
        <v/>
      </c>
    </row>
    <row r="488" customFormat="false" ht="15" hidden="false" customHeight="false" outlineLevel="0" collapsed="false">
      <c r="I488" s="119" t="n">
        <v>483</v>
      </c>
      <c r="J488" s="119" t="str">
        <f aca="false">IFERROR(IF(INDEX(Rider_Input[Rider ID],I488)="","",INDEX(Rider_Input[Rider ID],I488)),"")</f>
        <v/>
      </c>
      <c r="K488" s="119" t="str">
        <f aca="false">IF(J488="","",IFERROR(MATCH(J488,INDEX(RLVL_Data,0,c_RLVL_ID),0),""))</f>
        <v/>
      </c>
      <c r="L488" s="119" t="str">
        <f aca="false">IF(J488="","",IF(ISNUMBER(MATCH(J488,Rider_Master[Rider ID],0)),1,0))</f>
        <v/>
      </c>
      <c r="M488" s="119" t="str">
        <f aca="false">IF(J488="","",INDEX(Rider_Input[Completed Orders],I488))</f>
        <v/>
      </c>
      <c r="N488" s="119" t="str">
        <f aca="false">IF(OR(J488="",K488=""),"",IFERROR(INDEX(RLVL_Data,K488,c_RLVL_Orders),""))</f>
        <v/>
      </c>
      <c r="O488" s="119" t="str">
        <f aca="false">IF(J488="","",IF(COUNTIF($J$6:$J$505,J488)&gt;1,1,0))</f>
        <v/>
      </c>
      <c r="P488" s="119" t="str">
        <f aca="false">IF(J488="","",IF(K488="","Not found in Paste_RLVL – deductions set to 0; ","")&amp;IF(L488=0,"New rider (not in Rider_Master) – OK, shown as Rider &lt;ID&gt;; ","")&amp;IF(AND(N488&lt;&gt;"",N488&lt;&gt;M488),"Orders differ: FTR "&amp;M488&amp;" vs RLVL "&amp;N488&amp;"; ","")&amp;IF(O488=1,"Duplicate Rider ID; ",""))</f>
        <v/>
      </c>
      <c r="Q488" s="119" t="str">
        <f aca="false">IF(P488="","",COUNTIF(P$6:P488,"?*"))</f>
        <v/>
      </c>
    </row>
    <row r="489" customFormat="false" ht="15" hidden="false" customHeight="false" outlineLevel="0" collapsed="false">
      <c r="I489" s="119" t="n">
        <v>484</v>
      </c>
      <c r="J489" s="119" t="str">
        <f aca="false">IFERROR(IF(INDEX(Rider_Input[Rider ID],I489)="","",INDEX(Rider_Input[Rider ID],I489)),"")</f>
        <v/>
      </c>
      <c r="K489" s="119" t="str">
        <f aca="false">IF(J489="","",IFERROR(MATCH(J489,INDEX(RLVL_Data,0,c_RLVL_ID),0),""))</f>
        <v/>
      </c>
      <c r="L489" s="119" t="str">
        <f aca="false">IF(J489="","",IF(ISNUMBER(MATCH(J489,Rider_Master[Rider ID],0)),1,0))</f>
        <v/>
      </c>
      <c r="M489" s="119" t="str">
        <f aca="false">IF(J489="","",INDEX(Rider_Input[Completed Orders],I489))</f>
        <v/>
      </c>
      <c r="N489" s="119" t="str">
        <f aca="false">IF(OR(J489="",K489=""),"",IFERROR(INDEX(RLVL_Data,K489,c_RLVL_Orders),""))</f>
        <v/>
      </c>
      <c r="O489" s="119" t="str">
        <f aca="false">IF(J489="","",IF(COUNTIF($J$6:$J$505,J489)&gt;1,1,0))</f>
        <v/>
      </c>
      <c r="P489" s="119" t="str">
        <f aca="false">IF(J489="","",IF(K489="","Not found in Paste_RLVL – deductions set to 0; ","")&amp;IF(L489=0,"New rider (not in Rider_Master) – OK, shown as Rider &lt;ID&gt;; ","")&amp;IF(AND(N489&lt;&gt;"",N489&lt;&gt;M489),"Orders differ: FTR "&amp;M489&amp;" vs RLVL "&amp;N489&amp;"; ","")&amp;IF(O489=1,"Duplicate Rider ID; ",""))</f>
        <v/>
      </c>
      <c r="Q489" s="119" t="str">
        <f aca="false">IF(P489="","",COUNTIF(P$6:P489,"?*"))</f>
        <v/>
      </c>
    </row>
    <row r="490" customFormat="false" ht="15" hidden="false" customHeight="false" outlineLevel="0" collapsed="false">
      <c r="I490" s="119" t="n">
        <v>485</v>
      </c>
      <c r="J490" s="119" t="str">
        <f aca="false">IFERROR(IF(INDEX(Rider_Input[Rider ID],I490)="","",INDEX(Rider_Input[Rider ID],I490)),"")</f>
        <v/>
      </c>
      <c r="K490" s="119" t="str">
        <f aca="false">IF(J490="","",IFERROR(MATCH(J490,INDEX(RLVL_Data,0,c_RLVL_ID),0),""))</f>
        <v/>
      </c>
      <c r="L490" s="119" t="str">
        <f aca="false">IF(J490="","",IF(ISNUMBER(MATCH(J490,Rider_Master[Rider ID],0)),1,0))</f>
        <v/>
      </c>
      <c r="M490" s="119" t="str">
        <f aca="false">IF(J490="","",INDEX(Rider_Input[Completed Orders],I490))</f>
        <v/>
      </c>
      <c r="N490" s="119" t="str">
        <f aca="false">IF(OR(J490="",K490=""),"",IFERROR(INDEX(RLVL_Data,K490,c_RLVL_Orders),""))</f>
        <v/>
      </c>
      <c r="O490" s="119" t="str">
        <f aca="false">IF(J490="","",IF(COUNTIF($J$6:$J$505,J490)&gt;1,1,0))</f>
        <v/>
      </c>
      <c r="P490" s="119" t="str">
        <f aca="false">IF(J490="","",IF(K490="","Not found in Paste_RLVL – deductions set to 0; ","")&amp;IF(L490=0,"New rider (not in Rider_Master) – OK, shown as Rider &lt;ID&gt;; ","")&amp;IF(AND(N490&lt;&gt;"",N490&lt;&gt;M490),"Orders differ: FTR "&amp;M490&amp;" vs RLVL "&amp;N490&amp;"; ","")&amp;IF(O490=1,"Duplicate Rider ID; ",""))</f>
        <v/>
      </c>
      <c r="Q490" s="119" t="str">
        <f aca="false">IF(P490="","",COUNTIF(P$6:P490,"?*"))</f>
        <v/>
      </c>
    </row>
    <row r="491" customFormat="false" ht="15" hidden="false" customHeight="false" outlineLevel="0" collapsed="false">
      <c r="I491" s="119" t="n">
        <v>486</v>
      </c>
      <c r="J491" s="119" t="str">
        <f aca="false">IFERROR(IF(INDEX(Rider_Input[Rider ID],I491)="","",INDEX(Rider_Input[Rider ID],I491)),"")</f>
        <v/>
      </c>
      <c r="K491" s="119" t="str">
        <f aca="false">IF(J491="","",IFERROR(MATCH(J491,INDEX(RLVL_Data,0,c_RLVL_ID),0),""))</f>
        <v/>
      </c>
      <c r="L491" s="119" t="str">
        <f aca="false">IF(J491="","",IF(ISNUMBER(MATCH(J491,Rider_Master[Rider ID],0)),1,0))</f>
        <v/>
      </c>
      <c r="M491" s="119" t="str">
        <f aca="false">IF(J491="","",INDEX(Rider_Input[Completed Orders],I491))</f>
        <v/>
      </c>
      <c r="N491" s="119" t="str">
        <f aca="false">IF(OR(J491="",K491=""),"",IFERROR(INDEX(RLVL_Data,K491,c_RLVL_Orders),""))</f>
        <v/>
      </c>
      <c r="O491" s="119" t="str">
        <f aca="false">IF(J491="","",IF(COUNTIF($J$6:$J$505,J491)&gt;1,1,0))</f>
        <v/>
      </c>
      <c r="P491" s="119" t="str">
        <f aca="false">IF(J491="","",IF(K491="","Not found in Paste_RLVL – deductions set to 0; ","")&amp;IF(L491=0,"New rider (not in Rider_Master) – OK, shown as Rider &lt;ID&gt;; ","")&amp;IF(AND(N491&lt;&gt;"",N491&lt;&gt;M491),"Orders differ: FTR "&amp;M491&amp;" vs RLVL "&amp;N491&amp;"; ","")&amp;IF(O491=1,"Duplicate Rider ID; ",""))</f>
        <v/>
      </c>
      <c r="Q491" s="119" t="str">
        <f aca="false">IF(P491="","",COUNTIF(P$6:P491,"?*"))</f>
        <v/>
      </c>
    </row>
    <row r="492" customFormat="false" ht="15" hidden="false" customHeight="false" outlineLevel="0" collapsed="false">
      <c r="I492" s="119" t="n">
        <v>487</v>
      </c>
      <c r="J492" s="119" t="str">
        <f aca="false">IFERROR(IF(INDEX(Rider_Input[Rider ID],I492)="","",INDEX(Rider_Input[Rider ID],I492)),"")</f>
        <v/>
      </c>
      <c r="K492" s="119" t="str">
        <f aca="false">IF(J492="","",IFERROR(MATCH(J492,INDEX(RLVL_Data,0,c_RLVL_ID),0),""))</f>
        <v/>
      </c>
      <c r="L492" s="119" t="str">
        <f aca="false">IF(J492="","",IF(ISNUMBER(MATCH(J492,Rider_Master[Rider ID],0)),1,0))</f>
        <v/>
      </c>
      <c r="M492" s="119" t="str">
        <f aca="false">IF(J492="","",INDEX(Rider_Input[Completed Orders],I492))</f>
        <v/>
      </c>
      <c r="N492" s="119" t="str">
        <f aca="false">IF(OR(J492="",K492=""),"",IFERROR(INDEX(RLVL_Data,K492,c_RLVL_Orders),""))</f>
        <v/>
      </c>
      <c r="O492" s="119" t="str">
        <f aca="false">IF(J492="","",IF(COUNTIF($J$6:$J$505,J492)&gt;1,1,0))</f>
        <v/>
      </c>
      <c r="P492" s="119" t="str">
        <f aca="false">IF(J492="","",IF(K492="","Not found in Paste_RLVL – deductions set to 0; ","")&amp;IF(L492=0,"New rider (not in Rider_Master) – OK, shown as Rider &lt;ID&gt;; ","")&amp;IF(AND(N492&lt;&gt;"",N492&lt;&gt;M492),"Orders differ: FTR "&amp;M492&amp;" vs RLVL "&amp;N492&amp;"; ","")&amp;IF(O492=1,"Duplicate Rider ID; ",""))</f>
        <v/>
      </c>
      <c r="Q492" s="119" t="str">
        <f aca="false">IF(P492="","",COUNTIF(P$6:P492,"?*"))</f>
        <v/>
      </c>
    </row>
    <row r="493" customFormat="false" ht="15" hidden="false" customHeight="false" outlineLevel="0" collapsed="false">
      <c r="I493" s="119" t="n">
        <v>488</v>
      </c>
      <c r="J493" s="119" t="str">
        <f aca="false">IFERROR(IF(INDEX(Rider_Input[Rider ID],I493)="","",INDEX(Rider_Input[Rider ID],I493)),"")</f>
        <v/>
      </c>
      <c r="K493" s="119" t="str">
        <f aca="false">IF(J493="","",IFERROR(MATCH(J493,INDEX(RLVL_Data,0,c_RLVL_ID),0),""))</f>
        <v/>
      </c>
      <c r="L493" s="119" t="str">
        <f aca="false">IF(J493="","",IF(ISNUMBER(MATCH(J493,Rider_Master[Rider ID],0)),1,0))</f>
        <v/>
      </c>
      <c r="M493" s="119" t="str">
        <f aca="false">IF(J493="","",INDEX(Rider_Input[Completed Orders],I493))</f>
        <v/>
      </c>
      <c r="N493" s="119" t="str">
        <f aca="false">IF(OR(J493="",K493=""),"",IFERROR(INDEX(RLVL_Data,K493,c_RLVL_Orders),""))</f>
        <v/>
      </c>
      <c r="O493" s="119" t="str">
        <f aca="false">IF(J493="","",IF(COUNTIF($J$6:$J$505,J493)&gt;1,1,0))</f>
        <v/>
      </c>
      <c r="P493" s="119" t="str">
        <f aca="false">IF(J493="","",IF(K493="","Not found in Paste_RLVL – deductions set to 0; ","")&amp;IF(L493=0,"New rider (not in Rider_Master) – OK, shown as Rider &lt;ID&gt;; ","")&amp;IF(AND(N493&lt;&gt;"",N493&lt;&gt;M493),"Orders differ: FTR "&amp;M493&amp;" vs RLVL "&amp;N493&amp;"; ","")&amp;IF(O493=1,"Duplicate Rider ID; ",""))</f>
        <v/>
      </c>
      <c r="Q493" s="119" t="str">
        <f aca="false">IF(P493="","",COUNTIF(P$6:P493,"?*"))</f>
        <v/>
      </c>
    </row>
    <row r="494" customFormat="false" ht="15" hidden="false" customHeight="false" outlineLevel="0" collapsed="false">
      <c r="I494" s="119" t="n">
        <v>489</v>
      </c>
      <c r="J494" s="119" t="str">
        <f aca="false">IFERROR(IF(INDEX(Rider_Input[Rider ID],I494)="","",INDEX(Rider_Input[Rider ID],I494)),"")</f>
        <v/>
      </c>
      <c r="K494" s="119" t="str">
        <f aca="false">IF(J494="","",IFERROR(MATCH(J494,INDEX(RLVL_Data,0,c_RLVL_ID),0),""))</f>
        <v/>
      </c>
      <c r="L494" s="119" t="str">
        <f aca="false">IF(J494="","",IF(ISNUMBER(MATCH(J494,Rider_Master[Rider ID],0)),1,0))</f>
        <v/>
      </c>
      <c r="M494" s="119" t="str">
        <f aca="false">IF(J494="","",INDEX(Rider_Input[Completed Orders],I494))</f>
        <v/>
      </c>
      <c r="N494" s="119" t="str">
        <f aca="false">IF(OR(J494="",K494=""),"",IFERROR(INDEX(RLVL_Data,K494,c_RLVL_Orders),""))</f>
        <v/>
      </c>
      <c r="O494" s="119" t="str">
        <f aca="false">IF(J494="","",IF(COUNTIF($J$6:$J$505,J494)&gt;1,1,0))</f>
        <v/>
      </c>
      <c r="P494" s="119" t="str">
        <f aca="false">IF(J494="","",IF(K494="","Not found in Paste_RLVL – deductions set to 0; ","")&amp;IF(L494=0,"New rider (not in Rider_Master) – OK, shown as Rider &lt;ID&gt;; ","")&amp;IF(AND(N494&lt;&gt;"",N494&lt;&gt;M494),"Orders differ: FTR "&amp;M494&amp;" vs RLVL "&amp;N494&amp;"; ","")&amp;IF(O494=1,"Duplicate Rider ID; ",""))</f>
        <v/>
      </c>
      <c r="Q494" s="119" t="str">
        <f aca="false">IF(P494="","",COUNTIF(P$6:P494,"?*"))</f>
        <v/>
      </c>
    </row>
    <row r="495" customFormat="false" ht="15" hidden="false" customHeight="false" outlineLevel="0" collapsed="false">
      <c r="I495" s="119" t="n">
        <v>490</v>
      </c>
      <c r="J495" s="119" t="str">
        <f aca="false">IFERROR(IF(INDEX(Rider_Input[Rider ID],I495)="","",INDEX(Rider_Input[Rider ID],I495)),"")</f>
        <v/>
      </c>
      <c r="K495" s="119" t="str">
        <f aca="false">IF(J495="","",IFERROR(MATCH(J495,INDEX(RLVL_Data,0,c_RLVL_ID),0),""))</f>
        <v/>
      </c>
      <c r="L495" s="119" t="str">
        <f aca="false">IF(J495="","",IF(ISNUMBER(MATCH(J495,Rider_Master[Rider ID],0)),1,0))</f>
        <v/>
      </c>
      <c r="M495" s="119" t="str">
        <f aca="false">IF(J495="","",INDEX(Rider_Input[Completed Orders],I495))</f>
        <v/>
      </c>
      <c r="N495" s="119" t="str">
        <f aca="false">IF(OR(J495="",K495=""),"",IFERROR(INDEX(RLVL_Data,K495,c_RLVL_Orders),""))</f>
        <v/>
      </c>
      <c r="O495" s="119" t="str">
        <f aca="false">IF(J495="","",IF(COUNTIF($J$6:$J$505,J495)&gt;1,1,0))</f>
        <v/>
      </c>
      <c r="P495" s="119" t="str">
        <f aca="false">IF(J495="","",IF(K495="","Not found in Paste_RLVL – deductions set to 0; ","")&amp;IF(L495=0,"New rider (not in Rider_Master) – OK, shown as Rider &lt;ID&gt;; ","")&amp;IF(AND(N495&lt;&gt;"",N495&lt;&gt;M495),"Orders differ: FTR "&amp;M495&amp;" vs RLVL "&amp;N495&amp;"; ","")&amp;IF(O495=1,"Duplicate Rider ID; ",""))</f>
        <v/>
      </c>
      <c r="Q495" s="119" t="str">
        <f aca="false">IF(P495="","",COUNTIF(P$6:P495,"?*"))</f>
        <v/>
      </c>
    </row>
    <row r="496" customFormat="false" ht="15" hidden="false" customHeight="false" outlineLevel="0" collapsed="false">
      <c r="I496" s="119" t="n">
        <v>491</v>
      </c>
      <c r="J496" s="119" t="str">
        <f aca="false">IFERROR(IF(INDEX(Rider_Input[Rider ID],I496)="","",INDEX(Rider_Input[Rider ID],I496)),"")</f>
        <v/>
      </c>
      <c r="K496" s="119" t="str">
        <f aca="false">IF(J496="","",IFERROR(MATCH(J496,INDEX(RLVL_Data,0,c_RLVL_ID),0),""))</f>
        <v/>
      </c>
      <c r="L496" s="119" t="str">
        <f aca="false">IF(J496="","",IF(ISNUMBER(MATCH(J496,Rider_Master[Rider ID],0)),1,0))</f>
        <v/>
      </c>
      <c r="M496" s="119" t="str">
        <f aca="false">IF(J496="","",INDEX(Rider_Input[Completed Orders],I496))</f>
        <v/>
      </c>
      <c r="N496" s="119" t="str">
        <f aca="false">IF(OR(J496="",K496=""),"",IFERROR(INDEX(RLVL_Data,K496,c_RLVL_Orders),""))</f>
        <v/>
      </c>
      <c r="O496" s="119" t="str">
        <f aca="false">IF(J496="","",IF(COUNTIF($J$6:$J$505,J496)&gt;1,1,0))</f>
        <v/>
      </c>
      <c r="P496" s="119" t="str">
        <f aca="false">IF(J496="","",IF(K496="","Not found in Paste_RLVL – deductions set to 0; ","")&amp;IF(L496=0,"New rider (not in Rider_Master) – OK, shown as Rider &lt;ID&gt;; ","")&amp;IF(AND(N496&lt;&gt;"",N496&lt;&gt;M496),"Orders differ: FTR "&amp;M496&amp;" vs RLVL "&amp;N496&amp;"; ","")&amp;IF(O496=1,"Duplicate Rider ID; ",""))</f>
        <v/>
      </c>
      <c r="Q496" s="119" t="str">
        <f aca="false">IF(P496="","",COUNTIF(P$6:P496,"?*"))</f>
        <v/>
      </c>
    </row>
    <row r="497" customFormat="false" ht="15" hidden="false" customHeight="false" outlineLevel="0" collapsed="false">
      <c r="I497" s="119" t="n">
        <v>492</v>
      </c>
      <c r="J497" s="119" t="str">
        <f aca="false">IFERROR(IF(INDEX(Rider_Input[Rider ID],I497)="","",INDEX(Rider_Input[Rider ID],I497)),"")</f>
        <v/>
      </c>
      <c r="K497" s="119" t="str">
        <f aca="false">IF(J497="","",IFERROR(MATCH(J497,INDEX(RLVL_Data,0,c_RLVL_ID),0),""))</f>
        <v/>
      </c>
      <c r="L497" s="119" t="str">
        <f aca="false">IF(J497="","",IF(ISNUMBER(MATCH(J497,Rider_Master[Rider ID],0)),1,0))</f>
        <v/>
      </c>
      <c r="M497" s="119" t="str">
        <f aca="false">IF(J497="","",INDEX(Rider_Input[Completed Orders],I497))</f>
        <v/>
      </c>
      <c r="N497" s="119" t="str">
        <f aca="false">IF(OR(J497="",K497=""),"",IFERROR(INDEX(RLVL_Data,K497,c_RLVL_Orders),""))</f>
        <v/>
      </c>
      <c r="O497" s="119" t="str">
        <f aca="false">IF(J497="","",IF(COUNTIF($J$6:$J$505,J497)&gt;1,1,0))</f>
        <v/>
      </c>
      <c r="P497" s="119" t="str">
        <f aca="false">IF(J497="","",IF(K497="","Not found in Paste_RLVL – deductions set to 0; ","")&amp;IF(L497=0,"New rider (not in Rider_Master) – OK, shown as Rider &lt;ID&gt;; ","")&amp;IF(AND(N497&lt;&gt;"",N497&lt;&gt;M497),"Orders differ: FTR "&amp;M497&amp;" vs RLVL "&amp;N497&amp;"; ","")&amp;IF(O497=1,"Duplicate Rider ID; ",""))</f>
        <v/>
      </c>
      <c r="Q497" s="119" t="str">
        <f aca="false">IF(P497="","",COUNTIF(P$6:P497,"?*"))</f>
        <v/>
      </c>
    </row>
    <row r="498" customFormat="false" ht="15" hidden="false" customHeight="false" outlineLevel="0" collapsed="false">
      <c r="I498" s="119" t="n">
        <v>493</v>
      </c>
      <c r="J498" s="119" t="str">
        <f aca="false">IFERROR(IF(INDEX(Rider_Input[Rider ID],I498)="","",INDEX(Rider_Input[Rider ID],I498)),"")</f>
        <v/>
      </c>
      <c r="K498" s="119" t="str">
        <f aca="false">IF(J498="","",IFERROR(MATCH(J498,INDEX(RLVL_Data,0,c_RLVL_ID),0),""))</f>
        <v/>
      </c>
      <c r="L498" s="119" t="str">
        <f aca="false">IF(J498="","",IF(ISNUMBER(MATCH(J498,Rider_Master[Rider ID],0)),1,0))</f>
        <v/>
      </c>
      <c r="M498" s="119" t="str">
        <f aca="false">IF(J498="","",INDEX(Rider_Input[Completed Orders],I498))</f>
        <v/>
      </c>
      <c r="N498" s="119" t="str">
        <f aca="false">IF(OR(J498="",K498=""),"",IFERROR(INDEX(RLVL_Data,K498,c_RLVL_Orders),""))</f>
        <v/>
      </c>
      <c r="O498" s="119" t="str">
        <f aca="false">IF(J498="","",IF(COUNTIF($J$6:$J$505,J498)&gt;1,1,0))</f>
        <v/>
      </c>
      <c r="P498" s="119" t="str">
        <f aca="false">IF(J498="","",IF(K498="","Not found in Paste_RLVL – deductions set to 0; ","")&amp;IF(L498=0,"New rider (not in Rider_Master) – OK, shown as Rider &lt;ID&gt;; ","")&amp;IF(AND(N498&lt;&gt;"",N498&lt;&gt;M498),"Orders differ: FTR "&amp;M498&amp;" vs RLVL "&amp;N498&amp;"; ","")&amp;IF(O498=1,"Duplicate Rider ID; ",""))</f>
        <v/>
      </c>
      <c r="Q498" s="119" t="str">
        <f aca="false">IF(P498="","",COUNTIF(P$6:P498,"?*"))</f>
        <v/>
      </c>
    </row>
    <row r="499" customFormat="false" ht="15" hidden="false" customHeight="false" outlineLevel="0" collapsed="false">
      <c r="I499" s="119" t="n">
        <v>494</v>
      </c>
      <c r="J499" s="119" t="str">
        <f aca="false">IFERROR(IF(INDEX(Rider_Input[Rider ID],I499)="","",INDEX(Rider_Input[Rider ID],I499)),"")</f>
        <v/>
      </c>
      <c r="K499" s="119" t="str">
        <f aca="false">IF(J499="","",IFERROR(MATCH(J499,INDEX(RLVL_Data,0,c_RLVL_ID),0),""))</f>
        <v/>
      </c>
      <c r="L499" s="119" t="str">
        <f aca="false">IF(J499="","",IF(ISNUMBER(MATCH(J499,Rider_Master[Rider ID],0)),1,0))</f>
        <v/>
      </c>
      <c r="M499" s="119" t="str">
        <f aca="false">IF(J499="","",INDEX(Rider_Input[Completed Orders],I499))</f>
        <v/>
      </c>
      <c r="N499" s="119" t="str">
        <f aca="false">IF(OR(J499="",K499=""),"",IFERROR(INDEX(RLVL_Data,K499,c_RLVL_Orders),""))</f>
        <v/>
      </c>
      <c r="O499" s="119" t="str">
        <f aca="false">IF(J499="","",IF(COUNTIF($J$6:$J$505,J499)&gt;1,1,0))</f>
        <v/>
      </c>
      <c r="P499" s="119" t="str">
        <f aca="false">IF(J499="","",IF(K499="","Not found in Paste_RLVL – deductions set to 0; ","")&amp;IF(L499=0,"New rider (not in Rider_Master) – OK, shown as Rider &lt;ID&gt;; ","")&amp;IF(AND(N499&lt;&gt;"",N499&lt;&gt;M499),"Orders differ: FTR "&amp;M499&amp;" vs RLVL "&amp;N499&amp;"; ","")&amp;IF(O499=1,"Duplicate Rider ID; ",""))</f>
        <v/>
      </c>
      <c r="Q499" s="119" t="str">
        <f aca="false">IF(P499="","",COUNTIF(P$6:P499,"?*"))</f>
        <v/>
      </c>
    </row>
    <row r="500" customFormat="false" ht="15" hidden="false" customHeight="false" outlineLevel="0" collapsed="false">
      <c r="I500" s="119" t="n">
        <v>495</v>
      </c>
      <c r="J500" s="119" t="str">
        <f aca="false">IFERROR(IF(INDEX(Rider_Input[Rider ID],I500)="","",INDEX(Rider_Input[Rider ID],I500)),"")</f>
        <v/>
      </c>
      <c r="K500" s="119" t="str">
        <f aca="false">IF(J500="","",IFERROR(MATCH(J500,INDEX(RLVL_Data,0,c_RLVL_ID),0),""))</f>
        <v/>
      </c>
      <c r="L500" s="119" t="str">
        <f aca="false">IF(J500="","",IF(ISNUMBER(MATCH(J500,Rider_Master[Rider ID],0)),1,0))</f>
        <v/>
      </c>
      <c r="M500" s="119" t="str">
        <f aca="false">IF(J500="","",INDEX(Rider_Input[Completed Orders],I500))</f>
        <v/>
      </c>
      <c r="N500" s="119" t="str">
        <f aca="false">IF(OR(J500="",K500=""),"",IFERROR(INDEX(RLVL_Data,K500,c_RLVL_Orders),""))</f>
        <v/>
      </c>
      <c r="O500" s="119" t="str">
        <f aca="false">IF(J500="","",IF(COUNTIF($J$6:$J$505,J500)&gt;1,1,0))</f>
        <v/>
      </c>
      <c r="P500" s="119" t="str">
        <f aca="false">IF(J500="","",IF(K500="","Not found in Paste_RLVL – deductions set to 0; ","")&amp;IF(L500=0,"New rider (not in Rider_Master) – OK, shown as Rider &lt;ID&gt;; ","")&amp;IF(AND(N500&lt;&gt;"",N500&lt;&gt;M500),"Orders differ: FTR "&amp;M500&amp;" vs RLVL "&amp;N500&amp;"; ","")&amp;IF(O500=1,"Duplicate Rider ID; ",""))</f>
        <v/>
      </c>
      <c r="Q500" s="119" t="str">
        <f aca="false">IF(P500="","",COUNTIF(P$6:P500,"?*"))</f>
        <v/>
      </c>
    </row>
    <row r="501" customFormat="false" ht="15" hidden="false" customHeight="false" outlineLevel="0" collapsed="false">
      <c r="I501" s="119" t="n">
        <v>496</v>
      </c>
      <c r="J501" s="119" t="str">
        <f aca="false">IFERROR(IF(INDEX(Rider_Input[Rider ID],I501)="","",INDEX(Rider_Input[Rider ID],I501)),"")</f>
        <v/>
      </c>
      <c r="K501" s="119" t="str">
        <f aca="false">IF(J501="","",IFERROR(MATCH(J501,INDEX(RLVL_Data,0,c_RLVL_ID),0),""))</f>
        <v/>
      </c>
      <c r="L501" s="119" t="str">
        <f aca="false">IF(J501="","",IF(ISNUMBER(MATCH(J501,Rider_Master[Rider ID],0)),1,0))</f>
        <v/>
      </c>
      <c r="M501" s="119" t="str">
        <f aca="false">IF(J501="","",INDEX(Rider_Input[Completed Orders],I501))</f>
        <v/>
      </c>
      <c r="N501" s="119" t="str">
        <f aca="false">IF(OR(J501="",K501=""),"",IFERROR(INDEX(RLVL_Data,K501,c_RLVL_Orders),""))</f>
        <v/>
      </c>
      <c r="O501" s="119" t="str">
        <f aca="false">IF(J501="","",IF(COUNTIF($J$6:$J$505,J501)&gt;1,1,0))</f>
        <v/>
      </c>
      <c r="P501" s="119" t="str">
        <f aca="false">IF(J501="","",IF(K501="","Not found in Paste_RLVL – deductions set to 0; ","")&amp;IF(L501=0,"New rider (not in Rider_Master) – OK, shown as Rider &lt;ID&gt;; ","")&amp;IF(AND(N501&lt;&gt;"",N501&lt;&gt;M501),"Orders differ: FTR "&amp;M501&amp;" vs RLVL "&amp;N501&amp;"; ","")&amp;IF(O501=1,"Duplicate Rider ID; ",""))</f>
        <v/>
      </c>
      <c r="Q501" s="119" t="str">
        <f aca="false">IF(P501="","",COUNTIF(P$6:P501,"?*"))</f>
        <v/>
      </c>
    </row>
    <row r="502" customFormat="false" ht="15" hidden="false" customHeight="false" outlineLevel="0" collapsed="false">
      <c r="I502" s="119" t="n">
        <v>497</v>
      </c>
      <c r="J502" s="119" t="str">
        <f aca="false">IFERROR(IF(INDEX(Rider_Input[Rider ID],I502)="","",INDEX(Rider_Input[Rider ID],I502)),"")</f>
        <v/>
      </c>
      <c r="K502" s="119" t="str">
        <f aca="false">IF(J502="","",IFERROR(MATCH(J502,INDEX(RLVL_Data,0,c_RLVL_ID),0),""))</f>
        <v/>
      </c>
      <c r="L502" s="119" t="str">
        <f aca="false">IF(J502="","",IF(ISNUMBER(MATCH(J502,Rider_Master[Rider ID],0)),1,0))</f>
        <v/>
      </c>
      <c r="M502" s="119" t="str">
        <f aca="false">IF(J502="","",INDEX(Rider_Input[Completed Orders],I502))</f>
        <v/>
      </c>
      <c r="N502" s="119" t="str">
        <f aca="false">IF(OR(J502="",K502=""),"",IFERROR(INDEX(RLVL_Data,K502,c_RLVL_Orders),""))</f>
        <v/>
      </c>
      <c r="O502" s="119" t="str">
        <f aca="false">IF(J502="","",IF(COUNTIF($J$6:$J$505,J502)&gt;1,1,0))</f>
        <v/>
      </c>
      <c r="P502" s="119" t="str">
        <f aca="false">IF(J502="","",IF(K502="","Not found in Paste_RLVL – deductions set to 0; ","")&amp;IF(L502=0,"New rider (not in Rider_Master) – OK, shown as Rider &lt;ID&gt;; ","")&amp;IF(AND(N502&lt;&gt;"",N502&lt;&gt;M502),"Orders differ: FTR "&amp;M502&amp;" vs RLVL "&amp;N502&amp;"; ","")&amp;IF(O502=1,"Duplicate Rider ID; ",""))</f>
        <v/>
      </c>
      <c r="Q502" s="119" t="str">
        <f aca="false">IF(P502="","",COUNTIF(P$6:P502,"?*"))</f>
        <v/>
      </c>
    </row>
    <row r="503" customFormat="false" ht="15" hidden="false" customHeight="false" outlineLevel="0" collapsed="false">
      <c r="I503" s="119" t="n">
        <v>498</v>
      </c>
      <c r="J503" s="119" t="str">
        <f aca="false">IFERROR(IF(INDEX(Rider_Input[Rider ID],I503)="","",INDEX(Rider_Input[Rider ID],I503)),"")</f>
        <v/>
      </c>
      <c r="K503" s="119" t="str">
        <f aca="false">IF(J503="","",IFERROR(MATCH(J503,INDEX(RLVL_Data,0,c_RLVL_ID),0),""))</f>
        <v/>
      </c>
      <c r="L503" s="119" t="str">
        <f aca="false">IF(J503="","",IF(ISNUMBER(MATCH(J503,Rider_Master[Rider ID],0)),1,0))</f>
        <v/>
      </c>
      <c r="M503" s="119" t="str">
        <f aca="false">IF(J503="","",INDEX(Rider_Input[Completed Orders],I503))</f>
        <v/>
      </c>
      <c r="N503" s="119" t="str">
        <f aca="false">IF(OR(J503="",K503=""),"",IFERROR(INDEX(RLVL_Data,K503,c_RLVL_Orders),""))</f>
        <v/>
      </c>
      <c r="O503" s="119" t="str">
        <f aca="false">IF(J503="","",IF(COUNTIF($J$6:$J$505,J503)&gt;1,1,0))</f>
        <v/>
      </c>
      <c r="P503" s="119" t="str">
        <f aca="false">IF(J503="","",IF(K503="","Not found in Paste_RLVL – deductions set to 0; ","")&amp;IF(L503=0,"New rider (not in Rider_Master) – OK, shown as Rider &lt;ID&gt;; ","")&amp;IF(AND(N503&lt;&gt;"",N503&lt;&gt;M503),"Orders differ: FTR "&amp;M503&amp;" vs RLVL "&amp;N503&amp;"; ","")&amp;IF(O503=1,"Duplicate Rider ID; ",""))</f>
        <v/>
      </c>
      <c r="Q503" s="119" t="str">
        <f aca="false">IF(P503="","",COUNTIF(P$6:P503,"?*"))</f>
        <v/>
      </c>
    </row>
    <row r="504" customFormat="false" ht="15" hidden="false" customHeight="false" outlineLevel="0" collapsed="false">
      <c r="I504" s="119" t="n">
        <v>499</v>
      </c>
      <c r="J504" s="119" t="str">
        <f aca="false">IFERROR(IF(INDEX(Rider_Input[Rider ID],I504)="","",INDEX(Rider_Input[Rider ID],I504)),"")</f>
        <v/>
      </c>
      <c r="K504" s="119" t="str">
        <f aca="false">IF(J504="","",IFERROR(MATCH(J504,INDEX(RLVL_Data,0,c_RLVL_ID),0),""))</f>
        <v/>
      </c>
      <c r="L504" s="119" t="str">
        <f aca="false">IF(J504="","",IF(ISNUMBER(MATCH(J504,Rider_Master[Rider ID],0)),1,0))</f>
        <v/>
      </c>
      <c r="M504" s="119" t="str">
        <f aca="false">IF(J504="","",INDEX(Rider_Input[Completed Orders],I504))</f>
        <v/>
      </c>
      <c r="N504" s="119" t="str">
        <f aca="false">IF(OR(J504="",K504=""),"",IFERROR(INDEX(RLVL_Data,K504,c_RLVL_Orders),""))</f>
        <v/>
      </c>
      <c r="O504" s="119" t="str">
        <f aca="false">IF(J504="","",IF(COUNTIF($J$6:$J$505,J504)&gt;1,1,0))</f>
        <v/>
      </c>
      <c r="P504" s="119" t="str">
        <f aca="false">IF(J504="","",IF(K504="","Not found in Paste_RLVL – deductions set to 0; ","")&amp;IF(L504=0,"New rider (not in Rider_Master) – OK, shown as Rider &lt;ID&gt;; ","")&amp;IF(AND(N504&lt;&gt;"",N504&lt;&gt;M504),"Orders differ: FTR "&amp;M504&amp;" vs RLVL "&amp;N504&amp;"; ","")&amp;IF(O504=1,"Duplicate Rider ID; ",""))</f>
        <v/>
      </c>
      <c r="Q504" s="119" t="str">
        <f aca="false">IF(P504="","",COUNTIF(P$6:P504,"?*"))</f>
        <v/>
      </c>
    </row>
    <row r="505" customFormat="false" ht="15" hidden="false" customHeight="false" outlineLevel="0" collapsed="false">
      <c r="I505" s="119" t="n">
        <v>500</v>
      </c>
      <c r="J505" s="119" t="str">
        <f aca="false">IFERROR(IF(INDEX(Rider_Input[Rider ID],I505)="","",INDEX(Rider_Input[Rider ID],I505)),"")</f>
        <v/>
      </c>
      <c r="K505" s="119" t="str">
        <f aca="false">IF(J505="","",IFERROR(MATCH(J505,INDEX(RLVL_Data,0,c_RLVL_ID),0),""))</f>
        <v/>
      </c>
      <c r="L505" s="119" t="str">
        <f aca="false">IF(J505="","",IF(ISNUMBER(MATCH(J505,Rider_Master[Rider ID],0)),1,0))</f>
        <v/>
      </c>
      <c r="M505" s="119" t="str">
        <f aca="false">IF(J505="","",INDEX(Rider_Input[Completed Orders],I505))</f>
        <v/>
      </c>
      <c r="N505" s="119" t="str">
        <f aca="false">IF(OR(J505="",K505=""),"",IFERROR(INDEX(RLVL_Data,K505,c_RLVL_Orders),""))</f>
        <v/>
      </c>
      <c r="O505" s="119" t="str">
        <f aca="false">IF(J505="","",IF(COUNTIF($J$6:$J$505,J505)&gt;1,1,0))</f>
        <v/>
      </c>
      <c r="P505" s="119" t="str">
        <f aca="false">IF(J505="","",IF(K505="","Not found in Paste_RLVL – deductions set to 0; ","")&amp;IF(L505=0,"New rider (not in Rider_Master) – OK, shown as Rider &lt;ID&gt;; ","")&amp;IF(AND(N505&lt;&gt;"",N505&lt;&gt;M505),"Orders differ: FTR "&amp;M505&amp;" vs RLVL "&amp;N505&amp;"; ","")&amp;IF(O505=1,"Duplicate Rider ID; ",""))</f>
        <v/>
      </c>
      <c r="Q505" s="119" t="str">
        <f aca="false">IF(P505="","",COUNTIF(P$6:P505,"?*"))</f>
        <v/>
      </c>
    </row>
  </sheetData>
  <mergeCells count="37">
    <mergeCell ref="B1:D1"/>
    <mergeCell ref="B3:F3"/>
    <mergeCell ref="B4:F4"/>
    <mergeCell ref="B5:F5"/>
    <mergeCell ref="B6:F6"/>
    <mergeCell ref="B7:F7"/>
    <mergeCell ref="B8:F8"/>
    <mergeCell ref="B9:F9"/>
    <mergeCell ref="B11:F11"/>
    <mergeCell ref="B13:F13"/>
    <mergeCell ref="B26:F26"/>
    <mergeCell ref="B38:F38"/>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 ref="C54:F54"/>
    <mergeCell ref="C55:F55"/>
    <mergeCell ref="C56:F56"/>
    <mergeCell ref="C57:F57"/>
    <mergeCell ref="C58:F58"/>
    <mergeCell ref="C59:F59"/>
    <mergeCell ref="C60:F60"/>
    <mergeCell ref="C61:F61"/>
    <mergeCell ref="C62:F62"/>
    <mergeCell ref="C63:F63"/>
    <mergeCell ref="C64:F64"/>
  </mergeCells>
  <conditionalFormatting sqref="F28:F35">
    <cfRule type="expression" priority="2" aboveAverage="0" equalAverage="0" bottom="0" percent="0" rank="0" text="" dxfId="3">
      <formula>F28="MISSING"</formula>
    </cfRule>
    <cfRule type="expression" priority="3" aboveAverage="0" equalAverage="0" bottom="0" percent="0" rank="0" text="" dxfId="10">
      <formula>F28="OK"</formula>
    </cfRule>
  </conditionalFormatting>
  <conditionalFormatting sqref="B11:F11">
    <cfRule type="expression" priority="4" aboveAverage="0" equalAverage="0" bottom="0" percent="0" rank="0" text="" dxfId="11">
      <formula>LEFT($B$11,1)="✔"</formula>
    </cfRule>
    <cfRule type="expression" priority="5" aboveAverage="0" equalAverage="0" bottom="0" percent="0" rank="0" text="" dxfId="3">
      <formula>LEFT($B$11,1)&lt;&gt;"✔"</formula>
    </cfRule>
  </conditionalFormatting>
  <conditionalFormatting sqref="D14:D24">
    <cfRule type="expression" priority="6" aboveAverage="0" equalAverage="0" bottom="0" percent="0" rank="0" text="" dxfId="12">
      <formula>D14="OK"</formula>
    </cfRule>
    <cfRule type="expression" priority="7" aboveAverage="0" equalAverage="0" bottom="0" percent="0" rank="0" text="" dxfId="3">
      <formula>D14="CHECK"</formula>
    </cfRule>
    <cfRule type="expression" priority="8" aboveAverage="0" equalAverage="0" bottom="0" percent="0" rank="0" text="" dxfId="13">
      <formula>D14="INFO"</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true"/>
  </sheetPr>
  <dimension ref="A1:C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6" activeCellId="0" sqref="A6"/>
    </sheetView>
  </sheetViews>
  <sheetFormatPr defaultColWidth="8.6796875" defaultRowHeight="14.25" zeroHeight="false" outlineLevelRow="0" outlineLevelCol="0"/>
  <cols>
    <col collapsed="false" customWidth="true" hidden="false" outlineLevel="0" max="1" min="1" style="0" width="38"/>
    <col collapsed="false" customWidth="true" hidden="false" outlineLevel="0" max="2" min="2" style="0" width="31.44"/>
    <col collapsed="false" customWidth="true" hidden="false" outlineLevel="0" max="3" min="3" style="0" width="79.67"/>
  </cols>
  <sheetData>
    <row r="1" customFormat="false" ht="61.5" hidden="false" customHeight="true" outlineLevel="0" collapsed="false">
      <c r="A1" s="132"/>
      <c r="B1" s="133" t="s">
        <v>167</v>
      </c>
    </row>
    <row r="2" customFormat="false" ht="6" hidden="false" customHeight="true" outlineLevel="0" collapsed="false">
      <c r="A2" s="1"/>
      <c r="B2" s="2"/>
      <c r="C2" s="2"/>
    </row>
    <row r="3" customFormat="false" ht="14.25" hidden="false" customHeight="false" outlineLevel="0" collapsed="false">
      <c r="A3" s="134" t="s">
        <v>168</v>
      </c>
      <c r="B3" s="134" t="s">
        <v>169</v>
      </c>
      <c r="C3" s="134" t="s">
        <v>170</v>
      </c>
    </row>
    <row r="4" customFormat="false" ht="14.25" hidden="false" customHeight="false" outlineLevel="0" collapsed="false">
      <c r="A4" s="135" t="s">
        <v>171</v>
      </c>
      <c r="B4" s="136" t="s">
        <v>172</v>
      </c>
      <c r="C4" s="135" t="s">
        <v>173</v>
      </c>
    </row>
    <row r="5" customFormat="false" ht="28.35" hidden="false" customHeight="false" outlineLevel="0" collapsed="false">
      <c r="A5" s="135" t="s">
        <v>174</v>
      </c>
      <c r="B5" s="137" t="n">
        <v>2000</v>
      </c>
      <c r="C5" s="135" t="s">
        <v>175</v>
      </c>
    </row>
    <row r="6" customFormat="false" ht="14.25" hidden="false" customHeight="false" outlineLevel="0" collapsed="false">
      <c r="A6" s="135" t="s">
        <v>176</v>
      </c>
      <c r="B6" s="138" t="n">
        <v>450</v>
      </c>
      <c r="C6" s="135" t="s">
        <v>177</v>
      </c>
    </row>
    <row r="7" customFormat="false" ht="14.25" hidden="false" customHeight="false" outlineLevel="0" collapsed="false">
      <c r="A7" s="135" t="s">
        <v>178</v>
      </c>
      <c r="B7" s="138" t="n">
        <v>30</v>
      </c>
      <c r="C7" s="135" t="s">
        <v>179</v>
      </c>
    </row>
    <row r="8" customFormat="false" ht="14.25" hidden="false" customHeight="false" outlineLevel="0" collapsed="false">
      <c r="A8" s="135" t="s">
        <v>180</v>
      </c>
      <c r="B8" s="138" t="n">
        <v>4.44</v>
      </c>
      <c r="C8" s="135" t="s">
        <v>181</v>
      </c>
    </row>
    <row r="9" customFormat="false" ht="14.25" hidden="false" customHeight="false" outlineLevel="0" collapsed="false">
      <c r="A9" s="135" t="s">
        <v>182</v>
      </c>
      <c r="B9" s="138" t="n">
        <v>7</v>
      </c>
      <c r="C9" s="135" t="s">
        <v>183</v>
      </c>
    </row>
    <row r="10" customFormat="false" ht="14.25" hidden="false" customHeight="false" outlineLevel="0" collapsed="false">
      <c r="A10" s="135" t="s">
        <v>184</v>
      </c>
      <c r="B10" s="138" t="n">
        <v>10</v>
      </c>
      <c r="C10" s="135" t="s">
        <v>185</v>
      </c>
    </row>
    <row r="11" customFormat="false" ht="14.25" hidden="false" customHeight="false" outlineLevel="0" collapsed="false">
      <c r="A11" s="135" t="s">
        <v>186</v>
      </c>
      <c r="B11" s="135" t="s">
        <v>187</v>
      </c>
      <c r="C11" s="135" t="s">
        <v>188</v>
      </c>
    </row>
    <row r="12" customFormat="false" ht="41.75" hidden="false" customHeight="false" outlineLevel="0" collapsed="false">
      <c r="A12" s="135" t="s">
        <v>189</v>
      </c>
      <c r="B12" s="135" t="s">
        <v>190</v>
      </c>
      <c r="C12" s="135" t="s">
        <v>191</v>
      </c>
    </row>
    <row r="13" customFormat="false" ht="28.35" hidden="false" customHeight="false" outlineLevel="0" collapsed="false">
      <c r="A13" s="135" t="s">
        <v>192</v>
      </c>
      <c r="B13" s="139" t="n">
        <v>46235</v>
      </c>
      <c r="C13" s="135" t="s">
        <v>193</v>
      </c>
    </row>
    <row r="14" customFormat="false" ht="14.25" hidden="false" customHeight="false" outlineLevel="0" collapsed="false">
      <c r="A14" s="134" t="s">
        <v>194</v>
      </c>
      <c r="B14" s="134" t="s">
        <v>195</v>
      </c>
      <c r="C14" s="135"/>
    </row>
    <row r="15" customFormat="false" ht="28.5" hidden="false" customHeight="true" outlineLevel="0" collapsed="false">
      <c r="A15" s="135" t="s">
        <v>32</v>
      </c>
      <c r="B15" s="135" t="s">
        <v>196</v>
      </c>
      <c r="C15" s="135"/>
    </row>
    <row r="16" customFormat="false" ht="14.25" hidden="false" customHeight="false" outlineLevel="0" collapsed="false">
      <c r="A16" s="135" t="s">
        <v>33</v>
      </c>
      <c r="B16" s="135" t="s">
        <v>197</v>
      </c>
      <c r="C16" s="135"/>
    </row>
    <row r="17" customFormat="false" ht="28.5" hidden="false" customHeight="true" outlineLevel="0" collapsed="false">
      <c r="A17" s="135" t="s">
        <v>34</v>
      </c>
      <c r="B17" s="135" t="s">
        <v>198</v>
      </c>
      <c r="C17" s="135"/>
    </row>
    <row r="18" customFormat="false" ht="28.5" hidden="false" customHeight="true" outlineLevel="0" collapsed="false">
      <c r="A18" s="135" t="s">
        <v>36</v>
      </c>
      <c r="B18" s="135" t="s">
        <v>199</v>
      </c>
      <c r="C18" s="135"/>
    </row>
    <row r="19" customFormat="false" ht="28.35" hidden="false" customHeight="false" outlineLevel="0" collapsed="false">
      <c r="A19" s="135" t="s">
        <v>35</v>
      </c>
      <c r="B19" s="135" t="s">
        <v>200</v>
      </c>
    </row>
  </sheetData>
  <dataValidations count="1">
    <dataValidation allowBlank="true" errorStyle="stop" operator="between" showDropDown="false" showErrorMessage="true" showInputMessage="true" sqref="B4" type="list">
      <formula1>"Exact rate,Fixed rate"</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false"/>
  </sheetPr>
  <dimension ref="A1:BB16"/>
  <sheetViews>
    <sheetView showFormulas="false" showGridLines="true" showRowColHeaders="true" showZeros="true" rightToLeft="false" tabSelected="false" showOutlineSymbols="true" defaultGridColor="true" view="normal" topLeftCell="X1" colorId="64" zoomScale="100" zoomScaleNormal="100" zoomScalePageLayoutView="100" workbookViewId="0">
      <pane xSplit="0" ySplit="1" topLeftCell="A2" activePane="bottomLeft" state="frozen"/>
      <selection pane="topLeft" activeCell="X1" activeCellId="0" sqref="X1"/>
      <selection pane="bottomLeft" activeCell="B12" activeCellId="0" sqref="B12"/>
    </sheetView>
  </sheetViews>
  <sheetFormatPr defaultColWidth="8.6796875" defaultRowHeight="14.25" zeroHeight="false" outlineLevelRow="0" outlineLevelCol="0"/>
  <cols>
    <col collapsed="false" customWidth="true" hidden="false" outlineLevel="0" max="29" min="1" style="0" width="25"/>
  </cols>
  <sheetData>
    <row r="1" customFormat="false" ht="28.5" hidden="false" customHeight="true" outlineLevel="0" collapsed="false">
      <c r="A1" s="140" t="s">
        <v>201</v>
      </c>
      <c r="B1" s="140" t="s">
        <v>202</v>
      </c>
      <c r="C1" s="140" t="s">
        <v>203</v>
      </c>
      <c r="D1" s="140" t="s">
        <v>204</v>
      </c>
      <c r="E1" s="140" t="s">
        <v>205</v>
      </c>
      <c r="F1" s="140" t="s">
        <v>206</v>
      </c>
      <c r="G1" s="140" t="s">
        <v>207</v>
      </c>
      <c r="H1" s="140" t="s">
        <v>208</v>
      </c>
      <c r="I1" s="140" t="s">
        <v>209</v>
      </c>
      <c r="J1" s="140" t="s">
        <v>210</v>
      </c>
      <c r="K1" s="140" t="s">
        <v>211</v>
      </c>
      <c r="L1" s="140" t="s">
        <v>156</v>
      </c>
      <c r="M1" s="140" t="s">
        <v>212</v>
      </c>
      <c r="N1" s="140" t="s">
        <v>213</v>
      </c>
      <c r="O1" s="140" t="s">
        <v>214</v>
      </c>
      <c r="P1" s="140" t="s">
        <v>215</v>
      </c>
      <c r="Q1" s="140" t="s">
        <v>216</v>
      </c>
      <c r="R1" s="140" t="s">
        <v>217</v>
      </c>
      <c r="S1" s="140" t="s">
        <v>218</v>
      </c>
      <c r="T1" s="140" t="s">
        <v>219</v>
      </c>
      <c r="U1" s="140" t="s">
        <v>220</v>
      </c>
      <c r="V1" s="140" t="s">
        <v>221</v>
      </c>
      <c r="W1" s="140" t="s">
        <v>222</v>
      </c>
      <c r="X1" s="140" t="s">
        <v>223</v>
      </c>
      <c r="Y1" s="140" t="s">
        <v>224</v>
      </c>
      <c r="Z1" s="140" t="s">
        <v>225</v>
      </c>
      <c r="AA1" s="140" t="s">
        <v>226</v>
      </c>
      <c r="AB1" s="140" t="s">
        <v>227</v>
      </c>
      <c r="AC1" s="140" t="s">
        <v>228</v>
      </c>
      <c r="BB1" s="141" t="s">
        <v>229</v>
      </c>
    </row>
    <row r="2" customFormat="false" ht="14.25" hidden="false" customHeight="false" outlineLevel="0" collapsed="false">
      <c r="A2" s="142" t="s">
        <v>230</v>
      </c>
      <c r="B2" s="142" t="n">
        <v>4849914</v>
      </c>
      <c r="C2" s="143" t="b">
        <f aca="false">TRUE()</f>
        <v>1</v>
      </c>
      <c r="D2" s="142" t="s">
        <v>231</v>
      </c>
      <c r="E2" s="142" t="s">
        <v>232</v>
      </c>
      <c r="F2" s="144" t="n">
        <v>46255</v>
      </c>
      <c r="G2" s="144" t="n">
        <v>49907</v>
      </c>
      <c r="H2" s="142" t="n">
        <v>72</v>
      </c>
      <c r="I2" s="142" t="n">
        <v>118.18</v>
      </c>
      <c r="J2" s="142" t="n">
        <v>86.18</v>
      </c>
      <c r="K2" s="142" t="n">
        <v>7</v>
      </c>
      <c r="L2" s="142" t="n">
        <v>8</v>
      </c>
      <c r="M2" s="142"/>
      <c r="N2" s="142" t="n">
        <v>0</v>
      </c>
      <c r="O2" s="142" t="n">
        <v>6</v>
      </c>
      <c r="P2" s="142"/>
      <c r="Q2" s="142" t="s">
        <v>233</v>
      </c>
      <c r="R2" s="142" t="n">
        <v>0</v>
      </c>
      <c r="S2" s="142" t="n">
        <v>1</v>
      </c>
      <c r="T2" s="142" t="n">
        <v>1</v>
      </c>
      <c r="U2" s="142" t="n">
        <v>2</v>
      </c>
      <c r="V2" s="142" t="n">
        <v>1</v>
      </c>
      <c r="W2" s="142" t="n">
        <v>0</v>
      </c>
      <c r="X2" s="142" t="s">
        <v>234</v>
      </c>
      <c r="Y2" s="142" t="s">
        <v>235</v>
      </c>
      <c r="Z2" s="142" t="n">
        <v>0.75</v>
      </c>
      <c r="AA2" s="142" t="n">
        <v>54</v>
      </c>
      <c r="AB2" s="142" t="n">
        <v>389.044</v>
      </c>
      <c r="AC2" s="142" t="n">
        <v>350.1396</v>
      </c>
    </row>
    <row r="3" customFormat="false" ht="14.25" hidden="false" customHeight="false" outlineLevel="0" collapsed="false">
      <c r="A3" s="142" t="s">
        <v>230</v>
      </c>
      <c r="B3" s="142" t="n">
        <v>4849909</v>
      </c>
      <c r="C3" s="143" t="b">
        <f aca="false">TRUE()</f>
        <v>1</v>
      </c>
      <c r="D3" s="142" t="s">
        <v>231</v>
      </c>
      <c r="E3" s="142" t="s">
        <v>232</v>
      </c>
      <c r="F3" s="144" t="n">
        <v>46255</v>
      </c>
      <c r="G3" s="144" t="n">
        <v>49907</v>
      </c>
      <c r="H3" s="142" t="n">
        <v>101</v>
      </c>
      <c r="I3" s="142" t="n">
        <v>139.709999999999</v>
      </c>
      <c r="J3" s="142" t="n">
        <v>115.71</v>
      </c>
      <c r="K3" s="142" t="n">
        <v>9</v>
      </c>
      <c r="L3" s="142" t="n">
        <v>11</v>
      </c>
      <c r="M3" s="142"/>
      <c r="N3" s="142" t="n">
        <v>0</v>
      </c>
      <c r="O3" s="142" t="n">
        <v>8</v>
      </c>
      <c r="P3" s="142"/>
      <c r="Q3" s="142" t="s">
        <v>233</v>
      </c>
      <c r="R3" s="142" t="n">
        <v>0</v>
      </c>
      <c r="S3" s="142" t="n">
        <v>0</v>
      </c>
      <c r="T3" s="142" t="n">
        <v>1</v>
      </c>
      <c r="U3" s="142" t="n">
        <v>1</v>
      </c>
      <c r="V3" s="142" t="n">
        <v>0</v>
      </c>
      <c r="W3" s="142" t="n">
        <v>0</v>
      </c>
      <c r="X3" s="142" t="s">
        <v>236</v>
      </c>
      <c r="Y3" s="142" t="s">
        <v>235</v>
      </c>
      <c r="Z3" s="142" t="n">
        <v>0.75</v>
      </c>
      <c r="AA3" s="142" t="n">
        <v>75.75</v>
      </c>
      <c r="AB3" s="142" t="n">
        <v>572.281999999999</v>
      </c>
      <c r="AC3" s="142" t="n">
        <v>658.124299999999</v>
      </c>
    </row>
    <row r="4" customFormat="false" ht="14.25" hidden="false" customHeight="false" outlineLevel="0" collapsed="false">
      <c r="A4" s="142" t="s">
        <v>230</v>
      </c>
      <c r="B4" s="142" t="n">
        <v>4849222</v>
      </c>
      <c r="C4" s="143" t="b">
        <f aca="false">TRUE()</f>
        <v>1</v>
      </c>
      <c r="D4" s="142" t="s">
        <v>231</v>
      </c>
      <c r="E4" s="142" t="s">
        <v>232</v>
      </c>
      <c r="F4" s="144" t="n">
        <v>46254</v>
      </c>
      <c r="G4" s="144" t="n">
        <v>49906</v>
      </c>
      <c r="H4" s="142" t="n">
        <v>105</v>
      </c>
      <c r="I4" s="142" t="n">
        <v>150.94</v>
      </c>
      <c r="J4" s="142" t="n">
        <v>126.94</v>
      </c>
      <c r="K4" s="142" t="n">
        <v>9</v>
      </c>
      <c r="L4" s="142" t="n">
        <v>11</v>
      </c>
      <c r="M4" s="142"/>
      <c r="N4" s="142" t="n">
        <v>0</v>
      </c>
      <c r="O4" s="142" t="n">
        <v>8</v>
      </c>
      <c r="P4" s="142"/>
      <c r="Q4" s="142" t="s">
        <v>233</v>
      </c>
      <c r="R4" s="142" t="n">
        <v>0</v>
      </c>
      <c r="S4" s="142" t="n">
        <v>0</v>
      </c>
      <c r="T4" s="142" t="n">
        <v>1</v>
      </c>
      <c r="U4" s="142" t="n">
        <v>1</v>
      </c>
      <c r="V4" s="142" t="n">
        <v>0</v>
      </c>
      <c r="W4" s="142" t="n">
        <v>0</v>
      </c>
      <c r="X4" s="142" t="s">
        <v>236</v>
      </c>
      <c r="Y4" s="142" t="s">
        <v>237</v>
      </c>
      <c r="Z4" s="142" t="n">
        <v>1.25</v>
      </c>
      <c r="AA4" s="142" t="n">
        <v>131.25</v>
      </c>
      <c r="AB4" s="142" t="n">
        <v>598.671</v>
      </c>
      <c r="AC4" s="142" t="n">
        <v>688.47165</v>
      </c>
    </row>
    <row r="5" customFormat="false" ht="14.25" hidden="false" customHeight="false" outlineLevel="0" collapsed="false">
      <c r="A5" s="142" t="s">
        <v>230</v>
      </c>
      <c r="B5" s="142" t="n">
        <v>4844480</v>
      </c>
      <c r="C5" s="143" t="b">
        <f aca="false">TRUE()</f>
        <v>1</v>
      </c>
      <c r="D5" s="142" t="s">
        <v>231</v>
      </c>
      <c r="E5" s="142" t="s">
        <v>232</v>
      </c>
      <c r="F5" s="144" t="n">
        <v>46253</v>
      </c>
      <c r="G5" s="144" t="n">
        <v>49905</v>
      </c>
      <c r="H5" s="142" t="n">
        <v>150</v>
      </c>
      <c r="I5" s="142" t="n">
        <v>167.95</v>
      </c>
      <c r="J5" s="142" t="n">
        <v>143.95</v>
      </c>
      <c r="K5" s="142" t="n">
        <v>11</v>
      </c>
      <c r="L5" s="142" t="n">
        <v>12</v>
      </c>
      <c r="M5" s="142"/>
      <c r="N5" s="142" t="n">
        <v>0</v>
      </c>
      <c r="O5" s="142" t="n">
        <v>8</v>
      </c>
      <c r="P5" s="142"/>
      <c r="Q5" s="142" t="s">
        <v>233</v>
      </c>
      <c r="R5" s="142" t="n">
        <v>0</v>
      </c>
      <c r="S5" s="142" t="n">
        <v>0</v>
      </c>
      <c r="T5" s="142" t="n">
        <v>1</v>
      </c>
      <c r="U5" s="142" t="n">
        <v>1</v>
      </c>
      <c r="V5" s="142" t="n">
        <v>0</v>
      </c>
      <c r="W5" s="142" t="n">
        <v>0</v>
      </c>
      <c r="X5" s="142" t="s">
        <v>236</v>
      </c>
      <c r="Y5" s="142" t="s">
        <v>235</v>
      </c>
      <c r="Z5" s="142" t="n">
        <v>0.75</v>
      </c>
      <c r="AA5" s="142" t="n">
        <v>112.5</v>
      </c>
      <c r="AB5" s="142" t="n">
        <v>766.915</v>
      </c>
      <c r="AC5" s="142" t="n">
        <v>881.95225</v>
      </c>
    </row>
    <row r="6" customFormat="false" ht="14.25" hidden="false" customHeight="false" outlineLevel="0" collapsed="false">
      <c r="A6" s="142" t="s">
        <v>230</v>
      </c>
      <c r="B6" s="142" t="n">
        <v>4838478</v>
      </c>
      <c r="C6" s="143" t="b">
        <f aca="false">TRUE()</f>
        <v>1</v>
      </c>
      <c r="D6" s="142" t="s">
        <v>231</v>
      </c>
      <c r="E6" s="142" t="s">
        <v>232</v>
      </c>
      <c r="F6" s="144" t="n">
        <v>46251</v>
      </c>
      <c r="G6" s="144" t="n">
        <v>49903</v>
      </c>
      <c r="H6" s="142" t="n">
        <v>171</v>
      </c>
      <c r="I6" s="142" t="n">
        <v>205.98</v>
      </c>
      <c r="J6" s="142" t="n">
        <v>181.98</v>
      </c>
      <c r="K6" s="142" t="n">
        <v>12</v>
      </c>
      <c r="L6" s="142" t="n">
        <v>14</v>
      </c>
      <c r="M6" s="142"/>
      <c r="N6" s="142" t="n">
        <v>0</v>
      </c>
      <c r="O6" s="142" t="n">
        <v>8</v>
      </c>
      <c r="P6" s="142"/>
      <c r="Q6" s="142" t="s">
        <v>233</v>
      </c>
      <c r="R6" s="142" t="n">
        <v>0</v>
      </c>
      <c r="S6" s="142" t="n">
        <v>0</v>
      </c>
      <c r="T6" s="142" t="n">
        <v>1</v>
      </c>
      <c r="U6" s="142" t="n">
        <v>1</v>
      </c>
      <c r="V6" s="142" t="n">
        <v>0</v>
      </c>
      <c r="W6" s="142" t="n">
        <v>0</v>
      </c>
      <c r="X6" s="142" t="s">
        <v>236</v>
      </c>
      <c r="Y6" s="142" t="s">
        <v>235</v>
      </c>
      <c r="Z6" s="142" t="n">
        <v>0.75</v>
      </c>
      <c r="AA6" s="142" t="n">
        <v>128.25</v>
      </c>
      <c r="AB6" s="142" t="n">
        <v>931.879999999999</v>
      </c>
      <c r="AC6" s="142" t="n">
        <v>1071.66199999999</v>
      </c>
    </row>
    <row r="7" customFormat="false" ht="14.25" hidden="false" customHeight="false" outlineLevel="0" collapsed="false">
      <c r="A7" s="142" t="s">
        <v>230</v>
      </c>
      <c r="B7" s="142" t="n">
        <v>4838471</v>
      </c>
      <c r="C7" s="143" t="b">
        <f aca="false">TRUE()</f>
        <v>1</v>
      </c>
      <c r="D7" s="142" t="s">
        <v>231</v>
      </c>
      <c r="E7" s="142" t="s">
        <v>232</v>
      </c>
      <c r="F7" s="144" t="n">
        <v>46251</v>
      </c>
      <c r="G7" s="144" t="n">
        <v>49903</v>
      </c>
      <c r="H7" s="142" t="n">
        <v>146</v>
      </c>
      <c r="I7" s="142" t="n">
        <v>187.149999999999</v>
      </c>
      <c r="J7" s="142" t="n">
        <v>163.149999999999</v>
      </c>
      <c r="K7" s="142" t="n">
        <v>11</v>
      </c>
      <c r="L7" s="142" t="n">
        <v>12</v>
      </c>
      <c r="M7" s="142"/>
      <c r="N7" s="142" t="n">
        <v>0</v>
      </c>
      <c r="O7" s="142" t="n">
        <v>8</v>
      </c>
      <c r="P7" s="142"/>
      <c r="Q7" s="142" t="s">
        <v>233</v>
      </c>
      <c r="R7" s="142" t="n">
        <v>0</v>
      </c>
      <c r="S7" s="142" t="n">
        <v>1</v>
      </c>
      <c r="T7" s="142" t="n">
        <v>0</v>
      </c>
      <c r="U7" s="142" t="n">
        <v>1</v>
      </c>
      <c r="V7" s="142" t="n">
        <v>1</v>
      </c>
      <c r="W7" s="142" t="n">
        <v>-500</v>
      </c>
      <c r="X7" s="142" t="s">
        <v>238</v>
      </c>
      <c r="Y7" s="142" t="s">
        <v>235</v>
      </c>
      <c r="Z7" s="142" t="n">
        <v>0.75</v>
      </c>
      <c r="AA7" s="142" t="n">
        <v>109.5</v>
      </c>
      <c r="AB7" s="142" t="n">
        <v>845.349999999999</v>
      </c>
      <c r="AC7" s="142" t="n">
        <v>972.152499999999</v>
      </c>
    </row>
    <row r="8" customFormat="false" ht="14.25" hidden="false" customHeight="false" outlineLevel="0" collapsed="false">
      <c r="A8" s="142" t="s">
        <v>230</v>
      </c>
      <c r="B8" s="142" t="n">
        <v>4747290</v>
      </c>
      <c r="C8" s="143" t="b">
        <f aca="false">TRUE()</f>
        <v>1</v>
      </c>
      <c r="D8" s="142" t="s">
        <v>231</v>
      </c>
      <c r="E8" s="142" t="s">
        <v>232</v>
      </c>
      <c r="F8" s="144" t="n">
        <v>46212</v>
      </c>
      <c r="G8" s="144" t="n">
        <v>49864</v>
      </c>
      <c r="H8" s="142" t="n">
        <v>498</v>
      </c>
      <c r="I8" s="142" t="n">
        <v>455.439999999999</v>
      </c>
      <c r="J8" s="142" t="n">
        <v>455.439999999999</v>
      </c>
      <c r="K8" s="142" t="n">
        <v>31</v>
      </c>
      <c r="L8" s="142" t="n">
        <v>31</v>
      </c>
      <c r="M8" s="142"/>
      <c r="N8" s="142" t="n">
        <v>0</v>
      </c>
      <c r="O8" s="142" t="n">
        <v>8</v>
      </c>
      <c r="P8" s="142"/>
      <c r="Q8" s="142" t="s">
        <v>233</v>
      </c>
      <c r="R8" s="142" t="n">
        <v>0</v>
      </c>
      <c r="S8" s="142" t="n">
        <v>0</v>
      </c>
      <c r="T8" s="142" t="n">
        <v>0</v>
      </c>
      <c r="U8" s="142" t="n">
        <v>0</v>
      </c>
      <c r="V8" s="142" t="n">
        <v>0</v>
      </c>
      <c r="W8" s="142" t="n">
        <v>0</v>
      </c>
      <c r="X8" s="142" t="s">
        <v>236</v>
      </c>
      <c r="Y8" s="142" t="s">
        <v>237</v>
      </c>
      <c r="Z8" s="142" t="n">
        <v>1.25</v>
      </c>
      <c r="AA8" s="142" t="n">
        <v>622.5</v>
      </c>
      <c r="AB8" s="142" t="n">
        <v>2847.41199999999</v>
      </c>
      <c r="AC8" s="142" t="n">
        <v>3274.52379999999</v>
      </c>
    </row>
    <row r="9" customFormat="false" ht="14.25" hidden="false" customHeight="false" outlineLevel="0" collapsed="false">
      <c r="A9" s="142" t="s">
        <v>230</v>
      </c>
      <c r="B9" s="142" t="n">
        <v>4652654</v>
      </c>
      <c r="C9" s="143" t="b">
        <f aca="false">TRUE()</f>
        <v>1</v>
      </c>
      <c r="D9" s="142" t="s">
        <v>231</v>
      </c>
      <c r="E9" s="142" t="s">
        <v>232</v>
      </c>
      <c r="F9" s="144" t="n">
        <v>46165</v>
      </c>
      <c r="G9" s="144" t="n">
        <v>49817</v>
      </c>
      <c r="H9" s="142" t="n">
        <v>433</v>
      </c>
      <c r="I9" s="142" t="n">
        <v>420.489999999999</v>
      </c>
      <c r="J9" s="142" t="n">
        <v>420.489999999999</v>
      </c>
      <c r="K9" s="142" t="n">
        <v>31</v>
      </c>
      <c r="L9" s="142" t="n">
        <v>31</v>
      </c>
      <c r="M9" s="142"/>
      <c r="N9" s="142" t="n">
        <v>0</v>
      </c>
      <c r="O9" s="142" t="n">
        <v>8</v>
      </c>
      <c r="P9" s="142"/>
      <c r="Q9" s="142" t="s">
        <v>233</v>
      </c>
      <c r="R9" s="142" t="n">
        <v>0</v>
      </c>
      <c r="S9" s="142" t="n">
        <v>0</v>
      </c>
      <c r="T9" s="142" t="n">
        <v>0</v>
      </c>
      <c r="U9" s="142" t="n">
        <v>0</v>
      </c>
      <c r="V9" s="142" t="n">
        <v>0</v>
      </c>
      <c r="W9" s="142" t="n">
        <v>0</v>
      </c>
      <c r="X9" s="142" t="s">
        <v>236</v>
      </c>
      <c r="Y9" s="142" t="s">
        <v>239</v>
      </c>
      <c r="Z9" s="142" t="n">
        <v>1.75</v>
      </c>
      <c r="AA9" s="142" t="n">
        <v>757.75</v>
      </c>
      <c r="AB9" s="142" t="n">
        <v>2649.37899999999</v>
      </c>
      <c r="AC9" s="142" t="n">
        <v>3046.78584999999</v>
      </c>
    </row>
    <row r="10" customFormat="false" ht="14.25" hidden="false" customHeight="false" outlineLevel="0" collapsed="false">
      <c r="A10" s="142" t="s">
        <v>230</v>
      </c>
      <c r="B10" s="142" t="n">
        <v>4652587</v>
      </c>
      <c r="C10" s="143" t="b">
        <f aca="false">TRUE()</f>
        <v>1</v>
      </c>
      <c r="D10" s="142" t="s">
        <v>231</v>
      </c>
      <c r="E10" s="142" t="s">
        <v>232</v>
      </c>
      <c r="F10" s="144" t="n">
        <v>46164</v>
      </c>
      <c r="G10" s="144" t="n">
        <v>49816</v>
      </c>
      <c r="H10" s="142" t="n">
        <v>382</v>
      </c>
      <c r="I10" s="142" t="n">
        <v>485.15</v>
      </c>
      <c r="J10" s="142" t="n">
        <v>485.15</v>
      </c>
      <c r="K10" s="142" t="n">
        <v>28</v>
      </c>
      <c r="L10" s="142" t="n">
        <v>30</v>
      </c>
      <c r="M10" s="142"/>
      <c r="N10" s="142" t="n">
        <v>0</v>
      </c>
      <c r="O10" s="142" t="n">
        <v>8</v>
      </c>
      <c r="P10" s="142"/>
      <c r="Q10" s="142" t="s">
        <v>233</v>
      </c>
      <c r="R10" s="142" t="n">
        <v>0</v>
      </c>
      <c r="S10" s="142" t="n">
        <v>0</v>
      </c>
      <c r="T10" s="142" t="n">
        <v>2</v>
      </c>
      <c r="U10" s="142" t="n">
        <v>2</v>
      </c>
      <c r="V10" s="142" t="n">
        <v>1</v>
      </c>
      <c r="W10" s="142" t="n">
        <v>-500</v>
      </c>
      <c r="X10" s="142" t="s">
        <v>238</v>
      </c>
      <c r="Y10" s="142" t="s">
        <v>235</v>
      </c>
      <c r="Z10" s="142" t="n">
        <v>0.75</v>
      </c>
      <c r="AA10" s="142" t="n">
        <v>286.5</v>
      </c>
      <c r="AB10" s="142" t="n">
        <v>2401.53899999999</v>
      </c>
      <c r="AC10" s="142" t="n">
        <v>2761.76984999999</v>
      </c>
    </row>
    <row r="11" customFormat="false" ht="14.25" hidden="false" customHeight="false" outlineLevel="0" collapsed="false">
      <c r="A11" s="142" t="s">
        <v>230</v>
      </c>
      <c r="B11" s="142" t="n">
        <v>4648709</v>
      </c>
      <c r="C11" s="143" t="b">
        <f aca="false">TRUE()</f>
        <v>1</v>
      </c>
      <c r="D11" s="142" t="s">
        <v>231</v>
      </c>
      <c r="E11" s="142" t="s">
        <v>232</v>
      </c>
      <c r="F11" s="144" t="n">
        <v>46163</v>
      </c>
      <c r="G11" s="144" t="n">
        <v>49815</v>
      </c>
      <c r="H11" s="142" t="n">
        <v>391</v>
      </c>
      <c r="I11" s="142" t="n">
        <v>412.55</v>
      </c>
      <c r="J11" s="142" t="n">
        <v>412.55</v>
      </c>
      <c r="K11" s="142" t="n">
        <v>30</v>
      </c>
      <c r="L11" s="142" t="n">
        <v>31</v>
      </c>
      <c r="M11" s="142"/>
      <c r="N11" s="142" t="n">
        <v>0</v>
      </c>
      <c r="O11" s="142" t="n">
        <v>8</v>
      </c>
      <c r="P11" s="142"/>
      <c r="Q11" s="142" t="s">
        <v>233</v>
      </c>
      <c r="R11" s="142" t="n">
        <v>0</v>
      </c>
      <c r="S11" s="142" t="n">
        <v>0</v>
      </c>
      <c r="T11" s="142" t="n">
        <v>0</v>
      </c>
      <c r="U11" s="142" t="n">
        <v>0</v>
      </c>
      <c r="V11" s="142" t="n">
        <v>0</v>
      </c>
      <c r="W11" s="142" t="n">
        <v>0</v>
      </c>
      <c r="X11" s="142" t="s">
        <v>236</v>
      </c>
      <c r="Y11" s="142" t="s">
        <v>237</v>
      </c>
      <c r="Z11" s="142" t="n">
        <v>1.25</v>
      </c>
      <c r="AA11" s="142" t="n">
        <v>488.75</v>
      </c>
      <c r="AB11" s="142" t="n">
        <v>1973.28799999999</v>
      </c>
      <c r="AC11" s="142" t="n">
        <v>2269.28119999999</v>
      </c>
    </row>
    <row r="12" customFormat="false" ht="14.25" hidden="false" customHeight="false" outlineLevel="0" collapsed="false">
      <c r="A12" s="142" t="s">
        <v>230</v>
      </c>
      <c r="B12" s="142" t="n">
        <v>4648308</v>
      </c>
      <c r="C12" s="143" t="b">
        <f aca="false">TRUE()</f>
        <v>1</v>
      </c>
      <c r="D12" s="142" t="s">
        <v>231</v>
      </c>
      <c r="E12" s="142" t="s">
        <v>232</v>
      </c>
      <c r="F12" s="144" t="n">
        <v>46189</v>
      </c>
      <c r="G12" s="144" t="n">
        <v>49839</v>
      </c>
      <c r="H12" s="142" t="n">
        <v>551</v>
      </c>
      <c r="I12" s="142" t="n">
        <v>449.49</v>
      </c>
      <c r="J12" s="142" t="n">
        <v>449.489999999999</v>
      </c>
      <c r="K12" s="142" t="n">
        <v>31</v>
      </c>
      <c r="L12" s="142" t="n">
        <v>31</v>
      </c>
      <c r="M12" s="142"/>
      <c r="N12" s="142" t="n">
        <v>0</v>
      </c>
      <c r="O12" s="142" t="n">
        <v>8</v>
      </c>
      <c r="P12" s="142"/>
      <c r="Q12" s="142" t="s">
        <v>233</v>
      </c>
      <c r="R12" s="142" t="n">
        <v>0</v>
      </c>
      <c r="S12" s="142" t="n">
        <v>0</v>
      </c>
      <c r="T12" s="142" t="n">
        <v>0</v>
      </c>
      <c r="U12" s="142" t="n">
        <v>0</v>
      </c>
      <c r="V12" s="142" t="n">
        <v>0</v>
      </c>
      <c r="W12" s="142" t="n">
        <v>0</v>
      </c>
      <c r="X12" s="142" t="s">
        <v>236</v>
      </c>
      <c r="Y12" s="142" t="s">
        <v>239</v>
      </c>
      <c r="Z12" s="142" t="n">
        <v>1.75</v>
      </c>
      <c r="AA12" s="142" t="n">
        <v>964.25</v>
      </c>
      <c r="AB12" s="142" t="n">
        <v>3104.68099999999</v>
      </c>
      <c r="AC12" s="142" t="n">
        <v>3570.38314999999</v>
      </c>
    </row>
    <row r="13" customFormat="false" ht="14.25" hidden="false" customHeight="false" outlineLevel="0" collapsed="false">
      <c r="A13" s="142" t="s">
        <v>230</v>
      </c>
      <c r="B13" s="142" t="n">
        <v>4644774</v>
      </c>
      <c r="C13" s="143" t="b">
        <f aca="false">TRUE()</f>
        <v>1</v>
      </c>
      <c r="D13" s="142" t="s">
        <v>231</v>
      </c>
      <c r="E13" s="142" t="s">
        <v>232</v>
      </c>
      <c r="F13" s="144" t="n">
        <v>46161</v>
      </c>
      <c r="G13" s="144" t="n">
        <v>49813</v>
      </c>
      <c r="H13" s="142" t="n">
        <v>367</v>
      </c>
      <c r="I13" s="142" t="n">
        <v>423.449999999999</v>
      </c>
      <c r="J13" s="142" t="n">
        <v>423.45</v>
      </c>
      <c r="K13" s="142" t="n">
        <v>30</v>
      </c>
      <c r="L13" s="142" t="n">
        <v>31</v>
      </c>
      <c r="M13" s="142"/>
      <c r="N13" s="142" t="n">
        <v>0</v>
      </c>
      <c r="O13" s="142" t="n">
        <v>8</v>
      </c>
      <c r="P13" s="142"/>
      <c r="Q13" s="142" t="s">
        <v>233</v>
      </c>
      <c r="R13" s="142" t="n">
        <v>0</v>
      </c>
      <c r="S13" s="142" t="n">
        <v>0</v>
      </c>
      <c r="T13" s="142" t="n">
        <v>0</v>
      </c>
      <c r="U13" s="142" t="n">
        <v>0</v>
      </c>
      <c r="V13" s="142" t="n">
        <v>0</v>
      </c>
      <c r="W13" s="142" t="n">
        <v>0</v>
      </c>
      <c r="X13" s="142" t="s">
        <v>236</v>
      </c>
      <c r="Y13" s="142" t="s">
        <v>237</v>
      </c>
      <c r="Z13" s="142" t="n">
        <v>1.25</v>
      </c>
      <c r="AA13" s="142" t="n">
        <v>458.75</v>
      </c>
      <c r="AB13" s="142" t="n">
        <v>2119.546</v>
      </c>
      <c r="AC13" s="142" t="n">
        <v>2437.47789999999</v>
      </c>
    </row>
    <row r="14" customFormat="false" ht="14.25" hidden="false" customHeight="false" outlineLevel="0" collapsed="false">
      <c r="A14" s="142" t="s">
        <v>230</v>
      </c>
      <c r="B14" s="142" t="n">
        <v>4643856</v>
      </c>
      <c r="C14" s="143" t="b">
        <f aca="false">TRUE()</f>
        <v>1</v>
      </c>
      <c r="D14" s="142" t="s">
        <v>231</v>
      </c>
      <c r="E14" s="142" t="s">
        <v>232</v>
      </c>
      <c r="F14" s="144" t="n">
        <v>46161</v>
      </c>
      <c r="G14" s="144" t="n">
        <v>49813</v>
      </c>
      <c r="H14" s="142" t="n">
        <v>449</v>
      </c>
      <c r="I14" s="142" t="n">
        <v>396.479999999999</v>
      </c>
      <c r="J14" s="142" t="n">
        <v>396.479999999999</v>
      </c>
      <c r="K14" s="142" t="n">
        <v>31</v>
      </c>
      <c r="L14" s="142" t="n">
        <v>31</v>
      </c>
      <c r="M14" s="142"/>
      <c r="N14" s="142" t="n">
        <v>0</v>
      </c>
      <c r="O14" s="142" t="n">
        <v>8</v>
      </c>
      <c r="P14" s="142"/>
      <c r="Q14" s="142" t="s">
        <v>233</v>
      </c>
      <c r="R14" s="142" t="n">
        <v>0</v>
      </c>
      <c r="S14" s="142" t="n">
        <v>0</v>
      </c>
      <c r="T14" s="142" t="n">
        <v>0</v>
      </c>
      <c r="U14" s="142" t="n">
        <v>0</v>
      </c>
      <c r="V14" s="142" t="n">
        <v>0</v>
      </c>
      <c r="W14" s="142" t="n">
        <v>0</v>
      </c>
      <c r="X14" s="142" t="s">
        <v>236</v>
      </c>
      <c r="Y14" s="142" t="s">
        <v>237</v>
      </c>
      <c r="Z14" s="142" t="n">
        <v>1.25</v>
      </c>
      <c r="AA14" s="142" t="n">
        <v>561.25</v>
      </c>
      <c r="AB14" s="142" t="n">
        <v>2615.20399999999</v>
      </c>
      <c r="AC14" s="142" t="n">
        <v>3007.48459999999</v>
      </c>
    </row>
    <row r="15" customFormat="false" ht="14.25" hidden="false" customHeight="false" outlineLevel="0" collapsed="false">
      <c r="A15" s="142" t="s">
        <v>230</v>
      </c>
      <c r="B15" s="142" t="n">
        <v>4642935</v>
      </c>
      <c r="C15" s="143" t="b">
        <f aca="false">TRUE()</f>
        <v>1</v>
      </c>
      <c r="D15" s="142" t="s">
        <v>231</v>
      </c>
      <c r="E15" s="142" t="s">
        <v>232</v>
      </c>
      <c r="F15" s="144" t="n">
        <v>46161</v>
      </c>
      <c r="G15" s="144" t="n">
        <v>49813</v>
      </c>
      <c r="H15" s="142" t="n">
        <v>442</v>
      </c>
      <c r="I15" s="142" t="n">
        <v>443.78</v>
      </c>
      <c r="J15" s="142" t="n">
        <v>443.78</v>
      </c>
      <c r="K15" s="142" t="n">
        <v>31</v>
      </c>
      <c r="L15" s="142" t="n">
        <v>31</v>
      </c>
      <c r="M15" s="142"/>
      <c r="N15" s="142" t="n">
        <v>0</v>
      </c>
      <c r="O15" s="142" t="n">
        <v>8</v>
      </c>
      <c r="P15" s="142"/>
      <c r="Q15" s="142" t="s">
        <v>233</v>
      </c>
      <c r="R15" s="142" t="n">
        <v>0</v>
      </c>
      <c r="S15" s="142" t="n">
        <v>0</v>
      </c>
      <c r="T15" s="142" t="n">
        <v>0</v>
      </c>
      <c r="U15" s="142" t="n">
        <v>0</v>
      </c>
      <c r="V15" s="142" t="n">
        <v>0</v>
      </c>
      <c r="W15" s="142" t="n">
        <v>0</v>
      </c>
      <c r="X15" s="142" t="s">
        <v>236</v>
      </c>
      <c r="Y15" s="142" t="s">
        <v>239</v>
      </c>
      <c r="Z15" s="142" t="n">
        <v>1.75</v>
      </c>
      <c r="AA15" s="142" t="n">
        <v>773.5</v>
      </c>
      <c r="AB15" s="142" t="n">
        <v>2574.87099999999</v>
      </c>
      <c r="AC15" s="142" t="n">
        <v>2961.10164999999</v>
      </c>
    </row>
    <row r="16" customFormat="false" ht="14.25" hidden="false" customHeight="false" outlineLevel="0" collapsed="false">
      <c r="A16" s="142" t="s">
        <v>230</v>
      </c>
      <c r="B16" s="142" t="n">
        <v>4611383</v>
      </c>
      <c r="C16" s="143" t="b">
        <f aca="false">TRUE()</f>
        <v>1</v>
      </c>
      <c r="D16" s="142" t="s">
        <v>231</v>
      </c>
      <c r="E16" s="142" t="s">
        <v>232</v>
      </c>
      <c r="F16" s="144" t="n">
        <v>46145</v>
      </c>
      <c r="G16" s="144" t="n">
        <v>49797</v>
      </c>
      <c r="H16" s="142" t="n">
        <v>476</v>
      </c>
      <c r="I16" s="142" t="n">
        <v>417.5</v>
      </c>
      <c r="J16" s="142" t="n">
        <v>417.5</v>
      </c>
      <c r="K16" s="142" t="n">
        <v>31</v>
      </c>
      <c r="L16" s="142" t="n">
        <v>31</v>
      </c>
      <c r="M16" s="142"/>
      <c r="N16" s="142" t="n">
        <v>0</v>
      </c>
      <c r="O16" s="142" t="n">
        <v>8</v>
      </c>
      <c r="P16" s="142"/>
      <c r="Q16" s="142" t="s">
        <v>233</v>
      </c>
      <c r="R16" s="142" t="n">
        <v>0</v>
      </c>
      <c r="S16" s="142" t="n">
        <v>0</v>
      </c>
      <c r="T16" s="142" t="n">
        <v>0</v>
      </c>
      <c r="U16" s="142" t="n">
        <v>0</v>
      </c>
      <c r="V16" s="142" t="n">
        <v>0</v>
      </c>
      <c r="W16" s="142" t="n">
        <v>0</v>
      </c>
      <c r="X16" s="142" t="s">
        <v>236</v>
      </c>
      <c r="Y16" s="142" t="s">
        <v>235</v>
      </c>
      <c r="Z16" s="142" t="n">
        <v>0.75</v>
      </c>
      <c r="AA16" s="142" t="n">
        <v>357</v>
      </c>
      <c r="AB16" s="142" t="n">
        <v>2410.346</v>
      </c>
      <c r="AC16" s="142" t="n">
        <v>2771.8979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false"/>
  </sheetPr>
  <dimension ref="A1:BB16"/>
  <sheetViews>
    <sheetView showFormulas="false" showGridLines="true" showRowColHeaders="true" showZeros="true" rightToLeft="false" tabSelected="false" showOutlineSymbols="true" defaultGridColor="true" view="normal" topLeftCell="K1" colorId="64" zoomScale="100" zoomScaleNormal="100" zoomScalePageLayoutView="100" workbookViewId="0">
      <pane xSplit="0" ySplit="1" topLeftCell="A2" activePane="bottomLeft" state="frozen"/>
      <selection pane="topLeft" activeCell="K1" activeCellId="0" sqref="K1"/>
      <selection pane="bottomLeft" activeCell="A6" activeCellId="0" sqref="A6"/>
    </sheetView>
  </sheetViews>
  <sheetFormatPr defaultColWidth="8.6796875" defaultRowHeight="14.25" zeroHeight="false" outlineLevelRow="0" outlineLevelCol="0"/>
  <cols>
    <col collapsed="false" customWidth="true" hidden="false" outlineLevel="0" max="16" min="1" style="0" width="25"/>
  </cols>
  <sheetData>
    <row r="1" customFormat="false" ht="57" hidden="false" customHeight="true" outlineLevel="0" collapsed="false">
      <c r="A1" s="145" t="s">
        <v>240</v>
      </c>
      <c r="B1" s="140" t="s">
        <v>201</v>
      </c>
      <c r="C1" s="145" t="s">
        <v>241</v>
      </c>
      <c r="D1" s="145" t="s">
        <v>242</v>
      </c>
      <c r="E1" s="145" t="s">
        <v>243</v>
      </c>
      <c r="F1" s="145" t="s">
        <v>244</v>
      </c>
      <c r="G1" s="145" t="s">
        <v>245</v>
      </c>
      <c r="H1" s="145" t="s">
        <v>246</v>
      </c>
      <c r="I1" s="145" t="s">
        <v>247</v>
      </c>
      <c r="J1" s="145" t="s">
        <v>248</v>
      </c>
      <c r="K1" s="145" t="s">
        <v>249</v>
      </c>
      <c r="L1" s="145" t="s">
        <v>250</v>
      </c>
      <c r="M1" s="145" t="s">
        <v>251</v>
      </c>
      <c r="N1" s="145" t="s">
        <v>252</v>
      </c>
      <c r="O1" s="145" t="s">
        <v>253</v>
      </c>
      <c r="P1" s="145" t="s">
        <v>254</v>
      </c>
      <c r="BB1" s="141" t="s">
        <v>229</v>
      </c>
    </row>
    <row r="2" customFormat="false" ht="14.25" hidden="false" customHeight="false" outlineLevel="0" collapsed="false">
      <c r="A2" s="142" t="n">
        <v>4611383</v>
      </c>
      <c r="B2" s="142" t="s">
        <v>230</v>
      </c>
      <c r="C2" s="142" t="n">
        <v>476</v>
      </c>
      <c r="D2" s="142" t="n">
        <v>3808</v>
      </c>
      <c r="E2" s="142" t="n">
        <v>-88</v>
      </c>
      <c r="F2" s="142"/>
      <c r="G2" s="142" t="n">
        <v>0</v>
      </c>
      <c r="H2" s="142" t="n">
        <v>0</v>
      </c>
      <c r="I2" s="142" t="n">
        <v>0</v>
      </c>
      <c r="J2" s="142"/>
      <c r="K2" s="142" t="n">
        <v>2771.8979</v>
      </c>
      <c r="L2" s="142" t="n">
        <v>0</v>
      </c>
      <c r="M2" s="142" t="n">
        <v>357</v>
      </c>
      <c r="N2" s="142" t="n">
        <v>0</v>
      </c>
      <c r="O2" s="142" t="n">
        <v>0</v>
      </c>
      <c r="P2" s="142" t="n">
        <v>240.4</v>
      </c>
    </row>
    <row r="3" customFormat="false" ht="14.25" hidden="false" customHeight="false" outlineLevel="0" collapsed="false">
      <c r="A3" s="142" t="n">
        <v>4642935</v>
      </c>
      <c r="B3" s="142" t="s">
        <v>230</v>
      </c>
      <c r="C3" s="142" t="n">
        <v>442</v>
      </c>
      <c r="D3" s="142" t="n">
        <v>3536</v>
      </c>
      <c r="E3" s="142" t="n">
        <v>-84</v>
      </c>
      <c r="F3" s="142"/>
      <c r="G3" s="142" t="n">
        <v>0</v>
      </c>
      <c r="H3" s="142" t="n">
        <v>0</v>
      </c>
      <c r="I3" s="142" t="n">
        <v>0</v>
      </c>
      <c r="J3" s="142"/>
      <c r="K3" s="142" t="n">
        <v>2961.10164999999</v>
      </c>
      <c r="L3" s="142" t="n">
        <v>0</v>
      </c>
      <c r="M3" s="142" t="n">
        <v>773.5</v>
      </c>
      <c r="N3" s="142" t="n">
        <v>0</v>
      </c>
      <c r="O3" s="142" t="n">
        <v>0</v>
      </c>
      <c r="P3" s="142" t="n">
        <v>116.95</v>
      </c>
    </row>
    <row r="4" customFormat="false" ht="14.25" hidden="false" customHeight="false" outlineLevel="0" collapsed="false">
      <c r="A4" s="142" t="n">
        <v>4643856</v>
      </c>
      <c r="B4" s="142" t="s">
        <v>230</v>
      </c>
      <c r="C4" s="142" t="n">
        <v>449</v>
      </c>
      <c r="D4" s="142" t="n">
        <v>3592</v>
      </c>
      <c r="E4" s="142" t="n">
        <v>-80</v>
      </c>
      <c r="F4" s="142"/>
      <c r="G4" s="142" t="n">
        <v>0</v>
      </c>
      <c r="H4" s="142" t="n">
        <v>0</v>
      </c>
      <c r="I4" s="142" t="n">
        <v>0</v>
      </c>
      <c r="J4" s="142"/>
      <c r="K4" s="142" t="n">
        <v>3007.48459999999</v>
      </c>
      <c r="L4" s="142" t="n">
        <v>0</v>
      </c>
      <c r="M4" s="142" t="n">
        <v>561.25</v>
      </c>
      <c r="N4" s="142" t="n">
        <v>0</v>
      </c>
      <c r="O4" s="142" t="n">
        <v>0</v>
      </c>
      <c r="P4" s="142" t="n">
        <v>128.27</v>
      </c>
    </row>
    <row r="5" customFormat="false" ht="14.25" hidden="false" customHeight="false" outlineLevel="0" collapsed="false">
      <c r="A5" s="142" t="n">
        <v>4644774</v>
      </c>
      <c r="B5" s="142" t="s">
        <v>230</v>
      </c>
      <c r="C5" s="142" t="n">
        <v>367</v>
      </c>
      <c r="D5" s="142" t="n">
        <v>2936</v>
      </c>
      <c r="E5" s="142" t="n">
        <v>-52</v>
      </c>
      <c r="F5" s="142"/>
      <c r="G5" s="142" t="n">
        <v>0</v>
      </c>
      <c r="H5" s="142" t="n">
        <v>0</v>
      </c>
      <c r="I5" s="142" t="n">
        <v>0</v>
      </c>
      <c r="J5" s="142"/>
      <c r="K5" s="142" t="n">
        <v>2437.47789999999</v>
      </c>
      <c r="L5" s="142" t="n">
        <v>0</v>
      </c>
      <c r="M5" s="142" t="n">
        <v>458.75</v>
      </c>
      <c r="N5" s="142" t="n">
        <v>0</v>
      </c>
      <c r="O5" s="142" t="n">
        <v>0</v>
      </c>
      <c r="P5" s="142" t="n">
        <v>275.31</v>
      </c>
    </row>
    <row r="6" customFormat="false" ht="14.25" hidden="false" customHeight="false" outlineLevel="0" collapsed="false">
      <c r="A6" s="142" t="n">
        <v>4648308</v>
      </c>
      <c r="B6" s="142" t="s">
        <v>230</v>
      </c>
      <c r="C6" s="142" t="n">
        <v>551</v>
      </c>
      <c r="D6" s="142" t="n">
        <v>4408</v>
      </c>
      <c r="E6" s="142" t="n">
        <v>-112</v>
      </c>
      <c r="F6" s="142"/>
      <c r="G6" s="142" t="n">
        <v>0</v>
      </c>
      <c r="H6" s="142" t="n">
        <v>0</v>
      </c>
      <c r="I6" s="142" t="n">
        <v>0</v>
      </c>
      <c r="J6" s="142"/>
      <c r="K6" s="142" t="n">
        <v>3570.38314999999</v>
      </c>
      <c r="L6" s="142" t="n">
        <v>0</v>
      </c>
      <c r="M6" s="142" t="n">
        <v>964.25</v>
      </c>
      <c r="N6" s="142" t="n">
        <v>0</v>
      </c>
      <c r="O6" s="142" t="n">
        <v>0</v>
      </c>
      <c r="P6" s="142" t="n">
        <v>93.12</v>
      </c>
    </row>
    <row r="7" customFormat="false" ht="14.25" hidden="false" customHeight="false" outlineLevel="0" collapsed="false">
      <c r="A7" s="142" t="n">
        <v>4648709</v>
      </c>
      <c r="B7" s="142" t="s">
        <v>230</v>
      </c>
      <c r="C7" s="142" t="n">
        <v>391</v>
      </c>
      <c r="D7" s="142" t="n">
        <v>3128</v>
      </c>
      <c r="E7" s="142" t="n">
        <v>-76</v>
      </c>
      <c r="F7" s="142"/>
      <c r="G7" s="142" t="n">
        <v>0</v>
      </c>
      <c r="H7" s="142" t="n">
        <v>0</v>
      </c>
      <c r="I7" s="142" t="n">
        <v>0</v>
      </c>
      <c r="J7" s="142"/>
      <c r="K7" s="142" t="n">
        <v>2269.28119999999</v>
      </c>
      <c r="L7" s="142" t="n">
        <v>0</v>
      </c>
      <c r="M7" s="142" t="n">
        <v>488.75</v>
      </c>
      <c r="N7" s="142" t="n">
        <v>0</v>
      </c>
      <c r="O7" s="142" t="n">
        <v>0</v>
      </c>
      <c r="P7" s="142" t="n">
        <v>266.18</v>
      </c>
    </row>
    <row r="8" customFormat="false" ht="14.25" hidden="false" customHeight="false" outlineLevel="0" collapsed="false">
      <c r="A8" s="142" t="n">
        <v>4652587</v>
      </c>
      <c r="B8" s="142" t="s">
        <v>230</v>
      </c>
      <c r="C8" s="142" t="n">
        <v>382</v>
      </c>
      <c r="D8" s="142" t="n">
        <v>3056</v>
      </c>
      <c r="E8" s="142" t="n">
        <v>-44</v>
      </c>
      <c r="F8" s="142"/>
      <c r="G8" s="142" t="n">
        <v>0</v>
      </c>
      <c r="H8" s="142" t="n">
        <v>0</v>
      </c>
      <c r="I8" s="142" t="n">
        <v>0</v>
      </c>
      <c r="J8" s="142"/>
      <c r="K8" s="142" t="n">
        <v>2761.76984999999</v>
      </c>
      <c r="L8" s="142" t="n">
        <v>-500</v>
      </c>
      <c r="M8" s="142" t="n">
        <v>286.5</v>
      </c>
      <c r="N8" s="142" t="n">
        <v>0</v>
      </c>
      <c r="O8" s="142" t="n">
        <v>0</v>
      </c>
      <c r="P8" s="142" t="n">
        <v>121.92</v>
      </c>
    </row>
    <row r="9" customFormat="false" ht="14.25" hidden="false" customHeight="false" outlineLevel="0" collapsed="false">
      <c r="A9" s="142" t="n">
        <v>4652654</v>
      </c>
      <c r="B9" s="142" t="s">
        <v>230</v>
      </c>
      <c r="C9" s="142" t="n">
        <v>433</v>
      </c>
      <c r="D9" s="142" t="n">
        <v>3464</v>
      </c>
      <c r="E9" s="142" t="n">
        <v>-44</v>
      </c>
      <c r="F9" s="142"/>
      <c r="G9" s="142" t="n">
        <v>0</v>
      </c>
      <c r="H9" s="142" t="n">
        <v>0</v>
      </c>
      <c r="I9" s="142" t="n">
        <v>0</v>
      </c>
      <c r="J9" s="142"/>
      <c r="K9" s="142" t="n">
        <v>3046.78584999999</v>
      </c>
      <c r="L9" s="142" t="n">
        <v>0</v>
      </c>
      <c r="M9" s="142" t="n">
        <v>757.75</v>
      </c>
      <c r="N9" s="142" t="n">
        <v>0</v>
      </c>
      <c r="O9" s="142" t="n">
        <v>0</v>
      </c>
      <c r="P9" s="142" t="n">
        <v>201.65</v>
      </c>
    </row>
    <row r="10" customFormat="false" ht="14.25" hidden="false" customHeight="false" outlineLevel="0" collapsed="false">
      <c r="A10" s="142" t="n">
        <v>4747290</v>
      </c>
      <c r="B10" s="142" t="s">
        <v>230</v>
      </c>
      <c r="C10" s="142" t="n">
        <v>498</v>
      </c>
      <c r="D10" s="142" t="n">
        <v>3984</v>
      </c>
      <c r="E10" s="142" t="n">
        <v>-52</v>
      </c>
      <c r="F10" s="142"/>
      <c r="G10" s="142" t="n">
        <v>0</v>
      </c>
      <c r="H10" s="142" t="n">
        <v>0</v>
      </c>
      <c r="I10" s="142" t="n">
        <v>0</v>
      </c>
      <c r="J10" s="142"/>
      <c r="K10" s="142" t="n">
        <v>3274.52379999999</v>
      </c>
      <c r="L10" s="142" t="n">
        <v>0</v>
      </c>
      <c r="M10" s="142" t="n">
        <v>622.5</v>
      </c>
      <c r="N10" s="142" t="n">
        <v>0</v>
      </c>
      <c r="O10" s="142" t="n">
        <v>0</v>
      </c>
      <c r="P10" s="142" t="n">
        <v>104.03</v>
      </c>
    </row>
    <row r="11" customFormat="false" ht="14.25" hidden="false" customHeight="false" outlineLevel="0" collapsed="false">
      <c r="A11" s="142" t="n">
        <v>4838471</v>
      </c>
      <c r="B11" s="142" t="s">
        <v>230</v>
      </c>
      <c r="C11" s="142" t="n">
        <v>146</v>
      </c>
      <c r="D11" s="142" t="n">
        <v>1168</v>
      </c>
      <c r="E11" s="142" t="n">
        <v>-32</v>
      </c>
      <c r="F11" s="142"/>
      <c r="G11" s="142" t="n">
        <v>0</v>
      </c>
      <c r="H11" s="142" t="n">
        <v>0</v>
      </c>
      <c r="I11" s="142" t="n">
        <v>0</v>
      </c>
      <c r="J11" s="142"/>
      <c r="K11" s="142" t="n">
        <v>972.152499999999</v>
      </c>
      <c r="L11" s="142" t="n">
        <v>-500</v>
      </c>
      <c r="M11" s="142" t="n">
        <v>109.5</v>
      </c>
      <c r="N11" s="142" t="n">
        <v>0</v>
      </c>
      <c r="O11" s="142" t="n">
        <v>0</v>
      </c>
      <c r="P11" s="142" t="n">
        <v>192.89</v>
      </c>
    </row>
    <row r="12" customFormat="false" ht="14.25" hidden="false" customHeight="false" outlineLevel="0" collapsed="false">
      <c r="A12" s="142" t="n">
        <v>4838478</v>
      </c>
      <c r="B12" s="142" t="s">
        <v>230</v>
      </c>
      <c r="C12" s="142" t="n">
        <v>171</v>
      </c>
      <c r="D12" s="142" t="n">
        <v>1368</v>
      </c>
      <c r="E12" s="142" t="n">
        <v>-36</v>
      </c>
      <c r="F12" s="142"/>
      <c r="G12" s="142" t="n">
        <v>0</v>
      </c>
      <c r="H12" s="142" t="n">
        <v>-85.5</v>
      </c>
      <c r="I12" s="142" t="n">
        <v>0</v>
      </c>
      <c r="J12" s="142"/>
      <c r="K12" s="142" t="n">
        <v>1071.66199999999</v>
      </c>
      <c r="L12" s="142" t="n">
        <v>0</v>
      </c>
      <c r="M12" s="142" t="n">
        <v>128.25</v>
      </c>
      <c r="N12" s="142" t="n">
        <v>0</v>
      </c>
      <c r="O12" s="142" t="n">
        <v>0</v>
      </c>
      <c r="P12" s="142" t="n">
        <v>200.44</v>
      </c>
    </row>
    <row r="13" customFormat="false" ht="14.25" hidden="false" customHeight="false" outlineLevel="0" collapsed="false">
      <c r="A13" s="142" t="n">
        <v>4844480</v>
      </c>
      <c r="B13" s="142" t="s">
        <v>230</v>
      </c>
      <c r="C13" s="142" t="n">
        <v>150</v>
      </c>
      <c r="D13" s="142" t="n">
        <v>1200</v>
      </c>
      <c r="E13" s="142" t="n">
        <v>-36</v>
      </c>
      <c r="F13" s="142"/>
      <c r="G13" s="142" t="n">
        <v>0</v>
      </c>
      <c r="H13" s="142" t="n">
        <v>-75</v>
      </c>
      <c r="I13" s="142" t="n">
        <v>0</v>
      </c>
      <c r="J13" s="142"/>
      <c r="K13" s="142" t="n">
        <v>881.95225</v>
      </c>
      <c r="L13" s="142" t="n">
        <v>0</v>
      </c>
      <c r="M13" s="142" t="n">
        <v>112.5</v>
      </c>
      <c r="N13" s="142" t="n">
        <v>0</v>
      </c>
      <c r="O13" s="142" t="n">
        <v>0</v>
      </c>
      <c r="P13" s="142" t="n">
        <v>57.17</v>
      </c>
    </row>
    <row r="14" customFormat="false" ht="14.25" hidden="false" customHeight="false" outlineLevel="0" collapsed="false">
      <c r="A14" s="142" t="n">
        <v>4849222</v>
      </c>
      <c r="B14" s="142" t="s">
        <v>230</v>
      </c>
      <c r="C14" s="142" t="n">
        <v>105</v>
      </c>
      <c r="D14" s="142" t="n">
        <v>840</v>
      </c>
      <c r="E14" s="142" t="n">
        <v>-20</v>
      </c>
      <c r="F14" s="142"/>
      <c r="G14" s="142" t="n">
        <v>0</v>
      </c>
      <c r="H14" s="142" t="n">
        <v>-52.5</v>
      </c>
      <c r="I14" s="142" t="n">
        <v>0</v>
      </c>
      <c r="J14" s="142"/>
      <c r="K14" s="142" t="n">
        <v>688.47165</v>
      </c>
      <c r="L14" s="142" t="n">
        <v>0</v>
      </c>
      <c r="M14" s="142" t="n">
        <v>131.25</v>
      </c>
      <c r="N14" s="142" t="n">
        <v>0</v>
      </c>
      <c r="O14" s="142" t="n">
        <v>0</v>
      </c>
      <c r="P14" s="142" t="n">
        <v>190.77</v>
      </c>
    </row>
    <row r="15" customFormat="false" ht="14.25" hidden="false" customHeight="false" outlineLevel="0" collapsed="false">
      <c r="A15" s="142" t="n">
        <v>4849909</v>
      </c>
      <c r="B15" s="142" t="s">
        <v>230</v>
      </c>
      <c r="C15" s="142" t="n">
        <v>101</v>
      </c>
      <c r="D15" s="142" t="n">
        <v>808</v>
      </c>
      <c r="E15" s="142" t="n">
        <v>-20</v>
      </c>
      <c r="F15" s="142"/>
      <c r="G15" s="142" t="n">
        <v>0</v>
      </c>
      <c r="H15" s="142" t="n">
        <v>-50.5</v>
      </c>
      <c r="I15" s="142" t="n">
        <v>0</v>
      </c>
      <c r="J15" s="142"/>
      <c r="K15" s="142" t="n">
        <v>658.124299999999</v>
      </c>
      <c r="L15" s="142" t="n">
        <v>0</v>
      </c>
      <c r="M15" s="142" t="n">
        <v>75.75</v>
      </c>
      <c r="N15" s="142" t="n">
        <v>0</v>
      </c>
      <c r="O15" s="142" t="n">
        <v>0</v>
      </c>
      <c r="P15" s="142" t="n">
        <v>213.56</v>
      </c>
    </row>
    <row r="16" customFormat="false" ht="14.25" hidden="false" customHeight="false" outlineLevel="0" collapsed="false">
      <c r="A16" s="142" t="n">
        <v>4849914</v>
      </c>
      <c r="B16" s="142" t="s">
        <v>230</v>
      </c>
      <c r="C16" s="142" t="n">
        <v>72</v>
      </c>
      <c r="D16" s="142" t="n">
        <v>432</v>
      </c>
      <c r="E16" s="142" t="n">
        <v>-32</v>
      </c>
      <c r="F16" s="142"/>
      <c r="G16" s="142" t="n">
        <v>0</v>
      </c>
      <c r="H16" s="142" t="n">
        <v>-36</v>
      </c>
      <c r="I16" s="142" t="n">
        <v>0</v>
      </c>
      <c r="J16" s="142"/>
      <c r="K16" s="142" t="n">
        <v>350.1396</v>
      </c>
      <c r="L16" s="142" t="n">
        <v>0</v>
      </c>
      <c r="M16" s="142" t="n">
        <v>54</v>
      </c>
      <c r="N16" s="142" t="n">
        <v>0</v>
      </c>
      <c r="O16" s="142" t="n">
        <v>0</v>
      </c>
      <c r="P16" s="142" t="n">
        <v>268.09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E699"/>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2"/>
    <col collapsed="false" customWidth="true" hidden="false" outlineLevel="0" max="3" min="3" style="0" width="24"/>
    <col collapsed="false" customWidth="true" hidden="false" outlineLevel="0" max="4" min="4" style="0" width="40"/>
    <col collapsed="false" customWidth="true" hidden="false" outlineLevel="0" max="5" min="5" style="0" width="3"/>
    <col collapsed="false" customWidth="true" hidden="false" outlineLevel="0" max="6" min="6" style="0" width="70"/>
  </cols>
  <sheetData>
    <row r="1" customFormat="false" ht="33.75" hidden="false" customHeight="true" outlineLevel="0" collapsed="false">
      <c r="A1" s="146" t="s">
        <v>27</v>
      </c>
      <c r="B1" s="146" t="s">
        <v>28</v>
      </c>
      <c r="C1" s="146" t="s">
        <v>255</v>
      </c>
      <c r="D1" s="146" t="s">
        <v>256</v>
      </c>
      <c r="F1" s="147" t="s">
        <v>257</v>
      </c>
    </row>
    <row r="2" customFormat="false" ht="15" hidden="false" customHeight="false" outlineLevel="0" collapsed="false">
      <c r="A2" s="148" t="n">
        <v>4611383</v>
      </c>
      <c r="B2" s="148"/>
      <c r="C2" s="149"/>
      <c r="D2" s="148"/>
    </row>
    <row r="3" customFormat="false" ht="15" hidden="false" customHeight="false" outlineLevel="0" collapsed="false">
      <c r="A3" s="148" t="n">
        <v>4642935</v>
      </c>
      <c r="B3" s="148"/>
      <c r="C3" s="149"/>
      <c r="D3" s="148"/>
    </row>
    <row r="4" customFormat="false" ht="15" hidden="false" customHeight="false" outlineLevel="0" collapsed="false">
      <c r="A4" s="148" t="n">
        <v>4643856</v>
      </c>
      <c r="B4" s="148"/>
      <c r="C4" s="149"/>
      <c r="D4" s="148"/>
    </row>
    <row r="5" customFormat="false" ht="15" hidden="false" customHeight="false" outlineLevel="0" collapsed="false">
      <c r="A5" s="148" t="n">
        <v>4644774</v>
      </c>
      <c r="B5" s="148"/>
      <c r="C5" s="149"/>
      <c r="D5" s="148"/>
    </row>
    <row r="6" customFormat="false" ht="15" hidden="false" customHeight="false" outlineLevel="0" collapsed="false">
      <c r="A6" s="148" t="n">
        <v>4648308</v>
      </c>
      <c r="B6" s="148"/>
      <c r="C6" s="149"/>
      <c r="D6" s="148"/>
    </row>
    <row r="7" customFormat="false" ht="15" hidden="false" customHeight="false" outlineLevel="0" collapsed="false">
      <c r="A7" s="148" t="n">
        <v>4648709</v>
      </c>
      <c r="B7" s="148"/>
      <c r="C7" s="149"/>
      <c r="D7" s="148"/>
    </row>
    <row r="8" customFormat="false" ht="15" hidden="false" customHeight="false" outlineLevel="0" collapsed="false">
      <c r="A8" s="148" t="n">
        <v>4652587</v>
      </c>
      <c r="B8" s="148"/>
      <c r="C8" s="149"/>
      <c r="D8" s="148"/>
    </row>
    <row r="9" customFormat="false" ht="15" hidden="false" customHeight="false" outlineLevel="0" collapsed="false">
      <c r="A9" s="148" t="n">
        <v>4652654</v>
      </c>
      <c r="B9" s="148"/>
      <c r="C9" s="149"/>
      <c r="D9" s="148"/>
    </row>
    <row r="10" customFormat="false" ht="15" hidden="false" customHeight="false" outlineLevel="0" collapsed="false">
      <c r="A10" s="148" t="n">
        <v>4747290</v>
      </c>
      <c r="B10" s="148"/>
      <c r="C10" s="149"/>
      <c r="D10" s="148"/>
    </row>
    <row r="11" customFormat="false" ht="15" hidden="false" customHeight="false" outlineLevel="0" collapsed="false">
      <c r="A11" s="148" t="n">
        <v>4838471</v>
      </c>
      <c r="B11" s="148"/>
      <c r="C11" s="149"/>
      <c r="D11" s="148"/>
    </row>
    <row r="12" customFormat="false" ht="15" hidden="false" customHeight="false" outlineLevel="0" collapsed="false">
      <c r="A12" s="148" t="n">
        <v>4838478</v>
      </c>
      <c r="B12" s="148"/>
      <c r="C12" s="149"/>
      <c r="D12" s="148"/>
    </row>
    <row r="13" customFormat="false" ht="15" hidden="false" customHeight="false" outlineLevel="0" collapsed="false">
      <c r="A13" s="148" t="n">
        <v>4844480</v>
      </c>
      <c r="B13" s="148"/>
      <c r="C13" s="149"/>
      <c r="D13" s="148"/>
    </row>
    <row r="14" customFormat="false" ht="15" hidden="false" customHeight="false" outlineLevel="0" collapsed="false">
      <c r="A14" s="148" t="n">
        <v>4849222</v>
      </c>
      <c r="B14" s="148"/>
      <c r="C14" s="149"/>
      <c r="D14" s="148"/>
    </row>
    <row r="15" customFormat="false" ht="15" hidden="false" customHeight="false" outlineLevel="0" collapsed="false">
      <c r="A15" s="148" t="n">
        <v>4849909</v>
      </c>
      <c r="B15" s="148"/>
      <c r="C15" s="149"/>
      <c r="D15" s="148"/>
    </row>
    <row r="16" customFormat="false" ht="15" hidden="false" customHeight="false" outlineLevel="0" collapsed="false">
      <c r="A16" s="148" t="n">
        <v>4849914</v>
      </c>
      <c r="B16" s="148"/>
      <c r="C16" s="149"/>
      <c r="D16" s="14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E699"/>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0"/>
    <col collapsed="false" customWidth="true" hidden="false" outlineLevel="0" max="3" min="3" style="0" width="50"/>
    <col collapsed="false" customWidth="true" hidden="false" outlineLevel="0" max="4" min="4" style="0" width="3"/>
    <col collapsed="false" customWidth="true" hidden="false" outlineLevel="0" max="5" min="5" style="0" width="70"/>
  </cols>
  <sheetData>
    <row r="1" customFormat="false" ht="68.65" hidden="false" customHeight="false" outlineLevel="0" collapsed="false">
      <c r="A1" s="150" t="s">
        <v>27</v>
      </c>
      <c r="B1" s="150" t="s">
        <v>51</v>
      </c>
      <c r="C1" s="150" t="s">
        <v>258</v>
      </c>
      <c r="E1" s="147" t="s">
        <v>259</v>
      </c>
    </row>
    <row r="2" customFormat="false" ht="15" hidden="false" customHeight="false" outlineLevel="0" collapsed="false">
      <c r="A2" s="148"/>
      <c r="B2" s="149"/>
      <c r="C2" s="14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8C9B"/>
    <pageSetUpPr fitToPage="true"/>
  </sheetPr>
  <dimension ref="A1:L501"/>
  <sheetViews>
    <sheetView showFormulas="false" showGridLines="true" showRowColHeaders="true" showZeros="true" rightToLeft="false" tabSelected="false" showOutlineSymbols="true" defaultGridColor="true" view="normal" topLeftCell="H1" colorId="64" zoomScale="100" zoomScaleNormal="100" zoomScalePageLayoutView="100" workbookViewId="0">
      <pane xSplit="3" ySplit="1" topLeftCell="D2" activePane="bottomRight" state="frozen"/>
      <selection pane="topLeft" activeCell="H1" activeCellId="0" sqref="H1"/>
      <selection pane="topRight" activeCell="D1" activeCellId="0" sqref="D1"/>
      <selection pane="bottomLeft" activeCell="H2" activeCellId="0" sqref="H2"/>
      <selection pane="bottomRight" activeCell="A6" activeCellId="0" sqref="A6"/>
    </sheetView>
  </sheetViews>
  <sheetFormatPr defaultColWidth="8.6796875" defaultRowHeight="14.25" zeroHeight="false" outlineLevelRow="0" outlineLevelCol="0"/>
  <cols>
    <col collapsed="false" customWidth="true" hidden="false" outlineLevel="0" max="1" min="1" style="0" width="19.44"/>
    <col collapsed="false" customWidth="true" hidden="false" outlineLevel="0" max="2" min="2" style="0" width="17.56"/>
    <col collapsed="false" customWidth="true" hidden="false" outlineLevel="0" max="3" min="3" style="0" width="27.77"/>
    <col collapsed="false" customWidth="true" hidden="false" outlineLevel="0" max="11" min="4" style="0" width="22.22"/>
    <col collapsed="false" customWidth="true" hidden="false" outlineLevel="0" max="12" min="12" style="0" width="66.67"/>
  </cols>
  <sheetData>
    <row r="1" customFormat="false" ht="33.75" hidden="false" customHeight="true" outlineLevel="0" collapsed="false">
      <c r="A1" s="151" t="s">
        <v>260</v>
      </c>
      <c r="B1" s="151" t="s">
        <v>27</v>
      </c>
      <c r="C1" s="151" t="s">
        <v>28</v>
      </c>
      <c r="D1" s="151" t="s">
        <v>261</v>
      </c>
      <c r="E1" s="151" t="s">
        <v>262</v>
      </c>
      <c r="F1" s="151" t="s">
        <v>43</v>
      </c>
      <c r="G1" s="151" t="s">
        <v>44</v>
      </c>
      <c r="H1" s="151" t="s">
        <v>222</v>
      </c>
      <c r="I1" s="151" t="s">
        <v>263</v>
      </c>
      <c r="J1" s="151" t="s">
        <v>264</v>
      </c>
      <c r="K1" s="151" t="s">
        <v>51</v>
      </c>
      <c r="L1" s="151" t="s">
        <v>256</v>
      </c>
    </row>
    <row r="2" customFormat="false" ht="129" hidden="false" customHeight="true" outlineLevel="0" collapsed="false">
      <c r="A2" s="152" t="n">
        <f aca="false">IF(Rider_Input[[#This Row],[Rider ID]]="","",Salary_Month)</f>
        <v>46235</v>
      </c>
      <c r="B2" s="153" t="n">
        <f aca="false">IFERROR(IF(INDEX(FTR_Data,ROW()-ROW(Rider_Input[#Headers]),c_FTR_ID)="","",INDEX(FTR_Data,ROW()-ROW(Rider_Input[#Headers]),c_FTR_ID)),"")</f>
        <v>4849914</v>
      </c>
      <c r="C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Rider 4849914</v>
      </c>
      <c r="D2" s="155" t="n">
        <f aca="false">IF(Rider_Input[[#This Row],[Rider ID]]="","",IFERROR(IF(INDEX(Rider_Master[Basic Payment (blank = default)],MATCH(Rider_Input[[#This Row],[Rider ID]],Rider_Master[Rider ID],0))="",Default_Basic,INDEX(Rider_Master[Basic Payment (blank = default)],MATCH(Rider_Input[[#This Row],[Rider ID]],Rider_Master[Rider ID],0))),Default_Basic))</f>
        <v>2000</v>
      </c>
      <c r="E2" s="153" t="n">
        <f aca="false">IF(Rider_Input[[#This Row],[Rider ID]]="","",DAY(EOMONTH(Salary_Month,0)))</f>
        <v>31</v>
      </c>
      <c r="F2" s="153" t="n">
        <f aca="false">IF(Rider_Input[[#This Row],[Rider ID]]="","",IFERROR(IF(INDEX(FTR_Data,ROW()-ROW(Rider_Input[#Headers]),c_FTR_WD)="","",INDEX(FTR_Data,ROW()-ROW(Rider_Input[#Headers]),c_FTR_WD)),""))</f>
        <v>8</v>
      </c>
      <c r="G2" s="153" t="n">
        <f aca="false">IF(Rider_Input[[#This Row],[Rider ID]]="","",IFERROR(IF(INDEX(FTR_Data,ROW()-ROW(Rider_Input[#Headers]),c_FTR_Orders)="","",INDEX(FTR_Data,ROW()-ROW(Rider_Input[#Headers]),c_FTR_Orders)),""))</f>
        <v>72</v>
      </c>
      <c r="H2" s="155" t="n">
        <f aca="false">IF(Rider_Input[[#This Row],[Rider ID]]="","",IFERROR(ABS(INDEX(RLVL_Data,MATCH(Rider_Input[[#This Row],[Rider ID]],INDEX(RLVL_Data,0,c_RLVL_ID),0),c_RLVL_Missed)),0))</f>
        <v>0</v>
      </c>
      <c r="I2" s="155" t="n">
        <f aca="false">IF(Rider_Input[[#This Row],[Rider ID]]="","",IFERROR(ABS(INDEX(RLVL_Data,MATCH(Rider_Input[[#This Row],[Rider ID]],INDEX(RLVL_Data,0,c_RLVL_ID),0),c_RLVL_Bal)),0))</f>
        <v>268.09</v>
      </c>
      <c r="J2" s="155" t="n">
        <f aca="false">IF(Rider_Input[[#This Row],[Rider ID]]="","",IFERROR(ABS(INDEX(RLVL_Data,MATCH(Rider_Input[[#This Row],[Rider ID]],INDEX(RLVL_Data,0,c_RLVL_ID),0),c_RLVL_Stack)),0))</f>
        <v>32</v>
      </c>
      <c r="K2" s="155" t="n">
        <f aca="false">IF(Rider_Input[[#This Row],[Rider ID]]="","",SUMIFS(Adj_Input[Other Deductions],Adj_Input[Rider ID],Rider_Input[[#This Row],[Rider ID]]))</f>
        <v>0</v>
      </c>
      <c r="L2" s="154" t="str">
        <f aca="false">IF(Rider_Input[[#This Row],[Rider ID]]="","",IFERROR(INDEX(Adj_Input[Note / Reason],MATCH(Rider_Input[[#This Row],[Rider ID]],Adj_Input[Rider ID],0))&amp;"",""))</f>
        <v/>
      </c>
    </row>
    <row r="3" customFormat="false" ht="129" hidden="false" customHeight="true" outlineLevel="0" collapsed="false">
      <c r="A3" s="152" t="n">
        <f aca="false">IF(Rider_Input[[#This Row],[Rider ID]]="","",Salary_Month)</f>
        <v>46235</v>
      </c>
      <c r="B3" s="153" t="n">
        <f aca="false">IFERROR(IF(INDEX(FTR_Data,ROW()-ROW(Rider_Input[#Headers]),c_FTR_ID)="","",INDEX(FTR_Data,ROW()-ROW(Rider_Input[#Headers]),c_FTR_ID)),"")</f>
        <v>4849909</v>
      </c>
      <c r="C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Rider 4849909</v>
      </c>
      <c r="D3" s="155" t="n">
        <f aca="false">IF(Rider_Input[[#This Row],[Rider ID]]="","",IFERROR(IF(INDEX(Rider_Master[Basic Payment (blank = default)],MATCH(Rider_Input[[#This Row],[Rider ID]],Rider_Master[Rider ID],0))="",Default_Basic,INDEX(Rider_Master[Basic Payment (blank = default)],MATCH(Rider_Input[[#This Row],[Rider ID]],Rider_Master[Rider ID],0))),Default_Basic))</f>
        <v>2000</v>
      </c>
      <c r="E3" s="153" t="n">
        <f aca="false">IF(Rider_Input[[#This Row],[Rider ID]]="","",DAY(EOMONTH(Salary_Month,0)))</f>
        <v>31</v>
      </c>
      <c r="F3" s="153" t="n">
        <f aca="false">IF(Rider_Input[[#This Row],[Rider ID]]="","",IFERROR(IF(INDEX(FTR_Data,ROW()-ROW(Rider_Input[#Headers]),c_FTR_WD)="","",INDEX(FTR_Data,ROW()-ROW(Rider_Input[#Headers]),c_FTR_WD)),""))</f>
        <v>11</v>
      </c>
      <c r="G3" s="153" t="n">
        <f aca="false">IF(Rider_Input[[#This Row],[Rider ID]]="","",IFERROR(IF(INDEX(FTR_Data,ROW()-ROW(Rider_Input[#Headers]),c_FTR_Orders)="","",INDEX(FTR_Data,ROW()-ROW(Rider_Input[#Headers]),c_FTR_Orders)),""))</f>
        <v>101</v>
      </c>
      <c r="H3" s="155" t="n">
        <f aca="false">IF(Rider_Input[[#This Row],[Rider ID]]="","",IFERROR(ABS(INDEX(RLVL_Data,MATCH(Rider_Input[[#This Row],[Rider ID]],INDEX(RLVL_Data,0,c_RLVL_ID),0),c_RLVL_Missed)),0))</f>
        <v>0</v>
      </c>
      <c r="I3" s="155" t="n">
        <f aca="false">IF(Rider_Input[[#This Row],[Rider ID]]="","",IFERROR(ABS(INDEX(RLVL_Data,MATCH(Rider_Input[[#This Row],[Rider ID]],INDEX(RLVL_Data,0,c_RLVL_ID),0),c_RLVL_Bal)),0))</f>
        <v>213.56</v>
      </c>
      <c r="J3" s="155" t="n">
        <f aca="false">IF(Rider_Input[[#This Row],[Rider ID]]="","",IFERROR(ABS(INDEX(RLVL_Data,MATCH(Rider_Input[[#This Row],[Rider ID]],INDEX(RLVL_Data,0,c_RLVL_ID),0),c_RLVL_Stack)),0))</f>
        <v>20</v>
      </c>
      <c r="K3" s="155" t="n">
        <f aca="false">IF(Rider_Input[[#This Row],[Rider ID]]="","",SUMIFS(Adj_Input[Other Deductions],Adj_Input[Rider ID],Rider_Input[[#This Row],[Rider ID]]))</f>
        <v>0</v>
      </c>
      <c r="L3" s="154" t="str">
        <f aca="false">IF(Rider_Input[[#This Row],[Rider ID]]="","",IFERROR(INDEX(Adj_Input[Note / Reason],MATCH(Rider_Input[[#This Row],[Rider ID]],Adj_Input[Rider ID],0))&amp;"",""))</f>
        <v/>
      </c>
    </row>
    <row r="4" customFormat="false" ht="129" hidden="false" customHeight="true" outlineLevel="0" collapsed="false">
      <c r="A4" s="152" t="n">
        <f aca="false">IF(Rider_Input[[#This Row],[Rider ID]]="","",Salary_Month)</f>
        <v>46235</v>
      </c>
      <c r="B4" s="153" t="n">
        <f aca="false">IFERROR(IF(INDEX(FTR_Data,ROW()-ROW(Rider_Input[#Headers]),c_FTR_ID)="","",INDEX(FTR_Data,ROW()-ROW(Rider_Input[#Headers]),c_FTR_ID)),"")</f>
        <v>4849222</v>
      </c>
      <c r="C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Rider 4849222</v>
      </c>
      <c r="D4" s="155" t="n">
        <f aca="false">IF(Rider_Input[[#This Row],[Rider ID]]="","",IFERROR(IF(INDEX(Rider_Master[Basic Payment (blank = default)],MATCH(Rider_Input[[#This Row],[Rider ID]],Rider_Master[Rider ID],0))="",Default_Basic,INDEX(Rider_Master[Basic Payment (blank = default)],MATCH(Rider_Input[[#This Row],[Rider ID]],Rider_Master[Rider ID],0))),Default_Basic))</f>
        <v>2000</v>
      </c>
      <c r="E4" s="153" t="n">
        <f aca="false">IF(Rider_Input[[#This Row],[Rider ID]]="","",DAY(EOMONTH(Salary_Month,0)))</f>
        <v>31</v>
      </c>
      <c r="F4" s="153" t="n">
        <f aca="false">IF(Rider_Input[[#This Row],[Rider ID]]="","",IFERROR(IF(INDEX(FTR_Data,ROW()-ROW(Rider_Input[#Headers]),c_FTR_WD)="","",INDEX(FTR_Data,ROW()-ROW(Rider_Input[#Headers]),c_FTR_WD)),""))</f>
        <v>11</v>
      </c>
      <c r="G4" s="153" t="n">
        <f aca="false">IF(Rider_Input[[#This Row],[Rider ID]]="","",IFERROR(IF(INDEX(FTR_Data,ROW()-ROW(Rider_Input[#Headers]),c_FTR_Orders)="","",INDEX(FTR_Data,ROW()-ROW(Rider_Input[#Headers]),c_FTR_Orders)),""))</f>
        <v>105</v>
      </c>
      <c r="H4" s="155" t="n">
        <f aca="false">IF(Rider_Input[[#This Row],[Rider ID]]="","",IFERROR(ABS(INDEX(RLVL_Data,MATCH(Rider_Input[[#This Row],[Rider ID]],INDEX(RLVL_Data,0,c_RLVL_ID),0),c_RLVL_Missed)),0))</f>
        <v>0</v>
      </c>
      <c r="I4" s="155" t="n">
        <f aca="false">IF(Rider_Input[[#This Row],[Rider ID]]="","",IFERROR(ABS(INDEX(RLVL_Data,MATCH(Rider_Input[[#This Row],[Rider ID]],INDEX(RLVL_Data,0,c_RLVL_ID),0),c_RLVL_Bal)),0))</f>
        <v>190.77</v>
      </c>
      <c r="J4" s="155" t="n">
        <f aca="false">IF(Rider_Input[[#This Row],[Rider ID]]="","",IFERROR(ABS(INDEX(RLVL_Data,MATCH(Rider_Input[[#This Row],[Rider ID]],INDEX(RLVL_Data,0,c_RLVL_ID),0),c_RLVL_Stack)),0))</f>
        <v>20</v>
      </c>
      <c r="K4" s="155" t="n">
        <f aca="false">IF(Rider_Input[[#This Row],[Rider ID]]="","",SUMIFS(Adj_Input[Other Deductions],Adj_Input[Rider ID],Rider_Input[[#This Row],[Rider ID]]))</f>
        <v>0</v>
      </c>
      <c r="L4" s="154" t="str">
        <f aca="false">IF(Rider_Input[[#This Row],[Rider ID]]="","",IFERROR(INDEX(Adj_Input[Note / Reason],MATCH(Rider_Input[[#This Row],[Rider ID]],Adj_Input[Rider ID],0))&amp;"",""))</f>
        <v/>
      </c>
    </row>
    <row r="5" customFormat="false" ht="129" hidden="false" customHeight="true" outlineLevel="0" collapsed="false">
      <c r="A5" s="152" t="n">
        <f aca="false">IF(Rider_Input[[#This Row],[Rider ID]]="","",Salary_Month)</f>
        <v>46235</v>
      </c>
      <c r="B5" s="153" t="n">
        <f aca="false">IFERROR(IF(INDEX(FTR_Data,ROW()-ROW(Rider_Input[#Headers]),c_FTR_ID)="","",INDEX(FTR_Data,ROW()-ROW(Rider_Input[#Headers]),c_FTR_ID)),"")</f>
        <v>4844480</v>
      </c>
      <c r="C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Rider 4844480</v>
      </c>
      <c r="D5" s="155" t="n">
        <f aca="false">IF(Rider_Input[[#This Row],[Rider ID]]="","",IFERROR(IF(INDEX(Rider_Master[Basic Payment (blank = default)],MATCH(Rider_Input[[#This Row],[Rider ID]],Rider_Master[Rider ID],0))="",Default_Basic,INDEX(Rider_Master[Basic Payment (blank = default)],MATCH(Rider_Input[[#This Row],[Rider ID]],Rider_Master[Rider ID],0))),Default_Basic))</f>
        <v>2000</v>
      </c>
      <c r="E5" s="153" t="n">
        <f aca="false">IF(Rider_Input[[#This Row],[Rider ID]]="","",DAY(EOMONTH(Salary_Month,0)))</f>
        <v>31</v>
      </c>
      <c r="F5" s="153" t="n">
        <f aca="false">IF(Rider_Input[[#This Row],[Rider ID]]="","",IFERROR(IF(INDEX(FTR_Data,ROW()-ROW(Rider_Input[#Headers]),c_FTR_WD)="","",INDEX(FTR_Data,ROW()-ROW(Rider_Input[#Headers]),c_FTR_WD)),""))</f>
        <v>12</v>
      </c>
      <c r="G5" s="153" t="n">
        <f aca="false">IF(Rider_Input[[#This Row],[Rider ID]]="","",IFERROR(IF(INDEX(FTR_Data,ROW()-ROW(Rider_Input[#Headers]),c_FTR_Orders)="","",INDEX(FTR_Data,ROW()-ROW(Rider_Input[#Headers]),c_FTR_Orders)),""))</f>
        <v>150</v>
      </c>
      <c r="H5" s="155" t="n">
        <f aca="false">IF(Rider_Input[[#This Row],[Rider ID]]="","",IFERROR(ABS(INDEX(RLVL_Data,MATCH(Rider_Input[[#This Row],[Rider ID]],INDEX(RLVL_Data,0,c_RLVL_ID),0),c_RLVL_Missed)),0))</f>
        <v>0</v>
      </c>
      <c r="I5" s="155" t="n">
        <f aca="false">IF(Rider_Input[[#This Row],[Rider ID]]="","",IFERROR(ABS(INDEX(RLVL_Data,MATCH(Rider_Input[[#This Row],[Rider ID]],INDEX(RLVL_Data,0,c_RLVL_ID),0),c_RLVL_Bal)),0))</f>
        <v>57.17</v>
      </c>
      <c r="J5" s="155" t="n">
        <f aca="false">IF(Rider_Input[[#This Row],[Rider ID]]="","",IFERROR(ABS(INDEX(RLVL_Data,MATCH(Rider_Input[[#This Row],[Rider ID]],INDEX(RLVL_Data,0,c_RLVL_ID),0),c_RLVL_Stack)),0))</f>
        <v>36</v>
      </c>
      <c r="K5" s="155" t="n">
        <f aca="false">IF(Rider_Input[[#This Row],[Rider ID]]="","",SUMIFS(Adj_Input[Other Deductions],Adj_Input[Rider ID],Rider_Input[[#This Row],[Rider ID]]))</f>
        <v>0</v>
      </c>
      <c r="L5" s="154" t="str">
        <f aca="false">IF(Rider_Input[[#This Row],[Rider ID]]="","",IFERROR(INDEX(Adj_Input[Note / Reason],MATCH(Rider_Input[[#This Row],[Rider ID]],Adj_Input[Rider ID],0))&amp;"",""))</f>
        <v/>
      </c>
    </row>
    <row r="6" customFormat="false" ht="129" hidden="false" customHeight="true" outlineLevel="0" collapsed="false">
      <c r="A6" s="152" t="n">
        <f aca="false">IF(Rider_Input[[#This Row],[Rider ID]]="","",Salary_Month)</f>
        <v>46235</v>
      </c>
      <c r="B6" s="153" t="n">
        <f aca="false">IFERROR(IF(INDEX(FTR_Data,ROW()-ROW(Rider_Input[#Headers]),c_FTR_ID)="","",INDEX(FTR_Data,ROW()-ROW(Rider_Input[#Headers]),c_FTR_ID)),"")</f>
        <v>4838478</v>
      </c>
      <c r="C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Rider 4838478</v>
      </c>
      <c r="D6" s="155" t="n">
        <f aca="false">IF(Rider_Input[[#This Row],[Rider ID]]="","",IFERROR(IF(INDEX(Rider_Master[Basic Payment (blank = default)],MATCH(Rider_Input[[#This Row],[Rider ID]],Rider_Master[Rider ID],0))="",Default_Basic,INDEX(Rider_Master[Basic Payment (blank = default)],MATCH(Rider_Input[[#This Row],[Rider ID]],Rider_Master[Rider ID],0))),Default_Basic))</f>
        <v>2000</v>
      </c>
      <c r="E6" s="153" t="n">
        <f aca="false">IF(Rider_Input[[#This Row],[Rider ID]]="","",DAY(EOMONTH(Salary_Month,0)))</f>
        <v>31</v>
      </c>
      <c r="F6" s="153" t="n">
        <f aca="false">IF(Rider_Input[[#This Row],[Rider ID]]="","",IFERROR(IF(INDEX(FTR_Data,ROW()-ROW(Rider_Input[#Headers]),c_FTR_WD)="","",INDEX(FTR_Data,ROW()-ROW(Rider_Input[#Headers]),c_FTR_WD)),""))</f>
        <v>14</v>
      </c>
      <c r="G6" s="153" t="n">
        <f aca="false">IF(Rider_Input[[#This Row],[Rider ID]]="","",IFERROR(IF(INDEX(FTR_Data,ROW()-ROW(Rider_Input[#Headers]),c_FTR_Orders)="","",INDEX(FTR_Data,ROW()-ROW(Rider_Input[#Headers]),c_FTR_Orders)),""))</f>
        <v>171</v>
      </c>
      <c r="H6" s="155" t="n">
        <f aca="false">IF(Rider_Input[[#This Row],[Rider ID]]="","",IFERROR(ABS(INDEX(RLVL_Data,MATCH(Rider_Input[[#This Row],[Rider ID]],INDEX(RLVL_Data,0,c_RLVL_ID),0),c_RLVL_Missed)),0))</f>
        <v>0</v>
      </c>
      <c r="I6" s="155" t="n">
        <f aca="false">IF(Rider_Input[[#This Row],[Rider ID]]="","",IFERROR(ABS(INDEX(RLVL_Data,MATCH(Rider_Input[[#This Row],[Rider ID]],INDEX(RLVL_Data,0,c_RLVL_ID),0),c_RLVL_Bal)),0))</f>
        <v>200.44</v>
      </c>
      <c r="J6" s="155" t="n">
        <f aca="false">IF(Rider_Input[[#This Row],[Rider ID]]="","",IFERROR(ABS(INDEX(RLVL_Data,MATCH(Rider_Input[[#This Row],[Rider ID]],INDEX(RLVL_Data,0,c_RLVL_ID),0),c_RLVL_Stack)),0))</f>
        <v>36</v>
      </c>
      <c r="K6" s="155" t="n">
        <f aca="false">IF(Rider_Input[[#This Row],[Rider ID]]="","",SUMIFS(Adj_Input[Other Deductions],Adj_Input[Rider ID],Rider_Input[[#This Row],[Rider ID]]))</f>
        <v>0</v>
      </c>
      <c r="L6" s="154" t="str">
        <f aca="false">IF(Rider_Input[[#This Row],[Rider ID]]="","",IFERROR(INDEX(Adj_Input[Note / Reason],MATCH(Rider_Input[[#This Row],[Rider ID]],Adj_Input[Rider ID],0))&amp;"",""))</f>
        <v/>
      </c>
    </row>
    <row r="7" customFormat="false" ht="129" hidden="false" customHeight="true" outlineLevel="0" collapsed="false">
      <c r="A7" s="152" t="n">
        <f aca="false">IF(Rider_Input[[#This Row],[Rider ID]]="","",Salary_Month)</f>
        <v>46235</v>
      </c>
      <c r="B7" s="153" t="n">
        <f aca="false">IFERROR(IF(INDEX(FTR_Data,ROW()-ROW(Rider_Input[#Headers]),c_FTR_ID)="","",INDEX(FTR_Data,ROW()-ROW(Rider_Input[#Headers]),c_FTR_ID)),"")</f>
        <v>4838471</v>
      </c>
      <c r="C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Rider 4838471</v>
      </c>
      <c r="D7" s="155" t="n">
        <f aca="false">IF(Rider_Input[[#This Row],[Rider ID]]="","",IFERROR(IF(INDEX(Rider_Master[Basic Payment (blank = default)],MATCH(Rider_Input[[#This Row],[Rider ID]],Rider_Master[Rider ID],0))="",Default_Basic,INDEX(Rider_Master[Basic Payment (blank = default)],MATCH(Rider_Input[[#This Row],[Rider ID]],Rider_Master[Rider ID],0))),Default_Basic))</f>
        <v>2000</v>
      </c>
      <c r="E7" s="153" t="n">
        <f aca="false">IF(Rider_Input[[#This Row],[Rider ID]]="","",DAY(EOMONTH(Salary_Month,0)))</f>
        <v>31</v>
      </c>
      <c r="F7" s="153" t="n">
        <f aca="false">IF(Rider_Input[[#This Row],[Rider ID]]="","",IFERROR(IF(INDEX(FTR_Data,ROW()-ROW(Rider_Input[#Headers]),c_FTR_WD)="","",INDEX(FTR_Data,ROW()-ROW(Rider_Input[#Headers]),c_FTR_WD)),""))</f>
        <v>12</v>
      </c>
      <c r="G7" s="153" t="n">
        <f aca="false">IF(Rider_Input[[#This Row],[Rider ID]]="","",IFERROR(IF(INDEX(FTR_Data,ROW()-ROW(Rider_Input[#Headers]),c_FTR_Orders)="","",INDEX(FTR_Data,ROW()-ROW(Rider_Input[#Headers]),c_FTR_Orders)),""))</f>
        <v>146</v>
      </c>
      <c r="H7" s="155" t="n">
        <f aca="false">IF(Rider_Input[[#This Row],[Rider ID]]="","",IFERROR(ABS(INDEX(RLVL_Data,MATCH(Rider_Input[[#This Row],[Rider ID]],INDEX(RLVL_Data,0,c_RLVL_ID),0),c_RLVL_Missed)),0))</f>
        <v>500</v>
      </c>
      <c r="I7" s="155" t="n">
        <f aca="false">IF(Rider_Input[[#This Row],[Rider ID]]="","",IFERROR(ABS(INDEX(RLVL_Data,MATCH(Rider_Input[[#This Row],[Rider ID]],INDEX(RLVL_Data,0,c_RLVL_ID),0),c_RLVL_Bal)),0))</f>
        <v>192.89</v>
      </c>
      <c r="J7" s="155" t="n">
        <f aca="false">IF(Rider_Input[[#This Row],[Rider ID]]="","",IFERROR(ABS(INDEX(RLVL_Data,MATCH(Rider_Input[[#This Row],[Rider ID]],INDEX(RLVL_Data,0,c_RLVL_ID),0),c_RLVL_Stack)),0))</f>
        <v>32</v>
      </c>
      <c r="K7" s="155" t="n">
        <f aca="false">IF(Rider_Input[[#This Row],[Rider ID]]="","",SUMIFS(Adj_Input[Other Deductions],Adj_Input[Rider ID],Rider_Input[[#This Row],[Rider ID]]))</f>
        <v>0</v>
      </c>
      <c r="L7" s="154" t="str">
        <f aca="false">IF(Rider_Input[[#This Row],[Rider ID]]="","",IFERROR(INDEX(Adj_Input[Note / Reason],MATCH(Rider_Input[[#This Row],[Rider ID]],Adj_Input[Rider ID],0))&amp;"",""))</f>
        <v/>
      </c>
    </row>
    <row r="8" customFormat="false" ht="129" hidden="false" customHeight="true" outlineLevel="0" collapsed="false">
      <c r="A8" s="152" t="n">
        <f aca="false">IF(Rider_Input[[#This Row],[Rider ID]]="","",Salary_Month)</f>
        <v>46235</v>
      </c>
      <c r="B8" s="153" t="n">
        <f aca="false">IFERROR(IF(INDEX(FTR_Data,ROW()-ROW(Rider_Input[#Headers]),c_FTR_ID)="","",INDEX(FTR_Data,ROW()-ROW(Rider_Input[#Headers]),c_FTR_ID)),"")</f>
        <v>4747290</v>
      </c>
      <c r="C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Rider 4747290</v>
      </c>
      <c r="D8" s="155" t="n">
        <f aca="false">IF(Rider_Input[[#This Row],[Rider ID]]="","",IFERROR(IF(INDEX(Rider_Master[Basic Payment (blank = default)],MATCH(Rider_Input[[#This Row],[Rider ID]],Rider_Master[Rider ID],0))="",Default_Basic,INDEX(Rider_Master[Basic Payment (blank = default)],MATCH(Rider_Input[[#This Row],[Rider ID]],Rider_Master[Rider ID],0))),Default_Basic))</f>
        <v>2000</v>
      </c>
      <c r="E8" s="153" t="n">
        <f aca="false">IF(Rider_Input[[#This Row],[Rider ID]]="","",DAY(EOMONTH(Salary_Month,0)))</f>
        <v>31</v>
      </c>
      <c r="F8" s="153" t="n">
        <f aca="false">IF(Rider_Input[[#This Row],[Rider ID]]="","",IFERROR(IF(INDEX(FTR_Data,ROW()-ROW(Rider_Input[#Headers]),c_FTR_WD)="","",INDEX(FTR_Data,ROW()-ROW(Rider_Input[#Headers]),c_FTR_WD)),""))</f>
        <v>31</v>
      </c>
      <c r="G8" s="153" t="n">
        <f aca="false">IF(Rider_Input[[#This Row],[Rider ID]]="","",IFERROR(IF(INDEX(FTR_Data,ROW()-ROW(Rider_Input[#Headers]),c_FTR_Orders)="","",INDEX(FTR_Data,ROW()-ROW(Rider_Input[#Headers]),c_FTR_Orders)),""))</f>
        <v>498</v>
      </c>
      <c r="H8" s="155" t="n">
        <f aca="false">IF(Rider_Input[[#This Row],[Rider ID]]="","",IFERROR(ABS(INDEX(RLVL_Data,MATCH(Rider_Input[[#This Row],[Rider ID]],INDEX(RLVL_Data,0,c_RLVL_ID),0),c_RLVL_Missed)),0))</f>
        <v>0</v>
      </c>
      <c r="I8" s="155" t="n">
        <f aca="false">IF(Rider_Input[[#This Row],[Rider ID]]="","",IFERROR(ABS(INDEX(RLVL_Data,MATCH(Rider_Input[[#This Row],[Rider ID]],INDEX(RLVL_Data,0,c_RLVL_ID),0),c_RLVL_Bal)),0))</f>
        <v>104.03</v>
      </c>
      <c r="J8" s="155" t="n">
        <f aca="false">IF(Rider_Input[[#This Row],[Rider ID]]="","",IFERROR(ABS(INDEX(RLVL_Data,MATCH(Rider_Input[[#This Row],[Rider ID]],INDEX(RLVL_Data,0,c_RLVL_ID),0),c_RLVL_Stack)),0))</f>
        <v>52</v>
      </c>
      <c r="K8" s="155" t="n">
        <f aca="false">IF(Rider_Input[[#This Row],[Rider ID]]="","",SUMIFS(Adj_Input[Other Deductions],Adj_Input[Rider ID],Rider_Input[[#This Row],[Rider ID]]))</f>
        <v>0</v>
      </c>
      <c r="L8" s="154" t="str">
        <f aca="false">IF(Rider_Input[[#This Row],[Rider ID]]="","",IFERROR(INDEX(Adj_Input[Note / Reason],MATCH(Rider_Input[[#This Row],[Rider ID]],Adj_Input[Rider ID],0))&amp;"",""))</f>
        <v/>
      </c>
    </row>
    <row r="9" customFormat="false" ht="129" hidden="false" customHeight="true" outlineLevel="0" collapsed="false">
      <c r="A9" s="152" t="n">
        <f aca="false">IF(Rider_Input[[#This Row],[Rider ID]]="","",Salary_Month)</f>
        <v>46235</v>
      </c>
      <c r="B9" s="153" t="n">
        <f aca="false">IFERROR(IF(INDEX(FTR_Data,ROW()-ROW(Rider_Input[#Headers]),c_FTR_ID)="","",INDEX(FTR_Data,ROW()-ROW(Rider_Input[#Headers]),c_FTR_ID)),"")</f>
        <v>4652654</v>
      </c>
      <c r="C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Rider 4652654</v>
      </c>
      <c r="D9" s="155" t="n">
        <f aca="false">IF(Rider_Input[[#This Row],[Rider ID]]="","",IFERROR(IF(INDEX(Rider_Master[Basic Payment (blank = default)],MATCH(Rider_Input[[#This Row],[Rider ID]],Rider_Master[Rider ID],0))="",Default_Basic,INDEX(Rider_Master[Basic Payment (blank = default)],MATCH(Rider_Input[[#This Row],[Rider ID]],Rider_Master[Rider ID],0))),Default_Basic))</f>
        <v>2000</v>
      </c>
      <c r="E9" s="153" t="n">
        <f aca="false">IF(Rider_Input[[#This Row],[Rider ID]]="","",DAY(EOMONTH(Salary_Month,0)))</f>
        <v>31</v>
      </c>
      <c r="F9" s="153" t="n">
        <f aca="false">IF(Rider_Input[[#This Row],[Rider ID]]="","",IFERROR(IF(INDEX(FTR_Data,ROW()-ROW(Rider_Input[#Headers]),c_FTR_WD)="","",INDEX(FTR_Data,ROW()-ROW(Rider_Input[#Headers]),c_FTR_WD)),""))</f>
        <v>31</v>
      </c>
      <c r="G9" s="153" t="n">
        <f aca="false">IF(Rider_Input[[#This Row],[Rider ID]]="","",IFERROR(IF(INDEX(FTR_Data,ROW()-ROW(Rider_Input[#Headers]),c_FTR_Orders)="","",INDEX(FTR_Data,ROW()-ROW(Rider_Input[#Headers]),c_FTR_Orders)),""))</f>
        <v>433</v>
      </c>
      <c r="H9" s="155" t="n">
        <f aca="false">IF(Rider_Input[[#This Row],[Rider ID]]="","",IFERROR(ABS(INDEX(RLVL_Data,MATCH(Rider_Input[[#This Row],[Rider ID]],INDEX(RLVL_Data,0,c_RLVL_ID),0),c_RLVL_Missed)),0))</f>
        <v>0</v>
      </c>
      <c r="I9" s="155" t="n">
        <f aca="false">IF(Rider_Input[[#This Row],[Rider ID]]="","",IFERROR(ABS(INDEX(RLVL_Data,MATCH(Rider_Input[[#This Row],[Rider ID]],INDEX(RLVL_Data,0,c_RLVL_ID),0),c_RLVL_Bal)),0))</f>
        <v>201.65</v>
      </c>
      <c r="J9" s="155" t="n">
        <f aca="false">IF(Rider_Input[[#This Row],[Rider ID]]="","",IFERROR(ABS(INDEX(RLVL_Data,MATCH(Rider_Input[[#This Row],[Rider ID]],INDEX(RLVL_Data,0,c_RLVL_ID),0),c_RLVL_Stack)),0))</f>
        <v>44</v>
      </c>
      <c r="K9" s="155" t="n">
        <f aca="false">IF(Rider_Input[[#This Row],[Rider ID]]="","",SUMIFS(Adj_Input[Other Deductions],Adj_Input[Rider ID],Rider_Input[[#This Row],[Rider ID]]))</f>
        <v>0</v>
      </c>
      <c r="L9" s="154" t="str">
        <f aca="false">IF(Rider_Input[[#This Row],[Rider ID]]="","",IFERROR(INDEX(Adj_Input[Note / Reason],MATCH(Rider_Input[[#This Row],[Rider ID]],Adj_Input[Rider ID],0))&amp;"",""))</f>
        <v/>
      </c>
    </row>
    <row r="10" customFormat="false" ht="129" hidden="false" customHeight="true" outlineLevel="0" collapsed="false">
      <c r="A10" s="152" t="n">
        <f aca="false">IF(Rider_Input[[#This Row],[Rider ID]]="","",Salary_Month)</f>
        <v>46235</v>
      </c>
      <c r="B10" s="153" t="n">
        <f aca="false">IFERROR(IF(INDEX(FTR_Data,ROW()-ROW(Rider_Input[#Headers]),c_FTR_ID)="","",INDEX(FTR_Data,ROW()-ROW(Rider_Input[#Headers]),c_FTR_ID)),"")</f>
        <v>4652587</v>
      </c>
      <c r="C1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Rider 4652587</v>
      </c>
      <c r="D10" s="155" t="n">
        <f aca="false">IF(Rider_Input[[#This Row],[Rider ID]]="","",IFERROR(IF(INDEX(Rider_Master[Basic Payment (blank = default)],MATCH(Rider_Input[[#This Row],[Rider ID]],Rider_Master[Rider ID],0))="",Default_Basic,INDEX(Rider_Master[Basic Payment (blank = default)],MATCH(Rider_Input[[#This Row],[Rider ID]],Rider_Master[Rider ID],0))),Default_Basic))</f>
        <v>2000</v>
      </c>
      <c r="E10" s="153" t="n">
        <f aca="false">IF(Rider_Input[[#This Row],[Rider ID]]="","",DAY(EOMONTH(Salary_Month,0)))</f>
        <v>31</v>
      </c>
      <c r="F10" s="153" t="n">
        <f aca="false">IF(Rider_Input[[#This Row],[Rider ID]]="","",IFERROR(IF(INDEX(FTR_Data,ROW()-ROW(Rider_Input[#Headers]),c_FTR_WD)="","",INDEX(FTR_Data,ROW()-ROW(Rider_Input[#Headers]),c_FTR_WD)),""))</f>
        <v>30</v>
      </c>
      <c r="G10" s="153" t="n">
        <f aca="false">IF(Rider_Input[[#This Row],[Rider ID]]="","",IFERROR(IF(INDEX(FTR_Data,ROW()-ROW(Rider_Input[#Headers]),c_FTR_Orders)="","",INDEX(FTR_Data,ROW()-ROW(Rider_Input[#Headers]),c_FTR_Orders)),""))</f>
        <v>382</v>
      </c>
      <c r="H10" s="155" t="n">
        <f aca="false">IF(Rider_Input[[#This Row],[Rider ID]]="","",IFERROR(ABS(INDEX(RLVL_Data,MATCH(Rider_Input[[#This Row],[Rider ID]],INDEX(RLVL_Data,0,c_RLVL_ID),0),c_RLVL_Missed)),0))</f>
        <v>500</v>
      </c>
      <c r="I10" s="155" t="n">
        <f aca="false">IF(Rider_Input[[#This Row],[Rider ID]]="","",IFERROR(ABS(INDEX(RLVL_Data,MATCH(Rider_Input[[#This Row],[Rider ID]],INDEX(RLVL_Data,0,c_RLVL_ID),0),c_RLVL_Bal)),0))</f>
        <v>121.92</v>
      </c>
      <c r="J10" s="155" t="n">
        <f aca="false">IF(Rider_Input[[#This Row],[Rider ID]]="","",IFERROR(ABS(INDEX(RLVL_Data,MATCH(Rider_Input[[#This Row],[Rider ID]],INDEX(RLVL_Data,0,c_RLVL_ID),0),c_RLVL_Stack)),0))</f>
        <v>44</v>
      </c>
      <c r="K10" s="155" t="n">
        <f aca="false">IF(Rider_Input[[#This Row],[Rider ID]]="","",SUMIFS(Adj_Input[Other Deductions],Adj_Input[Rider ID],Rider_Input[[#This Row],[Rider ID]]))</f>
        <v>0</v>
      </c>
      <c r="L10" s="154" t="str">
        <f aca="false">IF(Rider_Input[[#This Row],[Rider ID]]="","",IFERROR(INDEX(Adj_Input[Note / Reason],MATCH(Rider_Input[[#This Row],[Rider ID]],Adj_Input[Rider ID],0))&amp;"",""))</f>
        <v/>
      </c>
    </row>
    <row r="11" customFormat="false" ht="129" hidden="false" customHeight="true" outlineLevel="0" collapsed="false">
      <c r="A11" s="152" t="n">
        <f aca="false">IF(Rider_Input[[#This Row],[Rider ID]]="","",Salary_Month)</f>
        <v>46235</v>
      </c>
      <c r="B11" s="153" t="n">
        <f aca="false">IFERROR(IF(INDEX(FTR_Data,ROW()-ROW(Rider_Input[#Headers]),c_FTR_ID)="","",INDEX(FTR_Data,ROW()-ROW(Rider_Input[#Headers]),c_FTR_ID)),"")</f>
        <v>4648709</v>
      </c>
      <c r="C1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Rider 4648709</v>
      </c>
      <c r="D11" s="155" t="n">
        <f aca="false">IF(Rider_Input[[#This Row],[Rider ID]]="","",IFERROR(IF(INDEX(Rider_Master[Basic Payment (blank = default)],MATCH(Rider_Input[[#This Row],[Rider ID]],Rider_Master[Rider ID],0))="",Default_Basic,INDEX(Rider_Master[Basic Payment (blank = default)],MATCH(Rider_Input[[#This Row],[Rider ID]],Rider_Master[Rider ID],0))),Default_Basic))</f>
        <v>2000</v>
      </c>
      <c r="E11" s="153" t="n">
        <f aca="false">IF(Rider_Input[[#This Row],[Rider ID]]="","",DAY(EOMONTH(Salary_Month,0)))</f>
        <v>31</v>
      </c>
      <c r="F11" s="153" t="n">
        <f aca="false">IF(Rider_Input[[#This Row],[Rider ID]]="","",IFERROR(IF(INDEX(FTR_Data,ROW()-ROW(Rider_Input[#Headers]),c_FTR_WD)="","",INDEX(FTR_Data,ROW()-ROW(Rider_Input[#Headers]),c_FTR_WD)),""))</f>
        <v>31</v>
      </c>
      <c r="G11" s="153" t="n">
        <f aca="false">IF(Rider_Input[[#This Row],[Rider ID]]="","",IFERROR(IF(INDEX(FTR_Data,ROW()-ROW(Rider_Input[#Headers]),c_FTR_Orders)="","",INDEX(FTR_Data,ROW()-ROW(Rider_Input[#Headers]),c_FTR_Orders)),""))</f>
        <v>391</v>
      </c>
      <c r="H11" s="155" t="n">
        <f aca="false">IF(Rider_Input[[#This Row],[Rider ID]]="","",IFERROR(ABS(INDEX(RLVL_Data,MATCH(Rider_Input[[#This Row],[Rider ID]],INDEX(RLVL_Data,0,c_RLVL_ID),0),c_RLVL_Missed)),0))</f>
        <v>0</v>
      </c>
      <c r="I11" s="155" t="n">
        <f aca="false">IF(Rider_Input[[#This Row],[Rider ID]]="","",IFERROR(ABS(INDEX(RLVL_Data,MATCH(Rider_Input[[#This Row],[Rider ID]],INDEX(RLVL_Data,0,c_RLVL_ID),0),c_RLVL_Bal)),0))</f>
        <v>266.18</v>
      </c>
      <c r="J11" s="155" t="n">
        <f aca="false">IF(Rider_Input[[#This Row],[Rider ID]]="","",IFERROR(ABS(INDEX(RLVL_Data,MATCH(Rider_Input[[#This Row],[Rider ID]],INDEX(RLVL_Data,0,c_RLVL_ID),0),c_RLVL_Stack)),0))</f>
        <v>76</v>
      </c>
      <c r="K11" s="155" t="n">
        <f aca="false">IF(Rider_Input[[#This Row],[Rider ID]]="","",SUMIFS(Adj_Input[Other Deductions],Adj_Input[Rider ID],Rider_Input[[#This Row],[Rider ID]]))</f>
        <v>0</v>
      </c>
      <c r="L11" s="154" t="str">
        <f aca="false">IF(Rider_Input[[#This Row],[Rider ID]]="","",IFERROR(INDEX(Adj_Input[Note / Reason],MATCH(Rider_Input[[#This Row],[Rider ID]],Adj_Input[Rider ID],0))&amp;"",""))</f>
        <v/>
      </c>
    </row>
    <row r="12" customFormat="false" ht="129" hidden="false" customHeight="true" outlineLevel="0" collapsed="false">
      <c r="A12" s="152" t="n">
        <f aca="false">IF(Rider_Input[[#This Row],[Rider ID]]="","",Salary_Month)</f>
        <v>46235</v>
      </c>
      <c r="B12" s="153" t="n">
        <f aca="false">IFERROR(IF(INDEX(FTR_Data,ROW()-ROW(Rider_Input[#Headers]),c_FTR_ID)="","",INDEX(FTR_Data,ROW()-ROW(Rider_Input[#Headers]),c_FTR_ID)),"")</f>
        <v>4648308</v>
      </c>
      <c r="C1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Rider 4648308</v>
      </c>
      <c r="D12" s="155" t="n">
        <f aca="false">IF(Rider_Input[[#This Row],[Rider ID]]="","",IFERROR(IF(INDEX(Rider_Master[Basic Payment (blank = default)],MATCH(Rider_Input[[#This Row],[Rider ID]],Rider_Master[Rider ID],0))="",Default_Basic,INDEX(Rider_Master[Basic Payment (blank = default)],MATCH(Rider_Input[[#This Row],[Rider ID]],Rider_Master[Rider ID],0))),Default_Basic))</f>
        <v>2000</v>
      </c>
      <c r="E12" s="153" t="n">
        <f aca="false">IF(Rider_Input[[#This Row],[Rider ID]]="","",DAY(EOMONTH(Salary_Month,0)))</f>
        <v>31</v>
      </c>
      <c r="F12" s="153" t="n">
        <f aca="false">IF(Rider_Input[[#This Row],[Rider ID]]="","",IFERROR(IF(INDEX(FTR_Data,ROW()-ROW(Rider_Input[#Headers]),c_FTR_WD)="","",INDEX(FTR_Data,ROW()-ROW(Rider_Input[#Headers]),c_FTR_WD)),""))</f>
        <v>31</v>
      </c>
      <c r="G12" s="153" t="n">
        <f aca="false">IF(Rider_Input[[#This Row],[Rider ID]]="","",IFERROR(IF(INDEX(FTR_Data,ROW()-ROW(Rider_Input[#Headers]),c_FTR_Orders)="","",INDEX(FTR_Data,ROW()-ROW(Rider_Input[#Headers]),c_FTR_Orders)),""))</f>
        <v>551</v>
      </c>
      <c r="H12" s="155" t="n">
        <f aca="false">IF(Rider_Input[[#This Row],[Rider ID]]="","",IFERROR(ABS(INDEX(RLVL_Data,MATCH(Rider_Input[[#This Row],[Rider ID]],INDEX(RLVL_Data,0,c_RLVL_ID),0),c_RLVL_Missed)),0))</f>
        <v>0</v>
      </c>
      <c r="I12" s="155" t="n">
        <f aca="false">IF(Rider_Input[[#This Row],[Rider ID]]="","",IFERROR(ABS(INDEX(RLVL_Data,MATCH(Rider_Input[[#This Row],[Rider ID]],INDEX(RLVL_Data,0,c_RLVL_ID),0),c_RLVL_Bal)),0))</f>
        <v>93.12</v>
      </c>
      <c r="J12" s="155" t="n">
        <f aca="false">IF(Rider_Input[[#This Row],[Rider ID]]="","",IFERROR(ABS(INDEX(RLVL_Data,MATCH(Rider_Input[[#This Row],[Rider ID]],INDEX(RLVL_Data,0,c_RLVL_ID),0),c_RLVL_Stack)),0))</f>
        <v>112</v>
      </c>
      <c r="K12" s="155" t="n">
        <f aca="false">IF(Rider_Input[[#This Row],[Rider ID]]="","",SUMIFS(Adj_Input[Other Deductions],Adj_Input[Rider ID],Rider_Input[[#This Row],[Rider ID]]))</f>
        <v>0</v>
      </c>
      <c r="L12" s="154" t="str">
        <f aca="false">IF(Rider_Input[[#This Row],[Rider ID]]="","",IFERROR(INDEX(Adj_Input[Note / Reason],MATCH(Rider_Input[[#This Row],[Rider ID]],Adj_Input[Rider ID],0))&amp;"",""))</f>
        <v/>
      </c>
    </row>
    <row r="13" customFormat="false" ht="129" hidden="false" customHeight="true" outlineLevel="0" collapsed="false">
      <c r="A13" s="152" t="n">
        <f aca="false">IF(Rider_Input[[#This Row],[Rider ID]]="","",Salary_Month)</f>
        <v>46235</v>
      </c>
      <c r="B13" s="153" t="n">
        <f aca="false">IFERROR(IF(INDEX(FTR_Data,ROW()-ROW(Rider_Input[#Headers]),c_FTR_ID)="","",INDEX(FTR_Data,ROW()-ROW(Rider_Input[#Headers]),c_FTR_ID)),"")</f>
        <v>4644774</v>
      </c>
      <c r="C1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Rider 4644774</v>
      </c>
      <c r="D13" s="155" t="n">
        <f aca="false">IF(Rider_Input[[#This Row],[Rider ID]]="","",IFERROR(IF(INDEX(Rider_Master[Basic Payment (blank = default)],MATCH(Rider_Input[[#This Row],[Rider ID]],Rider_Master[Rider ID],0))="",Default_Basic,INDEX(Rider_Master[Basic Payment (blank = default)],MATCH(Rider_Input[[#This Row],[Rider ID]],Rider_Master[Rider ID],0))),Default_Basic))</f>
        <v>2000</v>
      </c>
      <c r="E13" s="153" t="n">
        <f aca="false">IF(Rider_Input[[#This Row],[Rider ID]]="","",DAY(EOMONTH(Salary_Month,0)))</f>
        <v>31</v>
      </c>
      <c r="F13" s="153" t="n">
        <f aca="false">IF(Rider_Input[[#This Row],[Rider ID]]="","",IFERROR(IF(INDEX(FTR_Data,ROW()-ROW(Rider_Input[#Headers]),c_FTR_WD)="","",INDEX(FTR_Data,ROW()-ROW(Rider_Input[#Headers]),c_FTR_WD)),""))</f>
        <v>31</v>
      </c>
      <c r="G13" s="153" t="n">
        <f aca="false">IF(Rider_Input[[#This Row],[Rider ID]]="","",IFERROR(IF(INDEX(FTR_Data,ROW()-ROW(Rider_Input[#Headers]),c_FTR_Orders)="","",INDEX(FTR_Data,ROW()-ROW(Rider_Input[#Headers]),c_FTR_Orders)),""))</f>
        <v>367</v>
      </c>
      <c r="H13" s="155" t="n">
        <f aca="false">IF(Rider_Input[[#This Row],[Rider ID]]="","",IFERROR(ABS(INDEX(RLVL_Data,MATCH(Rider_Input[[#This Row],[Rider ID]],INDEX(RLVL_Data,0,c_RLVL_ID),0),c_RLVL_Missed)),0))</f>
        <v>0</v>
      </c>
      <c r="I13" s="155" t="n">
        <f aca="false">IF(Rider_Input[[#This Row],[Rider ID]]="","",IFERROR(ABS(INDEX(RLVL_Data,MATCH(Rider_Input[[#This Row],[Rider ID]],INDEX(RLVL_Data,0,c_RLVL_ID),0),c_RLVL_Bal)),0))</f>
        <v>275.31</v>
      </c>
      <c r="J13" s="155" t="n">
        <f aca="false">IF(Rider_Input[[#This Row],[Rider ID]]="","",IFERROR(ABS(INDEX(RLVL_Data,MATCH(Rider_Input[[#This Row],[Rider ID]],INDEX(RLVL_Data,0,c_RLVL_ID),0),c_RLVL_Stack)),0))</f>
        <v>52</v>
      </c>
      <c r="K13" s="155" t="n">
        <f aca="false">IF(Rider_Input[[#This Row],[Rider ID]]="","",SUMIFS(Adj_Input[Other Deductions],Adj_Input[Rider ID],Rider_Input[[#This Row],[Rider ID]]))</f>
        <v>0</v>
      </c>
      <c r="L13" s="154" t="str">
        <f aca="false">IF(Rider_Input[[#This Row],[Rider ID]]="","",IFERROR(INDEX(Adj_Input[Note / Reason],MATCH(Rider_Input[[#This Row],[Rider ID]],Adj_Input[Rider ID],0))&amp;"",""))</f>
        <v/>
      </c>
    </row>
    <row r="14" customFormat="false" ht="129" hidden="false" customHeight="true" outlineLevel="0" collapsed="false">
      <c r="A14" s="152" t="n">
        <f aca="false">IF(Rider_Input[[#This Row],[Rider ID]]="","",Salary_Month)</f>
        <v>46235</v>
      </c>
      <c r="B14" s="153" t="n">
        <f aca="false">IFERROR(IF(INDEX(FTR_Data,ROW()-ROW(Rider_Input[#Headers]),c_FTR_ID)="","",INDEX(FTR_Data,ROW()-ROW(Rider_Input[#Headers]),c_FTR_ID)),"")</f>
        <v>4643856</v>
      </c>
      <c r="C1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Rider 4643856</v>
      </c>
      <c r="D14" s="155" t="n">
        <f aca="false">IF(Rider_Input[[#This Row],[Rider ID]]="","",IFERROR(IF(INDEX(Rider_Master[Basic Payment (blank = default)],MATCH(Rider_Input[[#This Row],[Rider ID]],Rider_Master[Rider ID],0))="",Default_Basic,INDEX(Rider_Master[Basic Payment (blank = default)],MATCH(Rider_Input[[#This Row],[Rider ID]],Rider_Master[Rider ID],0))),Default_Basic))</f>
        <v>2000</v>
      </c>
      <c r="E14" s="153" t="n">
        <f aca="false">IF(Rider_Input[[#This Row],[Rider ID]]="","",DAY(EOMONTH(Salary_Month,0)))</f>
        <v>31</v>
      </c>
      <c r="F14" s="153" t="n">
        <f aca="false">IF(Rider_Input[[#This Row],[Rider ID]]="","",IFERROR(IF(INDEX(FTR_Data,ROW()-ROW(Rider_Input[#Headers]),c_FTR_WD)="","",INDEX(FTR_Data,ROW()-ROW(Rider_Input[#Headers]),c_FTR_WD)),""))</f>
        <v>31</v>
      </c>
      <c r="G14" s="153" t="n">
        <f aca="false">IF(Rider_Input[[#This Row],[Rider ID]]="","",IFERROR(IF(INDEX(FTR_Data,ROW()-ROW(Rider_Input[#Headers]),c_FTR_Orders)="","",INDEX(FTR_Data,ROW()-ROW(Rider_Input[#Headers]),c_FTR_Orders)),""))</f>
        <v>449</v>
      </c>
      <c r="H14" s="155" t="n">
        <f aca="false">IF(Rider_Input[[#This Row],[Rider ID]]="","",IFERROR(ABS(INDEX(RLVL_Data,MATCH(Rider_Input[[#This Row],[Rider ID]],INDEX(RLVL_Data,0,c_RLVL_ID),0),c_RLVL_Missed)),0))</f>
        <v>0</v>
      </c>
      <c r="I14" s="155" t="n">
        <f aca="false">IF(Rider_Input[[#This Row],[Rider ID]]="","",IFERROR(ABS(INDEX(RLVL_Data,MATCH(Rider_Input[[#This Row],[Rider ID]],INDEX(RLVL_Data,0,c_RLVL_ID),0),c_RLVL_Bal)),0))</f>
        <v>128.27</v>
      </c>
      <c r="J14" s="155" t="n">
        <f aca="false">IF(Rider_Input[[#This Row],[Rider ID]]="","",IFERROR(ABS(INDEX(RLVL_Data,MATCH(Rider_Input[[#This Row],[Rider ID]],INDEX(RLVL_Data,0,c_RLVL_ID),0),c_RLVL_Stack)),0))</f>
        <v>80</v>
      </c>
      <c r="K14" s="155" t="n">
        <f aca="false">IF(Rider_Input[[#This Row],[Rider ID]]="","",SUMIFS(Adj_Input[Other Deductions],Adj_Input[Rider ID],Rider_Input[[#This Row],[Rider ID]]))</f>
        <v>0</v>
      </c>
      <c r="L14" s="154" t="str">
        <f aca="false">IF(Rider_Input[[#This Row],[Rider ID]]="","",IFERROR(INDEX(Adj_Input[Note / Reason],MATCH(Rider_Input[[#This Row],[Rider ID]],Adj_Input[Rider ID],0))&amp;"",""))</f>
        <v/>
      </c>
    </row>
    <row r="15" customFormat="false" ht="129" hidden="false" customHeight="true" outlineLevel="0" collapsed="false">
      <c r="A15" s="152" t="n">
        <f aca="false">IF(Rider_Input[[#This Row],[Rider ID]]="","",Salary_Month)</f>
        <v>46235</v>
      </c>
      <c r="B15" s="153" t="n">
        <f aca="false">IFERROR(IF(INDEX(FTR_Data,ROW()-ROW(Rider_Input[#Headers]),c_FTR_ID)="","",INDEX(FTR_Data,ROW()-ROW(Rider_Input[#Headers]),c_FTR_ID)),"")</f>
        <v>4642935</v>
      </c>
      <c r="C1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Rider 4642935</v>
      </c>
      <c r="D15" s="155" t="n">
        <f aca="false">IF(Rider_Input[[#This Row],[Rider ID]]="","",IFERROR(IF(INDEX(Rider_Master[Basic Payment (blank = default)],MATCH(Rider_Input[[#This Row],[Rider ID]],Rider_Master[Rider ID],0))="",Default_Basic,INDEX(Rider_Master[Basic Payment (blank = default)],MATCH(Rider_Input[[#This Row],[Rider ID]],Rider_Master[Rider ID],0))),Default_Basic))</f>
        <v>2000</v>
      </c>
      <c r="E15" s="153" t="n">
        <f aca="false">IF(Rider_Input[[#This Row],[Rider ID]]="","",DAY(EOMONTH(Salary_Month,0)))</f>
        <v>31</v>
      </c>
      <c r="F15" s="153" t="n">
        <f aca="false">IF(Rider_Input[[#This Row],[Rider ID]]="","",IFERROR(IF(INDEX(FTR_Data,ROW()-ROW(Rider_Input[#Headers]),c_FTR_WD)="","",INDEX(FTR_Data,ROW()-ROW(Rider_Input[#Headers]),c_FTR_WD)),""))</f>
        <v>31</v>
      </c>
      <c r="G15" s="153" t="n">
        <f aca="false">IF(Rider_Input[[#This Row],[Rider ID]]="","",IFERROR(IF(INDEX(FTR_Data,ROW()-ROW(Rider_Input[#Headers]),c_FTR_Orders)="","",INDEX(FTR_Data,ROW()-ROW(Rider_Input[#Headers]),c_FTR_Orders)),""))</f>
        <v>442</v>
      </c>
      <c r="H15" s="155" t="n">
        <f aca="false">IF(Rider_Input[[#This Row],[Rider ID]]="","",IFERROR(ABS(INDEX(RLVL_Data,MATCH(Rider_Input[[#This Row],[Rider ID]],INDEX(RLVL_Data,0,c_RLVL_ID),0),c_RLVL_Missed)),0))</f>
        <v>0</v>
      </c>
      <c r="I15" s="155" t="n">
        <f aca="false">IF(Rider_Input[[#This Row],[Rider ID]]="","",IFERROR(ABS(INDEX(RLVL_Data,MATCH(Rider_Input[[#This Row],[Rider ID]],INDEX(RLVL_Data,0,c_RLVL_ID),0),c_RLVL_Bal)),0))</f>
        <v>116.95</v>
      </c>
      <c r="J15" s="155" t="n">
        <f aca="false">IF(Rider_Input[[#This Row],[Rider ID]]="","",IFERROR(ABS(INDEX(RLVL_Data,MATCH(Rider_Input[[#This Row],[Rider ID]],INDEX(RLVL_Data,0,c_RLVL_ID),0),c_RLVL_Stack)),0))</f>
        <v>84</v>
      </c>
      <c r="K15" s="155" t="n">
        <f aca="false">IF(Rider_Input[[#This Row],[Rider ID]]="","",SUMIFS(Adj_Input[Other Deductions],Adj_Input[Rider ID],Rider_Input[[#This Row],[Rider ID]]))</f>
        <v>0</v>
      </c>
      <c r="L15" s="154" t="str">
        <f aca="false">IF(Rider_Input[[#This Row],[Rider ID]]="","",IFERROR(INDEX(Adj_Input[Note / Reason],MATCH(Rider_Input[[#This Row],[Rider ID]],Adj_Input[Rider ID],0))&amp;"",""))</f>
        <v/>
      </c>
    </row>
    <row r="16" customFormat="false" ht="129" hidden="false" customHeight="true" outlineLevel="0" collapsed="false">
      <c r="A16" s="152" t="n">
        <f aca="false">IF(Rider_Input[[#This Row],[Rider ID]]="","",Salary_Month)</f>
        <v>46235</v>
      </c>
      <c r="B16" s="153" t="n">
        <f aca="false">IFERROR(IF(INDEX(FTR_Data,ROW()-ROW(Rider_Input[#Headers]),c_FTR_ID)="","",INDEX(FTR_Data,ROW()-ROW(Rider_Input[#Headers]),c_FTR_ID)),"")</f>
        <v>4611383</v>
      </c>
      <c r="C1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Rider 4611383</v>
      </c>
      <c r="D16" s="155" t="n">
        <f aca="false">IF(Rider_Input[[#This Row],[Rider ID]]="","",IFERROR(IF(INDEX(Rider_Master[Basic Payment (blank = default)],MATCH(Rider_Input[[#This Row],[Rider ID]],Rider_Master[Rider ID],0))="",Default_Basic,INDEX(Rider_Master[Basic Payment (blank = default)],MATCH(Rider_Input[[#This Row],[Rider ID]],Rider_Master[Rider ID],0))),Default_Basic))</f>
        <v>2000</v>
      </c>
      <c r="E16" s="153" t="n">
        <f aca="false">IF(Rider_Input[[#This Row],[Rider ID]]="","",DAY(EOMONTH(Salary_Month,0)))</f>
        <v>31</v>
      </c>
      <c r="F16" s="153" t="n">
        <f aca="false">IF(Rider_Input[[#This Row],[Rider ID]]="","",IFERROR(IF(INDEX(FTR_Data,ROW()-ROW(Rider_Input[#Headers]),c_FTR_WD)="","",INDEX(FTR_Data,ROW()-ROW(Rider_Input[#Headers]),c_FTR_WD)),""))</f>
        <v>31</v>
      </c>
      <c r="G16" s="153" t="n">
        <f aca="false">IF(Rider_Input[[#This Row],[Rider ID]]="","",IFERROR(IF(INDEX(FTR_Data,ROW()-ROW(Rider_Input[#Headers]),c_FTR_Orders)="","",INDEX(FTR_Data,ROW()-ROW(Rider_Input[#Headers]),c_FTR_Orders)),""))</f>
        <v>476</v>
      </c>
      <c r="H16" s="155" t="n">
        <f aca="false">IF(Rider_Input[[#This Row],[Rider ID]]="","",IFERROR(ABS(INDEX(RLVL_Data,MATCH(Rider_Input[[#This Row],[Rider ID]],INDEX(RLVL_Data,0,c_RLVL_ID),0),c_RLVL_Missed)),0))</f>
        <v>0</v>
      </c>
      <c r="I16" s="155" t="n">
        <f aca="false">IF(Rider_Input[[#This Row],[Rider ID]]="","",IFERROR(ABS(INDEX(RLVL_Data,MATCH(Rider_Input[[#This Row],[Rider ID]],INDEX(RLVL_Data,0,c_RLVL_ID),0),c_RLVL_Bal)),0))</f>
        <v>240.4</v>
      </c>
      <c r="J16" s="155" t="n">
        <f aca="false">IF(Rider_Input[[#This Row],[Rider ID]]="","",IFERROR(ABS(INDEX(RLVL_Data,MATCH(Rider_Input[[#This Row],[Rider ID]],INDEX(RLVL_Data,0,c_RLVL_ID),0),c_RLVL_Stack)),0))</f>
        <v>88</v>
      </c>
      <c r="K16" s="155" t="n">
        <f aca="false">IF(Rider_Input[[#This Row],[Rider ID]]="","",SUMIFS(Adj_Input[Other Deductions],Adj_Input[Rider ID],Rider_Input[[#This Row],[Rider ID]]))</f>
        <v>0</v>
      </c>
      <c r="L16" s="154" t="str">
        <f aca="false">IF(Rider_Input[[#This Row],[Rider ID]]="","",IFERROR(INDEX(Adj_Input[Note / Reason],MATCH(Rider_Input[[#This Row],[Rider ID]],Adj_Input[Rider ID],0))&amp;"",""))</f>
        <v/>
      </c>
    </row>
    <row r="17" customFormat="false" ht="14.25" hidden="false" customHeight="false" outlineLevel="0" collapsed="false">
      <c r="A17" s="152" t="str">
        <f aca="false">IF(Rider_Input[[#This Row],[Rider ID]]="","",Salary_Month)</f>
        <v/>
      </c>
      <c r="B17" s="153" t="str">
        <f aca="false">IFERROR(IF(INDEX(FTR_Data,ROW()-ROW(Rider_Input[#Headers]),c_FTR_ID)="","",INDEX(FTR_Data,ROW()-ROW(Rider_Input[#Headers]),c_FTR_ID)),"")</f>
        <v/>
      </c>
      <c r="C1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7" s="153" t="str">
        <f aca="false">IF(Rider_Input[[#This Row],[Rider ID]]="","",DAY(EOMONTH(Salary_Month,0)))</f>
        <v/>
      </c>
      <c r="F17" s="153" t="str">
        <f aca="false">IF(Rider_Input[[#This Row],[Rider ID]]="","",IFERROR(IF(INDEX(FTR_Data,ROW()-ROW(Rider_Input[#Headers]),c_FTR_WD)="","",INDEX(FTR_Data,ROW()-ROW(Rider_Input[#Headers]),c_FTR_WD)),""))</f>
        <v/>
      </c>
      <c r="G17" s="153" t="str">
        <f aca="false">IF(Rider_Input[[#This Row],[Rider ID]]="","",IFERROR(IF(INDEX(FTR_Data,ROW()-ROW(Rider_Input[#Headers]),c_FTR_Orders)="","",INDEX(FTR_Data,ROW()-ROW(Rider_Input[#Headers]),c_FTR_Orders)),""))</f>
        <v/>
      </c>
      <c r="H17" s="155" t="str">
        <f aca="false">IF(Rider_Input[[#This Row],[Rider ID]]="","",IFERROR(ABS(INDEX(RLVL_Data,MATCH(Rider_Input[[#This Row],[Rider ID]],INDEX(RLVL_Data,0,c_RLVL_ID),0),c_RLVL_Missed)),0))</f>
        <v/>
      </c>
      <c r="I17" s="155" t="str">
        <f aca="false">IF(Rider_Input[[#This Row],[Rider ID]]="","",IFERROR(ABS(INDEX(RLVL_Data,MATCH(Rider_Input[[#This Row],[Rider ID]],INDEX(RLVL_Data,0,c_RLVL_ID),0),c_RLVL_Bal)),0))</f>
        <v/>
      </c>
      <c r="J17" s="155" t="str">
        <f aca="false">IF(Rider_Input[[#This Row],[Rider ID]]="","",IFERROR(ABS(INDEX(RLVL_Data,MATCH(Rider_Input[[#This Row],[Rider ID]],INDEX(RLVL_Data,0,c_RLVL_ID),0),c_RLVL_Stack)),0))</f>
        <v/>
      </c>
      <c r="K17" s="155" t="str">
        <f aca="false">IF(Rider_Input[[#This Row],[Rider ID]]="","",SUMIFS(Adj_Input[Other Deductions],Adj_Input[Rider ID],Rider_Input[[#This Row],[Rider ID]]))</f>
        <v/>
      </c>
      <c r="L17" s="154" t="str">
        <f aca="false">IF(Rider_Input[[#This Row],[Rider ID]]="","",IFERROR(INDEX(Adj_Input[Note / Reason],MATCH(Rider_Input[[#This Row],[Rider ID]],Adj_Input[Rider ID],0))&amp;"",""))</f>
        <v/>
      </c>
    </row>
    <row r="18" customFormat="false" ht="14.25" hidden="false" customHeight="false" outlineLevel="0" collapsed="false">
      <c r="A18" s="152" t="str">
        <f aca="false">IF(Rider_Input[[#This Row],[Rider ID]]="","",Salary_Month)</f>
        <v/>
      </c>
      <c r="B18" s="153" t="str">
        <f aca="false">IFERROR(IF(INDEX(FTR_Data,ROW()-ROW(Rider_Input[#Headers]),c_FTR_ID)="","",INDEX(FTR_Data,ROW()-ROW(Rider_Input[#Headers]),c_FTR_ID)),"")</f>
        <v/>
      </c>
      <c r="C1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8" s="153" t="str">
        <f aca="false">IF(Rider_Input[[#This Row],[Rider ID]]="","",DAY(EOMONTH(Salary_Month,0)))</f>
        <v/>
      </c>
      <c r="F18" s="153" t="str">
        <f aca="false">IF(Rider_Input[[#This Row],[Rider ID]]="","",IFERROR(IF(INDEX(FTR_Data,ROW()-ROW(Rider_Input[#Headers]),c_FTR_WD)="","",INDEX(FTR_Data,ROW()-ROW(Rider_Input[#Headers]),c_FTR_WD)),""))</f>
        <v/>
      </c>
      <c r="G18" s="153" t="str">
        <f aca="false">IF(Rider_Input[[#This Row],[Rider ID]]="","",IFERROR(IF(INDEX(FTR_Data,ROW()-ROW(Rider_Input[#Headers]),c_FTR_Orders)="","",INDEX(FTR_Data,ROW()-ROW(Rider_Input[#Headers]),c_FTR_Orders)),""))</f>
        <v/>
      </c>
      <c r="H18" s="155" t="str">
        <f aca="false">IF(Rider_Input[[#This Row],[Rider ID]]="","",IFERROR(ABS(INDEX(RLVL_Data,MATCH(Rider_Input[[#This Row],[Rider ID]],INDEX(RLVL_Data,0,c_RLVL_ID),0),c_RLVL_Missed)),0))</f>
        <v/>
      </c>
      <c r="I18" s="155" t="str">
        <f aca="false">IF(Rider_Input[[#This Row],[Rider ID]]="","",IFERROR(ABS(INDEX(RLVL_Data,MATCH(Rider_Input[[#This Row],[Rider ID]],INDEX(RLVL_Data,0,c_RLVL_ID),0),c_RLVL_Bal)),0))</f>
        <v/>
      </c>
      <c r="J18" s="155" t="str">
        <f aca="false">IF(Rider_Input[[#This Row],[Rider ID]]="","",IFERROR(ABS(INDEX(RLVL_Data,MATCH(Rider_Input[[#This Row],[Rider ID]],INDEX(RLVL_Data,0,c_RLVL_ID),0),c_RLVL_Stack)),0))</f>
        <v/>
      </c>
      <c r="K18" s="155" t="str">
        <f aca="false">IF(Rider_Input[[#This Row],[Rider ID]]="","",SUMIFS(Adj_Input[Other Deductions],Adj_Input[Rider ID],Rider_Input[[#This Row],[Rider ID]]))</f>
        <v/>
      </c>
      <c r="L18" s="154" t="str">
        <f aca="false">IF(Rider_Input[[#This Row],[Rider ID]]="","",IFERROR(INDEX(Adj_Input[Note / Reason],MATCH(Rider_Input[[#This Row],[Rider ID]],Adj_Input[Rider ID],0))&amp;"",""))</f>
        <v/>
      </c>
    </row>
    <row r="19" customFormat="false" ht="14.25" hidden="false" customHeight="false" outlineLevel="0" collapsed="false">
      <c r="A19" s="152" t="str">
        <f aca="false">IF(Rider_Input[[#This Row],[Rider ID]]="","",Salary_Month)</f>
        <v/>
      </c>
      <c r="B19" s="153" t="str">
        <f aca="false">IFERROR(IF(INDEX(FTR_Data,ROW()-ROW(Rider_Input[#Headers]),c_FTR_ID)="","",INDEX(FTR_Data,ROW()-ROW(Rider_Input[#Headers]),c_FTR_ID)),"")</f>
        <v/>
      </c>
      <c r="C1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9" s="153" t="str">
        <f aca="false">IF(Rider_Input[[#This Row],[Rider ID]]="","",DAY(EOMONTH(Salary_Month,0)))</f>
        <v/>
      </c>
      <c r="F19" s="153" t="str">
        <f aca="false">IF(Rider_Input[[#This Row],[Rider ID]]="","",IFERROR(IF(INDEX(FTR_Data,ROW()-ROW(Rider_Input[#Headers]),c_FTR_WD)="","",INDEX(FTR_Data,ROW()-ROW(Rider_Input[#Headers]),c_FTR_WD)),""))</f>
        <v/>
      </c>
      <c r="G19" s="153" t="str">
        <f aca="false">IF(Rider_Input[[#This Row],[Rider ID]]="","",IFERROR(IF(INDEX(FTR_Data,ROW()-ROW(Rider_Input[#Headers]),c_FTR_Orders)="","",INDEX(FTR_Data,ROW()-ROW(Rider_Input[#Headers]),c_FTR_Orders)),""))</f>
        <v/>
      </c>
      <c r="H19" s="155" t="str">
        <f aca="false">IF(Rider_Input[[#This Row],[Rider ID]]="","",IFERROR(ABS(INDEX(RLVL_Data,MATCH(Rider_Input[[#This Row],[Rider ID]],INDEX(RLVL_Data,0,c_RLVL_ID),0),c_RLVL_Missed)),0))</f>
        <v/>
      </c>
      <c r="I19" s="155" t="str">
        <f aca="false">IF(Rider_Input[[#This Row],[Rider ID]]="","",IFERROR(ABS(INDEX(RLVL_Data,MATCH(Rider_Input[[#This Row],[Rider ID]],INDEX(RLVL_Data,0,c_RLVL_ID),0),c_RLVL_Bal)),0))</f>
        <v/>
      </c>
      <c r="J19" s="155" t="str">
        <f aca="false">IF(Rider_Input[[#This Row],[Rider ID]]="","",IFERROR(ABS(INDEX(RLVL_Data,MATCH(Rider_Input[[#This Row],[Rider ID]],INDEX(RLVL_Data,0,c_RLVL_ID),0),c_RLVL_Stack)),0))</f>
        <v/>
      </c>
      <c r="K19" s="155" t="str">
        <f aca="false">IF(Rider_Input[[#This Row],[Rider ID]]="","",SUMIFS(Adj_Input[Other Deductions],Adj_Input[Rider ID],Rider_Input[[#This Row],[Rider ID]]))</f>
        <v/>
      </c>
      <c r="L19" s="154" t="str">
        <f aca="false">IF(Rider_Input[[#This Row],[Rider ID]]="","",IFERROR(INDEX(Adj_Input[Note / Reason],MATCH(Rider_Input[[#This Row],[Rider ID]],Adj_Input[Rider ID],0))&amp;"",""))</f>
        <v/>
      </c>
    </row>
    <row r="20" customFormat="false" ht="14.25" hidden="false" customHeight="false" outlineLevel="0" collapsed="false">
      <c r="A20" s="152" t="str">
        <f aca="false">IF(Rider_Input[[#This Row],[Rider ID]]="","",Salary_Month)</f>
        <v/>
      </c>
      <c r="B20" s="153" t="str">
        <f aca="false">IFERROR(IF(INDEX(FTR_Data,ROW()-ROW(Rider_Input[#Headers]),c_FTR_ID)="","",INDEX(FTR_Data,ROW()-ROW(Rider_Input[#Headers]),c_FTR_ID)),"")</f>
        <v/>
      </c>
      <c r="C2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0" s="153" t="str">
        <f aca="false">IF(Rider_Input[[#This Row],[Rider ID]]="","",DAY(EOMONTH(Salary_Month,0)))</f>
        <v/>
      </c>
      <c r="F20" s="153" t="str">
        <f aca="false">IF(Rider_Input[[#This Row],[Rider ID]]="","",IFERROR(IF(INDEX(FTR_Data,ROW()-ROW(Rider_Input[#Headers]),c_FTR_WD)="","",INDEX(FTR_Data,ROW()-ROW(Rider_Input[#Headers]),c_FTR_WD)),""))</f>
        <v/>
      </c>
      <c r="G20" s="153" t="str">
        <f aca="false">IF(Rider_Input[[#This Row],[Rider ID]]="","",IFERROR(IF(INDEX(FTR_Data,ROW()-ROW(Rider_Input[#Headers]),c_FTR_Orders)="","",INDEX(FTR_Data,ROW()-ROW(Rider_Input[#Headers]),c_FTR_Orders)),""))</f>
        <v/>
      </c>
      <c r="H20" s="155" t="str">
        <f aca="false">IF(Rider_Input[[#This Row],[Rider ID]]="","",IFERROR(ABS(INDEX(RLVL_Data,MATCH(Rider_Input[[#This Row],[Rider ID]],INDEX(RLVL_Data,0,c_RLVL_ID),0),c_RLVL_Missed)),0))</f>
        <v/>
      </c>
      <c r="I20" s="155" t="str">
        <f aca="false">IF(Rider_Input[[#This Row],[Rider ID]]="","",IFERROR(ABS(INDEX(RLVL_Data,MATCH(Rider_Input[[#This Row],[Rider ID]],INDEX(RLVL_Data,0,c_RLVL_ID),0),c_RLVL_Bal)),0))</f>
        <v/>
      </c>
      <c r="J20" s="155" t="str">
        <f aca="false">IF(Rider_Input[[#This Row],[Rider ID]]="","",IFERROR(ABS(INDEX(RLVL_Data,MATCH(Rider_Input[[#This Row],[Rider ID]],INDEX(RLVL_Data,0,c_RLVL_ID),0),c_RLVL_Stack)),0))</f>
        <v/>
      </c>
      <c r="K20" s="155" t="str">
        <f aca="false">IF(Rider_Input[[#This Row],[Rider ID]]="","",SUMIFS(Adj_Input[Other Deductions],Adj_Input[Rider ID],Rider_Input[[#This Row],[Rider ID]]))</f>
        <v/>
      </c>
      <c r="L20" s="154" t="str">
        <f aca="false">IF(Rider_Input[[#This Row],[Rider ID]]="","",IFERROR(INDEX(Adj_Input[Note / Reason],MATCH(Rider_Input[[#This Row],[Rider ID]],Adj_Input[Rider ID],0))&amp;"",""))</f>
        <v/>
      </c>
    </row>
    <row r="21" customFormat="false" ht="14.25" hidden="false" customHeight="false" outlineLevel="0" collapsed="false">
      <c r="A21" s="152" t="str">
        <f aca="false">IF(Rider_Input[[#This Row],[Rider ID]]="","",Salary_Month)</f>
        <v/>
      </c>
      <c r="B21" s="153" t="str">
        <f aca="false">IFERROR(IF(INDEX(FTR_Data,ROW()-ROW(Rider_Input[#Headers]),c_FTR_ID)="","",INDEX(FTR_Data,ROW()-ROW(Rider_Input[#Headers]),c_FTR_ID)),"")</f>
        <v/>
      </c>
      <c r="C2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1" s="153" t="str">
        <f aca="false">IF(Rider_Input[[#This Row],[Rider ID]]="","",DAY(EOMONTH(Salary_Month,0)))</f>
        <v/>
      </c>
      <c r="F21" s="153" t="str">
        <f aca="false">IF(Rider_Input[[#This Row],[Rider ID]]="","",IFERROR(IF(INDEX(FTR_Data,ROW()-ROW(Rider_Input[#Headers]),c_FTR_WD)="","",INDEX(FTR_Data,ROW()-ROW(Rider_Input[#Headers]),c_FTR_WD)),""))</f>
        <v/>
      </c>
      <c r="G21" s="153" t="str">
        <f aca="false">IF(Rider_Input[[#This Row],[Rider ID]]="","",IFERROR(IF(INDEX(FTR_Data,ROW()-ROW(Rider_Input[#Headers]),c_FTR_Orders)="","",INDEX(FTR_Data,ROW()-ROW(Rider_Input[#Headers]),c_FTR_Orders)),""))</f>
        <v/>
      </c>
      <c r="H21" s="155" t="str">
        <f aca="false">IF(Rider_Input[[#This Row],[Rider ID]]="","",IFERROR(ABS(INDEX(RLVL_Data,MATCH(Rider_Input[[#This Row],[Rider ID]],INDEX(RLVL_Data,0,c_RLVL_ID),0),c_RLVL_Missed)),0))</f>
        <v/>
      </c>
      <c r="I21" s="155" t="str">
        <f aca="false">IF(Rider_Input[[#This Row],[Rider ID]]="","",IFERROR(ABS(INDEX(RLVL_Data,MATCH(Rider_Input[[#This Row],[Rider ID]],INDEX(RLVL_Data,0,c_RLVL_ID),0),c_RLVL_Bal)),0))</f>
        <v/>
      </c>
      <c r="J21" s="155" t="str">
        <f aca="false">IF(Rider_Input[[#This Row],[Rider ID]]="","",IFERROR(ABS(INDEX(RLVL_Data,MATCH(Rider_Input[[#This Row],[Rider ID]],INDEX(RLVL_Data,0,c_RLVL_ID),0),c_RLVL_Stack)),0))</f>
        <v/>
      </c>
      <c r="K21" s="155" t="str">
        <f aca="false">IF(Rider_Input[[#This Row],[Rider ID]]="","",SUMIFS(Adj_Input[Other Deductions],Adj_Input[Rider ID],Rider_Input[[#This Row],[Rider ID]]))</f>
        <v/>
      </c>
      <c r="L21" s="154" t="str">
        <f aca="false">IF(Rider_Input[[#This Row],[Rider ID]]="","",IFERROR(INDEX(Adj_Input[Note / Reason],MATCH(Rider_Input[[#This Row],[Rider ID]],Adj_Input[Rider ID],0))&amp;"",""))</f>
        <v/>
      </c>
    </row>
    <row r="22" customFormat="false" ht="14.25" hidden="false" customHeight="false" outlineLevel="0" collapsed="false">
      <c r="A22" s="152" t="str">
        <f aca="false">IF(Rider_Input[[#This Row],[Rider ID]]="","",Salary_Month)</f>
        <v/>
      </c>
      <c r="B22" s="153" t="str">
        <f aca="false">IFERROR(IF(INDEX(FTR_Data,ROW()-ROW(Rider_Input[#Headers]),c_FTR_ID)="","",INDEX(FTR_Data,ROW()-ROW(Rider_Input[#Headers]),c_FTR_ID)),"")</f>
        <v/>
      </c>
      <c r="C2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2" s="153" t="str">
        <f aca="false">IF(Rider_Input[[#This Row],[Rider ID]]="","",DAY(EOMONTH(Salary_Month,0)))</f>
        <v/>
      </c>
      <c r="F22" s="153" t="str">
        <f aca="false">IF(Rider_Input[[#This Row],[Rider ID]]="","",IFERROR(IF(INDEX(FTR_Data,ROW()-ROW(Rider_Input[#Headers]),c_FTR_WD)="","",INDEX(FTR_Data,ROW()-ROW(Rider_Input[#Headers]),c_FTR_WD)),""))</f>
        <v/>
      </c>
      <c r="G22" s="153" t="str">
        <f aca="false">IF(Rider_Input[[#This Row],[Rider ID]]="","",IFERROR(IF(INDEX(FTR_Data,ROW()-ROW(Rider_Input[#Headers]),c_FTR_Orders)="","",INDEX(FTR_Data,ROW()-ROW(Rider_Input[#Headers]),c_FTR_Orders)),""))</f>
        <v/>
      </c>
      <c r="H22" s="155" t="str">
        <f aca="false">IF(Rider_Input[[#This Row],[Rider ID]]="","",IFERROR(ABS(INDEX(RLVL_Data,MATCH(Rider_Input[[#This Row],[Rider ID]],INDEX(RLVL_Data,0,c_RLVL_ID),0),c_RLVL_Missed)),0))</f>
        <v/>
      </c>
      <c r="I22" s="155" t="str">
        <f aca="false">IF(Rider_Input[[#This Row],[Rider ID]]="","",IFERROR(ABS(INDEX(RLVL_Data,MATCH(Rider_Input[[#This Row],[Rider ID]],INDEX(RLVL_Data,0,c_RLVL_ID),0),c_RLVL_Bal)),0))</f>
        <v/>
      </c>
      <c r="J22" s="155" t="str">
        <f aca="false">IF(Rider_Input[[#This Row],[Rider ID]]="","",IFERROR(ABS(INDEX(RLVL_Data,MATCH(Rider_Input[[#This Row],[Rider ID]],INDEX(RLVL_Data,0,c_RLVL_ID),0),c_RLVL_Stack)),0))</f>
        <v/>
      </c>
      <c r="K22" s="155" t="str">
        <f aca="false">IF(Rider_Input[[#This Row],[Rider ID]]="","",SUMIFS(Adj_Input[Other Deductions],Adj_Input[Rider ID],Rider_Input[[#This Row],[Rider ID]]))</f>
        <v/>
      </c>
      <c r="L22" s="154" t="str">
        <f aca="false">IF(Rider_Input[[#This Row],[Rider ID]]="","",IFERROR(INDEX(Adj_Input[Note / Reason],MATCH(Rider_Input[[#This Row],[Rider ID]],Adj_Input[Rider ID],0))&amp;"",""))</f>
        <v/>
      </c>
    </row>
    <row r="23" customFormat="false" ht="14.25" hidden="false" customHeight="false" outlineLevel="0" collapsed="false">
      <c r="A23" s="152" t="str">
        <f aca="false">IF(Rider_Input[[#This Row],[Rider ID]]="","",Salary_Month)</f>
        <v/>
      </c>
      <c r="B23" s="153" t="str">
        <f aca="false">IFERROR(IF(INDEX(FTR_Data,ROW()-ROW(Rider_Input[#Headers]),c_FTR_ID)="","",INDEX(FTR_Data,ROW()-ROW(Rider_Input[#Headers]),c_FTR_ID)),"")</f>
        <v/>
      </c>
      <c r="C2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3" s="153" t="str">
        <f aca="false">IF(Rider_Input[[#This Row],[Rider ID]]="","",DAY(EOMONTH(Salary_Month,0)))</f>
        <v/>
      </c>
      <c r="F23" s="153" t="str">
        <f aca="false">IF(Rider_Input[[#This Row],[Rider ID]]="","",IFERROR(IF(INDEX(FTR_Data,ROW()-ROW(Rider_Input[#Headers]),c_FTR_WD)="","",INDEX(FTR_Data,ROW()-ROW(Rider_Input[#Headers]),c_FTR_WD)),""))</f>
        <v/>
      </c>
      <c r="G23" s="153" t="str">
        <f aca="false">IF(Rider_Input[[#This Row],[Rider ID]]="","",IFERROR(IF(INDEX(FTR_Data,ROW()-ROW(Rider_Input[#Headers]),c_FTR_Orders)="","",INDEX(FTR_Data,ROW()-ROW(Rider_Input[#Headers]),c_FTR_Orders)),""))</f>
        <v/>
      </c>
      <c r="H23" s="155" t="str">
        <f aca="false">IF(Rider_Input[[#This Row],[Rider ID]]="","",IFERROR(ABS(INDEX(RLVL_Data,MATCH(Rider_Input[[#This Row],[Rider ID]],INDEX(RLVL_Data,0,c_RLVL_ID),0),c_RLVL_Missed)),0))</f>
        <v/>
      </c>
      <c r="I23" s="155" t="str">
        <f aca="false">IF(Rider_Input[[#This Row],[Rider ID]]="","",IFERROR(ABS(INDEX(RLVL_Data,MATCH(Rider_Input[[#This Row],[Rider ID]],INDEX(RLVL_Data,0,c_RLVL_ID),0),c_RLVL_Bal)),0))</f>
        <v/>
      </c>
      <c r="J23" s="155" t="str">
        <f aca="false">IF(Rider_Input[[#This Row],[Rider ID]]="","",IFERROR(ABS(INDEX(RLVL_Data,MATCH(Rider_Input[[#This Row],[Rider ID]],INDEX(RLVL_Data,0,c_RLVL_ID),0),c_RLVL_Stack)),0))</f>
        <v/>
      </c>
      <c r="K23" s="155" t="str">
        <f aca="false">IF(Rider_Input[[#This Row],[Rider ID]]="","",SUMIFS(Adj_Input[Other Deductions],Adj_Input[Rider ID],Rider_Input[[#This Row],[Rider ID]]))</f>
        <v/>
      </c>
      <c r="L23" s="154" t="str">
        <f aca="false">IF(Rider_Input[[#This Row],[Rider ID]]="","",IFERROR(INDEX(Adj_Input[Note / Reason],MATCH(Rider_Input[[#This Row],[Rider ID]],Adj_Input[Rider ID],0))&amp;"",""))</f>
        <v/>
      </c>
    </row>
    <row r="24" customFormat="false" ht="14.25" hidden="false" customHeight="false" outlineLevel="0" collapsed="false">
      <c r="A24" s="152" t="str">
        <f aca="false">IF(Rider_Input[[#This Row],[Rider ID]]="","",Salary_Month)</f>
        <v/>
      </c>
      <c r="B24" s="153" t="str">
        <f aca="false">IFERROR(IF(INDEX(FTR_Data,ROW()-ROW(Rider_Input[#Headers]),c_FTR_ID)="","",INDEX(FTR_Data,ROW()-ROW(Rider_Input[#Headers]),c_FTR_ID)),"")</f>
        <v/>
      </c>
      <c r="C2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4" s="153" t="str">
        <f aca="false">IF(Rider_Input[[#This Row],[Rider ID]]="","",DAY(EOMONTH(Salary_Month,0)))</f>
        <v/>
      </c>
      <c r="F24" s="153" t="str">
        <f aca="false">IF(Rider_Input[[#This Row],[Rider ID]]="","",IFERROR(IF(INDEX(FTR_Data,ROW()-ROW(Rider_Input[#Headers]),c_FTR_WD)="","",INDEX(FTR_Data,ROW()-ROW(Rider_Input[#Headers]),c_FTR_WD)),""))</f>
        <v/>
      </c>
      <c r="G24" s="153" t="str">
        <f aca="false">IF(Rider_Input[[#This Row],[Rider ID]]="","",IFERROR(IF(INDEX(FTR_Data,ROW()-ROW(Rider_Input[#Headers]),c_FTR_Orders)="","",INDEX(FTR_Data,ROW()-ROW(Rider_Input[#Headers]),c_FTR_Orders)),""))</f>
        <v/>
      </c>
      <c r="H24" s="155" t="str">
        <f aca="false">IF(Rider_Input[[#This Row],[Rider ID]]="","",IFERROR(ABS(INDEX(RLVL_Data,MATCH(Rider_Input[[#This Row],[Rider ID]],INDEX(RLVL_Data,0,c_RLVL_ID),0),c_RLVL_Missed)),0))</f>
        <v/>
      </c>
      <c r="I24" s="155" t="str">
        <f aca="false">IF(Rider_Input[[#This Row],[Rider ID]]="","",IFERROR(ABS(INDEX(RLVL_Data,MATCH(Rider_Input[[#This Row],[Rider ID]],INDEX(RLVL_Data,0,c_RLVL_ID),0),c_RLVL_Bal)),0))</f>
        <v/>
      </c>
      <c r="J24" s="155" t="str">
        <f aca="false">IF(Rider_Input[[#This Row],[Rider ID]]="","",IFERROR(ABS(INDEX(RLVL_Data,MATCH(Rider_Input[[#This Row],[Rider ID]],INDEX(RLVL_Data,0,c_RLVL_ID),0),c_RLVL_Stack)),0))</f>
        <v/>
      </c>
      <c r="K24" s="155" t="str">
        <f aca="false">IF(Rider_Input[[#This Row],[Rider ID]]="","",SUMIFS(Adj_Input[Other Deductions],Adj_Input[Rider ID],Rider_Input[[#This Row],[Rider ID]]))</f>
        <v/>
      </c>
      <c r="L24" s="154" t="str">
        <f aca="false">IF(Rider_Input[[#This Row],[Rider ID]]="","",IFERROR(INDEX(Adj_Input[Note / Reason],MATCH(Rider_Input[[#This Row],[Rider ID]],Adj_Input[Rider ID],0))&amp;"",""))</f>
        <v/>
      </c>
    </row>
    <row r="25" customFormat="false" ht="14.25" hidden="false" customHeight="false" outlineLevel="0" collapsed="false">
      <c r="A25" s="152" t="str">
        <f aca="false">IF(Rider_Input[[#This Row],[Rider ID]]="","",Salary_Month)</f>
        <v/>
      </c>
      <c r="B25" s="153" t="str">
        <f aca="false">IFERROR(IF(INDEX(FTR_Data,ROW()-ROW(Rider_Input[#Headers]),c_FTR_ID)="","",INDEX(FTR_Data,ROW()-ROW(Rider_Input[#Headers]),c_FTR_ID)),"")</f>
        <v/>
      </c>
      <c r="C2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5" s="153" t="str">
        <f aca="false">IF(Rider_Input[[#This Row],[Rider ID]]="","",DAY(EOMONTH(Salary_Month,0)))</f>
        <v/>
      </c>
      <c r="F25" s="153" t="str">
        <f aca="false">IF(Rider_Input[[#This Row],[Rider ID]]="","",IFERROR(IF(INDEX(FTR_Data,ROW()-ROW(Rider_Input[#Headers]),c_FTR_WD)="","",INDEX(FTR_Data,ROW()-ROW(Rider_Input[#Headers]),c_FTR_WD)),""))</f>
        <v/>
      </c>
      <c r="G25" s="153" t="str">
        <f aca="false">IF(Rider_Input[[#This Row],[Rider ID]]="","",IFERROR(IF(INDEX(FTR_Data,ROW()-ROW(Rider_Input[#Headers]),c_FTR_Orders)="","",INDEX(FTR_Data,ROW()-ROW(Rider_Input[#Headers]),c_FTR_Orders)),""))</f>
        <v/>
      </c>
      <c r="H25" s="155" t="str">
        <f aca="false">IF(Rider_Input[[#This Row],[Rider ID]]="","",IFERROR(ABS(INDEX(RLVL_Data,MATCH(Rider_Input[[#This Row],[Rider ID]],INDEX(RLVL_Data,0,c_RLVL_ID),0),c_RLVL_Missed)),0))</f>
        <v/>
      </c>
      <c r="I25" s="155" t="str">
        <f aca="false">IF(Rider_Input[[#This Row],[Rider ID]]="","",IFERROR(ABS(INDEX(RLVL_Data,MATCH(Rider_Input[[#This Row],[Rider ID]],INDEX(RLVL_Data,0,c_RLVL_ID),0),c_RLVL_Bal)),0))</f>
        <v/>
      </c>
      <c r="J25" s="155" t="str">
        <f aca="false">IF(Rider_Input[[#This Row],[Rider ID]]="","",IFERROR(ABS(INDEX(RLVL_Data,MATCH(Rider_Input[[#This Row],[Rider ID]],INDEX(RLVL_Data,0,c_RLVL_ID),0),c_RLVL_Stack)),0))</f>
        <v/>
      </c>
      <c r="K25" s="155" t="str">
        <f aca="false">IF(Rider_Input[[#This Row],[Rider ID]]="","",SUMIFS(Adj_Input[Other Deductions],Adj_Input[Rider ID],Rider_Input[[#This Row],[Rider ID]]))</f>
        <v/>
      </c>
      <c r="L25" s="154" t="str">
        <f aca="false">IF(Rider_Input[[#This Row],[Rider ID]]="","",IFERROR(INDEX(Adj_Input[Note / Reason],MATCH(Rider_Input[[#This Row],[Rider ID]],Adj_Input[Rider ID],0))&amp;"",""))</f>
        <v/>
      </c>
    </row>
    <row r="26" customFormat="false" ht="14.25" hidden="false" customHeight="false" outlineLevel="0" collapsed="false">
      <c r="A26" s="152" t="str">
        <f aca="false">IF(Rider_Input[[#This Row],[Rider ID]]="","",Salary_Month)</f>
        <v/>
      </c>
      <c r="B26" s="153" t="str">
        <f aca="false">IFERROR(IF(INDEX(FTR_Data,ROW()-ROW(Rider_Input[#Headers]),c_FTR_ID)="","",INDEX(FTR_Data,ROW()-ROW(Rider_Input[#Headers]),c_FTR_ID)),"")</f>
        <v/>
      </c>
      <c r="C2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6" s="153" t="str">
        <f aca="false">IF(Rider_Input[[#This Row],[Rider ID]]="","",DAY(EOMONTH(Salary_Month,0)))</f>
        <v/>
      </c>
      <c r="F26" s="153" t="str">
        <f aca="false">IF(Rider_Input[[#This Row],[Rider ID]]="","",IFERROR(IF(INDEX(FTR_Data,ROW()-ROW(Rider_Input[#Headers]),c_FTR_WD)="","",INDEX(FTR_Data,ROW()-ROW(Rider_Input[#Headers]),c_FTR_WD)),""))</f>
        <v/>
      </c>
      <c r="G26" s="153" t="str">
        <f aca="false">IF(Rider_Input[[#This Row],[Rider ID]]="","",IFERROR(IF(INDEX(FTR_Data,ROW()-ROW(Rider_Input[#Headers]),c_FTR_Orders)="","",INDEX(FTR_Data,ROW()-ROW(Rider_Input[#Headers]),c_FTR_Orders)),""))</f>
        <v/>
      </c>
      <c r="H26" s="155" t="str">
        <f aca="false">IF(Rider_Input[[#This Row],[Rider ID]]="","",IFERROR(ABS(INDEX(RLVL_Data,MATCH(Rider_Input[[#This Row],[Rider ID]],INDEX(RLVL_Data,0,c_RLVL_ID),0),c_RLVL_Missed)),0))</f>
        <v/>
      </c>
      <c r="I26" s="155" t="str">
        <f aca="false">IF(Rider_Input[[#This Row],[Rider ID]]="","",IFERROR(ABS(INDEX(RLVL_Data,MATCH(Rider_Input[[#This Row],[Rider ID]],INDEX(RLVL_Data,0,c_RLVL_ID),0),c_RLVL_Bal)),0))</f>
        <v/>
      </c>
      <c r="J26" s="155" t="str">
        <f aca="false">IF(Rider_Input[[#This Row],[Rider ID]]="","",IFERROR(ABS(INDEX(RLVL_Data,MATCH(Rider_Input[[#This Row],[Rider ID]],INDEX(RLVL_Data,0,c_RLVL_ID),0),c_RLVL_Stack)),0))</f>
        <v/>
      </c>
      <c r="K26" s="155" t="str">
        <f aca="false">IF(Rider_Input[[#This Row],[Rider ID]]="","",SUMIFS(Adj_Input[Other Deductions],Adj_Input[Rider ID],Rider_Input[[#This Row],[Rider ID]]))</f>
        <v/>
      </c>
      <c r="L26" s="154" t="str">
        <f aca="false">IF(Rider_Input[[#This Row],[Rider ID]]="","",IFERROR(INDEX(Adj_Input[Note / Reason],MATCH(Rider_Input[[#This Row],[Rider ID]],Adj_Input[Rider ID],0))&amp;"",""))</f>
        <v/>
      </c>
    </row>
    <row r="27" customFormat="false" ht="14.25" hidden="false" customHeight="false" outlineLevel="0" collapsed="false">
      <c r="A27" s="152" t="str">
        <f aca="false">IF(Rider_Input[[#This Row],[Rider ID]]="","",Salary_Month)</f>
        <v/>
      </c>
      <c r="B27" s="153" t="str">
        <f aca="false">IFERROR(IF(INDEX(FTR_Data,ROW()-ROW(Rider_Input[#Headers]),c_FTR_ID)="","",INDEX(FTR_Data,ROW()-ROW(Rider_Input[#Headers]),c_FTR_ID)),"")</f>
        <v/>
      </c>
      <c r="C2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7" s="153" t="str">
        <f aca="false">IF(Rider_Input[[#This Row],[Rider ID]]="","",DAY(EOMONTH(Salary_Month,0)))</f>
        <v/>
      </c>
      <c r="F27" s="153" t="str">
        <f aca="false">IF(Rider_Input[[#This Row],[Rider ID]]="","",IFERROR(IF(INDEX(FTR_Data,ROW()-ROW(Rider_Input[#Headers]),c_FTR_WD)="","",INDEX(FTR_Data,ROW()-ROW(Rider_Input[#Headers]),c_FTR_WD)),""))</f>
        <v/>
      </c>
      <c r="G27" s="153" t="str">
        <f aca="false">IF(Rider_Input[[#This Row],[Rider ID]]="","",IFERROR(IF(INDEX(FTR_Data,ROW()-ROW(Rider_Input[#Headers]),c_FTR_Orders)="","",INDEX(FTR_Data,ROW()-ROW(Rider_Input[#Headers]),c_FTR_Orders)),""))</f>
        <v/>
      </c>
      <c r="H27" s="155" t="str">
        <f aca="false">IF(Rider_Input[[#This Row],[Rider ID]]="","",IFERROR(ABS(INDEX(RLVL_Data,MATCH(Rider_Input[[#This Row],[Rider ID]],INDEX(RLVL_Data,0,c_RLVL_ID),0),c_RLVL_Missed)),0))</f>
        <v/>
      </c>
      <c r="I27" s="155" t="str">
        <f aca="false">IF(Rider_Input[[#This Row],[Rider ID]]="","",IFERROR(ABS(INDEX(RLVL_Data,MATCH(Rider_Input[[#This Row],[Rider ID]],INDEX(RLVL_Data,0,c_RLVL_ID),0),c_RLVL_Bal)),0))</f>
        <v/>
      </c>
      <c r="J27" s="155" t="str">
        <f aca="false">IF(Rider_Input[[#This Row],[Rider ID]]="","",IFERROR(ABS(INDEX(RLVL_Data,MATCH(Rider_Input[[#This Row],[Rider ID]],INDEX(RLVL_Data,0,c_RLVL_ID),0),c_RLVL_Stack)),0))</f>
        <v/>
      </c>
      <c r="K27" s="155" t="str">
        <f aca="false">IF(Rider_Input[[#This Row],[Rider ID]]="","",SUMIFS(Adj_Input[Other Deductions],Adj_Input[Rider ID],Rider_Input[[#This Row],[Rider ID]]))</f>
        <v/>
      </c>
      <c r="L27" s="154" t="str">
        <f aca="false">IF(Rider_Input[[#This Row],[Rider ID]]="","",IFERROR(INDEX(Adj_Input[Note / Reason],MATCH(Rider_Input[[#This Row],[Rider ID]],Adj_Input[Rider ID],0))&amp;"",""))</f>
        <v/>
      </c>
    </row>
    <row r="28" customFormat="false" ht="14.25" hidden="false" customHeight="false" outlineLevel="0" collapsed="false">
      <c r="A28" s="152" t="str">
        <f aca="false">IF(Rider_Input[[#This Row],[Rider ID]]="","",Salary_Month)</f>
        <v/>
      </c>
      <c r="B28" s="153" t="str">
        <f aca="false">IFERROR(IF(INDEX(FTR_Data,ROW()-ROW(Rider_Input[#Headers]),c_FTR_ID)="","",INDEX(FTR_Data,ROW()-ROW(Rider_Input[#Headers]),c_FTR_ID)),"")</f>
        <v/>
      </c>
      <c r="C2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8" s="153" t="str">
        <f aca="false">IF(Rider_Input[[#This Row],[Rider ID]]="","",DAY(EOMONTH(Salary_Month,0)))</f>
        <v/>
      </c>
      <c r="F28" s="153" t="str">
        <f aca="false">IF(Rider_Input[[#This Row],[Rider ID]]="","",IFERROR(IF(INDEX(FTR_Data,ROW()-ROW(Rider_Input[#Headers]),c_FTR_WD)="","",INDEX(FTR_Data,ROW()-ROW(Rider_Input[#Headers]),c_FTR_WD)),""))</f>
        <v/>
      </c>
      <c r="G28" s="153" t="str">
        <f aca="false">IF(Rider_Input[[#This Row],[Rider ID]]="","",IFERROR(IF(INDEX(FTR_Data,ROW()-ROW(Rider_Input[#Headers]),c_FTR_Orders)="","",INDEX(FTR_Data,ROW()-ROW(Rider_Input[#Headers]),c_FTR_Orders)),""))</f>
        <v/>
      </c>
      <c r="H28" s="155" t="str">
        <f aca="false">IF(Rider_Input[[#This Row],[Rider ID]]="","",IFERROR(ABS(INDEX(RLVL_Data,MATCH(Rider_Input[[#This Row],[Rider ID]],INDEX(RLVL_Data,0,c_RLVL_ID),0),c_RLVL_Missed)),0))</f>
        <v/>
      </c>
      <c r="I28" s="155" t="str">
        <f aca="false">IF(Rider_Input[[#This Row],[Rider ID]]="","",IFERROR(ABS(INDEX(RLVL_Data,MATCH(Rider_Input[[#This Row],[Rider ID]],INDEX(RLVL_Data,0,c_RLVL_ID),0),c_RLVL_Bal)),0))</f>
        <v/>
      </c>
      <c r="J28" s="155" t="str">
        <f aca="false">IF(Rider_Input[[#This Row],[Rider ID]]="","",IFERROR(ABS(INDEX(RLVL_Data,MATCH(Rider_Input[[#This Row],[Rider ID]],INDEX(RLVL_Data,0,c_RLVL_ID),0),c_RLVL_Stack)),0))</f>
        <v/>
      </c>
      <c r="K28" s="155" t="str">
        <f aca="false">IF(Rider_Input[[#This Row],[Rider ID]]="","",SUMIFS(Adj_Input[Other Deductions],Adj_Input[Rider ID],Rider_Input[[#This Row],[Rider ID]]))</f>
        <v/>
      </c>
      <c r="L28" s="154" t="str">
        <f aca="false">IF(Rider_Input[[#This Row],[Rider ID]]="","",IFERROR(INDEX(Adj_Input[Note / Reason],MATCH(Rider_Input[[#This Row],[Rider ID]],Adj_Input[Rider ID],0))&amp;"",""))</f>
        <v/>
      </c>
    </row>
    <row r="29" customFormat="false" ht="14.25" hidden="false" customHeight="false" outlineLevel="0" collapsed="false">
      <c r="A29" s="152" t="str">
        <f aca="false">IF(Rider_Input[[#This Row],[Rider ID]]="","",Salary_Month)</f>
        <v/>
      </c>
      <c r="B29" s="153" t="str">
        <f aca="false">IFERROR(IF(INDEX(FTR_Data,ROW()-ROW(Rider_Input[#Headers]),c_FTR_ID)="","",INDEX(FTR_Data,ROW()-ROW(Rider_Input[#Headers]),c_FTR_ID)),"")</f>
        <v/>
      </c>
      <c r="C2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9" s="153" t="str">
        <f aca="false">IF(Rider_Input[[#This Row],[Rider ID]]="","",DAY(EOMONTH(Salary_Month,0)))</f>
        <v/>
      </c>
      <c r="F29" s="153" t="str">
        <f aca="false">IF(Rider_Input[[#This Row],[Rider ID]]="","",IFERROR(IF(INDEX(FTR_Data,ROW()-ROW(Rider_Input[#Headers]),c_FTR_WD)="","",INDEX(FTR_Data,ROW()-ROW(Rider_Input[#Headers]),c_FTR_WD)),""))</f>
        <v/>
      </c>
      <c r="G29" s="153" t="str">
        <f aca="false">IF(Rider_Input[[#This Row],[Rider ID]]="","",IFERROR(IF(INDEX(FTR_Data,ROW()-ROW(Rider_Input[#Headers]),c_FTR_Orders)="","",INDEX(FTR_Data,ROW()-ROW(Rider_Input[#Headers]),c_FTR_Orders)),""))</f>
        <v/>
      </c>
      <c r="H29" s="155" t="str">
        <f aca="false">IF(Rider_Input[[#This Row],[Rider ID]]="","",IFERROR(ABS(INDEX(RLVL_Data,MATCH(Rider_Input[[#This Row],[Rider ID]],INDEX(RLVL_Data,0,c_RLVL_ID),0),c_RLVL_Missed)),0))</f>
        <v/>
      </c>
      <c r="I29" s="155" t="str">
        <f aca="false">IF(Rider_Input[[#This Row],[Rider ID]]="","",IFERROR(ABS(INDEX(RLVL_Data,MATCH(Rider_Input[[#This Row],[Rider ID]],INDEX(RLVL_Data,0,c_RLVL_ID),0),c_RLVL_Bal)),0))</f>
        <v/>
      </c>
      <c r="J29" s="155" t="str">
        <f aca="false">IF(Rider_Input[[#This Row],[Rider ID]]="","",IFERROR(ABS(INDEX(RLVL_Data,MATCH(Rider_Input[[#This Row],[Rider ID]],INDEX(RLVL_Data,0,c_RLVL_ID),0),c_RLVL_Stack)),0))</f>
        <v/>
      </c>
      <c r="K29" s="155" t="str">
        <f aca="false">IF(Rider_Input[[#This Row],[Rider ID]]="","",SUMIFS(Adj_Input[Other Deductions],Adj_Input[Rider ID],Rider_Input[[#This Row],[Rider ID]]))</f>
        <v/>
      </c>
      <c r="L29" s="154" t="str">
        <f aca="false">IF(Rider_Input[[#This Row],[Rider ID]]="","",IFERROR(INDEX(Adj_Input[Note / Reason],MATCH(Rider_Input[[#This Row],[Rider ID]],Adj_Input[Rider ID],0))&amp;"",""))</f>
        <v/>
      </c>
    </row>
    <row r="30" customFormat="false" ht="14.25" hidden="false" customHeight="false" outlineLevel="0" collapsed="false">
      <c r="A30" s="152" t="str">
        <f aca="false">IF(Rider_Input[[#This Row],[Rider ID]]="","",Salary_Month)</f>
        <v/>
      </c>
      <c r="B30" s="153" t="str">
        <f aca="false">IFERROR(IF(INDEX(FTR_Data,ROW()-ROW(Rider_Input[#Headers]),c_FTR_ID)="","",INDEX(FTR_Data,ROW()-ROW(Rider_Input[#Headers]),c_FTR_ID)),"")</f>
        <v/>
      </c>
      <c r="C3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0" s="153" t="str">
        <f aca="false">IF(Rider_Input[[#This Row],[Rider ID]]="","",DAY(EOMONTH(Salary_Month,0)))</f>
        <v/>
      </c>
      <c r="F30" s="153" t="str">
        <f aca="false">IF(Rider_Input[[#This Row],[Rider ID]]="","",IFERROR(IF(INDEX(FTR_Data,ROW()-ROW(Rider_Input[#Headers]),c_FTR_WD)="","",INDEX(FTR_Data,ROW()-ROW(Rider_Input[#Headers]),c_FTR_WD)),""))</f>
        <v/>
      </c>
      <c r="G30" s="153" t="str">
        <f aca="false">IF(Rider_Input[[#This Row],[Rider ID]]="","",IFERROR(IF(INDEX(FTR_Data,ROW()-ROW(Rider_Input[#Headers]),c_FTR_Orders)="","",INDEX(FTR_Data,ROW()-ROW(Rider_Input[#Headers]),c_FTR_Orders)),""))</f>
        <v/>
      </c>
      <c r="H30" s="155" t="str">
        <f aca="false">IF(Rider_Input[[#This Row],[Rider ID]]="","",IFERROR(ABS(INDEX(RLVL_Data,MATCH(Rider_Input[[#This Row],[Rider ID]],INDEX(RLVL_Data,0,c_RLVL_ID),0),c_RLVL_Missed)),0))</f>
        <v/>
      </c>
      <c r="I30" s="155" t="str">
        <f aca="false">IF(Rider_Input[[#This Row],[Rider ID]]="","",IFERROR(ABS(INDEX(RLVL_Data,MATCH(Rider_Input[[#This Row],[Rider ID]],INDEX(RLVL_Data,0,c_RLVL_ID),0),c_RLVL_Bal)),0))</f>
        <v/>
      </c>
      <c r="J30" s="155" t="str">
        <f aca="false">IF(Rider_Input[[#This Row],[Rider ID]]="","",IFERROR(ABS(INDEX(RLVL_Data,MATCH(Rider_Input[[#This Row],[Rider ID]],INDEX(RLVL_Data,0,c_RLVL_ID),0),c_RLVL_Stack)),0))</f>
        <v/>
      </c>
      <c r="K30" s="155" t="str">
        <f aca="false">IF(Rider_Input[[#This Row],[Rider ID]]="","",SUMIFS(Adj_Input[Other Deductions],Adj_Input[Rider ID],Rider_Input[[#This Row],[Rider ID]]))</f>
        <v/>
      </c>
      <c r="L30" s="154" t="str">
        <f aca="false">IF(Rider_Input[[#This Row],[Rider ID]]="","",IFERROR(INDEX(Adj_Input[Note / Reason],MATCH(Rider_Input[[#This Row],[Rider ID]],Adj_Input[Rider ID],0))&amp;"",""))</f>
        <v/>
      </c>
    </row>
    <row r="31" customFormat="false" ht="14.25" hidden="false" customHeight="false" outlineLevel="0" collapsed="false">
      <c r="A31" s="152" t="str">
        <f aca="false">IF(Rider_Input[[#This Row],[Rider ID]]="","",Salary_Month)</f>
        <v/>
      </c>
      <c r="B31" s="153" t="str">
        <f aca="false">IFERROR(IF(INDEX(FTR_Data,ROW()-ROW(Rider_Input[#Headers]),c_FTR_ID)="","",INDEX(FTR_Data,ROW()-ROW(Rider_Input[#Headers]),c_FTR_ID)),"")</f>
        <v/>
      </c>
      <c r="C3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1" s="153" t="str">
        <f aca="false">IF(Rider_Input[[#This Row],[Rider ID]]="","",DAY(EOMONTH(Salary_Month,0)))</f>
        <v/>
      </c>
      <c r="F31" s="153" t="str">
        <f aca="false">IF(Rider_Input[[#This Row],[Rider ID]]="","",IFERROR(IF(INDEX(FTR_Data,ROW()-ROW(Rider_Input[#Headers]),c_FTR_WD)="","",INDEX(FTR_Data,ROW()-ROW(Rider_Input[#Headers]),c_FTR_WD)),""))</f>
        <v/>
      </c>
      <c r="G31" s="153" t="str">
        <f aca="false">IF(Rider_Input[[#This Row],[Rider ID]]="","",IFERROR(IF(INDEX(FTR_Data,ROW()-ROW(Rider_Input[#Headers]),c_FTR_Orders)="","",INDEX(FTR_Data,ROW()-ROW(Rider_Input[#Headers]),c_FTR_Orders)),""))</f>
        <v/>
      </c>
      <c r="H31" s="155" t="str">
        <f aca="false">IF(Rider_Input[[#This Row],[Rider ID]]="","",IFERROR(ABS(INDEX(RLVL_Data,MATCH(Rider_Input[[#This Row],[Rider ID]],INDEX(RLVL_Data,0,c_RLVL_ID),0),c_RLVL_Missed)),0))</f>
        <v/>
      </c>
      <c r="I31" s="155" t="str">
        <f aca="false">IF(Rider_Input[[#This Row],[Rider ID]]="","",IFERROR(ABS(INDEX(RLVL_Data,MATCH(Rider_Input[[#This Row],[Rider ID]],INDEX(RLVL_Data,0,c_RLVL_ID),0),c_RLVL_Bal)),0))</f>
        <v/>
      </c>
      <c r="J31" s="155" t="str">
        <f aca="false">IF(Rider_Input[[#This Row],[Rider ID]]="","",IFERROR(ABS(INDEX(RLVL_Data,MATCH(Rider_Input[[#This Row],[Rider ID]],INDEX(RLVL_Data,0,c_RLVL_ID),0),c_RLVL_Stack)),0))</f>
        <v/>
      </c>
      <c r="K31" s="155" t="str">
        <f aca="false">IF(Rider_Input[[#This Row],[Rider ID]]="","",SUMIFS(Adj_Input[Other Deductions],Adj_Input[Rider ID],Rider_Input[[#This Row],[Rider ID]]))</f>
        <v/>
      </c>
      <c r="L31" s="154" t="str">
        <f aca="false">IF(Rider_Input[[#This Row],[Rider ID]]="","",IFERROR(INDEX(Adj_Input[Note / Reason],MATCH(Rider_Input[[#This Row],[Rider ID]],Adj_Input[Rider ID],0))&amp;"",""))</f>
        <v/>
      </c>
    </row>
    <row r="32" customFormat="false" ht="14.25" hidden="false" customHeight="false" outlineLevel="0" collapsed="false">
      <c r="A32" s="152" t="str">
        <f aca="false">IF(Rider_Input[[#This Row],[Rider ID]]="","",Salary_Month)</f>
        <v/>
      </c>
      <c r="B32" s="153" t="str">
        <f aca="false">IFERROR(IF(INDEX(FTR_Data,ROW()-ROW(Rider_Input[#Headers]),c_FTR_ID)="","",INDEX(FTR_Data,ROW()-ROW(Rider_Input[#Headers]),c_FTR_ID)),"")</f>
        <v/>
      </c>
      <c r="C3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2" s="153" t="str">
        <f aca="false">IF(Rider_Input[[#This Row],[Rider ID]]="","",DAY(EOMONTH(Salary_Month,0)))</f>
        <v/>
      </c>
      <c r="F32" s="153" t="str">
        <f aca="false">IF(Rider_Input[[#This Row],[Rider ID]]="","",IFERROR(IF(INDEX(FTR_Data,ROW()-ROW(Rider_Input[#Headers]),c_FTR_WD)="","",INDEX(FTR_Data,ROW()-ROW(Rider_Input[#Headers]),c_FTR_WD)),""))</f>
        <v/>
      </c>
      <c r="G32" s="153" t="str">
        <f aca="false">IF(Rider_Input[[#This Row],[Rider ID]]="","",IFERROR(IF(INDEX(FTR_Data,ROW()-ROW(Rider_Input[#Headers]),c_FTR_Orders)="","",INDEX(FTR_Data,ROW()-ROW(Rider_Input[#Headers]),c_FTR_Orders)),""))</f>
        <v/>
      </c>
      <c r="H32" s="155" t="str">
        <f aca="false">IF(Rider_Input[[#This Row],[Rider ID]]="","",IFERROR(ABS(INDEX(RLVL_Data,MATCH(Rider_Input[[#This Row],[Rider ID]],INDEX(RLVL_Data,0,c_RLVL_ID),0),c_RLVL_Missed)),0))</f>
        <v/>
      </c>
      <c r="I32" s="155" t="str">
        <f aca="false">IF(Rider_Input[[#This Row],[Rider ID]]="","",IFERROR(ABS(INDEX(RLVL_Data,MATCH(Rider_Input[[#This Row],[Rider ID]],INDEX(RLVL_Data,0,c_RLVL_ID),0),c_RLVL_Bal)),0))</f>
        <v/>
      </c>
      <c r="J32" s="155" t="str">
        <f aca="false">IF(Rider_Input[[#This Row],[Rider ID]]="","",IFERROR(ABS(INDEX(RLVL_Data,MATCH(Rider_Input[[#This Row],[Rider ID]],INDEX(RLVL_Data,0,c_RLVL_ID),0),c_RLVL_Stack)),0))</f>
        <v/>
      </c>
      <c r="K32" s="155" t="str">
        <f aca="false">IF(Rider_Input[[#This Row],[Rider ID]]="","",SUMIFS(Adj_Input[Other Deductions],Adj_Input[Rider ID],Rider_Input[[#This Row],[Rider ID]]))</f>
        <v/>
      </c>
      <c r="L32" s="154" t="str">
        <f aca="false">IF(Rider_Input[[#This Row],[Rider ID]]="","",IFERROR(INDEX(Adj_Input[Note / Reason],MATCH(Rider_Input[[#This Row],[Rider ID]],Adj_Input[Rider ID],0))&amp;"",""))</f>
        <v/>
      </c>
    </row>
    <row r="33" customFormat="false" ht="14.25" hidden="false" customHeight="false" outlineLevel="0" collapsed="false">
      <c r="A33" s="152" t="str">
        <f aca="false">IF(Rider_Input[[#This Row],[Rider ID]]="","",Salary_Month)</f>
        <v/>
      </c>
      <c r="B33" s="153" t="str">
        <f aca="false">IFERROR(IF(INDEX(FTR_Data,ROW()-ROW(Rider_Input[#Headers]),c_FTR_ID)="","",INDEX(FTR_Data,ROW()-ROW(Rider_Input[#Headers]),c_FTR_ID)),"")</f>
        <v/>
      </c>
      <c r="C3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3" s="153" t="str">
        <f aca="false">IF(Rider_Input[[#This Row],[Rider ID]]="","",DAY(EOMONTH(Salary_Month,0)))</f>
        <v/>
      </c>
      <c r="F33" s="153" t="str">
        <f aca="false">IF(Rider_Input[[#This Row],[Rider ID]]="","",IFERROR(IF(INDEX(FTR_Data,ROW()-ROW(Rider_Input[#Headers]),c_FTR_WD)="","",INDEX(FTR_Data,ROW()-ROW(Rider_Input[#Headers]),c_FTR_WD)),""))</f>
        <v/>
      </c>
      <c r="G33" s="153" t="str">
        <f aca="false">IF(Rider_Input[[#This Row],[Rider ID]]="","",IFERROR(IF(INDEX(FTR_Data,ROW()-ROW(Rider_Input[#Headers]),c_FTR_Orders)="","",INDEX(FTR_Data,ROW()-ROW(Rider_Input[#Headers]),c_FTR_Orders)),""))</f>
        <v/>
      </c>
      <c r="H33" s="155" t="str">
        <f aca="false">IF(Rider_Input[[#This Row],[Rider ID]]="","",IFERROR(ABS(INDEX(RLVL_Data,MATCH(Rider_Input[[#This Row],[Rider ID]],INDEX(RLVL_Data,0,c_RLVL_ID),0),c_RLVL_Missed)),0))</f>
        <v/>
      </c>
      <c r="I33" s="155" t="str">
        <f aca="false">IF(Rider_Input[[#This Row],[Rider ID]]="","",IFERROR(ABS(INDEX(RLVL_Data,MATCH(Rider_Input[[#This Row],[Rider ID]],INDEX(RLVL_Data,0,c_RLVL_ID),0),c_RLVL_Bal)),0))</f>
        <v/>
      </c>
      <c r="J33" s="155" t="str">
        <f aca="false">IF(Rider_Input[[#This Row],[Rider ID]]="","",IFERROR(ABS(INDEX(RLVL_Data,MATCH(Rider_Input[[#This Row],[Rider ID]],INDEX(RLVL_Data,0,c_RLVL_ID),0),c_RLVL_Stack)),0))</f>
        <v/>
      </c>
      <c r="K33" s="155" t="str">
        <f aca="false">IF(Rider_Input[[#This Row],[Rider ID]]="","",SUMIFS(Adj_Input[Other Deductions],Adj_Input[Rider ID],Rider_Input[[#This Row],[Rider ID]]))</f>
        <v/>
      </c>
      <c r="L33" s="154" t="str">
        <f aca="false">IF(Rider_Input[[#This Row],[Rider ID]]="","",IFERROR(INDEX(Adj_Input[Note / Reason],MATCH(Rider_Input[[#This Row],[Rider ID]],Adj_Input[Rider ID],0))&amp;"",""))</f>
        <v/>
      </c>
    </row>
    <row r="34" customFormat="false" ht="14.25" hidden="false" customHeight="false" outlineLevel="0" collapsed="false">
      <c r="A34" s="152" t="str">
        <f aca="false">IF(Rider_Input[[#This Row],[Rider ID]]="","",Salary_Month)</f>
        <v/>
      </c>
      <c r="B34" s="153" t="str">
        <f aca="false">IFERROR(IF(INDEX(FTR_Data,ROW()-ROW(Rider_Input[#Headers]),c_FTR_ID)="","",INDEX(FTR_Data,ROW()-ROW(Rider_Input[#Headers]),c_FTR_ID)),"")</f>
        <v/>
      </c>
      <c r="C3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4" s="153" t="str">
        <f aca="false">IF(Rider_Input[[#This Row],[Rider ID]]="","",DAY(EOMONTH(Salary_Month,0)))</f>
        <v/>
      </c>
      <c r="F34" s="153" t="str">
        <f aca="false">IF(Rider_Input[[#This Row],[Rider ID]]="","",IFERROR(IF(INDEX(FTR_Data,ROW()-ROW(Rider_Input[#Headers]),c_FTR_WD)="","",INDEX(FTR_Data,ROW()-ROW(Rider_Input[#Headers]),c_FTR_WD)),""))</f>
        <v/>
      </c>
      <c r="G34" s="153" t="str">
        <f aca="false">IF(Rider_Input[[#This Row],[Rider ID]]="","",IFERROR(IF(INDEX(FTR_Data,ROW()-ROW(Rider_Input[#Headers]),c_FTR_Orders)="","",INDEX(FTR_Data,ROW()-ROW(Rider_Input[#Headers]),c_FTR_Orders)),""))</f>
        <v/>
      </c>
      <c r="H34" s="155" t="str">
        <f aca="false">IF(Rider_Input[[#This Row],[Rider ID]]="","",IFERROR(ABS(INDEX(RLVL_Data,MATCH(Rider_Input[[#This Row],[Rider ID]],INDEX(RLVL_Data,0,c_RLVL_ID),0),c_RLVL_Missed)),0))</f>
        <v/>
      </c>
      <c r="I34" s="155" t="str">
        <f aca="false">IF(Rider_Input[[#This Row],[Rider ID]]="","",IFERROR(ABS(INDEX(RLVL_Data,MATCH(Rider_Input[[#This Row],[Rider ID]],INDEX(RLVL_Data,0,c_RLVL_ID),0),c_RLVL_Bal)),0))</f>
        <v/>
      </c>
      <c r="J34" s="155" t="str">
        <f aca="false">IF(Rider_Input[[#This Row],[Rider ID]]="","",IFERROR(ABS(INDEX(RLVL_Data,MATCH(Rider_Input[[#This Row],[Rider ID]],INDEX(RLVL_Data,0,c_RLVL_ID),0),c_RLVL_Stack)),0))</f>
        <v/>
      </c>
      <c r="K34" s="155" t="str">
        <f aca="false">IF(Rider_Input[[#This Row],[Rider ID]]="","",SUMIFS(Adj_Input[Other Deductions],Adj_Input[Rider ID],Rider_Input[[#This Row],[Rider ID]]))</f>
        <v/>
      </c>
      <c r="L34" s="154" t="str">
        <f aca="false">IF(Rider_Input[[#This Row],[Rider ID]]="","",IFERROR(INDEX(Adj_Input[Note / Reason],MATCH(Rider_Input[[#This Row],[Rider ID]],Adj_Input[Rider ID],0))&amp;"",""))</f>
        <v/>
      </c>
    </row>
    <row r="35" customFormat="false" ht="14.25" hidden="false" customHeight="false" outlineLevel="0" collapsed="false">
      <c r="A35" s="152" t="str">
        <f aca="false">IF(Rider_Input[[#This Row],[Rider ID]]="","",Salary_Month)</f>
        <v/>
      </c>
      <c r="B35" s="153" t="str">
        <f aca="false">IFERROR(IF(INDEX(FTR_Data,ROW()-ROW(Rider_Input[#Headers]),c_FTR_ID)="","",INDEX(FTR_Data,ROW()-ROW(Rider_Input[#Headers]),c_FTR_ID)),"")</f>
        <v/>
      </c>
      <c r="C3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5" s="153" t="str">
        <f aca="false">IF(Rider_Input[[#This Row],[Rider ID]]="","",DAY(EOMONTH(Salary_Month,0)))</f>
        <v/>
      </c>
      <c r="F35" s="153" t="str">
        <f aca="false">IF(Rider_Input[[#This Row],[Rider ID]]="","",IFERROR(IF(INDEX(FTR_Data,ROW()-ROW(Rider_Input[#Headers]),c_FTR_WD)="","",INDEX(FTR_Data,ROW()-ROW(Rider_Input[#Headers]),c_FTR_WD)),""))</f>
        <v/>
      </c>
      <c r="G35" s="153" t="str">
        <f aca="false">IF(Rider_Input[[#This Row],[Rider ID]]="","",IFERROR(IF(INDEX(FTR_Data,ROW()-ROW(Rider_Input[#Headers]),c_FTR_Orders)="","",INDEX(FTR_Data,ROW()-ROW(Rider_Input[#Headers]),c_FTR_Orders)),""))</f>
        <v/>
      </c>
      <c r="H35" s="155" t="str">
        <f aca="false">IF(Rider_Input[[#This Row],[Rider ID]]="","",IFERROR(ABS(INDEX(RLVL_Data,MATCH(Rider_Input[[#This Row],[Rider ID]],INDEX(RLVL_Data,0,c_RLVL_ID),0),c_RLVL_Missed)),0))</f>
        <v/>
      </c>
      <c r="I35" s="155" t="str">
        <f aca="false">IF(Rider_Input[[#This Row],[Rider ID]]="","",IFERROR(ABS(INDEX(RLVL_Data,MATCH(Rider_Input[[#This Row],[Rider ID]],INDEX(RLVL_Data,0,c_RLVL_ID),0),c_RLVL_Bal)),0))</f>
        <v/>
      </c>
      <c r="J35" s="155" t="str">
        <f aca="false">IF(Rider_Input[[#This Row],[Rider ID]]="","",IFERROR(ABS(INDEX(RLVL_Data,MATCH(Rider_Input[[#This Row],[Rider ID]],INDEX(RLVL_Data,0,c_RLVL_ID),0),c_RLVL_Stack)),0))</f>
        <v/>
      </c>
      <c r="K35" s="155" t="str">
        <f aca="false">IF(Rider_Input[[#This Row],[Rider ID]]="","",SUMIFS(Adj_Input[Other Deductions],Adj_Input[Rider ID],Rider_Input[[#This Row],[Rider ID]]))</f>
        <v/>
      </c>
      <c r="L35" s="154" t="str">
        <f aca="false">IF(Rider_Input[[#This Row],[Rider ID]]="","",IFERROR(INDEX(Adj_Input[Note / Reason],MATCH(Rider_Input[[#This Row],[Rider ID]],Adj_Input[Rider ID],0))&amp;"",""))</f>
        <v/>
      </c>
    </row>
    <row r="36" customFormat="false" ht="14.25" hidden="false" customHeight="false" outlineLevel="0" collapsed="false">
      <c r="A36" s="152" t="str">
        <f aca="false">IF(Rider_Input[[#This Row],[Rider ID]]="","",Salary_Month)</f>
        <v/>
      </c>
      <c r="B36" s="153" t="str">
        <f aca="false">IFERROR(IF(INDEX(FTR_Data,ROW()-ROW(Rider_Input[#Headers]),c_FTR_ID)="","",INDEX(FTR_Data,ROW()-ROW(Rider_Input[#Headers]),c_FTR_ID)),"")</f>
        <v/>
      </c>
      <c r="C3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6" s="153" t="str">
        <f aca="false">IF(Rider_Input[[#This Row],[Rider ID]]="","",DAY(EOMONTH(Salary_Month,0)))</f>
        <v/>
      </c>
      <c r="F36" s="153" t="str">
        <f aca="false">IF(Rider_Input[[#This Row],[Rider ID]]="","",IFERROR(IF(INDEX(FTR_Data,ROW()-ROW(Rider_Input[#Headers]),c_FTR_WD)="","",INDEX(FTR_Data,ROW()-ROW(Rider_Input[#Headers]),c_FTR_WD)),""))</f>
        <v/>
      </c>
      <c r="G36" s="153" t="str">
        <f aca="false">IF(Rider_Input[[#This Row],[Rider ID]]="","",IFERROR(IF(INDEX(FTR_Data,ROW()-ROW(Rider_Input[#Headers]),c_FTR_Orders)="","",INDEX(FTR_Data,ROW()-ROW(Rider_Input[#Headers]),c_FTR_Orders)),""))</f>
        <v/>
      </c>
      <c r="H36" s="155" t="str">
        <f aca="false">IF(Rider_Input[[#This Row],[Rider ID]]="","",IFERROR(ABS(INDEX(RLVL_Data,MATCH(Rider_Input[[#This Row],[Rider ID]],INDEX(RLVL_Data,0,c_RLVL_ID),0),c_RLVL_Missed)),0))</f>
        <v/>
      </c>
      <c r="I36" s="155" t="str">
        <f aca="false">IF(Rider_Input[[#This Row],[Rider ID]]="","",IFERROR(ABS(INDEX(RLVL_Data,MATCH(Rider_Input[[#This Row],[Rider ID]],INDEX(RLVL_Data,0,c_RLVL_ID),0),c_RLVL_Bal)),0))</f>
        <v/>
      </c>
      <c r="J36" s="155" t="str">
        <f aca="false">IF(Rider_Input[[#This Row],[Rider ID]]="","",IFERROR(ABS(INDEX(RLVL_Data,MATCH(Rider_Input[[#This Row],[Rider ID]],INDEX(RLVL_Data,0,c_RLVL_ID),0),c_RLVL_Stack)),0))</f>
        <v/>
      </c>
      <c r="K36" s="155" t="str">
        <f aca="false">IF(Rider_Input[[#This Row],[Rider ID]]="","",SUMIFS(Adj_Input[Other Deductions],Adj_Input[Rider ID],Rider_Input[[#This Row],[Rider ID]]))</f>
        <v/>
      </c>
      <c r="L36" s="154" t="str">
        <f aca="false">IF(Rider_Input[[#This Row],[Rider ID]]="","",IFERROR(INDEX(Adj_Input[Note / Reason],MATCH(Rider_Input[[#This Row],[Rider ID]],Adj_Input[Rider ID],0))&amp;"",""))</f>
        <v/>
      </c>
    </row>
    <row r="37" customFormat="false" ht="14.25" hidden="false" customHeight="false" outlineLevel="0" collapsed="false">
      <c r="A37" s="152" t="str">
        <f aca="false">IF(Rider_Input[[#This Row],[Rider ID]]="","",Salary_Month)</f>
        <v/>
      </c>
      <c r="B37" s="153" t="str">
        <f aca="false">IFERROR(IF(INDEX(FTR_Data,ROW()-ROW(Rider_Input[#Headers]),c_FTR_ID)="","",INDEX(FTR_Data,ROW()-ROW(Rider_Input[#Headers]),c_FTR_ID)),"")</f>
        <v/>
      </c>
      <c r="C3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7" s="153" t="str">
        <f aca="false">IF(Rider_Input[[#This Row],[Rider ID]]="","",DAY(EOMONTH(Salary_Month,0)))</f>
        <v/>
      </c>
      <c r="F37" s="153" t="str">
        <f aca="false">IF(Rider_Input[[#This Row],[Rider ID]]="","",IFERROR(IF(INDEX(FTR_Data,ROW()-ROW(Rider_Input[#Headers]),c_FTR_WD)="","",INDEX(FTR_Data,ROW()-ROW(Rider_Input[#Headers]),c_FTR_WD)),""))</f>
        <v/>
      </c>
      <c r="G37" s="153" t="str">
        <f aca="false">IF(Rider_Input[[#This Row],[Rider ID]]="","",IFERROR(IF(INDEX(FTR_Data,ROW()-ROW(Rider_Input[#Headers]),c_FTR_Orders)="","",INDEX(FTR_Data,ROW()-ROW(Rider_Input[#Headers]),c_FTR_Orders)),""))</f>
        <v/>
      </c>
      <c r="H37" s="155" t="str">
        <f aca="false">IF(Rider_Input[[#This Row],[Rider ID]]="","",IFERROR(ABS(INDEX(RLVL_Data,MATCH(Rider_Input[[#This Row],[Rider ID]],INDEX(RLVL_Data,0,c_RLVL_ID),0),c_RLVL_Missed)),0))</f>
        <v/>
      </c>
      <c r="I37" s="155" t="str">
        <f aca="false">IF(Rider_Input[[#This Row],[Rider ID]]="","",IFERROR(ABS(INDEX(RLVL_Data,MATCH(Rider_Input[[#This Row],[Rider ID]],INDEX(RLVL_Data,0,c_RLVL_ID),0),c_RLVL_Bal)),0))</f>
        <v/>
      </c>
      <c r="J37" s="155" t="str">
        <f aca="false">IF(Rider_Input[[#This Row],[Rider ID]]="","",IFERROR(ABS(INDEX(RLVL_Data,MATCH(Rider_Input[[#This Row],[Rider ID]],INDEX(RLVL_Data,0,c_RLVL_ID),0),c_RLVL_Stack)),0))</f>
        <v/>
      </c>
      <c r="K37" s="155" t="str">
        <f aca="false">IF(Rider_Input[[#This Row],[Rider ID]]="","",SUMIFS(Adj_Input[Other Deductions],Adj_Input[Rider ID],Rider_Input[[#This Row],[Rider ID]]))</f>
        <v/>
      </c>
      <c r="L37" s="154" t="str">
        <f aca="false">IF(Rider_Input[[#This Row],[Rider ID]]="","",IFERROR(INDEX(Adj_Input[Note / Reason],MATCH(Rider_Input[[#This Row],[Rider ID]],Adj_Input[Rider ID],0))&amp;"",""))</f>
        <v/>
      </c>
    </row>
    <row r="38" customFormat="false" ht="14.25" hidden="false" customHeight="false" outlineLevel="0" collapsed="false">
      <c r="A38" s="152" t="str">
        <f aca="false">IF(Rider_Input[[#This Row],[Rider ID]]="","",Salary_Month)</f>
        <v/>
      </c>
      <c r="B38" s="153" t="str">
        <f aca="false">IFERROR(IF(INDEX(FTR_Data,ROW()-ROW(Rider_Input[#Headers]),c_FTR_ID)="","",INDEX(FTR_Data,ROW()-ROW(Rider_Input[#Headers]),c_FTR_ID)),"")</f>
        <v/>
      </c>
      <c r="C3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8" s="153" t="str">
        <f aca="false">IF(Rider_Input[[#This Row],[Rider ID]]="","",DAY(EOMONTH(Salary_Month,0)))</f>
        <v/>
      </c>
      <c r="F38" s="153" t="str">
        <f aca="false">IF(Rider_Input[[#This Row],[Rider ID]]="","",IFERROR(IF(INDEX(FTR_Data,ROW()-ROW(Rider_Input[#Headers]),c_FTR_WD)="","",INDEX(FTR_Data,ROW()-ROW(Rider_Input[#Headers]),c_FTR_WD)),""))</f>
        <v/>
      </c>
      <c r="G38" s="153" t="str">
        <f aca="false">IF(Rider_Input[[#This Row],[Rider ID]]="","",IFERROR(IF(INDEX(FTR_Data,ROW()-ROW(Rider_Input[#Headers]),c_FTR_Orders)="","",INDEX(FTR_Data,ROW()-ROW(Rider_Input[#Headers]),c_FTR_Orders)),""))</f>
        <v/>
      </c>
      <c r="H38" s="155" t="str">
        <f aca="false">IF(Rider_Input[[#This Row],[Rider ID]]="","",IFERROR(ABS(INDEX(RLVL_Data,MATCH(Rider_Input[[#This Row],[Rider ID]],INDEX(RLVL_Data,0,c_RLVL_ID),0),c_RLVL_Missed)),0))</f>
        <v/>
      </c>
      <c r="I38" s="155" t="str">
        <f aca="false">IF(Rider_Input[[#This Row],[Rider ID]]="","",IFERROR(ABS(INDEX(RLVL_Data,MATCH(Rider_Input[[#This Row],[Rider ID]],INDEX(RLVL_Data,0,c_RLVL_ID),0),c_RLVL_Bal)),0))</f>
        <v/>
      </c>
      <c r="J38" s="155" t="str">
        <f aca="false">IF(Rider_Input[[#This Row],[Rider ID]]="","",IFERROR(ABS(INDEX(RLVL_Data,MATCH(Rider_Input[[#This Row],[Rider ID]],INDEX(RLVL_Data,0,c_RLVL_ID),0),c_RLVL_Stack)),0))</f>
        <v/>
      </c>
      <c r="K38" s="155" t="str">
        <f aca="false">IF(Rider_Input[[#This Row],[Rider ID]]="","",SUMIFS(Adj_Input[Other Deductions],Adj_Input[Rider ID],Rider_Input[[#This Row],[Rider ID]]))</f>
        <v/>
      </c>
      <c r="L38" s="154" t="str">
        <f aca="false">IF(Rider_Input[[#This Row],[Rider ID]]="","",IFERROR(INDEX(Adj_Input[Note / Reason],MATCH(Rider_Input[[#This Row],[Rider ID]],Adj_Input[Rider ID],0))&amp;"",""))</f>
        <v/>
      </c>
    </row>
    <row r="39" customFormat="false" ht="14.25" hidden="false" customHeight="false" outlineLevel="0" collapsed="false">
      <c r="A39" s="152" t="str">
        <f aca="false">IF(Rider_Input[[#This Row],[Rider ID]]="","",Salary_Month)</f>
        <v/>
      </c>
      <c r="B39" s="153" t="str">
        <f aca="false">IFERROR(IF(INDEX(FTR_Data,ROW()-ROW(Rider_Input[#Headers]),c_FTR_ID)="","",INDEX(FTR_Data,ROW()-ROW(Rider_Input[#Headers]),c_FTR_ID)),"")</f>
        <v/>
      </c>
      <c r="C3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9" s="153" t="str">
        <f aca="false">IF(Rider_Input[[#This Row],[Rider ID]]="","",DAY(EOMONTH(Salary_Month,0)))</f>
        <v/>
      </c>
      <c r="F39" s="153" t="str">
        <f aca="false">IF(Rider_Input[[#This Row],[Rider ID]]="","",IFERROR(IF(INDEX(FTR_Data,ROW()-ROW(Rider_Input[#Headers]),c_FTR_WD)="","",INDEX(FTR_Data,ROW()-ROW(Rider_Input[#Headers]),c_FTR_WD)),""))</f>
        <v/>
      </c>
      <c r="G39" s="153" t="str">
        <f aca="false">IF(Rider_Input[[#This Row],[Rider ID]]="","",IFERROR(IF(INDEX(FTR_Data,ROW()-ROW(Rider_Input[#Headers]),c_FTR_Orders)="","",INDEX(FTR_Data,ROW()-ROW(Rider_Input[#Headers]),c_FTR_Orders)),""))</f>
        <v/>
      </c>
      <c r="H39" s="155" t="str">
        <f aca="false">IF(Rider_Input[[#This Row],[Rider ID]]="","",IFERROR(ABS(INDEX(RLVL_Data,MATCH(Rider_Input[[#This Row],[Rider ID]],INDEX(RLVL_Data,0,c_RLVL_ID),0),c_RLVL_Missed)),0))</f>
        <v/>
      </c>
      <c r="I39" s="155" t="str">
        <f aca="false">IF(Rider_Input[[#This Row],[Rider ID]]="","",IFERROR(ABS(INDEX(RLVL_Data,MATCH(Rider_Input[[#This Row],[Rider ID]],INDEX(RLVL_Data,0,c_RLVL_ID),0),c_RLVL_Bal)),0))</f>
        <v/>
      </c>
      <c r="J39" s="155" t="str">
        <f aca="false">IF(Rider_Input[[#This Row],[Rider ID]]="","",IFERROR(ABS(INDEX(RLVL_Data,MATCH(Rider_Input[[#This Row],[Rider ID]],INDEX(RLVL_Data,0,c_RLVL_ID),0),c_RLVL_Stack)),0))</f>
        <v/>
      </c>
      <c r="K39" s="155" t="str">
        <f aca="false">IF(Rider_Input[[#This Row],[Rider ID]]="","",SUMIFS(Adj_Input[Other Deductions],Adj_Input[Rider ID],Rider_Input[[#This Row],[Rider ID]]))</f>
        <v/>
      </c>
      <c r="L39" s="154" t="str">
        <f aca="false">IF(Rider_Input[[#This Row],[Rider ID]]="","",IFERROR(INDEX(Adj_Input[Note / Reason],MATCH(Rider_Input[[#This Row],[Rider ID]],Adj_Input[Rider ID],0))&amp;"",""))</f>
        <v/>
      </c>
    </row>
    <row r="40" customFormat="false" ht="14.25" hidden="false" customHeight="false" outlineLevel="0" collapsed="false">
      <c r="A40" s="152" t="str">
        <f aca="false">IF(Rider_Input[[#This Row],[Rider ID]]="","",Salary_Month)</f>
        <v/>
      </c>
      <c r="B40" s="153" t="str">
        <f aca="false">IFERROR(IF(INDEX(FTR_Data,ROW()-ROW(Rider_Input[#Headers]),c_FTR_ID)="","",INDEX(FTR_Data,ROW()-ROW(Rider_Input[#Headers]),c_FTR_ID)),"")</f>
        <v/>
      </c>
      <c r="C4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0" s="153" t="str">
        <f aca="false">IF(Rider_Input[[#This Row],[Rider ID]]="","",DAY(EOMONTH(Salary_Month,0)))</f>
        <v/>
      </c>
      <c r="F40" s="153" t="str">
        <f aca="false">IF(Rider_Input[[#This Row],[Rider ID]]="","",IFERROR(IF(INDEX(FTR_Data,ROW()-ROW(Rider_Input[#Headers]),c_FTR_WD)="","",INDEX(FTR_Data,ROW()-ROW(Rider_Input[#Headers]),c_FTR_WD)),""))</f>
        <v/>
      </c>
      <c r="G40" s="153" t="str">
        <f aca="false">IF(Rider_Input[[#This Row],[Rider ID]]="","",IFERROR(IF(INDEX(FTR_Data,ROW()-ROW(Rider_Input[#Headers]),c_FTR_Orders)="","",INDEX(FTR_Data,ROW()-ROW(Rider_Input[#Headers]),c_FTR_Orders)),""))</f>
        <v/>
      </c>
      <c r="H40" s="155" t="str">
        <f aca="false">IF(Rider_Input[[#This Row],[Rider ID]]="","",IFERROR(ABS(INDEX(RLVL_Data,MATCH(Rider_Input[[#This Row],[Rider ID]],INDEX(RLVL_Data,0,c_RLVL_ID),0),c_RLVL_Missed)),0))</f>
        <v/>
      </c>
      <c r="I40" s="155" t="str">
        <f aca="false">IF(Rider_Input[[#This Row],[Rider ID]]="","",IFERROR(ABS(INDEX(RLVL_Data,MATCH(Rider_Input[[#This Row],[Rider ID]],INDEX(RLVL_Data,0,c_RLVL_ID),0),c_RLVL_Bal)),0))</f>
        <v/>
      </c>
      <c r="J40" s="155" t="str">
        <f aca="false">IF(Rider_Input[[#This Row],[Rider ID]]="","",IFERROR(ABS(INDEX(RLVL_Data,MATCH(Rider_Input[[#This Row],[Rider ID]],INDEX(RLVL_Data,0,c_RLVL_ID),0),c_RLVL_Stack)),0))</f>
        <v/>
      </c>
      <c r="K40" s="155" t="str">
        <f aca="false">IF(Rider_Input[[#This Row],[Rider ID]]="","",SUMIFS(Adj_Input[Other Deductions],Adj_Input[Rider ID],Rider_Input[[#This Row],[Rider ID]]))</f>
        <v/>
      </c>
      <c r="L40" s="154" t="str">
        <f aca="false">IF(Rider_Input[[#This Row],[Rider ID]]="","",IFERROR(INDEX(Adj_Input[Note / Reason],MATCH(Rider_Input[[#This Row],[Rider ID]],Adj_Input[Rider ID],0))&amp;"",""))</f>
        <v/>
      </c>
    </row>
    <row r="41" customFormat="false" ht="14.25" hidden="false" customHeight="false" outlineLevel="0" collapsed="false">
      <c r="A41" s="152" t="str">
        <f aca="false">IF(Rider_Input[[#This Row],[Rider ID]]="","",Salary_Month)</f>
        <v/>
      </c>
      <c r="B41" s="153" t="str">
        <f aca="false">IFERROR(IF(INDEX(FTR_Data,ROW()-ROW(Rider_Input[#Headers]),c_FTR_ID)="","",INDEX(FTR_Data,ROW()-ROW(Rider_Input[#Headers]),c_FTR_ID)),"")</f>
        <v/>
      </c>
      <c r="C4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1" s="153" t="str">
        <f aca="false">IF(Rider_Input[[#This Row],[Rider ID]]="","",DAY(EOMONTH(Salary_Month,0)))</f>
        <v/>
      </c>
      <c r="F41" s="153" t="str">
        <f aca="false">IF(Rider_Input[[#This Row],[Rider ID]]="","",IFERROR(IF(INDEX(FTR_Data,ROW()-ROW(Rider_Input[#Headers]),c_FTR_WD)="","",INDEX(FTR_Data,ROW()-ROW(Rider_Input[#Headers]),c_FTR_WD)),""))</f>
        <v/>
      </c>
      <c r="G41" s="153" t="str">
        <f aca="false">IF(Rider_Input[[#This Row],[Rider ID]]="","",IFERROR(IF(INDEX(FTR_Data,ROW()-ROW(Rider_Input[#Headers]),c_FTR_Orders)="","",INDEX(FTR_Data,ROW()-ROW(Rider_Input[#Headers]),c_FTR_Orders)),""))</f>
        <v/>
      </c>
      <c r="H41" s="155" t="str">
        <f aca="false">IF(Rider_Input[[#This Row],[Rider ID]]="","",IFERROR(ABS(INDEX(RLVL_Data,MATCH(Rider_Input[[#This Row],[Rider ID]],INDEX(RLVL_Data,0,c_RLVL_ID),0),c_RLVL_Missed)),0))</f>
        <v/>
      </c>
      <c r="I41" s="155" t="str">
        <f aca="false">IF(Rider_Input[[#This Row],[Rider ID]]="","",IFERROR(ABS(INDEX(RLVL_Data,MATCH(Rider_Input[[#This Row],[Rider ID]],INDEX(RLVL_Data,0,c_RLVL_ID),0),c_RLVL_Bal)),0))</f>
        <v/>
      </c>
      <c r="J41" s="155" t="str">
        <f aca="false">IF(Rider_Input[[#This Row],[Rider ID]]="","",IFERROR(ABS(INDEX(RLVL_Data,MATCH(Rider_Input[[#This Row],[Rider ID]],INDEX(RLVL_Data,0,c_RLVL_ID),0),c_RLVL_Stack)),0))</f>
        <v/>
      </c>
      <c r="K41" s="155" t="str">
        <f aca="false">IF(Rider_Input[[#This Row],[Rider ID]]="","",SUMIFS(Adj_Input[Other Deductions],Adj_Input[Rider ID],Rider_Input[[#This Row],[Rider ID]]))</f>
        <v/>
      </c>
      <c r="L41" s="154" t="str">
        <f aca="false">IF(Rider_Input[[#This Row],[Rider ID]]="","",IFERROR(INDEX(Adj_Input[Note / Reason],MATCH(Rider_Input[[#This Row],[Rider ID]],Adj_Input[Rider ID],0))&amp;"",""))</f>
        <v/>
      </c>
    </row>
    <row r="42" customFormat="false" ht="14.25" hidden="false" customHeight="false" outlineLevel="0" collapsed="false">
      <c r="A42" s="152" t="str">
        <f aca="false">IF(Rider_Input[[#This Row],[Rider ID]]="","",Salary_Month)</f>
        <v/>
      </c>
      <c r="B42" s="153" t="str">
        <f aca="false">IFERROR(IF(INDEX(FTR_Data,ROW()-ROW(Rider_Input[#Headers]),c_FTR_ID)="","",INDEX(FTR_Data,ROW()-ROW(Rider_Input[#Headers]),c_FTR_ID)),"")</f>
        <v/>
      </c>
      <c r="C4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2" s="153" t="str">
        <f aca="false">IF(Rider_Input[[#This Row],[Rider ID]]="","",DAY(EOMONTH(Salary_Month,0)))</f>
        <v/>
      </c>
      <c r="F42" s="153" t="str">
        <f aca="false">IF(Rider_Input[[#This Row],[Rider ID]]="","",IFERROR(IF(INDEX(FTR_Data,ROW()-ROW(Rider_Input[#Headers]),c_FTR_WD)="","",INDEX(FTR_Data,ROW()-ROW(Rider_Input[#Headers]),c_FTR_WD)),""))</f>
        <v/>
      </c>
      <c r="G42" s="153" t="str">
        <f aca="false">IF(Rider_Input[[#This Row],[Rider ID]]="","",IFERROR(IF(INDEX(FTR_Data,ROW()-ROW(Rider_Input[#Headers]),c_FTR_Orders)="","",INDEX(FTR_Data,ROW()-ROW(Rider_Input[#Headers]),c_FTR_Orders)),""))</f>
        <v/>
      </c>
      <c r="H42" s="155" t="str">
        <f aca="false">IF(Rider_Input[[#This Row],[Rider ID]]="","",IFERROR(ABS(INDEX(RLVL_Data,MATCH(Rider_Input[[#This Row],[Rider ID]],INDEX(RLVL_Data,0,c_RLVL_ID),0),c_RLVL_Missed)),0))</f>
        <v/>
      </c>
      <c r="I42" s="155" t="str">
        <f aca="false">IF(Rider_Input[[#This Row],[Rider ID]]="","",IFERROR(ABS(INDEX(RLVL_Data,MATCH(Rider_Input[[#This Row],[Rider ID]],INDEX(RLVL_Data,0,c_RLVL_ID),0),c_RLVL_Bal)),0))</f>
        <v/>
      </c>
      <c r="J42" s="155" t="str">
        <f aca="false">IF(Rider_Input[[#This Row],[Rider ID]]="","",IFERROR(ABS(INDEX(RLVL_Data,MATCH(Rider_Input[[#This Row],[Rider ID]],INDEX(RLVL_Data,0,c_RLVL_ID),0),c_RLVL_Stack)),0))</f>
        <v/>
      </c>
      <c r="K42" s="155" t="str">
        <f aca="false">IF(Rider_Input[[#This Row],[Rider ID]]="","",SUMIFS(Adj_Input[Other Deductions],Adj_Input[Rider ID],Rider_Input[[#This Row],[Rider ID]]))</f>
        <v/>
      </c>
      <c r="L42" s="154" t="str">
        <f aca="false">IF(Rider_Input[[#This Row],[Rider ID]]="","",IFERROR(INDEX(Adj_Input[Note / Reason],MATCH(Rider_Input[[#This Row],[Rider ID]],Adj_Input[Rider ID],0))&amp;"",""))</f>
        <v/>
      </c>
    </row>
    <row r="43" customFormat="false" ht="14.25" hidden="false" customHeight="false" outlineLevel="0" collapsed="false">
      <c r="A43" s="152" t="str">
        <f aca="false">IF(Rider_Input[[#This Row],[Rider ID]]="","",Salary_Month)</f>
        <v/>
      </c>
      <c r="B43" s="153" t="str">
        <f aca="false">IFERROR(IF(INDEX(FTR_Data,ROW()-ROW(Rider_Input[#Headers]),c_FTR_ID)="","",INDEX(FTR_Data,ROW()-ROW(Rider_Input[#Headers]),c_FTR_ID)),"")</f>
        <v/>
      </c>
      <c r="C4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3" s="153" t="str">
        <f aca="false">IF(Rider_Input[[#This Row],[Rider ID]]="","",DAY(EOMONTH(Salary_Month,0)))</f>
        <v/>
      </c>
      <c r="F43" s="153" t="str">
        <f aca="false">IF(Rider_Input[[#This Row],[Rider ID]]="","",IFERROR(IF(INDEX(FTR_Data,ROW()-ROW(Rider_Input[#Headers]),c_FTR_WD)="","",INDEX(FTR_Data,ROW()-ROW(Rider_Input[#Headers]),c_FTR_WD)),""))</f>
        <v/>
      </c>
      <c r="G43" s="153" t="str">
        <f aca="false">IF(Rider_Input[[#This Row],[Rider ID]]="","",IFERROR(IF(INDEX(FTR_Data,ROW()-ROW(Rider_Input[#Headers]),c_FTR_Orders)="","",INDEX(FTR_Data,ROW()-ROW(Rider_Input[#Headers]),c_FTR_Orders)),""))</f>
        <v/>
      </c>
      <c r="H43" s="155" t="str">
        <f aca="false">IF(Rider_Input[[#This Row],[Rider ID]]="","",IFERROR(ABS(INDEX(RLVL_Data,MATCH(Rider_Input[[#This Row],[Rider ID]],INDEX(RLVL_Data,0,c_RLVL_ID),0),c_RLVL_Missed)),0))</f>
        <v/>
      </c>
      <c r="I43" s="155" t="str">
        <f aca="false">IF(Rider_Input[[#This Row],[Rider ID]]="","",IFERROR(ABS(INDEX(RLVL_Data,MATCH(Rider_Input[[#This Row],[Rider ID]],INDEX(RLVL_Data,0,c_RLVL_ID),0),c_RLVL_Bal)),0))</f>
        <v/>
      </c>
      <c r="J43" s="155" t="str">
        <f aca="false">IF(Rider_Input[[#This Row],[Rider ID]]="","",IFERROR(ABS(INDEX(RLVL_Data,MATCH(Rider_Input[[#This Row],[Rider ID]],INDEX(RLVL_Data,0,c_RLVL_ID),0),c_RLVL_Stack)),0))</f>
        <v/>
      </c>
      <c r="K43" s="155" t="str">
        <f aca="false">IF(Rider_Input[[#This Row],[Rider ID]]="","",SUMIFS(Adj_Input[Other Deductions],Adj_Input[Rider ID],Rider_Input[[#This Row],[Rider ID]]))</f>
        <v/>
      </c>
      <c r="L43" s="154" t="str">
        <f aca="false">IF(Rider_Input[[#This Row],[Rider ID]]="","",IFERROR(INDEX(Adj_Input[Note / Reason],MATCH(Rider_Input[[#This Row],[Rider ID]],Adj_Input[Rider ID],0))&amp;"",""))</f>
        <v/>
      </c>
    </row>
    <row r="44" customFormat="false" ht="14.25" hidden="false" customHeight="false" outlineLevel="0" collapsed="false">
      <c r="A44" s="152" t="str">
        <f aca="false">IF(Rider_Input[[#This Row],[Rider ID]]="","",Salary_Month)</f>
        <v/>
      </c>
      <c r="B44" s="153" t="str">
        <f aca="false">IFERROR(IF(INDEX(FTR_Data,ROW()-ROW(Rider_Input[#Headers]),c_FTR_ID)="","",INDEX(FTR_Data,ROW()-ROW(Rider_Input[#Headers]),c_FTR_ID)),"")</f>
        <v/>
      </c>
      <c r="C4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4" s="153" t="str">
        <f aca="false">IF(Rider_Input[[#This Row],[Rider ID]]="","",DAY(EOMONTH(Salary_Month,0)))</f>
        <v/>
      </c>
      <c r="F44" s="153" t="str">
        <f aca="false">IF(Rider_Input[[#This Row],[Rider ID]]="","",IFERROR(IF(INDEX(FTR_Data,ROW()-ROW(Rider_Input[#Headers]),c_FTR_WD)="","",INDEX(FTR_Data,ROW()-ROW(Rider_Input[#Headers]),c_FTR_WD)),""))</f>
        <v/>
      </c>
      <c r="G44" s="153" t="str">
        <f aca="false">IF(Rider_Input[[#This Row],[Rider ID]]="","",IFERROR(IF(INDEX(FTR_Data,ROW()-ROW(Rider_Input[#Headers]),c_FTR_Orders)="","",INDEX(FTR_Data,ROW()-ROW(Rider_Input[#Headers]),c_FTR_Orders)),""))</f>
        <v/>
      </c>
      <c r="H44" s="155" t="str">
        <f aca="false">IF(Rider_Input[[#This Row],[Rider ID]]="","",IFERROR(ABS(INDEX(RLVL_Data,MATCH(Rider_Input[[#This Row],[Rider ID]],INDEX(RLVL_Data,0,c_RLVL_ID),0),c_RLVL_Missed)),0))</f>
        <v/>
      </c>
      <c r="I44" s="155" t="str">
        <f aca="false">IF(Rider_Input[[#This Row],[Rider ID]]="","",IFERROR(ABS(INDEX(RLVL_Data,MATCH(Rider_Input[[#This Row],[Rider ID]],INDEX(RLVL_Data,0,c_RLVL_ID),0),c_RLVL_Bal)),0))</f>
        <v/>
      </c>
      <c r="J44" s="155" t="str">
        <f aca="false">IF(Rider_Input[[#This Row],[Rider ID]]="","",IFERROR(ABS(INDEX(RLVL_Data,MATCH(Rider_Input[[#This Row],[Rider ID]],INDEX(RLVL_Data,0,c_RLVL_ID),0),c_RLVL_Stack)),0))</f>
        <v/>
      </c>
      <c r="K44" s="155" t="str">
        <f aca="false">IF(Rider_Input[[#This Row],[Rider ID]]="","",SUMIFS(Adj_Input[Other Deductions],Adj_Input[Rider ID],Rider_Input[[#This Row],[Rider ID]]))</f>
        <v/>
      </c>
      <c r="L44" s="154" t="str">
        <f aca="false">IF(Rider_Input[[#This Row],[Rider ID]]="","",IFERROR(INDEX(Adj_Input[Note / Reason],MATCH(Rider_Input[[#This Row],[Rider ID]],Adj_Input[Rider ID],0))&amp;"",""))</f>
        <v/>
      </c>
    </row>
    <row r="45" customFormat="false" ht="14.25" hidden="false" customHeight="false" outlineLevel="0" collapsed="false">
      <c r="A45" s="152" t="str">
        <f aca="false">IF(Rider_Input[[#This Row],[Rider ID]]="","",Salary_Month)</f>
        <v/>
      </c>
      <c r="B45" s="153" t="str">
        <f aca="false">IFERROR(IF(INDEX(FTR_Data,ROW()-ROW(Rider_Input[#Headers]),c_FTR_ID)="","",INDEX(FTR_Data,ROW()-ROW(Rider_Input[#Headers]),c_FTR_ID)),"")</f>
        <v/>
      </c>
      <c r="C4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5" s="153" t="str">
        <f aca="false">IF(Rider_Input[[#This Row],[Rider ID]]="","",DAY(EOMONTH(Salary_Month,0)))</f>
        <v/>
      </c>
      <c r="F45" s="153" t="str">
        <f aca="false">IF(Rider_Input[[#This Row],[Rider ID]]="","",IFERROR(IF(INDEX(FTR_Data,ROW()-ROW(Rider_Input[#Headers]),c_FTR_WD)="","",INDEX(FTR_Data,ROW()-ROW(Rider_Input[#Headers]),c_FTR_WD)),""))</f>
        <v/>
      </c>
      <c r="G45" s="153" t="str">
        <f aca="false">IF(Rider_Input[[#This Row],[Rider ID]]="","",IFERROR(IF(INDEX(FTR_Data,ROW()-ROW(Rider_Input[#Headers]),c_FTR_Orders)="","",INDEX(FTR_Data,ROW()-ROW(Rider_Input[#Headers]),c_FTR_Orders)),""))</f>
        <v/>
      </c>
      <c r="H45" s="155" t="str">
        <f aca="false">IF(Rider_Input[[#This Row],[Rider ID]]="","",IFERROR(ABS(INDEX(RLVL_Data,MATCH(Rider_Input[[#This Row],[Rider ID]],INDEX(RLVL_Data,0,c_RLVL_ID),0),c_RLVL_Missed)),0))</f>
        <v/>
      </c>
      <c r="I45" s="155" t="str">
        <f aca="false">IF(Rider_Input[[#This Row],[Rider ID]]="","",IFERROR(ABS(INDEX(RLVL_Data,MATCH(Rider_Input[[#This Row],[Rider ID]],INDEX(RLVL_Data,0,c_RLVL_ID),0),c_RLVL_Bal)),0))</f>
        <v/>
      </c>
      <c r="J45" s="155" t="str">
        <f aca="false">IF(Rider_Input[[#This Row],[Rider ID]]="","",IFERROR(ABS(INDEX(RLVL_Data,MATCH(Rider_Input[[#This Row],[Rider ID]],INDEX(RLVL_Data,0,c_RLVL_ID),0),c_RLVL_Stack)),0))</f>
        <v/>
      </c>
      <c r="K45" s="155" t="str">
        <f aca="false">IF(Rider_Input[[#This Row],[Rider ID]]="","",SUMIFS(Adj_Input[Other Deductions],Adj_Input[Rider ID],Rider_Input[[#This Row],[Rider ID]]))</f>
        <v/>
      </c>
      <c r="L45" s="154" t="str">
        <f aca="false">IF(Rider_Input[[#This Row],[Rider ID]]="","",IFERROR(INDEX(Adj_Input[Note / Reason],MATCH(Rider_Input[[#This Row],[Rider ID]],Adj_Input[Rider ID],0))&amp;"",""))</f>
        <v/>
      </c>
    </row>
    <row r="46" customFormat="false" ht="14.25" hidden="false" customHeight="false" outlineLevel="0" collapsed="false">
      <c r="A46" s="152" t="str">
        <f aca="false">IF(Rider_Input[[#This Row],[Rider ID]]="","",Salary_Month)</f>
        <v/>
      </c>
      <c r="B46" s="153" t="str">
        <f aca="false">IFERROR(IF(INDEX(FTR_Data,ROW()-ROW(Rider_Input[#Headers]),c_FTR_ID)="","",INDEX(FTR_Data,ROW()-ROW(Rider_Input[#Headers]),c_FTR_ID)),"")</f>
        <v/>
      </c>
      <c r="C4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6" s="153" t="str">
        <f aca="false">IF(Rider_Input[[#This Row],[Rider ID]]="","",DAY(EOMONTH(Salary_Month,0)))</f>
        <v/>
      </c>
      <c r="F46" s="153" t="str">
        <f aca="false">IF(Rider_Input[[#This Row],[Rider ID]]="","",IFERROR(IF(INDEX(FTR_Data,ROW()-ROW(Rider_Input[#Headers]),c_FTR_WD)="","",INDEX(FTR_Data,ROW()-ROW(Rider_Input[#Headers]),c_FTR_WD)),""))</f>
        <v/>
      </c>
      <c r="G46" s="153" t="str">
        <f aca="false">IF(Rider_Input[[#This Row],[Rider ID]]="","",IFERROR(IF(INDEX(FTR_Data,ROW()-ROW(Rider_Input[#Headers]),c_FTR_Orders)="","",INDEX(FTR_Data,ROW()-ROW(Rider_Input[#Headers]),c_FTR_Orders)),""))</f>
        <v/>
      </c>
      <c r="H46" s="155" t="str">
        <f aca="false">IF(Rider_Input[[#This Row],[Rider ID]]="","",IFERROR(ABS(INDEX(RLVL_Data,MATCH(Rider_Input[[#This Row],[Rider ID]],INDEX(RLVL_Data,0,c_RLVL_ID),0),c_RLVL_Missed)),0))</f>
        <v/>
      </c>
      <c r="I46" s="155" t="str">
        <f aca="false">IF(Rider_Input[[#This Row],[Rider ID]]="","",IFERROR(ABS(INDEX(RLVL_Data,MATCH(Rider_Input[[#This Row],[Rider ID]],INDEX(RLVL_Data,0,c_RLVL_ID),0),c_RLVL_Bal)),0))</f>
        <v/>
      </c>
      <c r="J46" s="155" t="str">
        <f aca="false">IF(Rider_Input[[#This Row],[Rider ID]]="","",IFERROR(ABS(INDEX(RLVL_Data,MATCH(Rider_Input[[#This Row],[Rider ID]],INDEX(RLVL_Data,0,c_RLVL_ID),0),c_RLVL_Stack)),0))</f>
        <v/>
      </c>
      <c r="K46" s="155" t="str">
        <f aca="false">IF(Rider_Input[[#This Row],[Rider ID]]="","",SUMIFS(Adj_Input[Other Deductions],Adj_Input[Rider ID],Rider_Input[[#This Row],[Rider ID]]))</f>
        <v/>
      </c>
      <c r="L46" s="154" t="str">
        <f aca="false">IF(Rider_Input[[#This Row],[Rider ID]]="","",IFERROR(INDEX(Adj_Input[Note / Reason],MATCH(Rider_Input[[#This Row],[Rider ID]],Adj_Input[Rider ID],0))&amp;"",""))</f>
        <v/>
      </c>
    </row>
    <row r="47" customFormat="false" ht="14.25" hidden="false" customHeight="false" outlineLevel="0" collapsed="false">
      <c r="A47" s="152" t="str">
        <f aca="false">IF(Rider_Input[[#This Row],[Rider ID]]="","",Salary_Month)</f>
        <v/>
      </c>
      <c r="B47" s="153" t="str">
        <f aca="false">IFERROR(IF(INDEX(FTR_Data,ROW()-ROW(Rider_Input[#Headers]),c_FTR_ID)="","",INDEX(FTR_Data,ROW()-ROW(Rider_Input[#Headers]),c_FTR_ID)),"")</f>
        <v/>
      </c>
      <c r="C4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7" s="153" t="str">
        <f aca="false">IF(Rider_Input[[#This Row],[Rider ID]]="","",DAY(EOMONTH(Salary_Month,0)))</f>
        <v/>
      </c>
      <c r="F47" s="153" t="str">
        <f aca="false">IF(Rider_Input[[#This Row],[Rider ID]]="","",IFERROR(IF(INDEX(FTR_Data,ROW()-ROW(Rider_Input[#Headers]),c_FTR_WD)="","",INDEX(FTR_Data,ROW()-ROW(Rider_Input[#Headers]),c_FTR_WD)),""))</f>
        <v/>
      </c>
      <c r="G47" s="153" t="str">
        <f aca="false">IF(Rider_Input[[#This Row],[Rider ID]]="","",IFERROR(IF(INDEX(FTR_Data,ROW()-ROW(Rider_Input[#Headers]),c_FTR_Orders)="","",INDEX(FTR_Data,ROW()-ROW(Rider_Input[#Headers]),c_FTR_Orders)),""))</f>
        <v/>
      </c>
      <c r="H47" s="155" t="str">
        <f aca="false">IF(Rider_Input[[#This Row],[Rider ID]]="","",IFERROR(ABS(INDEX(RLVL_Data,MATCH(Rider_Input[[#This Row],[Rider ID]],INDEX(RLVL_Data,0,c_RLVL_ID),0),c_RLVL_Missed)),0))</f>
        <v/>
      </c>
      <c r="I47" s="155" t="str">
        <f aca="false">IF(Rider_Input[[#This Row],[Rider ID]]="","",IFERROR(ABS(INDEX(RLVL_Data,MATCH(Rider_Input[[#This Row],[Rider ID]],INDEX(RLVL_Data,0,c_RLVL_ID),0),c_RLVL_Bal)),0))</f>
        <v/>
      </c>
      <c r="J47" s="155" t="str">
        <f aca="false">IF(Rider_Input[[#This Row],[Rider ID]]="","",IFERROR(ABS(INDEX(RLVL_Data,MATCH(Rider_Input[[#This Row],[Rider ID]],INDEX(RLVL_Data,0,c_RLVL_ID),0),c_RLVL_Stack)),0))</f>
        <v/>
      </c>
      <c r="K47" s="155" t="str">
        <f aca="false">IF(Rider_Input[[#This Row],[Rider ID]]="","",SUMIFS(Adj_Input[Other Deductions],Adj_Input[Rider ID],Rider_Input[[#This Row],[Rider ID]]))</f>
        <v/>
      </c>
      <c r="L47" s="154" t="str">
        <f aca="false">IF(Rider_Input[[#This Row],[Rider ID]]="","",IFERROR(INDEX(Adj_Input[Note / Reason],MATCH(Rider_Input[[#This Row],[Rider ID]],Adj_Input[Rider ID],0))&amp;"",""))</f>
        <v/>
      </c>
    </row>
    <row r="48" customFormat="false" ht="14.25" hidden="false" customHeight="false" outlineLevel="0" collapsed="false">
      <c r="A48" s="152" t="str">
        <f aca="false">IF(Rider_Input[[#This Row],[Rider ID]]="","",Salary_Month)</f>
        <v/>
      </c>
      <c r="B48" s="153" t="str">
        <f aca="false">IFERROR(IF(INDEX(FTR_Data,ROW()-ROW(Rider_Input[#Headers]),c_FTR_ID)="","",INDEX(FTR_Data,ROW()-ROW(Rider_Input[#Headers]),c_FTR_ID)),"")</f>
        <v/>
      </c>
      <c r="C4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8" s="153" t="str">
        <f aca="false">IF(Rider_Input[[#This Row],[Rider ID]]="","",DAY(EOMONTH(Salary_Month,0)))</f>
        <v/>
      </c>
      <c r="F48" s="153" t="str">
        <f aca="false">IF(Rider_Input[[#This Row],[Rider ID]]="","",IFERROR(IF(INDEX(FTR_Data,ROW()-ROW(Rider_Input[#Headers]),c_FTR_WD)="","",INDEX(FTR_Data,ROW()-ROW(Rider_Input[#Headers]),c_FTR_WD)),""))</f>
        <v/>
      </c>
      <c r="G48" s="153" t="str">
        <f aca="false">IF(Rider_Input[[#This Row],[Rider ID]]="","",IFERROR(IF(INDEX(FTR_Data,ROW()-ROW(Rider_Input[#Headers]),c_FTR_Orders)="","",INDEX(FTR_Data,ROW()-ROW(Rider_Input[#Headers]),c_FTR_Orders)),""))</f>
        <v/>
      </c>
      <c r="H48" s="155" t="str">
        <f aca="false">IF(Rider_Input[[#This Row],[Rider ID]]="","",IFERROR(ABS(INDEX(RLVL_Data,MATCH(Rider_Input[[#This Row],[Rider ID]],INDEX(RLVL_Data,0,c_RLVL_ID),0),c_RLVL_Missed)),0))</f>
        <v/>
      </c>
      <c r="I48" s="155" t="str">
        <f aca="false">IF(Rider_Input[[#This Row],[Rider ID]]="","",IFERROR(ABS(INDEX(RLVL_Data,MATCH(Rider_Input[[#This Row],[Rider ID]],INDEX(RLVL_Data,0,c_RLVL_ID),0),c_RLVL_Bal)),0))</f>
        <v/>
      </c>
      <c r="J48" s="155" t="str">
        <f aca="false">IF(Rider_Input[[#This Row],[Rider ID]]="","",IFERROR(ABS(INDEX(RLVL_Data,MATCH(Rider_Input[[#This Row],[Rider ID]],INDEX(RLVL_Data,0,c_RLVL_ID),0),c_RLVL_Stack)),0))</f>
        <v/>
      </c>
      <c r="K48" s="155" t="str">
        <f aca="false">IF(Rider_Input[[#This Row],[Rider ID]]="","",SUMIFS(Adj_Input[Other Deductions],Adj_Input[Rider ID],Rider_Input[[#This Row],[Rider ID]]))</f>
        <v/>
      </c>
      <c r="L48" s="154" t="str">
        <f aca="false">IF(Rider_Input[[#This Row],[Rider ID]]="","",IFERROR(INDEX(Adj_Input[Note / Reason],MATCH(Rider_Input[[#This Row],[Rider ID]],Adj_Input[Rider ID],0))&amp;"",""))</f>
        <v/>
      </c>
    </row>
    <row r="49" customFormat="false" ht="14.25" hidden="false" customHeight="false" outlineLevel="0" collapsed="false">
      <c r="A49" s="152" t="str">
        <f aca="false">IF(Rider_Input[[#This Row],[Rider ID]]="","",Salary_Month)</f>
        <v/>
      </c>
      <c r="B49" s="153" t="str">
        <f aca="false">IFERROR(IF(INDEX(FTR_Data,ROW()-ROW(Rider_Input[#Headers]),c_FTR_ID)="","",INDEX(FTR_Data,ROW()-ROW(Rider_Input[#Headers]),c_FTR_ID)),"")</f>
        <v/>
      </c>
      <c r="C4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9" s="153" t="str">
        <f aca="false">IF(Rider_Input[[#This Row],[Rider ID]]="","",DAY(EOMONTH(Salary_Month,0)))</f>
        <v/>
      </c>
      <c r="F49" s="153" t="str">
        <f aca="false">IF(Rider_Input[[#This Row],[Rider ID]]="","",IFERROR(IF(INDEX(FTR_Data,ROW()-ROW(Rider_Input[#Headers]),c_FTR_WD)="","",INDEX(FTR_Data,ROW()-ROW(Rider_Input[#Headers]),c_FTR_WD)),""))</f>
        <v/>
      </c>
      <c r="G49" s="153" t="str">
        <f aca="false">IF(Rider_Input[[#This Row],[Rider ID]]="","",IFERROR(IF(INDEX(FTR_Data,ROW()-ROW(Rider_Input[#Headers]),c_FTR_Orders)="","",INDEX(FTR_Data,ROW()-ROW(Rider_Input[#Headers]),c_FTR_Orders)),""))</f>
        <v/>
      </c>
      <c r="H49" s="155" t="str">
        <f aca="false">IF(Rider_Input[[#This Row],[Rider ID]]="","",IFERROR(ABS(INDEX(RLVL_Data,MATCH(Rider_Input[[#This Row],[Rider ID]],INDEX(RLVL_Data,0,c_RLVL_ID),0),c_RLVL_Missed)),0))</f>
        <v/>
      </c>
      <c r="I49" s="155" t="str">
        <f aca="false">IF(Rider_Input[[#This Row],[Rider ID]]="","",IFERROR(ABS(INDEX(RLVL_Data,MATCH(Rider_Input[[#This Row],[Rider ID]],INDEX(RLVL_Data,0,c_RLVL_ID),0),c_RLVL_Bal)),0))</f>
        <v/>
      </c>
      <c r="J49" s="155" t="str">
        <f aca="false">IF(Rider_Input[[#This Row],[Rider ID]]="","",IFERROR(ABS(INDEX(RLVL_Data,MATCH(Rider_Input[[#This Row],[Rider ID]],INDEX(RLVL_Data,0,c_RLVL_ID),0),c_RLVL_Stack)),0))</f>
        <v/>
      </c>
      <c r="K49" s="155" t="str">
        <f aca="false">IF(Rider_Input[[#This Row],[Rider ID]]="","",SUMIFS(Adj_Input[Other Deductions],Adj_Input[Rider ID],Rider_Input[[#This Row],[Rider ID]]))</f>
        <v/>
      </c>
      <c r="L49" s="154" t="str">
        <f aca="false">IF(Rider_Input[[#This Row],[Rider ID]]="","",IFERROR(INDEX(Adj_Input[Note / Reason],MATCH(Rider_Input[[#This Row],[Rider ID]],Adj_Input[Rider ID],0))&amp;"",""))</f>
        <v/>
      </c>
    </row>
    <row r="50" customFormat="false" ht="14.25" hidden="false" customHeight="false" outlineLevel="0" collapsed="false">
      <c r="A50" s="152" t="str">
        <f aca="false">IF(Rider_Input[[#This Row],[Rider ID]]="","",Salary_Month)</f>
        <v/>
      </c>
      <c r="B50" s="153" t="str">
        <f aca="false">IFERROR(IF(INDEX(FTR_Data,ROW()-ROW(Rider_Input[#Headers]),c_FTR_ID)="","",INDEX(FTR_Data,ROW()-ROW(Rider_Input[#Headers]),c_FTR_ID)),"")</f>
        <v/>
      </c>
      <c r="C5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5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50" s="153" t="str">
        <f aca="false">IF(Rider_Input[[#This Row],[Rider ID]]="","",DAY(EOMONTH(Salary_Month,0)))</f>
        <v/>
      </c>
      <c r="F50" s="153" t="str">
        <f aca="false">IF(Rider_Input[[#This Row],[Rider ID]]="","",IFERROR(IF(INDEX(FTR_Data,ROW()-ROW(Rider_Input[#Headers]),c_FTR_WD)="","",INDEX(FTR_Data,ROW()-ROW(Rider_Input[#Headers]),c_FTR_WD)),""))</f>
        <v/>
      </c>
      <c r="G50" s="153" t="str">
        <f aca="false">IF(Rider_Input[[#This Row],[Rider ID]]="","",IFERROR(IF(INDEX(FTR_Data,ROW()-ROW(Rider_Input[#Headers]),c_FTR_Orders)="","",INDEX(FTR_Data,ROW()-ROW(Rider_Input[#Headers]),c_FTR_Orders)),""))</f>
        <v/>
      </c>
      <c r="H50" s="155" t="str">
        <f aca="false">IF(Rider_Input[[#This Row],[Rider ID]]="","",IFERROR(ABS(INDEX(RLVL_Data,MATCH(Rider_Input[[#This Row],[Rider ID]],INDEX(RLVL_Data,0,c_RLVL_ID),0),c_RLVL_Missed)),0))</f>
        <v/>
      </c>
      <c r="I50" s="155" t="str">
        <f aca="false">IF(Rider_Input[[#This Row],[Rider ID]]="","",IFERROR(ABS(INDEX(RLVL_Data,MATCH(Rider_Input[[#This Row],[Rider ID]],INDEX(RLVL_Data,0,c_RLVL_ID),0),c_RLVL_Bal)),0))</f>
        <v/>
      </c>
      <c r="J50" s="155" t="str">
        <f aca="false">IF(Rider_Input[[#This Row],[Rider ID]]="","",IFERROR(ABS(INDEX(RLVL_Data,MATCH(Rider_Input[[#This Row],[Rider ID]],INDEX(RLVL_Data,0,c_RLVL_ID),0),c_RLVL_Stack)),0))</f>
        <v/>
      </c>
      <c r="K50" s="155" t="str">
        <f aca="false">IF(Rider_Input[[#This Row],[Rider ID]]="","",SUMIFS(Adj_Input[Other Deductions],Adj_Input[Rider ID],Rider_Input[[#This Row],[Rider ID]]))</f>
        <v/>
      </c>
      <c r="L50" s="154" t="str">
        <f aca="false">IF(Rider_Input[[#This Row],[Rider ID]]="","",IFERROR(INDEX(Adj_Input[Note / Reason],MATCH(Rider_Input[[#This Row],[Rider ID]],Adj_Input[Rider ID],0))&amp;"",""))</f>
        <v/>
      </c>
    </row>
    <row r="51" customFormat="false" ht="14.25" hidden="false" customHeight="false" outlineLevel="0" collapsed="false">
      <c r="A51" s="152" t="str">
        <f aca="false">IF(Rider_Input[[#This Row],[Rider ID]]="","",Salary_Month)</f>
        <v/>
      </c>
      <c r="B51" s="153" t="str">
        <f aca="false">IFERROR(IF(INDEX(FTR_Data,ROW()-ROW(Rider_Input[#Headers]),c_FTR_ID)="","",INDEX(FTR_Data,ROW()-ROW(Rider_Input[#Headers]),c_FTR_ID)),"")</f>
        <v/>
      </c>
      <c r="C5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5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51" s="153" t="str">
        <f aca="false">IF(Rider_Input[[#This Row],[Rider ID]]="","",DAY(EOMONTH(Salary_Month,0)))</f>
        <v/>
      </c>
      <c r="F51" s="153" t="str">
        <f aca="false">IF(Rider_Input[[#This Row],[Rider ID]]="","",IFERROR(IF(INDEX(FTR_Data,ROW()-ROW(Rider_Input[#Headers]),c_FTR_WD)="","",INDEX(FTR_Data,ROW()-ROW(Rider_Input[#Headers]),c_FTR_WD)),""))</f>
        <v/>
      </c>
      <c r="G51" s="153" t="str">
        <f aca="false">IF(Rider_Input[[#This Row],[Rider ID]]="","",IFERROR(IF(INDEX(FTR_Data,ROW()-ROW(Rider_Input[#Headers]),c_FTR_Orders)="","",INDEX(FTR_Data,ROW()-ROW(Rider_Input[#Headers]),c_FTR_Orders)),""))</f>
        <v/>
      </c>
      <c r="H51" s="155" t="str">
        <f aca="false">IF(Rider_Input[[#This Row],[Rider ID]]="","",IFERROR(ABS(INDEX(RLVL_Data,MATCH(Rider_Input[[#This Row],[Rider ID]],INDEX(RLVL_Data,0,c_RLVL_ID),0),c_RLVL_Missed)),0))</f>
        <v/>
      </c>
      <c r="I51" s="155" t="str">
        <f aca="false">IF(Rider_Input[[#This Row],[Rider ID]]="","",IFERROR(ABS(INDEX(RLVL_Data,MATCH(Rider_Input[[#This Row],[Rider ID]],INDEX(RLVL_Data,0,c_RLVL_ID),0),c_RLVL_Bal)),0))</f>
        <v/>
      </c>
      <c r="J51" s="155" t="str">
        <f aca="false">IF(Rider_Input[[#This Row],[Rider ID]]="","",IFERROR(ABS(INDEX(RLVL_Data,MATCH(Rider_Input[[#This Row],[Rider ID]],INDEX(RLVL_Data,0,c_RLVL_ID),0),c_RLVL_Stack)),0))</f>
        <v/>
      </c>
      <c r="K51" s="155" t="str">
        <f aca="false">IF(Rider_Input[[#This Row],[Rider ID]]="","",SUMIFS(Adj_Input[Other Deductions],Adj_Input[Rider ID],Rider_Input[[#This Row],[Rider ID]]))</f>
        <v/>
      </c>
      <c r="L51" s="154" t="str">
        <f aca="false">IF(Rider_Input[[#This Row],[Rider ID]]="","",IFERROR(INDEX(Adj_Input[Note / Reason],MATCH(Rider_Input[[#This Row],[Rider ID]],Adj_Input[Rider ID],0))&amp;"",""))</f>
        <v/>
      </c>
    </row>
    <row r="52" customFormat="false" ht="14.25" hidden="false" customHeight="false" outlineLevel="0" collapsed="false">
      <c r="A52" s="152" t="str">
        <f aca="false">IF(Rider_Input[[#This Row],[Rider ID]]="","",Salary_Month)</f>
        <v/>
      </c>
      <c r="B52" s="153" t="str">
        <f aca="false">IFERROR(IF(INDEX(FTR_Data,ROW()-ROW(Rider_Input[#Headers]),c_FTR_ID)="","",INDEX(FTR_Data,ROW()-ROW(Rider_Input[#Headers]),c_FTR_ID)),"")</f>
        <v/>
      </c>
      <c r="C5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5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52" s="153" t="str">
        <f aca="false">IF(Rider_Input[[#This Row],[Rider ID]]="","",DAY(EOMONTH(Salary_Month,0)))</f>
        <v/>
      </c>
      <c r="F52" s="153" t="str">
        <f aca="false">IF(Rider_Input[[#This Row],[Rider ID]]="","",IFERROR(IF(INDEX(FTR_Data,ROW()-ROW(Rider_Input[#Headers]),c_FTR_WD)="","",INDEX(FTR_Data,ROW()-ROW(Rider_Input[#Headers]),c_FTR_WD)),""))</f>
        <v/>
      </c>
      <c r="G52" s="153" t="str">
        <f aca="false">IF(Rider_Input[[#This Row],[Rider ID]]="","",IFERROR(IF(INDEX(FTR_Data,ROW()-ROW(Rider_Input[#Headers]),c_FTR_Orders)="","",INDEX(FTR_Data,ROW()-ROW(Rider_Input[#Headers]),c_FTR_Orders)),""))</f>
        <v/>
      </c>
      <c r="H52" s="155" t="str">
        <f aca="false">IF(Rider_Input[[#This Row],[Rider ID]]="","",IFERROR(ABS(INDEX(RLVL_Data,MATCH(Rider_Input[[#This Row],[Rider ID]],INDEX(RLVL_Data,0,c_RLVL_ID),0),c_RLVL_Missed)),0))</f>
        <v/>
      </c>
      <c r="I52" s="155" t="str">
        <f aca="false">IF(Rider_Input[[#This Row],[Rider ID]]="","",IFERROR(ABS(INDEX(RLVL_Data,MATCH(Rider_Input[[#This Row],[Rider ID]],INDEX(RLVL_Data,0,c_RLVL_ID),0),c_RLVL_Bal)),0))</f>
        <v/>
      </c>
      <c r="J52" s="155" t="str">
        <f aca="false">IF(Rider_Input[[#This Row],[Rider ID]]="","",IFERROR(ABS(INDEX(RLVL_Data,MATCH(Rider_Input[[#This Row],[Rider ID]],INDEX(RLVL_Data,0,c_RLVL_ID),0),c_RLVL_Stack)),0))</f>
        <v/>
      </c>
      <c r="K52" s="155" t="str">
        <f aca="false">IF(Rider_Input[[#This Row],[Rider ID]]="","",SUMIFS(Adj_Input[Other Deductions],Adj_Input[Rider ID],Rider_Input[[#This Row],[Rider ID]]))</f>
        <v/>
      </c>
      <c r="L52" s="154" t="str">
        <f aca="false">IF(Rider_Input[[#This Row],[Rider ID]]="","",IFERROR(INDEX(Adj_Input[Note / Reason],MATCH(Rider_Input[[#This Row],[Rider ID]],Adj_Input[Rider ID],0))&amp;"",""))</f>
        <v/>
      </c>
    </row>
    <row r="53" customFormat="false" ht="14.25" hidden="false" customHeight="false" outlineLevel="0" collapsed="false">
      <c r="A53" s="152" t="str">
        <f aca="false">IF(Rider_Input[[#This Row],[Rider ID]]="","",Salary_Month)</f>
        <v/>
      </c>
      <c r="B53" s="153" t="str">
        <f aca="false">IFERROR(IF(INDEX(FTR_Data,ROW()-ROW(Rider_Input[#Headers]),c_FTR_ID)="","",INDEX(FTR_Data,ROW()-ROW(Rider_Input[#Headers]),c_FTR_ID)),"")</f>
        <v/>
      </c>
      <c r="C5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5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53" s="153" t="str">
        <f aca="false">IF(Rider_Input[[#This Row],[Rider ID]]="","",DAY(EOMONTH(Salary_Month,0)))</f>
        <v/>
      </c>
      <c r="F53" s="153" t="str">
        <f aca="false">IF(Rider_Input[[#This Row],[Rider ID]]="","",IFERROR(IF(INDEX(FTR_Data,ROW()-ROW(Rider_Input[#Headers]),c_FTR_WD)="","",INDEX(FTR_Data,ROW()-ROW(Rider_Input[#Headers]),c_FTR_WD)),""))</f>
        <v/>
      </c>
      <c r="G53" s="153" t="str">
        <f aca="false">IF(Rider_Input[[#This Row],[Rider ID]]="","",IFERROR(IF(INDEX(FTR_Data,ROW()-ROW(Rider_Input[#Headers]),c_FTR_Orders)="","",INDEX(FTR_Data,ROW()-ROW(Rider_Input[#Headers]),c_FTR_Orders)),""))</f>
        <v/>
      </c>
      <c r="H53" s="155" t="str">
        <f aca="false">IF(Rider_Input[[#This Row],[Rider ID]]="","",IFERROR(ABS(INDEX(RLVL_Data,MATCH(Rider_Input[[#This Row],[Rider ID]],INDEX(RLVL_Data,0,c_RLVL_ID),0),c_RLVL_Missed)),0))</f>
        <v/>
      </c>
      <c r="I53" s="155" t="str">
        <f aca="false">IF(Rider_Input[[#This Row],[Rider ID]]="","",IFERROR(ABS(INDEX(RLVL_Data,MATCH(Rider_Input[[#This Row],[Rider ID]],INDEX(RLVL_Data,0,c_RLVL_ID),0),c_RLVL_Bal)),0))</f>
        <v/>
      </c>
      <c r="J53" s="155" t="str">
        <f aca="false">IF(Rider_Input[[#This Row],[Rider ID]]="","",IFERROR(ABS(INDEX(RLVL_Data,MATCH(Rider_Input[[#This Row],[Rider ID]],INDEX(RLVL_Data,0,c_RLVL_ID),0),c_RLVL_Stack)),0))</f>
        <v/>
      </c>
      <c r="K53" s="155" t="str">
        <f aca="false">IF(Rider_Input[[#This Row],[Rider ID]]="","",SUMIFS(Adj_Input[Other Deductions],Adj_Input[Rider ID],Rider_Input[[#This Row],[Rider ID]]))</f>
        <v/>
      </c>
      <c r="L53" s="154" t="str">
        <f aca="false">IF(Rider_Input[[#This Row],[Rider ID]]="","",IFERROR(INDEX(Adj_Input[Note / Reason],MATCH(Rider_Input[[#This Row],[Rider ID]],Adj_Input[Rider ID],0))&amp;"",""))</f>
        <v/>
      </c>
    </row>
    <row r="54" customFormat="false" ht="14.25" hidden="false" customHeight="false" outlineLevel="0" collapsed="false">
      <c r="A54" s="152" t="str">
        <f aca="false">IF(Rider_Input[[#This Row],[Rider ID]]="","",Salary_Month)</f>
        <v/>
      </c>
      <c r="B54" s="153" t="str">
        <f aca="false">IFERROR(IF(INDEX(FTR_Data,ROW()-ROW(Rider_Input[#Headers]),c_FTR_ID)="","",INDEX(FTR_Data,ROW()-ROW(Rider_Input[#Headers]),c_FTR_ID)),"")</f>
        <v/>
      </c>
      <c r="C5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5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54" s="153" t="str">
        <f aca="false">IF(Rider_Input[[#This Row],[Rider ID]]="","",DAY(EOMONTH(Salary_Month,0)))</f>
        <v/>
      </c>
      <c r="F54" s="153" t="str">
        <f aca="false">IF(Rider_Input[[#This Row],[Rider ID]]="","",IFERROR(IF(INDEX(FTR_Data,ROW()-ROW(Rider_Input[#Headers]),c_FTR_WD)="","",INDEX(FTR_Data,ROW()-ROW(Rider_Input[#Headers]),c_FTR_WD)),""))</f>
        <v/>
      </c>
      <c r="G54" s="153" t="str">
        <f aca="false">IF(Rider_Input[[#This Row],[Rider ID]]="","",IFERROR(IF(INDEX(FTR_Data,ROW()-ROW(Rider_Input[#Headers]),c_FTR_Orders)="","",INDEX(FTR_Data,ROW()-ROW(Rider_Input[#Headers]),c_FTR_Orders)),""))</f>
        <v/>
      </c>
      <c r="H54" s="155" t="str">
        <f aca="false">IF(Rider_Input[[#This Row],[Rider ID]]="","",IFERROR(ABS(INDEX(RLVL_Data,MATCH(Rider_Input[[#This Row],[Rider ID]],INDEX(RLVL_Data,0,c_RLVL_ID),0),c_RLVL_Missed)),0))</f>
        <v/>
      </c>
      <c r="I54" s="155" t="str">
        <f aca="false">IF(Rider_Input[[#This Row],[Rider ID]]="","",IFERROR(ABS(INDEX(RLVL_Data,MATCH(Rider_Input[[#This Row],[Rider ID]],INDEX(RLVL_Data,0,c_RLVL_ID),0),c_RLVL_Bal)),0))</f>
        <v/>
      </c>
      <c r="J54" s="155" t="str">
        <f aca="false">IF(Rider_Input[[#This Row],[Rider ID]]="","",IFERROR(ABS(INDEX(RLVL_Data,MATCH(Rider_Input[[#This Row],[Rider ID]],INDEX(RLVL_Data,0,c_RLVL_ID),0),c_RLVL_Stack)),0))</f>
        <v/>
      </c>
      <c r="K54" s="155" t="str">
        <f aca="false">IF(Rider_Input[[#This Row],[Rider ID]]="","",SUMIFS(Adj_Input[Other Deductions],Adj_Input[Rider ID],Rider_Input[[#This Row],[Rider ID]]))</f>
        <v/>
      </c>
      <c r="L54" s="154" t="str">
        <f aca="false">IF(Rider_Input[[#This Row],[Rider ID]]="","",IFERROR(INDEX(Adj_Input[Note / Reason],MATCH(Rider_Input[[#This Row],[Rider ID]],Adj_Input[Rider ID],0))&amp;"",""))</f>
        <v/>
      </c>
    </row>
    <row r="55" customFormat="false" ht="14.25" hidden="false" customHeight="false" outlineLevel="0" collapsed="false">
      <c r="A55" s="152" t="str">
        <f aca="false">IF(Rider_Input[[#This Row],[Rider ID]]="","",Salary_Month)</f>
        <v/>
      </c>
      <c r="B55" s="153" t="str">
        <f aca="false">IFERROR(IF(INDEX(FTR_Data,ROW()-ROW(Rider_Input[#Headers]),c_FTR_ID)="","",INDEX(FTR_Data,ROW()-ROW(Rider_Input[#Headers]),c_FTR_ID)),"")</f>
        <v/>
      </c>
      <c r="C5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5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55" s="153" t="str">
        <f aca="false">IF(Rider_Input[[#This Row],[Rider ID]]="","",DAY(EOMONTH(Salary_Month,0)))</f>
        <v/>
      </c>
      <c r="F55" s="153" t="str">
        <f aca="false">IF(Rider_Input[[#This Row],[Rider ID]]="","",IFERROR(IF(INDEX(FTR_Data,ROW()-ROW(Rider_Input[#Headers]),c_FTR_WD)="","",INDEX(FTR_Data,ROW()-ROW(Rider_Input[#Headers]),c_FTR_WD)),""))</f>
        <v/>
      </c>
      <c r="G55" s="153" t="str">
        <f aca="false">IF(Rider_Input[[#This Row],[Rider ID]]="","",IFERROR(IF(INDEX(FTR_Data,ROW()-ROW(Rider_Input[#Headers]),c_FTR_Orders)="","",INDEX(FTR_Data,ROW()-ROW(Rider_Input[#Headers]),c_FTR_Orders)),""))</f>
        <v/>
      </c>
      <c r="H55" s="155" t="str">
        <f aca="false">IF(Rider_Input[[#This Row],[Rider ID]]="","",IFERROR(ABS(INDEX(RLVL_Data,MATCH(Rider_Input[[#This Row],[Rider ID]],INDEX(RLVL_Data,0,c_RLVL_ID),0),c_RLVL_Missed)),0))</f>
        <v/>
      </c>
      <c r="I55" s="155" t="str">
        <f aca="false">IF(Rider_Input[[#This Row],[Rider ID]]="","",IFERROR(ABS(INDEX(RLVL_Data,MATCH(Rider_Input[[#This Row],[Rider ID]],INDEX(RLVL_Data,0,c_RLVL_ID),0),c_RLVL_Bal)),0))</f>
        <v/>
      </c>
      <c r="J55" s="155" t="str">
        <f aca="false">IF(Rider_Input[[#This Row],[Rider ID]]="","",IFERROR(ABS(INDEX(RLVL_Data,MATCH(Rider_Input[[#This Row],[Rider ID]],INDEX(RLVL_Data,0,c_RLVL_ID),0),c_RLVL_Stack)),0))</f>
        <v/>
      </c>
      <c r="K55" s="155" t="str">
        <f aca="false">IF(Rider_Input[[#This Row],[Rider ID]]="","",SUMIFS(Adj_Input[Other Deductions],Adj_Input[Rider ID],Rider_Input[[#This Row],[Rider ID]]))</f>
        <v/>
      </c>
      <c r="L55" s="154" t="str">
        <f aca="false">IF(Rider_Input[[#This Row],[Rider ID]]="","",IFERROR(INDEX(Adj_Input[Note / Reason],MATCH(Rider_Input[[#This Row],[Rider ID]],Adj_Input[Rider ID],0))&amp;"",""))</f>
        <v/>
      </c>
    </row>
    <row r="56" customFormat="false" ht="14.25" hidden="false" customHeight="false" outlineLevel="0" collapsed="false">
      <c r="A56" s="152" t="str">
        <f aca="false">IF(Rider_Input[[#This Row],[Rider ID]]="","",Salary_Month)</f>
        <v/>
      </c>
      <c r="B56" s="153" t="str">
        <f aca="false">IFERROR(IF(INDEX(FTR_Data,ROW()-ROW(Rider_Input[#Headers]),c_FTR_ID)="","",INDEX(FTR_Data,ROW()-ROW(Rider_Input[#Headers]),c_FTR_ID)),"")</f>
        <v/>
      </c>
      <c r="C5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5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56" s="153" t="str">
        <f aca="false">IF(Rider_Input[[#This Row],[Rider ID]]="","",DAY(EOMONTH(Salary_Month,0)))</f>
        <v/>
      </c>
      <c r="F56" s="153" t="str">
        <f aca="false">IF(Rider_Input[[#This Row],[Rider ID]]="","",IFERROR(IF(INDEX(FTR_Data,ROW()-ROW(Rider_Input[#Headers]),c_FTR_WD)="","",INDEX(FTR_Data,ROW()-ROW(Rider_Input[#Headers]),c_FTR_WD)),""))</f>
        <v/>
      </c>
      <c r="G56" s="153" t="str">
        <f aca="false">IF(Rider_Input[[#This Row],[Rider ID]]="","",IFERROR(IF(INDEX(FTR_Data,ROW()-ROW(Rider_Input[#Headers]),c_FTR_Orders)="","",INDEX(FTR_Data,ROW()-ROW(Rider_Input[#Headers]),c_FTR_Orders)),""))</f>
        <v/>
      </c>
      <c r="H56" s="155" t="str">
        <f aca="false">IF(Rider_Input[[#This Row],[Rider ID]]="","",IFERROR(ABS(INDEX(RLVL_Data,MATCH(Rider_Input[[#This Row],[Rider ID]],INDEX(RLVL_Data,0,c_RLVL_ID),0),c_RLVL_Missed)),0))</f>
        <v/>
      </c>
      <c r="I56" s="155" t="str">
        <f aca="false">IF(Rider_Input[[#This Row],[Rider ID]]="","",IFERROR(ABS(INDEX(RLVL_Data,MATCH(Rider_Input[[#This Row],[Rider ID]],INDEX(RLVL_Data,0,c_RLVL_ID),0),c_RLVL_Bal)),0))</f>
        <v/>
      </c>
      <c r="J56" s="155" t="str">
        <f aca="false">IF(Rider_Input[[#This Row],[Rider ID]]="","",IFERROR(ABS(INDEX(RLVL_Data,MATCH(Rider_Input[[#This Row],[Rider ID]],INDEX(RLVL_Data,0,c_RLVL_ID),0),c_RLVL_Stack)),0))</f>
        <v/>
      </c>
      <c r="K56" s="155" t="str">
        <f aca="false">IF(Rider_Input[[#This Row],[Rider ID]]="","",SUMIFS(Adj_Input[Other Deductions],Adj_Input[Rider ID],Rider_Input[[#This Row],[Rider ID]]))</f>
        <v/>
      </c>
      <c r="L56" s="154" t="str">
        <f aca="false">IF(Rider_Input[[#This Row],[Rider ID]]="","",IFERROR(INDEX(Adj_Input[Note / Reason],MATCH(Rider_Input[[#This Row],[Rider ID]],Adj_Input[Rider ID],0))&amp;"",""))</f>
        <v/>
      </c>
    </row>
    <row r="57" customFormat="false" ht="14.25" hidden="false" customHeight="false" outlineLevel="0" collapsed="false">
      <c r="A57" s="152" t="str">
        <f aca="false">IF(Rider_Input[[#This Row],[Rider ID]]="","",Salary_Month)</f>
        <v/>
      </c>
      <c r="B57" s="153" t="str">
        <f aca="false">IFERROR(IF(INDEX(FTR_Data,ROW()-ROW(Rider_Input[#Headers]),c_FTR_ID)="","",INDEX(FTR_Data,ROW()-ROW(Rider_Input[#Headers]),c_FTR_ID)),"")</f>
        <v/>
      </c>
      <c r="C5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5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57" s="153" t="str">
        <f aca="false">IF(Rider_Input[[#This Row],[Rider ID]]="","",DAY(EOMONTH(Salary_Month,0)))</f>
        <v/>
      </c>
      <c r="F57" s="153" t="str">
        <f aca="false">IF(Rider_Input[[#This Row],[Rider ID]]="","",IFERROR(IF(INDEX(FTR_Data,ROW()-ROW(Rider_Input[#Headers]),c_FTR_WD)="","",INDEX(FTR_Data,ROW()-ROW(Rider_Input[#Headers]),c_FTR_WD)),""))</f>
        <v/>
      </c>
      <c r="G57" s="153" t="str">
        <f aca="false">IF(Rider_Input[[#This Row],[Rider ID]]="","",IFERROR(IF(INDEX(FTR_Data,ROW()-ROW(Rider_Input[#Headers]),c_FTR_Orders)="","",INDEX(FTR_Data,ROW()-ROW(Rider_Input[#Headers]),c_FTR_Orders)),""))</f>
        <v/>
      </c>
      <c r="H57" s="155" t="str">
        <f aca="false">IF(Rider_Input[[#This Row],[Rider ID]]="","",IFERROR(ABS(INDEX(RLVL_Data,MATCH(Rider_Input[[#This Row],[Rider ID]],INDEX(RLVL_Data,0,c_RLVL_ID),0),c_RLVL_Missed)),0))</f>
        <v/>
      </c>
      <c r="I57" s="155" t="str">
        <f aca="false">IF(Rider_Input[[#This Row],[Rider ID]]="","",IFERROR(ABS(INDEX(RLVL_Data,MATCH(Rider_Input[[#This Row],[Rider ID]],INDEX(RLVL_Data,0,c_RLVL_ID),0),c_RLVL_Bal)),0))</f>
        <v/>
      </c>
      <c r="J57" s="155" t="str">
        <f aca="false">IF(Rider_Input[[#This Row],[Rider ID]]="","",IFERROR(ABS(INDEX(RLVL_Data,MATCH(Rider_Input[[#This Row],[Rider ID]],INDEX(RLVL_Data,0,c_RLVL_ID),0),c_RLVL_Stack)),0))</f>
        <v/>
      </c>
      <c r="K57" s="155" t="str">
        <f aca="false">IF(Rider_Input[[#This Row],[Rider ID]]="","",SUMIFS(Adj_Input[Other Deductions],Adj_Input[Rider ID],Rider_Input[[#This Row],[Rider ID]]))</f>
        <v/>
      </c>
      <c r="L57" s="154" t="str">
        <f aca="false">IF(Rider_Input[[#This Row],[Rider ID]]="","",IFERROR(INDEX(Adj_Input[Note / Reason],MATCH(Rider_Input[[#This Row],[Rider ID]],Adj_Input[Rider ID],0))&amp;"",""))</f>
        <v/>
      </c>
    </row>
    <row r="58" customFormat="false" ht="14.25" hidden="false" customHeight="false" outlineLevel="0" collapsed="false">
      <c r="A58" s="152" t="str">
        <f aca="false">IF(Rider_Input[[#This Row],[Rider ID]]="","",Salary_Month)</f>
        <v/>
      </c>
      <c r="B58" s="153" t="str">
        <f aca="false">IFERROR(IF(INDEX(FTR_Data,ROW()-ROW(Rider_Input[#Headers]),c_FTR_ID)="","",INDEX(FTR_Data,ROW()-ROW(Rider_Input[#Headers]),c_FTR_ID)),"")</f>
        <v/>
      </c>
      <c r="C5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5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58" s="153" t="str">
        <f aca="false">IF(Rider_Input[[#This Row],[Rider ID]]="","",DAY(EOMONTH(Salary_Month,0)))</f>
        <v/>
      </c>
      <c r="F58" s="153" t="str">
        <f aca="false">IF(Rider_Input[[#This Row],[Rider ID]]="","",IFERROR(IF(INDEX(FTR_Data,ROW()-ROW(Rider_Input[#Headers]),c_FTR_WD)="","",INDEX(FTR_Data,ROW()-ROW(Rider_Input[#Headers]),c_FTR_WD)),""))</f>
        <v/>
      </c>
      <c r="G58" s="153" t="str">
        <f aca="false">IF(Rider_Input[[#This Row],[Rider ID]]="","",IFERROR(IF(INDEX(FTR_Data,ROW()-ROW(Rider_Input[#Headers]),c_FTR_Orders)="","",INDEX(FTR_Data,ROW()-ROW(Rider_Input[#Headers]),c_FTR_Orders)),""))</f>
        <v/>
      </c>
      <c r="H58" s="155" t="str">
        <f aca="false">IF(Rider_Input[[#This Row],[Rider ID]]="","",IFERROR(ABS(INDEX(RLVL_Data,MATCH(Rider_Input[[#This Row],[Rider ID]],INDEX(RLVL_Data,0,c_RLVL_ID),0),c_RLVL_Missed)),0))</f>
        <v/>
      </c>
      <c r="I58" s="155" t="str">
        <f aca="false">IF(Rider_Input[[#This Row],[Rider ID]]="","",IFERROR(ABS(INDEX(RLVL_Data,MATCH(Rider_Input[[#This Row],[Rider ID]],INDEX(RLVL_Data,0,c_RLVL_ID),0),c_RLVL_Bal)),0))</f>
        <v/>
      </c>
      <c r="J58" s="155" t="str">
        <f aca="false">IF(Rider_Input[[#This Row],[Rider ID]]="","",IFERROR(ABS(INDEX(RLVL_Data,MATCH(Rider_Input[[#This Row],[Rider ID]],INDEX(RLVL_Data,0,c_RLVL_ID),0),c_RLVL_Stack)),0))</f>
        <v/>
      </c>
      <c r="K58" s="155" t="str">
        <f aca="false">IF(Rider_Input[[#This Row],[Rider ID]]="","",SUMIFS(Adj_Input[Other Deductions],Adj_Input[Rider ID],Rider_Input[[#This Row],[Rider ID]]))</f>
        <v/>
      </c>
      <c r="L58" s="154" t="str">
        <f aca="false">IF(Rider_Input[[#This Row],[Rider ID]]="","",IFERROR(INDEX(Adj_Input[Note / Reason],MATCH(Rider_Input[[#This Row],[Rider ID]],Adj_Input[Rider ID],0))&amp;"",""))</f>
        <v/>
      </c>
    </row>
    <row r="59" customFormat="false" ht="14.25" hidden="false" customHeight="false" outlineLevel="0" collapsed="false">
      <c r="A59" s="152" t="str">
        <f aca="false">IF(Rider_Input[[#This Row],[Rider ID]]="","",Salary_Month)</f>
        <v/>
      </c>
      <c r="B59" s="153" t="str">
        <f aca="false">IFERROR(IF(INDEX(FTR_Data,ROW()-ROW(Rider_Input[#Headers]),c_FTR_ID)="","",INDEX(FTR_Data,ROW()-ROW(Rider_Input[#Headers]),c_FTR_ID)),"")</f>
        <v/>
      </c>
      <c r="C5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5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59" s="153" t="str">
        <f aca="false">IF(Rider_Input[[#This Row],[Rider ID]]="","",DAY(EOMONTH(Salary_Month,0)))</f>
        <v/>
      </c>
      <c r="F59" s="153" t="str">
        <f aca="false">IF(Rider_Input[[#This Row],[Rider ID]]="","",IFERROR(IF(INDEX(FTR_Data,ROW()-ROW(Rider_Input[#Headers]),c_FTR_WD)="","",INDEX(FTR_Data,ROW()-ROW(Rider_Input[#Headers]),c_FTR_WD)),""))</f>
        <v/>
      </c>
      <c r="G59" s="153" t="str">
        <f aca="false">IF(Rider_Input[[#This Row],[Rider ID]]="","",IFERROR(IF(INDEX(FTR_Data,ROW()-ROW(Rider_Input[#Headers]),c_FTR_Orders)="","",INDEX(FTR_Data,ROW()-ROW(Rider_Input[#Headers]),c_FTR_Orders)),""))</f>
        <v/>
      </c>
      <c r="H59" s="155" t="str">
        <f aca="false">IF(Rider_Input[[#This Row],[Rider ID]]="","",IFERROR(ABS(INDEX(RLVL_Data,MATCH(Rider_Input[[#This Row],[Rider ID]],INDEX(RLVL_Data,0,c_RLVL_ID),0),c_RLVL_Missed)),0))</f>
        <v/>
      </c>
      <c r="I59" s="155" t="str">
        <f aca="false">IF(Rider_Input[[#This Row],[Rider ID]]="","",IFERROR(ABS(INDEX(RLVL_Data,MATCH(Rider_Input[[#This Row],[Rider ID]],INDEX(RLVL_Data,0,c_RLVL_ID),0),c_RLVL_Bal)),0))</f>
        <v/>
      </c>
      <c r="J59" s="155" t="str">
        <f aca="false">IF(Rider_Input[[#This Row],[Rider ID]]="","",IFERROR(ABS(INDEX(RLVL_Data,MATCH(Rider_Input[[#This Row],[Rider ID]],INDEX(RLVL_Data,0,c_RLVL_ID),0),c_RLVL_Stack)),0))</f>
        <v/>
      </c>
      <c r="K59" s="155" t="str">
        <f aca="false">IF(Rider_Input[[#This Row],[Rider ID]]="","",SUMIFS(Adj_Input[Other Deductions],Adj_Input[Rider ID],Rider_Input[[#This Row],[Rider ID]]))</f>
        <v/>
      </c>
      <c r="L59" s="154" t="str">
        <f aca="false">IF(Rider_Input[[#This Row],[Rider ID]]="","",IFERROR(INDEX(Adj_Input[Note / Reason],MATCH(Rider_Input[[#This Row],[Rider ID]],Adj_Input[Rider ID],0))&amp;"",""))</f>
        <v/>
      </c>
    </row>
    <row r="60" customFormat="false" ht="14.25" hidden="false" customHeight="false" outlineLevel="0" collapsed="false">
      <c r="A60" s="152" t="str">
        <f aca="false">IF(Rider_Input[[#This Row],[Rider ID]]="","",Salary_Month)</f>
        <v/>
      </c>
      <c r="B60" s="153" t="str">
        <f aca="false">IFERROR(IF(INDEX(FTR_Data,ROW()-ROW(Rider_Input[#Headers]),c_FTR_ID)="","",INDEX(FTR_Data,ROW()-ROW(Rider_Input[#Headers]),c_FTR_ID)),"")</f>
        <v/>
      </c>
      <c r="C6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6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60" s="153" t="str">
        <f aca="false">IF(Rider_Input[[#This Row],[Rider ID]]="","",DAY(EOMONTH(Salary_Month,0)))</f>
        <v/>
      </c>
      <c r="F60" s="153" t="str">
        <f aca="false">IF(Rider_Input[[#This Row],[Rider ID]]="","",IFERROR(IF(INDEX(FTR_Data,ROW()-ROW(Rider_Input[#Headers]),c_FTR_WD)="","",INDEX(FTR_Data,ROW()-ROW(Rider_Input[#Headers]),c_FTR_WD)),""))</f>
        <v/>
      </c>
      <c r="G60" s="153" t="str">
        <f aca="false">IF(Rider_Input[[#This Row],[Rider ID]]="","",IFERROR(IF(INDEX(FTR_Data,ROW()-ROW(Rider_Input[#Headers]),c_FTR_Orders)="","",INDEX(FTR_Data,ROW()-ROW(Rider_Input[#Headers]),c_FTR_Orders)),""))</f>
        <v/>
      </c>
      <c r="H60" s="155" t="str">
        <f aca="false">IF(Rider_Input[[#This Row],[Rider ID]]="","",IFERROR(ABS(INDEX(RLVL_Data,MATCH(Rider_Input[[#This Row],[Rider ID]],INDEX(RLVL_Data,0,c_RLVL_ID),0),c_RLVL_Missed)),0))</f>
        <v/>
      </c>
      <c r="I60" s="155" t="str">
        <f aca="false">IF(Rider_Input[[#This Row],[Rider ID]]="","",IFERROR(ABS(INDEX(RLVL_Data,MATCH(Rider_Input[[#This Row],[Rider ID]],INDEX(RLVL_Data,0,c_RLVL_ID),0),c_RLVL_Bal)),0))</f>
        <v/>
      </c>
      <c r="J60" s="155" t="str">
        <f aca="false">IF(Rider_Input[[#This Row],[Rider ID]]="","",IFERROR(ABS(INDEX(RLVL_Data,MATCH(Rider_Input[[#This Row],[Rider ID]],INDEX(RLVL_Data,0,c_RLVL_ID),0),c_RLVL_Stack)),0))</f>
        <v/>
      </c>
      <c r="K60" s="155" t="str">
        <f aca="false">IF(Rider_Input[[#This Row],[Rider ID]]="","",SUMIFS(Adj_Input[Other Deductions],Adj_Input[Rider ID],Rider_Input[[#This Row],[Rider ID]]))</f>
        <v/>
      </c>
      <c r="L60" s="154" t="str">
        <f aca="false">IF(Rider_Input[[#This Row],[Rider ID]]="","",IFERROR(INDEX(Adj_Input[Note / Reason],MATCH(Rider_Input[[#This Row],[Rider ID]],Adj_Input[Rider ID],0))&amp;"",""))</f>
        <v/>
      </c>
    </row>
    <row r="61" customFormat="false" ht="14.25" hidden="false" customHeight="false" outlineLevel="0" collapsed="false">
      <c r="A61" s="152" t="str">
        <f aca="false">IF(Rider_Input[[#This Row],[Rider ID]]="","",Salary_Month)</f>
        <v/>
      </c>
      <c r="B61" s="153" t="str">
        <f aca="false">IFERROR(IF(INDEX(FTR_Data,ROW()-ROW(Rider_Input[#Headers]),c_FTR_ID)="","",INDEX(FTR_Data,ROW()-ROW(Rider_Input[#Headers]),c_FTR_ID)),"")</f>
        <v/>
      </c>
      <c r="C6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6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61" s="153" t="str">
        <f aca="false">IF(Rider_Input[[#This Row],[Rider ID]]="","",DAY(EOMONTH(Salary_Month,0)))</f>
        <v/>
      </c>
      <c r="F61" s="153" t="str">
        <f aca="false">IF(Rider_Input[[#This Row],[Rider ID]]="","",IFERROR(IF(INDEX(FTR_Data,ROW()-ROW(Rider_Input[#Headers]),c_FTR_WD)="","",INDEX(FTR_Data,ROW()-ROW(Rider_Input[#Headers]),c_FTR_WD)),""))</f>
        <v/>
      </c>
      <c r="G61" s="153" t="str">
        <f aca="false">IF(Rider_Input[[#This Row],[Rider ID]]="","",IFERROR(IF(INDEX(FTR_Data,ROW()-ROW(Rider_Input[#Headers]),c_FTR_Orders)="","",INDEX(FTR_Data,ROW()-ROW(Rider_Input[#Headers]),c_FTR_Orders)),""))</f>
        <v/>
      </c>
      <c r="H61" s="155" t="str">
        <f aca="false">IF(Rider_Input[[#This Row],[Rider ID]]="","",IFERROR(ABS(INDEX(RLVL_Data,MATCH(Rider_Input[[#This Row],[Rider ID]],INDEX(RLVL_Data,0,c_RLVL_ID),0),c_RLVL_Missed)),0))</f>
        <v/>
      </c>
      <c r="I61" s="155" t="str">
        <f aca="false">IF(Rider_Input[[#This Row],[Rider ID]]="","",IFERROR(ABS(INDEX(RLVL_Data,MATCH(Rider_Input[[#This Row],[Rider ID]],INDEX(RLVL_Data,0,c_RLVL_ID),0),c_RLVL_Bal)),0))</f>
        <v/>
      </c>
      <c r="J61" s="155" t="str">
        <f aca="false">IF(Rider_Input[[#This Row],[Rider ID]]="","",IFERROR(ABS(INDEX(RLVL_Data,MATCH(Rider_Input[[#This Row],[Rider ID]],INDEX(RLVL_Data,0,c_RLVL_ID),0),c_RLVL_Stack)),0))</f>
        <v/>
      </c>
      <c r="K61" s="155" t="str">
        <f aca="false">IF(Rider_Input[[#This Row],[Rider ID]]="","",SUMIFS(Adj_Input[Other Deductions],Adj_Input[Rider ID],Rider_Input[[#This Row],[Rider ID]]))</f>
        <v/>
      </c>
      <c r="L61" s="154" t="str">
        <f aca="false">IF(Rider_Input[[#This Row],[Rider ID]]="","",IFERROR(INDEX(Adj_Input[Note / Reason],MATCH(Rider_Input[[#This Row],[Rider ID]],Adj_Input[Rider ID],0))&amp;"",""))</f>
        <v/>
      </c>
    </row>
    <row r="62" customFormat="false" ht="14.25" hidden="false" customHeight="false" outlineLevel="0" collapsed="false">
      <c r="A62" s="152" t="str">
        <f aca="false">IF(Rider_Input[[#This Row],[Rider ID]]="","",Salary_Month)</f>
        <v/>
      </c>
      <c r="B62" s="153" t="str">
        <f aca="false">IFERROR(IF(INDEX(FTR_Data,ROW()-ROW(Rider_Input[#Headers]),c_FTR_ID)="","",INDEX(FTR_Data,ROW()-ROW(Rider_Input[#Headers]),c_FTR_ID)),"")</f>
        <v/>
      </c>
      <c r="C6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6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62" s="153" t="str">
        <f aca="false">IF(Rider_Input[[#This Row],[Rider ID]]="","",DAY(EOMONTH(Salary_Month,0)))</f>
        <v/>
      </c>
      <c r="F62" s="153" t="str">
        <f aca="false">IF(Rider_Input[[#This Row],[Rider ID]]="","",IFERROR(IF(INDEX(FTR_Data,ROW()-ROW(Rider_Input[#Headers]),c_FTR_WD)="","",INDEX(FTR_Data,ROW()-ROW(Rider_Input[#Headers]),c_FTR_WD)),""))</f>
        <v/>
      </c>
      <c r="G62" s="153" t="str">
        <f aca="false">IF(Rider_Input[[#This Row],[Rider ID]]="","",IFERROR(IF(INDEX(FTR_Data,ROW()-ROW(Rider_Input[#Headers]),c_FTR_Orders)="","",INDEX(FTR_Data,ROW()-ROW(Rider_Input[#Headers]),c_FTR_Orders)),""))</f>
        <v/>
      </c>
      <c r="H62" s="155" t="str">
        <f aca="false">IF(Rider_Input[[#This Row],[Rider ID]]="","",IFERROR(ABS(INDEX(RLVL_Data,MATCH(Rider_Input[[#This Row],[Rider ID]],INDEX(RLVL_Data,0,c_RLVL_ID),0),c_RLVL_Missed)),0))</f>
        <v/>
      </c>
      <c r="I62" s="155" t="str">
        <f aca="false">IF(Rider_Input[[#This Row],[Rider ID]]="","",IFERROR(ABS(INDEX(RLVL_Data,MATCH(Rider_Input[[#This Row],[Rider ID]],INDEX(RLVL_Data,0,c_RLVL_ID),0),c_RLVL_Bal)),0))</f>
        <v/>
      </c>
      <c r="J62" s="155" t="str">
        <f aca="false">IF(Rider_Input[[#This Row],[Rider ID]]="","",IFERROR(ABS(INDEX(RLVL_Data,MATCH(Rider_Input[[#This Row],[Rider ID]],INDEX(RLVL_Data,0,c_RLVL_ID),0),c_RLVL_Stack)),0))</f>
        <v/>
      </c>
      <c r="K62" s="155" t="str">
        <f aca="false">IF(Rider_Input[[#This Row],[Rider ID]]="","",SUMIFS(Adj_Input[Other Deductions],Adj_Input[Rider ID],Rider_Input[[#This Row],[Rider ID]]))</f>
        <v/>
      </c>
      <c r="L62" s="154" t="str">
        <f aca="false">IF(Rider_Input[[#This Row],[Rider ID]]="","",IFERROR(INDEX(Adj_Input[Note / Reason],MATCH(Rider_Input[[#This Row],[Rider ID]],Adj_Input[Rider ID],0))&amp;"",""))</f>
        <v/>
      </c>
    </row>
    <row r="63" customFormat="false" ht="14.25" hidden="false" customHeight="false" outlineLevel="0" collapsed="false">
      <c r="A63" s="152" t="str">
        <f aca="false">IF(Rider_Input[[#This Row],[Rider ID]]="","",Salary_Month)</f>
        <v/>
      </c>
      <c r="B63" s="153" t="str">
        <f aca="false">IFERROR(IF(INDEX(FTR_Data,ROW()-ROW(Rider_Input[#Headers]),c_FTR_ID)="","",INDEX(FTR_Data,ROW()-ROW(Rider_Input[#Headers]),c_FTR_ID)),"")</f>
        <v/>
      </c>
      <c r="C6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6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63" s="153" t="str">
        <f aca="false">IF(Rider_Input[[#This Row],[Rider ID]]="","",DAY(EOMONTH(Salary_Month,0)))</f>
        <v/>
      </c>
      <c r="F63" s="153" t="str">
        <f aca="false">IF(Rider_Input[[#This Row],[Rider ID]]="","",IFERROR(IF(INDEX(FTR_Data,ROW()-ROW(Rider_Input[#Headers]),c_FTR_WD)="","",INDEX(FTR_Data,ROW()-ROW(Rider_Input[#Headers]),c_FTR_WD)),""))</f>
        <v/>
      </c>
      <c r="G63" s="153" t="str">
        <f aca="false">IF(Rider_Input[[#This Row],[Rider ID]]="","",IFERROR(IF(INDEX(FTR_Data,ROW()-ROW(Rider_Input[#Headers]),c_FTR_Orders)="","",INDEX(FTR_Data,ROW()-ROW(Rider_Input[#Headers]),c_FTR_Orders)),""))</f>
        <v/>
      </c>
      <c r="H63" s="155" t="str">
        <f aca="false">IF(Rider_Input[[#This Row],[Rider ID]]="","",IFERROR(ABS(INDEX(RLVL_Data,MATCH(Rider_Input[[#This Row],[Rider ID]],INDEX(RLVL_Data,0,c_RLVL_ID),0),c_RLVL_Missed)),0))</f>
        <v/>
      </c>
      <c r="I63" s="155" t="str">
        <f aca="false">IF(Rider_Input[[#This Row],[Rider ID]]="","",IFERROR(ABS(INDEX(RLVL_Data,MATCH(Rider_Input[[#This Row],[Rider ID]],INDEX(RLVL_Data,0,c_RLVL_ID),0),c_RLVL_Bal)),0))</f>
        <v/>
      </c>
      <c r="J63" s="155" t="str">
        <f aca="false">IF(Rider_Input[[#This Row],[Rider ID]]="","",IFERROR(ABS(INDEX(RLVL_Data,MATCH(Rider_Input[[#This Row],[Rider ID]],INDEX(RLVL_Data,0,c_RLVL_ID),0),c_RLVL_Stack)),0))</f>
        <v/>
      </c>
      <c r="K63" s="155" t="str">
        <f aca="false">IF(Rider_Input[[#This Row],[Rider ID]]="","",SUMIFS(Adj_Input[Other Deductions],Adj_Input[Rider ID],Rider_Input[[#This Row],[Rider ID]]))</f>
        <v/>
      </c>
      <c r="L63" s="154" t="str">
        <f aca="false">IF(Rider_Input[[#This Row],[Rider ID]]="","",IFERROR(INDEX(Adj_Input[Note / Reason],MATCH(Rider_Input[[#This Row],[Rider ID]],Adj_Input[Rider ID],0))&amp;"",""))</f>
        <v/>
      </c>
    </row>
    <row r="64" customFormat="false" ht="14.25" hidden="false" customHeight="false" outlineLevel="0" collapsed="false">
      <c r="A64" s="152" t="str">
        <f aca="false">IF(Rider_Input[[#This Row],[Rider ID]]="","",Salary_Month)</f>
        <v/>
      </c>
      <c r="B64" s="153" t="str">
        <f aca="false">IFERROR(IF(INDEX(FTR_Data,ROW()-ROW(Rider_Input[#Headers]),c_FTR_ID)="","",INDEX(FTR_Data,ROW()-ROW(Rider_Input[#Headers]),c_FTR_ID)),"")</f>
        <v/>
      </c>
      <c r="C6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6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64" s="153" t="str">
        <f aca="false">IF(Rider_Input[[#This Row],[Rider ID]]="","",DAY(EOMONTH(Salary_Month,0)))</f>
        <v/>
      </c>
      <c r="F64" s="153" t="str">
        <f aca="false">IF(Rider_Input[[#This Row],[Rider ID]]="","",IFERROR(IF(INDEX(FTR_Data,ROW()-ROW(Rider_Input[#Headers]),c_FTR_WD)="","",INDEX(FTR_Data,ROW()-ROW(Rider_Input[#Headers]),c_FTR_WD)),""))</f>
        <v/>
      </c>
      <c r="G64" s="153" t="str">
        <f aca="false">IF(Rider_Input[[#This Row],[Rider ID]]="","",IFERROR(IF(INDEX(FTR_Data,ROW()-ROW(Rider_Input[#Headers]),c_FTR_Orders)="","",INDEX(FTR_Data,ROW()-ROW(Rider_Input[#Headers]),c_FTR_Orders)),""))</f>
        <v/>
      </c>
      <c r="H64" s="155" t="str">
        <f aca="false">IF(Rider_Input[[#This Row],[Rider ID]]="","",IFERROR(ABS(INDEX(RLVL_Data,MATCH(Rider_Input[[#This Row],[Rider ID]],INDEX(RLVL_Data,0,c_RLVL_ID),0),c_RLVL_Missed)),0))</f>
        <v/>
      </c>
      <c r="I64" s="155" t="str">
        <f aca="false">IF(Rider_Input[[#This Row],[Rider ID]]="","",IFERROR(ABS(INDEX(RLVL_Data,MATCH(Rider_Input[[#This Row],[Rider ID]],INDEX(RLVL_Data,0,c_RLVL_ID),0),c_RLVL_Bal)),0))</f>
        <v/>
      </c>
      <c r="J64" s="155" t="str">
        <f aca="false">IF(Rider_Input[[#This Row],[Rider ID]]="","",IFERROR(ABS(INDEX(RLVL_Data,MATCH(Rider_Input[[#This Row],[Rider ID]],INDEX(RLVL_Data,0,c_RLVL_ID),0),c_RLVL_Stack)),0))</f>
        <v/>
      </c>
      <c r="K64" s="155" t="str">
        <f aca="false">IF(Rider_Input[[#This Row],[Rider ID]]="","",SUMIFS(Adj_Input[Other Deductions],Adj_Input[Rider ID],Rider_Input[[#This Row],[Rider ID]]))</f>
        <v/>
      </c>
      <c r="L64" s="154" t="str">
        <f aca="false">IF(Rider_Input[[#This Row],[Rider ID]]="","",IFERROR(INDEX(Adj_Input[Note / Reason],MATCH(Rider_Input[[#This Row],[Rider ID]],Adj_Input[Rider ID],0))&amp;"",""))</f>
        <v/>
      </c>
    </row>
    <row r="65" customFormat="false" ht="14.25" hidden="false" customHeight="false" outlineLevel="0" collapsed="false">
      <c r="A65" s="152" t="str">
        <f aca="false">IF(Rider_Input[[#This Row],[Rider ID]]="","",Salary_Month)</f>
        <v/>
      </c>
      <c r="B65" s="153" t="str">
        <f aca="false">IFERROR(IF(INDEX(FTR_Data,ROW()-ROW(Rider_Input[#Headers]),c_FTR_ID)="","",INDEX(FTR_Data,ROW()-ROW(Rider_Input[#Headers]),c_FTR_ID)),"")</f>
        <v/>
      </c>
      <c r="C6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6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65" s="153" t="str">
        <f aca="false">IF(Rider_Input[[#This Row],[Rider ID]]="","",DAY(EOMONTH(Salary_Month,0)))</f>
        <v/>
      </c>
      <c r="F65" s="153" t="str">
        <f aca="false">IF(Rider_Input[[#This Row],[Rider ID]]="","",IFERROR(IF(INDEX(FTR_Data,ROW()-ROW(Rider_Input[#Headers]),c_FTR_WD)="","",INDEX(FTR_Data,ROW()-ROW(Rider_Input[#Headers]),c_FTR_WD)),""))</f>
        <v/>
      </c>
      <c r="G65" s="153" t="str">
        <f aca="false">IF(Rider_Input[[#This Row],[Rider ID]]="","",IFERROR(IF(INDEX(FTR_Data,ROW()-ROW(Rider_Input[#Headers]),c_FTR_Orders)="","",INDEX(FTR_Data,ROW()-ROW(Rider_Input[#Headers]),c_FTR_Orders)),""))</f>
        <v/>
      </c>
      <c r="H65" s="155" t="str">
        <f aca="false">IF(Rider_Input[[#This Row],[Rider ID]]="","",IFERROR(ABS(INDEX(RLVL_Data,MATCH(Rider_Input[[#This Row],[Rider ID]],INDEX(RLVL_Data,0,c_RLVL_ID),0),c_RLVL_Missed)),0))</f>
        <v/>
      </c>
      <c r="I65" s="155" t="str">
        <f aca="false">IF(Rider_Input[[#This Row],[Rider ID]]="","",IFERROR(ABS(INDEX(RLVL_Data,MATCH(Rider_Input[[#This Row],[Rider ID]],INDEX(RLVL_Data,0,c_RLVL_ID),0),c_RLVL_Bal)),0))</f>
        <v/>
      </c>
      <c r="J65" s="155" t="str">
        <f aca="false">IF(Rider_Input[[#This Row],[Rider ID]]="","",IFERROR(ABS(INDEX(RLVL_Data,MATCH(Rider_Input[[#This Row],[Rider ID]],INDEX(RLVL_Data,0,c_RLVL_ID),0),c_RLVL_Stack)),0))</f>
        <v/>
      </c>
      <c r="K65" s="155" t="str">
        <f aca="false">IF(Rider_Input[[#This Row],[Rider ID]]="","",SUMIFS(Adj_Input[Other Deductions],Adj_Input[Rider ID],Rider_Input[[#This Row],[Rider ID]]))</f>
        <v/>
      </c>
      <c r="L65" s="154" t="str">
        <f aca="false">IF(Rider_Input[[#This Row],[Rider ID]]="","",IFERROR(INDEX(Adj_Input[Note / Reason],MATCH(Rider_Input[[#This Row],[Rider ID]],Adj_Input[Rider ID],0))&amp;"",""))</f>
        <v/>
      </c>
    </row>
    <row r="66" customFormat="false" ht="14.25" hidden="false" customHeight="false" outlineLevel="0" collapsed="false">
      <c r="A66" s="152" t="str">
        <f aca="false">IF(Rider_Input[[#This Row],[Rider ID]]="","",Salary_Month)</f>
        <v/>
      </c>
      <c r="B66" s="153" t="str">
        <f aca="false">IFERROR(IF(INDEX(FTR_Data,ROW()-ROW(Rider_Input[#Headers]),c_FTR_ID)="","",INDEX(FTR_Data,ROW()-ROW(Rider_Input[#Headers]),c_FTR_ID)),"")</f>
        <v/>
      </c>
      <c r="C6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6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66" s="153" t="str">
        <f aca="false">IF(Rider_Input[[#This Row],[Rider ID]]="","",DAY(EOMONTH(Salary_Month,0)))</f>
        <v/>
      </c>
      <c r="F66" s="153" t="str">
        <f aca="false">IF(Rider_Input[[#This Row],[Rider ID]]="","",IFERROR(IF(INDEX(FTR_Data,ROW()-ROW(Rider_Input[#Headers]),c_FTR_WD)="","",INDEX(FTR_Data,ROW()-ROW(Rider_Input[#Headers]),c_FTR_WD)),""))</f>
        <v/>
      </c>
      <c r="G66" s="153" t="str">
        <f aca="false">IF(Rider_Input[[#This Row],[Rider ID]]="","",IFERROR(IF(INDEX(FTR_Data,ROW()-ROW(Rider_Input[#Headers]),c_FTR_Orders)="","",INDEX(FTR_Data,ROW()-ROW(Rider_Input[#Headers]),c_FTR_Orders)),""))</f>
        <v/>
      </c>
      <c r="H66" s="155" t="str">
        <f aca="false">IF(Rider_Input[[#This Row],[Rider ID]]="","",IFERROR(ABS(INDEX(RLVL_Data,MATCH(Rider_Input[[#This Row],[Rider ID]],INDEX(RLVL_Data,0,c_RLVL_ID),0),c_RLVL_Missed)),0))</f>
        <v/>
      </c>
      <c r="I66" s="155" t="str">
        <f aca="false">IF(Rider_Input[[#This Row],[Rider ID]]="","",IFERROR(ABS(INDEX(RLVL_Data,MATCH(Rider_Input[[#This Row],[Rider ID]],INDEX(RLVL_Data,0,c_RLVL_ID),0),c_RLVL_Bal)),0))</f>
        <v/>
      </c>
      <c r="J66" s="155" t="str">
        <f aca="false">IF(Rider_Input[[#This Row],[Rider ID]]="","",IFERROR(ABS(INDEX(RLVL_Data,MATCH(Rider_Input[[#This Row],[Rider ID]],INDEX(RLVL_Data,0,c_RLVL_ID),0),c_RLVL_Stack)),0))</f>
        <v/>
      </c>
      <c r="K66" s="155" t="str">
        <f aca="false">IF(Rider_Input[[#This Row],[Rider ID]]="","",SUMIFS(Adj_Input[Other Deductions],Adj_Input[Rider ID],Rider_Input[[#This Row],[Rider ID]]))</f>
        <v/>
      </c>
      <c r="L66" s="154" t="str">
        <f aca="false">IF(Rider_Input[[#This Row],[Rider ID]]="","",IFERROR(INDEX(Adj_Input[Note / Reason],MATCH(Rider_Input[[#This Row],[Rider ID]],Adj_Input[Rider ID],0))&amp;"",""))</f>
        <v/>
      </c>
    </row>
    <row r="67" customFormat="false" ht="14.25" hidden="false" customHeight="false" outlineLevel="0" collapsed="false">
      <c r="A67" s="152" t="str">
        <f aca="false">IF(Rider_Input[[#This Row],[Rider ID]]="","",Salary_Month)</f>
        <v/>
      </c>
      <c r="B67" s="153" t="str">
        <f aca="false">IFERROR(IF(INDEX(FTR_Data,ROW()-ROW(Rider_Input[#Headers]),c_FTR_ID)="","",INDEX(FTR_Data,ROW()-ROW(Rider_Input[#Headers]),c_FTR_ID)),"")</f>
        <v/>
      </c>
      <c r="C6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6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67" s="153" t="str">
        <f aca="false">IF(Rider_Input[[#This Row],[Rider ID]]="","",DAY(EOMONTH(Salary_Month,0)))</f>
        <v/>
      </c>
      <c r="F67" s="153" t="str">
        <f aca="false">IF(Rider_Input[[#This Row],[Rider ID]]="","",IFERROR(IF(INDEX(FTR_Data,ROW()-ROW(Rider_Input[#Headers]),c_FTR_WD)="","",INDEX(FTR_Data,ROW()-ROW(Rider_Input[#Headers]),c_FTR_WD)),""))</f>
        <v/>
      </c>
      <c r="G67" s="153" t="str">
        <f aca="false">IF(Rider_Input[[#This Row],[Rider ID]]="","",IFERROR(IF(INDEX(FTR_Data,ROW()-ROW(Rider_Input[#Headers]),c_FTR_Orders)="","",INDEX(FTR_Data,ROW()-ROW(Rider_Input[#Headers]),c_FTR_Orders)),""))</f>
        <v/>
      </c>
      <c r="H67" s="155" t="str">
        <f aca="false">IF(Rider_Input[[#This Row],[Rider ID]]="","",IFERROR(ABS(INDEX(RLVL_Data,MATCH(Rider_Input[[#This Row],[Rider ID]],INDEX(RLVL_Data,0,c_RLVL_ID),0),c_RLVL_Missed)),0))</f>
        <v/>
      </c>
      <c r="I67" s="155" t="str">
        <f aca="false">IF(Rider_Input[[#This Row],[Rider ID]]="","",IFERROR(ABS(INDEX(RLVL_Data,MATCH(Rider_Input[[#This Row],[Rider ID]],INDEX(RLVL_Data,0,c_RLVL_ID),0),c_RLVL_Bal)),0))</f>
        <v/>
      </c>
      <c r="J67" s="155" t="str">
        <f aca="false">IF(Rider_Input[[#This Row],[Rider ID]]="","",IFERROR(ABS(INDEX(RLVL_Data,MATCH(Rider_Input[[#This Row],[Rider ID]],INDEX(RLVL_Data,0,c_RLVL_ID),0),c_RLVL_Stack)),0))</f>
        <v/>
      </c>
      <c r="K67" s="155" t="str">
        <f aca="false">IF(Rider_Input[[#This Row],[Rider ID]]="","",SUMIFS(Adj_Input[Other Deductions],Adj_Input[Rider ID],Rider_Input[[#This Row],[Rider ID]]))</f>
        <v/>
      </c>
      <c r="L67" s="154" t="str">
        <f aca="false">IF(Rider_Input[[#This Row],[Rider ID]]="","",IFERROR(INDEX(Adj_Input[Note / Reason],MATCH(Rider_Input[[#This Row],[Rider ID]],Adj_Input[Rider ID],0))&amp;"",""))</f>
        <v/>
      </c>
    </row>
    <row r="68" customFormat="false" ht="14.25" hidden="false" customHeight="false" outlineLevel="0" collapsed="false">
      <c r="A68" s="152" t="str">
        <f aca="false">IF(Rider_Input[[#This Row],[Rider ID]]="","",Salary_Month)</f>
        <v/>
      </c>
      <c r="B68" s="153" t="str">
        <f aca="false">IFERROR(IF(INDEX(FTR_Data,ROW()-ROW(Rider_Input[#Headers]),c_FTR_ID)="","",INDEX(FTR_Data,ROW()-ROW(Rider_Input[#Headers]),c_FTR_ID)),"")</f>
        <v/>
      </c>
      <c r="C6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6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68" s="153" t="str">
        <f aca="false">IF(Rider_Input[[#This Row],[Rider ID]]="","",DAY(EOMONTH(Salary_Month,0)))</f>
        <v/>
      </c>
      <c r="F68" s="153" t="str">
        <f aca="false">IF(Rider_Input[[#This Row],[Rider ID]]="","",IFERROR(IF(INDEX(FTR_Data,ROW()-ROW(Rider_Input[#Headers]),c_FTR_WD)="","",INDEX(FTR_Data,ROW()-ROW(Rider_Input[#Headers]),c_FTR_WD)),""))</f>
        <v/>
      </c>
      <c r="G68" s="153" t="str">
        <f aca="false">IF(Rider_Input[[#This Row],[Rider ID]]="","",IFERROR(IF(INDEX(FTR_Data,ROW()-ROW(Rider_Input[#Headers]),c_FTR_Orders)="","",INDEX(FTR_Data,ROW()-ROW(Rider_Input[#Headers]),c_FTR_Orders)),""))</f>
        <v/>
      </c>
      <c r="H68" s="155" t="str">
        <f aca="false">IF(Rider_Input[[#This Row],[Rider ID]]="","",IFERROR(ABS(INDEX(RLVL_Data,MATCH(Rider_Input[[#This Row],[Rider ID]],INDEX(RLVL_Data,0,c_RLVL_ID),0),c_RLVL_Missed)),0))</f>
        <v/>
      </c>
      <c r="I68" s="155" t="str">
        <f aca="false">IF(Rider_Input[[#This Row],[Rider ID]]="","",IFERROR(ABS(INDEX(RLVL_Data,MATCH(Rider_Input[[#This Row],[Rider ID]],INDEX(RLVL_Data,0,c_RLVL_ID),0),c_RLVL_Bal)),0))</f>
        <v/>
      </c>
      <c r="J68" s="155" t="str">
        <f aca="false">IF(Rider_Input[[#This Row],[Rider ID]]="","",IFERROR(ABS(INDEX(RLVL_Data,MATCH(Rider_Input[[#This Row],[Rider ID]],INDEX(RLVL_Data,0,c_RLVL_ID),0),c_RLVL_Stack)),0))</f>
        <v/>
      </c>
      <c r="K68" s="155" t="str">
        <f aca="false">IF(Rider_Input[[#This Row],[Rider ID]]="","",SUMIFS(Adj_Input[Other Deductions],Adj_Input[Rider ID],Rider_Input[[#This Row],[Rider ID]]))</f>
        <v/>
      </c>
      <c r="L68" s="154" t="str">
        <f aca="false">IF(Rider_Input[[#This Row],[Rider ID]]="","",IFERROR(INDEX(Adj_Input[Note / Reason],MATCH(Rider_Input[[#This Row],[Rider ID]],Adj_Input[Rider ID],0))&amp;"",""))</f>
        <v/>
      </c>
    </row>
    <row r="69" customFormat="false" ht="14.25" hidden="false" customHeight="false" outlineLevel="0" collapsed="false">
      <c r="A69" s="152" t="str">
        <f aca="false">IF(Rider_Input[[#This Row],[Rider ID]]="","",Salary_Month)</f>
        <v/>
      </c>
      <c r="B69" s="153" t="str">
        <f aca="false">IFERROR(IF(INDEX(FTR_Data,ROW()-ROW(Rider_Input[#Headers]),c_FTR_ID)="","",INDEX(FTR_Data,ROW()-ROW(Rider_Input[#Headers]),c_FTR_ID)),"")</f>
        <v/>
      </c>
      <c r="C6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6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69" s="153" t="str">
        <f aca="false">IF(Rider_Input[[#This Row],[Rider ID]]="","",DAY(EOMONTH(Salary_Month,0)))</f>
        <v/>
      </c>
      <c r="F69" s="153" t="str">
        <f aca="false">IF(Rider_Input[[#This Row],[Rider ID]]="","",IFERROR(IF(INDEX(FTR_Data,ROW()-ROW(Rider_Input[#Headers]),c_FTR_WD)="","",INDEX(FTR_Data,ROW()-ROW(Rider_Input[#Headers]),c_FTR_WD)),""))</f>
        <v/>
      </c>
      <c r="G69" s="153" t="str">
        <f aca="false">IF(Rider_Input[[#This Row],[Rider ID]]="","",IFERROR(IF(INDEX(FTR_Data,ROW()-ROW(Rider_Input[#Headers]),c_FTR_Orders)="","",INDEX(FTR_Data,ROW()-ROW(Rider_Input[#Headers]),c_FTR_Orders)),""))</f>
        <v/>
      </c>
      <c r="H69" s="155" t="str">
        <f aca="false">IF(Rider_Input[[#This Row],[Rider ID]]="","",IFERROR(ABS(INDEX(RLVL_Data,MATCH(Rider_Input[[#This Row],[Rider ID]],INDEX(RLVL_Data,0,c_RLVL_ID),0),c_RLVL_Missed)),0))</f>
        <v/>
      </c>
      <c r="I69" s="155" t="str">
        <f aca="false">IF(Rider_Input[[#This Row],[Rider ID]]="","",IFERROR(ABS(INDEX(RLVL_Data,MATCH(Rider_Input[[#This Row],[Rider ID]],INDEX(RLVL_Data,0,c_RLVL_ID),0),c_RLVL_Bal)),0))</f>
        <v/>
      </c>
      <c r="J69" s="155" t="str">
        <f aca="false">IF(Rider_Input[[#This Row],[Rider ID]]="","",IFERROR(ABS(INDEX(RLVL_Data,MATCH(Rider_Input[[#This Row],[Rider ID]],INDEX(RLVL_Data,0,c_RLVL_ID),0),c_RLVL_Stack)),0))</f>
        <v/>
      </c>
      <c r="K69" s="155" t="str">
        <f aca="false">IF(Rider_Input[[#This Row],[Rider ID]]="","",SUMIFS(Adj_Input[Other Deductions],Adj_Input[Rider ID],Rider_Input[[#This Row],[Rider ID]]))</f>
        <v/>
      </c>
      <c r="L69" s="154" t="str">
        <f aca="false">IF(Rider_Input[[#This Row],[Rider ID]]="","",IFERROR(INDEX(Adj_Input[Note / Reason],MATCH(Rider_Input[[#This Row],[Rider ID]],Adj_Input[Rider ID],0))&amp;"",""))</f>
        <v/>
      </c>
    </row>
    <row r="70" customFormat="false" ht="14.25" hidden="false" customHeight="false" outlineLevel="0" collapsed="false">
      <c r="A70" s="152" t="str">
        <f aca="false">IF(Rider_Input[[#This Row],[Rider ID]]="","",Salary_Month)</f>
        <v/>
      </c>
      <c r="B70" s="153" t="str">
        <f aca="false">IFERROR(IF(INDEX(FTR_Data,ROW()-ROW(Rider_Input[#Headers]),c_FTR_ID)="","",INDEX(FTR_Data,ROW()-ROW(Rider_Input[#Headers]),c_FTR_ID)),"")</f>
        <v/>
      </c>
      <c r="C7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7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70" s="153" t="str">
        <f aca="false">IF(Rider_Input[[#This Row],[Rider ID]]="","",DAY(EOMONTH(Salary_Month,0)))</f>
        <v/>
      </c>
      <c r="F70" s="153" t="str">
        <f aca="false">IF(Rider_Input[[#This Row],[Rider ID]]="","",IFERROR(IF(INDEX(FTR_Data,ROW()-ROW(Rider_Input[#Headers]),c_FTR_WD)="","",INDEX(FTR_Data,ROW()-ROW(Rider_Input[#Headers]),c_FTR_WD)),""))</f>
        <v/>
      </c>
      <c r="G70" s="153" t="str">
        <f aca="false">IF(Rider_Input[[#This Row],[Rider ID]]="","",IFERROR(IF(INDEX(FTR_Data,ROW()-ROW(Rider_Input[#Headers]),c_FTR_Orders)="","",INDEX(FTR_Data,ROW()-ROW(Rider_Input[#Headers]),c_FTR_Orders)),""))</f>
        <v/>
      </c>
      <c r="H70" s="155" t="str">
        <f aca="false">IF(Rider_Input[[#This Row],[Rider ID]]="","",IFERROR(ABS(INDEX(RLVL_Data,MATCH(Rider_Input[[#This Row],[Rider ID]],INDEX(RLVL_Data,0,c_RLVL_ID),0),c_RLVL_Missed)),0))</f>
        <v/>
      </c>
      <c r="I70" s="155" t="str">
        <f aca="false">IF(Rider_Input[[#This Row],[Rider ID]]="","",IFERROR(ABS(INDEX(RLVL_Data,MATCH(Rider_Input[[#This Row],[Rider ID]],INDEX(RLVL_Data,0,c_RLVL_ID),0),c_RLVL_Bal)),0))</f>
        <v/>
      </c>
      <c r="J70" s="155" t="str">
        <f aca="false">IF(Rider_Input[[#This Row],[Rider ID]]="","",IFERROR(ABS(INDEX(RLVL_Data,MATCH(Rider_Input[[#This Row],[Rider ID]],INDEX(RLVL_Data,0,c_RLVL_ID),0),c_RLVL_Stack)),0))</f>
        <v/>
      </c>
      <c r="K70" s="155" t="str">
        <f aca="false">IF(Rider_Input[[#This Row],[Rider ID]]="","",SUMIFS(Adj_Input[Other Deductions],Adj_Input[Rider ID],Rider_Input[[#This Row],[Rider ID]]))</f>
        <v/>
      </c>
      <c r="L70" s="154" t="str">
        <f aca="false">IF(Rider_Input[[#This Row],[Rider ID]]="","",IFERROR(INDEX(Adj_Input[Note / Reason],MATCH(Rider_Input[[#This Row],[Rider ID]],Adj_Input[Rider ID],0))&amp;"",""))</f>
        <v/>
      </c>
    </row>
    <row r="71" customFormat="false" ht="14.25" hidden="false" customHeight="false" outlineLevel="0" collapsed="false">
      <c r="A71" s="152" t="str">
        <f aca="false">IF(Rider_Input[[#This Row],[Rider ID]]="","",Salary_Month)</f>
        <v/>
      </c>
      <c r="B71" s="153" t="str">
        <f aca="false">IFERROR(IF(INDEX(FTR_Data,ROW()-ROW(Rider_Input[#Headers]),c_FTR_ID)="","",INDEX(FTR_Data,ROW()-ROW(Rider_Input[#Headers]),c_FTR_ID)),"")</f>
        <v/>
      </c>
      <c r="C7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7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71" s="153" t="str">
        <f aca="false">IF(Rider_Input[[#This Row],[Rider ID]]="","",DAY(EOMONTH(Salary_Month,0)))</f>
        <v/>
      </c>
      <c r="F71" s="153" t="str">
        <f aca="false">IF(Rider_Input[[#This Row],[Rider ID]]="","",IFERROR(IF(INDEX(FTR_Data,ROW()-ROW(Rider_Input[#Headers]),c_FTR_WD)="","",INDEX(FTR_Data,ROW()-ROW(Rider_Input[#Headers]),c_FTR_WD)),""))</f>
        <v/>
      </c>
      <c r="G71" s="153" t="str">
        <f aca="false">IF(Rider_Input[[#This Row],[Rider ID]]="","",IFERROR(IF(INDEX(FTR_Data,ROW()-ROW(Rider_Input[#Headers]),c_FTR_Orders)="","",INDEX(FTR_Data,ROW()-ROW(Rider_Input[#Headers]),c_FTR_Orders)),""))</f>
        <v/>
      </c>
      <c r="H71" s="155" t="str">
        <f aca="false">IF(Rider_Input[[#This Row],[Rider ID]]="","",IFERROR(ABS(INDEX(RLVL_Data,MATCH(Rider_Input[[#This Row],[Rider ID]],INDEX(RLVL_Data,0,c_RLVL_ID),0),c_RLVL_Missed)),0))</f>
        <v/>
      </c>
      <c r="I71" s="155" t="str">
        <f aca="false">IF(Rider_Input[[#This Row],[Rider ID]]="","",IFERROR(ABS(INDEX(RLVL_Data,MATCH(Rider_Input[[#This Row],[Rider ID]],INDEX(RLVL_Data,0,c_RLVL_ID),0),c_RLVL_Bal)),0))</f>
        <v/>
      </c>
      <c r="J71" s="155" t="str">
        <f aca="false">IF(Rider_Input[[#This Row],[Rider ID]]="","",IFERROR(ABS(INDEX(RLVL_Data,MATCH(Rider_Input[[#This Row],[Rider ID]],INDEX(RLVL_Data,0,c_RLVL_ID),0),c_RLVL_Stack)),0))</f>
        <v/>
      </c>
      <c r="K71" s="155" t="str">
        <f aca="false">IF(Rider_Input[[#This Row],[Rider ID]]="","",SUMIFS(Adj_Input[Other Deductions],Adj_Input[Rider ID],Rider_Input[[#This Row],[Rider ID]]))</f>
        <v/>
      </c>
      <c r="L71" s="154" t="str">
        <f aca="false">IF(Rider_Input[[#This Row],[Rider ID]]="","",IFERROR(INDEX(Adj_Input[Note / Reason],MATCH(Rider_Input[[#This Row],[Rider ID]],Adj_Input[Rider ID],0))&amp;"",""))</f>
        <v/>
      </c>
    </row>
    <row r="72" customFormat="false" ht="14.25" hidden="false" customHeight="false" outlineLevel="0" collapsed="false">
      <c r="A72" s="152" t="str">
        <f aca="false">IF(Rider_Input[[#This Row],[Rider ID]]="","",Salary_Month)</f>
        <v/>
      </c>
      <c r="B72" s="153" t="str">
        <f aca="false">IFERROR(IF(INDEX(FTR_Data,ROW()-ROW(Rider_Input[#Headers]),c_FTR_ID)="","",INDEX(FTR_Data,ROW()-ROW(Rider_Input[#Headers]),c_FTR_ID)),"")</f>
        <v/>
      </c>
      <c r="C7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7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72" s="153" t="str">
        <f aca="false">IF(Rider_Input[[#This Row],[Rider ID]]="","",DAY(EOMONTH(Salary_Month,0)))</f>
        <v/>
      </c>
      <c r="F72" s="153" t="str">
        <f aca="false">IF(Rider_Input[[#This Row],[Rider ID]]="","",IFERROR(IF(INDEX(FTR_Data,ROW()-ROW(Rider_Input[#Headers]),c_FTR_WD)="","",INDEX(FTR_Data,ROW()-ROW(Rider_Input[#Headers]),c_FTR_WD)),""))</f>
        <v/>
      </c>
      <c r="G72" s="153" t="str">
        <f aca="false">IF(Rider_Input[[#This Row],[Rider ID]]="","",IFERROR(IF(INDEX(FTR_Data,ROW()-ROW(Rider_Input[#Headers]),c_FTR_Orders)="","",INDEX(FTR_Data,ROW()-ROW(Rider_Input[#Headers]),c_FTR_Orders)),""))</f>
        <v/>
      </c>
      <c r="H72" s="155" t="str">
        <f aca="false">IF(Rider_Input[[#This Row],[Rider ID]]="","",IFERROR(ABS(INDEX(RLVL_Data,MATCH(Rider_Input[[#This Row],[Rider ID]],INDEX(RLVL_Data,0,c_RLVL_ID),0),c_RLVL_Missed)),0))</f>
        <v/>
      </c>
      <c r="I72" s="155" t="str">
        <f aca="false">IF(Rider_Input[[#This Row],[Rider ID]]="","",IFERROR(ABS(INDEX(RLVL_Data,MATCH(Rider_Input[[#This Row],[Rider ID]],INDEX(RLVL_Data,0,c_RLVL_ID),0),c_RLVL_Bal)),0))</f>
        <v/>
      </c>
      <c r="J72" s="155" t="str">
        <f aca="false">IF(Rider_Input[[#This Row],[Rider ID]]="","",IFERROR(ABS(INDEX(RLVL_Data,MATCH(Rider_Input[[#This Row],[Rider ID]],INDEX(RLVL_Data,0,c_RLVL_ID),0),c_RLVL_Stack)),0))</f>
        <v/>
      </c>
      <c r="K72" s="155" t="str">
        <f aca="false">IF(Rider_Input[[#This Row],[Rider ID]]="","",SUMIFS(Adj_Input[Other Deductions],Adj_Input[Rider ID],Rider_Input[[#This Row],[Rider ID]]))</f>
        <v/>
      </c>
      <c r="L72" s="154" t="str">
        <f aca="false">IF(Rider_Input[[#This Row],[Rider ID]]="","",IFERROR(INDEX(Adj_Input[Note / Reason],MATCH(Rider_Input[[#This Row],[Rider ID]],Adj_Input[Rider ID],0))&amp;"",""))</f>
        <v/>
      </c>
    </row>
    <row r="73" customFormat="false" ht="14.25" hidden="false" customHeight="false" outlineLevel="0" collapsed="false">
      <c r="A73" s="152" t="str">
        <f aca="false">IF(Rider_Input[[#This Row],[Rider ID]]="","",Salary_Month)</f>
        <v/>
      </c>
      <c r="B73" s="153" t="str">
        <f aca="false">IFERROR(IF(INDEX(FTR_Data,ROW()-ROW(Rider_Input[#Headers]),c_FTR_ID)="","",INDEX(FTR_Data,ROW()-ROW(Rider_Input[#Headers]),c_FTR_ID)),"")</f>
        <v/>
      </c>
      <c r="C7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7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73" s="153" t="str">
        <f aca="false">IF(Rider_Input[[#This Row],[Rider ID]]="","",DAY(EOMONTH(Salary_Month,0)))</f>
        <v/>
      </c>
      <c r="F73" s="153" t="str">
        <f aca="false">IF(Rider_Input[[#This Row],[Rider ID]]="","",IFERROR(IF(INDEX(FTR_Data,ROW()-ROW(Rider_Input[#Headers]),c_FTR_WD)="","",INDEX(FTR_Data,ROW()-ROW(Rider_Input[#Headers]),c_FTR_WD)),""))</f>
        <v/>
      </c>
      <c r="G73" s="153" t="str">
        <f aca="false">IF(Rider_Input[[#This Row],[Rider ID]]="","",IFERROR(IF(INDEX(FTR_Data,ROW()-ROW(Rider_Input[#Headers]),c_FTR_Orders)="","",INDEX(FTR_Data,ROW()-ROW(Rider_Input[#Headers]),c_FTR_Orders)),""))</f>
        <v/>
      </c>
      <c r="H73" s="155" t="str">
        <f aca="false">IF(Rider_Input[[#This Row],[Rider ID]]="","",IFERROR(ABS(INDEX(RLVL_Data,MATCH(Rider_Input[[#This Row],[Rider ID]],INDEX(RLVL_Data,0,c_RLVL_ID),0),c_RLVL_Missed)),0))</f>
        <v/>
      </c>
      <c r="I73" s="155" t="str">
        <f aca="false">IF(Rider_Input[[#This Row],[Rider ID]]="","",IFERROR(ABS(INDEX(RLVL_Data,MATCH(Rider_Input[[#This Row],[Rider ID]],INDEX(RLVL_Data,0,c_RLVL_ID),0),c_RLVL_Bal)),0))</f>
        <v/>
      </c>
      <c r="J73" s="155" t="str">
        <f aca="false">IF(Rider_Input[[#This Row],[Rider ID]]="","",IFERROR(ABS(INDEX(RLVL_Data,MATCH(Rider_Input[[#This Row],[Rider ID]],INDEX(RLVL_Data,0,c_RLVL_ID),0),c_RLVL_Stack)),0))</f>
        <v/>
      </c>
      <c r="K73" s="155" t="str">
        <f aca="false">IF(Rider_Input[[#This Row],[Rider ID]]="","",SUMIFS(Adj_Input[Other Deductions],Adj_Input[Rider ID],Rider_Input[[#This Row],[Rider ID]]))</f>
        <v/>
      </c>
      <c r="L73" s="154" t="str">
        <f aca="false">IF(Rider_Input[[#This Row],[Rider ID]]="","",IFERROR(INDEX(Adj_Input[Note / Reason],MATCH(Rider_Input[[#This Row],[Rider ID]],Adj_Input[Rider ID],0))&amp;"",""))</f>
        <v/>
      </c>
    </row>
    <row r="74" customFormat="false" ht="14.25" hidden="false" customHeight="false" outlineLevel="0" collapsed="false">
      <c r="A74" s="152" t="str">
        <f aca="false">IF(Rider_Input[[#This Row],[Rider ID]]="","",Salary_Month)</f>
        <v/>
      </c>
      <c r="B74" s="153" t="str">
        <f aca="false">IFERROR(IF(INDEX(FTR_Data,ROW()-ROW(Rider_Input[#Headers]),c_FTR_ID)="","",INDEX(FTR_Data,ROW()-ROW(Rider_Input[#Headers]),c_FTR_ID)),"")</f>
        <v/>
      </c>
      <c r="C7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7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74" s="153" t="str">
        <f aca="false">IF(Rider_Input[[#This Row],[Rider ID]]="","",DAY(EOMONTH(Salary_Month,0)))</f>
        <v/>
      </c>
      <c r="F74" s="153" t="str">
        <f aca="false">IF(Rider_Input[[#This Row],[Rider ID]]="","",IFERROR(IF(INDEX(FTR_Data,ROW()-ROW(Rider_Input[#Headers]),c_FTR_WD)="","",INDEX(FTR_Data,ROW()-ROW(Rider_Input[#Headers]),c_FTR_WD)),""))</f>
        <v/>
      </c>
      <c r="G74" s="153" t="str">
        <f aca="false">IF(Rider_Input[[#This Row],[Rider ID]]="","",IFERROR(IF(INDEX(FTR_Data,ROW()-ROW(Rider_Input[#Headers]),c_FTR_Orders)="","",INDEX(FTR_Data,ROW()-ROW(Rider_Input[#Headers]),c_FTR_Orders)),""))</f>
        <v/>
      </c>
      <c r="H74" s="155" t="str">
        <f aca="false">IF(Rider_Input[[#This Row],[Rider ID]]="","",IFERROR(ABS(INDEX(RLVL_Data,MATCH(Rider_Input[[#This Row],[Rider ID]],INDEX(RLVL_Data,0,c_RLVL_ID),0),c_RLVL_Missed)),0))</f>
        <v/>
      </c>
      <c r="I74" s="155" t="str">
        <f aca="false">IF(Rider_Input[[#This Row],[Rider ID]]="","",IFERROR(ABS(INDEX(RLVL_Data,MATCH(Rider_Input[[#This Row],[Rider ID]],INDEX(RLVL_Data,0,c_RLVL_ID),0),c_RLVL_Bal)),0))</f>
        <v/>
      </c>
      <c r="J74" s="155" t="str">
        <f aca="false">IF(Rider_Input[[#This Row],[Rider ID]]="","",IFERROR(ABS(INDEX(RLVL_Data,MATCH(Rider_Input[[#This Row],[Rider ID]],INDEX(RLVL_Data,0,c_RLVL_ID),0),c_RLVL_Stack)),0))</f>
        <v/>
      </c>
      <c r="K74" s="155" t="str">
        <f aca="false">IF(Rider_Input[[#This Row],[Rider ID]]="","",SUMIFS(Adj_Input[Other Deductions],Adj_Input[Rider ID],Rider_Input[[#This Row],[Rider ID]]))</f>
        <v/>
      </c>
      <c r="L74" s="154" t="str">
        <f aca="false">IF(Rider_Input[[#This Row],[Rider ID]]="","",IFERROR(INDEX(Adj_Input[Note / Reason],MATCH(Rider_Input[[#This Row],[Rider ID]],Adj_Input[Rider ID],0))&amp;"",""))</f>
        <v/>
      </c>
    </row>
    <row r="75" customFormat="false" ht="14.25" hidden="false" customHeight="false" outlineLevel="0" collapsed="false">
      <c r="A75" s="152" t="str">
        <f aca="false">IF(Rider_Input[[#This Row],[Rider ID]]="","",Salary_Month)</f>
        <v/>
      </c>
      <c r="B75" s="153" t="str">
        <f aca="false">IFERROR(IF(INDEX(FTR_Data,ROW()-ROW(Rider_Input[#Headers]),c_FTR_ID)="","",INDEX(FTR_Data,ROW()-ROW(Rider_Input[#Headers]),c_FTR_ID)),"")</f>
        <v/>
      </c>
      <c r="C7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7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75" s="153" t="str">
        <f aca="false">IF(Rider_Input[[#This Row],[Rider ID]]="","",DAY(EOMONTH(Salary_Month,0)))</f>
        <v/>
      </c>
      <c r="F75" s="153" t="str">
        <f aca="false">IF(Rider_Input[[#This Row],[Rider ID]]="","",IFERROR(IF(INDEX(FTR_Data,ROW()-ROW(Rider_Input[#Headers]),c_FTR_WD)="","",INDEX(FTR_Data,ROW()-ROW(Rider_Input[#Headers]),c_FTR_WD)),""))</f>
        <v/>
      </c>
      <c r="G75" s="153" t="str">
        <f aca="false">IF(Rider_Input[[#This Row],[Rider ID]]="","",IFERROR(IF(INDEX(FTR_Data,ROW()-ROW(Rider_Input[#Headers]),c_FTR_Orders)="","",INDEX(FTR_Data,ROW()-ROW(Rider_Input[#Headers]),c_FTR_Orders)),""))</f>
        <v/>
      </c>
      <c r="H75" s="155" t="str">
        <f aca="false">IF(Rider_Input[[#This Row],[Rider ID]]="","",IFERROR(ABS(INDEX(RLVL_Data,MATCH(Rider_Input[[#This Row],[Rider ID]],INDEX(RLVL_Data,0,c_RLVL_ID),0),c_RLVL_Missed)),0))</f>
        <v/>
      </c>
      <c r="I75" s="155" t="str">
        <f aca="false">IF(Rider_Input[[#This Row],[Rider ID]]="","",IFERROR(ABS(INDEX(RLVL_Data,MATCH(Rider_Input[[#This Row],[Rider ID]],INDEX(RLVL_Data,0,c_RLVL_ID),0),c_RLVL_Bal)),0))</f>
        <v/>
      </c>
      <c r="J75" s="155" t="str">
        <f aca="false">IF(Rider_Input[[#This Row],[Rider ID]]="","",IFERROR(ABS(INDEX(RLVL_Data,MATCH(Rider_Input[[#This Row],[Rider ID]],INDEX(RLVL_Data,0,c_RLVL_ID),0),c_RLVL_Stack)),0))</f>
        <v/>
      </c>
      <c r="K75" s="155" t="str">
        <f aca="false">IF(Rider_Input[[#This Row],[Rider ID]]="","",SUMIFS(Adj_Input[Other Deductions],Adj_Input[Rider ID],Rider_Input[[#This Row],[Rider ID]]))</f>
        <v/>
      </c>
      <c r="L75" s="154" t="str">
        <f aca="false">IF(Rider_Input[[#This Row],[Rider ID]]="","",IFERROR(INDEX(Adj_Input[Note / Reason],MATCH(Rider_Input[[#This Row],[Rider ID]],Adj_Input[Rider ID],0))&amp;"",""))</f>
        <v/>
      </c>
    </row>
    <row r="76" customFormat="false" ht="14.25" hidden="false" customHeight="false" outlineLevel="0" collapsed="false">
      <c r="A76" s="152" t="str">
        <f aca="false">IF(Rider_Input[[#This Row],[Rider ID]]="","",Salary_Month)</f>
        <v/>
      </c>
      <c r="B76" s="153" t="str">
        <f aca="false">IFERROR(IF(INDEX(FTR_Data,ROW()-ROW(Rider_Input[#Headers]),c_FTR_ID)="","",INDEX(FTR_Data,ROW()-ROW(Rider_Input[#Headers]),c_FTR_ID)),"")</f>
        <v/>
      </c>
      <c r="C7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7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76" s="153" t="str">
        <f aca="false">IF(Rider_Input[[#This Row],[Rider ID]]="","",DAY(EOMONTH(Salary_Month,0)))</f>
        <v/>
      </c>
      <c r="F76" s="153" t="str">
        <f aca="false">IF(Rider_Input[[#This Row],[Rider ID]]="","",IFERROR(IF(INDEX(FTR_Data,ROW()-ROW(Rider_Input[#Headers]),c_FTR_WD)="","",INDEX(FTR_Data,ROW()-ROW(Rider_Input[#Headers]),c_FTR_WD)),""))</f>
        <v/>
      </c>
      <c r="G76" s="153" t="str">
        <f aca="false">IF(Rider_Input[[#This Row],[Rider ID]]="","",IFERROR(IF(INDEX(FTR_Data,ROW()-ROW(Rider_Input[#Headers]),c_FTR_Orders)="","",INDEX(FTR_Data,ROW()-ROW(Rider_Input[#Headers]),c_FTR_Orders)),""))</f>
        <v/>
      </c>
      <c r="H76" s="155" t="str">
        <f aca="false">IF(Rider_Input[[#This Row],[Rider ID]]="","",IFERROR(ABS(INDEX(RLVL_Data,MATCH(Rider_Input[[#This Row],[Rider ID]],INDEX(RLVL_Data,0,c_RLVL_ID),0),c_RLVL_Missed)),0))</f>
        <v/>
      </c>
      <c r="I76" s="155" t="str">
        <f aca="false">IF(Rider_Input[[#This Row],[Rider ID]]="","",IFERROR(ABS(INDEX(RLVL_Data,MATCH(Rider_Input[[#This Row],[Rider ID]],INDEX(RLVL_Data,0,c_RLVL_ID),0),c_RLVL_Bal)),0))</f>
        <v/>
      </c>
      <c r="J76" s="155" t="str">
        <f aca="false">IF(Rider_Input[[#This Row],[Rider ID]]="","",IFERROR(ABS(INDEX(RLVL_Data,MATCH(Rider_Input[[#This Row],[Rider ID]],INDEX(RLVL_Data,0,c_RLVL_ID),0),c_RLVL_Stack)),0))</f>
        <v/>
      </c>
      <c r="K76" s="155" t="str">
        <f aca="false">IF(Rider_Input[[#This Row],[Rider ID]]="","",SUMIFS(Adj_Input[Other Deductions],Adj_Input[Rider ID],Rider_Input[[#This Row],[Rider ID]]))</f>
        <v/>
      </c>
      <c r="L76" s="154" t="str">
        <f aca="false">IF(Rider_Input[[#This Row],[Rider ID]]="","",IFERROR(INDEX(Adj_Input[Note / Reason],MATCH(Rider_Input[[#This Row],[Rider ID]],Adj_Input[Rider ID],0))&amp;"",""))</f>
        <v/>
      </c>
    </row>
    <row r="77" customFormat="false" ht="14.25" hidden="false" customHeight="false" outlineLevel="0" collapsed="false">
      <c r="A77" s="152" t="str">
        <f aca="false">IF(Rider_Input[[#This Row],[Rider ID]]="","",Salary_Month)</f>
        <v/>
      </c>
      <c r="B77" s="153" t="str">
        <f aca="false">IFERROR(IF(INDEX(FTR_Data,ROW()-ROW(Rider_Input[#Headers]),c_FTR_ID)="","",INDEX(FTR_Data,ROW()-ROW(Rider_Input[#Headers]),c_FTR_ID)),"")</f>
        <v/>
      </c>
      <c r="C7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7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77" s="153" t="str">
        <f aca="false">IF(Rider_Input[[#This Row],[Rider ID]]="","",DAY(EOMONTH(Salary_Month,0)))</f>
        <v/>
      </c>
      <c r="F77" s="153" t="str">
        <f aca="false">IF(Rider_Input[[#This Row],[Rider ID]]="","",IFERROR(IF(INDEX(FTR_Data,ROW()-ROW(Rider_Input[#Headers]),c_FTR_WD)="","",INDEX(FTR_Data,ROW()-ROW(Rider_Input[#Headers]),c_FTR_WD)),""))</f>
        <v/>
      </c>
      <c r="G77" s="153" t="str">
        <f aca="false">IF(Rider_Input[[#This Row],[Rider ID]]="","",IFERROR(IF(INDEX(FTR_Data,ROW()-ROW(Rider_Input[#Headers]),c_FTR_Orders)="","",INDEX(FTR_Data,ROW()-ROW(Rider_Input[#Headers]),c_FTR_Orders)),""))</f>
        <v/>
      </c>
      <c r="H77" s="155" t="str">
        <f aca="false">IF(Rider_Input[[#This Row],[Rider ID]]="","",IFERROR(ABS(INDEX(RLVL_Data,MATCH(Rider_Input[[#This Row],[Rider ID]],INDEX(RLVL_Data,0,c_RLVL_ID),0),c_RLVL_Missed)),0))</f>
        <v/>
      </c>
      <c r="I77" s="155" t="str">
        <f aca="false">IF(Rider_Input[[#This Row],[Rider ID]]="","",IFERROR(ABS(INDEX(RLVL_Data,MATCH(Rider_Input[[#This Row],[Rider ID]],INDEX(RLVL_Data,0,c_RLVL_ID),0),c_RLVL_Bal)),0))</f>
        <v/>
      </c>
      <c r="J77" s="155" t="str">
        <f aca="false">IF(Rider_Input[[#This Row],[Rider ID]]="","",IFERROR(ABS(INDEX(RLVL_Data,MATCH(Rider_Input[[#This Row],[Rider ID]],INDEX(RLVL_Data,0,c_RLVL_ID),0),c_RLVL_Stack)),0))</f>
        <v/>
      </c>
      <c r="K77" s="155" t="str">
        <f aca="false">IF(Rider_Input[[#This Row],[Rider ID]]="","",SUMIFS(Adj_Input[Other Deductions],Adj_Input[Rider ID],Rider_Input[[#This Row],[Rider ID]]))</f>
        <v/>
      </c>
      <c r="L77" s="154" t="str">
        <f aca="false">IF(Rider_Input[[#This Row],[Rider ID]]="","",IFERROR(INDEX(Adj_Input[Note / Reason],MATCH(Rider_Input[[#This Row],[Rider ID]],Adj_Input[Rider ID],0))&amp;"",""))</f>
        <v/>
      </c>
    </row>
    <row r="78" customFormat="false" ht="14.25" hidden="false" customHeight="false" outlineLevel="0" collapsed="false">
      <c r="A78" s="152" t="str">
        <f aca="false">IF(Rider_Input[[#This Row],[Rider ID]]="","",Salary_Month)</f>
        <v/>
      </c>
      <c r="B78" s="153" t="str">
        <f aca="false">IFERROR(IF(INDEX(FTR_Data,ROW()-ROW(Rider_Input[#Headers]),c_FTR_ID)="","",INDEX(FTR_Data,ROW()-ROW(Rider_Input[#Headers]),c_FTR_ID)),"")</f>
        <v/>
      </c>
      <c r="C7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7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78" s="153" t="str">
        <f aca="false">IF(Rider_Input[[#This Row],[Rider ID]]="","",DAY(EOMONTH(Salary_Month,0)))</f>
        <v/>
      </c>
      <c r="F78" s="153" t="str">
        <f aca="false">IF(Rider_Input[[#This Row],[Rider ID]]="","",IFERROR(IF(INDEX(FTR_Data,ROW()-ROW(Rider_Input[#Headers]),c_FTR_WD)="","",INDEX(FTR_Data,ROW()-ROW(Rider_Input[#Headers]),c_FTR_WD)),""))</f>
        <v/>
      </c>
      <c r="G78" s="153" t="str">
        <f aca="false">IF(Rider_Input[[#This Row],[Rider ID]]="","",IFERROR(IF(INDEX(FTR_Data,ROW()-ROW(Rider_Input[#Headers]),c_FTR_Orders)="","",INDEX(FTR_Data,ROW()-ROW(Rider_Input[#Headers]),c_FTR_Orders)),""))</f>
        <v/>
      </c>
      <c r="H78" s="155" t="str">
        <f aca="false">IF(Rider_Input[[#This Row],[Rider ID]]="","",IFERROR(ABS(INDEX(RLVL_Data,MATCH(Rider_Input[[#This Row],[Rider ID]],INDEX(RLVL_Data,0,c_RLVL_ID),0),c_RLVL_Missed)),0))</f>
        <v/>
      </c>
      <c r="I78" s="155" t="str">
        <f aca="false">IF(Rider_Input[[#This Row],[Rider ID]]="","",IFERROR(ABS(INDEX(RLVL_Data,MATCH(Rider_Input[[#This Row],[Rider ID]],INDEX(RLVL_Data,0,c_RLVL_ID),0),c_RLVL_Bal)),0))</f>
        <v/>
      </c>
      <c r="J78" s="155" t="str">
        <f aca="false">IF(Rider_Input[[#This Row],[Rider ID]]="","",IFERROR(ABS(INDEX(RLVL_Data,MATCH(Rider_Input[[#This Row],[Rider ID]],INDEX(RLVL_Data,0,c_RLVL_ID),0),c_RLVL_Stack)),0))</f>
        <v/>
      </c>
      <c r="K78" s="155" t="str">
        <f aca="false">IF(Rider_Input[[#This Row],[Rider ID]]="","",SUMIFS(Adj_Input[Other Deductions],Adj_Input[Rider ID],Rider_Input[[#This Row],[Rider ID]]))</f>
        <v/>
      </c>
      <c r="L78" s="154" t="str">
        <f aca="false">IF(Rider_Input[[#This Row],[Rider ID]]="","",IFERROR(INDEX(Adj_Input[Note / Reason],MATCH(Rider_Input[[#This Row],[Rider ID]],Adj_Input[Rider ID],0))&amp;"",""))</f>
        <v/>
      </c>
    </row>
    <row r="79" customFormat="false" ht="14.25" hidden="false" customHeight="false" outlineLevel="0" collapsed="false">
      <c r="A79" s="152" t="str">
        <f aca="false">IF(Rider_Input[[#This Row],[Rider ID]]="","",Salary_Month)</f>
        <v/>
      </c>
      <c r="B79" s="153" t="str">
        <f aca="false">IFERROR(IF(INDEX(FTR_Data,ROW()-ROW(Rider_Input[#Headers]),c_FTR_ID)="","",INDEX(FTR_Data,ROW()-ROW(Rider_Input[#Headers]),c_FTR_ID)),"")</f>
        <v/>
      </c>
      <c r="C7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7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79" s="153" t="str">
        <f aca="false">IF(Rider_Input[[#This Row],[Rider ID]]="","",DAY(EOMONTH(Salary_Month,0)))</f>
        <v/>
      </c>
      <c r="F79" s="153" t="str">
        <f aca="false">IF(Rider_Input[[#This Row],[Rider ID]]="","",IFERROR(IF(INDEX(FTR_Data,ROW()-ROW(Rider_Input[#Headers]),c_FTR_WD)="","",INDEX(FTR_Data,ROW()-ROW(Rider_Input[#Headers]),c_FTR_WD)),""))</f>
        <v/>
      </c>
      <c r="G79" s="153" t="str">
        <f aca="false">IF(Rider_Input[[#This Row],[Rider ID]]="","",IFERROR(IF(INDEX(FTR_Data,ROW()-ROW(Rider_Input[#Headers]),c_FTR_Orders)="","",INDEX(FTR_Data,ROW()-ROW(Rider_Input[#Headers]),c_FTR_Orders)),""))</f>
        <v/>
      </c>
      <c r="H79" s="155" t="str">
        <f aca="false">IF(Rider_Input[[#This Row],[Rider ID]]="","",IFERROR(ABS(INDEX(RLVL_Data,MATCH(Rider_Input[[#This Row],[Rider ID]],INDEX(RLVL_Data,0,c_RLVL_ID),0),c_RLVL_Missed)),0))</f>
        <v/>
      </c>
      <c r="I79" s="155" t="str">
        <f aca="false">IF(Rider_Input[[#This Row],[Rider ID]]="","",IFERROR(ABS(INDEX(RLVL_Data,MATCH(Rider_Input[[#This Row],[Rider ID]],INDEX(RLVL_Data,0,c_RLVL_ID),0),c_RLVL_Bal)),0))</f>
        <v/>
      </c>
      <c r="J79" s="155" t="str">
        <f aca="false">IF(Rider_Input[[#This Row],[Rider ID]]="","",IFERROR(ABS(INDEX(RLVL_Data,MATCH(Rider_Input[[#This Row],[Rider ID]],INDEX(RLVL_Data,0,c_RLVL_ID),0),c_RLVL_Stack)),0))</f>
        <v/>
      </c>
      <c r="K79" s="155" t="str">
        <f aca="false">IF(Rider_Input[[#This Row],[Rider ID]]="","",SUMIFS(Adj_Input[Other Deductions],Adj_Input[Rider ID],Rider_Input[[#This Row],[Rider ID]]))</f>
        <v/>
      </c>
      <c r="L79" s="154" t="str">
        <f aca="false">IF(Rider_Input[[#This Row],[Rider ID]]="","",IFERROR(INDEX(Adj_Input[Note / Reason],MATCH(Rider_Input[[#This Row],[Rider ID]],Adj_Input[Rider ID],0))&amp;"",""))</f>
        <v/>
      </c>
    </row>
    <row r="80" customFormat="false" ht="14.25" hidden="false" customHeight="false" outlineLevel="0" collapsed="false">
      <c r="A80" s="152" t="str">
        <f aca="false">IF(Rider_Input[[#This Row],[Rider ID]]="","",Salary_Month)</f>
        <v/>
      </c>
      <c r="B80" s="153" t="str">
        <f aca="false">IFERROR(IF(INDEX(FTR_Data,ROW()-ROW(Rider_Input[#Headers]),c_FTR_ID)="","",INDEX(FTR_Data,ROW()-ROW(Rider_Input[#Headers]),c_FTR_ID)),"")</f>
        <v/>
      </c>
      <c r="C8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8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80" s="153" t="str">
        <f aca="false">IF(Rider_Input[[#This Row],[Rider ID]]="","",DAY(EOMONTH(Salary_Month,0)))</f>
        <v/>
      </c>
      <c r="F80" s="153" t="str">
        <f aca="false">IF(Rider_Input[[#This Row],[Rider ID]]="","",IFERROR(IF(INDEX(FTR_Data,ROW()-ROW(Rider_Input[#Headers]),c_FTR_WD)="","",INDEX(FTR_Data,ROW()-ROW(Rider_Input[#Headers]),c_FTR_WD)),""))</f>
        <v/>
      </c>
      <c r="G80" s="153" t="str">
        <f aca="false">IF(Rider_Input[[#This Row],[Rider ID]]="","",IFERROR(IF(INDEX(FTR_Data,ROW()-ROW(Rider_Input[#Headers]),c_FTR_Orders)="","",INDEX(FTR_Data,ROW()-ROW(Rider_Input[#Headers]),c_FTR_Orders)),""))</f>
        <v/>
      </c>
      <c r="H80" s="155" t="str">
        <f aca="false">IF(Rider_Input[[#This Row],[Rider ID]]="","",IFERROR(ABS(INDEX(RLVL_Data,MATCH(Rider_Input[[#This Row],[Rider ID]],INDEX(RLVL_Data,0,c_RLVL_ID),0),c_RLVL_Missed)),0))</f>
        <v/>
      </c>
      <c r="I80" s="155" t="str">
        <f aca="false">IF(Rider_Input[[#This Row],[Rider ID]]="","",IFERROR(ABS(INDEX(RLVL_Data,MATCH(Rider_Input[[#This Row],[Rider ID]],INDEX(RLVL_Data,0,c_RLVL_ID),0),c_RLVL_Bal)),0))</f>
        <v/>
      </c>
      <c r="J80" s="155" t="str">
        <f aca="false">IF(Rider_Input[[#This Row],[Rider ID]]="","",IFERROR(ABS(INDEX(RLVL_Data,MATCH(Rider_Input[[#This Row],[Rider ID]],INDEX(RLVL_Data,0,c_RLVL_ID),0),c_RLVL_Stack)),0))</f>
        <v/>
      </c>
      <c r="K80" s="155" t="str">
        <f aca="false">IF(Rider_Input[[#This Row],[Rider ID]]="","",SUMIFS(Adj_Input[Other Deductions],Adj_Input[Rider ID],Rider_Input[[#This Row],[Rider ID]]))</f>
        <v/>
      </c>
      <c r="L80" s="154" t="str">
        <f aca="false">IF(Rider_Input[[#This Row],[Rider ID]]="","",IFERROR(INDEX(Adj_Input[Note / Reason],MATCH(Rider_Input[[#This Row],[Rider ID]],Adj_Input[Rider ID],0))&amp;"",""))</f>
        <v/>
      </c>
    </row>
    <row r="81" customFormat="false" ht="14.25" hidden="false" customHeight="false" outlineLevel="0" collapsed="false">
      <c r="A81" s="152" t="str">
        <f aca="false">IF(Rider_Input[[#This Row],[Rider ID]]="","",Salary_Month)</f>
        <v/>
      </c>
      <c r="B81" s="153" t="str">
        <f aca="false">IFERROR(IF(INDEX(FTR_Data,ROW()-ROW(Rider_Input[#Headers]),c_FTR_ID)="","",INDEX(FTR_Data,ROW()-ROW(Rider_Input[#Headers]),c_FTR_ID)),"")</f>
        <v/>
      </c>
      <c r="C8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8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81" s="153" t="str">
        <f aca="false">IF(Rider_Input[[#This Row],[Rider ID]]="","",DAY(EOMONTH(Salary_Month,0)))</f>
        <v/>
      </c>
      <c r="F81" s="153" t="str">
        <f aca="false">IF(Rider_Input[[#This Row],[Rider ID]]="","",IFERROR(IF(INDEX(FTR_Data,ROW()-ROW(Rider_Input[#Headers]),c_FTR_WD)="","",INDEX(FTR_Data,ROW()-ROW(Rider_Input[#Headers]),c_FTR_WD)),""))</f>
        <v/>
      </c>
      <c r="G81" s="153" t="str">
        <f aca="false">IF(Rider_Input[[#This Row],[Rider ID]]="","",IFERROR(IF(INDEX(FTR_Data,ROW()-ROW(Rider_Input[#Headers]),c_FTR_Orders)="","",INDEX(FTR_Data,ROW()-ROW(Rider_Input[#Headers]),c_FTR_Orders)),""))</f>
        <v/>
      </c>
      <c r="H81" s="155" t="str">
        <f aca="false">IF(Rider_Input[[#This Row],[Rider ID]]="","",IFERROR(ABS(INDEX(RLVL_Data,MATCH(Rider_Input[[#This Row],[Rider ID]],INDEX(RLVL_Data,0,c_RLVL_ID),0),c_RLVL_Missed)),0))</f>
        <v/>
      </c>
      <c r="I81" s="155" t="str">
        <f aca="false">IF(Rider_Input[[#This Row],[Rider ID]]="","",IFERROR(ABS(INDEX(RLVL_Data,MATCH(Rider_Input[[#This Row],[Rider ID]],INDEX(RLVL_Data,0,c_RLVL_ID),0),c_RLVL_Bal)),0))</f>
        <v/>
      </c>
      <c r="J81" s="155" t="str">
        <f aca="false">IF(Rider_Input[[#This Row],[Rider ID]]="","",IFERROR(ABS(INDEX(RLVL_Data,MATCH(Rider_Input[[#This Row],[Rider ID]],INDEX(RLVL_Data,0,c_RLVL_ID),0),c_RLVL_Stack)),0))</f>
        <v/>
      </c>
      <c r="K81" s="155" t="str">
        <f aca="false">IF(Rider_Input[[#This Row],[Rider ID]]="","",SUMIFS(Adj_Input[Other Deductions],Adj_Input[Rider ID],Rider_Input[[#This Row],[Rider ID]]))</f>
        <v/>
      </c>
      <c r="L81" s="154" t="str">
        <f aca="false">IF(Rider_Input[[#This Row],[Rider ID]]="","",IFERROR(INDEX(Adj_Input[Note / Reason],MATCH(Rider_Input[[#This Row],[Rider ID]],Adj_Input[Rider ID],0))&amp;"",""))</f>
        <v/>
      </c>
    </row>
    <row r="82" customFormat="false" ht="14.25" hidden="false" customHeight="false" outlineLevel="0" collapsed="false">
      <c r="A82" s="152" t="str">
        <f aca="false">IF(Rider_Input[[#This Row],[Rider ID]]="","",Salary_Month)</f>
        <v/>
      </c>
      <c r="B82" s="153" t="str">
        <f aca="false">IFERROR(IF(INDEX(FTR_Data,ROW()-ROW(Rider_Input[#Headers]),c_FTR_ID)="","",INDEX(FTR_Data,ROW()-ROW(Rider_Input[#Headers]),c_FTR_ID)),"")</f>
        <v/>
      </c>
      <c r="C8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8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82" s="153" t="str">
        <f aca="false">IF(Rider_Input[[#This Row],[Rider ID]]="","",DAY(EOMONTH(Salary_Month,0)))</f>
        <v/>
      </c>
      <c r="F82" s="153" t="str">
        <f aca="false">IF(Rider_Input[[#This Row],[Rider ID]]="","",IFERROR(IF(INDEX(FTR_Data,ROW()-ROW(Rider_Input[#Headers]),c_FTR_WD)="","",INDEX(FTR_Data,ROW()-ROW(Rider_Input[#Headers]),c_FTR_WD)),""))</f>
        <v/>
      </c>
      <c r="G82" s="153" t="str">
        <f aca="false">IF(Rider_Input[[#This Row],[Rider ID]]="","",IFERROR(IF(INDEX(FTR_Data,ROW()-ROW(Rider_Input[#Headers]),c_FTR_Orders)="","",INDEX(FTR_Data,ROW()-ROW(Rider_Input[#Headers]),c_FTR_Orders)),""))</f>
        <v/>
      </c>
      <c r="H82" s="155" t="str">
        <f aca="false">IF(Rider_Input[[#This Row],[Rider ID]]="","",IFERROR(ABS(INDEX(RLVL_Data,MATCH(Rider_Input[[#This Row],[Rider ID]],INDEX(RLVL_Data,0,c_RLVL_ID),0),c_RLVL_Missed)),0))</f>
        <v/>
      </c>
      <c r="I82" s="155" t="str">
        <f aca="false">IF(Rider_Input[[#This Row],[Rider ID]]="","",IFERROR(ABS(INDEX(RLVL_Data,MATCH(Rider_Input[[#This Row],[Rider ID]],INDEX(RLVL_Data,0,c_RLVL_ID),0),c_RLVL_Bal)),0))</f>
        <v/>
      </c>
      <c r="J82" s="155" t="str">
        <f aca="false">IF(Rider_Input[[#This Row],[Rider ID]]="","",IFERROR(ABS(INDEX(RLVL_Data,MATCH(Rider_Input[[#This Row],[Rider ID]],INDEX(RLVL_Data,0,c_RLVL_ID),0),c_RLVL_Stack)),0))</f>
        <v/>
      </c>
      <c r="K82" s="155" t="str">
        <f aca="false">IF(Rider_Input[[#This Row],[Rider ID]]="","",SUMIFS(Adj_Input[Other Deductions],Adj_Input[Rider ID],Rider_Input[[#This Row],[Rider ID]]))</f>
        <v/>
      </c>
      <c r="L82" s="154" t="str">
        <f aca="false">IF(Rider_Input[[#This Row],[Rider ID]]="","",IFERROR(INDEX(Adj_Input[Note / Reason],MATCH(Rider_Input[[#This Row],[Rider ID]],Adj_Input[Rider ID],0))&amp;"",""))</f>
        <v/>
      </c>
    </row>
    <row r="83" customFormat="false" ht="14.25" hidden="false" customHeight="false" outlineLevel="0" collapsed="false">
      <c r="A83" s="152" t="str">
        <f aca="false">IF(Rider_Input[[#This Row],[Rider ID]]="","",Salary_Month)</f>
        <v/>
      </c>
      <c r="B83" s="153" t="str">
        <f aca="false">IFERROR(IF(INDEX(FTR_Data,ROW()-ROW(Rider_Input[#Headers]),c_FTR_ID)="","",INDEX(FTR_Data,ROW()-ROW(Rider_Input[#Headers]),c_FTR_ID)),"")</f>
        <v/>
      </c>
      <c r="C8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8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83" s="153" t="str">
        <f aca="false">IF(Rider_Input[[#This Row],[Rider ID]]="","",DAY(EOMONTH(Salary_Month,0)))</f>
        <v/>
      </c>
      <c r="F83" s="153" t="str">
        <f aca="false">IF(Rider_Input[[#This Row],[Rider ID]]="","",IFERROR(IF(INDEX(FTR_Data,ROW()-ROW(Rider_Input[#Headers]),c_FTR_WD)="","",INDEX(FTR_Data,ROW()-ROW(Rider_Input[#Headers]),c_FTR_WD)),""))</f>
        <v/>
      </c>
      <c r="G83" s="153" t="str">
        <f aca="false">IF(Rider_Input[[#This Row],[Rider ID]]="","",IFERROR(IF(INDEX(FTR_Data,ROW()-ROW(Rider_Input[#Headers]),c_FTR_Orders)="","",INDEX(FTR_Data,ROW()-ROW(Rider_Input[#Headers]),c_FTR_Orders)),""))</f>
        <v/>
      </c>
      <c r="H83" s="155" t="str">
        <f aca="false">IF(Rider_Input[[#This Row],[Rider ID]]="","",IFERROR(ABS(INDEX(RLVL_Data,MATCH(Rider_Input[[#This Row],[Rider ID]],INDEX(RLVL_Data,0,c_RLVL_ID),0),c_RLVL_Missed)),0))</f>
        <v/>
      </c>
      <c r="I83" s="155" t="str">
        <f aca="false">IF(Rider_Input[[#This Row],[Rider ID]]="","",IFERROR(ABS(INDEX(RLVL_Data,MATCH(Rider_Input[[#This Row],[Rider ID]],INDEX(RLVL_Data,0,c_RLVL_ID),0),c_RLVL_Bal)),0))</f>
        <v/>
      </c>
      <c r="J83" s="155" t="str">
        <f aca="false">IF(Rider_Input[[#This Row],[Rider ID]]="","",IFERROR(ABS(INDEX(RLVL_Data,MATCH(Rider_Input[[#This Row],[Rider ID]],INDEX(RLVL_Data,0,c_RLVL_ID),0),c_RLVL_Stack)),0))</f>
        <v/>
      </c>
      <c r="K83" s="155" t="str">
        <f aca="false">IF(Rider_Input[[#This Row],[Rider ID]]="","",SUMIFS(Adj_Input[Other Deductions],Adj_Input[Rider ID],Rider_Input[[#This Row],[Rider ID]]))</f>
        <v/>
      </c>
      <c r="L83" s="154" t="str">
        <f aca="false">IF(Rider_Input[[#This Row],[Rider ID]]="","",IFERROR(INDEX(Adj_Input[Note / Reason],MATCH(Rider_Input[[#This Row],[Rider ID]],Adj_Input[Rider ID],0))&amp;"",""))</f>
        <v/>
      </c>
    </row>
    <row r="84" customFormat="false" ht="14.25" hidden="false" customHeight="false" outlineLevel="0" collapsed="false">
      <c r="A84" s="152" t="str">
        <f aca="false">IF(Rider_Input[[#This Row],[Rider ID]]="","",Salary_Month)</f>
        <v/>
      </c>
      <c r="B84" s="153" t="str">
        <f aca="false">IFERROR(IF(INDEX(FTR_Data,ROW()-ROW(Rider_Input[#Headers]),c_FTR_ID)="","",INDEX(FTR_Data,ROW()-ROW(Rider_Input[#Headers]),c_FTR_ID)),"")</f>
        <v/>
      </c>
      <c r="C8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8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84" s="153" t="str">
        <f aca="false">IF(Rider_Input[[#This Row],[Rider ID]]="","",DAY(EOMONTH(Salary_Month,0)))</f>
        <v/>
      </c>
      <c r="F84" s="153" t="str">
        <f aca="false">IF(Rider_Input[[#This Row],[Rider ID]]="","",IFERROR(IF(INDEX(FTR_Data,ROW()-ROW(Rider_Input[#Headers]),c_FTR_WD)="","",INDEX(FTR_Data,ROW()-ROW(Rider_Input[#Headers]),c_FTR_WD)),""))</f>
        <v/>
      </c>
      <c r="G84" s="153" t="str">
        <f aca="false">IF(Rider_Input[[#This Row],[Rider ID]]="","",IFERROR(IF(INDEX(FTR_Data,ROW()-ROW(Rider_Input[#Headers]),c_FTR_Orders)="","",INDEX(FTR_Data,ROW()-ROW(Rider_Input[#Headers]),c_FTR_Orders)),""))</f>
        <v/>
      </c>
      <c r="H84" s="155" t="str">
        <f aca="false">IF(Rider_Input[[#This Row],[Rider ID]]="","",IFERROR(ABS(INDEX(RLVL_Data,MATCH(Rider_Input[[#This Row],[Rider ID]],INDEX(RLVL_Data,0,c_RLVL_ID),0),c_RLVL_Missed)),0))</f>
        <v/>
      </c>
      <c r="I84" s="155" t="str">
        <f aca="false">IF(Rider_Input[[#This Row],[Rider ID]]="","",IFERROR(ABS(INDEX(RLVL_Data,MATCH(Rider_Input[[#This Row],[Rider ID]],INDEX(RLVL_Data,0,c_RLVL_ID),0),c_RLVL_Bal)),0))</f>
        <v/>
      </c>
      <c r="J84" s="155" t="str">
        <f aca="false">IF(Rider_Input[[#This Row],[Rider ID]]="","",IFERROR(ABS(INDEX(RLVL_Data,MATCH(Rider_Input[[#This Row],[Rider ID]],INDEX(RLVL_Data,0,c_RLVL_ID),0),c_RLVL_Stack)),0))</f>
        <v/>
      </c>
      <c r="K84" s="155" t="str">
        <f aca="false">IF(Rider_Input[[#This Row],[Rider ID]]="","",SUMIFS(Adj_Input[Other Deductions],Adj_Input[Rider ID],Rider_Input[[#This Row],[Rider ID]]))</f>
        <v/>
      </c>
      <c r="L84" s="154" t="str">
        <f aca="false">IF(Rider_Input[[#This Row],[Rider ID]]="","",IFERROR(INDEX(Adj_Input[Note / Reason],MATCH(Rider_Input[[#This Row],[Rider ID]],Adj_Input[Rider ID],0))&amp;"",""))</f>
        <v/>
      </c>
    </row>
    <row r="85" customFormat="false" ht="14.25" hidden="false" customHeight="false" outlineLevel="0" collapsed="false">
      <c r="A85" s="152" t="str">
        <f aca="false">IF(Rider_Input[[#This Row],[Rider ID]]="","",Salary_Month)</f>
        <v/>
      </c>
      <c r="B85" s="153" t="str">
        <f aca="false">IFERROR(IF(INDEX(FTR_Data,ROW()-ROW(Rider_Input[#Headers]),c_FTR_ID)="","",INDEX(FTR_Data,ROW()-ROW(Rider_Input[#Headers]),c_FTR_ID)),"")</f>
        <v/>
      </c>
      <c r="C8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8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85" s="153" t="str">
        <f aca="false">IF(Rider_Input[[#This Row],[Rider ID]]="","",DAY(EOMONTH(Salary_Month,0)))</f>
        <v/>
      </c>
      <c r="F85" s="153" t="str">
        <f aca="false">IF(Rider_Input[[#This Row],[Rider ID]]="","",IFERROR(IF(INDEX(FTR_Data,ROW()-ROW(Rider_Input[#Headers]),c_FTR_WD)="","",INDEX(FTR_Data,ROW()-ROW(Rider_Input[#Headers]),c_FTR_WD)),""))</f>
        <v/>
      </c>
      <c r="G85" s="153" t="str">
        <f aca="false">IF(Rider_Input[[#This Row],[Rider ID]]="","",IFERROR(IF(INDEX(FTR_Data,ROW()-ROW(Rider_Input[#Headers]),c_FTR_Orders)="","",INDEX(FTR_Data,ROW()-ROW(Rider_Input[#Headers]),c_FTR_Orders)),""))</f>
        <v/>
      </c>
      <c r="H85" s="155" t="str">
        <f aca="false">IF(Rider_Input[[#This Row],[Rider ID]]="","",IFERROR(ABS(INDEX(RLVL_Data,MATCH(Rider_Input[[#This Row],[Rider ID]],INDEX(RLVL_Data,0,c_RLVL_ID),0),c_RLVL_Missed)),0))</f>
        <v/>
      </c>
      <c r="I85" s="155" t="str">
        <f aca="false">IF(Rider_Input[[#This Row],[Rider ID]]="","",IFERROR(ABS(INDEX(RLVL_Data,MATCH(Rider_Input[[#This Row],[Rider ID]],INDEX(RLVL_Data,0,c_RLVL_ID),0),c_RLVL_Bal)),0))</f>
        <v/>
      </c>
      <c r="J85" s="155" t="str">
        <f aca="false">IF(Rider_Input[[#This Row],[Rider ID]]="","",IFERROR(ABS(INDEX(RLVL_Data,MATCH(Rider_Input[[#This Row],[Rider ID]],INDEX(RLVL_Data,0,c_RLVL_ID),0),c_RLVL_Stack)),0))</f>
        <v/>
      </c>
      <c r="K85" s="155" t="str">
        <f aca="false">IF(Rider_Input[[#This Row],[Rider ID]]="","",SUMIFS(Adj_Input[Other Deductions],Adj_Input[Rider ID],Rider_Input[[#This Row],[Rider ID]]))</f>
        <v/>
      </c>
      <c r="L85" s="154" t="str">
        <f aca="false">IF(Rider_Input[[#This Row],[Rider ID]]="","",IFERROR(INDEX(Adj_Input[Note / Reason],MATCH(Rider_Input[[#This Row],[Rider ID]],Adj_Input[Rider ID],0))&amp;"",""))</f>
        <v/>
      </c>
    </row>
    <row r="86" customFormat="false" ht="14.25" hidden="false" customHeight="false" outlineLevel="0" collapsed="false">
      <c r="A86" s="152" t="str">
        <f aca="false">IF(Rider_Input[[#This Row],[Rider ID]]="","",Salary_Month)</f>
        <v/>
      </c>
      <c r="B86" s="153" t="str">
        <f aca="false">IFERROR(IF(INDEX(FTR_Data,ROW()-ROW(Rider_Input[#Headers]),c_FTR_ID)="","",INDEX(FTR_Data,ROW()-ROW(Rider_Input[#Headers]),c_FTR_ID)),"")</f>
        <v/>
      </c>
      <c r="C8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8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86" s="153" t="str">
        <f aca="false">IF(Rider_Input[[#This Row],[Rider ID]]="","",DAY(EOMONTH(Salary_Month,0)))</f>
        <v/>
      </c>
      <c r="F86" s="153" t="str">
        <f aca="false">IF(Rider_Input[[#This Row],[Rider ID]]="","",IFERROR(IF(INDEX(FTR_Data,ROW()-ROW(Rider_Input[#Headers]),c_FTR_WD)="","",INDEX(FTR_Data,ROW()-ROW(Rider_Input[#Headers]),c_FTR_WD)),""))</f>
        <v/>
      </c>
      <c r="G86" s="153" t="str">
        <f aca="false">IF(Rider_Input[[#This Row],[Rider ID]]="","",IFERROR(IF(INDEX(FTR_Data,ROW()-ROW(Rider_Input[#Headers]),c_FTR_Orders)="","",INDEX(FTR_Data,ROW()-ROW(Rider_Input[#Headers]),c_FTR_Orders)),""))</f>
        <v/>
      </c>
      <c r="H86" s="155" t="str">
        <f aca="false">IF(Rider_Input[[#This Row],[Rider ID]]="","",IFERROR(ABS(INDEX(RLVL_Data,MATCH(Rider_Input[[#This Row],[Rider ID]],INDEX(RLVL_Data,0,c_RLVL_ID),0),c_RLVL_Missed)),0))</f>
        <v/>
      </c>
      <c r="I86" s="155" t="str">
        <f aca="false">IF(Rider_Input[[#This Row],[Rider ID]]="","",IFERROR(ABS(INDEX(RLVL_Data,MATCH(Rider_Input[[#This Row],[Rider ID]],INDEX(RLVL_Data,0,c_RLVL_ID),0),c_RLVL_Bal)),0))</f>
        <v/>
      </c>
      <c r="J86" s="155" t="str">
        <f aca="false">IF(Rider_Input[[#This Row],[Rider ID]]="","",IFERROR(ABS(INDEX(RLVL_Data,MATCH(Rider_Input[[#This Row],[Rider ID]],INDEX(RLVL_Data,0,c_RLVL_ID),0),c_RLVL_Stack)),0))</f>
        <v/>
      </c>
      <c r="K86" s="155" t="str">
        <f aca="false">IF(Rider_Input[[#This Row],[Rider ID]]="","",SUMIFS(Adj_Input[Other Deductions],Adj_Input[Rider ID],Rider_Input[[#This Row],[Rider ID]]))</f>
        <v/>
      </c>
      <c r="L86" s="154" t="str">
        <f aca="false">IF(Rider_Input[[#This Row],[Rider ID]]="","",IFERROR(INDEX(Adj_Input[Note / Reason],MATCH(Rider_Input[[#This Row],[Rider ID]],Adj_Input[Rider ID],0))&amp;"",""))</f>
        <v/>
      </c>
    </row>
    <row r="87" customFormat="false" ht="14.25" hidden="false" customHeight="false" outlineLevel="0" collapsed="false">
      <c r="A87" s="152" t="str">
        <f aca="false">IF(Rider_Input[[#This Row],[Rider ID]]="","",Salary_Month)</f>
        <v/>
      </c>
      <c r="B87" s="153" t="str">
        <f aca="false">IFERROR(IF(INDEX(FTR_Data,ROW()-ROW(Rider_Input[#Headers]),c_FTR_ID)="","",INDEX(FTR_Data,ROW()-ROW(Rider_Input[#Headers]),c_FTR_ID)),"")</f>
        <v/>
      </c>
      <c r="C8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8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87" s="153" t="str">
        <f aca="false">IF(Rider_Input[[#This Row],[Rider ID]]="","",DAY(EOMONTH(Salary_Month,0)))</f>
        <v/>
      </c>
      <c r="F87" s="153" t="str">
        <f aca="false">IF(Rider_Input[[#This Row],[Rider ID]]="","",IFERROR(IF(INDEX(FTR_Data,ROW()-ROW(Rider_Input[#Headers]),c_FTR_WD)="","",INDEX(FTR_Data,ROW()-ROW(Rider_Input[#Headers]),c_FTR_WD)),""))</f>
        <v/>
      </c>
      <c r="G87" s="153" t="str">
        <f aca="false">IF(Rider_Input[[#This Row],[Rider ID]]="","",IFERROR(IF(INDEX(FTR_Data,ROW()-ROW(Rider_Input[#Headers]),c_FTR_Orders)="","",INDEX(FTR_Data,ROW()-ROW(Rider_Input[#Headers]),c_FTR_Orders)),""))</f>
        <v/>
      </c>
      <c r="H87" s="155" t="str">
        <f aca="false">IF(Rider_Input[[#This Row],[Rider ID]]="","",IFERROR(ABS(INDEX(RLVL_Data,MATCH(Rider_Input[[#This Row],[Rider ID]],INDEX(RLVL_Data,0,c_RLVL_ID),0),c_RLVL_Missed)),0))</f>
        <v/>
      </c>
      <c r="I87" s="155" t="str">
        <f aca="false">IF(Rider_Input[[#This Row],[Rider ID]]="","",IFERROR(ABS(INDEX(RLVL_Data,MATCH(Rider_Input[[#This Row],[Rider ID]],INDEX(RLVL_Data,0,c_RLVL_ID),0),c_RLVL_Bal)),0))</f>
        <v/>
      </c>
      <c r="J87" s="155" t="str">
        <f aca="false">IF(Rider_Input[[#This Row],[Rider ID]]="","",IFERROR(ABS(INDEX(RLVL_Data,MATCH(Rider_Input[[#This Row],[Rider ID]],INDEX(RLVL_Data,0,c_RLVL_ID),0),c_RLVL_Stack)),0))</f>
        <v/>
      </c>
      <c r="K87" s="155" t="str">
        <f aca="false">IF(Rider_Input[[#This Row],[Rider ID]]="","",SUMIFS(Adj_Input[Other Deductions],Adj_Input[Rider ID],Rider_Input[[#This Row],[Rider ID]]))</f>
        <v/>
      </c>
      <c r="L87" s="154" t="str">
        <f aca="false">IF(Rider_Input[[#This Row],[Rider ID]]="","",IFERROR(INDEX(Adj_Input[Note / Reason],MATCH(Rider_Input[[#This Row],[Rider ID]],Adj_Input[Rider ID],0))&amp;"",""))</f>
        <v/>
      </c>
    </row>
    <row r="88" customFormat="false" ht="14.25" hidden="false" customHeight="false" outlineLevel="0" collapsed="false">
      <c r="A88" s="152" t="str">
        <f aca="false">IF(Rider_Input[[#This Row],[Rider ID]]="","",Salary_Month)</f>
        <v/>
      </c>
      <c r="B88" s="153" t="str">
        <f aca="false">IFERROR(IF(INDEX(FTR_Data,ROW()-ROW(Rider_Input[#Headers]),c_FTR_ID)="","",INDEX(FTR_Data,ROW()-ROW(Rider_Input[#Headers]),c_FTR_ID)),"")</f>
        <v/>
      </c>
      <c r="C8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8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88" s="153" t="str">
        <f aca="false">IF(Rider_Input[[#This Row],[Rider ID]]="","",DAY(EOMONTH(Salary_Month,0)))</f>
        <v/>
      </c>
      <c r="F88" s="153" t="str">
        <f aca="false">IF(Rider_Input[[#This Row],[Rider ID]]="","",IFERROR(IF(INDEX(FTR_Data,ROW()-ROW(Rider_Input[#Headers]),c_FTR_WD)="","",INDEX(FTR_Data,ROW()-ROW(Rider_Input[#Headers]),c_FTR_WD)),""))</f>
        <v/>
      </c>
      <c r="G88" s="153" t="str">
        <f aca="false">IF(Rider_Input[[#This Row],[Rider ID]]="","",IFERROR(IF(INDEX(FTR_Data,ROW()-ROW(Rider_Input[#Headers]),c_FTR_Orders)="","",INDEX(FTR_Data,ROW()-ROW(Rider_Input[#Headers]),c_FTR_Orders)),""))</f>
        <v/>
      </c>
      <c r="H88" s="155" t="str">
        <f aca="false">IF(Rider_Input[[#This Row],[Rider ID]]="","",IFERROR(ABS(INDEX(RLVL_Data,MATCH(Rider_Input[[#This Row],[Rider ID]],INDEX(RLVL_Data,0,c_RLVL_ID),0),c_RLVL_Missed)),0))</f>
        <v/>
      </c>
      <c r="I88" s="155" t="str">
        <f aca="false">IF(Rider_Input[[#This Row],[Rider ID]]="","",IFERROR(ABS(INDEX(RLVL_Data,MATCH(Rider_Input[[#This Row],[Rider ID]],INDEX(RLVL_Data,0,c_RLVL_ID),0),c_RLVL_Bal)),0))</f>
        <v/>
      </c>
      <c r="J88" s="155" t="str">
        <f aca="false">IF(Rider_Input[[#This Row],[Rider ID]]="","",IFERROR(ABS(INDEX(RLVL_Data,MATCH(Rider_Input[[#This Row],[Rider ID]],INDEX(RLVL_Data,0,c_RLVL_ID),0),c_RLVL_Stack)),0))</f>
        <v/>
      </c>
      <c r="K88" s="155" t="str">
        <f aca="false">IF(Rider_Input[[#This Row],[Rider ID]]="","",SUMIFS(Adj_Input[Other Deductions],Adj_Input[Rider ID],Rider_Input[[#This Row],[Rider ID]]))</f>
        <v/>
      </c>
      <c r="L88" s="154" t="str">
        <f aca="false">IF(Rider_Input[[#This Row],[Rider ID]]="","",IFERROR(INDEX(Adj_Input[Note / Reason],MATCH(Rider_Input[[#This Row],[Rider ID]],Adj_Input[Rider ID],0))&amp;"",""))</f>
        <v/>
      </c>
    </row>
    <row r="89" customFormat="false" ht="14.25" hidden="false" customHeight="false" outlineLevel="0" collapsed="false">
      <c r="A89" s="152" t="str">
        <f aca="false">IF(Rider_Input[[#This Row],[Rider ID]]="","",Salary_Month)</f>
        <v/>
      </c>
      <c r="B89" s="153" t="str">
        <f aca="false">IFERROR(IF(INDEX(FTR_Data,ROW()-ROW(Rider_Input[#Headers]),c_FTR_ID)="","",INDEX(FTR_Data,ROW()-ROW(Rider_Input[#Headers]),c_FTR_ID)),"")</f>
        <v/>
      </c>
      <c r="C8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8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89" s="153" t="str">
        <f aca="false">IF(Rider_Input[[#This Row],[Rider ID]]="","",DAY(EOMONTH(Salary_Month,0)))</f>
        <v/>
      </c>
      <c r="F89" s="153" t="str">
        <f aca="false">IF(Rider_Input[[#This Row],[Rider ID]]="","",IFERROR(IF(INDEX(FTR_Data,ROW()-ROW(Rider_Input[#Headers]),c_FTR_WD)="","",INDEX(FTR_Data,ROW()-ROW(Rider_Input[#Headers]),c_FTR_WD)),""))</f>
        <v/>
      </c>
      <c r="G89" s="153" t="str">
        <f aca="false">IF(Rider_Input[[#This Row],[Rider ID]]="","",IFERROR(IF(INDEX(FTR_Data,ROW()-ROW(Rider_Input[#Headers]),c_FTR_Orders)="","",INDEX(FTR_Data,ROW()-ROW(Rider_Input[#Headers]),c_FTR_Orders)),""))</f>
        <v/>
      </c>
      <c r="H89" s="155" t="str">
        <f aca="false">IF(Rider_Input[[#This Row],[Rider ID]]="","",IFERROR(ABS(INDEX(RLVL_Data,MATCH(Rider_Input[[#This Row],[Rider ID]],INDEX(RLVL_Data,0,c_RLVL_ID),0),c_RLVL_Missed)),0))</f>
        <v/>
      </c>
      <c r="I89" s="155" t="str">
        <f aca="false">IF(Rider_Input[[#This Row],[Rider ID]]="","",IFERROR(ABS(INDEX(RLVL_Data,MATCH(Rider_Input[[#This Row],[Rider ID]],INDEX(RLVL_Data,0,c_RLVL_ID),0),c_RLVL_Bal)),0))</f>
        <v/>
      </c>
      <c r="J89" s="155" t="str">
        <f aca="false">IF(Rider_Input[[#This Row],[Rider ID]]="","",IFERROR(ABS(INDEX(RLVL_Data,MATCH(Rider_Input[[#This Row],[Rider ID]],INDEX(RLVL_Data,0,c_RLVL_ID),0),c_RLVL_Stack)),0))</f>
        <v/>
      </c>
      <c r="K89" s="155" t="str">
        <f aca="false">IF(Rider_Input[[#This Row],[Rider ID]]="","",SUMIFS(Adj_Input[Other Deductions],Adj_Input[Rider ID],Rider_Input[[#This Row],[Rider ID]]))</f>
        <v/>
      </c>
      <c r="L89" s="154" t="str">
        <f aca="false">IF(Rider_Input[[#This Row],[Rider ID]]="","",IFERROR(INDEX(Adj_Input[Note / Reason],MATCH(Rider_Input[[#This Row],[Rider ID]],Adj_Input[Rider ID],0))&amp;"",""))</f>
        <v/>
      </c>
    </row>
    <row r="90" customFormat="false" ht="14.25" hidden="false" customHeight="false" outlineLevel="0" collapsed="false">
      <c r="A90" s="152" t="str">
        <f aca="false">IF(Rider_Input[[#This Row],[Rider ID]]="","",Salary_Month)</f>
        <v/>
      </c>
      <c r="B90" s="153" t="str">
        <f aca="false">IFERROR(IF(INDEX(FTR_Data,ROW()-ROW(Rider_Input[#Headers]),c_FTR_ID)="","",INDEX(FTR_Data,ROW()-ROW(Rider_Input[#Headers]),c_FTR_ID)),"")</f>
        <v/>
      </c>
      <c r="C9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9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90" s="153" t="str">
        <f aca="false">IF(Rider_Input[[#This Row],[Rider ID]]="","",DAY(EOMONTH(Salary_Month,0)))</f>
        <v/>
      </c>
      <c r="F90" s="153" t="str">
        <f aca="false">IF(Rider_Input[[#This Row],[Rider ID]]="","",IFERROR(IF(INDEX(FTR_Data,ROW()-ROW(Rider_Input[#Headers]),c_FTR_WD)="","",INDEX(FTR_Data,ROW()-ROW(Rider_Input[#Headers]),c_FTR_WD)),""))</f>
        <v/>
      </c>
      <c r="G90" s="153" t="str">
        <f aca="false">IF(Rider_Input[[#This Row],[Rider ID]]="","",IFERROR(IF(INDEX(FTR_Data,ROW()-ROW(Rider_Input[#Headers]),c_FTR_Orders)="","",INDEX(FTR_Data,ROW()-ROW(Rider_Input[#Headers]),c_FTR_Orders)),""))</f>
        <v/>
      </c>
      <c r="H90" s="155" t="str">
        <f aca="false">IF(Rider_Input[[#This Row],[Rider ID]]="","",IFERROR(ABS(INDEX(RLVL_Data,MATCH(Rider_Input[[#This Row],[Rider ID]],INDEX(RLVL_Data,0,c_RLVL_ID),0),c_RLVL_Missed)),0))</f>
        <v/>
      </c>
      <c r="I90" s="155" t="str">
        <f aca="false">IF(Rider_Input[[#This Row],[Rider ID]]="","",IFERROR(ABS(INDEX(RLVL_Data,MATCH(Rider_Input[[#This Row],[Rider ID]],INDEX(RLVL_Data,0,c_RLVL_ID),0),c_RLVL_Bal)),0))</f>
        <v/>
      </c>
      <c r="J90" s="155" t="str">
        <f aca="false">IF(Rider_Input[[#This Row],[Rider ID]]="","",IFERROR(ABS(INDEX(RLVL_Data,MATCH(Rider_Input[[#This Row],[Rider ID]],INDEX(RLVL_Data,0,c_RLVL_ID),0),c_RLVL_Stack)),0))</f>
        <v/>
      </c>
      <c r="K90" s="155" t="str">
        <f aca="false">IF(Rider_Input[[#This Row],[Rider ID]]="","",SUMIFS(Adj_Input[Other Deductions],Adj_Input[Rider ID],Rider_Input[[#This Row],[Rider ID]]))</f>
        <v/>
      </c>
      <c r="L90" s="154" t="str">
        <f aca="false">IF(Rider_Input[[#This Row],[Rider ID]]="","",IFERROR(INDEX(Adj_Input[Note / Reason],MATCH(Rider_Input[[#This Row],[Rider ID]],Adj_Input[Rider ID],0))&amp;"",""))</f>
        <v/>
      </c>
    </row>
    <row r="91" customFormat="false" ht="14.25" hidden="false" customHeight="false" outlineLevel="0" collapsed="false">
      <c r="A91" s="152" t="str">
        <f aca="false">IF(Rider_Input[[#This Row],[Rider ID]]="","",Salary_Month)</f>
        <v/>
      </c>
      <c r="B91" s="153" t="str">
        <f aca="false">IFERROR(IF(INDEX(FTR_Data,ROW()-ROW(Rider_Input[#Headers]),c_FTR_ID)="","",INDEX(FTR_Data,ROW()-ROW(Rider_Input[#Headers]),c_FTR_ID)),"")</f>
        <v/>
      </c>
      <c r="C9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9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91" s="153" t="str">
        <f aca="false">IF(Rider_Input[[#This Row],[Rider ID]]="","",DAY(EOMONTH(Salary_Month,0)))</f>
        <v/>
      </c>
      <c r="F91" s="153" t="str">
        <f aca="false">IF(Rider_Input[[#This Row],[Rider ID]]="","",IFERROR(IF(INDEX(FTR_Data,ROW()-ROW(Rider_Input[#Headers]),c_FTR_WD)="","",INDEX(FTR_Data,ROW()-ROW(Rider_Input[#Headers]),c_FTR_WD)),""))</f>
        <v/>
      </c>
      <c r="G91" s="153" t="str">
        <f aca="false">IF(Rider_Input[[#This Row],[Rider ID]]="","",IFERROR(IF(INDEX(FTR_Data,ROW()-ROW(Rider_Input[#Headers]),c_FTR_Orders)="","",INDEX(FTR_Data,ROW()-ROW(Rider_Input[#Headers]),c_FTR_Orders)),""))</f>
        <v/>
      </c>
      <c r="H91" s="155" t="str">
        <f aca="false">IF(Rider_Input[[#This Row],[Rider ID]]="","",IFERROR(ABS(INDEX(RLVL_Data,MATCH(Rider_Input[[#This Row],[Rider ID]],INDEX(RLVL_Data,0,c_RLVL_ID),0),c_RLVL_Missed)),0))</f>
        <v/>
      </c>
      <c r="I91" s="155" t="str">
        <f aca="false">IF(Rider_Input[[#This Row],[Rider ID]]="","",IFERROR(ABS(INDEX(RLVL_Data,MATCH(Rider_Input[[#This Row],[Rider ID]],INDEX(RLVL_Data,0,c_RLVL_ID),0),c_RLVL_Bal)),0))</f>
        <v/>
      </c>
      <c r="J91" s="155" t="str">
        <f aca="false">IF(Rider_Input[[#This Row],[Rider ID]]="","",IFERROR(ABS(INDEX(RLVL_Data,MATCH(Rider_Input[[#This Row],[Rider ID]],INDEX(RLVL_Data,0,c_RLVL_ID),0),c_RLVL_Stack)),0))</f>
        <v/>
      </c>
      <c r="K91" s="155" t="str">
        <f aca="false">IF(Rider_Input[[#This Row],[Rider ID]]="","",SUMIFS(Adj_Input[Other Deductions],Adj_Input[Rider ID],Rider_Input[[#This Row],[Rider ID]]))</f>
        <v/>
      </c>
      <c r="L91" s="154" t="str">
        <f aca="false">IF(Rider_Input[[#This Row],[Rider ID]]="","",IFERROR(INDEX(Adj_Input[Note / Reason],MATCH(Rider_Input[[#This Row],[Rider ID]],Adj_Input[Rider ID],0))&amp;"",""))</f>
        <v/>
      </c>
    </row>
    <row r="92" customFormat="false" ht="14.25" hidden="false" customHeight="false" outlineLevel="0" collapsed="false">
      <c r="A92" s="152" t="str">
        <f aca="false">IF(Rider_Input[[#This Row],[Rider ID]]="","",Salary_Month)</f>
        <v/>
      </c>
      <c r="B92" s="153" t="str">
        <f aca="false">IFERROR(IF(INDEX(FTR_Data,ROW()-ROW(Rider_Input[#Headers]),c_FTR_ID)="","",INDEX(FTR_Data,ROW()-ROW(Rider_Input[#Headers]),c_FTR_ID)),"")</f>
        <v/>
      </c>
      <c r="C9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9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92" s="153" t="str">
        <f aca="false">IF(Rider_Input[[#This Row],[Rider ID]]="","",DAY(EOMONTH(Salary_Month,0)))</f>
        <v/>
      </c>
      <c r="F92" s="153" t="str">
        <f aca="false">IF(Rider_Input[[#This Row],[Rider ID]]="","",IFERROR(IF(INDEX(FTR_Data,ROW()-ROW(Rider_Input[#Headers]),c_FTR_WD)="","",INDEX(FTR_Data,ROW()-ROW(Rider_Input[#Headers]),c_FTR_WD)),""))</f>
        <v/>
      </c>
      <c r="G92" s="153" t="str">
        <f aca="false">IF(Rider_Input[[#This Row],[Rider ID]]="","",IFERROR(IF(INDEX(FTR_Data,ROW()-ROW(Rider_Input[#Headers]),c_FTR_Orders)="","",INDEX(FTR_Data,ROW()-ROW(Rider_Input[#Headers]),c_FTR_Orders)),""))</f>
        <v/>
      </c>
      <c r="H92" s="155" t="str">
        <f aca="false">IF(Rider_Input[[#This Row],[Rider ID]]="","",IFERROR(ABS(INDEX(RLVL_Data,MATCH(Rider_Input[[#This Row],[Rider ID]],INDEX(RLVL_Data,0,c_RLVL_ID),0),c_RLVL_Missed)),0))</f>
        <v/>
      </c>
      <c r="I92" s="155" t="str">
        <f aca="false">IF(Rider_Input[[#This Row],[Rider ID]]="","",IFERROR(ABS(INDEX(RLVL_Data,MATCH(Rider_Input[[#This Row],[Rider ID]],INDEX(RLVL_Data,0,c_RLVL_ID),0),c_RLVL_Bal)),0))</f>
        <v/>
      </c>
      <c r="J92" s="155" t="str">
        <f aca="false">IF(Rider_Input[[#This Row],[Rider ID]]="","",IFERROR(ABS(INDEX(RLVL_Data,MATCH(Rider_Input[[#This Row],[Rider ID]],INDEX(RLVL_Data,0,c_RLVL_ID),0),c_RLVL_Stack)),0))</f>
        <v/>
      </c>
      <c r="K92" s="155" t="str">
        <f aca="false">IF(Rider_Input[[#This Row],[Rider ID]]="","",SUMIFS(Adj_Input[Other Deductions],Adj_Input[Rider ID],Rider_Input[[#This Row],[Rider ID]]))</f>
        <v/>
      </c>
      <c r="L92" s="154" t="str">
        <f aca="false">IF(Rider_Input[[#This Row],[Rider ID]]="","",IFERROR(INDEX(Adj_Input[Note / Reason],MATCH(Rider_Input[[#This Row],[Rider ID]],Adj_Input[Rider ID],0))&amp;"",""))</f>
        <v/>
      </c>
    </row>
    <row r="93" customFormat="false" ht="14.25" hidden="false" customHeight="false" outlineLevel="0" collapsed="false">
      <c r="A93" s="152" t="str">
        <f aca="false">IF(Rider_Input[[#This Row],[Rider ID]]="","",Salary_Month)</f>
        <v/>
      </c>
      <c r="B93" s="153" t="str">
        <f aca="false">IFERROR(IF(INDEX(FTR_Data,ROW()-ROW(Rider_Input[#Headers]),c_FTR_ID)="","",INDEX(FTR_Data,ROW()-ROW(Rider_Input[#Headers]),c_FTR_ID)),"")</f>
        <v/>
      </c>
      <c r="C9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9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93" s="153" t="str">
        <f aca="false">IF(Rider_Input[[#This Row],[Rider ID]]="","",DAY(EOMONTH(Salary_Month,0)))</f>
        <v/>
      </c>
      <c r="F93" s="153" t="str">
        <f aca="false">IF(Rider_Input[[#This Row],[Rider ID]]="","",IFERROR(IF(INDEX(FTR_Data,ROW()-ROW(Rider_Input[#Headers]),c_FTR_WD)="","",INDEX(FTR_Data,ROW()-ROW(Rider_Input[#Headers]),c_FTR_WD)),""))</f>
        <v/>
      </c>
      <c r="G93" s="153" t="str">
        <f aca="false">IF(Rider_Input[[#This Row],[Rider ID]]="","",IFERROR(IF(INDEX(FTR_Data,ROW()-ROW(Rider_Input[#Headers]),c_FTR_Orders)="","",INDEX(FTR_Data,ROW()-ROW(Rider_Input[#Headers]),c_FTR_Orders)),""))</f>
        <v/>
      </c>
      <c r="H93" s="155" t="str">
        <f aca="false">IF(Rider_Input[[#This Row],[Rider ID]]="","",IFERROR(ABS(INDEX(RLVL_Data,MATCH(Rider_Input[[#This Row],[Rider ID]],INDEX(RLVL_Data,0,c_RLVL_ID),0),c_RLVL_Missed)),0))</f>
        <v/>
      </c>
      <c r="I93" s="155" t="str">
        <f aca="false">IF(Rider_Input[[#This Row],[Rider ID]]="","",IFERROR(ABS(INDEX(RLVL_Data,MATCH(Rider_Input[[#This Row],[Rider ID]],INDEX(RLVL_Data,0,c_RLVL_ID),0),c_RLVL_Bal)),0))</f>
        <v/>
      </c>
      <c r="J93" s="155" t="str">
        <f aca="false">IF(Rider_Input[[#This Row],[Rider ID]]="","",IFERROR(ABS(INDEX(RLVL_Data,MATCH(Rider_Input[[#This Row],[Rider ID]],INDEX(RLVL_Data,0,c_RLVL_ID),0),c_RLVL_Stack)),0))</f>
        <v/>
      </c>
      <c r="K93" s="155" t="str">
        <f aca="false">IF(Rider_Input[[#This Row],[Rider ID]]="","",SUMIFS(Adj_Input[Other Deductions],Adj_Input[Rider ID],Rider_Input[[#This Row],[Rider ID]]))</f>
        <v/>
      </c>
      <c r="L93" s="154" t="str">
        <f aca="false">IF(Rider_Input[[#This Row],[Rider ID]]="","",IFERROR(INDEX(Adj_Input[Note / Reason],MATCH(Rider_Input[[#This Row],[Rider ID]],Adj_Input[Rider ID],0))&amp;"",""))</f>
        <v/>
      </c>
    </row>
    <row r="94" customFormat="false" ht="14.25" hidden="false" customHeight="false" outlineLevel="0" collapsed="false">
      <c r="A94" s="152" t="str">
        <f aca="false">IF(Rider_Input[[#This Row],[Rider ID]]="","",Salary_Month)</f>
        <v/>
      </c>
      <c r="B94" s="153" t="str">
        <f aca="false">IFERROR(IF(INDEX(FTR_Data,ROW()-ROW(Rider_Input[#Headers]),c_FTR_ID)="","",INDEX(FTR_Data,ROW()-ROW(Rider_Input[#Headers]),c_FTR_ID)),"")</f>
        <v/>
      </c>
      <c r="C9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9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94" s="153" t="str">
        <f aca="false">IF(Rider_Input[[#This Row],[Rider ID]]="","",DAY(EOMONTH(Salary_Month,0)))</f>
        <v/>
      </c>
      <c r="F94" s="153" t="str">
        <f aca="false">IF(Rider_Input[[#This Row],[Rider ID]]="","",IFERROR(IF(INDEX(FTR_Data,ROW()-ROW(Rider_Input[#Headers]),c_FTR_WD)="","",INDEX(FTR_Data,ROW()-ROW(Rider_Input[#Headers]),c_FTR_WD)),""))</f>
        <v/>
      </c>
      <c r="G94" s="153" t="str">
        <f aca="false">IF(Rider_Input[[#This Row],[Rider ID]]="","",IFERROR(IF(INDEX(FTR_Data,ROW()-ROW(Rider_Input[#Headers]),c_FTR_Orders)="","",INDEX(FTR_Data,ROW()-ROW(Rider_Input[#Headers]),c_FTR_Orders)),""))</f>
        <v/>
      </c>
      <c r="H94" s="155" t="str">
        <f aca="false">IF(Rider_Input[[#This Row],[Rider ID]]="","",IFERROR(ABS(INDEX(RLVL_Data,MATCH(Rider_Input[[#This Row],[Rider ID]],INDEX(RLVL_Data,0,c_RLVL_ID),0),c_RLVL_Missed)),0))</f>
        <v/>
      </c>
      <c r="I94" s="155" t="str">
        <f aca="false">IF(Rider_Input[[#This Row],[Rider ID]]="","",IFERROR(ABS(INDEX(RLVL_Data,MATCH(Rider_Input[[#This Row],[Rider ID]],INDEX(RLVL_Data,0,c_RLVL_ID),0),c_RLVL_Bal)),0))</f>
        <v/>
      </c>
      <c r="J94" s="155" t="str">
        <f aca="false">IF(Rider_Input[[#This Row],[Rider ID]]="","",IFERROR(ABS(INDEX(RLVL_Data,MATCH(Rider_Input[[#This Row],[Rider ID]],INDEX(RLVL_Data,0,c_RLVL_ID),0),c_RLVL_Stack)),0))</f>
        <v/>
      </c>
      <c r="K94" s="155" t="str">
        <f aca="false">IF(Rider_Input[[#This Row],[Rider ID]]="","",SUMIFS(Adj_Input[Other Deductions],Adj_Input[Rider ID],Rider_Input[[#This Row],[Rider ID]]))</f>
        <v/>
      </c>
      <c r="L94" s="154" t="str">
        <f aca="false">IF(Rider_Input[[#This Row],[Rider ID]]="","",IFERROR(INDEX(Adj_Input[Note / Reason],MATCH(Rider_Input[[#This Row],[Rider ID]],Adj_Input[Rider ID],0))&amp;"",""))</f>
        <v/>
      </c>
    </row>
    <row r="95" customFormat="false" ht="14.25" hidden="false" customHeight="false" outlineLevel="0" collapsed="false">
      <c r="A95" s="152" t="str">
        <f aca="false">IF(Rider_Input[[#This Row],[Rider ID]]="","",Salary_Month)</f>
        <v/>
      </c>
      <c r="B95" s="153" t="str">
        <f aca="false">IFERROR(IF(INDEX(FTR_Data,ROW()-ROW(Rider_Input[#Headers]),c_FTR_ID)="","",INDEX(FTR_Data,ROW()-ROW(Rider_Input[#Headers]),c_FTR_ID)),"")</f>
        <v/>
      </c>
      <c r="C9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9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95" s="153" t="str">
        <f aca="false">IF(Rider_Input[[#This Row],[Rider ID]]="","",DAY(EOMONTH(Salary_Month,0)))</f>
        <v/>
      </c>
      <c r="F95" s="153" t="str">
        <f aca="false">IF(Rider_Input[[#This Row],[Rider ID]]="","",IFERROR(IF(INDEX(FTR_Data,ROW()-ROW(Rider_Input[#Headers]),c_FTR_WD)="","",INDEX(FTR_Data,ROW()-ROW(Rider_Input[#Headers]),c_FTR_WD)),""))</f>
        <v/>
      </c>
      <c r="G95" s="153" t="str">
        <f aca="false">IF(Rider_Input[[#This Row],[Rider ID]]="","",IFERROR(IF(INDEX(FTR_Data,ROW()-ROW(Rider_Input[#Headers]),c_FTR_Orders)="","",INDEX(FTR_Data,ROW()-ROW(Rider_Input[#Headers]),c_FTR_Orders)),""))</f>
        <v/>
      </c>
      <c r="H95" s="155" t="str">
        <f aca="false">IF(Rider_Input[[#This Row],[Rider ID]]="","",IFERROR(ABS(INDEX(RLVL_Data,MATCH(Rider_Input[[#This Row],[Rider ID]],INDEX(RLVL_Data,0,c_RLVL_ID),0),c_RLVL_Missed)),0))</f>
        <v/>
      </c>
      <c r="I95" s="155" t="str">
        <f aca="false">IF(Rider_Input[[#This Row],[Rider ID]]="","",IFERROR(ABS(INDEX(RLVL_Data,MATCH(Rider_Input[[#This Row],[Rider ID]],INDEX(RLVL_Data,0,c_RLVL_ID),0),c_RLVL_Bal)),0))</f>
        <v/>
      </c>
      <c r="J95" s="155" t="str">
        <f aca="false">IF(Rider_Input[[#This Row],[Rider ID]]="","",IFERROR(ABS(INDEX(RLVL_Data,MATCH(Rider_Input[[#This Row],[Rider ID]],INDEX(RLVL_Data,0,c_RLVL_ID),0),c_RLVL_Stack)),0))</f>
        <v/>
      </c>
      <c r="K95" s="155" t="str">
        <f aca="false">IF(Rider_Input[[#This Row],[Rider ID]]="","",SUMIFS(Adj_Input[Other Deductions],Adj_Input[Rider ID],Rider_Input[[#This Row],[Rider ID]]))</f>
        <v/>
      </c>
      <c r="L95" s="154" t="str">
        <f aca="false">IF(Rider_Input[[#This Row],[Rider ID]]="","",IFERROR(INDEX(Adj_Input[Note / Reason],MATCH(Rider_Input[[#This Row],[Rider ID]],Adj_Input[Rider ID],0))&amp;"",""))</f>
        <v/>
      </c>
    </row>
    <row r="96" customFormat="false" ht="14.25" hidden="false" customHeight="false" outlineLevel="0" collapsed="false">
      <c r="A96" s="152" t="str">
        <f aca="false">IF(Rider_Input[[#This Row],[Rider ID]]="","",Salary_Month)</f>
        <v/>
      </c>
      <c r="B96" s="153" t="str">
        <f aca="false">IFERROR(IF(INDEX(FTR_Data,ROW()-ROW(Rider_Input[#Headers]),c_FTR_ID)="","",INDEX(FTR_Data,ROW()-ROW(Rider_Input[#Headers]),c_FTR_ID)),"")</f>
        <v/>
      </c>
      <c r="C9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9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96" s="153" t="str">
        <f aca="false">IF(Rider_Input[[#This Row],[Rider ID]]="","",DAY(EOMONTH(Salary_Month,0)))</f>
        <v/>
      </c>
      <c r="F96" s="153" t="str">
        <f aca="false">IF(Rider_Input[[#This Row],[Rider ID]]="","",IFERROR(IF(INDEX(FTR_Data,ROW()-ROW(Rider_Input[#Headers]),c_FTR_WD)="","",INDEX(FTR_Data,ROW()-ROW(Rider_Input[#Headers]),c_FTR_WD)),""))</f>
        <v/>
      </c>
      <c r="G96" s="153" t="str">
        <f aca="false">IF(Rider_Input[[#This Row],[Rider ID]]="","",IFERROR(IF(INDEX(FTR_Data,ROW()-ROW(Rider_Input[#Headers]),c_FTR_Orders)="","",INDEX(FTR_Data,ROW()-ROW(Rider_Input[#Headers]),c_FTR_Orders)),""))</f>
        <v/>
      </c>
      <c r="H96" s="155" t="str">
        <f aca="false">IF(Rider_Input[[#This Row],[Rider ID]]="","",IFERROR(ABS(INDEX(RLVL_Data,MATCH(Rider_Input[[#This Row],[Rider ID]],INDEX(RLVL_Data,0,c_RLVL_ID),0),c_RLVL_Missed)),0))</f>
        <v/>
      </c>
      <c r="I96" s="155" t="str">
        <f aca="false">IF(Rider_Input[[#This Row],[Rider ID]]="","",IFERROR(ABS(INDEX(RLVL_Data,MATCH(Rider_Input[[#This Row],[Rider ID]],INDEX(RLVL_Data,0,c_RLVL_ID),0),c_RLVL_Bal)),0))</f>
        <v/>
      </c>
      <c r="J96" s="155" t="str">
        <f aca="false">IF(Rider_Input[[#This Row],[Rider ID]]="","",IFERROR(ABS(INDEX(RLVL_Data,MATCH(Rider_Input[[#This Row],[Rider ID]],INDEX(RLVL_Data,0,c_RLVL_ID),0),c_RLVL_Stack)),0))</f>
        <v/>
      </c>
      <c r="K96" s="155" t="str">
        <f aca="false">IF(Rider_Input[[#This Row],[Rider ID]]="","",SUMIFS(Adj_Input[Other Deductions],Adj_Input[Rider ID],Rider_Input[[#This Row],[Rider ID]]))</f>
        <v/>
      </c>
      <c r="L96" s="154" t="str">
        <f aca="false">IF(Rider_Input[[#This Row],[Rider ID]]="","",IFERROR(INDEX(Adj_Input[Note / Reason],MATCH(Rider_Input[[#This Row],[Rider ID]],Adj_Input[Rider ID],0))&amp;"",""))</f>
        <v/>
      </c>
    </row>
    <row r="97" customFormat="false" ht="14.25" hidden="false" customHeight="false" outlineLevel="0" collapsed="false">
      <c r="A97" s="152" t="str">
        <f aca="false">IF(Rider_Input[[#This Row],[Rider ID]]="","",Salary_Month)</f>
        <v/>
      </c>
      <c r="B97" s="153" t="str">
        <f aca="false">IFERROR(IF(INDEX(FTR_Data,ROW()-ROW(Rider_Input[#Headers]),c_FTR_ID)="","",INDEX(FTR_Data,ROW()-ROW(Rider_Input[#Headers]),c_FTR_ID)),"")</f>
        <v/>
      </c>
      <c r="C9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9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97" s="153" t="str">
        <f aca="false">IF(Rider_Input[[#This Row],[Rider ID]]="","",DAY(EOMONTH(Salary_Month,0)))</f>
        <v/>
      </c>
      <c r="F97" s="153" t="str">
        <f aca="false">IF(Rider_Input[[#This Row],[Rider ID]]="","",IFERROR(IF(INDEX(FTR_Data,ROW()-ROW(Rider_Input[#Headers]),c_FTR_WD)="","",INDEX(FTR_Data,ROW()-ROW(Rider_Input[#Headers]),c_FTR_WD)),""))</f>
        <v/>
      </c>
      <c r="G97" s="153" t="str">
        <f aca="false">IF(Rider_Input[[#This Row],[Rider ID]]="","",IFERROR(IF(INDEX(FTR_Data,ROW()-ROW(Rider_Input[#Headers]),c_FTR_Orders)="","",INDEX(FTR_Data,ROW()-ROW(Rider_Input[#Headers]),c_FTR_Orders)),""))</f>
        <v/>
      </c>
      <c r="H97" s="155" t="str">
        <f aca="false">IF(Rider_Input[[#This Row],[Rider ID]]="","",IFERROR(ABS(INDEX(RLVL_Data,MATCH(Rider_Input[[#This Row],[Rider ID]],INDEX(RLVL_Data,0,c_RLVL_ID),0),c_RLVL_Missed)),0))</f>
        <v/>
      </c>
      <c r="I97" s="155" t="str">
        <f aca="false">IF(Rider_Input[[#This Row],[Rider ID]]="","",IFERROR(ABS(INDEX(RLVL_Data,MATCH(Rider_Input[[#This Row],[Rider ID]],INDEX(RLVL_Data,0,c_RLVL_ID),0),c_RLVL_Bal)),0))</f>
        <v/>
      </c>
      <c r="J97" s="155" t="str">
        <f aca="false">IF(Rider_Input[[#This Row],[Rider ID]]="","",IFERROR(ABS(INDEX(RLVL_Data,MATCH(Rider_Input[[#This Row],[Rider ID]],INDEX(RLVL_Data,0,c_RLVL_ID),0),c_RLVL_Stack)),0))</f>
        <v/>
      </c>
      <c r="K97" s="155" t="str">
        <f aca="false">IF(Rider_Input[[#This Row],[Rider ID]]="","",SUMIFS(Adj_Input[Other Deductions],Adj_Input[Rider ID],Rider_Input[[#This Row],[Rider ID]]))</f>
        <v/>
      </c>
      <c r="L97" s="154" t="str">
        <f aca="false">IF(Rider_Input[[#This Row],[Rider ID]]="","",IFERROR(INDEX(Adj_Input[Note / Reason],MATCH(Rider_Input[[#This Row],[Rider ID]],Adj_Input[Rider ID],0))&amp;"",""))</f>
        <v/>
      </c>
    </row>
    <row r="98" customFormat="false" ht="14.25" hidden="false" customHeight="false" outlineLevel="0" collapsed="false">
      <c r="A98" s="152" t="str">
        <f aca="false">IF(Rider_Input[[#This Row],[Rider ID]]="","",Salary_Month)</f>
        <v/>
      </c>
      <c r="B98" s="153" t="str">
        <f aca="false">IFERROR(IF(INDEX(FTR_Data,ROW()-ROW(Rider_Input[#Headers]),c_FTR_ID)="","",INDEX(FTR_Data,ROW()-ROW(Rider_Input[#Headers]),c_FTR_ID)),"")</f>
        <v/>
      </c>
      <c r="C9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9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98" s="153" t="str">
        <f aca="false">IF(Rider_Input[[#This Row],[Rider ID]]="","",DAY(EOMONTH(Salary_Month,0)))</f>
        <v/>
      </c>
      <c r="F98" s="153" t="str">
        <f aca="false">IF(Rider_Input[[#This Row],[Rider ID]]="","",IFERROR(IF(INDEX(FTR_Data,ROW()-ROW(Rider_Input[#Headers]),c_FTR_WD)="","",INDEX(FTR_Data,ROW()-ROW(Rider_Input[#Headers]),c_FTR_WD)),""))</f>
        <v/>
      </c>
      <c r="G98" s="153" t="str">
        <f aca="false">IF(Rider_Input[[#This Row],[Rider ID]]="","",IFERROR(IF(INDEX(FTR_Data,ROW()-ROW(Rider_Input[#Headers]),c_FTR_Orders)="","",INDEX(FTR_Data,ROW()-ROW(Rider_Input[#Headers]),c_FTR_Orders)),""))</f>
        <v/>
      </c>
      <c r="H98" s="155" t="str">
        <f aca="false">IF(Rider_Input[[#This Row],[Rider ID]]="","",IFERROR(ABS(INDEX(RLVL_Data,MATCH(Rider_Input[[#This Row],[Rider ID]],INDEX(RLVL_Data,0,c_RLVL_ID),0),c_RLVL_Missed)),0))</f>
        <v/>
      </c>
      <c r="I98" s="155" t="str">
        <f aca="false">IF(Rider_Input[[#This Row],[Rider ID]]="","",IFERROR(ABS(INDEX(RLVL_Data,MATCH(Rider_Input[[#This Row],[Rider ID]],INDEX(RLVL_Data,0,c_RLVL_ID),0),c_RLVL_Bal)),0))</f>
        <v/>
      </c>
      <c r="J98" s="155" t="str">
        <f aca="false">IF(Rider_Input[[#This Row],[Rider ID]]="","",IFERROR(ABS(INDEX(RLVL_Data,MATCH(Rider_Input[[#This Row],[Rider ID]],INDEX(RLVL_Data,0,c_RLVL_ID),0),c_RLVL_Stack)),0))</f>
        <v/>
      </c>
      <c r="K98" s="155" t="str">
        <f aca="false">IF(Rider_Input[[#This Row],[Rider ID]]="","",SUMIFS(Adj_Input[Other Deductions],Adj_Input[Rider ID],Rider_Input[[#This Row],[Rider ID]]))</f>
        <v/>
      </c>
      <c r="L98" s="154" t="str">
        <f aca="false">IF(Rider_Input[[#This Row],[Rider ID]]="","",IFERROR(INDEX(Adj_Input[Note / Reason],MATCH(Rider_Input[[#This Row],[Rider ID]],Adj_Input[Rider ID],0))&amp;"",""))</f>
        <v/>
      </c>
    </row>
    <row r="99" customFormat="false" ht="14.25" hidden="false" customHeight="false" outlineLevel="0" collapsed="false">
      <c r="A99" s="152" t="str">
        <f aca="false">IF(Rider_Input[[#This Row],[Rider ID]]="","",Salary_Month)</f>
        <v/>
      </c>
      <c r="B99" s="153" t="str">
        <f aca="false">IFERROR(IF(INDEX(FTR_Data,ROW()-ROW(Rider_Input[#Headers]),c_FTR_ID)="","",INDEX(FTR_Data,ROW()-ROW(Rider_Input[#Headers]),c_FTR_ID)),"")</f>
        <v/>
      </c>
      <c r="C9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9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99" s="153" t="str">
        <f aca="false">IF(Rider_Input[[#This Row],[Rider ID]]="","",DAY(EOMONTH(Salary_Month,0)))</f>
        <v/>
      </c>
      <c r="F99" s="153" t="str">
        <f aca="false">IF(Rider_Input[[#This Row],[Rider ID]]="","",IFERROR(IF(INDEX(FTR_Data,ROW()-ROW(Rider_Input[#Headers]),c_FTR_WD)="","",INDEX(FTR_Data,ROW()-ROW(Rider_Input[#Headers]),c_FTR_WD)),""))</f>
        <v/>
      </c>
      <c r="G99" s="153" t="str">
        <f aca="false">IF(Rider_Input[[#This Row],[Rider ID]]="","",IFERROR(IF(INDEX(FTR_Data,ROW()-ROW(Rider_Input[#Headers]),c_FTR_Orders)="","",INDEX(FTR_Data,ROW()-ROW(Rider_Input[#Headers]),c_FTR_Orders)),""))</f>
        <v/>
      </c>
      <c r="H99" s="155" t="str">
        <f aca="false">IF(Rider_Input[[#This Row],[Rider ID]]="","",IFERROR(ABS(INDEX(RLVL_Data,MATCH(Rider_Input[[#This Row],[Rider ID]],INDEX(RLVL_Data,0,c_RLVL_ID),0),c_RLVL_Missed)),0))</f>
        <v/>
      </c>
      <c r="I99" s="155" t="str">
        <f aca="false">IF(Rider_Input[[#This Row],[Rider ID]]="","",IFERROR(ABS(INDEX(RLVL_Data,MATCH(Rider_Input[[#This Row],[Rider ID]],INDEX(RLVL_Data,0,c_RLVL_ID),0),c_RLVL_Bal)),0))</f>
        <v/>
      </c>
      <c r="J99" s="155" t="str">
        <f aca="false">IF(Rider_Input[[#This Row],[Rider ID]]="","",IFERROR(ABS(INDEX(RLVL_Data,MATCH(Rider_Input[[#This Row],[Rider ID]],INDEX(RLVL_Data,0,c_RLVL_ID),0),c_RLVL_Stack)),0))</f>
        <v/>
      </c>
      <c r="K99" s="155" t="str">
        <f aca="false">IF(Rider_Input[[#This Row],[Rider ID]]="","",SUMIFS(Adj_Input[Other Deductions],Adj_Input[Rider ID],Rider_Input[[#This Row],[Rider ID]]))</f>
        <v/>
      </c>
      <c r="L99" s="154" t="str">
        <f aca="false">IF(Rider_Input[[#This Row],[Rider ID]]="","",IFERROR(INDEX(Adj_Input[Note / Reason],MATCH(Rider_Input[[#This Row],[Rider ID]],Adj_Input[Rider ID],0))&amp;"",""))</f>
        <v/>
      </c>
    </row>
    <row r="100" customFormat="false" ht="14.25" hidden="false" customHeight="false" outlineLevel="0" collapsed="false">
      <c r="A100" s="152" t="str">
        <f aca="false">IF(Rider_Input[[#This Row],[Rider ID]]="","",Salary_Month)</f>
        <v/>
      </c>
      <c r="B100" s="153" t="str">
        <f aca="false">IFERROR(IF(INDEX(FTR_Data,ROW()-ROW(Rider_Input[#Headers]),c_FTR_ID)="","",INDEX(FTR_Data,ROW()-ROW(Rider_Input[#Headers]),c_FTR_ID)),"")</f>
        <v/>
      </c>
      <c r="C10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0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00" s="153" t="str">
        <f aca="false">IF(Rider_Input[[#This Row],[Rider ID]]="","",DAY(EOMONTH(Salary_Month,0)))</f>
        <v/>
      </c>
      <c r="F100" s="153" t="str">
        <f aca="false">IF(Rider_Input[[#This Row],[Rider ID]]="","",IFERROR(IF(INDEX(FTR_Data,ROW()-ROW(Rider_Input[#Headers]),c_FTR_WD)="","",INDEX(FTR_Data,ROW()-ROW(Rider_Input[#Headers]),c_FTR_WD)),""))</f>
        <v/>
      </c>
      <c r="G100" s="153" t="str">
        <f aca="false">IF(Rider_Input[[#This Row],[Rider ID]]="","",IFERROR(IF(INDEX(FTR_Data,ROW()-ROW(Rider_Input[#Headers]),c_FTR_Orders)="","",INDEX(FTR_Data,ROW()-ROW(Rider_Input[#Headers]),c_FTR_Orders)),""))</f>
        <v/>
      </c>
      <c r="H100" s="155" t="str">
        <f aca="false">IF(Rider_Input[[#This Row],[Rider ID]]="","",IFERROR(ABS(INDEX(RLVL_Data,MATCH(Rider_Input[[#This Row],[Rider ID]],INDEX(RLVL_Data,0,c_RLVL_ID),0),c_RLVL_Missed)),0))</f>
        <v/>
      </c>
      <c r="I100" s="155" t="str">
        <f aca="false">IF(Rider_Input[[#This Row],[Rider ID]]="","",IFERROR(ABS(INDEX(RLVL_Data,MATCH(Rider_Input[[#This Row],[Rider ID]],INDEX(RLVL_Data,0,c_RLVL_ID),0),c_RLVL_Bal)),0))</f>
        <v/>
      </c>
      <c r="J100" s="155" t="str">
        <f aca="false">IF(Rider_Input[[#This Row],[Rider ID]]="","",IFERROR(ABS(INDEX(RLVL_Data,MATCH(Rider_Input[[#This Row],[Rider ID]],INDEX(RLVL_Data,0,c_RLVL_ID),0),c_RLVL_Stack)),0))</f>
        <v/>
      </c>
      <c r="K100" s="155" t="str">
        <f aca="false">IF(Rider_Input[[#This Row],[Rider ID]]="","",SUMIFS(Adj_Input[Other Deductions],Adj_Input[Rider ID],Rider_Input[[#This Row],[Rider ID]]))</f>
        <v/>
      </c>
      <c r="L100" s="154" t="str">
        <f aca="false">IF(Rider_Input[[#This Row],[Rider ID]]="","",IFERROR(INDEX(Adj_Input[Note / Reason],MATCH(Rider_Input[[#This Row],[Rider ID]],Adj_Input[Rider ID],0))&amp;"",""))</f>
        <v/>
      </c>
    </row>
    <row r="101" customFormat="false" ht="14.25" hidden="false" customHeight="false" outlineLevel="0" collapsed="false">
      <c r="A101" s="152" t="str">
        <f aca="false">IF(Rider_Input[[#This Row],[Rider ID]]="","",Salary_Month)</f>
        <v/>
      </c>
      <c r="B101" s="153" t="str">
        <f aca="false">IFERROR(IF(INDEX(FTR_Data,ROW()-ROW(Rider_Input[#Headers]),c_FTR_ID)="","",INDEX(FTR_Data,ROW()-ROW(Rider_Input[#Headers]),c_FTR_ID)),"")</f>
        <v/>
      </c>
      <c r="C10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0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01" s="153" t="str">
        <f aca="false">IF(Rider_Input[[#This Row],[Rider ID]]="","",DAY(EOMONTH(Salary_Month,0)))</f>
        <v/>
      </c>
      <c r="F101" s="153" t="str">
        <f aca="false">IF(Rider_Input[[#This Row],[Rider ID]]="","",IFERROR(IF(INDEX(FTR_Data,ROW()-ROW(Rider_Input[#Headers]),c_FTR_WD)="","",INDEX(FTR_Data,ROW()-ROW(Rider_Input[#Headers]),c_FTR_WD)),""))</f>
        <v/>
      </c>
      <c r="G101" s="153" t="str">
        <f aca="false">IF(Rider_Input[[#This Row],[Rider ID]]="","",IFERROR(IF(INDEX(FTR_Data,ROW()-ROW(Rider_Input[#Headers]),c_FTR_Orders)="","",INDEX(FTR_Data,ROW()-ROW(Rider_Input[#Headers]),c_FTR_Orders)),""))</f>
        <v/>
      </c>
      <c r="H101" s="155" t="str">
        <f aca="false">IF(Rider_Input[[#This Row],[Rider ID]]="","",IFERROR(ABS(INDEX(RLVL_Data,MATCH(Rider_Input[[#This Row],[Rider ID]],INDEX(RLVL_Data,0,c_RLVL_ID),0),c_RLVL_Missed)),0))</f>
        <v/>
      </c>
      <c r="I101" s="155" t="str">
        <f aca="false">IF(Rider_Input[[#This Row],[Rider ID]]="","",IFERROR(ABS(INDEX(RLVL_Data,MATCH(Rider_Input[[#This Row],[Rider ID]],INDEX(RLVL_Data,0,c_RLVL_ID),0),c_RLVL_Bal)),0))</f>
        <v/>
      </c>
      <c r="J101" s="155" t="str">
        <f aca="false">IF(Rider_Input[[#This Row],[Rider ID]]="","",IFERROR(ABS(INDEX(RLVL_Data,MATCH(Rider_Input[[#This Row],[Rider ID]],INDEX(RLVL_Data,0,c_RLVL_ID),0),c_RLVL_Stack)),0))</f>
        <v/>
      </c>
      <c r="K101" s="155" t="str">
        <f aca="false">IF(Rider_Input[[#This Row],[Rider ID]]="","",SUMIFS(Adj_Input[Other Deductions],Adj_Input[Rider ID],Rider_Input[[#This Row],[Rider ID]]))</f>
        <v/>
      </c>
      <c r="L101" s="154" t="str">
        <f aca="false">IF(Rider_Input[[#This Row],[Rider ID]]="","",IFERROR(INDEX(Adj_Input[Note / Reason],MATCH(Rider_Input[[#This Row],[Rider ID]],Adj_Input[Rider ID],0))&amp;"",""))</f>
        <v/>
      </c>
    </row>
    <row r="102" customFormat="false" ht="14.25" hidden="false" customHeight="false" outlineLevel="0" collapsed="false">
      <c r="A102" s="152" t="str">
        <f aca="false">IF(Rider_Input[[#This Row],[Rider ID]]="","",Salary_Month)</f>
        <v/>
      </c>
      <c r="B102" s="153" t="str">
        <f aca="false">IFERROR(IF(INDEX(FTR_Data,ROW()-ROW(Rider_Input[#Headers]),c_FTR_ID)="","",INDEX(FTR_Data,ROW()-ROW(Rider_Input[#Headers]),c_FTR_ID)),"")</f>
        <v/>
      </c>
      <c r="C10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0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02" s="153" t="str">
        <f aca="false">IF(Rider_Input[[#This Row],[Rider ID]]="","",DAY(EOMONTH(Salary_Month,0)))</f>
        <v/>
      </c>
      <c r="F102" s="153" t="str">
        <f aca="false">IF(Rider_Input[[#This Row],[Rider ID]]="","",IFERROR(IF(INDEX(FTR_Data,ROW()-ROW(Rider_Input[#Headers]),c_FTR_WD)="","",INDEX(FTR_Data,ROW()-ROW(Rider_Input[#Headers]),c_FTR_WD)),""))</f>
        <v/>
      </c>
      <c r="G102" s="153" t="str">
        <f aca="false">IF(Rider_Input[[#This Row],[Rider ID]]="","",IFERROR(IF(INDEX(FTR_Data,ROW()-ROW(Rider_Input[#Headers]),c_FTR_Orders)="","",INDEX(FTR_Data,ROW()-ROW(Rider_Input[#Headers]),c_FTR_Orders)),""))</f>
        <v/>
      </c>
      <c r="H102" s="155" t="str">
        <f aca="false">IF(Rider_Input[[#This Row],[Rider ID]]="","",IFERROR(ABS(INDEX(RLVL_Data,MATCH(Rider_Input[[#This Row],[Rider ID]],INDEX(RLVL_Data,0,c_RLVL_ID),0),c_RLVL_Missed)),0))</f>
        <v/>
      </c>
      <c r="I102" s="155" t="str">
        <f aca="false">IF(Rider_Input[[#This Row],[Rider ID]]="","",IFERROR(ABS(INDEX(RLVL_Data,MATCH(Rider_Input[[#This Row],[Rider ID]],INDEX(RLVL_Data,0,c_RLVL_ID),0),c_RLVL_Bal)),0))</f>
        <v/>
      </c>
      <c r="J102" s="155" t="str">
        <f aca="false">IF(Rider_Input[[#This Row],[Rider ID]]="","",IFERROR(ABS(INDEX(RLVL_Data,MATCH(Rider_Input[[#This Row],[Rider ID]],INDEX(RLVL_Data,0,c_RLVL_ID),0),c_RLVL_Stack)),0))</f>
        <v/>
      </c>
      <c r="K102" s="155" t="str">
        <f aca="false">IF(Rider_Input[[#This Row],[Rider ID]]="","",SUMIFS(Adj_Input[Other Deductions],Adj_Input[Rider ID],Rider_Input[[#This Row],[Rider ID]]))</f>
        <v/>
      </c>
      <c r="L102" s="154" t="str">
        <f aca="false">IF(Rider_Input[[#This Row],[Rider ID]]="","",IFERROR(INDEX(Adj_Input[Note / Reason],MATCH(Rider_Input[[#This Row],[Rider ID]],Adj_Input[Rider ID],0))&amp;"",""))</f>
        <v/>
      </c>
    </row>
    <row r="103" customFormat="false" ht="14.25" hidden="false" customHeight="false" outlineLevel="0" collapsed="false">
      <c r="A103" s="152" t="str">
        <f aca="false">IF(Rider_Input[[#This Row],[Rider ID]]="","",Salary_Month)</f>
        <v/>
      </c>
      <c r="B103" s="153" t="str">
        <f aca="false">IFERROR(IF(INDEX(FTR_Data,ROW()-ROW(Rider_Input[#Headers]),c_FTR_ID)="","",INDEX(FTR_Data,ROW()-ROW(Rider_Input[#Headers]),c_FTR_ID)),"")</f>
        <v/>
      </c>
      <c r="C10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0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03" s="153" t="str">
        <f aca="false">IF(Rider_Input[[#This Row],[Rider ID]]="","",DAY(EOMONTH(Salary_Month,0)))</f>
        <v/>
      </c>
      <c r="F103" s="153" t="str">
        <f aca="false">IF(Rider_Input[[#This Row],[Rider ID]]="","",IFERROR(IF(INDEX(FTR_Data,ROW()-ROW(Rider_Input[#Headers]),c_FTR_WD)="","",INDEX(FTR_Data,ROW()-ROW(Rider_Input[#Headers]),c_FTR_WD)),""))</f>
        <v/>
      </c>
      <c r="G103" s="153" t="str">
        <f aca="false">IF(Rider_Input[[#This Row],[Rider ID]]="","",IFERROR(IF(INDEX(FTR_Data,ROW()-ROW(Rider_Input[#Headers]),c_FTR_Orders)="","",INDEX(FTR_Data,ROW()-ROW(Rider_Input[#Headers]),c_FTR_Orders)),""))</f>
        <v/>
      </c>
      <c r="H103" s="155" t="str">
        <f aca="false">IF(Rider_Input[[#This Row],[Rider ID]]="","",IFERROR(ABS(INDEX(RLVL_Data,MATCH(Rider_Input[[#This Row],[Rider ID]],INDEX(RLVL_Data,0,c_RLVL_ID),0),c_RLVL_Missed)),0))</f>
        <v/>
      </c>
      <c r="I103" s="155" t="str">
        <f aca="false">IF(Rider_Input[[#This Row],[Rider ID]]="","",IFERROR(ABS(INDEX(RLVL_Data,MATCH(Rider_Input[[#This Row],[Rider ID]],INDEX(RLVL_Data,0,c_RLVL_ID),0),c_RLVL_Bal)),0))</f>
        <v/>
      </c>
      <c r="J103" s="155" t="str">
        <f aca="false">IF(Rider_Input[[#This Row],[Rider ID]]="","",IFERROR(ABS(INDEX(RLVL_Data,MATCH(Rider_Input[[#This Row],[Rider ID]],INDEX(RLVL_Data,0,c_RLVL_ID),0),c_RLVL_Stack)),0))</f>
        <v/>
      </c>
      <c r="K103" s="155" t="str">
        <f aca="false">IF(Rider_Input[[#This Row],[Rider ID]]="","",SUMIFS(Adj_Input[Other Deductions],Adj_Input[Rider ID],Rider_Input[[#This Row],[Rider ID]]))</f>
        <v/>
      </c>
      <c r="L103" s="154" t="str">
        <f aca="false">IF(Rider_Input[[#This Row],[Rider ID]]="","",IFERROR(INDEX(Adj_Input[Note / Reason],MATCH(Rider_Input[[#This Row],[Rider ID]],Adj_Input[Rider ID],0))&amp;"",""))</f>
        <v/>
      </c>
    </row>
    <row r="104" customFormat="false" ht="14.25" hidden="false" customHeight="false" outlineLevel="0" collapsed="false">
      <c r="A104" s="152" t="str">
        <f aca="false">IF(Rider_Input[[#This Row],[Rider ID]]="","",Salary_Month)</f>
        <v/>
      </c>
      <c r="B104" s="153" t="str">
        <f aca="false">IFERROR(IF(INDEX(FTR_Data,ROW()-ROW(Rider_Input[#Headers]),c_FTR_ID)="","",INDEX(FTR_Data,ROW()-ROW(Rider_Input[#Headers]),c_FTR_ID)),"")</f>
        <v/>
      </c>
      <c r="C10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0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04" s="153" t="str">
        <f aca="false">IF(Rider_Input[[#This Row],[Rider ID]]="","",DAY(EOMONTH(Salary_Month,0)))</f>
        <v/>
      </c>
      <c r="F104" s="153" t="str">
        <f aca="false">IF(Rider_Input[[#This Row],[Rider ID]]="","",IFERROR(IF(INDEX(FTR_Data,ROW()-ROW(Rider_Input[#Headers]),c_FTR_WD)="","",INDEX(FTR_Data,ROW()-ROW(Rider_Input[#Headers]),c_FTR_WD)),""))</f>
        <v/>
      </c>
      <c r="G104" s="153" t="str">
        <f aca="false">IF(Rider_Input[[#This Row],[Rider ID]]="","",IFERROR(IF(INDEX(FTR_Data,ROW()-ROW(Rider_Input[#Headers]),c_FTR_Orders)="","",INDEX(FTR_Data,ROW()-ROW(Rider_Input[#Headers]),c_FTR_Orders)),""))</f>
        <v/>
      </c>
      <c r="H104" s="155" t="str">
        <f aca="false">IF(Rider_Input[[#This Row],[Rider ID]]="","",IFERROR(ABS(INDEX(RLVL_Data,MATCH(Rider_Input[[#This Row],[Rider ID]],INDEX(RLVL_Data,0,c_RLVL_ID),0),c_RLVL_Missed)),0))</f>
        <v/>
      </c>
      <c r="I104" s="155" t="str">
        <f aca="false">IF(Rider_Input[[#This Row],[Rider ID]]="","",IFERROR(ABS(INDEX(RLVL_Data,MATCH(Rider_Input[[#This Row],[Rider ID]],INDEX(RLVL_Data,0,c_RLVL_ID),0),c_RLVL_Bal)),0))</f>
        <v/>
      </c>
      <c r="J104" s="155" t="str">
        <f aca="false">IF(Rider_Input[[#This Row],[Rider ID]]="","",IFERROR(ABS(INDEX(RLVL_Data,MATCH(Rider_Input[[#This Row],[Rider ID]],INDEX(RLVL_Data,0,c_RLVL_ID),0),c_RLVL_Stack)),0))</f>
        <v/>
      </c>
      <c r="K104" s="155" t="str">
        <f aca="false">IF(Rider_Input[[#This Row],[Rider ID]]="","",SUMIFS(Adj_Input[Other Deductions],Adj_Input[Rider ID],Rider_Input[[#This Row],[Rider ID]]))</f>
        <v/>
      </c>
      <c r="L104" s="154" t="str">
        <f aca="false">IF(Rider_Input[[#This Row],[Rider ID]]="","",IFERROR(INDEX(Adj_Input[Note / Reason],MATCH(Rider_Input[[#This Row],[Rider ID]],Adj_Input[Rider ID],0))&amp;"",""))</f>
        <v/>
      </c>
    </row>
    <row r="105" customFormat="false" ht="14.25" hidden="false" customHeight="false" outlineLevel="0" collapsed="false">
      <c r="A105" s="152" t="str">
        <f aca="false">IF(Rider_Input[[#This Row],[Rider ID]]="","",Salary_Month)</f>
        <v/>
      </c>
      <c r="B105" s="153" t="str">
        <f aca="false">IFERROR(IF(INDEX(FTR_Data,ROW()-ROW(Rider_Input[#Headers]),c_FTR_ID)="","",INDEX(FTR_Data,ROW()-ROW(Rider_Input[#Headers]),c_FTR_ID)),"")</f>
        <v/>
      </c>
      <c r="C10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0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05" s="153" t="str">
        <f aca="false">IF(Rider_Input[[#This Row],[Rider ID]]="","",DAY(EOMONTH(Salary_Month,0)))</f>
        <v/>
      </c>
      <c r="F105" s="153" t="str">
        <f aca="false">IF(Rider_Input[[#This Row],[Rider ID]]="","",IFERROR(IF(INDEX(FTR_Data,ROW()-ROW(Rider_Input[#Headers]),c_FTR_WD)="","",INDEX(FTR_Data,ROW()-ROW(Rider_Input[#Headers]),c_FTR_WD)),""))</f>
        <v/>
      </c>
      <c r="G105" s="153" t="str">
        <f aca="false">IF(Rider_Input[[#This Row],[Rider ID]]="","",IFERROR(IF(INDEX(FTR_Data,ROW()-ROW(Rider_Input[#Headers]),c_FTR_Orders)="","",INDEX(FTR_Data,ROW()-ROW(Rider_Input[#Headers]),c_FTR_Orders)),""))</f>
        <v/>
      </c>
      <c r="H105" s="155" t="str">
        <f aca="false">IF(Rider_Input[[#This Row],[Rider ID]]="","",IFERROR(ABS(INDEX(RLVL_Data,MATCH(Rider_Input[[#This Row],[Rider ID]],INDEX(RLVL_Data,0,c_RLVL_ID),0),c_RLVL_Missed)),0))</f>
        <v/>
      </c>
      <c r="I105" s="155" t="str">
        <f aca="false">IF(Rider_Input[[#This Row],[Rider ID]]="","",IFERROR(ABS(INDEX(RLVL_Data,MATCH(Rider_Input[[#This Row],[Rider ID]],INDEX(RLVL_Data,0,c_RLVL_ID),0),c_RLVL_Bal)),0))</f>
        <v/>
      </c>
      <c r="J105" s="155" t="str">
        <f aca="false">IF(Rider_Input[[#This Row],[Rider ID]]="","",IFERROR(ABS(INDEX(RLVL_Data,MATCH(Rider_Input[[#This Row],[Rider ID]],INDEX(RLVL_Data,0,c_RLVL_ID),0),c_RLVL_Stack)),0))</f>
        <v/>
      </c>
      <c r="K105" s="155" t="str">
        <f aca="false">IF(Rider_Input[[#This Row],[Rider ID]]="","",SUMIFS(Adj_Input[Other Deductions],Adj_Input[Rider ID],Rider_Input[[#This Row],[Rider ID]]))</f>
        <v/>
      </c>
      <c r="L105" s="154" t="str">
        <f aca="false">IF(Rider_Input[[#This Row],[Rider ID]]="","",IFERROR(INDEX(Adj_Input[Note / Reason],MATCH(Rider_Input[[#This Row],[Rider ID]],Adj_Input[Rider ID],0))&amp;"",""))</f>
        <v/>
      </c>
    </row>
    <row r="106" customFormat="false" ht="14.25" hidden="false" customHeight="false" outlineLevel="0" collapsed="false">
      <c r="A106" s="152" t="str">
        <f aca="false">IF(Rider_Input[[#This Row],[Rider ID]]="","",Salary_Month)</f>
        <v/>
      </c>
      <c r="B106" s="153" t="str">
        <f aca="false">IFERROR(IF(INDEX(FTR_Data,ROW()-ROW(Rider_Input[#Headers]),c_FTR_ID)="","",INDEX(FTR_Data,ROW()-ROW(Rider_Input[#Headers]),c_FTR_ID)),"")</f>
        <v/>
      </c>
      <c r="C10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0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06" s="153" t="str">
        <f aca="false">IF(Rider_Input[[#This Row],[Rider ID]]="","",DAY(EOMONTH(Salary_Month,0)))</f>
        <v/>
      </c>
      <c r="F106" s="153" t="str">
        <f aca="false">IF(Rider_Input[[#This Row],[Rider ID]]="","",IFERROR(IF(INDEX(FTR_Data,ROW()-ROW(Rider_Input[#Headers]),c_FTR_WD)="","",INDEX(FTR_Data,ROW()-ROW(Rider_Input[#Headers]),c_FTR_WD)),""))</f>
        <v/>
      </c>
      <c r="G106" s="153" t="str">
        <f aca="false">IF(Rider_Input[[#This Row],[Rider ID]]="","",IFERROR(IF(INDEX(FTR_Data,ROW()-ROW(Rider_Input[#Headers]),c_FTR_Orders)="","",INDEX(FTR_Data,ROW()-ROW(Rider_Input[#Headers]),c_FTR_Orders)),""))</f>
        <v/>
      </c>
      <c r="H106" s="155" t="str">
        <f aca="false">IF(Rider_Input[[#This Row],[Rider ID]]="","",IFERROR(ABS(INDEX(RLVL_Data,MATCH(Rider_Input[[#This Row],[Rider ID]],INDEX(RLVL_Data,0,c_RLVL_ID),0),c_RLVL_Missed)),0))</f>
        <v/>
      </c>
      <c r="I106" s="155" t="str">
        <f aca="false">IF(Rider_Input[[#This Row],[Rider ID]]="","",IFERROR(ABS(INDEX(RLVL_Data,MATCH(Rider_Input[[#This Row],[Rider ID]],INDEX(RLVL_Data,0,c_RLVL_ID),0),c_RLVL_Bal)),0))</f>
        <v/>
      </c>
      <c r="J106" s="155" t="str">
        <f aca="false">IF(Rider_Input[[#This Row],[Rider ID]]="","",IFERROR(ABS(INDEX(RLVL_Data,MATCH(Rider_Input[[#This Row],[Rider ID]],INDEX(RLVL_Data,0,c_RLVL_ID),0),c_RLVL_Stack)),0))</f>
        <v/>
      </c>
      <c r="K106" s="155" t="str">
        <f aca="false">IF(Rider_Input[[#This Row],[Rider ID]]="","",SUMIFS(Adj_Input[Other Deductions],Adj_Input[Rider ID],Rider_Input[[#This Row],[Rider ID]]))</f>
        <v/>
      </c>
      <c r="L106" s="154" t="str">
        <f aca="false">IF(Rider_Input[[#This Row],[Rider ID]]="","",IFERROR(INDEX(Adj_Input[Note / Reason],MATCH(Rider_Input[[#This Row],[Rider ID]],Adj_Input[Rider ID],0))&amp;"",""))</f>
        <v/>
      </c>
    </row>
    <row r="107" customFormat="false" ht="14.25" hidden="false" customHeight="false" outlineLevel="0" collapsed="false">
      <c r="A107" s="152" t="str">
        <f aca="false">IF(Rider_Input[[#This Row],[Rider ID]]="","",Salary_Month)</f>
        <v/>
      </c>
      <c r="B107" s="153" t="str">
        <f aca="false">IFERROR(IF(INDEX(FTR_Data,ROW()-ROW(Rider_Input[#Headers]),c_FTR_ID)="","",INDEX(FTR_Data,ROW()-ROW(Rider_Input[#Headers]),c_FTR_ID)),"")</f>
        <v/>
      </c>
      <c r="C10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0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07" s="153" t="str">
        <f aca="false">IF(Rider_Input[[#This Row],[Rider ID]]="","",DAY(EOMONTH(Salary_Month,0)))</f>
        <v/>
      </c>
      <c r="F107" s="153" t="str">
        <f aca="false">IF(Rider_Input[[#This Row],[Rider ID]]="","",IFERROR(IF(INDEX(FTR_Data,ROW()-ROW(Rider_Input[#Headers]),c_FTR_WD)="","",INDEX(FTR_Data,ROW()-ROW(Rider_Input[#Headers]),c_FTR_WD)),""))</f>
        <v/>
      </c>
      <c r="G107" s="153" t="str">
        <f aca="false">IF(Rider_Input[[#This Row],[Rider ID]]="","",IFERROR(IF(INDEX(FTR_Data,ROW()-ROW(Rider_Input[#Headers]),c_FTR_Orders)="","",INDEX(FTR_Data,ROW()-ROW(Rider_Input[#Headers]),c_FTR_Orders)),""))</f>
        <v/>
      </c>
      <c r="H107" s="155" t="str">
        <f aca="false">IF(Rider_Input[[#This Row],[Rider ID]]="","",IFERROR(ABS(INDEX(RLVL_Data,MATCH(Rider_Input[[#This Row],[Rider ID]],INDEX(RLVL_Data,0,c_RLVL_ID),0),c_RLVL_Missed)),0))</f>
        <v/>
      </c>
      <c r="I107" s="155" t="str">
        <f aca="false">IF(Rider_Input[[#This Row],[Rider ID]]="","",IFERROR(ABS(INDEX(RLVL_Data,MATCH(Rider_Input[[#This Row],[Rider ID]],INDEX(RLVL_Data,0,c_RLVL_ID),0),c_RLVL_Bal)),0))</f>
        <v/>
      </c>
      <c r="J107" s="155" t="str">
        <f aca="false">IF(Rider_Input[[#This Row],[Rider ID]]="","",IFERROR(ABS(INDEX(RLVL_Data,MATCH(Rider_Input[[#This Row],[Rider ID]],INDEX(RLVL_Data,0,c_RLVL_ID),0),c_RLVL_Stack)),0))</f>
        <v/>
      </c>
      <c r="K107" s="155" t="str">
        <f aca="false">IF(Rider_Input[[#This Row],[Rider ID]]="","",SUMIFS(Adj_Input[Other Deductions],Adj_Input[Rider ID],Rider_Input[[#This Row],[Rider ID]]))</f>
        <v/>
      </c>
      <c r="L107" s="154" t="str">
        <f aca="false">IF(Rider_Input[[#This Row],[Rider ID]]="","",IFERROR(INDEX(Adj_Input[Note / Reason],MATCH(Rider_Input[[#This Row],[Rider ID]],Adj_Input[Rider ID],0))&amp;"",""))</f>
        <v/>
      </c>
    </row>
    <row r="108" customFormat="false" ht="14.25" hidden="false" customHeight="false" outlineLevel="0" collapsed="false">
      <c r="A108" s="152" t="str">
        <f aca="false">IF(Rider_Input[[#This Row],[Rider ID]]="","",Salary_Month)</f>
        <v/>
      </c>
      <c r="B108" s="153" t="str">
        <f aca="false">IFERROR(IF(INDEX(FTR_Data,ROW()-ROW(Rider_Input[#Headers]),c_FTR_ID)="","",INDEX(FTR_Data,ROW()-ROW(Rider_Input[#Headers]),c_FTR_ID)),"")</f>
        <v/>
      </c>
      <c r="C10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0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08" s="153" t="str">
        <f aca="false">IF(Rider_Input[[#This Row],[Rider ID]]="","",DAY(EOMONTH(Salary_Month,0)))</f>
        <v/>
      </c>
      <c r="F108" s="153" t="str">
        <f aca="false">IF(Rider_Input[[#This Row],[Rider ID]]="","",IFERROR(IF(INDEX(FTR_Data,ROW()-ROW(Rider_Input[#Headers]),c_FTR_WD)="","",INDEX(FTR_Data,ROW()-ROW(Rider_Input[#Headers]),c_FTR_WD)),""))</f>
        <v/>
      </c>
      <c r="G108" s="153" t="str">
        <f aca="false">IF(Rider_Input[[#This Row],[Rider ID]]="","",IFERROR(IF(INDEX(FTR_Data,ROW()-ROW(Rider_Input[#Headers]),c_FTR_Orders)="","",INDEX(FTR_Data,ROW()-ROW(Rider_Input[#Headers]),c_FTR_Orders)),""))</f>
        <v/>
      </c>
      <c r="H108" s="155" t="str">
        <f aca="false">IF(Rider_Input[[#This Row],[Rider ID]]="","",IFERROR(ABS(INDEX(RLVL_Data,MATCH(Rider_Input[[#This Row],[Rider ID]],INDEX(RLVL_Data,0,c_RLVL_ID),0),c_RLVL_Missed)),0))</f>
        <v/>
      </c>
      <c r="I108" s="155" t="str">
        <f aca="false">IF(Rider_Input[[#This Row],[Rider ID]]="","",IFERROR(ABS(INDEX(RLVL_Data,MATCH(Rider_Input[[#This Row],[Rider ID]],INDEX(RLVL_Data,0,c_RLVL_ID),0),c_RLVL_Bal)),0))</f>
        <v/>
      </c>
      <c r="J108" s="155" t="str">
        <f aca="false">IF(Rider_Input[[#This Row],[Rider ID]]="","",IFERROR(ABS(INDEX(RLVL_Data,MATCH(Rider_Input[[#This Row],[Rider ID]],INDEX(RLVL_Data,0,c_RLVL_ID),0),c_RLVL_Stack)),0))</f>
        <v/>
      </c>
      <c r="K108" s="155" t="str">
        <f aca="false">IF(Rider_Input[[#This Row],[Rider ID]]="","",SUMIFS(Adj_Input[Other Deductions],Adj_Input[Rider ID],Rider_Input[[#This Row],[Rider ID]]))</f>
        <v/>
      </c>
      <c r="L108" s="154" t="str">
        <f aca="false">IF(Rider_Input[[#This Row],[Rider ID]]="","",IFERROR(INDEX(Adj_Input[Note / Reason],MATCH(Rider_Input[[#This Row],[Rider ID]],Adj_Input[Rider ID],0))&amp;"",""))</f>
        <v/>
      </c>
    </row>
    <row r="109" customFormat="false" ht="14.25" hidden="false" customHeight="false" outlineLevel="0" collapsed="false">
      <c r="A109" s="152" t="str">
        <f aca="false">IF(Rider_Input[[#This Row],[Rider ID]]="","",Salary_Month)</f>
        <v/>
      </c>
      <c r="B109" s="153" t="str">
        <f aca="false">IFERROR(IF(INDEX(FTR_Data,ROW()-ROW(Rider_Input[#Headers]),c_FTR_ID)="","",INDEX(FTR_Data,ROW()-ROW(Rider_Input[#Headers]),c_FTR_ID)),"")</f>
        <v/>
      </c>
      <c r="C10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0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09" s="153" t="str">
        <f aca="false">IF(Rider_Input[[#This Row],[Rider ID]]="","",DAY(EOMONTH(Salary_Month,0)))</f>
        <v/>
      </c>
      <c r="F109" s="153" t="str">
        <f aca="false">IF(Rider_Input[[#This Row],[Rider ID]]="","",IFERROR(IF(INDEX(FTR_Data,ROW()-ROW(Rider_Input[#Headers]),c_FTR_WD)="","",INDEX(FTR_Data,ROW()-ROW(Rider_Input[#Headers]),c_FTR_WD)),""))</f>
        <v/>
      </c>
      <c r="G109" s="153" t="str">
        <f aca="false">IF(Rider_Input[[#This Row],[Rider ID]]="","",IFERROR(IF(INDEX(FTR_Data,ROW()-ROW(Rider_Input[#Headers]),c_FTR_Orders)="","",INDEX(FTR_Data,ROW()-ROW(Rider_Input[#Headers]),c_FTR_Orders)),""))</f>
        <v/>
      </c>
      <c r="H109" s="155" t="str">
        <f aca="false">IF(Rider_Input[[#This Row],[Rider ID]]="","",IFERROR(ABS(INDEX(RLVL_Data,MATCH(Rider_Input[[#This Row],[Rider ID]],INDEX(RLVL_Data,0,c_RLVL_ID),0),c_RLVL_Missed)),0))</f>
        <v/>
      </c>
      <c r="I109" s="155" t="str">
        <f aca="false">IF(Rider_Input[[#This Row],[Rider ID]]="","",IFERROR(ABS(INDEX(RLVL_Data,MATCH(Rider_Input[[#This Row],[Rider ID]],INDEX(RLVL_Data,0,c_RLVL_ID),0),c_RLVL_Bal)),0))</f>
        <v/>
      </c>
      <c r="J109" s="155" t="str">
        <f aca="false">IF(Rider_Input[[#This Row],[Rider ID]]="","",IFERROR(ABS(INDEX(RLVL_Data,MATCH(Rider_Input[[#This Row],[Rider ID]],INDEX(RLVL_Data,0,c_RLVL_ID),0),c_RLVL_Stack)),0))</f>
        <v/>
      </c>
      <c r="K109" s="155" t="str">
        <f aca="false">IF(Rider_Input[[#This Row],[Rider ID]]="","",SUMIFS(Adj_Input[Other Deductions],Adj_Input[Rider ID],Rider_Input[[#This Row],[Rider ID]]))</f>
        <v/>
      </c>
      <c r="L109" s="154" t="str">
        <f aca="false">IF(Rider_Input[[#This Row],[Rider ID]]="","",IFERROR(INDEX(Adj_Input[Note / Reason],MATCH(Rider_Input[[#This Row],[Rider ID]],Adj_Input[Rider ID],0))&amp;"",""))</f>
        <v/>
      </c>
    </row>
    <row r="110" customFormat="false" ht="14.25" hidden="false" customHeight="false" outlineLevel="0" collapsed="false">
      <c r="A110" s="152" t="str">
        <f aca="false">IF(Rider_Input[[#This Row],[Rider ID]]="","",Salary_Month)</f>
        <v/>
      </c>
      <c r="B110" s="153" t="str">
        <f aca="false">IFERROR(IF(INDEX(FTR_Data,ROW()-ROW(Rider_Input[#Headers]),c_FTR_ID)="","",INDEX(FTR_Data,ROW()-ROW(Rider_Input[#Headers]),c_FTR_ID)),"")</f>
        <v/>
      </c>
      <c r="C11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1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10" s="153" t="str">
        <f aca="false">IF(Rider_Input[[#This Row],[Rider ID]]="","",DAY(EOMONTH(Salary_Month,0)))</f>
        <v/>
      </c>
      <c r="F110" s="153" t="str">
        <f aca="false">IF(Rider_Input[[#This Row],[Rider ID]]="","",IFERROR(IF(INDEX(FTR_Data,ROW()-ROW(Rider_Input[#Headers]),c_FTR_WD)="","",INDEX(FTR_Data,ROW()-ROW(Rider_Input[#Headers]),c_FTR_WD)),""))</f>
        <v/>
      </c>
      <c r="G110" s="153" t="str">
        <f aca="false">IF(Rider_Input[[#This Row],[Rider ID]]="","",IFERROR(IF(INDEX(FTR_Data,ROW()-ROW(Rider_Input[#Headers]),c_FTR_Orders)="","",INDEX(FTR_Data,ROW()-ROW(Rider_Input[#Headers]),c_FTR_Orders)),""))</f>
        <v/>
      </c>
      <c r="H110" s="155" t="str">
        <f aca="false">IF(Rider_Input[[#This Row],[Rider ID]]="","",IFERROR(ABS(INDEX(RLVL_Data,MATCH(Rider_Input[[#This Row],[Rider ID]],INDEX(RLVL_Data,0,c_RLVL_ID),0),c_RLVL_Missed)),0))</f>
        <v/>
      </c>
      <c r="I110" s="155" t="str">
        <f aca="false">IF(Rider_Input[[#This Row],[Rider ID]]="","",IFERROR(ABS(INDEX(RLVL_Data,MATCH(Rider_Input[[#This Row],[Rider ID]],INDEX(RLVL_Data,0,c_RLVL_ID),0),c_RLVL_Bal)),0))</f>
        <v/>
      </c>
      <c r="J110" s="155" t="str">
        <f aca="false">IF(Rider_Input[[#This Row],[Rider ID]]="","",IFERROR(ABS(INDEX(RLVL_Data,MATCH(Rider_Input[[#This Row],[Rider ID]],INDEX(RLVL_Data,0,c_RLVL_ID),0),c_RLVL_Stack)),0))</f>
        <v/>
      </c>
      <c r="K110" s="155" t="str">
        <f aca="false">IF(Rider_Input[[#This Row],[Rider ID]]="","",SUMIFS(Adj_Input[Other Deductions],Adj_Input[Rider ID],Rider_Input[[#This Row],[Rider ID]]))</f>
        <v/>
      </c>
      <c r="L110" s="154" t="str">
        <f aca="false">IF(Rider_Input[[#This Row],[Rider ID]]="","",IFERROR(INDEX(Adj_Input[Note / Reason],MATCH(Rider_Input[[#This Row],[Rider ID]],Adj_Input[Rider ID],0))&amp;"",""))</f>
        <v/>
      </c>
    </row>
    <row r="111" customFormat="false" ht="14.25" hidden="false" customHeight="false" outlineLevel="0" collapsed="false">
      <c r="A111" s="152" t="str">
        <f aca="false">IF(Rider_Input[[#This Row],[Rider ID]]="","",Salary_Month)</f>
        <v/>
      </c>
      <c r="B111" s="153" t="str">
        <f aca="false">IFERROR(IF(INDEX(FTR_Data,ROW()-ROW(Rider_Input[#Headers]),c_FTR_ID)="","",INDEX(FTR_Data,ROW()-ROW(Rider_Input[#Headers]),c_FTR_ID)),"")</f>
        <v/>
      </c>
      <c r="C11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1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11" s="153" t="str">
        <f aca="false">IF(Rider_Input[[#This Row],[Rider ID]]="","",DAY(EOMONTH(Salary_Month,0)))</f>
        <v/>
      </c>
      <c r="F111" s="153" t="str">
        <f aca="false">IF(Rider_Input[[#This Row],[Rider ID]]="","",IFERROR(IF(INDEX(FTR_Data,ROW()-ROW(Rider_Input[#Headers]),c_FTR_WD)="","",INDEX(FTR_Data,ROW()-ROW(Rider_Input[#Headers]),c_FTR_WD)),""))</f>
        <v/>
      </c>
      <c r="G111" s="153" t="str">
        <f aca="false">IF(Rider_Input[[#This Row],[Rider ID]]="","",IFERROR(IF(INDEX(FTR_Data,ROW()-ROW(Rider_Input[#Headers]),c_FTR_Orders)="","",INDEX(FTR_Data,ROW()-ROW(Rider_Input[#Headers]),c_FTR_Orders)),""))</f>
        <v/>
      </c>
      <c r="H111" s="155" t="str">
        <f aca="false">IF(Rider_Input[[#This Row],[Rider ID]]="","",IFERROR(ABS(INDEX(RLVL_Data,MATCH(Rider_Input[[#This Row],[Rider ID]],INDEX(RLVL_Data,0,c_RLVL_ID),0),c_RLVL_Missed)),0))</f>
        <v/>
      </c>
      <c r="I111" s="155" t="str">
        <f aca="false">IF(Rider_Input[[#This Row],[Rider ID]]="","",IFERROR(ABS(INDEX(RLVL_Data,MATCH(Rider_Input[[#This Row],[Rider ID]],INDEX(RLVL_Data,0,c_RLVL_ID),0),c_RLVL_Bal)),0))</f>
        <v/>
      </c>
      <c r="J111" s="155" t="str">
        <f aca="false">IF(Rider_Input[[#This Row],[Rider ID]]="","",IFERROR(ABS(INDEX(RLVL_Data,MATCH(Rider_Input[[#This Row],[Rider ID]],INDEX(RLVL_Data,0,c_RLVL_ID),0),c_RLVL_Stack)),0))</f>
        <v/>
      </c>
      <c r="K111" s="155" t="str">
        <f aca="false">IF(Rider_Input[[#This Row],[Rider ID]]="","",SUMIFS(Adj_Input[Other Deductions],Adj_Input[Rider ID],Rider_Input[[#This Row],[Rider ID]]))</f>
        <v/>
      </c>
      <c r="L111" s="154" t="str">
        <f aca="false">IF(Rider_Input[[#This Row],[Rider ID]]="","",IFERROR(INDEX(Adj_Input[Note / Reason],MATCH(Rider_Input[[#This Row],[Rider ID]],Adj_Input[Rider ID],0))&amp;"",""))</f>
        <v/>
      </c>
    </row>
    <row r="112" customFormat="false" ht="14.25" hidden="false" customHeight="false" outlineLevel="0" collapsed="false">
      <c r="A112" s="152" t="str">
        <f aca="false">IF(Rider_Input[[#This Row],[Rider ID]]="","",Salary_Month)</f>
        <v/>
      </c>
      <c r="B112" s="153" t="str">
        <f aca="false">IFERROR(IF(INDEX(FTR_Data,ROW()-ROW(Rider_Input[#Headers]),c_FTR_ID)="","",INDEX(FTR_Data,ROW()-ROW(Rider_Input[#Headers]),c_FTR_ID)),"")</f>
        <v/>
      </c>
      <c r="C11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1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12" s="153" t="str">
        <f aca="false">IF(Rider_Input[[#This Row],[Rider ID]]="","",DAY(EOMONTH(Salary_Month,0)))</f>
        <v/>
      </c>
      <c r="F112" s="153" t="str">
        <f aca="false">IF(Rider_Input[[#This Row],[Rider ID]]="","",IFERROR(IF(INDEX(FTR_Data,ROW()-ROW(Rider_Input[#Headers]),c_FTR_WD)="","",INDEX(FTR_Data,ROW()-ROW(Rider_Input[#Headers]),c_FTR_WD)),""))</f>
        <v/>
      </c>
      <c r="G112" s="153" t="str">
        <f aca="false">IF(Rider_Input[[#This Row],[Rider ID]]="","",IFERROR(IF(INDEX(FTR_Data,ROW()-ROW(Rider_Input[#Headers]),c_FTR_Orders)="","",INDEX(FTR_Data,ROW()-ROW(Rider_Input[#Headers]),c_FTR_Orders)),""))</f>
        <v/>
      </c>
      <c r="H112" s="155" t="str">
        <f aca="false">IF(Rider_Input[[#This Row],[Rider ID]]="","",IFERROR(ABS(INDEX(RLVL_Data,MATCH(Rider_Input[[#This Row],[Rider ID]],INDEX(RLVL_Data,0,c_RLVL_ID),0),c_RLVL_Missed)),0))</f>
        <v/>
      </c>
      <c r="I112" s="155" t="str">
        <f aca="false">IF(Rider_Input[[#This Row],[Rider ID]]="","",IFERROR(ABS(INDEX(RLVL_Data,MATCH(Rider_Input[[#This Row],[Rider ID]],INDEX(RLVL_Data,0,c_RLVL_ID),0),c_RLVL_Bal)),0))</f>
        <v/>
      </c>
      <c r="J112" s="155" t="str">
        <f aca="false">IF(Rider_Input[[#This Row],[Rider ID]]="","",IFERROR(ABS(INDEX(RLVL_Data,MATCH(Rider_Input[[#This Row],[Rider ID]],INDEX(RLVL_Data,0,c_RLVL_ID),0),c_RLVL_Stack)),0))</f>
        <v/>
      </c>
      <c r="K112" s="155" t="str">
        <f aca="false">IF(Rider_Input[[#This Row],[Rider ID]]="","",SUMIFS(Adj_Input[Other Deductions],Adj_Input[Rider ID],Rider_Input[[#This Row],[Rider ID]]))</f>
        <v/>
      </c>
      <c r="L112" s="154" t="str">
        <f aca="false">IF(Rider_Input[[#This Row],[Rider ID]]="","",IFERROR(INDEX(Adj_Input[Note / Reason],MATCH(Rider_Input[[#This Row],[Rider ID]],Adj_Input[Rider ID],0))&amp;"",""))</f>
        <v/>
      </c>
    </row>
    <row r="113" customFormat="false" ht="14.25" hidden="false" customHeight="false" outlineLevel="0" collapsed="false">
      <c r="A113" s="152" t="str">
        <f aca="false">IF(Rider_Input[[#This Row],[Rider ID]]="","",Salary_Month)</f>
        <v/>
      </c>
      <c r="B113" s="153" t="str">
        <f aca="false">IFERROR(IF(INDEX(FTR_Data,ROW()-ROW(Rider_Input[#Headers]),c_FTR_ID)="","",INDEX(FTR_Data,ROW()-ROW(Rider_Input[#Headers]),c_FTR_ID)),"")</f>
        <v/>
      </c>
      <c r="C11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1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13" s="153" t="str">
        <f aca="false">IF(Rider_Input[[#This Row],[Rider ID]]="","",DAY(EOMONTH(Salary_Month,0)))</f>
        <v/>
      </c>
      <c r="F113" s="153" t="str">
        <f aca="false">IF(Rider_Input[[#This Row],[Rider ID]]="","",IFERROR(IF(INDEX(FTR_Data,ROW()-ROW(Rider_Input[#Headers]),c_FTR_WD)="","",INDEX(FTR_Data,ROW()-ROW(Rider_Input[#Headers]),c_FTR_WD)),""))</f>
        <v/>
      </c>
      <c r="G113" s="153" t="str">
        <f aca="false">IF(Rider_Input[[#This Row],[Rider ID]]="","",IFERROR(IF(INDEX(FTR_Data,ROW()-ROW(Rider_Input[#Headers]),c_FTR_Orders)="","",INDEX(FTR_Data,ROW()-ROW(Rider_Input[#Headers]),c_FTR_Orders)),""))</f>
        <v/>
      </c>
      <c r="H113" s="155" t="str">
        <f aca="false">IF(Rider_Input[[#This Row],[Rider ID]]="","",IFERROR(ABS(INDEX(RLVL_Data,MATCH(Rider_Input[[#This Row],[Rider ID]],INDEX(RLVL_Data,0,c_RLVL_ID),0),c_RLVL_Missed)),0))</f>
        <v/>
      </c>
      <c r="I113" s="155" t="str">
        <f aca="false">IF(Rider_Input[[#This Row],[Rider ID]]="","",IFERROR(ABS(INDEX(RLVL_Data,MATCH(Rider_Input[[#This Row],[Rider ID]],INDEX(RLVL_Data,0,c_RLVL_ID),0),c_RLVL_Bal)),0))</f>
        <v/>
      </c>
      <c r="J113" s="155" t="str">
        <f aca="false">IF(Rider_Input[[#This Row],[Rider ID]]="","",IFERROR(ABS(INDEX(RLVL_Data,MATCH(Rider_Input[[#This Row],[Rider ID]],INDEX(RLVL_Data,0,c_RLVL_ID),0),c_RLVL_Stack)),0))</f>
        <v/>
      </c>
      <c r="K113" s="155" t="str">
        <f aca="false">IF(Rider_Input[[#This Row],[Rider ID]]="","",SUMIFS(Adj_Input[Other Deductions],Adj_Input[Rider ID],Rider_Input[[#This Row],[Rider ID]]))</f>
        <v/>
      </c>
      <c r="L113" s="154" t="str">
        <f aca="false">IF(Rider_Input[[#This Row],[Rider ID]]="","",IFERROR(INDEX(Adj_Input[Note / Reason],MATCH(Rider_Input[[#This Row],[Rider ID]],Adj_Input[Rider ID],0))&amp;"",""))</f>
        <v/>
      </c>
    </row>
    <row r="114" customFormat="false" ht="14.25" hidden="false" customHeight="false" outlineLevel="0" collapsed="false">
      <c r="A114" s="152" t="str">
        <f aca="false">IF(Rider_Input[[#This Row],[Rider ID]]="","",Salary_Month)</f>
        <v/>
      </c>
      <c r="B114" s="153" t="str">
        <f aca="false">IFERROR(IF(INDEX(FTR_Data,ROW()-ROW(Rider_Input[#Headers]),c_FTR_ID)="","",INDEX(FTR_Data,ROW()-ROW(Rider_Input[#Headers]),c_FTR_ID)),"")</f>
        <v/>
      </c>
      <c r="C11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1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14" s="153" t="str">
        <f aca="false">IF(Rider_Input[[#This Row],[Rider ID]]="","",DAY(EOMONTH(Salary_Month,0)))</f>
        <v/>
      </c>
      <c r="F114" s="153" t="str">
        <f aca="false">IF(Rider_Input[[#This Row],[Rider ID]]="","",IFERROR(IF(INDEX(FTR_Data,ROW()-ROW(Rider_Input[#Headers]),c_FTR_WD)="","",INDEX(FTR_Data,ROW()-ROW(Rider_Input[#Headers]),c_FTR_WD)),""))</f>
        <v/>
      </c>
      <c r="G114" s="153" t="str">
        <f aca="false">IF(Rider_Input[[#This Row],[Rider ID]]="","",IFERROR(IF(INDEX(FTR_Data,ROW()-ROW(Rider_Input[#Headers]),c_FTR_Orders)="","",INDEX(FTR_Data,ROW()-ROW(Rider_Input[#Headers]),c_FTR_Orders)),""))</f>
        <v/>
      </c>
      <c r="H114" s="155" t="str">
        <f aca="false">IF(Rider_Input[[#This Row],[Rider ID]]="","",IFERROR(ABS(INDEX(RLVL_Data,MATCH(Rider_Input[[#This Row],[Rider ID]],INDEX(RLVL_Data,0,c_RLVL_ID),0),c_RLVL_Missed)),0))</f>
        <v/>
      </c>
      <c r="I114" s="155" t="str">
        <f aca="false">IF(Rider_Input[[#This Row],[Rider ID]]="","",IFERROR(ABS(INDEX(RLVL_Data,MATCH(Rider_Input[[#This Row],[Rider ID]],INDEX(RLVL_Data,0,c_RLVL_ID),0),c_RLVL_Bal)),0))</f>
        <v/>
      </c>
      <c r="J114" s="155" t="str">
        <f aca="false">IF(Rider_Input[[#This Row],[Rider ID]]="","",IFERROR(ABS(INDEX(RLVL_Data,MATCH(Rider_Input[[#This Row],[Rider ID]],INDEX(RLVL_Data,0,c_RLVL_ID),0),c_RLVL_Stack)),0))</f>
        <v/>
      </c>
      <c r="K114" s="155" t="str">
        <f aca="false">IF(Rider_Input[[#This Row],[Rider ID]]="","",SUMIFS(Adj_Input[Other Deductions],Adj_Input[Rider ID],Rider_Input[[#This Row],[Rider ID]]))</f>
        <v/>
      </c>
      <c r="L114" s="154" t="str">
        <f aca="false">IF(Rider_Input[[#This Row],[Rider ID]]="","",IFERROR(INDEX(Adj_Input[Note / Reason],MATCH(Rider_Input[[#This Row],[Rider ID]],Adj_Input[Rider ID],0))&amp;"",""))</f>
        <v/>
      </c>
    </row>
    <row r="115" customFormat="false" ht="14.25" hidden="false" customHeight="false" outlineLevel="0" collapsed="false">
      <c r="A115" s="152" t="str">
        <f aca="false">IF(Rider_Input[[#This Row],[Rider ID]]="","",Salary_Month)</f>
        <v/>
      </c>
      <c r="B115" s="153" t="str">
        <f aca="false">IFERROR(IF(INDEX(FTR_Data,ROW()-ROW(Rider_Input[#Headers]),c_FTR_ID)="","",INDEX(FTR_Data,ROW()-ROW(Rider_Input[#Headers]),c_FTR_ID)),"")</f>
        <v/>
      </c>
      <c r="C11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1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15" s="153" t="str">
        <f aca="false">IF(Rider_Input[[#This Row],[Rider ID]]="","",DAY(EOMONTH(Salary_Month,0)))</f>
        <v/>
      </c>
      <c r="F115" s="153" t="str">
        <f aca="false">IF(Rider_Input[[#This Row],[Rider ID]]="","",IFERROR(IF(INDEX(FTR_Data,ROW()-ROW(Rider_Input[#Headers]),c_FTR_WD)="","",INDEX(FTR_Data,ROW()-ROW(Rider_Input[#Headers]),c_FTR_WD)),""))</f>
        <v/>
      </c>
      <c r="G115" s="153" t="str">
        <f aca="false">IF(Rider_Input[[#This Row],[Rider ID]]="","",IFERROR(IF(INDEX(FTR_Data,ROW()-ROW(Rider_Input[#Headers]),c_FTR_Orders)="","",INDEX(FTR_Data,ROW()-ROW(Rider_Input[#Headers]),c_FTR_Orders)),""))</f>
        <v/>
      </c>
      <c r="H115" s="155" t="str">
        <f aca="false">IF(Rider_Input[[#This Row],[Rider ID]]="","",IFERROR(ABS(INDEX(RLVL_Data,MATCH(Rider_Input[[#This Row],[Rider ID]],INDEX(RLVL_Data,0,c_RLVL_ID),0),c_RLVL_Missed)),0))</f>
        <v/>
      </c>
      <c r="I115" s="155" t="str">
        <f aca="false">IF(Rider_Input[[#This Row],[Rider ID]]="","",IFERROR(ABS(INDEX(RLVL_Data,MATCH(Rider_Input[[#This Row],[Rider ID]],INDEX(RLVL_Data,0,c_RLVL_ID),0),c_RLVL_Bal)),0))</f>
        <v/>
      </c>
      <c r="J115" s="155" t="str">
        <f aca="false">IF(Rider_Input[[#This Row],[Rider ID]]="","",IFERROR(ABS(INDEX(RLVL_Data,MATCH(Rider_Input[[#This Row],[Rider ID]],INDEX(RLVL_Data,0,c_RLVL_ID),0),c_RLVL_Stack)),0))</f>
        <v/>
      </c>
      <c r="K115" s="155" t="str">
        <f aca="false">IF(Rider_Input[[#This Row],[Rider ID]]="","",SUMIFS(Adj_Input[Other Deductions],Adj_Input[Rider ID],Rider_Input[[#This Row],[Rider ID]]))</f>
        <v/>
      </c>
      <c r="L115" s="154" t="str">
        <f aca="false">IF(Rider_Input[[#This Row],[Rider ID]]="","",IFERROR(INDEX(Adj_Input[Note / Reason],MATCH(Rider_Input[[#This Row],[Rider ID]],Adj_Input[Rider ID],0))&amp;"",""))</f>
        <v/>
      </c>
    </row>
    <row r="116" customFormat="false" ht="14.25" hidden="false" customHeight="false" outlineLevel="0" collapsed="false">
      <c r="A116" s="152" t="str">
        <f aca="false">IF(Rider_Input[[#This Row],[Rider ID]]="","",Salary_Month)</f>
        <v/>
      </c>
      <c r="B116" s="153" t="str">
        <f aca="false">IFERROR(IF(INDEX(FTR_Data,ROW()-ROW(Rider_Input[#Headers]),c_FTR_ID)="","",INDEX(FTR_Data,ROW()-ROW(Rider_Input[#Headers]),c_FTR_ID)),"")</f>
        <v/>
      </c>
      <c r="C11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1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16" s="153" t="str">
        <f aca="false">IF(Rider_Input[[#This Row],[Rider ID]]="","",DAY(EOMONTH(Salary_Month,0)))</f>
        <v/>
      </c>
      <c r="F116" s="153" t="str">
        <f aca="false">IF(Rider_Input[[#This Row],[Rider ID]]="","",IFERROR(IF(INDEX(FTR_Data,ROW()-ROW(Rider_Input[#Headers]),c_FTR_WD)="","",INDEX(FTR_Data,ROW()-ROW(Rider_Input[#Headers]),c_FTR_WD)),""))</f>
        <v/>
      </c>
      <c r="G116" s="153" t="str">
        <f aca="false">IF(Rider_Input[[#This Row],[Rider ID]]="","",IFERROR(IF(INDEX(FTR_Data,ROW()-ROW(Rider_Input[#Headers]),c_FTR_Orders)="","",INDEX(FTR_Data,ROW()-ROW(Rider_Input[#Headers]),c_FTR_Orders)),""))</f>
        <v/>
      </c>
      <c r="H116" s="155" t="str">
        <f aca="false">IF(Rider_Input[[#This Row],[Rider ID]]="","",IFERROR(ABS(INDEX(RLVL_Data,MATCH(Rider_Input[[#This Row],[Rider ID]],INDEX(RLVL_Data,0,c_RLVL_ID),0),c_RLVL_Missed)),0))</f>
        <v/>
      </c>
      <c r="I116" s="155" t="str">
        <f aca="false">IF(Rider_Input[[#This Row],[Rider ID]]="","",IFERROR(ABS(INDEX(RLVL_Data,MATCH(Rider_Input[[#This Row],[Rider ID]],INDEX(RLVL_Data,0,c_RLVL_ID),0),c_RLVL_Bal)),0))</f>
        <v/>
      </c>
      <c r="J116" s="155" t="str">
        <f aca="false">IF(Rider_Input[[#This Row],[Rider ID]]="","",IFERROR(ABS(INDEX(RLVL_Data,MATCH(Rider_Input[[#This Row],[Rider ID]],INDEX(RLVL_Data,0,c_RLVL_ID),0),c_RLVL_Stack)),0))</f>
        <v/>
      </c>
      <c r="K116" s="155" t="str">
        <f aca="false">IF(Rider_Input[[#This Row],[Rider ID]]="","",SUMIFS(Adj_Input[Other Deductions],Adj_Input[Rider ID],Rider_Input[[#This Row],[Rider ID]]))</f>
        <v/>
      </c>
      <c r="L116" s="154" t="str">
        <f aca="false">IF(Rider_Input[[#This Row],[Rider ID]]="","",IFERROR(INDEX(Adj_Input[Note / Reason],MATCH(Rider_Input[[#This Row],[Rider ID]],Adj_Input[Rider ID],0))&amp;"",""))</f>
        <v/>
      </c>
    </row>
    <row r="117" customFormat="false" ht="14.25" hidden="false" customHeight="false" outlineLevel="0" collapsed="false">
      <c r="A117" s="152" t="str">
        <f aca="false">IF(Rider_Input[[#This Row],[Rider ID]]="","",Salary_Month)</f>
        <v/>
      </c>
      <c r="B117" s="153" t="str">
        <f aca="false">IFERROR(IF(INDEX(FTR_Data,ROW()-ROW(Rider_Input[#Headers]),c_FTR_ID)="","",INDEX(FTR_Data,ROW()-ROW(Rider_Input[#Headers]),c_FTR_ID)),"")</f>
        <v/>
      </c>
      <c r="C11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1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17" s="153" t="str">
        <f aca="false">IF(Rider_Input[[#This Row],[Rider ID]]="","",DAY(EOMONTH(Salary_Month,0)))</f>
        <v/>
      </c>
      <c r="F117" s="153" t="str">
        <f aca="false">IF(Rider_Input[[#This Row],[Rider ID]]="","",IFERROR(IF(INDEX(FTR_Data,ROW()-ROW(Rider_Input[#Headers]),c_FTR_WD)="","",INDEX(FTR_Data,ROW()-ROW(Rider_Input[#Headers]),c_FTR_WD)),""))</f>
        <v/>
      </c>
      <c r="G117" s="153" t="str">
        <f aca="false">IF(Rider_Input[[#This Row],[Rider ID]]="","",IFERROR(IF(INDEX(FTR_Data,ROW()-ROW(Rider_Input[#Headers]),c_FTR_Orders)="","",INDEX(FTR_Data,ROW()-ROW(Rider_Input[#Headers]),c_FTR_Orders)),""))</f>
        <v/>
      </c>
      <c r="H117" s="155" t="str">
        <f aca="false">IF(Rider_Input[[#This Row],[Rider ID]]="","",IFERROR(ABS(INDEX(RLVL_Data,MATCH(Rider_Input[[#This Row],[Rider ID]],INDEX(RLVL_Data,0,c_RLVL_ID),0),c_RLVL_Missed)),0))</f>
        <v/>
      </c>
      <c r="I117" s="155" t="str">
        <f aca="false">IF(Rider_Input[[#This Row],[Rider ID]]="","",IFERROR(ABS(INDEX(RLVL_Data,MATCH(Rider_Input[[#This Row],[Rider ID]],INDEX(RLVL_Data,0,c_RLVL_ID),0),c_RLVL_Bal)),0))</f>
        <v/>
      </c>
      <c r="J117" s="155" t="str">
        <f aca="false">IF(Rider_Input[[#This Row],[Rider ID]]="","",IFERROR(ABS(INDEX(RLVL_Data,MATCH(Rider_Input[[#This Row],[Rider ID]],INDEX(RLVL_Data,0,c_RLVL_ID),0),c_RLVL_Stack)),0))</f>
        <v/>
      </c>
      <c r="K117" s="155" t="str">
        <f aca="false">IF(Rider_Input[[#This Row],[Rider ID]]="","",SUMIFS(Adj_Input[Other Deductions],Adj_Input[Rider ID],Rider_Input[[#This Row],[Rider ID]]))</f>
        <v/>
      </c>
      <c r="L117" s="154" t="str">
        <f aca="false">IF(Rider_Input[[#This Row],[Rider ID]]="","",IFERROR(INDEX(Adj_Input[Note / Reason],MATCH(Rider_Input[[#This Row],[Rider ID]],Adj_Input[Rider ID],0))&amp;"",""))</f>
        <v/>
      </c>
    </row>
    <row r="118" customFormat="false" ht="14.25" hidden="false" customHeight="false" outlineLevel="0" collapsed="false">
      <c r="A118" s="152" t="str">
        <f aca="false">IF(Rider_Input[[#This Row],[Rider ID]]="","",Salary_Month)</f>
        <v/>
      </c>
      <c r="B118" s="153" t="str">
        <f aca="false">IFERROR(IF(INDEX(FTR_Data,ROW()-ROW(Rider_Input[#Headers]),c_FTR_ID)="","",INDEX(FTR_Data,ROW()-ROW(Rider_Input[#Headers]),c_FTR_ID)),"")</f>
        <v/>
      </c>
      <c r="C11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1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18" s="153" t="str">
        <f aca="false">IF(Rider_Input[[#This Row],[Rider ID]]="","",DAY(EOMONTH(Salary_Month,0)))</f>
        <v/>
      </c>
      <c r="F118" s="153" t="str">
        <f aca="false">IF(Rider_Input[[#This Row],[Rider ID]]="","",IFERROR(IF(INDEX(FTR_Data,ROW()-ROW(Rider_Input[#Headers]),c_FTR_WD)="","",INDEX(FTR_Data,ROW()-ROW(Rider_Input[#Headers]),c_FTR_WD)),""))</f>
        <v/>
      </c>
      <c r="G118" s="153" t="str">
        <f aca="false">IF(Rider_Input[[#This Row],[Rider ID]]="","",IFERROR(IF(INDEX(FTR_Data,ROW()-ROW(Rider_Input[#Headers]),c_FTR_Orders)="","",INDEX(FTR_Data,ROW()-ROW(Rider_Input[#Headers]),c_FTR_Orders)),""))</f>
        <v/>
      </c>
      <c r="H118" s="155" t="str">
        <f aca="false">IF(Rider_Input[[#This Row],[Rider ID]]="","",IFERROR(ABS(INDEX(RLVL_Data,MATCH(Rider_Input[[#This Row],[Rider ID]],INDEX(RLVL_Data,0,c_RLVL_ID),0),c_RLVL_Missed)),0))</f>
        <v/>
      </c>
      <c r="I118" s="155" t="str">
        <f aca="false">IF(Rider_Input[[#This Row],[Rider ID]]="","",IFERROR(ABS(INDEX(RLVL_Data,MATCH(Rider_Input[[#This Row],[Rider ID]],INDEX(RLVL_Data,0,c_RLVL_ID),0),c_RLVL_Bal)),0))</f>
        <v/>
      </c>
      <c r="J118" s="155" t="str">
        <f aca="false">IF(Rider_Input[[#This Row],[Rider ID]]="","",IFERROR(ABS(INDEX(RLVL_Data,MATCH(Rider_Input[[#This Row],[Rider ID]],INDEX(RLVL_Data,0,c_RLVL_ID),0),c_RLVL_Stack)),0))</f>
        <v/>
      </c>
      <c r="K118" s="155" t="str">
        <f aca="false">IF(Rider_Input[[#This Row],[Rider ID]]="","",SUMIFS(Adj_Input[Other Deductions],Adj_Input[Rider ID],Rider_Input[[#This Row],[Rider ID]]))</f>
        <v/>
      </c>
      <c r="L118" s="154" t="str">
        <f aca="false">IF(Rider_Input[[#This Row],[Rider ID]]="","",IFERROR(INDEX(Adj_Input[Note / Reason],MATCH(Rider_Input[[#This Row],[Rider ID]],Adj_Input[Rider ID],0))&amp;"",""))</f>
        <v/>
      </c>
    </row>
    <row r="119" customFormat="false" ht="14.25" hidden="false" customHeight="false" outlineLevel="0" collapsed="false">
      <c r="A119" s="152" t="str">
        <f aca="false">IF(Rider_Input[[#This Row],[Rider ID]]="","",Salary_Month)</f>
        <v/>
      </c>
      <c r="B119" s="153" t="str">
        <f aca="false">IFERROR(IF(INDEX(FTR_Data,ROW()-ROW(Rider_Input[#Headers]),c_FTR_ID)="","",INDEX(FTR_Data,ROW()-ROW(Rider_Input[#Headers]),c_FTR_ID)),"")</f>
        <v/>
      </c>
      <c r="C11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1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19" s="153" t="str">
        <f aca="false">IF(Rider_Input[[#This Row],[Rider ID]]="","",DAY(EOMONTH(Salary_Month,0)))</f>
        <v/>
      </c>
      <c r="F119" s="153" t="str">
        <f aca="false">IF(Rider_Input[[#This Row],[Rider ID]]="","",IFERROR(IF(INDEX(FTR_Data,ROW()-ROW(Rider_Input[#Headers]),c_FTR_WD)="","",INDEX(FTR_Data,ROW()-ROW(Rider_Input[#Headers]),c_FTR_WD)),""))</f>
        <v/>
      </c>
      <c r="G119" s="153" t="str">
        <f aca="false">IF(Rider_Input[[#This Row],[Rider ID]]="","",IFERROR(IF(INDEX(FTR_Data,ROW()-ROW(Rider_Input[#Headers]),c_FTR_Orders)="","",INDEX(FTR_Data,ROW()-ROW(Rider_Input[#Headers]),c_FTR_Orders)),""))</f>
        <v/>
      </c>
      <c r="H119" s="155" t="str">
        <f aca="false">IF(Rider_Input[[#This Row],[Rider ID]]="","",IFERROR(ABS(INDEX(RLVL_Data,MATCH(Rider_Input[[#This Row],[Rider ID]],INDEX(RLVL_Data,0,c_RLVL_ID),0),c_RLVL_Missed)),0))</f>
        <v/>
      </c>
      <c r="I119" s="155" t="str">
        <f aca="false">IF(Rider_Input[[#This Row],[Rider ID]]="","",IFERROR(ABS(INDEX(RLVL_Data,MATCH(Rider_Input[[#This Row],[Rider ID]],INDEX(RLVL_Data,0,c_RLVL_ID),0),c_RLVL_Bal)),0))</f>
        <v/>
      </c>
      <c r="J119" s="155" t="str">
        <f aca="false">IF(Rider_Input[[#This Row],[Rider ID]]="","",IFERROR(ABS(INDEX(RLVL_Data,MATCH(Rider_Input[[#This Row],[Rider ID]],INDEX(RLVL_Data,0,c_RLVL_ID),0),c_RLVL_Stack)),0))</f>
        <v/>
      </c>
      <c r="K119" s="155" t="str">
        <f aca="false">IF(Rider_Input[[#This Row],[Rider ID]]="","",SUMIFS(Adj_Input[Other Deductions],Adj_Input[Rider ID],Rider_Input[[#This Row],[Rider ID]]))</f>
        <v/>
      </c>
      <c r="L119" s="154" t="str">
        <f aca="false">IF(Rider_Input[[#This Row],[Rider ID]]="","",IFERROR(INDEX(Adj_Input[Note / Reason],MATCH(Rider_Input[[#This Row],[Rider ID]],Adj_Input[Rider ID],0))&amp;"",""))</f>
        <v/>
      </c>
    </row>
    <row r="120" customFormat="false" ht="14.25" hidden="false" customHeight="false" outlineLevel="0" collapsed="false">
      <c r="A120" s="152" t="str">
        <f aca="false">IF(Rider_Input[[#This Row],[Rider ID]]="","",Salary_Month)</f>
        <v/>
      </c>
      <c r="B120" s="153" t="str">
        <f aca="false">IFERROR(IF(INDEX(FTR_Data,ROW()-ROW(Rider_Input[#Headers]),c_FTR_ID)="","",INDEX(FTR_Data,ROW()-ROW(Rider_Input[#Headers]),c_FTR_ID)),"")</f>
        <v/>
      </c>
      <c r="C12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2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20" s="153" t="str">
        <f aca="false">IF(Rider_Input[[#This Row],[Rider ID]]="","",DAY(EOMONTH(Salary_Month,0)))</f>
        <v/>
      </c>
      <c r="F120" s="153" t="str">
        <f aca="false">IF(Rider_Input[[#This Row],[Rider ID]]="","",IFERROR(IF(INDEX(FTR_Data,ROW()-ROW(Rider_Input[#Headers]),c_FTR_WD)="","",INDEX(FTR_Data,ROW()-ROW(Rider_Input[#Headers]),c_FTR_WD)),""))</f>
        <v/>
      </c>
      <c r="G120" s="153" t="str">
        <f aca="false">IF(Rider_Input[[#This Row],[Rider ID]]="","",IFERROR(IF(INDEX(FTR_Data,ROW()-ROW(Rider_Input[#Headers]),c_FTR_Orders)="","",INDEX(FTR_Data,ROW()-ROW(Rider_Input[#Headers]),c_FTR_Orders)),""))</f>
        <v/>
      </c>
      <c r="H120" s="155" t="str">
        <f aca="false">IF(Rider_Input[[#This Row],[Rider ID]]="","",IFERROR(ABS(INDEX(RLVL_Data,MATCH(Rider_Input[[#This Row],[Rider ID]],INDEX(RLVL_Data,0,c_RLVL_ID),0),c_RLVL_Missed)),0))</f>
        <v/>
      </c>
      <c r="I120" s="155" t="str">
        <f aca="false">IF(Rider_Input[[#This Row],[Rider ID]]="","",IFERROR(ABS(INDEX(RLVL_Data,MATCH(Rider_Input[[#This Row],[Rider ID]],INDEX(RLVL_Data,0,c_RLVL_ID),0),c_RLVL_Bal)),0))</f>
        <v/>
      </c>
      <c r="J120" s="155" t="str">
        <f aca="false">IF(Rider_Input[[#This Row],[Rider ID]]="","",IFERROR(ABS(INDEX(RLVL_Data,MATCH(Rider_Input[[#This Row],[Rider ID]],INDEX(RLVL_Data,0,c_RLVL_ID),0),c_RLVL_Stack)),0))</f>
        <v/>
      </c>
      <c r="K120" s="155" t="str">
        <f aca="false">IF(Rider_Input[[#This Row],[Rider ID]]="","",SUMIFS(Adj_Input[Other Deductions],Adj_Input[Rider ID],Rider_Input[[#This Row],[Rider ID]]))</f>
        <v/>
      </c>
      <c r="L120" s="154" t="str">
        <f aca="false">IF(Rider_Input[[#This Row],[Rider ID]]="","",IFERROR(INDEX(Adj_Input[Note / Reason],MATCH(Rider_Input[[#This Row],[Rider ID]],Adj_Input[Rider ID],0))&amp;"",""))</f>
        <v/>
      </c>
    </row>
    <row r="121" customFormat="false" ht="14.25" hidden="false" customHeight="false" outlineLevel="0" collapsed="false">
      <c r="A121" s="152" t="str">
        <f aca="false">IF(Rider_Input[[#This Row],[Rider ID]]="","",Salary_Month)</f>
        <v/>
      </c>
      <c r="B121" s="153" t="str">
        <f aca="false">IFERROR(IF(INDEX(FTR_Data,ROW()-ROW(Rider_Input[#Headers]),c_FTR_ID)="","",INDEX(FTR_Data,ROW()-ROW(Rider_Input[#Headers]),c_FTR_ID)),"")</f>
        <v/>
      </c>
      <c r="C12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2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21" s="153" t="str">
        <f aca="false">IF(Rider_Input[[#This Row],[Rider ID]]="","",DAY(EOMONTH(Salary_Month,0)))</f>
        <v/>
      </c>
      <c r="F121" s="153" t="str">
        <f aca="false">IF(Rider_Input[[#This Row],[Rider ID]]="","",IFERROR(IF(INDEX(FTR_Data,ROW()-ROW(Rider_Input[#Headers]),c_FTR_WD)="","",INDEX(FTR_Data,ROW()-ROW(Rider_Input[#Headers]),c_FTR_WD)),""))</f>
        <v/>
      </c>
      <c r="G121" s="153" t="str">
        <f aca="false">IF(Rider_Input[[#This Row],[Rider ID]]="","",IFERROR(IF(INDEX(FTR_Data,ROW()-ROW(Rider_Input[#Headers]),c_FTR_Orders)="","",INDEX(FTR_Data,ROW()-ROW(Rider_Input[#Headers]),c_FTR_Orders)),""))</f>
        <v/>
      </c>
      <c r="H121" s="155" t="str">
        <f aca="false">IF(Rider_Input[[#This Row],[Rider ID]]="","",IFERROR(ABS(INDEX(RLVL_Data,MATCH(Rider_Input[[#This Row],[Rider ID]],INDEX(RLVL_Data,0,c_RLVL_ID),0),c_RLVL_Missed)),0))</f>
        <v/>
      </c>
      <c r="I121" s="155" t="str">
        <f aca="false">IF(Rider_Input[[#This Row],[Rider ID]]="","",IFERROR(ABS(INDEX(RLVL_Data,MATCH(Rider_Input[[#This Row],[Rider ID]],INDEX(RLVL_Data,0,c_RLVL_ID),0),c_RLVL_Bal)),0))</f>
        <v/>
      </c>
      <c r="J121" s="155" t="str">
        <f aca="false">IF(Rider_Input[[#This Row],[Rider ID]]="","",IFERROR(ABS(INDEX(RLVL_Data,MATCH(Rider_Input[[#This Row],[Rider ID]],INDEX(RLVL_Data,0,c_RLVL_ID),0),c_RLVL_Stack)),0))</f>
        <v/>
      </c>
      <c r="K121" s="155" t="str">
        <f aca="false">IF(Rider_Input[[#This Row],[Rider ID]]="","",SUMIFS(Adj_Input[Other Deductions],Adj_Input[Rider ID],Rider_Input[[#This Row],[Rider ID]]))</f>
        <v/>
      </c>
      <c r="L121" s="154" t="str">
        <f aca="false">IF(Rider_Input[[#This Row],[Rider ID]]="","",IFERROR(INDEX(Adj_Input[Note / Reason],MATCH(Rider_Input[[#This Row],[Rider ID]],Adj_Input[Rider ID],0))&amp;"",""))</f>
        <v/>
      </c>
    </row>
    <row r="122" customFormat="false" ht="14.25" hidden="false" customHeight="false" outlineLevel="0" collapsed="false">
      <c r="A122" s="152" t="str">
        <f aca="false">IF(Rider_Input[[#This Row],[Rider ID]]="","",Salary_Month)</f>
        <v/>
      </c>
      <c r="B122" s="153" t="str">
        <f aca="false">IFERROR(IF(INDEX(FTR_Data,ROW()-ROW(Rider_Input[#Headers]),c_FTR_ID)="","",INDEX(FTR_Data,ROW()-ROW(Rider_Input[#Headers]),c_FTR_ID)),"")</f>
        <v/>
      </c>
      <c r="C12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2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22" s="153" t="str">
        <f aca="false">IF(Rider_Input[[#This Row],[Rider ID]]="","",DAY(EOMONTH(Salary_Month,0)))</f>
        <v/>
      </c>
      <c r="F122" s="153" t="str">
        <f aca="false">IF(Rider_Input[[#This Row],[Rider ID]]="","",IFERROR(IF(INDEX(FTR_Data,ROW()-ROW(Rider_Input[#Headers]),c_FTR_WD)="","",INDEX(FTR_Data,ROW()-ROW(Rider_Input[#Headers]),c_FTR_WD)),""))</f>
        <v/>
      </c>
      <c r="G122" s="153" t="str">
        <f aca="false">IF(Rider_Input[[#This Row],[Rider ID]]="","",IFERROR(IF(INDEX(FTR_Data,ROW()-ROW(Rider_Input[#Headers]),c_FTR_Orders)="","",INDEX(FTR_Data,ROW()-ROW(Rider_Input[#Headers]),c_FTR_Orders)),""))</f>
        <v/>
      </c>
      <c r="H122" s="155" t="str">
        <f aca="false">IF(Rider_Input[[#This Row],[Rider ID]]="","",IFERROR(ABS(INDEX(RLVL_Data,MATCH(Rider_Input[[#This Row],[Rider ID]],INDEX(RLVL_Data,0,c_RLVL_ID),0),c_RLVL_Missed)),0))</f>
        <v/>
      </c>
      <c r="I122" s="155" t="str">
        <f aca="false">IF(Rider_Input[[#This Row],[Rider ID]]="","",IFERROR(ABS(INDEX(RLVL_Data,MATCH(Rider_Input[[#This Row],[Rider ID]],INDEX(RLVL_Data,0,c_RLVL_ID),0),c_RLVL_Bal)),0))</f>
        <v/>
      </c>
      <c r="J122" s="155" t="str">
        <f aca="false">IF(Rider_Input[[#This Row],[Rider ID]]="","",IFERROR(ABS(INDEX(RLVL_Data,MATCH(Rider_Input[[#This Row],[Rider ID]],INDEX(RLVL_Data,0,c_RLVL_ID),0),c_RLVL_Stack)),0))</f>
        <v/>
      </c>
      <c r="K122" s="155" t="str">
        <f aca="false">IF(Rider_Input[[#This Row],[Rider ID]]="","",SUMIFS(Adj_Input[Other Deductions],Adj_Input[Rider ID],Rider_Input[[#This Row],[Rider ID]]))</f>
        <v/>
      </c>
      <c r="L122" s="154" t="str">
        <f aca="false">IF(Rider_Input[[#This Row],[Rider ID]]="","",IFERROR(INDEX(Adj_Input[Note / Reason],MATCH(Rider_Input[[#This Row],[Rider ID]],Adj_Input[Rider ID],0))&amp;"",""))</f>
        <v/>
      </c>
    </row>
    <row r="123" customFormat="false" ht="14.25" hidden="false" customHeight="false" outlineLevel="0" collapsed="false">
      <c r="A123" s="152" t="str">
        <f aca="false">IF(Rider_Input[[#This Row],[Rider ID]]="","",Salary_Month)</f>
        <v/>
      </c>
      <c r="B123" s="153" t="str">
        <f aca="false">IFERROR(IF(INDEX(FTR_Data,ROW()-ROW(Rider_Input[#Headers]),c_FTR_ID)="","",INDEX(FTR_Data,ROW()-ROW(Rider_Input[#Headers]),c_FTR_ID)),"")</f>
        <v/>
      </c>
      <c r="C12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2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23" s="153" t="str">
        <f aca="false">IF(Rider_Input[[#This Row],[Rider ID]]="","",DAY(EOMONTH(Salary_Month,0)))</f>
        <v/>
      </c>
      <c r="F123" s="153" t="str">
        <f aca="false">IF(Rider_Input[[#This Row],[Rider ID]]="","",IFERROR(IF(INDEX(FTR_Data,ROW()-ROW(Rider_Input[#Headers]),c_FTR_WD)="","",INDEX(FTR_Data,ROW()-ROW(Rider_Input[#Headers]),c_FTR_WD)),""))</f>
        <v/>
      </c>
      <c r="G123" s="153" t="str">
        <f aca="false">IF(Rider_Input[[#This Row],[Rider ID]]="","",IFERROR(IF(INDEX(FTR_Data,ROW()-ROW(Rider_Input[#Headers]),c_FTR_Orders)="","",INDEX(FTR_Data,ROW()-ROW(Rider_Input[#Headers]),c_FTR_Orders)),""))</f>
        <v/>
      </c>
      <c r="H123" s="155" t="str">
        <f aca="false">IF(Rider_Input[[#This Row],[Rider ID]]="","",IFERROR(ABS(INDEX(RLVL_Data,MATCH(Rider_Input[[#This Row],[Rider ID]],INDEX(RLVL_Data,0,c_RLVL_ID),0),c_RLVL_Missed)),0))</f>
        <v/>
      </c>
      <c r="I123" s="155" t="str">
        <f aca="false">IF(Rider_Input[[#This Row],[Rider ID]]="","",IFERROR(ABS(INDEX(RLVL_Data,MATCH(Rider_Input[[#This Row],[Rider ID]],INDEX(RLVL_Data,0,c_RLVL_ID),0),c_RLVL_Bal)),0))</f>
        <v/>
      </c>
      <c r="J123" s="155" t="str">
        <f aca="false">IF(Rider_Input[[#This Row],[Rider ID]]="","",IFERROR(ABS(INDEX(RLVL_Data,MATCH(Rider_Input[[#This Row],[Rider ID]],INDEX(RLVL_Data,0,c_RLVL_ID),0),c_RLVL_Stack)),0))</f>
        <v/>
      </c>
      <c r="K123" s="155" t="str">
        <f aca="false">IF(Rider_Input[[#This Row],[Rider ID]]="","",SUMIFS(Adj_Input[Other Deductions],Adj_Input[Rider ID],Rider_Input[[#This Row],[Rider ID]]))</f>
        <v/>
      </c>
      <c r="L123" s="154" t="str">
        <f aca="false">IF(Rider_Input[[#This Row],[Rider ID]]="","",IFERROR(INDEX(Adj_Input[Note / Reason],MATCH(Rider_Input[[#This Row],[Rider ID]],Adj_Input[Rider ID],0))&amp;"",""))</f>
        <v/>
      </c>
    </row>
    <row r="124" customFormat="false" ht="14.25" hidden="false" customHeight="false" outlineLevel="0" collapsed="false">
      <c r="A124" s="152" t="str">
        <f aca="false">IF(Rider_Input[[#This Row],[Rider ID]]="","",Salary_Month)</f>
        <v/>
      </c>
      <c r="B124" s="153" t="str">
        <f aca="false">IFERROR(IF(INDEX(FTR_Data,ROW()-ROW(Rider_Input[#Headers]),c_FTR_ID)="","",INDEX(FTR_Data,ROW()-ROW(Rider_Input[#Headers]),c_FTR_ID)),"")</f>
        <v/>
      </c>
      <c r="C12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2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24" s="153" t="str">
        <f aca="false">IF(Rider_Input[[#This Row],[Rider ID]]="","",DAY(EOMONTH(Salary_Month,0)))</f>
        <v/>
      </c>
      <c r="F124" s="153" t="str">
        <f aca="false">IF(Rider_Input[[#This Row],[Rider ID]]="","",IFERROR(IF(INDEX(FTR_Data,ROW()-ROW(Rider_Input[#Headers]),c_FTR_WD)="","",INDEX(FTR_Data,ROW()-ROW(Rider_Input[#Headers]),c_FTR_WD)),""))</f>
        <v/>
      </c>
      <c r="G124" s="153" t="str">
        <f aca="false">IF(Rider_Input[[#This Row],[Rider ID]]="","",IFERROR(IF(INDEX(FTR_Data,ROW()-ROW(Rider_Input[#Headers]),c_FTR_Orders)="","",INDEX(FTR_Data,ROW()-ROW(Rider_Input[#Headers]),c_FTR_Orders)),""))</f>
        <v/>
      </c>
      <c r="H124" s="155" t="str">
        <f aca="false">IF(Rider_Input[[#This Row],[Rider ID]]="","",IFERROR(ABS(INDEX(RLVL_Data,MATCH(Rider_Input[[#This Row],[Rider ID]],INDEX(RLVL_Data,0,c_RLVL_ID),0),c_RLVL_Missed)),0))</f>
        <v/>
      </c>
      <c r="I124" s="155" t="str">
        <f aca="false">IF(Rider_Input[[#This Row],[Rider ID]]="","",IFERROR(ABS(INDEX(RLVL_Data,MATCH(Rider_Input[[#This Row],[Rider ID]],INDEX(RLVL_Data,0,c_RLVL_ID),0),c_RLVL_Bal)),0))</f>
        <v/>
      </c>
      <c r="J124" s="155" t="str">
        <f aca="false">IF(Rider_Input[[#This Row],[Rider ID]]="","",IFERROR(ABS(INDEX(RLVL_Data,MATCH(Rider_Input[[#This Row],[Rider ID]],INDEX(RLVL_Data,0,c_RLVL_ID),0),c_RLVL_Stack)),0))</f>
        <v/>
      </c>
      <c r="K124" s="155" t="str">
        <f aca="false">IF(Rider_Input[[#This Row],[Rider ID]]="","",SUMIFS(Adj_Input[Other Deductions],Adj_Input[Rider ID],Rider_Input[[#This Row],[Rider ID]]))</f>
        <v/>
      </c>
      <c r="L124" s="154" t="str">
        <f aca="false">IF(Rider_Input[[#This Row],[Rider ID]]="","",IFERROR(INDEX(Adj_Input[Note / Reason],MATCH(Rider_Input[[#This Row],[Rider ID]],Adj_Input[Rider ID],0))&amp;"",""))</f>
        <v/>
      </c>
    </row>
    <row r="125" customFormat="false" ht="14.25" hidden="false" customHeight="false" outlineLevel="0" collapsed="false">
      <c r="A125" s="152" t="str">
        <f aca="false">IF(Rider_Input[[#This Row],[Rider ID]]="","",Salary_Month)</f>
        <v/>
      </c>
      <c r="B125" s="153" t="str">
        <f aca="false">IFERROR(IF(INDEX(FTR_Data,ROW()-ROW(Rider_Input[#Headers]),c_FTR_ID)="","",INDEX(FTR_Data,ROW()-ROW(Rider_Input[#Headers]),c_FTR_ID)),"")</f>
        <v/>
      </c>
      <c r="C12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2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25" s="153" t="str">
        <f aca="false">IF(Rider_Input[[#This Row],[Rider ID]]="","",DAY(EOMONTH(Salary_Month,0)))</f>
        <v/>
      </c>
      <c r="F125" s="153" t="str">
        <f aca="false">IF(Rider_Input[[#This Row],[Rider ID]]="","",IFERROR(IF(INDEX(FTR_Data,ROW()-ROW(Rider_Input[#Headers]),c_FTR_WD)="","",INDEX(FTR_Data,ROW()-ROW(Rider_Input[#Headers]),c_FTR_WD)),""))</f>
        <v/>
      </c>
      <c r="G125" s="153" t="str">
        <f aca="false">IF(Rider_Input[[#This Row],[Rider ID]]="","",IFERROR(IF(INDEX(FTR_Data,ROW()-ROW(Rider_Input[#Headers]),c_FTR_Orders)="","",INDEX(FTR_Data,ROW()-ROW(Rider_Input[#Headers]),c_FTR_Orders)),""))</f>
        <v/>
      </c>
      <c r="H125" s="155" t="str">
        <f aca="false">IF(Rider_Input[[#This Row],[Rider ID]]="","",IFERROR(ABS(INDEX(RLVL_Data,MATCH(Rider_Input[[#This Row],[Rider ID]],INDEX(RLVL_Data,0,c_RLVL_ID),0),c_RLVL_Missed)),0))</f>
        <v/>
      </c>
      <c r="I125" s="155" t="str">
        <f aca="false">IF(Rider_Input[[#This Row],[Rider ID]]="","",IFERROR(ABS(INDEX(RLVL_Data,MATCH(Rider_Input[[#This Row],[Rider ID]],INDEX(RLVL_Data,0,c_RLVL_ID),0),c_RLVL_Bal)),0))</f>
        <v/>
      </c>
      <c r="J125" s="155" t="str">
        <f aca="false">IF(Rider_Input[[#This Row],[Rider ID]]="","",IFERROR(ABS(INDEX(RLVL_Data,MATCH(Rider_Input[[#This Row],[Rider ID]],INDEX(RLVL_Data,0,c_RLVL_ID),0),c_RLVL_Stack)),0))</f>
        <v/>
      </c>
      <c r="K125" s="155" t="str">
        <f aca="false">IF(Rider_Input[[#This Row],[Rider ID]]="","",SUMIFS(Adj_Input[Other Deductions],Adj_Input[Rider ID],Rider_Input[[#This Row],[Rider ID]]))</f>
        <v/>
      </c>
      <c r="L125" s="154" t="str">
        <f aca="false">IF(Rider_Input[[#This Row],[Rider ID]]="","",IFERROR(INDEX(Adj_Input[Note / Reason],MATCH(Rider_Input[[#This Row],[Rider ID]],Adj_Input[Rider ID],0))&amp;"",""))</f>
        <v/>
      </c>
    </row>
    <row r="126" customFormat="false" ht="14.25" hidden="false" customHeight="false" outlineLevel="0" collapsed="false">
      <c r="A126" s="152" t="str">
        <f aca="false">IF(Rider_Input[[#This Row],[Rider ID]]="","",Salary_Month)</f>
        <v/>
      </c>
      <c r="B126" s="153" t="str">
        <f aca="false">IFERROR(IF(INDEX(FTR_Data,ROW()-ROW(Rider_Input[#Headers]),c_FTR_ID)="","",INDEX(FTR_Data,ROW()-ROW(Rider_Input[#Headers]),c_FTR_ID)),"")</f>
        <v/>
      </c>
      <c r="C12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2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26" s="153" t="str">
        <f aca="false">IF(Rider_Input[[#This Row],[Rider ID]]="","",DAY(EOMONTH(Salary_Month,0)))</f>
        <v/>
      </c>
      <c r="F126" s="153" t="str">
        <f aca="false">IF(Rider_Input[[#This Row],[Rider ID]]="","",IFERROR(IF(INDEX(FTR_Data,ROW()-ROW(Rider_Input[#Headers]),c_FTR_WD)="","",INDEX(FTR_Data,ROW()-ROW(Rider_Input[#Headers]),c_FTR_WD)),""))</f>
        <v/>
      </c>
      <c r="G126" s="153" t="str">
        <f aca="false">IF(Rider_Input[[#This Row],[Rider ID]]="","",IFERROR(IF(INDEX(FTR_Data,ROW()-ROW(Rider_Input[#Headers]),c_FTR_Orders)="","",INDEX(FTR_Data,ROW()-ROW(Rider_Input[#Headers]),c_FTR_Orders)),""))</f>
        <v/>
      </c>
      <c r="H126" s="155" t="str">
        <f aca="false">IF(Rider_Input[[#This Row],[Rider ID]]="","",IFERROR(ABS(INDEX(RLVL_Data,MATCH(Rider_Input[[#This Row],[Rider ID]],INDEX(RLVL_Data,0,c_RLVL_ID),0),c_RLVL_Missed)),0))</f>
        <v/>
      </c>
      <c r="I126" s="155" t="str">
        <f aca="false">IF(Rider_Input[[#This Row],[Rider ID]]="","",IFERROR(ABS(INDEX(RLVL_Data,MATCH(Rider_Input[[#This Row],[Rider ID]],INDEX(RLVL_Data,0,c_RLVL_ID),0),c_RLVL_Bal)),0))</f>
        <v/>
      </c>
      <c r="J126" s="155" t="str">
        <f aca="false">IF(Rider_Input[[#This Row],[Rider ID]]="","",IFERROR(ABS(INDEX(RLVL_Data,MATCH(Rider_Input[[#This Row],[Rider ID]],INDEX(RLVL_Data,0,c_RLVL_ID),0),c_RLVL_Stack)),0))</f>
        <v/>
      </c>
      <c r="K126" s="155" t="str">
        <f aca="false">IF(Rider_Input[[#This Row],[Rider ID]]="","",SUMIFS(Adj_Input[Other Deductions],Adj_Input[Rider ID],Rider_Input[[#This Row],[Rider ID]]))</f>
        <v/>
      </c>
      <c r="L126" s="154" t="str">
        <f aca="false">IF(Rider_Input[[#This Row],[Rider ID]]="","",IFERROR(INDEX(Adj_Input[Note / Reason],MATCH(Rider_Input[[#This Row],[Rider ID]],Adj_Input[Rider ID],0))&amp;"",""))</f>
        <v/>
      </c>
    </row>
    <row r="127" customFormat="false" ht="14.25" hidden="false" customHeight="false" outlineLevel="0" collapsed="false">
      <c r="A127" s="152" t="str">
        <f aca="false">IF(Rider_Input[[#This Row],[Rider ID]]="","",Salary_Month)</f>
        <v/>
      </c>
      <c r="B127" s="153" t="str">
        <f aca="false">IFERROR(IF(INDEX(FTR_Data,ROW()-ROW(Rider_Input[#Headers]),c_FTR_ID)="","",INDEX(FTR_Data,ROW()-ROW(Rider_Input[#Headers]),c_FTR_ID)),"")</f>
        <v/>
      </c>
      <c r="C12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2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27" s="153" t="str">
        <f aca="false">IF(Rider_Input[[#This Row],[Rider ID]]="","",DAY(EOMONTH(Salary_Month,0)))</f>
        <v/>
      </c>
      <c r="F127" s="153" t="str">
        <f aca="false">IF(Rider_Input[[#This Row],[Rider ID]]="","",IFERROR(IF(INDEX(FTR_Data,ROW()-ROW(Rider_Input[#Headers]),c_FTR_WD)="","",INDEX(FTR_Data,ROW()-ROW(Rider_Input[#Headers]),c_FTR_WD)),""))</f>
        <v/>
      </c>
      <c r="G127" s="153" t="str">
        <f aca="false">IF(Rider_Input[[#This Row],[Rider ID]]="","",IFERROR(IF(INDEX(FTR_Data,ROW()-ROW(Rider_Input[#Headers]),c_FTR_Orders)="","",INDEX(FTR_Data,ROW()-ROW(Rider_Input[#Headers]),c_FTR_Orders)),""))</f>
        <v/>
      </c>
      <c r="H127" s="155" t="str">
        <f aca="false">IF(Rider_Input[[#This Row],[Rider ID]]="","",IFERROR(ABS(INDEX(RLVL_Data,MATCH(Rider_Input[[#This Row],[Rider ID]],INDEX(RLVL_Data,0,c_RLVL_ID),0),c_RLVL_Missed)),0))</f>
        <v/>
      </c>
      <c r="I127" s="155" t="str">
        <f aca="false">IF(Rider_Input[[#This Row],[Rider ID]]="","",IFERROR(ABS(INDEX(RLVL_Data,MATCH(Rider_Input[[#This Row],[Rider ID]],INDEX(RLVL_Data,0,c_RLVL_ID),0),c_RLVL_Bal)),0))</f>
        <v/>
      </c>
      <c r="J127" s="155" t="str">
        <f aca="false">IF(Rider_Input[[#This Row],[Rider ID]]="","",IFERROR(ABS(INDEX(RLVL_Data,MATCH(Rider_Input[[#This Row],[Rider ID]],INDEX(RLVL_Data,0,c_RLVL_ID),0),c_RLVL_Stack)),0))</f>
        <v/>
      </c>
      <c r="K127" s="155" t="str">
        <f aca="false">IF(Rider_Input[[#This Row],[Rider ID]]="","",SUMIFS(Adj_Input[Other Deductions],Adj_Input[Rider ID],Rider_Input[[#This Row],[Rider ID]]))</f>
        <v/>
      </c>
      <c r="L127" s="154" t="str">
        <f aca="false">IF(Rider_Input[[#This Row],[Rider ID]]="","",IFERROR(INDEX(Adj_Input[Note / Reason],MATCH(Rider_Input[[#This Row],[Rider ID]],Adj_Input[Rider ID],0))&amp;"",""))</f>
        <v/>
      </c>
    </row>
    <row r="128" customFormat="false" ht="14.25" hidden="false" customHeight="false" outlineLevel="0" collapsed="false">
      <c r="A128" s="152" t="str">
        <f aca="false">IF(Rider_Input[[#This Row],[Rider ID]]="","",Salary_Month)</f>
        <v/>
      </c>
      <c r="B128" s="153" t="str">
        <f aca="false">IFERROR(IF(INDEX(FTR_Data,ROW()-ROW(Rider_Input[#Headers]),c_FTR_ID)="","",INDEX(FTR_Data,ROW()-ROW(Rider_Input[#Headers]),c_FTR_ID)),"")</f>
        <v/>
      </c>
      <c r="C12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2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28" s="153" t="str">
        <f aca="false">IF(Rider_Input[[#This Row],[Rider ID]]="","",DAY(EOMONTH(Salary_Month,0)))</f>
        <v/>
      </c>
      <c r="F128" s="153" t="str">
        <f aca="false">IF(Rider_Input[[#This Row],[Rider ID]]="","",IFERROR(IF(INDEX(FTR_Data,ROW()-ROW(Rider_Input[#Headers]),c_FTR_WD)="","",INDEX(FTR_Data,ROW()-ROW(Rider_Input[#Headers]),c_FTR_WD)),""))</f>
        <v/>
      </c>
      <c r="G128" s="153" t="str">
        <f aca="false">IF(Rider_Input[[#This Row],[Rider ID]]="","",IFERROR(IF(INDEX(FTR_Data,ROW()-ROW(Rider_Input[#Headers]),c_FTR_Orders)="","",INDEX(FTR_Data,ROW()-ROW(Rider_Input[#Headers]),c_FTR_Orders)),""))</f>
        <v/>
      </c>
      <c r="H128" s="155" t="str">
        <f aca="false">IF(Rider_Input[[#This Row],[Rider ID]]="","",IFERROR(ABS(INDEX(RLVL_Data,MATCH(Rider_Input[[#This Row],[Rider ID]],INDEX(RLVL_Data,0,c_RLVL_ID),0),c_RLVL_Missed)),0))</f>
        <v/>
      </c>
      <c r="I128" s="155" t="str">
        <f aca="false">IF(Rider_Input[[#This Row],[Rider ID]]="","",IFERROR(ABS(INDEX(RLVL_Data,MATCH(Rider_Input[[#This Row],[Rider ID]],INDEX(RLVL_Data,0,c_RLVL_ID),0),c_RLVL_Bal)),0))</f>
        <v/>
      </c>
      <c r="J128" s="155" t="str">
        <f aca="false">IF(Rider_Input[[#This Row],[Rider ID]]="","",IFERROR(ABS(INDEX(RLVL_Data,MATCH(Rider_Input[[#This Row],[Rider ID]],INDEX(RLVL_Data,0,c_RLVL_ID),0),c_RLVL_Stack)),0))</f>
        <v/>
      </c>
      <c r="K128" s="155" t="str">
        <f aca="false">IF(Rider_Input[[#This Row],[Rider ID]]="","",SUMIFS(Adj_Input[Other Deductions],Adj_Input[Rider ID],Rider_Input[[#This Row],[Rider ID]]))</f>
        <v/>
      </c>
      <c r="L128" s="154" t="str">
        <f aca="false">IF(Rider_Input[[#This Row],[Rider ID]]="","",IFERROR(INDEX(Adj_Input[Note / Reason],MATCH(Rider_Input[[#This Row],[Rider ID]],Adj_Input[Rider ID],0))&amp;"",""))</f>
        <v/>
      </c>
    </row>
    <row r="129" customFormat="false" ht="14.25" hidden="false" customHeight="false" outlineLevel="0" collapsed="false">
      <c r="A129" s="152" t="str">
        <f aca="false">IF(Rider_Input[[#This Row],[Rider ID]]="","",Salary_Month)</f>
        <v/>
      </c>
      <c r="B129" s="153" t="str">
        <f aca="false">IFERROR(IF(INDEX(FTR_Data,ROW()-ROW(Rider_Input[#Headers]),c_FTR_ID)="","",INDEX(FTR_Data,ROW()-ROW(Rider_Input[#Headers]),c_FTR_ID)),"")</f>
        <v/>
      </c>
      <c r="C12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2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29" s="153" t="str">
        <f aca="false">IF(Rider_Input[[#This Row],[Rider ID]]="","",DAY(EOMONTH(Salary_Month,0)))</f>
        <v/>
      </c>
      <c r="F129" s="153" t="str">
        <f aca="false">IF(Rider_Input[[#This Row],[Rider ID]]="","",IFERROR(IF(INDEX(FTR_Data,ROW()-ROW(Rider_Input[#Headers]),c_FTR_WD)="","",INDEX(FTR_Data,ROW()-ROW(Rider_Input[#Headers]),c_FTR_WD)),""))</f>
        <v/>
      </c>
      <c r="G129" s="153" t="str">
        <f aca="false">IF(Rider_Input[[#This Row],[Rider ID]]="","",IFERROR(IF(INDEX(FTR_Data,ROW()-ROW(Rider_Input[#Headers]),c_FTR_Orders)="","",INDEX(FTR_Data,ROW()-ROW(Rider_Input[#Headers]),c_FTR_Orders)),""))</f>
        <v/>
      </c>
      <c r="H129" s="155" t="str">
        <f aca="false">IF(Rider_Input[[#This Row],[Rider ID]]="","",IFERROR(ABS(INDEX(RLVL_Data,MATCH(Rider_Input[[#This Row],[Rider ID]],INDEX(RLVL_Data,0,c_RLVL_ID),0),c_RLVL_Missed)),0))</f>
        <v/>
      </c>
      <c r="I129" s="155" t="str">
        <f aca="false">IF(Rider_Input[[#This Row],[Rider ID]]="","",IFERROR(ABS(INDEX(RLVL_Data,MATCH(Rider_Input[[#This Row],[Rider ID]],INDEX(RLVL_Data,0,c_RLVL_ID),0),c_RLVL_Bal)),0))</f>
        <v/>
      </c>
      <c r="J129" s="155" t="str">
        <f aca="false">IF(Rider_Input[[#This Row],[Rider ID]]="","",IFERROR(ABS(INDEX(RLVL_Data,MATCH(Rider_Input[[#This Row],[Rider ID]],INDEX(RLVL_Data,0,c_RLVL_ID),0),c_RLVL_Stack)),0))</f>
        <v/>
      </c>
      <c r="K129" s="155" t="str">
        <f aca="false">IF(Rider_Input[[#This Row],[Rider ID]]="","",SUMIFS(Adj_Input[Other Deductions],Adj_Input[Rider ID],Rider_Input[[#This Row],[Rider ID]]))</f>
        <v/>
      </c>
      <c r="L129" s="154" t="str">
        <f aca="false">IF(Rider_Input[[#This Row],[Rider ID]]="","",IFERROR(INDEX(Adj_Input[Note / Reason],MATCH(Rider_Input[[#This Row],[Rider ID]],Adj_Input[Rider ID],0))&amp;"",""))</f>
        <v/>
      </c>
    </row>
    <row r="130" customFormat="false" ht="14.25" hidden="false" customHeight="false" outlineLevel="0" collapsed="false">
      <c r="A130" s="152" t="str">
        <f aca="false">IF(Rider_Input[[#This Row],[Rider ID]]="","",Salary_Month)</f>
        <v/>
      </c>
      <c r="B130" s="153" t="str">
        <f aca="false">IFERROR(IF(INDEX(FTR_Data,ROW()-ROW(Rider_Input[#Headers]),c_FTR_ID)="","",INDEX(FTR_Data,ROW()-ROW(Rider_Input[#Headers]),c_FTR_ID)),"")</f>
        <v/>
      </c>
      <c r="C13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3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30" s="153" t="str">
        <f aca="false">IF(Rider_Input[[#This Row],[Rider ID]]="","",DAY(EOMONTH(Salary_Month,0)))</f>
        <v/>
      </c>
      <c r="F130" s="153" t="str">
        <f aca="false">IF(Rider_Input[[#This Row],[Rider ID]]="","",IFERROR(IF(INDEX(FTR_Data,ROW()-ROW(Rider_Input[#Headers]),c_FTR_WD)="","",INDEX(FTR_Data,ROW()-ROW(Rider_Input[#Headers]),c_FTR_WD)),""))</f>
        <v/>
      </c>
      <c r="G130" s="153" t="str">
        <f aca="false">IF(Rider_Input[[#This Row],[Rider ID]]="","",IFERROR(IF(INDEX(FTR_Data,ROW()-ROW(Rider_Input[#Headers]),c_FTR_Orders)="","",INDEX(FTR_Data,ROW()-ROW(Rider_Input[#Headers]),c_FTR_Orders)),""))</f>
        <v/>
      </c>
      <c r="H130" s="155" t="str">
        <f aca="false">IF(Rider_Input[[#This Row],[Rider ID]]="","",IFERROR(ABS(INDEX(RLVL_Data,MATCH(Rider_Input[[#This Row],[Rider ID]],INDEX(RLVL_Data,0,c_RLVL_ID),0),c_RLVL_Missed)),0))</f>
        <v/>
      </c>
      <c r="I130" s="155" t="str">
        <f aca="false">IF(Rider_Input[[#This Row],[Rider ID]]="","",IFERROR(ABS(INDEX(RLVL_Data,MATCH(Rider_Input[[#This Row],[Rider ID]],INDEX(RLVL_Data,0,c_RLVL_ID),0),c_RLVL_Bal)),0))</f>
        <v/>
      </c>
      <c r="J130" s="155" t="str">
        <f aca="false">IF(Rider_Input[[#This Row],[Rider ID]]="","",IFERROR(ABS(INDEX(RLVL_Data,MATCH(Rider_Input[[#This Row],[Rider ID]],INDEX(RLVL_Data,0,c_RLVL_ID),0),c_RLVL_Stack)),0))</f>
        <v/>
      </c>
      <c r="K130" s="155" t="str">
        <f aca="false">IF(Rider_Input[[#This Row],[Rider ID]]="","",SUMIFS(Adj_Input[Other Deductions],Adj_Input[Rider ID],Rider_Input[[#This Row],[Rider ID]]))</f>
        <v/>
      </c>
      <c r="L130" s="154" t="str">
        <f aca="false">IF(Rider_Input[[#This Row],[Rider ID]]="","",IFERROR(INDEX(Adj_Input[Note / Reason],MATCH(Rider_Input[[#This Row],[Rider ID]],Adj_Input[Rider ID],0))&amp;"",""))</f>
        <v/>
      </c>
    </row>
    <row r="131" customFormat="false" ht="14.25" hidden="false" customHeight="false" outlineLevel="0" collapsed="false">
      <c r="A131" s="152" t="str">
        <f aca="false">IF(Rider_Input[[#This Row],[Rider ID]]="","",Salary_Month)</f>
        <v/>
      </c>
      <c r="B131" s="153" t="str">
        <f aca="false">IFERROR(IF(INDEX(FTR_Data,ROW()-ROW(Rider_Input[#Headers]),c_FTR_ID)="","",INDEX(FTR_Data,ROW()-ROW(Rider_Input[#Headers]),c_FTR_ID)),"")</f>
        <v/>
      </c>
      <c r="C13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3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31" s="153" t="str">
        <f aca="false">IF(Rider_Input[[#This Row],[Rider ID]]="","",DAY(EOMONTH(Salary_Month,0)))</f>
        <v/>
      </c>
      <c r="F131" s="153" t="str">
        <f aca="false">IF(Rider_Input[[#This Row],[Rider ID]]="","",IFERROR(IF(INDEX(FTR_Data,ROW()-ROW(Rider_Input[#Headers]),c_FTR_WD)="","",INDEX(FTR_Data,ROW()-ROW(Rider_Input[#Headers]),c_FTR_WD)),""))</f>
        <v/>
      </c>
      <c r="G131" s="153" t="str">
        <f aca="false">IF(Rider_Input[[#This Row],[Rider ID]]="","",IFERROR(IF(INDEX(FTR_Data,ROW()-ROW(Rider_Input[#Headers]),c_FTR_Orders)="","",INDEX(FTR_Data,ROW()-ROW(Rider_Input[#Headers]),c_FTR_Orders)),""))</f>
        <v/>
      </c>
      <c r="H131" s="155" t="str">
        <f aca="false">IF(Rider_Input[[#This Row],[Rider ID]]="","",IFERROR(ABS(INDEX(RLVL_Data,MATCH(Rider_Input[[#This Row],[Rider ID]],INDEX(RLVL_Data,0,c_RLVL_ID),0),c_RLVL_Missed)),0))</f>
        <v/>
      </c>
      <c r="I131" s="155" t="str">
        <f aca="false">IF(Rider_Input[[#This Row],[Rider ID]]="","",IFERROR(ABS(INDEX(RLVL_Data,MATCH(Rider_Input[[#This Row],[Rider ID]],INDEX(RLVL_Data,0,c_RLVL_ID),0),c_RLVL_Bal)),0))</f>
        <v/>
      </c>
      <c r="J131" s="155" t="str">
        <f aca="false">IF(Rider_Input[[#This Row],[Rider ID]]="","",IFERROR(ABS(INDEX(RLVL_Data,MATCH(Rider_Input[[#This Row],[Rider ID]],INDEX(RLVL_Data,0,c_RLVL_ID),0),c_RLVL_Stack)),0))</f>
        <v/>
      </c>
      <c r="K131" s="155" t="str">
        <f aca="false">IF(Rider_Input[[#This Row],[Rider ID]]="","",SUMIFS(Adj_Input[Other Deductions],Adj_Input[Rider ID],Rider_Input[[#This Row],[Rider ID]]))</f>
        <v/>
      </c>
      <c r="L131" s="154" t="str">
        <f aca="false">IF(Rider_Input[[#This Row],[Rider ID]]="","",IFERROR(INDEX(Adj_Input[Note / Reason],MATCH(Rider_Input[[#This Row],[Rider ID]],Adj_Input[Rider ID],0))&amp;"",""))</f>
        <v/>
      </c>
    </row>
    <row r="132" customFormat="false" ht="14.25" hidden="false" customHeight="false" outlineLevel="0" collapsed="false">
      <c r="A132" s="152" t="str">
        <f aca="false">IF(Rider_Input[[#This Row],[Rider ID]]="","",Salary_Month)</f>
        <v/>
      </c>
      <c r="B132" s="153" t="str">
        <f aca="false">IFERROR(IF(INDEX(FTR_Data,ROW()-ROW(Rider_Input[#Headers]),c_FTR_ID)="","",INDEX(FTR_Data,ROW()-ROW(Rider_Input[#Headers]),c_FTR_ID)),"")</f>
        <v/>
      </c>
      <c r="C13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3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32" s="153" t="str">
        <f aca="false">IF(Rider_Input[[#This Row],[Rider ID]]="","",DAY(EOMONTH(Salary_Month,0)))</f>
        <v/>
      </c>
      <c r="F132" s="153" t="str">
        <f aca="false">IF(Rider_Input[[#This Row],[Rider ID]]="","",IFERROR(IF(INDEX(FTR_Data,ROW()-ROW(Rider_Input[#Headers]),c_FTR_WD)="","",INDEX(FTR_Data,ROW()-ROW(Rider_Input[#Headers]),c_FTR_WD)),""))</f>
        <v/>
      </c>
      <c r="G132" s="153" t="str">
        <f aca="false">IF(Rider_Input[[#This Row],[Rider ID]]="","",IFERROR(IF(INDEX(FTR_Data,ROW()-ROW(Rider_Input[#Headers]),c_FTR_Orders)="","",INDEX(FTR_Data,ROW()-ROW(Rider_Input[#Headers]),c_FTR_Orders)),""))</f>
        <v/>
      </c>
      <c r="H132" s="155" t="str">
        <f aca="false">IF(Rider_Input[[#This Row],[Rider ID]]="","",IFERROR(ABS(INDEX(RLVL_Data,MATCH(Rider_Input[[#This Row],[Rider ID]],INDEX(RLVL_Data,0,c_RLVL_ID),0),c_RLVL_Missed)),0))</f>
        <v/>
      </c>
      <c r="I132" s="155" t="str">
        <f aca="false">IF(Rider_Input[[#This Row],[Rider ID]]="","",IFERROR(ABS(INDEX(RLVL_Data,MATCH(Rider_Input[[#This Row],[Rider ID]],INDEX(RLVL_Data,0,c_RLVL_ID),0),c_RLVL_Bal)),0))</f>
        <v/>
      </c>
      <c r="J132" s="155" t="str">
        <f aca="false">IF(Rider_Input[[#This Row],[Rider ID]]="","",IFERROR(ABS(INDEX(RLVL_Data,MATCH(Rider_Input[[#This Row],[Rider ID]],INDEX(RLVL_Data,0,c_RLVL_ID),0),c_RLVL_Stack)),0))</f>
        <v/>
      </c>
      <c r="K132" s="155" t="str">
        <f aca="false">IF(Rider_Input[[#This Row],[Rider ID]]="","",SUMIFS(Adj_Input[Other Deductions],Adj_Input[Rider ID],Rider_Input[[#This Row],[Rider ID]]))</f>
        <v/>
      </c>
      <c r="L132" s="154" t="str">
        <f aca="false">IF(Rider_Input[[#This Row],[Rider ID]]="","",IFERROR(INDEX(Adj_Input[Note / Reason],MATCH(Rider_Input[[#This Row],[Rider ID]],Adj_Input[Rider ID],0))&amp;"",""))</f>
        <v/>
      </c>
    </row>
    <row r="133" customFormat="false" ht="14.25" hidden="false" customHeight="false" outlineLevel="0" collapsed="false">
      <c r="A133" s="152" t="str">
        <f aca="false">IF(Rider_Input[[#This Row],[Rider ID]]="","",Salary_Month)</f>
        <v/>
      </c>
      <c r="B133" s="153" t="str">
        <f aca="false">IFERROR(IF(INDEX(FTR_Data,ROW()-ROW(Rider_Input[#Headers]),c_FTR_ID)="","",INDEX(FTR_Data,ROW()-ROW(Rider_Input[#Headers]),c_FTR_ID)),"")</f>
        <v/>
      </c>
      <c r="C13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3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33" s="153" t="str">
        <f aca="false">IF(Rider_Input[[#This Row],[Rider ID]]="","",DAY(EOMONTH(Salary_Month,0)))</f>
        <v/>
      </c>
      <c r="F133" s="153" t="str">
        <f aca="false">IF(Rider_Input[[#This Row],[Rider ID]]="","",IFERROR(IF(INDEX(FTR_Data,ROW()-ROW(Rider_Input[#Headers]),c_FTR_WD)="","",INDEX(FTR_Data,ROW()-ROW(Rider_Input[#Headers]),c_FTR_WD)),""))</f>
        <v/>
      </c>
      <c r="G133" s="153" t="str">
        <f aca="false">IF(Rider_Input[[#This Row],[Rider ID]]="","",IFERROR(IF(INDEX(FTR_Data,ROW()-ROW(Rider_Input[#Headers]),c_FTR_Orders)="","",INDEX(FTR_Data,ROW()-ROW(Rider_Input[#Headers]),c_FTR_Orders)),""))</f>
        <v/>
      </c>
      <c r="H133" s="155" t="str">
        <f aca="false">IF(Rider_Input[[#This Row],[Rider ID]]="","",IFERROR(ABS(INDEX(RLVL_Data,MATCH(Rider_Input[[#This Row],[Rider ID]],INDEX(RLVL_Data,0,c_RLVL_ID),0),c_RLVL_Missed)),0))</f>
        <v/>
      </c>
      <c r="I133" s="155" t="str">
        <f aca="false">IF(Rider_Input[[#This Row],[Rider ID]]="","",IFERROR(ABS(INDEX(RLVL_Data,MATCH(Rider_Input[[#This Row],[Rider ID]],INDEX(RLVL_Data,0,c_RLVL_ID),0),c_RLVL_Bal)),0))</f>
        <v/>
      </c>
      <c r="J133" s="155" t="str">
        <f aca="false">IF(Rider_Input[[#This Row],[Rider ID]]="","",IFERROR(ABS(INDEX(RLVL_Data,MATCH(Rider_Input[[#This Row],[Rider ID]],INDEX(RLVL_Data,0,c_RLVL_ID),0),c_RLVL_Stack)),0))</f>
        <v/>
      </c>
      <c r="K133" s="155" t="str">
        <f aca="false">IF(Rider_Input[[#This Row],[Rider ID]]="","",SUMIFS(Adj_Input[Other Deductions],Adj_Input[Rider ID],Rider_Input[[#This Row],[Rider ID]]))</f>
        <v/>
      </c>
      <c r="L133" s="154" t="str">
        <f aca="false">IF(Rider_Input[[#This Row],[Rider ID]]="","",IFERROR(INDEX(Adj_Input[Note / Reason],MATCH(Rider_Input[[#This Row],[Rider ID]],Adj_Input[Rider ID],0))&amp;"",""))</f>
        <v/>
      </c>
    </row>
    <row r="134" customFormat="false" ht="14.25" hidden="false" customHeight="false" outlineLevel="0" collapsed="false">
      <c r="A134" s="152" t="str">
        <f aca="false">IF(Rider_Input[[#This Row],[Rider ID]]="","",Salary_Month)</f>
        <v/>
      </c>
      <c r="B134" s="153" t="str">
        <f aca="false">IFERROR(IF(INDEX(FTR_Data,ROW()-ROW(Rider_Input[#Headers]),c_FTR_ID)="","",INDEX(FTR_Data,ROW()-ROW(Rider_Input[#Headers]),c_FTR_ID)),"")</f>
        <v/>
      </c>
      <c r="C13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3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34" s="153" t="str">
        <f aca="false">IF(Rider_Input[[#This Row],[Rider ID]]="","",DAY(EOMONTH(Salary_Month,0)))</f>
        <v/>
      </c>
      <c r="F134" s="153" t="str">
        <f aca="false">IF(Rider_Input[[#This Row],[Rider ID]]="","",IFERROR(IF(INDEX(FTR_Data,ROW()-ROW(Rider_Input[#Headers]),c_FTR_WD)="","",INDEX(FTR_Data,ROW()-ROW(Rider_Input[#Headers]),c_FTR_WD)),""))</f>
        <v/>
      </c>
      <c r="G134" s="153" t="str">
        <f aca="false">IF(Rider_Input[[#This Row],[Rider ID]]="","",IFERROR(IF(INDEX(FTR_Data,ROW()-ROW(Rider_Input[#Headers]),c_FTR_Orders)="","",INDEX(FTR_Data,ROW()-ROW(Rider_Input[#Headers]),c_FTR_Orders)),""))</f>
        <v/>
      </c>
      <c r="H134" s="155" t="str">
        <f aca="false">IF(Rider_Input[[#This Row],[Rider ID]]="","",IFERROR(ABS(INDEX(RLVL_Data,MATCH(Rider_Input[[#This Row],[Rider ID]],INDEX(RLVL_Data,0,c_RLVL_ID),0),c_RLVL_Missed)),0))</f>
        <v/>
      </c>
      <c r="I134" s="155" t="str">
        <f aca="false">IF(Rider_Input[[#This Row],[Rider ID]]="","",IFERROR(ABS(INDEX(RLVL_Data,MATCH(Rider_Input[[#This Row],[Rider ID]],INDEX(RLVL_Data,0,c_RLVL_ID),0),c_RLVL_Bal)),0))</f>
        <v/>
      </c>
      <c r="J134" s="155" t="str">
        <f aca="false">IF(Rider_Input[[#This Row],[Rider ID]]="","",IFERROR(ABS(INDEX(RLVL_Data,MATCH(Rider_Input[[#This Row],[Rider ID]],INDEX(RLVL_Data,0,c_RLVL_ID),0),c_RLVL_Stack)),0))</f>
        <v/>
      </c>
      <c r="K134" s="155" t="str">
        <f aca="false">IF(Rider_Input[[#This Row],[Rider ID]]="","",SUMIFS(Adj_Input[Other Deductions],Adj_Input[Rider ID],Rider_Input[[#This Row],[Rider ID]]))</f>
        <v/>
      </c>
      <c r="L134" s="154" t="str">
        <f aca="false">IF(Rider_Input[[#This Row],[Rider ID]]="","",IFERROR(INDEX(Adj_Input[Note / Reason],MATCH(Rider_Input[[#This Row],[Rider ID]],Adj_Input[Rider ID],0))&amp;"",""))</f>
        <v/>
      </c>
    </row>
    <row r="135" customFormat="false" ht="14.25" hidden="false" customHeight="false" outlineLevel="0" collapsed="false">
      <c r="A135" s="152" t="str">
        <f aca="false">IF(Rider_Input[[#This Row],[Rider ID]]="","",Salary_Month)</f>
        <v/>
      </c>
      <c r="B135" s="153" t="str">
        <f aca="false">IFERROR(IF(INDEX(FTR_Data,ROW()-ROW(Rider_Input[#Headers]),c_FTR_ID)="","",INDEX(FTR_Data,ROW()-ROW(Rider_Input[#Headers]),c_FTR_ID)),"")</f>
        <v/>
      </c>
      <c r="C13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3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35" s="153" t="str">
        <f aca="false">IF(Rider_Input[[#This Row],[Rider ID]]="","",DAY(EOMONTH(Salary_Month,0)))</f>
        <v/>
      </c>
      <c r="F135" s="153" t="str">
        <f aca="false">IF(Rider_Input[[#This Row],[Rider ID]]="","",IFERROR(IF(INDEX(FTR_Data,ROW()-ROW(Rider_Input[#Headers]),c_FTR_WD)="","",INDEX(FTR_Data,ROW()-ROW(Rider_Input[#Headers]),c_FTR_WD)),""))</f>
        <v/>
      </c>
      <c r="G135" s="153" t="str">
        <f aca="false">IF(Rider_Input[[#This Row],[Rider ID]]="","",IFERROR(IF(INDEX(FTR_Data,ROW()-ROW(Rider_Input[#Headers]),c_FTR_Orders)="","",INDEX(FTR_Data,ROW()-ROW(Rider_Input[#Headers]),c_FTR_Orders)),""))</f>
        <v/>
      </c>
      <c r="H135" s="155" t="str">
        <f aca="false">IF(Rider_Input[[#This Row],[Rider ID]]="","",IFERROR(ABS(INDEX(RLVL_Data,MATCH(Rider_Input[[#This Row],[Rider ID]],INDEX(RLVL_Data,0,c_RLVL_ID),0),c_RLVL_Missed)),0))</f>
        <v/>
      </c>
      <c r="I135" s="155" t="str">
        <f aca="false">IF(Rider_Input[[#This Row],[Rider ID]]="","",IFERROR(ABS(INDEX(RLVL_Data,MATCH(Rider_Input[[#This Row],[Rider ID]],INDEX(RLVL_Data,0,c_RLVL_ID),0),c_RLVL_Bal)),0))</f>
        <v/>
      </c>
      <c r="J135" s="155" t="str">
        <f aca="false">IF(Rider_Input[[#This Row],[Rider ID]]="","",IFERROR(ABS(INDEX(RLVL_Data,MATCH(Rider_Input[[#This Row],[Rider ID]],INDEX(RLVL_Data,0,c_RLVL_ID),0),c_RLVL_Stack)),0))</f>
        <v/>
      </c>
      <c r="K135" s="155" t="str">
        <f aca="false">IF(Rider_Input[[#This Row],[Rider ID]]="","",SUMIFS(Adj_Input[Other Deductions],Adj_Input[Rider ID],Rider_Input[[#This Row],[Rider ID]]))</f>
        <v/>
      </c>
      <c r="L135" s="154" t="str">
        <f aca="false">IF(Rider_Input[[#This Row],[Rider ID]]="","",IFERROR(INDEX(Adj_Input[Note / Reason],MATCH(Rider_Input[[#This Row],[Rider ID]],Adj_Input[Rider ID],0))&amp;"",""))</f>
        <v/>
      </c>
    </row>
    <row r="136" customFormat="false" ht="14.25" hidden="false" customHeight="false" outlineLevel="0" collapsed="false">
      <c r="A136" s="152" t="str">
        <f aca="false">IF(Rider_Input[[#This Row],[Rider ID]]="","",Salary_Month)</f>
        <v/>
      </c>
      <c r="B136" s="153" t="str">
        <f aca="false">IFERROR(IF(INDEX(FTR_Data,ROW()-ROW(Rider_Input[#Headers]),c_FTR_ID)="","",INDEX(FTR_Data,ROW()-ROW(Rider_Input[#Headers]),c_FTR_ID)),"")</f>
        <v/>
      </c>
      <c r="C13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3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36" s="153" t="str">
        <f aca="false">IF(Rider_Input[[#This Row],[Rider ID]]="","",DAY(EOMONTH(Salary_Month,0)))</f>
        <v/>
      </c>
      <c r="F136" s="153" t="str">
        <f aca="false">IF(Rider_Input[[#This Row],[Rider ID]]="","",IFERROR(IF(INDEX(FTR_Data,ROW()-ROW(Rider_Input[#Headers]),c_FTR_WD)="","",INDEX(FTR_Data,ROW()-ROW(Rider_Input[#Headers]),c_FTR_WD)),""))</f>
        <v/>
      </c>
      <c r="G136" s="153" t="str">
        <f aca="false">IF(Rider_Input[[#This Row],[Rider ID]]="","",IFERROR(IF(INDEX(FTR_Data,ROW()-ROW(Rider_Input[#Headers]),c_FTR_Orders)="","",INDEX(FTR_Data,ROW()-ROW(Rider_Input[#Headers]),c_FTR_Orders)),""))</f>
        <v/>
      </c>
      <c r="H136" s="155" t="str">
        <f aca="false">IF(Rider_Input[[#This Row],[Rider ID]]="","",IFERROR(ABS(INDEX(RLVL_Data,MATCH(Rider_Input[[#This Row],[Rider ID]],INDEX(RLVL_Data,0,c_RLVL_ID),0),c_RLVL_Missed)),0))</f>
        <v/>
      </c>
      <c r="I136" s="155" t="str">
        <f aca="false">IF(Rider_Input[[#This Row],[Rider ID]]="","",IFERROR(ABS(INDEX(RLVL_Data,MATCH(Rider_Input[[#This Row],[Rider ID]],INDEX(RLVL_Data,0,c_RLVL_ID),0),c_RLVL_Bal)),0))</f>
        <v/>
      </c>
      <c r="J136" s="155" t="str">
        <f aca="false">IF(Rider_Input[[#This Row],[Rider ID]]="","",IFERROR(ABS(INDEX(RLVL_Data,MATCH(Rider_Input[[#This Row],[Rider ID]],INDEX(RLVL_Data,0,c_RLVL_ID),0),c_RLVL_Stack)),0))</f>
        <v/>
      </c>
      <c r="K136" s="155" t="str">
        <f aca="false">IF(Rider_Input[[#This Row],[Rider ID]]="","",SUMIFS(Adj_Input[Other Deductions],Adj_Input[Rider ID],Rider_Input[[#This Row],[Rider ID]]))</f>
        <v/>
      </c>
      <c r="L136" s="154" t="str">
        <f aca="false">IF(Rider_Input[[#This Row],[Rider ID]]="","",IFERROR(INDEX(Adj_Input[Note / Reason],MATCH(Rider_Input[[#This Row],[Rider ID]],Adj_Input[Rider ID],0))&amp;"",""))</f>
        <v/>
      </c>
    </row>
    <row r="137" customFormat="false" ht="14.25" hidden="false" customHeight="false" outlineLevel="0" collapsed="false">
      <c r="A137" s="152" t="str">
        <f aca="false">IF(Rider_Input[[#This Row],[Rider ID]]="","",Salary_Month)</f>
        <v/>
      </c>
      <c r="B137" s="153" t="str">
        <f aca="false">IFERROR(IF(INDEX(FTR_Data,ROW()-ROW(Rider_Input[#Headers]),c_FTR_ID)="","",INDEX(FTR_Data,ROW()-ROW(Rider_Input[#Headers]),c_FTR_ID)),"")</f>
        <v/>
      </c>
      <c r="C13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3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37" s="153" t="str">
        <f aca="false">IF(Rider_Input[[#This Row],[Rider ID]]="","",DAY(EOMONTH(Salary_Month,0)))</f>
        <v/>
      </c>
      <c r="F137" s="153" t="str">
        <f aca="false">IF(Rider_Input[[#This Row],[Rider ID]]="","",IFERROR(IF(INDEX(FTR_Data,ROW()-ROW(Rider_Input[#Headers]),c_FTR_WD)="","",INDEX(FTR_Data,ROW()-ROW(Rider_Input[#Headers]),c_FTR_WD)),""))</f>
        <v/>
      </c>
      <c r="G137" s="153" t="str">
        <f aca="false">IF(Rider_Input[[#This Row],[Rider ID]]="","",IFERROR(IF(INDEX(FTR_Data,ROW()-ROW(Rider_Input[#Headers]),c_FTR_Orders)="","",INDEX(FTR_Data,ROW()-ROW(Rider_Input[#Headers]),c_FTR_Orders)),""))</f>
        <v/>
      </c>
      <c r="H137" s="155" t="str">
        <f aca="false">IF(Rider_Input[[#This Row],[Rider ID]]="","",IFERROR(ABS(INDEX(RLVL_Data,MATCH(Rider_Input[[#This Row],[Rider ID]],INDEX(RLVL_Data,0,c_RLVL_ID),0),c_RLVL_Missed)),0))</f>
        <v/>
      </c>
      <c r="I137" s="155" t="str">
        <f aca="false">IF(Rider_Input[[#This Row],[Rider ID]]="","",IFERROR(ABS(INDEX(RLVL_Data,MATCH(Rider_Input[[#This Row],[Rider ID]],INDEX(RLVL_Data,0,c_RLVL_ID),0),c_RLVL_Bal)),0))</f>
        <v/>
      </c>
      <c r="J137" s="155" t="str">
        <f aca="false">IF(Rider_Input[[#This Row],[Rider ID]]="","",IFERROR(ABS(INDEX(RLVL_Data,MATCH(Rider_Input[[#This Row],[Rider ID]],INDEX(RLVL_Data,0,c_RLVL_ID),0),c_RLVL_Stack)),0))</f>
        <v/>
      </c>
      <c r="K137" s="155" t="str">
        <f aca="false">IF(Rider_Input[[#This Row],[Rider ID]]="","",SUMIFS(Adj_Input[Other Deductions],Adj_Input[Rider ID],Rider_Input[[#This Row],[Rider ID]]))</f>
        <v/>
      </c>
      <c r="L137" s="154" t="str">
        <f aca="false">IF(Rider_Input[[#This Row],[Rider ID]]="","",IFERROR(INDEX(Adj_Input[Note / Reason],MATCH(Rider_Input[[#This Row],[Rider ID]],Adj_Input[Rider ID],0))&amp;"",""))</f>
        <v/>
      </c>
    </row>
    <row r="138" customFormat="false" ht="14.25" hidden="false" customHeight="false" outlineLevel="0" collapsed="false">
      <c r="A138" s="152" t="str">
        <f aca="false">IF(Rider_Input[[#This Row],[Rider ID]]="","",Salary_Month)</f>
        <v/>
      </c>
      <c r="B138" s="153" t="str">
        <f aca="false">IFERROR(IF(INDEX(FTR_Data,ROW()-ROW(Rider_Input[#Headers]),c_FTR_ID)="","",INDEX(FTR_Data,ROW()-ROW(Rider_Input[#Headers]),c_FTR_ID)),"")</f>
        <v/>
      </c>
      <c r="C13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3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38" s="153" t="str">
        <f aca="false">IF(Rider_Input[[#This Row],[Rider ID]]="","",DAY(EOMONTH(Salary_Month,0)))</f>
        <v/>
      </c>
      <c r="F138" s="153" t="str">
        <f aca="false">IF(Rider_Input[[#This Row],[Rider ID]]="","",IFERROR(IF(INDEX(FTR_Data,ROW()-ROW(Rider_Input[#Headers]),c_FTR_WD)="","",INDEX(FTR_Data,ROW()-ROW(Rider_Input[#Headers]),c_FTR_WD)),""))</f>
        <v/>
      </c>
      <c r="G138" s="153" t="str">
        <f aca="false">IF(Rider_Input[[#This Row],[Rider ID]]="","",IFERROR(IF(INDEX(FTR_Data,ROW()-ROW(Rider_Input[#Headers]),c_FTR_Orders)="","",INDEX(FTR_Data,ROW()-ROW(Rider_Input[#Headers]),c_FTR_Orders)),""))</f>
        <v/>
      </c>
      <c r="H138" s="155" t="str">
        <f aca="false">IF(Rider_Input[[#This Row],[Rider ID]]="","",IFERROR(ABS(INDEX(RLVL_Data,MATCH(Rider_Input[[#This Row],[Rider ID]],INDEX(RLVL_Data,0,c_RLVL_ID),0),c_RLVL_Missed)),0))</f>
        <v/>
      </c>
      <c r="I138" s="155" t="str">
        <f aca="false">IF(Rider_Input[[#This Row],[Rider ID]]="","",IFERROR(ABS(INDEX(RLVL_Data,MATCH(Rider_Input[[#This Row],[Rider ID]],INDEX(RLVL_Data,0,c_RLVL_ID),0),c_RLVL_Bal)),0))</f>
        <v/>
      </c>
      <c r="J138" s="155" t="str">
        <f aca="false">IF(Rider_Input[[#This Row],[Rider ID]]="","",IFERROR(ABS(INDEX(RLVL_Data,MATCH(Rider_Input[[#This Row],[Rider ID]],INDEX(RLVL_Data,0,c_RLVL_ID),0),c_RLVL_Stack)),0))</f>
        <v/>
      </c>
      <c r="K138" s="155" t="str">
        <f aca="false">IF(Rider_Input[[#This Row],[Rider ID]]="","",SUMIFS(Adj_Input[Other Deductions],Adj_Input[Rider ID],Rider_Input[[#This Row],[Rider ID]]))</f>
        <v/>
      </c>
      <c r="L138" s="154" t="str">
        <f aca="false">IF(Rider_Input[[#This Row],[Rider ID]]="","",IFERROR(INDEX(Adj_Input[Note / Reason],MATCH(Rider_Input[[#This Row],[Rider ID]],Adj_Input[Rider ID],0))&amp;"",""))</f>
        <v/>
      </c>
    </row>
    <row r="139" customFormat="false" ht="14.25" hidden="false" customHeight="false" outlineLevel="0" collapsed="false">
      <c r="A139" s="152" t="str">
        <f aca="false">IF(Rider_Input[[#This Row],[Rider ID]]="","",Salary_Month)</f>
        <v/>
      </c>
      <c r="B139" s="153" t="str">
        <f aca="false">IFERROR(IF(INDEX(FTR_Data,ROW()-ROW(Rider_Input[#Headers]),c_FTR_ID)="","",INDEX(FTR_Data,ROW()-ROW(Rider_Input[#Headers]),c_FTR_ID)),"")</f>
        <v/>
      </c>
      <c r="C13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3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39" s="153" t="str">
        <f aca="false">IF(Rider_Input[[#This Row],[Rider ID]]="","",DAY(EOMONTH(Salary_Month,0)))</f>
        <v/>
      </c>
      <c r="F139" s="153" t="str">
        <f aca="false">IF(Rider_Input[[#This Row],[Rider ID]]="","",IFERROR(IF(INDEX(FTR_Data,ROW()-ROW(Rider_Input[#Headers]),c_FTR_WD)="","",INDEX(FTR_Data,ROW()-ROW(Rider_Input[#Headers]),c_FTR_WD)),""))</f>
        <v/>
      </c>
      <c r="G139" s="153" t="str">
        <f aca="false">IF(Rider_Input[[#This Row],[Rider ID]]="","",IFERROR(IF(INDEX(FTR_Data,ROW()-ROW(Rider_Input[#Headers]),c_FTR_Orders)="","",INDEX(FTR_Data,ROW()-ROW(Rider_Input[#Headers]),c_FTR_Orders)),""))</f>
        <v/>
      </c>
      <c r="H139" s="155" t="str">
        <f aca="false">IF(Rider_Input[[#This Row],[Rider ID]]="","",IFERROR(ABS(INDEX(RLVL_Data,MATCH(Rider_Input[[#This Row],[Rider ID]],INDEX(RLVL_Data,0,c_RLVL_ID),0),c_RLVL_Missed)),0))</f>
        <v/>
      </c>
      <c r="I139" s="155" t="str">
        <f aca="false">IF(Rider_Input[[#This Row],[Rider ID]]="","",IFERROR(ABS(INDEX(RLVL_Data,MATCH(Rider_Input[[#This Row],[Rider ID]],INDEX(RLVL_Data,0,c_RLVL_ID),0),c_RLVL_Bal)),0))</f>
        <v/>
      </c>
      <c r="J139" s="155" t="str">
        <f aca="false">IF(Rider_Input[[#This Row],[Rider ID]]="","",IFERROR(ABS(INDEX(RLVL_Data,MATCH(Rider_Input[[#This Row],[Rider ID]],INDEX(RLVL_Data,0,c_RLVL_ID),0),c_RLVL_Stack)),0))</f>
        <v/>
      </c>
      <c r="K139" s="155" t="str">
        <f aca="false">IF(Rider_Input[[#This Row],[Rider ID]]="","",SUMIFS(Adj_Input[Other Deductions],Adj_Input[Rider ID],Rider_Input[[#This Row],[Rider ID]]))</f>
        <v/>
      </c>
      <c r="L139" s="154" t="str">
        <f aca="false">IF(Rider_Input[[#This Row],[Rider ID]]="","",IFERROR(INDEX(Adj_Input[Note / Reason],MATCH(Rider_Input[[#This Row],[Rider ID]],Adj_Input[Rider ID],0))&amp;"",""))</f>
        <v/>
      </c>
    </row>
    <row r="140" customFormat="false" ht="14.25" hidden="false" customHeight="false" outlineLevel="0" collapsed="false">
      <c r="A140" s="152" t="str">
        <f aca="false">IF(Rider_Input[[#This Row],[Rider ID]]="","",Salary_Month)</f>
        <v/>
      </c>
      <c r="B140" s="153" t="str">
        <f aca="false">IFERROR(IF(INDEX(FTR_Data,ROW()-ROW(Rider_Input[#Headers]),c_FTR_ID)="","",INDEX(FTR_Data,ROW()-ROW(Rider_Input[#Headers]),c_FTR_ID)),"")</f>
        <v/>
      </c>
      <c r="C14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4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40" s="153" t="str">
        <f aca="false">IF(Rider_Input[[#This Row],[Rider ID]]="","",DAY(EOMONTH(Salary_Month,0)))</f>
        <v/>
      </c>
      <c r="F140" s="153" t="str">
        <f aca="false">IF(Rider_Input[[#This Row],[Rider ID]]="","",IFERROR(IF(INDEX(FTR_Data,ROW()-ROW(Rider_Input[#Headers]),c_FTR_WD)="","",INDEX(FTR_Data,ROW()-ROW(Rider_Input[#Headers]),c_FTR_WD)),""))</f>
        <v/>
      </c>
      <c r="G140" s="153" t="str">
        <f aca="false">IF(Rider_Input[[#This Row],[Rider ID]]="","",IFERROR(IF(INDEX(FTR_Data,ROW()-ROW(Rider_Input[#Headers]),c_FTR_Orders)="","",INDEX(FTR_Data,ROW()-ROW(Rider_Input[#Headers]),c_FTR_Orders)),""))</f>
        <v/>
      </c>
      <c r="H140" s="155" t="str">
        <f aca="false">IF(Rider_Input[[#This Row],[Rider ID]]="","",IFERROR(ABS(INDEX(RLVL_Data,MATCH(Rider_Input[[#This Row],[Rider ID]],INDEX(RLVL_Data,0,c_RLVL_ID),0),c_RLVL_Missed)),0))</f>
        <v/>
      </c>
      <c r="I140" s="155" t="str">
        <f aca="false">IF(Rider_Input[[#This Row],[Rider ID]]="","",IFERROR(ABS(INDEX(RLVL_Data,MATCH(Rider_Input[[#This Row],[Rider ID]],INDEX(RLVL_Data,0,c_RLVL_ID),0),c_RLVL_Bal)),0))</f>
        <v/>
      </c>
      <c r="J140" s="155" t="str">
        <f aca="false">IF(Rider_Input[[#This Row],[Rider ID]]="","",IFERROR(ABS(INDEX(RLVL_Data,MATCH(Rider_Input[[#This Row],[Rider ID]],INDEX(RLVL_Data,0,c_RLVL_ID),0),c_RLVL_Stack)),0))</f>
        <v/>
      </c>
      <c r="K140" s="155" t="str">
        <f aca="false">IF(Rider_Input[[#This Row],[Rider ID]]="","",SUMIFS(Adj_Input[Other Deductions],Adj_Input[Rider ID],Rider_Input[[#This Row],[Rider ID]]))</f>
        <v/>
      </c>
      <c r="L140" s="154" t="str">
        <f aca="false">IF(Rider_Input[[#This Row],[Rider ID]]="","",IFERROR(INDEX(Adj_Input[Note / Reason],MATCH(Rider_Input[[#This Row],[Rider ID]],Adj_Input[Rider ID],0))&amp;"",""))</f>
        <v/>
      </c>
    </row>
    <row r="141" customFormat="false" ht="14.25" hidden="false" customHeight="false" outlineLevel="0" collapsed="false">
      <c r="A141" s="152" t="str">
        <f aca="false">IF(Rider_Input[[#This Row],[Rider ID]]="","",Salary_Month)</f>
        <v/>
      </c>
      <c r="B141" s="153" t="str">
        <f aca="false">IFERROR(IF(INDEX(FTR_Data,ROW()-ROW(Rider_Input[#Headers]),c_FTR_ID)="","",INDEX(FTR_Data,ROW()-ROW(Rider_Input[#Headers]),c_FTR_ID)),"")</f>
        <v/>
      </c>
      <c r="C14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4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41" s="153" t="str">
        <f aca="false">IF(Rider_Input[[#This Row],[Rider ID]]="","",DAY(EOMONTH(Salary_Month,0)))</f>
        <v/>
      </c>
      <c r="F141" s="153" t="str">
        <f aca="false">IF(Rider_Input[[#This Row],[Rider ID]]="","",IFERROR(IF(INDEX(FTR_Data,ROW()-ROW(Rider_Input[#Headers]),c_FTR_WD)="","",INDEX(FTR_Data,ROW()-ROW(Rider_Input[#Headers]),c_FTR_WD)),""))</f>
        <v/>
      </c>
      <c r="G141" s="153" t="str">
        <f aca="false">IF(Rider_Input[[#This Row],[Rider ID]]="","",IFERROR(IF(INDEX(FTR_Data,ROW()-ROW(Rider_Input[#Headers]),c_FTR_Orders)="","",INDEX(FTR_Data,ROW()-ROW(Rider_Input[#Headers]),c_FTR_Orders)),""))</f>
        <v/>
      </c>
      <c r="H141" s="155" t="str">
        <f aca="false">IF(Rider_Input[[#This Row],[Rider ID]]="","",IFERROR(ABS(INDEX(RLVL_Data,MATCH(Rider_Input[[#This Row],[Rider ID]],INDEX(RLVL_Data,0,c_RLVL_ID),0),c_RLVL_Missed)),0))</f>
        <v/>
      </c>
      <c r="I141" s="155" t="str">
        <f aca="false">IF(Rider_Input[[#This Row],[Rider ID]]="","",IFERROR(ABS(INDEX(RLVL_Data,MATCH(Rider_Input[[#This Row],[Rider ID]],INDEX(RLVL_Data,0,c_RLVL_ID),0),c_RLVL_Bal)),0))</f>
        <v/>
      </c>
      <c r="J141" s="155" t="str">
        <f aca="false">IF(Rider_Input[[#This Row],[Rider ID]]="","",IFERROR(ABS(INDEX(RLVL_Data,MATCH(Rider_Input[[#This Row],[Rider ID]],INDEX(RLVL_Data,0,c_RLVL_ID),0),c_RLVL_Stack)),0))</f>
        <v/>
      </c>
      <c r="K141" s="155" t="str">
        <f aca="false">IF(Rider_Input[[#This Row],[Rider ID]]="","",SUMIFS(Adj_Input[Other Deductions],Adj_Input[Rider ID],Rider_Input[[#This Row],[Rider ID]]))</f>
        <v/>
      </c>
      <c r="L141" s="154" t="str">
        <f aca="false">IF(Rider_Input[[#This Row],[Rider ID]]="","",IFERROR(INDEX(Adj_Input[Note / Reason],MATCH(Rider_Input[[#This Row],[Rider ID]],Adj_Input[Rider ID],0))&amp;"",""))</f>
        <v/>
      </c>
    </row>
    <row r="142" customFormat="false" ht="14.25" hidden="false" customHeight="false" outlineLevel="0" collapsed="false">
      <c r="A142" s="152" t="str">
        <f aca="false">IF(Rider_Input[[#This Row],[Rider ID]]="","",Salary_Month)</f>
        <v/>
      </c>
      <c r="B142" s="153" t="str">
        <f aca="false">IFERROR(IF(INDEX(FTR_Data,ROW()-ROW(Rider_Input[#Headers]),c_FTR_ID)="","",INDEX(FTR_Data,ROW()-ROW(Rider_Input[#Headers]),c_FTR_ID)),"")</f>
        <v/>
      </c>
      <c r="C14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4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42" s="153" t="str">
        <f aca="false">IF(Rider_Input[[#This Row],[Rider ID]]="","",DAY(EOMONTH(Salary_Month,0)))</f>
        <v/>
      </c>
      <c r="F142" s="153" t="str">
        <f aca="false">IF(Rider_Input[[#This Row],[Rider ID]]="","",IFERROR(IF(INDEX(FTR_Data,ROW()-ROW(Rider_Input[#Headers]),c_FTR_WD)="","",INDEX(FTR_Data,ROW()-ROW(Rider_Input[#Headers]),c_FTR_WD)),""))</f>
        <v/>
      </c>
      <c r="G142" s="153" t="str">
        <f aca="false">IF(Rider_Input[[#This Row],[Rider ID]]="","",IFERROR(IF(INDEX(FTR_Data,ROW()-ROW(Rider_Input[#Headers]),c_FTR_Orders)="","",INDEX(FTR_Data,ROW()-ROW(Rider_Input[#Headers]),c_FTR_Orders)),""))</f>
        <v/>
      </c>
      <c r="H142" s="155" t="str">
        <f aca="false">IF(Rider_Input[[#This Row],[Rider ID]]="","",IFERROR(ABS(INDEX(RLVL_Data,MATCH(Rider_Input[[#This Row],[Rider ID]],INDEX(RLVL_Data,0,c_RLVL_ID),0),c_RLVL_Missed)),0))</f>
        <v/>
      </c>
      <c r="I142" s="155" t="str">
        <f aca="false">IF(Rider_Input[[#This Row],[Rider ID]]="","",IFERROR(ABS(INDEX(RLVL_Data,MATCH(Rider_Input[[#This Row],[Rider ID]],INDEX(RLVL_Data,0,c_RLVL_ID),0),c_RLVL_Bal)),0))</f>
        <v/>
      </c>
      <c r="J142" s="155" t="str">
        <f aca="false">IF(Rider_Input[[#This Row],[Rider ID]]="","",IFERROR(ABS(INDEX(RLVL_Data,MATCH(Rider_Input[[#This Row],[Rider ID]],INDEX(RLVL_Data,0,c_RLVL_ID),0),c_RLVL_Stack)),0))</f>
        <v/>
      </c>
      <c r="K142" s="155" t="str">
        <f aca="false">IF(Rider_Input[[#This Row],[Rider ID]]="","",SUMIFS(Adj_Input[Other Deductions],Adj_Input[Rider ID],Rider_Input[[#This Row],[Rider ID]]))</f>
        <v/>
      </c>
      <c r="L142" s="154" t="str">
        <f aca="false">IF(Rider_Input[[#This Row],[Rider ID]]="","",IFERROR(INDEX(Adj_Input[Note / Reason],MATCH(Rider_Input[[#This Row],[Rider ID]],Adj_Input[Rider ID],0))&amp;"",""))</f>
        <v/>
      </c>
    </row>
    <row r="143" customFormat="false" ht="14.25" hidden="false" customHeight="false" outlineLevel="0" collapsed="false">
      <c r="A143" s="152" t="str">
        <f aca="false">IF(Rider_Input[[#This Row],[Rider ID]]="","",Salary_Month)</f>
        <v/>
      </c>
      <c r="B143" s="153" t="str">
        <f aca="false">IFERROR(IF(INDEX(FTR_Data,ROW()-ROW(Rider_Input[#Headers]),c_FTR_ID)="","",INDEX(FTR_Data,ROW()-ROW(Rider_Input[#Headers]),c_FTR_ID)),"")</f>
        <v/>
      </c>
      <c r="C14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4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43" s="153" t="str">
        <f aca="false">IF(Rider_Input[[#This Row],[Rider ID]]="","",DAY(EOMONTH(Salary_Month,0)))</f>
        <v/>
      </c>
      <c r="F143" s="153" t="str">
        <f aca="false">IF(Rider_Input[[#This Row],[Rider ID]]="","",IFERROR(IF(INDEX(FTR_Data,ROW()-ROW(Rider_Input[#Headers]),c_FTR_WD)="","",INDEX(FTR_Data,ROW()-ROW(Rider_Input[#Headers]),c_FTR_WD)),""))</f>
        <v/>
      </c>
      <c r="G143" s="153" t="str">
        <f aca="false">IF(Rider_Input[[#This Row],[Rider ID]]="","",IFERROR(IF(INDEX(FTR_Data,ROW()-ROW(Rider_Input[#Headers]),c_FTR_Orders)="","",INDEX(FTR_Data,ROW()-ROW(Rider_Input[#Headers]),c_FTR_Orders)),""))</f>
        <v/>
      </c>
      <c r="H143" s="155" t="str">
        <f aca="false">IF(Rider_Input[[#This Row],[Rider ID]]="","",IFERROR(ABS(INDEX(RLVL_Data,MATCH(Rider_Input[[#This Row],[Rider ID]],INDEX(RLVL_Data,0,c_RLVL_ID),0),c_RLVL_Missed)),0))</f>
        <v/>
      </c>
      <c r="I143" s="155" t="str">
        <f aca="false">IF(Rider_Input[[#This Row],[Rider ID]]="","",IFERROR(ABS(INDEX(RLVL_Data,MATCH(Rider_Input[[#This Row],[Rider ID]],INDEX(RLVL_Data,0,c_RLVL_ID),0),c_RLVL_Bal)),0))</f>
        <v/>
      </c>
      <c r="J143" s="155" t="str">
        <f aca="false">IF(Rider_Input[[#This Row],[Rider ID]]="","",IFERROR(ABS(INDEX(RLVL_Data,MATCH(Rider_Input[[#This Row],[Rider ID]],INDEX(RLVL_Data,0,c_RLVL_ID),0),c_RLVL_Stack)),0))</f>
        <v/>
      </c>
      <c r="K143" s="155" t="str">
        <f aca="false">IF(Rider_Input[[#This Row],[Rider ID]]="","",SUMIFS(Adj_Input[Other Deductions],Adj_Input[Rider ID],Rider_Input[[#This Row],[Rider ID]]))</f>
        <v/>
      </c>
      <c r="L143" s="154" t="str">
        <f aca="false">IF(Rider_Input[[#This Row],[Rider ID]]="","",IFERROR(INDEX(Adj_Input[Note / Reason],MATCH(Rider_Input[[#This Row],[Rider ID]],Adj_Input[Rider ID],0))&amp;"",""))</f>
        <v/>
      </c>
    </row>
    <row r="144" customFormat="false" ht="14.25" hidden="false" customHeight="false" outlineLevel="0" collapsed="false">
      <c r="A144" s="152" t="str">
        <f aca="false">IF(Rider_Input[[#This Row],[Rider ID]]="","",Salary_Month)</f>
        <v/>
      </c>
      <c r="B144" s="153" t="str">
        <f aca="false">IFERROR(IF(INDEX(FTR_Data,ROW()-ROW(Rider_Input[#Headers]),c_FTR_ID)="","",INDEX(FTR_Data,ROW()-ROW(Rider_Input[#Headers]),c_FTR_ID)),"")</f>
        <v/>
      </c>
      <c r="C14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4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44" s="153" t="str">
        <f aca="false">IF(Rider_Input[[#This Row],[Rider ID]]="","",DAY(EOMONTH(Salary_Month,0)))</f>
        <v/>
      </c>
      <c r="F144" s="153" t="str">
        <f aca="false">IF(Rider_Input[[#This Row],[Rider ID]]="","",IFERROR(IF(INDEX(FTR_Data,ROW()-ROW(Rider_Input[#Headers]),c_FTR_WD)="","",INDEX(FTR_Data,ROW()-ROW(Rider_Input[#Headers]),c_FTR_WD)),""))</f>
        <v/>
      </c>
      <c r="G144" s="153" t="str">
        <f aca="false">IF(Rider_Input[[#This Row],[Rider ID]]="","",IFERROR(IF(INDEX(FTR_Data,ROW()-ROW(Rider_Input[#Headers]),c_FTR_Orders)="","",INDEX(FTR_Data,ROW()-ROW(Rider_Input[#Headers]),c_FTR_Orders)),""))</f>
        <v/>
      </c>
      <c r="H144" s="155" t="str">
        <f aca="false">IF(Rider_Input[[#This Row],[Rider ID]]="","",IFERROR(ABS(INDEX(RLVL_Data,MATCH(Rider_Input[[#This Row],[Rider ID]],INDEX(RLVL_Data,0,c_RLVL_ID),0),c_RLVL_Missed)),0))</f>
        <v/>
      </c>
      <c r="I144" s="155" t="str">
        <f aca="false">IF(Rider_Input[[#This Row],[Rider ID]]="","",IFERROR(ABS(INDEX(RLVL_Data,MATCH(Rider_Input[[#This Row],[Rider ID]],INDEX(RLVL_Data,0,c_RLVL_ID),0),c_RLVL_Bal)),0))</f>
        <v/>
      </c>
      <c r="J144" s="155" t="str">
        <f aca="false">IF(Rider_Input[[#This Row],[Rider ID]]="","",IFERROR(ABS(INDEX(RLVL_Data,MATCH(Rider_Input[[#This Row],[Rider ID]],INDEX(RLVL_Data,0,c_RLVL_ID),0),c_RLVL_Stack)),0))</f>
        <v/>
      </c>
      <c r="K144" s="155" t="str">
        <f aca="false">IF(Rider_Input[[#This Row],[Rider ID]]="","",SUMIFS(Adj_Input[Other Deductions],Adj_Input[Rider ID],Rider_Input[[#This Row],[Rider ID]]))</f>
        <v/>
      </c>
      <c r="L144" s="154" t="str">
        <f aca="false">IF(Rider_Input[[#This Row],[Rider ID]]="","",IFERROR(INDEX(Adj_Input[Note / Reason],MATCH(Rider_Input[[#This Row],[Rider ID]],Adj_Input[Rider ID],0))&amp;"",""))</f>
        <v/>
      </c>
    </row>
    <row r="145" customFormat="false" ht="14.25" hidden="false" customHeight="false" outlineLevel="0" collapsed="false">
      <c r="A145" s="152" t="str">
        <f aca="false">IF(Rider_Input[[#This Row],[Rider ID]]="","",Salary_Month)</f>
        <v/>
      </c>
      <c r="B145" s="153" t="str">
        <f aca="false">IFERROR(IF(INDEX(FTR_Data,ROW()-ROW(Rider_Input[#Headers]),c_FTR_ID)="","",INDEX(FTR_Data,ROW()-ROW(Rider_Input[#Headers]),c_FTR_ID)),"")</f>
        <v/>
      </c>
      <c r="C14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4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45" s="153" t="str">
        <f aca="false">IF(Rider_Input[[#This Row],[Rider ID]]="","",DAY(EOMONTH(Salary_Month,0)))</f>
        <v/>
      </c>
      <c r="F145" s="153" t="str">
        <f aca="false">IF(Rider_Input[[#This Row],[Rider ID]]="","",IFERROR(IF(INDEX(FTR_Data,ROW()-ROW(Rider_Input[#Headers]),c_FTR_WD)="","",INDEX(FTR_Data,ROW()-ROW(Rider_Input[#Headers]),c_FTR_WD)),""))</f>
        <v/>
      </c>
      <c r="G145" s="153" t="str">
        <f aca="false">IF(Rider_Input[[#This Row],[Rider ID]]="","",IFERROR(IF(INDEX(FTR_Data,ROW()-ROW(Rider_Input[#Headers]),c_FTR_Orders)="","",INDEX(FTR_Data,ROW()-ROW(Rider_Input[#Headers]),c_FTR_Orders)),""))</f>
        <v/>
      </c>
      <c r="H145" s="155" t="str">
        <f aca="false">IF(Rider_Input[[#This Row],[Rider ID]]="","",IFERROR(ABS(INDEX(RLVL_Data,MATCH(Rider_Input[[#This Row],[Rider ID]],INDEX(RLVL_Data,0,c_RLVL_ID),0),c_RLVL_Missed)),0))</f>
        <v/>
      </c>
      <c r="I145" s="155" t="str">
        <f aca="false">IF(Rider_Input[[#This Row],[Rider ID]]="","",IFERROR(ABS(INDEX(RLVL_Data,MATCH(Rider_Input[[#This Row],[Rider ID]],INDEX(RLVL_Data,0,c_RLVL_ID),0),c_RLVL_Bal)),0))</f>
        <v/>
      </c>
      <c r="J145" s="155" t="str">
        <f aca="false">IF(Rider_Input[[#This Row],[Rider ID]]="","",IFERROR(ABS(INDEX(RLVL_Data,MATCH(Rider_Input[[#This Row],[Rider ID]],INDEX(RLVL_Data,0,c_RLVL_ID),0),c_RLVL_Stack)),0))</f>
        <v/>
      </c>
      <c r="K145" s="155" t="str">
        <f aca="false">IF(Rider_Input[[#This Row],[Rider ID]]="","",SUMIFS(Adj_Input[Other Deductions],Adj_Input[Rider ID],Rider_Input[[#This Row],[Rider ID]]))</f>
        <v/>
      </c>
      <c r="L145" s="154" t="str">
        <f aca="false">IF(Rider_Input[[#This Row],[Rider ID]]="","",IFERROR(INDEX(Adj_Input[Note / Reason],MATCH(Rider_Input[[#This Row],[Rider ID]],Adj_Input[Rider ID],0))&amp;"",""))</f>
        <v/>
      </c>
    </row>
    <row r="146" customFormat="false" ht="14.25" hidden="false" customHeight="false" outlineLevel="0" collapsed="false">
      <c r="A146" s="152" t="str">
        <f aca="false">IF(Rider_Input[[#This Row],[Rider ID]]="","",Salary_Month)</f>
        <v/>
      </c>
      <c r="B146" s="153" t="str">
        <f aca="false">IFERROR(IF(INDEX(FTR_Data,ROW()-ROW(Rider_Input[#Headers]),c_FTR_ID)="","",INDEX(FTR_Data,ROW()-ROW(Rider_Input[#Headers]),c_FTR_ID)),"")</f>
        <v/>
      </c>
      <c r="C14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4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46" s="153" t="str">
        <f aca="false">IF(Rider_Input[[#This Row],[Rider ID]]="","",DAY(EOMONTH(Salary_Month,0)))</f>
        <v/>
      </c>
      <c r="F146" s="153" t="str">
        <f aca="false">IF(Rider_Input[[#This Row],[Rider ID]]="","",IFERROR(IF(INDEX(FTR_Data,ROW()-ROW(Rider_Input[#Headers]),c_FTR_WD)="","",INDEX(FTR_Data,ROW()-ROW(Rider_Input[#Headers]),c_FTR_WD)),""))</f>
        <v/>
      </c>
      <c r="G146" s="153" t="str">
        <f aca="false">IF(Rider_Input[[#This Row],[Rider ID]]="","",IFERROR(IF(INDEX(FTR_Data,ROW()-ROW(Rider_Input[#Headers]),c_FTR_Orders)="","",INDEX(FTR_Data,ROW()-ROW(Rider_Input[#Headers]),c_FTR_Orders)),""))</f>
        <v/>
      </c>
      <c r="H146" s="155" t="str">
        <f aca="false">IF(Rider_Input[[#This Row],[Rider ID]]="","",IFERROR(ABS(INDEX(RLVL_Data,MATCH(Rider_Input[[#This Row],[Rider ID]],INDEX(RLVL_Data,0,c_RLVL_ID),0),c_RLVL_Missed)),0))</f>
        <v/>
      </c>
      <c r="I146" s="155" t="str">
        <f aca="false">IF(Rider_Input[[#This Row],[Rider ID]]="","",IFERROR(ABS(INDEX(RLVL_Data,MATCH(Rider_Input[[#This Row],[Rider ID]],INDEX(RLVL_Data,0,c_RLVL_ID),0),c_RLVL_Bal)),0))</f>
        <v/>
      </c>
      <c r="J146" s="155" t="str">
        <f aca="false">IF(Rider_Input[[#This Row],[Rider ID]]="","",IFERROR(ABS(INDEX(RLVL_Data,MATCH(Rider_Input[[#This Row],[Rider ID]],INDEX(RLVL_Data,0,c_RLVL_ID),0),c_RLVL_Stack)),0))</f>
        <v/>
      </c>
      <c r="K146" s="155" t="str">
        <f aca="false">IF(Rider_Input[[#This Row],[Rider ID]]="","",SUMIFS(Adj_Input[Other Deductions],Adj_Input[Rider ID],Rider_Input[[#This Row],[Rider ID]]))</f>
        <v/>
      </c>
      <c r="L146" s="154" t="str">
        <f aca="false">IF(Rider_Input[[#This Row],[Rider ID]]="","",IFERROR(INDEX(Adj_Input[Note / Reason],MATCH(Rider_Input[[#This Row],[Rider ID]],Adj_Input[Rider ID],0))&amp;"",""))</f>
        <v/>
      </c>
    </row>
    <row r="147" customFormat="false" ht="14.25" hidden="false" customHeight="false" outlineLevel="0" collapsed="false">
      <c r="A147" s="152" t="str">
        <f aca="false">IF(Rider_Input[[#This Row],[Rider ID]]="","",Salary_Month)</f>
        <v/>
      </c>
      <c r="B147" s="153" t="str">
        <f aca="false">IFERROR(IF(INDEX(FTR_Data,ROW()-ROW(Rider_Input[#Headers]),c_FTR_ID)="","",INDEX(FTR_Data,ROW()-ROW(Rider_Input[#Headers]),c_FTR_ID)),"")</f>
        <v/>
      </c>
      <c r="C14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4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47" s="153" t="str">
        <f aca="false">IF(Rider_Input[[#This Row],[Rider ID]]="","",DAY(EOMONTH(Salary_Month,0)))</f>
        <v/>
      </c>
      <c r="F147" s="153" t="str">
        <f aca="false">IF(Rider_Input[[#This Row],[Rider ID]]="","",IFERROR(IF(INDEX(FTR_Data,ROW()-ROW(Rider_Input[#Headers]),c_FTR_WD)="","",INDEX(FTR_Data,ROW()-ROW(Rider_Input[#Headers]),c_FTR_WD)),""))</f>
        <v/>
      </c>
      <c r="G147" s="153" t="str">
        <f aca="false">IF(Rider_Input[[#This Row],[Rider ID]]="","",IFERROR(IF(INDEX(FTR_Data,ROW()-ROW(Rider_Input[#Headers]),c_FTR_Orders)="","",INDEX(FTR_Data,ROW()-ROW(Rider_Input[#Headers]),c_FTR_Orders)),""))</f>
        <v/>
      </c>
      <c r="H147" s="155" t="str">
        <f aca="false">IF(Rider_Input[[#This Row],[Rider ID]]="","",IFERROR(ABS(INDEX(RLVL_Data,MATCH(Rider_Input[[#This Row],[Rider ID]],INDEX(RLVL_Data,0,c_RLVL_ID),0),c_RLVL_Missed)),0))</f>
        <v/>
      </c>
      <c r="I147" s="155" t="str">
        <f aca="false">IF(Rider_Input[[#This Row],[Rider ID]]="","",IFERROR(ABS(INDEX(RLVL_Data,MATCH(Rider_Input[[#This Row],[Rider ID]],INDEX(RLVL_Data,0,c_RLVL_ID),0),c_RLVL_Bal)),0))</f>
        <v/>
      </c>
      <c r="J147" s="155" t="str">
        <f aca="false">IF(Rider_Input[[#This Row],[Rider ID]]="","",IFERROR(ABS(INDEX(RLVL_Data,MATCH(Rider_Input[[#This Row],[Rider ID]],INDEX(RLVL_Data,0,c_RLVL_ID),0),c_RLVL_Stack)),0))</f>
        <v/>
      </c>
      <c r="K147" s="155" t="str">
        <f aca="false">IF(Rider_Input[[#This Row],[Rider ID]]="","",SUMIFS(Adj_Input[Other Deductions],Adj_Input[Rider ID],Rider_Input[[#This Row],[Rider ID]]))</f>
        <v/>
      </c>
      <c r="L147" s="154" t="str">
        <f aca="false">IF(Rider_Input[[#This Row],[Rider ID]]="","",IFERROR(INDEX(Adj_Input[Note / Reason],MATCH(Rider_Input[[#This Row],[Rider ID]],Adj_Input[Rider ID],0))&amp;"",""))</f>
        <v/>
      </c>
    </row>
    <row r="148" customFormat="false" ht="14.25" hidden="false" customHeight="false" outlineLevel="0" collapsed="false">
      <c r="A148" s="152" t="str">
        <f aca="false">IF(Rider_Input[[#This Row],[Rider ID]]="","",Salary_Month)</f>
        <v/>
      </c>
      <c r="B148" s="153" t="str">
        <f aca="false">IFERROR(IF(INDEX(FTR_Data,ROW()-ROW(Rider_Input[#Headers]),c_FTR_ID)="","",INDEX(FTR_Data,ROW()-ROW(Rider_Input[#Headers]),c_FTR_ID)),"")</f>
        <v/>
      </c>
      <c r="C14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4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48" s="153" t="str">
        <f aca="false">IF(Rider_Input[[#This Row],[Rider ID]]="","",DAY(EOMONTH(Salary_Month,0)))</f>
        <v/>
      </c>
      <c r="F148" s="153" t="str">
        <f aca="false">IF(Rider_Input[[#This Row],[Rider ID]]="","",IFERROR(IF(INDEX(FTR_Data,ROW()-ROW(Rider_Input[#Headers]),c_FTR_WD)="","",INDEX(FTR_Data,ROW()-ROW(Rider_Input[#Headers]),c_FTR_WD)),""))</f>
        <v/>
      </c>
      <c r="G148" s="153" t="str">
        <f aca="false">IF(Rider_Input[[#This Row],[Rider ID]]="","",IFERROR(IF(INDEX(FTR_Data,ROW()-ROW(Rider_Input[#Headers]),c_FTR_Orders)="","",INDEX(FTR_Data,ROW()-ROW(Rider_Input[#Headers]),c_FTR_Orders)),""))</f>
        <v/>
      </c>
      <c r="H148" s="155" t="str">
        <f aca="false">IF(Rider_Input[[#This Row],[Rider ID]]="","",IFERROR(ABS(INDEX(RLVL_Data,MATCH(Rider_Input[[#This Row],[Rider ID]],INDEX(RLVL_Data,0,c_RLVL_ID),0),c_RLVL_Missed)),0))</f>
        <v/>
      </c>
      <c r="I148" s="155" t="str">
        <f aca="false">IF(Rider_Input[[#This Row],[Rider ID]]="","",IFERROR(ABS(INDEX(RLVL_Data,MATCH(Rider_Input[[#This Row],[Rider ID]],INDEX(RLVL_Data,0,c_RLVL_ID),0),c_RLVL_Bal)),0))</f>
        <v/>
      </c>
      <c r="J148" s="155" t="str">
        <f aca="false">IF(Rider_Input[[#This Row],[Rider ID]]="","",IFERROR(ABS(INDEX(RLVL_Data,MATCH(Rider_Input[[#This Row],[Rider ID]],INDEX(RLVL_Data,0,c_RLVL_ID),0),c_RLVL_Stack)),0))</f>
        <v/>
      </c>
      <c r="K148" s="155" t="str">
        <f aca="false">IF(Rider_Input[[#This Row],[Rider ID]]="","",SUMIFS(Adj_Input[Other Deductions],Adj_Input[Rider ID],Rider_Input[[#This Row],[Rider ID]]))</f>
        <v/>
      </c>
      <c r="L148" s="154" t="str">
        <f aca="false">IF(Rider_Input[[#This Row],[Rider ID]]="","",IFERROR(INDEX(Adj_Input[Note / Reason],MATCH(Rider_Input[[#This Row],[Rider ID]],Adj_Input[Rider ID],0))&amp;"",""))</f>
        <v/>
      </c>
    </row>
    <row r="149" customFormat="false" ht="14.25" hidden="false" customHeight="false" outlineLevel="0" collapsed="false">
      <c r="A149" s="152" t="str">
        <f aca="false">IF(Rider_Input[[#This Row],[Rider ID]]="","",Salary_Month)</f>
        <v/>
      </c>
      <c r="B149" s="153" t="str">
        <f aca="false">IFERROR(IF(INDEX(FTR_Data,ROW()-ROW(Rider_Input[#Headers]),c_FTR_ID)="","",INDEX(FTR_Data,ROW()-ROW(Rider_Input[#Headers]),c_FTR_ID)),"")</f>
        <v/>
      </c>
      <c r="C14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4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49" s="153" t="str">
        <f aca="false">IF(Rider_Input[[#This Row],[Rider ID]]="","",DAY(EOMONTH(Salary_Month,0)))</f>
        <v/>
      </c>
      <c r="F149" s="153" t="str">
        <f aca="false">IF(Rider_Input[[#This Row],[Rider ID]]="","",IFERROR(IF(INDEX(FTR_Data,ROW()-ROW(Rider_Input[#Headers]),c_FTR_WD)="","",INDEX(FTR_Data,ROW()-ROW(Rider_Input[#Headers]),c_FTR_WD)),""))</f>
        <v/>
      </c>
      <c r="G149" s="153" t="str">
        <f aca="false">IF(Rider_Input[[#This Row],[Rider ID]]="","",IFERROR(IF(INDEX(FTR_Data,ROW()-ROW(Rider_Input[#Headers]),c_FTR_Orders)="","",INDEX(FTR_Data,ROW()-ROW(Rider_Input[#Headers]),c_FTR_Orders)),""))</f>
        <v/>
      </c>
      <c r="H149" s="155" t="str">
        <f aca="false">IF(Rider_Input[[#This Row],[Rider ID]]="","",IFERROR(ABS(INDEX(RLVL_Data,MATCH(Rider_Input[[#This Row],[Rider ID]],INDEX(RLVL_Data,0,c_RLVL_ID),0),c_RLVL_Missed)),0))</f>
        <v/>
      </c>
      <c r="I149" s="155" t="str">
        <f aca="false">IF(Rider_Input[[#This Row],[Rider ID]]="","",IFERROR(ABS(INDEX(RLVL_Data,MATCH(Rider_Input[[#This Row],[Rider ID]],INDEX(RLVL_Data,0,c_RLVL_ID),0),c_RLVL_Bal)),0))</f>
        <v/>
      </c>
      <c r="J149" s="155" t="str">
        <f aca="false">IF(Rider_Input[[#This Row],[Rider ID]]="","",IFERROR(ABS(INDEX(RLVL_Data,MATCH(Rider_Input[[#This Row],[Rider ID]],INDEX(RLVL_Data,0,c_RLVL_ID),0),c_RLVL_Stack)),0))</f>
        <v/>
      </c>
      <c r="K149" s="155" t="str">
        <f aca="false">IF(Rider_Input[[#This Row],[Rider ID]]="","",SUMIFS(Adj_Input[Other Deductions],Adj_Input[Rider ID],Rider_Input[[#This Row],[Rider ID]]))</f>
        <v/>
      </c>
      <c r="L149" s="154" t="str">
        <f aca="false">IF(Rider_Input[[#This Row],[Rider ID]]="","",IFERROR(INDEX(Adj_Input[Note / Reason],MATCH(Rider_Input[[#This Row],[Rider ID]],Adj_Input[Rider ID],0))&amp;"",""))</f>
        <v/>
      </c>
    </row>
    <row r="150" customFormat="false" ht="14.25" hidden="false" customHeight="false" outlineLevel="0" collapsed="false">
      <c r="A150" s="152" t="str">
        <f aca="false">IF(Rider_Input[[#This Row],[Rider ID]]="","",Salary_Month)</f>
        <v/>
      </c>
      <c r="B150" s="153" t="str">
        <f aca="false">IFERROR(IF(INDEX(FTR_Data,ROW()-ROW(Rider_Input[#Headers]),c_FTR_ID)="","",INDEX(FTR_Data,ROW()-ROW(Rider_Input[#Headers]),c_FTR_ID)),"")</f>
        <v/>
      </c>
      <c r="C15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5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50" s="153" t="str">
        <f aca="false">IF(Rider_Input[[#This Row],[Rider ID]]="","",DAY(EOMONTH(Salary_Month,0)))</f>
        <v/>
      </c>
      <c r="F150" s="153" t="str">
        <f aca="false">IF(Rider_Input[[#This Row],[Rider ID]]="","",IFERROR(IF(INDEX(FTR_Data,ROW()-ROW(Rider_Input[#Headers]),c_FTR_WD)="","",INDEX(FTR_Data,ROW()-ROW(Rider_Input[#Headers]),c_FTR_WD)),""))</f>
        <v/>
      </c>
      <c r="G150" s="153" t="str">
        <f aca="false">IF(Rider_Input[[#This Row],[Rider ID]]="","",IFERROR(IF(INDEX(FTR_Data,ROW()-ROW(Rider_Input[#Headers]),c_FTR_Orders)="","",INDEX(FTR_Data,ROW()-ROW(Rider_Input[#Headers]),c_FTR_Orders)),""))</f>
        <v/>
      </c>
      <c r="H150" s="155" t="str">
        <f aca="false">IF(Rider_Input[[#This Row],[Rider ID]]="","",IFERROR(ABS(INDEX(RLVL_Data,MATCH(Rider_Input[[#This Row],[Rider ID]],INDEX(RLVL_Data,0,c_RLVL_ID),0),c_RLVL_Missed)),0))</f>
        <v/>
      </c>
      <c r="I150" s="155" t="str">
        <f aca="false">IF(Rider_Input[[#This Row],[Rider ID]]="","",IFERROR(ABS(INDEX(RLVL_Data,MATCH(Rider_Input[[#This Row],[Rider ID]],INDEX(RLVL_Data,0,c_RLVL_ID),0),c_RLVL_Bal)),0))</f>
        <v/>
      </c>
      <c r="J150" s="155" t="str">
        <f aca="false">IF(Rider_Input[[#This Row],[Rider ID]]="","",IFERROR(ABS(INDEX(RLVL_Data,MATCH(Rider_Input[[#This Row],[Rider ID]],INDEX(RLVL_Data,0,c_RLVL_ID),0),c_RLVL_Stack)),0))</f>
        <v/>
      </c>
      <c r="K150" s="155" t="str">
        <f aca="false">IF(Rider_Input[[#This Row],[Rider ID]]="","",SUMIFS(Adj_Input[Other Deductions],Adj_Input[Rider ID],Rider_Input[[#This Row],[Rider ID]]))</f>
        <v/>
      </c>
      <c r="L150" s="154" t="str">
        <f aca="false">IF(Rider_Input[[#This Row],[Rider ID]]="","",IFERROR(INDEX(Adj_Input[Note / Reason],MATCH(Rider_Input[[#This Row],[Rider ID]],Adj_Input[Rider ID],0))&amp;"",""))</f>
        <v/>
      </c>
    </row>
    <row r="151" customFormat="false" ht="14.25" hidden="false" customHeight="false" outlineLevel="0" collapsed="false">
      <c r="A151" s="152" t="str">
        <f aca="false">IF(Rider_Input[[#This Row],[Rider ID]]="","",Salary_Month)</f>
        <v/>
      </c>
      <c r="B151" s="153" t="str">
        <f aca="false">IFERROR(IF(INDEX(FTR_Data,ROW()-ROW(Rider_Input[#Headers]),c_FTR_ID)="","",INDEX(FTR_Data,ROW()-ROW(Rider_Input[#Headers]),c_FTR_ID)),"")</f>
        <v/>
      </c>
      <c r="C15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5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51" s="153" t="str">
        <f aca="false">IF(Rider_Input[[#This Row],[Rider ID]]="","",DAY(EOMONTH(Salary_Month,0)))</f>
        <v/>
      </c>
      <c r="F151" s="153" t="str">
        <f aca="false">IF(Rider_Input[[#This Row],[Rider ID]]="","",IFERROR(IF(INDEX(FTR_Data,ROW()-ROW(Rider_Input[#Headers]),c_FTR_WD)="","",INDEX(FTR_Data,ROW()-ROW(Rider_Input[#Headers]),c_FTR_WD)),""))</f>
        <v/>
      </c>
      <c r="G151" s="153" t="str">
        <f aca="false">IF(Rider_Input[[#This Row],[Rider ID]]="","",IFERROR(IF(INDEX(FTR_Data,ROW()-ROW(Rider_Input[#Headers]),c_FTR_Orders)="","",INDEX(FTR_Data,ROW()-ROW(Rider_Input[#Headers]),c_FTR_Orders)),""))</f>
        <v/>
      </c>
      <c r="H151" s="155" t="str">
        <f aca="false">IF(Rider_Input[[#This Row],[Rider ID]]="","",IFERROR(ABS(INDEX(RLVL_Data,MATCH(Rider_Input[[#This Row],[Rider ID]],INDEX(RLVL_Data,0,c_RLVL_ID),0),c_RLVL_Missed)),0))</f>
        <v/>
      </c>
      <c r="I151" s="155" t="str">
        <f aca="false">IF(Rider_Input[[#This Row],[Rider ID]]="","",IFERROR(ABS(INDEX(RLVL_Data,MATCH(Rider_Input[[#This Row],[Rider ID]],INDEX(RLVL_Data,0,c_RLVL_ID),0),c_RLVL_Bal)),0))</f>
        <v/>
      </c>
      <c r="J151" s="155" t="str">
        <f aca="false">IF(Rider_Input[[#This Row],[Rider ID]]="","",IFERROR(ABS(INDEX(RLVL_Data,MATCH(Rider_Input[[#This Row],[Rider ID]],INDEX(RLVL_Data,0,c_RLVL_ID),0),c_RLVL_Stack)),0))</f>
        <v/>
      </c>
      <c r="K151" s="155" t="str">
        <f aca="false">IF(Rider_Input[[#This Row],[Rider ID]]="","",SUMIFS(Adj_Input[Other Deductions],Adj_Input[Rider ID],Rider_Input[[#This Row],[Rider ID]]))</f>
        <v/>
      </c>
      <c r="L151" s="154" t="str">
        <f aca="false">IF(Rider_Input[[#This Row],[Rider ID]]="","",IFERROR(INDEX(Adj_Input[Note / Reason],MATCH(Rider_Input[[#This Row],[Rider ID]],Adj_Input[Rider ID],0))&amp;"",""))</f>
        <v/>
      </c>
    </row>
    <row r="152" customFormat="false" ht="14.25" hidden="false" customHeight="false" outlineLevel="0" collapsed="false">
      <c r="A152" s="152" t="str">
        <f aca="false">IF(Rider_Input[[#This Row],[Rider ID]]="","",Salary_Month)</f>
        <v/>
      </c>
      <c r="B152" s="153" t="str">
        <f aca="false">IFERROR(IF(INDEX(FTR_Data,ROW()-ROW(Rider_Input[#Headers]),c_FTR_ID)="","",INDEX(FTR_Data,ROW()-ROW(Rider_Input[#Headers]),c_FTR_ID)),"")</f>
        <v/>
      </c>
      <c r="C15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5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52" s="153" t="str">
        <f aca="false">IF(Rider_Input[[#This Row],[Rider ID]]="","",DAY(EOMONTH(Salary_Month,0)))</f>
        <v/>
      </c>
      <c r="F152" s="153" t="str">
        <f aca="false">IF(Rider_Input[[#This Row],[Rider ID]]="","",IFERROR(IF(INDEX(FTR_Data,ROW()-ROW(Rider_Input[#Headers]),c_FTR_WD)="","",INDEX(FTR_Data,ROW()-ROW(Rider_Input[#Headers]),c_FTR_WD)),""))</f>
        <v/>
      </c>
      <c r="G152" s="153" t="str">
        <f aca="false">IF(Rider_Input[[#This Row],[Rider ID]]="","",IFERROR(IF(INDEX(FTR_Data,ROW()-ROW(Rider_Input[#Headers]),c_FTR_Orders)="","",INDEX(FTR_Data,ROW()-ROW(Rider_Input[#Headers]),c_FTR_Orders)),""))</f>
        <v/>
      </c>
      <c r="H152" s="155" t="str">
        <f aca="false">IF(Rider_Input[[#This Row],[Rider ID]]="","",IFERROR(ABS(INDEX(RLVL_Data,MATCH(Rider_Input[[#This Row],[Rider ID]],INDEX(RLVL_Data,0,c_RLVL_ID),0),c_RLVL_Missed)),0))</f>
        <v/>
      </c>
      <c r="I152" s="155" t="str">
        <f aca="false">IF(Rider_Input[[#This Row],[Rider ID]]="","",IFERROR(ABS(INDEX(RLVL_Data,MATCH(Rider_Input[[#This Row],[Rider ID]],INDEX(RLVL_Data,0,c_RLVL_ID),0),c_RLVL_Bal)),0))</f>
        <v/>
      </c>
      <c r="J152" s="155" t="str">
        <f aca="false">IF(Rider_Input[[#This Row],[Rider ID]]="","",IFERROR(ABS(INDEX(RLVL_Data,MATCH(Rider_Input[[#This Row],[Rider ID]],INDEX(RLVL_Data,0,c_RLVL_ID),0),c_RLVL_Stack)),0))</f>
        <v/>
      </c>
      <c r="K152" s="155" t="str">
        <f aca="false">IF(Rider_Input[[#This Row],[Rider ID]]="","",SUMIFS(Adj_Input[Other Deductions],Adj_Input[Rider ID],Rider_Input[[#This Row],[Rider ID]]))</f>
        <v/>
      </c>
      <c r="L152" s="154" t="str">
        <f aca="false">IF(Rider_Input[[#This Row],[Rider ID]]="","",IFERROR(INDEX(Adj_Input[Note / Reason],MATCH(Rider_Input[[#This Row],[Rider ID]],Adj_Input[Rider ID],0))&amp;"",""))</f>
        <v/>
      </c>
    </row>
    <row r="153" customFormat="false" ht="14.25" hidden="false" customHeight="false" outlineLevel="0" collapsed="false">
      <c r="A153" s="152" t="str">
        <f aca="false">IF(Rider_Input[[#This Row],[Rider ID]]="","",Salary_Month)</f>
        <v/>
      </c>
      <c r="B153" s="153" t="str">
        <f aca="false">IFERROR(IF(INDEX(FTR_Data,ROW()-ROW(Rider_Input[#Headers]),c_FTR_ID)="","",INDEX(FTR_Data,ROW()-ROW(Rider_Input[#Headers]),c_FTR_ID)),"")</f>
        <v/>
      </c>
      <c r="C15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5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53" s="153" t="str">
        <f aca="false">IF(Rider_Input[[#This Row],[Rider ID]]="","",DAY(EOMONTH(Salary_Month,0)))</f>
        <v/>
      </c>
      <c r="F153" s="153" t="str">
        <f aca="false">IF(Rider_Input[[#This Row],[Rider ID]]="","",IFERROR(IF(INDEX(FTR_Data,ROW()-ROW(Rider_Input[#Headers]),c_FTR_WD)="","",INDEX(FTR_Data,ROW()-ROW(Rider_Input[#Headers]),c_FTR_WD)),""))</f>
        <v/>
      </c>
      <c r="G153" s="153" t="str">
        <f aca="false">IF(Rider_Input[[#This Row],[Rider ID]]="","",IFERROR(IF(INDEX(FTR_Data,ROW()-ROW(Rider_Input[#Headers]),c_FTR_Orders)="","",INDEX(FTR_Data,ROW()-ROW(Rider_Input[#Headers]),c_FTR_Orders)),""))</f>
        <v/>
      </c>
      <c r="H153" s="155" t="str">
        <f aca="false">IF(Rider_Input[[#This Row],[Rider ID]]="","",IFERROR(ABS(INDEX(RLVL_Data,MATCH(Rider_Input[[#This Row],[Rider ID]],INDEX(RLVL_Data,0,c_RLVL_ID),0),c_RLVL_Missed)),0))</f>
        <v/>
      </c>
      <c r="I153" s="155" t="str">
        <f aca="false">IF(Rider_Input[[#This Row],[Rider ID]]="","",IFERROR(ABS(INDEX(RLVL_Data,MATCH(Rider_Input[[#This Row],[Rider ID]],INDEX(RLVL_Data,0,c_RLVL_ID),0),c_RLVL_Bal)),0))</f>
        <v/>
      </c>
      <c r="J153" s="155" t="str">
        <f aca="false">IF(Rider_Input[[#This Row],[Rider ID]]="","",IFERROR(ABS(INDEX(RLVL_Data,MATCH(Rider_Input[[#This Row],[Rider ID]],INDEX(RLVL_Data,0,c_RLVL_ID),0),c_RLVL_Stack)),0))</f>
        <v/>
      </c>
      <c r="K153" s="155" t="str">
        <f aca="false">IF(Rider_Input[[#This Row],[Rider ID]]="","",SUMIFS(Adj_Input[Other Deductions],Adj_Input[Rider ID],Rider_Input[[#This Row],[Rider ID]]))</f>
        <v/>
      </c>
      <c r="L153" s="154" t="str">
        <f aca="false">IF(Rider_Input[[#This Row],[Rider ID]]="","",IFERROR(INDEX(Adj_Input[Note / Reason],MATCH(Rider_Input[[#This Row],[Rider ID]],Adj_Input[Rider ID],0))&amp;"",""))</f>
        <v/>
      </c>
    </row>
    <row r="154" customFormat="false" ht="14.25" hidden="false" customHeight="false" outlineLevel="0" collapsed="false">
      <c r="A154" s="152" t="str">
        <f aca="false">IF(Rider_Input[[#This Row],[Rider ID]]="","",Salary_Month)</f>
        <v/>
      </c>
      <c r="B154" s="153" t="str">
        <f aca="false">IFERROR(IF(INDEX(FTR_Data,ROW()-ROW(Rider_Input[#Headers]),c_FTR_ID)="","",INDEX(FTR_Data,ROW()-ROW(Rider_Input[#Headers]),c_FTR_ID)),"")</f>
        <v/>
      </c>
      <c r="C15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5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54" s="153" t="str">
        <f aca="false">IF(Rider_Input[[#This Row],[Rider ID]]="","",DAY(EOMONTH(Salary_Month,0)))</f>
        <v/>
      </c>
      <c r="F154" s="153" t="str">
        <f aca="false">IF(Rider_Input[[#This Row],[Rider ID]]="","",IFERROR(IF(INDEX(FTR_Data,ROW()-ROW(Rider_Input[#Headers]),c_FTR_WD)="","",INDEX(FTR_Data,ROW()-ROW(Rider_Input[#Headers]),c_FTR_WD)),""))</f>
        <v/>
      </c>
      <c r="G154" s="153" t="str">
        <f aca="false">IF(Rider_Input[[#This Row],[Rider ID]]="","",IFERROR(IF(INDEX(FTR_Data,ROW()-ROW(Rider_Input[#Headers]),c_FTR_Orders)="","",INDEX(FTR_Data,ROW()-ROW(Rider_Input[#Headers]),c_FTR_Orders)),""))</f>
        <v/>
      </c>
      <c r="H154" s="155" t="str">
        <f aca="false">IF(Rider_Input[[#This Row],[Rider ID]]="","",IFERROR(ABS(INDEX(RLVL_Data,MATCH(Rider_Input[[#This Row],[Rider ID]],INDEX(RLVL_Data,0,c_RLVL_ID),0),c_RLVL_Missed)),0))</f>
        <v/>
      </c>
      <c r="I154" s="155" t="str">
        <f aca="false">IF(Rider_Input[[#This Row],[Rider ID]]="","",IFERROR(ABS(INDEX(RLVL_Data,MATCH(Rider_Input[[#This Row],[Rider ID]],INDEX(RLVL_Data,0,c_RLVL_ID),0),c_RLVL_Bal)),0))</f>
        <v/>
      </c>
      <c r="J154" s="155" t="str">
        <f aca="false">IF(Rider_Input[[#This Row],[Rider ID]]="","",IFERROR(ABS(INDEX(RLVL_Data,MATCH(Rider_Input[[#This Row],[Rider ID]],INDEX(RLVL_Data,0,c_RLVL_ID),0),c_RLVL_Stack)),0))</f>
        <v/>
      </c>
      <c r="K154" s="155" t="str">
        <f aca="false">IF(Rider_Input[[#This Row],[Rider ID]]="","",SUMIFS(Adj_Input[Other Deductions],Adj_Input[Rider ID],Rider_Input[[#This Row],[Rider ID]]))</f>
        <v/>
      </c>
      <c r="L154" s="154" t="str">
        <f aca="false">IF(Rider_Input[[#This Row],[Rider ID]]="","",IFERROR(INDEX(Adj_Input[Note / Reason],MATCH(Rider_Input[[#This Row],[Rider ID]],Adj_Input[Rider ID],0))&amp;"",""))</f>
        <v/>
      </c>
    </row>
    <row r="155" customFormat="false" ht="14.25" hidden="false" customHeight="false" outlineLevel="0" collapsed="false">
      <c r="A155" s="152" t="str">
        <f aca="false">IF(Rider_Input[[#This Row],[Rider ID]]="","",Salary_Month)</f>
        <v/>
      </c>
      <c r="B155" s="153" t="str">
        <f aca="false">IFERROR(IF(INDEX(FTR_Data,ROW()-ROW(Rider_Input[#Headers]),c_FTR_ID)="","",INDEX(FTR_Data,ROW()-ROW(Rider_Input[#Headers]),c_FTR_ID)),"")</f>
        <v/>
      </c>
      <c r="C15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5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55" s="153" t="str">
        <f aca="false">IF(Rider_Input[[#This Row],[Rider ID]]="","",DAY(EOMONTH(Salary_Month,0)))</f>
        <v/>
      </c>
      <c r="F155" s="153" t="str">
        <f aca="false">IF(Rider_Input[[#This Row],[Rider ID]]="","",IFERROR(IF(INDEX(FTR_Data,ROW()-ROW(Rider_Input[#Headers]),c_FTR_WD)="","",INDEX(FTR_Data,ROW()-ROW(Rider_Input[#Headers]),c_FTR_WD)),""))</f>
        <v/>
      </c>
      <c r="G155" s="153" t="str">
        <f aca="false">IF(Rider_Input[[#This Row],[Rider ID]]="","",IFERROR(IF(INDEX(FTR_Data,ROW()-ROW(Rider_Input[#Headers]),c_FTR_Orders)="","",INDEX(FTR_Data,ROW()-ROW(Rider_Input[#Headers]),c_FTR_Orders)),""))</f>
        <v/>
      </c>
      <c r="H155" s="155" t="str">
        <f aca="false">IF(Rider_Input[[#This Row],[Rider ID]]="","",IFERROR(ABS(INDEX(RLVL_Data,MATCH(Rider_Input[[#This Row],[Rider ID]],INDEX(RLVL_Data,0,c_RLVL_ID),0),c_RLVL_Missed)),0))</f>
        <v/>
      </c>
      <c r="I155" s="155" t="str">
        <f aca="false">IF(Rider_Input[[#This Row],[Rider ID]]="","",IFERROR(ABS(INDEX(RLVL_Data,MATCH(Rider_Input[[#This Row],[Rider ID]],INDEX(RLVL_Data,0,c_RLVL_ID),0),c_RLVL_Bal)),0))</f>
        <v/>
      </c>
      <c r="J155" s="155" t="str">
        <f aca="false">IF(Rider_Input[[#This Row],[Rider ID]]="","",IFERROR(ABS(INDEX(RLVL_Data,MATCH(Rider_Input[[#This Row],[Rider ID]],INDEX(RLVL_Data,0,c_RLVL_ID),0),c_RLVL_Stack)),0))</f>
        <v/>
      </c>
      <c r="K155" s="155" t="str">
        <f aca="false">IF(Rider_Input[[#This Row],[Rider ID]]="","",SUMIFS(Adj_Input[Other Deductions],Adj_Input[Rider ID],Rider_Input[[#This Row],[Rider ID]]))</f>
        <v/>
      </c>
      <c r="L155" s="154" t="str">
        <f aca="false">IF(Rider_Input[[#This Row],[Rider ID]]="","",IFERROR(INDEX(Adj_Input[Note / Reason],MATCH(Rider_Input[[#This Row],[Rider ID]],Adj_Input[Rider ID],0))&amp;"",""))</f>
        <v/>
      </c>
    </row>
    <row r="156" customFormat="false" ht="14.25" hidden="false" customHeight="false" outlineLevel="0" collapsed="false">
      <c r="A156" s="152" t="str">
        <f aca="false">IF(Rider_Input[[#This Row],[Rider ID]]="","",Salary_Month)</f>
        <v/>
      </c>
      <c r="B156" s="153" t="str">
        <f aca="false">IFERROR(IF(INDEX(FTR_Data,ROW()-ROW(Rider_Input[#Headers]),c_FTR_ID)="","",INDEX(FTR_Data,ROW()-ROW(Rider_Input[#Headers]),c_FTR_ID)),"")</f>
        <v/>
      </c>
      <c r="C15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5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56" s="153" t="str">
        <f aca="false">IF(Rider_Input[[#This Row],[Rider ID]]="","",DAY(EOMONTH(Salary_Month,0)))</f>
        <v/>
      </c>
      <c r="F156" s="153" t="str">
        <f aca="false">IF(Rider_Input[[#This Row],[Rider ID]]="","",IFERROR(IF(INDEX(FTR_Data,ROW()-ROW(Rider_Input[#Headers]),c_FTR_WD)="","",INDEX(FTR_Data,ROW()-ROW(Rider_Input[#Headers]),c_FTR_WD)),""))</f>
        <v/>
      </c>
      <c r="G156" s="153" t="str">
        <f aca="false">IF(Rider_Input[[#This Row],[Rider ID]]="","",IFERROR(IF(INDEX(FTR_Data,ROW()-ROW(Rider_Input[#Headers]),c_FTR_Orders)="","",INDEX(FTR_Data,ROW()-ROW(Rider_Input[#Headers]),c_FTR_Orders)),""))</f>
        <v/>
      </c>
      <c r="H156" s="155" t="str">
        <f aca="false">IF(Rider_Input[[#This Row],[Rider ID]]="","",IFERROR(ABS(INDEX(RLVL_Data,MATCH(Rider_Input[[#This Row],[Rider ID]],INDEX(RLVL_Data,0,c_RLVL_ID),0),c_RLVL_Missed)),0))</f>
        <v/>
      </c>
      <c r="I156" s="155" t="str">
        <f aca="false">IF(Rider_Input[[#This Row],[Rider ID]]="","",IFERROR(ABS(INDEX(RLVL_Data,MATCH(Rider_Input[[#This Row],[Rider ID]],INDEX(RLVL_Data,0,c_RLVL_ID),0),c_RLVL_Bal)),0))</f>
        <v/>
      </c>
      <c r="J156" s="155" t="str">
        <f aca="false">IF(Rider_Input[[#This Row],[Rider ID]]="","",IFERROR(ABS(INDEX(RLVL_Data,MATCH(Rider_Input[[#This Row],[Rider ID]],INDEX(RLVL_Data,0,c_RLVL_ID),0),c_RLVL_Stack)),0))</f>
        <v/>
      </c>
      <c r="K156" s="155" t="str">
        <f aca="false">IF(Rider_Input[[#This Row],[Rider ID]]="","",SUMIFS(Adj_Input[Other Deductions],Adj_Input[Rider ID],Rider_Input[[#This Row],[Rider ID]]))</f>
        <v/>
      </c>
      <c r="L156" s="154" t="str">
        <f aca="false">IF(Rider_Input[[#This Row],[Rider ID]]="","",IFERROR(INDEX(Adj_Input[Note / Reason],MATCH(Rider_Input[[#This Row],[Rider ID]],Adj_Input[Rider ID],0))&amp;"",""))</f>
        <v/>
      </c>
    </row>
    <row r="157" customFormat="false" ht="14.25" hidden="false" customHeight="false" outlineLevel="0" collapsed="false">
      <c r="A157" s="152" t="str">
        <f aca="false">IF(Rider_Input[[#This Row],[Rider ID]]="","",Salary_Month)</f>
        <v/>
      </c>
      <c r="B157" s="153" t="str">
        <f aca="false">IFERROR(IF(INDEX(FTR_Data,ROW()-ROW(Rider_Input[#Headers]),c_FTR_ID)="","",INDEX(FTR_Data,ROW()-ROW(Rider_Input[#Headers]),c_FTR_ID)),"")</f>
        <v/>
      </c>
      <c r="C15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5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57" s="153" t="str">
        <f aca="false">IF(Rider_Input[[#This Row],[Rider ID]]="","",DAY(EOMONTH(Salary_Month,0)))</f>
        <v/>
      </c>
      <c r="F157" s="153" t="str">
        <f aca="false">IF(Rider_Input[[#This Row],[Rider ID]]="","",IFERROR(IF(INDEX(FTR_Data,ROW()-ROW(Rider_Input[#Headers]),c_FTR_WD)="","",INDEX(FTR_Data,ROW()-ROW(Rider_Input[#Headers]),c_FTR_WD)),""))</f>
        <v/>
      </c>
      <c r="G157" s="153" t="str">
        <f aca="false">IF(Rider_Input[[#This Row],[Rider ID]]="","",IFERROR(IF(INDEX(FTR_Data,ROW()-ROW(Rider_Input[#Headers]),c_FTR_Orders)="","",INDEX(FTR_Data,ROW()-ROW(Rider_Input[#Headers]),c_FTR_Orders)),""))</f>
        <v/>
      </c>
      <c r="H157" s="155" t="str">
        <f aca="false">IF(Rider_Input[[#This Row],[Rider ID]]="","",IFERROR(ABS(INDEX(RLVL_Data,MATCH(Rider_Input[[#This Row],[Rider ID]],INDEX(RLVL_Data,0,c_RLVL_ID),0),c_RLVL_Missed)),0))</f>
        <v/>
      </c>
      <c r="I157" s="155" t="str">
        <f aca="false">IF(Rider_Input[[#This Row],[Rider ID]]="","",IFERROR(ABS(INDEX(RLVL_Data,MATCH(Rider_Input[[#This Row],[Rider ID]],INDEX(RLVL_Data,0,c_RLVL_ID),0),c_RLVL_Bal)),0))</f>
        <v/>
      </c>
      <c r="J157" s="155" t="str">
        <f aca="false">IF(Rider_Input[[#This Row],[Rider ID]]="","",IFERROR(ABS(INDEX(RLVL_Data,MATCH(Rider_Input[[#This Row],[Rider ID]],INDEX(RLVL_Data,0,c_RLVL_ID),0),c_RLVL_Stack)),0))</f>
        <v/>
      </c>
      <c r="K157" s="155" t="str">
        <f aca="false">IF(Rider_Input[[#This Row],[Rider ID]]="","",SUMIFS(Adj_Input[Other Deductions],Adj_Input[Rider ID],Rider_Input[[#This Row],[Rider ID]]))</f>
        <v/>
      </c>
      <c r="L157" s="154" t="str">
        <f aca="false">IF(Rider_Input[[#This Row],[Rider ID]]="","",IFERROR(INDEX(Adj_Input[Note / Reason],MATCH(Rider_Input[[#This Row],[Rider ID]],Adj_Input[Rider ID],0))&amp;"",""))</f>
        <v/>
      </c>
    </row>
    <row r="158" customFormat="false" ht="14.25" hidden="false" customHeight="false" outlineLevel="0" collapsed="false">
      <c r="A158" s="152" t="str">
        <f aca="false">IF(Rider_Input[[#This Row],[Rider ID]]="","",Salary_Month)</f>
        <v/>
      </c>
      <c r="B158" s="153" t="str">
        <f aca="false">IFERROR(IF(INDEX(FTR_Data,ROW()-ROW(Rider_Input[#Headers]),c_FTR_ID)="","",INDEX(FTR_Data,ROW()-ROW(Rider_Input[#Headers]),c_FTR_ID)),"")</f>
        <v/>
      </c>
      <c r="C15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5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58" s="153" t="str">
        <f aca="false">IF(Rider_Input[[#This Row],[Rider ID]]="","",DAY(EOMONTH(Salary_Month,0)))</f>
        <v/>
      </c>
      <c r="F158" s="153" t="str">
        <f aca="false">IF(Rider_Input[[#This Row],[Rider ID]]="","",IFERROR(IF(INDEX(FTR_Data,ROW()-ROW(Rider_Input[#Headers]),c_FTR_WD)="","",INDEX(FTR_Data,ROW()-ROW(Rider_Input[#Headers]),c_FTR_WD)),""))</f>
        <v/>
      </c>
      <c r="G158" s="153" t="str">
        <f aca="false">IF(Rider_Input[[#This Row],[Rider ID]]="","",IFERROR(IF(INDEX(FTR_Data,ROW()-ROW(Rider_Input[#Headers]),c_FTR_Orders)="","",INDEX(FTR_Data,ROW()-ROW(Rider_Input[#Headers]),c_FTR_Orders)),""))</f>
        <v/>
      </c>
      <c r="H158" s="155" t="str">
        <f aca="false">IF(Rider_Input[[#This Row],[Rider ID]]="","",IFERROR(ABS(INDEX(RLVL_Data,MATCH(Rider_Input[[#This Row],[Rider ID]],INDEX(RLVL_Data,0,c_RLVL_ID),0),c_RLVL_Missed)),0))</f>
        <v/>
      </c>
      <c r="I158" s="155" t="str">
        <f aca="false">IF(Rider_Input[[#This Row],[Rider ID]]="","",IFERROR(ABS(INDEX(RLVL_Data,MATCH(Rider_Input[[#This Row],[Rider ID]],INDEX(RLVL_Data,0,c_RLVL_ID),0),c_RLVL_Bal)),0))</f>
        <v/>
      </c>
      <c r="J158" s="155" t="str">
        <f aca="false">IF(Rider_Input[[#This Row],[Rider ID]]="","",IFERROR(ABS(INDEX(RLVL_Data,MATCH(Rider_Input[[#This Row],[Rider ID]],INDEX(RLVL_Data,0,c_RLVL_ID),0),c_RLVL_Stack)),0))</f>
        <v/>
      </c>
      <c r="K158" s="155" t="str">
        <f aca="false">IF(Rider_Input[[#This Row],[Rider ID]]="","",SUMIFS(Adj_Input[Other Deductions],Adj_Input[Rider ID],Rider_Input[[#This Row],[Rider ID]]))</f>
        <v/>
      </c>
      <c r="L158" s="154" t="str">
        <f aca="false">IF(Rider_Input[[#This Row],[Rider ID]]="","",IFERROR(INDEX(Adj_Input[Note / Reason],MATCH(Rider_Input[[#This Row],[Rider ID]],Adj_Input[Rider ID],0))&amp;"",""))</f>
        <v/>
      </c>
    </row>
    <row r="159" customFormat="false" ht="14.25" hidden="false" customHeight="false" outlineLevel="0" collapsed="false">
      <c r="A159" s="152" t="str">
        <f aca="false">IF(Rider_Input[[#This Row],[Rider ID]]="","",Salary_Month)</f>
        <v/>
      </c>
      <c r="B159" s="153" t="str">
        <f aca="false">IFERROR(IF(INDEX(FTR_Data,ROW()-ROW(Rider_Input[#Headers]),c_FTR_ID)="","",INDEX(FTR_Data,ROW()-ROW(Rider_Input[#Headers]),c_FTR_ID)),"")</f>
        <v/>
      </c>
      <c r="C15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5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59" s="153" t="str">
        <f aca="false">IF(Rider_Input[[#This Row],[Rider ID]]="","",DAY(EOMONTH(Salary_Month,0)))</f>
        <v/>
      </c>
      <c r="F159" s="153" t="str">
        <f aca="false">IF(Rider_Input[[#This Row],[Rider ID]]="","",IFERROR(IF(INDEX(FTR_Data,ROW()-ROW(Rider_Input[#Headers]),c_FTR_WD)="","",INDEX(FTR_Data,ROW()-ROW(Rider_Input[#Headers]),c_FTR_WD)),""))</f>
        <v/>
      </c>
      <c r="G159" s="153" t="str">
        <f aca="false">IF(Rider_Input[[#This Row],[Rider ID]]="","",IFERROR(IF(INDEX(FTR_Data,ROW()-ROW(Rider_Input[#Headers]),c_FTR_Orders)="","",INDEX(FTR_Data,ROW()-ROW(Rider_Input[#Headers]),c_FTR_Orders)),""))</f>
        <v/>
      </c>
      <c r="H159" s="155" t="str">
        <f aca="false">IF(Rider_Input[[#This Row],[Rider ID]]="","",IFERROR(ABS(INDEX(RLVL_Data,MATCH(Rider_Input[[#This Row],[Rider ID]],INDEX(RLVL_Data,0,c_RLVL_ID),0),c_RLVL_Missed)),0))</f>
        <v/>
      </c>
      <c r="I159" s="155" t="str">
        <f aca="false">IF(Rider_Input[[#This Row],[Rider ID]]="","",IFERROR(ABS(INDEX(RLVL_Data,MATCH(Rider_Input[[#This Row],[Rider ID]],INDEX(RLVL_Data,0,c_RLVL_ID),0),c_RLVL_Bal)),0))</f>
        <v/>
      </c>
      <c r="J159" s="155" t="str">
        <f aca="false">IF(Rider_Input[[#This Row],[Rider ID]]="","",IFERROR(ABS(INDEX(RLVL_Data,MATCH(Rider_Input[[#This Row],[Rider ID]],INDEX(RLVL_Data,0,c_RLVL_ID),0),c_RLVL_Stack)),0))</f>
        <v/>
      </c>
      <c r="K159" s="155" t="str">
        <f aca="false">IF(Rider_Input[[#This Row],[Rider ID]]="","",SUMIFS(Adj_Input[Other Deductions],Adj_Input[Rider ID],Rider_Input[[#This Row],[Rider ID]]))</f>
        <v/>
      </c>
      <c r="L159" s="154" t="str">
        <f aca="false">IF(Rider_Input[[#This Row],[Rider ID]]="","",IFERROR(INDEX(Adj_Input[Note / Reason],MATCH(Rider_Input[[#This Row],[Rider ID]],Adj_Input[Rider ID],0))&amp;"",""))</f>
        <v/>
      </c>
    </row>
    <row r="160" customFormat="false" ht="14.25" hidden="false" customHeight="false" outlineLevel="0" collapsed="false">
      <c r="A160" s="152" t="str">
        <f aca="false">IF(Rider_Input[[#This Row],[Rider ID]]="","",Salary_Month)</f>
        <v/>
      </c>
      <c r="B160" s="153" t="str">
        <f aca="false">IFERROR(IF(INDEX(FTR_Data,ROW()-ROW(Rider_Input[#Headers]),c_FTR_ID)="","",INDEX(FTR_Data,ROW()-ROW(Rider_Input[#Headers]),c_FTR_ID)),"")</f>
        <v/>
      </c>
      <c r="C16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6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60" s="153" t="str">
        <f aca="false">IF(Rider_Input[[#This Row],[Rider ID]]="","",DAY(EOMONTH(Salary_Month,0)))</f>
        <v/>
      </c>
      <c r="F160" s="153" t="str">
        <f aca="false">IF(Rider_Input[[#This Row],[Rider ID]]="","",IFERROR(IF(INDEX(FTR_Data,ROW()-ROW(Rider_Input[#Headers]),c_FTR_WD)="","",INDEX(FTR_Data,ROW()-ROW(Rider_Input[#Headers]),c_FTR_WD)),""))</f>
        <v/>
      </c>
      <c r="G160" s="153" t="str">
        <f aca="false">IF(Rider_Input[[#This Row],[Rider ID]]="","",IFERROR(IF(INDEX(FTR_Data,ROW()-ROW(Rider_Input[#Headers]),c_FTR_Orders)="","",INDEX(FTR_Data,ROW()-ROW(Rider_Input[#Headers]),c_FTR_Orders)),""))</f>
        <v/>
      </c>
      <c r="H160" s="155" t="str">
        <f aca="false">IF(Rider_Input[[#This Row],[Rider ID]]="","",IFERROR(ABS(INDEX(RLVL_Data,MATCH(Rider_Input[[#This Row],[Rider ID]],INDEX(RLVL_Data,0,c_RLVL_ID),0),c_RLVL_Missed)),0))</f>
        <v/>
      </c>
      <c r="I160" s="155" t="str">
        <f aca="false">IF(Rider_Input[[#This Row],[Rider ID]]="","",IFERROR(ABS(INDEX(RLVL_Data,MATCH(Rider_Input[[#This Row],[Rider ID]],INDEX(RLVL_Data,0,c_RLVL_ID),0),c_RLVL_Bal)),0))</f>
        <v/>
      </c>
      <c r="J160" s="155" t="str">
        <f aca="false">IF(Rider_Input[[#This Row],[Rider ID]]="","",IFERROR(ABS(INDEX(RLVL_Data,MATCH(Rider_Input[[#This Row],[Rider ID]],INDEX(RLVL_Data,0,c_RLVL_ID),0),c_RLVL_Stack)),0))</f>
        <v/>
      </c>
      <c r="K160" s="155" t="str">
        <f aca="false">IF(Rider_Input[[#This Row],[Rider ID]]="","",SUMIFS(Adj_Input[Other Deductions],Adj_Input[Rider ID],Rider_Input[[#This Row],[Rider ID]]))</f>
        <v/>
      </c>
      <c r="L160" s="154" t="str">
        <f aca="false">IF(Rider_Input[[#This Row],[Rider ID]]="","",IFERROR(INDEX(Adj_Input[Note / Reason],MATCH(Rider_Input[[#This Row],[Rider ID]],Adj_Input[Rider ID],0))&amp;"",""))</f>
        <v/>
      </c>
    </row>
    <row r="161" customFormat="false" ht="14.25" hidden="false" customHeight="false" outlineLevel="0" collapsed="false">
      <c r="A161" s="152" t="str">
        <f aca="false">IF(Rider_Input[[#This Row],[Rider ID]]="","",Salary_Month)</f>
        <v/>
      </c>
      <c r="B161" s="153" t="str">
        <f aca="false">IFERROR(IF(INDEX(FTR_Data,ROW()-ROW(Rider_Input[#Headers]),c_FTR_ID)="","",INDEX(FTR_Data,ROW()-ROW(Rider_Input[#Headers]),c_FTR_ID)),"")</f>
        <v/>
      </c>
      <c r="C16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6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61" s="153" t="str">
        <f aca="false">IF(Rider_Input[[#This Row],[Rider ID]]="","",DAY(EOMONTH(Salary_Month,0)))</f>
        <v/>
      </c>
      <c r="F161" s="153" t="str">
        <f aca="false">IF(Rider_Input[[#This Row],[Rider ID]]="","",IFERROR(IF(INDEX(FTR_Data,ROW()-ROW(Rider_Input[#Headers]),c_FTR_WD)="","",INDEX(FTR_Data,ROW()-ROW(Rider_Input[#Headers]),c_FTR_WD)),""))</f>
        <v/>
      </c>
      <c r="G161" s="153" t="str">
        <f aca="false">IF(Rider_Input[[#This Row],[Rider ID]]="","",IFERROR(IF(INDEX(FTR_Data,ROW()-ROW(Rider_Input[#Headers]),c_FTR_Orders)="","",INDEX(FTR_Data,ROW()-ROW(Rider_Input[#Headers]),c_FTR_Orders)),""))</f>
        <v/>
      </c>
      <c r="H161" s="155" t="str">
        <f aca="false">IF(Rider_Input[[#This Row],[Rider ID]]="","",IFERROR(ABS(INDEX(RLVL_Data,MATCH(Rider_Input[[#This Row],[Rider ID]],INDEX(RLVL_Data,0,c_RLVL_ID),0),c_RLVL_Missed)),0))</f>
        <v/>
      </c>
      <c r="I161" s="155" t="str">
        <f aca="false">IF(Rider_Input[[#This Row],[Rider ID]]="","",IFERROR(ABS(INDEX(RLVL_Data,MATCH(Rider_Input[[#This Row],[Rider ID]],INDEX(RLVL_Data,0,c_RLVL_ID),0),c_RLVL_Bal)),0))</f>
        <v/>
      </c>
      <c r="J161" s="155" t="str">
        <f aca="false">IF(Rider_Input[[#This Row],[Rider ID]]="","",IFERROR(ABS(INDEX(RLVL_Data,MATCH(Rider_Input[[#This Row],[Rider ID]],INDEX(RLVL_Data,0,c_RLVL_ID),0),c_RLVL_Stack)),0))</f>
        <v/>
      </c>
      <c r="K161" s="155" t="str">
        <f aca="false">IF(Rider_Input[[#This Row],[Rider ID]]="","",SUMIFS(Adj_Input[Other Deductions],Adj_Input[Rider ID],Rider_Input[[#This Row],[Rider ID]]))</f>
        <v/>
      </c>
      <c r="L161" s="154" t="str">
        <f aca="false">IF(Rider_Input[[#This Row],[Rider ID]]="","",IFERROR(INDEX(Adj_Input[Note / Reason],MATCH(Rider_Input[[#This Row],[Rider ID]],Adj_Input[Rider ID],0))&amp;"",""))</f>
        <v/>
      </c>
    </row>
    <row r="162" customFormat="false" ht="14.25" hidden="false" customHeight="false" outlineLevel="0" collapsed="false">
      <c r="A162" s="152" t="str">
        <f aca="false">IF(Rider_Input[[#This Row],[Rider ID]]="","",Salary_Month)</f>
        <v/>
      </c>
      <c r="B162" s="153" t="str">
        <f aca="false">IFERROR(IF(INDEX(FTR_Data,ROW()-ROW(Rider_Input[#Headers]),c_FTR_ID)="","",INDEX(FTR_Data,ROW()-ROW(Rider_Input[#Headers]),c_FTR_ID)),"")</f>
        <v/>
      </c>
      <c r="C16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6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62" s="153" t="str">
        <f aca="false">IF(Rider_Input[[#This Row],[Rider ID]]="","",DAY(EOMONTH(Salary_Month,0)))</f>
        <v/>
      </c>
      <c r="F162" s="153" t="str">
        <f aca="false">IF(Rider_Input[[#This Row],[Rider ID]]="","",IFERROR(IF(INDEX(FTR_Data,ROW()-ROW(Rider_Input[#Headers]),c_FTR_WD)="","",INDEX(FTR_Data,ROW()-ROW(Rider_Input[#Headers]),c_FTR_WD)),""))</f>
        <v/>
      </c>
      <c r="G162" s="153" t="str">
        <f aca="false">IF(Rider_Input[[#This Row],[Rider ID]]="","",IFERROR(IF(INDEX(FTR_Data,ROW()-ROW(Rider_Input[#Headers]),c_FTR_Orders)="","",INDEX(FTR_Data,ROW()-ROW(Rider_Input[#Headers]),c_FTR_Orders)),""))</f>
        <v/>
      </c>
      <c r="H162" s="155" t="str">
        <f aca="false">IF(Rider_Input[[#This Row],[Rider ID]]="","",IFERROR(ABS(INDEX(RLVL_Data,MATCH(Rider_Input[[#This Row],[Rider ID]],INDEX(RLVL_Data,0,c_RLVL_ID),0),c_RLVL_Missed)),0))</f>
        <v/>
      </c>
      <c r="I162" s="155" t="str">
        <f aca="false">IF(Rider_Input[[#This Row],[Rider ID]]="","",IFERROR(ABS(INDEX(RLVL_Data,MATCH(Rider_Input[[#This Row],[Rider ID]],INDEX(RLVL_Data,0,c_RLVL_ID),0),c_RLVL_Bal)),0))</f>
        <v/>
      </c>
      <c r="J162" s="155" t="str">
        <f aca="false">IF(Rider_Input[[#This Row],[Rider ID]]="","",IFERROR(ABS(INDEX(RLVL_Data,MATCH(Rider_Input[[#This Row],[Rider ID]],INDEX(RLVL_Data,0,c_RLVL_ID),0),c_RLVL_Stack)),0))</f>
        <v/>
      </c>
      <c r="K162" s="155" t="str">
        <f aca="false">IF(Rider_Input[[#This Row],[Rider ID]]="","",SUMIFS(Adj_Input[Other Deductions],Adj_Input[Rider ID],Rider_Input[[#This Row],[Rider ID]]))</f>
        <v/>
      </c>
      <c r="L162" s="154" t="str">
        <f aca="false">IF(Rider_Input[[#This Row],[Rider ID]]="","",IFERROR(INDEX(Adj_Input[Note / Reason],MATCH(Rider_Input[[#This Row],[Rider ID]],Adj_Input[Rider ID],0))&amp;"",""))</f>
        <v/>
      </c>
    </row>
    <row r="163" customFormat="false" ht="14.25" hidden="false" customHeight="false" outlineLevel="0" collapsed="false">
      <c r="A163" s="152" t="str">
        <f aca="false">IF(Rider_Input[[#This Row],[Rider ID]]="","",Salary_Month)</f>
        <v/>
      </c>
      <c r="B163" s="153" t="str">
        <f aca="false">IFERROR(IF(INDEX(FTR_Data,ROW()-ROW(Rider_Input[#Headers]),c_FTR_ID)="","",INDEX(FTR_Data,ROW()-ROW(Rider_Input[#Headers]),c_FTR_ID)),"")</f>
        <v/>
      </c>
      <c r="C16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6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63" s="153" t="str">
        <f aca="false">IF(Rider_Input[[#This Row],[Rider ID]]="","",DAY(EOMONTH(Salary_Month,0)))</f>
        <v/>
      </c>
      <c r="F163" s="153" t="str">
        <f aca="false">IF(Rider_Input[[#This Row],[Rider ID]]="","",IFERROR(IF(INDEX(FTR_Data,ROW()-ROW(Rider_Input[#Headers]),c_FTR_WD)="","",INDEX(FTR_Data,ROW()-ROW(Rider_Input[#Headers]),c_FTR_WD)),""))</f>
        <v/>
      </c>
      <c r="G163" s="153" t="str">
        <f aca="false">IF(Rider_Input[[#This Row],[Rider ID]]="","",IFERROR(IF(INDEX(FTR_Data,ROW()-ROW(Rider_Input[#Headers]),c_FTR_Orders)="","",INDEX(FTR_Data,ROW()-ROW(Rider_Input[#Headers]),c_FTR_Orders)),""))</f>
        <v/>
      </c>
      <c r="H163" s="155" t="str">
        <f aca="false">IF(Rider_Input[[#This Row],[Rider ID]]="","",IFERROR(ABS(INDEX(RLVL_Data,MATCH(Rider_Input[[#This Row],[Rider ID]],INDEX(RLVL_Data,0,c_RLVL_ID),0),c_RLVL_Missed)),0))</f>
        <v/>
      </c>
      <c r="I163" s="155" t="str">
        <f aca="false">IF(Rider_Input[[#This Row],[Rider ID]]="","",IFERROR(ABS(INDEX(RLVL_Data,MATCH(Rider_Input[[#This Row],[Rider ID]],INDEX(RLVL_Data,0,c_RLVL_ID),0),c_RLVL_Bal)),0))</f>
        <v/>
      </c>
      <c r="J163" s="155" t="str">
        <f aca="false">IF(Rider_Input[[#This Row],[Rider ID]]="","",IFERROR(ABS(INDEX(RLVL_Data,MATCH(Rider_Input[[#This Row],[Rider ID]],INDEX(RLVL_Data,0,c_RLVL_ID),0),c_RLVL_Stack)),0))</f>
        <v/>
      </c>
      <c r="K163" s="155" t="str">
        <f aca="false">IF(Rider_Input[[#This Row],[Rider ID]]="","",SUMIFS(Adj_Input[Other Deductions],Adj_Input[Rider ID],Rider_Input[[#This Row],[Rider ID]]))</f>
        <v/>
      </c>
      <c r="L163" s="154" t="str">
        <f aca="false">IF(Rider_Input[[#This Row],[Rider ID]]="","",IFERROR(INDEX(Adj_Input[Note / Reason],MATCH(Rider_Input[[#This Row],[Rider ID]],Adj_Input[Rider ID],0))&amp;"",""))</f>
        <v/>
      </c>
    </row>
    <row r="164" customFormat="false" ht="14.25" hidden="false" customHeight="false" outlineLevel="0" collapsed="false">
      <c r="A164" s="152" t="str">
        <f aca="false">IF(Rider_Input[[#This Row],[Rider ID]]="","",Salary_Month)</f>
        <v/>
      </c>
      <c r="B164" s="153" t="str">
        <f aca="false">IFERROR(IF(INDEX(FTR_Data,ROW()-ROW(Rider_Input[#Headers]),c_FTR_ID)="","",INDEX(FTR_Data,ROW()-ROW(Rider_Input[#Headers]),c_FTR_ID)),"")</f>
        <v/>
      </c>
      <c r="C16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6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64" s="153" t="str">
        <f aca="false">IF(Rider_Input[[#This Row],[Rider ID]]="","",DAY(EOMONTH(Salary_Month,0)))</f>
        <v/>
      </c>
      <c r="F164" s="153" t="str">
        <f aca="false">IF(Rider_Input[[#This Row],[Rider ID]]="","",IFERROR(IF(INDEX(FTR_Data,ROW()-ROW(Rider_Input[#Headers]),c_FTR_WD)="","",INDEX(FTR_Data,ROW()-ROW(Rider_Input[#Headers]),c_FTR_WD)),""))</f>
        <v/>
      </c>
      <c r="G164" s="153" t="str">
        <f aca="false">IF(Rider_Input[[#This Row],[Rider ID]]="","",IFERROR(IF(INDEX(FTR_Data,ROW()-ROW(Rider_Input[#Headers]),c_FTR_Orders)="","",INDEX(FTR_Data,ROW()-ROW(Rider_Input[#Headers]),c_FTR_Orders)),""))</f>
        <v/>
      </c>
      <c r="H164" s="155" t="str">
        <f aca="false">IF(Rider_Input[[#This Row],[Rider ID]]="","",IFERROR(ABS(INDEX(RLVL_Data,MATCH(Rider_Input[[#This Row],[Rider ID]],INDEX(RLVL_Data,0,c_RLVL_ID),0),c_RLVL_Missed)),0))</f>
        <v/>
      </c>
      <c r="I164" s="155" t="str">
        <f aca="false">IF(Rider_Input[[#This Row],[Rider ID]]="","",IFERROR(ABS(INDEX(RLVL_Data,MATCH(Rider_Input[[#This Row],[Rider ID]],INDEX(RLVL_Data,0,c_RLVL_ID),0),c_RLVL_Bal)),0))</f>
        <v/>
      </c>
      <c r="J164" s="155" t="str">
        <f aca="false">IF(Rider_Input[[#This Row],[Rider ID]]="","",IFERROR(ABS(INDEX(RLVL_Data,MATCH(Rider_Input[[#This Row],[Rider ID]],INDEX(RLVL_Data,0,c_RLVL_ID),0),c_RLVL_Stack)),0))</f>
        <v/>
      </c>
      <c r="K164" s="155" t="str">
        <f aca="false">IF(Rider_Input[[#This Row],[Rider ID]]="","",SUMIFS(Adj_Input[Other Deductions],Adj_Input[Rider ID],Rider_Input[[#This Row],[Rider ID]]))</f>
        <v/>
      </c>
      <c r="L164" s="154" t="str">
        <f aca="false">IF(Rider_Input[[#This Row],[Rider ID]]="","",IFERROR(INDEX(Adj_Input[Note / Reason],MATCH(Rider_Input[[#This Row],[Rider ID]],Adj_Input[Rider ID],0))&amp;"",""))</f>
        <v/>
      </c>
    </row>
    <row r="165" customFormat="false" ht="14.25" hidden="false" customHeight="false" outlineLevel="0" collapsed="false">
      <c r="A165" s="152" t="str">
        <f aca="false">IF(Rider_Input[[#This Row],[Rider ID]]="","",Salary_Month)</f>
        <v/>
      </c>
      <c r="B165" s="153" t="str">
        <f aca="false">IFERROR(IF(INDEX(FTR_Data,ROW()-ROW(Rider_Input[#Headers]),c_FTR_ID)="","",INDEX(FTR_Data,ROW()-ROW(Rider_Input[#Headers]),c_FTR_ID)),"")</f>
        <v/>
      </c>
      <c r="C16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6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65" s="153" t="str">
        <f aca="false">IF(Rider_Input[[#This Row],[Rider ID]]="","",DAY(EOMONTH(Salary_Month,0)))</f>
        <v/>
      </c>
      <c r="F165" s="153" t="str">
        <f aca="false">IF(Rider_Input[[#This Row],[Rider ID]]="","",IFERROR(IF(INDEX(FTR_Data,ROW()-ROW(Rider_Input[#Headers]),c_FTR_WD)="","",INDEX(FTR_Data,ROW()-ROW(Rider_Input[#Headers]),c_FTR_WD)),""))</f>
        <v/>
      </c>
      <c r="G165" s="153" t="str">
        <f aca="false">IF(Rider_Input[[#This Row],[Rider ID]]="","",IFERROR(IF(INDEX(FTR_Data,ROW()-ROW(Rider_Input[#Headers]),c_FTR_Orders)="","",INDEX(FTR_Data,ROW()-ROW(Rider_Input[#Headers]),c_FTR_Orders)),""))</f>
        <v/>
      </c>
      <c r="H165" s="155" t="str">
        <f aca="false">IF(Rider_Input[[#This Row],[Rider ID]]="","",IFERROR(ABS(INDEX(RLVL_Data,MATCH(Rider_Input[[#This Row],[Rider ID]],INDEX(RLVL_Data,0,c_RLVL_ID),0),c_RLVL_Missed)),0))</f>
        <v/>
      </c>
      <c r="I165" s="155" t="str">
        <f aca="false">IF(Rider_Input[[#This Row],[Rider ID]]="","",IFERROR(ABS(INDEX(RLVL_Data,MATCH(Rider_Input[[#This Row],[Rider ID]],INDEX(RLVL_Data,0,c_RLVL_ID),0),c_RLVL_Bal)),0))</f>
        <v/>
      </c>
      <c r="J165" s="155" t="str">
        <f aca="false">IF(Rider_Input[[#This Row],[Rider ID]]="","",IFERROR(ABS(INDEX(RLVL_Data,MATCH(Rider_Input[[#This Row],[Rider ID]],INDEX(RLVL_Data,0,c_RLVL_ID),0),c_RLVL_Stack)),0))</f>
        <v/>
      </c>
      <c r="K165" s="155" t="str">
        <f aca="false">IF(Rider_Input[[#This Row],[Rider ID]]="","",SUMIFS(Adj_Input[Other Deductions],Adj_Input[Rider ID],Rider_Input[[#This Row],[Rider ID]]))</f>
        <v/>
      </c>
      <c r="L165" s="154" t="str">
        <f aca="false">IF(Rider_Input[[#This Row],[Rider ID]]="","",IFERROR(INDEX(Adj_Input[Note / Reason],MATCH(Rider_Input[[#This Row],[Rider ID]],Adj_Input[Rider ID],0))&amp;"",""))</f>
        <v/>
      </c>
    </row>
    <row r="166" customFormat="false" ht="14.25" hidden="false" customHeight="false" outlineLevel="0" collapsed="false">
      <c r="A166" s="152" t="str">
        <f aca="false">IF(Rider_Input[[#This Row],[Rider ID]]="","",Salary_Month)</f>
        <v/>
      </c>
      <c r="B166" s="153" t="str">
        <f aca="false">IFERROR(IF(INDEX(FTR_Data,ROW()-ROW(Rider_Input[#Headers]),c_FTR_ID)="","",INDEX(FTR_Data,ROW()-ROW(Rider_Input[#Headers]),c_FTR_ID)),"")</f>
        <v/>
      </c>
      <c r="C16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6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66" s="153" t="str">
        <f aca="false">IF(Rider_Input[[#This Row],[Rider ID]]="","",DAY(EOMONTH(Salary_Month,0)))</f>
        <v/>
      </c>
      <c r="F166" s="153" t="str">
        <f aca="false">IF(Rider_Input[[#This Row],[Rider ID]]="","",IFERROR(IF(INDEX(FTR_Data,ROW()-ROW(Rider_Input[#Headers]),c_FTR_WD)="","",INDEX(FTR_Data,ROW()-ROW(Rider_Input[#Headers]),c_FTR_WD)),""))</f>
        <v/>
      </c>
      <c r="G166" s="153" t="str">
        <f aca="false">IF(Rider_Input[[#This Row],[Rider ID]]="","",IFERROR(IF(INDEX(FTR_Data,ROW()-ROW(Rider_Input[#Headers]),c_FTR_Orders)="","",INDEX(FTR_Data,ROW()-ROW(Rider_Input[#Headers]),c_FTR_Orders)),""))</f>
        <v/>
      </c>
      <c r="H166" s="155" t="str">
        <f aca="false">IF(Rider_Input[[#This Row],[Rider ID]]="","",IFERROR(ABS(INDEX(RLVL_Data,MATCH(Rider_Input[[#This Row],[Rider ID]],INDEX(RLVL_Data,0,c_RLVL_ID),0),c_RLVL_Missed)),0))</f>
        <v/>
      </c>
      <c r="I166" s="155" t="str">
        <f aca="false">IF(Rider_Input[[#This Row],[Rider ID]]="","",IFERROR(ABS(INDEX(RLVL_Data,MATCH(Rider_Input[[#This Row],[Rider ID]],INDEX(RLVL_Data,0,c_RLVL_ID),0),c_RLVL_Bal)),0))</f>
        <v/>
      </c>
      <c r="J166" s="155" t="str">
        <f aca="false">IF(Rider_Input[[#This Row],[Rider ID]]="","",IFERROR(ABS(INDEX(RLVL_Data,MATCH(Rider_Input[[#This Row],[Rider ID]],INDEX(RLVL_Data,0,c_RLVL_ID),0),c_RLVL_Stack)),0))</f>
        <v/>
      </c>
      <c r="K166" s="155" t="str">
        <f aca="false">IF(Rider_Input[[#This Row],[Rider ID]]="","",SUMIFS(Adj_Input[Other Deductions],Adj_Input[Rider ID],Rider_Input[[#This Row],[Rider ID]]))</f>
        <v/>
      </c>
      <c r="L166" s="154" t="str">
        <f aca="false">IF(Rider_Input[[#This Row],[Rider ID]]="","",IFERROR(INDEX(Adj_Input[Note / Reason],MATCH(Rider_Input[[#This Row],[Rider ID]],Adj_Input[Rider ID],0))&amp;"",""))</f>
        <v/>
      </c>
    </row>
    <row r="167" customFormat="false" ht="14.25" hidden="false" customHeight="false" outlineLevel="0" collapsed="false">
      <c r="A167" s="152" t="str">
        <f aca="false">IF(Rider_Input[[#This Row],[Rider ID]]="","",Salary_Month)</f>
        <v/>
      </c>
      <c r="B167" s="153" t="str">
        <f aca="false">IFERROR(IF(INDEX(FTR_Data,ROW()-ROW(Rider_Input[#Headers]),c_FTR_ID)="","",INDEX(FTR_Data,ROW()-ROW(Rider_Input[#Headers]),c_FTR_ID)),"")</f>
        <v/>
      </c>
      <c r="C16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6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67" s="153" t="str">
        <f aca="false">IF(Rider_Input[[#This Row],[Rider ID]]="","",DAY(EOMONTH(Salary_Month,0)))</f>
        <v/>
      </c>
      <c r="F167" s="153" t="str">
        <f aca="false">IF(Rider_Input[[#This Row],[Rider ID]]="","",IFERROR(IF(INDEX(FTR_Data,ROW()-ROW(Rider_Input[#Headers]),c_FTR_WD)="","",INDEX(FTR_Data,ROW()-ROW(Rider_Input[#Headers]),c_FTR_WD)),""))</f>
        <v/>
      </c>
      <c r="G167" s="153" t="str">
        <f aca="false">IF(Rider_Input[[#This Row],[Rider ID]]="","",IFERROR(IF(INDEX(FTR_Data,ROW()-ROW(Rider_Input[#Headers]),c_FTR_Orders)="","",INDEX(FTR_Data,ROW()-ROW(Rider_Input[#Headers]),c_FTR_Orders)),""))</f>
        <v/>
      </c>
      <c r="H167" s="155" t="str">
        <f aca="false">IF(Rider_Input[[#This Row],[Rider ID]]="","",IFERROR(ABS(INDEX(RLVL_Data,MATCH(Rider_Input[[#This Row],[Rider ID]],INDEX(RLVL_Data,0,c_RLVL_ID),0),c_RLVL_Missed)),0))</f>
        <v/>
      </c>
      <c r="I167" s="155" t="str">
        <f aca="false">IF(Rider_Input[[#This Row],[Rider ID]]="","",IFERROR(ABS(INDEX(RLVL_Data,MATCH(Rider_Input[[#This Row],[Rider ID]],INDEX(RLVL_Data,0,c_RLVL_ID),0),c_RLVL_Bal)),0))</f>
        <v/>
      </c>
      <c r="J167" s="155" t="str">
        <f aca="false">IF(Rider_Input[[#This Row],[Rider ID]]="","",IFERROR(ABS(INDEX(RLVL_Data,MATCH(Rider_Input[[#This Row],[Rider ID]],INDEX(RLVL_Data,0,c_RLVL_ID),0),c_RLVL_Stack)),0))</f>
        <v/>
      </c>
      <c r="K167" s="155" t="str">
        <f aca="false">IF(Rider_Input[[#This Row],[Rider ID]]="","",SUMIFS(Adj_Input[Other Deductions],Adj_Input[Rider ID],Rider_Input[[#This Row],[Rider ID]]))</f>
        <v/>
      </c>
      <c r="L167" s="154" t="str">
        <f aca="false">IF(Rider_Input[[#This Row],[Rider ID]]="","",IFERROR(INDEX(Adj_Input[Note / Reason],MATCH(Rider_Input[[#This Row],[Rider ID]],Adj_Input[Rider ID],0))&amp;"",""))</f>
        <v/>
      </c>
    </row>
    <row r="168" customFormat="false" ht="14.25" hidden="false" customHeight="false" outlineLevel="0" collapsed="false">
      <c r="A168" s="152" t="str">
        <f aca="false">IF(Rider_Input[[#This Row],[Rider ID]]="","",Salary_Month)</f>
        <v/>
      </c>
      <c r="B168" s="153" t="str">
        <f aca="false">IFERROR(IF(INDEX(FTR_Data,ROW()-ROW(Rider_Input[#Headers]),c_FTR_ID)="","",INDEX(FTR_Data,ROW()-ROW(Rider_Input[#Headers]),c_FTR_ID)),"")</f>
        <v/>
      </c>
      <c r="C16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6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68" s="153" t="str">
        <f aca="false">IF(Rider_Input[[#This Row],[Rider ID]]="","",DAY(EOMONTH(Salary_Month,0)))</f>
        <v/>
      </c>
      <c r="F168" s="153" t="str">
        <f aca="false">IF(Rider_Input[[#This Row],[Rider ID]]="","",IFERROR(IF(INDEX(FTR_Data,ROW()-ROW(Rider_Input[#Headers]),c_FTR_WD)="","",INDEX(FTR_Data,ROW()-ROW(Rider_Input[#Headers]),c_FTR_WD)),""))</f>
        <v/>
      </c>
      <c r="G168" s="153" t="str">
        <f aca="false">IF(Rider_Input[[#This Row],[Rider ID]]="","",IFERROR(IF(INDEX(FTR_Data,ROW()-ROW(Rider_Input[#Headers]),c_FTR_Orders)="","",INDEX(FTR_Data,ROW()-ROW(Rider_Input[#Headers]),c_FTR_Orders)),""))</f>
        <v/>
      </c>
      <c r="H168" s="155" t="str">
        <f aca="false">IF(Rider_Input[[#This Row],[Rider ID]]="","",IFERROR(ABS(INDEX(RLVL_Data,MATCH(Rider_Input[[#This Row],[Rider ID]],INDEX(RLVL_Data,0,c_RLVL_ID),0),c_RLVL_Missed)),0))</f>
        <v/>
      </c>
      <c r="I168" s="155" t="str">
        <f aca="false">IF(Rider_Input[[#This Row],[Rider ID]]="","",IFERROR(ABS(INDEX(RLVL_Data,MATCH(Rider_Input[[#This Row],[Rider ID]],INDEX(RLVL_Data,0,c_RLVL_ID),0),c_RLVL_Bal)),0))</f>
        <v/>
      </c>
      <c r="J168" s="155" t="str">
        <f aca="false">IF(Rider_Input[[#This Row],[Rider ID]]="","",IFERROR(ABS(INDEX(RLVL_Data,MATCH(Rider_Input[[#This Row],[Rider ID]],INDEX(RLVL_Data,0,c_RLVL_ID),0),c_RLVL_Stack)),0))</f>
        <v/>
      </c>
      <c r="K168" s="155" t="str">
        <f aca="false">IF(Rider_Input[[#This Row],[Rider ID]]="","",SUMIFS(Adj_Input[Other Deductions],Adj_Input[Rider ID],Rider_Input[[#This Row],[Rider ID]]))</f>
        <v/>
      </c>
      <c r="L168" s="154" t="str">
        <f aca="false">IF(Rider_Input[[#This Row],[Rider ID]]="","",IFERROR(INDEX(Adj_Input[Note / Reason],MATCH(Rider_Input[[#This Row],[Rider ID]],Adj_Input[Rider ID],0))&amp;"",""))</f>
        <v/>
      </c>
    </row>
    <row r="169" customFormat="false" ht="14.25" hidden="false" customHeight="false" outlineLevel="0" collapsed="false">
      <c r="A169" s="152" t="str">
        <f aca="false">IF(Rider_Input[[#This Row],[Rider ID]]="","",Salary_Month)</f>
        <v/>
      </c>
      <c r="B169" s="153" t="str">
        <f aca="false">IFERROR(IF(INDEX(FTR_Data,ROW()-ROW(Rider_Input[#Headers]),c_FTR_ID)="","",INDEX(FTR_Data,ROW()-ROW(Rider_Input[#Headers]),c_FTR_ID)),"")</f>
        <v/>
      </c>
      <c r="C16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6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69" s="153" t="str">
        <f aca="false">IF(Rider_Input[[#This Row],[Rider ID]]="","",DAY(EOMONTH(Salary_Month,0)))</f>
        <v/>
      </c>
      <c r="F169" s="153" t="str">
        <f aca="false">IF(Rider_Input[[#This Row],[Rider ID]]="","",IFERROR(IF(INDEX(FTR_Data,ROW()-ROW(Rider_Input[#Headers]),c_FTR_WD)="","",INDEX(FTR_Data,ROW()-ROW(Rider_Input[#Headers]),c_FTR_WD)),""))</f>
        <v/>
      </c>
      <c r="G169" s="153" t="str">
        <f aca="false">IF(Rider_Input[[#This Row],[Rider ID]]="","",IFERROR(IF(INDEX(FTR_Data,ROW()-ROW(Rider_Input[#Headers]),c_FTR_Orders)="","",INDEX(FTR_Data,ROW()-ROW(Rider_Input[#Headers]),c_FTR_Orders)),""))</f>
        <v/>
      </c>
      <c r="H169" s="155" t="str">
        <f aca="false">IF(Rider_Input[[#This Row],[Rider ID]]="","",IFERROR(ABS(INDEX(RLVL_Data,MATCH(Rider_Input[[#This Row],[Rider ID]],INDEX(RLVL_Data,0,c_RLVL_ID),0),c_RLVL_Missed)),0))</f>
        <v/>
      </c>
      <c r="I169" s="155" t="str">
        <f aca="false">IF(Rider_Input[[#This Row],[Rider ID]]="","",IFERROR(ABS(INDEX(RLVL_Data,MATCH(Rider_Input[[#This Row],[Rider ID]],INDEX(RLVL_Data,0,c_RLVL_ID),0),c_RLVL_Bal)),0))</f>
        <v/>
      </c>
      <c r="J169" s="155" t="str">
        <f aca="false">IF(Rider_Input[[#This Row],[Rider ID]]="","",IFERROR(ABS(INDEX(RLVL_Data,MATCH(Rider_Input[[#This Row],[Rider ID]],INDEX(RLVL_Data,0,c_RLVL_ID),0),c_RLVL_Stack)),0))</f>
        <v/>
      </c>
      <c r="K169" s="155" t="str">
        <f aca="false">IF(Rider_Input[[#This Row],[Rider ID]]="","",SUMIFS(Adj_Input[Other Deductions],Adj_Input[Rider ID],Rider_Input[[#This Row],[Rider ID]]))</f>
        <v/>
      </c>
      <c r="L169" s="154" t="str">
        <f aca="false">IF(Rider_Input[[#This Row],[Rider ID]]="","",IFERROR(INDEX(Adj_Input[Note / Reason],MATCH(Rider_Input[[#This Row],[Rider ID]],Adj_Input[Rider ID],0))&amp;"",""))</f>
        <v/>
      </c>
    </row>
    <row r="170" customFormat="false" ht="14.25" hidden="false" customHeight="false" outlineLevel="0" collapsed="false">
      <c r="A170" s="152" t="str">
        <f aca="false">IF(Rider_Input[[#This Row],[Rider ID]]="","",Salary_Month)</f>
        <v/>
      </c>
      <c r="B170" s="153" t="str">
        <f aca="false">IFERROR(IF(INDEX(FTR_Data,ROW()-ROW(Rider_Input[#Headers]),c_FTR_ID)="","",INDEX(FTR_Data,ROW()-ROW(Rider_Input[#Headers]),c_FTR_ID)),"")</f>
        <v/>
      </c>
      <c r="C17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7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70" s="153" t="str">
        <f aca="false">IF(Rider_Input[[#This Row],[Rider ID]]="","",DAY(EOMONTH(Salary_Month,0)))</f>
        <v/>
      </c>
      <c r="F170" s="153" t="str">
        <f aca="false">IF(Rider_Input[[#This Row],[Rider ID]]="","",IFERROR(IF(INDEX(FTR_Data,ROW()-ROW(Rider_Input[#Headers]),c_FTR_WD)="","",INDEX(FTR_Data,ROW()-ROW(Rider_Input[#Headers]),c_FTR_WD)),""))</f>
        <v/>
      </c>
      <c r="G170" s="153" t="str">
        <f aca="false">IF(Rider_Input[[#This Row],[Rider ID]]="","",IFERROR(IF(INDEX(FTR_Data,ROW()-ROW(Rider_Input[#Headers]),c_FTR_Orders)="","",INDEX(FTR_Data,ROW()-ROW(Rider_Input[#Headers]),c_FTR_Orders)),""))</f>
        <v/>
      </c>
      <c r="H170" s="155" t="str">
        <f aca="false">IF(Rider_Input[[#This Row],[Rider ID]]="","",IFERROR(ABS(INDEX(RLVL_Data,MATCH(Rider_Input[[#This Row],[Rider ID]],INDEX(RLVL_Data,0,c_RLVL_ID),0),c_RLVL_Missed)),0))</f>
        <v/>
      </c>
      <c r="I170" s="155" t="str">
        <f aca="false">IF(Rider_Input[[#This Row],[Rider ID]]="","",IFERROR(ABS(INDEX(RLVL_Data,MATCH(Rider_Input[[#This Row],[Rider ID]],INDEX(RLVL_Data,0,c_RLVL_ID),0),c_RLVL_Bal)),0))</f>
        <v/>
      </c>
      <c r="J170" s="155" t="str">
        <f aca="false">IF(Rider_Input[[#This Row],[Rider ID]]="","",IFERROR(ABS(INDEX(RLVL_Data,MATCH(Rider_Input[[#This Row],[Rider ID]],INDEX(RLVL_Data,0,c_RLVL_ID),0),c_RLVL_Stack)),0))</f>
        <v/>
      </c>
      <c r="K170" s="155" t="str">
        <f aca="false">IF(Rider_Input[[#This Row],[Rider ID]]="","",SUMIFS(Adj_Input[Other Deductions],Adj_Input[Rider ID],Rider_Input[[#This Row],[Rider ID]]))</f>
        <v/>
      </c>
      <c r="L170" s="154" t="str">
        <f aca="false">IF(Rider_Input[[#This Row],[Rider ID]]="","",IFERROR(INDEX(Adj_Input[Note / Reason],MATCH(Rider_Input[[#This Row],[Rider ID]],Adj_Input[Rider ID],0))&amp;"",""))</f>
        <v/>
      </c>
    </row>
    <row r="171" customFormat="false" ht="14.25" hidden="false" customHeight="false" outlineLevel="0" collapsed="false">
      <c r="A171" s="152" t="str">
        <f aca="false">IF(Rider_Input[[#This Row],[Rider ID]]="","",Salary_Month)</f>
        <v/>
      </c>
      <c r="B171" s="153" t="str">
        <f aca="false">IFERROR(IF(INDEX(FTR_Data,ROW()-ROW(Rider_Input[#Headers]),c_FTR_ID)="","",INDEX(FTR_Data,ROW()-ROW(Rider_Input[#Headers]),c_FTR_ID)),"")</f>
        <v/>
      </c>
      <c r="C17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7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71" s="153" t="str">
        <f aca="false">IF(Rider_Input[[#This Row],[Rider ID]]="","",DAY(EOMONTH(Salary_Month,0)))</f>
        <v/>
      </c>
      <c r="F171" s="153" t="str">
        <f aca="false">IF(Rider_Input[[#This Row],[Rider ID]]="","",IFERROR(IF(INDEX(FTR_Data,ROW()-ROW(Rider_Input[#Headers]),c_FTR_WD)="","",INDEX(FTR_Data,ROW()-ROW(Rider_Input[#Headers]),c_FTR_WD)),""))</f>
        <v/>
      </c>
      <c r="G171" s="153" t="str">
        <f aca="false">IF(Rider_Input[[#This Row],[Rider ID]]="","",IFERROR(IF(INDEX(FTR_Data,ROW()-ROW(Rider_Input[#Headers]),c_FTR_Orders)="","",INDEX(FTR_Data,ROW()-ROW(Rider_Input[#Headers]),c_FTR_Orders)),""))</f>
        <v/>
      </c>
      <c r="H171" s="155" t="str">
        <f aca="false">IF(Rider_Input[[#This Row],[Rider ID]]="","",IFERROR(ABS(INDEX(RLVL_Data,MATCH(Rider_Input[[#This Row],[Rider ID]],INDEX(RLVL_Data,0,c_RLVL_ID),0),c_RLVL_Missed)),0))</f>
        <v/>
      </c>
      <c r="I171" s="155" t="str">
        <f aca="false">IF(Rider_Input[[#This Row],[Rider ID]]="","",IFERROR(ABS(INDEX(RLVL_Data,MATCH(Rider_Input[[#This Row],[Rider ID]],INDEX(RLVL_Data,0,c_RLVL_ID),0),c_RLVL_Bal)),0))</f>
        <v/>
      </c>
      <c r="J171" s="155" t="str">
        <f aca="false">IF(Rider_Input[[#This Row],[Rider ID]]="","",IFERROR(ABS(INDEX(RLVL_Data,MATCH(Rider_Input[[#This Row],[Rider ID]],INDEX(RLVL_Data,0,c_RLVL_ID),0),c_RLVL_Stack)),0))</f>
        <v/>
      </c>
      <c r="K171" s="155" t="str">
        <f aca="false">IF(Rider_Input[[#This Row],[Rider ID]]="","",SUMIFS(Adj_Input[Other Deductions],Adj_Input[Rider ID],Rider_Input[[#This Row],[Rider ID]]))</f>
        <v/>
      </c>
      <c r="L171" s="154" t="str">
        <f aca="false">IF(Rider_Input[[#This Row],[Rider ID]]="","",IFERROR(INDEX(Adj_Input[Note / Reason],MATCH(Rider_Input[[#This Row],[Rider ID]],Adj_Input[Rider ID],0))&amp;"",""))</f>
        <v/>
      </c>
    </row>
    <row r="172" customFormat="false" ht="14.25" hidden="false" customHeight="false" outlineLevel="0" collapsed="false">
      <c r="A172" s="152" t="str">
        <f aca="false">IF(Rider_Input[[#This Row],[Rider ID]]="","",Salary_Month)</f>
        <v/>
      </c>
      <c r="B172" s="153" t="str">
        <f aca="false">IFERROR(IF(INDEX(FTR_Data,ROW()-ROW(Rider_Input[#Headers]),c_FTR_ID)="","",INDEX(FTR_Data,ROW()-ROW(Rider_Input[#Headers]),c_FTR_ID)),"")</f>
        <v/>
      </c>
      <c r="C17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7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72" s="153" t="str">
        <f aca="false">IF(Rider_Input[[#This Row],[Rider ID]]="","",DAY(EOMONTH(Salary_Month,0)))</f>
        <v/>
      </c>
      <c r="F172" s="153" t="str">
        <f aca="false">IF(Rider_Input[[#This Row],[Rider ID]]="","",IFERROR(IF(INDEX(FTR_Data,ROW()-ROW(Rider_Input[#Headers]),c_FTR_WD)="","",INDEX(FTR_Data,ROW()-ROW(Rider_Input[#Headers]),c_FTR_WD)),""))</f>
        <v/>
      </c>
      <c r="G172" s="153" t="str">
        <f aca="false">IF(Rider_Input[[#This Row],[Rider ID]]="","",IFERROR(IF(INDEX(FTR_Data,ROW()-ROW(Rider_Input[#Headers]),c_FTR_Orders)="","",INDEX(FTR_Data,ROW()-ROW(Rider_Input[#Headers]),c_FTR_Orders)),""))</f>
        <v/>
      </c>
      <c r="H172" s="155" t="str">
        <f aca="false">IF(Rider_Input[[#This Row],[Rider ID]]="","",IFERROR(ABS(INDEX(RLVL_Data,MATCH(Rider_Input[[#This Row],[Rider ID]],INDEX(RLVL_Data,0,c_RLVL_ID),0),c_RLVL_Missed)),0))</f>
        <v/>
      </c>
      <c r="I172" s="155" t="str">
        <f aca="false">IF(Rider_Input[[#This Row],[Rider ID]]="","",IFERROR(ABS(INDEX(RLVL_Data,MATCH(Rider_Input[[#This Row],[Rider ID]],INDEX(RLVL_Data,0,c_RLVL_ID),0),c_RLVL_Bal)),0))</f>
        <v/>
      </c>
      <c r="J172" s="155" t="str">
        <f aca="false">IF(Rider_Input[[#This Row],[Rider ID]]="","",IFERROR(ABS(INDEX(RLVL_Data,MATCH(Rider_Input[[#This Row],[Rider ID]],INDEX(RLVL_Data,0,c_RLVL_ID),0),c_RLVL_Stack)),0))</f>
        <v/>
      </c>
      <c r="K172" s="155" t="str">
        <f aca="false">IF(Rider_Input[[#This Row],[Rider ID]]="","",SUMIFS(Adj_Input[Other Deductions],Adj_Input[Rider ID],Rider_Input[[#This Row],[Rider ID]]))</f>
        <v/>
      </c>
      <c r="L172" s="154" t="str">
        <f aca="false">IF(Rider_Input[[#This Row],[Rider ID]]="","",IFERROR(INDEX(Adj_Input[Note / Reason],MATCH(Rider_Input[[#This Row],[Rider ID]],Adj_Input[Rider ID],0))&amp;"",""))</f>
        <v/>
      </c>
    </row>
    <row r="173" customFormat="false" ht="14.25" hidden="false" customHeight="false" outlineLevel="0" collapsed="false">
      <c r="A173" s="152" t="str">
        <f aca="false">IF(Rider_Input[[#This Row],[Rider ID]]="","",Salary_Month)</f>
        <v/>
      </c>
      <c r="B173" s="153" t="str">
        <f aca="false">IFERROR(IF(INDEX(FTR_Data,ROW()-ROW(Rider_Input[#Headers]),c_FTR_ID)="","",INDEX(FTR_Data,ROW()-ROW(Rider_Input[#Headers]),c_FTR_ID)),"")</f>
        <v/>
      </c>
      <c r="C17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7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73" s="153" t="str">
        <f aca="false">IF(Rider_Input[[#This Row],[Rider ID]]="","",DAY(EOMONTH(Salary_Month,0)))</f>
        <v/>
      </c>
      <c r="F173" s="153" t="str">
        <f aca="false">IF(Rider_Input[[#This Row],[Rider ID]]="","",IFERROR(IF(INDEX(FTR_Data,ROW()-ROW(Rider_Input[#Headers]),c_FTR_WD)="","",INDEX(FTR_Data,ROW()-ROW(Rider_Input[#Headers]),c_FTR_WD)),""))</f>
        <v/>
      </c>
      <c r="G173" s="153" t="str">
        <f aca="false">IF(Rider_Input[[#This Row],[Rider ID]]="","",IFERROR(IF(INDEX(FTR_Data,ROW()-ROW(Rider_Input[#Headers]),c_FTR_Orders)="","",INDEX(FTR_Data,ROW()-ROW(Rider_Input[#Headers]),c_FTR_Orders)),""))</f>
        <v/>
      </c>
      <c r="H173" s="155" t="str">
        <f aca="false">IF(Rider_Input[[#This Row],[Rider ID]]="","",IFERROR(ABS(INDEX(RLVL_Data,MATCH(Rider_Input[[#This Row],[Rider ID]],INDEX(RLVL_Data,0,c_RLVL_ID),0),c_RLVL_Missed)),0))</f>
        <v/>
      </c>
      <c r="I173" s="155" t="str">
        <f aca="false">IF(Rider_Input[[#This Row],[Rider ID]]="","",IFERROR(ABS(INDEX(RLVL_Data,MATCH(Rider_Input[[#This Row],[Rider ID]],INDEX(RLVL_Data,0,c_RLVL_ID),0),c_RLVL_Bal)),0))</f>
        <v/>
      </c>
      <c r="J173" s="155" t="str">
        <f aca="false">IF(Rider_Input[[#This Row],[Rider ID]]="","",IFERROR(ABS(INDEX(RLVL_Data,MATCH(Rider_Input[[#This Row],[Rider ID]],INDEX(RLVL_Data,0,c_RLVL_ID),0),c_RLVL_Stack)),0))</f>
        <v/>
      </c>
      <c r="K173" s="155" t="str">
        <f aca="false">IF(Rider_Input[[#This Row],[Rider ID]]="","",SUMIFS(Adj_Input[Other Deductions],Adj_Input[Rider ID],Rider_Input[[#This Row],[Rider ID]]))</f>
        <v/>
      </c>
      <c r="L173" s="154" t="str">
        <f aca="false">IF(Rider_Input[[#This Row],[Rider ID]]="","",IFERROR(INDEX(Adj_Input[Note / Reason],MATCH(Rider_Input[[#This Row],[Rider ID]],Adj_Input[Rider ID],0))&amp;"",""))</f>
        <v/>
      </c>
    </row>
    <row r="174" customFormat="false" ht="14.25" hidden="false" customHeight="false" outlineLevel="0" collapsed="false">
      <c r="A174" s="152" t="str">
        <f aca="false">IF(Rider_Input[[#This Row],[Rider ID]]="","",Salary_Month)</f>
        <v/>
      </c>
      <c r="B174" s="153" t="str">
        <f aca="false">IFERROR(IF(INDEX(FTR_Data,ROW()-ROW(Rider_Input[#Headers]),c_FTR_ID)="","",INDEX(FTR_Data,ROW()-ROW(Rider_Input[#Headers]),c_FTR_ID)),"")</f>
        <v/>
      </c>
      <c r="C17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7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74" s="153" t="str">
        <f aca="false">IF(Rider_Input[[#This Row],[Rider ID]]="","",DAY(EOMONTH(Salary_Month,0)))</f>
        <v/>
      </c>
      <c r="F174" s="153" t="str">
        <f aca="false">IF(Rider_Input[[#This Row],[Rider ID]]="","",IFERROR(IF(INDEX(FTR_Data,ROW()-ROW(Rider_Input[#Headers]),c_FTR_WD)="","",INDEX(FTR_Data,ROW()-ROW(Rider_Input[#Headers]),c_FTR_WD)),""))</f>
        <v/>
      </c>
      <c r="G174" s="153" t="str">
        <f aca="false">IF(Rider_Input[[#This Row],[Rider ID]]="","",IFERROR(IF(INDEX(FTR_Data,ROW()-ROW(Rider_Input[#Headers]),c_FTR_Orders)="","",INDEX(FTR_Data,ROW()-ROW(Rider_Input[#Headers]),c_FTR_Orders)),""))</f>
        <v/>
      </c>
      <c r="H174" s="155" t="str">
        <f aca="false">IF(Rider_Input[[#This Row],[Rider ID]]="","",IFERROR(ABS(INDEX(RLVL_Data,MATCH(Rider_Input[[#This Row],[Rider ID]],INDEX(RLVL_Data,0,c_RLVL_ID),0),c_RLVL_Missed)),0))</f>
        <v/>
      </c>
      <c r="I174" s="155" t="str">
        <f aca="false">IF(Rider_Input[[#This Row],[Rider ID]]="","",IFERROR(ABS(INDEX(RLVL_Data,MATCH(Rider_Input[[#This Row],[Rider ID]],INDEX(RLVL_Data,0,c_RLVL_ID),0),c_RLVL_Bal)),0))</f>
        <v/>
      </c>
      <c r="J174" s="155" t="str">
        <f aca="false">IF(Rider_Input[[#This Row],[Rider ID]]="","",IFERROR(ABS(INDEX(RLVL_Data,MATCH(Rider_Input[[#This Row],[Rider ID]],INDEX(RLVL_Data,0,c_RLVL_ID),0),c_RLVL_Stack)),0))</f>
        <v/>
      </c>
      <c r="K174" s="155" t="str">
        <f aca="false">IF(Rider_Input[[#This Row],[Rider ID]]="","",SUMIFS(Adj_Input[Other Deductions],Adj_Input[Rider ID],Rider_Input[[#This Row],[Rider ID]]))</f>
        <v/>
      </c>
      <c r="L174" s="154" t="str">
        <f aca="false">IF(Rider_Input[[#This Row],[Rider ID]]="","",IFERROR(INDEX(Adj_Input[Note / Reason],MATCH(Rider_Input[[#This Row],[Rider ID]],Adj_Input[Rider ID],0))&amp;"",""))</f>
        <v/>
      </c>
    </row>
    <row r="175" customFormat="false" ht="14.25" hidden="false" customHeight="false" outlineLevel="0" collapsed="false">
      <c r="A175" s="152" t="str">
        <f aca="false">IF(Rider_Input[[#This Row],[Rider ID]]="","",Salary_Month)</f>
        <v/>
      </c>
      <c r="B175" s="153" t="str">
        <f aca="false">IFERROR(IF(INDEX(FTR_Data,ROW()-ROW(Rider_Input[#Headers]),c_FTR_ID)="","",INDEX(FTR_Data,ROW()-ROW(Rider_Input[#Headers]),c_FTR_ID)),"")</f>
        <v/>
      </c>
      <c r="C17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7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75" s="153" t="str">
        <f aca="false">IF(Rider_Input[[#This Row],[Rider ID]]="","",DAY(EOMONTH(Salary_Month,0)))</f>
        <v/>
      </c>
      <c r="F175" s="153" t="str">
        <f aca="false">IF(Rider_Input[[#This Row],[Rider ID]]="","",IFERROR(IF(INDEX(FTR_Data,ROW()-ROW(Rider_Input[#Headers]),c_FTR_WD)="","",INDEX(FTR_Data,ROW()-ROW(Rider_Input[#Headers]),c_FTR_WD)),""))</f>
        <v/>
      </c>
      <c r="G175" s="153" t="str">
        <f aca="false">IF(Rider_Input[[#This Row],[Rider ID]]="","",IFERROR(IF(INDEX(FTR_Data,ROW()-ROW(Rider_Input[#Headers]),c_FTR_Orders)="","",INDEX(FTR_Data,ROW()-ROW(Rider_Input[#Headers]),c_FTR_Orders)),""))</f>
        <v/>
      </c>
      <c r="H175" s="155" t="str">
        <f aca="false">IF(Rider_Input[[#This Row],[Rider ID]]="","",IFERROR(ABS(INDEX(RLVL_Data,MATCH(Rider_Input[[#This Row],[Rider ID]],INDEX(RLVL_Data,0,c_RLVL_ID),0),c_RLVL_Missed)),0))</f>
        <v/>
      </c>
      <c r="I175" s="155" t="str">
        <f aca="false">IF(Rider_Input[[#This Row],[Rider ID]]="","",IFERROR(ABS(INDEX(RLVL_Data,MATCH(Rider_Input[[#This Row],[Rider ID]],INDEX(RLVL_Data,0,c_RLVL_ID),0),c_RLVL_Bal)),0))</f>
        <v/>
      </c>
      <c r="J175" s="155" t="str">
        <f aca="false">IF(Rider_Input[[#This Row],[Rider ID]]="","",IFERROR(ABS(INDEX(RLVL_Data,MATCH(Rider_Input[[#This Row],[Rider ID]],INDEX(RLVL_Data,0,c_RLVL_ID),0),c_RLVL_Stack)),0))</f>
        <v/>
      </c>
      <c r="K175" s="155" t="str">
        <f aca="false">IF(Rider_Input[[#This Row],[Rider ID]]="","",SUMIFS(Adj_Input[Other Deductions],Adj_Input[Rider ID],Rider_Input[[#This Row],[Rider ID]]))</f>
        <v/>
      </c>
      <c r="L175" s="154" t="str">
        <f aca="false">IF(Rider_Input[[#This Row],[Rider ID]]="","",IFERROR(INDEX(Adj_Input[Note / Reason],MATCH(Rider_Input[[#This Row],[Rider ID]],Adj_Input[Rider ID],0))&amp;"",""))</f>
        <v/>
      </c>
    </row>
    <row r="176" customFormat="false" ht="14.25" hidden="false" customHeight="false" outlineLevel="0" collapsed="false">
      <c r="A176" s="152" t="str">
        <f aca="false">IF(Rider_Input[[#This Row],[Rider ID]]="","",Salary_Month)</f>
        <v/>
      </c>
      <c r="B176" s="153" t="str">
        <f aca="false">IFERROR(IF(INDEX(FTR_Data,ROW()-ROW(Rider_Input[#Headers]),c_FTR_ID)="","",INDEX(FTR_Data,ROW()-ROW(Rider_Input[#Headers]),c_FTR_ID)),"")</f>
        <v/>
      </c>
      <c r="C17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7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76" s="153" t="str">
        <f aca="false">IF(Rider_Input[[#This Row],[Rider ID]]="","",DAY(EOMONTH(Salary_Month,0)))</f>
        <v/>
      </c>
      <c r="F176" s="153" t="str">
        <f aca="false">IF(Rider_Input[[#This Row],[Rider ID]]="","",IFERROR(IF(INDEX(FTR_Data,ROW()-ROW(Rider_Input[#Headers]),c_FTR_WD)="","",INDEX(FTR_Data,ROW()-ROW(Rider_Input[#Headers]),c_FTR_WD)),""))</f>
        <v/>
      </c>
      <c r="G176" s="153" t="str">
        <f aca="false">IF(Rider_Input[[#This Row],[Rider ID]]="","",IFERROR(IF(INDEX(FTR_Data,ROW()-ROW(Rider_Input[#Headers]),c_FTR_Orders)="","",INDEX(FTR_Data,ROW()-ROW(Rider_Input[#Headers]),c_FTR_Orders)),""))</f>
        <v/>
      </c>
      <c r="H176" s="155" t="str">
        <f aca="false">IF(Rider_Input[[#This Row],[Rider ID]]="","",IFERROR(ABS(INDEX(RLVL_Data,MATCH(Rider_Input[[#This Row],[Rider ID]],INDEX(RLVL_Data,0,c_RLVL_ID),0),c_RLVL_Missed)),0))</f>
        <v/>
      </c>
      <c r="I176" s="155" t="str">
        <f aca="false">IF(Rider_Input[[#This Row],[Rider ID]]="","",IFERROR(ABS(INDEX(RLVL_Data,MATCH(Rider_Input[[#This Row],[Rider ID]],INDEX(RLVL_Data,0,c_RLVL_ID),0),c_RLVL_Bal)),0))</f>
        <v/>
      </c>
      <c r="J176" s="155" t="str">
        <f aca="false">IF(Rider_Input[[#This Row],[Rider ID]]="","",IFERROR(ABS(INDEX(RLVL_Data,MATCH(Rider_Input[[#This Row],[Rider ID]],INDEX(RLVL_Data,0,c_RLVL_ID),0),c_RLVL_Stack)),0))</f>
        <v/>
      </c>
      <c r="K176" s="155" t="str">
        <f aca="false">IF(Rider_Input[[#This Row],[Rider ID]]="","",SUMIFS(Adj_Input[Other Deductions],Adj_Input[Rider ID],Rider_Input[[#This Row],[Rider ID]]))</f>
        <v/>
      </c>
      <c r="L176" s="154" t="str">
        <f aca="false">IF(Rider_Input[[#This Row],[Rider ID]]="","",IFERROR(INDEX(Adj_Input[Note / Reason],MATCH(Rider_Input[[#This Row],[Rider ID]],Adj_Input[Rider ID],0))&amp;"",""))</f>
        <v/>
      </c>
    </row>
    <row r="177" customFormat="false" ht="14.25" hidden="false" customHeight="false" outlineLevel="0" collapsed="false">
      <c r="A177" s="152" t="str">
        <f aca="false">IF(Rider_Input[[#This Row],[Rider ID]]="","",Salary_Month)</f>
        <v/>
      </c>
      <c r="B177" s="153" t="str">
        <f aca="false">IFERROR(IF(INDEX(FTR_Data,ROW()-ROW(Rider_Input[#Headers]),c_FTR_ID)="","",INDEX(FTR_Data,ROW()-ROW(Rider_Input[#Headers]),c_FTR_ID)),"")</f>
        <v/>
      </c>
      <c r="C17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7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77" s="153" t="str">
        <f aca="false">IF(Rider_Input[[#This Row],[Rider ID]]="","",DAY(EOMONTH(Salary_Month,0)))</f>
        <v/>
      </c>
      <c r="F177" s="153" t="str">
        <f aca="false">IF(Rider_Input[[#This Row],[Rider ID]]="","",IFERROR(IF(INDEX(FTR_Data,ROW()-ROW(Rider_Input[#Headers]),c_FTR_WD)="","",INDEX(FTR_Data,ROW()-ROW(Rider_Input[#Headers]),c_FTR_WD)),""))</f>
        <v/>
      </c>
      <c r="G177" s="153" t="str">
        <f aca="false">IF(Rider_Input[[#This Row],[Rider ID]]="","",IFERROR(IF(INDEX(FTR_Data,ROW()-ROW(Rider_Input[#Headers]),c_FTR_Orders)="","",INDEX(FTR_Data,ROW()-ROW(Rider_Input[#Headers]),c_FTR_Orders)),""))</f>
        <v/>
      </c>
      <c r="H177" s="155" t="str">
        <f aca="false">IF(Rider_Input[[#This Row],[Rider ID]]="","",IFERROR(ABS(INDEX(RLVL_Data,MATCH(Rider_Input[[#This Row],[Rider ID]],INDEX(RLVL_Data,0,c_RLVL_ID),0),c_RLVL_Missed)),0))</f>
        <v/>
      </c>
      <c r="I177" s="155" t="str">
        <f aca="false">IF(Rider_Input[[#This Row],[Rider ID]]="","",IFERROR(ABS(INDEX(RLVL_Data,MATCH(Rider_Input[[#This Row],[Rider ID]],INDEX(RLVL_Data,0,c_RLVL_ID),0),c_RLVL_Bal)),0))</f>
        <v/>
      </c>
      <c r="J177" s="155" t="str">
        <f aca="false">IF(Rider_Input[[#This Row],[Rider ID]]="","",IFERROR(ABS(INDEX(RLVL_Data,MATCH(Rider_Input[[#This Row],[Rider ID]],INDEX(RLVL_Data,0,c_RLVL_ID),0),c_RLVL_Stack)),0))</f>
        <v/>
      </c>
      <c r="K177" s="155" t="str">
        <f aca="false">IF(Rider_Input[[#This Row],[Rider ID]]="","",SUMIFS(Adj_Input[Other Deductions],Adj_Input[Rider ID],Rider_Input[[#This Row],[Rider ID]]))</f>
        <v/>
      </c>
      <c r="L177" s="154" t="str">
        <f aca="false">IF(Rider_Input[[#This Row],[Rider ID]]="","",IFERROR(INDEX(Adj_Input[Note / Reason],MATCH(Rider_Input[[#This Row],[Rider ID]],Adj_Input[Rider ID],0))&amp;"",""))</f>
        <v/>
      </c>
    </row>
    <row r="178" customFormat="false" ht="14.25" hidden="false" customHeight="false" outlineLevel="0" collapsed="false">
      <c r="A178" s="152" t="str">
        <f aca="false">IF(Rider_Input[[#This Row],[Rider ID]]="","",Salary_Month)</f>
        <v/>
      </c>
      <c r="B178" s="153" t="str">
        <f aca="false">IFERROR(IF(INDEX(FTR_Data,ROW()-ROW(Rider_Input[#Headers]),c_FTR_ID)="","",INDEX(FTR_Data,ROW()-ROW(Rider_Input[#Headers]),c_FTR_ID)),"")</f>
        <v/>
      </c>
      <c r="C17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7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78" s="153" t="str">
        <f aca="false">IF(Rider_Input[[#This Row],[Rider ID]]="","",DAY(EOMONTH(Salary_Month,0)))</f>
        <v/>
      </c>
      <c r="F178" s="153" t="str">
        <f aca="false">IF(Rider_Input[[#This Row],[Rider ID]]="","",IFERROR(IF(INDEX(FTR_Data,ROW()-ROW(Rider_Input[#Headers]),c_FTR_WD)="","",INDEX(FTR_Data,ROW()-ROW(Rider_Input[#Headers]),c_FTR_WD)),""))</f>
        <v/>
      </c>
      <c r="G178" s="153" t="str">
        <f aca="false">IF(Rider_Input[[#This Row],[Rider ID]]="","",IFERROR(IF(INDEX(FTR_Data,ROW()-ROW(Rider_Input[#Headers]),c_FTR_Orders)="","",INDEX(FTR_Data,ROW()-ROW(Rider_Input[#Headers]),c_FTR_Orders)),""))</f>
        <v/>
      </c>
      <c r="H178" s="155" t="str">
        <f aca="false">IF(Rider_Input[[#This Row],[Rider ID]]="","",IFERROR(ABS(INDEX(RLVL_Data,MATCH(Rider_Input[[#This Row],[Rider ID]],INDEX(RLVL_Data,0,c_RLVL_ID),0),c_RLVL_Missed)),0))</f>
        <v/>
      </c>
      <c r="I178" s="155" t="str">
        <f aca="false">IF(Rider_Input[[#This Row],[Rider ID]]="","",IFERROR(ABS(INDEX(RLVL_Data,MATCH(Rider_Input[[#This Row],[Rider ID]],INDEX(RLVL_Data,0,c_RLVL_ID),0),c_RLVL_Bal)),0))</f>
        <v/>
      </c>
      <c r="J178" s="155" t="str">
        <f aca="false">IF(Rider_Input[[#This Row],[Rider ID]]="","",IFERROR(ABS(INDEX(RLVL_Data,MATCH(Rider_Input[[#This Row],[Rider ID]],INDEX(RLVL_Data,0,c_RLVL_ID),0),c_RLVL_Stack)),0))</f>
        <v/>
      </c>
      <c r="K178" s="155" t="str">
        <f aca="false">IF(Rider_Input[[#This Row],[Rider ID]]="","",SUMIFS(Adj_Input[Other Deductions],Adj_Input[Rider ID],Rider_Input[[#This Row],[Rider ID]]))</f>
        <v/>
      </c>
      <c r="L178" s="154" t="str">
        <f aca="false">IF(Rider_Input[[#This Row],[Rider ID]]="","",IFERROR(INDEX(Adj_Input[Note / Reason],MATCH(Rider_Input[[#This Row],[Rider ID]],Adj_Input[Rider ID],0))&amp;"",""))</f>
        <v/>
      </c>
    </row>
    <row r="179" customFormat="false" ht="14.25" hidden="false" customHeight="false" outlineLevel="0" collapsed="false">
      <c r="A179" s="152" t="str">
        <f aca="false">IF(Rider_Input[[#This Row],[Rider ID]]="","",Salary_Month)</f>
        <v/>
      </c>
      <c r="B179" s="153" t="str">
        <f aca="false">IFERROR(IF(INDEX(FTR_Data,ROW()-ROW(Rider_Input[#Headers]),c_FTR_ID)="","",INDEX(FTR_Data,ROW()-ROW(Rider_Input[#Headers]),c_FTR_ID)),"")</f>
        <v/>
      </c>
      <c r="C17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7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79" s="153" t="str">
        <f aca="false">IF(Rider_Input[[#This Row],[Rider ID]]="","",DAY(EOMONTH(Salary_Month,0)))</f>
        <v/>
      </c>
      <c r="F179" s="153" t="str">
        <f aca="false">IF(Rider_Input[[#This Row],[Rider ID]]="","",IFERROR(IF(INDEX(FTR_Data,ROW()-ROW(Rider_Input[#Headers]),c_FTR_WD)="","",INDEX(FTR_Data,ROW()-ROW(Rider_Input[#Headers]),c_FTR_WD)),""))</f>
        <v/>
      </c>
      <c r="G179" s="153" t="str">
        <f aca="false">IF(Rider_Input[[#This Row],[Rider ID]]="","",IFERROR(IF(INDEX(FTR_Data,ROW()-ROW(Rider_Input[#Headers]),c_FTR_Orders)="","",INDEX(FTR_Data,ROW()-ROW(Rider_Input[#Headers]),c_FTR_Orders)),""))</f>
        <v/>
      </c>
      <c r="H179" s="155" t="str">
        <f aca="false">IF(Rider_Input[[#This Row],[Rider ID]]="","",IFERROR(ABS(INDEX(RLVL_Data,MATCH(Rider_Input[[#This Row],[Rider ID]],INDEX(RLVL_Data,0,c_RLVL_ID),0),c_RLVL_Missed)),0))</f>
        <v/>
      </c>
      <c r="I179" s="155" t="str">
        <f aca="false">IF(Rider_Input[[#This Row],[Rider ID]]="","",IFERROR(ABS(INDEX(RLVL_Data,MATCH(Rider_Input[[#This Row],[Rider ID]],INDEX(RLVL_Data,0,c_RLVL_ID),0),c_RLVL_Bal)),0))</f>
        <v/>
      </c>
      <c r="J179" s="155" t="str">
        <f aca="false">IF(Rider_Input[[#This Row],[Rider ID]]="","",IFERROR(ABS(INDEX(RLVL_Data,MATCH(Rider_Input[[#This Row],[Rider ID]],INDEX(RLVL_Data,0,c_RLVL_ID),0),c_RLVL_Stack)),0))</f>
        <v/>
      </c>
      <c r="K179" s="155" t="str">
        <f aca="false">IF(Rider_Input[[#This Row],[Rider ID]]="","",SUMIFS(Adj_Input[Other Deductions],Adj_Input[Rider ID],Rider_Input[[#This Row],[Rider ID]]))</f>
        <v/>
      </c>
      <c r="L179" s="154" t="str">
        <f aca="false">IF(Rider_Input[[#This Row],[Rider ID]]="","",IFERROR(INDEX(Adj_Input[Note / Reason],MATCH(Rider_Input[[#This Row],[Rider ID]],Adj_Input[Rider ID],0))&amp;"",""))</f>
        <v/>
      </c>
    </row>
    <row r="180" customFormat="false" ht="14.25" hidden="false" customHeight="false" outlineLevel="0" collapsed="false">
      <c r="A180" s="152" t="str">
        <f aca="false">IF(Rider_Input[[#This Row],[Rider ID]]="","",Salary_Month)</f>
        <v/>
      </c>
      <c r="B180" s="153" t="str">
        <f aca="false">IFERROR(IF(INDEX(FTR_Data,ROW()-ROW(Rider_Input[#Headers]),c_FTR_ID)="","",INDEX(FTR_Data,ROW()-ROW(Rider_Input[#Headers]),c_FTR_ID)),"")</f>
        <v/>
      </c>
      <c r="C18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8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80" s="153" t="str">
        <f aca="false">IF(Rider_Input[[#This Row],[Rider ID]]="","",DAY(EOMONTH(Salary_Month,0)))</f>
        <v/>
      </c>
      <c r="F180" s="153" t="str">
        <f aca="false">IF(Rider_Input[[#This Row],[Rider ID]]="","",IFERROR(IF(INDEX(FTR_Data,ROW()-ROW(Rider_Input[#Headers]),c_FTR_WD)="","",INDEX(FTR_Data,ROW()-ROW(Rider_Input[#Headers]),c_FTR_WD)),""))</f>
        <v/>
      </c>
      <c r="G180" s="153" t="str">
        <f aca="false">IF(Rider_Input[[#This Row],[Rider ID]]="","",IFERROR(IF(INDEX(FTR_Data,ROW()-ROW(Rider_Input[#Headers]),c_FTR_Orders)="","",INDEX(FTR_Data,ROW()-ROW(Rider_Input[#Headers]),c_FTR_Orders)),""))</f>
        <v/>
      </c>
      <c r="H180" s="155" t="str">
        <f aca="false">IF(Rider_Input[[#This Row],[Rider ID]]="","",IFERROR(ABS(INDEX(RLVL_Data,MATCH(Rider_Input[[#This Row],[Rider ID]],INDEX(RLVL_Data,0,c_RLVL_ID),0),c_RLVL_Missed)),0))</f>
        <v/>
      </c>
      <c r="I180" s="155" t="str">
        <f aca="false">IF(Rider_Input[[#This Row],[Rider ID]]="","",IFERROR(ABS(INDEX(RLVL_Data,MATCH(Rider_Input[[#This Row],[Rider ID]],INDEX(RLVL_Data,0,c_RLVL_ID),0),c_RLVL_Bal)),0))</f>
        <v/>
      </c>
      <c r="J180" s="155" t="str">
        <f aca="false">IF(Rider_Input[[#This Row],[Rider ID]]="","",IFERROR(ABS(INDEX(RLVL_Data,MATCH(Rider_Input[[#This Row],[Rider ID]],INDEX(RLVL_Data,0,c_RLVL_ID),0),c_RLVL_Stack)),0))</f>
        <v/>
      </c>
      <c r="K180" s="155" t="str">
        <f aca="false">IF(Rider_Input[[#This Row],[Rider ID]]="","",SUMIFS(Adj_Input[Other Deductions],Adj_Input[Rider ID],Rider_Input[[#This Row],[Rider ID]]))</f>
        <v/>
      </c>
      <c r="L180" s="154" t="str">
        <f aca="false">IF(Rider_Input[[#This Row],[Rider ID]]="","",IFERROR(INDEX(Adj_Input[Note / Reason],MATCH(Rider_Input[[#This Row],[Rider ID]],Adj_Input[Rider ID],0))&amp;"",""))</f>
        <v/>
      </c>
    </row>
    <row r="181" customFormat="false" ht="14.25" hidden="false" customHeight="false" outlineLevel="0" collapsed="false">
      <c r="A181" s="152" t="str">
        <f aca="false">IF(Rider_Input[[#This Row],[Rider ID]]="","",Salary_Month)</f>
        <v/>
      </c>
      <c r="B181" s="153" t="str">
        <f aca="false">IFERROR(IF(INDEX(FTR_Data,ROW()-ROW(Rider_Input[#Headers]),c_FTR_ID)="","",INDEX(FTR_Data,ROW()-ROW(Rider_Input[#Headers]),c_FTR_ID)),"")</f>
        <v/>
      </c>
      <c r="C18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8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81" s="153" t="str">
        <f aca="false">IF(Rider_Input[[#This Row],[Rider ID]]="","",DAY(EOMONTH(Salary_Month,0)))</f>
        <v/>
      </c>
      <c r="F181" s="153" t="str">
        <f aca="false">IF(Rider_Input[[#This Row],[Rider ID]]="","",IFERROR(IF(INDEX(FTR_Data,ROW()-ROW(Rider_Input[#Headers]),c_FTR_WD)="","",INDEX(FTR_Data,ROW()-ROW(Rider_Input[#Headers]),c_FTR_WD)),""))</f>
        <v/>
      </c>
      <c r="G181" s="153" t="str">
        <f aca="false">IF(Rider_Input[[#This Row],[Rider ID]]="","",IFERROR(IF(INDEX(FTR_Data,ROW()-ROW(Rider_Input[#Headers]),c_FTR_Orders)="","",INDEX(FTR_Data,ROW()-ROW(Rider_Input[#Headers]),c_FTR_Orders)),""))</f>
        <v/>
      </c>
      <c r="H181" s="155" t="str">
        <f aca="false">IF(Rider_Input[[#This Row],[Rider ID]]="","",IFERROR(ABS(INDEX(RLVL_Data,MATCH(Rider_Input[[#This Row],[Rider ID]],INDEX(RLVL_Data,0,c_RLVL_ID),0),c_RLVL_Missed)),0))</f>
        <v/>
      </c>
      <c r="I181" s="155" t="str">
        <f aca="false">IF(Rider_Input[[#This Row],[Rider ID]]="","",IFERROR(ABS(INDEX(RLVL_Data,MATCH(Rider_Input[[#This Row],[Rider ID]],INDEX(RLVL_Data,0,c_RLVL_ID),0),c_RLVL_Bal)),0))</f>
        <v/>
      </c>
      <c r="J181" s="155" t="str">
        <f aca="false">IF(Rider_Input[[#This Row],[Rider ID]]="","",IFERROR(ABS(INDEX(RLVL_Data,MATCH(Rider_Input[[#This Row],[Rider ID]],INDEX(RLVL_Data,0,c_RLVL_ID),0),c_RLVL_Stack)),0))</f>
        <v/>
      </c>
      <c r="K181" s="155" t="str">
        <f aca="false">IF(Rider_Input[[#This Row],[Rider ID]]="","",SUMIFS(Adj_Input[Other Deductions],Adj_Input[Rider ID],Rider_Input[[#This Row],[Rider ID]]))</f>
        <v/>
      </c>
      <c r="L181" s="154" t="str">
        <f aca="false">IF(Rider_Input[[#This Row],[Rider ID]]="","",IFERROR(INDEX(Adj_Input[Note / Reason],MATCH(Rider_Input[[#This Row],[Rider ID]],Adj_Input[Rider ID],0))&amp;"",""))</f>
        <v/>
      </c>
    </row>
    <row r="182" customFormat="false" ht="14.25" hidden="false" customHeight="false" outlineLevel="0" collapsed="false">
      <c r="A182" s="152" t="str">
        <f aca="false">IF(Rider_Input[[#This Row],[Rider ID]]="","",Salary_Month)</f>
        <v/>
      </c>
      <c r="B182" s="153" t="str">
        <f aca="false">IFERROR(IF(INDEX(FTR_Data,ROW()-ROW(Rider_Input[#Headers]),c_FTR_ID)="","",INDEX(FTR_Data,ROW()-ROW(Rider_Input[#Headers]),c_FTR_ID)),"")</f>
        <v/>
      </c>
      <c r="C18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8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82" s="153" t="str">
        <f aca="false">IF(Rider_Input[[#This Row],[Rider ID]]="","",DAY(EOMONTH(Salary_Month,0)))</f>
        <v/>
      </c>
      <c r="F182" s="153" t="str">
        <f aca="false">IF(Rider_Input[[#This Row],[Rider ID]]="","",IFERROR(IF(INDEX(FTR_Data,ROW()-ROW(Rider_Input[#Headers]),c_FTR_WD)="","",INDEX(FTR_Data,ROW()-ROW(Rider_Input[#Headers]),c_FTR_WD)),""))</f>
        <v/>
      </c>
      <c r="G182" s="153" t="str">
        <f aca="false">IF(Rider_Input[[#This Row],[Rider ID]]="","",IFERROR(IF(INDEX(FTR_Data,ROW()-ROW(Rider_Input[#Headers]),c_FTR_Orders)="","",INDEX(FTR_Data,ROW()-ROW(Rider_Input[#Headers]),c_FTR_Orders)),""))</f>
        <v/>
      </c>
      <c r="H182" s="155" t="str">
        <f aca="false">IF(Rider_Input[[#This Row],[Rider ID]]="","",IFERROR(ABS(INDEX(RLVL_Data,MATCH(Rider_Input[[#This Row],[Rider ID]],INDEX(RLVL_Data,0,c_RLVL_ID),0),c_RLVL_Missed)),0))</f>
        <v/>
      </c>
      <c r="I182" s="155" t="str">
        <f aca="false">IF(Rider_Input[[#This Row],[Rider ID]]="","",IFERROR(ABS(INDEX(RLVL_Data,MATCH(Rider_Input[[#This Row],[Rider ID]],INDEX(RLVL_Data,0,c_RLVL_ID),0),c_RLVL_Bal)),0))</f>
        <v/>
      </c>
      <c r="J182" s="155" t="str">
        <f aca="false">IF(Rider_Input[[#This Row],[Rider ID]]="","",IFERROR(ABS(INDEX(RLVL_Data,MATCH(Rider_Input[[#This Row],[Rider ID]],INDEX(RLVL_Data,0,c_RLVL_ID),0),c_RLVL_Stack)),0))</f>
        <v/>
      </c>
      <c r="K182" s="155" t="str">
        <f aca="false">IF(Rider_Input[[#This Row],[Rider ID]]="","",SUMIFS(Adj_Input[Other Deductions],Adj_Input[Rider ID],Rider_Input[[#This Row],[Rider ID]]))</f>
        <v/>
      </c>
      <c r="L182" s="154" t="str">
        <f aca="false">IF(Rider_Input[[#This Row],[Rider ID]]="","",IFERROR(INDEX(Adj_Input[Note / Reason],MATCH(Rider_Input[[#This Row],[Rider ID]],Adj_Input[Rider ID],0))&amp;"",""))</f>
        <v/>
      </c>
    </row>
    <row r="183" customFormat="false" ht="14.25" hidden="false" customHeight="false" outlineLevel="0" collapsed="false">
      <c r="A183" s="152" t="str">
        <f aca="false">IF(Rider_Input[[#This Row],[Rider ID]]="","",Salary_Month)</f>
        <v/>
      </c>
      <c r="B183" s="153" t="str">
        <f aca="false">IFERROR(IF(INDEX(FTR_Data,ROW()-ROW(Rider_Input[#Headers]),c_FTR_ID)="","",INDEX(FTR_Data,ROW()-ROW(Rider_Input[#Headers]),c_FTR_ID)),"")</f>
        <v/>
      </c>
      <c r="C18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8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83" s="153" t="str">
        <f aca="false">IF(Rider_Input[[#This Row],[Rider ID]]="","",DAY(EOMONTH(Salary_Month,0)))</f>
        <v/>
      </c>
      <c r="F183" s="153" t="str">
        <f aca="false">IF(Rider_Input[[#This Row],[Rider ID]]="","",IFERROR(IF(INDEX(FTR_Data,ROW()-ROW(Rider_Input[#Headers]),c_FTR_WD)="","",INDEX(FTR_Data,ROW()-ROW(Rider_Input[#Headers]),c_FTR_WD)),""))</f>
        <v/>
      </c>
      <c r="G183" s="153" t="str">
        <f aca="false">IF(Rider_Input[[#This Row],[Rider ID]]="","",IFERROR(IF(INDEX(FTR_Data,ROW()-ROW(Rider_Input[#Headers]),c_FTR_Orders)="","",INDEX(FTR_Data,ROW()-ROW(Rider_Input[#Headers]),c_FTR_Orders)),""))</f>
        <v/>
      </c>
      <c r="H183" s="155" t="str">
        <f aca="false">IF(Rider_Input[[#This Row],[Rider ID]]="","",IFERROR(ABS(INDEX(RLVL_Data,MATCH(Rider_Input[[#This Row],[Rider ID]],INDEX(RLVL_Data,0,c_RLVL_ID),0),c_RLVL_Missed)),0))</f>
        <v/>
      </c>
      <c r="I183" s="155" t="str">
        <f aca="false">IF(Rider_Input[[#This Row],[Rider ID]]="","",IFERROR(ABS(INDEX(RLVL_Data,MATCH(Rider_Input[[#This Row],[Rider ID]],INDEX(RLVL_Data,0,c_RLVL_ID),0),c_RLVL_Bal)),0))</f>
        <v/>
      </c>
      <c r="J183" s="155" t="str">
        <f aca="false">IF(Rider_Input[[#This Row],[Rider ID]]="","",IFERROR(ABS(INDEX(RLVL_Data,MATCH(Rider_Input[[#This Row],[Rider ID]],INDEX(RLVL_Data,0,c_RLVL_ID),0),c_RLVL_Stack)),0))</f>
        <v/>
      </c>
      <c r="K183" s="155" t="str">
        <f aca="false">IF(Rider_Input[[#This Row],[Rider ID]]="","",SUMIFS(Adj_Input[Other Deductions],Adj_Input[Rider ID],Rider_Input[[#This Row],[Rider ID]]))</f>
        <v/>
      </c>
      <c r="L183" s="154" t="str">
        <f aca="false">IF(Rider_Input[[#This Row],[Rider ID]]="","",IFERROR(INDEX(Adj_Input[Note / Reason],MATCH(Rider_Input[[#This Row],[Rider ID]],Adj_Input[Rider ID],0))&amp;"",""))</f>
        <v/>
      </c>
    </row>
    <row r="184" customFormat="false" ht="14.25" hidden="false" customHeight="false" outlineLevel="0" collapsed="false">
      <c r="A184" s="152" t="str">
        <f aca="false">IF(Rider_Input[[#This Row],[Rider ID]]="","",Salary_Month)</f>
        <v/>
      </c>
      <c r="B184" s="153" t="str">
        <f aca="false">IFERROR(IF(INDEX(FTR_Data,ROW()-ROW(Rider_Input[#Headers]),c_FTR_ID)="","",INDEX(FTR_Data,ROW()-ROW(Rider_Input[#Headers]),c_FTR_ID)),"")</f>
        <v/>
      </c>
      <c r="C18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8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84" s="153" t="str">
        <f aca="false">IF(Rider_Input[[#This Row],[Rider ID]]="","",DAY(EOMONTH(Salary_Month,0)))</f>
        <v/>
      </c>
      <c r="F184" s="153" t="str">
        <f aca="false">IF(Rider_Input[[#This Row],[Rider ID]]="","",IFERROR(IF(INDEX(FTR_Data,ROW()-ROW(Rider_Input[#Headers]),c_FTR_WD)="","",INDEX(FTR_Data,ROW()-ROW(Rider_Input[#Headers]),c_FTR_WD)),""))</f>
        <v/>
      </c>
      <c r="G184" s="153" t="str">
        <f aca="false">IF(Rider_Input[[#This Row],[Rider ID]]="","",IFERROR(IF(INDEX(FTR_Data,ROW()-ROW(Rider_Input[#Headers]),c_FTR_Orders)="","",INDEX(FTR_Data,ROW()-ROW(Rider_Input[#Headers]),c_FTR_Orders)),""))</f>
        <v/>
      </c>
      <c r="H184" s="155" t="str">
        <f aca="false">IF(Rider_Input[[#This Row],[Rider ID]]="","",IFERROR(ABS(INDEX(RLVL_Data,MATCH(Rider_Input[[#This Row],[Rider ID]],INDEX(RLVL_Data,0,c_RLVL_ID),0),c_RLVL_Missed)),0))</f>
        <v/>
      </c>
      <c r="I184" s="155" t="str">
        <f aca="false">IF(Rider_Input[[#This Row],[Rider ID]]="","",IFERROR(ABS(INDEX(RLVL_Data,MATCH(Rider_Input[[#This Row],[Rider ID]],INDEX(RLVL_Data,0,c_RLVL_ID),0),c_RLVL_Bal)),0))</f>
        <v/>
      </c>
      <c r="J184" s="155" t="str">
        <f aca="false">IF(Rider_Input[[#This Row],[Rider ID]]="","",IFERROR(ABS(INDEX(RLVL_Data,MATCH(Rider_Input[[#This Row],[Rider ID]],INDEX(RLVL_Data,0,c_RLVL_ID),0),c_RLVL_Stack)),0))</f>
        <v/>
      </c>
      <c r="K184" s="155" t="str">
        <f aca="false">IF(Rider_Input[[#This Row],[Rider ID]]="","",SUMIFS(Adj_Input[Other Deductions],Adj_Input[Rider ID],Rider_Input[[#This Row],[Rider ID]]))</f>
        <v/>
      </c>
      <c r="L184" s="154" t="str">
        <f aca="false">IF(Rider_Input[[#This Row],[Rider ID]]="","",IFERROR(INDEX(Adj_Input[Note / Reason],MATCH(Rider_Input[[#This Row],[Rider ID]],Adj_Input[Rider ID],0))&amp;"",""))</f>
        <v/>
      </c>
    </row>
    <row r="185" customFormat="false" ht="14.25" hidden="false" customHeight="false" outlineLevel="0" collapsed="false">
      <c r="A185" s="152" t="str">
        <f aca="false">IF(Rider_Input[[#This Row],[Rider ID]]="","",Salary_Month)</f>
        <v/>
      </c>
      <c r="B185" s="153" t="str">
        <f aca="false">IFERROR(IF(INDEX(FTR_Data,ROW()-ROW(Rider_Input[#Headers]),c_FTR_ID)="","",INDEX(FTR_Data,ROW()-ROW(Rider_Input[#Headers]),c_FTR_ID)),"")</f>
        <v/>
      </c>
      <c r="C18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8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85" s="153" t="str">
        <f aca="false">IF(Rider_Input[[#This Row],[Rider ID]]="","",DAY(EOMONTH(Salary_Month,0)))</f>
        <v/>
      </c>
      <c r="F185" s="153" t="str">
        <f aca="false">IF(Rider_Input[[#This Row],[Rider ID]]="","",IFERROR(IF(INDEX(FTR_Data,ROW()-ROW(Rider_Input[#Headers]),c_FTR_WD)="","",INDEX(FTR_Data,ROW()-ROW(Rider_Input[#Headers]),c_FTR_WD)),""))</f>
        <v/>
      </c>
      <c r="G185" s="153" t="str">
        <f aca="false">IF(Rider_Input[[#This Row],[Rider ID]]="","",IFERROR(IF(INDEX(FTR_Data,ROW()-ROW(Rider_Input[#Headers]),c_FTR_Orders)="","",INDEX(FTR_Data,ROW()-ROW(Rider_Input[#Headers]),c_FTR_Orders)),""))</f>
        <v/>
      </c>
      <c r="H185" s="155" t="str">
        <f aca="false">IF(Rider_Input[[#This Row],[Rider ID]]="","",IFERROR(ABS(INDEX(RLVL_Data,MATCH(Rider_Input[[#This Row],[Rider ID]],INDEX(RLVL_Data,0,c_RLVL_ID),0),c_RLVL_Missed)),0))</f>
        <v/>
      </c>
      <c r="I185" s="155" t="str">
        <f aca="false">IF(Rider_Input[[#This Row],[Rider ID]]="","",IFERROR(ABS(INDEX(RLVL_Data,MATCH(Rider_Input[[#This Row],[Rider ID]],INDEX(RLVL_Data,0,c_RLVL_ID),0),c_RLVL_Bal)),0))</f>
        <v/>
      </c>
      <c r="J185" s="155" t="str">
        <f aca="false">IF(Rider_Input[[#This Row],[Rider ID]]="","",IFERROR(ABS(INDEX(RLVL_Data,MATCH(Rider_Input[[#This Row],[Rider ID]],INDEX(RLVL_Data,0,c_RLVL_ID),0),c_RLVL_Stack)),0))</f>
        <v/>
      </c>
      <c r="K185" s="155" t="str">
        <f aca="false">IF(Rider_Input[[#This Row],[Rider ID]]="","",SUMIFS(Adj_Input[Other Deductions],Adj_Input[Rider ID],Rider_Input[[#This Row],[Rider ID]]))</f>
        <v/>
      </c>
      <c r="L185" s="154" t="str">
        <f aca="false">IF(Rider_Input[[#This Row],[Rider ID]]="","",IFERROR(INDEX(Adj_Input[Note / Reason],MATCH(Rider_Input[[#This Row],[Rider ID]],Adj_Input[Rider ID],0))&amp;"",""))</f>
        <v/>
      </c>
    </row>
    <row r="186" customFormat="false" ht="14.25" hidden="false" customHeight="false" outlineLevel="0" collapsed="false">
      <c r="A186" s="152" t="str">
        <f aca="false">IF(Rider_Input[[#This Row],[Rider ID]]="","",Salary_Month)</f>
        <v/>
      </c>
      <c r="B186" s="153" t="str">
        <f aca="false">IFERROR(IF(INDEX(FTR_Data,ROW()-ROW(Rider_Input[#Headers]),c_FTR_ID)="","",INDEX(FTR_Data,ROW()-ROW(Rider_Input[#Headers]),c_FTR_ID)),"")</f>
        <v/>
      </c>
      <c r="C18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8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86" s="153" t="str">
        <f aca="false">IF(Rider_Input[[#This Row],[Rider ID]]="","",DAY(EOMONTH(Salary_Month,0)))</f>
        <v/>
      </c>
      <c r="F186" s="153" t="str">
        <f aca="false">IF(Rider_Input[[#This Row],[Rider ID]]="","",IFERROR(IF(INDEX(FTR_Data,ROW()-ROW(Rider_Input[#Headers]),c_FTR_WD)="","",INDEX(FTR_Data,ROW()-ROW(Rider_Input[#Headers]),c_FTR_WD)),""))</f>
        <v/>
      </c>
      <c r="G186" s="153" t="str">
        <f aca="false">IF(Rider_Input[[#This Row],[Rider ID]]="","",IFERROR(IF(INDEX(FTR_Data,ROW()-ROW(Rider_Input[#Headers]),c_FTR_Orders)="","",INDEX(FTR_Data,ROW()-ROW(Rider_Input[#Headers]),c_FTR_Orders)),""))</f>
        <v/>
      </c>
      <c r="H186" s="155" t="str">
        <f aca="false">IF(Rider_Input[[#This Row],[Rider ID]]="","",IFERROR(ABS(INDEX(RLVL_Data,MATCH(Rider_Input[[#This Row],[Rider ID]],INDEX(RLVL_Data,0,c_RLVL_ID),0),c_RLVL_Missed)),0))</f>
        <v/>
      </c>
      <c r="I186" s="155" t="str">
        <f aca="false">IF(Rider_Input[[#This Row],[Rider ID]]="","",IFERROR(ABS(INDEX(RLVL_Data,MATCH(Rider_Input[[#This Row],[Rider ID]],INDEX(RLVL_Data,0,c_RLVL_ID),0),c_RLVL_Bal)),0))</f>
        <v/>
      </c>
      <c r="J186" s="155" t="str">
        <f aca="false">IF(Rider_Input[[#This Row],[Rider ID]]="","",IFERROR(ABS(INDEX(RLVL_Data,MATCH(Rider_Input[[#This Row],[Rider ID]],INDEX(RLVL_Data,0,c_RLVL_ID),0),c_RLVL_Stack)),0))</f>
        <v/>
      </c>
      <c r="K186" s="155" t="str">
        <f aca="false">IF(Rider_Input[[#This Row],[Rider ID]]="","",SUMIFS(Adj_Input[Other Deductions],Adj_Input[Rider ID],Rider_Input[[#This Row],[Rider ID]]))</f>
        <v/>
      </c>
      <c r="L186" s="154" t="str">
        <f aca="false">IF(Rider_Input[[#This Row],[Rider ID]]="","",IFERROR(INDEX(Adj_Input[Note / Reason],MATCH(Rider_Input[[#This Row],[Rider ID]],Adj_Input[Rider ID],0))&amp;"",""))</f>
        <v/>
      </c>
    </row>
    <row r="187" customFormat="false" ht="14.25" hidden="false" customHeight="false" outlineLevel="0" collapsed="false">
      <c r="A187" s="152" t="str">
        <f aca="false">IF(Rider_Input[[#This Row],[Rider ID]]="","",Salary_Month)</f>
        <v/>
      </c>
      <c r="B187" s="153" t="str">
        <f aca="false">IFERROR(IF(INDEX(FTR_Data,ROW()-ROW(Rider_Input[#Headers]),c_FTR_ID)="","",INDEX(FTR_Data,ROW()-ROW(Rider_Input[#Headers]),c_FTR_ID)),"")</f>
        <v/>
      </c>
      <c r="C18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8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87" s="153" t="str">
        <f aca="false">IF(Rider_Input[[#This Row],[Rider ID]]="","",DAY(EOMONTH(Salary_Month,0)))</f>
        <v/>
      </c>
      <c r="F187" s="153" t="str">
        <f aca="false">IF(Rider_Input[[#This Row],[Rider ID]]="","",IFERROR(IF(INDEX(FTR_Data,ROW()-ROW(Rider_Input[#Headers]),c_FTR_WD)="","",INDEX(FTR_Data,ROW()-ROW(Rider_Input[#Headers]),c_FTR_WD)),""))</f>
        <v/>
      </c>
      <c r="G187" s="153" t="str">
        <f aca="false">IF(Rider_Input[[#This Row],[Rider ID]]="","",IFERROR(IF(INDEX(FTR_Data,ROW()-ROW(Rider_Input[#Headers]),c_FTR_Orders)="","",INDEX(FTR_Data,ROW()-ROW(Rider_Input[#Headers]),c_FTR_Orders)),""))</f>
        <v/>
      </c>
      <c r="H187" s="155" t="str">
        <f aca="false">IF(Rider_Input[[#This Row],[Rider ID]]="","",IFERROR(ABS(INDEX(RLVL_Data,MATCH(Rider_Input[[#This Row],[Rider ID]],INDEX(RLVL_Data,0,c_RLVL_ID),0),c_RLVL_Missed)),0))</f>
        <v/>
      </c>
      <c r="I187" s="155" t="str">
        <f aca="false">IF(Rider_Input[[#This Row],[Rider ID]]="","",IFERROR(ABS(INDEX(RLVL_Data,MATCH(Rider_Input[[#This Row],[Rider ID]],INDEX(RLVL_Data,0,c_RLVL_ID),0),c_RLVL_Bal)),0))</f>
        <v/>
      </c>
      <c r="J187" s="155" t="str">
        <f aca="false">IF(Rider_Input[[#This Row],[Rider ID]]="","",IFERROR(ABS(INDEX(RLVL_Data,MATCH(Rider_Input[[#This Row],[Rider ID]],INDEX(RLVL_Data,0,c_RLVL_ID),0),c_RLVL_Stack)),0))</f>
        <v/>
      </c>
      <c r="K187" s="155" t="str">
        <f aca="false">IF(Rider_Input[[#This Row],[Rider ID]]="","",SUMIFS(Adj_Input[Other Deductions],Adj_Input[Rider ID],Rider_Input[[#This Row],[Rider ID]]))</f>
        <v/>
      </c>
      <c r="L187" s="154" t="str">
        <f aca="false">IF(Rider_Input[[#This Row],[Rider ID]]="","",IFERROR(INDEX(Adj_Input[Note / Reason],MATCH(Rider_Input[[#This Row],[Rider ID]],Adj_Input[Rider ID],0))&amp;"",""))</f>
        <v/>
      </c>
    </row>
    <row r="188" customFormat="false" ht="14.25" hidden="false" customHeight="false" outlineLevel="0" collapsed="false">
      <c r="A188" s="152" t="str">
        <f aca="false">IF(Rider_Input[[#This Row],[Rider ID]]="","",Salary_Month)</f>
        <v/>
      </c>
      <c r="B188" s="153" t="str">
        <f aca="false">IFERROR(IF(INDEX(FTR_Data,ROW()-ROW(Rider_Input[#Headers]),c_FTR_ID)="","",INDEX(FTR_Data,ROW()-ROW(Rider_Input[#Headers]),c_FTR_ID)),"")</f>
        <v/>
      </c>
      <c r="C18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8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88" s="153" t="str">
        <f aca="false">IF(Rider_Input[[#This Row],[Rider ID]]="","",DAY(EOMONTH(Salary_Month,0)))</f>
        <v/>
      </c>
      <c r="F188" s="153" t="str">
        <f aca="false">IF(Rider_Input[[#This Row],[Rider ID]]="","",IFERROR(IF(INDEX(FTR_Data,ROW()-ROW(Rider_Input[#Headers]),c_FTR_WD)="","",INDEX(FTR_Data,ROW()-ROW(Rider_Input[#Headers]),c_FTR_WD)),""))</f>
        <v/>
      </c>
      <c r="G188" s="153" t="str">
        <f aca="false">IF(Rider_Input[[#This Row],[Rider ID]]="","",IFERROR(IF(INDEX(FTR_Data,ROW()-ROW(Rider_Input[#Headers]),c_FTR_Orders)="","",INDEX(FTR_Data,ROW()-ROW(Rider_Input[#Headers]),c_FTR_Orders)),""))</f>
        <v/>
      </c>
      <c r="H188" s="155" t="str">
        <f aca="false">IF(Rider_Input[[#This Row],[Rider ID]]="","",IFERROR(ABS(INDEX(RLVL_Data,MATCH(Rider_Input[[#This Row],[Rider ID]],INDEX(RLVL_Data,0,c_RLVL_ID),0),c_RLVL_Missed)),0))</f>
        <v/>
      </c>
      <c r="I188" s="155" t="str">
        <f aca="false">IF(Rider_Input[[#This Row],[Rider ID]]="","",IFERROR(ABS(INDEX(RLVL_Data,MATCH(Rider_Input[[#This Row],[Rider ID]],INDEX(RLVL_Data,0,c_RLVL_ID),0),c_RLVL_Bal)),0))</f>
        <v/>
      </c>
      <c r="J188" s="155" t="str">
        <f aca="false">IF(Rider_Input[[#This Row],[Rider ID]]="","",IFERROR(ABS(INDEX(RLVL_Data,MATCH(Rider_Input[[#This Row],[Rider ID]],INDEX(RLVL_Data,0,c_RLVL_ID),0),c_RLVL_Stack)),0))</f>
        <v/>
      </c>
      <c r="K188" s="155" t="str">
        <f aca="false">IF(Rider_Input[[#This Row],[Rider ID]]="","",SUMIFS(Adj_Input[Other Deductions],Adj_Input[Rider ID],Rider_Input[[#This Row],[Rider ID]]))</f>
        <v/>
      </c>
      <c r="L188" s="154" t="str">
        <f aca="false">IF(Rider_Input[[#This Row],[Rider ID]]="","",IFERROR(INDEX(Adj_Input[Note / Reason],MATCH(Rider_Input[[#This Row],[Rider ID]],Adj_Input[Rider ID],0))&amp;"",""))</f>
        <v/>
      </c>
    </row>
    <row r="189" customFormat="false" ht="14.25" hidden="false" customHeight="false" outlineLevel="0" collapsed="false">
      <c r="A189" s="152" t="str">
        <f aca="false">IF(Rider_Input[[#This Row],[Rider ID]]="","",Salary_Month)</f>
        <v/>
      </c>
      <c r="B189" s="153" t="str">
        <f aca="false">IFERROR(IF(INDEX(FTR_Data,ROW()-ROW(Rider_Input[#Headers]),c_FTR_ID)="","",INDEX(FTR_Data,ROW()-ROW(Rider_Input[#Headers]),c_FTR_ID)),"")</f>
        <v/>
      </c>
      <c r="C18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8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89" s="153" t="str">
        <f aca="false">IF(Rider_Input[[#This Row],[Rider ID]]="","",DAY(EOMONTH(Salary_Month,0)))</f>
        <v/>
      </c>
      <c r="F189" s="153" t="str">
        <f aca="false">IF(Rider_Input[[#This Row],[Rider ID]]="","",IFERROR(IF(INDEX(FTR_Data,ROW()-ROW(Rider_Input[#Headers]),c_FTR_WD)="","",INDEX(FTR_Data,ROW()-ROW(Rider_Input[#Headers]),c_FTR_WD)),""))</f>
        <v/>
      </c>
      <c r="G189" s="153" t="str">
        <f aca="false">IF(Rider_Input[[#This Row],[Rider ID]]="","",IFERROR(IF(INDEX(FTR_Data,ROW()-ROW(Rider_Input[#Headers]),c_FTR_Orders)="","",INDEX(FTR_Data,ROW()-ROW(Rider_Input[#Headers]),c_FTR_Orders)),""))</f>
        <v/>
      </c>
      <c r="H189" s="155" t="str">
        <f aca="false">IF(Rider_Input[[#This Row],[Rider ID]]="","",IFERROR(ABS(INDEX(RLVL_Data,MATCH(Rider_Input[[#This Row],[Rider ID]],INDEX(RLVL_Data,0,c_RLVL_ID),0),c_RLVL_Missed)),0))</f>
        <v/>
      </c>
      <c r="I189" s="155" t="str">
        <f aca="false">IF(Rider_Input[[#This Row],[Rider ID]]="","",IFERROR(ABS(INDEX(RLVL_Data,MATCH(Rider_Input[[#This Row],[Rider ID]],INDEX(RLVL_Data,0,c_RLVL_ID),0),c_RLVL_Bal)),0))</f>
        <v/>
      </c>
      <c r="J189" s="155" t="str">
        <f aca="false">IF(Rider_Input[[#This Row],[Rider ID]]="","",IFERROR(ABS(INDEX(RLVL_Data,MATCH(Rider_Input[[#This Row],[Rider ID]],INDEX(RLVL_Data,0,c_RLVL_ID),0),c_RLVL_Stack)),0))</f>
        <v/>
      </c>
      <c r="K189" s="155" t="str">
        <f aca="false">IF(Rider_Input[[#This Row],[Rider ID]]="","",SUMIFS(Adj_Input[Other Deductions],Adj_Input[Rider ID],Rider_Input[[#This Row],[Rider ID]]))</f>
        <v/>
      </c>
      <c r="L189" s="154" t="str">
        <f aca="false">IF(Rider_Input[[#This Row],[Rider ID]]="","",IFERROR(INDEX(Adj_Input[Note / Reason],MATCH(Rider_Input[[#This Row],[Rider ID]],Adj_Input[Rider ID],0))&amp;"",""))</f>
        <v/>
      </c>
    </row>
    <row r="190" customFormat="false" ht="14.25" hidden="false" customHeight="false" outlineLevel="0" collapsed="false">
      <c r="A190" s="152" t="str">
        <f aca="false">IF(Rider_Input[[#This Row],[Rider ID]]="","",Salary_Month)</f>
        <v/>
      </c>
      <c r="B190" s="153" t="str">
        <f aca="false">IFERROR(IF(INDEX(FTR_Data,ROW()-ROW(Rider_Input[#Headers]),c_FTR_ID)="","",INDEX(FTR_Data,ROW()-ROW(Rider_Input[#Headers]),c_FTR_ID)),"")</f>
        <v/>
      </c>
      <c r="C19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9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90" s="153" t="str">
        <f aca="false">IF(Rider_Input[[#This Row],[Rider ID]]="","",DAY(EOMONTH(Salary_Month,0)))</f>
        <v/>
      </c>
      <c r="F190" s="153" t="str">
        <f aca="false">IF(Rider_Input[[#This Row],[Rider ID]]="","",IFERROR(IF(INDEX(FTR_Data,ROW()-ROW(Rider_Input[#Headers]),c_FTR_WD)="","",INDEX(FTR_Data,ROW()-ROW(Rider_Input[#Headers]),c_FTR_WD)),""))</f>
        <v/>
      </c>
      <c r="G190" s="153" t="str">
        <f aca="false">IF(Rider_Input[[#This Row],[Rider ID]]="","",IFERROR(IF(INDEX(FTR_Data,ROW()-ROW(Rider_Input[#Headers]),c_FTR_Orders)="","",INDEX(FTR_Data,ROW()-ROW(Rider_Input[#Headers]),c_FTR_Orders)),""))</f>
        <v/>
      </c>
      <c r="H190" s="155" t="str">
        <f aca="false">IF(Rider_Input[[#This Row],[Rider ID]]="","",IFERROR(ABS(INDEX(RLVL_Data,MATCH(Rider_Input[[#This Row],[Rider ID]],INDEX(RLVL_Data,0,c_RLVL_ID),0),c_RLVL_Missed)),0))</f>
        <v/>
      </c>
      <c r="I190" s="155" t="str">
        <f aca="false">IF(Rider_Input[[#This Row],[Rider ID]]="","",IFERROR(ABS(INDEX(RLVL_Data,MATCH(Rider_Input[[#This Row],[Rider ID]],INDEX(RLVL_Data,0,c_RLVL_ID),0),c_RLVL_Bal)),0))</f>
        <v/>
      </c>
      <c r="J190" s="155" t="str">
        <f aca="false">IF(Rider_Input[[#This Row],[Rider ID]]="","",IFERROR(ABS(INDEX(RLVL_Data,MATCH(Rider_Input[[#This Row],[Rider ID]],INDEX(RLVL_Data,0,c_RLVL_ID),0),c_RLVL_Stack)),0))</f>
        <v/>
      </c>
      <c r="K190" s="155" t="str">
        <f aca="false">IF(Rider_Input[[#This Row],[Rider ID]]="","",SUMIFS(Adj_Input[Other Deductions],Adj_Input[Rider ID],Rider_Input[[#This Row],[Rider ID]]))</f>
        <v/>
      </c>
      <c r="L190" s="154" t="str">
        <f aca="false">IF(Rider_Input[[#This Row],[Rider ID]]="","",IFERROR(INDEX(Adj_Input[Note / Reason],MATCH(Rider_Input[[#This Row],[Rider ID]],Adj_Input[Rider ID],0))&amp;"",""))</f>
        <v/>
      </c>
    </row>
    <row r="191" customFormat="false" ht="14.25" hidden="false" customHeight="false" outlineLevel="0" collapsed="false">
      <c r="A191" s="152" t="str">
        <f aca="false">IF(Rider_Input[[#This Row],[Rider ID]]="","",Salary_Month)</f>
        <v/>
      </c>
      <c r="B191" s="153" t="str">
        <f aca="false">IFERROR(IF(INDEX(FTR_Data,ROW()-ROW(Rider_Input[#Headers]),c_FTR_ID)="","",INDEX(FTR_Data,ROW()-ROW(Rider_Input[#Headers]),c_FTR_ID)),"")</f>
        <v/>
      </c>
      <c r="C19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9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91" s="153" t="str">
        <f aca="false">IF(Rider_Input[[#This Row],[Rider ID]]="","",DAY(EOMONTH(Salary_Month,0)))</f>
        <v/>
      </c>
      <c r="F191" s="153" t="str">
        <f aca="false">IF(Rider_Input[[#This Row],[Rider ID]]="","",IFERROR(IF(INDEX(FTR_Data,ROW()-ROW(Rider_Input[#Headers]),c_FTR_WD)="","",INDEX(FTR_Data,ROW()-ROW(Rider_Input[#Headers]),c_FTR_WD)),""))</f>
        <v/>
      </c>
      <c r="G191" s="153" t="str">
        <f aca="false">IF(Rider_Input[[#This Row],[Rider ID]]="","",IFERROR(IF(INDEX(FTR_Data,ROW()-ROW(Rider_Input[#Headers]),c_FTR_Orders)="","",INDEX(FTR_Data,ROW()-ROW(Rider_Input[#Headers]),c_FTR_Orders)),""))</f>
        <v/>
      </c>
      <c r="H191" s="155" t="str">
        <f aca="false">IF(Rider_Input[[#This Row],[Rider ID]]="","",IFERROR(ABS(INDEX(RLVL_Data,MATCH(Rider_Input[[#This Row],[Rider ID]],INDEX(RLVL_Data,0,c_RLVL_ID),0),c_RLVL_Missed)),0))</f>
        <v/>
      </c>
      <c r="I191" s="155" t="str">
        <f aca="false">IF(Rider_Input[[#This Row],[Rider ID]]="","",IFERROR(ABS(INDEX(RLVL_Data,MATCH(Rider_Input[[#This Row],[Rider ID]],INDEX(RLVL_Data,0,c_RLVL_ID),0),c_RLVL_Bal)),0))</f>
        <v/>
      </c>
      <c r="J191" s="155" t="str">
        <f aca="false">IF(Rider_Input[[#This Row],[Rider ID]]="","",IFERROR(ABS(INDEX(RLVL_Data,MATCH(Rider_Input[[#This Row],[Rider ID]],INDEX(RLVL_Data,0,c_RLVL_ID),0),c_RLVL_Stack)),0))</f>
        <v/>
      </c>
      <c r="K191" s="155" t="str">
        <f aca="false">IF(Rider_Input[[#This Row],[Rider ID]]="","",SUMIFS(Adj_Input[Other Deductions],Adj_Input[Rider ID],Rider_Input[[#This Row],[Rider ID]]))</f>
        <v/>
      </c>
      <c r="L191" s="154" t="str">
        <f aca="false">IF(Rider_Input[[#This Row],[Rider ID]]="","",IFERROR(INDEX(Adj_Input[Note / Reason],MATCH(Rider_Input[[#This Row],[Rider ID]],Adj_Input[Rider ID],0))&amp;"",""))</f>
        <v/>
      </c>
    </row>
    <row r="192" customFormat="false" ht="14.25" hidden="false" customHeight="false" outlineLevel="0" collapsed="false">
      <c r="A192" s="152" t="str">
        <f aca="false">IF(Rider_Input[[#This Row],[Rider ID]]="","",Salary_Month)</f>
        <v/>
      </c>
      <c r="B192" s="153" t="str">
        <f aca="false">IFERROR(IF(INDEX(FTR_Data,ROW()-ROW(Rider_Input[#Headers]),c_FTR_ID)="","",INDEX(FTR_Data,ROW()-ROW(Rider_Input[#Headers]),c_FTR_ID)),"")</f>
        <v/>
      </c>
      <c r="C19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9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92" s="153" t="str">
        <f aca="false">IF(Rider_Input[[#This Row],[Rider ID]]="","",DAY(EOMONTH(Salary_Month,0)))</f>
        <v/>
      </c>
      <c r="F192" s="153" t="str">
        <f aca="false">IF(Rider_Input[[#This Row],[Rider ID]]="","",IFERROR(IF(INDEX(FTR_Data,ROW()-ROW(Rider_Input[#Headers]),c_FTR_WD)="","",INDEX(FTR_Data,ROW()-ROW(Rider_Input[#Headers]),c_FTR_WD)),""))</f>
        <v/>
      </c>
      <c r="G192" s="153" t="str">
        <f aca="false">IF(Rider_Input[[#This Row],[Rider ID]]="","",IFERROR(IF(INDEX(FTR_Data,ROW()-ROW(Rider_Input[#Headers]),c_FTR_Orders)="","",INDEX(FTR_Data,ROW()-ROW(Rider_Input[#Headers]),c_FTR_Orders)),""))</f>
        <v/>
      </c>
      <c r="H192" s="155" t="str">
        <f aca="false">IF(Rider_Input[[#This Row],[Rider ID]]="","",IFERROR(ABS(INDEX(RLVL_Data,MATCH(Rider_Input[[#This Row],[Rider ID]],INDEX(RLVL_Data,0,c_RLVL_ID),0),c_RLVL_Missed)),0))</f>
        <v/>
      </c>
      <c r="I192" s="155" t="str">
        <f aca="false">IF(Rider_Input[[#This Row],[Rider ID]]="","",IFERROR(ABS(INDEX(RLVL_Data,MATCH(Rider_Input[[#This Row],[Rider ID]],INDEX(RLVL_Data,0,c_RLVL_ID),0),c_RLVL_Bal)),0))</f>
        <v/>
      </c>
      <c r="J192" s="155" t="str">
        <f aca="false">IF(Rider_Input[[#This Row],[Rider ID]]="","",IFERROR(ABS(INDEX(RLVL_Data,MATCH(Rider_Input[[#This Row],[Rider ID]],INDEX(RLVL_Data,0,c_RLVL_ID),0),c_RLVL_Stack)),0))</f>
        <v/>
      </c>
      <c r="K192" s="155" t="str">
        <f aca="false">IF(Rider_Input[[#This Row],[Rider ID]]="","",SUMIFS(Adj_Input[Other Deductions],Adj_Input[Rider ID],Rider_Input[[#This Row],[Rider ID]]))</f>
        <v/>
      </c>
      <c r="L192" s="154" t="str">
        <f aca="false">IF(Rider_Input[[#This Row],[Rider ID]]="","",IFERROR(INDEX(Adj_Input[Note / Reason],MATCH(Rider_Input[[#This Row],[Rider ID]],Adj_Input[Rider ID],0))&amp;"",""))</f>
        <v/>
      </c>
    </row>
    <row r="193" customFormat="false" ht="14.25" hidden="false" customHeight="false" outlineLevel="0" collapsed="false">
      <c r="A193" s="152" t="str">
        <f aca="false">IF(Rider_Input[[#This Row],[Rider ID]]="","",Salary_Month)</f>
        <v/>
      </c>
      <c r="B193" s="153" t="str">
        <f aca="false">IFERROR(IF(INDEX(FTR_Data,ROW()-ROW(Rider_Input[#Headers]),c_FTR_ID)="","",INDEX(FTR_Data,ROW()-ROW(Rider_Input[#Headers]),c_FTR_ID)),"")</f>
        <v/>
      </c>
      <c r="C19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9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93" s="153" t="str">
        <f aca="false">IF(Rider_Input[[#This Row],[Rider ID]]="","",DAY(EOMONTH(Salary_Month,0)))</f>
        <v/>
      </c>
      <c r="F193" s="153" t="str">
        <f aca="false">IF(Rider_Input[[#This Row],[Rider ID]]="","",IFERROR(IF(INDEX(FTR_Data,ROW()-ROW(Rider_Input[#Headers]),c_FTR_WD)="","",INDEX(FTR_Data,ROW()-ROW(Rider_Input[#Headers]),c_FTR_WD)),""))</f>
        <v/>
      </c>
      <c r="G193" s="153" t="str">
        <f aca="false">IF(Rider_Input[[#This Row],[Rider ID]]="","",IFERROR(IF(INDEX(FTR_Data,ROW()-ROW(Rider_Input[#Headers]),c_FTR_Orders)="","",INDEX(FTR_Data,ROW()-ROW(Rider_Input[#Headers]),c_FTR_Orders)),""))</f>
        <v/>
      </c>
      <c r="H193" s="155" t="str">
        <f aca="false">IF(Rider_Input[[#This Row],[Rider ID]]="","",IFERROR(ABS(INDEX(RLVL_Data,MATCH(Rider_Input[[#This Row],[Rider ID]],INDEX(RLVL_Data,0,c_RLVL_ID),0),c_RLVL_Missed)),0))</f>
        <v/>
      </c>
      <c r="I193" s="155" t="str">
        <f aca="false">IF(Rider_Input[[#This Row],[Rider ID]]="","",IFERROR(ABS(INDEX(RLVL_Data,MATCH(Rider_Input[[#This Row],[Rider ID]],INDEX(RLVL_Data,0,c_RLVL_ID),0),c_RLVL_Bal)),0))</f>
        <v/>
      </c>
      <c r="J193" s="155" t="str">
        <f aca="false">IF(Rider_Input[[#This Row],[Rider ID]]="","",IFERROR(ABS(INDEX(RLVL_Data,MATCH(Rider_Input[[#This Row],[Rider ID]],INDEX(RLVL_Data,0,c_RLVL_ID),0),c_RLVL_Stack)),0))</f>
        <v/>
      </c>
      <c r="K193" s="155" t="str">
        <f aca="false">IF(Rider_Input[[#This Row],[Rider ID]]="","",SUMIFS(Adj_Input[Other Deductions],Adj_Input[Rider ID],Rider_Input[[#This Row],[Rider ID]]))</f>
        <v/>
      </c>
      <c r="L193" s="154" t="str">
        <f aca="false">IF(Rider_Input[[#This Row],[Rider ID]]="","",IFERROR(INDEX(Adj_Input[Note / Reason],MATCH(Rider_Input[[#This Row],[Rider ID]],Adj_Input[Rider ID],0))&amp;"",""))</f>
        <v/>
      </c>
    </row>
    <row r="194" customFormat="false" ht="14.25" hidden="false" customHeight="false" outlineLevel="0" collapsed="false">
      <c r="A194" s="152" t="str">
        <f aca="false">IF(Rider_Input[[#This Row],[Rider ID]]="","",Salary_Month)</f>
        <v/>
      </c>
      <c r="B194" s="153" t="str">
        <f aca="false">IFERROR(IF(INDEX(FTR_Data,ROW()-ROW(Rider_Input[#Headers]),c_FTR_ID)="","",INDEX(FTR_Data,ROW()-ROW(Rider_Input[#Headers]),c_FTR_ID)),"")</f>
        <v/>
      </c>
      <c r="C19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9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94" s="153" t="str">
        <f aca="false">IF(Rider_Input[[#This Row],[Rider ID]]="","",DAY(EOMONTH(Salary_Month,0)))</f>
        <v/>
      </c>
      <c r="F194" s="153" t="str">
        <f aca="false">IF(Rider_Input[[#This Row],[Rider ID]]="","",IFERROR(IF(INDEX(FTR_Data,ROW()-ROW(Rider_Input[#Headers]),c_FTR_WD)="","",INDEX(FTR_Data,ROW()-ROW(Rider_Input[#Headers]),c_FTR_WD)),""))</f>
        <v/>
      </c>
      <c r="G194" s="153" t="str">
        <f aca="false">IF(Rider_Input[[#This Row],[Rider ID]]="","",IFERROR(IF(INDEX(FTR_Data,ROW()-ROW(Rider_Input[#Headers]),c_FTR_Orders)="","",INDEX(FTR_Data,ROW()-ROW(Rider_Input[#Headers]),c_FTR_Orders)),""))</f>
        <v/>
      </c>
      <c r="H194" s="155" t="str">
        <f aca="false">IF(Rider_Input[[#This Row],[Rider ID]]="","",IFERROR(ABS(INDEX(RLVL_Data,MATCH(Rider_Input[[#This Row],[Rider ID]],INDEX(RLVL_Data,0,c_RLVL_ID),0),c_RLVL_Missed)),0))</f>
        <v/>
      </c>
      <c r="I194" s="155" t="str">
        <f aca="false">IF(Rider_Input[[#This Row],[Rider ID]]="","",IFERROR(ABS(INDEX(RLVL_Data,MATCH(Rider_Input[[#This Row],[Rider ID]],INDEX(RLVL_Data,0,c_RLVL_ID),0),c_RLVL_Bal)),0))</f>
        <v/>
      </c>
      <c r="J194" s="155" t="str">
        <f aca="false">IF(Rider_Input[[#This Row],[Rider ID]]="","",IFERROR(ABS(INDEX(RLVL_Data,MATCH(Rider_Input[[#This Row],[Rider ID]],INDEX(RLVL_Data,0,c_RLVL_ID),0),c_RLVL_Stack)),0))</f>
        <v/>
      </c>
      <c r="K194" s="155" t="str">
        <f aca="false">IF(Rider_Input[[#This Row],[Rider ID]]="","",SUMIFS(Adj_Input[Other Deductions],Adj_Input[Rider ID],Rider_Input[[#This Row],[Rider ID]]))</f>
        <v/>
      </c>
      <c r="L194" s="154" t="str">
        <f aca="false">IF(Rider_Input[[#This Row],[Rider ID]]="","",IFERROR(INDEX(Adj_Input[Note / Reason],MATCH(Rider_Input[[#This Row],[Rider ID]],Adj_Input[Rider ID],0))&amp;"",""))</f>
        <v/>
      </c>
    </row>
    <row r="195" customFormat="false" ht="14.25" hidden="false" customHeight="false" outlineLevel="0" collapsed="false">
      <c r="A195" s="152" t="str">
        <f aca="false">IF(Rider_Input[[#This Row],[Rider ID]]="","",Salary_Month)</f>
        <v/>
      </c>
      <c r="B195" s="153" t="str">
        <f aca="false">IFERROR(IF(INDEX(FTR_Data,ROW()-ROW(Rider_Input[#Headers]),c_FTR_ID)="","",INDEX(FTR_Data,ROW()-ROW(Rider_Input[#Headers]),c_FTR_ID)),"")</f>
        <v/>
      </c>
      <c r="C19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9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95" s="153" t="str">
        <f aca="false">IF(Rider_Input[[#This Row],[Rider ID]]="","",DAY(EOMONTH(Salary_Month,0)))</f>
        <v/>
      </c>
      <c r="F195" s="153" t="str">
        <f aca="false">IF(Rider_Input[[#This Row],[Rider ID]]="","",IFERROR(IF(INDEX(FTR_Data,ROW()-ROW(Rider_Input[#Headers]),c_FTR_WD)="","",INDEX(FTR_Data,ROW()-ROW(Rider_Input[#Headers]),c_FTR_WD)),""))</f>
        <v/>
      </c>
      <c r="G195" s="153" t="str">
        <f aca="false">IF(Rider_Input[[#This Row],[Rider ID]]="","",IFERROR(IF(INDEX(FTR_Data,ROW()-ROW(Rider_Input[#Headers]),c_FTR_Orders)="","",INDEX(FTR_Data,ROW()-ROW(Rider_Input[#Headers]),c_FTR_Orders)),""))</f>
        <v/>
      </c>
      <c r="H195" s="155" t="str">
        <f aca="false">IF(Rider_Input[[#This Row],[Rider ID]]="","",IFERROR(ABS(INDEX(RLVL_Data,MATCH(Rider_Input[[#This Row],[Rider ID]],INDEX(RLVL_Data,0,c_RLVL_ID),0),c_RLVL_Missed)),0))</f>
        <v/>
      </c>
      <c r="I195" s="155" t="str">
        <f aca="false">IF(Rider_Input[[#This Row],[Rider ID]]="","",IFERROR(ABS(INDEX(RLVL_Data,MATCH(Rider_Input[[#This Row],[Rider ID]],INDEX(RLVL_Data,0,c_RLVL_ID),0),c_RLVL_Bal)),0))</f>
        <v/>
      </c>
      <c r="J195" s="155" t="str">
        <f aca="false">IF(Rider_Input[[#This Row],[Rider ID]]="","",IFERROR(ABS(INDEX(RLVL_Data,MATCH(Rider_Input[[#This Row],[Rider ID]],INDEX(RLVL_Data,0,c_RLVL_ID),0),c_RLVL_Stack)),0))</f>
        <v/>
      </c>
      <c r="K195" s="155" t="str">
        <f aca="false">IF(Rider_Input[[#This Row],[Rider ID]]="","",SUMIFS(Adj_Input[Other Deductions],Adj_Input[Rider ID],Rider_Input[[#This Row],[Rider ID]]))</f>
        <v/>
      </c>
      <c r="L195" s="154" t="str">
        <f aca="false">IF(Rider_Input[[#This Row],[Rider ID]]="","",IFERROR(INDEX(Adj_Input[Note / Reason],MATCH(Rider_Input[[#This Row],[Rider ID]],Adj_Input[Rider ID],0))&amp;"",""))</f>
        <v/>
      </c>
    </row>
    <row r="196" customFormat="false" ht="14.25" hidden="false" customHeight="false" outlineLevel="0" collapsed="false">
      <c r="A196" s="152" t="str">
        <f aca="false">IF(Rider_Input[[#This Row],[Rider ID]]="","",Salary_Month)</f>
        <v/>
      </c>
      <c r="B196" s="153" t="str">
        <f aca="false">IFERROR(IF(INDEX(FTR_Data,ROW()-ROW(Rider_Input[#Headers]),c_FTR_ID)="","",INDEX(FTR_Data,ROW()-ROW(Rider_Input[#Headers]),c_FTR_ID)),"")</f>
        <v/>
      </c>
      <c r="C19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9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96" s="153" t="str">
        <f aca="false">IF(Rider_Input[[#This Row],[Rider ID]]="","",DAY(EOMONTH(Salary_Month,0)))</f>
        <v/>
      </c>
      <c r="F196" s="153" t="str">
        <f aca="false">IF(Rider_Input[[#This Row],[Rider ID]]="","",IFERROR(IF(INDEX(FTR_Data,ROW()-ROW(Rider_Input[#Headers]),c_FTR_WD)="","",INDEX(FTR_Data,ROW()-ROW(Rider_Input[#Headers]),c_FTR_WD)),""))</f>
        <v/>
      </c>
      <c r="G196" s="153" t="str">
        <f aca="false">IF(Rider_Input[[#This Row],[Rider ID]]="","",IFERROR(IF(INDEX(FTR_Data,ROW()-ROW(Rider_Input[#Headers]),c_FTR_Orders)="","",INDEX(FTR_Data,ROW()-ROW(Rider_Input[#Headers]),c_FTR_Orders)),""))</f>
        <v/>
      </c>
      <c r="H196" s="155" t="str">
        <f aca="false">IF(Rider_Input[[#This Row],[Rider ID]]="","",IFERROR(ABS(INDEX(RLVL_Data,MATCH(Rider_Input[[#This Row],[Rider ID]],INDEX(RLVL_Data,0,c_RLVL_ID),0),c_RLVL_Missed)),0))</f>
        <v/>
      </c>
      <c r="I196" s="155" t="str">
        <f aca="false">IF(Rider_Input[[#This Row],[Rider ID]]="","",IFERROR(ABS(INDEX(RLVL_Data,MATCH(Rider_Input[[#This Row],[Rider ID]],INDEX(RLVL_Data,0,c_RLVL_ID),0),c_RLVL_Bal)),0))</f>
        <v/>
      </c>
      <c r="J196" s="155" t="str">
        <f aca="false">IF(Rider_Input[[#This Row],[Rider ID]]="","",IFERROR(ABS(INDEX(RLVL_Data,MATCH(Rider_Input[[#This Row],[Rider ID]],INDEX(RLVL_Data,0,c_RLVL_ID),0),c_RLVL_Stack)),0))</f>
        <v/>
      </c>
      <c r="K196" s="155" t="str">
        <f aca="false">IF(Rider_Input[[#This Row],[Rider ID]]="","",SUMIFS(Adj_Input[Other Deductions],Adj_Input[Rider ID],Rider_Input[[#This Row],[Rider ID]]))</f>
        <v/>
      </c>
      <c r="L196" s="154" t="str">
        <f aca="false">IF(Rider_Input[[#This Row],[Rider ID]]="","",IFERROR(INDEX(Adj_Input[Note / Reason],MATCH(Rider_Input[[#This Row],[Rider ID]],Adj_Input[Rider ID],0))&amp;"",""))</f>
        <v/>
      </c>
    </row>
    <row r="197" customFormat="false" ht="14.25" hidden="false" customHeight="false" outlineLevel="0" collapsed="false">
      <c r="A197" s="152" t="str">
        <f aca="false">IF(Rider_Input[[#This Row],[Rider ID]]="","",Salary_Month)</f>
        <v/>
      </c>
      <c r="B197" s="153" t="str">
        <f aca="false">IFERROR(IF(INDEX(FTR_Data,ROW()-ROW(Rider_Input[#Headers]),c_FTR_ID)="","",INDEX(FTR_Data,ROW()-ROW(Rider_Input[#Headers]),c_FTR_ID)),"")</f>
        <v/>
      </c>
      <c r="C19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9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97" s="153" t="str">
        <f aca="false">IF(Rider_Input[[#This Row],[Rider ID]]="","",DAY(EOMONTH(Salary_Month,0)))</f>
        <v/>
      </c>
      <c r="F197" s="153" t="str">
        <f aca="false">IF(Rider_Input[[#This Row],[Rider ID]]="","",IFERROR(IF(INDEX(FTR_Data,ROW()-ROW(Rider_Input[#Headers]),c_FTR_WD)="","",INDEX(FTR_Data,ROW()-ROW(Rider_Input[#Headers]),c_FTR_WD)),""))</f>
        <v/>
      </c>
      <c r="G197" s="153" t="str">
        <f aca="false">IF(Rider_Input[[#This Row],[Rider ID]]="","",IFERROR(IF(INDEX(FTR_Data,ROW()-ROW(Rider_Input[#Headers]),c_FTR_Orders)="","",INDEX(FTR_Data,ROW()-ROW(Rider_Input[#Headers]),c_FTR_Orders)),""))</f>
        <v/>
      </c>
      <c r="H197" s="155" t="str">
        <f aca="false">IF(Rider_Input[[#This Row],[Rider ID]]="","",IFERROR(ABS(INDEX(RLVL_Data,MATCH(Rider_Input[[#This Row],[Rider ID]],INDEX(RLVL_Data,0,c_RLVL_ID),0),c_RLVL_Missed)),0))</f>
        <v/>
      </c>
      <c r="I197" s="155" t="str">
        <f aca="false">IF(Rider_Input[[#This Row],[Rider ID]]="","",IFERROR(ABS(INDEX(RLVL_Data,MATCH(Rider_Input[[#This Row],[Rider ID]],INDEX(RLVL_Data,0,c_RLVL_ID),0),c_RLVL_Bal)),0))</f>
        <v/>
      </c>
      <c r="J197" s="155" t="str">
        <f aca="false">IF(Rider_Input[[#This Row],[Rider ID]]="","",IFERROR(ABS(INDEX(RLVL_Data,MATCH(Rider_Input[[#This Row],[Rider ID]],INDEX(RLVL_Data,0,c_RLVL_ID),0),c_RLVL_Stack)),0))</f>
        <v/>
      </c>
      <c r="K197" s="155" t="str">
        <f aca="false">IF(Rider_Input[[#This Row],[Rider ID]]="","",SUMIFS(Adj_Input[Other Deductions],Adj_Input[Rider ID],Rider_Input[[#This Row],[Rider ID]]))</f>
        <v/>
      </c>
      <c r="L197" s="154" t="str">
        <f aca="false">IF(Rider_Input[[#This Row],[Rider ID]]="","",IFERROR(INDEX(Adj_Input[Note / Reason],MATCH(Rider_Input[[#This Row],[Rider ID]],Adj_Input[Rider ID],0))&amp;"",""))</f>
        <v/>
      </c>
    </row>
    <row r="198" customFormat="false" ht="14.25" hidden="false" customHeight="false" outlineLevel="0" collapsed="false">
      <c r="A198" s="152" t="str">
        <f aca="false">IF(Rider_Input[[#This Row],[Rider ID]]="","",Salary_Month)</f>
        <v/>
      </c>
      <c r="B198" s="153" t="str">
        <f aca="false">IFERROR(IF(INDEX(FTR_Data,ROW()-ROW(Rider_Input[#Headers]),c_FTR_ID)="","",INDEX(FTR_Data,ROW()-ROW(Rider_Input[#Headers]),c_FTR_ID)),"")</f>
        <v/>
      </c>
      <c r="C19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9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98" s="153" t="str">
        <f aca="false">IF(Rider_Input[[#This Row],[Rider ID]]="","",DAY(EOMONTH(Salary_Month,0)))</f>
        <v/>
      </c>
      <c r="F198" s="153" t="str">
        <f aca="false">IF(Rider_Input[[#This Row],[Rider ID]]="","",IFERROR(IF(INDEX(FTR_Data,ROW()-ROW(Rider_Input[#Headers]),c_FTR_WD)="","",INDEX(FTR_Data,ROW()-ROW(Rider_Input[#Headers]),c_FTR_WD)),""))</f>
        <v/>
      </c>
      <c r="G198" s="153" t="str">
        <f aca="false">IF(Rider_Input[[#This Row],[Rider ID]]="","",IFERROR(IF(INDEX(FTR_Data,ROW()-ROW(Rider_Input[#Headers]),c_FTR_Orders)="","",INDEX(FTR_Data,ROW()-ROW(Rider_Input[#Headers]),c_FTR_Orders)),""))</f>
        <v/>
      </c>
      <c r="H198" s="155" t="str">
        <f aca="false">IF(Rider_Input[[#This Row],[Rider ID]]="","",IFERROR(ABS(INDEX(RLVL_Data,MATCH(Rider_Input[[#This Row],[Rider ID]],INDEX(RLVL_Data,0,c_RLVL_ID),0),c_RLVL_Missed)),0))</f>
        <v/>
      </c>
      <c r="I198" s="155" t="str">
        <f aca="false">IF(Rider_Input[[#This Row],[Rider ID]]="","",IFERROR(ABS(INDEX(RLVL_Data,MATCH(Rider_Input[[#This Row],[Rider ID]],INDEX(RLVL_Data,0,c_RLVL_ID),0),c_RLVL_Bal)),0))</f>
        <v/>
      </c>
      <c r="J198" s="155" t="str">
        <f aca="false">IF(Rider_Input[[#This Row],[Rider ID]]="","",IFERROR(ABS(INDEX(RLVL_Data,MATCH(Rider_Input[[#This Row],[Rider ID]],INDEX(RLVL_Data,0,c_RLVL_ID),0),c_RLVL_Stack)),0))</f>
        <v/>
      </c>
      <c r="K198" s="155" t="str">
        <f aca="false">IF(Rider_Input[[#This Row],[Rider ID]]="","",SUMIFS(Adj_Input[Other Deductions],Adj_Input[Rider ID],Rider_Input[[#This Row],[Rider ID]]))</f>
        <v/>
      </c>
      <c r="L198" s="154" t="str">
        <f aca="false">IF(Rider_Input[[#This Row],[Rider ID]]="","",IFERROR(INDEX(Adj_Input[Note / Reason],MATCH(Rider_Input[[#This Row],[Rider ID]],Adj_Input[Rider ID],0))&amp;"",""))</f>
        <v/>
      </c>
    </row>
    <row r="199" customFormat="false" ht="14.25" hidden="false" customHeight="false" outlineLevel="0" collapsed="false">
      <c r="A199" s="152" t="str">
        <f aca="false">IF(Rider_Input[[#This Row],[Rider ID]]="","",Salary_Month)</f>
        <v/>
      </c>
      <c r="B199" s="153" t="str">
        <f aca="false">IFERROR(IF(INDEX(FTR_Data,ROW()-ROW(Rider_Input[#Headers]),c_FTR_ID)="","",INDEX(FTR_Data,ROW()-ROW(Rider_Input[#Headers]),c_FTR_ID)),"")</f>
        <v/>
      </c>
      <c r="C19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19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199" s="153" t="str">
        <f aca="false">IF(Rider_Input[[#This Row],[Rider ID]]="","",DAY(EOMONTH(Salary_Month,0)))</f>
        <v/>
      </c>
      <c r="F199" s="153" t="str">
        <f aca="false">IF(Rider_Input[[#This Row],[Rider ID]]="","",IFERROR(IF(INDEX(FTR_Data,ROW()-ROW(Rider_Input[#Headers]),c_FTR_WD)="","",INDEX(FTR_Data,ROW()-ROW(Rider_Input[#Headers]),c_FTR_WD)),""))</f>
        <v/>
      </c>
      <c r="G199" s="153" t="str">
        <f aca="false">IF(Rider_Input[[#This Row],[Rider ID]]="","",IFERROR(IF(INDEX(FTR_Data,ROW()-ROW(Rider_Input[#Headers]),c_FTR_Orders)="","",INDEX(FTR_Data,ROW()-ROW(Rider_Input[#Headers]),c_FTR_Orders)),""))</f>
        <v/>
      </c>
      <c r="H199" s="155" t="str">
        <f aca="false">IF(Rider_Input[[#This Row],[Rider ID]]="","",IFERROR(ABS(INDEX(RLVL_Data,MATCH(Rider_Input[[#This Row],[Rider ID]],INDEX(RLVL_Data,0,c_RLVL_ID),0),c_RLVL_Missed)),0))</f>
        <v/>
      </c>
      <c r="I199" s="155" t="str">
        <f aca="false">IF(Rider_Input[[#This Row],[Rider ID]]="","",IFERROR(ABS(INDEX(RLVL_Data,MATCH(Rider_Input[[#This Row],[Rider ID]],INDEX(RLVL_Data,0,c_RLVL_ID),0),c_RLVL_Bal)),0))</f>
        <v/>
      </c>
      <c r="J199" s="155" t="str">
        <f aca="false">IF(Rider_Input[[#This Row],[Rider ID]]="","",IFERROR(ABS(INDEX(RLVL_Data,MATCH(Rider_Input[[#This Row],[Rider ID]],INDEX(RLVL_Data,0,c_RLVL_ID),0),c_RLVL_Stack)),0))</f>
        <v/>
      </c>
      <c r="K199" s="155" t="str">
        <f aca="false">IF(Rider_Input[[#This Row],[Rider ID]]="","",SUMIFS(Adj_Input[Other Deductions],Adj_Input[Rider ID],Rider_Input[[#This Row],[Rider ID]]))</f>
        <v/>
      </c>
      <c r="L199" s="154" t="str">
        <f aca="false">IF(Rider_Input[[#This Row],[Rider ID]]="","",IFERROR(INDEX(Adj_Input[Note / Reason],MATCH(Rider_Input[[#This Row],[Rider ID]],Adj_Input[Rider ID],0))&amp;"",""))</f>
        <v/>
      </c>
    </row>
    <row r="200" customFormat="false" ht="14.25" hidden="false" customHeight="false" outlineLevel="0" collapsed="false">
      <c r="A200" s="152" t="str">
        <f aca="false">IF(Rider_Input[[#This Row],[Rider ID]]="","",Salary_Month)</f>
        <v/>
      </c>
      <c r="B200" s="153" t="str">
        <f aca="false">IFERROR(IF(INDEX(FTR_Data,ROW()-ROW(Rider_Input[#Headers]),c_FTR_ID)="","",INDEX(FTR_Data,ROW()-ROW(Rider_Input[#Headers]),c_FTR_ID)),"")</f>
        <v/>
      </c>
      <c r="C20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0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00" s="153" t="str">
        <f aca="false">IF(Rider_Input[[#This Row],[Rider ID]]="","",DAY(EOMONTH(Salary_Month,0)))</f>
        <v/>
      </c>
      <c r="F200" s="153" t="str">
        <f aca="false">IF(Rider_Input[[#This Row],[Rider ID]]="","",IFERROR(IF(INDEX(FTR_Data,ROW()-ROW(Rider_Input[#Headers]),c_FTR_WD)="","",INDEX(FTR_Data,ROW()-ROW(Rider_Input[#Headers]),c_FTR_WD)),""))</f>
        <v/>
      </c>
      <c r="G200" s="153" t="str">
        <f aca="false">IF(Rider_Input[[#This Row],[Rider ID]]="","",IFERROR(IF(INDEX(FTR_Data,ROW()-ROW(Rider_Input[#Headers]),c_FTR_Orders)="","",INDEX(FTR_Data,ROW()-ROW(Rider_Input[#Headers]),c_FTR_Orders)),""))</f>
        <v/>
      </c>
      <c r="H200" s="155" t="str">
        <f aca="false">IF(Rider_Input[[#This Row],[Rider ID]]="","",IFERROR(ABS(INDEX(RLVL_Data,MATCH(Rider_Input[[#This Row],[Rider ID]],INDEX(RLVL_Data,0,c_RLVL_ID),0),c_RLVL_Missed)),0))</f>
        <v/>
      </c>
      <c r="I200" s="155" t="str">
        <f aca="false">IF(Rider_Input[[#This Row],[Rider ID]]="","",IFERROR(ABS(INDEX(RLVL_Data,MATCH(Rider_Input[[#This Row],[Rider ID]],INDEX(RLVL_Data,0,c_RLVL_ID),0),c_RLVL_Bal)),0))</f>
        <v/>
      </c>
      <c r="J200" s="155" t="str">
        <f aca="false">IF(Rider_Input[[#This Row],[Rider ID]]="","",IFERROR(ABS(INDEX(RLVL_Data,MATCH(Rider_Input[[#This Row],[Rider ID]],INDEX(RLVL_Data,0,c_RLVL_ID),0),c_RLVL_Stack)),0))</f>
        <v/>
      </c>
      <c r="K200" s="155" t="str">
        <f aca="false">IF(Rider_Input[[#This Row],[Rider ID]]="","",SUMIFS(Adj_Input[Other Deductions],Adj_Input[Rider ID],Rider_Input[[#This Row],[Rider ID]]))</f>
        <v/>
      </c>
      <c r="L200" s="154" t="str">
        <f aca="false">IF(Rider_Input[[#This Row],[Rider ID]]="","",IFERROR(INDEX(Adj_Input[Note / Reason],MATCH(Rider_Input[[#This Row],[Rider ID]],Adj_Input[Rider ID],0))&amp;"",""))</f>
        <v/>
      </c>
    </row>
    <row r="201" customFormat="false" ht="14.25" hidden="false" customHeight="false" outlineLevel="0" collapsed="false">
      <c r="A201" s="152" t="str">
        <f aca="false">IF(Rider_Input[[#This Row],[Rider ID]]="","",Salary_Month)</f>
        <v/>
      </c>
      <c r="B201" s="153" t="str">
        <f aca="false">IFERROR(IF(INDEX(FTR_Data,ROW()-ROW(Rider_Input[#Headers]),c_FTR_ID)="","",INDEX(FTR_Data,ROW()-ROW(Rider_Input[#Headers]),c_FTR_ID)),"")</f>
        <v/>
      </c>
      <c r="C20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0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01" s="153" t="str">
        <f aca="false">IF(Rider_Input[[#This Row],[Rider ID]]="","",DAY(EOMONTH(Salary_Month,0)))</f>
        <v/>
      </c>
      <c r="F201" s="153" t="str">
        <f aca="false">IF(Rider_Input[[#This Row],[Rider ID]]="","",IFERROR(IF(INDEX(FTR_Data,ROW()-ROW(Rider_Input[#Headers]),c_FTR_WD)="","",INDEX(FTR_Data,ROW()-ROW(Rider_Input[#Headers]),c_FTR_WD)),""))</f>
        <v/>
      </c>
      <c r="G201" s="153" t="str">
        <f aca="false">IF(Rider_Input[[#This Row],[Rider ID]]="","",IFERROR(IF(INDEX(FTR_Data,ROW()-ROW(Rider_Input[#Headers]),c_FTR_Orders)="","",INDEX(FTR_Data,ROW()-ROW(Rider_Input[#Headers]),c_FTR_Orders)),""))</f>
        <v/>
      </c>
      <c r="H201" s="155" t="str">
        <f aca="false">IF(Rider_Input[[#This Row],[Rider ID]]="","",IFERROR(ABS(INDEX(RLVL_Data,MATCH(Rider_Input[[#This Row],[Rider ID]],INDEX(RLVL_Data,0,c_RLVL_ID),0),c_RLVL_Missed)),0))</f>
        <v/>
      </c>
      <c r="I201" s="155" t="str">
        <f aca="false">IF(Rider_Input[[#This Row],[Rider ID]]="","",IFERROR(ABS(INDEX(RLVL_Data,MATCH(Rider_Input[[#This Row],[Rider ID]],INDEX(RLVL_Data,0,c_RLVL_ID),0),c_RLVL_Bal)),0))</f>
        <v/>
      </c>
      <c r="J201" s="155" t="str">
        <f aca="false">IF(Rider_Input[[#This Row],[Rider ID]]="","",IFERROR(ABS(INDEX(RLVL_Data,MATCH(Rider_Input[[#This Row],[Rider ID]],INDEX(RLVL_Data,0,c_RLVL_ID),0),c_RLVL_Stack)),0))</f>
        <v/>
      </c>
      <c r="K201" s="155" t="str">
        <f aca="false">IF(Rider_Input[[#This Row],[Rider ID]]="","",SUMIFS(Adj_Input[Other Deductions],Adj_Input[Rider ID],Rider_Input[[#This Row],[Rider ID]]))</f>
        <v/>
      </c>
      <c r="L201" s="154" t="str">
        <f aca="false">IF(Rider_Input[[#This Row],[Rider ID]]="","",IFERROR(INDEX(Adj_Input[Note / Reason],MATCH(Rider_Input[[#This Row],[Rider ID]],Adj_Input[Rider ID],0))&amp;"",""))</f>
        <v/>
      </c>
    </row>
    <row r="202" customFormat="false" ht="14.25" hidden="false" customHeight="false" outlineLevel="0" collapsed="false">
      <c r="A202" s="152" t="str">
        <f aca="false">IF(Rider_Input[[#This Row],[Rider ID]]="","",Salary_Month)</f>
        <v/>
      </c>
      <c r="B202" s="153" t="str">
        <f aca="false">IFERROR(IF(INDEX(FTR_Data,ROW()-ROW(Rider_Input[#Headers]),c_FTR_ID)="","",INDEX(FTR_Data,ROW()-ROW(Rider_Input[#Headers]),c_FTR_ID)),"")</f>
        <v/>
      </c>
      <c r="C20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0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02" s="153" t="str">
        <f aca="false">IF(Rider_Input[[#This Row],[Rider ID]]="","",DAY(EOMONTH(Salary_Month,0)))</f>
        <v/>
      </c>
      <c r="F202" s="153" t="str">
        <f aca="false">IF(Rider_Input[[#This Row],[Rider ID]]="","",IFERROR(IF(INDEX(FTR_Data,ROW()-ROW(Rider_Input[#Headers]),c_FTR_WD)="","",INDEX(FTR_Data,ROW()-ROW(Rider_Input[#Headers]),c_FTR_WD)),""))</f>
        <v/>
      </c>
      <c r="G202" s="153" t="str">
        <f aca="false">IF(Rider_Input[[#This Row],[Rider ID]]="","",IFERROR(IF(INDEX(FTR_Data,ROW()-ROW(Rider_Input[#Headers]),c_FTR_Orders)="","",INDEX(FTR_Data,ROW()-ROW(Rider_Input[#Headers]),c_FTR_Orders)),""))</f>
        <v/>
      </c>
      <c r="H202" s="155" t="str">
        <f aca="false">IF(Rider_Input[[#This Row],[Rider ID]]="","",IFERROR(ABS(INDEX(RLVL_Data,MATCH(Rider_Input[[#This Row],[Rider ID]],INDEX(RLVL_Data,0,c_RLVL_ID),0),c_RLVL_Missed)),0))</f>
        <v/>
      </c>
      <c r="I202" s="155" t="str">
        <f aca="false">IF(Rider_Input[[#This Row],[Rider ID]]="","",IFERROR(ABS(INDEX(RLVL_Data,MATCH(Rider_Input[[#This Row],[Rider ID]],INDEX(RLVL_Data,0,c_RLVL_ID),0),c_RLVL_Bal)),0))</f>
        <v/>
      </c>
      <c r="J202" s="155" t="str">
        <f aca="false">IF(Rider_Input[[#This Row],[Rider ID]]="","",IFERROR(ABS(INDEX(RLVL_Data,MATCH(Rider_Input[[#This Row],[Rider ID]],INDEX(RLVL_Data,0,c_RLVL_ID),0),c_RLVL_Stack)),0))</f>
        <v/>
      </c>
      <c r="K202" s="155" t="str">
        <f aca="false">IF(Rider_Input[[#This Row],[Rider ID]]="","",SUMIFS(Adj_Input[Other Deductions],Adj_Input[Rider ID],Rider_Input[[#This Row],[Rider ID]]))</f>
        <v/>
      </c>
      <c r="L202" s="154" t="str">
        <f aca="false">IF(Rider_Input[[#This Row],[Rider ID]]="","",IFERROR(INDEX(Adj_Input[Note / Reason],MATCH(Rider_Input[[#This Row],[Rider ID]],Adj_Input[Rider ID],0))&amp;"",""))</f>
        <v/>
      </c>
    </row>
    <row r="203" customFormat="false" ht="14.25" hidden="false" customHeight="false" outlineLevel="0" collapsed="false">
      <c r="A203" s="152" t="str">
        <f aca="false">IF(Rider_Input[[#This Row],[Rider ID]]="","",Salary_Month)</f>
        <v/>
      </c>
      <c r="B203" s="153" t="str">
        <f aca="false">IFERROR(IF(INDEX(FTR_Data,ROW()-ROW(Rider_Input[#Headers]),c_FTR_ID)="","",INDEX(FTR_Data,ROW()-ROW(Rider_Input[#Headers]),c_FTR_ID)),"")</f>
        <v/>
      </c>
      <c r="C20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0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03" s="153" t="str">
        <f aca="false">IF(Rider_Input[[#This Row],[Rider ID]]="","",DAY(EOMONTH(Salary_Month,0)))</f>
        <v/>
      </c>
      <c r="F203" s="153" t="str">
        <f aca="false">IF(Rider_Input[[#This Row],[Rider ID]]="","",IFERROR(IF(INDEX(FTR_Data,ROW()-ROW(Rider_Input[#Headers]),c_FTR_WD)="","",INDEX(FTR_Data,ROW()-ROW(Rider_Input[#Headers]),c_FTR_WD)),""))</f>
        <v/>
      </c>
      <c r="G203" s="153" t="str">
        <f aca="false">IF(Rider_Input[[#This Row],[Rider ID]]="","",IFERROR(IF(INDEX(FTR_Data,ROW()-ROW(Rider_Input[#Headers]),c_FTR_Orders)="","",INDEX(FTR_Data,ROW()-ROW(Rider_Input[#Headers]),c_FTR_Orders)),""))</f>
        <v/>
      </c>
      <c r="H203" s="155" t="str">
        <f aca="false">IF(Rider_Input[[#This Row],[Rider ID]]="","",IFERROR(ABS(INDEX(RLVL_Data,MATCH(Rider_Input[[#This Row],[Rider ID]],INDEX(RLVL_Data,0,c_RLVL_ID),0),c_RLVL_Missed)),0))</f>
        <v/>
      </c>
      <c r="I203" s="155" t="str">
        <f aca="false">IF(Rider_Input[[#This Row],[Rider ID]]="","",IFERROR(ABS(INDEX(RLVL_Data,MATCH(Rider_Input[[#This Row],[Rider ID]],INDEX(RLVL_Data,0,c_RLVL_ID),0),c_RLVL_Bal)),0))</f>
        <v/>
      </c>
      <c r="J203" s="155" t="str">
        <f aca="false">IF(Rider_Input[[#This Row],[Rider ID]]="","",IFERROR(ABS(INDEX(RLVL_Data,MATCH(Rider_Input[[#This Row],[Rider ID]],INDEX(RLVL_Data,0,c_RLVL_ID),0),c_RLVL_Stack)),0))</f>
        <v/>
      </c>
      <c r="K203" s="155" t="str">
        <f aca="false">IF(Rider_Input[[#This Row],[Rider ID]]="","",SUMIFS(Adj_Input[Other Deductions],Adj_Input[Rider ID],Rider_Input[[#This Row],[Rider ID]]))</f>
        <v/>
      </c>
      <c r="L203" s="154" t="str">
        <f aca="false">IF(Rider_Input[[#This Row],[Rider ID]]="","",IFERROR(INDEX(Adj_Input[Note / Reason],MATCH(Rider_Input[[#This Row],[Rider ID]],Adj_Input[Rider ID],0))&amp;"",""))</f>
        <v/>
      </c>
    </row>
    <row r="204" customFormat="false" ht="14.25" hidden="false" customHeight="false" outlineLevel="0" collapsed="false">
      <c r="A204" s="152" t="str">
        <f aca="false">IF(Rider_Input[[#This Row],[Rider ID]]="","",Salary_Month)</f>
        <v/>
      </c>
      <c r="B204" s="153" t="str">
        <f aca="false">IFERROR(IF(INDEX(FTR_Data,ROW()-ROW(Rider_Input[#Headers]),c_FTR_ID)="","",INDEX(FTR_Data,ROW()-ROW(Rider_Input[#Headers]),c_FTR_ID)),"")</f>
        <v/>
      </c>
      <c r="C20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0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04" s="153" t="str">
        <f aca="false">IF(Rider_Input[[#This Row],[Rider ID]]="","",DAY(EOMONTH(Salary_Month,0)))</f>
        <v/>
      </c>
      <c r="F204" s="153" t="str">
        <f aca="false">IF(Rider_Input[[#This Row],[Rider ID]]="","",IFERROR(IF(INDEX(FTR_Data,ROW()-ROW(Rider_Input[#Headers]),c_FTR_WD)="","",INDEX(FTR_Data,ROW()-ROW(Rider_Input[#Headers]),c_FTR_WD)),""))</f>
        <v/>
      </c>
      <c r="G204" s="153" t="str">
        <f aca="false">IF(Rider_Input[[#This Row],[Rider ID]]="","",IFERROR(IF(INDEX(FTR_Data,ROW()-ROW(Rider_Input[#Headers]),c_FTR_Orders)="","",INDEX(FTR_Data,ROW()-ROW(Rider_Input[#Headers]),c_FTR_Orders)),""))</f>
        <v/>
      </c>
      <c r="H204" s="155" t="str">
        <f aca="false">IF(Rider_Input[[#This Row],[Rider ID]]="","",IFERROR(ABS(INDEX(RLVL_Data,MATCH(Rider_Input[[#This Row],[Rider ID]],INDEX(RLVL_Data,0,c_RLVL_ID),0),c_RLVL_Missed)),0))</f>
        <v/>
      </c>
      <c r="I204" s="155" t="str">
        <f aca="false">IF(Rider_Input[[#This Row],[Rider ID]]="","",IFERROR(ABS(INDEX(RLVL_Data,MATCH(Rider_Input[[#This Row],[Rider ID]],INDEX(RLVL_Data,0,c_RLVL_ID),0),c_RLVL_Bal)),0))</f>
        <v/>
      </c>
      <c r="J204" s="155" t="str">
        <f aca="false">IF(Rider_Input[[#This Row],[Rider ID]]="","",IFERROR(ABS(INDEX(RLVL_Data,MATCH(Rider_Input[[#This Row],[Rider ID]],INDEX(RLVL_Data,0,c_RLVL_ID),0),c_RLVL_Stack)),0))</f>
        <v/>
      </c>
      <c r="K204" s="155" t="str">
        <f aca="false">IF(Rider_Input[[#This Row],[Rider ID]]="","",SUMIFS(Adj_Input[Other Deductions],Adj_Input[Rider ID],Rider_Input[[#This Row],[Rider ID]]))</f>
        <v/>
      </c>
      <c r="L204" s="154" t="str">
        <f aca="false">IF(Rider_Input[[#This Row],[Rider ID]]="","",IFERROR(INDEX(Adj_Input[Note / Reason],MATCH(Rider_Input[[#This Row],[Rider ID]],Adj_Input[Rider ID],0))&amp;"",""))</f>
        <v/>
      </c>
    </row>
    <row r="205" customFormat="false" ht="14.25" hidden="false" customHeight="false" outlineLevel="0" collapsed="false">
      <c r="A205" s="152" t="str">
        <f aca="false">IF(Rider_Input[[#This Row],[Rider ID]]="","",Salary_Month)</f>
        <v/>
      </c>
      <c r="B205" s="153" t="str">
        <f aca="false">IFERROR(IF(INDEX(FTR_Data,ROW()-ROW(Rider_Input[#Headers]),c_FTR_ID)="","",INDEX(FTR_Data,ROW()-ROW(Rider_Input[#Headers]),c_FTR_ID)),"")</f>
        <v/>
      </c>
      <c r="C20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0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05" s="153" t="str">
        <f aca="false">IF(Rider_Input[[#This Row],[Rider ID]]="","",DAY(EOMONTH(Salary_Month,0)))</f>
        <v/>
      </c>
      <c r="F205" s="153" t="str">
        <f aca="false">IF(Rider_Input[[#This Row],[Rider ID]]="","",IFERROR(IF(INDEX(FTR_Data,ROW()-ROW(Rider_Input[#Headers]),c_FTR_WD)="","",INDEX(FTR_Data,ROW()-ROW(Rider_Input[#Headers]),c_FTR_WD)),""))</f>
        <v/>
      </c>
      <c r="G205" s="153" t="str">
        <f aca="false">IF(Rider_Input[[#This Row],[Rider ID]]="","",IFERROR(IF(INDEX(FTR_Data,ROW()-ROW(Rider_Input[#Headers]),c_FTR_Orders)="","",INDEX(FTR_Data,ROW()-ROW(Rider_Input[#Headers]),c_FTR_Orders)),""))</f>
        <v/>
      </c>
      <c r="H205" s="155" t="str">
        <f aca="false">IF(Rider_Input[[#This Row],[Rider ID]]="","",IFERROR(ABS(INDEX(RLVL_Data,MATCH(Rider_Input[[#This Row],[Rider ID]],INDEX(RLVL_Data,0,c_RLVL_ID),0),c_RLVL_Missed)),0))</f>
        <v/>
      </c>
      <c r="I205" s="155" t="str">
        <f aca="false">IF(Rider_Input[[#This Row],[Rider ID]]="","",IFERROR(ABS(INDEX(RLVL_Data,MATCH(Rider_Input[[#This Row],[Rider ID]],INDEX(RLVL_Data,0,c_RLVL_ID),0),c_RLVL_Bal)),0))</f>
        <v/>
      </c>
      <c r="J205" s="155" t="str">
        <f aca="false">IF(Rider_Input[[#This Row],[Rider ID]]="","",IFERROR(ABS(INDEX(RLVL_Data,MATCH(Rider_Input[[#This Row],[Rider ID]],INDEX(RLVL_Data,0,c_RLVL_ID),0),c_RLVL_Stack)),0))</f>
        <v/>
      </c>
      <c r="K205" s="155" t="str">
        <f aca="false">IF(Rider_Input[[#This Row],[Rider ID]]="","",SUMIFS(Adj_Input[Other Deductions],Adj_Input[Rider ID],Rider_Input[[#This Row],[Rider ID]]))</f>
        <v/>
      </c>
      <c r="L205" s="154" t="str">
        <f aca="false">IF(Rider_Input[[#This Row],[Rider ID]]="","",IFERROR(INDEX(Adj_Input[Note / Reason],MATCH(Rider_Input[[#This Row],[Rider ID]],Adj_Input[Rider ID],0))&amp;"",""))</f>
        <v/>
      </c>
    </row>
    <row r="206" customFormat="false" ht="14.25" hidden="false" customHeight="false" outlineLevel="0" collapsed="false">
      <c r="A206" s="152" t="str">
        <f aca="false">IF(Rider_Input[[#This Row],[Rider ID]]="","",Salary_Month)</f>
        <v/>
      </c>
      <c r="B206" s="153" t="str">
        <f aca="false">IFERROR(IF(INDEX(FTR_Data,ROW()-ROW(Rider_Input[#Headers]),c_FTR_ID)="","",INDEX(FTR_Data,ROW()-ROW(Rider_Input[#Headers]),c_FTR_ID)),"")</f>
        <v/>
      </c>
      <c r="C20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0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06" s="153" t="str">
        <f aca="false">IF(Rider_Input[[#This Row],[Rider ID]]="","",DAY(EOMONTH(Salary_Month,0)))</f>
        <v/>
      </c>
      <c r="F206" s="153" t="str">
        <f aca="false">IF(Rider_Input[[#This Row],[Rider ID]]="","",IFERROR(IF(INDEX(FTR_Data,ROW()-ROW(Rider_Input[#Headers]),c_FTR_WD)="","",INDEX(FTR_Data,ROW()-ROW(Rider_Input[#Headers]),c_FTR_WD)),""))</f>
        <v/>
      </c>
      <c r="G206" s="153" t="str">
        <f aca="false">IF(Rider_Input[[#This Row],[Rider ID]]="","",IFERROR(IF(INDEX(FTR_Data,ROW()-ROW(Rider_Input[#Headers]),c_FTR_Orders)="","",INDEX(FTR_Data,ROW()-ROW(Rider_Input[#Headers]),c_FTR_Orders)),""))</f>
        <v/>
      </c>
      <c r="H206" s="155" t="str">
        <f aca="false">IF(Rider_Input[[#This Row],[Rider ID]]="","",IFERROR(ABS(INDEX(RLVL_Data,MATCH(Rider_Input[[#This Row],[Rider ID]],INDEX(RLVL_Data,0,c_RLVL_ID),0),c_RLVL_Missed)),0))</f>
        <v/>
      </c>
      <c r="I206" s="155" t="str">
        <f aca="false">IF(Rider_Input[[#This Row],[Rider ID]]="","",IFERROR(ABS(INDEX(RLVL_Data,MATCH(Rider_Input[[#This Row],[Rider ID]],INDEX(RLVL_Data,0,c_RLVL_ID),0),c_RLVL_Bal)),0))</f>
        <v/>
      </c>
      <c r="J206" s="155" t="str">
        <f aca="false">IF(Rider_Input[[#This Row],[Rider ID]]="","",IFERROR(ABS(INDEX(RLVL_Data,MATCH(Rider_Input[[#This Row],[Rider ID]],INDEX(RLVL_Data,0,c_RLVL_ID),0),c_RLVL_Stack)),0))</f>
        <v/>
      </c>
      <c r="K206" s="155" t="str">
        <f aca="false">IF(Rider_Input[[#This Row],[Rider ID]]="","",SUMIFS(Adj_Input[Other Deductions],Adj_Input[Rider ID],Rider_Input[[#This Row],[Rider ID]]))</f>
        <v/>
      </c>
      <c r="L206" s="154" t="str">
        <f aca="false">IF(Rider_Input[[#This Row],[Rider ID]]="","",IFERROR(INDEX(Adj_Input[Note / Reason],MATCH(Rider_Input[[#This Row],[Rider ID]],Adj_Input[Rider ID],0))&amp;"",""))</f>
        <v/>
      </c>
    </row>
    <row r="207" customFormat="false" ht="14.25" hidden="false" customHeight="false" outlineLevel="0" collapsed="false">
      <c r="A207" s="152" t="str">
        <f aca="false">IF(Rider_Input[[#This Row],[Rider ID]]="","",Salary_Month)</f>
        <v/>
      </c>
      <c r="B207" s="153" t="str">
        <f aca="false">IFERROR(IF(INDEX(FTR_Data,ROW()-ROW(Rider_Input[#Headers]),c_FTR_ID)="","",INDEX(FTR_Data,ROW()-ROW(Rider_Input[#Headers]),c_FTR_ID)),"")</f>
        <v/>
      </c>
      <c r="C20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0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07" s="153" t="str">
        <f aca="false">IF(Rider_Input[[#This Row],[Rider ID]]="","",DAY(EOMONTH(Salary_Month,0)))</f>
        <v/>
      </c>
      <c r="F207" s="153" t="str">
        <f aca="false">IF(Rider_Input[[#This Row],[Rider ID]]="","",IFERROR(IF(INDEX(FTR_Data,ROW()-ROW(Rider_Input[#Headers]),c_FTR_WD)="","",INDEX(FTR_Data,ROW()-ROW(Rider_Input[#Headers]),c_FTR_WD)),""))</f>
        <v/>
      </c>
      <c r="G207" s="153" t="str">
        <f aca="false">IF(Rider_Input[[#This Row],[Rider ID]]="","",IFERROR(IF(INDEX(FTR_Data,ROW()-ROW(Rider_Input[#Headers]),c_FTR_Orders)="","",INDEX(FTR_Data,ROW()-ROW(Rider_Input[#Headers]),c_FTR_Orders)),""))</f>
        <v/>
      </c>
      <c r="H207" s="155" t="str">
        <f aca="false">IF(Rider_Input[[#This Row],[Rider ID]]="","",IFERROR(ABS(INDEX(RLVL_Data,MATCH(Rider_Input[[#This Row],[Rider ID]],INDEX(RLVL_Data,0,c_RLVL_ID),0),c_RLVL_Missed)),0))</f>
        <v/>
      </c>
      <c r="I207" s="155" t="str">
        <f aca="false">IF(Rider_Input[[#This Row],[Rider ID]]="","",IFERROR(ABS(INDEX(RLVL_Data,MATCH(Rider_Input[[#This Row],[Rider ID]],INDEX(RLVL_Data,0,c_RLVL_ID),0),c_RLVL_Bal)),0))</f>
        <v/>
      </c>
      <c r="J207" s="155" t="str">
        <f aca="false">IF(Rider_Input[[#This Row],[Rider ID]]="","",IFERROR(ABS(INDEX(RLVL_Data,MATCH(Rider_Input[[#This Row],[Rider ID]],INDEX(RLVL_Data,0,c_RLVL_ID),0),c_RLVL_Stack)),0))</f>
        <v/>
      </c>
      <c r="K207" s="155" t="str">
        <f aca="false">IF(Rider_Input[[#This Row],[Rider ID]]="","",SUMIFS(Adj_Input[Other Deductions],Adj_Input[Rider ID],Rider_Input[[#This Row],[Rider ID]]))</f>
        <v/>
      </c>
      <c r="L207" s="154" t="str">
        <f aca="false">IF(Rider_Input[[#This Row],[Rider ID]]="","",IFERROR(INDEX(Adj_Input[Note / Reason],MATCH(Rider_Input[[#This Row],[Rider ID]],Adj_Input[Rider ID],0))&amp;"",""))</f>
        <v/>
      </c>
    </row>
    <row r="208" customFormat="false" ht="14.25" hidden="false" customHeight="false" outlineLevel="0" collapsed="false">
      <c r="A208" s="152" t="str">
        <f aca="false">IF(Rider_Input[[#This Row],[Rider ID]]="","",Salary_Month)</f>
        <v/>
      </c>
      <c r="B208" s="153" t="str">
        <f aca="false">IFERROR(IF(INDEX(FTR_Data,ROW()-ROW(Rider_Input[#Headers]),c_FTR_ID)="","",INDEX(FTR_Data,ROW()-ROW(Rider_Input[#Headers]),c_FTR_ID)),"")</f>
        <v/>
      </c>
      <c r="C20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0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08" s="153" t="str">
        <f aca="false">IF(Rider_Input[[#This Row],[Rider ID]]="","",DAY(EOMONTH(Salary_Month,0)))</f>
        <v/>
      </c>
      <c r="F208" s="153" t="str">
        <f aca="false">IF(Rider_Input[[#This Row],[Rider ID]]="","",IFERROR(IF(INDEX(FTR_Data,ROW()-ROW(Rider_Input[#Headers]),c_FTR_WD)="","",INDEX(FTR_Data,ROW()-ROW(Rider_Input[#Headers]),c_FTR_WD)),""))</f>
        <v/>
      </c>
      <c r="G208" s="153" t="str">
        <f aca="false">IF(Rider_Input[[#This Row],[Rider ID]]="","",IFERROR(IF(INDEX(FTR_Data,ROW()-ROW(Rider_Input[#Headers]),c_FTR_Orders)="","",INDEX(FTR_Data,ROW()-ROW(Rider_Input[#Headers]),c_FTR_Orders)),""))</f>
        <v/>
      </c>
      <c r="H208" s="155" t="str">
        <f aca="false">IF(Rider_Input[[#This Row],[Rider ID]]="","",IFERROR(ABS(INDEX(RLVL_Data,MATCH(Rider_Input[[#This Row],[Rider ID]],INDEX(RLVL_Data,0,c_RLVL_ID),0),c_RLVL_Missed)),0))</f>
        <v/>
      </c>
      <c r="I208" s="155" t="str">
        <f aca="false">IF(Rider_Input[[#This Row],[Rider ID]]="","",IFERROR(ABS(INDEX(RLVL_Data,MATCH(Rider_Input[[#This Row],[Rider ID]],INDEX(RLVL_Data,0,c_RLVL_ID),0),c_RLVL_Bal)),0))</f>
        <v/>
      </c>
      <c r="J208" s="155" t="str">
        <f aca="false">IF(Rider_Input[[#This Row],[Rider ID]]="","",IFERROR(ABS(INDEX(RLVL_Data,MATCH(Rider_Input[[#This Row],[Rider ID]],INDEX(RLVL_Data,0,c_RLVL_ID),0),c_RLVL_Stack)),0))</f>
        <v/>
      </c>
      <c r="K208" s="155" t="str">
        <f aca="false">IF(Rider_Input[[#This Row],[Rider ID]]="","",SUMIFS(Adj_Input[Other Deductions],Adj_Input[Rider ID],Rider_Input[[#This Row],[Rider ID]]))</f>
        <v/>
      </c>
      <c r="L208" s="154" t="str">
        <f aca="false">IF(Rider_Input[[#This Row],[Rider ID]]="","",IFERROR(INDEX(Adj_Input[Note / Reason],MATCH(Rider_Input[[#This Row],[Rider ID]],Adj_Input[Rider ID],0))&amp;"",""))</f>
        <v/>
      </c>
    </row>
    <row r="209" customFormat="false" ht="14.25" hidden="false" customHeight="false" outlineLevel="0" collapsed="false">
      <c r="A209" s="152" t="str">
        <f aca="false">IF(Rider_Input[[#This Row],[Rider ID]]="","",Salary_Month)</f>
        <v/>
      </c>
      <c r="B209" s="153" t="str">
        <f aca="false">IFERROR(IF(INDEX(FTR_Data,ROW()-ROW(Rider_Input[#Headers]),c_FTR_ID)="","",INDEX(FTR_Data,ROW()-ROW(Rider_Input[#Headers]),c_FTR_ID)),"")</f>
        <v/>
      </c>
      <c r="C20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0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09" s="153" t="str">
        <f aca="false">IF(Rider_Input[[#This Row],[Rider ID]]="","",DAY(EOMONTH(Salary_Month,0)))</f>
        <v/>
      </c>
      <c r="F209" s="153" t="str">
        <f aca="false">IF(Rider_Input[[#This Row],[Rider ID]]="","",IFERROR(IF(INDEX(FTR_Data,ROW()-ROW(Rider_Input[#Headers]),c_FTR_WD)="","",INDEX(FTR_Data,ROW()-ROW(Rider_Input[#Headers]),c_FTR_WD)),""))</f>
        <v/>
      </c>
      <c r="G209" s="153" t="str">
        <f aca="false">IF(Rider_Input[[#This Row],[Rider ID]]="","",IFERROR(IF(INDEX(FTR_Data,ROW()-ROW(Rider_Input[#Headers]),c_FTR_Orders)="","",INDEX(FTR_Data,ROW()-ROW(Rider_Input[#Headers]),c_FTR_Orders)),""))</f>
        <v/>
      </c>
      <c r="H209" s="155" t="str">
        <f aca="false">IF(Rider_Input[[#This Row],[Rider ID]]="","",IFERROR(ABS(INDEX(RLVL_Data,MATCH(Rider_Input[[#This Row],[Rider ID]],INDEX(RLVL_Data,0,c_RLVL_ID),0),c_RLVL_Missed)),0))</f>
        <v/>
      </c>
      <c r="I209" s="155" t="str">
        <f aca="false">IF(Rider_Input[[#This Row],[Rider ID]]="","",IFERROR(ABS(INDEX(RLVL_Data,MATCH(Rider_Input[[#This Row],[Rider ID]],INDEX(RLVL_Data,0,c_RLVL_ID),0),c_RLVL_Bal)),0))</f>
        <v/>
      </c>
      <c r="J209" s="155" t="str">
        <f aca="false">IF(Rider_Input[[#This Row],[Rider ID]]="","",IFERROR(ABS(INDEX(RLVL_Data,MATCH(Rider_Input[[#This Row],[Rider ID]],INDEX(RLVL_Data,0,c_RLVL_ID),0),c_RLVL_Stack)),0))</f>
        <v/>
      </c>
      <c r="K209" s="155" t="str">
        <f aca="false">IF(Rider_Input[[#This Row],[Rider ID]]="","",SUMIFS(Adj_Input[Other Deductions],Adj_Input[Rider ID],Rider_Input[[#This Row],[Rider ID]]))</f>
        <v/>
      </c>
      <c r="L209" s="154" t="str">
        <f aca="false">IF(Rider_Input[[#This Row],[Rider ID]]="","",IFERROR(INDEX(Adj_Input[Note / Reason],MATCH(Rider_Input[[#This Row],[Rider ID]],Adj_Input[Rider ID],0))&amp;"",""))</f>
        <v/>
      </c>
    </row>
    <row r="210" customFormat="false" ht="14.25" hidden="false" customHeight="false" outlineLevel="0" collapsed="false">
      <c r="A210" s="152" t="str">
        <f aca="false">IF(Rider_Input[[#This Row],[Rider ID]]="","",Salary_Month)</f>
        <v/>
      </c>
      <c r="B210" s="153" t="str">
        <f aca="false">IFERROR(IF(INDEX(FTR_Data,ROW()-ROW(Rider_Input[#Headers]),c_FTR_ID)="","",INDEX(FTR_Data,ROW()-ROW(Rider_Input[#Headers]),c_FTR_ID)),"")</f>
        <v/>
      </c>
      <c r="C21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1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10" s="153" t="str">
        <f aca="false">IF(Rider_Input[[#This Row],[Rider ID]]="","",DAY(EOMONTH(Salary_Month,0)))</f>
        <v/>
      </c>
      <c r="F210" s="153" t="str">
        <f aca="false">IF(Rider_Input[[#This Row],[Rider ID]]="","",IFERROR(IF(INDEX(FTR_Data,ROW()-ROW(Rider_Input[#Headers]),c_FTR_WD)="","",INDEX(FTR_Data,ROW()-ROW(Rider_Input[#Headers]),c_FTR_WD)),""))</f>
        <v/>
      </c>
      <c r="G210" s="153" t="str">
        <f aca="false">IF(Rider_Input[[#This Row],[Rider ID]]="","",IFERROR(IF(INDEX(FTR_Data,ROW()-ROW(Rider_Input[#Headers]),c_FTR_Orders)="","",INDEX(FTR_Data,ROW()-ROW(Rider_Input[#Headers]),c_FTR_Orders)),""))</f>
        <v/>
      </c>
      <c r="H210" s="155" t="str">
        <f aca="false">IF(Rider_Input[[#This Row],[Rider ID]]="","",IFERROR(ABS(INDEX(RLVL_Data,MATCH(Rider_Input[[#This Row],[Rider ID]],INDEX(RLVL_Data,0,c_RLVL_ID),0),c_RLVL_Missed)),0))</f>
        <v/>
      </c>
      <c r="I210" s="155" t="str">
        <f aca="false">IF(Rider_Input[[#This Row],[Rider ID]]="","",IFERROR(ABS(INDEX(RLVL_Data,MATCH(Rider_Input[[#This Row],[Rider ID]],INDEX(RLVL_Data,0,c_RLVL_ID),0),c_RLVL_Bal)),0))</f>
        <v/>
      </c>
      <c r="J210" s="155" t="str">
        <f aca="false">IF(Rider_Input[[#This Row],[Rider ID]]="","",IFERROR(ABS(INDEX(RLVL_Data,MATCH(Rider_Input[[#This Row],[Rider ID]],INDEX(RLVL_Data,0,c_RLVL_ID),0),c_RLVL_Stack)),0))</f>
        <v/>
      </c>
      <c r="K210" s="155" t="str">
        <f aca="false">IF(Rider_Input[[#This Row],[Rider ID]]="","",SUMIFS(Adj_Input[Other Deductions],Adj_Input[Rider ID],Rider_Input[[#This Row],[Rider ID]]))</f>
        <v/>
      </c>
      <c r="L210" s="154" t="str">
        <f aca="false">IF(Rider_Input[[#This Row],[Rider ID]]="","",IFERROR(INDEX(Adj_Input[Note / Reason],MATCH(Rider_Input[[#This Row],[Rider ID]],Adj_Input[Rider ID],0))&amp;"",""))</f>
        <v/>
      </c>
    </row>
    <row r="211" customFormat="false" ht="14.25" hidden="false" customHeight="false" outlineLevel="0" collapsed="false">
      <c r="A211" s="152" t="str">
        <f aca="false">IF(Rider_Input[[#This Row],[Rider ID]]="","",Salary_Month)</f>
        <v/>
      </c>
      <c r="B211" s="153" t="str">
        <f aca="false">IFERROR(IF(INDEX(FTR_Data,ROW()-ROW(Rider_Input[#Headers]),c_FTR_ID)="","",INDEX(FTR_Data,ROW()-ROW(Rider_Input[#Headers]),c_FTR_ID)),"")</f>
        <v/>
      </c>
      <c r="C21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1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11" s="153" t="str">
        <f aca="false">IF(Rider_Input[[#This Row],[Rider ID]]="","",DAY(EOMONTH(Salary_Month,0)))</f>
        <v/>
      </c>
      <c r="F211" s="153" t="str">
        <f aca="false">IF(Rider_Input[[#This Row],[Rider ID]]="","",IFERROR(IF(INDEX(FTR_Data,ROW()-ROW(Rider_Input[#Headers]),c_FTR_WD)="","",INDEX(FTR_Data,ROW()-ROW(Rider_Input[#Headers]),c_FTR_WD)),""))</f>
        <v/>
      </c>
      <c r="G211" s="153" t="str">
        <f aca="false">IF(Rider_Input[[#This Row],[Rider ID]]="","",IFERROR(IF(INDEX(FTR_Data,ROW()-ROW(Rider_Input[#Headers]),c_FTR_Orders)="","",INDEX(FTR_Data,ROW()-ROW(Rider_Input[#Headers]),c_FTR_Orders)),""))</f>
        <v/>
      </c>
      <c r="H211" s="155" t="str">
        <f aca="false">IF(Rider_Input[[#This Row],[Rider ID]]="","",IFERROR(ABS(INDEX(RLVL_Data,MATCH(Rider_Input[[#This Row],[Rider ID]],INDEX(RLVL_Data,0,c_RLVL_ID),0),c_RLVL_Missed)),0))</f>
        <v/>
      </c>
      <c r="I211" s="155" t="str">
        <f aca="false">IF(Rider_Input[[#This Row],[Rider ID]]="","",IFERROR(ABS(INDEX(RLVL_Data,MATCH(Rider_Input[[#This Row],[Rider ID]],INDEX(RLVL_Data,0,c_RLVL_ID),0),c_RLVL_Bal)),0))</f>
        <v/>
      </c>
      <c r="J211" s="155" t="str">
        <f aca="false">IF(Rider_Input[[#This Row],[Rider ID]]="","",IFERROR(ABS(INDEX(RLVL_Data,MATCH(Rider_Input[[#This Row],[Rider ID]],INDEX(RLVL_Data,0,c_RLVL_ID),0),c_RLVL_Stack)),0))</f>
        <v/>
      </c>
      <c r="K211" s="155" t="str">
        <f aca="false">IF(Rider_Input[[#This Row],[Rider ID]]="","",SUMIFS(Adj_Input[Other Deductions],Adj_Input[Rider ID],Rider_Input[[#This Row],[Rider ID]]))</f>
        <v/>
      </c>
      <c r="L211" s="154" t="str">
        <f aca="false">IF(Rider_Input[[#This Row],[Rider ID]]="","",IFERROR(INDEX(Adj_Input[Note / Reason],MATCH(Rider_Input[[#This Row],[Rider ID]],Adj_Input[Rider ID],0))&amp;"",""))</f>
        <v/>
      </c>
    </row>
    <row r="212" customFormat="false" ht="14.25" hidden="false" customHeight="false" outlineLevel="0" collapsed="false">
      <c r="A212" s="152" t="str">
        <f aca="false">IF(Rider_Input[[#This Row],[Rider ID]]="","",Salary_Month)</f>
        <v/>
      </c>
      <c r="B212" s="153" t="str">
        <f aca="false">IFERROR(IF(INDEX(FTR_Data,ROW()-ROW(Rider_Input[#Headers]),c_FTR_ID)="","",INDEX(FTR_Data,ROW()-ROW(Rider_Input[#Headers]),c_FTR_ID)),"")</f>
        <v/>
      </c>
      <c r="C21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1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12" s="153" t="str">
        <f aca="false">IF(Rider_Input[[#This Row],[Rider ID]]="","",DAY(EOMONTH(Salary_Month,0)))</f>
        <v/>
      </c>
      <c r="F212" s="153" t="str">
        <f aca="false">IF(Rider_Input[[#This Row],[Rider ID]]="","",IFERROR(IF(INDEX(FTR_Data,ROW()-ROW(Rider_Input[#Headers]),c_FTR_WD)="","",INDEX(FTR_Data,ROW()-ROW(Rider_Input[#Headers]),c_FTR_WD)),""))</f>
        <v/>
      </c>
      <c r="G212" s="153" t="str">
        <f aca="false">IF(Rider_Input[[#This Row],[Rider ID]]="","",IFERROR(IF(INDEX(FTR_Data,ROW()-ROW(Rider_Input[#Headers]),c_FTR_Orders)="","",INDEX(FTR_Data,ROW()-ROW(Rider_Input[#Headers]),c_FTR_Orders)),""))</f>
        <v/>
      </c>
      <c r="H212" s="155" t="str">
        <f aca="false">IF(Rider_Input[[#This Row],[Rider ID]]="","",IFERROR(ABS(INDEX(RLVL_Data,MATCH(Rider_Input[[#This Row],[Rider ID]],INDEX(RLVL_Data,0,c_RLVL_ID),0),c_RLVL_Missed)),0))</f>
        <v/>
      </c>
      <c r="I212" s="155" t="str">
        <f aca="false">IF(Rider_Input[[#This Row],[Rider ID]]="","",IFERROR(ABS(INDEX(RLVL_Data,MATCH(Rider_Input[[#This Row],[Rider ID]],INDEX(RLVL_Data,0,c_RLVL_ID),0),c_RLVL_Bal)),0))</f>
        <v/>
      </c>
      <c r="J212" s="155" t="str">
        <f aca="false">IF(Rider_Input[[#This Row],[Rider ID]]="","",IFERROR(ABS(INDEX(RLVL_Data,MATCH(Rider_Input[[#This Row],[Rider ID]],INDEX(RLVL_Data,0,c_RLVL_ID),0),c_RLVL_Stack)),0))</f>
        <v/>
      </c>
      <c r="K212" s="155" t="str">
        <f aca="false">IF(Rider_Input[[#This Row],[Rider ID]]="","",SUMIFS(Adj_Input[Other Deductions],Adj_Input[Rider ID],Rider_Input[[#This Row],[Rider ID]]))</f>
        <v/>
      </c>
      <c r="L212" s="154" t="str">
        <f aca="false">IF(Rider_Input[[#This Row],[Rider ID]]="","",IFERROR(INDEX(Adj_Input[Note / Reason],MATCH(Rider_Input[[#This Row],[Rider ID]],Adj_Input[Rider ID],0))&amp;"",""))</f>
        <v/>
      </c>
    </row>
    <row r="213" customFormat="false" ht="14.25" hidden="false" customHeight="false" outlineLevel="0" collapsed="false">
      <c r="A213" s="152" t="str">
        <f aca="false">IF(Rider_Input[[#This Row],[Rider ID]]="","",Salary_Month)</f>
        <v/>
      </c>
      <c r="B213" s="153" t="str">
        <f aca="false">IFERROR(IF(INDEX(FTR_Data,ROW()-ROW(Rider_Input[#Headers]),c_FTR_ID)="","",INDEX(FTR_Data,ROW()-ROW(Rider_Input[#Headers]),c_FTR_ID)),"")</f>
        <v/>
      </c>
      <c r="C21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1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13" s="153" t="str">
        <f aca="false">IF(Rider_Input[[#This Row],[Rider ID]]="","",DAY(EOMONTH(Salary_Month,0)))</f>
        <v/>
      </c>
      <c r="F213" s="153" t="str">
        <f aca="false">IF(Rider_Input[[#This Row],[Rider ID]]="","",IFERROR(IF(INDEX(FTR_Data,ROW()-ROW(Rider_Input[#Headers]),c_FTR_WD)="","",INDEX(FTR_Data,ROW()-ROW(Rider_Input[#Headers]),c_FTR_WD)),""))</f>
        <v/>
      </c>
      <c r="G213" s="153" t="str">
        <f aca="false">IF(Rider_Input[[#This Row],[Rider ID]]="","",IFERROR(IF(INDEX(FTR_Data,ROW()-ROW(Rider_Input[#Headers]),c_FTR_Orders)="","",INDEX(FTR_Data,ROW()-ROW(Rider_Input[#Headers]),c_FTR_Orders)),""))</f>
        <v/>
      </c>
      <c r="H213" s="155" t="str">
        <f aca="false">IF(Rider_Input[[#This Row],[Rider ID]]="","",IFERROR(ABS(INDEX(RLVL_Data,MATCH(Rider_Input[[#This Row],[Rider ID]],INDEX(RLVL_Data,0,c_RLVL_ID),0),c_RLVL_Missed)),0))</f>
        <v/>
      </c>
      <c r="I213" s="155" t="str">
        <f aca="false">IF(Rider_Input[[#This Row],[Rider ID]]="","",IFERROR(ABS(INDEX(RLVL_Data,MATCH(Rider_Input[[#This Row],[Rider ID]],INDEX(RLVL_Data,0,c_RLVL_ID),0),c_RLVL_Bal)),0))</f>
        <v/>
      </c>
      <c r="J213" s="155" t="str">
        <f aca="false">IF(Rider_Input[[#This Row],[Rider ID]]="","",IFERROR(ABS(INDEX(RLVL_Data,MATCH(Rider_Input[[#This Row],[Rider ID]],INDEX(RLVL_Data,0,c_RLVL_ID),0),c_RLVL_Stack)),0))</f>
        <v/>
      </c>
      <c r="K213" s="155" t="str">
        <f aca="false">IF(Rider_Input[[#This Row],[Rider ID]]="","",SUMIFS(Adj_Input[Other Deductions],Adj_Input[Rider ID],Rider_Input[[#This Row],[Rider ID]]))</f>
        <v/>
      </c>
      <c r="L213" s="154" t="str">
        <f aca="false">IF(Rider_Input[[#This Row],[Rider ID]]="","",IFERROR(INDEX(Adj_Input[Note / Reason],MATCH(Rider_Input[[#This Row],[Rider ID]],Adj_Input[Rider ID],0))&amp;"",""))</f>
        <v/>
      </c>
    </row>
    <row r="214" customFormat="false" ht="14.25" hidden="false" customHeight="false" outlineLevel="0" collapsed="false">
      <c r="A214" s="152" t="str">
        <f aca="false">IF(Rider_Input[[#This Row],[Rider ID]]="","",Salary_Month)</f>
        <v/>
      </c>
      <c r="B214" s="153" t="str">
        <f aca="false">IFERROR(IF(INDEX(FTR_Data,ROW()-ROW(Rider_Input[#Headers]),c_FTR_ID)="","",INDEX(FTR_Data,ROW()-ROW(Rider_Input[#Headers]),c_FTR_ID)),"")</f>
        <v/>
      </c>
      <c r="C21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1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14" s="153" t="str">
        <f aca="false">IF(Rider_Input[[#This Row],[Rider ID]]="","",DAY(EOMONTH(Salary_Month,0)))</f>
        <v/>
      </c>
      <c r="F214" s="153" t="str">
        <f aca="false">IF(Rider_Input[[#This Row],[Rider ID]]="","",IFERROR(IF(INDEX(FTR_Data,ROW()-ROW(Rider_Input[#Headers]),c_FTR_WD)="","",INDEX(FTR_Data,ROW()-ROW(Rider_Input[#Headers]),c_FTR_WD)),""))</f>
        <v/>
      </c>
      <c r="G214" s="153" t="str">
        <f aca="false">IF(Rider_Input[[#This Row],[Rider ID]]="","",IFERROR(IF(INDEX(FTR_Data,ROW()-ROW(Rider_Input[#Headers]),c_FTR_Orders)="","",INDEX(FTR_Data,ROW()-ROW(Rider_Input[#Headers]),c_FTR_Orders)),""))</f>
        <v/>
      </c>
      <c r="H214" s="155" t="str">
        <f aca="false">IF(Rider_Input[[#This Row],[Rider ID]]="","",IFERROR(ABS(INDEX(RLVL_Data,MATCH(Rider_Input[[#This Row],[Rider ID]],INDEX(RLVL_Data,0,c_RLVL_ID),0),c_RLVL_Missed)),0))</f>
        <v/>
      </c>
      <c r="I214" s="155" t="str">
        <f aca="false">IF(Rider_Input[[#This Row],[Rider ID]]="","",IFERROR(ABS(INDEX(RLVL_Data,MATCH(Rider_Input[[#This Row],[Rider ID]],INDEX(RLVL_Data,0,c_RLVL_ID),0),c_RLVL_Bal)),0))</f>
        <v/>
      </c>
      <c r="J214" s="155" t="str">
        <f aca="false">IF(Rider_Input[[#This Row],[Rider ID]]="","",IFERROR(ABS(INDEX(RLVL_Data,MATCH(Rider_Input[[#This Row],[Rider ID]],INDEX(RLVL_Data,0,c_RLVL_ID),0),c_RLVL_Stack)),0))</f>
        <v/>
      </c>
      <c r="K214" s="155" t="str">
        <f aca="false">IF(Rider_Input[[#This Row],[Rider ID]]="","",SUMIFS(Adj_Input[Other Deductions],Adj_Input[Rider ID],Rider_Input[[#This Row],[Rider ID]]))</f>
        <v/>
      </c>
      <c r="L214" s="154" t="str">
        <f aca="false">IF(Rider_Input[[#This Row],[Rider ID]]="","",IFERROR(INDEX(Adj_Input[Note / Reason],MATCH(Rider_Input[[#This Row],[Rider ID]],Adj_Input[Rider ID],0))&amp;"",""))</f>
        <v/>
      </c>
    </row>
    <row r="215" customFormat="false" ht="14.25" hidden="false" customHeight="false" outlineLevel="0" collapsed="false">
      <c r="A215" s="152" t="str">
        <f aca="false">IF(Rider_Input[[#This Row],[Rider ID]]="","",Salary_Month)</f>
        <v/>
      </c>
      <c r="B215" s="153" t="str">
        <f aca="false">IFERROR(IF(INDEX(FTR_Data,ROW()-ROW(Rider_Input[#Headers]),c_FTR_ID)="","",INDEX(FTR_Data,ROW()-ROW(Rider_Input[#Headers]),c_FTR_ID)),"")</f>
        <v/>
      </c>
      <c r="C21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1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15" s="153" t="str">
        <f aca="false">IF(Rider_Input[[#This Row],[Rider ID]]="","",DAY(EOMONTH(Salary_Month,0)))</f>
        <v/>
      </c>
      <c r="F215" s="153" t="str">
        <f aca="false">IF(Rider_Input[[#This Row],[Rider ID]]="","",IFERROR(IF(INDEX(FTR_Data,ROW()-ROW(Rider_Input[#Headers]),c_FTR_WD)="","",INDEX(FTR_Data,ROW()-ROW(Rider_Input[#Headers]),c_FTR_WD)),""))</f>
        <v/>
      </c>
      <c r="G215" s="153" t="str">
        <f aca="false">IF(Rider_Input[[#This Row],[Rider ID]]="","",IFERROR(IF(INDEX(FTR_Data,ROW()-ROW(Rider_Input[#Headers]),c_FTR_Orders)="","",INDEX(FTR_Data,ROW()-ROW(Rider_Input[#Headers]),c_FTR_Orders)),""))</f>
        <v/>
      </c>
      <c r="H215" s="155" t="str">
        <f aca="false">IF(Rider_Input[[#This Row],[Rider ID]]="","",IFERROR(ABS(INDEX(RLVL_Data,MATCH(Rider_Input[[#This Row],[Rider ID]],INDEX(RLVL_Data,0,c_RLVL_ID),0),c_RLVL_Missed)),0))</f>
        <v/>
      </c>
      <c r="I215" s="155" t="str">
        <f aca="false">IF(Rider_Input[[#This Row],[Rider ID]]="","",IFERROR(ABS(INDEX(RLVL_Data,MATCH(Rider_Input[[#This Row],[Rider ID]],INDEX(RLVL_Data,0,c_RLVL_ID),0),c_RLVL_Bal)),0))</f>
        <v/>
      </c>
      <c r="J215" s="155" t="str">
        <f aca="false">IF(Rider_Input[[#This Row],[Rider ID]]="","",IFERROR(ABS(INDEX(RLVL_Data,MATCH(Rider_Input[[#This Row],[Rider ID]],INDEX(RLVL_Data,0,c_RLVL_ID),0),c_RLVL_Stack)),0))</f>
        <v/>
      </c>
      <c r="K215" s="155" t="str">
        <f aca="false">IF(Rider_Input[[#This Row],[Rider ID]]="","",SUMIFS(Adj_Input[Other Deductions],Adj_Input[Rider ID],Rider_Input[[#This Row],[Rider ID]]))</f>
        <v/>
      </c>
      <c r="L215" s="154" t="str">
        <f aca="false">IF(Rider_Input[[#This Row],[Rider ID]]="","",IFERROR(INDEX(Adj_Input[Note / Reason],MATCH(Rider_Input[[#This Row],[Rider ID]],Adj_Input[Rider ID],0))&amp;"",""))</f>
        <v/>
      </c>
    </row>
    <row r="216" customFormat="false" ht="14.25" hidden="false" customHeight="false" outlineLevel="0" collapsed="false">
      <c r="A216" s="152" t="str">
        <f aca="false">IF(Rider_Input[[#This Row],[Rider ID]]="","",Salary_Month)</f>
        <v/>
      </c>
      <c r="B216" s="153" t="str">
        <f aca="false">IFERROR(IF(INDEX(FTR_Data,ROW()-ROW(Rider_Input[#Headers]),c_FTR_ID)="","",INDEX(FTR_Data,ROW()-ROW(Rider_Input[#Headers]),c_FTR_ID)),"")</f>
        <v/>
      </c>
      <c r="C21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1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16" s="153" t="str">
        <f aca="false">IF(Rider_Input[[#This Row],[Rider ID]]="","",DAY(EOMONTH(Salary_Month,0)))</f>
        <v/>
      </c>
      <c r="F216" s="153" t="str">
        <f aca="false">IF(Rider_Input[[#This Row],[Rider ID]]="","",IFERROR(IF(INDEX(FTR_Data,ROW()-ROW(Rider_Input[#Headers]),c_FTR_WD)="","",INDEX(FTR_Data,ROW()-ROW(Rider_Input[#Headers]),c_FTR_WD)),""))</f>
        <v/>
      </c>
      <c r="G216" s="153" t="str">
        <f aca="false">IF(Rider_Input[[#This Row],[Rider ID]]="","",IFERROR(IF(INDEX(FTR_Data,ROW()-ROW(Rider_Input[#Headers]),c_FTR_Orders)="","",INDEX(FTR_Data,ROW()-ROW(Rider_Input[#Headers]),c_FTR_Orders)),""))</f>
        <v/>
      </c>
      <c r="H216" s="155" t="str">
        <f aca="false">IF(Rider_Input[[#This Row],[Rider ID]]="","",IFERROR(ABS(INDEX(RLVL_Data,MATCH(Rider_Input[[#This Row],[Rider ID]],INDEX(RLVL_Data,0,c_RLVL_ID),0),c_RLVL_Missed)),0))</f>
        <v/>
      </c>
      <c r="I216" s="155" t="str">
        <f aca="false">IF(Rider_Input[[#This Row],[Rider ID]]="","",IFERROR(ABS(INDEX(RLVL_Data,MATCH(Rider_Input[[#This Row],[Rider ID]],INDEX(RLVL_Data,0,c_RLVL_ID),0),c_RLVL_Bal)),0))</f>
        <v/>
      </c>
      <c r="J216" s="155" t="str">
        <f aca="false">IF(Rider_Input[[#This Row],[Rider ID]]="","",IFERROR(ABS(INDEX(RLVL_Data,MATCH(Rider_Input[[#This Row],[Rider ID]],INDEX(RLVL_Data,0,c_RLVL_ID),0),c_RLVL_Stack)),0))</f>
        <v/>
      </c>
      <c r="K216" s="155" t="str">
        <f aca="false">IF(Rider_Input[[#This Row],[Rider ID]]="","",SUMIFS(Adj_Input[Other Deductions],Adj_Input[Rider ID],Rider_Input[[#This Row],[Rider ID]]))</f>
        <v/>
      </c>
      <c r="L216" s="154" t="str">
        <f aca="false">IF(Rider_Input[[#This Row],[Rider ID]]="","",IFERROR(INDEX(Adj_Input[Note / Reason],MATCH(Rider_Input[[#This Row],[Rider ID]],Adj_Input[Rider ID],0))&amp;"",""))</f>
        <v/>
      </c>
    </row>
    <row r="217" customFormat="false" ht="14.25" hidden="false" customHeight="false" outlineLevel="0" collapsed="false">
      <c r="A217" s="152" t="str">
        <f aca="false">IF(Rider_Input[[#This Row],[Rider ID]]="","",Salary_Month)</f>
        <v/>
      </c>
      <c r="B217" s="153" t="str">
        <f aca="false">IFERROR(IF(INDEX(FTR_Data,ROW()-ROW(Rider_Input[#Headers]),c_FTR_ID)="","",INDEX(FTR_Data,ROW()-ROW(Rider_Input[#Headers]),c_FTR_ID)),"")</f>
        <v/>
      </c>
      <c r="C21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1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17" s="153" t="str">
        <f aca="false">IF(Rider_Input[[#This Row],[Rider ID]]="","",DAY(EOMONTH(Salary_Month,0)))</f>
        <v/>
      </c>
      <c r="F217" s="153" t="str">
        <f aca="false">IF(Rider_Input[[#This Row],[Rider ID]]="","",IFERROR(IF(INDEX(FTR_Data,ROW()-ROW(Rider_Input[#Headers]),c_FTR_WD)="","",INDEX(FTR_Data,ROW()-ROW(Rider_Input[#Headers]),c_FTR_WD)),""))</f>
        <v/>
      </c>
      <c r="G217" s="153" t="str">
        <f aca="false">IF(Rider_Input[[#This Row],[Rider ID]]="","",IFERROR(IF(INDEX(FTR_Data,ROW()-ROW(Rider_Input[#Headers]),c_FTR_Orders)="","",INDEX(FTR_Data,ROW()-ROW(Rider_Input[#Headers]),c_FTR_Orders)),""))</f>
        <v/>
      </c>
      <c r="H217" s="155" t="str">
        <f aca="false">IF(Rider_Input[[#This Row],[Rider ID]]="","",IFERROR(ABS(INDEX(RLVL_Data,MATCH(Rider_Input[[#This Row],[Rider ID]],INDEX(RLVL_Data,0,c_RLVL_ID),0),c_RLVL_Missed)),0))</f>
        <v/>
      </c>
      <c r="I217" s="155" t="str">
        <f aca="false">IF(Rider_Input[[#This Row],[Rider ID]]="","",IFERROR(ABS(INDEX(RLVL_Data,MATCH(Rider_Input[[#This Row],[Rider ID]],INDEX(RLVL_Data,0,c_RLVL_ID),0),c_RLVL_Bal)),0))</f>
        <v/>
      </c>
      <c r="J217" s="155" t="str">
        <f aca="false">IF(Rider_Input[[#This Row],[Rider ID]]="","",IFERROR(ABS(INDEX(RLVL_Data,MATCH(Rider_Input[[#This Row],[Rider ID]],INDEX(RLVL_Data,0,c_RLVL_ID),0),c_RLVL_Stack)),0))</f>
        <v/>
      </c>
      <c r="K217" s="155" t="str">
        <f aca="false">IF(Rider_Input[[#This Row],[Rider ID]]="","",SUMIFS(Adj_Input[Other Deductions],Adj_Input[Rider ID],Rider_Input[[#This Row],[Rider ID]]))</f>
        <v/>
      </c>
      <c r="L217" s="154" t="str">
        <f aca="false">IF(Rider_Input[[#This Row],[Rider ID]]="","",IFERROR(INDEX(Adj_Input[Note / Reason],MATCH(Rider_Input[[#This Row],[Rider ID]],Adj_Input[Rider ID],0))&amp;"",""))</f>
        <v/>
      </c>
    </row>
    <row r="218" customFormat="false" ht="14.25" hidden="false" customHeight="false" outlineLevel="0" collapsed="false">
      <c r="A218" s="152" t="str">
        <f aca="false">IF(Rider_Input[[#This Row],[Rider ID]]="","",Salary_Month)</f>
        <v/>
      </c>
      <c r="B218" s="153" t="str">
        <f aca="false">IFERROR(IF(INDEX(FTR_Data,ROW()-ROW(Rider_Input[#Headers]),c_FTR_ID)="","",INDEX(FTR_Data,ROW()-ROW(Rider_Input[#Headers]),c_FTR_ID)),"")</f>
        <v/>
      </c>
      <c r="C21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1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18" s="153" t="str">
        <f aca="false">IF(Rider_Input[[#This Row],[Rider ID]]="","",DAY(EOMONTH(Salary_Month,0)))</f>
        <v/>
      </c>
      <c r="F218" s="153" t="str">
        <f aca="false">IF(Rider_Input[[#This Row],[Rider ID]]="","",IFERROR(IF(INDEX(FTR_Data,ROW()-ROW(Rider_Input[#Headers]),c_FTR_WD)="","",INDEX(FTR_Data,ROW()-ROW(Rider_Input[#Headers]),c_FTR_WD)),""))</f>
        <v/>
      </c>
      <c r="G218" s="153" t="str">
        <f aca="false">IF(Rider_Input[[#This Row],[Rider ID]]="","",IFERROR(IF(INDEX(FTR_Data,ROW()-ROW(Rider_Input[#Headers]),c_FTR_Orders)="","",INDEX(FTR_Data,ROW()-ROW(Rider_Input[#Headers]),c_FTR_Orders)),""))</f>
        <v/>
      </c>
      <c r="H218" s="155" t="str">
        <f aca="false">IF(Rider_Input[[#This Row],[Rider ID]]="","",IFERROR(ABS(INDEX(RLVL_Data,MATCH(Rider_Input[[#This Row],[Rider ID]],INDEX(RLVL_Data,0,c_RLVL_ID),0),c_RLVL_Missed)),0))</f>
        <v/>
      </c>
      <c r="I218" s="155" t="str">
        <f aca="false">IF(Rider_Input[[#This Row],[Rider ID]]="","",IFERROR(ABS(INDEX(RLVL_Data,MATCH(Rider_Input[[#This Row],[Rider ID]],INDEX(RLVL_Data,0,c_RLVL_ID),0),c_RLVL_Bal)),0))</f>
        <v/>
      </c>
      <c r="J218" s="155" t="str">
        <f aca="false">IF(Rider_Input[[#This Row],[Rider ID]]="","",IFERROR(ABS(INDEX(RLVL_Data,MATCH(Rider_Input[[#This Row],[Rider ID]],INDEX(RLVL_Data,0,c_RLVL_ID),0),c_RLVL_Stack)),0))</f>
        <v/>
      </c>
      <c r="K218" s="155" t="str">
        <f aca="false">IF(Rider_Input[[#This Row],[Rider ID]]="","",SUMIFS(Adj_Input[Other Deductions],Adj_Input[Rider ID],Rider_Input[[#This Row],[Rider ID]]))</f>
        <v/>
      </c>
      <c r="L218" s="154" t="str">
        <f aca="false">IF(Rider_Input[[#This Row],[Rider ID]]="","",IFERROR(INDEX(Adj_Input[Note / Reason],MATCH(Rider_Input[[#This Row],[Rider ID]],Adj_Input[Rider ID],0))&amp;"",""))</f>
        <v/>
      </c>
    </row>
    <row r="219" customFormat="false" ht="14.25" hidden="false" customHeight="false" outlineLevel="0" collapsed="false">
      <c r="A219" s="152" t="str">
        <f aca="false">IF(Rider_Input[[#This Row],[Rider ID]]="","",Salary_Month)</f>
        <v/>
      </c>
      <c r="B219" s="153" t="str">
        <f aca="false">IFERROR(IF(INDEX(FTR_Data,ROW()-ROW(Rider_Input[#Headers]),c_FTR_ID)="","",INDEX(FTR_Data,ROW()-ROW(Rider_Input[#Headers]),c_FTR_ID)),"")</f>
        <v/>
      </c>
      <c r="C21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1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19" s="153" t="str">
        <f aca="false">IF(Rider_Input[[#This Row],[Rider ID]]="","",DAY(EOMONTH(Salary_Month,0)))</f>
        <v/>
      </c>
      <c r="F219" s="153" t="str">
        <f aca="false">IF(Rider_Input[[#This Row],[Rider ID]]="","",IFERROR(IF(INDEX(FTR_Data,ROW()-ROW(Rider_Input[#Headers]),c_FTR_WD)="","",INDEX(FTR_Data,ROW()-ROW(Rider_Input[#Headers]),c_FTR_WD)),""))</f>
        <v/>
      </c>
      <c r="G219" s="153" t="str">
        <f aca="false">IF(Rider_Input[[#This Row],[Rider ID]]="","",IFERROR(IF(INDEX(FTR_Data,ROW()-ROW(Rider_Input[#Headers]),c_FTR_Orders)="","",INDEX(FTR_Data,ROW()-ROW(Rider_Input[#Headers]),c_FTR_Orders)),""))</f>
        <v/>
      </c>
      <c r="H219" s="155" t="str">
        <f aca="false">IF(Rider_Input[[#This Row],[Rider ID]]="","",IFERROR(ABS(INDEX(RLVL_Data,MATCH(Rider_Input[[#This Row],[Rider ID]],INDEX(RLVL_Data,0,c_RLVL_ID),0),c_RLVL_Missed)),0))</f>
        <v/>
      </c>
      <c r="I219" s="155" t="str">
        <f aca="false">IF(Rider_Input[[#This Row],[Rider ID]]="","",IFERROR(ABS(INDEX(RLVL_Data,MATCH(Rider_Input[[#This Row],[Rider ID]],INDEX(RLVL_Data,0,c_RLVL_ID),0),c_RLVL_Bal)),0))</f>
        <v/>
      </c>
      <c r="J219" s="155" t="str">
        <f aca="false">IF(Rider_Input[[#This Row],[Rider ID]]="","",IFERROR(ABS(INDEX(RLVL_Data,MATCH(Rider_Input[[#This Row],[Rider ID]],INDEX(RLVL_Data,0,c_RLVL_ID),0),c_RLVL_Stack)),0))</f>
        <v/>
      </c>
      <c r="K219" s="155" t="str">
        <f aca="false">IF(Rider_Input[[#This Row],[Rider ID]]="","",SUMIFS(Adj_Input[Other Deductions],Adj_Input[Rider ID],Rider_Input[[#This Row],[Rider ID]]))</f>
        <v/>
      </c>
      <c r="L219" s="154" t="str">
        <f aca="false">IF(Rider_Input[[#This Row],[Rider ID]]="","",IFERROR(INDEX(Adj_Input[Note / Reason],MATCH(Rider_Input[[#This Row],[Rider ID]],Adj_Input[Rider ID],0))&amp;"",""))</f>
        <v/>
      </c>
    </row>
    <row r="220" customFormat="false" ht="14.25" hidden="false" customHeight="false" outlineLevel="0" collapsed="false">
      <c r="A220" s="152" t="str">
        <f aca="false">IF(Rider_Input[[#This Row],[Rider ID]]="","",Salary_Month)</f>
        <v/>
      </c>
      <c r="B220" s="153" t="str">
        <f aca="false">IFERROR(IF(INDEX(FTR_Data,ROW()-ROW(Rider_Input[#Headers]),c_FTR_ID)="","",INDEX(FTR_Data,ROW()-ROW(Rider_Input[#Headers]),c_FTR_ID)),"")</f>
        <v/>
      </c>
      <c r="C22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2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20" s="153" t="str">
        <f aca="false">IF(Rider_Input[[#This Row],[Rider ID]]="","",DAY(EOMONTH(Salary_Month,0)))</f>
        <v/>
      </c>
      <c r="F220" s="153" t="str">
        <f aca="false">IF(Rider_Input[[#This Row],[Rider ID]]="","",IFERROR(IF(INDEX(FTR_Data,ROW()-ROW(Rider_Input[#Headers]),c_FTR_WD)="","",INDEX(FTR_Data,ROW()-ROW(Rider_Input[#Headers]),c_FTR_WD)),""))</f>
        <v/>
      </c>
      <c r="G220" s="153" t="str">
        <f aca="false">IF(Rider_Input[[#This Row],[Rider ID]]="","",IFERROR(IF(INDEX(FTR_Data,ROW()-ROW(Rider_Input[#Headers]),c_FTR_Orders)="","",INDEX(FTR_Data,ROW()-ROW(Rider_Input[#Headers]),c_FTR_Orders)),""))</f>
        <v/>
      </c>
      <c r="H220" s="155" t="str">
        <f aca="false">IF(Rider_Input[[#This Row],[Rider ID]]="","",IFERROR(ABS(INDEX(RLVL_Data,MATCH(Rider_Input[[#This Row],[Rider ID]],INDEX(RLVL_Data,0,c_RLVL_ID),0),c_RLVL_Missed)),0))</f>
        <v/>
      </c>
      <c r="I220" s="155" t="str">
        <f aca="false">IF(Rider_Input[[#This Row],[Rider ID]]="","",IFERROR(ABS(INDEX(RLVL_Data,MATCH(Rider_Input[[#This Row],[Rider ID]],INDEX(RLVL_Data,0,c_RLVL_ID),0),c_RLVL_Bal)),0))</f>
        <v/>
      </c>
      <c r="J220" s="155" t="str">
        <f aca="false">IF(Rider_Input[[#This Row],[Rider ID]]="","",IFERROR(ABS(INDEX(RLVL_Data,MATCH(Rider_Input[[#This Row],[Rider ID]],INDEX(RLVL_Data,0,c_RLVL_ID),0),c_RLVL_Stack)),0))</f>
        <v/>
      </c>
      <c r="K220" s="155" t="str">
        <f aca="false">IF(Rider_Input[[#This Row],[Rider ID]]="","",SUMIFS(Adj_Input[Other Deductions],Adj_Input[Rider ID],Rider_Input[[#This Row],[Rider ID]]))</f>
        <v/>
      </c>
      <c r="L220" s="154" t="str">
        <f aca="false">IF(Rider_Input[[#This Row],[Rider ID]]="","",IFERROR(INDEX(Adj_Input[Note / Reason],MATCH(Rider_Input[[#This Row],[Rider ID]],Adj_Input[Rider ID],0))&amp;"",""))</f>
        <v/>
      </c>
    </row>
    <row r="221" customFormat="false" ht="14.25" hidden="false" customHeight="false" outlineLevel="0" collapsed="false">
      <c r="A221" s="152" t="str">
        <f aca="false">IF(Rider_Input[[#This Row],[Rider ID]]="","",Salary_Month)</f>
        <v/>
      </c>
      <c r="B221" s="153" t="str">
        <f aca="false">IFERROR(IF(INDEX(FTR_Data,ROW()-ROW(Rider_Input[#Headers]),c_FTR_ID)="","",INDEX(FTR_Data,ROW()-ROW(Rider_Input[#Headers]),c_FTR_ID)),"")</f>
        <v/>
      </c>
      <c r="C22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2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21" s="153" t="str">
        <f aca="false">IF(Rider_Input[[#This Row],[Rider ID]]="","",DAY(EOMONTH(Salary_Month,0)))</f>
        <v/>
      </c>
      <c r="F221" s="153" t="str">
        <f aca="false">IF(Rider_Input[[#This Row],[Rider ID]]="","",IFERROR(IF(INDEX(FTR_Data,ROW()-ROW(Rider_Input[#Headers]),c_FTR_WD)="","",INDEX(FTR_Data,ROW()-ROW(Rider_Input[#Headers]),c_FTR_WD)),""))</f>
        <v/>
      </c>
      <c r="G221" s="153" t="str">
        <f aca="false">IF(Rider_Input[[#This Row],[Rider ID]]="","",IFERROR(IF(INDEX(FTR_Data,ROW()-ROW(Rider_Input[#Headers]),c_FTR_Orders)="","",INDEX(FTR_Data,ROW()-ROW(Rider_Input[#Headers]),c_FTR_Orders)),""))</f>
        <v/>
      </c>
      <c r="H221" s="155" t="str">
        <f aca="false">IF(Rider_Input[[#This Row],[Rider ID]]="","",IFERROR(ABS(INDEX(RLVL_Data,MATCH(Rider_Input[[#This Row],[Rider ID]],INDEX(RLVL_Data,0,c_RLVL_ID),0),c_RLVL_Missed)),0))</f>
        <v/>
      </c>
      <c r="I221" s="155" t="str">
        <f aca="false">IF(Rider_Input[[#This Row],[Rider ID]]="","",IFERROR(ABS(INDEX(RLVL_Data,MATCH(Rider_Input[[#This Row],[Rider ID]],INDEX(RLVL_Data,0,c_RLVL_ID),0),c_RLVL_Bal)),0))</f>
        <v/>
      </c>
      <c r="J221" s="155" t="str">
        <f aca="false">IF(Rider_Input[[#This Row],[Rider ID]]="","",IFERROR(ABS(INDEX(RLVL_Data,MATCH(Rider_Input[[#This Row],[Rider ID]],INDEX(RLVL_Data,0,c_RLVL_ID),0),c_RLVL_Stack)),0))</f>
        <v/>
      </c>
      <c r="K221" s="155" t="str">
        <f aca="false">IF(Rider_Input[[#This Row],[Rider ID]]="","",SUMIFS(Adj_Input[Other Deductions],Adj_Input[Rider ID],Rider_Input[[#This Row],[Rider ID]]))</f>
        <v/>
      </c>
      <c r="L221" s="154" t="str">
        <f aca="false">IF(Rider_Input[[#This Row],[Rider ID]]="","",IFERROR(INDEX(Adj_Input[Note / Reason],MATCH(Rider_Input[[#This Row],[Rider ID]],Adj_Input[Rider ID],0))&amp;"",""))</f>
        <v/>
      </c>
    </row>
    <row r="222" customFormat="false" ht="14.25" hidden="false" customHeight="false" outlineLevel="0" collapsed="false">
      <c r="A222" s="152" t="str">
        <f aca="false">IF(Rider_Input[[#This Row],[Rider ID]]="","",Salary_Month)</f>
        <v/>
      </c>
      <c r="B222" s="153" t="str">
        <f aca="false">IFERROR(IF(INDEX(FTR_Data,ROW()-ROW(Rider_Input[#Headers]),c_FTR_ID)="","",INDEX(FTR_Data,ROW()-ROW(Rider_Input[#Headers]),c_FTR_ID)),"")</f>
        <v/>
      </c>
      <c r="C22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2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22" s="153" t="str">
        <f aca="false">IF(Rider_Input[[#This Row],[Rider ID]]="","",DAY(EOMONTH(Salary_Month,0)))</f>
        <v/>
      </c>
      <c r="F222" s="153" t="str">
        <f aca="false">IF(Rider_Input[[#This Row],[Rider ID]]="","",IFERROR(IF(INDEX(FTR_Data,ROW()-ROW(Rider_Input[#Headers]),c_FTR_WD)="","",INDEX(FTR_Data,ROW()-ROW(Rider_Input[#Headers]),c_FTR_WD)),""))</f>
        <v/>
      </c>
      <c r="G222" s="153" t="str">
        <f aca="false">IF(Rider_Input[[#This Row],[Rider ID]]="","",IFERROR(IF(INDEX(FTR_Data,ROW()-ROW(Rider_Input[#Headers]),c_FTR_Orders)="","",INDEX(FTR_Data,ROW()-ROW(Rider_Input[#Headers]),c_FTR_Orders)),""))</f>
        <v/>
      </c>
      <c r="H222" s="155" t="str">
        <f aca="false">IF(Rider_Input[[#This Row],[Rider ID]]="","",IFERROR(ABS(INDEX(RLVL_Data,MATCH(Rider_Input[[#This Row],[Rider ID]],INDEX(RLVL_Data,0,c_RLVL_ID),0),c_RLVL_Missed)),0))</f>
        <v/>
      </c>
      <c r="I222" s="155" t="str">
        <f aca="false">IF(Rider_Input[[#This Row],[Rider ID]]="","",IFERROR(ABS(INDEX(RLVL_Data,MATCH(Rider_Input[[#This Row],[Rider ID]],INDEX(RLVL_Data,0,c_RLVL_ID),0),c_RLVL_Bal)),0))</f>
        <v/>
      </c>
      <c r="J222" s="155" t="str">
        <f aca="false">IF(Rider_Input[[#This Row],[Rider ID]]="","",IFERROR(ABS(INDEX(RLVL_Data,MATCH(Rider_Input[[#This Row],[Rider ID]],INDEX(RLVL_Data,0,c_RLVL_ID),0),c_RLVL_Stack)),0))</f>
        <v/>
      </c>
      <c r="K222" s="155" t="str">
        <f aca="false">IF(Rider_Input[[#This Row],[Rider ID]]="","",SUMIFS(Adj_Input[Other Deductions],Adj_Input[Rider ID],Rider_Input[[#This Row],[Rider ID]]))</f>
        <v/>
      </c>
      <c r="L222" s="154" t="str">
        <f aca="false">IF(Rider_Input[[#This Row],[Rider ID]]="","",IFERROR(INDEX(Adj_Input[Note / Reason],MATCH(Rider_Input[[#This Row],[Rider ID]],Adj_Input[Rider ID],0))&amp;"",""))</f>
        <v/>
      </c>
    </row>
    <row r="223" customFormat="false" ht="14.25" hidden="false" customHeight="false" outlineLevel="0" collapsed="false">
      <c r="A223" s="152" t="str">
        <f aca="false">IF(Rider_Input[[#This Row],[Rider ID]]="","",Salary_Month)</f>
        <v/>
      </c>
      <c r="B223" s="153" t="str">
        <f aca="false">IFERROR(IF(INDEX(FTR_Data,ROW()-ROW(Rider_Input[#Headers]),c_FTR_ID)="","",INDEX(FTR_Data,ROW()-ROW(Rider_Input[#Headers]),c_FTR_ID)),"")</f>
        <v/>
      </c>
      <c r="C22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2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23" s="153" t="str">
        <f aca="false">IF(Rider_Input[[#This Row],[Rider ID]]="","",DAY(EOMONTH(Salary_Month,0)))</f>
        <v/>
      </c>
      <c r="F223" s="153" t="str">
        <f aca="false">IF(Rider_Input[[#This Row],[Rider ID]]="","",IFERROR(IF(INDEX(FTR_Data,ROW()-ROW(Rider_Input[#Headers]),c_FTR_WD)="","",INDEX(FTR_Data,ROW()-ROW(Rider_Input[#Headers]),c_FTR_WD)),""))</f>
        <v/>
      </c>
      <c r="G223" s="153" t="str">
        <f aca="false">IF(Rider_Input[[#This Row],[Rider ID]]="","",IFERROR(IF(INDEX(FTR_Data,ROW()-ROW(Rider_Input[#Headers]),c_FTR_Orders)="","",INDEX(FTR_Data,ROW()-ROW(Rider_Input[#Headers]),c_FTR_Orders)),""))</f>
        <v/>
      </c>
      <c r="H223" s="155" t="str">
        <f aca="false">IF(Rider_Input[[#This Row],[Rider ID]]="","",IFERROR(ABS(INDEX(RLVL_Data,MATCH(Rider_Input[[#This Row],[Rider ID]],INDEX(RLVL_Data,0,c_RLVL_ID),0),c_RLVL_Missed)),0))</f>
        <v/>
      </c>
      <c r="I223" s="155" t="str">
        <f aca="false">IF(Rider_Input[[#This Row],[Rider ID]]="","",IFERROR(ABS(INDEX(RLVL_Data,MATCH(Rider_Input[[#This Row],[Rider ID]],INDEX(RLVL_Data,0,c_RLVL_ID),0),c_RLVL_Bal)),0))</f>
        <v/>
      </c>
      <c r="J223" s="155" t="str">
        <f aca="false">IF(Rider_Input[[#This Row],[Rider ID]]="","",IFERROR(ABS(INDEX(RLVL_Data,MATCH(Rider_Input[[#This Row],[Rider ID]],INDEX(RLVL_Data,0,c_RLVL_ID),0),c_RLVL_Stack)),0))</f>
        <v/>
      </c>
      <c r="K223" s="155" t="str">
        <f aca="false">IF(Rider_Input[[#This Row],[Rider ID]]="","",SUMIFS(Adj_Input[Other Deductions],Adj_Input[Rider ID],Rider_Input[[#This Row],[Rider ID]]))</f>
        <v/>
      </c>
      <c r="L223" s="154" t="str">
        <f aca="false">IF(Rider_Input[[#This Row],[Rider ID]]="","",IFERROR(INDEX(Adj_Input[Note / Reason],MATCH(Rider_Input[[#This Row],[Rider ID]],Adj_Input[Rider ID],0))&amp;"",""))</f>
        <v/>
      </c>
    </row>
    <row r="224" customFormat="false" ht="14.25" hidden="false" customHeight="false" outlineLevel="0" collapsed="false">
      <c r="A224" s="152" t="str">
        <f aca="false">IF(Rider_Input[[#This Row],[Rider ID]]="","",Salary_Month)</f>
        <v/>
      </c>
      <c r="B224" s="153" t="str">
        <f aca="false">IFERROR(IF(INDEX(FTR_Data,ROW()-ROW(Rider_Input[#Headers]),c_FTR_ID)="","",INDEX(FTR_Data,ROW()-ROW(Rider_Input[#Headers]),c_FTR_ID)),"")</f>
        <v/>
      </c>
      <c r="C22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2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24" s="153" t="str">
        <f aca="false">IF(Rider_Input[[#This Row],[Rider ID]]="","",DAY(EOMONTH(Salary_Month,0)))</f>
        <v/>
      </c>
      <c r="F224" s="153" t="str">
        <f aca="false">IF(Rider_Input[[#This Row],[Rider ID]]="","",IFERROR(IF(INDEX(FTR_Data,ROW()-ROW(Rider_Input[#Headers]),c_FTR_WD)="","",INDEX(FTR_Data,ROW()-ROW(Rider_Input[#Headers]),c_FTR_WD)),""))</f>
        <v/>
      </c>
      <c r="G224" s="153" t="str">
        <f aca="false">IF(Rider_Input[[#This Row],[Rider ID]]="","",IFERROR(IF(INDEX(FTR_Data,ROW()-ROW(Rider_Input[#Headers]),c_FTR_Orders)="","",INDEX(FTR_Data,ROW()-ROW(Rider_Input[#Headers]),c_FTR_Orders)),""))</f>
        <v/>
      </c>
      <c r="H224" s="155" t="str">
        <f aca="false">IF(Rider_Input[[#This Row],[Rider ID]]="","",IFERROR(ABS(INDEX(RLVL_Data,MATCH(Rider_Input[[#This Row],[Rider ID]],INDEX(RLVL_Data,0,c_RLVL_ID),0),c_RLVL_Missed)),0))</f>
        <v/>
      </c>
      <c r="I224" s="155" t="str">
        <f aca="false">IF(Rider_Input[[#This Row],[Rider ID]]="","",IFERROR(ABS(INDEX(RLVL_Data,MATCH(Rider_Input[[#This Row],[Rider ID]],INDEX(RLVL_Data,0,c_RLVL_ID),0),c_RLVL_Bal)),0))</f>
        <v/>
      </c>
      <c r="J224" s="155" t="str">
        <f aca="false">IF(Rider_Input[[#This Row],[Rider ID]]="","",IFERROR(ABS(INDEX(RLVL_Data,MATCH(Rider_Input[[#This Row],[Rider ID]],INDEX(RLVL_Data,0,c_RLVL_ID),0),c_RLVL_Stack)),0))</f>
        <v/>
      </c>
      <c r="K224" s="155" t="str">
        <f aca="false">IF(Rider_Input[[#This Row],[Rider ID]]="","",SUMIFS(Adj_Input[Other Deductions],Adj_Input[Rider ID],Rider_Input[[#This Row],[Rider ID]]))</f>
        <v/>
      </c>
      <c r="L224" s="154" t="str">
        <f aca="false">IF(Rider_Input[[#This Row],[Rider ID]]="","",IFERROR(INDEX(Adj_Input[Note / Reason],MATCH(Rider_Input[[#This Row],[Rider ID]],Adj_Input[Rider ID],0))&amp;"",""))</f>
        <v/>
      </c>
    </row>
    <row r="225" customFormat="false" ht="14.25" hidden="false" customHeight="false" outlineLevel="0" collapsed="false">
      <c r="A225" s="152" t="str">
        <f aca="false">IF(Rider_Input[[#This Row],[Rider ID]]="","",Salary_Month)</f>
        <v/>
      </c>
      <c r="B225" s="153" t="str">
        <f aca="false">IFERROR(IF(INDEX(FTR_Data,ROW()-ROW(Rider_Input[#Headers]),c_FTR_ID)="","",INDEX(FTR_Data,ROW()-ROW(Rider_Input[#Headers]),c_FTR_ID)),"")</f>
        <v/>
      </c>
      <c r="C22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2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25" s="153" t="str">
        <f aca="false">IF(Rider_Input[[#This Row],[Rider ID]]="","",DAY(EOMONTH(Salary_Month,0)))</f>
        <v/>
      </c>
      <c r="F225" s="153" t="str">
        <f aca="false">IF(Rider_Input[[#This Row],[Rider ID]]="","",IFERROR(IF(INDEX(FTR_Data,ROW()-ROW(Rider_Input[#Headers]),c_FTR_WD)="","",INDEX(FTR_Data,ROW()-ROW(Rider_Input[#Headers]),c_FTR_WD)),""))</f>
        <v/>
      </c>
      <c r="G225" s="153" t="str">
        <f aca="false">IF(Rider_Input[[#This Row],[Rider ID]]="","",IFERROR(IF(INDEX(FTR_Data,ROW()-ROW(Rider_Input[#Headers]),c_FTR_Orders)="","",INDEX(FTR_Data,ROW()-ROW(Rider_Input[#Headers]),c_FTR_Orders)),""))</f>
        <v/>
      </c>
      <c r="H225" s="155" t="str">
        <f aca="false">IF(Rider_Input[[#This Row],[Rider ID]]="","",IFERROR(ABS(INDEX(RLVL_Data,MATCH(Rider_Input[[#This Row],[Rider ID]],INDEX(RLVL_Data,0,c_RLVL_ID),0),c_RLVL_Missed)),0))</f>
        <v/>
      </c>
      <c r="I225" s="155" t="str">
        <f aca="false">IF(Rider_Input[[#This Row],[Rider ID]]="","",IFERROR(ABS(INDEX(RLVL_Data,MATCH(Rider_Input[[#This Row],[Rider ID]],INDEX(RLVL_Data,0,c_RLVL_ID),0),c_RLVL_Bal)),0))</f>
        <v/>
      </c>
      <c r="J225" s="155" t="str">
        <f aca="false">IF(Rider_Input[[#This Row],[Rider ID]]="","",IFERROR(ABS(INDEX(RLVL_Data,MATCH(Rider_Input[[#This Row],[Rider ID]],INDEX(RLVL_Data,0,c_RLVL_ID),0),c_RLVL_Stack)),0))</f>
        <v/>
      </c>
      <c r="K225" s="155" t="str">
        <f aca="false">IF(Rider_Input[[#This Row],[Rider ID]]="","",SUMIFS(Adj_Input[Other Deductions],Adj_Input[Rider ID],Rider_Input[[#This Row],[Rider ID]]))</f>
        <v/>
      </c>
      <c r="L225" s="154" t="str">
        <f aca="false">IF(Rider_Input[[#This Row],[Rider ID]]="","",IFERROR(INDEX(Adj_Input[Note / Reason],MATCH(Rider_Input[[#This Row],[Rider ID]],Adj_Input[Rider ID],0))&amp;"",""))</f>
        <v/>
      </c>
    </row>
    <row r="226" customFormat="false" ht="14.25" hidden="false" customHeight="false" outlineLevel="0" collapsed="false">
      <c r="A226" s="152" t="str">
        <f aca="false">IF(Rider_Input[[#This Row],[Rider ID]]="","",Salary_Month)</f>
        <v/>
      </c>
      <c r="B226" s="153" t="str">
        <f aca="false">IFERROR(IF(INDEX(FTR_Data,ROW()-ROW(Rider_Input[#Headers]),c_FTR_ID)="","",INDEX(FTR_Data,ROW()-ROW(Rider_Input[#Headers]),c_FTR_ID)),"")</f>
        <v/>
      </c>
      <c r="C22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2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26" s="153" t="str">
        <f aca="false">IF(Rider_Input[[#This Row],[Rider ID]]="","",DAY(EOMONTH(Salary_Month,0)))</f>
        <v/>
      </c>
      <c r="F226" s="153" t="str">
        <f aca="false">IF(Rider_Input[[#This Row],[Rider ID]]="","",IFERROR(IF(INDEX(FTR_Data,ROW()-ROW(Rider_Input[#Headers]),c_FTR_WD)="","",INDEX(FTR_Data,ROW()-ROW(Rider_Input[#Headers]),c_FTR_WD)),""))</f>
        <v/>
      </c>
      <c r="G226" s="153" t="str">
        <f aca="false">IF(Rider_Input[[#This Row],[Rider ID]]="","",IFERROR(IF(INDEX(FTR_Data,ROW()-ROW(Rider_Input[#Headers]),c_FTR_Orders)="","",INDEX(FTR_Data,ROW()-ROW(Rider_Input[#Headers]),c_FTR_Orders)),""))</f>
        <v/>
      </c>
      <c r="H226" s="155" t="str">
        <f aca="false">IF(Rider_Input[[#This Row],[Rider ID]]="","",IFERROR(ABS(INDEX(RLVL_Data,MATCH(Rider_Input[[#This Row],[Rider ID]],INDEX(RLVL_Data,0,c_RLVL_ID),0),c_RLVL_Missed)),0))</f>
        <v/>
      </c>
      <c r="I226" s="155" t="str">
        <f aca="false">IF(Rider_Input[[#This Row],[Rider ID]]="","",IFERROR(ABS(INDEX(RLVL_Data,MATCH(Rider_Input[[#This Row],[Rider ID]],INDEX(RLVL_Data,0,c_RLVL_ID),0),c_RLVL_Bal)),0))</f>
        <v/>
      </c>
      <c r="J226" s="155" t="str">
        <f aca="false">IF(Rider_Input[[#This Row],[Rider ID]]="","",IFERROR(ABS(INDEX(RLVL_Data,MATCH(Rider_Input[[#This Row],[Rider ID]],INDEX(RLVL_Data,0,c_RLVL_ID),0),c_RLVL_Stack)),0))</f>
        <v/>
      </c>
      <c r="K226" s="155" t="str">
        <f aca="false">IF(Rider_Input[[#This Row],[Rider ID]]="","",SUMIFS(Adj_Input[Other Deductions],Adj_Input[Rider ID],Rider_Input[[#This Row],[Rider ID]]))</f>
        <v/>
      </c>
      <c r="L226" s="154" t="str">
        <f aca="false">IF(Rider_Input[[#This Row],[Rider ID]]="","",IFERROR(INDEX(Adj_Input[Note / Reason],MATCH(Rider_Input[[#This Row],[Rider ID]],Adj_Input[Rider ID],0))&amp;"",""))</f>
        <v/>
      </c>
    </row>
    <row r="227" customFormat="false" ht="14.25" hidden="false" customHeight="false" outlineLevel="0" collapsed="false">
      <c r="A227" s="152" t="str">
        <f aca="false">IF(Rider_Input[[#This Row],[Rider ID]]="","",Salary_Month)</f>
        <v/>
      </c>
      <c r="B227" s="153" t="str">
        <f aca="false">IFERROR(IF(INDEX(FTR_Data,ROW()-ROW(Rider_Input[#Headers]),c_FTR_ID)="","",INDEX(FTR_Data,ROW()-ROW(Rider_Input[#Headers]),c_FTR_ID)),"")</f>
        <v/>
      </c>
      <c r="C22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2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27" s="153" t="str">
        <f aca="false">IF(Rider_Input[[#This Row],[Rider ID]]="","",DAY(EOMONTH(Salary_Month,0)))</f>
        <v/>
      </c>
      <c r="F227" s="153" t="str">
        <f aca="false">IF(Rider_Input[[#This Row],[Rider ID]]="","",IFERROR(IF(INDEX(FTR_Data,ROW()-ROW(Rider_Input[#Headers]),c_FTR_WD)="","",INDEX(FTR_Data,ROW()-ROW(Rider_Input[#Headers]),c_FTR_WD)),""))</f>
        <v/>
      </c>
      <c r="G227" s="153" t="str">
        <f aca="false">IF(Rider_Input[[#This Row],[Rider ID]]="","",IFERROR(IF(INDEX(FTR_Data,ROW()-ROW(Rider_Input[#Headers]),c_FTR_Orders)="","",INDEX(FTR_Data,ROW()-ROW(Rider_Input[#Headers]),c_FTR_Orders)),""))</f>
        <v/>
      </c>
      <c r="H227" s="155" t="str">
        <f aca="false">IF(Rider_Input[[#This Row],[Rider ID]]="","",IFERROR(ABS(INDEX(RLVL_Data,MATCH(Rider_Input[[#This Row],[Rider ID]],INDEX(RLVL_Data,0,c_RLVL_ID),0),c_RLVL_Missed)),0))</f>
        <v/>
      </c>
      <c r="I227" s="155" t="str">
        <f aca="false">IF(Rider_Input[[#This Row],[Rider ID]]="","",IFERROR(ABS(INDEX(RLVL_Data,MATCH(Rider_Input[[#This Row],[Rider ID]],INDEX(RLVL_Data,0,c_RLVL_ID),0),c_RLVL_Bal)),0))</f>
        <v/>
      </c>
      <c r="J227" s="155" t="str">
        <f aca="false">IF(Rider_Input[[#This Row],[Rider ID]]="","",IFERROR(ABS(INDEX(RLVL_Data,MATCH(Rider_Input[[#This Row],[Rider ID]],INDEX(RLVL_Data,0,c_RLVL_ID),0),c_RLVL_Stack)),0))</f>
        <v/>
      </c>
      <c r="K227" s="155" t="str">
        <f aca="false">IF(Rider_Input[[#This Row],[Rider ID]]="","",SUMIFS(Adj_Input[Other Deductions],Adj_Input[Rider ID],Rider_Input[[#This Row],[Rider ID]]))</f>
        <v/>
      </c>
      <c r="L227" s="154" t="str">
        <f aca="false">IF(Rider_Input[[#This Row],[Rider ID]]="","",IFERROR(INDEX(Adj_Input[Note / Reason],MATCH(Rider_Input[[#This Row],[Rider ID]],Adj_Input[Rider ID],0))&amp;"",""))</f>
        <v/>
      </c>
    </row>
    <row r="228" customFormat="false" ht="14.25" hidden="false" customHeight="false" outlineLevel="0" collapsed="false">
      <c r="A228" s="152" t="str">
        <f aca="false">IF(Rider_Input[[#This Row],[Rider ID]]="","",Salary_Month)</f>
        <v/>
      </c>
      <c r="B228" s="153" t="str">
        <f aca="false">IFERROR(IF(INDEX(FTR_Data,ROW()-ROW(Rider_Input[#Headers]),c_FTR_ID)="","",INDEX(FTR_Data,ROW()-ROW(Rider_Input[#Headers]),c_FTR_ID)),"")</f>
        <v/>
      </c>
      <c r="C22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2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28" s="153" t="str">
        <f aca="false">IF(Rider_Input[[#This Row],[Rider ID]]="","",DAY(EOMONTH(Salary_Month,0)))</f>
        <v/>
      </c>
      <c r="F228" s="153" t="str">
        <f aca="false">IF(Rider_Input[[#This Row],[Rider ID]]="","",IFERROR(IF(INDEX(FTR_Data,ROW()-ROW(Rider_Input[#Headers]),c_FTR_WD)="","",INDEX(FTR_Data,ROW()-ROW(Rider_Input[#Headers]),c_FTR_WD)),""))</f>
        <v/>
      </c>
      <c r="G228" s="153" t="str">
        <f aca="false">IF(Rider_Input[[#This Row],[Rider ID]]="","",IFERROR(IF(INDEX(FTR_Data,ROW()-ROW(Rider_Input[#Headers]),c_FTR_Orders)="","",INDEX(FTR_Data,ROW()-ROW(Rider_Input[#Headers]),c_FTR_Orders)),""))</f>
        <v/>
      </c>
      <c r="H228" s="155" t="str">
        <f aca="false">IF(Rider_Input[[#This Row],[Rider ID]]="","",IFERROR(ABS(INDEX(RLVL_Data,MATCH(Rider_Input[[#This Row],[Rider ID]],INDEX(RLVL_Data,0,c_RLVL_ID),0),c_RLVL_Missed)),0))</f>
        <v/>
      </c>
      <c r="I228" s="155" t="str">
        <f aca="false">IF(Rider_Input[[#This Row],[Rider ID]]="","",IFERROR(ABS(INDEX(RLVL_Data,MATCH(Rider_Input[[#This Row],[Rider ID]],INDEX(RLVL_Data,0,c_RLVL_ID),0),c_RLVL_Bal)),0))</f>
        <v/>
      </c>
      <c r="J228" s="155" t="str">
        <f aca="false">IF(Rider_Input[[#This Row],[Rider ID]]="","",IFERROR(ABS(INDEX(RLVL_Data,MATCH(Rider_Input[[#This Row],[Rider ID]],INDEX(RLVL_Data,0,c_RLVL_ID),0),c_RLVL_Stack)),0))</f>
        <v/>
      </c>
      <c r="K228" s="155" t="str">
        <f aca="false">IF(Rider_Input[[#This Row],[Rider ID]]="","",SUMIFS(Adj_Input[Other Deductions],Adj_Input[Rider ID],Rider_Input[[#This Row],[Rider ID]]))</f>
        <v/>
      </c>
      <c r="L228" s="154" t="str">
        <f aca="false">IF(Rider_Input[[#This Row],[Rider ID]]="","",IFERROR(INDEX(Adj_Input[Note / Reason],MATCH(Rider_Input[[#This Row],[Rider ID]],Adj_Input[Rider ID],0))&amp;"",""))</f>
        <v/>
      </c>
    </row>
    <row r="229" customFormat="false" ht="14.25" hidden="false" customHeight="false" outlineLevel="0" collapsed="false">
      <c r="A229" s="152" t="str">
        <f aca="false">IF(Rider_Input[[#This Row],[Rider ID]]="","",Salary_Month)</f>
        <v/>
      </c>
      <c r="B229" s="153" t="str">
        <f aca="false">IFERROR(IF(INDEX(FTR_Data,ROW()-ROW(Rider_Input[#Headers]),c_FTR_ID)="","",INDEX(FTR_Data,ROW()-ROW(Rider_Input[#Headers]),c_FTR_ID)),"")</f>
        <v/>
      </c>
      <c r="C22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2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29" s="153" t="str">
        <f aca="false">IF(Rider_Input[[#This Row],[Rider ID]]="","",DAY(EOMONTH(Salary_Month,0)))</f>
        <v/>
      </c>
      <c r="F229" s="153" t="str">
        <f aca="false">IF(Rider_Input[[#This Row],[Rider ID]]="","",IFERROR(IF(INDEX(FTR_Data,ROW()-ROW(Rider_Input[#Headers]),c_FTR_WD)="","",INDEX(FTR_Data,ROW()-ROW(Rider_Input[#Headers]),c_FTR_WD)),""))</f>
        <v/>
      </c>
      <c r="G229" s="153" t="str">
        <f aca="false">IF(Rider_Input[[#This Row],[Rider ID]]="","",IFERROR(IF(INDEX(FTR_Data,ROW()-ROW(Rider_Input[#Headers]),c_FTR_Orders)="","",INDEX(FTR_Data,ROW()-ROW(Rider_Input[#Headers]),c_FTR_Orders)),""))</f>
        <v/>
      </c>
      <c r="H229" s="155" t="str">
        <f aca="false">IF(Rider_Input[[#This Row],[Rider ID]]="","",IFERROR(ABS(INDEX(RLVL_Data,MATCH(Rider_Input[[#This Row],[Rider ID]],INDEX(RLVL_Data,0,c_RLVL_ID),0),c_RLVL_Missed)),0))</f>
        <v/>
      </c>
      <c r="I229" s="155" t="str">
        <f aca="false">IF(Rider_Input[[#This Row],[Rider ID]]="","",IFERROR(ABS(INDEX(RLVL_Data,MATCH(Rider_Input[[#This Row],[Rider ID]],INDEX(RLVL_Data,0,c_RLVL_ID),0),c_RLVL_Bal)),0))</f>
        <v/>
      </c>
      <c r="J229" s="155" t="str">
        <f aca="false">IF(Rider_Input[[#This Row],[Rider ID]]="","",IFERROR(ABS(INDEX(RLVL_Data,MATCH(Rider_Input[[#This Row],[Rider ID]],INDEX(RLVL_Data,0,c_RLVL_ID),0),c_RLVL_Stack)),0))</f>
        <v/>
      </c>
      <c r="K229" s="155" t="str">
        <f aca="false">IF(Rider_Input[[#This Row],[Rider ID]]="","",SUMIFS(Adj_Input[Other Deductions],Adj_Input[Rider ID],Rider_Input[[#This Row],[Rider ID]]))</f>
        <v/>
      </c>
      <c r="L229" s="154" t="str">
        <f aca="false">IF(Rider_Input[[#This Row],[Rider ID]]="","",IFERROR(INDEX(Adj_Input[Note / Reason],MATCH(Rider_Input[[#This Row],[Rider ID]],Adj_Input[Rider ID],0))&amp;"",""))</f>
        <v/>
      </c>
    </row>
    <row r="230" customFormat="false" ht="14.25" hidden="false" customHeight="false" outlineLevel="0" collapsed="false">
      <c r="A230" s="152" t="str">
        <f aca="false">IF(Rider_Input[[#This Row],[Rider ID]]="","",Salary_Month)</f>
        <v/>
      </c>
      <c r="B230" s="153" t="str">
        <f aca="false">IFERROR(IF(INDEX(FTR_Data,ROW()-ROW(Rider_Input[#Headers]),c_FTR_ID)="","",INDEX(FTR_Data,ROW()-ROW(Rider_Input[#Headers]),c_FTR_ID)),"")</f>
        <v/>
      </c>
      <c r="C23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3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30" s="153" t="str">
        <f aca="false">IF(Rider_Input[[#This Row],[Rider ID]]="","",DAY(EOMONTH(Salary_Month,0)))</f>
        <v/>
      </c>
      <c r="F230" s="153" t="str">
        <f aca="false">IF(Rider_Input[[#This Row],[Rider ID]]="","",IFERROR(IF(INDEX(FTR_Data,ROW()-ROW(Rider_Input[#Headers]),c_FTR_WD)="","",INDEX(FTR_Data,ROW()-ROW(Rider_Input[#Headers]),c_FTR_WD)),""))</f>
        <v/>
      </c>
      <c r="G230" s="153" t="str">
        <f aca="false">IF(Rider_Input[[#This Row],[Rider ID]]="","",IFERROR(IF(INDEX(FTR_Data,ROW()-ROW(Rider_Input[#Headers]),c_FTR_Orders)="","",INDEX(FTR_Data,ROW()-ROW(Rider_Input[#Headers]),c_FTR_Orders)),""))</f>
        <v/>
      </c>
      <c r="H230" s="155" t="str">
        <f aca="false">IF(Rider_Input[[#This Row],[Rider ID]]="","",IFERROR(ABS(INDEX(RLVL_Data,MATCH(Rider_Input[[#This Row],[Rider ID]],INDEX(RLVL_Data,0,c_RLVL_ID),0),c_RLVL_Missed)),0))</f>
        <v/>
      </c>
      <c r="I230" s="155" t="str">
        <f aca="false">IF(Rider_Input[[#This Row],[Rider ID]]="","",IFERROR(ABS(INDEX(RLVL_Data,MATCH(Rider_Input[[#This Row],[Rider ID]],INDEX(RLVL_Data,0,c_RLVL_ID),0),c_RLVL_Bal)),0))</f>
        <v/>
      </c>
      <c r="J230" s="155" t="str">
        <f aca="false">IF(Rider_Input[[#This Row],[Rider ID]]="","",IFERROR(ABS(INDEX(RLVL_Data,MATCH(Rider_Input[[#This Row],[Rider ID]],INDEX(RLVL_Data,0,c_RLVL_ID),0),c_RLVL_Stack)),0))</f>
        <v/>
      </c>
      <c r="K230" s="155" t="str">
        <f aca="false">IF(Rider_Input[[#This Row],[Rider ID]]="","",SUMIFS(Adj_Input[Other Deductions],Adj_Input[Rider ID],Rider_Input[[#This Row],[Rider ID]]))</f>
        <v/>
      </c>
      <c r="L230" s="154" t="str">
        <f aca="false">IF(Rider_Input[[#This Row],[Rider ID]]="","",IFERROR(INDEX(Adj_Input[Note / Reason],MATCH(Rider_Input[[#This Row],[Rider ID]],Adj_Input[Rider ID],0))&amp;"",""))</f>
        <v/>
      </c>
    </row>
    <row r="231" customFormat="false" ht="14.25" hidden="false" customHeight="false" outlineLevel="0" collapsed="false">
      <c r="A231" s="152" t="str">
        <f aca="false">IF(Rider_Input[[#This Row],[Rider ID]]="","",Salary_Month)</f>
        <v/>
      </c>
      <c r="B231" s="153" t="str">
        <f aca="false">IFERROR(IF(INDEX(FTR_Data,ROW()-ROW(Rider_Input[#Headers]),c_FTR_ID)="","",INDEX(FTR_Data,ROW()-ROW(Rider_Input[#Headers]),c_FTR_ID)),"")</f>
        <v/>
      </c>
      <c r="C23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3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31" s="153" t="str">
        <f aca="false">IF(Rider_Input[[#This Row],[Rider ID]]="","",DAY(EOMONTH(Salary_Month,0)))</f>
        <v/>
      </c>
      <c r="F231" s="153" t="str">
        <f aca="false">IF(Rider_Input[[#This Row],[Rider ID]]="","",IFERROR(IF(INDEX(FTR_Data,ROW()-ROW(Rider_Input[#Headers]),c_FTR_WD)="","",INDEX(FTR_Data,ROW()-ROW(Rider_Input[#Headers]),c_FTR_WD)),""))</f>
        <v/>
      </c>
      <c r="G231" s="153" t="str">
        <f aca="false">IF(Rider_Input[[#This Row],[Rider ID]]="","",IFERROR(IF(INDEX(FTR_Data,ROW()-ROW(Rider_Input[#Headers]),c_FTR_Orders)="","",INDEX(FTR_Data,ROW()-ROW(Rider_Input[#Headers]),c_FTR_Orders)),""))</f>
        <v/>
      </c>
      <c r="H231" s="155" t="str">
        <f aca="false">IF(Rider_Input[[#This Row],[Rider ID]]="","",IFERROR(ABS(INDEX(RLVL_Data,MATCH(Rider_Input[[#This Row],[Rider ID]],INDEX(RLVL_Data,0,c_RLVL_ID),0),c_RLVL_Missed)),0))</f>
        <v/>
      </c>
      <c r="I231" s="155" t="str">
        <f aca="false">IF(Rider_Input[[#This Row],[Rider ID]]="","",IFERROR(ABS(INDEX(RLVL_Data,MATCH(Rider_Input[[#This Row],[Rider ID]],INDEX(RLVL_Data,0,c_RLVL_ID),0),c_RLVL_Bal)),0))</f>
        <v/>
      </c>
      <c r="J231" s="155" t="str">
        <f aca="false">IF(Rider_Input[[#This Row],[Rider ID]]="","",IFERROR(ABS(INDEX(RLVL_Data,MATCH(Rider_Input[[#This Row],[Rider ID]],INDEX(RLVL_Data,0,c_RLVL_ID),0),c_RLVL_Stack)),0))</f>
        <v/>
      </c>
      <c r="K231" s="155" t="str">
        <f aca="false">IF(Rider_Input[[#This Row],[Rider ID]]="","",SUMIFS(Adj_Input[Other Deductions],Adj_Input[Rider ID],Rider_Input[[#This Row],[Rider ID]]))</f>
        <v/>
      </c>
      <c r="L231" s="154" t="str">
        <f aca="false">IF(Rider_Input[[#This Row],[Rider ID]]="","",IFERROR(INDEX(Adj_Input[Note / Reason],MATCH(Rider_Input[[#This Row],[Rider ID]],Adj_Input[Rider ID],0))&amp;"",""))</f>
        <v/>
      </c>
    </row>
    <row r="232" customFormat="false" ht="14.25" hidden="false" customHeight="false" outlineLevel="0" collapsed="false">
      <c r="A232" s="152" t="str">
        <f aca="false">IF(Rider_Input[[#This Row],[Rider ID]]="","",Salary_Month)</f>
        <v/>
      </c>
      <c r="B232" s="153" t="str">
        <f aca="false">IFERROR(IF(INDEX(FTR_Data,ROW()-ROW(Rider_Input[#Headers]),c_FTR_ID)="","",INDEX(FTR_Data,ROW()-ROW(Rider_Input[#Headers]),c_FTR_ID)),"")</f>
        <v/>
      </c>
      <c r="C23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3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32" s="153" t="str">
        <f aca="false">IF(Rider_Input[[#This Row],[Rider ID]]="","",DAY(EOMONTH(Salary_Month,0)))</f>
        <v/>
      </c>
      <c r="F232" s="153" t="str">
        <f aca="false">IF(Rider_Input[[#This Row],[Rider ID]]="","",IFERROR(IF(INDEX(FTR_Data,ROW()-ROW(Rider_Input[#Headers]),c_FTR_WD)="","",INDEX(FTR_Data,ROW()-ROW(Rider_Input[#Headers]),c_FTR_WD)),""))</f>
        <v/>
      </c>
      <c r="G232" s="153" t="str">
        <f aca="false">IF(Rider_Input[[#This Row],[Rider ID]]="","",IFERROR(IF(INDEX(FTR_Data,ROW()-ROW(Rider_Input[#Headers]),c_FTR_Orders)="","",INDEX(FTR_Data,ROW()-ROW(Rider_Input[#Headers]),c_FTR_Orders)),""))</f>
        <v/>
      </c>
      <c r="H232" s="155" t="str">
        <f aca="false">IF(Rider_Input[[#This Row],[Rider ID]]="","",IFERROR(ABS(INDEX(RLVL_Data,MATCH(Rider_Input[[#This Row],[Rider ID]],INDEX(RLVL_Data,0,c_RLVL_ID),0),c_RLVL_Missed)),0))</f>
        <v/>
      </c>
      <c r="I232" s="155" t="str">
        <f aca="false">IF(Rider_Input[[#This Row],[Rider ID]]="","",IFERROR(ABS(INDEX(RLVL_Data,MATCH(Rider_Input[[#This Row],[Rider ID]],INDEX(RLVL_Data,0,c_RLVL_ID),0),c_RLVL_Bal)),0))</f>
        <v/>
      </c>
      <c r="J232" s="155" t="str">
        <f aca="false">IF(Rider_Input[[#This Row],[Rider ID]]="","",IFERROR(ABS(INDEX(RLVL_Data,MATCH(Rider_Input[[#This Row],[Rider ID]],INDEX(RLVL_Data,0,c_RLVL_ID),0),c_RLVL_Stack)),0))</f>
        <v/>
      </c>
      <c r="K232" s="155" t="str">
        <f aca="false">IF(Rider_Input[[#This Row],[Rider ID]]="","",SUMIFS(Adj_Input[Other Deductions],Adj_Input[Rider ID],Rider_Input[[#This Row],[Rider ID]]))</f>
        <v/>
      </c>
      <c r="L232" s="154" t="str">
        <f aca="false">IF(Rider_Input[[#This Row],[Rider ID]]="","",IFERROR(INDEX(Adj_Input[Note / Reason],MATCH(Rider_Input[[#This Row],[Rider ID]],Adj_Input[Rider ID],0))&amp;"",""))</f>
        <v/>
      </c>
    </row>
    <row r="233" customFormat="false" ht="14.25" hidden="false" customHeight="false" outlineLevel="0" collapsed="false">
      <c r="A233" s="152" t="str">
        <f aca="false">IF(Rider_Input[[#This Row],[Rider ID]]="","",Salary_Month)</f>
        <v/>
      </c>
      <c r="B233" s="153" t="str">
        <f aca="false">IFERROR(IF(INDEX(FTR_Data,ROW()-ROW(Rider_Input[#Headers]),c_FTR_ID)="","",INDEX(FTR_Data,ROW()-ROW(Rider_Input[#Headers]),c_FTR_ID)),"")</f>
        <v/>
      </c>
      <c r="C23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3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33" s="153" t="str">
        <f aca="false">IF(Rider_Input[[#This Row],[Rider ID]]="","",DAY(EOMONTH(Salary_Month,0)))</f>
        <v/>
      </c>
      <c r="F233" s="153" t="str">
        <f aca="false">IF(Rider_Input[[#This Row],[Rider ID]]="","",IFERROR(IF(INDEX(FTR_Data,ROW()-ROW(Rider_Input[#Headers]),c_FTR_WD)="","",INDEX(FTR_Data,ROW()-ROW(Rider_Input[#Headers]),c_FTR_WD)),""))</f>
        <v/>
      </c>
      <c r="G233" s="153" t="str">
        <f aca="false">IF(Rider_Input[[#This Row],[Rider ID]]="","",IFERROR(IF(INDEX(FTR_Data,ROW()-ROW(Rider_Input[#Headers]),c_FTR_Orders)="","",INDEX(FTR_Data,ROW()-ROW(Rider_Input[#Headers]),c_FTR_Orders)),""))</f>
        <v/>
      </c>
      <c r="H233" s="155" t="str">
        <f aca="false">IF(Rider_Input[[#This Row],[Rider ID]]="","",IFERROR(ABS(INDEX(RLVL_Data,MATCH(Rider_Input[[#This Row],[Rider ID]],INDEX(RLVL_Data,0,c_RLVL_ID),0),c_RLVL_Missed)),0))</f>
        <v/>
      </c>
      <c r="I233" s="155" t="str">
        <f aca="false">IF(Rider_Input[[#This Row],[Rider ID]]="","",IFERROR(ABS(INDEX(RLVL_Data,MATCH(Rider_Input[[#This Row],[Rider ID]],INDEX(RLVL_Data,0,c_RLVL_ID),0),c_RLVL_Bal)),0))</f>
        <v/>
      </c>
      <c r="J233" s="155" t="str">
        <f aca="false">IF(Rider_Input[[#This Row],[Rider ID]]="","",IFERROR(ABS(INDEX(RLVL_Data,MATCH(Rider_Input[[#This Row],[Rider ID]],INDEX(RLVL_Data,0,c_RLVL_ID),0),c_RLVL_Stack)),0))</f>
        <v/>
      </c>
      <c r="K233" s="155" t="str">
        <f aca="false">IF(Rider_Input[[#This Row],[Rider ID]]="","",SUMIFS(Adj_Input[Other Deductions],Adj_Input[Rider ID],Rider_Input[[#This Row],[Rider ID]]))</f>
        <v/>
      </c>
      <c r="L233" s="154" t="str">
        <f aca="false">IF(Rider_Input[[#This Row],[Rider ID]]="","",IFERROR(INDEX(Adj_Input[Note / Reason],MATCH(Rider_Input[[#This Row],[Rider ID]],Adj_Input[Rider ID],0))&amp;"",""))</f>
        <v/>
      </c>
    </row>
    <row r="234" customFormat="false" ht="14.25" hidden="false" customHeight="false" outlineLevel="0" collapsed="false">
      <c r="A234" s="152" t="str">
        <f aca="false">IF(Rider_Input[[#This Row],[Rider ID]]="","",Salary_Month)</f>
        <v/>
      </c>
      <c r="B234" s="153" t="str">
        <f aca="false">IFERROR(IF(INDEX(FTR_Data,ROW()-ROW(Rider_Input[#Headers]),c_FTR_ID)="","",INDEX(FTR_Data,ROW()-ROW(Rider_Input[#Headers]),c_FTR_ID)),"")</f>
        <v/>
      </c>
      <c r="C23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3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34" s="153" t="str">
        <f aca="false">IF(Rider_Input[[#This Row],[Rider ID]]="","",DAY(EOMONTH(Salary_Month,0)))</f>
        <v/>
      </c>
      <c r="F234" s="153" t="str">
        <f aca="false">IF(Rider_Input[[#This Row],[Rider ID]]="","",IFERROR(IF(INDEX(FTR_Data,ROW()-ROW(Rider_Input[#Headers]),c_FTR_WD)="","",INDEX(FTR_Data,ROW()-ROW(Rider_Input[#Headers]),c_FTR_WD)),""))</f>
        <v/>
      </c>
      <c r="G234" s="153" t="str">
        <f aca="false">IF(Rider_Input[[#This Row],[Rider ID]]="","",IFERROR(IF(INDEX(FTR_Data,ROW()-ROW(Rider_Input[#Headers]),c_FTR_Orders)="","",INDEX(FTR_Data,ROW()-ROW(Rider_Input[#Headers]),c_FTR_Orders)),""))</f>
        <v/>
      </c>
      <c r="H234" s="155" t="str">
        <f aca="false">IF(Rider_Input[[#This Row],[Rider ID]]="","",IFERROR(ABS(INDEX(RLVL_Data,MATCH(Rider_Input[[#This Row],[Rider ID]],INDEX(RLVL_Data,0,c_RLVL_ID),0),c_RLVL_Missed)),0))</f>
        <v/>
      </c>
      <c r="I234" s="155" t="str">
        <f aca="false">IF(Rider_Input[[#This Row],[Rider ID]]="","",IFERROR(ABS(INDEX(RLVL_Data,MATCH(Rider_Input[[#This Row],[Rider ID]],INDEX(RLVL_Data,0,c_RLVL_ID),0),c_RLVL_Bal)),0))</f>
        <v/>
      </c>
      <c r="J234" s="155" t="str">
        <f aca="false">IF(Rider_Input[[#This Row],[Rider ID]]="","",IFERROR(ABS(INDEX(RLVL_Data,MATCH(Rider_Input[[#This Row],[Rider ID]],INDEX(RLVL_Data,0,c_RLVL_ID),0),c_RLVL_Stack)),0))</f>
        <v/>
      </c>
      <c r="K234" s="155" t="str">
        <f aca="false">IF(Rider_Input[[#This Row],[Rider ID]]="","",SUMIFS(Adj_Input[Other Deductions],Adj_Input[Rider ID],Rider_Input[[#This Row],[Rider ID]]))</f>
        <v/>
      </c>
      <c r="L234" s="154" t="str">
        <f aca="false">IF(Rider_Input[[#This Row],[Rider ID]]="","",IFERROR(INDEX(Adj_Input[Note / Reason],MATCH(Rider_Input[[#This Row],[Rider ID]],Adj_Input[Rider ID],0))&amp;"",""))</f>
        <v/>
      </c>
    </row>
    <row r="235" customFormat="false" ht="14.25" hidden="false" customHeight="false" outlineLevel="0" collapsed="false">
      <c r="A235" s="152" t="str">
        <f aca="false">IF(Rider_Input[[#This Row],[Rider ID]]="","",Salary_Month)</f>
        <v/>
      </c>
      <c r="B235" s="153" t="str">
        <f aca="false">IFERROR(IF(INDEX(FTR_Data,ROW()-ROW(Rider_Input[#Headers]),c_FTR_ID)="","",INDEX(FTR_Data,ROW()-ROW(Rider_Input[#Headers]),c_FTR_ID)),"")</f>
        <v/>
      </c>
      <c r="C23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3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35" s="153" t="str">
        <f aca="false">IF(Rider_Input[[#This Row],[Rider ID]]="","",DAY(EOMONTH(Salary_Month,0)))</f>
        <v/>
      </c>
      <c r="F235" s="153" t="str">
        <f aca="false">IF(Rider_Input[[#This Row],[Rider ID]]="","",IFERROR(IF(INDEX(FTR_Data,ROW()-ROW(Rider_Input[#Headers]),c_FTR_WD)="","",INDEX(FTR_Data,ROW()-ROW(Rider_Input[#Headers]),c_FTR_WD)),""))</f>
        <v/>
      </c>
      <c r="G235" s="153" t="str">
        <f aca="false">IF(Rider_Input[[#This Row],[Rider ID]]="","",IFERROR(IF(INDEX(FTR_Data,ROW()-ROW(Rider_Input[#Headers]),c_FTR_Orders)="","",INDEX(FTR_Data,ROW()-ROW(Rider_Input[#Headers]),c_FTR_Orders)),""))</f>
        <v/>
      </c>
      <c r="H235" s="155" t="str">
        <f aca="false">IF(Rider_Input[[#This Row],[Rider ID]]="","",IFERROR(ABS(INDEX(RLVL_Data,MATCH(Rider_Input[[#This Row],[Rider ID]],INDEX(RLVL_Data,0,c_RLVL_ID),0),c_RLVL_Missed)),0))</f>
        <v/>
      </c>
      <c r="I235" s="155" t="str">
        <f aca="false">IF(Rider_Input[[#This Row],[Rider ID]]="","",IFERROR(ABS(INDEX(RLVL_Data,MATCH(Rider_Input[[#This Row],[Rider ID]],INDEX(RLVL_Data,0,c_RLVL_ID),0),c_RLVL_Bal)),0))</f>
        <v/>
      </c>
      <c r="J235" s="155" t="str">
        <f aca="false">IF(Rider_Input[[#This Row],[Rider ID]]="","",IFERROR(ABS(INDEX(RLVL_Data,MATCH(Rider_Input[[#This Row],[Rider ID]],INDEX(RLVL_Data,0,c_RLVL_ID),0),c_RLVL_Stack)),0))</f>
        <v/>
      </c>
      <c r="K235" s="155" t="str">
        <f aca="false">IF(Rider_Input[[#This Row],[Rider ID]]="","",SUMIFS(Adj_Input[Other Deductions],Adj_Input[Rider ID],Rider_Input[[#This Row],[Rider ID]]))</f>
        <v/>
      </c>
      <c r="L235" s="154" t="str">
        <f aca="false">IF(Rider_Input[[#This Row],[Rider ID]]="","",IFERROR(INDEX(Adj_Input[Note / Reason],MATCH(Rider_Input[[#This Row],[Rider ID]],Adj_Input[Rider ID],0))&amp;"",""))</f>
        <v/>
      </c>
    </row>
    <row r="236" customFormat="false" ht="14.25" hidden="false" customHeight="false" outlineLevel="0" collapsed="false">
      <c r="A236" s="152" t="str">
        <f aca="false">IF(Rider_Input[[#This Row],[Rider ID]]="","",Salary_Month)</f>
        <v/>
      </c>
      <c r="B236" s="153" t="str">
        <f aca="false">IFERROR(IF(INDEX(FTR_Data,ROW()-ROW(Rider_Input[#Headers]),c_FTR_ID)="","",INDEX(FTR_Data,ROW()-ROW(Rider_Input[#Headers]),c_FTR_ID)),"")</f>
        <v/>
      </c>
      <c r="C23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3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36" s="153" t="str">
        <f aca="false">IF(Rider_Input[[#This Row],[Rider ID]]="","",DAY(EOMONTH(Salary_Month,0)))</f>
        <v/>
      </c>
      <c r="F236" s="153" t="str">
        <f aca="false">IF(Rider_Input[[#This Row],[Rider ID]]="","",IFERROR(IF(INDEX(FTR_Data,ROW()-ROW(Rider_Input[#Headers]),c_FTR_WD)="","",INDEX(FTR_Data,ROW()-ROW(Rider_Input[#Headers]),c_FTR_WD)),""))</f>
        <v/>
      </c>
      <c r="G236" s="153" t="str">
        <f aca="false">IF(Rider_Input[[#This Row],[Rider ID]]="","",IFERROR(IF(INDEX(FTR_Data,ROW()-ROW(Rider_Input[#Headers]),c_FTR_Orders)="","",INDEX(FTR_Data,ROW()-ROW(Rider_Input[#Headers]),c_FTR_Orders)),""))</f>
        <v/>
      </c>
      <c r="H236" s="155" t="str">
        <f aca="false">IF(Rider_Input[[#This Row],[Rider ID]]="","",IFERROR(ABS(INDEX(RLVL_Data,MATCH(Rider_Input[[#This Row],[Rider ID]],INDEX(RLVL_Data,0,c_RLVL_ID),0),c_RLVL_Missed)),0))</f>
        <v/>
      </c>
      <c r="I236" s="155" t="str">
        <f aca="false">IF(Rider_Input[[#This Row],[Rider ID]]="","",IFERROR(ABS(INDEX(RLVL_Data,MATCH(Rider_Input[[#This Row],[Rider ID]],INDEX(RLVL_Data,0,c_RLVL_ID),0),c_RLVL_Bal)),0))</f>
        <v/>
      </c>
      <c r="J236" s="155" t="str">
        <f aca="false">IF(Rider_Input[[#This Row],[Rider ID]]="","",IFERROR(ABS(INDEX(RLVL_Data,MATCH(Rider_Input[[#This Row],[Rider ID]],INDEX(RLVL_Data,0,c_RLVL_ID),0),c_RLVL_Stack)),0))</f>
        <v/>
      </c>
      <c r="K236" s="155" t="str">
        <f aca="false">IF(Rider_Input[[#This Row],[Rider ID]]="","",SUMIFS(Adj_Input[Other Deductions],Adj_Input[Rider ID],Rider_Input[[#This Row],[Rider ID]]))</f>
        <v/>
      </c>
      <c r="L236" s="154" t="str">
        <f aca="false">IF(Rider_Input[[#This Row],[Rider ID]]="","",IFERROR(INDEX(Adj_Input[Note / Reason],MATCH(Rider_Input[[#This Row],[Rider ID]],Adj_Input[Rider ID],0))&amp;"",""))</f>
        <v/>
      </c>
    </row>
    <row r="237" customFormat="false" ht="14.25" hidden="false" customHeight="false" outlineLevel="0" collapsed="false">
      <c r="A237" s="152" t="str">
        <f aca="false">IF(Rider_Input[[#This Row],[Rider ID]]="","",Salary_Month)</f>
        <v/>
      </c>
      <c r="B237" s="153" t="str">
        <f aca="false">IFERROR(IF(INDEX(FTR_Data,ROW()-ROW(Rider_Input[#Headers]),c_FTR_ID)="","",INDEX(FTR_Data,ROW()-ROW(Rider_Input[#Headers]),c_FTR_ID)),"")</f>
        <v/>
      </c>
      <c r="C23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3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37" s="153" t="str">
        <f aca="false">IF(Rider_Input[[#This Row],[Rider ID]]="","",DAY(EOMONTH(Salary_Month,0)))</f>
        <v/>
      </c>
      <c r="F237" s="153" t="str">
        <f aca="false">IF(Rider_Input[[#This Row],[Rider ID]]="","",IFERROR(IF(INDEX(FTR_Data,ROW()-ROW(Rider_Input[#Headers]),c_FTR_WD)="","",INDEX(FTR_Data,ROW()-ROW(Rider_Input[#Headers]),c_FTR_WD)),""))</f>
        <v/>
      </c>
      <c r="G237" s="153" t="str">
        <f aca="false">IF(Rider_Input[[#This Row],[Rider ID]]="","",IFERROR(IF(INDEX(FTR_Data,ROW()-ROW(Rider_Input[#Headers]),c_FTR_Orders)="","",INDEX(FTR_Data,ROW()-ROW(Rider_Input[#Headers]),c_FTR_Orders)),""))</f>
        <v/>
      </c>
      <c r="H237" s="155" t="str">
        <f aca="false">IF(Rider_Input[[#This Row],[Rider ID]]="","",IFERROR(ABS(INDEX(RLVL_Data,MATCH(Rider_Input[[#This Row],[Rider ID]],INDEX(RLVL_Data,0,c_RLVL_ID),0),c_RLVL_Missed)),0))</f>
        <v/>
      </c>
      <c r="I237" s="155" t="str">
        <f aca="false">IF(Rider_Input[[#This Row],[Rider ID]]="","",IFERROR(ABS(INDEX(RLVL_Data,MATCH(Rider_Input[[#This Row],[Rider ID]],INDEX(RLVL_Data,0,c_RLVL_ID),0),c_RLVL_Bal)),0))</f>
        <v/>
      </c>
      <c r="J237" s="155" t="str">
        <f aca="false">IF(Rider_Input[[#This Row],[Rider ID]]="","",IFERROR(ABS(INDEX(RLVL_Data,MATCH(Rider_Input[[#This Row],[Rider ID]],INDEX(RLVL_Data,0,c_RLVL_ID),0),c_RLVL_Stack)),0))</f>
        <v/>
      </c>
      <c r="K237" s="155" t="str">
        <f aca="false">IF(Rider_Input[[#This Row],[Rider ID]]="","",SUMIFS(Adj_Input[Other Deductions],Adj_Input[Rider ID],Rider_Input[[#This Row],[Rider ID]]))</f>
        <v/>
      </c>
      <c r="L237" s="154" t="str">
        <f aca="false">IF(Rider_Input[[#This Row],[Rider ID]]="","",IFERROR(INDEX(Adj_Input[Note / Reason],MATCH(Rider_Input[[#This Row],[Rider ID]],Adj_Input[Rider ID],0))&amp;"",""))</f>
        <v/>
      </c>
    </row>
    <row r="238" customFormat="false" ht="14.25" hidden="false" customHeight="false" outlineLevel="0" collapsed="false">
      <c r="A238" s="152" t="str">
        <f aca="false">IF(Rider_Input[[#This Row],[Rider ID]]="","",Salary_Month)</f>
        <v/>
      </c>
      <c r="B238" s="153" t="str">
        <f aca="false">IFERROR(IF(INDEX(FTR_Data,ROW()-ROW(Rider_Input[#Headers]),c_FTR_ID)="","",INDEX(FTR_Data,ROW()-ROW(Rider_Input[#Headers]),c_FTR_ID)),"")</f>
        <v/>
      </c>
      <c r="C23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3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38" s="153" t="str">
        <f aca="false">IF(Rider_Input[[#This Row],[Rider ID]]="","",DAY(EOMONTH(Salary_Month,0)))</f>
        <v/>
      </c>
      <c r="F238" s="153" t="str">
        <f aca="false">IF(Rider_Input[[#This Row],[Rider ID]]="","",IFERROR(IF(INDEX(FTR_Data,ROW()-ROW(Rider_Input[#Headers]),c_FTR_WD)="","",INDEX(FTR_Data,ROW()-ROW(Rider_Input[#Headers]),c_FTR_WD)),""))</f>
        <v/>
      </c>
      <c r="G238" s="153" t="str">
        <f aca="false">IF(Rider_Input[[#This Row],[Rider ID]]="","",IFERROR(IF(INDEX(FTR_Data,ROW()-ROW(Rider_Input[#Headers]),c_FTR_Orders)="","",INDEX(FTR_Data,ROW()-ROW(Rider_Input[#Headers]),c_FTR_Orders)),""))</f>
        <v/>
      </c>
      <c r="H238" s="155" t="str">
        <f aca="false">IF(Rider_Input[[#This Row],[Rider ID]]="","",IFERROR(ABS(INDEX(RLVL_Data,MATCH(Rider_Input[[#This Row],[Rider ID]],INDEX(RLVL_Data,0,c_RLVL_ID),0),c_RLVL_Missed)),0))</f>
        <v/>
      </c>
      <c r="I238" s="155" t="str">
        <f aca="false">IF(Rider_Input[[#This Row],[Rider ID]]="","",IFERROR(ABS(INDEX(RLVL_Data,MATCH(Rider_Input[[#This Row],[Rider ID]],INDEX(RLVL_Data,0,c_RLVL_ID),0),c_RLVL_Bal)),0))</f>
        <v/>
      </c>
      <c r="J238" s="155" t="str">
        <f aca="false">IF(Rider_Input[[#This Row],[Rider ID]]="","",IFERROR(ABS(INDEX(RLVL_Data,MATCH(Rider_Input[[#This Row],[Rider ID]],INDEX(RLVL_Data,0,c_RLVL_ID),0),c_RLVL_Stack)),0))</f>
        <v/>
      </c>
      <c r="K238" s="155" t="str">
        <f aca="false">IF(Rider_Input[[#This Row],[Rider ID]]="","",SUMIFS(Adj_Input[Other Deductions],Adj_Input[Rider ID],Rider_Input[[#This Row],[Rider ID]]))</f>
        <v/>
      </c>
      <c r="L238" s="154" t="str">
        <f aca="false">IF(Rider_Input[[#This Row],[Rider ID]]="","",IFERROR(INDEX(Adj_Input[Note / Reason],MATCH(Rider_Input[[#This Row],[Rider ID]],Adj_Input[Rider ID],0))&amp;"",""))</f>
        <v/>
      </c>
    </row>
    <row r="239" customFormat="false" ht="14.25" hidden="false" customHeight="false" outlineLevel="0" collapsed="false">
      <c r="A239" s="152" t="str">
        <f aca="false">IF(Rider_Input[[#This Row],[Rider ID]]="","",Salary_Month)</f>
        <v/>
      </c>
      <c r="B239" s="153" t="str">
        <f aca="false">IFERROR(IF(INDEX(FTR_Data,ROW()-ROW(Rider_Input[#Headers]),c_FTR_ID)="","",INDEX(FTR_Data,ROW()-ROW(Rider_Input[#Headers]),c_FTR_ID)),"")</f>
        <v/>
      </c>
      <c r="C23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3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39" s="153" t="str">
        <f aca="false">IF(Rider_Input[[#This Row],[Rider ID]]="","",DAY(EOMONTH(Salary_Month,0)))</f>
        <v/>
      </c>
      <c r="F239" s="153" t="str">
        <f aca="false">IF(Rider_Input[[#This Row],[Rider ID]]="","",IFERROR(IF(INDEX(FTR_Data,ROW()-ROW(Rider_Input[#Headers]),c_FTR_WD)="","",INDEX(FTR_Data,ROW()-ROW(Rider_Input[#Headers]),c_FTR_WD)),""))</f>
        <v/>
      </c>
      <c r="G239" s="153" t="str">
        <f aca="false">IF(Rider_Input[[#This Row],[Rider ID]]="","",IFERROR(IF(INDEX(FTR_Data,ROW()-ROW(Rider_Input[#Headers]),c_FTR_Orders)="","",INDEX(FTR_Data,ROW()-ROW(Rider_Input[#Headers]),c_FTR_Orders)),""))</f>
        <v/>
      </c>
      <c r="H239" s="155" t="str">
        <f aca="false">IF(Rider_Input[[#This Row],[Rider ID]]="","",IFERROR(ABS(INDEX(RLVL_Data,MATCH(Rider_Input[[#This Row],[Rider ID]],INDEX(RLVL_Data,0,c_RLVL_ID),0),c_RLVL_Missed)),0))</f>
        <v/>
      </c>
      <c r="I239" s="155" t="str">
        <f aca="false">IF(Rider_Input[[#This Row],[Rider ID]]="","",IFERROR(ABS(INDEX(RLVL_Data,MATCH(Rider_Input[[#This Row],[Rider ID]],INDEX(RLVL_Data,0,c_RLVL_ID),0),c_RLVL_Bal)),0))</f>
        <v/>
      </c>
      <c r="J239" s="155" t="str">
        <f aca="false">IF(Rider_Input[[#This Row],[Rider ID]]="","",IFERROR(ABS(INDEX(RLVL_Data,MATCH(Rider_Input[[#This Row],[Rider ID]],INDEX(RLVL_Data,0,c_RLVL_ID),0),c_RLVL_Stack)),0))</f>
        <v/>
      </c>
      <c r="K239" s="155" t="str">
        <f aca="false">IF(Rider_Input[[#This Row],[Rider ID]]="","",SUMIFS(Adj_Input[Other Deductions],Adj_Input[Rider ID],Rider_Input[[#This Row],[Rider ID]]))</f>
        <v/>
      </c>
      <c r="L239" s="154" t="str">
        <f aca="false">IF(Rider_Input[[#This Row],[Rider ID]]="","",IFERROR(INDEX(Adj_Input[Note / Reason],MATCH(Rider_Input[[#This Row],[Rider ID]],Adj_Input[Rider ID],0))&amp;"",""))</f>
        <v/>
      </c>
    </row>
    <row r="240" customFormat="false" ht="14.25" hidden="false" customHeight="false" outlineLevel="0" collapsed="false">
      <c r="A240" s="152" t="str">
        <f aca="false">IF(Rider_Input[[#This Row],[Rider ID]]="","",Salary_Month)</f>
        <v/>
      </c>
      <c r="B240" s="153" t="str">
        <f aca="false">IFERROR(IF(INDEX(FTR_Data,ROW()-ROW(Rider_Input[#Headers]),c_FTR_ID)="","",INDEX(FTR_Data,ROW()-ROW(Rider_Input[#Headers]),c_FTR_ID)),"")</f>
        <v/>
      </c>
      <c r="C24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4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40" s="153" t="str">
        <f aca="false">IF(Rider_Input[[#This Row],[Rider ID]]="","",DAY(EOMONTH(Salary_Month,0)))</f>
        <v/>
      </c>
      <c r="F240" s="153" t="str">
        <f aca="false">IF(Rider_Input[[#This Row],[Rider ID]]="","",IFERROR(IF(INDEX(FTR_Data,ROW()-ROW(Rider_Input[#Headers]),c_FTR_WD)="","",INDEX(FTR_Data,ROW()-ROW(Rider_Input[#Headers]),c_FTR_WD)),""))</f>
        <v/>
      </c>
      <c r="G240" s="153" t="str">
        <f aca="false">IF(Rider_Input[[#This Row],[Rider ID]]="","",IFERROR(IF(INDEX(FTR_Data,ROW()-ROW(Rider_Input[#Headers]),c_FTR_Orders)="","",INDEX(FTR_Data,ROW()-ROW(Rider_Input[#Headers]),c_FTR_Orders)),""))</f>
        <v/>
      </c>
      <c r="H240" s="155" t="str">
        <f aca="false">IF(Rider_Input[[#This Row],[Rider ID]]="","",IFERROR(ABS(INDEX(RLVL_Data,MATCH(Rider_Input[[#This Row],[Rider ID]],INDEX(RLVL_Data,0,c_RLVL_ID),0),c_RLVL_Missed)),0))</f>
        <v/>
      </c>
      <c r="I240" s="155" t="str">
        <f aca="false">IF(Rider_Input[[#This Row],[Rider ID]]="","",IFERROR(ABS(INDEX(RLVL_Data,MATCH(Rider_Input[[#This Row],[Rider ID]],INDEX(RLVL_Data,0,c_RLVL_ID),0),c_RLVL_Bal)),0))</f>
        <v/>
      </c>
      <c r="J240" s="155" t="str">
        <f aca="false">IF(Rider_Input[[#This Row],[Rider ID]]="","",IFERROR(ABS(INDEX(RLVL_Data,MATCH(Rider_Input[[#This Row],[Rider ID]],INDEX(RLVL_Data,0,c_RLVL_ID),0),c_RLVL_Stack)),0))</f>
        <v/>
      </c>
      <c r="K240" s="155" t="str">
        <f aca="false">IF(Rider_Input[[#This Row],[Rider ID]]="","",SUMIFS(Adj_Input[Other Deductions],Adj_Input[Rider ID],Rider_Input[[#This Row],[Rider ID]]))</f>
        <v/>
      </c>
      <c r="L240" s="154" t="str">
        <f aca="false">IF(Rider_Input[[#This Row],[Rider ID]]="","",IFERROR(INDEX(Adj_Input[Note / Reason],MATCH(Rider_Input[[#This Row],[Rider ID]],Adj_Input[Rider ID],0))&amp;"",""))</f>
        <v/>
      </c>
    </row>
    <row r="241" customFormat="false" ht="14.25" hidden="false" customHeight="false" outlineLevel="0" collapsed="false">
      <c r="A241" s="152" t="str">
        <f aca="false">IF(Rider_Input[[#This Row],[Rider ID]]="","",Salary_Month)</f>
        <v/>
      </c>
      <c r="B241" s="153" t="str">
        <f aca="false">IFERROR(IF(INDEX(FTR_Data,ROW()-ROW(Rider_Input[#Headers]),c_FTR_ID)="","",INDEX(FTR_Data,ROW()-ROW(Rider_Input[#Headers]),c_FTR_ID)),"")</f>
        <v/>
      </c>
      <c r="C24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4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41" s="153" t="str">
        <f aca="false">IF(Rider_Input[[#This Row],[Rider ID]]="","",DAY(EOMONTH(Salary_Month,0)))</f>
        <v/>
      </c>
      <c r="F241" s="153" t="str">
        <f aca="false">IF(Rider_Input[[#This Row],[Rider ID]]="","",IFERROR(IF(INDEX(FTR_Data,ROW()-ROW(Rider_Input[#Headers]),c_FTR_WD)="","",INDEX(FTR_Data,ROW()-ROW(Rider_Input[#Headers]),c_FTR_WD)),""))</f>
        <v/>
      </c>
      <c r="G241" s="153" t="str">
        <f aca="false">IF(Rider_Input[[#This Row],[Rider ID]]="","",IFERROR(IF(INDEX(FTR_Data,ROW()-ROW(Rider_Input[#Headers]),c_FTR_Orders)="","",INDEX(FTR_Data,ROW()-ROW(Rider_Input[#Headers]),c_FTR_Orders)),""))</f>
        <v/>
      </c>
      <c r="H241" s="155" t="str">
        <f aca="false">IF(Rider_Input[[#This Row],[Rider ID]]="","",IFERROR(ABS(INDEX(RLVL_Data,MATCH(Rider_Input[[#This Row],[Rider ID]],INDEX(RLVL_Data,0,c_RLVL_ID),0),c_RLVL_Missed)),0))</f>
        <v/>
      </c>
      <c r="I241" s="155" t="str">
        <f aca="false">IF(Rider_Input[[#This Row],[Rider ID]]="","",IFERROR(ABS(INDEX(RLVL_Data,MATCH(Rider_Input[[#This Row],[Rider ID]],INDEX(RLVL_Data,0,c_RLVL_ID),0),c_RLVL_Bal)),0))</f>
        <v/>
      </c>
      <c r="J241" s="155" t="str">
        <f aca="false">IF(Rider_Input[[#This Row],[Rider ID]]="","",IFERROR(ABS(INDEX(RLVL_Data,MATCH(Rider_Input[[#This Row],[Rider ID]],INDEX(RLVL_Data,0,c_RLVL_ID),0),c_RLVL_Stack)),0))</f>
        <v/>
      </c>
      <c r="K241" s="155" t="str">
        <f aca="false">IF(Rider_Input[[#This Row],[Rider ID]]="","",SUMIFS(Adj_Input[Other Deductions],Adj_Input[Rider ID],Rider_Input[[#This Row],[Rider ID]]))</f>
        <v/>
      </c>
      <c r="L241" s="154" t="str">
        <f aca="false">IF(Rider_Input[[#This Row],[Rider ID]]="","",IFERROR(INDEX(Adj_Input[Note / Reason],MATCH(Rider_Input[[#This Row],[Rider ID]],Adj_Input[Rider ID],0))&amp;"",""))</f>
        <v/>
      </c>
    </row>
    <row r="242" customFormat="false" ht="14.25" hidden="false" customHeight="false" outlineLevel="0" collapsed="false">
      <c r="A242" s="152" t="str">
        <f aca="false">IF(Rider_Input[[#This Row],[Rider ID]]="","",Salary_Month)</f>
        <v/>
      </c>
      <c r="B242" s="153" t="str">
        <f aca="false">IFERROR(IF(INDEX(FTR_Data,ROW()-ROW(Rider_Input[#Headers]),c_FTR_ID)="","",INDEX(FTR_Data,ROW()-ROW(Rider_Input[#Headers]),c_FTR_ID)),"")</f>
        <v/>
      </c>
      <c r="C24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4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42" s="153" t="str">
        <f aca="false">IF(Rider_Input[[#This Row],[Rider ID]]="","",DAY(EOMONTH(Salary_Month,0)))</f>
        <v/>
      </c>
      <c r="F242" s="153" t="str">
        <f aca="false">IF(Rider_Input[[#This Row],[Rider ID]]="","",IFERROR(IF(INDEX(FTR_Data,ROW()-ROW(Rider_Input[#Headers]),c_FTR_WD)="","",INDEX(FTR_Data,ROW()-ROW(Rider_Input[#Headers]),c_FTR_WD)),""))</f>
        <v/>
      </c>
      <c r="G242" s="153" t="str">
        <f aca="false">IF(Rider_Input[[#This Row],[Rider ID]]="","",IFERROR(IF(INDEX(FTR_Data,ROW()-ROW(Rider_Input[#Headers]),c_FTR_Orders)="","",INDEX(FTR_Data,ROW()-ROW(Rider_Input[#Headers]),c_FTR_Orders)),""))</f>
        <v/>
      </c>
      <c r="H242" s="155" t="str">
        <f aca="false">IF(Rider_Input[[#This Row],[Rider ID]]="","",IFERROR(ABS(INDEX(RLVL_Data,MATCH(Rider_Input[[#This Row],[Rider ID]],INDEX(RLVL_Data,0,c_RLVL_ID),0),c_RLVL_Missed)),0))</f>
        <v/>
      </c>
      <c r="I242" s="155" t="str">
        <f aca="false">IF(Rider_Input[[#This Row],[Rider ID]]="","",IFERROR(ABS(INDEX(RLVL_Data,MATCH(Rider_Input[[#This Row],[Rider ID]],INDEX(RLVL_Data,0,c_RLVL_ID),0),c_RLVL_Bal)),0))</f>
        <v/>
      </c>
      <c r="J242" s="155" t="str">
        <f aca="false">IF(Rider_Input[[#This Row],[Rider ID]]="","",IFERROR(ABS(INDEX(RLVL_Data,MATCH(Rider_Input[[#This Row],[Rider ID]],INDEX(RLVL_Data,0,c_RLVL_ID),0),c_RLVL_Stack)),0))</f>
        <v/>
      </c>
      <c r="K242" s="155" t="str">
        <f aca="false">IF(Rider_Input[[#This Row],[Rider ID]]="","",SUMIFS(Adj_Input[Other Deductions],Adj_Input[Rider ID],Rider_Input[[#This Row],[Rider ID]]))</f>
        <v/>
      </c>
      <c r="L242" s="154" t="str">
        <f aca="false">IF(Rider_Input[[#This Row],[Rider ID]]="","",IFERROR(INDEX(Adj_Input[Note / Reason],MATCH(Rider_Input[[#This Row],[Rider ID]],Adj_Input[Rider ID],0))&amp;"",""))</f>
        <v/>
      </c>
    </row>
    <row r="243" customFormat="false" ht="14.25" hidden="false" customHeight="false" outlineLevel="0" collapsed="false">
      <c r="A243" s="152" t="str">
        <f aca="false">IF(Rider_Input[[#This Row],[Rider ID]]="","",Salary_Month)</f>
        <v/>
      </c>
      <c r="B243" s="153" t="str">
        <f aca="false">IFERROR(IF(INDEX(FTR_Data,ROW()-ROW(Rider_Input[#Headers]),c_FTR_ID)="","",INDEX(FTR_Data,ROW()-ROW(Rider_Input[#Headers]),c_FTR_ID)),"")</f>
        <v/>
      </c>
      <c r="C24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4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43" s="153" t="str">
        <f aca="false">IF(Rider_Input[[#This Row],[Rider ID]]="","",DAY(EOMONTH(Salary_Month,0)))</f>
        <v/>
      </c>
      <c r="F243" s="153" t="str">
        <f aca="false">IF(Rider_Input[[#This Row],[Rider ID]]="","",IFERROR(IF(INDEX(FTR_Data,ROW()-ROW(Rider_Input[#Headers]),c_FTR_WD)="","",INDEX(FTR_Data,ROW()-ROW(Rider_Input[#Headers]),c_FTR_WD)),""))</f>
        <v/>
      </c>
      <c r="G243" s="153" t="str">
        <f aca="false">IF(Rider_Input[[#This Row],[Rider ID]]="","",IFERROR(IF(INDEX(FTR_Data,ROW()-ROW(Rider_Input[#Headers]),c_FTR_Orders)="","",INDEX(FTR_Data,ROW()-ROW(Rider_Input[#Headers]),c_FTR_Orders)),""))</f>
        <v/>
      </c>
      <c r="H243" s="155" t="str">
        <f aca="false">IF(Rider_Input[[#This Row],[Rider ID]]="","",IFERROR(ABS(INDEX(RLVL_Data,MATCH(Rider_Input[[#This Row],[Rider ID]],INDEX(RLVL_Data,0,c_RLVL_ID),0),c_RLVL_Missed)),0))</f>
        <v/>
      </c>
      <c r="I243" s="155" t="str">
        <f aca="false">IF(Rider_Input[[#This Row],[Rider ID]]="","",IFERROR(ABS(INDEX(RLVL_Data,MATCH(Rider_Input[[#This Row],[Rider ID]],INDEX(RLVL_Data,0,c_RLVL_ID),0),c_RLVL_Bal)),0))</f>
        <v/>
      </c>
      <c r="J243" s="155" t="str">
        <f aca="false">IF(Rider_Input[[#This Row],[Rider ID]]="","",IFERROR(ABS(INDEX(RLVL_Data,MATCH(Rider_Input[[#This Row],[Rider ID]],INDEX(RLVL_Data,0,c_RLVL_ID),0),c_RLVL_Stack)),0))</f>
        <v/>
      </c>
      <c r="K243" s="155" t="str">
        <f aca="false">IF(Rider_Input[[#This Row],[Rider ID]]="","",SUMIFS(Adj_Input[Other Deductions],Adj_Input[Rider ID],Rider_Input[[#This Row],[Rider ID]]))</f>
        <v/>
      </c>
      <c r="L243" s="154" t="str">
        <f aca="false">IF(Rider_Input[[#This Row],[Rider ID]]="","",IFERROR(INDEX(Adj_Input[Note / Reason],MATCH(Rider_Input[[#This Row],[Rider ID]],Adj_Input[Rider ID],0))&amp;"",""))</f>
        <v/>
      </c>
    </row>
    <row r="244" customFormat="false" ht="14.25" hidden="false" customHeight="false" outlineLevel="0" collapsed="false">
      <c r="A244" s="152" t="str">
        <f aca="false">IF(Rider_Input[[#This Row],[Rider ID]]="","",Salary_Month)</f>
        <v/>
      </c>
      <c r="B244" s="153" t="str">
        <f aca="false">IFERROR(IF(INDEX(FTR_Data,ROW()-ROW(Rider_Input[#Headers]),c_FTR_ID)="","",INDEX(FTR_Data,ROW()-ROW(Rider_Input[#Headers]),c_FTR_ID)),"")</f>
        <v/>
      </c>
      <c r="C24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4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44" s="153" t="str">
        <f aca="false">IF(Rider_Input[[#This Row],[Rider ID]]="","",DAY(EOMONTH(Salary_Month,0)))</f>
        <v/>
      </c>
      <c r="F244" s="153" t="str">
        <f aca="false">IF(Rider_Input[[#This Row],[Rider ID]]="","",IFERROR(IF(INDEX(FTR_Data,ROW()-ROW(Rider_Input[#Headers]),c_FTR_WD)="","",INDEX(FTR_Data,ROW()-ROW(Rider_Input[#Headers]),c_FTR_WD)),""))</f>
        <v/>
      </c>
      <c r="G244" s="153" t="str">
        <f aca="false">IF(Rider_Input[[#This Row],[Rider ID]]="","",IFERROR(IF(INDEX(FTR_Data,ROW()-ROW(Rider_Input[#Headers]),c_FTR_Orders)="","",INDEX(FTR_Data,ROW()-ROW(Rider_Input[#Headers]),c_FTR_Orders)),""))</f>
        <v/>
      </c>
      <c r="H244" s="155" t="str">
        <f aca="false">IF(Rider_Input[[#This Row],[Rider ID]]="","",IFERROR(ABS(INDEX(RLVL_Data,MATCH(Rider_Input[[#This Row],[Rider ID]],INDEX(RLVL_Data,0,c_RLVL_ID),0),c_RLVL_Missed)),0))</f>
        <v/>
      </c>
      <c r="I244" s="155" t="str">
        <f aca="false">IF(Rider_Input[[#This Row],[Rider ID]]="","",IFERROR(ABS(INDEX(RLVL_Data,MATCH(Rider_Input[[#This Row],[Rider ID]],INDEX(RLVL_Data,0,c_RLVL_ID),0),c_RLVL_Bal)),0))</f>
        <v/>
      </c>
      <c r="J244" s="155" t="str">
        <f aca="false">IF(Rider_Input[[#This Row],[Rider ID]]="","",IFERROR(ABS(INDEX(RLVL_Data,MATCH(Rider_Input[[#This Row],[Rider ID]],INDEX(RLVL_Data,0,c_RLVL_ID),0),c_RLVL_Stack)),0))</f>
        <v/>
      </c>
      <c r="K244" s="155" t="str">
        <f aca="false">IF(Rider_Input[[#This Row],[Rider ID]]="","",SUMIFS(Adj_Input[Other Deductions],Adj_Input[Rider ID],Rider_Input[[#This Row],[Rider ID]]))</f>
        <v/>
      </c>
      <c r="L244" s="154" t="str">
        <f aca="false">IF(Rider_Input[[#This Row],[Rider ID]]="","",IFERROR(INDEX(Adj_Input[Note / Reason],MATCH(Rider_Input[[#This Row],[Rider ID]],Adj_Input[Rider ID],0))&amp;"",""))</f>
        <v/>
      </c>
    </row>
    <row r="245" customFormat="false" ht="14.25" hidden="false" customHeight="false" outlineLevel="0" collapsed="false">
      <c r="A245" s="152" t="str">
        <f aca="false">IF(Rider_Input[[#This Row],[Rider ID]]="","",Salary_Month)</f>
        <v/>
      </c>
      <c r="B245" s="153" t="str">
        <f aca="false">IFERROR(IF(INDEX(FTR_Data,ROW()-ROW(Rider_Input[#Headers]),c_FTR_ID)="","",INDEX(FTR_Data,ROW()-ROW(Rider_Input[#Headers]),c_FTR_ID)),"")</f>
        <v/>
      </c>
      <c r="C24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4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45" s="153" t="str">
        <f aca="false">IF(Rider_Input[[#This Row],[Rider ID]]="","",DAY(EOMONTH(Salary_Month,0)))</f>
        <v/>
      </c>
      <c r="F245" s="153" t="str">
        <f aca="false">IF(Rider_Input[[#This Row],[Rider ID]]="","",IFERROR(IF(INDEX(FTR_Data,ROW()-ROW(Rider_Input[#Headers]),c_FTR_WD)="","",INDEX(FTR_Data,ROW()-ROW(Rider_Input[#Headers]),c_FTR_WD)),""))</f>
        <v/>
      </c>
      <c r="G245" s="153" t="str">
        <f aca="false">IF(Rider_Input[[#This Row],[Rider ID]]="","",IFERROR(IF(INDEX(FTR_Data,ROW()-ROW(Rider_Input[#Headers]),c_FTR_Orders)="","",INDEX(FTR_Data,ROW()-ROW(Rider_Input[#Headers]),c_FTR_Orders)),""))</f>
        <v/>
      </c>
      <c r="H245" s="155" t="str">
        <f aca="false">IF(Rider_Input[[#This Row],[Rider ID]]="","",IFERROR(ABS(INDEX(RLVL_Data,MATCH(Rider_Input[[#This Row],[Rider ID]],INDEX(RLVL_Data,0,c_RLVL_ID),0),c_RLVL_Missed)),0))</f>
        <v/>
      </c>
      <c r="I245" s="155" t="str">
        <f aca="false">IF(Rider_Input[[#This Row],[Rider ID]]="","",IFERROR(ABS(INDEX(RLVL_Data,MATCH(Rider_Input[[#This Row],[Rider ID]],INDEX(RLVL_Data,0,c_RLVL_ID),0),c_RLVL_Bal)),0))</f>
        <v/>
      </c>
      <c r="J245" s="155" t="str">
        <f aca="false">IF(Rider_Input[[#This Row],[Rider ID]]="","",IFERROR(ABS(INDEX(RLVL_Data,MATCH(Rider_Input[[#This Row],[Rider ID]],INDEX(RLVL_Data,0,c_RLVL_ID),0),c_RLVL_Stack)),0))</f>
        <v/>
      </c>
      <c r="K245" s="155" t="str">
        <f aca="false">IF(Rider_Input[[#This Row],[Rider ID]]="","",SUMIFS(Adj_Input[Other Deductions],Adj_Input[Rider ID],Rider_Input[[#This Row],[Rider ID]]))</f>
        <v/>
      </c>
      <c r="L245" s="154" t="str">
        <f aca="false">IF(Rider_Input[[#This Row],[Rider ID]]="","",IFERROR(INDEX(Adj_Input[Note / Reason],MATCH(Rider_Input[[#This Row],[Rider ID]],Adj_Input[Rider ID],0))&amp;"",""))</f>
        <v/>
      </c>
    </row>
    <row r="246" customFormat="false" ht="14.25" hidden="false" customHeight="false" outlineLevel="0" collapsed="false">
      <c r="A246" s="152" t="str">
        <f aca="false">IF(Rider_Input[[#This Row],[Rider ID]]="","",Salary_Month)</f>
        <v/>
      </c>
      <c r="B246" s="153" t="str">
        <f aca="false">IFERROR(IF(INDEX(FTR_Data,ROW()-ROW(Rider_Input[#Headers]),c_FTR_ID)="","",INDEX(FTR_Data,ROW()-ROW(Rider_Input[#Headers]),c_FTR_ID)),"")</f>
        <v/>
      </c>
      <c r="C24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4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46" s="153" t="str">
        <f aca="false">IF(Rider_Input[[#This Row],[Rider ID]]="","",DAY(EOMONTH(Salary_Month,0)))</f>
        <v/>
      </c>
      <c r="F246" s="153" t="str">
        <f aca="false">IF(Rider_Input[[#This Row],[Rider ID]]="","",IFERROR(IF(INDEX(FTR_Data,ROW()-ROW(Rider_Input[#Headers]),c_FTR_WD)="","",INDEX(FTR_Data,ROW()-ROW(Rider_Input[#Headers]),c_FTR_WD)),""))</f>
        <v/>
      </c>
      <c r="G246" s="153" t="str">
        <f aca="false">IF(Rider_Input[[#This Row],[Rider ID]]="","",IFERROR(IF(INDEX(FTR_Data,ROW()-ROW(Rider_Input[#Headers]),c_FTR_Orders)="","",INDEX(FTR_Data,ROW()-ROW(Rider_Input[#Headers]),c_FTR_Orders)),""))</f>
        <v/>
      </c>
      <c r="H246" s="155" t="str">
        <f aca="false">IF(Rider_Input[[#This Row],[Rider ID]]="","",IFERROR(ABS(INDEX(RLVL_Data,MATCH(Rider_Input[[#This Row],[Rider ID]],INDEX(RLVL_Data,0,c_RLVL_ID),0),c_RLVL_Missed)),0))</f>
        <v/>
      </c>
      <c r="I246" s="155" t="str">
        <f aca="false">IF(Rider_Input[[#This Row],[Rider ID]]="","",IFERROR(ABS(INDEX(RLVL_Data,MATCH(Rider_Input[[#This Row],[Rider ID]],INDEX(RLVL_Data,0,c_RLVL_ID),0),c_RLVL_Bal)),0))</f>
        <v/>
      </c>
      <c r="J246" s="155" t="str">
        <f aca="false">IF(Rider_Input[[#This Row],[Rider ID]]="","",IFERROR(ABS(INDEX(RLVL_Data,MATCH(Rider_Input[[#This Row],[Rider ID]],INDEX(RLVL_Data,0,c_RLVL_ID),0),c_RLVL_Stack)),0))</f>
        <v/>
      </c>
      <c r="K246" s="155" t="str">
        <f aca="false">IF(Rider_Input[[#This Row],[Rider ID]]="","",SUMIFS(Adj_Input[Other Deductions],Adj_Input[Rider ID],Rider_Input[[#This Row],[Rider ID]]))</f>
        <v/>
      </c>
      <c r="L246" s="154" t="str">
        <f aca="false">IF(Rider_Input[[#This Row],[Rider ID]]="","",IFERROR(INDEX(Adj_Input[Note / Reason],MATCH(Rider_Input[[#This Row],[Rider ID]],Adj_Input[Rider ID],0))&amp;"",""))</f>
        <v/>
      </c>
    </row>
    <row r="247" customFormat="false" ht="14.25" hidden="false" customHeight="false" outlineLevel="0" collapsed="false">
      <c r="A247" s="152" t="str">
        <f aca="false">IF(Rider_Input[[#This Row],[Rider ID]]="","",Salary_Month)</f>
        <v/>
      </c>
      <c r="B247" s="153" t="str">
        <f aca="false">IFERROR(IF(INDEX(FTR_Data,ROW()-ROW(Rider_Input[#Headers]),c_FTR_ID)="","",INDEX(FTR_Data,ROW()-ROW(Rider_Input[#Headers]),c_FTR_ID)),"")</f>
        <v/>
      </c>
      <c r="C24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4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47" s="153" t="str">
        <f aca="false">IF(Rider_Input[[#This Row],[Rider ID]]="","",DAY(EOMONTH(Salary_Month,0)))</f>
        <v/>
      </c>
      <c r="F247" s="153" t="str">
        <f aca="false">IF(Rider_Input[[#This Row],[Rider ID]]="","",IFERROR(IF(INDEX(FTR_Data,ROW()-ROW(Rider_Input[#Headers]),c_FTR_WD)="","",INDEX(FTR_Data,ROW()-ROW(Rider_Input[#Headers]),c_FTR_WD)),""))</f>
        <v/>
      </c>
      <c r="G247" s="153" t="str">
        <f aca="false">IF(Rider_Input[[#This Row],[Rider ID]]="","",IFERROR(IF(INDEX(FTR_Data,ROW()-ROW(Rider_Input[#Headers]),c_FTR_Orders)="","",INDEX(FTR_Data,ROW()-ROW(Rider_Input[#Headers]),c_FTR_Orders)),""))</f>
        <v/>
      </c>
      <c r="H247" s="155" t="str">
        <f aca="false">IF(Rider_Input[[#This Row],[Rider ID]]="","",IFERROR(ABS(INDEX(RLVL_Data,MATCH(Rider_Input[[#This Row],[Rider ID]],INDEX(RLVL_Data,0,c_RLVL_ID),0),c_RLVL_Missed)),0))</f>
        <v/>
      </c>
      <c r="I247" s="155" t="str">
        <f aca="false">IF(Rider_Input[[#This Row],[Rider ID]]="","",IFERROR(ABS(INDEX(RLVL_Data,MATCH(Rider_Input[[#This Row],[Rider ID]],INDEX(RLVL_Data,0,c_RLVL_ID),0),c_RLVL_Bal)),0))</f>
        <v/>
      </c>
      <c r="J247" s="155" t="str">
        <f aca="false">IF(Rider_Input[[#This Row],[Rider ID]]="","",IFERROR(ABS(INDEX(RLVL_Data,MATCH(Rider_Input[[#This Row],[Rider ID]],INDEX(RLVL_Data,0,c_RLVL_ID),0),c_RLVL_Stack)),0))</f>
        <v/>
      </c>
      <c r="K247" s="155" t="str">
        <f aca="false">IF(Rider_Input[[#This Row],[Rider ID]]="","",SUMIFS(Adj_Input[Other Deductions],Adj_Input[Rider ID],Rider_Input[[#This Row],[Rider ID]]))</f>
        <v/>
      </c>
      <c r="L247" s="154" t="str">
        <f aca="false">IF(Rider_Input[[#This Row],[Rider ID]]="","",IFERROR(INDEX(Adj_Input[Note / Reason],MATCH(Rider_Input[[#This Row],[Rider ID]],Adj_Input[Rider ID],0))&amp;"",""))</f>
        <v/>
      </c>
    </row>
    <row r="248" customFormat="false" ht="14.25" hidden="false" customHeight="false" outlineLevel="0" collapsed="false">
      <c r="A248" s="152" t="str">
        <f aca="false">IF(Rider_Input[[#This Row],[Rider ID]]="","",Salary_Month)</f>
        <v/>
      </c>
      <c r="B248" s="153" t="str">
        <f aca="false">IFERROR(IF(INDEX(FTR_Data,ROW()-ROW(Rider_Input[#Headers]),c_FTR_ID)="","",INDEX(FTR_Data,ROW()-ROW(Rider_Input[#Headers]),c_FTR_ID)),"")</f>
        <v/>
      </c>
      <c r="C24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4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48" s="153" t="str">
        <f aca="false">IF(Rider_Input[[#This Row],[Rider ID]]="","",DAY(EOMONTH(Salary_Month,0)))</f>
        <v/>
      </c>
      <c r="F248" s="153" t="str">
        <f aca="false">IF(Rider_Input[[#This Row],[Rider ID]]="","",IFERROR(IF(INDEX(FTR_Data,ROW()-ROW(Rider_Input[#Headers]),c_FTR_WD)="","",INDEX(FTR_Data,ROW()-ROW(Rider_Input[#Headers]),c_FTR_WD)),""))</f>
        <v/>
      </c>
      <c r="G248" s="153" t="str">
        <f aca="false">IF(Rider_Input[[#This Row],[Rider ID]]="","",IFERROR(IF(INDEX(FTR_Data,ROW()-ROW(Rider_Input[#Headers]),c_FTR_Orders)="","",INDEX(FTR_Data,ROW()-ROW(Rider_Input[#Headers]),c_FTR_Orders)),""))</f>
        <v/>
      </c>
      <c r="H248" s="155" t="str">
        <f aca="false">IF(Rider_Input[[#This Row],[Rider ID]]="","",IFERROR(ABS(INDEX(RLVL_Data,MATCH(Rider_Input[[#This Row],[Rider ID]],INDEX(RLVL_Data,0,c_RLVL_ID),0),c_RLVL_Missed)),0))</f>
        <v/>
      </c>
      <c r="I248" s="155" t="str">
        <f aca="false">IF(Rider_Input[[#This Row],[Rider ID]]="","",IFERROR(ABS(INDEX(RLVL_Data,MATCH(Rider_Input[[#This Row],[Rider ID]],INDEX(RLVL_Data,0,c_RLVL_ID),0),c_RLVL_Bal)),0))</f>
        <v/>
      </c>
      <c r="J248" s="155" t="str">
        <f aca="false">IF(Rider_Input[[#This Row],[Rider ID]]="","",IFERROR(ABS(INDEX(RLVL_Data,MATCH(Rider_Input[[#This Row],[Rider ID]],INDEX(RLVL_Data,0,c_RLVL_ID),0),c_RLVL_Stack)),0))</f>
        <v/>
      </c>
      <c r="K248" s="155" t="str">
        <f aca="false">IF(Rider_Input[[#This Row],[Rider ID]]="","",SUMIFS(Adj_Input[Other Deductions],Adj_Input[Rider ID],Rider_Input[[#This Row],[Rider ID]]))</f>
        <v/>
      </c>
      <c r="L248" s="154" t="str">
        <f aca="false">IF(Rider_Input[[#This Row],[Rider ID]]="","",IFERROR(INDEX(Adj_Input[Note / Reason],MATCH(Rider_Input[[#This Row],[Rider ID]],Adj_Input[Rider ID],0))&amp;"",""))</f>
        <v/>
      </c>
    </row>
    <row r="249" customFormat="false" ht="14.25" hidden="false" customHeight="false" outlineLevel="0" collapsed="false">
      <c r="A249" s="152" t="str">
        <f aca="false">IF(Rider_Input[[#This Row],[Rider ID]]="","",Salary_Month)</f>
        <v/>
      </c>
      <c r="B249" s="153" t="str">
        <f aca="false">IFERROR(IF(INDEX(FTR_Data,ROW()-ROW(Rider_Input[#Headers]),c_FTR_ID)="","",INDEX(FTR_Data,ROW()-ROW(Rider_Input[#Headers]),c_FTR_ID)),"")</f>
        <v/>
      </c>
      <c r="C24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4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49" s="153" t="str">
        <f aca="false">IF(Rider_Input[[#This Row],[Rider ID]]="","",DAY(EOMONTH(Salary_Month,0)))</f>
        <v/>
      </c>
      <c r="F249" s="153" t="str">
        <f aca="false">IF(Rider_Input[[#This Row],[Rider ID]]="","",IFERROR(IF(INDEX(FTR_Data,ROW()-ROW(Rider_Input[#Headers]),c_FTR_WD)="","",INDEX(FTR_Data,ROW()-ROW(Rider_Input[#Headers]),c_FTR_WD)),""))</f>
        <v/>
      </c>
      <c r="G249" s="153" t="str">
        <f aca="false">IF(Rider_Input[[#This Row],[Rider ID]]="","",IFERROR(IF(INDEX(FTR_Data,ROW()-ROW(Rider_Input[#Headers]),c_FTR_Orders)="","",INDEX(FTR_Data,ROW()-ROW(Rider_Input[#Headers]),c_FTR_Orders)),""))</f>
        <v/>
      </c>
      <c r="H249" s="155" t="str">
        <f aca="false">IF(Rider_Input[[#This Row],[Rider ID]]="","",IFERROR(ABS(INDEX(RLVL_Data,MATCH(Rider_Input[[#This Row],[Rider ID]],INDEX(RLVL_Data,0,c_RLVL_ID),0),c_RLVL_Missed)),0))</f>
        <v/>
      </c>
      <c r="I249" s="155" t="str">
        <f aca="false">IF(Rider_Input[[#This Row],[Rider ID]]="","",IFERROR(ABS(INDEX(RLVL_Data,MATCH(Rider_Input[[#This Row],[Rider ID]],INDEX(RLVL_Data,0,c_RLVL_ID),0),c_RLVL_Bal)),0))</f>
        <v/>
      </c>
      <c r="J249" s="155" t="str">
        <f aca="false">IF(Rider_Input[[#This Row],[Rider ID]]="","",IFERROR(ABS(INDEX(RLVL_Data,MATCH(Rider_Input[[#This Row],[Rider ID]],INDEX(RLVL_Data,0,c_RLVL_ID),0),c_RLVL_Stack)),0))</f>
        <v/>
      </c>
      <c r="K249" s="155" t="str">
        <f aca="false">IF(Rider_Input[[#This Row],[Rider ID]]="","",SUMIFS(Adj_Input[Other Deductions],Adj_Input[Rider ID],Rider_Input[[#This Row],[Rider ID]]))</f>
        <v/>
      </c>
      <c r="L249" s="154" t="str">
        <f aca="false">IF(Rider_Input[[#This Row],[Rider ID]]="","",IFERROR(INDEX(Adj_Input[Note / Reason],MATCH(Rider_Input[[#This Row],[Rider ID]],Adj_Input[Rider ID],0))&amp;"",""))</f>
        <v/>
      </c>
    </row>
    <row r="250" customFormat="false" ht="14.25" hidden="false" customHeight="false" outlineLevel="0" collapsed="false">
      <c r="A250" s="152" t="str">
        <f aca="false">IF(Rider_Input[[#This Row],[Rider ID]]="","",Salary_Month)</f>
        <v/>
      </c>
      <c r="B250" s="153" t="str">
        <f aca="false">IFERROR(IF(INDEX(FTR_Data,ROW()-ROW(Rider_Input[#Headers]),c_FTR_ID)="","",INDEX(FTR_Data,ROW()-ROW(Rider_Input[#Headers]),c_FTR_ID)),"")</f>
        <v/>
      </c>
      <c r="C25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5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50" s="153" t="str">
        <f aca="false">IF(Rider_Input[[#This Row],[Rider ID]]="","",DAY(EOMONTH(Salary_Month,0)))</f>
        <v/>
      </c>
      <c r="F250" s="153" t="str">
        <f aca="false">IF(Rider_Input[[#This Row],[Rider ID]]="","",IFERROR(IF(INDEX(FTR_Data,ROW()-ROW(Rider_Input[#Headers]),c_FTR_WD)="","",INDEX(FTR_Data,ROW()-ROW(Rider_Input[#Headers]),c_FTR_WD)),""))</f>
        <v/>
      </c>
      <c r="G250" s="153" t="str">
        <f aca="false">IF(Rider_Input[[#This Row],[Rider ID]]="","",IFERROR(IF(INDEX(FTR_Data,ROW()-ROW(Rider_Input[#Headers]),c_FTR_Orders)="","",INDEX(FTR_Data,ROW()-ROW(Rider_Input[#Headers]),c_FTR_Orders)),""))</f>
        <v/>
      </c>
      <c r="H250" s="155" t="str">
        <f aca="false">IF(Rider_Input[[#This Row],[Rider ID]]="","",IFERROR(ABS(INDEX(RLVL_Data,MATCH(Rider_Input[[#This Row],[Rider ID]],INDEX(RLVL_Data,0,c_RLVL_ID),0),c_RLVL_Missed)),0))</f>
        <v/>
      </c>
      <c r="I250" s="155" t="str">
        <f aca="false">IF(Rider_Input[[#This Row],[Rider ID]]="","",IFERROR(ABS(INDEX(RLVL_Data,MATCH(Rider_Input[[#This Row],[Rider ID]],INDEX(RLVL_Data,0,c_RLVL_ID),0),c_RLVL_Bal)),0))</f>
        <v/>
      </c>
      <c r="J250" s="155" t="str">
        <f aca="false">IF(Rider_Input[[#This Row],[Rider ID]]="","",IFERROR(ABS(INDEX(RLVL_Data,MATCH(Rider_Input[[#This Row],[Rider ID]],INDEX(RLVL_Data,0,c_RLVL_ID),0),c_RLVL_Stack)),0))</f>
        <v/>
      </c>
      <c r="K250" s="155" t="str">
        <f aca="false">IF(Rider_Input[[#This Row],[Rider ID]]="","",SUMIFS(Adj_Input[Other Deductions],Adj_Input[Rider ID],Rider_Input[[#This Row],[Rider ID]]))</f>
        <v/>
      </c>
      <c r="L250" s="154" t="str">
        <f aca="false">IF(Rider_Input[[#This Row],[Rider ID]]="","",IFERROR(INDEX(Adj_Input[Note / Reason],MATCH(Rider_Input[[#This Row],[Rider ID]],Adj_Input[Rider ID],0))&amp;"",""))</f>
        <v/>
      </c>
    </row>
    <row r="251" customFormat="false" ht="14.25" hidden="false" customHeight="false" outlineLevel="0" collapsed="false">
      <c r="A251" s="152" t="str">
        <f aca="false">IF(Rider_Input[[#This Row],[Rider ID]]="","",Salary_Month)</f>
        <v/>
      </c>
      <c r="B251" s="153" t="str">
        <f aca="false">IFERROR(IF(INDEX(FTR_Data,ROW()-ROW(Rider_Input[#Headers]),c_FTR_ID)="","",INDEX(FTR_Data,ROW()-ROW(Rider_Input[#Headers]),c_FTR_ID)),"")</f>
        <v/>
      </c>
      <c r="C25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5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51" s="153" t="str">
        <f aca="false">IF(Rider_Input[[#This Row],[Rider ID]]="","",DAY(EOMONTH(Salary_Month,0)))</f>
        <v/>
      </c>
      <c r="F251" s="153" t="str">
        <f aca="false">IF(Rider_Input[[#This Row],[Rider ID]]="","",IFERROR(IF(INDEX(FTR_Data,ROW()-ROW(Rider_Input[#Headers]),c_FTR_WD)="","",INDEX(FTR_Data,ROW()-ROW(Rider_Input[#Headers]),c_FTR_WD)),""))</f>
        <v/>
      </c>
      <c r="G251" s="153" t="str">
        <f aca="false">IF(Rider_Input[[#This Row],[Rider ID]]="","",IFERROR(IF(INDEX(FTR_Data,ROW()-ROW(Rider_Input[#Headers]),c_FTR_Orders)="","",INDEX(FTR_Data,ROW()-ROW(Rider_Input[#Headers]),c_FTR_Orders)),""))</f>
        <v/>
      </c>
      <c r="H251" s="155" t="str">
        <f aca="false">IF(Rider_Input[[#This Row],[Rider ID]]="","",IFERROR(ABS(INDEX(RLVL_Data,MATCH(Rider_Input[[#This Row],[Rider ID]],INDEX(RLVL_Data,0,c_RLVL_ID),0),c_RLVL_Missed)),0))</f>
        <v/>
      </c>
      <c r="I251" s="155" t="str">
        <f aca="false">IF(Rider_Input[[#This Row],[Rider ID]]="","",IFERROR(ABS(INDEX(RLVL_Data,MATCH(Rider_Input[[#This Row],[Rider ID]],INDEX(RLVL_Data,0,c_RLVL_ID),0),c_RLVL_Bal)),0))</f>
        <v/>
      </c>
      <c r="J251" s="155" t="str">
        <f aca="false">IF(Rider_Input[[#This Row],[Rider ID]]="","",IFERROR(ABS(INDEX(RLVL_Data,MATCH(Rider_Input[[#This Row],[Rider ID]],INDEX(RLVL_Data,0,c_RLVL_ID),0),c_RLVL_Stack)),0))</f>
        <v/>
      </c>
      <c r="K251" s="155" t="str">
        <f aca="false">IF(Rider_Input[[#This Row],[Rider ID]]="","",SUMIFS(Adj_Input[Other Deductions],Adj_Input[Rider ID],Rider_Input[[#This Row],[Rider ID]]))</f>
        <v/>
      </c>
      <c r="L251" s="154" t="str">
        <f aca="false">IF(Rider_Input[[#This Row],[Rider ID]]="","",IFERROR(INDEX(Adj_Input[Note / Reason],MATCH(Rider_Input[[#This Row],[Rider ID]],Adj_Input[Rider ID],0))&amp;"",""))</f>
        <v/>
      </c>
    </row>
    <row r="252" customFormat="false" ht="14.25" hidden="false" customHeight="false" outlineLevel="0" collapsed="false">
      <c r="A252" s="152" t="str">
        <f aca="false">IF(Rider_Input[[#This Row],[Rider ID]]="","",Salary_Month)</f>
        <v/>
      </c>
      <c r="B252" s="153" t="str">
        <f aca="false">IFERROR(IF(INDEX(FTR_Data,ROW()-ROW(Rider_Input[#Headers]),c_FTR_ID)="","",INDEX(FTR_Data,ROW()-ROW(Rider_Input[#Headers]),c_FTR_ID)),"")</f>
        <v/>
      </c>
      <c r="C25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5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52" s="153" t="str">
        <f aca="false">IF(Rider_Input[[#This Row],[Rider ID]]="","",DAY(EOMONTH(Salary_Month,0)))</f>
        <v/>
      </c>
      <c r="F252" s="153" t="str">
        <f aca="false">IF(Rider_Input[[#This Row],[Rider ID]]="","",IFERROR(IF(INDEX(FTR_Data,ROW()-ROW(Rider_Input[#Headers]),c_FTR_WD)="","",INDEX(FTR_Data,ROW()-ROW(Rider_Input[#Headers]),c_FTR_WD)),""))</f>
        <v/>
      </c>
      <c r="G252" s="153" t="str">
        <f aca="false">IF(Rider_Input[[#This Row],[Rider ID]]="","",IFERROR(IF(INDEX(FTR_Data,ROW()-ROW(Rider_Input[#Headers]),c_FTR_Orders)="","",INDEX(FTR_Data,ROW()-ROW(Rider_Input[#Headers]),c_FTR_Orders)),""))</f>
        <v/>
      </c>
      <c r="H252" s="155" t="str">
        <f aca="false">IF(Rider_Input[[#This Row],[Rider ID]]="","",IFERROR(ABS(INDEX(RLVL_Data,MATCH(Rider_Input[[#This Row],[Rider ID]],INDEX(RLVL_Data,0,c_RLVL_ID),0),c_RLVL_Missed)),0))</f>
        <v/>
      </c>
      <c r="I252" s="155" t="str">
        <f aca="false">IF(Rider_Input[[#This Row],[Rider ID]]="","",IFERROR(ABS(INDEX(RLVL_Data,MATCH(Rider_Input[[#This Row],[Rider ID]],INDEX(RLVL_Data,0,c_RLVL_ID),0),c_RLVL_Bal)),0))</f>
        <v/>
      </c>
      <c r="J252" s="155" t="str">
        <f aca="false">IF(Rider_Input[[#This Row],[Rider ID]]="","",IFERROR(ABS(INDEX(RLVL_Data,MATCH(Rider_Input[[#This Row],[Rider ID]],INDEX(RLVL_Data,0,c_RLVL_ID),0),c_RLVL_Stack)),0))</f>
        <v/>
      </c>
      <c r="K252" s="155" t="str">
        <f aca="false">IF(Rider_Input[[#This Row],[Rider ID]]="","",SUMIFS(Adj_Input[Other Deductions],Adj_Input[Rider ID],Rider_Input[[#This Row],[Rider ID]]))</f>
        <v/>
      </c>
      <c r="L252" s="154" t="str">
        <f aca="false">IF(Rider_Input[[#This Row],[Rider ID]]="","",IFERROR(INDEX(Adj_Input[Note / Reason],MATCH(Rider_Input[[#This Row],[Rider ID]],Adj_Input[Rider ID],0))&amp;"",""))</f>
        <v/>
      </c>
    </row>
    <row r="253" customFormat="false" ht="14.25" hidden="false" customHeight="false" outlineLevel="0" collapsed="false">
      <c r="A253" s="152" t="str">
        <f aca="false">IF(Rider_Input[[#This Row],[Rider ID]]="","",Salary_Month)</f>
        <v/>
      </c>
      <c r="B253" s="153" t="str">
        <f aca="false">IFERROR(IF(INDEX(FTR_Data,ROW()-ROW(Rider_Input[#Headers]),c_FTR_ID)="","",INDEX(FTR_Data,ROW()-ROW(Rider_Input[#Headers]),c_FTR_ID)),"")</f>
        <v/>
      </c>
      <c r="C25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5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53" s="153" t="str">
        <f aca="false">IF(Rider_Input[[#This Row],[Rider ID]]="","",DAY(EOMONTH(Salary_Month,0)))</f>
        <v/>
      </c>
      <c r="F253" s="153" t="str">
        <f aca="false">IF(Rider_Input[[#This Row],[Rider ID]]="","",IFERROR(IF(INDEX(FTR_Data,ROW()-ROW(Rider_Input[#Headers]),c_FTR_WD)="","",INDEX(FTR_Data,ROW()-ROW(Rider_Input[#Headers]),c_FTR_WD)),""))</f>
        <v/>
      </c>
      <c r="G253" s="153" t="str">
        <f aca="false">IF(Rider_Input[[#This Row],[Rider ID]]="","",IFERROR(IF(INDEX(FTR_Data,ROW()-ROW(Rider_Input[#Headers]),c_FTR_Orders)="","",INDEX(FTR_Data,ROW()-ROW(Rider_Input[#Headers]),c_FTR_Orders)),""))</f>
        <v/>
      </c>
      <c r="H253" s="155" t="str">
        <f aca="false">IF(Rider_Input[[#This Row],[Rider ID]]="","",IFERROR(ABS(INDEX(RLVL_Data,MATCH(Rider_Input[[#This Row],[Rider ID]],INDEX(RLVL_Data,0,c_RLVL_ID),0),c_RLVL_Missed)),0))</f>
        <v/>
      </c>
      <c r="I253" s="155" t="str">
        <f aca="false">IF(Rider_Input[[#This Row],[Rider ID]]="","",IFERROR(ABS(INDEX(RLVL_Data,MATCH(Rider_Input[[#This Row],[Rider ID]],INDEX(RLVL_Data,0,c_RLVL_ID),0),c_RLVL_Bal)),0))</f>
        <v/>
      </c>
      <c r="J253" s="155" t="str">
        <f aca="false">IF(Rider_Input[[#This Row],[Rider ID]]="","",IFERROR(ABS(INDEX(RLVL_Data,MATCH(Rider_Input[[#This Row],[Rider ID]],INDEX(RLVL_Data,0,c_RLVL_ID),0),c_RLVL_Stack)),0))</f>
        <v/>
      </c>
      <c r="K253" s="155" t="str">
        <f aca="false">IF(Rider_Input[[#This Row],[Rider ID]]="","",SUMIFS(Adj_Input[Other Deductions],Adj_Input[Rider ID],Rider_Input[[#This Row],[Rider ID]]))</f>
        <v/>
      </c>
      <c r="L253" s="154" t="str">
        <f aca="false">IF(Rider_Input[[#This Row],[Rider ID]]="","",IFERROR(INDEX(Adj_Input[Note / Reason],MATCH(Rider_Input[[#This Row],[Rider ID]],Adj_Input[Rider ID],0))&amp;"",""))</f>
        <v/>
      </c>
    </row>
    <row r="254" customFormat="false" ht="14.25" hidden="false" customHeight="false" outlineLevel="0" collapsed="false">
      <c r="A254" s="152" t="str">
        <f aca="false">IF(Rider_Input[[#This Row],[Rider ID]]="","",Salary_Month)</f>
        <v/>
      </c>
      <c r="B254" s="153" t="str">
        <f aca="false">IFERROR(IF(INDEX(FTR_Data,ROW()-ROW(Rider_Input[#Headers]),c_FTR_ID)="","",INDEX(FTR_Data,ROW()-ROW(Rider_Input[#Headers]),c_FTR_ID)),"")</f>
        <v/>
      </c>
      <c r="C25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5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54" s="153" t="str">
        <f aca="false">IF(Rider_Input[[#This Row],[Rider ID]]="","",DAY(EOMONTH(Salary_Month,0)))</f>
        <v/>
      </c>
      <c r="F254" s="153" t="str">
        <f aca="false">IF(Rider_Input[[#This Row],[Rider ID]]="","",IFERROR(IF(INDEX(FTR_Data,ROW()-ROW(Rider_Input[#Headers]),c_FTR_WD)="","",INDEX(FTR_Data,ROW()-ROW(Rider_Input[#Headers]),c_FTR_WD)),""))</f>
        <v/>
      </c>
      <c r="G254" s="153" t="str">
        <f aca="false">IF(Rider_Input[[#This Row],[Rider ID]]="","",IFERROR(IF(INDEX(FTR_Data,ROW()-ROW(Rider_Input[#Headers]),c_FTR_Orders)="","",INDEX(FTR_Data,ROW()-ROW(Rider_Input[#Headers]),c_FTR_Orders)),""))</f>
        <v/>
      </c>
      <c r="H254" s="155" t="str">
        <f aca="false">IF(Rider_Input[[#This Row],[Rider ID]]="","",IFERROR(ABS(INDEX(RLVL_Data,MATCH(Rider_Input[[#This Row],[Rider ID]],INDEX(RLVL_Data,0,c_RLVL_ID),0),c_RLVL_Missed)),0))</f>
        <v/>
      </c>
      <c r="I254" s="155" t="str">
        <f aca="false">IF(Rider_Input[[#This Row],[Rider ID]]="","",IFERROR(ABS(INDEX(RLVL_Data,MATCH(Rider_Input[[#This Row],[Rider ID]],INDEX(RLVL_Data,0,c_RLVL_ID),0),c_RLVL_Bal)),0))</f>
        <v/>
      </c>
      <c r="J254" s="155" t="str">
        <f aca="false">IF(Rider_Input[[#This Row],[Rider ID]]="","",IFERROR(ABS(INDEX(RLVL_Data,MATCH(Rider_Input[[#This Row],[Rider ID]],INDEX(RLVL_Data,0,c_RLVL_ID),0),c_RLVL_Stack)),0))</f>
        <v/>
      </c>
      <c r="K254" s="155" t="str">
        <f aca="false">IF(Rider_Input[[#This Row],[Rider ID]]="","",SUMIFS(Adj_Input[Other Deductions],Adj_Input[Rider ID],Rider_Input[[#This Row],[Rider ID]]))</f>
        <v/>
      </c>
      <c r="L254" s="154" t="str">
        <f aca="false">IF(Rider_Input[[#This Row],[Rider ID]]="","",IFERROR(INDEX(Adj_Input[Note / Reason],MATCH(Rider_Input[[#This Row],[Rider ID]],Adj_Input[Rider ID],0))&amp;"",""))</f>
        <v/>
      </c>
    </row>
    <row r="255" customFormat="false" ht="14.25" hidden="false" customHeight="false" outlineLevel="0" collapsed="false">
      <c r="A255" s="152" t="str">
        <f aca="false">IF(Rider_Input[[#This Row],[Rider ID]]="","",Salary_Month)</f>
        <v/>
      </c>
      <c r="B255" s="153" t="str">
        <f aca="false">IFERROR(IF(INDEX(FTR_Data,ROW()-ROW(Rider_Input[#Headers]),c_FTR_ID)="","",INDEX(FTR_Data,ROW()-ROW(Rider_Input[#Headers]),c_FTR_ID)),"")</f>
        <v/>
      </c>
      <c r="C25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5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55" s="153" t="str">
        <f aca="false">IF(Rider_Input[[#This Row],[Rider ID]]="","",DAY(EOMONTH(Salary_Month,0)))</f>
        <v/>
      </c>
      <c r="F255" s="153" t="str">
        <f aca="false">IF(Rider_Input[[#This Row],[Rider ID]]="","",IFERROR(IF(INDEX(FTR_Data,ROW()-ROW(Rider_Input[#Headers]),c_FTR_WD)="","",INDEX(FTR_Data,ROW()-ROW(Rider_Input[#Headers]),c_FTR_WD)),""))</f>
        <v/>
      </c>
      <c r="G255" s="153" t="str">
        <f aca="false">IF(Rider_Input[[#This Row],[Rider ID]]="","",IFERROR(IF(INDEX(FTR_Data,ROW()-ROW(Rider_Input[#Headers]),c_FTR_Orders)="","",INDEX(FTR_Data,ROW()-ROW(Rider_Input[#Headers]),c_FTR_Orders)),""))</f>
        <v/>
      </c>
      <c r="H255" s="155" t="str">
        <f aca="false">IF(Rider_Input[[#This Row],[Rider ID]]="","",IFERROR(ABS(INDEX(RLVL_Data,MATCH(Rider_Input[[#This Row],[Rider ID]],INDEX(RLVL_Data,0,c_RLVL_ID),0),c_RLVL_Missed)),0))</f>
        <v/>
      </c>
      <c r="I255" s="155" t="str">
        <f aca="false">IF(Rider_Input[[#This Row],[Rider ID]]="","",IFERROR(ABS(INDEX(RLVL_Data,MATCH(Rider_Input[[#This Row],[Rider ID]],INDEX(RLVL_Data,0,c_RLVL_ID),0),c_RLVL_Bal)),0))</f>
        <v/>
      </c>
      <c r="J255" s="155" t="str">
        <f aca="false">IF(Rider_Input[[#This Row],[Rider ID]]="","",IFERROR(ABS(INDEX(RLVL_Data,MATCH(Rider_Input[[#This Row],[Rider ID]],INDEX(RLVL_Data,0,c_RLVL_ID),0),c_RLVL_Stack)),0))</f>
        <v/>
      </c>
      <c r="K255" s="155" t="str">
        <f aca="false">IF(Rider_Input[[#This Row],[Rider ID]]="","",SUMIFS(Adj_Input[Other Deductions],Adj_Input[Rider ID],Rider_Input[[#This Row],[Rider ID]]))</f>
        <v/>
      </c>
      <c r="L255" s="154" t="str">
        <f aca="false">IF(Rider_Input[[#This Row],[Rider ID]]="","",IFERROR(INDEX(Adj_Input[Note / Reason],MATCH(Rider_Input[[#This Row],[Rider ID]],Adj_Input[Rider ID],0))&amp;"",""))</f>
        <v/>
      </c>
    </row>
    <row r="256" customFormat="false" ht="14.25" hidden="false" customHeight="false" outlineLevel="0" collapsed="false">
      <c r="A256" s="152" t="str">
        <f aca="false">IF(Rider_Input[[#This Row],[Rider ID]]="","",Salary_Month)</f>
        <v/>
      </c>
      <c r="B256" s="153" t="str">
        <f aca="false">IFERROR(IF(INDEX(FTR_Data,ROW()-ROW(Rider_Input[#Headers]),c_FTR_ID)="","",INDEX(FTR_Data,ROW()-ROW(Rider_Input[#Headers]),c_FTR_ID)),"")</f>
        <v/>
      </c>
      <c r="C25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5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56" s="153" t="str">
        <f aca="false">IF(Rider_Input[[#This Row],[Rider ID]]="","",DAY(EOMONTH(Salary_Month,0)))</f>
        <v/>
      </c>
      <c r="F256" s="153" t="str">
        <f aca="false">IF(Rider_Input[[#This Row],[Rider ID]]="","",IFERROR(IF(INDEX(FTR_Data,ROW()-ROW(Rider_Input[#Headers]),c_FTR_WD)="","",INDEX(FTR_Data,ROW()-ROW(Rider_Input[#Headers]),c_FTR_WD)),""))</f>
        <v/>
      </c>
      <c r="G256" s="153" t="str">
        <f aca="false">IF(Rider_Input[[#This Row],[Rider ID]]="","",IFERROR(IF(INDEX(FTR_Data,ROW()-ROW(Rider_Input[#Headers]),c_FTR_Orders)="","",INDEX(FTR_Data,ROW()-ROW(Rider_Input[#Headers]),c_FTR_Orders)),""))</f>
        <v/>
      </c>
      <c r="H256" s="155" t="str">
        <f aca="false">IF(Rider_Input[[#This Row],[Rider ID]]="","",IFERROR(ABS(INDEX(RLVL_Data,MATCH(Rider_Input[[#This Row],[Rider ID]],INDEX(RLVL_Data,0,c_RLVL_ID),0),c_RLVL_Missed)),0))</f>
        <v/>
      </c>
      <c r="I256" s="155" t="str">
        <f aca="false">IF(Rider_Input[[#This Row],[Rider ID]]="","",IFERROR(ABS(INDEX(RLVL_Data,MATCH(Rider_Input[[#This Row],[Rider ID]],INDEX(RLVL_Data,0,c_RLVL_ID),0),c_RLVL_Bal)),0))</f>
        <v/>
      </c>
      <c r="J256" s="155" t="str">
        <f aca="false">IF(Rider_Input[[#This Row],[Rider ID]]="","",IFERROR(ABS(INDEX(RLVL_Data,MATCH(Rider_Input[[#This Row],[Rider ID]],INDEX(RLVL_Data,0,c_RLVL_ID),0),c_RLVL_Stack)),0))</f>
        <v/>
      </c>
      <c r="K256" s="155" t="str">
        <f aca="false">IF(Rider_Input[[#This Row],[Rider ID]]="","",SUMIFS(Adj_Input[Other Deductions],Adj_Input[Rider ID],Rider_Input[[#This Row],[Rider ID]]))</f>
        <v/>
      </c>
      <c r="L256" s="154" t="str">
        <f aca="false">IF(Rider_Input[[#This Row],[Rider ID]]="","",IFERROR(INDEX(Adj_Input[Note / Reason],MATCH(Rider_Input[[#This Row],[Rider ID]],Adj_Input[Rider ID],0))&amp;"",""))</f>
        <v/>
      </c>
    </row>
    <row r="257" customFormat="false" ht="14.25" hidden="false" customHeight="false" outlineLevel="0" collapsed="false">
      <c r="A257" s="152" t="str">
        <f aca="false">IF(Rider_Input[[#This Row],[Rider ID]]="","",Salary_Month)</f>
        <v/>
      </c>
      <c r="B257" s="153" t="str">
        <f aca="false">IFERROR(IF(INDEX(FTR_Data,ROW()-ROW(Rider_Input[#Headers]),c_FTR_ID)="","",INDEX(FTR_Data,ROW()-ROW(Rider_Input[#Headers]),c_FTR_ID)),"")</f>
        <v/>
      </c>
      <c r="C25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5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57" s="153" t="str">
        <f aca="false">IF(Rider_Input[[#This Row],[Rider ID]]="","",DAY(EOMONTH(Salary_Month,0)))</f>
        <v/>
      </c>
      <c r="F257" s="153" t="str">
        <f aca="false">IF(Rider_Input[[#This Row],[Rider ID]]="","",IFERROR(IF(INDEX(FTR_Data,ROW()-ROW(Rider_Input[#Headers]),c_FTR_WD)="","",INDEX(FTR_Data,ROW()-ROW(Rider_Input[#Headers]),c_FTR_WD)),""))</f>
        <v/>
      </c>
      <c r="G257" s="153" t="str">
        <f aca="false">IF(Rider_Input[[#This Row],[Rider ID]]="","",IFERROR(IF(INDEX(FTR_Data,ROW()-ROW(Rider_Input[#Headers]),c_FTR_Orders)="","",INDEX(FTR_Data,ROW()-ROW(Rider_Input[#Headers]),c_FTR_Orders)),""))</f>
        <v/>
      </c>
      <c r="H257" s="155" t="str">
        <f aca="false">IF(Rider_Input[[#This Row],[Rider ID]]="","",IFERROR(ABS(INDEX(RLVL_Data,MATCH(Rider_Input[[#This Row],[Rider ID]],INDEX(RLVL_Data,0,c_RLVL_ID),0),c_RLVL_Missed)),0))</f>
        <v/>
      </c>
      <c r="I257" s="155" t="str">
        <f aca="false">IF(Rider_Input[[#This Row],[Rider ID]]="","",IFERROR(ABS(INDEX(RLVL_Data,MATCH(Rider_Input[[#This Row],[Rider ID]],INDEX(RLVL_Data,0,c_RLVL_ID),0),c_RLVL_Bal)),0))</f>
        <v/>
      </c>
      <c r="J257" s="155" t="str">
        <f aca="false">IF(Rider_Input[[#This Row],[Rider ID]]="","",IFERROR(ABS(INDEX(RLVL_Data,MATCH(Rider_Input[[#This Row],[Rider ID]],INDEX(RLVL_Data,0,c_RLVL_ID),0),c_RLVL_Stack)),0))</f>
        <v/>
      </c>
      <c r="K257" s="155" t="str">
        <f aca="false">IF(Rider_Input[[#This Row],[Rider ID]]="","",SUMIFS(Adj_Input[Other Deductions],Adj_Input[Rider ID],Rider_Input[[#This Row],[Rider ID]]))</f>
        <v/>
      </c>
      <c r="L257" s="154" t="str">
        <f aca="false">IF(Rider_Input[[#This Row],[Rider ID]]="","",IFERROR(INDEX(Adj_Input[Note / Reason],MATCH(Rider_Input[[#This Row],[Rider ID]],Adj_Input[Rider ID],0))&amp;"",""))</f>
        <v/>
      </c>
    </row>
    <row r="258" customFormat="false" ht="14.25" hidden="false" customHeight="false" outlineLevel="0" collapsed="false">
      <c r="A258" s="152" t="str">
        <f aca="false">IF(Rider_Input[[#This Row],[Rider ID]]="","",Salary_Month)</f>
        <v/>
      </c>
      <c r="B258" s="153" t="str">
        <f aca="false">IFERROR(IF(INDEX(FTR_Data,ROW()-ROW(Rider_Input[#Headers]),c_FTR_ID)="","",INDEX(FTR_Data,ROW()-ROW(Rider_Input[#Headers]),c_FTR_ID)),"")</f>
        <v/>
      </c>
      <c r="C25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5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58" s="153" t="str">
        <f aca="false">IF(Rider_Input[[#This Row],[Rider ID]]="","",DAY(EOMONTH(Salary_Month,0)))</f>
        <v/>
      </c>
      <c r="F258" s="153" t="str">
        <f aca="false">IF(Rider_Input[[#This Row],[Rider ID]]="","",IFERROR(IF(INDEX(FTR_Data,ROW()-ROW(Rider_Input[#Headers]),c_FTR_WD)="","",INDEX(FTR_Data,ROW()-ROW(Rider_Input[#Headers]),c_FTR_WD)),""))</f>
        <v/>
      </c>
      <c r="G258" s="153" t="str">
        <f aca="false">IF(Rider_Input[[#This Row],[Rider ID]]="","",IFERROR(IF(INDEX(FTR_Data,ROW()-ROW(Rider_Input[#Headers]),c_FTR_Orders)="","",INDEX(FTR_Data,ROW()-ROW(Rider_Input[#Headers]),c_FTR_Orders)),""))</f>
        <v/>
      </c>
      <c r="H258" s="155" t="str">
        <f aca="false">IF(Rider_Input[[#This Row],[Rider ID]]="","",IFERROR(ABS(INDEX(RLVL_Data,MATCH(Rider_Input[[#This Row],[Rider ID]],INDEX(RLVL_Data,0,c_RLVL_ID),0),c_RLVL_Missed)),0))</f>
        <v/>
      </c>
      <c r="I258" s="155" t="str">
        <f aca="false">IF(Rider_Input[[#This Row],[Rider ID]]="","",IFERROR(ABS(INDEX(RLVL_Data,MATCH(Rider_Input[[#This Row],[Rider ID]],INDEX(RLVL_Data,0,c_RLVL_ID),0),c_RLVL_Bal)),0))</f>
        <v/>
      </c>
      <c r="J258" s="155" t="str">
        <f aca="false">IF(Rider_Input[[#This Row],[Rider ID]]="","",IFERROR(ABS(INDEX(RLVL_Data,MATCH(Rider_Input[[#This Row],[Rider ID]],INDEX(RLVL_Data,0,c_RLVL_ID),0),c_RLVL_Stack)),0))</f>
        <v/>
      </c>
      <c r="K258" s="155" t="str">
        <f aca="false">IF(Rider_Input[[#This Row],[Rider ID]]="","",SUMIFS(Adj_Input[Other Deductions],Adj_Input[Rider ID],Rider_Input[[#This Row],[Rider ID]]))</f>
        <v/>
      </c>
      <c r="L258" s="154" t="str">
        <f aca="false">IF(Rider_Input[[#This Row],[Rider ID]]="","",IFERROR(INDEX(Adj_Input[Note / Reason],MATCH(Rider_Input[[#This Row],[Rider ID]],Adj_Input[Rider ID],0))&amp;"",""))</f>
        <v/>
      </c>
    </row>
    <row r="259" customFormat="false" ht="14.25" hidden="false" customHeight="false" outlineLevel="0" collapsed="false">
      <c r="A259" s="152" t="str">
        <f aca="false">IF(Rider_Input[[#This Row],[Rider ID]]="","",Salary_Month)</f>
        <v/>
      </c>
      <c r="B259" s="153" t="str">
        <f aca="false">IFERROR(IF(INDEX(FTR_Data,ROW()-ROW(Rider_Input[#Headers]),c_FTR_ID)="","",INDEX(FTR_Data,ROW()-ROW(Rider_Input[#Headers]),c_FTR_ID)),"")</f>
        <v/>
      </c>
      <c r="C25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5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59" s="153" t="str">
        <f aca="false">IF(Rider_Input[[#This Row],[Rider ID]]="","",DAY(EOMONTH(Salary_Month,0)))</f>
        <v/>
      </c>
      <c r="F259" s="153" t="str">
        <f aca="false">IF(Rider_Input[[#This Row],[Rider ID]]="","",IFERROR(IF(INDEX(FTR_Data,ROW()-ROW(Rider_Input[#Headers]),c_FTR_WD)="","",INDEX(FTR_Data,ROW()-ROW(Rider_Input[#Headers]),c_FTR_WD)),""))</f>
        <v/>
      </c>
      <c r="G259" s="153" t="str">
        <f aca="false">IF(Rider_Input[[#This Row],[Rider ID]]="","",IFERROR(IF(INDEX(FTR_Data,ROW()-ROW(Rider_Input[#Headers]),c_FTR_Orders)="","",INDEX(FTR_Data,ROW()-ROW(Rider_Input[#Headers]),c_FTR_Orders)),""))</f>
        <v/>
      </c>
      <c r="H259" s="155" t="str">
        <f aca="false">IF(Rider_Input[[#This Row],[Rider ID]]="","",IFERROR(ABS(INDEX(RLVL_Data,MATCH(Rider_Input[[#This Row],[Rider ID]],INDEX(RLVL_Data,0,c_RLVL_ID),0),c_RLVL_Missed)),0))</f>
        <v/>
      </c>
      <c r="I259" s="155" t="str">
        <f aca="false">IF(Rider_Input[[#This Row],[Rider ID]]="","",IFERROR(ABS(INDEX(RLVL_Data,MATCH(Rider_Input[[#This Row],[Rider ID]],INDEX(RLVL_Data,0,c_RLVL_ID),0),c_RLVL_Bal)),0))</f>
        <v/>
      </c>
      <c r="J259" s="155" t="str">
        <f aca="false">IF(Rider_Input[[#This Row],[Rider ID]]="","",IFERROR(ABS(INDEX(RLVL_Data,MATCH(Rider_Input[[#This Row],[Rider ID]],INDEX(RLVL_Data,0,c_RLVL_ID),0),c_RLVL_Stack)),0))</f>
        <v/>
      </c>
      <c r="K259" s="155" t="str">
        <f aca="false">IF(Rider_Input[[#This Row],[Rider ID]]="","",SUMIFS(Adj_Input[Other Deductions],Adj_Input[Rider ID],Rider_Input[[#This Row],[Rider ID]]))</f>
        <v/>
      </c>
      <c r="L259" s="154" t="str">
        <f aca="false">IF(Rider_Input[[#This Row],[Rider ID]]="","",IFERROR(INDEX(Adj_Input[Note / Reason],MATCH(Rider_Input[[#This Row],[Rider ID]],Adj_Input[Rider ID],0))&amp;"",""))</f>
        <v/>
      </c>
    </row>
    <row r="260" customFormat="false" ht="14.25" hidden="false" customHeight="false" outlineLevel="0" collapsed="false">
      <c r="A260" s="152" t="str">
        <f aca="false">IF(Rider_Input[[#This Row],[Rider ID]]="","",Salary_Month)</f>
        <v/>
      </c>
      <c r="B260" s="153" t="str">
        <f aca="false">IFERROR(IF(INDEX(FTR_Data,ROW()-ROW(Rider_Input[#Headers]),c_FTR_ID)="","",INDEX(FTR_Data,ROW()-ROW(Rider_Input[#Headers]),c_FTR_ID)),"")</f>
        <v/>
      </c>
      <c r="C26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6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60" s="153" t="str">
        <f aca="false">IF(Rider_Input[[#This Row],[Rider ID]]="","",DAY(EOMONTH(Salary_Month,0)))</f>
        <v/>
      </c>
      <c r="F260" s="153" t="str">
        <f aca="false">IF(Rider_Input[[#This Row],[Rider ID]]="","",IFERROR(IF(INDEX(FTR_Data,ROW()-ROW(Rider_Input[#Headers]),c_FTR_WD)="","",INDEX(FTR_Data,ROW()-ROW(Rider_Input[#Headers]),c_FTR_WD)),""))</f>
        <v/>
      </c>
      <c r="G260" s="153" t="str">
        <f aca="false">IF(Rider_Input[[#This Row],[Rider ID]]="","",IFERROR(IF(INDEX(FTR_Data,ROW()-ROW(Rider_Input[#Headers]),c_FTR_Orders)="","",INDEX(FTR_Data,ROW()-ROW(Rider_Input[#Headers]),c_FTR_Orders)),""))</f>
        <v/>
      </c>
      <c r="H260" s="155" t="str">
        <f aca="false">IF(Rider_Input[[#This Row],[Rider ID]]="","",IFERROR(ABS(INDEX(RLVL_Data,MATCH(Rider_Input[[#This Row],[Rider ID]],INDEX(RLVL_Data,0,c_RLVL_ID),0),c_RLVL_Missed)),0))</f>
        <v/>
      </c>
      <c r="I260" s="155" t="str">
        <f aca="false">IF(Rider_Input[[#This Row],[Rider ID]]="","",IFERROR(ABS(INDEX(RLVL_Data,MATCH(Rider_Input[[#This Row],[Rider ID]],INDEX(RLVL_Data,0,c_RLVL_ID),0),c_RLVL_Bal)),0))</f>
        <v/>
      </c>
      <c r="J260" s="155" t="str">
        <f aca="false">IF(Rider_Input[[#This Row],[Rider ID]]="","",IFERROR(ABS(INDEX(RLVL_Data,MATCH(Rider_Input[[#This Row],[Rider ID]],INDEX(RLVL_Data,0,c_RLVL_ID),0),c_RLVL_Stack)),0))</f>
        <v/>
      </c>
      <c r="K260" s="155" t="str">
        <f aca="false">IF(Rider_Input[[#This Row],[Rider ID]]="","",SUMIFS(Adj_Input[Other Deductions],Adj_Input[Rider ID],Rider_Input[[#This Row],[Rider ID]]))</f>
        <v/>
      </c>
      <c r="L260" s="154" t="str">
        <f aca="false">IF(Rider_Input[[#This Row],[Rider ID]]="","",IFERROR(INDEX(Adj_Input[Note / Reason],MATCH(Rider_Input[[#This Row],[Rider ID]],Adj_Input[Rider ID],0))&amp;"",""))</f>
        <v/>
      </c>
    </row>
    <row r="261" customFormat="false" ht="14.25" hidden="false" customHeight="false" outlineLevel="0" collapsed="false">
      <c r="A261" s="152" t="str">
        <f aca="false">IF(Rider_Input[[#This Row],[Rider ID]]="","",Salary_Month)</f>
        <v/>
      </c>
      <c r="B261" s="153" t="str">
        <f aca="false">IFERROR(IF(INDEX(FTR_Data,ROW()-ROW(Rider_Input[#Headers]),c_FTR_ID)="","",INDEX(FTR_Data,ROW()-ROW(Rider_Input[#Headers]),c_FTR_ID)),"")</f>
        <v/>
      </c>
      <c r="C26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6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61" s="153" t="str">
        <f aca="false">IF(Rider_Input[[#This Row],[Rider ID]]="","",DAY(EOMONTH(Salary_Month,0)))</f>
        <v/>
      </c>
      <c r="F261" s="153" t="str">
        <f aca="false">IF(Rider_Input[[#This Row],[Rider ID]]="","",IFERROR(IF(INDEX(FTR_Data,ROW()-ROW(Rider_Input[#Headers]),c_FTR_WD)="","",INDEX(FTR_Data,ROW()-ROW(Rider_Input[#Headers]),c_FTR_WD)),""))</f>
        <v/>
      </c>
      <c r="G261" s="153" t="str">
        <f aca="false">IF(Rider_Input[[#This Row],[Rider ID]]="","",IFERROR(IF(INDEX(FTR_Data,ROW()-ROW(Rider_Input[#Headers]),c_FTR_Orders)="","",INDEX(FTR_Data,ROW()-ROW(Rider_Input[#Headers]),c_FTR_Orders)),""))</f>
        <v/>
      </c>
      <c r="H261" s="155" t="str">
        <f aca="false">IF(Rider_Input[[#This Row],[Rider ID]]="","",IFERROR(ABS(INDEX(RLVL_Data,MATCH(Rider_Input[[#This Row],[Rider ID]],INDEX(RLVL_Data,0,c_RLVL_ID),0),c_RLVL_Missed)),0))</f>
        <v/>
      </c>
      <c r="I261" s="155" t="str">
        <f aca="false">IF(Rider_Input[[#This Row],[Rider ID]]="","",IFERROR(ABS(INDEX(RLVL_Data,MATCH(Rider_Input[[#This Row],[Rider ID]],INDEX(RLVL_Data,0,c_RLVL_ID),0),c_RLVL_Bal)),0))</f>
        <v/>
      </c>
      <c r="J261" s="155" t="str">
        <f aca="false">IF(Rider_Input[[#This Row],[Rider ID]]="","",IFERROR(ABS(INDEX(RLVL_Data,MATCH(Rider_Input[[#This Row],[Rider ID]],INDEX(RLVL_Data,0,c_RLVL_ID),0),c_RLVL_Stack)),0))</f>
        <v/>
      </c>
      <c r="K261" s="155" t="str">
        <f aca="false">IF(Rider_Input[[#This Row],[Rider ID]]="","",SUMIFS(Adj_Input[Other Deductions],Adj_Input[Rider ID],Rider_Input[[#This Row],[Rider ID]]))</f>
        <v/>
      </c>
      <c r="L261" s="154" t="str">
        <f aca="false">IF(Rider_Input[[#This Row],[Rider ID]]="","",IFERROR(INDEX(Adj_Input[Note / Reason],MATCH(Rider_Input[[#This Row],[Rider ID]],Adj_Input[Rider ID],0))&amp;"",""))</f>
        <v/>
      </c>
    </row>
    <row r="262" customFormat="false" ht="14.25" hidden="false" customHeight="false" outlineLevel="0" collapsed="false">
      <c r="A262" s="152" t="str">
        <f aca="false">IF(Rider_Input[[#This Row],[Rider ID]]="","",Salary_Month)</f>
        <v/>
      </c>
      <c r="B262" s="153" t="str">
        <f aca="false">IFERROR(IF(INDEX(FTR_Data,ROW()-ROW(Rider_Input[#Headers]),c_FTR_ID)="","",INDEX(FTR_Data,ROW()-ROW(Rider_Input[#Headers]),c_FTR_ID)),"")</f>
        <v/>
      </c>
      <c r="C26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6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62" s="153" t="str">
        <f aca="false">IF(Rider_Input[[#This Row],[Rider ID]]="","",DAY(EOMONTH(Salary_Month,0)))</f>
        <v/>
      </c>
      <c r="F262" s="153" t="str">
        <f aca="false">IF(Rider_Input[[#This Row],[Rider ID]]="","",IFERROR(IF(INDEX(FTR_Data,ROW()-ROW(Rider_Input[#Headers]),c_FTR_WD)="","",INDEX(FTR_Data,ROW()-ROW(Rider_Input[#Headers]),c_FTR_WD)),""))</f>
        <v/>
      </c>
      <c r="G262" s="153" t="str">
        <f aca="false">IF(Rider_Input[[#This Row],[Rider ID]]="","",IFERROR(IF(INDEX(FTR_Data,ROW()-ROW(Rider_Input[#Headers]),c_FTR_Orders)="","",INDEX(FTR_Data,ROW()-ROW(Rider_Input[#Headers]),c_FTR_Orders)),""))</f>
        <v/>
      </c>
      <c r="H262" s="155" t="str">
        <f aca="false">IF(Rider_Input[[#This Row],[Rider ID]]="","",IFERROR(ABS(INDEX(RLVL_Data,MATCH(Rider_Input[[#This Row],[Rider ID]],INDEX(RLVL_Data,0,c_RLVL_ID),0),c_RLVL_Missed)),0))</f>
        <v/>
      </c>
      <c r="I262" s="155" t="str">
        <f aca="false">IF(Rider_Input[[#This Row],[Rider ID]]="","",IFERROR(ABS(INDEX(RLVL_Data,MATCH(Rider_Input[[#This Row],[Rider ID]],INDEX(RLVL_Data,0,c_RLVL_ID),0),c_RLVL_Bal)),0))</f>
        <v/>
      </c>
      <c r="J262" s="155" t="str">
        <f aca="false">IF(Rider_Input[[#This Row],[Rider ID]]="","",IFERROR(ABS(INDEX(RLVL_Data,MATCH(Rider_Input[[#This Row],[Rider ID]],INDEX(RLVL_Data,0,c_RLVL_ID),0),c_RLVL_Stack)),0))</f>
        <v/>
      </c>
      <c r="K262" s="155" t="str">
        <f aca="false">IF(Rider_Input[[#This Row],[Rider ID]]="","",SUMIFS(Adj_Input[Other Deductions],Adj_Input[Rider ID],Rider_Input[[#This Row],[Rider ID]]))</f>
        <v/>
      </c>
      <c r="L262" s="154" t="str">
        <f aca="false">IF(Rider_Input[[#This Row],[Rider ID]]="","",IFERROR(INDEX(Adj_Input[Note / Reason],MATCH(Rider_Input[[#This Row],[Rider ID]],Adj_Input[Rider ID],0))&amp;"",""))</f>
        <v/>
      </c>
    </row>
    <row r="263" customFormat="false" ht="14.25" hidden="false" customHeight="false" outlineLevel="0" collapsed="false">
      <c r="A263" s="152" t="str">
        <f aca="false">IF(Rider_Input[[#This Row],[Rider ID]]="","",Salary_Month)</f>
        <v/>
      </c>
      <c r="B263" s="153" t="str">
        <f aca="false">IFERROR(IF(INDEX(FTR_Data,ROW()-ROW(Rider_Input[#Headers]),c_FTR_ID)="","",INDEX(FTR_Data,ROW()-ROW(Rider_Input[#Headers]),c_FTR_ID)),"")</f>
        <v/>
      </c>
      <c r="C26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6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63" s="153" t="str">
        <f aca="false">IF(Rider_Input[[#This Row],[Rider ID]]="","",DAY(EOMONTH(Salary_Month,0)))</f>
        <v/>
      </c>
      <c r="F263" s="153" t="str">
        <f aca="false">IF(Rider_Input[[#This Row],[Rider ID]]="","",IFERROR(IF(INDEX(FTR_Data,ROW()-ROW(Rider_Input[#Headers]),c_FTR_WD)="","",INDEX(FTR_Data,ROW()-ROW(Rider_Input[#Headers]),c_FTR_WD)),""))</f>
        <v/>
      </c>
      <c r="G263" s="153" t="str">
        <f aca="false">IF(Rider_Input[[#This Row],[Rider ID]]="","",IFERROR(IF(INDEX(FTR_Data,ROW()-ROW(Rider_Input[#Headers]),c_FTR_Orders)="","",INDEX(FTR_Data,ROW()-ROW(Rider_Input[#Headers]),c_FTR_Orders)),""))</f>
        <v/>
      </c>
      <c r="H263" s="155" t="str">
        <f aca="false">IF(Rider_Input[[#This Row],[Rider ID]]="","",IFERROR(ABS(INDEX(RLVL_Data,MATCH(Rider_Input[[#This Row],[Rider ID]],INDEX(RLVL_Data,0,c_RLVL_ID),0),c_RLVL_Missed)),0))</f>
        <v/>
      </c>
      <c r="I263" s="155" t="str">
        <f aca="false">IF(Rider_Input[[#This Row],[Rider ID]]="","",IFERROR(ABS(INDEX(RLVL_Data,MATCH(Rider_Input[[#This Row],[Rider ID]],INDEX(RLVL_Data,0,c_RLVL_ID),0),c_RLVL_Bal)),0))</f>
        <v/>
      </c>
      <c r="J263" s="155" t="str">
        <f aca="false">IF(Rider_Input[[#This Row],[Rider ID]]="","",IFERROR(ABS(INDEX(RLVL_Data,MATCH(Rider_Input[[#This Row],[Rider ID]],INDEX(RLVL_Data,0,c_RLVL_ID),0),c_RLVL_Stack)),0))</f>
        <v/>
      </c>
      <c r="K263" s="155" t="str">
        <f aca="false">IF(Rider_Input[[#This Row],[Rider ID]]="","",SUMIFS(Adj_Input[Other Deductions],Adj_Input[Rider ID],Rider_Input[[#This Row],[Rider ID]]))</f>
        <v/>
      </c>
      <c r="L263" s="154" t="str">
        <f aca="false">IF(Rider_Input[[#This Row],[Rider ID]]="","",IFERROR(INDEX(Adj_Input[Note / Reason],MATCH(Rider_Input[[#This Row],[Rider ID]],Adj_Input[Rider ID],0))&amp;"",""))</f>
        <v/>
      </c>
    </row>
    <row r="264" customFormat="false" ht="14.25" hidden="false" customHeight="false" outlineLevel="0" collapsed="false">
      <c r="A264" s="152" t="str">
        <f aca="false">IF(Rider_Input[[#This Row],[Rider ID]]="","",Salary_Month)</f>
        <v/>
      </c>
      <c r="B264" s="153" t="str">
        <f aca="false">IFERROR(IF(INDEX(FTR_Data,ROW()-ROW(Rider_Input[#Headers]),c_FTR_ID)="","",INDEX(FTR_Data,ROW()-ROW(Rider_Input[#Headers]),c_FTR_ID)),"")</f>
        <v/>
      </c>
      <c r="C26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6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64" s="153" t="str">
        <f aca="false">IF(Rider_Input[[#This Row],[Rider ID]]="","",DAY(EOMONTH(Salary_Month,0)))</f>
        <v/>
      </c>
      <c r="F264" s="153" t="str">
        <f aca="false">IF(Rider_Input[[#This Row],[Rider ID]]="","",IFERROR(IF(INDEX(FTR_Data,ROW()-ROW(Rider_Input[#Headers]),c_FTR_WD)="","",INDEX(FTR_Data,ROW()-ROW(Rider_Input[#Headers]),c_FTR_WD)),""))</f>
        <v/>
      </c>
      <c r="G264" s="153" t="str">
        <f aca="false">IF(Rider_Input[[#This Row],[Rider ID]]="","",IFERROR(IF(INDEX(FTR_Data,ROW()-ROW(Rider_Input[#Headers]),c_FTR_Orders)="","",INDEX(FTR_Data,ROW()-ROW(Rider_Input[#Headers]),c_FTR_Orders)),""))</f>
        <v/>
      </c>
      <c r="H264" s="155" t="str">
        <f aca="false">IF(Rider_Input[[#This Row],[Rider ID]]="","",IFERROR(ABS(INDEX(RLVL_Data,MATCH(Rider_Input[[#This Row],[Rider ID]],INDEX(RLVL_Data,0,c_RLVL_ID),0),c_RLVL_Missed)),0))</f>
        <v/>
      </c>
      <c r="I264" s="155" t="str">
        <f aca="false">IF(Rider_Input[[#This Row],[Rider ID]]="","",IFERROR(ABS(INDEX(RLVL_Data,MATCH(Rider_Input[[#This Row],[Rider ID]],INDEX(RLVL_Data,0,c_RLVL_ID),0),c_RLVL_Bal)),0))</f>
        <v/>
      </c>
      <c r="J264" s="155" t="str">
        <f aca="false">IF(Rider_Input[[#This Row],[Rider ID]]="","",IFERROR(ABS(INDEX(RLVL_Data,MATCH(Rider_Input[[#This Row],[Rider ID]],INDEX(RLVL_Data,0,c_RLVL_ID),0),c_RLVL_Stack)),0))</f>
        <v/>
      </c>
      <c r="K264" s="155" t="str">
        <f aca="false">IF(Rider_Input[[#This Row],[Rider ID]]="","",SUMIFS(Adj_Input[Other Deductions],Adj_Input[Rider ID],Rider_Input[[#This Row],[Rider ID]]))</f>
        <v/>
      </c>
      <c r="L264" s="154" t="str">
        <f aca="false">IF(Rider_Input[[#This Row],[Rider ID]]="","",IFERROR(INDEX(Adj_Input[Note / Reason],MATCH(Rider_Input[[#This Row],[Rider ID]],Adj_Input[Rider ID],0))&amp;"",""))</f>
        <v/>
      </c>
    </row>
    <row r="265" customFormat="false" ht="14.25" hidden="false" customHeight="false" outlineLevel="0" collapsed="false">
      <c r="A265" s="152" t="str">
        <f aca="false">IF(Rider_Input[[#This Row],[Rider ID]]="","",Salary_Month)</f>
        <v/>
      </c>
      <c r="B265" s="153" t="str">
        <f aca="false">IFERROR(IF(INDEX(FTR_Data,ROW()-ROW(Rider_Input[#Headers]),c_FTR_ID)="","",INDEX(FTR_Data,ROW()-ROW(Rider_Input[#Headers]),c_FTR_ID)),"")</f>
        <v/>
      </c>
      <c r="C26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6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65" s="153" t="str">
        <f aca="false">IF(Rider_Input[[#This Row],[Rider ID]]="","",DAY(EOMONTH(Salary_Month,0)))</f>
        <v/>
      </c>
      <c r="F265" s="153" t="str">
        <f aca="false">IF(Rider_Input[[#This Row],[Rider ID]]="","",IFERROR(IF(INDEX(FTR_Data,ROW()-ROW(Rider_Input[#Headers]),c_FTR_WD)="","",INDEX(FTR_Data,ROW()-ROW(Rider_Input[#Headers]),c_FTR_WD)),""))</f>
        <v/>
      </c>
      <c r="G265" s="153" t="str">
        <f aca="false">IF(Rider_Input[[#This Row],[Rider ID]]="","",IFERROR(IF(INDEX(FTR_Data,ROW()-ROW(Rider_Input[#Headers]),c_FTR_Orders)="","",INDEX(FTR_Data,ROW()-ROW(Rider_Input[#Headers]),c_FTR_Orders)),""))</f>
        <v/>
      </c>
      <c r="H265" s="155" t="str">
        <f aca="false">IF(Rider_Input[[#This Row],[Rider ID]]="","",IFERROR(ABS(INDEX(RLVL_Data,MATCH(Rider_Input[[#This Row],[Rider ID]],INDEX(RLVL_Data,0,c_RLVL_ID),0),c_RLVL_Missed)),0))</f>
        <v/>
      </c>
      <c r="I265" s="155" t="str">
        <f aca="false">IF(Rider_Input[[#This Row],[Rider ID]]="","",IFERROR(ABS(INDEX(RLVL_Data,MATCH(Rider_Input[[#This Row],[Rider ID]],INDEX(RLVL_Data,0,c_RLVL_ID),0),c_RLVL_Bal)),0))</f>
        <v/>
      </c>
      <c r="J265" s="155" t="str">
        <f aca="false">IF(Rider_Input[[#This Row],[Rider ID]]="","",IFERROR(ABS(INDEX(RLVL_Data,MATCH(Rider_Input[[#This Row],[Rider ID]],INDEX(RLVL_Data,0,c_RLVL_ID),0),c_RLVL_Stack)),0))</f>
        <v/>
      </c>
      <c r="K265" s="155" t="str">
        <f aca="false">IF(Rider_Input[[#This Row],[Rider ID]]="","",SUMIFS(Adj_Input[Other Deductions],Adj_Input[Rider ID],Rider_Input[[#This Row],[Rider ID]]))</f>
        <v/>
      </c>
      <c r="L265" s="154" t="str">
        <f aca="false">IF(Rider_Input[[#This Row],[Rider ID]]="","",IFERROR(INDEX(Adj_Input[Note / Reason],MATCH(Rider_Input[[#This Row],[Rider ID]],Adj_Input[Rider ID],0))&amp;"",""))</f>
        <v/>
      </c>
    </row>
    <row r="266" customFormat="false" ht="14.25" hidden="false" customHeight="false" outlineLevel="0" collapsed="false">
      <c r="A266" s="152" t="str">
        <f aca="false">IF(Rider_Input[[#This Row],[Rider ID]]="","",Salary_Month)</f>
        <v/>
      </c>
      <c r="B266" s="153" t="str">
        <f aca="false">IFERROR(IF(INDEX(FTR_Data,ROW()-ROW(Rider_Input[#Headers]),c_FTR_ID)="","",INDEX(FTR_Data,ROW()-ROW(Rider_Input[#Headers]),c_FTR_ID)),"")</f>
        <v/>
      </c>
      <c r="C26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6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66" s="153" t="str">
        <f aca="false">IF(Rider_Input[[#This Row],[Rider ID]]="","",DAY(EOMONTH(Salary_Month,0)))</f>
        <v/>
      </c>
      <c r="F266" s="153" t="str">
        <f aca="false">IF(Rider_Input[[#This Row],[Rider ID]]="","",IFERROR(IF(INDEX(FTR_Data,ROW()-ROW(Rider_Input[#Headers]),c_FTR_WD)="","",INDEX(FTR_Data,ROW()-ROW(Rider_Input[#Headers]),c_FTR_WD)),""))</f>
        <v/>
      </c>
      <c r="G266" s="153" t="str">
        <f aca="false">IF(Rider_Input[[#This Row],[Rider ID]]="","",IFERROR(IF(INDEX(FTR_Data,ROW()-ROW(Rider_Input[#Headers]),c_FTR_Orders)="","",INDEX(FTR_Data,ROW()-ROW(Rider_Input[#Headers]),c_FTR_Orders)),""))</f>
        <v/>
      </c>
      <c r="H266" s="155" t="str">
        <f aca="false">IF(Rider_Input[[#This Row],[Rider ID]]="","",IFERROR(ABS(INDEX(RLVL_Data,MATCH(Rider_Input[[#This Row],[Rider ID]],INDEX(RLVL_Data,0,c_RLVL_ID),0),c_RLVL_Missed)),0))</f>
        <v/>
      </c>
      <c r="I266" s="155" t="str">
        <f aca="false">IF(Rider_Input[[#This Row],[Rider ID]]="","",IFERROR(ABS(INDEX(RLVL_Data,MATCH(Rider_Input[[#This Row],[Rider ID]],INDEX(RLVL_Data,0,c_RLVL_ID),0),c_RLVL_Bal)),0))</f>
        <v/>
      </c>
      <c r="J266" s="155" t="str">
        <f aca="false">IF(Rider_Input[[#This Row],[Rider ID]]="","",IFERROR(ABS(INDEX(RLVL_Data,MATCH(Rider_Input[[#This Row],[Rider ID]],INDEX(RLVL_Data,0,c_RLVL_ID),0),c_RLVL_Stack)),0))</f>
        <v/>
      </c>
      <c r="K266" s="155" t="str">
        <f aca="false">IF(Rider_Input[[#This Row],[Rider ID]]="","",SUMIFS(Adj_Input[Other Deductions],Adj_Input[Rider ID],Rider_Input[[#This Row],[Rider ID]]))</f>
        <v/>
      </c>
      <c r="L266" s="154" t="str">
        <f aca="false">IF(Rider_Input[[#This Row],[Rider ID]]="","",IFERROR(INDEX(Adj_Input[Note / Reason],MATCH(Rider_Input[[#This Row],[Rider ID]],Adj_Input[Rider ID],0))&amp;"",""))</f>
        <v/>
      </c>
    </row>
    <row r="267" customFormat="false" ht="14.25" hidden="false" customHeight="false" outlineLevel="0" collapsed="false">
      <c r="A267" s="152" t="str">
        <f aca="false">IF(Rider_Input[[#This Row],[Rider ID]]="","",Salary_Month)</f>
        <v/>
      </c>
      <c r="B267" s="153" t="str">
        <f aca="false">IFERROR(IF(INDEX(FTR_Data,ROW()-ROW(Rider_Input[#Headers]),c_FTR_ID)="","",INDEX(FTR_Data,ROW()-ROW(Rider_Input[#Headers]),c_FTR_ID)),"")</f>
        <v/>
      </c>
      <c r="C26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6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67" s="153" t="str">
        <f aca="false">IF(Rider_Input[[#This Row],[Rider ID]]="","",DAY(EOMONTH(Salary_Month,0)))</f>
        <v/>
      </c>
      <c r="F267" s="153" t="str">
        <f aca="false">IF(Rider_Input[[#This Row],[Rider ID]]="","",IFERROR(IF(INDEX(FTR_Data,ROW()-ROW(Rider_Input[#Headers]),c_FTR_WD)="","",INDEX(FTR_Data,ROW()-ROW(Rider_Input[#Headers]),c_FTR_WD)),""))</f>
        <v/>
      </c>
      <c r="G267" s="153" t="str">
        <f aca="false">IF(Rider_Input[[#This Row],[Rider ID]]="","",IFERROR(IF(INDEX(FTR_Data,ROW()-ROW(Rider_Input[#Headers]),c_FTR_Orders)="","",INDEX(FTR_Data,ROW()-ROW(Rider_Input[#Headers]),c_FTR_Orders)),""))</f>
        <v/>
      </c>
      <c r="H267" s="155" t="str">
        <f aca="false">IF(Rider_Input[[#This Row],[Rider ID]]="","",IFERROR(ABS(INDEX(RLVL_Data,MATCH(Rider_Input[[#This Row],[Rider ID]],INDEX(RLVL_Data,0,c_RLVL_ID),0),c_RLVL_Missed)),0))</f>
        <v/>
      </c>
      <c r="I267" s="155" t="str">
        <f aca="false">IF(Rider_Input[[#This Row],[Rider ID]]="","",IFERROR(ABS(INDEX(RLVL_Data,MATCH(Rider_Input[[#This Row],[Rider ID]],INDEX(RLVL_Data,0,c_RLVL_ID),0),c_RLVL_Bal)),0))</f>
        <v/>
      </c>
      <c r="J267" s="155" t="str">
        <f aca="false">IF(Rider_Input[[#This Row],[Rider ID]]="","",IFERROR(ABS(INDEX(RLVL_Data,MATCH(Rider_Input[[#This Row],[Rider ID]],INDEX(RLVL_Data,0,c_RLVL_ID),0),c_RLVL_Stack)),0))</f>
        <v/>
      </c>
      <c r="K267" s="155" t="str">
        <f aca="false">IF(Rider_Input[[#This Row],[Rider ID]]="","",SUMIFS(Adj_Input[Other Deductions],Adj_Input[Rider ID],Rider_Input[[#This Row],[Rider ID]]))</f>
        <v/>
      </c>
      <c r="L267" s="154" t="str">
        <f aca="false">IF(Rider_Input[[#This Row],[Rider ID]]="","",IFERROR(INDEX(Adj_Input[Note / Reason],MATCH(Rider_Input[[#This Row],[Rider ID]],Adj_Input[Rider ID],0))&amp;"",""))</f>
        <v/>
      </c>
    </row>
    <row r="268" customFormat="false" ht="14.25" hidden="false" customHeight="false" outlineLevel="0" collapsed="false">
      <c r="A268" s="152" t="str">
        <f aca="false">IF(Rider_Input[[#This Row],[Rider ID]]="","",Salary_Month)</f>
        <v/>
      </c>
      <c r="B268" s="153" t="str">
        <f aca="false">IFERROR(IF(INDEX(FTR_Data,ROW()-ROW(Rider_Input[#Headers]),c_FTR_ID)="","",INDEX(FTR_Data,ROW()-ROW(Rider_Input[#Headers]),c_FTR_ID)),"")</f>
        <v/>
      </c>
      <c r="C26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6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68" s="153" t="str">
        <f aca="false">IF(Rider_Input[[#This Row],[Rider ID]]="","",DAY(EOMONTH(Salary_Month,0)))</f>
        <v/>
      </c>
      <c r="F268" s="153" t="str">
        <f aca="false">IF(Rider_Input[[#This Row],[Rider ID]]="","",IFERROR(IF(INDEX(FTR_Data,ROW()-ROW(Rider_Input[#Headers]),c_FTR_WD)="","",INDEX(FTR_Data,ROW()-ROW(Rider_Input[#Headers]),c_FTR_WD)),""))</f>
        <v/>
      </c>
      <c r="G268" s="153" t="str">
        <f aca="false">IF(Rider_Input[[#This Row],[Rider ID]]="","",IFERROR(IF(INDEX(FTR_Data,ROW()-ROW(Rider_Input[#Headers]),c_FTR_Orders)="","",INDEX(FTR_Data,ROW()-ROW(Rider_Input[#Headers]),c_FTR_Orders)),""))</f>
        <v/>
      </c>
      <c r="H268" s="155" t="str">
        <f aca="false">IF(Rider_Input[[#This Row],[Rider ID]]="","",IFERROR(ABS(INDEX(RLVL_Data,MATCH(Rider_Input[[#This Row],[Rider ID]],INDEX(RLVL_Data,0,c_RLVL_ID),0),c_RLVL_Missed)),0))</f>
        <v/>
      </c>
      <c r="I268" s="155" t="str">
        <f aca="false">IF(Rider_Input[[#This Row],[Rider ID]]="","",IFERROR(ABS(INDEX(RLVL_Data,MATCH(Rider_Input[[#This Row],[Rider ID]],INDEX(RLVL_Data,0,c_RLVL_ID),0),c_RLVL_Bal)),0))</f>
        <v/>
      </c>
      <c r="J268" s="155" t="str">
        <f aca="false">IF(Rider_Input[[#This Row],[Rider ID]]="","",IFERROR(ABS(INDEX(RLVL_Data,MATCH(Rider_Input[[#This Row],[Rider ID]],INDEX(RLVL_Data,0,c_RLVL_ID),0),c_RLVL_Stack)),0))</f>
        <v/>
      </c>
      <c r="K268" s="155" t="str">
        <f aca="false">IF(Rider_Input[[#This Row],[Rider ID]]="","",SUMIFS(Adj_Input[Other Deductions],Adj_Input[Rider ID],Rider_Input[[#This Row],[Rider ID]]))</f>
        <v/>
      </c>
      <c r="L268" s="154" t="str">
        <f aca="false">IF(Rider_Input[[#This Row],[Rider ID]]="","",IFERROR(INDEX(Adj_Input[Note / Reason],MATCH(Rider_Input[[#This Row],[Rider ID]],Adj_Input[Rider ID],0))&amp;"",""))</f>
        <v/>
      </c>
    </row>
    <row r="269" customFormat="false" ht="14.25" hidden="false" customHeight="false" outlineLevel="0" collapsed="false">
      <c r="A269" s="152" t="str">
        <f aca="false">IF(Rider_Input[[#This Row],[Rider ID]]="","",Salary_Month)</f>
        <v/>
      </c>
      <c r="B269" s="153" t="str">
        <f aca="false">IFERROR(IF(INDEX(FTR_Data,ROW()-ROW(Rider_Input[#Headers]),c_FTR_ID)="","",INDEX(FTR_Data,ROW()-ROW(Rider_Input[#Headers]),c_FTR_ID)),"")</f>
        <v/>
      </c>
      <c r="C26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6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69" s="153" t="str">
        <f aca="false">IF(Rider_Input[[#This Row],[Rider ID]]="","",DAY(EOMONTH(Salary_Month,0)))</f>
        <v/>
      </c>
      <c r="F269" s="153" t="str">
        <f aca="false">IF(Rider_Input[[#This Row],[Rider ID]]="","",IFERROR(IF(INDEX(FTR_Data,ROW()-ROW(Rider_Input[#Headers]),c_FTR_WD)="","",INDEX(FTR_Data,ROW()-ROW(Rider_Input[#Headers]),c_FTR_WD)),""))</f>
        <v/>
      </c>
      <c r="G269" s="153" t="str">
        <f aca="false">IF(Rider_Input[[#This Row],[Rider ID]]="","",IFERROR(IF(INDEX(FTR_Data,ROW()-ROW(Rider_Input[#Headers]),c_FTR_Orders)="","",INDEX(FTR_Data,ROW()-ROW(Rider_Input[#Headers]),c_FTR_Orders)),""))</f>
        <v/>
      </c>
      <c r="H269" s="155" t="str">
        <f aca="false">IF(Rider_Input[[#This Row],[Rider ID]]="","",IFERROR(ABS(INDEX(RLVL_Data,MATCH(Rider_Input[[#This Row],[Rider ID]],INDEX(RLVL_Data,0,c_RLVL_ID),0),c_RLVL_Missed)),0))</f>
        <v/>
      </c>
      <c r="I269" s="155" t="str">
        <f aca="false">IF(Rider_Input[[#This Row],[Rider ID]]="","",IFERROR(ABS(INDEX(RLVL_Data,MATCH(Rider_Input[[#This Row],[Rider ID]],INDEX(RLVL_Data,0,c_RLVL_ID),0),c_RLVL_Bal)),0))</f>
        <v/>
      </c>
      <c r="J269" s="155" t="str">
        <f aca="false">IF(Rider_Input[[#This Row],[Rider ID]]="","",IFERROR(ABS(INDEX(RLVL_Data,MATCH(Rider_Input[[#This Row],[Rider ID]],INDEX(RLVL_Data,0,c_RLVL_ID),0),c_RLVL_Stack)),0))</f>
        <v/>
      </c>
      <c r="K269" s="155" t="str">
        <f aca="false">IF(Rider_Input[[#This Row],[Rider ID]]="","",SUMIFS(Adj_Input[Other Deductions],Adj_Input[Rider ID],Rider_Input[[#This Row],[Rider ID]]))</f>
        <v/>
      </c>
      <c r="L269" s="154" t="str">
        <f aca="false">IF(Rider_Input[[#This Row],[Rider ID]]="","",IFERROR(INDEX(Adj_Input[Note / Reason],MATCH(Rider_Input[[#This Row],[Rider ID]],Adj_Input[Rider ID],0))&amp;"",""))</f>
        <v/>
      </c>
    </row>
    <row r="270" customFormat="false" ht="14.25" hidden="false" customHeight="false" outlineLevel="0" collapsed="false">
      <c r="A270" s="152" t="str">
        <f aca="false">IF(Rider_Input[[#This Row],[Rider ID]]="","",Salary_Month)</f>
        <v/>
      </c>
      <c r="B270" s="153" t="str">
        <f aca="false">IFERROR(IF(INDEX(FTR_Data,ROW()-ROW(Rider_Input[#Headers]),c_FTR_ID)="","",INDEX(FTR_Data,ROW()-ROW(Rider_Input[#Headers]),c_FTR_ID)),"")</f>
        <v/>
      </c>
      <c r="C27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7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70" s="153" t="str">
        <f aca="false">IF(Rider_Input[[#This Row],[Rider ID]]="","",DAY(EOMONTH(Salary_Month,0)))</f>
        <v/>
      </c>
      <c r="F270" s="153" t="str">
        <f aca="false">IF(Rider_Input[[#This Row],[Rider ID]]="","",IFERROR(IF(INDEX(FTR_Data,ROW()-ROW(Rider_Input[#Headers]),c_FTR_WD)="","",INDEX(FTR_Data,ROW()-ROW(Rider_Input[#Headers]),c_FTR_WD)),""))</f>
        <v/>
      </c>
      <c r="G270" s="153" t="str">
        <f aca="false">IF(Rider_Input[[#This Row],[Rider ID]]="","",IFERROR(IF(INDEX(FTR_Data,ROW()-ROW(Rider_Input[#Headers]),c_FTR_Orders)="","",INDEX(FTR_Data,ROW()-ROW(Rider_Input[#Headers]),c_FTR_Orders)),""))</f>
        <v/>
      </c>
      <c r="H270" s="155" t="str">
        <f aca="false">IF(Rider_Input[[#This Row],[Rider ID]]="","",IFERROR(ABS(INDEX(RLVL_Data,MATCH(Rider_Input[[#This Row],[Rider ID]],INDEX(RLVL_Data,0,c_RLVL_ID),0),c_RLVL_Missed)),0))</f>
        <v/>
      </c>
      <c r="I270" s="155" t="str">
        <f aca="false">IF(Rider_Input[[#This Row],[Rider ID]]="","",IFERROR(ABS(INDEX(RLVL_Data,MATCH(Rider_Input[[#This Row],[Rider ID]],INDEX(RLVL_Data,0,c_RLVL_ID),0),c_RLVL_Bal)),0))</f>
        <v/>
      </c>
      <c r="J270" s="155" t="str">
        <f aca="false">IF(Rider_Input[[#This Row],[Rider ID]]="","",IFERROR(ABS(INDEX(RLVL_Data,MATCH(Rider_Input[[#This Row],[Rider ID]],INDEX(RLVL_Data,0,c_RLVL_ID),0),c_RLVL_Stack)),0))</f>
        <v/>
      </c>
      <c r="K270" s="155" t="str">
        <f aca="false">IF(Rider_Input[[#This Row],[Rider ID]]="","",SUMIFS(Adj_Input[Other Deductions],Adj_Input[Rider ID],Rider_Input[[#This Row],[Rider ID]]))</f>
        <v/>
      </c>
      <c r="L270" s="154" t="str">
        <f aca="false">IF(Rider_Input[[#This Row],[Rider ID]]="","",IFERROR(INDEX(Adj_Input[Note / Reason],MATCH(Rider_Input[[#This Row],[Rider ID]],Adj_Input[Rider ID],0))&amp;"",""))</f>
        <v/>
      </c>
    </row>
    <row r="271" customFormat="false" ht="14.25" hidden="false" customHeight="false" outlineLevel="0" collapsed="false">
      <c r="A271" s="152" t="str">
        <f aca="false">IF(Rider_Input[[#This Row],[Rider ID]]="","",Salary_Month)</f>
        <v/>
      </c>
      <c r="B271" s="153" t="str">
        <f aca="false">IFERROR(IF(INDEX(FTR_Data,ROW()-ROW(Rider_Input[#Headers]),c_FTR_ID)="","",INDEX(FTR_Data,ROW()-ROW(Rider_Input[#Headers]),c_FTR_ID)),"")</f>
        <v/>
      </c>
      <c r="C27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7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71" s="153" t="str">
        <f aca="false">IF(Rider_Input[[#This Row],[Rider ID]]="","",DAY(EOMONTH(Salary_Month,0)))</f>
        <v/>
      </c>
      <c r="F271" s="153" t="str">
        <f aca="false">IF(Rider_Input[[#This Row],[Rider ID]]="","",IFERROR(IF(INDEX(FTR_Data,ROW()-ROW(Rider_Input[#Headers]),c_FTR_WD)="","",INDEX(FTR_Data,ROW()-ROW(Rider_Input[#Headers]),c_FTR_WD)),""))</f>
        <v/>
      </c>
      <c r="G271" s="153" t="str">
        <f aca="false">IF(Rider_Input[[#This Row],[Rider ID]]="","",IFERROR(IF(INDEX(FTR_Data,ROW()-ROW(Rider_Input[#Headers]),c_FTR_Orders)="","",INDEX(FTR_Data,ROW()-ROW(Rider_Input[#Headers]),c_FTR_Orders)),""))</f>
        <v/>
      </c>
      <c r="H271" s="155" t="str">
        <f aca="false">IF(Rider_Input[[#This Row],[Rider ID]]="","",IFERROR(ABS(INDEX(RLVL_Data,MATCH(Rider_Input[[#This Row],[Rider ID]],INDEX(RLVL_Data,0,c_RLVL_ID),0),c_RLVL_Missed)),0))</f>
        <v/>
      </c>
      <c r="I271" s="155" t="str">
        <f aca="false">IF(Rider_Input[[#This Row],[Rider ID]]="","",IFERROR(ABS(INDEX(RLVL_Data,MATCH(Rider_Input[[#This Row],[Rider ID]],INDEX(RLVL_Data,0,c_RLVL_ID),0),c_RLVL_Bal)),0))</f>
        <v/>
      </c>
      <c r="J271" s="155" t="str">
        <f aca="false">IF(Rider_Input[[#This Row],[Rider ID]]="","",IFERROR(ABS(INDEX(RLVL_Data,MATCH(Rider_Input[[#This Row],[Rider ID]],INDEX(RLVL_Data,0,c_RLVL_ID),0),c_RLVL_Stack)),0))</f>
        <v/>
      </c>
      <c r="K271" s="155" t="str">
        <f aca="false">IF(Rider_Input[[#This Row],[Rider ID]]="","",SUMIFS(Adj_Input[Other Deductions],Adj_Input[Rider ID],Rider_Input[[#This Row],[Rider ID]]))</f>
        <v/>
      </c>
      <c r="L271" s="154" t="str">
        <f aca="false">IF(Rider_Input[[#This Row],[Rider ID]]="","",IFERROR(INDEX(Adj_Input[Note / Reason],MATCH(Rider_Input[[#This Row],[Rider ID]],Adj_Input[Rider ID],0))&amp;"",""))</f>
        <v/>
      </c>
    </row>
    <row r="272" customFormat="false" ht="14.25" hidden="false" customHeight="false" outlineLevel="0" collapsed="false">
      <c r="A272" s="152" t="str">
        <f aca="false">IF(Rider_Input[[#This Row],[Rider ID]]="","",Salary_Month)</f>
        <v/>
      </c>
      <c r="B272" s="153" t="str">
        <f aca="false">IFERROR(IF(INDEX(FTR_Data,ROW()-ROW(Rider_Input[#Headers]),c_FTR_ID)="","",INDEX(FTR_Data,ROW()-ROW(Rider_Input[#Headers]),c_FTR_ID)),"")</f>
        <v/>
      </c>
      <c r="C27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7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72" s="153" t="str">
        <f aca="false">IF(Rider_Input[[#This Row],[Rider ID]]="","",DAY(EOMONTH(Salary_Month,0)))</f>
        <v/>
      </c>
      <c r="F272" s="153" t="str">
        <f aca="false">IF(Rider_Input[[#This Row],[Rider ID]]="","",IFERROR(IF(INDEX(FTR_Data,ROW()-ROW(Rider_Input[#Headers]),c_FTR_WD)="","",INDEX(FTR_Data,ROW()-ROW(Rider_Input[#Headers]),c_FTR_WD)),""))</f>
        <v/>
      </c>
      <c r="G272" s="153" t="str">
        <f aca="false">IF(Rider_Input[[#This Row],[Rider ID]]="","",IFERROR(IF(INDEX(FTR_Data,ROW()-ROW(Rider_Input[#Headers]),c_FTR_Orders)="","",INDEX(FTR_Data,ROW()-ROW(Rider_Input[#Headers]),c_FTR_Orders)),""))</f>
        <v/>
      </c>
      <c r="H272" s="155" t="str">
        <f aca="false">IF(Rider_Input[[#This Row],[Rider ID]]="","",IFERROR(ABS(INDEX(RLVL_Data,MATCH(Rider_Input[[#This Row],[Rider ID]],INDEX(RLVL_Data,0,c_RLVL_ID),0),c_RLVL_Missed)),0))</f>
        <v/>
      </c>
      <c r="I272" s="155" t="str">
        <f aca="false">IF(Rider_Input[[#This Row],[Rider ID]]="","",IFERROR(ABS(INDEX(RLVL_Data,MATCH(Rider_Input[[#This Row],[Rider ID]],INDEX(RLVL_Data,0,c_RLVL_ID),0),c_RLVL_Bal)),0))</f>
        <v/>
      </c>
      <c r="J272" s="155" t="str">
        <f aca="false">IF(Rider_Input[[#This Row],[Rider ID]]="","",IFERROR(ABS(INDEX(RLVL_Data,MATCH(Rider_Input[[#This Row],[Rider ID]],INDEX(RLVL_Data,0,c_RLVL_ID),0),c_RLVL_Stack)),0))</f>
        <v/>
      </c>
      <c r="K272" s="155" t="str">
        <f aca="false">IF(Rider_Input[[#This Row],[Rider ID]]="","",SUMIFS(Adj_Input[Other Deductions],Adj_Input[Rider ID],Rider_Input[[#This Row],[Rider ID]]))</f>
        <v/>
      </c>
      <c r="L272" s="154" t="str">
        <f aca="false">IF(Rider_Input[[#This Row],[Rider ID]]="","",IFERROR(INDEX(Adj_Input[Note / Reason],MATCH(Rider_Input[[#This Row],[Rider ID]],Adj_Input[Rider ID],0))&amp;"",""))</f>
        <v/>
      </c>
    </row>
    <row r="273" customFormat="false" ht="14.25" hidden="false" customHeight="false" outlineLevel="0" collapsed="false">
      <c r="A273" s="152" t="str">
        <f aca="false">IF(Rider_Input[[#This Row],[Rider ID]]="","",Salary_Month)</f>
        <v/>
      </c>
      <c r="B273" s="153" t="str">
        <f aca="false">IFERROR(IF(INDEX(FTR_Data,ROW()-ROW(Rider_Input[#Headers]),c_FTR_ID)="","",INDEX(FTR_Data,ROW()-ROW(Rider_Input[#Headers]),c_FTR_ID)),"")</f>
        <v/>
      </c>
      <c r="C27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7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73" s="153" t="str">
        <f aca="false">IF(Rider_Input[[#This Row],[Rider ID]]="","",DAY(EOMONTH(Salary_Month,0)))</f>
        <v/>
      </c>
      <c r="F273" s="153" t="str">
        <f aca="false">IF(Rider_Input[[#This Row],[Rider ID]]="","",IFERROR(IF(INDEX(FTR_Data,ROW()-ROW(Rider_Input[#Headers]),c_FTR_WD)="","",INDEX(FTR_Data,ROW()-ROW(Rider_Input[#Headers]),c_FTR_WD)),""))</f>
        <v/>
      </c>
      <c r="G273" s="153" t="str">
        <f aca="false">IF(Rider_Input[[#This Row],[Rider ID]]="","",IFERROR(IF(INDEX(FTR_Data,ROW()-ROW(Rider_Input[#Headers]),c_FTR_Orders)="","",INDEX(FTR_Data,ROW()-ROW(Rider_Input[#Headers]),c_FTR_Orders)),""))</f>
        <v/>
      </c>
      <c r="H273" s="155" t="str">
        <f aca="false">IF(Rider_Input[[#This Row],[Rider ID]]="","",IFERROR(ABS(INDEX(RLVL_Data,MATCH(Rider_Input[[#This Row],[Rider ID]],INDEX(RLVL_Data,0,c_RLVL_ID),0),c_RLVL_Missed)),0))</f>
        <v/>
      </c>
      <c r="I273" s="155" t="str">
        <f aca="false">IF(Rider_Input[[#This Row],[Rider ID]]="","",IFERROR(ABS(INDEX(RLVL_Data,MATCH(Rider_Input[[#This Row],[Rider ID]],INDEX(RLVL_Data,0,c_RLVL_ID),0),c_RLVL_Bal)),0))</f>
        <v/>
      </c>
      <c r="J273" s="155" t="str">
        <f aca="false">IF(Rider_Input[[#This Row],[Rider ID]]="","",IFERROR(ABS(INDEX(RLVL_Data,MATCH(Rider_Input[[#This Row],[Rider ID]],INDEX(RLVL_Data,0,c_RLVL_ID),0),c_RLVL_Stack)),0))</f>
        <v/>
      </c>
      <c r="K273" s="155" t="str">
        <f aca="false">IF(Rider_Input[[#This Row],[Rider ID]]="","",SUMIFS(Adj_Input[Other Deductions],Adj_Input[Rider ID],Rider_Input[[#This Row],[Rider ID]]))</f>
        <v/>
      </c>
      <c r="L273" s="154" t="str">
        <f aca="false">IF(Rider_Input[[#This Row],[Rider ID]]="","",IFERROR(INDEX(Adj_Input[Note / Reason],MATCH(Rider_Input[[#This Row],[Rider ID]],Adj_Input[Rider ID],0))&amp;"",""))</f>
        <v/>
      </c>
    </row>
    <row r="274" customFormat="false" ht="14.25" hidden="false" customHeight="false" outlineLevel="0" collapsed="false">
      <c r="A274" s="152" t="str">
        <f aca="false">IF(Rider_Input[[#This Row],[Rider ID]]="","",Salary_Month)</f>
        <v/>
      </c>
      <c r="B274" s="153" t="str">
        <f aca="false">IFERROR(IF(INDEX(FTR_Data,ROW()-ROW(Rider_Input[#Headers]),c_FTR_ID)="","",INDEX(FTR_Data,ROW()-ROW(Rider_Input[#Headers]),c_FTR_ID)),"")</f>
        <v/>
      </c>
      <c r="C27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7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74" s="153" t="str">
        <f aca="false">IF(Rider_Input[[#This Row],[Rider ID]]="","",DAY(EOMONTH(Salary_Month,0)))</f>
        <v/>
      </c>
      <c r="F274" s="153" t="str">
        <f aca="false">IF(Rider_Input[[#This Row],[Rider ID]]="","",IFERROR(IF(INDEX(FTR_Data,ROW()-ROW(Rider_Input[#Headers]),c_FTR_WD)="","",INDEX(FTR_Data,ROW()-ROW(Rider_Input[#Headers]),c_FTR_WD)),""))</f>
        <v/>
      </c>
      <c r="G274" s="153" t="str">
        <f aca="false">IF(Rider_Input[[#This Row],[Rider ID]]="","",IFERROR(IF(INDEX(FTR_Data,ROW()-ROW(Rider_Input[#Headers]),c_FTR_Orders)="","",INDEX(FTR_Data,ROW()-ROW(Rider_Input[#Headers]),c_FTR_Orders)),""))</f>
        <v/>
      </c>
      <c r="H274" s="155" t="str">
        <f aca="false">IF(Rider_Input[[#This Row],[Rider ID]]="","",IFERROR(ABS(INDEX(RLVL_Data,MATCH(Rider_Input[[#This Row],[Rider ID]],INDEX(RLVL_Data,0,c_RLVL_ID),0),c_RLVL_Missed)),0))</f>
        <v/>
      </c>
      <c r="I274" s="155" t="str">
        <f aca="false">IF(Rider_Input[[#This Row],[Rider ID]]="","",IFERROR(ABS(INDEX(RLVL_Data,MATCH(Rider_Input[[#This Row],[Rider ID]],INDEX(RLVL_Data,0,c_RLVL_ID),0),c_RLVL_Bal)),0))</f>
        <v/>
      </c>
      <c r="J274" s="155" t="str">
        <f aca="false">IF(Rider_Input[[#This Row],[Rider ID]]="","",IFERROR(ABS(INDEX(RLVL_Data,MATCH(Rider_Input[[#This Row],[Rider ID]],INDEX(RLVL_Data,0,c_RLVL_ID),0),c_RLVL_Stack)),0))</f>
        <v/>
      </c>
      <c r="K274" s="155" t="str">
        <f aca="false">IF(Rider_Input[[#This Row],[Rider ID]]="","",SUMIFS(Adj_Input[Other Deductions],Adj_Input[Rider ID],Rider_Input[[#This Row],[Rider ID]]))</f>
        <v/>
      </c>
      <c r="L274" s="154" t="str">
        <f aca="false">IF(Rider_Input[[#This Row],[Rider ID]]="","",IFERROR(INDEX(Adj_Input[Note / Reason],MATCH(Rider_Input[[#This Row],[Rider ID]],Adj_Input[Rider ID],0))&amp;"",""))</f>
        <v/>
      </c>
    </row>
    <row r="275" customFormat="false" ht="14.25" hidden="false" customHeight="false" outlineLevel="0" collapsed="false">
      <c r="A275" s="152" t="str">
        <f aca="false">IF(Rider_Input[[#This Row],[Rider ID]]="","",Salary_Month)</f>
        <v/>
      </c>
      <c r="B275" s="153" t="str">
        <f aca="false">IFERROR(IF(INDEX(FTR_Data,ROW()-ROW(Rider_Input[#Headers]),c_FTR_ID)="","",INDEX(FTR_Data,ROW()-ROW(Rider_Input[#Headers]),c_FTR_ID)),"")</f>
        <v/>
      </c>
      <c r="C27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7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75" s="153" t="str">
        <f aca="false">IF(Rider_Input[[#This Row],[Rider ID]]="","",DAY(EOMONTH(Salary_Month,0)))</f>
        <v/>
      </c>
      <c r="F275" s="153" t="str">
        <f aca="false">IF(Rider_Input[[#This Row],[Rider ID]]="","",IFERROR(IF(INDEX(FTR_Data,ROW()-ROW(Rider_Input[#Headers]),c_FTR_WD)="","",INDEX(FTR_Data,ROW()-ROW(Rider_Input[#Headers]),c_FTR_WD)),""))</f>
        <v/>
      </c>
      <c r="G275" s="153" t="str">
        <f aca="false">IF(Rider_Input[[#This Row],[Rider ID]]="","",IFERROR(IF(INDEX(FTR_Data,ROW()-ROW(Rider_Input[#Headers]),c_FTR_Orders)="","",INDEX(FTR_Data,ROW()-ROW(Rider_Input[#Headers]),c_FTR_Orders)),""))</f>
        <v/>
      </c>
      <c r="H275" s="155" t="str">
        <f aca="false">IF(Rider_Input[[#This Row],[Rider ID]]="","",IFERROR(ABS(INDEX(RLVL_Data,MATCH(Rider_Input[[#This Row],[Rider ID]],INDEX(RLVL_Data,0,c_RLVL_ID),0),c_RLVL_Missed)),0))</f>
        <v/>
      </c>
      <c r="I275" s="155" t="str">
        <f aca="false">IF(Rider_Input[[#This Row],[Rider ID]]="","",IFERROR(ABS(INDEX(RLVL_Data,MATCH(Rider_Input[[#This Row],[Rider ID]],INDEX(RLVL_Data,0,c_RLVL_ID),0),c_RLVL_Bal)),0))</f>
        <v/>
      </c>
      <c r="J275" s="155" t="str">
        <f aca="false">IF(Rider_Input[[#This Row],[Rider ID]]="","",IFERROR(ABS(INDEX(RLVL_Data,MATCH(Rider_Input[[#This Row],[Rider ID]],INDEX(RLVL_Data,0,c_RLVL_ID),0),c_RLVL_Stack)),0))</f>
        <v/>
      </c>
      <c r="K275" s="155" t="str">
        <f aca="false">IF(Rider_Input[[#This Row],[Rider ID]]="","",SUMIFS(Adj_Input[Other Deductions],Adj_Input[Rider ID],Rider_Input[[#This Row],[Rider ID]]))</f>
        <v/>
      </c>
      <c r="L275" s="154" t="str">
        <f aca="false">IF(Rider_Input[[#This Row],[Rider ID]]="","",IFERROR(INDEX(Adj_Input[Note / Reason],MATCH(Rider_Input[[#This Row],[Rider ID]],Adj_Input[Rider ID],0))&amp;"",""))</f>
        <v/>
      </c>
    </row>
    <row r="276" customFormat="false" ht="14.25" hidden="false" customHeight="false" outlineLevel="0" collapsed="false">
      <c r="A276" s="152" t="str">
        <f aca="false">IF(Rider_Input[[#This Row],[Rider ID]]="","",Salary_Month)</f>
        <v/>
      </c>
      <c r="B276" s="153" t="str">
        <f aca="false">IFERROR(IF(INDEX(FTR_Data,ROW()-ROW(Rider_Input[#Headers]),c_FTR_ID)="","",INDEX(FTR_Data,ROW()-ROW(Rider_Input[#Headers]),c_FTR_ID)),"")</f>
        <v/>
      </c>
      <c r="C27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7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76" s="153" t="str">
        <f aca="false">IF(Rider_Input[[#This Row],[Rider ID]]="","",DAY(EOMONTH(Salary_Month,0)))</f>
        <v/>
      </c>
      <c r="F276" s="153" t="str">
        <f aca="false">IF(Rider_Input[[#This Row],[Rider ID]]="","",IFERROR(IF(INDEX(FTR_Data,ROW()-ROW(Rider_Input[#Headers]),c_FTR_WD)="","",INDEX(FTR_Data,ROW()-ROW(Rider_Input[#Headers]),c_FTR_WD)),""))</f>
        <v/>
      </c>
      <c r="G276" s="153" t="str">
        <f aca="false">IF(Rider_Input[[#This Row],[Rider ID]]="","",IFERROR(IF(INDEX(FTR_Data,ROW()-ROW(Rider_Input[#Headers]),c_FTR_Orders)="","",INDEX(FTR_Data,ROW()-ROW(Rider_Input[#Headers]),c_FTR_Orders)),""))</f>
        <v/>
      </c>
      <c r="H276" s="155" t="str">
        <f aca="false">IF(Rider_Input[[#This Row],[Rider ID]]="","",IFERROR(ABS(INDEX(RLVL_Data,MATCH(Rider_Input[[#This Row],[Rider ID]],INDEX(RLVL_Data,0,c_RLVL_ID),0),c_RLVL_Missed)),0))</f>
        <v/>
      </c>
      <c r="I276" s="155" t="str">
        <f aca="false">IF(Rider_Input[[#This Row],[Rider ID]]="","",IFERROR(ABS(INDEX(RLVL_Data,MATCH(Rider_Input[[#This Row],[Rider ID]],INDEX(RLVL_Data,0,c_RLVL_ID),0),c_RLVL_Bal)),0))</f>
        <v/>
      </c>
      <c r="J276" s="155" t="str">
        <f aca="false">IF(Rider_Input[[#This Row],[Rider ID]]="","",IFERROR(ABS(INDEX(RLVL_Data,MATCH(Rider_Input[[#This Row],[Rider ID]],INDEX(RLVL_Data,0,c_RLVL_ID),0),c_RLVL_Stack)),0))</f>
        <v/>
      </c>
      <c r="K276" s="155" t="str">
        <f aca="false">IF(Rider_Input[[#This Row],[Rider ID]]="","",SUMIFS(Adj_Input[Other Deductions],Adj_Input[Rider ID],Rider_Input[[#This Row],[Rider ID]]))</f>
        <v/>
      </c>
      <c r="L276" s="154" t="str">
        <f aca="false">IF(Rider_Input[[#This Row],[Rider ID]]="","",IFERROR(INDEX(Adj_Input[Note / Reason],MATCH(Rider_Input[[#This Row],[Rider ID]],Adj_Input[Rider ID],0))&amp;"",""))</f>
        <v/>
      </c>
    </row>
    <row r="277" customFormat="false" ht="14.25" hidden="false" customHeight="false" outlineLevel="0" collapsed="false">
      <c r="A277" s="152" t="str">
        <f aca="false">IF(Rider_Input[[#This Row],[Rider ID]]="","",Salary_Month)</f>
        <v/>
      </c>
      <c r="B277" s="153" t="str">
        <f aca="false">IFERROR(IF(INDEX(FTR_Data,ROW()-ROW(Rider_Input[#Headers]),c_FTR_ID)="","",INDEX(FTR_Data,ROW()-ROW(Rider_Input[#Headers]),c_FTR_ID)),"")</f>
        <v/>
      </c>
      <c r="C27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7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77" s="153" t="str">
        <f aca="false">IF(Rider_Input[[#This Row],[Rider ID]]="","",DAY(EOMONTH(Salary_Month,0)))</f>
        <v/>
      </c>
      <c r="F277" s="153" t="str">
        <f aca="false">IF(Rider_Input[[#This Row],[Rider ID]]="","",IFERROR(IF(INDEX(FTR_Data,ROW()-ROW(Rider_Input[#Headers]),c_FTR_WD)="","",INDEX(FTR_Data,ROW()-ROW(Rider_Input[#Headers]),c_FTR_WD)),""))</f>
        <v/>
      </c>
      <c r="G277" s="153" t="str">
        <f aca="false">IF(Rider_Input[[#This Row],[Rider ID]]="","",IFERROR(IF(INDEX(FTR_Data,ROW()-ROW(Rider_Input[#Headers]),c_FTR_Orders)="","",INDEX(FTR_Data,ROW()-ROW(Rider_Input[#Headers]),c_FTR_Orders)),""))</f>
        <v/>
      </c>
      <c r="H277" s="155" t="str">
        <f aca="false">IF(Rider_Input[[#This Row],[Rider ID]]="","",IFERROR(ABS(INDEX(RLVL_Data,MATCH(Rider_Input[[#This Row],[Rider ID]],INDEX(RLVL_Data,0,c_RLVL_ID),0),c_RLVL_Missed)),0))</f>
        <v/>
      </c>
      <c r="I277" s="155" t="str">
        <f aca="false">IF(Rider_Input[[#This Row],[Rider ID]]="","",IFERROR(ABS(INDEX(RLVL_Data,MATCH(Rider_Input[[#This Row],[Rider ID]],INDEX(RLVL_Data,0,c_RLVL_ID),0),c_RLVL_Bal)),0))</f>
        <v/>
      </c>
      <c r="J277" s="155" t="str">
        <f aca="false">IF(Rider_Input[[#This Row],[Rider ID]]="","",IFERROR(ABS(INDEX(RLVL_Data,MATCH(Rider_Input[[#This Row],[Rider ID]],INDEX(RLVL_Data,0,c_RLVL_ID),0),c_RLVL_Stack)),0))</f>
        <v/>
      </c>
      <c r="K277" s="155" t="str">
        <f aca="false">IF(Rider_Input[[#This Row],[Rider ID]]="","",SUMIFS(Adj_Input[Other Deductions],Adj_Input[Rider ID],Rider_Input[[#This Row],[Rider ID]]))</f>
        <v/>
      </c>
      <c r="L277" s="154" t="str">
        <f aca="false">IF(Rider_Input[[#This Row],[Rider ID]]="","",IFERROR(INDEX(Adj_Input[Note / Reason],MATCH(Rider_Input[[#This Row],[Rider ID]],Adj_Input[Rider ID],0))&amp;"",""))</f>
        <v/>
      </c>
    </row>
    <row r="278" customFormat="false" ht="14.25" hidden="false" customHeight="false" outlineLevel="0" collapsed="false">
      <c r="A278" s="152" t="str">
        <f aca="false">IF(Rider_Input[[#This Row],[Rider ID]]="","",Salary_Month)</f>
        <v/>
      </c>
      <c r="B278" s="153" t="str">
        <f aca="false">IFERROR(IF(INDEX(FTR_Data,ROW()-ROW(Rider_Input[#Headers]),c_FTR_ID)="","",INDEX(FTR_Data,ROW()-ROW(Rider_Input[#Headers]),c_FTR_ID)),"")</f>
        <v/>
      </c>
      <c r="C27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7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78" s="153" t="str">
        <f aca="false">IF(Rider_Input[[#This Row],[Rider ID]]="","",DAY(EOMONTH(Salary_Month,0)))</f>
        <v/>
      </c>
      <c r="F278" s="153" t="str">
        <f aca="false">IF(Rider_Input[[#This Row],[Rider ID]]="","",IFERROR(IF(INDEX(FTR_Data,ROW()-ROW(Rider_Input[#Headers]),c_FTR_WD)="","",INDEX(FTR_Data,ROW()-ROW(Rider_Input[#Headers]),c_FTR_WD)),""))</f>
        <v/>
      </c>
      <c r="G278" s="153" t="str">
        <f aca="false">IF(Rider_Input[[#This Row],[Rider ID]]="","",IFERROR(IF(INDEX(FTR_Data,ROW()-ROW(Rider_Input[#Headers]),c_FTR_Orders)="","",INDEX(FTR_Data,ROW()-ROW(Rider_Input[#Headers]),c_FTR_Orders)),""))</f>
        <v/>
      </c>
      <c r="H278" s="155" t="str">
        <f aca="false">IF(Rider_Input[[#This Row],[Rider ID]]="","",IFERROR(ABS(INDEX(RLVL_Data,MATCH(Rider_Input[[#This Row],[Rider ID]],INDEX(RLVL_Data,0,c_RLVL_ID),0),c_RLVL_Missed)),0))</f>
        <v/>
      </c>
      <c r="I278" s="155" t="str">
        <f aca="false">IF(Rider_Input[[#This Row],[Rider ID]]="","",IFERROR(ABS(INDEX(RLVL_Data,MATCH(Rider_Input[[#This Row],[Rider ID]],INDEX(RLVL_Data,0,c_RLVL_ID),0),c_RLVL_Bal)),0))</f>
        <v/>
      </c>
      <c r="J278" s="155" t="str">
        <f aca="false">IF(Rider_Input[[#This Row],[Rider ID]]="","",IFERROR(ABS(INDEX(RLVL_Data,MATCH(Rider_Input[[#This Row],[Rider ID]],INDEX(RLVL_Data,0,c_RLVL_ID),0),c_RLVL_Stack)),0))</f>
        <v/>
      </c>
      <c r="K278" s="155" t="str">
        <f aca="false">IF(Rider_Input[[#This Row],[Rider ID]]="","",SUMIFS(Adj_Input[Other Deductions],Adj_Input[Rider ID],Rider_Input[[#This Row],[Rider ID]]))</f>
        <v/>
      </c>
      <c r="L278" s="154" t="str">
        <f aca="false">IF(Rider_Input[[#This Row],[Rider ID]]="","",IFERROR(INDEX(Adj_Input[Note / Reason],MATCH(Rider_Input[[#This Row],[Rider ID]],Adj_Input[Rider ID],0))&amp;"",""))</f>
        <v/>
      </c>
    </row>
    <row r="279" customFormat="false" ht="14.25" hidden="false" customHeight="false" outlineLevel="0" collapsed="false">
      <c r="A279" s="152" t="str">
        <f aca="false">IF(Rider_Input[[#This Row],[Rider ID]]="","",Salary_Month)</f>
        <v/>
      </c>
      <c r="B279" s="153" t="str">
        <f aca="false">IFERROR(IF(INDEX(FTR_Data,ROW()-ROW(Rider_Input[#Headers]),c_FTR_ID)="","",INDEX(FTR_Data,ROW()-ROW(Rider_Input[#Headers]),c_FTR_ID)),"")</f>
        <v/>
      </c>
      <c r="C27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7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79" s="153" t="str">
        <f aca="false">IF(Rider_Input[[#This Row],[Rider ID]]="","",DAY(EOMONTH(Salary_Month,0)))</f>
        <v/>
      </c>
      <c r="F279" s="153" t="str">
        <f aca="false">IF(Rider_Input[[#This Row],[Rider ID]]="","",IFERROR(IF(INDEX(FTR_Data,ROW()-ROW(Rider_Input[#Headers]),c_FTR_WD)="","",INDEX(FTR_Data,ROW()-ROW(Rider_Input[#Headers]),c_FTR_WD)),""))</f>
        <v/>
      </c>
      <c r="G279" s="153" t="str">
        <f aca="false">IF(Rider_Input[[#This Row],[Rider ID]]="","",IFERROR(IF(INDEX(FTR_Data,ROW()-ROW(Rider_Input[#Headers]),c_FTR_Orders)="","",INDEX(FTR_Data,ROW()-ROW(Rider_Input[#Headers]),c_FTR_Orders)),""))</f>
        <v/>
      </c>
      <c r="H279" s="155" t="str">
        <f aca="false">IF(Rider_Input[[#This Row],[Rider ID]]="","",IFERROR(ABS(INDEX(RLVL_Data,MATCH(Rider_Input[[#This Row],[Rider ID]],INDEX(RLVL_Data,0,c_RLVL_ID),0),c_RLVL_Missed)),0))</f>
        <v/>
      </c>
      <c r="I279" s="155" t="str">
        <f aca="false">IF(Rider_Input[[#This Row],[Rider ID]]="","",IFERROR(ABS(INDEX(RLVL_Data,MATCH(Rider_Input[[#This Row],[Rider ID]],INDEX(RLVL_Data,0,c_RLVL_ID),0),c_RLVL_Bal)),0))</f>
        <v/>
      </c>
      <c r="J279" s="155" t="str">
        <f aca="false">IF(Rider_Input[[#This Row],[Rider ID]]="","",IFERROR(ABS(INDEX(RLVL_Data,MATCH(Rider_Input[[#This Row],[Rider ID]],INDEX(RLVL_Data,0,c_RLVL_ID),0),c_RLVL_Stack)),0))</f>
        <v/>
      </c>
      <c r="K279" s="155" t="str">
        <f aca="false">IF(Rider_Input[[#This Row],[Rider ID]]="","",SUMIFS(Adj_Input[Other Deductions],Adj_Input[Rider ID],Rider_Input[[#This Row],[Rider ID]]))</f>
        <v/>
      </c>
      <c r="L279" s="154" t="str">
        <f aca="false">IF(Rider_Input[[#This Row],[Rider ID]]="","",IFERROR(INDEX(Adj_Input[Note / Reason],MATCH(Rider_Input[[#This Row],[Rider ID]],Adj_Input[Rider ID],0))&amp;"",""))</f>
        <v/>
      </c>
    </row>
    <row r="280" customFormat="false" ht="14.25" hidden="false" customHeight="false" outlineLevel="0" collapsed="false">
      <c r="A280" s="152" t="str">
        <f aca="false">IF(Rider_Input[[#This Row],[Rider ID]]="","",Salary_Month)</f>
        <v/>
      </c>
      <c r="B280" s="153" t="str">
        <f aca="false">IFERROR(IF(INDEX(FTR_Data,ROW()-ROW(Rider_Input[#Headers]),c_FTR_ID)="","",INDEX(FTR_Data,ROW()-ROW(Rider_Input[#Headers]),c_FTR_ID)),"")</f>
        <v/>
      </c>
      <c r="C28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8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80" s="153" t="str">
        <f aca="false">IF(Rider_Input[[#This Row],[Rider ID]]="","",DAY(EOMONTH(Salary_Month,0)))</f>
        <v/>
      </c>
      <c r="F280" s="153" t="str">
        <f aca="false">IF(Rider_Input[[#This Row],[Rider ID]]="","",IFERROR(IF(INDEX(FTR_Data,ROW()-ROW(Rider_Input[#Headers]),c_FTR_WD)="","",INDEX(FTR_Data,ROW()-ROW(Rider_Input[#Headers]),c_FTR_WD)),""))</f>
        <v/>
      </c>
      <c r="G280" s="153" t="str">
        <f aca="false">IF(Rider_Input[[#This Row],[Rider ID]]="","",IFERROR(IF(INDEX(FTR_Data,ROW()-ROW(Rider_Input[#Headers]),c_FTR_Orders)="","",INDEX(FTR_Data,ROW()-ROW(Rider_Input[#Headers]),c_FTR_Orders)),""))</f>
        <v/>
      </c>
      <c r="H280" s="155" t="str">
        <f aca="false">IF(Rider_Input[[#This Row],[Rider ID]]="","",IFERROR(ABS(INDEX(RLVL_Data,MATCH(Rider_Input[[#This Row],[Rider ID]],INDEX(RLVL_Data,0,c_RLVL_ID),0),c_RLVL_Missed)),0))</f>
        <v/>
      </c>
      <c r="I280" s="155" t="str">
        <f aca="false">IF(Rider_Input[[#This Row],[Rider ID]]="","",IFERROR(ABS(INDEX(RLVL_Data,MATCH(Rider_Input[[#This Row],[Rider ID]],INDEX(RLVL_Data,0,c_RLVL_ID),0),c_RLVL_Bal)),0))</f>
        <v/>
      </c>
      <c r="J280" s="155" t="str">
        <f aca="false">IF(Rider_Input[[#This Row],[Rider ID]]="","",IFERROR(ABS(INDEX(RLVL_Data,MATCH(Rider_Input[[#This Row],[Rider ID]],INDEX(RLVL_Data,0,c_RLVL_ID),0),c_RLVL_Stack)),0))</f>
        <v/>
      </c>
      <c r="K280" s="155" t="str">
        <f aca="false">IF(Rider_Input[[#This Row],[Rider ID]]="","",SUMIFS(Adj_Input[Other Deductions],Adj_Input[Rider ID],Rider_Input[[#This Row],[Rider ID]]))</f>
        <v/>
      </c>
      <c r="L280" s="154" t="str">
        <f aca="false">IF(Rider_Input[[#This Row],[Rider ID]]="","",IFERROR(INDEX(Adj_Input[Note / Reason],MATCH(Rider_Input[[#This Row],[Rider ID]],Adj_Input[Rider ID],0))&amp;"",""))</f>
        <v/>
      </c>
    </row>
    <row r="281" customFormat="false" ht="14.25" hidden="false" customHeight="false" outlineLevel="0" collapsed="false">
      <c r="A281" s="152" t="str">
        <f aca="false">IF(Rider_Input[[#This Row],[Rider ID]]="","",Salary_Month)</f>
        <v/>
      </c>
      <c r="B281" s="153" t="str">
        <f aca="false">IFERROR(IF(INDEX(FTR_Data,ROW()-ROW(Rider_Input[#Headers]),c_FTR_ID)="","",INDEX(FTR_Data,ROW()-ROW(Rider_Input[#Headers]),c_FTR_ID)),"")</f>
        <v/>
      </c>
      <c r="C28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8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81" s="153" t="str">
        <f aca="false">IF(Rider_Input[[#This Row],[Rider ID]]="","",DAY(EOMONTH(Salary_Month,0)))</f>
        <v/>
      </c>
      <c r="F281" s="153" t="str">
        <f aca="false">IF(Rider_Input[[#This Row],[Rider ID]]="","",IFERROR(IF(INDEX(FTR_Data,ROW()-ROW(Rider_Input[#Headers]),c_FTR_WD)="","",INDEX(FTR_Data,ROW()-ROW(Rider_Input[#Headers]),c_FTR_WD)),""))</f>
        <v/>
      </c>
      <c r="G281" s="153" t="str">
        <f aca="false">IF(Rider_Input[[#This Row],[Rider ID]]="","",IFERROR(IF(INDEX(FTR_Data,ROW()-ROW(Rider_Input[#Headers]),c_FTR_Orders)="","",INDEX(FTR_Data,ROW()-ROW(Rider_Input[#Headers]),c_FTR_Orders)),""))</f>
        <v/>
      </c>
      <c r="H281" s="155" t="str">
        <f aca="false">IF(Rider_Input[[#This Row],[Rider ID]]="","",IFERROR(ABS(INDEX(RLVL_Data,MATCH(Rider_Input[[#This Row],[Rider ID]],INDEX(RLVL_Data,0,c_RLVL_ID),0),c_RLVL_Missed)),0))</f>
        <v/>
      </c>
      <c r="I281" s="155" t="str">
        <f aca="false">IF(Rider_Input[[#This Row],[Rider ID]]="","",IFERROR(ABS(INDEX(RLVL_Data,MATCH(Rider_Input[[#This Row],[Rider ID]],INDEX(RLVL_Data,0,c_RLVL_ID),0),c_RLVL_Bal)),0))</f>
        <v/>
      </c>
      <c r="J281" s="155" t="str">
        <f aca="false">IF(Rider_Input[[#This Row],[Rider ID]]="","",IFERROR(ABS(INDEX(RLVL_Data,MATCH(Rider_Input[[#This Row],[Rider ID]],INDEX(RLVL_Data,0,c_RLVL_ID),0),c_RLVL_Stack)),0))</f>
        <v/>
      </c>
      <c r="K281" s="155" t="str">
        <f aca="false">IF(Rider_Input[[#This Row],[Rider ID]]="","",SUMIFS(Adj_Input[Other Deductions],Adj_Input[Rider ID],Rider_Input[[#This Row],[Rider ID]]))</f>
        <v/>
      </c>
      <c r="L281" s="154" t="str">
        <f aca="false">IF(Rider_Input[[#This Row],[Rider ID]]="","",IFERROR(INDEX(Adj_Input[Note / Reason],MATCH(Rider_Input[[#This Row],[Rider ID]],Adj_Input[Rider ID],0))&amp;"",""))</f>
        <v/>
      </c>
    </row>
    <row r="282" customFormat="false" ht="14.25" hidden="false" customHeight="false" outlineLevel="0" collapsed="false">
      <c r="A282" s="152" t="str">
        <f aca="false">IF(Rider_Input[[#This Row],[Rider ID]]="","",Salary_Month)</f>
        <v/>
      </c>
      <c r="B282" s="153" t="str">
        <f aca="false">IFERROR(IF(INDEX(FTR_Data,ROW()-ROW(Rider_Input[#Headers]),c_FTR_ID)="","",INDEX(FTR_Data,ROW()-ROW(Rider_Input[#Headers]),c_FTR_ID)),"")</f>
        <v/>
      </c>
      <c r="C28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8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82" s="153" t="str">
        <f aca="false">IF(Rider_Input[[#This Row],[Rider ID]]="","",DAY(EOMONTH(Salary_Month,0)))</f>
        <v/>
      </c>
      <c r="F282" s="153" t="str">
        <f aca="false">IF(Rider_Input[[#This Row],[Rider ID]]="","",IFERROR(IF(INDEX(FTR_Data,ROW()-ROW(Rider_Input[#Headers]),c_FTR_WD)="","",INDEX(FTR_Data,ROW()-ROW(Rider_Input[#Headers]),c_FTR_WD)),""))</f>
        <v/>
      </c>
      <c r="G282" s="153" t="str">
        <f aca="false">IF(Rider_Input[[#This Row],[Rider ID]]="","",IFERROR(IF(INDEX(FTR_Data,ROW()-ROW(Rider_Input[#Headers]),c_FTR_Orders)="","",INDEX(FTR_Data,ROW()-ROW(Rider_Input[#Headers]),c_FTR_Orders)),""))</f>
        <v/>
      </c>
      <c r="H282" s="155" t="str">
        <f aca="false">IF(Rider_Input[[#This Row],[Rider ID]]="","",IFERROR(ABS(INDEX(RLVL_Data,MATCH(Rider_Input[[#This Row],[Rider ID]],INDEX(RLVL_Data,0,c_RLVL_ID),0),c_RLVL_Missed)),0))</f>
        <v/>
      </c>
      <c r="I282" s="155" t="str">
        <f aca="false">IF(Rider_Input[[#This Row],[Rider ID]]="","",IFERROR(ABS(INDEX(RLVL_Data,MATCH(Rider_Input[[#This Row],[Rider ID]],INDEX(RLVL_Data,0,c_RLVL_ID),0),c_RLVL_Bal)),0))</f>
        <v/>
      </c>
      <c r="J282" s="155" t="str">
        <f aca="false">IF(Rider_Input[[#This Row],[Rider ID]]="","",IFERROR(ABS(INDEX(RLVL_Data,MATCH(Rider_Input[[#This Row],[Rider ID]],INDEX(RLVL_Data,0,c_RLVL_ID),0),c_RLVL_Stack)),0))</f>
        <v/>
      </c>
      <c r="K282" s="155" t="str">
        <f aca="false">IF(Rider_Input[[#This Row],[Rider ID]]="","",SUMIFS(Adj_Input[Other Deductions],Adj_Input[Rider ID],Rider_Input[[#This Row],[Rider ID]]))</f>
        <v/>
      </c>
      <c r="L282" s="154" t="str">
        <f aca="false">IF(Rider_Input[[#This Row],[Rider ID]]="","",IFERROR(INDEX(Adj_Input[Note / Reason],MATCH(Rider_Input[[#This Row],[Rider ID]],Adj_Input[Rider ID],0))&amp;"",""))</f>
        <v/>
      </c>
    </row>
    <row r="283" customFormat="false" ht="14.25" hidden="false" customHeight="false" outlineLevel="0" collapsed="false">
      <c r="A283" s="152" t="str">
        <f aca="false">IF(Rider_Input[[#This Row],[Rider ID]]="","",Salary_Month)</f>
        <v/>
      </c>
      <c r="B283" s="153" t="str">
        <f aca="false">IFERROR(IF(INDEX(FTR_Data,ROW()-ROW(Rider_Input[#Headers]),c_FTR_ID)="","",INDEX(FTR_Data,ROW()-ROW(Rider_Input[#Headers]),c_FTR_ID)),"")</f>
        <v/>
      </c>
      <c r="C28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8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83" s="153" t="str">
        <f aca="false">IF(Rider_Input[[#This Row],[Rider ID]]="","",DAY(EOMONTH(Salary_Month,0)))</f>
        <v/>
      </c>
      <c r="F283" s="153" t="str">
        <f aca="false">IF(Rider_Input[[#This Row],[Rider ID]]="","",IFERROR(IF(INDEX(FTR_Data,ROW()-ROW(Rider_Input[#Headers]),c_FTR_WD)="","",INDEX(FTR_Data,ROW()-ROW(Rider_Input[#Headers]),c_FTR_WD)),""))</f>
        <v/>
      </c>
      <c r="G283" s="153" t="str">
        <f aca="false">IF(Rider_Input[[#This Row],[Rider ID]]="","",IFERROR(IF(INDEX(FTR_Data,ROW()-ROW(Rider_Input[#Headers]),c_FTR_Orders)="","",INDEX(FTR_Data,ROW()-ROW(Rider_Input[#Headers]),c_FTR_Orders)),""))</f>
        <v/>
      </c>
      <c r="H283" s="155" t="str">
        <f aca="false">IF(Rider_Input[[#This Row],[Rider ID]]="","",IFERROR(ABS(INDEX(RLVL_Data,MATCH(Rider_Input[[#This Row],[Rider ID]],INDEX(RLVL_Data,0,c_RLVL_ID),0),c_RLVL_Missed)),0))</f>
        <v/>
      </c>
      <c r="I283" s="155" t="str">
        <f aca="false">IF(Rider_Input[[#This Row],[Rider ID]]="","",IFERROR(ABS(INDEX(RLVL_Data,MATCH(Rider_Input[[#This Row],[Rider ID]],INDEX(RLVL_Data,0,c_RLVL_ID),0),c_RLVL_Bal)),0))</f>
        <v/>
      </c>
      <c r="J283" s="155" t="str">
        <f aca="false">IF(Rider_Input[[#This Row],[Rider ID]]="","",IFERROR(ABS(INDEX(RLVL_Data,MATCH(Rider_Input[[#This Row],[Rider ID]],INDEX(RLVL_Data,0,c_RLVL_ID),0),c_RLVL_Stack)),0))</f>
        <v/>
      </c>
      <c r="K283" s="155" t="str">
        <f aca="false">IF(Rider_Input[[#This Row],[Rider ID]]="","",SUMIFS(Adj_Input[Other Deductions],Adj_Input[Rider ID],Rider_Input[[#This Row],[Rider ID]]))</f>
        <v/>
      </c>
      <c r="L283" s="154" t="str">
        <f aca="false">IF(Rider_Input[[#This Row],[Rider ID]]="","",IFERROR(INDEX(Adj_Input[Note / Reason],MATCH(Rider_Input[[#This Row],[Rider ID]],Adj_Input[Rider ID],0))&amp;"",""))</f>
        <v/>
      </c>
    </row>
    <row r="284" customFormat="false" ht="14.25" hidden="false" customHeight="false" outlineLevel="0" collapsed="false">
      <c r="A284" s="152" t="str">
        <f aca="false">IF(Rider_Input[[#This Row],[Rider ID]]="","",Salary_Month)</f>
        <v/>
      </c>
      <c r="B284" s="153" t="str">
        <f aca="false">IFERROR(IF(INDEX(FTR_Data,ROW()-ROW(Rider_Input[#Headers]),c_FTR_ID)="","",INDEX(FTR_Data,ROW()-ROW(Rider_Input[#Headers]),c_FTR_ID)),"")</f>
        <v/>
      </c>
      <c r="C28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8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84" s="153" t="str">
        <f aca="false">IF(Rider_Input[[#This Row],[Rider ID]]="","",DAY(EOMONTH(Salary_Month,0)))</f>
        <v/>
      </c>
      <c r="F284" s="153" t="str">
        <f aca="false">IF(Rider_Input[[#This Row],[Rider ID]]="","",IFERROR(IF(INDEX(FTR_Data,ROW()-ROW(Rider_Input[#Headers]),c_FTR_WD)="","",INDEX(FTR_Data,ROW()-ROW(Rider_Input[#Headers]),c_FTR_WD)),""))</f>
        <v/>
      </c>
      <c r="G284" s="153" t="str">
        <f aca="false">IF(Rider_Input[[#This Row],[Rider ID]]="","",IFERROR(IF(INDEX(FTR_Data,ROW()-ROW(Rider_Input[#Headers]),c_FTR_Orders)="","",INDEX(FTR_Data,ROW()-ROW(Rider_Input[#Headers]),c_FTR_Orders)),""))</f>
        <v/>
      </c>
      <c r="H284" s="155" t="str">
        <f aca="false">IF(Rider_Input[[#This Row],[Rider ID]]="","",IFERROR(ABS(INDEX(RLVL_Data,MATCH(Rider_Input[[#This Row],[Rider ID]],INDEX(RLVL_Data,0,c_RLVL_ID),0),c_RLVL_Missed)),0))</f>
        <v/>
      </c>
      <c r="I284" s="155" t="str">
        <f aca="false">IF(Rider_Input[[#This Row],[Rider ID]]="","",IFERROR(ABS(INDEX(RLVL_Data,MATCH(Rider_Input[[#This Row],[Rider ID]],INDEX(RLVL_Data,0,c_RLVL_ID),0),c_RLVL_Bal)),0))</f>
        <v/>
      </c>
      <c r="J284" s="155" t="str">
        <f aca="false">IF(Rider_Input[[#This Row],[Rider ID]]="","",IFERROR(ABS(INDEX(RLVL_Data,MATCH(Rider_Input[[#This Row],[Rider ID]],INDEX(RLVL_Data,0,c_RLVL_ID),0),c_RLVL_Stack)),0))</f>
        <v/>
      </c>
      <c r="K284" s="155" t="str">
        <f aca="false">IF(Rider_Input[[#This Row],[Rider ID]]="","",SUMIFS(Adj_Input[Other Deductions],Adj_Input[Rider ID],Rider_Input[[#This Row],[Rider ID]]))</f>
        <v/>
      </c>
      <c r="L284" s="154" t="str">
        <f aca="false">IF(Rider_Input[[#This Row],[Rider ID]]="","",IFERROR(INDEX(Adj_Input[Note / Reason],MATCH(Rider_Input[[#This Row],[Rider ID]],Adj_Input[Rider ID],0))&amp;"",""))</f>
        <v/>
      </c>
    </row>
    <row r="285" customFormat="false" ht="14.25" hidden="false" customHeight="false" outlineLevel="0" collapsed="false">
      <c r="A285" s="152" t="str">
        <f aca="false">IF(Rider_Input[[#This Row],[Rider ID]]="","",Salary_Month)</f>
        <v/>
      </c>
      <c r="B285" s="153" t="str">
        <f aca="false">IFERROR(IF(INDEX(FTR_Data,ROW()-ROW(Rider_Input[#Headers]),c_FTR_ID)="","",INDEX(FTR_Data,ROW()-ROW(Rider_Input[#Headers]),c_FTR_ID)),"")</f>
        <v/>
      </c>
      <c r="C28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8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85" s="153" t="str">
        <f aca="false">IF(Rider_Input[[#This Row],[Rider ID]]="","",DAY(EOMONTH(Salary_Month,0)))</f>
        <v/>
      </c>
      <c r="F285" s="153" t="str">
        <f aca="false">IF(Rider_Input[[#This Row],[Rider ID]]="","",IFERROR(IF(INDEX(FTR_Data,ROW()-ROW(Rider_Input[#Headers]),c_FTR_WD)="","",INDEX(FTR_Data,ROW()-ROW(Rider_Input[#Headers]),c_FTR_WD)),""))</f>
        <v/>
      </c>
      <c r="G285" s="153" t="str">
        <f aca="false">IF(Rider_Input[[#This Row],[Rider ID]]="","",IFERROR(IF(INDEX(FTR_Data,ROW()-ROW(Rider_Input[#Headers]),c_FTR_Orders)="","",INDEX(FTR_Data,ROW()-ROW(Rider_Input[#Headers]),c_FTR_Orders)),""))</f>
        <v/>
      </c>
      <c r="H285" s="155" t="str">
        <f aca="false">IF(Rider_Input[[#This Row],[Rider ID]]="","",IFERROR(ABS(INDEX(RLVL_Data,MATCH(Rider_Input[[#This Row],[Rider ID]],INDEX(RLVL_Data,0,c_RLVL_ID),0),c_RLVL_Missed)),0))</f>
        <v/>
      </c>
      <c r="I285" s="155" t="str">
        <f aca="false">IF(Rider_Input[[#This Row],[Rider ID]]="","",IFERROR(ABS(INDEX(RLVL_Data,MATCH(Rider_Input[[#This Row],[Rider ID]],INDEX(RLVL_Data,0,c_RLVL_ID),0),c_RLVL_Bal)),0))</f>
        <v/>
      </c>
      <c r="J285" s="155" t="str">
        <f aca="false">IF(Rider_Input[[#This Row],[Rider ID]]="","",IFERROR(ABS(INDEX(RLVL_Data,MATCH(Rider_Input[[#This Row],[Rider ID]],INDEX(RLVL_Data,0,c_RLVL_ID),0),c_RLVL_Stack)),0))</f>
        <v/>
      </c>
      <c r="K285" s="155" t="str">
        <f aca="false">IF(Rider_Input[[#This Row],[Rider ID]]="","",SUMIFS(Adj_Input[Other Deductions],Adj_Input[Rider ID],Rider_Input[[#This Row],[Rider ID]]))</f>
        <v/>
      </c>
      <c r="L285" s="154" t="str">
        <f aca="false">IF(Rider_Input[[#This Row],[Rider ID]]="","",IFERROR(INDEX(Adj_Input[Note / Reason],MATCH(Rider_Input[[#This Row],[Rider ID]],Adj_Input[Rider ID],0))&amp;"",""))</f>
        <v/>
      </c>
    </row>
    <row r="286" customFormat="false" ht="14.25" hidden="false" customHeight="false" outlineLevel="0" collapsed="false">
      <c r="A286" s="152" t="str">
        <f aca="false">IF(Rider_Input[[#This Row],[Rider ID]]="","",Salary_Month)</f>
        <v/>
      </c>
      <c r="B286" s="153" t="str">
        <f aca="false">IFERROR(IF(INDEX(FTR_Data,ROW()-ROW(Rider_Input[#Headers]),c_FTR_ID)="","",INDEX(FTR_Data,ROW()-ROW(Rider_Input[#Headers]),c_FTR_ID)),"")</f>
        <v/>
      </c>
      <c r="C28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8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86" s="153" t="str">
        <f aca="false">IF(Rider_Input[[#This Row],[Rider ID]]="","",DAY(EOMONTH(Salary_Month,0)))</f>
        <v/>
      </c>
      <c r="F286" s="153" t="str">
        <f aca="false">IF(Rider_Input[[#This Row],[Rider ID]]="","",IFERROR(IF(INDEX(FTR_Data,ROW()-ROW(Rider_Input[#Headers]),c_FTR_WD)="","",INDEX(FTR_Data,ROW()-ROW(Rider_Input[#Headers]),c_FTR_WD)),""))</f>
        <v/>
      </c>
      <c r="G286" s="153" t="str">
        <f aca="false">IF(Rider_Input[[#This Row],[Rider ID]]="","",IFERROR(IF(INDEX(FTR_Data,ROW()-ROW(Rider_Input[#Headers]),c_FTR_Orders)="","",INDEX(FTR_Data,ROW()-ROW(Rider_Input[#Headers]),c_FTR_Orders)),""))</f>
        <v/>
      </c>
      <c r="H286" s="155" t="str">
        <f aca="false">IF(Rider_Input[[#This Row],[Rider ID]]="","",IFERROR(ABS(INDEX(RLVL_Data,MATCH(Rider_Input[[#This Row],[Rider ID]],INDEX(RLVL_Data,0,c_RLVL_ID),0),c_RLVL_Missed)),0))</f>
        <v/>
      </c>
      <c r="I286" s="155" t="str">
        <f aca="false">IF(Rider_Input[[#This Row],[Rider ID]]="","",IFERROR(ABS(INDEX(RLVL_Data,MATCH(Rider_Input[[#This Row],[Rider ID]],INDEX(RLVL_Data,0,c_RLVL_ID),0),c_RLVL_Bal)),0))</f>
        <v/>
      </c>
      <c r="J286" s="155" t="str">
        <f aca="false">IF(Rider_Input[[#This Row],[Rider ID]]="","",IFERROR(ABS(INDEX(RLVL_Data,MATCH(Rider_Input[[#This Row],[Rider ID]],INDEX(RLVL_Data,0,c_RLVL_ID),0),c_RLVL_Stack)),0))</f>
        <v/>
      </c>
      <c r="K286" s="155" t="str">
        <f aca="false">IF(Rider_Input[[#This Row],[Rider ID]]="","",SUMIFS(Adj_Input[Other Deductions],Adj_Input[Rider ID],Rider_Input[[#This Row],[Rider ID]]))</f>
        <v/>
      </c>
      <c r="L286" s="154" t="str">
        <f aca="false">IF(Rider_Input[[#This Row],[Rider ID]]="","",IFERROR(INDEX(Adj_Input[Note / Reason],MATCH(Rider_Input[[#This Row],[Rider ID]],Adj_Input[Rider ID],0))&amp;"",""))</f>
        <v/>
      </c>
    </row>
    <row r="287" customFormat="false" ht="14.25" hidden="false" customHeight="false" outlineLevel="0" collapsed="false">
      <c r="A287" s="152" t="str">
        <f aca="false">IF(Rider_Input[[#This Row],[Rider ID]]="","",Salary_Month)</f>
        <v/>
      </c>
      <c r="B287" s="153" t="str">
        <f aca="false">IFERROR(IF(INDEX(FTR_Data,ROW()-ROW(Rider_Input[#Headers]),c_FTR_ID)="","",INDEX(FTR_Data,ROW()-ROW(Rider_Input[#Headers]),c_FTR_ID)),"")</f>
        <v/>
      </c>
      <c r="C28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8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87" s="153" t="str">
        <f aca="false">IF(Rider_Input[[#This Row],[Rider ID]]="","",DAY(EOMONTH(Salary_Month,0)))</f>
        <v/>
      </c>
      <c r="F287" s="153" t="str">
        <f aca="false">IF(Rider_Input[[#This Row],[Rider ID]]="","",IFERROR(IF(INDEX(FTR_Data,ROW()-ROW(Rider_Input[#Headers]),c_FTR_WD)="","",INDEX(FTR_Data,ROW()-ROW(Rider_Input[#Headers]),c_FTR_WD)),""))</f>
        <v/>
      </c>
      <c r="G287" s="153" t="str">
        <f aca="false">IF(Rider_Input[[#This Row],[Rider ID]]="","",IFERROR(IF(INDEX(FTR_Data,ROW()-ROW(Rider_Input[#Headers]),c_FTR_Orders)="","",INDEX(FTR_Data,ROW()-ROW(Rider_Input[#Headers]),c_FTR_Orders)),""))</f>
        <v/>
      </c>
      <c r="H287" s="155" t="str">
        <f aca="false">IF(Rider_Input[[#This Row],[Rider ID]]="","",IFERROR(ABS(INDEX(RLVL_Data,MATCH(Rider_Input[[#This Row],[Rider ID]],INDEX(RLVL_Data,0,c_RLVL_ID),0),c_RLVL_Missed)),0))</f>
        <v/>
      </c>
      <c r="I287" s="155" t="str">
        <f aca="false">IF(Rider_Input[[#This Row],[Rider ID]]="","",IFERROR(ABS(INDEX(RLVL_Data,MATCH(Rider_Input[[#This Row],[Rider ID]],INDEX(RLVL_Data,0,c_RLVL_ID),0),c_RLVL_Bal)),0))</f>
        <v/>
      </c>
      <c r="J287" s="155" t="str">
        <f aca="false">IF(Rider_Input[[#This Row],[Rider ID]]="","",IFERROR(ABS(INDEX(RLVL_Data,MATCH(Rider_Input[[#This Row],[Rider ID]],INDEX(RLVL_Data,0,c_RLVL_ID),0),c_RLVL_Stack)),0))</f>
        <v/>
      </c>
      <c r="K287" s="155" t="str">
        <f aca="false">IF(Rider_Input[[#This Row],[Rider ID]]="","",SUMIFS(Adj_Input[Other Deductions],Adj_Input[Rider ID],Rider_Input[[#This Row],[Rider ID]]))</f>
        <v/>
      </c>
      <c r="L287" s="154" t="str">
        <f aca="false">IF(Rider_Input[[#This Row],[Rider ID]]="","",IFERROR(INDEX(Adj_Input[Note / Reason],MATCH(Rider_Input[[#This Row],[Rider ID]],Adj_Input[Rider ID],0))&amp;"",""))</f>
        <v/>
      </c>
    </row>
    <row r="288" customFormat="false" ht="14.25" hidden="false" customHeight="false" outlineLevel="0" collapsed="false">
      <c r="A288" s="152" t="str">
        <f aca="false">IF(Rider_Input[[#This Row],[Rider ID]]="","",Salary_Month)</f>
        <v/>
      </c>
      <c r="B288" s="153" t="str">
        <f aca="false">IFERROR(IF(INDEX(FTR_Data,ROW()-ROW(Rider_Input[#Headers]),c_FTR_ID)="","",INDEX(FTR_Data,ROW()-ROW(Rider_Input[#Headers]),c_FTR_ID)),"")</f>
        <v/>
      </c>
      <c r="C28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8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88" s="153" t="str">
        <f aca="false">IF(Rider_Input[[#This Row],[Rider ID]]="","",DAY(EOMONTH(Salary_Month,0)))</f>
        <v/>
      </c>
      <c r="F288" s="153" t="str">
        <f aca="false">IF(Rider_Input[[#This Row],[Rider ID]]="","",IFERROR(IF(INDEX(FTR_Data,ROW()-ROW(Rider_Input[#Headers]),c_FTR_WD)="","",INDEX(FTR_Data,ROW()-ROW(Rider_Input[#Headers]),c_FTR_WD)),""))</f>
        <v/>
      </c>
      <c r="G288" s="153" t="str">
        <f aca="false">IF(Rider_Input[[#This Row],[Rider ID]]="","",IFERROR(IF(INDEX(FTR_Data,ROW()-ROW(Rider_Input[#Headers]),c_FTR_Orders)="","",INDEX(FTR_Data,ROW()-ROW(Rider_Input[#Headers]),c_FTR_Orders)),""))</f>
        <v/>
      </c>
      <c r="H288" s="155" t="str">
        <f aca="false">IF(Rider_Input[[#This Row],[Rider ID]]="","",IFERROR(ABS(INDEX(RLVL_Data,MATCH(Rider_Input[[#This Row],[Rider ID]],INDEX(RLVL_Data,0,c_RLVL_ID),0),c_RLVL_Missed)),0))</f>
        <v/>
      </c>
      <c r="I288" s="155" t="str">
        <f aca="false">IF(Rider_Input[[#This Row],[Rider ID]]="","",IFERROR(ABS(INDEX(RLVL_Data,MATCH(Rider_Input[[#This Row],[Rider ID]],INDEX(RLVL_Data,0,c_RLVL_ID),0),c_RLVL_Bal)),0))</f>
        <v/>
      </c>
      <c r="J288" s="155" t="str">
        <f aca="false">IF(Rider_Input[[#This Row],[Rider ID]]="","",IFERROR(ABS(INDEX(RLVL_Data,MATCH(Rider_Input[[#This Row],[Rider ID]],INDEX(RLVL_Data,0,c_RLVL_ID),0),c_RLVL_Stack)),0))</f>
        <v/>
      </c>
      <c r="K288" s="155" t="str">
        <f aca="false">IF(Rider_Input[[#This Row],[Rider ID]]="","",SUMIFS(Adj_Input[Other Deductions],Adj_Input[Rider ID],Rider_Input[[#This Row],[Rider ID]]))</f>
        <v/>
      </c>
      <c r="L288" s="154" t="str">
        <f aca="false">IF(Rider_Input[[#This Row],[Rider ID]]="","",IFERROR(INDEX(Adj_Input[Note / Reason],MATCH(Rider_Input[[#This Row],[Rider ID]],Adj_Input[Rider ID],0))&amp;"",""))</f>
        <v/>
      </c>
    </row>
    <row r="289" customFormat="false" ht="14.25" hidden="false" customHeight="false" outlineLevel="0" collapsed="false">
      <c r="A289" s="152" t="str">
        <f aca="false">IF(Rider_Input[[#This Row],[Rider ID]]="","",Salary_Month)</f>
        <v/>
      </c>
      <c r="B289" s="153" t="str">
        <f aca="false">IFERROR(IF(INDEX(FTR_Data,ROW()-ROW(Rider_Input[#Headers]),c_FTR_ID)="","",INDEX(FTR_Data,ROW()-ROW(Rider_Input[#Headers]),c_FTR_ID)),"")</f>
        <v/>
      </c>
      <c r="C28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8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89" s="153" t="str">
        <f aca="false">IF(Rider_Input[[#This Row],[Rider ID]]="","",DAY(EOMONTH(Salary_Month,0)))</f>
        <v/>
      </c>
      <c r="F289" s="153" t="str">
        <f aca="false">IF(Rider_Input[[#This Row],[Rider ID]]="","",IFERROR(IF(INDEX(FTR_Data,ROW()-ROW(Rider_Input[#Headers]),c_FTR_WD)="","",INDEX(FTR_Data,ROW()-ROW(Rider_Input[#Headers]),c_FTR_WD)),""))</f>
        <v/>
      </c>
      <c r="G289" s="153" t="str">
        <f aca="false">IF(Rider_Input[[#This Row],[Rider ID]]="","",IFERROR(IF(INDEX(FTR_Data,ROW()-ROW(Rider_Input[#Headers]),c_FTR_Orders)="","",INDEX(FTR_Data,ROW()-ROW(Rider_Input[#Headers]),c_FTR_Orders)),""))</f>
        <v/>
      </c>
      <c r="H289" s="155" t="str">
        <f aca="false">IF(Rider_Input[[#This Row],[Rider ID]]="","",IFERROR(ABS(INDEX(RLVL_Data,MATCH(Rider_Input[[#This Row],[Rider ID]],INDEX(RLVL_Data,0,c_RLVL_ID),0),c_RLVL_Missed)),0))</f>
        <v/>
      </c>
      <c r="I289" s="155" t="str">
        <f aca="false">IF(Rider_Input[[#This Row],[Rider ID]]="","",IFERROR(ABS(INDEX(RLVL_Data,MATCH(Rider_Input[[#This Row],[Rider ID]],INDEX(RLVL_Data,0,c_RLVL_ID),0),c_RLVL_Bal)),0))</f>
        <v/>
      </c>
      <c r="J289" s="155" t="str">
        <f aca="false">IF(Rider_Input[[#This Row],[Rider ID]]="","",IFERROR(ABS(INDEX(RLVL_Data,MATCH(Rider_Input[[#This Row],[Rider ID]],INDEX(RLVL_Data,0,c_RLVL_ID),0),c_RLVL_Stack)),0))</f>
        <v/>
      </c>
      <c r="K289" s="155" t="str">
        <f aca="false">IF(Rider_Input[[#This Row],[Rider ID]]="","",SUMIFS(Adj_Input[Other Deductions],Adj_Input[Rider ID],Rider_Input[[#This Row],[Rider ID]]))</f>
        <v/>
      </c>
      <c r="L289" s="154" t="str">
        <f aca="false">IF(Rider_Input[[#This Row],[Rider ID]]="","",IFERROR(INDEX(Adj_Input[Note / Reason],MATCH(Rider_Input[[#This Row],[Rider ID]],Adj_Input[Rider ID],0))&amp;"",""))</f>
        <v/>
      </c>
    </row>
    <row r="290" customFormat="false" ht="14.25" hidden="false" customHeight="false" outlineLevel="0" collapsed="false">
      <c r="A290" s="152" t="str">
        <f aca="false">IF(Rider_Input[[#This Row],[Rider ID]]="","",Salary_Month)</f>
        <v/>
      </c>
      <c r="B290" s="153" t="str">
        <f aca="false">IFERROR(IF(INDEX(FTR_Data,ROW()-ROW(Rider_Input[#Headers]),c_FTR_ID)="","",INDEX(FTR_Data,ROW()-ROW(Rider_Input[#Headers]),c_FTR_ID)),"")</f>
        <v/>
      </c>
      <c r="C29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9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90" s="153" t="str">
        <f aca="false">IF(Rider_Input[[#This Row],[Rider ID]]="","",DAY(EOMONTH(Salary_Month,0)))</f>
        <v/>
      </c>
      <c r="F290" s="153" t="str">
        <f aca="false">IF(Rider_Input[[#This Row],[Rider ID]]="","",IFERROR(IF(INDEX(FTR_Data,ROW()-ROW(Rider_Input[#Headers]),c_FTR_WD)="","",INDEX(FTR_Data,ROW()-ROW(Rider_Input[#Headers]),c_FTR_WD)),""))</f>
        <v/>
      </c>
      <c r="G290" s="153" t="str">
        <f aca="false">IF(Rider_Input[[#This Row],[Rider ID]]="","",IFERROR(IF(INDEX(FTR_Data,ROW()-ROW(Rider_Input[#Headers]),c_FTR_Orders)="","",INDEX(FTR_Data,ROW()-ROW(Rider_Input[#Headers]),c_FTR_Orders)),""))</f>
        <v/>
      </c>
      <c r="H290" s="155" t="str">
        <f aca="false">IF(Rider_Input[[#This Row],[Rider ID]]="","",IFERROR(ABS(INDEX(RLVL_Data,MATCH(Rider_Input[[#This Row],[Rider ID]],INDEX(RLVL_Data,0,c_RLVL_ID),0),c_RLVL_Missed)),0))</f>
        <v/>
      </c>
      <c r="I290" s="155" t="str">
        <f aca="false">IF(Rider_Input[[#This Row],[Rider ID]]="","",IFERROR(ABS(INDEX(RLVL_Data,MATCH(Rider_Input[[#This Row],[Rider ID]],INDEX(RLVL_Data,0,c_RLVL_ID),0),c_RLVL_Bal)),0))</f>
        <v/>
      </c>
      <c r="J290" s="155" t="str">
        <f aca="false">IF(Rider_Input[[#This Row],[Rider ID]]="","",IFERROR(ABS(INDEX(RLVL_Data,MATCH(Rider_Input[[#This Row],[Rider ID]],INDEX(RLVL_Data,0,c_RLVL_ID),0),c_RLVL_Stack)),0))</f>
        <v/>
      </c>
      <c r="K290" s="155" t="str">
        <f aca="false">IF(Rider_Input[[#This Row],[Rider ID]]="","",SUMIFS(Adj_Input[Other Deductions],Adj_Input[Rider ID],Rider_Input[[#This Row],[Rider ID]]))</f>
        <v/>
      </c>
      <c r="L290" s="154" t="str">
        <f aca="false">IF(Rider_Input[[#This Row],[Rider ID]]="","",IFERROR(INDEX(Adj_Input[Note / Reason],MATCH(Rider_Input[[#This Row],[Rider ID]],Adj_Input[Rider ID],0))&amp;"",""))</f>
        <v/>
      </c>
    </row>
    <row r="291" customFormat="false" ht="14.25" hidden="false" customHeight="false" outlineLevel="0" collapsed="false">
      <c r="A291" s="152" t="str">
        <f aca="false">IF(Rider_Input[[#This Row],[Rider ID]]="","",Salary_Month)</f>
        <v/>
      </c>
      <c r="B291" s="153" t="str">
        <f aca="false">IFERROR(IF(INDEX(FTR_Data,ROW()-ROW(Rider_Input[#Headers]),c_FTR_ID)="","",INDEX(FTR_Data,ROW()-ROW(Rider_Input[#Headers]),c_FTR_ID)),"")</f>
        <v/>
      </c>
      <c r="C29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9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91" s="153" t="str">
        <f aca="false">IF(Rider_Input[[#This Row],[Rider ID]]="","",DAY(EOMONTH(Salary_Month,0)))</f>
        <v/>
      </c>
      <c r="F291" s="153" t="str">
        <f aca="false">IF(Rider_Input[[#This Row],[Rider ID]]="","",IFERROR(IF(INDEX(FTR_Data,ROW()-ROW(Rider_Input[#Headers]),c_FTR_WD)="","",INDEX(FTR_Data,ROW()-ROW(Rider_Input[#Headers]),c_FTR_WD)),""))</f>
        <v/>
      </c>
      <c r="G291" s="153" t="str">
        <f aca="false">IF(Rider_Input[[#This Row],[Rider ID]]="","",IFERROR(IF(INDEX(FTR_Data,ROW()-ROW(Rider_Input[#Headers]),c_FTR_Orders)="","",INDEX(FTR_Data,ROW()-ROW(Rider_Input[#Headers]),c_FTR_Orders)),""))</f>
        <v/>
      </c>
      <c r="H291" s="155" t="str">
        <f aca="false">IF(Rider_Input[[#This Row],[Rider ID]]="","",IFERROR(ABS(INDEX(RLVL_Data,MATCH(Rider_Input[[#This Row],[Rider ID]],INDEX(RLVL_Data,0,c_RLVL_ID),0),c_RLVL_Missed)),0))</f>
        <v/>
      </c>
      <c r="I291" s="155" t="str">
        <f aca="false">IF(Rider_Input[[#This Row],[Rider ID]]="","",IFERROR(ABS(INDEX(RLVL_Data,MATCH(Rider_Input[[#This Row],[Rider ID]],INDEX(RLVL_Data,0,c_RLVL_ID),0),c_RLVL_Bal)),0))</f>
        <v/>
      </c>
      <c r="J291" s="155" t="str">
        <f aca="false">IF(Rider_Input[[#This Row],[Rider ID]]="","",IFERROR(ABS(INDEX(RLVL_Data,MATCH(Rider_Input[[#This Row],[Rider ID]],INDEX(RLVL_Data,0,c_RLVL_ID),0),c_RLVL_Stack)),0))</f>
        <v/>
      </c>
      <c r="K291" s="155" t="str">
        <f aca="false">IF(Rider_Input[[#This Row],[Rider ID]]="","",SUMIFS(Adj_Input[Other Deductions],Adj_Input[Rider ID],Rider_Input[[#This Row],[Rider ID]]))</f>
        <v/>
      </c>
      <c r="L291" s="154" t="str">
        <f aca="false">IF(Rider_Input[[#This Row],[Rider ID]]="","",IFERROR(INDEX(Adj_Input[Note / Reason],MATCH(Rider_Input[[#This Row],[Rider ID]],Adj_Input[Rider ID],0))&amp;"",""))</f>
        <v/>
      </c>
    </row>
    <row r="292" customFormat="false" ht="14.25" hidden="false" customHeight="false" outlineLevel="0" collapsed="false">
      <c r="A292" s="152" t="str">
        <f aca="false">IF(Rider_Input[[#This Row],[Rider ID]]="","",Salary_Month)</f>
        <v/>
      </c>
      <c r="B292" s="153" t="str">
        <f aca="false">IFERROR(IF(INDEX(FTR_Data,ROW()-ROW(Rider_Input[#Headers]),c_FTR_ID)="","",INDEX(FTR_Data,ROW()-ROW(Rider_Input[#Headers]),c_FTR_ID)),"")</f>
        <v/>
      </c>
      <c r="C29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9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92" s="153" t="str">
        <f aca="false">IF(Rider_Input[[#This Row],[Rider ID]]="","",DAY(EOMONTH(Salary_Month,0)))</f>
        <v/>
      </c>
      <c r="F292" s="153" t="str">
        <f aca="false">IF(Rider_Input[[#This Row],[Rider ID]]="","",IFERROR(IF(INDEX(FTR_Data,ROW()-ROW(Rider_Input[#Headers]),c_FTR_WD)="","",INDEX(FTR_Data,ROW()-ROW(Rider_Input[#Headers]),c_FTR_WD)),""))</f>
        <v/>
      </c>
      <c r="G292" s="153" t="str">
        <f aca="false">IF(Rider_Input[[#This Row],[Rider ID]]="","",IFERROR(IF(INDEX(FTR_Data,ROW()-ROW(Rider_Input[#Headers]),c_FTR_Orders)="","",INDEX(FTR_Data,ROW()-ROW(Rider_Input[#Headers]),c_FTR_Orders)),""))</f>
        <v/>
      </c>
      <c r="H292" s="155" t="str">
        <f aca="false">IF(Rider_Input[[#This Row],[Rider ID]]="","",IFERROR(ABS(INDEX(RLVL_Data,MATCH(Rider_Input[[#This Row],[Rider ID]],INDEX(RLVL_Data,0,c_RLVL_ID),0),c_RLVL_Missed)),0))</f>
        <v/>
      </c>
      <c r="I292" s="155" t="str">
        <f aca="false">IF(Rider_Input[[#This Row],[Rider ID]]="","",IFERROR(ABS(INDEX(RLVL_Data,MATCH(Rider_Input[[#This Row],[Rider ID]],INDEX(RLVL_Data,0,c_RLVL_ID),0),c_RLVL_Bal)),0))</f>
        <v/>
      </c>
      <c r="J292" s="155" t="str">
        <f aca="false">IF(Rider_Input[[#This Row],[Rider ID]]="","",IFERROR(ABS(INDEX(RLVL_Data,MATCH(Rider_Input[[#This Row],[Rider ID]],INDEX(RLVL_Data,0,c_RLVL_ID),0),c_RLVL_Stack)),0))</f>
        <v/>
      </c>
      <c r="K292" s="155" t="str">
        <f aca="false">IF(Rider_Input[[#This Row],[Rider ID]]="","",SUMIFS(Adj_Input[Other Deductions],Adj_Input[Rider ID],Rider_Input[[#This Row],[Rider ID]]))</f>
        <v/>
      </c>
      <c r="L292" s="154" t="str">
        <f aca="false">IF(Rider_Input[[#This Row],[Rider ID]]="","",IFERROR(INDEX(Adj_Input[Note / Reason],MATCH(Rider_Input[[#This Row],[Rider ID]],Adj_Input[Rider ID],0))&amp;"",""))</f>
        <v/>
      </c>
    </row>
    <row r="293" customFormat="false" ht="14.25" hidden="false" customHeight="false" outlineLevel="0" collapsed="false">
      <c r="A293" s="152" t="str">
        <f aca="false">IF(Rider_Input[[#This Row],[Rider ID]]="","",Salary_Month)</f>
        <v/>
      </c>
      <c r="B293" s="153" t="str">
        <f aca="false">IFERROR(IF(INDEX(FTR_Data,ROW()-ROW(Rider_Input[#Headers]),c_FTR_ID)="","",INDEX(FTR_Data,ROW()-ROW(Rider_Input[#Headers]),c_FTR_ID)),"")</f>
        <v/>
      </c>
      <c r="C29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9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93" s="153" t="str">
        <f aca="false">IF(Rider_Input[[#This Row],[Rider ID]]="","",DAY(EOMONTH(Salary_Month,0)))</f>
        <v/>
      </c>
      <c r="F293" s="153" t="str">
        <f aca="false">IF(Rider_Input[[#This Row],[Rider ID]]="","",IFERROR(IF(INDEX(FTR_Data,ROW()-ROW(Rider_Input[#Headers]),c_FTR_WD)="","",INDEX(FTR_Data,ROW()-ROW(Rider_Input[#Headers]),c_FTR_WD)),""))</f>
        <v/>
      </c>
      <c r="G293" s="153" t="str">
        <f aca="false">IF(Rider_Input[[#This Row],[Rider ID]]="","",IFERROR(IF(INDEX(FTR_Data,ROW()-ROW(Rider_Input[#Headers]),c_FTR_Orders)="","",INDEX(FTR_Data,ROW()-ROW(Rider_Input[#Headers]),c_FTR_Orders)),""))</f>
        <v/>
      </c>
      <c r="H293" s="155" t="str">
        <f aca="false">IF(Rider_Input[[#This Row],[Rider ID]]="","",IFERROR(ABS(INDEX(RLVL_Data,MATCH(Rider_Input[[#This Row],[Rider ID]],INDEX(RLVL_Data,0,c_RLVL_ID),0),c_RLVL_Missed)),0))</f>
        <v/>
      </c>
      <c r="I293" s="155" t="str">
        <f aca="false">IF(Rider_Input[[#This Row],[Rider ID]]="","",IFERROR(ABS(INDEX(RLVL_Data,MATCH(Rider_Input[[#This Row],[Rider ID]],INDEX(RLVL_Data,0,c_RLVL_ID),0),c_RLVL_Bal)),0))</f>
        <v/>
      </c>
      <c r="J293" s="155" t="str">
        <f aca="false">IF(Rider_Input[[#This Row],[Rider ID]]="","",IFERROR(ABS(INDEX(RLVL_Data,MATCH(Rider_Input[[#This Row],[Rider ID]],INDEX(RLVL_Data,0,c_RLVL_ID),0),c_RLVL_Stack)),0))</f>
        <v/>
      </c>
      <c r="K293" s="155" t="str">
        <f aca="false">IF(Rider_Input[[#This Row],[Rider ID]]="","",SUMIFS(Adj_Input[Other Deductions],Adj_Input[Rider ID],Rider_Input[[#This Row],[Rider ID]]))</f>
        <v/>
      </c>
      <c r="L293" s="154" t="str">
        <f aca="false">IF(Rider_Input[[#This Row],[Rider ID]]="","",IFERROR(INDEX(Adj_Input[Note / Reason],MATCH(Rider_Input[[#This Row],[Rider ID]],Adj_Input[Rider ID],0))&amp;"",""))</f>
        <v/>
      </c>
    </row>
    <row r="294" customFormat="false" ht="14.25" hidden="false" customHeight="false" outlineLevel="0" collapsed="false">
      <c r="A294" s="152" t="str">
        <f aca="false">IF(Rider_Input[[#This Row],[Rider ID]]="","",Salary_Month)</f>
        <v/>
      </c>
      <c r="B294" s="153" t="str">
        <f aca="false">IFERROR(IF(INDEX(FTR_Data,ROW()-ROW(Rider_Input[#Headers]),c_FTR_ID)="","",INDEX(FTR_Data,ROW()-ROW(Rider_Input[#Headers]),c_FTR_ID)),"")</f>
        <v/>
      </c>
      <c r="C29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9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94" s="153" t="str">
        <f aca="false">IF(Rider_Input[[#This Row],[Rider ID]]="","",DAY(EOMONTH(Salary_Month,0)))</f>
        <v/>
      </c>
      <c r="F294" s="153" t="str">
        <f aca="false">IF(Rider_Input[[#This Row],[Rider ID]]="","",IFERROR(IF(INDEX(FTR_Data,ROW()-ROW(Rider_Input[#Headers]),c_FTR_WD)="","",INDEX(FTR_Data,ROW()-ROW(Rider_Input[#Headers]),c_FTR_WD)),""))</f>
        <v/>
      </c>
      <c r="G294" s="153" t="str">
        <f aca="false">IF(Rider_Input[[#This Row],[Rider ID]]="","",IFERROR(IF(INDEX(FTR_Data,ROW()-ROW(Rider_Input[#Headers]),c_FTR_Orders)="","",INDEX(FTR_Data,ROW()-ROW(Rider_Input[#Headers]),c_FTR_Orders)),""))</f>
        <v/>
      </c>
      <c r="H294" s="155" t="str">
        <f aca="false">IF(Rider_Input[[#This Row],[Rider ID]]="","",IFERROR(ABS(INDEX(RLVL_Data,MATCH(Rider_Input[[#This Row],[Rider ID]],INDEX(RLVL_Data,0,c_RLVL_ID),0),c_RLVL_Missed)),0))</f>
        <v/>
      </c>
      <c r="I294" s="155" t="str">
        <f aca="false">IF(Rider_Input[[#This Row],[Rider ID]]="","",IFERROR(ABS(INDEX(RLVL_Data,MATCH(Rider_Input[[#This Row],[Rider ID]],INDEX(RLVL_Data,0,c_RLVL_ID),0),c_RLVL_Bal)),0))</f>
        <v/>
      </c>
      <c r="J294" s="155" t="str">
        <f aca="false">IF(Rider_Input[[#This Row],[Rider ID]]="","",IFERROR(ABS(INDEX(RLVL_Data,MATCH(Rider_Input[[#This Row],[Rider ID]],INDEX(RLVL_Data,0,c_RLVL_ID),0),c_RLVL_Stack)),0))</f>
        <v/>
      </c>
      <c r="K294" s="155" t="str">
        <f aca="false">IF(Rider_Input[[#This Row],[Rider ID]]="","",SUMIFS(Adj_Input[Other Deductions],Adj_Input[Rider ID],Rider_Input[[#This Row],[Rider ID]]))</f>
        <v/>
      </c>
      <c r="L294" s="154" t="str">
        <f aca="false">IF(Rider_Input[[#This Row],[Rider ID]]="","",IFERROR(INDEX(Adj_Input[Note / Reason],MATCH(Rider_Input[[#This Row],[Rider ID]],Adj_Input[Rider ID],0))&amp;"",""))</f>
        <v/>
      </c>
    </row>
    <row r="295" customFormat="false" ht="14.25" hidden="false" customHeight="false" outlineLevel="0" collapsed="false">
      <c r="A295" s="152" t="str">
        <f aca="false">IF(Rider_Input[[#This Row],[Rider ID]]="","",Salary_Month)</f>
        <v/>
      </c>
      <c r="B295" s="153" t="str">
        <f aca="false">IFERROR(IF(INDEX(FTR_Data,ROW()-ROW(Rider_Input[#Headers]),c_FTR_ID)="","",INDEX(FTR_Data,ROW()-ROW(Rider_Input[#Headers]),c_FTR_ID)),"")</f>
        <v/>
      </c>
      <c r="C29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9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95" s="153" t="str">
        <f aca="false">IF(Rider_Input[[#This Row],[Rider ID]]="","",DAY(EOMONTH(Salary_Month,0)))</f>
        <v/>
      </c>
      <c r="F295" s="153" t="str">
        <f aca="false">IF(Rider_Input[[#This Row],[Rider ID]]="","",IFERROR(IF(INDEX(FTR_Data,ROW()-ROW(Rider_Input[#Headers]),c_FTR_WD)="","",INDEX(FTR_Data,ROW()-ROW(Rider_Input[#Headers]),c_FTR_WD)),""))</f>
        <v/>
      </c>
      <c r="G295" s="153" t="str">
        <f aca="false">IF(Rider_Input[[#This Row],[Rider ID]]="","",IFERROR(IF(INDEX(FTR_Data,ROW()-ROW(Rider_Input[#Headers]),c_FTR_Orders)="","",INDEX(FTR_Data,ROW()-ROW(Rider_Input[#Headers]),c_FTR_Orders)),""))</f>
        <v/>
      </c>
      <c r="H295" s="155" t="str">
        <f aca="false">IF(Rider_Input[[#This Row],[Rider ID]]="","",IFERROR(ABS(INDEX(RLVL_Data,MATCH(Rider_Input[[#This Row],[Rider ID]],INDEX(RLVL_Data,0,c_RLVL_ID),0),c_RLVL_Missed)),0))</f>
        <v/>
      </c>
      <c r="I295" s="155" t="str">
        <f aca="false">IF(Rider_Input[[#This Row],[Rider ID]]="","",IFERROR(ABS(INDEX(RLVL_Data,MATCH(Rider_Input[[#This Row],[Rider ID]],INDEX(RLVL_Data,0,c_RLVL_ID),0),c_RLVL_Bal)),0))</f>
        <v/>
      </c>
      <c r="J295" s="155" t="str">
        <f aca="false">IF(Rider_Input[[#This Row],[Rider ID]]="","",IFERROR(ABS(INDEX(RLVL_Data,MATCH(Rider_Input[[#This Row],[Rider ID]],INDEX(RLVL_Data,0,c_RLVL_ID),0),c_RLVL_Stack)),0))</f>
        <v/>
      </c>
      <c r="K295" s="155" t="str">
        <f aca="false">IF(Rider_Input[[#This Row],[Rider ID]]="","",SUMIFS(Adj_Input[Other Deductions],Adj_Input[Rider ID],Rider_Input[[#This Row],[Rider ID]]))</f>
        <v/>
      </c>
      <c r="L295" s="154" t="str">
        <f aca="false">IF(Rider_Input[[#This Row],[Rider ID]]="","",IFERROR(INDEX(Adj_Input[Note / Reason],MATCH(Rider_Input[[#This Row],[Rider ID]],Adj_Input[Rider ID],0))&amp;"",""))</f>
        <v/>
      </c>
    </row>
    <row r="296" customFormat="false" ht="14.25" hidden="false" customHeight="false" outlineLevel="0" collapsed="false">
      <c r="A296" s="152" t="str">
        <f aca="false">IF(Rider_Input[[#This Row],[Rider ID]]="","",Salary_Month)</f>
        <v/>
      </c>
      <c r="B296" s="153" t="str">
        <f aca="false">IFERROR(IF(INDEX(FTR_Data,ROW()-ROW(Rider_Input[#Headers]),c_FTR_ID)="","",INDEX(FTR_Data,ROW()-ROW(Rider_Input[#Headers]),c_FTR_ID)),"")</f>
        <v/>
      </c>
      <c r="C29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9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96" s="153" t="str">
        <f aca="false">IF(Rider_Input[[#This Row],[Rider ID]]="","",DAY(EOMONTH(Salary_Month,0)))</f>
        <v/>
      </c>
      <c r="F296" s="153" t="str">
        <f aca="false">IF(Rider_Input[[#This Row],[Rider ID]]="","",IFERROR(IF(INDEX(FTR_Data,ROW()-ROW(Rider_Input[#Headers]),c_FTR_WD)="","",INDEX(FTR_Data,ROW()-ROW(Rider_Input[#Headers]),c_FTR_WD)),""))</f>
        <v/>
      </c>
      <c r="G296" s="153" t="str">
        <f aca="false">IF(Rider_Input[[#This Row],[Rider ID]]="","",IFERROR(IF(INDEX(FTR_Data,ROW()-ROW(Rider_Input[#Headers]),c_FTR_Orders)="","",INDEX(FTR_Data,ROW()-ROW(Rider_Input[#Headers]),c_FTR_Orders)),""))</f>
        <v/>
      </c>
      <c r="H296" s="155" t="str">
        <f aca="false">IF(Rider_Input[[#This Row],[Rider ID]]="","",IFERROR(ABS(INDEX(RLVL_Data,MATCH(Rider_Input[[#This Row],[Rider ID]],INDEX(RLVL_Data,0,c_RLVL_ID),0),c_RLVL_Missed)),0))</f>
        <v/>
      </c>
      <c r="I296" s="155" t="str">
        <f aca="false">IF(Rider_Input[[#This Row],[Rider ID]]="","",IFERROR(ABS(INDEX(RLVL_Data,MATCH(Rider_Input[[#This Row],[Rider ID]],INDEX(RLVL_Data,0,c_RLVL_ID),0),c_RLVL_Bal)),0))</f>
        <v/>
      </c>
      <c r="J296" s="155" t="str">
        <f aca="false">IF(Rider_Input[[#This Row],[Rider ID]]="","",IFERROR(ABS(INDEX(RLVL_Data,MATCH(Rider_Input[[#This Row],[Rider ID]],INDEX(RLVL_Data,0,c_RLVL_ID),0),c_RLVL_Stack)),0))</f>
        <v/>
      </c>
      <c r="K296" s="155" t="str">
        <f aca="false">IF(Rider_Input[[#This Row],[Rider ID]]="","",SUMIFS(Adj_Input[Other Deductions],Adj_Input[Rider ID],Rider_Input[[#This Row],[Rider ID]]))</f>
        <v/>
      </c>
      <c r="L296" s="154" t="str">
        <f aca="false">IF(Rider_Input[[#This Row],[Rider ID]]="","",IFERROR(INDEX(Adj_Input[Note / Reason],MATCH(Rider_Input[[#This Row],[Rider ID]],Adj_Input[Rider ID],0))&amp;"",""))</f>
        <v/>
      </c>
    </row>
    <row r="297" customFormat="false" ht="14.25" hidden="false" customHeight="false" outlineLevel="0" collapsed="false">
      <c r="A297" s="152" t="str">
        <f aca="false">IF(Rider_Input[[#This Row],[Rider ID]]="","",Salary_Month)</f>
        <v/>
      </c>
      <c r="B297" s="153" t="str">
        <f aca="false">IFERROR(IF(INDEX(FTR_Data,ROW()-ROW(Rider_Input[#Headers]),c_FTR_ID)="","",INDEX(FTR_Data,ROW()-ROW(Rider_Input[#Headers]),c_FTR_ID)),"")</f>
        <v/>
      </c>
      <c r="C29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9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97" s="153" t="str">
        <f aca="false">IF(Rider_Input[[#This Row],[Rider ID]]="","",DAY(EOMONTH(Salary_Month,0)))</f>
        <v/>
      </c>
      <c r="F297" s="153" t="str">
        <f aca="false">IF(Rider_Input[[#This Row],[Rider ID]]="","",IFERROR(IF(INDEX(FTR_Data,ROW()-ROW(Rider_Input[#Headers]),c_FTR_WD)="","",INDEX(FTR_Data,ROW()-ROW(Rider_Input[#Headers]),c_FTR_WD)),""))</f>
        <v/>
      </c>
      <c r="G297" s="153" t="str">
        <f aca="false">IF(Rider_Input[[#This Row],[Rider ID]]="","",IFERROR(IF(INDEX(FTR_Data,ROW()-ROW(Rider_Input[#Headers]),c_FTR_Orders)="","",INDEX(FTR_Data,ROW()-ROW(Rider_Input[#Headers]),c_FTR_Orders)),""))</f>
        <v/>
      </c>
      <c r="H297" s="155" t="str">
        <f aca="false">IF(Rider_Input[[#This Row],[Rider ID]]="","",IFERROR(ABS(INDEX(RLVL_Data,MATCH(Rider_Input[[#This Row],[Rider ID]],INDEX(RLVL_Data,0,c_RLVL_ID),0),c_RLVL_Missed)),0))</f>
        <v/>
      </c>
      <c r="I297" s="155" t="str">
        <f aca="false">IF(Rider_Input[[#This Row],[Rider ID]]="","",IFERROR(ABS(INDEX(RLVL_Data,MATCH(Rider_Input[[#This Row],[Rider ID]],INDEX(RLVL_Data,0,c_RLVL_ID),0),c_RLVL_Bal)),0))</f>
        <v/>
      </c>
      <c r="J297" s="155" t="str">
        <f aca="false">IF(Rider_Input[[#This Row],[Rider ID]]="","",IFERROR(ABS(INDEX(RLVL_Data,MATCH(Rider_Input[[#This Row],[Rider ID]],INDEX(RLVL_Data,0,c_RLVL_ID),0),c_RLVL_Stack)),0))</f>
        <v/>
      </c>
      <c r="K297" s="155" t="str">
        <f aca="false">IF(Rider_Input[[#This Row],[Rider ID]]="","",SUMIFS(Adj_Input[Other Deductions],Adj_Input[Rider ID],Rider_Input[[#This Row],[Rider ID]]))</f>
        <v/>
      </c>
      <c r="L297" s="154" t="str">
        <f aca="false">IF(Rider_Input[[#This Row],[Rider ID]]="","",IFERROR(INDEX(Adj_Input[Note / Reason],MATCH(Rider_Input[[#This Row],[Rider ID]],Adj_Input[Rider ID],0))&amp;"",""))</f>
        <v/>
      </c>
    </row>
    <row r="298" customFormat="false" ht="14.25" hidden="false" customHeight="false" outlineLevel="0" collapsed="false">
      <c r="A298" s="152" t="str">
        <f aca="false">IF(Rider_Input[[#This Row],[Rider ID]]="","",Salary_Month)</f>
        <v/>
      </c>
      <c r="B298" s="153" t="str">
        <f aca="false">IFERROR(IF(INDEX(FTR_Data,ROW()-ROW(Rider_Input[#Headers]),c_FTR_ID)="","",INDEX(FTR_Data,ROW()-ROW(Rider_Input[#Headers]),c_FTR_ID)),"")</f>
        <v/>
      </c>
      <c r="C29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9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98" s="153" t="str">
        <f aca="false">IF(Rider_Input[[#This Row],[Rider ID]]="","",DAY(EOMONTH(Salary_Month,0)))</f>
        <v/>
      </c>
      <c r="F298" s="153" t="str">
        <f aca="false">IF(Rider_Input[[#This Row],[Rider ID]]="","",IFERROR(IF(INDEX(FTR_Data,ROW()-ROW(Rider_Input[#Headers]),c_FTR_WD)="","",INDEX(FTR_Data,ROW()-ROW(Rider_Input[#Headers]),c_FTR_WD)),""))</f>
        <v/>
      </c>
      <c r="G298" s="153" t="str">
        <f aca="false">IF(Rider_Input[[#This Row],[Rider ID]]="","",IFERROR(IF(INDEX(FTR_Data,ROW()-ROW(Rider_Input[#Headers]),c_FTR_Orders)="","",INDEX(FTR_Data,ROW()-ROW(Rider_Input[#Headers]),c_FTR_Orders)),""))</f>
        <v/>
      </c>
      <c r="H298" s="155" t="str">
        <f aca="false">IF(Rider_Input[[#This Row],[Rider ID]]="","",IFERROR(ABS(INDEX(RLVL_Data,MATCH(Rider_Input[[#This Row],[Rider ID]],INDEX(RLVL_Data,0,c_RLVL_ID),0),c_RLVL_Missed)),0))</f>
        <v/>
      </c>
      <c r="I298" s="155" t="str">
        <f aca="false">IF(Rider_Input[[#This Row],[Rider ID]]="","",IFERROR(ABS(INDEX(RLVL_Data,MATCH(Rider_Input[[#This Row],[Rider ID]],INDEX(RLVL_Data,0,c_RLVL_ID),0),c_RLVL_Bal)),0))</f>
        <v/>
      </c>
      <c r="J298" s="155" t="str">
        <f aca="false">IF(Rider_Input[[#This Row],[Rider ID]]="","",IFERROR(ABS(INDEX(RLVL_Data,MATCH(Rider_Input[[#This Row],[Rider ID]],INDEX(RLVL_Data,0,c_RLVL_ID),0),c_RLVL_Stack)),0))</f>
        <v/>
      </c>
      <c r="K298" s="155" t="str">
        <f aca="false">IF(Rider_Input[[#This Row],[Rider ID]]="","",SUMIFS(Adj_Input[Other Deductions],Adj_Input[Rider ID],Rider_Input[[#This Row],[Rider ID]]))</f>
        <v/>
      </c>
      <c r="L298" s="154" t="str">
        <f aca="false">IF(Rider_Input[[#This Row],[Rider ID]]="","",IFERROR(INDEX(Adj_Input[Note / Reason],MATCH(Rider_Input[[#This Row],[Rider ID]],Adj_Input[Rider ID],0))&amp;"",""))</f>
        <v/>
      </c>
    </row>
    <row r="299" customFormat="false" ht="14.25" hidden="false" customHeight="false" outlineLevel="0" collapsed="false">
      <c r="A299" s="152" t="str">
        <f aca="false">IF(Rider_Input[[#This Row],[Rider ID]]="","",Salary_Month)</f>
        <v/>
      </c>
      <c r="B299" s="153" t="str">
        <f aca="false">IFERROR(IF(INDEX(FTR_Data,ROW()-ROW(Rider_Input[#Headers]),c_FTR_ID)="","",INDEX(FTR_Data,ROW()-ROW(Rider_Input[#Headers]),c_FTR_ID)),"")</f>
        <v/>
      </c>
      <c r="C29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29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299" s="153" t="str">
        <f aca="false">IF(Rider_Input[[#This Row],[Rider ID]]="","",DAY(EOMONTH(Salary_Month,0)))</f>
        <v/>
      </c>
      <c r="F299" s="153" t="str">
        <f aca="false">IF(Rider_Input[[#This Row],[Rider ID]]="","",IFERROR(IF(INDEX(FTR_Data,ROW()-ROW(Rider_Input[#Headers]),c_FTR_WD)="","",INDEX(FTR_Data,ROW()-ROW(Rider_Input[#Headers]),c_FTR_WD)),""))</f>
        <v/>
      </c>
      <c r="G299" s="153" t="str">
        <f aca="false">IF(Rider_Input[[#This Row],[Rider ID]]="","",IFERROR(IF(INDEX(FTR_Data,ROW()-ROW(Rider_Input[#Headers]),c_FTR_Orders)="","",INDEX(FTR_Data,ROW()-ROW(Rider_Input[#Headers]),c_FTR_Orders)),""))</f>
        <v/>
      </c>
      <c r="H299" s="155" t="str">
        <f aca="false">IF(Rider_Input[[#This Row],[Rider ID]]="","",IFERROR(ABS(INDEX(RLVL_Data,MATCH(Rider_Input[[#This Row],[Rider ID]],INDEX(RLVL_Data,0,c_RLVL_ID),0),c_RLVL_Missed)),0))</f>
        <v/>
      </c>
      <c r="I299" s="155" t="str">
        <f aca="false">IF(Rider_Input[[#This Row],[Rider ID]]="","",IFERROR(ABS(INDEX(RLVL_Data,MATCH(Rider_Input[[#This Row],[Rider ID]],INDEX(RLVL_Data,0,c_RLVL_ID),0),c_RLVL_Bal)),0))</f>
        <v/>
      </c>
      <c r="J299" s="155" t="str">
        <f aca="false">IF(Rider_Input[[#This Row],[Rider ID]]="","",IFERROR(ABS(INDEX(RLVL_Data,MATCH(Rider_Input[[#This Row],[Rider ID]],INDEX(RLVL_Data,0,c_RLVL_ID),0),c_RLVL_Stack)),0))</f>
        <v/>
      </c>
      <c r="K299" s="155" t="str">
        <f aca="false">IF(Rider_Input[[#This Row],[Rider ID]]="","",SUMIFS(Adj_Input[Other Deductions],Adj_Input[Rider ID],Rider_Input[[#This Row],[Rider ID]]))</f>
        <v/>
      </c>
      <c r="L299" s="154" t="str">
        <f aca="false">IF(Rider_Input[[#This Row],[Rider ID]]="","",IFERROR(INDEX(Adj_Input[Note / Reason],MATCH(Rider_Input[[#This Row],[Rider ID]],Adj_Input[Rider ID],0))&amp;"",""))</f>
        <v/>
      </c>
    </row>
    <row r="300" customFormat="false" ht="14.25" hidden="false" customHeight="false" outlineLevel="0" collapsed="false">
      <c r="A300" s="152" t="str">
        <f aca="false">IF(Rider_Input[[#This Row],[Rider ID]]="","",Salary_Month)</f>
        <v/>
      </c>
      <c r="B300" s="153" t="str">
        <f aca="false">IFERROR(IF(INDEX(FTR_Data,ROW()-ROW(Rider_Input[#Headers]),c_FTR_ID)="","",INDEX(FTR_Data,ROW()-ROW(Rider_Input[#Headers]),c_FTR_ID)),"")</f>
        <v/>
      </c>
      <c r="C30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0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00" s="153" t="str">
        <f aca="false">IF(Rider_Input[[#This Row],[Rider ID]]="","",DAY(EOMONTH(Salary_Month,0)))</f>
        <v/>
      </c>
      <c r="F300" s="153" t="str">
        <f aca="false">IF(Rider_Input[[#This Row],[Rider ID]]="","",IFERROR(IF(INDEX(FTR_Data,ROW()-ROW(Rider_Input[#Headers]),c_FTR_WD)="","",INDEX(FTR_Data,ROW()-ROW(Rider_Input[#Headers]),c_FTR_WD)),""))</f>
        <v/>
      </c>
      <c r="G300" s="153" t="str">
        <f aca="false">IF(Rider_Input[[#This Row],[Rider ID]]="","",IFERROR(IF(INDEX(FTR_Data,ROW()-ROW(Rider_Input[#Headers]),c_FTR_Orders)="","",INDEX(FTR_Data,ROW()-ROW(Rider_Input[#Headers]),c_FTR_Orders)),""))</f>
        <v/>
      </c>
      <c r="H300" s="155" t="str">
        <f aca="false">IF(Rider_Input[[#This Row],[Rider ID]]="","",IFERROR(ABS(INDEX(RLVL_Data,MATCH(Rider_Input[[#This Row],[Rider ID]],INDEX(RLVL_Data,0,c_RLVL_ID),0),c_RLVL_Missed)),0))</f>
        <v/>
      </c>
      <c r="I300" s="155" t="str">
        <f aca="false">IF(Rider_Input[[#This Row],[Rider ID]]="","",IFERROR(ABS(INDEX(RLVL_Data,MATCH(Rider_Input[[#This Row],[Rider ID]],INDEX(RLVL_Data,0,c_RLVL_ID),0),c_RLVL_Bal)),0))</f>
        <v/>
      </c>
      <c r="J300" s="155" t="str">
        <f aca="false">IF(Rider_Input[[#This Row],[Rider ID]]="","",IFERROR(ABS(INDEX(RLVL_Data,MATCH(Rider_Input[[#This Row],[Rider ID]],INDEX(RLVL_Data,0,c_RLVL_ID),0),c_RLVL_Stack)),0))</f>
        <v/>
      </c>
      <c r="K300" s="155" t="str">
        <f aca="false">IF(Rider_Input[[#This Row],[Rider ID]]="","",SUMIFS(Adj_Input[Other Deductions],Adj_Input[Rider ID],Rider_Input[[#This Row],[Rider ID]]))</f>
        <v/>
      </c>
      <c r="L300" s="154" t="str">
        <f aca="false">IF(Rider_Input[[#This Row],[Rider ID]]="","",IFERROR(INDEX(Adj_Input[Note / Reason],MATCH(Rider_Input[[#This Row],[Rider ID]],Adj_Input[Rider ID],0))&amp;"",""))</f>
        <v/>
      </c>
    </row>
    <row r="301" customFormat="false" ht="14.25" hidden="false" customHeight="false" outlineLevel="0" collapsed="false">
      <c r="A301" s="152" t="str">
        <f aca="false">IF(Rider_Input[[#This Row],[Rider ID]]="","",Salary_Month)</f>
        <v/>
      </c>
      <c r="B301" s="153" t="str">
        <f aca="false">IFERROR(IF(INDEX(FTR_Data,ROW()-ROW(Rider_Input[#Headers]),c_FTR_ID)="","",INDEX(FTR_Data,ROW()-ROW(Rider_Input[#Headers]),c_FTR_ID)),"")</f>
        <v/>
      </c>
      <c r="C30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0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01" s="153" t="str">
        <f aca="false">IF(Rider_Input[[#This Row],[Rider ID]]="","",DAY(EOMONTH(Salary_Month,0)))</f>
        <v/>
      </c>
      <c r="F301" s="153" t="str">
        <f aca="false">IF(Rider_Input[[#This Row],[Rider ID]]="","",IFERROR(IF(INDEX(FTR_Data,ROW()-ROW(Rider_Input[#Headers]),c_FTR_WD)="","",INDEX(FTR_Data,ROW()-ROW(Rider_Input[#Headers]),c_FTR_WD)),""))</f>
        <v/>
      </c>
      <c r="G301" s="153" t="str">
        <f aca="false">IF(Rider_Input[[#This Row],[Rider ID]]="","",IFERROR(IF(INDEX(FTR_Data,ROW()-ROW(Rider_Input[#Headers]),c_FTR_Orders)="","",INDEX(FTR_Data,ROW()-ROW(Rider_Input[#Headers]),c_FTR_Orders)),""))</f>
        <v/>
      </c>
      <c r="H301" s="155" t="str">
        <f aca="false">IF(Rider_Input[[#This Row],[Rider ID]]="","",IFERROR(ABS(INDEX(RLVL_Data,MATCH(Rider_Input[[#This Row],[Rider ID]],INDEX(RLVL_Data,0,c_RLVL_ID),0),c_RLVL_Missed)),0))</f>
        <v/>
      </c>
      <c r="I301" s="155" t="str">
        <f aca="false">IF(Rider_Input[[#This Row],[Rider ID]]="","",IFERROR(ABS(INDEX(RLVL_Data,MATCH(Rider_Input[[#This Row],[Rider ID]],INDEX(RLVL_Data,0,c_RLVL_ID),0),c_RLVL_Bal)),0))</f>
        <v/>
      </c>
      <c r="J301" s="155" t="str">
        <f aca="false">IF(Rider_Input[[#This Row],[Rider ID]]="","",IFERROR(ABS(INDEX(RLVL_Data,MATCH(Rider_Input[[#This Row],[Rider ID]],INDEX(RLVL_Data,0,c_RLVL_ID),0),c_RLVL_Stack)),0))</f>
        <v/>
      </c>
      <c r="K301" s="155" t="str">
        <f aca="false">IF(Rider_Input[[#This Row],[Rider ID]]="","",SUMIFS(Adj_Input[Other Deductions],Adj_Input[Rider ID],Rider_Input[[#This Row],[Rider ID]]))</f>
        <v/>
      </c>
      <c r="L301" s="154" t="str">
        <f aca="false">IF(Rider_Input[[#This Row],[Rider ID]]="","",IFERROR(INDEX(Adj_Input[Note / Reason],MATCH(Rider_Input[[#This Row],[Rider ID]],Adj_Input[Rider ID],0))&amp;"",""))</f>
        <v/>
      </c>
    </row>
    <row r="302" customFormat="false" ht="14.25" hidden="false" customHeight="false" outlineLevel="0" collapsed="false">
      <c r="A302" s="152" t="str">
        <f aca="false">IF(Rider_Input[[#This Row],[Rider ID]]="","",Salary_Month)</f>
        <v/>
      </c>
      <c r="B302" s="153" t="str">
        <f aca="false">IFERROR(IF(INDEX(FTR_Data,ROW()-ROW(Rider_Input[#Headers]),c_FTR_ID)="","",INDEX(FTR_Data,ROW()-ROW(Rider_Input[#Headers]),c_FTR_ID)),"")</f>
        <v/>
      </c>
      <c r="C30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0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02" s="153" t="str">
        <f aca="false">IF(Rider_Input[[#This Row],[Rider ID]]="","",DAY(EOMONTH(Salary_Month,0)))</f>
        <v/>
      </c>
      <c r="F302" s="153" t="str">
        <f aca="false">IF(Rider_Input[[#This Row],[Rider ID]]="","",IFERROR(IF(INDEX(FTR_Data,ROW()-ROW(Rider_Input[#Headers]),c_FTR_WD)="","",INDEX(FTR_Data,ROW()-ROW(Rider_Input[#Headers]),c_FTR_WD)),""))</f>
        <v/>
      </c>
      <c r="G302" s="153" t="str">
        <f aca="false">IF(Rider_Input[[#This Row],[Rider ID]]="","",IFERROR(IF(INDEX(FTR_Data,ROW()-ROW(Rider_Input[#Headers]),c_FTR_Orders)="","",INDEX(FTR_Data,ROW()-ROW(Rider_Input[#Headers]),c_FTR_Orders)),""))</f>
        <v/>
      </c>
      <c r="H302" s="155" t="str">
        <f aca="false">IF(Rider_Input[[#This Row],[Rider ID]]="","",IFERROR(ABS(INDEX(RLVL_Data,MATCH(Rider_Input[[#This Row],[Rider ID]],INDEX(RLVL_Data,0,c_RLVL_ID),0),c_RLVL_Missed)),0))</f>
        <v/>
      </c>
      <c r="I302" s="155" t="str">
        <f aca="false">IF(Rider_Input[[#This Row],[Rider ID]]="","",IFERROR(ABS(INDEX(RLVL_Data,MATCH(Rider_Input[[#This Row],[Rider ID]],INDEX(RLVL_Data,0,c_RLVL_ID),0),c_RLVL_Bal)),0))</f>
        <v/>
      </c>
      <c r="J302" s="155" t="str">
        <f aca="false">IF(Rider_Input[[#This Row],[Rider ID]]="","",IFERROR(ABS(INDEX(RLVL_Data,MATCH(Rider_Input[[#This Row],[Rider ID]],INDEX(RLVL_Data,0,c_RLVL_ID),0),c_RLVL_Stack)),0))</f>
        <v/>
      </c>
      <c r="K302" s="155" t="str">
        <f aca="false">IF(Rider_Input[[#This Row],[Rider ID]]="","",SUMIFS(Adj_Input[Other Deductions],Adj_Input[Rider ID],Rider_Input[[#This Row],[Rider ID]]))</f>
        <v/>
      </c>
      <c r="L302" s="154" t="str">
        <f aca="false">IF(Rider_Input[[#This Row],[Rider ID]]="","",IFERROR(INDEX(Adj_Input[Note / Reason],MATCH(Rider_Input[[#This Row],[Rider ID]],Adj_Input[Rider ID],0))&amp;"",""))</f>
        <v/>
      </c>
    </row>
    <row r="303" customFormat="false" ht="14.25" hidden="false" customHeight="false" outlineLevel="0" collapsed="false">
      <c r="A303" s="152" t="str">
        <f aca="false">IF(Rider_Input[[#This Row],[Rider ID]]="","",Salary_Month)</f>
        <v/>
      </c>
      <c r="B303" s="153" t="str">
        <f aca="false">IFERROR(IF(INDEX(FTR_Data,ROW()-ROW(Rider_Input[#Headers]),c_FTR_ID)="","",INDEX(FTR_Data,ROW()-ROW(Rider_Input[#Headers]),c_FTR_ID)),"")</f>
        <v/>
      </c>
      <c r="C30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0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03" s="153" t="str">
        <f aca="false">IF(Rider_Input[[#This Row],[Rider ID]]="","",DAY(EOMONTH(Salary_Month,0)))</f>
        <v/>
      </c>
      <c r="F303" s="153" t="str">
        <f aca="false">IF(Rider_Input[[#This Row],[Rider ID]]="","",IFERROR(IF(INDEX(FTR_Data,ROW()-ROW(Rider_Input[#Headers]),c_FTR_WD)="","",INDEX(FTR_Data,ROW()-ROW(Rider_Input[#Headers]),c_FTR_WD)),""))</f>
        <v/>
      </c>
      <c r="G303" s="153" t="str">
        <f aca="false">IF(Rider_Input[[#This Row],[Rider ID]]="","",IFERROR(IF(INDEX(FTR_Data,ROW()-ROW(Rider_Input[#Headers]),c_FTR_Orders)="","",INDEX(FTR_Data,ROW()-ROW(Rider_Input[#Headers]),c_FTR_Orders)),""))</f>
        <v/>
      </c>
      <c r="H303" s="155" t="str">
        <f aca="false">IF(Rider_Input[[#This Row],[Rider ID]]="","",IFERROR(ABS(INDEX(RLVL_Data,MATCH(Rider_Input[[#This Row],[Rider ID]],INDEX(RLVL_Data,0,c_RLVL_ID),0),c_RLVL_Missed)),0))</f>
        <v/>
      </c>
      <c r="I303" s="155" t="str">
        <f aca="false">IF(Rider_Input[[#This Row],[Rider ID]]="","",IFERROR(ABS(INDEX(RLVL_Data,MATCH(Rider_Input[[#This Row],[Rider ID]],INDEX(RLVL_Data,0,c_RLVL_ID),0),c_RLVL_Bal)),0))</f>
        <v/>
      </c>
      <c r="J303" s="155" t="str">
        <f aca="false">IF(Rider_Input[[#This Row],[Rider ID]]="","",IFERROR(ABS(INDEX(RLVL_Data,MATCH(Rider_Input[[#This Row],[Rider ID]],INDEX(RLVL_Data,0,c_RLVL_ID),0),c_RLVL_Stack)),0))</f>
        <v/>
      </c>
      <c r="K303" s="155" t="str">
        <f aca="false">IF(Rider_Input[[#This Row],[Rider ID]]="","",SUMIFS(Adj_Input[Other Deductions],Adj_Input[Rider ID],Rider_Input[[#This Row],[Rider ID]]))</f>
        <v/>
      </c>
      <c r="L303" s="154" t="str">
        <f aca="false">IF(Rider_Input[[#This Row],[Rider ID]]="","",IFERROR(INDEX(Adj_Input[Note / Reason],MATCH(Rider_Input[[#This Row],[Rider ID]],Adj_Input[Rider ID],0))&amp;"",""))</f>
        <v/>
      </c>
    </row>
    <row r="304" customFormat="false" ht="14.25" hidden="false" customHeight="false" outlineLevel="0" collapsed="false">
      <c r="A304" s="152" t="str">
        <f aca="false">IF(Rider_Input[[#This Row],[Rider ID]]="","",Salary_Month)</f>
        <v/>
      </c>
      <c r="B304" s="153" t="str">
        <f aca="false">IFERROR(IF(INDEX(FTR_Data,ROW()-ROW(Rider_Input[#Headers]),c_FTR_ID)="","",INDEX(FTR_Data,ROW()-ROW(Rider_Input[#Headers]),c_FTR_ID)),"")</f>
        <v/>
      </c>
      <c r="C30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0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04" s="153" t="str">
        <f aca="false">IF(Rider_Input[[#This Row],[Rider ID]]="","",DAY(EOMONTH(Salary_Month,0)))</f>
        <v/>
      </c>
      <c r="F304" s="153" t="str">
        <f aca="false">IF(Rider_Input[[#This Row],[Rider ID]]="","",IFERROR(IF(INDEX(FTR_Data,ROW()-ROW(Rider_Input[#Headers]),c_FTR_WD)="","",INDEX(FTR_Data,ROW()-ROW(Rider_Input[#Headers]),c_FTR_WD)),""))</f>
        <v/>
      </c>
      <c r="G304" s="153" t="str">
        <f aca="false">IF(Rider_Input[[#This Row],[Rider ID]]="","",IFERROR(IF(INDEX(FTR_Data,ROW()-ROW(Rider_Input[#Headers]),c_FTR_Orders)="","",INDEX(FTR_Data,ROW()-ROW(Rider_Input[#Headers]),c_FTR_Orders)),""))</f>
        <v/>
      </c>
      <c r="H304" s="155" t="str">
        <f aca="false">IF(Rider_Input[[#This Row],[Rider ID]]="","",IFERROR(ABS(INDEX(RLVL_Data,MATCH(Rider_Input[[#This Row],[Rider ID]],INDEX(RLVL_Data,0,c_RLVL_ID),0),c_RLVL_Missed)),0))</f>
        <v/>
      </c>
      <c r="I304" s="155" t="str">
        <f aca="false">IF(Rider_Input[[#This Row],[Rider ID]]="","",IFERROR(ABS(INDEX(RLVL_Data,MATCH(Rider_Input[[#This Row],[Rider ID]],INDEX(RLVL_Data,0,c_RLVL_ID),0),c_RLVL_Bal)),0))</f>
        <v/>
      </c>
      <c r="J304" s="155" t="str">
        <f aca="false">IF(Rider_Input[[#This Row],[Rider ID]]="","",IFERROR(ABS(INDEX(RLVL_Data,MATCH(Rider_Input[[#This Row],[Rider ID]],INDEX(RLVL_Data,0,c_RLVL_ID),0),c_RLVL_Stack)),0))</f>
        <v/>
      </c>
      <c r="K304" s="155" t="str">
        <f aca="false">IF(Rider_Input[[#This Row],[Rider ID]]="","",SUMIFS(Adj_Input[Other Deductions],Adj_Input[Rider ID],Rider_Input[[#This Row],[Rider ID]]))</f>
        <v/>
      </c>
      <c r="L304" s="154" t="str">
        <f aca="false">IF(Rider_Input[[#This Row],[Rider ID]]="","",IFERROR(INDEX(Adj_Input[Note / Reason],MATCH(Rider_Input[[#This Row],[Rider ID]],Adj_Input[Rider ID],0))&amp;"",""))</f>
        <v/>
      </c>
    </row>
    <row r="305" customFormat="false" ht="14.25" hidden="false" customHeight="false" outlineLevel="0" collapsed="false">
      <c r="A305" s="152" t="str">
        <f aca="false">IF(Rider_Input[[#This Row],[Rider ID]]="","",Salary_Month)</f>
        <v/>
      </c>
      <c r="B305" s="153" t="str">
        <f aca="false">IFERROR(IF(INDEX(FTR_Data,ROW()-ROW(Rider_Input[#Headers]),c_FTR_ID)="","",INDEX(FTR_Data,ROW()-ROW(Rider_Input[#Headers]),c_FTR_ID)),"")</f>
        <v/>
      </c>
      <c r="C30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0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05" s="153" t="str">
        <f aca="false">IF(Rider_Input[[#This Row],[Rider ID]]="","",DAY(EOMONTH(Salary_Month,0)))</f>
        <v/>
      </c>
      <c r="F305" s="153" t="str">
        <f aca="false">IF(Rider_Input[[#This Row],[Rider ID]]="","",IFERROR(IF(INDEX(FTR_Data,ROW()-ROW(Rider_Input[#Headers]),c_FTR_WD)="","",INDEX(FTR_Data,ROW()-ROW(Rider_Input[#Headers]),c_FTR_WD)),""))</f>
        <v/>
      </c>
      <c r="G305" s="153" t="str">
        <f aca="false">IF(Rider_Input[[#This Row],[Rider ID]]="","",IFERROR(IF(INDEX(FTR_Data,ROW()-ROW(Rider_Input[#Headers]),c_FTR_Orders)="","",INDEX(FTR_Data,ROW()-ROW(Rider_Input[#Headers]),c_FTR_Orders)),""))</f>
        <v/>
      </c>
      <c r="H305" s="155" t="str">
        <f aca="false">IF(Rider_Input[[#This Row],[Rider ID]]="","",IFERROR(ABS(INDEX(RLVL_Data,MATCH(Rider_Input[[#This Row],[Rider ID]],INDEX(RLVL_Data,0,c_RLVL_ID),0),c_RLVL_Missed)),0))</f>
        <v/>
      </c>
      <c r="I305" s="155" t="str">
        <f aca="false">IF(Rider_Input[[#This Row],[Rider ID]]="","",IFERROR(ABS(INDEX(RLVL_Data,MATCH(Rider_Input[[#This Row],[Rider ID]],INDEX(RLVL_Data,0,c_RLVL_ID),0),c_RLVL_Bal)),0))</f>
        <v/>
      </c>
      <c r="J305" s="155" t="str">
        <f aca="false">IF(Rider_Input[[#This Row],[Rider ID]]="","",IFERROR(ABS(INDEX(RLVL_Data,MATCH(Rider_Input[[#This Row],[Rider ID]],INDEX(RLVL_Data,0,c_RLVL_ID),0),c_RLVL_Stack)),0))</f>
        <v/>
      </c>
      <c r="K305" s="155" t="str">
        <f aca="false">IF(Rider_Input[[#This Row],[Rider ID]]="","",SUMIFS(Adj_Input[Other Deductions],Adj_Input[Rider ID],Rider_Input[[#This Row],[Rider ID]]))</f>
        <v/>
      </c>
      <c r="L305" s="154" t="str">
        <f aca="false">IF(Rider_Input[[#This Row],[Rider ID]]="","",IFERROR(INDEX(Adj_Input[Note / Reason],MATCH(Rider_Input[[#This Row],[Rider ID]],Adj_Input[Rider ID],0))&amp;"",""))</f>
        <v/>
      </c>
    </row>
    <row r="306" customFormat="false" ht="14.25" hidden="false" customHeight="false" outlineLevel="0" collapsed="false">
      <c r="A306" s="152" t="str">
        <f aca="false">IF(Rider_Input[[#This Row],[Rider ID]]="","",Salary_Month)</f>
        <v/>
      </c>
      <c r="B306" s="153" t="str">
        <f aca="false">IFERROR(IF(INDEX(FTR_Data,ROW()-ROW(Rider_Input[#Headers]),c_FTR_ID)="","",INDEX(FTR_Data,ROW()-ROW(Rider_Input[#Headers]),c_FTR_ID)),"")</f>
        <v/>
      </c>
      <c r="C30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0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06" s="153" t="str">
        <f aca="false">IF(Rider_Input[[#This Row],[Rider ID]]="","",DAY(EOMONTH(Salary_Month,0)))</f>
        <v/>
      </c>
      <c r="F306" s="153" t="str">
        <f aca="false">IF(Rider_Input[[#This Row],[Rider ID]]="","",IFERROR(IF(INDEX(FTR_Data,ROW()-ROW(Rider_Input[#Headers]),c_FTR_WD)="","",INDEX(FTR_Data,ROW()-ROW(Rider_Input[#Headers]),c_FTR_WD)),""))</f>
        <v/>
      </c>
      <c r="G306" s="153" t="str">
        <f aca="false">IF(Rider_Input[[#This Row],[Rider ID]]="","",IFERROR(IF(INDEX(FTR_Data,ROW()-ROW(Rider_Input[#Headers]),c_FTR_Orders)="","",INDEX(FTR_Data,ROW()-ROW(Rider_Input[#Headers]),c_FTR_Orders)),""))</f>
        <v/>
      </c>
      <c r="H306" s="155" t="str">
        <f aca="false">IF(Rider_Input[[#This Row],[Rider ID]]="","",IFERROR(ABS(INDEX(RLVL_Data,MATCH(Rider_Input[[#This Row],[Rider ID]],INDEX(RLVL_Data,0,c_RLVL_ID),0),c_RLVL_Missed)),0))</f>
        <v/>
      </c>
      <c r="I306" s="155" t="str">
        <f aca="false">IF(Rider_Input[[#This Row],[Rider ID]]="","",IFERROR(ABS(INDEX(RLVL_Data,MATCH(Rider_Input[[#This Row],[Rider ID]],INDEX(RLVL_Data,0,c_RLVL_ID),0),c_RLVL_Bal)),0))</f>
        <v/>
      </c>
      <c r="J306" s="155" t="str">
        <f aca="false">IF(Rider_Input[[#This Row],[Rider ID]]="","",IFERROR(ABS(INDEX(RLVL_Data,MATCH(Rider_Input[[#This Row],[Rider ID]],INDEX(RLVL_Data,0,c_RLVL_ID),0),c_RLVL_Stack)),0))</f>
        <v/>
      </c>
      <c r="K306" s="155" t="str">
        <f aca="false">IF(Rider_Input[[#This Row],[Rider ID]]="","",SUMIFS(Adj_Input[Other Deductions],Adj_Input[Rider ID],Rider_Input[[#This Row],[Rider ID]]))</f>
        <v/>
      </c>
      <c r="L306" s="154" t="str">
        <f aca="false">IF(Rider_Input[[#This Row],[Rider ID]]="","",IFERROR(INDEX(Adj_Input[Note / Reason],MATCH(Rider_Input[[#This Row],[Rider ID]],Adj_Input[Rider ID],0))&amp;"",""))</f>
        <v/>
      </c>
    </row>
    <row r="307" customFormat="false" ht="14.25" hidden="false" customHeight="false" outlineLevel="0" collapsed="false">
      <c r="A307" s="152" t="str">
        <f aca="false">IF(Rider_Input[[#This Row],[Rider ID]]="","",Salary_Month)</f>
        <v/>
      </c>
      <c r="B307" s="153" t="str">
        <f aca="false">IFERROR(IF(INDEX(FTR_Data,ROW()-ROW(Rider_Input[#Headers]),c_FTR_ID)="","",INDEX(FTR_Data,ROW()-ROW(Rider_Input[#Headers]),c_FTR_ID)),"")</f>
        <v/>
      </c>
      <c r="C30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0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07" s="153" t="str">
        <f aca="false">IF(Rider_Input[[#This Row],[Rider ID]]="","",DAY(EOMONTH(Salary_Month,0)))</f>
        <v/>
      </c>
      <c r="F307" s="153" t="str">
        <f aca="false">IF(Rider_Input[[#This Row],[Rider ID]]="","",IFERROR(IF(INDEX(FTR_Data,ROW()-ROW(Rider_Input[#Headers]),c_FTR_WD)="","",INDEX(FTR_Data,ROW()-ROW(Rider_Input[#Headers]),c_FTR_WD)),""))</f>
        <v/>
      </c>
      <c r="G307" s="153" t="str">
        <f aca="false">IF(Rider_Input[[#This Row],[Rider ID]]="","",IFERROR(IF(INDEX(FTR_Data,ROW()-ROW(Rider_Input[#Headers]),c_FTR_Orders)="","",INDEX(FTR_Data,ROW()-ROW(Rider_Input[#Headers]),c_FTR_Orders)),""))</f>
        <v/>
      </c>
      <c r="H307" s="155" t="str">
        <f aca="false">IF(Rider_Input[[#This Row],[Rider ID]]="","",IFERROR(ABS(INDEX(RLVL_Data,MATCH(Rider_Input[[#This Row],[Rider ID]],INDEX(RLVL_Data,0,c_RLVL_ID),0),c_RLVL_Missed)),0))</f>
        <v/>
      </c>
      <c r="I307" s="155" t="str">
        <f aca="false">IF(Rider_Input[[#This Row],[Rider ID]]="","",IFERROR(ABS(INDEX(RLVL_Data,MATCH(Rider_Input[[#This Row],[Rider ID]],INDEX(RLVL_Data,0,c_RLVL_ID),0),c_RLVL_Bal)),0))</f>
        <v/>
      </c>
      <c r="J307" s="155" t="str">
        <f aca="false">IF(Rider_Input[[#This Row],[Rider ID]]="","",IFERROR(ABS(INDEX(RLVL_Data,MATCH(Rider_Input[[#This Row],[Rider ID]],INDEX(RLVL_Data,0,c_RLVL_ID),0),c_RLVL_Stack)),0))</f>
        <v/>
      </c>
      <c r="K307" s="155" t="str">
        <f aca="false">IF(Rider_Input[[#This Row],[Rider ID]]="","",SUMIFS(Adj_Input[Other Deductions],Adj_Input[Rider ID],Rider_Input[[#This Row],[Rider ID]]))</f>
        <v/>
      </c>
      <c r="L307" s="154" t="str">
        <f aca="false">IF(Rider_Input[[#This Row],[Rider ID]]="","",IFERROR(INDEX(Adj_Input[Note / Reason],MATCH(Rider_Input[[#This Row],[Rider ID]],Adj_Input[Rider ID],0))&amp;"",""))</f>
        <v/>
      </c>
    </row>
    <row r="308" customFormat="false" ht="14.25" hidden="false" customHeight="false" outlineLevel="0" collapsed="false">
      <c r="A308" s="152" t="str">
        <f aca="false">IF(Rider_Input[[#This Row],[Rider ID]]="","",Salary_Month)</f>
        <v/>
      </c>
      <c r="B308" s="153" t="str">
        <f aca="false">IFERROR(IF(INDEX(FTR_Data,ROW()-ROW(Rider_Input[#Headers]),c_FTR_ID)="","",INDEX(FTR_Data,ROW()-ROW(Rider_Input[#Headers]),c_FTR_ID)),"")</f>
        <v/>
      </c>
      <c r="C30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0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08" s="153" t="str">
        <f aca="false">IF(Rider_Input[[#This Row],[Rider ID]]="","",DAY(EOMONTH(Salary_Month,0)))</f>
        <v/>
      </c>
      <c r="F308" s="153" t="str">
        <f aca="false">IF(Rider_Input[[#This Row],[Rider ID]]="","",IFERROR(IF(INDEX(FTR_Data,ROW()-ROW(Rider_Input[#Headers]),c_FTR_WD)="","",INDEX(FTR_Data,ROW()-ROW(Rider_Input[#Headers]),c_FTR_WD)),""))</f>
        <v/>
      </c>
      <c r="G308" s="153" t="str">
        <f aca="false">IF(Rider_Input[[#This Row],[Rider ID]]="","",IFERROR(IF(INDEX(FTR_Data,ROW()-ROW(Rider_Input[#Headers]),c_FTR_Orders)="","",INDEX(FTR_Data,ROW()-ROW(Rider_Input[#Headers]),c_FTR_Orders)),""))</f>
        <v/>
      </c>
      <c r="H308" s="155" t="str">
        <f aca="false">IF(Rider_Input[[#This Row],[Rider ID]]="","",IFERROR(ABS(INDEX(RLVL_Data,MATCH(Rider_Input[[#This Row],[Rider ID]],INDEX(RLVL_Data,0,c_RLVL_ID),0),c_RLVL_Missed)),0))</f>
        <v/>
      </c>
      <c r="I308" s="155" t="str">
        <f aca="false">IF(Rider_Input[[#This Row],[Rider ID]]="","",IFERROR(ABS(INDEX(RLVL_Data,MATCH(Rider_Input[[#This Row],[Rider ID]],INDEX(RLVL_Data,0,c_RLVL_ID),0),c_RLVL_Bal)),0))</f>
        <v/>
      </c>
      <c r="J308" s="155" t="str">
        <f aca="false">IF(Rider_Input[[#This Row],[Rider ID]]="","",IFERROR(ABS(INDEX(RLVL_Data,MATCH(Rider_Input[[#This Row],[Rider ID]],INDEX(RLVL_Data,0,c_RLVL_ID),0),c_RLVL_Stack)),0))</f>
        <v/>
      </c>
      <c r="K308" s="155" t="str">
        <f aca="false">IF(Rider_Input[[#This Row],[Rider ID]]="","",SUMIFS(Adj_Input[Other Deductions],Adj_Input[Rider ID],Rider_Input[[#This Row],[Rider ID]]))</f>
        <v/>
      </c>
      <c r="L308" s="154" t="str">
        <f aca="false">IF(Rider_Input[[#This Row],[Rider ID]]="","",IFERROR(INDEX(Adj_Input[Note / Reason],MATCH(Rider_Input[[#This Row],[Rider ID]],Adj_Input[Rider ID],0))&amp;"",""))</f>
        <v/>
      </c>
    </row>
    <row r="309" customFormat="false" ht="14.25" hidden="false" customHeight="false" outlineLevel="0" collapsed="false">
      <c r="A309" s="152" t="str">
        <f aca="false">IF(Rider_Input[[#This Row],[Rider ID]]="","",Salary_Month)</f>
        <v/>
      </c>
      <c r="B309" s="153" t="str">
        <f aca="false">IFERROR(IF(INDEX(FTR_Data,ROW()-ROW(Rider_Input[#Headers]),c_FTR_ID)="","",INDEX(FTR_Data,ROW()-ROW(Rider_Input[#Headers]),c_FTR_ID)),"")</f>
        <v/>
      </c>
      <c r="C30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0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09" s="153" t="str">
        <f aca="false">IF(Rider_Input[[#This Row],[Rider ID]]="","",DAY(EOMONTH(Salary_Month,0)))</f>
        <v/>
      </c>
      <c r="F309" s="153" t="str">
        <f aca="false">IF(Rider_Input[[#This Row],[Rider ID]]="","",IFERROR(IF(INDEX(FTR_Data,ROW()-ROW(Rider_Input[#Headers]),c_FTR_WD)="","",INDEX(FTR_Data,ROW()-ROW(Rider_Input[#Headers]),c_FTR_WD)),""))</f>
        <v/>
      </c>
      <c r="G309" s="153" t="str">
        <f aca="false">IF(Rider_Input[[#This Row],[Rider ID]]="","",IFERROR(IF(INDEX(FTR_Data,ROW()-ROW(Rider_Input[#Headers]),c_FTR_Orders)="","",INDEX(FTR_Data,ROW()-ROW(Rider_Input[#Headers]),c_FTR_Orders)),""))</f>
        <v/>
      </c>
      <c r="H309" s="155" t="str">
        <f aca="false">IF(Rider_Input[[#This Row],[Rider ID]]="","",IFERROR(ABS(INDEX(RLVL_Data,MATCH(Rider_Input[[#This Row],[Rider ID]],INDEX(RLVL_Data,0,c_RLVL_ID),0),c_RLVL_Missed)),0))</f>
        <v/>
      </c>
      <c r="I309" s="155" t="str">
        <f aca="false">IF(Rider_Input[[#This Row],[Rider ID]]="","",IFERROR(ABS(INDEX(RLVL_Data,MATCH(Rider_Input[[#This Row],[Rider ID]],INDEX(RLVL_Data,0,c_RLVL_ID),0),c_RLVL_Bal)),0))</f>
        <v/>
      </c>
      <c r="J309" s="155" t="str">
        <f aca="false">IF(Rider_Input[[#This Row],[Rider ID]]="","",IFERROR(ABS(INDEX(RLVL_Data,MATCH(Rider_Input[[#This Row],[Rider ID]],INDEX(RLVL_Data,0,c_RLVL_ID),0),c_RLVL_Stack)),0))</f>
        <v/>
      </c>
      <c r="K309" s="155" t="str">
        <f aca="false">IF(Rider_Input[[#This Row],[Rider ID]]="","",SUMIFS(Adj_Input[Other Deductions],Adj_Input[Rider ID],Rider_Input[[#This Row],[Rider ID]]))</f>
        <v/>
      </c>
      <c r="L309" s="154" t="str">
        <f aca="false">IF(Rider_Input[[#This Row],[Rider ID]]="","",IFERROR(INDEX(Adj_Input[Note / Reason],MATCH(Rider_Input[[#This Row],[Rider ID]],Adj_Input[Rider ID],0))&amp;"",""))</f>
        <v/>
      </c>
    </row>
    <row r="310" customFormat="false" ht="14.25" hidden="false" customHeight="false" outlineLevel="0" collapsed="false">
      <c r="A310" s="152" t="str">
        <f aca="false">IF(Rider_Input[[#This Row],[Rider ID]]="","",Salary_Month)</f>
        <v/>
      </c>
      <c r="B310" s="153" t="str">
        <f aca="false">IFERROR(IF(INDEX(FTR_Data,ROW()-ROW(Rider_Input[#Headers]),c_FTR_ID)="","",INDEX(FTR_Data,ROW()-ROW(Rider_Input[#Headers]),c_FTR_ID)),"")</f>
        <v/>
      </c>
      <c r="C31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1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10" s="153" t="str">
        <f aca="false">IF(Rider_Input[[#This Row],[Rider ID]]="","",DAY(EOMONTH(Salary_Month,0)))</f>
        <v/>
      </c>
      <c r="F310" s="153" t="str">
        <f aca="false">IF(Rider_Input[[#This Row],[Rider ID]]="","",IFERROR(IF(INDEX(FTR_Data,ROW()-ROW(Rider_Input[#Headers]),c_FTR_WD)="","",INDEX(FTR_Data,ROW()-ROW(Rider_Input[#Headers]),c_FTR_WD)),""))</f>
        <v/>
      </c>
      <c r="G310" s="153" t="str">
        <f aca="false">IF(Rider_Input[[#This Row],[Rider ID]]="","",IFERROR(IF(INDEX(FTR_Data,ROW()-ROW(Rider_Input[#Headers]),c_FTR_Orders)="","",INDEX(FTR_Data,ROW()-ROW(Rider_Input[#Headers]),c_FTR_Orders)),""))</f>
        <v/>
      </c>
      <c r="H310" s="155" t="str">
        <f aca="false">IF(Rider_Input[[#This Row],[Rider ID]]="","",IFERROR(ABS(INDEX(RLVL_Data,MATCH(Rider_Input[[#This Row],[Rider ID]],INDEX(RLVL_Data,0,c_RLVL_ID),0),c_RLVL_Missed)),0))</f>
        <v/>
      </c>
      <c r="I310" s="155" t="str">
        <f aca="false">IF(Rider_Input[[#This Row],[Rider ID]]="","",IFERROR(ABS(INDEX(RLVL_Data,MATCH(Rider_Input[[#This Row],[Rider ID]],INDEX(RLVL_Data,0,c_RLVL_ID),0),c_RLVL_Bal)),0))</f>
        <v/>
      </c>
      <c r="J310" s="155" t="str">
        <f aca="false">IF(Rider_Input[[#This Row],[Rider ID]]="","",IFERROR(ABS(INDEX(RLVL_Data,MATCH(Rider_Input[[#This Row],[Rider ID]],INDEX(RLVL_Data,0,c_RLVL_ID),0),c_RLVL_Stack)),0))</f>
        <v/>
      </c>
      <c r="K310" s="155" t="str">
        <f aca="false">IF(Rider_Input[[#This Row],[Rider ID]]="","",SUMIFS(Adj_Input[Other Deductions],Adj_Input[Rider ID],Rider_Input[[#This Row],[Rider ID]]))</f>
        <v/>
      </c>
      <c r="L310" s="154" t="str">
        <f aca="false">IF(Rider_Input[[#This Row],[Rider ID]]="","",IFERROR(INDEX(Adj_Input[Note / Reason],MATCH(Rider_Input[[#This Row],[Rider ID]],Adj_Input[Rider ID],0))&amp;"",""))</f>
        <v/>
      </c>
    </row>
    <row r="311" customFormat="false" ht="14.25" hidden="false" customHeight="false" outlineLevel="0" collapsed="false">
      <c r="A311" s="152" t="str">
        <f aca="false">IF(Rider_Input[[#This Row],[Rider ID]]="","",Salary_Month)</f>
        <v/>
      </c>
      <c r="B311" s="153" t="str">
        <f aca="false">IFERROR(IF(INDEX(FTR_Data,ROW()-ROW(Rider_Input[#Headers]),c_FTR_ID)="","",INDEX(FTR_Data,ROW()-ROW(Rider_Input[#Headers]),c_FTR_ID)),"")</f>
        <v/>
      </c>
      <c r="C31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1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11" s="153" t="str">
        <f aca="false">IF(Rider_Input[[#This Row],[Rider ID]]="","",DAY(EOMONTH(Salary_Month,0)))</f>
        <v/>
      </c>
      <c r="F311" s="153" t="str">
        <f aca="false">IF(Rider_Input[[#This Row],[Rider ID]]="","",IFERROR(IF(INDEX(FTR_Data,ROW()-ROW(Rider_Input[#Headers]),c_FTR_WD)="","",INDEX(FTR_Data,ROW()-ROW(Rider_Input[#Headers]),c_FTR_WD)),""))</f>
        <v/>
      </c>
      <c r="G311" s="153" t="str">
        <f aca="false">IF(Rider_Input[[#This Row],[Rider ID]]="","",IFERROR(IF(INDEX(FTR_Data,ROW()-ROW(Rider_Input[#Headers]),c_FTR_Orders)="","",INDEX(FTR_Data,ROW()-ROW(Rider_Input[#Headers]),c_FTR_Orders)),""))</f>
        <v/>
      </c>
      <c r="H311" s="155" t="str">
        <f aca="false">IF(Rider_Input[[#This Row],[Rider ID]]="","",IFERROR(ABS(INDEX(RLVL_Data,MATCH(Rider_Input[[#This Row],[Rider ID]],INDEX(RLVL_Data,0,c_RLVL_ID),0),c_RLVL_Missed)),0))</f>
        <v/>
      </c>
      <c r="I311" s="155" t="str">
        <f aca="false">IF(Rider_Input[[#This Row],[Rider ID]]="","",IFERROR(ABS(INDEX(RLVL_Data,MATCH(Rider_Input[[#This Row],[Rider ID]],INDEX(RLVL_Data,0,c_RLVL_ID),0),c_RLVL_Bal)),0))</f>
        <v/>
      </c>
      <c r="J311" s="155" t="str">
        <f aca="false">IF(Rider_Input[[#This Row],[Rider ID]]="","",IFERROR(ABS(INDEX(RLVL_Data,MATCH(Rider_Input[[#This Row],[Rider ID]],INDEX(RLVL_Data,0,c_RLVL_ID),0),c_RLVL_Stack)),0))</f>
        <v/>
      </c>
      <c r="K311" s="155" t="str">
        <f aca="false">IF(Rider_Input[[#This Row],[Rider ID]]="","",SUMIFS(Adj_Input[Other Deductions],Adj_Input[Rider ID],Rider_Input[[#This Row],[Rider ID]]))</f>
        <v/>
      </c>
      <c r="L311" s="154" t="str">
        <f aca="false">IF(Rider_Input[[#This Row],[Rider ID]]="","",IFERROR(INDEX(Adj_Input[Note / Reason],MATCH(Rider_Input[[#This Row],[Rider ID]],Adj_Input[Rider ID],0))&amp;"",""))</f>
        <v/>
      </c>
    </row>
    <row r="312" customFormat="false" ht="14.25" hidden="false" customHeight="false" outlineLevel="0" collapsed="false">
      <c r="A312" s="152" t="str">
        <f aca="false">IF(Rider_Input[[#This Row],[Rider ID]]="","",Salary_Month)</f>
        <v/>
      </c>
      <c r="B312" s="153" t="str">
        <f aca="false">IFERROR(IF(INDEX(FTR_Data,ROW()-ROW(Rider_Input[#Headers]),c_FTR_ID)="","",INDEX(FTR_Data,ROW()-ROW(Rider_Input[#Headers]),c_FTR_ID)),"")</f>
        <v/>
      </c>
      <c r="C31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1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12" s="153" t="str">
        <f aca="false">IF(Rider_Input[[#This Row],[Rider ID]]="","",DAY(EOMONTH(Salary_Month,0)))</f>
        <v/>
      </c>
      <c r="F312" s="153" t="str">
        <f aca="false">IF(Rider_Input[[#This Row],[Rider ID]]="","",IFERROR(IF(INDEX(FTR_Data,ROW()-ROW(Rider_Input[#Headers]),c_FTR_WD)="","",INDEX(FTR_Data,ROW()-ROW(Rider_Input[#Headers]),c_FTR_WD)),""))</f>
        <v/>
      </c>
      <c r="G312" s="153" t="str">
        <f aca="false">IF(Rider_Input[[#This Row],[Rider ID]]="","",IFERROR(IF(INDEX(FTR_Data,ROW()-ROW(Rider_Input[#Headers]),c_FTR_Orders)="","",INDEX(FTR_Data,ROW()-ROW(Rider_Input[#Headers]),c_FTR_Orders)),""))</f>
        <v/>
      </c>
      <c r="H312" s="155" t="str">
        <f aca="false">IF(Rider_Input[[#This Row],[Rider ID]]="","",IFERROR(ABS(INDEX(RLVL_Data,MATCH(Rider_Input[[#This Row],[Rider ID]],INDEX(RLVL_Data,0,c_RLVL_ID),0),c_RLVL_Missed)),0))</f>
        <v/>
      </c>
      <c r="I312" s="155" t="str">
        <f aca="false">IF(Rider_Input[[#This Row],[Rider ID]]="","",IFERROR(ABS(INDEX(RLVL_Data,MATCH(Rider_Input[[#This Row],[Rider ID]],INDEX(RLVL_Data,0,c_RLVL_ID),0),c_RLVL_Bal)),0))</f>
        <v/>
      </c>
      <c r="J312" s="155" t="str">
        <f aca="false">IF(Rider_Input[[#This Row],[Rider ID]]="","",IFERROR(ABS(INDEX(RLVL_Data,MATCH(Rider_Input[[#This Row],[Rider ID]],INDEX(RLVL_Data,0,c_RLVL_ID),0),c_RLVL_Stack)),0))</f>
        <v/>
      </c>
      <c r="K312" s="155" t="str">
        <f aca="false">IF(Rider_Input[[#This Row],[Rider ID]]="","",SUMIFS(Adj_Input[Other Deductions],Adj_Input[Rider ID],Rider_Input[[#This Row],[Rider ID]]))</f>
        <v/>
      </c>
      <c r="L312" s="154" t="str">
        <f aca="false">IF(Rider_Input[[#This Row],[Rider ID]]="","",IFERROR(INDEX(Adj_Input[Note / Reason],MATCH(Rider_Input[[#This Row],[Rider ID]],Adj_Input[Rider ID],0))&amp;"",""))</f>
        <v/>
      </c>
    </row>
    <row r="313" customFormat="false" ht="14.25" hidden="false" customHeight="false" outlineLevel="0" collapsed="false">
      <c r="A313" s="152" t="str">
        <f aca="false">IF(Rider_Input[[#This Row],[Rider ID]]="","",Salary_Month)</f>
        <v/>
      </c>
      <c r="B313" s="153" t="str">
        <f aca="false">IFERROR(IF(INDEX(FTR_Data,ROW()-ROW(Rider_Input[#Headers]),c_FTR_ID)="","",INDEX(FTR_Data,ROW()-ROW(Rider_Input[#Headers]),c_FTR_ID)),"")</f>
        <v/>
      </c>
      <c r="C31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1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13" s="153" t="str">
        <f aca="false">IF(Rider_Input[[#This Row],[Rider ID]]="","",DAY(EOMONTH(Salary_Month,0)))</f>
        <v/>
      </c>
      <c r="F313" s="153" t="str">
        <f aca="false">IF(Rider_Input[[#This Row],[Rider ID]]="","",IFERROR(IF(INDEX(FTR_Data,ROW()-ROW(Rider_Input[#Headers]),c_FTR_WD)="","",INDEX(FTR_Data,ROW()-ROW(Rider_Input[#Headers]),c_FTR_WD)),""))</f>
        <v/>
      </c>
      <c r="G313" s="153" t="str">
        <f aca="false">IF(Rider_Input[[#This Row],[Rider ID]]="","",IFERROR(IF(INDEX(FTR_Data,ROW()-ROW(Rider_Input[#Headers]),c_FTR_Orders)="","",INDEX(FTR_Data,ROW()-ROW(Rider_Input[#Headers]),c_FTR_Orders)),""))</f>
        <v/>
      </c>
      <c r="H313" s="155" t="str">
        <f aca="false">IF(Rider_Input[[#This Row],[Rider ID]]="","",IFERROR(ABS(INDEX(RLVL_Data,MATCH(Rider_Input[[#This Row],[Rider ID]],INDEX(RLVL_Data,0,c_RLVL_ID),0),c_RLVL_Missed)),0))</f>
        <v/>
      </c>
      <c r="I313" s="155" t="str">
        <f aca="false">IF(Rider_Input[[#This Row],[Rider ID]]="","",IFERROR(ABS(INDEX(RLVL_Data,MATCH(Rider_Input[[#This Row],[Rider ID]],INDEX(RLVL_Data,0,c_RLVL_ID),0),c_RLVL_Bal)),0))</f>
        <v/>
      </c>
      <c r="J313" s="155" t="str">
        <f aca="false">IF(Rider_Input[[#This Row],[Rider ID]]="","",IFERROR(ABS(INDEX(RLVL_Data,MATCH(Rider_Input[[#This Row],[Rider ID]],INDEX(RLVL_Data,0,c_RLVL_ID),0),c_RLVL_Stack)),0))</f>
        <v/>
      </c>
      <c r="K313" s="155" t="str">
        <f aca="false">IF(Rider_Input[[#This Row],[Rider ID]]="","",SUMIFS(Adj_Input[Other Deductions],Adj_Input[Rider ID],Rider_Input[[#This Row],[Rider ID]]))</f>
        <v/>
      </c>
      <c r="L313" s="154" t="str">
        <f aca="false">IF(Rider_Input[[#This Row],[Rider ID]]="","",IFERROR(INDEX(Adj_Input[Note / Reason],MATCH(Rider_Input[[#This Row],[Rider ID]],Adj_Input[Rider ID],0))&amp;"",""))</f>
        <v/>
      </c>
    </row>
    <row r="314" customFormat="false" ht="14.25" hidden="false" customHeight="false" outlineLevel="0" collapsed="false">
      <c r="A314" s="152" t="str">
        <f aca="false">IF(Rider_Input[[#This Row],[Rider ID]]="","",Salary_Month)</f>
        <v/>
      </c>
      <c r="B314" s="153" t="str">
        <f aca="false">IFERROR(IF(INDEX(FTR_Data,ROW()-ROW(Rider_Input[#Headers]),c_FTR_ID)="","",INDEX(FTR_Data,ROW()-ROW(Rider_Input[#Headers]),c_FTR_ID)),"")</f>
        <v/>
      </c>
      <c r="C31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1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14" s="153" t="str">
        <f aca="false">IF(Rider_Input[[#This Row],[Rider ID]]="","",DAY(EOMONTH(Salary_Month,0)))</f>
        <v/>
      </c>
      <c r="F314" s="153" t="str">
        <f aca="false">IF(Rider_Input[[#This Row],[Rider ID]]="","",IFERROR(IF(INDEX(FTR_Data,ROW()-ROW(Rider_Input[#Headers]),c_FTR_WD)="","",INDEX(FTR_Data,ROW()-ROW(Rider_Input[#Headers]),c_FTR_WD)),""))</f>
        <v/>
      </c>
      <c r="G314" s="153" t="str">
        <f aca="false">IF(Rider_Input[[#This Row],[Rider ID]]="","",IFERROR(IF(INDEX(FTR_Data,ROW()-ROW(Rider_Input[#Headers]),c_FTR_Orders)="","",INDEX(FTR_Data,ROW()-ROW(Rider_Input[#Headers]),c_FTR_Orders)),""))</f>
        <v/>
      </c>
      <c r="H314" s="155" t="str">
        <f aca="false">IF(Rider_Input[[#This Row],[Rider ID]]="","",IFERROR(ABS(INDEX(RLVL_Data,MATCH(Rider_Input[[#This Row],[Rider ID]],INDEX(RLVL_Data,0,c_RLVL_ID),0),c_RLVL_Missed)),0))</f>
        <v/>
      </c>
      <c r="I314" s="155" t="str">
        <f aca="false">IF(Rider_Input[[#This Row],[Rider ID]]="","",IFERROR(ABS(INDEX(RLVL_Data,MATCH(Rider_Input[[#This Row],[Rider ID]],INDEX(RLVL_Data,0,c_RLVL_ID),0),c_RLVL_Bal)),0))</f>
        <v/>
      </c>
      <c r="J314" s="155" t="str">
        <f aca="false">IF(Rider_Input[[#This Row],[Rider ID]]="","",IFERROR(ABS(INDEX(RLVL_Data,MATCH(Rider_Input[[#This Row],[Rider ID]],INDEX(RLVL_Data,0,c_RLVL_ID),0),c_RLVL_Stack)),0))</f>
        <v/>
      </c>
      <c r="K314" s="155" t="str">
        <f aca="false">IF(Rider_Input[[#This Row],[Rider ID]]="","",SUMIFS(Adj_Input[Other Deductions],Adj_Input[Rider ID],Rider_Input[[#This Row],[Rider ID]]))</f>
        <v/>
      </c>
      <c r="L314" s="154" t="str">
        <f aca="false">IF(Rider_Input[[#This Row],[Rider ID]]="","",IFERROR(INDEX(Adj_Input[Note / Reason],MATCH(Rider_Input[[#This Row],[Rider ID]],Adj_Input[Rider ID],0))&amp;"",""))</f>
        <v/>
      </c>
    </row>
    <row r="315" customFormat="false" ht="14.25" hidden="false" customHeight="false" outlineLevel="0" collapsed="false">
      <c r="A315" s="152" t="str">
        <f aca="false">IF(Rider_Input[[#This Row],[Rider ID]]="","",Salary_Month)</f>
        <v/>
      </c>
      <c r="B315" s="153" t="str">
        <f aca="false">IFERROR(IF(INDEX(FTR_Data,ROW()-ROW(Rider_Input[#Headers]),c_FTR_ID)="","",INDEX(FTR_Data,ROW()-ROW(Rider_Input[#Headers]),c_FTR_ID)),"")</f>
        <v/>
      </c>
      <c r="C31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1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15" s="153" t="str">
        <f aca="false">IF(Rider_Input[[#This Row],[Rider ID]]="","",DAY(EOMONTH(Salary_Month,0)))</f>
        <v/>
      </c>
      <c r="F315" s="153" t="str">
        <f aca="false">IF(Rider_Input[[#This Row],[Rider ID]]="","",IFERROR(IF(INDEX(FTR_Data,ROW()-ROW(Rider_Input[#Headers]),c_FTR_WD)="","",INDEX(FTR_Data,ROW()-ROW(Rider_Input[#Headers]),c_FTR_WD)),""))</f>
        <v/>
      </c>
      <c r="G315" s="153" t="str">
        <f aca="false">IF(Rider_Input[[#This Row],[Rider ID]]="","",IFERROR(IF(INDEX(FTR_Data,ROW()-ROW(Rider_Input[#Headers]),c_FTR_Orders)="","",INDEX(FTR_Data,ROW()-ROW(Rider_Input[#Headers]),c_FTR_Orders)),""))</f>
        <v/>
      </c>
      <c r="H315" s="155" t="str">
        <f aca="false">IF(Rider_Input[[#This Row],[Rider ID]]="","",IFERROR(ABS(INDEX(RLVL_Data,MATCH(Rider_Input[[#This Row],[Rider ID]],INDEX(RLVL_Data,0,c_RLVL_ID),0),c_RLVL_Missed)),0))</f>
        <v/>
      </c>
      <c r="I315" s="155" t="str">
        <f aca="false">IF(Rider_Input[[#This Row],[Rider ID]]="","",IFERROR(ABS(INDEX(RLVL_Data,MATCH(Rider_Input[[#This Row],[Rider ID]],INDEX(RLVL_Data,0,c_RLVL_ID),0),c_RLVL_Bal)),0))</f>
        <v/>
      </c>
      <c r="J315" s="155" t="str">
        <f aca="false">IF(Rider_Input[[#This Row],[Rider ID]]="","",IFERROR(ABS(INDEX(RLVL_Data,MATCH(Rider_Input[[#This Row],[Rider ID]],INDEX(RLVL_Data,0,c_RLVL_ID),0),c_RLVL_Stack)),0))</f>
        <v/>
      </c>
      <c r="K315" s="155" t="str">
        <f aca="false">IF(Rider_Input[[#This Row],[Rider ID]]="","",SUMIFS(Adj_Input[Other Deductions],Adj_Input[Rider ID],Rider_Input[[#This Row],[Rider ID]]))</f>
        <v/>
      </c>
      <c r="L315" s="154" t="str">
        <f aca="false">IF(Rider_Input[[#This Row],[Rider ID]]="","",IFERROR(INDEX(Adj_Input[Note / Reason],MATCH(Rider_Input[[#This Row],[Rider ID]],Adj_Input[Rider ID],0))&amp;"",""))</f>
        <v/>
      </c>
    </row>
    <row r="316" customFormat="false" ht="14.25" hidden="false" customHeight="false" outlineLevel="0" collapsed="false">
      <c r="A316" s="152" t="str">
        <f aca="false">IF(Rider_Input[[#This Row],[Rider ID]]="","",Salary_Month)</f>
        <v/>
      </c>
      <c r="B316" s="153" t="str">
        <f aca="false">IFERROR(IF(INDEX(FTR_Data,ROW()-ROW(Rider_Input[#Headers]),c_FTR_ID)="","",INDEX(FTR_Data,ROW()-ROW(Rider_Input[#Headers]),c_FTR_ID)),"")</f>
        <v/>
      </c>
      <c r="C31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1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16" s="153" t="str">
        <f aca="false">IF(Rider_Input[[#This Row],[Rider ID]]="","",DAY(EOMONTH(Salary_Month,0)))</f>
        <v/>
      </c>
      <c r="F316" s="153" t="str">
        <f aca="false">IF(Rider_Input[[#This Row],[Rider ID]]="","",IFERROR(IF(INDEX(FTR_Data,ROW()-ROW(Rider_Input[#Headers]),c_FTR_WD)="","",INDEX(FTR_Data,ROW()-ROW(Rider_Input[#Headers]),c_FTR_WD)),""))</f>
        <v/>
      </c>
      <c r="G316" s="153" t="str">
        <f aca="false">IF(Rider_Input[[#This Row],[Rider ID]]="","",IFERROR(IF(INDEX(FTR_Data,ROW()-ROW(Rider_Input[#Headers]),c_FTR_Orders)="","",INDEX(FTR_Data,ROW()-ROW(Rider_Input[#Headers]),c_FTR_Orders)),""))</f>
        <v/>
      </c>
      <c r="H316" s="155" t="str">
        <f aca="false">IF(Rider_Input[[#This Row],[Rider ID]]="","",IFERROR(ABS(INDEX(RLVL_Data,MATCH(Rider_Input[[#This Row],[Rider ID]],INDEX(RLVL_Data,0,c_RLVL_ID),0),c_RLVL_Missed)),0))</f>
        <v/>
      </c>
      <c r="I316" s="155" t="str">
        <f aca="false">IF(Rider_Input[[#This Row],[Rider ID]]="","",IFERROR(ABS(INDEX(RLVL_Data,MATCH(Rider_Input[[#This Row],[Rider ID]],INDEX(RLVL_Data,0,c_RLVL_ID),0),c_RLVL_Bal)),0))</f>
        <v/>
      </c>
      <c r="J316" s="155" t="str">
        <f aca="false">IF(Rider_Input[[#This Row],[Rider ID]]="","",IFERROR(ABS(INDEX(RLVL_Data,MATCH(Rider_Input[[#This Row],[Rider ID]],INDEX(RLVL_Data,0,c_RLVL_ID),0),c_RLVL_Stack)),0))</f>
        <v/>
      </c>
      <c r="K316" s="155" t="str">
        <f aca="false">IF(Rider_Input[[#This Row],[Rider ID]]="","",SUMIFS(Adj_Input[Other Deductions],Adj_Input[Rider ID],Rider_Input[[#This Row],[Rider ID]]))</f>
        <v/>
      </c>
      <c r="L316" s="154" t="str">
        <f aca="false">IF(Rider_Input[[#This Row],[Rider ID]]="","",IFERROR(INDEX(Adj_Input[Note / Reason],MATCH(Rider_Input[[#This Row],[Rider ID]],Adj_Input[Rider ID],0))&amp;"",""))</f>
        <v/>
      </c>
    </row>
    <row r="317" customFormat="false" ht="14.25" hidden="false" customHeight="false" outlineLevel="0" collapsed="false">
      <c r="A317" s="152" t="str">
        <f aca="false">IF(Rider_Input[[#This Row],[Rider ID]]="","",Salary_Month)</f>
        <v/>
      </c>
      <c r="B317" s="153" t="str">
        <f aca="false">IFERROR(IF(INDEX(FTR_Data,ROW()-ROW(Rider_Input[#Headers]),c_FTR_ID)="","",INDEX(FTR_Data,ROW()-ROW(Rider_Input[#Headers]),c_FTR_ID)),"")</f>
        <v/>
      </c>
      <c r="C31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1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17" s="153" t="str">
        <f aca="false">IF(Rider_Input[[#This Row],[Rider ID]]="","",DAY(EOMONTH(Salary_Month,0)))</f>
        <v/>
      </c>
      <c r="F317" s="153" t="str">
        <f aca="false">IF(Rider_Input[[#This Row],[Rider ID]]="","",IFERROR(IF(INDEX(FTR_Data,ROW()-ROW(Rider_Input[#Headers]),c_FTR_WD)="","",INDEX(FTR_Data,ROW()-ROW(Rider_Input[#Headers]),c_FTR_WD)),""))</f>
        <v/>
      </c>
      <c r="G317" s="153" t="str">
        <f aca="false">IF(Rider_Input[[#This Row],[Rider ID]]="","",IFERROR(IF(INDEX(FTR_Data,ROW()-ROW(Rider_Input[#Headers]),c_FTR_Orders)="","",INDEX(FTR_Data,ROW()-ROW(Rider_Input[#Headers]),c_FTR_Orders)),""))</f>
        <v/>
      </c>
      <c r="H317" s="155" t="str">
        <f aca="false">IF(Rider_Input[[#This Row],[Rider ID]]="","",IFERROR(ABS(INDEX(RLVL_Data,MATCH(Rider_Input[[#This Row],[Rider ID]],INDEX(RLVL_Data,0,c_RLVL_ID),0),c_RLVL_Missed)),0))</f>
        <v/>
      </c>
      <c r="I317" s="155" t="str">
        <f aca="false">IF(Rider_Input[[#This Row],[Rider ID]]="","",IFERROR(ABS(INDEX(RLVL_Data,MATCH(Rider_Input[[#This Row],[Rider ID]],INDEX(RLVL_Data,0,c_RLVL_ID),0),c_RLVL_Bal)),0))</f>
        <v/>
      </c>
      <c r="J317" s="155" t="str">
        <f aca="false">IF(Rider_Input[[#This Row],[Rider ID]]="","",IFERROR(ABS(INDEX(RLVL_Data,MATCH(Rider_Input[[#This Row],[Rider ID]],INDEX(RLVL_Data,0,c_RLVL_ID),0),c_RLVL_Stack)),0))</f>
        <v/>
      </c>
      <c r="K317" s="155" t="str">
        <f aca="false">IF(Rider_Input[[#This Row],[Rider ID]]="","",SUMIFS(Adj_Input[Other Deductions],Adj_Input[Rider ID],Rider_Input[[#This Row],[Rider ID]]))</f>
        <v/>
      </c>
      <c r="L317" s="154" t="str">
        <f aca="false">IF(Rider_Input[[#This Row],[Rider ID]]="","",IFERROR(INDEX(Adj_Input[Note / Reason],MATCH(Rider_Input[[#This Row],[Rider ID]],Adj_Input[Rider ID],0))&amp;"",""))</f>
        <v/>
      </c>
    </row>
    <row r="318" customFormat="false" ht="14.25" hidden="false" customHeight="false" outlineLevel="0" collapsed="false">
      <c r="A318" s="152" t="str">
        <f aca="false">IF(Rider_Input[[#This Row],[Rider ID]]="","",Salary_Month)</f>
        <v/>
      </c>
      <c r="B318" s="153" t="str">
        <f aca="false">IFERROR(IF(INDEX(FTR_Data,ROW()-ROW(Rider_Input[#Headers]),c_FTR_ID)="","",INDEX(FTR_Data,ROW()-ROW(Rider_Input[#Headers]),c_FTR_ID)),"")</f>
        <v/>
      </c>
      <c r="C31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1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18" s="153" t="str">
        <f aca="false">IF(Rider_Input[[#This Row],[Rider ID]]="","",DAY(EOMONTH(Salary_Month,0)))</f>
        <v/>
      </c>
      <c r="F318" s="153" t="str">
        <f aca="false">IF(Rider_Input[[#This Row],[Rider ID]]="","",IFERROR(IF(INDEX(FTR_Data,ROW()-ROW(Rider_Input[#Headers]),c_FTR_WD)="","",INDEX(FTR_Data,ROW()-ROW(Rider_Input[#Headers]),c_FTR_WD)),""))</f>
        <v/>
      </c>
      <c r="G318" s="153" t="str">
        <f aca="false">IF(Rider_Input[[#This Row],[Rider ID]]="","",IFERROR(IF(INDEX(FTR_Data,ROW()-ROW(Rider_Input[#Headers]),c_FTR_Orders)="","",INDEX(FTR_Data,ROW()-ROW(Rider_Input[#Headers]),c_FTR_Orders)),""))</f>
        <v/>
      </c>
      <c r="H318" s="155" t="str">
        <f aca="false">IF(Rider_Input[[#This Row],[Rider ID]]="","",IFERROR(ABS(INDEX(RLVL_Data,MATCH(Rider_Input[[#This Row],[Rider ID]],INDEX(RLVL_Data,0,c_RLVL_ID),0),c_RLVL_Missed)),0))</f>
        <v/>
      </c>
      <c r="I318" s="155" t="str">
        <f aca="false">IF(Rider_Input[[#This Row],[Rider ID]]="","",IFERROR(ABS(INDEX(RLVL_Data,MATCH(Rider_Input[[#This Row],[Rider ID]],INDEX(RLVL_Data,0,c_RLVL_ID),0),c_RLVL_Bal)),0))</f>
        <v/>
      </c>
      <c r="J318" s="155" t="str">
        <f aca="false">IF(Rider_Input[[#This Row],[Rider ID]]="","",IFERROR(ABS(INDEX(RLVL_Data,MATCH(Rider_Input[[#This Row],[Rider ID]],INDEX(RLVL_Data,0,c_RLVL_ID),0),c_RLVL_Stack)),0))</f>
        <v/>
      </c>
      <c r="K318" s="155" t="str">
        <f aca="false">IF(Rider_Input[[#This Row],[Rider ID]]="","",SUMIFS(Adj_Input[Other Deductions],Adj_Input[Rider ID],Rider_Input[[#This Row],[Rider ID]]))</f>
        <v/>
      </c>
      <c r="L318" s="154" t="str">
        <f aca="false">IF(Rider_Input[[#This Row],[Rider ID]]="","",IFERROR(INDEX(Adj_Input[Note / Reason],MATCH(Rider_Input[[#This Row],[Rider ID]],Adj_Input[Rider ID],0))&amp;"",""))</f>
        <v/>
      </c>
    </row>
    <row r="319" customFormat="false" ht="14.25" hidden="false" customHeight="false" outlineLevel="0" collapsed="false">
      <c r="A319" s="152" t="str">
        <f aca="false">IF(Rider_Input[[#This Row],[Rider ID]]="","",Salary_Month)</f>
        <v/>
      </c>
      <c r="B319" s="153" t="str">
        <f aca="false">IFERROR(IF(INDEX(FTR_Data,ROW()-ROW(Rider_Input[#Headers]),c_FTR_ID)="","",INDEX(FTR_Data,ROW()-ROW(Rider_Input[#Headers]),c_FTR_ID)),"")</f>
        <v/>
      </c>
      <c r="C31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1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19" s="153" t="str">
        <f aca="false">IF(Rider_Input[[#This Row],[Rider ID]]="","",DAY(EOMONTH(Salary_Month,0)))</f>
        <v/>
      </c>
      <c r="F319" s="153" t="str">
        <f aca="false">IF(Rider_Input[[#This Row],[Rider ID]]="","",IFERROR(IF(INDEX(FTR_Data,ROW()-ROW(Rider_Input[#Headers]),c_FTR_WD)="","",INDEX(FTR_Data,ROW()-ROW(Rider_Input[#Headers]),c_FTR_WD)),""))</f>
        <v/>
      </c>
      <c r="G319" s="153" t="str">
        <f aca="false">IF(Rider_Input[[#This Row],[Rider ID]]="","",IFERROR(IF(INDEX(FTR_Data,ROW()-ROW(Rider_Input[#Headers]),c_FTR_Orders)="","",INDEX(FTR_Data,ROW()-ROW(Rider_Input[#Headers]),c_FTR_Orders)),""))</f>
        <v/>
      </c>
      <c r="H319" s="155" t="str">
        <f aca="false">IF(Rider_Input[[#This Row],[Rider ID]]="","",IFERROR(ABS(INDEX(RLVL_Data,MATCH(Rider_Input[[#This Row],[Rider ID]],INDEX(RLVL_Data,0,c_RLVL_ID),0),c_RLVL_Missed)),0))</f>
        <v/>
      </c>
      <c r="I319" s="155" t="str">
        <f aca="false">IF(Rider_Input[[#This Row],[Rider ID]]="","",IFERROR(ABS(INDEX(RLVL_Data,MATCH(Rider_Input[[#This Row],[Rider ID]],INDEX(RLVL_Data,0,c_RLVL_ID),0),c_RLVL_Bal)),0))</f>
        <v/>
      </c>
      <c r="J319" s="155" t="str">
        <f aca="false">IF(Rider_Input[[#This Row],[Rider ID]]="","",IFERROR(ABS(INDEX(RLVL_Data,MATCH(Rider_Input[[#This Row],[Rider ID]],INDEX(RLVL_Data,0,c_RLVL_ID),0),c_RLVL_Stack)),0))</f>
        <v/>
      </c>
      <c r="K319" s="155" t="str">
        <f aca="false">IF(Rider_Input[[#This Row],[Rider ID]]="","",SUMIFS(Adj_Input[Other Deductions],Adj_Input[Rider ID],Rider_Input[[#This Row],[Rider ID]]))</f>
        <v/>
      </c>
      <c r="L319" s="154" t="str">
        <f aca="false">IF(Rider_Input[[#This Row],[Rider ID]]="","",IFERROR(INDEX(Adj_Input[Note / Reason],MATCH(Rider_Input[[#This Row],[Rider ID]],Adj_Input[Rider ID],0))&amp;"",""))</f>
        <v/>
      </c>
    </row>
    <row r="320" customFormat="false" ht="14.25" hidden="false" customHeight="false" outlineLevel="0" collapsed="false">
      <c r="A320" s="152" t="str">
        <f aca="false">IF(Rider_Input[[#This Row],[Rider ID]]="","",Salary_Month)</f>
        <v/>
      </c>
      <c r="B320" s="153" t="str">
        <f aca="false">IFERROR(IF(INDEX(FTR_Data,ROW()-ROW(Rider_Input[#Headers]),c_FTR_ID)="","",INDEX(FTR_Data,ROW()-ROW(Rider_Input[#Headers]),c_FTR_ID)),"")</f>
        <v/>
      </c>
      <c r="C32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2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20" s="153" t="str">
        <f aca="false">IF(Rider_Input[[#This Row],[Rider ID]]="","",DAY(EOMONTH(Salary_Month,0)))</f>
        <v/>
      </c>
      <c r="F320" s="153" t="str">
        <f aca="false">IF(Rider_Input[[#This Row],[Rider ID]]="","",IFERROR(IF(INDEX(FTR_Data,ROW()-ROW(Rider_Input[#Headers]),c_FTR_WD)="","",INDEX(FTR_Data,ROW()-ROW(Rider_Input[#Headers]),c_FTR_WD)),""))</f>
        <v/>
      </c>
      <c r="G320" s="153" t="str">
        <f aca="false">IF(Rider_Input[[#This Row],[Rider ID]]="","",IFERROR(IF(INDEX(FTR_Data,ROW()-ROW(Rider_Input[#Headers]),c_FTR_Orders)="","",INDEX(FTR_Data,ROW()-ROW(Rider_Input[#Headers]),c_FTR_Orders)),""))</f>
        <v/>
      </c>
      <c r="H320" s="155" t="str">
        <f aca="false">IF(Rider_Input[[#This Row],[Rider ID]]="","",IFERROR(ABS(INDEX(RLVL_Data,MATCH(Rider_Input[[#This Row],[Rider ID]],INDEX(RLVL_Data,0,c_RLVL_ID),0),c_RLVL_Missed)),0))</f>
        <v/>
      </c>
      <c r="I320" s="155" t="str">
        <f aca="false">IF(Rider_Input[[#This Row],[Rider ID]]="","",IFERROR(ABS(INDEX(RLVL_Data,MATCH(Rider_Input[[#This Row],[Rider ID]],INDEX(RLVL_Data,0,c_RLVL_ID),0),c_RLVL_Bal)),0))</f>
        <v/>
      </c>
      <c r="J320" s="155" t="str">
        <f aca="false">IF(Rider_Input[[#This Row],[Rider ID]]="","",IFERROR(ABS(INDEX(RLVL_Data,MATCH(Rider_Input[[#This Row],[Rider ID]],INDEX(RLVL_Data,0,c_RLVL_ID),0),c_RLVL_Stack)),0))</f>
        <v/>
      </c>
      <c r="K320" s="155" t="str">
        <f aca="false">IF(Rider_Input[[#This Row],[Rider ID]]="","",SUMIFS(Adj_Input[Other Deductions],Adj_Input[Rider ID],Rider_Input[[#This Row],[Rider ID]]))</f>
        <v/>
      </c>
      <c r="L320" s="154" t="str">
        <f aca="false">IF(Rider_Input[[#This Row],[Rider ID]]="","",IFERROR(INDEX(Adj_Input[Note / Reason],MATCH(Rider_Input[[#This Row],[Rider ID]],Adj_Input[Rider ID],0))&amp;"",""))</f>
        <v/>
      </c>
    </row>
    <row r="321" customFormat="false" ht="14.25" hidden="false" customHeight="false" outlineLevel="0" collapsed="false">
      <c r="A321" s="152" t="str">
        <f aca="false">IF(Rider_Input[[#This Row],[Rider ID]]="","",Salary_Month)</f>
        <v/>
      </c>
      <c r="B321" s="153" t="str">
        <f aca="false">IFERROR(IF(INDEX(FTR_Data,ROW()-ROW(Rider_Input[#Headers]),c_FTR_ID)="","",INDEX(FTR_Data,ROW()-ROW(Rider_Input[#Headers]),c_FTR_ID)),"")</f>
        <v/>
      </c>
      <c r="C32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2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21" s="153" t="str">
        <f aca="false">IF(Rider_Input[[#This Row],[Rider ID]]="","",DAY(EOMONTH(Salary_Month,0)))</f>
        <v/>
      </c>
      <c r="F321" s="153" t="str">
        <f aca="false">IF(Rider_Input[[#This Row],[Rider ID]]="","",IFERROR(IF(INDEX(FTR_Data,ROW()-ROW(Rider_Input[#Headers]),c_FTR_WD)="","",INDEX(FTR_Data,ROW()-ROW(Rider_Input[#Headers]),c_FTR_WD)),""))</f>
        <v/>
      </c>
      <c r="G321" s="153" t="str">
        <f aca="false">IF(Rider_Input[[#This Row],[Rider ID]]="","",IFERROR(IF(INDEX(FTR_Data,ROW()-ROW(Rider_Input[#Headers]),c_FTR_Orders)="","",INDEX(FTR_Data,ROW()-ROW(Rider_Input[#Headers]),c_FTR_Orders)),""))</f>
        <v/>
      </c>
      <c r="H321" s="155" t="str">
        <f aca="false">IF(Rider_Input[[#This Row],[Rider ID]]="","",IFERROR(ABS(INDEX(RLVL_Data,MATCH(Rider_Input[[#This Row],[Rider ID]],INDEX(RLVL_Data,0,c_RLVL_ID),0),c_RLVL_Missed)),0))</f>
        <v/>
      </c>
      <c r="I321" s="155" t="str">
        <f aca="false">IF(Rider_Input[[#This Row],[Rider ID]]="","",IFERROR(ABS(INDEX(RLVL_Data,MATCH(Rider_Input[[#This Row],[Rider ID]],INDEX(RLVL_Data,0,c_RLVL_ID),0),c_RLVL_Bal)),0))</f>
        <v/>
      </c>
      <c r="J321" s="155" t="str">
        <f aca="false">IF(Rider_Input[[#This Row],[Rider ID]]="","",IFERROR(ABS(INDEX(RLVL_Data,MATCH(Rider_Input[[#This Row],[Rider ID]],INDEX(RLVL_Data,0,c_RLVL_ID),0),c_RLVL_Stack)),0))</f>
        <v/>
      </c>
      <c r="K321" s="155" t="str">
        <f aca="false">IF(Rider_Input[[#This Row],[Rider ID]]="","",SUMIFS(Adj_Input[Other Deductions],Adj_Input[Rider ID],Rider_Input[[#This Row],[Rider ID]]))</f>
        <v/>
      </c>
      <c r="L321" s="154" t="str">
        <f aca="false">IF(Rider_Input[[#This Row],[Rider ID]]="","",IFERROR(INDEX(Adj_Input[Note / Reason],MATCH(Rider_Input[[#This Row],[Rider ID]],Adj_Input[Rider ID],0))&amp;"",""))</f>
        <v/>
      </c>
    </row>
    <row r="322" customFormat="false" ht="14.25" hidden="false" customHeight="false" outlineLevel="0" collapsed="false">
      <c r="A322" s="152" t="str">
        <f aca="false">IF(Rider_Input[[#This Row],[Rider ID]]="","",Salary_Month)</f>
        <v/>
      </c>
      <c r="B322" s="153" t="str">
        <f aca="false">IFERROR(IF(INDEX(FTR_Data,ROW()-ROW(Rider_Input[#Headers]),c_FTR_ID)="","",INDEX(FTR_Data,ROW()-ROW(Rider_Input[#Headers]),c_FTR_ID)),"")</f>
        <v/>
      </c>
      <c r="C32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2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22" s="153" t="str">
        <f aca="false">IF(Rider_Input[[#This Row],[Rider ID]]="","",DAY(EOMONTH(Salary_Month,0)))</f>
        <v/>
      </c>
      <c r="F322" s="153" t="str">
        <f aca="false">IF(Rider_Input[[#This Row],[Rider ID]]="","",IFERROR(IF(INDEX(FTR_Data,ROW()-ROW(Rider_Input[#Headers]),c_FTR_WD)="","",INDEX(FTR_Data,ROW()-ROW(Rider_Input[#Headers]),c_FTR_WD)),""))</f>
        <v/>
      </c>
      <c r="G322" s="153" t="str">
        <f aca="false">IF(Rider_Input[[#This Row],[Rider ID]]="","",IFERROR(IF(INDEX(FTR_Data,ROW()-ROW(Rider_Input[#Headers]),c_FTR_Orders)="","",INDEX(FTR_Data,ROW()-ROW(Rider_Input[#Headers]),c_FTR_Orders)),""))</f>
        <v/>
      </c>
      <c r="H322" s="155" t="str">
        <f aca="false">IF(Rider_Input[[#This Row],[Rider ID]]="","",IFERROR(ABS(INDEX(RLVL_Data,MATCH(Rider_Input[[#This Row],[Rider ID]],INDEX(RLVL_Data,0,c_RLVL_ID),0),c_RLVL_Missed)),0))</f>
        <v/>
      </c>
      <c r="I322" s="155" t="str">
        <f aca="false">IF(Rider_Input[[#This Row],[Rider ID]]="","",IFERROR(ABS(INDEX(RLVL_Data,MATCH(Rider_Input[[#This Row],[Rider ID]],INDEX(RLVL_Data,0,c_RLVL_ID),0),c_RLVL_Bal)),0))</f>
        <v/>
      </c>
      <c r="J322" s="155" t="str">
        <f aca="false">IF(Rider_Input[[#This Row],[Rider ID]]="","",IFERROR(ABS(INDEX(RLVL_Data,MATCH(Rider_Input[[#This Row],[Rider ID]],INDEX(RLVL_Data,0,c_RLVL_ID),0),c_RLVL_Stack)),0))</f>
        <v/>
      </c>
      <c r="K322" s="155" t="str">
        <f aca="false">IF(Rider_Input[[#This Row],[Rider ID]]="","",SUMIFS(Adj_Input[Other Deductions],Adj_Input[Rider ID],Rider_Input[[#This Row],[Rider ID]]))</f>
        <v/>
      </c>
      <c r="L322" s="154" t="str">
        <f aca="false">IF(Rider_Input[[#This Row],[Rider ID]]="","",IFERROR(INDEX(Adj_Input[Note / Reason],MATCH(Rider_Input[[#This Row],[Rider ID]],Adj_Input[Rider ID],0))&amp;"",""))</f>
        <v/>
      </c>
    </row>
    <row r="323" customFormat="false" ht="14.25" hidden="false" customHeight="false" outlineLevel="0" collapsed="false">
      <c r="A323" s="152" t="str">
        <f aca="false">IF(Rider_Input[[#This Row],[Rider ID]]="","",Salary_Month)</f>
        <v/>
      </c>
      <c r="B323" s="153" t="str">
        <f aca="false">IFERROR(IF(INDEX(FTR_Data,ROW()-ROW(Rider_Input[#Headers]),c_FTR_ID)="","",INDEX(FTR_Data,ROW()-ROW(Rider_Input[#Headers]),c_FTR_ID)),"")</f>
        <v/>
      </c>
      <c r="C32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2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23" s="153" t="str">
        <f aca="false">IF(Rider_Input[[#This Row],[Rider ID]]="","",DAY(EOMONTH(Salary_Month,0)))</f>
        <v/>
      </c>
      <c r="F323" s="153" t="str">
        <f aca="false">IF(Rider_Input[[#This Row],[Rider ID]]="","",IFERROR(IF(INDEX(FTR_Data,ROW()-ROW(Rider_Input[#Headers]),c_FTR_WD)="","",INDEX(FTR_Data,ROW()-ROW(Rider_Input[#Headers]),c_FTR_WD)),""))</f>
        <v/>
      </c>
      <c r="G323" s="153" t="str">
        <f aca="false">IF(Rider_Input[[#This Row],[Rider ID]]="","",IFERROR(IF(INDEX(FTR_Data,ROW()-ROW(Rider_Input[#Headers]),c_FTR_Orders)="","",INDEX(FTR_Data,ROW()-ROW(Rider_Input[#Headers]),c_FTR_Orders)),""))</f>
        <v/>
      </c>
      <c r="H323" s="155" t="str">
        <f aca="false">IF(Rider_Input[[#This Row],[Rider ID]]="","",IFERROR(ABS(INDEX(RLVL_Data,MATCH(Rider_Input[[#This Row],[Rider ID]],INDEX(RLVL_Data,0,c_RLVL_ID),0),c_RLVL_Missed)),0))</f>
        <v/>
      </c>
      <c r="I323" s="155" t="str">
        <f aca="false">IF(Rider_Input[[#This Row],[Rider ID]]="","",IFERROR(ABS(INDEX(RLVL_Data,MATCH(Rider_Input[[#This Row],[Rider ID]],INDEX(RLVL_Data,0,c_RLVL_ID),0),c_RLVL_Bal)),0))</f>
        <v/>
      </c>
      <c r="J323" s="155" t="str">
        <f aca="false">IF(Rider_Input[[#This Row],[Rider ID]]="","",IFERROR(ABS(INDEX(RLVL_Data,MATCH(Rider_Input[[#This Row],[Rider ID]],INDEX(RLVL_Data,0,c_RLVL_ID),0),c_RLVL_Stack)),0))</f>
        <v/>
      </c>
      <c r="K323" s="155" t="str">
        <f aca="false">IF(Rider_Input[[#This Row],[Rider ID]]="","",SUMIFS(Adj_Input[Other Deductions],Adj_Input[Rider ID],Rider_Input[[#This Row],[Rider ID]]))</f>
        <v/>
      </c>
      <c r="L323" s="154" t="str">
        <f aca="false">IF(Rider_Input[[#This Row],[Rider ID]]="","",IFERROR(INDEX(Adj_Input[Note / Reason],MATCH(Rider_Input[[#This Row],[Rider ID]],Adj_Input[Rider ID],0))&amp;"",""))</f>
        <v/>
      </c>
    </row>
    <row r="324" customFormat="false" ht="14.25" hidden="false" customHeight="false" outlineLevel="0" collapsed="false">
      <c r="A324" s="152" t="str">
        <f aca="false">IF(Rider_Input[[#This Row],[Rider ID]]="","",Salary_Month)</f>
        <v/>
      </c>
      <c r="B324" s="153" t="str">
        <f aca="false">IFERROR(IF(INDEX(FTR_Data,ROW()-ROW(Rider_Input[#Headers]),c_FTR_ID)="","",INDEX(FTR_Data,ROW()-ROW(Rider_Input[#Headers]),c_FTR_ID)),"")</f>
        <v/>
      </c>
      <c r="C32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2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24" s="153" t="str">
        <f aca="false">IF(Rider_Input[[#This Row],[Rider ID]]="","",DAY(EOMONTH(Salary_Month,0)))</f>
        <v/>
      </c>
      <c r="F324" s="153" t="str">
        <f aca="false">IF(Rider_Input[[#This Row],[Rider ID]]="","",IFERROR(IF(INDEX(FTR_Data,ROW()-ROW(Rider_Input[#Headers]),c_FTR_WD)="","",INDEX(FTR_Data,ROW()-ROW(Rider_Input[#Headers]),c_FTR_WD)),""))</f>
        <v/>
      </c>
      <c r="G324" s="153" t="str">
        <f aca="false">IF(Rider_Input[[#This Row],[Rider ID]]="","",IFERROR(IF(INDEX(FTR_Data,ROW()-ROW(Rider_Input[#Headers]),c_FTR_Orders)="","",INDEX(FTR_Data,ROW()-ROW(Rider_Input[#Headers]),c_FTR_Orders)),""))</f>
        <v/>
      </c>
      <c r="H324" s="155" t="str">
        <f aca="false">IF(Rider_Input[[#This Row],[Rider ID]]="","",IFERROR(ABS(INDEX(RLVL_Data,MATCH(Rider_Input[[#This Row],[Rider ID]],INDEX(RLVL_Data,0,c_RLVL_ID),0),c_RLVL_Missed)),0))</f>
        <v/>
      </c>
      <c r="I324" s="155" t="str">
        <f aca="false">IF(Rider_Input[[#This Row],[Rider ID]]="","",IFERROR(ABS(INDEX(RLVL_Data,MATCH(Rider_Input[[#This Row],[Rider ID]],INDEX(RLVL_Data,0,c_RLVL_ID),0),c_RLVL_Bal)),0))</f>
        <v/>
      </c>
      <c r="J324" s="155" t="str">
        <f aca="false">IF(Rider_Input[[#This Row],[Rider ID]]="","",IFERROR(ABS(INDEX(RLVL_Data,MATCH(Rider_Input[[#This Row],[Rider ID]],INDEX(RLVL_Data,0,c_RLVL_ID),0),c_RLVL_Stack)),0))</f>
        <v/>
      </c>
      <c r="K324" s="155" t="str">
        <f aca="false">IF(Rider_Input[[#This Row],[Rider ID]]="","",SUMIFS(Adj_Input[Other Deductions],Adj_Input[Rider ID],Rider_Input[[#This Row],[Rider ID]]))</f>
        <v/>
      </c>
      <c r="L324" s="154" t="str">
        <f aca="false">IF(Rider_Input[[#This Row],[Rider ID]]="","",IFERROR(INDEX(Adj_Input[Note / Reason],MATCH(Rider_Input[[#This Row],[Rider ID]],Adj_Input[Rider ID],0))&amp;"",""))</f>
        <v/>
      </c>
    </row>
    <row r="325" customFormat="false" ht="14.25" hidden="false" customHeight="false" outlineLevel="0" collapsed="false">
      <c r="A325" s="152" t="str">
        <f aca="false">IF(Rider_Input[[#This Row],[Rider ID]]="","",Salary_Month)</f>
        <v/>
      </c>
      <c r="B325" s="153" t="str">
        <f aca="false">IFERROR(IF(INDEX(FTR_Data,ROW()-ROW(Rider_Input[#Headers]),c_FTR_ID)="","",INDEX(FTR_Data,ROW()-ROW(Rider_Input[#Headers]),c_FTR_ID)),"")</f>
        <v/>
      </c>
      <c r="C32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2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25" s="153" t="str">
        <f aca="false">IF(Rider_Input[[#This Row],[Rider ID]]="","",DAY(EOMONTH(Salary_Month,0)))</f>
        <v/>
      </c>
      <c r="F325" s="153" t="str">
        <f aca="false">IF(Rider_Input[[#This Row],[Rider ID]]="","",IFERROR(IF(INDEX(FTR_Data,ROW()-ROW(Rider_Input[#Headers]),c_FTR_WD)="","",INDEX(FTR_Data,ROW()-ROW(Rider_Input[#Headers]),c_FTR_WD)),""))</f>
        <v/>
      </c>
      <c r="G325" s="153" t="str">
        <f aca="false">IF(Rider_Input[[#This Row],[Rider ID]]="","",IFERROR(IF(INDEX(FTR_Data,ROW()-ROW(Rider_Input[#Headers]),c_FTR_Orders)="","",INDEX(FTR_Data,ROW()-ROW(Rider_Input[#Headers]),c_FTR_Orders)),""))</f>
        <v/>
      </c>
      <c r="H325" s="155" t="str">
        <f aca="false">IF(Rider_Input[[#This Row],[Rider ID]]="","",IFERROR(ABS(INDEX(RLVL_Data,MATCH(Rider_Input[[#This Row],[Rider ID]],INDEX(RLVL_Data,0,c_RLVL_ID),0),c_RLVL_Missed)),0))</f>
        <v/>
      </c>
      <c r="I325" s="155" t="str">
        <f aca="false">IF(Rider_Input[[#This Row],[Rider ID]]="","",IFERROR(ABS(INDEX(RLVL_Data,MATCH(Rider_Input[[#This Row],[Rider ID]],INDEX(RLVL_Data,0,c_RLVL_ID),0),c_RLVL_Bal)),0))</f>
        <v/>
      </c>
      <c r="J325" s="155" t="str">
        <f aca="false">IF(Rider_Input[[#This Row],[Rider ID]]="","",IFERROR(ABS(INDEX(RLVL_Data,MATCH(Rider_Input[[#This Row],[Rider ID]],INDEX(RLVL_Data,0,c_RLVL_ID),0),c_RLVL_Stack)),0))</f>
        <v/>
      </c>
      <c r="K325" s="155" t="str">
        <f aca="false">IF(Rider_Input[[#This Row],[Rider ID]]="","",SUMIFS(Adj_Input[Other Deductions],Adj_Input[Rider ID],Rider_Input[[#This Row],[Rider ID]]))</f>
        <v/>
      </c>
      <c r="L325" s="154" t="str">
        <f aca="false">IF(Rider_Input[[#This Row],[Rider ID]]="","",IFERROR(INDEX(Adj_Input[Note / Reason],MATCH(Rider_Input[[#This Row],[Rider ID]],Adj_Input[Rider ID],0))&amp;"",""))</f>
        <v/>
      </c>
    </row>
    <row r="326" customFormat="false" ht="14.25" hidden="false" customHeight="false" outlineLevel="0" collapsed="false">
      <c r="A326" s="152" t="str">
        <f aca="false">IF(Rider_Input[[#This Row],[Rider ID]]="","",Salary_Month)</f>
        <v/>
      </c>
      <c r="B326" s="153" t="str">
        <f aca="false">IFERROR(IF(INDEX(FTR_Data,ROW()-ROW(Rider_Input[#Headers]),c_FTR_ID)="","",INDEX(FTR_Data,ROW()-ROW(Rider_Input[#Headers]),c_FTR_ID)),"")</f>
        <v/>
      </c>
      <c r="C32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2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26" s="153" t="str">
        <f aca="false">IF(Rider_Input[[#This Row],[Rider ID]]="","",DAY(EOMONTH(Salary_Month,0)))</f>
        <v/>
      </c>
      <c r="F326" s="153" t="str">
        <f aca="false">IF(Rider_Input[[#This Row],[Rider ID]]="","",IFERROR(IF(INDEX(FTR_Data,ROW()-ROW(Rider_Input[#Headers]),c_FTR_WD)="","",INDEX(FTR_Data,ROW()-ROW(Rider_Input[#Headers]),c_FTR_WD)),""))</f>
        <v/>
      </c>
      <c r="G326" s="153" t="str">
        <f aca="false">IF(Rider_Input[[#This Row],[Rider ID]]="","",IFERROR(IF(INDEX(FTR_Data,ROW()-ROW(Rider_Input[#Headers]),c_FTR_Orders)="","",INDEX(FTR_Data,ROW()-ROW(Rider_Input[#Headers]),c_FTR_Orders)),""))</f>
        <v/>
      </c>
      <c r="H326" s="155" t="str">
        <f aca="false">IF(Rider_Input[[#This Row],[Rider ID]]="","",IFERROR(ABS(INDEX(RLVL_Data,MATCH(Rider_Input[[#This Row],[Rider ID]],INDEX(RLVL_Data,0,c_RLVL_ID),0),c_RLVL_Missed)),0))</f>
        <v/>
      </c>
      <c r="I326" s="155" t="str">
        <f aca="false">IF(Rider_Input[[#This Row],[Rider ID]]="","",IFERROR(ABS(INDEX(RLVL_Data,MATCH(Rider_Input[[#This Row],[Rider ID]],INDEX(RLVL_Data,0,c_RLVL_ID),0),c_RLVL_Bal)),0))</f>
        <v/>
      </c>
      <c r="J326" s="155" t="str">
        <f aca="false">IF(Rider_Input[[#This Row],[Rider ID]]="","",IFERROR(ABS(INDEX(RLVL_Data,MATCH(Rider_Input[[#This Row],[Rider ID]],INDEX(RLVL_Data,0,c_RLVL_ID),0),c_RLVL_Stack)),0))</f>
        <v/>
      </c>
      <c r="K326" s="155" t="str">
        <f aca="false">IF(Rider_Input[[#This Row],[Rider ID]]="","",SUMIFS(Adj_Input[Other Deductions],Adj_Input[Rider ID],Rider_Input[[#This Row],[Rider ID]]))</f>
        <v/>
      </c>
      <c r="L326" s="154" t="str">
        <f aca="false">IF(Rider_Input[[#This Row],[Rider ID]]="","",IFERROR(INDEX(Adj_Input[Note / Reason],MATCH(Rider_Input[[#This Row],[Rider ID]],Adj_Input[Rider ID],0))&amp;"",""))</f>
        <v/>
      </c>
    </row>
    <row r="327" customFormat="false" ht="14.25" hidden="false" customHeight="false" outlineLevel="0" collapsed="false">
      <c r="A327" s="152" t="str">
        <f aca="false">IF(Rider_Input[[#This Row],[Rider ID]]="","",Salary_Month)</f>
        <v/>
      </c>
      <c r="B327" s="153" t="str">
        <f aca="false">IFERROR(IF(INDEX(FTR_Data,ROW()-ROW(Rider_Input[#Headers]),c_FTR_ID)="","",INDEX(FTR_Data,ROW()-ROW(Rider_Input[#Headers]),c_FTR_ID)),"")</f>
        <v/>
      </c>
      <c r="C32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2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27" s="153" t="str">
        <f aca="false">IF(Rider_Input[[#This Row],[Rider ID]]="","",DAY(EOMONTH(Salary_Month,0)))</f>
        <v/>
      </c>
      <c r="F327" s="153" t="str">
        <f aca="false">IF(Rider_Input[[#This Row],[Rider ID]]="","",IFERROR(IF(INDEX(FTR_Data,ROW()-ROW(Rider_Input[#Headers]),c_FTR_WD)="","",INDEX(FTR_Data,ROW()-ROW(Rider_Input[#Headers]),c_FTR_WD)),""))</f>
        <v/>
      </c>
      <c r="G327" s="153" t="str">
        <f aca="false">IF(Rider_Input[[#This Row],[Rider ID]]="","",IFERROR(IF(INDEX(FTR_Data,ROW()-ROW(Rider_Input[#Headers]),c_FTR_Orders)="","",INDEX(FTR_Data,ROW()-ROW(Rider_Input[#Headers]),c_FTR_Orders)),""))</f>
        <v/>
      </c>
      <c r="H327" s="155" t="str">
        <f aca="false">IF(Rider_Input[[#This Row],[Rider ID]]="","",IFERROR(ABS(INDEX(RLVL_Data,MATCH(Rider_Input[[#This Row],[Rider ID]],INDEX(RLVL_Data,0,c_RLVL_ID),0),c_RLVL_Missed)),0))</f>
        <v/>
      </c>
      <c r="I327" s="155" t="str">
        <f aca="false">IF(Rider_Input[[#This Row],[Rider ID]]="","",IFERROR(ABS(INDEX(RLVL_Data,MATCH(Rider_Input[[#This Row],[Rider ID]],INDEX(RLVL_Data,0,c_RLVL_ID),0),c_RLVL_Bal)),0))</f>
        <v/>
      </c>
      <c r="J327" s="155" t="str">
        <f aca="false">IF(Rider_Input[[#This Row],[Rider ID]]="","",IFERROR(ABS(INDEX(RLVL_Data,MATCH(Rider_Input[[#This Row],[Rider ID]],INDEX(RLVL_Data,0,c_RLVL_ID),0),c_RLVL_Stack)),0))</f>
        <v/>
      </c>
      <c r="K327" s="155" t="str">
        <f aca="false">IF(Rider_Input[[#This Row],[Rider ID]]="","",SUMIFS(Adj_Input[Other Deductions],Adj_Input[Rider ID],Rider_Input[[#This Row],[Rider ID]]))</f>
        <v/>
      </c>
      <c r="L327" s="154" t="str">
        <f aca="false">IF(Rider_Input[[#This Row],[Rider ID]]="","",IFERROR(INDEX(Adj_Input[Note / Reason],MATCH(Rider_Input[[#This Row],[Rider ID]],Adj_Input[Rider ID],0))&amp;"",""))</f>
        <v/>
      </c>
    </row>
    <row r="328" customFormat="false" ht="14.25" hidden="false" customHeight="false" outlineLevel="0" collapsed="false">
      <c r="A328" s="152" t="str">
        <f aca="false">IF(Rider_Input[[#This Row],[Rider ID]]="","",Salary_Month)</f>
        <v/>
      </c>
      <c r="B328" s="153" t="str">
        <f aca="false">IFERROR(IF(INDEX(FTR_Data,ROW()-ROW(Rider_Input[#Headers]),c_FTR_ID)="","",INDEX(FTR_Data,ROW()-ROW(Rider_Input[#Headers]),c_FTR_ID)),"")</f>
        <v/>
      </c>
      <c r="C32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2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28" s="153" t="str">
        <f aca="false">IF(Rider_Input[[#This Row],[Rider ID]]="","",DAY(EOMONTH(Salary_Month,0)))</f>
        <v/>
      </c>
      <c r="F328" s="153" t="str">
        <f aca="false">IF(Rider_Input[[#This Row],[Rider ID]]="","",IFERROR(IF(INDEX(FTR_Data,ROW()-ROW(Rider_Input[#Headers]),c_FTR_WD)="","",INDEX(FTR_Data,ROW()-ROW(Rider_Input[#Headers]),c_FTR_WD)),""))</f>
        <v/>
      </c>
      <c r="G328" s="153" t="str">
        <f aca="false">IF(Rider_Input[[#This Row],[Rider ID]]="","",IFERROR(IF(INDEX(FTR_Data,ROW()-ROW(Rider_Input[#Headers]),c_FTR_Orders)="","",INDEX(FTR_Data,ROW()-ROW(Rider_Input[#Headers]),c_FTR_Orders)),""))</f>
        <v/>
      </c>
      <c r="H328" s="155" t="str">
        <f aca="false">IF(Rider_Input[[#This Row],[Rider ID]]="","",IFERROR(ABS(INDEX(RLVL_Data,MATCH(Rider_Input[[#This Row],[Rider ID]],INDEX(RLVL_Data,0,c_RLVL_ID),0),c_RLVL_Missed)),0))</f>
        <v/>
      </c>
      <c r="I328" s="155" t="str">
        <f aca="false">IF(Rider_Input[[#This Row],[Rider ID]]="","",IFERROR(ABS(INDEX(RLVL_Data,MATCH(Rider_Input[[#This Row],[Rider ID]],INDEX(RLVL_Data,0,c_RLVL_ID),0),c_RLVL_Bal)),0))</f>
        <v/>
      </c>
      <c r="J328" s="155" t="str">
        <f aca="false">IF(Rider_Input[[#This Row],[Rider ID]]="","",IFERROR(ABS(INDEX(RLVL_Data,MATCH(Rider_Input[[#This Row],[Rider ID]],INDEX(RLVL_Data,0,c_RLVL_ID),0),c_RLVL_Stack)),0))</f>
        <v/>
      </c>
      <c r="K328" s="155" t="str">
        <f aca="false">IF(Rider_Input[[#This Row],[Rider ID]]="","",SUMIFS(Adj_Input[Other Deductions],Adj_Input[Rider ID],Rider_Input[[#This Row],[Rider ID]]))</f>
        <v/>
      </c>
      <c r="L328" s="154" t="str">
        <f aca="false">IF(Rider_Input[[#This Row],[Rider ID]]="","",IFERROR(INDEX(Adj_Input[Note / Reason],MATCH(Rider_Input[[#This Row],[Rider ID]],Adj_Input[Rider ID],0))&amp;"",""))</f>
        <v/>
      </c>
    </row>
    <row r="329" customFormat="false" ht="14.25" hidden="false" customHeight="false" outlineLevel="0" collapsed="false">
      <c r="A329" s="152" t="str">
        <f aca="false">IF(Rider_Input[[#This Row],[Rider ID]]="","",Salary_Month)</f>
        <v/>
      </c>
      <c r="B329" s="153" t="str">
        <f aca="false">IFERROR(IF(INDEX(FTR_Data,ROW()-ROW(Rider_Input[#Headers]),c_FTR_ID)="","",INDEX(FTR_Data,ROW()-ROW(Rider_Input[#Headers]),c_FTR_ID)),"")</f>
        <v/>
      </c>
      <c r="C32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2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29" s="153" t="str">
        <f aca="false">IF(Rider_Input[[#This Row],[Rider ID]]="","",DAY(EOMONTH(Salary_Month,0)))</f>
        <v/>
      </c>
      <c r="F329" s="153" t="str">
        <f aca="false">IF(Rider_Input[[#This Row],[Rider ID]]="","",IFERROR(IF(INDEX(FTR_Data,ROW()-ROW(Rider_Input[#Headers]),c_FTR_WD)="","",INDEX(FTR_Data,ROW()-ROW(Rider_Input[#Headers]),c_FTR_WD)),""))</f>
        <v/>
      </c>
      <c r="G329" s="153" t="str">
        <f aca="false">IF(Rider_Input[[#This Row],[Rider ID]]="","",IFERROR(IF(INDEX(FTR_Data,ROW()-ROW(Rider_Input[#Headers]),c_FTR_Orders)="","",INDEX(FTR_Data,ROW()-ROW(Rider_Input[#Headers]),c_FTR_Orders)),""))</f>
        <v/>
      </c>
      <c r="H329" s="155" t="str">
        <f aca="false">IF(Rider_Input[[#This Row],[Rider ID]]="","",IFERROR(ABS(INDEX(RLVL_Data,MATCH(Rider_Input[[#This Row],[Rider ID]],INDEX(RLVL_Data,0,c_RLVL_ID),0),c_RLVL_Missed)),0))</f>
        <v/>
      </c>
      <c r="I329" s="155" t="str">
        <f aca="false">IF(Rider_Input[[#This Row],[Rider ID]]="","",IFERROR(ABS(INDEX(RLVL_Data,MATCH(Rider_Input[[#This Row],[Rider ID]],INDEX(RLVL_Data,0,c_RLVL_ID),0),c_RLVL_Bal)),0))</f>
        <v/>
      </c>
      <c r="J329" s="155" t="str">
        <f aca="false">IF(Rider_Input[[#This Row],[Rider ID]]="","",IFERROR(ABS(INDEX(RLVL_Data,MATCH(Rider_Input[[#This Row],[Rider ID]],INDEX(RLVL_Data,0,c_RLVL_ID),0),c_RLVL_Stack)),0))</f>
        <v/>
      </c>
      <c r="K329" s="155" t="str">
        <f aca="false">IF(Rider_Input[[#This Row],[Rider ID]]="","",SUMIFS(Adj_Input[Other Deductions],Adj_Input[Rider ID],Rider_Input[[#This Row],[Rider ID]]))</f>
        <v/>
      </c>
      <c r="L329" s="154" t="str">
        <f aca="false">IF(Rider_Input[[#This Row],[Rider ID]]="","",IFERROR(INDEX(Adj_Input[Note / Reason],MATCH(Rider_Input[[#This Row],[Rider ID]],Adj_Input[Rider ID],0))&amp;"",""))</f>
        <v/>
      </c>
    </row>
    <row r="330" customFormat="false" ht="14.25" hidden="false" customHeight="false" outlineLevel="0" collapsed="false">
      <c r="A330" s="152" t="str">
        <f aca="false">IF(Rider_Input[[#This Row],[Rider ID]]="","",Salary_Month)</f>
        <v/>
      </c>
      <c r="B330" s="153" t="str">
        <f aca="false">IFERROR(IF(INDEX(FTR_Data,ROW()-ROW(Rider_Input[#Headers]),c_FTR_ID)="","",INDEX(FTR_Data,ROW()-ROW(Rider_Input[#Headers]),c_FTR_ID)),"")</f>
        <v/>
      </c>
      <c r="C33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3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30" s="153" t="str">
        <f aca="false">IF(Rider_Input[[#This Row],[Rider ID]]="","",DAY(EOMONTH(Salary_Month,0)))</f>
        <v/>
      </c>
      <c r="F330" s="153" t="str">
        <f aca="false">IF(Rider_Input[[#This Row],[Rider ID]]="","",IFERROR(IF(INDEX(FTR_Data,ROW()-ROW(Rider_Input[#Headers]),c_FTR_WD)="","",INDEX(FTR_Data,ROW()-ROW(Rider_Input[#Headers]),c_FTR_WD)),""))</f>
        <v/>
      </c>
      <c r="G330" s="153" t="str">
        <f aca="false">IF(Rider_Input[[#This Row],[Rider ID]]="","",IFERROR(IF(INDEX(FTR_Data,ROW()-ROW(Rider_Input[#Headers]),c_FTR_Orders)="","",INDEX(FTR_Data,ROW()-ROW(Rider_Input[#Headers]),c_FTR_Orders)),""))</f>
        <v/>
      </c>
      <c r="H330" s="155" t="str">
        <f aca="false">IF(Rider_Input[[#This Row],[Rider ID]]="","",IFERROR(ABS(INDEX(RLVL_Data,MATCH(Rider_Input[[#This Row],[Rider ID]],INDEX(RLVL_Data,0,c_RLVL_ID),0),c_RLVL_Missed)),0))</f>
        <v/>
      </c>
      <c r="I330" s="155" t="str">
        <f aca="false">IF(Rider_Input[[#This Row],[Rider ID]]="","",IFERROR(ABS(INDEX(RLVL_Data,MATCH(Rider_Input[[#This Row],[Rider ID]],INDEX(RLVL_Data,0,c_RLVL_ID),0),c_RLVL_Bal)),0))</f>
        <v/>
      </c>
      <c r="J330" s="155" t="str">
        <f aca="false">IF(Rider_Input[[#This Row],[Rider ID]]="","",IFERROR(ABS(INDEX(RLVL_Data,MATCH(Rider_Input[[#This Row],[Rider ID]],INDEX(RLVL_Data,0,c_RLVL_ID),0),c_RLVL_Stack)),0))</f>
        <v/>
      </c>
      <c r="K330" s="155" t="str">
        <f aca="false">IF(Rider_Input[[#This Row],[Rider ID]]="","",SUMIFS(Adj_Input[Other Deductions],Adj_Input[Rider ID],Rider_Input[[#This Row],[Rider ID]]))</f>
        <v/>
      </c>
      <c r="L330" s="154" t="str">
        <f aca="false">IF(Rider_Input[[#This Row],[Rider ID]]="","",IFERROR(INDEX(Adj_Input[Note / Reason],MATCH(Rider_Input[[#This Row],[Rider ID]],Adj_Input[Rider ID],0))&amp;"",""))</f>
        <v/>
      </c>
    </row>
    <row r="331" customFormat="false" ht="14.25" hidden="false" customHeight="false" outlineLevel="0" collapsed="false">
      <c r="A331" s="152" t="str">
        <f aca="false">IF(Rider_Input[[#This Row],[Rider ID]]="","",Salary_Month)</f>
        <v/>
      </c>
      <c r="B331" s="153" t="str">
        <f aca="false">IFERROR(IF(INDEX(FTR_Data,ROW()-ROW(Rider_Input[#Headers]),c_FTR_ID)="","",INDEX(FTR_Data,ROW()-ROW(Rider_Input[#Headers]),c_FTR_ID)),"")</f>
        <v/>
      </c>
      <c r="C33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3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31" s="153" t="str">
        <f aca="false">IF(Rider_Input[[#This Row],[Rider ID]]="","",DAY(EOMONTH(Salary_Month,0)))</f>
        <v/>
      </c>
      <c r="F331" s="153" t="str">
        <f aca="false">IF(Rider_Input[[#This Row],[Rider ID]]="","",IFERROR(IF(INDEX(FTR_Data,ROW()-ROW(Rider_Input[#Headers]),c_FTR_WD)="","",INDEX(FTR_Data,ROW()-ROW(Rider_Input[#Headers]),c_FTR_WD)),""))</f>
        <v/>
      </c>
      <c r="G331" s="153" t="str">
        <f aca="false">IF(Rider_Input[[#This Row],[Rider ID]]="","",IFERROR(IF(INDEX(FTR_Data,ROW()-ROW(Rider_Input[#Headers]),c_FTR_Orders)="","",INDEX(FTR_Data,ROW()-ROW(Rider_Input[#Headers]),c_FTR_Orders)),""))</f>
        <v/>
      </c>
      <c r="H331" s="155" t="str">
        <f aca="false">IF(Rider_Input[[#This Row],[Rider ID]]="","",IFERROR(ABS(INDEX(RLVL_Data,MATCH(Rider_Input[[#This Row],[Rider ID]],INDEX(RLVL_Data,0,c_RLVL_ID),0),c_RLVL_Missed)),0))</f>
        <v/>
      </c>
      <c r="I331" s="155" t="str">
        <f aca="false">IF(Rider_Input[[#This Row],[Rider ID]]="","",IFERROR(ABS(INDEX(RLVL_Data,MATCH(Rider_Input[[#This Row],[Rider ID]],INDEX(RLVL_Data,0,c_RLVL_ID),0),c_RLVL_Bal)),0))</f>
        <v/>
      </c>
      <c r="J331" s="155" t="str">
        <f aca="false">IF(Rider_Input[[#This Row],[Rider ID]]="","",IFERROR(ABS(INDEX(RLVL_Data,MATCH(Rider_Input[[#This Row],[Rider ID]],INDEX(RLVL_Data,0,c_RLVL_ID),0),c_RLVL_Stack)),0))</f>
        <v/>
      </c>
      <c r="K331" s="155" t="str">
        <f aca="false">IF(Rider_Input[[#This Row],[Rider ID]]="","",SUMIFS(Adj_Input[Other Deductions],Adj_Input[Rider ID],Rider_Input[[#This Row],[Rider ID]]))</f>
        <v/>
      </c>
      <c r="L331" s="154" t="str">
        <f aca="false">IF(Rider_Input[[#This Row],[Rider ID]]="","",IFERROR(INDEX(Adj_Input[Note / Reason],MATCH(Rider_Input[[#This Row],[Rider ID]],Adj_Input[Rider ID],0))&amp;"",""))</f>
        <v/>
      </c>
    </row>
    <row r="332" customFormat="false" ht="14.25" hidden="false" customHeight="false" outlineLevel="0" collapsed="false">
      <c r="A332" s="152" t="str">
        <f aca="false">IF(Rider_Input[[#This Row],[Rider ID]]="","",Salary_Month)</f>
        <v/>
      </c>
      <c r="B332" s="153" t="str">
        <f aca="false">IFERROR(IF(INDEX(FTR_Data,ROW()-ROW(Rider_Input[#Headers]),c_FTR_ID)="","",INDEX(FTR_Data,ROW()-ROW(Rider_Input[#Headers]),c_FTR_ID)),"")</f>
        <v/>
      </c>
      <c r="C33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3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32" s="153" t="str">
        <f aca="false">IF(Rider_Input[[#This Row],[Rider ID]]="","",DAY(EOMONTH(Salary_Month,0)))</f>
        <v/>
      </c>
      <c r="F332" s="153" t="str">
        <f aca="false">IF(Rider_Input[[#This Row],[Rider ID]]="","",IFERROR(IF(INDEX(FTR_Data,ROW()-ROW(Rider_Input[#Headers]),c_FTR_WD)="","",INDEX(FTR_Data,ROW()-ROW(Rider_Input[#Headers]),c_FTR_WD)),""))</f>
        <v/>
      </c>
      <c r="G332" s="153" t="str">
        <f aca="false">IF(Rider_Input[[#This Row],[Rider ID]]="","",IFERROR(IF(INDEX(FTR_Data,ROW()-ROW(Rider_Input[#Headers]),c_FTR_Orders)="","",INDEX(FTR_Data,ROW()-ROW(Rider_Input[#Headers]),c_FTR_Orders)),""))</f>
        <v/>
      </c>
      <c r="H332" s="155" t="str">
        <f aca="false">IF(Rider_Input[[#This Row],[Rider ID]]="","",IFERROR(ABS(INDEX(RLVL_Data,MATCH(Rider_Input[[#This Row],[Rider ID]],INDEX(RLVL_Data,0,c_RLVL_ID),0),c_RLVL_Missed)),0))</f>
        <v/>
      </c>
      <c r="I332" s="155" t="str">
        <f aca="false">IF(Rider_Input[[#This Row],[Rider ID]]="","",IFERROR(ABS(INDEX(RLVL_Data,MATCH(Rider_Input[[#This Row],[Rider ID]],INDEX(RLVL_Data,0,c_RLVL_ID),0),c_RLVL_Bal)),0))</f>
        <v/>
      </c>
      <c r="J332" s="155" t="str">
        <f aca="false">IF(Rider_Input[[#This Row],[Rider ID]]="","",IFERROR(ABS(INDEX(RLVL_Data,MATCH(Rider_Input[[#This Row],[Rider ID]],INDEX(RLVL_Data,0,c_RLVL_ID),0),c_RLVL_Stack)),0))</f>
        <v/>
      </c>
      <c r="K332" s="155" t="str">
        <f aca="false">IF(Rider_Input[[#This Row],[Rider ID]]="","",SUMIFS(Adj_Input[Other Deductions],Adj_Input[Rider ID],Rider_Input[[#This Row],[Rider ID]]))</f>
        <v/>
      </c>
      <c r="L332" s="154" t="str">
        <f aca="false">IF(Rider_Input[[#This Row],[Rider ID]]="","",IFERROR(INDEX(Adj_Input[Note / Reason],MATCH(Rider_Input[[#This Row],[Rider ID]],Adj_Input[Rider ID],0))&amp;"",""))</f>
        <v/>
      </c>
    </row>
    <row r="333" customFormat="false" ht="14.25" hidden="false" customHeight="false" outlineLevel="0" collapsed="false">
      <c r="A333" s="152" t="str">
        <f aca="false">IF(Rider_Input[[#This Row],[Rider ID]]="","",Salary_Month)</f>
        <v/>
      </c>
      <c r="B333" s="153" t="str">
        <f aca="false">IFERROR(IF(INDEX(FTR_Data,ROW()-ROW(Rider_Input[#Headers]),c_FTR_ID)="","",INDEX(FTR_Data,ROW()-ROW(Rider_Input[#Headers]),c_FTR_ID)),"")</f>
        <v/>
      </c>
      <c r="C33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3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33" s="153" t="str">
        <f aca="false">IF(Rider_Input[[#This Row],[Rider ID]]="","",DAY(EOMONTH(Salary_Month,0)))</f>
        <v/>
      </c>
      <c r="F333" s="153" t="str">
        <f aca="false">IF(Rider_Input[[#This Row],[Rider ID]]="","",IFERROR(IF(INDEX(FTR_Data,ROW()-ROW(Rider_Input[#Headers]),c_FTR_WD)="","",INDEX(FTR_Data,ROW()-ROW(Rider_Input[#Headers]),c_FTR_WD)),""))</f>
        <v/>
      </c>
      <c r="G333" s="153" t="str">
        <f aca="false">IF(Rider_Input[[#This Row],[Rider ID]]="","",IFERROR(IF(INDEX(FTR_Data,ROW()-ROW(Rider_Input[#Headers]),c_FTR_Orders)="","",INDEX(FTR_Data,ROW()-ROW(Rider_Input[#Headers]),c_FTR_Orders)),""))</f>
        <v/>
      </c>
      <c r="H333" s="155" t="str">
        <f aca="false">IF(Rider_Input[[#This Row],[Rider ID]]="","",IFERROR(ABS(INDEX(RLVL_Data,MATCH(Rider_Input[[#This Row],[Rider ID]],INDEX(RLVL_Data,0,c_RLVL_ID),0),c_RLVL_Missed)),0))</f>
        <v/>
      </c>
      <c r="I333" s="155" t="str">
        <f aca="false">IF(Rider_Input[[#This Row],[Rider ID]]="","",IFERROR(ABS(INDEX(RLVL_Data,MATCH(Rider_Input[[#This Row],[Rider ID]],INDEX(RLVL_Data,0,c_RLVL_ID),0),c_RLVL_Bal)),0))</f>
        <v/>
      </c>
      <c r="J333" s="155" t="str">
        <f aca="false">IF(Rider_Input[[#This Row],[Rider ID]]="","",IFERROR(ABS(INDEX(RLVL_Data,MATCH(Rider_Input[[#This Row],[Rider ID]],INDEX(RLVL_Data,0,c_RLVL_ID),0),c_RLVL_Stack)),0))</f>
        <v/>
      </c>
      <c r="K333" s="155" t="str">
        <f aca="false">IF(Rider_Input[[#This Row],[Rider ID]]="","",SUMIFS(Adj_Input[Other Deductions],Adj_Input[Rider ID],Rider_Input[[#This Row],[Rider ID]]))</f>
        <v/>
      </c>
      <c r="L333" s="154" t="str">
        <f aca="false">IF(Rider_Input[[#This Row],[Rider ID]]="","",IFERROR(INDEX(Adj_Input[Note / Reason],MATCH(Rider_Input[[#This Row],[Rider ID]],Adj_Input[Rider ID],0))&amp;"",""))</f>
        <v/>
      </c>
    </row>
    <row r="334" customFormat="false" ht="14.25" hidden="false" customHeight="false" outlineLevel="0" collapsed="false">
      <c r="A334" s="152" t="str">
        <f aca="false">IF(Rider_Input[[#This Row],[Rider ID]]="","",Salary_Month)</f>
        <v/>
      </c>
      <c r="B334" s="153" t="str">
        <f aca="false">IFERROR(IF(INDEX(FTR_Data,ROW()-ROW(Rider_Input[#Headers]),c_FTR_ID)="","",INDEX(FTR_Data,ROW()-ROW(Rider_Input[#Headers]),c_FTR_ID)),"")</f>
        <v/>
      </c>
      <c r="C33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3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34" s="153" t="str">
        <f aca="false">IF(Rider_Input[[#This Row],[Rider ID]]="","",DAY(EOMONTH(Salary_Month,0)))</f>
        <v/>
      </c>
      <c r="F334" s="153" t="str">
        <f aca="false">IF(Rider_Input[[#This Row],[Rider ID]]="","",IFERROR(IF(INDEX(FTR_Data,ROW()-ROW(Rider_Input[#Headers]),c_FTR_WD)="","",INDEX(FTR_Data,ROW()-ROW(Rider_Input[#Headers]),c_FTR_WD)),""))</f>
        <v/>
      </c>
      <c r="G334" s="153" t="str">
        <f aca="false">IF(Rider_Input[[#This Row],[Rider ID]]="","",IFERROR(IF(INDEX(FTR_Data,ROW()-ROW(Rider_Input[#Headers]),c_FTR_Orders)="","",INDEX(FTR_Data,ROW()-ROW(Rider_Input[#Headers]),c_FTR_Orders)),""))</f>
        <v/>
      </c>
      <c r="H334" s="155" t="str">
        <f aca="false">IF(Rider_Input[[#This Row],[Rider ID]]="","",IFERROR(ABS(INDEX(RLVL_Data,MATCH(Rider_Input[[#This Row],[Rider ID]],INDEX(RLVL_Data,0,c_RLVL_ID),0),c_RLVL_Missed)),0))</f>
        <v/>
      </c>
      <c r="I334" s="155" t="str">
        <f aca="false">IF(Rider_Input[[#This Row],[Rider ID]]="","",IFERROR(ABS(INDEX(RLVL_Data,MATCH(Rider_Input[[#This Row],[Rider ID]],INDEX(RLVL_Data,0,c_RLVL_ID),0),c_RLVL_Bal)),0))</f>
        <v/>
      </c>
      <c r="J334" s="155" t="str">
        <f aca="false">IF(Rider_Input[[#This Row],[Rider ID]]="","",IFERROR(ABS(INDEX(RLVL_Data,MATCH(Rider_Input[[#This Row],[Rider ID]],INDEX(RLVL_Data,0,c_RLVL_ID),0),c_RLVL_Stack)),0))</f>
        <v/>
      </c>
      <c r="K334" s="155" t="str">
        <f aca="false">IF(Rider_Input[[#This Row],[Rider ID]]="","",SUMIFS(Adj_Input[Other Deductions],Adj_Input[Rider ID],Rider_Input[[#This Row],[Rider ID]]))</f>
        <v/>
      </c>
      <c r="L334" s="154" t="str">
        <f aca="false">IF(Rider_Input[[#This Row],[Rider ID]]="","",IFERROR(INDEX(Adj_Input[Note / Reason],MATCH(Rider_Input[[#This Row],[Rider ID]],Adj_Input[Rider ID],0))&amp;"",""))</f>
        <v/>
      </c>
    </row>
    <row r="335" customFormat="false" ht="14.25" hidden="false" customHeight="false" outlineLevel="0" collapsed="false">
      <c r="A335" s="152" t="str">
        <f aca="false">IF(Rider_Input[[#This Row],[Rider ID]]="","",Salary_Month)</f>
        <v/>
      </c>
      <c r="B335" s="153" t="str">
        <f aca="false">IFERROR(IF(INDEX(FTR_Data,ROW()-ROW(Rider_Input[#Headers]),c_FTR_ID)="","",INDEX(FTR_Data,ROW()-ROW(Rider_Input[#Headers]),c_FTR_ID)),"")</f>
        <v/>
      </c>
      <c r="C33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3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35" s="153" t="str">
        <f aca="false">IF(Rider_Input[[#This Row],[Rider ID]]="","",DAY(EOMONTH(Salary_Month,0)))</f>
        <v/>
      </c>
      <c r="F335" s="153" t="str">
        <f aca="false">IF(Rider_Input[[#This Row],[Rider ID]]="","",IFERROR(IF(INDEX(FTR_Data,ROW()-ROW(Rider_Input[#Headers]),c_FTR_WD)="","",INDEX(FTR_Data,ROW()-ROW(Rider_Input[#Headers]),c_FTR_WD)),""))</f>
        <v/>
      </c>
      <c r="G335" s="153" t="str">
        <f aca="false">IF(Rider_Input[[#This Row],[Rider ID]]="","",IFERROR(IF(INDEX(FTR_Data,ROW()-ROW(Rider_Input[#Headers]),c_FTR_Orders)="","",INDEX(FTR_Data,ROW()-ROW(Rider_Input[#Headers]),c_FTR_Orders)),""))</f>
        <v/>
      </c>
      <c r="H335" s="155" t="str">
        <f aca="false">IF(Rider_Input[[#This Row],[Rider ID]]="","",IFERROR(ABS(INDEX(RLVL_Data,MATCH(Rider_Input[[#This Row],[Rider ID]],INDEX(RLVL_Data,0,c_RLVL_ID),0),c_RLVL_Missed)),0))</f>
        <v/>
      </c>
      <c r="I335" s="155" t="str">
        <f aca="false">IF(Rider_Input[[#This Row],[Rider ID]]="","",IFERROR(ABS(INDEX(RLVL_Data,MATCH(Rider_Input[[#This Row],[Rider ID]],INDEX(RLVL_Data,0,c_RLVL_ID),0),c_RLVL_Bal)),0))</f>
        <v/>
      </c>
      <c r="J335" s="155" t="str">
        <f aca="false">IF(Rider_Input[[#This Row],[Rider ID]]="","",IFERROR(ABS(INDEX(RLVL_Data,MATCH(Rider_Input[[#This Row],[Rider ID]],INDEX(RLVL_Data,0,c_RLVL_ID),0),c_RLVL_Stack)),0))</f>
        <v/>
      </c>
      <c r="K335" s="155" t="str">
        <f aca="false">IF(Rider_Input[[#This Row],[Rider ID]]="","",SUMIFS(Adj_Input[Other Deductions],Adj_Input[Rider ID],Rider_Input[[#This Row],[Rider ID]]))</f>
        <v/>
      </c>
      <c r="L335" s="154" t="str">
        <f aca="false">IF(Rider_Input[[#This Row],[Rider ID]]="","",IFERROR(INDEX(Adj_Input[Note / Reason],MATCH(Rider_Input[[#This Row],[Rider ID]],Adj_Input[Rider ID],0))&amp;"",""))</f>
        <v/>
      </c>
    </row>
    <row r="336" customFormat="false" ht="14.25" hidden="false" customHeight="false" outlineLevel="0" collapsed="false">
      <c r="A336" s="152" t="str">
        <f aca="false">IF(Rider_Input[[#This Row],[Rider ID]]="","",Salary_Month)</f>
        <v/>
      </c>
      <c r="B336" s="153" t="str">
        <f aca="false">IFERROR(IF(INDEX(FTR_Data,ROW()-ROW(Rider_Input[#Headers]),c_FTR_ID)="","",INDEX(FTR_Data,ROW()-ROW(Rider_Input[#Headers]),c_FTR_ID)),"")</f>
        <v/>
      </c>
      <c r="C33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3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36" s="153" t="str">
        <f aca="false">IF(Rider_Input[[#This Row],[Rider ID]]="","",DAY(EOMONTH(Salary_Month,0)))</f>
        <v/>
      </c>
      <c r="F336" s="153" t="str">
        <f aca="false">IF(Rider_Input[[#This Row],[Rider ID]]="","",IFERROR(IF(INDEX(FTR_Data,ROW()-ROW(Rider_Input[#Headers]),c_FTR_WD)="","",INDEX(FTR_Data,ROW()-ROW(Rider_Input[#Headers]),c_FTR_WD)),""))</f>
        <v/>
      </c>
      <c r="G336" s="153" t="str">
        <f aca="false">IF(Rider_Input[[#This Row],[Rider ID]]="","",IFERROR(IF(INDEX(FTR_Data,ROW()-ROW(Rider_Input[#Headers]),c_FTR_Orders)="","",INDEX(FTR_Data,ROW()-ROW(Rider_Input[#Headers]),c_FTR_Orders)),""))</f>
        <v/>
      </c>
      <c r="H336" s="155" t="str">
        <f aca="false">IF(Rider_Input[[#This Row],[Rider ID]]="","",IFERROR(ABS(INDEX(RLVL_Data,MATCH(Rider_Input[[#This Row],[Rider ID]],INDEX(RLVL_Data,0,c_RLVL_ID),0),c_RLVL_Missed)),0))</f>
        <v/>
      </c>
      <c r="I336" s="155" t="str">
        <f aca="false">IF(Rider_Input[[#This Row],[Rider ID]]="","",IFERROR(ABS(INDEX(RLVL_Data,MATCH(Rider_Input[[#This Row],[Rider ID]],INDEX(RLVL_Data,0,c_RLVL_ID),0),c_RLVL_Bal)),0))</f>
        <v/>
      </c>
      <c r="J336" s="155" t="str">
        <f aca="false">IF(Rider_Input[[#This Row],[Rider ID]]="","",IFERROR(ABS(INDEX(RLVL_Data,MATCH(Rider_Input[[#This Row],[Rider ID]],INDEX(RLVL_Data,0,c_RLVL_ID),0),c_RLVL_Stack)),0))</f>
        <v/>
      </c>
      <c r="K336" s="155" t="str">
        <f aca="false">IF(Rider_Input[[#This Row],[Rider ID]]="","",SUMIFS(Adj_Input[Other Deductions],Adj_Input[Rider ID],Rider_Input[[#This Row],[Rider ID]]))</f>
        <v/>
      </c>
      <c r="L336" s="154" t="str">
        <f aca="false">IF(Rider_Input[[#This Row],[Rider ID]]="","",IFERROR(INDEX(Adj_Input[Note / Reason],MATCH(Rider_Input[[#This Row],[Rider ID]],Adj_Input[Rider ID],0))&amp;"",""))</f>
        <v/>
      </c>
    </row>
    <row r="337" customFormat="false" ht="14.25" hidden="false" customHeight="false" outlineLevel="0" collapsed="false">
      <c r="A337" s="152" t="str">
        <f aca="false">IF(Rider_Input[[#This Row],[Rider ID]]="","",Salary_Month)</f>
        <v/>
      </c>
      <c r="B337" s="153" t="str">
        <f aca="false">IFERROR(IF(INDEX(FTR_Data,ROW()-ROW(Rider_Input[#Headers]),c_FTR_ID)="","",INDEX(FTR_Data,ROW()-ROW(Rider_Input[#Headers]),c_FTR_ID)),"")</f>
        <v/>
      </c>
      <c r="C33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3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37" s="153" t="str">
        <f aca="false">IF(Rider_Input[[#This Row],[Rider ID]]="","",DAY(EOMONTH(Salary_Month,0)))</f>
        <v/>
      </c>
      <c r="F337" s="153" t="str">
        <f aca="false">IF(Rider_Input[[#This Row],[Rider ID]]="","",IFERROR(IF(INDEX(FTR_Data,ROW()-ROW(Rider_Input[#Headers]),c_FTR_WD)="","",INDEX(FTR_Data,ROW()-ROW(Rider_Input[#Headers]),c_FTR_WD)),""))</f>
        <v/>
      </c>
      <c r="G337" s="153" t="str">
        <f aca="false">IF(Rider_Input[[#This Row],[Rider ID]]="","",IFERROR(IF(INDEX(FTR_Data,ROW()-ROW(Rider_Input[#Headers]),c_FTR_Orders)="","",INDEX(FTR_Data,ROW()-ROW(Rider_Input[#Headers]),c_FTR_Orders)),""))</f>
        <v/>
      </c>
      <c r="H337" s="155" t="str">
        <f aca="false">IF(Rider_Input[[#This Row],[Rider ID]]="","",IFERROR(ABS(INDEX(RLVL_Data,MATCH(Rider_Input[[#This Row],[Rider ID]],INDEX(RLVL_Data,0,c_RLVL_ID),0),c_RLVL_Missed)),0))</f>
        <v/>
      </c>
      <c r="I337" s="155" t="str">
        <f aca="false">IF(Rider_Input[[#This Row],[Rider ID]]="","",IFERROR(ABS(INDEX(RLVL_Data,MATCH(Rider_Input[[#This Row],[Rider ID]],INDEX(RLVL_Data,0,c_RLVL_ID),0),c_RLVL_Bal)),0))</f>
        <v/>
      </c>
      <c r="J337" s="155" t="str">
        <f aca="false">IF(Rider_Input[[#This Row],[Rider ID]]="","",IFERROR(ABS(INDEX(RLVL_Data,MATCH(Rider_Input[[#This Row],[Rider ID]],INDEX(RLVL_Data,0,c_RLVL_ID),0),c_RLVL_Stack)),0))</f>
        <v/>
      </c>
      <c r="K337" s="155" t="str">
        <f aca="false">IF(Rider_Input[[#This Row],[Rider ID]]="","",SUMIFS(Adj_Input[Other Deductions],Adj_Input[Rider ID],Rider_Input[[#This Row],[Rider ID]]))</f>
        <v/>
      </c>
      <c r="L337" s="154" t="str">
        <f aca="false">IF(Rider_Input[[#This Row],[Rider ID]]="","",IFERROR(INDEX(Adj_Input[Note / Reason],MATCH(Rider_Input[[#This Row],[Rider ID]],Adj_Input[Rider ID],0))&amp;"",""))</f>
        <v/>
      </c>
    </row>
    <row r="338" customFormat="false" ht="14.25" hidden="false" customHeight="false" outlineLevel="0" collapsed="false">
      <c r="A338" s="152" t="str">
        <f aca="false">IF(Rider_Input[[#This Row],[Rider ID]]="","",Salary_Month)</f>
        <v/>
      </c>
      <c r="B338" s="153" t="str">
        <f aca="false">IFERROR(IF(INDEX(FTR_Data,ROW()-ROW(Rider_Input[#Headers]),c_FTR_ID)="","",INDEX(FTR_Data,ROW()-ROW(Rider_Input[#Headers]),c_FTR_ID)),"")</f>
        <v/>
      </c>
      <c r="C33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3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38" s="153" t="str">
        <f aca="false">IF(Rider_Input[[#This Row],[Rider ID]]="","",DAY(EOMONTH(Salary_Month,0)))</f>
        <v/>
      </c>
      <c r="F338" s="153" t="str">
        <f aca="false">IF(Rider_Input[[#This Row],[Rider ID]]="","",IFERROR(IF(INDEX(FTR_Data,ROW()-ROW(Rider_Input[#Headers]),c_FTR_WD)="","",INDEX(FTR_Data,ROW()-ROW(Rider_Input[#Headers]),c_FTR_WD)),""))</f>
        <v/>
      </c>
      <c r="G338" s="153" t="str">
        <f aca="false">IF(Rider_Input[[#This Row],[Rider ID]]="","",IFERROR(IF(INDEX(FTR_Data,ROW()-ROW(Rider_Input[#Headers]),c_FTR_Orders)="","",INDEX(FTR_Data,ROW()-ROW(Rider_Input[#Headers]),c_FTR_Orders)),""))</f>
        <v/>
      </c>
      <c r="H338" s="155" t="str">
        <f aca="false">IF(Rider_Input[[#This Row],[Rider ID]]="","",IFERROR(ABS(INDEX(RLVL_Data,MATCH(Rider_Input[[#This Row],[Rider ID]],INDEX(RLVL_Data,0,c_RLVL_ID),0),c_RLVL_Missed)),0))</f>
        <v/>
      </c>
      <c r="I338" s="155" t="str">
        <f aca="false">IF(Rider_Input[[#This Row],[Rider ID]]="","",IFERROR(ABS(INDEX(RLVL_Data,MATCH(Rider_Input[[#This Row],[Rider ID]],INDEX(RLVL_Data,0,c_RLVL_ID),0),c_RLVL_Bal)),0))</f>
        <v/>
      </c>
      <c r="J338" s="155" t="str">
        <f aca="false">IF(Rider_Input[[#This Row],[Rider ID]]="","",IFERROR(ABS(INDEX(RLVL_Data,MATCH(Rider_Input[[#This Row],[Rider ID]],INDEX(RLVL_Data,0,c_RLVL_ID),0),c_RLVL_Stack)),0))</f>
        <v/>
      </c>
      <c r="K338" s="155" t="str">
        <f aca="false">IF(Rider_Input[[#This Row],[Rider ID]]="","",SUMIFS(Adj_Input[Other Deductions],Adj_Input[Rider ID],Rider_Input[[#This Row],[Rider ID]]))</f>
        <v/>
      </c>
      <c r="L338" s="154" t="str">
        <f aca="false">IF(Rider_Input[[#This Row],[Rider ID]]="","",IFERROR(INDEX(Adj_Input[Note / Reason],MATCH(Rider_Input[[#This Row],[Rider ID]],Adj_Input[Rider ID],0))&amp;"",""))</f>
        <v/>
      </c>
    </row>
    <row r="339" customFormat="false" ht="14.25" hidden="false" customHeight="false" outlineLevel="0" collapsed="false">
      <c r="A339" s="152" t="str">
        <f aca="false">IF(Rider_Input[[#This Row],[Rider ID]]="","",Salary_Month)</f>
        <v/>
      </c>
      <c r="B339" s="153" t="str">
        <f aca="false">IFERROR(IF(INDEX(FTR_Data,ROW()-ROW(Rider_Input[#Headers]),c_FTR_ID)="","",INDEX(FTR_Data,ROW()-ROW(Rider_Input[#Headers]),c_FTR_ID)),"")</f>
        <v/>
      </c>
      <c r="C33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3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39" s="153" t="str">
        <f aca="false">IF(Rider_Input[[#This Row],[Rider ID]]="","",DAY(EOMONTH(Salary_Month,0)))</f>
        <v/>
      </c>
      <c r="F339" s="153" t="str">
        <f aca="false">IF(Rider_Input[[#This Row],[Rider ID]]="","",IFERROR(IF(INDEX(FTR_Data,ROW()-ROW(Rider_Input[#Headers]),c_FTR_WD)="","",INDEX(FTR_Data,ROW()-ROW(Rider_Input[#Headers]),c_FTR_WD)),""))</f>
        <v/>
      </c>
      <c r="G339" s="153" t="str">
        <f aca="false">IF(Rider_Input[[#This Row],[Rider ID]]="","",IFERROR(IF(INDEX(FTR_Data,ROW()-ROW(Rider_Input[#Headers]),c_FTR_Orders)="","",INDEX(FTR_Data,ROW()-ROW(Rider_Input[#Headers]),c_FTR_Orders)),""))</f>
        <v/>
      </c>
      <c r="H339" s="155" t="str">
        <f aca="false">IF(Rider_Input[[#This Row],[Rider ID]]="","",IFERROR(ABS(INDEX(RLVL_Data,MATCH(Rider_Input[[#This Row],[Rider ID]],INDEX(RLVL_Data,0,c_RLVL_ID),0),c_RLVL_Missed)),0))</f>
        <v/>
      </c>
      <c r="I339" s="155" t="str">
        <f aca="false">IF(Rider_Input[[#This Row],[Rider ID]]="","",IFERROR(ABS(INDEX(RLVL_Data,MATCH(Rider_Input[[#This Row],[Rider ID]],INDEX(RLVL_Data,0,c_RLVL_ID),0),c_RLVL_Bal)),0))</f>
        <v/>
      </c>
      <c r="J339" s="155" t="str">
        <f aca="false">IF(Rider_Input[[#This Row],[Rider ID]]="","",IFERROR(ABS(INDEX(RLVL_Data,MATCH(Rider_Input[[#This Row],[Rider ID]],INDEX(RLVL_Data,0,c_RLVL_ID),0),c_RLVL_Stack)),0))</f>
        <v/>
      </c>
      <c r="K339" s="155" t="str">
        <f aca="false">IF(Rider_Input[[#This Row],[Rider ID]]="","",SUMIFS(Adj_Input[Other Deductions],Adj_Input[Rider ID],Rider_Input[[#This Row],[Rider ID]]))</f>
        <v/>
      </c>
      <c r="L339" s="154" t="str">
        <f aca="false">IF(Rider_Input[[#This Row],[Rider ID]]="","",IFERROR(INDEX(Adj_Input[Note / Reason],MATCH(Rider_Input[[#This Row],[Rider ID]],Adj_Input[Rider ID],0))&amp;"",""))</f>
        <v/>
      </c>
    </row>
    <row r="340" customFormat="false" ht="14.25" hidden="false" customHeight="false" outlineLevel="0" collapsed="false">
      <c r="A340" s="152" t="str">
        <f aca="false">IF(Rider_Input[[#This Row],[Rider ID]]="","",Salary_Month)</f>
        <v/>
      </c>
      <c r="B340" s="153" t="str">
        <f aca="false">IFERROR(IF(INDEX(FTR_Data,ROW()-ROW(Rider_Input[#Headers]),c_FTR_ID)="","",INDEX(FTR_Data,ROW()-ROW(Rider_Input[#Headers]),c_FTR_ID)),"")</f>
        <v/>
      </c>
      <c r="C34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4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40" s="153" t="str">
        <f aca="false">IF(Rider_Input[[#This Row],[Rider ID]]="","",DAY(EOMONTH(Salary_Month,0)))</f>
        <v/>
      </c>
      <c r="F340" s="153" t="str">
        <f aca="false">IF(Rider_Input[[#This Row],[Rider ID]]="","",IFERROR(IF(INDEX(FTR_Data,ROW()-ROW(Rider_Input[#Headers]),c_FTR_WD)="","",INDEX(FTR_Data,ROW()-ROW(Rider_Input[#Headers]),c_FTR_WD)),""))</f>
        <v/>
      </c>
      <c r="G340" s="153" t="str">
        <f aca="false">IF(Rider_Input[[#This Row],[Rider ID]]="","",IFERROR(IF(INDEX(FTR_Data,ROW()-ROW(Rider_Input[#Headers]),c_FTR_Orders)="","",INDEX(FTR_Data,ROW()-ROW(Rider_Input[#Headers]),c_FTR_Orders)),""))</f>
        <v/>
      </c>
      <c r="H340" s="155" t="str">
        <f aca="false">IF(Rider_Input[[#This Row],[Rider ID]]="","",IFERROR(ABS(INDEX(RLVL_Data,MATCH(Rider_Input[[#This Row],[Rider ID]],INDEX(RLVL_Data,0,c_RLVL_ID),0),c_RLVL_Missed)),0))</f>
        <v/>
      </c>
      <c r="I340" s="155" t="str">
        <f aca="false">IF(Rider_Input[[#This Row],[Rider ID]]="","",IFERROR(ABS(INDEX(RLVL_Data,MATCH(Rider_Input[[#This Row],[Rider ID]],INDEX(RLVL_Data,0,c_RLVL_ID),0),c_RLVL_Bal)),0))</f>
        <v/>
      </c>
      <c r="J340" s="155" t="str">
        <f aca="false">IF(Rider_Input[[#This Row],[Rider ID]]="","",IFERROR(ABS(INDEX(RLVL_Data,MATCH(Rider_Input[[#This Row],[Rider ID]],INDEX(RLVL_Data,0,c_RLVL_ID),0),c_RLVL_Stack)),0))</f>
        <v/>
      </c>
      <c r="K340" s="155" t="str">
        <f aca="false">IF(Rider_Input[[#This Row],[Rider ID]]="","",SUMIFS(Adj_Input[Other Deductions],Adj_Input[Rider ID],Rider_Input[[#This Row],[Rider ID]]))</f>
        <v/>
      </c>
      <c r="L340" s="154" t="str">
        <f aca="false">IF(Rider_Input[[#This Row],[Rider ID]]="","",IFERROR(INDEX(Adj_Input[Note / Reason],MATCH(Rider_Input[[#This Row],[Rider ID]],Adj_Input[Rider ID],0))&amp;"",""))</f>
        <v/>
      </c>
    </row>
    <row r="341" customFormat="false" ht="14.25" hidden="false" customHeight="false" outlineLevel="0" collapsed="false">
      <c r="A341" s="152" t="str">
        <f aca="false">IF(Rider_Input[[#This Row],[Rider ID]]="","",Salary_Month)</f>
        <v/>
      </c>
      <c r="B341" s="153" t="str">
        <f aca="false">IFERROR(IF(INDEX(FTR_Data,ROW()-ROW(Rider_Input[#Headers]),c_FTR_ID)="","",INDEX(FTR_Data,ROW()-ROW(Rider_Input[#Headers]),c_FTR_ID)),"")</f>
        <v/>
      </c>
      <c r="C34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4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41" s="153" t="str">
        <f aca="false">IF(Rider_Input[[#This Row],[Rider ID]]="","",DAY(EOMONTH(Salary_Month,0)))</f>
        <v/>
      </c>
      <c r="F341" s="153" t="str">
        <f aca="false">IF(Rider_Input[[#This Row],[Rider ID]]="","",IFERROR(IF(INDEX(FTR_Data,ROW()-ROW(Rider_Input[#Headers]),c_FTR_WD)="","",INDEX(FTR_Data,ROW()-ROW(Rider_Input[#Headers]),c_FTR_WD)),""))</f>
        <v/>
      </c>
      <c r="G341" s="153" t="str">
        <f aca="false">IF(Rider_Input[[#This Row],[Rider ID]]="","",IFERROR(IF(INDEX(FTR_Data,ROW()-ROW(Rider_Input[#Headers]),c_FTR_Orders)="","",INDEX(FTR_Data,ROW()-ROW(Rider_Input[#Headers]),c_FTR_Orders)),""))</f>
        <v/>
      </c>
      <c r="H341" s="155" t="str">
        <f aca="false">IF(Rider_Input[[#This Row],[Rider ID]]="","",IFERROR(ABS(INDEX(RLVL_Data,MATCH(Rider_Input[[#This Row],[Rider ID]],INDEX(RLVL_Data,0,c_RLVL_ID),0),c_RLVL_Missed)),0))</f>
        <v/>
      </c>
      <c r="I341" s="155" t="str">
        <f aca="false">IF(Rider_Input[[#This Row],[Rider ID]]="","",IFERROR(ABS(INDEX(RLVL_Data,MATCH(Rider_Input[[#This Row],[Rider ID]],INDEX(RLVL_Data,0,c_RLVL_ID),0),c_RLVL_Bal)),0))</f>
        <v/>
      </c>
      <c r="J341" s="155" t="str">
        <f aca="false">IF(Rider_Input[[#This Row],[Rider ID]]="","",IFERROR(ABS(INDEX(RLVL_Data,MATCH(Rider_Input[[#This Row],[Rider ID]],INDEX(RLVL_Data,0,c_RLVL_ID),0),c_RLVL_Stack)),0))</f>
        <v/>
      </c>
      <c r="K341" s="155" t="str">
        <f aca="false">IF(Rider_Input[[#This Row],[Rider ID]]="","",SUMIFS(Adj_Input[Other Deductions],Adj_Input[Rider ID],Rider_Input[[#This Row],[Rider ID]]))</f>
        <v/>
      </c>
      <c r="L341" s="154" t="str">
        <f aca="false">IF(Rider_Input[[#This Row],[Rider ID]]="","",IFERROR(INDEX(Adj_Input[Note / Reason],MATCH(Rider_Input[[#This Row],[Rider ID]],Adj_Input[Rider ID],0))&amp;"",""))</f>
        <v/>
      </c>
    </row>
    <row r="342" customFormat="false" ht="14.25" hidden="false" customHeight="false" outlineLevel="0" collapsed="false">
      <c r="A342" s="152" t="str">
        <f aca="false">IF(Rider_Input[[#This Row],[Rider ID]]="","",Salary_Month)</f>
        <v/>
      </c>
      <c r="B342" s="153" t="str">
        <f aca="false">IFERROR(IF(INDEX(FTR_Data,ROW()-ROW(Rider_Input[#Headers]),c_FTR_ID)="","",INDEX(FTR_Data,ROW()-ROW(Rider_Input[#Headers]),c_FTR_ID)),"")</f>
        <v/>
      </c>
      <c r="C34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4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42" s="153" t="str">
        <f aca="false">IF(Rider_Input[[#This Row],[Rider ID]]="","",DAY(EOMONTH(Salary_Month,0)))</f>
        <v/>
      </c>
      <c r="F342" s="153" t="str">
        <f aca="false">IF(Rider_Input[[#This Row],[Rider ID]]="","",IFERROR(IF(INDEX(FTR_Data,ROW()-ROW(Rider_Input[#Headers]),c_FTR_WD)="","",INDEX(FTR_Data,ROW()-ROW(Rider_Input[#Headers]),c_FTR_WD)),""))</f>
        <v/>
      </c>
      <c r="G342" s="153" t="str">
        <f aca="false">IF(Rider_Input[[#This Row],[Rider ID]]="","",IFERROR(IF(INDEX(FTR_Data,ROW()-ROW(Rider_Input[#Headers]),c_FTR_Orders)="","",INDEX(FTR_Data,ROW()-ROW(Rider_Input[#Headers]),c_FTR_Orders)),""))</f>
        <v/>
      </c>
      <c r="H342" s="155" t="str">
        <f aca="false">IF(Rider_Input[[#This Row],[Rider ID]]="","",IFERROR(ABS(INDEX(RLVL_Data,MATCH(Rider_Input[[#This Row],[Rider ID]],INDEX(RLVL_Data,0,c_RLVL_ID),0),c_RLVL_Missed)),0))</f>
        <v/>
      </c>
      <c r="I342" s="155" t="str">
        <f aca="false">IF(Rider_Input[[#This Row],[Rider ID]]="","",IFERROR(ABS(INDEX(RLVL_Data,MATCH(Rider_Input[[#This Row],[Rider ID]],INDEX(RLVL_Data,0,c_RLVL_ID),0),c_RLVL_Bal)),0))</f>
        <v/>
      </c>
      <c r="J342" s="155" t="str">
        <f aca="false">IF(Rider_Input[[#This Row],[Rider ID]]="","",IFERROR(ABS(INDEX(RLVL_Data,MATCH(Rider_Input[[#This Row],[Rider ID]],INDEX(RLVL_Data,0,c_RLVL_ID),0),c_RLVL_Stack)),0))</f>
        <v/>
      </c>
      <c r="K342" s="155" t="str">
        <f aca="false">IF(Rider_Input[[#This Row],[Rider ID]]="","",SUMIFS(Adj_Input[Other Deductions],Adj_Input[Rider ID],Rider_Input[[#This Row],[Rider ID]]))</f>
        <v/>
      </c>
      <c r="L342" s="154" t="str">
        <f aca="false">IF(Rider_Input[[#This Row],[Rider ID]]="","",IFERROR(INDEX(Adj_Input[Note / Reason],MATCH(Rider_Input[[#This Row],[Rider ID]],Adj_Input[Rider ID],0))&amp;"",""))</f>
        <v/>
      </c>
    </row>
    <row r="343" customFormat="false" ht="14.25" hidden="false" customHeight="false" outlineLevel="0" collapsed="false">
      <c r="A343" s="152" t="str">
        <f aca="false">IF(Rider_Input[[#This Row],[Rider ID]]="","",Salary_Month)</f>
        <v/>
      </c>
      <c r="B343" s="153" t="str">
        <f aca="false">IFERROR(IF(INDEX(FTR_Data,ROW()-ROW(Rider_Input[#Headers]),c_FTR_ID)="","",INDEX(FTR_Data,ROW()-ROW(Rider_Input[#Headers]),c_FTR_ID)),"")</f>
        <v/>
      </c>
      <c r="C34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4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43" s="153" t="str">
        <f aca="false">IF(Rider_Input[[#This Row],[Rider ID]]="","",DAY(EOMONTH(Salary_Month,0)))</f>
        <v/>
      </c>
      <c r="F343" s="153" t="str">
        <f aca="false">IF(Rider_Input[[#This Row],[Rider ID]]="","",IFERROR(IF(INDEX(FTR_Data,ROW()-ROW(Rider_Input[#Headers]),c_FTR_WD)="","",INDEX(FTR_Data,ROW()-ROW(Rider_Input[#Headers]),c_FTR_WD)),""))</f>
        <v/>
      </c>
      <c r="G343" s="153" t="str">
        <f aca="false">IF(Rider_Input[[#This Row],[Rider ID]]="","",IFERROR(IF(INDEX(FTR_Data,ROW()-ROW(Rider_Input[#Headers]),c_FTR_Orders)="","",INDEX(FTR_Data,ROW()-ROW(Rider_Input[#Headers]),c_FTR_Orders)),""))</f>
        <v/>
      </c>
      <c r="H343" s="155" t="str">
        <f aca="false">IF(Rider_Input[[#This Row],[Rider ID]]="","",IFERROR(ABS(INDEX(RLVL_Data,MATCH(Rider_Input[[#This Row],[Rider ID]],INDEX(RLVL_Data,0,c_RLVL_ID),0),c_RLVL_Missed)),0))</f>
        <v/>
      </c>
      <c r="I343" s="155" t="str">
        <f aca="false">IF(Rider_Input[[#This Row],[Rider ID]]="","",IFERROR(ABS(INDEX(RLVL_Data,MATCH(Rider_Input[[#This Row],[Rider ID]],INDEX(RLVL_Data,0,c_RLVL_ID),0),c_RLVL_Bal)),0))</f>
        <v/>
      </c>
      <c r="J343" s="155" t="str">
        <f aca="false">IF(Rider_Input[[#This Row],[Rider ID]]="","",IFERROR(ABS(INDEX(RLVL_Data,MATCH(Rider_Input[[#This Row],[Rider ID]],INDEX(RLVL_Data,0,c_RLVL_ID),0),c_RLVL_Stack)),0))</f>
        <v/>
      </c>
      <c r="K343" s="155" t="str">
        <f aca="false">IF(Rider_Input[[#This Row],[Rider ID]]="","",SUMIFS(Adj_Input[Other Deductions],Adj_Input[Rider ID],Rider_Input[[#This Row],[Rider ID]]))</f>
        <v/>
      </c>
      <c r="L343" s="154" t="str">
        <f aca="false">IF(Rider_Input[[#This Row],[Rider ID]]="","",IFERROR(INDEX(Adj_Input[Note / Reason],MATCH(Rider_Input[[#This Row],[Rider ID]],Adj_Input[Rider ID],0))&amp;"",""))</f>
        <v/>
      </c>
    </row>
    <row r="344" customFormat="false" ht="14.25" hidden="false" customHeight="false" outlineLevel="0" collapsed="false">
      <c r="A344" s="152" t="str">
        <f aca="false">IF(Rider_Input[[#This Row],[Rider ID]]="","",Salary_Month)</f>
        <v/>
      </c>
      <c r="B344" s="153" t="str">
        <f aca="false">IFERROR(IF(INDEX(FTR_Data,ROW()-ROW(Rider_Input[#Headers]),c_FTR_ID)="","",INDEX(FTR_Data,ROW()-ROW(Rider_Input[#Headers]),c_FTR_ID)),"")</f>
        <v/>
      </c>
      <c r="C34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4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44" s="153" t="str">
        <f aca="false">IF(Rider_Input[[#This Row],[Rider ID]]="","",DAY(EOMONTH(Salary_Month,0)))</f>
        <v/>
      </c>
      <c r="F344" s="153" t="str">
        <f aca="false">IF(Rider_Input[[#This Row],[Rider ID]]="","",IFERROR(IF(INDEX(FTR_Data,ROW()-ROW(Rider_Input[#Headers]),c_FTR_WD)="","",INDEX(FTR_Data,ROW()-ROW(Rider_Input[#Headers]),c_FTR_WD)),""))</f>
        <v/>
      </c>
      <c r="G344" s="153" t="str">
        <f aca="false">IF(Rider_Input[[#This Row],[Rider ID]]="","",IFERROR(IF(INDEX(FTR_Data,ROW()-ROW(Rider_Input[#Headers]),c_FTR_Orders)="","",INDEX(FTR_Data,ROW()-ROW(Rider_Input[#Headers]),c_FTR_Orders)),""))</f>
        <v/>
      </c>
      <c r="H344" s="155" t="str">
        <f aca="false">IF(Rider_Input[[#This Row],[Rider ID]]="","",IFERROR(ABS(INDEX(RLVL_Data,MATCH(Rider_Input[[#This Row],[Rider ID]],INDEX(RLVL_Data,0,c_RLVL_ID),0),c_RLVL_Missed)),0))</f>
        <v/>
      </c>
      <c r="I344" s="155" t="str">
        <f aca="false">IF(Rider_Input[[#This Row],[Rider ID]]="","",IFERROR(ABS(INDEX(RLVL_Data,MATCH(Rider_Input[[#This Row],[Rider ID]],INDEX(RLVL_Data,0,c_RLVL_ID),0),c_RLVL_Bal)),0))</f>
        <v/>
      </c>
      <c r="J344" s="155" t="str">
        <f aca="false">IF(Rider_Input[[#This Row],[Rider ID]]="","",IFERROR(ABS(INDEX(RLVL_Data,MATCH(Rider_Input[[#This Row],[Rider ID]],INDEX(RLVL_Data,0,c_RLVL_ID),0),c_RLVL_Stack)),0))</f>
        <v/>
      </c>
      <c r="K344" s="155" t="str">
        <f aca="false">IF(Rider_Input[[#This Row],[Rider ID]]="","",SUMIFS(Adj_Input[Other Deductions],Adj_Input[Rider ID],Rider_Input[[#This Row],[Rider ID]]))</f>
        <v/>
      </c>
      <c r="L344" s="154" t="str">
        <f aca="false">IF(Rider_Input[[#This Row],[Rider ID]]="","",IFERROR(INDEX(Adj_Input[Note / Reason],MATCH(Rider_Input[[#This Row],[Rider ID]],Adj_Input[Rider ID],0))&amp;"",""))</f>
        <v/>
      </c>
    </row>
    <row r="345" customFormat="false" ht="14.25" hidden="false" customHeight="false" outlineLevel="0" collapsed="false">
      <c r="A345" s="152" t="str">
        <f aca="false">IF(Rider_Input[[#This Row],[Rider ID]]="","",Salary_Month)</f>
        <v/>
      </c>
      <c r="B345" s="153" t="str">
        <f aca="false">IFERROR(IF(INDEX(FTR_Data,ROW()-ROW(Rider_Input[#Headers]),c_FTR_ID)="","",INDEX(FTR_Data,ROW()-ROW(Rider_Input[#Headers]),c_FTR_ID)),"")</f>
        <v/>
      </c>
      <c r="C34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4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45" s="153" t="str">
        <f aca="false">IF(Rider_Input[[#This Row],[Rider ID]]="","",DAY(EOMONTH(Salary_Month,0)))</f>
        <v/>
      </c>
      <c r="F345" s="153" t="str">
        <f aca="false">IF(Rider_Input[[#This Row],[Rider ID]]="","",IFERROR(IF(INDEX(FTR_Data,ROW()-ROW(Rider_Input[#Headers]),c_FTR_WD)="","",INDEX(FTR_Data,ROW()-ROW(Rider_Input[#Headers]),c_FTR_WD)),""))</f>
        <v/>
      </c>
      <c r="G345" s="153" t="str">
        <f aca="false">IF(Rider_Input[[#This Row],[Rider ID]]="","",IFERROR(IF(INDEX(FTR_Data,ROW()-ROW(Rider_Input[#Headers]),c_FTR_Orders)="","",INDEX(FTR_Data,ROW()-ROW(Rider_Input[#Headers]),c_FTR_Orders)),""))</f>
        <v/>
      </c>
      <c r="H345" s="155" t="str">
        <f aca="false">IF(Rider_Input[[#This Row],[Rider ID]]="","",IFERROR(ABS(INDEX(RLVL_Data,MATCH(Rider_Input[[#This Row],[Rider ID]],INDEX(RLVL_Data,0,c_RLVL_ID),0),c_RLVL_Missed)),0))</f>
        <v/>
      </c>
      <c r="I345" s="155" t="str">
        <f aca="false">IF(Rider_Input[[#This Row],[Rider ID]]="","",IFERROR(ABS(INDEX(RLVL_Data,MATCH(Rider_Input[[#This Row],[Rider ID]],INDEX(RLVL_Data,0,c_RLVL_ID),0),c_RLVL_Bal)),0))</f>
        <v/>
      </c>
      <c r="J345" s="155" t="str">
        <f aca="false">IF(Rider_Input[[#This Row],[Rider ID]]="","",IFERROR(ABS(INDEX(RLVL_Data,MATCH(Rider_Input[[#This Row],[Rider ID]],INDEX(RLVL_Data,0,c_RLVL_ID),0),c_RLVL_Stack)),0))</f>
        <v/>
      </c>
      <c r="K345" s="155" t="str">
        <f aca="false">IF(Rider_Input[[#This Row],[Rider ID]]="","",SUMIFS(Adj_Input[Other Deductions],Adj_Input[Rider ID],Rider_Input[[#This Row],[Rider ID]]))</f>
        <v/>
      </c>
      <c r="L345" s="154" t="str">
        <f aca="false">IF(Rider_Input[[#This Row],[Rider ID]]="","",IFERROR(INDEX(Adj_Input[Note / Reason],MATCH(Rider_Input[[#This Row],[Rider ID]],Adj_Input[Rider ID],0))&amp;"",""))</f>
        <v/>
      </c>
    </row>
    <row r="346" customFormat="false" ht="14.25" hidden="false" customHeight="false" outlineLevel="0" collapsed="false">
      <c r="A346" s="152" t="str">
        <f aca="false">IF(Rider_Input[[#This Row],[Rider ID]]="","",Salary_Month)</f>
        <v/>
      </c>
      <c r="B346" s="153" t="str">
        <f aca="false">IFERROR(IF(INDEX(FTR_Data,ROW()-ROW(Rider_Input[#Headers]),c_FTR_ID)="","",INDEX(FTR_Data,ROW()-ROW(Rider_Input[#Headers]),c_FTR_ID)),"")</f>
        <v/>
      </c>
      <c r="C34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4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46" s="153" t="str">
        <f aca="false">IF(Rider_Input[[#This Row],[Rider ID]]="","",DAY(EOMONTH(Salary_Month,0)))</f>
        <v/>
      </c>
      <c r="F346" s="153" t="str">
        <f aca="false">IF(Rider_Input[[#This Row],[Rider ID]]="","",IFERROR(IF(INDEX(FTR_Data,ROW()-ROW(Rider_Input[#Headers]),c_FTR_WD)="","",INDEX(FTR_Data,ROW()-ROW(Rider_Input[#Headers]),c_FTR_WD)),""))</f>
        <v/>
      </c>
      <c r="G346" s="153" t="str">
        <f aca="false">IF(Rider_Input[[#This Row],[Rider ID]]="","",IFERROR(IF(INDEX(FTR_Data,ROW()-ROW(Rider_Input[#Headers]),c_FTR_Orders)="","",INDEX(FTR_Data,ROW()-ROW(Rider_Input[#Headers]),c_FTR_Orders)),""))</f>
        <v/>
      </c>
      <c r="H346" s="155" t="str">
        <f aca="false">IF(Rider_Input[[#This Row],[Rider ID]]="","",IFERROR(ABS(INDEX(RLVL_Data,MATCH(Rider_Input[[#This Row],[Rider ID]],INDEX(RLVL_Data,0,c_RLVL_ID),0),c_RLVL_Missed)),0))</f>
        <v/>
      </c>
      <c r="I346" s="155" t="str">
        <f aca="false">IF(Rider_Input[[#This Row],[Rider ID]]="","",IFERROR(ABS(INDEX(RLVL_Data,MATCH(Rider_Input[[#This Row],[Rider ID]],INDEX(RLVL_Data,0,c_RLVL_ID),0),c_RLVL_Bal)),0))</f>
        <v/>
      </c>
      <c r="J346" s="155" t="str">
        <f aca="false">IF(Rider_Input[[#This Row],[Rider ID]]="","",IFERROR(ABS(INDEX(RLVL_Data,MATCH(Rider_Input[[#This Row],[Rider ID]],INDEX(RLVL_Data,0,c_RLVL_ID),0),c_RLVL_Stack)),0))</f>
        <v/>
      </c>
      <c r="K346" s="155" t="str">
        <f aca="false">IF(Rider_Input[[#This Row],[Rider ID]]="","",SUMIFS(Adj_Input[Other Deductions],Adj_Input[Rider ID],Rider_Input[[#This Row],[Rider ID]]))</f>
        <v/>
      </c>
      <c r="L346" s="154" t="str">
        <f aca="false">IF(Rider_Input[[#This Row],[Rider ID]]="","",IFERROR(INDEX(Adj_Input[Note / Reason],MATCH(Rider_Input[[#This Row],[Rider ID]],Adj_Input[Rider ID],0))&amp;"",""))</f>
        <v/>
      </c>
    </row>
    <row r="347" customFormat="false" ht="14.25" hidden="false" customHeight="false" outlineLevel="0" collapsed="false">
      <c r="A347" s="152" t="str">
        <f aca="false">IF(Rider_Input[[#This Row],[Rider ID]]="","",Salary_Month)</f>
        <v/>
      </c>
      <c r="B347" s="153" t="str">
        <f aca="false">IFERROR(IF(INDEX(FTR_Data,ROW()-ROW(Rider_Input[#Headers]),c_FTR_ID)="","",INDEX(FTR_Data,ROW()-ROW(Rider_Input[#Headers]),c_FTR_ID)),"")</f>
        <v/>
      </c>
      <c r="C34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4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47" s="153" t="str">
        <f aca="false">IF(Rider_Input[[#This Row],[Rider ID]]="","",DAY(EOMONTH(Salary_Month,0)))</f>
        <v/>
      </c>
      <c r="F347" s="153" t="str">
        <f aca="false">IF(Rider_Input[[#This Row],[Rider ID]]="","",IFERROR(IF(INDEX(FTR_Data,ROW()-ROW(Rider_Input[#Headers]),c_FTR_WD)="","",INDEX(FTR_Data,ROW()-ROW(Rider_Input[#Headers]),c_FTR_WD)),""))</f>
        <v/>
      </c>
      <c r="G347" s="153" t="str">
        <f aca="false">IF(Rider_Input[[#This Row],[Rider ID]]="","",IFERROR(IF(INDEX(FTR_Data,ROW()-ROW(Rider_Input[#Headers]),c_FTR_Orders)="","",INDEX(FTR_Data,ROW()-ROW(Rider_Input[#Headers]),c_FTR_Orders)),""))</f>
        <v/>
      </c>
      <c r="H347" s="155" t="str">
        <f aca="false">IF(Rider_Input[[#This Row],[Rider ID]]="","",IFERROR(ABS(INDEX(RLVL_Data,MATCH(Rider_Input[[#This Row],[Rider ID]],INDEX(RLVL_Data,0,c_RLVL_ID),0),c_RLVL_Missed)),0))</f>
        <v/>
      </c>
      <c r="I347" s="155" t="str">
        <f aca="false">IF(Rider_Input[[#This Row],[Rider ID]]="","",IFERROR(ABS(INDEX(RLVL_Data,MATCH(Rider_Input[[#This Row],[Rider ID]],INDEX(RLVL_Data,0,c_RLVL_ID),0),c_RLVL_Bal)),0))</f>
        <v/>
      </c>
      <c r="J347" s="155" t="str">
        <f aca="false">IF(Rider_Input[[#This Row],[Rider ID]]="","",IFERROR(ABS(INDEX(RLVL_Data,MATCH(Rider_Input[[#This Row],[Rider ID]],INDEX(RLVL_Data,0,c_RLVL_ID),0),c_RLVL_Stack)),0))</f>
        <v/>
      </c>
      <c r="K347" s="155" t="str">
        <f aca="false">IF(Rider_Input[[#This Row],[Rider ID]]="","",SUMIFS(Adj_Input[Other Deductions],Adj_Input[Rider ID],Rider_Input[[#This Row],[Rider ID]]))</f>
        <v/>
      </c>
      <c r="L347" s="154" t="str">
        <f aca="false">IF(Rider_Input[[#This Row],[Rider ID]]="","",IFERROR(INDEX(Adj_Input[Note / Reason],MATCH(Rider_Input[[#This Row],[Rider ID]],Adj_Input[Rider ID],0))&amp;"",""))</f>
        <v/>
      </c>
    </row>
    <row r="348" customFormat="false" ht="14.25" hidden="false" customHeight="false" outlineLevel="0" collapsed="false">
      <c r="A348" s="152" t="str">
        <f aca="false">IF(Rider_Input[[#This Row],[Rider ID]]="","",Salary_Month)</f>
        <v/>
      </c>
      <c r="B348" s="153" t="str">
        <f aca="false">IFERROR(IF(INDEX(FTR_Data,ROW()-ROW(Rider_Input[#Headers]),c_FTR_ID)="","",INDEX(FTR_Data,ROW()-ROW(Rider_Input[#Headers]),c_FTR_ID)),"")</f>
        <v/>
      </c>
      <c r="C34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4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48" s="153" t="str">
        <f aca="false">IF(Rider_Input[[#This Row],[Rider ID]]="","",DAY(EOMONTH(Salary_Month,0)))</f>
        <v/>
      </c>
      <c r="F348" s="153" t="str">
        <f aca="false">IF(Rider_Input[[#This Row],[Rider ID]]="","",IFERROR(IF(INDEX(FTR_Data,ROW()-ROW(Rider_Input[#Headers]),c_FTR_WD)="","",INDEX(FTR_Data,ROW()-ROW(Rider_Input[#Headers]),c_FTR_WD)),""))</f>
        <v/>
      </c>
      <c r="G348" s="153" t="str">
        <f aca="false">IF(Rider_Input[[#This Row],[Rider ID]]="","",IFERROR(IF(INDEX(FTR_Data,ROW()-ROW(Rider_Input[#Headers]),c_FTR_Orders)="","",INDEX(FTR_Data,ROW()-ROW(Rider_Input[#Headers]),c_FTR_Orders)),""))</f>
        <v/>
      </c>
      <c r="H348" s="155" t="str">
        <f aca="false">IF(Rider_Input[[#This Row],[Rider ID]]="","",IFERROR(ABS(INDEX(RLVL_Data,MATCH(Rider_Input[[#This Row],[Rider ID]],INDEX(RLVL_Data,0,c_RLVL_ID),0),c_RLVL_Missed)),0))</f>
        <v/>
      </c>
      <c r="I348" s="155" t="str">
        <f aca="false">IF(Rider_Input[[#This Row],[Rider ID]]="","",IFERROR(ABS(INDEX(RLVL_Data,MATCH(Rider_Input[[#This Row],[Rider ID]],INDEX(RLVL_Data,0,c_RLVL_ID),0),c_RLVL_Bal)),0))</f>
        <v/>
      </c>
      <c r="J348" s="155" t="str">
        <f aca="false">IF(Rider_Input[[#This Row],[Rider ID]]="","",IFERROR(ABS(INDEX(RLVL_Data,MATCH(Rider_Input[[#This Row],[Rider ID]],INDEX(RLVL_Data,0,c_RLVL_ID),0),c_RLVL_Stack)),0))</f>
        <v/>
      </c>
      <c r="K348" s="155" t="str">
        <f aca="false">IF(Rider_Input[[#This Row],[Rider ID]]="","",SUMIFS(Adj_Input[Other Deductions],Adj_Input[Rider ID],Rider_Input[[#This Row],[Rider ID]]))</f>
        <v/>
      </c>
      <c r="L348" s="154" t="str">
        <f aca="false">IF(Rider_Input[[#This Row],[Rider ID]]="","",IFERROR(INDEX(Adj_Input[Note / Reason],MATCH(Rider_Input[[#This Row],[Rider ID]],Adj_Input[Rider ID],0))&amp;"",""))</f>
        <v/>
      </c>
    </row>
    <row r="349" customFormat="false" ht="14.25" hidden="false" customHeight="false" outlineLevel="0" collapsed="false">
      <c r="A349" s="152" t="str">
        <f aca="false">IF(Rider_Input[[#This Row],[Rider ID]]="","",Salary_Month)</f>
        <v/>
      </c>
      <c r="B349" s="153" t="str">
        <f aca="false">IFERROR(IF(INDEX(FTR_Data,ROW()-ROW(Rider_Input[#Headers]),c_FTR_ID)="","",INDEX(FTR_Data,ROW()-ROW(Rider_Input[#Headers]),c_FTR_ID)),"")</f>
        <v/>
      </c>
      <c r="C34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4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49" s="153" t="str">
        <f aca="false">IF(Rider_Input[[#This Row],[Rider ID]]="","",DAY(EOMONTH(Salary_Month,0)))</f>
        <v/>
      </c>
      <c r="F349" s="153" t="str">
        <f aca="false">IF(Rider_Input[[#This Row],[Rider ID]]="","",IFERROR(IF(INDEX(FTR_Data,ROW()-ROW(Rider_Input[#Headers]),c_FTR_WD)="","",INDEX(FTR_Data,ROW()-ROW(Rider_Input[#Headers]),c_FTR_WD)),""))</f>
        <v/>
      </c>
      <c r="G349" s="153" t="str">
        <f aca="false">IF(Rider_Input[[#This Row],[Rider ID]]="","",IFERROR(IF(INDEX(FTR_Data,ROW()-ROW(Rider_Input[#Headers]),c_FTR_Orders)="","",INDEX(FTR_Data,ROW()-ROW(Rider_Input[#Headers]),c_FTR_Orders)),""))</f>
        <v/>
      </c>
      <c r="H349" s="155" t="str">
        <f aca="false">IF(Rider_Input[[#This Row],[Rider ID]]="","",IFERROR(ABS(INDEX(RLVL_Data,MATCH(Rider_Input[[#This Row],[Rider ID]],INDEX(RLVL_Data,0,c_RLVL_ID),0),c_RLVL_Missed)),0))</f>
        <v/>
      </c>
      <c r="I349" s="155" t="str">
        <f aca="false">IF(Rider_Input[[#This Row],[Rider ID]]="","",IFERROR(ABS(INDEX(RLVL_Data,MATCH(Rider_Input[[#This Row],[Rider ID]],INDEX(RLVL_Data,0,c_RLVL_ID),0),c_RLVL_Bal)),0))</f>
        <v/>
      </c>
      <c r="J349" s="155" t="str">
        <f aca="false">IF(Rider_Input[[#This Row],[Rider ID]]="","",IFERROR(ABS(INDEX(RLVL_Data,MATCH(Rider_Input[[#This Row],[Rider ID]],INDEX(RLVL_Data,0,c_RLVL_ID),0),c_RLVL_Stack)),0))</f>
        <v/>
      </c>
      <c r="K349" s="155" t="str">
        <f aca="false">IF(Rider_Input[[#This Row],[Rider ID]]="","",SUMIFS(Adj_Input[Other Deductions],Adj_Input[Rider ID],Rider_Input[[#This Row],[Rider ID]]))</f>
        <v/>
      </c>
      <c r="L349" s="154" t="str">
        <f aca="false">IF(Rider_Input[[#This Row],[Rider ID]]="","",IFERROR(INDEX(Adj_Input[Note / Reason],MATCH(Rider_Input[[#This Row],[Rider ID]],Adj_Input[Rider ID],0))&amp;"",""))</f>
        <v/>
      </c>
    </row>
    <row r="350" customFormat="false" ht="14.25" hidden="false" customHeight="false" outlineLevel="0" collapsed="false">
      <c r="A350" s="152" t="str">
        <f aca="false">IF(Rider_Input[[#This Row],[Rider ID]]="","",Salary_Month)</f>
        <v/>
      </c>
      <c r="B350" s="153" t="str">
        <f aca="false">IFERROR(IF(INDEX(FTR_Data,ROW()-ROW(Rider_Input[#Headers]),c_FTR_ID)="","",INDEX(FTR_Data,ROW()-ROW(Rider_Input[#Headers]),c_FTR_ID)),"")</f>
        <v/>
      </c>
      <c r="C35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5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50" s="153" t="str">
        <f aca="false">IF(Rider_Input[[#This Row],[Rider ID]]="","",DAY(EOMONTH(Salary_Month,0)))</f>
        <v/>
      </c>
      <c r="F350" s="153" t="str">
        <f aca="false">IF(Rider_Input[[#This Row],[Rider ID]]="","",IFERROR(IF(INDEX(FTR_Data,ROW()-ROW(Rider_Input[#Headers]),c_FTR_WD)="","",INDEX(FTR_Data,ROW()-ROW(Rider_Input[#Headers]),c_FTR_WD)),""))</f>
        <v/>
      </c>
      <c r="G350" s="153" t="str">
        <f aca="false">IF(Rider_Input[[#This Row],[Rider ID]]="","",IFERROR(IF(INDEX(FTR_Data,ROW()-ROW(Rider_Input[#Headers]),c_FTR_Orders)="","",INDEX(FTR_Data,ROW()-ROW(Rider_Input[#Headers]),c_FTR_Orders)),""))</f>
        <v/>
      </c>
      <c r="H350" s="155" t="str">
        <f aca="false">IF(Rider_Input[[#This Row],[Rider ID]]="","",IFERROR(ABS(INDEX(RLVL_Data,MATCH(Rider_Input[[#This Row],[Rider ID]],INDEX(RLVL_Data,0,c_RLVL_ID),0),c_RLVL_Missed)),0))</f>
        <v/>
      </c>
      <c r="I350" s="155" t="str">
        <f aca="false">IF(Rider_Input[[#This Row],[Rider ID]]="","",IFERROR(ABS(INDEX(RLVL_Data,MATCH(Rider_Input[[#This Row],[Rider ID]],INDEX(RLVL_Data,0,c_RLVL_ID),0),c_RLVL_Bal)),0))</f>
        <v/>
      </c>
      <c r="J350" s="155" t="str">
        <f aca="false">IF(Rider_Input[[#This Row],[Rider ID]]="","",IFERROR(ABS(INDEX(RLVL_Data,MATCH(Rider_Input[[#This Row],[Rider ID]],INDEX(RLVL_Data,0,c_RLVL_ID),0),c_RLVL_Stack)),0))</f>
        <v/>
      </c>
      <c r="K350" s="155" t="str">
        <f aca="false">IF(Rider_Input[[#This Row],[Rider ID]]="","",SUMIFS(Adj_Input[Other Deductions],Adj_Input[Rider ID],Rider_Input[[#This Row],[Rider ID]]))</f>
        <v/>
      </c>
      <c r="L350" s="154" t="str">
        <f aca="false">IF(Rider_Input[[#This Row],[Rider ID]]="","",IFERROR(INDEX(Adj_Input[Note / Reason],MATCH(Rider_Input[[#This Row],[Rider ID]],Adj_Input[Rider ID],0))&amp;"",""))</f>
        <v/>
      </c>
    </row>
    <row r="351" customFormat="false" ht="14.25" hidden="false" customHeight="false" outlineLevel="0" collapsed="false">
      <c r="A351" s="152" t="str">
        <f aca="false">IF(Rider_Input[[#This Row],[Rider ID]]="","",Salary_Month)</f>
        <v/>
      </c>
      <c r="B351" s="153" t="str">
        <f aca="false">IFERROR(IF(INDEX(FTR_Data,ROW()-ROW(Rider_Input[#Headers]),c_FTR_ID)="","",INDEX(FTR_Data,ROW()-ROW(Rider_Input[#Headers]),c_FTR_ID)),"")</f>
        <v/>
      </c>
      <c r="C35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5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51" s="153" t="str">
        <f aca="false">IF(Rider_Input[[#This Row],[Rider ID]]="","",DAY(EOMONTH(Salary_Month,0)))</f>
        <v/>
      </c>
      <c r="F351" s="153" t="str">
        <f aca="false">IF(Rider_Input[[#This Row],[Rider ID]]="","",IFERROR(IF(INDEX(FTR_Data,ROW()-ROW(Rider_Input[#Headers]),c_FTR_WD)="","",INDEX(FTR_Data,ROW()-ROW(Rider_Input[#Headers]),c_FTR_WD)),""))</f>
        <v/>
      </c>
      <c r="G351" s="153" t="str">
        <f aca="false">IF(Rider_Input[[#This Row],[Rider ID]]="","",IFERROR(IF(INDEX(FTR_Data,ROW()-ROW(Rider_Input[#Headers]),c_FTR_Orders)="","",INDEX(FTR_Data,ROW()-ROW(Rider_Input[#Headers]),c_FTR_Orders)),""))</f>
        <v/>
      </c>
      <c r="H351" s="155" t="str">
        <f aca="false">IF(Rider_Input[[#This Row],[Rider ID]]="","",IFERROR(ABS(INDEX(RLVL_Data,MATCH(Rider_Input[[#This Row],[Rider ID]],INDEX(RLVL_Data,0,c_RLVL_ID),0),c_RLVL_Missed)),0))</f>
        <v/>
      </c>
      <c r="I351" s="155" t="str">
        <f aca="false">IF(Rider_Input[[#This Row],[Rider ID]]="","",IFERROR(ABS(INDEX(RLVL_Data,MATCH(Rider_Input[[#This Row],[Rider ID]],INDEX(RLVL_Data,0,c_RLVL_ID),0),c_RLVL_Bal)),0))</f>
        <v/>
      </c>
      <c r="J351" s="155" t="str">
        <f aca="false">IF(Rider_Input[[#This Row],[Rider ID]]="","",IFERROR(ABS(INDEX(RLVL_Data,MATCH(Rider_Input[[#This Row],[Rider ID]],INDEX(RLVL_Data,0,c_RLVL_ID),0),c_RLVL_Stack)),0))</f>
        <v/>
      </c>
      <c r="K351" s="155" t="str">
        <f aca="false">IF(Rider_Input[[#This Row],[Rider ID]]="","",SUMIFS(Adj_Input[Other Deductions],Adj_Input[Rider ID],Rider_Input[[#This Row],[Rider ID]]))</f>
        <v/>
      </c>
      <c r="L351" s="154" t="str">
        <f aca="false">IF(Rider_Input[[#This Row],[Rider ID]]="","",IFERROR(INDEX(Adj_Input[Note / Reason],MATCH(Rider_Input[[#This Row],[Rider ID]],Adj_Input[Rider ID],0))&amp;"",""))</f>
        <v/>
      </c>
    </row>
    <row r="352" customFormat="false" ht="14.25" hidden="false" customHeight="false" outlineLevel="0" collapsed="false">
      <c r="A352" s="152" t="str">
        <f aca="false">IF(Rider_Input[[#This Row],[Rider ID]]="","",Salary_Month)</f>
        <v/>
      </c>
      <c r="B352" s="153" t="str">
        <f aca="false">IFERROR(IF(INDEX(FTR_Data,ROW()-ROW(Rider_Input[#Headers]),c_FTR_ID)="","",INDEX(FTR_Data,ROW()-ROW(Rider_Input[#Headers]),c_FTR_ID)),"")</f>
        <v/>
      </c>
      <c r="C35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5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52" s="153" t="str">
        <f aca="false">IF(Rider_Input[[#This Row],[Rider ID]]="","",DAY(EOMONTH(Salary_Month,0)))</f>
        <v/>
      </c>
      <c r="F352" s="153" t="str">
        <f aca="false">IF(Rider_Input[[#This Row],[Rider ID]]="","",IFERROR(IF(INDEX(FTR_Data,ROW()-ROW(Rider_Input[#Headers]),c_FTR_WD)="","",INDEX(FTR_Data,ROW()-ROW(Rider_Input[#Headers]),c_FTR_WD)),""))</f>
        <v/>
      </c>
      <c r="G352" s="153" t="str">
        <f aca="false">IF(Rider_Input[[#This Row],[Rider ID]]="","",IFERROR(IF(INDEX(FTR_Data,ROW()-ROW(Rider_Input[#Headers]),c_FTR_Orders)="","",INDEX(FTR_Data,ROW()-ROW(Rider_Input[#Headers]),c_FTR_Orders)),""))</f>
        <v/>
      </c>
      <c r="H352" s="155" t="str">
        <f aca="false">IF(Rider_Input[[#This Row],[Rider ID]]="","",IFERROR(ABS(INDEX(RLVL_Data,MATCH(Rider_Input[[#This Row],[Rider ID]],INDEX(RLVL_Data,0,c_RLVL_ID),0),c_RLVL_Missed)),0))</f>
        <v/>
      </c>
      <c r="I352" s="155" t="str">
        <f aca="false">IF(Rider_Input[[#This Row],[Rider ID]]="","",IFERROR(ABS(INDEX(RLVL_Data,MATCH(Rider_Input[[#This Row],[Rider ID]],INDEX(RLVL_Data,0,c_RLVL_ID),0),c_RLVL_Bal)),0))</f>
        <v/>
      </c>
      <c r="J352" s="155" t="str">
        <f aca="false">IF(Rider_Input[[#This Row],[Rider ID]]="","",IFERROR(ABS(INDEX(RLVL_Data,MATCH(Rider_Input[[#This Row],[Rider ID]],INDEX(RLVL_Data,0,c_RLVL_ID),0),c_RLVL_Stack)),0))</f>
        <v/>
      </c>
      <c r="K352" s="155" t="str">
        <f aca="false">IF(Rider_Input[[#This Row],[Rider ID]]="","",SUMIFS(Adj_Input[Other Deductions],Adj_Input[Rider ID],Rider_Input[[#This Row],[Rider ID]]))</f>
        <v/>
      </c>
      <c r="L352" s="154" t="str">
        <f aca="false">IF(Rider_Input[[#This Row],[Rider ID]]="","",IFERROR(INDEX(Adj_Input[Note / Reason],MATCH(Rider_Input[[#This Row],[Rider ID]],Adj_Input[Rider ID],0))&amp;"",""))</f>
        <v/>
      </c>
    </row>
    <row r="353" customFormat="false" ht="14.25" hidden="false" customHeight="false" outlineLevel="0" collapsed="false">
      <c r="A353" s="152" t="str">
        <f aca="false">IF(Rider_Input[[#This Row],[Rider ID]]="","",Salary_Month)</f>
        <v/>
      </c>
      <c r="B353" s="153" t="str">
        <f aca="false">IFERROR(IF(INDEX(FTR_Data,ROW()-ROW(Rider_Input[#Headers]),c_FTR_ID)="","",INDEX(FTR_Data,ROW()-ROW(Rider_Input[#Headers]),c_FTR_ID)),"")</f>
        <v/>
      </c>
      <c r="C35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5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53" s="153" t="str">
        <f aca="false">IF(Rider_Input[[#This Row],[Rider ID]]="","",DAY(EOMONTH(Salary_Month,0)))</f>
        <v/>
      </c>
      <c r="F353" s="153" t="str">
        <f aca="false">IF(Rider_Input[[#This Row],[Rider ID]]="","",IFERROR(IF(INDEX(FTR_Data,ROW()-ROW(Rider_Input[#Headers]),c_FTR_WD)="","",INDEX(FTR_Data,ROW()-ROW(Rider_Input[#Headers]),c_FTR_WD)),""))</f>
        <v/>
      </c>
      <c r="G353" s="153" t="str">
        <f aca="false">IF(Rider_Input[[#This Row],[Rider ID]]="","",IFERROR(IF(INDEX(FTR_Data,ROW()-ROW(Rider_Input[#Headers]),c_FTR_Orders)="","",INDEX(FTR_Data,ROW()-ROW(Rider_Input[#Headers]),c_FTR_Orders)),""))</f>
        <v/>
      </c>
      <c r="H353" s="155" t="str">
        <f aca="false">IF(Rider_Input[[#This Row],[Rider ID]]="","",IFERROR(ABS(INDEX(RLVL_Data,MATCH(Rider_Input[[#This Row],[Rider ID]],INDEX(RLVL_Data,0,c_RLVL_ID),0),c_RLVL_Missed)),0))</f>
        <v/>
      </c>
      <c r="I353" s="155" t="str">
        <f aca="false">IF(Rider_Input[[#This Row],[Rider ID]]="","",IFERROR(ABS(INDEX(RLVL_Data,MATCH(Rider_Input[[#This Row],[Rider ID]],INDEX(RLVL_Data,0,c_RLVL_ID),0),c_RLVL_Bal)),0))</f>
        <v/>
      </c>
      <c r="J353" s="155" t="str">
        <f aca="false">IF(Rider_Input[[#This Row],[Rider ID]]="","",IFERROR(ABS(INDEX(RLVL_Data,MATCH(Rider_Input[[#This Row],[Rider ID]],INDEX(RLVL_Data,0,c_RLVL_ID),0),c_RLVL_Stack)),0))</f>
        <v/>
      </c>
      <c r="K353" s="155" t="str">
        <f aca="false">IF(Rider_Input[[#This Row],[Rider ID]]="","",SUMIFS(Adj_Input[Other Deductions],Adj_Input[Rider ID],Rider_Input[[#This Row],[Rider ID]]))</f>
        <v/>
      </c>
      <c r="L353" s="154" t="str">
        <f aca="false">IF(Rider_Input[[#This Row],[Rider ID]]="","",IFERROR(INDEX(Adj_Input[Note / Reason],MATCH(Rider_Input[[#This Row],[Rider ID]],Adj_Input[Rider ID],0))&amp;"",""))</f>
        <v/>
      </c>
    </row>
    <row r="354" customFormat="false" ht="14.25" hidden="false" customHeight="false" outlineLevel="0" collapsed="false">
      <c r="A354" s="152" t="str">
        <f aca="false">IF(Rider_Input[[#This Row],[Rider ID]]="","",Salary_Month)</f>
        <v/>
      </c>
      <c r="B354" s="153" t="str">
        <f aca="false">IFERROR(IF(INDEX(FTR_Data,ROW()-ROW(Rider_Input[#Headers]),c_FTR_ID)="","",INDEX(FTR_Data,ROW()-ROW(Rider_Input[#Headers]),c_FTR_ID)),"")</f>
        <v/>
      </c>
      <c r="C35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5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54" s="153" t="str">
        <f aca="false">IF(Rider_Input[[#This Row],[Rider ID]]="","",DAY(EOMONTH(Salary_Month,0)))</f>
        <v/>
      </c>
      <c r="F354" s="153" t="str">
        <f aca="false">IF(Rider_Input[[#This Row],[Rider ID]]="","",IFERROR(IF(INDEX(FTR_Data,ROW()-ROW(Rider_Input[#Headers]),c_FTR_WD)="","",INDEX(FTR_Data,ROW()-ROW(Rider_Input[#Headers]),c_FTR_WD)),""))</f>
        <v/>
      </c>
      <c r="G354" s="153" t="str">
        <f aca="false">IF(Rider_Input[[#This Row],[Rider ID]]="","",IFERROR(IF(INDEX(FTR_Data,ROW()-ROW(Rider_Input[#Headers]),c_FTR_Orders)="","",INDEX(FTR_Data,ROW()-ROW(Rider_Input[#Headers]),c_FTR_Orders)),""))</f>
        <v/>
      </c>
      <c r="H354" s="155" t="str">
        <f aca="false">IF(Rider_Input[[#This Row],[Rider ID]]="","",IFERROR(ABS(INDEX(RLVL_Data,MATCH(Rider_Input[[#This Row],[Rider ID]],INDEX(RLVL_Data,0,c_RLVL_ID),0),c_RLVL_Missed)),0))</f>
        <v/>
      </c>
      <c r="I354" s="155" t="str">
        <f aca="false">IF(Rider_Input[[#This Row],[Rider ID]]="","",IFERROR(ABS(INDEX(RLVL_Data,MATCH(Rider_Input[[#This Row],[Rider ID]],INDEX(RLVL_Data,0,c_RLVL_ID),0),c_RLVL_Bal)),0))</f>
        <v/>
      </c>
      <c r="J354" s="155" t="str">
        <f aca="false">IF(Rider_Input[[#This Row],[Rider ID]]="","",IFERROR(ABS(INDEX(RLVL_Data,MATCH(Rider_Input[[#This Row],[Rider ID]],INDEX(RLVL_Data,0,c_RLVL_ID),0),c_RLVL_Stack)),0))</f>
        <v/>
      </c>
      <c r="K354" s="155" t="str">
        <f aca="false">IF(Rider_Input[[#This Row],[Rider ID]]="","",SUMIFS(Adj_Input[Other Deductions],Adj_Input[Rider ID],Rider_Input[[#This Row],[Rider ID]]))</f>
        <v/>
      </c>
      <c r="L354" s="154" t="str">
        <f aca="false">IF(Rider_Input[[#This Row],[Rider ID]]="","",IFERROR(INDEX(Adj_Input[Note / Reason],MATCH(Rider_Input[[#This Row],[Rider ID]],Adj_Input[Rider ID],0))&amp;"",""))</f>
        <v/>
      </c>
    </row>
    <row r="355" customFormat="false" ht="14.25" hidden="false" customHeight="false" outlineLevel="0" collapsed="false">
      <c r="A355" s="152" t="str">
        <f aca="false">IF(Rider_Input[[#This Row],[Rider ID]]="","",Salary_Month)</f>
        <v/>
      </c>
      <c r="B355" s="153" t="str">
        <f aca="false">IFERROR(IF(INDEX(FTR_Data,ROW()-ROW(Rider_Input[#Headers]),c_FTR_ID)="","",INDEX(FTR_Data,ROW()-ROW(Rider_Input[#Headers]),c_FTR_ID)),"")</f>
        <v/>
      </c>
      <c r="C35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5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55" s="153" t="str">
        <f aca="false">IF(Rider_Input[[#This Row],[Rider ID]]="","",DAY(EOMONTH(Salary_Month,0)))</f>
        <v/>
      </c>
      <c r="F355" s="153" t="str">
        <f aca="false">IF(Rider_Input[[#This Row],[Rider ID]]="","",IFERROR(IF(INDEX(FTR_Data,ROW()-ROW(Rider_Input[#Headers]),c_FTR_WD)="","",INDEX(FTR_Data,ROW()-ROW(Rider_Input[#Headers]),c_FTR_WD)),""))</f>
        <v/>
      </c>
      <c r="G355" s="153" t="str">
        <f aca="false">IF(Rider_Input[[#This Row],[Rider ID]]="","",IFERROR(IF(INDEX(FTR_Data,ROW()-ROW(Rider_Input[#Headers]),c_FTR_Orders)="","",INDEX(FTR_Data,ROW()-ROW(Rider_Input[#Headers]),c_FTR_Orders)),""))</f>
        <v/>
      </c>
      <c r="H355" s="155" t="str">
        <f aca="false">IF(Rider_Input[[#This Row],[Rider ID]]="","",IFERROR(ABS(INDEX(RLVL_Data,MATCH(Rider_Input[[#This Row],[Rider ID]],INDEX(RLVL_Data,0,c_RLVL_ID),0),c_RLVL_Missed)),0))</f>
        <v/>
      </c>
      <c r="I355" s="155" t="str">
        <f aca="false">IF(Rider_Input[[#This Row],[Rider ID]]="","",IFERROR(ABS(INDEX(RLVL_Data,MATCH(Rider_Input[[#This Row],[Rider ID]],INDEX(RLVL_Data,0,c_RLVL_ID),0),c_RLVL_Bal)),0))</f>
        <v/>
      </c>
      <c r="J355" s="155" t="str">
        <f aca="false">IF(Rider_Input[[#This Row],[Rider ID]]="","",IFERROR(ABS(INDEX(RLVL_Data,MATCH(Rider_Input[[#This Row],[Rider ID]],INDEX(RLVL_Data,0,c_RLVL_ID),0),c_RLVL_Stack)),0))</f>
        <v/>
      </c>
      <c r="K355" s="155" t="str">
        <f aca="false">IF(Rider_Input[[#This Row],[Rider ID]]="","",SUMIFS(Adj_Input[Other Deductions],Adj_Input[Rider ID],Rider_Input[[#This Row],[Rider ID]]))</f>
        <v/>
      </c>
      <c r="L355" s="154" t="str">
        <f aca="false">IF(Rider_Input[[#This Row],[Rider ID]]="","",IFERROR(INDEX(Adj_Input[Note / Reason],MATCH(Rider_Input[[#This Row],[Rider ID]],Adj_Input[Rider ID],0))&amp;"",""))</f>
        <v/>
      </c>
    </row>
    <row r="356" customFormat="false" ht="14.25" hidden="false" customHeight="false" outlineLevel="0" collapsed="false">
      <c r="A356" s="152" t="str">
        <f aca="false">IF(Rider_Input[[#This Row],[Rider ID]]="","",Salary_Month)</f>
        <v/>
      </c>
      <c r="B356" s="153" t="str">
        <f aca="false">IFERROR(IF(INDEX(FTR_Data,ROW()-ROW(Rider_Input[#Headers]),c_FTR_ID)="","",INDEX(FTR_Data,ROW()-ROW(Rider_Input[#Headers]),c_FTR_ID)),"")</f>
        <v/>
      </c>
      <c r="C35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5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56" s="153" t="str">
        <f aca="false">IF(Rider_Input[[#This Row],[Rider ID]]="","",DAY(EOMONTH(Salary_Month,0)))</f>
        <v/>
      </c>
      <c r="F356" s="153" t="str">
        <f aca="false">IF(Rider_Input[[#This Row],[Rider ID]]="","",IFERROR(IF(INDEX(FTR_Data,ROW()-ROW(Rider_Input[#Headers]),c_FTR_WD)="","",INDEX(FTR_Data,ROW()-ROW(Rider_Input[#Headers]),c_FTR_WD)),""))</f>
        <v/>
      </c>
      <c r="G356" s="153" t="str">
        <f aca="false">IF(Rider_Input[[#This Row],[Rider ID]]="","",IFERROR(IF(INDEX(FTR_Data,ROW()-ROW(Rider_Input[#Headers]),c_FTR_Orders)="","",INDEX(FTR_Data,ROW()-ROW(Rider_Input[#Headers]),c_FTR_Orders)),""))</f>
        <v/>
      </c>
      <c r="H356" s="155" t="str">
        <f aca="false">IF(Rider_Input[[#This Row],[Rider ID]]="","",IFERROR(ABS(INDEX(RLVL_Data,MATCH(Rider_Input[[#This Row],[Rider ID]],INDEX(RLVL_Data,0,c_RLVL_ID),0),c_RLVL_Missed)),0))</f>
        <v/>
      </c>
      <c r="I356" s="155" t="str">
        <f aca="false">IF(Rider_Input[[#This Row],[Rider ID]]="","",IFERROR(ABS(INDEX(RLVL_Data,MATCH(Rider_Input[[#This Row],[Rider ID]],INDEX(RLVL_Data,0,c_RLVL_ID),0),c_RLVL_Bal)),0))</f>
        <v/>
      </c>
      <c r="J356" s="155" t="str">
        <f aca="false">IF(Rider_Input[[#This Row],[Rider ID]]="","",IFERROR(ABS(INDEX(RLVL_Data,MATCH(Rider_Input[[#This Row],[Rider ID]],INDEX(RLVL_Data,0,c_RLVL_ID),0),c_RLVL_Stack)),0))</f>
        <v/>
      </c>
      <c r="K356" s="155" t="str">
        <f aca="false">IF(Rider_Input[[#This Row],[Rider ID]]="","",SUMIFS(Adj_Input[Other Deductions],Adj_Input[Rider ID],Rider_Input[[#This Row],[Rider ID]]))</f>
        <v/>
      </c>
      <c r="L356" s="154" t="str">
        <f aca="false">IF(Rider_Input[[#This Row],[Rider ID]]="","",IFERROR(INDEX(Adj_Input[Note / Reason],MATCH(Rider_Input[[#This Row],[Rider ID]],Adj_Input[Rider ID],0))&amp;"",""))</f>
        <v/>
      </c>
    </row>
    <row r="357" customFormat="false" ht="14.25" hidden="false" customHeight="false" outlineLevel="0" collapsed="false">
      <c r="A357" s="152" t="str">
        <f aca="false">IF(Rider_Input[[#This Row],[Rider ID]]="","",Salary_Month)</f>
        <v/>
      </c>
      <c r="B357" s="153" t="str">
        <f aca="false">IFERROR(IF(INDEX(FTR_Data,ROW()-ROW(Rider_Input[#Headers]),c_FTR_ID)="","",INDEX(FTR_Data,ROW()-ROW(Rider_Input[#Headers]),c_FTR_ID)),"")</f>
        <v/>
      </c>
      <c r="C35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5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57" s="153" t="str">
        <f aca="false">IF(Rider_Input[[#This Row],[Rider ID]]="","",DAY(EOMONTH(Salary_Month,0)))</f>
        <v/>
      </c>
      <c r="F357" s="153" t="str">
        <f aca="false">IF(Rider_Input[[#This Row],[Rider ID]]="","",IFERROR(IF(INDEX(FTR_Data,ROW()-ROW(Rider_Input[#Headers]),c_FTR_WD)="","",INDEX(FTR_Data,ROW()-ROW(Rider_Input[#Headers]),c_FTR_WD)),""))</f>
        <v/>
      </c>
      <c r="G357" s="153" t="str">
        <f aca="false">IF(Rider_Input[[#This Row],[Rider ID]]="","",IFERROR(IF(INDEX(FTR_Data,ROW()-ROW(Rider_Input[#Headers]),c_FTR_Orders)="","",INDEX(FTR_Data,ROW()-ROW(Rider_Input[#Headers]),c_FTR_Orders)),""))</f>
        <v/>
      </c>
      <c r="H357" s="155" t="str">
        <f aca="false">IF(Rider_Input[[#This Row],[Rider ID]]="","",IFERROR(ABS(INDEX(RLVL_Data,MATCH(Rider_Input[[#This Row],[Rider ID]],INDEX(RLVL_Data,0,c_RLVL_ID),0),c_RLVL_Missed)),0))</f>
        <v/>
      </c>
      <c r="I357" s="155" t="str">
        <f aca="false">IF(Rider_Input[[#This Row],[Rider ID]]="","",IFERROR(ABS(INDEX(RLVL_Data,MATCH(Rider_Input[[#This Row],[Rider ID]],INDEX(RLVL_Data,0,c_RLVL_ID),0),c_RLVL_Bal)),0))</f>
        <v/>
      </c>
      <c r="J357" s="155" t="str">
        <f aca="false">IF(Rider_Input[[#This Row],[Rider ID]]="","",IFERROR(ABS(INDEX(RLVL_Data,MATCH(Rider_Input[[#This Row],[Rider ID]],INDEX(RLVL_Data,0,c_RLVL_ID),0),c_RLVL_Stack)),0))</f>
        <v/>
      </c>
      <c r="K357" s="155" t="str">
        <f aca="false">IF(Rider_Input[[#This Row],[Rider ID]]="","",SUMIFS(Adj_Input[Other Deductions],Adj_Input[Rider ID],Rider_Input[[#This Row],[Rider ID]]))</f>
        <v/>
      </c>
      <c r="L357" s="154" t="str">
        <f aca="false">IF(Rider_Input[[#This Row],[Rider ID]]="","",IFERROR(INDEX(Adj_Input[Note / Reason],MATCH(Rider_Input[[#This Row],[Rider ID]],Adj_Input[Rider ID],0))&amp;"",""))</f>
        <v/>
      </c>
    </row>
    <row r="358" customFormat="false" ht="14.25" hidden="false" customHeight="false" outlineLevel="0" collapsed="false">
      <c r="A358" s="152" t="str">
        <f aca="false">IF(Rider_Input[[#This Row],[Rider ID]]="","",Salary_Month)</f>
        <v/>
      </c>
      <c r="B358" s="153" t="str">
        <f aca="false">IFERROR(IF(INDEX(FTR_Data,ROW()-ROW(Rider_Input[#Headers]),c_FTR_ID)="","",INDEX(FTR_Data,ROW()-ROW(Rider_Input[#Headers]),c_FTR_ID)),"")</f>
        <v/>
      </c>
      <c r="C35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5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58" s="153" t="str">
        <f aca="false">IF(Rider_Input[[#This Row],[Rider ID]]="","",DAY(EOMONTH(Salary_Month,0)))</f>
        <v/>
      </c>
      <c r="F358" s="153" t="str">
        <f aca="false">IF(Rider_Input[[#This Row],[Rider ID]]="","",IFERROR(IF(INDEX(FTR_Data,ROW()-ROW(Rider_Input[#Headers]),c_FTR_WD)="","",INDEX(FTR_Data,ROW()-ROW(Rider_Input[#Headers]),c_FTR_WD)),""))</f>
        <v/>
      </c>
      <c r="G358" s="153" t="str">
        <f aca="false">IF(Rider_Input[[#This Row],[Rider ID]]="","",IFERROR(IF(INDEX(FTR_Data,ROW()-ROW(Rider_Input[#Headers]),c_FTR_Orders)="","",INDEX(FTR_Data,ROW()-ROW(Rider_Input[#Headers]),c_FTR_Orders)),""))</f>
        <v/>
      </c>
      <c r="H358" s="155" t="str">
        <f aca="false">IF(Rider_Input[[#This Row],[Rider ID]]="","",IFERROR(ABS(INDEX(RLVL_Data,MATCH(Rider_Input[[#This Row],[Rider ID]],INDEX(RLVL_Data,0,c_RLVL_ID),0),c_RLVL_Missed)),0))</f>
        <v/>
      </c>
      <c r="I358" s="155" t="str">
        <f aca="false">IF(Rider_Input[[#This Row],[Rider ID]]="","",IFERROR(ABS(INDEX(RLVL_Data,MATCH(Rider_Input[[#This Row],[Rider ID]],INDEX(RLVL_Data,0,c_RLVL_ID),0),c_RLVL_Bal)),0))</f>
        <v/>
      </c>
      <c r="J358" s="155" t="str">
        <f aca="false">IF(Rider_Input[[#This Row],[Rider ID]]="","",IFERROR(ABS(INDEX(RLVL_Data,MATCH(Rider_Input[[#This Row],[Rider ID]],INDEX(RLVL_Data,0,c_RLVL_ID),0),c_RLVL_Stack)),0))</f>
        <v/>
      </c>
      <c r="K358" s="155" t="str">
        <f aca="false">IF(Rider_Input[[#This Row],[Rider ID]]="","",SUMIFS(Adj_Input[Other Deductions],Adj_Input[Rider ID],Rider_Input[[#This Row],[Rider ID]]))</f>
        <v/>
      </c>
      <c r="L358" s="154" t="str">
        <f aca="false">IF(Rider_Input[[#This Row],[Rider ID]]="","",IFERROR(INDEX(Adj_Input[Note / Reason],MATCH(Rider_Input[[#This Row],[Rider ID]],Adj_Input[Rider ID],0))&amp;"",""))</f>
        <v/>
      </c>
    </row>
    <row r="359" customFormat="false" ht="14.25" hidden="false" customHeight="false" outlineLevel="0" collapsed="false">
      <c r="A359" s="152" t="str">
        <f aca="false">IF(Rider_Input[[#This Row],[Rider ID]]="","",Salary_Month)</f>
        <v/>
      </c>
      <c r="B359" s="153" t="str">
        <f aca="false">IFERROR(IF(INDEX(FTR_Data,ROW()-ROW(Rider_Input[#Headers]),c_FTR_ID)="","",INDEX(FTR_Data,ROW()-ROW(Rider_Input[#Headers]),c_FTR_ID)),"")</f>
        <v/>
      </c>
      <c r="C35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5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59" s="153" t="str">
        <f aca="false">IF(Rider_Input[[#This Row],[Rider ID]]="","",DAY(EOMONTH(Salary_Month,0)))</f>
        <v/>
      </c>
      <c r="F359" s="153" t="str">
        <f aca="false">IF(Rider_Input[[#This Row],[Rider ID]]="","",IFERROR(IF(INDEX(FTR_Data,ROW()-ROW(Rider_Input[#Headers]),c_FTR_WD)="","",INDEX(FTR_Data,ROW()-ROW(Rider_Input[#Headers]),c_FTR_WD)),""))</f>
        <v/>
      </c>
      <c r="G359" s="153" t="str">
        <f aca="false">IF(Rider_Input[[#This Row],[Rider ID]]="","",IFERROR(IF(INDEX(FTR_Data,ROW()-ROW(Rider_Input[#Headers]),c_FTR_Orders)="","",INDEX(FTR_Data,ROW()-ROW(Rider_Input[#Headers]),c_FTR_Orders)),""))</f>
        <v/>
      </c>
      <c r="H359" s="155" t="str">
        <f aca="false">IF(Rider_Input[[#This Row],[Rider ID]]="","",IFERROR(ABS(INDEX(RLVL_Data,MATCH(Rider_Input[[#This Row],[Rider ID]],INDEX(RLVL_Data,0,c_RLVL_ID),0),c_RLVL_Missed)),0))</f>
        <v/>
      </c>
      <c r="I359" s="155" t="str">
        <f aca="false">IF(Rider_Input[[#This Row],[Rider ID]]="","",IFERROR(ABS(INDEX(RLVL_Data,MATCH(Rider_Input[[#This Row],[Rider ID]],INDEX(RLVL_Data,0,c_RLVL_ID),0),c_RLVL_Bal)),0))</f>
        <v/>
      </c>
      <c r="J359" s="155" t="str">
        <f aca="false">IF(Rider_Input[[#This Row],[Rider ID]]="","",IFERROR(ABS(INDEX(RLVL_Data,MATCH(Rider_Input[[#This Row],[Rider ID]],INDEX(RLVL_Data,0,c_RLVL_ID),0),c_RLVL_Stack)),0))</f>
        <v/>
      </c>
      <c r="K359" s="155" t="str">
        <f aca="false">IF(Rider_Input[[#This Row],[Rider ID]]="","",SUMIFS(Adj_Input[Other Deductions],Adj_Input[Rider ID],Rider_Input[[#This Row],[Rider ID]]))</f>
        <v/>
      </c>
      <c r="L359" s="154" t="str">
        <f aca="false">IF(Rider_Input[[#This Row],[Rider ID]]="","",IFERROR(INDEX(Adj_Input[Note / Reason],MATCH(Rider_Input[[#This Row],[Rider ID]],Adj_Input[Rider ID],0))&amp;"",""))</f>
        <v/>
      </c>
    </row>
    <row r="360" customFormat="false" ht="14.25" hidden="false" customHeight="false" outlineLevel="0" collapsed="false">
      <c r="A360" s="152" t="str">
        <f aca="false">IF(Rider_Input[[#This Row],[Rider ID]]="","",Salary_Month)</f>
        <v/>
      </c>
      <c r="B360" s="153" t="str">
        <f aca="false">IFERROR(IF(INDEX(FTR_Data,ROW()-ROW(Rider_Input[#Headers]),c_FTR_ID)="","",INDEX(FTR_Data,ROW()-ROW(Rider_Input[#Headers]),c_FTR_ID)),"")</f>
        <v/>
      </c>
      <c r="C36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6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60" s="153" t="str">
        <f aca="false">IF(Rider_Input[[#This Row],[Rider ID]]="","",DAY(EOMONTH(Salary_Month,0)))</f>
        <v/>
      </c>
      <c r="F360" s="153" t="str">
        <f aca="false">IF(Rider_Input[[#This Row],[Rider ID]]="","",IFERROR(IF(INDEX(FTR_Data,ROW()-ROW(Rider_Input[#Headers]),c_FTR_WD)="","",INDEX(FTR_Data,ROW()-ROW(Rider_Input[#Headers]),c_FTR_WD)),""))</f>
        <v/>
      </c>
      <c r="G360" s="153" t="str">
        <f aca="false">IF(Rider_Input[[#This Row],[Rider ID]]="","",IFERROR(IF(INDEX(FTR_Data,ROW()-ROW(Rider_Input[#Headers]),c_FTR_Orders)="","",INDEX(FTR_Data,ROW()-ROW(Rider_Input[#Headers]),c_FTR_Orders)),""))</f>
        <v/>
      </c>
      <c r="H360" s="155" t="str">
        <f aca="false">IF(Rider_Input[[#This Row],[Rider ID]]="","",IFERROR(ABS(INDEX(RLVL_Data,MATCH(Rider_Input[[#This Row],[Rider ID]],INDEX(RLVL_Data,0,c_RLVL_ID),0),c_RLVL_Missed)),0))</f>
        <v/>
      </c>
      <c r="I360" s="155" t="str">
        <f aca="false">IF(Rider_Input[[#This Row],[Rider ID]]="","",IFERROR(ABS(INDEX(RLVL_Data,MATCH(Rider_Input[[#This Row],[Rider ID]],INDEX(RLVL_Data,0,c_RLVL_ID),0),c_RLVL_Bal)),0))</f>
        <v/>
      </c>
      <c r="J360" s="155" t="str">
        <f aca="false">IF(Rider_Input[[#This Row],[Rider ID]]="","",IFERROR(ABS(INDEX(RLVL_Data,MATCH(Rider_Input[[#This Row],[Rider ID]],INDEX(RLVL_Data,0,c_RLVL_ID),0),c_RLVL_Stack)),0))</f>
        <v/>
      </c>
      <c r="K360" s="155" t="str">
        <f aca="false">IF(Rider_Input[[#This Row],[Rider ID]]="","",SUMIFS(Adj_Input[Other Deductions],Adj_Input[Rider ID],Rider_Input[[#This Row],[Rider ID]]))</f>
        <v/>
      </c>
      <c r="L360" s="154" t="str">
        <f aca="false">IF(Rider_Input[[#This Row],[Rider ID]]="","",IFERROR(INDEX(Adj_Input[Note / Reason],MATCH(Rider_Input[[#This Row],[Rider ID]],Adj_Input[Rider ID],0))&amp;"",""))</f>
        <v/>
      </c>
    </row>
    <row r="361" customFormat="false" ht="14.25" hidden="false" customHeight="false" outlineLevel="0" collapsed="false">
      <c r="A361" s="152" t="str">
        <f aca="false">IF(Rider_Input[[#This Row],[Rider ID]]="","",Salary_Month)</f>
        <v/>
      </c>
      <c r="B361" s="153" t="str">
        <f aca="false">IFERROR(IF(INDEX(FTR_Data,ROW()-ROW(Rider_Input[#Headers]),c_FTR_ID)="","",INDEX(FTR_Data,ROW()-ROW(Rider_Input[#Headers]),c_FTR_ID)),"")</f>
        <v/>
      </c>
      <c r="C36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6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61" s="153" t="str">
        <f aca="false">IF(Rider_Input[[#This Row],[Rider ID]]="","",DAY(EOMONTH(Salary_Month,0)))</f>
        <v/>
      </c>
      <c r="F361" s="153" t="str">
        <f aca="false">IF(Rider_Input[[#This Row],[Rider ID]]="","",IFERROR(IF(INDEX(FTR_Data,ROW()-ROW(Rider_Input[#Headers]),c_FTR_WD)="","",INDEX(FTR_Data,ROW()-ROW(Rider_Input[#Headers]),c_FTR_WD)),""))</f>
        <v/>
      </c>
      <c r="G361" s="153" t="str">
        <f aca="false">IF(Rider_Input[[#This Row],[Rider ID]]="","",IFERROR(IF(INDEX(FTR_Data,ROW()-ROW(Rider_Input[#Headers]),c_FTR_Orders)="","",INDEX(FTR_Data,ROW()-ROW(Rider_Input[#Headers]),c_FTR_Orders)),""))</f>
        <v/>
      </c>
      <c r="H361" s="155" t="str">
        <f aca="false">IF(Rider_Input[[#This Row],[Rider ID]]="","",IFERROR(ABS(INDEX(RLVL_Data,MATCH(Rider_Input[[#This Row],[Rider ID]],INDEX(RLVL_Data,0,c_RLVL_ID),0),c_RLVL_Missed)),0))</f>
        <v/>
      </c>
      <c r="I361" s="155" t="str">
        <f aca="false">IF(Rider_Input[[#This Row],[Rider ID]]="","",IFERROR(ABS(INDEX(RLVL_Data,MATCH(Rider_Input[[#This Row],[Rider ID]],INDEX(RLVL_Data,0,c_RLVL_ID),0),c_RLVL_Bal)),0))</f>
        <v/>
      </c>
      <c r="J361" s="155" t="str">
        <f aca="false">IF(Rider_Input[[#This Row],[Rider ID]]="","",IFERROR(ABS(INDEX(RLVL_Data,MATCH(Rider_Input[[#This Row],[Rider ID]],INDEX(RLVL_Data,0,c_RLVL_ID),0),c_RLVL_Stack)),0))</f>
        <v/>
      </c>
      <c r="K361" s="155" t="str">
        <f aca="false">IF(Rider_Input[[#This Row],[Rider ID]]="","",SUMIFS(Adj_Input[Other Deductions],Adj_Input[Rider ID],Rider_Input[[#This Row],[Rider ID]]))</f>
        <v/>
      </c>
      <c r="L361" s="154" t="str">
        <f aca="false">IF(Rider_Input[[#This Row],[Rider ID]]="","",IFERROR(INDEX(Adj_Input[Note / Reason],MATCH(Rider_Input[[#This Row],[Rider ID]],Adj_Input[Rider ID],0))&amp;"",""))</f>
        <v/>
      </c>
    </row>
    <row r="362" customFormat="false" ht="14.25" hidden="false" customHeight="false" outlineLevel="0" collapsed="false">
      <c r="A362" s="152" t="str">
        <f aca="false">IF(Rider_Input[[#This Row],[Rider ID]]="","",Salary_Month)</f>
        <v/>
      </c>
      <c r="B362" s="153" t="str">
        <f aca="false">IFERROR(IF(INDEX(FTR_Data,ROW()-ROW(Rider_Input[#Headers]),c_FTR_ID)="","",INDEX(FTR_Data,ROW()-ROW(Rider_Input[#Headers]),c_FTR_ID)),"")</f>
        <v/>
      </c>
      <c r="C36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6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62" s="153" t="str">
        <f aca="false">IF(Rider_Input[[#This Row],[Rider ID]]="","",DAY(EOMONTH(Salary_Month,0)))</f>
        <v/>
      </c>
      <c r="F362" s="153" t="str">
        <f aca="false">IF(Rider_Input[[#This Row],[Rider ID]]="","",IFERROR(IF(INDEX(FTR_Data,ROW()-ROW(Rider_Input[#Headers]),c_FTR_WD)="","",INDEX(FTR_Data,ROW()-ROW(Rider_Input[#Headers]),c_FTR_WD)),""))</f>
        <v/>
      </c>
      <c r="G362" s="153" t="str">
        <f aca="false">IF(Rider_Input[[#This Row],[Rider ID]]="","",IFERROR(IF(INDEX(FTR_Data,ROW()-ROW(Rider_Input[#Headers]),c_FTR_Orders)="","",INDEX(FTR_Data,ROW()-ROW(Rider_Input[#Headers]),c_FTR_Orders)),""))</f>
        <v/>
      </c>
      <c r="H362" s="155" t="str">
        <f aca="false">IF(Rider_Input[[#This Row],[Rider ID]]="","",IFERROR(ABS(INDEX(RLVL_Data,MATCH(Rider_Input[[#This Row],[Rider ID]],INDEX(RLVL_Data,0,c_RLVL_ID),0),c_RLVL_Missed)),0))</f>
        <v/>
      </c>
      <c r="I362" s="155" t="str">
        <f aca="false">IF(Rider_Input[[#This Row],[Rider ID]]="","",IFERROR(ABS(INDEX(RLVL_Data,MATCH(Rider_Input[[#This Row],[Rider ID]],INDEX(RLVL_Data,0,c_RLVL_ID),0),c_RLVL_Bal)),0))</f>
        <v/>
      </c>
      <c r="J362" s="155" t="str">
        <f aca="false">IF(Rider_Input[[#This Row],[Rider ID]]="","",IFERROR(ABS(INDEX(RLVL_Data,MATCH(Rider_Input[[#This Row],[Rider ID]],INDEX(RLVL_Data,0,c_RLVL_ID),0),c_RLVL_Stack)),0))</f>
        <v/>
      </c>
      <c r="K362" s="155" t="str">
        <f aca="false">IF(Rider_Input[[#This Row],[Rider ID]]="","",SUMIFS(Adj_Input[Other Deductions],Adj_Input[Rider ID],Rider_Input[[#This Row],[Rider ID]]))</f>
        <v/>
      </c>
      <c r="L362" s="154" t="str">
        <f aca="false">IF(Rider_Input[[#This Row],[Rider ID]]="","",IFERROR(INDEX(Adj_Input[Note / Reason],MATCH(Rider_Input[[#This Row],[Rider ID]],Adj_Input[Rider ID],0))&amp;"",""))</f>
        <v/>
      </c>
    </row>
    <row r="363" customFormat="false" ht="14.25" hidden="false" customHeight="false" outlineLevel="0" collapsed="false">
      <c r="A363" s="152" t="str">
        <f aca="false">IF(Rider_Input[[#This Row],[Rider ID]]="","",Salary_Month)</f>
        <v/>
      </c>
      <c r="B363" s="153" t="str">
        <f aca="false">IFERROR(IF(INDEX(FTR_Data,ROW()-ROW(Rider_Input[#Headers]),c_FTR_ID)="","",INDEX(FTR_Data,ROW()-ROW(Rider_Input[#Headers]),c_FTR_ID)),"")</f>
        <v/>
      </c>
      <c r="C36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6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63" s="153" t="str">
        <f aca="false">IF(Rider_Input[[#This Row],[Rider ID]]="","",DAY(EOMONTH(Salary_Month,0)))</f>
        <v/>
      </c>
      <c r="F363" s="153" t="str">
        <f aca="false">IF(Rider_Input[[#This Row],[Rider ID]]="","",IFERROR(IF(INDEX(FTR_Data,ROW()-ROW(Rider_Input[#Headers]),c_FTR_WD)="","",INDEX(FTR_Data,ROW()-ROW(Rider_Input[#Headers]),c_FTR_WD)),""))</f>
        <v/>
      </c>
      <c r="G363" s="153" t="str">
        <f aca="false">IF(Rider_Input[[#This Row],[Rider ID]]="","",IFERROR(IF(INDEX(FTR_Data,ROW()-ROW(Rider_Input[#Headers]),c_FTR_Orders)="","",INDEX(FTR_Data,ROW()-ROW(Rider_Input[#Headers]),c_FTR_Orders)),""))</f>
        <v/>
      </c>
      <c r="H363" s="155" t="str">
        <f aca="false">IF(Rider_Input[[#This Row],[Rider ID]]="","",IFERROR(ABS(INDEX(RLVL_Data,MATCH(Rider_Input[[#This Row],[Rider ID]],INDEX(RLVL_Data,0,c_RLVL_ID),0),c_RLVL_Missed)),0))</f>
        <v/>
      </c>
      <c r="I363" s="155" t="str">
        <f aca="false">IF(Rider_Input[[#This Row],[Rider ID]]="","",IFERROR(ABS(INDEX(RLVL_Data,MATCH(Rider_Input[[#This Row],[Rider ID]],INDEX(RLVL_Data,0,c_RLVL_ID),0),c_RLVL_Bal)),0))</f>
        <v/>
      </c>
      <c r="J363" s="155" t="str">
        <f aca="false">IF(Rider_Input[[#This Row],[Rider ID]]="","",IFERROR(ABS(INDEX(RLVL_Data,MATCH(Rider_Input[[#This Row],[Rider ID]],INDEX(RLVL_Data,0,c_RLVL_ID),0),c_RLVL_Stack)),0))</f>
        <v/>
      </c>
      <c r="K363" s="155" t="str">
        <f aca="false">IF(Rider_Input[[#This Row],[Rider ID]]="","",SUMIFS(Adj_Input[Other Deductions],Adj_Input[Rider ID],Rider_Input[[#This Row],[Rider ID]]))</f>
        <v/>
      </c>
      <c r="L363" s="154" t="str">
        <f aca="false">IF(Rider_Input[[#This Row],[Rider ID]]="","",IFERROR(INDEX(Adj_Input[Note / Reason],MATCH(Rider_Input[[#This Row],[Rider ID]],Adj_Input[Rider ID],0))&amp;"",""))</f>
        <v/>
      </c>
    </row>
    <row r="364" customFormat="false" ht="14.25" hidden="false" customHeight="false" outlineLevel="0" collapsed="false">
      <c r="A364" s="152" t="str">
        <f aca="false">IF(Rider_Input[[#This Row],[Rider ID]]="","",Salary_Month)</f>
        <v/>
      </c>
      <c r="B364" s="153" t="str">
        <f aca="false">IFERROR(IF(INDEX(FTR_Data,ROW()-ROW(Rider_Input[#Headers]),c_FTR_ID)="","",INDEX(FTR_Data,ROW()-ROW(Rider_Input[#Headers]),c_FTR_ID)),"")</f>
        <v/>
      </c>
      <c r="C36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6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64" s="153" t="str">
        <f aca="false">IF(Rider_Input[[#This Row],[Rider ID]]="","",DAY(EOMONTH(Salary_Month,0)))</f>
        <v/>
      </c>
      <c r="F364" s="153" t="str">
        <f aca="false">IF(Rider_Input[[#This Row],[Rider ID]]="","",IFERROR(IF(INDEX(FTR_Data,ROW()-ROW(Rider_Input[#Headers]),c_FTR_WD)="","",INDEX(FTR_Data,ROW()-ROW(Rider_Input[#Headers]),c_FTR_WD)),""))</f>
        <v/>
      </c>
      <c r="G364" s="153" t="str">
        <f aca="false">IF(Rider_Input[[#This Row],[Rider ID]]="","",IFERROR(IF(INDEX(FTR_Data,ROW()-ROW(Rider_Input[#Headers]),c_FTR_Orders)="","",INDEX(FTR_Data,ROW()-ROW(Rider_Input[#Headers]),c_FTR_Orders)),""))</f>
        <v/>
      </c>
      <c r="H364" s="155" t="str">
        <f aca="false">IF(Rider_Input[[#This Row],[Rider ID]]="","",IFERROR(ABS(INDEX(RLVL_Data,MATCH(Rider_Input[[#This Row],[Rider ID]],INDEX(RLVL_Data,0,c_RLVL_ID),0),c_RLVL_Missed)),0))</f>
        <v/>
      </c>
      <c r="I364" s="155" t="str">
        <f aca="false">IF(Rider_Input[[#This Row],[Rider ID]]="","",IFERROR(ABS(INDEX(RLVL_Data,MATCH(Rider_Input[[#This Row],[Rider ID]],INDEX(RLVL_Data,0,c_RLVL_ID),0),c_RLVL_Bal)),0))</f>
        <v/>
      </c>
      <c r="J364" s="155" t="str">
        <f aca="false">IF(Rider_Input[[#This Row],[Rider ID]]="","",IFERROR(ABS(INDEX(RLVL_Data,MATCH(Rider_Input[[#This Row],[Rider ID]],INDEX(RLVL_Data,0,c_RLVL_ID),0),c_RLVL_Stack)),0))</f>
        <v/>
      </c>
      <c r="K364" s="155" t="str">
        <f aca="false">IF(Rider_Input[[#This Row],[Rider ID]]="","",SUMIFS(Adj_Input[Other Deductions],Adj_Input[Rider ID],Rider_Input[[#This Row],[Rider ID]]))</f>
        <v/>
      </c>
      <c r="L364" s="154" t="str">
        <f aca="false">IF(Rider_Input[[#This Row],[Rider ID]]="","",IFERROR(INDEX(Adj_Input[Note / Reason],MATCH(Rider_Input[[#This Row],[Rider ID]],Adj_Input[Rider ID],0))&amp;"",""))</f>
        <v/>
      </c>
    </row>
    <row r="365" customFormat="false" ht="14.25" hidden="false" customHeight="false" outlineLevel="0" collapsed="false">
      <c r="A365" s="152" t="str">
        <f aca="false">IF(Rider_Input[[#This Row],[Rider ID]]="","",Salary_Month)</f>
        <v/>
      </c>
      <c r="B365" s="153" t="str">
        <f aca="false">IFERROR(IF(INDEX(FTR_Data,ROW()-ROW(Rider_Input[#Headers]),c_FTR_ID)="","",INDEX(FTR_Data,ROW()-ROW(Rider_Input[#Headers]),c_FTR_ID)),"")</f>
        <v/>
      </c>
      <c r="C36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6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65" s="153" t="str">
        <f aca="false">IF(Rider_Input[[#This Row],[Rider ID]]="","",DAY(EOMONTH(Salary_Month,0)))</f>
        <v/>
      </c>
      <c r="F365" s="153" t="str">
        <f aca="false">IF(Rider_Input[[#This Row],[Rider ID]]="","",IFERROR(IF(INDEX(FTR_Data,ROW()-ROW(Rider_Input[#Headers]),c_FTR_WD)="","",INDEX(FTR_Data,ROW()-ROW(Rider_Input[#Headers]),c_FTR_WD)),""))</f>
        <v/>
      </c>
      <c r="G365" s="153" t="str">
        <f aca="false">IF(Rider_Input[[#This Row],[Rider ID]]="","",IFERROR(IF(INDEX(FTR_Data,ROW()-ROW(Rider_Input[#Headers]),c_FTR_Orders)="","",INDEX(FTR_Data,ROW()-ROW(Rider_Input[#Headers]),c_FTR_Orders)),""))</f>
        <v/>
      </c>
      <c r="H365" s="155" t="str">
        <f aca="false">IF(Rider_Input[[#This Row],[Rider ID]]="","",IFERROR(ABS(INDEX(RLVL_Data,MATCH(Rider_Input[[#This Row],[Rider ID]],INDEX(RLVL_Data,0,c_RLVL_ID),0),c_RLVL_Missed)),0))</f>
        <v/>
      </c>
      <c r="I365" s="155" t="str">
        <f aca="false">IF(Rider_Input[[#This Row],[Rider ID]]="","",IFERROR(ABS(INDEX(RLVL_Data,MATCH(Rider_Input[[#This Row],[Rider ID]],INDEX(RLVL_Data,0,c_RLVL_ID),0),c_RLVL_Bal)),0))</f>
        <v/>
      </c>
      <c r="J365" s="155" t="str">
        <f aca="false">IF(Rider_Input[[#This Row],[Rider ID]]="","",IFERROR(ABS(INDEX(RLVL_Data,MATCH(Rider_Input[[#This Row],[Rider ID]],INDEX(RLVL_Data,0,c_RLVL_ID),0),c_RLVL_Stack)),0))</f>
        <v/>
      </c>
      <c r="K365" s="155" t="str">
        <f aca="false">IF(Rider_Input[[#This Row],[Rider ID]]="","",SUMIFS(Adj_Input[Other Deductions],Adj_Input[Rider ID],Rider_Input[[#This Row],[Rider ID]]))</f>
        <v/>
      </c>
      <c r="L365" s="154" t="str">
        <f aca="false">IF(Rider_Input[[#This Row],[Rider ID]]="","",IFERROR(INDEX(Adj_Input[Note / Reason],MATCH(Rider_Input[[#This Row],[Rider ID]],Adj_Input[Rider ID],0))&amp;"",""))</f>
        <v/>
      </c>
    </row>
    <row r="366" customFormat="false" ht="14.25" hidden="false" customHeight="false" outlineLevel="0" collapsed="false">
      <c r="A366" s="152" t="str">
        <f aca="false">IF(Rider_Input[[#This Row],[Rider ID]]="","",Salary_Month)</f>
        <v/>
      </c>
      <c r="B366" s="153" t="str">
        <f aca="false">IFERROR(IF(INDEX(FTR_Data,ROW()-ROW(Rider_Input[#Headers]),c_FTR_ID)="","",INDEX(FTR_Data,ROW()-ROW(Rider_Input[#Headers]),c_FTR_ID)),"")</f>
        <v/>
      </c>
      <c r="C36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6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66" s="153" t="str">
        <f aca="false">IF(Rider_Input[[#This Row],[Rider ID]]="","",DAY(EOMONTH(Salary_Month,0)))</f>
        <v/>
      </c>
      <c r="F366" s="153" t="str">
        <f aca="false">IF(Rider_Input[[#This Row],[Rider ID]]="","",IFERROR(IF(INDEX(FTR_Data,ROW()-ROW(Rider_Input[#Headers]),c_FTR_WD)="","",INDEX(FTR_Data,ROW()-ROW(Rider_Input[#Headers]),c_FTR_WD)),""))</f>
        <v/>
      </c>
      <c r="G366" s="153" t="str">
        <f aca="false">IF(Rider_Input[[#This Row],[Rider ID]]="","",IFERROR(IF(INDEX(FTR_Data,ROW()-ROW(Rider_Input[#Headers]),c_FTR_Orders)="","",INDEX(FTR_Data,ROW()-ROW(Rider_Input[#Headers]),c_FTR_Orders)),""))</f>
        <v/>
      </c>
      <c r="H366" s="155" t="str">
        <f aca="false">IF(Rider_Input[[#This Row],[Rider ID]]="","",IFERROR(ABS(INDEX(RLVL_Data,MATCH(Rider_Input[[#This Row],[Rider ID]],INDEX(RLVL_Data,0,c_RLVL_ID),0),c_RLVL_Missed)),0))</f>
        <v/>
      </c>
      <c r="I366" s="155" t="str">
        <f aca="false">IF(Rider_Input[[#This Row],[Rider ID]]="","",IFERROR(ABS(INDEX(RLVL_Data,MATCH(Rider_Input[[#This Row],[Rider ID]],INDEX(RLVL_Data,0,c_RLVL_ID),0),c_RLVL_Bal)),0))</f>
        <v/>
      </c>
      <c r="J366" s="155" t="str">
        <f aca="false">IF(Rider_Input[[#This Row],[Rider ID]]="","",IFERROR(ABS(INDEX(RLVL_Data,MATCH(Rider_Input[[#This Row],[Rider ID]],INDEX(RLVL_Data,0,c_RLVL_ID),0),c_RLVL_Stack)),0))</f>
        <v/>
      </c>
      <c r="K366" s="155" t="str">
        <f aca="false">IF(Rider_Input[[#This Row],[Rider ID]]="","",SUMIFS(Adj_Input[Other Deductions],Adj_Input[Rider ID],Rider_Input[[#This Row],[Rider ID]]))</f>
        <v/>
      </c>
      <c r="L366" s="154" t="str">
        <f aca="false">IF(Rider_Input[[#This Row],[Rider ID]]="","",IFERROR(INDEX(Adj_Input[Note / Reason],MATCH(Rider_Input[[#This Row],[Rider ID]],Adj_Input[Rider ID],0))&amp;"",""))</f>
        <v/>
      </c>
    </row>
    <row r="367" customFormat="false" ht="14.25" hidden="false" customHeight="false" outlineLevel="0" collapsed="false">
      <c r="A367" s="152" t="str">
        <f aca="false">IF(Rider_Input[[#This Row],[Rider ID]]="","",Salary_Month)</f>
        <v/>
      </c>
      <c r="B367" s="153" t="str">
        <f aca="false">IFERROR(IF(INDEX(FTR_Data,ROW()-ROW(Rider_Input[#Headers]),c_FTR_ID)="","",INDEX(FTR_Data,ROW()-ROW(Rider_Input[#Headers]),c_FTR_ID)),"")</f>
        <v/>
      </c>
      <c r="C36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6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67" s="153" t="str">
        <f aca="false">IF(Rider_Input[[#This Row],[Rider ID]]="","",DAY(EOMONTH(Salary_Month,0)))</f>
        <v/>
      </c>
      <c r="F367" s="153" t="str">
        <f aca="false">IF(Rider_Input[[#This Row],[Rider ID]]="","",IFERROR(IF(INDEX(FTR_Data,ROW()-ROW(Rider_Input[#Headers]),c_FTR_WD)="","",INDEX(FTR_Data,ROW()-ROW(Rider_Input[#Headers]),c_FTR_WD)),""))</f>
        <v/>
      </c>
      <c r="G367" s="153" t="str">
        <f aca="false">IF(Rider_Input[[#This Row],[Rider ID]]="","",IFERROR(IF(INDEX(FTR_Data,ROW()-ROW(Rider_Input[#Headers]),c_FTR_Orders)="","",INDEX(FTR_Data,ROW()-ROW(Rider_Input[#Headers]),c_FTR_Orders)),""))</f>
        <v/>
      </c>
      <c r="H367" s="155" t="str">
        <f aca="false">IF(Rider_Input[[#This Row],[Rider ID]]="","",IFERROR(ABS(INDEX(RLVL_Data,MATCH(Rider_Input[[#This Row],[Rider ID]],INDEX(RLVL_Data,0,c_RLVL_ID),0),c_RLVL_Missed)),0))</f>
        <v/>
      </c>
      <c r="I367" s="155" t="str">
        <f aca="false">IF(Rider_Input[[#This Row],[Rider ID]]="","",IFERROR(ABS(INDEX(RLVL_Data,MATCH(Rider_Input[[#This Row],[Rider ID]],INDEX(RLVL_Data,0,c_RLVL_ID),0),c_RLVL_Bal)),0))</f>
        <v/>
      </c>
      <c r="J367" s="155" t="str">
        <f aca="false">IF(Rider_Input[[#This Row],[Rider ID]]="","",IFERROR(ABS(INDEX(RLVL_Data,MATCH(Rider_Input[[#This Row],[Rider ID]],INDEX(RLVL_Data,0,c_RLVL_ID),0),c_RLVL_Stack)),0))</f>
        <v/>
      </c>
      <c r="K367" s="155" t="str">
        <f aca="false">IF(Rider_Input[[#This Row],[Rider ID]]="","",SUMIFS(Adj_Input[Other Deductions],Adj_Input[Rider ID],Rider_Input[[#This Row],[Rider ID]]))</f>
        <v/>
      </c>
      <c r="L367" s="154" t="str">
        <f aca="false">IF(Rider_Input[[#This Row],[Rider ID]]="","",IFERROR(INDEX(Adj_Input[Note / Reason],MATCH(Rider_Input[[#This Row],[Rider ID]],Adj_Input[Rider ID],0))&amp;"",""))</f>
        <v/>
      </c>
    </row>
    <row r="368" customFormat="false" ht="14.25" hidden="false" customHeight="false" outlineLevel="0" collapsed="false">
      <c r="A368" s="152" t="str">
        <f aca="false">IF(Rider_Input[[#This Row],[Rider ID]]="","",Salary_Month)</f>
        <v/>
      </c>
      <c r="B368" s="153" t="str">
        <f aca="false">IFERROR(IF(INDEX(FTR_Data,ROW()-ROW(Rider_Input[#Headers]),c_FTR_ID)="","",INDEX(FTR_Data,ROW()-ROW(Rider_Input[#Headers]),c_FTR_ID)),"")</f>
        <v/>
      </c>
      <c r="C36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6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68" s="153" t="str">
        <f aca="false">IF(Rider_Input[[#This Row],[Rider ID]]="","",DAY(EOMONTH(Salary_Month,0)))</f>
        <v/>
      </c>
      <c r="F368" s="153" t="str">
        <f aca="false">IF(Rider_Input[[#This Row],[Rider ID]]="","",IFERROR(IF(INDEX(FTR_Data,ROW()-ROW(Rider_Input[#Headers]),c_FTR_WD)="","",INDEX(FTR_Data,ROW()-ROW(Rider_Input[#Headers]),c_FTR_WD)),""))</f>
        <v/>
      </c>
      <c r="G368" s="153" t="str">
        <f aca="false">IF(Rider_Input[[#This Row],[Rider ID]]="","",IFERROR(IF(INDEX(FTR_Data,ROW()-ROW(Rider_Input[#Headers]),c_FTR_Orders)="","",INDEX(FTR_Data,ROW()-ROW(Rider_Input[#Headers]),c_FTR_Orders)),""))</f>
        <v/>
      </c>
      <c r="H368" s="155" t="str">
        <f aca="false">IF(Rider_Input[[#This Row],[Rider ID]]="","",IFERROR(ABS(INDEX(RLVL_Data,MATCH(Rider_Input[[#This Row],[Rider ID]],INDEX(RLVL_Data,0,c_RLVL_ID),0),c_RLVL_Missed)),0))</f>
        <v/>
      </c>
      <c r="I368" s="155" t="str">
        <f aca="false">IF(Rider_Input[[#This Row],[Rider ID]]="","",IFERROR(ABS(INDEX(RLVL_Data,MATCH(Rider_Input[[#This Row],[Rider ID]],INDEX(RLVL_Data,0,c_RLVL_ID),0),c_RLVL_Bal)),0))</f>
        <v/>
      </c>
      <c r="J368" s="155" t="str">
        <f aca="false">IF(Rider_Input[[#This Row],[Rider ID]]="","",IFERROR(ABS(INDEX(RLVL_Data,MATCH(Rider_Input[[#This Row],[Rider ID]],INDEX(RLVL_Data,0,c_RLVL_ID),0),c_RLVL_Stack)),0))</f>
        <v/>
      </c>
      <c r="K368" s="155" t="str">
        <f aca="false">IF(Rider_Input[[#This Row],[Rider ID]]="","",SUMIFS(Adj_Input[Other Deductions],Adj_Input[Rider ID],Rider_Input[[#This Row],[Rider ID]]))</f>
        <v/>
      </c>
      <c r="L368" s="154" t="str">
        <f aca="false">IF(Rider_Input[[#This Row],[Rider ID]]="","",IFERROR(INDEX(Adj_Input[Note / Reason],MATCH(Rider_Input[[#This Row],[Rider ID]],Adj_Input[Rider ID],0))&amp;"",""))</f>
        <v/>
      </c>
    </row>
    <row r="369" customFormat="false" ht="14.25" hidden="false" customHeight="false" outlineLevel="0" collapsed="false">
      <c r="A369" s="152" t="str">
        <f aca="false">IF(Rider_Input[[#This Row],[Rider ID]]="","",Salary_Month)</f>
        <v/>
      </c>
      <c r="B369" s="153" t="str">
        <f aca="false">IFERROR(IF(INDEX(FTR_Data,ROW()-ROW(Rider_Input[#Headers]),c_FTR_ID)="","",INDEX(FTR_Data,ROW()-ROW(Rider_Input[#Headers]),c_FTR_ID)),"")</f>
        <v/>
      </c>
      <c r="C36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6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69" s="153" t="str">
        <f aca="false">IF(Rider_Input[[#This Row],[Rider ID]]="","",DAY(EOMONTH(Salary_Month,0)))</f>
        <v/>
      </c>
      <c r="F369" s="153" t="str">
        <f aca="false">IF(Rider_Input[[#This Row],[Rider ID]]="","",IFERROR(IF(INDEX(FTR_Data,ROW()-ROW(Rider_Input[#Headers]),c_FTR_WD)="","",INDEX(FTR_Data,ROW()-ROW(Rider_Input[#Headers]),c_FTR_WD)),""))</f>
        <v/>
      </c>
      <c r="G369" s="153" t="str">
        <f aca="false">IF(Rider_Input[[#This Row],[Rider ID]]="","",IFERROR(IF(INDEX(FTR_Data,ROW()-ROW(Rider_Input[#Headers]),c_FTR_Orders)="","",INDEX(FTR_Data,ROW()-ROW(Rider_Input[#Headers]),c_FTR_Orders)),""))</f>
        <v/>
      </c>
      <c r="H369" s="155" t="str">
        <f aca="false">IF(Rider_Input[[#This Row],[Rider ID]]="","",IFERROR(ABS(INDEX(RLVL_Data,MATCH(Rider_Input[[#This Row],[Rider ID]],INDEX(RLVL_Data,0,c_RLVL_ID),0),c_RLVL_Missed)),0))</f>
        <v/>
      </c>
      <c r="I369" s="155" t="str">
        <f aca="false">IF(Rider_Input[[#This Row],[Rider ID]]="","",IFERROR(ABS(INDEX(RLVL_Data,MATCH(Rider_Input[[#This Row],[Rider ID]],INDEX(RLVL_Data,0,c_RLVL_ID),0),c_RLVL_Bal)),0))</f>
        <v/>
      </c>
      <c r="J369" s="155" t="str">
        <f aca="false">IF(Rider_Input[[#This Row],[Rider ID]]="","",IFERROR(ABS(INDEX(RLVL_Data,MATCH(Rider_Input[[#This Row],[Rider ID]],INDEX(RLVL_Data,0,c_RLVL_ID),0),c_RLVL_Stack)),0))</f>
        <v/>
      </c>
      <c r="K369" s="155" t="str">
        <f aca="false">IF(Rider_Input[[#This Row],[Rider ID]]="","",SUMIFS(Adj_Input[Other Deductions],Adj_Input[Rider ID],Rider_Input[[#This Row],[Rider ID]]))</f>
        <v/>
      </c>
      <c r="L369" s="154" t="str">
        <f aca="false">IF(Rider_Input[[#This Row],[Rider ID]]="","",IFERROR(INDEX(Adj_Input[Note / Reason],MATCH(Rider_Input[[#This Row],[Rider ID]],Adj_Input[Rider ID],0))&amp;"",""))</f>
        <v/>
      </c>
    </row>
    <row r="370" customFormat="false" ht="14.25" hidden="false" customHeight="false" outlineLevel="0" collapsed="false">
      <c r="A370" s="152" t="str">
        <f aca="false">IF(Rider_Input[[#This Row],[Rider ID]]="","",Salary_Month)</f>
        <v/>
      </c>
      <c r="B370" s="153" t="str">
        <f aca="false">IFERROR(IF(INDEX(FTR_Data,ROW()-ROW(Rider_Input[#Headers]),c_FTR_ID)="","",INDEX(FTR_Data,ROW()-ROW(Rider_Input[#Headers]),c_FTR_ID)),"")</f>
        <v/>
      </c>
      <c r="C37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7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70" s="153" t="str">
        <f aca="false">IF(Rider_Input[[#This Row],[Rider ID]]="","",DAY(EOMONTH(Salary_Month,0)))</f>
        <v/>
      </c>
      <c r="F370" s="153" t="str">
        <f aca="false">IF(Rider_Input[[#This Row],[Rider ID]]="","",IFERROR(IF(INDEX(FTR_Data,ROW()-ROW(Rider_Input[#Headers]),c_FTR_WD)="","",INDEX(FTR_Data,ROW()-ROW(Rider_Input[#Headers]),c_FTR_WD)),""))</f>
        <v/>
      </c>
      <c r="G370" s="153" t="str">
        <f aca="false">IF(Rider_Input[[#This Row],[Rider ID]]="","",IFERROR(IF(INDEX(FTR_Data,ROW()-ROW(Rider_Input[#Headers]),c_FTR_Orders)="","",INDEX(FTR_Data,ROW()-ROW(Rider_Input[#Headers]),c_FTR_Orders)),""))</f>
        <v/>
      </c>
      <c r="H370" s="155" t="str">
        <f aca="false">IF(Rider_Input[[#This Row],[Rider ID]]="","",IFERROR(ABS(INDEX(RLVL_Data,MATCH(Rider_Input[[#This Row],[Rider ID]],INDEX(RLVL_Data,0,c_RLVL_ID),0),c_RLVL_Missed)),0))</f>
        <v/>
      </c>
      <c r="I370" s="155" t="str">
        <f aca="false">IF(Rider_Input[[#This Row],[Rider ID]]="","",IFERROR(ABS(INDEX(RLVL_Data,MATCH(Rider_Input[[#This Row],[Rider ID]],INDEX(RLVL_Data,0,c_RLVL_ID),0),c_RLVL_Bal)),0))</f>
        <v/>
      </c>
      <c r="J370" s="155" t="str">
        <f aca="false">IF(Rider_Input[[#This Row],[Rider ID]]="","",IFERROR(ABS(INDEX(RLVL_Data,MATCH(Rider_Input[[#This Row],[Rider ID]],INDEX(RLVL_Data,0,c_RLVL_ID),0),c_RLVL_Stack)),0))</f>
        <v/>
      </c>
      <c r="K370" s="155" t="str">
        <f aca="false">IF(Rider_Input[[#This Row],[Rider ID]]="","",SUMIFS(Adj_Input[Other Deductions],Adj_Input[Rider ID],Rider_Input[[#This Row],[Rider ID]]))</f>
        <v/>
      </c>
      <c r="L370" s="154" t="str">
        <f aca="false">IF(Rider_Input[[#This Row],[Rider ID]]="","",IFERROR(INDEX(Adj_Input[Note / Reason],MATCH(Rider_Input[[#This Row],[Rider ID]],Adj_Input[Rider ID],0))&amp;"",""))</f>
        <v/>
      </c>
    </row>
    <row r="371" customFormat="false" ht="14.25" hidden="false" customHeight="false" outlineLevel="0" collapsed="false">
      <c r="A371" s="152" t="str">
        <f aca="false">IF(Rider_Input[[#This Row],[Rider ID]]="","",Salary_Month)</f>
        <v/>
      </c>
      <c r="B371" s="153" t="str">
        <f aca="false">IFERROR(IF(INDEX(FTR_Data,ROW()-ROW(Rider_Input[#Headers]),c_FTR_ID)="","",INDEX(FTR_Data,ROW()-ROW(Rider_Input[#Headers]),c_FTR_ID)),"")</f>
        <v/>
      </c>
      <c r="C37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7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71" s="153" t="str">
        <f aca="false">IF(Rider_Input[[#This Row],[Rider ID]]="","",DAY(EOMONTH(Salary_Month,0)))</f>
        <v/>
      </c>
      <c r="F371" s="153" t="str">
        <f aca="false">IF(Rider_Input[[#This Row],[Rider ID]]="","",IFERROR(IF(INDEX(FTR_Data,ROW()-ROW(Rider_Input[#Headers]),c_FTR_WD)="","",INDEX(FTR_Data,ROW()-ROW(Rider_Input[#Headers]),c_FTR_WD)),""))</f>
        <v/>
      </c>
      <c r="G371" s="153" t="str">
        <f aca="false">IF(Rider_Input[[#This Row],[Rider ID]]="","",IFERROR(IF(INDEX(FTR_Data,ROW()-ROW(Rider_Input[#Headers]),c_FTR_Orders)="","",INDEX(FTR_Data,ROW()-ROW(Rider_Input[#Headers]),c_FTR_Orders)),""))</f>
        <v/>
      </c>
      <c r="H371" s="155" t="str">
        <f aca="false">IF(Rider_Input[[#This Row],[Rider ID]]="","",IFERROR(ABS(INDEX(RLVL_Data,MATCH(Rider_Input[[#This Row],[Rider ID]],INDEX(RLVL_Data,0,c_RLVL_ID),0),c_RLVL_Missed)),0))</f>
        <v/>
      </c>
      <c r="I371" s="155" t="str">
        <f aca="false">IF(Rider_Input[[#This Row],[Rider ID]]="","",IFERROR(ABS(INDEX(RLVL_Data,MATCH(Rider_Input[[#This Row],[Rider ID]],INDEX(RLVL_Data,0,c_RLVL_ID),0),c_RLVL_Bal)),0))</f>
        <v/>
      </c>
      <c r="J371" s="155" t="str">
        <f aca="false">IF(Rider_Input[[#This Row],[Rider ID]]="","",IFERROR(ABS(INDEX(RLVL_Data,MATCH(Rider_Input[[#This Row],[Rider ID]],INDEX(RLVL_Data,0,c_RLVL_ID),0),c_RLVL_Stack)),0))</f>
        <v/>
      </c>
      <c r="K371" s="155" t="str">
        <f aca="false">IF(Rider_Input[[#This Row],[Rider ID]]="","",SUMIFS(Adj_Input[Other Deductions],Adj_Input[Rider ID],Rider_Input[[#This Row],[Rider ID]]))</f>
        <v/>
      </c>
      <c r="L371" s="154" t="str">
        <f aca="false">IF(Rider_Input[[#This Row],[Rider ID]]="","",IFERROR(INDEX(Adj_Input[Note / Reason],MATCH(Rider_Input[[#This Row],[Rider ID]],Adj_Input[Rider ID],0))&amp;"",""))</f>
        <v/>
      </c>
    </row>
    <row r="372" customFormat="false" ht="14.25" hidden="false" customHeight="false" outlineLevel="0" collapsed="false">
      <c r="A372" s="152" t="str">
        <f aca="false">IF(Rider_Input[[#This Row],[Rider ID]]="","",Salary_Month)</f>
        <v/>
      </c>
      <c r="B372" s="153" t="str">
        <f aca="false">IFERROR(IF(INDEX(FTR_Data,ROW()-ROW(Rider_Input[#Headers]),c_FTR_ID)="","",INDEX(FTR_Data,ROW()-ROW(Rider_Input[#Headers]),c_FTR_ID)),"")</f>
        <v/>
      </c>
      <c r="C37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7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72" s="153" t="str">
        <f aca="false">IF(Rider_Input[[#This Row],[Rider ID]]="","",DAY(EOMONTH(Salary_Month,0)))</f>
        <v/>
      </c>
      <c r="F372" s="153" t="str">
        <f aca="false">IF(Rider_Input[[#This Row],[Rider ID]]="","",IFERROR(IF(INDEX(FTR_Data,ROW()-ROW(Rider_Input[#Headers]),c_FTR_WD)="","",INDEX(FTR_Data,ROW()-ROW(Rider_Input[#Headers]),c_FTR_WD)),""))</f>
        <v/>
      </c>
      <c r="G372" s="153" t="str">
        <f aca="false">IF(Rider_Input[[#This Row],[Rider ID]]="","",IFERROR(IF(INDEX(FTR_Data,ROW()-ROW(Rider_Input[#Headers]),c_FTR_Orders)="","",INDEX(FTR_Data,ROW()-ROW(Rider_Input[#Headers]),c_FTR_Orders)),""))</f>
        <v/>
      </c>
      <c r="H372" s="155" t="str">
        <f aca="false">IF(Rider_Input[[#This Row],[Rider ID]]="","",IFERROR(ABS(INDEX(RLVL_Data,MATCH(Rider_Input[[#This Row],[Rider ID]],INDEX(RLVL_Data,0,c_RLVL_ID),0),c_RLVL_Missed)),0))</f>
        <v/>
      </c>
      <c r="I372" s="155" t="str">
        <f aca="false">IF(Rider_Input[[#This Row],[Rider ID]]="","",IFERROR(ABS(INDEX(RLVL_Data,MATCH(Rider_Input[[#This Row],[Rider ID]],INDEX(RLVL_Data,0,c_RLVL_ID),0),c_RLVL_Bal)),0))</f>
        <v/>
      </c>
      <c r="J372" s="155" t="str">
        <f aca="false">IF(Rider_Input[[#This Row],[Rider ID]]="","",IFERROR(ABS(INDEX(RLVL_Data,MATCH(Rider_Input[[#This Row],[Rider ID]],INDEX(RLVL_Data,0,c_RLVL_ID),0),c_RLVL_Stack)),0))</f>
        <v/>
      </c>
      <c r="K372" s="155" t="str">
        <f aca="false">IF(Rider_Input[[#This Row],[Rider ID]]="","",SUMIFS(Adj_Input[Other Deductions],Adj_Input[Rider ID],Rider_Input[[#This Row],[Rider ID]]))</f>
        <v/>
      </c>
      <c r="L372" s="154" t="str">
        <f aca="false">IF(Rider_Input[[#This Row],[Rider ID]]="","",IFERROR(INDEX(Adj_Input[Note / Reason],MATCH(Rider_Input[[#This Row],[Rider ID]],Adj_Input[Rider ID],0))&amp;"",""))</f>
        <v/>
      </c>
    </row>
    <row r="373" customFormat="false" ht="14.25" hidden="false" customHeight="false" outlineLevel="0" collapsed="false">
      <c r="A373" s="152" t="str">
        <f aca="false">IF(Rider_Input[[#This Row],[Rider ID]]="","",Salary_Month)</f>
        <v/>
      </c>
      <c r="B373" s="153" t="str">
        <f aca="false">IFERROR(IF(INDEX(FTR_Data,ROW()-ROW(Rider_Input[#Headers]),c_FTR_ID)="","",INDEX(FTR_Data,ROW()-ROW(Rider_Input[#Headers]),c_FTR_ID)),"")</f>
        <v/>
      </c>
      <c r="C37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7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73" s="153" t="str">
        <f aca="false">IF(Rider_Input[[#This Row],[Rider ID]]="","",DAY(EOMONTH(Salary_Month,0)))</f>
        <v/>
      </c>
      <c r="F373" s="153" t="str">
        <f aca="false">IF(Rider_Input[[#This Row],[Rider ID]]="","",IFERROR(IF(INDEX(FTR_Data,ROW()-ROW(Rider_Input[#Headers]),c_FTR_WD)="","",INDEX(FTR_Data,ROW()-ROW(Rider_Input[#Headers]),c_FTR_WD)),""))</f>
        <v/>
      </c>
      <c r="G373" s="153" t="str">
        <f aca="false">IF(Rider_Input[[#This Row],[Rider ID]]="","",IFERROR(IF(INDEX(FTR_Data,ROW()-ROW(Rider_Input[#Headers]),c_FTR_Orders)="","",INDEX(FTR_Data,ROW()-ROW(Rider_Input[#Headers]),c_FTR_Orders)),""))</f>
        <v/>
      </c>
      <c r="H373" s="155" t="str">
        <f aca="false">IF(Rider_Input[[#This Row],[Rider ID]]="","",IFERROR(ABS(INDEX(RLVL_Data,MATCH(Rider_Input[[#This Row],[Rider ID]],INDEX(RLVL_Data,0,c_RLVL_ID),0),c_RLVL_Missed)),0))</f>
        <v/>
      </c>
      <c r="I373" s="155" t="str">
        <f aca="false">IF(Rider_Input[[#This Row],[Rider ID]]="","",IFERROR(ABS(INDEX(RLVL_Data,MATCH(Rider_Input[[#This Row],[Rider ID]],INDEX(RLVL_Data,0,c_RLVL_ID),0),c_RLVL_Bal)),0))</f>
        <v/>
      </c>
      <c r="J373" s="155" t="str">
        <f aca="false">IF(Rider_Input[[#This Row],[Rider ID]]="","",IFERROR(ABS(INDEX(RLVL_Data,MATCH(Rider_Input[[#This Row],[Rider ID]],INDEX(RLVL_Data,0,c_RLVL_ID),0),c_RLVL_Stack)),0))</f>
        <v/>
      </c>
      <c r="K373" s="155" t="str">
        <f aca="false">IF(Rider_Input[[#This Row],[Rider ID]]="","",SUMIFS(Adj_Input[Other Deductions],Adj_Input[Rider ID],Rider_Input[[#This Row],[Rider ID]]))</f>
        <v/>
      </c>
      <c r="L373" s="154" t="str">
        <f aca="false">IF(Rider_Input[[#This Row],[Rider ID]]="","",IFERROR(INDEX(Adj_Input[Note / Reason],MATCH(Rider_Input[[#This Row],[Rider ID]],Adj_Input[Rider ID],0))&amp;"",""))</f>
        <v/>
      </c>
    </row>
    <row r="374" customFormat="false" ht="14.25" hidden="false" customHeight="false" outlineLevel="0" collapsed="false">
      <c r="A374" s="152" t="str">
        <f aca="false">IF(Rider_Input[[#This Row],[Rider ID]]="","",Salary_Month)</f>
        <v/>
      </c>
      <c r="B374" s="153" t="str">
        <f aca="false">IFERROR(IF(INDEX(FTR_Data,ROW()-ROW(Rider_Input[#Headers]),c_FTR_ID)="","",INDEX(FTR_Data,ROW()-ROW(Rider_Input[#Headers]),c_FTR_ID)),"")</f>
        <v/>
      </c>
      <c r="C37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7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74" s="153" t="str">
        <f aca="false">IF(Rider_Input[[#This Row],[Rider ID]]="","",DAY(EOMONTH(Salary_Month,0)))</f>
        <v/>
      </c>
      <c r="F374" s="153" t="str">
        <f aca="false">IF(Rider_Input[[#This Row],[Rider ID]]="","",IFERROR(IF(INDEX(FTR_Data,ROW()-ROW(Rider_Input[#Headers]),c_FTR_WD)="","",INDEX(FTR_Data,ROW()-ROW(Rider_Input[#Headers]),c_FTR_WD)),""))</f>
        <v/>
      </c>
      <c r="G374" s="153" t="str">
        <f aca="false">IF(Rider_Input[[#This Row],[Rider ID]]="","",IFERROR(IF(INDEX(FTR_Data,ROW()-ROW(Rider_Input[#Headers]),c_FTR_Orders)="","",INDEX(FTR_Data,ROW()-ROW(Rider_Input[#Headers]),c_FTR_Orders)),""))</f>
        <v/>
      </c>
      <c r="H374" s="155" t="str">
        <f aca="false">IF(Rider_Input[[#This Row],[Rider ID]]="","",IFERROR(ABS(INDEX(RLVL_Data,MATCH(Rider_Input[[#This Row],[Rider ID]],INDEX(RLVL_Data,0,c_RLVL_ID),0),c_RLVL_Missed)),0))</f>
        <v/>
      </c>
      <c r="I374" s="155" t="str">
        <f aca="false">IF(Rider_Input[[#This Row],[Rider ID]]="","",IFERROR(ABS(INDEX(RLVL_Data,MATCH(Rider_Input[[#This Row],[Rider ID]],INDEX(RLVL_Data,0,c_RLVL_ID),0),c_RLVL_Bal)),0))</f>
        <v/>
      </c>
      <c r="J374" s="155" t="str">
        <f aca="false">IF(Rider_Input[[#This Row],[Rider ID]]="","",IFERROR(ABS(INDEX(RLVL_Data,MATCH(Rider_Input[[#This Row],[Rider ID]],INDEX(RLVL_Data,0,c_RLVL_ID),0),c_RLVL_Stack)),0))</f>
        <v/>
      </c>
      <c r="K374" s="155" t="str">
        <f aca="false">IF(Rider_Input[[#This Row],[Rider ID]]="","",SUMIFS(Adj_Input[Other Deductions],Adj_Input[Rider ID],Rider_Input[[#This Row],[Rider ID]]))</f>
        <v/>
      </c>
      <c r="L374" s="154" t="str">
        <f aca="false">IF(Rider_Input[[#This Row],[Rider ID]]="","",IFERROR(INDEX(Adj_Input[Note / Reason],MATCH(Rider_Input[[#This Row],[Rider ID]],Adj_Input[Rider ID],0))&amp;"",""))</f>
        <v/>
      </c>
    </row>
    <row r="375" customFormat="false" ht="14.25" hidden="false" customHeight="false" outlineLevel="0" collapsed="false">
      <c r="A375" s="152" t="str">
        <f aca="false">IF(Rider_Input[[#This Row],[Rider ID]]="","",Salary_Month)</f>
        <v/>
      </c>
      <c r="B375" s="153" t="str">
        <f aca="false">IFERROR(IF(INDEX(FTR_Data,ROW()-ROW(Rider_Input[#Headers]),c_FTR_ID)="","",INDEX(FTR_Data,ROW()-ROW(Rider_Input[#Headers]),c_FTR_ID)),"")</f>
        <v/>
      </c>
      <c r="C37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7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75" s="153" t="str">
        <f aca="false">IF(Rider_Input[[#This Row],[Rider ID]]="","",DAY(EOMONTH(Salary_Month,0)))</f>
        <v/>
      </c>
      <c r="F375" s="153" t="str">
        <f aca="false">IF(Rider_Input[[#This Row],[Rider ID]]="","",IFERROR(IF(INDEX(FTR_Data,ROW()-ROW(Rider_Input[#Headers]),c_FTR_WD)="","",INDEX(FTR_Data,ROW()-ROW(Rider_Input[#Headers]),c_FTR_WD)),""))</f>
        <v/>
      </c>
      <c r="G375" s="153" t="str">
        <f aca="false">IF(Rider_Input[[#This Row],[Rider ID]]="","",IFERROR(IF(INDEX(FTR_Data,ROW()-ROW(Rider_Input[#Headers]),c_FTR_Orders)="","",INDEX(FTR_Data,ROW()-ROW(Rider_Input[#Headers]),c_FTR_Orders)),""))</f>
        <v/>
      </c>
      <c r="H375" s="155" t="str">
        <f aca="false">IF(Rider_Input[[#This Row],[Rider ID]]="","",IFERROR(ABS(INDEX(RLVL_Data,MATCH(Rider_Input[[#This Row],[Rider ID]],INDEX(RLVL_Data,0,c_RLVL_ID),0),c_RLVL_Missed)),0))</f>
        <v/>
      </c>
      <c r="I375" s="155" t="str">
        <f aca="false">IF(Rider_Input[[#This Row],[Rider ID]]="","",IFERROR(ABS(INDEX(RLVL_Data,MATCH(Rider_Input[[#This Row],[Rider ID]],INDEX(RLVL_Data,0,c_RLVL_ID),0),c_RLVL_Bal)),0))</f>
        <v/>
      </c>
      <c r="J375" s="155" t="str">
        <f aca="false">IF(Rider_Input[[#This Row],[Rider ID]]="","",IFERROR(ABS(INDEX(RLVL_Data,MATCH(Rider_Input[[#This Row],[Rider ID]],INDEX(RLVL_Data,0,c_RLVL_ID),0),c_RLVL_Stack)),0))</f>
        <v/>
      </c>
      <c r="K375" s="155" t="str">
        <f aca="false">IF(Rider_Input[[#This Row],[Rider ID]]="","",SUMIFS(Adj_Input[Other Deductions],Adj_Input[Rider ID],Rider_Input[[#This Row],[Rider ID]]))</f>
        <v/>
      </c>
      <c r="L375" s="154" t="str">
        <f aca="false">IF(Rider_Input[[#This Row],[Rider ID]]="","",IFERROR(INDEX(Adj_Input[Note / Reason],MATCH(Rider_Input[[#This Row],[Rider ID]],Adj_Input[Rider ID],0))&amp;"",""))</f>
        <v/>
      </c>
    </row>
    <row r="376" customFormat="false" ht="14.25" hidden="false" customHeight="false" outlineLevel="0" collapsed="false">
      <c r="A376" s="152" t="str">
        <f aca="false">IF(Rider_Input[[#This Row],[Rider ID]]="","",Salary_Month)</f>
        <v/>
      </c>
      <c r="B376" s="153" t="str">
        <f aca="false">IFERROR(IF(INDEX(FTR_Data,ROW()-ROW(Rider_Input[#Headers]),c_FTR_ID)="","",INDEX(FTR_Data,ROW()-ROW(Rider_Input[#Headers]),c_FTR_ID)),"")</f>
        <v/>
      </c>
      <c r="C37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7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76" s="153" t="str">
        <f aca="false">IF(Rider_Input[[#This Row],[Rider ID]]="","",DAY(EOMONTH(Salary_Month,0)))</f>
        <v/>
      </c>
      <c r="F376" s="153" t="str">
        <f aca="false">IF(Rider_Input[[#This Row],[Rider ID]]="","",IFERROR(IF(INDEX(FTR_Data,ROW()-ROW(Rider_Input[#Headers]),c_FTR_WD)="","",INDEX(FTR_Data,ROW()-ROW(Rider_Input[#Headers]),c_FTR_WD)),""))</f>
        <v/>
      </c>
      <c r="G376" s="153" t="str">
        <f aca="false">IF(Rider_Input[[#This Row],[Rider ID]]="","",IFERROR(IF(INDEX(FTR_Data,ROW()-ROW(Rider_Input[#Headers]),c_FTR_Orders)="","",INDEX(FTR_Data,ROW()-ROW(Rider_Input[#Headers]),c_FTR_Orders)),""))</f>
        <v/>
      </c>
      <c r="H376" s="155" t="str">
        <f aca="false">IF(Rider_Input[[#This Row],[Rider ID]]="","",IFERROR(ABS(INDEX(RLVL_Data,MATCH(Rider_Input[[#This Row],[Rider ID]],INDEX(RLVL_Data,0,c_RLVL_ID),0),c_RLVL_Missed)),0))</f>
        <v/>
      </c>
      <c r="I376" s="155" t="str">
        <f aca="false">IF(Rider_Input[[#This Row],[Rider ID]]="","",IFERROR(ABS(INDEX(RLVL_Data,MATCH(Rider_Input[[#This Row],[Rider ID]],INDEX(RLVL_Data,0,c_RLVL_ID),0),c_RLVL_Bal)),0))</f>
        <v/>
      </c>
      <c r="J376" s="155" t="str">
        <f aca="false">IF(Rider_Input[[#This Row],[Rider ID]]="","",IFERROR(ABS(INDEX(RLVL_Data,MATCH(Rider_Input[[#This Row],[Rider ID]],INDEX(RLVL_Data,0,c_RLVL_ID),0),c_RLVL_Stack)),0))</f>
        <v/>
      </c>
      <c r="K376" s="155" t="str">
        <f aca="false">IF(Rider_Input[[#This Row],[Rider ID]]="","",SUMIFS(Adj_Input[Other Deductions],Adj_Input[Rider ID],Rider_Input[[#This Row],[Rider ID]]))</f>
        <v/>
      </c>
      <c r="L376" s="154" t="str">
        <f aca="false">IF(Rider_Input[[#This Row],[Rider ID]]="","",IFERROR(INDEX(Adj_Input[Note / Reason],MATCH(Rider_Input[[#This Row],[Rider ID]],Adj_Input[Rider ID],0))&amp;"",""))</f>
        <v/>
      </c>
    </row>
    <row r="377" customFormat="false" ht="14.25" hidden="false" customHeight="false" outlineLevel="0" collapsed="false">
      <c r="A377" s="152" t="str">
        <f aca="false">IF(Rider_Input[[#This Row],[Rider ID]]="","",Salary_Month)</f>
        <v/>
      </c>
      <c r="B377" s="153" t="str">
        <f aca="false">IFERROR(IF(INDEX(FTR_Data,ROW()-ROW(Rider_Input[#Headers]),c_FTR_ID)="","",INDEX(FTR_Data,ROW()-ROW(Rider_Input[#Headers]),c_FTR_ID)),"")</f>
        <v/>
      </c>
      <c r="C37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7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77" s="153" t="str">
        <f aca="false">IF(Rider_Input[[#This Row],[Rider ID]]="","",DAY(EOMONTH(Salary_Month,0)))</f>
        <v/>
      </c>
      <c r="F377" s="153" t="str">
        <f aca="false">IF(Rider_Input[[#This Row],[Rider ID]]="","",IFERROR(IF(INDEX(FTR_Data,ROW()-ROW(Rider_Input[#Headers]),c_FTR_WD)="","",INDEX(FTR_Data,ROW()-ROW(Rider_Input[#Headers]),c_FTR_WD)),""))</f>
        <v/>
      </c>
      <c r="G377" s="153" t="str">
        <f aca="false">IF(Rider_Input[[#This Row],[Rider ID]]="","",IFERROR(IF(INDEX(FTR_Data,ROW()-ROW(Rider_Input[#Headers]),c_FTR_Orders)="","",INDEX(FTR_Data,ROW()-ROW(Rider_Input[#Headers]),c_FTR_Orders)),""))</f>
        <v/>
      </c>
      <c r="H377" s="155" t="str">
        <f aca="false">IF(Rider_Input[[#This Row],[Rider ID]]="","",IFERROR(ABS(INDEX(RLVL_Data,MATCH(Rider_Input[[#This Row],[Rider ID]],INDEX(RLVL_Data,0,c_RLVL_ID),0),c_RLVL_Missed)),0))</f>
        <v/>
      </c>
      <c r="I377" s="155" t="str">
        <f aca="false">IF(Rider_Input[[#This Row],[Rider ID]]="","",IFERROR(ABS(INDEX(RLVL_Data,MATCH(Rider_Input[[#This Row],[Rider ID]],INDEX(RLVL_Data,0,c_RLVL_ID),0),c_RLVL_Bal)),0))</f>
        <v/>
      </c>
      <c r="J377" s="155" t="str">
        <f aca="false">IF(Rider_Input[[#This Row],[Rider ID]]="","",IFERROR(ABS(INDEX(RLVL_Data,MATCH(Rider_Input[[#This Row],[Rider ID]],INDEX(RLVL_Data,0,c_RLVL_ID),0),c_RLVL_Stack)),0))</f>
        <v/>
      </c>
      <c r="K377" s="155" t="str">
        <f aca="false">IF(Rider_Input[[#This Row],[Rider ID]]="","",SUMIFS(Adj_Input[Other Deductions],Adj_Input[Rider ID],Rider_Input[[#This Row],[Rider ID]]))</f>
        <v/>
      </c>
      <c r="L377" s="154" t="str">
        <f aca="false">IF(Rider_Input[[#This Row],[Rider ID]]="","",IFERROR(INDEX(Adj_Input[Note / Reason],MATCH(Rider_Input[[#This Row],[Rider ID]],Adj_Input[Rider ID],0))&amp;"",""))</f>
        <v/>
      </c>
    </row>
    <row r="378" customFormat="false" ht="14.25" hidden="false" customHeight="false" outlineLevel="0" collapsed="false">
      <c r="A378" s="152" t="str">
        <f aca="false">IF(Rider_Input[[#This Row],[Rider ID]]="","",Salary_Month)</f>
        <v/>
      </c>
      <c r="B378" s="153" t="str">
        <f aca="false">IFERROR(IF(INDEX(FTR_Data,ROW()-ROW(Rider_Input[#Headers]),c_FTR_ID)="","",INDEX(FTR_Data,ROW()-ROW(Rider_Input[#Headers]),c_FTR_ID)),"")</f>
        <v/>
      </c>
      <c r="C37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7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78" s="153" t="str">
        <f aca="false">IF(Rider_Input[[#This Row],[Rider ID]]="","",DAY(EOMONTH(Salary_Month,0)))</f>
        <v/>
      </c>
      <c r="F378" s="153" t="str">
        <f aca="false">IF(Rider_Input[[#This Row],[Rider ID]]="","",IFERROR(IF(INDEX(FTR_Data,ROW()-ROW(Rider_Input[#Headers]),c_FTR_WD)="","",INDEX(FTR_Data,ROW()-ROW(Rider_Input[#Headers]),c_FTR_WD)),""))</f>
        <v/>
      </c>
      <c r="G378" s="153" t="str">
        <f aca="false">IF(Rider_Input[[#This Row],[Rider ID]]="","",IFERROR(IF(INDEX(FTR_Data,ROW()-ROW(Rider_Input[#Headers]),c_FTR_Orders)="","",INDEX(FTR_Data,ROW()-ROW(Rider_Input[#Headers]),c_FTR_Orders)),""))</f>
        <v/>
      </c>
      <c r="H378" s="155" t="str">
        <f aca="false">IF(Rider_Input[[#This Row],[Rider ID]]="","",IFERROR(ABS(INDEX(RLVL_Data,MATCH(Rider_Input[[#This Row],[Rider ID]],INDEX(RLVL_Data,0,c_RLVL_ID),0),c_RLVL_Missed)),0))</f>
        <v/>
      </c>
      <c r="I378" s="155" t="str">
        <f aca="false">IF(Rider_Input[[#This Row],[Rider ID]]="","",IFERROR(ABS(INDEX(RLVL_Data,MATCH(Rider_Input[[#This Row],[Rider ID]],INDEX(RLVL_Data,0,c_RLVL_ID),0),c_RLVL_Bal)),0))</f>
        <v/>
      </c>
      <c r="J378" s="155" t="str">
        <f aca="false">IF(Rider_Input[[#This Row],[Rider ID]]="","",IFERROR(ABS(INDEX(RLVL_Data,MATCH(Rider_Input[[#This Row],[Rider ID]],INDEX(RLVL_Data,0,c_RLVL_ID),0),c_RLVL_Stack)),0))</f>
        <v/>
      </c>
      <c r="K378" s="155" t="str">
        <f aca="false">IF(Rider_Input[[#This Row],[Rider ID]]="","",SUMIFS(Adj_Input[Other Deductions],Adj_Input[Rider ID],Rider_Input[[#This Row],[Rider ID]]))</f>
        <v/>
      </c>
      <c r="L378" s="154" t="str">
        <f aca="false">IF(Rider_Input[[#This Row],[Rider ID]]="","",IFERROR(INDEX(Adj_Input[Note / Reason],MATCH(Rider_Input[[#This Row],[Rider ID]],Adj_Input[Rider ID],0))&amp;"",""))</f>
        <v/>
      </c>
    </row>
    <row r="379" customFormat="false" ht="14.25" hidden="false" customHeight="false" outlineLevel="0" collapsed="false">
      <c r="A379" s="152" t="str">
        <f aca="false">IF(Rider_Input[[#This Row],[Rider ID]]="","",Salary_Month)</f>
        <v/>
      </c>
      <c r="B379" s="153" t="str">
        <f aca="false">IFERROR(IF(INDEX(FTR_Data,ROW()-ROW(Rider_Input[#Headers]),c_FTR_ID)="","",INDEX(FTR_Data,ROW()-ROW(Rider_Input[#Headers]),c_FTR_ID)),"")</f>
        <v/>
      </c>
      <c r="C37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7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79" s="153" t="str">
        <f aca="false">IF(Rider_Input[[#This Row],[Rider ID]]="","",DAY(EOMONTH(Salary_Month,0)))</f>
        <v/>
      </c>
      <c r="F379" s="153" t="str">
        <f aca="false">IF(Rider_Input[[#This Row],[Rider ID]]="","",IFERROR(IF(INDEX(FTR_Data,ROW()-ROW(Rider_Input[#Headers]),c_FTR_WD)="","",INDEX(FTR_Data,ROW()-ROW(Rider_Input[#Headers]),c_FTR_WD)),""))</f>
        <v/>
      </c>
      <c r="G379" s="153" t="str">
        <f aca="false">IF(Rider_Input[[#This Row],[Rider ID]]="","",IFERROR(IF(INDEX(FTR_Data,ROW()-ROW(Rider_Input[#Headers]),c_FTR_Orders)="","",INDEX(FTR_Data,ROW()-ROW(Rider_Input[#Headers]),c_FTR_Orders)),""))</f>
        <v/>
      </c>
      <c r="H379" s="155" t="str">
        <f aca="false">IF(Rider_Input[[#This Row],[Rider ID]]="","",IFERROR(ABS(INDEX(RLVL_Data,MATCH(Rider_Input[[#This Row],[Rider ID]],INDEX(RLVL_Data,0,c_RLVL_ID),0),c_RLVL_Missed)),0))</f>
        <v/>
      </c>
      <c r="I379" s="155" t="str">
        <f aca="false">IF(Rider_Input[[#This Row],[Rider ID]]="","",IFERROR(ABS(INDEX(RLVL_Data,MATCH(Rider_Input[[#This Row],[Rider ID]],INDEX(RLVL_Data,0,c_RLVL_ID),0),c_RLVL_Bal)),0))</f>
        <v/>
      </c>
      <c r="J379" s="155" t="str">
        <f aca="false">IF(Rider_Input[[#This Row],[Rider ID]]="","",IFERROR(ABS(INDEX(RLVL_Data,MATCH(Rider_Input[[#This Row],[Rider ID]],INDEX(RLVL_Data,0,c_RLVL_ID),0),c_RLVL_Stack)),0))</f>
        <v/>
      </c>
      <c r="K379" s="155" t="str">
        <f aca="false">IF(Rider_Input[[#This Row],[Rider ID]]="","",SUMIFS(Adj_Input[Other Deductions],Adj_Input[Rider ID],Rider_Input[[#This Row],[Rider ID]]))</f>
        <v/>
      </c>
      <c r="L379" s="154" t="str">
        <f aca="false">IF(Rider_Input[[#This Row],[Rider ID]]="","",IFERROR(INDEX(Adj_Input[Note / Reason],MATCH(Rider_Input[[#This Row],[Rider ID]],Adj_Input[Rider ID],0))&amp;"",""))</f>
        <v/>
      </c>
    </row>
    <row r="380" customFormat="false" ht="14.25" hidden="false" customHeight="false" outlineLevel="0" collapsed="false">
      <c r="A380" s="152" t="str">
        <f aca="false">IF(Rider_Input[[#This Row],[Rider ID]]="","",Salary_Month)</f>
        <v/>
      </c>
      <c r="B380" s="153" t="str">
        <f aca="false">IFERROR(IF(INDEX(FTR_Data,ROW()-ROW(Rider_Input[#Headers]),c_FTR_ID)="","",INDEX(FTR_Data,ROW()-ROW(Rider_Input[#Headers]),c_FTR_ID)),"")</f>
        <v/>
      </c>
      <c r="C38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8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80" s="153" t="str">
        <f aca="false">IF(Rider_Input[[#This Row],[Rider ID]]="","",DAY(EOMONTH(Salary_Month,0)))</f>
        <v/>
      </c>
      <c r="F380" s="153" t="str">
        <f aca="false">IF(Rider_Input[[#This Row],[Rider ID]]="","",IFERROR(IF(INDEX(FTR_Data,ROW()-ROW(Rider_Input[#Headers]),c_FTR_WD)="","",INDEX(FTR_Data,ROW()-ROW(Rider_Input[#Headers]),c_FTR_WD)),""))</f>
        <v/>
      </c>
      <c r="G380" s="153" t="str">
        <f aca="false">IF(Rider_Input[[#This Row],[Rider ID]]="","",IFERROR(IF(INDEX(FTR_Data,ROW()-ROW(Rider_Input[#Headers]),c_FTR_Orders)="","",INDEX(FTR_Data,ROW()-ROW(Rider_Input[#Headers]),c_FTR_Orders)),""))</f>
        <v/>
      </c>
      <c r="H380" s="155" t="str">
        <f aca="false">IF(Rider_Input[[#This Row],[Rider ID]]="","",IFERROR(ABS(INDEX(RLVL_Data,MATCH(Rider_Input[[#This Row],[Rider ID]],INDEX(RLVL_Data,0,c_RLVL_ID),0),c_RLVL_Missed)),0))</f>
        <v/>
      </c>
      <c r="I380" s="155" t="str">
        <f aca="false">IF(Rider_Input[[#This Row],[Rider ID]]="","",IFERROR(ABS(INDEX(RLVL_Data,MATCH(Rider_Input[[#This Row],[Rider ID]],INDEX(RLVL_Data,0,c_RLVL_ID),0),c_RLVL_Bal)),0))</f>
        <v/>
      </c>
      <c r="J380" s="155" t="str">
        <f aca="false">IF(Rider_Input[[#This Row],[Rider ID]]="","",IFERROR(ABS(INDEX(RLVL_Data,MATCH(Rider_Input[[#This Row],[Rider ID]],INDEX(RLVL_Data,0,c_RLVL_ID),0),c_RLVL_Stack)),0))</f>
        <v/>
      </c>
      <c r="K380" s="155" t="str">
        <f aca="false">IF(Rider_Input[[#This Row],[Rider ID]]="","",SUMIFS(Adj_Input[Other Deductions],Adj_Input[Rider ID],Rider_Input[[#This Row],[Rider ID]]))</f>
        <v/>
      </c>
      <c r="L380" s="154" t="str">
        <f aca="false">IF(Rider_Input[[#This Row],[Rider ID]]="","",IFERROR(INDEX(Adj_Input[Note / Reason],MATCH(Rider_Input[[#This Row],[Rider ID]],Adj_Input[Rider ID],0))&amp;"",""))</f>
        <v/>
      </c>
    </row>
    <row r="381" customFormat="false" ht="14.25" hidden="false" customHeight="false" outlineLevel="0" collapsed="false">
      <c r="A381" s="152" t="str">
        <f aca="false">IF(Rider_Input[[#This Row],[Rider ID]]="","",Salary_Month)</f>
        <v/>
      </c>
      <c r="B381" s="153" t="str">
        <f aca="false">IFERROR(IF(INDEX(FTR_Data,ROW()-ROW(Rider_Input[#Headers]),c_FTR_ID)="","",INDEX(FTR_Data,ROW()-ROW(Rider_Input[#Headers]),c_FTR_ID)),"")</f>
        <v/>
      </c>
      <c r="C38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8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81" s="153" t="str">
        <f aca="false">IF(Rider_Input[[#This Row],[Rider ID]]="","",DAY(EOMONTH(Salary_Month,0)))</f>
        <v/>
      </c>
      <c r="F381" s="153" t="str">
        <f aca="false">IF(Rider_Input[[#This Row],[Rider ID]]="","",IFERROR(IF(INDEX(FTR_Data,ROW()-ROW(Rider_Input[#Headers]),c_FTR_WD)="","",INDEX(FTR_Data,ROW()-ROW(Rider_Input[#Headers]),c_FTR_WD)),""))</f>
        <v/>
      </c>
      <c r="G381" s="153" t="str">
        <f aca="false">IF(Rider_Input[[#This Row],[Rider ID]]="","",IFERROR(IF(INDEX(FTR_Data,ROW()-ROW(Rider_Input[#Headers]),c_FTR_Orders)="","",INDEX(FTR_Data,ROW()-ROW(Rider_Input[#Headers]),c_FTR_Orders)),""))</f>
        <v/>
      </c>
      <c r="H381" s="155" t="str">
        <f aca="false">IF(Rider_Input[[#This Row],[Rider ID]]="","",IFERROR(ABS(INDEX(RLVL_Data,MATCH(Rider_Input[[#This Row],[Rider ID]],INDEX(RLVL_Data,0,c_RLVL_ID),0),c_RLVL_Missed)),0))</f>
        <v/>
      </c>
      <c r="I381" s="155" t="str">
        <f aca="false">IF(Rider_Input[[#This Row],[Rider ID]]="","",IFERROR(ABS(INDEX(RLVL_Data,MATCH(Rider_Input[[#This Row],[Rider ID]],INDEX(RLVL_Data,0,c_RLVL_ID),0),c_RLVL_Bal)),0))</f>
        <v/>
      </c>
      <c r="J381" s="155" t="str">
        <f aca="false">IF(Rider_Input[[#This Row],[Rider ID]]="","",IFERROR(ABS(INDEX(RLVL_Data,MATCH(Rider_Input[[#This Row],[Rider ID]],INDEX(RLVL_Data,0,c_RLVL_ID),0),c_RLVL_Stack)),0))</f>
        <v/>
      </c>
      <c r="K381" s="155" t="str">
        <f aca="false">IF(Rider_Input[[#This Row],[Rider ID]]="","",SUMIFS(Adj_Input[Other Deductions],Adj_Input[Rider ID],Rider_Input[[#This Row],[Rider ID]]))</f>
        <v/>
      </c>
      <c r="L381" s="154" t="str">
        <f aca="false">IF(Rider_Input[[#This Row],[Rider ID]]="","",IFERROR(INDEX(Adj_Input[Note / Reason],MATCH(Rider_Input[[#This Row],[Rider ID]],Adj_Input[Rider ID],0))&amp;"",""))</f>
        <v/>
      </c>
    </row>
    <row r="382" customFormat="false" ht="14.25" hidden="false" customHeight="false" outlineLevel="0" collapsed="false">
      <c r="A382" s="152" t="str">
        <f aca="false">IF(Rider_Input[[#This Row],[Rider ID]]="","",Salary_Month)</f>
        <v/>
      </c>
      <c r="B382" s="153" t="str">
        <f aca="false">IFERROR(IF(INDEX(FTR_Data,ROW()-ROW(Rider_Input[#Headers]),c_FTR_ID)="","",INDEX(FTR_Data,ROW()-ROW(Rider_Input[#Headers]),c_FTR_ID)),"")</f>
        <v/>
      </c>
      <c r="C38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8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82" s="153" t="str">
        <f aca="false">IF(Rider_Input[[#This Row],[Rider ID]]="","",DAY(EOMONTH(Salary_Month,0)))</f>
        <v/>
      </c>
      <c r="F382" s="153" t="str">
        <f aca="false">IF(Rider_Input[[#This Row],[Rider ID]]="","",IFERROR(IF(INDEX(FTR_Data,ROW()-ROW(Rider_Input[#Headers]),c_FTR_WD)="","",INDEX(FTR_Data,ROW()-ROW(Rider_Input[#Headers]),c_FTR_WD)),""))</f>
        <v/>
      </c>
      <c r="G382" s="153" t="str">
        <f aca="false">IF(Rider_Input[[#This Row],[Rider ID]]="","",IFERROR(IF(INDEX(FTR_Data,ROW()-ROW(Rider_Input[#Headers]),c_FTR_Orders)="","",INDEX(FTR_Data,ROW()-ROW(Rider_Input[#Headers]),c_FTR_Orders)),""))</f>
        <v/>
      </c>
      <c r="H382" s="155" t="str">
        <f aca="false">IF(Rider_Input[[#This Row],[Rider ID]]="","",IFERROR(ABS(INDEX(RLVL_Data,MATCH(Rider_Input[[#This Row],[Rider ID]],INDEX(RLVL_Data,0,c_RLVL_ID),0),c_RLVL_Missed)),0))</f>
        <v/>
      </c>
      <c r="I382" s="155" t="str">
        <f aca="false">IF(Rider_Input[[#This Row],[Rider ID]]="","",IFERROR(ABS(INDEX(RLVL_Data,MATCH(Rider_Input[[#This Row],[Rider ID]],INDEX(RLVL_Data,0,c_RLVL_ID),0),c_RLVL_Bal)),0))</f>
        <v/>
      </c>
      <c r="J382" s="155" t="str">
        <f aca="false">IF(Rider_Input[[#This Row],[Rider ID]]="","",IFERROR(ABS(INDEX(RLVL_Data,MATCH(Rider_Input[[#This Row],[Rider ID]],INDEX(RLVL_Data,0,c_RLVL_ID),0),c_RLVL_Stack)),0))</f>
        <v/>
      </c>
      <c r="K382" s="155" t="str">
        <f aca="false">IF(Rider_Input[[#This Row],[Rider ID]]="","",SUMIFS(Adj_Input[Other Deductions],Adj_Input[Rider ID],Rider_Input[[#This Row],[Rider ID]]))</f>
        <v/>
      </c>
      <c r="L382" s="154" t="str">
        <f aca="false">IF(Rider_Input[[#This Row],[Rider ID]]="","",IFERROR(INDEX(Adj_Input[Note / Reason],MATCH(Rider_Input[[#This Row],[Rider ID]],Adj_Input[Rider ID],0))&amp;"",""))</f>
        <v/>
      </c>
    </row>
    <row r="383" customFormat="false" ht="14.25" hidden="false" customHeight="false" outlineLevel="0" collapsed="false">
      <c r="A383" s="152" t="str">
        <f aca="false">IF(Rider_Input[[#This Row],[Rider ID]]="","",Salary_Month)</f>
        <v/>
      </c>
      <c r="B383" s="153" t="str">
        <f aca="false">IFERROR(IF(INDEX(FTR_Data,ROW()-ROW(Rider_Input[#Headers]),c_FTR_ID)="","",INDEX(FTR_Data,ROW()-ROW(Rider_Input[#Headers]),c_FTR_ID)),"")</f>
        <v/>
      </c>
      <c r="C38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8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83" s="153" t="str">
        <f aca="false">IF(Rider_Input[[#This Row],[Rider ID]]="","",DAY(EOMONTH(Salary_Month,0)))</f>
        <v/>
      </c>
      <c r="F383" s="153" t="str">
        <f aca="false">IF(Rider_Input[[#This Row],[Rider ID]]="","",IFERROR(IF(INDEX(FTR_Data,ROW()-ROW(Rider_Input[#Headers]),c_FTR_WD)="","",INDEX(FTR_Data,ROW()-ROW(Rider_Input[#Headers]),c_FTR_WD)),""))</f>
        <v/>
      </c>
      <c r="G383" s="153" t="str">
        <f aca="false">IF(Rider_Input[[#This Row],[Rider ID]]="","",IFERROR(IF(INDEX(FTR_Data,ROW()-ROW(Rider_Input[#Headers]),c_FTR_Orders)="","",INDEX(FTR_Data,ROW()-ROW(Rider_Input[#Headers]),c_FTR_Orders)),""))</f>
        <v/>
      </c>
      <c r="H383" s="155" t="str">
        <f aca="false">IF(Rider_Input[[#This Row],[Rider ID]]="","",IFERROR(ABS(INDEX(RLVL_Data,MATCH(Rider_Input[[#This Row],[Rider ID]],INDEX(RLVL_Data,0,c_RLVL_ID),0),c_RLVL_Missed)),0))</f>
        <v/>
      </c>
      <c r="I383" s="155" t="str">
        <f aca="false">IF(Rider_Input[[#This Row],[Rider ID]]="","",IFERROR(ABS(INDEX(RLVL_Data,MATCH(Rider_Input[[#This Row],[Rider ID]],INDEX(RLVL_Data,0,c_RLVL_ID),0),c_RLVL_Bal)),0))</f>
        <v/>
      </c>
      <c r="J383" s="155" t="str">
        <f aca="false">IF(Rider_Input[[#This Row],[Rider ID]]="","",IFERROR(ABS(INDEX(RLVL_Data,MATCH(Rider_Input[[#This Row],[Rider ID]],INDEX(RLVL_Data,0,c_RLVL_ID),0),c_RLVL_Stack)),0))</f>
        <v/>
      </c>
      <c r="K383" s="155" t="str">
        <f aca="false">IF(Rider_Input[[#This Row],[Rider ID]]="","",SUMIFS(Adj_Input[Other Deductions],Adj_Input[Rider ID],Rider_Input[[#This Row],[Rider ID]]))</f>
        <v/>
      </c>
      <c r="L383" s="154" t="str">
        <f aca="false">IF(Rider_Input[[#This Row],[Rider ID]]="","",IFERROR(INDEX(Adj_Input[Note / Reason],MATCH(Rider_Input[[#This Row],[Rider ID]],Adj_Input[Rider ID],0))&amp;"",""))</f>
        <v/>
      </c>
    </row>
    <row r="384" customFormat="false" ht="14.25" hidden="false" customHeight="false" outlineLevel="0" collapsed="false">
      <c r="A384" s="152" t="str">
        <f aca="false">IF(Rider_Input[[#This Row],[Rider ID]]="","",Salary_Month)</f>
        <v/>
      </c>
      <c r="B384" s="153" t="str">
        <f aca="false">IFERROR(IF(INDEX(FTR_Data,ROW()-ROW(Rider_Input[#Headers]),c_FTR_ID)="","",INDEX(FTR_Data,ROW()-ROW(Rider_Input[#Headers]),c_FTR_ID)),"")</f>
        <v/>
      </c>
      <c r="C38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8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84" s="153" t="str">
        <f aca="false">IF(Rider_Input[[#This Row],[Rider ID]]="","",DAY(EOMONTH(Salary_Month,0)))</f>
        <v/>
      </c>
      <c r="F384" s="153" t="str">
        <f aca="false">IF(Rider_Input[[#This Row],[Rider ID]]="","",IFERROR(IF(INDEX(FTR_Data,ROW()-ROW(Rider_Input[#Headers]),c_FTR_WD)="","",INDEX(FTR_Data,ROW()-ROW(Rider_Input[#Headers]),c_FTR_WD)),""))</f>
        <v/>
      </c>
      <c r="G384" s="153" t="str">
        <f aca="false">IF(Rider_Input[[#This Row],[Rider ID]]="","",IFERROR(IF(INDEX(FTR_Data,ROW()-ROW(Rider_Input[#Headers]),c_FTR_Orders)="","",INDEX(FTR_Data,ROW()-ROW(Rider_Input[#Headers]),c_FTR_Orders)),""))</f>
        <v/>
      </c>
      <c r="H384" s="155" t="str">
        <f aca="false">IF(Rider_Input[[#This Row],[Rider ID]]="","",IFERROR(ABS(INDEX(RLVL_Data,MATCH(Rider_Input[[#This Row],[Rider ID]],INDEX(RLVL_Data,0,c_RLVL_ID),0),c_RLVL_Missed)),0))</f>
        <v/>
      </c>
      <c r="I384" s="155" t="str">
        <f aca="false">IF(Rider_Input[[#This Row],[Rider ID]]="","",IFERROR(ABS(INDEX(RLVL_Data,MATCH(Rider_Input[[#This Row],[Rider ID]],INDEX(RLVL_Data,0,c_RLVL_ID),0),c_RLVL_Bal)),0))</f>
        <v/>
      </c>
      <c r="J384" s="155" t="str">
        <f aca="false">IF(Rider_Input[[#This Row],[Rider ID]]="","",IFERROR(ABS(INDEX(RLVL_Data,MATCH(Rider_Input[[#This Row],[Rider ID]],INDEX(RLVL_Data,0,c_RLVL_ID),0),c_RLVL_Stack)),0))</f>
        <v/>
      </c>
      <c r="K384" s="155" t="str">
        <f aca="false">IF(Rider_Input[[#This Row],[Rider ID]]="","",SUMIFS(Adj_Input[Other Deductions],Adj_Input[Rider ID],Rider_Input[[#This Row],[Rider ID]]))</f>
        <v/>
      </c>
      <c r="L384" s="154" t="str">
        <f aca="false">IF(Rider_Input[[#This Row],[Rider ID]]="","",IFERROR(INDEX(Adj_Input[Note / Reason],MATCH(Rider_Input[[#This Row],[Rider ID]],Adj_Input[Rider ID],0))&amp;"",""))</f>
        <v/>
      </c>
    </row>
    <row r="385" customFormat="false" ht="14.25" hidden="false" customHeight="false" outlineLevel="0" collapsed="false">
      <c r="A385" s="152" t="str">
        <f aca="false">IF(Rider_Input[[#This Row],[Rider ID]]="","",Salary_Month)</f>
        <v/>
      </c>
      <c r="B385" s="153" t="str">
        <f aca="false">IFERROR(IF(INDEX(FTR_Data,ROW()-ROW(Rider_Input[#Headers]),c_FTR_ID)="","",INDEX(FTR_Data,ROW()-ROW(Rider_Input[#Headers]),c_FTR_ID)),"")</f>
        <v/>
      </c>
      <c r="C38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8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85" s="153" t="str">
        <f aca="false">IF(Rider_Input[[#This Row],[Rider ID]]="","",DAY(EOMONTH(Salary_Month,0)))</f>
        <v/>
      </c>
      <c r="F385" s="153" t="str">
        <f aca="false">IF(Rider_Input[[#This Row],[Rider ID]]="","",IFERROR(IF(INDEX(FTR_Data,ROW()-ROW(Rider_Input[#Headers]),c_FTR_WD)="","",INDEX(FTR_Data,ROW()-ROW(Rider_Input[#Headers]),c_FTR_WD)),""))</f>
        <v/>
      </c>
      <c r="G385" s="153" t="str">
        <f aca="false">IF(Rider_Input[[#This Row],[Rider ID]]="","",IFERROR(IF(INDEX(FTR_Data,ROW()-ROW(Rider_Input[#Headers]),c_FTR_Orders)="","",INDEX(FTR_Data,ROW()-ROW(Rider_Input[#Headers]),c_FTR_Orders)),""))</f>
        <v/>
      </c>
      <c r="H385" s="155" t="str">
        <f aca="false">IF(Rider_Input[[#This Row],[Rider ID]]="","",IFERROR(ABS(INDEX(RLVL_Data,MATCH(Rider_Input[[#This Row],[Rider ID]],INDEX(RLVL_Data,0,c_RLVL_ID),0),c_RLVL_Missed)),0))</f>
        <v/>
      </c>
      <c r="I385" s="155" t="str">
        <f aca="false">IF(Rider_Input[[#This Row],[Rider ID]]="","",IFERROR(ABS(INDEX(RLVL_Data,MATCH(Rider_Input[[#This Row],[Rider ID]],INDEX(RLVL_Data,0,c_RLVL_ID),0),c_RLVL_Bal)),0))</f>
        <v/>
      </c>
      <c r="J385" s="155" t="str">
        <f aca="false">IF(Rider_Input[[#This Row],[Rider ID]]="","",IFERROR(ABS(INDEX(RLVL_Data,MATCH(Rider_Input[[#This Row],[Rider ID]],INDEX(RLVL_Data,0,c_RLVL_ID),0),c_RLVL_Stack)),0))</f>
        <v/>
      </c>
      <c r="K385" s="155" t="str">
        <f aca="false">IF(Rider_Input[[#This Row],[Rider ID]]="","",SUMIFS(Adj_Input[Other Deductions],Adj_Input[Rider ID],Rider_Input[[#This Row],[Rider ID]]))</f>
        <v/>
      </c>
      <c r="L385" s="154" t="str">
        <f aca="false">IF(Rider_Input[[#This Row],[Rider ID]]="","",IFERROR(INDEX(Adj_Input[Note / Reason],MATCH(Rider_Input[[#This Row],[Rider ID]],Adj_Input[Rider ID],0))&amp;"",""))</f>
        <v/>
      </c>
    </row>
    <row r="386" customFormat="false" ht="14.25" hidden="false" customHeight="false" outlineLevel="0" collapsed="false">
      <c r="A386" s="152" t="str">
        <f aca="false">IF(Rider_Input[[#This Row],[Rider ID]]="","",Salary_Month)</f>
        <v/>
      </c>
      <c r="B386" s="153" t="str">
        <f aca="false">IFERROR(IF(INDEX(FTR_Data,ROW()-ROW(Rider_Input[#Headers]),c_FTR_ID)="","",INDEX(FTR_Data,ROW()-ROW(Rider_Input[#Headers]),c_FTR_ID)),"")</f>
        <v/>
      </c>
      <c r="C38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8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86" s="153" t="str">
        <f aca="false">IF(Rider_Input[[#This Row],[Rider ID]]="","",DAY(EOMONTH(Salary_Month,0)))</f>
        <v/>
      </c>
      <c r="F386" s="153" t="str">
        <f aca="false">IF(Rider_Input[[#This Row],[Rider ID]]="","",IFERROR(IF(INDEX(FTR_Data,ROW()-ROW(Rider_Input[#Headers]),c_FTR_WD)="","",INDEX(FTR_Data,ROW()-ROW(Rider_Input[#Headers]),c_FTR_WD)),""))</f>
        <v/>
      </c>
      <c r="G386" s="153" t="str">
        <f aca="false">IF(Rider_Input[[#This Row],[Rider ID]]="","",IFERROR(IF(INDEX(FTR_Data,ROW()-ROW(Rider_Input[#Headers]),c_FTR_Orders)="","",INDEX(FTR_Data,ROW()-ROW(Rider_Input[#Headers]),c_FTR_Orders)),""))</f>
        <v/>
      </c>
      <c r="H386" s="155" t="str">
        <f aca="false">IF(Rider_Input[[#This Row],[Rider ID]]="","",IFERROR(ABS(INDEX(RLVL_Data,MATCH(Rider_Input[[#This Row],[Rider ID]],INDEX(RLVL_Data,0,c_RLVL_ID),0),c_RLVL_Missed)),0))</f>
        <v/>
      </c>
      <c r="I386" s="155" t="str">
        <f aca="false">IF(Rider_Input[[#This Row],[Rider ID]]="","",IFERROR(ABS(INDEX(RLVL_Data,MATCH(Rider_Input[[#This Row],[Rider ID]],INDEX(RLVL_Data,0,c_RLVL_ID),0),c_RLVL_Bal)),0))</f>
        <v/>
      </c>
      <c r="J386" s="155" t="str">
        <f aca="false">IF(Rider_Input[[#This Row],[Rider ID]]="","",IFERROR(ABS(INDEX(RLVL_Data,MATCH(Rider_Input[[#This Row],[Rider ID]],INDEX(RLVL_Data,0,c_RLVL_ID),0),c_RLVL_Stack)),0))</f>
        <v/>
      </c>
      <c r="K386" s="155" t="str">
        <f aca="false">IF(Rider_Input[[#This Row],[Rider ID]]="","",SUMIFS(Adj_Input[Other Deductions],Adj_Input[Rider ID],Rider_Input[[#This Row],[Rider ID]]))</f>
        <v/>
      </c>
      <c r="L386" s="154" t="str">
        <f aca="false">IF(Rider_Input[[#This Row],[Rider ID]]="","",IFERROR(INDEX(Adj_Input[Note / Reason],MATCH(Rider_Input[[#This Row],[Rider ID]],Adj_Input[Rider ID],0))&amp;"",""))</f>
        <v/>
      </c>
    </row>
    <row r="387" customFormat="false" ht="14.25" hidden="false" customHeight="false" outlineLevel="0" collapsed="false">
      <c r="A387" s="152" t="str">
        <f aca="false">IF(Rider_Input[[#This Row],[Rider ID]]="","",Salary_Month)</f>
        <v/>
      </c>
      <c r="B387" s="153" t="str">
        <f aca="false">IFERROR(IF(INDEX(FTR_Data,ROW()-ROW(Rider_Input[#Headers]),c_FTR_ID)="","",INDEX(FTR_Data,ROW()-ROW(Rider_Input[#Headers]),c_FTR_ID)),"")</f>
        <v/>
      </c>
      <c r="C38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8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87" s="153" t="str">
        <f aca="false">IF(Rider_Input[[#This Row],[Rider ID]]="","",DAY(EOMONTH(Salary_Month,0)))</f>
        <v/>
      </c>
      <c r="F387" s="153" t="str">
        <f aca="false">IF(Rider_Input[[#This Row],[Rider ID]]="","",IFERROR(IF(INDEX(FTR_Data,ROW()-ROW(Rider_Input[#Headers]),c_FTR_WD)="","",INDEX(FTR_Data,ROW()-ROW(Rider_Input[#Headers]),c_FTR_WD)),""))</f>
        <v/>
      </c>
      <c r="G387" s="153" t="str">
        <f aca="false">IF(Rider_Input[[#This Row],[Rider ID]]="","",IFERROR(IF(INDEX(FTR_Data,ROW()-ROW(Rider_Input[#Headers]),c_FTR_Orders)="","",INDEX(FTR_Data,ROW()-ROW(Rider_Input[#Headers]),c_FTR_Orders)),""))</f>
        <v/>
      </c>
      <c r="H387" s="155" t="str">
        <f aca="false">IF(Rider_Input[[#This Row],[Rider ID]]="","",IFERROR(ABS(INDEX(RLVL_Data,MATCH(Rider_Input[[#This Row],[Rider ID]],INDEX(RLVL_Data,0,c_RLVL_ID),0),c_RLVL_Missed)),0))</f>
        <v/>
      </c>
      <c r="I387" s="155" t="str">
        <f aca="false">IF(Rider_Input[[#This Row],[Rider ID]]="","",IFERROR(ABS(INDEX(RLVL_Data,MATCH(Rider_Input[[#This Row],[Rider ID]],INDEX(RLVL_Data,0,c_RLVL_ID),0),c_RLVL_Bal)),0))</f>
        <v/>
      </c>
      <c r="J387" s="155" t="str">
        <f aca="false">IF(Rider_Input[[#This Row],[Rider ID]]="","",IFERROR(ABS(INDEX(RLVL_Data,MATCH(Rider_Input[[#This Row],[Rider ID]],INDEX(RLVL_Data,0,c_RLVL_ID),0),c_RLVL_Stack)),0))</f>
        <v/>
      </c>
      <c r="K387" s="155" t="str">
        <f aca="false">IF(Rider_Input[[#This Row],[Rider ID]]="","",SUMIFS(Adj_Input[Other Deductions],Adj_Input[Rider ID],Rider_Input[[#This Row],[Rider ID]]))</f>
        <v/>
      </c>
      <c r="L387" s="154" t="str">
        <f aca="false">IF(Rider_Input[[#This Row],[Rider ID]]="","",IFERROR(INDEX(Adj_Input[Note / Reason],MATCH(Rider_Input[[#This Row],[Rider ID]],Adj_Input[Rider ID],0))&amp;"",""))</f>
        <v/>
      </c>
    </row>
    <row r="388" customFormat="false" ht="14.25" hidden="false" customHeight="false" outlineLevel="0" collapsed="false">
      <c r="A388" s="152" t="str">
        <f aca="false">IF(Rider_Input[[#This Row],[Rider ID]]="","",Salary_Month)</f>
        <v/>
      </c>
      <c r="B388" s="153" t="str">
        <f aca="false">IFERROR(IF(INDEX(FTR_Data,ROW()-ROW(Rider_Input[#Headers]),c_FTR_ID)="","",INDEX(FTR_Data,ROW()-ROW(Rider_Input[#Headers]),c_FTR_ID)),"")</f>
        <v/>
      </c>
      <c r="C38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8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88" s="153" t="str">
        <f aca="false">IF(Rider_Input[[#This Row],[Rider ID]]="","",DAY(EOMONTH(Salary_Month,0)))</f>
        <v/>
      </c>
      <c r="F388" s="153" t="str">
        <f aca="false">IF(Rider_Input[[#This Row],[Rider ID]]="","",IFERROR(IF(INDEX(FTR_Data,ROW()-ROW(Rider_Input[#Headers]),c_FTR_WD)="","",INDEX(FTR_Data,ROW()-ROW(Rider_Input[#Headers]),c_FTR_WD)),""))</f>
        <v/>
      </c>
      <c r="G388" s="153" t="str">
        <f aca="false">IF(Rider_Input[[#This Row],[Rider ID]]="","",IFERROR(IF(INDEX(FTR_Data,ROW()-ROW(Rider_Input[#Headers]),c_FTR_Orders)="","",INDEX(FTR_Data,ROW()-ROW(Rider_Input[#Headers]),c_FTR_Orders)),""))</f>
        <v/>
      </c>
      <c r="H388" s="155" t="str">
        <f aca="false">IF(Rider_Input[[#This Row],[Rider ID]]="","",IFERROR(ABS(INDEX(RLVL_Data,MATCH(Rider_Input[[#This Row],[Rider ID]],INDEX(RLVL_Data,0,c_RLVL_ID),0),c_RLVL_Missed)),0))</f>
        <v/>
      </c>
      <c r="I388" s="155" t="str">
        <f aca="false">IF(Rider_Input[[#This Row],[Rider ID]]="","",IFERROR(ABS(INDEX(RLVL_Data,MATCH(Rider_Input[[#This Row],[Rider ID]],INDEX(RLVL_Data,0,c_RLVL_ID),0),c_RLVL_Bal)),0))</f>
        <v/>
      </c>
      <c r="J388" s="155" t="str">
        <f aca="false">IF(Rider_Input[[#This Row],[Rider ID]]="","",IFERROR(ABS(INDEX(RLVL_Data,MATCH(Rider_Input[[#This Row],[Rider ID]],INDEX(RLVL_Data,0,c_RLVL_ID),0),c_RLVL_Stack)),0))</f>
        <v/>
      </c>
      <c r="K388" s="155" t="str">
        <f aca="false">IF(Rider_Input[[#This Row],[Rider ID]]="","",SUMIFS(Adj_Input[Other Deductions],Adj_Input[Rider ID],Rider_Input[[#This Row],[Rider ID]]))</f>
        <v/>
      </c>
      <c r="L388" s="154" t="str">
        <f aca="false">IF(Rider_Input[[#This Row],[Rider ID]]="","",IFERROR(INDEX(Adj_Input[Note / Reason],MATCH(Rider_Input[[#This Row],[Rider ID]],Adj_Input[Rider ID],0))&amp;"",""))</f>
        <v/>
      </c>
    </row>
    <row r="389" customFormat="false" ht="14.25" hidden="false" customHeight="false" outlineLevel="0" collapsed="false">
      <c r="A389" s="152" t="str">
        <f aca="false">IF(Rider_Input[[#This Row],[Rider ID]]="","",Salary_Month)</f>
        <v/>
      </c>
      <c r="B389" s="153" t="str">
        <f aca="false">IFERROR(IF(INDEX(FTR_Data,ROW()-ROW(Rider_Input[#Headers]),c_FTR_ID)="","",INDEX(FTR_Data,ROW()-ROW(Rider_Input[#Headers]),c_FTR_ID)),"")</f>
        <v/>
      </c>
      <c r="C38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8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89" s="153" t="str">
        <f aca="false">IF(Rider_Input[[#This Row],[Rider ID]]="","",DAY(EOMONTH(Salary_Month,0)))</f>
        <v/>
      </c>
      <c r="F389" s="153" t="str">
        <f aca="false">IF(Rider_Input[[#This Row],[Rider ID]]="","",IFERROR(IF(INDEX(FTR_Data,ROW()-ROW(Rider_Input[#Headers]),c_FTR_WD)="","",INDEX(FTR_Data,ROW()-ROW(Rider_Input[#Headers]),c_FTR_WD)),""))</f>
        <v/>
      </c>
      <c r="G389" s="153" t="str">
        <f aca="false">IF(Rider_Input[[#This Row],[Rider ID]]="","",IFERROR(IF(INDEX(FTR_Data,ROW()-ROW(Rider_Input[#Headers]),c_FTR_Orders)="","",INDEX(FTR_Data,ROW()-ROW(Rider_Input[#Headers]),c_FTR_Orders)),""))</f>
        <v/>
      </c>
      <c r="H389" s="155" t="str">
        <f aca="false">IF(Rider_Input[[#This Row],[Rider ID]]="","",IFERROR(ABS(INDEX(RLVL_Data,MATCH(Rider_Input[[#This Row],[Rider ID]],INDEX(RLVL_Data,0,c_RLVL_ID),0),c_RLVL_Missed)),0))</f>
        <v/>
      </c>
      <c r="I389" s="155" t="str">
        <f aca="false">IF(Rider_Input[[#This Row],[Rider ID]]="","",IFERROR(ABS(INDEX(RLVL_Data,MATCH(Rider_Input[[#This Row],[Rider ID]],INDEX(RLVL_Data,0,c_RLVL_ID),0),c_RLVL_Bal)),0))</f>
        <v/>
      </c>
      <c r="J389" s="155" t="str">
        <f aca="false">IF(Rider_Input[[#This Row],[Rider ID]]="","",IFERROR(ABS(INDEX(RLVL_Data,MATCH(Rider_Input[[#This Row],[Rider ID]],INDEX(RLVL_Data,0,c_RLVL_ID),0),c_RLVL_Stack)),0))</f>
        <v/>
      </c>
      <c r="K389" s="155" t="str">
        <f aca="false">IF(Rider_Input[[#This Row],[Rider ID]]="","",SUMIFS(Adj_Input[Other Deductions],Adj_Input[Rider ID],Rider_Input[[#This Row],[Rider ID]]))</f>
        <v/>
      </c>
      <c r="L389" s="154" t="str">
        <f aca="false">IF(Rider_Input[[#This Row],[Rider ID]]="","",IFERROR(INDEX(Adj_Input[Note / Reason],MATCH(Rider_Input[[#This Row],[Rider ID]],Adj_Input[Rider ID],0))&amp;"",""))</f>
        <v/>
      </c>
    </row>
    <row r="390" customFormat="false" ht="14.25" hidden="false" customHeight="false" outlineLevel="0" collapsed="false">
      <c r="A390" s="152" t="str">
        <f aca="false">IF(Rider_Input[[#This Row],[Rider ID]]="","",Salary_Month)</f>
        <v/>
      </c>
      <c r="B390" s="153" t="str">
        <f aca="false">IFERROR(IF(INDEX(FTR_Data,ROW()-ROW(Rider_Input[#Headers]),c_FTR_ID)="","",INDEX(FTR_Data,ROW()-ROW(Rider_Input[#Headers]),c_FTR_ID)),"")</f>
        <v/>
      </c>
      <c r="C39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9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90" s="153" t="str">
        <f aca="false">IF(Rider_Input[[#This Row],[Rider ID]]="","",DAY(EOMONTH(Salary_Month,0)))</f>
        <v/>
      </c>
      <c r="F390" s="153" t="str">
        <f aca="false">IF(Rider_Input[[#This Row],[Rider ID]]="","",IFERROR(IF(INDEX(FTR_Data,ROW()-ROW(Rider_Input[#Headers]),c_FTR_WD)="","",INDEX(FTR_Data,ROW()-ROW(Rider_Input[#Headers]),c_FTR_WD)),""))</f>
        <v/>
      </c>
      <c r="G390" s="153" t="str">
        <f aca="false">IF(Rider_Input[[#This Row],[Rider ID]]="","",IFERROR(IF(INDEX(FTR_Data,ROW()-ROW(Rider_Input[#Headers]),c_FTR_Orders)="","",INDEX(FTR_Data,ROW()-ROW(Rider_Input[#Headers]),c_FTR_Orders)),""))</f>
        <v/>
      </c>
      <c r="H390" s="155" t="str">
        <f aca="false">IF(Rider_Input[[#This Row],[Rider ID]]="","",IFERROR(ABS(INDEX(RLVL_Data,MATCH(Rider_Input[[#This Row],[Rider ID]],INDEX(RLVL_Data,0,c_RLVL_ID),0),c_RLVL_Missed)),0))</f>
        <v/>
      </c>
      <c r="I390" s="155" t="str">
        <f aca="false">IF(Rider_Input[[#This Row],[Rider ID]]="","",IFERROR(ABS(INDEX(RLVL_Data,MATCH(Rider_Input[[#This Row],[Rider ID]],INDEX(RLVL_Data,0,c_RLVL_ID),0),c_RLVL_Bal)),0))</f>
        <v/>
      </c>
      <c r="J390" s="155" t="str">
        <f aca="false">IF(Rider_Input[[#This Row],[Rider ID]]="","",IFERROR(ABS(INDEX(RLVL_Data,MATCH(Rider_Input[[#This Row],[Rider ID]],INDEX(RLVL_Data,0,c_RLVL_ID),0),c_RLVL_Stack)),0))</f>
        <v/>
      </c>
      <c r="K390" s="155" t="str">
        <f aca="false">IF(Rider_Input[[#This Row],[Rider ID]]="","",SUMIFS(Adj_Input[Other Deductions],Adj_Input[Rider ID],Rider_Input[[#This Row],[Rider ID]]))</f>
        <v/>
      </c>
      <c r="L390" s="154" t="str">
        <f aca="false">IF(Rider_Input[[#This Row],[Rider ID]]="","",IFERROR(INDEX(Adj_Input[Note / Reason],MATCH(Rider_Input[[#This Row],[Rider ID]],Adj_Input[Rider ID],0))&amp;"",""))</f>
        <v/>
      </c>
    </row>
    <row r="391" customFormat="false" ht="14.25" hidden="false" customHeight="false" outlineLevel="0" collapsed="false">
      <c r="A391" s="152" t="str">
        <f aca="false">IF(Rider_Input[[#This Row],[Rider ID]]="","",Salary_Month)</f>
        <v/>
      </c>
      <c r="B391" s="153" t="str">
        <f aca="false">IFERROR(IF(INDEX(FTR_Data,ROW()-ROW(Rider_Input[#Headers]),c_FTR_ID)="","",INDEX(FTR_Data,ROW()-ROW(Rider_Input[#Headers]),c_FTR_ID)),"")</f>
        <v/>
      </c>
      <c r="C39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9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91" s="153" t="str">
        <f aca="false">IF(Rider_Input[[#This Row],[Rider ID]]="","",DAY(EOMONTH(Salary_Month,0)))</f>
        <v/>
      </c>
      <c r="F391" s="153" t="str">
        <f aca="false">IF(Rider_Input[[#This Row],[Rider ID]]="","",IFERROR(IF(INDEX(FTR_Data,ROW()-ROW(Rider_Input[#Headers]),c_FTR_WD)="","",INDEX(FTR_Data,ROW()-ROW(Rider_Input[#Headers]),c_FTR_WD)),""))</f>
        <v/>
      </c>
      <c r="G391" s="153" t="str">
        <f aca="false">IF(Rider_Input[[#This Row],[Rider ID]]="","",IFERROR(IF(INDEX(FTR_Data,ROW()-ROW(Rider_Input[#Headers]),c_FTR_Orders)="","",INDEX(FTR_Data,ROW()-ROW(Rider_Input[#Headers]),c_FTR_Orders)),""))</f>
        <v/>
      </c>
      <c r="H391" s="155" t="str">
        <f aca="false">IF(Rider_Input[[#This Row],[Rider ID]]="","",IFERROR(ABS(INDEX(RLVL_Data,MATCH(Rider_Input[[#This Row],[Rider ID]],INDEX(RLVL_Data,0,c_RLVL_ID),0),c_RLVL_Missed)),0))</f>
        <v/>
      </c>
      <c r="I391" s="155" t="str">
        <f aca="false">IF(Rider_Input[[#This Row],[Rider ID]]="","",IFERROR(ABS(INDEX(RLVL_Data,MATCH(Rider_Input[[#This Row],[Rider ID]],INDEX(RLVL_Data,0,c_RLVL_ID),0),c_RLVL_Bal)),0))</f>
        <v/>
      </c>
      <c r="J391" s="155" t="str">
        <f aca="false">IF(Rider_Input[[#This Row],[Rider ID]]="","",IFERROR(ABS(INDEX(RLVL_Data,MATCH(Rider_Input[[#This Row],[Rider ID]],INDEX(RLVL_Data,0,c_RLVL_ID),0),c_RLVL_Stack)),0))</f>
        <v/>
      </c>
      <c r="K391" s="155" t="str">
        <f aca="false">IF(Rider_Input[[#This Row],[Rider ID]]="","",SUMIFS(Adj_Input[Other Deductions],Adj_Input[Rider ID],Rider_Input[[#This Row],[Rider ID]]))</f>
        <v/>
      </c>
      <c r="L391" s="154" t="str">
        <f aca="false">IF(Rider_Input[[#This Row],[Rider ID]]="","",IFERROR(INDEX(Adj_Input[Note / Reason],MATCH(Rider_Input[[#This Row],[Rider ID]],Adj_Input[Rider ID],0))&amp;"",""))</f>
        <v/>
      </c>
    </row>
    <row r="392" customFormat="false" ht="14.25" hidden="false" customHeight="false" outlineLevel="0" collapsed="false">
      <c r="A392" s="152" t="str">
        <f aca="false">IF(Rider_Input[[#This Row],[Rider ID]]="","",Salary_Month)</f>
        <v/>
      </c>
      <c r="B392" s="153" t="str">
        <f aca="false">IFERROR(IF(INDEX(FTR_Data,ROW()-ROW(Rider_Input[#Headers]),c_FTR_ID)="","",INDEX(FTR_Data,ROW()-ROW(Rider_Input[#Headers]),c_FTR_ID)),"")</f>
        <v/>
      </c>
      <c r="C39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9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92" s="153" t="str">
        <f aca="false">IF(Rider_Input[[#This Row],[Rider ID]]="","",DAY(EOMONTH(Salary_Month,0)))</f>
        <v/>
      </c>
      <c r="F392" s="153" t="str">
        <f aca="false">IF(Rider_Input[[#This Row],[Rider ID]]="","",IFERROR(IF(INDEX(FTR_Data,ROW()-ROW(Rider_Input[#Headers]),c_FTR_WD)="","",INDEX(FTR_Data,ROW()-ROW(Rider_Input[#Headers]),c_FTR_WD)),""))</f>
        <v/>
      </c>
      <c r="G392" s="153" t="str">
        <f aca="false">IF(Rider_Input[[#This Row],[Rider ID]]="","",IFERROR(IF(INDEX(FTR_Data,ROW()-ROW(Rider_Input[#Headers]),c_FTR_Orders)="","",INDEX(FTR_Data,ROW()-ROW(Rider_Input[#Headers]),c_FTR_Orders)),""))</f>
        <v/>
      </c>
      <c r="H392" s="155" t="str">
        <f aca="false">IF(Rider_Input[[#This Row],[Rider ID]]="","",IFERROR(ABS(INDEX(RLVL_Data,MATCH(Rider_Input[[#This Row],[Rider ID]],INDEX(RLVL_Data,0,c_RLVL_ID),0),c_RLVL_Missed)),0))</f>
        <v/>
      </c>
      <c r="I392" s="155" t="str">
        <f aca="false">IF(Rider_Input[[#This Row],[Rider ID]]="","",IFERROR(ABS(INDEX(RLVL_Data,MATCH(Rider_Input[[#This Row],[Rider ID]],INDEX(RLVL_Data,0,c_RLVL_ID),0),c_RLVL_Bal)),0))</f>
        <v/>
      </c>
      <c r="J392" s="155" t="str">
        <f aca="false">IF(Rider_Input[[#This Row],[Rider ID]]="","",IFERROR(ABS(INDEX(RLVL_Data,MATCH(Rider_Input[[#This Row],[Rider ID]],INDEX(RLVL_Data,0,c_RLVL_ID),0),c_RLVL_Stack)),0))</f>
        <v/>
      </c>
      <c r="K392" s="155" t="str">
        <f aca="false">IF(Rider_Input[[#This Row],[Rider ID]]="","",SUMIFS(Adj_Input[Other Deductions],Adj_Input[Rider ID],Rider_Input[[#This Row],[Rider ID]]))</f>
        <v/>
      </c>
      <c r="L392" s="154" t="str">
        <f aca="false">IF(Rider_Input[[#This Row],[Rider ID]]="","",IFERROR(INDEX(Adj_Input[Note / Reason],MATCH(Rider_Input[[#This Row],[Rider ID]],Adj_Input[Rider ID],0))&amp;"",""))</f>
        <v/>
      </c>
    </row>
    <row r="393" customFormat="false" ht="14.25" hidden="false" customHeight="false" outlineLevel="0" collapsed="false">
      <c r="A393" s="152" t="str">
        <f aca="false">IF(Rider_Input[[#This Row],[Rider ID]]="","",Salary_Month)</f>
        <v/>
      </c>
      <c r="B393" s="153" t="str">
        <f aca="false">IFERROR(IF(INDEX(FTR_Data,ROW()-ROW(Rider_Input[#Headers]),c_FTR_ID)="","",INDEX(FTR_Data,ROW()-ROW(Rider_Input[#Headers]),c_FTR_ID)),"")</f>
        <v/>
      </c>
      <c r="C39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9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93" s="153" t="str">
        <f aca="false">IF(Rider_Input[[#This Row],[Rider ID]]="","",DAY(EOMONTH(Salary_Month,0)))</f>
        <v/>
      </c>
      <c r="F393" s="153" t="str">
        <f aca="false">IF(Rider_Input[[#This Row],[Rider ID]]="","",IFERROR(IF(INDEX(FTR_Data,ROW()-ROW(Rider_Input[#Headers]),c_FTR_WD)="","",INDEX(FTR_Data,ROW()-ROW(Rider_Input[#Headers]),c_FTR_WD)),""))</f>
        <v/>
      </c>
      <c r="G393" s="153" t="str">
        <f aca="false">IF(Rider_Input[[#This Row],[Rider ID]]="","",IFERROR(IF(INDEX(FTR_Data,ROW()-ROW(Rider_Input[#Headers]),c_FTR_Orders)="","",INDEX(FTR_Data,ROW()-ROW(Rider_Input[#Headers]),c_FTR_Orders)),""))</f>
        <v/>
      </c>
      <c r="H393" s="155" t="str">
        <f aca="false">IF(Rider_Input[[#This Row],[Rider ID]]="","",IFERROR(ABS(INDEX(RLVL_Data,MATCH(Rider_Input[[#This Row],[Rider ID]],INDEX(RLVL_Data,0,c_RLVL_ID),0),c_RLVL_Missed)),0))</f>
        <v/>
      </c>
      <c r="I393" s="155" t="str">
        <f aca="false">IF(Rider_Input[[#This Row],[Rider ID]]="","",IFERROR(ABS(INDEX(RLVL_Data,MATCH(Rider_Input[[#This Row],[Rider ID]],INDEX(RLVL_Data,0,c_RLVL_ID),0),c_RLVL_Bal)),0))</f>
        <v/>
      </c>
      <c r="J393" s="155" t="str">
        <f aca="false">IF(Rider_Input[[#This Row],[Rider ID]]="","",IFERROR(ABS(INDEX(RLVL_Data,MATCH(Rider_Input[[#This Row],[Rider ID]],INDEX(RLVL_Data,0,c_RLVL_ID),0),c_RLVL_Stack)),0))</f>
        <v/>
      </c>
      <c r="K393" s="155" t="str">
        <f aca="false">IF(Rider_Input[[#This Row],[Rider ID]]="","",SUMIFS(Adj_Input[Other Deductions],Adj_Input[Rider ID],Rider_Input[[#This Row],[Rider ID]]))</f>
        <v/>
      </c>
      <c r="L393" s="154" t="str">
        <f aca="false">IF(Rider_Input[[#This Row],[Rider ID]]="","",IFERROR(INDEX(Adj_Input[Note / Reason],MATCH(Rider_Input[[#This Row],[Rider ID]],Adj_Input[Rider ID],0))&amp;"",""))</f>
        <v/>
      </c>
    </row>
    <row r="394" customFormat="false" ht="14.25" hidden="false" customHeight="false" outlineLevel="0" collapsed="false">
      <c r="A394" s="152" t="str">
        <f aca="false">IF(Rider_Input[[#This Row],[Rider ID]]="","",Salary_Month)</f>
        <v/>
      </c>
      <c r="B394" s="153" t="str">
        <f aca="false">IFERROR(IF(INDEX(FTR_Data,ROW()-ROW(Rider_Input[#Headers]),c_FTR_ID)="","",INDEX(FTR_Data,ROW()-ROW(Rider_Input[#Headers]),c_FTR_ID)),"")</f>
        <v/>
      </c>
      <c r="C39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9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94" s="153" t="str">
        <f aca="false">IF(Rider_Input[[#This Row],[Rider ID]]="","",DAY(EOMONTH(Salary_Month,0)))</f>
        <v/>
      </c>
      <c r="F394" s="153" t="str">
        <f aca="false">IF(Rider_Input[[#This Row],[Rider ID]]="","",IFERROR(IF(INDEX(FTR_Data,ROW()-ROW(Rider_Input[#Headers]),c_FTR_WD)="","",INDEX(FTR_Data,ROW()-ROW(Rider_Input[#Headers]),c_FTR_WD)),""))</f>
        <v/>
      </c>
      <c r="G394" s="153" t="str">
        <f aca="false">IF(Rider_Input[[#This Row],[Rider ID]]="","",IFERROR(IF(INDEX(FTR_Data,ROW()-ROW(Rider_Input[#Headers]),c_FTR_Orders)="","",INDEX(FTR_Data,ROW()-ROW(Rider_Input[#Headers]),c_FTR_Orders)),""))</f>
        <v/>
      </c>
      <c r="H394" s="155" t="str">
        <f aca="false">IF(Rider_Input[[#This Row],[Rider ID]]="","",IFERROR(ABS(INDEX(RLVL_Data,MATCH(Rider_Input[[#This Row],[Rider ID]],INDEX(RLVL_Data,0,c_RLVL_ID),0),c_RLVL_Missed)),0))</f>
        <v/>
      </c>
      <c r="I394" s="155" t="str">
        <f aca="false">IF(Rider_Input[[#This Row],[Rider ID]]="","",IFERROR(ABS(INDEX(RLVL_Data,MATCH(Rider_Input[[#This Row],[Rider ID]],INDEX(RLVL_Data,0,c_RLVL_ID),0),c_RLVL_Bal)),0))</f>
        <v/>
      </c>
      <c r="J394" s="155" t="str">
        <f aca="false">IF(Rider_Input[[#This Row],[Rider ID]]="","",IFERROR(ABS(INDEX(RLVL_Data,MATCH(Rider_Input[[#This Row],[Rider ID]],INDEX(RLVL_Data,0,c_RLVL_ID),0),c_RLVL_Stack)),0))</f>
        <v/>
      </c>
      <c r="K394" s="155" t="str">
        <f aca="false">IF(Rider_Input[[#This Row],[Rider ID]]="","",SUMIFS(Adj_Input[Other Deductions],Adj_Input[Rider ID],Rider_Input[[#This Row],[Rider ID]]))</f>
        <v/>
      </c>
      <c r="L394" s="154" t="str">
        <f aca="false">IF(Rider_Input[[#This Row],[Rider ID]]="","",IFERROR(INDEX(Adj_Input[Note / Reason],MATCH(Rider_Input[[#This Row],[Rider ID]],Adj_Input[Rider ID],0))&amp;"",""))</f>
        <v/>
      </c>
    </row>
    <row r="395" customFormat="false" ht="14.25" hidden="false" customHeight="false" outlineLevel="0" collapsed="false">
      <c r="A395" s="152" t="str">
        <f aca="false">IF(Rider_Input[[#This Row],[Rider ID]]="","",Salary_Month)</f>
        <v/>
      </c>
      <c r="B395" s="153" t="str">
        <f aca="false">IFERROR(IF(INDEX(FTR_Data,ROW()-ROW(Rider_Input[#Headers]),c_FTR_ID)="","",INDEX(FTR_Data,ROW()-ROW(Rider_Input[#Headers]),c_FTR_ID)),"")</f>
        <v/>
      </c>
      <c r="C39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9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95" s="153" t="str">
        <f aca="false">IF(Rider_Input[[#This Row],[Rider ID]]="","",DAY(EOMONTH(Salary_Month,0)))</f>
        <v/>
      </c>
      <c r="F395" s="153" t="str">
        <f aca="false">IF(Rider_Input[[#This Row],[Rider ID]]="","",IFERROR(IF(INDEX(FTR_Data,ROW()-ROW(Rider_Input[#Headers]),c_FTR_WD)="","",INDEX(FTR_Data,ROW()-ROW(Rider_Input[#Headers]),c_FTR_WD)),""))</f>
        <v/>
      </c>
      <c r="G395" s="153" t="str">
        <f aca="false">IF(Rider_Input[[#This Row],[Rider ID]]="","",IFERROR(IF(INDEX(FTR_Data,ROW()-ROW(Rider_Input[#Headers]),c_FTR_Orders)="","",INDEX(FTR_Data,ROW()-ROW(Rider_Input[#Headers]),c_FTR_Orders)),""))</f>
        <v/>
      </c>
      <c r="H395" s="155" t="str">
        <f aca="false">IF(Rider_Input[[#This Row],[Rider ID]]="","",IFERROR(ABS(INDEX(RLVL_Data,MATCH(Rider_Input[[#This Row],[Rider ID]],INDEX(RLVL_Data,0,c_RLVL_ID),0),c_RLVL_Missed)),0))</f>
        <v/>
      </c>
      <c r="I395" s="155" t="str">
        <f aca="false">IF(Rider_Input[[#This Row],[Rider ID]]="","",IFERROR(ABS(INDEX(RLVL_Data,MATCH(Rider_Input[[#This Row],[Rider ID]],INDEX(RLVL_Data,0,c_RLVL_ID),0),c_RLVL_Bal)),0))</f>
        <v/>
      </c>
      <c r="J395" s="155" t="str">
        <f aca="false">IF(Rider_Input[[#This Row],[Rider ID]]="","",IFERROR(ABS(INDEX(RLVL_Data,MATCH(Rider_Input[[#This Row],[Rider ID]],INDEX(RLVL_Data,0,c_RLVL_ID),0),c_RLVL_Stack)),0))</f>
        <v/>
      </c>
      <c r="K395" s="155" t="str">
        <f aca="false">IF(Rider_Input[[#This Row],[Rider ID]]="","",SUMIFS(Adj_Input[Other Deductions],Adj_Input[Rider ID],Rider_Input[[#This Row],[Rider ID]]))</f>
        <v/>
      </c>
      <c r="L395" s="154" t="str">
        <f aca="false">IF(Rider_Input[[#This Row],[Rider ID]]="","",IFERROR(INDEX(Adj_Input[Note / Reason],MATCH(Rider_Input[[#This Row],[Rider ID]],Adj_Input[Rider ID],0))&amp;"",""))</f>
        <v/>
      </c>
    </row>
    <row r="396" customFormat="false" ht="14.25" hidden="false" customHeight="false" outlineLevel="0" collapsed="false">
      <c r="A396" s="152" t="str">
        <f aca="false">IF(Rider_Input[[#This Row],[Rider ID]]="","",Salary_Month)</f>
        <v/>
      </c>
      <c r="B396" s="153" t="str">
        <f aca="false">IFERROR(IF(INDEX(FTR_Data,ROW()-ROW(Rider_Input[#Headers]),c_FTR_ID)="","",INDEX(FTR_Data,ROW()-ROW(Rider_Input[#Headers]),c_FTR_ID)),"")</f>
        <v/>
      </c>
      <c r="C39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9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96" s="153" t="str">
        <f aca="false">IF(Rider_Input[[#This Row],[Rider ID]]="","",DAY(EOMONTH(Salary_Month,0)))</f>
        <v/>
      </c>
      <c r="F396" s="153" t="str">
        <f aca="false">IF(Rider_Input[[#This Row],[Rider ID]]="","",IFERROR(IF(INDEX(FTR_Data,ROW()-ROW(Rider_Input[#Headers]),c_FTR_WD)="","",INDEX(FTR_Data,ROW()-ROW(Rider_Input[#Headers]),c_FTR_WD)),""))</f>
        <v/>
      </c>
      <c r="G396" s="153" t="str">
        <f aca="false">IF(Rider_Input[[#This Row],[Rider ID]]="","",IFERROR(IF(INDEX(FTR_Data,ROW()-ROW(Rider_Input[#Headers]),c_FTR_Orders)="","",INDEX(FTR_Data,ROW()-ROW(Rider_Input[#Headers]),c_FTR_Orders)),""))</f>
        <v/>
      </c>
      <c r="H396" s="155" t="str">
        <f aca="false">IF(Rider_Input[[#This Row],[Rider ID]]="","",IFERROR(ABS(INDEX(RLVL_Data,MATCH(Rider_Input[[#This Row],[Rider ID]],INDEX(RLVL_Data,0,c_RLVL_ID),0),c_RLVL_Missed)),0))</f>
        <v/>
      </c>
      <c r="I396" s="155" t="str">
        <f aca="false">IF(Rider_Input[[#This Row],[Rider ID]]="","",IFERROR(ABS(INDEX(RLVL_Data,MATCH(Rider_Input[[#This Row],[Rider ID]],INDEX(RLVL_Data,0,c_RLVL_ID),0),c_RLVL_Bal)),0))</f>
        <v/>
      </c>
      <c r="J396" s="155" t="str">
        <f aca="false">IF(Rider_Input[[#This Row],[Rider ID]]="","",IFERROR(ABS(INDEX(RLVL_Data,MATCH(Rider_Input[[#This Row],[Rider ID]],INDEX(RLVL_Data,0,c_RLVL_ID),0),c_RLVL_Stack)),0))</f>
        <v/>
      </c>
      <c r="K396" s="155" t="str">
        <f aca="false">IF(Rider_Input[[#This Row],[Rider ID]]="","",SUMIFS(Adj_Input[Other Deductions],Adj_Input[Rider ID],Rider_Input[[#This Row],[Rider ID]]))</f>
        <v/>
      </c>
      <c r="L396" s="154" t="str">
        <f aca="false">IF(Rider_Input[[#This Row],[Rider ID]]="","",IFERROR(INDEX(Adj_Input[Note / Reason],MATCH(Rider_Input[[#This Row],[Rider ID]],Adj_Input[Rider ID],0))&amp;"",""))</f>
        <v/>
      </c>
    </row>
    <row r="397" customFormat="false" ht="14.25" hidden="false" customHeight="false" outlineLevel="0" collapsed="false">
      <c r="A397" s="152" t="str">
        <f aca="false">IF(Rider_Input[[#This Row],[Rider ID]]="","",Salary_Month)</f>
        <v/>
      </c>
      <c r="B397" s="153" t="str">
        <f aca="false">IFERROR(IF(INDEX(FTR_Data,ROW()-ROW(Rider_Input[#Headers]),c_FTR_ID)="","",INDEX(FTR_Data,ROW()-ROW(Rider_Input[#Headers]),c_FTR_ID)),"")</f>
        <v/>
      </c>
      <c r="C39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9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97" s="153" t="str">
        <f aca="false">IF(Rider_Input[[#This Row],[Rider ID]]="","",DAY(EOMONTH(Salary_Month,0)))</f>
        <v/>
      </c>
      <c r="F397" s="153" t="str">
        <f aca="false">IF(Rider_Input[[#This Row],[Rider ID]]="","",IFERROR(IF(INDEX(FTR_Data,ROW()-ROW(Rider_Input[#Headers]),c_FTR_WD)="","",INDEX(FTR_Data,ROW()-ROW(Rider_Input[#Headers]),c_FTR_WD)),""))</f>
        <v/>
      </c>
      <c r="G397" s="153" t="str">
        <f aca="false">IF(Rider_Input[[#This Row],[Rider ID]]="","",IFERROR(IF(INDEX(FTR_Data,ROW()-ROW(Rider_Input[#Headers]),c_FTR_Orders)="","",INDEX(FTR_Data,ROW()-ROW(Rider_Input[#Headers]),c_FTR_Orders)),""))</f>
        <v/>
      </c>
      <c r="H397" s="155" t="str">
        <f aca="false">IF(Rider_Input[[#This Row],[Rider ID]]="","",IFERROR(ABS(INDEX(RLVL_Data,MATCH(Rider_Input[[#This Row],[Rider ID]],INDEX(RLVL_Data,0,c_RLVL_ID),0),c_RLVL_Missed)),0))</f>
        <v/>
      </c>
      <c r="I397" s="155" t="str">
        <f aca="false">IF(Rider_Input[[#This Row],[Rider ID]]="","",IFERROR(ABS(INDEX(RLVL_Data,MATCH(Rider_Input[[#This Row],[Rider ID]],INDEX(RLVL_Data,0,c_RLVL_ID),0),c_RLVL_Bal)),0))</f>
        <v/>
      </c>
      <c r="J397" s="155" t="str">
        <f aca="false">IF(Rider_Input[[#This Row],[Rider ID]]="","",IFERROR(ABS(INDEX(RLVL_Data,MATCH(Rider_Input[[#This Row],[Rider ID]],INDEX(RLVL_Data,0,c_RLVL_ID),0),c_RLVL_Stack)),0))</f>
        <v/>
      </c>
      <c r="K397" s="155" t="str">
        <f aca="false">IF(Rider_Input[[#This Row],[Rider ID]]="","",SUMIFS(Adj_Input[Other Deductions],Adj_Input[Rider ID],Rider_Input[[#This Row],[Rider ID]]))</f>
        <v/>
      </c>
      <c r="L397" s="154" t="str">
        <f aca="false">IF(Rider_Input[[#This Row],[Rider ID]]="","",IFERROR(INDEX(Adj_Input[Note / Reason],MATCH(Rider_Input[[#This Row],[Rider ID]],Adj_Input[Rider ID],0))&amp;"",""))</f>
        <v/>
      </c>
    </row>
    <row r="398" customFormat="false" ht="14.25" hidden="false" customHeight="false" outlineLevel="0" collapsed="false">
      <c r="A398" s="152" t="str">
        <f aca="false">IF(Rider_Input[[#This Row],[Rider ID]]="","",Salary_Month)</f>
        <v/>
      </c>
      <c r="B398" s="153" t="str">
        <f aca="false">IFERROR(IF(INDEX(FTR_Data,ROW()-ROW(Rider_Input[#Headers]),c_FTR_ID)="","",INDEX(FTR_Data,ROW()-ROW(Rider_Input[#Headers]),c_FTR_ID)),"")</f>
        <v/>
      </c>
      <c r="C39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9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98" s="153" t="str">
        <f aca="false">IF(Rider_Input[[#This Row],[Rider ID]]="","",DAY(EOMONTH(Salary_Month,0)))</f>
        <v/>
      </c>
      <c r="F398" s="153" t="str">
        <f aca="false">IF(Rider_Input[[#This Row],[Rider ID]]="","",IFERROR(IF(INDEX(FTR_Data,ROW()-ROW(Rider_Input[#Headers]),c_FTR_WD)="","",INDEX(FTR_Data,ROW()-ROW(Rider_Input[#Headers]),c_FTR_WD)),""))</f>
        <v/>
      </c>
      <c r="G398" s="153" t="str">
        <f aca="false">IF(Rider_Input[[#This Row],[Rider ID]]="","",IFERROR(IF(INDEX(FTR_Data,ROW()-ROW(Rider_Input[#Headers]),c_FTR_Orders)="","",INDEX(FTR_Data,ROW()-ROW(Rider_Input[#Headers]),c_FTR_Orders)),""))</f>
        <v/>
      </c>
      <c r="H398" s="155" t="str">
        <f aca="false">IF(Rider_Input[[#This Row],[Rider ID]]="","",IFERROR(ABS(INDEX(RLVL_Data,MATCH(Rider_Input[[#This Row],[Rider ID]],INDEX(RLVL_Data,0,c_RLVL_ID),0),c_RLVL_Missed)),0))</f>
        <v/>
      </c>
      <c r="I398" s="155" t="str">
        <f aca="false">IF(Rider_Input[[#This Row],[Rider ID]]="","",IFERROR(ABS(INDEX(RLVL_Data,MATCH(Rider_Input[[#This Row],[Rider ID]],INDEX(RLVL_Data,0,c_RLVL_ID),0),c_RLVL_Bal)),0))</f>
        <v/>
      </c>
      <c r="J398" s="155" t="str">
        <f aca="false">IF(Rider_Input[[#This Row],[Rider ID]]="","",IFERROR(ABS(INDEX(RLVL_Data,MATCH(Rider_Input[[#This Row],[Rider ID]],INDEX(RLVL_Data,0,c_RLVL_ID),0),c_RLVL_Stack)),0))</f>
        <v/>
      </c>
      <c r="K398" s="155" t="str">
        <f aca="false">IF(Rider_Input[[#This Row],[Rider ID]]="","",SUMIFS(Adj_Input[Other Deductions],Adj_Input[Rider ID],Rider_Input[[#This Row],[Rider ID]]))</f>
        <v/>
      </c>
      <c r="L398" s="154" t="str">
        <f aca="false">IF(Rider_Input[[#This Row],[Rider ID]]="","",IFERROR(INDEX(Adj_Input[Note / Reason],MATCH(Rider_Input[[#This Row],[Rider ID]],Adj_Input[Rider ID],0))&amp;"",""))</f>
        <v/>
      </c>
    </row>
    <row r="399" customFormat="false" ht="14.25" hidden="false" customHeight="false" outlineLevel="0" collapsed="false">
      <c r="A399" s="152" t="str">
        <f aca="false">IF(Rider_Input[[#This Row],[Rider ID]]="","",Salary_Month)</f>
        <v/>
      </c>
      <c r="B399" s="153" t="str">
        <f aca="false">IFERROR(IF(INDEX(FTR_Data,ROW()-ROW(Rider_Input[#Headers]),c_FTR_ID)="","",INDEX(FTR_Data,ROW()-ROW(Rider_Input[#Headers]),c_FTR_ID)),"")</f>
        <v/>
      </c>
      <c r="C39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39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399" s="153" t="str">
        <f aca="false">IF(Rider_Input[[#This Row],[Rider ID]]="","",DAY(EOMONTH(Salary_Month,0)))</f>
        <v/>
      </c>
      <c r="F399" s="153" t="str">
        <f aca="false">IF(Rider_Input[[#This Row],[Rider ID]]="","",IFERROR(IF(INDEX(FTR_Data,ROW()-ROW(Rider_Input[#Headers]),c_FTR_WD)="","",INDEX(FTR_Data,ROW()-ROW(Rider_Input[#Headers]),c_FTR_WD)),""))</f>
        <v/>
      </c>
      <c r="G399" s="153" t="str">
        <f aca="false">IF(Rider_Input[[#This Row],[Rider ID]]="","",IFERROR(IF(INDEX(FTR_Data,ROW()-ROW(Rider_Input[#Headers]),c_FTR_Orders)="","",INDEX(FTR_Data,ROW()-ROW(Rider_Input[#Headers]),c_FTR_Orders)),""))</f>
        <v/>
      </c>
      <c r="H399" s="155" t="str">
        <f aca="false">IF(Rider_Input[[#This Row],[Rider ID]]="","",IFERROR(ABS(INDEX(RLVL_Data,MATCH(Rider_Input[[#This Row],[Rider ID]],INDEX(RLVL_Data,0,c_RLVL_ID),0),c_RLVL_Missed)),0))</f>
        <v/>
      </c>
      <c r="I399" s="155" t="str">
        <f aca="false">IF(Rider_Input[[#This Row],[Rider ID]]="","",IFERROR(ABS(INDEX(RLVL_Data,MATCH(Rider_Input[[#This Row],[Rider ID]],INDEX(RLVL_Data,0,c_RLVL_ID),0),c_RLVL_Bal)),0))</f>
        <v/>
      </c>
      <c r="J399" s="155" t="str">
        <f aca="false">IF(Rider_Input[[#This Row],[Rider ID]]="","",IFERROR(ABS(INDEX(RLVL_Data,MATCH(Rider_Input[[#This Row],[Rider ID]],INDEX(RLVL_Data,0,c_RLVL_ID),0),c_RLVL_Stack)),0))</f>
        <v/>
      </c>
      <c r="K399" s="155" t="str">
        <f aca="false">IF(Rider_Input[[#This Row],[Rider ID]]="","",SUMIFS(Adj_Input[Other Deductions],Adj_Input[Rider ID],Rider_Input[[#This Row],[Rider ID]]))</f>
        <v/>
      </c>
      <c r="L399" s="154" t="str">
        <f aca="false">IF(Rider_Input[[#This Row],[Rider ID]]="","",IFERROR(INDEX(Adj_Input[Note / Reason],MATCH(Rider_Input[[#This Row],[Rider ID]],Adj_Input[Rider ID],0))&amp;"",""))</f>
        <v/>
      </c>
    </row>
    <row r="400" customFormat="false" ht="14.25" hidden="false" customHeight="false" outlineLevel="0" collapsed="false">
      <c r="A400" s="152" t="str">
        <f aca="false">IF(Rider_Input[[#This Row],[Rider ID]]="","",Salary_Month)</f>
        <v/>
      </c>
      <c r="B400" s="153" t="str">
        <f aca="false">IFERROR(IF(INDEX(FTR_Data,ROW()-ROW(Rider_Input[#Headers]),c_FTR_ID)="","",INDEX(FTR_Data,ROW()-ROW(Rider_Input[#Headers]),c_FTR_ID)),"")</f>
        <v/>
      </c>
      <c r="C40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0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00" s="153" t="str">
        <f aca="false">IF(Rider_Input[[#This Row],[Rider ID]]="","",DAY(EOMONTH(Salary_Month,0)))</f>
        <v/>
      </c>
      <c r="F400" s="153" t="str">
        <f aca="false">IF(Rider_Input[[#This Row],[Rider ID]]="","",IFERROR(IF(INDEX(FTR_Data,ROW()-ROW(Rider_Input[#Headers]),c_FTR_WD)="","",INDEX(FTR_Data,ROW()-ROW(Rider_Input[#Headers]),c_FTR_WD)),""))</f>
        <v/>
      </c>
      <c r="G400" s="153" t="str">
        <f aca="false">IF(Rider_Input[[#This Row],[Rider ID]]="","",IFERROR(IF(INDEX(FTR_Data,ROW()-ROW(Rider_Input[#Headers]),c_FTR_Orders)="","",INDEX(FTR_Data,ROW()-ROW(Rider_Input[#Headers]),c_FTR_Orders)),""))</f>
        <v/>
      </c>
      <c r="H400" s="155" t="str">
        <f aca="false">IF(Rider_Input[[#This Row],[Rider ID]]="","",IFERROR(ABS(INDEX(RLVL_Data,MATCH(Rider_Input[[#This Row],[Rider ID]],INDEX(RLVL_Data,0,c_RLVL_ID),0),c_RLVL_Missed)),0))</f>
        <v/>
      </c>
      <c r="I400" s="155" t="str">
        <f aca="false">IF(Rider_Input[[#This Row],[Rider ID]]="","",IFERROR(ABS(INDEX(RLVL_Data,MATCH(Rider_Input[[#This Row],[Rider ID]],INDEX(RLVL_Data,0,c_RLVL_ID),0),c_RLVL_Bal)),0))</f>
        <v/>
      </c>
      <c r="J400" s="155" t="str">
        <f aca="false">IF(Rider_Input[[#This Row],[Rider ID]]="","",IFERROR(ABS(INDEX(RLVL_Data,MATCH(Rider_Input[[#This Row],[Rider ID]],INDEX(RLVL_Data,0,c_RLVL_ID),0),c_RLVL_Stack)),0))</f>
        <v/>
      </c>
      <c r="K400" s="155" t="str">
        <f aca="false">IF(Rider_Input[[#This Row],[Rider ID]]="","",SUMIFS(Adj_Input[Other Deductions],Adj_Input[Rider ID],Rider_Input[[#This Row],[Rider ID]]))</f>
        <v/>
      </c>
      <c r="L400" s="154" t="str">
        <f aca="false">IF(Rider_Input[[#This Row],[Rider ID]]="","",IFERROR(INDEX(Adj_Input[Note / Reason],MATCH(Rider_Input[[#This Row],[Rider ID]],Adj_Input[Rider ID],0))&amp;"",""))</f>
        <v/>
      </c>
    </row>
    <row r="401" customFormat="false" ht="14.25" hidden="false" customHeight="false" outlineLevel="0" collapsed="false">
      <c r="A401" s="152" t="str">
        <f aca="false">IF(Rider_Input[[#This Row],[Rider ID]]="","",Salary_Month)</f>
        <v/>
      </c>
      <c r="B401" s="153" t="str">
        <f aca="false">IFERROR(IF(INDEX(FTR_Data,ROW()-ROW(Rider_Input[#Headers]),c_FTR_ID)="","",INDEX(FTR_Data,ROW()-ROW(Rider_Input[#Headers]),c_FTR_ID)),"")</f>
        <v/>
      </c>
      <c r="C40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0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01" s="153" t="str">
        <f aca="false">IF(Rider_Input[[#This Row],[Rider ID]]="","",DAY(EOMONTH(Salary_Month,0)))</f>
        <v/>
      </c>
      <c r="F401" s="153" t="str">
        <f aca="false">IF(Rider_Input[[#This Row],[Rider ID]]="","",IFERROR(IF(INDEX(FTR_Data,ROW()-ROW(Rider_Input[#Headers]),c_FTR_WD)="","",INDEX(FTR_Data,ROW()-ROW(Rider_Input[#Headers]),c_FTR_WD)),""))</f>
        <v/>
      </c>
      <c r="G401" s="153" t="str">
        <f aca="false">IF(Rider_Input[[#This Row],[Rider ID]]="","",IFERROR(IF(INDEX(FTR_Data,ROW()-ROW(Rider_Input[#Headers]),c_FTR_Orders)="","",INDEX(FTR_Data,ROW()-ROW(Rider_Input[#Headers]),c_FTR_Orders)),""))</f>
        <v/>
      </c>
      <c r="H401" s="155" t="str">
        <f aca="false">IF(Rider_Input[[#This Row],[Rider ID]]="","",IFERROR(ABS(INDEX(RLVL_Data,MATCH(Rider_Input[[#This Row],[Rider ID]],INDEX(RLVL_Data,0,c_RLVL_ID),0),c_RLVL_Missed)),0))</f>
        <v/>
      </c>
      <c r="I401" s="155" t="str">
        <f aca="false">IF(Rider_Input[[#This Row],[Rider ID]]="","",IFERROR(ABS(INDEX(RLVL_Data,MATCH(Rider_Input[[#This Row],[Rider ID]],INDEX(RLVL_Data,0,c_RLVL_ID),0),c_RLVL_Bal)),0))</f>
        <v/>
      </c>
      <c r="J401" s="155" t="str">
        <f aca="false">IF(Rider_Input[[#This Row],[Rider ID]]="","",IFERROR(ABS(INDEX(RLVL_Data,MATCH(Rider_Input[[#This Row],[Rider ID]],INDEX(RLVL_Data,0,c_RLVL_ID),0),c_RLVL_Stack)),0))</f>
        <v/>
      </c>
      <c r="K401" s="155" t="str">
        <f aca="false">IF(Rider_Input[[#This Row],[Rider ID]]="","",SUMIFS(Adj_Input[Other Deductions],Adj_Input[Rider ID],Rider_Input[[#This Row],[Rider ID]]))</f>
        <v/>
      </c>
      <c r="L401" s="154" t="str">
        <f aca="false">IF(Rider_Input[[#This Row],[Rider ID]]="","",IFERROR(INDEX(Adj_Input[Note / Reason],MATCH(Rider_Input[[#This Row],[Rider ID]],Adj_Input[Rider ID],0))&amp;"",""))</f>
        <v/>
      </c>
    </row>
    <row r="402" customFormat="false" ht="14.25" hidden="false" customHeight="false" outlineLevel="0" collapsed="false">
      <c r="A402" s="152" t="str">
        <f aca="false">IF(Rider_Input[[#This Row],[Rider ID]]="","",Salary_Month)</f>
        <v/>
      </c>
      <c r="B402" s="153" t="str">
        <f aca="false">IFERROR(IF(INDEX(FTR_Data,ROW()-ROW(Rider_Input[#Headers]),c_FTR_ID)="","",INDEX(FTR_Data,ROW()-ROW(Rider_Input[#Headers]),c_FTR_ID)),"")</f>
        <v/>
      </c>
      <c r="C40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0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02" s="153" t="str">
        <f aca="false">IF(Rider_Input[[#This Row],[Rider ID]]="","",DAY(EOMONTH(Salary_Month,0)))</f>
        <v/>
      </c>
      <c r="F402" s="153" t="str">
        <f aca="false">IF(Rider_Input[[#This Row],[Rider ID]]="","",IFERROR(IF(INDEX(FTR_Data,ROW()-ROW(Rider_Input[#Headers]),c_FTR_WD)="","",INDEX(FTR_Data,ROW()-ROW(Rider_Input[#Headers]),c_FTR_WD)),""))</f>
        <v/>
      </c>
      <c r="G402" s="153" t="str">
        <f aca="false">IF(Rider_Input[[#This Row],[Rider ID]]="","",IFERROR(IF(INDEX(FTR_Data,ROW()-ROW(Rider_Input[#Headers]),c_FTR_Orders)="","",INDEX(FTR_Data,ROW()-ROW(Rider_Input[#Headers]),c_FTR_Orders)),""))</f>
        <v/>
      </c>
      <c r="H402" s="155" t="str">
        <f aca="false">IF(Rider_Input[[#This Row],[Rider ID]]="","",IFERROR(ABS(INDEX(RLVL_Data,MATCH(Rider_Input[[#This Row],[Rider ID]],INDEX(RLVL_Data,0,c_RLVL_ID),0),c_RLVL_Missed)),0))</f>
        <v/>
      </c>
      <c r="I402" s="155" t="str">
        <f aca="false">IF(Rider_Input[[#This Row],[Rider ID]]="","",IFERROR(ABS(INDEX(RLVL_Data,MATCH(Rider_Input[[#This Row],[Rider ID]],INDEX(RLVL_Data,0,c_RLVL_ID),0),c_RLVL_Bal)),0))</f>
        <v/>
      </c>
      <c r="J402" s="155" t="str">
        <f aca="false">IF(Rider_Input[[#This Row],[Rider ID]]="","",IFERROR(ABS(INDEX(RLVL_Data,MATCH(Rider_Input[[#This Row],[Rider ID]],INDEX(RLVL_Data,0,c_RLVL_ID),0),c_RLVL_Stack)),0))</f>
        <v/>
      </c>
      <c r="K402" s="155" t="str">
        <f aca="false">IF(Rider_Input[[#This Row],[Rider ID]]="","",SUMIFS(Adj_Input[Other Deductions],Adj_Input[Rider ID],Rider_Input[[#This Row],[Rider ID]]))</f>
        <v/>
      </c>
      <c r="L402" s="154" t="str">
        <f aca="false">IF(Rider_Input[[#This Row],[Rider ID]]="","",IFERROR(INDEX(Adj_Input[Note / Reason],MATCH(Rider_Input[[#This Row],[Rider ID]],Adj_Input[Rider ID],0))&amp;"",""))</f>
        <v/>
      </c>
    </row>
    <row r="403" customFormat="false" ht="14.25" hidden="false" customHeight="false" outlineLevel="0" collapsed="false">
      <c r="A403" s="152" t="str">
        <f aca="false">IF(Rider_Input[[#This Row],[Rider ID]]="","",Salary_Month)</f>
        <v/>
      </c>
      <c r="B403" s="153" t="str">
        <f aca="false">IFERROR(IF(INDEX(FTR_Data,ROW()-ROW(Rider_Input[#Headers]),c_FTR_ID)="","",INDEX(FTR_Data,ROW()-ROW(Rider_Input[#Headers]),c_FTR_ID)),"")</f>
        <v/>
      </c>
      <c r="C40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0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03" s="153" t="str">
        <f aca="false">IF(Rider_Input[[#This Row],[Rider ID]]="","",DAY(EOMONTH(Salary_Month,0)))</f>
        <v/>
      </c>
      <c r="F403" s="153" t="str">
        <f aca="false">IF(Rider_Input[[#This Row],[Rider ID]]="","",IFERROR(IF(INDEX(FTR_Data,ROW()-ROW(Rider_Input[#Headers]),c_FTR_WD)="","",INDEX(FTR_Data,ROW()-ROW(Rider_Input[#Headers]),c_FTR_WD)),""))</f>
        <v/>
      </c>
      <c r="G403" s="153" t="str">
        <f aca="false">IF(Rider_Input[[#This Row],[Rider ID]]="","",IFERROR(IF(INDEX(FTR_Data,ROW()-ROW(Rider_Input[#Headers]),c_FTR_Orders)="","",INDEX(FTR_Data,ROW()-ROW(Rider_Input[#Headers]),c_FTR_Orders)),""))</f>
        <v/>
      </c>
      <c r="H403" s="155" t="str">
        <f aca="false">IF(Rider_Input[[#This Row],[Rider ID]]="","",IFERROR(ABS(INDEX(RLVL_Data,MATCH(Rider_Input[[#This Row],[Rider ID]],INDEX(RLVL_Data,0,c_RLVL_ID),0),c_RLVL_Missed)),0))</f>
        <v/>
      </c>
      <c r="I403" s="155" t="str">
        <f aca="false">IF(Rider_Input[[#This Row],[Rider ID]]="","",IFERROR(ABS(INDEX(RLVL_Data,MATCH(Rider_Input[[#This Row],[Rider ID]],INDEX(RLVL_Data,0,c_RLVL_ID),0),c_RLVL_Bal)),0))</f>
        <v/>
      </c>
      <c r="J403" s="155" t="str">
        <f aca="false">IF(Rider_Input[[#This Row],[Rider ID]]="","",IFERROR(ABS(INDEX(RLVL_Data,MATCH(Rider_Input[[#This Row],[Rider ID]],INDEX(RLVL_Data,0,c_RLVL_ID),0),c_RLVL_Stack)),0))</f>
        <v/>
      </c>
      <c r="K403" s="155" t="str">
        <f aca="false">IF(Rider_Input[[#This Row],[Rider ID]]="","",SUMIFS(Adj_Input[Other Deductions],Adj_Input[Rider ID],Rider_Input[[#This Row],[Rider ID]]))</f>
        <v/>
      </c>
      <c r="L403" s="154" t="str">
        <f aca="false">IF(Rider_Input[[#This Row],[Rider ID]]="","",IFERROR(INDEX(Adj_Input[Note / Reason],MATCH(Rider_Input[[#This Row],[Rider ID]],Adj_Input[Rider ID],0))&amp;"",""))</f>
        <v/>
      </c>
    </row>
    <row r="404" customFormat="false" ht="14.25" hidden="false" customHeight="false" outlineLevel="0" collapsed="false">
      <c r="A404" s="152" t="str">
        <f aca="false">IF(Rider_Input[[#This Row],[Rider ID]]="","",Salary_Month)</f>
        <v/>
      </c>
      <c r="B404" s="153" t="str">
        <f aca="false">IFERROR(IF(INDEX(FTR_Data,ROW()-ROW(Rider_Input[#Headers]),c_FTR_ID)="","",INDEX(FTR_Data,ROW()-ROW(Rider_Input[#Headers]),c_FTR_ID)),"")</f>
        <v/>
      </c>
      <c r="C40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0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04" s="153" t="str">
        <f aca="false">IF(Rider_Input[[#This Row],[Rider ID]]="","",DAY(EOMONTH(Salary_Month,0)))</f>
        <v/>
      </c>
      <c r="F404" s="153" t="str">
        <f aca="false">IF(Rider_Input[[#This Row],[Rider ID]]="","",IFERROR(IF(INDEX(FTR_Data,ROW()-ROW(Rider_Input[#Headers]),c_FTR_WD)="","",INDEX(FTR_Data,ROW()-ROW(Rider_Input[#Headers]),c_FTR_WD)),""))</f>
        <v/>
      </c>
      <c r="G404" s="153" t="str">
        <f aca="false">IF(Rider_Input[[#This Row],[Rider ID]]="","",IFERROR(IF(INDEX(FTR_Data,ROW()-ROW(Rider_Input[#Headers]),c_FTR_Orders)="","",INDEX(FTR_Data,ROW()-ROW(Rider_Input[#Headers]),c_FTR_Orders)),""))</f>
        <v/>
      </c>
      <c r="H404" s="155" t="str">
        <f aca="false">IF(Rider_Input[[#This Row],[Rider ID]]="","",IFERROR(ABS(INDEX(RLVL_Data,MATCH(Rider_Input[[#This Row],[Rider ID]],INDEX(RLVL_Data,0,c_RLVL_ID),0),c_RLVL_Missed)),0))</f>
        <v/>
      </c>
      <c r="I404" s="155" t="str">
        <f aca="false">IF(Rider_Input[[#This Row],[Rider ID]]="","",IFERROR(ABS(INDEX(RLVL_Data,MATCH(Rider_Input[[#This Row],[Rider ID]],INDEX(RLVL_Data,0,c_RLVL_ID),0),c_RLVL_Bal)),0))</f>
        <v/>
      </c>
      <c r="J404" s="155" t="str">
        <f aca="false">IF(Rider_Input[[#This Row],[Rider ID]]="","",IFERROR(ABS(INDEX(RLVL_Data,MATCH(Rider_Input[[#This Row],[Rider ID]],INDEX(RLVL_Data,0,c_RLVL_ID),0),c_RLVL_Stack)),0))</f>
        <v/>
      </c>
      <c r="K404" s="155" t="str">
        <f aca="false">IF(Rider_Input[[#This Row],[Rider ID]]="","",SUMIFS(Adj_Input[Other Deductions],Adj_Input[Rider ID],Rider_Input[[#This Row],[Rider ID]]))</f>
        <v/>
      </c>
      <c r="L404" s="154" t="str">
        <f aca="false">IF(Rider_Input[[#This Row],[Rider ID]]="","",IFERROR(INDEX(Adj_Input[Note / Reason],MATCH(Rider_Input[[#This Row],[Rider ID]],Adj_Input[Rider ID],0))&amp;"",""))</f>
        <v/>
      </c>
    </row>
    <row r="405" customFormat="false" ht="14.25" hidden="false" customHeight="false" outlineLevel="0" collapsed="false">
      <c r="A405" s="152" t="str">
        <f aca="false">IF(Rider_Input[[#This Row],[Rider ID]]="","",Salary_Month)</f>
        <v/>
      </c>
      <c r="B405" s="153" t="str">
        <f aca="false">IFERROR(IF(INDEX(FTR_Data,ROW()-ROW(Rider_Input[#Headers]),c_FTR_ID)="","",INDEX(FTR_Data,ROW()-ROW(Rider_Input[#Headers]),c_FTR_ID)),"")</f>
        <v/>
      </c>
      <c r="C40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0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05" s="153" t="str">
        <f aca="false">IF(Rider_Input[[#This Row],[Rider ID]]="","",DAY(EOMONTH(Salary_Month,0)))</f>
        <v/>
      </c>
      <c r="F405" s="153" t="str">
        <f aca="false">IF(Rider_Input[[#This Row],[Rider ID]]="","",IFERROR(IF(INDEX(FTR_Data,ROW()-ROW(Rider_Input[#Headers]),c_FTR_WD)="","",INDEX(FTR_Data,ROW()-ROW(Rider_Input[#Headers]),c_FTR_WD)),""))</f>
        <v/>
      </c>
      <c r="G405" s="153" t="str">
        <f aca="false">IF(Rider_Input[[#This Row],[Rider ID]]="","",IFERROR(IF(INDEX(FTR_Data,ROW()-ROW(Rider_Input[#Headers]),c_FTR_Orders)="","",INDEX(FTR_Data,ROW()-ROW(Rider_Input[#Headers]),c_FTR_Orders)),""))</f>
        <v/>
      </c>
      <c r="H405" s="155" t="str">
        <f aca="false">IF(Rider_Input[[#This Row],[Rider ID]]="","",IFERROR(ABS(INDEX(RLVL_Data,MATCH(Rider_Input[[#This Row],[Rider ID]],INDEX(RLVL_Data,0,c_RLVL_ID),0),c_RLVL_Missed)),0))</f>
        <v/>
      </c>
      <c r="I405" s="155" t="str">
        <f aca="false">IF(Rider_Input[[#This Row],[Rider ID]]="","",IFERROR(ABS(INDEX(RLVL_Data,MATCH(Rider_Input[[#This Row],[Rider ID]],INDEX(RLVL_Data,0,c_RLVL_ID),0),c_RLVL_Bal)),0))</f>
        <v/>
      </c>
      <c r="J405" s="155" t="str">
        <f aca="false">IF(Rider_Input[[#This Row],[Rider ID]]="","",IFERROR(ABS(INDEX(RLVL_Data,MATCH(Rider_Input[[#This Row],[Rider ID]],INDEX(RLVL_Data,0,c_RLVL_ID),0),c_RLVL_Stack)),0))</f>
        <v/>
      </c>
      <c r="K405" s="155" t="str">
        <f aca="false">IF(Rider_Input[[#This Row],[Rider ID]]="","",SUMIFS(Adj_Input[Other Deductions],Adj_Input[Rider ID],Rider_Input[[#This Row],[Rider ID]]))</f>
        <v/>
      </c>
      <c r="L405" s="154" t="str">
        <f aca="false">IF(Rider_Input[[#This Row],[Rider ID]]="","",IFERROR(INDEX(Adj_Input[Note / Reason],MATCH(Rider_Input[[#This Row],[Rider ID]],Adj_Input[Rider ID],0))&amp;"",""))</f>
        <v/>
      </c>
    </row>
    <row r="406" customFormat="false" ht="14.25" hidden="false" customHeight="false" outlineLevel="0" collapsed="false">
      <c r="A406" s="152" t="str">
        <f aca="false">IF(Rider_Input[[#This Row],[Rider ID]]="","",Salary_Month)</f>
        <v/>
      </c>
      <c r="B406" s="153" t="str">
        <f aca="false">IFERROR(IF(INDEX(FTR_Data,ROW()-ROW(Rider_Input[#Headers]),c_FTR_ID)="","",INDEX(FTR_Data,ROW()-ROW(Rider_Input[#Headers]),c_FTR_ID)),"")</f>
        <v/>
      </c>
      <c r="C40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0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06" s="153" t="str">
        <f aca="false">IF(Rider_Input[[#This Row],[Rider ID]]="","",DAY(EOMONTH(Salary_Month,0)))</f>
        <v/>
      </c>
      <c r="F406" s="153" t="str">
        <f aca="false">IF(Rider_Input[[#This Row],[Rider ID]]="","",IFERROR(IF(INDEX(FTR_Data,ROW()-ROW(Rider_Input[#Headers]),c_FTR_WD)="","",INDEX(FTR_Data,ROW()-ROW(Rider_Input[#Headers]),c_FTR_WD)),""))</f>
        <v/>
      </c>
      <c r="G406" s="153" t="str">
        <f aca="false">IF(Rider_Input[[#This Row],[Rider ID]]="","",IFERROR(IF(INDEX(FTR_Data,ROW()-ROW(Rider_Input[#Headers]),c_FTR_Orders)="","",INDEX(FTR_Data,ROW()-ROW(Rider_Input[#Headers]),c_FTR_Orders)),""))</f>
        <v/>
      </c>
      <c r="H406" s="155" t="str">
        <f aca="false">IF(Rider_Input[[#This Row],[Rider ID]]="","",IFERROR(ABS(INDEX(RLVL_Data,MATCH(Rider_Input[[#This Row],[Rider ID]],INDEX(RLVL_Data,0,c_RLVL_ID),0),c_RLVL_Missed)),0))</f>
        <v/>
      </c>
      <c r="I406" s="155" t="str">
        <f aca="false">IF(Rider_Input[[#This Row],[Rider ID]]="","",IFERROR(ABS(INDEX(RLVL_Data,MATCH(Rider_Input[[#This Row],[Rider ID]],INDEX(RLVL_Data,0,c_RLVL_ID),0),c_RLVL_Bal)),0))</f>
        <v/>
      </c>
      <c r="J406" s="155" t="str">
        <f aca="false">IF(Rider_Input[[#This Row],[Rider ID]]="","",IFERROR(ABS(INDEX(RLVL_Data,MATCH(Rider_Input[[#This Row],[Rider ID]],INDEX(RLVL_Data,0,c_RLVL_ID),0),c_RLVL_Stack)),0))</f>
        <v/>
      </c>
      <c r="K406" s="155" t="str">
        <f aca="false">IF(Rider_Input[[#This Row],[Rider ID]]="","",SUMIFS(Adj_Input[Other Deductions],Adj_Input[Rider ID],Rider_Input[[#This Row],[Rider ID]]))</f>
        <v/>
      </c>
      <c r="L406" s="154" t="str">
        <f aca="false">IF(Rider_Input[[#This Row],[Rider ID]]="","",IFERROR(INDEX(Adj_Input[Note / Reason],MATCH(Rider_Input[[#This Row],[Rider ID]],Adj_Input[Rider ID],0))&amp;"",""))</f>
        <v/>
      </c>
    </row>
    <row r="407" customFormat="false" ht="14.25" hidden="false" customHeight="false" outlineLevel="0" collapsed="false">
      <c r="A407" s="152" t="str">
        <f aca="false">IF(Rider_Input[[#This Row],[Rider ID]]="","",Salary_Month)</f>
        <v/>
      </c>
      <c r="B407" s="153" t="str">
        <f aca="false">IFERROR(IF(INDEX(FTR_Data,ROW()-ROW(Rider_Input[#Headers]),c_FTR_ID)="","",INDEX(FTR_Data,ROW()-ROW(Rider_Input[#Headers]),c_FTR_ID)),"")</f>
        <v/>
      </c>
      <c r="C40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0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07" s="153" t="str">
        <f aca="false">IF(Rider_Input[[#This Row],[Rider ID]]="","",DAY(EOMONTH(Salary_Month,0)))</f>
        <v/>
      </c>
      <c r="F407" s="153" t="str">
        <f aca="false">IF(Rider_Input[[#This Row],[Rider ID]]="","",IFERROR(IF(INDEX(FTR_Data,ROW()-ROW(Rider_Input[#Headers]),c_FTR_WD)="","",INDEX(FTR_Data,ROW()-ROW(Rider_Input[#Headers]),c_FTR_WD)),""))</f>
        <v/>
      </c>
      <c r="G407" s="153" t="str">
        <f aca="false">IF(Rider_Input[[#This Row],[Rider ID]]="","",IFERROR(IF(INDEX(FTR_Data,ROW()-ROW(Rider_Input[#Headers]),c_FTR_Orders)="","",INDEX(FTR_Data,ROW()-ROW(Rider_Input[#Headers]),c_FTR_Orders)),""))</f>
        <v/>
      </c>
      <c r="H407" s="155" t="str">
        <f aca="false">IF(Rider_Input[[#This Row],[Rider ID]]="","",IFERROR(ABS(INDEX(RLVL_Data,MATCH(Rider_Input[[#This Row],[Rider ID]],INDEX(RLVL_Data,0,c_RLVL_ID),0),c_RLVL_Missed)),0))</f>
        <v/>
      </c>
      <c r="I407" s="155" t="str">
        <f aca="false">IF(Rider_Input[[#This Row],[Rider ID]]="","",IFERROR(ABS(INDEX(RLVL_Data,MATCH(Rider_Input[[#This Row],[Rider ID]],INDEX(RLVL_Data,0,c_RLVL_ID),0),c_RLVL_Bal)),0))</f>
        <v/>
      </c>
      <c r="J407" s="155" t="str">
        <f aca="false">IF(Rider_Input[[#This Row],[Rider ID]]="","",IFERROR(ABS(INDEX(RLVL_Data,MATCH(Rider_Input[[#This Row],[Rider ID]],INDEX(RLVL_Data,0,c_RLVL_ID),0),c_RLVL_Stack)),0))</f>
        <v/>
      </c>
      <c r="K407" s="155" t="str">
        <f aca="false">IF(Rider_Input[[#This Row],[Rider ID]]="","",SUMIFS(Adj_Input[Other Deductions],Adj_Input[Rider ID],Rider_Input[[#This Row],[Rider ID]]))</f>
        <v/>
      </c>
      <c r="L407" s="154" t="str">
        <f aca="false">IF(Rider_Input[[#This Row],[Rider ID]]="","",IFERROR(INDEX(Adj_Input[Note / Reason],MATCH(Rider_Input[[#This Row],[Rider ID]],Adj_Input[Rider ID],0))&amp;"",""))</f>
        <v/>
      </c>
    </row>
    <row r="408" customFormat="false" ht="14.25" hidden="false" customHeight="false" outlineLevel="0" collapsed="false">
      <c r="A408" s="152" t="str">
        <f aca="false">IF(Rider_Input[[#This Row],[Rider ID]]="","",Salary_Month)</f>
        <v/>
      </c>
      <c r="B408" s="153" t="str">
        <f aca="false">IFERROR(IF(INDEX(FTR_Data,ROW()-ROW(Rider_Input[#Headers]),c_FTR_ID)="","",INDEX(FTR_Data,ROW()-ROW(Rider_Input[#Headers]),c_FTR_ID)),"")</f>
        <v/>
      </c>
      <c r="C40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0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08" s="153" t="str">
        <f aca="false">IF(Rider_Input[[#This Row],[Rider ID]]="","",DAY(EOMONTH(Salary_Month,0)))</f>
        <v/>
      </c>
      <c r="F408" s="153" t="str">
        <f aca="false">IF(Rider_Input[[#This Row],[Rider ID]]="","",IFERROR(IF(INDEX(FTR_Data,ROW()-ROW(Rider_Input[#Headers]),c_FTR_WD)="","",INDEX(FTR_Data,ROW()-ROW(Rider_Input[#Headers]),c_FTR_WD)),""))</f>
        <v/>
      </c>
      <c r="G408" s="153" t="str">
        <f aca="false">IF(Rider_Input[[#This Row],[Rider ID]]="","",IFERROR(IF(INDEX(FTR_Data,ROW()-ROW(Rider_Input[#Headers]),c_FTR_Orders)="","",INDEX(FTR_Data,ROW()-ROW(Rider_Input[#Headers]),c_FTR_Orders)),""))</f>
        <v/>
      </c>
      <c r="H408" s="155" t="str">
        <f aca="false">IF(Rider_Input[[#This Row],[Rider ID]]="","",IFERROR(ABS(INDEX(RLVL_Data,MATCH(Rider_Input[[#This Row],[Rider ID]],INDEX(RLVL_Data,0,c_RLVL_ID),0),c_RLVL_Missed)),0))</f>
        <v/>
      </c>
      <c r="I408" s="155" t="str">
        <f aca="false">IF(Rider_Input[[#This Row],[Rider ID]]="","",IFERROR(ABS(INDEX(RLVL_Data,MATCH(Rider_Input[[#This Row],[Rider ID]],INDEX(RLVL_Data,0,c_RLVL_ID),0),c_RLVL_Bal)),0))</f>
        <v/>
      </c>
      <c r="J408" s="155" t="str">
        <f aca="false">IF(Rider_Input[[#This Row],[Rider ID]]="","",IFERROR(ABS(INDEX(RLVL_Data,MATCH(Rider_Input[[#This Row],[Rider ID]],INDEX(RLVL_Data,0,c_RLVL_ID),0),c_RLVL_Stack)),0))</f>
        <v/>
      </c>
      <c r="K408" s="155" t="str">
        <f aca="false">IF(Rider_Input[[#This Row],[Rider ID]]="","",SUMIFS(Adj_Input[Other Deductions],Adj_Input[Rider ID],Rider_Input[[#This Row],[Rider ID]]))</f>
        <v/>
      </c>
      <c r="L408" s="154" t="str">
        <f aca="false">IF(Rider_Input[[#This Row],[Rider ID]]="","",IFERROR(INDEX(Adj_Input[Note / Reason],MATCH(Rider_Input[[#This Row],[Rider ID]],Adj_Input[Rider ID],0))&amp;"",""))</f>
        <v/>
      </c>
    </row>
    <row r="409" customFormat="false" ht="14.25" hidden="false" customHeight="false" outlineLevel="0" collapsed="false">
      <c r="A409" s="152" t="str">
        <f aca="false">IF(Rider_Input[[#This Row],[Rider ID]]="","",Salary_Month)</f>
        <v/>
      </c>
      <c r="B409" s="153" t="str">
        <f aca="false">IFERROR(IF(INDEX(FTR_Data,ROW()-ROW(Rider_Input[#Headers]),c_FTR_ID)="","",INDEX(FTR_Data,ROW()-ROW(Rider_Input[#Headers]),c_FTR_ID)),"")</f>
        <v/>
      </c>
      <c r="C40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0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09" s="153" t="str">
        <f aca="false">IF(Rider_Input[[#This Row],[Rider ID]]="","",DAY(EOMONTH(Salary_Month,0)))</f>
        <v/>
      </c>
      <c r="F409" s="153" t="str">
        <f aca="false">IF(Rider_Input[[#This Row],[Rider ID]]="","",IFERROR(IF(INDEX(FTR_Data,ROW()-ROW(Rider_Input[#Headers]),c_FTR_WD)="","",INDEX(FTR_Data,ROW()-ROW(Rider_Input[#Headers]),c_FTR_WD)),""))</f>
        <v/>
      </c>
      <c r="G409" s="153" t="str">
        <f aca="false">IF(Rider_Input[[#This Row],[Rider ID]]="","",IFERROR(IF(INDEX(FTR_Data,ROW()-ROW(Rider_Input[#Headers]),c_FTR_Orders)="","",INDEX(FTR_Data,ROW()-ROW(Rider_Input[#Headers]),c_FTR_Orders)),""))</f>
        <v/>
      </c>
      <c r="H409" s="155" t="str">
        <f aca="false">IF(Rider_Input[[#This Row],[Rider ID]]="","",IFERROR(ABS(INDEX(RLVL_Data,MATCH(Rider_Input[[#This Row],[Rider ID]],INDEX(RLVL_Data,0,c_RLVL_ID),0),c_RLVL_Missed)),0))</f>
        <v/>
      </c>
      <c r="I409" s="155" t="str">
        <f aca="false">IF(Rider_Input[[#This Row],[Rider ID]]="","",IFERROR(ABS(INDEX(RLVL_Data,MATCH(Rider_Input[[#This Row],[Rider ID]],INDEX(RLVL_Data,0,c_RLVL_ID),0),c_RLVL_Bal)),0))</f>
        <v/>
      </c>
      <c r="J409" s="155" t="str">
        <f aca="false">IF(Rider_Input[[#This Row],[Rider ID]]="","",IFERROR(ABS(INDEX(RLVL_Data,MATCH(Rider_Input[[#This Row],[Rider ID]],INDEX(RLVL_Data,0,c_RLVL_ID),0),c_RLVL_Stack)),0))</f>
        <v/>
      </c>
      <c r="K409" s="155" t="str">
        <f aca="false">IF(Rider_Input[[#This Row],[Rider ID]]="","",SUMIFS(Adj_Input[Other Deductions],Adj_Input[Rider ID],Rider_Input[[#This Row],[Rider ID]]))</f>
        <v/>
      </c>
      <c r="L409" s="154" t="str">
        <f aca="false">IF(Rider_Input[[#This Row],[Rider ID]]="","",IFERROR(INDEX(Adj_Input[Note / Reason],MATCH(Rider_Input[[#This Row],[Rider ID]],Adj_Input[Rider ID],0))&amp;"",""))</f>
        <v/>
      </c>
    </row>
    <row r="410" customFormat="false" ht="14.25" hidden="false" customHeight="false" outlineLevel="0" collapsed="false">
      <c r="A410" s="152" t="str">
        <f aca="false">IF(Rider_Input[[#This Row],[Rider ID]]="","",Salary_Month)</f>
        <v/>
      </c>
      <c r="B410" s="153" t="str">
        <f aca="false">IFERROR(IF(INDEX(FTR_Data,ROW()-ROW(Rider_Input[#Headers]),c_FTR_ID)="","",INDEX(FTR_Data,ROW()-ROW(Rider_Input[#Headers]),c_FTR_ID)),"")</f>
        <v/>
      </c>
      <c r="C41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1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10" s="153" t="str">
        <f aca="false">IF(Rider_Input[[#This Row],[Rider ID]]="","",DAY(EOMONTH(Salary_Month,0)))</f>
        <v/>
      </c>
      <c r="F410" s="153" t="str">
        <f aca="false">IF(Rider_Input[[#This Row],[Rider ID]]="","",IFERROR(IF(INDEX(FTR_Data,ROW()-ROW(Rider_Input[#Headers]),c_FTR_WD)="","",INDEX(FTR_Data,ROW()-ROW(Rider_Input[#Headers]),c_FTR_WD)),""))</f>
        <v/>
      </c>
      <c r="G410" s="153" t="str">
        <f aca="false">IF(Rider_Input[[#This Row],[Rider ID]]="","",IFERROR(IF(INDEX(FTR_Data,ROW()-ROW(Rider_Input[#Headers]),c_FTR_Orders)="","",INDEX(FTR_Data,ROW()-ROW(Rider_Input[#Headers]),c_FTR_Orders)),""))</f>
        <v/>
      </c>
      <c r="H410" s="155" t="str">
        <f aca="false">IF(Rider_Input[[#This Row],[Rider ID]]="","",IFERROR(ABS(INDEX(RLVL_Data,MATCH(Rider_Input[[#This Row],[Rider ID]],INDEX(RLVL_Data,0,c_RLVL_ID),0),c_RLVL_Missed)),0))</f>
        <v/>
      </c>
      <c r="I410" s="155" t="str">
        <f aca="false">IF(Rider_Input[[#This Row],[Rider ID]]="","",IFERROR(ABS(INDEX(RLVL_Data,MATCH(Rider_Input[[#This Row],[Rider ID]],INDEX(RLVL_Data,0,c_RLVL_ID),0),c_RLVL_Bal)),0))</f>
        <v/>
      </c>
      <c r="J410" s="155" t="str">
        <f aca="false">IF(Rider_Input[[#This Row],[Rider ID]]="","",IFERROR(ABS(INDEX(RLVL_Data,MATCH(Rider_Input[[#This Row],[Rider ID]],INDEX(RLVL_Data,0,c_RLVL_ID),0),c_RLVL_Stack)),0))</f>
        <v/>
      </c>
      <c r="K410" s="155" t="str">
        <f aca="false">IF(Rider_Input[[#This Row],[Rider ID]]="","",SUMIFS(Adj_Input[Other Deductions],Adj_Input[Rider ID],Rider_Input[[#This Row],[Rider ID]]))</f>
        <v/>
      </c>
      <c r="L410" s="154" t="str">
        <f aca="false">IF(Rider_Input[[#This Row],[Rider ID]]="","",IFERROR(INDEX(Adj_Input[Note / Reason],MATCH(Rider_Input[[#This Row],[Rider ID]],Adj_Input[Rider ID],0))&amp;"",""))</f>
        <v/>
      </c>
    </row>
    <row r="411" customFormat="false" ht="14.25" hidden="false" customHeight="false" outlineLevel="0" collapsed="false">
      <c r="A411" s="152" t="str">
        <f aca="false">IF(Rider_Input[[#This Row],[Rider ID]]="","",Salary_Month)</f>
        <v/>
      </c>
      <c r="B411" s="153" t="str">
        <f aca="false">IFERROR(IF(INDEX(FTR_Data,ROW()-ROW(Rider_Input[#Headers]),c_FTR_ID)="","",INDEX(FTR_Data,ROW()-ROW(Rider_Input[#Headers]),c_FTR_ID)),"")</f>
        <v/>
      </c>
      <c r="C41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1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11" s="153" t="str">
        <f aca="false">IF(Rider_Input[[#This Row],[Rider ID]]="","",DAY(EOMONTH(Salary_Month,0)))</f>
        <v/>
      </c>
      <c r="F411" s="153" t="str">
        <f aca="false">IF(Rider_Input[[#This Row],[Rider ID]]="","",IFERROR(IF(INDEX(FTR_Data,ROW()-ROW(Rider_Input[#Headers]),c_FTR_WD)="","",INDEX(FTR_Data,ROW()-ROW(Rider_Input[#Headers]),c_FTR_WD)),""))</f>
        <v/>
      </c>
      <c r="G411" s="153" t="str">
        <f aca="false">IF(Rider_Input[[#This Row],[Rider ID]]="","",IFERROR(IF(INDEX(FTR_Data,ROW()-ROW(Rider_Input[#Headers]),c_FTR_Orders)="","",INDEX(FTR_Data,ROW()-ROW(Rider_Input[#Headers]),c_FTR_Orders)),""))</f>
        <v/>
      </c>
      <c r="H411" s="155" t="str">
        <f aca="false">IF(Rider_Input[[#This Row],[Rider ID]]="","",IFERROR(ABS(INDEX(RLVL_Data,MATCH(Rider_Input[[#This Row],[Rider ID]],INDEX(RLVL_Data,0,c_RLVL_ID),0),c_RLVL_Missed)),0))</f>
        <v/>
      </c>
      <c r="I411" s="155" t="str">
        <f aca="false">IF(Rider_Input[[#This Row],[Rider ID]]="","",IFERROR(ABS(INDEX(RLVL_Data,MATCH(Rider_Input[[#This Row],[Rider ID]],INDEX(RLVL_Data,0,c_RLVL_ID),0),c_RLVL_Bal)),0))</f>
        <v/>
      </c>
      <c r="J411" s="155" t="str">
        <f aca="false">IF(Rider_Input[[#This Row],[Rider ID]]="","",IFERROR(ABS(INDEX(RLVL_Data,MATCH(Rider_Input[[#This Row],[Rider ID]],INDEX(RLVL_Data,0,c_RLVL_ID),0),c_RLVL_Stack)),0))</f>
        <v/>
      </c>
      <c r="K411" s="155" t="str">
        <f aca="false">IF(Rider_Input[[#This Row],[Rider ID]]="","",SUMIFS(Adj_Input[Other Deductions],Adj_Input[Rider ID],Rider_Input[[#This Row],[Rider ID]]))</f>
        <v/>
      </c>
      <c r="L411" s="154" t="str">
        <f aca="false">IF(Rider_Input[[#This Row],[Rider ID]]="","",IFERROR(INDEX(Adj_Input[Note / Reason],MATCH(Rider_Input[[#This Row],[Rider ID]],Adj_Input[Rider ID],0))&amp;"",""))</f>
        <v/>
      </c>
    </row>
    <row r="412" customFormat="false" ht="14.25" hidden="false" customHeight="false" outlineLevel="0" collapsed="false">
      <c r="A412" s="152" t="str">
        <f aca="false">IF(Rider_Input[[#This Row],[Rider ID]]="","",Salary_Month)</f>
        <v/>
      </c>
      <c r="B412" s="153" t="str">
        <f aca="false">IFERROR(IF(INDEX(FTR_Data,ROW()-ROW(Rider_Input[#Headers]),c_FTR_ID)="","",INDEX(FTR_Data,ROW()-ROW(Rider_Input[#Headers]),c_FTR_ID)),"")</f>
        <v/>
      </c>
      <c r="C41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1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12" s="153" t="str">
        <f aca="false">IF(Rider_Input[[#This Row],[Rider ID]]="","",DAY(EOMONTH(Salary_Month,0)))</f>
        <v/>
      </c>
      <c r="F412" s="153" t="str">
        <f aca="false">IF(Rider_Input[[#This Row],[Rider ID]]="","",IFERROR(IF(INDEX(FTR_Data,ROW()-ROW(Rider_Input[#Headers]),c_FTR_WD)="","",INDEX(FTR_Data,ROW()-ROW(Rider_Input[#Headers]),c_FTR_WD)),""))</f>
        <v/>
      </c>
      <c r="G412" s="153" t="str">
        <f aca="false">IF(Rider_Input[[#This Row],[Rider ID]]="","",IFERROR(IF(INDEX(FTR_Data,ROW()-ROW(Rider_Input[#Headers]),c_FTR_Orders)="","",INDEX(FTR_Data,ROW()-ROW(Rider_Input[#Headers]),c_FTR_Orders)),""))</f>
        <v/>
      </c>
      <c r="H412" s="155" t="str">
        <f aca="false">IF(Rider_Input[[#This Row],[Rider ID]]="","",IFERROR(ABS(INDEX(RLVL_Data,MATCH(Rider_Input[[#This Row],[Rider ID]],INDEX(RLVL_Data,0,c_RLVL_ID),0),c_RLVL_Missed)),0))</f>
        <v/>
      </c>
      <c r="I412" s="155" t="str">
        <f aca="false">IF(Rider_Input[[#This Row],[Rider ID]]="","",IFERROR(ABS(INDEX(RLVL_Data,MATCH(Rider_Input[[#This Row],[Rider ID]],INDEX(RLVL_Data,0,c_RLVL_ID),0),c_RLVL_Bal)),0))</f>
        <v/>
      </c>
      <c r="J412" s="155" t="str">
        <f aca="false">IF(Rider_Input[[#This Row],[Rider ID]]="","",IFERROR(ABS(INDEX(RLVL_Data,MATCH(Rider_Input[[#This Row],[Rider ID]],INDEX(RLVL_Data,0,c_RLVL_ID),0),c_RLVL_Stack)),0))</f>
        <v/>
      </c>
      <c r="K412" s="155" t="str">
        <f aca="false">IF(Rider_Input[[#This Row],[Rider ID]]="","",SUMIFS(Adj_Input[Other Deductions],Adj_Input[Rider ID],Rider_Input[[#This Row],[Rider ID]]))</f>
        <v/>
      </c>
      <c r="L412" s="154" t="str">
        <f aca="false">IF(Rider_Input[[#This Row],[Rider ID]]="","",IFERROR(INDEX(Adj_Input[Note / Reason],MATCH(Rider_Input[[#This Row],[Rider ID]],Adj_Input[Rider ID],0))&amp;"",""))</f>
        <v/>
      </c>
    </row>
    <row r="413" customFormat="false" ht="14.25" hidden="false" customHeight="false" outlineLevel="0" collapsed="false">
      <c r="A413" s="152" t="str">
        <f aca="false">IF(Rider_Input[[#This Row],[Rider ID]]="","",Salary_Month)</f>
        <v/>
      </c>
      <c r="B413" s="153" t="str">
        <f aca="false">IFERROR(IF(INDEX(FTR_Data,ROW()-ROW(Rider_Input[#Headers]),c_FTR_ID)="","",INDEX(FTR_Data,ROW()-ROW(Rider_Input[#Headers]),c_FTR_ID)),"")</f>
        <v/>
      </c>
      <c r="C41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1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13" s="153" t="str">
        <f aca="false">IF(Rider_Input[[#This Row],[Rider ID]]="","",DAY(EOMONTH(Salary_Month,0)))</f>
        <v/>
      </c>
      <c r="F413" s="153" t="str">
        <f aca="false">IF(Rider_Input[[#This Row],[Rider ID]]="","",IFERROR(IF(INDEX(FTR_Data,ROW()-ROW(Rider_Input[#Headers]),c_FTR_WD)="","",INDEX(FTR_Data,ROW()-ROW(Rider_Input[#Headers]),c_FTR_WD)),""))</f>
        <v/>
      </c>
      <c r="G413" s="153" t="str">
        <f aca="false">IF(Rider_Input[[#This Row],[Rider ID]]="","",IFERROR(IF(INDEX(FTR_Data,ROW()-ROW(Rider_Input[#Headers]),c_FTR_Orders)="","",INDEX(FTR_Data,ROW()-ROW(Rider_Input[#Headers]),c_FTR_Orders)),""))</f>
        <v/>
      </c>
      <c r="H413" s="155" t="str">
        <f aca="false">IF(Rider_Input[[#This Row],[Rider ID]]="","",IFERROR(ABS(INDEX(RLVL_Data,MATCH(Rider_Input[[#This Row],[Rider ID]],INDEX(RLVL_Data,0,c_RLVL_ID),0),c_RLVL_Missed)),0))</f>
        <v/>
      </c>
      <c r="I413" s="155" t="str">
        <f aca="false">IF(Rider_Input[[#This Row],[Rider ID]]="","",IFERROR(ABS(INDEX(RLVL_Data,MATCH(Rider_Input[[#This Row],[Rider ID]],INDEX(RLVL_Data,0,c_RLVL_ID),0),c_RLVL_Bal)),0))</f>
        <v/>
      </c>
      <c r="J413" s="155" t="str">
        <f aca="false">IF(Rider_Input[[#This Row],[Rider ID]]="","",IFERROR(ABS(INDEX(RLVL_Data,MATCH(Rider_Input[[#This Row],[Rider ID]],INDEX(RLVL_Data,0,c_RLVL_ID),0),c_RLVL_Stack)),0))</f>
        <v/>
      </c>
      <c r="K413" s="155" t="str">
        <f aca="false">IF(Rider_Input[[#This Row],[Rider ID]]="","",SUMIFS(Adj_Input[Other Deductions],Adj_Input[Rider ID],Rider_Input[[#This Row],[Rider ID]]))</f>
        <v/>
      </c>
      <c r="L413" s="154" t="str">
        <f aca="false">IF(Rider_Input[[#This Row],[Rider ID]]="","",IFERROR(INDEX(Adj_Input[Note / Reason],MATCH(Rider_Input[[#This Row],[Rider ID]],Adj_Input[Rider ID],0))&amp;"",""))</f>
        <v/>
      </c>
    </row>
    <row r="414" customFormat="false" ht="14.25" hidden="false" customHeight="false" outlineLevel="0" collapsed="false">
      <c r="A414" s="152" t="str">
        <f aca="false">IF(Rider_Input[[#This Row],[Rider ID]]="","",Salary_Month)</f>
        <v/>
      </c>
      <c r="B414" s="153" t="str">
        <f aca="false">IFERROR(IF(INDEX(FTR_Data,ROW()-ROW(Rider_Input[#Headers]),c_FTR_ID)="","",INDEX(FTR_Data,ROW()-ROW(Rider_Input[#Headers]),c_FTR_ID)),"")</f>
        <v/>
      </c>
      <c r="C41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1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14" s="153" t="str">
        <f aca="false">IF(Rider_Input[[#This Row],[Rider ID]]="","",DAY(EOMONTH(Salary_Month,0)))</f>
        <v/>
      </c>
      <c r="F414" s="153" t="str">
        <f aca="false">IF(Rider_Input[[#This Row],[Rider ID]]="","",IFERROR(IF(INDEX(FTR_Data,ROW()-ROW(Rider_Input[#Headers]),c_FTR_WD)="","",INDEX(FTR_Data,ROW()-ROW(Rider_Input[#Headers]),c_FTR_WD)),""))</f>
        <v/>
      </c>
      <c r="G414" s="153" t="str">
        <f aca="false">IF(Rider_Input[[#This Row],[Rider ID]]="","",IFERROR(IF(INDEX(FTR_Data,ROW()-ROW(Rider_Input[#Headers]),c_FTR_Orders)="","",INDEX(FTR_Data,ROW()-ROW(Rider_Input[#Headers]),c_FTR_Orders)),""))</f>
        <v/>
      </c>
      <c r="H414" s="155" t="str">
        <f aca="false">IF(Rider_Input[[#This Row],[Rider ID]]="","",IFERROR(ABS(INDEX(RLVL_Data,MATCH(Rider_Input[[#This Row],[Rider ID]],INDEX(RLVL_Data,0,c_RLVL_ID),0),c_RLVL_Missed)),0))</f>
        <v/>
      </c>
      <c r="I414" s="155" t="str">
        <f aca="false">IF(Rider_Input[[#This Row],[Rider ID]]="","",IFERROR(ABS(INDEX(RLVL_Data,MATCH(Rider_Input[[#This Row],[Rider ID]],INDEX(RLVL_Data,0,c_RLVL_ID),0),c_RLVL_Bal)),0))</f>
        <v/>
      </c>
      <c r="J414" s="155" t="str">
        <f aca="false">IF(Rider_Input[[#This Row],[Rider ID]]="","",IFERROR(ABS(INDEX(RLVL_Data,MATCH(Rider_Input[[#This Row],[Rider ID]],INDEX(RLVL_Data,0,c_RLVL_ID),0),c_RLVL_Stack)),0))</f>
        <v/>
      </c>
      <c r="K414" s="155" t="str">
        <f aca="false">IF(Rider_Input[[#This Row],[Rider ID]]="","",SUMIFS(Adj_Input[Other Deductions],Adj_Input[Rider ID],Rider_Input[[#This Row],[Rider ID]]))</f>
        <v/>
      </c>
      <c r="L414" s="154" t="str">
        <f aca="false">IF(Rider_Input[[#This Row],[Rider ID]]="","",IFERROR(INDEX(Adj_Input[Note / Reason],MATCH(Rider_Input[[#This Row],[Rider ID]],Adj_Input[Rider ID],0))&amp;"",""))</f>
        <v/>
      </c>
    </row>
    <row r="415" customFormat="false" ht="14.25" hidden="false" customHeight="false" outlineLevel="0" collapsed="false">
      <c r="A415" s="152" t="str">
        <f aca="false">IF(Rider_Input[[#This Row],[Rider ID]]="","",Salary_Month)</f>
        <v/>
      </c>
      <c r="B415" s="153" t="str">
        <f aca="false">IFERROR(IF(INDEX(FTR_Data,ROW()-ROW(Rider_Input[#Headers]),c_FTR_ID)="","",INDEX(FTR_Data,ROW()-ROW(Rider_Input[#Headers]),c_FTR_ID)),"")</f>
        <v/>
      </c>
      <c r="C41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1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15" s="153" t="str">
        <f aca="false">IF(Rider_Input[[#This Row],[Rider ID]]="","",DAY(EOMONTH(Salary_Month,0)))</f>
        <v/>
      </c>
      <c r="F415" s="153" t="str">
        <f aca="false">IF(Rider_Input[[#This Row],[Rider ID]]="","",IFERROR(IF(INDEX(FTR_Data,ROW()-ROW(Rider_Input[#Headers]),c_FTR_WD)="","",INDEX(FTR_Data,ROW()-ROW(Rider_Input[#Headers]),c_FTR_WD)),""))</f>
        <v/>
      </c>
      <c r="G415" s="153" t="str">
        <f aca="false">IF(Rider_Input[[#This Row],[Rider ID]]="","",IFERROR(IF(INDEX(FTR_Data,ROW()-ROW(Rider_Input[#Headers]),c_FTR_Orders)="","",INDEX(FTR_Data,ROW()-ROW(Rider_Input[#Headers]),c_FTR_Orders)),""))</f>
        <v/>
      </c>
      <c r="H415" s="155" t="str">
        <f aca="false">IF(Rider_Input[[#This Row],[Rider ID]]="","",IFERROR(ABS(INDEX(RLVL_Data,MATCH(Rider_Input[[#This Row],[Rider ID]],INDEX(RLVL_Data,0,c_RLVL_ID),0),c_RLVL_Missed)),0))</f>
        <v/>
      </c>
      <c r="I415" s="155" t="str">
        <f aca="false">IF(Rider_Input[[#This Row],[Rider ID]]="","",IFERROR(ABS(INDEX(RLVL_Data,MATCH(Rider_Input[[#This Row],[Rider ID]],INDEX(RLVL_Data,0,c_RLVL_ID),0),c_RLVL_Bal)),0))</f>
        <v/>
      </c>
      <c r="J415" s="155" t="str">
        <f aca="false">IF(Rider_Input[[#This Row],[Rider ID]]="","",IFERROR(ABS(INDEX(RLVL_Data,MATCH(Rider_Input[[#This Row],[Rider ID]],INDEX(RLVL_Data,0,c_RLVL_ID),0),c_RLVL_Stack)),0))</f>
        <v/>
      </c>
      <c r="K415" s="155" t="str">
        <f aca="false">IF(Rider_Input[[#This Row],[Rider ID]]="","",SUMIFS(Adj_Input[Other Deductions],Adj_Input[Rider ID],Rider_Input[[#This Row],[Rider ID]]))</f>
        <v/>
      </c>
      <c r="L415" s="154" t="str">
        <f aca="false">IF(Rider_Input[[#This Row],[Rider ID]]="","",IFERROR(INDEX(Adj_Input[Note / Reason],MATCH(Rider_Input[[#This Row],[Rider ID]],Adj_Input[Rider ID],0))&amp;"",""))</f>
        <v/>
      </c>
    </row>
    <row r="416" customFormat="false" ht="14.25" hidden="false" customHeight="false" outlineLevel="0" collapsed="false">
      <c r="A416" s="152" t="str">
        <f aca="false">IF(Rider_Input[[#This Row],[Rider ID]]="","",Salary_Month)</f>
        <v/>
      </c>
      <c r="B416" s="153" t="str">
        <f aca="false">IFERROR(IF(INDEX(FTR_Data,ROW()-ROW(Rider_Input[#Headers]),c_FTR_ID)="","",INDEX(FTR_Data,ROW()-ROW(Rider_Input[#Headers]),c_FTR_ID)),"")</f>
        <v/>
      </c>
      <c r="C41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1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16" s="153" t="str">
        <f aca="false">IF(Rider_Input[[#This Row],[Rider ID]]="","",DAY(EOMONTH(Salary_Month,0)))</f>
        <v/>
      </c>
      <c r="F416" s="153" t="str">
        <f aca="false">IF(Rider_Input[[#This Row],[Rider ID]]="","",IFERROR(IF(INDEX(FTR_Data,ROW()-ROW(Rider_Input[#Headers]),c_FTR_WD)="","",INDEX(FTR_Data,ROW()-ROW(Rider_Input[#Headers]),c_FTR_WD)),""))</f>
        <v/>
      </c>
      <c r="G416" s="153" t="str">
        <f aca="false">IF(Rider_Input[[#This Row],[Rider ID]]="","",IFERROR(IF(INDEX(FTR_Data,ROW()-ROW(Rider_Input[#Headers]),c_FTR_Orders)="","",INDEX(FTR_Data,ROW()-ROW(Rider_Input[#Headers]),c_FTR_Orders)),""))</f>
        <v/>
      </c>
      <c r="H416" s="155" t="str">
        <f aca="false">IF(Rider_Input[[#This Row],[Rider ID]]="","",IFERROR(ABS(INDEX(RLVL_Data,MATCH(Rider_Input[[#This Row],[Rider ID]],INDEX(RLVL_Data,0,c_RLVL_ID),0),c_RLVL_Missed)),0))</f>
        <v/>
      </c>
      <c r="I416" s="155" t="str">
        <f aca="false">IF(Rider_Input[[#This Row],[Rider ID]]="","",IFERROR(ABS(INDEX(RLVL_Data,MATCH(Rider_Input[[#This Row],[Rider ID]],INDEX(RLVL_Data,0,c_RLVL_ID),0),c_RLVL_Bal)),0))</f>
        <v/>
      </c>
      <c r="J416" s="155" t="str">
        <f aca="false">IF(Rider_Input[[#This Row],[Rider ID]]="","",IFERROR(ABS(INDEX(RLVL_Data,MATCH(Rider_Input[[#This Row],[Rider ID]],INDEX(RLVL_Data,0,c_RLVL_ID),0),c_RLVL_Stack)),0))</f>
        <v/>
      </c>
      <c r="K416" s="155" t="str">
        <f aca="false">IF(Rider_Input[[#This Row],[Rider ID]]="","",SUMIFS(Adj_Input[Other Deductions],Adj_Input[Rider ID],Rider_Input[[#This Row],[Rider ID]]))</f>
        <v/>
      </c>
      <c r="L416" s="154" t="str">
        <f aca="false">IF(Rider_Input[[#This Row],[Rider ID]]="","",IFERROR(INDEX(Adj_Input[Note / Reason],MATCH(Rider_Input[[#This Row],[Rider ID]],Adj_Input[Rider ID],0))&amp;"",""))</f>
        <v/>
      </c>
    </row>
    <row r="417" customFormat="false" ht="14.25" hidden="false" customHeight="false" outlineLevel="0" collapsed="false">
      <c r="A417" s="152" t="str">
        <f aca="false">IF(Rider_Input[[#This Row],[Rider ID]]="","",Salary_Month)</f>
        <v/>
      </c>
      <c r="B417" s="153" t="str">
        <f aca="false">IFERROR(IF(INDEX(FTR_Data,ROW()-ROW(Rider_Input[#Headers]),c_FTR_ID)="","",INDEX(FTR_Data,ROW()-ROW(Rider_Input[#Headers]),c_FTR_ID)),"")</f>
        <v/>
      </c>
      <c r="C41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1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17" s="153" t="str">
        <f aca="false">IF(Rider_Input[[#This Row],[Rider ID]]="","",DAY(EOMONTH(Salary_Month,0)))</f>
        <v/>
      </c>
      <c r="F417" s="153" t="str">
        <f aca="false">IF(Rider_Input[[#This Row],[Rider ID]]="","",IFERROR(IF(INDEX(FTR_Data,ROW()-ROW(Rider_Input[#Headers]),c_FTR_WD)="","",INDEX(FTR_Data,ROW()-ROW(Rider_Input[#Headers]),c_FTR_WD)),""))</f>
        <v/>
      </c>
      <c r="G417" s="153" t="str">
        <f aca="false">IF(Rider_Input[[#This Row],[Rider ID]]="","",IFERROR(IF(INDEX(FTR_Data,ROW()-ROW(Rider_Input[#Headers]),c_FTR_Orders)="","",INDEX(FTR_Data,ROW()-ROW(Rider_Input[#Headers]),c_FTR_Orders)),""))</f>
        <v/>
      </c>
      <c r="H417" s="155" t="str">
        <f aca="false">IF(Rider_Input[[#This Row],[Rider ID]]="","",IFERROR(ABS(INDEX(RLVL_Data,MATCH(Rider_Input[[#This Row],[Rider ID]],INDEX(RLVL_Data,0,c_RLVL_ID),0),c_RLVL_Missed)),0))</f>
        <v/>
      </c>
      <c r="I417" s="155" t="str">
        <f aca="false">IF(Rider_Input[[#This Row],[Rider ID]]="","",IFERROR(ABS(INDEX(RLVL_Data,MATCH(Rider_Input[[#This Row],[Rider ID]],INDEX(RLVL_Data,0,c_RLVL_ID),0),c_RLVL_Bal)),0))</f>
        <v/>
      </c>
      <c r="J417" s="155" t="str">
        <f aca="false">IF(Rider_Input[[#This Row],[Rider ID]]="","",IFERROR(ABS(INDEX(RLVL_Data,MATCH(Rider_Input[[#This Row],[Rider ID]],INDEX(RLVL_Data,0,c_RLVL_ID),0),c_RLVL_Stack)),0))</f>
        <v/>
      </c>
      <c r="K417" s="155" t="str">
        <f aca="false">IF(Rider_Input[[#This Row],[Rider ID]]="","",SUMIFS(Adj_Input[Other Deductions],Adj_Input[Rider ID],Rider_Input[[#This Row],[Rider ID]]))</f>
        <v/>
      </c>
      <c r="L417" s="154" t="str">
        <f aca="false">IF(Rider_Input[[#This Row],[Rider ID]]="","",IFERROR(INDEX(Adj_Input[Note / Reason],MATCH(Rider_Input[[#This Row],[Rider ID]],Adj_Input[Rider ID],0))&amp;"",""))</f>
        <v/>
      </c>
    </row>
    <row r="418" customFormat="false" ht="14.25" hidden="false" customHeight="false" outlineLevel="0" collapsed="false">
      <c r="A418" s="152" t="str">
        <f aca="false">IF(Rider_Input[[#This Row],[Rider ID]]="","",Salary_Month)</f>
        <v/>
      </c>
      <c r="B418" s="153" t="str">
        <f aca="false">IFERROR(IF(INDEX(FTR_Data,ROW()-ROW(Rider_Input[#Headers]),c_FTR_ID)="","",INDEX(FTR_Data,ROW()-ROW(Rider_Input[#Headers]),c_FTR_ID)),"")</f>
        <v/>
      </c>
      <c r="C41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1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18" s="153" t="str">
        <f aca="false">IF(Rider_Input[[#This Row],[Rider ID]]="","",DAY(EOMONTH(Salary_Month,0)))</f>
        <v/>
      </c>
      <c r="F418" s="153" t="str">
        <f aca="false">IF(Rider_Input[[#This Row],[Rider ID]]="","",IFERROR(IF(INDEX(FTR_Data,ROW()-ROW(Rider_Input[#Headers]),c_FTR_WD)="","",INDEX(FTR_Data,ROW()-ROW(Rider_Input[#Headers]),c_FTR_WD)),""))</f>
        <v/>
      </c>
      <c r="G418" s="153" t="str">
        <f aca="false">IF(Rider_Input[[#This Row],[Rider ID]]="","",IFERROR(IF(INDEX(FTR_Data,ROW()-ROW(Rider_Input[#Headers]),c_FTR_Orders)="","",INDEX(FTR_Data,ROW()-ROW(Rider_Input[#Headers]),c_FTR_Orders)),""))</f>
        <v/>
      </c>
      <c r="H418" s="155" t="str">
        <f aca="false">IF(Rider_Input[[#This Row],[Rider ID]]="","",IFERROR(ABS(INDEX(RLVL_Data,MATCH(Rider_Input[[#This Row],[Rider ID]],INDEX(RLVL_Data,0,c_RLVL_ID),0),c_RLVL_Missed)),0))</f>
        <v/>
      </c>
      <c r="I418" s="155" t="str">
        <f aca="false">IF(Rider_Input[[#This Row],[Rider ID]]="","",IFERROR(ABS(INDEX(RLVL_Data,MATCH(Rider_Input[[#This Row],[Rider ID]],INDEX(RLVL_Data,0,c_RLVL_ID),0),c_RLVL_Bal)),0))</f>
        <v/>
      </c>
      <c r="J418" s="155" t="str">
        <f aca="false">IF(Rider_Input[[#This Row],[Rider ID]]="","",IFERROR(ABS(INDEX(RLVL_Data,MATCH(Rider_Input[[#This Row],[Rider ID]],INDEX(RLVL_Data,0,c_RLVL_ID),0),c_RLVL_Stack)),0))</f>
        <v/>
      </c>
      <c r="K418" s="155" t="str">
        <f aca="false">IF(Rider_Input[[#This Row],[Rider ID]]="","",SUMIFS(Adj_Input[Other Deductions],Adj_Input[Rider ID],Rider_Input[[#This Row],[Rider ID]]))</f>
        <v/>
      </c>
      <c r="L418" s="154" t="str">
        <f aca="false">IF(Rider_Input[[#This Row],[Rider ID]]="","",IFERROR(INDEX(Adj_Input[Note / Reason],MATCH(Rider_Input[[#This Row],[Rider ID]],Adj_Input[Rider ID],0))&amp;"",""))</f>
        <v/>
      </c>
    </row>
    <row r="419" customFormat="false" ht="14.25" hidden="false" customHeight="false" outlineLevel="0" collapsed="false">
      <c r="A419" s="152" t="str">
        <f aca="false">IF(Rider_Input[[#This Row],[Rider ID]]="","",Salary_Month)</f>
        <v/>
      </c>
      <c r="B419" s="153" t="str">
        <f aca="false">IFERROR(IF(INDEX(FTR_Data,ROW()-ROW(Rider_Input[#Headers]),c_FTR_ID)="","",INDEX(FTR_Data,ROW()-ROW(Rider_Input[#Headers]),c_FTR_ID)),"")</f>
        <v/>
      </c>
      <c r="C41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1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19" s="153" t="str">
        <f aca="false">IF(Rider_Input[[#This Row],[Rider ID]]="","",DAY(EOMONTH(Salary_Month,0)))</f>
        <v/>
      </c>
      <c r="F419" s="153" t="str">
        <f aca="false">IF(Rider_Input[[#This Row],[Rider ID]]="","",IFERROR(IF(INDEX(FTR_Data,ROW()-ROW(Rider_Input[#Headers]),c_FTR_WD)="","",INDEX(FTR_Data,ROW()-ROW(Rider_Input[#Headers]),c_FTR_WD)),""))</f>
        <v/>
      </c>
      <c r="G419" s="153" t="str">
        <f aca="false">IF(Rider_Input[[#This Row],[Rider ID]]="","",IFERROR(IF(INDEX(FTR_Data,ROW()-ROW(Rider_Input[#Headers]),c_FTR_Orders)="","",INDEX(FTR_Data,ROW()-ROW(Rider_Input[#Headers]),c_FTR_Orders)),""))</f>
        <v/>
      </c>
      <c r="H419" s="155" t="str">
        <f aca="false">IF(Rider_Input[[#This Row],[Rider ID]]="","",IFERROR(ABS(INDEX(RLVL_Data,MATCH(Rider_Input[[#This Row],[Rider ID]],INDEX(RLVL_Data,0,c_RLVL_ID),0),c_RLVL_Missed)),0))</f>
        <v/>
      </c>
      <c r="I419" s="155" t="str">
        <f aca="false">IF(Rider_Input[[#This Row],[Rider ID]]="","",IFERROR(ABS(INDEX(RLVL_Data,MATCH(Rider_Input[[#This Row],[Rider ID]],INDEX(RLVL_Data,0,c_RLVL_ID),0),c_RLVL_Bal)),0))</f>
        <v/>
      </c>
      <c r="J419" s="155" t="str">
        <f aca="false">IF(Rider_Input[[#This Row],[Rider ID]]="","",IFERROR(ABS(INDEX(RLVL_Data,MATCH(Rider_Input[[#This Row],[Rider ID]],INDEX(RLVL_Data,0,c_RLVL_ID),0),c_RLVL_Stack)),0))</f>
        <v/>
      </c>
      <c r="K419" s="155" t="str">
        <f aca="false">IF(Rider_Input[[#This Row],[Rider ID]]="","",SUMIFS(Adj_Input[Other Deductions],Adj_Input[Rider ID],Rider_Input[[#This Row],[Rider ID]]))</f>
        <v/>
      </c>
      <c r="L419" s="154" t="str">
        <f aca="false">IF(Rider_Input[[#This Row],[Rider ID]]="","",IFERROR(INDEX(Adj_Input[Note / Reason],MATCH(Rider_Input[[#This Row],[Rider ID]],Adj_Input[Rider ID],0))&amp;"",""))</f>
        <v/>
      </c>
    </row>
    <row r="420" customFormat="false" ht="14.25" hidden="false" customHeight="false" outlineLevel="0" collapsed="false">
      <c r="A420" s="152" t="str">
        <f aca="false">IF(Rider_Input[[#This Row],[Rider ID]]="","",Salary_Month)</f>
        <v/>
      </c>
      <c r="B420" s="153" t="str">
        <f aca="false">IFERROR(IF(INDEX(FTR_Data,ROW()-ROW(Rider_Input[#Headers]),c_FTR_ID)="","",INDEX(FTR_Data,ROW()-ROW(Rider_Input[#Headers]),c_FTR_ID)),"")</f>
        <v/>
      </c>
      <c r="C42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2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20" s="153" t="str">
        <f aca="false">IF(Rider_Input[[#This Row],[Rider ID]]="","",DAY(EOMONTH(Salary_Month,0)))</f>
        <v/>
      </c>
      <c r="F420" s="153" t="str">
        <f aca="false">IF(Rider_Input[[#This Row],[Rider ID]]="","",IFERROR(IF(INDEX(FTR_Data,ROW()-ROW(Rider_Input[#Headers]),c_FTR_WD)="","",INDEX(FTR_Data,ROW()-ROW(Rider_Input[#Headers]),c_FTR_WD)),""))</f>
        <v/>
      </c>
      <c r="G420" s="153" t="str">
        <f aca="false">IF(Rider_Input[[#This Row],[Rider ID]]="","",IFERROR(IF(INDEX(FTR_Data,ROW()-ROW(Rider_Input[#Headers]),c_FTR_Orders)="","",INDEX(FTR_Data,ROW()-ROW(Rider_Input[#Headers]),c_FTR_Orders)),""))</f>
        <v/>
      </c>
      <c r="H420" s="155" t="str">
        <f aca="false">IF(Rider_Input[[#This Row],[Rider ID]]="","",IFERROR(ABS(INDEX(RLVL_Data,MATCH(Rider_Input[[#This Row],[Rider ID]],INDEX(RLVL_Data,0,c_RLVL_ID),0),c_RLVL_Missed)),0))</f>
        <v/>
      </c>
      <c r="I420" s="155" t="str">
        <f aca="false">IF(Rider_Input[[#This Row],[Rider ID]]="","",IFERROR(ABS(INDEX(RLVL_Data,MATCH(Rider_Input[[#This Row],[Rider ID]],INDEX(RLVL_Data,0,c_RLVL_ID),0),c_RLVL_Bal)),0))</f>
        <v/>
      </c>
      <c r="J420" s="155" t="str">
        <f aca="false">IF(Rider_Input[[#This Row],[Rider ID]]="","",IFERROR(ABS(INDEX(RLVL_Data,MATCH(Rider_Input[[#This Row],[Rider ID]],INDEX(RLVL_Data,0,c_RLVL_ID),0),c_RLVL_Stack)),0))</f>
        <v/>
      </c>
      <c r="K420" s="155" t="str">
        <f aca="false">IF(Rider_Input[[#This Row],[Rider ID]]="","",SUMIFS(Adj_Input[Other Deductions],Adj_Input[Rider ID],Rider_Input[[#This Row],[Rider ID]]))</f>
        <v/>
      </c>
      <c r="L420" s="154" t="str">
        <f aca="false">IF(Rider_Input[[#This Row],[Rider ID]]="","",IFERROR(INDEX(Adj_Input[Note / Reason],MATCH(Rider_Input[[#This Row],[Rider ID]],Adj_Input[Rider ID],0))&amp;"",""))</f>
        <v/>
      </c>
    </row>
    <row r="421" customFormat="false" ht="14.25" hidden="false" customHeight="false" outlineLevel="0" collapsed="false">
      <c r="A421" s="152" t="str">
        <f aca="false">IF(Rider_Input[[#This Row],[Rider ID]]="","",Salary_Month)</f>
        <v/>
      </c>
      <c r="B421" s="153" t="str">
        <f aca="false">IFERROR(IF(INDEX(FTR_Data,ROW()-ROW(Rider_Input[#Headers]),c_FTR_ID)="","",INDEX(FTR_Data,ROW()-ROW(Rider_Input[#Headers]),c_FTR_ID)),"")</f>
        <v/>
      </c>
      <c r="C42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2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21" s="153" t="str">
        <f aca="false">IF(Rider_Input[[#This Row],[Rider ID]]="","",DAY(EOMONTH(Salary_Month,0)))</f>
        <v/>
      </c>
      <c r="F421" s="153" t="str">
        <f aca="false">IF(Rider_Input[[#This Row],[Rider ID]]="","",IFERROR(IF(INDEX(FTR_Data,ROW()-ROW(Rider_Input[#Headers]),c_FTR_WD)="","",INDEX(FTR_Data,ROW()-ROW(Rider_Input[#Headers]),c_FTR_WD)),""))</f>
        <v/>
      </c>
      <c r="G421" s="153" t="str">
        <f aca="false">IF(Rider_Input[[#This Row],[Rider ID]]="","",IFERROR(IF(INDEX(FTR_Data,ROW()-ROW(Rider_Input[#Headers]),c_FTR_Orders)="","",INDEX(FTR_Data,ROW()-ROW(Rider_Input[#Headers]),c_FTR_Orders)),""))</f>
        <v/>
      </c>
      <c r="H421" s="155" t="str">
        <f aca="false">IF(Rider_Input[[#This Row],[Rider ID]]="","",IFERROR(ABS(INDEX(RLVL_Data,MATCH(Rider_Input[[#This Row],[Rider ID]],INDEX(RLVL_Data,0,c_RLVL_ID),0),c_RLVL_Missed)),0))</f>
        <v/>
      </c>
      <c r="I421" s="155" t="str">
        <f aca="false">IF(Rider_Input[[#This Row],[Rider ID]]="","",IFERROR(ABS(INDEX(RLVL_Data,MATCH(Rider_Input[[#This Row],[Rider ID]],INDEX(RLVL_Data,0,c_RLVL_ID),0),c_RLVL_Bal)),0))</f>
        <v/>
      </c>
      <c r="J421" s="155" t="str">
        <f aca="false">IF(Rider_Input[[#This Row],[Rider ID]]="","",IFERROR(ABS(INDEX(RLVL_Data,MATCH(Rider_Input[[#This Row],[Rider ID]],INDEX(RLVL_Data,0,c_RLVL_ID),0),c_RLVL_Stack)),0))</f>
        <v/>
      </c>
      <c r="K421" s="155" t="str">
        <f aca="false">IF(Rider_Input[[#This Row],[Rider ID]]="","",SUMIFS(Adj_Input[Other Deductions],Adj_Input[Rider ID],Rider_Input[[#This Row],[Rider ID]]))</f>
        <v/>
      </c>
      <c r="L421" s="154" t="str">
        <f aca="false">IF(Rider_Input[[#This Row],[Rider ID]]="","",IFERROR(INDEX(Adj_Input[Note / Reason],MATCH(Rider_Input[[#This Row],[Rider ID]],Adj_Input[Rider ID],0))&amp;"",""))</f>
        <v/>
      </c>
    </row>
    <row r="422" customFormat="false" ht="14.25" hidden="false" customHeight="false" outlineLevel="0" collapsed="false">
      <c r="A422" s="152" t="str">
        <f aca="false">IF(Rider_Input[[#This Row],[Rider ID]]="","",Salary_Month)</f>
        <v/>
      </c>
      <c r="B422" s="153" t="str">
        <f aca="false">IFERROR(IF(INDEX(FTR_Data,ROW()-ROW(Rider_Input[#Headers]),c_FTR_ID)="","",INDEX(FTR_Data,ROW()-ROW(Rider_Input[#Headers]),c_FTR_ID)),"")</f>
        <v/>
      </c>
      <c r="C42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2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22" s="153" t="str">
        <f aca="false">IF(Rider_Input[[#This Row],[Rider ID]]="","",DAY(EOMONTH(Salary_Month,0)))</f>
        <v/>
      </c>
      <c r="F422" s="153" t="str">
        <f aca="false">IF(Rider_Input[[#This Row],[Rider ID]]="","",IFERROR(IF(INDEX(FTR_Data,ROW()-ROW(Rider_Input[#Headers]),c_FTR_WD)="","",INDEX(FTR_Data,ROW()-ROW(Rider_Input[#Headers]),c_FTR_WD)),""))</f>
        <v/>
      </c>
      <c r="G422" s="153" t="str">
        <f aca="false">IF(Rider_Input[[#This Row],[Rider ID]]="","",IFERROR(IF(INDEX(FTR_Data,ROW()-ROW(Rider_Input[#Headers]),c_FTR_Orders)="","",INDEX(FTR_Data,ROW()-ROW(Rider_Input[#Headers]),c_FTR_Orders)),""))</f>
        <v/>
      </c>
      <c r="H422" s="155" t="str">
        <f aca="false">IF(Rider_Input[[#This Row],[Rider ID]]="","",IFERROR(ABS(INDEX(RLVL_Data,MATCH(Rider_Input[[#This Row],[Rider ID]],INDEX(RLVL_Data,0,c_RLVL_ID),0),c_RLVL_Missed)),0))</f>
        <v/>
      </c>
      <c r="I422" s="155" t="str">
        <f aca="false">IF(Rider_Input[[#This Row],[Rider ID]]="","",IFERROR(ABS(INDEX(RLVL_Data,MATCH(Rider_Input[[#This Row],[Rider ID]],INDEX(RLVL_Data,0,c_RLVL_ID),0),c_RLVL_Bal)),0))</f>
        <v/>
      </c>
      <c r="J422" s="155" t="str">
        <f aca="false">IF(Rider_Input[[#This Row],[Rider ID]]="","",IFERROR(ABS(INDEX(RLVL_Data,MATCH(Rider_Input[[#This Row],[Rider ID]],INDEX(RLVL_Data,0,c_RLVL_ID),0),c_RLVL_Stack)),0))</f>
        <v/>
      </c>
      <c r="K422" s="155" t="str">
        <f aca="false">IF(Rider_Input[[#This Row],[Rider ID]]="","",SUMIFS(Adj_Input[Other Deductions],Adj_Input[Rider ID],Rider_Input[[#This Row],[Rider ID]]))</f>
        <v/>
      </c>
      <c r="L422" s="154" t="str">
        <f aca="false">IF(Rider_Input[[#This Row],[Rider ID]]="","",IFERROR(INDEX(Adj_Input[Note / Reason],MATCH(Rider_Input[[#This Row],[Rider ID]],Adj_Input[Rider ID],0))&amp;"",""))</f>
        <v/>
      </c>
    </row>
    <row r="423" customFormat="false" ht="14.25" hidden="false" customHeight="false" outlineLevel="0" collapsed="false">
      <c r="A423" s="152" t="str">
        <f aca="false">IF(Rider_Input[[#This Row],[Rider ID]]="","",Salary_Month)</f>
        <v/>
      </c>
      <c r="B423" s="153" t="str">
        <f aca="false">IFERROR(IF(INDEX(FTR_Data,ROW()-ROW(Rider_Input[#Headers]),c_FTR_ID)="","",INDEX(FTR_Data,ROW()-ROW(Rider_Input[#Headers]),c_FTR_ID)),"")</f>
        <v/>
      </c>
      <c r="C42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2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23" s="153" t="str">
        <f aca="false">IF(Rider_Input[[#This Row],[Rider ID]]="","",DAY(EOMONTH(Salary_Month,0)))</f>
        <v/>
      </c>
      <c r="F423" s="153" t="str">
        <f aca="false">IF(Rider_Input[[#This Row],[Rider ID]]="","",IFERROR(IF(INDEX(FTR_Data,ROW()-ROW(Rider_Input[#Headers]),c_FTR_WD)="","",INDEX(FTR_Data,ROW()-ROW(Rider_Input[#Headers]),c_FTR_WD)),""))</f>
        <v/>
      </c>
      <c r="G423" s="153" t="str">
        <f aca="false">IF(Rider_Input[[#This Row],[Rider ID]]="","",IFERROR(IF(INDEX(FTR_Data,ROW()-ROW(Rider_Input[#Headers]),c_FTR_Orders)="","",INDEX(FTR_Data,ROW()-ROW(Rider_Input[#Headers]),c_FTR_Orders)),""))</f>
        <v/>
      </c>
      <c r="H423" s="155" t="str">
        <f aca="false">IF(Rider_Input[[#This Row],[Rider ID]]="","",IFERROR(ABS(INDEX(RLVL_Data,MATCH(Rider_Input[[#This Row],[Rider ID]],INDEX(RLVL_Data,0,c_RLVL_ID),0),c_RLVL_Missed)),0))</f>
        <v/>
      </c>
      <c r="I423" s="155" t="str">
        <f aca="false">IF(Rider_Input[[#This Row],[Rider ID]]="","",IFERROR(ABS(INDEX(RLVL_Data,MATCH(Rider_Input[[#This Row],[Rider ID]],INDEX(RLVL_Data,0,c_RLVL_ID),0),c_RLVL_Bal)),0))</f>
        <v/>
      </c>
      <c r="J423" s="155" t="str">
        <f aca="false">IF(Rider_Input[[#This Row],[Rider ID]]="","",IFERROR(ABS(INDEX(RLVL_Data,MATCH(Rider_Input[[#This Row],[Rider ID]],INDEX(RLVL_Data,0,c_RLVL_ID),0),c_RLVL_Stack)),0))</f>
        <v/>
      </c>
      <c r="K423" s="155" t="str">
        <f aca="false">IF(Rider_Input[[#This Row],[Rider ID]]="","",SUMIFS(Adj_Input[Other Deductions],Adj_Input[Rider ID],Rider_Input[[#This Row],[Rider ID]]))</f>
        <v/>
      </c>
      <c r="L423" s="154" t="str">
        <f aca="false">IF(Rider_Input[[#This Row],[Rider ID]]="","",IFERROR(INDEX(Adj_Input[Note / Reason],MATCH(Rider_Input[[#This Row],[Rider ID]],Adj_Input[Rider ID],0))&amp;"",""))</f>
        <v/>
      </c>
    </row>
    <row r="424" customFormat="false" ht="14.25" hidden="false" customHeight="false" outlineLevel="0" collapsed="false">
      <c r="A424" s="152" t="str">
        <f aca="false">IF(Rider_Input[[#This Row],[Rider ID]]="","",Salary_Month)</f>
        <v/>
      </c>
      <c r="B424" s="153" t="str">
        <f aca="false">IFERROR(IF(INDEX(FTR_Data,ROW()-ROW(Rider_Input[#Headers]),c_FTR_ID)="","",INDEX(FTR_Data,ROW()-ROW(Rider_Input[#Headers]),c_FTR_ID)),"")</f>
        <v/>
      </c>
      <c r="C42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2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24" s="153" t="str">
        <f aca="false">IF(Rider_Input[[#This Row],[Rider ID]]="","",DAY(EOMONTH(Salary_Month,0)))</f>
        <v/>
      </c>
      <c r="F424" s="153" t="str">
        <f aca="false">IF(Rider_Input[[#This Row],[Rider ID]]="","",IFERROR(IF(INDEX(FTR_Data,ROW()-ROW(Rider_Input[#Headers]),c_FTR_WD)="","",INDEX(FTR_Data,ROW()-ROW(Rider_Input[#Headers]),c_FTR_WD)),""))</f>
        <v/>
      </c>
      <c r="G424" s="153" t="str">
        <f aca="false">IF(Rider_Input[[#This Row],[Rider ID]]="","",IFERROR(IF(INDEX(FTR_Data,ROW()-ROW(Rider_Input[#Headers]),c_FTR_Orders)="","",INDEX(FTR_Data,ROW()-ROW(Rider_Input[#Headers]),c_FTR_Orders)),""))</f>
        <v/>
      </c>
      <c r="H424" s="155" t="str">
        <f aca="false">IF(Rider_Input[[#This Row],[Rider ID]]="","",IFERROR(ABS(INDEX(RLVL_Data,MATCH(Rider_Input[[#This Row],[Rider ID]],INDEX(RLVL_Data,0,c_RLVL_ID),0),c_RLVL_Missed)),0))</f>
        <v/>
      </c>
      <c r="I424" s="155" t="str">
        <f aca="false">IF(Rider_Input[[#This Row],[Rider ID]]="","",IFERROR(ABS(INDEX(RLVL_Data,MATCH(Rider_Input[[#This Row],[Rider ID]],INDEX(RLVL_Data,0,c_RLVL_ID),0),c_RLVL_Bal)),0))</f>
        <v/>
      </c>
      <c r="J424" s="155" t="str">
        <f aca="false">IF(Rider_Input[[#This Row],[Rider ID]]="","",IFERROR(ABS(INDEX(RLVL_Data,MATCH(Rider_Input[[#This Row],[Rider ID]],INDEX(RLVL_Data,0,c_RLVL_ID),0),c_RLVL_Stack)),0))</f>
        <v/>
      </c>
      <c r="K424" s="155" t="str">
        <f aca="false">IF(Rider_Input[[#This Row],[Rider ID]]="","",SUMIFS(Adj_Input[Other Deductions],Adj_Input[Rider ID],Rider_Input[[#This Row],[Rider ID]]))</f>
        <v/>
      </c>
      <c r="L424" s="154" t="str">
        <f aca="false">IF(Rider_Input[[#This Row],[Rider ID]]="","",IFERROR(INDEX(Adj_Input[Note / Reason],MATCH(Rider_Input[[#This Row],[Rider ID]],Adj_Input[Rider ID],0))&amp;"",""))</f>
        <v/>
      </c>
    </row>
    <row r="425" customFormat="false" ht="14.25" hidden="false" customHeight="false" outlineLevel="0" collapsed="false">
      <c r="A425" s="152" t="str">
        <f aca="false">IF(Rider_Input[[#This Row],[Rider ID]]="","",Salary_Month)</f>
        <v/>
      </c>
      <c r="B425" s="153" t="str">
        <f aca="false">IFERROR(IF(INDEX(FTR_Data,ROW()-ROW(Rider_Input[#Headers]),c_FTR_ID)="","",INDEX(FTR_Data,ROW()-ROW(Rider_Input[#Headers]),c_FTR_ID)),"")</f>
        <v/>
      </c>
      <c r="C42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2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25" s="153" t="str">
        <f aca="false">IF(Rider_Input[[#This Row],[Rider ID]]="","",DAY(EOMONTH(Salary_Month,0)))</f>
        <v/>
      </c>
      <c r="F425" s="153" t="str">
        <f aca="false">IF(Rider_Input[[#This Row],[Rider ID]]="","",IFERROR(IF(INDEX(FTR_Data,ROW()-ROW(Rider_Input[#Headers]),c_FTR_WD)="","",INDEX(FTR_Data,ROW()-ROW(Rider_Input[#Headers]),c_FTR_WD)),""))</f>
        <v/>
      </c>
      <c r="G425" s="153" t="str">
        <f aca="false">IF(Rider_Input[[#This Row],[Rider ID]]="","",IFERROR(IF(INDEX(FTR_Data,ROW()-ROW(Rider_Input[#Headers]),c_FTR_Orders)="","",INDEX(FTR_Data,ROW()-ROW(Rider_Input[#Headers]),c_FTR_Orders)),""))</f>
        <v/>
      </c>
      <c r="H425" s="155" t="str">
        <f aca="false">IF(Rider_Input[[#This Row],[Rider ID]]="","",IFERROR(ABS(INDEX(RLVL_Data,MATCH(Rider_Input[[#This Row],[Rider ID]],INDEX(RLVL_Data,0,c_RLVL_ID),0),c_RLVL_Missed)),0))</f>
        <v/>
      </c>
      <c r="I425" s="155" t="str">
        <f aca="false">IF(Rider_Input[[#This Row],[Rider ID]]="","",IFERROR(ABS(INDEX(RLVL_Data,MATCH(Rider_Input[[#This Row],[Rider ID]],INDEX(RLVL_Data,0,c_RLVL_ID),0),c_RLVL_Bal)),0))</f>
        <v/>
      </c>
      <c r="J425" s="155" t="str">
        <f aca="false">IF(Rider_Input[[#This Row],[Rider ID]]="","",IFERROR(ABS(INDEX(RLVL_Data,MATCH(Rider_Input[[#This Row],[Rider ID]],INDEX(RLVL_Data,0,c_RLVL_ID),0),c_RLVL_Stack)),0))</f>
        <v/>
      </c>
      <c r="K425" s="155" t="str">
        <f aca="false">IF(Rider_Input[[#This Row],[Rider ID]]="","",SUMIFS(Adj_Input[Other Deductions],Adj_Input[Rider ID],Rider_Input[[#This Row],[Rider ID]]))</f>
        <v/>
      </c>
      <c r="L425" s="154" t="str">
        <f aca="false">IF(Rider_Input[[#This Row],[Rider ID]]="","",IFERROR(INDEX(Adj_Input[Note / Reason],MATCH(Rider_Input[[#This Row],[Rider ID]],Adj_Input[Rider ID],0))&amp;"",""))</f>
        <v/>
      </c>
    </row>
    <row r="426" customFormat="false" ht="14.25" hidden="false" customHeight="false" outlineLevel="0" collapsed="false">
      <c r="A426" s="152" t="str">
        <f aca="false">IF(Rider_Input[[#This Row],[Rider ID]]="","",Salary_Month)</f>
        <v/>
      </c>
      <c r="B426" s="153" t="str">
        <f aca="false">IFERROR(IF(INDEX(FTR_Data,ROW()-ROW(Rider_Input[#Headers]),c_FTR_ID)="","",INDEX(FTR_Data,ROW()-ROW(Rider_Input[#Headers]),c_FTR_ID)),"")</f>
        <v/>
      </c>
      <c r="C42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2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26" s="153" t="str">
        <f aca="false">IF(Rider_Input[[#This Row],[Rider ID]]="","",DAY(EOMONTH(Salary_Month,0)))</f>
        <v/>
      </c>
      <c r="F426" s="153" t="str">
        <f aca="false">IF(Rider_Input[[#This Row],[Rider ID]]="","",IFERROR(IF(INDEX(FTR_Data,ROW()-ROW(Rider_Input[#Headers]),c_FTR_WD)="","",INDEX(FTR_Data,ROW()-ROW(Rider_Input[#Headers]),c_FTR_WD)),""))</f>
        <v/>
      </c>
      <c r="G426" s="153" t="str">
        <f aca="false">IF(Rider_Input[[#This Row],[Rider ID]]="","",IFERROR(IF(INDEX(FTR_Data,ROW()-ROW(Rider_Input[#Headers]),c_FTR_Orders)="","",INDEX(FTR_Data,ROW()-ROW(Rider_Input[#Headers]),c_FTR_Orders)),""))</f>
        <v/>
      </c>
      <c r="H426" s="155" t="str">
        <f aca="false">IF(Rider_Input[[#This Row],[Rider ID]]="","",IFERROR(ABS(INDEX(RLVL_Data,MATCH(Rider_Input[[#This Row],[Rider ID]],INDEX(RLVL_Data,0,c_RLVL_ID),0),c_RLVL_Missed)),0))</f>
        <v/>
      </c>
      <c r="I426" s="155" t="str">
        <f aca="false">IF(Rider_Input[[#This Row],[Rider ID]]="","",IFERROR(ABS(INDEX(RLVL_Data,MATCH(Rider_Input[[#This Row],[Rider ID]],INDEX(RLVL_Data,0,c_RLVL_ID),0),c_RLVL_Bal)),0))</f>
        <v/>
      </c>
      <c r="J426" s="155" t="str">
        <f aca="false">IF(Rider_Input[[#This Row],[Rider ID]]="","",IFERROR(ABS(INDEX(RLVL_Data,MATCH(Rider_Input[[#This Row],[Rider ID]],INDEX(RLVL_Data,0,c_RLVL_ID),0),c_RLVL_Stack)),0))</f>
        <v/>
      </c>
      <c r="K426" s="155" t="str">
        <f aca="false">IF(Rider_Input[[#This Row],[Rider ID]]="","",SUMIFS(Adj_Input[Other Deductions],Adj_Input[Rider ID],Rider_Input[[#This Row],[Rider ID]]))</f>
        <v/>
      </c>
      <c r="L426" s="154" t="str">
        <f aca="false">IF(Rider_Input[[#This Row],[Rider ID]]="","",IFERROR(INDEX(Adj_Input[Note / Reason],MATCH(Rider_Input[[#This Row],[Rider ID]],Adj_Input[Rider ID],0))&amp;"",""))</f>
        <v/>
      </c>
    </row>
    <row r="427" customFormat="false" ht="14.25" hidden="false" customHeight="false" outlineLevel="0" collapsed="false">
      <c r="A427" s="152" t="str">
        <f aca="false">IF(Rider_Input[[#This Row],[Rider ID]]="","",Salary_Month)</f>
        <v/>
      </c>
      <c r="B427" s="153" t="str">
        <f aca="false">IFERROR(IF(INDEX(FTR_Data,ROW()-ROW(Rider_Input[#Headers]),c_FTR_ID)="","",INDEX(FTR_Data,ROW()-ROW(Rider_Input[#Headers]),c_FTR_ID)),"")</f>
        <v/>
      </c>
      <c r="C42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2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27" s="153" t="str">
        <f aca="false">IF(Rider_Input[[#This Row],[Rider ID]]="","",DAY(EOMONTH(Salary_Month,0)))</f>
        <v/>
      </c>
      <c r="F427" s="153" t="str">
        <f aca="false">IF(Rider_Input[[#This Row],[Rider ID]]="","",IFERROR(IF(INDEX(FTR_Data,ROW()-ROW(Rider_Input[#Headers]),c_FTR_WD)="","",INDEX(FTR_Data,ROW()-ROW(Rider_Input[#Headers]),c_FTR_WD)),""))</f>
        <v/>
      </c>
      <c r="G427" s="153" t="str">
        <f aca="false">IF(Rider_Input[[#This Row],[Rider ID]]="","",IFERROR(IF(INDEX(FTR_Data,ROW()-ROW(Rider_Input[#Headers]),c_FTR_Orders)="","",INDEX(FTR_Data,ROW()-ROW(Rider_Input[#Headers]),c_FTR_Orders)),""))</f>
        <v/>
      </c>
      <c r="H427" s="155" t="str">
        <f aca="false">IF(Rider_Input[[#This Row],[Rider ID]]="","",IFERROR(ABS(INDEX(RLVL_Data,MATCH(Rider_Input[[#This Row],[Rider ID]],INDEX(RLVL_Data,0,c_RLVL_ID),0),c_RLVL_Missed)),0))</f>
        <v/>
      </c>
      <c r="I427" s="155" t="str">
        <f aca="false">IF(Rider_Input[[#This Row],[Rider ID]]="","",IFERROR(ABS(INDEX(RLVL_Data,MATCH(Rider_Input[[#This Row],[Rider ID]],INDEX(RLVL_Data,0,c_RLVL_ID),0),c_RLVL_Bal)),0))</f>
        <v/>
      </c>
      <c r="J427" s="155" t="str">
        <f aca="false">IF(Rider_Input[[#This Row],[Rider ID]]="","",IFERROR(ABS(INDEX(RLVL_Data,MATCH(Rider_Input[[#This Row],[Rider ID]],INDEX(RLVL_Data,0,c_RLVL_ID),0),c_RLVL_Stack)),0))</f>
        <v/>
      </c>
      <c r="K427" s="155" t="str">
        <f aca="false">IF(Rider_Input[[#This Row],[Rider ID]]="","",SUMIFS(Adj_Input[Other Deductions],Adj_Input[Rider ID],Rider_Input[[#This Row],[Rider ID]]))</f>
        <v/>
      </c>
      <c r="L427" s="154" t="str">
        <f aca="false">IF(Rider_Input[[#This Row],[Rider ID]]="","",IFERROR(INDEX(Adj_Input[Note / Reason],MATCH(Rider_Input[[#This Row],[Rider ID]],Adj_Input[Rider ID],0))&amp;"",""))</f>
        <v/>
      </c>
    </row>
    <row r="428" customFormat="false" ht="14.25" hidden="false" customHeight="false" outlineLevel="0" collapsed="false">
      <c r="A428" s="152" t="str">
        <f aca="false">IF(Rider_Input[[#This Row],[Rider ID]]="","",Salary_Month)</f>
        <v/>
      </c>
      <c r="B428" s="153" t="str">
        <f aca="false">IFERROR(IF(INDEX(FTR_Data,ROW()-ROW(Rider_Input[#Headers]),c_FTR_ID)="","",INDEX(FTR_Data,ROW()-ROW(Rider_Input[#Headers]),c_FTR_ID)),"")</f>
        <v/>
      </c>
      <c r="C42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2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28" s="153" t="str">
        <f aca="false">IF(Rider_Input[[#This Row],[Rider ID]]="","",DAY(EOMONTH(Salary_Month,0)))</f>
        <v/>
      </c>
      <c r="F428" s="153" t="str">
        <f aca="false">IF(Rider_Input[[#This Row],[Rider ID]]="","",IFERROR(IF(INDEX(FTR_Data,ROW()-ROW(Rider_Input[#Headers]),c_FTR_WD)="","",INDEX(FTR_Data,ROW()-ROW(Rider_Input[#Headers]),c_FTR_WD)),""))</f>
        <v/>
      </c>
      <c r="G428" s="153" t="str">
        <f aca="false">IF(Rider_Input[[#This Row],[Rider ID]]="","",IFERROR(IF(INDEX(FTR_Data,ROW()-ROW(Rider_Input[#Headers]),c_FTR_Orders)="","",INDEX(FTR_Data,ROW()-ROW(Rider_Input[#Headers]),c_FTR_Orders)),""))</f>
        <v/>
      </c>
      <c r="H428" s="155" t="str">
        <f aca="false">IF(Rider_Input[[#This Row],[Rider ID]]="","",IFERROR(ABS(INDEX(RLVL_Data,MATCH(Rider_Input[[#This Row],[Rider ID]],INDEX(RLVL_Data,0,c_RLVL_ID),0),c_RLVL_Missed)),0))</f>
        <v/>
      </c>
      <c r="I428" s="155" t="str">
        <f aca="false">IF(Rider_Input[[#This Row],[Rider ID]]="","",IFERROR(ABS(INDEX(RLVL_Data,MATCH(Rider_Input[[#This Row],[Rider ID]],INDEX(RLVL_Data,0,c_RLVL_ID),0),c_RLVL_Bal)),0))</f>
        <v/>
      </c>
      <c r="J428" s="155" t="str">
        <f aca="false">IF(Rider_Input[[#This Row],[Rider ID]]="","",IFERROR(ABS(INDEX(RLVL_Data,MATCH(Rider_Input[[#This Row],[Rider ID]],INDEX(RLVL_Data,0,c_RLVL_ID),0),c_RLVL_Stack)),0))</f>
        <v/>
      </c>
      <c r="K428" s="155" t="str">
        <f aca="false">IF(Rider_Input[[#This Row],[Rider ID]]="","",SUMIFS(Adj_Input[Other Deductions],Adj_Input[Rider ID],Rider_Input[[#This Row],[Rider ID]]))</f>
        <v/>
      </c>
      <c r="L428" s="154" t="str">
        <f aca="false">IF(Rider_Input[[#This Row],[Rider ID]]="","",IFERROR(INDEX(Adj_Input[Note / Reason],MATCH(Rider_Input[[#This Row],[Rider ID]],Adj_Input[Rider ID],0))&amp;"",""))</f>
        <v/>
      </c>
    </row>
    <row r="429" customFormat="false" ht="14.25" hidden="false" customHeight="false" outlineLevel="0" collapsed="false">
      <c r="A429" s="152" t="str">
        <f aca="false">IF(Rider_Input[[#This Row],[Rider ID]]="","",Salary_Month)</f>
        <v/>
      </c>
      <c r="B429" s="153" t="str">
        <f aca="false">IFERROR(IF(INDEX(FTR_Data,ROW()-ROW(Rider_Input[#Headers]),c_FTR_ID)="","",INDEX(FTR_Data,ROW()-ROW(Rider_Input[#Headers]),c_FTR_ID)),"")</f>
        <v/>
      </c>
      <c r="C42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2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29" s="153" t="str">
        <f aca="false">IF(Rider_Input[[#This Row],[Rider ID]]="","",DAY(EOMONTH(Salary_Month,0)))</f>
        <v/>
      </c>
      <c r="F429" s="153" t="str">
        <f aca="false">IF(Rider_Input[[#This Row],[Rider ID]]="","",IFERROR(IF(INDEX(FTR_Data,ROW()-ROW(Rider_Input[#Headers]),c_FTR_WD)="","",INDEX(FTR_Data,ROW()-ROW(Rider_Input[#Headers]),c_FTR_WD)),""))</f>
        <v/>
      </c>
      <c r="G429" s="153" t="str">
        <f aca="false">IF(Rider_Input[[#This Row],[Rider ID]]="","",IFERROR(IF(INDEX(FTR_Data,ROW()-ROW(Rider_Input[#Headers]),c_FTR_Orders)="","",INDEX(FTR_Data,ROW()-ROW(Rider_Input[#Headers]),c_FTR_Orders)),""))</f>
        <v/>
      </c>
      <c r="H429" s="155" t="str">
        <f aca="false">IF(Rider_Input[[#This Row],[Rider ID]]="","",IFERROR(ABS(INDEX(RLVL_Data,MATCH(Rider_Input[[#This Row],[Rider ID]],INDEX(RLVL_Data,0,c_RLVL_ID),0),c_RLVL_Missed)),0))</f>
        <v/>
      </c>
      <c r="I429" s="155" t="str">
        <f aca="false">IF(Rider_Input[[#This Row],[Rider ID]]="","",IFERROR(ABS(INDEX(RLVL_Data,MATCH(Rider_Input[[#This Row],[Rider ID]],INDEX(RLVL_Data,0,c_RLVL_ID),0),c_RLVL_Bal)),0))</f>
        <v/>
      </c>
      <c r="J429" s="155" t="str">
        <f aca="false">IF(Rider_Input[[#This Row],[Rider ID]]="","",IFERROR(ABS(INDEX(RLVL_Data,MATCH(Rider_Input[[#This Row],[Rider ID]],INDEX(RLVL_Data,0,c_RLVL_ID),0),c_RLVL_Stack)),0))</f>
        <v/>
      </c>
      <c r="K429" s="155" t="str">
        <f aca="false">IF(Rider_Input[[#This Row],[Rider ID]]="","",SUMIFS(Adj_Input[Other Deductions],Adj_Input[Rider ID],Rider_Input[[#This Row],[Rider ID]]))</f>
        <v/>
      </c>
      <c r="L429" s="154" t="str">
        <f aca="false">IF(Rider_Input[[#This Row],[Rider ID]]="","",IFERROR(INDEX(Adj_Input[Note / Reason],MATCH(Rider_Input[[#This Row],[Rider ID]],Adj_Input[Rider ID],0))&amp;"",""))</f>
        <v/>
      </c>
    </row>
    <row r="430" customFormat="false" ht="14.25" hidden="false" customHeight="false" outlineLevel="0" collapsed="false">
      <c r="A430" s="152" t="str">
        <f aca="false">IF(Rider_Input[[#This Row],[Rider ID]]="","",Salary_Month)</f>
        <v/>
      </c>
      <c r="B430" s="153" t="str">
        <f aca="false">IFERROR(IF(INDEX(FTR_Data,ROW()-ROW(Rider_Input[#Headers]),c_FTR_ID)="","",INDEX(FTR_Data,ROW()-ROW(Rider_Input[#Headers]),c_FTR_ID)),"")</f>
        <v/>
      </c>
      <c r="C43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3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30" s="153" t="str">
        <f aca="false">IF(Rider_Input[[#This Row],[Rider ID]]="","",DAY(EOMONTH(Salary_Month,0)))</f>
        <v/>
      </c>
      <c r="F430" s="153" t="str">
        <f aca="false">IF(Rider_Input[[#This Row],[Rider ID]]="","",IFERROR(IF(INDEX(FTR_Data,ROW()-ROW(Rider_Input[#Headers]),c_FTR_WD)="","",INDEX(FTR_Data,ROW()-ROW(Rider_Input[#Headers]),c_FTR_WD)),""))</f>
        <v/>
      </c>
      <c r="G430" s="153" t="str">
        <f aca="false">IF(Rider_Input[[#This Row],[Rider ID]]="","",IFERROR(IF(INDEX(FTR_Data,ROW()-ROW(Rider_Input[#Headers]),c_FTR_Orders)="","",INDEX(FTR_Data,ROW()-ROW(Rider_Input[#Headers]),c_FTR_Orders)),""))</f>
        <v/>
      </c>
      <c r="H430" s="155" t="str">
        <f aca="false">IF(Rider_Input[[#This Row],[Rider ID]]="","",IFERROR(ABS(INDEX(RLVL_Data,MATCH(Rider_Input[[#This Row],[Rider ID]],INDEX(RLVL_Data,0,c_RLVL_ID),0),c_RLVL_Missed)),0))</f>
        <v/>
      </c>
      <c r="I430" s="155" t="str">
        <f aca="false">IF(Rider_Input[[#This Row],[Rider ID]]="","",IFERROR(ABS(INDEX(RLVL_Data,MATCH(Rider_Input[[#This Row],[Rider ID]],INDEX(RLVL_Data,0,c_RLVL_ID),0),c_RLVL_Bal)),0))</f>
        <v/>
      </c>
      <c r="J430" s="155" t="str">
        <f aca="false">IF(Rider_Input[[#This Row],[Rider ID]]="","",IFERROR(ABS(INDEX(RLVL_Data,MATCH(Rider_Input[[#This Row],[Rider ID]],INDEX(RLVL_Data,0,c_RLVL_ID),0),c_RLVL_Stack)),0))</f>
        <v/>
      </c>
      <c r="K430" s="155" t="str">
        <f aca="false">IF(Rider_Input[[#This Row],[Rider ID]]="","",SUMIFS(Adj_Input[Other Deductions],Adj_Input[Rider ID],Rider_Input[[#This Row],[Rider ID]]))</f>
        <v/>
      </c>
      <c r="L430" s="154" t="str">
        <f aca="false">IF(Rider_Input[[#This Row],[Rider ID]]="","",IFERROR(INDEX(Adj_Input[Note / Reason],MATCH(Rider_Input[[#This Row],[Rider ID]],Adj_Input[Rider ID],0))&amp;"",""))</f>
        <v/>
      </c>
    </row>
    <row r="431" customFormat="false" ht="14.25" hidden="false" customHeight="false" outlineLevel="0" collapsed="false">
      <c r="A431" s="152" t="str">
        <f aca="false">IF(Rider_Input[[#This Row],[Rider ID]]="","",Salary_Month)</f>
        <v/>
      </c>
      <c r="B431" s="153" t="str">
        <f aca="false">IFERROR(IF(INDEX(FTR_Data,ROW()-ROW(Rider_Input[#Headers]),c_FTR_ID)="","",INDEX(FTR_Data,ROW()-ROW(Rider_Input[#Headers]),c_FTR_ID)),"")</f>
        <v/>
      </c>
      <c r="C43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3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31" s="153" t="str">
        <f aca="false">IF(Rider_Input[[#This Row],[Rider ID]]="","",DAY(EOMONTH(Salary_Month,0)))</f>
        <v/>
      </c>
      <c r="F431" s="153" t="str">
        <f aca="false">IF(Rider_Input[[#This Row],[Rider ID]]="","",IFERROR(IF(INDEX(FTR_Data,ROW()-ROW(Rider_Input[#Headers]),c_FTR_WD)="","",INDEX(FTR_Data,ROW()-ROW(Rider_Input[#Headers]),c_FTR_WD)),""))</f>
        <v/>
      </c>
      <c r="G431" s="153" t="str">
        <f aca="false">IF(Rider_Input[[#This Row],[Rider ID]]="","",IFERROR(IF(INDEX(FTR_Data,ROW()-ROW(Rider_Input[#Headers]),c_FTR_Orders)="","",INDEX(FTR_Data,ROW()-ROW(Rider_Input[#Headers]),c_FTR_Orders)),""))</f>
        <v/>
      </c>
      <c r="H431" s="155" t="str">
        <f aca="false">IF(Rider_Input[[#This Row],[Rider ID]]="","",IFERROR(ABS(INDEX(RLVL_Data,MATCH(Rider_Input[[#This Row],[Rider ID]],INDEX(RLVL_Data,0,c_RLVL_ID),0),c_RLVL_Missed)),0))</f>
        <v/>
      </c>
      <c r="I431" s="155" t="str">
        <f aca="false">IF(Rider_Input[[#This Row],[Rider ID]]="","",IFERROR(ABS(INDEX(RLVL_Data,MATCH(Rider_Input[[#This Row],[Rider ID]],INDEX(RLVL_Data,0,c_RLVL_ID),0),c_RLVL_Bal)),0))</f>
        <v/>
      </c>
      <c r="J431" s="155" t="str">
        <f aca="false">IF(Rider_Input[[#This Row],[Rider ID]]="","",IFERROR(ABS(INDEX(RLVL_Data,MATCH(Rider_Input[[#This Row],[Rider ID]],INDEX(RLVL_Data,0,c_RLVL_ID),0),c_RLVL_Stack)),0))</f>
        <v/>
      </c>
      <c r="K431" s="155" t="str">
        <f aca="false">IF(Rider_Input[[#This Row],[Rider ID]]="","",SUMIFS(Adj_Input[Other Deductions],Adj_Input[Rider ID],Rider_Input[[#This Row],[Rider ID]]))</f>
        <v/>
      </c>
      <c r="L431" s="154" t="str">
        <f aca="false">IF(Rider_Input[[#This Row],[Rider ID]]="","",IFERROR(INDEX(Adj_Input[Note / Reason],MATCH(Rider_Input[[#This Row],[Rider ID]],Adj_Input[Rider ID],0))&amp;"",""))</f>
        <v/>
      </c>
    </row>
    <row r="432" customFormat="false" ht="14.25" hidden="false" customHeight="false" outlineLevel="0" collapsed="false">
      <c r="A432" s="152" t="str">
        <f aca="false">IF(Rider_Input[[#This Row],[Rider ID]]="","",Salary_Month)</f>
        <v/>
      </c>
      <c r="B432" s="153" t="str">
        <f aca="false">IFERROR(IF(INDEX(FTR_Data,ROW()-ROW(Rider_Input[#Headers]),c_FTR_ID)="","",INDEX(FTR_Data,ROW()-ROW(Rider_Input[#Headers]),c_FTR_ID)),"")</f>
        <v/>
      </c>
      <c r="C43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3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32" s="153" t="str">
        <f aca="false">IF(Rider_Input[[#This Row],[Rider ID]]="","",DAY(EOMONTH(Salary_Month,0)))</f>
        <v/>
      </c>
      <c r="F432" s="153" t="str">
        <f aca="false">IF(Rider_Input[[#This Row],[Rider ID]]="","",IFERROR(IF(INDEX(FTR_Data,ROW()-ROW(Rider_Input[#Headers]),c_FTR_WD)="","",INDEX(FTR_Data,ROW()-ROW(Rider_Input[#Headers]),c_FTR_WD)),""))</f>
        <v/>
      </c>
      <c r="G432" s="153" t="str">
        <f aca="false">IF(Rider_Input[[#This Row],[Rider ID]]="","",IFERROR(IF(INDEX(FTR_Data,ROW()-ROW(Rider_Input[#Headers]),c_FTR_Orders)="","",INDEX(FTR_Data,ROW()-ROW(Rider_Input[#Headers]),c_FTR_Orders)),""))</f>
        <v/>
      </c>
      <c r="H432" s="155" t="str">
        <f aca="false">IF(Rider_Input[[#This Row],[Rider ID]]="","",IFERROR(ABS(INDEX(RLVL_Data,MATCH(Rider_Input[[#This Row],[Rider ID]],INDEX(RLVL_Data,0,c_RLVL_ID),0),c_RLVL_Missed)),0))</f>
        <v/>
      </c>
      <c r="I432" s="155" t="str">
        <f aca="false">IF(Rider_Input[[#This Row],[Rider ID]]="","",IFERROR(ABS(INDEX(RLVL_Data,MATCH(Rider_Input[[#This Row],[Rider ID]],INDEX(RLVL_Data,0,c_RLVL_ID),0),c_RLVL_Bal)),0))</f>
        <v/>
      </c>
      <c r="J432" s="155" t="str">
        <f aca="false">IF(Rider_Input[[#This Row],[Rider ID]]="","",IFERROR(ABS(INDEX(RLVL_Data,MATCH(Rider_Input[[#This Row],[Rider ID]],INDEX(RLVL_Data,0,c_RLVL_ID),0),c_RLVL_Stack)),0))</f>
        <v/>
      </c>
      <c r="K432" s="155" t="str">
        <f aca="false">IF(Rider_Input[[#This Row],[Rider ID]]="","",SUMIFS(Adj_Input[Other Deductions],Adj_Input[Rider ID],Rider_Input[[#This Row],[Rider ID]]))</f>
        <v/>
      </c>
      <c r="L432" s="154" t="str">
        <f aca="false">IF(Rider_Input[[#This Row],[Rider ID]]="","",IFERROR(INDEX(Adj_Input[Note / Reason],MATCH(Rider_Input[[#This Row],[Rider ID]],Adj_Input[Rider ID],0))&amp;"",""))</f>
        <v/>
      </c>
    </row>
    <row r="433" customFormat="false" ht="14.25" hidden="false" customHeight="false" outlineLevel="0" collapsed="false">
      <c r="A433" s="152" t="str">
        <f aca="false">IF(Rider_Input[[#This Row],[Rider ID]]="","",Salary_Month)</f>
        <v/>
      </c>
      <c r="B433" s="153" t="str">
        <f aca="false">IFERROR(IF(INDEX(FTR_Data,ROW()-ROW(Rider_Input[#Headers]),c_FTR_ID)="","",INDEX(FTR_Data,ROW()-ROW(Rider_Input[#Headers]),c_FTR_ID)),"")</f>
        <v/>
      </c>
      <c r="C43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3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33" s="153" t="str">
        <f aca="false">IF(Rider_Input[[#This Row],[Rider ID]]="","",DAY(EOMONTH(Salary_Month,0)))</f>
        <v/>
      </c>
      <c r="F433" s="153" t="str">
        <f aca="false">IF(Rider_Input[[#This Row],[Rider ID]]="","",IFERROR(IF(INDEX(FTR_Data,ROW()-ROW(Rider_Input[#Headers]),c_FTR_WD)="","",INDEX(FTR_Data,ROW()-ROW(Rider_Input[#Headers]),c_FTR_WD)),""))</f>
        <v/>
      </c>
      <c r="G433" s="153" t="str">
        <f aca="false">IF(Rider_Input[[#This Row],[Rider ID]]="","",IFERROR(IF(INDEX(FTR_Data,ROW()-ROW(Rider_Input[#Headers]),c_FTR_Orders)="","",INDEX(FTR_Data,ROW()-ROW(Rider_Input[#Headers]),c_FTR_Orders)),""))</f>
        <v/>
      </c>
      <c r="H433" s="155" t="str">
        <f aca="false">IF(Rider_Input[[#This Row],[Rider ID]]="","",IFERROR(ABS(INDEX(RLVL_Data,MATCH(Rider_Input[[#This Row],[Rider ID]],INDEX(RLVL_Data,0,c_RLVL_ID),0),c_RLVL_Missed)),0))</f>
        <v/>
      </c>
      <c r="I433" s="155" t="str">
        <f aca="false">IF(Rider_Input[[#This Row],[Rider ID]]="","",IFERROR(ABS(INDEX(RLVL_Data,MATCH(Rider_Input[[#This Row],[Rider ID]],INDEX(RLVL_Data,0,c_RLVL_ID),0),c_RLVL_Bal)),0))</f>
        <v/>
      </c>
      <c r="J433" s="155" t="str">
        <f aca="false">IF(Rider_Input[[#This Row],[Rider ID]]="","",IFERROR(ABS(INDEX(RLVL_Data,MATCH(Rider_Input[[#This Row],[Rider ID]],INDEX(RLVL_Data,0,c_RLVL_ID),0),c_RLVL_Stack)),0))</f>
        <v/>
      </c>
      <c r="K433" s="155" t="str">
        <f aca="false">IF(Rider_Input[[#This Row],[Rider ID]]="","",SUMIFS(Adj_Input[Other Deductions],Adj_Input[Rider ID],Rider_Input[[#This Row],[Rider ID]]))</f>
        <v/>
      </c>
      <c r="L433" s="154" t="str">
        <f aca="false">IF(Rider_Input[[#This Row],[Rider ID]]="","",IFERROR(INDEX(Adj_Input[Note / Reason],MATCH(Rider_Input[[#This Row],[Rider ID]],Adj_Input[Rider ID],0))&amp;"",""))</f>
        <v/>
      </c>
    </row>
    <row r="434" customFormat="false" ht="14.25" hidden="false" customHeight="false" outlineLevel="0" collapsed="false">
      <c r="A434" s="152" t="str">
        <f aca="false">IF(Rider_Input[[#This Row],[Rider ID]]="","",Salary_Month)</f>
        <v/>
      </c>
      <c r="B434" s="153" t="str">
        <f aca="false">IFERROR(IF(INDEX(FTR_Data,ROW()-ROW(Rider_Input[#Headers]),c_FTR_ID)="","",INDEX(FTR_Data,ROW()-ROW(Rider_Input[#Headers]),c_FTR_ID)),"")</f>
        <v/>
      </c>
      <c r="C43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3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34" s="153" t="str">
        <f aca="false">IF(Rider_Input[[#This Row],[Rider ID]]="","",DAY(EOMONTH(Salary_Month,0)))</f>
        <v/>
      </c>
      <c r="F434" s="153" t="str">
        <f aca="false">IF(Rider_Input[[#This Row],[Rider ID]]="","",IFERROR(IF(INDEX(FTR_Data,ROW()-ROW(Rider_Input[#Headers]),c_FTR_WD)="","",INDEX(FTR_Data,ROW()-ROW(Rider_Input[#Headers]),c_FTR_WD)),""))</f>
        <v/>
      </c>
      <c r="G434" s="153" t="str">
        <f aca="false">IF(Rider_Input[[#This Row],[Rider ID]]="","",IFERROR(IF(INDEX(FTR_Data,ROW()-ROW(Rider_Input[#Headers]),c_FTR_Orders)="","",INDEX(FTR_Data,ROW()-ROW(Rider_Input[#Headers]),c_FTR_Orders)),""))</f>
        <v/>
      </c>
      <c r="H434" s="155" t="str">
        <f aca="false">IF(Rider_Input[[#This Row],[Rider ID]]="","",IFERROR(ABS(INDEX(RLVL_Data,MATCH(Rider_Input[[#This Row],[Rider ID]],INDEX(RLVL_Data,0,c_RLVL_ID),0),c_RLVL_Missed)),0))</f>
        <v/>
      </c>
      <c r="I434" s="155" t="str">
        <f aca="false">IF(Rider_Input[[#This Row],[Rider ID]]="","",IFERROR(ABS(INDEX(RLVL_Data,MATCH(Rider_Input[[#This Row],[Rider ID]],INDEX(RLVL_Data,0,c_RLVL_ID),0),c_RLVL_Bal)),0))</f>
        <v/>
      </c>
      <c r="J434" s="155" t="str">
        <f aca="false">IF(Rider_Input[[#This Row],[Rider ID]]="","",IFERROR(ABS(INDEX(RLVL_Data,MATCH(Rider_Input[[#This Row],[Rider ID]],INDEX(RLVL_Data,0,c_RLVL_ID),0),c_RLVL_Stack)),0))</f>
        <v/>
      </c>
      <c r="K434" s="155" t="str">
        <f aca="false">IF(Rider_Input[[#This Row],[Rider ID]]="","",SUMIFS(Adj_Input[Other Deductions],Adj_Input[Rider ID],Rider_Input[[#This Row],[Rider ID]]))</f>
        <v/>
      </c>
      <c r="L434" s="154" t="str">
        <f aca="false">IF(Rider_Input[[#This Row],[Rider ID]]="","",IFERROR(INDEX(Adj_Input[Note / Reason],MATCH(Rider_Input[[#This Row],[Rider ID]],Adj_Input[Rider ID],0))&amp;"",""))</f>
        <v/>
      </c>
    </row>
    <row r="435" customFormat="false" ht="14.25" hidden="false" customHeight="false" outlineLevel="0" collapsed="false">
      <c r="A435" s="152" t="str">
        <f aca="false">IF(Rider_Input[[#This Row],[Rider ID]]="","",Salary_Month)</f>
        <v/>
      </c>
      <c r="B435" s="153" t="str">
        <f aca="false">IFERROR(IF(INDEX(FTR_Data,ROW()-ROW(Rider_Input[#Headers]),c_FTR_ID)="","",INDEX(FTR_Data,ROW()-ROW(Rider_Input[#Headers]),c_FTR_ID)),"")</f>
        <v/>
      </c>
      <c r="C43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3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35" s="153" t="str">
        <f aca="false">IF(Rider_Input[[#This Row],[Rider ID]]="","",DAY(EOMONTH(Salary_Month,0)))</f>
        <v/>
      </c>
      <c r="F435" s="153" t="str">
        <f aca="false">IF(Rider_Input[[#This Row],[Rider ID]]="","",IFERROR(IF(INDEX(FTR_Data,ROW()-ROW(Rider_Input[#Headers]),c_FTR_WD)="","",INDEX(FTR_Data,ROW()-ROW(Rider_Input[#Headers]),c_FTR_WD)),""))</f>
        <v/>
      </c>
      <c r="G435" s="153" t="str">
        <f aca="false">IF(Rider_Input[[#This Row],[Rider ID]]="","",IFERROR(IF(INDEX(FTR_Data,ROW()-ROW(Rider_Input[#Headers]),c_FTR_Orders)="","",INDEX(FTR_Data,ROW()-ROW(Rider_Input[#Headers]),c_FTR_Orders)),""))</f>
        <v/>
      </c>
      <c r="H435" s="155" t="str">
        <f aca="false">IF(Rider_Input[[#This Row],[Rider ID]]="","",IFERROR(ABS(INDEX(RLVL_Data,MATCH(Rider_Input[[#This Row],[Rider ID]],INDEX(RLVL_Data,0,c_RLVL_ID),0),c_RLVL_Missed)),0))</f>
        <v/>
      </c>
      <c r="I435" s="155" t="str">
        <f aca="false">IF(Rider_Input[[#This Row],[Rider ID]]="","",IFERROR(ABS(INDEX(RLVL_Data,MATCH(Rider_Input[[#This Row],[Rider ID]],INDEX(RLVL_Data,0,c_RLVL_ID),0),c_RLVL_Bal)),0))</f>
        <v/>
      </c>
      <c r="J435" s="155" t="str">
        <f aca="false">IF(Rider_Input[[#This Row],[Rider ID]]="","",IFERROR(ABS(INDEX(RLVL_Data,MATCH(Rider_Input[[#This Row],[Rider ID]],INDEX(RLVL_Data,0,c_RLVL_ID),0),c_RLVL_Stack)),0))</f>
        <v/>
      </c>
      <c r="K435" s="155" t="str">
        <f aca="false">IF(Rider_Input[[#This Row],[Rider ID]]="","",SUMIFS(Adj_Input[Other Deductions],Adj_Input[Rider ID],Rider_Input[[#This Row],[Rider ID]]))</f>
        <v/>
      </c>
      <c r="L435" s="154" t="str">
        <f aca="false">IF(Rider_Input[[#This Row],[Rider ID]]="","",IFERROR(INDEX(Adj_Input[Note / Reason],MATCH(Rider_Input[[#This Row],[Rider ID]],Adj_Input[Rider ID],0))&amp;"",""))</f>
        <v/>
      </c>
    </row>
    <row r="436" customFormat="false" ht="14.25" hidden="false" customHeight="false" outlineLevel="0" collapsed="false">
      <c r="A436" s="152" t="str">
        <f aca="false">IF(Rider_Input[[#This Row],[Rider ID]]="","",Salary_Month)</f>
        <v/>
      </c>
      <c r="B436" s="153" t="str">
        <f aca="false">IFERROR(IF(INDEX(FTR_Data,ROW()-ROW(Rider_Input[#Headers]),c_FTR_ID)="","",INDEX(FTR_Data,ROW()-ROW(Rider_Input[#Headers]),c_FTR_ID)),"")</f>
        <v/>
      </c>
      <c r="C43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3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36" s="153" t="str">
        <f aca="false">IF(Rider_Input[[#This Row],[Rider ID]]="","",DAY(EOMONTH(Salary_Month,0)))</f>
        <v/>
      </c>
      <c r="F436" s="153" t="str">
        <f aca="false">IF(Rider_Input[[#This Row],[Rider ID]]="","",IFERROR(IF(INDEX(FTR_Data,ROW()-ROW(Rider_Input[#Headers]),c_FTR_WD)="","",INDEX(FTR_Data,ROW()-ROW(Rider_Input[#Headers]),c_FTR_WD)),""))</f>
        <v/>
      </c>
      <c r="G436" s="153" t="str">
        <f aca="false">IF(Rider_Input[[#This Row],[Rider ID]]="","",IFERROR(IF(INDEX(FTR_Data,ROW()-ROW(Rider_Input[#Headers]),c_FTR_Orders)="","",INDEX(FTR_Data,ROW()-ROW(Rider_Input[#Headers]),c_FTR_Orders)),""))</f>
        <v/>
      </c>
      <c r="H436" s="155" t="str">
        <f aca="false">IF(Rider_Input[[#This Row],[Rider ID]]="","",IFERROR(ABS(INDEX(RLVL_Data,MATCH(Rider_Input[[#This Row],[Rider ID]],INDEX(RLVL_Data,0,c_RLVL_ID),0),c_RLVL_Missed)),0))</f>
        <v/>
      </c>
      <c r="I436" s="155" t="str">
        <f aca="false">IF(Rider_Input[[#This Row],[Rider ID]]="","",IFERROR(ABS(INDEX(RLVL_Data,MATCH(Rider_Input[[#This Row],[Rider ID]],INDEX(RLVL_Data,0,c_RLVL_ID),0),c_RLVL_Bal)),0))</f>
        <v/>
      </c>
      <c r="J436" s="155" t="str">
        <f aca="false">IF(Rider_Input[[#This Row],[Rider ID]]="","",IFERROR(ABS(INDEX(RLVL_Data,MATCH(Rider_Input[[#This Row],[Rider ID]],INDEX(RLVL_Data,0,c_RLVL_ID),0),c_RLVL_Stack)),0))</f>
        <v/>
      </c>
      <c r="K436" s="155" t="str">
        <f aca="false">IF(Rider_Input[[#This Row],[Rider ID]]="","",SUMIFS(Adj_Input[Other Deductions],Adj_Input[Rider ID],Rider_Input[[#This Row],[Rider ID]]))</f>
        <v/>
      </c>
      <c r="L436" s="154" t="str">
        <f aca="false">IF(Rider_Input[[#This Row],[Rider ID]]="","",IFERROR(INDEX(Adj_Input[Note / Reason],MATCH(Rider_Input[[#This Row],[Rider ID]],Adj_Input[Rider ID],0))&amp;"",""))</f>
        <v/>
      </c>
    </row>
    <row r="437" customFormat="false" ht="14.25" hidden="false" customHeight="false" outlineLevel="0" collapsed="false">
      <c r="A437" s="152" t="str">
        <f aca="false">IF(Rider_Input[[#This Row],[Rider ID]]="","",Salary_Month)</f>
        <v/>
      </c>
      <c r="B437" s="153" t="str">
        <f aca="false">IFERROR(IF(INDEX(FTR_Data,ROW()-ROW(Rider_Input[#Headers]),c_FTR_ID)="","",INDEX(FTR_Data,ROW()-ROW(Rider_Input[#Headers]),c_FTR_ID)),"")</f>
        <v/>
      </c>
      <c r="C43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3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37" s="153" t="str">
        <f aca="false">IF(Rider_Input[[#This Row],[Rider ID]]="","",DAY(EOMONTH(Salary_Month,0)))</f>
        <v/>
      </c>
      <c r="F437" s="153" t="str">
        <f aca="false">IF(Rider_Input[[#This Row],[Rider ID]]="","",IFERROR(IF(INDEX(FTR_Data,ROW()-ROW(Rider_Input[#Headers]),c_FTR_WD)="","",INDEX(FTR_Data,ROW()-ROW(Rider_Input[#Headers]),c_FTR_WD)),""))</f>
        <v/>
      </c>
      <c r="G437" s="153" t="str">
        <f aca="false">IF(Rider_Input[[#This Row],[Rider ID]]="","",IFERROR(IF(INDEX(FTR_Data,ROW()-ROW(Rider_Input[#Headers]),c_FTR_Orders)="","",INDEX(FTR_Data,ROW()-ROW(Rider_Input[#Headers]),c_FTR_Orders)),""))</f>
        <v/>
      </c>
      <c r="H437" s="155" t="str">
        <f aca="false">IF(Rider_Input[[#This Row],[Rider ID]]="","",IFERROR(ABS(INDEX(RLVL_Data,MATCH(Rider_Input[[#This Row],[Rider ID]],INDEX(RLVL_Data,0,c_RLVL_ID),0),c_RLVL_Missed)),0))</f>
        <v/>
      </c>
      <c r="I437" s="155" t="str">
        <f aca="false">IF(Rider_Input[[#This Row],[Rider ID]]="","",IFERROR(ABS(INDEX(RLVL_Data,MATCH(Rider_Input[[#This Row],[Rider ID]],INDEX(RLVL_Data,0,c_RLVL_ID),0),c_RLVL_Bal)),0))</f>
        <v/>
      </c>
      <c r="J437" s="155" t="str">
        <f aca="false">IF(Rider_Input[[#This Row],[Rider ID]]="","",IFERROR(ABS(INDEX(RLVL_Data,MATCH(Rider_Input[[#This Row],[Rider ID]],INDEX(RLVL_Data,0,c_RLVL_ID),0),c_RLVL_Stack)),0))</f>
        <v/>
      </c>
      <c r="K437" s="155" t="str">
        <f aca="false">IF(Rider_Input[[#This Row],[Rider ID]]="","",SUMIFS(Adj_Input[Other Deductions],Adj_Input[Rider ID],Rider_Input[[#This Row],[Rider ID]]))</f>
        <v/>
      </c>
      <c r="L437" s="154" t="str">
        <f aca="false">IF(Rider_Input[[#This Row],[Rider ID]]="","",IFERROR(INDEX(Adj_Input[Note / Reason],MATCH(Rider_Input[[#This Row],[Rider ID]],Adj_Input[Rider ID],0))&amp;"",""))</f>
        <v/>
      </c>
    </row>
    <row r="438" customFormat="false" ht="14.25" hidden="false" customHeight="false" outlineLevel="0" collapsed="false">
      <c r="A438" s="152" t="str">
        <f aca="false">IF(Rider_Input[[#This Row],[Rider ID]]="","",Salary_Month)</f>
        <v/>
      </c>
      <c r="B438" s="153" t="str">
        <f aca="false">IFERROR(IF(INDEX(FTR_Data,ROW()-ROW(Rider_Input[#Headers]),c_FTR_ID)="","",INDEX(FTR_Data,ROW()-ROW(Rider_Input[#Headers]),c_FTR_ID)),"")</f>
        <v/>
      </c>
      <c r="C43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3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38" s="153" t="str">
        <f aca="false">IF(Rider_Input[[#This Row],[Rider ID]]="","",DAY(EOMONTH(Salary_Month,0)))</f>
        <v/>
      </c>
      <c r="F438" s="153" t="str">
        <f aca="false">IF(Rider_Input[[#This Row],[Rider ID]]="","",IFERROR(IF(INDEX(FTR_Data,ROW()-ROW(Rider_Input[#Headers]),c_FTR_WD)="","",INDEX(FTR_Data,ROW()-ROW(Rider_Input[#Headers]),c_FTR_WD)),""))</f>
        <v/>
      </c>
      <c r="G438" s="153" t="str">
        <f aca="false">IF(Rider_Input[[#This Row],[Rider ID]]="","",IFERROR(IF(INDEX(FTR_Data,ROW()-ROW(Rider_Input[#Headers]),c_FTR_Orders)="","",INDEX(FTR_Data,ROW()-ROW(Rider_Input[#Headers]),c_FTR_Orders)),""))</f>
        <v/>
      </c>
      <c r="H438" s="155" t="str">
        <f aca="false">IF(Rider_Input[[#This Row],[Rider ID]]="","",IFERROR(ABS(INDEX(RLVL_Data,MATCH(Rider_Input[[#This Row],[Rider ID]],INDEX(RLVL_Data,0,c_RLVL_ID),0),c_RLVL_Missed)),0))</f>
        <v/>
      </c>
      <c r="I438" s="155" t="str">
        <f aca="false">IF(Rider_Input[[#This Row],[Rider ID]]="","",IFERROR(ABS(INDEX(RLVL_Data,MATCH(Rider_Input[[#This Row],[Rider ID]],INDEX(RLVL_Data,0,c_RLVL_ID),0),c_RLVL_Bal)),0))</f>
        <v/>
      </c>
      <c r="J438" s="155" t="str">
        <f aca="false">IF(Rider_Input[[#This Row],[Rider ID]]="","",IFERROR(ABS(INDEX(RLVL_Data,MATCH(Rider_Input[[#This Row],[Rider ID]],INDEX(RLVL_Data,0,c_RLVL_ID),0),c_RLVL_Stack)),0))</f>
        <v/>
      </c>
      <c r="K438" s="155" t="str">
        <f aca="false">IF(Rider_Input[[#This Row],[Rider ID]]="","",SUMIFS(Adj_Input[Other Deductions],Adj_Input[Rider ID],Rider_Input[[#This Row],[Rider ID]]))</f>
        <v/>
      </c>
      <c r="L438" s="154" t="str">
        <f aca="false">IF(Rider_Input[[#This Row],[Rider ID]]="","",IFERROR(INDEX(Adj_Input[Note / Reason],MATCH(Rider_Input[[#This Row],[Rider ID]],Adj_Input[Rider ID],0))&amp;"",""))</f>
        <v/>
      </c>
    </row>
    <row r="439" customFormat="false" ht="14.25" hidden="false" customHeight="false" outlineLevel="0" collapsed="false">
      <c r="A439" s="152" t="str">
        <f aca="false">IF(Rider_Input[[#This Row],[Rider ID]]="","",Salary_Month)</f>
        <v/>
      </c>
      <c r="B439" s="153" t="str">
        <f aca="false">IFERROR(IF(INDEX(FTR_Data,ROW()-ROW(Rider_Input[#Headers]),c_FTR_ID)="","",INDEX(FTR_Data,ROW()-ROW(Rider_Input[#Headers]),c_FTR_ID)),"")</f>
        <v/>
      </c>
      <c r="C43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3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39" s="153" t="str">
        <f aca="false">IF(Rider_Input[[#This Row],[Rider ID]]="","",DAY(EOMONTH(Salary_Month,0)))</f>
        <v/>
      </c>
      <c r="F439" s="153" t="str">
        <f aca="false">IF(Rider_Input[[#This Row],[Rider ID]]="","",IFERROR(IF(INDEX(FTR_Data,ROW()-ROW(Rider_Input[#Headers]),c_FTR_WD)="","",INDEX(FTR_Data,ROW()-ROW(Rider_Input[#Headers]),c_FTR_WD)),""))</f>
        <v/>
      </c>
      <c r="G439" s="153" t="str">
        <f aca="false">IF(Rider_Input[[#This Row],[Rider ID]]="","",IFERROR(IF(INDEX(FTR_Data,ROW()-ROW(Rider_Input[#Headers]),c_FTR_Orders)="","",INDEX(FTR_Data,ROW()-ROW(Rider_Input[#Headers]),c_FTR_Orders)),""))</f>
        <v/>
      </c>
      <c r="H439" s="155" t="str">
        <f aca="false">IF(Rider_Input[[#This Row],[Rider ID]]="","",IFERROR(ABS(INDEX(RLVL_Data,MATCH(Rider_Input[[#This Row],[Rider ID]],INDEX(RLVL_Data,0,c_RLVL_ID),0),c_RLVL_Missed)),0))</f>
        <v/>
      </c>
      <c r="I439" s="155" t="str">
        <f aca="false">IF(Rider_Input[[#This Row],[Rider ID]]="","",IFERROR(ABS(INDEX(RLVL_Data,MATCH(Rider_Input[[#This Row],[Rider ID]],INDEX(RLVL_Data,0,c_RLVL_ID),0),c_RLVL_Bal)),0))</f>
        <v/>
      </c>
      <c r="J439" s="155" t="str">
        <f aca="false">IF(Rider_Input[[#This Row],[Rider ID]]="","",IFERROR(ABS(INDEX(RLVL_Data,MATCH(Rider_Input[[#This Row],[Rider ID]],INDEX(RLVL_Data,0,c_RLVL_ID),0),c_RLVL_Stack)),0))</f>
        <v/>
      </c>
      <c r="K439" s="155" t="str">
        <f aca="false">IF(Rider_Input[[#This Row],[Rider ID]]="","",SUMIFS(Adj_Input[Other Deductions],Adj_Input[Rider ID],Rider_Input[[#This Row],[Rider ID]]))</f>
        <v/>
      </c>
      <c r="L439" s="154" t="str">
        <f aca="false">IF(Rider_Input[[#This Row],[Rider ID]]="","",IFERROR(INDEX(Adj_Input[Note / Reason],MATCH(Rider_Input[[#This Row],[Rider ID]],Adj_Input[Rider ID],0))&amp;"",""))</f>
        <v/>
      </c>
    </row>
    <row r="440" customFormat="false" ht="14.25" hidden="false" customHeight="false" outlineLevel="0" collapsed="false">
      <c r="A440" s="152" t="str">
        <f aca="false">IF(Rider_Input[[#This Row],[Rider ID]]="","",Salary_Month)</f>
        <v/>
      </c>
      <c r="B440" s="153" t="str">
        <f aca="false">IFERROR(IF(INDEX(FTR_Data,ROW()-ROW(Rider_Input[#Headers]),c_FTR_ID)="","",INDEX(FTR_Data,ROW()-ROW(Rider_Input[#Headers]),c_FTR_ID)),"")</f>
        <v/>
      </c>
      <c r="C44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4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40" s="153" t="str">
        <f aca="false">IF(Rider_Input[[#This Row],[Rider ID]]="","",DAY(EOMONTH(Salary_Month,0)))</f>
        <v/>
      </c>
      <c r="F440" s="153" t="str">
        <f aca="false">IF(Rider_Input[[#This Row],[Rider ID]]="","",IFERROR(IF(INDEX(FTR_Data,ROW()-ROW(Rider_Input[#Headers]),c_FTR_WD)="","",INDEX(FTR_Data,ROW()-ROW(Rider_Input[#Headers]),c_FTR_WD)),""))</f>
        <v/>
      </c>
      <c r="G440" s="153" t="str">
        <f aca="false">IF(Rider_Input[[#This Row],[Rider ID]]="","",IFERROR(IF(INDEX(FTR_Data,ROW()-ROW(Rider_Input[#Headers]),c_FTR_Orders)="","",INDEX(FTR_Data,ROW()-ROW(Rider_Input[#Headers]),c_FTR_Orders)),""))</f>
        <v/>
      </c>
      <c r="H440" s="155" t="str">
        <f aca="false">IF(Rider_Input[[#This Row],[Rider ID]]="","",IFERROR(ABS(INDEX(RLVL_Data,MATCH(Rider_Input[[#This Row],[Rider ID]],INDEX(RLVL_Data,0,c_RLVL_ID),0),c_RLVL_Missed)),0))</f>
        <v/>
      </c>
      <c r="I440" s="155" t="str">
        <f aca="false">IF(Rider_Input[[#This Row],[Rider ID]]="","",IFERROR(ABS(INDEX(RLVL_Data,MATCH(Rider_Input[[#This Row],[Rider ID]],INDEX(RLVL_Data,0,c_RLVL_ID),0),c_RLVL_Bal)),0))</f>
        <v/>
      </c>
      <c r="J440" s="155" t="str">
        <f aca="false">IF(Rider_Input[[#This Row],[Rider ID]]="","",IFERROR(ABS(INDEX(RLVL_Data,MATCH(Rider_Input[[#This Row],[Rider ID]],INDEX(RLVL_Data,0,c_RLVL_ID),0),c_RLVL_Stack)),0))</f>
        <v/>
      </c>
      <c r="K440" s="155" t="str">
        <f aca="false">IF(Rider_Input[[#This Row],[Rider ID]]="","",SUMIFS(Adj_Input[Other Deductions],Adj_Input[Rider ID],Rider_Input[[#This Row],[Rider ID]]))</f>
        <v/>
      </c>
      <c r="L440" s="154" t="str">
        <f aca="false">IF(Rider_Input[[#This Row],[Rider ID]]="","",IFERROR(INDEX(Adj_Input[Note / Reason],MATCH(Rider_Input[[#This Row],[Rider ID]],Adj_Input[Rider ID],0))&amp;"",""))</f>
        <v/>
      </c>
    </row>
    <row r="441" customFormat="false" ht="14.25" hidden="false" customHeight="false" outlineLevel="0" collapsed="false">
      <c r="A441" s="152" t="str">
        <f aca="false">IF(Rider_Input[[#This Row],[Rider ID]]="","",Salary_Month)</f>
        <v/>
      </c>
      <c r="B441" s="153" t="str">
        <f aca="false">IFERROR(IF(INDEX(FTR_Data,ROW()-ROW(Rider_Input[#Headers]),c_FTR_ID)="","",INDEX(FTR_Data,ROW()-ROW(Rider_Input[#Headers]),c_FTR_ID)),"")</f>
        <v/>
      </c>
      <c r="C44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4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41" s="153" t="str">
        <f aca="false">IF(Rider_Input[[#This Row],[Rider ID]]="","",DAY(EOMONTH(Salary_Month,0)))</f>
        <v/>
      </c>
      <c r="F441" s="153" t="str">
        <f aca="false">IF(Rider_Input[[#This Row],[Rider ID]]="","",IFERROR(IF(INDEX(FTR_Data,ROW()-ROW(Rider_Input[#Headers]),c_FTR_WD)="","",INDEX(FTR_Data,ROW()-ROW(Rider_Input[#Headers]),c_FTR_WD)),""))</f>
        <v/>
      </c>
      <c r="G441" s="153" t="str">
        <f aca="false">IF(Rider_Input[[#This Row],[Rider ID]]="","",IFERROR(IF(INDEX(FTR_Data,ROW()-ROW(Rider_Input[#Headers]),c_FTR_Orders)="","",INDEX(FTR_Data,ROW()-ROW(Rider_Input[#Headers]),c_FTR_Orders)),""))</f>
        <v/>
      </c>
      <c r="H441" s="155" t="str">
        <f aca="false">IF(Rider_Input[[#This Row],[Rider ID]]="","",IFERROR(ABS(INDEX(RLVL_Data,MATCH(Rider_Input[[#This Row],[Rider ID]],INDEX(RLVL_Data,0,c_RLVL_ID),0),c_RLVL_Missed)),0))</f>
        <v/>
      </c>
      <c r="I441" s="155" t="str">
        <f aca="false">IF(Rider_Input[[#This Row],[Rider ID]]="","",IFERROR(ABS(INDEX(RLVL_Data,MATCH(Rider_Input[[#This Row],[Rider ID]],INDEX(RLVL_Data,0,c_RLVL_ID),0),c_RLVL_Bal)),0))</f>
        <v/>
      </c>
      <c r="J441" s="155" t="str">
        <f aca="false">IF(Rider_Input[[#This Row],[Rider ID]]="","",IFERROR(ABS(INDEX(RLVL_Data,MATCH(Rider_Input[[#This Row],[Rider ID]],INDEX(RLVL_Data,0,c_RLVL_ID),0),c_RLVL_Stack)),0))</f>
        <v/>
      </c>
      <c r="K441" s="155" t="str">
        <f aca="false">IF(Rider_Input[[#This Row],[Rider ID]]="","",SUMIFS(Adj_Input[Other Deductions],Adj_Input[Rider ID],Rider_Input[[#This Row],[Rider ID]]))</f>
        <v/>
      </c>
      <c r="L441" s="154" t="str">
        <f aca="false">IF(Rider_Input[[#This Row],[Rider ID]]="","",IFERROR(INDEX(Adj_Input[Note / Reason],MATCH(Rider_Input[[#This Row],[Rider ID]],Adj_Input[Rider ID],0))&amp;"",""))</f>
        <v/>
      </c>
    </row>
    <row r="442" customFormat="false" ht="14.25" hidden="false" customHeight="false" outlineLevel="0" collapsed="false">
      <c r="A442" s="152" t="str">
        <f aca="false">IF(Rider_Input[[#This Row],[Rider ID]]="","",Salary_Month)</f>
        <v/>
      </c>
      <c r="B442" s="153" t="str">
        <f aca="false">IFERROR(IF(INDEX(FTR_Data,ROW()-ROW(Rider_Input[#Headers]),c_FTR_ID)="","",INDEX(FTR_Data,ROW()-ROW(Rider_Input[#Headers]),c_FTR_ID)),"")</f>
        <v/>
      </c>
      <c r="C44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4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42" s="153" t="str">
        <f aca="false">IF(Rider_Input[[#This Row],[Rider ID]]="","",DAY(EOMONTH(Salary_Month,0)))</f>
        <v/>
      </c>
      <c r="F442" s="153" t="str">
        <f aca="false">IF(Rider_Input[[#This Row],[Rider ID]]="","",IFERROR(IF(INDEX(FTR_Data,ROW()-ROW(Rider_Input[#Headers]),c_FTR_WD)="","",INDEX(FTR_Data,ROW()-ROW(Rider_Input[#Headers]),c_FTR_WD)),""))</f>
        <v/>
      </c>
      <c r="G442" s="153" t="str">
        <f aca="false">IF(Rider_Input[[#This Row],[Rider ID]]="","",IFERROR(IF(INDEX(FTR_Data,ROW()-ROW(Rider_Input[#Headers]),c_FTR_Orders)="","",INDEX(FTR_Data,ROW()-ROW(Rider_Input[#Headers]),c_FTR_Orders)),""))</f>
        <v/>
      </c>
      <c r="H442" s="155" t="str">
        <f aca="false">IF(Rider_Input[[#This Row],[Rider ID]]="","",IFERROR(ABS(INDEX(RLVL_Data,MATCH(Rider_Input[[#This Row],[Rider ID]],INDEX(RLVL_Data,0,c_RLVL_ID),0),c_RLVL_Missed)),0))</f>
        <v/>
      </c>
      <c r="I442" s="155" t="str">
        <f aca="false">IF(Rider_Input[[#This Row],[Rider ID]]="","",IFERROR(ABS(INDEX(RLVL_Data,MATCH(Rider_Input[[#This Row],[Rider ID]],INDEX(RLVL_Data,0,c_RLVL_ID),0),c_RLVL_Bal)),0))</f>
        <v/>
      </c>
      <c r="J442" s="155" t="str">
        <f aca="false">IF(Rider_Input[[#This Row],[Rider ID]]="","",IFERROR(ABS(INDEX(RLVL_Data,MATCH(Rider_Input[[#This Row],[Rider ID]],INDEX(RLVL_Data,0,c_RLVL_ID),0),c_RLVL_Stack)),0))</f>
        <v/>
      </c>
      <c r="K442" s="155" t="str">
        <f aca="false">IF(Rider_Input[[#This Row],[Rider ID]]="","",SUMIFS(Adj_Input[Other Deductions],Adj_Input[Rider ID],Rider_Input[[#This Row],[Rider ID]]))</f>
        <v/>
      </c>
      <c r="L442" s="154" t="str">
        <f aca="false">IF(Rider_Input[[#This Row],[Rider ID]]="","",IFERROR(INDEX(Adj_Input[Note / Reason],MATCH(Rider_Input[[#This Row],[Rider ID]],Adj_Input[Rider ID],0))&amp;"",""))</f>
        <v/>
      </c>
    </row>
    <row r="443" customFormat="false" ht="14.25" hidden="false" customHeight="false" outlineLevel="0" collapsed="false">
      <c r="A443" s="152" t="str">
        <f aca="false">IF(Rider_Input[[#This Row],[Rider ID]]="","",Salary_Month)</f>
        <v/>
      </c>
      <c r="B443" s="153" t="str">
        <f aca="false">IFERROR(IF(INDEX(FTR_Data,ROW()-ROW(Rider_Input[#Headers]),c_FTR_ID)="","",INDEX(FTR_Data,ROW()-ROW(Rider_Input[#Headers]),c_FTR_ID)),"")</f>
        <v/>
      </c>
      <c r="C44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4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43" s="153" t="str">
        <f aca="false">IF(Rider_Input[[#This Row],[Rider ID]]="","",DAY(EOMONTH(Salary_Month,0)))</f>
        <v/>
      </c>
      <c r="F443" s="153" t="str">
        <f aca="false">IF(Rider_Input[[#This Row],[Rider ID]]="","",IFERROR(IF(INDEX(FTR_Data,ROW()-ROW(Rider_Input[#Headers]),c_FTR_WD)="","",INDEX(FTR_Data,ROW()-ROW(Rider_Input[#Headers]),c_FTR_WD)),""))</f>
        <v/>
      </c>
      <c r="G443" s="153" t="str">
        <f aca="false">IF(Rider_Input[[#This Row],[Rider ID]]="","",IFERROR(IF(INDEX(FTR_Data,ROW()-ROW(Rider_Input[#Headers]),c_FTR_Orders)="","",INDEX(FTR_Data,ROW()-ROW(Rider_Input[#Headers]),c_FTR_Orders)),""))</f>
        <v/>
      </c>
      <c r="H443" s="155" t="str">
        <f aca="false">IF(Rider_Input[[#This Row],[Rider ID]]="","",IFERROR(ABS(INDEX(RLVL_Data,MATCH(Rider_Input[[#This Row],[Rider ID]],INDEX(RLVL_Data,0,c_RLVL_ID),0),c_RLVL_Missed)),0))</f>
        <v/>
      </c>
      <c r="I443" s="155" t="str">
        <f aca="false">IF(Rider_Input[[#This Row],[Rider ID]]="","",IFERROR(ABS(INDEX(RLVL_Data,MATCH(Rider_Input[[#This Row],[Rider ID]],INDEX(RLVL_Data,0,c_RLVL_ID),0),c_RLVL_Bal)),0))</f>
        <v/>
      </c>
      <c r="J443" s="155" t="str">
        <f aca="false">IF(Rider_Input[[#This Row],[Rider ID]]="","",IFERROR(ABS(INDEX(RLVL_Data,MATCH(Rider_Input[[#This Row],[Rider ID]],INDEX(RLVL_Data,0,c_RLVL_ID),0),c_RLVL_Stack)),0))</f>
        <v/>
      </c>
      <c r="K443" s="155" t="str">
        <f aca="false">IF(Rider_Input[[#This Row],[Rider ID]]="","",SUMIFS(Adj_Input[Other Deductions],Adj_Input[Rider ID],Rider_Input[[#This Row],[Rider ID]]))</f>
        <v/>
      </c>
      <c r="L443" s="154" t="str">
        <f aca="false">IF(Rider_Input[[#This Row],[Rider ID]]="","",IFERROR(INDEX(Adj_Input[Note / Reason],MATCH(Rider_Input[[#This Row],[Rider ID]],Adj_Input[Rider ID],0))&amp;"",""))</f>
        <v/>
      </c>
    </row>
    <row r="444" customFormat="false" ht="14.25" hidden="false" customHeight="false" outlineLevel="0" collapsed="false">
      <c r="A444" s="152" t="str">
        <f aca="false">IF(Rider_Input[[#This Row],[Rider ID]]="","",Salary_Month)</f>
        <v/>
      </c>
      <c r="B444" s="153" t="str">
        <f aca="false">IFERROR(IF(INDEX(FTR_Data,ROW()-ROW(Rider_Input[#Headers]),c_FTR_ID)="","",INDEX(FTR_Data,ROW()-ROW(Rider_Input[#Headers]),c_FTR_ID)),"")</f>
        <v/>
      </c>
      <c r="C44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4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44" s="153" t="str">
        <f aca="false">IF(Rider_Input[[#This Row],[Rider ID]]="","",DAY(EOMONTH(Salary_Month,0)))</f>
        <v/>
      </c>
      <c r="F444" s="153" t="str">
        <f aca="false">IF(Rider_Input[[#This Row],[Rider ID]]="","",IFERROR(IF(INDEX(FTR_Data,ROW()-ROW(Rider_Input[#Headers]),c_FTR_WD)="","",INDEX(FTR_Data,ROW()-ROW(Rider_Input[#Headers]),c_FTR_WD)),""))</f>
        <v/>
      </c>
      <c r="G444" s="153" t="str">
        <f aca="false">IF(Rider_Input[[#This Row],[Rider ID]]="","",IFERROR(IF(INDEX(FTR_Data,ROW()-ROW(Rider_Input[#Headers]),c_FTR_Orders)="","",INDEX(FTR_Data,ROW()-ROW(Rider_Input[#Headers]),c_FTR_Orders)),""))</f>
        <v/>
      </c>
      <c r="H444" s="155" t="str">
        <f aca="false">IF(Rider_Input[[#This Row],[Rider ID]]="","",IFERROR(ABS(INDEX(RLVL_Data,MATCH(Rider_Input[[#This Row],[Rider ID]],INDEX(RLVL_Data,0,c_RLVL_ID),0),c_RLVL_Missed)),0))</f>
        <v/>
      </c>
      <c r="I444" s="155" t="str">
        <f aca="false">IF(Rider_Input[[#This Row],[Rider ID]]="","",IFERROR(ABS(INDEX(RLVL_Data,MATCH(Rider_Input[[#This Row],[Rider ID]],INDEX(RLVL_Data,0,c_RLVL_ID),0),c_RLVL_Bal)),0))</f>
        <v/>
      </c>
      <c r="J444" s="155" t="str">
        <f aca="false">IF(Rider_Input[[#This Row],[Rider ID]]="","",IFERROR(ABS(INDEX(RLVL_Data,MATCH(Rider_Input[[#This Row],[Rider ID]],INDEX(RLVL_Data,0,c_RLVL_ID),0),c_RLVL_Stack)),0))</f>
        <v/>
      </c>
      <c r="K444" s="155" t="str">
        <f aca="false">IF(Rider_Input[[#This Row],[Rider ID]]="","",SUMIFS(Adj_Input[Other Deductions],Adj_Input[Rider ID],Rider_Input[[#This Row],[Rider ID]]))</f>
        <v/>
      </c>
      <c r="L444" s="154" t="str">
        <f aca="false">IF(Rider_Input[[#This Row],[Rider ID]]="","",IFERROR(INDEX(Adj_Input[Note / Reason],MATCH(Rider_Input[[#This Row],[Rider ID]],Adj_Input[Rider ID],0))&amp;"",""))</f>
        <v/>
      </c>
    </row>
    <row r="445" customFormat="false" ht="14.25" hidden="false" customHeight="false" outlineLevel="0" collapsed="false">
      <c r="A445" s="152" t="str">
        <f aca="false">IF(Rider_Input[[#This Row],[Rider ID]]="","",Salary_Month)</f>
        <v/>
      </c>
      <c r="B445" s="153" t="str">
        <f aca="false">IFERROR(IF(INDEX(FTR_Data,ROW()-ROW(Rider_Input[#Headers]),c_FTR_ID)="","",INDEX(FTR_Data,ROW()-ROW(Rider_Input[#Headers]),c_FTR_ID)),"")</f>
        <v/>
      </c>
      <c r="C44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4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45" s="153" t="str">
        <f aca="false">IF(Rider_Input[[#This Row],[Rider ID]]="","",DAY(EOMONTH(Salary_Month,0)))</f>
        <v/>
      </c>
      <c r="F445" s="153" t="str">
        <f aca="false">IF(Rider_Input[[#This Row],[Rider ID]]="","",IFERROR(IF(INDEX(FTR_Data,ROW()-ROW(Rider_Input[#Headers]),c_FTR_WD)="","",INDEX(FTR_Data,ROW()-ROW(Rider_Input[#Headers]),c_FTR_WD)),""))</f>
        <v/>
      </c>
      <c r="G445" s="153" t="str">
        <f aca="false">IF(Rider_Input[[#This Row],[Rider ID]]="","",IFERROR(IF(INDEX(FTR_Data,ROW()-ROW(Rider_Input[#Headers]),c_FTR_Orders)="","",INDEX(FTR_Data,ROW()-ROW(Rider_Input[#Headers]),c_FTR_Orders)),""))</f>
        <v/>
      </c>
      <c r="H445" s="155" t="str">
        <f aca="false">IF(Rider_Input[[#This Row],[Rider ID]]="","",IFERROR(ABS(INDEX(RLVL_Data,MATCH(Rider_Input[[#This Row],[Rider ID]],INDEX(RLVL_Data,0,c_RLVL_ID),0),c_RLVL_Missed)),0))</f>
        <v/>
      </c>
      <c r="I445" s="155" t="str">
        <f aca="false">IF(Rider_Input[[#This Row],[Rider ID]]="","",IFERROR(ABS(INDEX(RLVL_Data,MATCH(Rider_Input[[#This Row],[Rider ID]],INDEX(RLVL_Data,0,c_RLVL_ID),0),c_RLVL_Bal)),0))</f>
        <v/>
      </c>
      <c r="J445" s="155" t="str">
        <f aca="false">IF(Rider_Input[[#This Row],[Rider ID]]="","",IFERROR(ABS(INDEX(RLVL_Data,MATCH(Rider_Input[[#This Row],[Rider ID]],INDEX(RLVL_Data,0,c_RLVL_ID),0),c_RLVL_Stack)),0))</f>
        <v/>
      </c>
      <c r="K445" s="155" t="str">
        <f aca="false">IF(Rider_Input[[#This Row],[Rider ID]]="","",SUMIFS(Adj_Input[Other Deductions],Adj_Input[Rider ID],Rider_Input[[#This Row],[Rider ID]]))</f>
        <v/>
      </c>
      <c r="L445" s="154" t="str">
        <f aca="false">IF(Rider_Input[[#This Row],[Rider ID]]="","",IFERROR(INDEX(Adj_Input[Note / Reason],MATCH(Rider_Input[[#This Row],[Rider ID]],Adj_Input[Rider ID],0))&amp;"",""))</f>
        <v/>
      </c>
    </row>
    <row r="446" customFormat="false" ht="14.25" hidden="false" customHeight="false" outlineLevel="0" collapsed="false">
      <c r="A446" s="152" t="str">
        <f aca="false">IF(Rider_Input[[#This Row],[Rider ID]]="","",Salary_Month)</f>
        <v/>
      </c>
      <c r="B446" s="153" t="str">
        <f aca="false">IFERROR(IF(INDEX(FTR_Data,ROW()-ROW(Rider_Input[#Headers]),c_FTR_ID)="","",INDEX(FTR_Data,ROW()-ROW(Rider_Input[#Headers]),c_FTR_ID)),"")</f>
        <v/>
      </c>
      <c r="C44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4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46" s="153" t="str">
        <f aca="false">IF(Rider_Input[[#This Row],[Rider ID]]="","",DAY(EOMONTH(Salary_Month,0)))</f>
        <v/>
      </c>
      <c r="F446" s="153" t="str">
        <f aca="false">IF(Rider_Input[[#This Row],[Rider ID]]="","",IFERROR(IF(INDEX(FTR_Data,ROW()-ROW(Rider_Input[#Headers]),c_FTR_WD)="","",INDEX(FTR_Data,ROW()-ROW(Rider_Input[#Headers]),c_FTR_WD)),""))</f>
        <v/>
      </c>
      <c r="G446" s="153" t="str">
        <f aca="false">IF(Rider_Input[[#This Row],[Rider ID]]="","",IFERROR(IF(INDEX(FTR_Data,ROW()-ROW(Rider_Input[#Headers]),c_FTR_Orders)="","",INDEX(FTR_Data,ROW()-ROW(Rider_Input[#Headers]),c_FTR_Orders)),""))</f>
        <v/>
      </c>
      <c r="H446" s="155" t="str">
        <f aca="false">IF(Rider_Input[[#This Row],[Rider ID]]="","",IFERROR(ABS(INDEX(RLVL_Data,MATCH(Rider_Input[[#This Row],[Rider ID]],INDEX(RLVL_Data,0,c_RLVL_ID),0),c_RLVL_Missed)),0))</f>
        <v/>
      </c>
      <c r="I446" s="155" t="str">
        <f aca="false">IF(Rider_Input[[#This Row],[Rider ID]]="","",IFERROR(ABS(INDEX(RLVL_Data,MATCH(Rider_Input[[#This Row],[Rider ID]],INDEX(RLVL_Data,0,c_RLVL_ID),0),c_RLVL_Bal)),0))</f>
        <v/>
      </c>
      <c r="J446" s="155" t="str">
        <f aca="false">IF(Rider_Input[[#This Row],[Rider ID]]="","",IFERROR(ABS(INDEX(RLVL_Data,MATCH(Rider_Input[[#This Row],[Rider ID]],INDEX(RLVL_Data,0,c_RLVL_ID),0),c_RLVL_Stack)),0))</f>
        <v/>
      </c>
      <c r="K446" s="155" t="str">
        <f aca="false">IF(Rider_Input[[#This Row],[Rider ID]]="","",SUMIFS(Adj_Input[Other Deductions],Adj_Input[Rider ID],Rider_Input[[#This Row],[Rider ID]]))</f>
        <v/>
      </c>
      <c r="L446" s="154" t="str">
        <f aca="false">IF(Rider_Input[[#This Row],[Rider ID]]="","",IFERROR(INDEX(Adj_Input[Note / Reason],MATCH(Rider_Input[[#This Row],[Rider ID]],Adj_Input[Rider ID],0))&amp;"",""))</f>
        <v/>
      </c>
    </row>
    <row r="447" customFormat="false" ht="14.25" hidden="false" customHeight="false" outlineLevel="0" collapsed="false">
      <c r="A447" s="152" t="str">
        <f aca="false">IF(Rider_Input[[#This Row],[Rider ID]]="","",Salary_Month)</f>
        <v/>
      </c>
      <c r="B447" s="153" t="str">
        <f aca="false">IFERROR(IF(INDEX(FTR_Data,ROW()-ROW(Rider_Input[#Headers]),c_FTR_ID)="","",INDEX(FTR_Data,ROW()-ROW(Rider_Input[#Headers]),c_FTR_ID)),"")</f>
        <v/>
      </c>
      <c r="C44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4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47" s="153" t="str">
        <f aca="false">IF(Rider_Input[[#This Row],[Rider ID]]="","",DAY(EOMONTH(Salary_Month,0)))</f>
        <v/>
      </c>
      <c r="F447" s="153" t="str">
        <f aca="false">IF(Rider_Input[[#This Row],[Rider ID]]="","",IFERROR(IF(INDEX(FTR_Data,ROW()-ROW(Rider_Input[#Headers]),c_FTR_WD)="","",INDEX(FTR_Data,ROW()-ROW(Rider_Input[#Headers]),c_FTR_WD)),""))</f>
        <v/>
      </c>
      <c r="G447" s="153" t="str">
        <f aca="false">IF(Rider_Input[[#This Row],[Rider ID]]="","",IFERROR(IF(INDEX(FTR_Data,ROW()-ROW(Rider_Input[#Headers]),c_FTR_Orders)="","",INDEX(FTR_Data,ROW()-ROW(Rider_Input[#Headers]),c_FTR_Orders)),""))</f>
        <v/>
      </c>
      <c r="H447" s="155" t="str">
        <f aca="false">IF(Rider_Input[[#This Row],[Rider ID]]="","",IFERROR(ABS(INDEX(RLVL_Data,MATCH(Rider_Input[[#This Row],[Rider ID]],INDEX(RLVL_Data,0,c_RLVL_ID),0),c_RLVL_Missed)),0))</f>
        <v/>
      </c>
      <c r="I447" s="155" t="str">
        <f aca="false">IF(Rider_Input[[#This Row],[Rider ID]]="","",IFERROR(ABS(INDEX(RLVL_Data,MATCH(Rider_Input[[#This Row],[Rider ID]],INDEX(RLVL_Data,0,c_RLVL_ID),0),c_RLVL_Bal)),0))</f>
        <v/>
      </c>
      <c r="J447" s="155" t="str">
        <f aca="false">IF(Rider_Input[[#This Row],[Rider ID]]="","",IFERROR(ABS(INDEX(RLVL_Data,MATCH(Rider_Input[[#This Row],[Rider ID]],INDEX(RLVL_Data,0,c_RLVL_ID),0),c_RLVL_Stack)),0))</f>
        <v/>
      </c>
      <c r="K447" s="155" t="str">
        <f aca="false">IF(Rider_Input[[#This Row],[Rider ID]]="","",SUMIFS(Adj_Input[Other Deductions],Adj_Input[Rider ID],Rider_Input[[#This Row],[Rider ID]]))</f>
        <v/>
      </c>
      <c r="L447" s="154" t="str">
        <f aca="false">IF(Rider_Input[[#This Row],[Rider ID]]="","",IFERROR(INDEX(Adj_Input[Note / Reason],MATCH(Rider_Input[[#This Row],[Rider ID]],Adj_Input[Rider ID],0))&amp;"",""))</f>
        <v/>
      </c>
    </row>
    <row r="448" customFormat="false" ht="14.25" hidden="false" customHeight="false" outlineLevel="0" collapsed="false">
      <c r="A448" s="152" t="str">
        <f aca="false">IF(Rider_Input[[#This Row],[Rider ID]]="","",Salary_Month)</f>
        <v/>
      </c>
      <c r="B448" s="153" t="str">
        <f aca="false">IFERROR(IF(INDEX(FTR_Data,ROW()-ROW(Rider_Input[#Headers]),c_FTR_ID)="","",INDEX(FTR_Data,ROW()-ROW(Rider_Input[#Headers]),c_FTR_ID)),"")</f>
        <v/>
      </c>
      <c r="C44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4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48" s="153" t="str">
        <f aca="false">IF(Rider_Input[[#This Row],[Rider ID]]="","",DAY(EOMONTH(Salary_Month,0)))</f>
        <v/>
      </c>
      <c r="F448" s="153" t="str">
        <f aca="false">IF(Rider_Input[[#This Row],[Rider ID]]="","",IFERROR(IF(INDEX(FTR_Data,ROW()-ROW(Rider_Input[#Headers]),c_FTR_WD)="","",INDEX(FTR_Data,ROW()-ROW(Rider_Input[#Headers]),c_FTR_WD)),""))</f>
        <v/>
      </c>
      <c r="G448" s="153" t="str">
        <f aca="false">IF(Rider_Input[[#This Row],[Rider ID]]="","",IFERROR(IF(INDEX(FTR_Data,ROW()-ROW(Rider_Input[#Headers]),c_FTR_Orders)="","",INDEX(FTR_Data,ROW()-ROW(Rider_Input[#Headers]),c_FTR_Orders)),""))</f>
        <v/>
      </c>
      <c r="H448" s="155" t="str">
        <f aca="false">IF(Rider_Input[[#This Row],[Rider ID]]="","",IFERROR(ABS(INDEX(RLVL_Data,MATCH(Rider_Input[[#This Row],[Rider ID]],INDEX(RLVL_Data,0,c_RLVL_ID),0),c_RLVL_Missed)),0))</f>
        <v/>
      </c>
      <c r="I448" s="155" t="str">
        <f aca="false">IF(Rider_Input[[#This Row],[Rider ID]]="","",IFERROR(ABS(INDEX(RLVL_Data,MATCH(Rider_Input[[#This Row],[Rider ID]],INDEX(RLVL_Data,0,c_RLVL_ID),0),c_RLVL_Bal)),0))</f>
        <v/>
      </c>
      <c r="J448" s="155" t="str">
        <f aca="false">IF(Rider_Input[[#This Row],[Rider ID]]="","",IFERROR(ABS(INDEX(RLVL_Data,MATCH(Rider_Input[[#This Row],[Rider ID]],INDEX(RLVL_Data,0,c_RLVL_ID),0),c_RLVL_Stack)),0))</f>
        <v/>
      </c>
      <c r="K448" s="155" t="str">
        <f aca="false">IF(Rider_Input[[#This Row],[Rider ID]]="","",SUMIFS(Adj_Input[Other Deductions],Adj_Input[Rider ID],Rider_Input[[#This Row],[Rider ID]]))</f>
        <v/>
      </c>
      <c r="L448" s="154" t="str">
        <f aca="false">IF(Rider_Input[[#This Row],[Rider ID]]="","",IFERROR(INDEX(Adj_Input[Note / Reason],MATCH(Rider_Input[[#This Row],[Rider ID]],Adj_Input[Rider ID],0))&amp;"",""))</f>
        <v/>
      </c>
    </row>
    <row r="449" customFormat="false" ht="14.25" hidden="false" customHeight="false" outlineLevel="0" collapsed="false">
      <c r="A449" s="152" t="str">
        <f aca="false">IF(Rider_Input[[#This Row],[Rider ID]]="","",Salary_Month)</f>
        <v/>
      </c>
      <c r="B449" s="153" t="str">
        <f aca="false">IFERROR(IF(INDEX(FTR_Data,ROW()-ROW(Rider_Input[#Headers]),c_FTR_ID)="","",INDEX(FTR_Data,ROW()-ROW(Rider_Input[#Headers]),c_FTR_ID)),"")</f>
        <v/>
      </c>
      <c r="C44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4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49" s="153" t="str">
        <f aca="false">IF(Rider_Input[[#This Row],[Rider ID]]="","",DAY(EOMONTH(Salary_Month,0)))</f>
        <v/>
      </c>
      <c r="F449" s="153" t="str">
        <f aca="false">IF(Rider_Input[[#This Row],[Rider ID]]="","",IFERROR(IF(INDEX(FTR_Data,ROW()-ROW(Rider_Input[#Headers]),c_FTR_WD)="","",INDEX(FTR_Data,ROW()-ROW(Rider_Input[#Headers]),c_FTR_WD)),""))</f>
        <v/>
      </c>
      <c r="G449" s="153" t="str">
        <f aca="false">IF(Rider_Input[[#This Row],[Rider ID]]="","",IFERROR(IF(INDEX(FTR_Data,ROW()-ROW(Rider_Input[#Headers]),c_FTR_Orders)="","",INDEX(FTR_Data,ROW()-ROW(Rider_Input[#Headers]),c_FTR_Orders)),""))</f>
        <v/>
      </c>
      <c r="H449" s="155" t="str">
        <f aca="false">IF(Rider_Input[[#This Row],[Rider ID]]="","",IFERROR(ABS(INDEX(RLVL_Data,MATCH(Rider_Input[[#This Row],[Rider ID]],INDEX(RLVL_Data,0,c_RLVL_ID),0),c_RLVL_Missed)),0))</f>
        <v/>
      </c>
      <c r="I449" s="155" t="str">
        <f aca="false">IF(Rider_Input[[#This Row],[Rider ID]]="","",IFERROR(ABS(INDEX(RLVL_Data,MATCH(Rider_Input[[#This Row],[Rider ID]],INDEX(RLVL_Data,0,c_RLVL_ID),0),c_RLVL_Bal)),0))</f>
        <v/>
      </c>
      <c r="J449" s="155" t="str">
        <f aca="false">IF(Rider_Input[[#This Row],[Rider ID]]="","",IFERROR(ABS(INDEX(RLVL_Data,MATCH(Rider_Input[[#This Row],[Rider ID]],INDEX(RLVL_Data,0,c_RLVL_ID),0),c_RLVL_Stack)),0))</f>
        <v/>
      </c>
      <c r="K449" s="155" t="str">
        <f aca="false">IF(Rider_Input[[#This Row],[Rider ID]]="","",SUMIFS(Adj_Input[Other Deductions],Adj_Input[Rider ID],Rider_Input[[#This Row],[Rider ID]]))</f>
        <v/>
      </c>
      <c r="L449" s="154" t="str">
        <f aca="false">IF(Rider_Input[[#This Row],[Rider ID]]="","",IFERROR(INDEX(Adj_Input[Note / Reason],MATCH(Rider_Input[[#This Row],[Rider ID]],Adj_Input[Rider ID],0))&amp;"",""))</f>
        <v/>
      </c>
    </row>
    <row r="450" customFormat="false" ht="14.25" hidden="false" customHeight="false" outlineLevel="0" collapsed="false">
      <c r="A450" s="152" t="str">
        <f aca="false">IF(Rider_Input[[#This Row],[Rider ID]]="","",Salary_Month)</f>
        <v/>
      </c>
      <c r="B450" s="153" t="str">
        <f aca="false">IFERROR(IF(INDEX(FTR_Data,ROW()-ROW(Rider_Input[#Headers]),c_FTR_ID)="","",INDEX(FTR_Data,ROW()-ROW(Rider_Input[#Headers]),c_FTR_ID)),"")</f>
        <v/>
      </c>
      <c r="C45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5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50" s="153" t="str">
        <f aca="false">IF(Rider_Input[[#This Row],[Rider ID]]="","",DAY(EOMONTH(Salary_Month,0)))</f>
        <v/>
      </c>
      <c r="F450" s="153" t="str">
        <f aca="false">IF(Rider_Input[[#This Row],[Rider ID]]="","",IFERROR(IF(INDEX(FTR_Data,ROW()-ROW(Rider_Input[#Headers]),c_FTR_WD)="","",INDEX(FTR_Data,ROW()-ROW(Rider_Input[#Headers]),c_FTR_WD)),""))</f>
        <v/>
      </c>
      <c r="G450" s="153" t="str">
        <f aca="false">IF(Rider_Input[[#This Row],[Rider ID]]="","",IFERROR(IF(INDEX(FTR_Data,ROW()-ROW(Rider_Input[#Headers]),c_FTR_Orders)="","",INDEX(FTR_Data,ROW()-ROW(Rider_Input[#Headers]),c_FTR_Orders)),""))</f>
        <v/>
      </c>
      <c r="H450" s="155" t="str">
        <f aca="false">IF(Rider_Input[[#This Row],[Rider ID]]="","",IFERROR(ABS(INDEX(RLVL_Data,MATCH(Rider_Input[[#This Row],[Rider ID]],INDEX(RLVL_Data,0,c_RLVL_ID),0),c_RLVL_Missed)),0))</f>
        <v/>
      </c>
      <c r="I450" s="155" t="str">
        <f aca="false">IF(Rider_Input[[#This Row],[Rider ID]]="","",IFERROR(ABS(INDEX(RLVL_Data,MATCH(Rider_Input[[#This Row],[Rider ID]],INDEX(RLVL_Data,0,c_RLVL_ID),0),c_RLVL_Bal)),0))</f>
        <v/>
      </c>
      <c r="J450" s="155" t="str">
        <f aca="false">IF(Rider_Input[[#This Row],[Rider ID]]="","",IFERROR(ABS(INDEX(RLVL_Data,MATCH(Rider_Input[[#This Row],[Rider ID]],INDEX(RLVL_Data,0,c_RLVL_ID),0),c_RLVL_Stack)),0))</f>
        <v/>
      </c>
      <c r="K450" s="155" t="str">
        <f aca="false">IF(Rider_Input[[#This Row],[Rider ID]]="","",SUMIFS(Adj_Input[Other Deductions],Adj_Input[Rider ID],Rider_Input[[#This Row],[Rider ID]]))</f>
        <v/>
      </c>
      <c r="L450" s="154" t="str">
        <f aca="false">IF(Rider_Input[[#This Row],[Rider ID]]="","",IFERROR(INDEX(Adj_Input[Note / Reason],MATCH(Rider_Input[[#This Row],[Rider ID]],Adj_Input[Rider ID],0))&amp;"",""))</f>
        <v/>
      </c>
    </row>
    <row r="451" customFormat="false" ht="14.25" hidden="false" customHeight="false" outlineLevel="0" collapsed="false">
      <c r="A451" s="152" t="str">
        <f aca="false">IF(Rider_Input[[#This Row],[Rider ID]]="","",Salary_Month)</f>
        <v/>
      </c>
      <c r="B451" s="153" t="str">
        <f aca="false">IFERROR(IF(INDEX(FTR_Data,ROW()-ROW(Rider_Input[#Headers]),c_FTR_ID)="","",INDEX(FTR_Data,ROW()-ROW(Rider_Input[#Headers]),c_FTR_ID)),"")</f>
        <v/>
      </c>
      <c r="C45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5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51" s="153" t="str">
        <f aca="false">IF(Rider_Input[[#This Row],[Rider ID]]="","",DAY(EOMONTH(Salary_Month,0)))</f>
        <v/>
      </c>
      <c r="F451" s="153" t="str">
        <f aca="false">IF(Rider_Input[[#This Row],[Rider ID]]="","",IFERROR(IF(INDEX(FTR_Data,ROW()-ROW(Rider_Input[#Headers]),c_FTR_WD)="","",INDEX(FTR_Data,ROW()-ROW(Rider_Input[#Headers]),c_FTR_WD)),""))</f>
        <v/>
      </c>
      <c r="G451" s="153" t="str">
        <f aca="false">IF(Rider_Input[[#This Row],[Rider ID]]="","",IFERROR(IF(INDEX(FTR_Data,ROW()-ROW(Rider_Input[#Headers]),c_FTR_Orders)="","",INDEX(FTR_Data,ROW()-ROW(Rider_Input[#Headers]),c_FTR_Orders)),""))</f>
        <v/>
      </c>
      <c r="H451" s="155" t="str">
        <f aca="false">IF(Rider_Input[[#This Row],[Rider ID]]="","",IFERROR(ABS(INDEX(RLVL_Data,MATCH(Rider_Input[[#This Row],[Rider ID]],INDEX(RLVL_Data,0,c_RLVL_ID),0),c_RLVL_Missed)),0))</f>
        <v/>
      </c>
      <c r="I451" s="155" t="str">
        <f aca="false">IF(Rider_Input[[#This Row],[Rider ID]]="","",IFERROR(ABS(INDEX(RLVL_Data,MATCH(Rider_Input[[#This Row],[Rider ID]],INDEX(RLVL_Data,0,c_RLVL_ID),0),c_RLVL_Bal)),0))</f>
        <v/>
      </c>
      <c r="J451" s="155" t="str">
        <f aca="false">IF(Rider_Input[[#This Row],[Rider ID]]="","",IFERROR(ABS(INDEX(RLVL_Data,MATCH(Rider_Input[[#This Row],[Rider ID]],INDEX(RLVL_Data,0,c_RLVL_ID),0),c_RLVL_Stack)),0))</f>
        <v/>
      </c>
      <c r="K451" s="155" t="str">
        <f aca="false">IF(Rider_Input[[#This Row],[Rider ID]]="","",SUMIFS(Adj_Input[Other Deductions],Adj_Input[Rider ID],Rider_Input[[#This Row],[Rider ID]]))</f>
        <v/>
      </c>
      <c r="L451" s="154" t="str">
        <f aca="false">IF(Rider_Input[[#This Row],[Rider ID]]="","",IFERROR(INDEX(Adj_Input[Note / Reason],MATCH(Rider_Input[[#This Row],[Rider ID]],Adj_Input[Rider ID],0))&amp;"",""))</f>
        <v/>
      </c>
    </row>
    <row r="452" customFormat="false" ht="14.25" hidden="false" customHeight="false" outlineLevel="0" collapsed="false">
      <c r="A452" s="152" t="str">
        <f aca="false">IF(Rider_Input[[#This Row],[Rider ID]]="","",Salary_Month)</f>
        <v/>
      </c>
      <c r="B452" s="153" t="str">
        <f aca="false">IFERROR(IF(INDEX(FTR_Data,ROW()-ROW(Rider_Input[#Headers]),c_FTR_ID)="","",INDEX(FTR_Data,ROW()-ROW(Rider_Input[#Headers]),c_FTR_ID)),"")</f>
        <v/>
      </c>
      <c r="C45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5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52" s="153" t="str">
        <f aca="false">IF(Rider_Input[[#This Row],[Rider ID]]="","",DAY(EOMONTH(Salary_Month,0)))</f>
        <v/>
      </c>
      <c r="F452" s="153" t="str">
        <f aca="false">IF(Rider_Input[[#This Row],[Rider ID]]="","",IFERROR(IF(INDEX(FTR_Data,ROW()-ROW(Rider_Input[#Headers]),c_FTR_WD)="","",INDEX(FTR_Data,ROW()-ROW(Rider_Input[#Headers]),c_FTR_WD)),""))</f>
        <v/>
      </c>
      <c r="G452" s="153" t="str">
        <f aca="false">IF(Rider_Input[[#This Row],[Rider ID]]="","",IFERROR(IF(INDEX(FTR_Data,ROW()-ROW(Rider_Input[#Headers]),c_FTR_Orders)="","",INDEX(FTR_Data,ROW()-ROW(Rider_Input[#Headers]),c_FTR_Orders)),""))</f>
        <v/>
      </c>
      <c r="H452" s="155" t="str">
        <f aca="false">IF(Rider_Input[[#This Row],[Rider ID]]="","",IFERROR(ABS(INDEX(RLVL_Data,MATCH(Rider_Input[[#This Row],[Rider ID]],INDEX(RLVL_Data,0,c_RLVL_ID),0),c_RLVL_Missed)),0))</f>
        <v/>
      </c>
      <c r="I452" s="155" t="str">
        <f aca="false">IF(Rider_Input[[#This Row],[Rider ID]]="","",IFERROR(ABS(INDEX(RLVL_Data,MATCH(Rider_Input[[#This Row],[Rider ID]],INDEX(RLVL_Data,0,c_RLVL_ID),0),c_RLVL_Bal)),0))</f>
        <v/>
      </c>
      <c r="J452" s="155" t="str">
        <f aca="false">IF(Rider_Input[[#This Row],[Rider ID]]="","",IFERROR(ABS(INDEX(RLVL_Data,MATCH(Rider_Input[[#This Row],[Rider ID]],INDEX(RLVL_Data,0,c_RLVL_ID),0),c_RLVL_Stack)),0))</f>
        <v/>
      </c>
      <c r="K452" s="155" t="str">
        <f aca="false">IF(Rider_Input[[#This Row],[Rider ID]]="","",SUMIFS(Adj_Input[Other Deductions],Adj_Input[Rider ID],Rider_Input[[#This Row],[Rider ID]]))</f>
        <v/>
      </c>
      <c r="L452" s="154" t="str">
        <f aca="false">IF(Rider_Input[[#This Row],[Rider ID]]="","",IFERROR(INDEX(Adj_Input[Note / Reason],MATCH(Rider_Input[[#This Row],[Rider ID]],Adj_Input[Rider ID],0))&amp;"",""))</f>
        <v/>
      </c>
    </row>
    <row r="453" customFormat="false" ht="14.25" hidden="false" customHeight="false" outlineLevel="0" collapsed="false">
      <c r="A453" s="152" t="str">
        <f aca="false">IF(Rider_Input[[#This Row],[Rider ID]]="","",Salary_Month)</f>
        <v/>
      </c>
      <c r="B453" s="153" t="str">
        <f aca="false">IFERROR(IF(INDEX(FTR_Data,ROW()-ROW(Rider_Input[#Headers]),c_FTR_ID)="","",INDEX(FTR_Data,ROW()-ROW(Rider_Input[#Headers]),c_FTR_ID)),"")</f>
        <v/>
      </c>
      <c r="C45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5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53" s="153" t="str">
        <f aca="false">IF(Rider_Input[[#This Row],[Rider ID]]="","",DAY(EOMONTH(Salary_Month,0)))</f>
        <v/>
      </c>
      <c r="F453" s="153" t="str">
        <f aca="false">IF(Rider_Input[[#This Row],[Rider ID]]="","",IFERROR(IF(INDEX(FTR_Data,ROW()-ROW(Rider_Input[#Headers]),c_FTR_WD)="","",INDEX(FTR_Data,ROW()-ROW(Rider_Input[#Headers]),c_FTR_WD)),""))</f>
        <v/>
      </c>
      <c r="G453" s="153" t="str">
        <f aca="false">IF(Rider_Input[[#This Row],[Rider ID]]="","",IFERROR(IF(INDEX(FTR_Data,ROW()-ROW(Rider_Input[#Headers]),c_FTR_Orders)="","",INDEX(FTR_Data,ROW()-ROW(Rider_Input[#Headers]),c_FTR_Orders)),""))</f>
        <v/>
      </c>
      <c r="H453" s="155" t="str">
        <f aca="false">IF(Rider_Input[[#This Row],[Rider ID]]="","",IFERROR(ABS(INDEX(RLVL_Data,MATCH(Rider_Input[[#This Row],[Rider ID]],INDEX(RLVL_Data,0,c_RLVL_ID),0),c_RLVL_Missed)),0))</f>
        <v/>
      </c>
      <c r="I453" s="155" t="str">
        <f aca="false">IF(Rider_Input[[#This Row],[Rider ID]]="","",IFERROR(ABS(INDEX(RLVL_Data,MATCH(Rider_Input[[#This Row],[Rider ID]],INDEX(RLVL_Data,0,c_RLVL_ID),0),c_RLVL_Bal)),0))</f>
        <v/>
      </c>
      <c r="J453" s="155" t="str">
        <f aca="false">IF(Rider_Input[[#This Row],[Rider ID]]="","",IFERROR(ABS(INDEX(RLVL_Data,MATCH(Rider_Input[[#This Row],[Rider ID]],INDEX(RLVL_Data,0,c_RLVL_ID),0),c_RLVL_Stack)),0))</f>
        <v/>
      </c>
      <c r="K453" s="155" t="str">
        <f aca="false">IF(Rider_Input[[#This Row],[Rider ID]]="","",SUMIFS(Adj_Input[Other Deductions],Adj_Input[Rider ID],Rider_Input[[#This Row],[Rider ID]]))</f>
        <v/>
      </c>
      <c r="L453" s="154" t="str">
        <f aca="false">IF(Rider_Input[[#This Row],[Rider ID]]="","",IFERROR(INDEX(Adj_Input[Note / Reason],MATCH(Rider_Input[[#This Row],[Rider ID]],Adj_Input[Rider ID],0))&amp;"",""))</f>
        <v/>
      </c>
    </row>
    <row r="454" customFormat="false" ht="14.25" hidden="false" customHeight="false" outlineLevel="0" collapsed="false">
      <c r="A454" s="152" t="str">
        <f aca="false">IF(Rider_Input[[#This Row],[Rider ID]]="","",Salary_Month)</f>
        <v/>
      </c>
      <c r="B454" s="153" t="str">
        <f aca="false">IFERROR(IF(INDEX(FTR_Data,ROW()-ROW(Rider_Input[#Headers]),c_FTR_ID)="","",INDEX(FTR_Data,ROW()-ROW(Rider_Input[#Headers]),c_FTR_ID)),"")</f>
        <v/>
      </c>
      <c r="C45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5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54" s="153" t="str">
        <f aca="false">IF(Rider_Input[[#This Row],[Rider ID]]="","",DAY(EOMONTH(Salary_Month,0)))</f>
        <v/>
      </c>
      <c r="F454" s="153" t="str">
        <f aca="false">IF(Rider_Input[[#This Row],[Rider ID]]="","",IFERROR(IF(INDEX(FTR_Data,ROW()-ROW(Rider_Input[#Headers]),c_FTR_WD)="","",INDEX(FTR_Data,ROW()-ROW(Rider_Input[#Headers]),c_FTR_WD)),""))</f>
        <v/>
      </c>
      <c r="G454" s="153" t="str">
        <f aca="false">IF(Rider_Input[[#This Row],[Rider ID]]="","",IFERROR(IF(INDEX(FTR_Data,ROW()-ROW(Rider_Input[#Headers]),c_FTR_Orders)="","",INDEX(FTR_Data,ROW()-ROW(Rider_Input[#Headers]),c_FTR_Orders)),""))</f>
        <v/>
      </c>
      <c r="H454" s="155" t="str">
        <f aca="false">IF(Rider_Input[[#This Row],[Rider ID]]="","",IFERROR(ABS(INDEX(RLVL_Data,MATCH(Rider_Input[[#This Row],[Rider ID]],INDEX(RLVL_Data,0,c_RLVL_ID),0),c_RLVL_Missed)),0))</f>
        <v/>
      </c>
      <c r="I454" s="155" t="str">
        <f aca="false">IF(Rider_Input[[#This Row],[Rider ID]]="","",IFERROR(ABS(INDEX(RLVL_Data,MATCH(Rider_Input[[#This Row],[Rider ID]],INDEX(RLVL_Data,0,c_RLVL_ID),0),c_RLVL_Bal)),0))</f>
        <v/>
      </c>
      <c r="J454" s="155" t="str">
        <f aca="false">IF(Rider_Input[[#This Row],[Rider ID]]="","",IFERROR(ABS(INDEX(RLVL_Data,MATCH(Rider_Input[[#This Row],[Rider ID]],INDEX(RLVL_Data,0,c_RLVL_ID),0),c_RLVL_Stack)),0))</f>
        <v/>
      </c>
      <c r="K454" s="155" t="str">
        <f aca="false">IF(Rider_Input[[#This Row],[Rider ID]]="","",SUMIFS(Adj_Input[Other Deductions],Adj_Input[Rider ID],Rider_Input[[#This Row],[Rider ID]]))</f>
        <v/>
      </c>
      <c r="L454" s="154" t="str">
        <f aca="false">IF(Rider_Input[[#This Row],[Rider ID]]="","",IFERROR(INDEX(Adj_Input[Note / Reason],MATCH(Rider_Input[[#This Row],[Rider ID]],Adj_Input[Rider ID],0))&amp;"",""))</f>
        <v/>
      </c>
    </row>
    <row r="455" customFormat="false" ht="14.25" hidden="false" customHeight="false" outlineLevel="0" collapsed="false">
      <c r="A455" s="152" t="str">
        <f aca="false">IF(Rider_Input[[#This Row],[Rider ID]]="","",Salary_Month)</f>
        <v/>
      </c>
      <c r="B455" s="153" t="str">
        <f aca="false">IFERROR(IF(INDEX(FTR_Data,ROW()-ROW(Rider_Input[#Headers]),c_FTR_ID)="","",INDEX(FTR_Data,ROW()-ROW(Rider_Input[#Headers]),c_FTR_ID)),"")</f>
        <v/>
      </c>
      <c r="C45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5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55" s="153" t="str">
        <f aca="false">IF(Rider_Input[[#This Row],[Rider ID]]="","",DAY(EOMONTH(Salary_Month,0)))</f>
        <v/>
      </c>
      <c r="F455" s="153" t="str">
        <f aca="false">IF(Rider_Input[[#This Row],[Rider ID]]="","",IFERROR(IF(INDEX(FTR_Data,ROW()-ROW(Rider_Input[#Headers]),c_FTR_WD)="","",INDEX(FTR_Data,ROW()-ROW(Rider_Input[#Headers]),c_FTR_WD)),""))</f>
        <v/>
      </c>
      <c r="G455" s="153" t="str">
        <f aca="false">IF(Rider_Input[[#This Row],[Rider ID]]="","",IFERROR(IF(INDEX(FTR_Data,ROW()-ROW(Rider_Input[#Headers]),c_FTR_Orders)="","",INDEX(FTR_Data,ROW()-ROW(Rider_Input[#Headers]),c_FTR_Orders)),""))</f>
        <v/>
      </c>
      <c r="H455" s="155" t="str">
        <f aca="false">IF(Rider_Input[[#This Row],[Rider ID]]="","",IFERROR(ABS(INDEX(RLVL_Data,MATCH(Rider_Input[[#This Row],[Rider ID]],INDEX(RLVL_Data,0,c_RLVL_ID),0),c_RLVL_Missed)),0))</f>
        <v/>
      </c>
      <c r="I455" s="155" t="str">
        <f aca="false">IF(Rider_Input[[#This Row],[Rider ID]]="","",IFERROR(ABS(INDEX(RLVL_Data,MATCH(Rider_Input[[#This Row],[Rider ID]],INDEX(RLVL_Data,0,c_RLVL_ID),0),c_RLVL_Bal)),0))</f>
        <v/>
      </c>
      <c r="J455" s="155" t="str">
        <f aca="false">IF(Rider_Input[[#This Row],[Rider ID]]="","",IFERROR(ABS(INDEX(RLVL_Data,MATCH(Rider_Input[[#This Row],[Rider ID]],INDEX(RLVL_Data,0,c_RLVL_ID),0),c_RLVL_Stack)),0))</f>
        <v/>
      </c>
      <c r="K455" s="155" t="str">
        <f aca="false">IF(Rider_Input[[#This Row],[Rider ID]]="","",SUMIFS(Adj_Input[Other Deductions],Adj_Input[Rider ID],Rider_Input[[#This Row],[Rider ID]]))</f>
        <v/>
      </c>
      <c r="L455" s="154" t="str">
        <f aca="false">IF(Rider_Input[[#This Row],[Rider ID]]="","",IFERROR(INDEX(Adj_Input[Note / Reason],MATCH(Rider_Input[[#This Row],[Rider ID]],Adj_Input[Rider ID],0))&amp;"",""))</f>
        <v/>
      </c>
    </row>
    <row r="456" customFormat="false" ht="14.25" hidden="false" customHeight="false" outlineLevel="0" collapsed="false">
      <c r="A456" s="152" t="str">
        <f aca="false">IF(Rider_Input[[#This Row],[Rider ID]]="","",Salary_Month)</f>
        <v/>
      </c>
      <c r="B456" s="153" t="str">
        <f aca="false">IFERROR(IF(INDEX(FTR_Data,ROW()-ROW(Rider_Input[#Headers]),c_FTR_ID)="","",INDEX(FTR_Data,ROW()-ROW(Rider_Input[#Headers]),c_FTR_ID)),"")</f>
        <v/>
      </c>
      <c r="C45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5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56" s="153" t="str">
        <f aca="false">IF(Rider_Input[[#This Row],[Rider ID]]="","",DAY(EOMONTH(Salary_Month,0)))</f>
        <v/>
      </c>
      <c r="F456" s="153" t="str">
        <f aca="false">IF(Rider_Input[[#This Row],[Rider ID]]="","",IFERROR(IF(INDEX(FTR_Data,ROW()-ROW(Rider_Input[#Headers]),c_FTR_WD)="","",INDEX(FTR_Data,ROW()-ROW(Rider_Input[#Headers]),c_FTR_WD)),""))</f>
        <v/>
      </c>
      <c r="G456" s="153" t="str">
        <f aca="false">IF(Rider_Input[[#This Row],[Rider ID]]="","",IFERROR(IF(INDEX(FTR_Data,ROW()-ROW(Rider_Input[#Headers]),c_FTR_Orders)="","",INDEX(FTR_Data,ROW()-ROW(Rider_Input[#Headers]),c_FTR_Orders)),""))</f>
        <v/>
      </c>
      <c r="H456" s="155" t="str">
        <f aca="false">IF(Rider_Input[[#This Row],[Rider ID]]="","",IFERROR(ABS(INDEX(RLVL_Data,MATCH(Rider_Input[[#This Row],[Rider ID]],INDEX(RLVL_Data,0,c_RLVL_ID),0),c_RLVL_Missed)),0))</f>
        <v/>
      </c>
      <c r="I456" s="155" t="str">
        <f aca="false">IF(Rider_Input[[#This Row],[Rider ID]]="","",IFERROR(ABS(INDEX(RLVL_Data,MATCH(Rider_Input[[#This Row],[Rider ID]],INDEX(RLVL_Data,0,c_RLVL_ID),0),c_RLVL_Bal)),0))</f>
        <v/>
      </c>
      <c r="J456" s="155" t="str">
        <f aca="false">IF(Rider_Input[[#This Row],[Rider ID]]="","",IFERROR(ABS(INDEX(RLVL_Data,MATCH(Rider_Input[[#This Row],[Rider ID]],INDEX(RLVL_Data,0,c_RLVL_ID),0),c_RLVL_Stack)),0))</f>
        <v/>
      </c>
      <c r="K456" s="155" t="str">
        <f aca="false">IF(Rider_Input[[#This Row],[Rider ID]]="","",SUMIFS(Adj_Input[Other Deductions],Adj_Input[Rider ID],Rider_Input[[#This Row],[Rider ID]]))</f>
        <v/>
      </c>
      <c r="L456" s="154" t="str">
        <f aca="false">IF(Rider_Input[[#This Row],[Rider ID]]="","",IFERROR(INDEX(Adj_Input[Note / Reason],MATCH(Rider_Input[[#This Row],[Rider ID]],Adj_Input[Rider ID],0))&amp;"",""))</f>
        <v/>
      </c>
    </row>
    <row r="457" customFormat="false" ht="14.25" hidden="false" customHeight="false" outlineLevel="0" collapsed="false">
      <c r="A457" s="152" t="str">
        <f aca="false">IF(Rider_Input[[#This Row],[Rider ID]]="","",Salary_Month)</f>
        <v/>
      </c>
      <c r="B457" s="153" t="str">
        <f aca="false">IFERROR(IF(INDEX(FTR_Data,ROW()-ROW(Rider_Input[#Headers]),c_FTR_ID)="","",INDEX(FTR_Data,ROW()-ROW(Rider_Input[#Headers]),c_FTR_ID)),"")</f>
        <v/>
      </c>
      <c r="C45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5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57" s="153" t="str">
        <f aca="false">IF(Rider_Input[[#This Row],[Rider ID]]="","",DAY(EOMONTH(Salary_Month,0)))</f>
        <v/>
      </c>
      <c r="F457" s="153" t="str">
        <f aca="false">IF(Rider_Input[[#This Row],[Rider ID]]="","",IFERROR(IF(INDEX(FTR_Data,ROW()-ROW(Rider_Input[#Headers]),c_FTR_WD)="","",INDEX(FTR_Data,ROW()-ROW(Rider_Input[#Headers]),c_FTR_WD)),""))</f>
        <v/>
      </c>
      <c r="G457" s="153" t="str">
        <f aca="false">IF(Rider_Input[[#This Row],[Rider ID]]="","",IFERROR(IF(INDEX(FTR_Data,ROW()-ROW(Rider_Input[#Headers]),c_FTR_Orders)="","",INDEX(FTR_Data,ROW()-ROW(Rider_Input[#Headers]),c_FTR_Orders)),""))</f>
        <v/>
      </c>
      <c r="H457" s="155" t="str">
        <f aca="false">IF(Rider_Input[[#This Row],[Rider ID]]="","",IFERROR(ABS(INDEX(RLVL_Data,MATCH(Rider_Input[[#This Row],[Rider ID]],INDEX(RLVL_Data,0,c_RLVL_ID),0),c_RLVL_Missed)),0))</f>
        <v/>
      </c>
      <c r="I457" s="155" t="str">
        <f aca="false">IF(Rider_Input[[#This Row],[Rider ID]]="","",IFERROR(ABS(INDEX(RLVL_Data,MATCH(Rider_Input[[#This Row],[Rider ID]],INDEX(RLVL_Data,0,c_RLVL_ID),0),c_RLVL_Bal)),0))</f>
        <v/>
      </c>
      <c r="J457" s="155" t="str">
        <f aca="false">IF(Rider_Input[[#This Row],[Rider ID]]="","",IFERROR(ABS(INDEX(RLVL_Data,MATCH(Rider_Input[[#This Row],[Rider ID]],INDEX(RLVL_Data,0,c_RLVL_ID),0),c_RLVL_Stack)),0))</f>
        <v/>
      </c>
      <c r="K457" s="155" t="str">
        <f aca="false">IF(Rider_Input[[#This Row],[Rider ID]]="","",SUMIFS(Adj_Input[Other Deductions],Adj_Input[Rider ID],Rider_Input[[#This Row],[Rider ID]]))</f>
        <v/>
      </c>
      <c r="L457" s="154" t="str">
        <f aca="false">IF(Rider_Input[[#This Row],[Rider ID]]="","",IFERROR(INDEX(Adj_Input[Note / Reason],MATCH(Rider_Input[[#This Row],[Rider ID]],Adj_Input[Rider ID],0))&amp;"",""))</f>
        <v/>
      </c>
    </row>
    <row r="458" customFormat="false" ht="14.25" hidden="false" customHeight="false" outlineLevel="0" collapsed="false">
      <c r="A458" s="152" t="str">
        <f aca="false">IF(Rider_Input[[#This Row],[Rider ID]]="","",Salary_Month)</f>
        <v/>
      </c>
      <c r="B458" s="153" t="str">
        <f aca="false">IFERROR(IF(INDEX(FTR_Data,ROW()-ROW(Rider_Input[#Headers]),c_FTR_ID)="","",INDEX(FTR_Data,ROW()-ROW(Rider_Input[#Headers]),c_FTR_ID)),"")</f>
        <v/>
      </c>
      <c r="C45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5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58" s="153" t="str">
        <f aca="false">IF(Rider_Input[[#This Row],[Rider ID]]="","",DAY(EOMONTH(Salary_Month,0)))</f>
        <v/>
      </c>
      <c r="F458" s="153" t="str">
        <f aca="false">IF(Rider_Input[[#This Row],[Rider ID]]="","",IFERROR(IF(INDEX(FTR_Data,ROW()-ROW(Rider_Input[#Headers]),c_FTR_WD)="","",INDEX(FTR_Data,ROW()-ROW(Rider_Input[#Headers]),c_FTR_WD)),""))</f>
        <v/>
      </c>
      <c r="G458" s="153" t="str">
        <f aca="false">IF(Rider_Input[[#This Row],[Rider ID]]="","",IFERROR(IF(INDEX(FTR_Data,ROW()-ROW(Rider_Input[#Headers]),c_FTR_Orders)="","",INDEX(FTR_Data,ROW()-ROW(Rider_Input[#Headers]),c_FTR_Orders)),""))</f>
        <v/>
      </c>
      <c r="H458" s="155" t="str">
        <f aca="false">IF(Rider_Input[[#This Row],[Rider ID]]="","",IFERROR(ABS(INDEX(RLVL_Data,MATCH(Rider_Input[[#This Row],[Rider ID]],INDEX(RLVL_Data,0,c_RLVL_ID),0),c_RLVL_Missed)),0))</f>
        <v/>
      </c>
      <c r="I458" s="155" t="str">
        <f aca="false">IF(Rider_Input[[#This Row],[Rider ID]]="","",IFERROR(ABS(INDEX(RLVL_Data,MATCH(Rider_Input[[#This Row],[Rider ID]],INDEX(RLVL_Data,0,c_RLVL_ID),0),c_RLVL_Bal)),0))</f>
        <v/>
      </c>
      <c r="J458" s="155" t="str">
        <f aca="false">IF(Rider_Input[[#This Row],[Rider ID]]="","",IFERROR(ABS(INDEX(RLVL_Data,MATCH(Rider_Input[[#This Row],[Rider ID]],INDEX(RLVL_Data,0,c_RLVL_ID),0),c_RLVL_Stack)),0))</f>
        <v/>
      </c>
      <c r="K458" s="155" t="str">
        <f aca="false">IF(Rider_Input[[#This Row],[Rider ID]]="","",SUMIFS(Adj_Input[Other Deductions],Adj_Input[Rider ID],Rider_Input[[#This Row],[Rider ID]]))</f>
        <v/>
      </c>
      <c r="L458" s="154" t="str">
        <f aca="false">IF(Rider_Input[[#This Row],[Rider ID]]="","",IFERROR(INDEX(Adj_Input[Note / Reason],MATCH(Rider_Input[[#This Row],[Rider ID]],Adj_Input[Rider ID],0))&amp;"",""))</f>
        <v/>
      </c>
    </row>
    <row r="459" customFormat="false" ht="14.25" hidden="false" customHeight="false" outlineLevel="0" collapsed="false">
      <c r="A459" s="152" t="str">
        <f aca="false">IF(Rider_Input[[#This Row],[Rider ID]]="","",Salary_Month)</f>
        <v/>
      </c>
      <c r="B459" s="153" t="str">
        <f aca="false">IFERROR(IF(INDEX(FTR_Data,ROW()-ROW(Rider_Input[#Headers]),c_FTR_ID)="","",INDEX(FTR_Data,ROW()-ROW(Rider_Input[#Headers]),c_FTR_ID)),"")</f>
        <v/>
      </c>
      <c r="C45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5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59" s="153" t="str">
        <f aca="false">IF(Rider_Input[[#This Row],[Rider ID]]="","",DAY(EOMONTH(Salary_Month,0)))</f>
        <v/>
      </c>
      <c r="F459" s="153" t="str">
        <f aca="false">IF(Rider_Input[[#This Row],[Rider ID]]="","",IFERROR(IF(INDEX(FTR_Data,ROW()-ROW(Rider_Input[#Headers]),c_FTR_WD)="","",INDEX(FTR_Data,ROW()-ROW(Rider_Input[#Headers]),c_FTR_WD)),""))</f>
        <v/>
      </c>
      <c r="G459" s="153" t="str">
        <f aca="false">IF(Rider_Input[[#This Row],[Rider ID]]="","",IFERROR(IF(INDEX(FTR_Data,ROW()-ROW(Rider_Input[#Headers]),c_FTR_Orders)="","",INDEX(FTR_Data,ROW()-ROW(Rider_Input[#Headers]),c_FTR_Orders)),""))</f>
        <v/>
      </c>
      <c r="H459" s="155" t="str">
        <f aca="false">IF(Rider_Input[[#This Row],[Rider ID]]="","",IFERROR(ABS(INDEX(RLVL_Data,MATCH(Rider_Input[[#This Row],[Rider ID]],INDEX(RLVL_Data,0,c_RLVL_ID),0),c_RLVL_Missed)),0))</f>
        <v/>
      </c>
      <c r="I459" s="155" t="str">
        <f aca="false">IF(Rider_Input[[#This Row],[Rider ID]]="","",IFERROR(ABS(INDEX(RLVL_Data,MATCH(Rider_Input[[#This Row],[Rider ID]],INDEX(RLVL_Data,0,c_RLVL_ID),0),c_RLVL_Bal)),0))</f>
        <v/>
      </c>
      <c r="J459" s="155" t="str">
        <f aca="false">IF(Rider_Input[[#This Row],[Rider ID]]="","",IFERROR(ABS(INDEX(RLVL_Data,MATCH(Rider_Input[[#This Row],[Rider ID]],INDEX(RLVL_Data,0,c_RLVL_ID),0),c_RLVL_Stack)),0))</f>
        <v/>
      </c>
      <c r="K459" s="155" t="str">
        <f aca="false">IF(Rider_Input[[#This Row],[Rider ID]]="","",SUMIFS(Adj_Input[Other Deductions],Adj_Input[Rider ID],Rider_Input[[#This Row],[Rider ID]]))</f>
        <v/>
      </c>
      <c r="L459" s="154" t="str">
        <f aca="false">IF(Rider_Input[[#This Row],[Rider ID]]="","",IFERROR(INDEX(Adj_Input[Note / Reason],MATCH(Rider_Input[[#This Row],[Rider ID]],Adj_Input[Rider ID],0))&amp;"",""))</f>
        <v/>
      </c>
    </row>
    <row r="460" customFormat="false" ht="14.25" hidden="false" customHeight="false" outlineLevel="0" collapsed="false">
      <c r="A460" s="152" t="str">
        <f aca="false">IF(Rider_Input[[#This Row],[Rider ID]]="","",Salary_Month)</f>
        <v/>
      </c>
      <c r="B460" s="153" t="str">
        <f aca="false">IFERROR(IF(INDEX(FTR_Data,ROW()-ROW(Rider_Input[#Headers]),c_FTR_ID)="","",INDEX(FTR_Data,ROW()-ROW(Rider_Input[#Headers]),c_FTR_ID)),"")</f>
        <v/>
      </c>
      <c r="C46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6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60" s="153" t="str">
        <f aca="false">IF(Rider_Input[[#This Row],[Rider ID]]="","",DAY(EOMONTH(Salary_Month,0)))</f>
        <v/>
      </c>
      <c r="F460" s="153" t="str">
        <f aca="false">IF(Rider_Input[[#This Row],[Rider ID]]="","",IFERROR(IF(INDEX(FTR_Data,ROW()-ROW(Rider_Input[#Headers]),c_FTR_WD)="","",INDEX(FTR_Data,ROW()-ROW(Rider_Input[#Headers]),c_FTR_WD)),""))</f>
        <v/>
      </c>
      <c r="G460" s="153" t="str">
        <f aca="false">IF(Rider_Input[[#This Row],[Rider ID]]="","",IFERROR(IF(INDEX(FTR_Data,ROW()-ROW(Rider_Input[#Headers]),c_FTR_Orders)="","",INDEX(FTR_Data,ROW()-ROW(Rider_Input[#Headers]),c_FTR_Orders)),""))</f>
        <v/>
      </c>
      <c r="H460" s="155" t="str">
        <f aca="false">IF(Rider_Input[[#This Row],[Rider ID]]="","",IFERROR(ABS(INDEX(RLVL_Data,MATCH(Rider_Input[[#This Row],[Rider ID]],INDEX(RLVL_Data,0,c_RLVL_ID),0),c_RLVL_Missed)),0))</f>
        <v/>
      </c>
      <c r="I460" s="155" t="str">
        <f aca="false">IF(Rider_Input[[#This Row],[Rider ID]]="","",IFERROR(ABS(INDEX(RLVL_Data,MATCH(Rider_Input[[#This Row],[Rider ID]],INDEX(RLVL_Data,0,c_RLVL_ID),0),c_RLVL_Bal)),0))</f>
        <v/>
      </c>
      <c r="J460" s="155" t="str">
        <f aca="false">IF(Rider_Input[[#This Row],[Rider ID]]="","",IFERROR(ABS(INDEX(RLVL_Data,MATCH(Rider_Input[[#This Row],[Rider ID]],INDEX(RLVL_Data,0,c_RLVL_ID),0),c_RLVL_Stack)),0))</f>
        <v/>
      </c>
      <c r="K460" s="155" t="str">
        <f aca="false">IF(Rider_Input[[#This Row],[Rider ID]]="","",SUMIFS(Adj_Input[Other Deductions],Adj_Input[Rider ID],Rider_Input[[#This Row],[Rider ID]]))</f>
        <v/>
      </c>
      <c r="L460" s="154" t="str">
        <f aca="false">IF(Rider_Input[[#This Row],[Rider ID]]="","",IFERROR(INDEX(Adj_Input[Note / Reason],MATCH(Rider_Input[[#This Row],[Rider ID]],Adj_Input[Rider ID],0))&amp;"",""))</f>
        <v/>
      </c>
    </row>
    <row r="461" customFormat="false" ht="14.25" hidden="false" customHeight="false" outlineLevel="0" collapsed="false">
      <c r="A461" s="152" t="str">
        <f aca="false">IF(Rider_Input[[#This Row],[Rider ID]]="","",Salary_Month)</f>
        <v/>
      </c>
      <c r="B461" s="153" t="str">
        <f aca="false">IFERROR(IF(INDEX(FTR_Data,ROW()-ROW(Rider_Input[#Headers]),c_FTR_ID)="","",INDEX(FTR_Data,ROW()-ROW(Rider_Input[#Headers]),c_FTR_ID)),"")</f>
        <v/>
      </c>
      <c r="C46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6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61" s="153" t="str">
        <f aca="false">IF(Rider_Input[[#This Row],[Rider ID]]="","",DAY(EOMONTH(Salary_Month,0)))</f>
        <v/>
      </c>
      <c r="F461" s="153" t="str">
        <f aca="false">IF(Rider_Input[[#This Row],[Rider ID]]="","",IFERROR(IF(INDEX(FTR_Data,ROW()-ROW(Rider_Input[#Headers]),c_FTR_WD)="","",INDEX(FTR_Data,ROW()-ROW(Rider_Input[#Headers]),c_FTR_WD)),""))</f>
        <v/>
      </c>
      <c r="G461" s="153" t="str">
        <f aca="false">IF(Rider_Input[[#This Row],[Rider ID]]="","",IFERROR(IF(INDEX(FTR_Data,ROW()-ROW(Rider_Input[#Headers]),c_FTR_Orders)="","",INDEX(FTR_Data,ROW()-ROW(Rider_Input[#Headers]),c_FTR_Orders)),""))</f>
        <v/>
      </c>
      <c r="H461" s="155" t="str">
        <f aca="false">IF(Rider_Input[[#This Row],[Rider ID]]="","",IFERROR(ABS(INDEX(RLVL_Data,MATCH(Rider_Input[[#This Row],[Rider ID]],INDEX(RLVL_Data,0,c_RLVL_ID),0),c_RLVL_Missed)),0))</f>
        <v/>
      </c>
      <c r="I461" s="155" t="str">
        <f aca="false">IF(Rider_Input[[#This Row],[Rider ID]]="","",IFERROR(ABS(INDEX(RLVL_Data,MATCH(Rider_Input[[#This Row],[Rider ID]],INDEX(RLVL_Data,0,c_RLVL_ID),0),c_RLVL_Bal)),0))</f>
        <v/>
      </c>
      <c r="J461" s="155" t="str">
        <f aca="false">IF(Rider_Input[[#This Row],[Rider ID]]="","",IFERROR(ABS(INDEX(RLVL_Data,MATCH(Rider_Input[[#This Row],[Rider ID]],INDEX(RLVL_Data,0,c_RLVL_ID),0),c_RLVL_Stack)),0))</f>
        <v/>
      </c>
      <c r="K461" s="155" t="str">
        <f aca="false">IF(Rider_Input[[#This Row],[Rider ID]]="","",SUMIFS(Adj_Input[Other Deductions],Adj_Input[Rider ID],Rider_Input[[#This Row],[Rider ID]]))</f>
        <v/>
      </c>
      <c r="L461" s="154" t="str">
        <f aca="false">IF(Rider_Input[[#This Row],[Rider ID]]="","",IFERROR(INDEX(Adj_Input[Note / Reason],MATCH(Rider_Input[[#This Row],[Rider ID]],Adj_Input[Rider ID],0))&amp;"",""))</f>
        <v/>
      </c>
    </row>
    <row r="462" customFormat="false" ht="14.25" hidden="false" customHeight="false" outlineLevel="0" collapsed="false">
      <c r="A462" s="152" t="str">
        <f aca="false">IF(Rider_Input[[#This Row],[Rider ID]]="","",Salary_Month)</f>
        <v/>
      </c>
      <c r="B462" s="153" t="str">
        <f aca="false">IFERROR(IF(INDEX(FTR_Data,ROW()-ROW(Rider_Input[#Headers]),c_FTR_ID)="","",INDEX(FTR_Data,ROW()-ROW(Rider_Input[#Headers]),c_FTR_ID)),"")</f>
        <v/>
      </c>
      <c r="C46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6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62" s="153" t="str">
        <f aca="false">IF(Rider_Input[[#This Row],[Rider ID]]="","",DAY(EOMONTH(Salary_Month,0)))</f>
        <v/>
      </c>
      <c r="F462" s="153" t="str">
        <f aca="false">IF(Rider_Input[[#This Row],[Rider ID]]="","",IFERROR(IF(INDEX(FTR_Data,ROW()-ROW(Rider_Input[#Headers]),c_FTR_WD)="","",INDEX(FTR_Data,ROW()-ROW(Rider_Input[#Headers]),c_FTR_WD)),""))</f>
        <v/>
      </c>
      <c r="G462" s="153" t="str">
        <f aca="false">IF(Rider_Input[[#This Row],[Rider ID]]="","",IFERROR(IF(INDEX(FTR_Data,ROW()-ROW(Rider_Input[#Headers]),c_FTR_Orders)="","",INDEX(FTR_Data,ROW()-ROW(Rider_Input[#Headers]),c_FTR_Orders)),""))</f>
        <v/>
      </c>
      <c r="H462" s="155" t="str">
        <f aca="false">IF(Rider_Input[[#This Row],[Rider ID]]="","",IFERROR(ABS(INDEX(RLVL_Data,MATCH(Rider_Input[[#This Row],[Rider ID]],INDEX(RLVL_Data,0,c_RLVL_ID),0),c_RLVL_Missed)),0))</f>
        <v/>
      </c>
      <c r="I462" s="155" t="str">
        <f aca="false">IF(Rider_Input[[#This Row],[Rider ID]]="","",IFERROR(ABS(INDEX(RLVL_Data,MATCH(Rider_Input[[#This Row],[Rider ID]],INDEX(RLVL_Data,0,c_RLVL_ID),0),c_RLVL_Bal)),0))</f>
        <v/>
      </c>
      <c r="J462" s="155" t="str">
        <f aca="false">IF(Rider_Input[[#This Row],[Rider ID]]="","",IFERROR(ABS(INDEX(RLVL_Data,MATCH(Rider_Input[[#This Row],[Rider ID]],INDEX(RLVL_Data,0,c_RLVL_ID),0),c_RLVL_Stack)),0))</f>
        <v/>
      </c>
      <c r="K462" s="155" t="str">
        <f aca="false">IF(Rider_Input[[#This Row],[Rider ID]]="","",SUMIFS(Adj_Input[Other Deductions],Adj_Input[Rider ID],Rider_Input[[#This Row],[Rider ID]]))</f>
        <v/>
      </c>
      <c r="L462" s="154" t="str">
        <f aca="false">IF(Rider_Input[[#This Row],[Rider ID]]="","",IFERROR(INDEX(Adj_Input[Note / Reason],MATCH(Rider_Input[[#This Row],[Rider ID]],Adj_Input[Rider ID],0))&amp;"",""))</f>
        <v/>
      </c>
    </row>
    <row r="463" customFormat="false" ht="14.25" hidden="false" customHeight="false" outlineLevel="0" collapsed="false">
      <c r="A463" s="152" t="str">
        <f aca="false">IF(Rider_Input[[#This Row],[Rider ID]]="","",Salary_Month)</f>
        <v/>
      </c>
      <c r="B463" s="153" t="str">
        <f aca="false">IFERROR(IF(INDEX(FTR_Data,ROW()-ROW(Rider_Input[#Headers]),c_FTR_ID)="","",INDEX(FTR_Data,ROW()-ROW(Rider_Input[#Headers]),c_FTR_ID)),"")</f>
        <v/>
      </c>
      <c r="C46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6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63" s="153" t="str">
        <f aca="false">IF(Rider_Input[[#This Row],[Rider ID]]="","",DAY(EOMONTH(Salary_Month,0)))</f>
        <v/>
      </c>
      <c r="F463" s="153" t="str">
        <f aca="false">IF(Rider_Input[[#This Row],[Rider ID]]="","",IFERROR(IF(INDEX(FTR_Data,ROW()-ROW(Rider_Input[#Headers]),c_FTR_WD)="","",INDEX(FTR_Data,ROW()-ROW(Rider_Input[#Headers]),c_FTR_WD)),""))</f>
        <v/>
      </c>
      <c r="G463" s="153" t="str">
        <f aca="false">IF(Rider_Input[[#This Row],[Rider ID]]="","",IFERROR(IF(INDEX(FTR_Data,ROW()-ROW(Rider_Input[#Headers]),c_FTR_Orders)="","",INDEX(FTR_Data,ROW()-ROW(Rider_Input[#Headers]),c_FTR_Orders)),""))</f>
        <v/>
      </c>
      <c r="H463" s="155" t="str">
        <f aca="false">IF(Rider_Input[[#This Row],[Rider ID]]="","",IFERROR(ABS(INDEX(RLVL_Data,MATCH(Rider_Input[[#This Row],[Rider ID]],INDEX(RLVL_Data,0,c_RLVL_ID),0),c_RLVL_Missed)),0))</f>
        <v/>
      </c>
      <c r="I463" s="155" t="str">
        <f aca="false">IF(Rider_Input[[#This Row],[Rider ID]]="","",IFERROR(ABS(INDEX(RLVL_Data,MATCH(Rider_Input[[#This Row],[Rider ID]],INDEX(RLVL_Data,0,c_RLVL_ID),0),c_RLVL_Bal)),0))</f>
        <v/>
      </c>
      <c r="J463" s="155" t="str">
        <f aca="false">IF(Rider_Input[[#This Row],[Rider ID]]="","",IFERROR(ABS(INDEX(RLVL_Data,MATCH(Rider_Input[[#This Row],[Rider ID]],INDEX(RLVL_Data,0,c_RLVL_ID),0),c_RLVL_Stack)),0))</f>
        <v/>
      </c>
      <c r="K463" s="155" t="str">
        <f aca="false">IF(Rider_Input[[#This Row],[Rider ID]]="","",SUMIFS(Adj_Input[Other Deductions],Adj_Input[Rider ID],Rider_Input[[#This Row],[Rider ID]]))</f>
        <v/>
      </c>
      <c r="L463" s="154" t="str">
        <f aca="false">IF(Rider_Input[[#This Row],[Rider ID]]="","",IFERROR(INDEX(Adj_Input[Note / Reason],MATCH(Rider_Input[[#This Row],[Rider ID]],Adj_Input[Rider ID],0))&amp;"",""))</f>
        <v/>
      </c>
    </row>
    <row r="464" customFormat="false" ht="14.25" hidden="false" customHeight="false" outlineLevel="0" collapsed="false">
      <c r="A464" s="152" t="str">
        <f aca="false">IF(Rider_Input[[#This Row],[Rider ID]]="","",Salary_Month)</f>
        <v/>
      </c>
      <c r="B464" s="153" t="str">
        <f aca="false">IFERROR(IF(INDEX(FTR_Data,ROW()-ROW(Rider_Input[#Headers]),c_FTR_ID)="","",INDEX(FTR_Data,ROW()-ROW(Rider_Input[#Headers]),c_FTR_ID)),"")</f>
        <v/>
      </c>
      <c r="C46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6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64" s="153" t="str">
        <f aca="false">IF(Rider_Input[[#This Row],[Rider ID]]="","",DAY(EOMONTH(Salary_Month,0)))</f>
        <v/>
      </c>
      <c r="F464" s="153" t="str">
        <f aca="false">IF(Rider_Input[[#This Row],[Rider ID]]="","",IFERROR(IF(INDEX(FTR_Data,ROW()-ROW(Rider_Input[#Headers]),c_FTR_WD)="","",INDEX(FTR_Data,ROW()-ROW(Rider_Input[#Headers]),c_FTR_WD)),""))</f>
        <v/>
      </c>
      <c r="G464" s="153" t="str">
        <f aca="false">IF(Rider_Input[[#This Row],[Rider ID]]="","",IFERROR(IF(INDEX(FTR_Data,ROW()-ROW(Rider_Input[#Headers]),c_FTR_Orders)="","",INDEX(FTR_Data,ROW()-ROW(Rider_Input[#Headers]),c_FTR_Orders)),""))</f>
        <v/>
      </c>
      <c r="H464" s="155" t="str">
        <f aca="false">IF(Rider_Input[[#This Row],[Rider ID]]="","",IFERROR(ABS(INDEX(RLVL_Data,MATCH(Rider_Input[[#This Row],[Rider ID]],INDEX(RLVL_Data,0,c_RLVL_ID),0),c_RLVL_Missed)),0))</f>
        <v/>
      </c>
      <c r="I464" s="155" t="str">
        <f aca="false">IF(Rider_Input[[#This Row],[Rider ID]]="","",IFERROR(ABS(INDEX(RLVL_Data,MATCH(Rider_Input[[#This Row],[Rider ID]],INDEX(RLVL_Data,0,c_RLVL_ID),0),c_RLVL_Bal)),0))</f>
        <v/>
      </c>
      <c r="J464" s="155" t="str">
        <f aca="false">IF(Rider_Input[[#This Row],[Rider ID]]="","",IFERROR(ABS(INDEX(RLVL_Data,MATCH(Rider_Input[[#This Row],[Rider ID]],INDEX(RLVL_Data,0,c_RLVL_ID),0),c_RLVL_Stack)),0))</f>
        <v/>
      </c>
      <c r="K464" s="155" t="str">
        <f aca="false">IF(Rider_Input[[#This Row],[Rider ID]]="","",SUMIFS(Adj_Input[Other Deductions],Adj_Input[Rider ID],Rider_Input[[#This Row],[Rider ID]]))</f>
        <v/>
      </c>
      <c r="L464" s="154" t="str">
        <f aca="false">IF(Rider_Input[[#This Row],[Rider ID]]="","",IFERROR(INDEX(Adj_Input[Note / Reason],MATCH(Rider_Input[[#This Row],[Rider ID]],Adj_Input[Rider ID],0))&amp;"",""))</f>
        <v/>
      </c>
    </row>
    <row r="465" customFormat="false" ht="14.25" hidden="false" customHeight="false" outlineLevel="0" collapsed="false">
      <c r="A465" s="152" t="str">
        <f aca="false">IF(Rider_Input[[#This Row],[Rider ID]]="","",Salary_Month)</f>
        <v/>
      </c>
      <c r="B465" s="153" t="str">
        <f aca="false">IFERROR(IF(INDEX(FTR_Data,ROW()-ROW(Rider_Input[#Headers]),c_FTR_ID)="","",INDEX(FTR_Data,ROW()-ROW(Rider_Input[#Headers]),c_FTR_ID)),"")</f>
        <v/>
      </c>
      <c r="C46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6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65" s="153" t="str">
        <f aca="false">IF(Rider_Input[[#This Row],[Rider ID]]="","",DAY(EOMONTH(Salary_Month,0)))</f>
        <v/>
      </c>
      <c r="F465" s="153" t="str">
        <f aca="false">IF(Rider_Input[[#This Row],[Rider ID]]="","",IFERROR(IF(INDEX(FTR_Data,ROW()-ROW(Rider_Input[#Headers]),c_FTR_WD)="","",INDEX(FTR_Data,ROW()-ROW(Rider_Input[#Headers]),c_FTR_WD)),""))</f>
        <v/>
      </c>
      <c r="G465" s="153" t="str">
        <f aca="false">IF(Rider_Input[[#This Row],[Rider ID]]="","",IFERROR(IF(INDEX(FTR_Data,ROW()-ROW(Rider_Input[#Headers]),c_FTR_Orders)="","",INDEX(FTR_Data,ROW()-ROW(Rider_Input[#Headers]),c_FTR_Orders)),""))</f>
        <v/>
      </c>
      <c r="H465" s="155" t="str">
        <f aca="false">IF(Rider_Input[[#This Row],[Rider ID]]="","",IFERROR(ABS(INDEX(RLVL_Data,MATCH(Rider_Input[[#This Row],[Rider ID]],INDEX(RLVL_Data,0,c_RLVL_ID),0),c_RLVL_Missed)),0))</f>
        <v/>
      </c>
      <c r="I465" s="155" t="str">
        <f aca="false">IF(Rider_Input[[#This Row],[Rider ID]]="","",IFERROR(ABS(INDEX(RLVL_Data,MATCH(Rider_Input[[#This Row],[Rider ID]],INDEX(RLVL_Data,0,c_RLVL_ID),0),c_RLVL_Bal)),0))</f>
        <v/>
      </c>
      <c r="J465" s="155" t="str">
        <f aca="false">IF(Rider_Input[[#This Row],[Rider ID]]="","",IFERROR(ABS(INDEX(RLVL_Data,MATCH(Rider_Input[[#This Row],[Rider ID]],INDEX(RLVL_Data,0,c_RLVL_ID),0),c_RLVL_Stack)),0))</f>
        <v/>
      </c>
      <c r="K465" s="155" t="str">
        <f aca="false">IF(Rider_Input[[#This Row],[Rider ID]]="","",SUMIFS(Adj_Input[Other Deductions],Adj_Input[Rider ID],Rider_Input[[#This Row],[Rider ID]]))</f>
        <v/>
      </c>
      <c r="L465" s="154" t="str">
        <f aca="false">IF(Rider_Input[[#This Row],[Rider ID]]="","",IFERROR(INDEX(Adj_Input[Note / Reason],MATCH(Rider_Input[[#This Row],[Rider ID]],Adj_Input[Rider ID],0))&amp;"",""))</f>
        <v/>
      </c>
    </row>
    <row r="466" customFormat="false" ht="14.25" hidden="false" customHeight="false" outlineLevel="0" collapsed="false">
      <c r="A466" s="152" t="str">
        <f aca="false">IF(Rider_Input[[#This Row],[Rider ID]]="","",Salary_Month)</f>
        <v/>
      </c>
      <c r="B466" s="153" t="str">
        <f aca="false">IFERROR(IF(INDEX(FTR_Data,ROW()-ROW(Rider_Input[#Headers]),c_FTR_ID)="","",INDEX(FTR_Data,ROW()-ROW(Rider_Input[#Headers]),c_FTR_ID)),"")</f>
        <v/>
      </c>
      <c r="C46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6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66" s="153" t="str">
        <f aca="false">IF(Rider_Input[[#This Row],[Rider ID]]="","",DAY(EOMONTH(Salary_Month,0)))</f>
        <v/>
      </c>
      <c r="F466" s="153" t="str">
        <f aca="false">IF(Rider_Input[[#This Row],[Rider ID]]="","",IFERROR(IF(INDEX(FTR_Data,ROW()-ROW(Rider_Input[#Headers]),c_FTR_WD)="","",INDEX(FTR_Data,ROW()-ROW(Rider_Input[#Headers]),c_FTR_WD)),""))</f>
        <v/>
      </c>
      <c r="G466" s="153" t="str">
        <f aca="false">IF(Rider_Input[[#This Row],[Rider ID]]="","",IFERROR(IF(INDEX(FTR_Data,ROW()-ROW(Rider_Input[#Headers]),c_FTR_Orders)="","",INDEX(FTR_Data,ROW()-ROW(Rider_Input[#Headers]),c_FTR_Orders)),""))</f>
        <v/>
      </c>
      <c r="H466" s="155" t="str">
        <f aca="false">IF(Rider_Input[[#This Row],[Rider ID]]="","",IFERROR(ABS(INDEX(RLVL_Data,MATCH(Rider_Input[[#This Row],[Rider ID]],INDEX(RLVL_Data,0,c_RLVL_ID),0),c_RLVL_Missed)),0))</f>
        <v/>
      </c>
      <c r="I466" s="155" t="str">
        <f aca="false">IF(Rider_Input[[#This Row],[Rider ID]]="","",IFERROR(ABS(INDEX(RLVL_Data,MATCH(Rider_Input[[#This Row],[Rider ID]],INDEX(RLVL_Data,0,c_RLVL_ID),0),c_RLVL_Bal)),0))</f>
        <v/>
      </c>
      <c r="J466" s="155" t="str">
        <f aca="false">IF(Rider_Input[[#This Row],[Rider ID]]="","",IFERROR(ABS(INDEX(RLVL_Data,MATCH(Rider_Input[[#This Row],[Rider ID]],INDEX(RLVL_Data,0,c_RLVL_ID),0),c_RLVL_Stack)),0))</f>
        <v/>
      </c>
      <c r="K466" s="155" t="str">
        <f aca="false">IF(Rider_Input[[#This Row],[Rider ID]]="","",SUMIFS(Adj_Input[Other Deductions],Adj_Input[Rider ID],Rider_Input[[#This Row],[Rider ID]]))</f>
        <v/>
      </c>
      <c r="L466" s="154" t="str">
        <f aca="false">IF(Rider_Input[[#This Row],[Rider ID]]="","",IFERROR(INDEX(Adj_Input[Note / Reason],MATCH(Rider_Input[[#This Row],[Rider ID]],Adj_Input[Rider ID],0))&amp;"",""))</f>
        <v/>
      </c>
    </row>
    <row r="467" customFormat="false" ht="14.25" hidden="false" customHeight="false" outlineLevel="0" collapsed="false">
      <c r="A467" s="152" t="str">
        <f aca="false">IF(Rider_Input[[#This Row],[Rider ID]]="","",Salary_Month)</f>
        <v/>
      </c>
      <c r="B467" s="153" t="str">
        <f aca="false">IFERROR(IF(INDEX(FTR_Data,ROW()-ROW(Rider_Input[#Headers]),c_FTR_ID)="","",INDEX(FTR_Data,ROW()-ROW(Rider_Input[#Headers]),c_FTR_ID)),"")</f>
        <v/>
      </c>
      <c r="C46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6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67" s="153" t="str">
        <f aca="false">IF(Rider_Input[[#This Row],[Rider ID]]="","",DAY(EOMONTH(Salary_Month,0)))</f>
        <v/>
      </c>
      <c r="F467" s="153" t="str">
        <f aca="false">IF(Rider_Input[[#This Row],[Rider ID]]="","",IFERROR(IF(INDEX(FTR_Data,ROW()-ROW(Rider_Input[#Headers]),c_FTR_WD)="","",INDEX(FTR_Data,ROW()-ROW(Rider_Input[#Headers]),c_FTR_WD)),""))</f>
        <v/>
      </c>
      <c r="G467" s="153" t="str">
        <f aca="false">IF(Rider_Input[[#This Row],[Rider ID]]="","",IFERROR(IF(INDEX(FTR_Data,ROW()-ROW(Rider_Input[#Headers]),c_FTR_Orders)="","",INDEX(FTR_Data,ROW()-ROW(Rider_Input[#Headers]),c_FTR_Orders)),""))</f>
        <v/>
      </c>
      <c r="H467" s="155" t="str">
        <f aca="false">IF(Rider_Input[[#This Row],[Rider ID]]="","",IFERROR(ABS(INDEX(RLVL_Data,MATCH(Rider_Input[[#This Row],[Rider ID]],INDEX(RLVL_Data,0,c_RLVL_ID),0),c_RLVL_Missed)),0))</f>
        <v/>
      </c>
      <c r="I467" s="155" t="str">
        <f aca="false">IF(Rider_Input[[#This Row],[Rider ID]]="","",IFERROR(ABS(INDEX(RLVL_Data,MATCH(Rider_Input[[#This Row],[Rider ID]],INDEX(RLVL_Data,0,c_RLVL_ID),0),c_RLVL_Bal)),0))</f>
        <v/>
      </c>
      <c r="J467" s="155" t="str">
        <f aca="false">IF(Rider_Input[[#This Row],[Rider ID]]="","",IFERROR(ABS(INDEX(RLVL_Data,MATCH(Rider_Input[[#This Row],[Rider ID]],INDEX(RLVL_Data,0,c_RLVL_ID),0),c_RLVL_Stack)),0))</f>
        <v/>
      </c>
      <c r="K467" s="155" t="str">
        <f aca="false">IF(Rider_Input[[#This Row],[Rider ID]]="","",SUMIFS(Adj_Input[Other Deductions],Adj_Input[Rider ID],Rider_Input[[#This Row],[Rider ID]]))</f>
        <v/>
      </c>
      <c r="L467" s="154" t="str">
        <f aca="false">IF(Rider_Input[[#This Row],[Rider ID]]="","",IFERROR(INDEX(Adj_Input[Note / Reason],MATCH(Rider_Input[[#This Row],[Rider ID]],Adj_Input[Rider ID],0))&amp;"",""))</f>
        <v/>
      </c>
    </row>
    <row r="468" customFormat="false" ht="14.25" hidden="false" customHeight="false" outlineLevel="0" collapsed="false">
      <c r="A468" s="152" t="str">
        <f aca="false">IF(Rider_Input[[#This Row],[Rider ID]]="","",Salary_Month)</f>
        <v/>
      </c>
      <c r="B468" s="153" t="str">
        <f aca="false">IFERROR(IF(INDEX(FTR_Data,ROW()-ROW(Rider_Input[#Headers]),c_FTR_ID)="","",INDEX(FTR_Data,ROW()-ROW(Rider_Input[#Headers]),c_FTR_ID)),"")</f>
        <v/>
      </c>
      <c r="C46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6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68" s="153" t="str">
        <f aca="false">IF(Rider_Input[[#This Row],[Rider ID]]="","",DAY(EOMONTH(Salary_Month,0)))</f>
        <v/>
      </c>
      <c r="F468" s="153" t="str">
        <f aca="false">IF(Rider_Input[[#This Row],[Rider ID]]="","",IFERROR(IF(INDEX(FTR_Data,ROW()-ROW(Rider_Input[#Headers]),c_FTR_WD)="","",INDEX(FTR_Data,ROW()-ROW(Rider_Input[#Headers]),c_FTR_WD)),""))</f>
        <v/>
      </c>
      <c r="G468" s="153" t="str">
        <f aca="false">IF(Rider_Input[[#This Row],[Rider ID]]="","",IFERROR(IF(INDEX(FTR_Data,ROW()-ROW(Rider_Input[#Headers]),c_FTR_Orders)="","",INDEX(FTR_Data,ROW()-ROW(Rider_Input[#Headers]),c_FTR_Orders)),""))</f>
        <v/>
      </c>
      <c r="H468" s="155" t="str">
        <f aca="false">IF(Rider_Input[[#This Row],[Rider ID]]="","",IFERROR(ABS(INDEX(RLVL_Data,MATCH(Rider_Input[[#This Row],[Rider ID]],INDEX(RLVL_Data,0,c_RLVL_ID),0),c_RLVL_Missed)),0))</f>
        <v/>
      </c>
      <c r="I468" s="155" t="str">
        <f aca="false">IF(Rider_Input[[#This Row],[Rider ID]]="","",IFERROR(ABS(INDEX(RLVL_Data,MATCH(Rider_Input[[#This Row],[Rider ID]],INDEX(RLVL_Data,0,c_RLVL_ID),0),c_RLVL_Bal)),0))</f>
        <v/>
      </c>
      <c r="J468" s="155" t="str">
        <f aca="false">IF(Rider_Input[[#This Row],[Rider ID]]="","",IFERROR(ABS(INDEX(RLVL_Data,MATCH(Rider_Input[[#This Row],[Rider ID]],INDEX(RLVL_Data,0,c_RLVL_ID),0),c_RLVL_Stack)),0))</f>
        <v/>
      </c>
      <c r="K468" s="155" t="str">
        <f aca="false">IF(Rider_Input[[#This Row],[Rider ID]]="","",SUMIFS(Adj_Input[Other Deductions],Adj_Input[Rider ID],Rider_Input[[#This Row],[Rider ID]]))</f>
        <v/>
      </c>
      <c r="L468" s="154" t="str">
        <f aca="false">IF(Rider_Input[[#This Row],[Rider ID]]="","",IFERROR(INDEX(Adj_Input[Note / Reason],MATCH(Rider_Input[[#This Row],[Rider ID]],Adj_Input[Rider ID],0))&amp;"",""))</f>
        <v/>
      </c>
    </row>
    <row r="469" customFormat="false" ht="14.25" hidden="false" customHeight="false" outlineLevel="0" collapsed="false">
      <c r="A469" s="152" t="str">
        <f aca="false">IF(Rider_Input[[#This Row],[Rider ID]]="","",Salary_Month)</f>
        <v/>
      </c>
      <c r="B469" s="153" t="str">
        <f aca="false">IFERROR(IF(INDEX(FTR_Data,ROW()-ROW(Rider_Input[#Headers]),c_FTR_ID)="","",INDEX(FTR_Data,ROW()-ROW(Rider_Input[#Headers]),c_FTR_ID)),"")</f>
        <v/>
      </c>
      <c r="C46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6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69" s="153" t="str">
        <f aca="false">IF(Rider_Input[[#This Row],[Rider ID]]="","",DAY(EOMONTH(Salary_Month,0)))</f>
        <v/>
      </c>
      <c r="F469" s="153" t="str">
        <f aca="false">IF(Rider_Input[[#This Row],[Rider ID]]="","",IFERROR(IF(INDEX(FTR_Data,ROW()-ROW(Rider_Input[#Headers]),c_FTR_WD)="","",INDEX(FTR_Data,ROW()-ROW(Rider_Input[#Headers]),c_FTR_WD)),""))</f>
        <v/>
      </c>
      <c r="G469" s="153" t="str">
        <f aca="false">IF(Rider_Input[[#This Row],[Rider ID]]="","",IFERROR(IF(INDEX(FTR_Data,ROW()-ROW(Rider_Input[#Headers]),c_FTR_Orders)="","",INDEX(FTR_Data,ROW()-ROW(Rider_Input[#Headers]),c_FTR_Orders)),""))</f>
        <v/>
      </c>
      <c r="H469" s="155" t="str">
        <f aca="false">IF(Rider_Input[[#This Row],[Rider ID]]="","",IFERROR(ABS(INDEX(RLVL_Data,MATCH(Rider_Input[[#This Row],[Rider ID]],INDEX(RLVL_Data,0,c_RLVL_ID),0),c_RLVL_Missed)),0))</f>
        <v/>
      </c>
      <c r="I469" s="155" t="str">
        <f aca="false">IF(Rider_Input[[#This Row],[Rider ID]]="","",IFERROR(ABS(INDEX(RLVL_Data,MATCH(Rider_Input[[#This Row],[Rider ID]],INDEX(RLVL_Data,0,c_RLVL_ID),0),c_RLVL_Bal)),0))</f>
        <v/>
      </c>
      <c r="J469" s="155" t="str">
        <f aca="false">IF(Rider_Input[[#This Row],[Rider ID]]="","",IFERROR(ABS(INDEX(RLVL_Data,MATCH(Rider_Input[[#This Row],[Rider ID]],INDEX(RLVL_Data,0,c_RLVL_ID),0),c_RLVL_Stack)),0))</f>
        <v/>
      </c>
      <c r="K469" s="155" t="str">
        <f aca="false">IF(Rider_Input[[#This Row],[Rider ID]]="","",SUMIFS(Adj_Input[Other Deductions],Adj_Input[Rider ID],Rider_Input[[#This Row],[Rider ID]]))</f>
        <v/>
      </c>
      <c r="L469" s="154" t="str">
        <f aca="false">IF(Rider_Input[[#This Row],[Rider ID]]="","",IFERROR(INDEX(Adj_Input[Note / Reason],MATCH(Rider_Input[[#This Row],[Rider ID]],Adj_Input[Rider ID],0))&amp;"",""))</f>
        <v/>
      </c>
    </row>
    <row r="470" customFormat="false" ht="14.25" hidden="false" customHeight="false" outlineLevel="0" collapsed="false">
      <c r="A470" s="152" t="str">
        <f aca="false">IF(Rider_Input[[#This Row],[Rider ID]]="","",Salary_Month)</f>
        <v/>
      </c>
      <c r="B470" s="153" t="str">
        <f aca="false">IFERROR(IF(INDEX(FTR_Data,ROW()-ROW(Rider_Input[#Headers]),c_FTR_ID)="","",INDEX(FTR_Data,ROW()-ROW(Rider_Input[#Headers]),c_FTR_ID)),"")</f>
        <v/>
      </c>
      <c r="C47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7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70" s="153" t="str">
        <f aca="false">IF(Rider_Input[[#This Row],[Rider ID]]="","",DAY(EOMONTH(Salary_Month,0)))</f>
        <v/>
      </c>
      <c r="F470" s="153" t="str">
        <f aca="false">IF(Rider_Input[[#This Row],[Rider ID]]="","",IFERROR(IF(INDEX(FTR_Data,ROW()-ROW(Rider_Input[#Headers]),c_FTR_WD)="","",INDEX(FTR_Data,ROW()-ROW(Rider_Input[#Headers]),c_FTR_WD)),""))</f>
        <v/>
      </c>
      <c r="G470" s="153" t="str">
        <f aca="false">IF(Rider_Input[[#This Row],[Rider ID]]="","",IFERROR(IF(INDEX(FTR_Data,ROW()-ROW(Rider_Input[#Headers]),c_FTR_Orders)="","",INDEX(FTR_Data,ROW()-ROW(Rider_Input[#Headers]),c_FTR_Orders)),""))</f>
        <v/>
      </c>
      <c r="H470" s="155" t="str">
        <f aca="false">IF(Rider_Input[[#This Row],[Rider ID]]="","",IFERROR(ABS(INDEX(RLVL_Data,MATCH(Rider_Input[[#This Row],[Rider ID]],INDEX(RLVL_Data,0,c_RLVL_ID),0),c_RLVL_Missed)),0))</f>
        <v/>
      </c>
      <c r="I470" s="155" t="str">
        <f aca="false">IF(Rider_Input[[#This Row],[Rider ID]]="","",IFERROR(ABS(INDEX(RLVL_Data,MATCH(Rider_Input[[#This Row],[Rider ID]],INDEX(RLVL_Data,0,c_RLVL_ID),0),c_RLVL_Bal)),0))</f>
        <v/>
      </c>
      <c r="J470" s="155" t="str">
        <f aca="false">IF(Rider_Input[[#This Row],[Rider ID]]="","",IFERROR(ABS(INDEX(RLVL_Data,MATCH(Rider_Input[[#This Row],[Rider ID]],INDEX(RLVL_Data,0,c_RLVL_ID),0),c_RLVL_Stack)),0))</f>
        <v/>
      </c>
      <c r="K470" s="155" t="str">
        <f aca="false">IF(Rider_Input[[#This Row],[Rider ID]]="","",SUMIFS(Adj_Input[Other Deductions],Adj_Input[Rider ID],Rider_Input[[#This Row],[Rider ID]]))</f>
        <v/>
      </c>
      <c r="L470" s="154" t="str">
        <f aca="false">IF(Rider_Input[[#This Row],[Rider ID]]="","",IFERROR(INDEX(Adj_Input[Note / Reason],MATCH(Rider_Input[[#This Row],[Rider ID]],Adj_Input[Rider ID],0))&amp;"",""))</f>
        <v/>
      </c>
    </row>
    <row r="471" customFormat="false" ht="14.25" hidden="false" customHeight="false" outlineLevel="0" collapsed="false">
      <c r="A471" s="152" t="str">
        <f aca="false">IF(Rider_Input[[#This Row],[Rider ID]]="","",Salary_Month)</f>
        <v/>
      </c>
      <c r="B471" s="153" t="str">
        <f aca="false">IFERROR(IF(INDEX(FTR_Data,ROW()-ROW(Rider_Input[#Headers]),c_FTR_ID)="","",INDEX(FTR_Data,ROW()-ROW(Rider_Input[#Headers]),c_FTR_ID)),"")</f>
        <v/>
      </c>
      <c r="C47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7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71" s="153" t="str">
        <f aca="false">IF(Rider_Input[[#This Row],[Rider ID]]="","",DAY(EOMONTH(Salary_Month,0)))</f>
        <v/>
      </c>
      <c r="F471" s="153" t="str">
        <f aca="false">IF(Rider_Input[[#This Row],[Rider ID]]="","",IFERROR(IF(INDEX(FTR_Data,ROW()-ROW(Rider_Input[#Headers]),c_FTR_WD)="","",INDEX(FTR_Data,ROW()-ROW(Rider_Input[#Headers]),c_FTR_WD)),""))</f>
        <v/>
      </c>
      <c r="G471" s="153" t="str">
        <f aca="false">IF(Rider_Input[[#This Row],[Rider ID]]="","",IFERROR(IF(INDEX(FTR_Data,ROW()-ROW(Rider_Input[#Headers]),c_FTR_Orders)="","",INDEX(FTR_Data,ROW()-ROW(Rider_Input[#Headers]),c_FTR_Orders)),""))</f>
        <v/>
      </c>
      <c r="H471" s="155" t="str">
        <f aca="false">IF(Rider_Input[[#This Row],[Rider ID]]="","",IFERROR(ABS(INDEX(RLVL_Data,MATCH(Rider_Input[[#This Row],[Rider ID]],INDEX(RLVL_Data,0,c_RLVL_ID),0),c_RLVL_Missed)),0))</f>
        <v/>
      </c>
      <c r="I471" s="155" t="str">
        <f aca="false">IF(Rider_Input[[#This Row],[Rider ID]]="","",IFERROR(ABS(INDEX(RLVL_Data,MATCH(Rider_Input[[#This Row],[Rider ID]],INDEX(RLVL_Data,0,c_RLVL_ID),0),c_RLVL_Bal)),0))</f>
        <v/>
      </c>
      <c r="J471" s="155" t="str">
        <f aca="false">IF(Rider_Input[[#This Row],[Rider ID]]="","",IFERROR(ABS(INDEX(RLVL_Data,MATCH(Rider_Input[[#This Row],[Rider ID]],INDEX(RLVL_Data,0,c_RLVL_ID),0),c_RLVL_Stack)),0))</f>
        <v/>
      </c>
      <c r="K471" s="155" t="str">
        <f aca="false">IF(Rider_Input[[#This Row],[Rider ID]]="","",SUMIFS(Adj_Input[Other Deductions],Adj_Input[Rider ID],Rider_Input[[#This Row],[Rider ID]]))</f>
        <v/>
      </c>
      <c r="L471" s="154" t="str">
        <f aca="false">IF(Rider_Input[[#This Row],[Rider ID]]="","",IFERROR(INDEX(Adj_Input[Note / Reason],MATCH(Rider_Input[[#This Row],[Rider ID]],Adj_Input[Rider ID],0))&amp;"",""))</f>
        <v/>
      </c>
    </row>
    <row r="472" customFormat="false" ht="14.25" hidden="false" customHeight="false" outlineLevel="0" collapsed="false">
      <c r="A472" s="152" t="str">
        <f aca="false">IF(Rider_Input[[#This Row],[Rider ID]]="","",Salary_Month)</f>
        <v/>
      </c>
      <c r="B472" s="153" t="str">
        <f aca="false">IFERROR(IF(INDEX(FTR_Data,ROW()-ROW(Rider_Input[#Headers]),c_FTR_ID)="","",INDEX(FTR_Data,ROW()-ROW(Rider_Input[#Headers]),c_FTR_ID)),"")</f>
        <v/>
      </c>
      <c r="C47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7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72" s="153" t="str">
        <f aca="false">IF(Rider_Input[[#This Row],[Rider ID]]="","",DAY(EOMONTH(Salary_Month,0)))</f>
        <v/>
      </c>
      <c r="F472" s="153" t="str">
        <f aca="false">IF(Rider_Input[[#This Row],[Rider ID]]="","",IFERROR(IF(INDEX(FTR_Data,ROW()-ROW(Rider_Input[#Headers]),c_FTR_WD)="","",INDEX(FTR_Data,ROW()-ROW(Rider_Input[#Headers]),c_FTR_WD)),""))</f>
        <v/>
      </c>
      <c r="G472" s="153" t="str">
        <f aca="false">IF(Rider_Input[[#This Row],[Rider ID]]="","",IFERROR(IF(INDEX(FTR_Data,ROW()-ROW(Rider_Input[#Headers]),c_FTR_Orders)="","",INDEX(FTR_Data,ROW()-ROW(Rider_Input[#Headers]),c_FTR_Orders)),""))</f>
        <v/>
      </c>
      <c r="H472" s="155" t="str">
        <f aca="false">IF(Rider_Input[[#This Row],[Rider ID]]="","",IFERROR(ABS(INDEX(RLVL_Data,MATCH(Rider_Input[[#This Row],[Rider ID]],INDEX(RLVL_Data,0,c_RLVL_ID),0),c_RLVL_Missed)),0))</f>
        <v/>
      </c>
      <c r="I472" s="155" t="str">
        <f aca="false">IF(Rider_Input[[#This Row],[Rider ID]]="","",IFERROR(ABS(INDEX(RLVL_Data,MATCH(Rider_Input[[#This Row],[Rider ID]],INDEX(RLVL_Data,0,c_RLVL_ID),0),c_RLVL_Bal)),0))</f>
        <v/>
      </c>
      <c r="J472" s="155" t="str">
        <f aca="false">IF(Rider_Input[[#This Row],[Rider ID]]="","",IFERROR(ABS(INDEX(RLVL_Data,MATCH(Rider_Input[[#This Row],[Rider ID]],INDEX(RLVL_Data,0,c_RLVL_ID),0),c_RLVL_Stack)),0))</f>
        <v/>
      </c>
      <c r="K472" s="155" t="str">
        <f aca="false">IF(Rider_Input[[#This Row],[Rider ID]]="","",SUMIFS(Adj_Input[Other Deductions],Adj_Input[Rider ID],Rider_Input[[#This Row],[Rider ID]]))</f>
        <v/>
      </c>
      <c r="L472" s="154" t="str">
        <f aca="false">IF(Rider_Input[[#This Row],[Rider ID]]="","",IFERROR(INDEX(Adj_Input[Note / Reason],MATCH(Rider_Input[[#This Row],[Rider ID]],Adj_Input[Rider ID],0))&amp;"",""))</f>
        <v/>
      </c>
    </row>
    <row r="473" customFormat="false" ht="14.25" hidden="false" customHeight="false" outlineLevel="0" collapsed="false">
      <c r="A473" s="152" t="str">
        <f aca="false">IF(Rider_Input[[#This Row],[Rider ID]]="","",Salary_Month)</f>
        <v/>
      </c>
      <c r="B473" s="153" t="str">
        <f aca="false">IFERROR(IF(INDEX(FTR_Data,ROW()-ROW(Rider_Input[#Headers]),c_FTR_ID)="","",INDEX(FTR_Data,ROW()-ROW(Rider_Input[#Headers]),c_FTR_ID)),"")</f>
        <v/>
      </c>
      <c r="C47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7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73" s="153" t="str">
        <f aca="false">IF(Rider_Input[[#This Row],[Rider ID]]="","",DAY(EOMONTH(Salary_Month,0)))</f>
        <v/>
      </c>
      <c r="F473" s="153" t="str">
        <f aca="false">IF(Rider_Input[[#This Row],[Rider ID]]="","",IFERROR(IF(INDEX(FTR_Data,ROW()-ROW(Rider_Input[#Headers]),c_FTR_WD)="","",INDEX(FTR_Data,ROW()-ROW(Rider_Input[#Headers]),c_FTR_WD)),""))</f>
        <v/>
      </c>
      <c r="G473" s="153" t="str">
        <f aca="false">IF(Rider_Input[[#This Row],[Rider ID]]="","",IFERROR(IF(INDEX(FTR_Data,ROW()-ROW(Rider_Input[#Headers]),c_FTR_Orders)="","",INDEX(FTR_Data,ROW()-ROW(Rider_Input[#Headers]),c_FTR_Orders)),""))</f>
        <v/>
      </c>
      <c r="H473" s="155" t="str">
        <f aca="false">IF(Rider_Input[[#This Row],[Rider ID]]="","",IFERROR(ABS(INDEX(RLVL_Data,MATCH(Rider_Input[[#This Row],[Rider ID]],INDEX(RLVL_Data,0,c_RLVL_ID),0),c_RLVL_Missed)),0))</f>
        <v/>
      </c>
      <c r="I473" s="155" t="str">
        <f aca="false">IF(Rider_Input[[#This Row],[Rider ID]]="","",IFERROR(ABS(INDEX(RLVL_Data,MATCH(Rider_Input[[#This Row],[Rider ID]],INDEX(RLVL_Data,0,c_RLVL_ID),0),c_RLVL_Bal)),0))</f>
        <v/>
      </c>
      <c r="J473" s="155" t="str">
        <f aca="false">IF(Rider_Input[[#This Row],[Rider ID]]="","",IFERROR(ABS(INDEX(RLVL_Data,MATCH(Rider_Input[[#This Row],[Rider ID]],INDEX(RLVL_Data,0,c_RLVL_ID),0),c_RLVL_Stack)),0))</f>
        <v/>
      </c>
      <c r="K473" s="155" t="str">
        <f aca="false">IF(Rider_Input[[#This Row],[Rider ID]]="","",SUMIFS(Adj_Input[Other Deductions],Adj_Input[Rider ID],Rider_Input[[#This Row],[Rider ID]]))</f>
        <v/>
      </c>
      <c r="L473" s="154" t="str">
        <f aca="false">IF(Rider_Input[[#This Row],[Rider ID]]="","",IFERROR(INDEX(Adj_Input[Note / Reason],MATCH(Rider_Input[[#This Row],[Rider ID]],Adj_Input[Rider ID],0))&amp;"",""))</f>
        <v/>
      </c>
    </row>
    <row r="474" customFormat="false" ht="14.25" hidden="false" customHeight="false" outlineLevel="0" collapsed="false">
      <c r="A474" s="152" t="str">
        <f aca="false">IF(Rider_Input[[#This Row],[Rider ID]]="","",Salary_Month)</f>
        <v/>
      </c>
      <c r="B474" s="153" t="str">
        <f aca="false">IFERROR(IF(INDEX(FTR_Data,ROW()-ROW(Rider_Input[#Headers]),c_FTR_ID)="","",INDEX(FTR_Data,ROW()-ROW(Rider_Input[#Headers]),c_FTR_ID)),"")</f>
        <v/>
      </c>
      <c r="C47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7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74" s="153" t="str">
        <f aca="false">IF(Rider_Input[[#This Row],[Rider ID]]="","",DAY(EOMONTH(Salary_Month,0)))</f>
        <v/>
      </c>
      <c r="F474" s="153" t="str">
        <f aca="false">IF(Rider_Input[[#This Row],[Rider ID]]="","",IFERROR(IF(INDEX(FTR_Data,ROW()-ROW(Rider_Input[#Headers]),c_FTR_WD)="","",INDEX(FTR_Data,ROW()-ROW(Rider_Input[#Headers]),c_FTR_WD)),""))</f>
        <v/>
      </c>
      <c r="G474" s="153" t="str">
        <f aca="false">IF(Rider_Input[[#This Row],[Rider ID]]="","",IFERROR(IF(INDEX(FTR_Data,ROW()-ROW(Rider_Input[#Headers]),c_FTR_Orders)="","",INDEX(FTR_Data,ROW()-ROW(Rider_Input[#Headers]),c_FTR_Orders)),""))</f>
        <v/>
      </c>
      <c r="H474" s="155" t="str">
        <f aca="false">IF(Rider_Input[[#This Row],[Rider ID]]="","",IFERROR(ABS(INDEX(RLVL_Data,MATCH(Rider_Input[[#This Row],[Rider ID]],INDEX(RLVL_Data,0,c_RLVL_ID),0),c_RLVL_Missed)),0))</f>
        <v/>
      </c>
      <c r="I474" s="155" t="str">
        <f aca="false">IF(Rider_Input[[#This Row],[Rider ID]]="","",IFERROR(ABS(INDEX(RLVL_Data,MATCH(Rider_Input[[#This Row],[Rider ID]],INDEX(RLVL_Data,0,c_RLVL_ID),0),c_RLVL_Bal)),0))</f>
        <v/>
      </c>
      <c r="J474" s="155" t="str">
        <f aca="false">IF(Rider_Input[[#This Row],[Rider ID]]="","",IFERROR(ABS(INDEX(RLVL_Data,MATCH(Rider_Input[[#This Row],[Rider ID]],INDEX(RLVL_Data,0,c_RLVL_ID),0),c_RLVL_Stack)),0))</f>
        <v/>
      </c>
      <c r="K474" s="155" t="str">
        <f aca="false">IF(Rider_Input[[#This Row],[Rider ID]]="","",SUMIFS(Adj_Input[Other Deductions],Adj_Input[Rider ID],Rider_Input[[#This Row],[Rider ID]]))</f>
        <v/>
      </c>
      <c r="L474" s="154" t="str">
        <f aca="false">IF(Rider_Input[[#This Row],[Rider ID]]="","",IFERROR(INDEX(Adj_Input[Note / Reason],MATCH(Rider_Input[[#This Row],[Rider ID]],Adj_Input[Rider ID],0))&amp;"",""))</f>
        <v/>
      </c>
    </row>
    <row r="475" customFormat="false" ht="14.25" hidden="false" customHeight="false" outlineLevel="0" collapsed="false">
      <c r="A475" s="152" t="str">
        <f aca="false">IF(Rider_Input[[#This Row],[Rider ID]]="","",Salary_Month)</f>
        <v/>
      </c>
      <c r="B475" s="153" t="str">
        <f aca="false">IFERROR(IF(INDEX(FTR_Data,ROW()-ROW(Rider_Input[#Headers]),c_FTR_ID)="","",INDEX(FTR_Data,ROW()-ROW(Rider_Input[#Headers]),c_FTR_ID)),"")</f>
        <v/>
      </c>
      <c r="C47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7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75" s="153" t="str">
        <f aca="false">IF(Rider_Input[[#This Row],[Rider ID]]="","",DAY(EOMONTH(Salary_Month,0)))</f>
        <v/>
      </c>
      <c r="F475" s="153" t="str">
        <f aca="false">IF(Rider_Input[[#This Row],[Rider ID]]="","",IFERROR(IF(INDEX(FTR_Data,ROW()-ROW(Rider_Input[#Headers]),c_FTR_WD)="","",INDEX(FTR_Data,ROW()-ROW(Rider_Input[#Headers]),c_FTR_WD)),""))</f>
        <v/>
      </c>
      <c r="G475" s="153" t="str">
        <f aca="false">IF(Rider_Input[[#This Row],[Rider ID]]="","",IFERROR(IF(INDEX(FTR_Data,ROW()-ROW(Rider_Input[#Headers]),c_FTR_Orders)="","",INDEX(FTR_Data,ROW()-ROW(Rider_Input[#Headers]),c_FTR_Orders)),""))</f>
        <v/>
      </c>
      <c r="H475" s="155" t="str">
        <f aca="false">IF(Rider_Input[[#This Row],[Rider ID]]="","",IFERROR(ABS(INDEX(RLVL_Data,MATCH(Rider_Input[[#This Row],[Rider ID]],INDEX(RLVL_Data,0,c_RLVL_ID),0),c_RLVL_Missed)),0))</f>
        <v/>
      </c>
      <c r="I475" s="155" t="str">
        <f aca="false">IF(Rider_Input[[#This Row],[Rider ID]]="","",IFERROR(ABS(INDEX(RLVL_Data,MATCH(Rider_Input[[#This Row],[Rider ID]],INDEX(RLVL_Data,0,c_RLVL_ID),0),c_RLVL_Bal)),0))</f>
        <v/>
      </c>
      <c r="J475" s="155" t="str">
        <f aca="false">IF(Rider_Input[[#This Row],[Rider ID]]="","",IFERROR(ABS(INDEX(RLVL_Data,MATCH(Rider_Input[[#This Row],[Rider ID]],INDEX(RLVL_Data,0,c_RLVL_ID),0),c_RLVL_Stack)),0))</f>
        <v/>
      </c>
      <c r="K475" s="155" t="str">
        <f aca="false">IF(Rider_Input[[#This Row],[Rider ID]]="","",SUMIFS(Adj_Input[Other Deductions],Adj_Input[Rider ID],Rider_Input[[#This Row],[Rider ID]]))</f>
        <v/>
      </c>
      <c r="L475" s="154" t="str">
        <f aca="false">IF(Rider_Input[[#This Row],[Rider ID]]="","",IFERROR(INDEX(Adj_Input[Note / Reason],MATCH(Rider_Input[[#This Row],[Rider ID]],Adj_Input[Rider ID],0))&amp;"",""))</f>
        <v/>
      </c>
    </row>
    <row r="476" customFormat="false" ht="14.25" hidden="false" customHeight="false" outlineLevel="0" collapsed="false">
      <c r="A476" s="152" t="str">
        <f aca="false">IF(Rider_Input[[#This Row],[Rider ID]]="","",Salary_Month)</f>
        <v/>
      </c>
      <c r="B476" s="153" t="str">
        <f aca="false">IFERROR(IF(INDEX(FTR_Data,ROW()-ROW(Rider_Input[#Headers]),c_FTR_ID)="","",INDEX(FTR_Data,ROW()-ROW(Rider_Input[#Headers]),c_FTR_ID)),"")</f>
        <v/>
      </c>
      <c r="C47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7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76" s="153" t="str">
        <f aca="false">IF(Rider_Input[[#This Row],[Rider ID]]="","",DAY(EOMONTH(Salary_Month,0)))</f>
        <v/>
      </c>
      <c r="F476" s="153" t="str">
        <f aca="false">IF(Rider_Input[[#This Row],[Rider ID]]="","",IFERROR(IF(INDEX(FTR_Data,ROW()-ROW(Rider_Input[#Headers]),c_FTR_WD)="","",INDEX(FTR_Data,ROW()-ROW(Rider_Input[#Headers]),c_FTR_WD)),""))</f>
        <v/>
      </c>
      <c r="G476" s="153" t="str">
        <f aca="false">IF(Rider_Input[[#This Row],[Rider ID]]="","",IFERROR(IF(INDEX(FTR_Data,ROW()-ROW(Rider_Input[#Headers]),c_FTR_Orders)="","",INDEX(FTR_Data,ROW()-ROW(Rider_Input[#Headers]),c_FTR_Orders)),""))</f>
        <v/>
      </c>
      <c r="H476" s="155" t="str">
        <f aca="false">IF(Rider_Input[[#This Row],[Rider ID]]="","",IFERROR(ABS(INDEX(RLVL_Data,MATCH(Rider_Input[[#This Row],[Rider ID]],INDEX(RLVL_Data,0,c_RLVL_ID),0),c_RLVL_Missed)),0))</f>
        <v/>
      </c>
      <c r="I476" s="155" t="str">
        <f aca="false">IF(Rider_Input[[#This Row],[Rider ID]]="","",IFERROR(ABS(INDEX(RLVL_Data,MATCH(Rider_Input[[#This Row],[Rider ID]],INDEX(RLVL_Data,0,c_RLVL_ID),0),c_RLVL_Bal)),0))</f>
        <v/>
      </c>
      <c r="J476" s="155" t="str">
        <f aca="false">IF(Rider_Input[[#This Row],[Rider ID]]="","",IFERROR(ABS(INDEX(RLVL_Data,MATCH(Rider_Input[[#This Row],[Rider ID]],INDEX(RLVL_Data,0,c_RLVL_ID),0),c_RLVL_Stack)),0))</f>
        <v/>
      </c>
      <c r="K476" s="155" t="str">
        <f aca="false">IF(Rider_Input[[#This Row],[Rider ID]]="","",SUMIFS(Adj_Input[Other Deductions],Adj_Input[Rider ID],Rider_Input[[#This Row],[Rider ID]]))</f>
        <v/>
      </c>
      <c r="L476" s="154" t="str">
        <f aca="false">IF(Rider_Input[[#This Row],[Rider ID]]="","",IFERROR(INDEX(Adj_Input[Note / Reason],MATCH(Rider_Input[[#This Row],[Rider ID]],Adj_Input[Rider ID],0))&amp;"",""))</f>
        <v/>
      </c>
    </row>
    <row r="477" customFormat="false" ht="14.25" hidden="false" customHeight="false" outlineLevel="0" collapsed="false">
      <c r="A477" s="152" t="str">
        <f aca="false">IF(Rider_Input[[#This Row],[Rider ID]]="","",Salary_Month)</f>
        <v/>
      </c>
      <c r="B477" s="153" t="str">
        <f aca="false">IFERROR(IF(INDEX(FTR_Data,ROW()-ROW(Rider_Input[#Headers]),c_FTR_ID)="","",INDEX(FTR_Data,ROW()-ROW(Rider_Input[#Headers]),c_FTR_ID)),"")</f>
        <v/>
      </c>
      <c r="C47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7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77" s="153" t="str">
        <f aca="false">IF(Rider_Input[[#This Row],[Rider ID]]="","",DAY(EOMONTH(Salary_Month,0)))</f>
        <v/>
      </c>
      <c r="F477" s="153" t="str">
        <f aca="false">IF(Rider_Input[[#This Row],[Rider ID]]="","",IFERROR(IF(INDEX(FTR_Data,ROW()-ROW(Rider_Input[#Headers]),c_FTR_WD)="","",INDEX(FTR_Data,ROW()-ROW(Rider_Input[#Headers]),c_FTR_WD)),""))</f>
        <v/>
      </c>
      <c r="G477" s="153" t="str">
        <f aca="false">IF(Rider_Input[[#This Row],[Rider ID]]="","",IFERROR(IF(INDEX(FTR_Data,ROW()-ROW(Rider_Input[#Headers]),c_FTR_Orders)="","",INDEX(FTR_Data,ROW()-ROW(Rider_Input[#Headers]),c_FTR_Orders)),""))</f>
        <v/>
      </c>
      <c r="H477" s="155" t="str">
        <f aca="false">IF(Rider_Input[[#This Row],[Rider ID]]="","",IFERROR(ABS(INDEX(RLVL_Data,MATCH(Rider_Input[[#This Row],[Rider ID]],INDEX(RLVL_Data,0,c_RLVL_ID),0),c_RLVL_Missed)),0))</f>
        <v/>
      </c>
      <c r="I477" s="155" t="str">
        <f aca="false">IF(Rider_Input[[#This Row],[Rider ID]]="","",IFERROR(ABS(INDEX(RLVL_Data,MATCH(Rider_Input[[#This Row],[Rider ID]],INDEX(RLVL_Data,0,c_RLVL_ID),0),c_RLVL_Bal)),0))</f>
        <v/>
      </c>
      <c r="J477" s="155" t="str">
        <f aca="false">IF(Rider_Input[[#This Row],[Rider ID]]="","",IFERROR(ABS(INDEX(RLVL_Data,MATCH(Rider_Input[[#This Row],[Rider ID]],INDEX(RLVL_Data,0,c_RLVL_ID),0),c_RLVL_Stack)),0))</f>
        <v/>
      </c>
      <c r="K477" s="155" t="str">
        <f aca="false">IF(Rider_Input[[#This Row],[Rider ID]]="","",SUMIFS(Adj_Input[Other Deductions],Adj_Input[Rider ID],Rider_Input[[#This Row],[Rider ID]]))</f>
        <v/>
      </c>
      <c r="L477" s="154" t="str">
        <f aca="false">IF(Rider_Input[[#This Row],[Rider ID]]="","",IFERROR(INDEX(Adj_Input[Note / Reason],MATCH(Rider_Input[[#This Row],[Rider ID]],Adj_Input[Rider ID],0))&amp;"",""))</f>
        <v/>
      </c>
    </row>
    <row r="478" customFormat="false" ht="14.25" hidden="false" customHeight="false" outlineLevel="0" collapsed="false">
      <c r="A478" s="152" t="str">
        <f aca="false">IF(Rider_Input[[#This Row],[Rider ID]]="","",Salary_Month)</f>
        <v/>
      </c>
      <c r="B478" s="153" t="str">
        <f aca="false">IFERROR(IF(INDEX(FTR_Data,ROW()-ROW(Rider_Input[#Headers]),c_FTR_ID)="","",INDEX(FTR_Data,ROW()-ROW(Rider_Input[#Headers]),c_FTR_ID)),"")</f>
        <v/>
      </c>
      <c r="C47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7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78" s="153" t="str">
        <f aca="false">IF(Rider_Input[[#This Row],[Rider ID]]="","",DAY(EOMONTH(Salary_Month,0)))</f>
        <v/>
      </c>
      <c r="F478" s="153" t="str">
        <f aca="false">IF(Rider_Input[[#This Row],[Rider ID]]="","",IFERROR(IF(INDEX(FTR_Data,ROW()-ROW(Rider_Input[#Headers]),c_FTR_WD)="","",INDEX(FTR_Data,ROW()-ROW(Rider_Input[#Headers]),c_FTR_WD)),""))</f>
        <v/>
      </c>
      <c r="G478" s="153" t="str">
        <f aca="false">IF(Rider_Input[[#This Row],[Rider ID]]="","",IFERROR(IF(INDEX(FTR_Data,ROW()-ROW(Rider_Input[#Headers]),c_FTR_Orders)="","",INDEX(FTR_Data,ROW()-ROW(Rider_Input[#Headers]),c_FTR_Orders)),""))</f>
        <v/>
      </c>
      <c r="H478" s="155" t="str">
        <f aca="false">IF(Rider_Input[[#This Row],[Rider ID]]="","",IFERROR(ABS(INDEX(RLVL_Data,MATCH(Rider_Input[[#This Row],[Rider ID]],INDEX(RLVL_Data,0,c_RLVL_ID),0),c_RLVL_Missed)),0))</f>
        <v/>
      </c>
      <c r="I478" s="155" t="str">
        <f aca="false">IF(Rider_Input[[#This Row],[Rider ID]]="","",IFERROR(ABS(INDEX(RLVL_Data,MATCH(Rider_Input[[#This Row],[Rider ID]],INDEX(RLVL_Data,0,c_RLVL_ID),0),c_RLVL_Bal)),0))</f>
        <v/>
      </c>
      <c r="J478" s="155" t="str">
        <f aca="false">IF(Rider_Input[[#This Row],[Rider ID]]="","",IFERROR(ABS(INDEX(RLVL_Data,MATCH(Rider_Input[[#This Row],[Rider ID]],INDEX(RLVL_Data,0,c_RLVL_ID),0),c_RLVL_Stack)),0))</f>
        <v/>
      </c>
      <c r="K478" s="155" t="str">
        <f aca="false">IF(Rider_Input[[#This Row],[Rider ID]]="","",SUMIFS(Adj_Input[Other Deductions],Adj_Input[Rider ID],Rider_Input[[#This Row],[Rider ID]]))</f>
        <v/>
      </c>
      <c r="L478" s="154" t="str">
        <f aca="false">IF(Rider_Input[[#This Row],[Rider ID]]="","",IFERROR(INDEX(Adj_Input[Note / Reason],MATCH(Rider_Input[[#This Row],[Rider ID]],Adj_Input[Rider ID],0))&amp;"",""))</f>
        <v/>
      </c>
    </row>
    <row r="479" customFormat="false" ht="14.25" hidden="false" customHeight="false" outlineLevel="0" collapsed="false">
      <c r="A479" s="152" t="str">
        <f aca="false">IF(Rider_Input[[#This Row],[Rider ID]]="","",Salary_Month)</f>
        <v/>
      </c>
      <c r="B479" s="153" t="str">
        <f aca="false">IFERROR(IF(INDEX(FTR_Data,ROW()-ROW(Rider_Input[#Headers]),c_FTR_ID)="","",INDEX(FTR_Data,ROW()-ROW(Rider_Input[#Headers]),c_FTR_ID)),"")</f>
        <v/>
      </c>
      <c r="C47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7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79" s="153" t="str">
        <f aca="false">IF(Rider_Input[[#This Row],[Rider ID]]="","",DAY(EOMONTH(Salary_Month,0)))</f>
        <v/>
      </c>
      <c r="F479" s="153" t="str">
        <f aca="false">IF(Rider_Input[[#This Row],[Rider ID]]="","",IFERROR(IF(INDEX(FTR_Data,ROW()-ROW(Rider_Input[#Headers]),c_FTR_WD)="","",INDEX(FTR_Data,ROW()-ROW(Rider_Input[#Headers]),c_FTR_WD)),""))</f>
        <v/>
      </c>
      <c r="G479" s="153" t="str">
        <f aca="false">IF(Rider_Input[[#This Row],[Rider ID]]="","",IFERROR(IF(INDEX(FTR_Data,ROW()-ROW(Rider_Input[#Headers]),c_FTR_Orders)="","",INDEX(FTR_Data,ROW()-ROW(Rider_Input[#Headers]),c_FTR_Orders)),""))</f>
        <v/>
      </c>
      <c r="H479" s="155" t="str">
        <f aca="false">IF(Rider_Input[[#This Row],[Rider ID]]="","",IFERROR(ABS(INDEX(RLVL_Data,MATCH(Rider_Input[[#This Row],[Rider ID]],INDEX(RLVL_Data,0,c_RLVL_ID),0),c_RLVL_Missed)),0))</f>
        <v/>
      </c>
      <c r="I479" s="155" t="str">
        <f aca="false">IF(Rider_Input[[#This Row],[Rider ID]]="","",IFERROR(ABS(INDEX(RLVL_Data,MATCH(Rider_Input[[#This Row],[Rider ID]],INDEX(RLVL_Data,0,c_RLVL_ID),0),c_RLVL_Bal)),0))</f>
        <v/>
      </c>
      <c r="J479" s="155" t="str">
        <f aca="false">IF(Rider_Input[[#This Row],[Rider ID]]="","",IFERROR(ABS(INDEX(RLVL_Data,MATCH(Rider_Input[[#This Row],[Rider ID]],INDEX(RLVL_Data,0,c_RLVL_ID),0),c_RLVL_Stack)),0))</f>
        <v/>
      </c>
      <c r="K479" s="155" t="str">
        <f aca="false">IF(Rider_Input[[#This Row],[Rider ID]]="","",SUMIFS(Adj_Input[Other Deductions],Adj_Input[Rider ID],Rider_Input[[#This Row],[Rider ID]]))</f>
        <v/>
      </c>
      <c r="L479" s="154" t="str">
        <f aca="false">IF(Rider_Input[[#This Row],[Rider ID]]="","",IFERROR(INDEX(Adj_Input[Note / Reason],MATCH(Rider_Input[[#This Row],[Rider ID]],Adj_Input[Rider ID],0))&amp;"",""))</f>
        <v/>
      </c>
    </row>
    <row r="480" customFormat="false" ht="14.25" hidden="false" customHeight="false" outlineLevel="0" collapsed="false">
      <c r="A480" s="152" t="str">
        <f aca="false">IF(Rider_Input[[#This Row],[Rider ID]]="","",Salary_Month)</f>
        <v/>
      </c>
      <c r="B480" s="153" t="str">
        <f aca="false">IFERROR(IF(INDEX(FTR_Data,ROW()-ROW(Rider_Input[#Headers]),c_FTR_ID)="","",INDEX(FTR_Data,ROW()-ROW(Rider_Input[#Headers]),c_FTR_ID)),"")</f>
        <v/>
      </c>
      <c r="C48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8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80" s="153" t="str">
        <f aca="false">IF(Rider_Input[[#This Row],[Rider ID]]="","",DAY(EOMONTH(Salary_Month,0)))</f>
        <v/>
      </c>
      <c r="F480" s="153" t="str">
        <f aca="false">IF(Rider_Input[[#This Row],[Rider ID]]="","",IFERROR(IF(INDEX(FTR_Data,ROW()-ROW(Rider_Input[#Headers]),c_FTR_WD)="","",INDEX(FTR_Data,ROW()-ROW(Rider_Input[#Headers]),c_FTR_WD)),""))</f>
        <v/>
      </c>
      <c r="G480" s="153" t="str">
        <f aca="false">IF(Rider_Input[[#This Row],[Rider ID]]="","",IFERROR(IF(INDEX(FTR_Data,ROW()-ROW(Rider_Input[#Headers]),c_FTR_Orders)="","",INDEX(FTR_Data,ROW()-ROW(Rider_Input[#Headers]),c_FTR_Orders)),""))</f>
        <v/>
      </c>
      <c r="H480" s="155" t="str">
        <f aca="false">IF(Rider_Input[[#This Row],[Rider ID]]="","",IFERROR(ABS(INDEX(RLVL_Data,MATCH(Rider_Input[[#This Row],[Rider ID]],INDEX(RLVL_Data,0,c_RLVL_ID),0),c_RLVL_Missed)),0))</f>
        <v/>
      </c>
      <c r="I480" s="155" t="str">
        <f aca="false">IF(Rider_Input[[#This Row],[Rider ID]]="","",IFERROR(ABS(INDEX(RLVL_Data,MATCH(Rider_Input[[#This Row],[Rider ID]],INDEX(RLVL_Data,0,c_RLVL_ID),0),c_RLVL_Bal)),0))</f>
        <v/>
      </c>
      <c r="J480" s="155" t="str">
        <f aca="false">IF(Rider_Input[[#This Row],[Rider ID]]="","",IFERROR(ABS(INDEX(RLVL_Data,MATCH(Rider_Input[[#This Row],[Rider ID]],INDEX(RLVL_Data,0,c_RLVL_ID),0),c_RLVL_Stack)),0))</f>
        <v/>
      </c>
      <c r="K480" s="155" t="str">
        <f aca="false">IF(Rider_Input[[#This Row],[Rider ID]]="","",SUMIFS(Adj_Input[Other Deductions],Adj_Input[Rider ID],Rider_Input[[#This Row],[Rider ID]]))</f>
        <v/>
      </c>
      <c r="L480" s="154" t="str">
        <f aca="false">IF(Rider_Input[[#This Row],[Rider ID]]="","",IFERROR(INDEX(Adj_Input[Note / Reason],MATCH(Rider_Input[[#This Row],[Rider ID]],Adj_Input[Rider ID],0))&amp;"",""))</f>
        <v/>
      </c>
    </row>
    <row r="481" customFormat="false" ht="14.25" hidden="false" customHeight="false" outlineLevel="0" collapsed="false">
      <c r="A481" s="152" t="str">
        <f aca="false">IF(Rider_Input[[#This Row],[Rider ID]]="","",Salary_Month)</f>
        <v/>
      </c>
      <c r="B481" s="153" t="str">
        <f aca="false">IFERROR(IF(INDEX(FTR_Data,ROW()-ROW(Rider_Input[#Headers]),c_FTR_ID)="","",INDEX(FTR_Data,ROW()-ROW(Rider_Input[#Headers]),c_FTR_ID)),"")</f>
        <v/>
      </c>
      <c r="C48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8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81" s="153" t="str">
        <f aca="false">IF(Rider_Input[[#This Row],[Rider ID]]="","",DAY(EOMONTH(Salary_Month,0)))</f>
        <v/>
      </c>
      <c r="F481" s="153" t="str">
        <f aca="false">IF(Rider_Input[[#This Row],[Rider ID]]="","",IFERROR(IF(INDEX(FTR_Data,ROW()-ROW(Rider_Input[#Headers]),c_FTR_WD)="","",INDEX(FTR_Data,ROW()-ROW(Rider_Input[#Headers]),c_FTR_WD)),""))</f>
        <v/>
      </c>
      <c r="G481" s="153" t="str">
        <f aca="false">IF(Rider_Input[[#This Row],[Rider ID]]="","",IFERROR(IF(INDEX(FTR_Data,ROW()-ROW(Rider_Input[#Headers]),c_FTR_Orders)="","",INDEX(FTR_Data,ROW()-ROW(Rider_Input[#Headers]),c_FTR_Orders)),""))</f>
        <v/>
      </c>
      <c r="H481" s="155" t="str">
        <f aca="false">IF(Rider_Input[[#This Row],[Rider ID]]="","",IFERROR(ABS(INDEX(RLVL_Data,MATCH(Rider_Input[[#This Row],[Rider ID]],INDEX(RLVL_Data,0,c_RLVL_ID),0),c_RLVL_Missed)),0))</f>
        <v/>
      </c>
      <c r="I481" s="155" t="str">
        <f aca="false">IF(Rider_Input[[#This Row],[Rider ID]]="","",IFERROR(ABS(INDEX(RLVL_Data,MATCH(Rider_Input[[#This Row],[Rider ID]],INDEX(RLVL_Data,0,c_RLVL_ID),0),c_RLVL_Bal)),0))</f>
        <v/>
      </c>
      <c r="J481" s="155" t="str">
        <f aca="false">IF(Rider_Input[[#This Row],[Rider ID]]="","",IFERROR(ABS(INDEX(RLVL_Data,MATCH(Rider_Input[[#This Row],[Rider ID]],INDEX(RLVL_Data,0,c_RLVL_ID),0),c_RLVL_Stack)),0))</f>
        <v/>
      </c>
      <c r="K481" s="155" t="str">
        <f aca="false">IF(Rider_Input[[#This Row],[Rider ID]]="","",SUMIFS(Adj_Input[Other Deductions],Adj_Input[Rider ID],Rider_Input[[#This Row],[Rider ID]]))</f>
        <v/>
      </c>
      <c r="L481" s="154" t="str">
        <f aca="false">IF(Rider_Input[[#This Row],[Rider ID]]="","",IFERROR(INDEX(Adj_Input[Note / Reason],MATCH(Rider_Input[[#This Row],[Rider ID]],Adj_Input[Rider ID],0))&amp;"",""))</f>
        <v/>
      </c>
    </row>
    <row r="482" customFormat="false" ht="14.25" hidden="false" customHeight="false" outlineLevel="0" collapsed="false">
      <c r="A482" s="152" t="str">
        <f aca="false">IF(Rider_Input[[#This Row],[Rider ID]]="","",Salary_Month)</f>
        <v/>
      </c>
      <c r="B482" s="153" t="str">
        <f aca="false">IFERROR(IF(INDEX(FTR_Data,ROW()-ROW(Rider_Input[#Headers]),c_FTR_ID)="","",INDEX(FTR_Data,ROW()-ROW(Rider_Input[#Headers]),c_FTR_ID)),"")</f>
        <v/>
      </c>
      <c r="C48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8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82" s="153" t="str">
        <f aca="false">IF(Rider_Input[[#This Row],[Rider ID]]="","",DAY(EOMONTH(Salary_Month,0)))</f>
        <v/>
      </c>
      <c r="F482" s="153" t="str">
        <f aca="false">IF(Rider_Input[[#This Row],[Rider ID]]="","",IFERROR(IF(INDEX(FTR_Data,ROW()-ROW(Rider_Input[#Headers]),c_FTR_WD)="","",INDEX(FTR_Data,ROW()-ROW(Rider_Input[#Headers]),c_FTR_WD)),""))</f>
        <v/>
      </c>
      <c r="G482" s="153" t="str">
        <f aca="false">IF(Rider_Input[[#This Row],[Rider ID]]="","",IFERROR(IF(INDEX(FTR_Data,ROW()-ROW(Rider_Input[#Headers]),c_FTR_Orders)="","",INDEX(FTR_Data,ROW()-ROW(Rider_Input[#Headers]),c_FTR_Orders)),""))</f>
        <v/>
      </c>
      <c r="H482" s="155" t="str">
        <f aca="false">IF(Rider_Input[[#This Row],[Rider ID]]="","",IFERROR(ABS(INDEX(RLVL_Data,MATCH(Rider_Input[[#This Row],[Rider ID]],INDEX(RLVL_Data,0,c_RLVL_ID),0),c_RLVL_Missed)),0))</f>
        <v/>
      </c>
      <c r="I482" s="155" t="str">
        <f aca="false">IF(Rider_Input[[#This Row],[Rider ID]]="","",IFERROR(ABS(INDEX(RLVL_Data,MATCH(Rider_Input[[#This Row],[Rider ID]],INDEX(RLVL_Data,0,c_RLVL_ID),0),c_RLVL_Bal)),0))</f>
        <v/>
      </c>
      <c r="J482" s="155" t="str">
        <f aca="false">IF(Rider_Input[[#This Row],[Rider ID]]="","",IFERROR(ABS(INDEX(RLVL_Data,MATCH(Rider_Input[[#This Row],[Rider ID]],INDEX(RLVL_Data,0,c_RLVL_ID),0),c_RLVL_Stack)),0))</f>
        <v/>
      </c>
      <c r="K482" s="155" t="str">
        <f aca="false">IF(Rider_Input[[#This Row],[Rider ID]]="","",SUMIFS(Adj_Input[Other Deductions],Adj_Input[Rider ID],Rider_Input[[#This Row],[Rider ID]]))</f>
        <v/>
      </c>
      <c r="L482" s="154" t="str">
        <f aca="false">IF(Rider_Input[[#This Row],[Rider ID]]="","",IFERROR(INDEX(Adj_Input[Note / Reason],MATCH(Rider_Input[[#This Row],[Rider ID]],Adj_Input[Rider ID],0))&amp;"",""))</f>
        <v/>
      </c>
    </row>
    <row r="483" customFormat="false" ht="14.25" hidden="false" customHeight="false" outlineLevel="0" collapsed="false">
      <c r="A483" s="152" t="str">
        <f aca="false">IF(Rider_Input[[#This Row],[Rider ID]]="","",Salary_Month)</f>
        <v/>
      </c>
      <c r="B483" s="153" t="str">
        <f aca="false">IFERROR(IF(INDEX(FTR_Data,ROW()-ROW(Rider_Input[#Headers]),c_FTR_ID)="","",INDEX(FTR_Data,ROW()-ROW(Rider_Input[#Headers]),c_FTR_ID)),"")</f>
        <v/>
      </c>
      <c r="C48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8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83" s="153" t="str">
        <f aca="false">IF(Rider_Input[[#This Row],[Rider ID]]="","",DAY(EOMONTH(Salary_Month,0)))</f>
        <v/>
      </c>
      <c r="F483" s="153" t="str">
        <f aca="false">IF(Rider_Input[[#This Row],[Rider ID]]="","",IFERROR(IF(INDEX(FTR_Data,ROW()-ROW(Rider_Input[#Headers]),c_FTR_WD)="","",INDEX(FTR_Data,ROW()-ROW(Rider_Input[#Headers]),c_FTR_WD)),""))</f>
        <v/>
      </c>
      <c r="G483" s="153" t="str">
        <f aca="false">IF(Rider_Input[[#This Row],[Rider ID]]="","",IFERROR(IF(INDEX(FTR_Data,ROW()-ROW(Rider_Input[#Headers]),c_FTR_Orders)="","",INDEX(FTR_Data,ROW()-ROW(Rider_Input[#Headers]),c_FTR_Orders)),""))</f>
        <v/>
      </c>
      <c r="H483" s="155" t="str">
        <f aca="false">IF(Rider_Input[[#This Row],[Rider ID]]="","",IFERROR(ABS(INDEX(RLVL_Data,MATCH(Rider_Input[[#This Row],[Rider ID]],INDEX(RLVL_Data,0,c_RLVL_ID),0),c_RLVL_Missed)),0))</f>
        <v/>
      </c>
      <c r="I483" s="155" t="str">
        <f aca="false">IF(Rider_Input[[#This Row],[Rider ID]]="","",IFERROR(ABS(INDEX(RLVL_Data,MATCH(Rider_Input[[#This Row],[Rider ID]],INDEX(RLVL_Data,0,c_RLVL_ID),0),c_RLVL_Bal)),0))</f>
        <v/>
      </c>
      <c r="J483" s="155" t="str">
        <f aca="false">IF(Rider_Input[[#This Row],[Rider ID]]="","",IFERROR(ABS(INDEX(RLVL_Data,MATCH(Rider_Input[[#This Row],[Rider ID]],INDEX(RLVL_Data,0,c_RLVL_ID),0),c_RLVL_Stack)),0))</f>
        <v/>
      </c>
      <c r="K483" s="155" t="str">
        <f aca="false">IF(Rider_Input[[#This Row],[Rider ID]]="","",SUMIFS(Adj_Input[Other Deductions],Adj_Input[Rider ID],Rider_Input[[#This Row],[Rider ID]]))</f>
        <v/>
      </c>
      <c r="L483" s="154" t="str">
        <f aca="false">IF(Rider_Input[[#This Row],[Rider ID]]="","",IFERROR(INDEX(Adj_Input[Note / Reason],MATCH(Rider_Input[[#This Row],[Rider ID]],Adj_Input[Rider ID],0))&amp;"",""))</f>
        <v/>
      </c>
    </row>
    <row r="484" customFormat="false" ht="14.25" hidden="false" customHeight="false" outlineLevel="0" collapsed="false">
      <c r="A484" s="152" t="str">
        <f aca="false">IF(Rider_Input[[#This Row],[Rider ID]]="","",Salary_Month)</f>
        <v/>
      </c>
      <c r="B484" s="153" t="str">
        <f aca="false">IFERROR(IF(INDEX(FTR_Data,ROW()-ROW(Rider_Input[#Headers]),c_FTR_ID)="","",INDEX(FTR_Data,ROW()-ROW(Rider_Input[#Headers]),c_FTR_ID)),"")</f>
        <v/>
      </c>
      <c r="C48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8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84" s="153" t="str">
        <f aca="false">IF(Rider_Input[[#This Row],[Rider ID]]="","",DAY(EOMONTH(Salary_Month,0)))</f>
        <v/>
      </c>
      <c r="F484" s="153" t="str">
        <f aca="false">IF(Rider_Input[[#This Row],[Rider ID]]="","",IFERROR(IF(INDEX(FTR_Data,ROW()-ROW(Rider_Input[#Headers]),c_FTR_WD)="","",INDEX(FTR_Data,ROW()-ROW(Rider_Input[#Headers]),c_FTR_WD)),""))</f>
        <v/>
      </c>
      <c r="G484" s="153" t="str">
        <f aca="false">IF(Rider_Input[[#This Row],[Rider ID]]="","",IFERROR(IF(INDEX(FTR_Data,ROW()-ROW(Rider_Input[#Headers]),c_FTR_Orders)="","",INDEX(FTR_Data,ROW()-ROW(Rider_Input[#Headers]),c_FTR_Orders)),""))</f>
        <v/>
      </c>
      <c r="H484" s="155" t="str">
        <f aca="false">IF(Rider_Input[[#This Row],[Rider ID]]="","",IFERROR(ABS(INDEX(RLVL_Data,MATCH(Rider_Input[[#This Row],[Rider ID]],INDEX(RLVL_Data,0,c_RLVL_ID),0),c_RLVL_Missed)),0))</f>
        <v/>
      </c>
      <c r="I484" s="155" t="str">
        <f aca="false">IF(Rider_Input[[#This Row],[Rider ID]]="","",IFERROR(ABS(INDEX(RLVL_Data,MATCH(Rider_Input[[#This Row],[Rider ID]],INDEX(RLVL_Data,0,c_RLVL_ID),0),c_RLVL_Bal)),0))</f>
        <v/>
      </c>
      <c r="J484" s="155" t="str">
        <f aca="false">IF(Rider_Input[[#This Row],[Rider ID]]="","",IFERROR(ABS(INDEX(RLVL_Data,MATCH(Rider_Input[[#This Row],[Rider ID]],INDEX(RLVL_Data,0,c_RLVL_ID),0),c_RLVL_Stack)),0))</f>
        <v/>
      </c>
      <c r="K484" s="155" t="str">
        <f aca="false">IF(Rider_Input[[#This Row],[Rider ID]]="","",SUMIFS(Adj_Input[Other Deductions],Adj_Input[Rider ID],Rider_Input[[#This Row],[Rider ID]]))</f>
        <v/>
      </c>
      <c r="L484" s="154" t="str">
        <f aca="false">IF(Rider_Input[[#This Row],[Rider ID]]="","",IFERROR(INDEX(Adj_Input[Note / Reason],MATCH(Rider_Input[[#This Row],[Rider ID]],Adj_Input[Rider ID],0))&amp;"",""))</f>
        <v/>
      </c>
    </row>
    <row r="485" customFormat="false" ht="14.25" hidden="false" customHeight="false" outlineLevel="0" collapsed="false">
      <c r="A485" s="152" t="str">
        <f aca="false">IF(Rider_Input[[#This Row],[Rider ID]]="","",Salary_Month)</f>
        <v/>
      </c>
      <c r="B485" s="153" t="str">
        <f aca="false">IFERROR(IF(INDEX(FTR_Data,ROW()-ROW(Rider_Input[#Headers]),c_FTR_ID)="","",INDEX(FTR_Data,ROW()-ROW(Rider_Input[#Headers]),c_FTR_ID)),"")</f>
        <v/>
      </c>
      <c r="C48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8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85" s="153" t="str">
        <f aca="false">IF(Rider_Input[[#This Row],[Rider ID]]="","",DAY(EOMONTH(Salary_Month,0)))</f>
        <v/>
      </c>
      <c r="F485" s="153" t="str">
        <f aca="false">IF(Rider_Input[[#This Row],[Rider ID]]="","",IFERROR(IF(INDEX(FTR_Data,ROW()-ROW(Rider_Input[#Headers]),c_FTR_WD)="","",INDEX(FTR_Data,ROW()-ROW(Rider_Input[#Headers]),c_FTR_WD)),""))</f>
        <v/>
      </c>
      <c r="G485" s="153" t="str">
        <f aca="false">IF(Rider_Input[[#This Row],[Rider ID]]="","",IFERROR(IF(INDEX(FTR_Data,ROW()-ROW(Rider_Input[#Headers]),c_FTR_Orders)="","",INDEX(FTR_Data,ROW()-ROW(Rider_Input[#Headers]),c_FTR_Orders)),""))</f>
        <v/>
      </c>
      <c r="H485" s="155" t="str">
        <f aca="false">IF(Rider_Input[[#This Row],[Rider ID]]="","",IFERROR(ABS(INDEX(RLVL_Data,MATCH(Rider_Input[[#This Row],[Rider ID]],INDEX(RLVL_Data,0,c_RLVL_ID),0),c_RLVL_Missed)),0))</f>
        <v/>
      </c>
      <c r="I485" s="155" t="str">
        <f aca="false">IF(Rider_Input[[#This Row],[Rider ID]]="","",IFERROR(ABS(INDEX(RLVL_Data,MATCH(Rider_Input[[#This Row],[Rider ID]],INDEX(RLVL_Data,0,c_RLVL_ID),0),c_RLVL_Bal)),0))</f>
        <v/>
      </c>
      <c r="J485" s="155" t="str">
        <f aca="false">IF(Rider_Input[[#This Row],[Rider ID]]="","",IFERROR(ABS(INDEX(RLVL_Data,MATCH(Rider_Input[[#This Row],[Rider ID]],INDEX(RLVL_Data,0,c_RLVL_ID),0),c_RLVL_Stack)),0))</f>
        <v/>
      </c>
      <c r="K485" s="155" t="str">
        <f aca="false">IF(Rider_Input[[#This Row],[Rider ID]]="","",SUMIFS(Adj_Input[Other Deductions],Adj_Input[Rider ID],Rider_Input[[#This Row],[Rider ID]]))</f>
        <v/>
      </c>
      <c r="L485" s="154" t="str">
        <f aca="false">IF(Rider_Input[[#This Row],[Rider ID]]="","",IFERROR(INDEX(Adj_Input[Note / Reason],MATCH(Rider_Input[[#This Row],[Rider ID]],Adj_Input[Rider ID],0))&amp;"",""))</f>
        <v/>
      </c>
    </row>
    <row r="486" customFormat="false" ht="14.25" hidden="false" customHeight="false" outlineLevel="0" collapsed="false">
      <c r="A486" s="152" t="str">
        <f aca="false">IF(Rider_Input[[#This Row],[Rider ID]]="","",Salary_Month)</f>
        <v/>
      </c>
      <c r="B486" s="153" t="str">
        <f aca="false">IFERROR(IF(INDEX(FTR_Data,ROW()-ROW(Rider_Input[#Headers]),c_FTR_ID)="","",INDEX(FTR_Data,ROW()-ROW(Rider_Input[#Headers]),c_FTR_ID)),"")</f>
        <v/>
      </c>
      <c r="C48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8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86" s="153" t="str">
        <f aca="false">IF(Rider_Input[[#This Row],[Rider ID]]="","",DAY(EOMONTH(Salary_Month,0)))</f>
        <v/>
      </c>
      <c r="F486" s="153" t="str">
        <f aca="false">IF(Rider_Input[[#This Row],[Rider ID]]="","",IFERROR(IF(INDEX(FTR_Data,ROW()-ROW(Rider_Input[#Headers]),c_FTR_WD)="","",INDEX(FTR_Data,ROW()-ROW(Rider_Input[#Headers]),c_FTR_WD)),""))</f>
        <v/>
      </c>
      <c r="G486" s="153" t="str">
        <f aca="false">IF(Rider_Input[[#This Row],[Rider ID]]="","",IFERROR(IF(INDEX(FTR_Data,ROW()-ROW(Rider_Input[#Headers]),c_FTR_Orders)="","",INDEX(FTR_Data,ROW()-ROW(Rider_Input[#Headers]),c_FTR_Orders)),""))</f>
        <v/>
      </c>
      <c r="H486" s="155" t="str">
        <f aca="false">IF(Rider_Input[[#This Row],[Rider ID]]="","",IFERROR(ABS(INDEX(RLVL_Data,MATCH(Rider_Input[[#This Row],[Rider ID]],INDEX(RLVL_Data,0,c_RLVL_ID),0),c_RLVL_Missed)),0))</f>
        <v/>
      </c>
      <c r="I486" s="155" t="str">
        <f aca="false">IF(Rider_Input[[#This Row],[Rider ID]]="","",IFERROR(ABS(INDEX(RLVL_Data,MATCH(Rider_Input[[#This Row],[Rider ID]],INDEX(RLVL_Data,0,c_RLVL_ID),0),c_RLVL_Bal)),0))</f>
        <v/>
      </c>
      <c r="J486" s="155" t="str">
        <f aca="false">IF(Rider_Input[[#This Row],[Rider ID]]="","",IFERROR(ABS(INDEX(RLVL_Data,MATCH(Rider_Input[[#This Row],[Rider ID]],INDEX(RLVL_Data,0,c_RLVL_ID),0),c_RLVL_Stack)),0))</f>
        <v/>
      </c>
      <c r="K486" s="155" t="str">
        <f aca="false">IF(Rider_Input[[#This Row],[Rider ID]]="","",SUMIFS(Adj_Input[Other Deductions],Adj_Input[Rider ID],Rider_Input[[#This Row],[Rider ID]]))</f>
        <v/>
      </c>
      <c r="L486" s="154" t="str">
        <f aca="false">IF(Rider_Input[[#This Row],[Rider ID]]="","",IFERROR(INDEX(Adj_Input[Note / Reason],MATCH(Rider_Input[[#This Row],[Rider ID]],Adj_Input[Rider ID],0))&amp;"",""))</f>
        <v/>
      </c>
    </row>
    <row r="487" customFormat="false" ht="14.25" hidden="false" customHeight="false" outlineLevel="0" collapsed="false">
      <c r="A487" s="152" t="str">
        <f aca="false">IF(Rider_Input[[#This Row],[Rider ID]]="","",Salary_Month)</f>
        <v/>
      </c>
      <c r="B487" s="153" t="str">
        <f aca="false">IFERROR(IF(INDEX(FTR_Data,ROW()-ROW(Rider_Input[#Headers]),c_FTR_ID)="","",INDEX(FTR_Data,ROW()-ROW(Rider_Input[#Headers]),c_FTR_ID)),"")</f>
        <v/>
      </c>
      <c r="C48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8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87" s="153" t="str">
        <f aca="false">IF(Rider_Input[[#This Row],[Rider ID]]="","",DAY(EOMONTH(Salary_Month,0)))</f>
        <v/>
      </c>
      <c r="F487" s="153" t="str">
        <f aca="false">IF(Rider_Input[[#This Row],[Rider ID]]="","",IFERROR(IF(INDEX(FTR_Data,ROW()-ROW(Rider_Input[#Headers]),c_FTR_WD)="","",INDEX(FTR_Data,ROW()-ROW(Rider_Input[#Headers]),c_FTR_WD)),""))</f>
        <v/>
      </c>
      <c r="G487" s="153" t="str">
        <f aca="false">IF(Rider_Input[[#This Row],[Rider ID]]="","",IFERROR(IF(INDEX(FTR_Data,ROW()-ROW(Rider_Input[#Headers]),c_FTR_Orders)="","",INDEX(FTR_Data,ROW()-ROW(Rider_Input[#Headers]),c_FTR_Orders)),""))</f>
        <v/>
      </c>
      <c r="H487" s="155" t="str">
        <f aca="false">IF(Rider_Input[[#This Row],[Rider ID]]="","",IFERROR(ABS(INDEX(RLVL_Data,MATCH(Rider_Input[[#This Row],[Rider ID]],INDEX(RLVL_Data,0,c_RLVL_ID),0),c_RLVL_Missed)),0))</f>
        <v/>
      </c>
      <c r="I487" s="155" t="str">
        <f aca="false">IF(Rider_Input[[#This Row],[Rider ID]]="","",IFERROR(ABS(INDEX(RLVL_Data,MATCH(Rider_Input[[#This Row],[Rider ID]],INDEX(RLVL_Data,0,c_RLVL_ID),0),c_RLVL_Bal)),0))</f>
        <v/>
      </c>
      <c r="J487" s="155" t="str">
        <f aca="false">IF(Rider_Input[[#This Row],[Rider ID]]="","",IFERROR(ABS(INDEX(RLVL_Data,MATCH(Rider_Input[[#This Row],[Rider ID]],INDEX(RLVL_Data,0,c_RLVL_ID),0),c_RLVL_Stack)),0))</f>
        <v/>
      </c>
      <c r="K487" s="155" t="str">
        <f aca="false">IF(Rider_Input[[#This Row],[Rider ID]]="","",SUMIFS(Adj_Input[Other Deductions],Adj_Input[Rider ID],Rider_Input[[#This Row],[Rider ID]]))</f>
        <v/>
      </c>
      <c r="L487" s="154" t="str">
        <f aca="false">IF(Rider_Input[[#This Row],[Rider ID]]="","",IFERROR(INDEX(Adj_Input[Note / Reason],MATCH(Rider_Input[[#This Row],[Rider ID]],Adj_Input[Rider ID],0))&amp;"",""))</f>
        <v/>
      </c>
    </row>
    <row r="488" customFormat="false" ht="14.25" hidden="false" customHeight="false" outlineLevel="0" collapsed="false">
      <c r="A488" s="152" t="str">
        <f aca="false">IF(Rider_Input[[#This Row],[Rider ID]]="","",Salary_Month)</f>
        <v/>
      </c>
      <c r="B488" s="153" t="str">
        <f aca="false">IFERROR(IF(INDEX(FTR_Data,ROW()-ROW(Rider_Input[#Headers]),c_FTR_ID)="","",INDEX(FTR_Data,ROW()-ROW(Rider_Input[#Headers]),c_FTR_ID)),"")</f>
        <v/>
      </c>
      <c r="C48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8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88" s="153" t="str">
        <f aca="false">IF(Rider_Input[[#This Row],[Rider ID]]="","",DAY(EOMONTH(Salary_Month,0)))</f>
        <v/>
      </c>
      <c r="F488" s="153" t="str">
        <f aca="false">IF(Rider_Input[[#This Row],[Rider ID]]="","",IFERROR(IF(INDEX(FTR_Data,ROW()-ROW(Rider_Input[#Headers]),c_FTR_WD)="","",INDEX(FTR_Data,ROW()-ROW(Rider_Input[#Headers]),c_FTR_WD)),""))</f>
        <v/>
      </c>
      <c r="G488" s="153" t="str">
        <f aca="false">IF(Rider_Input[[#This Row],[Rider ID]]="","",IFERROR(IF(INDEX(FTR_Data,ROW()-ROW(Rider_Input[#Headers]),c_FTR_Orders)="","",INDEX(FTR_Data,ROW()-ROW(Rider_Input[#Headers]),c_FTR_Orders)),""))</f>
        <v/>
      </c>
      <c r="H488" s="155" t="str">
        <f aca="false">IF(Rider_Input[[#This Row],[Rider ID]]="","",IFERROR(ABS(INDEX(RLVL_Data,MATCH(Rider_Input[[#This Row],[Rider ID]],INDEX(RLVL_Data,0,c_RLVL_ID),0),c_RLVL_Missed)),0))</f>
        <v/>
      </c>
      <c r="I488" s="155" t="str">
        <f aca="false">IF(Rider_Input[[#This Row],[Rider ID]]="","",IFERROR(ABS(INDEX(RLVL_Data,MATCH(Rider_Input[[#This Row],[Rider ID]],INDEX(RLVL_Data,0,c_RLVL_ID),0),c_RLVL_Bal)),0))</f>
        <v/>
      </c>
      <c r="J488" s="155" t="str">
        <f aca="false">IF(Rider_Input[[#This Row],[Rider ID]]="","",IFERROR(ABS(INDEX(RLVL_Data,MATCH(Rider_Input[[#This Row],[Rider ID]],INDEX(RLVL_Data,0,c_RLVL_ID),0),c_RLVL_Stack)),0))</f>
        <v/>
      </c>
      <c r="K488" s="155" t="str">
        <f aca="false">IF(Rider_Input[[#This Row],[Rider ID]]="","",SUMIFS(Adj_Input[Other Deductions],Adj_Input[Rider ID],Rider_Input[[#This Row],[Rider ID]]))</f>
        <v/>
      </c>
      <c r="L488" s="154" t="str">
        <f aca="false">IF(Rider_Input[[#This Row],[Rider ID]]="","",IFERROR(INDEX(Adj_Input[Note / Reason],MATCH(Rider_Input[[#This Row],[Rider ID]],Adj_Input[Rider ID],0))&amp;"",""))</f>
        <v/>
      </c>
    </row>
    <row r="489" customFormat="false" ht="14.25" hidden="false" customHeight="false" outlineLevel="0" collapsed="false">
      <c r="A489" s="152" t="str">
        <f aca="false">IF(Rider_Input[[#This Row],[Rider ID]]="","",Salary_Month)</f>
        <v/>
      </c>
      <c r="B489" s="153" t="str">
        <f aca="false">IFERROR(IF(INDEX(FTR_Data,ROW()-ROW(Rider_Input[#Headers]),c_FTR_ID)="","",INDEX(FTR_Data,ROW()-ROW(Rider_Input[#Headers]),c_FTR_ID)),"")</f>
        <v/>
      </c>
      <c r="C48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8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89" s="153" t="str">
        <f aca="false">IF(Rider_Input[[#This Row],[Rider ID]]="","",DAY(EOMONTH(Salary_Month,0)))</f>
        <v/>
      </c>
      <c r="F489" s="153" t="str">
        <f aca="false">IF(Rider_Input[[#This Row],[Rider ID]]="","",IFERROR(IF(INDEX(FTR_Data,ROW()-ROW(Rider_Input[#Headers]),c_FTR_WD)="","",INDEX(FTR_Data,ROW()-ROW(Rider_Input[#Headers]),c_FTR_WD)),""))</f>
        <v/>
      </c>
      <c r="G489" s="153" t="str">
        <f aca="false">IF(Rider_Input[[#This Row],[Rider ID]]="","",IFERROR(IF(INDEX(FTR_Data,ROW()-ROW(Rider_Input[#Headers]),c_FTR_Orders)="","",INDEX(FTR_Data,ROW()-ROW(Rider_Input[#Headers]),c_FTR_Orders)),""))</f>
        <v/>
      </c>
      <c r="H489" s="155" t="str">
        <f aca="false">IF(Rider_Input[[#This Row],[Rider ID]]="","",IFERROR(ABS(INDEX(RLVL_Data,MATCH(Rider_Input[[#This Row],[Rider ID]],INDEX(RLVL_Data,0,c_RLVL_ID),0),c_RLVL_Missed)),0))</f>
        <v/>
      </c>
      <c r="I489" s="155" t="str">
        <f aca="false">IF(Rider_Input[[#This Row],[Rider ID]]="","",IFERROR(ABS(INDEX(RLVL_Data,MATCH(Rider_Input[[#This Row],[Rider ID]],INDEX(RLVL_Data,0,c_RLVL_ID),0),c_RLVL_Bal)),0))</f>
        <v/>
      </c>
      <c r="J489" s="155" t="str">
        <f aca="false">IF(Rider_Input[[#This Row],[Rider ID]]="","",IFERROR(ABS(INDEX(RLVL_Data,MATCH(Rider_Input[[#This Row],[Rider ID]],INDEX(RLVL_Data,0,c_RLVL_ID),0),c_RLVL_Stack)),0))</f>
        <v/>
      </c>
      <c r="K489" s="155" t="str">
        <f aca="false">IF(Rider_Input[[#This Row],[Rider ID]]="","",SUMIFS(Adj_Input[Other Deductions],Adj_Input[Rider ID],Rider_Input[[#This Row],[Rider ID]]))</f>
        <v/>
      </c>
      <c r="L489" s="154" t="str">
        <f aca="false">IF(Rider_Input[[#This Row],[Rider ID]]="","",IFERROR(INDEX(Adj_Input[Note / Reason],MATCH(Rider_Input[[#This Row],[Rider ID]],Adj_Input[Rider ID],0))&amp;"",""))</f>
        <v/>
      </c>
    </row>
    <row r="490" customFormat="false" ht="14.25" hidden="false" customHeight="false" outlineLevel="0" collapsed="false">
      <c r="A490" s="152" t="str">
        <f aca="false">IF(Rider_Input[[#This Row],[Rider ID]]="","",Salary_Month)</f>
        <v/>
      </c>
      <c r="B490" s="153" t="str">
        <f aca="false">IFERROR(IF(INDEX(FTR_Data,ROW()-ROW(Rider_Input[#Headers]),c_FTR_ID)="","",INDEX(FTR_Data,ROW()-ROW(Rider_Input[#Headers]),c_FTR_ID)),"")</f>
        <v/>
      </c>
      <c r="C49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9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90" s="153" t="str">
        <f aca="false">IF(Rider_Input[[#This Row],[Rider ID]]="","",DAY(EOMONTH(Salary_Month,0)))</f>
        <v/>
      </c>
      <c r="F490" s="153" t="str">
        <f aca="false">IF(Rider_Input[[#This Row],[Rider ID]]="","",IFERROR(IF(INDEX(FTR_Data,ROW()-ROW(Rider_Input[#Headers]),c_FTR_WD)="","",INDEX(FTR_Data,ROW()-ROW(Rider_Input[#Headers]),c_FTR_WD)),""))</f>
        <v/>
      </c>
      <c r="G490" s="153" t="str">
        <f aca="false">IF(Rider_Input[[#This Row],[Rider ID]]="","",IFERROR(IF(INDEX(FTR_Data,ROW()-ROW(Rider_Input[#Headers]),c_FTR_Orders)="","",INDEX(FTR_Data,ROW()-ROW(Rider_Input[#Headers]),c_FTR_Orders)),""))</f>
        <v/>
      </c>
      <c r="H490" s="155" t="str">
        <f aca="false">IF(Rider_Input[[#This Row],[Rider ID]]="","",IFERROR(ABS(INDEX(RLVL_Data,MATCH(Rider_Input[[#This Row],[Rider ID]],INDEX(RLVL_Data,0,c_RLVL_ID),0),c_RLVL_Missed)),0))</f>
        <v/>
      </c>
      <c r="I490" s="155" t="str">
        <f aca="false">IF(Rider_Input[[#This Row],[Rider ID]]="","",IFERROR(ABS(INDEX(RLVL_Data,MATCH(Rider_Input[[#This Row],[Rider ID]],INDEX(RLVL_Data,0,c_RLVL_ID),0),c_RLVL_Bal)),0))</f>
        <v/>
      </c>
      <c r="J490" s="155" t="str">
        <f aca="false">IF(Rider_Input[[#This Row],[Rider ID]]="","",IFERROR(ABS(INDEX(RLVL_Data,MATCH(Rider_Input[[#This Row],[Rider ID]],INDEX(RLVL_Data,0,c_RLVL_ID),0),c_RLVL_Stack)),0))</f>
        <v/>
      </c>
      <c r="K490" s="155" t="str">
        <f aca="false">IF(Rider_Input[[#This Row],[Rider ID]]="","",SUMIFS(Adj_Input[Other Deductions],Adj_Input[Rider ID],Rider_Input[[#This Row],[Rider ID]]))</f>
        <v/>
      </c>
      <c r="L490" s="154" t="str">
        <f aca="false">IF(Rider_Input[[#This Row],[Rider ID]]="","",IFERROR(INDEX(Adj_Input[Note / Reason],MATCH(Rider_Input[[#This Row],[Rider ID]],Adj_Input[Rider ID],0))&amp;"",""))</f>
        <v/>
      </c>
    </row>
    <row r="491" customFormat="false" ht="14.25" hidden="false" customHeight="false" outlineLevel="0" collapsed="false">
      <c r="A491" s="152" t="str">
        <f aca="false">IF(Rider_Input[[#This Row],[Rider ID]]="","",Salary_Month)</f>
        <v/>
      </c>
      <c r="B491" s="153" t="str">
        <f aca="false">IFERROR(IF(INDEX(FTR_Data,ROW()-ROW(Rider_Input[#Headers]),c_FTR_ID)="","",INDEX(FTR_Data,ROW()-ROW(Rider_Input[#Headers]),c_FTR_ID)),"")</f>
        <v/>
      </c>
      <c r="C49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9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91" s="153" t="str">
        <f aca="false">IF(Rider_Input[[#This Row],[Rider ID]]="","",DAY(EOMONTH(Salary_Month,0)))</f>
        <v/>
      </c>
      <c r="F491" s="153" t="str">
        <f aca="false">IF(Rider_Input[[#This Row],[Rider ID]]="","",IFERROR(IF(INDEX(FTR_Data,ROW()-ROW(Rider_Input[#Headers]),c_FTR_WD)="","",INDEX(FTR_Data,ROW()-ROW(Rider_Input[#Headers]),c_FTR_WD)),""))</f>
        <v/>
      </c>
      <c r="G491" s="153" t="str">
        <f aca="false">IF(Rider_Input[[#This Row],[Rider ID]]="","",IFERROR(IF(INDEX(FTR_Data,ROW()-ROW(Rider_Input[#Headers]),c_FTR_Orders)="","",INDEX(FTR_Data,ROW()-ROW(Rider_Input[#Headers]),c_FTR_Orders)),""))</f>
        <v/>
      </c>
      <c r="H491" s="155" t="str">
        <f aca="false">IF(Rider_Input[[#This Row],[Rider ID]]="","",IFERROR(ABS(INDEX(RLVL_Data,MATCH(Rider_Input[[#This Row],[Rider ID]],INDEX(RLVL_Data,0,c_RLVL_ID),0),c_RLVL_Missed)),0))</f>
        <v/>
      </c>
      <c r="I491" s="155" t="str">
        <f aca="false">IF(Rider_Input[[#This Row],[Rider ID]]="","",IFERROR(ABS(INDEX(RLVL_Data,MATCH(Rider_Input[[#This Row],[Rider ID]],INDEX(RLVL_Data,0,c_RLVL_ID),0),c_RLVL_Bal)),0))</f>
        <v/>
      </c>
      <c r="J491" s="155" t="str">
        <f aca="false">IF(Rider_Input[[#This Row],[Rider ID]]="","",IFERROR(ABS(INDEX(RLVL_Data,MATCH(Rider_Input[[#This Row],[Rider ID]],INDEX(RLVL_Data,0,c_RLVL_ID),0),c_RLVL_Stack)),0))</f>
        <v/>
      </c>
      <c r="K491" s="155" t="str">
        <f aca="false">IF(Rider_Input[[#This Row],[Rider ID]]="","",SUMIFS(Adj_Input[Other Deductions],Adj_Input[Rider ID],Rider_Input[[#This Row],[Rider ID]]))</f>
        <v/>
      </c>
      <c r="L491" s="154" t="str">
        <f aca="false">IF(Rider_Input[[#This Row],[Rider ID]]="","",IFERROR(INDEX(Adj_Input[Note / Reason],MATCH(Rider_Input[[#This Row],[Rider ID]],Adj_Input[Rider ID],0))&amp;"",""))</f>
        <v/>
      </c>
    </row>
    <row r="492" customFormat="false" ht="14.25" hidden="false" customHeight="false" outlineLevel="0" collapsed="false">
      <c r="A492" s="152" t="str">
        <f aca="false">IF(Rider_Input[[#This Row],[Rider ID]]="","",Salary_Month)</f>
        <v/>
      </c>
      <c r="B492" s="153" t="str">
        <f aca="false">IFERROR(IF(INDEX(FTR_Data,ROW()-ROW(Rider_Input[#Headers]),c_FTR_ID)="","",INDEX(FTR_Data,ROW()-ROW(Rider_Input[#Headers]),c_FTR_ID)),"")</f>
        <v/>
      </c>
      <c r="C492"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92"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92" s="153" t="str">
        <f aca="false">IF(Rider_Input[[#This Row],[Rider ID]]="","",DAY(EOMONTH(Salary_Month,0)))</f>
        <v/>
      </c>
      <c r="F492" s="153" t="str">
        <f aca="false">IF(Rider_Input[[#This Row],[Rider ID]]="","",IFERROR(IF(INDEX(FTR_Data,ROW()-ROW(Rider_Input[#Headers]),c_FTR_WD)="","",INDEX(FTR_Data,ROW()-ROW(Rider_Input[#Headers]),c_FTR_WD)),""))</f>
        <v/>
      </c>
      <c r="G492" s="153" t="str">
        <f aca="false">IF(Rider_Input[[#This Row],[Rider ID]]="","",IFERROR(IF(INDEX(FTR_Data,ROW()-ROW(Rider_Input[#Headers]),c_FTR_Orders)="","",INDEX(FTR_Data,ROW()-ROW(Rider_Input[#Headers]),c_FTR_Orders)),""))</f>
        <v/>
      </c>
      <c r="H492" s="155" t="str">
        <f aca="false">IF(Rider_Input[[#This Row],[Rider ID]]="","",IFERROR(ABS(INDEX(RLVL_Data,MATCH(Rider_Input[[#This Row],[Rider ID]],INDEX(RLVL_Data,0,c_RLVL_ID),0),c_RLVL_Missed)),0))</f>
        <v/>
      </c>
      <c r="I492" s="155" t="str">
        <f aca="false">IF(Rider_Input[[#This Row],[Rider ID]]="","",IFERROR(ABS(INDEX(RLVL_Data,MATCH(Rider_Input[[#This Row],[Rider ID]],INDEX(RLVL_Data,0,c_RLVL_ID),0),c_RLVL_Bal)),0))</f>
        <v/>
      </c>
      <c r="J492" s="155" t="str">
        <f aca="false">IF(Rider_Input[[#This Row],[Rider ID]]="","",IFERROR(ABS(INDEX(RLVL_Data,MATCH(Rider_Input[[#This Row],[Rider ID]],INDEX(RLVL_Data,0,c_RLVL_ID),0),c_RLVL_Stack)),0))</f>
        <v/>
      </c>
      <c r="K492" s="155" t="str">
        <f aca="false">IF(Rider_Input[[#This Row],[Rider ID]]="","",SUMIFS(Adj_Input[Other Deductions],Adj_Input[Rider ID],Rider_Input[[#This Row],[Rider ID]]))</f>
        <v/>
      </c>
      <c r="L492" s="154" t="str">
        <f aca="false">IF(Rider_Input[[#This Row],[Rider ID]]="","",IFERROR(INDEX(Adj_Input[Note / Reason],MATCH(Rider_Input[[#This Row],[Rider ID]],Adj_Input[Rider ID],0))&amp;"",""))</f>
        <v/>
      </c>
    </row>
    <row r="493" customFormat="false" ht="14.25" hidden="false" customHeight="false" outlineLevel="0" collapsed="false">
      <c r="A493" s="152" t="str">
        <f aca="false">IF(Rider_Input[[#This Row],[Rider ID]]="","",Salary_Month)</f>
        <v/>
      </c>
      <c r="B493" s="153" t="str">
        <f aca="false">IFERROR(IF(INDEX(FTR_Data,ROW()-ROW(Rider_Input[#Headers]),c_FTR_ID)="","",INDEX(FTR_Data,ROW()-ROW(Rider_Input[#Headers]),c_FTR_ID)),"")</f>
        <v/>
      </c>
      <c r="C493"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93"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93" s="153" t="str">
        <f aca="false">IF(Rider_Input[[#This Row],[Rider ID]]="","",DAY(EOMONTH(Salary_Month,0)))</f>
        <v/>
      </c>
      <c r="F493" s="153" t="str">
        <f aca="false">IF(Rider_Input[[#This Row],[Rider ID]]="","",IFERROR(IF(INDEX(FTR_Data,ROW()-ROW(Rider_Input[#Headers]),c_FTR_WD)="","",INDEX(FTR_Data,ROW()-ROW(Rider_Input[#Headers]),c_FTR_WD)),""))</f>
        <v/>
      </c>
      <c r="G493" s="153" t="str">
        <f aca="false">IF(Rider_Input[[#This Row],[Rider ID]]="","",IFERROR(IF(INDEX(FTR_Data,ROW()-ROW(Rider_Input[#Headers]),c_FTR_Orders)="","",INDEX(FTR_Data,ROW()-ROW(Rider_Input[#Headers]),c_FTR_Orders)),""))</f>
        <v/>
      </c>
      <c r="H493" s="155" t="str">
        <f aca="false">IF(Rider_Input[[#This Row],[Rider ID]]="","",IFERROR(ABS(INDEX(RLVL_Data,MATCH(Rider_Input[[#This Row],[Rider ID]],INDEX(RLVL_Data,0,c_RLVL_ID),0),c_RLVL_Missed)),0))</f>
        <v/>
      </c>
      <c r="I493" s="155" t="str">
        <f aca="false">IF(Rider_Input[[#This Row],[Rider ID]]="","",IFERROR(ABS(INDEX(RLVL_Data,MATCH(Rider_Input[[#This Row],[Rider ID]],INDEX(RLVL_Data,0,c_RLVL_ID),0),c_RLVL_Bal)),0))</f>
        <v/>
      </c>
      <c r="J493" s="155" t="str">
        <f aca="false">IF(Rider_Input[[#This Row],[Rider ID]]="","",IFERROR(ABS(INDEX(RLVL_Data,MATCH(Rider_Input[[#This Row],[Rider ID]],INDEX(RLVL_Data,0,c_RLVL_ID),0),c_RLVL_Stack)),0))</f>
        <v/>
      </c>
      <c r="K493" s="155" t="str">
        <f aca="false">IF(Rider_Input[[#This Row],[Rider ID]]="","",SUMIFS(Adj_Input[Other Deductions],Adj_Input[Rider ID],Rider_Input[[#This Row],[Rider ID]]))</f>
        <v/>
      </c>
      <c r="L493" s="154" t="str">
        <f aca="false">IF(Rider_Input[[#This Row],[Rider ID]]="","",IFERROR(INDEX(Adj_Input[Note / Reason],MATCH(Rider_Input[[#This Row],[Rider ID]],Adj_Input[Rider ID],0))&amp;"",""))</f>
        <v/>
      </c>
    </row>
    <row r="494" customFormat="false" ht="14.25" hidden="false" customHeight="false" outlineLevel="0" collapsed="false">
      <c r="A494" s="152" t="str">
        <f aca="false">IF(Rider_Input[[#This Row],[Rider ID]]="","",Salary_Month)</f>
        <v/>
      </c>
      <c r="B494" s="153" t="str">
        <f aca="false">IFERROR(IF(INDEX(FTR_Data,ROW()-ROW(Rider_Input[#Headers]),c_FTR_ID)="","",INDEX(FTR_Data,ROW()-ROW(Rider_Input[#Headers]),c_FTR_ID)),"")</f>
        <v/>
      </c>
      <c r="C494"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94"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94" s="153" t="str">
        <f aca="false">IF(Rider_Input[[#This Row],[Rider ID]]="","",DAY(EOMONTH(Salary_Month,0)))</f>
        <v/>
      </c>
      <c r="F494" s="153" t="str">
        <f aca="false">IF(Rider_Input[[#This Row],[Rider ID]]="","",IFERROR(IF(INDEX(FTR_Data,ROW()-ROW(Rider_Input[#Headers]),c_FTR_WD)="","",INDEX(FTR_Data,ROW()-ROW(Rider_Input[#Headers]),c_FTR_WD)),""))</f>
        <v/>
      </c>
      <c r="G494" s="153" t="str">
        <f aca="false">IF(Rider_Input[[#This Row],[Rider ID]]="","",IFERROR(IF(INDEX(FTR_Data,ROW()-ROW(Rider_Input[#Headers]),c_FTR_Orders)="","",INDEX(FTR_Data,ROW()-ROW(Rider_Input[#Headers]),c_FTR_Orders)),""))</f>
        <v/>
      </c>
      <c r="H494" s="155" t="str">
        <f aca="false">IF(Rider_Input[[#This Row],[Rider ID]]="","",IFERROR(ABS(INDEX(RLVL_Data,MATCH(Rider_Input[[#This Row],[Rider ID]],INDEX(RLVL_Data,0,c_RLVL_ID),0),c_RLVL_Missed)),0))</f>
        <v/>
      </c>
      <c r="I494" s="155" t="str">
        <f aca="false">IF(Rider_Input[[#This Row],[Rider ID]]="","",IFERROR(ABS(INDEX(RLVL_Data,MATCH(Rider_Input[[#This Row],[Rider ID]],INDEX(RLVL_Data,0,c_RLVL_ID),0),c_RLVL_Bal)),0))</f>
        <v/>
      </c>
      <c r="J494" s="155" t="str">
        <f aca="false">IF(Rider_Input[[#This Row],[Rider ID]]="","",IFERROR(ABS(INDEX(RLVL_Data,MATCH(Rider_Input[[#This Row],[Rider ID]],INDEX(RLVL_Data,0,c_RLVL_ID),0),c_RLVL_Stack)),0))</f>
        <v/>
      </c>
      <c r="K494" s="155" t="str">
        <f aca="false">IF(Rider_Input[[#This Row],[Rider ID]]="","",SUMIFS(Adj_Input[Other Deductions],Adj_Input[Rider ID],Rider_Input[[#This Row],[Rider ID]]))</f>
        <v/>
      </c>
      <c r="L494" s="154" t="str">
        <f aca="false">IF(Rider_Input[[#This Row],[Rider ID]]="","",IFERROR(INDEX(Adj_Input[Note / Reason],MATCH(Rider_Input[[#This Row],[Rider ID]],Adj_Input[Rider ID],0))&amp;"",""))</f>
        <v/>
      </c>
    </row>
    <row r="495" customFormat="false" ht="14.25" hidden="false" customHeight="false" outlineLevel="0" collapsed="false">
      <c r="A495" s="152" t="str">
        <f aca="false">IF(Rider_Input[[#This Row],[Rider ID]]="","",Salary_Month)</f>
        <v/>
      </c>
      <c r="B495" s="153" t="str">
        <f aca="false">IFERROR(IF(INDEX(FTR_Data,ROW()-ROW(Rider_Input[#Headers]),c_FTR_ID)="","",INDEX(FTR_Data,ROW()-ROW(Rider_Input[#Headers]),c_FTR_ID)),"")</f>
        <v/>
      </c>
      <c r="C495"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95"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95" s="153" t="str">
        <f aca="false">IF(Rider_Input[[#This Row],[Rider ID]]="","",DAY(EOMONTH(Salary_Month,0)))</f>
        <v/>
      </c>
      <c r="F495" s="153" t="str">
        <f aca="false">IF(Rider_Input[[#This Row],[Rider ID]]="","",IFERROR(IF(INDEX(FTR_Data,ROW()-ROW(Rider_Input[#Headers]),c_FTR_WD)="","",INDEX(FTR_Data,ROW()-ROW(Rider_Input[#Headers]),c_FTR_WD)),""))</f>
        <v/>
      </c>
      <c r="G495" s="153" t="str">
        <f aca="false">IF(Rider_Input[[#This Row],[Rider ID]]="","",IFERROR(IF(INDEX(FTR_Data,ROW()-ROW(Rider_Input[#Headers]),c_FTR_Orders)="","",INDEX(FTR_Data,ROW()-ROW(Rider_Input[#Headers]),c_FTR_Orders)),""))</f>
        <v/>
      </c>
      <c r="H495" s="155" t="str">
        <f aca="false">IF(Rider_Input[[#This Row],[Rider ID]]="","",IFERROR(ABS(INDEX(RLVL_Data,MATCH(Rider_Input[[#This Row],[Rider ID]],INDEX(RLVL_Data,0,c_RLVL_ID),0),c_RLVL_Missed)),0))</f>
        <v/>
      </c>
      <c r="I495" s="155" t="str">
        <f aca="false">IF(Rider_Input[[#This Row],[Rider ID]]="","",IFERROR(ABS(INDEX(RLVL_Data,MATCH(Rider_Input[[#This Row],[Rider ID]],INDEX(RLVL_Data,0,c_RLVL_ID),0),c_RLVL_Bal)),0))</f>
        <v/>
      </c>
      <c r="J495" s="155" t="str">
        <f aca="false">IF(Rider_Input[[#This Row],[Rider ID]]="","",IFERROR(ABS(INDEX(RLVL_Data,MATCH(Rider_Input[[#This Row],[Rider ID]],INDEX(RLVL_Data,0,c_RLVL_ID),0),c_RLVL_Stack)),0))</f>
        <v/>
      </c>
      <c r="K495" s="155" t="str">
        <f aca="false">IF(Rider_Input[[#This Row],[Rider ID]]="","",SUMIFS(Adj_Input[Other Deductions],Adj_Input[Rider ID],Rider_Input[[#This Row],[Rider ID]]))</f>
        <v/>
      </c>
      <c r="L495" s="154" t="str">
        <f aca="false">IF(Rider_Input[[#This Row],[Rider ID]]="","",IFERROR(INDEX(Adj_Input[Note / Reason],MATCH(Rider_Input[[#This Row],[Rider ID]],Adj_Input[Rider ID],0))&amp;"",""))</f>
        <v/>
      </c>
    </row>
    <row r="496" customFormat="false" ht="14.25" hidden="false" customHeight="false" outlineLevel="0" collapsed="false">
      <c r="A496" s="152" t="str">
        <f aca="false">IF(Rider_Input[[#This Row],[Rider ID]]="","",Salary_Month)</f>
        <v/>
      </c>
      <c r="B496" s="153" t="str">
        <f aca="false">IFERROR(IF(INDEX(FTR_Data,ROW()-ROW(Rider_Input[#Headers]),c_FTR_ID)="","",INDEX(FTR_Data,ROW()-ROW(Rider_Input[#Headers]),c_FTR_ID)),"")</f>
        <v/>
      </c>
      <c r="C496"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96"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96" s="153" t="str">
        <f aca="false">IF(Rider_Input[[#This Row],[Rider ID]]="","",DAY(EOMONTH(Salary_Month,0)))</f>
        <v/>
      </c>
      <c r="F496" s="153" t="str">
        <f aca="false">IF(Rider_Input[[#This Row],[Rider ID]]="","",IFERROR(IF(INDEX(FTR_Data,ROW()-ROW(Rider_Input[#Headers]),c_FTR_WD)="","",INDEX(FTR_Data,ROW()-ROW(Rider_Input[#Headers]),c_FTR_WD)),""))</f>
        <v/>
      </c>
      <c r="G496" s="153" t="str">
        <f aca="false">IF(Rider_Input[[#This Row],[Rider ID]]="","",IFERROR(IF(INDEX(FTR_Data,ROW()-ROW(Rider_Input[#Headers]),c_FTR_Orders)="","",INDEX(FTR_Data,ROW()-ROW(Rider_Input[#Headers]),c_FTR_Orders)),""))</f>
        <v/>
      </c>
      <c r="H496" s="155" t="str">
        <f aca="false">IF(Rider_Input[[#This Row],[Rider ID]]="","",IFERROR(ABS(INDEX(RLVL_Data,MATCH(Rider_Input[[#This Row],[Rider ID]],INDEX(RLVL_Data,0,c_RLVL_ID),0),c_RLVL_Missed)),0))</f>
        <v/>
      </c>
      <c r="I496" s="155" t="str">
        <f aca="false">IF(Rider_Input[[#This Row],[Rider ID]]="","",IFERROR(ABS(INDEX(RLVL_Data,MATCH(Rider_Input[[#This Row],[Rider ID]],INDEX(RLVL_Data,0,c_RLVL_ID),0),c_RLVL_Bal)),0))</f>
        <v/>
      </c>
      <c r="J496" s="155" t="str">
        <f aca="false">IF(Rider_Input[[#This Row],[Rider ID]]="","",IFERROR(ABS(INDEX(RLVL_Data,MATCH(Rider_Input[[#This Row],[Rider ID]],INDEX(RLVL_Data,0,c_RLVL_ID),0),c_RLVL_Stack)),0))</f>
        <v/>
      </c>
      <c r="K496" s="155" t="str">
        <f aca="false">IF(Rider_Input[[#This Row],[Rider ID]]="","",SUMIFS(Adj_Input[Other Deductions],Adj_Input[Rider ID],Rider_Input[[#This Row],[Rider ID]]))</f>
        <v/>
      </c>
      <c r="L496" s="154" t="str">
        <f aca="false">IF(Rider_Input[[#This Row],[Rider ID]]="","",IFERROR(INDEX(Adj_Input[Note / Reason],MATCH(Rider_Input[[#This Row],[Rider ID]],Adj_Input[Rider ID],0))&amp;"",""))</f>
        <v/>
      </c>
    </row>
    <row r="497" customFormat="false" ht="14.25" hidden="false" customHeight="false" outlineLevel="0" collapsed="false">
      <c r="A497" s="152" t="str">
        <f aca="false">IF(Rider_Input[[#This Row],[Rider ID]]="","",Salary_Month)</f>
        <v/>
      </c>
      <c r="B497" s="153" t="str">
        <f aca="false">IFERROR(IF(INDEX(FTR_Data,ROW()-ROW(Rider_Input[#Headers]),c_FTR_ID)="","",INDEX(FTR_Data,ROW()-ROW(Rider_Input[#Headers]),c_FTR_ID)),"")</f>
        <v/>
      </c>
      <c r="C497"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97"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97" s="153" t="str">
        <f aca="false">IF(Rider_Input[[#This Row],[Rider ID]]="","",DAY(EOMONTH(Salary_Month,0)))</f>
        <v/>
      </c>
      <c r="F497" s="153" t="str">
        <f aca="false">IF(Rider_Input[[#This Row],[Rider ID]]="","",IFERROR(IF(INDEX(FTR_Data,ROW()-ROW(Rider_Input[#Headers]),c_FTR_WD)="","",INDEX(FTR_Data,ROW()-ROW(Rider_Input[#Headers]),c_FTR_WD)),""))</f>
        <v/>
      </c>
      <c r="G497" s="153" t="str">
        <f aca="false">IF(Rider_Input[[#This Row],[Rider ID]]="","",IFERROR(IF(INDEX(FTR_Data,ROW()-ROW(Rider_Input[#Headers]),c_FTR_Orders)="","",INDEX(FTR_Data,ROW()-ROW(Rider_Input[#Headers]),c_FTR_Orders)),""))</f>
        <v/>
      </c>
      <c r="H497" s="155" t="str">
        <f aca="false">IF(Rider_Input[[#This Row],[Rider ID]]="","",IFERROR(ABS(INDEX(RLVL_Data,MATCH(Rider_Input[[#This Row],[Rider ID]],INDEX(RLVL_Data,0,c_RLVL_ID),0),c_RLVL_Missed)),0))</f>
        <v/>
      </c>
      <c r="I497" s="155" t="str">
        <f aca="false">IF(Rider_Input[[#This Row],[Rider ID]]="","",IFERROR(ABS(INDEX(RLVL_Data,MATCH(Rider_Input[[#This Row],[Rider ID]],INDEX(RLVL_Data,0,c_RLVL_ID),0),c_RLVL_Bal)),0))</f>
        <v/>
      </c>
      <c r="J497" s="155" t="str">
        <f aca="false">IF(Rider_Input[[#This Row],[Rider ID]]="","",IFERROR(ABS(INDEX(RLVL_Data,MATCH(Rider_Input[[#This Row],[Rider ID]],INDEX(RLVL_Data,0,c_RLVL_ID),0),c_RLVL_Stack)),0))</f>
        <v/>
      </c>
      <c r="K497" s="155" t="str">
        <f aca="false">IF(Rider_Input[[#This Row],[Rider ID]]="","",SUMIFS(Adj_Input[Other Deductions],Adj_Input[Rider ID],Rider_Input[[#This Row],[Rider ID]]))</f>
        <v/>
      </c>
      <c r="L497" s="154" t="str">
        <f aca="false">IF(Rider_Input[[#This Row],[Rider ID]]="","",IFERROR(INDEX(Adj_Input[Note / Reason],MATCH(Rider_Input[[#This Row],[Rider ID]],Adj_Input[Rider ID],0))&amp;"",""))</f>
        <v/>
      </c>
    </row>
    <row r="498" customFormat="false" ht="14.25" hidden="false" customHeight="false" outlineLevel="0" collapsed="false">
      <c r="A498" s="152" t="str">
        <f aca="false">IF(Rider_Input[[#This Row],[Rider ID]]="","",Salary_Month)</f>
        <v/>
      </c>
      <c r="B498" s="153" t="str">
        <f aca="false">IFERROR(IF(INDEX(FTR_Data,ROW()-ROW(Rider_Input[#Headers]),c_FTR_ID)="","",INDEX(FTR_Data,ROW()-ROW(Rider_Input[#Headers]),c_FTR_ID)),"")</f>
        <v/>
      </c>
      <c r="C498"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98"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98" s="153" t="str">
        <f aca="false">IF(Rider_Input[[#This Row],[Rider ID]]="","",DAY(EOMONTH(Salary_Month,0)))</f>
        <v/>
      </c>
      <c r="F498" s="153" t="str">
        <f aca="false">IF(Rider_Input[[#This Row],[Rider ID]]="","",IFERROR(IF(INDEX(FTR_Data,ROW()-ROW(Rider_Input[#Headers]),c_FTR_WD)="","",INDEX(FTR_Data,ROW()-ROW(Rider_Input[#Headers]),c_FTR_WD)),""))</f>
        <v/>
      </c>
      <c r="G498" s="153" t="str">
        <f aca="false">IF(Rider_Input[[#This Row],[Rider ID]]="","",IFERROR(IF(INDEX(FTR_Data,ROW()-ROW(Rider_Input[#Headers]),c_FTR_Orders)="","",INDEX(FTR_Data,ROW()-ROW(Rider_Input[#Headers]),c_FTR_Orders)),""))</f>
        <v/>
      </c>
      <c r="H498" s="155" t="str">
        <f aca="false">IF(Rider_Input[[#This Row],[Rider ID]]="","",IFERROR(ABS(INDEX(RLVL_Data,MATCH(Rider_Input[[#This Row],[Rider ID]],INDEX(RLVL_Data,0,c_RLVL_ID),0),c_RLVL_Missed)),0))</f>
        <v/>
      </c>
      <c r="I498" s="155" t="str">
        <f aca="false">IF(Rider_Input[[#This Row],[Rider ID]]="","",IFERROR(ABS(INDEX(RLVL_Data,MATCH(Rider_Input[[#This Row],[Rider ID]],INDEX(RLVL_Data,0,c_RLVL_ID),0),c_RLVL_Bal)),0))</f>
        <v/>
      </c>
      <c r="J498" s="155" t="str">
        <f aca="false">IF(Rider_Input[[#This Row],[Rider ID]]="","",IFERROR(ABS(INDEX(RLVL_Data,MATCH(Rider_Input[[#This Row],[Rider ID]],INDEX(RLVL_Data,0,c_RLVL_ID),0),c_RLVL_Stack)),0))</f>
        <v/>
      </c>
      <c r="K498" s="155" t="str">
        <f aca="false">IF(Rider_Input[[#This Row],[Rider ID]]="","",SUMIFS(Adj_Input[Other Deductions],Adj_Input[Rider ID],Rider_Input[[#This Row],[Rider ID]]))</f>
        <v/>
      </c>
      <c r="L498" s="154" t="str">
        <f aca="false">IF(Rider_Input[[#This Row],[Rider ID]]="","",IFERROR(INDEX(Adj_Input[Note / Reason],MATCH(Rider_Input[[#This Row],[Rider ID]],Adj_Input[Rider ID],0))&amp;"",""))</f>
        <v/>
      </c>
    </row>
    <row r="499" customFormat="false" ht="14.25" hidden="false" customHeight="false" outlineLevel="0" collapsed="false">
      <c r="A499" s="152" t="str">
        <f aca="false">IF(Rider_Input[[#This Row],[Rider ID]]="","",Salary_Month)</f>
        <v/>
      </c>
      <c r="B499" s="153" t="str">
        <f aca="false">IFERROR(IF(INDEX(FTR_Data,ROW()-ROW(Rider_Input[#Headers]),c_FTR_ID)="","",INDEX(FTR_Data,ROW()-ROW(Rider_Input[#Headers]),c_FTR_ID)),"")</f>
        <v/>
      </c>
      <c r="C499"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499"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499" s="153" t="str">
        <f aca="false">IF(Rider_Input[[#This Row],[Rider ID]]="","",DAY(EOMONTH(Salary_Month,0)))</f>
        <v/>
      </c>
      <c r="F499" s="153" t="str">
        <f aca="false">IF(Rider_Input[[#This Row],[Rider ID]]="","",IFERROR(IF(INDEX(FTR_Data,ROW()-ROW(Rider_Input[#Headers]),c_FTR_WD)="","",INDEX(FTR_Data,ROW()-ROW(Rider_Input[#Headers]),c_FTR_WD)),""))</f>
        <v/>
      </c>
      <c r="G499" s="153" t="str">
        <f aca="false">IF(Rider_Input[[#This Row],[Rider ID]]="","",IFERROR(IF(INDEX(FTR_Data,ROW()-ROW(Rider_Input[#Headers]),c_FTR_Orders)="","",INDEX(FTR_Data,ROW()-ROW(Rider_Input[#Headers]),c_FTR_Orders)),""))</f>
        <v/>
      </c>
      <c r="H499" s="155" t="str">
        <f aca="false">IF(Rider_Input[[#This Row],[Rider ID]]="","",IFERROR(ABS(INDEX(RLVL_Data,MATCH(Rider_Input[[#This Row],[Rider ID]],INDEX(RLVL_Data,0,c_RLVL_ID),0),c_RLVL_Missed)),0))</f>
        <v/>
      </c>
      <c r="I499" s="155" t="str">
        <f aca="false">IF(Rider_Input[[#This Row],[Rider ID]]="","",IFERROR(ABS(INDEX(RLVL_Data,MATCH(Rider_Input[[#This Row],[Rider ID]],INDEX(RLVL_Data,0,c_RLVL_ID),0),c_RLVL_Bal)),0))</f>
        <v/>
      </c>
      <c r="J499" s="155" t="str">
        <f aca="false">IF(Rider_Input[[#This Row],[Rider ID]]="","",IFERROR(ABS(INDEX(RLVL_Data,MATCH(Rider_Input[[#This Row],[Rider ID]],INDEX(RLVL_Data,0,c_RLVL_ID),0),c_RLVL_Stack)),0))</f>
        <v/>
      </c>
      <c r="K499" s="155" t="str">
        <f aca="false">IF(Rider_Input[[#This Row],[Rider ID]]="","",SUMIFS(Adj_Input[Other Deductions],Adj_Input[Rider ID],Rider_Input[[#This Row],[Rider ID]]))</f>
        <v/>
      </c>
      <c r="L499" s="154" t="str">
        <f aca="false">IF(Rider_Input[[#This Row],[Rider ID]]="","",IFERROR(INDEX(Adj_Input[Note / Reason],MATCH(Rider_Input[[#This Row],[Rider ID]],Adj_Input[Rider ID],0))&amp;"",""))</f>
        <v/>
      </c>
    </row>
    <row r="500" customFormat="false" ht="14.25" hidden="false" customHeight="false" outlineLevel="0" collapsed="false">
      <c r="A500" s="152" t="str">
        <f aca="false">IF(Rider_Input[[#This Row],[Rider ID]]="","",Salary_Month)</f>
        <v/>
      </c>
      <c r="B500" s="153" t="str">
        <f aca="false">IFERROR(IF(INDEX(FTR_Data,ROW()-ROW(Rider_Input[#Headers]),c_FTR_ID)="","",INDEX(FTR_Data,ROW()-ROW(Rider_Input[#Headers]),c_FTR_ID)),"")</f>
        <v/>
      </c>
      <c r="C500"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500"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500" s="153" t="str">
        <f aca="false">IF(Rider_Input[[#This Row],[Rider ID]]="","",DAY(EOMONTH(Salary_Month,0)))</f>
        <v/>
      </c>
      <c r="F500" s="153" t="str">
        <f aca="false">IF(Rider_Input[[#This Row],[Rider ID]]="","",IFERROR(IF(INDEX(FTR_Data,ROW()-ROW(Rider_Input[#Headers]),c_FTR_WD)="","",INDEX(FTR_Data,ROW()-ROW(Rider_Input[#Headers]),c_FTR_WD)),""))</f>
        <v/>
      </c>
      <c r="G500" s="153" t="str">
        <f aca="false">IF(Rider_Input[[#This Row],[Rider ID]]="","",IFERROR(IF(INDEX(FTR_Data,ROW()-ROW(Rider_Input[#Headers]),c_FTR_Orders)="","",INDEX(FTR_Data,ROW()-ROW(Rider_Input[#Headers]),c_FTR_Orders)),""))</f>
        <v/>
      </c>
      <c r="H500" s="155" t="str">
        <f aca="false">IF(Rider_Input[[#This Row],[Rider ID]]="","",IFERROR(ABS(INDEX(RLVL_Data,MATCH(Rider_Input[[#This Row],[Rider ID]],INDEX(RLVL_Data,0,c_RLVL_ID),0),c_RLVL_Missed)),0))</f>
        <v/>
      </c>
      <c r="I500" s="155" t="str">
        <f aca="false">IF(Rider_Input[[#This Row],[Rider ID]]="","",IFERROR(ABS(INDEX(RLVL_Data,MATCH(Rider_Input[[#This Row],[Rider ID]],INDEX(RLVL_Data,0,c_RLVL_ID),0),c_RLVL_Bal)),0))</f>
        <v/>
      </c>
      <c r="J500" s="155" t="str">
        <f aca="false">IF(Rider_Input[[#This Row],[Rider ID]]="","",IFERROR(ABS(INDEX(RLVL_Data,MATCH(Rider_Input[[#This Row],[Rider ID]],INDEX(RLVL_Data,0,c_RLVL_ID),0),c_RLVL_Stack)),0))</f>
        <v/>
      </c>
      <c r="K500" s="155" t="str">
        <f aca="false">IF(Rider_Input[[#This Row],[Rider ID]]="","",SUMIFS(Adj_Input[Other Deductions],Adj_Input[Rider ID],Rider_Input[[#This Row],[Rider ID]]))</f>
        <v/>
      </c>
      <c r="L500" s="154" t="str">
        <f aca="false">IF(Rider_Input[[#This Row],[Rider ID]]="","",IFERROR(INDEX(Adj_Input[Note / Reason],MATCH(Rider_Input[[#This Row],[Rider ID]],Adj_Input[Rider ID],0))&amp;"",""))</f>
        <v/>
      </c>
    </row>
    <row r="501" customFormat="false" ht="14.25" hidden="false" customHeight="false" outlineLevel="0" collapsed="false">
      <c r="A501" s="152" t="str">
        <f aca="false">IF(Rider_Input[[#This Row],[Rider ID]]="","",Salary_Month)</f>
        <v/>
      </c>
      <c r="B501" s="153" t="str">
        <f aca="false">IFERROR(IF(INDEX(FTR_Data,ROW()-ROW(Rider_Input[#Headers]),c_FTR_ID)="","",INDEX(FTR_Data,ROW()-ROW(Rider_Input[#Headers]),c_FTR_ID)),"")</f>
        <v/>
      </c>
      <c r="C501" s="154" t="str">
        <f aca="false">IF(Rider_Input[[#This Row],[Rider ID]]="","",IFERROR(IF(INDEX(Rider_Master[Rider Name],MATCH(Rider_Input[[#This Row],[Rider ID]],Rider_Master[Rider ID],0))="","Rider "&amp;Rider_Input[[#This Row],[Rider ID]],INDEX(Rider_Master[Rider Name],MATCH(Rider_Input[[#This Row],[Rider ID]],Rider_Master[Rider ID],0))),"Rider "&amp;Rider_Input[[#This Row],[Rider ID]]))</f>
        <v/>
      </c>
      <c r="D501" s="155" t="str">
        <f aca="false">IF(Rider_Input[[#This Row],[Rider ID]]="","",IFERROR(IF(INDEX(Rider_Master[Basic Payment (blank = default)],MATCH(Rider_Input[[#This Row],[Rider ID]],Rider_Master[Rider ID],0))="",Default_Basic,INDEX(Rider_Master[Basic Payment (blank = default)],MATCH(Rider_Input[[#This Row],[Rider ID]],Rider_Master[Rider ID],0))),Default_Basic))</f>
        <v/>
      </c>
      <c r="E501" s="153" t="str">
        <f aca="false">IF(Rider_Input[[#This Row],[Rider ID]]="","",DAY(EOMONTH(Salary_Month,0)))</f>
        <v/>
      </c>
      <c r="F501" s="153" t="str">
        <f aca="false">IF(Rider_Input[[#This Row],[Rider ID]]="","",IFERROR(IF(INDEX(FTR_Data,ROW()-ROW(Rider_Input[#Headers]),c_FTR_WD)="","",INDEX(FTR_Data,ROW()-ROW(Rider_Input[#Headers]),c_FTR_WD)),""))</f>
        <v/>
      </c>
      <c r="G501" s="153" t="str">
        <f aca="false">IF(Rider_Input[[#This Row],[Rider ID]]="","",IFERROR(IF(INDEX(FTR_Data,ROW()-ROW(Rider_Input[#Headers]),c_FTR_Orders)="","",INDEX(FTR_Data,ROW()-ROW(Rider_Input[#Headers]),c_FTR_Orders)),""))</f>
        <v/>
      </c>
      <c r="H501" s="155" t="str">
        <f aca="false">IF(Rider_Input[[#This Row],[Rider ID]]="","",IFERROR(ABS(INDEX(RLVL_Data,MATCH(Rider_Input[[#This Row],[Rider ID]],INDEX(RLVL_Data,0,c_RLVL_ID),0),c_RLVL_Missed)),0))</f>
        <v/>
      </c>
      <c r="I501" s="155" t="str">
        <f aca="false">IF(Rider_Input[[#This Row],[Rider ID]]="","",IFERROR(ABS(INDEX(RLVL_Data,MATCH(Rider_Input[[#This Row],[Rider ID]],INDEX(RLVL_Data,0,c_RLVL_ID),0),c_RLVL_Bal)),0))</f>
        <v/>
      </c>
      <c r="J501" s="155" t="str">
        <f aca="false">IF(Rider_Input[[#This Row],[Rider ID]]="","",IFERROR(ABS(INDEX(RLVL_Data,MATCH(Rider_Input[[#This Row],[Rider ID]],INDEX(RLVL_Data,0,c_RLVL_ID),0),c_RLVL_Stack)),0))</f>
        <v/>
      </c>
      <c r="K501" s="155" t="str">
        <f aca="false">IF(Rider_Input[[#This Row],[Rider ID]]="","",SUMIFS(Adj_Input[Other Deductions],Adj_Input[Rider ID],Rider_Input[[#This Row],[Rider ID]]))</f>
        <v/>
      </c>
      <c r="L501" s="154" t="str">
        <f aca="false">IF(Rider_Input[[#This Row],[Rider ID]]="","",IFERROR(INDEX(Adj_Input[Note / Reason],MATCH(Rider_Input[[#This Row],[Rider ID]],Adj_Input[Rider ID],0))&amp;"",""))</f>
        <v/>
      </c>
    </row>
  </sheetData>
  <dataValidations count="7">
    <dataValidation allowBlank="true" error="Enter a valid date (e.g. first day of the salary month)." errorStyle="stop" errorTitle="Salary Month" operator="greaterThan" showDropDown="false" showErrorMessage="true" showInputMessage="false" sqref="A2:A501" type="date">
      <formula1>36526</formula1>
      <formula2>0</formula2>
    </dataValidation>
    <dataValidation allowBlank="true" error="Rider ID must be a whole number." errorStyle="stop" errorTitle="Rider ID" operator="greaterThan" showDropDown="false" showErrorMessage="true" showInputMessage="false" sqref="B2:B501" type="whole">
      <formula1>0</formula1>
      <formula2>0</formula2>
    </dataValidation>
    <dataValidation allowBlank="true" error="Basic Payment must be greater than zero." errorStyle="stop" errorTitle="Basic Payment" operator="greaterThan" showDropDown="false" showErrorMessage="true" showInputMessage="false" sqref="D2:D501" type="decimal">
      <formula1>0</formula1>
      <formula2>0</formula2>
    </dataValidation>
    <dataValidation allowBlank="true" error="Choose 28, 29, 30 or 31." errorStyle="stop" errorTitle="Calendar Days" operator="between" showDropDown="false" showErrorMessage="true" showInputMessage="false" sqref="E2:E501" type="list">
      <formula1>"28,29,30,31"</formula1>
      <formula2>0</formula2>
    </dataValidation>
    <dataValidation allowBlank="true" error="Working days must be a whole number from 0 to 31." errorStyle="stop" errorTitle="Working Days" operator="between" showDropDown="false" showErrorMessage="true" showInputMessage="false" sqref="F2:F501" type="whole">
      <formula1>0</formula1>
      <formula2>31</formula2>
    </dataValidation>
    <dataValidation allowBlank="true" error="Completed orders must be 0 or more." errorStyle="stop" errorTitle="Completed Orders" operator="greaterThanOrEqual" showDropDown="false" showErrorMessage="true" showInputMessage="false" sqref="G2:G501" type="whole">
      <formula1>0</formula1>
      <formula2>0</formula2>
    </dataValidation>
    <dataValidation allowBlank="true" error="Enter deductions as positive amounts (0 or more)." errorStyle="stop" errorTitle="Deduction" operator="greaterThanOrEqual" showDropDown="false" showErrorMessage="true" showInputMessage="false" sqref="H2:K501" type="decimal">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tableParts>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E50"/>
    <pageSetUpPr fitToPage="true"/>
  </sheetPr>
  <dimension ref="A1:AE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4.25" zeroHeight="false" outlineLevelRow="0" outlineLevelCol="0"/>
  <cols>
    <col collapsed="false" customWidth="true" hidden="false" outlineLevel="0" max="2" min="1" style="0" width="16"/>
    <col collapsed="false" customWidth="true" hidden="false" outlineLevel="0" max="3" min="3" style="0" width="24"/>
    <col collapsed="false" customWidth="true" hidden="false" outlineLevel="0" max="23" min="4" style="0" width="16"/>
    <col collapsed="false" customWidth="true" hidden="false" outlineLevel="0" max="24" min="24" style="0" width="22"/>
    <col collapsed="false" customWidth="true" hidden="false" outlineLevel="0" max="25" min="25" style="0" width="34"/>
    <col collapsed="false" customWidth="true" hidden="false" outlineLevel="0" max="26" min="26" style="0" width="46"/>
    <col collapsed="false" customWidth="true" hidden="false" outlineLevel="0" max="27" min="27" style="0" width="16"/>
    <col collapsed="false" customWidth="true" hidden="false" outlineLevel="0" max="28" min="28" style="0" width="18"/>
    <col collapsed="false" customWidth="true" hidden="false" outlineLevel="0" max="29" min="29" style="0" width="46"/>
    <col collapsed="false" customWidth="true" hidden="false" outlineLevel="0" max="31" min="30" style="0" width="16"/>
  </cols>
  <sheetData>
    <row r="1" customFormat="false" ht="48" hidden="false" customHeight="true" outlineLevel="0" collapsed="false">
      <c r="A1" s="156" t="s">
        <v>260</v>
      </c>
      <c r="B1" s="156" t="s">
        <v>27</v>
      </c>
      <c r="C1" s="156" t="s">
        <v>28</v>
      </c>
      <c r="D1" s="156" t="s">
        <v>261</v>
      </c>
      <c r="E1" s="156" t="s">
        <v>42</v>
      </c>
      <c r="F1" s="156" t="s">
        <v>43</v>
      </c>
      <c r="G1" s="157" t="s">
        <v>265</v>
      </c>
      <c r="H1" s="157" t="s">
        <v>266</v>
      </c>
      <c r="I1" s="156" t="s">
        <v>44</v>
      </c>
      <c r="J1" s="157" t="s">
        <v>267</v>
      </c>
      <c r="K1" s="157" t="s">
        <v>268</v>
      </c>
      <c r="L1" s="157" t="s">
        <v>47</v>
      </c>
      <c r="M1" s="158" t="s">
        <v>269</v>
      </c>
      <c r="N1" s="158" t="s">
        <v>48</v>
      </c>
      <c r="O1" s="157" t="s">
        <v>270</v>
      </c>
      <c r="P1" s="157" t="s">
        <v>49</v>
      </c>
      <c r="Q1" s="157" t="s">
        <v>271</v>
      </c>
      <c r="R1" s="158" t="s">
        <v>222</v>
      </c>
      <c r="S1" s="158" t="s">
        <v>272</v>
      </c>
      <c r="T1" s="158" t="s">
        <v>273</v>
      </c>
      <c r="U1" s="158" t="s">
        <v>51</v>
      </c>
      <c r="V1" s="158" t="s">
        <v>274</v>
      </c>
      <c r="W1" s="159" t="s">
        <v>29</v>
      </c>
      <c r="X1" s="158" t="s">
        <v>275</v>
      </c>
      <c r="Y1" s="159" t="s">
        <v>276</v>
      </c>
      <c r="Z1" s="156" t="s">
        <v>256</v>
      </c>
      <c r="AA1" s="157" t="s">
        <v>277</v>
      </c>
      <c r="AB1" s="158" t="s">
        <v>278</v>
      </c>
      <c r="AC1" s="158" t="s">
        <v>279</v>
      </c>
      <c r="AD1" s="157" t="s">
        <v>280</v>
      </c>
      <c r="AE1" s="160" t="s">
        <v>281</v>
      </c>
    </row>
    <row r="2" customFormat="false" ht="14.25" hidden="false" customHeight="false" outlineLevel="0" collapsed="false">
      <c r="A2" s="161" t="n">
        <f aca="false">IF(Salary_Calculation[[#This Row],[Source Row]]="","",IF(INDEX(Rider_Input[Salary Month],Salary_Calculation[[#This Row],[Source Row]])="","",INDEX(Rider_Input[Salary Month],Salary_Calculation[[#This Row],[Source Row]])))</f>
        <v>46235</v>
      </c>
      <c r="B2" s="162" t="n">
        <f aca="false">IF(Salary_Calculation[[#This Row],[Source Row]]="","",IF(INDEX(Rider_Input[Rider ID],Salary_Calculation[[#This Row],[Source Row]])="","",INDEX(Rider_Input[Rider ID],Salary_Calculation[[#This Row],[Source Row]])))</f>
        <v>4849914</v>
      </c>
      <c r="C2" s="163" t="str">
        <f aca="false">IF(Salary_Calculation[[#This Row],[Source Row]]="","",IF(INDEX(Rider_Input[Rider Name],Salary_Calculation[[#This Row],[Source Row]])="","",INDEX(Rider_Input[Rider Name],Salary_Calculation[[#This Row],[Source Row]])))</f>
        <v>Rider 4849914</v>
      </c>
      <c r="D2" s="164" t="n">
        <f aca="false">IF(Salary_Calculation[[#This Row],[Source Row]]="","",IF(INDEX(Rider_Input[Basic Payment],Salary_Calculation[[#This Row],[Source Row]])="","",INDEX(Rider_Input[Basic Payment],Salary_Calculation[[#This Row],[Source Row]])))</f>
        <v>2000</v>
      </c>
      <c r="E2" s="162" t="n">
        <f aca="false">IF(Salary_Calculation[[#This Row],[Source Row]]="","",IF(INDEX(Rider_Input[Calendar Days in Month],Salary_Calculation[[#This Row],[Source Row]])="","",INDEX(Rider_Input[Calendar Days in Month],Salary_Calculation[[#This Row],[Source Row]])))</f>
        <v>31</v>
      </c>
      <c r="F2" s="162" t="n">
        <f aca="false">IF(Salary_Calculation[[#This Row],[Source Row]]="","",IF(INDEX(Rider_Input[Working Days],Salary_Calculation[[#This Row],[Source Row]])="","",INDEX(Rider_Input[Working Days],Salary_Calculation[[#This Row],[Source Row]])))</f>
        <v>8</v>
      </c>
      <c r="G2" s="165" t="n">
        <f aca="false">IF(Salary_Calculation[[#This Row],[Source Row]]="","",Std_Orders/Std_Days*N(Salary_Calculation[[#This Row],[Calendar Days]]))</f>
        <v>465</v>
      </c>
      <c r="H2" s="165" t="n">
        <f aca="false">IF(Salary_Calculation[[#This Row],[Source Row]]="","",IF(N(Salary_Calculation[[#This Row],[Calendar Days]])&gt;0,Salary_Calculation[[#This Row],[Monthly Target Orders]]/N(Salary_Calculation[[#This Row],[Calendar Days]])*N(Salary_Calculation[[#This Row],[Working Days]]),0))</f>
        <v>120</v>
      </c>
      <c r="I2" s="166" t="n">
        <f aca="false">IF(Salary_Calculation[[#This Row],[Source Row]]="","",IF(INDEX(Rider_Input[Completed Orders],Salary_Calculation[[#This Row],[Source Row]])="","",INDEX(Rider_Input[Completed Orders],Salary_Calculation[[#This Row],[Source Row]])))</f>
        <v>72</v>
      </c>
      <c r="J2" s="165" t="n">
        <f aca="false">IF(Salary_Calculation[[#This Row],[Source Row]]="","",IF(Rate_Method="Fixed rate",Fixed_Rate,IF(N(Salary_Calculation[[#This Row],[Basic Payment]])&gt;0,N(Salary_Calculation[[#This Row],[Basic Payment]])/Std_Orders,0)))</f>
        <v>4.44444444444445</v>
      </c>
      <c r="K2" s="165" t="n">
        <f aca="false">IF(Salary_Calculation[[#This Row],[Source Row]]="","",MAX(MIN(N(Salary_Calculation[[#This Row],[Completed Orders]]),Salary_Calculation[[#This Row],[Rider Target Orders]]),0))</f>
        <v>72</v>
      </c>
      <c r="L2" s="164" t="n">
        <f aca="false">IF(Salary_Calculation[[#This Row],[Source Row]]="","",Salary_Calculation[[#This Row],[Orders Counted at Base Rate]]*Salary_Calculation[[#This Row],[Base Order Rate]])</f>
        <v>320</v>
      </c>
      <c r="M2" s="165" t="n">
        <f aca="false">IF(Salary_Calculation[[#This Row],[Source Row]]="","",MAX(Salary_Calculation[[#This Row],[Rider Target Orders]]-N(Salary_Calculation[[#This Row],[Completed Orders]]),0))</f>
        <v>48</v>
      </c>
      <c r="N2" s="164" t="n">
        <f aca="false">IF(Salary_Calculation[[#This Row],[Source Row]]="","",Salary_Calculation[[#This Row],[Missing Orders]]*Missing_Rate)</f>
        <v>336</v>
      </c>
      <c r="O2" s="165" t="n">
        <f aca="false">IF(Salary_Calculation[[#This Row],[Source Row]]="","",MAX(N(Salary_Calculation[[#This Row],[Completed Orders]])-Salary_Calculation[[#This Row],[Rider Target Orders]],0))</f>
        <v>0</v>
      </c>
      <c r="P2" s="164" t="n">
        <f aca="false">IF(Salary_Calculation[[#This Row],[Source Row]]="","",Salary_Calculation[[#This Row],[Extra Orders]]*Extra_Rate)</f>
        <v>0</v>
      </c>
      <c r="Q2" s="164" t="n">
        <f aca="false">IF(Salary_Calculation[[#This Row],[Source Row]]="","",MAX(Salary_Calculation[[#This Row],[Salary Before Other Deductions]],0))</f>
        <v>0</v>
      </c>
      <c r="R2" s="164" t="n">
        <f aca="false">IF(Salary_Calculation[[#This Row],[Source Row]]="","",N(INDEX(Rider_Input[missed_days_penalty],Salary_Calculation[[#This Row],[Source Row]])))</f>
        <v>0</v>
      </c>
      <c r="S2" s="164" t="n">
        <f aca="false">IF(Salary_Calculation[[#This Row],[Source Row]]="","",N(INDEX(Rider_Input[Rider Balance / محفظة المندوب],Salary_Calculation[[#This Row],[Source Row]])))</f>
        <v>268.09</v>
      </c>
      <c r="T2" s="164" t="n">
        <f aca="false">IF(Salary_Calculation[[#This Row],[Source Row]]="","",N(INDEX(Rider_Input[stacking_deduction / خصم الطلبات المتعددة],Salary_Calculation[[#This Row],[Source Row]])))</f>
        <v>32</v>
      </c>
      <c r="U2" s="164" t="n">
        <f aca="false">IF(Salary_Calculation[[#This Row],[Source Row]]="","",N(INDEX(Rider_Input[Other Deductions],Salary_Calculation[[#This Row],[Source Row]])))</f>
        <v>0</v>
      </c>
      <c r="V2" s="164" t="n">
        <f aca="false">IF(Salary_Calculation[[#This Row],[Source Row]]="","",N(Salary_Calculation[[#This Row],[missed_days_penalty]])+N(Salary_Calculation[[#This Row],[Rider Balance]])+N(Salary_Calculation[[#This Row],[stacking_deduction]])+N(Salary_Calculation[[#This Row],[Other Deductions]]))</f>
        <v>300.09</v>
      </c>
      <c r="W2" s="167" t="n">
        <f aca="false">IF(Salary_Calculation[[#This Row],[Source Row]]="","",ROUND(MAX(Salary_Calculation[[#This Row],[Gross Salary Before Deductions]]-Salary_Calculation[[#This Row],[Total Deductions]],0),2))</f>
        <v>0</v>
      </c>
      <c r="X2" s="164" t="n">
        <f aca="false">IF(Salary_Calculation[[#This Row],[Source Row]]="","",ROUND(MAX(Salary_Calculation[[#This Row],[Missing-Order Deduction]]-Salary_Calculation[[#This Row],[Earned Salary]],0),2))</f>
        <v>16</v>
      </c>
      <c r="Y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No Salary – Amount Due from Rider</v>
      </c>
      <c r="Z2" s="163" t="str">
        <f aca="false">IF(Salary_Calculation[[#This Row],[Source Row]]="","",IF(INDEX(Rider_Input[Notes],Salary_Calculation[[#This Row],[Source Row]])="","",INDEX(Rider_Input[Notes],Salary_Calculation[[#This Row],[Source Row]])))</f>
        <v/>
      </c>
      <c r="AA2" s="164" t="n">
        <f aca="false">IF(Salary_Calculation[[#This Row],[Source Row]]="","",Salary_Calculation[[#This Row],[Earned Salary]]-Salary_Calculation[[#This Row],[Missing-Order Deduction]]+Salary_Calculation[[#This Row],[Extra-Order Bonus]])</f>
        <v>-16</v>
      </c>
      <c r="AB2" s="164" t="n">
        <f aca="false">IF(Salary_Calculation[[#This Row],[Source Row]]="","",ROUND(Salary_Calculation[[#This Row],[Negative Balance / Amount Due from Rider]]+MAX(Salary_Calculation[[#This Row],[Total Deductions]]-Salary_Calculation[[#This Row],[Gross Salary Before Deductions]],0),2))</f>
        <v>316.09</v>
      </c>
      <c r="AC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 s="164" t="n">
        <f aca="false">IF(Salary_Calculation[[#This Row],[Source Row]]="","",Salary_Calculation[[#This Row],[Rider Target Orders]]*Salary_Calculation[[#This Row],[Base Order Rate]])</f>
        <v>533.333333333333</v>
      </c>
      <c r="AE2" s="162" t="n">
        <f aca="false">IF(SUMPRODUCT(--(LEN(INDEX(Rider_Input[#Data],ROW()-ROW(Salary_Calculation[#Headers]),0))&gt;0))=0,"",ROW()-ROW(Salary_Calculation[#Headers]))</f>
        <v>1</v>
      </c>
    </row>
    <row r="3" customFormat="false" ht="14.25" hidden="false" customHeight="false" outlineLevel="0" collapsed="false">
      <c r="A3" s="161" t="n">
        <f aca="false">IF(Salary_Calculation[[#This Row],[Source Row]]="","",IF(INDEX(Rider_Input[Salary Month],Salary_Calculation[[#This Row],[Source Row]])="","",INDEX(Rider_Input[Salary Month],Salary_Calculation[[#This Row],[Source Row]])))</f>
        <v>46235</v>
      </c>
      <c r="B3" s="162" t="n">
        <f aca="false">IF(Salary_Calculation[[#This Row],[Source Row]]="","",IF(INDEX(Rider_Input[Rider ID],Salary_Calculation[[#This Row],[Source Row]])="","",INDEX(Rider_Input[Rider ID],Salary_Calculation[[#This Row],[Source Row]])))</f>
        <v>4849909</v>
      </c>
      <c r="C3" s="163" t="str">
        <f aca="false">IF(Salary_Calculation[[#This Row],[Source Row]]="","",IF(INDEX(Rider_Input[Rider Name],Salary_Calculation[[#This Row],[Source Row]])="","",INDEX(Rider_Input[Rider Name],Salary_Calculation[[#This Row],[Source Row]])))</f>
        <v>Rider 4849909</v>
      </c>
      <c r="D3" s="164" t="n">
        <f aca="false">IF(Salary_Calculation[[#This Row],[Source Row]]="","",IF(INDEX(Rider_Input[Basic Payment],Salary_Calculation[[#This Row],[Source Row]])="","",INDEX(Rider_Input[Basic Payment],Salary_Calculation[[#This Row],[Source Row]])))</f>
        <v>2000</v>
      </c>
      <c r="E3" s="162" t="n">
        <f aca="false">IF(Salary_Calculation[[#This Row],[Source Row]]="","",IF(INDEX(Rider_Input[Calendar Days in Month],Salary_Calculation[[#This Row],[Source Row]])="","",INDEX(Rider_Input[Calendar Days in Month],Salary_Calculation[[#This Row],[Source Row]])))</f>
        <v>31</v>
      </c>
      <c r="F3" s="162" t="n">
        <f aca="false">IF(Salary_Calculation[[#This Row],[Source Row]]="","",IF(INDEX(Rider_Input[Working Days],Salary_Calculation[[#This Row],[Source Row]])="","",INDEX(Rider_Input[Working Days],Salary_Calculation[[#This Row],[Source Row]])))</f>
        <v>11</v>
      </c>
      <c r="G3" s="165" t="n">
        <f aca="false">IF(Salary_Calculation[[#This Row],[Source Row]]="","",Std_Orders/Std_Days*N(Salary_Calculation[[#This Row],[Calendar Days]]))</f>
        <v>465</v>
      </c>
      <c r="H3" s="165" t="n">
        <f aca="false">IF(Salary_Calculation[[#This Row],[Source Row]]="","",IF(N(Salary_Calculation[[#This Row],[Calendar Days]])&gt;0,Salary_Calculation[[#This Row],[Monthly Target Orders]]/N(Salary_Calculation[[#This Row],[Calendar Days]])*N(Salary_Calculation[[#This Row],[Working Days]]),0))</f>
        <v>165</v>
      </c>
      <c r="I3" s="166" t="n">
        <f aca="false">IF(Salary_Calculation[[#This Row],[Source Row]]="","",IF(INDEX(Rider_Input[Completed Orders],Salary_Calculation[[#This Row],[Source Row]])="","",INDEX(Rider_Input[Completed Orders],Salary_Calculation[[#This Row],[Source Row]])))</f>
        <v>101</v>
      </c>
      <c r="J3" s="165" t="n">
        <f aca="false">IF(Salary_Calculation[[#This Row],[Source Row]]="","",IF(Rate_Method="Fixed rate",Fixed_Rate,IF(N(Salary_Calculation[[#This Row],[Basic Payment]])&gt;0,N(Salary_Calculation[[#This Row],[Basic Payment]])/Std_Orders,0)))</f>
        <v>4.44444444444445</v>
      </c>
      <c r="K3" s="165" t="n">
        <f aca="false">IF(Salary_Calculation[[#This Row],[Source Row]]="","",MAX(MIN(N(Salary_Calculation[[#This Row],[Completed Orders]]),Salary_Calculation[[#This Row],[Rider Target Orders]]),0))</f>
        <v>101</v>
      </c>
      <c r="L3" s="164" t="n">
        <f aca="false">IF(Salary_Calculation[[#This Row],[Source Row]]="","",Salary_Calculation[[#This Row],[Orders Counted at Base Rate]]*Salary_Calculation[[#This Row],[Base Order Rate]])</f>
        <v>448.888888888889</v>
      </c>
      <c r="M3" s="165" t="n">
        <f aca="false">IF(Salary_Calculation[[#This Row],[Source Row]]="","",MAX(Salary_Calculation[[#This Row],[Rider Target Orders]]-N(Salary_Calculation[[#This Row],[Completed Orders]]),0))</f>
        <v>64</v>
      </c>
      <c r="N3" s="164" t="n">
        <f aca="false">IF(Salary_Calculation[[#This Row],[Source Row]]="","",Salary_Calculation[[#This Row],[Missing Orders]]*Missing_Rate)</f>
        <v>448</v>
      </c>
      <c r="O3" s="165" t="n">
        <f aca="false">IF(Salary_Calculation[[#This Row],[Source Row]]="","",MAX(N(Salary_Calculation[[#This Row],[Completed Orders]])-Salary_Calculation[[#This Row],[Rider Target Orders]],0))</f>
        <v>0</v>
      </c>
      <c r="P3" s="164" t="n">
        <f aca="false">IF(Salary_Calculation[[#This Row],[Source Row]]="","",Salary_Calculation[[#This Row],[Extra Orders]]*Extra_Rate)</f>
        <v>0</v>
      </c>
      <c r="Q3" s="164" t="n">
        <f aca="false">IF(Salary_Calculation[[#This Row],[Source Row]]="","",MAX(Salary_Calculation[[#This Row],[Salary Before Other Deductions]],0))</f>
        <v>0.888888888888914</v>
      </c>
      <c r="R3" s="164" t="n">
        <f aca="false">IF(Salary_Calculation[[#This Row],[Source Row]]="","",N(INDEX(Rider_Input[missed_days_penalty],Salary_Calculation[[#This Row],[Source Row]])))</f>
        <v>0</v>
      </c>
      <c r="S3" s="164" t="n">
        <f aca="false">IF(Salary_Calculation[[#This Row],[Source Row]]="","",N(INDEX(Rider_Input[Rider Balance / محفظة المندوب],Salary_Calculation[[#This Row],[Source Row]])))</f>
        <v>213.56</v>
      </c>
      <c r="T3" s="164" t="n">
        <f aca="false">IF(Salary_Calculation[[#This Row],[Source Row]]="","",N(INDEX(Rider_Input[stacking_deduction / خصم الطلبات المتعددة],Salary_Calculation[[#This Row],[Source Row]])))</f>
        <v>20</v>
      </c>
      <c r="U3" s="164" t="n">
        <f aca="false">IF(Salary_Calculation[[#This Row],[Source Row]]="","",N(INDEX(Rider_Input[Other Deductions],Salary_Calculation[[#This Row],[Source Row]])))</f>
        <v>0</v>
      </c>
      <c r="V3" s="164" t="n">
        <f aca="false">IF(Salary_Calculation[[#This Row],[Source Row]]="","",N(Salary_Calculation[[#This Row],[missed_days_penalty]])+N(Salary_Calculation[[#This Row],[Rider Balance]])+N(Salary_Calculation[[#This Row],[stacking_deduction]])+N(Salary_Calculation[[#This Row],[Other Deductions]]))</f>
        <v>233.56</v>
      </c>
      <c r="W3" s="167" t="n">
        <f aca="false">IF(Salary_Calculation[[#This Row],[Source Row]]="","",ROUND(MAX(Salary_Calculation[[#This Row],[Gross Salary Before Deductions]]-Salary_Calculation[[#This Row],[Total Deductions]],0),2))</f>
        <v>0</v>
      </c>
      <c r="X3" s="164" t="n">
        <f aca="false">IF(Salary_Calculation[[#This Row],[Source Row]]="","",ROUND(MAX(Salary_Calculation[[#This Row],[Missing-Order Deduction]]-Salary_Calculation[[#This Row],[Earned Salary]],0),2))</f>
        <v>0</v>
      </c>
      <c r="Y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No Salary – Amount Due from Rider</v>
      </c>
      <c r="Z3" s="163" t="str">
        <f aca="false">IF(Salary_Calculation[[#This Row],[Source Row]]="","",IF(INDEX(Rider_Input[Notes],Salary_Calculation[[#This Row],[Source Row]])="","",INDEX(Rider_Input[Notes],Salary_Calculation[[#This Row],[Source Row]])))</f>
        <v/>
      </c>
      <c r="AA3" s="164" t="n">
        <f aca="false">IF(Salary_Calculation[[#This Row],[Source Row]]="","",Salary_Calculation[[#This Row],[Earned Salary]]-Salary_Calculation[[#This Row],[Missing-Order Deduction]]+Salary_Calculation[[#This Row],[Extra-Order Bonus]])</f>
        <v>0.888888888888914</v>
      </c>
      <c r="AB3" s="164" t="n">
        <f aca="false">IF(Salary_Calculation[[#This Row],[Source Row]]="","",ROUND(Salary_Calculation[[#This Row],[Negative Balance / Amount Due from Rider]]+MAX(Salary_Calculation[[#This Row],[Total Deductions]]-Salary_Calculation[[#This Row],[Gross Salary Before Deductions]],0),2))</f>
        <v>232.67</v>
      </c>
      <c r="AC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 s="164" t="n">
        <f aca="false">IF(Salary_Calculation[[#This Row],[Source Row]]="","",Salary_Calculation[[#This Row],[Rider Target Orders]]*Salary_Calculation[[#This Row],[Base Order Rate]])</f>
        <v>733.333333333333</v>
      </c>
      <c r="AE3" s="162" t="n">
        <f aca="false">IF(SUMPRODUCT(--(LEN(INDEX(Rider_Input[#Data],ROW()-ROW(Salary_Calculation[#Headers]),0))&gt;0))=0,"",ROW()-ROW(Salary_Calculation[#Headers]))</f>
        <v>2</v>
      </c>
    </row>
    <row r="4" customFormat="false" ht="14.25" hidden="false" customHeight="false" outlineLevel="0" collapsed="false">
      <c r="A4" s="161" t="n">
        <f aca="false">IF(Salary_Calculation[[#This Row],[Source Row]]="","",IF(INDEX(Rider_Input[Salary Month],Salary_Calculation[[#This Row],[Source Row]])="","",INDEX(Rider_Input[Salary Month],Salary_Calculation[[#This Row],[Source Row]])))</f>
        <v>46235</v>
      </c>
      <c r="B4" s="162" t="n">
        <f aca="false">IF(Salary_Calculation[[#This Row],[Source Row]]="","",IF(INDEX(Rider_Input[Rider ID],Salary_Calculation[[#This Row],[Source Row]])="","",INDEX(Rider_Input[Rider ID],Salary_Calculation[[#This Row],[Source Row]])))</f>
        <v>4849222</v>
      </c>
      <c r="C4" s="163" t="str">
        <f aca="false">IF(Salary_Calculation[[#This Row],[Source Row]]="","",IF(INDEX(Rider_Input[Rider Name],Salary_Calculation[[#This Row],[Source Row]])="","",INDEX(Rider_Input[Rider Name],Salary_Calculation[[#This Row],[Source Row]])))</f>
        <v>Rider 4849222</v>
      </c>
      <c r="D4" s="164" t="n">
        <f aca="false">IF(Salary_Calculation[[#This Row],[Source Row]]="","",IF(INDEX(Rider_Input[Basic Payment],Salary_Calculation[[#This Row],[Source Row]])="","",INDEX(Rider_Input[Basic Payment],Salary_Calculation[[#This Row],[Source Row]])))</f>
        <v>2000</v>
      </c>
      <c r="E4" s="162" t="n">
        <f aca="false">IF(Salary_Calculation[[#This Row],[Source Row]]="","",IF(INDEX(Rider_Input[Calendar Days in Month],Salary_Calculation[[#This Row],[Source Row]])="","",INDEX(Rider_Input[Calendar Days in Month],Salary_Calculation[[#This Row],[Source Row]])))</f>
        <v>31</v>
      </c>
      <c r="F4" s="162" t="n">
        <f aca="false">IF(Salary_Calculation[[#This Row],[Source Row]]="","",IF(INDEX(Rider_Input[Working Days],Salary_Calculation[[#This Row],[Source Row]])="","",INDEX(Rider_Input[Working Days],Salary_Calculation[[#This Row],[Source Row]])))</f>
        <v>11</v>
      </c>
      <c r="G4" s="165" t="n">
        <f aca="false">IF(Salary_Calculation[[#This Row],[Source Row]]="","",Std_Orders/Std_Days*N(Salary_Calculation[[#This Row],[Calendar Days]]))</f>
        <v>465</v>
      </c>
      <c r="H4" s="165" t="n">
        <f aca="false">IF(Salary_Calculation[[#This Row],[Source Row]]="","",IF(N(Salary_Calculation[[#This Row],[Calendar Days]])&gt;0,Salary_Calculation[[#This Row],[Monthly Target Orders]]/N(Salary_Calculation[[#This Row],[Calendar Days]])*N(Salary_Calculation[[#This Row],[Working Days]]),0))</f>
        <v>165</v>
      </c>
      <c r="I4" s="166" t="n">
        <f aca="false">IF(Salary_Calculation[[#This Row],[Source Row]]="","",IF(INDEX(Rider_Input[Completed Orders],Salary_Calculation[[#This Row],[Source Row]])="","",INDEX(Rider_Input[Completed Orders],Salary_Calculation[[#This Row],[Source Row]])))</f>
        <v>105</v>
      </c>
      <c r="J4" s="165" t="n">
        <f aca="false">IF(Salary_Calculation[[#This Row],[Source Row]]="","",IF(Rate_Method="Fixed rate",Fixed_Rate,IF(N(Salary_Calculation[[#This Row],[Basic Payment]])&gt;0,N(Salary_Calculation[[#This Row],[Basic Payment]])/Std_Orders,0)))</f>
        <v>4.44444444444445</v>
      </c>
      <c r="K4" s="165" t="n">
        <f aca="false">IF(Salary_Calculation[[#This Row],[Source Row]]="","",MAX(MIN(N(Salary_Calculation[[#This Row],[Completed Orders]]),Salary_Calculation[[#This Row],[Rider Target Orders]]),0))</f>
        <v>105</v>
      </c>
      <c r="L4" s="164" t="n">
        <f aca="false">IF(Salary_Calculation[[#This Row],[Source Row]]="","",Salary_Calculation[[#This Row],[Orders Counted at Base Rate]]*Salary_Calculation[[#This Row],[Base Order Rate]])</f>
        <v>466.666666666667</v>
      </c>
      <c r="M4" s="165" t="n">
        <f aca="false">IF(Salary_Calculation[[#This Row],[Source Row]]="","",MAX(Salary_Calculation[[#This Row],[Rider Target Orders]]-N(Salary_Calculation[[#This Row],[Completed Orders]]),0))</f>
        <v>60</v>
      </c>
      <c r="N4" s="164" t="n">
        <f aca="false">IF(Salary_Calculation[[#This Row],[Source Row]]="","",Salary_Calculation[[#This Row],[Missing Orders]]*Missing_Rate)</f>
        <v>420</v>
      </c>
      <c r="O4" s="165" t="n">
        <f aca="false">IF(Salary_Calculation[[#This Row],[Source Row]]="","",MAX(N(Salary_Calculation[[#This Row],[Completed Orders]])-Salary_Calculation[[#This Row],[Rider Target Orders]],0))</f>
        <v>0</v>
      </c>
      <c r="P4" s="164" t="n">
        <f aca="false">IF(Salary_Calculation[[#This Row],[Source Row]]="","",Salary_Calculation[[#This Row],[Extra Orders]]*Extra_Rate)</f>
        <v>0</v>
      </c>
      <c r="Q4" s="164" t="n">
        <f aca="false">IF(Salary_Calculation[[#This Row],[Source Row]]="","",MAX(Salary_Calculation[[#This Row],[Salary Before Other Deductions]],0))</f>
        <v>46.6666666666667</v>
      </c>
      <c r="R4" s="164" t="n">
        <f aca="false">IF(Salary_Calculation[[#This Row],[Source Row]]="","",N(INDEX(Rider_Input[missed_days_penalty],Salary_Calculation[[#This Row],[Source Row]])))</f>
        <v>0</v>
      </c>
      <c r="S4" s="164" t="n">
        <f aca="false">IF(Salary_Calculation[[#This Row],[Source Row]]="","",N(INDEX(Rider_Input[Rider Balance / محفظة المندوب],Salary_Calculation[[#This Row],[Source Row]])))</f>
        <v>190.77</v>
      </c>
      <c r="T4" s="164" t="n">
        <f aca="false">IF(Salary_Calculation[[#This Row],[Source Row]]="","",N(INDEX(Rider_Input[stacking_deduction / خصم الطلبات المتعددة],Salary_Calculation[[#This Row],[Source Row]])))</f>
        <v>20</v>
      </c>
      <c r="U4" s="164" t="n">
        <f aca="false">IF(Salary_Calculation[[#This Row],[Source Row]]="","",N(INDEX(Rider_Input[Other Deductions],Salary_Calculation[[#This Row],[Source Row]])))</f>
        <v>0</v>
      </c>
      <c r="V4" s="164" t="n">
        <f aca="false">IF(Salary_Calculation[[#This Row],[Source Row]]="","",N(Salary_Calculation[[#This Row],[missed_days_penalty]])+N(Salary_Calculation[[#This Row],[Rider Balance]])+N(Salary_Calculation[[#This Row],[stacking_deduction]])+N(Salary_Calculation[[#This Row],[Other Deductions]]))</f>
        <v>210.77</v>
      </c>
      <c r="W4" s="167" t="n">
        <f aca="false">IF(Salary_Calculation[[#This Row],[Source Row]]="","",ROUND(MAX(Salary_Calculation[[#This Row],[Gross Salary Before Deductions]]-Salary_Calculation[[#This Row],[Total Deductions]],0),2))</f>
        <v>0</v>
      </c>
      <c r="X4" s="164" t="n">
        <f aca="false">IF(Salary_Calculation[[#This Row],[Source Row]]="","",ROUND(MAX(Salary_Calculation[[#This Row],[Missing-Order Deduction]]-Salary_Calculation[[#This Row],[Earned Salary]],0),2))</f>
        <v>0</v>
      </c>
      <c r="Y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No Salary – Amount Due from Rider</v>
      </c>
      <c r="Z4" s="163" t="str">
        <f aca="false">IF(Salary_Calculation[[#This Row],[Source Row]]="","",IF(INDEX(Rider_Input[Notes],Salary_Calculation[[#This Row],[Source Row]])="","",INDEX(Rider_Input[Notes],Salary_Calculation[[#This Row],[Source Row]])))</f>
        <v/>
      </c>
      <c r="AA4" s="164" t="n">
        <f aca="false">IF(Salary_Calculation[[#This Row],[Source Row]]="","",Salary_Calculation[[#This Row],[Earned Salary]]-Salary_Calculation[[#This Row],[Missing-Order Deduction]]+Salary_Calculation[[#This Row],[Extra-Order Bonus]])</f>
        <v>46.6666666666667</v>
      </c>
      <c r="AB4" s="164" t="n">
        <f aca="false">IF(Salary_Calculation[[#This Row],[Source Row]]="","",ROUND(Salary_Calculation[[#This Row],[Negative Balance / Amount Due from Rider]]+MAX(Salary_Calculation[[#This Row],[Total Deductions]]-Salary_Calculation[[#This Row],[Gross Salary Before Deductions]],0),2))</f>
        <v>164.1</v>
      </c>
      <c r="AC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 s="164" t="n">
        <f aca="false">IF(Salary_Calculation[[#This Row],[Source Row]]="","",Salary_Calculation[[#This Row],[Rider Target Orders]]*Salary_Calculation[[#This Row],[Base Order Rate]])</f>
        <v>733.333333333333</v>
      </c>
      <c r="AE4" s="162" t="n">
        <f aca="false">IF(SUMPRODUCT(--(LEN(INDEX(Rider_Input[#Data],ROW()-ROW(Salary_Calculation[#Headers]),0))&gt;0))=0,"",ROW()-ROW(Salary_Calculation[#Headers]))</f>
        <v>3</v>
      </c>
    </row>
    <row r="5" customFormat="false" ht="14.25" hidden="false" customHeight="false" outlineLevel="0" collapsed="false">
      <c r="A5" s="161" t="n">
        <f aca="false">IF(Salary_Calculation[[#This Row],[Source Row]]="","",IF(INDEX(Rider_Input[Salary Month],Salary_Calculation[[#This Row],[Source Row]])="","",INDEX(Rider_Input[Salary Month],Salary_Calculation[[#This Row],[Source Row]])))</f>
        <v>46235</v>
      </c>
      <c r="B5" s="162" t="n">
        <f aca="false">IF(Salary_Calculation[[#This Row],[Source Row]]="","",IF(INDEX(Rider_Input[Rider ID],Salary_Calculation[[#This Row],[Source Row]])="","",INDEX(Rider_Input[Rider ID],Salary_Calculation[[#This Row],[Source Row]])))</f>
        <v>4844480</v>
      </c>
      <c r="C5" s="163" t="str">
        <f aca="false">IF(Salary_Calculation[[#This Row],[Source Row]]="","",IF(INDEX(Rider_Input[Rider Name],Salary_Calculation[[#This Row],[Source Row]])="","",INDEX(Rider_Input[Rider Name],Salary_Calculation[[#This Row],[Source Row]])))</f>
        <v>Rider 4844480</v>
      </c>
      <c r="D5" s="164" t="n">
        <f aca="false">IF(Salary_Calculation[[#This Row],[Source Row]]="","",IF(INDEX(Rider_Input[Basic Payment],Salary_Calculation[[#This Row],[Source Row]])="","",INDEX(Rider_Input[Basic Payment],Salary_Calculation[[#This Row],[Source Row]])))</f>
        <v>2000</v>
      </c>
      <c r="E5" s="162" t="n">
        <f aca="false">IF(Salary_Calculation[[#This Row],[Source Row]]="","",IF(INDEX(Rider_Input[Calendar Days in Month],Salary_Calculation[[#This Row],[Source Row]])="","",INDEX(Rider_Input[Calendar Days in Month],Salary_Calculation[[#This Row],[Source Row]])))</f>
        <v>31</v>
      </c>
      <c r="F5" s="162" t="n">
        <f aca="false">IF(Salary_Calculation[[#This Row],[Source Row]]="","",IF(INDEX(Rider_Input[Working Days],Salary_Calculation[[#This Row],[Source Row]])="","",INDEX(Rider_Input[Working Days],Salary_Calculation[[#This Row],[Source Row]])))</f>
        <v>12</v>
      </c>
      <c r="G5" s="165" t="n">
        <f aca="false">IF(Salary_Calculation[[#This Row],[Source Row]]="","",Std_Orders/Std_Days*N(Salary_Calculation[[#This Row],[Calendar Days]]))</f>
        <v>465</v>
      </c>
      <c r="H5" s="165" t="n">
        <f aca="false">IF(Salary_Calculation[[#This Row],[Source Row]]="","",IF(N(Salary_Calculation[[#This Row],[Calendar Days]])&gt;0,Salary_Calculation[[#This Row],[Monthly Target Orders]]/N(Salary_Calculation[[#This Row],[Calendar Days]])*N(Salary_Calculation[[#This Row],[Working Days]]),0))</f>
        <v>180</v>
      </c>
      <c r="I5" s="166" t="n">
        <f aca="false">IF(Salary_Calculation[[#This Row],[Source Row]]="","",IF(INDEX(Rider_Input[Completed Orders],Salary_Calculation[[#This Row],[Source Row]])="","",INDEX(Rider_Input[Completed Orders],Salary_Calculation[[#This Row],[Source Row]])))</f>
        <v>150</v>
      </c>
      <c r="J5" s="165" t="n">
        <f aca="false">IF(Salary_Calculation[[#This Row],[Source Row]]="","",IF(Rate_Method="Fixed rate",Fixed_Rate,IF(N(Salary_Calculation[[#This Row],[Basic Payment]])&gt;0,N(Salary_Calculation[[#This Row],[Basic Payment]])/Std_Orders,0)))</f>
        <v>4.44444444444445</v>
      </c>
      <c r="K5" s="165" t="n">
        <f aca="false">IF(Salary_Calculation[[#This Row],[Source Row]]="","",MAX(MIN(N(Salary_Calculation[[#This Row],[Completed Orders]]),Salary_Calculation[[#This Row],[Rider Target Orders]]),0))</f>
        <v>150</v>
      </c>
      <c r="L5" s="164" t="n">
        <f aca="false">IF(Salary_Calculation[[#This Row],[Source Row]]="","",Salary_Calculation[[#This Row],[Orders Counted at Base Rate]]*Salary_Calculation[[#This Row],[Base Order Rate]])</f>
        <v>666.666666666667</v>
      </c>
      <c r="M5" s="165" t="n">
        <f aca="false">IF(Salary_Calculation[[#This Row],[Source Row]]="","",MAX(Salary_Calculation[[#This Row],[Rider Target Orders]]-N(Salary_Calculation[[#This Row],[Completed Orders]]),0))</f>
        <v>30</v>
      </c>
      <c r="N5" s="164" t="n">
        <f aca="false">IF(Salary_Calculation[[#This Row],[Source Row]]="","",Salary_Calculation[[#This Row],[Missing Orders]]*Missing_Rate)</f>
        <v>210</v>
      </c>
      <c r="O5" s="165" t="n">
        <f aca="false">IF(Salary_Calculation[[#This Row],[Source Row]]="","",MAX(N(Salary_Calculation[[#This Row],[Completed Orders]])-Salary_Calculation[[#This Row],[Rider Target Orders]],0))</f>
        <v>0</v>
      </c>
      <c r="P5" s="164" t="n">
        <f aca="false">IF(Salary_Calculation[[#This Row],[Source Row]]="","",Salary_Calculation[[#This Row],[Extra Orders]]*Extra_Rate)</f>
        <v>0</v>
      </c>
      <c r="Q5" s="164" t="n">
        <f aca="false">IF(Salary_Calculation[[#This Row],[Source Row]]="","",MAX(Salary_Calculation[[#This Row],[Salary Before Other Deductions]],0))</f>
        <v>456.666666666667</v>
      </c>
      <c r="R5" s="164" t="n">
        <f aca="false">IF(Salary_Calculation[[#This Row],[Source Row]]="","",N(INDEX(Rider_Input[missed_days_penalty],Salary_Calculation[[#This Row],[Source Row]])))</f>
        <v>0</v>
      </c>
      <c r="S5" s="164" t="n">
        <f aca="false">IF(Salary_Calculation[[#This Row],[Source Row]]="","",N(INDEX(Rider_Input[Rider Balance / محفظة المندوب],Salary_Calculation[[#This Row],[Source Row]])))</f>
        <v>57.17</v>
      </c>
      <c r="T5" s="164" t="n">
        <f aca="false">IF(Salary_Calculation[[#This Row],[Source Row]]="","",N(INDEX(Rider_Input[stacking_deduction / خصم الطلبات المتعددة],Salary_Calculation[[#This Row],[Source Row]])))</f>
        <v>36</v>
      </c>
      <c r="U5" s="164" t="n">
        <f aca="false">IF(Salary_Calculation[[#This Row],[Source Row]]="","",N(INDEX(Rider_Input[Other Deductions],Salary_Calculation[[#This Row],[Source Row]])))</f>
        <v>0</v>
      </c>
      <c r="V5" s="164" t="n">
        <f aca="false">IF(Salary_Calculation[[#This Row],[Source Row]]="","",N(Salary_Calculation[[#This Row],[missed_days_penalty]])+N(Salary_Calculation[[#This Row],[Rider Balance]])+N(Salary_Calculation[[#This Row],[stacking_deduction]])+N(Salary_Calculation[[#This Row],[Other Deductions]]))</f>
        <v>93.17</v>
      </c>
      <c r="W5" s="167" t="n">
        <f aca="false">IF(Salary_Calculation[[#This Row],[Source Row]]="","",ROUND(MAX(Salary_Calculation[[#This Row],[Gross Salary Before Deductions]]-Salary_Calculation[[#This Row],[Total Deductions]],0),2))</f>
        <v>363.5</v>
      </c>
      <c r="X5" s="164" t="n">
        <f aca="false">IF(Salary_Calculation[[#This Row],[Source Row]]="","",ROUND(MAX(Salary_Calculation[[#This Row],[Missing-Order Deduction]]-Salary_Calculation[[#This Row],[Earned Salary]],0),2))</f>
        <v>0</v>
      </c>
      <c r="Y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Paid After Deductions</v>
      </c>
      <c r="Z5" s="163" t="str">
        <f aca="false">IF(Salary_Calculation[[#This Row],[Source Row]]="","",IF(INDEX(Rider_Input[Notes],Salary_Calculation[[#This Row],[Source Row]])="","",INDEX(Rider_Input[Notes],Salary_Calculation[[#This Row],[Source Row]])))</f>
        <v/>
      </c>
      <c r="AA5" s="164" t="n">
        <f aca="false">IF(Salary_Calculation[[#This Row],[Source Row]]="","",Salary_Calculation[[#This Row],[Earned Salary]]-Salary_Calculation[[#This Row],[Missing-Order Deduction]]+Salary_Calculation[[#This Row],[Extra-Order Bonus]])</f>
        <v>456.666666666667</v>
      </c>
      <c r="AB5" s="164" t="n">
        <f aca="false">IF(Salary_Calculation[[#This Row],[Source Row]]="","",ROUND(Salary_Calculation[[#This Row],[Negative Balance / Amount Due from Rider]]+MAX(Salary_Calculation[[#This Row],[Total Deductions]]-Salary_Calculation[[#This Row],[Gross Salary Before Deductions]],0),2))</f>
        <v>0</v>
      </c>
      <c r="AC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5" s="164" t="n">
        <f aca="false">IF(Salary_Calculation[[#This Row],[Source Row]]="","",Salary_Calculation[[#This Row],[Rider Target Orders]]*Salary_Calculation[[#This Row],[Base Order Rate]])</f>
        <v>800</v>
      </c>
      <c r="AE5" s="162" t="n">
        <f aca="false">IF(SUMPRODUCT(--(LEN(INDEX(Rider_Input[#Data],ROW()-ROW(Salary_Calculation[#Headers]),0))&gt;0))=0,"",ROW()-ROW(Salary_Calculation[#Headers]))</f>
        <v>4</v>
      </c>
    </row>
    <row r="6" customFormat="false" ht="14.25" hidden="false" customHeight="false" outlineLevel="0" collapsed="false">
      <c r="A6" s="161" t="n">
        <f aca="false">IF(Salary_Calculation[[#This Row],[Source Row]]="","",IF(INDEX(Rider_Input[Salary Month],Salary_Calculation[[#This Row],[Source Row]])="","",INDEX(Rider_Input[Salary Month],Salary_Calculation[[#This Row],[Source Row]])))</f>
        <v>46235</v>
      </c>
      <c r="B6" s="162" t="n">
        <f aca="false">IF(Salary_Calculation[[#This Row],[Source Row]]="","",IF(INDEX(Rider_Input[Rider ID],Salary_Calculation[[#This Row],[Source Row]])="","",INDEX(Rider_Input[Rider ID],Salary_Calculation[[#This Row],[Source Row]])))</f>
        <v>4838478</v>
      </c>
      <c r="C6" s="163" t="str">
        <f aca="false">IF(Salary_Calculation[[#This Row],[Source Row]]="","",IF(INDEX(Rider_Input[Rider Name],Salary_Calculation[[#This Row],[Source Row]])="","",INDEX(Rider_Input[Rider Name],Salary_Calculation[[#This Row],[Source Row]])))</f>
        <v>Rider 4838478</v>
      </c>
      <c r="D6" s="164" t="n">
        <f aca="false">IF(Salary_Calculation[[#This Row],[Source Row]]="","",IF(INDEX(Rider_Input[Basic Payment],Salary_Calculation[[#This Row],[Source Row]])="","",INDEX(Rider_Input[Basic Payment],Salary_Calculation[[#This Row],[Source Row]])))</f>
        <v>2000</v>
      </c>
      <c r="E6" s="162" t="n">
        <f aca="false">IF(Salary_Calculation[[#This Row],[Source Row]]="","",IF(INDEX(Rider_Input[Calendar Days in Month],Salary_Calculation[[#This Row],[Source Row]])="","",INDEX(Rider_Input[Calendar Days in Month],Salary_Calculation[[#This Row],[Source Row]])))</f>
        <v>31</v>
      </c>
      <c r="F6" s="162" t="n">
        <f aca="false">IF(Salary_Calculation[[#This Row],[Source Row]]="","",IF(INDEX(Rider_Input[Working Days],Salary_Calculation[[#This Row],[Source Row]])="","",INDEX(Rider_Input[Working Days],Salary_Calculation[[#This Row],[Source Row]])))</f>
        <v>14</v>
      </c>
      <c r="G6" s="165" t="n">
        <f aca="false">IF(Salary_Calculation[[#This Row],[Source Row]]="","",Std_Orders/Std_Days*N(Salary_Calculation[[#This Row],[Calendar Days]]))</f>
        <v>465</v>
      </c>
      <c r="H6" s="165" t="n">
        <f aca="false">IF(Salary_Calculation[[#This Row],[Source Row]]="","",IF(N(Salary_Calculation[[#This Row],[Calendar Days]])&gt;0,Salary_Calculation[[#This Row],[Monthly Target Orders]]/N(Salary_Calculation[[#This Row],[Calendar Days]])*N(Salary_Calculation[[#This Row],[Working Days]]),0))</f>
        <v>210</v>
      </c>
      <c r="I6" s="166" t="n">
        <f aca="false">IF(Salary_Calculation[[#This Row],[Source Row]]="","",IF(INDEX(Rider_Input[Completed Orders],Salary_Calculation[[#This Row],[Source Row]])="","",INDEX(Rider_Input[Completed Orders],Salary_Calculation[[#This Row],[Source Row]])))</f>
        <v>171</v>
      </c>
      <c r="J6" s="165" t="n">
        <f aca="false">IF(Salary_Calculation[[#This Row],[Source Row]]="","",IF(Rate_Method="Fixed rate",Fixed_Rate,IF(N(Salary_Calculation[[#This Row],[Basic Payment]])&gt;0,N(Salary_Calculation[[#This Row],[Basic Payment]])/Std_Orders,0)))</f>
        <v>4.44444444444445</v>
      </c>
      <c r="K6" s="165" t="n">
        <f aca="false">IF(Salary_Calculation[[#This Row],[Source Row]]="","",MAX(MIN(N(Salary_Calculation[[#This Row],[Completed Orders]]),Salary_Calculation[[#This Row],[Rider Target Orders]]),0))</f>
        <v>171</v>
      </c>
      <c r="L6" s="164" t="n">
        <f aca="false">IF(Salary_Calculation[[#This Row],[Source Row]]="","",Salary_Calculation[[#This Row],[Orders Counted at Base Rate]]*Salary_Calculation[[#This Row],[Base Order Rate]])</f>
        <v>760</v>
      </c>
      <c r="M6" s="165" t="n">
        <f aca="false">IF(Salary_Calculation[[#This Row],[Source Row]]="","",MAX(Salary_Calculation[[#This Row],[Rider Target Orders]]-N(Salary_Calculation[[#This Row],[Completed Orders]]),0))</f>
        <v>39</v>
      </c>
      <c r="N6" s="164" t="n">
        <f aca="false">IF(Salary_Calculation[[#This Row],[Source Row]]="","",Salary_Calculation[[#This Row],[Missing Orders]]*Missing_Rate)</f>
        <v>273</v>
      </c>
      <c r="O6" s="165" t="n">
        <f aca="false">IF(Salary_Calculation[[#This Row],[Source Row]]="","",MAX(N(Salary_Calculation[[#This Row],[Completed Orders]])-Salary_Calculation[[#This Row],[Rider Target Orders]],0))</f>
        <v>0</v>
      </c>
      <c r="P6" s="164" t="n">
        <f aca="false">IF(Salary_Calculation[[#This Row],[Source Row]]="","",Salary_Calculation[[#This Row],[Extra Orders]]*Extra_Rate)</f>
        <v>0</v>
      </c>
      <c r="Q6" s="164" t="n">
        <f aca="false">IF(Salary_Calculation[[#This Row],[Source Row]]="","",MAX(Salary_Calculation[[#This Row],[Salary Before Other Deductions]],0))</f>
        <v>487</v>
      </c>
      <c r="R6" s="164" t="n">
        <f aca="false">IF(Salary_Calculation[[#This Row],[Source Row]]="","",N(INDEX(Rider_Input[missed_days_penalty],Salary_Calculation[[#This Row],[Source Row]])))</f>
        <v>0</v>
      </c>
      <c r="S6" s="164" t="n">
        <f aca="false">IF(Salary_Calculation[[#This Row],[Source Row]]="","",N(INDEX(Rider_Input[Rider Balance / محفظة المندوب],Salary_Calculation[[#This Row],[Source Row]])))</f>
        <v>200.44</v>
      </c>
      <c r="T6" s="164" t="n">
        <f aca="false">IF(Salary_Calculation[[#This Row],[Source Row]]="","",N(INDEX(Rider_Input[stacking_deduction / خصم الطلبات المتعددة],Salary_Calculation[[#This Row],[Source Row]])))</f>
        <v>36</v>
      </c>
      <c r="U6" s="164" t="n">
        <f aca="false">IF(Salary_Calculation[[#This Row],[Source Row]]="","",N(INDEX(Rider_Input[Other Deductions],Salary_Calculation[[#This Row],[Source Row]])))</f>
        <v>0</v>
      </c>
      <c r="V6" s="164" t="n">
        <f aca="false">IF(Salary_Calculation[[#This Row],[Source Row]]="","",N(Salary_Calculation[[#This Row],[missed_days_penalty]])+N(Salary_Calculation[[#This Row],[Rider Balance]])+N(Salary_Calculation[[#This Row],[stacking_deduction]])+N(Salary_Calculation[[#This Row],[Other Deductions]]))</f>
        <v>236.44</v>
      </c>
      <c r="W6" s="167" t="n">
        <f aca="false">IF(Salary_Calculation[[#This Row],[Source Row]]="","",ROUND(MAX(Salary_Calculation[[#This Row],[Gross Salary Before Deductions]]-Salary_Calculation[[#This Row],[Total Deductions]],0),2))</f>
        <v>250.56</v>
      </c>
      <c r="X6" s="164" t="n">
        <f aca="false">IF(Salary_Calculation[[#This Row],[Source Row]]="","",ROUND(MAX(Salary_Calculation[[#This Row],[Missing-Order Deduction]]-Salary_Calculation[[#This Row],[Earned Salary]],0),2))</f>
        <v>0</v>
      </c>
      <c r="Y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Paid After Deductions</v>
      </c>
      <c r="Z6" s="163" t="str">
        <f aca="false">IF(Salary_Calculation[[#This Row],[Source Row]]="","",IF(INDEX(Rider_Input[Notes],Salary_Calculation[[#This Row],[Source Row]])="","",INDEX(Rider_Input[Notes],Salary_Calculation[[#This Row],[Source Row]])))</f>
        <v/>
      </c>
      <c r="AA6" s="164" t="n">
        <f aca="false">IF(Salary_Calculation[[#This Row],[Source Row]]="","",Salary_Calculation[[#This Row],[Earned Salary]]-Salary_Calculation[[#This Row],[Missing-Order Deduction]]+Salary_Calculation[[#This Row],[Extra-Order Bonus]])</f>
        <v>487</v>
      </c>
      <c r="AB6" s="164" t="n">
        <f aca="false">IF(Salary_Calculation[[#This Row],[Source Row]]="","",ROUND(Salary_Calculation[[#This Row],[Negative Balance / Amount Due from Rider]]+MAX(Salary_Calculation[[#This Row],[Total Deductions]]-Salary_Calculation[[#This Row],[Gross Salary Before Deductions]],0),2))</f>
        <v>0</v>
      </c>
      <c r="AC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6" s="164" t="n">
        <f aca="false">IF(Salary_Calculation[[#This Row],[Source Row]]="","",Salary_Calculation[[#This Row],[Rider Target Orders]]*Salary_Calculation[[#This Row],[Base Order Rate]])</f>
        <v>933.333333333333</v>
      </c>
      <c r="AE6" s="162" t="n">
        <f aca="false">IF(SUMPRODUCT(--(LEN(INDEX(Rider_Input[#Data],ROW()-ROW(Salary_Calculation[#Headers]),0))&gt;0))=0,"",ROW()-ROW(Salary_Calculation[#Headers]))</f>
        <v>5</v>
      </c>
    </row>
    <row r="7" customFormat="false" ht="14.25" hidden="false" customHeight="false" outlineLevel="0" collapsed="false">
      <c r="A7" s="161" t="n">
        <f aca="false">IF(Salary_Calculation[[#This Row],[Source Row]]="","",IF(INDEX(Rider_Input[Salary Month],Salary_Calculation[[#This Row],[Source Row]])="","",INDEX(Rider_Input[Salary Month],Salary_Calculation[[#This Row],[Source Row]])))</f>
        <v>46235</v>
      </c>
      <c r="B7" s="162" t="n">
        <f aca="false">IF(Salary_Calculation[[#This Row],[Source Row]]="","",IF(INDEX(Rider_Input[Rider ID],Salary_Calculation[[#This Row],[Source Row]])="","",INDEX(Rider_Input[Rider ID],Salary_Calculation[[#This Row],[Source Row]])))</f>
        <v>4838471</v>
      </c>
      <c r="C7" s="163" t="str">
        <f aca="false">IF(Salary_Calculation[[#This Row],[Source Row]]="","",IF(INDEX(Rider_Input[Rider Name],Salary_Calculation[[#This Row],[Source Row]])="","",INDEX(Rider_Input[Rider Name],Salary_Calculation[[#This Row],[Source Row]])))</f>
        <v>Rider 4838471</v>
      </c>
      <c r="D7" s="164" t="n">
        <f aca="false">IF(Salary_Calculation[[#This Row],[Source Row]]="","",IF(INDEX(Rider_Input[Basic Payment],Salary_Calculation[[#This Row],[Source Row]])="","",INDEX(Rider_Input[Basic Payment],Salary_Calculation[[#This Row],[Source Row]])))</f>
        <v>2000</v>
      </c>
      <c r="E7" s="162" t="n">
        <f aca="false">IF(Salary_Calculation[[#This Row],[Source Row]]="","",IF(INDEX(Rider_Input[Calendar Days in Month],Salary_Calculation[[#This Row],[Source Row]])="","",INDEX(Rider_Input[Calendar Days in Month],Salary_Calculation[[#This Row],[Source Row]])))</f>
        <v>31</v>
      </c>
      <c r="F7" s="162" t="n">
        <f aca="false">IF(Salary_Calculation[[#This Row],[Source Row]]="","",IF(INDEX(Rider_Input[Working Days],Salary_Calculation[[#This Row],[Source Row]])="","",INDEX(Rider_Input[Working Days],Salary_Calculation[[#This Row],[Source Row]])))</f>
        <v>12</v>
      </c>
      <c r="G7" s="165" t="n">
        <f aca="false">IF(Salary_Calculation[[#This Row],[Source Row]]="","",Std_Orders/Std_Days*N(Salary_Calculation[[#This Row],[Calendar Days]]))</f>
        <v>465</v>
      </c>
      <c r="H7" s="165" t="n">
        <f aca="false">IF(Salary_Calculation[[#This Row],[Source Row]]="","",IF(N(Salary_Calculation[[#This Row],[Calendar Days]])&gt;0,Salary_Calculation[[#This Row],[Monthly Target Orders]]/N(Salary_Calculation[[#This Row],[Calendar Days]])*N(Salary_Calculation[[#This Row],[Working Days]]),0))</f>
        <v>180</v>
      </c>
      <c r="I7" s="166" t="n">
        <f aca="false">IF(Salary_Calculation[[#This Row],[Source Row]]="","",IF(INDEX(Rider_Input[Completed Orders],Salary_Calculation[[#This Row],[Source Row]])="","",INDEX(Rider_Input[Completed Orders],Salary_Calculation[[#This Row],[Source Row]])))</f>
        <v>146</v>
      </c>
      <c r="J7" s="165" t="n">
        <f aca="false">IF(Salary_Calculation[[#This Row],[Source Row]]="","",IF(Rate_Method="Fixed rate",Fixed_Rate,IF(N(Salary_Calculation[[#This Row],[Basic Payment]])&gt;0,N(Salary_Calculation[[#This Row],[Basic Payment]])/Std_Orders,0)))</f>
        <v>4.44444444444445</v>
      </c>
      <c r="K7" s="165" t="n">
        <f aca="false">IF(Salary_Calculation[[#This Row],[Source Row]]="","",MAX(MIN(N(Salary_Calculation[[#This Row],[Completed Orders]]),Salary_Calculation[[#This Row],[Rider Target Orders]]),0))</f>
        <v>146</v>
      </c>
      <c r="L7" s="164" t="n">
        <f aca="false">IF(Salary_Calculation[[#This Row],[Source Row]]="","",Salary_Calculation[[#This Row],[Orders Counted at Base Rate]]*Salary_Calculation[[#This Row],[Base Order Rate]])</f>
        <v>648.888888888889</v>
      </c>
      <c r="M7" s="165" t="n">
        <f aca="false">IF(Salary_Calculation[[#This Row],[Source Row]]="","",MAX(Salary_Calculation[[#This Row],[Rider Target Orders]]-N(Salary_Calculation[[#This Row],[Completed Orders]]),0))</f>
        <v>34</v>
      </c>
      <c r="N7" s="164" t="n">
        <f aca="false">IF(Salary_Calculation[[#This Row],[Source Row]]="","",Salary_Calculation[[#This Row],[Missing Orders]]*Missing_Rate)</f>
        <v>238</v>
      </c>
      <c r="O7" s="165" t="n">
        <f aca="false">IF(Salary_Calculation[[#This Row],[Source Row]]="","",MAX(N(Salary_Calculation[[#This Row],[Completed Orders]])-Salary_Calculation[[#This Row],[Rider Target Orders]],0))</f>
        <v>0</v>
      </c>
      <c r="P7" s="164" t="n">
        <f aca="false">IF(Salary_Calculation[[#This Row],[Source Row]]="","",Salary_Calculation[[#This Row],[Extra Orders]]*Extra_Rate)</f>
        <v>0</v>
      </c>
      <c r="Q7" s="164" t="n">
        <f aca="false">IF(Salary_Calculation[[#This Row],[Source Row]]="","",MAX(Salary_Calculation[[#This Row],[Salary Before Other Deductions]],0))</f>
        <v>410.888888888889</v>
      </c>
      <c r="R7" s="164" t="n">
        <f aca="false">IF(Salary_Calculation[[#This Row],[Source Row]]="","",N(INDEX(Rider_Input[missed_days_penalty],Salary_Calculation[[#This Row],[Source Row]])))</f>
        <v>500</v>
      </c>
      <c r="S7" s="164" t="n">
        <f aca="false">IF(Salary_Calculation[[#This Row],[Source Row]]="","",N(INDEX(Rider_Input[Rider Balance / محفظة المندوب],Salary_Calculation[[#This Row],[Source Row]])))</f>
        <v>192.89</v>
      </c>
      <c r="T7" s="164" t="n">
        <f aca="false">IF(Salary_Calculation[[#This Row],[Source Row]]="","",N(INDEX(Rider_Input[stacking_deduction / خصم الطلبات المتعددة],Salary_Calculation[[#This Row],[Source Row]])))</f>
        <v>32</v>
      </c>
      <c r="U7" s="164" t="n">
        <f aca="false">IF(Salary_Calculation[[#This Row],[Source Row]]="","",N(INDEX(Rider_Input[Other Deductions],Salary_Calculation[[#This Row],[Source Row]])))</f>
        <v>0</v>
      </c>
      <c r="V7" s="164" t="n">
        <f aca="false">IF(Salary_Calculation[[#This Row],[Source Row]]="","",N(Salary_Calculation[[#This Row],[missed_days_penalty]])+N(Salary_Calculation[[#This Row],[Rider Balance]])+N(Salary_Calculation[[#This Row],[stacking_deduction]])+N(Salary_Calculation[[#This Row],[Other Deductions]]))</f>
        <v>724.89</v>
      </c>
      <c r="W7" s="167" t="n">
        <f aca="false">IF(Salary_Calculation[[#This Row],[Source Row]]="","",ROUND(MAX(Salary_Calculation[[#This Row],[Gross Salary Before Deductions]]-Salary_Calculation[[#This Row],[Total Deductions]],0),2))</f>
        <v>0</v>
      </c>
      <c r="X7" s="164" t="n">
        <f aca="false">IF(Salary_Calculation[[#This Row],[Source Row]]="","",ROUND(MAX(Salary_Calculation[[#This Row],[Missing-Order Deduction]]-Salary_Calculation[[#This Row],[Earned Salary]],0),2))</f>
        <v>0</v>
      </c>
      <c r="Y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No Salary – Amount Due from Rider</v>
      </c>
      <c r="Z7" s="163" t="str">
        <f aca="false">IF(Salary_Calculation[[#This Row],[Source Row]]="","",IF(INDEX(Rider_Input[Notes],Salary_Calculation[[#This Row],[Source Row]])="","",INDEX(Rider_Input[Notes],Salary_Calculation[[#This Row],[Source Row]])))</f>
        <v/>
      </c>
      <c r="AA7" s="164" t="n">
        <f aca="false">IF(Salary_Calculation[[#This Row],[Source Row]]="","",Salary_Calculation[[#This Row],[Earned Salary]]-Salary_Calculation[[#This Row],[Missing-Order Deduction]]+Salary_Calculation[[#This Row],[Extra-Order Bonus]])</f>
        <v>410.888888888889</v>
      </c>
      <c r="AB7" s="164" t="n">
        <f aca="false">IF(Salary_Calculation[[#This Row],[Source Row]]="","",ROUND(Salary_Calculation[[#This Row],[Negative Balance / Amount Due from Rider]]+MAX(Salary_Calculation[[#This Row],[Total Deductions]]-Salary_Calculation[[#This Row],[Gross Salary Before Deductions]],0),2))</f>
        <v>314</v>
      </c>
      <c r="AC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7" s="164" t="n">
        <f aca="false">IF(Salary_Calculation[[#This Row],[Source Row]]="","",Salary_Calculation[[#This Row],[Rider Target Orders]]*Salary_Calculation[[#This Row],[Base Order Rate]])</f>
        <v>800</v>
      </c>
      <c r="AE7" s="162" t="n">
        <f aca="false">IF(SUMPRODUCT(--(LEN(INDEX(Rider_Input[#Data],ROW()-ROW(Salary_Calculation[#Headers]),0))&gt;0))=0,"",ROW()-ROW(Salary_Calculation[#Headers]))</f>
        <v>6</v>
      </c>
    </row>
    <row r="8" customFormat="false" ht="14.25" hidden="false" customHeight="false" outlineLevel="0" collapsed="false">
      <c r="A8" s="161" t="n">
        <f aca="false">IF(Salary_Calculation[[#This Row],[Source Row]]="","",IF(INDEX(Rider_Input[Salary Month],Salary_Calculation[[#This Row],[Source Row]])="","",INDEX(Rider_Input[Salary Month],Salary_Calculation[[#This Row],[Source Row]])))</f>
        <v>46235</v>
      </c>
      <c r="B8" s="162" t="n">
        <f aca="false">IF(Salary_Calculation[[#This Row],[Source Row]]="","",IF(INDEX(Rider_Input[Rider ID],Salary_Calculation[[#This Row],[Source Row]])="","",INDEX(Rider_Input[Rider ID],Salary_Calculation[[#This Row],[Source Row]])))</f>
        <v>4747290</v>
      </c>
      <c r="C8" s="163" t="str">
        <f aca="false">IF(Salary_Calculation[[#This Row],[Source Row]]="","",IF(INDEX(Rider_Input[Rider Name],Salary_Calculation[[#This Row],[Source Row]])="","",INDEX(Rider_Input[Rider Name],Salary_Calculation[[#This Row],[Source Row]])))</f>
        <v>Rider 4747290</v>
      </c>
      <c r="D8" s="164" t="n">
        <f aca="false">IF(Salary_Calculation[[#This Row],[Source Row]]="","",IF(INDEX(Rider_Input[Basic Payment],Salary_Calculation[[#This Row],[Source Row]])="","",INDEX(Rider_Input[Basic Payment],Salary_Calculation[[#This Row],[Source Row]])))</f>
        <v>2000</v>
      </c>
      <c r="E8" s="162" t="n">
        <f aca="false">IF(Salary_Calculation[[#This Row],[Source Row]]="","",IF(INDEX(Rider_Input[Calendar Days in Month],Salary_Calculation[[#This Row],[Source Row]])="","",INDEX(Rider_Input[Calendar Days in Month],Salary_Calculation[[#This Row],[Source Row]])))</f>
        <v>31</v>
      </c>
      <c r="F8" s="162" t="n">
        <f aca="false">IF(Salary_Calculation[[#This Row],[Source Row]]="","",IF(INDEX(Rider_Input[Working Days],Salary_Calculation[[#This Row],[Source Row]])="","",INDEX(Rider_Input[Working Days],Salary_Calculation[[#This Row],[Source Row]])))</f>
        <v>31</v>
      </c>
      <c r="G8" s="165" t="n">
        <f aca="false">IF(Salary_Calculation[[#This Row],[Source Row]]="","",Std_Orders/Std_Days*N(Salary_Calculation[[#This Row],[Calendar Days]]))</f>
        <v>465</v>
      </c>
      <c r="H8" s="165" t="n">
        <f aca="false">IF(Salary_Calculation[[#This Row],[Source Row]]="","",IF(N(Salary_Calculation[[#This Row],[Calendar Days]])&gt;0,Salary_Calculation[[#This Row],[Monthly Target Orders]]/N(Salary_Calculation[[#This Row],[Calendar Days]])*N(Salary_Calculation[[#This Row],[Working Days]]),0))</f>
        <v>465</v>
      </c>
      <c r="I8" s="166" t="n">
        <f aca="false">IF(Salary_Calculation[[#This Row],[Source Row]]="","",IF(INDEX(Rider_Input[Completed Orders],Salary_Calculation[[#This Row],[Source Row]])="","",INDEX(Rider_Input[Completed Orders],Salary_Calculation[[#This Row],[Source Row]])))</f>
        <v>498</v>
      </c>
      <c r="J8" s="165" t="n">
        <f aca="false">IF(Salary_Calculation[[#This Row],[Source Row]]="","",IF(Rate_Method="Fixed rate",Fixed_Rate,IF(N(Salary_Calculation[[#This Row],[Basic Payment]])&gt;0,N(Salary_Calculation[[#This Row],[Basic Payment]])/Std_Orders,0)))</f>
        <v>4.44444444444445</v>
      </c>
      <c r="K8" s="165" t="n">
        <f aca="false">IF(Salary_Calculation[[#This Row],[Source Row]]="","",MAX(MIN(N(Salary_Calculation[[#This Row],[Completed Orders]]),Salary_Calculation[[#This Row],[Rider Target Orders]]),0))</f>
        <v>465</v>
      </c>
      <c r="L8" s="164" t="n">
        <f aca="false">IF(Salary_Calculation[[#This Row],[Source Row]]="","",Salary_Calculation[[#This Row],[Orders Counted at Base Rate]]*Salary_Calculation[[#This Row],[Base Order Rate]])</f>
        <v>2066.66666666667</v>
      </c>
      <c r="M8" s="165" t="n">
        <f aca="false">IF(Salary_Calculation[[#This Row],[Source Row]]="","",MAX(Salary_Calculation[[#This Row],[Rider Target Orders]]-N(Salary_Calculation[[#This Row],[Completed Orders]]),0))</f>
        <v>0</v>
      </c>
      <c r="N8" s="164" t="n">
        <f aca="false">IF(Salary_Calculation[[#This Row],[Source Row]]="","",Salary_Calculation[[#This Row],[Missing Orders]]*Missing_Rate)</f>
        <v>0</v>
      </c>
      <c r="O8" s="165" t="n">
        <f aca="false">IF(Salary_Calculation[[#This Row],[Source Row]]="","",MAX(N(Salary_Calculation[[#This Row],[Completed Orders]])-Salary_Calculation[[#This Row],[Rider Target Orders]],0))</f>
        <v>33</v>
      </c>
      <c r="P8" s="164" t="n">
        <f aca="false">IF(Salary_Calculation[[#This Row],[Source Row]]="","",Salary_Calculation[[#This Row],[Extra Orders]]*Extra_Rate)</f>
        <v>330</v>
      </c>
      <c r="Q8" s="164" t="n">
        <f aca="false">IF(Salary_Calculation[[#This Row],[Source Row]]="","",MAX(Salary_Calculation[[#This Row],[Salary Before Other Deductions]],0))</f>
        <v>2396.66666666667</v>
      </c>
      <c r="R8" s="164" t="n">
        <f aca="false">IF(Salary_Calculation[[#This Row],[Source Row]]="","",N(INDEX(Rider_Input[missed_days_penalty],Salary_Calculation[[#This Row],[Source Row]])))</f>
        <v>0</v>
      </c>
      <c r="S8" s="164" t="n">
        <f aca="false">IF(Salary_Calculation[[#This Row],[Source Row]]="","",N(INDEX(Rider_Input[Rider Balance / محفظة المندوب],Salary_Calculation[[#This Row],[Source Row]])))</f>
        <v>104.03</v>
      </c>
      <c r="T8" s="164" t="n">
        <f aca="false">IF(Salary_Calculation[[#This Row],[Source Row]]="","",N(INDEX(Rider_Input[stacking_deduction / خصم الطلبات المتعددة],Salary_Calculation[[#This Row],[Source Row]])))</f>
        <v>52</v>
      </c>
      <c r="U8" s="164" t="n">
        <f aca="false">IF(Salary_Calculation[[#This Row],[Source Row]]="","",N(INDEX(Rider_Input[Other Deductions],Salary_Calculation[[#This Row],[Source Row]])))</f>
        <v>0</v>
      </c>
      <c r="V8" s="164" t="n">
        <f aca="false">IF(Salary_Calculation[[#This Row],[Source Row]]="","",N(Salary_Calculation[[#This Row],[missed_days_penalty]])+N(Salary_Calculation[[#This Row],[Rider Balance]])+N(Salary_Calculation[[#This Row],[stacking_deduction]])+N(Salary_Calculation[[#This Row],[Other Deductions]]))</f>
        <v>156.03</v>
      </c>
      <c r="W8" s="167" t="n">
        <f aca="false">IF(Salary_Calculation[[#This Row],[Source Row]]="","",ROUND(MAX(Salary_Calculation[[#This Row],[Gross Salary Before Deductions]]-Salary_Calculation[[#This Row],[Total Deductions]],0),2))</f>
        <v>2240.64</v>
      </c>
      <c r="X8" s="164" t="n">
        <f aca="false">IF(Salary_Calculation[[#This Row],[Source Row]]="","",ROUND(MAX(Salary_Calculation[[#This Row],[Missing-Order Deduction]]-Salary_Calculation[[#This Row],[Earned Salary]],0),2))</f>
        <v>0</v>
      </c>
      <c r="Y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Paid After Deductions</v>
      </c>
      <c r="Z8" s="163" t="str">
        <f aca="false">IF(Salary_Calculation[[#This Row],[Source Row]]="","",IF(INDEX(Rider_Input[Notes],Salary_Calculation[[#This Row],[Source Row]])="","",INDEX(Rider_Input[Notes],Salary_Calculation[[#This Row],[Source Row]])))</f>
        <v/>
      </c>
      <c r="AA8" s="164" t="n">
        <f aca="false">IF(Salary_Calculation[[#This Row],[Source Row]]="","",Salary_Calculation[[#This Row],[Earned Salary]]-Salary_Calculation[[#This Row],[Missing-Order Deduction]]+Salary_Calculation[[#This Row],[Extra-Order Bonus]])</f>
        <v>2396.66666666667</v>
      </c>
      <c r="AB8" s="164" t="n">
        <f aca="false">IF(Salary_Calculation[[#This Row],[Source Row]]="","",ROUND(Salary_Calculation[[#This Row],[Negative Balance / Amount Due from Rider]]+MAX(Salary_Calculation[[#This Row],[Total Deductions]]-Salary_Calculation[[#This Row],[Gross Salary Before Deductions]],0),2))</f>
        <v>0</v>
      </c>
      <c r="AC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8" s="164" t="n">
        <f aca="false">IF(Salary_Calculation[[#This Row],[Source Row]]="","",Salary_Calculation[[#This Row],[Rider Target Orders]]*Salary_Calculation[[#This Row],[Base Order Rate]])</f>
        <v>2066.66666666667</v>
      </c>
      <c r="AE8" s="162" t="n">
        <f aca="false">IF(SUMPRODUCT(--(LEN(INDEX(Rider_Input[#Data],ROW()-ROW(Salary_Calculation[#Headers]),0))&gt;0))=0,"",ROW()-ROW(Salary_Calculation[#Headers]))</f>
        <v>7</v>
      </c>
    </row>
    <row r="9" customFormat="false" ht="14.25" hidden="false" customHeight="false" outlineLevel="0" collapsed="false">
      <c r="A9" s="161" t="n">
        <f aca="false">IF(Salary_Calculation[[#This Row],[Source Row]]="","",IF(INDEX(Rider_Input[Salary Month],Salary_Calculation[[#This Row],[Source Row]])="","",INDEX(Rider_Input[Salary Month],Salary_Calculation[[#This Row],[Source Row]])))</f>
        <v>46235</v>
      </c>
      <c r="B9" s="162" t="n">
        <f aca="false">IF(Salary_Calculation[[#This Row],[Source Row]]="","",IF(INDEX(Rider_Input[Rider ID],Salary_Calculation[[#This Row],[Source Row]])="","",INDEX(Rider_Input[Rider ID],Salary_Calculation[[#This Row],[Source Row]])))</f>
        <v>4652654</v>
      </c>
      <c r="C9" s="163" t="str">
        <f aca="false">IF(Salary_Calculation[[#This Row],[Source Row]]="","",IF(INDEX(Rider_Input[Rider Name],Salary_Calculation[[#This Row],[Source Row]])="","",INDEX(Rider_Input[Rider Name],Salary_Calculation[[#This Row],[Source Row]])))</f>
        <v>Rider 4652654</v>
      </c>
      <c r="D9" s="164" t="n">
        <f aca="false">IF(Salary_Calculation[[#This Row],[Source Row]]="","",IF(INDEX(Rider_Input[Basic Payment],Salary_Calculation[[#This Row],[Source Row]])="","",INDEX(Rider_Input[Basic Payment],Salary_Calculation[[#This Row],[Source Row]])))</f>
        <v>2000</v>
      </c>
      <c r="E9" s="162" t="n">
        <f aca="false">IF(Salary_Calculation[[#This Row],[Source Row]]="","",IF(INDEX(Rider_Input[Calendar Days in Month],Salary_Calculation[[#This Row],[Source Row]])="","",INDEX(Rider_Input[Calendar Days in Month],Salary_Calculation[[#This Row],[Source Row]])))</f>
        <v>31</v>
      </c>
      <c r="F9" s="162" t="n">
        <f aca="false">IF(Salary_Calculation[[#This Row],[Source Row]]="","",IF(INDEX(Rider_Input[Working Days],Salary_Calculation[[#This Row],[Source Row]])="","",INDEX(Rider_Input[Working Days],Salary_Calculation[[#This Row],[Source Row]])))</f>
        <v>31</v>
      </c>
      <c r="G9" s="165" t="n">
        <f aca="false">IF(Salary_Calculation[[#This Row],[Source Row]]="","",Std_Orders/Std_Days*N(Salary_Calculation[[#This Row],[Calendar Days]]))</f>
        <v>465</v>
      </c>
      <c r="H9" s="165" t="n">
        <f aca="false">IF(Salary_Calculation[[#This Row],[Source Row]]="","",IF(N(Salary_Calculation[[#This Row],[Calendar Days]])&gt;0,Salary_Calculation[[#This Row],[Monthly Target Orders]]/N(Salary_Calculation[[#This Row],[Calendar Days]])*N(Salary_Calculation[[#This Row],[Working Days]]),0))</f>
        <v>465</v>
      </c>
      <c r="I9" s="166" t="n">
        <f aca="false">IF(Salary_Calculation[[#This Row],[Source Row]]="","",IF(INDEX(Rider_Input[Completed Orders],Salary_Calculation[[#This Row],[Source Row]])="","",INDEX(Rider_Input[Completed Orders],Salary_Calculation[[#This Row],[Source Row]])))</f>
        <v>433</v>
      </c>
      <c r="J9" s="165" t="n">
        <f aca="false">IF(Salary_Calculation[[#This Row],[Source Row]]="","",IF(Rate_Method="Fixed rate",Fixed_Rate,IF(N(Salary_Calculation[[#This Row],[Basic Payment]])&gt;0,N(Salary_Calculation[[#This Row],[Basic Payment]])/Std_Orders,0)))</f>
        <v>4.44444444444445</v>
      </c>
      <c r="K9" s="165" t="n">
        <f aca="false">IF(Salary_Calculation[[#This Row],[Source Row]]="","",MAX(MIN(N(Salary_Calculation[[#This Row],[Completed Orders]]),Salary_Calculation[[#This Row],[Rider Target Orders]]),0))</f>
        <v>433</v>
      </c>
      <c r="L9" s="164" t="n">
        <f aca="false">IF(Salary_Calculation[[#This Row],[Source Row]]="","",Salary_Calculation[[#This Row],[Orders Counted at Base Rate]]*Salary_Calculation[[#This Row],[Base Order Rate]])</f>
        <v>1924.44444444444</v>
      </c>
      <c r="M9" s="165" t="n">
        <f aca="false">IF(Salary_Calculation[[#This Row],[Source Row]]="","",MAX(Salary_Calculation[[#This Row],[Rider Target Orders]]-N(Salary_Calculation[[#This Row],[Completed Orders]]),0))</f>
        <v>32</v>
      </c>
      <c r="N9" s="164" t="n">
        <f aca="false">IF(Salary_Calculation[[#This Row],[Source Row]]="","",Salary_Calculation[[#This Row],[Missing Orders]]*Missing_Rate)</f>
        <v>224</v>
      </c>
      <c r="O9" s="165" t="n">
        <f aca="false">IF(Salary_Calculation[[#This Row],[Source Row]]="","",MAX(N(Salary_Calculation[[#This Row],[Completed Orders]])-Salary_Calculation[[#This Row],[Rider Target Orders]],0))</f>
        <v>0</v>
      </c>
      <c r="P9" s="164" t="n">
        <f aca="false">IF(Salary_Calculation[[#This Row],[Source Row]]="","",Salary_Calculation[[#This Row],[Extra Orders]]*Extra_Rate)</f>
        <v>0</v>
      </c>
      <c r="Q9" s="164" t="n">
        <f aca="false">IF(Salary_Calculation[[#This Row],[Source Row]]="","",MAX(Salary_Calculation[[#This Row],[Salary Before Other Deductions]],0))</f>
        <v>1700.44444444444</v>
      </c>
      <c r="R9" s="164" t="n">
        <f aca="false">IF(Salary_Calculation[[#This Row],[Source Row]]="","",N(INDEX(Rider_Input[missed_days_penalty],Salary_Calculation[[#This Row],[Source Row]])))</f>
        <v>0</v>
      </c>
      <c r="S9" s="164" t="n">
        <f aca="false">IF(Salary_Calculation[[#This Row],[Source Row]]="","",N(INDEX(Rider_Input[Rider Balance / محفظة المندوب],Salary_Calculation[[#This Row],[Source Row]])))</f>
        <v>201.65</v>
      </c>
      <c r="T9" s="164" t="n">
        <f aca="false">IF(Salary_Calculation[[#This Row],[Source Row]]="","",N(INDEX(Rider_Input[stacking_deduction / خصم الطلبات المتعددة],Salary_Calculation[[#This Row],[Source Row]])))</f>
        <v>44</v>
      </c>
      <c r="U9" s="164" t="n">
        <f aca="false">IF(Salary_Calculation[[#This Row],[Source Row]]="","",N(INDEX(Rider_Input[Other Deductions],Salary_Calculation[[#This Row],[Source Row]])))</f>
        <v>0</v>
      </c>
      <c r="V9" s="164" t="n">
        <f aca="false">IF(Salary_Calculation[[#This Row],[Source Row]]="","",N(Salary_Calculation[[#This Row],[missed_days_penalty]])+N(Salary_Calculation[[#This Row],[Rider Balance]])+N(Salary_Calculation[[#This Row],[stacking_deduction]])+N(Salary_Calculation[[#This Row],[Other Deductions]]))</f>
        <v>245.65</v>
      </c>
      <c r="W9" s="167" t="n">
        <f aca="false">IF(Salary_Calculation[[#This Row],[Source Row]]="","",ROUND(MAX(Salary_Calculation[[#This Row],[Gross Salary Before Deductions]]-Salary_Calculation[[#This Row],[Total Deductions]],0),2))</f>
        <v>1454.79</v>
      </c>
      <c r="X9" s="164" t="n">
        <f aca="false">IF(Salary_Calculation[[#This Row],[Source Row]]="","",ROUND(MAX(Salary_Calculation[[#This Row],[Missing-Order Deduction]]-Salary_Calculation[[#This Row],[Earned Salary]],0),2))</f>
        <v>0</v>
      </c>
      <c r="Y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Paid After Deductions</v>
      </c>
      <c r="Z9" s="163" t="str">
        <f aca="false">IF(Salary_Calculation[[#This Row],[Source Row]]="","",IF(INDEX(Rider_Input[Notes],Salary_Calculation[[#This Row],[Source Row]])="","",INDEX(Rider_Input[Notes],Salary_Calculation[[#This Row],[Source Row]])))</f>
        <v/>
      </c>
      <c r="AA9" s="164" t="n">
        <f aca="false">IF(Salary_Calculation[[#This Row],[Source Row]]="","",Salary_Calculation[[#This Row],[Earned Salary]]-Salary_Calculation[[#This Row],[Missing-Order Deduction]]+Salary_Calculation[[#This Row],[Extra-Order Bonus]])</f>
        <v>1700.44444444444</v>
      </c>
      <c r="AB9" s="164" t="n">
        <f aca="false">IF(Salary_Calculation[[#This Row],[Source Row]]="","",ROUND(Salary_Calculation[[#This Row],[Negative Balance / Amount Due from Rider]]+MAX(Salary_Calculation[[#This Row],[Total Deductions]]-Salary_Calculation[[#This Row],[Gross Salary Before Deductions]],0),2))</f>
        <v>0</v>
      </c>
      <c r="AC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9" s="164" t="n">
        <f aca="false">IF(Salary_Calculation[[#This Row],[Source Row]]="","",Salary_Calculation[[#This Row],[Rider Target Orders]]*Salary_Calculation[[#This Row],[Base Order Rate]])</f>
        <v>2066.66666666667</v>
      </c>
      <c r="AE9" s="162" t="n">
        <f aca="false">IF(SUMPRODUCT(--(LEN(INDEX(Rider_Input[#Data],ROW()-ROW(Salary_Calculation[#Headers]),0))&gt;0))=0,"",ROW()-ROW(Salary_Calculation[#Headers]))</f>
        <v>8</v>
      </c>
    </row>
    <row r="10" customFormat="false" ht="14.25" hidden="false" customHeight="false" outlineLevel="0" collapsed="false">
      <c r="A10" s="161" t="n">
        <f aca="false">IF(Salary_Calculation[[#This Row],[Source Row]]="","",IF(INDEX(Rider_Input[Salary Month],Salary_Calculation[[#This Row],[Source Row]])="","",INDEX(Rider_Input[Salary Month],Salary_Calculation[[#This Row],[Source Row]])))</f>
        <v>46235</v>
      </c>
      <c r="B10" s="162" t="n">
        <f aca="false">IF(Salary_Calculation[[#This Row],[Source Row]]="","",IF(INDEX(Rider_Input[Rider ID],Salary_Calculation[[#This Row],[Source Row]])="","",INDEX(Rider_Input[Rider ID],Salary_Calculation[[#This Row],[Source Row]])))</f>
        <v>4652587</v>
      </c>
      <c r="C10" s="163" t="str">
        <f aca="false">IF(Salary_Calculation[[#This Row],[Source Row]]="","",IF(INDEX(Rider_Input[Rider Name],Salary_Calculation[[#This Row],[Source Row]])="","",INDEX(Rider_Input[Rider Name],Salary_Calculation[[#This Row],[Source Row]])))</f>
        <v>Rider 4652587</v>
      </c>
      <c r="D10" s="164" t="n">
        <f aca="false">IF(Salary_Calculation[[#This Row],[Source Row]]="","",IF(INDEX(Rider_Input[Basic Payment],Salary_Calculation[[#This Row],[Source Row]])="","",INDEX(Rider_Input[Basic Payment],Salary_Calculation[[#This Row],[Source Row]])))</f>
        <v>2000</v>
      </c>
      <c r="E10" s="162" t="n">
        <f aca="false">IF(Salary_Calculation[[#This Row],[Source Row]]="","",IF(INDEX(Rider_Input[Calendar Days in Month],Salary_Calculation[[#This Row],[Source Row]])="","",INDEX(Rider_Input[Calendar Days in Month],Salary_Calculation[[#This Row],[Source Row]])))</f>
        <v>31</v>
      </c>
      <c r="F10" s="162" t="n">
        <f aca="false">IF(Salary_Calculation[[#This Row],[Source Row]]="","",IF(INDEX(Rider_Input[Working Days],Salary_Calculation[[#This Row],[Source Row]])="","",INDEX(Rider_Input[Working Days],Salary_Calculation[[#This Row],[Source Row]])))</f>
        <v>30</v>
      </c>
      <c r="G10" s="165" t="n">
        <f aca="false">IF(Salary_Calculation[[#This Row],[Source Row]]="","",Std_Orders/Std_Days*N(Salary_Calculation[[#This Row],[Calendar Days]]))</f>
        <v>465</v>
      </c>
      <c r="H10" s="165" t="n">
        <f aca="false">IF(Salary_Calculation[[#This Row],[Source Row]]="","",IF(N(Salary_Calculation[[#This Row],[Calendar Days]])&gt;0,Salary_Calculation[[#This Row],[Monthly Target Orders]]/N(Salary_Calculation[[#This Row],[Calendar Days]])*N(Salary_Calculation[[#This Row],[Working Days]]),0))</f>
        <v>450</v>
      </c>
      <c r="I10" s="166" t="n">
        <f aca="false">IF(Salary_Calculation[[#This Row],[Source Row]]="","",IF(INDEX(Rider_Input[Completed Orders],Salary_Calculation[[#This Row],[Source Row]])="","",INDEX(Rider_Input[Completed Orders],Salary_Calculation[[#This Row],[Source Row]])))</f>
        <v>382</v>
      </c>
      <c r="J10" s="165" t="n">
        <f aca="false">IF(Salary_Calculation[[#This Row],[Source Row]]="","",IF(Rate_Method="Fixed rate",Fixed_Rate,IF(N(Salary_Calculation[[#This Row],[Basic Payment]])&gt;0,N(Salary_Calculation[[#This Row],[Basic Payment]])/Std_Orders,0)))</f>
        <v>4.44444444444445</v>
      </c>
      <c r="K10" s="165" t="n">
        <f aca="false">IF(Salary_Calculation[[#This Row],[Source Row]]="","",MAX(MIN(N(Salary_Calculation[[#This Row],[Completed Orders]]),Salary_Calculation[[#This Row],[Rider Target Orders]]),0))</f>
        <v>382</v>
      </c>
      <c r="L10" s="164" t="n">
        <f aca="false">IF(Salary_Calculation[[#This Row],[Source Row]]="","",Salary_Calculation[[#This Row],[Orders Counted at Base Rate]]*Salary_Calculation[[#This Row],[Base Order Rate]])</f>
        <v>1697.77777777778</v>
      </c>
      <c r="M10" s="165" t="n">
        <f aca="false">IF(Salary_Calculation[[#This Row],[Source Row]]="","",MAX(Salary_Calculation[[#This Row],[Rider Target Orders]]-N(Salary_Calculation[[#This Row],[Completed Orders]]),0))</f>
        <v>68</v>
      </c>
      <c r="N10" s="164" t="n">
        <f aca="false">IF(Salary_Calculation[[#This Row],[Source Row]]="","",Salary_Calculation[[#This Row],[Missing Orders]]*Missing_Rate)</f>
        <v>476</v>
      </c>
      <c r="O10" s="165" t="n">
        <f aca="false">IF(Salary_Calculation[[#This Row],[Source Row]]="","",MAX(N(Salary_Calculation[[#This Row],[Completed Orders]])-Salary_Calculation[[#This Row],[Rider Target Orders]],0))</f>
        <v>0</v>
      </c>
      <c r="P10" s="164" t="n">
        <f aca="false">IF(Salary_Calculation[[#This Row],[Source Row]]="","",Salary_Calculation[[#This Row],[Extra Orders]]*Extra_Rate)</f>
        <v>0</v>
      </c>
      <c r="Q10" s="164" t="n">
        <f aca="false">IF(Salary_Calculation[[#This Row],[Source Row]]="","",MAX(Salary_Calculation[[#This Row],[Salary Before Other Deductions]],0))</f>
        <v>1221.77777777778</v>
      </c>
      <c r="R10" s="164" t="n">
        <f aca="false">IF(Salary_Calculation[[#This Row],[Source Row]]="","",N(INDEX(Rider_Input[missed_days_penalty],Salary_Calculation[[#This Row],[Source Row]])))</f>
        <v>500</v>
      </c>
      <c r="S10" s="164" t="n">
        <f aca="false">IF(Salary_Calculation[[#This Row],[Source Row]]="","",N(INDEX(Rider_Input[Rider Balance / محفظة المندوب],Salary_Calculation[[#This Row],[Source Row]])))</f>
        <v>121.92</v>
      </c>
      <c r="T10" s="164" t="n">
        <f aca="false">IF(Salary_Calculation[[#This Row],[Source Row]]="","",N(INDEX(Rider_Input[stacking_deduction / خصم الطلبات المتعددة],Salary_Calculation[[#This Row],[Source Row]])))</f>
        <v>44</v>
      </c>
      <c r="U10" s="164" t="n">
        <f aca="false">IF(Salary_Calculation[[#This Row],[Source Row]]="","",N(INDEX(Rider_Input[Other Deductions],Salary_Calculation[[#This Row],[Source Row]])))</f>
        <v>0</v>
      </c>
      <c r="V10" s="164" t="n">
        <f aca="false">IF(Salary_Calculation[[#This Row],[Source Row]]="","",N(Salary_Calculation[[#This Row],[missed_days_penalty]])+N(Salary_Calculation[[#This Row],[Rider Balance]])+N(Salary_Calculation[[#This Row],[stacking_deduction]])+N(Salary_Calculation[[#This Row],[Other Deductions]]))</f>
        <v>665.92</v>
      </c>
      <c r="W10" s="167" t="n">
        <f aca="false">IF(Salary_Calculation[[#This Row],[Source Row]]="","",ROUND(MAX(Salary_Calculation[[#This Row],[Gross Salary Before Deductions]]-Salary_Calculation[[#This Row],[Total Deductions]],0),2))</f>
        <v>555.86</v>
      </c>
      <c r="X10" s="164" t="n">
        <f aca="false">IF(Salary_Calculation[[#This Row],[Source Row]]="","",ROUND(MAX(Salary_Calculation[[#This Row],[Missing-Order Deduction]]-Salary_Calculation[[#This Row],[Earned Salary]],0),2))</f>
        <v>0</v>
      </c>
      <c r="Y1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Paid After Deductions</v>
      </c>
      <c r="Z10" s="163" t="str">
        <f aca="false">IF(Salary_Calculation[[#This Row],[Source Row]]="","",IF(INDEX(Rider_Input[Notes],Salary_Calculation[[#This Row],[Source Row]])="","",INDEX(Rider_Input[Notes],Salary_Calculation[[#This Row],[Source Row]])))</f>
        <v/>
      </c>
      <c r="AA10" s="164" t="n">
        <f aca="false">IF(Salary_Calculation[[#This Row],[Source Row]]="","",Salary_Calculation[[#This Row],[Earned Salary]]-Salary_Calculation[[#This Row],[Missing-Order Deduction]]+Salary_Calculation[[#This Row],[Extra-Order Bonus]])</f>
        <v>1221.77777777778</v>
      </c>
      <c r="AB10" s="164" t="n">
        <f aca="false">IF(Salary_Calculation[[#This Row],[Source Row]]="","",ROUND(Salary_Calculation[[#This Row],[Negative Balance / Amount Due from Rider]]+MAX(Salary_Calculation[[#This Row],[Total Deductions]]-Salary_Calculation[[#This Row],[Gross Salary Before Deductions]],0),2))</f>
        <v>0</v>
      </c>
      <c r="AC1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0" s="164" t="n">
        <f aca="false">IF(Salary_Calculation[[#This Row],[Source Row]]="","",Salary_Calculation[[#This Row],[Rider Target Orders]]*Salary_Calculation[[#This Row],[Base Order Rate]])</f>
        <v>2000</v>
      </c>
      <c r="AE10" s="162" t="n">
        <f aca="false">IF(SUMPRODUCT(--(LEN(INDEX(Rider_Input[#Data],ROW()-ROW(Salary_Calculation[#Headers]),0))&gt;0))=0,"",ROW()-ROW(Salary_Calculation[#Headers]))</f>
        <v>9</v>
      </c>
    </row>
    <row r="11" customFormat="false" ht="14.25" hidden="false" customHeight="false" outlineLevel="0" collapsed="false">
      <c r="A11" s="161" t="n">
        <f aca="false">IF(Salary_Calculation[[#This Row],[Source Row]]="","",IF(INDEX(Rider_Input[Salary Month],Salary_Calculation[[#This Row],[Source Row]])="","",INDEX(Rider_Input[Salary Month],Salary_Calculation[[#This Row],[Source Row]])))</f>
        <v>46235</v>
      </c>
      <c r="B11" s="162" t="n">
        <f aca="false">IF(Salary_Calculation[[#This Row],[Source Row]]="","",IF(INDEX(Rider_Input[Rider ID],Salary_Calculation[[#This Row],[Source Row]])="","",INDEX(Rider_Input[Rider ID],Salary_Calculation[[#This Row],[Source Row]])))</f>
        <v>4648709</v>
      </c>
      <c r="C11" s="163" t="str">
        <f aca="false">IF(Salary_Calculation[[#This Row],[Source Row]]="","",IF(INDEX(Rider_Input[Rider Name],Salary_Calculation[[#This Row],[Source Row]])="","",INDEX(Rider_Input[Rider Name],Salary_Calculation[[#This Row],[Source Row]])))</f>
        <v>Rider 4648709</v>
      </c>
      <c r="D11" s="164" t="n">
        <f aca="false">IF(Salary_Calculation[[#This Row],[Source Row]]="","",IF(INDEX(Rider_Input[Basic Payment],Salary_Calculation[[#This Row],[Source Row]])="","",INDEX(Rider_Input[Basic Payment],Salary_Calculation[[#This Row],[Source Row]])))</f>
        <v>2000</v>
      </c>
      <c r="E11" s="162" t="n">
        <f aca="false">IF(Salary_Calculation[[#This Row],[Source Row]]="","",IF(INDEX(Rider_Input[Calendar Days in Month],Salary_Calculation[[#This Row],[Source Row]])="","",INDEX(Rider_Input[Calendar Days in Month],Salary_Calculation[[#This Row],[Source Row]])))</f>
        <v>31</v>
      </c>
      <c r="F11" s="162" t="n">
        <f aca="false">IF(Salary_Calculation[[#This Row],[Source Row]]="","",IF(INDEX(Rider_Input[Working Days],Salary_Calculation[[#This Row],[Source Row]])="","",INDEX(Rider_Input[Working Days],Salary_Calculation[[#This Row],[Source Row]])))</f>
        <v>31</v>
      </c>
      <c r="G11" s="165" t="n">
        <f aca="false">IF(Salary_Calculation[[#This Row],[Source Row]]="","",Std_Orders/Std_Days*N(Salary_Calculation[[#This Row],[Calendar Days]]))</f>
        <v>465</v>
      </c>
      <c r="H11" s="165" t="n">
        <f aca="false">IF(Salary_Calculation[[#This Row],[Source Row]]="","",IF(N(Salary_Calculation[[#This Row],[Calendar Days]])&gt;0,Salary_Calculation[[#This Row],[Monthly Target Orders]]/N(Salary_Calculation[[#This Row],[Calendar Days]])*N(Salary_Calculation[[#This Row],[Working Days]]),0))</f>
        <v>465</v>
      </c>
      <c r="I11" s="166" t="n">
        <f aca="false">IF(Salary_Calculation[[#This Row],[Source Row]]="","",IF(INDEX(Rider_Input[Completed Orders],Salary_Calculation[[#This Row],[Source Row]])="","",INDEX(Rider_Input[Completed Orders],Salary_Calculation[[#This Row],[Source Row]])))</f>
        <v>391</v>
      </c>
      <c r="J11" s="165" t="n">
        <f aca="false">IF(Salary_Calculation[[#This Row],[Source Row]]="","",IF(Rate_Method="Fixed rate",Fixed_Rate,IF(N(Salary_Calculation[[#This Row],[Basic Payment]])&gt;0,N(Salary_Calculation[[#This Row],[Basic Payment]])/Std_Orders,0)))</f>
        <v>4.44444444444445</v>
      </c>
      <c r="K11" s="165" t="n">
        <f aca="false">IF(Salary_Calculation[[#This Row],[Source Row]]="","",MAX(MIN(N(Salary_Calculation[[#This Row],[Completed Orders]]),Salary_Calculation[[#This Row],[Rider Target Orders]]),0))</f>
        <v>391</v>
      </c>
      <c r="L11" s="164" t="n">
        <f aca="false">IF(Salary_Calculation[[#This Row],[Source Row]]="","",Salary_Calculation[[#This Row],[Orders Counted at Base Rate]]*Salary_Calculation[[#This Row],[Base Order Rate]])</f>
        <v>1737.77777777778</v>
      </c>
      <c r="M11" s="165" t="n">
        <f aca="false">IF(Salary_Calculation[[#This Row],[Source Row]]="","",MAX(Salary_Calculation[[#This Row],[Rider Target Orders]]-N(Salary_Calculation[[#This Row],[Completed Orders]]),0))</f>
        <v>74</v>
      </c>
      <c r="N11" s="164" t="n">
        <f aca="false">IF(Salary_Calculation[[#This Row],[Source Row]]="","",Salary_Calculation[[#This Row],[Missing Orders]]*Missing_Rate)</f>
        <v>518</v>
      </c>
      <c r="O11" s="165" t="n">
        <f aca="false">IF(Salary_Calculation[[#This Row],[Source Row]]="","",MAX(N(Salary_Calculation[[#This Row],[Completed Orders]])-Salary_Calculation[[#This Row],[Rider Target Orders]],0))</f>
        <v>0</v>
      </c>
      <c r="P11" s="164" t="n">
        <f aca="false">IF(Salary_Calculation[[#This Row],[Source Row]]="","",Salary_Calculation[[#This Row],[Extra Orders]]*Extra_Rate)</f>
        <v>0</v>
      </c>
      <c r="Q11" s="164" t="n">
        <f aca="false">IF(Salary_Calculation[[#This Row],[Source Row]]="","",MAX(Salary_Calculation[[#This Row],[Salary Before Other Deductions]],0))</f>
        <v>1219.77777777778</v>
      </c>
      <c r="R11" s="164" t="n">
        <f aca="false">IF(Salary_Calculation[[#This Row],[Source Row]]="","",N(INDEX(Rider_Input[missed_days_penalty],Salary_Calculation[[#This Row],[Source Row]])))</f>
        <v>0</v>
      </c>
      <c r="S11" s="164" t="n">
        <f aca="false">IF(Salary_Calculation[[#This Row],[Source Row]]="","",N(INDEX(Rider_Input[Rider Balance / محفظة المندوب],Salary_Calculation[[#This Row],[Source Row]])))</f>
        <v>266.18</v>
      </c>
      <c r="T11" s="164" t="n">
        <f aca="false">IF(Salary_Calculation[[#This Row],[Source Row]]="","",N(INDEX(Rider_Input[stacking_deduction / خصم الطلبات المتعددة],Salary_Calculation[[#This Row],[Source Row]])))</f>
        <v>76</v>
      </c>
      <c r="U11" s="164" t="n">
        <f aca="false">IF(Salary_Calculation[[#This Row],[Source Row]]="","",N(INDEX(Rider_Input[Other Deductions],Salary_Calculation[[#This Row],[Source Row]])))</f>
        <v>0</v>
      </c>
      <c r="V11" s="164" t="n">
        <f aca="false">IF(Salary_Calculation[[#This Row],[Source Row]]="","",N(Salary_Calculation[[#This Row],[missed_days_penalty]])+N(Salary_Calculation[[#This Row],[Rider Balance]])+N(Salary_Calculation[[#This Row],[stacking_deduction]])+N(Salary_Calculation[[#This Row],[Other Deductions]]))</f>
        <v>342.18</v>
      </c>
      <c r="W11" s="167" t="n">
        <f aca="false">IF(Salary_Calculation[[#This Row],[Source Row]]="","",ROUND(MAX(Salary_Calculation[[#This Row],[Gross Salary Before Deductions]]-Salary_Calculation[[#This Row],[Total Deductions]],0),2))</f>
        <v>877.6</v>
      </c>
      <c r="X11" s="164" t="n">
        <f aca="false">IF(Salary_Calculation[[#This Row],[Source Row]]="","",ROUND(MAX(Salary_Calculation[[#This Row],[Missing-Order Deduction]]-Salary_Calculation[[#This Row],[Earned Salary]],0),2))</f>
        <v>0</v>
      </c>
      <c r="Y1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Paid After Deductions</v>
      </c>
      <c r="Z11" s="163" t="str">
        <f aca="false">IF(Salary_Calculation[[#This Row],[Source Row]]="","",IF(INDEX(Rider_Input[Notes],Salary_Calculation[[#This Row],[Source Row]])="","",INDEX(Rider_Input[Notes],Salary_Calculation[[#This Row],[Source Row]])))</f>
        <v/>
      </c>
      <c r="AA11" s="164" t="n">
        <f aca="false">IF(Salary_Calculation[[#This Row],[Source Row]]="","",Salary_Calculation[[#This Row],[Earned Salary]]-Salary_Calculation[[#This Row],[Missing-Order Deduction]]+Salary_Calculation[[#This Row],[Extra-Order Bonus]])</f>
        <v>1219.77777777778</v>
      </c>
      <c r="AB11" s="164" t="n">
        <f aca="false">IF(Salary_Calculation[[#This Row],[Source Row]]="","",ROUND(Salary_Calculation[[#This Row],[Negative Balance / Amount Due from Rider]]+MAX(Salary_Calculation[[#This Row],[Total Deductions]]-Salary_Calculation[[#This Row],[Gross Salary Before Deductions]],0),2))</f>
        <v>0</v>
      </c>
      <c r="AC1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1" s="164" t="n">
        <f aca="false">IF(Salary_Calculation[[#This Row],[Source Row]]="","",Salary_Calculation[[#This Row],[Rider Target Orders]]*Salary_Calculation[[#This Row],[Base Order Rate]])</f>
        <v>2066.66666666667</v>
      </c>
      <c r="AE11" s="162" t="n">
        <f aca="false">IF(SUMPRODUCT(--(LEN(INDEX(Rider_Input[#Data],ROW()-ROW(Salary_Calculation[#Headers]),0))&gt;0))=0,"",ROW()-ROW(Salary_Calculation[#Headers]))</f>
        <v>10</v>
      </c>
    </row>
    <row r="12" customFormat="false" ht="14.25" hidden="false" customHeight="false" outlineLevel="0" collapsed="false">
      <c r="A12" s="161" t="n">
        <f aca="false">IF(Salary_Calculation[[#This Row],[Source Row]]="","",IF(INDEX(Rider_Input[Salary Month],Salary_Calculation[[#This Row],[Source Row]])="","",INDEX(Rider_Input[Salary Month],Salary_Calculation[[#This Row],[Source Row]])))</f>
        <v>46235</v>
      </c>
      <c r="B12" s="162" t="n">
        <f aca="false">IF(Salary_Calculation[[#This Row],[Source Row]]="","",IF(INDEX(Rider_Input[Rider ID],Salary_Calculation[[#This Row],[Source Row]])="","",INDEX(Rider_Input[Rider ID],Salary_Calculation[[#This Row],[Source Row]])))</f>
        <v>4648308</v>
      </c>
      <c r="C12" s="163" t="str">
        <f aca="false">IF(Salary_Calculation[[#This Row],[Source Row]]="","",IF(INDEX(Rider_Input[Rider Name],Salary_Calculation[[#This Row],[Source Row]])="","",INDEX(Rider_Input[Rider Name],Salary_Calculation[[#This Row],[Source Row]])))</f>
        <v>Rider 4648308</v>
      </c>
      <c r="D12" s="164" t="n">
        <f aca="false">IF(Salary_Calculation[[#This Row],[Source Row]]="","",IF(INDEX(Rider_Input[Basic Payment],Salary_Calculation[[#This Row],[Source Row]])="","",INDEX(Rider_Input[Basic Payment],Salary_Calculation[[#This Row],[Source Row]])))</f>
        <v>2000</v>
      </c>
      <c r="E12" s="162" t="n">
        <f aca="false">IF(Salary_Calculation[[#This Row],[Source Row]]="","",IF(INDEX(Rider_Input[Calendar Days in Month],Salary_Calculation[[#This Row],[Source Row]])="","",INDEX(Rider_Input[Calendar Days in Month],Salary_Calculation[[#This Row],[Source Row]])))</f>
        <v>31</v>
      </c>
      <c r="F12" s="162" t="n">
        <f aca="false">IF(Salary_Calculation[[#This Row],[Source Row]]="","",IF(INDEX(Rider_Input[Working Days],Salary_Calculation[[#This Row],[Source Row]])="","",INDEX(Rider_Input[Working Days],Salary_Calculation[[#This Row],[Source Row]])))</f>
        <v>31</v>
      </c>
      <c r="G12" s="165" t="n">
        <f aca="false">IF(Salary_Calculation[[#This Row],[Source Row]]="","",Std_Orders/Std_Days*N(Salary_Calculation[[#This Row],[Calendar Days]]))</f>
        <v>465</v>
      </c>
      <c r="H12" s="165" t="n">
        <f aca="false">IF(Salary_Calculation[[#This Row],[Source Row]]="","",IF(N(Salary_Calculation[[#This Row],[Calendar Days]])&gt;0,Salary_Calculation[[#This Row],[Monthly Target Orders]]/N(Salary_Calculation[[#This Row],[Calendar Days]])*N(Salary_Calculation[[#This Row],[Working Days]]),0))</f>
        <v>465</v>
      </c>
      <c r="I12" s="166" t="n">
        <f aca="false">IF(Salary_Calculation[[#This Row],[Source Row]]="","",IF(INDEX(Rider_Input[Completed Orders],Salary_Calculation[[#This Row],[Source Row]])="","",INDEX(Rider_Input[Completed Orders],Salary_Calculation[[#This Row],[Source Row]])))</f>
        <v>551</v>
      </c>
      <c r="J12" s="165" t="n">
        <f aca="false">IF(Salary_Calculation[[#This Row],[Source Row]]="","",IF(Rate_Method="Fixed rate",Fixed_Rate,IF(N(Salary_Calculation[[#This Row],[Basic Payment]])&gt;0,N(Salary_Calculation[[#This Row],[Basic Payment]])/Std_Orders,0)))</f>
        <v>4.44444444444445</v>
      </c>
      <c r="K12" s="165" t="n">
        <f aca="false">IF(Salary_Calculation[[#This Row],[Source Row]]="","",MAX(MIN(N(Salary_Calculation[[#This Row],[Completed Orders]]),Salary_Calculation[[#This Row],[Rider Target Orders]]),0))</f>
        <v>465</v>
      </c>
      <c r="L12" s="164" t="n">
        <f aca="false">IF(Salary_Calculation[[#This Row],[Source Row]]="","",Salary_Calculation[[#This Row],[Orders Counted at Base Rate]]*Salary_Calculation[[#This Row],[Base Order Rate]])</f>
        <v>2066.66666666667</v>
      </c>
      <c r="M12" s="165" t="n">
        <f aca="false">IF(Salary_Calculation[[#This Row],[Source Row]]="","",MAX(Salary_Calculation[[#This Row],[Rider Target Orders]]-N(Salary_Calculation[[#This Row],[Completed Orders]]),0))</f>
        <v>0</v>
      </c>
      <c r="N12" s="164" t="n">
        <f aca="false">IF(Salary_Calculation[[#This Row],[Source Row]]="","",Salary_Calculation[[#This Row],[Missing Orders]]*Missing_Rate)</f>
        <v>0</v>
      </c>
      <c r="O12" s="165" t="n">
        <f aca="false">IF(Salary_Calculation[[#This Row],[Source Row]]="","",MAX(N(Salary_Calculation[[#This Row],[Completed Orders]])-Salary_Calculation[[#This Row],[Rider Target Orders]],0))</f>
        <v>86</v>
      </c>
      <c r="P12" s="164" t="n">
        <f aca="false">IF(Salary_Calculation[[#This Row],[Source Row]]="","",Salary_Calculation[[#This Row],[Extra Orders]]*Extra_Rate)</f>
        <v>860</v>
      </c>
      <c r="Q12" s="164" t="n">
        <f aca="false">IF(Salary_Calculation[[#This Row],[Source Row]]="","",MAX(Salary_Calculation[[#This Row],[Salary Before Other Deductions]],0))</f>
        <v>2926.66666666667</v>
      </c>
      <c r="R12" s="164" t="n">
        <f aca="false">IF(Salary_Calculation[[#This Row],[Source Row]]="","",N(INDEX(Rider_Input[missed_days_penalty],Salary_Calculation[[#This Row],[Source Row]])))</f>
        <v>0</v>
      </c>
      <c r="S12" s="164" t="n">
        <f aca="false">IF(Salary_Calculation[[#This Row],[Source Row]]="","",N(INDEX(Rider_Input[Rider Balance / محفظة المندوب],Salary_Calculation[[#This Row],[Source Row]])))</f>
        <v>93.12</v>
      </c>
      <c r="T12" s="164" t="n">
        <f aca="false">IF(Salary_Calculation[[#This Row],[Source Row]]="","",N(INDEX(Rider_Input[stacking_deduction / خصم الطلبات المتعددة],Salary_Calculation[[#This Row],[Source Row]])))</f>
        <v>112</v>
      </c>
      <c r="U12" s="164" t="n">
        <f aca="false">IF(Salary_Calculation[[#This Row],[Source Row]]="","",N(INDEX(Rider_Input[Other Deductions],Salary_Calculation[[#This Row],[Source Row]])))</f>
        <v>0</v>
      </c>
      <c r="V12" s="164" t="n">
        <f aca="false">IF(Salary_Calculation[[#This Row],[Source Row]]="","",N(Salary_Calculation[[#This Row],[missed_days_penalty]])+N(Salary_Calculation[[#This Row],[Rider Balance]])+N(Salary_Calculation[[#This Row],[stacking_deduction]])+N(Salary_Calculation[[#This Row],[Other Deductions]]))</f>
        <v>205.12</v>
      </c>
      <c r="W12" s="167" t="n">
        <f aca="false">IF(Salary_Calculation[[#This Row],[Source Row]]="","",ROUND(MAX(Salary_Calculation[[#This Row],[Gross Salary Before Deductions]]-Salary_Calculation[[#This Row],[Total Deductions]],0),2))</f>
        <v>2721.55</v>
      </c>
      <c r="X12" s="164" t="n">
        <f aca="false">IF(Salary_Calculation[[#This Row],[Source Row]]="","",ROUND(MAX(Salary_Calculation[[#This Row],[Missing-Order Deduction]]-Salary_Calculation[[#This Row],[Earned Salary]],0),2))</f>
        <v>0</v>
      </c>
      <c r="Y1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Paid After Deductions</v>
      </c>
      <c r="Z12" s="163" t="str">
        <f aca="false">IF(Salary_Calculation[[#This Row],[Source Row]]="","",IF(INDEX(Rider_Input[Notes],Salary_Calculation[[#This Row],[Source Row]])="","",INDEX(Rider_Input[Notes],Salary_Calculation[[#This Row],[Source Row]])))</f>
        <v/>
      </c>
      <c r="AA12" s="164" t="n">
        <f aca="false">IF(Salary_Calculation[[#This Row],[Source Row]]="","",Salary_Calculation[[#This Row],[Earned Salary]]-Salary_Calculation[[#This Row],[Missing-Order Deduction]]+Salary_Calculation[[#This Row],[Extra-Order Bonus]])</f>
        <v>2926.66666666667</v>
      </c>
      <c r="AB12" s="164" t="n">
        <f aca="false">IF(Salary_Calculation[[#This Row],[Source Row]]="","",ROUND(Salary_Calculation[[#This Row],[Negative Balance / Amount Due from Rider]]+MAX(Salary_Calculation[[#This Row],[Total Deductions]]-Salary_Calculation[[#This Row],[Gross Salary Before Deductions]],0),2))</f>
        <v>0</v>
      </c>
      <c r="AC1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2" s="164" t="n">
        <f aca="false">IF(Salary_Calculation[[#This Row],[Source Row]]="","",Salary_Calculation[[#This Row],[Rider Target Orders]]*Salary_Calculation[[#This Row],[Base Order Rate]])</f>
        <v>2066.66666666667</v>
      </c>
      <c r="AE12" s="162" t="n">
        <f aca="false">IF(SUMPRODUCT(--(LEN(INDEX(Rider_Input[#Data],ROW()-ROW(Salary_Calculation[#Headers]),0))&gt;0))=0,"",ROW()-ROW(Salary_Calculation[#Headers]))</f>
        <v>11</v>
      </c>
    </row>
    <row r="13" customFormat="false" ht="14.25" hidden="false" customHeight="false" outlineLevel="0" collapsed="false">
      <c r="A13" s="161" t="n">
        <f aca="false">IF(Salary_Calculation[[#This Row],[Source Row]]="","",IF(INDEX(Rider_Input[Salary Month],Salary_Calculation[[#This Row],[Source Row]])="","",INDEX(Rider_Input[Salary Month],Salary_Calculation[[#This Row],[Source Row]])))</f>
        <v>46235</v>
      </c>
      <c r="B13" s="162" t="n">
        <f aca="false">IF(Salary_Calculation[[#This Row],[Source Row]]="","",IF(INDEX(Rider_Input[Rider ID],Salary_Calculation[[#This Row],[Source Row]])="","",INDEX(Rider_Input[Rider ID],Salary_Calculation[[#This Row],[Source Row]])))</f>
        <v>4644774</v>
      </c>
      <c r="C13" s="163" t="str">
        <f aca="false">IF(Salary_Calculation[[#This Row],[Source Row]]="","",IF(INDEX(Rider_Input[Rider Name],Salary_Calculation[[#This Row],[Source Row]])="","",INDEX(Rider_Input[Rider Name],Salary_Calculation[[#This Row],[Source Row]])))</f>
        <v>Rider 4644774</v>
      </c>
      <c r="D13" s="164" t="n">
        <f aca="false">IF(Salary_Calculation[[#This Row],[Source Row]]="","",IF(INDEX(Rider_Input[Basic Payment],Salary_Calculation[[#This Row],[Source Row]])="","",INDEX(Rider_Input[Basic Payment],Salary_Calculation[[#This Row],[Source Row]])))</f>
        <v>2000</v>
      </c>
      <c r="E13" s="162" t="n">
        <f aca="false">IF(Salary_Calculation[[#This Row],[Source Row]]="","",IF(INDEX(Rider_Input[Calendar Days in Month],Salary_Calculation[[#This Row],[Source Row]])="","",INDEX(Rider_Input[Calendar Days in Month],Salary_Calculation[[#This Row],[Source Row]])))</f>
        <v>31</v>
      </c>
      <c r="F13" s="162" t="n">
        <f aca="false">IF(Salary_Calculation[[#This Row],[Source Row]]="","",IF(INDEX(Rider_Input[Working Days],Salary_Calculation[[#This Row],[Source Row]])="","",INDEX(Rider_Input[Working Days],Salary_Calculation[[#This Row],[Source Row]])))</f>
        <v>31</v>
      </c>
      <c r="G13" s="165" t="n">
        <f aca="false">IF(Salary_Calculation[[#This Row],[Source Row]]="","",Std_Orders/Std_Days*N(Salary_Calculation[[#This Row],[Calendar Days]]))</f>
        <v>465</v>
      </c>
      <c r="H13" s="165" t="n">
        <f aca="false">IF(Salary_Calculation[[#This Row],[Source Row]]="","",IF(N(Salary_Calculation[[#This Row],[Calendar Days]])&gt;0,Salary_Calculation[[#This Row],[Monthly Target Orders]]/N(Salary_Calculation[[#This Row],[Calendar Days]])*N(Salary_Calculation[[#This Row],[Working Days]]),0))</f>
        <v>465</v>
      </c>
      <c r="I13" s="166" t="n">
        <f aca="false">IF(Salary_Calculation[[#This Row],[Source Row]]="","",IF(INDEX(Rider_Input[Completed Orders],Salary_Calculation[[#This Row],[Source Row]])="","",INDEX(Rider_Input[Completed Orders],Salary_Calculation[[#This Row],[Source Row]])))</f>
        <v>367</v>
      </c>
      <c r="J13" s="165" t="n">
        <f aca="false">IF(Salary_Calculation[[#This Row],[Source Row]]="","",IF(Rate_Method="Fixed rate",Fixed_Rate,IF(N(Salary_Calculation[[#This Row],[Basic Payment]])&gt;0,N(Salary_Calculation[[#This Row],[Basic Payment]])/Std_Orders,0)))</f>
        <v>4.44444444444445</v>
      </c>
      <c r="K13" s="165" t="n">
        <f aca="false">IF(Salary_Calculation[[#This Row],[Source Row]]="","",MAX(MIN(N(Salary_Calculation[[#This Row],[Completed Orders]]),Salary_Calculation[[#This Row],[Rider Target Orders]]),0))</f>
        <v>367</v>
      </c>
      <c r="L13" s="164" t="n">
        <f aca="false">IF(Salary_Calculation[[#This Row],[Source Row]]="","",Salary_Calculation[[#This Row],[Orders Counted at Base Rate]]*Salary_Calculation[[#This Row],[Base Order Rate]])</f>
        <v>1631.11111111111</v>
      </c>
      <c r="M13" s="165" t="n">
        <f aca="false">IF(Salary_Calculation[[#This Row],[Source Row]]="","",MAX(Salary_Calculation[[#This Row],[Rider Target Orders]]-N(Salary_Calculation[[#This Row],[Completed Orders]]),0))</f>
        <v>98</v>
      </c>
      <c r="N13" s="164" t="n">
        <f aca="false">IF(Salary_Calculation[[#This Row],[Source Row]]="","",Salary_Calculation[[#This Row],[Missing Orders]]*Missing_Rate)</f>
        <v>686</v>
      </c>
      <c r="O13" s="165" t="n">
        <f aca="false">IF(Salary_Calculation[[#This Row],[Source Row]]="","",MAX(N(Salary_Calculation[[#This Row],[Completed Orders]])-Salary_Calculation[[#This Row],[Rider Target Orders]],0))</f>
        <v>0</v>
      </c>
      <c r="P13" s="164" t="n">
        <f aca="false">IF(Salary_Calculation[[#This Row],[Source Row]]="","",Salary_Calculation[[#This Row],[Extra Orders]]*Extra_Rate)</f>
        <v>0</v>
      </c>
      <c r="Q13" s="164" t="n">
        <f aca="false">IF(Salary_Calculation[[#This Row],[Source Row]]="","",MAX(Salary_Calculation[[#This Row],[Salary Before Other Deductions]],0))</f>
        <v>945.111111111111</v>
      </c>
      <c r="R13" s="164" t="n">
        <f aca="false">IF(Salary_Calculation[[#This Row],[Source Row]]="","",N(INDEX(Rider_Input[missed_days_penalty],Salary_Calculation[[#This Row],[Source Row]])))</f>
        <v>0</v>
      </c>
      <c r="S13" s="164" t="n">
        <f aca="false">IF(Salary_Calculation[[#This Row],[Source Row]]="","",N(INDEX(Rider_Input[Rider Balance / محفظة المندوب],Salary_Calculation[[#This Row],[Source Row]])))</f>
        <v>275.31</v>
      </c>
      <c r="T13" s="164" t="n">
        <f aca="false">IF(Salary_Calculation[[#This Row],[Source Row]]="","",N(INDEX(Rider_Input[stacking_deduction / خصم الطلبات المتعددة],Salary_Calculation[[#This Row],[Source Row]])))</f>
        <v>52</v>
      </c>
      <c r="U13" s="164" t="n">
        <f aca="false">IF(Salary_Calculation[[#This Row],[Source Row]]="","",N(INDEX(Rider_Input[Other Deductions],Salary_Calculation[[#This Row],[Source Row]])))</f>
        <v>0</v>
      </c>
      <c r="V13" s="164" t="n">
        <f aca="false">IF(Salary_Calculation[[#This Row],[Source Row]]="","",N(Salary_Calculation[[#This Row],[missed_days_penalty]])+N(Salary_Calculation[[#This Row],[Rider Balance]])+N(Salary_Calculation[[#This Row],[stacking_deduction]])+N(Salary_Calculation[[#This Row],[Other Deductions]]))</f>
        <v>327.31</v>
      </c>
      <c r="W13" s="167" t="n">
        <f aca="false">IF(Salary_Calculation[[#This Row],[Source Row]]="","",ROUND(MAX(Salary_Calculation[[#This Row],[Gross Salary Before Deductions]]-Salary_Calculation[[#This Row],[Total Deductions]],0),2))</f>
        <v>617.8</v>
      </c>
      <c r="X13" s="164" t="n">
        <f aca="false">IF(Salary_Calculation[[#This Row],[Source Row]]="","",ROUND(MAX(Salary_Calculation[[#This Row],[Missing-Order Deduction]]-Salary_Calculation[[#This Row],[Earned Salary]],0),2))</f>
        <v>0</v>
      </c>
      <c r="Y1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Paid After Deductions</v>
      </c>
      <c r="Z13" s="163" t="str">
        <f aca="false">IF(Salary_Calculation[[#This Row],[Source Row]]="","",IF(INDEX(Rider_Input[Notes],Salary_Calculation[[#This Row],[Source Row]])="","",INDEX(Rider_Input[Notes],Salary_Calculation[[#This Row],[Source Row]])))</f>
        <v/>
      </c>
      <c r="AA13" s="164" t="n">
        <f aca="false">IF(Salary_Calculation[[#This Row],[Source Row]]="","",Salary_Calculation[[#This Row],[Earned Salary]]-Salary_Calculation[[#This Row],[Missing-Order Deduction]]+Salary_Calculation[[#This Row],[Extra-Order Bonus]])</f>
        <v>945.111111111111</v>
      </c>
      <c r="AB13" s="164" t="n">
        <f aca="false">IF(Salary_Calculation[[#This Row],[Source Row]]="","",ROUND(Salary_Calculation[[#This Row],[Negative Balance / Amount Due from Rider]]+MAX(Salary_Calculation[[#This Row],[Total Deductions]]-Salary_Calculation[[#This Row],[Gross Salary Before Deductions]],0),2))</f>
        <v>0</v>
      </c>
      <c r="AC1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3" s="164" t="n">
        <f aca="false">IF(Salary_Calculation[[#This Row],[Source Row]]="","",Salary_Calculation[[#This Row],[Rider Target Orders]]*Salary_Calculation[[#This Row],[Base Order Rate]])</f>
        <v>2066.66666666667</v>
      </c>
      <c r="AE13" s="162" t="n">
        <f aca="false">IF(SUMPRODUCT(--(LEN(INDEX(Rider_Input[#Data],ROW()-ROW(Salary_Calculation[#Headers]),0))&gt;0))=0,"",ROW()-ROW(Salary_Calculation[#Headers]))</f>
        <v>12</v>
      </c>
    </row>
    <row r="14" customFormat="false" ht="14.25" hidden="false" customHeight="false" outlineLevel="0" collapsed="false">
      <c r="A14" s="161" t="n">
        <f aca="false">IF(Salary_Calculation[[#This Row],[Source Row]]="","",IF(INDEX(Rider_Input[Salary Month],Salary_Calculation[[#This Row],[Source Row]])="","",INDEX(Rider_Input[Salary Month],Salary_Calculation[[#This Row],[Source Row]])))</f>
        <v>46235</v>
      </c>
      <c r="B14" s="162" t="n">
        <f aca="false">IF(Salary_Calculation[[#This Row],[Source Row]]="","",IF(INDEX(Rider_Input[Rider ID],Salary_Calculation[[#This Row],[Source Row]])="","",INDEX(Rider_Input[Rider ID],Salary_Calculation[[#This Row],[Source Row]])))</f>
        <v>4643856</v>
      </c>
      <c r="C14" s="163" t="str">
        <f aca="false">IF(Salary_Calculation[[#This Row],[Source Row]]="","",IF(INDEX(Rider_Input[Rider Name],Salary_Calculation[[#This Row],[Source Row]])="","",INDEX(Rider_Input[Rider Name],Salary_Calculation[[#This Row],[Source Row]])))</f>
        <v>Rider 4643856</v>
      </c>
      <c r="D14" s="164" t="n">
        <f aca="false">IF(Salary_Calculation[[#This Row],[Source Row]]="","",IF(INDEX(Rider_Input[Basic Payment],Salary_Calculation[[#This Row],[Source Row]])="","",INDEX(Rider_Input[Basic Payment],Salary_Calculation[[#This Row],[Source Row]])))</f>
        <v>2000</v>
      </c>
      <c r="E14" s="162" t="n">
        <f aca="false">IF(Salary_Calculation[[#This Row],[Source Row]]="","",IF(INDEX(Rider_Input[Calendar Days in Month],Salary_Calculation[[#This Row],[Source Row]])="","",INDEX(Rider_Input[Calendar Days in Month],Salary_Calculation[[#This Row],[Source Row]])))</f>
        <v>31</v>
      </c>
      <c r="F14" s="162" t="n">
        <f aca="false">IF(Salary_Calculation[[#This Row],[Source Row]]="","",IF(INDEX(Rider_Input[Working Days],Salary_Calculation[[#This Row],[Source Row]])="","",INDEX(Rider_Input[Working Days],Salary_Calculation[[#This Row],[Source Row]])))</f>
        <v>31</v>
      </c>
      <c r="G14" s="165" t="n">
        <f aca="false">IF(Salary_Calculation[[#This Row],[Source Row]]="","",Std_Orders/Std_Days*N(Salary_Calculation[[#This Row],[Calendar Days]]))</f>
        <v>465</v>
      </c>
      <c r="H14" s="165" t="n">
        <f aca="false">IF(Salary_Calculation[[#This Row],[Source Row]]="","",IF(N(Salary_Calculation[[#This Row],[Calendar Days]])&gt;0,Salary_Calculation[[#This Row],[Monthly Target Orders]]/N(Salary_Calculation[[#This Row],[Calendar Days]])*N(Salary_Calculation[[#This Row],[Working Days]]),0))</f>
        <v>465</v>
      </c>
      <c r="I14" s="166" t="n">
        <f aca="false">IF(Salary_Calculation[[#This Row],[Source Row]]="","",IF(INDEX(Rider_Input[Completed Orders],Salary_Calculation[[#This Row],[Source Row]])="","",INDEX(Rider_Input[Completed Orders],Salary_Calculation[[#This Row],[Source Row]])))</f>
        <v>449</v>
      </c>
      <c r="J14" s="165" t="n">
        <f aca="false">IF(Salary_Calculation[[#This Row],[Source Row]]="","",IF(Rate_Method="Fixed rate",Fixed_Rate,IF(N(Salary_Calculation[[#This Row],[Basic Payment]])&gt;0,N(Salary_Calculation[[#This Row],[Basic Payment]])/Std_Orders,0)))</f>
        <v>4.44444444444445</v>
      </c>
      <c r="K14" s="165" t="n">
        <f aca="false">IF(Salary_Calculation[[#This Row],[Source Row]]="","",MAX(MIN(N(Salary_Calculation[[#This Row],[Completed Orders]]),Salary_Calculation[[#This Row],[Rider Target Orders]]),0))</f>
        <v>449</v>
      </c>
      <c r="L14" s="164" t="n">
        <f aca="false">IF(Salary_Calculation[[#This Row],[Source Row]]="","",Salary_Calculation[[#This Row],[Orders Counted at Base Rate]]*Salary_Calculation[[#This Row],[Base Order Rate]])</f>
        <v>1995.55555555556</v>
      </c>
      <c r="M14" s="165" t="n">
        <f aca="false">IF(Salary_Calculation[[#This Row],[Source Row]]="","",MAX(Salary_Calculation[[#This Row],[Rider Target Orders]]-N(Salary_Calculation[[#This Row],[Completed Orders]]),0))</f>
        <v>16</v>
      </c>
      <c r="N14" s="164" t="n">
        <f aca="false">IF(Salary_Calculation[[#This Row],[Source Row]]="","",Salary_Calculation[[#This Row],[Missing Orders]]*Missing_Rate)</f>
        <v>112</v>
      </c>
      <c r="O14" s="165" t="n">
        <f aca="false">IF(Salary_Calculation[[#This Row],[Source Row]]="","",MAX(N(Salary_Calculation[[#This Row],[Completed Orders]])-Salary_Calculation[[#This Row],[Rider Target Orders]],0))</f>
        <v>0</v>
      </c>
      <c r="P14" s="164" t="n">
        <f aca="false">IF(Salary_Calculation[[#This Row],[Source Row]]="","",Salary_Calculation[[#This Row],[Extra Orders]]*Extra_Rate)</f>
        <v>0</v>
      </c>
      <c r="Q14" s="164" t="n">
        <f aca="false">IF(Salary_Calculation[[#This Row],[Source Row]]="","",MAX(Salary_Calculation[[#This Row],[Salary Before Other Deductions]],0))</f>
        <v>1883.55555555556</v>
      </c>
      <c r="R14" s="164" t="n">
        <f aca="false">IF(Salary_Calculation[[#This Row],[Source Row]]="","",N(INDEX(Rider_Input[missed_days_penalty],Salary_Calculation[[#This Row],[Source Row]])))</f>
        <v>0</v>
      </c>
      <c r="S14" s="164" t="n">
        <f aca="false">IF(Salary_Calculation[[#This Row],[Source Row]]="","",N(INDEX(Rider_Input[Rider Balance / محفظة المندوب],Salary_Calculation[[#This Row],[Source Row]])))</f>
        <v>128.27</v>
      </c>
      <c r="T14" s="164" t="n">
        <f aca="false">IF(Salary_Calculation[[#This Row],[Source Row]]="","",N(INDEX(Rider_Input[stacking_deduction / خصم الطلبات المتعددة],Salary_Calculation[[#This Row],[Source Row]])))</f>
        <v>80</v>
      </c>
      <c r="U14" s="164" t="n">
        <f aca="false">IF(Salary_Calculation[[#This Row],[Source Row]]="","",N(INDEX(Rider_Input[Other Deductions],Salary_Calculation[[#This Row],[Source Row]])))</f>
        <v>0</v>
      </c>
      <c r="V14" s="164" t="n">
        <f aca="false">IF(Salary_Calculation[[#This Row],[Source Row]]="","",N(Salary_Calculation[[#This Row],[missed_days_penalty]])+N(Salary_Calculation[[#This Row],[Rider Balance]])+N(Salary_Calculation[[#This Row],[stacking_deduction]])+N(Salary_Calculation[[#This Row],[Other Deductions]]))</f>
        <v>208.27</v>
      </c>
      <c r="W14" s="167" t="n">
        <f aca="false">IF(Salary_Calculation[[#This Row],[Source Row]]="","",ROUND(MAX(Salary_Calculation[[#This Row],[Gross Salary Before Deductions]]-Salary_Calculation[[#This Row],[Total Deductions]],0),2))</f>
        <v>1675.29</v>
      </c>
      <c r="X14" s="164" t="n">
        <f aca="false">IF(Salary_Calculation[[#This Row],[Source Row]]="","",ROUND(MAX(Salary_Calculation[[#This Row],[Missing-Order Deduction]]-Salary_Calculation[[#This Row],[Earned Salary]],0),2))</f>
        <v>0</v>
      </c>
      <c r="Y1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Paid After Deductions</v>
      </c>
      <c r="Z14" s="163" t="str">
        <f aca="false">IF(Salary_Calculation[[#This Row],[Source Row]]="","",IF(INDEX(Rider_Input[Notes],Salary_Calculation[[#This Row],[Source Row]])="","",INDEX(Rider_Input[Notes],Salary_Calculation[[#This Row],[Source Row]])))</f>
        <v/>
      </c>
      <c r="AA14" s="164" t="n">
        <f aca="false">IF(Salary_Calculation[[#This Row],[Source Row]]="","",Salary_Calculation[[#This Row],[Earned Salary]]-Salary_Calculation[[#This Row],[Missing-Order Deduction]]+Salary_Calculation[[#This Row],[Extra-Order Bonus]])</f>
        <v>1883.55555555556</v>
      </c>
      <c r="AB14" s="164" t="n">
        <f aca="false">IF(Salary_Calculation[[#This Row],[Source Row]]="","",ROUND(Salary_Calculation[[#This Row],[Negative Balance / Amount Due from Rider]]+MAX(Salary_Calculation[[#This Row],[Total Deductions]]-Salary_Calculation[[#This Row],[Gross Salary Before Deductions]],0),2))</f>
        <v>0</v>
      </c>
      <c r="AC1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4" s="164" t="n">
        <f aca="false">IF(Salary_Calculation[[#This Row],[Source Row]]="","",Salary_Calculation[[#This Row],[Rider Target Orders]]*Salary_Calculation[[#This Row],[Base Order Rate]])</f>
        <v>2066.66666666667</v>
      </c>
      <c r="AE14" s="162" t="n">
        <f aca="false">IF(SUMPRODUCT(--(LEN(INDEX(Rider_Input[#Data],ROW()-ROW(Salary_Calculation[#Headers]),0))&gt;0))=0,"",ROW()-ROW(Salary_Calculation[#Headers]))</f>
        <v>13</v>
      </c>
    </row>
    <row r="15" customFormat="false" ht="14.25" hidden="false" customHeight="false" outlineLevel="0" collapsed="false">
      <c r="A15" s="161" t="n">
        <f aca="false">IF(Salary_Calculation[[#This Row],[Source Row]]="","",IF(INDEX(Rider_Input[Salary Month],Salary_Calculation[[#This Row],[Source Row]])="","",INDEX(Rider_Input[Salary Month],Salary_Calculation[[#This Row],[Source Row]])))</f>
        <v>46235</v>
      </c>
      <c r="B15" s="162" t="n">
        <f aca="false">IF(Salary_Calculation[[#This Row],[Source Row]]="","",IF(INDEX(Rider_Input[Rider ID],Salary_Calculation[[#This Row],[Source Row]])="","",INDEX(Rider_Input[Rider ID],Salary_Calculation[[#This Row],[Source Row]])))</f>
        <v>4642935</v>
      </c>
      <c r="C15" s="163" t="str">
        <f aca="false">IF(Salary_Calculation[[#This Row],[Source Row]]="","",IF(INDEX(Rider_Input[Rider Name],Salary_Calculation[[#This Row],[Source Row]])="","",INDEX(Rider_Input[Rider Name],Salary_Calculation[[#This Row],[Source Row]])))</f>
        <v>Rider 4642935</v>
      </c>
      <c r="D15" s="164" t="n">
        <f aca="false">IF(Salary_Calculation[[#This Row],[Source Row]]="","",IF(INDEX(Rider_Input[Basic Payment],Salary_Calculation[[#This Row],[Source Row]])="","",INDEX(Rider_Input[Basic Payment],Salary_Calculation[[#This Row],[Source Row]])))</f>
        <v>2000</v>
      </c>
      <c r="E15" s="162" t="n">
        <f aca="false">IF(Salary_Calculation[[#This Row],[Source Row]]="","",IF(INDEX(Rider_Input[Calendar Days in Month],Salary_Calculation[[#This Row],[Source Row]])="","",INDEX(Rider_Input[Calendar Days in Month],Salary_Calculation[[#This Row],[Source Row]])))</f>
        <v>31</v>
      </c>
      <c r="F15" s="162" t="n">
        <f aca="false">IF(Salary_Calculation[[#This Row],[Source Row]]="","",IF(INDEX(Rider_Input[Working Days],Salary_Calculation[[#This Row],[Source Row]])="","",INDEX(Rider_Input[Working Days],Salary_Calculation[[#This Row],[Source Row]])))</f>
        <v>31</v>
      </c>
      <c r="G15" s="165" t="n">
        <f aca="false">IF(Salary_Calculation[[#This Row],[Source Row]]="","",Std_Orders/Std_Days*N(Salary_Calculation[[#This Row],[Calendar Days]]))</f>
        <v>465</v>
      </c>
      <c r="H15" s="165" t="n">
        <f aca="false">IF(Salary_Calculation[[#This Row],[Source Row]]="","",IF(N(Salary_Calculation[[#This Row],[Calendar Days]])&gt;0,Salary_Calculation[[#This Row],[Monthly Target Orders]]/N(Salary_Calculation[[#This Row],[Calendar Days]])*N(Salary_Calculation[[#This Row],[Working Days]]),0))</f>
        <v>465</v>
      </c>
      <c r="I15" s="166" t="n">
        <f aca="false">IF(Salary_Calculation[[#This Row],[Source Row]]="","",IF(INDEX(Rider_Input[Completed Orders],Salary_Calculation[[#This Row],[Source Row]])="","",INDEX(Rider_Input[Completed Orders],Salary_Calculation[[#This Row],[Source Row]])))</f>
        <v>442</v>
      </c>
      <c r="J15" s="165" t="n">
        <f aca="false">IF(Salary_Calculation[[#This Row],[Source Row]]="","",IF(Rate_Method="Fixed rate",Fixed_Rate,IF(N(Salary_Calculation[[#This Row],[Basic Payment]])&gt;0,N(Salary_Calculation[[#This Row],[Basic Payment]])/Std_Orders,0)))</f>
        <v>4.44444444444445</v>
      </c>
      <c r="K15" s="165" t="n">
        <f aca="false">IF(Salary_Calculation[[#This Row],[Source Row]]="","",MAX(MIN(N(Salary_Calculation[[#This Row],[Completed Orders]]),Salary_Calculation[[#This Row],[Rider Target Orders]]),0))</f>
        <v>442</v>
      </c>
      <c r="L15" s="164" t="n">
        <f aca="false">IF(Salary_Calculation[[#This Row],[Source Row]]="","",Salary_Calculation[[#This Row],[Orders Counted at Base Rate]]*Salary_Calculation[[#This Row],[Base Order Rate]])</f>
        <v>1964.44444444444</v>
      </c>
      <c r="M15" s="165" t="n">
        <f aca="false">IF(Salary_Calculation[[#This Row],[Source Row]]="","",MAX(Salary_Calculation[[#This Row],[Rider Target Orders]]-N(Salary_Calculation[[#This Row],[Completed Orders]]),0))</f>
        <v>23</v>
      </c>
      <c r="N15" s="164" t="n">
        <f aca="false">IF(Salary_Calculation[[#This Row],[Source Row]]="","",Salary_Calculation[[#This Row],[Missing Orders]]*Missing_Rate)</f>
        <v>161</v>
      </c>
      <c r="O15" s="165" t="n">
        <f aca="false">IF(Salary_Calculation[[#This Row],[Source Row]]="","",MAX(N(Salary_Calculation[[#This Row],[Completed Orders]])-Salary_Calculation[[#This Row],[Rider Target Orders]],0))</f>
        <v>0</v>
      </c>
      <c r="P15" s="164" t="n">
        <f aca="false">IF(Salary_Calculation[[#This Row],[Source Row]]="","",Salary_Calculation[[#This Row],[Extra Orders]]*Extra_Rate)</f>
        <v>0</v>
      </c>
      <c r="Q15" s="164" t="n">
        <f aca="false">IF(Salary_Calculation[[#This Row],[Source Row]]="","",MAX(Salary_Calculation[[#This Row],[Salary Before Other Deductions]],0))</f>
        <v>1803.44444444444</v>
      </c>
      <c r="R15" s="164" t="n">
        <f aca="false">IF(Salary_Calculation[[#This Row],[Source Row]]="","",N(INDEX(Rider_Input[missed_days_penalty],Salary_Calculation[[#This Row],[Source Row]])))</f>
        <v>0</v>
      </c>
      <c r="S15" s="164" t="n">
        <f aca="false">IF(Salary_Calculation[[#This Row],[Source Row]]="","",N(INDEX(Rider_Input[Rider Balance / محفظة المندوب],Salary_Calculation[[#This Row],[Source Row]])))</f>
        <v>116.95</v>
      </c>
      <c r="T15" s="164" t="n">
        <f aca="false">IF(Salary_Calculation[[#This Row],[Source Row]]="","",N(INDEX(Rider_Input[stacking_deduction / خصم الطلبات المتعددة],Salary_Calculation[[#This Row],[Source Row]])))</f>
        <v>84</v>
      </c>
      <c r="U15" s="164" t="n">
        <f aca="false">IF(Salary_Calculation[[#This Row],[Source Row]]="","",N(INDEX(Rider_Input[Other Deductions],Salary_Calculation[[#This Row],[Source Row]])))</f>
        <v>0</v>
      </c>
      <c r="V15" s="164" t="n">
        <f aca="false">IF(Salary_Calculation[[#This Row],[Source Row]]="","",N(Salary_Calculation[[#This Row],[missed_days_penalty]])+N(Salary_Calculation[[#This Row],[Rider Balance]])+N(Salary_Calculation[[#This Row],[stacking_deduction]])+N(Salary_Calculation[[#This Row],[Other Deductions]]))</f>
        <v>200.95</v>
      </c>
      <c r="W15" s="167" t="n">
        <f aca="false">IF(Salary_Calculation[[#This Row],[Source Row]]="","",ROUND(MAX(Salary_Calculation[[#This Row],[Gross Salary Before Deductions]]-Salary_Calculation[[#This Row],[Total Deductions]],0),2))</f>
        <v>1602.49</v>
      </c>
      <c r="X15" s="164" t="n">
        <f aca="false">IF(Salary_Calculation[[#This Row],[Source Row]]="","",ROUND(MAX(Salary_Calculation[[#This Row],[Missing-Order Deduction]]-Salary_Calculation[[#This Row],[Earned Salary]],0),2))</f>
        <v>0</v>
      </c>
      <c r="Y1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Paid After Deductions</v>
      </c>
      <c r="Z15" s="163" t="str">
        <f aca="false">IF(Salary_Calculation[[#This Row],[Source Row]]="","",IF(INDEX(Rider_Input[Notes],Salary_Calculation[[#This Row],[Source Row]])="","",INDEX(Rider_Input[Notes],Salary_Calculation[[#This Row],[Source Row]])))</f>
        <v/>
      </c>
      <c r="AA15" s="164" t="n">
        <f aca="false">IF(Salary_Calculation[[#This Row],[Source Row]]="","",Salary_Calculation[[#This Row],[Earned Salary]]-Salary_Calculation[[#This Row],[Missing-Order Deduction]]+Salary_Calculation[[#This Row],[Extra-Order Bonus]])</f>
        <v>1803.44444444444</v>
      </c>
      <c r="AB15" s="164" t="n">
        <f aca="false">IF(Salary_Calculation[[#This Row],[Source Row]]="","",ROUND(Salary_Calculation[[#This Row],[Negative Balance / Amount Due from Rider]]+MAX(Salary_Calculation[[#This Row],[Total Deductions]]-Salary_Calculation[[#This Row],[Gross Salary Before Deductions]],0),2))</f>
        <v>0</v>
      </c>
      <c r="AC1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5" s="164" t="n">
        <f aca="false">IF(Salary_Calculation[[#This Row],[Source Row]]="","",Salary_Calculation[[#This Row],[Rider Target Orders]]*Salary_Calculation[[#This Row],[Base Order Rate]])</f>
        <v>2066.66666666667</v>
      </c>
      <c r="AE15" s="162" t="n">
        <f aca="false">IF(SUMPRODUCT(--(LEN(INDEX(Rider_Input[#Data],ROW()-ROW(Salary_Calculation[#Headers]),0))&gt;0))=0,"",ROW()-ROW(Salary_Calculation[#Headers]))</f>
        <v>14</v>
      </c>
    </row>
    <row r="16" customFormat="false" ht="14.25" hidden="false" customHeight="false" outlineLevel="0" collapsed="false">
      <c r="A16" s="161" t="n">
        <f aca="false">IF(Salary_Calculation[[#This Row],[Source Row]]="","",IF(INDEX(Rider_Input[Salary Month],Salary_Calculation[[#This Row],[Source Row]])="","",INDEX(Rider_Input[Salary Month],Salary_Calculation[[#This Row],[Source Row]])))</f>
        <v>46235</v>
      </c>
      <c r="B16" s="162" t="n">
        <f aca="false">IF(Salary_Calculation[[#This Row],[Source Row]]="","",IF(INDEX(Rider_Input[Rider ID],Salary_Calculation[[#This Row],[Source Row]])="","",INDEX(Rider_Input[Rider ID],Salary_Calculation[[#This Row],[Source Row]])))</f>
        <v>4611383</v>
      </c>
      <c r="C16" s="163" t="str">
        <f aca="false">IF(Salary_Calculation[[#This Row],[Source Row]]="","",IF(INDEX(Rider_Input[Rider Name],Salary_Calculation[[#This Row],[Source Row]])="","",INDEX(Rider_Input[Rider Name],Salary_Calculation[[#This Row],[Source Row]])))</f>
        <v>Rider 4611383</v>
      </c>
      <c r="D16" s="164" t="n">
        <f aca="false">IF(Salary_Calculation[[#This Row],[Source Row]]="","",IF(INDEX(Rider_Input[Basic Payment],Salary_Calculation[[#This Row],[Source Row]])="","",INDEX(Rider_Input[Basic Payment],Salary_Calculation[[#This Row],[Source Row]])))</f>
        <v>2000</v>
      </c>
      <c r="E16" s="162" t="n">
        <f aca="false">IF(Salary_Calculation[[#This Row],[Source Row]]="","",IF(INDEX(Rider_Input[Calendar Days in Month],Salary_Calculation[[#This Row],[Source Row]])="","",INDEX(Rider_Input[Calendar Days in Month],Salary_Calculation[[#This Row],[Source Row]])))</f>
        <v>31</v>
      </c>
      <c r="F16" s="162" t="n">
        <f aca="false">IF(Salary_Calculation[[#This Row],[Source Row]]="","",IF(INDEX(Rider_Input[Working Days],Salary_Calculation[[#This Row],[Source Row]])="","",INDEX(Rider_Input[Working Days],Salary_Calculation[[#This Row],[Source Row]])))</f>
        <v>31</v>
      </c>
      <c r="G16" s="165" t="n">
        <f aca="false">IF(Salary_Calculation[[#This Row],[Source Row]]="","",Std_Orders/Std_Days*N(Salary_Calculation[[#This Row],[Calendar Days]]))</f>
        <v>465</v>
      </c>
      <c r="H16" s="165" t="n">
        <f aca="false">IF(Salary_Calculation[[#This Row],[Source Row]]="","",IF(N(Salary_Calculation[[#This Row],[Calendar Days]])&gt;0,Salary_Calculation[[#This Row],[Monthly Target Orders]]/N(Salary_Calculation[[#This Row],[Calendar Days]])*N(Salary_Calculation[[#This Row],[Working Days]]),0))</f>
        <v>465</v>
      </c>
      <c r="I16" s="166" t="n">
        <f aca="false">IF(Salary_Calculation[[#This Row],[Source Row]]="","",IF(INDEX(Rider_Input[Completed Orders],Salary_Calculation[[#This Row],[Source Row]])="","",INDEX(Rider_Input[Completed Orders],Salary_Calculation[[#This Row],[Source Row]])))</f>
        <v>476</v>
      </c>
      <c r="J16" s="165" t="n">
        <f aca="false">IF(Salary_Calculation[[#This Row],[Source Row]]="","",IF(Rate_Method="Fixed rate",Fixed_Rate,IF(N(Salary_Calculation[[#This Row],[Basic Payment]])&gt;0,N(Salary_Calculation[[#This Row],[Basic Payment]])/Std_Orders,0)))</f>
        <v>4.44444444444445</v>
      </c>
      <c r="K16" s="165" t="n">
        <f aca="false">IF(Salary_Calculation[[#This Row],[Source Row]]="","",MAX(MIN(N(Salary_Calculation[[#This Row],[Completed Orders]]),Salary_Calculation[[#This Row],[Rider Target Orders]]),0))</f>
        <v>465</v>
      </c>
      <c r="L16" s="164" t="n">
        <f aca="false">IF(Salary_Calculation[[#This Row],[Source Row]]="","",Salary_Calculation[[#This Row],[Orders Counted at Base Rate]]*Salary_Calculation[[#This Row],[Base Order Rate]])</f>
        <v>2066.66666666667</v>
      </c>
      <c r="M16" s="165" t="n">
        <f aca="false">IF(Salary_Calculation[[#This Row],[Source Row]]="","",MAX(Salary_Calculation[[#This Row],[Rider Target Orders]]-N(Salary_Calculation[[#This Row],[Completed Orders]]),0))</f>
        <v>0</v>
      </c>
      <c r="N16" s="164" t="n">
        <f aca="false">IF(Salary_Calculation[[#This Row],[Source Row]]="","",Salary_Calculation[[#This Row],[Missing Orders]]*Missing_Rate)</f>
        <v>0</v>
      </c>
      <c r="O16" s="165" t="n">
        <f aca="false">IF(Salary_Calculation[[#This Row],[Source Row]]="","",MAX(N(Salary_Calculation[[#This Row],[Completed Orders]])-Salary_Calculation[[#This Row],[Rider Target Orders]],0))</f>
        <v>11</v>
      </c>
      <c r="P16" s="164" t="n">
        <f aca="false">IF(Salary_Calculation[[#This Row],[Source Row]]="","",Salary_Calculation[[#This Row],[Extra Orders]]*Extra_Rate)</f>
        <v>110</v>
      </c>
      <c r="Q16" s="164" t="n">
        <f aca="false">IF(Salary_Calculation[[#This Row],[Source Row]]="","",MAX(Salary_Calculation[[#This Row],[Salary Before Other Deductions]],0))</f>
        <v>2176.66666666667</v>
      </c>
      <c r="R16" s="164" t="n">
        <f aca="false">IF(Salary_Calculation[[#This Row],[Source Row]]="","",N(INDEX(Rider_Input[missed_days_penalty],Salary_Calculation[[#This Row],[Source Row]])))</f>
        <v>0</v>
      </c>
      <c r="S16" s="164" t="n">
        <f aca="false">IF(Salary_Calculation[[#This Row],[Source Row]]="","",N(INDEX(Rider_Input[Rider Balance / محفظة المندوب],Salary_Calculation[[#This Row],[Source Row]])))</f>
        <v>240.4</v>
      </c>
      <c r="T16" s="164" t="n">
        <f aca="false">IF(Salary_Calculation[[#This Row],[Source Row]]="","",N(INDEX(Rider_Input[stacking_deduction / خصم الطلبات المتعددة],Salary_Calculation[[#This Row],[Source Row]])))</f>
        <v>88</v>
      </c>
      <c r="U16" s="164" t="n">
        <f aca="false">IF(Salary_Calculation[[#This Row],[Source Row]]="","",N(INDEX(Rider_Input[Other Deductions],Salary_Calculation[[#This Row],[Source Row]])))</f>
        <v>0</v>
      </c>
      <c r="V16" s="164" t="n">
        <f aca="false">IF(Salary_Calculation[[#This Row],[Source Row]]="","",N(Salary_Calculation[[#This Row],[missed_days_penalty]])+N(Salary_Calculation[[#This Row],[Rider Balance]])+N(Salary_Calculation[[#This Row],[stacking_deduction]])+N(Salary_Calculation[[#This Row],[Other Deductions]]))</f>
        <v>328.4</v>
      </c>
      <c r="W16" s="167" t="n">
        <f aca="false">IF(Salary_Calculation[[#This Row],[Source Row]]="","",ROUND(MAX(Salary_Calculation[[#This Row],[Gross Salary Before Deductions]]-Salary_Calculation[[#This Row],[Total Deductions]],0),2))</f>
        <v>1848.27</v>
      </c>
      <c r="X16" s="164" t="n">
        <f aca="false">IF(Salary_Calculation[[#This Row],[Source Row]]="","",ROUND(MAX(Salary_Calculation[[#This Row],[Missing-Order Deduction]]-Salary_Calculation[[#This Row],[Earned Salary]],0),2))</f>
        <v>0</v>
      </c>
      <c r="Y1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Paid After Deductions</v>
      </c>
      <c r="Z16" s="163" t="str">
        <f aca="false">IF(Salary_Calculation[[#This Row],[Source Row]]="","",IF(INDEX(Rider_Input[Notes],Salary_Calculation[[#This Row],[Source Row]])="","",INDEX(Rider_Input[Notes],Salary_Calculation[[#This Row],[Source Row]])))</f>
        <v/>
      </c>
      <c r="AA16" s="164" t="n">
        <f aca="false">IF(Salary_Calculation[[#This Row],[Source Row]]="","",Salary_Calculation[[#This Row],[Earned Salary]]-Salary_Calculation[[#This Row],[Missing-Order Deduction]]+Salary_Calculation[[#This Row],[Extra-Order Bonus]])</f>
        <v>2176.66666666667</v>
      </c>
      <c r="AB16" s="164" t="n">
        <f aca="false">IF(Salary_Calculation[[#This Row],[Source Row]]="","",ROUND(Salary_Calculation[[#This Row],[Negative Balance / Amount Due from Rider]]+MAX(Salary_Calculation[[#This Row],[Total Deductions]]-Salary_Calculation[[#This Row],[Gross Salary Before Deductions]],0),2))</f>
        <v>0</v>
      </c>
      <c r="AC1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6" s="164" t="n">
        <f aca="false">IF(Salary_Calculation[[#This Row],[Source Row]]="","",Salary_Calculation[[#This Row],[Rider Target Orders]]*Salary_Calculation[[#This Row],[Base Order Rate]])</f>
        <v>2066.66666666667</v>
      </c>
      <c r="AE16" s="162" t="n">
        <f aca="false">IF(SUMPRODUCT(--(LEN(INDEX(Rider_Input[#Data],ROW()-ROW(Salary_Calculation[#Headers]),0))&gt;0))=0,"",ROW()-ROW(Salary_Calculation[#Headers]))</f>
        <v>15</v>
      </c>
    </row>
    <row r="17" customFormat="false" ht="14.25" hidden="false" customHeight="false" outlineLevel="0" collapsed="false">
      <c r="A17" s="161" t="str">
        <f aca="false">IF(Salary_Calculation[[#This Row],[Source Row]]="","",IF(INDEX(Rider_Input[Salary Month],Salary_Calculation[[#This Row],[Source Row]])="","",INDEX(Rider_Input[Salary Month],Salary_Calculation[[#This Row],[Source Row]])))</f>
        <v/>
      </c>
      <c r="B17" s="162" t="str">
        <f aca="false">IF(Salary_Calculation[[#This Row],[Source Row]]="","",IF(INDEX(Rider_Input[Rider ID],Salary_Calculation[[#This Row],[Source Row]])="","",INDEX(Rider_Input[Rider ID],Salary_Calculation[[#This Row],[Source Row]])))</f>
        <v/>
      </c>
      <c r="C17" s="163" t="str">
        <f aca="false">IF(Salary_Calculation[[#This Row],[Source Row]]="","",IF(INDEX(Rider_Input[Rider Name],Salary_Calculation[[#This Row],[Source Row]])="","",INDEX(Rider_Input[Rider Name],Salary_Calculation[[#This Row],[Source Row]])))</f>
        <v/>
      </c>
      <c r="D17" s="164" t="str">
        <f aca="false">IF(Salary_Calculation[[#This Row],[Source Row]]="","",IF(INDEX(Rider_Input[Basic Payment],Salary_Calculation[[#This Row],[Source Row]])="","",INDEX(Rider_Input[Basic Payment],Salary_Calculation[[#This Row],[Source Row]])))</f>
        <v/>
      </c>
      <c r="E17" s="162" t="str">
        <f aca="false">IF(Salary_Calculation[[#This Row],[Source Row]]="","",IF(INDEX(Rider_Input[Calendar Days in Month],Salary_Calculation[[#This Row],[Source Row]])="","",INDEX(Rider_Input[Calendar Days in Month],Salary_Calculation[[#This Row],[Source Row]])))</f>
        <v/>
      </c>
      <c r="F17" s="162" t="str">
        <f aca="false">IF(Salary_Calculation[[#This Row],[Source Row]]="","",IF(INDEX(Rider_Input[Working Days],Salary_Calculation[[#This Row],[Source Row]])="","",INDEX(Rider_Input[Working Days],Salary_Calculation[[#This Row],[Source Row]])))</f>
        <v/>
      </c>
      <c r="G17" s="165" t="str">
        <f aca="false">IF(Salary_Calculation[[#This Row],[Source Row]]="","",Std_Orders/Std_Days*N(Salary_Calculation[[#This Row],[Calendar Days]]))</f>
        <v/>
      </c>
      <c r="H17" s="165" t="str">
        <f aca="false">IF(Salary_Calculation[[#This Row],[Source Row]]="","",IF(N(Salary_Calculation[[#This Row],[Calendar Days]])&gt;0,Salary_Calculation[[#This Row],[Monthly Target Orders]]/N(Salary_Calculation[[#This Row],[Calendar Days]])*N(Salary_Calculation[[#This Row],[Working Days]]),0))</f>
        <v/>
      </c>
      <c r="I17" s="166" t="str">
        <f aca="false">IF(Salary_Calculation[[#This Row],[Source Row]]="","",IF(INDEX(Rider_Input[Completed Orders],Salary_Calculation[[#This Row],[Source Row]])="","",INDEX(Rider_Input[Completed Orders],Salary_Calculation[[#This Row],[Source Row]])))</f>
        <v/>
      </c>
      <c r="J17" s="165" t="str">
        <f aca="false">IF(Salary_Calculation[[#This Row],[Source Row]]="","",IF(Rate_Method="Fixed rate",Fixed_Rate,IF(N(Salary_Calculation[[#This Row],[Basic Payment]])&gt;0,N(Salary_Calculation[[#This Row],[Basic Payment]])/Std_Orders,0)))</f>
        <v/>
      </c>
      <c r="K17" s="165" t="str">
        <f aca="false">IF(Salary_Calculation[[#This Row],[Source Row]]="","",MAX(MIN(N(Salary_Calculation[[#This Row],[Completed Orders]]),Salary_Calculation[[#This Row],[Rider Target Orders]]),0))</f>
        <v/>
      </c>
      <c r="L17" s="164" t="str">
        <f aca="false">IF(Salary_Calculation[[#This Row],[Source Row]]="","",Salary_Calculation[[#This Row],[Orders Counted at Base Rate]]*Salary_Calculation[[#This Row],[Base Order Rate]])</f>
        <v/>
      </c>
      <c r="M17" s="165" t="str">
        <f aca="false">IF(Salary_Calculation[[#This Row],[Source Row]]="","",MAX(Salary_Calculation[[#This Row],[Rider Target Orders]]-N(Salary_Calculation[[#This Row],[Completed Orders]]),0))</f>
        <v/>
      </c>
      <c r="N17" s="164" t="str">
        <f aca="false">IF(Salary_Calculation[[#This Row],[Source Row]]="","",Salary_Calculation[[#This Row],[Missing Orders]]*Missing_Rate)</f>
        <v/>
      </c>
      <c r="O17" s="165" t="str">
        <f aca="false">IF(Salary_Calculation[[#This Row],[Source Row]]="","",MAX(N(Salary_Calculation[[#This Row],[Completed Orders]])-Salary_Calculation[[#This Row],[Rider Target Orders]],0))</f>
        <v/>
      </c>
      <c r="P17" s="164" t="str">
        <f aca="false">IF(Salary_Calculation[[#This Row],[Source Row]]="","",Salary_Calculation[[#This Row],[Extra Orders]]*Extra_Rate)</f>
        <v/>
      </c>
      <c r="Q17" s="164" t="str">
        <f aca="false">IF(Salary_Calculation[[#This Row],[Source Row]]="","",MAX(Salary_Calculation[[#This Row],[Salary Before Other Deductions]],0))</f>
        <v/>
      </c>
      <c r="R17" s="164" t="str">
        <f aca="false">IF(Salary_Calculation[[#This Row],[Source Row]]="","",N(INDEX(Rider_Input[missed_days_penalty],Salary_Calculation[[#This Row],[Source Row]])))</f>
        <v/>
      </c>
      <c r="S17" s="164" t="str">
        <f aca="false">IF(Salary_Calculation[[#This Row],[Source Row]]="","",N(INDEX(Rider_Input[Rider Balance / محفظة المندوب],Salary_Calculation[[#This Row],[Source Row]])))</f>
        <v/>
      </c>
      <c r="T17" s="164" t="str">
        <f aca="false">IF(Salary_Calculation[[#This Row],[Source Row]]="","",N(INDEX(Rider_Input[stacking_deduction / خصم الطلبات المتعددة],Salary_Calculation[[#This Row],[Source Row]])))</f>
        <v/>
      </c>
      <c r="U17" s="164" t="str">
        <f aca="false">IF(Salary_Calculation[[#This Row],[Source Row]]="","",N(INDEX(Rider_Input[Other Deductions],Salary_Calculation[[#This Row],[Source Row]])))</f>
        <v/>
      </c>
      <c r="V17" s="164" t="str">
        <f aca="false">IF(Salary_Calculation[[#This Row],[Source Row]]="","",N(Salary_Calculation[[#This Row],[missed_days_penalty]])+N(Salary_Calculation[[#This Row],[Rider Balance]])+N(Salary_Calculation[[#This Row],[stacking_deduction]])+N(Salary_Calculation[[#This Row],[Other Deductions]]))</f>
        <v/>
      </c>
      <c r="W17" s="167" t="str">
        <f aca="false">IF(Salary_Calculation[[#This Row],[Source Row]]="","",ROUND(MAX(Salary_Calculation[[#This Row],[Gross Salary Before Deductions]]-Salary_Calculation[[#This Row],[Total Deductions]],0),2))</f>
        <v/>
      </c>
      <c r="X17" s="164" t="str">
        <f aca="false">IF(Salary_Calculation[[#This Row],[Source Row]]="","",ROUND(MAX(Salary_Calculation[[#This Row],[Missing-Order Deduction]]-Salary_Calculation[[#This Row],[Earned Salary]],0),2))</f>
        <v/>
      </c>
      <c r="Y1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7" s="163" t="str">
        <f aca="false">IF(Salary_Calculation[[#This Row],[Source Row]]="","",IF(INDEX(Rider_Input[Notes],Salary_Calculation[[#This Row],[Source Row]])="","",INDEX(Rider_Input[Notes],Salary_Calculation[[#This Row],[Source Row]])))</f>
        <v/>
      </c>
      <c r="AA17" s="164" t="str">
        <f aca="false">IF(Salary_Calculation[[#This Row],[Source Row]]="","",Salary_Calculation[[#This Row],[Earned Salary]]-Salary_Calculation[[#This Row],[Missing-Order Deduction]]+Salary_Calculation[[#This Row],[Extra-Order Bonus]])</f>
        <v/>
      </c>
      <c r="AB17" s="164" t="str">
        <f aca="false">IF(Salary_Calculation[[#This Row],[Source Row]]="","",ROUND(Salary_Calculation[[#This Row],[Negative Balance / Amount Due from Rider]]+MAX(Salary_Calculation[[#This Row],[Total Deductions]]-Salary_Calculation[[#This Row],[Gross Salary Before Deductions]],0),2))</f>
        <v/>
      </c>
      <c r="AC1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7" s="164" t="str">
        <f aca="false">IF(Salary_Calculation[[#This Row],[Source Row]]="","",Salary_Calculation[[#This Row],[Rider Target Orders]]*Salary_Calculation[[#This Row],[Base Order Rate]])</f>
        <v/>
      </c>
      <c r="AE17" s="162" t="str">
        <f aca="false">IF(SUMPRODUCT(--(LEN(INDEX(Rider_Input[#Data],ROW()-ROW(Salary_Calculation[#Headers]),0))&gt;0))=0,"",ROW()-ROW(Salary_Calculation[#Headers]))</f>
        <v/>
      </c>
    </row>
    <row r="18" customFormat="false" ht="14.25" hidden="false" customHeight="false" outlineLevel="0" collapsed="false">
      <c r="A18" s="161" t="str">
        <f aca="false">IF(Salary_Calculation[[#This Row],[Source Row]]="","",IF(INDEX(Rider_Input[Salary Month],Salary_Calculation[[#This Row],[Source Row]])="","",INDEX(Rider_Input[Salary Month],Salary_Calculation[[#This Row],[Source Row]])))</f>
        <v/>
      </c>
      <c r="B18" s="162" t="str">
        <f aca="false">IF(Salary_Calculation[[#This Row],[Source Row]]="","",IF(INDEX(Rider_Input[Rider ID],Salary_Calculation[[#This Row],[Source Row]])="","",INDEX(Rider_Input[Rider ID],Salary_Calculation[[#This Row],[Source Row]])))</f>
        <v/>
      </c>
      <c r="C18" s="163" t="str">
        <f aca="false">IF(Salary_Calculation[[#This Row],[Source Row]]="","",IF(INDEX(Rider_Input[Rider Name],Salary_Calculation[[#This Row],[Source Row]])="","",INDEX(Rider_Input[Rider Name],Salary_Calculation[[#This Row],[Source Row]])))</f>
        <v/>
      </c>
      <c r="D18" s="164" t="str">
        <f aca="false">IF(Salary_Calculation[[#This Row],[Source Row]]="","",IF(INDEX(Rider_Input[Basic Payment],Salary_Calculation[[#This Row],[Source Row]])="","",INDEX(Rider_Input[Basic Payment],Salary_Calculation[[#This Row],[Source Row]])))</f>
        <v/>
      </c>
      <c r="E18" s="162" t="str">
        <f aca="false">IF(Salary_Calculation[[#This Row],[Source Row]]="","",IF(INDEX(Rider_Input[Calendar Days in Month],Salary_Calculation[[#This Row],[Source Row]])="","",INDEX(Rider_Input[Calendar Days in Month],Salary_Calculation[[#This Row],[Source Row]])))</f>
        <v/>
      </c>
      <c r="F18" s="162" t="str">
        <f aca="false">IF(Salary_Calculation[[#This Row],[Source Row]]="","",IF(INDEX(Rider_Input[Working Days],Salary_Calculation[[#This Row],[Source Row]])="","",INDEX(Rider_Input[Working Days],Salary_Calculation[[#This Row],[Source Row]])))</f>
        <v/>
      </c>
      <c r="G18" s="165" t="str">
        <f aca="false">IF(Salary_Calculation[[#This Row],[Source Row]]="","",Std_Orders/Std_Days*N(Salary_Calculation[[#This Row],[Calendar Days]]))</f>
        <v/>
      </c>
      <c r="H18" s="165" t="str">
        <f aca="false">IF(Salary_Calculation[[#This Row],[Source Row]]="","",IF(N(Salary_Calculation[[#This Row],[Calendar Days]])&gt;0,Salary_Calculation[[#This Row],[Monthly Target Orders]]/N(Salary_Calculation[[#This Row],[Calendar Days]])*N(Salary_Calculation[[#This Row],[Working Days]]),0))</f>
        <v/>
      </c>
      <c r="I18" s="166" t="str">
        <f aca="false">IF(Salary_Calculation[[#This Row],[Source Row]]="","",IF(INDEX(Rider_Input[Completed Orders],Salary_Calculation[[#This Row],[Source Row]])="","",INDEX(Rider_Input[Completed Orders],Salary_Calculation[[#This Row],[Source Row]])))</f>
        <v/>
      </c>
      <c r="J18" s="165" t="str">
        <f aca="false">IF(Salary_Calculation[[#This Row],[Source Row]]="","",IF(Rate_Method="Fixed rate",Fixed_Rate,IF(N(Salary_Calculation[[#This Row],[Basic Payment]])&gt;0,N(Salary_Calculation[[#This Row],[Basic Payment]])/Std_Orders,0)))</f>
        <v/>
      </c>
      <c r="K18" s="165" t="str">
        <f aca="false">IF(Salary_Calculation[[#This Row],[Source Row]]="","",MAX(MIN(N(Salary_Calculation[[#This Row],[Completed Orders]]),Salary_Calculation[[#This Row],[Rider Target Orders]]),0))</f>
        <v/>
      </c>
      <c r="L18" s="164" t="str">
        <f aca="false">IF(Salary_Calculation[[#This Row],[Source Row]]="","",Salary_Calculation[[#This Row],[Orders Counted at Base Rate]]*Salary_Calculation[[#This Row],[Base Order Rate]])</f>
        <v/>
      </c>
      <c r="M18" s="165" t="str">
        <f aca="false">IF(Salary_Calculation[[#This Row],[Source Row]]="","",MAX(Salary_Calculation[[#This Row],[Rider Target Orders]]-N(Salary_Calculation[[#This Row],[Completed Orders]]),0))</f>
        <v/>
      </c>
      <c r="N18" s="164" t="str">
        <f aca="false">IF(Salary_Calculation[[#This Row],[Source Row]]="","",Salary_Calculation[[#This Row],[Missing Orders]]*Missing_Rate)</f>
        <v/>
      </c>
      <c r="O18" s="165" t="str">
        <f aca="false">IF(Salary_Calculation[[#This Row],[Source Row]]="","",MAX(N(Salary_Calculation[[#This Row],[Completed Orders]])-Salary_Calculation[[#This Row],[Rider Target Orders]],0))</f>
        <v/>
      </c>
      <c r="P18" s="164" t="str">
        <f aca="false">IF(Salary_Calculation[[#This Row],[Source Row]]="","",Salary_Calculation[[#This Row],[Extra Orders]]*Extra_Rate)</f>
        <v/>
      </c>
      <c r="Q18" s="164" t="str">
        <f aca="false">IF(Salary_Calculation[[#This Row],[Source Row]]="","",MAX(Salary_Calculation[[#This Row],[Salary Before Other Deductions]],0))</f>
        <v/>
      </c>
      <c r="R18" s="164" t="str">
        <f aca="false">IF(Salary_Calculation[[#This Row],[Source Row]]="","",N(INDEX(Rider_Input[missed_days_penalty],Salary_Calculation[[#This Row],[Source Row]])))</f>
        <v/>
      </c>
      <c r="S18" s="164" t="str">
        <f aca="false">IF(Salary_Calculation[[#This Row],[Source Row]]="","",N(INDEX(Rider_Input[Rider Balance / محفظة المندوب],Salary_Calculation[[#This Row],[Source Row]])))</f>
        <v/>
      </c>
      <c r="T18" s="164" t="str">
        <f aca="false">IF(Salary_Calculation[[#This Row],[Source Row]]="","",N(INDEX(Rider_Input[stacking_deduction / خصم الطلبات المتعددة],Salary_Calculation[[#This Row],[Source Row]])))</f>
        <v/>
      </c>
      <c r="U18" s="164" t="str">
        <f aca="false">IF(Salary_Calculation[[#This Row],[Source Row]]="","",N(INDEX(Rider_Input[Other Deductions],Salary_Calculation[[#This Row],[Source Row]])))</f>
        <v/>
      </c>
      <c r="V18" s="164" t="str">
        <f aca="false">IF(Salary_Calculation[[#This Row],[Source Row]]="","",N(Salary_Calculation[[#This Row],[missed_days_penalty]])+N(Salary_Calculation[[#This Row],[Rider Balance]])+N(Salary_Calculation[[#This Row],[stacking_deduction]])+N(Salary_Calculation[[#This Row],[Other Deductions]]))</f>
        <v/>
      </c>
      <c r="W18" s="167" t="str">
        <f aca="false">IF(Salary_Calculation[[#This Row],[Source Row]]="","",ROUND(MAX(Salary_Calculation[[#This Row],[Gross Salary Before Deductions]]-Salary_Calculation[[#This Row],[Total Deductions]],0),2))</f>
        <v/>
      </c>
      <c r="X18" s="164" t="str">
        <f aca="false">IF(Salary_Calculation[[#This Row],[Source Row]]="","",ROUND(MAX(Salary_Calculation[[#This Row],[Missing-Order Deduction]]-Salary_Calculation[[#This Row],[Earned Salary]],0),2))</f>
        <v/>
      </c>
      <c r="Y1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8" s="163" t="str">
        <f aca="false">IF(Salary_Calculation[[#This Row],[Source Row]]="","",IF(INDEX(Rider_Input[Notes],Salary_Calculation[[#This Row],[Source Row]])="","",INDEX(Rider_Input[Notes],Salary_Calculation[[#This Row],[Source Row]])))</f>
        <v/>
      </c>
      <c r="AA18" s="164" t="str">
        <f aca="false">IF(Salary_Calculation[[#This Row],[Source Row]]="","",Salary_Calculation[[#This Row],[Earned Salary]]-Salary_Calculation[[#This Row],[Missing-Order Deduction]]+Salary_Calculation[[#This Row],[Extra-Order Bonus]])</f>
        <v/>
      </c>
      <c r="AB18" s="164" t="str">
        <f aca="false">IF(Salary_Calculation[[#This Row],[Source Row]]="","",ROUND(Salary_Calculation[[#This Row],[Negative Balance / Amount Due from Rider]]+MAX(Salary_Calculation[[#This Row],[Total Deductions]]-Salary_Calculation[[#This Row],[Gross Salary Before Deductions]],0),2))</f>
        <v/>
      </c>
      <c r="AC1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8" s="164" t="str">
        <f aca="false">IF(Salary_Calculation[[#This Row],[Source Row]]="","",Salary_Calculation[[#This Row],[Rider Target Orders]]*Salary_Calculation[[#This Row],[Base Order Rate]])</f>
        <v/>
      </c>
      <c r="AE18" s="162" t="str">
        <f aca="false">IF(SUMPRODUCT(--(LEN(INDEX(Rider_Input[#Data],ROW()-ROW(Salary_Calculation[#Headers]),0))&gt;0))=0,"",ROW()-ROW(Salary_Calculation[#Headers]))</f>
        <v/>
      </c>
    </row>
    <row r="19" customFormat="false" ht="14.25" hidden="false" customHeight="false" outlineLevel="0" collapsed="false">
      <c r="A19" s="161" t="str">
        <f aca="false">IF(Salary_Calculation[[#This Row],[Source Row]]="","",IF(INDEX(Rider_Input[Salary Month],Salary_Calculation[[#This Row],[Source Row]])="","",INDEX(Rider_Input[Salary Month],Salary_Calculation[[#This Row],[Source Row]])))</f>
        <v/>
      </c>
      <c r="B19" s="162" t="str">
        <f aca="false">IF(Salary_Calculation[[#This Row],[Source Row]]="","",IF(INDEX(Rider_Input[Rider ID],Salary_Calculation[[#This Row],[Source Row]])="","",INDEX(Rider_Input[Rider ID],Salary_Calculation[[#This Row],[Source Row]])))</f>
        <v/>
      </c>
      <c r="C19" s="163" t="str">
        <f aca="false">IF(Salary_Calculation[[#This Row],[Source Row]]="","",IF(INDEX(Rider_Input[Rider Name],Salary_Calculation[[#This Row],[Source Row]])="","",INDEX(Rider_Input[Rider Name],Salary_Calculation[[#This Row],[Source Row]])))</f>
        <v/>
      </c>
      <c r="D19" s="164" t="str">
        <f aca="false">IF(Salary_Calculation[[#This Row],[Source Row]]="","",IF(INDEX(Rider_Input[Basic Payment],Salary_Calculation[[#This Row],[Source Row]])="","",INDEX(Rider_Input[Basic Payment],Salary_Calculation[[#This Row],[Source Row]])))</f>
        <v/>
      </c>
      <c r="E19" s="162" t="str">
        <f aca="false">IF(Salary_Calculation[[#This Row],[Source Row]]="","",IF(INDEX(Rider_Input[Calendar Days in Month],Salary_Calculation[[#This Row],[Source Row]])="","",INDEX(Rider_Input[Calendar Days in Month],Salary_Calculation[[#This Row],[Source Row]])))</f>
        <v/>
      </c>
      <c r="F19" s="162" t="str">
        <f aca="false">IF(Salary_Calculation[[#This Row],[Source Row]]="","",IF(INDEX(Rider_Input[Working Days],Salary_Calculation[[#This Row],[Source Row]])="","",INDEX(Rider_Input[Working Days],Salary_Calculation[[#This Row],[Source Row]])))</f>
        <v/>
      </c>
      <c r="G19" s="165" t="str">
        <f aca="false">IF(Salary_Calculation[[#This Row],[Source Row]]="","",Std_Orders/Std_Days*N(Salary_Calculation[[#This Row],[Calendar Days]]))</f>
        <v/>
      </c>
      <c r="H19" s="165" t="str">
        <f aca="false">IF(Salary_Calculation[[#This Row],[Source Row]]="","",IF(N(Salary_Calculation[[#This Row],[Calendar Days]])&gt;0,Salary_Calculation[[#This Row],[Monthly Target Orders]]/N(Salary_Calculation[[#This Row],[Calendar Days]])*N(Salary_Calculation[[#This Row],[Working Days]]),0))</f>
        <v/>
      </c>
      <c r="I19" s="166" t="str">
        <f aca="false">IF(Salary_Calculation[[#This Row],[Source Row]]="","",IF(INDEX(Rider_Input[Completed Orders],Salary_Calculation[[#This Row],[Source Row]])="","",INDEX(Rider_Input[Completed Orders],Salary_Calculation[[#This Row],[Source Row]])))</f>
        <v/>
      </c>
      <c r="J19" s="165" t="str">
        <f aca="false">IF(Salary_Calculation[[#This Row],[Source Row]]="","",IF(Rate_Method="Fixed rate",Fixed_Rate,IF(N(Salary_Calculation[[#This Row],[Basic Payment]])&gt;0,N(Salary_Calculation[[#This Row],[Basic Payment]])/Std_Orders,0)))</f>
        <v/>
      </c>
      <c r="K19" s="165" t="str">
        <f aca="false">IF(Salary_Calculation[[#This Row],[Source Row]]="","",MAX(MIN(N(Salary_Calculation[[#This Row],[Completed Orders]]),Salary_Calculation[[#This Row],[Rider Target Orders]]),0))</f>
        <v/>
      </c>
      <c r="L19" s="164" t="str">
        <f aca="false">IF(Salary_Calculation[[#This Row],[Source Row]]="","",Salary_Calculation[[#This Row],[Orders Counted at Base Rate]]*Salary_Calculation[[#This Row],[Base Order Rate]])</f>
        <v/>
      </c>
      <c r="M19" s="165" t="str">
        <f aca="false">IF(Salary_Calculation[[#This Row],[Source Row]]="","",MAX(Salary_Calculation[[#This Row],[Rider Target Orders]]-N(Salary_Calculation[[#This Row],[Completed Orders]]),0))</f>
        <v/>
      </c>
      <c r="N19" s="164" t="str">
        <f aca="false">IF(Salary_Calculation[[#This Row],[Source Row]]="","",Salary_Calculation[[#This Row],[Missing Orders]]*Missing_Rate)</f>
        <v/>
      </c>
      <c r="O19" s="165" t="str">
        <f aca="false">IF(Salary_Calculation[[#This Row],[Source Row]]="","",MAX(N(Salary_Calculation[[#This Row],[Completed Orders]])-Salary_Calculation[[#This Row],[Rider Target Orders]],0))</f>
        <v/>
      </c>
      <c r="P19" s="164" t="str">
        <f aca="false">IF(Salary_Calculation[[#This Row],[Source Row]]="","",Salary_Calculation[[#This Row],[Extra Orders]]*Extra_Rate)</f>
        <v/>
      </c>
      <c r="Q19" s="164" t="str">
        <f aca="false">IF(Salary_Calculation[[#This Row],[Source Row]]="","",MAX(Salary_Calculation[[#This Row],[Salary Before Other Deductions]],0))</f>
        <v/>
      </c>
      <c r="R19" s="164" t="str">
        <f aca="false">IF(Salary_Calculation[[#This Row],[Source Row]]="","",N(INDEX(Rider_Input[missed_days_penalty],Salary_Calculation[[#This Row],[Source Row]])))</f>
        <v/>
      </c>
      <c r="S19" s="164" t="str">
        <f aca="false">IF(Salary_Calculation[[#This Row],[Source Row]]="","",N(INDEX(Rider_Input[Rider Balance / محفظة المندوب],Salary_Calculation[[#This Row],[Source Row]])))</f>
        <v/>
      </c>
      <c r="T19" s="164" t="str">
        <f aca="false">IF(Salary_Calculation[[#This Row],[Source Row]]="","",N(INDEX(Rider_Input[stacking_deduction / خصم الطلبات المتعددة],Salary_Calculation[[#This Row],[Source Row]])))</f>
        <v/>
      </c>
      <c r="U19" s="164" t="str">
        <f aca="false">IF(Salary_Calculation[[#This Row],[Source Row]]="","",N(INDEX(Rider_Input[Other Deductions],Salary_Calculation[[#This Row],[Source Row]])))</f>
        <v/>
      </c>
      <c r="V19" s="164" t="str">
        <f aca="false">IF(Salary_Calculation[[#This Row],[Source Row]]="","",N(Salary_Calculation[[#This Row],[missed_days_penalty]])+N(Salary_Calculation[[#This Row],[Rider Balance]])+N(Salary_Calculation[[#This Row],[stacking_deduction]])+N(Salary_Calculation[[#This Row],[Other Deductions]]))</f>
        <v/>
      </c>
      <c r="W19" s="167" t="str">
        <f aca="false">IF(Salary_Calculation[[#This Row],[Source Row]]="","",ROUND(MAX(Salary_Calculation[[#This Row],[Gross Salary Before Deductions]]-Salary_Calculation[[#This Row],[Total Deductions]],0),2))</f>
        <v/>
      </c>
      <c r="X19" s="164" t="str">
        <f aca="false">IF(Salary_Calculation[[#This Row],[Source Row]]="","",ROUND(MAX(Salary_Calculation[[#This Row],[Missing-Order Deduction]]-Salary_Calculation[[#This Row],[Earned Salary]],0),2))</f>
        <v/>
      </c>
      <c r="Y1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9" s="163" t="str">
        <f aca="false">IF(Salary_Calculation[[#This Row],[Source Row]]="","",IF(INDEX(Rider_Input[Notes],Salary_Calculation[[#This Row],[Source Row]])="","",INDEX(Rider_Input[Notes],Salary_Calculation[[#This Row],[Source Row]])))</f>
        <v/>
      </c>
      <c r="AA19" s="164" t="str">
        <f aca="false">IF(Salary_Calculation[[#This Row],[Source Row]]="","",Salary_Calculation[[#This Row],[Earned Salary]]-Salary_Calculation[[#This Row],[Missing-Order Deduction]]+Salary_Calculation[[#This Row],[Extra-Order Bonus]])</f>
        <v/>
      </c>
      <c r="AB19" s="164" t="str">
        <f aca="false">IF(Salary_Calculation[[#This Row],[Source Row]]="","",ROUND(Salary_Calculation[[#This Row],[Negative Balance / Amount Due from Rider]]+MAX(Salary_Calculation[[#This Row],[Total Deductions]]-Salary_Calculation[[#This Row],[Gross Salary Before Deductions]],0),2))</f>
        <v/>
      </c>
      <c r="AC1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9" s="164" t="str">
        <f aca="false">IF(Salary_Calculation[[#This Row],[Source Row]]="","",Salary_Calculation[[#This Row],[Rider Target Orders]]*Salary_Calculation[[#This Row],[Base Order Rate]])</f>
        <v/>
      </c>
      <c r="AE19" s="162" t="str">
        <f aca="false">IF(SUMPRODUCT(--(LEN(INDEX(Rider_Input[#Data],ROW()-ROW(Salary_Calculation[#Headers]),0))&gt;0))=0,"",ROW()-ROW(Salary_Calculation[#Headers]))</f>
        <v/>
      </c>
    </row>
    <row r="20" customFormat="false" ht="14.25" hidden="false" customHeight="false" outlineLevel="0" collapsed="false">
      <c r="A20" s="161" t="str">
        <f aca="false">IF(Salary_Calculation[[#This Row],[Source Row]]="","",IF(INDEX(Rider_Input[Salary Month],Salary_Calculation[[#This Row],[Source Row]])="","",INDEX(Rider_Input[Salary Month],Salary_Calculation[[#This Row],[Source Row]])))</f>
        <v/>
      </c>
      <c r="B20" s="162" t="str">
        <f aca="false">IF(Salary_Calculation[[#This Row],[Source Row]]="","",IF(INDEX(Rider_Input[Rider ID],Salary_Calculation[[#This Row],[Source Row]])="","",INDEX(Rider_Input[Rider ID],Salary_Calculation[[#This Row],[Source Row]])))</f>
        <v/>
      </c>
      <c r="C20" s="163" t="str">
        <f aca="false">IF(Salary_Calculation[[#This Row],[Source Row]]="","",IF(INDEX(Rider_Input[Rider Name],Salary_Calculation[[#This Row],[Source Row]])="","",INDEX(Rider_Input[Rider Name],Salary_Calculation[[#This Row],[Source Row]])))</f>
        <v/>
      </c>
      <c r="D20" s="164" t="str">
        <f aca="false">IF(Salary_Calculation[[#This Row],[Source Row]]="","",IF(INDEX(Rider_Input[Basic Payment],Salary_Calculation[[#This Row],[Source Row]])="","",INDEX(Rider_Input[Basic Payment],Salary_Calculation[[#This Row],[Source Row]])))</f>
        <v/>
      </c>
      <c r="E20" s="162" t="str">
        <f aca="false">IF(Salary_Calculation[[#This Row],[Source Row]]="","",IF(INDEX(Rider_Input[Calendar Days in Month],Salary_Calculation[[#This Row],[Source Row]])="","",INDEX(Rider_Input[Calendar Days in Month],Salary_Calculation[[#This Row],[Source Row]])))</f>
        <v/>
      </c>
      <c r="F20" s="162" t="str">
        <f aca="false">IF(Salary_Calculation[[#This Row],[Source Row]]="","",IF(INDEX(Rider_Input[Working Days],Salary_Calculation[[#This Row],[Source Row]])="","",INDEX(Rider_Input[Working Days],Salary_Calculation[[#This Row],[Source Row]])))</f>
        <v/>
      </c>
      <c r="G20" s="165" t="str">
        <f aca="false">IF(Salary_Calculation[[#This Row],[Source Row]]="","",Std_Orders/Std_Days*N(Salary_Calculation[[#This Row],[Calendar Days]]))</f>
        <v/>
      </c>
      <c r="H20" s="165" t="str">
        <f aca="false">IF(Salary_Calculation[[#This Row],[Source Row]]="","",IF(N(Salary_Calculation[[#This Row],[Calendar Days]])&gt;0,Salary_Calculation[[#This Row],[Monthly Target Orders]]/N(Salary_Calculation[[#This Row],[Calendar Days]])*N(Salary_Calculation[[#This Row],[Working Days]]),0))</f>
        <v/>
      </c>
      <c r="I20" s="166" t="str">
        <f aca="false">IF(Salary_Calculation[[#This Row],[Source Row]]="","",IF(INDEX(Rider_Input[Completed Orders],Salary_Calculation[[#This Row],[Source Row]])="","",INDEX(Rider_Input[Completed Orders],Salary_Calculation[[#This Row],[Source Row]])))</f>
        <v/>
      </c>
      <c r="J20" s="165" t="str">
        <f aca="false">IF(Salary_Calculation[[#This Row],[Source Row]]="","",IF(Rate_Method="Fixed rate",Fixed_Rate,IF(N(Salary_Calculation[[#This Row],[Basic Payment]])&gt;0,N(Salary_Calculation[[#This Row],[Basic Payment]])/Std_Orders,0)))</f>
        <v/>
      </c>
      <c r="K20" s="165" t="str">
        <f aca="false">IF(Salary_Calculation[[#This Row],[Source Row]]="","",MAX(MIN(N(Salary_Calculation[[#This Row],[Completed Orders]]),Salary_Calculation[[#This Row],[Rider Target Orders]]),0))</f>
        <v/>
      </c>
      <c r="L20" s="164" t="str">
        <f aca="false">IF(Salary_Calculation[[#This Row],[Source Row]]="","",Salary_Calculation[[#This Row],[Orders Counted at Base Rate]]*Salary_Calculation[[#This Row],[Base Order Rate]])</f>
        <v/>
      </c>
      <c r="M20" s="165" t="str">
        <f aca="false">IF(Salary_Calculation[[#This Row],[Source Row]]="","",MAX(Salary_Calculation[[#This Row],[Rider Target Orders]]-N(Salary_Calculation[[#This Row],[Completed Orders]]),0))</f>
        <v/>
      </c>
      <c r="N20" s="164" t="str">
        <f aca="false">IF(Salary_Calculation[[#This Row],[Source Row]]="","",Salary_Calculation[[#This Row],[Missing Orders]]*Missing_Rate)</f>
        <v/>
      </c>
      <c r="O20" s="165" t="str">
        <f aca="false">IF(Salary_Calculation[[#This Row],[Source Row]]="","",MAX(N(Salary_Calculation[[#This Row],[Completed Orders]])-Salary_Calculation[[#This Row],[Rider Target Orders]],0))</f>
        <v/>
      </c>
      <c r="P20" s="164" t="str">
        <f aca="false">IF(Salary_Calculation[[#This Row],[Source Row]]="","",Salary_Calculation[[#This Row],[Extra Orders]]*Extra_Rate)</f>
        <v/>
      </c>
      <c r="Q20" s="164" t="str">
        <f aca="false">IF(Salary_Calculation[[#This Row],[Source Row]]="","",MAX(Salary_Calculation[[#This Row],[Salary Before Other Deductions]],0))</f>
        <v/>
      </c>
      <c r="R20" s="164" t="str">
        <f aca="false">IF(Salary_Calculation[[#This Row],[Source Row]]="","",N(INDEX(Rider_Input[missed_days_penalty],Salary_Calculation[[#This Row],[Source Row]])))</f>
        <v/>
      </c>
      <c r="S20" s="164" t="str">
        <f aca="false">IF(Salary_Calculation[[#This Row],[Source Row]]="","",N(INDEX(Rider_Input[Rider Balance / محفظة المندوب],Salary_Calculation[[#This Row],[Source Row]])))</f>
        <v/>
      </c>
      <c r="T20" s="164" t="str">
        <f aca="false">IF(Salary_Calculation[[#This Row],[Source Row]]="","",N(INDEX(Rider_Input[stacking_deduction / خصم الطلبات المتعددة],Salary_Calculation[[#This Row],[Source Row]])))</f>
        <v/>
      </c>
      <c r="U20" s="164" t="str">
        <f aca="false">IF(Salary_Calculation[[#This Row],[Source Row]]="","",N(INDEX(Rider_Input[Other Deductions],Salary_Calculation[[#This Row],[Source Row]])))</f>
        <v/>
      </c>
      <c r="V20" s="164" t="str">
        <f aca="false">IF(Salary_Calculation[[#This Row],[Source Row]]="","",N(Salary_Calculation[[#This Row],[missed_days_penalty]])+N(Salary_Calculation[[#This Row],[Rider Balance]])+N(Salary_Calculation[[#This Row],[stacking_deduction]])+N(Salary_Calculation[[#This Row],[Other Deductions]]))</f>
        <v/>
      </c>
      <c r="W20" s="167" t="str">
        <f aca="false">IF(Salary_Calculation[[#This Row],[Source Row]]="","",ROUND(MAX(Salary_Calculation[[#This Row],[Gross Salary Before Deductions]]-Salary_Calculation[[#This Row],[Total Deductions]],0),2))</f>
        <v/>
      </c>
      <c r="X20" s="164" t="str">
        <f aca="false">IF(Salary_Calculation[[#This Row],[Source Row]]="","",ROUND(MAX(Salary_Calculation[[#This Row],[Missing-Order Deduction]]-Salary_Calculation[[#This Row],[Earned Salary]],0),2))</f>
        <v/>
      </c>
      <c r="Y2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0" s="163" t="str">
        <f aca="false">IF(Salary_Calculation[[#This Row],[Source Row]]="","",IF(INDEX(Rider_Input[Notes],Salary_Calculation[[#This Row],[Source Row]])="","",INDEX(Rider_Input[Notes],Salary_Calculation[[#This Row],[Source Row]])))</f>
        <v/>
      </c>
      <c r="AA20" s="164" t="str">
        <f aca="false">IF(Salary_Calculation[[#This Row],[Source Row]]="","",Salary_Calculation[[#This Row],[Earned Salary]]-Salary_Calculation[[#This Row],[Missing-Order Deduction]]+Salary_Calculation[[#This Row],[Extra-Order Bonus]])</f>
        <v/>
      </c>
      <c r="AB20" s="164" t="str">
        <f aca="false">IF(Salary_Calculation[[#This Row],[Source Row]]="","",ROUND(Salary_Calculation[[#This Row],[Negative Balance / Amount Due from Rider]]+MAX(Salary_Calculation[[#This Row],[Total Deductions]]-Salary_Calculation[[#This Row],[Gross Salary Before Deductions]],0),2))</f>
        <v/>
      </c>
      <c r="AC2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0" s="164" t="str">
        <f aca="false">IF(Salary_Calculation[[#This Row],[Source Row]]="","",Salary_Calculation[[#This Row],[Rider Target Orders]]*Salary_Calculation[[#This Row],[Base Order Rate]])</f>
        <v/>
      </c>
      <c r="AE20" s="162" t="str">
        <f aca="false">IF(SUMPRODUCT(--(LEN(INDEX(Rider_Input[#Data],ROW()-ROW(Salary_Calculation[#Headers]),0))&gt;0))=0,"",ROW()-ROW(Salary_Calculation[#Headers]))</f>
        <v/>
      </c>
    </row>
    <row r="21" customFormat="false" ht="14.25" hidden="false" customHeight="false" outlineLevel="0" collapsed="false">
      <c r="A21" s="161" t="str">
        <f aca="false">IF(Salary_Calculation[[#This Row],[Source Row]]="","",IF(INDEX(Rider_Input[Salary Month],Salary_Calculation[[#This Row],[Source Row]])="","",INDEX(Rider_Input[Salary Month],Salary_Calculation[[#This Row],[Source Row]])))</f>
        <v/>
      </c>
      <c r="B21" s="162" t="str">
        <f aca="false">IF(Salary_Calculation[[#This Row],[Source Row]]="","",IF(INDEX(Rider_Input[Rider ID],Salary_Calculation[[#This Row],[Source Row]])="","",INDEX(Rider_Input[Rider ID],Salary_Calculation[[#This Row],[Source Row]])))</f>
        <v/>
      </c>
      <c r="C21" s="163" t="str">
        <f aca="false">IF(Salary_Calculation[[#This Row],[Source Row]]="","",IF(INDEX(Rider_Input[Rider Name],Salary_Calculation[[#This Row],[Source Row]])="","",INDEX(Rider_Input[Rider Name],Salary_Calculation[[#This Row],[Source Row]])))</f>
        <v/>
      </c>
      <c r="D21" s="164" t="str">
        <f aca="false">IF(Salary_Calculation[[#This Row],[Source Row]]="","",IF(INDEX(Rider_Input[Basic Payment],Salary_Calculation[[#This Row],[Source Row]])="","",INDEX(Rider_Input[Basic Payment],Salary_Calculation[[#This Row],[Source Row]])))</f>
        <v/>
      </c>
      <c r="E21" s="162" t="str">
        <f aca="false">IF(Salary_Calculation[[#This Row],[Source Row]]="","",IF(INDEX(Rider_Input[Calendar Days in Month],Salary_Calculation[[#This Row],[Source Row]])="","",INDEX(Rider_Input[Calendar Days in Month],Salary_Calculation[[#This Row],[Source Row]])))</f>
        <v/>
      </c>
      <c r="F21" s="162" t="str">
        <f aca="false">IF(Salary_Calculation[[#This Row],[Source Row]]="","",IF(INDEX(Rider_Input[Working Days],Salary_Calculation[[#This Row],[Source Row]])="","",INDEX(Rider_Input[Working Days],Salary_Calculation[[#This Row],[Source Row]])))</f>
        <v/>
      </c>
      <c r="G21" s="165" t="str">
        <f aca="false">IF(Salary_Calculation[[#This Row],[Source Row]]="","",Std_Orders/Std_Days*N(Salary_Calculation[[#This Row],[Calendar Days]]))</f>
        <v/>
      </c>
      <c r="H21" s="165" t="str">
        <f aca="false">IF(Salary_Calculation[[#This Row],[Source Row]]="","",IF(N(Salary_Calculation[[#This Row],[Calendar Days]])&gt;0,Salary_Calculation[[#This Row],[Monthly Target Orders]]/N(Salary_Calculation[[#This Row],[Calendar Days]])*N(Salary_Calculation[[#This Row],[Working Days]]),0))</f>
        <v/>
      </c>
      <c r="I21" s="166" t="str">
        <f aca="false">IF(Salary_Calculation[[#This Row],[Source Row]]="","",IF(INDEX(Rider_Input[Completed Orders],Salary_Calculation[[#This Row],[Source Row]])="","",INDEX(Rider_Input[Completed Orders],Salary_Calculation[[#This Row],[Source Row]])))</f>
        <v/>
      </c>
      <c r="J21" s="165" t="str">
        <f aca="false">IF(Salary_Calculation[[#This Row],[Source Row]]="","",IF(Rate_Method="Fixed rate",Fixed_Rate,IF(N(Salary_Calculation[[#This Row],[Basic Payment]])&gt;0,N(Salary_Calculation[[#This Row],[Basic Payment]])/Std_Orders,0)))</f>
        <v/>
      </c>
      <c r="K21" s="165" t="str">
        <f aca="false">IF(Salary_Calculation[[#This Row],[Source Row]]="","",MAX(MIN(N(Salary_Calculation[[#This Row],[Completed Orders]]),Salary_Calculation[[#This Row],[Rider Target Orders]]),0))</f>
        <v/>
      </c>
      <c r="L21" s="164" t="str">
        <f aca="false">IF(Salary_Calculation[[#This Row],[Source Row]]="","",Salary_Calculation[[#This Row],[Orders Counted at Base Rate]]*Salary_Calculation[[#This Row],[Base Order Rate]])</f>
        <v/>
      </c>
      <c r="M21" s="165" t="str">
        <f aca="false">IF(Salary_Calculation[[#This Row],[Source Row]]="","",MAX(Salary_Calculation[[#This Row],[Rider Target Orders]]-N(Salary_Calculation[[#This Row],[Completed Orders]]),0))</f>
        <v/>
      </c>
      <c r="N21" s="164" t="str">
        <f aca="false">IF(Salary_Calculation[[#This Row],[Source Row]]="","",Salary_Calculation[[#This Row],[Missing Orders]]*Missing_Rate)</f>
        <v/>
      </c>
      <c r="O21" s="165" t="str">
        <f aca="false">IF(Salary_Calculation[[#This Row],[Source Row]]="","",MAX(N(Salary_Calculation[[#This Row],[Completed Orders]])-Salary_Calculation[[#This Row],[Rider Target Orders]],0))</f>
        <v/>
      </c>
      <c r="P21" s="164" t="str">
        <f aca="false">IF(Salary_Calculation[[#This Row],[Source Row]]="","",Salary_Calculation[[#This Row],[Extra Orders]]*Extra_Rate)</f>
        <v/>
      </c>
      <c r="Q21" s="164" t="str">
        <f aca="false">IF(Salary_Calculation[[#This Row],[Source Row]]="","",MAX(Salary_Calculation[[#This Row],[Salary Before Other Deductions]],0))</f>
        <v/>
      </c>
      <c r="R21" s="164" t="str">
        <f aca="false">IF(Salary_Calculation[[#This Row],[Source Row]]="","",N(INDEX(Rider_Input[missed_days_penalty],Salary_Calculation[[#This Row],[Source Row]])))</f>
        <v/>
      </c>
      <c r="S21" s="164" t="str">
        <f aca="false">IF(Salary_Calculation[[#This Row],[Source Row]]="","",N(INDEX(Rider_Input[Rider Balance / محفظة المندوب],Salary_Calculation[[#This Row],[Source Row]])))</f>
        <v/>
      </c>
      <c r="T21" s="164" t="str">
        <f aca="false">IF(Salary_Calculation[[#This Row],[Source Row]]="","",N(INDEX(Rider_Input[stacking_deduction / خصم الطلبات المتعددة],Salary_Calculation[[#This Row],[Source Row]])))</f>
        <v/>
      </c>
      <c r="U21" s="164" t="str">
        <f aca="false">IF(Salary_Calculation[[#This Row],[Source Row]]="","",N(INDEX(Rider_Input[Other Deductions],Salary_Calculation[[#This Row],[Source Row]])))</f>
        <v/>
      </c>
      <c r="V21" s="164" t="str">
        <f aca="false">IF(Salary_Calculation[[#This Row],[Source Row]]="","",N(Salary_Calculation[[#This Row],[missed_days_penalty]])+N(Salary_Calculation[[#This Row],[Rider Balance]])+N(Salary_Calculation[[#This Row],[stacking_deduction]])+N(Salary_Calculation[[#This Row],[Other Deductions]]))</f>
        <v/>
      </c>
      <c r="W21" s="167" t="str">
        <f aca="false">IF(Salary_Calculation[[#This Row],[Source Row]]="","",ROUND(MAX(Salary_Calculation[[#This Row],[Gross Salary Before Deductions]]-Salary_Calculation[[#This Row],[Total Deductions]],0),2))</f>
        <v/>
      </c>
      <c r="X21" s="164" t="str">
        <f aca="false">IF(Salary_Calculation[[#This Row],[Source Row]]="","",ROUND(MAX(Salary_Calculation[[#This Row],[Missing-Order Deduction]]-Salary_Calculation[[#This Row],[Earned Salary]],0),2))</f>
        <v/>
      </c>
      <c r="Y2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1" s="163" t="str">
        <f aca="false">IF(Salary_Calculation[[#This Row],[Source Row]]="","",IF(INDEX(Rider_Input[Notes],Salary_Calculation[[#This Row],[Source Row]])="","",INDEX(Rider_Input[Notes],Salary_Calculation[[#This Row],[Source Row]])))</f>
        <v/>
      </c>
      <c r="AA21" s="164" t="str">
        <f aca="false">IF(Salary_Calculation[[#This Row],[Source Row]]="","",Salary_Calculation[[#This Row],[Earned Salary]]-Salary_Calculation[[#This Row],[Missing-Order Deduction]]+Salary_Calculation[[#This Row],[Extra-Order Bonus]])</f>
        <v/>
      </c>
      <c r="AB21" s="164" t="str">
        <f aca="false">IF(Salary_Calculation[[#This Row],[Source Row]]="","",ROUND(Salary_Calculation[[#This Row],[Negative Balance / Amount Due from Rider]]+MAX(Salary_Calculation[[#This Row],[Total Deductions]]-Salary_Calculation[[#This Row],[Gross Salary Before Deductions]],0),2))</f>
        <v/>
      </c>
      <c r="AC2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1" s="164" t="str">
        <f aca="false">IF(Salary_Calculation[[#This Row],[Source Row]]="","",Salary_Calculation[[#This Row],[Rider Target Orders]]*Salary_Calculation[[#This Row],[Base Order Rate]])</f>
        <v/>
      </c>
      <c r="AE21" s="162" t="str">
        <f aca="false">IF(SUMPRODUCT(--(LEN(INDEX(Rider_Input[#Data],ROW()-ROW(Salary_Calculation[#Headers]),0))&gt;0))=0,"",ROW()-ROW(Salary_Calculation[#Headers]))</f>
        <v/>
      </c>
    </row>
    <row r="22" customFormat="false" ht="14.25" hidden="false" customHeight="false" outlineLevel="0" collapsed="false">
      <c r="A22" s="161" t="str">
        <f aca="false">IF(Salary_Calculation[[#This Row],[Source Row]]="","",IF(INDEX(Rider_Input[Salary Month],Salary_Calculation[[#This Row],[Source Row]])="","",INDEX(Rider_Input[Salary Month],Salary_Calculation[[#This Row],[Source Row]])))</f>
        <v/>
      </c>
      <c r="B22" s="162" t="str">
        <f aca="false">IF(Salary_Calculation[[#This Row],[Source Row]]="","",IF(INDEX(Rider_Input[Rider ID],Salary_Calculation[[#This Row],[Source Row]])="","",INDEX(Rider_Input[Rider ID],Salary_Calculation[[#This Row],[Source Row]])))</f>
        <v/>
      </c>
      <c r="C22" s="163" t="str">
        <f aca="false">IF(Salary_Calculation[[#This Row],[Source Row]]="","",IF(INDEX(Rider_Input[Rider Name],Salary_Calculation[[#This Row],[Source Row]])="","",INDEX(Rider_Input[Rider Name],Salary_Calculation[[#This Row],[Source Row]])))</f>
        <v/>
      </c>
      <c r="D22" s="164" t="str">
        <f aca="false">IF(Salary_Calculation[[#This Row],[Source Row]]="","",IF(INDEX(Rider_Input[Basic Payment],Salary_Calculation[[#This Row],[Source Row]])="","",INDEX(Rider_Input[Basic Payment],Salary_Calculation[[#This Row],[Source Row]])))</f>
        <v/>
      </c>
      <c r="E22" s="162" t="str">
        <f aca="false">IF(Salary_Calculation[[#This Row],[Source Row]]="","",IF(INDEX(Rider_Input[Calendar Days in Month],Salary_Calculation[[#This Row],[Source Row]])="","",INDEX(Rider_Input[Calendar Days in Month],Salary_Calculation[[#This Row],[Source Row]])))</f>
        <v/>
      </c>
      <c r="F22" s="162" t="str">
        <f aca="false">IF(Salary_Calculation[[#This Row],[Source Row]]="","",IF(INDEX(Rider_Input[Working Days],Salary_Calculation[[#This Row],[Source Row]])="","",INDEX(Rider_Input[Working Days],Salary_Calculation[[#This Row],[Source Row]])))</f>
        <v/>
      </c>
      <c r="G22" s="165" t="str">
        <f aca="false">IF(Salary_Calculation[[#This Row],[Source Row]]="","",Std_Orders/Std_Days*N(Salary_Calculation[[#This Row],[Calendar Days]]))</f>
        <v/>
      </c>
      <c r="H22" s="165" t="str">
        <f aca="false">IF(Salary_Calculation[[#This Row],[Source Row]]="","",IF(N(Salary_Calculation[[#This Row],[Calendar Days]])&gt;0,Salary_Calculation[[#This Row],[Monthly Target Orders]]/N(Salary_Calculation[[#This Row],[Calendar Days]])*N(Salary_Calculation[[#This Row],[Working Days]]),0))</f>
        <v/>
      </c>
      <c r="I22" s="166" t="str">
        <f aca="false">IF(Salary_Calculation[[#This Row],[Source Row]]="","",IF(INDEX(Rider_Input[Completed Orders],Salary_Calculation[[#This Row],[Source Row]])="","",INDEX(Rider_Input[Completed Orders],Salary_Calculation[[#This Row],[Source Row]])))</f>
        <v/>
      </c>
      <c r="J22" s="165" t="str">
        <f aca="false">IF(Salary_Calculation[[#This Row],[Source Row]]="","",IF(Rate_Method="Fixed rate",Fixed_Rate,IF(N(Salary_Calculation[[#This Row],[Basic Payment]])&gt;0,N(Salary_Calculation[[#This Row],[Basic Payment]])/Std_Orders,0)))</f>
        <v/>
      </c>
      <c r="K22" s="165" t="str">
        <f aca="false">IF(Salary_Calculation[[#This Row],[Source Row]]="","",MAX(MIN(N(Salary_Calculation[[#This Row],[Completed Orders]]),Salary_Calculation[[#This Row],[Rider Target Orders]]),0))</f>
        <v/>
      </c>
      <c r="L22" s="164" t="str">
        <f aca="false">IF(Salary_Calculation[[#This Row],[Source Row]]="","",Salary_Calculation[[#This Row],[Orders Counted at Base Rate]]*Salary_Calculation[[#This Row],[Base Order Rate]])</f>
        <v/>
      </c>
      <c r="M22" s="165" t="str">
        <f aca="false">IF(Salary_Calculation[[#This Row],[Source Row]]="","",MAX(Salary_Calculation[[#This Row],[Rider Target Orders]]-N(Salary_Calculation[[#This Row],[Completed Orders]]),0))</f>
        <v/>
      </c>
      <c r="N22" s="164" t="str">
        <f aca="false">IF(Salary_Calculation[[#This Row],[Source Row]]="","",Salary_Calculation[[#This Row],[Missing Orders]]*Missing_Rate)</f>
        <v/>
      </c>
      <c r="O22" s="165" t="str">
        <f aca="false">IF(Salary_Calculation[[#This Row],[Source Row]]="","",MAX(N(Salary_Calculation[[#This Row],[Completed Orders]])-Salary_Calculation[[#This Row],[Rider Target Orders]],0))</f>
        <v/>
      </c>
      <c r="P22" s="164" t="str">
        <f aca="false">IF(Salary_Calculation[[#This Row],[Source Row]]="","",Salary_Calculation[[#This Row],[Extra Orders]]*Extra_Rate)</f>
        <v/>
      </c>
      <c r="Q22" s="164" t="str">
        <f aca="false">IF(Salary_Calculation[[#This Row],[Source Row]]="","",MAX(Salary_Calculation[[#This Row],[Salary Before Other Deductions]],0))</f>
        <v/>
      </c>
      <c r="R22" s="164" t="str">
        <f aca="false">IF(Salary_Calculation[[#This Row],[Source Row]]="","",N(INDEX(Rider_Input[missed_days_penalty],Salary_Calculation[[#This Row],[Source Row]])))</f>
        <v/>
      </c>
      <c r="S22" s="164" t="str">
        <f aca="false">IF(Salary_Calculation[[#This Row],[Source Row]]="","",N(INDEX(Rider_Input[Rider Balance / محفظة المندوب],Salary_Calculation[[#This Row],[Source Row]])))</f>
        <v/>
      </c>
      <c r="T22" s="164" t="str">
        <f aca="false">IF(Salary_Calculation[[#This Row],[Source Row]]="","",N(INDEX(Rider_Input[stacking_deduction / خصم الطلبات المتعددة],Salary_Calculation[[#This Row],[Source Row]])))</f>
        <v/>
      </c>
      <c r="U22" s="164" t="str">
        <f aca="false">IF(Salary_Calculation[[#This Row],[Source Row]]="","",N(INDEX(Rider_Input[Other Deductions],Salary_Calculation[[#This Row],[Source Row]])))</f>
        <v/>
      </c>
      <c r="V22" s="164" t="str">
        <f aca="false">IF(Salary_Calculation[[#This Row],[Source Row]]="","",N(Salary_Calculation[[#This Row],[missed_days_penalty]])+N(Salary_Calculation[[#This Row],[Rider Balance]])+N(Salary_Calculation[[#This Row],[stacking_deduction]])+N(Salary_Calculation[[#This Row],[Other Deductions]]))</f>
        <v/>
      </c>
      <c r="W22" s="167" t="str">
        <f aca="false">IF(Salary_Calculation[[#This Row],[Source Row]]="","",ROUND(MAX(Salary_Calculation[[#This Row],[Gross Salary Before Deductions]]-Salary_Calculation[[#This Row],[Total Deductions]],0),2))</f>
        <v/>
      </c>
      <c r="X22" s="164" t="str">
        <f aca="false">IF(Salary_Calculation[[#This Row],[Source Row]]="","",ROUND(MAX(Salary_Calculation[[#This Row],[Missing-Order Deduction]]-Salary_Calculation[[#This Row],[Earned Salary]],0),2))</f>
        <v/>
      </c>
      <c r="Y2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2" s="163" t="str">
        <f aca="false">IF(Salary_Calculation[[#This Row],[Source Row]]="","",IF(INDEX(Rider_Input[Notes],Salary_Calculation[[#This Row],[Source Row]])="","",INDEX(Rider_Input[Notes],Salary_Calculation[[#This Row],[Source Row]])))</f>
        <v/>
      </c>
      <c r="AA22" s="164" t="str">
        <f aca="false">IF(Salary_Calculation[[#This Row],[Source Row]]="","",Salary_Calculation[[#This Row],[Earned Salary]]-Salary_Calculation[[#This Row],[Missing-Order Deduction]]+Salary_Calculation[[#This Row],[Extra-Order Bonus]])</f>
        <v/>
      </c>
      <c r="AB22" s="164" t="str">
        <f aca="false">IF(Salary_Calculation[[#This Row],[Source Row]]="","",ROUND(Salary_Calculation[[#This Row],[Negative Balance / Amount Due from Rider]]+MAX(Salary_Calculation[[#This Row],[Total Deductions]]-Salary_Calculation[[#This Row],[Gross Salary Before Deductions]],0),2))</f>
        <v/>
      </c>
      <c r="AC2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2" s="164" t="str">
        <f aca="false">IF(Salary_Calculation[[#This Row],[Source Row]]="","",Salary_Calculation[[#This Row],[Rider Target Orders]]*Salary_Calculation[[#This Row],[Base Order Rate]])</f>
        <v/>
      </c>
      <c r="AE22" s="162" t="str">
        <f aca="false">IF(SUMPRODUCT(--(LEN(INDEX(Rider_Input[#Data],ROW()-ROW(Salary_Calculation[#Headers]),0))&gt;0))=0,"",ROW()-ROW(Salary_Calculation[#Headers]))</f>
        <v/>
      </c>
    </row>
    <row r="23" customFormat="false" ht="14.25" hidden="false" customHeight="false" outlineLevel="0" collapsed="false">
      <c r="A23" s="161" t="str">
        <f aca="false">IF(Salary_Calculation[[#This Row],[Source Row]]="","",IF(INDEX(Rider_Input[Salary Month],Salary_Calculation[[#This Row],[Source Row]])="","",INDEX(Rider_Input[Salary Month],Salary_Calculation[[#This Row],[Source Row]])))</f>
        <v/>
      </c>
      <c r="B23" s="162" t="str">
        <f aca="false">IF(Salary_Calculation[[#This Row],[Source Row]]="","",IF(INDEX(Rider_Input[Rider ID],Salary_Calculation[[#This Row],[Source Row]])="","",INDEX(Rider_Input[Rider ID],Salary_Calculation[[#This Row],[Source Row]])))</f>
        <v/>
      </c>
      <c r="C23" s="163" t="str">
        <f aca="false">IF(Salary_Calculation[[#This Row],[Source Row]]="","",IF(INDEX(Rider_Input[Rider Name],Salary_Calculation[[#This Row],[Source Row]])="","",INDEX(Rider_Input[Rider Name],Salary_Calculation[[#This Row],[Source Row]])))</f>
        <v/>
      </c>
      <c r="D23" s="164" t="str">
        <f aca="false">IF(Salary_Calculation[[#This Row],[Source Row]]="","",IF(INDEX(Rider_Input[Basic Payment],Salary_Calculation[[#This Row],[Source Row]])="","",INDEX(Rider_Input[Basic Payment],Salary_Calculation[[#This Row],[Source Row]])))</f>
        <v/>
      </c>
      <c r="E23" s="162" t="str">
        <f aca="false">IF(Salary_Calculation[[#This Row],[Source Row]]="","",IF(INDEX(Rider_Input[Calendar Days in Month],Salary_Calculation[[#This Row],[Source Row]])="","",INDEX(Rider_Input[Calendar Days in Month],Salary_Calculation[[#This Row],[Source Row]])))</f>
        <v/>
      </c>
      <c r="F23" s="162" t="str">
        <f aca="false">IF(Salary_Calculation[[#This Row],[Source Row]]="","",IF(INDEX(Rider_Input[Working Days],Salary_Calculation[[#This Row],[Source Row]])="","",INDEX(Rider_Input[Working Days],Salary_Calculation[[#This Row],[Source Row]])))</f>
        <v/>
      </c>
      <c r="G23" s="165" t="str">
        <f aca="false">IF(Salary_Calculation[[#This Row],[Source Row]]="","",Std_Orders/Std_Days*N(Salary_Calculation[[#This Row],[Calendar Days]]))</f>
        <v/>
      </c>
      <c r="H23" s="165" t="str">
        <f aca="false">IF(Salary_Calculation[[#This Row],[Source Row]]="","",IF(N(Salary_Calculation[[#This Row],[Calendar Days]])&gt;0,Salary_Calculation[[#This Row],[Monthly Target Orders]]/N(Salary_Calculation[[#This Row],[Calendar Days]])*N(Salary_Calculation[[#This Row],[Working Days]]),0))</f>
        <v/>
      </c>
      <c r="I23" s="166" t="str">
        <f aca="false">IF(Salary_Calculation[[#This Row],[Source Row]]="","",IF(INDEX(Rider_Input[Completed Orders],Salary_Calculation[[#This Row],[Source Row]])="","",INDEX(Rider_Input[Completed Orders],Salary_Calculation[[#This Row],[Source Row]])))</f>
        <v/>
      </c>
      <c r="J23" s="165" t="str">
        <f aca="false">IF(Salary_Calculation[[#This Row],[Source Row]]="","",IF(Rate_Method="Fixed rate",Fixed_Rate,IF(N(Salary_Calculation[[#This Row],[Basic Payment]])&gt;0,N(Salary_Calculation[[#This Row],[Basic Payment]])/Std_Orders,0)))</f>
        <v/>
      </c>
      <c r="K23" s="165" t="str">
        <f aca="false">IF(Salary_Calculation[[#This Row],[Source Row]]="","",MAX(MIN(N(Salary_Calculation[[#This Row],[Completed Orders]]),Salary_Calculation[[#This Row],[Rider Target Orders]]),0))</f>
        <v/>
      </c>
      <c r="L23" s="164" t="str">
        <f aca="false">IF(Salary_Calculation[[#This Row],[Source Row]]="","",Salary_Calculation[[#This Row],[Orders Counted at Base Rate]]*Salary_Calculation[[#This Row],[Base Order Rate]])</f>
        <v/>
      </c>
      <c r="M23" s="165" t="str">
        <f aca="false">IF(Salary_Calculation[[#This Row],[Source Row]]="","",MAX(Salary_Calculation[[#This Row],[Rider Target Orders]]-N(Salary_Calculation[[#This Row],[Completed Orders]]),0))</f>
        <v/>
      </c>
      <c r="N23" s="164" t="str">
        <f aca="false">IF(Salary_Calculation[[#This Row],[Source Row]]="","",Salary_Calculation[[#This Row],[Missing Orders]]*Missing_Rate)</f>
        <v/>
      </c>
      <c r="O23" s="165" t="str">
        <f aca="false">IF(Salary_Calculation[[#This Row],[Source Row]]="","",MAX(N(Salary_Calculation[[#This Row],[Completed Orders]])-Salary_Calculation[[#This Row],[Rider Target Orders]],0))</f>
        <v/>
      </c>
      <c r="P23" s="164" t="str">
        <f aca="false">IF(Salary_Calculation[[#This Row],[Source Row]]="","",Salary_Calculation[[#This Row],[Extra Orders]]*Extra_Rate)</f>
        <v/>
      </c>
      <c r="Q23" s="164" t="str">
        <f aca="false">IF(Salary_Calculation[[#This Row],[Source Row]]="","",MAX(Salary_Calculation[[#This Row],[Salary Before Other Deductions]],0))</f>
        <v/>
      </c>
      <c r="R23" s="164" t="str">
        <f aca="false">IF(Salary_Calculation[[#This Row],[Source Row]]="","",N(INDEX(Rider_Input[missed_days_penalty],Salary_Calculation[[#This Row],[Source Row]])))</f>
        <v/>
      </c>
      <c r="S23" s="164" t="str">
        <f aca="false">IF(Salary_Calculation[[#This Row],[Source Row]]="","",N(INDEX(Rider_Input[Rider Balance / محفظة المندوب],Salary_Calculation[[#This Row],[Source Row]])))</f>
        <v/>
      </c>
      <c r="T23" s="164" t="str">
        <f aca="false">IF(Salary_Calculation[[#This Row],[Source Row]]="","",N(INDEX(Rider_Input[stacking_deduction / خصم الطلبات المتعددة],Salary_Calculation[[#This Row],[Source Row]])))</f>
        <v/>
      </c>
      <c r="U23" s="164" t="str">
        <f aca="false">IF(Salary_Calculation[[#This Row],[Source Row]]="","",N(INDEX(Rider_Input[Other Deductions],Salary_Calculation[[#This Row],[Source Row]])))</f>
        <v/>
      </c>
      <c r="V23" s="164" t="str">
        <f aca="false">IF(Salary_Calculation[[#This Row],[Source Row]]="","",N(Salary_Calculation[[#This Row],[missed_days_penalty]])+N(Salary_Calculation[[#This Row],[Rider Balance]])+N(Salary_Calculation[[#This Row],[stacking_deduction]])+N(Salary_Calculation[[#This Row],[Other Deductions]]))</f>
        <v/>
      </c>
      <c r="W23" s="167" t="str">
        <f aca="false">IF(Salary_Calculation[[#This Row],[Source Row]]="","",ROUND(MAX(Salary_Calculation[[#This Row],[Gross Salary Before Deductions]]-Salary_Calculation[[#This Row],[Total Deductions]],0),2))</f>
        <v/>
      </c>
      <c r="X23" s="164" t="str">
        <f aca="false">IF(Salary_Calculation[[#This Row],[Source Row]]="","",ROUND(MAX(Salary_Calculation[[#This Row],[Missing-Order Deduction]]-Salary_Calculation[[#This Row],[Earned Salary]],0),2))</f>
        <v/>
      </c>
      <c r="Y2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3" s="163" t="str">
        <f aca="false">IF(Salary_Calculation[[#This Row],[Source Row]]="","",IF(INDEX(Rider_Input[Notes],Salary_Calculation[[#This Row],[Source Row]])="","",INDEX(Rider_Input[Notes],Salary_Calculation[[#This Row],[Source Row]])))</f>
        <v/>
      </c>
      <c r="AA23" s="164" t="str">
        <f aca="false">IF(Salary_Calculation[[#This Row],[Source Row]]="","",Salary_Calculation[[#This Row],[Earned Salary]]-Salary_Calculation[[#This Row],[Missing-Order Deduction]]+Salary_Calculation[[#This Row],[Extra-Order Bonus]])</f>
        <v/>
      </c>
      <c r="AB23" s="164" t="str">
        <f aca="false">IF(Salary_Calculation[[#This Row],[Source Row]]="","",ROUND(Salary_Calculation[[#This Row],[Negative Balance / Amount Due from Rider]]+MAX(Salary_Calculation[[#This Row],[Total Deductions]]-Salary_Calculation[[#This Row],[Gross Salary Before Deductions]],0),2))</f>
        <v/>
      </c>
      <c r="AC2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3" s="164" t="str">
        <f aca="false">IF(Salary_Calculation[[#This Row],[Source Row]]="","",Salary_Calculation[[#This Row],[Rider Target Orders]]*Salary_Calculation[[#This Row],[Base Order Rate]])</f>
        <v/>
      </c>
      <c r="AE23" s="162" t="str">
        <f aca="false">IF(SUMPRODUCT(--(LEN(INDEX(Rider_Input[#Data],ROW()-ROW(Salary_Calculation[#Headers]),0))&gt;0))=0,"",ROW()-ROW(Salary_Calculation[#Headers]))</f>
        <v/>
      </c>
    </row>
    <row r="24" customFormat="false" ht="14.25" hidden="false" customHeight="false" outlineLevel="0" collapsed="false">
      <c r="A24" s="161" t="str">
        <f aca="false">IF(Salary_Calculation[[#This Row],[Source Row]]="","",IF(INDEX(Rider_Input[Salary Month],Salary_Calculation[[#This Row],[Source Row]])="","",INDEX(Rider_Input[Salary Month],Salary_Calculation[[#This Row],[Source Row]])))</f>
        <v/>
      </c>
      <c r="B24" s="162" t="str">
        <f aca="false">IF(Salary_Calculation[[#This Row],[Source Row]]="","",IF(INDEX(Rider_Input[Rider ID],Salary_Calculation[[#This Row],[Source Row]])="","",INDEX(Rider_Input[Rider ID],Salary_Calculation[[#This Row],[Source Row]])))</f>
        <v/>
      </c>
      <c r="C24" s="163" t="str">
        <f aca="false">IF(Salary_Calculation[[#This Row],[Source Row]]="","",IF(INDEX(Rider_Input[Rider Name],Salary_Calculation[[#This Row],[Source Row]])="","",INDEX(Rider_Input[Rider Name],Salary_Calculation[[#This Row],[Source Row]])))</f>
        <v/>
      </c>
      <c r="D24" s="164" t="str">
        <f aca="false">IF(Salary_Calculation[[#This Row],[Source Row]]="","",IF(INDEX(Rider_Input[Basic Payment],Salary_Calculation[[#This Row],[Source Row]])="","",INDEX(Rider_Input[Basic Payment],Salary_Calculation[[#This Row],[Source Row]])))</f>
        <v/>
      </c>
      <c r="E24" s="162" t="str">
        <f aca="false">IF(Salary_Calculation[[#This Row],[Source Row]]="","",IF(INDEX(Rider_Input[Calendar Days in Month],Salary_Calculation[[#This Row],[Source Row]])="","",INDEX(Rider_Input[Calendar Days in Month],Salary_Calculation[[#This Row],[Source Row]])))</f>
        <v/>
      </c>
      <c r="F24" s="162" t="str">
        <f aca="false">IF(Salary_Calculation[[#This Row],[Source Row]]="","",IF(INDEX(Rider_Input[Working Days],Salary_Calculation[[#This Row],[Source Row]])="","",INDEX(Rider_Input[Working Days],Salary_Calculation[[#This Row],[Source Row]])))</f>
        <v/>
      </c>
      <c r="G24" s="165" t="str">
        <f aca="false">IF(Salary_Calculation[[#This Row],[Source Row]]="","",Std_Orders/Std_Days*N(Salary_Calculation[[#This Row],[Calendar Days]]))</f>
        <v/>
      </c>
      <c r="H24" s="165" t="str">
        <f aca="false">IF(Salary_Calculation[[#This Row],[Source Row]]="","",IF(N(Salary_Calculation[[#This Row],[Calendar Days]])&gt;0,Salary_Calculation[[#This Row],[Monthly Target Orders]]/N(Salary_Calculation[[#This Row],[Calendar Days]])*N(Salary_Calculation[[#This Row],[Working Days]]),0))</f>
        <v/>
      </c>
      <c r="I24" s="166" t="str">
        <f aca="false">IF(Salary_Calculation[[#This Row],[Source Row]]="","",IF(INDEX(Rider_Input[Completed Orders],Salary_Calculation[[#This Row],[Source Row]])="","",INDEX(Rider_Input[Completed Orders],Salary_Calculation[[#This Row],[Source Row]])))</f>
        <v/>
      </c>
      <c r="J24" s="165" t="str">
        <f aca="false">IF(Salary_Calculation[[#This Row],[Source Row]]="","",IF(Rate_Method="Fixed rate",Fixed_Rate,IF(N(Salary_Calculation[[#This Row],[Basic Payment]])&gt;0,N(Salary_Calculation[[#This Row],[Basic Payment]])/Std_Orders,0)))</f>
        <v/>
      </c>
      <c r="K24" s="165" t="str">
        <f aca="false">IF(Salary_Calculation[[#This Row],[Source Row]]="","",MAX(MIN(N(Salary_Calculation[[#This Row],[Completed Orders]]),Salary_Calculation[[#This Row],[Rider Target Orders]]),0))</f>
        <v/>
      </c>
      <c r="L24" s="164" t="str">
        <f aca="false">IF(Salary_Calculation[[#This Row],[Source Row]]="","",Salary_Calculation[[#This Row],[Orders Counted at Base Rate]]*Salary_Calculation[[#This Row],[Base Order Rate]])</f>
        <v/>
      </c>
      <c r="M24" s="165" t="str">
        <f aca="false">IF(Salary_Calculation[[#This Row],[Source Row]]="","",MAX(Salary_Calculation[[#This Row],[Rider Target Orders]]-N(Salary_Calculation[[#This Row],[Completed Orders]]),0))</f>
        <v/>
      </c>
      <c r="N24" s="164" t="str">
        <f aca="false">IF(Salary_Calculation[[#This Row],[Source Row]]="","",Salary_Calculation[[#This Row],[Missing Orders]]*Missing_Rate)</f>
        <v/>
      </c>
      <c r="O24" s="165" t="str">
        <f aca="false">IF(Salary_Calculation[[#This Row],[Source Row]]="","",MAX(N(Salary_Calculation[[#This Row],[Completed Orders]])-Salary_Calculation[[#This Row],[Rider Target Orders]],0))</f>
        <v/>
      </c>
      <c r="P24" s="164" t="str">
        <f aca="false">IF(Salary_Calculation[[#This Row],[Source Row]]="","",Salary_Calculation[[#This Row],[Extra Orders]]*Extra_Rate)</f>
        <v/>
      </c>
      <c r="Q24" s="164" t="str">
        <f aca="false">IF(Salary_Calculation[[#This Row],[Source Row]]="","",MAX(Salary_Calculation[[#This Row],[Salary Before Other Deductions]],0))</f>
        <v/>
      </c>
      <c r="R24" s="164" t="str">
        <f aca="false">IF(Salary_Calculation[[#This Row],[Source Row]]="","",N(INDEX(Rider_Input[missed_days_penalty],Salary_Calculation[[#This Row],[Source Row]])))</f>
        <v/>
      </c>
      <c r="S24" s="164" t="str">
        <f aca="false">IF(Salary_Calculation[[#This Row],[Source Row]]="","",N(INDEX(Rider_Input[Rider Balance / محفظة المندوب],Salary_Calculation[[#This Row],[Source Row]])))</f>
        <v/>
      </c>
      <c r="T24" s="164" t="str">
        <f aca="false">IF(Salary_Calculation[[#This Row],[Source Row]]="","",N(INDEX(Rider_Input[stacking_deduction / خصم الطلبات المتعددة],Salary_Calculation[[#This Row],[Source Row]])))</f>
        <v/>
      </c>
      <c r="U24" s="164" t="str">
        <f aca="false">IF(Salary_Calculation[[#This Row],[Source Row]]="","",N(INDEX(Rider_Input[Other Deductions],Salary_Calculation[[#This Row],[Source Row]])))</f>
        <v/>
      </c>
      <c r="V24" s="164" t="str">
        <f aca="false">IF(Salary_Calculation[[#This Row],[Source Row]]="","",N(Salary_Calculation[[#This Row],[missed_days_penalty]])+N(Salary_Calculation[[#This Row],[Rider Balance]])+N(Salary_Calculation[[#This Row],[stacking_deduction]])+N(Salary_Calculation[[#This Row],[Other Deductions]]))</f>
        <v/>
      </c>
      <c r="W24" s="167" t="str">
        <f aca="false">IF(Salary_Calculation[[#This Row],[Source Row]]="","",ROUND(MAX(Salary_Calculation[[#This Row],[Gross Salary Before Deductions]]-Salary_Calculation[[#This Row],[Total Deductions]],0),2))</f>
        <v/>
      </c>
      <c r="X24" s="164" t="str">
        <f aca="false">IF(Salary_Calculation[[#This Row],[Source Row]]="","",ROUND(MAX(Salary_Calculation[[#This Row],[Missing-Order Deduction]]-Salary_Calculation[[#This Row],[Earned Salary]],0),2))</f>
        <v/>
      </c>
      <c r="Y2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4" s="163" t="str">
        <f aca="false">IF(Salary_Calculation[[#This Row],[Source Row]]="","",IF(INDEX(Rider_Input[Notes],Salary_Calculation[[#This Row],[Source Row]])="","",INDEX(Rider_Input[Notes],Salary_Calculation[[#This Row],[Source Row]])))</f>
        <v/>
      </c>
      <c r="AA24" s="164" t="str">
        <f aca="false">IF(Salary_Calculation[[#This Row],[Source Row]]="","",Salary_Calculation[[#This Row],[Earned Salary]]-Salary_Calculation[[#This Row],[Missing-Order Deduction]]+Salary_Calculation[[#This Row],[Extra-Order Bonus]])</f>
        <v/>
      </c>
      <c r="AB24" s="164" t="str">
        <f aca="false">IF(Salary_Calculation[[#This Row],[Source Row]]="","",ROUND(Salary_Calculation[[#This Row],[Negative Balance / Amount Due from Rider]]+MAX(Salary_Calculation[[#This Row],[Total Deductions]]-Salary_Calculation[[#This Row],[Gross Salary Before Deductions]],0),2))</f>
        <v/>
      </c>
      <c r="AC2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4" s="164" t="str">
        <f aca="false">IF(Salary_Calculation[[#This Row],[Source Row]]="","",Salary_Calculation[[#This Row],[Rider Target Orders]]*Salary_Calculation[[#This Row],[Base Order Rate]])</f>
        <v/>
      </c>
      <c r="AE24" s="162" t="str">
        <f aca="false">IF(SUMPRODUCT(--(LEN(INDEX(Rider_Input[#Data],ROW()-ROW(Salary_Calculation[#Headers]),0))&gt;0))=0,"",ROW()-ROW(Salary_Calculation[#Headers]))</f>
        <v/>
      </c>
    </row>
    <row r="25" customFormat="false" ht="14.25" hidden="false" customHeight="false" outlineLevel="0" collapsed="false">
      <c r="A25" s="161" t="str">
        <f aca="false">IF(Salary_Calculation[[#This Row],[Source Row]]="","",IF(INDEX(Rider_Input[Salary Month],Salary_Calculation[[#This Row],[Source Row]])="","",INDEX(Rider_Input[Salary Month],Salary_Calculation[[#This Row],[Source Row]])))</f>
        <v/>
      </c>
      <c r="B25" s="162" t="str">
        <f aca="false">IF(Salary_Calculation[[#This Row],[Source Row]]="","",IF(INDEX(Rider_Input[Rider ID],Salary_Calculation[[#This Row],[Source Row]])="","",INDEX(Rider_Input[Rider ID],Salary_Calculation[[#This Row],[Source Row]])))</f>
        <v/>
      </c>
      <c r="C25" s="163" t="str">
        <f aca="false">IF(Salary_Calculation[[#This Row],[Source Row]]="","",IF(INDEX(Rider_Input[Rider Name],Salary_Calculation[[#This Row],[Source Row]])="","",INDEX(Rider_Input[Rider Name],Salary_Calculation[[#This Row],[Source Row]])))</f>
        <v/>
      </c>
      <c r="D25" s="164" t="str">
        <f aca="false">IF(Salary_Calculation[[#This Row],[Source Row]]="","",IF(INDEX(Rider_Input[Basic Payment],Salary_Calculation[[#This Row],[Source Row]])="","",INDEX(Rider_Input[Basic Payment],Salary_Calculation[[#This Row],[Source Row]])))</f>
        <v/>
      </c>
      <c r="E25" s="162" t="str">
        <f aca="false">IF(Salary_Calculation[[#This Row],[Source Row]]="","",IF(INDEX(Rider_Input[Calendar Days in Month],Salary_Calculation[[#This Row],[Source Row]])="","",INDEX(Rider_Input[Calendar Days in Month],Salary_Calculation[[#This Row],[Source Row]])))</f>
        <v/>
      </c>
      <c r="F25" s="162" t="str">
        <f aca="false">IF(Salary_Calculation[[#This Row],[Source Row]]="","",IF(INDEX(Rider_Input[Working Days],Salary_Calculation[[#This Row],[Source Row]])="","",INDEX(Rider_Input[Working Days],Salary_Calculation[[#This Row],[Source Row]])))</f>
        <v/>
      </c>
      <c r="G25" s="165" t="str">
        <f aca="false">IF(Salary_Calculation[[#This Row],[Source Row]]="","",Std_Orders/Std_Days*N(Salary_Calculation[[#This Row],[Calendar Days]]))</f>
        <v/>
      </c>
      <c r="H25" s="165" t="str">
        <f aca="false">IF(Salary_Calculation[[#This Row],[Source Row]]="","",IF(N(Salary_Calculation[[#This Row],[Calendar Days]])&gt;0,Salary_Calculation[[#This Row],[Monthly Target Orders]]/N(Salary_Calculation[[#This Row],[Calendar Days]])*N(Salary_Calculation[[#This Row],[Working Days]]),0))</f>
        <v/>
      </c>
      <c r="I25" s="166" t="str">
        <f aca="false">IF(Salary_Calculation[[#This Row],[Source Row]]="","",IF(INDEX(Rider_Input[Completed Orders],Salary_Calculation[[#This Row],[Source Row]])="","",INDEX(Rider_Input[Completed Orders],Salary_Calculation[[#This Row],[Source Row]])))</f>
        <v/>
      </c>
      <c r="J25" s="165" t="str">
        <f aca="false">IF(Salary_Calculation[[#This Row],[Source Row]]="","",IF(Rate_Method="Fixed rate",Fixed_Rate,IF(N(Salary_Calculation[[#This Row],[Basic Payment]])&gt;0,N(Salary_Calculation[[#This Row],[Basic Payment]])/Std_Orders,0)))</f>
        <v/>
      </c>
      <c r="K25" s="165" t="str">
        <f aca="false">IF(Salary_Calculation[[#This Row],[Source Row]]="","",MAX(MIN(N(Salary_Calculation[[#This Row],[Completed Orders]]),Salary_Calculation[[#This Row],[Rider Target Orders]]),0))</f>
        <v/>
      </c>
      <c r="L25" s="164" t="str">
        <f aca="false">IF(Salary_Calculation[[#This Row],[Source Row]]="","",Salary_Calculation[[#This Row],[Orders Counted at Base Rate]]*Salary_Calculation[[#This Row],[Base Order Rate]])</f>
        <v/>
      </c>
      <c r="M25" s="165" t="str">
        <f aca="false">IF(Salary_Calculation[[#This Row],[Source Row]]="","",MAX(Salary_Calculation[[#This Row],[Rider Target Orders]]-N(Salary_Calculation[[#This Row],[Completed Orders]]),0))</f>
        <v/>
      </c>
      <c r="N25" s="164" t="str">
        <f aca="false">IF(Salary_Calculation[[#This Row],[Source Row]]="","",Salary_Calculation[[#This Row],[Missing Orders]]*Missing_Rate)</f>
        <v/>
      </c>
      <c r="O25" s="165" t="str">
        <f aca="false">IF(Salary_Calculation[[#This Row],[Source Row]]="","",MAX(N(Salary_Calculation[[#This Row],[Completed Orders]])-Salary_Calculation[[#This Row],[Rider Target Orders]],0))</f>
        <v/>
      </c>
      <c r="P25" s="164" t="str">
        <f aca="false">IF(Salary_Calculation[[#This Row],[Source Row]]="","",Salary_Calculation[[#This Row],[Extra Orders]]*Extra_Rate)</f>
        <v/>
      </c>
      <c r="Q25" s="164" t="str">
        <f aca="false">IF(Salary_Calculation[[#This Row],[Source Row]]="","",MAX(Salary_Calculation[[#This Row],[Salary Before Other Deductions]],0))</f>
        <v/>
      </c>
      <c r="R25" s="164" t="str">
        <f aca="false">IF(Salary_Calculation[[#This Row],[Source Row]]="","",N(INDEX(Rider_Input[missed_days_penalty],Salary_Calculation[[#This Row],[Source Row]])))</f>
        <v/>
      </c>
      <c r="S25" s="164" t="str">
        <f aca="false">IF(Salary_Calculation[[#This Row],[Source Row]]="","",N(INDEX(Rider_Input[Rider Balance / محفظة المندوب],Salary_Calculation[[#This Row],[Source Row]])))</f>
        <v/>
      </c>
      <c r="T25" s="164" t="str">
        <f aca="false">IF(Salary_Calculation[[#This Row],[Source Row]]="","",N(INDEX(Rider_Input[stacking_deduction / خصم الطلبات المتعددة],Salary_Calculation[[#This Row],[Source Row]])))</f>
        <v/>
      </c>
      <c r="U25" s="164" t="str">
        <f aca="false">IF(Salary_Calculation[[#This Row],[Source Row]]="","",N(INDEX(Rider_Input[Other Deductions],Salary_Calculation[[#This Row],[Source Row]])))</f>
        <v/>
      </c>
      <c r="V25" s="164" t="str">
        <f aca="false">IF(Salary_Calculation[[#This Row],[Source Row]]="","",N(Salary_Calculation[[#This Row],[missed_days_penalty]])+N(Salary_Calculation[[#This Row],[Rider Balance]])+N(Salary_Calculation[[#This Row],[stacking_deduction]])+N(Salary_Calculation[[#This Row],[Other Deductions]]))</f>
        <v/>
      </c>
      <c r="W25" s="167" t="str">
        <f aca="false">IF(Salary_Calculation[[#This Row],[Source Row]]="","",ROUND(MAX(Salary_Calculation[[#This Row],[Gross Salary Before Deductions]]-Salary_Calculation[[#This Row],[Total Deductions]],0),2))</f>
        <v/>
      </c>
      <c r="X25" s="164" t="str">
        <f aca="false">IF(Salary_Calculation[[#This Row],[Source Row]]="","",ROUND(MAX(Salary_Calculation[[#This Row],[Missing-Order Deduction]]-Salary_Calculation[[#This Row],[Earned Salary]],0),2))</f>
        <v/>
      </c>
      <c r="Y2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5" s="163" t="str">
        <f aca="false">IF(Salary_Calculation[[#This Row],[Source Row]]="","",IF(INDEX(Rider_Input[Notes],Salary_Calculation[[#This Row],[Source Row]])="","",INDEX(Rider_Input[Notes],Salary_Calculation[[#This Row],[Source Row]])))</f>
        <v/>
      </c>
      <c r="AA25" s="164" t="str">
        <f aca="false">IF(Salary_Calculation[[#This Row],[Source Row]]="","",Salary_Calculation[[#This Row],[Earned Salary]]-Salary_Calculation[[#This Row],[Missing-Order Deduction]]+Salary_Calculation[[#This Row],[Extra-Order Bonus]])</f>
        <v/>
      </c>
      <c r="AB25" s="164" t="str">
        <f aca="false">IF(Salary_Calculation[[#This Row],[Source Row]]="","",ROUND(Salary_Calculation[[#This Row],[Negative Balance / Amount Due from Rider]]+MAX(Salary_Calculation[[#This Row],[Total Deductions]]-Salary_Calculation[[#This Row],[Gross Salary Before Deductions]],0),2))</f>
        <v/>
      </c>
      <c r="AC2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5" s="164" t="str">
        <f aca="false">IF(Salary_Calculation[[#This Row],[Source Row]]="","",Salary_Calculation[[#This Row],[Rider Target Orders]]*Salary_Calculation[[#This Row],[Base Order Rate]])</f>
        <v/>
      </c>
      <c r="AE25" s="162" t="str">
        <f aca="false">IF(SUMPRODUCT(--(LEN(INDEX(Rider_Input[#Data],ROW()-ROW(Salary_Calculation[#Headers]),0))&gt;0))=0,"",ROW()-ROW(Salary_Calculation[#Headers]))</f>
        <v/>
      </c>
    </row>
    <row r="26" customFormat="false" ht="14.25" hidden="false" customHeight="false" outlineLevel="0" collapsed="false">
      <c r="A26" s="161" t="str">
        <f aca="false">IF(Salary_Calculation[[#This Row],[Source Row]]="","",IF(INDEX(Rider_Input[Salary Month],Salary_Calculation[[#This Row],[Source Row]])="","",INDEX(Rider_Input[Salary Month],Salary_Calculation[[#This Row],[Source Row]])))</f>
        <v/>
      </c>
      <c r="B26" s="162" t="str">
        <f aca="false">IF(Salary_Calculation[[#This Row],[Source Row]]="","",IF(INDEX(Rider_Input[Rider ID],Salary_Calculation[[#This Row],[Source Row]])="","",INDEX(Rider_Input[Rider ID],Salary_Calculation[[#This Row],[Source Row]])))</f>
        <v/>
      </c>
      <c r="C26" s="163" t="str">
        <f aca="false">IF(Salary_Calculation[[#This Row],[Source Row]]="","",IF(INDEX(Rider_Input[Rider Name],Salary_Calculation[[#This Row],[Source Row]])="","",INDEX(Rider_Input[Rider Name],Salary_Calculation[[#This Row],[Source Row]])))</f>
        <v/>
      </c>
      <c r="D26" s="164" t="str">
        <f aca="false">IF(Salary_Calculation[[#This Row],[Source Row]]="","",IF(INDEX(Rider_Input[Basic Payment],Salary_Calculation[[#This Row],[Source Row]])="","",INDEX(Rider_Input[Basic Payment],Salary_Calculation[[#This Row],[Source Row]])))</f>
        <v/>
      </c>
      <c r="E26" s="162" t="str">
        <f aca="false">IF(Salary_Calculation[[#This Row],[Source Row]]="","",IF(INDEX(Rider_Input[Calendar Days in Month],Salary_Calculation[[#This Row],[Source Row]])="","",INDEX(Rider_Input[Calendar Days in Month],Salary_Calculation[[#This Row],[Source Row]])))</f>
        <v/>
      </c>
      <c r="F26" s="162" t="str">
        <f aca="false">IF(Salary_Calculation[[#This Row],[Source Row]]="","",IF(INDEX(Rider_Input[Working Days],Salary_Calculation[[#This Row],[Source Row]])="","",INDEX(Rider_Input[Working Days],Salary_Calculation[[#This Row],[Source Row]])))</f>
        <v/>
      </c>
      <c r="G26" s="165" t="str">
        <f aca="false">IF(Salary_Calculation[[#This Row],[Source Row]]="","",Std_Orders/Std_Days*N(Salary_Calculation[[#This Row],[Calendar Days]]))</f>
        <v/>
      </c>
      <c r="H26" s="165" t="str">
        <f aca="false">IF(Salary_Calculation[[#This Row],[Source Row]]="","",IF(N(Salary_Calculation[[#This Row],[Calendar Days]])&gt;0,Salary_Calculation[[#This Row],[Monthly Target Orders]]/N(Salary_Calculation[[#This Row],[Calendar Days]])*N(Salary_Calculation[[#This Row],[Working Days]]),0))</f>
        <v/>
      </c>
      <c r="I26" s="166" t="str">
        <f aca="false">IF(Salary_Calculation[[#This Row],[Source Row]]="","",IF(INDEX(Rider_Input[Completed Orders],Salary_Calculation[[#This Row],[Source Row]])="","",INDEX(Rider_Input[Completed Orders],Salary_Calculation[[#This Row],[Source Row]])))</f>
        <v/>
      </c>
      <c r="J26" s="165" t="str">
        <f aca="false">IF(Salary_Calculation[[#This Row],[Source Row]]="","",IF(Rate_Method="Fixed rate",Fixed_Rate,IF(N(Salary_Calculation[[#This Row],[Basic Payment]])&gt;0,N(Salary_Calculation[[#This Row],[Basic Payment]])/Std_Orders,0)))</f>
        <v/>
      </c>
      <c r="K26" s="165" t="str">
        <f aca="false">IF(Salary_Calculation[[#This Row],[Source Row]]="","",MAX(MIN(N(Salary_Calculation[[#This Row],[Completed Orders]]),Salary_Calculation[[#This Row],[Rider Target Orders]]),0))</f>
        <v/>
      </c>
      <c r="L26" s="164" t="str">
        <f aca="false">IF(Salary_Calculation[[#This Row],[Source Row]]="","",Salary_Calculation[[#This Row],[Orders Counted at Base Rate]]*Salary_Calculation[[#This Row],[Base Order Rate]])</f>
        <v/>
      </c>
      <c r="M26" s="165" t="str">
        <f aca="false">IF(Salary_Calculation[[#This Row],[Source Row]]="","",MAX(Salary_Calculation[[#This Row],[Rider Target Orders]]-N(Salary_Calculation[[#This Row],[Completed Orders]]),0))</f>
        <v/>
      </c>
      <c r="N26" s="164" t="str">
        <f aca="false">IF(Salary_Calculation[[#This Row],[Source Row]]="","",Salary_Calculation[[#This Row],[Missing Orders]]*Missing_Rate)</f>
        <v/>
      </c>
      <c r="O26" s="165" t="str">
        <f aca="false">IF(Salary_Calculation[[#This Row],[Source Row]]="","",MAX(N(Salary_Calculation[[#This Row],[Completed Orders]])-Salary_Calculation[[#This Row],[Rider Target Orders]],0))</f>
        <v/>
      </c>
      <c r="P26" s="164" t="str">
        <f aca="false">IF(Salary_Calculation[[#This Row],[Source Row]]="","",Salary_Calculation[[#This Row],[Extra Orders]]*Extra_Rate)</f>
        <v/>
      </c>
      <c r="Q26" s="164" t="str">
        <f aca="false">IF(Salary_Calculation[[#This Row],[Source Row]]="","",MAX(Salary_Calculation[[#This Row],[Salary Before Other Deductions]],0))</f>
        <v/>
      </c>
      <c r="R26" s="164" t="str">
        <f aca="false">IF(Salary_Calculation[[#This Row],[Source Row]]="","",N(INDEX(Rider_Input[missed_days_penalty],Salary_Calculation[[#This Row],[Source Row]])))</f>
        <v/>
      </c>
      <c r="S26" s="164" t="str">
        <f aca="false">IF(Salary_Calculation[[#This Row],[Source Row]]="","",N(INDEX(Rider_Input[Rider Balance / محفظة المندوب],Salary_Calculation[[#This Row],[Source Row]])))</f>
        <v/>
      </c>
      <c r="T26" s="164" t="str">
        <f aca="false">IF(Salary_Calculation[[#This Row],[Source Row]]="","",N(INDEX(Rider_Input[stacking_deduction / خصم الطلبات المتعددة],Salary_Calculation[[#This Row],[Source Row]])))</f>
        <v/>
      </c>
      <c r="U26" s="164" t="str">
        <f aca="false">IF(Salary_Calculation[[#This Row],[Source Row]]="","",N(INDEX(Rider_Input[Other Deductions],Salary_Calculation[[#This Row],[Source Row]])))</f>
        <v/>
      </c>
      <c r="V26" s="164" t="str">
        <f aca="false">IF(Salary_Calculation[[#This Row],[Source Row]]="","",N(Salary_Calculation[[#This Row],[missed_days_penalty]])+N(Salary_Calculation[[#This Row],[Rider Balance]])+N(Salary_Calculation[[#This Row],[stacking_deduction]])+N(Salary_Calculation[[#This Row],[Other Deductions]]))</f>
        <v/>
      </c>
      <c r="W26" s="167" t="str">
        <f aca="false">IF(Salary_Calculation[[#This Row],[Source Row]]="","",ROUND(MAX(Salary_Calculation[[#This Row],[Gross Salary Before Deductions]]-Salary_Calculation[[#This Row],[Total Deductions]],0),2))</f>
        <v/>
      </c>
      <c r="X26" s="164" t="str">
        <f aca="false">IF(Salary_Calculation[[#This Row],[Source Row]]="","",ROUND(MAX(Salary_Calculation[[#This Row],[Missing-Order Deduction]]-Salary_Calculation[[#This Row],[Earned Salary]],0),2))</f>
        <v/>
      </c>
      <c r="Y2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6" s="163" t="str">
        <f aca="false">IF(Salary_Calculation[[#This Row],[Source Row]]="","",IF(INDEX(Rider_Input[Notes],Salary_Calculation[[#This Row],[Source Row]])="","",INDEX(Rider_Input[Notes],Salary_Calculation[[#This Row],[Source Row]])))</f>
        <v/>
      </c>
      <c r="AA26" s="164" t="str">
        <f aca="false">IF(Salary_Calculation[[#This Row],[Source Row]]="","",Salary_Calculation[[#This Row],[Earned Salary]]-Salary_Calculation[[#This Row],[Missing-Order Deduction]]+Salary_Calculation[[#This Row],[Extra-Order Bonus]])</f>
        <v/>
      </c>
      <c r="AB26" s="164" t="str">
        <f aca="false">IF(Salary_Calculation[[#This Row],[Source Row]]="","",ROUND(Salary_Calculation[[#This Row],[Negative Balance / Amount Due from Rider]]+MAX(Salary_Calculation[[#This Row],[Total Deductions]]-Salary_Calculation[[#This Row],[Gross Salary Before Deductions]],0),2))</f>
        <v/>
      </c>
      <c r="AC2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6" s="164" t="str">
        <f aca="false">IF(Salary_Calculation[[#This Row],[Source Row]]="","",Salary_Calculation[[#This Row],[Rider Target Orders]]*Salary_Calculation[[#This Row],[Base Order Rate]])</f>
        <v/>
      </c>
      <c r="AE26" s="162" t="str">
        <f aca="false">IF(SUMPRODUCT(--(LEN(INDEX(Rider_Input[#Data],ROW()-ROW(Salary_Calculation[#Headers]),0))&gt;0))=0,"",ROW()-ROW(Salary_Calculation[#Headers]))</f>
        <v/>
      </c>
    </row>
    <row r="27" customFormat="false" ht="14.25" hidden="false" customHeight="false" outlineLevel="0" collapsed="false">
      <c r="A27" s="161" t="str">
        <f aca="false">IF(Salary_Calculation[[#This Row],[Source Row]]="","",IF(INDEX(Rider_Input[Salary Month],Salary_Calculation[[#This Row],[Source Row]])="","",INDEX(Rider_Input[Salary Month],Salary_Calculation[[#This Row],[Source Row]])))</f>
        <v/>
      </c>
      <c r="B27" s="162" t="str">
        <f aca="false">IF(Salary_Calculation[[#This Row],[Source Row]]="","",IF(INDEX(Rider_Input[Rider ID],Salary_Calculation[[#This Row],[Source Row]])="","",INDEX(Rider_Input[Rider ID],Salary_Calculation[[#This Row],[Source Row]])))</f>
        <v/>
      </c>
      <c r="C27" s="163" t="str">
        <f aca="false">IF(Salary_Calculation[[#This Row],[Source Row]]="","",IF(INDEX(Rider_Input[Rider Name],Salary_Calculation[[#This Row],[Source Row]])="","",INDEX(Rider_Input[Rider Name],Salary_Calculation[[#This Row],[Source Row]])))</f>
        <v/>
      </c>
      <c r="D27" s="164" t="str">
        <f aca="false">IF(Salary_Calculation[[#This Row],[Source Row]]="","",IF(INDEX(Rider_Input[Basic Payment],Salary_Calculation[[#This Row],[Source Row]])="","",INDEX(Rider_Input[Basic Payment],Salary_Calculation[[#This Row],[Source Row]])))</f>
        <v/>
      </c>
      <c r="E27" s="162" t="str">
        <f aca="false">IF(Salary_Calculation[[#This Row],[Source Row]]="","",IF(INDEX(Rider_Input[Calendar Days in Month],Salary_Calculation[[#This Row],[Source Row]])="","",INDEX(Rider_Input[Calendar Days in Month],Salary_Calculation[[#This Row],[Source Row]])))</f>
        <v/>
      </c>
      <c r="F27" s="162" t="str">
        <f aca="false">IF(Salary_Calculation[[#This Row],[Source Row]]="","",IF(INDEX(Rider_Input[Working Days],Salary_Calculation[[#This Row],[Source Row]])="","",INDEX(Rider_Input[Working Days],Salary_Calculation[[#This Row],[Source Row]])))</f>
        <v/>
      </c>
      <c r="G27" s="165" t="str">
        <f aca="false">IF(Salary_Calculation[[#This Row],[Source Row]]="","",Std_Orders/Std_Days*N(Salary_Calculation[[#This Row],[Calendar Days]]))</f>
        <v/>
      </c>
      <c r="H27" s="165" t="str">
        <f aca="false">IF(Salary_Calculation[[#This Row],[Source Row]]="","",IF(N(Salary_Calculation[[#This Row],[Calendar Days]])&gt;0,Salary_Calculation[[#This Row],[Monthly Target Orders]]/N(Salary_Calculation[[#This Row],[Calendar Days]])*N(Salary_Calculation[[#This Row],[Working Days]]),0))</f>
        <v/>
      </c>
      <c r="I27" s="166" t="str">
        <f aca="false">IF(Salary_Calculation[[#This Row],[Source Row]]="","",IF(INDEX(Rider_Input[Completed Orders],Salary_Calculation[[#This Row],[Source Row]])="","",INDEX(Rider_Input[Completed Orders],Salary_Calculation[[#This Row],[Source Row]])))</f>
        <v/>
      </c>
      <c r="J27" s="165" t="str">
        <f aca="false">IF(Salary_Calculation[[#This Row],[Source Row]]="","",IF(Rate_Method="Fixed rate",Fixed_Rate,IF(N(Salary_Calculation[[#This Row],[Basic Payment]])&gt;0,N(Salary_Calculation[[#This Row],[Basic Payment]])/Std_Orders,0)))</f>
        <v/>
      </c>
      <c r="K27" s="165" t="str">
        <f aca="false">IF(Salary_Calculation[[#This Row],[Source Row]]="","",MAX(MIN(N(Salary_Calculation[[#This Row],[Completed Orders]]),Salary_Calculation[[#This Row],[Rider Target Orders]]),0))</f>
        <v/>
      </c>
      <c r="L27" s="164" t="str">
        <f aca="false">IF(Salary_Calculation[[#This Row],[Source Row]]="","",Salary_Calculation[[#This Row],[Orders Counted at Base Rate]]*Salary_Calculation[[#This Row],[Base Order Rate]])</f>
        <v/>
      </c>
      <c r="M27" s="165" t="str">
        <f aca="false">IF(Salary_Calculation[[#This Row],[Source Row]]="","",MAX(Salary_Calculation[[#This Row],[Rider Target Orders]]-N(Salary_Calculation[[#This Row],[Completed Orders]]),0))</f>
        <v/>
      </c>
      <c r="N27" s="164" t="str">
        <f aca="false">IF(Salary_Calculation[[#This Row],[Source Row]]="","",Salary_Calculation[[#This Row],[Missing Orders]]*Missing_Rate)</f>
        <v/>
      </c>
      <c r="O27" s="165" t="str">
        <f aca="false">IF(Salary_Calculation[[#This Row],[Source Row]]="","",MAX(N(Salary_Calculation[[#This Row],[Completed Orders]])-Salary_Calculation[[#This Row],[Rider Target Orders]],0))</f>
        <v/>
      </c>
      <c r="P27" s="164" t="str">
        <f aca="false">IF(Salary_Calculation[[#This Row],[Source Row]]="","",Salary_Calculation[[#This Row],[Extra Orders]]*Extra_Rate)</f>
        <v/>
      </c>
      <c r="Q27" s="164" t="str">
        <f aca="false">IF(Salary_Calculation[[#This Row],[Source Row]]="","",MAX(Salary_Calculation[[#This Row],[Salary Before Other Deductions]],0))</f>
        <v/>
      </c>
      <c r="R27" s="164" t="str">
        <f aca="false">IF(Salary_Calculation[[#This Row],[Source Row]]="","",N(INDEX(Rider_Input[missed_days_penalty],Salary_Calculation[[#This Row],[Source Row]])))</f>
        <v/>
      </c>
      <c r="S27" s="164" t="str">
        <f aca="false">IF(Salary_Calculation[[#This Row],[Source Row]]="","",N(INDEX(Rider_Input[Rider Balance / محفظة المندوب],Salary_Calculation[[#This Row],[Source Row]])))</f>
        <v/>
      </c>
      <c r="T27" s="164" t="str">
        <f aca="false">IF(Salary_Calculation[[#This Row],[Source Row]]="","",N(INDEX(Rider_Input[stacking_deduction / خصم الطلبات المتعددة],Salary_Calculation[[#This Row],[Source Row]])))</f>
        <v/>
      </c>
      <c r="U27" s="164" t="str">
        <f aca="false">IF(Salary_Calculation[[#This Row],[Source Row]]="","",N(INDEX(Rider_Input[Other Deductions],Salary_Calculation[[#This Row],[Source Row]])))</f>
        <v/>
      </c>
      <c r="V27" s="164" t="str">
        <f aca="false">IF(Salary_Calculation[[#This Row],[Source Row]]="","",N(Salary_Calculation[[#This Row],[missed_days_penalty]])+N(Salary_Calculation[[#This Row],[Rider Balance]])+N(Salary_Calculation[[#This Row],[stacking_deduction]])+N(Salary_Calculation[[#This Row],[Other Deductions]]))</f>
        <v/>
      </c>
      <c r="W27" s="167" t="str">
        <f aca="false">IF(Salary_Calculation[[#This Row],[Source Row]]="","",ROUND(MAX(Salary_Calculation[[#This Row],[Gross Salary Before Deductions]]-Salary_Calculation[[#This Row],[Total Deductions]],0),2))</f>
        <v/>
      </c>
      <c r="X27" s="164" t="str">
        <f aca="false">IF(Salary_Calculation[[#This Row],[Source Row]]="","",ROUND(MAX(Salary_Calculation[[#This Row],[Missing-Order Deduction]]-Salary_Calculation[[#This Row],[Earned Salary]],0),2))</f>
        <v/>
      </c>
      <c r="Y2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7" s="163" t="str">
        <f aca="false">IF(Salary_Calculation[[#This Row],[Source Row]]="","",IF(INDEX(Rider_Input[Notes],Salary_Calculation[[#This Row],[Source Row]])="","",INDEX(Rider_Input[Notes],Salary_Calculation[[#This Row],[Source Row]])))</f>
        <v/>
      </c>
      <c r="AA27" s="164" t="str">
        <f aca="false">IF(Salary_Calculation[[#This Row],[Source Row]]="","",Salary_Calculation[[#This Row],[Earned Salary]]-Salary_Calculation[[#This Row],[Missing-Order Deduction]]+Salary_Calculation[[#This Row],[Extra-Order Bonus]])</f>
        <v/>
      </c>
      <c r="AB27" s="164" t="str">
        <f aca="false">IF(Salary_Calculation[[#This Row],[Source Row]]="","",ROUND(Salary_Calculation[[#This Row],[Negative Balance / Amount Due from Rider]]+MAX(Salary_Calculation[[#This Row],[Total Deductions]]-Salary_Calculation[[#This Row],[Gross Salary Before Deductions]],0),2))</f>
        <v/>
      </c>
      <c r="AC2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7" s="164" t="str">
        <f aca="false">IF(Salary_Calculation[[#This Row],[Source Row]]="","",Salary_Calculation[[#This Row],[Rider Target Orders]]*Salary_Calculation[[#This Row],[Base Order Rate]])</f>
        <v/>
      </c>
      <c r="AE27" s="162" t="str">
        <f aca="false">IF(SUMPRODUCT(--(LEN(INDEX(Rider_Input[#Data],ROW()-ROW(Salary_Calculation[#Headers]),0))&gt;0))=0,"",ROW()-ROW(Salary_Calculation[#Headers]))</f>
        <v/>
      </c>
    </row>
    <row r="28" customFormat="false" ht="14.25" hidden="false" customHeight="false" outlineLevel="0" collapsed="false">
      <c r="A28" s="161" t="str">
        <f aca="false">IF(Salary_Calculation[[#This Row],[Source Row]]="","",IF(INDEX(Rider_Input[Salary Month],Salary_Calculation[[#This Row],[Source Row]])="","",INDEX(Rider_Input[Salary Month],Salary_Calculation[[#This Row],[Source Row]])))</f>
        <v/>
      </c>
      <c r="B28" s="162" t="str">
        <f aca="false">IF(Salary_Calculation[[#This Row],[Source Row]]="","",IF(INDEX(Rider_Input[Rider ID],Salary_Calculation[[#This Row],[Source Row]])="","",INDEX(Rider_Input[Rider ID],Salary_Calculation[[#This Row],[Source Row]])))</f>
        <v/>
      </c>
      <c r="C28" s="163" t="str">
        <f aca="false">IF(Salary_Calculation[[#This Row],[Source Row]]="","",IF(INDEX(Rider_Input[Rider Name],Salary_Calculation[[#This Row],[Source Row]])="","",INDEX(Rider_Input[Rider Name],Salary_Calculation[[#This Row],[Source Row]])))</f>
        <v/>
      </c>
      <c r="D28" s="164" t="str">
        <f aca="false">IF(Salary_Calculation[[#This Row],[Source Row]]="","",IF(INDEX(Rider_Input[Basic Payment],Salary_Calculation[[#This Row],[Source Row]])="","",INDEX(Rider_Input[Basic Payment],Salary_Calculation[[#This Row],[Source Row]])))</f>
        <v/>
      </c>
      <c r="E28" s="162" t="str">
        <f aca="false">IF(Salary_Calculation[[#This Row],[Source Row]]="","",IF(INDEX(Rider_Input[Calendar Days in Month],Salary_Calculation[[#This Row],[Source Row]])="","",INDEX(Rider_Input[Calendar Days in Month],Salary_Calculation[[#This Row],[Source Row]])))</f>
        <v/>
      </c>
      <c r="F28" s="162" t="str">
        <f aca="false">IF(Salary_Calculation[[#This Row],[Source Row]]="","",IF(INDEX(Rider_Input[Working Days],Salary_Calculation[[#This Row],[Source Row]])="","",INDEX(Rider_Input[Working Days],Salary_Calculation[[#This Row],[Source Row]])))</f>
        <v/>
      </c>
      <c r="G28" s="165" t="str">
        <f aca="false">IF(Salary_Calculation[[#This Row],[Source Row]]="","",Std_Orders/Std_Days*N(Salary_Calculation[[#This Row],[Calendar Days]]))</f>
        <v/>
      </c>
      <c r="H28" s="165" t="str">
        <f aca="false">IF(Salary_Calculation[[#This Row],[Source Row]]="","",IF(N(Salary_Calculation[[#This Row],[Calendar Days]])&gt;0,Salary_Calculation[[#This Row],[Monthly Target Orders]]/N(Salary_Calculation[[#This Row],[Calendar Days]])*N(Salary_Calculation[[#This Row],[Working Days]]),0))</f>
        <v/>
      </c>
      <c r="I28" s="166" t="str">
        <f aca="false">IF(Salary_Calculation[[#This Row],[Source Row]]="","",IF(INDEX(Rider_Input[Completed Orders],Salary_Calculation[[#This Row],[Source Row]])="","",INDEX(Rider_Input[Completed Orders],Salary_Calculation[[#This Row],[Source Row]])))</f>
        <v/>
      </c>
      <c r="J28" s="165" t="str">
        <f aca="false">IF(Salary_Calculation[[#This Row],[Source Row]]="","",IF(Rate_Method="Fixed rate",Fixed_Rate,IF(N(Salary_Calculation[[#This Row],[Basic Payment]])&gt;0,N(Salary_Calculation[[#This Row],[Basic Payment]])/Std_Orders,0)))</f>
        <v/>
      </c>
      <c r="K28" s="165" t="str">
        <f aca="false">IF(Salary_Calculation[[#This Row],[Source Row]]="","",MAX(MIN(N(Salary_Calculation[[#This Row],[Completed Orders]]),Salary_Calculation[[#This Row],[Rider Target Orders]]),0))</f>
        <v/>
      </c>
      <c r="L28" s="164" t="str">
        <f aca="false">IF(Salary_Calculation[[#This Row],[Source Row]]="","",Salary_Calculation[[#This Row],[Orders Counted at Base Rate]]*Salary_Calculation[[#This Row],[Base Order Rate]])</f>
        <v/>
      </c>
      <c r="M28" s="165" t="str">
        <f aca="false">IF(Salary_Calculation[[#This Row],[Source Row]]="","",MAX(Salary_Calculation[[#This Row],[Rider Target Orders]]-N(Salary_Calculation[[#This Row],[Completed Orders]]),0))</f>
        <v/>
      </c>
      <c r="N28" s="164" t="str">
        <f aca="false">IF(Salary_Calculation[[#This Row],[Source Row]]="","",Salary_Calculation[[#This Row],[Missing Orders]]*Missing_Rate)</f>
        <v/>
      </c>
      <c r="O28" s="165" t="str">
        <f aca="false">IF(Salary_Calculation[[#This Row],[Source Row]]="","",MAX(N(Salary_Calculation[[#This Row],[Completed Orders]])-Salary_Calculation[[#This Row],[Rider Target Orders]],0))</f>
        <v/>
      </c>
      <c r="P28" s="164" t="str">
        <f aca="false">IF(Salary_Calculation[[#This Row],[Source Row]]="","",Salary_Calculation[[#This Row],[Extra Orders]]*Extra_Rate)</f>
        <v/>
      </c>
      <c r="Q28" s="164" t="str">
        <f aca="false">IF(Salary_Calculation[[#This Row],[Source Row]]="","",MAX(Salary_Calculation[[#This Row],[Salary Before Other Deductions]],0))</f>
        <v/>
      </c>
      <c r="R28" s="164" t="str">
        <f aca="false">IF(Salary_Calculation[[#This Row],[Source Row]]="","",N(INDEX(Rider_Input[missed_days_penalty],Salary_Calculation[[#This Row],[Source Row]])))</f>
        <v/>
      </c>
      <c r="S28" s="164" t="str">
        <f aca="false">IF(Salary_Calculation[[#This Row],[Source Row]]="","",N(INDEX(Rider_Input[Rider Balance / محفظة المندوب],Salary_Calculation[[#This Row],[Source Row]])))</f>
        <v/>
      </c>
      <c r="T28" s="164" t="str">
        <f aca="false">IF(Salary_Calculation[[#This Row],[Source Row]]="","",N(INDEX(Rider_Input[stacking_deduction / خصم الطلبات المتعددة],Salary_Calculation[[#This Row],[Source Row]])))</f>
        <v/>
      </c>
      <c r="U28" s="164" t="str">
        <f aca="false">IF(Salary_Calculation[[#This Row],[Source Row]]="","",N(INDEX(Rider_Input[Other Deductions],Salary_Calculation[[#This Row],[Source Row]])))</f>
        <v/>
      </c>
      <c r="V28" s="164" t="str">
        <f aca="false">IF(Salary_Calculation[[#This Row],[Source Row]]="","",N(Salary_Calculation[[#This Row],[missed_days_penalty]])+N(Salary_Calculation[[#This Row],[Rider Balance]])+N(Salary_Calculation[[#This Row],[stacking_deduction]])+N(Salary_Calculation[[#This Row],[Other Deductions]]))</f>
        <v/>
      </c>
      <c r="W28" s="167" t="str">
        <f aca="false">IF(Salary_Calculation[[#This Row],[Source Row]]="","",ROUND(MAX(Salary_Calculation[[#This Row],[Gross Salary Before Deductions]]-Salary_Calculation[[#This Row],[Total Deductions]],0),2))</f>
        <v/>
      </c>
      <c r="X28" s="164" t="str">
        <f aca="false">IF(Salary_Calculation[[#This Row],[Source Row]]="","",ROUND(MAX(Salary_Calculation[[#This Row],[Missing-Order Deduction]]-Salary_Calculation[[#This Row],[Earned Salary]],0),2))</f>
        <v/>
      </c>
      <c r="Y2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8" s="163" t="str">
        <f aca="false">IF(Salary_Calculation[[#This Row],[Source Row]]="","",IF(INDEX(Rider_Input[Notes],Salary_Calculation[[#This Row],[Source Row]])="","",INDEX(Rider_Input[Notes],Salary_Calculation[[#This Row],[Source Row]])))</f>
        <v/>
      </c>
      <c r="AA28" s="164" t="str">
        <f aca="false">IF(Salary_Calculation[[#This Row],[Source Row]]="","",Salary_Calculation[[#This Row],[Earned Salary]]-Salary_Calculation[[#This Row],[Missing-Order Deduction]]+Salary_Calculation[[#This Row],[Extra-Order Bonus]])</f>
        <v/>
      </c>
      <c r="AB28" s="164" t="str">
        <f aca="false">IF(Salary_Calculation[[#This Row],[Source Row]]="","",ROUND(Salary_Calculation[[#This Row],[Negative Balance / Amount Due from Rider]]+MAX(Salary_Calculation[[#This Row],[Total Deductions]]-Salary_Calculation[[#This Row],[Gross Salary Before Deductions]],0),2))</f>
        <v/>
      </c>
      <c r="AC2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8" s="164" t="str">
        <f aca="false">IF(Salary_Calculation[[#This Row],[Source Row]]="","",Salary_Calculation[[#This Row],[Rider Target Orders]]*Salary_Calculation[[#This Row],[Base Order Rate]])</f>
        <v/>
      </c>
      <c r="AE28" s="162" t="str">
        <f aca="false">IF(SUMPRODUCT(--(LEN(INDEX(Rider_Input[#Data],ROW()-ROW(Salary_Calculation[#Headers]),0))&gt;0))=0,"",ROW()-ROW(Salary_Calculation[#Headers]))</f>
        <v/>
      </c>
    </row>
    <row r="29" customFormat="false" ht="14.25" hidden="false" customHeight="false" outlineLevel="0" collapsed="false">
      <c r="A29" s="161" t="str">
        <f aca="false">IF(Salary_Calculation[[#This Row],[Source Row]]="","",IF(INDEX(Rider_Input[Salary Month],Salary_Calculation[[#This Row],[Source Row]])="","",INDEX(Rider_Input[Salary Month],Salary_Calculation[[#This Row],[Source Row]])))</f>
        <v/>
      </c>
      <c r="B29" s="162" t="str">
        <f aca="false">IF(Salary_Calculation[[#This Row],[Source Row]]="","",IF(INDEX(Rider_Input[Rider ID],Salary_Calculation[[#This Row],[Source Row]])="","",INDEX(Rider_Input[Rider ID],Salary_Calculation[[#This Row],[Source Row]])))</f>
        <v/>
      </c>
      <c r="C29" s="163" t="str">
        <f aca="false">IF(Salary_Calculation[[#This Row],[Source Row]]="","",IF(INDEX(Rider_Input[Rider Name],Salary_Calculation[[#This Row],[Source Row]])="","",INDEX(Rider_Input[Rider Name],Salary_Calculation[[#This Row],[Source Row]])))</f>
        <v/>
      </c>
      <c r="D29" s="164" t="str">
        <f aca="false">IF(Salary_Calculation[[#This Row],[Source Row]]="","",IF(INDEX(Rider_Input[Basic Payment],Salary_Calculation[[#This Row],[Source Row]])="","",INDEX(Rider_Input[Basic Payment],Salary_Calculation[[#This Row],[Source Row]])))</f>
        <v/>
      </c>
      <c r="E29" s="162" t="str">
        <f aca="false">IF(Salary_Calculation[[#This Row],[Source Row]]="","",IF(INDEX(Rider_Input[Calendar Days in Month],Salary_Calculation[[#This Row],[Source Row]])="","",INDEX(Rider_Input[Calendar Days in Month],Salary_Calculation[[#This Row],[Source Row]])))</f>
        <v/>
      </c>
      <c r="F29" s="162" t="str">
        <f aca="false">IF(Salary_Calculation[[#This Row],[Source Row]]="","",IF(INDEX(Rider_Input[Working Days],Salary_Calculation[[#This Row],[Source Row]])="","",INDEX(Rider_Input[Working Days],Salary_Calculation[[#This Row],[Source Row]])))</f>
        <v/>
      </c>
      <c r="G29" s="165" t="str">
        <f aca="false">IF(Salary_Calculation[[#This Row],[Source Row]]="","",Std_Orders/Std_Days*N(Salary_Calculation[[#This Row],[Calendar Days]]))</f>
        <v/>
      </c>
      <c r="H29" s="165" t="str">
        <f aca="false">IF(Salary_Calculation[[#This Row],[Source Row]]="","",IF(N(Salary_Calculation[[#This Row],[Calendar Days]])&gt;0,Salary_Calculation[[#This Row],[Monthly Target Orders]]/N(Salary_Calculation[[#This Row],[Calendar Days]])*N(Salary_Calculation[[#This Row],[Working Days]]),0))</f>
        <v/>
      </c>
      <c r="I29" s="166" t="str">
        <f aca="false">IF(Salary_Calculation[[#This Row],[Source Row]]="","",IF(INDEX(Rider_Input[Completed Orders],Salary_Calculation[[#This Row],[Source Row]])="","",INDEX(Rider_Input[Completed Orders],Salary_Calculation[[#This Row],[Source Row]])))</f>
        <v/>
      </c>
      <c r="J29" s="165" t="str">
        <f aca="false">IF(Salary_Calculation[[#This Row],[Source Row]]="","",IF(Rate_Method="Fixed rate",Fixed_Rate,IF(N(Salary_Calculation[[#This Row],[Basic Payment]])&gt;0,N(Salary_Calculation[[#This Row],[Basic Payment]])/Std_Orders,0)))</f>
        <v/>
      </c>
      <c r="K29" s="165" t="str">
        <f aca="false">IF(Salary_Calculation[[#This Row],[Source Row]]="","",MAX(MIN(N(Salary_Calculation[[#This Row],[Completed Orders]]),Salary_Calculation[[#This Row],[Rider Target Orders]]),0))</f>
        <v/>
      </c>
      <c r="L29" s="164" t="str">
        <f aca="false">IF(Salary_Calculation[[#This Row],[Source Row]]="","",Salary_Calculation[[#This Row],[Orders Counted at Base Rate]]*Salary_Calculation[[#This Row],[Base Order Rate]])</f>
        <v/>
      </c>
      <c r="M29" s="165" t="str">
        <f aca="false">IF(Salary_Calculation[[#This Row],[Source Row]]="","",MAX(Salary_Calculation[[#This Row],[Rider Target Orders]]-N(Salary_Calculation[[#This Row],[Completed Orders]]),0))</f>
        <v/>
      </c>
      <c r="N29" s="164" t="str">
        <f aca="false">IF(Salary_Calculation[[#This Row],[Source Row]]="","",Salary_Calculation[[#This Row],[Missing Orders]]*Missing_Rate)</f>
        <v/>
      </c>
      <c r="O29" s="165" t="str">
        <f aca="false">IF(Salary_Calculation[[#This Row],[Source Row]]="","",MAX(N(Salary_Calculation[[#This Row],[Completed Orders]])-Salary_Calculation[[#This Row],[Rider Target Orders]],0))</f>
        <v/>
      </c>
      <c r="P29" s="164" t="str">
        <f aca="false">IF(Salary_Calculation[[#This Row],[Source Row]]="","",Salary_Calculation[[#This Row],[Extra Orders]]*Extra_Rate)</f>
        <v/>
      </c>
      <c r="Q29" s="164" t="str">
        <f aca="false">IF(Salary_Calculation[[#This Row],[Source Row]]="","",MAX(Salary_Calculation[[#This Row],[Salary Before Other Deductions]],0))</f>
        <v/>
      </c>
      <c r="R29" s="164" t="str">
        <f aca="false">IF(Salary_Calculation[[#This Row],[Source Row]]="","",N(INDEX(Rider_Input[missed_days_penalty],Salary_Calculation[[#This Row],[Source Row]])))</f>
        <v/>
      </c>
      <c r="S29" s="164" t="str">
        <f aca="false">IF(Salary_Calculation[[#This Row],[Source Row]]="","",N(INDEX(Rider_Input[Rider Balance / محفظة المندوب],Salary_Calculation[[#This Row],[Source Row]])))</f>
        <v/>
      </c>
      <c r="T29" s="164" t="str">
        <f aca="false">IF(Salary_Calculation[[#This Row],[Source Row]]="","",N(INDEX(Rider_Input[stacking_deduction / خصم الطلبات المتعددة],Salary_Calculation[[#This Row],[Source Row]])))</f>
        <v/>
      </c>
      <c r="U29" s="164" t="str">
        <f aca="false">IF(Salary_Calculation[[#This Row],[Source Row]]="","",N(INDEX(Rider_Input[Other Deductions],Salary_Calculation[[#This Row],[Source Row]])))</f>
        <v/>
      </c>
      <c r="V29" s="164" t="str">
        <f aca="false">IF(Salary_Calculation[[#This Row],[Source Row]]="","",N(Salary_Calculation[[#This Row],[missed_days_penalty]])+N(Salary_Calculation[[#This Row],[Rider Balance]])+N(Salary_Calculation[[#This Row],[stacking_deduction]])+N(Salary_Calculation[[#This Row],[Other Deductions]]))</f>
        <v/>
      </c>
      <c r="W29" s="167" t="str">
        <f aca="false">IF(Salary_Calculation[[#This Row],[Source Row]]="","",ROUND(MAX(Salary_Calculation[[#This Row],[Gross Salary Before Deductions]]-Salary_Calculation[[#This Row],[Total Deductions]],0),2))</f>
        <v/>
      </c>
      <c r="X29" s="164" t="str">
        <f aca="false">IF(Salary_Calculation[[#This Row],[Source Row]]="","",ROUND(MAX(Salary_Calculation[[#This Row],[Missing-Order Deduction]]-Salary_Calculation[[#This Row],[Earned Salary]],0),2))</f>
        <v/>
      </c>
      <c r="Y2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9" s="163" t="str">
        <f aca="false">IF(Salary_Calculation[[#This Row],[Source Row]]="","",IF(INDEX(Rider_Input[Notes],Salary_Calculation[[#This Row],[Source Row]])="","",INDEX(Rider_Input[Notes],Salary_Calculation[[#This Row],[Source Row]])))</f>
        <v/>
      </c>
      <c r="AA29" s="164" t="str">
        <f aca="false">IF(Salary_Calculation[[#This Row],[Source Row]]="","",Salary_Calculation[[#This Row],[Earned Salary]]-Salary_Calculation[[#This Row],[Missing-Order Deduction]]+Salary_Calculation[[#This Row],[Extra-Order Bonus]])</f>
        <v/>
      </c>
      <c r="AB29" s="164" t="str">
        <f aca="false">IF(Salary_Calculation[[#This Row],[Source Row]]="","",ROUND(Salary_Calculation[[#This Row],[Negative Balance / Amount Due from Rider]]+MAX(Salary_Calculation[[#This Row],[Total Deductions]]-Salary_Calculation[[#This Row],[Gross Salary Before Deductions]],0),2))</f>
        <v/>
      </c>
      <c r="AC2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9" s="164" t="str">
        <f aca="false">IF(Salary_Calculation[[#This Row],[Source Row]]="","",Salary_Calculation[[#This Row],[Rider Target Orders]]*Salary_Calculation[[#This Row],[Base Order Rate]])</f>
        <v/>
      </c>
      <c r="AE29" s="162" t="str">
        <f aca="false">IF(SUMPRODUCT(--(LEN(INDEX(Rider_Input[#Data],ROW()-ROW(Salary_Calculation[#Headers]),0))&gt;0))=0,"",ROW()-ROW(Salary_Calculation[#Headers]))</f>
        <v/>
      </c>
    </row>
    <row r="30" customFormat="false" ht="14.25" hidden="false" customHeight="false" outlineLevel="0" collapsed="false">
      <c r="A30" s="161" t="str">
        <f aca="false">IF(Salary_Calculation[[#This Row],[Source Row]]="","",IF(INDEX(Rider_Input[Salary Month],Salary_Calculation[[#This Row],[Source Row]])="","",INDEX(Rider_Input[Salary Month],Salary_Calculation[[#This Row],[Source Row]])))</f>
        <v/>
      </c>
      <c r="B30" s="162" t="str">
        <f aca="false">IF(Salary_Calculation[[#This Row],[Source Row]]="","",IF(INDEX(Rider_Input[Rider ID],Salary_Calculation[[#This Row],[Source Row]])="","",INDEX(Rider_Input[Rider ID],Salary_Calculation[[#This Row],[Source Row]])))</f>
        <v/>
      </c>
      <c r="C30" s="163" t="str">
        <f aca="false">IF(Salary_Calculation[[#This Row],[Source Row]]="","",IF(INDEX(Rider_Input[Rider Name],Salary_Calculation[[#This Row],[Source Row]])="","",INDEX(Rider_Input[Rider Name],Salary_Calculation[[#This Row],[Source Row]])))</f>
        <v/>
      </c>
      <c r="D30" s="164" t="str">
        <f aca="false">IF(Salary_Calculation[[#This Row],[Source Row]]="","",IF(INDEX(Rider_Input[Basic Payment],Salary_Calculation[[#This Row],[Source Row]])="","",INDEX(Rider_Input[Basic Payment],Salary_Calculation[[#This Row],[Source Row]])))</f>
        <v/>
      </c>
      <c r="E30" s="162" t="str">
        <f aca="false">IF(Salary_Calculation[[#This Row],[Source Row]]="","",IF(INDEX(Rider_Input[Calendar Days in Month],Salary_Calculation[[#This Row],[Source Row]])="","",INDEX(Rider_Input[Calendar Days in Month],Salary_Calculation[[#This Row],[Source Row]])))</f>
        <v/>
      </c>
      <c r="F30" s="162" t="str">
        <f aca="false">IF(Salary_Calculation[[#This Row],[Source Row]]="","",IF(INDEX(Rider_Input[Working Days],Salary_Calculation[[#This Row],[Source Row]])="","",INDEX(Rider_Input[Working Days],Salary_Calculation[[#This Row],[Source Row]])))</f>
        <v/>
      </c>
      <c r="G30" s="165" t="str">
        <f aca="false">IF(Salary_Calculation[[#This Row],[Source Row]]="","",Std_Orders/Std_Days*N(Salary_Calculation[[#This Row],[Calendar Days]]))</f>
        <v/>
      </c>
      <c r="H30" s="165" t="str">
        <f aca="false">IF(Salary_Calculation[[#This Row],[Source Row]]="","",IF(N(Salary_Calculation[[#This Row],[Calendar Days]])&gt;0,Salary_Calculation[[#This Row],[Monthly Target Orders]]/N(Salary_Calculation[[#This Row],[Calendar Days]])*N(Salary_Calculation[[#This Row],[Working Days]]),0))</f>
        <v/>
      </c>
      <c r="I30" s="166" t="str">
        <f aca="false">IF(Salary_Calculation[[#This Row],[Source Row]]="","",IF(INDEX(Rider_Input[Completed Orders],Salary_Calculation[[#This Row],[Source Row]])="","",INDEX(Rider_Input[Completed Orders],Salary_Calculation[[#This Row],[Source Row]])))</f>
        <v/>
      </c>
      <c r="J30" s="165" t="str">
        <f aca="false">IF(Salary_Calculation[[#This Row],[Source Row]]="","",IF(Rate_Method="Fixed rate",Fixed_Rate,IF(N(Salary_Calculation[[#This Row],[Basic Payment]])&gt;0,N(Salary_Calculation[[#This Row],[Basic Payment]])/Std_Orders,0)))</f>
        <v/>
      </c>
      <c r="K30" s="165" t="str">
        <f aca="false">IF(Salary_Calculation[[#This Row],[Source Row]]="","",MAX(MIN(N(Salary_Calculation[[#This Row],[Completed Orders]]),Salary_Calculation[[#This Row],[Rider Target Orders]]),0))</f>
        <v/>
      </c>
      <c r="L30" s="164" t="str">
        <f aca="false">IF(Salary_Calculation[[#This Row],[Source Row]]="","",Salary_Calculation[[#This Row],[Orders Counted at Base Rate]]*Salary_Calculation[[#This Row],[Base Order Rate]])</f>
        <v/>
      </c>
      <c r="M30" s="165" t="str">
        <f aca="false">IF(Salary_Calculation[[#This Row],[Source Row]]="","",MAX(Salary_Calculation[[#This Row],[Rider Target Orders]]-N(Salary_Calculation[[#This Row],[Completed Orders]]),0))</f>
        <v/>
      </c>
      <c r="N30" s="164" t="str">
        <f aca="false">IF(Salary_Calculation[[#This Row],[Source Row]]="","",Salary_Calculation[[#This Row],[Missing Orders]]*Missing_Rate)</f>
        <v/>
      </c>
      <c r="O30" s="165" t="str">
        <f aca="false">IF(Salary_Calculation[[#This Row],[Source Row]]="","",MAX(N(Salary_Calculation[[#This Row],[Completed Orders]])-Salary_Calculation[[#This Row],[Rider Target Orders]],0))</f>
        <v/>
      </c>
      <c r="P30" s="164" t="str">
        <f aca="false">IF(Salary_Calculation[[#This Row],[Source Row]]="","",Salary_Calculation[[#This Row],[Extra Orders]]*Extra_Rate)</f>
        <v/>
      </c>
      <c r="Q30" s="164" t="str">
        <f aca="false">IF(Salary_Calculation[[#This Row],[Source Row]]="","",MAX(Salary_Calculation[[#This Row],[Salary Before Other Deductions]],0))</f>
        <v/>
      </c>
      <c r="R30" s="164" t="str">
        <f aca="false">IF(Salary_Calculation[[#This Row],[Source Row]]="","",N(INDEX(Rider_Input[missed_days_penalty],Salary_Calculation[[#This Row],[Source Row]])))</f>
        <v/>
      </c>
      <c r="S30" s="164" t="str">
        <f aca="false">IF(Salary_Calculation[[#This Row],[Source Row]]="","",N(INDEX(Rider_Input[Rider Balance / محفظة المندوب],Salary_Calculation[[#This Row],[Source Row]])))</f>
        <v/>
      </c>
      <c r="T30" s="164" t="str">
        <f aca="false">IF(Salary_Calculation[[#This Row],[Source Row]]="","",N(INDEX(Rider_Input[stacking_deduction / خصم الطلبات المتعددة],Salary_Calculation[[#This Row],[Source Row]])))</f>
        <v/>
      </c>
      <c r="U30" s="164" t="str">
        <f aca="false">IF(Salary_Calculation[[#This Row],[Source Row]]="","",N(INDEX(Rider_Input[Other Deductions],Salary_Calculation[[#This Row],[Source Row]])))</f>
        <v/>
      </c>
      <c r="V30" s="164" t="str">
        <f aca="false">IF(Salary_Calculation[[#This Row],[Source Row]]="","",N(Salary_Calculation[[#This Row],[missed_days_penalty]])+N(Salary_Calculation[[#This Row],[Rider Balance]])+N(Salary_Calculation[[#This Row],[stacking_deduction]])+N(Salary_Calculation[[#This Row],[Other Deductions]]))</f>
        <v/>
      </c>
      <c r="W30" s="167" t="str">
        <f aca="false">IF(Salary_Calculation[[#This Row],[Source Row]]="","",ROUND(MAX(Salary_Calculation[[#This Row],[Gross Salary Before Deductions]]-Salary_Calculation[[#This Row],[Total Deductions]],0),2))</f>
        <v/>
      </c>
      <c r="X30" s="164" t="str">
        <f aca="false">IF(Salary_Calculation[[#This Row],[Source Row]]="","",ROUND(MAX(Salary_Calculation[[#This Row],[Missing-Order Deduction]]-Salary_Calculation[[#This Row],[Earned Salary]],0),2))</f>
        <v/>
      </c>
      <c r="Y3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0" s="163" t="str">
        <f aca="false">IF(Salary_Calculation[[#This Row],[Source Row]]="","",IF(INDEX(Rider_Input[Notes],Salary_Calculation[[#This Row],[Source Row]])="","",INDEX(Rider_Input[Notes],Salary_Calculation[[#This Row],[Source Row]])))</f>
        <v/>
      </c>
      <c r="AA30" s="164" t="str">
        <f aca="false">IF(Salary_Calculation[[#This Row],[Source Row]]="","",Salary_Calculation[[#This Row],[Earned Salary]]-Salary_Calculation[[#This Row],[Missing-Order Deduction]]+Salary_Calculation[[#This Row],[Extra-Order Bonus]])</f>
        <v/>
      </c>
      <c r="AB30" s="164" t="str">
        <f aca="false">IF(Salary_Calculation[[#This Row],[Source Row]]="","",ROUND(Salary_Calculation[[#This Row],[Negative Balance / Amount Due from Rider]]+MAX(Salary_Calculation[[#This Row],[Total Deductions]]-Salary_Calculation[[#This Row],[Gross Salary Before Deductions]],0),2))</f>
        <v/>
      </c>
      <c r="AC3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0" s="164" t="str">
        <f aca="false">IF(Salary_Calculation[[#This Row],[Source Row]]="","",Salary_Calculation[[#This Row],[Rider Target Orders]]*Salary_Calculation[[#This Row],[Base Order Rate]])</f>
        <v/>
      </c>
      <c r="AE30" s="162" t="str">
        <f aca="false">IF(SUMPRODUCT(--(LEN(INDEX(Rider_Input[#Data],ROW()-ROW(Salary_Calculation[#Headers]),0))&gt;0))=0,"",ROW()-ROW(Salary_Calculation[#Headers]))</f>
        <v/>
      </c>
    </row>
    <row r="31" customFormat="false" ht="14.25" hidden="false" customHeight="false" outlineLevel="0" collapsed="false">
      <c r="A31" s="161" t="str">
        <f aca="false">IF(Salary_Calculation[[#This Row],[Source Row]]="","",IF(INDEX(Rider_Input[Salary Month],Salary_Calculation[[#This Row],[Source Row]])="","",INDEX(Rider_Input[Salary Month],Salary_Calculation[[#This Row],[Source Row]])))</f>
        <v/>
      </c>
      <c r="B31" s="162" t="str">
        <f aca="false">IF(Salary_Calculation[[#This Row],[Source Row]]="","",IF(INDEX(Rider_Input[Rider ID],Salary_Calculation[[#This Row],[Source Row]])="","",INDEX(Rider_Input[Rider ID],Salary_Calculation[[#This Row],[Source Row]])))</f>
        <v/>
      </c>
      <c r="C31" s="163" t="str">
        <f aca="false">IF(Salary_Calculation[[#This Row],[Source Row]]="","",IF(INDEX(Rider_Input[Rider Name],Salary_Calculation[[#This Row],[Source Row]])="","",INDEX(Rider_Input[Rider Name],Salary_Calculation[[#This Row],[Source Row]])))</f>
        <v/>
      </c>
      <c r="D31" s="164" t="str">
        <f aca="false">IF(Salary_Calculation[[#This Row],[Source Row]]="","",IF(INDEX(Rider_Input[Basic Payment],Salary_Calculation[[#This Row],[Source Row]])="","",INDEX(Rider_Input[Basic Payment],Salary_Calculation[[#This Row],[Source Row]])))</f>
        <v/>
      </c>
      <c r="E31" s="162" t="str">
        <f aca="false">IF(Salary_Calculation[[#This Row],[Source Row]]="","",IF(INDEX(Rider_Input[Calendar Days in Month],Salary_Calculation[[#This Row],[Source Row]])="","",INDEX(Rider_Input[Calendar Days in Month],Salary_Calculation[[#This Row],[Source Row]])))</f>
        <v/>
      </c>
      <c r="F31" s="162" t="str">
        <f aca="false">IF(Salary_Calculation[[#This Row],[Source Row]]="","",IF(INDEX(Rider_Input[Working Days],Salary_Calculation[[#This Row],[Source Row]])="","",INDEX(Rider_Input[Working Days],Salary_Calculation[[#This Row],[Source Row]])))</f>
        <v/>
      </c>
      <c r="G31" s="165" t="str">
        <f aca="false">IF(Salary_Calculation[[#This Row],[Source Row]]="","",Std_Orders/Std_Days*N(Salary_Calculation[[#This Row],[Calendar Days]]))</f>
        <v/>
      </c>
      <c r="H31" s="165" t="str">
        <f aca="false">IF(Salary_Calculation[[#This Row],[Source Row]]="","",IF(N(Salary_Calculation[[#This Row],[Calendar Days]])&gt;0,Salary_Calculation[[#This Row],[Monthly Target Orders]]/N(Salary_Calculation[[#This Row],[Calendar Days]])*N(Salary_Calculation[[#This Row],[Working Days]]),0))</f>
        <v/>
      </c>
      <c r="I31" s="166" t="str">
        <f aca="false">IF(Salary_Calculation[[#This Row],[Source Row]]="","",IF(INDEX(Rider_Input[Completed Orders],Salary_Calculation[[#This Row],[Source Row]])="","",INDEX(Rider_Input[Completed Orders],Salary_Calculation[[#This Row],[Source Row]])))</f>
        <v/>
      </c>
      <c r="J31" s="165" t="str">
        <f aca="false">IF(Salary_Calculation[[#This Row],[Source Row]]="","",IF(Rate_Method="Fixed rate",Fixed_Rate,IF(N(Salary_Calculation[[#This Row],[Basic Payment]])&gt;0,N(Salary_Calculation[[#This Row],[Basic Payment]])/Std_Orders,0)))</f>
        <v/>
      </c>
      <c r="K31" s="165" t="str">
        <f aca="false">IF(Salary_Calculation[[#This Row],[Source Row]]="","",MAX(MIN(N(Salary_Calculation[[#This Row],[Completed Orders]]),Salary_Calculation[[#This Row],[Rider Target Orders]]),0))</f>
        <v/>
      </c>
      <c r="L31" s="164" t="str">
        <f aca="false">IF(Salary_Calculation[[#This Row],[Source Row]]="","",Salary_Calculation[[#This Row],[Orders Counted at Base Rate]]*Salary_Calculation[[#This Row],[Base Order Rate]])</f>
        <v/>
      </c>
      <c r="M31" s="165" t="str">
        <f aca="false">IF(Salary_Calculation[[#This Row],[Source Row]]="","",MAX(Salary_Calculation[[#This Row],[Rider Target Orders]]-N(Salary_Calculation[[#This Row],[Completed Orders]]),0))</f>
        <v/>
      </c>
      <c r="N31" s="164" t="str">
        <f aca="false">IF(Salary_Calculation[[#This Row],[Source Row]]="","",Salary_Calculation[[#This Row],[Missing Orders]]*Missing_Rate)</f>
        <v/>
      </c>
      <c r="O31" s="165" t="str">
        <f aca="false">IF(Salary_Calculation[[#This Row],[Source Row]]="","",MAX(N(Salary_Calculation[[#This Row],[Completed Orders]])-Salary_Calculation[[#This Row],[Rider Target Orders]],0))</f>
        <v/>
      </c>
      <c r="P31" s="164" t="str">
        <f aca="false">IF(Salary_Calculation[[#This Row],[Source Row]]="","",Salary_Calculation[[#This Row],[Extra Orders]]*Extra_Rate)</f>
        <v/>
      </c>
      <c r="Q31" s="164" t="str">
        <f aca="false">IF(Salary_Calculation[[#This Row],[Source Row]]="","",MAX(Salary_Calculation[[#This Row],[Salary Before Other Deductions]],0))</f>
        <v/>
      </c>
      <c r="R31" s="164" t="str">
        <f aca="false">IF(Salary_Calculation[[#This Row],[Source Row]]="","",N(INDEX(Rider_Input[missed_days_penalty],Salary_Calculation[[#This Row],[Source Row]])))</f>
        <v/>
      </c>
      <c r="S31" s="164" t="str">
        <f aca="false">IF(Salary_Calculation[[#This Row],[Source Row]]="","",N(INDEX(Rider_Input[Rider Balance / محفظة المندوب],Salary_Calculation[[#This Row],[Source Row]])))</f>
        <v/>
      </c>
      <c r="T31" s="164" t="str">
        <f aca="false">IF(Salary_Calculation[[#This Row],[Source Row]]="","",N(INDEX(Rider_Input[stacking_deduction / خصم الطلبات المتعددة],Salary_Calculation[[#This Row],[Source Row]])))</f>
        <v/>
      </c>
      <c r="U31" s="164" t="str">
        <f aca="false">IF(Salary_Calculation[[#This Row],[Source Row]]="","",N(INDEX(Rider_Input[Other Deductions],Salary_Calculation[[#This Row],[Source Row]])))</f>
        <v/>
      </c>
      <c r="V31" s="164" t="str">
        <f aca="false">IF(Salary_Calculation[[#This Row],[Source Row]]="","",N(Salary_Calculation[[#This Row],[missed_days_penalty]])+N(Salary_Calculation[[#This Row],[Rider Balance]])+N(Salary_Calculation[[#This Row],[stacking_deduction]])+N(Salary_Calculation[[#This Row],[Other Deductions]]))</f>
        <v/>
      </c>
      <c r="W31" s="167" t="str">
        <f aca="false">IF(Salary_Calculation[[#This Row],[Source Row]]="","",ROUND(MAX(Salary_Calculation[[#This Row],[Gross Salary Before Deductions]]-Salary_Calculation[[#This Row],[Total Deductions]],0),2))</f>
        <v/>
      </c>
      <c r="X31" s="164" t="str">
        <f aca="false">IF(Salary_Calculation[[#This Row],[Source Row]]="","",ROUND(MAX(Salary_Calculation[[#This Row],[Missing-Order Deduction]]-Salary_Calculation[[#This Row],[Earned Salary]],0),2))</f>
        <v/>
      </c>
      <c r="Y3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1" s="163" t="str">
        <f aca="false">IF(Salary_Calculation[[#This Row],[Source Row]]="","",IF(INDEX(Rider_Input[Notes],Salary_Calculation[[#This Row],[Source Row]])="","",INDEX(Rider_Input[Notes],Salary_Calculation[[#This Row],[Source Row]])))</f>
        <v/>
      </c>
      <c r="AA31" s="164" t="str">
        <f aca="false">IF(Salary_Calculation[[#This Row],[Source Row]]="","",Salary_Calculation[[#This Row],[Earned Salary]]-Salary_Calculation[[#This Row],[Missing-Order Deduction]]+Salary_Calculation[[#This Row],[Extra-Order Bonus]])</f>
        <v/>
      </c>
      <c r="AB31" s="164" t="str">
        <f aca="false">IF(Salary_Calculation[[#This Row],[Source Row]]="","",ROUND(Salary_Calculation[[#This Row],[Negative Balance / Amount Due from Rider]]+MAX(Salary_Calculation[[#This Row],[Total Deductions]]-Salary_Calculation[[#This Row],[Gross Salary Before Deductions]],0),2))</f>
        <v/>
      </c>
      <c r="AC3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1" s="164" t="str">
        <f aca="false">IF(Salary_Calculation[[#This Row],[Source Row]]="","",Salary_Calculation[[#This Row],[Rider Target Orders]]*Salary_Calculation[[#This Row],[Base Order Rate]])</f>
        <v/>
      </c>
      <c r="AE31" s="162" t="str">
        <f aca="false">IF(SUMPRODUCT(--(LEN(INDEX(Rider_Input[#Data],ROW()-ROW(Salary_Calculation[#Headers]),0))&gt;0))=0,"",ROW()-ROW(Salary_Calculation[#Headers]))</f>
        <v/>
      </c>
    </row>
    <row r="32" customFormat="false" ht="14.25" hidden="false" customHeight="false" outlineLevel="0" collapsed="false">
      <c r="A32" s="161" t="str">
        <f aca="false">IF(Salary_Calculation[[#This Row],[Source Row]]="","",IF(INDEX(Rider_Input[Salary Month],Salary_Calculation[[#This Row],[Source Row]])="","",INDEX(Rider_Input[Salary Month],Salary_Calculation[[#This Row],[Source Row]])))</f>
        <v/>
      </c>
      <c r="B32" s="162" t="str">
        <f aca="false">IF(Salary_Calculation[[#This Row],[Source Row]]="","",IF(INDEX(Rider_Input[Rider ID],Salary_Calculation[[#This Row],[Source Row]])="","",INDEX(Rider_Input[Rider ID],Salary_Calculation[[#This Row],[Source Row]])))</f>
        <v/>
      </c>
      <c r="C32" s="163" t="str">
        <f aca="false">IF(Salary_Calculation[[#This Row],[Source Row]]="","",IF(INDEX(Rider_Input[Rider Name],Salary_Calculation[[#This Row],[Source Row]])="","",INDEX(Rider_Input[Rider Name],Salary_Calculation[[#This Row],[Source Row]])))</f>
        <v/>
      </c>
      <c r="D32" s="164" t="str">
        <f aca="false">IF(Salary_Calculation[[#This Row],[Source Row]]="","",IF(INDEX(Rider_Input[Basic Payment],Salary_Calculation[[#This Row],[Source Row]])="","",INDEX(Rider_Input[Basic Payment],Salary_Calculation[[#This Row],[Source Row]])))</f>
        <v/>
      </c>
      <c r="E32" s="162" t="str">
        <f aca="false">IF(Salary_Calculation[[#This Row],[Source Row]]="","",IF(INDEX(Rider_Input[Calendar Days in Month],Salary_Calculation[[#This Row],[Source Row]])="","",INDEX(Rider_Input[Calendar Days in Month],Salary_Calculation[[#This Row],[Source Row]])))</f>
        <v/>
      </c>
      <c r="F32" s="162" t="str">
        <f aca="false">IF(Salary_Calculation[[#This Row],[Source Row]]="","",IF(INDEX(Rider_Input[Working Days],Salary_Calculation[[#This Row],[Source Row]])="","",INDEX(Rider_Input[Working Days],Salary_Calculation[[#This Row],[Source Row]])))</f>
        <v/>
      </c>
      <c r="G32" s="165" t="str">
        <f aca="false">IF(Salary_Calculation[[#This Row],[Source Row]]="","",Std_Orders/Std_Days*N(Salary_Calculation[[#This Row],[Calendar Days]]))</f>
        <v/>
      </c>
      <c r="H32" s="165" t="str">
        <f aca="false">IF(Salary_Calculation[[#This Row],[Source Row]]="","",IF(N(Salary_Calculation[[#This Row],[Calendar Days]])&gt;0,Salary_Calculation[[#This Row],[Monthly Target Orders]]/N(Salary_Calculation[[#This Row],[Calendar Days]])*N(Salary_Calculation[[#This Row],[Working Days]]),0))</f>
        <v/>
      </c>
      <c r="I32" s="166" t="str">
        <f aca="false">IF(Salary_Calculation[[#This Row],[Source Row]]="","",IF(INDEX(Rider_Input[Completed Orders],Salary_Calculation[[#This Row],[Source Row]])="","",INDEX(Rider_Input[Completed Orders],Salary_Calculation[[#This Row],[Source Row]])))</f>
        <v/>
      </c>
      <c r="J32" s="165" t="str">
        <f aca="false">IF(Salary_Calculation[[#This Row],[Source Row]]="","",IF(Rate_Method="Fixed rate",Fixed_Rate,IF(N(Salary_Calculation[[#This Row],[Basic Payment]])&gt;0,N(Salary_Calculation[[#This Row],[Basic Payment]])/Std_Orders,0)))</f>
        <v/>
      </c>
      <c r="K32" s="165" t="str">
        <f aca="false">IF(Salary_Calculation[[#This Row],[Source Row]]="","",MAX(MIN(N(Salary_Calculation[[#This Row],[Completed Orders]]),Salary_Calculation[[#This Row],[Rider Target Orders]]),0))</f>
        <v/>
      </c>
      <c r="L32" s="164" t="str">
        <f aca="false">IF(Salary_Calculation[[#This Row],[Source Row]]="","",Salary_Calculation[[#This Row],[Orders Counted at Base Rate]]*Salary_Calculation[[#This Row],[Base Order Rate]])</f>
        <v/>
      </c>
      <c r="M32" s="165" t="str">
        <f aca="false">IF(Salary_Calculation[[#This Row],[Source Row]]="","",MAX(Salary_Calculation[[#This Row],[Rider Target Orders]]-N(Salary_Calculation[[#This Row],[Completed Orders]]),0))</f>
        <v/>
      </c>
      <c r="N32" s="164" t="str">
        <f aca="false">IF(Salary_Calculation[[#This Row],[Source Row]]="","",Salary_Calculation[[#This Row],[Missing Orders]]*Missing_Rate)</f>
        <v/>
      </c>
      <c r="O32" s="165" t="str">
        <f aca="false">IF(Salary_Calculation[[#This Row],[Source Row]]="","",MAX(N(Salary_Calculation[[#This Row],[Completed Orders]])-Salary_Calculation[[#This Row],[Rider Target Orders]],0))</f>
        <v/>
      </c>
      <c r="P32" s="164" t="str">
        <f aca="false">IF(Salary_Calculation[[#This Row],[Source Row]]="","",Salary_Calculation[[#This Row],[Extra Orders]]*Extra_Rate)</f>
        <v/>
      </c>
      <c r="Q32" s="164" t="str">
        <f aca="false">IF(Salary_Calculation[[#This Row],[Source Row]]="","",MAX(Salary_Calculation[[#This Row],[Salary Before Other Deductions]],0))</f>
        <v/>
      </c>
      <c r="R32" s="164" t="str">
        <f aca="false">IF(Salary_Calculation[[#This Row],[Source Row]]="","",N(INDEX(Rider_Input[missed_days_penalty],Salary_Calculation[[#This Row],[Source Row]])))</f>
        <v/>
      </c>
      <c r="S32" s="164" t="str">
        <f aca="false">IF(Salary_Calculation[[#This Row],[Source Row]]="","",N(INDEX(Rider_Input[Rider Balance / محفظة المندوب],Salary_Calculation[[#This Row],[Source Row]])))</f>
        <v/>
      </c>
      <c r="T32" s="164" t="str">
        <f aca="false">IF(Salary_Calculation[[#This Row],[Source Row]]="","",N(INDEX(Rider_Input[stacking_deduction / خصم الطلبات المتعددة],Salary_Calculation[[#This Row],[Source Row]])))</f>
        <v/>
      </c>
      <c r="U32" s="164" t="str">
        <f aca="false">IF(Salary_Calculation[[#This Row],[Source Row]]="","",N(INDEX(Rider_Input[Other Deductions],Salary_Calculation[[#This Row],[Source Row]])))</f>
        <v/>
      </c>
      <c r="V32" s="164" t="str">
        <f aca="false">IF(Salary_Calculation[[#This Row],[Source Row]]="","",N(Salary_Calculation[[#This Row],[missed_days_penalty]])+N(Salary_Calculation[[#This Row],[Rider Balance]])+N(Salary_Calculation[[#This Row],[stacking_deduction]])+N(Salary_Calculation[[#This Row],[Other Deductions]]))</f>
        <v/>
      </c>
      <c r="W32" s="167" t="str">
        <f aca="false">IF(Salary_Calculation[[#This Row],[Source Row]]="","",ROUND(MAX(Salary_Calculation[[#This Row],[Gross Salary Before Deductions]]-Salary_Calculation[[#This Row],[Total Deductions]],0),2))</f>
        <v/>
      </c>
      <c r="X32" s="164" t="str">
        <f aca="false">IF(Salary_Calculation[[#This Row],[Source Row]]="","",ROUND(MAX(Salary_Calculation[[#This Row],[Missing-Order Deduction]]-Salary_Calculation[[#This Row],[Earned Salary]],0),2))</f>
        <v/>
      </c>
      <c r="Y3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2" s="163" t="str">
        <f aca="false">IF(Salary_Calculation[[#This Row],[Source Row]]="","",IF(INDEX(Rider_Input[Notes],Salary_Calculation[[#This Row],[Source Row]])="","",INDEX(Rider_Input[Notes],Salary_Calculation[[#This Row],[Source Row]])))</f>
        <v/>
      </c>
      <c r="AA32" s="164" t="str">
        <f aca="false">IF(Salary_Calculation[[#This Row],[Source Row]]="","",Salary_Calculation[[#This Row],[Earned Salary]]-Salary_Calculation[[#This Row],[Missing-Order Deduction]]+Salary_Calculation[[#This Row],[Extra-Order Bonus]])</f>
        <v/>
      </c>
      <c r="AB32" s="164" t="str">
        <f aca="false">IF(Salary_Calculation[[#This Row],[Source Row]]="","",ROUND(Salary_Calculation[[#This Row],[Negative Balance / Amount Due from Rider]]+MAX(Salary_Calculation[[#This Row],[Total Deductions]]-Salary_Calculation[[#This Row],[Gross Salary Before Deductions]],0),2))</f>
        <v/>
      </c>
      <c r="AC3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2" s="164" t="str">
        <f aca="false">IF(Salary_Calculation[[#This Row],[Source Row]]="","",Salary_Calculation[[#This Row],[Rider Target Orders]]*Salary_Calculation[[#This Row],[Base Order Rate]])</f>
        <v/>
      </c>
      <c r="AE32" s="162" t="str">
        <f aca="false">IF(SUMPRODUCT(--(LEN(INDEX(Rider_Input[#Data],ROW()-ROW(Salary_Calculation[#Headers]),0))&gt;0))=0,"",ROW()-ROW(Salary_Calculation[#Headers]))</f>
        <v/>
      </c>
    </row>
    <row r="33" customFormat="false" ht="14.25" hidden="false" customHeight="false" outlineLevel="0" collapsed="false">
      <c r="A33" s="161" t="str">
        <f aca="false">IF(Salary_Calculation[[#This Row],[Source Row]]="","",IF(INDEX(Rider_Input[Salary Month],Salary_Calculation[[#This Row],[Source Row]])="","",INDEX(Rider_Input[Salary Month],Salary_Calculation[[#This Row],[Source Row]])))</f>
        <v/>
      </c>
      <c r="B33" s="162" t="str">
        <f aca="false">IF(Salary_Calculation[[#This Row],[Source Row]]="","",IF(INDEX(Rider_Input[Rider ID],Salary_Calculation[[#This Row],[Source Row]])="","",INDEX(Rider_Input[Rider ID],Salary_Calculation[[#This Row],[Source Row]])))</f>
        <v/>
      </c>
      <c r="C33" s="163" t="str">
        <f aca="false">IF(Salary_Calculation[[#This Row],[Source Row]]="","",IF(INDEX(Rider_Input[Rider Name],Salary_Calculation[[#This Row],[Source Row]])="","",INDEX(Rider_Input[Rider Name],Salary_Calculation[[#This Row],[Source Row]])))</f>
        <v/>
      </c>
      <c r="D33" s="164" t="str">
        <f aca="false">IF(Salary_Calculation[[#This Row],[Source Row]]="","",IF(INDEX(Rider_Input[Basic Payment],Salary_Calculation[[#This Row],[Source Row]])="","",INDEX(Rider_Input[Basic Payment],Salary_Calculation[[#This Row],[Source Row]])))</f>
        <v/>
      </c>
      <c r="E33" s="162" t="str">
        <f aca="false">IF(Salary_Calculation[[#This Row],[Source Row]]="","",IF(INDEX(Rider_Input[Calendar Days in Month],Salary_Calculation[[#This Row],[Source Row]])="","",INDEX(Rider_Input[Calendar Days in Month],Salary_Calculation[[#This Row],[Source Row]])))</f>
        <v/>
      </c>
      <c r="F33" s="162" t="str">
        <f aca="false">IF(Salary_Calculation[[#This Row],[Source Row]]="","",IF(INDEX(Rider_Input[Working Days],Salary_Calculation[[#This Row],[Source Row]])="","",INDEX(Rider_Input[Working Days],Salary_Calculation[[#This Row],[Source Row]])))</f>
        <v/>
      </c>
      <c r="G33" s="165" t="str">
        <f aca="false">IF(Salary_Calculation[[#This Row],[Source Row]]="","",Std_Orders/Std_Days*N(Salary_Calculation[[#This Row],[Calendar Days]]))</f>
        <v/>
      </c>
      <c r="H33" s="165" t="str">
        <f aca="false">IF(Salary_Calculation[[#This Row],[Source Row]]="","",IF(N(Salary_Calculation[[#This Row],[Calendar Days]])&gt;0,Salary_Calculation[[#This Row],[Monthly Target Orders]]/N(Salary_Calculation[[#This Row],[Calendar Days]])*N(Salary_Calculation[[#This Row],[Working Days]]),0))</f>
        <v/>
      </c>
      <c r="I33" s="166" t="str">
        <f aca="false">IF(Salary_Calculation[[#This Row],[Source Row]]="","",IF(INDEX(Rider_Input[Completed Orders],Salary_Calculation[[#This Row],[Source Row]])="","",INDEX(Rider_Input[Completed Orders],Salary_Calculation[[#This Row],[Source Row]])))</f>
        <v/>
      </c>
      <c r="J33" s="165" t="str">
        <f aca="false">IF(Salary_Calculation[[#This Row],[Source Row]]="","",IF(Rate_Method="Fixed rate",Fixed_Rate,IF(N(Salary_Calculation[[#This Row],[Basic Payment]])&gt;0,N(Salary_Calculation[[#This Row],[Basic Payment]])/Std_Orders,0)))</f>
        <v/>
      </c>
      <c r="K33" s="165" t="str">
        <f aca="false">IF(Salary_Calculation[[#This Row],[Source Row]]="","",MAX(MIN(N(Salary_Calculation[[#This Row],[Completed Orders]]),Salary_Calculation[[#This Row],[Rider Target Orders]]),0))</f>
        <v/>
      </c>
      <c r="L33" s="164" t="str">
        <f aca="false">IF(Salary_Calculation[[#This Row],[Source Row]]="","",Salary_Calculation[[#This Row],[Orders Counted at Base Rate]]*Salary_Calculation[[#This Row],[Base Order Rate]])</f>
        <v/>
      </c>
      <c r="M33" s="165" t="str">
        <f aca="false">IF(Salary_Calculation[[#This Row],[Source Row]]="","",MAX(Salary_Calculation[[#This Row],[Rider Target Orders]]-N(Salary_Calculation[[#This Row],[Completed Orders]]),0))</f>
        <v/>
      </c>
      <c r="N33" s="164" t="str">
        <f aca="false">IF(Salary_Calculation[[#This Row],[Source Row]]="","",Salary_Calculation[[#This Row],[Missing Orders]]*Missing_Rate)</f>
        <v/>
      </c>
      <c r="O33" s="165" t="str">
        <f aca="false">IF(Salary_Calculation[[#This Row],[Source Row]]="","",MAX(N(Salary_Calculation[[#This Row],[Completed Orders]])-Salary_Calculation[[#This Row],[Rider Target Orders]],0))</f>
        <v/>
      </c>
      <c r="P33" s="164" t="str">
        <f aca="false">IF(Salary_Calculation[[#This Row],[Source Row]]="","",Salary_Calculation[[#This Row],[Extra Orders]]*Extra_Rate)</f>
        <v/>
      </c>
      <c r="Q33" s="164" t="str">
        <f aca="false">IF(Salary_Calculation[[#This Row],[Source Row]]="","",MAX(Salary_Calculation[[#This Row],[Salary Before Other Deductions]],0))</f>
        <v/>
      </c>
      <c r="R33" s="164" t="str">
        <f aca="false">IF(Salary_Calculation[[#This Row],[Source Row]]="","",N(INDEX(Rider_Input[missed_days_penalty],Salary_Calculation[[#This Row],[Source Row]])))</f>
        <v/>
      </c>
      <c r="S33" s="164" t="str">
        <f aca="false">IF(Salary_Calculation[[#This Row],[Source Row]]="","",N(INDEX(Rider_Input[Rider Balance / محفظة المندوب],Salary_Calculation[[#This Row],[Source Row]])))</f>
        <v/>
      </c>
      <c r="T33" s="164" t="str">
        <f aca="false">IF(Salary_Calculation[[#This Row],[Source Row]]="","",N(INDEX(Rider_Input[stacking_deduction / خصم الطلبات المتعددة],Salary_Calculation[[#This Row],[Source Row]])))</f>
        <v/>
      </c>
      <c r="U33" s="164" t="str">
        <f aca="false">IF(Salary_Calculation[[#This Row],[Source Row]]="","",N(INDEX(Rider_Input[Other Deductions],Salary_Calculation[[#This Row],[Source Row]])))</f>
        <v/>
      </c>
      <c r="V33" s="164" t="str">
        <f aca="false">IF(Salary_Calculation[[#This Row],[Source Row]]="","",N(Salary_Calculation[[#This Row],[missed_days_penalty]])+N(Salary_Calculation[[#This Row],[Rider Balance]])+N(Salary_Calculation[[#This Row],[stacking_deduction]])+N(Salary_Calculation[[#This Row],[Other Deductions]]))</f>
        <v/>
      </c>
      <c r="W33" s="167" t="str">
        <f aca="false">IF(Salary_Calculation[[#This Row],[Source Row]]="","",ROUND(MAX(Salary_Calculation[[#This Row],[Gross Salary Before Deductions]]-Salary_Calculation[[#This Row],[Total Deductions]],0),2))</f>
        <v/>
      </c>
      <c r="X33" s="164" t="str">
        <f aca="false">IF(Salary_Calculation[[#This Row],[Source Row]]="","",ROUND(MAX(Salary_Calculation[[#This Row],[Missing-Order Deduction]]-Salary_Calculation[[#This Row],[Earned Salary]],0),2))</f>
        <v/>
      </c>
      <c r="Y3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3" s="163" t="str">
        <f aca="false">IF(Salary_Calculation[[#This Row],[Source Row]]="","",IF(INDEX(Rider_Input[Notes],Salary_Calculation[[#This Row],[Source Row]])="","",INDEX(Rider_Input[Notes],Salary_Calculation[[#This Row],[Source Row]])))</f>
        <v/>
      </c>
      <c r="AA33" s="164" t="str">
        <f aca="false">IF(Salary_Calculation[[#This Row],[Source Row]]="","",Salary_Calculation[[#This Row],[Earned Salary]]-Salary_Calculation[[#This Row],[Missing-Order Deduction]]+Salary_Calculation[[#This Row],[Extra-Order Bonus]])</f>
        <v/>
      </c>
      <c r="AB33" s="164" t="str">
        <f aca="false">IF(Salary_Calculation[[#This Row],[Source Row]]="","",ROUND(Salary_Calculation[[#This Row],[Negative Balance / Amount Due from Rider]]+MAX(Salary_Calculation[[#This Row],[Total Deductions]]-Salary_Calculation[[#This Row],[Gross Salary Before Deductions]],0),2))</f>
        <v/>
      </c>
      <c r="AC3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3" s="164" t="str">
        <f aca="false">IF(Salary_Calculation[[#This Row],[Source Row]]="","",Salary_Calculation[[#This Row],[Rider Target Orders]]*Salary_Calculation[[#This Row],[Base Order Rate]])</f>
        <v/>
      </c>
      <c r="AE33" s="162" t="str">
        <f aca="false">IF(SUMPRODUCT(--(LEN(INDEX(Rider_Input[#Data],ROW()-ROW(Salary_Calculation[#Headers]),0))&gt;0))=0,"",ROW()-ROW(Salary_Calculation[#Headers]))</f>
        <v/>
      </c>
    </row>
    <row r="34" customFormat="false" ht="14.25" hidden="false" customHeight="false" outlineLevel="0" collapsed="false">
      <c r="A34" s="161" t="str">
        <f aca="false">IF(Salary_Calculation[[#This Row],[Source Row]]="","",IF(INDEX(Rider_Input[Salary Month],Salary_Calculation[[#This Row],[Source Row]])="","",INDEX(Rider_Input[Salary Month],Salary_Calculation[[#This Row],[Source Row]])))</f>
        <v/>
      </c>
      <c r="B34" s="162" t="str">
        <f aca="false">IF(Salary_Calculation[[#This Row],[Source Row]]="","",IF(INDEX(Rider_Input[Rider ID],Salary_Calculation[[#This Row],[Source Row]])="","",INDEX(Rider_Input[Rider ID],Salary_Calculation[[#This Row],[Source Row]])))</f>
        <v/>
      </c>
      <c r="C34" s="163" t="str">
        <f aca="false">IF(Salary_Calculation[[#This Row],[Source Row]]="","",IF(INDEX(Rider_Input[Rider Name],Salary_Calculation[[#This Row],[Source Row]])="","",INDEX(Rider_Input[Rider Name],Salary_Calculation[[#This Row],[Source Row]])))</f>
        <v/>
      </c>
      <c r="D34" s="164" t="str">
        <f aca="false">IF(Salary_Calculation[[#This Row],[Source Row]]="","",IF(INDEX(Rider_Input[Basic Payment],Salary_Calculation[[#This Row],[Source Row]])="","",INDEX(Rider_Input[Basic Payment],Salary_Calculation[[#This Row],[Source Row]])))</f>
        <v/>
      </c>
      <c r="E34" s="162" t="str">
        <f aca="false">IF(Salary_Calculation[[#This Row],[Source Row]]="","",IF(INDEX(Rider_Input[Calendar Days in Month],Salary_Calculation[[#This Row],[Source Row]])="","",INDEX(Rider_Input[Calendar Days in Month],Salary_Calculation[[#This Row],[Source Row]])))</f>
        <v/>
      </c>
      <c r="F34" s="162" t="str">
        <f aca="false">IF(Salary_Calculation[[#This Row],[Source Row]]="","",IF(INDEX(Rider_Input[Working Days],Salary_Calculation[[#This Row],[Source Row]])="","",INDEX(Rider_Input[Working Days],Salary_Calculation[[#This Row],[Source Row]])))</f>
        <v/>
      </c>
      <c r="G34" s="165" t="str">
        <f aca="false">IF(Salary_Calculation[[#This Row],[Source Row]]="","",Std_Orders/Std_Days*N(Salary_Calculation[[#This Row],[Calendar Days]]))</f>
        <v/>
      </c>
      <c r="H34" s="165" t="str">
        <f aca="false">IF(Salary_Calculation[[#This Row],[Source Row]]="","",IF(N(Salary_Calculation[[#This Row],[Calendar Days]])&gt;0,Salary_Calculation[[#This Row],[Monthly Target Orders]]/N(Salary_Calculation[[#This Row],[Calendar Days]])*N(Salary_Calculation[[#This Row],[Working Days]]),0))</f>
        <v/>
      </c>
      <c r="I34" s="166" t="str">
        <f aca="false">IF(Salary_Calculation[[#This Row],[Source Row]]="","",IF(INDEX(Rider_Input[Completed Orders],Salary_Calculation[[#This Row],[Source Row]])="","",INDEX(Rider_Input[Completed Orders],Salary_Calculation[[#This Row],[Source Row]])))</f>
        <v/>
      </c>
      <c r="J34" s="165" t="str">
        <f aca="false">IF(Salary_Calculation[[#This Row],[Source Row]]="","",IF(Rate_Method="Fixed rate",Fixed_Rate,IF(N(Salary_Calculation[[#This Row],[Basic Payment]])&gt;0,N(Salary_Calculation[[#This Row],[Basic Payment]])/Std_Orders,0)))</f>
        <v/>
      </c>
      <c r="K34" s="165" t="str">
        <f aca="false">IF(Salary_Calculation[[#This Row],[Source Row]]="","",MAX(MIN(N(Salary_Calculation[[#This Row],[Completed Orders]]),Salary_Calculation[[#This Row],[Rider Target Orders]]),0))</f>
        <v/>
      </c>
      <c r="L34" s="164" t="str">
        <f aca="false">IF(Salary_Calculation[[#This Row],[Source Row]]="","",Salary_Calculation[[#This Row],[Orders Counted at Base Rate]]*Salary_Calculation[[#This Row],[Base Order Rate]])</f>
        <v/>
      </c>
      <c r="M34" s="165" t="str">
        <f aca="false">IF(Salary_Calculation[[#This Row],[Source Row]]="","",MAX(Salary_Calculation[[#This Row],[Rider Target Orders]]-N(Salary_Calculation[[#This Row],[Completed Orders]]),0))</f>
        <v/>
      </c>
      <c r="N34" s="164" t="str">
        <f aca="false">IF(Salary_Calculation[[#This Row],[Source Row]]="","",Salary_Calculation[[#This Row],[Missing Orders]]*Missing_Rate)</f>
        <v/>
      </c>
      <c r="O34" s="165" t="str">
        <f aca="false">IF(Salary_Calculation[[#This Row],[Source Row]]="","",MAX(N(Salary_Calculation[[#This Row],[Completed Orders]])-Salary_Calculation[[#This Row],[Rider Target Orders]],0))</f>
        <v/>
      </c>
      <c r="P34" s="164" t="str">
        <f aca="false">IF(Salary_Calculation[[#This Row],[Source Row]]="","",Salary_Calculation[[#This Row],[Extra Orders]]*Extra_Rate)</f>
        <v/>
      </c>
      <c r="Q34" s="164" t="str">
        <f aca="false">IF(Salary_Calculation[[#This Row],[Source Row]]="","",MAX(Salary_Calculation[[#This Row],[Salary Before Other Deductions]],0))</f>
        <v/>
      </c>
      <c r="R34" s="164" t="str">
        <f aca="false">IF(Salary_Calculation[[#This Row],[Source Row]]="","",N(INDEX(Rider_Input[missed_days_penalty],Salary_Calculation[[#This Row],[Source Row]])))</f>
        <v/>
      </c>
      <c r="S34" s="164" t="str">
        <f aca="false">IF(Salary_Calculation[[#This Row],[Source Row]]="","",N(INDEX(Rider_Input[Rider Balance / محفظة المندوب],Salary_Calculation[[#This Row],[Source Row]])))</f>
        <v/>
      </c>
      <c r="T34" s="164" t="str">
        <f aca="false">IF(Salary_Calculation[[#This Row],[Source Row]]="","",N(INDEX(Rider_Input[stacking_deduction / خصم الطلبات المتعددة],Salary_Calculation[[#This Row],[Source Row]])))</f>
        <v/>
      </c>
      <c r="U34" s="164" t="str">
        <f aca="false">IF(Salary_Calculation[[#This Row],[Source Row]]="","",N(INDEX(Rider_Input[Other Deductions],Salary_Calculation[[#This Row],[Source Row]])))</f>
        <v/>
      </c>
      <c r="V34" s="164" t="str">
        <f aca="false">IF(Salary_Calculation[[#This Row],[Source Row]]="","",N(Salary_Calculation[[#This Row],[missed_days_penalty]])+N(Salary_Calculation[[#This Row],[Rider Balance]])+N(Salary_Calculation[[#This Row],[stacking_deduction]])+N(Salary_Calculation[[#This Row],[Other Deductions]]))</f>
        <v/>
      </c>
      <c r="W34" s="167" t="str">
        <f aca="false">IF(Salary_Calculation[[#This Row],[Source Row]]="","",ROUND(MAX(Salary_Calculation[[#This Row],[Gross Salary Before Deductions]]-Salary_Calculation[[#This Row],[Total Deductions]],0),2))</f>
        <v/>
      </c>
      <c r="X34" s="164" t="str">
        <f aca="false">IF(Salary_Calculation[[#This Row],[Source Row]]="","",ROUND(MAX(Salary_Calculation[[#This Row],[Missing-Order Deduction]]-Salary_Calculation[[#This Row],[Earned Salary]],0),2))</f>
        <v/>
      </c>
      <c r="Y3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4" s="163" t="str">
        <f aca="false">IF(Salary_Calculation[[#This Row],[Source Row]]="","",IF(INDEX(Rider_Input[Notes],Salary_Calculation[[#This Row],[Source Row]])="","",INDEX(Rider_Input[Notes],Salary_Calculation[[#This Row],[Source Row]])))</f>
        <v/>
      </c>
      <c r="AA34" s="164" t="str">
        <f aca="false">IF(Salary_Calculation[[#This Row],[Source Row]]="","",Salary_Calculation[[#This Row],[Earned Salary]]-Salary_Calculation[[#This Row],[Missing-Order Deduction]]+Salary_Calculation[[#This Row],[Extra-Order Bonus]])</f>
        <v/>
      </c>
      <c r="AB34" s="164" t="str">
        <f aca="false">IF(Salary_Calculation[[#This Row],[Source Row]]="","",ROUND(Salary_Calculation[[#This Row],[Negative Balance / Amount Due from Rider]]+MAX(Salary_Calculation[[#This Row],[Total Deductions]]-Salary_Calculation[[#This Row],[Gross Salary Before Deductions]],0),2))</f>
        <v/>
      </c>
      <c r="AC3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4" s="164" t="str">
        <f aca="false">IF(Salary_Calculation[[#This Row],[Source Row]]="","",Salary_Calculation[[#This Row],[Rider Target Orders]]*Salary_Calculation[[#This Row],[Base Order Rate]])</f>
        <v/>
      </c>
      <c r="AE34" s="162" t="str">
        <f aca="false">IF(SUMPRODUCT(--(LEN(INDEX(Rider_Input[#Data],ROW()-ROW(Salary_Calculation[#Headers]),0))&gt;0))=0,"",ROW()-ROW(Salary_Calculation[#Headers]))</f>
        <v/>
      </c>
    </row>
    <row r="35" customFormat="false" ht="14.25" hidden="false" customHeight="false" outlineLevel="0" collapsed="false">
      <c r="A35" s="161" t="str">
        <f aca="false">IF(Salary_Calculation[[#This Row],[Source Row]]="","",IF(INDEX(Rider_Input[Salary Month],Salary_Calculation[[#This Row],[Source Row]])="","",INDEX(Rider_Input[Salary Month],Salary_Calculation[[#This Row],[Source Row]])))</f>
        <v/>
      </c>
      <c r="B35" s="162" t="str">
        <f aca="false">IF(Salary_Calculation[[#This Row],[Source Row]]="","",IF(INDEX(Rider_Input[Rider ID],Salary_Calculation[[#This Row],[Source Row]])="","",INDEX(Rider_Input[Rider ID],Salary_Calculation[[#This Row],[Source Row]])))</f>
        <v/>
      </c>
      <c r="C35" s="163" t="str">
        <f aca="false">IF(Salary_Calculation[[#This Row],[Source Row]]="","",IF(INDEX(Rider_Input[Rider Name],Salary_Calculation[[#This Row],[Source Row]])="","",INDEX(Rider_Input[Rider Name],Salary_Calculation[[#This Row],[Source Row]])))</f>
        <v/>
      </c>
      <c r="D35" s="164" t="str">
        <f aca="false">IF(Salary_Calculation[[#This Row],[Source Row]]="","",IF(INDEX(Rider_Input[Basic Payment],Salary_Calculation[[#This Row],[Source Row]])="","",INDEX(Rider_Input[Basic Payment],Salary_Calculation[[#This Row],[Source Row]])))</f>
        <v/>
      </c>
      <c r="E35" s="162" t="str">
        <f aca="false">IF(Salary_Calculation[[#This Row],[Source Row]]="","",IF(INDEX(Rider_Input[Calendar Days in Month],Salary_Calculation[[#This Row],[Source Row]])="","",INDEX(Rider_Input[Calendar Days in Month],Salary_Calculation[[#This Row],[Source Row]])))</f>
        <v/>
      </c>
      <c r="F35" s="162" t="str">
        <f aca="false">IF(Salary_Calculation[[#This Row],[Source Row]]="","",IF(INDEX(Rider_Input[Working Days],Salary_Calculation[[#This Row],[Source Row]])="","",INDEX(Rider_Input[Working Days],Salary_Calculation[[#This Row],[Source Row]])))</f>
        <v/>
      </c>
      <c r="G35" s="165" t="str">
        <f aca="false">IF(Salary_Calculation[[#This Row],[Source Row]]="","",Std_Orders/Std_Days*N(Salary_Calculation[[#This Row],[Calendar Days]]))</f>
        <v/>
      </c>
      <c r="H35" s="165" t="str">
        <f aca="false">IF(Salary_Calculation[[#This Row],[Source Row]]="","",IF(N(Salary_Calculation[[#This Row],[Calendar Days]])&gt;0,Salary_Calculation[[#This Row],[Monthly Target Orders]]/N(Salary_Calculation[[#This Row],[Calendar Days]])*N(Salary_Calculation[[#This Row],[Working Days]]),0))</f>
        <v/>
      </c>
      <c r="I35" s="166" t="str">
        <f aca="false">IF(Salary_Calculation[[#This Row],[Source Row]]="","",IF(INDEX(Rider_Input[Completed Orders],Salary_Calculation[[#This Row],[Source Row]])="","",INDEX(Rider_Input[Completed Orders],Salary_Calculation[[#This Row],[Source Row]])))</f>
        <v/>
      </c>
      <c r="J35" s="165" t="str">
        <f aca="false">IF(Salary_Calculation[[#This Row],[Source Row]]="","",IF(Rate_Method="Fixed rate",Fixed_Rate,IF(N(Salary_Calculation[[#This Row],[Basic Payment]])&gt;0,N(Salary_Calculation[[#This Row],[Basic Payment]])/Std_Orders,0)))</f>
        <v/>
      </c>
      <c r="K35" s="165" t="str">
        <f aca="false">IF(Salary_Calculation[[#This Row],[Source Row]]="","",MAX(MIN(N(Salary_Calculation[[#This Row],[Completed Orders]]),Salary_Calculation[[#This Row],[Rider Target Orders]]),0))</f>
        <v/>
      </c>
      <c r="L35" s="164" t="str">
        <f aca="false">IF(Salary_Calculation[[#This Row],[Source Row]]="","",Salary_Calculation[[#This Row],[Orders Counted at Base Rate]]*Salary_Calculation[[#This Row],[Base Order Rate]])</f>
        <v/>
      </c>
      <c r="M35" s="165" t="str">
        <f aca="false">IF(Salary_Calculation[[#This Row],[Source Row]]="","",MAX(Salary_Calculation[[#This Row],[Rider Target Orders]]-N(Salary_Calculation[[#This Row],[Completed Orders]]),0))</f>
        <v/>
      </c>
      <c r="N35" s="164" t="str">
        <f aca="false">IF(Salary_Calculation[[#This Row],[Source Row]]="","",Salary_Calculation[[#This Row],[Missing Orders]]*Missing_Rate)</f>
        <v/>
      </c>
      <c r="O35" s="165" t="str">
        <f aca="false">IF(Salary_Calculation[[#This Row],[Source Row]]="","",MAX(N(Salary_Calculation[[#This Row],[Completed Orders]])-Salary_Calculation[[#This Row],[Rider Target Orders]],0))</f>
        <v/>
      </c>
      <c r="P35" s="164" t="str">
        <f aca="false">IF(Salary_Calculation[[#This Row],[Source Row]]="","",Salary_Calculation[[#This Row],[Extra Orders]]*Extra_Rate)</f>
        <v/>
      </c>
      <c r="Q35" s="164" t="str">
        <f aca="false">IF(Salary_Calculation[[#This Row],[Source Row]]="","",MAX(Salary_Calculation[[#This Row],[Salary Before Other Deductions]],0))</f>
        <v/>
      </c>
      <c r="R35" s="164" t="str">
        <f aca="false">IF(Salary_Calculation[[#This Row],[Source Row]]="","",N(INDEX(Rider_Input[missed_days_penalty],Salary_Calculation[[#This Row],[Source Row]])))</f>
        <v/>
      </c>
      <c r="S35" s="164" t="str">
        <f aca="false">IF(Salary_Calculation[[#This Row],[Source Row]]="","",N(INDEX(Rider_Input[Rider Balance / محفظة المندوب],Salary_Calculation[[#This Row],[Source Row]])))</f>
        <v/>
      </c>
      <c r="T35" s="164" t="str">
        <f aca="false">IF(Salary_Calculation[[#This Row],[Source Row]]="","",N(INDEX(Rider_Input[stacking_deduction / خصم الطلبات المتعددة],Salary_Calculation[[#This Row],[Source Row]])))</f>
        <v/>
      </c>
      <c r="U35" s="164" t="str">
        <f aca="false">IF(Salary_Calculation[[#This Row],[Source Row]]="","",N(INDEX(Rider_Input[Other Deductions],Salary_Calculation[[#This Row],[Source Row]])))</f>
        <v/>
      </c>
      <c r="V35" s="164" t="str">
        <f aca="false">IF(Salary_Calculation[[#This Row],[Source Row]]="","",N(Salary_Calculation[[#This Row],[missed_days_penalty]])+N(Salary_Calculation[[#This Row],[Rider Balance]])+N(Salary_Calculation[[#This Row],[stacking_deduction]])+N(Salary_Calculation[[#This Row],[Other Deductions]]))</f>
        <v/>
      </c>
      <c r="W35" s="167" t="str">
        <f aca="false">IF(Salary_Calculation[[#This Row],[Source Row]]="","",ROUND(MAX(Salary_Calculation[[#This Row],[Gross Salary Before Deductions]]-Salary_Calculation[[#This Row],[Total Deductions]],0),2))</f>
        <v/>
      </c>
      <c r="X35" s="164" t="str">
        <f aca="false">IF(Salary_Calculation[[#This Row],[Source Row]]="","",ROUND(MAX(Salary_Calculation[[#This Row],[Missing-Order Deduction]]-Salary_Calculation[[#This Row],[Earned Salary]],0),2))</f>
        <v/>
      </c>
      <c r="Y3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5" s="163" t="str">
        <f aca="false">IF(Salary_Calculation[[#This Row],[Source Row]]="","",IF(INDEX(Rider_Input[Notes],Salary_Calculation[[#This Row],[Source Row]])="","",INDEX(Rider_Input[Notes],Salary_Calculation[[#This Row],[Source Row]])))</f>
        <v/>
      </c>
      <c r="AA35" s="164" t="str">
        <f aca="false">IF(Salary_Calculation[[#This Row],[Source Row]]="","",Salary_Calculation[[#This Row],[Earned Salary]]-Salary_Calculation[[#This Row],[Missing-Order Deduction]]+Salary_Calculation[[#This Row],[Extra-Order Bonus]])</f>
        <v/>
      </c>
      <c r="AB35" s="164" t="str">
        <f aca="false">IF(Salary_Calculation[[#This Row],[Source Row]]="","",ROUND(Salary_Calculation[[#This Row],[Negative Balance / Amount Due from Rider]]+MAX(Salary_Calculation[[#This Row],[Total Deductions]]-Salary_Calculation[[#This Row],[Gross Salary Before Deductions]],0),2))</f>
        <v/>
      </c>
      <c r="AC3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5" s="164" t="str">
        <f aca="false">IF(Salary_Calculation[[#This Row],[Source Row]]="","",Salary_Calculation[[#This Row],[Rider Target Orders]]*Salary_Calculation[[#This Row],[Base Order Rate]])</f>
        <v/>
      </c>
      <c r="AE35" s="162" t="str">
        <f aca="false">IF(SUMPRODUCT(--(LEN(INDEX(Rider_Input[#Data],ROW()-ROW(Salary_Calculation[#Headers]),0))&gt;0))=0,"",ROW()-ROW(Salary_Calculation[#Headers]))</f>
        <v/>
      </c>
    </row>
    <row r="36" customFormat="false" ht="14.25" hidden="false" customHeight="false" outlineLevel="0" collapsed="false">
      <c r="A36" s="161" t="str">
        <f aca="false">IF(Salary_Calculation[[#This Row],[Source Row]]="","",IF(INDEX(Rider_Input[Salary Month],Salary_Calculation[[#This Row],[Source Row]])="","",INDEX(Rider_Input[Salary Month],Salary_Calculation[[#This Row],[Source Row]])))</f>
        <v/>
      </c>
      <c r="B36" s="162" t="str">
        <f aca="false">IF(Salary_Calculation[[#This Row],[Source Row]]="","",IF(INDEX(Rider_Input[Rider ID],Salary_Calculation[[#This Row],[Source Row]])="","",INDEX(Rider_Input[Rider ID],Salary_Calculation[[#This Row],[Source Row]])))</f>
        <v/>
      </c>
      <c r="C36" s="163" t="str">
        <f aca="false">IF(Salary_Calculation[[#This Row],[Source Row]]="","",IF(INDEX(Rider_Input[Rider Name],Salary_Calculation[[#This Row],[Source Row]])="","",INDEX(Rider_Input[Rider Name],Salary_Calculation[[#This Row],[Source Row]])))</f>
        <v/>
      </c>
      <c r="D36" s="164" t="str">
        <f aca="false">IF(Salary_Calculation[[#This Row],[Source Row]]="","",IF(INDEX(Rider_Input[Basic Payment],Salary_Calculation[[#This Row],[Source Row]])="","",INDEX(Rider_Input[Basic Payment],Salary_Calculation[[#This Row],[Source Row]])))</f>
        <v/>
      </c>
      <c r="E36" s="162" t="str">
        <f aca="false">IF(Salary_Calculation[[#This Row],[Source Row]]="","",IF(INDEX(Rider_Input[Calendar Days in Month],Salary_Calculation[[#This Row],[Source Row]])="","",INDEX(Rider_Input[Calendar Days in Month],Salary_Calculation[[#This Row],[Source Row]])))</f>
        <v/>
      </c>
      <c r="F36" s="162" t="str">
        <f aca="false">IF(Salary_Calculation[[#This Row],[Source Row]]="","",IF(INDEX(Rider_Input[Working Days],Salary_Calculation[[#This Row],[Source Row]])="","",INDEX(Rider_Input[Working Days],Salary_Calculation[[#This Row],[Source Row]])))</f>
        <v/>
      </c>
      <c r="G36" s="165" t="str">
        <f aca="false">IF(Salary_Calculation[[#This Row],[Source Row]]="","",Std_Orders/Std_Days*N(Salary_Calculation[[#This Row],[Calendar Days]]))</f>
        <v/>
      </c>
      <c r="H36" s="165" t="str">
        <f aca="false">IF(Salary_Calculation[[#This Row],[Source Row]]="","",IF(N(Salary_Calculation[[#This Row],[Calendar Days]])&gt;0,Salary_Calculation[[#This Row],[Monthly Target Orders]]/N(Salary_Calculation[[#This Row],[Calendar Days]])*N(Salary_Calculation[[#This Row],[Working Days]]),0))</f>
        <v/>
      </c>
      <c r="I36" s="166" t="str">
        <f aca="false">IF(Salary_Calculation[[#This Row],[Source Row]]="","",IF(INDEX(Rider_Input[Completed Orders],Salary_Calculation[[#This Row],[Source Row]])="","",INDEX(Rider_Input[Completed Orders],Salary_Calculation[[#This Row],[Source Row]])))</f>
        <v/>
      </c>
      <c r="J36" s="165" t="str">
        <f aca="false">IF(Salary_Calculation[[#This Row],[Source Row]]="","",IF(Rate_Method="Fixed rate",Fixed_Rate,IF(N(Salary_Calculation[[#This Row],[Basic Payment]])&gt;0,N(Salary_Calculation[[#This Row],[Basic Payment]])/Std_Orders,0)))</f>
        <v/>
      </c>
      <c r="K36" s="165" t="str">
        <f aca="false">IF(Salary_Calculation[[#This Row],[Source Row]]="","",MAX(MIN(N(Salary_Calculation[[#This Row],[Completed Orders]]),Salary_Calculation[[#This Row],[Rider Target Orders]]),0))</f>
        <v/>
      </c>
      <c r="L36" s="164" t="str">
        <f aca="false">IF(Salary_Calculation[[#This Row],[Source Row]]="","",Salary_Calculation[[#This Row],[Orders Counted at Base Rate]]*Salary_Calculation[[#This Row],[Base Order Rate]])</f>
        <v/>
      </c>
      <c r="M36" s="165" t="str">
        <f aca="false">IF(Salary_Calculation[[#This Row],[Source Row]]="","",MAX(Salary_Calculation[[#This Row],[Rider Target Orders]]-N(Salary_Calculation[[#This Row],[Completed Orders]]),0))</f>
        <v/>
      </c>
      <c r="N36" s="164" t="str">
        <f aca="false">IF(Salary_Calculation[[#This Row],[Source Row]]="","",Salary_Calculation[[#This Row],[Missing Orders]]*Missing_Rate)</f>
        <v/>
      </c>
      <c r="O36" s="165" t="str">
        <f aca="false">IF(Salary_Calculation[[#This Row],[Source Row]]="","",MAX(N(Salary_Calculation[[#This Row],[Completed Orders]])-Salary_Calculation[[#This Row],[Rider Target Orders]],0))</f>
        <v/>
      </c>
      <c r="P36" s="164" t="str">
        <f aca="false">IF(Salary_Calculation[[#This Row],[Source Row]]="","",Salary_Calculation[[#This Row],[Extra Orders]]*Extra_Rate)</f>
        <v/>
      </c>
      <c r="Q36" s="164" t="str">
        <f aca="false">IF(Salary_Calculation[[#This Row],[Source Row]]="","",MAX(Salary_Calculation[[#This Row],[Salary Before Other Deductions]],0))</f>
        <v/>
      </c>
      <c r="R36" s="164" t="str">
        <f aca="false">IF(Salary_Calculation[[#This Row],[Source Row]]="","",N(INDEX(Rider_Input[missed_days_penalty],Salary_Calculation[[#This Row],[Source Row]])))</f>
        <v/>
      </c>
      <c r="S36" s="164" t="str">
        <f aca="false">IF(Salary_Calculation[[#This Row],[Source Row]]="","",N(INDEX(Rider_Input[Rider Balance / محفظة المندوب],Salary_Calculation[[#This Row],[Source Row]])))</f>
        <v/>
      </c>
      <c r="T36" s="164" t="str">
        <f aca="false">IF(Salary_Calculation[[#This Row],[Source Row]]="","",N(INDEX(Rider_Input[stacking_deduction / خصم الطلبات المتعددة],Salary_Calculation[[#This Row],[Source Row]])))</f>
        <v/>
      </c>
      <c r="U36" s="164" t="str">
        <f aca="false">IF(Salary_Calculation[[#This Row],[Source Row]]="","",N(INDEX(Rider_Input[Other Deductions],Salary_Calculation[[#This Row],[Source Row]])))</f>
        <v/>
      </c>
      <c r="V36" s="164" t="str">
        <f aca="false">IF(Salary_Calculation[[#This Row],[Source Row]]="","",N(Salary_Calculation[[#This Row],[missed_days_penalty]])+N(Salary_Calculation[[#This Row],[Rider Balance]])+N(Salary_Calculation[[#This Row],[stacking_deduction]])+N(Salary_Calculation[[#This Row],[Other Deductions]]))</f>
        <v/>
      </c>
      <c r="W36" s="167" t="str">
        <f aca="false">IF(Salary_Calculation[[#This Row],[Source Row]]="","",ROUND(MAX(Salary_Calculation[[#This Row],[Gross Salary Before Deductions]]-Salary_Calculation[[#This Row],[Total Deductions]],0),2))</f>
        <v/>
      </c>
      <c r="X36" s="164" t="str">
        <f aca="false">IF(Salary_Calculation[[#This Row],[Source Row]]="","",ROUND(MAX(Salary_Calculation[[#This Row],[Missing-Order Deduction]]-Salary_Calculation[[#This Row],[Earned Salary]],0),2))</f>
        <v/>
      </c>
      <c r="Y3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6" s="163" t="str">
        <f aca="false">IF(Salary_Calculation[[#This Row],[Source Row]]="","",IF(INDEX(Rider_Input[Notes],Salary_Calculation[[#This Row],[Source Row]])="","",INDEX(Rider_Input[Notes],Salary_Calculation[[#This Row],[Source Row]])))</f>
        <v/>
      </c>
      <c r="AA36" s="164" t="str">
        <f aca="false">IF(Salary_Calculation[[#This Row],[Source Row]]="","",Salary_Calculation[[#This Row],[Earned Salary]]-Salary_Calculation[[#This Row],[Missing-Order Deduction]]+Salary_Calculation[[#This Row],[Extra-Order Bonus]])</f>
        <v/>
      </c>
      <c r="AB36" s="164" t="str">
        <f aca="false">IF(Salary_Calculation[[#This Row],[Source Row]]="","",ROUND(Salary_Calculation[[#This Row],[Negative Balance / Amount Due from Rider]]+MAX(Salary_Calculation[[#This Row],[Total Deductions]]-Salary_Calculation[[#This Row],[Gross Salary Before Deductions]],0),2))</f>
        <v/>
      </c>
      <c r="AC3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6" s="164" t="str">
        <f aca="false">IF(Salary_Calculation[[#This Row],[Source Row]]="","",Salary_Calculation[[#This Row],[Rider Target Orders]]*Salary_Calculation[[#This Row],[Base Order Rate]])</f>
        <v/>
      </c>
      <c r="AE36" s="162" t="str">
        <f aca="false">IF(SUMPRODUCT(--(LEN(INDEX(Rider_Input[#Data],ROW()-ROW(Salary_Calculation[#Headers]),0))&gt;0))=0,"",ROW()-ROW(Salary_Calculation[#Headers]))</f>
        <v/>
      </c>
    </row>
    <row r="37" customFormat="false" ht="14.25" hidden="false" customHeight="false" outlineLevel="0" collapsed="false">
      <c r="A37" s="161" t="str">
        <f aca="false">IF(Salary_Calculation[[#This Row],[Source Row]]="","",IF(INDEX(Rider_Input[Salary Month],Salary_Calculation[[#This Row],[Source Row]])="","",INDEX(Rider_Input[Salary Month],Salary_Calculation[[#This Row],[Source Row]])))</f>
        <v/>
      </c>
      <c r="B37" s="162" t="str">
        <f aca="false">IF(Salary_Calculation[[#This Row],[Source Row]]="","",IF(INDEX(Rider_Input[Rider ID],Salary_Calculation[[#This Row],[Source Row]])="","",INDEX(Rider_Input[Rider ID],Salary_Calculation[[#This Row],[Source Row]])))</f>
        <v/>
      </c>
      <c r="C37" s="163" t="str">
        <f aca="false">IF(Salary_Calculation[[#This Row],[Source Row]]="","",IF(INDEX(Rider_Input[Rider Name],Salary_Calculation[[#This Row],[Source Row]])="","",INDEX(Rider_Input[Rider Name],Salary_Calculation[[#This Row],[Source Row]])))</f>
        <v/>
      </c>
      <c r="D37" s="164" t="str">
        <f aca="false">IF(Salary_Calculation[[#This Row],[Source Row]]="","",IF(INDEX(Rider_Input[Basic Payment],Salary_Calculation[[#This Row],[Source Row]])="","",INDEX(Rider_Input[Basic Payment],Salary_Calculation[[#This Row],[Source Row]])))</f>
        <v/>
      </c>
      <c r="E37" s="162" t="str">
        <f aca="false">IF(Salary_Calculation[[#This Row],[Source Row]]="","",IF(INDEX(Rider_Input[Calendar Days in Month],Salary_Calculation[[#This Row],[Source Row]])="","",INDEX(Rider_Input[Calendar Days in Month],Salary_Calculation[[#This Row],[Source Row]])))</f>
        <v/>
      </c>
      <c r="F37" s="162" t="str">
        <f aca="false">IF(Salary_Calculation[[#This Row],[Source Row]]="","",IF(INDEX(Rider_Input[Working Days],Salary_Calculation[[#This Row],[Source Row]])="","",INDEX(Rider_Input[Working Days],Salary_Calculation[[#This Row],[Source Row]])))</f>
        <v/>
      </c>
      <c r="G37" s="165" t="str">
        <f aca="false">IF(Salary_Calculation[[#This Row],[Source Row]]="","",Std_Orders/Std_Days*N(Salary_Calculation[[#This Row],[Calendar Days]]))</f>
        <v/>
      </c>
      <c r="H37" s="165" t="str">
        <f aca="false">IF(Salary_Calculation[[#This Row],[Source Row]]="","",IF(N(Salary_Calculation[[#This Row],[Calendar Days]])&gt;0,Salary_Calculation[[#This Row],[Monthly Target Orders]]/N(Salary_Calculation[[#This Row],[Calendar Days]])*N(Salary_Calculation[[#This Row],[Working Days]]),0))</f>
        <v/>
      </c>
      <c r="I37" s="166" t="str">
        <f aca="false">IF(Salary_Calculation[[#This Row],[Source Row]]="","",IF(INDEX(Rider_Input[Completed Orders],Salary_Calculation[[#This Row],[Source Row]])="","",INDEX(Rider_Input[Completed Orders],Salary_Calculation[[#This Row],[Source Row]])))</f>
        <v/>
      </c>
      <c r="J37" s="165" t="str">
        <f aca="false">IF(Salary_Calculation[[#This Row],[Source Row]]="","",IF(Rate_Method="Fixed rate",Fixed_Rate,IF(N(Salary_Calculation[[#This Row],[Basic Payment]])&gt;0,N(Salary_Calculation[[#This Row],[Basic Payment]])/Std_Orders,0)))</f>
        <v/>
      </c>
      <c r="K37" s="165" t="str">
        <f aca="false">IF(Salary_Calculation[[#This Row],[Source Row]]="","",MAX(MIN(N(Salary_Calculation[[#This Row],[Completed Orders]]),Salary_Calculation[[#This Row],[Rider Target Orders]]),0))</f>
        <v/>
      </c>
      <c r="L37" s="164" t="str">
        <f aca="false">IF(Salary_Calculation[[#This Row],[Source Row]]="","",Salary_Calculation[[#This Row],[Orders Counted at Base Rate]]*Salary_Calculation[[#This Row],[Base Order Rate]])</f>
        <v/>
      </c>
      <c r="M37" s="165" t="str">
        <f aca="false">IF(Salary_Calculation[[#This Row],[Source Row]]="","",MAX(Salary_Calculation[[#This Row],[Rider Target Orders]]-N(Salary_Calculation[[#This Row],[Completed Orders]]),0))</f>
        <v/>
      </c>
      <c r="N37" s="164" t="str">
        <f aca="false">IF(Salary_Calculation[[#This Row],[Source Row]]="","",Salary_Calculation[[#This Row],[Missing Orders]]*Missing_Rate)</f>
        <v/>
      </c>
      <c r="O37" s="165" t="str">
        <f aca="false">IF(Salary_Calculation[[#This Row],[Source Row]]="","",MAX(N(Salary_Calculation[[#This Row],[Completed Orders]])-Salary_Calculation[[#This Row],[Rider Target Orders]],0))</f>
        <v/>
      </c>
      <c r="P37" s="164" t="str">
        <f aca="false">IF(Salary_Calculation[[#This Row],[Source Row]]="","",Salary_Calculation[[#This Row],[Extra Orders]]*Extra_Rate)</f>
        <v/>
      </c>
      <c r="Q37" s="164" t="str">
        <f aca="false">IF(Salary_Calculation[[#This Row],[Source Row]]="","",MAX(Salary_Calculation[[#This Row],[Salary Before Other Deductions]],0))</f>
        <v/>
      </c>
      <c r="R37" s="164" t="str">
        <f aca="false">IF(Salary_Calculation[[#This Row],[Source Row]]="","",N(INDEX(Rider_Input[missed_days_penalty],Salary_Calculation[[#This Row],[Source Row]])))</f>
        <v/>
      </c>
      <c r="S37" s="164" t="str">
        <f aca="false">IF(Salary_Calculation[[#This Row],[Source Row]]="","",N(INDEX(Rider_Input[Rider Balance / محفظة المندوب],Salary_Calculation[[#This Row],[Source Row]])))</f>
        <v/>
      </c>
      <c r="T37" s="164" t="str">
        <f aca="false">IF(Salary_Calculation[[#This Row],[Source Row]]="","",N(INDEX(Rider_Input[stacking_deduction / خصم الطلبات المتعددة],Salary_Calculation[[#This Row],[Source Row]])))</f>
        <v/>
      </c>
      <c r="U37" s="164" t="str">
        <f aca="false">IF(Salary_Calculation[[#This Row],[Source Row]]="","",N(INDEX(Rider_Input[Other Deductions],Salary_Calculation[[#This Row],[Source Row]])))</f>
        <v/>
      </c>
      <c r="V37" s="164" t="str">
        <f aca="false">IF(Salary_Calculation[[#This Row],[Source Row]]="","",N(Salary_Calculation[[#This Row],[missed_days_penalty]])+N(Salary_Calculation[[#This Row],[Rider Balance]])+N(Salary_Calculation[[#This Row],[stacking_deduction]])+N(Salary_Calculation[[#This Row],[Other Deductions]]))</f>
        <v/>
      </c>
      <c r="W37" s="167" t="str">
        <f aca="false">IF(Salary_Calculation[[#This Row],[Source Row]]="","",ROUND(MAX(Salary_Calculation[[#This Row],[Gross Salary Before Deductions]]-Salary_Calculation[[#This Row],[Total Deductions]],0),2))</f>
        <v/>
      </c>
      <c r="X37" s="164" t="str">
        <f aca="false">IF(Salary_Calculation[[#This Row],[Source Row]]="","",ROUND(MAX(Salary_Calculation[[#This Row],[Missing-Order Deduction]]-Salary_Calculation[[#This Row],[Earned Salary]],0),2))</f>
        <v/>
      </c>
      <c r="Y3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7" s="163" t="str">
        <f aca="false">IF(Salary_Calculation[[#This Row],[Source Row]]="","",IF(INDEX(Rider_Input[Notes],Salary_Calculation[[#This Row],[Source Row]])="","",INDEX(Rider_Input[Notes],Salary_Calculation[[#This Row],[Source Row]])))</f>
        <v/>
      </c>
      <c r="AA37" s="164" t="str">
        <f aca="false">IF(Salary_Calculation[[#This Row],[Source Row]]="","",Salary_Calculation[[#This Row],[Earned Salary]]-Salary_Calculation[[#This Row],[Missing-Order Deduction]]+Salary_Calculation[[#This Row],[Extra-Order Bonus]])</f>
        <v/>
      </c>
      <c r="AB37" s="164" t="str">
        <f aca="false">IF(Salary_Calculation[[#This Row],[Source Row]]="","",ROUND(Salary_Calculation[[#This Row],[Negative Balance / Amount Due from Rider]]+MAX(Salary_Calculation[[#This Row],[Total Deductions]]-Salary_Calculation[[#This Row],[Gross Salary Before Deductions]],0),2))</f>
        <v/>
      </c>
      <c r="AC3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7" s="164" t="str">
        <f aca="false">IF(Salary_Calculation[[#This Row],[Source Row]]="","",Salary_Calculation[[#This Row],[Rider Target Orders]]*Salary_Calculation[[#This Row],[Base Order Rate]])</f>
        <v/>
      </c>
      <c r="AE37" s="162" t="str">
        <f aca="false">IF(SUMPRODUCT(--(LEN(INDEX(Rider_Input[#Data],ROW()-ROW(Salary_Calculation[#Headers]),0))&gt;0))=0,"",ROW()-ROW(Salary_Calculation[#Headers]))</f>
        <v/>
      </c>
    </row>
    <row r="38" customFormat="false" ht="14.25" hidden="false" customHeight="false" outlineLevel="0" collapsed="false">
      <c r="A38" s="161" t="str">
        <f aca="false">IF(Salary_Calculation[[#This Row],[Source Row]]="","",IF(INDEX(Rider_Input[Salary Month],Salary_Calculation[[#This Row],[Source Row]])="","",INDEX(Rider_Input[Salary Month],Salary_Calculation[[#This Row],[Source Row]])))</f>
        <v/>
      </c>
      <c r="B38" s="162" t="str">
        <f aca="false">IF(Salary_Calculation[[#This Row],[Source Row]]="","",IF(INDEX(Rider_Input[Rider ID],Salary_Calculation[[#This Row],[Source Row]])="","",INDEX(Rider_Input[Rider ID],Salary_Calculation[[#This Row],[Source Row]])))</f>
        <v/>
      </c>
      <c r="C38" s="163" t="str">
        <f aca="false">IF(Salary_Calculation[[#This Row],[Source Row]]="","",IF(INDEX(Rider_Input[Rider Name],Salary_Calculation[[#This Row],[Source Row]])="","",INDEX(Rider_Input[Rider Name],Salary_Calculation[[#This Row],[Source Row]])))</f>
        <v/>
      </c>
      <c r="D38" s="164" t="str">
        <f aca="false">IF(Salary_Calculation[[#This Row],[Source Row]]="","",IF(INDEX(Rider_Input[Basic Payment],Salary_Calculation[[#This Row],[Source Row]])="","",INDEX(Rider_Input[Basic Payment],Salary_Calculation[[#This Row],[Source Row]])))</f>
        <v/>
      </c>
      <c r="E38" s="162" t="str">
        <f aca="false">IF(Salary_Calculation[[#This Row],[Source Row]]="","",IF(INDEX(Rider_Input[Calendar Days in Month],Salary_Calculation[[#This Row],[Source Row]])="","",INDEX(Rider_Input[Calendar Days in Month],Salary_Calculation[[#This Row],[Source Row]])))</f>
        <v/>
      </c>
      <c r="F38" s="162" t="str">
        <f aca="false">IF(Salary_Calculation[[#This Row],[Source Row]]="","",IF(INDEX(Rider_Input[Working Days],Salary_Calculation[[#This Row],[Source Row]])="","",INDEX(Rider_Input[Working Days],Salary_Calculation[[#This Row],[Source Row]])))</f>
        <v/>
      </c>
      <c r="G38" s="165" t="str">
        <f aca="false">IF(Salary_Calculation[[#This Row],[Source Row]]="","",Std_Orders/Std_Days*N(Salary_Calculation[[#This Row],[Calendar Days]]))</f>
        <v/>
      </c>
      <c r="H38" s="165" t="str">
        <f aca="false">IF(Salary_Calculation[[#This Row],[Source Row]]="","",IF(N(Salary_Calculation[[#This Row],[Calendar Days]])&gt;0,Salary_Calculation[[#This Row],[Monthly Target Orders]]/N(Salary_Calculation[[#This Row],[Calendar Days]])*N(Salary_Calculation[[#This Row],[Working Days]]),0))</f>
        <v/>
      </c>
      <c r="I38" s="166" t="str">
        <f aca="false">IF(Salary_Calculation[[#This Row],[Source Row]]="","",IF(INDEX(Rider_Input[Completed Orders],Salary_Calculation[[#This Row],[Source Row]])="","",INDEX(Rider_Input[Completed Orders],Salary_Calculation[[#This Row],[Source Row]])))</f>
        <v/>
      </c>
      <c r="J38" s="165" t="str">
        <f aca="false">IF(Salary_Calculation[[#This Row],[Source Row]]="","",IF(Rate_Method="Fixed rate",Fixed_Rate,IF(N(Salary_Calculation[[#This Row],[Basic Payment]])&gt;0,N(Salary_Calculation[[#This Row],[Basic Payment]])/Std_Orders,0)))</f>
        <v/>
      </c>
      <c r="K38" s="165" t="str">
        <f aca="false">IF(Salary_Calculation[[#This Row],[Source Row]]="","",MAX(MIN(N(Salary_Calculation[[#This Row],[Completed Orders]]),Salary_Calculation[[#This Row],[Rider Target Orders]]),0))</f>
        <v/>
      </c>
      <c r="L38" s="164" t="str">
        <f aca="false">IF(Salary_Calculation[[#This Row],[Source Row]]="","",Salary_Calculation[[#This Row],[Orders Counted at Base Rate]]*Salary_Calculation[[#This Row],[Base Order Rate]])</f>
        <v/>
      </c>
      <c r="M38" s="165" t="str">
        <f aca="false">IF(Salary_Calculation[[#This Row],[Source Row]]="","",MAX(Salary_Calculation[[#This Row],[Rider Target Orders]]-N(Salary_Calculation[[#This Row],[Completed Orders]]),0))</f>
        <v/>
      </c>
      <c r="N38" s="164" t="str">
        <f aca="false">IF(Salary_Calculation[[#This Row],[Source Row]]="","",Salary_Calculation[[#This Row],[Missing Orders]]*Missing_Rate)</f>
        <v/>
      </c>
      <c r="O38" s="165" t="str">
        <f aca="false">IF(Salary_Calculation[[#This Row],[Source Row]]="","",MAX(N(Salary_Calculation[[#This Row],[Completed Orders]])-Salary_Calculation[[#This Row],[Rider Target Orders]],0))</f>
        <v/>
      </c>
      <c r="P38" s="164" t="str">
        <f aca="false">IF(Salary_Calculation[[#This Row],[Source Row]]="","",Salary_Calculation[[#This Row],[Extra Orders]]*Extra_Rate)</f>
        <v/>
      </c>
      <c r="Q38" s="164" t="str">
        <f aca="false">IF(Salary_Calculation[[#This Row],[Source Row]]="","",MAX(Salary_Calculation[[#This Row],[Salary Before Other Deductions]],0))</f>
        <v/>
      </c>
      <c r="R38" s="164" t="str">
        <f aca="false">IF(Salary_Calculation[[#This Row],[Source Row]]="","",N(INDEX(Rider_Input[missed_days_penalty],Salary_Calculation[[#This Row],[Source Row]])))</f>
        <v/>
      </c>
      <c r="S38" s="164" t="str">
        <f aca="false">IF(Salary_Calculation[[#This Row],[Source Row]]="","",N(INDEX(Rider_Input[Rider Balance / محفظة المندوب],Salary_Calculation[[#This Row],[Source Row]])))</f>
        <v/>
      </c>
      <c r="T38" s="164" t="str">
        <f aca="false">IF(Salary_Calculation[[#This Row],[Source Row]]="","",N(INDEX(Rider_Input[stacking_deduction / خصم الطلبات المتعددة],Salary_Calculation[[#This Row],[Source Row]])))</f>
        <v/>
      </c>
      <c r="U38" s="164" t="str">
        <f aca="false">IF(Salary_Calculation[[#This Row],[Source Row]]="","",N(INDEX(Rider_Input[Other Deductions],Salary_Calculation[[#This Row],[Source Row]])))</f>
        <v/>
      </c>
      <c r="V38" s="164" t="str">
        <f aca="false">IF(Salary_Calculation[[#This Row],[Source Row]]="","",N(Salary_Calculation[[#This Row],[missed_days_penalty]])+N(Salary_Calculation[[#This Row],[Rider Balance]])+N(Salary_Calculation[[#This Row],[stacking_deduction]])+N(Salary_Calculation[[#This Row],[Other Deductions]]))</f>
        <v/>
      </c>
      <c r="W38" s="167" t="str">
        <f aca="false">IF(Salary_Calculation[[#This Row],[Source Row]]="","",ROUND(MAX(Salary_Calculation[[#This Row],[Gross Salary Before Deductions]]-Salary_Calculation[[#This Row],[Total Deductions]],0),2))</f>
        <v/>
      </c>
      <c r="X38" s="164" t="str">
        <f aca="false">IF(Salary_Calculation[[#This Row],[Source Row]]="","",ROUND(MAX(Salary_Calculation[[#This Row],[Missing-Order Deduction]]-Salary_Calculation[[#This Row],[Earned Salary]],0),2))</f>
        <v/>
      </c>
      <c r="Y3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8" s="163" t="str">
        <f aca="false">IF(Salary_Calculation[[#This Row],[Source Row]]="","",IF(INDEX(Rider_Input[Notes],Salary_Calculation[[#This Row],[Source Row]])="","",INDEX(Rider_Input[Notes],Salary_Calculation[[#This Row],[Source Row]])))</f>
        <v/>
      </c>
      <c r="AA38" s="164" t="str">
        <f aca="false">IF(Salary_Calculation[[#This Row],[Source Row]]="","",Salary_Calculation[[#This Row],[Earned Salary]]-Salary_Calculation[[#This Row],[Missing-Order Deduction]]+Salary_Calculation[[#This Row],[Extra-Order Bonus]])</f>
        <v/>
      </c>
      <c r="AB38" s="164" t="str">
        <f aca="false">IF(Salary_Calculation[[#This Row],[Source Row]]="","",ROUND(Salary_Calculation[[#This Row],[Negative Balance / Amount Due from Rider]]+MAX(Salary_Calculation[[#This Row],[Total Deductions]]-Salary_Calculation[[#This Row],[Gross Salary Before Deductions]],0),2))</f>
        <v/>
      </c>
      <c r="AC3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8" s="164" t="str">
        <f aca="false">IF(Salary_Calculation[[#This Row],[Source Row]]="","",Salary_Calculation[[#This Row],[Rider Target Orders]]*Salary_Calculation[[#This Row],[Base Order Rate]])</f>
        <v/>
      </c>
      <c r="AE38" s="162" t="str">
        <f aca="false">IF(SUMPRODUCT(--(LEN(INDEX(Rider_Input[#Data],ROW()-ROW(Salary_Calculation[#Headers]),0))&gt;0))=0,"",ROW()-ROW(Salary_Calculation[#Headers]))</f>
        <v/>
      </c>
    </row>
    <row r="39" customFormat="false" ht="14.25" hidden="false" customHeight="false" outlineLevel="0" collapsed="false">
      <c r="A39" s="161" t="str">
        <f aca="false">IF(Salary_Calculation[[#This Row],[Source Row]]="","",IF(INDEX(Rider_Input[Salary Month],Salary_Calculation[[#This Row],[Source Row]])="","",INDEX(Rider_Input[Salary Month],Salary_Calculation[[#This Row],[Source Row]])))</f>
        <v/>
      </c>
      <c r="B39" s="162" t="str">
        <f aca="false">IF(Salary_Calculation[[#This Row],[Source Row]]="","",IF(INDEX(Rider_Input[Rider ID],Salary_Calculation[[#This Row],[Source Row]])="","",INDEX(Rider_Input[Rider ID],Salary_Calculation[[#This Row],[Source Row]])))</f>
        <v/>
      </c>
      <c r="C39" s="163" t="str">
        <f aca="false">IF(Salary_Calculation[[#This Row],[Source Row]]="","",IF(INDEX(Rider_Input[Rider Name],Salary_Calculation[[#This Row],[Source Row]])="","",INDEX(Rider_Input[Rider Name],Salary_Calculation[[#This Row],[Source Row]])))</f>
        <v/>
      </c>
      <c r="D39" s="164" t="str">
        <f aca="false">IF(Salary_Calculation[[#This Row],[Source Row]]="","",IF(INDEX(Rider_Input[Basic Payment],Salary_Calculation[[#This Row],[Source Row]])="","",INDEX(Rider_Input[Basic Payment],Salary_Calculation[[#This Row],[Source Row]])))</f>
        <v/>
      </c>
      <c r="E39" s="162" t="str">
        <f aca="false">IF(Salary_Calculation[[#This Row],[Source Row]]="","",IF(INDEX(Rider_Input[Calendar Days in Month],Salary_Calculation[[#This Row],[Source Row]])="","",INDEX(Rider_Input[Calendar Days in Month],Salary_Calculation[[#This Row],[Source Row]])))</f>
        <v/>
      </c>
      <c r="F39" s="162" t="str">
        <f aca="false">IF(Salary_Calculation[[#This Row],[Source Row]]="","",IF(INDEX(Rider_Input[Working Days],Salary_Calculation[[#This Row],[Source Row]])="","",INDEX(Rider_Input[Working Days],Salary_Calculation[[#This Row],[Source Row]])))</f>
        <v/>
      </c>
      <c r="G39" s="165" t="str">
        <f aca="false">IF(Salary_Calculation[[#This Row],[Source Row]]="","",Std_Orders/Std_Days*N(Salary_Calculation[[#This Row],[Calendar Days]]))</f>
        <v/>
      </c>
      <c r="H39" s="165" t="str">
        <f aca="false">IF(Salary_Calculation[[#This Row],[Source Row]]="","",IF(N(Salary_Calculation[[#This Row],[Calendar Days]])&gt;0,Salary_Calculation[[#This Row],[Monthly Target Orders]]/N(Salary_Calculation[[#This Row],[Calendar Days]])*N(Salary_Calculation[[#This Row],[Working Days]]),0))</f>
        <v/>
      </c>
      <c r="I39" s="166" t="str">
        <f aca="false">IF(Salary_Calculation[[#This Row],[Source Row]]="","",IF(INDEX(Rider_Input[Completed Orders],Salary_Calculation[[#This Row],[Source Row]])="","",INDEX(Rider_Input[Completed Orders],Salary_Calculation[[#This Row],[Source Row]])))</f>
        <v/>
      </c>
      <c r="J39" s="165" t="str">
        <f aca="false">IF(Salary_Calculation[[#This Row],[Source Row]]="","",IF(Rate_Method="Fixed rate",Fixed_Rate,IF(N(Salary_Calculation[[#This Row],[Basic Payment]])&gt;0,N(Salary_Calculation[[#This Row],[Basic Payment]])/Std_Orders,0)))</f>
        <v/>
      </c>
      <c r="K39" s="165" t="str">
        <f aca="false">IF(Salary_Calculation[[#This Row],[Source Row]]="","",MAX(MIN(N(Salary_Calculation[[#This Row],[Completed Orders]]),Salary_Calculation[[#This Row],[Rider Target Orders]]),0))</f>
        <v/>
      </c>
      <c r="L39" s="164" t="str">
        <f aca="false">IF(Salary_Calculation[[#This Row],[Source Row]]="","",Salary_Calculation[[#This Row],[Orders Counted at Base Rate]]*Salary_Calculation[[#This Row],[Base Order Rate]])</f>
        <v/>
      </c>
      <c r="M39" s="165" t="str">
        <f aca="false">IF(Salary_Calculation[[#This Row],[Source Row]]="","",MAX(Salary_Calculation[[#This Row],[Rider Target Orders]]-N(Salary_Calculation[[#This Row],[Completed Orders]]),0))</f>
        <v/>
      </c>
      <c r="N39" s="164" t="str">
        <f aca="false">IF(Salary_Calculation[[#This Row],[Source Row]]="","",Salary_Calculation[[#This Row],[Missing Orders]]*Missing_Rate)</f>
        <v/>
      </c>
      <c r="O39" s="165" t="str">
        <f aca="false">IF(Salary_Calculation[[#This Row],[Source Row]]="","",MAX(N(Salary_Calculation[[#This Row],[Completed Orders]])-Salary_Calculation[[#This Row],[Rider Target Orders]],0))</f>
        <v/>
      </c>
      <c r="P39" s="164" t="str">
        <f aca="false">IF(Salary_Calculation[[#This Row],[Source Row]]="","",Salary_Calculation[[#This Row],[Extra Orders]]*Extra_Rate)</f>
        <v/>
      </c>
      <c r="Q39" s="164" t="str">
        <f aca="false">IF(Salary_Calculation[[#This Row],[Source Row]]="","",MAX(Salary_Calculation[[#This Row],[Salary Before Other Deductions]],0))</f>
        <v/>
      </c>
      <c r="R39" s="164" t="str">
        <f aca="false">IF(Salary_Calculation[[#This Row],[Source Row]]="","",N(INDEX(Rider_Input[missed_days_penalty],Salary_Calculation[[#This Row],[Source Row]])))</f>
        <v/>
      </c>
      <c r="S39" s="164" t="str">
        <f aca="false">IF(Salary_Calculation[[#This Row],[Source Row]]="","",N(INDEX(Rider_Input[Rider Balance / محفظة المندوب],Salary_Calculation[[#This Row],[Source Row]])))</f>
        <v/>
      </c>
      <c r="T39" s="164" t="str">
        <f aca="false">IF(Salary_Calculation[[#This Row],[Source Row]]="","",N(INDEX(Rider_Input[stacking_deduction / خصم الطلبات المتعددة],Salary_Calculation[[#This Row],[Source Row]])))</f>
        <v/>
      </c>
      <c r="U39" s="164" t="str">
        <f aca="false">IF(Salary_Calculation[[#This Row],[Source Row]]="","",N(INDEX(Rider_Input[Other Deductions],Salary_Calculation[[#This Row],[Source Row]])))</f>
        <v/>
      </c>
      <c r="V39" s="164" t="str">
        <f aca="false">IF(Salary_Calculation[[#This Row],[Source Row]]="","",N(Salary_Calculation[[#This Row],[missed_days_penalty]])+N(Salary_Calculation[[#This Row],[Rider Balance]])+N(Salary_Calculation[[#This Row],[stacking_deduction]])+N(Salary_Calculation[[#This Row],[Other Deductions]]))</f>
        <v/>
      </c>
      <c r="W39" s="167" t="str">
        <f aca="false">IF(Salary_Calculation[[#This Row],[Source Row]]="","",ROUND(MAX(Salary_Calculation[[#This Row],[Gross Salary Before Deductions]]-Salary_Calculation[[#This Row],[Total Deductions]],0),2))</f>
        <v/>
      </c>
      <c r="X39" s="164" t="str">
        <f aca="false">IF(Salary_Calculation[[#This Row],[Source Row]]="","",ROUND(MAX(Salary_Calculation[[#This Row],[Missing-Order Deduction]]-Salary_Calculation[[#This Row],[Earned Salary]],0),2))</f>
        <v/>
      </c>
      <c r="Y3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9" s="163" t="str">
        <f aca="false">IF(Salary_Calculation[[#This Row],[Source Row]]="","",IF(INDEX(Rider_Input[Notes],Salary_Calculation[[#This Row],[Source Row]])="","",INDEX(Rider_Input[Notes],Salary_Calculation[[#This Row],[Source Row]])))</f>
        <v/>
      </c>
      <c r="AA39" s="164" t="str">
        <f aca="false">IF(Salary_Calculation[[#This Row],[Source Row]]="","",Salary_Calculation[[#This Row],[Earned Salary]]-Salary_Calculation[[#This Row],[Missing-Order Deduction]]+Salary_Calculation[[#This Row],[Extra-Order Bonus]])</f>
        <v/>
      </c>
      <c r="AB39" s="164" t="str">
        <f aca="false">IF(Salary_Calculation[[#This Row],[Source Row]]="","",ROUND(Salary_Calculation[[#This Row],[Negative Balance / Amount Due from Rider]]+MAX(Salary_Calculation[[#This Row],[Total Deductions]]-Salary_Calculation[[#This Row],[Gross Salary Before Deductions]],0),2))</f>
        <v/>
      </c>
      <c r="AC3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9" s="164" t="str">
        <f aca="false">IF(Salary_Calculation[[#This Row],[Source Row]]="","",Salary_Calculation[[#This Row],[Rider Target Orders]]*Salary_Calculation[[#This Row],[Base Order Rate]])</f>
        <v/>
      </c>
      <c r="AE39" s="162" t="str">
        <f aca="false">IF(SUMPRODUCT(--(LEN(INDEX(Rider_Input[#Data],ROW()-ROW(Salary_Calculation[#Headers]),0))&gt;0))=0,"",ROW()-ROW(Salary_Calculation[#Headers]))</f>
        <v/>
      </c>
    </row>
    <row r="40" customFormat="false" ht="14.25" hidden="false" customHeight="false" outlineLevel="0" collapsed="false">
      <c r="A40" s="161" t="str">
        <f aca="false">IF(Salary_Calculation[[#This Row],[Source Row]]="","",IF(INDEX(Rider_Input[Salary Month],Salary_Calculation[[#This Row],[Source Row]])="","",INDEX(Rider_Input[Salary Month],Salary_Calculation[[#This Row],[Source Row]])))</f>
        <v/>
      </c>
      <c r="B40" s="162" t="str">
        <f aca="false">IF(Salary_Calculation[[#This Row],[Source Row]]="","",IF(INDEX(Rider_Input[Rider ID],Salary_Calculation[[#This Row],[Source Row]])="","",INDEX(Rider_Input[Rider ID],Salary_Calculation[[#This Row],[Source Row]])))</f>
        <v/>
      </c>
      <c r="C40" s="163" t="str">
        <f aca="false">IF(Salary_Calculation[[#This Row],[Source Row]]="","",IF(INDEX(Rider_Input[Rider Name],Salary_Calculation[[#This Row],[Source Row]])="","",INDEX(Rider_Input[Rider Name],Salary_Calculation[[#This Row],[Source Row]])))</f>
        <v/>
      </c>
      <c r="D40" s="164" t="str">
        <f aca="false">IF(Salary_Calculation[[#This Row],[Source Row]]="","",IF(INDEX(Rider_Input[Basic Payment],Salary_Calculation[[#This Row],[Source Row]])="","",INDEX(Rider_Input[Basic Payment],Salary_Calculation[[#This Row],[Source Row]])))</f>
        <v/>
      </c>
      <c r="E40" s="162" t="str">
        <f aca="false">IF(Salary_Calculation[[#This Row],[Source Row]]="","",IF(INDEX(Rider_Input[Calendar Days in Month],Salary_Calculation[[#This Row],[Source Row]])="","",INDEX(Rider_Input[Calendar Days in Month],Salary_Calculation[[#This Row],[Source Row]])))</f>
        <v/>
      </c>
      <c r="F40" s="162" t="str">
        <f aca="false">IF(Salary_Calculation[[#This Row],[Source Row]]="","",IF(INDEX(Rider_Input[Working Days],Salary_Calculation[[#This Row],[Source Row]])="","",INDEX(Rider_Input[Working Days],Salary_Calculation[[#This Row],[Source Row]])))</f>
        <v/>
      </c>
      <c r="G40" s="165" t="str">
        <f aca="false">IF(Salary_Calculation[[#This Row],[Source Row]]="","",Std_Orders/Std_Days*N(Salary_Calculation[[#This Row],[Calendar Days]]))</f>
        <v/>
      </c>
      <c r="H40" s="165" t="str">
        <f aca="false">IF(Salary_Calculation[[#This Row],[Source Row]]="","",IF(N(Salary_Calculation[[#This Row],[Calendar Days]])&gt;0,Salary_Calculation[[#This Row],[Monthly Target Orders]]/N(Salary_Calculation[[#This Row],[Calendar Days]])*N(Salary_Calculation[[#This Row],[Working Days]]),0))</f>
        <v/>
      </c>
      <c r="I40" s="166" t="str">
        <f aca="false">IF(Salary_Calculation[[#This Row],[Source Row]]="","",IF(INDEX(Rider_Input[Completed Orders],Salary_Calculation[[#This Row],[Source Row]])="","",INDEX(Rider_Input[Completed Orders],Salary_Calculation[[#This Row],[Source Row]])))</f>
        <v/>
      </c>
      <c r="J40" s="165" t="str">
        <f aca="false">IF(Salary_Calculation[[#This Row],[Source Row]]="","",IF(Rate_Method="Fixed rate",Fixed_Rate,IF(N(Salary_Calculation[[#This Row],[Basic Payment]])&gt;0,N(Salary_Calculation[[#This Row],[Basic Payment]])/Std_Orders,0)))</f>
        <v/>
      </c>
      <c r="K40" s="165" t="str">
        <f aca="false">IF(Salary_Calculation[[#This Row],[Source Row]]="","",MAX(MIN(N(Salary_Calculation[[#This Row],[Completed Orders]]),Salary_Calculation[[#This Row],[Rider Target Orders]]),0))</f>
        <v/>
      </c>
      <c r="L40" s="164" t="str">
        <f aca="false">IF(Salary_Calculation[[#This Row],[Source Row]]="","",Salary_Calculation[[#This Row],[Orders Counted at Base Rate]]*Salary_Calculation[[#This Row],[Base Order Rate]])</f>
        <v/>
      </c>
      <c r="M40" s="165" t="str">
        <f aca="false">IF(Salary_Calculation[[#This Row],[Source Row]]="","",MAX(Salary_Calculation[[#This Row],[Rider Target Orders]]-N(Salary_Calculation[[#This Row],[Completed Orders]]),0))</f>
        <v/>
      </c>
      <c r="N40" s="164" t="str">
        <f aca="false">IF(Salary_Calculation[[#This Row],[Source Row]]="","",Salary_Calculation[[#This Row],[Missing Orders]]*Missing_Rate)</f>
        <v/>
      </c>
      <c r="O40" s="165" t="str">
        <f aca="false">IF(Salary_Calculation[[#This Row],[Source Row]]="","",MAX(N(Salary_Calculation[[#This Row],[Completed Orders]])-Salary_Calculation[[#This Row],[Rider Target Orders]],0))</f>
        <v/>
      </c>
      <c r="P40" s="164" t="str">
        <f aca="false">IF(Salary_Calculation[[#This Row],[Source Row]]="","",Salary_Calculation[[#This Row],[Extra Orders]]*Extra_Rate)</f>
        <v/>
      </c>
      <c r="Q40" s="164" t="str">
        <f aca="false">IF(Salary_Calculation[[#This Row],[Source Row]]="","",MAX(Salary_Calculation[[#This Row],[Salary Before Other Deductions]],0))</f>
        <v/>
      </c>
      <c r="R40" s="164" t="str">
        <f aca="false">IF(Salary_Calculation[[#This Row],[Source Row]]="","",N(INDEX(Rider_Input[missed_days_penalty],Salary_Calculation[[#This Row],[Source Row]])))</f>
        <v/>
      </c>
      <c r="S40" s="164" t="str">
        <f aca="false">IF(Salary_Calculation[[#This Row],[Source Row]]="","",N(INDEX(Rider_Input[Rider Balance / محفظة المندوب],Salary_Calculation[[#This Row],[Source Row]])))</f>
        <v/>
      </c>
      <c r="T40" s="164" t="str">
        <f aca="false">IF(Salary_Calculation[[#This Row],[Source Row]]="","",N(INDEX(Rider_Input[stacking_deduction / خصم الطلبات المتعددة],Salary_Calculation[[#This Row],[Source Row]])))</f>
        <v/>
      </c>
      <c r="U40" s="164" t="str">
        <f aca="false">IF(Salary_Calculation[[#This Row],[Source Row]]="","",N(INDEX(Rider_Input[Other Deductions],Salary_Calculation[[#This Row],[Source Row]])))</f>
        <v/>
      </c>
      <c r="V40" s="164" t="str">
        <f aca="false">IF(Salary_Calculation[[#This Row],[Source Row]]="","",N(Salary_Calculation[[#This Row],[missed_days_penalty]])+N(Salary_Calculation[[#This Row],[Rider Balance]])+N(Salary_Calculation[[#This Row],[stacking_deduction]])+N(Salary_Calculation[[#This Row],[Other Deductions]]))</f>
        <v/>
      </c>
      <c r="W40" s="167" t="str">
        <f aca="false">IF(Salary_Calculation[[#This Row],[Source Row]]="","",ROUND(MAX(Salary_Calculation[[#This Row],[Gross Salary Before Deductions]]-Salary_Calculation[[#This Row],[Total Deductions]],0),2))</f>
        <v/>
      </c>
      <c r="X40" s="164" t="str">
        <f aca="false">IF(Salary_Calculation[[#This Row],[Source Row]]="","",ROUND(MAX(Salary_Calculation[[#This Row],[Missing-Order Deduction]]-Salary_Calculation[[#This Row],[Earned Salary]],0),2))</f>
        <v/>
      </c>
      <c r="Y4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0" s="163" t="str">
        <f aca="false">IF(Salary_Calculation[[#This Row],[Source Row]]="","",IF(INDEX(Rider_Input[Notes],Salary_Calculation[[#This Row],[Source Row]])="","",INDEX(Rider_Input[Notes],Salary_Calculation[[#This Row],[Source Row]])))</f>
        <v/>
      </c>
      <c r="AA40" s="164" t="str">
        <f aca="false">IF(Salary_Calculation[[#This Row],[Source Row]]="","",Salary_Calculation[[#This Row],[Earned Salary]]-Salary_Calculation[[#This Row],[Missing-Order Deduction]]+Salary_Calculation[[#This Row],[Extra-Order Bonus]])</f>
        <v/>
      </c>
      <c r="AB40" s="164" t="str">
        <f aca="false">IF(Salary_Calculation[[#This Row],[Source Row]]="","",ROUND(Salary_Calculation[[#This Row],[Negative Balance / Amount Due from Rider]]+MAX(Salary_Calculation[[#This Row],[Total Deductions]]-Salary_Calculation[[#This Row],[Gross Salary Before Deductions]],0),2))</f>
        <v/>
      </c>
      <c r="AC4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0" s="164" t="str">
        <f aca="false">IF(Salary_Calculation[[#This Row],[Source Row]]="","",Salary_Calculation[[#This Row],[Rider Target Orders]]*Salary_Calculation[[#This Row],[Base Order Rate]])</f>
        <v/>
      </c>
      <c r="AE40" s="162" t="str">
        <f aca="false">IF(SUMPRODUCT(--(LEN(INDEX(Rider_Input[#Data],ROW()-ROW(Salary_Calculation[#Headers]),0))&gt;0))=0,"",ROW()-ROW(Salary_Calculation[#Headers]))</f>
        <v/>
      </c>
    </row>
    <row r="41" customFormat="false" ht="14.25" hidden="false" customHeight="false" outlineLevel="0" collapsed="false">
      <c r="A41" s="161" t="str">
        <f aca="false">IF(Salary_Calculation[[#This Row],[Source Row]]="","",IF(INDEX(Rider_Input[Salary Month],Salary_Calculation[[#This Row],[Source Row]])="","",INDEX(Rider_Input[Salary Month],Salary_Calculation[[#This Row],[Source Row]])))</f>
        <v/>
      </c>
      <c r="B41" s="162" t="str">
        <f aca="false">IF(Salary_Calculation[[#This Row],[Source Row]]="","",IF(INDEX(Rider_Input[Rider ID],Salary_Calculation[[#This Row],[Source Row]])="","",INDEX(Rider_Input[Rider ID],Salary_Calculation[[#This Row],[Source Row]])))</f>
        <v/>
      </c>
      <c r="C41" s="163" t="str">
        <f aca="false">IF(Salary_Calculation[[#This Row],[Source Row]]="","",IF(INDEX(Rider_Input[Rider Name],Salary_Calculation[[#This Row],[Source Row]])="","",INDEX(Rider_Input[Rider Name],Salary_Calculation[[#This Row],[Source Row]])))</f>
        <v/>
      </c>
      <c r="D41" s="164" t="str">
        <f aca="false">IF(Salary_Calculation[[#This Row],[Source Row]]="","",IF(INDEX(Rider_Input[Basic Payment],Salary_Calculation[[#This Row],[Source Row]])="","",INDEX(Rider_Input[Basic Payment],Salary_Calculation[[#This Row],[Source Row]])))</f>
        <v/>
      </c>
      <c r="E41" s="162" t="str">
        <f aca="false">IF(Salary_Calculation[[#This Row],[Source Row]]="","",IF(INDEX(Rider_Input[Calendar Days in Month],Salary_Calculation[[#This Row],[Source Row]])="","",INDEX(Rider_Input[Calendar Days in Month],Salary_Calculation[[#This Row],[Source Row]])))</f>
        <v/>
      </c>
      <c r="F41" s="162" t="str">
        <f aca="false">IF(Salary_Calculation[[#This Row],[Source Row]]="","",IF(INDEX(Rider_Input[Working Days],Salary_Calculation[[#This Row],[Source Row]])="","",INDEX(Rider_Input[Working Days],Salary_Calculation[[#This Row],[Source Row]])))</f>
        <v/>
      </c>
      <c r="G41" s="165" t="str">
        <f aca="false">IF(Salary_Calculation[[#This Row],[Source Row]]="","",Std_Orders/Std_Days*N(Salary_Calculation[[#This Row],[Calendar Days]]))</f>
        <v/>
      </c>
      <c r="H41" s="165" t="str">
        <f aca="false">IF(Salary_Calculation[[#This Row],[Source Row]]="","",IF(N(Salary_Calculation[[#This Row],[Calendar Days]])&gt;0,Salary_Calculation[[#This Row],[Monthly Target Orders]]/N(Salary_Calculation[[#This Row],[Calendar Days]])*N(Salary_Calculation[[#This Row],[Working Days]]),0))</f>
        <v/>
      </c>
      <c r="I41" s="166" t="str">
        <f aca="false">IF(Salary_Calculation[[#This Row],[Source Row]]="","",IF(INDEX(Rider_Input[Completed Orders],Salary_Calculation[[#This Row],[Source Row]])="","",INDEX(Rider_Input[Completed Orders],Salary_Calculation[[#This Row],[Source Row]])))</f>
        <v/>
      </c>
      <c r="J41" s="165" t="str">
        <f aca="false">IF(Salary_Calculation[[#This Row],[Source Row]]="","",IF(Rate_Method="Fixed rate",Fixed_Rate,IF(N(Salary_Calculation[[#This Row],[Basic Payment]])&gt;0,N(Salary_Calculation[[#This Row],[Basic Payment]])/Std_Orders,0)))</f>
        <v/>
      </c>
      <c r="K41" s="165" t="str">
        <f aca="false">IF(Salary_Calculation[[#This Row],[Source Row]]="","",MAX(MIN(N(Salary_Calculation[[#This Row],[Completed Orders]]),Salary_Calculation[[#This Row],[Rider Target Orders]]),0))</f>
        <v/>
      </c>
      <c r="L41" s="164" t="str">
        <f aca="false">IF(Salary_Calculation[[#This Row],[Source Row]]="","",Salary_Calculation[[#This Row],[Orders Counted at Base Rate]]*Salary_Calculation[[#This Row],[Base Order Rate]])</f>
        <v/>
      </c>
      <c r="M41" s="165" t="str">
        <f aca="false">IF(Salary_Calculation[[#This Row],[Source Row]]="","",MAX(Salary_Calculation[[#This Row],[Rider Target Orders]]-N(Salary_Calculation[[#This Row],[Completed Orders]]),0))</f>
        <v/>
      </c>
      <c r="N41" s="164" t="str">
        <f aca="false">IF(Salary_Calculation[[#This Row],[Source Row]]="","",Salary_Calculation[[#This Row],[Missing Orders]]*Missing_Rate)</f>
        <v/>
      </c>
      <c r="O41" s="165" t="str">
        <f aca="false">IF(Salary_Calculation[[#This Row],[Source Row]]="","",MAX(N(Salary_Calculation[[#This Row],[Completed Orders]])-Salary_Calculation[[#This Row],[Rider Target Orders]],0))</f>
        <v/>
      </c>
      <c r="P41" s="164" t="str">
        <f aca="false">IF(Salary_Calculation[[#This Row],[Source Row]]="","",Salary_Calculation[[#This Row],[Extra Orders]]*Extra_Rate)</f>
        <v/>
      </c>
      <c r="Q41" s="164" t="str">
        <f aca="false">IF(Salary_Calculation[[#This Row],[Source Row]]="","",MAX(Salary_Calculation[[#This Row],[Salary Before Other Deductions]],0))</f>
        <v/>
      </c>
      <c r="R41" s="164" t="str">
        <f aca="false">IF(Salary_Calculation[[#This Row],[Source Row]]="","",N(INDEX(Rider_Input[missed_days_penalty],Salary_Calculation[[#This Row],[Source Row]])))</f>
        <v/>
      </c>
      <c r="S41" s="164" t="str">
        <f aca="false">IF(Salary_Calculation[[#This Row],[Source Row]]="","",N(INDEX(Rider_Input[Rider Balance / محفظة المندوب],Salary_Calculation[[#This Row],[Source Row]])))</f>
        <v/>
      </c>
      <c r="T41" s="164" t="str">
        <f aca="false">IF(Salary_Calculation[[#This Row],[Source Row]]="","",N(INDEX(Rider_Input[stacking_deduction / خصم الطلبات المتعددة],Salary_Calculation[[#This Row],[Source Row]])))</f>
        <v/>
      </c>
      <c r="U41" s="164" t="str">
        <f aca="false">IF(Salary_Calculation[[#This Row],[Source Row]]="","",N(INDEX(Rider_Input[Other Deductions],Salary_Calculation[[#This Row],[Source Row]])))</f>
        <v/>
      </c>
      <c r="V41" s="164" t="str">
        <f aca="false">IF(Salary_Calculation[[#This Row],[Source Row]]="","",N(Salary_Calculation[[#This Row],[missed_days_penalty]])+N(Salary_Calculation[[#This Row],[Rider Balance]])+N(Salary_Calculation[[#This Row],[stacking_deduction]])+N(Salary_Calculation[[#This Row],[Other Deductions]]))</f>
        <v/>
      </c>
      <c r="W41" s="167" t="str">
        <f aca="false">IF(Salary_Calculation[[#This Row],[Source Row]]="","",ROUND(MAX(Salary_Calculation[[#This Row],[Gross Salary Before Deductions]]-Salary_Calculation[[#This Row],[Total Deductions]],0),2))</f>
        <v/>
      </c>
      <c r="X41" s="164" t="str">
        <f aca="false">IF(Salary_Calculation[[#This Row],[Source Row]]="","",ROUND(MAX(Salary_Calculation[[#This Row],[Missing-Order Deduction]]-Salary_Calculation[[#This Row],[Earned Salary]],0),2))</f>
        <v/>
      </c>
      <c r="Y4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1" s="163" t="str">
        <f aca="false">IF(Salary_Calculation[[#This Row],[Source Row]]="","",IF(INDEX(Rider_Input[Notes],Salary_Calculation[[#This Row],[Source Row]])="","",INDEX(Rider_Input[Notes],Salary_Calculation[[#This Row],[Source Row]])))</f>
        <v/>
      </c>
      <c r="AA41" s="164" t="str">
        <f aca="false">IF(Salary_Calculation[[#This Row],[Source Row]]="","",Salary_Calculation[[#This Row],[Earned Salary]]-Salary_Calculation[[#This Row],[Missing-Order Deduction]]+Salary_Calculation[[#This Row],[Extra-Order Bonus]])</f>
        <v/>
      </c>
      <c r="AB41" s="164" t="str">
        <f aca="false">IF(Salary_Calculation[[#This Row],[Source Row]]="","",ROUND(Salary_Calculation[[#This Row],[Negative Balance / Amount Due from Rider]]+MAX(Salary_Calculation[[#This Row],[Total Deductions]]-Salary_Calculation[[#This Row],[Gross Salary Before Deductions]],0),2))</f>
        <v/>
      </c>
      <c r="AC4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1" s="164" t="str">
        <f aca="false">IF(Salary_Calculation[[#This Row],[Source Row]]="","",Salary_Calculation[[#This Row],[Rider Target Orders]]*Salary_Calculation[[#This Row],[Base Order Rate]])</f>
        <v/>
      </c>
      <c r="AE41" s="162" t="str">
        <f aca="false">IF(SUMPRODUCT(--(LEN(INDEX(Rider_Input[#Data],ROW()-ROW(Salary_Calculation[#Headers]),0))&gt;0))=0,"",ROW()-ROW(Salary_Calculation[#Headers]))</f>
        <v/>
      </c>
    </row>
    <row r="42" customFormat="false" ht="14.25" hidden="false" customHeight="false" outlineLevel="0" collapsed="false">
      <c r="A42" s="161" t="str">
        <f aca="false">IF(Salary_Calculation[[#This Row],[Source Row]]="","",IF(INDEX(Rider_Input[Salary Month],Salary_Calculation[[#This Row],[Source Row]])="","",INDEX(Rider_Input[Salary Month],Salary_Calculation[[#This Row],[Source Row]])))</f>
        <v/>
      </c>
      <c r="B42" s="162" t="str">
        <f aca="false">IF(Salary_Calculation[[#This Row],[Source Row]]="","",IF(INDEX(Rider_Input[Rider ID],Salary_Calculation[[#This Row],[Source Row]])="","",INDEX(Rider_Input[Rider ID],Salary_Calculation[[#This Row],[Source Row]])))</f>
        <v/>
      </c>
      <c r="C42" s="163" t="str">
        <f aca="false">IF(Salary_Calculation[[#This Row],[Source Row]]="","",IF(INDEX(Rider_Input[Rider Name],Salary_Calculation[[#This Row],[Source Row]])="","",INDEX(Rider_Input[Rider Name],Salary_Calculation[[#This Row],[Source Row]])))</f>
        <v/>
      </c>
      <c r="D42" s="164" t="str">
        <f aca="false">IF(Salary_Calculation[[#This Row],[Source Row]]="","",IF(INDEX(Rider_Input[Basic Payment],Salary_Calculation[[#This Row],[Source Row]])="","",INDEX(Rider_Input[Basic Payment],Salary_Calculation[[#This Row],[Source Row]])))</f>
        <v/>
      </c>
      <c r="E42" s="162" t="str">
        <f aca="false">IF(Salary_Calculation[[#This Row],[Source Row]]="","",IF(INDEX(Rider_Input[Calendar Days in Month],Salary_Calculation[[#This Row],[Source Row]])="","",INDEX(Rider_Input[Calendar Days in Month],Salary_Calculation[[#This Row],[Source Row]])))</f>
        <v/>
      </c>
      <c r="F42" s="162" t="str">
        <f aca="false">IF(Salary_Calculation[[#This Row],[Source Row]]="","",IF(INDEX(Rider_Input[Working Days],Salary_Calculation[[#This Row],[Source Row]])="","",INDEX(Rider_Input[Working Days],Salary_Calculation[[#This Row],[Source Row]])))</f>
        <v/>
      </c>
      <c r="G42" s="165" t="str">
        <f aca="false">IF(Salary_Calculation[[#This Row],[Source Row]]="","",Std_Orders/Std_Days*N(Salary_Calculation[[#This Row],[Calendar Days]]))</f>
        <v/>
      </c>
      <c r="H42" s="165" t="str">
        <f aca="false">IF(Salary_Calculation[[#This Row],[Source Row]]="","",IF(N(Salary_Calculation[[#This Row],[Calendar Days]])&gt;0,Salary_Calculation[[#This Row],[Monthly Target Orders]]/N(Salary_Calculation[[#This Row],[Calendar Days]])*N(Salary_Calculation[[#This Row],[Working Days]]),0))</f>
        <v/>
      </c>
      <c r="I42" s="166" t="str">
        <f aca="false">IF(Salary_Calculation[[#This Row],[Source Row]]="","",IF(INDEX(Rider_Input[Completed Orders],Salary_Calculation[[#This Row],[Source Row]])="","",INDEX(Rider_Input[Completed Orders],Salary_Calculation[[#This Row],[Source Row]])))</f>
        <v/>
      </c>
      <c r="J42" s="165" t="str">
        <f aca="false">IF(Salary_Calculation[[#This Row],[Source Row]]="","",IF(Rate_Method="Fixed rate",Fixed_Rate,IF(N(Salary_Calculation[[#This Row],[Basic Payment]])&gt;0,N(Salary_Calculation[[#This Row],[Basic Payment]])/Std_Orders,0)))</f>
        <v/>
      </c>
      <c r="K42" s="165" t="str">
        <f aca="false">IF(Salary_Calculation[[#This Row],[Source Row]]="","",MAX(MIN(N(Salary_Calculation[[#This Row],[Completed Orders]]),Salary_Calculation[[#This Row],[Rider Target Orders]]),0))</f>
        <v/>
      </c>
      <c r="L42" s="164" t="str">
        <f aca="false">IF(Salary_Calculation[[#This Row],[Source Row]]="","",Salary_Calculation[[#This Row],[Orders Counted at Base Rate]]*Salary_Calculation[[#This Row],[Base Order Rate]])</f>
        <v/>
      </c>
      <c r="M42" s="165" t="str">
        <f aca="false">IF(Salary_Calculation[[#This Row],[Source Row]]="","",MAX(Salary_Calculation[[#This Row],[Rider Target Orders]]-N(Salary_Calculation[[#This Row],[Completed Orders]]),0))</f>
        <v/>
      </c>
      <c r="N42" s="164" t="str">
        <f aca="false">IF(Salary_Calculation[[#This Row],[Source Row]]="","",Salary_Calculation[[#This Row],[Missing Orders]]*Missing_Rate)</f>
        <v/>
      </c>
      <c r="O42" s="165" t="str">
        <f aca="false">IF(Salary_Calculation[[#This Row],[Source Row]]="","",MAX(N(Salary_Calculation[[#This Row],[Completed Orders]])-Salary_Calculation[[#This Row],[Rider Target Orders]],0))</f>
        <v/>
      </c>
      <c r="P42" s="164" t="str">
        <f aca="false">IF(Salary_Calculation[[#This Row],[Source Row]]="","",Salary_Calculation[[#This Row],[Extra Orders]]*Extra_Rate)</f>
        <v/>
      </c>
      <c r="Q42" s="164" t="str">
        <f aca="false">IF(Salary_Calculation[[#This Row],[Source Row]]="","",MAX(Salary_Calculation[[#This Row],[Salary Before Other Deductions]],0))</f>
        <v/>
      </c>
      <c r="R42" s="164" t="str">
        <f aca="false">IF(Salary_Calculation[[#This Row],[Source Row]]="","",N(INDEX(Rider_Input[missed_days_penalty],Salary_Calculation[[#This Row],[Source Row]])))</f>
        <v/>
      </c>
      <c r="S42" s="164" t="str">
        <f aca="false">IF(Salary_Calculation[[#This Row],[Source Row]]="","",N(INDEX(Rider_Input[Rider Balance / محفظة المندوب],Salary_Calculation[[#This Row],[Source Row]])))</f>
        <v/>
      </c>
      <c r="T42" s="164" t="str">
        <f aca="false">IF(Salary_Calculation[[#This Row],[Source Row]]="","",N(INDEX(Rider_Input[stacking_deduction / خصم الطلبات المتعددة],Salary_Calculation[[#This Row],[Source Row]])))</f>
        <v/>
      </c>
      <c r="U42" s="164" t="str">
        <f aca="false">IF(Salary_Calculation[[#This Row],[Source Row]]="","",N(INDEX(Rider_Input[Other Deductions],Salary_Calculation[[#This Row],[Source Row]])))</f>
        <v/>
      </c>
      <c r="V42" s="164" t="str">
        <f aca="false">IF(Salary_Calculation[[#This Row],[Source Row]]="","",N(Salary_Calculation[[#This Row],[missed_days_penalty]])+N(Salary_Calculation[[#This Row],[Rider Balance]])+N(Salary_Calculation[[#This Row],[stacking_deduction]])+N(Salary_Calculation[[#This Row],[Other Deductions]]))</f>
        <v/>
      </c>
      <c r="W42" s="167" t="str">
        <f aca="false">IF(Salary_Calculation[[#This Row],[Source Row]]="","",ROUND(MAX(Salary_Calculation[[#This Row],[Gross Salary Before Deductions]]-Salary_Calculation[[#This Row],[Total Deductions]],0),2))</f>
        <v/>
      </c>
      <c r="X42" s="164" t="str">
        <f aca="false">IF(Salary_Calculation[[#This Row],[Source Row]]="","",ROUND(MAX(Salary_Calculation[[#This Row],[Missing-Order Deduction]]-Salary_Calculation[[#This Row],[Earned Salary]],0),2))</f>
        <v/>
      </c>
      <c r="Y4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2" s="163" t="str">
        <f aca="false">IF(Salary_Calculation[[#This Row],[Source Row]]="","",IF(INDEX(Rider_Input[Notes],Salary_Calculation[[#This Row],[Source Row]])="","",INDEX(Rider_Input[Notes],Salary_Calculation[[#This Row],[Source Row]])))</f>
        <v/>
      </c>
      <c r="AA42" s="164" t="str">
        <f aca="false">IF(Salary_Calculation[[#This Row],[Source Row]]="","",Salary_Calculation[[#This Row],[Earned Salary]]-Salary_Calculation[[#This Row],[Missing-Order Deduction]]+Salary_Calculation[[#This Row],[Extra-Order Bonus]])</f>
        <v/>
      </c>
      <c r="AB42" s="164" t="str">
        <f aca="false">IF(Salary_Calculation[[#This Row],[Source Row]]="","",ROUND(Salary_Calculation[[#This Row],[Negative Balance / Amount Due from Rider]]+MAX(Salary_Calculation[[#This Row],[Total Deductions]]-Salary_Calculation[[#This Row],[Gross Salary Before Deductions]],0),2))</f>
        <v/>
      </c>
      <c r="AC4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2" s="164" t="str">
        <f aca="false">IF(Salary_Calculation[[#This Row],[Source Row]]="","",Salary_Calculation[[#This Row],[Rider Target Orders]]*Salary_Calculation[[#This Row],[Base Order Rate]])</f>
        <v/>
      </c>
      <c r="AE42" s="162" t="str">
        <f aca="false">IF(SUMPRODUCT(--(LEN(INDEX(Rider_Input[#Data],ROW()-ROW(Salary_Calculation[#Headers]),0))&gt;0))=0,"",ROW()-ROW(Salary_Calculation[#Headers]))</f>
        <v/>
      </c>
    </row>
    <row r="43" customFormat="false" ht="14.25" hidden="false" customHeight="false" outlineLevel="0" collapsed="false">
      <c r="A43" s="161" t="str">
        <f aca="false">IF(Salary_Calculation[[#This Row],[Source Row]]="","",IF(INDEX(Rider_Input[Salary Month],Salary_Calculation[[#This Row],[Source Row]])="","",INDEX(Rider_Input[Salary Month],Salary_Calculation[[#This Row],[Source Row]])))</f>
        <v/>
      </c>
      <c r="B43" s="162" t="str">
        <f aca="false">IF(Salary_Calculation[[#This Row],[Source Row]]="","",IF(INDEX(Rider_Input[Rider ID],Salary_Calculation[[#This Row],[Source Row]])="","",INDEX(Rider_Input[Rider ID],Salary_Calculation[[#This Row],[Source Row]])))</f>
        <v/>
      </c>
      <c r="C43" s="163" t="str">
        <f aca="false">IF(Salary_Calculation[[#This Row],[Source Row]]="","",IF(INDEX(Rider_Input[Rider Name],Salary_Calculation[[#This Row],[Source Row]])="","",INDEX(Rider_Input[Rider Name],Salary_Calculation[[#This Row],[Source Row]])))</f>
        <v/>
      </c>
      <c r="D43" s="164" t="str">
        <f aca="false">IF(Salary_Calculation[[#This Row],[Source Row]]="","",IF(INDEX(Rider_Input[Basic Payment],Salary_Calculation[[#This Row],[Source Row]])="","",INDEX(Rider_Input[Basic Payment],Salary_Calculation[[#This Row],[Source Row]])))</f>
        <v/>
      </c>
      <c r="E43" s="162" t="str">
        <f aca="false">IF(Salary_Calculation[[#This Row],[Source Row]]="","",IF(INDEX(Rider_Input[Calendar Days in Month],Salary_Calculation[[#This Row],[Source Row]])="","",INDEX(Rider_Input[Calendar Days in Month],Salary_Calculation[[#This Row],[Source Row]])))</f>
        <v/>
      </c>
      <c r="F43" s="162" t="str">
        <f aca="false">IF(Salary_Calculation[[#This Row],[Source Row]]="","",IF(INDEX(Rider_Input[Working Days],Salary_Calculation[[#This Row],[Source Row]])="","",INDEX(Rider_Input[Working Days],Salary_Calculation[[#This Row],[Source Row]])))</f>
        <v/>
      </c>
      <c r="G43" s="165" t="str">
        <f aca="false">IF(Salary_Calculation[[#This Row],[Source Row]]="","",Std_Orders/Std_Days*N(Salary_Calculation[[#This Row],[Calendar Days]]))</f>
        <v/>
      </c>
      <c r="H43" s="165" t="str">
        <f aca="false">IF(Salary_Calculation[[#This Row],[Source Row]]="","",IF(N(Salary_Calculation[[#This Row],[Calendar Days]])&gt;0,Salary_Calculation[[#This Row],[Monthly Target Orders]]/N(Salary_Calculation[[#This Row],[Calendar Days]])*N(Salary_Calculation[[#This Row],[Working Days]]),0))</f>
        <v/>
      </c>
      <c r="I43" s="166" t="str">
        <f aca="false">IF(Salary_Calculation[[#This Row],[Source Row]]="","",IF(INDEX(Rider_Input[Completed Orders],Salary_Calculation[[#This Row],[Source Row]])="","",INDEX(Rider_Input[Completed Orders],Salary_Calculation[[#This Row],[Source Row]])))</f>
        <v/>
      </c>
      <c r="J43" s="165" t="str">
        <f aca="false">IF(Salary_Calculation[[#This Row],[Source Row]]="","",IF(Rate_Method="Fixed rate",Fixed_Rate,IF(N(Salary_Calculation[[#This Row],[Basic Payment]])&gt;0,N(Salary_Calculation[[#This Row],[Basic Payment]])/Std_Orders,0)))</f>
        <v/>
      </c>
      <c r="K43" s="165" t="str">
        <f aca="false">IF(Salary_Calculation[[#This Row],[Source Row]]="","",MAX(MIN(N(Salary_Calculation[[#This Row],[Completed Orders]]),Salary_Calculation[[#This Row],[Rider Target Orders]]),0))</f>
        <v/>
      </c>
      <c r="L43" s="164" t="str">
        <f aca="false">IF(Salary_Calculation[[#This Row],[Source Row]]="","",Salary_Calculation[[#This Row],[Orders Counted at Base Rate]]*Salary_Calculation[[#This Row],[Base Order Rate]])</f>
        <v/>
      </c>
      <c r="M43" s="165" t="str">
        <f aca="false">IF(Salary_Calculation[[#This Row],[Source Row]]="","",MAX(Salary_Calculation[[#This Row],[Rider Target Orders]]-N(Salary_Calculation[[#This Row],[Completed Orders]]),0))</f>
        <v/>
      </c>
      <c r="N43" s="164" t="str">
        <f aca="false">IF(Salary_Calculation[[#This Row],[Source Row]]="","",Salary_Calculation[[#This Row],[Missing Orders]]*Missing_Rate)</f>
        <v/>
      </c>
      <c r="O43" s="165" t="str">
        <f aca="false">IF(Salary_Calculation[[#This Row],[Source Row]]="","",MAX(N(Salary_Calculation[[#This Row],[Completed Orders]])-Salary_Calculation[[#This Row],[Rider Target Orders]],0))</f>
        <v/>
      </c>
      <c r="P43" s="164" t="str">
        <f aca="false">IF(Salary_Calculation[[#This Row],[Source Row]]="","",Salary_Calculation[[#This Row],[Extra Orders]]*Extra_Rate)</f>
        <v/>
      </c>
      <c r="Q43" s="164" t="str">
        <f aca="false">IF(Salary_Calculation[[#This Row],[Source Row]]="","",MAX(Salary_Calculation[[#This Row],[Salary Before Other Deductions]],0))</f>
        <v/>
      </c>
      <c r="R43" s="164" t="str">
        <f aca="false">IF(Salary_Calculation[[#This Row],[Source Row]]="","",N(INDEX(Rider_Input[missed_days_penalty],Salary_Calculation[[#This Row],[Source Row]])))</f>
        <v/>
      </c>
      <c r="S43" s="164" t="str">
        <f aca="false">IF(Salary_Calculation[[#This Row],[Source Row]]="","",N(INDEX(Rider_Input[Rider Balance / محفظة المندوب],Salary_Calculation[[#This Row],[Source Row]])))</f>
        <v/>
      </c>
      <c r="T43" s="164" t="str">
        <f aca="false">IF(Salary_Calculation[[#This Row],[Source Row]]="","",N(INDEX(Rider_Input[stacking_deduction / خصم الطلبات المتعددة],Salary_Calculation[[#This Row],[Source Row]])))</f>
        <v/>
      </c>
      <c r="U43" s="164" t="str">
        <f aca="false">IF(Salary_Calculation[[#This Row],[Source Row]]="","",N(INDEX(Rider_Input[Other Deductions],Salary_Calculation[[#This Row],[Source Row]])))</f>
        <v/>
      </c>
      <c r="V43" s="164" t="str">
        <f aca="false">IF(Salary_Calculation[[#This Row],[Source Row]]="","",N(Salary_Calculation[[#This Row],[missed_days_penalty]])+N(Salary_Calculation[[#This Row],[Rider Balance]])+N(Salary_Calculation[[#This Row],[stacking_deduction]])+N(Salary_Calculation[[#This Row],[Other Deductions]]))</f>
        <v/>
      </c>
      <c r="W43" s="167" t="str">
        <f aca="false">IF(Salary_Calculation[[#This Row],[Source Row]]="","",ROUND(MAX(Salary_Calculation[[#This Row],[Gross Salary Before Deductions]]-Salary_Calculation[[#This Row],[Total Deductions]],0),2))</f>
        <v/>
      </c>
      <c r="X43" s="164" t="str">
        <f aca="false">IF(Salary_Calculation[[#This Row],[Source Row]]="","",ROUND(MAX(Salary_Calculation[[#This Row],[Missing-Order Deduction]]-Salary_Calculation[[#This Row],[Earned Salary]],0),2))</f>
        <v/>
      </c>
      <c r="Y4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3" s="163" t="str">
        <f aca="false">IF(Salary_Calculation[[#This Row],[Source Row]]="","",IF(INDEX(Rider_Input[Notes],Salary_Calculation[[#This Row],[Source Row]])="","",INDEX(Rider_Input[Notes],Salary_Calculation[[#This Row],[Source Row]])))</f>
        <v/>
      </c>
      <c r="AA43" s="164" t="str">
        <f aca="false">IF(Salary_Calculation[[#This Row],[Source Row]]="","",Salary_Calculation[[#This Row],[Earned Salary]]-Salary_Calculation[[#This Row],[Missing-Order Deduction]]+Salary_Calculation[[#This Row],[Extra-Order Bonus]])</f>
        <v/>
      </c>
      <c r="AB43" s="164" t="str">
        <f aca="false">IF(Salary_Calculation[[#This Row],[Source Row]]="","",ROUND(Salary_Calculation[[#This Row],[Negative Balance / Amount Due from Rider]]+MAX(Salary_Calculation[[#This Row],[Total Deductions]]-Salary_Calculation[[#This Row],[Gross Salary Before Deductions]],0),2))</f>
        <v/>
      </c>
      <c r="AC4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3" s="164" t="str">
        <f aca="false">IF(Salary_Calculation[[#This Row],[Source Row]]="","",Salary_Calculation[[#This Row],[Rider Target Orders]]*Salary_Calculation[[#This Row],[Base Order Rate]])</f>
        <v/>
      </c>
      <c r="AE43" s="162" t="str">
        <f aca="false">IF(SUMPRODUCT(--(LEN(INDEX(Rider_Input[#Data],ROW()-ROW(Salary_Calculation[#Headers]),0))&gt;0))=0,"",ROW()-ROW(Salary_Calculation[#Headers]))</f>
        <v/>
      </c>
    </row>
    <row r="44" customFormat="false" ht="14.25" hidden="false" customHeight="false" outlineLevel="0" collapsed="false">
      <c r="A44" s="161" t="str">
        <f aca="false">IF(Salary_Calculation[[#This Row],[Source Row]]="","",IF(INDEX(Rider_Input[Salary Month],Salary_Calculation[[#This Row],[Source Row]])="","",INDEX(Rider_Input[Salary Month],Salary_Calculation[[#This Row],[Source Row]])))</f>
        <v/>
      </c>
      <c r="B44" s="162" t="str">
        <f aca="false">IF(Salary_Calculation[[#This Row],[Source Row]]="","",IF(INDEX(Rider_Input[Rider ID],Salary_Calculation[[#This Row],[Source Row]])="","",INDEX(Rider_Input[Rider ID],Salary_Calculation[[#This Row],[Source Row]])))</f>
        <v/>
      </c>
      <c r="C44" s="163" t="str">
        <f aca="false">IF(Salary_Calculation[[#This Row],[Source Row]]="","",IF(INDEX(Rider_Input[Rider Name],Salary_Calculation[[#This Row],[Source Row]])="","",INDEX(Rider_Input[Rider Name],Salary_Calculation[[#This Row],[Source Row]])))</f>
        <v/>
      </c>
      <c r="D44" s="164" t="str">
        <f aca="false">IF(Salary_Calculation[[#This Row],[Source Row]]="","",IF(INDEX(Rider_Input[Basic Payment],Salary_Calculation[[#This Row],[Source Row]])="","",INDEX(Rider_Input[Basic Payment],Salary_Calculation[[#This Row],[Source Row]])))</f>
        <v/>
      </c>
      <c r="E44" s="162" t="str">
        <f aca="false">IF(Salary_Calculation[[#This Row],[Source Row]]="","",IF(INDEX(Rider_Input[Calendar Days in Month],Salary_Calculation[[#This Row],[Source Row]])="","",INDEX(Rider_Input[Calendar Days in Month],Salary_Calculation[[#This Row],[Source Row]])))</f>
        <v/>
      </c>
      <c r="F44" s="162" t="str">
        <f aca="false">IF(Salary_Calculation[[#This Row],[Source Row]]="","",IF(INDEX(Rider_Input[Working Days],Salary_Calculation[[#This Row],[Source Row]])="","",INDEX(Rider_Input[Working Days],Salary_Calculation[[#This Row],[Source Row]])))</f>
        <v/>
      </c>
      <c r="G44" s="165" t="str">
        <f aca="false">IF(Salary_Calculation[[#This Row],[Source Row]]="","",Std_Orders/Std_Days*N(Salary_Calculation[[#This Row],[Calendar Days]]))</f>
        <v/>
      </c>
      <c r="H44" s="165" t="str">
        <f aca="false">IF(Salary_Calculation[[#This Row],[Source Row]]="","",IF(N(Salary_Calculation[[#This Row],[Calendar Days]])&gt;0,Salary_Calculation[[#This Row],[Monthly Target Orders]]/N(Salary_Calculation[[#This Row],[Calendar Days]])*N(Salary_Calculation[[#This Row],[Working Days]]),0))</f>
        <v/>
      </c>
      <c r="I44" s="166" t="str">
        <f aca="false">IF(Salary_Calculation[[#This Row],[Source Row]]="","",IF(INDEX(Rider_Input[Completed Orders],Salary_Calculation[[#This Row],[Source Row]])="","",INDEX(Rider_Input[Completed Orders],Salary_Calculation[[#This Row],[Source Row]])))</f>
        <v/>
      </c>
      <c r="J44" s="165" t="str">
        <f aca="false">IF(Salary_Calculation[[#This Row],[Source Row]]="","",IF(Rate_Method="Fixed rate",Fixed_Rate,IF(N(Salary_Calculation[[#This Row],[Basic Payment]])&gt;0,N(Salary_Calculation[[#This Row],[Basic Payment]])/Std_Orders,0)))</f>
        <v/>
      </c>
      <c r="K44" s="165" t="str">
        <f aca="false">IF(Salary_Calculation[[#This Row],[Source Row]]="","",MAX(MIN(N(Salary_Calculation[[#This Row],[Completed Orders]]),Salary_Calculation[[#This Row],[Rider Target Orders]]),0))</f>
        <v/>
      </c>
      <c r="L44" s="164" t="str">
        <f aca="false">IF(Salary_Calculation[[#This Row],[Source Row]]="","",Salary_Calculation[[#This Row],[Orders Counted at Base Rate]]*Salary_Calculation[[#This Row],[Base Order Rate]])</f>
        <v/>
      </c>
      <c r="M44" s="165" t="str">
        <f aca="false">IF(Salary_Calculation[[#This Row],[Source Row]]="","",MAX(Salary_Calculation[[#This Row],[Rider Target Orders]]-N(Salary_Calculation[[#This Row],[Completed Orders]]),0))</f>
        <v/>
      </c>
      <c r="N44" s="164" t="str">
        <f aca="false">IF(Salary_Calculation[[#This Row],[Source Row]]="","",Salary_Calculation[[#This Row],[Missing Orders]]*Missing_Rate)</f>
        <v/>
      </c>
      <c r="O44" s="165" t="str">
        <f aca="false">IF(Salary_Calculation[[#This Row],[Source Row]]="","",MAX(N(Salary_Calculation[[#This Row],[Completed Orders]])-Salary_Calculation[[#This Row],[Rider Target Orders]],0))</f>
        <v/>
      </c>
      <c r="P44" s="164" t="str">
        <f aca="false">IF(Salary_Calculation[[#This Row],[Source Row]]="","",Salary_Calculation[[#This Row],[Extra Orders]]*Extra_Rate)</f>
        <v/>
      </c>
      <c r="Q44" s="164" t="str">
        <f aca="false">IF(Salary_Calculation[[#This Row],[Source Row]]="","",MAX(Salary_Calculation[[#This Row],[Salary Before Other Deductions]],0))</f>
        <v/>
      </c>
      <c r="R44" s="164" t="str">
        <f aca="false">IF(Salary_Calculation[[#This Row],[Source Row]]="","",N(INDEX(Rider_Input[missed_days_penalty],Salary_Calculation[[#This Row],[Source Row]])))</f>
        <v/>
      </c>
      <c r="S44" s="164" t="str">
        <f aca="false">IF(Salary_Calculation[[#This Row],[Source Row]]="","",N(INDEX(Rider_Input[Rider Balance / محفظة المندوب],Salary_Calculation[[#This Row],[Source Row]])))</f>
        <v/>
      </c>
      <c r="T44" s="164" t="str">
        <f aca="false">IF(Salary_Calculation[[#This Row],[Source Row]]="","",N(INDEX(Rider_Input[stacking_deduction / خصم الطلبات المتعددة],Salary_Calculation[[#This Row],[Source Row]])))</f>
        <v/>
      </c>
      <c r="U44" s="164" t="str">
        <f aca="false">IF(Salary_Calculation[[#This Row],[Source Row]]="","",N(INDEX(Rider_Input[Other Deductions],Salary_Calculation[[#This Row],[Source Row]])))</f>
        <v/>
      </c>
      <c r="V44" s="164" t="str">
        <f aca="false">IF(Salary_Calculation[[#This Row],[Source Row]]="","",N(Salary_Calculation[[#This Row],[missed_days_penalty]])+N(Salary_Calculation[[#This Row],[Rider Balance]])+N(Salary_Calculation[[#This Row],[stacking_deduction]])+N(Salary_Calculation[[#This Row],[Other Deductions]]))</f>
        <v/>
      </c>
      <c r="W44" s="167" t="str">
        <f aca="false">IF(Salary_Calculation[[#This Row],[Source Row]]="","",ROUND(MAX(Salary_Calculation[[#This Row],[Gross Salary Before Deductions]]-Salary_Calculation[[#This Row],[Total Deductions]],0),2))</f>
        <v/>
      </c>
      <c r="X44" s="164" t="str">
        <f aca="false">IF(Salary_Calculation[[#This Row],[Source Row]]="","",ROUND(MAX(Salary_Calculation[[#This Row],[Missing-Order Deduction]]-Salary_Calculation[[#This Row],[Earned Salary]],0),2))</f>
        <v/>
      </c>
      <c r="Y4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4" s="163" t="str">
        <f aca="false">IF(Salary_Calculation[[#This Row],[Source Row]]="","",IF(INDEX(Rider_Input[Notes],Salary_Calculation[[#This Row],[Source Row]])="","",INDEX(Rider_Input[Notes],Salary_Calculation[[#This Row],[Source Row]])))</f>
        <v/>
      </c>
      <c r="AA44" s="164" t="str">
        <f aca="false">IF(Salary_Calculation[[#This Row],[Source Row]]="","",Salary_Calculation[[#This Row],[Earned Salary]]-Salary_Calculation[[#This Row],[Missing-Order Deduction]]+Salary_Calculation[[#This Row],[Extra-Order Bonus]])</f>
        <v/>
      </c>
      <c r="AB44" s="164" t="str">
        <f aca="false">IF(Salary_Calculation[[#This Row],[Source Row]]="","",ROUND(Salary_Calculation[[#This Row],[Negative Balance / Amount Due from Rider]]+MAX(Salary_Calculation[[#This Row],[Total Deductions]]-Salary_Calculation[[#This Row],[Gross Salary Before Deductions]],0),2))</f>
        <v/>
      </c>
      <c r="AC4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4" s="164" t="str">
        <f aca="false">IF(Salary_Calculation[[#This Row],[Source Row]]="","",Salary_Calculation[[#This Row],[Rider Target Orders]]*Salary_Calculation[[#This Row],[Base Order Rate]])</f>
        <v/>
      </c>
      <c r="AE44" s="162" t="str">
        <f aca="false">IF(SUMPRODUCT(--(LEN(INDEX(Rider_Input[#Data],ROW()-ROW(Salary_Calculation[#Headers]),0))&gt;0))=0,"",ROW()-ROW(Salary_Calculation[#Headers]))</f>
        <v/>
      </c>
    </row>
    <row r="45" customFormat="false" ht="14.25" hidden="false" customHeight="false" outlineLevel="0" collapsed="false">
      <c r="A45" s="161" t="str">
        <f aca="false">IF(Salary_Calculation[[#This Row],[Source Row]]="","",IF(INDEX(Rider_Input[Salary Month],Salary_Calculation[[#This Row],[Source Row]])="","",INDEX(Rider_Input[Salary Month],Salary_Calculation[[#This Row],[Source Row]])))</f>
        <v/>
      </c>
      <c r="B45" s="162" t="str">
        <f aca="false">IF(Salary_Calculation[[#This Row],[Source Row]]="","",IF(INDEX(Rider_Input[Rider ID],Salary_Calculation[[#This Row],[Source Row]])="","",INDEX(Rider_Input[Rider ID],Salary_Calculation[[#This Row],[Source Row]])))</f>
        <v/>
      </c>
      <c r="C45" s="163" t="str">
        <f aca="false">IF(Salary_Calculation[[#This Row],[Source Row]]="","",IF(INDEX(Rider_Input[Rider Name],Salary_Calculation[[#This Row],[Source Row]])="","",INDEX(Rider_Input[Rider Name],Salary_Calculation[[#This Row],[Source Row]])))</f>
        <v/>
      </c>
      <c r="D45" s="164" t="str">
        <f aca="false">IF(Salary_Calculation[[#This Row],[Source Row]]="","",IF(INDEX(Rider_Input[Basic Payment],Salary_Calculation[[#This Row],[Source Row]])="","",INDEX(Rider_Input[Basic Payment],Salary_Calculation[[#This Row],[Source Row]])))</f>
        <v/>
      </c>
      <c r="E45" s="162" t="str">
        <f aca="false">IF(Salary_Calculation[[#This Row],[Source Row]]="","",IF(INDEX(Rider_Input[Calendar Days in Month],Salary_Calculation[[#This Row],[Source Row]])="","",INDEX(Rider_Input[Calendar Days in Month],Salary_Calculation[[#This Row],[Source Row]])))</f>
        <v/>
      </c>
      <c r="F45" s="162" t="str">
        <f aca="false">IF(Salary_Calculation[[#This Row],[Source Row]]="","",IF(INDEX(Rider_Input[Working Days],Salary_Calculation[[#This Row],[Source Row]])="","",INDEX(Rider_Input[Working Days],Salary_Calculation[[#This Row],[Source Row]])))</f>
        <v/>
      </c>
      <c r="G45" s="165" t="str">
        <f aca="false">IF(Salary_Calculation[[#This Row],[Source Row]]="","",Std_Orders/Std_Days*N(Salary_Calculation[[#This Row],[Calendar Days]]))</f>
        <v/>
      </c>
      <c r="H45" s="165" t="str">
        <f aca="false">IF(Salary_Calculation[[#This Row],[Source Row]]="","",IF(N(Salary_Calculation[[#This Row],[Calendar Days]])&gt;0,Salary_Calculation[[#This Row],[Monthly Target Orders]]/N(Salary_Calculation[[#This Row],[Calendar Days]])*N(Salary_Calculation[[#This Row],[Working Days]]),0))</f>
        <v/>
      </c>
      <c r="I45" s="166" t="str">
        <f aca="false">IF(Salary_Calculation[[#This Row],[Source Row]]="","",IF(INDEX(Rider_Input[Completed Orders],Salary_Calculation[[#This Row],[Source Row]])="","",INDEX(Rider_Input[Completed Orders],Salary_Calculation[[#This Row],[Source Row]])))</f>
        <v/>
      </c>
      <c r="J45" s="165" t="str">
        <f aca="false">IF(Salary_Calculation[[#This Row],[Source Row]]="","",IF(Rate_Method="Fixed rate",Fixed_Rate,IF(N(Salary_Calculation[[#This Row],[Basic Payment]])&gt;0,N(Salary_Calculation[[#This Row],[Basic Payment]])/Std_Orders,0)))</f>
        <v/>
      </c>
      <c r="K45" s="165" t="str">
        <f aca="false">IF(Salary_Calculation[[#This Row],[Source Row]]="","",MAX(MIN(N(Salary_Calculation[[#This Row],[Completed Orders]]),Salary_Calculation[[#This Row],[Rider Target Orders]]),0))</f>
        <v/>
      </c>
      <c r="L45" s="164" t="str">
        <f aca="false">IF(Salary_Calculation[[#This Row],[Source Row]]="","",Salary_Calculation[[#This Row],[Orders Counted at Base Rate]]*Salary_Calculation[[#This Row],[Base Order Rate]])</f>
        <v/>
      </c>
      <c r="M45" s="165" t="str">
        <f aca="false">IF(Salary_Calculation[[#This Row],[Source Row]]="","",MAX(Salary_Calculation[[#This Row],[Rider Target Orders]]-N(Salary_Calculation[[#This Row],[Completed Orders]]),0))</f>
        <v/>
      </c>
      <c r="N45" s="164" t="str">
        <f aca="false">IF(Salary_Calculation[[#This Row],[Source Row]]="","",Salary_Calculation[[#This Row],[Missing Orders]]*Missing_Rate)</f>
        <v/>
      </c>
      <c r="O45" s="165" t="str">
        <f aca="false">IF(Salary_Calculation[[#This Row],[Source Row]]="","",MAX(N(Salary_Calculation[[#This Row],[Completed Orders]])-Salary_Calculation[[#This Row],[Rider Target Orders]],0))</f>
        <v/>
      </c>
      <c r="P45" s="164" t="str">
        <f aca="false">IF(Salary_Calculation[[#This Row],[Source Row]]="","",Salary_Calculation[[#This Row],[Extra Orders]]*Extra_Rate)</f>
        <v/>
      </c>
      <c r="Q45" s="164" t="str">
        <f aca="false">IF(Salary_Calculation[[#This Row],[Source Row]]="","",MAX(Salary_Calculation[[#This Row],[Salary Before Other Deductions]],0))</f>
        <v/>
      </c>
      <c r="R45" s="164" t="str">
        <f aca="false">IF(Salary_Calculation[[#This Row],[Source Row]]="","",N(INDEX(Rider_Input[missed_days_penalty],Salary_Calculation[[#This Row],[Source Row]])))</f>
        <v/>
      </c>
      <c r="S45" s="164" t="str">
        <f aca="false">IF(Salary_Calculation[[#This Row],[Source Row]]="","",N(INDEX(Rider_Input[Rider Balance / محفظة المندوب],Salary_Calculation[[#This Row],[Source Row]])))</f>
        <v/>
      </c>
      <c r="T45" s="164" t="str">
        <f aca="false">IF(Salary_Calculation[[#This Row],[Source Row]]="","",N(INDEX(Rider_Input[stacking_deduction / خصم الطلبات المتعددة],Salary_Calculation[[#This Row],[Source Row]])))</f>
        <v/>
      </c>
      <c r="U45" s="164" t="str">
        <f aca="false">IF(Salary_Calculation[[#This Row],[Source Row]]="","",N(INDEX(Rider_Input[Other Deductions],Salary_Calculation[[#This Row],[Source Row]])))</f>
        <v/>
      </c>
      <c r="V45" s="164" t="str">
        <f aca="false">IF(Salary_Calculation[[#This Row],[Source Row]]="","",N(Salary_Calculation[[#This Row],[missed_days_penalty]])+N(Salary_Calculation[[#This Row],[Rider Balance]])+N(Salary_Calculation[[#This Row],[stacking_deduction]])+N(Salary_Calculation[[#This Row],[Other Deductions]]))</f>
        <v/>
      </c>
      <c r="W45" s="167" t="str">
        <f aca="false">IF(Salary_Calculation[[#This Row],[Source Row]]="","",ROUND(MAX(Salary_Calculation[[#This Row],[Gross Salary Before Deductions]]-Salary_Calculation[[#This Row],[Total Deductions]],0),2))</f>
        <v/>
      </c>
      <c r="X45" s="164" t="str">
        <f aca="false">IF(Salary_Calculation[[#This Row],[Source Row]]="","",ROUND(MAX(Salary_Calculation[[#This Row],[Missing-Order Deduction]]-Salary_Calculation[[#This Row],[Earned Salary]],0),2))</f>
        <v/>
      </c>
      <c r="Y4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5" s="163" t="str">
        <f aca="false">IF(Salary_Calculation[[#This Row],[Source Row]]="","",IF(INDEX(Rider_Input[Notes],Salary_Calculation[[#This Row],[Source Row]])="","",INDEX(Rider_Input[Notes],Salary_Calculation[[#This Row],[Source Row]])))</f>
        <v/>
      </c>
      <c r="AA45" s="164" t="str">
        <f aca="false">IF(Salary_Calculation[[#This Row],[Source Row]]="","",Salary_Calculation[[#This Row],[Earned Salary]]-Salary_Calculation[[#This Row],[Missing-Order Deduction]]+Salary_Calculation[[#This Row],[Extra-Order Bonus]])</f>
        <v/>
      </c>
      <c r="AB45" s="164" t="str">
        <f aca="false">IF(Salary_Calculation[[#This Row],[Source Row]]="","",ROUND(Salary_Calculation[[#This Row],[Negative Balance / Amount Due from Rider]]+MAX(Salary_Calculation[[#This Row],[Total Deductions]]-Salary_Calculation[[#This Row],[Gross Salary Before Deductions]],0),2))</f>
        <v/>
      </c>
      <c r="AC4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5" s="164" t="str">
        <f aca="false">IF(Salary_Calculation[[#This Row],[Source Row]]="","",Salary_Calculation[[#This Row],[Rider Target Orders]]*Salary_Calculation[[#This Row],[Base Order Rate]])</f>
        <v/>
      </c>
      <c r="AE45" s="162" t="str">
        <f aca="false">IF(SUMPRODUCT(--(LEN(INDEX(Rider_Input[#Data],ROW()-ROW(Salary_Calculation[#Headers]),0))&gt;0))=0,"",ROW()-ROW(Salary_Calculation[#Headers]))</f>
        <v/>
      </c>
    </row>
    <row r="46" customFormat="false" ht="14.25" hidden="false" customHeight="false" outlineLevel="0" collapsed="false">
      <c r="A46" s="161" t="str">
        <f aca="false">IF(Salary_Calculation[[#This Row],[Source Row]]="","",IF(INDEX(Rider_Input[Salary Month],Salary_Calculation[[#This Row],[Source Row]])="","",INDEX(Rider_Input[Salary Month],Salary_Calculation[[#This Row],[Source Row]])))</f>
        <v/>
      </c>
      <c r="B46" s="162" t="str">
        <f aca="false">IF(Salary_Calculation[[#This Row],[Source Row]]="","",IF(INDEX(Rider_Input[Rider ID],Salary_Calculation[[#This Row],[Source Row]])="","",INDEX(Rider_Input[Rider ID],Salary_Calculation[[#This Row],[Source Row]])))</f>
        <v/>
      </c>
      <c r="C46" s="163" t="str">
        <f aca="false">IF(Salary_Calculation[[#This Row],[Source Row]]="","",IF(INDEX(Rider_Input[Rider Name],Salary_Calculation[[#This Row],[Source Row]])="","",INDEX(Rider_Input[Rider Name],Salary_Calculation[[#This Row],[Source Row]])))</f>
        <v/>
      </c>
      <c r="D46" s="164" t="str">
        <f aca="false">IF(Salary_Calculation[[#This Row],[Source Row]]="","",IF(INDEX(Rider_Input[Basic Payment],Salary_Calculation[[#This Row],[Source Row]])="","",INDEX(Rider_Input[Basic Payment],Salary_Calculation[[#This Row],[Source Row]])))</f>
        <v/>
      </c>
      <c r="E46" s="162" t="str">
        <f aca="false">IF(Salary_Calculation[[#This Row],[Source Row]]="","",IF(INDEX(Rider_Input[Calendar Days in Month],Salary_Calculation[[#This Row],[Source Row]])="","",INDEX(Rider_Input[Calendar Days in Month],Salary_Calculation[[#This Row],[Source Row]])))</f>
        <v/>
      </c>
      <c r="F46" s="162" t="str">
        <f aca="false">IF(Salary_Calculation[[#This Row],[Source Row]]="","",IF(INDEX(Rider_Input[Working Days],Salary_Calculation[[#This Row],[Source Row]])="","",INDEX(Rider_Input[Working Days],Salary_Calculation[[#This Row],[Source Row]])))</f>
        <v/>
      </c>
      <c r="G46" s="165" t="str">
        <f aca="false">IF(Salary_Calculation[[#This Row],[Source Row]]="","",Std_Orders/Std_Days*N(Salary_Calculation[[#This Row],[Calendar Days]]))</f>
        <v/>
      </c>
      <c r="H46" s="165" t="str">
        <f aca="false">IF(Salary_Calculation[[#This Row],[Source Row]]="","",IF(N(Salary_Calculation[[#This Row],[Calendar Days]])&gt;0,Salary_Calculation[[#This Row],[Monthly Target Orders]]/N(Salary_Calculation[[#This Row],[Calendar Days]])*N(Salary_Calculation[[#This Row],[Working Days]]),0))</f>
        <v/>
      </c>
      <c r="I46" s="166" t="str">
        <f aca="false">IF(Salary_Calculation[[#This Row],[Source Row]]="","",IF(INDEX(Rider_Input[Completed Orders],Salary_Calculation[[#This Row],[Source Row]])="","",INDEX(Rider_Input[Completed Orders],Salary_Calculation[[#This Row],[Source Row]])))</f>
        <v/>
      </c>
      <c r="J46" s="165" t="str">
        <f aca="false">IF(Salary_Calculation[[#This Row],[Source Row]]="","",IF(Rate_Method="Fixed rate",Fixed_Rate,IF(N(Salary_Calculation[[#This Row],[Basic Payment]])&gt;0,N(Salary_Calculation[[#This Row],[Basic Payment]])/Std_Orders,0)))</f>
        <v/>
      </c>
      <c r="K46" s="165" t="str">
        <f aca="false">IF(Salary_Calculation[[#This Row],[Source Row]]="","",MAX(MIN(N(Salary_Calculation[[#This Row],[Completed Orders]]),Salary_Calculation[[#This Row],[Rider Target Orders]]),0))</f>
        <v/>
      </c>
      <c r="L46" s="164" t="str">
        <f aca="false">IF(Salary_Calculation[[#This Row],[Source Row]]="","",Salary_Calculation[[#This Row],[Orders Counted at Base Rate]]*Salary_Calculation[[#This Row],[Base Order Rate]])</f>
        <v/>
      </c>
      <c r="M46" s="165" t="str">
        <f aca="false">IF(Salary_Calculation[[#This Row],[Source Row]]="","",MAX(Salary_Calculation[[#This Row],[Rider Target Orders]]-N(Salary_Calculation[[#This Row],[Completed Orders]]),0))</f>
        <v/>
      </c>
      <c r="N46" s="164" t="str">
        <f aca="false">IF(Salary_Calculation[[#This Row],[Source Row]]="","",Salary_Calculation[[#This Row],[Missing Orders]]*Missing_Rate)</f>
        <v/>
      </c>
      <c r="O46" s="165" t="str">
        <f aca="false">IF(Salary_Calculation[[#This Row],[Source Row]]="","",MAX(N(Salary_Calculation[[#This Row],[Completed Orders]])-Salary_Calculation[[#This Row],[Rider Target Orders]],0))</f>
        <v/>
      </c>
      <c r="P46" s="164" t="str">
        <f aca="false">IF(Salary_Calculation[[#This Row],[Source Row]]="","",Salary_Calculation[[#This Row],[Extra Orders]]*Extra_Rate)</f>
        <v/>
      </c>
      <c r="Q46" s="164" t="str">
        <f aca="false">IF(Salary_Calculation[[#This Row],[Source Row]]="","",MAX(Salary_Calculation[[#This Row],[Salary Before Other Deductions]],0))</f>
        <v/>
      </c>
      <c r="R46" s="164" t="str">
        <f aca="false">IF(Salary_Calculation[[#This Row],[Source Row]]="","",N(INDEX(Rider_Input[missed_days_penalty],Salary_Calculation[[#This Row],[Source Row]])))</f>
        <v/>
      </c>
      <c r="S46" s="164" t="str">
        <f aca="false">IF(Salary_Calculation[[#This Row],[Source Row]]="","",N(INDEX(Rider_Input[Rider Balance / محفظة المندوب],Salary_Calculation[[#This Row],[Source Row]])))</f>
        <v/>
      </c>
      <c r="T46" s="164" t="str">
        <f aca="false">IF(Salary_Calculation[[#This Row],[Source Row]]="","",N(INDEX(Rider_Input[stacking_deduction / خصم الطلبات المتعددة],Salary_Calculation[[#This Row],[Source Row]])))</f>
        <v/>
      </c>
      <c r="U46" s="164" t="str">
        <f aca="false">IF(Salary_Calculation[[#This Row],[Source Row]]="","",N(INDEX(Rider_Input[Other Deductions],Salary_Calculation[[#This Row],[Source Row]])))</f>
        <v/>
      </c>
      <c r="V46" s="164" t="str">
        <f aca="false">IF(Salary_Calculation[[#This Row],[Source Row]]="","",N(Salary_Calculation[[#This Row],[missed_days_penalty]])+N(Salary_Calculation[[#This Row],[Rider Balance]])+N(Salary_Calculation[[#This Row],[stacking_deduction]])+N(Salary_Calculation[[#This Row],[Other Deductions]]))</f>
        <v/>
      </c>
      <c r="W46" s="167" t="str">
        <f aca="false">IF(Salary_Calculation[[#This Row],[Source Row]]="","",ROUND(MAX(Salary_Calculation[[#This Row],[Gross Salary Before Deductions]]-Salary_Calculation[[#This Row],[Total Deductions]],0),2))</f>
        <v/>
      </c>
      <c r="X46" s="164" t="str">
        <f aca="false">IF(Salary_Calculation[[#This Row],[Source Row]]="","",ROUND(MAX(Salary_Calculation[[#This Row],[Missing-Order Deduction]]-Salary_Calculation[[#This Row],[Earned Salary]],0),2))</f>
        <v/>
      </c>
      <c r="Y4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6" s="163" t="str">
        <f aca="false">IF(Salary_Calculation[[#This Row],[Source Row]]="","",IF(INDEX(Rider_Input[Notes],Salary_Calculation[[#This Row],[Source Row]])="","",INDEX(Rider_Input[Notes],Salary_Calculation[[#This Row],[Source Row]])))</f>
        <v/>
      </c>
      <c r="AA46" s="164" t="str">
        <f aca="false">IF(Salary_Calculation[[#This Row],[Source Row]]="","",Salary_Calculation[[#This Row],[Earned Salary]]-Salary_Calculation[[#This Row],[Missing-Order Deduction]]+Salary_Calculation[[#This Row],[Extra-Order Bonus]])</f>
        <v/>
      </c>
      <c r="AB46" s="164" t="str">
        <f aca="false">IF(Salary_Calculation[[#This Row],[Source Row]]="","",ROUND(Salary_Calculation[[#This Row],[Negative Balance / Amount Due from Rider]]+MAX(Salary_Calculation[[#This Row],[Total Deductions]]-Salary_Calculation[[#This Row],[Gross Salary Before Deductions]],0),2))</f>
        <v/>
      </c>
      <c r="AC4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6" s="164" t="str">
        <f aca="false">IF(Salary_Calculation[[#This Row],[Source Row]]="","",Salary_Calculation[[#This Row],[Rider Target Orders]]*Salary_Calculation[[#This Row],[Base Order Rate]])</f>
        <v/>
      </c>
      <c r="AE46" s="162" t="str">
        <f aca="false">IF(SUMPRODUCT(--(LEN(INDEX(Rider_Input[#Data],ROW()-ROW(Salary_Calculation[#Headers]),0))&gt;0))=0,"",ROW()-ROW(Salary_Calculation[#Headers]))</f>
        <v/>
      </c>
    </row>
    <row r="47" customFormat="false" ht="14.25" hidden="false" customHeight="false" outlineLevel="0" collapsed="false">
      <c r="A47" s="161" t="str">
        <f aca="false">IF(Salary_Calculation[[#This Row],[Source Row]]="","",IF(INDEX(Rider_Input[Salary Month],Salary_Calculation[[#This Row],[Source Row]])="","",INDEX(Rider_Input[Salary Month],Salary_Calculation[[#This Row],[Source Row]])))</f>
        <v/>
      </c>
      <c r="B47" s="162" t="str">
        <f aca="false">IF(Salary_Calculation[[#This Row],[Source Row]]="","",IF(INDEX(Rider_Input[Rider ID],Salary_Calculation[[#This Row],[Source Row]])="","",INDEX(Rider_Input[Rider ID],Salary_Calculation[[#This Row],[Source Row]])))</f>
        <v/>
      </c>
      <c r="C47" s="163" t="str">
        <f aca="false">IF(Salary_Calculation[[#This Row],[Source Row]]="","",IF(INDEX(Rider_Input[Rider Name],Salary_Calculation[[#This Row],[Source Row]])="","",INDEX(Rider_Input[Rider Name],Salary_Calculation[[#This Row],[Source Row]])))</f>
        <v/>
      </c>
      <c r="D47" s="164" t="str">
        <f aca="false">IF(Salary_Calculation[[#This Row],[Source Row]]="","",IF(INDEX(Rider_Input[Basic Payment],Salary_Calculation[[#This Row],[Source Row]])="","",INDEX(Rider_Input[Basic Payment],Salary_Calculation[[#This Row],[Source Row]])))</f>
        <v/>
      </c>
      <c r="E47" s="162" t="str">
        <f aca="false">IF(Salary_Calculation[[#This Row],[Source Row]]="","",IF(INDEX(Rider_Input[Calendar Days in Month],Salary_Calculation[[#This Row],[Source Row]])="","",INDEX(Rider_Input[Calendar Days in Month],Salary_Calculation[[#This Row],[Source Row]])))</f>
        <v/>
      </c>
      <c r="F47" s="162" t="str">
        <f aca="false">IF(Salary_Calculation[[#This Row],[Source Row]]="","",IF(INDEX(Rider_Input[Working Days],Salary_Calculation[[#This Row],[Source Row]])="","",INDEX(Rider_Input[Working Days],Salary_Calculation[[#This Row],[Source Row]])))</f>
        <v/>
      </c>
      <c r="G47" s="165" t="str">
        <f aca="false">IF(Salary_Calculation[[#This Row],[Source Row]]="","",Std_Orders/Std_Days*N(Salary_Calculation[[#This Row],[Calendar Days]]))</f>
        <v/>
      </c>
      <c r="H47" s="165" t="str">
        <f aca="false">IF(Salary_Calculation[[#This Row],[Source Row]]="","",IF(N(Salary_Calculation[[#This Row],[Calendar Days]])&gt;0,Salary_Calculation[[#This Row],[Monthly Target Orders]]/N(Salary_Calculation[[#This Row],[Calendar Days]])*N(Salary_Calculation[[#This Row],[Working Days]]),0))</f>
        <v/>
      </c>
      <c r="I47" s="166" t="str">
        <f aca="false">IF(Salary_Calculation[[#This Row],[Source Row]]="","",IF(INDEX(Rider_Input[Completed Orders],Salary_Calculation[[#This Row],[Source Row]])="","",INDEX(Rider_Input[Completed Orders],Salary_Calculation[[#This Row],[Source Row]])))</f>
        <v/>
      </c>
      <c r="J47" s="165" t="str">
        <f aca="false">IF(Salary_Calculation[[#This Row],[Source Row]]="","",IF(Rate_Method="Fixed rate",Fixed_Rate,IF(N(Salary_Calculation[[#This Row],[Basic Payment]])&gt;0,N(Salary_Calculation[[#This Row],[Basic Payment]])/Std_Orders,0)))</f>
        <v/>
      </c>
      <c r="K47" s="165" t="str">
        <f aca="false">IF(Salary_Calculation[[#This Row],[Source Row]]="","",MAX(MIN(N(Salary_Calculation[[#This Row],[Completed Orders]]),Salary_Calculation[[#This Row],[Rider Target Orders]]),0))</f>
        <v/>
      </c>
      <c r="L47" s="164" t="str">
        <f aca="false">IF(Salary_Calculation[[#This Row],[Source Row]]="","",Salary_Calculation[[#This Row],[Orders Counted at Base Rate]]*Salary_Calculation[[#This Row],[Base Order Rate]])</f>
        <v/>
      </c>
      <c r="M47" s="165" t="str">
        <f aca="false">IF(Salary_Calculation[[#This Row],[Source Row]]="","",MAX(Salary_Calculation[[#This Row],[Rider Target Orders]]-N(Salary_Calculation[[#This Row],[Completed Orders]]),0))</f>
        <v/>
      </c>
      <c r="N47" s="164" t="str">
        <f aca="false">IF(Salary_Calculation[[#This Row],[Source Row]]="","",Salary_Calculation[[#This Row],[Missing Orders]]*Missing_Rate)</f>
        <v/>
      </c>
      <c r="O47" s="165" t="str">
        <f aca="false">IF(Salary_Calculation[[#This Row],[Source Row]]="","",MAX(N(Salary_Calculation[[#This Row],[Completed Orders]])-Salary_Calculation[[#This Row],[Rider Target Orders]],0))</f>
        <v/>
      </c>
      <c r="P47" s="164" t="str">
        <f aca="false">IF(Salary_Calculation[[#This Row],[Source Row]]="","",Salary_Calculation[[#This Row],[Extra Orders]]*Extra_Rate)</f>
        <v/>
      </c>
      <c r="Q47" s="164" t="str">
        <f aca="false">IF(Salary_Calculation[[#This Row],[Source Row]]="","",MAX(Salary_Calculation[[#This Row],[Salary Before Other Deductions]],0))</f>
        <v/>
      </c>
      <c r="R47" s="164" t="str">
        <f aca="false">IF(Salary_Calculation[[#This Row],[Source Row]]="","",N(INDEX(Rider_Input[missed_days_penalty],Salary_Calculation[[#This Row],[Source Row]])))</f>
        <v/>
      </c>
      <c r="S47" s="164" t="str">
        <f aca="false">IF(Salary_Calculation[[#This Row],[Source Row]]="","",N(INDEX(Rider_Input[Rider Balance / محفظة المندوب],Salary_Calculation[[#This Row],[Source Row]])))</f>
        <v/>
      </c>
      <c r="T47" s="164" t="str">
        <f aca="false">IF(Salary_Calculation[[#This Row],[Source Row]]="","",N(INDEX(Rider_Input[stacking_deduction / خصم الطلبات المتعددة],Salary_Calculation[[#This Row],[Source Row]])))</f>
        <v/>
      </c>
      <c r="U47" s="164" t="str">
        <f aca="false">IF(Salary_Calculation[[#This Row],[Source Row]]="","",N(INDEX(Rider_Input[Other Deductions],Salary_Calculation[[#This Row],[Source Row]])))</f>
        <v/>
      </c>
      <c r="V47" s="164" t="str">
        <f aca="false">IF(Salary_Calculation[[#This Row],[Source Row]]="","",N(Salary_Calculation[[#This Row],[missed_days_penalty]])+N(Salary_Calculation[[#This Row],[Rider Balance]])+N(Salary_Calculation[[#This Row],[stacking_deduction]])+N(Salary_Calculation[[#This Row],[Other Deductions]]))</f>
        <v/>
      </c>
      <c r="W47" s="167" t="str">
        <f aca="false">IF(Salary_Calculation[[#This Row],[Source Row]]="","",ROUND(MAX(Salary_Calculation[[#This Row],[Gross Salary Before Deductions]]-Salary_Calculation[[#This Row],[Total Deductions]],0),2))</f>
        <v/>
      </c>
      <c r="X47" s="164" t="str">
        <f aca="false">IF(Salary_Calculation[[#This Row],[Source Row]]="","",ROUND(MAX(Salary_Calculation[[#This Row],[Missing-Order Deduction]]-Salary_Calculation[[#This Row],[Earned Salary]],0),2))</f>
        <v/>
      </c>
      <c r="Y4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7" s="163" t="str">
        <f aca="false">IF(Salary_Calculation[[#This Row],[Source Row]]="","",IF(INDEX(Rider_Input[Notes],Salary_Calculation[[#This Row],[Source Row]])="","",INDEX(Rider_Input[Notes],Salary_Calculation[[#This Row],[Source Row]])))</f>
        <v/>
      </c>
      <c r="AA47" s="164" t="str">
        <f aca="false">IF(Salary_Calculation[[#This Row],[Source Row]]="","",Salary_Calculation[[#This Row],[Earned Salary]]-Salary_Calculation[[#This Row],[Missing-Order Deduction]]+Salary_Calculation[[#This Row],[Extra-Order Bonus]])</f>
        <v/>
      </c>
      <c r="AB47" s="164" t="str">
        <f aca="false">IF(Salary_Calculation[[#This Row],[Source Row]]="","",ROUND(Salary_Calculation[[#This Row],[Negative Balance / Amount Due from Rider]]+MAX(Salary_Calculation[[#This Row],[Total Deductions]]-Salary_Calculation[[#This Row],[Gross Salary Before Deductions]],0),2))</f>
        <v/>
      </c>
      <c r="AC4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7" s="164" t="str">
        <f aca="false">IF(Salary_Calculation[[#This Row],[Source Row]]="","",Salary_Calculation[[#This Row],[Rider Target Orders]]*Salary_Calculation[[#This Row],[Base Order Rate]])</f>
        <v/>
      </c>
      <c r="AE47" s="162" t="str">
        <f aca="false">IF(SUMPRODUCT(--(LEN(INDEX(Rider_Input[#Data],ROW()-ROW(Salary_Calculation[#Headers]),0))&gt;0))=0,"",ROW()-ROW(Salary_Calculation[#Headers]))</f>
        <v/>
      </c>
    </row>
    <row r="48" customFormat="false" ht="14.25" hidden="false" customHeight="false" outlineLevel="0" collapsed="false">
      <c r="A48" s="161" t="str">
        <f aca="false">IF(Salary_Calculation[[#This Row],[Source Row]]="","",IF(INDEX(Rider_Input[Salary Month],Salary_Calculation[[#This Row],[Source Row]])="","",INDEX(Rider_Input[Salary Month],Salary_Calculation[[#This Row],[Source Row]])))</f>
        <v/>
      </c>
      <c r="B48" s="162" t="str">
        <f aca="false">IF(Salary_Calculation[[#This Row],[Source Row]]="","",IF(INDEX(Rider_Input[Rider ID],Salary_Calculation[[#This Row],[Source Row]])="","",INDEX(Rider_Input[Rider ID],Salary_Calculation[[#This Row],[Source Row]])))</f>
        <v/>
      </c>
      <c r="C48" s="163" t="str">
        <f aca="false">IF(Salary_Calculation[[#This Row],[Source Row]]="","",IF(INDEX(Rider_Input[Rider Name],Salary_Calculation[[#This Row],[Source Row]])="","",INDEX(Rider_Input[Rider Name],Salary_Calculation[[#This Row],[Source Row]])))</f>
        <v/>
      </c>
      <c r="D48" s="164" t="str">
        <f aca="false">IF(Salary_Calculation[[#This Row],[Source Row]]="","",IF(INDEX(Rider_Input[Basic Payment],Salary_Calculation[[#This Row],[Source Row]])="","",INDEX(Rider_Input[Basic Payment],Salary_Calculation[[#This Row],[Source Row]])))</f>
        <v/>
      </c>
      <c r="E48" s="162" t="str">
        <f aca="false">IF(Salary_Calculation[[#This Row],[Source Row]]="","",IF(INDEX(Rider_Input[Calendar Days in Month],Salary_Calculation[[#This Row],[Source Row]])="","",INDEX(Rider_Input[Calendar Days in Month],Salary_Calculation[[#This Row],[Source Row]])))</f>
        <v/>
      </c>
      <c r="F48" s="162" t="str">
        <f aca="false">IF(Salary_Calculation[[#This Row],[Source Row]]="","",IF(INDEX(Rider_Input[Working Days],Salary_Calculation[[#This Row],[Source Row]])="","",INDEX(Rider_Input[Working Days],Salary_Calculation[[#This Row],[Source Row]])))</f>
        <v/>
      </c>
      <c r="G48" s="165" t="str">
        <f aca="false">IF(Salary_Calculation[[#This Row],[Source Row]]="","",Std_Orders/Std_Days*N(Salary_Calculation[[#This Row],[Calendar Days]]))</f>
        <v/>
      </c>
      <c r="H48" s="165" t="str">
        <f aca="false">IF(Salary_Calculation[[#This Row],[Source Row]]="","",IF(N(Salary_Calculation[[#This Row],[Calendar Days]])&gt;0,Salary_Calculation[[#This Row],[Monthly Target Orders]]/N(Salary_Calculation[[#This Row],[Calendar Days]])*N(Salary_Calculation[[#This Row],[Working Days]]),0))</f>
        <v/>
      </c>
      <c r="I48" s="166" t="str">
        <f aca="false">IF(Salary_Calculation[[#This Row],[Source Row]]="","",IF(INDEX(Rider_Input[Completed Orders],Salary_Calculation[[#This Row],[Source Row]])="","",INDEX(Rider_Input[Completed Orders],Salary_Calculation[[#This Row],[Source Row]])))</f>
        <v/>
      </c>
      <c r="J48" s="165" t="str">
        <f aca="false">IF(Salary_Calculation[[#This Row],[Source Row]]="","",IF(Rate_Method="Fixed rate",Fixed_Rate,IF(N(Salary_Calculation[[#This Row],[Basic Payment]])&gt;0,N(Salary_Calculation[[#This Row],[Basic Payment]])/Std_Orders,0)))</f>
        <v/>
      </c>
      <c r="K48" s="165" t="str">
        <f aca="false">IF(Salary_Calculation[[#This Row],[Source Row]]="","",MAX(MIN(N(Salary_Calculation[[#This Row],[Completed Orders]]),Salary_Calculation[[#This Row],[Rider Target Orders]]),0))</f>
        <v/>
      </c>
      <c r="L48" s="164" t="str">
        <f aca="false">IF(Salary_Calculation[[#This Row],[Source Row]]="","",Salary_Calculation[[#This Row],[Orders Counted at Base Rate]]*Salary_Calculation[[#This Row],[Base Order Rate]])</f>
        <v/>
      </c>
      <c r="M48" s="165" t="str">
        <f aca="false">IF(Salary_Calculation[[#This Row],[Source Row]]="","",MAX(Salary_Calculation[[#This Row],[Rider Target Orders]]-N(Salary_Calculation[[#This Row],[Completed Orders]]),0))</f>
        <v/>
      </c>
      <c r="N48" s="164" t="str">
        <f aca="false">IF(Salary_Calculation[[#This Row],[Source Row]]="","",Salary_Calculation[[#This Row],[Missing Orders]]*Missing_Rate)</f>
        <v/>
      </c>
      <c r="O48" s="165" t="str">
        <f aca="false">IF(Salary_Calculation[[#This Row],[Source Row]]="","",MAX(N(Salary_Calculation[[#This Row],[Completed Orders]])-Salary_Calculation[[#This Row],[Rider Target Orders]],0))</f>
        <v/>
      </c>
      <c r="P48" s="164" t="str">
        <f aca="false">IF(Salary_Calculation[[#This Row],[Source Row]]="","",Salary_Calculation[[#This Row],[Extra Orders]]*Extra_Rate)</f>
        <v/>
      </c>
      <c r="Q48" s="164" t="str">
        <f aca="false">IF(Salary_Calculation[[#This Row],[Source Row]]="","",MAX(Salary_Calculation[[#This Row],[Salary Before Other Deductions]],0))</f>
        <v/>
      </c>
      <c r="R48" s="164" t="str">
        <f aca="false">IF(Salary_Calculation[[#This Row],[Source Row]]="","",N(INDEX(Rider_Input[missed_days_penalty],Salary_Calculation[[#This Row],[Source Row]])))</f>
        <v/>
      </c>
      <c r="S48" s="164" t="str">
        <f aca="false">IF(Salary_Calculation[[#This Row],[Source Row]]="","",N(INDEX(Rider_Input[Rider Balance / محفظة المندوب],Salary_Calculation[[#This Row],[Source Row]])))</f>
        <v/>
      </c>
      <c r="T48" s="164" t="str">
        <f aca="false">IF(Salary_Calculation[[#This Row],[Source Row]]="","",N(INDEX(Rider_Input[stacking_deduction / خصم الطلبات المتعددة],Salary_Calculation[[#This Row],[Source Row]])))</f>
        <v/>
      </c>
      <c r="U48" s="164" t="str">
        <f aca="false">IF(Salary_Calculation[[#This Row],[Source Row]]="","",N(INDEX(Rider_Input[Other Deductions],Salary_Calculation[[#This Row],[Source Row]])))</f>
        <v/>
      </c>
      <c r="V48" s="164" t="str">
        <f aca="false">IF(Salary_Calculation[[#This Row],[Source Row]]="","",N(Salary_Calculation[[#This Row],[missed_days_penalty]])+N(Salary_Calculation[[#This Row],[Rider Balance]])+N(Salary_Calculation[[#This Row],[stacking_deduction]])+N(Salary_Calculation[[#This Row],[Other Deductions]]))</f>
        <v/>
      </c>
      <c r="W48" s="167" t="str">
        <f aca="false">IF(Salary_Calculation[[#This Row],[Source Row]]="","",ROUND(MAX(Salary_Calculation[[#This Row],[Gross Salary Before Deductions]]-Salary_Calculation[[#This Row],[Total Deductions]],0),2))</f>
        <v/>
      </c>
      <c r="X48" s="164" t="str">
        <f aca="false">IF(Salary_Calculation[[#This Row],[Source Row]]="","",ROUND(MAX(Salary_Calculation[[#This Row],[Missing-Order Deduction]]-Salary_Calculation[[#This Row],[Earned Salary]],0),2))</f>
        <v/>
      </c>
      <c r="Y4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8" s="163" t="str">
        <f aca="false">IF(Salary_Calculation[[#This Row],[Source Row]]="","",IF(INDEX(Rider_Input[Notes],Salary_Calculation[[#This Row],[Source Row]])="","",INDEX(Rider_Input[Notes],Salary_Calculation[[#This Row],[Source Row]])))</f>
        <v/>
      </c>
      <c r="AA48" s="164" t="str">
        <f aca="false">IF(Salary_Calculation[[#This Row],[Source Row]]="","",Salary_Calculation[[#This Row],[Earned Salary]]-Salary_Calculation[[#This Row],[Missing-Order Deduction]]+Salary_Calculation[[#This Row],[Extra-Order Bonus]])</f>
        <v/>
      </c>
      <c r="AB48" s="164" t="str">
        <f aca="false">IF(Salary_Calculation[[#This Row],[Source Row]]="","",ROUND(Salary_Calculation[[#This Row],[Negative Balance / Amount Due from Rider]]+MAX(Salary_Calculation[[#This Row],[Total Deductions]]-Salary_Calculation[[#This Row],[Gross Salary Before Deductions]],0),2))</f>
        <v/>
      </c>
      <c r="AC4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8" s="164" t="str">
        <f aca="false">IF(Salary_Calculation[[#This Row],[Source Row]]="","",Salary_Calculation[[#This Row],[Rider Target Orders]]*Salary_Calculation[[#This Row],[Base Order Rate]])</f>
        <v/>
      </c>
      <c r="AE48" s="162" t="str">
        <f aca="false">IF(SUMPRODUCT(--(LEN(INDEX(Rider_Input[#Data],ROW()-ROW(Salary_Calculation[#Headers]),0))&gt;0))=0,"",ROW()-ROW(Salary_Calculation[#Headers]))</f>
        <v/>
      </c>
    </row>
    <row r="49" customFormat="false" ht="14.25" hidden="false" customHeight="false" outlineLevel="0" collapsed="false">
      <c r="A49" s="161" t="str">
        <f aca="false">IF(Salary_Calculation[[#This Row],[Source Row]]="","",IF(INDEX(Rider_Input[Salary Month],Salary_Calculation[[#This Row],[Source Row]])="","",INDEX(Rider_Input[Salary Month],Salary_Calculation[[#This Row],[Source Row]])))</f>
        <v/>
      </c>
      <c r="B49" s="162" t="str">
        <f aca="false">IF(Salary_Calculation[[#This Row],[Source Row]]="","",IF(INDEX(Rider_Input[Rider ID],Salary_Calculation[[#This Row],[Source Row]])="","",INDEX(Rider_Input[Rider ID],Salary_Calculation[[#This Row],[Source Row]])))</f>
        <v/>
      </c>
      <c r="C49" s="163" t="str">
        <f aca="false">IF(Salary_Calculation[[#This Row],[Source Row]]="","",IF(INDEX(Rider_Input[Rider Name],Salary_Calculation[[#This Row],[Source Row]])="","",INDEX(Rider_Input[Rider Name],Salary_Calculation[[#This Row],[Source Row]])))</f>
        <v/>
      </c>
      <c r="D49" s="164" t="str">
        <f aca="false">IF(Salary_Calculation[[#This Row],[Source Row]]="","",IF(INDEX(Rider_Input[Basic Payment],Salary_Calculation[[#This Row],[Source Row]])="","",INDEX(Rider_Input[Basic Payment],Salary_Calculation[[#This Row],[Source Row]])))</f>
        <v/>
      </c>
      <c r="E49" s="162" t="str">
        <f aca="false">IF(Salary_Calculation[[#This Row],[Source Row]]="","",IF(INDEX(Rider_Input[Calendar Days in Month],Salary_Calculation[[#This Row],[Source Row]])="","",INDEX(Rider_Input[Calendar Days in Month],Salary_Calculation[[#This Row],[Source Row]])))</f>
        <v/>
      </c>
      <c r="F49" s="162" t="str">
        <f aca="false">IF(Salary_Calculation[[#This Row],[Source Row]]="","",IF(INDEX(Rider_Input[Working Days],Salary_Calculation[[#This Row],[Source Row]])="","",INDEX(Rider_Input[Working Days],Salary_Calculation[[#This Row],[Source Row]])))</f>
        <v/>
      </c>
      <c r="G49" s="165" t="str">
        <f aca="false">IF(Salary_Calculation[[#This Row],[Source Row]]="","",Std_Orders/Std_Days*N(Salary_Calculation[[#This Row],[Calendar Days]]))</f>
        <v/>
      </c>
      <c r="H49" s="165" t="str">
        <f aca="false">IF(Salary_Calculation[[#This Row],[Source Row]]="","",IF(N(Salary_Calculation[[#This Row],[Calendar Days]])&gt;0,Salary_Calculation[[#This Row],[Monthly Target Orders]]/N(Salary_Calculation[[#This Row],[Calendar Days]])*N(Salary_Calculation[[#This Row],[Working Days]]),0))</f>
        <v/>
      </c>
      <c r="I49" s="166" t="str">
        <f aca="false">IF(Salary_Calculation[[#This Row],[Source Row]]="","",IF(INDEX(Rider_Input[Completed Orders],Salary_Calculation[[#This Row],[Source Row]])="","",INDEX(Rider_Input[Completed Orders],Salary_Calculation[[#This Row],[Source Row]])))</f>
        <v/>
      </c>
      <c r="J49" s="165" t="str">
        <f aca="false">IF(Salary_Calculation[[#This Row],[Source Row]]="","",IF(Rate_Method="Fixed rate",Fixed_Rate,IF(N(Salary_Calculation[[#This Row],[Basic Payment]])&gt;0,N(Salary_Calculation[[#This Row],[Basic Payment]])/Std_Orders,0)))</f>
        <v/>
      </c>
      <c r="K49" s="165" t="str">
        <f aca="false">IF(Salary_Calculation[[#This Row],[Source Row]]="","",MAX(MIN(N(Salary_Calculation[[#This Row],[Completed Orders]]),Salary_Calculation[[#This Row],[Rider Target Orders]]),0))</f>
        <v/>
      </c>
      <c r="L49" s="164" t="str">
        <f aca="false">IF(Salary_Calculation[[#This Row],[Source Row]]="","",Salary_Calculation[[#This Row],[Orders Counted at Base Rate]]*Salary_Calculation[[#This Row],[Base Order Rate]])</f>
        <v/>
      </c>
      <c r="M49" s="165" t="str">
        <f aca="false">IF(Salary_Calculation[[#This Row],[Source Row]]="","",MAX(Salary_Calculation[[#This Row],[Rider Target Orders]]-N(Salary_Calculation[[#This Row],[Completed Orders]]),0))</f>
        <v/>
      </c>
      <c r="N49" s="164" t="str">
        <f aca="false">IF(Salary_Calculation[[#This Row],[Source Row]]="","",Salary_Calculation[[#This Row],[Missing Orders]]*Missing_Rate)</f>
        <v/>
      </c>
      <c r="O49" s="165" t="str">
        <f aca="false">IF(Salary_Calculation[[#This Row],[Source Row]]="","",MAX(N(Salary_Calculation[[#This Row],[Completed Orders]])-Salary_Calculation[[#This Row],[Rider Target Orders]],0))</f>
        <v/>
      </c>
      <c r="P49" s="164" t="str">
        <f aca="false">IF(Salary_Calculation[[#This Row],[Source Row]]="","",Salary_Calculation[[#This Row],[Extra Orders]]*Extra_Rate)</f>
        <v/>
      </c>
      <c r="Q49" s="164" t="str">
        <f aca="false">IF(Salary_Calculation[[#This Row],[Source Row]]="","",MAX(Salary_Calculation[[#This Row],[Salary Before Other Deductions]],0))</f>
        <v/>
      </c>
      <c r="R49" s="164" t="str">
        <f aca="false">IF(Salary_Calculation[[#This Row],[Source Row]]="","",N(INDEX(Rider_Input[missed_days_penalty],Salary_Calculation[[#This Row],[Source Row]])))</f>
        <v/>
      </c>
      <c r="S49" s="164" t="str">
        <f aca="false">IF(Salary_Calculation[[#This Row],[Source Row]]="","",N(INDEX(Rider_Input[Rider Balance / محفظة المندوب],Salary_Calculation[[#This Row],[Source Row]])))</f>
        <v/>
      </c>
      <c r="T49" s="164" t="str">
        <f aca="false">IF(Salary_Calculation[[#This Row],[Source Row]]="","",N(INDEX(Rider_Input[stacking_deduction / خصم الطلبات المتعددة],Salary_Calculation[[#This Row],[Source Row]])))</f>
        <v/>
      </c>
      <c r="U49" s="164" t="str">
        <f aca="false">IF(Salary_Calculation[[#This Row],[Source Row]]="","",N(INDEX(Rider_Input[Other Deductions],Salary_Calculation[[#This Row],[Source Row]])))</f>
        <v/>
      </c>
      <c r="V49" s="164" t="str">
        <f aca="false">IF(Salary_Calculation[[#This Row],[Source Row]]="","",N(Salary_Calculation[[#This Row],[missed_days_penalty]])+N(Salary_Calculation[[#This Row],[Rider Balance]])+N(Salary_Calculation[[#This Row],[stacking_deduction]])+N(Salary_Calculation[[#This Row],[Other Deductions]]))</f>
        <v/>
      </c>
      <c r="W49" s="167" t="str">
        <f aca="false">IF(Salary_Calculation[[#This Row],[Source Row]]="","",ROUND(MAX(Salary_Calculation[[#This Row],[Gross Salary Before Deductions]]-Salary_Calculation[[#This Row],[Total Deductions]],0),2))</f>
        <v/>
      </c>
      <c r="X49" s="164" t="str">
        <f aca="false">IF(Salary_Calculation[[#This Row],[Source Row]]="","",ROUND(MAX(Salary_Calculation[[#This Row],[Missing-Order Deduction]]-Salary_Calculation[[#This Row],[Earned Salary]],0),2))</f>
        <v/>
      </c>
      <c r="Y4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9" s="163" t="str">
        <f aca="false">IF(Salary_Calculation[[#This Row],[Source Row]]="","",IF(INDEX(Rider_Input[Notes],Salary_Calculation[[#This Row],[Source Row]])="","",INDEX(Rider_Input[Notes],Salary_Calculation[[#This Row],[Source Row]])))</f>
        <v/>
      </c>
      <c r="AA49" s="164" t="str">
        <f aca="false">IF(Salary_Calculation[[#This Row],[Source Row]]="","",Salary_Calculation[[#This Row],[Earned Salary]]-Salary_Calculation[[#This Row],[Missing-Order Deduction]]+Salary_Calculation[[#This Row],[Extra-Order Bonus]])</f>
        <v/>
      </c>
      <c r="AB49" s="164" t="str">
        <f aca="false">IF(Salary_Calculation[[#This Row],[Source Row]]="","",ROUND(Salary_Calculation[[#This Row],[Negative Balance / Amount Due from Rider]]+MAX(Salary_Calculation[[#This Row],[Total Deductions]]-Salary_Calculation[[#This Row],[Gross Salary Before Deductions]],0),2))</f>
        <v/>
      </c>
      <c r="AC4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9" s="164" t="str">
        <f aca="false">IF(Salary_Calculation[[#This Row],[Source Row]]="","",Salary_Calculation[[#This Row],[Rider Target Orders]]*Salary_Calculation[[#This Row],[Base Order Rate]])</f>
        <v/>
      </c>
      <c r="AE49" s="162" t="str">
        <f aca="false">IF(SUMPRODUCT(--(LEN(INDEX(Rider_Input[#Data],ROW()-ROW(Salary_Calculation[#Headers]),0))&gt;0))=0,"",ROW()-ROW(Salary_Calculation[#Headers]))</f>
        <v/>
      </c>
    </row>
    <row r="50" customFormat="false" ht="14.25" hidden="false" customHeight="false" outlineLevel="0" collapsed="false">
      <c r="A50" s="161" t="str">
        <f aca="false">IF(Salary_Calculation[[#This Row],[Source Row]]="","",IF(INDEX(Rider_Input[Salary Month],Salary_Calculation[[#This Row],[Source Row]])="","",INDEX(Rider_Input[Salary Month],Salary_Calculation[[#This Row],[Source Row]])))</f>
        <v/>
      </c>
      <c r="B50" s="162" t="str">
        <f aca="false">IF(Salary_Calculation[[#This Row],[Source Row]]="","",IF(INDEX(Rider_Input[Rider ID],Salary_Calculation[[#This Row],[Source Row]])="","",INDEX(Rider_Input[Rider ID],Salary_Calculation[[#This Row],[Source Row]])))</f>
        <v/>
      </c>
      <c r="C50" s="163" t="str">
        <f aca="false">IF(Salary_Calculation[[#This Row],[Source Row]]="","",IF(INDEX(Rider_Input[Rider Name],Salary_Calculation[[#This Row],[Source Row]])="","",INDEX(Rider_Input[Rider Name],Salary_Calculation[[#This Row],[Source Row]])))</f>
        <v/>
      </c>
      <c r="D50" s="164" t="str">
        <f aca="false">IF(Salary_Calculation[[#This Row],[Source Row]]="","",IF(INDEX(Rider_Input[Basic Payment],Salary_Calculation[[#This Row],[Source Row]])="","",INDEX(Rider_Input[Basic Payment],Salary_Calculation[[#This Row],[Source Row]])))</f>
        <v/>
      </c>
      <c r="E50" s="162" t="str">
        <f aca="false">IF(Salary_Calculation[[#This Row],[Source Row]]="","",IF(INDEX(Rider_Input[Calendar Days in Month],Salary_Calculation[[#This Row],[Source Row]])="","",INDEX(Rider_Input[Calendar Days in Month],Salary_Calculation[[#This Row],[Source Row]])))</f>
        <v/>
      </c>
      <c r="F50" s="162" t="str">
        <f aca="false">IF(Salary_Calculation[[#This Row],[Source Row]]="","",IF(INDEX(Rider_Input[Working Days],Salary_Calculation[[#This Row],[Source Row]])="","",INDEX(Rider_Input[Working Days],Salary_Calculation[[#This Row],[Source Row]])))</f>
        <v/>
      </c>
      <c r="G50" s="165" t="str">
        <f aca="false">IF(Salary_Calculation[[#This Row],[Source Row]]="","",Std_Orders/Std_Days*N(Salary_Calculation[[#This Row],[Calendar Days]]))</f>
        <v/>
      </c>
      <c r="H50" s="165" t="str">
        <f aca="false">IF(Salary_Calculation[[#This Row],[Source Row]]="","",IF(N(Salary_Calculation[[#This Row],[Calendar Days]])&gt;0,Salary_Calculation[[#This Row],[Monthly Target Orders]]/N(Salary_Calculation[[#This Row],[Calendar Days]])*N(Salary_Calculation[[#This Row],[Working Days]]),0))</f>
        <v/>
      </c>
      <c r="I50" s="166" t="str">
        <f aca="false">IF(Salary_Calculation[[#This Row],[Source Row]]="","",IF(INDEX(Rider_Input[Completed Orders],Salary_Calculation[[#This Row],[Source Row]])="","",INDEX(Rider_Input[Completed Orders],Salary_Calculation[[#This Row],[Source Row]])))</f>
        <v/>
      </c>
      <c r="J50" s="165" t="str">
        <f aca="false">IF(Salary_Calculation[[#This Row],[Source Row]]="","",IF(Rate_Method="Fixed rate",Fixed_Rate,IF(N(Salary_Calculation[[#This Row],[Basic Payment]])&gt;0,N(Salary_Calculation[[#This Row],[Basic Payment]])/Std_Orders,0)))</f>
        <v/>
      </c>
      <c r="K50" s="165" t="str">
        <f aca="false">IF(Salary_Calculation[[#This Row],[Source Row]]="","",MAX(MIN(N(Salary_Calculation[[#This Row],[Completed Orders]]),Salary_Calculation[[#This Row],[Rider Target Orders]]),0))</f>
        <v/>
      </c>
      <c r="L50" s="164" t="str">
        <f aca="false">IF(Salary_Calculation[[#This Row],[Source Row]]="","",Salary_Calculation[[#This Row],[Orders Counted at Base Rate]]*Salary_Calculation[[#This Row],[Base Order Rate]])</f>
        <v/>
      </c>
      <c r="M50" s="165" t="str">
        <f aca="false">IF(Salary_Calculation[[#This Row],[Source Row]]="","",MAX(Salary_Calculation[[#This Row],[Rider Target Orders]]-N(Salary_Calculation[[#This Row],[Completed Orders]]),0))</f>
        <v/>
      </c>
      <c r="N50" s="164" t="str">
        <f aca="false">IF(Salary_Calculation[[#This Row],[Source Row]]="","",Salary_Calculation[[#This Row],[Missing Orders]]*Missing_Rate)</f>
        <v/>
      </c>
      <c r="O50" s="165" t="str">
        <f aca="false">IF(Salary_Calculation[[#This Row],[Source Row]]="","",MAX(N(Salary_Calculation[[#This Row],[Completed Orders]])-Salary_Calculation[[#This Row],[Rider Target Orders]],0))</f>
        <v/>
      </c>
      <c r="P50" s="164" t="str">
        <f aca="false">IF(Salary_Calculation[[#This Row],[Source Row]]="","",Salary_Calculation[[#This Row],[Extra Orders]]*Extra_Rate)</f>
        <v/>
      </c>
      <c r="Q50" s="164" t="str">
        <f aca="false">IF(Salary_Calculation[[#This Row],[Source Row]]="","",MAX(Salary_Calculation[[#This Row],[Salary Before Other Deductions]],0))</f>
        <v/>
      </c>
      <c r="R50" s="164" t="str">
        <f aca="false">IF(Salary_Calculation[[#This Row],[Source Row]]="","",N(INDEX(Rider_Input[missed_days_penalty],Salary_Calculation[[#This Row],[Source Row]])))</f>
        <v/>
      </c>
      <c r="S50" s="164" t="str">
        <f aca="false">IF(Salary_Calculation[[#This Row],[Source Row]]="","",N(INDEX(Rider_Input[Rider Balance / محفظة المندوب],Salary_Calculation[[#This Row],[Source Row]])))</f>
        <v/>
      </c>
      <c r="T50" s="164" t="str">
        <f aca="false">IF(Salary_Calculation[[#This Row],[Source Row]]="","",N(INDEX(Rider_Input[stacking_deduction / خصم الطلبات المتعددة],Salary_Calculation[[#This Row],[Source Row]])))</f>
        <v/>
      </c>
      <c r="U50" s="164" t="str">
        <f aca="false">IF(Salary_Calculation[[#This Row],[Source Row]]="","",N(INDEX(Rider_Input[Other Deductions],Salary_Calculation[[#This Row],[Source Row]])))</f>
        <v/>
      </c>
      <c r="V50" s="164" t="str">
        <f aca="false">IF(Salary_Calculation[[#This Row],[Source Row]]="","",N(Salary_Calculation[[#This Row],[missed_days_penalty]])+N(Salary_Calculation[[#This Row],[Rider Balance]])+N(Salary_Calculation[[#This Row],[stacking_deduction]])+N(Salary_Calculation[[#This Row],[Other Deductions]]))</f>
        <v/>
      </c>
      <c r="W50" s="167" t="str">
        <f aca="false">IF(Salary_Calculation[[#This Row],[Source Row]]="","",ROUND(MAX(Salary_Calculation[[#This Row],[Gross Salary Before Deductions]]-Salary_Calculation[[#This Row],[Total Deductions]],0),2))</f>
        <v/>
      </c>
      <c r="X50" s="164" t="str">
        <f aca="false">IF(Salary_Calculation[[#This Row],[Source Row]]="","",ROUND(MAX(Salary_Calculation[[#This Row],[Missing-Order Deduction]]-Salary_Calculation[[#This Row],[Earned Salary]],0),2))</f>
        <v/>
      </c>
      <c r="Y5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50" s="163" t="str">
        <f aca="false">IF(Salary_Calculation[[#This Row],[Source Row]]="","",IF(INDEX(Rider_Input[Notes],Salary_Calculation[[#This Row],[Source Row]])="","",INDEX(Rider_Input[Notes],Salary_Calculation[[#This Row],[Source Row]])))</f>
        <v/>
      </c>
      <c r="AA50" s="164" t="str">
        <f aca="false">IF(Salary_Calculation[[#This Row],[Source Row]]="","",Salary_Calculation[[#This Row],[Earned Salary]]-Salary_Calculation[[#This Row],[Missing-Order Deduction]]+Salary_Calculation[[#This Row],[Extra-Order Bonus]])</f>
        <v/>
      </c>
      <c r="AB50" s="164" t="str">
        <f aca="false">IF(Salary_Calculation[[#This Row],[Source Row]]="","",ROUND(Salary_Calculation[[#This Row],[Negative Balance / Amount Due from Rider]]+MAX(Salary_Calculation[[#This Row],[Total Deductions]]-Salary_Calculation[[#This Row],[Gross Salary Before Deductions]],0),2))</f>
        <v/>
      </c>
      <c r="AC5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50" s="164" t="str">
        <f aca="false">IF(Salary_Calculation[[#This Row],[Source Row]]="","",Salary_Calculation[[#This Row],[Rider Target Orders]]*Salary_Calculation[[#This Row],[Base Order Rate]])</f>
        <v/>
      </c>
      <c r="AE50" s="162" t="str">
        <f aca="false">IF(SUMPRODUCT(--(LEN(INDEX(Rider_Input[#Data],ROW()-ROW(Salary_Calculation[#Headers]),0))&gt;0))=0,"",ROW()-ROW(Salary_Calculation[#Headers]))</f>
        <v/>
      </c>
    </row>
    <row r="51" customFormat="false" ht="14.25" hidden="false" customHeight="false" outlineLevel="0" collapsed="false">
      <c r="A51" s="161" t="str">
        <f aca="false">IF(Salary_Calculation[[#This Row],[Source Row]]="","",IF(INDEX(Rider_Input[Salary Month],Salary_Calculation[[#This Row],[Source Row]])="","",INDEX(Rider_Input[Salary Month],Salary_Calculation[[#This Row],[Source Row]])))</f>
        <v/>
      </c>
      <c r="B51" s="162" t="str">
        <f aca="false">IF(Salary_Calculation[[#This Row],[Source Row]]="","",IF(INDEX(Rider_Input[Rider ID],Salary_Calculation[[#This Row],[Source Row]])="","",INDEX(Rider_Input[Rider ID],Salary_Calculation[[#This Row],[Source Row]])))</f>
        <v/>
      </c>
      <c r="C51" s="163" t="str">
        <f aca="false">IF(Salary_Calculation[[#This Row],[Source Row]]="","",IF(INDEX(Rider_Input[Rider Name],Salary_Calculation[[#This Row],[Source Row]])="","",INDEX(Rider_Input[Rider Name],Salary_Calculation[[#This Row],[Source Row]])))</f>
        <v/>
      </c>
      <c r="D51" s="164" t="str">
        <f aca="false">IF(Salary_Calculation[[#This Row],[Source Row]]="","",IF(INDEX(Rider_Input[Basic Payment],Salary_Calculation[[#This Row],[Source Row]])="","",INDEX(Rider_Input[Basic Payment],Salary_Calculation[[#This Row],[Source Row]])))</f>
        <v/>
      </c>
      <c r="E51" s="162" t="str">
        <f aca="false">IF(Salary_Calculation[[#This Row],[Source Row]]="","",IF(INDEX(Rider_Input[Calendar Days in Month],Salary_Calculation[[#This Row],[Source Row]])="","",INDEX(Rider_Input[Calendar Days in Month],Salary_Calculation[[#This Row],[Source Row]])))</f>
        <v/>
      </c>
      <c r="F51" s="162" t="str">
        <f aca="false">IF(Salary_Calculation[[#This Row],[Source Row]]="","",IF(INDEX(Rider_Input[Working Days],Salary_Calculation[[#This Row],[Source Row]])="","",INDEX(Rider_Input[Working Days],Salary_Calculation[[#This Row],[Source Row]])))</f>
        <v/>
      </c>
      <c r="G51" s="165" t="str">
        <f aca="false">IF(Salary_Calculation[[#This Row],[Source Row]]="","",Std_Orders/Std_Days*N(Salary_Calculation[[#This Row],[Calendar Days]]))</f>
        <v/>
      </c>
      <c r="H51" s="165" t="str">
        <f aca="false">IF(Salary_Calculation[[#This Row],[Source Row]]="","",IF(N(Salary_Calculation[[#This Row],[Calendar Days]])&gt;0,Salary_Calculation[[#This Row],[Monthly Target Orders]]/N(Salary_Calculation[[#This Row],[Calendar Days]])*N(Salary_Calculation[[#This Row],[Working Days]]),0))</f>
        <v/>
      </c>
      <c r="I51" s="166" t="str">
        <f aca="false">IF(Salary_Calculation[[#This Row],[Source Row]]="","",IF(INDEX(Rider_Input[Completed Orders],Salary_Calculation[[#This Row],[Source Row]])="","",INDEX(Rider_Input[Completed Orders],Salary_Calculation[[#This Row],[Source Row]])))</f>
        <v/>
      </c>
      <c r="J51" s="165" t="str">
        <f aca="false">IF(Salary_Calculation[[#This Row],[Source Row]]="","",IF(Rate_Method="Fixed rate",Fixed_Rate,IF(N(Salary_Calculation[[#This Row],[Basic Payment]])&gt;0,N(Salary_Calculation[[#This Row],[Basic Payment]])/Std_Orders,0)))</f>
        <v/>
      </c>
      <c r="K51" s="165" t="str">
        <f aca="false">IF(Salary_Calculation[[#This Row],[Source Row]]="","",MAX(MIN(N(Salary_Calculation[[#This Row],[Completed Orders]]),Salary_Calculation[[#This Row],[Rider Target Orders]]),0))</f>
        <v/>
      </c>
      <c r="L51" s="164" t="str">
        <f aca="false">IF(Salary_Calculation[[#This Row],[Source Row]]="","",Salary_Calculation[[#This Row],[Orders Counted at Base Rate]]*Salary_Calculation[[#This Row],[Base Order Rate]])</f>
        <v/>
      </c>
      <c r="M51" s="165" t="str">
        <f aca="false">IF(Salary_Calculation[[#This Row],[Source Row]]="","",MAX(Salary_Calculation[[#This Row],[Rider Target Orders]]-N(Salary_Calculation[[#This Row],[Completed Orders]]),0))</f>
        <v/>
      </c>
      <c r="N51" s="164" t="str">
        <f aca="false">IF(Salary_Calculation[[#This Row],[Source Row]]="","",Salary_Calculation[[#This Row],[Missing Orders]]*Missing_Rate)</f>
        <v/>
      </c>
      <c r="O51" s="165" t="str">
        <f aca="false">IF(Salary_Calculation[[#This Row],[Source Row]]="","",MAX(N(Salary_Calculation[[#This Row],[Completed Orders]])-Salary_Calculation[[#This Row],[Rider Target Orders]],0))</f>
        <v/>
      </c>
      <c r="P51" s="164" t="str">
        <f aca="false">IF(Salary_Calculation[[#This Row],[Source Row]]="","",Salary_Calculation[[#This Row],[Extra Orders]]*Extra_Rate)</f>
        <v/>
      </c>
      <c r="Q51" s="164" t="str">
        <f aca="false">IF(Salary_Calculation[[#This Row],[Source Row]]="","",MAX(Salary_Calculation[[#This Row],[Salary Before Other Deductions]],0))</f>
        <v/>
      </c>
      <c r="R51" s="164" t="str">
        <f aca="false">IF(Salary_Calculation[[#This Row],[Source Row]]="","",N(INDEX(Rider_Input[missed_days_penalty],Salary_Calculation[[#This Row],[Source Row]])))</f>
        <v/>
      </c>
      <c r="S51" s="164" t="str">
        <f aca="false">IF(Salary_Calculation[[#This Row],[Source Row]]="","",N(INDEX(Rider_Input[Rider Balance / محفظة المندوب],Salary_Calculation[[#This Row],[Source Row]])))</f>
        <v/>
      </c>
      <c r="T51" s="164" t="str">
        <f aca="false">IF(Salary_Calculation[[#This Row],[Source Row]]="","",N(INDEX(Rider_Input[stacking_deduction / خصم الطلبات المتعددة],Salary_Calculation[[#This Row],[Source Row]])))</f>
        <v/>
      </c>
      <c r="U51" s="164" t="str">
        <f aca="false">IF(Salary_Calculation[[#This Row],[Source Row]]="","",N(INDEX(Rider_Input[Other Deductions],Salary_Calculation[[#This Row],[Source Row]])))</f>
        <v/>
      </c>
      <c r="V51" s="164" t="str">
        <f aca="false">IF(Salary_Calculation[[#This Row],[Source Row]]="","",N(Salary_Calculation[[#This Row],[missed_days_penalty]])+N(Salary_Calculation[[#This Row],[Rider Balance]])+N(Salary_Calculation[[#This Row],[stacking_deduction]])+N(Salary_Calculation[[#This Row],[Other Deductions]]))</f>
        <v/>
      </c>
      <c r="W51" s="167" t="str">
        <f aca="false">IF(Salary_Calculation[[#This Row],[Source Row]]="","",ROUND(MAX(Salary_Calculation[[#This Row],[Gross Salary Before Deductions]]-Salary_Calculation[[#This Row],[Total Deductions]],0),2))</f>
        <v/>
      </c>
      <c r="X51" s="164" t="str">
        <f aca="false">IF(Salary_Calculation[[#This Row],[Source Row]]="","",ROUND(MAX(Salary_Calculation[[#This Row],[Missing-Order Deduction]]-Salary_Calculation[[#This Row],[Earned Salary]],0),2))</f>
        <v/>
      </c>
      <c r="Y5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51" s="163" t="str">
        <f aca="false">IF(Salary_Calculation[[#This Row],[Source Row]]="","",IF(INDEX(Rider_Input[Notes],Salary_Calculation[[#This Row],[Source Row]])="","",INDEX(Rider_Input[Notes],Salary_Calculation[[#This Row],[Source Row]])))</f>
        <v/>
      </c>
      <c r="AA51" s="164" t="str">
        <f aca="false">IF(Salary_Calculation[[#This Row],[Source Row]]="","",Salary_Calculation[[#This Row],[Earned Salary]]-Salary_Calculation[[#This Row],[Missing-Order Deduction]]+Salary_Calculation[[#This Row],[Extra-Order Bonus]])</f>
        <v/>
      </c>
      <c r="AB51" s="164" t="str">
        <f aca="false">IF(Salary_Calculation[[#This Row],[Source Row]]="","",ROUND(Salary_Calculation[[#This Row],[Negative Balance / Amount Due from Rider]]+MAX(Salary_Calculation[[#This Row],[Total Deductions]]-Salary_Calculation[[#This Row],[Gross Salary Before Deductions]],0),2))</f>
        <v/>
      </c>
      <c r="AC5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51" s="164" t="str">
        <f aca="false">IF(Salary_Calculation[[#This Row],[Source Row]]="","",Salary_Calculation[[#This Row],[Rider Target Orders]]*Salary_Calculation[[#This Row],[Base Order Rate]])</f>
        <v/>
      </c>
      <c r="AE51" s="162" t="str">
        <f aca="false">IF(SUMPRODUCT(--(LEN(INDEX(Rider_Input[#Data],ROW()-ROW(Salary_Calculation[#Headers]),0))&gt;0))=0,"",ROW()-ROW(Salary_Calculation[#Headers]))</f>
        <v/>
      </c>
    </row>
    <row r="52" customFormat="false" ht="14.25" hidden="false" customHeight="false" outlineLevel="0" collapsed="false">
      <c r="A52" s="161" t="str">
        <f aca="false">IF(Salary_Calculation[[#This Row],[Source Row]]="","",IF(INDEX(Rider_Input[Salary Month],Salary_Calculation[[#This Row],[Source Row]])="","",INDEX(Rider_Input[Salary Month],Salary_Calculation[[#This Row],[Source Row]])))</f>
        <v/>
      </c>
      <c r="B52" s="162" t="str">
        <f aca="false">IF(Salary_Calculation[[#This Row],[Source Row]]="","",IF(INDEX(Rider_Input[Rider ID],Salary_Calculation[[#This Row],[Source Row]])="","",INDEX(Rider_Input[Rider ID],Salary_Calculation[[#This Row],[Source Row]])))</f>
        <v/>
      </c>
      <c r="C52" s="163" t="str">
        <f aca="false">IF(Salary_Calculation[[#This Row],[Source Row]]="","",IF(INDEX(Rider_Input[Rider Name],Salary_Calculation[[#This Row],[Source Row]])="","",INDEX(Rider_Input[Rider Name],Salary_Calculation[[#This Row],[Source Row]])))</f>
        <v/>
      </c>
      <c r="D52" s="164" t="str">
        <f aca="false">IF(Salary_Calculation[[#This Row],[Source Row]]="","",IF(INDEX(Rider_Input[Basic Payment],Salary_Calculation[[#This Row],[Source Row]])="","",INDEX(Rider_Input[Basic Payment],Salary_Calculation[[#This Row],[Source Row]])))</f>
        <v/>
      </c>
      <c r="E52" s="162" t="str">
        <f aca="false">IF(Salary_Calculation[[#This Row],[Source Row]]="","",IF(INDEX(Rider_Input[Calendar Days in Month],Salary_Calculation[[#This Row],[Source Row]])="","",INDEX(Rider_Input[Calendar Days in Month],Salary_Calculation[[#This Row],[Source Row]])))</f>
        <v/>
      </c>
      <c r="F52" s="162" t="str">
        <f aca="false">IF(Salary_Calculation[[#This Row],[Source Row]]="","",IF(INDEX(Rider_Input[Working Days],Salary_Calculation[[#This Row],[Source Row]])="","",INDEX(Rider_Input[Working Days],Salary_Calculation[[#This Row],[Source Row]])))</f>
        <v/>
      </c>
      <c r="G52" s="165" t="str">
        <f aca="false">IF(Salary_Calculation[[#This Row],[Source Row]]="","",Std_Orders/Std_Days*N(Salary_Calculation[[#This Row],[Calendar Days]]))</f>
        <v/>
      </c>
      <c r="H52" s="165" t="str">
        <f aca="false">IF(Salary_Calculation[[#This Row],[Source Row]]="","",IF(N(Salary_Calculation[[#This Row],[Calendar Days]])&gt;0,Salary_Calculation[[#This Row],[Monthly Target Orders]]/N(Salary_Calculation[[#This Row],[Calendar Days]])*N(Salary_Calculation[[#This Row],[Working Days]]),0))</f>
        <v/>
      </c>
      <c r="I52" s="166" t="str">
        <f aca="false">IF(Salary_Calculation[[#This Row],[Source Row]]="","",IF(INDEX(Rider_Input[Completed Orders],Salary_Calculation[[#This Row],[Source Row]])="","",INDEX(Rider_Input[Completed Orders],Salary_Calculation[[#This Row],[Source Row]])))</f>
        <v/>
      </c>
      <c r="J52" s="165" t="str">
        <f aca="false">IF(Salary_Calculation[[#This Row],[Source Row]]="","",IF(Rate_Method="Fixed rate",Fixed_Rate,IF(N(Salary_Calculation[[#This Row],[Basic Payment]])&gt;0,N(Salary_Calculation[[#This Row],[Basic Payment]])/Std_Orders,0)))</f>
        <v/>
      </c>
      <c r="K52" s="165" t="str">
        <f aca="false">IF(Salary_Calculation[[#This Row],[Source Row]]="","",MAX(MIN(N(Salary_Calculation[[#This Row],[Completed Orders]]),Salary_Calculation[[#This Row],[Rider Target Orders]]),0))</f>
        <v/>
      </c>
      <c r="L52" s="164" t="str">
        <f aca="false">IF(Salary_Calculation[[#This Row],[Source Row]]="","",Salary_Calculation[[#This Row],[Orders Counted at Base Rate]]*Salary_Calculation[[#This Row],[Base Order Rate]])</f>
        <v/>
      </c>
      <c r="M52" s="165" t="str">
        <f aca="false">IF(Salary_Calculation[[#This Row],[Source Row]]="","",MAX(Salary_Calculation[[#This Row],[Rider Target Orders]]-N(Salary_Calculation[[#This Row],[Completed Orders]]),0))</f>
        <v/>
      </c>
      <c r="N52" s="164" t="str">
        <f aca="false">IF(Salary_Calculation[[#This Row],[Source Row]]="","",Salary_Calculation[[#This Row],[Missing Orders]]*Missing_Rate)</f>
        <v/>
      </c>
      <c r="O52" s="165" t="str">
        <f aca="false">IF(Salary_Calculation[[#This Row],[Source Row]]="","",MAX(N(Salary_Calculation[[#This Row],[Completed Orders]])-Salary_Calculation[[#This Row],[Rider Target Orders]],0))</f>
        <v/>
      </c>
      <c r="P52" s="164" t="str">
        <f aca="false">IF(Salary_Calculation[[#This Row],[Source Row]]="","",Salary_Calculation[[#This Row],[Extra Orders]]*Extra_Rate)</f>
        <v/>
      </c>
      <c r="Q52" s="164" t="str">
        <f aca="false">IF(Salary_Calculation[[#This Row],[Source Row]]="","",MAX(Salary_Calculation[[#This Row],[Salary Before Other Deductions]],0))</f>
        <v/>
      </c>
      <c r="R52" s="164" t="str">
        <f aca="false">IF(Salary_Calculation[[#This Row],[Source Row]]="","",N(INDEX(Rider_Input[missed_days_penalty],Salary_Calculation[[#This Row],[Source Row]])))</f>
        <v/>
      </c>
      <c r="S52" s="164" t="str">
        <f aca="false">IF(Salary_Calculation[[#This Row],[Source Row]]="","",N(INDEX(Rider_Input[Rider Balance / محفظة المندوب],Salary_Calculation[[#This Row],[Source Row]])))</f>
        <v/>
      </c>
      <c r="T52" s="164" t="str">
        <f aca="false">IF(Salary_Calculation[[#This Row],[Source Row]]="","",N(INDEX(Rider_Input[stacking_deduction / خصم الطلبات المتعددة],Salary_Calculation[[#This Row],[Source Row]])))</f>
        <v/>
      </c>
      <c r="U52" s="164" t="str">
        <f aca="false">IF(Salary_Calculation[[#This Row],[Source Row]]="","",N(INDEX(Rider_Input[Other Deductions],Salary_Calculation[[#This Row],[Source Row]])))</f>
        <v/>
      </c>
      <c r="V52" s="164" t="str">
        <f aca="false">IF(Salary_Calculation[[#This Row],[Source Row]]="","",N(Salary_Calculation[[#This Row],[missed_days_penalty]])+N(Salary_Calculation[[#This Row],[Rider Balance]])+N(Salary_Calculation[[#This Row],[stacking_deduction]])+N(Salary_Calculation[[#This Row],[Other Deductions]]))</f>
        <v/>
      </c>
      <c r="W52" s="167" t="str">
        <f aca="false">IF(Salary_Calculation[[#This Row],[Source Row]]="","",ROUND(MAX(Salary_Calculation[[#This Row],[Gross Salary Before Deductions]]-Salary_Calculation[[#This Row],[Total Deductions]],0),2))</f>
        <v/>
      </c>
      <c r="X52" s="164" t="str">
        <f aca="false">IF(Salary_Calculation[[#This Row],[Source Row]]="","",ROUND(MAX(Salary_Calculation[[#This Row],[Missing-Order Deduction]]-Salary_Calculation[[#This Row],[Earned Salary]],0),2))</f>
        <v/>
      </c>
      <c r="Y5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52" s="163" t="str">
        <f aca="false">IF(Salary_Calculation[[#This Row],[Source Row]]="","",IF(INDEX(Rider_Input[Notes],Salary_Calculation[[#This Row],[Source Row]])="","",INDEX(Rider_Input[Notes],Salary_Calculation[[#This Row],[Source Row]])))</f>
        <v/>
      </c>
      <c r="AA52" s="164" t="str">
        <f aca="false">IF(Salary_Calculation[[#This Row],[Source Row]]="","",Salary_Calculation[[#This Row],[Earned Salary]]-Salary_Calculation[[#This Row],[Missing-Order Deduction]]+Salary_Calculation[[#This Row],[Extra-Order Bonus]])</f>
        <v/>
      </c>
      <c r="AB52" s="164" t="str">
        <f aca="false">IF(Salary_Calculation[[#This Row],[Source Row]]="","",ROUND(Salary_Calculation[[#This Row],[Negative Balance / Amount Due from Rider]]+MAX(Salary_Calculation[[#This Row],[Total Deductions]]-Salary_Calculation[[#This Row],[Gross Salary Before Deductions]],0),2))</f>
        <v/>
      </c>
      <c r="AC5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52" s="164" t="str">
        <f aca="false">IF(Salary_Calculation[[#This Row],[Source Row]]="","",Salary_Calculation[[#This Row],[Rider Target Orders]]*Salary_Calculation[[#This Row],[Base Order Rate]])</f>
        <v/>
      </c>
      <c r="AE52" s="162" t="str">
        <f aca="false">IF(SUMPRODUCT(--(LEN(INDEX(Rider_Input[#Data],ROW()-ROW(Salary_Calculation[#Headers]),0))&gt;0))=0,"",ROW()-ROW(Salary_Calculation[#Headers]))</f>
        <v/>
      </c>
    </row>
    <row r="53" customFormat="false" ht="14.25" hidden="false" customHeight="false" outlineLevel="0" collapsed="false">
      <c r="A53" s="161" t="str">
        <f aca="false">IF(Salary_Calculation[[#This Row],[Source Row]]="","",IF(INDEX(Rider_Input[Salary Month],Salary_Calculation[[#This Row],[Source Row]])="","",INDEX(Rider_Input[Salary Month],Salary_Calculation[[#This Row],[Source Row]])))</f>
        <v/>
      </c>
      <c r="B53" s="162" t="str">
        <f aca="false">IF(Salary_Calculation[[#This Row],[Source Row]]="","",IF(INDEX(Rider_Input[Rider ID],Salary_Calculation[[#This Row],[Source Row]])="","",INDEX(Rider_Input[Rider ID],Salary_Calculation[[#This Row],[Source Row]])))</f>
        <v/>
      </c>
      <c r="C53" s="163" t="str">
        <f aca="false">IF(Salary_Calculation[[#This Row],[Source Row]]="","",IF(INDEX(Rider_Input[Rider Name],Salary_Calculation[[#This Row],[Source Row]])="","",INDEX(Rider_Input[Rider Name],Salary_Calculation[[#This Row],[Source Row]])))</f>
        <v/>
      </c>
      <c r="D53" s="164" t="str">
        <f aca="false">IF(Salary_Calculation[[#This Row],[Source Row]]="","",IF(INDEX(Rider_Input[Basic Payment],Salary_Calculation[[#This Row],[Source Row]])="","",INDEX(Rider_Input[Basic Payment],Salary_Calculation[[#This Row],[Source Row]])))</f>
        <v/>
      </c>
      <c r="E53" s="162" t="str">
        <f aca="false">IF(Salary_Calculation[[#This Row],[Source Row]]="","",IF(INDEX(Rider_Input[Calendar Days in Month],Salary_Calculation[[#This Row],[Source Row]])="","",INDEX(Rider_Input[Calendar Days in Month],Salary_Calculation[[#This Row],[Source Row]])))</f>
        <v/>
      </c>
      <c r="F53" s="162" t="str">
        <f aca="false">IF(Salary_Calculation[[#This Row],[Source Row]]="","",IF(INDEX(Rider_Input[Working Days],Salary_Calculation[[#This Row],[Source Row]])="","",INDEX(Rider_Input[Working Days],Salary_Calculation[[#This Row],[Source Row]])))</f>
        <v/>
      </c>
      <c r="G53" s="165" t="str">
        <f aca="false">IF(Salary_Calculation[[#This Row],[Source Row]]="","",Std_Orders/Std_Days*N(Salary_Calculation[[#This Row],[Calendar Days]]))</f>
        <v/>
      </c>
      <c r="H53" s="165" t="str">
        <f aca="false">IF(Salary_Calculation[[#This Row],[Source Row]]="","",IF(N(Salary_Calculation[[#This Row],[Calendar Days]])&gt;0,Salary_Calculation[[#This Row],[Monthly Target Orders]]/N(Salary_Calculation[[#This Row],[Calendar Days]])*N(Salary_Calculation[[#This Row],[Working Days]]),0))</f>
        <v/>
      </c>
      <c r="I53" s="166" t="str">
        <f aca="false">IF(Salary_Calculation[[#This Row],[Source Row]]="","",IF(INDEX(Rider_Input[Completed Orders],Salary_Calculation[[#This Row],[Source Row]])="","",INDEX(Rider_Input[Completed Orders],Salary_Calculation[[#This Row],[Source Row]])))</f>
        <v/>
      </c>
      <c r="J53" s="165" t="str">
        <f aca="false">IF(Salary_Calculation[[#This Row],[Source Row]]="","",IF(Rate_Method="Fixed rate",Fixed_Rate,IF(N(Salary_Calculation[[#This Row],[Basic Payment]])&gt;0,N(Salary_Calculation[[#This Row],[Basic Payment]])/Std_Orders,0)))</f>
        <v/>
      </c>
      <c r="K53" s="165" t="str">
        <f aca="false">IF(Salary_Calculation[[#This Row],[Source Row]]="","",MAX(MIN(N(Salary_Calculation[[#This Row],[Completed Orders]]),Salary_Calculation[[#This Row],[Rider Target Orders]]),0))</f>
        <v/>
      </c>
      <c r="L53" s="164" t="str">
        <f aca="false">IF(Salary_Calculation[[#This Row],[Source Row]]="","",Salary_Calculation[[#This Row],[Orders Counted at Base Rate]]*Salary_Calculation[[#This Row],[Base Order Rate]])</f>
        <v/>
      </c>
      <c r="M53" s="165" t="str">
        <f aca="false">IF(Salary_Calculation[[#This Row],[Source Row]]="","",MAX(Salary_Calculation[[#This Row],[Rider Target Orders]]-N(Salary_Calculation[[#This Row],[Completed Orders]]),0))</f>
        <v/>
      </c>
      <c r="N53" s="164" t="str">
        <f aca="false">IF(Salary_Calculation[[#This Row],[Source Row]]="","",Salary_Calculation[[#This Row],[Missing Orders]]*Missing_Rate)</f>
        <v/>
      </c>
      <c r="O53" s="165" t="str">
        <f aca="false">IF(Salary_Calculation[[#This Row],[Source Row]]="","",MAX(N(Salary_Calculation[[#This Row],[Completed Orders]])-Salary_Calculation[[#This Row],[Rider Target Orders]],0))</f>
        <v/>
      </c>
      <c r="P53" s="164" t="str">
        <f aca="false">IF(Salary_Calculation[[#This Row],[Source Row]]="","",Salary_Calculation[[#This Row],[Extra Orders]]*Extra_Rate)</f>
        <v/>
      </c>
      <c r="Q53" s="164" t="str">
        <f aca="false">IF(Salary_Calculation[[#This Row],[Source Row]]="","",MAX(Salary_Calculation[[#This Row],[Salary Before Other Deductions]],0))</f>
        <v/>
      </c>
      <c r="R53" s="164" t="str">
        <f aca="false">IF(Salary_Calculation[[#This Row],[Source Row]]="","",N(INDEX(Rider_Input[missed_days_penalty],Salary_Calculation[[#This Row],[Source Row]])))</f>
        <v/>
      </c>
      <c r="S53" s="164" t="str">
        <f aca="false">IF(Salary_Calculation[[#This Row],[Source Row]]="","",N(INDEX(Rider_Input[Rider Balance / محفظة المندوب],Salary_Calculation[[#This Row],[Source Row]])))</f>
        <v/>
      </c>
      <c r="T53" s="164" t="str">
        <f aca="false">IF(Salary_Calculation[[#This Row],[Source Row]]="","",N(INDEX(Rider_Input[stacking_deduction / خصم الطلبات المتعددة],Salary_Calculation[[#This Row],[Source Row]])))</f>
        <v/>
      </c>
      <c r="U53" s="164" t="str">
        <f aca="false">IF(Salary_Calculation[[#This Row],[Source Row]]="","",N(INDEX(Rider_Input[Other Deductions],Salary_Calculation[[#This Row],[Source Row]])))</f>
        <v/>
      </c>
      <c r="V53" s="164" t="str">
        <f aca="false">IF(Salary_Calculation[[#This Row],[Source Row]]="","",N(Salary_Calculation[[#This Row],[missed_days_penalty]])+N(Salary_Calculation[[#This Row],[Rider Balance]])+N(Salary_Calculation[[#This Row],[stacking_deduction]])+N(Salary_Calculation[[#This Row],[Other Deductions]]))</f>
        <v/>
      </c>
      <c r="W53" s="167" t="str">
        <f aca="false">IF(Salary_Calculation[[#This Row],[Source Row]]="","",ROUND(MAX(Salary_Calculation[[#This Row],[Gross Salary Before Deductions]]-Salary_Calculation[[#This Row],[Total Deductions]],0),2))</f>
        <v/>
      </c>
      <c r="X53" s="164" t="str">
        <f aca="false">IF(Salary_Calculation[[#This Row],[Source Row]]="","",ROUND(MAX(Salary_Calculation[[#This Row],[Missing-Order Deduction]]-Salary_Calculation[[#This Row],[Earned Salary]],0),2))</f>
        <v/>
      </c>
      <c r="Y5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53" s="163" t="str">
        <f aca="false">IF(Salary_Calculation[[#This Row],[Source Row]]="","",IF(INDEX(Rider_Input[Notes],Salary_Calculation[[#This Row],[Source Row]])="","",INDEX(Rider_Input[Notes],Salary_Calculation[[#This Row],[Source Row]])))</f>
        <v/>
      </c>
      <c r="AA53" s="164" t="str">
        <f aca="false">IF(Salary_Calculation[[#This Row],[Source Row]]="","",Salary_Calculation[[#This Row],[Earned Salary]]-Salary_Calculation[[#This Row],[Missing-Order Deduction]]+Salary_Calculation[[#This Row],[Extra-Order Bonus]])</f>
        <v/>
      </c>
      <c r="AB53" s="164" t="str">
        <f aca="false">IF(Salary_Calculation[[#This Row],[Source Row]]="","",ROUND(Salary_Calculation[[#This Row],[Negative Balance / Amount Due from Rider]]+MAX(Salary_Calculation[[#This Row],[Total Deductions]]-Salary_Calculation[[#This Row],[Gross Salary Before Deductions]],0),2))</f>
        <v/>
      </c>
      <c r="AC5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53" s="164" t="str">
        <f aca="false">IF(Salary_Calculation[[#This Row],[Source Row]]="","",Salary_Calculation[[#This Row],[Rider Target Orders]]*Salary_Calculation[[#This Row],[Base Order Rate]])</f>
        <v/>
      </c>
      <c r="AE53" s="162" t="str">
        <f aca="false">IF(SUMPRODUCT(--(LEN(INDEX(Rider_Input[#Data],ROW()-ROW(Salary_Calculation[#Headers]),0))&gt;0))=0,"",ROW()-ROW(Salary_Calculation[#Headers]))</f>
        <v/>
      </c>
    </row>
    <row r="54" customFormat="false" ht="14.25" hidden="false" customHeight="false" outlineLevel="0" collapsed="false">
      <c r="A54" s="161" t="str">
        <f aca="false">IF(Salary_Calculation[[#This Row],[Source Row]]="","",IF(INDEX(Rider_Input[Salary Month],Salary_Calculation[[#This Row],[Source Row]])="","",INDEX(Rider_Input[Salary Month],Salary_Calculation[[#This Row],[Source Row]])))</f>
        <v/>
      </c>
      <c r="B54" s="162" t="str">
        <f aca="false">IF(Salary_Calculation[[#This Row],[Source Row]]="","",IF(INDEX(Rider_Input[Rider ID],Salary_Calculation[[#This Row],[Source Row]])="","",INDEX(Rider_Input[Rider ID],Salary_Calculation[[#This Row],[Source Row]])))</f>
        <v/>
      </c>
      <c r="C54" s="163" t="str">
        <f aca="false">IF(Salary_Calculation[[#This Row],[Source Row]]="","",IF(INDEX(Rider_Input[Rider Name],Salary_Calculation[[#This Row],[Source Row]])="","",INDEX(Rider_Input[Rider Name],Salary_Calculation[[#This Row],[Source Row]])))</f>
        <v/>
      </c>
      <c r="D54" s="164" t="str">
        <f aca="false">IF(Salary_Calculation[[#This Row],[Source Row]]="","",IF(INDEX(Rider_Input[Basic Payment],Salary_Calculation[[#This Row],[Source Row]])="","",INDEX(Rider_Input[Basic Payment],Salary_Calculation[[#This Row],[Source Row]])))</f>
        <v/>
      </c>
      <c r="E54" s="162" t="str">
        <f aca="false">IF(Salary_Calculation[[#This Row],[Source Row]]="","",IF(INDEX(Rider_Input[Calendar Days in Month],Salary_Calculation[[#This Row],[Source Row]])="","",INDEX(Rider_Input[Calendar Days in Month],Salary_Calculation[[#This Row],[Source Row]])))</f>
        <v/>
      </c>
      <c r="F54" s="162" t="str">
        <f aca="false">IF(Salary_Calculation[[#This Row],[Source Row]]="","",IF(INDEX(Rider_Input[Working Days],Salary_Calculation[[#This Row],[Source Row]])="","",INDEX(Rider_Input[Working Days],Salary_Calculation[[#This Row],[Source Row]])))</f>
        <v/>
      </c>
      <c r="G54" s="165" t="str">
        <f aca="false">IF(Salary_Calculation[[#This Row],[Source Row]]="","",Std_Orders/Std_Days*N(Salary_Calculation[[#This Row],[Calendar Days]]))</f>
        <v/>
      </c>
      <c r="H54" s="165" t="str">
        <f aca="false">IF(Salary_Calculation[[#This Row],[Source Row]]="","",IF(N(Salary_Calculation[[#This Row],[Calendar Days]])&gt;0,Salary_Calculation[[#This Row],[Monthly Target Orders]]/N(Salary_Calculation[[#This Row],[Calendar Days]])*N(Salary_Calculation[[#This Row],[Working Days]]),0))</f>
        <v/>
      </c>
      <c r="I54" s="166" t="str">
        <f aca="false">IF(Salary_Calculation[[#This Row],[Source Row]]="","",IF(INDEX(Rider_Input[Completed Orders],Salary_Calculation[[#This Row],[Source Row]])="","",INDEX(Rider_Input[Completed Orders],Salary_Calculation[[#This Row],[Source Row]])))</f>
        <v/>
      </c>
      <c r="J54" s="165" t="str">
        <f aca="false">IF(Salary_Calculation[[#This Row],[Source Row]]="","",IF(Rate_Method="Fixed rate",Fixed_Rate,IF(N(Salary_Calculation[[#This Row],[Basic Payment]])&gt;0,N(Salary_Calculation[[#This Row],[Basic Payment]])/Std_Orders,0)))</f>
        <v/>
      </c>
      <c r="K54" s="165" t="str">
        <f aca="false">IF(Salary_Calculation[[#This Row],[Source Row]]="","",MAX(MIN(N(Salary_Calculation[[#This Row],[Completed Orders]]),Salary_Calculation[[#This Row],[Rider Target Orders]]),0))</f>
        <v/>
      </c>
      <c r="L54" s="164" t="str">
        <f aca="false">IF(Salary_Calculation[[#This Row],[Source Row]]="","",Salary_Calculation[[#This Row],[Orders Counted at Base Rate]]*Salary_Calculation[[#This Row],[Base Order Rate]])</f>
        <v/>
      </c>
      <c r="M54" s="165" t="str">
        <f aca="false">IF(Salary_Calculation[[#This Row],[Source Row]]="","",MAX(Salary_Calculation[[#This Row],[Rider Target Orders]]-N(Salary_Calculation[[#This Row],[Completed Orders]]),0))</f>
        <v/>
      </c>
      <c r="N54" s="164" t="str">
        <f aca="false">IF(Salary_Calculation[[#This Row],[Source Row]]="","",Salary_Calculation[[#This Row],[Missing Orders]]*Missing_Rate)</f>
        <v/>
      </c>
      <c r="O54" s="165" t="str">
        <f aca="false">IF(Salary_Calculation[[#This Row],[Source Row]]="","",MAX(N(Salary_Calculation[[#This Row],[Completed Orders]])-Salary_Calculation[[#This Row],[Rider Target Orders]],0))</f>
        <v/>
      </c>
      <c r="P54" s="164" t="str">
        <f aca="false">IF(Salary_Calculation[[#This Row],[Source Row]]="","",Salary_Calculation[[#This Row],[Extra Orders]]*Extra_Rate)</f>
        <v/>
      </c>
      <c r="Q54" s="164" t="str">
        <f aca="false">IF(Salary_Calculation[[#This Row],[Source Row]]="","",MAX(Salary_Calculation[[#This Row],[Salary Before Other Deductions]],0))</f>
        <v/>
      </c>
      <c r="R54" s="164" t="str">
        <f aca="false">IF(Salary_Calculation[[#This Row],[Source Row]]="","",N(INDEX(Rider_Input[missed_days_penalty],Salary_Calculation[[#This Row],[Source Row]])))</f>
        <v/>
      </c>
      <c r="S54" s="164" t="str">
        <f aca="false">IF(Salary_Calculation[[#This Row],[Source Row]]="","",N(INDEX(Rider_Input[Rider Balance / محفظة المندوب],Salary_Calculation[[#This Row],[Source Row]])))</f>
        <v/>
      </c>
      <c r="T54" s="164" t="str">
        <f aca="false">IF(Salary_Calculation[[#This Row],[Source Row]]="","",N(INDEX(Rider_Input[stacking_deduction / خصم الطلبات المتعددة],Salary_Calculation[[#This Row],[Source Row]])))</f>
        <v/>
      </c>
      <c r="U54" s="164" t="str">
        <f aca="false">IF(Salary_Calculation[[#This Row],[Source Row]]="","",N(INDEX(Rider_Input[Other Deductions],Salary_Calculation[[#This Row],[Source Row]])))</f>
        <v/>
      </c>
      <c r="V54" s="164" t="str">
        <f aca="false">IF(Salary_Calculation[[#This Row],[Source Row]]="","",N(Salary_Calculation[[#This Row],[missed_days_penalty]])+N(Salary_Calculation[[#This Row],[Rider Balance]])+N(Salary_Calculation[[#This Row],[stacking_deduction]])+N(Salary_Calculation[[#This Row],[Other Deductions]]))</f>
        <v/>
      </c>
      <c r="W54" s="167" t="str">
        <f aca="false">IF(Salary_Calculation[[#This Row],[Source Row]]="","",ROUND(MAX(Salary_Calculation[[#This Row],[Gross Salary Before Deductions]]-Salary_Calculation[[#This Row],[Total Deductions]],0),2))</f>
        <v/>
      </c>
      <c r="X54" s="164" t="str">
        <f aca="false">IF(Salary_Calculation[[#This Row],[Source Row]]="","",ROUND(MAX(Salary_Calculation[[#This Row],[Missing-Order Deduction]]-Salary_Calculation[[#This Row],[Earned Salary]],0),2))</f>
        <v/>
      </c>
      <c r="Y5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54" s="163" t="str">
        <f aca="false">IF(Salary_Calculation[[#This Row],[Source Row]]="","",IF(INDEX(Rider_Input[Notes],Salary_Calculation[[#This Row],[Source Row]])="","",INDEX(Rider_Input[Notes],Salary_Calculation[[#This Row],[Source Row]])))</f>
        <v/>
      </c>
      <c r="AA54" s="164" t="str">
        <f aca="false">IF(Salary_Calculation[[#This Row],[Source Row]]="","",Salary_Calculation[[#This Row],[Earned Salary]]-Salary_Calculation[[#This Row],[Missing-Order Deduction]]+Salary_Calculation[[#This Row],[Extra-Order Bonus]])</f>
        <v/>
      </c>
      <c r="AB54" s="164" t="str">
        <f aca="false">IF(Salary_Calculation[[#This Row],[Source Row]]="","",ROUND(Salary_Calculation[[#This Row],[Negative Balance / Amount Due from Rider]]+MAX(Salary_Calculation[[#This Row],[Total Deductions]]-Salary_Calculation[[#This Row],[Gross Salary Before Deductions]],0),2))</f>
        <v/>
      </c>
      <c r="AC5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54" s="164" t="str">
        <f aca="false">IF(Salary_Calculation[[#This Row],[Source Row]]="","",Salary_Calculation[[#This Row],[Rider Target Orders]]*Salary_Calculation[[#This Row],[Base Order Rate]])</f>
        <v/>
      </c>
      <c r="AE54" s="162" t="str">
        <f aca="false">IF(SUMPRODUCT(--(LEN(INDEX(Rider_Input[#Data],ROW()-ROW(Salary_Calculation[#Headers]),0))&gt;0))=0,"",ROW()-ROW(Salary_Calculation[#Headers]))</f>
        <v/>
      </c>
    </row>
    <row r="55" customFormat="false" ht="14.25" hidden="false" customHeight="false" outlineLevel="0" collapsed="false">
      <c r="A55" s="161" t="str">
        <f aca="false">IF(Salary_Calculation[[#This Row],[Source Row]]="","",IF(INDEX(Rider_Input[Salary Month],Salary_Calculation[[#This Row],[Source Row]])="","",INDEX(Rider_Input[Salary Month],Salary_Calculation[[#This Row],[Source Row]])))</f>
        <v/>
      </c>
      <c r="B55" s="162" t="str">
        <f aca="false">IF(Salary_Calculation[[#This Row],[Source Row]]="","",IF(INDEX(Rider_Input[Rider ID],Salary_Calculation[[#This Row],[Source Row]])="","",INDEX(Rider_Input[Rider ID],Salary_Calculation[[#This Row],[Source Row]])))</f>
        <v/>
      </c>
      <c r="C55" s="163" t="str">
        <f aca="false">IF(Salary_Calculation[[#This Row],[Source Row]]="","",IF(INDEX(Rider_Input[Rider Name],Salary_Calculation[[#This Row],[Source Row]])="","",INDEX(Rider_Input[Rider Name],Salary_Calculation[[#This Row],[Source Row]])))</f>
        <v/>
      </c>
      <c r="D55" s="164" t="str">
        <f aca="false">IF(Salary_Calculation[[#This Row],[Source Row]]="","",IF(INDEX(Rider_Input[Basic Payment],Salary_Calculation[[#This Row],[Source Row]])="","",INDEX(Rider_Input[Basic Payment],Salary_Calculation[[#This Row],[Source Row]])))</f>
        <v/>
      </c>
      <c r="E55" s="162" t="str">
        <f aca="false">IF(Salary_Calculation[[#This Row],[Source Row]]="","",IF(INDEX(Rider_Input[Calendar Days in Month],Salary_Calculation[[#This Row],[Source Row]])="","",INDEX(Rider_Input[Calendar Days in Month],Salary_Calculation[[#This Row],[Source Row]])))</f>
        <v/>
      </c>
      <c r="F55" s="162" t="str">
        <f aca="false">IF(Salary_Calculation[[#This Row],[Source Row]]="","",IF(INDEX(Rider_Input[Working Days],Salary_Calculation[[#This Row],[Source Row]])="","",INDEX(Rider_Input[Working Days],Salary_Calculation[[#This Row],[Source Row]])))</f>
        <v/>
      </c>
      <c r="G55" s="165" t="str">
        <f aca="false">IF(Salary_Calculation[[#This Row],[Source Row]]="","",Std_Orders/Std_Days*N(Salary_Calculation[[#This Row],[Calendar Days]]))</f>
        <v/>
      </c>
      <c r="H55" s="165" t="str">
        <f aca="false">IF(Salary_Calculation[[#This Row],[Source Row]]="","",IF(N(Salary_Calculation[[#This Row],[Calendar Days]])&gt;0,Salary_Calculation[[#This Row],[Monthly Target Orders]]/N(Salary_Calculation[[#This Row],[Calendar Days]])*N(Salary_Calculation[[#This Row],[Working Days]]),0))</f>
        <v/>
      </c>
      <c r="I55" s="166" t="str">
        <f aca="false">IF(Salary_Calculation[[#This Row],[Source Row]]="","",IF(INDEX(Rider_Input[Completed Orders],Salary_Calculation[[#This Row],[Source Row]])="","",INDEX(Rider_Input[Completed Orders],Salary_Calculation[[#This Row],[Source Row]])))</f>
        <v/>
      </c>
      <c r="J55" s="165" t="str">
        <f aca="false">IF(Salary_Calculation[[#This Row],[Source Row]]="","",IF(Rate_Method="Fixed rate",Fixed_Rate,IF(N(Salary_Calculation[[#This Row],[Basic Payment]])&gt;0,N(Salary_Calculation[[#This Row],[Basic Payment]])/Std_Orders,0)))</f>
        <v/>
      </c>
      <c r="K55" s="165" t="str">
        <f aca="false">IF(Salary_Calculation[[#This Row],[Source Row]]="","",MAX(MIN(N(Salary_Calculation[[#This Row],[Completed Orders]]),Salary_Calculation[[#This Row],[Rider Target Orders]]),0))</f>
        <v/>
      </c>
      <c r="L55" s="164" t="str">
        <f aca="false">IF(Salary_Calculation[[#This Row],[Source Row]]="","",Salary_Calculation[[#This Row],[Orders Counted at Base Rate]]*Salary_Calculation[[#This Row],[Base Order Rate]])</f>
        <v/>
      </c>
      <c r="M55" s="165" t="str">
        <f aca="false">IF(Salary_Calculation[[#This Row],[Source Row]]="","",MAX(Salary_Calculation[[#This Row],[Rider Target Orders]]-N(Salary_Calculation[[#This Row],[Completed Orders]]),0))</f>
        <v/>
      </c>
      <c r="N55" s="164" t="str">
        <f aca="false">IF(Salary_Calculation[[#This Row],[Source Row]]="","",Salary_Calculation[[#This Row],[Missing Orders]]*Missing_Rate)</f>
        <v/>
      </c>
      <c r="O55" s="165" t="str">
        <f aca="false">IF(Salary_Calculation[[#This Row],[Source Row]]="","",MAX(N(Salary_Calculation[[#This Row],[Completed Orders]])-Salary_Calculation[[#This Row],[Rider Target Orders]],0))</f>
        <v/>
      </c>
      <c r="P55" s="164" t="str">
        <f aca="false">IF(Salary_Calculation[[#This Row],[Source Row]]="","",Salary_Calculation[[#This Row],[Extra Orders]]*Extra_Rate)</f>
        <v/>
      </c>
      <c r="Q55" s="164" t="str">
        <f aca="false">IF(Salary_Calculation[[#This Row],[Source Row]]="","",MAX(Salary_Calculation[[#This Row],[Salary Before Other Deductions]],0))</f>
        <v/>
      </c>
      <c r="R55" s="164" t="str">
        <f aca="false">IF(Salary_Calculation[[#This Row],[Source Row]]="","",N(INDEX(Rider_Input[missed_days_penalty],Salary_Calculation[[#This Row],[Source Row]])))</f>
        <v/>
      </c>
      <c r="S55" s="164" t="str">
        <f aca="false">IF(Salary_Calculation[[#This Row],[Source Row]]="","",N(INDEX(Rider_Input[Rider Balance / محفظة المندوب],Salary_Calculation[[#This Row],[Source Row]])))</f>
        <v/>
      </c>
      <c r="T55" s="164" t="str">
        <f aca="false">IF(Salary_Calculation[[#This Row],[Source Row]]="","",N(INDEX(Rider_Input[stacking_deduction / خصم الطلبات المتعددة],Salary_Calculation[[#This Row],[Source Row]])))</f>
        <v/>
      </c>
      <c r="U55" s="164" t="str">
        <f aca="false">IF(Salary_Calculation[[#This Row],[Source Row]]="","",N(INDEX(Rider_Input[Other Deductions],Salary_Calculation[[#This Row],[Source Row]])))</f>
        <v/>
      </c>
      <c r="V55" s="164" t="str">
        <f aca="false">IF(Salary_Calculation[[#This Row],[Source Row]]="","",N(Salary_Calculation[[#This Row],[missed_days_penalty]])+N(Salary_Calculation[[#This Row],[Rider Balance]])+N(Salary_Calculation[[#This Row],[stacking_deduction]])+N(Salary_Calculation[[#This Row],[Other Deductions]]))</f>
        <v/>
      </c>
      <c r="W55" s="167" t="str">
        <f aca="false">IF(Salary_Calculation[[#This Row],[Source Row]]="","",ROUND(MAX(Salary_Calculation[[#This Row],[Gross Salary Before Deductions]]-Salary_Calculation[[#This Row],[Total Deductions]],0),2))</f>
        <v/>
      </c>
      <c r="X55" s="164" t="str">
        <f aca="false">IF(Salary_Calculation[[#This Row],[Source Row]]="","",ROUND(MAX(Salary_Calculation[[#This Row],[Missing-Order Deduction]]-Salary_Calculation[[#This Row],[Earned Salary]],0),2))</f>
        <v/>
      </c>
      <c r="Y5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55" s="163" t="str">
        <f aca="false">IF(Salary_Calculation[[#This Row],[Source Row]]="","",IF(INDEX(Rider_Input[Notes],Salary_Calculation[[#This Row],[Source Row]])="","",INDEX(Rider_Input[Notes],Salary_Calculation[[#This Row],[Source Row]])))</f>
        <v/>
      </c>
      <c r="AA55" s="164" t="str">
        <f aca="false">IF(Salary_Calculation[[#This Row],[Source Row]]="","",Salary_Calculation[[#This Row],[Earned Salary]]-Salary_Calculation[[#This Row],[Missing-Order Deduction]]+Salary_Calculation[[#This Row],[Extra-Order Bonus]])</f>
        <v/>
      </c>
      <c r="AB55" s="164" t="str">
        <f aca="false">IF(Salary_Calculation[[#This Row],[Source Row]]="","",ROUND(Salary_Calculation[[#This Row],[Negative Balance / Amount Due from Rider]]+MAX(Salary_Calculation[[#This Row],[Total Deductions]]-Salary_Calculation[[#This Row],[Gross Salary Before Deductions]],0),2))</f>
        <v/>
      </c>
      <c r="AC5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55" s="164" t="str">
        <f aca="false">IF(Salary_Calculation[[#This Row],[Source Row]]="","",Salary_Calculation[[#This Row],[Rider Target Orders]]*Salary_Calculation[[#This Row],[Base Order Rate]])</f>
        <v/>
      </c>
      <c r="AE55" s="162" t="str">
        <f aca="false">IF(SUMPRODUCT(--(LEN(INDEX(Rider_Input[#Data],ROW()-ROW(Salary_Calculation[#Headers]),0))&gt;0))=0,"",ROW()-ROW(Salary_Calculation[#Headers]))</f>
        <v/>
      </c>
    </row>
    <row r="56" customFormat="false" ht="14.25" hidden="false" customHeight="false" outlineLevel="0" collapsed="false">
      <c r="A56" s="161" t="str">
        <f aca="false">IF(Salary_Calculation[[#This Row],[Source Row]]="","",IF(INDEX(Rider_Input[Salary Month],Salary_Calculation[[#This Row],[Source Row]])="","",INDEX(Rider_Input[Salary Month],Salary_Calculation[[#This Row],[Source Row]])))</f>
        <v/>
      </c>
      <c r="B56" s="162" t="str">
        <f aca="false">IF(Salary_Calculation[[#This Row],[Source Row]]="","",IF(INDEX(Rider_Input[Rider ID],Salary_Calculation[[#This Row],[Source Row]])="","",INDEX(Rider_Input[Rider ID],Salary_Calculation[[#This Row],[Source Row]])))</f>
        <v/>
      </c>
      <c r="C56" s="163" t="str">
        <f aca="false">IF(Salary_Calculation[[#This Row],[Source Row]]="","",IF(INDEX(Rider_Input[Rider Name],Salary_Calculation[[#This Row],[Source Row]])="","",INDEX(Rider_Input[Rider Name],Salary_Calculation[[#This Row],[Source Row]])))</f>
        <v/>
      </c>
      <c r="D56" s="164" t="str">
        <f aca="false">IF(Salary_Calculation[[#This Row],[Source Row]]="","",IF(INDEX(Rider_Input[Basic Payment],Salary_Calculation[[#This Row],[Source Row]])="","",INDEX(Rider_Input[Basic Payment],Salary_Calculation[[#This Row],[Source Row]])))</f>
        <v/>
      </c>
      <c r="E56" s="162" t="str">
        <f aca="false">IF(Salary_Calculation[[#This Row],[Source Row]]="","",IF(INDEX(Rider_Input[Calendar Days in Month],Salary_Calculation[[#This Row],[Source Row]])="","",INDEX(Rider_Input[Calendar Days in Month],Salary_Calculation[[#This Row],[Source Row]])))</f>
        <v/>
      </c>
      <c r="F56" s="162" t="str">
        <f aca="false">IF(Salary_Calculation[[#This Row],[Source Row]]="","",IF(INDEX(Rider_Input[Working Days],Salary_Calculation[[#This Row],[Source Row]])="","",INDEX(Rider_Input[Working Days],Salary_Calculation[[#This Row],[Source Row]])))</f>
        <v/>
      </c>
      <c r="G56" s="165" t="str">
        <f aca="false">IF(Salary_Calculation[[#This Row],[Source Row]]="","",Std_Orders/Std_Days*N(Salary_Calculation[[#This Row],[Calendar Days]]))</f>
        <v/>
      </c>
      <c r="H56" s="165" t="str">
        <f aca="false">IF(Salary_Calculation[[#This Row],[Source Row]]="","",IF(N(Salary_Calculation[[#This Row],[Calendar Days]])&gt;0,Salary_Calculation[[#This Row],[Monthly Target Orders]]/N(Salary_Calculation[[#This Row],[Calendar Days]])*N(Salary_Calculation[[#This Row],[Working Days]]),0))</f>
        <v/>
      </c>
      <c r="I56" s="166" t="str">
        <f aca="false">IF(Salary_Calculation[[#This Row],[Source Row]]="","",IF(INDEX(Rider_Input[Completed Orders],Salary_Calculation[[#This Row],[Source Row]])="","",INDEX(Rider_Input[Completed Orders],Salary_Calculation[[#This Row],[Source Row]])))</f>
        <v/>
      </c>
      <c r="J56" s="165" t="str">
        <f aca="false">IF(Salary_Calculation[[#This Row],[Source Row]]="","",IF(Rate_Method="Fixed rate",Fixed_Rate,IF(N(Salary_Calculation[[#This Row],[Basic Payment]])&gt;0,N(Salary_Calculation[[#This Row],[Basic Payment]])/Std_Orders,0)))</f>
        <v/>
      </c>
      <c r="K56" s="165" t="str">
        <f aca="false">IF(Salary_Calculation[[#This Row],[Source Row]]="","",MAX(MIN(N(Salary_Calculation[[#This Row],[Completed Orders]]),Salary_Calculation[[#This Row],[Rider Target Orders]]),0))</f>
        <v/>
      </c>
      <c r="L56" s="164" t="str">
        <f aca="false">IF(Salary_Calculation[[#This Row],[Source Row]]="","",Salary_Calculation[[#This Row],[Orders Counted at Base Rate]]*Salary_Calculation[[#This Row],[Base Order Rate]])</f>
        <v/>
      </c>
      <c r="M56" s="165" t="str">
        <f aca="false">IF(Salary_Calculation[[#This Row],[Source Row]]="","",MAX(Salary_Calculation[[#This Row],[Rider Target Orders]]-N(Salary_Calculation[[#This Row],[Completed Orders]]),0))</f>
        <v/>
      </c>
      <c r="N56" s="164" t="str">
        <f aca="false">IF(Salary_Calculation[[#This Row],[Source Row]]="","",Salary_Calculation[[#This Row],[Missing Orders]]*Missing_Rate)</f>
        <v/>
      </c>
      <c r="O56" s="165" t="str">
        <f aca="false">IF(Salary_Calculation[[#This Row],[Source Row]]="","",MAX(N(Salary_Calculation[[#This Row],[Completed Orders]])-Salary_Calculation[[#This Row],[Rider Target Orders]],0))</f>
        <v/>
      </c>
      <c r="P56" s="164" t="str">
        <f aca="false">IF(Salary_Calculation[[#This Row],[Source Row]]="","",Salary_Calculation[[#This Row],[Extra Orders]]*Extra_Rate)</f>
        <v/>
      </c>
      <c r="Q56" s="164" t="str">
        <f aca="false">IF(Salary_Calculation[[#This Row],[Source Row]]="","",MAX(Salary_Calculation[[#This Row],[Salary Before Other Deductions]],0))</f>
        <v/>
      </c>
      <c r="R56" s="164" t="str">
        <f aca="false">IF(Salary_Calculation[[#This Row],[Source Row]]="","",N(INDEX(Rider_Input[missed_days_penalty],Salary_Calculation[[#This Row],[Source Row]])))</f>
        <v/>
      </c>
      <c r="S56" s="164" t="str">
        <f aca="false">IF(Salary_Calculation[[#This Row],[Source Row]]="","",N(INDEX(Rider_Input[Rider Balance / محفظة المندوب],Salary_Calculation[[#This Row],[Source Row]])))</f>
        <v/>
      </c>
      <c r="T56" s="164" t="str">
        <f aca="false">IF(Salary_Calculation[[#This Row],[Source Row]]="","",N(INDEX(Rider_Input[stacking_deduction / خصم الطلبات المتعددة],Salary_Calculation[[#This Row],[Source Row]])))</f>
        <v/>
      </c>
      <c r="U56" s="164" t="str">
        <f aca="false">IF(Salary_Calculation[[#This Row],[Source Row]]="","",N(INDEX(Rider_Input[Other Deductions],Salary_Calculation[[#This Row],[Source Row]])))</f>
        <v/>
      </c>
      <c r="V56" s="164" t="str">
        <f aca="false">IF(Salary_Calculation[[#This Row],[Source Row]]="","",N(Salary_Calculation[[#This Row],[missed_days_penalty]])+N(Salary_Calculation[[#This Row],[Rider Balance]])+N(Salary_Calculation[[#This Row],[stacking_deduction]])+N(Salary_Calculation[[#This Row],[Other Deductions]]))</f>
        <v/>
      </c>
      <c r="W56" s="167" t="str">
        <f aca="false">IF(Salary_Calculation[[#This Row],[Source Row]]="","",ROUND(MAX(Salary_Calculation[[#This Row],[Gross Salary Before Deductions]]-Salary_Calculation[[#This Row],[Total Deductions]],0),2))</f>
        <v/>
      </c>
      <c r="X56" s="164" t="str">
        <f aca="false">IF(Salary_Calculation[[#This Row],[Source Row]]="","",ROUND(MAX(Salary_Calculation[[#This Row],[Missing-Order Deduction]]-Salary_Calculation[[#This Row],[Earned Salary]],0),2))</f>
        <v/>
      </c>
      <c r="Y5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56" s="163" t="str">
        <f aca="false">IF(Salary_Calculation[[#This Row],[Source Row]]="","",IF(INDEX(Rider_Input[Notes],Salary_Calculation[[#This Row],[Source Row]])="","",INDEX(Rider_Input[Notes],Salary_Calculation[[#This Row],[Source Row]])))</f>
        <v/>
      </c>
      <c r="AA56" s="164" t="str">
        <f aca="false">IF(Salary_Calculation[[#This Row],[Source Row]]="","",Salary_Calculation[[#This Row],[Earned Salary]]-Salary_Calculation[[#This Row],[Missing-Order Deduction]]+Salary_Calculation[[#This Row],[Extra-Order Bonus]])</f>
        <v/>
      </c>
      <c r="AB56" s="164" t="str">
        <f aca="false">IF(Salary_Calculation[[#This Row],[Source Row]]="","",ROUND(Salary_Calculation[[#This Row],[Negative Balance / Amount Due from Rider]]+MAX(Salary_Calculation[[#This Row],[Total Deductions]]-Salary_Calculation[[#This Row],[Gross Salary Before Deductions]],0),2))</f>
        <v/>
      </c>
      <c r="AC5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56" s="164" t="str">
        <f aca="false">IF(Salary_Calculation[[#This Row],[Source Row]]="","",Salary_Calculation[[#This Row],[Rider Target Orders]]*Salary_Calculation[[#This Row],[Base Order Rate]])</f>
        <v/>
      </c>
      <c r="AE56" s="162" t="str">
        <f aca="false">IF(SUMPRODUCT(--(LEN(INDEX(Rider_Input[#Data],ROW()-ROW(Salary_Calculation[#Headers]),0))&gt;0))=0,"",ROW()-ROW(Salary_Calculation[#Headers]))</f>
        <v/>
      </c>
    </row>
    <row r="57" customFormat="false" ht="14.25" hidden="false" customHeight="false" outlineLevel="0" collapsed="false">
      <c r="A57" s="161" t="str">
        <f aca="false">IF(Salary_Calculation[[#This Row],[Source Row]]="","",IF(INDEX(Rider_Input[Salary Month],Salary_Calculation[[#This Row],[Source Row]])="","",INDEX(Rider_Input[Salary Month],Salary_Calculation[[#This Row],[Source Row]])))</f>
        <v/>
      </c>
      <c r="B57" s="162" t="str">
        <f aca="false">IF(Salary_Calculation[[#This Row],[Source Row]]="","",IF(INDEX(Rider_Input[Rider ID],Salary_Calculation[[#This Row],[Source Row]])="","",INDEX(Rider_Input[Rider ID],Salary_Calculation[[#This Row],[Source Row]])))</f>
        <v/>
      </c>
      <c r="C57" s="163" t="str">
        <f aca="false">IF(Salary_Calculation[[#This Row],[Source Row]]="","",IF(INDEX(Rider_Input[Rider Name],Salary_Calculation[[#This Row],[Source Row]])="","",INDEX(Rider_Input[Rider Name],Salary_Calculation[[#This Row],[Source Row]])))</f>
        <v/>
      </c>
      <c r="D57" s="164" t="str">
        <f aca="false">IF(Salary_Calculation[[#This Row],[Source Row]]="","",IF(INDEX(Rider_Input[Basic Payment],Salary_Calculation[[#This Row],[Source Row]])="","",INDEX(Rider_Input[Basic Payment],Salary_Calculation[[#This Row],[Source Row]])))</f>
        <v/>
      </c>
      <c r="E57" s="162" t="str">
        <f aca="false">IF(Salary_Calculation[[#This Row],[Source Row]]="","",IF(INDEX(Rider_Input[Calendar Days in Month],Salary_Calculation[[#This Row],[Source Row]])="","",INDEX(Rider_Input[Calendar Days in Month],Salary_Calculation[[#This Row],[Source Row]])))</f>
        <v/>
      </c>
      <c r="F57" s="162" t="str">
        <f aca="false">IF(Salary_Calculation[[#This Row],[Source Row]]="","",IF(INDEX(Rider_Input[Working Days],Salary_Calculation[[#This Row],[Source Row]])="","",INDEX(Rider_Input[Working Days],Salary_Calculation[[#This Row],[Source Row]])))</f>
        <v/>
      </c>
      <c r="G57" s="165" t="str">
        <f aca="false">IF(Salary_Calculation[[#This Row],[Source Row]]="","",Std_Orders/Std_Days*N(Salary_Calculation[[#This Row],[Calendar Days]]))</f>
        <v/>
      </c>
      <c r="H57" s="165" t="str">
        <f aca="false">IF(Salary_Calculation[[#This Row],[Source Row]]="","",IF(N(Salary_Calculation[[#This Row],[Calendar Days]])&gt;0,Salary_Calculation[[#This Row],[Monthly Target Orders]]/N(Salary_Calculation[[#This Row],[Calendar Days]])*N(Salary_Calculation[[#This Row],[Working Days]]),0))</f>
        <v/>
      </c>
      <c r="I57" s="166" t="str">
        <f aca="false">IF(Salary_Calculation[[#This Row],[Source Row]]="","",IF(INDEX(Rider_Input[Completed Orders],Salary_Calculation[[#This Row],[Source Row]])="","",INDEX(Rider_Input[Completed Orders],Salary_Calculation[[#This Row],[Source Row]])))</f>
        <v/>
      </c>
      <c r="J57" s="165" t="str">
        <f aca="false">IF(Salary_Calculation[[#This Row],[Source Row]]="","",IF(Rate_Method="Fixed rate",Fixed_Rate,IF(N(Salary_Calculation[[#This Row],[Basic Payment]])&gt;0,N(Salary_Calculation[[#This Row],[Basic Payment]])/Std_Orders,0)))</f>
        <v/>
      </c>
      <c r="K57" s="165" t="str">
        <f aca="false">IF(Salary_Calculation[[#This Row],[Source Row]]="","",MAX(MIN(N(Salary_Calculation[[#This Row],[Completed Orders]]),Salary_Calculation[[#This Row],[Rider Target Orders]]),0))</f>
        <v/>
      </c>
      <c r="L57" s="164" t="str">
        <f aca="false">IF(Salary_Calculation[[#This Row],[Source Row]]="","",Salary_Calculation[[#This Row],[Orders Counted at Base Rate]]*Salary_Calculation[[#This Row],[Base Order Rate]])</f>
        <v/>
      </c>
      <c r="M57" s="165" t="str">
        <f aca="false">IF(Salary_Calculation[[#This Row],[Source Row]]="","",MAX(Salary_Calculation[[#This Row],[Rider Target Orders]]-N(Salary_Calculation[[#This Row],[Completed Orders]]),0))</f>
        <v/>
      </c>
      <c r="N57" s="164" t="str">
        <f aca="false">IF(Salary_Calculation[[#This Row],[Source Row]]="","",Salary_Calculation[[#This Row],[Missing Orders]]*Missing_Rate)</f>
        <v/>
      </c>
      <c r="O57" s="165" t="str">
        <f aca="false">IF(Salary_Calculation[[#This Row],[Source Row]]="","",MAX(N(Salary_Calculation[[#This Row],[Completed Orders]])-Salary_Calculation[[#This Row],[Rider Target Orders]],0))</f>
        <v/>
      </c>
      <c r="P57" s="164" t="str">
        <f aca="false">IF(Salary_Calculation[[#This Row],[Source Row]]="","",Salary_Calculation[[#This Row],[Extra Orders]]*Extra_Rate)</f>
        <v/>
      </c>
      <c r="Q57" s="164" t="str">
        <f aca="false">IF(Salary_Calculation[[#This Row],[Source Row]]="","",MAX(Salary_Calculation[[#This Row],[Salary Before Other Deductions]],0))</f>
        <v/>
      </c>
      <c r="R57" s="164" t="str">
        <f aca="false">IF(Salary_Calculation[[#This Row],[Source Row]]="","",N(INDEX(Rider_Input[missed_days_penalty],Salary_Calculation[[#This Row],[Source Row]])))</f>
        <v/>
      </c>
      <c r="S57" s="164" t="str">
        <f aca="false">IF(Salary_Calculation[[#This Row],[Source Row]]="","",N(INDEX(Rider_Input[Rider Balance / محفظة المندوب],Salary_Calculation[[#This Row],[Source Row]])))</f>
        <v/>
      </c>
      <c r="T57" s="164" t="str">
        <f aca="false">IF(Salary_Calculation[[#This Row],[Source Row]]="","",N(INDEX(Rider_Input[stacking_deduction / خصم الطلبات المتعددة],Salary_Calculation[[#This Row],[Source Row]])))</f>
        <v/>
      </c>
      <c r="U57" s="164" t="str">
        <f aca="false">IF(Salary_Calculation[[#This Row],[Source Row]]="","",N(INDEX(Rider_Input[Other Deductions],Salary_Calculation[[#This Row],[Source Row]])))</f>
        <v/>
      </c>
      <c r="V57" s="164" t="str">
        <f aca="false">IF(Salary_Calculation[[#This Row],[Source Row]]="","",N(Salary_Calculation[[#This Row],[missed_days_penalty]])+N(Salary_Calculation[[#This Row],[Rider Balance]])+N(Salary_Calculation[[#This Row],[stacking_deduction]])+N(Salary_Calculation[[#This Row],[Other Deductions]]))</f>
        <v/>
      </c>
      <c r="W57" s="167" t="str">
        <f aca="false">IF(Salary_Calculation[[#This Row],[Source Row]]="","",ROUND(MAX(Salary_Calculation[[#This Row],[Gross Salary Before Deductions]]-Salary_Calculation[[#This Row],[Total Deductions]],0),2))</f>
        <v/>
      </c>
      <c r="X57" s="164" t="str">
        <f aca="false">IF(Salary_Calculation[[#This Row],[Source Row]]="","",ROUND(MAX(Salary_Calculation[[#This Row],[Missing-Order Deduction]]-Salary_Calculation[[#This Row],[Earned Salary]],0),2))</f>
        <v/>
      </c>
      <c r="Y5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57" s="163" t="str">
        <f aca="false">IF(Salary_Calculation[[#This Row],[Source Row]]="","",IF(INDEX(Rider_Input[Notes],Salary_Calculation[[#This Row],[Source Row]])="","",INDEX(Rider_Input[Notes],Salary_Calculation[[#This Row],[Source Row]])))</f>
        <v/>
      </c>
      <c r="AA57" s="164" t="str">
        <f aca="false">IF(Salary_Calculation[[#This Row],[Source Row]]="","",Salary_Calculation[[#This Row],[Earned Salary]]-Salary_Calculation[[#This Row],[Missing-Order Deduction]]+Salary_Calculation[[#This Row],[Extra-Order Bonus]])</f>
        <v/>
      </c>
      <c r="AB57" s="164" t="str">
        <f aca="false">IF(Salary_Calculation[[#This Row],[Source Row]]="","",ROUND(Salary_Calculation[[#This Row],[Negative Balance / Amount Due from Rider]]+MAX(Salary_Calculation[[#This Row],[Total Deductions]]-Salary_Calculation[[#This Row],[Gross Salary Before Deductions]],0),2))</f>
        <v/>
      </c>
      <c r="AC5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57" s="164" t="str">
        <f aca="false">IF(Salary_Calculation[[#This Row],[Source Row]]="","",Salary_Calculation[[#This Row],[Rider Target Orders]]*Salary_Calculation[[#This Row],[Base Order Rate]])</f>
        <v/>
      </c>
      <c r="AE57" s="162" t="str">
        <f aca="false">IF(SUMPRODUCT(--(LEN(INDEX(Rider_Input[#Data],ROW()-ROW(Salary_Calculation[#Headers]),0))&gt;0))=0,"",ROW()-ROW(Salary_Calculation[#Headers]))</f>
        <v/>
      </c>
    </row>
    <row r="58" customFormat="false" ht="14.25" hidden="false" customHeight="false" outlineLevel="0" collapsed="false">
      <c r="A58" s="161" t="str">
        <f aca="false">IF(Salary_Calculation[[#This Row],[Source Row]]="","",IF(INDEX(Rider_Input[Salary Month],Salary_Calculation[[#This Row],[Source Row]])="","",INDEX(Rider_Input[Salary Month],Salary_Calculation[[#This Row],[Source Row]])))</f>
        <v/>
      </c>
      <c r="B58" s="162" t="str">
        <f aca="false">IF(Salary_Calculation[[#This Row],[Source Row]]="","",IF(INDEX(Rider_Input[Rider ID],Salary_Calculation[[#This Row],[Source Row]])="","",INDEX(Rider_Input[Rider ID],Salary_Calculation[[#This Row],[Source Row]])))</f>
        <v/>
      </c>
      <c r="C58" s="163" t="str">
        <f aca="false">IF(Salary_Calculation[[#This Row],[Source Row]]="","",IF(INDEX(Rider_Input[Rider Name],Salary_Calculation[[#This Row],[Source Row]])="","",INDEX(Rider_Input[Rider Name],Salary_Calculation[[#This Row],[Source Row]])))</f>
        <v/>
      </c>
      <c r="D58" s="164" t="str">
        <f aca="false">IF(Salary_Calculation[[#This Row],[Source Row]]="","",IF(INDEX(Rider_Input[Basic Payment],Salary_Calculation[[#This Row],[Source Row]])="","",INDEX(Rider_Input[Basic Payment],Salary_Calculation[[#This Row],[Source Row]])))</f>
        <v/>
      </c>
      <c r="E58" s="162" t="str">
        <f aca="false">IF(Salary_Calculation[[#This Row],[Source Row]]="","",IF(INDEX(Rider_Input[Calendar Days in Month],Salary_Calculation[[#This Row],[Source Row]])="","",INDEX(Rider_Input[Calendar Days in Month],Salary_Calculation[[#This Row],[Source Row]])))</f>
        <v/>
      </c>
      <c r="F58" s="162" t="str">
        <f aca="false">IF(Salary_Calculation[[#This Row],[Source Row]]="","",IF(INDEX(Rider_Input[Working Days],Salary_Calculation[[#This Row],[Source Row]])="","",INDEX(Rider_Input[Working Days],Salary_Calculation[[#This Row],[Source Row]])))</f>
        <v/>
      </c>
      <c r="G58" s="165" t="str">
        <f aca="false">IF(Salary_Calculation[[#This Row],[Source Row]]="","",Std_Orders/Std_Days*N(Salary_Calculation[[#This Row],[Calendar Days]]))</f>
        <v/>
      </c>
      <c r="H58" s="165" t="str">
        <f aca="false">IF(Salary_Calculation[[#This Row],[Source Row]]="","",IF(N(Salary_Calculation[[#This Row],[Calendar Days]])&gt;0,Salary_Calculation[[#This Row],[Monthly Target Orders]]/N(Salary_Calculation[[#This Row],[Calendar Days]])*N(Salary_Calculation[[#This Row],[Working Days]]),0))</f>
        <v/>
      </c>
      <c r="I58" s="166" t="str">
        <f aca="false">IF(Salary_Calculation[[#This Row],[Source Row]]="","",IF(INDEX(Rider_Input[Completed Orders],Salary_Calculation[[#This Row],[Source Row]])="","",INDEX(Rider_Input[Completed Orders],Salary_Calculation[[#This Row],[Source Row]])))</f>
        <v/>
      </c>
      <c r="J58" s="165" t="str">
        <f aca="false">IF(Salary_Calculation[[#This Row],[Source Row]]="","",IF(Rate_Method="Fixed rate",Fixed_Rate,IF(N(Salary_Calculation[[#This Row],[Basic Payment]])&gt;0,N(Salary_Calculation[[#This Row],[Basic Payment]])/Std_Orders,0)))</f>
        <v/>
      </c>
      <c r="K58" s="165" t="str">
        <f aca="false">IF(Salary_Calculation[[#This Row],[Source Row]]="","",MAX(MIN(N(Salary_Calculation[[#This Row],[Completed Orders]]),Salary_Calculation[[#This Row],[Rider Target Orders]]),0))</f>
        <v/>
      </c>
      <c r="L58" s="164" t="str">
        <f aca="false">IF(Salary_Calculation[[#This Row],[Source Row]]="","",Salary_Calculation[[#This Row],[Orders Counted at Base Rate]]*Salary_Calculation[[#This Row],[Base Order Rate]])</f>
        <v/>
      </c>
      <c r="M58" s="165" t="str">
        <f aca="false">IF(Salary_Calculation[[#This Row],[Source Row]]="","",MAX(Salary_Calculation[[#This Row],[Rider Target Orders]]-N(Salary_Calculation[[#This Row],[Completed Orders]]),0))</f>
        <v/>
      </c>
      <c r="N58" s="164" t="str">
        <f aca="false">IF(Salary_Calculation[[#This Row],[Source Row]]="","",Salary_Calculation[[#This Row],[Missing Orders]]*Missing_Rate)</f>
        <v/>
      </c>
      <c r="O58" s="165" t="str">
        <f aca="false">IF(Salary_Calculation[[#This Row],[Source Row]]="","",MAX(N(Salary_Calculation[[#This Row],[Completed Orders]])-Salary_Calculation[[#This Row],[Rider Target Orders]],0))</f>
        <v/>
      </c>
      <c r="P58" s="164" t="str">
        <f aca="false">IF(Salary_Calculation[[#This Row],[Source Row]]="","",Salary_Calculation[[#This Row],[Extra Orders]]*Extra_Rate)</f>
        <v/>
      </c>
      <c r="Q58" s="164" t="str">
        <f aca="false">IF(Salary_Calculation[[#This Row],[Source Row]]="","",MAX(Salary_Calculation[[#This Row],[Salary Before Other Deductions]],0))</f>
        <v/>
      </c>
      <c r="R58" s="164" t="str">
        <f aca="false">IF(Salary_Calculation[[#This Row],[Source Row]]="","",N(INDEX(Rider_Input[missed_days_penalty],Salary_Calculation[[#This Row],[Source Row]])))</f>
        <v/>
      </c>
      <c r="S58" s="164" t="str">
        <f aca="false">IF(Salary_Calculation[[#This Row],[Source Row]]="","",N(INDEX(Rider_Input[Rider Balance / محفظة المندوب],Salary_Calculation[[#This Row],[Source Row]])))</f>
        <v/>
      </c>
      <c r="T58" s="164" t="str">
        <f aca="false">IF(Salary_Calculation[[#This Row],[Source Row]]="","",N(INDEX(Rider_Input[stacking_deduction / خصم الطلبات المتعددة],Salary_Calculation[[#This Row],[Source Row]])))</f>
        <v/>
      </c>
      <c r="U58" s="164" t="str">
        <f aca="false">IF(Salary_Calculation[[#This Row],[Source Row]]="","",N(INDEX(Rider_Input[Other Deductions],Salary_Calculation[[#This Row],[Source Row]])))</f>
        <v/>
      </c>
      <c r="V58" s="164" t="str">
        <f aca="false">IF(Salary_Calculation[[#This Row],[Source Row]]="","",N(Salary_Calculation[[#This Row],[missed_days_penalty]])+N(Salary_Calculation[[#This Row],[Rider Balance]])+N(Salary_Calculation[[#This Row],[stacking_deduction]])+N(Salary_Calculation[[#This Row],[Other Deductions]]))</f>
        <v/>
      </c>
      <c r="W58" s="167" t="str">
        <f aca="false">IF(Salary_Calculation[[#This Row],[Source Row]]="","",ROUND(MAX(Salary_Calculation[[#This Row],[Gross Salary Before Deductions]]-Salary_Calculation[[#This Row],[Total Deductions]],0),2))</f>
        <v/>
      </c>
      <c r="X58" s="164" t="str">
        <f aca="false">IF(Salary_Calculation[[#This Row],[Source Row]]="","",ROUND(MAX(Salary_Calculation[[#This Row],[Missing-Order Deduction]]-Salary_Calculation[[#This Row],[Earned Salary]],0),2))</f>
        <v/>
      </c>
      <c r="Y5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58" s="163" t="str">
        <f aca="false">IF(Salary_Calculation[[#This Row],[Source Row]]="","",IF(INDEX(Rider_Input[Notes],Salary_Calculation[[#This Row],[Source Row]])="","",INDEX(Rider_Input[Notes],Salary_Calculation[[#This Row],[Source Row]])))</f>
        <v/>
      </c>
      <c r="AA58" s="164" t="str">
        <f aca="false">IF(Salary_Calculation[[#This Row],[Source Row]]="","",Salary_Calculation[[#This Row],[Earned Salary]]-Salary_Calculation[[#This Row],[Missing-Order Deduction]]+Salary_Calculation[[#This Row],[Extra-Order Bonus]])</f>
        <v/>
      </c>
      <c r="AB58" s="164" t="str">
        <f aca="false">IF(Salary_Calculation[[#This Row],[Source Row]]="","",ROUND(Salary_Calculation[[#This Row],[Negative Balance / Amount Due from Rider]]+MAX(Salary_Calculation[[#This Row],[Total Deductions]]-Salary_Calculation[[#This Row],[Gross Salary Before Deductions]],0),2))</f>
        <v/>
      </c>
      <c r="AC5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58" s="164" t="str">
        <f aca="false">IF(Salary_Calculation[[#This Row],[Source Row]]="","",Salary_Calculation[[#This Row],[Rider Target Orders]]*Salary_Calculation[[#This Row],[Base Order Rate]])</f>
        <v/>
      </c>
      <c r="AE58" s="162" t="str">
        <f aca="false">IF(SUMPRODUCT(--(LEN(INDEX(Rider_Input[#Data],ROW()-ROW(Salary_Calculation[#Headers]),0))&gt;0))=0,"",ROW()-ROW(Salary_Calculation[#Headers]))</f>
        <v/>
      </c>
    </row>
    <row r="59" customFormat="false" ht="14.25" hidden="false" customHeight="false" outlineLevel="0" collapsed="false">
      <c r="A59" s="161" t="str">
        <f aca="false">IF(Salary_Calculation[[#This Row],[Source Row]]="","",IF(INDEX(Rider_Input[Salary Month],Salary_Calculation[[#This Row],[Source Row]])="","",INDEX(Rider_Input[Salary Month],Salary_Calculation[[#This Row],[Source Row]])))</f>
        <v/>
      </c>
      <c r="B59" s="162" t="str">
        <f aca="false">IF(Salary_Calculation[[#This Row],[Source Row]]="","",IF(INDEX(Rider_Input[Rider ID],Salary_Calculation[[#This Row],[Source Row]])="","",INDEX(Rider_Input[Rider ID],Salary_Calculation[[#This Row],[Source Row]])))</f>
        <v/>
      </c>
      <c r="C59" s="163" t="str">
        <f aca="false">IF(Salary_Calculation[[#This Row],[Source Row]]="","",IF(INDEX(Rider_Input[Rider Name],Salary_Calculation[[#This Row],[Source Row]])="","",INDEX(Rider_Input[Rider Name],Salary_Calculation[[#This Row],[Source Row]])))</f>
        <v/>
      </c>
      <c r="D59" s="164" t="str">
        <f aca="false">IF(Salary_Calculation[[#This Row],[Source Row]]="","",IF(INDEX(Rider_Input[Basic Payment],Salary_Calculation[[#This Row],[Source Row]])="","",INDEX(Rider_Input[Basic Payment],Salary_Calculation[[#This Row],[Source Row]])))</f>
        <v/>
      </c>
      <c r="E59" s="162" t="str">
        <f aca="false">IF(Salary_Calculation[[#This Row],[Source Row]]="","",IF(INDEX(Rider_Input[Calendar Days in Month],Salary_Calculation[[#This Row],[Source Row]])="","",INDEX(Rider_Input[Calendar Days in Month],Salary_Calculation[[#This Row],[Source Row]])))</f>
        <v/>
      </c>
      <c r="F59" s="162" t="str">
        <f aca="false">IF(Salary_Calculation[[#This Row],[Source Row]]="","",IF(INDEX(Rider_Input[Working Days],Salary_Calculation[[#This Row],[Source Row]])="","",INDEX(Rider_Input[Working Days],Salary_Calculation[[#This Row],[Source Row]])))</f>
        <v/>
      </c>
      <c r="G59" s="165" t="str">
        <f aca="false">IF(Salary_Calculation[[#This Row],[Source Row]]="","",Std_Orders/Std_Days*N(Salary_Calculation[[#This Row],[Calendar Days]]))</f>
        <v/>
      </c>
      <c r="H59" s="165" t="str">
        <f aca="false">IF(Salary_Calculation[[#This Row],[Source Row]]="","",IF(N(Salary_Calculation[[#This Row],[Calendar Days]])&gt;0,Salary_Calculation[[#This Row],[Monthly Target Orders]]/N(Salary_Calculation[[#This Row],[Calendar Days]])*N(Salary_Calculation[[#This Row],[Working Days]]),0))</f>
        <v/>
      </c>
      <c r="I59" s="166" t="str">
        <f aca="false">IF(Salary_Calculation[[#This Row],[Source Row]]="","",IF(INDEX(Rider_Input[Completed Orders],Salary_Calculation[[#This Row],[Source Row]])="","",INDEX(Rider_Input[Completed Orders],Salary_Calculation[[#This Row],[Source Row]])))</f>
        <v/>
      </c>
      <c r="J59" s="165" t="str">
        <f aca="false">IF(Salary_Calculation[[#This Row],[Source Row]]="","",IF(Rate_Method="Fixed rate",Fixed_Rate,IF(N(Salary_Calculation[[#This Row],[Basic Payment]])&gt;0,N(Salary_Calculation[[#This Row],[Basic Payment]])/Std_Orders,0)))</f>
        <v/>
      </c>
      <c r="K59" s="165" t="str">
        <f aca="false">IF(Salary_Calculation[[#This Row],[Source Row]]="","",MAX(MIN(N(Salary_Calculation[[#This Row],[Completed Orders]]),Salary_Calculation[[#This Row],[Rider Target Orders]]),0))</f>
        <v/>
      </c>
      <c r="L59" s="164" t="str">
        <f aca="false">IF(Salary_Calculation[[#This Row],[Source Row]]="","",Salary_Calculation[[#This Row],[Orders Counted at Base Rate]]*Salary_Calculation[[#This Row],[Base Order Rate]])</f>
        <v/>
      </c>
      <c r="M59" s="165" t="str">
        <f aca="false">IF(Salary_Calculation[[#This Row],[Source Row]]="","",MAX(Salary_Calculation[[#This Row],[Rider Target Orders]]-N(Salary_Calculation[[#This Row],[Completed Orders]]),0))</f>
        <v/>
      </c>
      <c r="N59" s="164" t="str">
        <f aca="false">IF(Salary_Calculation[[#This Row],[Source Row]]="","",Salary_Calculation[[#This Row],[Missing Orders]]*Missing_Rate)</f>
        <v/>
      </c>
      <c r="O59" s="165" t="str">
        <f aca="false">IF(Salary_Calculation[[#This Row],[Source Row]]="","",MAX(N(Salary_Calculation[[#This Row],[Completed Orders]])-Salary_Calculation[[#This Row],[Rider Target Orders]],0))</f>
        <v/>
      </c>
      <c r="P59" s="164" t="str">
        <f aca="false">IF(Salary_Calculation[[#This Row],[Source Row]]="","",Salary_Calculation[[#This Row],[Extra Orders]]*Extra_Rate)</f>
        <v/>
      </c>
      <c r="Q59" s="164" t="str">
        <f aca="false">IF(Salary_Calculation[[#This Row],[Source Row]]="","",MAX(Salary_Calculation[[#This Row],[Salary Before Other Deductions]],0))</f>
        <v/>
      </c>
      <c r="R59" s="164" t="str">
        <f aca="false">IF(Salary_Calculation[[#This Row],[Source Row]]="","",N(INDEX(Rider_Input[missed_days_penalty],Salary_Calculation[[#This Row],[Source Row]])))</f>
        <v/>
      </c>
      <c r="S59" s="164" t="str">
        <f aca="false">IF(Salary_Calculation[[#This Row],[Source Row]]="","",N(INDEX(Rider_Input[Rider Balance / محفظة المندوب],Salary_Calculation[[#This Row],[Source Row]])))</f>
        <v/>
      </c>
      <c r="T59" s="164" t="str">
        <f aca="false">IF(Salary_Calculation[[#This Row],[Source Row]]="","",N(INDEX(Rider_Input[stacking_deduction / خصم الطلبات المتعددة],Salary_Calculation[[#This Row],[Source Row]])))</f>
        <v/>
      </c>
      <c r="U59" s="164" t="str">
        <f aca="false">IF(Salary_Calculation[[#This Row],[Source Row]]="","",N(INDEX(Rider_Input[Other Deductions],Salary_Calculation[[#This Row],[Source Row]])))</f>
        <v/>
      </c>
      <c r="V59" s="164" t="str">
        <f aca="false">IF(Salary_Calculation[[#This Row],[Source Row]]="","",N(Salary_Calculation[[#This Row],[missed_days_penalty]])+N(Salary_Calculation[[#This Row],[Rider Balance]])+N(Salary_Calculation[[#This Row],[stacking_deduction]])+N(Salary_Calculation[[#This Row],[Other Deductions]]))</f>
        <v/>
      </c>
      <c r="W59" s="167" t="str">
        <f aca="false">IF(Salary_Calculation[[#This Row],[Source Row]]="","",ROUND(MAX(Salary_Calculation[[#This Row],[Gross Salary Before Deductions]]-Salary_Calculation[[#This Row],[Total Deductions]],0),2))</f>
        <v/>
      </c>
      <c r="X59" s="164" t="str">
        <f aca="false">IF(Salary_Calculation[[#This Row],[Source Row]]="","",ROUND(MAX(Salary_Calculation[[#This Row],[Missing-Order Deduction]]-Salary_Calculation[[#This Row],[Earned Salary]],0),2))</f>
        <v/>
      </c>
      <c r="Y5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59" s="163" t="str">
        <f aca="false">IF(Salary_Calculation[[#This Row],[Source Row]]="","",IF(INDEX(Rider_Input[Notes],Salary_Calculation[[#This Row],[Source Row]])="","",INDEX(Rider_Input[Notes],Salary_Calculation[[#This Row],[Source Row]])))</f>
        <v/>
      </c>
      <c r="AA59" s="164" t="str">
        <f aca="false">IF(Salary_Calculation[[#This Row],[Source Row]]="","",Salary_Calculation[[#This Row],[Earned Salary]]-Salary_Calculation[[#This Row],[Missing-Order Deduction]]+Salary_Calculation[[#This Row],[Extra-Order Bonus]])</f>
        <v/>
      </c>
      <c r="AB59" s="164" t="str">
        <f aca="false">IF(Salary_Calculation[[#This Row],[Source Row]]="","",ROUND(Salary_Calculation[[#This Row],[Negative Balance / Amount Due from Rider]]+MAX(Salary_Calculation[[#This Row],[Total Deductions]]-Salary_Calculation[[#This Row],[Gross Salary Before Deductions]],0),2))</f>
        <v/>
      </c>
      <c r="AC5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59" s="164" t="str">
        <f aca="false">IF(Salary_Calculation[[#This Row],[Source Row]]="","",Salary_Calculation[[#This Row],[Rider Target Orders]]*Salary_Calculation[[#This Row],[Base Order Rate]])</f>
        <v/>
      </c>
      <c r="AE59" s="162" t="str">
        <f aca="false">IF(SUMPRODUCT(--(LEN(INDEX(Rider_Input[#Data],ROW()-ROW(Salary_Calculation[#Headers]),0))&gt;0))=0,"",ROW()-ROW(Salary_Calculation[#Headers]))</f>
        <v/>
      </c>
    </row>
    <row r="60" customFormat="false" ht="14.25" hidden="false" customHeight="false" outlineLevel="0" collapsed="false">
      <c r="A60" s="161" t="str">
        <f aca="false">IF(Salary_Calculation[[#This Row],[Source Row]]="","",IF(INDEX(Rider_Input[Salary Month],Salary_Calculation[[#This Row],[Source Row]])="","",INDEX(Rider_Input[Salary Month],Salary_Calculation[[#This Row],[Source Row]])))</f>
        <v/>
      </c>
      <c r="B60" s="162" t="str">
        <f aca="false">IF(Salary_Calculation[[#This Row],[Source Row]]="","",IF(INDEX(Rider_Input[Rider ID],Salary_Calculation[[#This Row],[Source Row]])="","",INDEX(Rider_Input[Rider ID],Salary_Calculation[[#This Row],[Source Row]])))</f>
        <v/>
      </c>
      <c r="C60" s="163" t="str">
        <f aca="false">IF(Salary_Calculation[[#This Row],[Source Row]]="","",IF(INDEX(Rider_Input[Rider Name],Salary_Calculation[[#This Row],[Source Row]])="","",INDEX(Rider_Input[Rider Name],Salary_Calculation[[#This Row],[Source Row]])))</f>
        <v/>
      </c>
      <c r="D60" s="164" t="str">
        <f aca="false">IF(Salary_Calculation[[#This Row],[Source Row]]="","",IF(INDEX(Rider_Input[Basic Payment],Salary_Calculation[[#This Row],[Source Row]])="","",INDEX(Rider_Input[Basic Payment],Salary_Calculation[[#This Row],[Source Row]])))</f>
        <v/>
      </c>
      <c r="E60" s="162" t="str">
        <f aca="false">IF(Salary_Calculation[[#This Row],[Source Row]]="","",IF(INDEX(Rider_Input[Calendar Days in Month],Salary_Calculation[[#This Row],[Source Row]])="","",INDEX(Rider_Input[Calendar Days in Month],Salary_Calculation[[#This Row],[Source Row]])))</f>
        <v/>
      </c>
      <c r="F60" s="162" t="str">
        <f aca="false">IF(Salary_Calculation[[#This Row],[Source Row]]="","",IF(INDEX(Rider_Input[Working Days],Salary_Calculation[[#This Row],[Source Row]])="","",INDEX(Rider_Input[Working Days],Salary_Calculation[[#This Row],[Source Row]])))</f>
        <v/>
      </c>
      <c r="G60" s="165" t="str">
        <f aca="false">IF(Salary_Calculation[[#This Row],[Source Row]]="","",Std_Orders/Std_Days*N(Salary_Calculation[[#This Row],[Calendar Days]]))</f>
        <v/>
      </c>
      <c r="H60" s="165" t="str">
        <f aca="false">IF(Salary_Calculation[[#This Row],[Source Row]]="","",IF(N(Salary_Calculation[[#This Row],[Calendar Days]])&gt;0,Salary_Calculation[[#This Row],[Monthly Target Orders]]/N(Salary_Calculation[[#This Row],[Calendar Days]])*N(Salary_Calculation[[#This Row],[Working Days]]),0))</f>
        <v/>
      </c>
      <c r="I60" s="166" t="str">
        <f aca="false">IF(Salary_Calculation[[#This Row],[Source Row]]="","",IF(INDEX(Rider_Input[Completed Orders],Salary_Calculation[[#This Row],[Source Row]])="","",INDEX(Rider_Input[Completed Orders],Salary_Calculation[[#This Row],[Source Row]])))</f>
        <v/>
      </c>
      <c r="J60" s="165" t="str">
        <f aca="false">IF(Salary_Calculation[[#This Row],[Source Row]]="","",IF(Rate_Method="Fixed rate",Fixed_Rate,IF(N(Salary_Calculation[[#This Row],[Basic Payment]])&gt;0,N(Salary_Calculation[[#This Row],[Basic Payment]])/Std_Orders,0)))</f>
        <v/>
      </c>
      <c r="K60" s="165" t="str">
        <f aca="false">IF(Salary_Calculation[[#This Row],[Source Row]]="","",MAX(MIN(N(Salary_Calculation[[#This Row],[Completed Orders]]),Salary_Calculation[[#This Row],[Rider Target Orders]]),0))</f>
        <v/>
      </c>
      <c r="L60" s="164" t="str">
        <f aca="false">IF(Salary_Calculation[[#This Row],[Source Row]]="","",Salary_Calculation[[#This Row],[Orders Counted at Base Rate]]*Salary_Calculation[[#This Row],[Base Order Rate]])</f>
        <v/>
      </c>
      <c r="M60" s="165" t="str">
        <f aca="false">IF(Salary_Calculation[[#This Row],[Source Row]]="","",MAX(Salary_Calculation[[#This Row],[Rider Target Orders]]-N(Salary_Calculation[[#This Row],[Completed Orders]]),0))</f>
        <v/>
      </c>
      <c r="N60" s="164" t="str">
        <f aca="false">IF(Salary_Calculation[[#This Row],[Source Row]]="","",Salary_Calculation[[#This Row],[Missing Orders]]*Missing_Rate)</f>
        <v/>
      </c>
      <c r="O60" s="165" t="str">
        <f aca="false">IF(Salary_Calculation[[#This Row],[Source Row]]="","",MAX(N(Salary_Calculation[[#This Row],[Completed Orders]])-Salary_Calculation[[#This Row],[Rider Target Orders]],0))</f>
        <v/>
      </c>
      <c r="P60" s="164" t="str">
        <f aca="false">IF(Salary_Calculation[[#This Row],[Source Row]]="","",Salary_Calculation[[#This Row],[Extra Orders]]*Extra_Rate)</f>
        <v/>
      </c>
      <c r="Q60" s="164" t="str">
        <f aca="false">IF(Salary_Calculation[[#This Row],[Source Row]]="","",MAX(Salary_Calculation[[#This Row],[Salary Before Other Deductions]],0))</f>
        <v/>
      </c>
      <c r="R60" s="164" t="str">
        <f aca="false">IF(Salary_Calculation[[#This Row],[Source Row]]="","",N(INDEX(Rider_Input[missed_days_penalty],Salary_Calculation[[#This Row],[Source Row]])))</f>
        <v/>
      </c>
      <c r="S60" s="164" t="str">
        <f aca="false">IF(Salary_Calculation[[#This Row],[Source Row]]="","",N(INDEX(Rider_Input[Rider Balance / محفظة المندوب],Salary_Calculation[[#This Row],[Source Row]])))</f>
        <v/>
      </c>
      <c r="T60" s="164" t="str">
        <f aca="false">IF(Salary_Calculation[[#This Row],[Source Row]]="","",N(INDEX(Rider_Input[stacking_deduction / خصم الطلبات المتعددة],Salary_Calculation[[#This Row],[Source Row]])))</f>
        <v/>
      </c>
      <c r="U60" s="164" t="str">
        <f aca="false">IF(Salary_Calculation[[#This Row],[Source Row]]="","",N(INDEX(Rider_Input[Other Deductions],Salary_Calculation[[#This Row],[Source Row]])))</f>
        <v/>
      </c>
      <c r="V60" s="164" t="str">
        <f aca="false">IF(Salary_Calculation[[#This Row],[Source Row]]="","",N(Salary_Calculation[[#This Row],[missed_days_penalty]])+N(Salary_Calculation[[#This Row],[Rider Balance]])+N(Salary_Calculation[[#This Row],[stacking_deduction]])+N(Salary_Calculation[[#This Row],[Other Deductions]]))</f>
        <v/>
      </c>
      <c r="W60" s="167" t="str">
        <f aca="false">IF(Salary_Calculation[[#This Row],[Source Row]]="","",ROUND(MAX(Salary_Calculation[[#This Row],[Gross Salary Before Deductions]]-Salary_Calculation[[#This Row],[Total Deductions]],0),2))</f>
        <v/>
      </c>
      <c r="X60" s="164" t="str">
        <f aca="false">IF(Salary_Calculation[[#This Row],[Source Row]]="","",ROUND(MAX(Salary_Calculation[[#This Row],[Missing-Order Deduction]]-Salary_Calculation[[#This Row],[Earned Salary]],0),2))</f>
        <v/>
      </c>
      <c r="Y6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60" s="163" t="str">
        <f aca="false">IF(Salary_Calculation[[#This Row],[Source Row]]="","",IF(INDEX(Rider_Input[Notes],Salary_Calculation[[#This Row],[Source Row]])="","",INDEX(Rider_Input[Notes],Salary_Calculation[[#This Row],[Source Row]])))</f>
        <v/>
      </c>
      <c r="AA60" s="164" t="str">
        <f aca="false">IF(Salary_Calculation[[#This Row],[Source Row]]="","",Salary_Calculation[[#This Row],[Earned Salary]]-Salary_Calculation[[#This Row],[Missing-Order Deduction]]+Salary_Calculation[[#This Row],[Extra-Order Bonus]])</f>
        <v/>
      </c>
      <c r="AB60" s="164" t="str">
        <f aca="false">IF(Salary_Calculation[[#This Row],[Source Row]]="","",ROUND(Salary_Calculation[[#This Row],[Negative Balance / Amount Due from Rider]]+MAX(Salary_Calculation[[#This Row],[Total Deductions]]-Salary_Calculation[[#This Row],[Gross Salary Before Deductions]],0),2))</f>
        <v/>
      </c>
      <c r="AC6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60" s="164" t="str">
        <f aca="false">IF(Salary_Calculation[[#This Row],[Source Row]]="","",Salary_Calculation[[#This Row],[Rider Target Orders]]*Salary_Calculation[[#This Row],[Base Order Rate]])</f>
        <v/>
      </c>
      <c r="AE60" s="162" t="str">
        <f aca="false">IF(SUMPRODUCT(--(LEN(INDEX(Rider_Input[#Data],ROW()-ROW(Salary_Calculation[#Headers]),0))&gt;0))=0,"",ROW()-ROW(Salary_Calculation[#Headers]))</f>
        <v/>
      </c>
    </row>
    <row r="61" customFormat="false" ht="14.25" hidden="false" customHeight="false" outlineLevel="0" collapsed="false">
      <c r="A61" s="161" t="str">
        <f aca="false">IF(Salary_Calculation[[#This Row],[Source Row]]="","",IF(INDEX(Rider_Input[Salary Month],Salary_Calculation[[#This Row],[Source Row]])="","",INDEX(Rider_Input[Salary Month],Salary_Calculation[[#This Row],[Source Row]])))</f>
        <v/>
      </c>
      <c r="B61" s="162" t="str">
        <f aca="false">IF(Salary_Calculation[[#This Row],[Source Row]]="","",IF(INDEX(Rider_Input[Rider ID],Salary_Calculation[[#This Row],[Source Row]])="","",INDEX(Rider_Input[Rider ID],Salary_Calculation[[#This Row],[Source Row]])))</f>
        <v/>
      </c>
      <c r="C61" s="163" t="str">
        <f aca="false">IF(Salary_Calculation[[#This Row],[Source Row]]="","",IF(INDEX(Rider_Input[Rider Name],Salary_Calculation[[#This Row],[Source Row]])="","",INDEX(Rider_Input[Rider Name],Salary_Calculation[[#This Row],[Source Row]])))</f>
        <v/>
      </c>
      <c r="D61" s="164" t="str">
        <f aca="false">IF(Salary_Calculation[[#This Row],[Source Row]]="","",IF(INDEX(Rider_Input[Basic Payment],Salary_Calculation[[#This Row],[Source Row]])="","",INDEX(Rider_Input[Basic Payment],Salary_Calculation[[#This Row],[Source Row]])))</f>
        <v/>
      </c>
      <c r="E61" s="162" t="str">
        <f aca="false">IF(Salary_Calculation[[#This Row],[Source Row]]="","",IF(INDEX(Rider_Input[Calendar Days in Month],Salary_Calculation[[#This Row],[Source Row]])="","",INDEX(Rider_Input[Calendar Days in Month],Salary_Calculation[[#This Row],[Source Row]])))</f>
        <v/>
      </c>
      <c r="F61" s="162" t="str">
        <f aca="false">IF(Salary_Calculation[[#This Row],[Source Row]]="","",IF(INDEX(Rider_Input[Working Days],Salary_Calculation[[#This Row],[Source Row]])="","",INDEX(Rider_Input[Working Days],Salary_Calculation[[#This Row],[Source Row]])))</f>
        <v/>
      </c>
      <c r="G61" s="165" t="str">
        <f aca="false">IF(Salary_Calculation[[#This Row],[Source Row]]="","",Std_Orders/Std_Days*N(Salary_Calculation[[#This Row],[Calendar Days]]))</f>
        <v/>
      </c>
      <c r="H61" s="165" t="str">
        <f aca="false">IF(Salary_Calculation[[#This Row],[Source Row]]="","",IF(N(Salary_Calculation[[#This Row],[Calendar Days]])&gt;0,Salary_Calculation[[#This Row],[Monthly Target Orders]]/N(Salary_Calculation[[#This Row],[Calendar Days]])*N(Salary_Calculation[[#This Row],[Working Days]]),0))</f>
        <v/>
      </c>
      <c r="I61" s="166" t="str">
        <f aca="false">IF(Salary_Calculation[[#This Row],[Source Row]]="","",IF(INDEX(Rider_Input[Completed Orders],Salary_Calculation[[#This Row],[Source Row]])="","",INDEX(Rider_Input[Completed Orders],Salary_Calculation[[#This Row],[Source Row]])))</f>
        <v/>
      </c>
      <c r="J61" s="165" t="str">
        <f aca="false">IF(Salary_Calculation[[#This Row],[Source Row]]="","",IF(Rate_Method="Fixed rate",Fixed_Rate,IF(N(Salary_Calculation[[#This Row],[Basic Payment]])&gt;0,N(Salary_Calculation[[#This Row],[Basic Payment]])/Std_Orders,0)))</f>
        <v/>
      </c>
      <c r="K61" s="165" t="str">
        <f aca="false">IF(Salary_Calculation[[#This Row],[Source Row]]="","",MAX(MIN(N(Salary_Calculation[[#This Row],[Completed Orders]]),Salary_Calculation[[#This Row],[Rider Target Orders]]),0))</f>
        <v/>
      </c>
      <c r="L61" s="164" t="str">
        <f aca="false">IF(Salary_Calculation[[#This Row],[Source Row]]="","",Salary_Calculation[[#This Row],[Orders Counted at Base Rate]]*Salary_Calculation[[#This Row],[Base Order Rate]])</f>
        <v/>
      </c>
      <c r="M61" s="165" t="str">
        <f aca="false">IF(Salary_Calculation[[#This Row],[Source Row]]="","",MAX(Salary_Calculation[[#This Row],[Rider Target Orders]]-N(Salary_Calculation[[#This Row],[Completed Orders]]),0))</f>
        <v/>
      </c>
      <c r="N61" s="164" t="str">
        <f aca="false">IF(Salary_Calculation[[#This Row],[Source Row]]="","",Salary_Calculation[[#This Row],[Missing Orders]]*Missing_Rate)</f>
        <v/>
      </c>
      <c r="O61" s="165" t="str">
        <f aca="false">IF(Salary_Calculation[[#This Row],[Source Row]]="","",MAX(N(Salary_Calculation[[#This Row],[Completed Orders]])-Salary_Calculation[[#This Row],[Rider Target Orders]],0))</f>
        <v/>
      </c>
      <c r="P61" s="164" t="str">
        <f aca="false">IF(Salary_Calculation[[#This Row],[Source Row]]="","",Salary_Calculation[[#This Row],[Extra Orders]]*Extra_Rate)</f>
        <v/>
      </c>
      <c r="Q61" s="164" t="str">
        <f aca="false">IF(Salary_Calculation[[#This Row],[Source Row]]="","",MAX(Salary_Calculation[[#This Row],[Salary Before Other Deductions]],0))</f>
        <v/>
      </c>
      <c r="R61" s="164" t="str">
        <f aca="false">IF(Salary_Calculation[[#This Row],[Source Row]]="","",N(INDEX(Rider_Input[missed_days_penalty],Salary_Calculation[[#This Row],[Source Row]])))</f>
        <v/>
      </c>
      <c r="S61" s="164" t="str">
        <f aca="false">IF(Salary_Calculation[[#This Row],[Source Row]]="","",N(INDEX(Rider_Input[Rider Balance / محفظة المندوب],Salary_Calculation[[#This Row],[Source Row]])))</f>
        <v/>
      </c>
      <c r="T61" s="164" t="str">
        <f aca="false">IF(Salary_Calculation[[#This Row],[Source Row]]="","",N(INDEX(Rider_Input[stacking_deduction / خصم الطلبات المتعددة],Salary_Calculation[[#This Row],[Source Row]])))</f>
        <v/>
      </c>
      <c r="U61" s="164" t="str">
        <f aca="false">IF(Salary_Calculation[[#This Row],[Source Row]]="","",N(INDEX(Rider_Input[Other Deductions],Salary_Calculation[[#This Row],[Source Row]])))</f>
        <v/>
      </c>
      <c r="V61" s="164" t="str">
        <f aca="false">IF(Salary_Calculation[[#This Row],[Source Row]]="","",N(Salary_Calculation[[#This Row],[missed_days_penalty]])+N(Salary_Calculation[[#This Row],[Rider Balance]])+N(Salary_Calculation[[#This Row],[stacking_deduction]])+N(Salary_Calculation[[#This Row],[Other Deductions]]))</f>
        <v/>
      </c>
      <c r="W61" s="167" t="str">
        <f aca="false">IF(Salary_Calculation[[#This Row],[Source Row]]="","",ROUND(MAX(Salary_Calculation[[#This Row],[Gross Salary Before Deductions]]-Salary_Calculation[[#This Row],[Total Deductions]],0),2))</f>
        <v/>
      </c>
      <c r="X61" s="164" t="str">
        <f aca="false">IF(Salary_Calculation[[#This Row],[Source Row]]="","",ROUND(MAX(Salary_Calculation[[#This Row],[Missing-Order Deduction]]-Salary_Calculation[[#This Row],[Earned Salary]],0),2))</f>
        <v/>
      </c>
      <c r="Y6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61" s="163" t="str">
        <f aca="false">IF(Salary_Calculation[[#This Row],[Source Row]]="","",IF(INDEX(Rider_Input[Notes],Salary_Calculation[[#This Row],[Source Row]])="","",INDEX(Rider_Input[Notes],Salary_Calculation[[#This Row],[Source Row]])))</f>
        <v/>
      </c>
      <c r="AA61" s="164" t="str">
        <f aca="false">IF(Salary_Calculation[[#This Row],[Source Row]]="","",Salary_Calculation[[#This Row],[Earned Salary]]-Salary_Calculation[[#This Row],[Missing-Order Deduction]]+Salary_Calculation[[#This Row],[Extra-Order Bonus]])</f>
        <v/>
      </c>
      <c r="AB61" s="164" t="str">
        <f aca="false">IF(Salary_Calculation[[#This Row],[Source Row]]="","",ROUND(Salary_Calculation[[#This Row],[Negative Balance / Amount Due from Rider]]+MAX(Salary_Calculation[[#This Row],[Total Deductions]]-Salary_Calculation[[#This Row],[Gross Salary Before Deductions]],0),2))</f>
        <v/>
      </c>
      <c r="AC6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61" s="164" t="str">
        <f aca="false">IF(Salary_Calculation[[#This Row],[Source Row]]="","",Salary_Calculation[[#This Row],[Rider Target Orders]]*Salary_Calculation[[#This Row],[Base Order Rate]])</f>
        <v/>
      </c>
      <c r="AE61" s="162" t="str">
        <f aca="false">IF(SUMPRODUCT(--(LEN(INDEX(Rider_Input[#Data],ROW()-ROW(Salary_Calculation[#Headers]),0))&gt;0))=0,"",ROW()-ROW(Salary_Calculation[#Headers]))</f>
        <v/>
      </c>
    </row>
    <row r="62" customFormat="false" ht="14.25" hidden="false" customHeight="false" outlineLevel="0" collapsed="false">
      <c r="A62" s="161" t="str">
        <f aca="false">IF(Salary_Calculation[[#This Row],[Source Row]]="","",IF(INDEX(Rider_Input[Salary Month],Salary_Calculation[[#This Row],[Source Row]])="","",INDEX(Rider_Input[Salary Month],Salary_Calculation[[#This Row],[Source Row]])))</f>
        <v/>
      </c>
      <c r="B62" s="162" t="str">
        <f aca="false">IF(Salary_Calculation[[#This Row],[Source Row]]="","",IF(INDEX(Rider_Input[Rider ID],Salary_Calculation[[#This Row],[Source Row]])="","",INDEX(Rider_Input[Rider ID],Salary_Calculation[[#This Row],[Source Row]])))</f>
        <v/>
      </c>
      <c r="C62" s="163" t="str">
        <f aca="false">IF(Salary_Calculation[[#This Row],[Source Row]]="","",IF(INDEX(Rider_Input[Rider Name],Salary_Calculation[[#This Row],[Source Row]])="","",INDEX(Rider_Input[Rider Name],Salary_Calculation[[#This Row],[Source Row]])))</f>
        <v/>
      </c>
      <c r="D62" s="164" t="str">
        <f aca="false">IF(Salary_Calculation[[#This Row],[Source Row]]="","",IF(INDEX(Rider_Input[Basic Payment],Salary_Calculation[[#This Row],[Source Row]])="","",INDEX(Rider_Input[Basic Payment],Salary_Calculation[[#This Row],[Source Row]])))</f>
        <v/>
      </c>
      <c r="E62" s="162" t="str">
        <f aca="false">IF(Salary_Calculation[[#This Row],[Source Row]]="","",IF(INDEX(Rider_Input[Calendar Days in Month],Salary_Calculation[[#This Row],[Source Row]])="","",INDEX(Rider_Input[Calendar Days in Month],Salary_Calculation[[#This Row],[Source Row]])))</f>
        <v/>
      </c>
      <c r="F62" s="162" t="str">
        <f aca="false">IF(Salary_Calculation[[#This Row],[Source Row]]="","",IF(INDEX(Rider_Input[Working Days],Salary_Calculation[[#This Row],[Source Row]])="","",INDEX(Rider_Input[Working Days],Salary_Calculation[[#This Row],[Source Row]])))</f>
        <v/>
      </c>
      <c r="G62" s="165" t="str">
        <f aca="false">IF(Salary_Calculation[[#This Row],[Source Row]]="","",Std_Orders/Std_Days*N(Salary_Calculation[[#This Row],[Calendar Days]]))</f>
        <v/>
      </c>
      <c r="H62" s="165" t="str">
        <f aca="false">IF(Salary_Calculation[[#This Row],[Source Row]]="","",IF(N(Salary_Calculation[[#This Row],[Calendar Days]])&gt;0,Salary_Calculation[[#This Row],[Monthly Target Orders]]/N(Salary_Calculation[[#This Row],[Calendar Days]])*N(Salary_Calculation[[#This Row],[Working Days]]),0))</f>
        <v/>
      </c>
      <c r="I62" s="166" t="str">
        <f aca="false">IF(Salary_Calculation[[#This Row],[Source Row]]="","",IF(INDEX(Rider_Input[Completed Orders],Salary_Calculation[[#This Row],[Source Row]])="","",INDEX(Rider_Input[Completed Orders],Salary_Calculation[[#This Row],[Source Row]])))</f>
        <v/>
      </c>
      <c r="J62" s="165" t="str">
        <f aca="false">IF(Salary_Calculation[[#This Row],[Source Row]]="","",IF(Rate_Method="Fixed rate",Fixed_Rate,IF(N(Salary_Calculation[[#This Row],[Basic Payment]])&gt;0,N(Salary_Calculation[[#This Row],[Basic Payment]])/Std_Orders,0)))</f>
        <v/>
      </c>
      <c r="K62" s="165" t="str">
        <f aca="false">IF(Salary_Calculation[[#This Row],[Source Row]]="","",MAX(MIN(N(Salary_Calculation[[#This Row],[Completed Orders]]),Salary_Calculation[[#This Row],[Rider Target Orders]]),0))</f>
        <v/>
      </c>
      <c r="L62" s="164" t="str">
        <f aca="false">IF(Salary_Calculation[[#This Row],[Source Row]]="","",Salary_Calculation[[#This Row],[Orders Counted at Base Rate]]*Salary_Calculation[[#This Row],[Base Order Rate]])</f>
        <v/>
      </c>
      <c r="M62" s="165" t="str">
        <f aca="false">IF(Salary_Calculation[[#This Row],[Source Row]]="","",MAX(Salary_Calculation[[#This Row],[Rider Target Orders]]-N(Salary_Calculation[[#This Row],[Completed Orders]]),0))</f>
        <v/>
      </c>
      <c r="N62" s="164" t="str">
        <f aca="false">IF(Salary_Calculation[[#This Row],[Source Row]]="","",Salary_Calculation[[#This Row],[Missing Orders]]*Missing_Rate)</f>
        <v/>
      </c>
      <c r="O62" s="165" t="str">
        <f aca="false">IF(Salary_Calculation[[#This Row],[Source Row]]="","",MAX(N(Salary_Calculation[[#This Row],[Completed Orders]])-Salary_Calculation[[#This Row],[Rider Target Orders]],0))</f>
        <v/>
      </c>
      <c r="P62" s="164" t="str">
        <f aca="false">IF(Salary_Calculation[[#This Row],[Source Row]]="","",Salary_Calculation[[#This Row],[Extra Orders]]*Extra_Rate)</f>
        <v/>
      </c>
      <c r="Q62" s="164" t="str">
        <f aca="false">IF(Salary_Calculation[[#This Row],[Source Row]]="","",MAX(Salary_Calculation[[#This Row],[Salary Before Other Deductions]],0))</f>
        <v/>
      </c>
      <c r="R62" s="164" t="str">
        <f aca="false">IF(Salary_Calculation[[#This Row],[Source Row]]="","",N(INDEX(Rider_Input[missed_days_penalty],Salary_Calculation[[#This Row],[Source Row]])))</f>
        <v/>
      </c>
      <c r="S62" s="164" t="str">
        <f aca="false">IF(Salary_Calculation[[#This Row],[Source Row]]="","",N(INDEX(Rider_Input[Rider Balance / محفظة المندوب],Salary_Calculation[[#This Row],[Source Row]])))</f>
        <v/>
      </c>
      <c r="T62" s="164" t="str">
        <f aca="false">IF(Salary_Calculation[[#This Row],[Source Row]]="","",N(INDEX(Rider_Input[stacking_deduction / خصم الطلبات المتعددة],Salary_Calculation[[#This Row],[Source Row]])))</f>
        <v/>
      </c>
      <c r="U62" s="164" t="str">
        <f aca="false">IF(Salary_Calculation[[#This Row],[Source Row]]="","",N(INDEX(Rider_Input[Other Deductions],Salary_Calculation[[#This Row],[Source Row]])))</f>
        <v/>
      </c>
      <c r="V62" s="164" t="str">
        <f aca="false">IF(Salary_Calculation[[#This Row],[Source Row]]="","",N(Salary_Calculation[[#This Row],[missed_days_penalty]])+N(Salary_Calculation[[#This Row],[Rider Balance]])+N(Salary_Calculation[[#This Row],[stacking_deduction]])+N(Salary_Calculation[[#This Row],[Other Deductions]]))</f>
        <v/>
      </c>
      <c r="W62" s="167" t="str">
        <f aca="false">IF(Salary_Calculation[[#This Row],[Source Row]]="","",ROUND(MAX(Salary_Calculation[[#This Row],[Gross Salary Before Deductions]]-Salary_Calculation[[#This Row],[Total Deductions]],0),2))</f>
        <v/>
      </c>
      <c r="X62" s="164" t="str">
        <f aca="false">IF(Salary_Calculation[[#This Row],[Source Row]]="","",ROUND(MAX(Salary_Calculation[[#This Row],[Missing-Order Deduction]]-Salary_Calculation[[#This Row],[Earned Salary]],0),2))</f>
        <v/>
      </c>
      <c r="Y6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62" s="163" t="str">
        <f aca="false">IF(Salary_Calculation[[#This Row],[Source Row]]="","",IF(INDEX(Rider_Input[Notes],Salary_Calculation[[#This Row],[Source Row]])="","",INDEX(Rider_Input[Notes],Salary_Calculation[[#This Row],[Source Row]])))</f>
        <v/>
      </c>
      <c r="AA62" s="164" t="str">
        <f aca="false">IF(Salary_Calculation[[#This Row],[Source Row]]="","",Salary_Calculation[[#This Row],[Earned Salary]]-Salary_Calculation[[#This Row],[Missing-Order Deduction]]+Salary_Calculation[[#This Row],[Extra-Order Bonus]])</f>
        <v/>
      </c>
      <c r="AB62" s="164" t="str">
        <f aca="false">IF(Salary_Calculation[[#This Row],[Source Row]]="","",ROUND(Salary_Calculation[[#This Row],[Negative Balance / Amount Due from Rider]]+MAX(Salary_Calculation[[#This Row],[Total Deductions]]-Salary_Calculation[[#This Row],[Gross Salary Before Deductions]],0),2))</f>
        <v/>
      </c>
      <c r="AC6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62" s="164" t="str">
        <f aca="false">IF(Salary_Calculation[[#This Row],[Source Row]]="","",Salary_Calculation[[#This Row],[Rider Target Orders]]*Salary_Calculation[[#This Row],[Base Order Rate]])</f>
        <v/>
      </c>
      <c r="AE62" s="162" t="str">
        <f aca="false">IF(SUMPRODUCT(--(LEN(INDEX(Rider_Input[#Data],ROW()-ROW(Salary_Calculation[#Headers]),0))&gt;0))=0,"",ROW()-ROW(Salary_Calculation[#Headers]))</f>
        <v/>
      </c>
    </row>
    <row r="63" customFormat="false" ht="14.25" hidden="false" customHeight="false" outlineLevel="0" collapsed="false">
      <c r="A63" s="161" t="str">
        <f aca="false">IF(Salary_Calculation[[#This Row],[Source Row]]="","",IF(INDEX(Rider_Input[Salary Month],Salary_Calculation[[#This Row],[Source Row]])="","",INDEX(Rider_Input[Salary Month],Salary_Calculation[[#This Row],[Source Row]])))</f>
        <v/>
      </c>
      <c r="B63" s="162" t="str">
        <f aca="false">IF(Salary_Calculation[[#This Row],[Source Row]]="","",IF(INDEX(Rider_Input[Rider ID],Salary_Calculation[[#This Row],[Source Row]])="","",INDEX(Rider_Input[Rider ID],Salary_Calculation[[#This Row],[Source Row]])))</f>
        <v/>
      </c>
      <c r="C63" s="163" t="str">
        <f aca="false">IF(Salary_Calculation[[#This Row],[Source Row]]="","",IF(INDEX(Rider_Input[Rider Name],Salary_Calculation[[#This Row],[Source Row]])="","",INDEX(Rider_Input[Rider Name],Salary_Calculation[[#This Row],[Source Row]])))</f>
        <v/>
      </c>
      <c r="D63" s="164" t="str">
        <f aca="false">IF(Salary_Calculation[[#This Row],[Source Row]]="","",IF(INDEX(Rider_Input[Basic Payment],Salary_Calculation[[#This Row],[Source Row]])="","",INDEX(Rider_Input[Basic Payment],Salary_Calculation[[#This Row],[Source Row]])))</f>
        <v/>
      </c>
      <c r="E63" s="162" t="str">
        <f aca="false">IF(Salary_Calculation[[#This Row],[Source Row]]="","",IF(INDEX(Rider_Input[Calendar Days in Month],Salary_Calculation[[#This Row],[Source Row]])="","",INDEX(Rider_Input[Calendar Days in Month],Salary_Calculation[[#This Row],[Source Row]])))</f>
        <v/>
      </c>
      <c r="F63" s="162" t="str">
        <f aca="false">IF(Salary_Calculation[[#This Row],[Source Row]]="","",IF(INDEX(Rider_Input[Working Days],Salary_Calculation[[#This Row],[Source Row]])="","",INDEX(Rider_Input[Working Days],Salary_Calculation[[#This Row],[Source Row]])))</f>
        <v/>
      </c>
      <c r="G63" s="165" t="str">
        <f aca="false">IF(Salary_Calculation[[#This Row],[Source Row]]="","",Std_Orders/Std_Days*N(Salary_Calculation[[#This Row],[Calendar Days]]))</f>
        <v/>
      </c>
      <c r="H63" s="165" t="str">
        <f aca="false">IF(Salary_Calculation[[#This Row],[Source Row]]="","",IF(N(Salary_Calculation[[#This Row],[Calendar Days]])&gt;0,Salary_Calculation[[#This Row],[Monthly Target Orders]]/N(Salary_Calculation[[#This Row],[Calendar Days]])*N(Salary_Calculation[[#This Row],[Working Days]]),0))</f>
        <v/>
      </c>
      <c r="I63" s="166" t="str">
        <f aca="false">IF(Salary_Calculation[[#This Row],[Source Row]]="","",IF(INDEX(Rider_Input[Completed Orders],Salary_Calculation[[#This Row],[Source Row]])="","",INDEX(Rider_Input[Completed Orders],Salary_Calculation[[#This Row],[Source Row]])))</f>
        <v/>
      </c>
      <c r="J63" s="165" t="str">
        <f aca="false">IF(Salary_Calculation[[#This Row],[Source Row]]="","",IF(Rate_Method="Fixed rate",Fixed_Rate,IF(N(Salary_Calculation[[#This Row],[Basic Payment]])&gt;0,N(Salary_Calculation[[#This Row],[Basic Payment]])/Std_Orders,0)))</f>
        <v/>
      </c>
      <c r="K63" s="165" t="str">
        <f aca="false">IF(Salary_Calculation[[#This Row],[Source Row]]="","",MAX(MIN(N(Salary_Calculation[[#This Row],[Completed Orders]]),Salary_Calculation[[#This Row],[Rider Target Orders]]),0))</f>
        <v/>
      </c>
      <c r="L63" s="164" t="str">
        <f aca="false">IF(Salary_Calculation[[#This Row],[Source Row]]="","",Salary_Calculation[[#This Row],[Orders Counted at Base Rate]]*Salary_Calculation[[#This Row],[Base Order Rate]])</f>
        <v/>
      </c>
      <c r="M63" s="165" t="str">
        <f aca="false">IF(Salary_Calculation[[#This Row],[Source Row]]="","",MAX(Salary_Calculation[[#This Row],[Rider Target Orders]]-N(Salary_Calculation[[#This Row],[Completed Orders]]),0))</f>
        <v/>
      </c>
      <c r="N63" s="164" t="str">
        <f aca="false">IF(Salary_Calculation[[#This Row],[Source Row]]="","",Salary_Calculation[[#This Row],[Missing Orders]]*Missing_Rate)</f>
        <v/>
      </c>
      <c r="O63" s="165" t="str">
        <f aca="false">IF(Salary_Calculation[[#This Row],[Source Row]]="","",MAX(N(Salary_Calculation[[#This Row],[Completed Orders]])-Salary_Calculation[[#This Row],[Rider Target Orders]],0))</f>
        <v/>
      </c>
      <c r="P63" s="164" t="str">
        <f aca="false">IF(Salary_Calculation[[#This Row],[Source Row]]="","",Salary_Calculation[[#This Row],[Extra Orders]]*Extra_Rate)</f>
        <v/>
      </c>
      <c r="Q63" s="164" t="str">
        <f aca="false">IF(Salary_Calculation[[#This Row],[Source Row]]="","",MAX(Salary_Calculation[[#This Row],[Salary Before Other Deductions]],0))</f>
        <v/>
      </c>
      <c r="R63" s="164" t="str">
        <f aca="false">IF(Salary_Calculation[[#This Row],[Source Row]]="","",N(INDEX(Rider_Input[missed_days_penalty],Salary_Calculation[[#This Row],[Source Row]])))</f>
        <v/>
      </c>
      <c r="S63" s="164" t="str">
        <f aca="false">IF(Salary_Calculation[[#This Row],[Source Row]]="","",N(INDEX(Rider_Input[Rider Balance / محفظة المندوب],Salary_Calculation[[#This Row],[Source Row]])))</f>
        <v/>
      </c>
      <c r="T63" s="164" t="str">
        <f aca="false">IF(Salary_Calculation[[#This Row],[Source Row]]="","",N(INDEX(Rider_Input[stacking_deduction / خصم الطلبات المتعددة],Salary_Calculation[[#This Row],[Source Row]])))</f>
        <v/>
      </c>
      <c r="U63" s="164" t="str">
        <f aca="false">IF(Salary_Calculation[[#This Row],[Source Row]]="","",N(INDEX(Rider_Input[Other Deductions],Salary_Calculation[[#This Row],[Source Row]])))</f>
        <v/>
      </c>
      <c r="V63" s="164" t="str">
        <f aca="false">IF(Salary_Calculation[[#This Row],[Source Row]]="","",N(Salary_Calculation[[#This Row],[missed_days_penalty]])+N(Salary_Calculation[[#This Row],[Rider Balance]])+N(Salary_Calculation[[#This Row],[stacking_deduction]])+N(Salary_Calculation[[#This Row],[Other Deductions]]))</f>
        <v/>
      </c>
      <c r="W63" s="167" t="str">
        <f aca="false">IF(Salary_Calculation[[#This Row],[Source Row]]="","",ROUND(MAX(Salary_Calculation[[#This Row],[Gross Salary Before Deductions]]-Salary_Calculation[[#This Row],[Total Deductions]],0),2))</f>
        <v/>
      </c>
      <c r="X63" s="164" t="str">
        <f aca="false">IF(Salary_Calculation[[#This Row],[Source Row]]="","",ROUND(MAX(Salary_Calculation[[#This Row],[Missing-Order Deduction]]-Salary_Calculation[[#This Row],[Earned Salary]],0),2))</f>
        <v/>
      </c>
      <c r="Y6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63" s="163" t="str">
        <f aca="false">IF(Salary_Calculation[[#This Row],[Source Row]]="","",IF(INDEX(Rider_Input[Notes],Salary_Calculation[[#This Row],[Source Row]])="","",INDEX(Rider_Input[Notes],Salary_Calculation[[#This Row],[Source Row]])))</f>
        <v/>
      </c>
      <c r="AA63" s="164" t="str">
        <f aca="false">IF(Salary_Calculation[[#This Row],[Source Row]]="","",Salary_Calculation[[#This Row],[Earned Salary]]-Salary_Calculation[[#This Row],[Missing-Order Deduction]]+Salary_Calculation[[#This Row],[Extra-Order Bonus]])</f>
        <v/>
      </c>
      <c r="AB63" s="164" t="str">
        <f aca="false">IF(Salary_Calculation[[#This Row],[Source Row]]="","",ROUND(Salary_Calculation[[#This Row],[Negative Balance / Amount Due from Rider]]+MAX(Salary_Calculation[[#This Row],[Total Deductions]]-Salary_Calculation[[#This Row],[Gross Salary Before Deductions]],0),2))</f>
        <v/>
      </c>
      <c r="AC6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63" s="164" t="str">
        <f aca="false">IF(Salary_Calculation[[#This Row],[Source Row]]="","",Salary_Calculation[[#This Row],[Rider Target Orders]]*Salary_Calculation[[#This Row],[Base Order Rate]])</f>
        <v/>
      </c>
      <c r="AE63" s="162" t="str">
        <f aca="false">IF(SUMPRODUCT(--(LEN(INDEX(Rider_Input[#Data],ROW()-ROW(Salary_Calculation[#Headers]),0))&gt;0))=0,"",ROW()-ROW(Salary_Calculation[#Headers]))</f>
        <v/>
      </c>
    </row>
    <row r="64" customFormat="false" ht="14.25" hidden="false" customHeight="false" outlineLevel="0" collapsed="false">
      <c r="A64" s="161" t="str">
        <f aca="false">IF(Salary_Calculation[[#This Row],[Source Row]]="","",IF(INDEX(Rider_Input[Salary Month],Salary_Calculation[[#This Row],[Source Row]])="","",INDEX(Rider_Input[Salary Month],Salary_Calculation[[#This Row],[Source Row]])))</f>
        <v/>
      </c>
      <c r="B64" s="162" t="str">
        <f aca="false">IF(Salary_Calculation[[#This Row],[Source Row]]="","",IF(INDEX(Rider_Input[Rider ID],Salary_Calculation[[#This Row],[Source Row]])="","",INDEX(Rider_Input[Rider ID],Salary_Calculation[[#This Row],[Source Row]])))</f>
        <v/>
      </c>
      <c r="C64" s="163" t="str">
        <f aca="false">IF(Salary_Calculation[[#This Row],[Source Row]]="","",IF(INDEX(Rider_Input[Rider Name],Salary_Calculation[[#This Row],[Source Row]])="","",INDEX(Rider_Input[Rider Name],Salary_Calculation[[#This Row],[Source Row]])))</f>
        <v/>
      </c>
      <c r="D64" s="164" t="str">
        <f aca="false">IF(Salary_Calculation[[#This Row],[Source Row]]="","",IF(INDEX(Rider_Input[Basic Payment],Salary_Calculation[[#This Row],[Source Row]])="","",INDEX(Rider_Input[Basic Payment],Salary_Calculation[[#This Row],[Source Row]])))</f>
        <v/>
      </c>
      <c r="E64" s="162" t="str">
        <f aca="false">IF(Salary_Calculation[[#This Row],[Source Row]]="","",IF(INDEX(Rider_Input[Calendar Days in Month],Salary_Calculation[[#This Row],[Source Row]])="","",INDEX(Rider_Input[Calendar Days in Month],Salary_Calculation[[#This Row],[Source Row]])))</f>
        <v/>
      </c>
      <c r="F64" s="162" t="str">
        <f aca="false">IF(Salary_Calculation[[#This Row],[Source Row]]="","",IF(INDEX(Rider_Input[Working Days],Salary_Calculation[[#This Row],[Source Row]])="","",INDEX(Rider_Input[Working Days],Salary_Calculation[[#This Row],[Source Row]])))</f>
        <v/>
      </c>
      <c r="G64" s="165" t="str">
        <f aca="false">IF(Salary_Calculation[[#This Row],[Source Row]]="","",Std_Orders/Std_Days*N(Salary_Calculation[[#This Row],[Calendar Days]]))</f>
        <v/>
      </c>
      <c r="H64" s="165" t="str">
        <f aca="false">IF(Salary_Calculation[[#This Row],[Source Row]]="","",IF(N(Salary_Calculation[[#This Row],[Calendar Days]])&gt;0,Salary_Calculation[[#This Row],[Monthly Target Orders]]/N(Salary_Calculation[[#This Row],[Calendar Days]])*N(Salary_Calculation[[#This Row],[Working Days]]),0))</f>
        <v/>
      </c>
      <c r="I64" s="166" t="str">
        <f aca="false">IF(Salary_Calculation[[#This Row],[Source Row]]="","",IF(INDEX(Rider_Input[Completed Orders],Salary_Calculation[[#This Row],[Source Row]])="","",INDEX(Rider_Input[Completed Orders],Salary_Calculation[[#This Row],[Source Row]])))</f>
        <v/>
      </c>
      <c r="J64" s="165" t="str">
        <f aca="false">IF(Salary_Calculation[[#This Row],[Source Row]]="","",IF(Rate_Method="Fixed rate",Fixed_Rate,IF(N(Salary_Calculation[[#This Row],[Basic Payment]])&gt;0,N(Salary_Calculation[[#This Row],[Basic Payment]])/Std_Orders,0)))</f>
        <v/>
      </c>
      <c r="K64" s="165" t="str">
        <f aca="false">IF(Salary_Calculation[[#This Row],[Source Row]]="","",MAX(MIN(N(Salary_Calculation[[#This Row],[Completed Orders]]),Salary_Calculation[[#This Row],[Rider Target Orders]]),0))</f>
        <v/>
      </c>
      <c r="L64" s="164" t="str">
        <f aca="false">IF(Salary_Calculation[[#This Row],[Source Row]]="","",Salary_Calculation[[#This Row],[Orders Counted at Base Rate]]*Salary_Calculation[[#This Row],[Base Order Rate]])</f>
        <v/>
      </c>
      <c r="M64" s="165" t="str">
        <f aca="false">IF(Salary_Calculation[[#This Row],[Source Row]]="","",MAX(Salary_Calculation[[#This Row],[Rider Target Orders]]-N(Salary_Calculation[[#This Row],[Completed Orders]]),0))</f>
        <v/>
      </c>
      <c r="N64" s="164" t="str">
        <f aca="false">IF(Salary_Calculation[[#This Row],[Source Row]]="","",Salary_Calculation[[#This Row],[Missing Orders]]*Missing_Rate)</f>
        <v/>
      </c>
      <c r="O64" s="165" t="str">
        <f aca="false">IF(Salary_Calculation[[#This Row],[Source Row]]="","",MAX(N(Salary_Calculation[[#This Row],[Completed Orders]])-Salary_Calculation[[#This Row],[Rider Target Orders]],0))</f>
        <v/>
      </c>
      <c r="P64" s="164" t="str">
        <f aca="false">IF(Salary_Calculation[[#This Row],[Source Row]]="","",Salary_Calculation[[#This Row],[Extra Orders]]*Extra_Rate)</f>
        <v/>
      </c>
      <c r="Q64" s="164" t="str">
        <f aca="false">IF(Salary_Calculation[[#This Row],[Source Row]]="","",MAX(Salary_Calculation[[#This Row],[Salary Before Other Deductions]],0))</f>
        <v/>
      </c>
      <c r="R64" s="164" t="str">
        <f aca="false">IF(Salary_Calculation[[#This Row],[Source Row]]="","",N(INDEX(Rider_Input[missed_days_penalty],Salary_Calculation[[#This Row],[Source Row]])))</f>
        <v/>
      </c>
      <c r="S64" s="164" t="str">
        <f aca="false">IF(Salary_Calculation[[#This Row],[Source Row]]="","",N(INDEX(Rider_Input[Rider Balance / محفظة المندوب],Salary_Calculation[[#This Row],[Source Row]])))</f>
        <v/>
      </c>
      <c r="T64" s="164" t="str">
        <f aca="false">IF(Salary_Calculation[[#This Row],[Source Row]]="","",N(INDEX(Rider_Input[stacking_deduction / خصم الطلبات المتعددة],Salary_Calculation[[#This Row],[Source Row]])))</f>
        <v/>
      </c>
      <c r="U64" s="164" t="str">
        <f aca="false">IF(Salary_Calculation[[#This Row],[Source Row]]="","",N(INDEX(Rider_Input[Other Deductions],Salary_Calculation[[#This Row],[Source Row]])))</f>
        <v/>
      </c>
      <c r="V64" s="164" t="str">
        <f aca="false">IF(Salary_Calculation[[#This Row],[Source Row]]="","",N(Salary_Calculation[[#This Row],[missed_days_penalty]])+N(Salary_Calculation[[#This Row],[Rider Balance]])+N(Salary_Calculation[[#This Row],[stacking_deduction]])+N(Salary_Calculation[[#This Row],[Other Deductions]]))</f>
        <v/>
      </c>
      <c r="W64" s="167" t="str">
        <f aca="false">IF(Salary_Calculation[[#This Row],[Source Row]]="","",ROUND(MAX(Salary_Calculation[[#This Row],[Gross Salary Before Deductions]]-Salary_Calculation[[#This Row],[Total Deductions]],0),2))</f>
        <v/>
      </c>
      <c r="X64" s="164" t="str">
        <f aca="false">IF(Salary_Calculation[[#This Row],[Source Row]]="","",ROUND(MAX(Salary_Calculation[[#This Row],[Missing-Order Deduction]]-Salary_Calculation[[#This Row],[Earned Salary]],0),2))</f>
        <v/>
      </c>
      <c r="Y6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64" s="163" t="str">
        <f aca="false">IF(Salary_Calculation[[#This Row],[Source Row]]="","",IF(INDEX(Rider_Input[Notes],Salary_Calculation[[#This Row],[Source Row]])="","",INDEX(Rider_Input[Notes],Salary_Calculation[[#This Row],[Source Row]])))</f>
        <v/>
      </c>
      <c r="AA64" s="164" t="str">
        <f aca="false">IF(Salary_Calculation[[#This Row],[Source Row]]="","",Salary_Calculation[[#This Row],[Earned Salary]]-Salary_Calculation[[#This Row],[Missing-Order Deduction]]+Salary_Calculation[[#This Row],[Extra-Order Bonus]])</f>
        <v/>
      </c>
      <c r="AB64" s="164" t="str">
        <f aca="false">IF(Salary_Calculation[[#This Row],[Source Row]]="","",ROUND(Salary_Calculation[[#This Row],[Negative Balance / Amount Due from Rider]]+MAX(Salary_Calculation[[#This Row],[Total Deductions]]-Salary_Calculation[[#This Row],[Gross Salary Before Deductions]],0),2))</f>
        <v/>
      </c>
      <c r="AC6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64" s="164" t="str">
        <f aca="false">IF(Salary_Calculation[[#This Row],[Source Row]]="","",Salary_Calculation[[#This Row],[Rider Target Orders]]*Salary_Calculation[[#This Row],[Base Order Rate]])</f>
        <v/>
      </c>
      <c r="AE64" s="162" t="str">
        <f aca="false">IF(SUMPRODUCT(--(LEN(INDEX(Rider_Input[#Data],ROW()-ROW(Salary_Calculation[#Headers]),0))&gt;0))=0,"",ROW()-ROW(Salary_Calculation[#Headers]))</f>
        <v/>
      </c>
    </row>
    <row r="65" customFormat="false" ht="14.25" hidden="false" customHeight="false" outlineLevel="0" collapsed="false">
      <c r="A65" s="161" t="str">
        <f aca="false">IF(Salary_Calculation[[#This Row],[Source Row]]="","",IF(INDEX(Rider_Input[Salary Month],Salary_Calculation[[#This Row],[Source Row]])="","",INDEX(Rider_Input[Salary Month],Salary_Calculation[[#This Row],[Source Row]])))</f>
        <v/>
      </c>
      <c r="B65" s="162" t="str">
        <f aca="false">IF(Salary_Calculation[[#This Row],[Source Row]]="","",IF(INDEX(Rider_Input[Rider ID],Salary_Calculation[[#This Row],[Source Row]])="","",INDEX(Rider_Input[Rider ID],Salary_Calculation[[#This Row],[Source Row]])))</f>
        <v/>
      </c>
      <c r="C65" s="163" t="str">
        <f aca="false">IF(Salary_Calculation[[#This Row],[Source Row]]="","",IF(INDEX(Rider_Input[Rider Name],Salary_Calculation[[#This Row],[Source Row]])="","",INDEX(Rider_Input[Rider Name],Salary_Calculation[[#This Row],[Source Row]])))</f>
        <v/>
      </c>
      <c r="D65" s="164" t="str">
        <f aca="false">IF(Salary_Calculation[[#This Row],[Source Row]]="","",IF(INDEX(Rider_Input[Basic Payment],Salary_Calculation[[#This Row],[Source Row]])="","",INDEX(Rider_Input[Basic Payment],Salary_Calculation[[#This Row],[Source Row]])))</f>
        <v/>
      </c>
      <c r="E65" s="162" t="str">
        <f aca="false">IF(Salary_Calculation[[#This Row],[Source Row]]="","",IF(INDEX(Rider_Input[Calendar Days in Month],Salary_Calculation[[#This Row],[Source Row]])="","",INDEX(Rider_Input[Calendar Days in Month],Salary_Calculation[[#This Row],[Source Row]])))</f>
        <v/>
      </c>
      <c r="F65" s="162" t="str">
        <f aca="false">IF(Salary_Calculation[[#This Row],[Source Row]]="","",IF(INDEX(Rider_Input[Working Days],Salary_Calculation[[#This Row],[Source Row]])="","",INDEX(Rider_Input[Working Days],Salary_Calculation[[#This Row],[Source Row]])))</f>
        <v/>
      </c>
      <c r="G65" s="165" t="str">
        <f aca="false">IF(Salary_Calculation[[#This Row],[Source Row]]="","",Std_Orders/Std_Days*N(Salary_Calculation[[#This Row],[Calendar Days]]))</f>
        <v/>
      </c>
      <c r="H65" s="165" t="str">
        <f aca="false">IF(Salary_Calculation[[#This Row],[Source Row]]="","",IF(N(Salary_Calculation[[#This Row],[Calendar Days]])&gt;0,Salary_Calculation[[#This Row],[Monthly Target Orders]]/N(Salary_Calculation[[#This Row],[Calendar Days]])*N(Salary_Calculation[[#This Row],[Working Days]]),0))</f>
        <v/>
      </c>
      <c r="I65" s="166" t="str">
        <f aca="false">IF(Salary_Calculation[[#This Row],[Source Row]]="","",IF(INDEX(Rider_Input[Completed Orders],Salary_Calculation[[#This Row],[Source Row]])="","",INDEX(Rider_Input[Completed Orders],Salary_Calculation[[#This Row],[Source Row]])))</f>
        <v/>
      </c>
      <c r="J65" s="165" t="str">
        <f aca="false">IF(Salary_Calculation[[#This Row],[Source Row]]="","",IF(Rate_Method="Fixed rate",Fixed_Rate,IF(N(Salary_Calculation[[#This Row],[Basic Payment]])&gt;0,N(Salary_Calculation[[#This Row],[Basic Payment]])/Std_Orders,0)))</f>
        <v/>
      </c>
      <c r="K65" s="165" t="str">
        <f aca="false">IF(Salary_Calculation[[#This Row],[Source Row]]="","",MAX(MIN(N(Salary_Calculation[[#This Row],[Completed Orders]]),Salary_Calculation[[#This Row],[Rider Target Orders]]),0))</f>
        <v/>
      </c>
      <c r="L65" s="164" t="str">
        <f aca="false">IF(Salary_Calculation[[#This Row],[Source Row]]="","",Salary_Calculation[[#This Row],[Orders Counted at Base Rate]]*Salary_Calculation[[#This Row],[Base Order Rate]])</f>
        <v/>
      </c>
      <c r="M65" s="165" t="str">
        <f aca="false">IF(Salary_Calculation[[#This Row],[Source Row]]="","",MAX(Salary_Calculation[[#This Row],[Rider Target Orders]]-N(Salary_Calculation[[#This Row],[Completed Orders]]),0))</f>
        <v/>
      </c>
      <c r="N65" s="164" t="str">
        <f aca="false">IF(Salary_Calculation[[#This Row],[Source Row]]="","",Salary_Calculation[[#This Row],[Missing Orders]]*Missing_Rate)</f>
        <v/>
      </c>
      <c r="O65" s="165" t="str">
        <f aca="false">IF(Salary_Calculation[[#This Row],[Source Row]]="","",MAX(N(Salary_Calculation[[#This Row],[Completed Orders]])-Salary_Calculation[[#This Row],[Rider Target Orders]],0))</f>
        <v/>
      </c>
      <c r="P65" s="164" t="str">
        <f aca="false">IF(Salary_Calculation[[#This Row],[Source Row]]="","",Salary_Calculation[[#This Row],[Extra Orders]]*Extra_Rate)</f>
        <v/>
      </c>
      <c r="Q65" s="164" t="str">
        <f aca="false">IF(Salary_Calculation[[#This Row],[Source Row]]="","",MAX(Salary_Calculation[[#This Row],[Salary Before Other Deductions]],0))</f>
        <v/>
      </c>
      <c r="R65" s="164" t="str">
        <f aca="false">IF(Salary_Calculation[[#This Row],[Source Row]]="","",N(INDEX(Rider_Input[missed_days_penalty],Salary_Calculation[[#This Row],[Source Row]])))</f>
        <v/>
      </c>
      <c r="S65" s="164" t="str">
        <f aca="false">IF(Salary_Calculation[[#This Row],[Source Row]]="","",N(INDEX(Rider_Input[Rider Balance / محفظة المندوب],Salary_Calculation[[#This Row],[Source Row]])))</f>
        <v/>
      </c>
      <c r="T65" s="164" t="str">
        <f aca="false">IF(Salary_Calculation[[#This Row],[Source Row]]="","",N(INDEX(Rider_Input[stacking_deduction / خصم الطلبات المتعددة],Salary_Calculation[[#This Row],[Source Row]])))</f>
        <v/>
      </c>
      <c r="U65" s="164" t="str">
        <f aca="false">IF(Salary_Calculation[[#This Row],[Source Row]]="","",N(INDEX(Rider_Input[Other Deductions],Salary_Calculation[[#This Row],[Source Row]])))</f>
        <v/>
      </c>
      <c r="V65" s="164" t="str">
        <f aca="false">IF(Salary_Calculation[[#This Row],[Source Row]]="","",N(Salary_Calculation[[#This Row],[missed_days_penalty]])+N(Salary_Calculation[[#This Row],[Rider Balance]])+N(Salary_Calculation[[#This Row],[stacking_deduction]])+N(Salary_Calculation[[#This Row],[Other Deductions]]))</f>
        <v/>
      </c>
      <c r="W65" s="167" t="str">
        <f aca="false">IF(Salary_Calculation[[#This Row],[Source Row]]="","",ROUND(MAX(Salary_Calculation[[#This Row],[Gross Salary Before Deductions]]-Salary_Calculation[[#This Row],[Total Deductions]],0),2))</f>
        <v/>
      </c>
      <c r="X65" s="164" t="str">
        <f aca="false">IF(Salary_Calculation[[#This Row],[Source Row]]="","",ROUND(MAX(Salary_Calculation[[#This Row],[Missing-Order Deduction]]-Salary_Calculation[[#This Row],[Earned Salary]],0),2))</f>
        <v/>
      </c>
      <c r="Y6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65" s="163" t="str">
        <f aca="false">IF(Salary_Calculation[[#This Row],[Source Row]]="","",IF(INDEX(Rider_Input[Notes],Salary_Calculation[[#This Row],[Source Row]])="","",INDEX(Rider_Input[Notes],Salary_Calculation[[#This Row],[Source Row]])))</f>
        <v/>
      </c>
      <c r="AA65" s="164" t="str">
        <f aca="false">IF(Salary_Calculation[[#This Row],[Source Row]]="","",Salary_Calculation[[#This Row],[Earned Salary]]-Salary_Calculation[[#This Row],[Missing-Order Deduction]]+Salary_Calculation[[#This Row],[Extra-Order Bonus]])</f>
        <v/>
      </c>
      <c r="AB65" s="164" t="str">
        <f aca="false">IF(Salary_Calculation[[#This Row],[Source Row]]="","",ROUND(Salary_Calculation[[#This Row],[Negative Balance / Amount Due from Rider]]+MAX(Salary_Calculation[[#This Row],[Total Deductions]]-Salary_Calculation[[#This Row],[Gross Salary Before Deductions]],0),2))</f>
        <v/>
      </c>
      <c r="AC6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65" s="164" t="str">
        <f aca="false">IF(Salary_Calculation[[#This Row],[Source Row]]="","",Salary_Calculation[[#This Row],[Rider Target Orders]]*Salary_Calculation[[#This Row],[Base Order Rate]])</f>
        <v/>
      </c>
      <c r="AE65" s="162" t="str">
        <f aca="false">IF(SUMPRODUCT(--(LEN(INDEX(Rider_Input[#Data],ROW()-ROW(Salary_Calculation[#Headers]),0))&gt;0))=0,"",ROW()-ROW(Salary_Calculation[#Headers]))</f>
        <v/>
      </c>
    </row>
    <row r="66" customFormat="false" ht="14.25" hidden="false" customHeight="false" outlineLevel="0" collapsed="false">
      <c r="A66" s="161" t="str">
        <f aca="false">IF(Salary_Calculation[[#This Row],[Source Row]]="","",IF(INDEX(Rider_Input[Salary Month],Salary_Calculation[[#This Row],[Source Row]])="","",INDEX(Rider_Input[Salary Month],Salary_Calculation[[#This Row],[Source Row]])))</f>
        <v/>
      </c>
      <c r="B66" s="162" t="str">
        <f aca="false">IF(Salary_Calculation[[#This Row],[Source Row]]="","",IF(INDEX(Rider_Input[Rider ID],Salary_Calculation[[#This Row],[Source Row]])="","",INDEX(Rider_Input[Rider ID],Salary_Calculation[[#This Row],[Source Row]])))</f>
        <v/>
      </c>
      <c r="C66" s="163" t="str">
        <f aca="false">IF(Salary_Calculation[[#This Row],[Source Row]]="","",IF(INDEX(Rider_Input[Rider Name],Salary_Calculation[[#This Row],[Source Row]])="","",INDEX(Rider_Input[Rider Name],Salary_Calculation[[#This Row],[Source Row]])))</f>
        <v/>
      </c>
      <c r="D66" s="164" t="str">
        <f aca="false">IF(Salary_Calculation[[#This Row],[Source Row]]="","",IF(INDEX(Rider_Input[Basic Payment],Salary_Calculation[[#This Row],[Source Row]])="","",INDEX(Rider_Input[Basic Payment],Salary_Calculation[[#This Row],[Source Row]])))</f>
        <v/>
      </c>
      <c r="E66" s="162" t="str">
        <f aca="false">IF(Salary_Calculation[[#This Row],[Source Row]]="","",IF(INDEX(Rider_Input[Calendar Days in Month],Salary_Calculation[[#This Row],[Source Row]])="","",INDEX(Rider_Input[Calendar Days in Month],Salary_Calculation[[#This Row],[Source Row]])))</f>
        <v/>
      </c>
      <c r="F66" s="162" t="str">
        <f aca="false">IF(Salary_Calculation[[#This Row],[Source Row]]="","",IF(INDEX(Rider_Input[Working Days],Salary_Calculation[[#This Row],[Source Row]])="","",INDEX(Rider_Input[Working Days],Salary_Calculation[[#This Row],[Source Row]])))</f>
        <v/>
      </c>
      <c r="G66" s="165" t="str">
        <f aca="false">IF(Salary_Calculation[[#This Row],[Source Row]]="","",Std_Orders/Std_Days*N(Salary_Calculation[[#This Row],[Calendar Days]]))</f>
        <v/>
      </c>
      <c r="H66" s="165" t="str">
        <f aca="false">IF(Salary_Calculation[[#This Row],[Source Row]]="","",IF(N(Salary_Calculation[[#This Row],[Calendar Days]])&gt;0,Salary_Calculation[[#This Row],[Monthly Target Orders]]/N(Salary_Calculation[[#This Row],[Calendar Days]])*N(Salary_Calculation[[#This Row],[Working Days]]),0))</f>
        <v/>
      </c>
      <c r="I66" s="166" t="str">
        <f aca="false">IF(Salary_Calculation[[#This Row],[Source Row]]="","",IF(INDEX(Rider_Input[Completed Orders],Salary_Calculation[[#This Row],[Source Row]])="","",INDEX(Rider_Input[Completed Orders],Salary_Calculation[[#This Row],[Source Row]])))</f>
        <v/>
      </c>
      <c r="J66" s="165" t="str">
        <f aca="false">IF(Salary_Calculation[[#This Row],[Source Row]]="","",IF(Rate_Method="Fixed rate",Fixed_Rate,IF(N(Salary_Calculation[[#This Row],[Basic Payment]])&gt;0,N(Salary_Calculation[[#This Row],[Basic Payment]])/Std_Orders,0)))</f>
        <v/>
      </c>
      <c r="K66" s="165" t="str">
        <f aca="false">IF(Salary_Calculation[[#This Row],[Source Row]]="","",MAX(MIN(N(Salary_Calculation[[#This Row],[Completed Orders]]),Salary_Calculation[[#This Row],[Rider Target Orders]]),0))</f>
        <v/>
      </c>
      <c r="L66" s="164" t="str">
        <f aca="false">IF(Salary_Calculation[[#This Row],[Source Row]]="","",Salary_Calculation[[#This Row],[Orders Counted at Base Rate]]*Salary_Calculation[[#This Row],[Base Order Rate]])</f>
        <v/>
      </c>
      <c r="M66" s="165" t="str">
        <f aca="false">IF(Salary_Calculation[[#This Row],[Source Row]]="","",MAX(Salary_Calculation[[#This Row],[Rider Target Orders]]-N(Salary_Calculation[[#This Row],[Completed Orders]]),0))</f>
        <v/>
      </c>
      <c r="N66" s="164" t="str">
        <f aca="false">IF(Salary_Calculation[[#This Row],[Source Row]]="","",Salary_Calculation[[#This Row],[Missing Orders]]*Missing_Rate)</f>
        <v/>
      </c>
      <c r="O66" s="165" t="str">
        <f aca="false">IF(Salary_Calculation[[#This Row],[Source Row]]="","",MAX(N(Salary_Calculation[[#This Row],[Completed Orders]])-Salary_Calculation[[#This Row],[Rider Target Orders]],0))</f>
        <v/>
      </c>
      <c r="P66" s="164" t="str">
        <f aca="false">IF(Salary_Calculation[[#This Row],[Source Row]]="","",Salary_Calculation[[#This Row],[Extra Orders]]*Extra_Rate)</f>
        <v/>
      </c>
      <c r="Q66" s="164" t="str">
        <f aca="false">IF(Salary_Calculation[[#This Row],[Source Row]]="","",MAX(Salary_Calculation[[#This Row],[Salary Before Other Deductions]],0))</f>
        <v/>
      </c>
      <c r="R66" s="164" t="str">
        <f aca="false">IF(Salary_Calculation[[#This Row],[Source Row]]="","",N(INDEX(Rider_Input[missed_days_penalty],Salary_Calculation[[#This Row],[Source Row]])))</f>
        <v/>
      </c>
      <c r="S66" s="164" t="str">
        <f aca="false">IF(Salary_Calculation[[#This Row],[Source Row]]="","",N(INDEX(Rider_Input[Rider Balance / محفظة المندوب],Salary_Calculation[[#This Row],[Source Row]])))</f>
        <v/>
      </c>
      <c r="T66" s="164" t="str">
        <f aca="false">IF(Salary_Calculation[[#This Row],[Source Row]]="","",N(INDEX(Rider_Input[stacking_deduction / خصم الطلبات المتعددة],Salary_Calculation[[#This Row],[Source Row]])))</f>
        <v/>
      </c>
      <c r="U66" s="164" t="str">
        <f aca="false">IF(Salary_Calculation[[#This Row],[Source Row]]="","",N(INDEX(Rider_Input[Other Deductions],Salary_Calculation[[#This Row],[Source Row]])))</f>
        <v/>
      </c>
      <c r="V66" s="164" t="str">
        <f aca="false">IF(Salary_Calculation[[#This Row],[Source Row]]="","",N(Salary_Calculation[[#This Row],[missed_days_penalty]])+N(Salary_Calculation[[#This Row],[Rider Balance]])+N(Salary_Calculation[[#This Row],[stacking_deduction]])+N(Salary_Calculation[[#This Row],[Other Deductions]]))</f>
        <v/>
      </c>
      <c r="W66" s="167" t="str">
        <f aca="false">IF(Salary_Calculation[[#This Row],[Source Row]]="","",ROUND(MAX(Salary_Calculation[[#This Row],[Gross Salary Before Deductions]]-Salary_Calculation[[#This Row],[Total Deductions]],0),2))</f>
        <v/>
      </c>
      <c r="X66" s="164" t="str">
        <f aca="false">IF(Salary_Calculation[[#This Row],[Source Row]]="","",ROUND(MAX(Salary_Calculation[[#This Row],[Missing-Order Deduction]]-Salary_Calculation[[#This Row],[Earned Salary]],0),2))</f>
        <v/>
      </c>
      <c r="Y6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66" s="163" t="str">
        <f aca="false">IF(Salary_Calculation[[#This Row],[Source Row]]="","",IF(INDEX(Rider_Input[Notes],Salary_Calculation[[#This Row],[Source Row]])="","",INDEX(Rider_Input[Notes],Salary_Calculation[[#This Row],[Source Row]])))</f>
        <v/>
      </c>
      <c r="AA66" s="164" t="str">
        <f aca="false">IF(Salary_Calculation[[#This Row],[Source Row]]="","",Salary_Calculation[[#This Row],[Earned Salary]]-Salary_Calculation[[#This Row],[Missing-Order Deduction]]+Salary_Calculation[[#This Row],[Extra-Order Bonus]])</f>
        <v/>
      </c>
      <c r="AB66" s="164" t="str">
        <f aca="false">IF(Salary_Calculation[[#This Row],[Source Row]]="","",ROUND(Salary_Calculation[[#This Row],[Negative Balance / Amount Due from Rider]]+MAX(Salary_Calculation[[#This Row],[Total Deductions]]-Salary_Calculation[[#This Row],[Gross Salary Before Deductions]],0),2))</f>
        <v/>
      </c>
      <c r="AC6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66" s="164" t="str">
        <f aca="false">IF(Salary_Calculation[[#This Row],[Source Row]]="","",Salary_Calculation[[#This Row],[Rider Target Orders]]*Salary_Calculation[[#This Row],[Base Order Rate]])</f>
        <v/>
      </c>
      <c r="AE66" s="162" t="str">
        <f aca="false">IF(SUMPRODUCT(--(LEN(INDEX(Rider_Input[#Data],ROW()-ROW(Salary_Calculation[#Headers]),0))&gt;0))=0,"",ROW()-ROW(Salary_Calculation[#Headers]))</f>
        <v/>
      </c>
    </row>
    <row r="67" customFormat="false" ht="14.25" hidden="false" customHeight="false" outlineLevel="0" collapsed="false">
      <c r="A67" s="161" t="str">
        <f aca="false">IF(Salary_Calculation[[#This Row],[Source Row]]="","",IF(INDEX(Rider_Input[Salary Month],Salary_Calculation[[#This Row],[Source Row]])="","",INDEX(Rider_Input[Salary Month],Salary_Calculation[[#This Row],[Source Row]])))</f>
        <v/>
      </c>
      <c r="B67" s="162" t="str">
        <f aca="false">IF(Salary_Calculation[[#This Row],[Source Row]]="","",IF(INDEX(Rider_Input[Rider ID],Salary_Calculation[[#This Row],[Source Row]])="","",INDEX(Rider_Input[Rider ID],Salary_Calculation[[#This Row],[Source Row]])))</f>
        <v/>
      </c>
      <c r="C67" s="163" t="str">
        <f aca="false">IF(Salary_Calculation[[#This Row],[Source Row]]="","",IF(INDEX(Rider_Input[Rider Name],Salary_Calculation[[#This Row],[Source Row]])="","",INDEX(Rider_Input[Rider Name],Salary_Calculation[[#This Row],[Source Row]])))</f>
        <v/>
      </c>
      <c r="D67" s="164" t="str">
        <f aca="false">IF(Salary_Calculation[[#This Row],[Source Row]]="","",IF(INDEX(Rider_Input[Basic Payment],Salary_Calculation[[#This Row],[Source Row]])="","",INDEX(Rider_Input[Basic Payment],Salary_Calculation[[#This Row],[Source Row]])))</f>
        <v/>
      </c>
      <c r="E67" s="162" t="str">
        <f aca="false">IF(Salary_Calculation[[#This Row],[Source Row]]="","",IF(INDEX(Rider_Input[Calendar Days in Month],Salary_Calculation[[#This Row],[Source Row]])="","",INDEX(Rider_Input[Calendar Days in Month],Salary_Calculation[[#This Row],[Source Row]])))</f>
        <v/>
      </c>
      <c r="F67" s="162" t="str">
        <f aca="false">IF(Salary_Calculation[[#This Row],[Source Row]]="","",IF(INDEX(Rider_Input[Working Days],Salary_Calculation[[#This Row],[Source Row]])="","",INDEX(Rider_Input[Working Days],Salary_Calculation[[#This Row],[Source Row]])))</f>
        <v/>
      </c>
      <c r="G67" s="165" t="str">
        <f aca="false">IF(Salary_Calculation[[#This Row],[Source Row]]="","",Std_Orders/Std_Days*N(Salary_Calculation[[#This Row],[Calendar Days]]))</f>
        <v/>
      </c>
      <c r="H67" s="165" t="str">
        <f aca="false">IF(Salary_Calculation[[#This Row],[Source Row]]="","",IF(N(Salary_Calculation[[#This Row],[Calendar Days]])&gt;0,Salary_Calculation[[#This Row],[Monthly Target Orders]]/N(Salary_Calculation[[#This Row],[Calendar Days]])*N(Salary_Calculation[[#This Row],[Working Days]]),0))</f>
        <v/>
      </c>
      <c r="I67" s="166" t="str">
        <f aca="false">IF(Salary_Calculation[[#This Row],[Source Row]]="","",IF(INDEX(Rider_Input[Completed Orders],Salary_Calculation[[#This Row],[Source Row]])="","",INDEX(Rider_Input[Completed Orders],Salary_Calculation[[#This Row],[Source Row]])))</f>
        <v/>
      </c>
      <c r="J67" s="165" t="str">
        <f aca="false">IF(Salary_Calculation[[#This Row],[Source Row]]="","",IF(Rate_Method="Fixed rate",Fixed_Rate,IF(N(Salary_Calculation[[#This Row],[Basic Payment]])&gt;0,N(Salary_Calculation[[#This Row],[Basic Payment]])/Std_Orders,0)))</f>
        <v/>
      </c>
      <c r="K67" s="165" t="str">
        <f aca="false">IF(Salary_Calculation[[#This Row],[Source Row]]="","",MAX(MIN(N(Salary_Calculation[[#This Row],[Completed Orders]]),Salary_Calculation[[#This Row],[Rider Target Orders]]),0))</f>
        <v/>
      </c>
      <c r="L67" s="164" t="str">
        <f aca="false">IF(Salary_Calculation[[#This Row],[Source Row]]="","",Salary_Calculation[[#This Row],[Orders Counted at Base Rate]]*Salary_Calculation[[#This Row],[Base Order Rate]])</f>
        <v/>
      </c>
      <c r="M67" s="165" t="str">
        <f aca="false">IF(Salary_Calculation[[#This Row],[Source Row]]="","",MAX(Salary_Calculation[[#This Row],[Rider Target Orders]]-N(Salary_Calculation[[#This Row],[Completed Orders]]),0))</f>
        <v/>
      </c>
      <c r="N67" s="164" t="str">
        <f aca="false">IF(Salary_Calculation[[#This Row],[Source Row]]="","",Salary_Calculation[[#This Row],[Missing Orders]]*Missing_Rate)</f>
        <v/>
      </c>
      <c r="O67" s="165" t="str">
        <f aca="false">IF(Salary_Calculation[[#This Row],[Source Row]]="","",MAX(N(Salary_Calculation[[#This Row],[Completed Orders]])-Salary_Calculation[[#This Row],[Rider Target Orders]],0))</f>
        <v/>
      </c>
      <c r="P67" s="164" t="str">
        <f aca="false">IF(Salary_Calculation[[#This Row],[Source Row]]="","",Salary_Calculation[[#This Row],[Extra Orders]]*Extra_Rate)</f>
        <v/>
      </c>
      <c r="Q67" s="164" t="str">
        <f aca="false">IF(Salary_Calculation[[#This Row],[Source Row]]="","",MAX(Salary_Calculation[[#This Row],[Salary Before Other Deductions]],0))</f>
        <v/>
      </c>
      <c r="R67" s="164" t="str">
        <f aca="false">IF(Salary_Calculation[[#This Row],[Source Row]]="","",N(INDEX(Rider_Input[missed_days_penalty],Salary_Calculation[[#This Row],[Source Row]])))</f>
        <v/>
      </c>
      <c r="S67" s="164" t="str">
        <f aca="false">IF(Salary_Calculation[[#This Row],[Source Row]]="","",N(INDEX(Rider_Input[Rider Balance / محفظة المندوب],Salary_Calculation[[#This Row],[Source Row]])))</f>
        <v/>
      </c>
      <c r="T67" s="164" t="str">
        <f aca="false">IF(Salary_Calculation[[#This Row],[Source Row]]="","",N(INDEX(Rider_Input[stacking_deduction / خصم الطلبات المتعددة],Salary_Calculation[[#This Row],[Source Row]])))</f>
        <v/>
      </c>
      <c r="U67" s="164" t="str">
        <f aca="false">IF(Salary_Calculation[[#This Row],[Source Row]]="","",N(INDEX(Rider_Input[Other Deductions],Salary_Calculation[[#This Row],[Source Row]])))</f>
        <v/>
      </c>
      <c r="V67" s="164" t="str">
        <f aca="false">IF(Salary_Calculation[[#This Row],[Source Row]]="","",N(Salary_Calculation[[#This Row],[missed_days_penalty]])+N(Salary_Calculation[[#This Row],[Rider Balance]])+N(Salary_Calculation[[#This Row],[stacking_deduction]])+N(Salary_Calculation[[#This Row],[Other Deductions]]))</f>
        <v/>
      </c>
      <c r="W67" s="167" t="str">
        <f aca="false">IF(Salary_Calculation[[#This Row],[Source Row]]="","",ROUND(MAX(Salary_Calculation[[#This Row],[Gross Salary Before Deductions]]-Salary_Calculation[[#This Row],[Total Deductions]],0),2))</f>
        <v/>
      </c>
      <c r="X67" s="164" t="str">
        <f aca="false">IF(Salary_Calculation[[#This Row],[Source Row]]="","",ROUND(MAX(Salary_Calculation[[#This Row],[Missing-Order Deduction]]-Salary_Calculation[[#This Row],[Earned Salary]],0),2))</f>
        <v/>
      </c>
      <c r="Y6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67" s="163" t="str">
        <f aca="false">IF(Salary_Calculation[[#This Row],[Source Row]]="","",IF(INDEX(Rider_Input[Notes],Salary_Calculation[[#This Row],[Source Row]])="","",INDEX(Rider_Input[Notes],Salary_Calculation[[#This Row],[Source Row]])))</f>
        <v/>
      </c>
      <c r="AA67" s="164" t="str">
        <f aca="false">IF(Salary_Calculation[[#This Row],[Source Row]]="","",Salary_Calculation[[#This Row],[Earned Salary]]-Salary_Calculation[[#This Row],[Missing-Order Deduction]]+Salary_Calculation[[#This Row],[Extra-Order Bonus]])</f>
        <v/>
      </c>
      <c r="AB67" s="164" t="str">
        <f aca="false">IF(Salary_Calculation[[#This Row],[Source Row]]="","",ROUND(Salary_Calculation[[#This Row],[Negative Balance / Amount Due from Rider]]+MAX(Salary_Calculation[[#This Row],[Total Deductions]]-Salary_Calculation[[#This Row],[Gross Salary Before Deductions]],0),2))</f>
        <v/>
      </c>
      <c r="AC6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67" s="164" t="str">
        <f aca="false">IF(Salary_Calculation[[#This Row],[Source Row]]="","",Salary_Calculation[[#This Row],[Rider Target Orders]]*Salary_Calculation[[#This Row],[Base Order Rate]])</f>
        <v/>
      </c>
      <c r="AE67" s="162" t="str">
        <f aca="false">IF(SUMPRODUCT(--(LEN(INDEX(Rider_Input[#Data],ROW()-ROW(Salary_Calculation[#Headers]),0))&gt;0))=0,"",ROW()-ROW(Salary_Calculation[#Headers]))</f>
        <v/>
      </c>
    </row>
    <row r="68" customFormat="false" ht="14.25" hidden="false" customHeight="false" outlineLevel="0" collapsed="false">
      <c r="A68" s="161" t="str">
        <f aca="false">IF(Salary_Calculation[[#This Row],[Source Row]]="","",IF(INDEX(Rider_Input[Salary Month],Salary_Calculation[[#This Row],[Source Row]])="","",INDEX(Rider_Input[Salary Month],Salary_Calculation[[#This Row],[Source Row]])))</f>
        <v/>
      </c>
      <c r="B68" s="162" t="str">
        <f aca="false">IF(Salary_Calculation[[#This Row],[Source Row]]="","",IF(INDEX(Rider_Input[Rider ID],Salary_Calculation[[#This Row],[Source Row]])="","",INDEX(Rider_Input[Rider ID],Salary_Calculation[[#This Row],[Source Row]])))</f>
        <v/>
      </c>
      <c r="C68" s="163" t="str">
        <f aca="false">IF(Salary_Calculation[[#This Row],[Source Row]]="","",IF(INDEX(Rider_Input[Rider Name],Salary_Calculation[[#This Row],[Source Row]])="","",INDEX(Rider_Input[Rider Name],Salary_Calculation[[#This Row],[Source Row]])))</f>
        <v/>
      </c>
      <c r="D68" s="164" t="str">
        <f aca="false">IF(Salary_Calculation[[#This Row],[Source Row]]="","",IF(INDEX(Rider_Input[Basic Payment],Salary_Calculation[[#This Row],[Source Row]])="","",INDEX(Rider_Input[Basic Payment],Salary_Calculation[[#This Row],[Source Row]])))</f>
        <v/>
      </c>
      <c r="E68" s="162" t="str">
        <f aca="false">IF(Salary_Calculation[[#This Row],[Source Row]]="","",IF(INDEX(Rider_Input[Calendar Days in Month],Salary_Calculation[[#This Row],[Source Row]])="","",INDEX(Rider_Input[Calendar Days in Month],Salary_Calculation[[#This Row],[Source Row]])))</f>
        <v/>
      </c>
      <c r="F68" s="162" t="str">
        <f aca="false">IF(Salary_Calculation[[#This Row],[Source Row]]="","",IF(INDEX(Rider_Input[Working Days],Salary_Calculation[[#This Row],[Source Row]])="","",INDEX(Rider_Input[Working Days],Salary_Calculation[[#This Row],[Source Row]])))</f>
        <v/>
      </c>
      <c r="G68" s="165" t="str">
        <f aca="false">IF(Salary_Calculation[[#This Row],[Source Row]]="","",Std_Orders/Std_Days*N(Salary_Calculation[[#This Row],[Calendar Days]]))</f>
        <v/>
      </c>
      <c r="H68" s="165" t="str">
        <f aca="false">IF(Salary_Calculation[[#This Row],[Source Row]]="","",IF(N(Salary_Calculation[[#This Row],[Calendar Days]])&gt;0,Salary_Calculation[[#This Row],[Monthly Target Orders]]/N(Salary_Calculation[[#This Row],[Calendar Days]])*N(Salary_Calculation[[#This Row],[Working Days]]),0))</f>
        <v/>
      </c>
      <c r="I68" s="166" t="str">
        <f aca="false">IF(Salary_Calculation[[#This Row],[Source Row]]="","",IF(INDEX(Rider_Input[Completed Orders],Salary_Calculation[[#This Row],[Source Row]])="","",INDEX(Rider_Input[Completed Orders],Salary_Calculation[[#This Row],[Source Row]])))</f>
        <v/>
      </c>
      <c r="J68" s="165" t="str">
        <f aca="false">IF(Salary_Calculation[[#This Row],[Source Row]]="","",IF(Rate_Method="Fixed rate",Fixed_Rate,IF(N(Salary_Calculation[[#This Row],[Basic Payment]])&gt;0,N(Salary_Calculation[[#This Row],[Basic Payment]])/Std_Orders,0)))</f>
        <v/>
      </c>
      <c r="K68" s="165" t="str">
        <f aca="false">IF(Salary_Calculation[[#This Row],[Source Row]]="","",MAX(MIN(N(Salary_Calculation[[#This Row],[Completed Orders]]),Salary_Calculation[[#This Row],[Rider Target Orders]]),0))</f>
        <v/>
      </c>
      <c r="L68" s="164" t="str">
        <f aca="false">IF(Salary_Calculation[[#This Row],[Source Row]]="","",Salary_Calculation[[#This Row],[Orders Counted at Base Rate]]*Salary_Calculation[[#This Row],[Base Order Rate]])</f>
        <v/>
      </c>
      <c r="M68" s="165" t="str">
        <f aca="false">IF(Salary_Calculation[[#This Row],[Source Row]]="","",MAX(Salary_Calculation[[#This Row],[Rider Target Orders]]-N(Salary_Calculation[[#This Row],[Completed Orders]]),0))</f>
        <v/>
      </c>
      <c r="N68" s="164" t="str">
        <f aca="false">IF(Salary_Calculation[[#This Row],[Source Row]]="","",Salary_Calculation[[#This Row],[Missing Orders]]*Missing_Rate)</f>
        <v/>
      </c>
      <c r="O68" s="165" t="str">
        <f aca="false">IF(Salary_Calculation[[#This Row],[Source Row]]="","",MAX(N(Salary_Calculation[[#This Row],[Completed Orders]])-Salary_Calculation[[#This Row],[Rider Target Orders]],0))</f>
        <v/>
      </c>
      <c r="P68" s="164" t="str">
        <f aca="false">IF(Salary_Calculation[[#This Row],[Source Row]]="","",Salary_Calculation[[#This Row],[Extra Orders]]*Extra_Rate)</f>
        <v/>
      </c>
      <c r="Q68" s="164" t="str">
        <f aca="false">IF(Salary_Calculation[[#This Row],[Source Row]]="","",MAX(Salary_Calculation[[#This Row],[Salary Before Other Deductions]],0))</f>
        <v/>
      </c>
      <c r="R68" s="164" t="str">
        <f aca="false">IF(Salary_Calculation[[#This Row],[Source Row]]="","",N(INDEX(Rider_Input[missed_days_penalty],Salary_Calculation[[#This Row],[Source Row]])))</f>
        <v/>
      </c>
      <c r="S68" s="164" t="str">
        <f aca="false">IF(Salary_Calculation[[#This Row],[Source Row]]="","",N(INDEX(Rider_Input[Rider Balance / محفظة المندوب],Salary_Calculation[[#This Row],[Source Row]])))</f>
        <v/>
      </c>
      <c r="T68" s="164" t="str">
        <f aca="false">IF(Salary_Calculation[[#This Row],[Source Row]]="","",N(INDEX(Rider_Input[stacking_deduction / خصم الطلبات المتعددة],Salary_Calculation[[#This Row],[Source Row]])))</f>
        <v/>
      </c>
      <c r="U68" s="164" t="str">
        <f aca="false">IF(Salary_Calculation[[#This Row],[Source Row]]="","",N(INDEX(Rider_Input[Other Deductions],Salary_Calculation[[#This Row],[Source Row]])))</f>
        <v/>
      </c>
      <c r="V68" s="164" t="str">
        <f aca="false">IF(Salary_Calculation[[#This Row],[Source Row]]="","",N(Salary_Calculation[[#This Row],[missed_days_penalty]])+N(Salary_Calculation[[#This Row],[Rider Balance]])+N(Salary_Calculation[[#This Row],[stacking_deduction]])+N(Salary_Calculation[[#This Row],[Other Deductions]]))</f>
        <v/>
      </c>
      <c r="W68" s="167" t="str">
        <f aca="false">IF(Salary_Calculation[[#This Row],[Source Row]]="","",ROUND(MAX(Salary_Calculation[[#This Row],[Gross Salary Before Deductions]]-Salary_Calculation[[#This Row],[Total Deductions]],0),2))</f>
        <v/>
      </c>
      <c r="X68" s="164" t="str">
        <f aca="false">IF(Salary_Calculation[[#This Row],[Source Row]]="","",ROUND(MAX(Salary_Calculation[[#This Row],[Missing-Order Deduction]]-Salary_Calculation[[#This Row],[Earned Salary]],0),2))</f>
        <v/>
      </c>
      <c r="Y6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68" s="163" t="str">
        <f aca="false">IF(Salary_Calculation[[#This Row],[Source Row]]="","",IF(INDEX(Rider_Input[Notes],Salary_Calculation[[#This Row],[Source Row]])="","",INDEX(Rider_Input[Notes],Salary_Calculation[[#This Row],[Source Row]])))</f>
        <v/>
      </c>
      <c r="AA68" s="164" t="str">
        <f aca="false">IF(Salary_Calculation[[#This Row],[Source Row]]="","",Salary_Calculation[[#This Row],[Earned Salary]]-Salary_Calculation[[#This Row],[Missing-Order Deduction]]+Salary_Calculation[[#This Row],[Extra-Order Bonus]])</f>
        <v/>
      </c>
      <c r="AB68" s="164" t="str">
        <f aca="false">IF(Salary_Calculation[[#This Row],[Source Row]]="","",ROUND(Salary_Calculation[[#This Row],[Negative Balance / Amount Due from Rider]]+MAX(Salary_Calculation[[#This Row],[Total Deductions]]-Salary_Calculation[[#This Row],[Gross Salary Before Deductions]],0),2))</f>
        <v/>
      </c>
      <c r="AC6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68" s="164" t="str">
        <f aca="false">IF(Salary_Calculation[[#This Row],[Source Row]]="","",Salary_Calculation[[#This Row],[Rider Target Orders]]*Salary_Calculation[[#This Row],[Base Order Rate]])</f>
        <v/>
      </c>
      <c r="AE68" s="162" t="str">
        <f aca="false">IF(SUMPRODUCT(--(LEN(INDEX(Rider_Input[#Data],ROW()-ROW(Salary_Calculation[#Headers]),0))&gt;0))=0,"",ROW()-ROW(Salary_Calculation[#Headers]))</f>
        <v/>
      </c>
    </row>
    <row r="69" customFormat="false" ht="14.25" hidden="false" customHeight="false" outlineLevel="0" collapsed="false">
      <c r="A69" s="161" t="str">
        <f aca="false">IF(Salary_Calculation[[#This Row],[Source Row]]="","",IF(INDEX(Rider_Input[Salary Month],Salary_Calculation[[#This Row],[Source Row]])="","",INDEX(Rider_Input[Salary Month],Salary_Calculation[[#This Row],[Source Row]])))</f>
        <v/>
      </c>
      <c r="B69" s="162" t="str">
        <f aca="false">IF(Salary_Calculation[[#This Row],[Source Row]]="","",IF(INDEX(Rider_Input[Rider ID],Salary_Calculation[[#This Row],[Source Row]])="","",INDEX(Rider_Input[Rider ID],Salary_Calculation[[#This Row],[Source Row]])))</f>
        <v/>
      </c>
      <c r="C69" s="163" t="str">
        <f aca="false">IF(Salary_Calculation[[#This Row],[Source Row]]="","",IF(INDEX(Rider_Input[Rider Name],Salary_Calculation[[#This Row],[Source Row]])="","",INDEX(Rider_Input[Rider Name],Salary_Calculation[[#This Row],[Source Row]])))</f>
        <v/>
      </c>
      <c r="D69" s="164" t="str">
        <f aca="false">IF(Salary_Calculation[[#This Row],[Source Row]]="","",IF(INDEX(Rider_Input[Basic Payment],Salary_Calculation[[#This Row],[Source Row]])="","",INDEX(Rider_Input[Basic Payment],Salary_Calculation[[#This Row],[Source Row]])))</f>
        <v/>
      </c>
      <c r="E69" s="162" t="str">
        <f aca="false">IF(Salary_Calculation[[#This Row],[Source Row]]="","",IF(INDEX(Rider_Input[Calendar Days in Month],Salary_Calculation[[#This Row],[Source Row]])="","",INDEX(Rider_Input[Calendar Days in Month],Salary_Calculation[[#This Row],[Source Row]])))</f>
        <v/>
      </c>
      <c r="F69" s="162" t="str">
        <f aca="false">IF(Salary_Calculation[[#This Row],[Source Row]]="","",IF(INDEX(Rider_Input[Working Days],Salary_Calculation[[#This Row],[Source Row]])="","",INDEX(Rider_Input[Working Days],Salary_Calculation[[#This Row],[Source Row]])))</f>
        <v/>
      </c>
      <c r="G69" s="165" t="str">
        <f aca="false">IF(Salary_Calculation[[#This Row],[Source Row]]="","",Std_Orders/Std_Days*N(Salary_Calculation[[#This Row],[Calendar Days]]))</f>
        <v/>
      </c>
      <c r="H69" s="165" t="str">
        <f aca="false">IF(Salary_Calculation[[#This Row],[Source Row]]="","",IF(N(Salary_Calculation[[#This Row],[Calendar Days]])&gt;0,Salary_Calculation[[#This Row],[Monthly Target Orders]]/N(Salary_Calculation[[#This Row],[Calendar Days]])*N(Salary_Calculation[[#This Row],[Working Days]]),0))</f>
        <v/>
      </c>
      <c r="I69" s="166" t="str">
        <f aca="false">IF(Salary_Calculation[[#This Row],[Source Row]]="","",IF(INDEX(Rider_Input[Completed Orders],Salary_Calculation[[#This Row],[Source Row]])="","",INDEX(Rider_Input[Completed Orders],Salary_Calculation[[#This Row],[Source Row]])))</f>
        <v/>
      </c>
      <c r="J69" s="165" t="str">
        <f aca="false">IF(Salary_Calculation[[#This Row],[Source Row]]="","",IF(Rate_Method="Fixed rate",Fixed_Rate,IF(N(Salary_Calculation[[#This Row],[Basic Payment]])&gt;0,N(Salary_Calculation[[#This Row],[Basic Payment]])/Std_Orders,0)))</f>
        <v/>
      </c>
      <c r="K69" s="165" t="str">
        <f aca="false">IF(Salary_Calculation[[#This Row],[Source Row]]="","",MAX(MIN(N(Salary_Calculation[[#This Row],[Completed Orders]]),Salary_Calculation[[#This Row],[Rider Target Orders]]),0))</f>
        <v/>
      </c>
      <c r="L69" s="164" t="str">
        <f aca="false">IF(Salary_Calculation[[#This Row],[Source Row]]="","",Salary_Calculation[[#This Row],[Orders Counted at Base Rate]]*Salary_Calculation[[#This Row],[Base Order Rate]])</f>
        <v/>
      </c>
      <c r="M69" s="165" t="str">
        <f aca="false">IF(Salary_Calculation[[#This Row],[Source Row]]="","",MAX(Salary_Calculation[[#This Row],[Rider Target Orders]]-N(Salary_Calculation[[#This Row],[Completed Orders]]),0))</f>
        <v/>
      </c>
      <c r="N69" s="164" t="str">
        <f aca="false">IF(Salary_Calculation[[#This Row],[Source Row]]="","",Salary_Calculation[[#This Row],[Missing Orders]]*Missing_Rate)</f>
        <v/>
      </c>
      <c r="O69" s="165" t="str">
        <f aca="false">IF(Salary_Calculation[[#This Row],[Source Row]]="","",MAX(N(Salary_Calculation[[#This Row],[Completed Orders]])-Salary_Calculation[[#This Row],[Rider Target Orders]],0))</f>
        <v/>
      </c>
      <c r="P69" s="164" t="str">
        <f aca="false">IF(Salary_Calculation[[#This Row],[Source Row]]="","",Salary_Calculation[[#This Row],[Extra Orders]]*Extra_Rate)</f>
        <v/>
      </c>
      <c r="Q69" s="164" t="str">
        <f aca="false">IF(Salary_Calculation[[#This Row],[Source Row]]="","",MAX(Salary_Calculation[[#This Row],[Salary Before Other Deductions]],0))</f>
        <v/>
      </c>
      <c r="R69" s="164" t="str">
        <f aca="false">IF(Salary_Calculation[[#This Row],[Source Row]]="","",N(INDEX(Rider_Input[missed_days_penalty],Salary_Calculation[[#This Row],[Source Row]])))</f>
        <v/>
      </c>
      <c r="S69" s="164" t="str">
        <f aca="false">IF(Salary_Calculation[[#This Row],[Source Row]]="","",N(INDEX(Rider_Input[Rider Balance / محفظة المندوب],Salary_Calculation[[#This Row],[Source Row]])))</f>
        <v/>
      </c>
      <c r="T69" s="164" t="str">
        <f aca="false">IF(Salary_Calculation[[#This Row],[Source Row]]="","",N(INDEX(Rider_Input[stacking_deduction / خصم الطلبات المتعددة],Salary_Calculation[[#This Row],[Source Row]])))</f>
        <v/>
      </c>
      <c r="U69" s="164" t="str">
        <f aca="false">IF(Salary_Calculation[[#This Row],[Source Row]]="","",N(INDEX(Rider_Input[Other Deductions],Salary_Calculation[[#This Row],[Source Row]])))</f>
        <v/>
      </c>
      <c r="V69" s="164" t="str">
        <f aca="false">IF(Salary_Calculation[[#This Row],[Source Row]]="","",N(Salary_Calculation[[#This Row],[missed_days_penalty]])+N(Salary_Calculation[[#This Row],[Rider Balance]])+N(Salary_Calculation[[#This Row],[stacking_deduction]])+N(Salary_Calculation[[#This Row],[Other Deductions]]))</f>
        <v/>
      </c>
      <c r="W69" s="167" t="str">
        <f aca="false">IF(Salary_Calculation[[#This Row],[Source Row]]="","",ROUND(MAX(Salary_Calculation[[#This Row],[Gross Salary Before Deductions]]-Salary_Calculation[[#This Row],[Total Deductions]],0),2))</f>
        <v/>
      </c>
      <c r="X69" s="164" t="str">
        <f aca="false">IF(Salary_Calculation[[#This Row],[Source Row]]="","",ROUND(MAX(Salary_Calculation[[#This Row],[Missing-Order Deduction]]-Salary_Calculation[[#This Row],[Earned Salary]],0),2))</f>
        <v/>
      </c>
      <c r="Y6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69" s="163" t="str">
        <f aca="false">IF(Salary_Calculation[[#This Row],[Source Row]]="","",IF(INDEX(Rider_Input[Notes],Salary_Calculation[[#This Row],[Source Row]])="","",INDEX(Rider_Input[Notes],Salary_Calculation[[#This Row],[Source Row]])))</f>
        <v/>
      </c>
      <c r="AA69" s="164" t="str">
        <f aca="false">IF(Salary_Calculation[[#This Row],[Source Row]]="","",Salary_Calculation[[#This Row],[Earned Salary]]-Salary_Calculation[[#This Row],[Missing-Order Deduction]]+Salary_Calculation[[#This Row],[Extra-Order Bonus]])</f>
        <v/>
      </c>
      <c r="AB69" s="164" t="str">
        <f aca="false">IF(Salary_Calculation[[#This Row],[Source Row]]="","",ROUND(Salary_Calculation[[#This Row],[Negative Balance / Amount Due from Rider]]+MAX(Salary_Calculation[[#This Row],[Total Deductions]]-Salary_Calculation[[#This Row],[Gross Salary Before Deductions]],0),2))</f>
        <v/>
      </c>
      <c r="AC6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69" s="164" t="str">
        <f aca="false">IF(Salary_Calculation[[#This Row],[Source Row]]="","",Salary_Calculation[[#This Row],[Rider Target Orders]]*Salary_Calculation[[#This Row],[Base Order Rate]])</f>
        <v/>
      </c>
      <c r="AE69" s="162" t="str">
        <f aca="false">IF(SUMPRODUCT(--(LEN(INDEX(Rider_Input[#Data],ROW()-ROW(Salary_Calculation[#Headers]),0))&gt;0))=0,"",ROW()-ROW(Salary_Calculation[#Headers]))</f>
        <v/>
      </c>
    </row>
    <row r="70" customFormat="false" ht="14.25" hidden="false" customHeight="false" outlineLevel="0" collapsed="false">
      <c r="A70" s="161" t="str">
        <f aca="false">IF(Salary_Calculation[[#This Row],[Source Row]]="","",IF(INDEX(Rider_Input[Salary Month],Salary_Calculation[[#This Row],[Source Row]])="","",INDEX(Rider_Input[Salary Month],Salary_Calculation[[#This Row],[Source Row]])))</f>
        <v/>
      </c>
      <c r="B70" s="162" t="str">
        <f aca="false">IF(Salary_Calculation[[#This Row],[Source Row]]="","",IF(INDEX(Rider_Input[Rider ID],Salary_Calculation[[#This Row],[Source Row]])="","",INDEX(Rider_Input[Rider ID],Salary_Calculation[[#This Row],[Source Row]])))</f>
        <v/>
      </c>
      <c r="C70" s="163" t="str">
        <f aca="false">IF(Salary_Calculation[[#This Row],[Source Row]]="","",IF(INDEX(Rider_Input[Rider Name],Salary_Calculation[[#This Row],[Source Row]])="","",INDEX(Rider_Input[Rider Name],Salary_Calculation[[#This Row],[Source Row]])))</f>
        <v/>
      </c>
      <c r="D70" s="164" t="str">
        <f aca="false">IF(Salary_Calculation[[#This Row],[Source Row]]="","",IF(INDEX(Rider_Input[Basic Payment],Salary_Calculation[[#This Row],[Source Row]])="","",INDEX(Rider_Input[Basic Payment],Salary_Calculation[[#This Row],[Source Row]])))</f>
        <v/>
      </c>
      <c r="E70" s="162" t="str">
        <f aca="false">IF(Salary_Calculation[[#This Row],[Source Row]]="","",IF(INDEX(Rider_Input[Calendar Days in Month],Salary_Calculation[[#This Row],[Source Row]])="","",INDEX(Rider_Input[Calendar Days in Month],Salary_Calculation[[#This Row],[Source Row]])))</f>
        <v/>
      </c>
      <c r="F70" s="162" t="str">
        <f aca="false">IF(Salary_Calculation[[#This Row],[Source Row]]="","",IF(INDEX(Rider_Input[Working Days],Salary_Calculation[[#This Row],[Source Row]])="","",INDEX(Rider_Input[Working Days],Salary_Calculation[[#This Row],[Source Row]])))</f>
        <v/>
      </c>
      <c r="G70" s="165" t="str">
        <f aca="false">IF(Salary_Calculation[[#This Row],[Source Row]]="","",Std_Orders/Std_Days*N(Salary_Calculation[[#This Row],[Calendar Days]]))</f>
        <v/>
      </c>
      <c r="H70" s="165" t="str">
        <f aca="false">IF(Salary_Calculation[[#This Row],[Source Row]]="","",IF(N(Salary_Calculation[[#This Row],[Calendar Days]])&gt;0,Salary_Calculation[[#This Row],[Monthly Target Orders]]/N(Salary_Calculation[[#This Row],[Calendar Days]])*N(Salary_Calculation[[#This Row],[Working Days]]),0))</f>
        <v/>
      </c>
      <c r="I70" s="166" t="str">
        <f aca="false">IF(Salary_Calculation[[#This Row],[Source Row]]="","",IF(INDEX(Rider_Input[Completed Orders],Salary_Calculation[[#This Row],[Source Row]])="","",INDEX(Rider_Input[Completed Orders],Salary_Calculation[[#This Row],[Source Row]])))</f>
        <v/>
      </c>
      <c r="J70" s="165" t="str">
        <f aca="false">IF(Salary_Calculation[[#This Row],[Source Row]]="","",IF(Rate_Method="Fixed rate",Fixed_Rate,IF(N(Salary_Calculation[[#This Row],[Basic Payment]])&gt;0,N(Salary_Calculation[[#This Row],[Basic Payment]])/Std_Orders,0)))</f>
        <v/>
      </c>
      <c r="K70" s="165" t="str">
        <f aca="false">IF(Salary_Calculation[[#This Row],[Source Row]]="","",MAX(MIN(N(Salary_Calculation[[#This Row],[Completed Orders]]),Salary_Calculation[[#This Row],[Rider Target Orders]]),0))</f>
        <v/>
      </c>
      <c r="L70" s="164" t="str">
        <f aca="false">IF(Salary_Calculation[[#This Row],[Source Row]]="","",Salary_Calculation[[#This Row],[Orders Counted at Base Rate]]*Salary_Calculation[[#This Row],[Base Order Rate]])</f>
        <v/>
      </c>
      <c r="M70" s="165" t="str">
        <f aca="false">IF(Salary_Calculation[[#This Row],[Source Row]]="","",MAX(Salary_Calculation[[#This Row],[Rider Target Orders]]-N(Salary_Calculation[[#This Row],[Completed Orders]]),0))</f>
        <v/>
      </c>
      <c r="N70" s="164" t="str">
        <f aca="false">IF(Salary_Calculation[[#This Row],[Source Row]]="","",Salary_Calculation[[#This Row],[Missing Orders]]*Missing_Rate)</f>
        <v/>
      </c>
      <c r="O70" s="165" t="str">
        <f aca="false">IF(Salary_Calculation[[#This Row],[Source Row]]="","",MAX(N(Salary_Calculation[[#This Row],[Completed Orders]])-Salary_Calculation[[#This Row],[Rider Target Orders]],0))</f>
        <v/>
      </c>
      <c r="P70" s="164" t="str">
        <f aca="false">IF(Salary_Calculation[[#This Row],[Source Row]]="","",Salary_Calculation[[#This Row],[Extra Orders]]*Extra_Rate)</f>
        <v/>
      </c>
      <c r="Q70" s="164" t="str">
        <f aca="false">IF(Salary_Calculation[[#This Row],[Source Row]]="","",MAX(Salary_Calculation[[#This Row],[Salary Before Other Deductions]],0))</f>
        <v/>
      </c>
      <c r="R70" s="164" t="str">
        <f aca="false">IF(Salary_Calculation[[#This Row],[Source Row]]="","",N(INDEX(Rider_Input[missed_days_penalty],Salary_Calculation[[#This Row],[Source Row]])))</f>
        <v/>
      </c>
      <c r="S70" s="164" t="str">
        <f aca="false">IF(Salary_Calculation[[#This Row],[Source Row]]="","",N(INDEX(Rider_Input[Rider Balance / محفظة المندوب],Salary_Calculation[[#This Row],[Source Row]])))</f>
        <v/>
      </c>
      <c r="T70" s="164" t="str">
        <f aca="false">IF(Salary_Calculation[[#This Row],[Source Row]]="","",N(INDEX(Rider_Input[stacking_deduction / خصم الطلبات المتعددة],Salary_Calculation[[#This Row],[Source Row]])))</f>
        <v/>
      </c>
      <c r="U70" s="164" t="str">
        <f aca="false">IF(Salary_Calculation[[#This Row],[Source Row]]="","",N(INDEX(Rider_Input[Other Deductions],Salary_Calculation[[#This Row],[Source Row]])))</f>
        <v/>
      </c>
      <c r="V70" s="164" t="str">
        <f aca="false">IF(Salary_Calculation[[#This Row],[Source Row]]="","",N(Salary_Calculation[[#This Row],[missed_days_penalty]])+N(Salary_Calculation[[#This Row],[Rider Balance]])+N(Salary_Calculation[[#This Row],[stacking_deduction]])+N(Salary_Calculation[[#This Row],[Other Deductions]]))</f>
        <v/>
      </c>
      <c r="W70" s="167" t="str">
        <f aca="false">IF(Salary_Calculation[[#This Row],[Source Row]]="","",ROUND(MAX(Salary_Calculation[[#This Row],[Gross Salary Before Deductions]]-Salary_Calculation[[#This Row],[Total Deductions]],0),2))</f>
        <v/>
      </c>
      <c r="X70" s="164" t="str">
        <f aca="false">IF(Salary_Calculation[[#This Row],[Source Row]]="","",ROUND(MAX(Salary_Calculation[[#This Row],[Missing-Order Deduction]]-Salary_Calculation[[#This Row],[Earned Salary]],0),2))</f>
        <v/>
      </c>
      <c r="Y7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70" s="163" t="str">
        <f aca="false">IF(Salary_Calculation[[#This Row],[Source Row]]="","",IF(INDEX(Rider_Input[Notes],Salary_Calculation[[#This Row],[Source Row]])="","",INDEX(Rider_Input[Notes],Salary_Calculation[[#This Row],[Source Row]])))</f>
        <v/>
      </c>
      <c r="AA70" s="164" t="str">
        <f aca="false">IF(Salary_Calculation[[#This Row],[Source Row]]="","",Salary_Calculation[[#This Row],[Earned Salary]]-Salary_Calculation[[#This Row],[Missing-Order Deduction]]+Salary_Calculation[[#This Row],[Extra-Order Bonus]])</f>
        <v/>
      </c>
      <c r="AB70" s="164" t="str">
        <f aca="false">IF(Salary_Calculation[[#This Row],[Source Row]]="","",ROUND(Salary_Calculation[[#This Row],[Negative Balance / Amount Due from Rider]]+MAX(Salary_Calculation[[#This Row],[Total Deductions]]-Salary_Calculation[[#This Row],[Gross Salary Before Deductions]],0),2))</f>
        <v/>
      </c>
      <c r="AC7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70" s="164" t="str">
        <f aca="false">IF(Salary_Calculation[[#This Row],[Source Row]]="","",Salary_Calculation[[#This Row],[Rider Target Orders]]*Salary_Calculation[[#This Row],[Base Order Rate]])</f>
        <v/>
      </c>
      <c r="AE70" s="162" t="str">
        <f aca="false">IF(SUMPRODUCT(--(LEN(INDEX(Rider_Input[#Data],ROW()-ROW(Salary_Calculation[#Headers]),0))&gt;0))=0,"",ROW()-ROW(Salary_Calculation[#Headers]))</f>
        <v/>
      </c>
    </row>
    <row r="71" customFormat="false" ht="14.25" hidden="false" customHeight="false" outlineLevel="0" collapsed="false">
      <c r="A71" s="161" t="str">
        <f aca="false">IF(Salary_Calculation[[#This Row],[Source Row]]="","",IF(INDEX(Rider_Input[Salary Month],Salary_Calculation[[#This Row],[Source Row]])="","",INDEX(Rider_Input[Salary Month],Salary_Calculation[[#This Row],[Source Row]])))</f>
        <v/>
      </c>
      <c r="B71" s="162" t="str">
        <f aca="false">IF(Salary_Calculation[[#This Row],[Source Row]]="","",IF(INDEX(Rider_Input[Rider ID],Salary_Calculation[[#This Row],[Source Row]])="","",INDEX(Rider_Input[Rider ID],Salary_Calculation[[#This Row],[Source Row]])))</f>
        <v/>
      </c>
      <c r="C71" s="163" t="str">
        <f aca="false">IF(Salary_Calculation[[#This Row],[Source Row]]="","",IF(INDEX(Rider_Input[Rider Name],Salary_Calculation[[#This Row],[Source Row]])="","",INDEX(Rider_Input[Rider Name],Salary_Calculation[[#This Row],[Source Row]])))</f>
        <v/>
      </c>
      <c r="D71" s="164" t="str">
        <f aca="false">IF(Salary_Calculation[[#This Row],[Source Row]]="","",IF(INDEX(Rider_Input[Basic Payment],Salary_Calculation[[#This Row],[Source Row]])="","",INDEX(Rider_Input[Basic Payment],Salary_Calculation[[#This Row],[Source Row]])))</f>
        <v/>
      </c>
      <c r="E71" s="162" t="str">
        <f aca="false">IF(Salary_Calculation[[#This Row],[Source Row]]="","",IF(INDEX(Rider_Input[Calendar Days in Month],Salary_Calculation[[#This Row],[Source Row]])="","",INDEX(Rider_Input[Calendar Days in Month],Salary_Calculation[[#This Row],[Source Row]])))</f>
        <v/>
      </c>
      <c r="F71" s="162" t="str">
        <f aca="false">IF(Salary_Calculation[[#This Row],[Source Row]]="","",IF(INDEX(Rider_Input[Working Days],Salary_Calculation[[#This Row],[Source Row]])="","",INDEX(Rider_Input[Working Days],Salary_Calculation[[#This Row],[Source Row]])))</f>
        <v/>
      </c>
      <c r="G71" s="165" t="str">
        <f aca="false">IF(Salary_Calculation[[#This Row],[Source Row]]="","",Std_Orders/Std_Days*N(Salary_Calculation[[#This Row],[Calendar Days]]))</f>
        <v/>
      </c>
      <c r="H71" s="165" t="str">
        <f aca="false">IF(Salary_Calculation[[#This Row],[Source Row]]="","",IF(N(Salary_Calculation[[#This Row],[Calendar Days]])&gt;0,Salary_Calculation[[#This Row],[Monthly Target Orders]]/N(Salary_Calculation[[#This Row],[Calendar Days]])*N(Salary_Calculation[[#This Row],[Working Days]]),0))</f>
        <v/>
      </c>
      <c r="I71" s="166" t="str">
        <f aca="false">IF(Salary_Calculation[[#This Row],[Source Row]]="","",IF(INDEX(Rider_Input[Completed Orders],Salary_Calculation[[#This Row],[Source Row]])="","",INDEX(Rider_Input[Completed Orders],Salary_Calculation[[#This Row],[Source Row]])))</f>
        <v/>
      </c>
      <c r="J71" s="165" t="str">
        <f aca="false">IF(Salary_Calculation[[#This Row],[Source Row]]="","",IF(Rate_Method="Fixed rate",Fixed_Rate,IF(N(Salary_Calculation[[#This Row],[Basic Payment]])&gt;0,N(Salary_Calculation[[#This Row],[Basic Payment]])/Std_Orders,0)))</f>
        <v/>
      </c>
      <c r="K71" s="165" t="str">
        <f aca="false">IF(Salary_Calculation[[#This Row],[Source Row]]="","",MAX(MIN(N(Salary_Calculation[[#This Row],[Completed Orders]]),Salary_Calculation[[#This Row],[Rider Target Orders]]),0))</f>
        <v/>
      </c>
      <c r="L71" s="164" t="str">
        <f aca="false">IF(Salary_Calculation[[#This Row],[Source Row]]="","",Salary_Calculation[[#This Row],[Orders Counted at Base Rate]]*Salary_Calculation[[#This Row],[Base Order Rate]])</f>
        <v/>
      </c>
      <c r="M71" s="165" t="str">
        <f aca="false">IF(Salary_Calculation[[#This Row],[Source Row]]="","",MAX(Salary_Calculation[[#This Row],[Rider Target Orders]]-N(Salary_Calculation[[#This Row],[Completed Orders]]),0))</f>
        <v/>
      </c>
      <c r="N71" s="164" t="str">
        <f aca="false">IF(Salary_Calculation[[#This Row],[Source Row]]="","",Salary_Calculation[[#This Row],[Missing Orders]]*Missing_Rate)</f>
        <v/>
      </c>
      <c r="O71" s="165" t="str">
        <f aca="false">IF(Salary_Calculation[[#This Row],[Source Row]]="","",MAX(N(Salary_Calculation[[#This Row],[Completed Orders]])-Salary_Calculation[[#This Row],[Rider Target Orders]],0))</f>
        <v/>
      </c>
      <c r="P71" s="164" t="str">
        <f aca="false">IF(Salary_Calculation[[#This Row],[Source Row]]="","",Salary_Calculation[[#This Row],[Extra Orders]]*Extra_Rate)</f>
        <v/>
      </c>
      <c r="Q71" s="164" t="str">
        <f aca="false">IF(Salary_Calculation[[#This Row],[Source Row]]="","",MAX(Salary_Calculation[[#This Row],[Salary Before Other Deductions]],0))</f>
        <v/>
      </c>
      <c r="R71" s="164" t="str">
        <f aca="false">IF(Salary_Calculation[[#This Row],[Source Row]]="","",N(INDEX(Rider_Input[missed_days_penalty],Salary_Calculation[[#This Row],[Source Row]])))</f>
        <v/>
      </c>
      <c r="S71" s="164" t="str">
        <f aca="false">IF(Salary_Calculation[[#This Row],[Source Row]]="","",N(INDEX(Rider_Input[Rider Balance / محفظة المندوب],Salary_Calculation[[#This Row],[Source Row]])))</f>
        <v/>
      </c>
      <c r="T71" s="164" t="str">
        <f aca="false">IF(Salary_Calculation[[#This Row],[Source Row]]="","",N(INDEX(Rider_Input[stacking_deduction / خصم الطلبات المتعددة],Salary_Calculation[[#This Row],[Source Row]])))</f>
        <v/>
      </c>
      <c r="U71" s="164" t="str">
        <f aca="false">IF(Salary_Calculation[[#This Row],[Source Row]]="","",N(INDEX(Rider_Input[Other Deductions],Salary_Calculation[[#This Row],[Source Row]])))</f>
        <v/>
      </c>
      <c r="V71" s="164" t="str">
        <f aca="false">IF(Salary_Calculation[[#This Row],[Source Row]]="","",N(Salary_Calculation[[#This Row],[missed_days_penalty]])+N(Salary_Calculation[[#This Row],[Rider Balance]])+N(Salary_Calculation[[#This Row],[stacking_deduction]])+N(Salary_Calculation[[#This Row],[Other Deductions]]))</f>
        <v/>
      </c>
      <c r="W71" s="167" t="str">
        <f aca="false">IF(Salary_Calculation[[#This Row],[Source Row]]="","",ROUND(MAX(Salary_Calculation[[#This Row],[Gross Salary Before Deductions]]-Salary_Calculation[[#This Row],[Total Deductions]],0),2))</f>
        <v/>
      </c>
      <c r="X71" s="164" t="str">
        <f aca="false">IF(Salary_Calculation[[#This Row],[Source Row]]="","",ROUND(MAX(Salary_Calculation[[#This Row],[Missing-Order Deduction]]-Salary_Calculation[[#This Row],[Earned Salary]],0),2))</f>
        <v/>
      </c>
      <c r="Y7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71" s="163" t="str">
        <f aca="false">IF(Salary_Calculation[[#This Row],[Source Row]]="","",IF(INDEX(Rider_Input[Notes],Salary_Calculation[[#This Row],[Source Row]])="","",INDEX(Rider_Input[Notes],Salary_Calculation[[#This Row],[Source Row]])))</f>
        <v/>
      </c>
      <c r="AA71" s="164" t="str">
        <f aca="false">IF(Salary_Calculation[[#This Row],[Source Row]]="","",Salary_Calculation[[#This Row],[Earned Salary]]-Salary_Calculation[[#This Row],[Missing-Order Deduction]]+Salary_Calculation[[#This Row],[Extra-Order Bonus]])</f>
        <v/>
      </c>
      <c r="AB71" s="164" t="str">
        <f aca="false">IF(Salary_Calculation[[#This Row],[Source Row]]="","",ROUND(Salary_Calculation[[#This Row],[Negative Balance / Amount Due from Rider]]+MAX(Salary_Calculation[[#This Row],[Total Deductions]]-Salary_Calculation[[#This Row],[Gross Salary Before Deductions]],0),2))</f>
        <v/>
      </c>
      <c r="AC7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71" s="164" t="str">
        <f aca="false">IF(Salary_Calculation[[#This Row],[Source Row]]="","",Salary_Calculation[[#This Row],[Rider Target Orders]]*Salary_Calculation[[#This Row],[Base Order Rate]])</f>
        <v/>
      </c>
      <c r="AE71" s="162" t="str">
        <f aca="false">IF(SUMPRODUCT(--(LEN(INDEX(Rider_Input[#Data],ROW()-ROW(Salary_Calculation[#Headers]),0))&gt;0))=0,"",ROW()-ROW(Salary_Calculation[#Headers]))</f>
        <v/>
      </c>
    </row>
    <row r="72" customFormat="false" ht="14.25" hidden="false" customHeight="false" outlineLevel="0" collapsed="false">
      <c r="A72" s="161" t="str">
        <f aca="false">IF(Salary_Calculation[[#This Row],[Source Row]]="","",IF(INDEX(Rider_Input[Salary Month],Salary_Calculation[[#This Row],[Source Row]])="","",INDEX(Rider_Input[Salary Month],Salary_Calculation[[#This Row],[Source Row]])))</f>
        <v/>
      </c>
      <c r="B72" s="162" t="str">
        <f aca="false">IF(Salary_Calculation[[#This Row],[Source Row]]="","",IF(INDEX(Rider_Input[Rider ID],Salary_Calculation[[#This Row],[Source Row]])="","",INDEX(Rider_Input[Rider ID],Salary_Calculation[[#This Row],[Source Row]])))</f>
        <v/>
      </c>
      <c r="C72" s="163" t="str">
        <f aca="false">IF(Salary_Calculation[[#This Row],[Source Row]]="","",IF(INDEX(Rider_Input[Rider Name],Salary_Calculation[[#This Row],[Source Row]])="","",INDEX(Rider_Input[Rider Name],Salary_Calculation[[#This Row],[Source Row]])))</f>
        <v/>
      </c>
      <c r="D72" s="164" t="str">
        <f aca="false">IF(Salary_Calculation[[#This Row],[Source Row]]="","",IF(INDEX(Rider_Input[Basic Payment],Salary_Calculation[[#This Row],[Source Row]])="","",INDEX(Rider_Input[Basic Payment],Salary_Calculation[[#This Row],[Source Row]])))</f>
        <v/>
      </c>
      <c r="E72" s="162" t="str">
        <f aca="false">IF(Salary_Calculation[[#This Row],[Source Row]]="","",IF(INDEX(Rider_Input[Calendar Days in Month],Salary_Calculation[[#This Row],[Source Row]])="","",INDEX(Rider_Input[Calendar Days in Month],Salary_Calculation[[#This Row],[Source Row]])))</f>
        <v/>
      </c>
      <c r="F72" s="162" t="str">
        <f aca="false">IF(Salary_Calculation[[#This Row],[Source Row]]="","",IF(INDEX(Rider_Input[Working Days],Salary_Calculation[[#This Row],[Source Row]])="","",INDEX(Rider_Input[Working Days],Salary_Calculation[[#This Row],[Source Row]])))</f>
        <v/>
      </c>
      <c r="G72" s="165" t="str">
        <f aca="false">IF(Salary_Calculation[[#This Row],[Source Row]]="","",Std_Orders/Std_Days*N(Salary_Calculation[[#This Row],[Calendar Days]]))</f>
        <v/>
      </c>
      <c r="H72" s="165" t="str">
        <f aca="false">IF(Salary_Calculation[[#This Row],[Source Row]]="","",IF(N(Salary_Calculation[[#This Row],[Calendar Days]])&gt;0,Salary_Calculation[[#This Row],[Monthly Target Orders]]/N(Salary_Calculation[[#This Row],[Calendar Days]])*N(Salary_Calculation[[#This Row],[Working Days]]),0))</f>
        <v/>
      </c>
      <c r="I72" s="166" t="str">
        <f aca="false">IF(Salary_Calculation[[#This Row],[Source Row]]="","",IF(INDEX(Rider_Input[Completed Orders],Salary_Calculation[[#This Row],[Source Row]])="","",INDEX(Rider_Input[Completed Orders],Salary_Calculation[[#This Row],[Source Row]])))</f>
        <v/>
      </c>
      <c r="J72" s="165" t="str">
        <f aca="false">IF(Salary_Calculation[[#This Row],[Source Row]]="","",IF(Rate_Method="Fixed rate",Fixed_Rate,IF(N(Salary_Calculation[[#This Row],[Basic Payment]])&gt;0,N(Salary_Calculation[[#This Row],[Basic Payment]])/Std_Orders,0)))</f>
        <v/>
      </c>
      <c r="K72" s="165" t="str">
        <f aca="false">IF(Salary_Calculation[[#This Row],[Source Row]]="","",MAX(MIN(N(Salary_Calculation[[#This Row],[Completed Orders]]),Salary_Calculation[[#This Row],[Rider Target Orders]]),0))</f>
        <v/>
      </c>
      <c r="L72" s="164" t="str">
        <f aca="false">IF(Salary_Calculation[[#This Row],[Source Row]]="","",Salary_Calculation[[#This Row],[Orders Counted at Base Rate]]*Salary_Calculation[[#This Row],[Base Order Rate]])</f>
        <v/>
      </c>
      <c r="M72" s="165" t="str">
        <f aca="false">IF(Salary_Calculation[[#This Row],[Source Row]]="","",MAX(Salary_Calculation[[#This Row],[Rider Target Orders]]-N(Salary_Calculation[[#This Row],[Completed Orders]]),0))</f>
        <v/>
      </c>
      <c r="N72" s="164" t="str">
        <f aca="false">IF(Salary_Calculation[[#This Row],[Source Row]]="","",Salary_Calculation[[#This Row],[Missing Orders]]*Missing_Rate)</f>
        <v/>
      </c>
      <c r="O72" s="165" t="str">
        <f aca="false">IF(Salary_Calculation[[#This Row],[Source Row]]="","",MAX(N(Salary_Calculation[[#This Row],[Completed Orders]])-Salary_Calculation[[#This Row],[Rider Target Orders]],0))</f>
        <v/>
      </c>
      <c r="P72" s="164" t="str">
        <f aca="false">IF(Salary_Calculation[[#This Row],[Source Row]]="","",Salary_Calculation[[#This Row],[Extra Orders]]*Extra_Rate)</f>
        <v/>
      </c>
      <c r="Q72" s="164" t="str">
        <f aca="false">IF(Salary_Calculation[[#This Row],[Source Row]]="","",MAX(Salary_Calculation[[#This Row],[Salary Before Other Deductions]],0))</f>
        <v/>
      </c>
      <c r="R72" s="164" t="str">
        <f aca="false">IF(Salary_Calculation[[#This Row],[Source Row]]="","",N(INDEX(Rider_Input[missed_days_penalty],Salary_Calculation[[#This Row],[Source Row]])))</f>
        <v/>
      </c>
      <c r="S72" s="164" t="str">
        <f aca="false">IF(Salary_Calculation[[#This Row],[Source Row]]="","",N(INDEX(Rider_Input[Rider Balance / محفظة المندوب],Salary_Calculation[[#This Row],[Source Row]])))</f>
        <v/>
      </c>
      <c r="T72" s="164" t="str">
        <f aca="false">IF(Salary_Calculation[[#This Row],[Source Row]]="","",N(INDEX(Rider_Input[stacking_deduction / خصم الطلبات المتعددة],Salary_Calculation[[#This Row],[Source Row]])))</f>
        <v/>
      </c>
      <c r="U72" s="164" t="str">
        <f aca="false">IF(Salary_Calculation[[#This Row],[Source Row]]="","",N(INDEX(Rider_Input[Other Deductions],Salary_Calculation[[#This Row],[Source Row]])))</f>
        <v/>
      </c>
      <c r="V72" s="164" t="str">
        <f aca="false">IF(Salary_Calculation[[#This Row],[Source Row]]="","",N(Salary_Calculation[[#This Row],[missed_days_penalty]])+N(Salary_Calculation[[#This Row],[Rider Balance]])+N(Salary_Calculation[[#This Row],[stacking_deduction]])+N(Salary_Calculation[[#This Row],[Other Deductions]]))</f>
        <v/>
      </c>
      <c r="W72" s="167" t="str">
        <f aca="false">IF(Salary_Calculation[[#This Row],[Source Row]]="","",ROUND(MAX(Salary_Calculation[[#This Row],[Gross Salary Before Deductions]]-Salary_Calculation[[#This Row],[Total Deductions]],0),2))</f>
        <v/>
      </c>
      <c r="X72" s="164" t="str">
        <f aca="false">IF(Salary_Calculation[[#This Row],[Source Row]]="","",ROUND(MAX(Salary_Calculation[[#This Row],[Missing-Order Deduction]]-Salary_Calculation[[#This Row],[Earned Salary]],0),2))</f>
        <v/>
      </c>
      <c r="Y7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72" s="163" t="str">
        <f aca="false">IF(Salary_Calculation[[#This Row],[Source Row]]="","",IF(INDEX(Rider_Input[Notes],Salary_Calculation[[#This Row],[Source Row]])="","",INDEX(Rider_Input[Notes],Salary_Calculation[[#This Row],[Source Row]])))</f>
        <v/>
      </c>
      <c r="AA72" s="164" t="str">
        <f aca="false">IF(Salary_Calculation[[#This Row],[Source Row]]="","",Salary_Calculation[[#This Row],[Earned Salary]]-Salary_Calculation[[#This Row],[Missing-Order Deduction]]+Salary_Calculation[[#This Row],[Extra-Order Bonus]])</f>
        <v/>
      </c>
      <c r="AB72" s="164" t="str">
        <f aca="false">IF(Salary_Calculation[[#This Row],[Source Row]]="","",ROUND(Salary_Calculation[[#This Row],[Negative Balance / Amount Due from Rider]]+MAX(Salary_Calculation[[#This Row],[Total Deductions]]-Salary_Calculation[[#This Row],[Gross Salary Before Deductions]],0),2))</f>
        <v/>
      </c>
      <c r="AC7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72" s="164" t="str">
        <f aca="false">IF(Salary_Calculation[[#This Row],[Source Row]]="","",Salary_Calculation[[#This Row],[Rider Target Orders]]*Salary_Calculation[[#This Row],[Base Order Rate]])</f>
        <v/>
      </c>
      <c r="AE72" s="162" t="str">
        <f aca="false">IF(SUMPRODUCT(--(LEN(INDEX(Rider_Input[#Data],ROW()-ROW(Salary_Calculation[#Headers]),0))&gt;0))=0,"",ROW()-ROW(Salary_Calculation[#Headers]))</f>
        <v/>
      </c>
    </row>
    <row r="73" customFormat="false" ht="14.25" hidden="false" customHeight="false" outlineLevel="0" collapsed="false">
      <c r="A73" s="161" t="str">
        <f aca="false">IF(Salary_Calculation[[#This Row],[Source Row]]="","",IF(INDEX(Rider_Input[Salary Month],Salary_Calculation[[#This Row],[Source Row]])="","",INDEX(Rider_Input[Salary Month],Salary_Calculation[[#This Row],[Source Row]])))</f>
        <v/>
      </c>
      <c r="B73" s="162" t="str">
        <f aca="false">IF(Salary_Calculation[[#This Row],[Source Row]]="","",IF(INDEX(Rider_Input[Rider ID],Salary_Calculation[[#This Row],[Source Row]])="","",INDEX(Rider_Input[Rider ID],Salary_Calculation[[#This Row],[Source Row]])))</f>
        <v/>
      </c>
      <c r="C73" s="163" t="str">
        <f aca="false">IF(Salary_Calculation[[#This Row],[Source Row]]="","",IF(INDEX(Rider_Input[Rider Name],Salary_Calculation[[#This Row],[Source Row]])="","",INDEX(Rider_Input[Rider Name],Salary_Calculation[[#This Row],[Source Row]])))</f>
        <v/>
      </c>
      <c r="D73" s="164" t="str">
        <f aca="false">IF(Salary_Calculation[[#This Row],[Source Row]]="","",IF(INDEX(Rider_Input[Basic Payment],Salary_Calculation[[#This Row],[Source Row]])="","",INDEX(Rider_Input[Basic Payment],Salary_Calculation[[#This Row],[Source Row]])))</f>
        <v/>
      </c>
      <c r="E73" s="162" t="str">
        <f aca="false">IF(Salary_Calculation[[#This Row],[Source Row]]="","",IF(INDEX(Rider_Input[Calendar Days in Month],Salary_Calculation[[#This Row],[Source Row]])="","",INDEX(Rider_Input[Calendar Days in Month],Salary_Calculation[[#This Row],[Source Row]])))</f>
        <v/>
      </c>
      <c r="F73" s="162" t="str">
        <f aca="false">IF(Salary_Calculation[[#This Row],[Source Row]]="","",IF(INDEX(Rider_Input[Working Days],Salary_Calculation[[#This Row],[Source Row]])="","",INDEX(Rider_Input[Working Days],Salary_Calculation[[#This Row],[Source Row]])))</f>
        <v/>
      </c>
      <c r="G73" s="165" t="str">
        <f aca="false">IF(Salary_Calculation[[#This Row],[Source Row]]="","",Std_Orders/Std_Days*N(Salary_Calculation[[#This Row],[Calendar Days]]))</f>
        <v/>
      </c>
      <c r="H73" s="165" t="str">
        <f aca="false">IF(Salary_Calculation[[#This Row],[Source Row]]="","",IF(N(Salary_Calculation[[#This Row],[Calendar Days]])&gt;0,Salary_Calculation[[#This Row],[Monthly Target Orders]]/N(Salary_Calculation[[#This Row],[Calendar Days]])*N(Salary_Calculation[[#This Row],[Working Days]]),0))</f>
        <v/>
      </c>
      <c r="I73" s="166" t="str">
        <f aca="false">IF(Salary_Calculation[[#This Row],[Source Row]]="","",IF(INDEX(Rider_Input[Completed Orders],Salary_Calculation[[#This Row],[Source Row]])="","",INDEX(Rider_Input[Completed Orders],Salary_Calculation[[#This Row],[Source Row]])))</f>
        <v/>
      </c>
      <c r="J73" s="165" t="str">
        <f aca="false">IF(Salary_Calculation[[#This Row],[Source Row]]="","",IF(Rate_Method="Fixed rate",Fixed_Rate,IF(N(Salary_Calculation[[#This Row],[Basic Payment]])&gt;0,N(Salary_Calculation[[#This Row],[Basic Payment]])/Std_Orders,0)))</f>
        <v/>
      </c>
      <c r="K73" s="165" t="str">
        <f aca="false">IF(Salary_Calculation[[#This Row],[Source Row]]="","",MAX(MIN(N(Salary_Calculation[[#This Row],[Completed Orders]]),Salary_Calculation[[#This Row],[Rider Target Orders]]),0))</f>
        <v/>
      </c>
      <c r="L73" s="164" t="str">
        <f aca="false">IF(Salary_Calculation[[#This Row],[Source Row]]="","",Salary_Calculation[[#This Row],[Orders Counted at Base Rate]]*Salary_Calculation[[#This Row],[Base Order Rate]])</f>
        <v/>
      </c>
      <c r="M73" s="165" t="str">
        <f aca="false">IF(Salary_Calculation[[#This Row],[Source Row]]="","",MAX(Salary_Calculation[[#This Row],[Rider Target Orders]]-N(Salary_Calculation[[#This Row],[Completed Orders]]),0))</f>
        <v/>
      </c>
      <c r="N73" s="164" t="str">
        <f aca="false">IF(Salary_Calculation[[#This Row],[Source Row]]="","",Salary_Calculation[[#This Row],[Missing Orders]]*Missing_Rate)</f>
        <v/>
      </c>
      <c r="O73" s="165" t="str">
        <f aca="false">IF(Salary_Calculation[[#This Row],[Source Row]]="","",MAX(N(Salary_Calculation[[#This Row],[Completed Orders]])-Salary_Calculation[[#This Row],[Rider Target Orders]],0))</f>
        <v/>
      </c>
      <c r="P73" s="164" t="str">
        <f aca="false">IF(Salary_Calculation[[#This Row],[Source Row]]="","",Salary_Calculation[[#This Row],[Extra Orders]]*Extra_Rate)</f>
        <v/>
      </c>
      <c r="Q73" s="164" t="str">
        <f aca="false">IF(Salary_Calculation[[#This Row],[Source Row]]="","",MAX(Salary_Calculation[[#This Row],[Salary Before Other Deductions]],0))</f>
        <v/>
      </c>
      <c r="R73" s="164" t="str">
        <f aca="false">IF(Salary_Calculation[[#This Row],[Source Row]]="","",N(INDEX(Rider_Input[missed_days_penalty],Salary_Calculation[[#This Row],[Source Row]])))</f>
        <v/>
      </c>
      <c r="S73" s="164" t="str">
        <f aca="false">IF(Salary_Calculation[[#This Row],[Source Row]]="","",N(INDEX(Rider_Input[Rider Balance / محفظة المندوب],Salary_Calculation[[#This Row],[Source Row]])))</f>
        <v/>
      </c>
      <c r="T73" s="164" t="str">
        <f aca="false">IF(Salary_Calculation[[#This Row],[Source Row]]="","",N(INDEX(Rider_Input[stacking_deduction / خصم الطلبات المتعددة],Salary_Calculation[[#This Row],[Source Row]])))</f>
        <v/>
      </c>
      <c r="U73" s="164" t="str">
        <f aca="false">IF(Salary_Calculation[[#This Row],[Source Row]]="","",N(INDEX(Rider_Input[Other Deductions],Salary_Calculation[[#This Row],[Source Row]])))</f>
        <v/>
      </c>
      <c r="V73" s="164" t="str">
        <f aca="false">IF(Salary_Calculation[[#This Row],[Source Row]]="","",N(Salary_Calculation[[#This Row],[missed_days_penalty]])+N(Salary_Calculation[[#This Row],[Rider Balance]])+N(Salary_Calculation[[#This Row],[stacking_deduction]])+N(Salary_Calculation[[#This Row],[Other Deductions]]))</f>
        <v/>
      </c>
      <c r="W73" s="167" t="str">
        <f aca="false">IF(Salary_Calculation[[#This Row],[Source Row]]="","",ROUND(MAX(Salary_Calculation[[#This Row],[Gross Salary Before Deductions]]-Salary_Calculation[[#This Row],[Total Deductions]],0),2))</f>
        <v/>
      </c>
      <c r="X73" s="164" t="str">
        <f aca="false">IF(Salary_Calculation[[#This Row],[Source Row]]="","",ROUND(MAX(Salary_Calculation[[#This Row],[Missing-Order Deduction]]-Salary_Calculation[[#This Row],[Earned Salary]],0),2))</f>
        <v/>
      </c>
      <c r="Y7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73" s="163" t="str">
        <f aca="false">IF(Salary_Calculation[[#This Row],[Source Row]]="","",IF(INDEX(Rider_Input[Notes],Salary_Calculation[[#This Row],[Source Row]])="","",INDEX(Rider_Input[Notes],Salary_Calculation[[#This Row],[Source Row]])))</f>
        <v/>
      </c>
      <c r="AA73" s="164" t="str">
        <f aca="false">IF(Salary_Calculation[[#This Row],[Source Row]]="","",Salary_Calculation[[#This Row],[Earned Salary]]-Salary_Calculation[[#This Row],[Missing-Order Deduction]]+Salary_Calculation[[#This Row],[Extra-Order Bonus]])</f>
        <v/>
      </c>
      <c r="AB73" s="164" t="str">
        <f aca="false">IF(Salary_Calculation[[#This Row],[Source Row]]="","",ROUND(Salary_Calculation[[#This Row],[Negative Balance / Amount Due from Rider]]+MAX(Salary_Calculation[[#This Row],[Total Deductions]]-Salary_Calculation[[#This Row],[Gross Salary Before Deductions]],0),2))</f>
        <v/>
      </c>
      <c r="AC7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73" s="164" t="str">
        <f aca="false">IF(Salary_Calculation[[#This Row],[Source Row]]="","",Salary_Calculation[[#This Row],[Rider Target Orders]]*Salary_Calculation[[#This Row],[Base Order Rate]])</f>
        <v/>
      </c>
      <c r="AE73" s="162" t="str">
        <f aca="false">IF(SUMPRODUCT(--(LEN(INDEX(Rider_Input[#Data],ROW()-ROW(Salary_Calculation[#Headers]),0))&gt;0))=0,"",ROW()-ROW(Salary_Calculation[#Headers]))</f>
        <v/>
      </c>
    </row>
    <row r="74" customFormat="false" ht="14.25" hidden="false" customHeight="false" outlineLevel="0" collapsed="false">
      <c r="A74" s="161" t="str">
        <f aca="false">IF(Salary_Calculation[[#This Row],[Source Row]]="","",IF(INDEX(Rider_Input[Salary Month],Salary_Calculation[[#This Row],[Source Row]])="","",INDEX(Rider_Input[Salary Month],Salary_Calculation[[#This Row],[Source Row]])))</f>
        <v/>
      </c>
      <c r="B74" s="162" t="str">
        <f aca="false">IF(Salary_Calculation[[#This Row],[Source Row]]="","",IF(INDEX(Rider_Input[Rider ID],Salary_Calculation[[#This Row],[Source Row]])="","",INDEX(Rider_Input[Rider ID],Salary_Calculation[[#This Row],[Source Row]])))</f>
        <v/>
      </c>
      <c r="C74" s="163" t="str">
        <f aca="false">IF(Salary_Calculation[[#This Row],[Source Row]]="","",IF(INDEX(Rider_Input[Rider Name],Salary_Calculation[[#This Row],[Source Row]])="","",INDEX(Rider_Input[Rider Name],Salary_Calculation[[#This Row],[Source Row]])))</f>
        <v/>
      </c>
      <c r="D74" s="164" t="str">
        <f aca="false">IF(Salary_Calculation[[#This Row],[Source Row]]="","",IF(INDEX(Rider_Input[Basic Payment],Salary_Calculation[[#This Row],[Source Row]])="","",INDEX(Rider_Input[Basic Payment],Salary_Calculation[[#This Row],[Source Row]])))</f>
        <v/>
      </c>
      <c r="E74" s="162" t="str">
        <f aca="false">IF(Salary_Calculation[[#This Row],[Source Row]]="","",IF(INDEX(Rider_Input[Calendar Days in Month],Salary_Calculation[[#This Row],[Source Row]])="","",INDEX(Rider_Input[Calendar Days in Month],Salary_Calculation[[#This Row],[Source Row]])))</f>
        <v/>
      </c>
      <c r="F74" s="162" t="str">
        <f aca="false">IF(Salary_Calculation[[#This Row],[Source Row]]="","",IF(INDEX(Rider_Input[Working Days],Salary_Calculation[[#This Row],[Source Row]])="","",INDEX(Rider_Input[Working Days],Salary_Calculation[[#This Row],[Source Row]])))</f>
        <v/>
      </c>
      <c r="G74" s="165" t="str">
        <f aca="false">IF(Salary_Calculation[[#This Row],[Source Row]]="","",Std_Orders/Std_Days*N(Salary_Calculation[[#This Row],[Calendar Days]]))</f>
        <v/>
      </c>
      <c r="H74" s="165" t="str">
        <f aca="false">IF(Salary_Calculation[[#This Row],[Source Row]]="","",IF(N(Salary_Calculation[[#This Row],[Calendar Days]])&gt;0,Salary_Calculation[[#This Row],[Monthly Target Orders]]/N(Salary_Calculation[[#This Row],[Calendar Days]])*N(Salary_Calculation[[#This Row],[Working Days]]),0))</f>
        <v/>
      </c>
      <c r="I74" s="166" t="str">
        <f aca="false">IF(Salary_Calculation[[#This Row],[Source Row]]="","",IF(INDEX(Rider_Input[Completed Orders],Salary_Calculation[[#This Row],[Source Row]])="","",INDEX(Rider_Input[Completed Orders],Salary_Calculation[[#This Row],[Source Row]])))</f>
        <v/>
      </c>
      <c r="J74" s="165" t="str">
        <f aca="false">IF(Salary_Calculation[[#This Row],[Source Row]]="","",IF(Rate_Method="Fixed rate",Fixed_Rate,IF(N(Salary_Calculation[[#This Row],[Basic Payment]])&gt;0,N(Salary_Calculation[[#This Row],[Basic Payment]])/Std_Orders,0)))</f>
        <v/>
      </c>
      <c r="K74" s="165" t="str">
        <f aca="false">IF(Salary_Calculation[[#This Row],[Source Row]]="","",MAX(MIN(N(Salary_Calculation[[#This Row],[Completed Orders]]),Salary_Calculation[[#This Row],[Rider Target Orders]]),0))</f>
        <v/>
      </c>
      <c r="L74" s="164" t="str">
        <f aca="false">IF(Salary_Calculation[[#This Row],[Source Row]]="","",Salary_Calculation[[#This Row],[Orders Counted at Base Rate]]*Salary_Calculation[[#This Row],[Base Order Rate]])</f>
        <v/>
      </c>
      <c r="M74" s="165" t="str">
        <f aca="false">IF(Salary_Calculation[[#This Row],[Source Row]]="","",MAX(Salary_Calculation[[#This Row],[Rider Target Orders]]-N(Salary_Calculation[[#This Row],[Completed Orders]]),0))</f>
        <v/>
      </c>
      <c r="N74" s="164" t="str">
        <f aca="false">IF(Salary_Calculation[[#This Row],[Source Row]]="","",Salary_Calculation[[#This Row],[Missing Orders]]*Missing_Rate)</f>
        <v/>
      </c>
      <c r="O74" s="165" t="str">
        <f aca="false">IF(Salary_Calculation[[#This Row],[Source Row]]="","",MAX(N(Salary_Calculation[[#This Row],[Completed Orders]])-Salary_Calculation[[#This Row],[Rider Target Orders]],0))</f>
        <v/>
      </c>
      <c r="P74" s="164" t="str">
        <f aca="false">IF(Salary_Calculation[[#This Row],[Source Row]]="","",Salary_Calculation[[#This Row],[Extra Orders]]*Extra_Rate)</f>
        <v/>
      </c>
      <c r="Q74" s="164" t="str">
        <f aca="false">IF(Salary_Calculation[[#This Row],[Source Row]]="","",MAX(Salary_Calculation[[#This Row],[Salary Before Other Deductions]],0))</f>
        <v/>
      </c>
      <c r="R74" s="164" t="str">
        <f aca="false">IF(Salary_Calculation[[#This Row],[Source Row]]="","",N(INDEX(Rider_Input[missed_days_penalty],Salary_Calculation[[#This Row],[Source Row]])))</f>
        <v/>
      </c>
      <c r="S74" s="164" t="str">
        <f aca="false">IF(Salary_Calculation[[#This Row],[Source Row]]="","",N(INDEX(Rider_Input[Rider Balance / محفظة المندوب],Salary_Calculation[[#This Row],[Source Row]])))</f>
        <v/>
      </c>
      <c r="T74" s="164" t="str">
        <f aca="false">IF(Salary_Calculation[[#This Row],[Source Row]]="","",N(INDEX(Rider_Input[stacking_deduction / خصم الطلبات المتعددة],Salary_Calculation[[#This Row],[Source Row]])))</f>
        <v/>
      </c>
      <c r="U74" s="164" t="str">
        <f aca="false">IF(Salary_Calculation[[#This Row],[Source Row]]="","",N(INDEX(Rider_Input[Other Deductions],Salary_Calculation[[#This Row],[Source Row]])))</f>
        <v/>
      </c>
      <c r="V74" s="164" t="str">
        <f aca="false">IF(Salary_Calculation[[#This Row],[Source Row]]="","",N(Salary_Calculation[[#This Row],[missed_days_penalty]])+N(Salary_Calculation[[#This Row],[Rider Balance]])+N(Salary_Calculation[[#This Row],[stacking_deduction]])+N(Salary_Calculation[[#This Row],[Other Deductions]]))</f>
        <v/>
      </c>
      <c r="W74" s="167" t="str">
        <f aca="false">IF(Salary_Calculation[[#This Row],[Source Row]]="","",ROUND(MAX(Salary_Calculation[[#This Row],[Gross Salary Before Deductions]]-Salary_Calculation[[#This Row],[Total Deductions]],0),2))</f>
        <v/>
      </c>
      <c r="X74" s="164" t="str">
        <f aca="false">IF(Salary_Calculation[[#This Row],[Source Row]]="","",ROUND(MAX(Salary_Calculation[[#This Row],[Missing-Order Deduction]]-Salary_Calculation[[#This Row],[Earned Salary]],0),2))</f>
        <v/>
      </c>
      <c r="Y7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74" s="163" t="str">
        <f aca="false">IF(Salary_Calculation[[#This Row],[Source Row]]="","",IF(INDEX(Rider_Input[Notes],Salary_Calculation[[#This Row],[Source Row]])="","",INDEX(Rider_Input[Notes],Salary_Calculation[[#This Row],[Source Row]])))</f>
        <v/>
      </c>
      <c r="AA74" s="164" t="str">
        <f aca="false">IF(Salary_Calculation[[#This Row],[Source Row]]="","",Salary_Calculation[[#This Row],[Earned Salary]]-Salary_Calculation[[#This Row],[Missing-Order Deduction]]+Salary_Calculation[[#This Row],[Extra-Order Bonus]])</f>
        <v/>
      </c>
      <c r="AB74" s="164" t="str">
        <f aca="false">IF(Salary_Calculation[[#This Row],[Source Row]]="","",ROUND(Salary_Calculation[[#This Row],[Negative Balance / Amount Due from Rider]]+MAX(Salary_Calculation[[#This Row],[Total Deductions]]-Salary_Calculation[[#This Row],[Gross Salary Before Deductions]],0),2))</f>
        <v/>
      </c>
      <c r="AC7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74" s="164" t="str">
        <f aca="false">IF(Salary_Calculation[[#This Row],[Source Row]]="","",Salary_Calculation[[#This Row],[Rider Target Orders]]*Salary_Calculation[[#This Row],[Base Order Rate]])</f>
        <v/>
      </c>
      <c r="AE74" s="162" t="str">
        <f aca="false">IF(SUMPRODUCT(--(LEN(INDEX(Rider_Input[#Data],ROW()-ROW(Salary_Calculation[#Headers]),0))&gt;0))=0,"",ROW()-ROW(Salary_Calculation[#Headers]))</f>
        <v/>
      </c>
    </row>
    <row r="75" customFormat="false" ht="14.25" hidden="false" customHeight="false" outlineLevel="0" collapsed="false">
      <c r="A75" s="161" t="str">
        <f aca="false">IF(Salary_Calculation[[#This Row],[Source Row]]="","",IF(INDEX(Rider_Input[Salary Month],Salary_Calculation[[#This Row],[Source Row]])="","",INDEX(Rider_Input[Salary Month],Salary_Calculation[[#This Row],[Source Row]])))</f>
        <v/>
      </c>
      <c r="B75" s="162" t="str">
        <f aca="false">IF(Salary_Calculation[[#This Row],[Source Row]]="","",IF(INDEX(Rider_Input[Rider ID],Salary_Calculation[[#This Row],[Source Row]])="","",INDEX(Rider_Input[Rider ID],Salary_Calculation[[#This Row],[Source Row]])))</f>
        <v/>
      </c>
      <c r="C75" s="163" t="str">
        <f aca="false">IF(Salary_Calculation[[#This Row],[Source Row]]="","",IF(INDEX(Rider_Input[Rider Name],Salary_Calculation[[#This Row],[Source Row]])="","",INDEX(Rider_Input[Rider Name],Salary_Calculation[[#This Row],[Source Row]])))</f>
        <v/>
      </c>
      <c r="D75" s="164" t="str">
        <f aca="false">IF(Salary_Calculation[[#This Row],[Source Row]]="","",IF(INDEX(Rider_Input[Basic Payment],Salary_Calculation[[#This Row],[Source Row]])="","",INDEX(Rider_Input[Basic Payment],Salary_Calculation[[#This Row],[Source Row]])))</f>
        <v/>
      </c>
      <c r="E75" s="162" t="str">
        <f aca="false">IF(Salary_Calculation[[#This Row],[Source Row]]="","",IF(INDEX(Rider_Input[Calendar Days in Month],Salary_Calculation[[#This Row],[Source Row]])="","",INDEX(Rider_Input[Calendar Days in Month],Salary_Calculation[[#This Row],[Source Row]])))</f>
        <v/>
      </c>
      <c r="F75" s="162" t="str">
        <f aca="false">IF(Salary_Calculation[[#This Row],[Source Row]]="","",IF(INDEX(Rider_Input[Working Days],Salary_Calculation[[#This Row],[Source Row]])="","",INDEX(Rider_Input[Working Days],Salary_Calculation[[#This Row],[Source Row]])))</f>
        <v/>
      </c>
      <c r="G75" s="165" t="str">
        <f aca="false">IF(Salary_Calculation[[#This Row],[Source Row]]="","",Std_Orders/Std_Days*N(Salary_Calculation[[#This Row],[Calendar Days]]))</f>
        <v/>
      </c>
      <c r="H75" s="165" t="str">
        <f aca="false">IF(Salary_Calculation[[#This Row],[Source Row]]="","",IF(N(Salary_Calculation[[#This Row],[Calendar Days]])&gt;0,Salary_Calculation[[#This Row],[Monthly Target Orders]]/N(Salary_Calculation[[#This Row],[Calendar Days]])*N(Salary_Calculation[[#This Row],[Working Days]]),0))</f>
        <v/>
      </c>
      <c r="I75" s="166" t="str">
        <f aca="false">IF(Salary_Calculation[[#This Row],[Source Row]]="","",IF(INDEX(Rider_Input[Completed Orders],Salary_Calculation[[#This Row],[Source Row]])="","",INDEX(Rider_Input[Completed Orders],Salary_Calculation[[#This Row],[Source Row]])))</f>
        <v/>
      </c>
      <c r="J75" s="165" t="str">
        <f aca="false">IF(Salary_Calculation[[#This Row],[Source Row]]="","",IF(Rate_Method="Fixed rate",Fixed_Rate,IF(N(Salary_Calculation[[#This Row],[Basic Payment]])&gt;0,N(Salary_Calculation[[#This Row],[Basic Payment]])/Std_Orders,0)))</f>
        <v/>
      </c>
      <c r="K75" s="165" t="str">
        <f aca="false">IF(Salary_Calculation[[#This Row],[Source Row]]="","",MAX(MIN(N(Salary_Calculation[[#This Row],[Completed Orders]]),Salary_Calculation[[#This Row],[Rider Target Orders]]),0))</f>
        <v/>
      </c>
      <c r="L75" s="164" t="str">
        <f aca="false">IF(Salary_Calculation[[#This Row],[Source Row]]="","",Salary_Calculation[[#This Row],[Orders Counted at Base Rate]]*Salary_Calculation[[#This Row],[Base Order Rate]])</f>
        <v/>
      </c>
      <c r="M75" s="165" t="str">
        <f aca="false">IF(Salary_Calculation[[#This Row],[Source Row]]="","",MAX(Salary_Calculation[[#This Row],[Rider Target Orders]]-N(Salary_Calculation[[#This Row],[Completed Orders]]),0))</f>
        <v/>
      </c>
      <c r="N75" s="164" t="str">
        <f aca="false">IF(Salary_Calculation[[#This Row],[Source Row]]="","",Salary_Calculation[[#This Row],[Missing Orders]]*Missing_Rate)</f>
        <v/>
      </c>
      <c r="O75" s="165" t="str">
        <f aca="false">IF(Salary_Calculation[[#This Row],[Source Row]]="","",MAX(N(Salary_Calculation[[#This Row],[Completed Orders]])-Salary_Calculation[[#This Row],[Rider Target Orders]],0))</f>
        <v/>
      </c>
      <c r="P75" s="164" t="str">
        <f aca="false">IF(Salary_Calculation[[#This Row],[Source Row]]="","",Salary_Calculation[[#This Row],[Extra Orders]]*Extra_Rate)</f>
        <v/>
      </c>
      <c r="Q75" s="164" t="str">
        <f aca="false">IF(Salary_Calculation[[#This Row],[Source Row]]="","",MAX(Salary_Calculation[[#This Row],[Salary Before Other Deductions]],0))</f>
        <v/>
      </c>
      <c r="R75" s="164" t="str">
        <f aca="false">IF(Salary_Calculation[[#This Row],[Source Row]]="","",N(INDEX(Rider_Input[missed_days_penalty],Salary_Calculation[[#This Row],[Source Row]])))</f>
        <v/>
      </c>
      <c r="S75" s="164" t="str">
        <f aca="false">IF(Salary_Calculation[[#This Row],[Source Row]]="","",N(INDEX(Rider_Input[Rider Balance / محفظة المندوب],Salary_Calculation[[#This Row],[Source Row]])))</f>
        <v/>
      </c>
      <c r="T75" s="164" t="str">
        <f aca="false">IF(Salary_Calculation[[#This Row],[Source Row]]="","",N(INDEX(Rider_Input[stacking_deduction / خصم الطلبات المتعددة],Salary_Calculation[[#This Row],[Source Row]])))</f>
        <v/>
      </c>
      <c r="U75" s="164" t="str">
        <f aca="false">IF(Salary_Calculation[[#This Row],[Source Row]]="","",N(INDEX(Rider_Input[Other Deductions],Salary_Calculation[[#This Row],[Source Row]])))</f>
        <v/>
      </c>
      <c r="V75" s="164" t="str">
        <f aca="false">IF(Salary_Calculation[[#This Row],[Source Row]]="","",N(Salary_Calculation[[#This Row],[missed_days_penalty]])+N(Salary_Calculation[[#This Row],[Rider Balance]])+N(Salary_Calculation[[#This Row],[stacking_deduction]])+N(Salary_Calculation[[#This Row],[Other Deductions]]))</f>
        <v/>
      </c>
      <c r="W75" s="167" t="str">
        <f aca="false">IF(Salary_Calculation[[#This Row],[Source Row]]="","",ROUND(MAX(Salary_Calculation[[#This Row],[Gross Salary Before Deductions]]-Salary_Calculation[[#This Row],[Total Deductions]],0),2))</f>
        <v/>
      </c>
      <c r="X75" s="164" t="str">
        <f aca="false">IF(Salary_Calculation[[#This Row],[Source Row]]="","",ROUND(MAX(Salary_Calculation[[#This Row],[Missing-Order Deduction]]-Salary_Calculation[[#This Row],[Earned Salary]],0),2))</f>
        <v/>
      </c>
      <c r="Y7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75" s="163" t="str">
        <f aca="false">IF(Salary_Calculation[[#This Row],[Source Row]]="","",IF(INDEX(Rider_Input[Notes],Salary_Calculation[[#This Row],[Source Row]])="","",INDEX(Rider_Input[Notes],Salary_Calculation[[#This Row],[Source Row]])))</f>
        <v/>
      </c>
      <c r="AA75" s="164" t="str">
        <f aca="false">IF(Salary_Calculation[[#This Row],[Source Row]]="","",Salary_Calculation[[#This Row],[Earned Salary]]-Salary_Calculation[[#This Row],[Missing-Order Deduction]]+Salary_Calculation[[#This Row],[Extra-Order Bonus]])</f>
        <v/>
      </c>
      <c r="AB75" s="164" t="str">
        <f aca="false">IF(Salary_Calculation[[#This Row],[Source Row]]="","",ROUND(Salary_Calculation[[#This Row],[Negative Balance / Amount Due from Rider]]+MAX(Salary_Calculation[[#This Row],[Total Deductions]]-Salary_Calculation[[#This Row],[Gross Salary Before Deductions]],0),2))</f>
        <v/>
      </c>
      <c r="AC7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75" s="164" t="str">
        <f aca="false">IF(Salary_Calculation[[#This Row],[Source Row]]="","",Salary_Calculation[[#This Row],[Rider Target Orders]]*Salary_Calculation[[#This Row],[Base Order Rate]])</f>
        <v/>
      </c>
      <c r="AE75" s="162" t="str">
        <f aca="false">IF(SUMPRODUCT(--(LEN(INDEX(Rider_Input[#Data],ROW()-ROW(Salary_Calculation[#Headers]),0))&gt;0))=0,"",ROW()-ROW(Salary_Calculation[#Headers]))</f>
        <v/>
      </c>
    </row>
    <row r="76" customFormat="false" ht="14.25" hidden="false" customHeight="false" outlineLevel="0" collapsed="false">
      <c r="A76" s="161" t="str">
        <f aca="false">IF(Salary_Calculation[[#This Row],[Source Row]]="","",IF(INDEX(Rider_Input[Salary Month],Salary_Calculation[[#This Row],[Source Row]])="","",INDEX(Rider_Input[Salary Month],Salary_Calculation[[#This Row],[Source Row]])))</f>
        <v/>
      </c>
      <c r="B76" s="162" t="str">
        <f aca="false">IF(Salary_Calculation[[#This Row],[Source Row]]="","",IF(INDEX(Rider_Input[Rider ID],Salary_Calculation[[#This Row],[Source Row]])="","",INDEX(Rider_Input[Rider ID],Salary_Calculation[[#This Row],[Source Row]])))</f>
        <v/>
      </c>
      <c r="C76" s="163" t="str">
        <f aca="false">IF(Salary_Calculation[[#This Row],[Source Row]]="","",IF(INDEX(Rider_Input[Rider Name],Salary_Calculation[[#This Row],[Source Row]])="","",INDEX(Rider_Input[Rider Name],Salary_Calculation[[#This Row],[Source Row]])))</f>
        <v/>
      </c>
      <c r="D76" s="164" t="str">
        <f aca="false">IF(Salary_Calculation[[#This Row],[Source Row]]="","",IF(INDEX(Rider_Input[Basic Payment],Salary_Calculation[[#This Row],[Source Row]])="","",INDEX(Rider_Input[Basic Payment],Salary_Calculation[[#This Row],[Source Row]])))</f>
        <v/>
      </c>
      <c r="E76" s="162" t="str">
        <f aca="false">IF(Salary_Calculation[[#This Row],[Source Row]]="","",IF(INDEX(Rider_Input[Calendar Days in Month],Salary_Calculation[[#This Row],[Source Row]])="","",INDEX(Rider_Input[Calendar Days in Month],Salary_Calculation[[#This Row],[Source Row]])))</f>
        <v/>
      </c>
      <c r="F76" s="162" t="str">
        <f aca="false">IF(Salary_Calculation[[#This Row],[Source Row]]="","",IF(INDEX(Rider_Input[Working Days],Salary_Calculation[[#This Row],[Source Row]])="","",INDEX(Rider_Input[Working Days],Salary_Calculation[[#This Row],[Source Row]])))</f>
        <v/>
      </c>
      <c r="G76" s="165" t="str">
        <f aca="false">IF(Salary_Calculation[[#This Row],[Source Row]]="","",Std_Orders/Std_Days*N(Salary_Calculation[[#This Row],[Calendar Days]]))</f>
        <v/>
      </c>
      <c r="H76" s="165" t="str">
        <f aca="false">IF(Salary_Calculation[[#This Row],[Source Row]]="","",IF(N(Salary_Calculation[[#This Row],[Calendar Days]])&gt;0,Salary_Calculation[[#This Row],[Monthly Target Orders]]/N(Salary_Calculation[[#This Row],[Calendar Days]])*N(Salary_Calculation[[#This Row],[Working Days]]),0))</f>
        <v/>
      </c>
      <c r="I76" s="166" t="str">
        <f aca="false">IF(Salary_Calculation[[#This Row],[Source Row]]="","",IF(INDEX(Rider_Input[Completed Orders],Salary_Calculation[[#This Row],[Source Row]])="","",INDEX(Rider_Input[Completed Orders],Salary_Calculation[[#This Row],[Source Row]])))</f>
        <v/>
      </c>
      <c r="J76" s="165" t="str">
        <f aca="false">IF(Salary_Calculation[[#This Row],[Source Row]]="","",IF(Rate_Method="Fixed rate",Fixed_Rate,IF(N(Salary_Calculation[[#This Row],[Basic Payment]])&gt;0,N(Salary_Calculation[[#This Row],[Basic Payment]])/Std_Orders,0)))</f>
        <v/>
      </c>
      <c r="K76" s="165" t="str">
        <f aca="false">IF(Salary_Calculation[[#This Row],[Source Row]]="","",MAX(MIN(N(Salary_Calculation[[#This Row],[Completed Orders]]),Salary_Calculation[[#This Row],[Rider Target Orders]]),0))</f>
        <v/>
      </c>
      <c r="L76" s="164" t="str">
        <f aca="false">IF(Salary_Calculation[[#This Row],[Source Row]]="","",Salary_Calculation[[#This Row],[Orders Counted at Base Rate]]*Salary_Calculation[[#This Row],[Base Order Rate]])</f>
        <v/>
      </c>
      <c r="M76" s="165" t="str">
        <f aca="false">IF(Salary_Calculation[[#This Row],[Source Row]]="","",MAX(Salary_Calculation[[#This Row],[Rider Target Orders]]-N(Salary_Calculation[[#This Row],[Completed Orders]]),0))</f>
        <v/>
      </c>
      <c r="N76" s="164" t="str">
        <f aca="false">IF(Salary_Calculation[[#This Row],[Source Row]]="","",Salary_Calculation[[#This Row],[Missing Orders]]*Missing_Rate)</f>
        <v/>
      </c>
      <c r="O76" s="165" t="str">
        <f aca="false">IF(Salary_Calculation[[#This Row],[Source Row]]="","",MAX(N(Salary_Calculation[[#This Row],[Completed Orders]])-Salary_Calculation[[#This Row],[Rider Target Orders]],0))</f>
        <v/>
      </c>
      <c r="P76" s="164" t="str">
        <f aca="false">IF(Salary_Calculation[[#This Row],[Source Row]]="","",Salary_Calculation[[#This Row],[Extra Orders]]*Extra_Rate)</f>
        <v/>
      </c>
      <c r="Q76" s="164" t="str">
        <f aca="false">IF(Salary_Calculation[[#This Row],[Source Row]]="","",MAX(Salary_Calculation[[#This Row],[Salary Before Other Deductions]],0))</f>
        <v/>
      </c>
      <c r="R76" s="164" t="str">
        <f aca="false">IF(Salary_Calculation[[#This Row],[Source Row]]="","",N(INDEX(Rider_Input[missed_days_penalty],Salary_Calculation[[#This Row],[Source Row]])))</f>
        <v/>
      </c>
      <c r="S76" s="164" t="str">
        <f aca="false">IF(Salary_Calculation[[#This Row],[Source Row]]="","",N(INDEX(Rider_Input[Rider Balance / محفظة المندوب],Salary_Calculation[[#This Row],[Source Row]])))</f>
        <v/>
      </c>
      <c r="T76" s="164" t="str">
        <f aca="false">IF(Salary_Calculation[[#This Row],[Source Row]]="","",N(INDEX(Rider_Input[stacking_deduction / خصم الطلبات المتعددة],Salary_Calculation[[#This Row],[Source Row]])))</f>
        <v/>
      </c>
      <c r="U76" s="164" t="str">
        <f aca="false">IF(Salary_Calculation[[#This Row],[Source Row]]="","",N(INDEX(Rider_Input[Other Deductions],Salary_Calculation[[#This Row],[Source Row]])))</f>
        <v/>
      </c>
      <c r="V76" s="164" t="str">
        <f aca="false">IF(Salary_Calculation[[#This Row],[Source Row]]="","",N(Salary_Calculation[[#This Row],[missed_days_penalty]])+N(Salary_Calculation[[#This Row],[Rider Balance]])+N(Salary_Calculation[[#This Row],[stacking_deduction]])+N(Salary_Calculation[[#This Row],[Other Deductions]]))</f>
        <v/>
      </c>
      <c r="W76" s="167" t="str">
        <f aca="false">IF(Salary_Calculation[[#This Row],[Source Row]]="","",ROUND(MAX(Salary_Calculation[[#This Row],[Gross Salary Before Deductions]]-Salary_Calculation[[#This Row],[Total Deductions]],0),2))</f>
        <v/>
      </c>
      <c r="X76" s="164" t="str">
        <f aca="false">IF(Salary_Calculation[[#This Row],[Source Row]]="","",ROUND(MAX(Salary_Calculation[[#This Row],[Missing-Order Deduction]]-Salary_Calculation[[#This Row],[Earned Salary]],0),2))</f>
        <v/>
      </c>
      <c r="Y7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76" s="163" t="str">
        <f aca="false">IF(Salary_Calculation[[#This Row],[Source Row]]="","",IF(INDEX(Rider_Input[Notes],Salary_Calculation[[#This Row],[Source Row]])="","",INDEX(Rider_Input[Notes],Salary_Calculation[[#This Row],[Source Row]])))</f>
        <v/>
      </c>
      <c r="AA76" s="164" t="str">
        <f aca="false">IF(Salary_Calculation[[#This Row],[Source Row]]="","",Salary_Calculation[[#This Row],[Earned Salary]]-Salary_Calculation[[#This Row],[Missing-Order Deduction]]+Salary_Calculation[[#This Row],[Extra-Order Bonus]])</f>
        <v/>
      </c>
      <c r="AB76" s="164" t="str">
        <f aca="false">IF(Salary_Calculation[[#This Row],[Source Row]]="","",ROUND(Salary_Calculation[[#This Row],[Negative Balance / Amount Due from Rider]]+MAX(Salary_Calculation[[#This Row],[Total Deductions]]-Salary_Calculation[[#This Row],[Gross Salary Before Deductions]],0),2))</f>
        <v/>
      </c>
      <c r="AC7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76" s="164" t="str">
        <f aca="false">IF(Salary_Calculation[[#This Row],[Source Row]]="","",Salary_Calculation[[#This Row],[Rider Target Orders]]*Salary_Calculation[[#This Row],[Base Order Rate]])</f>
        <v/>
      </c>
      <c r="AE76" s="162" t="str">
        <f aca="false">IF(SUMPRODUCT(--(LEN(INDEX(Rider_Input[#Data],ROW()-ROW(Salary_Calculation[#Headers]),0))&gt;0))=0,"",ROW()-ROW(Salary_Calculation[#Headers]))</f>
        <v/>
      </c>
    </row>
    <row r="77" customFormat="false" ht="14.25" hidden="false" customHeight="false" outlineLevel="0" collapsed="false">
      <c r="A77" s="161" t="str">
        <f aca="false">IF(Salary_Calculation[[#This Row],[Source Row]]="","",IF(INDEX(Rider_Input[Salary Month],Salary_Calculation[[#This Row],[Source Row]])="","",INDEX(Rider_Input[Salary Month],Salary_Calculation[[#This Row],[Source Row]])))</f>
        <v/>
      </c>
      <c r="B77" s="162" t="str">
        <f aca="false">IF(Salary_Calculation[[#This Row],[Source Row]]="","",IF(INDEX(Rider_Input[Rider ID],Salary_Calculation[[#This Row],[Source Row]])="","",INDEX(Rider_Input[Rider ID],Salary_Calculation[[#This Row],[Source Row]])))</f>
        <v/>
      </c>
      <c r="C77" s="163" t="str">
        <f aca="false">IF(Salary_Calculation[[#This Row],[Source Row]]="","",IF(INDEX(Rider_Input[Rider Name],Salary_Calculation[[#This Row],[Source Row]])="","",INDEX(Rider_Input[Rider Name],Salary_Calculation[[#This Row],[Source Row]])))</f>
        <v/>
      </c>
      <c r="D77" s="164" t="str">
        <f aca="false">IF(Salary_Calculation[[#This Row],[Source Row]]="","",IF(INDEX(Rider_Input[Basic Payment],Salary_Calculation[[#This Row],[Source Row]])="","",INDEX(Rider_Input[Basic Payment],Salary_Calculation[[#This Row],[Source Row]])))</f>
        <v/>
      </c>
      <c r="E77" s="162" t="str">
        <f aca="false">IF(Salary_Calculation[[#This Row],[Source Row]]="","",IF(INDEX(Rider_Input[Calendar Days in Month],Salary_Calculation[[#This Row],[Source Row]])="","",INDEX(Rider_Input[Calendar Days in Month],Salary_Calculation[[#This Row],[Source Row]])))</f>
        <v/>
      </c>
      <c r="F77" s="162" t="str">
        <f aca="false">IF(Salary_Calculation[[#This Row],[Source Row]]="","",IF(INDEX(Rider_Input[Working Days],Salary_Calculation[[#This Row],[Source Row]])="","",INDEX(Rider_Input[Working Days],Salary_Calculation[[#This Row],[Source Row]])))</f>
        <v/>
      </c>
      <c r="G77" s="165" t="str">
        <f aca="false">IF(Salary_Calculation[[#This Row],[Source Row]]="","",Std_Orders/Std_Days*N(Salary_Calculation[[#This Row],[Calendar Days]]))</f>
        <v/>
      </c>
      <c r="H77" s="165" t="str">
        <f aca="false">IF(Salary_Calculation[[#This Row],[Source Row]]="","",IF(N(Salary_Calculation[[#This Row],[Calendar Days]])&gt;0,Salary_Calculation[[#This Row],[Monthly Target Orders]]/N(Salary_Calculation[[#This Row],[Calendar Days]])*N(Salary_Calculation[[#This Row],[Working Days]]),0))</f>
        <v/>
      </c>
      <c r="I77" s="166" t="str">
        <f aca="false">IF(Salary_Calculation[[#This Row],[Source Row]]="","",IF(INDEX(Rider_Input[Completed Orders],Salary_Calculation[[#This Row],[Source Row]])="","",INDEX(Rider_Input[Completed Orders],Salary_Calculation[[#This Row],[Source Row]])))</f>
        <v/>
      </c>
      <c r="J77" s="165" t="str">
        <f aca="false">IF(Salary_Calculation[[#This Row],[Source Row]]="","",IF(Rate_Method="Fixed rate",Fixed_Rate,IF(N(Salary_Calculation[[#This Row],[Basic Payment]])&gt;0,N(Salary_Calculation[[#This Row],[Basic Payment]])/Std_Orders,0)))</f>
        <v/>
      </c>
      <c r="K77" s="165" t="str">
        <f aca="false">IF(Salary_Calculation[[#This Row],[Source Row]]="","",MAX(MIN(N(Salary_Calculation[[#This Row],[Completed Orders]]),Salary_Calculation[[#This Row],[Rider Target Orders]]),0))</f>
        <v/>
      </c>
      <c r="L77" s="164" t="str">
        <f aca="false">IF(Salary_Calculation[[#This Row],[Source Row]]="","",Salary_Calculation[[#This Row],[Orders Counted at Base Rate]]*Salary_Calculation[[#This Row],[Base Order Rate]])</f>
        <v/>
      </c>
      <c r="M77" s="165" t="str">
        <f aca="false">IF(Salary_Calculation[[#This Row],[Source Row]]="","",MAX(Salary_Calculation[[#This Row],[Rider Target Orders]]-N(Salary_Calculation[[#This Row],[Completed Orders]]),0))</f>
        <v/>
      </c>
      <c r="N77" s="164" t="str">
        <f aca="false">IF(Salary_Calculation[[#This Row],[Source Row]]="","",Salary_Calculation[[#This Row],[Missing Orders]]*Missing_Rate)</f>
        <v/>
      </c>
      <c r="O77" s="165" t="str">
        <f aca="false">IF(Salary_Calculation[[#This Row],[Source Row]]="","",MAX(N(Salary_Calculation[[#This Row],[Completed Orders]])-Salary_Calculation[[#This Row],[Rider Target Orders]],0))</f>
        <v/>
      </c>
      <c r="P77" s="164" t="str">
        <f aca="false">IF(Salary_Calculation[[#This Row],[Source Row]]="","",Salary_Calculation[[#This Row],[Extra Orders]]*Extra_Rate)</f>
        <v/>
      </c>
      <c r="Q77" s="164" t="str">
        <f aca="false">IF(Salary_Calculation[[#This Row],[Source Row]]="","",MAX(Salary_Calculation[[#This Row],[Salary Before Other Deductions]],0))</f>
        <v/>
      </c>
      <c r="R77" s="164" t="str">
        <f aca="false">IF(Salary_Calculation[[#This Row],[Source Row]]="","",N(INDEX(Rider_Input[missed_days_penalty],Salary_Calculation[[#This Row],[Source Row]])))</f>
        <v/>
      </c>
      <c r="S77" s="164" t="str">
        <f aca="false">IF(Salary_Calculation[[#This Row],[Source Row]]="","",N(INDEX(Rider_Input[Rider Balance / محفظة المندوب],Salary_Calculation[[#This Row],[Source Row]])))</f>
        <v/>
      </c>
      <c r="T77" s="164" t="str">
        <f aca="false">IF(Salary_Calculation[[#This Row],[Source Row]]="","",N(INDEX(Rider_Input[stacking_deduction / خصم الطلبات المتعددة],Salary_Calculation[[#This Row],[Source Row]])))</f>
        <v/>
      </c>
      <c r="U77" s="164" t="str">
        <f aca="false">IF(Salary_Calculation[[#This Row],[Source Row]]="","",N(INDEX(Rider_Input[Other Deductions],Salary_Calculation[[#This Row],[Source Row]])))</f>
        <v/>
      </c>
      <c r="V77" s="164" t="str">
        <f aca="false">IF(Salary_Calculation[[#This Row],[Source Row]]="","",N(Salary_Calculation[[#This Row],[missed_days_penalty]])+N(Salary_Calculation[[#This Row],[Rider Balance]])+N(Salary_Calculation[[#This Row],[stacking_deduction]])+N(Salary_Calculation[[#This Row],[Other Deductions]]))</f>
        <v/>
      </c>
      <c r="W77" s="167" t="str">
        <f aca="false">IF(Salary_Calculation[[#This Row],[Source Row]]="","",ROUND(MAX(Salary_Calculation[[#This Row],[Gross Salary Before Deductions]]-Salary_Calculation[[#This Row],[Total Deductions]],0),2))</f>
        <v/>
      </c>
      <c r="X77" s="164" t="str">
        <f aca="false">IF(Salary_Calculation[[#This Row],[Source Row]]="","",ROUND(MAX(Salary_Calculation[[#This Row],[Missing-Order Deduction]]-Salary_Calculation[[#This Row],[Earned Salary]],0),2))</f>
        <v/>
      </c>
      <c r="Y7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77" s="163" t="str">
        <f aca="false">IF(Salary_Calculation[[#This Row],[Source Row]]="","",IF(INDEX(Rider_Input[Notes],Salary_Calculation[[#This Row],[Source Row]])="","",INDEX(Rider_Input[Notes],Salary_Calculation[[#This Row],[Source Row]])))</f>
        <v/>
      </c>
      <c r="AA77" s="164" t="str">
        <f aca="false">IF(Salary_Calculation[[#This Row],[Source Row]]="","",Salary_Calculation[[#This Row],[Earned Salary]]-Salary_Calculation[[#This Row],[Missing-Order Deduction]]+Salary_Calculation[[#This Row],[Extra-Order Bonus]])</f>
        <v/>
      </c>
      <c r="AB77" s="164" t="str">
        <f aca="false">IF(Salary_Calculation[[#This Row],[Source Row]]="","",ROUND(Salary_Calculation[[#This Row],[Negative Balance / Amount Due from Rider]]+MAX(Salary_Calculation[[#This Row],[Total Deductions]]-Salary_Calculation[[#This Row],[Gross Salary Before Deductions]],0),2))</f>
        <v/>
      </c>
      <c r="AC7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77" s="164" t="str">
        <f aca="false">IF(Salary_Calculation[[#This Row],[Source Row]]="","",Salary_Calculation[[#This Row],[Rider Target Orders]]*Salary_Calculation[[#This Row],[Base Order Rate]])</f>
        <v/>
      </c>
      <c r="AE77" s="162" t="str">
        <f aca="false">IF(SUMPRODUCT(--(LEN(INDEX(Rider_Input[#Data],ROW()-ROW(Salary_Calculation[#Headers]),0))&gt;0))=0,"",ROW()-ROW(Salary_Calculation[#Headers]))</f>
        <v/>
      </c>
    </row>
    <row r="78" customFormat="false" ht="14.25" hidden="false" customHeight="false" outlineLevel="0" collapsed="false">
      <c r="A78" s="161" t="str">
        <f aca="false">IF(Salary_Calculation[[#This Row],[Source Row]]="","",IF(INDEX(Rider_Input[Salary Month],Salary_Calculation[[#This Row],[Source Row]])="","",INDEX(Rider_Input[Salary Month],Salary_Calculation[[#This Row],[Source Row]])))</f>
        <v/>
      </c>
      <c r="B78" s="162" t="str">
        <f aca="false">IF(Salary_Calculation[[#This Row],[Source Row]]="","",IF(INDEX(Rider_Input[Rider ID],Salary_Calculation[[#This Row],[Source Row]])="","",INDEX(Rider_Input[Rider ID],Salary_Calculation[[#This Row],[Source Row]])))</f>
        <v/>
      </c>
      <c r="C78" s="163" t="str">
        <f aca="false">IF(Salary_Calculation[[#This Row],[Source Row]]="","",IF(INDEX(Rider_Input[Rider Name],Salary_Calculation[[#This Row],[Source Row]])="","",INDEX(Rider_Input[Rider Name],Salary_Calculation[[#This Row],[Source Row]])))</f>
        <v/>
      </c>
      <c r="D78" s="164" t="str">
        <f aca="false">IF(Salary_Calculation[[#This Row],[Source Row]]="","",IF(INDEX(Rider_Input[Basic Payment],Salary_Calculation[[#This Row],[Source Row]])="","",INDEX(Rider_Input[Basic Payment],Salary_Calculation[[#This Row],[Source Row]])))</f>
        <v/>
      </c>
      <c r="E78" s="162" t="str">
        <f aca="false">IF(Salary_Calculation[[#This Row],[Source Row]]="","",IF(INDEX(Rider_Input[Calendar Days in Month],Salary_Calculation[[#This Row],[Source Row]])="","",INDEX(Rider_Input[Calendar Days in Month],Salary_Calculation[[#This Row],[Source Row]])))</f>
        <v/>
      </c>
      <c r="F78" s="162" t="str">
        <f aca="false">IF(Salary_Calculation[[#This Row],[Source Row]]="","",IF(INDEX(Rider_Input[Working Days],Salary_Calculation[[#This Row],[Source Row]])="","",INDEX(Rider_Input[Working Days],Salary_Calculation[[#This Row],[Source Row]])))</f>
        <v/>
      </c>
      <c r="G78" s="165" t="str">
        <f aca="false">IF(Salary_Calculation[[#This Row],[Source Row]]="","",Std_Orders/Std_Days*N(Salary_Calculation[[#This Row],[Calendar Days]]))</f>
        <v/>
      </c>
      <c r="H78" s="165" t="str">
        <f aca="false">IF(Salary_Calculation[[#This Row],[Source Row]]="","",IF(N(Salary_Calculation[[#This Row],[Calendar Days]])&gt;0,Salary_Calculation[[#This Row],[Monthly Target Orders]]/N(Salary_Calculation[[#This Row],[Calendar Days]])*N(Salary_Calculation[[#This Row],[Working Days]]),0))</f>
        <v/>
      </c>
      <c r="I78" s="166" t="str">
        <f aca="false">IF(Salary_Calculation[[#This Row],[Source Row]]="","",IF(INDEX(Rider_Input[Completed Orders],Salary_Calculation[[#This Row],[Source Row]])="","",INDEX(Rider_Input[Completed Orders],Salary_Calculation[[#This Row],[Source Row]])))</f>
        <v/>
      </c>
      <c r="J78" s="165" t="str">
        <f aca="false">IF(Salary_Calculation[[#This Row],[Source Row]]="","",IF(Rate_Method="Fixed rate",Fixed_Rate,IF(N(Salary_Calculation[[#This Row],[Basic Payment]])&gt;0,N(Salary_Calculation[[#This Row],[Basic Payment]])/Std_Orders,0)))</f>
        <v/>
      </c>
      <c r="K78" s="165" t="str">
        <f aca="false">IF(Salary_Calculation[[#This Row],[Source Row]]="","",MAX(MIN(N(Salary_Calculation[[#This Row],[Completed Orders]]),Salary_Calculation[[#This Row],[Rider Target Orders]]),0))</f>
        <v/>
      </c>
      <c r="L78" s="164" t="str">
        <f aca="false">IF(Salary_Calculation[[#This Row],[Source Row]]="","",Salary_Calculation[[#This Row],[Orders Counted at Base Rate]]*Salary_Calculation[[#This Row],[Base Order Rate]])</f>
        <v/>
      </c>
      <c r="M78" s="165" t="str">
        <f aca="false">IF(Salary_Calculation[[#This Row],[Source Row]]="","",MAX(Salary_Calculation[[#This Row],[Rider Target Orders]]-N(Salary_Calculation[[#This Row],[Completed Orders]]),0))</f>
        <v/>
      </c>
      <c r="N78" s="164" t="str">
        <f aca="false">IF(Salary_Calculation[[#This Row],[Source Row]]="","",Salary_Calculation[[#This Row],[Missing Orders]]*Missing_Rate)</f>
        <v/>
      </c>
      <c r="O78" s="165" t="str">
        <f aca="false">IF(Salary_Calculation[[#This Row],[Source Row]]="","",MAX(N(Salary_Calculation[[#This Row],[Completed Orders]])-Salary_Calculation[[#This Row],[Rider Target Orders]],0))</f>
        <v/>
      </c>
      <c r="P78" s="164" t="str">
        <f aca="false">IF(Salary_Calculation[[#This Row],[Source Row]]="","",Salary_Calculation[[#This Row],[Extra Orders]]*Extra_Rate)</f>
        <v/>
      </c>
      <c r="Q78" s="164" t="str">
        <f aca="false">IF(Salary_Calculation[[#This Row],[Source Row]]="","",MAX(Salary_Calculation[[#This Row],[Salary Before Other Deductions]],0))</f>
        <v/>
      </c>
      <c r="R78" s="164" t="str">
        <f aca="false">IF(Salary_Calculation[[#This Row],[Source Row]]="","",N(INDEX(Rider_Input[missed_days_penalty],Salary_Calculation[[#This Row],[Source Row]])))</f>
        <v/>
      </c>
      <c r="S78" s="164" t="str">
        <f aca="false">IF(Salary_Calculation[[#This Row],[Source Row]]="","",N(INDEX(Rider_Input[Rider Balance / محفظة المندوب],Salary_Calculation[[#This Row],[Source Row]])))</f>
        <v/>
      </c>
      <c r="T78" s="164" t="str">
        <f aca="false">IF(Salary_Calculation[[#This Row],[Source Row]]="","",N(INDEX(Rider_Input[stacking_deduction / خصم الطلبات المتعددة],Salary_Calculation[[#This Row],[Source Row]])))</f>
        <v/>
      </c>
      <c r="U78" s="164" t="str">
        <f aca="false">IF(Salary_Calculation[[#This Row],[Source Row]]="","",N(INDEX(Rider_Input[Other Deductions],Salary_Calculation[[#This Row],[Source Row]])))</f>
        <v/>
      </c>
      <c r="V78" s="164" t="str">
        <f aca="false">IF(Salary_Calculation[[#This Row],[Source Row]]="","",N(Salary_Calculation[[#This Row],[missed_days_penalty]])+N(Salary_Calculation[[#This Row],[Rider Balance]])+N(Salary_Calculation[[#This Row],[stacking_deduction]])+N(Salary_Calculation[[#This Row],[Other Deductions]]))</f>
        <v/>
      </c>
      <c r="W78" s="167" t="str">
        <f aca="false">IF(Salary_Calculation[[#This Row],[Source Row]]="","",ROUND(MAX(Salary_Calculation[[#This Row],[Gross Salary Before Deductions]]-Salary_Calculation[[#This Row],[Total Deductions]],0),2))</f>
        <v/>
      </c>
      <c r="X78" s="164" t="str">
        <f aca="false">IF(Salary_Calculation[[#This Row],[Source Row]]="","",ROUND(MAX(Salary_Calculation[[#This Row],[Missing-Order Deduction]]-Salary_Calculation[[#This Row],[Earned Salary]],0),2))</f>
        <v/>
      </c>
      <c r="Y7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78" s="163" t="str">
        <f aca="false">IF(Salary_Calculation[[#This Row],[Source Row]]="","",IF(INDEX(Rider_Input[Notes],Salary_Calculation[[#This Row],[Source Row]])="","",INDEX(Rider_Input[Notes],Salary_Calculation[[#This Row],[Source Row]])))</f>
        <v/>
      </c>
      <c r="AA78" s="164" t="str">
        <f aca="false">IF(Salary_Calculation[[#This Row],[Source Row]]="","",Salary_Calculation[[#This Row],[Earned Salary]]-Salary_Calculation[[#This Row],[Missing-Order Deduction]]+Salary_Calculation[[#This Row],[Extra-Order Bonus]])</f>
        <v/>
      </c>
      <c r="AB78" s="164" t="str">
        <f aca="false">IF(Salary_Calculation[[#This Row],[Source Row]]="","",ROUND(Salary_Calculation[[#This Row],[Negative Balance / Amount Due from Rider]]+MAX(Salary_Calculation[[#This Row],[Total Deductions]]-Salary_Calculation[[#This Row],[Gross Salary Before Deductions]],0),2))</f>
        <v/>
      </c>
      <c r="AC7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78" s="164" t="str">
        <f aca="false">IF(Salary_Calculation[[#This Row],[Source Row]]="","",Salary_Calculation[[#This Row],[Rider Target Orders]]*Salary_Calculation[[#This Row],[Base Order Rate]])</f>
        <v/>
      </c>
      <c r="AE78" s="162" t="str">
        <f aca="false">IF(SUMPRODUCT(--(LEN(INDEX(Rider_Input[#Data],ROW()-ROW(Salary_Calculation[#Headers]),0))&gt;0))=0,"",ROW()-ROW(Salary_Calculation[#Headers]))</f>
        <v/>
      </c>
    </row>
    <row r="79" customFormat="false" ht="14.25" hidden="false" customHeight="false" outlineLevel="0" collapsed="false">
      <c r="A79" s="161" t="str">
        <f aca="false">IF(Salary_Calculation[[#This Row],[Source Row]]="","",IF(INDEX(Rider_Input[Salary Month],Salary_Calculation[[#This Row],[Source Row]])="","",INDEX(Rider_Input[Salary Month],Salary_Calculation[[#This Row],[Source Row]])))</f>
        <v/>
      </c>
      <c r="B79" s="162" t="str">
        <f aca="false">IF(Salary_Calculation[[#This Row],[Source Row]]="","",IF(INDEX(Rider_Input[Rider ID],Salary_Calculation[[#This Row],[Source Row]])="","",INDEX(Rider_Input[Rider ID],Salary_Calculation[[#This Row],[Source Row]])))</f>
        <v/>
      </c>
      <c r="C79" s="163" t="str">
        <f aca="false">IF(Salary_Calculation[[#This Row],[Source Row]]="","",IF(INDEX(Rider_Input[Rider Name],Salary_Calculation[[#This Row],[Source Row]])="","",INDEX(Rider_Input[Rider Name],Salary_Calculation[[#This Row],[Source Row]])))</f>
        <v/>
      </c>
      <c r="D79" s="164" t="str">
        <f aca="false">IF(Salary_Calculation[[#This Row],[Source Row]]="","",IF(INDEX(Rider_Input[Basic Payment],Salary_Calculation[[#This Row],[Source Row]])="","",INDEX(Rider_Input[Basic Payment],Salary_Calculation[[#This Row],[Source Row]])))</f>
        <v/>
      </c>
      <c r="E79" s="162" t="str">
        <f aca="false">IF(Salary_Calculation[[#This Row],[Source Row]]="","",IF(INDEX(Rider_Input[Calendar Days in Month],Salary_Calculation[[#This Row],[Source Row]])="","",INDEX(Rider_Input[Calendar Days in Month],Salary_Calculation[[#This Row],[Source Row]])))</f>
        <v/>
      </c>
      <c r="F79" s="162" t="str">
        <f aca="false">IF(Salary_Calculation[[#This Row],[Source Row]]="","",IF(INDEX(Rider_Input[Working Days],Salary_Calculation[[#This Row],[Source Row]])="","",INDEX(Rider_Input[Working Days],Salary_Calculation[[#This Row],[Source Row]])))</f>
        <v/>
      </c>
      <c r="G79" s="165" t="str">
        <f aca="false">IF(Salary_Calculation[[#This Row],[Source Row]]="","",Std_Orders/Std_Days*N(Salary_Calculation[[#This Row],[Calendar Days]]))</f>
        <v/>
      </c>
      <c r="H79" s="165" t="str">
        <f aca="false">IF(Salary_Calculation[[#This Row],[Source Row]]="","",IF(N(Salary_Calculation[[#This Row],[Calendar Days]])&gt;0,Salary_Calculation[[#This Row],[Monthly Target Orders]]/N(Salary_Calculation[[#This Row],[Calendar Days]])*N(Salary_Calculation[[#This Row],[Working Days]]),0))</f>
        <v/>
      </c>
      <c r="I79" s="166" t="str">
        <f aca="false">IF(Salary_Calculation[[#This Row],[Source Row]]="","",IF(INDEX(Rider_Input[Completed Orders],Salary_Calculation[[#This Row],[Source Row]])="","",INDEX(Rider_Input[Completed Orders],Salary_Calculation[[#This Row],[Source Row]])))</f>
        <v/>
      </c>
      <c r="J79" s="165" t="str">
        <f aca="false">IF(Salary_Calculation[[#This Row],[Source Row]]="","",IF(Rate_Method="Fixed rate",Fixed_Rate,IF(N(Salary_Calculation[[#This Row],[Basic Payment]])&gt;0,N(Salary_Calculation[[#This Row],[Basic Payment]])/Std_Orders,0)))</f>
        <v/>
      </c>
      <c r="K79" s="165" t="str">
        <f aca="false">IF(Salary_Calculation[[#This Row],[Source Row]]="","",MAX(MIN(N(Salary_Calculation[[#This Row],[Completed Orders]]),Salary_Calculation[[#This Row],[Rider Target Orders]]),0))</f>
        <v/>
      </c>
      <c r="L79" s="164" t="str">
        <f aca="false">IF(Salary_Calculation[[#This Row],[Source Row]]="","",Salary_Calculation[[#This Row],[Orders Counted at Base Rate]]*Salary_Calculation[[#This Row],[Base Order Rate]])</f>
        <v/>
      </c>
      <c r="M79" s="165" t="str">
        <f aca="false">IF(Salary_Calculation[[#This Row],[Source Row]]="","",MAX(Salary_Calculation[[#This Row],[Rider Target Orders]]-N(Salary_Calculation[[#This Row],[Completed Orders]]),0))</f>
        <v/>
      </c>
      <c r="N79" s="164" t="str">
        <f aca="false">IF(Salary_Calculation[[#This Row],[Source Row]]="","",Salary_Calculation[[#This Row],[Missing Orders]]*Missing_Rate)</f>
        <v/>
      </c>
      <c r="O79" s="165" t="str">
        <f aca="false">IF(Salary_Calculation[[#This Row],[Source Row]]="","",MAX(N(Salary_Calculation[[#This Row],[Completed Orders]])-Salary_Calculation[[#This Row],[Rider Target Orders]],0))</f>
        <v/>
      </c>
      <c r="P79" s="164" t="str">
        <f aca="false">IF(Salary_Calculation[[#This Row],[Source Row]]="","",Salary_Calculation[[#This Row],[Extra Orders]]*Extra_Rate)</f>
        <v/>
      </c>
      <c r="Q79" s="164" t="str">
        <f aca="false">IF(Salary_Calculation[[#This Row],[Source Row]]="","",MAX(Salary_Calculation[[#This Row],[Salary Before Other Deductions]],0))</f>
        <v/>
      </c>
      <c r="R79" s="164" t="str">
        <f aca="false">IF(Salary_Calculation[[#This Row],[Source Row]]="","",N(INDEX(Rider_Input[missed_days_penalty],Salary_Calculation[[#This Row],[Source Row]])))</f>
        <v/>
      </c>
      <c r="S79" s="164" t="str">
        <f aca="false">IF(Salary_Calculation[[#This Row],[Source Row]]="","",N(INDEX(Rider_Input[Rider Balance / محفظة المندوب],Salary_Calculation[[#This Row],[Source Row]])))</f>
        <v/>
      </c>
      <c r="T79" s="164" t="str">
        <f aca="false">IF(Salary_Calculation[[#This Row],[Source Row]]="","",N(INDEX(Rider_Input[stacking_deduction / خصم الطلبات المتعددة],Salary_Calculation[[#This Row],[Source Row]])))</f>
        <v/>
      </c>
      <c r="U79" s="164" t="str">
        <f aca="false">IF(Salary_Calculation[[#This Row],[Source Row]]="","",N(INDEX(Rider_Input[Other Deductions],Salary_Calculation[[#This Row],[Source Row]])))</f>
        <v/>
      </c>
      <c r="V79" s="164" t="str">
        <f aca="false">IF(Salary_Calculation[[#This Row],[Source Row]]="","",N(Salary_Calculation[[#This Row],[missed_days_penalty]])+N(Salary_Calculation[[#This Row],[Rider Balance]])+N(Salary_Calculation[[#This Row],[stacking_deduction]])+N(Salary_Calculation[[#This Row],[Other Deductions]]))</f>
        <v/>
      </c>
      <c r="W79" s="167" t="str">
        <f aca="false">IF(Salary_Calculation[[#This Row],[Source Row]]="","",ROUND(MAX(Salary_Calculation[[#This Row],[Gross Salary Before Deductions]]-Salary_Calculation[[#This Row],[Total Deductions]],0),2))</f>
        <v/>
      </c>
      <c r="X79" s="164" t="str">
        <f aca="false">IF(Salary_Calculation[[#This Row],[Source Row]]="","",ROUND(MAX(Salary_Calculation[[#This Row],[Missing-Order Deduction]]-Salary_Calculation[[#This Row],[Earned Salary]],0),2))</f>
        <v/>
      </c>
      <c r="Y7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79" s="163" t="str">
        <f aca="false">IF(Salary_Calculation[[#This Row],[Source Row]]="","",IF(INDEX(Rider_Input[Notes],Salary_Calculation[[#This Row],[Source Row]])="","",INDEX(Rider_Input[Notes],Salary_Calculation[[#This Row],[Source Row]])))</f>
        <v/>
      </c>
      <c r="AA79" s="164" t="str">
        <f aca="false">IF(Salary_Calculation[[#This Row],[Source Row]]="","",Salary_Calculation[[#This Row],[Earned Salary]]-Salary_Calculation[[#This Row],[Missing-Order Deduction]]+Salary_Calculation[[#This Row],[Extra-Order Bonus]])</f>
        <v/>
      </c>
      <c r="AB79" s="164" t="str">
        <f aca="false">IF(Salary_Calculation[[#This Row],[Source Row]]="","",ROUND(Salary_Calculation[[#This Row],[Negative Balance / Amount Due from Rider]]+MAX(Salary_Calculation[[#This Row],[Total Deductions]]-Salary_Calculation[[#This Row],[Gross Salary Before Deductions]],0),2))</f>
        <v/>
      </c>
      <c r="AC7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79" s="164" t="str">
        <f aca="false">IF(Salary_Calculation[[#This Row],[Source Row]]="","",Salary_Calculation[[#This Row],[Rider Target Orders]]*Salary_Calculation[[#This Row],[Base Order Rate]])</f>
        <v/>
      </c>
      <c r="AE79" s="162" t="str">
        <f aca="false">IF(SUMPRODUCT(--(LEN(INDEX(Rider_Input[#Data],ROW()-ROW(Salary_Calculation[#Headers]),0))&gt;0))=0,"",ROW()-ROW(Salary_Calculation[#Headers]))</f>
        <v/>
      </c>
    </row>
    <row r="80" customFormat="false" ht="14.25" hidden="false" customHeight="false" outlineLevel="0" collapsed="false">
      <c r="A80" s="161" t="str">
        <f aca="false">IF(Salary_Calculation[[#This Row],[Source Row]]="","",IF(INDEX(Rider_Input[Salary Month],Salary_Calculation[[#This Row],[Source Row]])="","",INDEX(Rider_Input[Salary Month],Salary_Calculation[[#This Row],[Source Row]])))</f>
        <v/>
      </c>
      <c r="B80" s="162" t="str">
        <f aca="false">IF(Salary_Calculation[[#This Row],[Source Row]]="","",IF(INDEX(Rider_Input[Rider ID],Salary_Calculation[[#This Row],[Source Row]])="","",INDEX(Rider_Input[Rider ID],Salary_Calculation[[#This Row],[Source Row]])))</f>
        <v/>
      </c>
      <c r="C80" s="163" t="str">
        <f aca="false">IF(Salary_Calculation[[#This Row],[Source Row]]="","",IF(INDEX(Rider_Input[Rider Name],Salary_Calculation[[#This Row],[Source Row]])="","",INDEX(Rider_Input[Rider Name],Salary_Calculation[[#This Row],[Source Row]])))</f>
        <v/>
      </c>
      <c r="D80" s="164" t="str">
        <f aca="false">IF(Salary_Calculation[[#This Row],[Source Row]]="","",IF(INDEX(Rider_Input[Basic Payment],Salary_Calculation[[#This Row],[Source Row]])="","",INDEX(Rider_Input[Basic Payment],Salary_Calculation[[#This Row],[Source Row]])))</f>
        <v/>
      </c>
      <c r="E80" s="162" t="str">
        <f aca="false">IF(Salary_Calculation[[#This Row],[Source Row]]="","",IF(INDEX(Rider_Input[Calendar Days in Month],Salary_Calculation[[#This Row],[Source Row]])="","",INDEX(Rider_Input[Calendar Days in Month],Salary_Calculation[[#This Row],[Source Row]])))</f>
        <v/>
      </c>
      <c r="F80" s="162" t="str">
        <f aca="false">IF(Salary_Calculation[[#This Row],[Source Row]]="","",IF(INDEX(Rider_Input[Working Days],Salary_Calculation[[#This Row],[Source Row]])="","",INDEX(Rider_Input[Working Days],Salary_Calculation[[#This Row],[Source Row]])))</f>
        <v/>
      </c>
      <c r="G80" s="165" t="str">
        <f aca="false">IF(Salary_Calculation[[#This Row],[Source Row]]="","",Std_Orders/Std_Days*N(Salary_Calculation[[#This Row],[Calendar Days]]))</f>
        <v/>
      </c>
      <c r="H80" s="165" t="str">
        <f aca="false">IF(Salary_Calculation[[#This Row],[Source Row]]="","",IF(N(Salary_Calculation[[#This Row],[Calendar Days]])&gt;0,Salary_Calculation[[#This Row],[Monthly Target Orders]]/N(Salary_Calculation[[#This Row],[Calendar Days]])*N(Salary_Calculation[[#This Row],[Working Days]]),0))</f>
        <v/>
      </c>
      <c r="I80" s="166" t="str">
        <f aca="false">IF(Salary_Calculation[[#This Row],[Source Row]]="","",IF(INDEX(Rider_Input[Completed Orders],Salary_Calculation[[#This Row],[Source Row]])="","",INDEX(Rider_Input[Completed Orders],Salary_Calculation[[#This Row],[Source Row]])))</f>
        <v/>
      </c>
      <c r="J80" s="165" t="str">
        <f aca="false">IF(Salary_Calculation[[#This Row],[Source Row]]="","",IF(Rate_Method="Fixed rate",Fixed_Rate,IF(N(Salary_Calculation[[#This Row],[Basic Payment]])&gt;0,N(Salary_Calculation[[#This Row],[Basic Payment]])/Std_Orders,0)))</f>
        <v/>
      </c>
      <c r="K80" s="165" t="str">
        <f aca="false">IF(Salary_Calculation[[#This Row],[Source Row]]="","",MAX(MIN(N(Salary_Calculation[[#This Row],[Completed Orders]]),Salary_Calculation[[#This Row],[Rider Target Orders]]),0))</f>
        <v/>
      </c>
      <c r="L80" s="164" t="str">
        <f aca="false">IF(Salary_Calculation[[#This Row],[Source Row]]="","",Salary_Calculation[[#This Row],[Orders Counted at Base Rate]]*Salary_Calculation[[#This Row],[Base Order Rate]])</f>
        <v/>
      </c>
      <c r="M80" s="165" t="str">
        <f aca="false">IF(Salary_Calculation[[#This Row],[Source Row]]="","",MAX(Salary_Calculation[[#This Row],[Rider Target Orders]]-N(Salary_Calculation[[#This Row],[Completed Orders]]),0))</f>
        <v/>
      </c>
      <c r="N80" s="164" t="str">
        <f aca="false">IF(Salary_Calculation[[#This Row],[Source Row]]="","",Salary_Calculation[[#This Row],[Missing Orders]]*Missing_Rate)</f>
        <v/>
      </c>
      <c r="O80" s="165" t="str">
        <f aca="false">IF(Salary_Calculation[[#This Row],[Source Row]]="","",MAX(N(Salary_Calculation[[#This Row],[Completed Orders]])-Salary_Calculation[[#This Row],[Rider Target Orders]],0))</f>
        <v/>
      </c>
      <c r="P80" s="164" t="str">
        <f aca="false">IF(Salary_Calculation[[#This Row],[Source Row]]="","",Salary_Calculation[[#This Row],[Extra Orders]]*Extra_Rate)</f>
        <v/>
      </c>
      <c r="Q80" s="164" t="str">
        <f aca="false">IF(Salary_Calculation[[#This Row],[Source Row]]="","",MAX(Salary_Calculation[[#This Row],[Salary Before Other Deductions]],0))</f>
        <v/>
      </c>
      <c r="R80" s="164" t="str">
        <f aca="false">IF(Salary_Calculation[[#This Row],[Source Row]]="","",N(INDEX(Rider_Input[missed_days_penalty],Salary_Calculation[[#This Row],[Source Row]])))</f>
        <v/>
      </c>
      <c r="S80" s="164" t="str">
        <f aca="false">IF(Salary_Calculation[[#This Row],[Source Row]]="","",N(INDEX(Rider_Input[Rider Balance / محفظة المندوب],Salary_Calculation[[#This Row],[Source Row]])))</f>
        <v/>
      </c>
      <c r="T80" s="164" t="str">
        <f aca="false">IF(Salary_Calculation[[#This Row],[Source Row]]="","",N(INDEX(Rider_Input[stacking_deduction / خصم الطلبات المتعددة],Salary_Calculation[[#This Row],[Source Row]])))</f>
        <v/>
      </c>
      <c r="U80" s="164" t="str">
        <f aca="false">IF(Salary_Calculation[[#This Row],[Source Row]]="","",N(INDEX(Rider_Input[Other Deductions],Salary_Calculation[[#This Row],[Source Row]])))</f>
        <v/>
      </c>
      <c r="V80" s="164" t="str">
        <f aca="false">IF(Salary_Calculation[[#This Row],[Source Row]]="","",N(Salary_Calculation[[#This Row],[missed_days_penalty]])+N(Salary_Calculation[[#This Row],[Rider Balance]])+N(Salary_Calculation[[#This Row],[stacking_deduction]])+N(Salary_Calculation[[#This Row],[Other Deductions]]))</f>
        <v/>
      </c>
      <c r="W80" s="167" t="str">
        <f aca="false">IF(Salary_Calculation[[#This Row],[Source Row]]="","",ROUND(MAX(Salary_Calculation[[#This Row],[Gross Salary Before Deductions]]-Salary_Calculation[[#This Row],[Total Deductions]],0),2))</f>
        <v/>
      </c>
      <c r="X80" s="164" t="str">
        <f aca="false">IF(Salary_Calculation[[#This Row],[Source Row]]="","",ROUND(MAX(Salary_Calculation[[#This Row],[Missing-Order Deduction]]-Salary_Calculation[[#This Row],[Earned Salary]],0),2))</f>
        <v/>
      </c>
      <c r="Y8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80" s="163" t="str">
        <f aca="false">IF(Salary_Calculation[[#This Row],[Source Row]]="","",IF(INDEX(Rider_Input[Notes],Salary_Calculation[[#This Row],[Source Row]])="","",INDEX(Rider_Input[Notes],Salary_Calculation[[#This Row],[Source Row]])))</f>
        <v/>
      </c>
      <c r="AA80" s="164" t="str">
        <f aca="false">IF(Salary_Calculation[[#This Row],[Source Row]]="","",Salary_Calculation[[#This Row],[Earned Salary]]-Salary_Calculation[[#This Row],[Missing-Order Deduction]]+Salary_Calculation[[#This Row],[Extra-Order Bonus]])</f>
        <v/>
      </c>
      <c r="AB80" s="164" t="str">
        <f aca="false">IF(Salary_Calculation[[#This Row],[Source Row]]="","",ROUND(Salary_Calculation[[#This Row],[Negative Balance / Amount Due from Rider]]+MAX(Salary_Calculation[[#This Row],[Total Deductions]]-Salary_Calculation[[#This Row],[Gross Salary Before Deductions]],0),2))</f>
        <v/>
      </c>
      <c r="AC8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80" s="164" t="str">
        <f aca="false">IF(Salary_Calculation[[#This Row],[Source Row]]="","",Salary_Calculation[[#This Row],[Rider Target Orders]]*Salary_Calculation[[#This Row],[Base Order Rate]])</f>
        <v/>
      </c>
      <c r="AE80" s="162" t="str">
        <f aca="false">IF(SUMPRODUCT(--(LEN(INDEX(Rider_Input[#Data],ROW()-ROW(Salary_Calculation[#Headers]),0))&gt;0))=0,"",ROW()-ROW(Salary_Calculation[#Headers]))</f>
        <v/>
      </c>
    </row>
    <row r="81" customFormat="false" ht="14.25" hidden="false" customHeight="false" outlineLevel="0" collapsed="false">
      <c r="A81" s="161" t="str">
        <f aca="false">IF(Salary_Calculation[[#This Row],[Source Row]]="","",IF(INDEX(Rider_Input[Salary Month],Salary_Calculation[[#This Row],[Source Row]])="","",INDEX(Rider_Input[Salary Month],Salary_Calculation[[#This Row],[Source Row]])))</f>
        <v/>
      </c>
      <c r="B81" s="162" t="str">
        <f aca="false">IF(Salary_Calculation[[#This Row],[Source Row]]="","",IF(INDEX(Rider_Input[Rider ID],Salary_Calculation[[#This Row],[Source Row]])="","",INDEX(Rider_Input[Rider ID],Salary_Calculation[[#This Row],[Source Row]])))</f>
        <v/>
      </c>
      <c r="C81" s="163" t="str">
        <f aca="false">IF(Salary_Calculation[[#This Row],[Source Row]]="","",IF(INDEX(Rider_Input[Rider Name],Salary_Calculation[[#This Row],[Source Row]])="","",INDEX(Rider_Input[Rider Name],Salary_Calculation[[#This Row],[Source Row]])))</f>
        <v/>
      </c>
      <c r="D81" s="164" t="str">
        <f aca="false">IF(Salary_Calculation[[#This Row],[Source Row]]="","",IF(INDEX(Rider_Input[Basic Payment],Salary_Calculation[[#This Row],[Source Row]])="","",INDEX(Rider_Input[Basic Payment],Salary_Calculation[[#This Row],[Source Row]])))</f>
        <v/>
      </c>
      <c r="E81" s="162" t="str">
        <f aca="false">IF(Salary_Calculation[[#This Row],[Source Row]]="","",IF(INDEX(Rider_Input[Calendar Days in Month],Salary_Calculation[[#This Row],[Source Row]])="","",INDEX(Rider_Input[Calendar Days in Month],Salary_Calculation[[#This Row],[Source Row]])))</f>
        <v/>
      </c>
      <c r="F81" s="162" t="str">
        <f aca="false">IF(Salary_Calculation[[#This Row],[Source Row]]="","",IF(INDEX(Rider_Input[Working Days],Salary_Calculation[[#This Row],[Source Row]])="","",INDEX(Rider_Input[Working Days],Salary_Calculation[[#This Row],[Source Row]])))</f>
        <v/>
      </c>
      <c r="G81" s="165" t="str">
        <f aca="false">IF(Salary_Calculation[[#This Row],[Source Row]]="","",Std_Orders/Std_Days*N(Salary_Calculation[[#This Row],[Calendar Days]]))</f>
        <v/>
      </c>
      <c r="H81" s="165" t="str">
        <f aca="false">IF(Salary_Calculation[[#This Row],[Source Row]]="","",IF(N(Salary_Calculation[[#This Row],[Calendar Days]])&gt;0,Salary_Calculation[[#This Row],[Monthly Target Orders]]/N(Salary_Calculation[[#This Row],[Calendar Days]])*N(Salary_Calculation[[#This Row],[Working Days]]),0))</f>
        <v/>
      </c>
      <c r="I81" s="166" t="str">
        <f aca="false">IF(Salary_Calculation[[#This Row],[Source Row]]="","",IF(INDEX(Rider_Input[Completed Orders],Salary_Calculation[[#This Row],[Source Row]])="","",INDEX(Rider_Input[Completed Orders],Salary_Calculation[[#This Row],[Source Row]])))</f>
        <v/>
      </c>
      <c r="J81" s="165" t="str">
        <f aca="false">IF(Salary_Calculation[[#This Row],[Source Row]]="","",IF(Rate_Method="Fixed rate",Fixed_Rate,IF(N(Salary_Calculation[[#This Row],[Basic Payment]])&gt;0,N(Salary_Calculation[[#This Row],[Basic Payment]])/Std_Orders,0)))</f>
        <v/>
      </c>
      <c r="K81" s="165" t="str">
        <f aca="false">IF(Salary_Calculation[[#This Row],[Source Row]]="","",MAX(MIN(N(Salary_Calculation[[#This Row],[Completed Orders]]),Salary_Calculation[[#This Row],[Rider Target Orders]]),0))</f>
        <v/>
      </c>
      <c r="L81" s="164" t="str">
        <f aca="false">IF(Salary_Calculation[[#This Row],[Source Row]]="","",Salary_Calculation[[#This Row],[Orders Counted at Base Rate]]*Salary_Calculation[[#This Row],[Base Order Rate]])</f>
        <v/>
      </c>
      <c r="M81" s="165" t="str">
        <f aca="false">IF(Salary_Calculation[[#This Row],[Source Row]]="","",MAX(Salary_Calculation[[#This Row],[Rider Target Orders]]-N(Salary_Calculation[[#This Row],[Completed Orders]]),0))</f>
        <v/>
      </c>
      <c r="N81" s="164" t="str">
        <f aca="false">IF(Salary_Calculation[[#This Row],[Source Row]]="","",Salary_Calculation[[#This Row],[Missing Orders]]*Missing_Rate)</f>
        <v/>
      </c>
      <c r="O81" s="165" t="str">
        <f aca="false">IF(Salary_Calculation[[#This Row],[Source Row]]="","",MAX(N(Salary_Calculation[[#This Row],[Completed Orders]])-Salary_Calculation[[#This Row],[Rider Target Orders]],0))</f>
        <v/>
      </c>
      <c r="P81" s="164" t="str">
        <f aca="false">IF(Salary_Calculation[[#This Row],[Source Row]]="","",Salary_Calculation[[#This Row],[Extra Orders]]*Extra_Rate)</f>
        <v/>
      </c>
      <c r="Q81" s="164" t="str">
        <f aca="false">IF(Salary_Calculation[[#This Row],[Source Row]]="","",MAX(Salary_Calculation[[#This Row],[Salary Before Other Deductions]],0))</f>
        <v/>
      </c>
      <c r="R81" s="164" t="str">
        <f aca="false">IF(Salary_Calculation[[#This Row],[Source Row]]="","",N(INDEX(Rider_Input[missed_days_penalty],Salary_Calculation[[#This Row],[Source Row]])))</f>
        <v/>
      </c>
      <c r="S81" s="164" t="str">
        <f aca="false">IF(Salary_Calculation[[#This Row],[Source Row]]="","",N(INDEX(Rider_Input[Rider Balance / محفظة المندوب],Salary_Calculation[[#This Row],[Source Row]])))</f>
        <v/>
      </c>
      <c r="T81" s="164" t="str">
        <f aca="false">IF(Salary_Calculation[[#This Row],[Source Row]]="","",N(INDEX(Rider_Input[stacking_deduction / خصم الطلبات المتعددة],Salary_Calculation[[#This Row],[Source Row]])))</f>
        <v/>
      </c>
      <c r="U81" s="164" t="str">
        <f aca="false">IF(Salary_Calculation[[#This Row],[Source Row]]="","",N(INDEX(Rider_Input[Other Deductions],Salary_Calculation[[#This Row],[Source Row]])))</f>
        <v/>
      </c>
      <c r="V81" s="164" t="str">
        <f aca="false">IF(Salary_Calculation[[#This Row],[Source Row]]="","",N(Salary_Calculation[[#This Row],[missed_days_penalty]])+N(Salary_Calculation[[#This Row],[Rider Balance]])+N(Salary_Calculation[[#This Row],[stacking_deduction]])+N(Salary_Calculation[[#This Row],[Other Deductions]]))</f>
        <v/>
      </c>
      <c r="W81" s="167" t="str">
        <f aca="false">IF(Salary_Calculation[[#This Row],[Source Row]]="","",ROUND(MAX(Salary_Calculation[[#This Row],[Gross Salary Before Deductions]]-Salary_Calculation[[#This Row],[Total Deductions]],0),2))</f>
        <v/>
      </c>
      <c r="X81" s="164" t="str">
        <f aca="false">IF(Salary_Calculation[[#This Row],[Source Row]]="","",ROUND(MAX(Salary_Calculation[[#This Row],[Missing-Order Deduction]]-Salary_Calculation[[#This Row],[Earned Salary]],0),2))</f>
        <v/>
      </c>
      <c r="Y8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81" s="163" t="str">
        <f aca="false">IF(Salary_Calculation[[#This Row],[Source Row]]="","",IF(INDEX(Rider_Input[Notes],Salary_Calculation[[#This Row],[Source Row]])="","",INDEX(Rider_Input[Notes],Salary_Calculation[[#This Row],[Source Row]])))</f>
        <v/>
      </c>
      <c r="AA81" s="164" t="str">
        <f aca="false">IF(Salary_Calculation[[#This Row],[Source Row]]="","",Salary_Calculation[[#This Row],[Earned Salary]]-Salary_Calculation[[#This Row],[Missing-Order Deduction]]+Salary_Calculation[[#This Row],[Extra-Order Bonus]])</f>
        <v/>
      </c>
      <c r="AB81" s="164" t="str">
        <f aca="false">IF(Salary_Calculation[[#This Row],[Source Row]]="","",ROUND(Salary_Calculation[[#This Row],[Negative Balance / Amount Due from Rider]]+MAX(Salary_Calculation[[#This Row],[Total Deductions]]-Salary_Calculation[[#This Row],[Gross Salary Before Deductions]],0),2))</f>
        <v/>
      </c>
      <c r="AC8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81" s="164" t="str">
        <f aca="false">IF(Salary_Calculation[[#This Row],[Source Row]]="","",Salary_Calculation[[#This Row],[Rider Target Orders]]*Salary_Calculation[[#This Row],[Base Order Rate]])</f>
        <v/>
      </c>
      <c r="AE81" s="162" t="str">
        <f aca="false">IF(SUMPRODUCT(--(LEN(INDEX(Rider_Input[#Data],ROW()-ROW(Salary_Calculation[#Headers]),0))&gt;0))=0,"",ROW()-ROW(Salary_Calculation[#Headers]))</f>
        <v/>
      </c>
    </row>
    <row r="82" customFormat="false" ht="14.25" hidden="false" customHeight="false" outlineLevel="0" collapsed="false">
      <c r="A82" s="161" t="str">
        <f aca="false">IF(Salary_Calculation[[#This Row],[Source Row]]="","",IF(INDEX(Rider_Input[Salary Month],Salary_Calculation[[#This Row],[Source Row]])="","",INDEX(Rider_Input[Salary Month],Salary_Calculation[[#This Row],[Source Row]])))</f>
        <v/>
      </c>
      <c r="B82" s="162" t="str">
        <f aca="false">IF(Salary_Calculation[[#This Row],[Source Row]]="","",IF(INDEX(Rider_Input[Rider ID],Salary_Calculation[[#This Row],[Source Row]])="","",INDEX(Rider_Input[Rider ID],Salary_Calculation[[#This Row],[Source Row]])))</f>
        <v/>
      </c>
      <c r="C82" s="163" t="str">
        <f aca="false">IF(Salary_Calculation[[#This Row],[Source Row]]="","",IF(INDEX(Rider_Input[Rider Name],Salary_Calculation[[#This Row],[Source Row]])="","",INDEX(Rider_Input[Rider Name],Salary_Calculation[[#This Row],[Source Row]])))</f>
        <v/>
      </c>
      <c r="D82" s="164" t="str">
        <f aca="false">IF(Salary_Calculation[[#This Row],[Source Row]]="","",IF(INDEX(Rider_Input[Basic Payment],Salary_Calculation[[#This Row],[Source Row]])="","",INDEX(Rider_Input[Basic Payment],Salary_Calculation[[#This Row],[Source Row]])))</f>
        <v/>
      </c>
      <c r="E82" s="162" t="str">
        <f aca="false">IF(Salary_Calculation[[#This Row],[Source Row]]="","",IF(INDEX(Rider_Input[Calendar Days in Month],Salary_Calculation[[#This Row],[Source Row]])="","",INDEX(Rider_Input[Calendar Days in Month],Salary_Calculation[[#This Row],[Source Row]])))</f>
        <v/>
      </c>
      <c r="F82" s="162" t="str">
        <f aca="false">IF(Salary_Calculation[[#This Row],[Source Row]]="","",IF(INDEX(Rider_Input[Working Days],Salary_Calculation[[#This Row],[Source Row]])="","",INDEX(Rider_Input[Working Days],Salary_Calculation[[#This Row],[Source Row]])))</f>
        <v/>
      </c>
      <c r="G82" s="165" t="str">
        <f aca="false">IF(Salary_Calculation[[#This Row],[Source Row]]="","",Std_Orders/Std_Days*N(Salary_Calculation[[#This Row],[Calendar Days]]))</f>
        <v/>
      </c>
      <c r="H82" s="165" t="str">
        <f aca="false">IF(Salary_Calculation[[#This Row],[Source Row]]="","",IF(N(Salary_Calculation[[#This Row],[Calendar Days]])&gt;0,Salary_Calculation[[#This Row],[Monthly Target Orders]]/N(Salary_Calculation[[#This Row],[Calendar Days]])*N(Salary_Calculation[[#This Row],[Working Days]]),0))</f>
        <v/>
      </c>
      <c r="I82" s="166" t="str">
        <f aca="false">IF(Salary_Calculation[[#This Row],[Source Row]]="","",IF(INDEX(Rider_Input[Completed Orders],Salary_Calculation[[#This Row],[Source Row]])="","",INDEX(Rider_Input[Completed Orders],Salary_Calculation[[#This Row],[Source Row]])))</f>
        <v/>
      </c>
      <c r="J82" s="165" t="str">
        <f aca="false">IF(Salary_Calculation[[#This Row],[Source Row]]="","",IF(Rate_Method="Fixed rate",Fixed_Rate,IF(N(Salary_Calculation[[#This Row],[Basic Payment]])&gt;0,N(Salary_Calculation[[#This Row],[Basic Payment]])/Std_Orders,0)))</f>
        <v/>
      </c>
      <c r="K82" s="165" t="str">
        <f aca="false">IF(Salary_Calculation[[#This Row],[Source Row]]="","",MAX(MIN(N(Salary_Calculation[[#This Row],[Completed Orders]]),Salary_Calculation[[#This Row],[Rider Target Orders]]),0))</f>
        <v/>
      </c>
      <c r="L82" s="164" t="str">
        <f aca="false">IF(Salary_Calculation[[#This Row],[Source Row]]="","",Salary_Calculation[[#This Row],[Orders Counted at Base Rate]]*Salary_Calculation[[#This Row],[Base Order Rate]])</f>
        <v/>
      </c>
      <c r="M82" s="165" t="str">
        <f aca="false">IF(Salary_Calculation[[#This Row],[Source Row]]="","",MAX(Salary_Calculation[[#This Row],[Rider Target Orders]]-N(Salary_Calculation[[#This Row],[Completed Orders]]),0))</f>
        <v/>
      </c>
      <c r="N82" s="164" t="str">
        <f aca="false">IF(Salary_Calculation[[#This Row],[Source Row]]="","",Salary_Calculation[[#This Row],[Missing Orders]]*Missing_Rate)</f>
        <v/>
      </c>
      <c r="O82" s="165" t="str">
        <f aca="false">IF(Salary_Calculation[[#This Row],[Source Row]]="","",MAX(N(Salary_Calculation[[#This Row],[Completed Orders]])-Salary_Calculation[[#This Row],[Rider Target Orders]],0))</f>
        <v/>
      </c>
      <c r="P82" s="164" t="str">
        <f aca="false">IF(Salary_Calculation[[#This Row],[Source Row]]="","",Salary_Calculation[[#This Row],[Extra Orders]]*Extra_Rate)</f>
        <v/>
      </c>
      <c r="Q82" s="164" t="str">
        <f aca="false">IF(Salary_Calculation[[#This Row],[Source Row]]="","",MAX(Salary_Calculation[[#This Row],[Salary Before Other Deductions]],0))</f>
        <v/>
      </c>
      <c r="R82" s="164" t="str">
        <f aca="false">IF(Salary_Calculation[[#This Row],[Source Row]]="","",N(INDEX(Rider_Input[missed_days_penalty],Salary_Calculation[[#This Row],[Source Row]])))</f>
        <v/>
      </c>
      <c r="S82" s="164" t="str">
        <f aca="false">IF(Salary_Calculation[[#This Row],[Source Row]]="","",N(INDEX(Rider_Input[Rider Balance / محفظة المندوب],Salary_Calculation[[#This Row],[Source Row]])))</f>
        <v/>
      </c>
      <c r="T82" s="164" t="str">
        <f aca="false">IF(Salary_Calculation[[#This Row],[Source Row]]="","",N(INDEX(Rider_Input[stacking_deduction / خصم الطلبات المتعددة],Salary_Calculation[[#This Row],[Source Row]])))</f>
        <v/>
      </c>
      <c r="U82" s="164" t="str">
        <f aca="false">IF(Salary_Calculation[[#This Row],[Source Row]]="","",N(INDEX(Rider_Input[Other Deductions],Salary_Calculation[[#This Row],[Source Row]])))</f>
        <v/>
      </c>
      <c r="V82" s="164" t="str">
        <f aca="false">IF(Salary_Calculation[[#This Row],[Source Row]]="","",N(Salary_Calculation[[#This Row],[missed_days_penalty]])+N(Salary_Calculation[[#This Row],[Rider Balance]])+N(Salary_Calculation[[#This Row],[stacking_deduction]])+N(Salary_Calculation[[#This Row],[Other Deductions]]))</f>
        <v/>
      </c>
      <c r="W82" s="167" t="str">
        <f aca="false">IF(Salary_Calculation[[#This Row],[Source Row]]="","",ROUND(MAX(Salary_Calculation[[#This Row],[Gross Salary Before Deductions]]-Salary_Calculation[[#This Row],[Total Deductions]],0),2))</f>
        <v/>
      </c>
      <c r="X82" s="164" t="str">
        <f aca="false">IF(Salary_Calculation[[#This Row],[Source Row]]="","",ROUND(MAX(Salary_Calculation[[#This Row],[Missing-Order Deduction]]-Salary_Calculation[[#This Row],[Earned Salary]],0),2))</f>
        <v/>
      </c>
      <c r="Y8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82" s="163" t="str">
        <f aca="false">IF(Salary_Calculation[[#This Row],[Source Row]]="","",IF(INDEX(Rider_Input[Notes],Salary_Calculation[[#This Row],[Source Row]])="","",INDEX(Rider_Input[Notes],Salary_Calculation[[#This Row],[Source Row]])))</f>
        <v/>
      </c>
      <c r="AA82" s="164" t="str">
        <f aca="false">IF(Salary_Calculation[[#This Row],[Source Row]]="","",Salary_Calculation[[#This Row],[Earned Salary]]-Salary_Calculation[[#This Row],[Missing-Order Deduction]]+Salary_Calculation[[#This Row],[Extra-Order Bonus]])</f>
        <v/>
      </c>
      <c r="AB82" s="164" t="str">
        <f aca="false">IF(Salary_Calculation[[#This Row],[Source Row]]="","",ROUND(Salary_Calculation[[#This Row],[Negative Balance / Amount Due from Rider]]+MAX(Salary_Calculation[[#This Row],[Total Deductions]]-Salary_Calculation[[#This Row],[Gross Salary Before Deductions]],0),2))</f>
        <v/>
      </c>
      <c r="AC8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82" s="164" t="str">
        <f aca="false">IF(Salary_Calculation[[#This Row],[Source Row]]="","",Salary_Calculation[[#This Row],[Rider Target Orders]]*Salary_Calculation[[#This Row],[Base Order Rate]])</f>
        <v/>
      </c>
      <c r="AE82" s="162" t="str">
        <f aca="false">IF(SUMPRODUCT(--(LEN(INDEX(Rider_Input[#Data],ROW()-ROW(Salary_Calculation[#Headers]),0))&gt;0))=0,"",ROW()-ROW(Salary_Calculation[#Headers]))</f>
        <v/>
      </c>
    </row>
    <row r="83" customFormat="false" ht="14.25" hidden="false" customHeight="false" outlineLevel="0" collapsed="false">
      <c r="A83" s="161" t="str">
        <f aca="false">IF(Salary_Calculation[[#This Row],[Source Row]]="","",IF(INDEX(Rider_Input[Salary Month],Salary_Calculation[[#This Row],[Source Row]])="","",INDEX(Rider_Input[Salary Month],Salary_Calculation[[#This Row],[Source Row]])))</f>
        <v/>
      </c>
      <c r="B83" s="162" t="str">
        <f aca="false">IF(Salary_Calculation[[#This Row],[Source Row]]="","",IF(INDEX(Rider_Input[Rider ID],Salary_Calculation[[#This Row],[Source Row]])="","",INDEX(Rider_Input[Rider ID],Salary_Calculation[[#This Row],[Source Row]])))</f>
        <v/>
      </c>
      <c r="C83" s="163" t="str">
        <f aca="false">IF(Salary_Calculation[[#This Row],[Source Row]]="","",IF(INDEX(Rider_Input[Rider Name],Salary_Calculation[[#This Row],[Source Row]])="","",INDEX(Rider_Input[Rider Name],Salary_Calculation[[#This Row],[Source Row]])))</f>
        <v/>
      </c>
      <c r="D83" s="164" t="str">
        <f aca="false">IF(Salary_Calculation[[#This Row],[Source Row]]="","",IF(INDEX(Rider_Input[Basic Payment],Salary_Calculation[[#This Row],[Source Row]])="","",INDEX(Rider_Input[Basic Payment],Salary_Calculation[[#This Row],[Source Row]])))</f>
        <v/>
      </c>
      <c r="E83" s="162" t="str">
        <f aca="false">IF(Salary_Calculation[[#This Row],[Source Row]]="","",IF(INDEX(Rider_Input[Calendar Days in Month],Salary_Calculation[[#This Row],[Source Row]])="","",INDEX(Rider_Input[Calendar Days in Month],Salary_Calculation[[#This Row],[Source Row]])))</f>
        <v/>
      </c>
      <c r="F83" s="162" t="str">
        <f aca="false">IF(Salary_Calculation[[#This Row],[Source Row]]="","",IF(INDEX(Rider_Input[Working Days],Salary_Calculation[[#This Row],[Source Row]])="","",INDEX(Rider_Input[Working Days],Salary_Calculation[[#This Row],[Source Row]])))</f>
        <v/>
      </c>
      <c r="G83" s="165" t="str">
        <f aca="false">IF(Salary_Calculation[[#This Row],[Source Row]]="","",Std_Orders/Std_Days*N(Salary_Calculation[[#This Row],[Calendar Days]]))</f>
        <v/>
      </c>
      <c r="H83" s="165" t="str">
        <f aca="false">IF(Salary_Calculation[[#This Row],[Source Row]]="","",IF(N(Salary_Calculation[[#This Row],[Calendar Days]])&gt;0,Salary_Calculation[[#This Row],[Monthly Target Orders]]/N(Salary_Calculation[[#This Row],[Calendar Days]])*N(Salary_Calculation[[#This Row],[Working Days]]),0))</f>
        <v/>
      </c>
      <c r="I83" s="166" t="str">
        <f aca="false">IF(Salary_Calculation[[#This Row],[Source Row]]="","",IF(INDEX(Rider_Input[Completed Orders],Salary_Calculation[[#This Row],[Source Row]])="","",INDEX(Rider_Input[Completed Orders],Salary_Calculation[[#This Row],[Source Row]])))</f>
        <v/>
      </c>
      <c r="J83" s="165" t="str">
        <f aca="false">IF(Salary_Calculation[[#This Row],[Source Row]]="","",IF(Rate_Method="Fixed rate",Fixed_Rate,IF(N(Salary_Calculation[[#This Row],[Basic Payment]])&gt;0,N(Salary_Calculation[[#This Row],[Basic Payment]])/Std_Orders,0)))</f>
        <v/>
      </c>
      <c r="K83" s="165" t="str">
        <f aca="false">IF(Salary_Calculation[[#This Row],[Source Row]]="","",MAX(MIN(N(Salary_Calculation[[#This Row],[Completed Orders]]),Salary_Calculation[[#This Row],[Rider Target Orders]]),0))</f>
        <v/>
      </c>
      <c r="L83" s="164" t="str">
        <f aca="false">IF(Salary_Calculation[[#This Row],[Source Row]]="","",Salary_Calculation[[#This Row],[Orders Counted at Base Rate]]*Salary_Calculation[[#This Row],[Base Order Rate]])</f>
        <v/>
      </c>
      <c r="M83" s="165" t="str">
        <f aca="false">IF(Salary_Calculation[[#This Row],[Source Row]]="","",MAX(Salary_Calculation[[#This Row],[Rider Target Orders]]-N(Salary_Calculation[[#This Row],[Completed Orders]]),0))</f>
        <v/>
      </c>
      <c r="N83" s="164" t="str">
        <f aca="false">IF(Salary_Calculation[[#This Row],[Source Row]]="","",Salary_Calculation[[#This Row],[Missing Orders]]*Missing_Rate)</f>
        <v/>
      </c>
      <c r="O83" s="165" t="str">
        <f aca="false">IF(Salary_Calculation[[#This Row],[Source Row]]="","",MAX(N(Salary_Calculation[[#This Row],[Completed Orders]])-Salary_Calculation[[#This Row],[Rider Target Orders]],0))</f>
        <v/>
      </c>
      <c r="P83" s="164" t="str">
        <f aca="false">IF(Salary_Calculation[[#This Row],[Source Row]]="","",Salary_Calculation[[#This Row],[Extra Orders]]*Extra_Rate)</f>
        <v/>
      </c>
      <c r="Q83" s="164" t="str">
        <f aca="false">IF(Salary_Calculation[[#This Row],[Source Row]]="","",MAX(Salary_Calculation[[#This Row],[Salary Before Other Deductions]],0))</f>
        <v/>
      </c>
      <c r="R83" s="164" t="str">
        <f aca="false">IF(Salary_Calculation[[#This Row],[Source Row]]="","",N(INDEX(Rider_Input[missed_days_penalty],Salary_Calculation[[#This Row],[Source Row]])))</f>
        <v/>
      </c>
      <c r="S83" s="164" t="str">
        <f aca="false">IF(Salary_Calculation[[#This Row],[Source Row]]="","",N(INDEX(Rider_Input[Rider Balance / محفظة المندوب],Salary_Calculation[[#This Row],[Source Row]])))</f>
        <v/>
      </c>
      <c r="T83" s="164" t="str">
        <f aca="false">IF(Salary_Calculation[[#This Row],[Source Row]]="","",N(INDEX(Rider_Input[stacking_deduction / خصم الطلبات المتعددة],Salary_Calculation[[#This Row],[Source Row]])))</f>
        <v/>
      </c>
      <c r="U83" s="164" t="str">
        <f aca="false">IF(Salary_Calculation[[#This Row],[Source Row]]="","",N(INDEX(Rider_Input[Other Deductions],Salary_Calculation[[#This Row],[Source Row]])))</f>
        <v/>
      </c>
      <c r="V83" s="164" t="str">
        <f aca="false">IF(Salary_Calculation[[#This Row],[Source Row]]="","",N(Salary_Calculation[[#This Row],[missed_days_penalty]])+N(Salary_Calculation[[#This Row],[Rider Balance]])+N(Salary_Calculation[[#This Row],[stacking_deduction]])+N(Salary_Calculation[[#This Row],[Other Deductions]]))</f>
        <v/>
      </c>
      <c r="W83" s="167" t="str">
        <f aca="false">IF(Salary_Calculation[[#This Row],[Source Row]]="","",ROUND(MAX(Salary_Calculation[[#This Row],[Gross Salary Before Deductions]]-Salary_Calculation[[#This Row],[Total Deductions]],0),2))</f>
        <v/>
      </c>
      <c r="X83" s="164" t="str">
        <f aca="false">IF(Salary_Calculation[[#This Row],[Source Row]]="","",ROUND(MAX(Salary_Calculation[[#This Row],[Missing-Order Deduction]]-Salary_Calculation[[#This Row],[Earned Salary]],0),2))</f>
        <v/>
      </c>
      <c r="Y8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83" s="163" t="str">
        <f aca="false">IF(Salary_Calculation[[#This Row],[Source Row]]="","",IF(INDEX(Rider_Input[Notes],Salary_Calculation[[#This Row],[Source Row]])="","",INDEX(Rider_Input[Notes],Salary_Calculation[[#This Row],[Source Row]])))</f>
        <v/>
      </c>
      <c r="AA83" s="164" t="str">
        <f aca="false">IF(Salary_Calculation[[#This Row],[Source Row]]="","",Salary_Calculation[[#This Row],[Earned Salary]]-Salary_Calculation[[#This Row],[Missing-Order Deduction]]+Salary_Calculation[[#This Row],[Extra-Order Bonus]])</f>
        <v/>
      </c>
      <c r="AB83" s="164" t="str">
        <f aca="false">IF(Salary_Calculation[[#This Row],[Source Row]]="","",ROUND(Salary_Calculation[[#This Row],[Negative Balance / Amount Due from Rider]]+MAX(Salary_Calculation[[#This Row],[Total Deductions]]-Salary_Calculation[[#This Row],[Gross Salary Before Deductions]],0),2))</f>
        <v/>
      </c>
      <c r="AC8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83" s="164" t="str">
        <f aca="false">IF(Salary_Calculation[[#This Row],[Source Row]]="","",Salary_Calculation[[#This Row],[Rider Target Orders]]*Salary_Calculation[[#This Row],[Base Order Rate]])</f>
        <v/>
      </c>
      <c r="AE83" s="162" t="str">
        <f aca="false">IF(SUMPRODUCT(--(LEN(INDEX(Rider_Input[#Data],ROW()-ROW(Salary_Calculation[#Headers]),0))&gt;0))=0,"",ROW()-ROW(Salary_Calculation[#Headers]))</f>
        <v/>
      </c>
    </row>
    <row r="84" customFormat="false" ht="14.25" hidden="false" customHeight="false" outlineLevel="0" collapsed="false">
      <c r="A84" s="161" t="str">
        <f aca="false">IF(Salary_Calculation[[#This Row],[Source Row]]="","",IF(INDEX(Rider_Input[Salary Month],Salary_Calculation[[#This Row],[Source Row]])="","",INDEX(Rider_Input[Salary Month],Salary_Calculation[[#This Row],[Source Row]])))</f>
        <v/>
      </c>
      <c r="B84" s="162" t="str">
        <f aca="false">IF(Salary_Calculation[[#This Row],[Source Row]]="","",IF(INDEX(Rider_Input[Rider ID],Salary_Calculation[[#This Row],[Source Row]])="","",INDEX(Rider_Input[Rider ID],Salary_Calculation[[#This Row],[Source Row]])))</f>
        <v/>
      </c>
      <c r="C84" s="163" t="str">
        <f aca="false">IF(Salary_Calculation[[#This Row],[Source Row]]="","",IF(INDEX(Rider_Input[Rider Name],Salary_Calculation[[#This Row],[Source Row]])="","",INDEX(Rider_Input[Rider Name],Salary_Calculation[[#This Row],[Source Row]])))</f>
        <v/>
      </c>
      <c r="D84" s="164" t="str">
        <f aca="false">IF(Salary_Calculation[[#This Row],[Source Row]]="","",IF(INDEX(Rider_Input[Basic Payment],Salary_Calculation[[#This Row],[Source Row]])="","",INDEX(Rider_Input[Basic Payment],Salary_Calculation[[#This Row],[Source Row]])))</f>
        <v/>
      </c>
      <c r="E84" s="162" t="str">
        <f aca="false">IF(Salary_Calculation[[#This Row],[Source Row]]="","",IF(INDEX(Rider_Input[Calendar Days in Month],Salary_Calculation[[#This Row],[Source Row]])="","",INDEX(Rider_Input[Calendar Days in Month],Salary_Calculation[[#This Row],[Source Row]])))</f>
        <v/>
      </c>
      <c r="F84" s="162" t="str">
        <f aca="false">IF(Salary_Calculation[[#This Row],[Source Row]]="","",IF(INDEX(Rider_Input[Working Days],Salary_Calculation[[#This Row],[Source Row]])="","",INDEX(Rider_Input[Working Days],Salary_Calculation[[#This Row],[Source Row]])))</f>
        <v/>
      </c>
      <c r="G84" s="165" t="str">
        <f aca="false">IF(Salary_Calculation[[#This Row],[Source Row]]="","",Std_Orders/Std_Days*N(Salary_Calculation[[#This Row],[Calendar Days]]))</f>
        <v/>
      </c>
      <c r="H84" s="165" t="str">
        <f aca="false">IF(Salary_Calculation[[#This Row],[Source Row]]="","",IF(N(Salary_Calculation[[#This Row],[Calendar Days]])&gt;0,Salary_Calculation[[#This Row],[Monthly Target Orders]]/N(Salary_Calculation[[#This Row],[Calendar Days]])*N(Salary_Calculation[[#This Row],[Working Days]]),0))</f>
        <v/>
      </c>
      <c r="I84" s="166" t="str">
        <f aca="false">IF(Salary_Calculation[[#This Row],[Source Row]]="","",IF(INDEX(Rider_Input[Completed Orders],Salary_Calculation[[#This Row],[Source Row]])="","",INDEX(Rider_Input[Completed Orders],Salary_Calculation[[#This Row],[Source Row]])))</f>
        <v/>
      </c>
      <c r="J84" s="165" t="str">
        <f aca="false">IF(Salary_Calculation[[#This Row],[Source Row]]="","",IF(Rate_Method="Fixed rate",Fixed_Rate,IF(N(Salary_Calculation[[#This Row],[Basic Payment]])&gt;0,N(Salary_Calculation[[#This Row],[Basic Payment]])/Std_Orders,0)))</f>
        <v/>
      </c>
      <c r="K84" s="165" t="str">
        <f aca="false">IF(Salary_Calculation[[#This Row],[Source Row]]="","",MAX(MIN(N(Salary_Calculation[[#This Row],[Completed Orders]]),Salary_Calculation[[#This Row],[Rider Target Orders]]),0))</f>
        <v/>
      </c>
      <c r="L84" s="164" t="str">
        <f aca="false">IF(Salary_Calculation[[#This Row],[Source Row]]="","",Salary_Calculation[[#This Row],[Orders Counted at Base Rate]]*Salary_Calculation[[#This Row],[Base Order Rate]])</f>
        <v/>
      </c>
      <c r="M84" s="165" t="str">
        <f aca="false">IF(Salary_Calculation[[#This Row],[Source Row]]="","",MAX(Salary_Calculation[[#This Row],[Rider Target Orders]]-N(Salary_Calculation[[#This Row],[Completed Orders]]),0))</f>
        <v/>
      </c>
      <c r="N84" s="164" t="str">
        <f aca="false">IF(Salary_Calculation[[#This Row],[Source Row]]="","",Salary_Calculation[[#This Row],[Missing Orders]]*Missing_Rate)</f>
        <v/>
      </c>
      <c r="O84" s="165" t="str">
        <f aca="false">IF(Salary_Calculation[[#This Row],[Source Row]]="","",MAX(N(Salary_Calculation[[#This Row],[Completed Orders]])-Salary_Calculation[[#This Row],[Rider Target Orders]],0))</f>
        <v/>
      </c>
      <c r="P84" s="164" t="str">
        <f aca="false">IF(Salary_Calculation[[#This Row],[Source Row]]="","",Salary_Calculation[[#This Row],[Extra Orders]]*Extra_Rate)</f>
        <v/>
      </c>
      <c r="Q84" s="164" t="str">
        <f aca="false">IF(Salary_Calculation[[#This Row],[Source Row]]="","",MAX(Salary_Calculation[[#This Row],[Salary Before Other Deductions]],0))</f>
        <v/>
      </c>
      <c r="R84" s="164" t="str">
        <f aca="false">IF(Salary_Calculation[[#This Row],[Source Row]]="","",N(INDEX(Rider_Input[missed_days_penalty],Salary_Calculation[[#This Row],[Source Row]])))</f>
        <v/>
      </c>
      <c r="S84" s="164" t="str">
        <f aca="false">IF(Salary_Calculation[[#This Row],[Source Row]]="","",N(INDEX(Rider_Input[Rider Balance / محفظة المندوب],Salary_Calculation[[#This Row],[Source Row]])))</f>
        <v/>
      </c>
      <c r="T84" s="164" t="str">
        <f aca="false">IF(Salary_Calculation[[#This Row],[Source Row]]="","",N(INDEX(Rider_Input[stacking_deduction / خصم الطلبات المتعددة],Salary_Calculation[[#This Row],[Source Row]])))</f>
        <v/>
      </c>
      <c r="U84" s="164" t="str">
        <f aca="false">IF(Salary_Calculation[[#This Row],[Source Row]]="","",N(INDEX(Rider_Input[Other Deductions],Salary_Calculation[[#This Row],[Source Row]])))</f>
        <v/>
      </c>
      <c r="V84" s="164" t="str">
        <f aca="false">IF(Salary_Calculation[[#This Row],[Source Row]]="","",N(Salary_Calculation[[#This Row],[missed_days_penalty]])+N(Salary_Calculation[[#This Row],[Rider Balance]])+N(Salary_Calculation[[#This Row],[stacking_deduction]])+N(Salary_Calculation[[#This Row],[Other Deductions]]))</f>
        <v/>
      </c>
      <c r="W84" s="167" t="str">
        <f aca="false">IF(Salary_Calculation[[#This Row],[Source Row]]="","",ROUND(MAX(Salary_Calculation[[#This Row],[Gross Salary Before Deductions]]-Salary_Calculation[[#This Row],[Total Deductions]],0),2))</f>
        <v/>
      </c>
      <c r="X84" s="164" t="str">
        <f aca="false">IF(Salary_Calculation[[#This Row],[Source Row]]="","",ROUND(MAX(Salary_Calculation[[#This Row],[Missing-Order Deduction]]-Salary_Calculation[[#This Row],[Earned Salary]],0),2))</f>
        <v/>
      </c>
      <c r="Y8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84" s="163" t="str">
        <f aca="false">IF(Salary_Calculation[[#This Row],[Source Row]]="","",IF(INDEX(Rider_Input[Notes],Salary_Calculation[[#This Row],[Source Row]])="","",INDEX(Rider_Input[Notes],Salary_Calculation[[#This Row],[Source Row]])))</f>
        <v/>
      </c>
      <c r="AA84" s="164" t="str">
        <f aca="false">IF(Salary_Calculation[[#This Row],[Source Row]]="","",Salary_Calculation[[#This Row],[Earned Salary]]-Salary_Calculation[[#This Row],[Missing-Order Deduction]]+Salary_Calculation[[#This Row],[Extra-Order Bonus]])</f>
        <v/>
      </c>
      <c r="AB84" s="164" t="str">
        <f aca="false">IF(Salary_Calculation[[#This Row],[Source Row]]="","",ROUND(Salary_Calculation[[#This Row],[Negative Balance / Amount Due from Rider]]+MAX(Salary_Calculation[[#This Row],[Total Deductions]]-Salary_Calculation[[#This Row],[Gross Salary Before Deductions]],0),2))</f>
        <v/>
      </c>
      <c r="AC8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84" s="164" t="str">
        <f aca="false">IF(Salary_Calculation[[#This Row],[Source Row]]="","",Salary_Calculation[[#This Row],[Rider Target Orders]]*Salary_Calculation[[#This Row],[Base Order Rate]])</f>
        <v/>
      </c>
      <c r="AE84" s="162" t="str">
        <f aca="false">IF(SUMPRODUCT(--(LEN(INDEX(Rider_Input[#Data],ROW()-ROW(Salary_Calculation[#Headers]),0))&gt;0))=0,"",ROW()-ROW(Salary_Calculation[#Headers]))</f>
        <v/>
      </c>
    </row>
    <row r="85" customFormat="false" ht="14.25" hidden="false" customHeight="false" outlineLevel="0" collapsed="false">
      <c r="A85" s="161" t="str">
        <f aca="false">IF(Salary_Calculation[[#This Row],[Source Row]]="","",IF(INDEX(Rider_Input[Salary Month],Salary_Calculation[[#This Row],[Source Row]])="","",INDEX(Rider_Input[Salary Month],Salary_Calculation[[#This Row],[Source Row]])))</f>
        <v/>
      </c>
      <c r="B85" s="162" t="str">
        <f aca="false">IF(Salary_Calculation[[#This Row],[Source Row]]="","",IF(INDEX(Rider_Input[Rider ID],Salary_Calculation[[#This Row],[Source Row]])="","",INDEX(Rider_Input[Rider ID],Salary_Calculation[[#This Row],[Source Row]])))</f>
        <v/>
      </c>
      <c r="C85" s="163" t="str">
        <f aca="false">IF(Salary_Calculation[[#This Row],[Source Row]]="","",IF(INDEX(Rider_Input[Rider Name],Salary_Calculation[[#This Row],[Source Row]])="","",INDEX(Rider_Input[Rider Name],Salary_Calculation[[#This Row],[Source Row]])))</f>
        <v/>
      </c>
      <c r="D85" s="164" t="str">
        <f aca="false">IF(Salary_Calculation[[#This Row],[Source Row]]="","",IF(INDEX(Rider_Input[Basic Payment],Salary_Calculation[[#This Row],[Source Row]])="","",INDEX(Rider_Input[Basic Payment],Salary_Calculation[[#This Row],[Source Row]])))</f>
        <v/>
      </c>
      <c r="E85" s="162" t="str">
        <f aca="false">IF(Salary_Calculation[[#This Row],[Source Row]]="","",IF(INDEX(Rider_Input[Calendar Days in Month],Salary_Calculation[[#This Row],[Source Row]])="","",INDEX(Rider_Input[Calendar Days in Month],Salary_Calculation[[#This Row],[Source Row]])))</f>
        <v/>
      </c>
      <c r="F85" s="162" t="str">
        <f aca="false">IF(Salary_Calculation[[#This Row],[Source Row]]="","",IF(INDEX(Rider_Input[Working Days],Salary_Calculation[[#This Row],[Source Row]])="","",INDEX(Rider_Input[Working Days],Salary_Calculation[[#This Row],[Source Row]])))</f>
        <v/>
      </c>
      <c r="G85" s="165" t="str">
        <f aca="false">IF(Salary_Calculation[[#This Row],[Source Row]]="","",Std_Orders/Std_Days*N(Salary_Calculation[[#This Row],[Calendar Days]]))</f>
        <v/>
      </c>
      <c r="H85" s="165" t="str">
        <f aca="false">IF(Salary_Calculation[[#This Row],[Source Row]]="","",IF(N(Salary_Calculation[[#This Row],[Calendar Days]])&gt;0,Salary_Calculation[[#This Row],[Monthly Target Orders]]/N(Salary_Calculation[[#This Row],[Calendar Days]])*N(Salary_Calculation[[#This Row],[Working Days]]),0))</f>
        <v/>
      </c>
      <c r="I85" s="166" t="str">
        <f aca="false">IF(Salary_Calculation[[#This Row],[Source Row]]="","",IF(INDEX(Rider_Input[Completed Orders],Salary_Calculation[[#This Row],[Source Row]])="","",INDEX(Rider_Input[Completed Orders],Salary_Calculation[[#This Row],[Source Row]])))</f>
        <v/>
      </c>
      <c r="J85" s="165" t="str">
        <f aca="false">IF(Salary_Calculation[[#This Row],[Source Row]]="","",IF(Rate_Method="Fixed rate",Fixed_Rate,IF(N(Salary_Calculation[[#This Row],[Basic Payment]])&gt;0,N(Salary_Calculation[[#This Row],[Basic Payment]])/Std_Orders,0)))</f>
        <v/>
      </c>
      <c r="K85" s="165" t="str">
        <f aca="false">IF(Salary_Calculation[[#This Row],[Source Row]]="","",MAX(MIN(N(Salary_Calculation[[#This Row],[Completed Orders]]),Salary_Calculation[[#This Row],[Rider Target Orders]]),0))</f>
        <v/>
      </c>
      <c r="L85" s="164" t="str">
        <f aca="false">IF(Salary_Calculation[[#This Row],[Source Row]]="","",Salary_Calculation[[#This Row],[Orders Counted at Base Rate]]*Salary_Calculation[[#This Row],[Base Order Rate]])</f>
        <v/>
      </c>
      <c r="M85" s="165" t="str">
        <f aca="false">IF(Salary_Calculation[[#This Row],[Source Row]]="","",MAX(Salary_Calculation[[#This Row],[Rider Target Orders]]-N(Salary_Calculation[[#This Row],[Completed Orders]]),0))</f>
        <v/>
      </c>
      <c r="N85" s="164" t="str">
        <f aca="false">IF(Salary_Calculation[[#This Row],[Source Row]]="","",Salary_Calculation[[#This Row],[Missing Orders]]*Missing_Rate)</f>
        <v/>
      </c>
      <c r="O85" s="165" t="str">
        <f aca="false">IF(Salary_Calculation[[#This Row],[Source Row]]="","",MAX(N(Salary_Calculation[[#This Row],[Completed Orders]])-Salary_Calculation[[#This Row],[Rider Target Orders]],0))</f>
        <v/>
      </c>
      <c r="P85" s="164" t="str">
        <f aca="false">IF(Salary_Calculation[[#This Row],[Source Row]]="","",Salary_Calculation[[#This Row],[Extra Orders]]*Extra_Rate)</f>
        <v/>
      </c>
      <c r="Q85" s="164" t="str">
        <f aca="false">IF(Salary_Calculation[[#This Row],[Source Row]]="","",MAX(Salary_Calculation[[#This Row],[Salary Before Other Deductions]],0))</f>
        <v/>
      </c>
      <c r="R85" s="164" t="str">
        <f aca="false">IF(Salary_Calculation[[#This Row],[Source Row]]="","",N(INDEX(Rider_Input[missed_days_penalty],Salary_Calculation[[#This Row],[Source Row]])))</f>
        <v/>
      </c>
      <c r="S85" s="164" t="str">
        <f aca="false">IF(Salary_Calculation[[#This Row],[Source Row]]="","",N(INDEX(Rider_Input[Rider Balance / محفظة المندوب],Salary_Calculation[[#This Row],[Source Row]])))</f>
        <v/>
      </c>
      <c r="T85" s="164" t="str">
        <f aca="false">IF(Salary_Calculation[[#This Row],[Source Row]]="","",N(INDEX(Rider_Input[stacking_deduction / خصم الطلبات المتعددة],Salary_Calculation[[#This Row],[Source Row]])))</f>
        <v/>
      </c>
      <c r="U85" s="164" t="str">
        <f aca="false">IF(Salary_Calculation[[#This Row],[Source Row]]="","",N(INDEX(Rider_Input[Other Deductions],Salary_Calculation[[#This Row],[Source Row]])))</f>
        <v/>
      </c>
      <c r="V85" s="164" t="str">
        <f aca="false">IF(Salary_Calculation[[#This Row],[Source Row]]="","",N(Salary_Calculation[[#This Row],[missed_days_penalty]])+N(Salary_Calculation[[#This Row],[Rider Balance]])+N(Salary_Calculation[[#This Row],[stacking_deduction]])+N(Salary_Calculation[[#This Row],[Other Deductions]]))</f>
        <v/>
      </c>
      <c r="W85" s="167" t="str">
        <f aca="false">IF(Salary_Calculation[[#This Row],[Source Row]]="","",ROUND(MAX(Salary_Calculation[[#This Row],[Gross Salary Before Deductions]]-Salary_Calculation[[#This Row],[Total Deductions]],0),2))</f>
        <v/>
      </c>
      <c r="X85" s="164" t="str">
        <f aca="false">IF(Salary_Calculation[[#This Row],[Source Row]]="","",ROUND(MAX(Salary_Calculation[[#This Row],[Missing-Order Deduction]]-Salary_Calculation[[#This Row],[Earned Salary]],0),2))</f>
        <v/>
      </c>
      <c r="Y8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85" s="163" t="str">
        <f aca="false">IF(Salary_Calculation[[#This Row],[Source Row]]="","",IF(INDEX(Rider_Input[Notes],Salary_Calculation[[#This Row],[Source Row]])="","",INDEX(Rider_Input[Notes],Salary_Calculation[[#This Row],[Source Row]])))</f>
        <v/>
      </c>
      <c r="AA85" s="164" t="str">
        <f aca="false">IF(Salary_Calculation[[#This Row],[Source Row]]="","",Salary_Calculation[[#This Row],[Earned Salary]]-Salary_Calculation[[#This Row],[Missing-Order Deduction]]+Salary_Calculation[[#This Row],[Extra-Order Bonus]])</f>
        <v/>
      </c>
      <c r="AB85" s="164" t="str">
        <f aca="false">IF(Salary_Calculation[[#This Row],[Source Row]]="","",ROUND(Salary_Calculation[[#This Row],[Negative Balance / Amount Due from Rider]]+MAX(Salary_Calculation[[#This Row],[Total Deductions]]-Salary_Calculation[[#This Row],[Gross Salary Before Deductions]],0),2))</f>
        <v/>
      </c>
      <c r="AC8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85" s="164" t="str">
        <f aca="false">IF(Salary_Calculation[[#This Row],[Source Row]]="","",Salary_Calculation[[#This Row],[Rider Target Orders]]*Salary_Calculation[[#This Row],[Base Order Rate]])</f>
        <v/>
      </c>
      <c r="AE85" s="162" t="str">
        <f aca="false">IF(SUMPRODUCT(--(LEN(INDEX(Rider_Input[#Data],ROW()-ROW(Salary_Calculation[#Headers]),0))&gt;0))=0,"",ROW()-ROW(Salary_Calculation[#Headers]))</f>
        <v/>
      </c>
    </row>
    <row r="86" customFormat="false" ht="14.25" hidden="false" customHeight="false" outlineLevel="0" collapsed="false">
      <c r="A86" s="161" t="str">
        <f aca="false">IF(Salary_Calculation[[#This Row],[Source Row]]="","",IF(INDEX(Rider_Input[Salary Month],Salary_Calculation[[#This Row],[Source Row]])="","",INDEX(Rider_Input[Salary Month],Salary_Calculation[[#This Row],[Source Row]])))</f>
        <v/>
      </c>
      <c r="B86" s="162" t="str">
        <f aca="false">IF(Salary_Calculation[[#This Row],[Source Row]]="","",IF(INDEX(Rider_Input[Rider ID],Salary_Calculation[[#This Row],[Source Row]])="","",INDEX(Rider_Input[Rider ID],Salary_Calculation[[#This Row],[Source Row]])))</f>
        <v/>
      </c>
      <c r="C86" s="163" t="str">
        <f aca="false">IF(Salary_Calculation[[#This Row],[Source Row]]="","",IF(INDEX(Rider_Input[Rider Name],Salary_Calculation[[#This Row],[Source Row]])="","",INDEX(Rider_Input[Rider Name],Salary_Calculation[[#This Row],[Source Row]])))</f>
        <v/>
      </c>
      <c r="D86" s="164" t="str">
        <f aca="false">IF(Salary_Calculation[[#This Row],[Source Row]]="","",IF(INDEX(Rider_Input[Basic Payment],Salary_Calculation[[#This Row],[Source Row]])="","",INDEX(Rider_Input[Basic Payment],Salary_Calculation[[#This Row],[Source Row]])))</f>
        <v/>
      </c>
      <c r="E86" s="162" t="str">
        <f aca="false">IF(Salary_Calculation[[#This Row],[Source Row]]="","",IF(INDEX(Rider_Input[Calendar Days in Month],Salary_Calculation[[#This Row],[Source Row]])="","",INDEX(Rider_Input[Calendar Days in Month],Salary_Calculation[[#This Row],[Source Row]])))</f>
        <v/>
      </c>
      <c r="F86" s="162" t="str">
        <f aca="false">IF(Salary_Calculation[[#This Row],[Source Row]]="","",IF(INDEX(Rider_Input[Working Days],Salary_Calculation[[#This Row],[Source Row]])="","",INDEX(Rider_Input[Working Days],Salary_Calculation[[#This Row],[Source Row]])))</f>
        <v/>
      </c>
      <c r="G86" s="165" t="str">
        <f aca="false">IF(Salary_Calculation[[#This Row],[Source Row]]="","",Std_Orders/Std_Days*N(Salary_Calculation[[#This Row],[Calendar Days]]))</f>
        <v/>
      </c>
      <c r="H86" s="165" t="str">
        <f aca="false">IF(Salary_Calculation[[#This Row],[Source Row]]="","",IF(N(Salary_Calculation[[#This Row],[Calendar Days]])&gt;0,Salary_Calculation[[#This Row],[Monthly Target Orders]]/N(Salary_Calculation[[#This Row],[Calendar Days]])*N(Salary_Calculation[[#This Row],[Working Days]]),0))</f>
        <v/>
      </c>
      <c r="I86" s="166" t="str">
        <f aca="false">IF(Salary_Calculation[[#This Row],[Source Row]]="","",IF(INDEX(Rider_Input[Completed Orders],Salary_Calculation[[#This Row],[Source Row]])="","",INDEX(Rider_Input[Completed Orders],Salary_Calculation[[#This Row],[Source Row]])))</f>
        <v/>
      </c>
      <c r="J86" s="165" t="str">
        <f aca="false">IF(Salary_Calculation[[#This Row],[Source Row]]="","",IF(Rate_Method="Fixed rate",Fixed_Rate,IF(N(Salary_Calculation[[#This Row],[Basic Payment]])&gt;0,N(Salary_Calculation[[#This Row],[Basic Payment]])/Std_Orders,0)))</f>
        <v/>
      </c>
      <c r="K86" s="165" t="str">
        <f aca="false">IF(Salary_Calculation[[#This Row],[Source Row]]="","",MAX(MIN(N(Salary_Calculation[[#This Row],[Completed Orders]]),Salary_Calculation[[#This Row],[Rider Target Orders]]),0))</f>
        <v/>
      </c>
      <c r="L86" s="164" t="str">
        <f aca="false">IF(Salary_Calculation[[#This Row],[Source Row]]="","",Salary_Calculation[[#This Row],[Orders Counted at Base Rate]]*Salary_Calculation[[#This Row],[Base Order Rate]])</f>
        <v/>
      </c>
      <c r="M86" s="165" t="str">
        <f aca="false">IF(Salary_Calculation[[#This Row],[Source Row]]="","",MAX(Salary_Calculation[[#This Row],[Rider Target Orders]]-N(Salary_Calculation[[#This Row],[Completed Orders]]),0))</f>
        <v/>
      </c>
      <c r="N86" s="164" t="str">
        <f aca="false">IF(Salary_Calculation[[#This Row],[Source Row]]="","",Salary_Calculation[[#This Row],[Missing Orders]]*Missing_Rate)</f>
        <v/>
      </c>
      <c r="O86" s="165" t="str">
        <f aca="false">IF(Salary_Calculation[[#This Row],[Source Row]]="","",MAX(N(Salary_Calculation[[#This Row],[Completed Orders]])-Salary_Calculation[[#This Row],[Rider Target Orders]],0))</f>
        <v/>
      </c>
      <c r="P86" s="164" t="str">
        <f aca="false">IF(Salary_Calculation[[#This Row],[Source Row]]="","",Salary_Calculation[[#This Row],[Extra Orders]]*Extra_Rate)</f>
        <v/>
      </c>
      <c r="Q86" s="164" t="str">
        <f aca="false">IF(Salary_Calculation[[#This Row],[Source Row]]="","",MAX(Salary_Calculation[[#This Row],[Salary Before Other Deductions]],0))</f>
        <v/>
      </c>
      <c r="R86" s="164" t="str">
        <f aca="false">IF(Salary_Calculation[[#This Row],[Source Row]]="","",N(INDEX(Rider_Input[missed_days_penalty],Salary_Calculation[[#This Row],[Source Row]])))</f>
        <v/>
      </c>
      <c r="S86" s="164" t="str">
        <f aca="false">IF(Salary_Calculation[[#This Row],[Source Row]]="","",N(INDEX(Rider_Input[Rider Balance / محفظة المندوب],Salary_Calculation[[#This Row],[Source Row]])))</f>
        <v/>
      </c>
      <c r="T86" s="164" t="str">
        <f aca="false">IF(Salary_Calculation[[#This Row],[Source Row]]="","",N(INDEX(Rider_Input[stacking_deduction / خصم الطلبات المتعددة],Salary_Calculation[[#This Row],[Source Row]])))</f>
        <v/>
      </c>
      <c r="U86" s="164" t="str">
        <f aca="false">IF(Salary_Calculation[[#This Row],[Source Row]]="","",N(INDEX(Rider_Input[Other Deductions],Salary_Calculation[[#This Row],[Source Row]])))</f>
        <v/>
      </c>
      <c r="V86" s="164" t="str">
        <f aca="false">IF(Salary_Calculation[[#This Row],[Source Row]]="","",N(Salary_Calculation[[#This Row],[missed_days_penalty]])+N(Salary_Calculation[[#This Row],[Rider Balance]])+N(Salary_Calculation[[#This Row],[stacking_deduction]])+N(Salary_Calculation[[#This Row],[Other Deductions]]))</f>
        <v/>
      </c>
      <c r="W86" s="167" t="str">
        <f aca="false">IF(Salary_Calculation[[#This Row],[Source Row]]="","",ROUND(MAX(Salary_Calculation[[#This Row],[Gross Salary Before Deductions]]-Salary_Calculation[[#This Row],[Total Deductions]],0),2))</f>
        <v/>
      </c>
      <c r="X86" s="164" t="str">
        <f aca="false">IF(Salary_Calculation[[#This Row],[Source Row]]="","",ROUND(MAX(Salary_Calculation[[#This Row],[Missing-Order Deduction]]-Salary_Calculation[[#This Row],[Earned Salary]],0),2))</f>
        <v/>
      </c>
      <c r="Y8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86" s="163" t="str">
        <f aca="false">IF(Salary_Calculation[[#This Row],[Source Row]]="","",IF(INDEX(Rider_Input[Notes],Salary_Calculation[[#This Row],[Source Row]])="","",INDEX(Rider_Input[Notes],Salary_Calculation[[#This Row],[Source Row]])))</f>
        <v/>
      </c>
      <c r="AA86" s="164" t="str">
        <f aca="false">IF(Salary_Calculation[[#This Row],[Source Row]]="","",Salary_Calculation[[#This Row],[Earned Salary]]-Salary_Calculation[[#This Row],[Missing-Order Deduction]]+Salary_Calculation[[#This Row],[Extra-Order Bonus]])</f>
        <v/>
      </c>
      <c r="AB86" s="164" t="str">
        <f aca="false">IF(Salary_Calculation[[#This Row],[Source Row]]="","",ROUND(Salary_Calculation[[#This Row],[Negative Balance / Amount Due from Rider]]+MAX(Salary_Calculation[[#This Row],[Total Deductions]]-Salary_Calculation[[#This Row],[Gross Salary Before Deductions]],0),2))</f>
        <v/>
      </c>
      <c r="AC8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86" s="164" t="str">
        <f aca="false">IF(Salary_Calculation[[#This Row],[Source Row]]="","",Salary_Calculation[[#This Row],[Rider Target Orders]]*Salary_Calculation[[#This Row],[Base Order Rate]])</f>
        <v/>
      </c>
      <c r="AE86" s="162" t="str">
        <f aca="false">IF(SUMPRODUCT(--(LEN(INDEX(Rider_Input[#Data],ROW()-ROW(Salary_Calculation[#Headers]),0))&gt;0))=0,"",ROW()-ROW(Salary_Calculation[#Headers]))</f>
        <v/>
      </c>
    </row>
    <row r="87" customFormat="false" ht="14.25" hidden="false" customHeight="false" outlineLevel="0" collapsed="false">
      <c r="A87" s="161" t="str">
        <f aca="false">IF(Salary_Calculation[[#This Row],[Source Row]]="","",IF(INDEX(Rider_Input[Salary Month],Salary_Calculation[[#This Row],[Source Row]])="","",INDEX(Rider_Input[Salary Month],Salary_Calculation[[#This Row],[Source Row]])))</f>
        <v/>
      </c>
      <c r="B87" s="162" t="str">
        <f aca="false">IF(Salary_Calculation[[#This Row],[Source Row]]="","",IF(INDEX(Rider_Input[Rider ID],Salary_Calculation[[#This Row],[Source Row]])="","",INDEX(Rider_Input[Rider ID],Salary_Calculation[[#This Row],[Source Row]])))</f>
        <v/>
      </c>
      <c r="C87" s="163" t="str">
        <f aca="false">IF(Salary_Calculation[[#This Row],[Source Row]]="","",IF(INDEX(Rider_Input[Rider Name],Salary_Calculation[[#This Row],[Source Row]])="","",INDEX(Rider_Input[Rider Name],Salary_Calculation[[#This Row],[Source Row]])))</f>
        <v/>
      </c>
      <c r="D87" s="164" t="str">
        <f aca="false">IF(Salary_Calculation[[#This Row],[Source Row]]="","",IF(INDEX(Rider_Input[Basic Payment],Salary_Calculation[[#This Row],[Source Row]])="","",INDEX(Rider_Input[Basic Payment],Salary_Calculation[[#This Row],[Source Row]])))</f>
        <v/>
      </c>
      <c r="E87" s="162" t="str">
        <f aca="false">IF(Salary_Calculation[[#This Row],[Source Row]]="","",IF(INDEX(Rider_Input[Calendar Days in Month],Salary_Calculation[[#This Row],[Source Row]])="","",INDEX(Rider_Input[Calendar Days in Month],Salary_Calculation[[#This Row],[Source Row]])))</f>
        <v/>
      </c>
      <c r="F87" s="162" t="str">
        <f aca="false">IF(Salary_Calculation[[#This Row],[Source Row]]="","",IF(INDEX(Rider_Input[Working Days],Salary_Calculation[[#This Row],[Source Row]])="","",INDEX(Rider_Input[Working Days],Salary_Calculation[[#This Row],[Source Row]])))</f>
        <v/>
      </c>
      <c r="G87" s="165" t="str">
        <f aca="false">IF(Salary_Calculation[[#This Row],[Source Row]]="","",Std_Orders/Std_Days*N(Salary_Calculation[[#This Row],[Calendar Days]]))</f>
        <v/>
      </c>
      <c r="H87" s="165" t="str">
        <f aca="false">IF(Salary_Calculation[[#This Row],[Source Row]]="","",IF(N(Salary_Calculation[[#This Row],[Calendar Days]])&gt;0,Salary_Calculation[[#This Row],[Monthly Target Orders]]/N(Salary_Calculation[[#This Row],[Calendar Days]])*N(Salary_Calculation[[#This Row],[Working Days]]),0))</f>
        <v/>
      </c>
      <c r="I87" s="166" t="str">
        <f aca="false">IF(Salary_Calculation[[#This Row],[Source Row]]="","",IF(INDEX(Rider_Input[Completed Orders],Salary_Calculation[[#This Row],[Source Row]])="","",INDEX(Rider_Input[Completed Orders],Salary_Calculation[[#This Row],[Source Row]])))</f>
        <v/>
      </c>
      <c r="J87" s="165" t="str">
        <f aca="false">IF(Salary_Calculation[[#This Row],[Source Row]]="","",IF(Rate_Method="Fixed rate",Fixed_Rate,IF(N(Salary_Calculation[[#This Row],[Basic Payment]])&gt;0,N(Salary_Calculation[[#This Row],[Basic Payment]])/Std_Orders,0)))</f>
        <v/>
      </c>
      <c r="K87" s="165" t="str">
        <f aca="false">IF(Salary_Calculation[[#This Row],[Source Row]]="","",MAX(MIN(N(Salary_Calculation[[#This Row],[Completed Orders]]),Salary_Calculation[[#This Row],[Rider Target Orders]]),0))</f>
        <v/>
      </c>
      <c r="L87" s="164" t="str">
        <f aca="false">IF(Salary_Calculation[[#This Row],[Source Row]]="","",Salary_Calculation[[#This Row],[Orders Counted at Base Rate]]*Salary_Calculation[[#This Row],[Base Order Rate]])</f>
        <v/>
      </c>
      <c r="M87" s="165" t="str">
        <f aca="false">IF(Salary_Calculation[[#This Row],[Source Row]]="","",MAX(Salary_Calculation[[#This Row],[Rider Target Orders]]-N(Salary_Calculation[[#This Row],[Completed Orders]]),0))</f>
        <v/>
      </c>
      <c r="N87" s="164" t="str">
        <f aca="false">IF(Salary_Calculation[[#This Row],[Source Row]]="","",Salary_Calculation[[#This Row],[Missing Orders]]*Missing_Rate)</f>
        <v/>
      </c>
      <c r="O87" s="165" t="str">
        <f aca="false">IF(Salary_Calculation[[#This Row],[Source Row]]="","",MAX(N(Salary_Calculation[[#This Row],[Completed Orders]])-Salary_Calculation[[#This Row],[Rider Target Orders]],0))</f>
        <v/>
      </c>
      <c r="P87" s="164" t="str">
        <f aca="false">IF(Salary_Calculation[[#This Row],[Source Row]]="","",Salary_Calculation[[#This Row],[Extra Orders]]*Extra_Rate)</f>
        <v/>
      </c>
      <c r="Q87" s="164" t="str">
        <f aca="false">IF(Salary_Calculation[[#This Row],[Source Row]]="","",MAX(Salary_Calculation[[#This Row],[Salary Before Other Deductions]],0))</f>
        <v/>
      </c>
      <c r="R87" s="164" t="str">
        <f aca="false">IF(Salary_Calculation[[#This Row],[Source Row]]="","",N(INDEX(Rider_Input[missed_days_penalty],Salary_Calculation[[#This Row],[Source Row]])))</f>
        <v/>
      </c>
      <c r="S87" s="164" t="str">
        <f aca="false">IF(Salary_Calculation[[#This Row],[Source Row]]="","",N(INDEX(Rider_Input[Rider Balance / محفظة المندوب],Salary_Calculation[[#This Row],[Source Row]])))</f>
        <v/>
      </c>
      <c r="T87" s="164" t="str">
        <f aca="false">IF(Salary_Calculation[[#This Row],[Source Row]]="","",N(INDEX(Rider_Input[stacking_deduction / خصم الطلبات المتعددة],Salary_Calculation[[#This Row],[Source Row]])))</f>
        <v/>
      </c>
      <c r="U87" s="164" t="str">
        <f aca="false">IF(Salary_Calculation[[#This Row],[Source Row]]="","",N(INDEX(Rider_Input[Other Deductions],Salary_Calculation[[#This Row],[Source Row]])))</f>
        <v/>
      </c>
      <c r="V87" s="164" t="str">
        <f aca="false">IF(Salary_Calculation[[#This Row],[Source Row]]="","",N(Salary_Calculation[[#This Row],[missed_days_penalty]])+N(Salary_Calculation[[#This Row],[Rider Balance]])+N(Salary_Calculation[[#This Row],[stacking_deduction]])+N(Salary_Calculation[[#This Row],[Other Deductions]]))</f>
        <v/>
      </c>
      <c r="W87" s="167" t="str">
        <f aca="false">IF(Salary_Calculation[[#This Row],[Source Row]]="","",ROUND(MAX(Salary_Calculation[[#This Row],[Gross Salary Before Deductions]]-Salary_Calculation[[#This Row],[Total Deductions]],0),2))</f>
        <v/>
      </c>
      <c r="X87" s="164" t="str">
        <f aca="false">IF(Salary_Calculation[[#This Row],[Source Row]]="","",ROUND(MAX(Salary_Calculation[[#This Row],[Missing-Order Deduction]]-Salary_Calculation[[#This Row],[Earned Salary]],0),2))</f>
        <v/>
      </c>
      <c r="Y8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87" s="163" t="str">
        <f aca="false">IF(Salary_Calculation[[#This Row],[Source Row]]="","",IF(INDEX(Rider_Input[Notes],Salary_Calculation[[#This Row],[Source Row]])="","",INDEX(Rider_Input[Notes],Salary_Calculation[[#This Row],[Source Row]])))</f>
        <v/>
      </c>
      <c r="AA87" s="164" t="str">
        <f aca="false">IF(Salary_Calculation[[#This Row],[Source Row]]="","",Salary_Calculation[[#This Row],[Earned Salary]]-Salary_Calculation[[#This Row],[Missing-Order Deduction]]+Salary_Calculation[[#This Row],[Extra-Order Bonus]])</f>
        <v/>
      </c>
      <c r="AB87" s="164" t="str">
        <f aca="false">IF(Salary_Calculation[[#This Row],[Source Row]]="","",ROUND(Salary_Calculation[[#This Row],[Negative Balance / Amount Due from Rider]]+MAX(Salary_Calculation[[#This Row],[Total Deductions]]-Salary_Calculation[[#This Row],[Gross Salary Before Deductions]],0),2))</f>
        <v/>
      </c>
      <c r="AC8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87" s="164" t="str">
        <f aca="false">IF(Salary_Calculation[[#This Row],[Source Row]]="","",Salary_Calculation[[#This Row],[Rider Target Orders]]*Salary_Calculation[[#This Row],[Base Order Rate]])</f>
        <v/>
      </c>
      <c r="AE87" s="162" t="str">
        <f aca="false">IF(SUMPRODUCT(--(LEN(INDEX(Rider_Input[#Data],ROW()-ROW(Salary_Calculation[#Headers]),0))&gt;0))=0,"",ROW()-ROW(Salary_Calculation[#Headers]))</f>
        <v/>
      </c>
    </row>
    <row r="88" customFormat="false" ht="14.25" hidden="false" customHeight="false" outlineLevel="0" collapsed="false">
      <c r="A88" s="161" t="str">
        <f aca="false">IF(Salary_Calculation[[#This Row],[Source Row]]="","",IF(INDEX(Rider_Input[Salary Month],Salary_Calculation[[#This Row],[Source Row]])="","",INDEX(Rider_Input[Salary Month],Salary_Calculation[[#This Row],[Source Row]])))</f>
        <v/>
      </c>
      <c r="B88" s="162" t="str">
        <f aca="false">IF(Salary_Calculation[[#This Row],[Source Row]]="","",IF(INDEX(Rider_Input[Rider ID],Salary_Calculation[[#This Row],[Source Row]])="","",INDEX(Rider_Input[Rider ID],Salary_Calculation[[#This Row],[Source Row]])))</f>
        <v/>
      </c>
      <c r="C88" s="163" t="str">
        <f aca="false">IF(Salary_Calculation[[#This Row],[Source Row]]="","",IF(INDEX(Rider_Input[Rider Name],Salary_Calculation[[#This Row],[Source Row]])="","",INDEX(Rider_Input[Rider Name],Salary_Calculation[[#This Row],[Source Row]])))</f>
        <v/>
      </c>
      <c r="D88" s="164" t="str">
        <f aca="false">IF(Salary_Calculation[[#This Row],[Source Row]]="","",IF(INDEX(Rider_Input[Basic Payment],Salary_Calculation[[#This Row],[Source Row]])="","",INDEX(Rider_Input[Basic Payment],Salary_Calculation[[#This Row],[Source Row]])))</f>
        <v/>
      </c>
      <c r="E88" s="162" t="str">
        <f aca="false">IF(Salary_Calculation[[#This Row],[Source Row]]="","",IF(INDEX(Rider_Input[Calendar Days in Month],Salary_Calculation[[#This Row],[Source Row]])="","",INDEX(Rider_Input[Calendar Days in Month],Salary_Calculation[[#This Row],[Source Row]])))</f>
        <v/>
      </c>
      <c r="F88" s="162" t="str">
        <f aca="false">IF(Salary_Calculation[[#This Row],[Source Row]]="","",IF(INDEX(Rider_Input[Working Days],Salary_Calculation[[#This Row],[Source Row]])="","",INDEX(Rider_Input[Working Days],Salary_Calculation[[#This Row],[Source Row]])))</f>
        <v/>
      </c>
      <c r="G88" s="165" t="str">
        <f aca="false">IF(Salary_Calculation[[#This Row],[Source Row]]="","",Std_Orders/Std_Days*N(Salary_Calculation[[#This Row],[Calendar Days]]))</f>
        <v/>
      </c>
      <c r="H88" s="165" t="str">
        <f aca="false">IF(Salary_Calculation[[#This Row],[Source Row]]="","",IF(N(Salary_Calculation[[#This Row],[Calendar Days]])&gt;0,Salary_Calculation[[#This Row],[Monthly Target Orders]]/N(Salary_Calculation[[#This Row],[Calendar Days]])*N(Salary_Calculation[[#This Row],[Working Days]]),0))</f>
        <v/>
      </c>
      <c r="I88" s="166" t="str">
        <f aca="false">IF(Salary_Calculation[[#This Row],[Source Row]]="","",IF(INDEX(Rider_Input[Completed Orders],Salary_Calculation[[#This Row],[Source Row]])="","",INDEX(Rider_Input[Completed Orders],Salary_Calculation[[#This Row],[Source Row]])))</f>
        <v/>
      </c>
      <c r="J88" s="165" t="str">
        <f aca="false">IF(Salary_Calculation[[#This Row],[Source Row]]="","",IF(Rate_Method="Fixed rate",Fixed_Rate,IF(N(Salary_Calculation[[#This Row],[Basic Payment]])&gt;0,N(Salary_Calculation[[#This Row],[Basic Payment]])/Std_Orders,0)))</f>
        <v/>
      </c>
      <c r="K88" s="165" t="str">
        <f aca="false">IF(Salary_Calculation[[#This Row],[Source Row]]="","",MAX(MIN(N(Salary_Calculation[[#This Row],[Completed Orders]]),Salary_Calculation[[#This Row],[Rider Target Orders]]),0))</f>
        <v/>
      </c>
      <c r="L88" s="164" t="str">
        <f aca="false">IF(Salary_Calculation[[#This Row],[Source Row]]="","",Salary_Calculation[[#This Row],[Orders Counted at Base Rate]]*Salary_Calculation[[#This Row],[Base Order Rate]])</f>
        <v/>
      </c>
      <c r="M88" s="165" t="str">
        <f aca="false">IF(Salary_Calculation[[#This Row],[Source Row]]="","",MAX(Salary_Calculation[[#This Row],[Rider Target Orders]]-N(Salary_Calculation[[#This Row],[Completed Orders]]),0))</f>
        <v/>
      </c>
      <c r="N88" s="164" t="str">
        <f aca="false">IF(Salary_Calculation[[#This Row],[Source Row]]="","",Salary_Calculation[[#This Row],[Missing Orders]]*Missing_Rate)</f>
        <v/>
      </c>
      <c r="O88" s="165" t="str">
        <f aca="false">IF(Salary_Calculation[[#This Row],[Source Row]]="","",MAX(N(Salary_Calculation[[#This Row],[Completed Orders]])-Salary_Calculation[[#This Row],[Rider Target Orders]],0))</f>
        <v/>
      </c>
      <c r="P88" s="164" t="str">
        <f aca="false">IF(Salary_Calculation[[#This Row],[Source Row]]="","",Salary_Calculation[[#This Row],[Extra Orders]]*Extra_Rate)</f>
        <v/>
      </c>
      <c r="Q88" s="164" t="str">
        <f aca="false">IF(Salary_Calculation[[#This Row],[Source Row]]="","",MAX(Salary_Calculation[[#This Row],[Salary Before Other Deductions]],0))</f>
        <v/>
      </c>
      <c r="R88" s="164" t="str">
        <f aca="false">IF(Salary_Calculation[[#This Row],[Source Row]]="","",N(INDEX(Rider_Input[missed_days_penalty],Salary_Calculation[[#This Row],[Source Row]])))</f>
        <v/>
      </c>
      <c r="S88" s="164" t="str">
        <f aca="false">IF(Salary_Calculation[[#This Row],[Source Row]]="","",N(INDEX(Rider_Input[Rider Balance / محفظة المندوب],Salary_Calculation[[#This Row],[Source Row]])))</f>
        <v/>
      </c>
      <c r="T88" s="164" t="str">
        <f aca="false">IF(Salary_Calculation[[#This Row],[Source Row]]="","",N(INDEX(Rider_Input[stacking_deduction / خصم الطلبات المتعددة],Salary_Calculation[[#This Row],[Source Row]])))</f>
        <v/>
      </c>
      <c r="U88" s="164" t="str">
        <f aca="false">IF(Salary_Calculation[[#This Row],[Source Row]]="","",N(INDEX(Rider_Input[Other Deductions],Salary_Calculation[[#This Row],[Source Row]])))</f>
        <v/>
      </c>
      <c r="V88" s="164" t="str">
        <f aca="false">IF(Salary_Calculation[[#This Row],[Source Row]]="","",N(Salary_Calculation[[#This Row],[missed_days_penalty]])+N(Salary_Calculation[[#This Row],[Rider Balance]])+N(Salary_Calculation[[#This Row],[stacking_deduction]])+N(Salary_Calculation[[#This Row],[Other Deductions]]))</f>
        <v/>
      </c>
      <c r="W88" s="167" t="str">
        <f aca="false">IF(Salary_Calculation[[#This Row],[Source Row]]="","",ROUND(MAX(Salary_Calculation[[#This Row],[Gross Salary Before Deductions]]-Salary_Calculation[[#This Row],[Total Deductions]],0),2))</f>
        <v/>
      </c>
      <c r="X88" s="164" t="str">
        <f aca="false">IF(Salary_Calculation[[#This Row],[Source Row]]="","",ROUND(MAX(Salary_Calculation[[#This Row],[Missing-Order Deduction]]-Salary_Calculation[[#This Row],[Earned Salary]],0),2))</f>
        <v/>
      </c>
      <c r="Y8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88" s="163" t="str">
        <f aca="false">IF(Salary_Calculation[[#This Row],[Source Row]]="","",IF(INDEX(Rider_Input[Notes],Salary_Calculation[[#This Row],[Source Row]])="","",INDEX(Rider_Input[Notes],Salary_Calculation[[#This Row],[Source Row]])))</f>
        <v/>
      </c>
      <c r="AA88" s="164" t="str">
        <f aca="false">IF(Salary_Calculation[[#This Row],[Source Row]]="","",Salary_Calculation[[#This Row],[Earned Salary]]-Salary_Calculation[[#This Row],[Missing-Order Deduction]]+Salary_Calculation[[#This Row],[Extra-Order Bonus]])</f>
        <v/>
      </c>
      <c r="AB88" s="164" t="str">
        <f aca="false">IF(Salary_Calculation[[#This Row],[Source Row]]="","",ROUND(Salary_Calculation[[#This Row],[Negative Balance / Amount Due from Rider]]+MAX(Salary_Calculation[[#This Row],[Total Deductions]]-Salary_Calculation[[#This Row],[Gross Salary Before Deductions]],0),2))</f>
        <v/>
      </c>
      <c r="AC8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88" s="164" t="str">
        <f aca="false">IF(Salary_Calculation[[#This Row],[Source Row]]="","",Salary_Calculation[[#This Row],[Rider Target Orders]]*Salary_Calculation[[#This Row],[Base Order Rate]])</f>
        <v/>
      </c>
      <c r="AE88" s="162" t="str">
        <f aca="false">IF(SUMPRODUCT(--(LEN(INDEX(Rider_Input[#Data],ROW()-ROW(Salary_Calculation[#Headers]),0))&gt;0))=0,"",ROW()-ROW(Salary_Calculation[#Headers]))</f>
        <v/>
      </c>
    </row>
    <row r="89" customFormat="false" ht="14.25" hidden="false" customHeight="false" outlineLevel="0" collapsed="false">
      <c r="A89" s="161" t="str">
        <f aca="false">IF(Salary_Calculation[[#This Row],[Source Row]]="","",IF(INDEX(Rider_Input[Salary Month],Salary_Calculation[[#This Row],[Source Row]])="","",INDEX(Rider_Input[Salary Month],Salary_Calculation[[#This Row],[Source Row]])))</f>
        <v/>
      </c>
      <c r="B89" s="162" t="str">
        <f aca="false">IF(Salary_Calculation[[#This Row],[Source Row]]="","",IF(INDEX(Rider_Input[Rider ID],Salary_Calculation[[#This Row],[Source Row]])="","",INDEX(Rider_Input[Rider ID],Salary_Calculation[[#This Row],[Source Row]])))</f>
        <v/>
      </c>
      <c r="C89" s="163" t="str">
        <f aca="false">IF(Salary_Calculation[[#This Row],[Source Row]]="","",IF(INDEX(Rider_Input[Rider Name],Salary_Calculation[[#This Row],[Source Row]])="","",INDEX(Rider_Input[Rider Name],Salary_Calculation[[#This Row],[Source Row]])))</f>
        <v/>
      </c>
      <c r="D89" s="164" t="str">
        <f aca="false">IF(Salary_Calculation[[#This Row],[Source Row]]="","",IF(INDEX(Rider_Input[Basic Payment],Salary_Calculation[[#This Row],[Source Row]])="","",INDEX(Rider_Input[Basic Payment],Salary_Calculation[[#This Row],[Source Row]])))</f>
        <v/>
      </c>
      <c r="E89" s="162" t="str">
        <f aca="false">IF(Salary_Calculation[[#This Row],[Source Row]]="","",IF(INDEX(Rider_Input[Calendar Days in Month],Salary_Calculation[[#This Row],[Source Row]])="","",INDEX(Rider_Input[Calendar Days in Month],Salary_Calculation[[#This Row],[Source Row]])))</f>
        <v/>
      </c>
      <c r="F89" s="162" t="str">
        <f aca="false">IF(Salary_Calculation[[#This Row],[Source Row]]="","",IF(INDEX(Rider_Input[Working Days],Salary_Calculation[[#This Row],[Source Row]])="","",INDEX(Rider_Input[Working Days],Salary_Calculation[[#This Row],[Source Row]])))</f>
        <v/>
      </c>
      <c r="G89" s="165" t="str">
        <f aca="false">IF(Salary_Calculation[[#This Row],[Source Row]]="","",Std_Orders/Std_Days*N(Salary_Calculation[[#This Row],[Calendar Days]]))</f>
        <v/>
      </c>
      <c r="H89" s="165" t="str">
        <f aca="false">IF(Salary_Calculation[[#This Row],[Source Row]]="","",IF(N(Salary_Calculation[[#This Row],[Calendar Days]])&gt;0,Salary_Calculation[[#This Row],[Monthly Target Orders]]/N(Salary_Calculation[[#This Row],[Calendar Days]])*N(Salary_Calculation[[#This Row],[Working Days]]),0))</f>
        <v/>
      </c>
      <c r="I89" s="166" t="str">
        <f aca="false">IF(Salary_Calculation[[#This Row],[Source Row]]="","",IF(INDEX(Rider_Input[Completed Orders],Salary_Calculation[[#This Row],[Source Row]])="","",INDEX(Rider_Input[Completed Orders],Salary_Calculation[[#This Row],[Source Row]])))</f>
        <v/>
      </c>
      <c r="J89" s="165" t="str">
        <f aca="false">IF(Salary_Calculation[[#This Row],[Source Row]]="","",IF(Rate_Method="Fixed rate",Fixed_Rate,IF(N(Salary_Calculation[[#This Row],[Basic Payment]])&gt;0,N(Salary_Calculation[[#This Row],[Basic Payment]])/Std_Orders,0)))</f>
        <v/>
      </c>
      <c r="K89" s="165" t="str">
        <f aca="false">IF(Salary_Calculation[[#This Row],[Source Row]]="","",MAX(MIN(N(Salary_Calculation[[#This Row],[Completed Orders]]),Salary_Calculation[[#This Row],[Rider Target Orders]]),0))</f>
        <v/>
      </c>
      <c r="L89" s="164" t="str">
        <f aca="false">IF(Salary_Calculation[[#This Row],[Source Row]]="","",Salary_Calculation[[#This Row],[Orders Counted at Base Rate]]*Salary_Calculation[[#This Row],[Base Order Rate]])</f>
        <v/>
      </c>
      <c r="M89" s="165" t="str">
        <f aca="false">IF(Salary_Calculation[[#This Row],[Source Row]]="","",MAX(Salary_Calculation[[#This Row],[Rider Target Orders]]-N(Salary_Calculation[[#This Row],[Completed Orders]]),0))</f>
        <v/>
      </c>
      <c r="N89" s="164" t="str">
        <f aca="false">IF(Salary_Calculation[[#This Row],[Source Row]]="","",Salary_Calculation[[#This Row],[Missing Orders]]*Missing_Rate)</f>
        <v/>
      </c>
      <c r="O89" s="165" t="str">
        <f aca="false">IF(Salary_Calculation[[#This Row],[Source Row]]="","",MAX(N(Salary_Calculation[[#This Row],[Completed Orders]])-Salary_Calculation[[#This Row],[Rider Target Orders]],0))</f>
        <v/>
      </c>
      <c r="P89" s="164" t="str">
        <f aca="false">IF(Salary_Calculation[[#This Row],[Source Row]]="","",Salary_Calculation[[#This Row],[Extra Orders]]*Extra_Rate)</f>
        <v/>
      </c>
      <c r="Q89" s="164" t="str">
        <f aca="false">IF(Salary_Calculation[[#This Row],[Source Row]]="","",MAX(Salary_Calculation[[#This Row],[Salary Before Other Deductions]],0))</f>
        <v/>
      </c>
      <c r="R89" s="164" t="str">
        <f aca="false">IF(Salary_Calculation[[#This Row],[Source Row]]="","",N(INDEX(Rider_Input[missed_days_penalty],Salary_Calculation[[#This Row],[Source Row]])))</f>
        <v/>
      </c>
      <c r="S89" s="164" t="str">
        <f aca="false">IF(Salary_Calculation[[#This Row],[Source Row]]="","",N(INDEX(Rider_Input[Rider Balance / محفظة المندوب],Salary_Calculation[[#This Row],[Source Row]])))</f>
        <v/>
      </c>
      <c r="T89" s="164" t="str">
        <f aca="false">IF(Salary_Calculation[[#This Row],[Source Row]]="","",N(INDEX(Rider_Input[stacking_deduction / خصم الطلبات المتعددة],Salary_Calculation[[#This Row],[Source Row]])))</f>
        <v/>
      </c>
      <c r="U89" s="164" t="str">
        <f aca="false">IF(Salary_Calculation[[#This Row],[Source Row]]="","",N(INDEX(Rider_Input[Other Deductions],Salary_Calculation[[#This Row],[Source Row]])))</f>
        <v/>
      </c>
      <c r="V89" s="164" t="str">
        <f aca="false">IF(Salary_Calculation[[#This Row],[Source Row]]="","",N(Salary_Calculation[[#This Row],[missed_days_penalty]])+N(Salary_Calculation[[#This Row],[Rider Balance]])+N(Salary_Calculation[[#This Row],[stacking_deduction]])+N(Salary_Calculation[[#This Row],[Other Deductions]]))</f>
        <v/>
      </c>
      <c r="W89" s="167" t="str">
        <f aca="false">IF(Salary_Calculation[[#This Row],[Source Row]]="","",ROUND(MAX(Salary_Calculation[[#This Row],[Gross Salary Before Deductions]]-Salary_Calculation[[#This Row],[Total Deductions]],0),2))</f>
        <v/>
      </c>
      <c r="X89" s="164" t="str">
        <f aca="false">IF(Salary_Calculation[[#This Row],[Source Row]]="","",ROUND(MAX(Salary_Calculation[[#This Row],[Missing-Order Deduction]]-Salary_Calculation[[#This Row],[Earned Salary]],0),2))</f>
        <v/>
      </c>
      <c r="Y8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89" s="163" t="str">
        <f aca="false">IF(Salary_Calculation[[#This Row],[Source Row]]="","",IF(INDEX(Rider_Input[Notes],Salary_Calculation[[#This Row],[Source Row]])="","",INDEX(Rider_Input[Notes],Salary_Calculation[[#This Row],[Source Row]])))</f>
        <v/>
      </c>
      <c r="AA89" s="164" t="str">
        <f aca="false">IF(Salary_Calculation[[#This Row],[Source Row]]="","",Salary_Calculation[[#This Row],[Earned Salary]]-Salary_Calculation[[#This Row],[Missing-Order Deduction]]+Salary_Calculation[[#This Row],[Extra-Order Bonus]])</f>
        <v/>
      </c>
      <c r="AB89" s="164" t="str">
        <f aca="false">IF(Salary_Calculation[[#This Row],[Source Row]]="","",ROUND(Salary_Calculation[[#This Row],[Negative Balance / Amount Due from Rider]]+MAX(Salary_Calculation[[#This Row],[Total Deductions]]-Salary_Calculation[[#This Row],[Gross Salary Before Deductions]],0),2))</f>
        <v/>
      </c>
      <c r="AC8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89" s="164" t="str">
        <f aca="false">IF(Salary_Calculation[[#This Row],[Source Row]]="","",Salary_Calculation[[#This Row],[Rider Target Orders]]*Salary_Calculation[[#This Row],[Base Order Rate]])</f>
        <v/>
      </c>
      <c r="AE89" s="162" t="str">
        <f aca="false">IF(SUMPRODUCT(--(LEN(INDEX(Rider_Input[#Data],ROW()-ROW(Salary_Calculation[#Headers]),0))&gt;0))=0,"",ROW()-ROW(Salary_Calculation[#Headers]))</f>
        <v/>
      </c>
    </row>
    <row r="90" customFormat="false" ht="14.25" hidden="false" customHeight="false" outlineLevel="0" collapsed="false">
      <c r="A90" s="161" t="str">
        <f aca="false">IF(Salary_Calculation[[#This Row],[Source Row]]="","",IF(INDEX(Rider_Input[Salary Month],Salary_Calculation[[#This Row],[Source Row]])="","",INDEX(Rider_Input[Salary Month],Salary_Calculation[[#This Row],[Source Row]])))</f>
        <v/>
      </c>
      <c r="B90" s="162" t="str">
        <f aca="false">IF(Salary_Calculation[[#This Row],[Source Row]]="","",IF(INDEX(Rider_Input[Rider ID],Salary_Calculation[[#This Row],[Source Row]])="","",INDEX(Rider_Input[Rider ID],Salary_Calculation[[#This Row],[Source Row]])))</f>
        <v/>
      </c>
      <c r="C90" s="163" t="str">
        <f aca="false">IF(Salary_Calculation[[#This Row],[Source Row]]="","",IF(INDEX(Rider_Input[Rider Name],Salary_Calculation[[#This Row],[Source Row]])="","",INDEX(Rider_Input[Rider Name],Salary_Calculation[[#This Row],[Source Row]])))</f>
        <v/>
      </c>
      <c r="D90" s="164" t="str">
        <f aca="false">IF(Salary_Calculation[[#This Row],[Source Row]]="","",IF(INDEX(Rider_Input[Basic Payment],Salary_Calculation[[#This Row],[Source Row]])="","",INDEX(Rider_Input[Basic Payment],Salary_Calculation[[#This Row],[Source Row]])))</f>
        <v/>
      </c>
      <c r="E90" s="162" t="str">
        <f aca="false">IF(Salary_Calculation[[#This Row],[Source Row]]="","",IF(INDEX(Rider_Input[Calendar Days in Month],Salary_Calculation[[#This Row],[Source Row]])="","",INDEX(Rider_Input[Calendar Days in Month],Salary_Calculation[[#This Row],[Source Row]])))</f>
        <v/>
      </c>
      <c r="F90" s="162" t="str">
        <f aca="false">IF(Salary_Calculation[[#This Row],[Source Row]]="","",IF(INDEX(Rider_Input[Working Days],Salary_Calculation[[#This Row],[Source Row]])="","",INDEX(Rider_Input[Working Days],Salary_Calculation[[#This Row],[Source Row]])))</f>
        <v/>
      </c>
      <c r="G90" s="165" t="str">
        <f aca="false">IF(Salary_Calculation[[#This Row],[Source Row]]="","",Std_Orders/Std_Days*N(Salary_Calculation[[#This Row],[Calendar Days]]))</f>
        <v/>
      </c>
      <c r="H90" s="165" t="str">
        <f aca="false">IF(Salary_Calculation[[#This Row],[Source Row]]="","",IF(N(Salary_Calculation[[#This Row],[Calendar Days]])&gt;0,Salary_Calculation[[#This Row],[Monthly Target Orders]]/N(Salary_Calculation[[#This Row],[Calendar Days]])*N(Salary_Calculation[[#This Row],[Working Days]]),0))</f>
        <v/>
      </c>
      <c r="I90" s="166" t="str">
        <f aca="false">IF(Salary_Calculation[[#This Row],[Source Row]]="","",IF(INDEX(Rider_Input[Completed Orders],Salary_Calculation[[#This Row],[Source Row]])="","",INDEX(Rider_Input[Completed Orders],Salary_Calculation[[#This Row],[Source Row]])))</f>
        <v/>
      </c>
      <c r="J90" s="165" t="str">
        <f aca="false">IF(Salary_Calculation[[#This Row],[Source Row]]="","",IF(Rate_Method="Fixed rate",Fixed_Rate,IF(N(Salary_Calculation[[#This Row],[Basic Payment]])&gt;0,N(Salary_Calculation[[#This Row],[Basic Payment]])/Std_Orders,0)))</f>
        <v/>
      </c>
      <c r="K90" s="165" t="str">
        <f aca="false">IF(Salary_Calculation[[#This Row],[Source Row]]="","",MAX(MIN(N(Salary_Calculation[[#This Row],[Completed Orders]]),Salary_Calculation[[#This Row],[Rider Target Orders]]),0))</f>
        <v/>
      </c>
      <c r="L90" s="164" t="str">
        <f aca="false">IF(Salary_Calculation[[#This Row],[Source Row]]="","",Salary_Calculation[[#This Row],[Orders Counted at Base Rate]]*Salary_Calculation[[#This Row],[Base Order Rate]])</f>
        <v/>
      </c>
      <c r="M90" s="165" t="str">
        <f aca="false">IF(Salary_Calculation[[#This Row],[Source Row]]="","",MAX(Salary_Calculation[[#This Row],[Rider Target Orders]]-N(Salary_Calculation[[#This Row],[Completed Orders]]),0))</f>
        <v/>
      </c>
      <c r="N90" s="164" t="str">
        <f aca="false">IF(Salary_Calculation[[#This Row],[Source Row]]="","",Salary_Calculation[[#This Row],[Missing Orders]]*Missing_Rate)</f>
        <v/>
      </c>
      <c r="O90" s="165" t="str">
        <f aca="false">IF(Salary_Calculation[[#This Row],[Source Row]]="","",MAX(N(Salary_Calculation[[#This Row],[Completed Orders]])-Salary_Calculation[[#This Row],[Rider Target Orders]],0))</f>
        <v/>
      </c>
      <c r="P90" s="164" t="str">
        <f aca="false">IF(Salary_Calculation[[#This Row],[Source Row]]="","",Salary_Calculation[[#This Row],[Extra Orders]]*Extra_Rate)</f>
        <v/>
      </c>
      <c r="Q90" s="164" t="str">
        <f aca="false">IF(Salary_Calculation[[#This Row],[Source Row]]="","",MAX(Salary_Calculation[[#This Row],[Salary Before Other Deductions]],0))</f>
        <v/>
      </c>
      <c r="R90" s="164" t="str">
        <f aca="false">IF(Salary_Calculation[[#This Row],[Source Row]]="","",N(INDEX(Rider_Input[missed_days_penalty],Salary_Calculation[[#This Row],[Source Row]])))</f>
        <v/>
      </c>
      <c r="S90" s="164" t="str">
        <f aca="false">IF(Salary_Calculation[[#This Row],[Source Row]]="","",N(INDEX(Rider_Input[Rider Balance / محفظة المندوب],Salary_Calculation[[#This Row],[Source Row]])))</f>
        <v/>
      </c>
      <c r="T90" s="164" t="str">
        <f aca="false">IF(Salary_Calculation[[#This Row],[Source Row]]="","",N(INDEX(Rider_Input[stacking_deduction / خصم الطلبات المتعددة],Salary_Calculation[[#This Row],[Source Row]])))</f>
        <v/>
      </c>
      <c r="U90" s="164" t="str">
        <f aca="false">IF(Salary_Calculation[[#This Row],[Source Row]]="","",N(INDEX(Rider_Input[Other Deductions],Salary_Calculation[[#This Row],[Source Row]])))</f>
        <v/>
      </c>
      <c r="V90" s="164" t="str">
        <f aca="false">IF(Salary_Calculation[[#This Row],[Source Row]]="","",N(Salary_Calculation[[#This Row],[missed_days_penalty]])+N(Salary_Calculation[[#This Row],[Rider Balance]])+N(Salary_Calculation[[#This Row],[stacking_deduction]])+N(Salary_Calculation[[#This Row],[Other Deductions]]))</f>
        <v/>
      </c>
      <c r="W90" s="167" t="str">
        <f aca="false">IF(Salary_Calculation[[#This Row],[Source Row]]="","",ROUND(MAX(Salary_Calculation[[#This Row],[Gross Salary Before Deductions]]-Salary_Calculation[[#This Row],[Total Deductions]],0),2))</f>
        <v/>
      </c>
      <c r="X90" s="164" t="str">
        <f aca="false">IF(Salary_Calculation[[#This Row],[Source Row]]="","",ROUND(MAX(Salary_Calculation[[#This Row],[Missing-Order Deduction]]-Salary_Calculation[[#This Row],[Earned Salary]],0),2))</f>
        <v/>
      </c>
      <c r="Y9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90" s="163" t="str">
        <f aca="false">IF(Salary_Calculation[[#This Row],[Source Row]]="","",IF(INDEX(Rider_Input[Notes],Salary_Calculation[[#This Row],[Source Row]])="","",INDEX(Rider_Input[Notes],Salary_Calculation[[#This Row],[Source Row]])))</f>
        <v/>
      </c>
      <c r="AA90" s="164" t="str">
        <f aca="false">IF(Salary_Calculation[[#This Row],[Source Row]]="","",Salary_Calculation[[#This Row],[Earned Salary]]-Salary_Calculation[[#This Row],[Missing-Order Deduction]]+Salary_Calculation[[#This Row],[Extra-Order Bonus]])</f>
        <v/>
      </c>
      <c r="AB90" s="164" t="str">
        <f aca="false">IF(Salary_Calculation[[#This Row],[Source Row]]="","",ROUND(Salary_Calculation[[#This Row],[Negative Balance / Amount Due from Rider]]+MAX(Salary_Calculation[[#This Row],[Total Deductions]]-Salary_Calculation[[#This Row],[Gross Salary Before Deductions]],0),2))</f>
        <v/>
      </c>
      <c r="AC9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90" s="164" t="str">
        <f aca="false">IF(Salary_Calculation[[#This Row],[Source Row]]="","",Salary_Calculation[[#This Row],[Rider Target Orders]]*Salary_Calculation[[#This Row],[Base Order Rate]])</f>
        <v/>
      </c>
      <c r="AE90" s="162" t="str">
        <f aca="false">IF(SUMPRODUCT(--(LEN(INDEX(Rider_Input[#Data],ROW()-ROW(Salary_Calculation[#Headers]),0))&gt;0))=0,"",ROW()-ROW(Salary_Calculation[#Headers]))</f>
        <v/>
      </c>
    </row>
    <row r="91" customFormat="false" ht="14.25" hidden="false" customHeight="false" outlineLevel="0" collapsed="false">
      <c r="A91" s="161" t="str">
        <f aca="false">IF(Salary_Calculation[[#This Row],[Source Row]]="","",IF(INDEX(Rider_Input[Salary Month],Salary_Calculation[[#This Row],[Source Row]])="","",INDEX(Rider_Input[Salary Month],Salary_Calculation[[#This Row],[Source Row]])))</f>
        <v/>
      </c>
      <c r="B91" s="162" t="str">
        <f aca="false">IF(Salary_Calculation[[#This Row],[Source Row]]="","",IF(INDEX(Rider_Input[Rider ID],Salary_Calculation[[#This Row],[Source Row]])="","",INDEX(Rider_Input[Rider ID],Salary_Calculation[[#This Row],[Source Row]])))</f>
        <v/>
      </c>
      <c r="C91" s="163" t="str">
        <f aca="false">IF(Salary_Calculation[[#This Row],[Source Row]]="","",IF(INDEX(Rider_Input[Rider Name],Salary_Calculation[[#This Row],[Source Row]])="","",INDEX(Rider_Input[Rider Name],Salary_Calculation[[#This Row],[Source Row]])))</f>
        <v/>
      </c>
      <c r="D91" s="164" t="str">
        <f aca="false">IF(Salary_Calculation[[#This Row],[Source Row]]="","",IF(INDEX(Rider_Input[Basic Payment],Salary_Calculation[[#This Row],[Source Row]])="","",INDEX(Rider_Input[Basic Payment],Salary_Calculation[[#This Row],[Source Row]])))</f>
        <v/>
      </c>
      <c r="E91" s="162" t="str">
        <f aca="false">IF(Salary_Calculation[[#This Row],[Source Row]]="","",IF(INDEX(Rider_Input[Calendar Days in Month],Salary_Calculation[[#This Row],[Source Row]])="","",INDEX(Rider_Input[Calendar Days in Month],Salary_Calculation[[#This Row],[Source Row]])))</f>
        <v/>
      </c>
      <c r="F91" s="162" t="str">
        <f aca="false">IF(Salary_Calculation[[#This Row],[Source Row]]="","",IF(INDEX(Rider_Input[Working Days],Salary_Calculation[[#This Row],[Source Row]])="","",INDEX(Rider_Input[Working Days],Salary_Calculation[[#This Row],[Source Row]])))</f>
        <v/>
      </c>
      <c r="G91" s="165" t="str">
        <f aca="false">IF(Salary_Calculation[[#This Row],[Source Row]]="","",Std_Orders/Std_Days*N(Salary_Calculation[[#This Row],[Calendar Days]]))</f>
        <v/>
      </c>
      <c r="H91" s="165" t="str">
        <f aca="false">IF(Salary_Calculation[[#This Row],[Source Row]]="","",IF(N(Salary_Calculation[[#This Row],[Calendar Days]])&gt;0,Salary_Calculation[[#This Row],[Monthly Target Orders]]/N(Salary_Calculation[[#This Row],[Calendar Days]])*N(Salary_Calculation[[#This Row],[Working Days]]),0))</f>
        <v/>
      </c>
      <c r="I91" s="166" t="str">
        <f aca="false">IF(Salary_Calculation[[#This Row],[Source Row]]="","",IF(INDEX(Rider_Input[Completed Orders],Salary_Calculation[[#This Row],[Source Row]])="","",INDEX(Rider_Input[Completed Orders],Salary_Calculation[[#This Row],[Source Row]])))</f>
        <v/>
      </c>
      <c r="J91" s="165" t="str">
        <f aca="false">IF(Salary_Calculation[[#This Row],[Source Row]]="","",IF(Rate_Method="Fixed rate",Fixed_Rate,IF(N(Salary_Calculation[[#This Row],[Basic Payment]])&gt;0,N(Salary_Calculation[[#This Row],[Basic Payment]])/Std_Orders,0)))</f>
        <v/>
      </c>
      <c r="K91" s="165" t="str">
        <f aca="false">IF(Salary_Calculation[[#This Row],[Source Row]]="","",MAX(MIN(N(Salary_Calculation[[#This Row],[Completed Orders]]),Salary_Calculation[[#This Row],[Rider Target Orders]]),0))</f>
        <v/>
      </c>
      <c r="L91" s="164" t="str">
        <f aca="false">IF(Salary_Calculation[[#This Row],[Source Row]]="","",Salary_Calculation[[#This Row],[Orders Counted at Base Rate]]*Salary_Calculation[[#This Row],[Base Order Rate]])</f>
        <v/>
      </c>
      <c r="M91" s="165" t="str">
        <f aca="false">IF(Salary_Calculation[[#This Row],[Source Row]]="","",MAX(Salary_Calculation[[#This Row],[Rider Target Orders]]-N(Salary_Calculation[[#This Row],[Completed Orders]]),0))</f>
        <v/>
      </c>
      <c r="N91" s="164" t="str">
        <f aca="false">IF(Salary_Calculation[[#This Row],[Source Row]]="","",Salary_Calculation[[#This Row],[Missing Orders]]*Missing_Rate)</f>
        <v/>
      </c>
      <c r="O91" s="165" t="str">
        <f aca="false">IF(Salary_Calculation[[#This Row],[Source Row]]="","",MAX(N(Salary_Calculation[[#This Row],[Completed Orders]])-Salary_Calculation[[#This Row],[Rider Target Orders]],0))</f>
        <v/>
      </c>
      <c r="P91" s="164" t="str">
        <f aca="false">IF(Salary_Calculation[[#This Row],[Source Row]]="","",Salary_Calculation[[#This Row],[Extra Orders]]*Extra_Rate)</f>
        <v/>
      </c>
      <c r="Q91" s="164" t="str">
        <f aca="false">IF(Salary_Calculation[[#This Row],[Source Row]]="","",MAX(Salary_Calculation[[#This Row],[Salary Before Other Deductions]],0))</f>
        <v/>
      </c>
      <c r="R91" s="164" t="str">
        <f aca="false">IF(Salary_Calculation[[#This Row],[Source Row]]="","",N(INDEX(Rider_Input[missed_days_penalty],Salary_Calculation[[#This Row],[Source Row]])))</f>
        <v/>
      </c>
      <c r="S91" s="164" t="str">
        <f aca="false">IF(Salary_Calculation[[#This Row],[Source Row]]="","",N(INDEX(Rider_Input[Rider Balance / محفظة المندوب],Salary_Calculation[[#This Row],[Source Row]])))</f>
        <v/>
      </c>
      <c r="T91" s="164" t="str">
        <f aca="false">IF(Salary_Calculation[[#This Row],[Source Row]]="","",N(INDEX(Rider_Input[stacking_deduction / خصم الطلبات المتعددة],Salary_Calculation[[#This Row],[Source Row]])))</f>
        <v/>
      </c>
      <c r="U91" s="164" t="str">
        <f aca="false">IF(Salary_Calculation[[#This Row],[Source Row]]="","",N(INDEX(Rider_Input[Other Deductions],Salary_Calculation[[#This Row],[Source Row]])))</f>
        <v/>
      </c>
      <c r="V91" s="164" t="str">
        <f aca="false">IF(Salary_Calculation[[#This Row],[Source Row]]="","",N(Salary_Calculation[[#This Row],[missed_days_penalty]])+N(Salary_Calculation[[#This Row],[Rider Balance]])+N(Salary_Calculation[[#This Row],[stacking_deduction]])+N(Salary_Calculation[[#This Row],[Other Deductions]]))</f>
        <v/>
      </c>
      <c r="W91" s="167" t="str">
        <f aca="false">IF(Salary_Calculation[[#This Row],[Source Row]]="","",ROUND(MAX(Salary_Calculation[[#This Row],[Gross Salary Before Deductions]]-Salary_Calculation[[#This Row],[Total Deductions]],0),2))</f>
        <v/>
      </c>
      <c r="X91" s="164" t="str">
        <f aca="false">IF(Salary_Calculation[[#This Row],[Source Row]]="","",ROUND(MAX(Salary_Calculation[[#This Row],[Missing-Order Deduction]]-Salary_Calculation[[#This Row],[Earned Salary]],0),2))</f>
        <v/>
      </c>
      <c r="Y9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91" s="163" t="str">
        <f aca="false">IF(Salary_Calculation[[#This Row],[Source Row]]="","",IF(INDEX(Rider_Input[Notes],Salary_Calculation[[#This Row],[Source Row]])="","",INDEX(Rider_Input[Notes],Salary_Calculation[[#This Row],[Source Row]])))</f>
        <v/>
      </c>
      <c r="AA91" s="164" t="str">
        <f aca="false">IF(Salary_Calculation[[#This Row],[Source Row]]="","",Salary_Calculation[[#This Row],[Earned Salary]]-Salary_Calculation[[#This Row],[Missing-Order Deduction]]+Salary_Calculation[[#This Row],[Extra-Order Bonus]])</f>
        <v/>
      </c>
      <c r="AB91" s="164" t="str">
        <f aca="false">IF(Salary_Calculation[[#This Row],[Source Row]]="","",ROUND(Salary_Calculation[[#This Row],[Negative Balance / Amount Due from Rider]]+MAX(Salary_Calculation[[#This Row],[Total Deductions]]-Salary_Calculation[[#This Row],[Gross Salary Before Deductions]],0),2))</f>
        <v/>
      </c>
      <c r="AC9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91" s="164" t="str">
        <f aca="false">IF(Salary_Calculation[[#This Row],[Source Row]]="","",Salary_Calculation[[#This Row],[Rider Target Orders]]*Salary_Calculation[[#This Row],[Base Order Rate]])</f>
        <v/>
      </c>
      <c r="AE91" s="162" t="str">
        <f aca="false">IF(SUMPRODUCT(--(LEN(INDEX(Rider_Input[#Data],ROW()-ROW(Salary_Calculation[#Headers]),0))&gt;0))=0,"",ROW()-ROW(Salary_Calculation[#Headers]))</f>
        <v/>
      </c>
    </row>
    <row r="92" customFormat="false" ht="14.25" hidden="false" customHeight="false" outlineLevel="0" collapsed="false">
      <c r="A92" s="161" t="str">
        <f aca="false">IF(Salary_Calculation[[#This Row],[Source Row]]="","",IF(INDEX(Rider_Input[Salary Month],Salary_Calculation[[#This Row],[Source Row]])="","",INDEX(Rider_Input[Salary Month],Salary_Calculation[[#This Row],[Source Row]])))</f>
        <v/>
      </c>
      <c r="B92" s="162" t="str">
        <f aca="false">IF(Salary_Calculation[[#This Row],[Source Row]]="","",IF(INDEX(Rider_Input[Rider ID],Salary_Calculation[[#This Row],[Source Row]])="","",INDEX(Rider_Input[Rider ID],Salary_Calculation[[#This Row],[Source Row]])))</f>
        <v/>
      </c>
      <c r="C92" s="163" t="str">
        <f aca="false">IF(Salary_Calculation[[#This Row],[Source Row]]="","",IF(INDEX(Rider_Input[Rider Name],Salary_Calculation[[#This Row],[Source Row]])="","",INDEX(Rider_Input[Rider Name],Salary_Calculation[[#This Row],[Source Row]])))</f>
        <v/>
      </c>
      <c r="D92" s="164" t="str">
        <f aca="false">IF(Salary_Calculation[[#This Row],[Source Row]]="","",IF(INDEX(Rider_Input[Basic Payment],Salary_Calculation[[#This Row],[Source Row]])="","",INDEX(Rider_Input[Basic Payment],Salary_Calculation[[#This Row],[Source Row]])))</f>
        <v/>
      </c>
      <c r="E92" s="162" t="str">
        <f aca="false">IF(Salary_Calculation[[#This Row],[Source Row]]="","",IF(INDEX(Rider_Input[Calendar Days in Month],Salary_Calculation[[#This Row],[Source Row]])="","",INDEX(Rider_Input[Calendar Days in Month],Salary_Calculation[[#This Row],[Source Row]])))</f>
        <v/>
      </c>
      <c r="F92" s="162" t="str">
        <f aca="false">IF(Salary_Calculation[[#This Row],[Source Row]]="","",IF(INDEX(Rider_Input[Working Days],Salary_Calculation[[#This Row],[Source Row]])="","",INDEX(Rider_Input[Working Days],Salary_Calculation[[#This Row],[Source Row]])))</f>
        <v/>
      </c>
      <c r="G92" s="165" t="str">
        <f aca="false">IF(Salary_Calculation[[#This Row],[Source Row]]="","",Std_Orders/Std_Days*N(Salary_Calculation[[#This Row],[Calendar Days]]))</f>
        <v/>
      </c>
      <c r="H92" s="165" t="str">
        <f aca="false">IF(Salary_Calculation[[#This Row],[Source Row]]="","",IF(N(Salary_Calculation[[#This Row],[Calendar Days]])&gt;0,Salary_Calculation[[#This Row],[Monthly Target Orders]]/N(Salary_Calculation[[#This Row],[Calendar Days]])*N(Salary_Calculation[[#This Row],[Working Days]]),0))</f>
        <v/>
      </c>
      <c r="I92" s="166" t="str">
        <f aca="false">IF(Salary_Calculation[[#This Row],[Source Row]]="","",IF(INDEX(Rider_Input[Completed Orders],Salary_Calculation[[#This Row],[Source Row]])="","",INDEX(Rider_Input[Completed Orders],Salary_Calculation[[#This Row],[Source Row]])))</f>
        <v/>
      </c>
      <c r="J92" s="165" t="str">
        <f aca="false">IF(Salary_Calculation[[#This Row],[Source Row]]="","",IF(Rate_Method="Fixed rate",Fixed_Rate,IF(N(Salary_Calculation[[#This Row],[Basic Payment]])&gt;0,N(Salary_Calculation[[#This Row],[Basic Payment]])/Std_Orders,0)))</f>
        <v/>
      </c>
      <c r="K92" s="165" t="str">
        <f aca="false">IF(Salary_Calculation[[#This Row],[Source Row]]="","",MAX(MIN(N(Salary_Calculation[[#This Row],[Completed Orders]]),Salary_Calculation[[#This Row],[Rider Target Orders]]),0))</f>
        <v/>
      </c>
      <c r="L92" s="164" t="str">
        <f aca="false">IF(Salary_Calculation[[#This Row],[Source Row]]="","",Salary_Calculation[[#This Row],[Orders Counted at Base Rate]]*Salary_Calculation[[#This Row],[Base Order Rate]])</f>
        <v/>
      </c>
      <c r="M92" s="165" t="str">
        <f aca="false">IF(Salary_Calculation[[#This Row],[Source Row]]="","",MAX(Salary_Calculation[[#This Row],[Rider Target Orders]]-N(Salary_Calculation[[#This Row],[Completed Orders]]),0))</f>
        <v/>
      </c>
      <c r="N92" s="164" t="str">
        <f aca="false">IF(Salary_Calculation[[#This Row],[Source Row]]="","",Salary_Calculation[[#This Row],[Missing Orders]]*Missing_Rate)</f>
        <v/>
      </c>
      <c r="O92" s="165" t="str">
        <f aca="false">IF(Salary_Calculation[[#This Row],[Source Row]]="","",MAX(N(Salary_Calculation[[#This Row],[Completed Orders]])-Salary_Calculation[[#This Row],[Rider Target Orders]],0))</f>
        <v/>
      </c>
      <c r="P92" s="164" t="str">
        <f aca="false">IF(Salary_Calculation[[#This Row],[Source Row]]="","",Salary_Calculation[[#This Row],[Extra Orders]]*Extra_Rate)</f>
        <v/>
      </c>
      <c r="Q92" s="164" t="str">
        <f aca="false">IF(Salary_Calculation[[#This Row],[Source Row]]="","",MAX(Salary_Calculation[[#This Row],[Salary Before Other Deductions]],0))</f>
        <v/>
      </c>
      <c r="R92" s="164" t="str">
        <f aca="false">IF(Salary_Calculation[[#This Row],[Source Row]]="","",N(INDEX(Rider_Input[missed_days_penalty],Salary_Calculation[[#This Row],[Source Row]])))</f>
        <v/>
      </c>
      <c r="S92" s="164" t="str">
        <f aca="false">IF(Salary_Calculation[[#This Row],[Source Row]]="","",N(INDEX(Rider_Input[Rider Balance / محفظة المندوب],Salary_Calculation[[#This Row],[Source Row]])))</f>
        <v/>
      </c>
      <c r="T92" s="164" t="str">
        <f aca="false">IF(Salary_Calculation[[#This Row],[Source Row]]="","",N(INDEX(Rider_Input[stacking_deduction / خصم الطلبات المتعددة],Salary_Calculation[[#This Row],[Source Row]])))</f>
        <v/>
      </c>
      <c r="U92" s="164" t="str">
        <f aca="false">IF(Salary_Calculation[[#This Row],[Source Row]]="","",N(INDEX(Rider_Input[Other Deductions],Salary_Calculation[[#This Row],[Source Row]])))</f>
        <v/>
      </c>
      <c r="V92" s="164" t="str">
        <f aca="false">IF(Salary_Calculation[[#This Row],[Source Row]]="","",N(Salary_Calculation[[#This Row],[missed_days_penalty]])+N(Salary_Calculation[[#This Row],[Rider Balance]])+N(Salary_Calculation[[#This Row],[stacking_deduction]])+N(Salary_Calculation[[#This Row],[Other Deductions]]))</f>
        <v/>
      </c>
      <c r="W92" s="167" t="str">
        <f aca="false">IF(Salary_Calculation[[#This Row],[Source Row]]="","",ROUND(MAX(Salary_Calculation[[#This Row],[Gross Salary Before Deductions]]-Salary_Calculation[[#This Row],[Total Deductions]],0),2))</f>
        <v/>
      </c>
      <c r="X92" s="164" t="str">
        <f aca="false">IF(Salary_Calculation[[#This Row],[Source Row]]="","",ROUND(MAX(Salary_Calculation[[#This Row],[Missing-Order Deduction]]-Salary_Calculation[[#This Row],[Earned Salary]],0),2))</f>
        <v/>
      </c>
      <c r="Y9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92" s="163" t="str">
        <f aca="false">IF(Salary_Calculation[[#This Row],[Source Row]]="","",IF(INDEX(Rider_Input[Notes],Salary_Calculation[[#This Row],[Source Row]])="","",INDEX(Rider_Input[Notes],Salary_Calculation[[#This Row],[Source Row]])))</f>
        <v/>
      </c>
      <c r="AA92" s="164" t="str">
        <f aca="false">IF(Salary_Calculation[[#This Row],[Source Row]]="","",Salary_Calculation[[#This Row],[Earned Salary]]-Salary_Calculation[[#This Row],[Missing-Order Deduction]]+Salary_Calculation[[#This Row],[Extra-Order Bonus]])</f>
        <v/>
      </c>
      <c r="AB92" s="164" t="str">
        <f aca="false">IF(Salary_Calculation[[#This Row],[Source Row]]="","",ROUND(Salary_Calculation[[#This Row],[Negative Balance / Amount Due from Rider]]+MAX(Salary_Calculation[[#This Row],[Total Deductions]]-Salary_Calculation[[#This Row],[Gross Salary Before Deductions]],0),2))</f>
        <v/>
      </c>
      <c r="AC9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92" s="164" t="str">
        <f aca="false">IF(Salary_Calculation[[#This Row],[Source Row]]="","",Salary_Calculation[[#This Row],[Rider Target Orders]]*Salary_Calculation[[#This Row],[Base Order Rate]])</f>
        <v/>
      </c>
      <c r="AE92" s="162" t="str">
        <f aca="false">IF(SUMPRODUCT(--(LEN(INDEX(Rider_Input[#Data],ROW()-ROW(Salary_Calculation[#Headers]),0))&gt;0))=0,"",ROW()-ROW(Salary_Calculation[#Headers]))</f>
        <v/>
      </c>
    </row>
    <row r="93" customFormat="false" ht="14.25" hidden="false" customHeight="false" outlineLevel="0" collapsed="false">
      <c r="A93" s="161" t="str">
        <f aca="false">IF(Salary_Calculation[[#This Row],[Source Row]]="","",IF(INDEX(Rider_Input[Salary Month],Salary_Calculation[[#This Row],[Source Row]])="","",INDEX(Rider_Input[Salary Month],Salary_Calculation[[#This Row],[Source Row]])))</f>
        <v/>
      </c>
      <c r="B93" s="162" t="str">
        <f aca="false">IF(Salary_Calculation[[#This Row],[Source Row]]="","",IF(INDEX(Rider_Input[Rider ID],Salary_Calculation[[#This Row],[Source Row]])="","",INDEX(Rider_Input[Rider ID],Salary_Calculation[[#This Row],[Source Row]])))</f>
        <v/>
      </c>
      <c r="C93" s="163" t="str">
        <f aca="false">IF(Salary_Calculation[[#This Row],[Source Row]]="","",IF(INDEX(Rider_Input[Rider Name],Salary_Calculation[[#This Row],[Source Row]])="","",INDEX(Rider_Input[Rider Name],Salary_Calculation[[#This Row],[Source Row]])))</f>
        <v/>
      </c>
      <c r="D93" s="164" t="str">
        <f aca="false">IF(Salary_Calculation[[#This Row],[Source Row]]="","",IF(INDEX(Rider_Input[Basic Payment],Salary_Calculation[[#This Row],[Source Row]])="","",INDEX(Rider_Input[Basic Payment],Salary_Calculation[[#This Row],[Source Row]])))</f>
        <v/>
      </c>
      <c r="E93" s="162" t="str">
        <f aca="false">IF(Salary_Calculation[[#This Row],[Source Row]]="","",IF(INDEX(Rider_Input[Calendar Days in Month],Salary_Calculation[[#This Row],[Source Row]])="","",INDEX(Rider_Input[Calendar Days in Month],Salary_Calculation[[#This Row],[Source Row]])))</f>
        <v/>
      </c>
      <c r="F93" s="162" t="str">
        <f aca="false">IF(Salary_Calculation[[#This Row],[Source Row]]="","",IF(INDEX(Rider_Input[Working Days],Salary_Calculation[[#This Row],[Source Row]])="","",INDEX(Rider_Input[Working Days],Salary_Calculation[[#This Row],[Source Row]])))</f>
        <v/>
      </c>
      <c r="G93" s="165" t="str">
        <f aca="false">IF(Salary_Calculation[[#This Row],[Source Row]]="","",Std_Orders/Std_Days*N(Salary_Calculation[[#This Row],[Calendar Days]]))</f>
        <v/>
      </c>
      <c r="H93" s="165" t="str">
        <f aca="false">IF(Salary_Calculation[[#This Row],[Source Row]]="","",IF(N(Salary_Calculation[[#This Row],[Calendar Days]])&gt;0,Salary_Calculation[[#This Row],[Monthly Target Orders]]/N(Salary_Calculation[[#This Row],[Calendar Days]])*N(Salary_Calculation[[#This Row],[Working Days]]),0))</f>
        <v/>
      </c>
      <c r="I93" s="166" t="str">
        <f aca="false">IF(Salary_Calculation[[#This Row],[Source Row]]="","",IF(INDEX(Rider_Input[Completed Orders],Salary_Calculation[[#This Row],[Source Row]])="","",INDEX(Rider_Input[Completed Orders],Salary_Calculation[[#This Row],[Source Row]])))</f>
        <v/>
      </c>
      <c r="J93" s="165" t="str">
        <f aca="false">IF(Salary_Calculation[[#This Row],[Source Row]]="","",IF(Rate_Method="Fixed rate",Fixed_Rate,IF(N(Salary_Calculation[[#This Row],[Basic Payment]])&gt;0,N(Salary_Calculation[[#This Row],[Basic Payment]])/Std_Orders,0)))</f>
        <v/>
      </c>
      <c r="K93" s="165" t="str">
        <f aca="false">IF(Salary_Calculation[[#This Row],[Source Row]]="","",MAX(MIN(N(Salary_Calculation[[#This Row],[Completed Orders]]),Salary_Calculation[[#This Row],[Rider Target Orders]]),0))</f>
        <v/>
      </c>
      <c r="L93" s="164" t="str">
        <f aca="false">IF(Salary_Calculation[[#This Row],[Source Row]]="","",Salary_Calculation[[#This Row],[Orders Counted at Base Rate]]*Salary_Calculation[[#This Row],[Base Order Rate]])</f>
        <v/>
      </c>
      <c r="M93" s="165" t="str">
        <f aca="false">IF(Salary_Calculation[[#This Row],[Source Row]]="","",MAX(Salary_Calculation[[#This Row],[Rider Target Orders]]-N(Salary_Calculation[[#This Row],[Completed Orders]]),0))</f>
        <v/>
      </c>
      <c r="N93" s="164" t="str">
        <f aca="false">IF(Salary_Calculation[[#This Row],[Source Row]]="","",Salary_Calculation[[#This Row],[Missing Orders]]*Missing_Rate)</f>
        <v/>
      </c>
      <c r="O93" s="165" t="str">
        <f aca="false">IF(Salary_Calculation[[#This Row],[Source Row]]="","",MAX(N(Salary_Calculation[[#This Row],[Completed Orders]])-Salary_Calculation[[#This Row],[Rider Target Orders]],0))</f>
        <v/>
      </c>
      <c r="P93" s="164" t="str">
        <f aca="false">IF(Salary_Calculation[[#This Row],[Source Row]]="","",Salary_Calculation[[#This Row],[Extra Orders]]*Extra_Rate)</f>
        <v/>
      </c>
      <c r="Q93" s="164" t="str">
        <f aca="false">IF(Salary_Calculation[[#This Row],[Source Row]]="","",MAX(Salary_Calculation[[#This Row],[Salary Before Other Deductions]],0))</f>
        <v/>
      </c>
      <c r="R93" s="164" t="str">
        <f aca="false">IF(Salary_Calculation[[#This Row],[Source Row]]="","",N(INDEX(Rider_Input[missed_days_penalty],Salary_Calculation[[#This Row],[Source Row]])))</f>
        <v/>
      </c>
      <c r="S93" s="164" t="str">
        <f aca="false">IF(Salary_Calculation[[#This Row],[Source Row]]="","",N(INDEX(Rider_Input[Rider Balance / محفظة المندوب],Salary_Calculation[[#This Row],[Source Row]])))</f>
        <v/>
      </c>
      <c r="T93" s="164" t="str">
        <f aca="false">IF(Salary_Calculation[[#This Row],[Source Row]]="","",N(INDEX(Rider_Input[stacking_deduction / خصم الطلبات المتعددة],Salary_Calculation[[#This Row],[Source Row]])))</f>
        <v/>
      </c>
      <c r="U93" s="164" t="str">
        <f aca="false">IF(Salary_Calculation[[#This Row],[Source Row]]="","",N(INDEX(Rider_Input[Other Deductions],Salary_Calculation[[#This Row],[Source Row]])))</f>
        <v/>
      </c>
      <c r="V93" s="164" t="str">
        <f aca="false">IF(Salary_Calculation[[#This Row],[Source Row]]="","",N(Salary_Calculation[[#This Row],[missed_days_penalty]])+N(Salary_Calculation[[#This Row],[Rider Balance]])+N(Salary_Calculation[[#This Row],[stacking_deduction]])+N(Salary_Calculation[[#This Row],[Other Deductions]]))</f>
        <v/>
      </c>
      <c r="W93" s="167" t="str">
        <f aca="false">IF(Salary_Calculation[[#This Row],[Source Row]]="","",ROUND(MAX(Salary_Calculation[[#This Row],[Gross Salary Before Deductions]]-Salary_Calculation[[#This Row],[Total Deductions]],0),2))</f>
        <v/>
      </c>
      <c r="X93" s="164" t="str">
        <f aca="false">IF(Salary_Calculation[[#This Row],[Source Row]]="","",ROUND(MAX(Salary_Calculation[[#This Row],[Missing-Order Deduction]]-Salary_Calculation[[#This Row],[Earned Salary]],0),2))</f>
        <v/>
      </c>
      <c r="Y9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93" s="163" t="str">
        <f aca="false">IF(Salary_Calculation[[#This Row],[Source Row]]="","",IF(INDEX(Rider_Input[Notes],Salary_Calculation[[#This Row],[Source Row]])="","",INDEX(Rider_Input[Notes],Salary_Calculation[[#This Row],[Source Row]])))</f>
        <v/>
      </c>
      <c r="AA93" s="164" t="str">
        <f aca="false">IF(Salary_Calculation[[#This Row],[Source Row]]="","",Salary_Calculation[[#This Row],[Earned Salary]]-Salary_Calculation[[#This Row],[Missing-Order Deduction]]+Salary_Calculation[[#This Row],[Extra-Order Bonus]])</f>
        <v/>
      </c>
      <c r="AB93" s="164" t="str">
        <f aca="false">IF(Salary_Calculation[[#This Row],[Source Row]]="","",ROUND(Salary_Calculation[[#This Row],[Negative Balance / Amount Due from Rider]]+MAX(Salary_Calculation[[#This Row],[Total Deductions]]-Salary_Calculation[[#This Row],[Gross Salary Before Deductions]],0),2))</f>
        <v/>
      </c>
      <c r="AC9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93" s="164" t="str">
        <f aca="false">IF(Salary_Calculation[[#This Row],[Source Row]]="","",Salary_Calculation[[#This Row],[Rider Target Orders]]*Salary_Calculation[[#This Row],[Base Order Rate]])</f>
        <v/>
      </c>
      <c r="AE93" s="162" t="str">
        <f aca="false">IF(SUMPRODUCT(--(LEN(INDEX(Rider_Input[#Data],ROW()-ROW(Salary_Calculation[#Headers]),0))&gt;0))=0,"",ROW()-ROW(Salary_Calculation[#Headers]))</f>
        <v/>
      </c>
    </row>
    <row r="94" customFormat="false" ht="14.25" hidden="false" customHeight="false" outlineLevel="0" collapsed="false">
      <c r="A94" s="161" t="str">
        <f aca="false">IF(Salary_Calculation[[#This Row],[Source Row]]="","",IF(INDEX(Rider_Input[Salary Month],Salary_Calculation[[#This Row],[Source Row]])="","",INDEX(Rider_Input[Salary Month],Salary_Calculation[[#This Row],[Source Row]])))</f>
        <v/>
      </c>
      <c r="B94" s="162" t="str">
        <f aca="false">IF(Salary_Calculation[[#This Row],[Source Row]]="","",IF(INDEX(Rider_Input[Rider ID],Salary_Calculation[[#This Row],[Source Row]])="","",INDEX(Rider_Input[Rider ID],Salary_Calculation[[#This Row],[Source Row]])))</f>
        <v/>
      </c>
      <c r="C94" s="163" t="str">
        <f aca="false">IF(Salary_Calculation[[#This Row],[Source Row]]="","",IF(INDEX(Rider_Input[Rider Name],Salary_Calculation[[#This Row],[Source Row]])="","",INDEX(Rider_Input[Rider Name],Salary_Calculation[[#This Row],[Source Row]])))</f>
        <v/>
      </c>
      <c r="D94" s="164" t="str">
        <f aca="false">IF(Salary_Calculation[[#This Row],[Source Row]]="","",IF(INDEX(Rider_Input[Basic Payment],Salary_Calculation[[#This Row],[Source Row]])="","",INDEX(Rider_Input[Basic Payment],Salary_Calculation[[#This Row],[Source Row]])))</f>
        <v/>
      </c>
      <c r="E94" s="162" t="str">
        <f aca="false">IF(Salary_Calculation[[#This Row],[Source Row]]="","",IF(INDEX(Rider_Input[Calendar Days in Month],Salary_Calculation[[#This Row],[Source Row]])="","",INDEX(Rider_Input[Calendar Days in Month],Salary_Calculation[[#This Row],[Source Row]])))</f>
        <v/>
      </c>
      <c r="F94" s="162" t="str">
        <f aca="false">IF(Salary_Calculation[[#This Row],[Source Row]]="","",IF(INDEX(Rider_Input[Working Days],Salary_Calculation[[#This Row],[Source Row]])="","",INDEX(Rider_Input[Working Days],Salary_Calculation[[#This Row],[Source Row]])))</f>
        <v/>
      </c>
      <c r="G94" s="165" t="str">
        <f aca="false">IF(Salary_Calculation[[#This Row],[Source Row]]="","",Std_Orders/Std_Days*N(Salary_Calculation[[#This Row],[Calendar Days]]))</f>
        <v/>
      </c>
      <c r="H94" s="165" t="str">
        <f aca="false">IF(Salary_Calculation[[#This Row],[Source Row]]="","",IF(N(Salary_Calculation[[#This Row],[Calendar Days]])&gt;0,Salary_Calculation[[#This Row],[Monthly Target Orders]]/N(Salary_Calculation[[#This Row],[Calendar Days]])*N(Salary_Calculation[[#This Row],[Working Days]]),0))</f>
        <v/>
      </c>
      <c r="I94" s="166" t="str">
        <f aca="false">IF(Salary_Calculation[[#This Row],[Source Row]]="","",IF(INDEX(Rider_Input[Completed Orders],Salary_Calculation[[#This Row],[Source Row]])="","",INDEX(Rider_Input[Completed Orders],Salary_Calculation[[#This Row],[Source Row]])))</f>
        <v/>
      </c>
      <c r="J94" s="165" t="str">
        <f aca="false">IF(Salary_Calculation[[#This Row],[Source Row]]="","",IF(Rate_Method="Fixed rate",Fixed_Rate,IF(N(Salary_Calculation[[#This Row],[Basic Payment]])&gt;0,N(Salary_Calculation[[#This Row],[Basic Payment]])/Std_Orders,0)))</f>
        <v/>
      </c>
      <c r="K94" s="165" t="str">
        <f aca="false">IF(Salary_Calculation[[#This Row],[Source Row]]="","",MAX(MIN(N(Salary_Calculation[[#This Row],[Completed Orders]]),Salary_Calculation[[#This Row],[Rider Target Orders]]),0))</f>
        <v/>
      </c>
      <c r="L94" s="164" t="str">
        <f aca="false">IF(Salary_Calculation[[#This Row],[Source Row]]="","",Salary_Calculation[[#This Row],[Orders Counted at Base Rate]]*Salary_Calculation[[#This Row],[Base Order Rate]])</f>
        <v/>
      </c>
      <c r="M94" s="165" t="str">
        <f aca="false">IF(Salary_Calculation[[#This Row],[Source Row]]="","",MAX(Salary_Calculation[[#This Row],[Rider Target Orders]]-N(Salary_Calculation[[#This Row],[Completed Orders]]),0))</f>
        <v/>
      </c>
      <c r="N94" s="164" t="str">
        <f aca="false">IF(Salary_Calculation[[#This Row],[Source Row]]="","",Salary_Calculation[[#This Row],[Missing Orders]]*Missing_Rate)</f>
        <v/>
      </c>
      <c r="O94" s="165" t="str">
        <f aca="false">IF(Salary_Calculation[[#This Row],[Source Row]]="","",MAX(N(Salary_Calculation[[#This Row],[Completed Orders]])-Salary_Calculation[[#This Row],[Rider Target Orders]],0))</f>
        <v/>
      </c>
      <c r="P94" s="164" t="str">
        <f aca="false">IF(Salary_Calculation[[#This Row],[Source Row]]="","",Salary_Calculation[[#This Row],[Extra Orders]]*Extra_Rate)</f>
        <v/>
      </c>
      <c r="Q94" s="164" t="str">
        <f aca="false">IF(Salary_Calculation[[#This Row],[Source Row]]="","",MAX(Salary_Calculation[[#This Row],[Salary Before Other Deductions]],0))</f>
        <v/>
      </c>
      <c r="R94" s="164" t="str">
        <f aca="false">IF(Salary_Calculation[[#This Row],[Source Row]]="","",N(INDEX(Rider_Input[missed_days_penalty],Salary_Calculation[[#This Row],[Source Row]])))</f>
        <v/>
      </c>
      <c r="S94" s="164" t="str">
        <f aca="false">IF(Salary_Calculation[[#This Row],[Source Row]]="","",N(INDEX(Rider_Input[Rider Balance / محفظة المندوب],Salary_Calculation[[#This Row],[Source Row]])))</f>
        <v/>
      </c>
      <c r="T94" s="164" t="str">
        <f aca="false">IF(Salary_Calculation[[#This Row],[Source Row]]="","",N(INDEX(Rider_Input[stacking_deduction / خصم الطلبات المتعددة],Salary_Calculation[[#This Row],[Source Row]])))</f>
        <v/>
      </c>
      <c r="U94" s="164" t="str">
        <f aca="false">IF(Salary_Calculation[[#This Row],[Source Row]]="","",N(INDEX(Rider_Input[Other Deductions],Salary_Calculation[[#This Row],[Source Row]])))</f>
        <v/>
      </c>
      <c r="V94" s="164" t="str">
        <f aca="false">IF(Salary_Calculation[[#This Row],[Source Row]]="","",N(Salary_Calculation[[#This Row],[missed_days_penalty]])+N(Salary_Calculation[[#This Row],[Rider Balance]])+N(Salary_Calculation[[#This Row],[stacking_deduction]])+N(Salary_Calculation[[#This Row],[Other Deductions]]))</f>
        <v/>
      </c>
      <c r="W94" s="167" t="str">
        <f aca="false">IF(Salary_Calculation[[#This Row],[Source Row]]="","",ROUND(MAX(Salary_Calculation[[#This Row],[Gross Salary Before Deductions]]-Salary_Calculation[[#This Row],[Total Deductions]],0),2))</f>
        <v/>
      </c>
      <c r="X94" s="164" t="str">
        <f aca="false">IF(Salary_Calculation[[#This Row],[Source Row]]="","",ROUND(MAX(Salary_Calculation[[#This Row],[Missing-Order Deduction]]-Salary_Calculation[[#This Row],[Earned Salary]],0),2))</f>
        <v/>
      </c>
      <c r="Y9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94" s="163" t="str">
        <f aca="false">IF(Salary_Calculation[[#This Row],[Source Row]]="","",IF(INDEX(Rider_Input[Notes],Salary_Calculation[[#This Row],[Source Row]])="","",INDEX(Rider_Input[Notes],Salary_Calculation[[#This Row],[Source Row]])))</f>
        <v/>
      </c>
      <c r="AA94" s="164" t="str">
        <f aca="false">IF(Salary_Calculation[[#This Row],[Source Row]]="","",Salary_Calculation[[#This Row],[Earned Salary]]-Salary_Calculation[[#This Row],[Missing-Order Deduction]]+Salary_Calculation[[#This Row],[Extra-Order Bonus]])</f>
        <v/>
      </c>
      <c r="AB94" s="164" t="str">
        <f aca="false">IF(Salary_Calculation[[#This Row],[Source Row]]="","",ROUND(Salary_Calculation[[#This Row],[Negative Balance / Amount Due from Rider]]+MAX(Salary_Calculation[[#This Row],[Total Deductions]]-Salary_Calculation[[#This Row],[Gross Salary Before Deductions]],0),2))</f>
        <v/>
      </c>
      <c r="AC9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94" s="164" t="str">
        <f aca="false">IF(Salary_Calculation[[#This Row],[Source Row]]="","",Salary_Calculation[[#This Row],[Rider Target Orders]]*Salary_Calculation[[#This Row],[Base Order Rate]])</f>
        <v/>
      </c>
      <c r="AE94" s="162" t="str">
        <f aca="false">IF(SUMPRODUCT(--(LEN(INDEX(Rider_Input[#Data],ROW()-ROW(Salary_Calculation[#Headers]),0))&gt;0))=0,"",ROW()-ROW(Salary_Calculation[#Headers]))</f>
        <v/>
      </c>
    </row>
    <row r="95" customFormat="false" ht="14.25" hidden="false" customHeight="false" outlineLevel="0" collapsed="false">
      <c r="A95" s="161" t="str">
        <f aca="false">IF(Salary_Calculation[[#This Row],[Source Row]]="","",IF(INDEX(Rider_Input[Salary Month],Salary_Calculation[[#This Row],[Source Row]])="","",INDEX(Rider_Input[Salary Month],Salary_Calculation[[#This Row],[Source Row]])))</f>
        <v/>
      </c>
      <c r="B95" s="162" t="str">
        <f aca="false">IF(Salary_Calculation[[#This Row],[Source Row]]="","",IF(INDEX(Rider_Input[Rider ID],Salary_Calculation[[#This Row],[Source Row]])="","",INDEX(Rider_Input[Rider ID],Salary_Calculation[[#This Row],[Source Row]])))</f>
        <v/>
      </c>
      <c r="C95" s="163" t="str">
        <f aca="false">IF(Salary_Calculation[[#This Row],[Source Row]]="","",IF(INDEX(Rider_Input[Rider Name],Salary_Calculation[[#This Row],[Source Row]])="","",INDEX(Rider_Input[Rider Name],Salary_Calculation[[#This Row],[Source Row]])))</f>
        <v/>
      </c>
      <c r="D95" s="164" t="str">
        <f aca="false">IF(Salary_Calculation[[#This Row],[Source Row]]="","",IF(INDEX(Rider_Input[Basic Payment],Salary_Calculation[[#This Row],[Source Row]])="","",INDEX(Rider_Input[Basic Payment],Salary_Calculation[[#This Row],[Source Row]])))</f>
        <v/>
      </c>
      <c r="E95" s="162" t="str">
        <f aca="false">IF(Salary_Calculation[[#This Row],[Source Row]]="","",IF(INDEX(Rider_Input[Calendar Days in Month],Salary_Calculation[[#This Row],[Source Row]])="","",INDEX(Rider_Input[Calendar Days in Month],Salary_Calculation[[#This Row],[Source Row]])))</f>
        <v/>
      </c>
      <c r="F95" s="162" t="str">
        <f aca="false">IF(Salary_Calculation[[#This Row],[Source Row]]="","",IF(INDEX(Rider_Input[Working Days],Salary_Calculation[[#This Row],[Source Row]])="","",INDEX(Rider_Input[Working Days],Salary_Calculation[[#This Row],[Source Row]])))</f>
        <v/>
      </c>
      <c r="G95" s="165" t="str">
        <f aca="false">IF(Salary_Calculation[[#This Row],[Source Row]]="","",Std_Orders/Std_Days*N(Salary_Calculation[[#This Row],[Calendar Days]]))</f>
        <v/>
      </c>
      <c r="H95" s="165" t="str">
        <f aca="false">IF(Salary_Calculation[[#This Row],[Source Row]]="","",IF(N(Salary_Calculation[[#This Row],[Calendar Days]])&gt;0,Salary_Calculation[[#This Row],[Monthly Target Orders]]/N(Salary_Calculation[[#This Row],[Calendar Days]])*N(Salary_Calculation[[#This Row],[Working Days]]),0))</f>
        <v/>
      </c>
      <c r="I95" s="166" t="str">
        <f aca="false">IF(Salary_Calculation[[#This Row],[Source Row]]="","",IF(INDEX(Rider_Input[Completed Orders],Salary_Calculation[[#This Row],[Source Row]])="","",INDEX(Rider_Input[Completed Orders],Salary_Calculation[[#This Row],[Source Row]])))</f>
        <v/>
      </c>
      <c r="J95" s="165" t="str">
        <f aca="false">IF(Salary_Calculation[[#This Row],[Source Row]]="","",IF(Rate_Method="Fixed rate",Fixed_Rate,IF(N(Salary_Calculation[[#This Row],[Basic Payment]])&gt;0,N(Salary_Calculation[[#This Row],[Basic Payment]])/Std_Orders,0)))</f>
        <v/>
      </c>
      <c r="K95" s="165" t="str">
        <f aca="false">IF(Salary_Calculation[[#This Row],[Source Row]]="","",MAX(MIN(N(Salary_Calculation[[#This Row],[Completed Orders]]),Salary_Calculation[[#This Row],[Rider Target Orders]]),0))</f>
        <v/>
      </c>
      <c r="L95" s="164" t="str">
        <f aca="false">IF(Salary_Calculation[[#This Row],[Source Row]]="","",Salary_Calculation[[#This Row],[Orders Counted at Base Rate]]*Salary_Calculation[[#This Row],[Base Order Rate]])</f>
        <v/>
      </c>
      <c r="M95" s="165" t="str">
        <f aca="false">IF(Salary_Calculation[[#This Row],[Source Row]]="","",MAX(Salary_Calculation[[#This Row],[Rider Target Orders]]-N(Salary_Calculation[[#This Row],[Completed Orders]]),0))</f>
        <v/>
      </c>
      <c r="N95" s="164" t="str">
        <f aca="false">IF(Salary_Calculation[[#This Row],[Source Row]]="","",Salary_Calculation[[#This Row],[Missing Orders]]*Missing_Rate)</f>
        <v/>
      </c>
      <c r="O95" s="165" t="str">
        <f aca="false">IF(Salary_Calculation[[#This Row],[Source Row]]="","",MAX(N(Salary_Calculation[[#This Row],[Completed Orders]])-Salary_Calculation[[#This Row],[Rider Target Orders]],0))</f>
        <v/>
      </c>
      <c r="P95" s="164" t="str">
        <f aca="false">IF(Salary_Calculation[[#This Row],[Source Row]]="","",Salary_Calculation[[#This Row],[Extra Orders]]*Extra_Rate)</f>
        <v/>
      </c>
      <c r="Q95" s="164" t="str">
        <f aca="false">IF(Salary_Calculation[[#This Row],[Source Row]]="","",MAX(Salary_Calculation[[#This Row],[Salary Before Other Deductions]],0))</f>
        <v/>
      </c>
      <c r="R95" s="164" t="str">
        <f aca="false">IF(Salary_Calculation[[#This Row],[Source Row]]="","",N(INDEX(Rider_Input[missed_days_penalty],Salary_Calculation[[#This Row],[Source Row]])))</f>
        <v/>
      </c>
      <c r="S95" s="164" t="str">
        <f aca="false">IF(Salary_Calculation[[#This Row],[Source Row]]="","",N(INDEX(Rider_Input[Rider Balance / محفظة المندوب],Salary_Calculation[[#This Row],[Source Row]])))</f>
        <v/>
      </c>
      <c r="T95" s="164" t="str">
        <f aca="false">IF(Salary_Calculation[[#This Row],[Source Row]]="","",N(INDEX(Rider_Input[stacking_deduction / خصم الطلبات المتعددة],Salary_Calculation[[#This Row],[Source Row]])))</f>
        <v/>
      </c>
      <c r="U95" s="164" t="str">
        <f aca="false">IF(Salary_Calculation[[#This Row],[Source Row]]="","",N(INDEX(Rider_Input[Other Deductions],Salary_Calculation[[#This Row],[Source Row]])))</f>
        <v/>
      </c>
      <c r="V95" s="164" t="str">
        <f aca="false">IF(Salary_Calculation[[#This Row],[Source Row]]="","",N(Salary_Calculation[[#This Row],[missed_days_penalty]])+N(Salary_Calculation[[#This Row],[Rider Balance]])+N(Salary_Calculation[[#This Row],[stacking_deduction]])+N(Salary_Calculation[[#This Row],[Other Deductions]]))</f>
        <v/>
      </c>
      <c r="W95" s="167" t="str">
        <f aca="false">IF(Salary_Calculation[[#This Row],[Source Row]]="","",ROUND(MAX(Salary_Calculation[[#This Row],[Gross Salary Before Deductions]]-Salary_Calculation[[#This Row],[Total Deductions]],0),2))</f>
        <v/>
      </c>
      <c r="X95" s="164" t="str">
        <f aca="false">IF(Salary_Calculation[[#This Row],[Source Row]]="","",ROUND(MAX(Salary_Calculation[[#This Row],[Missing-Order Deduction]]-Salary_Calculation[[#This Row],[Earned Salary]],0),2))</f>
        <v/>
      </c>
      <c r="Y9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95" s="163" t="str">
        <f aca="false">IF(Salary_Calculation[[#This Row],[Source Row]]="","",IF(INDEX(Rider_Input[Notes],Salary_Calculation[[#This Row],[Source Row]])="","",INDEX(Rider_Input[Notes],Salary_Calculation[[#This Row],[Source Row]])))</f>
        <v/>
      </c>
      <c r="AA95" s="164" t="str">
        <f aca="false">IF(Salary_Calculation[[#This Row],[Source Row]]="","",Salary_Calculation[[#This Row],[Earned Salary]]-Salary_Calculation[[#This Row],[Missing-Order Deduction]]+Salary_Calculation[[#This Row],[Extra-Order Bonus]])</f>
        <v/>
      </c>
      <c r="AB95" s="164" t="str">
        <f aca="false">IF(Salary_Calculation[[#This Row],[Source Row]]="","",ROUND(Salary_Calculation[[#This Row],[Negative Balance / Amount Due from Rider]]+MAX(Salary_Calculation[[#This Row],[Total Deductions]]-Salary_Calculation[[#This Row],[Gross Salary Before Deductions]],0),2))</f>
        <v/>
      </c>
      <c r="AC9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95" s="164" t="str">
        <f aca="false">IF(Salary_Calculation[[#This Row],[Source Row]]="","",Salary_Calculation[[#This Row],[Rider Target Orders]]*Salary_Calculation[[#This Row],[Base Order Rate]])</f>
        <v/>
      </c>
      <c r="AE95" s="162" t="str">
        <f aca="false">IF(SUMPRODUCT(--(LEN(INDEX(Rider_Input[#Data],ROW()-ROW(Salary_Calculation[#Headers]),0))&gt;0))=0,"",ROW()-ROW(Salary_Calculation[#Headers]))</f>
        <v/>
      </c>
    </row>
    <row r="96" customFormat="false" ht="14.25" hidden="false" customHeight="false" outlineLevel="0" collapsed="false">
      <c r="A96" s="161" t="str">
        <f aca="false">IF(Salary_Calculation[[#This Row],[Source Row]]="","",IF(INDEX(Rider_Input[Salary Month],Salary_Calculation[[#This Row],[Source Row]])="","",INDEX(Rider_Input[Salary Month],Salary_Calculation[[#This Row],[Source Row]])))</f>
        <v/>
      </c>
      <c r="B96" s="162" t="str">
        <f aca="false">IF(Salary_Calculation[[#This Row],[Source Row]]="","",IF(INDEX(Rider_Input[Rider ID],Salary_Calculation[[#This Row],[Source Row]])="","",INDEX(Rider_Input[Rider ID],Salary_Calculation[[#This Row],[Source Row]])))</f>
        <v/>
      </c>
      <c r="C96" s="163" t="str">
        <f aca="false">IF(Salary_Calculation[[#This Row],[Source Row]]="","",IF(INDEX(Rider_Input[Rider Name],Salary_Calculation[[#This Row],[Source Row]])="","",INDEX(Rider_Input[Rider Name],Salary_Calculation[[#This Row],[Source Row]])))</f>
        <v/>
      </c>
      <c r="D96" s="164" t="str">
        <f aca="false">IF(Salary_Calculation[[#This Row],[Source Row]]="","",IF(INDEX(Rider_Input[Basic Payment],Salary_Calculation[[#This Row],[Source Row]])="","",INDEX(Rider_Input[Basic Payment],Salary_Calculation[[#This Row],[Source Row]])))</f>
        <v/>
      </c>
      <c r="E96" s="162" t="str">
        <f aca="false">IF(Salary_Calculation[[#This Row],[Source Row]]="","",IF(INDEX(Rider_Input[Calendar Days in Month],Salary_Calculation[[#This Row],[Source Row]])="","",INDEX(Rider_Input[Calendar Days in Month],Salary_Calculation[[#This Row],[Source Row]])))</f>
        <v/>
      </c>
      <c r="F96" s="162" t="str">
        <f aca="false">IF(Salary_Calculation[[#This Row],[Source Row]]="","",IF(INDEX(Rider_Input[Working Days],Salary_Calculation[[#This Row],[Source Row]])="","",INDEX(Rider_Input[Working Days],Salary_Calculation[[#This Row],[Source Row]])))</f>
        <v/>
      </c>
      <c r="G96" s="165" t="str">
        <f aca="false">IF(Salary_Calculation[[#This Row],[Source Row]]="","",Std_Orders/Std_Days*N(Salary_Calculation[[#This Row],[Calendar Days]]))</f>
        <v/>
      </c>
      <c r="H96" s="165" t="str">
        <f aca="false">IF(Salary_Calculation[[#This Row],[Source Row]]="","",IF(N(Salary_Calculation[[#This Row],[Calendar Days]])&gt;0,Salary_Calculation[[#This Row],[Monthly Target Orders]]/N(Salary_Calculation[[#This Row],[Calendar Days]])*N(Salary_Calculation[[#This Row],[Working Days]]),0))</f>
        <v/>
      </c>
      <c r="I96" s="166" t="str">
        <f aca="false">IF(Salary_Calculation[[#This Row],[Source Row]]="","",IF(INDEX(Rider_Input[Completed Orders],Salary_Calculation[[#This Row],[Source Row]])="","",INDEX(Rider_Input[Completed Orders],Salary_Calculation[[#This Row],[Source Row]])))</f>
        <v/>
      </c>
      <c r="J96" s="165" t="str">
        <f aca="false">IF(Salary_Calculation[[#This Row],[Source Row]]="","",IF(Rate_Method="Fixed rate",Fixed_Rate,IF(N(Salary_Calculation[[#This Row],[Basic Payment]])&gt;0,N(Salary_Calculation[[#This Row],[Basic Payment]])/Std_Orders,0)))</f>
        <v/>
      </c>
      <c r="K96" s="165" t="str">
        <f aca="false">IF(Salary_Calculation[[#This Row],[Source Row]]="","",MAX(MIN(N(Salary_Calculation[[#This Row],[Completed Orders]]),Salary_Calculation[[#This Row],[Rider Target Orders]]),0))</f>
        <v/>
      </c>
      <c r="L96" s="164" t="str">
        <f aca="false">IF(Salary_Calculation[[#This Row],[Source Row]]="","",Salary_Calculation[[#This Row],[Orders Counted at Base Rate]]*Salary_Calculation[[#This Row],[Base Order Rate]])</f>
        <v/>
      </c>
      <c r="M96" s="165" t="str">
        <f aca="false">IF(Salary_Calculation[[#This Row],[Source Row]]="","",MAX(Salary_Calculation[[#This Row],[Rider Target Orders]]-N(Salary_Calculation[[#This Row],[Completed Orders]]),0))</f>
        <v/>
      </c>
      <c r="N96" s="164" t="str">
        <f aca="false">IF(Salary_Calculation[[#This Row],[Source Row]]="","",Salary_Calculation[[#This Row],[Missing Orders]]*Missing_Rate)</f>
        <v/>
      </c>
      <c r="O96" s="165" t="str">
        <f aca="false">IF(Salary_Calculation[[#This Row],[Source Row]]="","",MAX(N(Salary_Calculation[[#This Row],[Completed Orders]])-Salary_Calculation[[#This Row],[Rider Target Orders]],0))</f>
        <v/>
      </c>
      <c r="P96" s="164" t="str">
        <f aca="false">IF(Salary_Calculation[[#This Row],[Source Row]]="","",Salary_Calculation[[#This Row],[Extra Orders]]*Extra_Rate)</f>
        <v/>
      </c>
      <c r="Q96" s="164" t="str">
        <f aca="false">IF(Salary_Calculation[[#This Row],[Source Row]]="","",MAX(Salary_Calculation[[#This Row],[Salary Before Other Deductions]],0))</f>
        <v/>
      </c>
      <c r="R96" s="164" t="str">
        <f aca="false">IF(Salary_Calculation[[#This Row],[Source Row]]="","",N(INDEX(Rider_Input[missed_days_penalty],Salary_Calculation[[#This Row],[Source Row]])))</f>
        <v/>
      </c>
      <c r="S96" s="164" t="str">
        <f aca="false">IF(Salary_Calculation[[#This Row],[Source Row]]="","",N(INDEX(Rider_Input[Rider Balance / محفظة المندوب],Salary_Calculation[[#This Row],[Source Row]])))</f>
        <v/>
      </c>
      <c r="T96" s="164" t="str">
        <f aca="false">IF(Salary_Calculation[[#This Row],[Source Row]]="","",N(INDEX(Rider_Input[stacking_deduction / خصم الطلبات المتعددة],Salary_Calculation[[#This Row],[Source Row]])))</f>
        <v/>
      </c>
      <c r="U96" s="164" t="str">
        <f aca="false">IF(Salary_Calculation[[#This Row],[Source Row]]="","",N(INDEX(Rider_Input[Other Deductions],Salary_Calculation[[#This Row],[Source Row]])))</f>
        <v/>
      </c>
      <c r="V96" s="164" t="str">
        <f aca="false">IF(Salary_Calculation[[#This Row],[Source Row]]="","",N(Salary_Calculation[[#This Row],[missed_days_penalty]])+N(Salary_Calculation[[#This Row],[Rider Balance]])+N(Salary_Calculation[[#This Row],[stacking_deduction]])+N(Salary_Calculation[[#This Row],[Other Deductions]]))</f>
        <v/>
      </c>
      <c r="W96" s="167" t="str">
        <f aca="false">IF(Salary_Calculation[[#This Row],[Source Row]]="","",ROUND(MAX(Salary_Calculation[[#This Row],[Gross Salary Before Deductions]]-Salary_Calculation[[#This Row],[Total Deductions]],0),2))</f>
        <v/>
      </c>
      <c r="X96" s="164" t="str">
        <f aca="false">IF(Salary_Calculation[[#This Row],[Source Row]]="","",ROUND(MAX(Salary_Calculation[[#This Row],[Missing-Order Deduction]]-Salary_Calculation[[#This Row],[Earned Salary]],0),2))</f>
        <v/>
      </c>
      <c r="Y9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96" s="163" t="str">
        <f aca="false">IF(Salary_Calculation[[#This Row],[Source Row]]="","",IF(INDEX(Rider_Input[Notes],Salary_Calculation[[#This Row],[Source Row]])="","",INDEX(Rider_Input[Notes],Salary_Calculation[[#This Row],[Source Row]])))</f>
        <v/>
      </c>
      <c r="AA96" s="164" t="str">
        <f aca="false">IF(Salary_Calculation[[#This Row],[Source Row]]="","",Salary_Calculation[[#This Row],[Earned Salary]]-Salary_Calculation[[#This Row],[Missing-Order Deduction]]+Salary_Calculation[[#This Row],[Extra-Order Bonus]])</f>
        <v/>
      </c>
      <c r="AB96" s="164" t="str">
        <f aca="false">IF(Salary_Calculation[[#This Row],[Source Row]]="","",ROUND(Salary_Calculation[[#This Row],[Negative Balance / Amount Due from Rider]]+MAX(Salary_Calculation[[#This Row],[Total Deductions]]-Salary_Calculation[[#This Row],[Gross Salary Before Deductions]],0),2))</f>
        <v/>
      </c>
      <c r="AC9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96" s="164" t="str">
        <f aca="false">IF(Salary_Calculation[[#This Row],[Source Row]]="","",Salary_Calculation[[#This Row],[Rider Target Orders]]*Salary_Calculation[[#This Row],[Base Order Rate]])</f>
        <v/>
      </c>
      <c r="AE96" s="162" t="str">
        <f aca="false">IF(SUMPRODUCT(--(LEN(INDEX(Rider_Input[#Data],ROW()-ROW(Salary_Calculation[#Headers]),0))&gt;0))=0,"",ROW()-ROW(Salary_Calculation[#Headers]))</f>
        <v/>
      </c>
    </row>
    <row r="97" customFormat="false" ht="14.25" hidden="false" customHeight="false" outlineLevel="0" collapsed="false">
      <c r="A97" s="161" t="str">
        <f aca="false">IF(Salary_Calculation[[#This Row],[Source Row]]="","",IF(INDEX(Rider_Input[Salary Month],Salary_Calculation[[#This Row],[Source Row]])="","",INDEX(Rider_Input[Salary Month],Salary_Calculation[[#This Row],[Source Row]])))</f>
        <v/>
      </c>
      <c r="B97" s="162" t="str">
        <f aca="false">IF(Salary_Calculation[[#This Row],[Source Row]]="","",IF(INDEX(Rider_Input[Rider ID],Salary_Calculation[[#This Row],[Source Row]])="","",INDEX(Rider_Input[Rider ID],Salary_Calculation[[#This Row],[Source Row]])))</f>
        <v/>
      </c>
      <c r="C97" s="163" t="str">
        <f aca="false">IF(Salary_Calculation[[#This Row],[Source Row]]="","",IF(INDEX(Rider_Input[Rider Name],Salary_Calculation[[#This Row],[Source Row]])="","",INDEX(Rider_Input[Rider Name],Salary_Calculation[[#This Row],[Source Row]])))</f>
        <v/>
      </c>
      <c r="D97" s="164" t="str">
        <f aca="false">IF(Salary_Calculation[[#This Row],[Source Row]]="","",IF(INDEX(Rider_Input[Basic Payment],Salary_Calculation[[#This Row],[Source Row]])="","",INDEX(Rider_Input[Basic Payment],Salary_Calculation[[#This Row],[Source Row]])))</f>
        <v/>
      </c>
      <c r="E97" s="162" t="str">
        <f aca="false">IF(Salary_Calculation[[#This Row],[Source Row]]="","",IF(INDEX(Rider_Input[Calendar Days in Month],Salary_Calculation[[#This Row],[Source Row]])="","",INDEX(Rider_Input[Calendar Days in Month],Salary_Calculation[[#This Row],[Source Row]])))</f>
        <v/>
      </c>
      <c r="F97" s="162" t="str">
        <f aca="false">IF(Salary_Calculation[[#This Row],[Source Row]]="","",IF(INDEX(Rider_Input[Working Days],Salary_Calculation[[#This Row],[Source Row]])="","",INDEX(Rider_Input[Working Days],Salary_Calculation[[#This Row],[Source Row]])))</f>
        <v/>
      </c>
      <c r="G97" s="165" t="str">
        <f aca="false">IF(Salary_Calculation[[#This Row],[Source Row]]="","",Std_Orders/Std_Days*N(Salary_Calculation[[#This Row],[Calendar Days]]))</f>
        <v/>
      </c>
      <c r="H97" s="165" t="str">
        <f aca="false">IF(Salary_Calculation[[#This Row],[Source Row]]="","",IF(N(Salary_Calculation[[#This Row],[Calendar Days]])&gt;0,Salary_Calculation[[#This Row],[Monthly Target Orders]]/N(Salary_Calculation[[#This Row],[Calendar Days]])*N(Salary_Calculation[[#This Row],[Working Days]]),0))</f>
        <v/>
      </c>
      <c r="I97" s="166" t="str">
        <f aca="false">IF(Salary_Calculation[[#This Row],[Source Row]]="","",IF(INDEX(Rider_Input[Completed Orders],Salary_Calculation[[#This Row],[Source Row]])="","",INDEX(Rider_Input[Completed Orders],Salary_Calculation[[#This Row],[Source Row]])))</f>
        <v/>
      </c>
      <c r="J97" s="165" t="str">
        <f aca="false">IF(Salary_Calculation[[#This Row],[Source Row]]="","",IF(Rate_Method="Fixed rate",Fixed_Rate,IF(N(Salary_Calculation[[#This Row],[Basic Payment]])&gt;0,N(Salary_Calculation[[#This Row],[Basic Payment]])/Std_Orders,0)))</f>
        <v/>
      </c>
      <c r="K97" s="165" t="str">
        <f aca="false">IF(Salary_Calculation[[#This Row],[Source Row]]="","",MAX(MIN(N(Salary_Calculation[[#This Row],[Completed Orders]]),Salary_Calculation[[#This Row],[Rider Target Orders]]),0))</f>
        <v/>
      </c>
      <c r="L97" s="164" t="str">
        <f aca="false">IF(Salary_Calculation[[#This Row],[Source Row]]="","",Salary_Calculation[[#This Row],[Orders Counted at Base Rate]]*Salary_Calculation[[#This Row],[Base Order Rate]])</f>
        <v/>
      </c>
      <c r="M97" s="165" t="str">
        <f aca="false">IF(Salary_Calculation[[#This Row],[Source Row]]="","",MAX(Salary_Calculation[[#This Row],[Rider Target Orders]]-N(Salary_Calculation[[#This Row],[Completed Orders]]),0))</f>
        <v/>
      </c>
      <c r="N97" s="164" t="str">
        <f aca="false">IF(Salary_Calculation[[#This Row],[Source Row]]="","",Salary_Calculation[[#This Row],[Missing Orders]]*Missing_Rate)</f>
        <v/>
      </c>
      <c r="O97" s="165" t="str">
        <f aca="false">IF(Salary_Calculation[[#This Row],[Source Row]]="","",MAX(N(Salary_Calculation[[#This Row],[Completed Orders]])-Salary_Calculation[[#This Row],[Rider Target Orders]],0))</f>
        <v/>
      </c>
      <c r="P97" s="164" t="str">
        <f aca="false">IF(Salary_Calculation[[#This Row],[Source Row]]="","",Salary_Calculation[[#This Row],[Extra Orders]]*Extra_Rate)</f>
        <v/>
      </c>
      <c r="Q97" s="164" t="str">
        <f aca="false">IF(Salary_Calculation[[#This Row],[Source Row]]="","",MAX(Salary_Calculation[[#This Row],[Salary Before Other Deductions]],0))</f>
        <v/>
      </c>
      <c r="R97" s="164" t="str">
        <f aca="false">IF(Salary_Calculation[[#This Row],[Source Row]]="","",N(INDEX(Rider_Input[missed_days_penalty],Salary_Calculation[[#This Row],[Source Row]])))</f>
        <v/>
      </c>
      <c r="S97" s="164" t="str">
        <f aca="false">IF(Salary_Calculation[[#This Row],[Source Row]]="","",N(INDEX(Rider_Input[Rider Balance / محفظة المندوب],Salary_Calculation[[#This Row],[Source Row]])))</f>
        <v/>
      </c>
      <c r="T97" s="164" t="str">
        <f aca="false">IF(Salary_Calculation[[#This Row],[Source Row]]="","",N(INDEX(Rider_Input[stacking_deduction / خصم الطلبات المتعددة],Salary_Calculation[[#This Row],[Source Row]])))</f>
        <v/>
      </c>
      <c r="U97" s="164" t="str">
        <f aca="false">IF(Salary_Calculation[[#This Row],[Source Row]]="","",N(INDEX(Rider_Input[Other Deductions],Salary_Calculation[[#This Row],[Source Row]])))</f>
        <v/>
      </c>
      <c r="V97" s="164" t="str">
        <f aca="false">IF(Salary_Calculation[[#This Row],[Source Row]]="","",N(Salary_Calculation[[#This Row],[missed_days_penalty]])+N(Salary_Calculation[[#This Row],[Rider Balance]])+N(Salary_Calculation[[#This Row],[stacking_deduction]])+N(Salary_Calculation[[#This Row],[Other Deductions]]))</f>
        <v/>
      </c>
      <c r="W97" s="167" t="str">
        <f aca="false">IF(Salary_Calculation[[#This Row],[Source Row]]="","",ROUND(MAX(Salary_Calculation[[#This Row],[Gross Salary Before Deductions]]-Salary_Calculation[[#This Row],[Total Deductions]],0),2))</f>
        <v/>
      </c>
      <c r="X97" s="164" t="str">
        <f aca="false">IF(Salary_Calculation[[#This Row],[Source Row]]="","",ROUND(MAX(Salary_Calculation[[#This Row],[Missing-Order Deduction]]-Salary_Calculation[[#This Row],[Earned Salary]],0),2))</f>
        <v/>
      </c>
      <c r="Y9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97" s="163" t="str">
        <f aca="false">IF(Salary_Calculation[[#This Row],[Source Row]]="","",IF(INDEX(Rider_Input[Notes],Salary_Calculation[[#This Row],[Source Row]])="","",INDEX(Rider_Input[Notes],Salary_Calculation[[#This Row],[Source Row]])))</f>
        <v/>
      </c>
      <c r="AA97" s="164" t="str">
        <f aca="false">IF(Salary_Calculation[[#This Row],[Source Row]]="","",Salary_Calculation[[#This Row],[Earned Salary]]-Salary_Calculation[[#This Row],[Missing-Order Deduction]]+Salary_Calculation[[#This Row],[Extra-Order Bonus]])</f>
        <v/>
      </c>
      <c r="AB97" s="164" t="str">
        <f aca="false">IF(Salary_Calculation[[#This Row],[Source Row]]="","",ROUND(Salary_Calculation[[#This Row],[Negative Balance / Amount Due from Rider]]+MAX(Salary_Calculation[[#This Row],[Total Deductions]]-Salary_Calculation[[#This Row],[Gross Salary Before Deductions]],0),2))</f>
        <v/>
      </c>
      <c r="AC9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97" s="164" t="str">
        <f aca="false">IF(Salary_Calculation[[#This Row],[Source Row]]="","",Salary_Calculation[[#This Row],[Rider Target Orders]]*Salary_Calculation[[#This Row],[Base Order Rate]])</f>
        <v/>
      </c>
      <c r="AE97" s="162" t="str">
        <f aca="false">IF(SUMPRODUCT(--(LEN(INDEX(Rider_Input[#Data],ROW()-ROW(Salary_Calculation[#Headers]),0))&gt;0))=0,"",ROW()-ROW(Salary_Calculation[#Headers]))</f>
        <v/>
      </c>
    </row>
    <row r="98" customFormat="false" ht="14.25" hidden="false" customHeight="false" outlineLevel="0" collapsed="false">
      <c r="A98" s="161" t="str">
        <f aca="false">IF(Salary_Calculation[[#This Row],[Source Row]]="","",IF(INDEX(Rider_Input[Salary Month],Salary_Calculation[[#This Row],[Source Row]])="","",INDEX(Rider_Input[Salary Month],Salary_Calculation[[#This Row],[Source Row]])))</f>
        <v/>
      </c>
      <c r="B98" s="162" t="str">
        <f aca="false">IF(Salary_Calculation[[#This Row],[Source Row]]="","",IF(INDEX(Rider_Input[Rider ID],Salary_Calculation[[#This Row],[Source Row]])="","",INDEX(Rider_Input[Rider ID],Salary_Calculation[[#This Row],[Source Row]])))</f>
        <v/>
      </c>
      <c r="C98" s="163" t="str">
        <f aca="false">IF(Salary_Calculation[[#This Row],[Source Row]]="","",IF(INDEX(Rider_Input[Rider Name],Salary_Calculation[[#This Row],[Source Row]])="","",INDEX(Rider_Input[Rider Name],Salary_Calculation[[#This Row],[Source Row]])))</f>
        <v/>
      </c>
      <c r="D98" s="164" t="str">
        <f aca="false">IF(Salary_Calculation[[#This Row],[Source Row]]="","",IF(INDEX(Rider_Input[Basic Payment],Salary_Calculation[[#This Row],[Source Row]])="","",INDEX(Rider_Input[Basic Payment],Salary_Calculation[[#This Row],[Source Row]])))</f>
        <v/>
      </c>
      <c r="E98" s="162" t="str">
        <f aca="false">IF(Salary_Calculation[[#This Row],[Source Row]]="","",IF(INDEX(Rider_Input[Calendar Days in Month],Salary_Calculation[[#This Row],[Source Row]])="","",INDEX(Rider_Input[Calendar Days in Month],Salary_Calculation[[#This Row],[Source Row]])))</f>
        <v/>
      </c>
      <c r="F98" s="162" t="str">
        <f aca="false">IF(Salary_Calculation[[#This Row],[Source Row]]="","",IF(INDEX(Rider_Input[Working Days],Salary_Calculation[[#This Row],[Source Row]])="","",INDEX(Rider_Input[Working Days],Salary_Calculation[[#This Row],[Source Row]])))</f>
        <v/>
      </c>
      <c r="G98" s="165" t="str">
        <f aca="false">IF(Salary_Calculation[[#This Row],[Source Row]]="","",Std_Orders/Std_Days*N(Salary_Calculation[[#This Row],[Calendar Days]]))</f>
        <v/>
      </c>
      <c r="H98" s="165" t="str">
        <f aca="false">IF(Salary_Calculation[[#This Row],[Source Row]]="","",IF(N(Salary_Calculation[[#This Row],[Calendar Days]])&gt;0,Salary_Calculation[[#This Row],[Monthly Target Orders]]/N(Salary_Calculation[[#This Row],[Calendar Days]])*N(Salary_Calculation[[#This Row],[Working Days]]),0))</f>
        <v/>
      </c>
      <c r="I98" s="166" t="str">
        <f aca="false">IF(Salary_Calculation[[#This Row],[Source Row]]="","",IF(INDEX(Rider_Input[Completed Orders],Salary_Calculation[[#This Row],[Source Row]])="","",INDEX(Rider_Input[Completed Orders],Salary_Calculation[[#This Row],[Source Row]])))</f>
        <v/>
      </c>
      <c r="J98" s="165" t="str">
        <f aca="false">IF(Salary_Calculation[[#This Row],[Source Row]]="","",IF(Rate_Method="Fixed rate",Fixed_Rate,IF(N(Salary_Calculation[[#This Row],[Basic Payment]])&gt;0,N(Salary_Calculation[[#This Row],[Basic Payment]])/Std_Orders,0)))</f>
        <v/>
      </c>
      <c r="K98" s="165" t="str">
        <f aca="false">IF(Salary_Calculation[[#This Row],[Source Row]]="","",MAX(MIN(N(Salary_Calculation[[#This Row],[Completed Orders]]),Salary_Calculation[[#This Row],[Rider Target Orders]]),0))</f>
        <v/>
      </c>
      <c r="L98" s="164" t="str">
        <f aca="false">IF(Salary_Calculation[[#This Row],[Source Row]]="","",Salary_Calculation[[#This Row],[Orders Counted at Base Rate]]*Salary_Calculation[[#This Row],[Base Order Rate]])</f>
        <v/>
      </c>
      <c r="M98" s="165" t="str">
        <f aca="false">IF(Salary_Calculation[[#This Row],[Source Row]]="","",MAX(Salary_Calculation[[#This Row],[Rider Target Orders]]-N(Salary_Calculation[[#This Row],[Completed Orders]]),0))</f>
        <v/>
      </c>
      <c r="N98" s="164" t="str">
        <f aca="false">IF(Salary_Calculation[[#This Row],[Source Row]]="","",Salary_Calculation[[#This Row],[Missing Orders]]*Missing_Rate)</f>
        <v/>
      </c>
      <c r="O98" s="165" t="str">
        <f aca="false">IF(Salary_Calculation[[#This Row],[Source Row]]="","",MAX(N(Salary_Calculation[[#This Row],[Completed Orders]])-Salary_Calculation[[#This Row],[Rider Target Orders]],0))</f>
        <v/>
      </c>
      <c r="P98" s="164" t="str">
        <f aca="false">IF(Salary_Calculation[[#This Row],[Source Row]]="","",Salary_Calculation[[#This Row],[Extra Orders]]*Extra_Rate)</f>
        <v/>
      </c>
      <c r="Q98" s="164" t="str">
        <f aca="false">IF(Salary_Calculation[[#This Row],[Source Row]]="","",MAX(Salary_Calculation[[#This Row],[Salary Before Other Deductions]],0))</f>
        <v/>
      </c>
      <c r="R98" s="164" t="str">
        <f aca="false">IF(Salary_Calculation[[#This Row],[Source Row]]="","",N(INDEX(Rider_Input[missed_days_penalty],Salary_Calculation[[#This Row],[Source Row]])))</f>
        <v/>
      </c>
      <c r="S98" s="164" t="str">
        <f aca="false">IF(Salary_Calculation[[#This Row],[Source Row]]="","",N(INDEX(Rider_Input[Rider Balance / محفظة المندوب],Salary_Calculation[[#This Row],[Source Row]])))</f>
        <v/>
      </c>
      <c r="T98" s="164" t="str">
        <f aca="false">IF(Salary_Calculation[[#This Row],[Source Row]]="","",N(INDEX(Rider_Input[stacking_deduction / خصم الطلبات المتعددة],Salary_Calculation[[#This Row],[Source Row]])))</f>
        <v/>
      </c>
      <c r="U98" s="164" t="str">
        <f aca="false">IF(Salary_Calculation[[#This Row],[Source Row]]="","",N(INDEX(Rider_Input[Other Deductions],Salary_Calculation[[#This Row],[Source Row]])))</f>
        <v/>
      </c>
      <c r="V98" s="164" t="str">
        <f aca="false">IF(Salary_Calculation[[#This Row],[Source Row]]="","",N(Salary_Calculation[[#This Row],[missed_days_penalty]])+N(Salary_Calculation[[#This Row],[Rider Balance]])+N(Salary_Calculation[[#This Row],[stacking_deduction]])+N(Salary_Calculation[[#This Row],[Other Deductions]]))</f>
        <v/>
      </c>
      <c r="W98" s="167" t="str">
        <f aca="false">IF(Salary_Calculation[[#This Row],[Source Row]]="","",ROUND(MAX(Salary_Calculation[[#This Row],[Gross Salary Before Deductions]]-Salary_Calculation[[#This Row],[Total Deductions]],0),2))</f>
        <v/>
      </c>
      <c r="X98" s="164" t="str">
        <f aca="false">IF(Salary_Calculation[[#This Row],[Source Row]]="","",ROUND(MAX(Salary_Calculation[[#This Row],[Missing-Order Deduction]]-Salary_Calculation[[#This Row],[Earned Salary]],0),2))</f>
        <v/>
      </c>
      <c r="Y9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98" s="163" t="str">
        <f aca="false">IF(Salary_Calculation[[#This Row],[Source Row]]="","",IF(INDEX(Rider_Input[Notes],Salary_Calculation[[#This Row],[Source Row]])="","",INDEX(Rider_Input[Notes],Salary_Calculation[[#This Row],[Source Row]])))</f>
        <v/>
      </c>
      <c r="AA98" s="164" t="str">
        <f aca="false">IF(Salary_Calculation[[#This Row],[Source Row]]="","",Salary_Calculation[[#This Row],[Earned Salary]]-Salary_Calculation[[#This Row],[Missing-Order Deduction]]+Salary_Calculation[[#This Row],[Extra-Order Bonus]])</f>
        <v/>
      </c>
      <c r="AB98" s="164" t="str">
        <f aca="false">IF(Salary_Calculation[[#This Row],[Source Row]]="","",ROUND(Salary_Calculation[[#This Row],[Negative Balance / Amount Due from Rider]]+MAX(Salary_Calculation[[#This Row],[Total Deductions]]-Salary_Calculation[[#This Row],[Gross Salary Before Deductions]],0),2))</f>
        <v/>
      </c>
      <c r="AC9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98" s="164" t="str">
        <f aca="false">IF(Salary_Calculation[[#This Row],[Source Row]]="","",Salary_Calculation[[#This Row],[Rider Target Orders]]*Salary_Calculation[[#This Row],[Base Order Rate]])</f>
        <v/>
      </c>
      <c r="AE98" s="162" t="str">
        <f aca="false">IF(SUMPRODUCT(--(LEN(INDEX(Rider_Input[#Data],ROW()-ROW(Salary_Calculation[#Headers]),0))&gt;0))=0,"",ROW()-ROW(Salary_Calculation[#Headers]))</f>
        <v/>
      </c>
    </row>
    <row r="99" customFormat="false" ht="14.25" hidden="false" customHeight="false" outlineLevel="0" collapsed="false">
      <c r="A99" s="161" t="str">
        <f aca="false">IF(Salary_Calculation[[#This Row],[Source Row]]="","",IF(INDEX(Rider_Input[Salary Month],Salary_Calculation[[#This Row],[Source Row]])="","",INDEX(Rider_Input[Salary Month],Salary_Calculation[[#This Row],[Source Row]])))</f>
        <v/>
      </c>
      <c r="B99" s="162" t="str">
        <f aca="false">IF(Salary_Calculation[[#This Row],[Source Row]]="","",IF(INDEX(Rider_Input[Rider ID],Salary_Calculation[[#This Row],[Source Row]])="","",INDEX(Rider_Input[Rider ID],Salary_Calculation[[#This Row],[Source Row]])))</f>
        <v/>
      </c>
      <c r="C99" s="163" t="str">
        <f aca="false">IF(Salary_Calculation[[#This Row],[Source Row]]="","",IF(INDEX(Rider_Input[Rider Name],Salary_Calculation[[#This Row],[Source Row]])="","",INDEX(Rider_Input[Rider Name],Salary_Calculation[[#This Row],[Source Row]])))</f>
        <v/>
      </c>
      <c r="D99" s="164" t="str">
        <f aca="false">IF(Salary_Calculation[[#This Row],[Source Row]]="","",IF(INDEX(Rider_Input[Basic Payment],Salary_Calculation[[#This Row],[Source Row]])="","",INDEX(Rider_Input[Basic Payment],Salary_Calculation[[#This Row],[Source Row]])))</f>
        <v/>
      </c>
      <c r="E99" s="162" t="str">
        <f aca="false">IF(Salary_Calculation[[#This Row],[Source Row]]="","",IF(INDEX(Rider_Input[Calendar Days in Month],Salary_Calculation[[#This Row],[Source Row]])="","",INDEX(Rider_Input[Calendar Days in Month],Salary_Calculation[[#This Row],[Source Row]])))</f>
        <v/>
      </c>
      <c r="F99" s="162" t="str">
        <f aca="false">IF(Salary_Calculation[[#This Row],[Source Row]]="","",IF(INDEX(Rider_Input[Working Days],Salary_Calculation[[#This Row],[Source Row]])="","",INDEX(Rider_Input[Working Days],Salary_Calculation[[#This Row],[Source Row]])))</f>
        <v/>
      </c>
      <c r="G99" s="165" t="str">
        <f aca="false">IF(Salary_Calculation[[#This Row],[Source Row]]="","",Std_Orders/Std_Days*N(Salary_Calculation[[#This Row],[Calendar Days]]))</f>
        <v/>
      </c>
      <c r="H99" s="165" t="str">
        <f aca="false">IF(Salary_Calculation[[#This Row],[Source Row]]="","",IF(N(Salary_Calculation[[#This Row],[Calendar Days]])&gt;0,Salary_Calculation[[#This Row],[Monthly Target Orders]]/N(Salary_Calculation[[#This Row],[Calendar Days]])*N(Salary_Calculation[[#This Row],[Working Days]]),0))</f>
        <v/>
      </c>
      <c r="I99" s="166" t="str">
        <f aca="false">IF(Salary_Calculation[[#This Row],[Source Row]]="","",IF(INDEX(Rider_Input[Completed Orders],Salary_Calculation[[#This Row],[Source Row]])="","",INDEX(Rider_Input[Completed Orders],Salary_Calculation[[#This Row],[Source Row]])))</f>
        <v/>
      </c>
      <c r="J99" s="165" t="str">
        <f aca="false">IF(Salary_Calculation[[#This Row],[Source Row]]="","",IF(Rate_Method="Fixed rate",Fixed_Rate,IF(N(Salary_Calculation[[#This Row],[Basic Payment]])&gt;0,N(Salary_Calculation[[#This Row],[Basic Payment]])/Std_Orders,0)))</f>
        <v/>
      </c>
      <c r="K99" s="165" t="str">
        <f aca="false">IF(Salary_Calculation[[#This Row],[Source Row]]="","",MAX(MIN(N(Salary_Calculation[[#This Row],[Completed Orders]]),Salary_Calculation[[#This Row],[Rider Target Orders]]),0))</f>
        <v/>
      </c>
      <c r="L99" s="164" t="str">
        <f aca="false">IF(Salary_Calculation[[#This Row],[Source Row]]="","",Salary_Calculation[[#This Row],[Orders Counted at Base Rate]]*Salary_Calculation[[#This Row],[Base Order Rate]])</f>
        <v/>
      </c>
      <c r="M99" s="165" t="str">
        <f aca="false">IF(Salary_Calculation[[#This Row],[Source Row]]="","",MAX(Salary_Calculation[[#This Row],[Rider Target Orders]]-N(Salary_Calculation[[#This Row],[Completed Orders]]),0))</f>
        <v/>
      </c>
      <c r="N99" s="164" t="str">
        <f aca="false">IF(Salary_Calculation[[#This Row],[Source Row]]="","",Salary_Calculation[[#This Row],[Missing Orders]]*Missing_Rate)</f>
        <v/>
      </c>
      <c r="O99" s="165" t="str">
        <f aca="false">IF(Salary_Calculation[[#This Row],[Source Row]]="","",MAX(N(Salary_Calculation[[#This Row],[Completed Orders]])-Salary_Calculation[[#This Row],[Rider Target Orders]],0))</f>
        <v/>
      </c>
      <c r="P99" s="164" t="str">
        <f aca="false">IF(Salary_Calculation[[#This Row],[Source Row]]="","",Salary_Calculation[[#This Row],[Extra Orders]]*Extra_Rate)</f>
        <v/>
      </c>
      <c r="Q99" s="164" t="str">
        <f aca="false">IF(Salary_Calculation[[#This Row],[Source Row]]="","",MAX(Salary_Calculation[[#This Row],[Salary Before Other Deductions]],0))</f>
        <v/>
      </c>
      <c r="R99" s="164" t="str">
        <f aca="false">IF(Salary_Calculation[[#This Row],[Source Row]]="","",N(INDEX(Rider_Input[missed_days_penalty],Salary_Calculation[[#This Row],[Source Row]])))</f>
        <v/>
      </c>
      <c r="S99" s="164" t="str">
        <f aca="false">IF(Salary_Calculation[[#This Row],[Source Row]]="","",N(INDEX(Rider_Input[Rider Balance / محفظة المندوب],Salary_Calculation[[#This Row],[Source Row]])))</f>
        <v/>
      </c>
      <c r="T99" s="164" t="str">
        <f aca="false">IF(Salary_Calculation[[#This Row],[Source Row]]="","",N(INDEX(Rider_Input[stacking_deduction / خصم الطلبات المتعددة],Salary_Calculation[[#This Row],[Source Row]])))</f>
        <v/>
      </c>
      <c r="U99" s="164" t="str">
        <f aca="false">IF(Salary_Calculation[[#This Row],[Source Row]]="","",N(INDEX(Rider_Input[Other Deductions],Salary_Calculation[[#This Row],[Source Row]])))</f>
        <v/>
      </c>
      <c r="V99" s="164" t="str">
        <f aca="false">IF(Salary_Calculation[[#This Row],[Source Row]]="","",N(Salary_Calculation[[#This Row],[missed_days_penalty]])+N(Salary_Calculation[[#This Row],[Rider Balance]])+N(Salary_Calculation[[#This Row],[stacking_deduction]])+N(Salary_Calculation[[#This Row],[Other Deductions]]))</f>
        <v/>
      </c>
      <c r="W99" s="167" t="str">
        <f aca="false">IF(Salary_Calculation[[#This Row],[Source Row]]="","",ROUND(MAX(Salary_Calculation[[#This Row],[Gross Salary Before Deductions]]-Salary_Calculation[[#This Row],[Total Deductions]],0),2))</f>
        <v/>
      </c>
      <c r="X99" s="164" t="str">
        <f aca="false">IF(Salary_Calculation[[#This Row],[Source Row]]="","",ROUND(MAX(Salary_Calculation[[#This Row],[Missing-Order Deduction]]-Salary_Calculation[[#This Row],[Earned Salary]],0),2))</f>
        <v/>
      </c>
      <c r="Y9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99" s="163" t="str">
        <f aca="false">IF(Salary_Calculation[[#This Row],[Source Row]]="","",IF(INDEX(Rider_Input[Notes],Salary_Calculation[[#This Row],[Source Row]])="","",INDEX(Rider_Input[Notes],Salary_Calculation[[#This Row],[Source Row]])))</f>
        <v/>
      </c>
      <c r="AA99" s="164" t="str">
        <f aca="false">IF(Salary_Calculation[[#This Row],[Source Row]]="","",Salary_Calculation[[#This Row],[Earned Salary]]-Salary_Calculation[[#This Row],[Missing-Order Deduction]]+Salary_Calculation[[#This Row],[Extra-Order Bonus]])</f>
        <v/>
      </c>
      <c r="AB99" s="164" t="str">
        <f aca="false">IF(Salary_Calculation[[#This Row],[Source Row]]="","",ROUND(Salary_Calculation[[#This Row],[Negative Balance / Amount Due from Rider]]+MAX(Salary_Calculation[[#This Row],[Total Deductions]]-Salary_Calculation[[#This Row],[Gross Salary Before Deductions]],0),2))</f>
        <v/>
      </c>
      <c r="AC9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99" s="164" t="str">
        <f aca="false">IF(Salary_Calculation[[#This Row],[Source Row]]="","",Salary_Calculation[[#This Row],[Rider Target Orders]]*Salary_Calculation[[#This Row],[Base Order Rate]])</f>
        <v/>
      </c>
      <c r="AE99" s="162" t="str">
        <f aca="false">IF(SUMPRODUCT(--(LEN(INDEX(Rider_Input[#Data],ROW()-ROW(Salary_Calculation[#Headers]),0))&gt;0))=0,"",ROW()-ROW(Salary_Calculation[#Headers]))</f>
        <v/>
      </c>
    </row>
    <row r="100" customFormat="false" ht="14.25" hidden="false" customHeight="false" outlineLevel="0" collapsed="false">
      <c r="A100" s="161" t="str">
        <f aca="false">IF(Salary_Calculation[[#This Row],[Source Row]]="","",IF(INDEX(Rider_Input[Salary Month],Salary_Calculation[[#This Row],[Source Row]])="","",INDEX(Rider_Input[Salary Month],Salary_Calculation[[#This Row],[Source Row]])))</f>
        <v/>
      </c>
      <c r="B100" s="162" t="str">
        <f aca="false">IF(Salary_Calculation[[#This Row],[Source Row]]="","",IF(INDEX(Rider_Input[Rider ID],Salary_Calculation[[#This Row],[Source Row]])="","",INDEX(Rider_Input[Rider ID],Salary_Calculation[[#This Row],[Source Row]])))</f>
        <v/>
      </c>
      <c r="C100" s="163" t="str">
        <f aca="false">IF(Salary_Calculation[[#This Row],[Source Row]]="","",IF(INDEX(Rider_Input[Rider Name],Salary_Calculation[[#This Row],[Source Row]])="","",INDEX(Rider_Input[Rider Name],Salary_Calculation[[#This Row],[Source Row]])))</f>
        <v/>
      </c>
      <c r="D100" s="164" t="str">
        <f aca="false">IF(Salary_Calculation[[#This Row],[Source Row]]="","",IF(INDEX(Rider_Input[Basic Payment],Salary_Calculation[[#This Row],[Source Row]])="","",INDEX(Rider_Input[Basic Payment],Salary_Calculation[[#This Row],[Source Row]])))</f>
        <v/>
      </c>
      <c r="E100" s="162" t="str">
        <f aca="false">IF(Salary_Calculation[[#This Row],[Source Row]]="","",IF(INDEX(Rider_Input[Calendar Days in Month],Salary_Calculation[[#This Row],[Source Row]])="","",INDEX(Rider_Input[Calendar Days in Month],Salary_Calculation[[#This Row],[Source Row]])))</f>
        <v/>
      </c>
      <c r="F100" s="162" t="str">
        <f aca="false">IF(Salary_Calculation[[#This Row],[Source Row]]="","",IF(INDEX(Rider_Input[Working Days],Salary_Calculation[[#This Row],[Source Row]])="","",INDEX(Rider_Input[Working Days],Salary_Calculation[[#This Row],[Source Row]])))</f>
        <v/>
      </c>
      <c r="G100" s="165" t="str">
        <f aca="false">IF(Salary_Calculation[[#This Row],[Source Row]]="","",Std_Orders/Std_Days*N(Salary_Calculation[[#This Row],[Calendar Days]]))</f>
        <v/>
      </c>
      <c r="H100" s="165" t="str">
        <f aca="false">IF(Salary_Calculation[[#This Row],[Source Row]]="","",IF(N(Salary_Calculation[[#This Row],[Calendar Days]])&gt;0,Salary_Calculation[[#This Row],[Monthly Target Orders]]/N(Salary_Calculation[[#This Row],[Calendar Days]])*N(Salary_Calculation[[#This Row],[Working Days]]),0))</f>
        <v/>
      </c>
      <c r="I100" s="166" t="str">
        <f aca="false">IF(Salary_Calculation[[#This Row],[Source Row]]="","",IF(INDEX(Rider_Input[Completed Orders],Salary_Calculation[[#This Row],[Source Row]])="","",INDEX(Rider_Input[Completed Orders],Salary_Calculation[[#This Row],[Source Row]])))</f>
        <v/>
      </c>
      <c r="J100" s="165" t="str">
        <f aca="false">IF(Salary_Calculation[[#This Row],[Source Row]]="","",IF(Rate_Method="Fixed rate",Fixed_Rate,IF(N(Salary_Calculation[[#This Row],[Basic Payment]])&gt;0,N(Salary_Calculation[[#This Row],[Basic Payment]])/Std_Orders,0)))</f>
        <v/>
      </c>
      <c r="K100" s="165" t="str">
        <f aca="false">IF(Salary_Calculation[[#This Row],[Source Row]]="","",MAX(MIN(N(Salary_Calculation[[#This Row],[Completed Orders]]),Salary_Calculation[[#This Row],[Rider Target Orders]]),0))</f>
        <v/>
      </c>
      <c r="L100" s="164" t="str">
        <f aca="false">IF(Salary_Calculation[[#This Row],[Source Row]]="","",Salary_Calculation[[#This Row],[Orders Counted at Base Rate]]*Salary_Calculation[[#This Row],[Base Order Rate]])</f>
        <v/>
      </c>
      <c r="M100" s="165" t="str">
        <f aca="false">IF(Salary_Calculation[[#This Row],[Source Row]]="","",MAX(Salary_Calculation[[#This Row],[Rider Target Orders]]-N(Salary_Calculation[[#This Row],[Completed Orders]]),0))</f>
        <v/>
      </c>
      <c r="N100" s="164" t="str">
        <f aca="false">IF(Salary_Calculation[[#This Row],[Source Row]]="","",Salary_Calculation[[#This Row],[Missing Orders]]*Missing_Rate)</f>
        <v/>
      </c>
      <c r="O100" s="165" t="str">
        <f aca="false">IF(Salary_Calculation[[#This Row],[Source Row]]="","",MAX(N(Salary_Calculation[[#This Row],[Completed Orders]])-Salary_Calculation[[#This Row],[Rider Target Orders]],0))</f>
        <v/>
      </c>
      <c r="P100" s="164" t="str">
        <f aca="false">IF(Salary_Calculation[[#This Row],[Source Row]]="","",Salary_Calculation[[#This Row],[Extra Orders]]*Extra_Rate)</f>
        <v/>
      </c>
      <c r="Q100" s="164" t="str">
        <f aca="false">IF(Salary_Calculation[[#This Row],[Source Row]]="","",MAX(Salary_Calculation[[#This Row],[Salary Before Other Deductions]],0))</f>
        <v/>
      </c>
      <c r="R100" s="164" t="str">
        <f aca="false">IF(Salary_Calculation[[#This Row],[Source Row]]="","",N(INDEX(Rider_Input[missed_days_penalty],Salary_Calculation[[#This Row],[Source Row]])))</f>
        <v/>
      </c>
      <c r="S100" s="164" t="str">
        <f aca="false">IF(Salary_Calculation[[#This Row],[Source Row]]="","",N(INDEX(Rider_Input[Rider Balance / محفظة المندوب],Salary_Calculation[[#This Row],[Source Row]])))</f>
        <v/>
      </c>
      <c r="T100" s="164" t="str">
        <f aca="false">IF(Salary_Calculation[[#This Row],[Source Row]]="","",N(INDEX(Rider_Input[stacking_deduction / خصم الطلبات المتعددة],Salary_Calculation[[#This Row],[Source Row]])))</f>
        <v/>
      </c>
      <c r="U100" s="164" t="str">
        <f aca="false">IF(Salary_Calculation[[#This Row],[Source Row]]="","",N(INDEX(Rider_Input[Other Deductions],Salary_Calculation[[#This Row],[Source Row]])))</f>
        <v/>
      </c>
      <c r="V100" s="164" t="str">
        <f aca="false">IF(Salary_Calculation[[#This Row],[Source Row]]="","",N(Salary_Calculation[[#This Row],[missed_days_penalty]])+N(Salary_Calculation[[#This Row],[Rider Balance]])+N(Salary_Calculation[[#This Row],[stacking_deduction]])+N(Salary_Calculation[[#This Row],[Other Deductions]]))</f>
        <v/>
      </c>
      <c r="W100" s="167" t="str">
        <f aca="false">IF(Salary_Calculation[[#This Row],[Source Row]]="","",ROUND(MAX(Salary_Calculation[[#This Row],[Gross Salary Before Deductions]]-Salary_Calculation[[#This Row],[Total Deductions]],0),2))</f>
        <v/>
      </c>
      <c r="X100" s="164" t="str">
        <f aca="false">IF(Salary_Calculation[[#This Row],[Source Row]]="","",ROUND(MAX(Salary_Calculation[[#This Row],[Missing-Order Deduction]]-Salary_Calculation[[#This Row],[Earned Salary]],0),2))</f>
        <v/>
      </c>
      <c r="Y10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00" s="163" t="str">
        <f aca="false">IF(Salary_Calculation[[#This Row],[Source Row]]="","",IF(INDEX(Rider_Input[Notes],Salary_Calculation[[#This Row],[Source Row]])="","",INDEX(Rider_Input[Notes],Salary_Calculation[[#This Row],[Source Row]])))</f>
        <v/>
      </c>
      <c r="AA100" s="164" t="str">
        <f aca="false">IF(Salary_Calculation[[#This Row],[Source Row]]="","",Salary_Calculation[[#This Row],[Earned Salary]]-Salary_Calculation[[#This Row],[Missing-Order Deduction]]+Salary_Calculation[[#This Row],[Extra-Order Bonus]])</f>
        <v/>
      </c>
      <c r="AB100" s="164" t="str">
        <f aca="false">IF(Salary_Calculation[[#This Row],[Source Row]]="","",ROUND(Salary_Calculation[[#This Row],[Negative Balance / Amount Due from Rider]]+MAX(Salary_Calculation[[#This Row],[Total Deductions]]-Salary_Calculation[[#This Row],[Gross Salary Before Deductions]],0),2))</f>
        <v/>
      </c>
      <c r="AC10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00" s="164" t="str">
        <f aca="false">IF(Salary_Calculation[[#This Row],[Source Row]]="","",Salary_Calculation[[#This Row],[Rider Target Orders]]*Salary_Calculation[[#This Row],[Base Order Rate]])</f>
        <v/>
      </c>
      <c r="AE100" s="162" t="str">
        <f aca="false">IF(SUMPRODUCT(--(LEN(INDEX(Rider_Input[#Data],ROW()-ROW(Salary_Calculation[#Headers]),0))&gt;0))=0,"",ROW()-ROW(Salary_Calculation[#Headers]))</f>
        <v/>
      </c>
    </row>
    <row r="101" customFormat="false" ht="14.25" hidden="false" customHeight="false" outlineLevel="0" collapsed="false">
      <c r="A101" s="161" t="str">
        <f aca="false">IF(Salary_Calculation[[#This Row],[Source Row]]="","",IF(INDEX(Rider_Input[Salary Month],Salary_Calculation[[#This Row],[Source Row]])="","",INDEX(Rider_Input[Salary Month],Salary_Calculation[[#This Row],[Source Row]])))</f>
        <v/>
      </c>
      <c r="B101" s="162" t="str">
        <f aca="false">IF(Salary_Calculation[[#This Row],[Source Row]]="","",IF(INDEX(Rider_Input[Rider ID],Salary_Calculation[[#This Row],[Source Row]])="","",INDEX(Rider_Input[Rider ID],Salary_Calculation[[#This Row],[Source Row]])))</f>
        <v/>
      </c>
      <c r="C101" s="163" t="str">
        <f aca="false">IF(Salary_Calculation[[#This Row],[Source Row]]="","",IF(INDEX(Rider_Input[Rider Name],Salary_Calculation[[#This Row],[Source Row]])="","",INDEX(Rider_Input[Rider Name],Salary_Calculation[[#This Row],[Source Row]])))</f>
        <v/>
      </c>
      <c r="D101" s="164" t="str">
        <f aca="false">IF(Salary_Calculation[[#This Row],[Source Row]]="","",IF(INDEX(Rider_Input[Basic Payment],Salary_Calculation[[#This Row],[Source Row]])="","",INDEX(Rider_Input[Basic Payment],Salary_Calculation[[#This Row],[Source Row]])))</f>
        <v/>
      </c>
      <c r="E101" s="162" t="str">
        <f aca="false">IF(Salary_Calculation[[#This Row],[Source Row]]="","",IF(INDEX(Rider_Input[Calendar Days in Month],Salary_Calculation[[#This Row],[Source Row]])="","",INDEX(Rider_Input[Calendar Days in Month],Salary_Calculation[[#This Row],[Source Row]])))</f>
        <v/>
      </c>
      <c r="F101" s="162" t="str">
        <f aca="false">IF(Salary_Calculation[[#This Row],[Source Row]]="","",IF(INDEX(Rider_Input[Working Days],Salary_Calculation[[#This Row],[Source Row]])="","",INDEX(Rider_Input[Working Days],Salary_Calculation[[#This Row],[Source Row]])))</f>
        <v/>
      </c>
      <c r="G101" s="165" t="str">
        <f aca="false">IF(Salary_Calculation[[#This Row],[Source Row]]="","",Std_Orders/Std_Days*N(Salary_Calculation[[#This Row],[Calendar Days]]))</f>
        <v/>
      </c>
      <c r="H101" s="165" t="str">
        <f aca="false">IF(Salary_Calculation[[#This Row],[Source Row]]="","",IF(N(Salary_Calculation[[#This Row],[Calendar Days]])&gt;0,Salary_Calculation[[#This Row],[Monthly Target Orders]]/N(Salary_Calculation[[#This Row],[Calendar Days]])*N(Salary_Calculation[[#This Row],[Working Days]]),0))</f>
        <v/>
      </c>
      <c r="I101" s="166" t="str">
        <f aca="false">IF(Salary_Calculation[[#This Row],[Source Row]]="","",IF(INDEX(Rider_Input[Completed Orders],Salary_Calculation[[#This Row],[Source Row]])="","",INDEX(Rider_Input[Completed Orders],Salary_Calculation[[#This Row],[Source Row]])))</f>
        <v/>
      </c>
      <c r="J101" s="165" t="str">
        <f aca="false">IF(Salary_Calculation[[#This Row],[Source Row]]="","",IF(Rate_Method="Fixed rate",Fixed_Rate,IF(N(Salary_Calculation[[#This Row],[Basic Payment]])&gt;0,N(Salary_Calculation[[#This Row],[Basic Payment]])/Std_Orders,0)))</f>
        <v/>
      </c>
      <c r="K101" s="165" t="str">
        <f aca="false">IF(Salary_Calculation[[#This Row],[Source Row]]="","",MAX(MIN(N(Salary_Calculation[[#This Row],[Completed Orders]]),Salary_Calculation[[#This Row],[Rider Target Orders]]),0))</f>
        <v/>
      </c>
      <c r="L101" s="164" t="str">
        <f aca="false">IF(Salary_Calculation[[#This Row],[Source Row]]="","",Salary_Calculation[[#This Row],[Orders Counted at Base Rate]]*Salary_Calculation[[#This Row],[Base Order Rate]])</f>
        <v/>
      </c>
      <c r="M101" s="165" t="str">
        <f aca="false">IF(Salary_Calculation[[#This Row],[Source Row]]="","",MAX(Salary_Calculation[[#This Row],[Rider Target Orders]]-N(Salary_Calculation[[#This Row],[Completed Orders]]),0))</f>
        <v/>
      </c>
      <c r="N101" s="164" t="str">
        <f aca="false">IF(Salary_Calculation[[#This Row],[Source Row]]="","",Salary_Calculation[[#This Row],[Missing Orders]]*Missing_Rate)</f>
        <v/>
      </c>
      <c r="O101" s="165" t="str">
        <f aca="false">IF(Salary_Calculation[[#This Row],[Source Row]]="","",MAX(N(Salary_Calculation[[#This Row],[Completed Orders]])-Salary_Calculation[[#This Row],[Rider Target Orders]],0))</f>
        <v/>
      </c>
      <c r="P101" s="164" t="str">
        <f aca="false">IF(Salary_Calculation[[#This Row],[Source Row]]="","",Salary_Calculation[[#This Row],[Extra Orders]]*Extra_Rate)</f>
        <v/>
      </c>
      <c r="Q101" s="164" t="str">
        <f aca="false">IF(Salary_Calculation[[#This Row],[Source Row]]="","",MAX(Salary_Calculation[[#This Row],[Salary Before Other Deductions]],0))</f>
        <v/>
      </c>
      <c r="R101" s="164" t="str">
        <f aca="false">IF(Salary_Calculation[[#This Row],[Source Row]]="","",N(INDEX(Rider_Input[missed_days_penalty],Salary_Calculation[[#This Row],[Source Row]])))</f>
        <v/>
      </c>
      <c r="S101" s="164" t="str">
        <f aca="false">IF(Salary_Calculation[[#This Row],[Source Row]]="","",N(INDEX(Rider_Input[Rider Balance / محفظة المندوب],Salary_Calculation[[#This Row],[Source Row]])))</f>
        <v/>
      </c>
      <c r="T101" s="164" t="str">
        <f aca="false">IF(Salary_Calculation[[#This Row],[Source Row]]="","",N(INDEX(Rider_Input[stacking_deduction / خصم الطلبات المتعددة],Salary_Calculation[[#This Row],[Source Row]])))</f>
        <v/>
      </c>
      <c r="U101" s="164" t="str">
        <f aca="false">IF(Salary_Calculation[[#This Row],[Source Row]]="","",N(INDEX(Rider_Input[Other Deductions],Salary_Calculation[[#This Row],[Source Row]])))</f>
        <v/>
      </c>
      <c r="V101" s="164" t="str">
        <f aca="false">IF(Salary_Calculation[[#This Row],[Source Row]]="","",N(Salary_Calculation[[#This Row],[missed_days_penalty]])+N(Salary_Calculation[[#This Row],[Rider Balance]])+N(Salary_Calculation[[#This Row],[stacking_deduction]])+N(Salary_Calculation[[#This Row],[Other Deductions]]))</f>
        <v/>
      </c>
      <c r="W101" s="167" t="str">
        <f aca="false">IF(Salary_Calculation[[#This Row],[Source Row]]="","",ROUND(MAX(Salary_Calculation[[#This Row],[Gross Salary Before Deductions]]-Salary_Calculation[[#This Row],[Total Deductions]],0),2))</f>
        <v/>
      </c>
      <c r="X101" s="164" t="str">
        <f aca="false">IF(Salary_Calculation[[#This Row],[Source Row]]="","",ROUND(MAX(Salary_Calculation[[#This Row],[Missing-Order Deduction]]-Salary_Calculation[[#This Row],[Earned Salary]],0),2))</f>
        <v/>
      </c>
      <c r="Y10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01" s="163" t="str">
        <f aca="false">IF(Salary_Calculation[[#This Row],[Source Row]]="","",IF(INDEX(Rider_Input[Notes],Salary_Calculation[[#This Row],[Source Row]])="","",INDEX(Rider_Input[Notes],Salary_Calculation[[#This Row],[Source Row]])))</f>
        <v/>
      </c>
      <c r="AA101" s="164" t="str">
        <f aca="false">IF(Salary_Calculation[[#This Row],[Source Row]]="","",Salary_Calculation[[#This Row],[Earned Salary]]-Salary_Calculation[[#This Row],[Missing-Order Deduction]]+Salary_Calculation[[#This Row],[Extra-Order Bonus]])</f>
        <v/>
      </c>
      <c r="AB101" s="164" t="str">
        <f aca="false">IF(Salary_Calculation[[#This Row],[Source Row]]="","",ROUND(Salary_Calculation[[#This Row],[Negative Balance / Amount Due from Rider]]+MAX(Salary_Calculation[[#This Row],[Total Deductions]]-Salary_Calculation[[#This Row],[Gross Salary Before Deductions]],0),2))</f>
        <v/>
      </c>
      <c r="AC10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01" s="164" t="str">
        <f aca="false">IF(Salary_Calculation[[#This Row],[Source Row]]="","",Salary_Calculation[[#This Row],[Rider Target Orders]]*Salary_Calculation[[#This Row],[Base Order Rate]])</f>
        <v/>
      </c>
      <c r="AE101" s="162" t="str">
        <f aca="false">IF(SUMPRODUCT(--(LEN(INDEX(Rider_Input[#Data],ROW()-ROW(Salary_Calculation[#Headers]),0))&gt;0))=0,"",ROW()-ROW(Salary_Calculation[#Headers]))</f>
        <v/>
      </c>
    </row>
    <row r="102" customFormat="false" ht="14.25" hidden="false" customHeight="false" outlineLevel="0" collapsed="false">
      <c r="A102" s="161" t="str">
        <f aca="false">IF(Salary_Calculation[[#This Row],[Source Row]]="","",IF(INDEX(Rider_Input[Salary Month],Salary_Calculation[[#This Row],[Source Row]])="","",INDEX(Rider_Input[Salary Month],Salary_Calculation[[#This Row],[Source Row]])))</f>
        <v/>
      </c>
      <c r="B102" s="162" t="str">
        <f aca="false">IF(Salary_Calculation[[#This Row],[Source Row]]="","",IF(INDEX(Rider_Input[Rider ID],Salary_Calculation[[#This Row],[Source Row]])="","",INDEX(Rider_Input[Rider ID],Salary_Calculation[[#This Row],[Source Row]])))</f>
        <v/>
      </c>
      <c r="C102" s="163" t="str">
        <f aca="false">IF(Salary_Calculation[[#This Row],[Source Row]]="","",IF(INDEX(Rider_Input[Rider Name],Salary_Calculation[[#This Row],[Source Row]])="","",INDEX(Rider_Input[Rider Name],Salary_Calculation[[#This Row],[Source Row]])))</f>
        <v/>
      </c>
      <c r="D102" s="164" t="str">
        <f aca="false">IF(Salary_Calculation[[#This Row],[Source Row]]="","",IF(INDEX(Rider_Input[Basic Payment],Salary_Calculation[[#This Row],[Source Row]])="","",INDEX(Rider_Input[Basic Payment],Salary_Calculation[[#This Row],[Source Row]])))</f>
        <v/>
      </c>
      <c r="E102" s="162" t="str">
        <f aca="false">IF(Salary_Calculation[[#This Row],[Source Row]]="","",IF(INDEX(Rider_Input[Calendar Days in Month],Salary_Calculation[[#This Row],[Source Row]])="","",INDEX(Rider_Input[Calendar Days in Month],Salary_Calculation[[#This Row],[Source Row]])))</f>
        <v/>
      </c>
      <c r="F102" s="162" t="str">
        <f aca="false">IF(Salary_Calculation[[#This Row],[Source Row]]="","",IF(INDEX(Rider_Input[Working Days],Salary_Calculation[[#This Row],[Source Row]])="","",INDEX(Rider_Input[Working Days],Salary_Calculation[[#This Row],[Source Row]])))</f>
        <v/>
      </c>
      <c r="G102" s="165" t="str">
        <f aca="false">IF(Salary_Calculation[[#This Row],[Source Row]]="","",Std_Orders/Std_Days*N(Salary_Calculation[[#This Row],[Calendar Days]]))</f>
        <v/>
      </c>
      <c r="H102" s="165" t="str">
        <f aca="false">IF(Salary_Calculation[[#This Row],[Source Row]]="","",IF(N(Salary_Calculation[[#This Row],[Calendar Days]])&gt;0,Salary_Calculation[[#This Row],[Monthly Target Orders]]/N(Salary_Calculation[[#This Row],[Calendar Days]])*N(Salary_Calculation[[#This Row],[Working Days]]),0))</f>
        <v/>
      </c>
      <c r="I102" s="166" t="str">
        <f aca="false">IF(Salary_Calculation[[#This Row],[Source Row]]="","",IF(INDEX(Rider_Input[Completed Orders],Salary_Calculation[[#This Row],[Source Row]])="","",INDEX(Rider_Input[Completed Orders],Salary_Calculation[[#This Row],[Source Row]])))</f>
        <v/>
      </c>
      <c r="J102" s="165" t="str">
        <f aca="false">IF(Salary_Calculation[[#This Row],[Source Row]]="","",IF(Rate_Method="Fixed rate",Fixed_Rate,IF(N(Salary_Calculation[[#This Row],[Basic Payment]])&gt;0,N(Salary_Calculation[[#This Row],[Basic Payment]])/Std_Orders,0)))</f>
        <v/>
      </c>
      <c r="K102" s="165" t="str">
        <f aca="false">IF(Salary_Calculation[[#This Row],[Source Row]]="","",MAX(MIN(N(Salary_Calculation[[#This Row],[Completed Orders]]),Salary_Calculation[[#This Row],[Rider Target Orders]]),0))</f>
        <v/>
      </c>
      <c r="L102" s="164" t="str">
        <f aca="false">IF(Salary_Calculation[[#This Row],[Source Row]]="","",Salary_Calculation[[#This Row],[Orders Counted at Base Rate]]*Salary_Calculation[[#This Row],[Base Order Rate]])</f>
        <v/>
      </c>
      <c r="M102" s="165" t="str">
        <f aca="false">IF(Salary_Calculation[[#This Row],[Source Row]]="","",MAX(Salary_Calculation[[#This Row],[Rider Target Orders]]-N(Salary_Calculation[[#This Row],[Completed Orders]]),0))</f>
        <v/>
      </c>
      <c r="N102" s="164" t="str">
        <f aca="false">IF(Salary_Calculation[[#This Row],[Source Row]]="","",Salary_Calculation[[#This Row],[Missing Orders]]*Missing_Rate)</f>
        <v/>
      </c>
      <c r="O102" s="165" t="str">
        <f aca="false">IF(Salary_Calculation[[#This Row],[Source Row]]="","",MAX(N(Salary_Calculation[[#This Row],[Completed Orders]])-Salary_Calculation[[#This Row],[Rider Target Orders]],0))</f>
        <v/>
      </c>
      <c r="P102" s="164" t="str">
        <f aca="false">IF(Salary_Calculation[[#This Row],[Source Row]]="","",Salary_Calculation[[#This Row],[Extra Orders]]*Extra_Rate)</f>
        <v/>
      </c>
      <c r="Q102" s="164" t="str">
        <f aca="false">IF(Salary_Calculation[[#This Row],[Source Row]]="","",MAX(Salary_Calculation[[#This Row],[Salary Before Other Deductions]],0))</f>
        <v/>
      </c>
      <c r="R102" s="164" t="str">
        <f aca="false">IF(Salary_Calculation[[#This Row],[Source Row]]="","",N(INDEX(Rider_Input[missed_days_penalty],Salary_Calculation[[#This Row],[Source Row]])))</f>
        <v/>
      </c>
      <c r="S102" s="164" t="str">
        <f aca="false">IF(Salary_Calculation[[#This Row],[Source Row]]="","",N(INDEX(Rider_Input[Rider Balance / محفظة المندوب],Salary_Calculation[[#This Row],[Source Row]])))</f>
        <v/>
      </c>
      <c r="T102" s="164" t="str">
        <f aca="false">IF(Salary_Calculation[[#This Row],[Source Row]]="","",N(INDEX(Rider_Input[stacking_deduction / خصم الطلبات المتعددة],Salary_Calculation[[#This Row],[Source Row]])))</f>
        <v/>
      </c>
      <c r="U102" s="164" t="str">
        <f aca="false">IF(Salary_Calculation[[#This Row],[Source Row]]="","",N(INDEX(Rider_Input[Other Deductions],Salary_Calculation[[#This Row],[Source Row]])))</f>
        <v/>
      </c>
      <c r="V102" s="164" t="str">
        <f aca="false">IF(Salary_Calculation[[#This Row],[Source Row]]="","",N(Salary_Calculation[[#This Row],[missed_days_penalty]])+N(Salary_Calculation[[#This Row],[Rider Balance]])+N(Salary_Calculation[[#This Row],[stacking_deduction]])+N(Salary_Calculation[[#This Row],[Other Deductions]]))</f>
        <v/>
      </c>
      <c r="W102" s="167" t="str">
        <f aca="false">IF(Salary_Calculation[[#This Row],[Source Row]]="","",ROUND(MAX(Salary_Calculation[[#This Row],[Gross Salary Before Deductions]]-Salary_Calculation[[#This Row],[Total Deductions]],0),2))</f>
        <v/>
      </c>
      <c r="X102" s="164" t="str">
        <f aca="false">IF(Salary_Calculation[[#This Row],[Source Row]]="","",ROUND(MAX(Salary_Calculation[[#This Row],[Missing-Order Deduction]]-Salary_Calculation[[#This Row],[Earned Salary]],0),2))</f>
        <v/>
      </c>
      <c r="Y10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02" s="163" t="str">
        <f aca="false">IF(Salary_Calculation[[#This Row],[Source Row]]="","",IF(INDEX(Rider_Input[Notes],Salary_Calculation[[#This Row],[Source Row]])="","",INDEX(Rider_Input[Notes],Salary_Calculation[[#This Row],[Source Row]])))</f>
        <v/>
      </c>
      <c r="AA102" s="164" t="str">
        <f aca="false">IF(Salary_Calculation[[#This Row],[Source Row]]="","",Salary_Calculation[[#This Row],[Earned Salary]]-Salary_Calculation[[#This Row],[Missing-Order Deduction]]+Salary_Calculation[[#This Row],[Extra-Order Bonus]])</f>
        <v/>
      </c>
      <c r="AB102" s="164" t="str">
        <f aca="false">IF(Salary_Calculation[[#This Row],[Source Row]]="","",ROUND(Salary_Calculation[[#This Row],[Negative Balance / Amount Due from Rider]]+MAX(Salary_Calculation[[#This Row],[Total Deductions]]-Salary_Calculation[[#This Row],[Gross Salary Before Deductions]],0),2))</f>
        <v/>
      </c>
      <c r="AC10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02" s="164" t="str">
        <f aca="false">IF(Salary_Calculation[[#This Row],[Source Row]]="","",Salary_Calculation[[#This Row],[Rider Target Orders]]*Salary_Calculation[[#This Row],[Base Order Rate]])</f>
        <v/>
      </c>
      <c r="AE102" s="162" t="str">
        <f aca="false">IF(SUMPRODUCT(--(LEN(INDEX(Rider_Input[#Data],ROW()-ROW(Salary_Calculation[#Headers]),0))&gt;0))=0,"",ROW()-ROW(Salary_Calculation[#Headers]))</f>
        <v/>
      </c>
    </row>
    <row r="103" customFormat="false" ht="14.25" hidden="false" customHeight="false" outlineLevel="0" collapsed="false">
      <c r="A103" s="161" t="str">
        <f aca="false">IF(Salary_Calculation[[#This Row],[Source Row]]="","",IF(INDEX(Rider_Input[Salary Month],Salary_Calculation[[#This Row],[Source Row]])="","",INDEX(Rider_Input[Salary Month],Salary_Calculation[[#This Row],[Source Row]])))</f>
        <v/>
      </c>
      <c r="B103" s="162" t="str">
        <f aca="false">IF(Salary_Calculation[[#This Row],[Source Row]]="","",IF(INDEX(Rider_Input[Rider ID],Salary_Calculation[[#This Row],[Source Row]])="","",INDEX(Rider_Input[Rider ID],Salary_Calculation[[#This Row],[Source Row]])))</f>
        <v/>
      </c>
      <c r="C103" s="163" t="str">
        <f aca="false">IF(Salary_Calculation[[#This Row],[Source Row]]="","",IF(INDEX(Rider_Input[Rider Name],Salary_Calculation[[#This Row],[Source Row]])="","",INDEX(Rider_Input[Rider Name],Salary_Calculation[[#This Row],[Source Row]])))</f>
        <v/>
      </c>
      <c r="D103" s="164" t="str">
        <f aca="false">IF(Salary_Calculation[[#This Row],[Source Row]]="","",IF(INDEX(Rider_Input[Basic Payment],Salary_Calculation[[#This Row],[Source Row]])="","",INDEX(Rider_Input[Basic Payment],Salary_Calculation[[#This Row],[Source Row]])))</f>
        <v/>
      </c>
      <c r="E103" s="162" t="str">
        <f aca="false">IF(Salary_Calculation[[#This Row],[Source Row]]="","",IF(INDEX(Rider_Input[Calendar Days in Month],Salary_Calculation[[#This Row],[Source Row]])="","",INDEX(Rider_Input[Calendar Days in Month],Salary_Calculation[[#This Row],[Source Row]])))</f>
        <v/>
      </c>
      <c r="F103" s="162" t="str">
        <f aca="false">IF(Salary_Calculation[[#This Row],[Source Row]]="","",IF(INDEX(Rider_Input[Working Days],Salary_Calculation[[#This Row],[Source Row]])="","",INDEX(Rider_Input[Working Days],Salary_Calculation[[#This Row],[Source Row]])))</f>
        <v/>
      </c>
      <c r="G103" s="165" t="str">
        <f aca="false">IF(Salary_Calculation[[#This Row],[Source Row]]="","",Std_Orders/Std_Days*N(Salary_Calculation[[#This Row],[Calendar Days]]))</f>
        <v/>
      </c>
      <c r="H103" s="165" t="str">
        <f aca="false">IF(Salary_Calculation[[#This Row],[Source Row]]="","",IF(N(Salary_Calculation[[#This Row],[Calendar Days]])&gt;0,Salary_Calculation[[#This Row],[Monthly Target Orders]]/N(Salary_Calculation[[#This Row],[Calendar Days]])*N(Salary_Calculation[[#This Row],[Working Days]]),0))</f>
        <v/>
      </c>
      <c r="I103" s="166" t="str">
        <f aca="false">IF(Salary_Calculation[[#This Row],[Source Row]]="","",IF(INDEX(Rider_Input[Completed Orders],Salary_Calculation[[#This Row],[Source Row]])="","",INDEX(Rider_Input[Completed Orders],Salary_Calculation[[#This Row],[Source Row]])))</f>
        <v/>
      </c>
      <c r="J103" s="165" t="str">
        <f aca="false">IF(Salary_Calculation[[#This Row],[Source Row]]="","",IF(Rate_Method="Fixed rate",Fixed_Rate,IF(N(Salary_Calculation[[#This Row],[Basic Payment]])&gt;0,N(Salary_Calculation[[#This Row],[Basic Payment]])/Std_Orders,0)))</f>
        <v/>
      </c>
      <c r="K103" s="165" t="str">
        <f aca="false">IF(Salary_Calculation[[#This Row],[Source Row]]="","",MAX(MIN(N(Salary_Calculation[[#This Row],[Completed Orders]]),Salary_Calculation[[#This Row],[Rider Target Orders]]),0))</f>
        <v/>
      </c>
      <c r="L103" s="164" t="str">
        <f aca="false">IF(Salary_Calculation[[#This Row],[Source Row]]="","",Salary_Calculation[[#This Row],[Orders Counted at Base Rate]]*Salary_Calculation[[#This Row],[Base Order Rate]])</f>
        <v/>
      </c>
      <c r="M103" s="165" t="str">
        <f aca="false">IF(Salary_Calculation[[#This Row],[Source Row]]="","",MAX(Salary_Calculation[[#This Row],[Rider Target Orders]]-N(Salary_Calculation[[#This Row],[Completed Orders]]),0))</f>
        <v/>
      </c>
      <c r="N103" s="164" t="str">
        <f aca="false">IF(Salary_Calculation[[#This Row],[Source Row]]="","",Salary_Calculation[[#This Row],[Missing Orders]]*Missing_Rate)</f>
        <v/>
      </c>
      <c r="O103" s="165" t="str">
        <f aca="false">IF(Salary_Calculation[[#This Row],[Source Row]]="","",MAX(N(Salary_Calculation[[#This Row],[Completed Orders]])-Salary_Calculation[[#This Row],[Rider Target Orders]],0))</f>
        <v/>
      </c>
      <c r="P103" s="164" t="str">
        <f aca="false">IF(Salary_Calculation[[#This Row],[Source Row]]="","",Salary_Calculation[[#This Row],[Extra Orders]]*Extra_Rate)</f>
        <v/>
      </c>
      <c r="Q103" s="164" t="str">
        <f aca="false">IF(Salary_Calculation[[#This Row],[Source Row]]="","",MAX(Salary_Calculation[[#This Row],[Salary Before Other Deductions]],0))</f>
        <v/>
      </c>
      <c r="R103" s="164" t="str">
        <f aca="false">IF(Salary_Calculation[[#This Row],[Source Row]]="","",N(INDEX(Rider_Input[missed_days_penalty],Salary_Calculation[[#This Row],[Source Row]])))</f>
        <v/>
      </c>
      <c r="S103" s="164" t="str">
        <f aca="false">IF(Salary_Calculation[[#This Row],[Source Row]]="","",N(INDEX(Rider_Input[Rider Balance / محفظة المندوب],Salary_Calculation[[#This Row],[Source Row]])))</f>
        <v/>
      </c>
      <c r="T103" s="164" t="str">
        <f aca="false">IF(Salary_Calculation[[#This Row],[Source Row]]="","",N(INDEX(Rider_Input[stacking_deduction / خصم الطلبات المتعددة],Salary_Calculation[[#This Row],[Source Row]])))</f>
        <v/>
      </c>
      <c r="U103" s="164" t="str">
        <f aca="false">IF(Salary_Calculation[[#This Row],[Source Row]]="","",N(INDEX(Rider_Input[Other Deductions],Salary_Calculation[[#This Row],[Source Row]])))</f>
        <v/>
      </c>
      <c r="V103" s="164" t="str">
        <f aca="false">IF(Salary_Calculation[[#This Row],[Source Row]]="","",N(Salary_Calculation[[#This Row],[missed_days_penalty]])+N(Salary_Calculation[[#This Row],[Rider Balance]])+N(Salary_Calculation[[#This Row],[stacking_deduction]])+N(Salary_Calculation[[#This Row],[Other Deductions]]))</f>
        <v/>
      </c>
      <c r="W103" s="167" t="str">
        <f aca="false">IF(Salary_Calculation[[#This Row],[Source Row]]="","",ROUND(MAX(Salary_Calculation[[#This Row],[Gross Salary Before Deductions]]-Salary_Calculation[[#This Row],[Total Deductions]],0),2))</f>
        <v/>
      </c>
      <c r="X103" s="164" t="str">
        <f aca="false">IF(Salary_Calculation[[#This Row],[Source Row]]="","",ROUND(MAX(Salary_Calculation[[#This Row],[Missing-Order Deduction]]-Salary_Calculation[[#This Row],[Earned Salary]],0),2))</f>
        <v/>
      </c>
      <c r="Y10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03" s="163" t="str">
        <f aca="false">IF(Salary_Calculation[[#This Row],[Source Row]]="","",IF(INDEX(Rider_Input[Notes],Salary_Calculation[[#This Row],[Source Row]])="","",INDEX(Rider_Input[Notes],Salary_Calculation[[#This Row],[Source Row]])))</f>
        <v/>
      </c>
      <c r="AA103" s="164" t="str">
        <f aca="false">IF(Salary_Calculation[[#This Row],[Source Row]]="","",Salary_Calculation[[#This Row],[Earned Salary]]-Salary_Calculation[[#This Row],[Missing-Order Deduction]]+Salary_Calculation[[#This Row],[Extra-Order Bonus]])</f>
        <v/>
      </c>
      <c r="AB103" s="164" t="str">
        <f aca="false">IF(Salary_Calculation[[#This Row],[Source Row]]="","",ROUND(Salary_Calculation[[#This Row],[Negative Balance / Amount Due from Rider]]+MAX(Salary_Calculation[[#This Row],[Total Deductions]]-Salary_Calculation[[#This Row],[Gross Salary Before Deductions]],0),2))</f>
        <v/>
      </c>
      <c r="AC10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03" s="164" t="str">
        <f aca="false">IF(Salary_Calculation[[#This Row],[Source Row]]="","",Salary_Calculation[[#This Row],[Rider Target Orders]]*Salary_Calculation[[#This Row],[Base Order Rate]])</f>
        <v/>
      </c>
      <c r="AE103" s="162" t="str">
        <f aca="false">IF(SUMPRODUCT(--(LEN(INDEX(Rider_Input[#Data],ROW()-ROW(Salary_Calculation[#Headers]),0))&gt;0))=0,"",ROW()-ROW(Salary_Calculation[#Headers]))</f>
        <v/>
      </c>
    </row>
    <row r="104" customFormat="false" ht="14.25" hidden="false" customHeight="false" outlineLevel="0" collapsed="false">
      <c r="A104" s="161" t="str">
        <f aca="false">IF(Salary_Calculation[[#This Row],[Source Row]]="","",IF(INDEX(Rider_Input[Salary Month],Salary_Calculation[[#This Row],[Source Row]])="","",INDEX(Rider_Input[Salary Month],Salary_Calculation[[#This Row],[Source Row]])))</f>
        <v/>
      </c>
      <c r="B104" s="162" t="str">
        <f aca="false">IF(Salary_Calculation[[#This Row],[Source Row]]="","",IF(INDEX(Rider_Input[Rider ID],Salary_Calculation[[#This Row],[Source Row]])="","",INDEX(Rider_Input[Rider ID],Salary_Calculation[[#This Row],[Source Row]])))</f>
        <v/>
      </c>
      <c r="C104" s="163" t="str">
        <f aca="false">IF(Salary_Calculation[[#This Row],[Source Row]]="","",IF(INDEX(Rider_Input[Rider Name],Salary_Calculation[[#This Row],[Source Row]])="","",INDEX(Rider_Input[Rider Name],Salary_Calculation[[#This Row],[Source Row]])))</f>
        <v/>
      </c>
      <c r="D104" s="164" t="str">
        <f aca="false">IF(Salary_Calculation[[#This Row],[Source Row]]="","",IF(INDEX(Rider_Input[Basic Payment],Salary_Calculation[[#This Row],[Source Row]])="","",INDEX(Rider_Input[Basic Payment],Salary_Calculation[[#This Row],[Source Row]])))</f>
        <v/>
      </c>
      <c r="E104" s="162" t="str">
        <f aca="false">IF(Salary_Calculation[[#This Row],[Source Row]]="","",IF(INDEX(Rider_Input[Calendar Days in Month],Salary_Calculation[[#This Row],[Source Row]])="","",INDEX(Rider_Input[Calendar Days in Month],Salary_Calculation[[#This Row],[Source Row]])))</f>
        <v/>
      </c>
      <c r="F104" s="162" t="str">
        <f aca="false">IF(Salary_Calculation[[#This Row],[Source Row]]="","",IF(INDEX(Rider_Input[Working Days],Salary_Calculation[[#This Row],[Source Row]])="","",INDEX(Rider_Input[Working Days],Salary_Calculation[[#This Row],[Source Row]])))</f>
        <v/>
      </c>
      <c r="G104" s="165" t="str">
        <f aca="false">IF(Salary_Calculation[[#This Row],[Source Row]]="","",Std_Orders/Std_Days*N(Salary_Calculation[[#This Row],[Calendar Days]]))</f>
        <v/>
      </c>
      <c r="H104" s="165" t="str">
        <f aca="false">IF(Salary_Calculation[[#This Row],[Source Row]]="","",IF(N(Salary_Calculation[[#This Row],[Calendar Days]])&gt;0,Salary_Calculation[[#This Row],[Monthly Target Orders]]/N(Salary_Calculation[[#This Row],[Calendar Days]])*N(Salary_Calculation[[#This Row],[Working Days]]),0))</f>
        <v/>
      </c>
      <c r="I104" s="166" t="str">
        <f aca="false">IF(Salary_Calculation[[#This Row],[Source Row]]="","",IF(INDEX(Rider_Input[Completed Orders],Salary_Calculation[[#This Row],[Source Row]])="","",INDEX(Rider_Input[Completed Orders],Salary_Calculation[[#This Row],[Source Row]])))</f>
        <v/>
      </c>
      <c r="J104" s="165" t="str">
        <f aca="false">IF(Salary_Calculation[[#This Row],[Source Row]]="","",IF(Rate_Method="Fixed rate",Fixed_Rate,IF(N(Salary_Calculation[[#This Row],[Basic Payment]])&gt;0,N(Salary_Calculation[[#This Row],[Basic Payment]])/Std_Orders,0)))</f>
        <v/>
      </c>
      <c r="K104" s="165" t="str">
        <f aca="false">IF(Salary_Calculation[[#This Row],[Source Row]]="","",MAX(MIN(N(Salary_Calculation[[#This Row],[Completed Orders]]),Salary_Calculation[[#This Row],[Rider Target Orders]]),0))</f>
        <v/>
      </c>
      <c r="L104" s="164" t="str">
        <f aca="false">IF(Salary_Calculation[[#This Row],[Source Row]]="","",Salary_Calculation[[#This Row],[Orders Counted at Base Rate]]*Salary_Calculation[[#This Row],[Base Order Rate]])</f>
        <v/>
      </c>
      <c r="M104" s="165" t="str">
        <f aca="false">IF(Salary_Calculation[[#This Row],[Source Row]]="","",MAX(Salary_Calculation[[#This Row],[Rider Target Orders]]-N(Salary_Calculation[[#This Row],[Completed Orders]]),0))</f>
        <v/>
      </c>
      <c r="N104" s="164" t="str">
        <f aca="false">IF(Salary_Calculation[[#This Row],[Source Row]]="","",Salary_Calculation[[#This Row],[Missing Orders]]*Missing_Rate)</f>
        <v/>
      </c>
      <c r="O104" s="165" t="str">
        <f aca="false">IF(Salary_Calculation[[#This Row],[Source Row]]="","",MAX(N(Salary_Calculation[[#This Row],[Completed Orders]])-Salary_Calculation[[#This Row],[Rider Target Orders]],0))</f>
        <v/>
      </c>
      <c r="P104" s="164" t="str">
        <f aca="false">IF(Salary_Calculation[[#This Row],[Source Row]]="","",Salary_Calculation[[#This Row],[Extra Orders]]*Extra_Rate)</f>
        <v/>
      </c>
      <c r="Q104" s="164" t="str">
        <f aca="false">IF(Salary_Calculation[[#This Row],[Source Row]]="","",MAX(Salary_Calculation[[#This Row],[Salary Before Other Deductions]],0))</f>
        <v/>
      </c>
      <c r="R104" s="164" t="str">
        <f aca="false">IF(Salary_Calculation[[#This Row],[Source Row]]="","",N(INDEX(Rider_Input[missed_days_penalty],Salary_Calculation[[#This Row],[Source Row]])))</f>
        <v/>
      </c>
      <c r="S104" s="164" t="str">
        <f aca="false">IF(Salary_Calculation[[#This Row],[Source Row]]="","",N(INDEX(Rider_Input[Rider Balance / محفظة المندوب],Salary_Calculation[[#This Row],[Source Row]])))</f>
        <v/>
      </c>
      <c r="T104" s="164" t="str">
        <f aca="false">IF(Salary_Calculation[[#This Row],[Source Row]]="","",N(INDEX(Rider_Input[stacking_deduction / خصم الطلبات المتعددة],Salary_Calculation[[#This Row],[Source Row]])))</f>
        <v/>
      </c>
      <c r="U104" s="164" t="str">
        <f aca="false">IF(Salary_Calculation[[#This Row],[Source Row]]="","",N(INDEX(Rider_Input[Other Deductions],Salary_Calculation[[#This Row],[Source Row]])))</f>
        <v/>
      </c>
      <c r="V104" s="164" t="str">
        <f aca="false">IF(Salary_Calculation[[#This Row],[Source Row]]="","",N(Salary_Calculation[[#This Row],[missed_days_penalty]])+N(Salary_Calculation[[#This Row],[Rider Balance]])+N(Salary_Calculation[[#This Row],[stacking_deduction]])+N(Salary_Calculation[[#This Row],[Other Deductions]]))</f>
        <v/>
      </c>
      <c r="W104" s="167" t="str">
        <f aca="false">IF(Salary_Calculation[[#This Row],[Source Row]]="","",ROUND(MAX(Salary_Calculation[[#This Row],[Gross Salary Before Deductions]]-Salary_Calculation[[#This Row],[Total Deductions]],0),2))</f>
        <v/>
      </c>
      <c r="X104" s="164" t="str">
        <f aca="false">IF(Salary_Calculation[[#This Row],[Source Row]]="","",ROUND(MAX(Salary_Calculation[[#This Row],[Missing-Order Deduction]]-Salary_Calculation[[#This Row],[Earned Salary]],0),2))</f>
        <v/>
      </c>
      <c r="Y10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04" s="163" t="str">
        <f aca="false">IF(Salary_Calculation[[#This Row],[Source Row]]="","",IF(INDEX(Rider_Input[Notes],Salary_Calculation[[#This Row],[Source Row]])="","",INDEX(Rider_Input[Notes],Salary_Calculation[[#This Row],[Source Row]])))</f>
        <v/>
      </c>
      <c r="AA104" s="164" t="str">
        <f aca="false">IF(Salary_Calculation[[#This Row],[Source Row]]="","",Salary_Calculation[[#This Row],[Earned Salary]]-Salary_Calculation[[#This Row],[Missing-Order Deduction]]+Salary_Calculation[[#This Row],[Extra-Order Bonus]])</f>
        <v/>
      </c>
      <c r="AB104" s="164" t="str">
        <f aca="false">IF(Salary_Calculation[[#This Row],[Source Row]]="","",ROUND(Salary_Calculation[[#This Row],[Negative Balance / Amount Due from Rider]]+MAX(Salary_Calculation[[#This Row],[Total Deductions]]-Salary_Calculation[[#This Row],[Gross Salary Before Deductions]],0),2))</f>
        <v/>
      </c>
      <c r="AC10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04" s="164" t="str">
        <f aca="false">IF(Salary_Calculation[[#This Row],[Source Row]]="","",Salary_Calculation[[#This Row],[Rider Target Orders]]*Salary_Calculation[[#This Row],[Base Order Rate]])</f>
        <v/>
      </c>
      <c r="AE104" s="162" t="str">
        <f aca="false">IF(SUMPRODUCT(--(LEN(INDEX(Rider_Input[#Data],ROW()-ROW(Salary_Calculation[#Headers]),0))&gt;0))=0,"",ROW()-ROW(Salary_Calculation[#Headers]))</f>
        <v/>
      </c>
    </row>
    <row r="105" customFormat="false" ht="14.25" hidden="false" customHeight="false" outlineLevel="0" collapsed="false">
      <c r="A105" s="161" t="str">
        <f aca="false">IF(Salary_Calculation[[#This Row],[Source Row]]="","",IF(INDEX(Rider_Input[Salary Month],Salary_Calculation[[#This Row],[Source Row]])="","",INDEX(Rider_Input[Salary Month],Salary_Calculation[[#This Row],[Source Row]])))</f>
        <v/>
      </c>
      <c r="B105" s="162" t="str">
        <f aca="false">IF(Salary_Calculation[[#This Row],[Source Row]]="","",IF(INDEX(Rider_Input[Rider ID],Salary_Calculation[[#This Row],[Source Row]])="","",INDEX(Rider_Input[Rider ID],Salary_Calculation[[#This Row],[Source Row]])))</f>
        <v/>
      </c>
      <c r="C105" s="163" t="str">
        <f aca="false">IF(Salary_Calculation[[#This Row],[Source Row]]="","",IF(INDEX(Rider_Input[Rider Name],Salary_Calculation[[#This Row],[Source Row]])="","",INDEX(Rider_Input[Rider Name],Salary_Calculation[[#This Row],[Source Row]])))</f>
        <v/>
      </c>
      <c r="D105" s="164" t="str">
        <f aca="false">IF(Salary_Calculation[[#This Row],[Source Row]]="","",IF(INDEX(Rider_Input[Basic Payment],Salary_Calculation[[#This Row],[Source Row]])="","",INDEX(Rider_Input[Basic Payment],Salary_Calculation[[#This Row],[Source Row]])))</f>
        <v/>
      </c>
      <c r="E105" s="162" t="str">
        <f aca="false">IF(Salary_Calculation[[#This Row],[Source Row]]="","",IF(INDEX(Rider_Input[Calendar Days in Month],Salary_Calculation[[#This Row],[Source Row]])="","",INDEX(Rider_Input[Calendar Days in Month],Salary_Calculation[[#This Row],[Source Row]])))</f>
        <v/>
      </c>
      <c r="F105" s="162" t="str">
        <f aca="false">IF(Salary_Calculation[[#This Row],[Source Row]]="","",IF(INDEX(Rider_Input[Working Days],Salary_Calculation[[#This Row],[Source Row]])="","",INDEX(Rider_Input[Working Days],Salary_Calculation[[#This Row],[Source Row]])))</f>
        <v/>
      </c>
      <c r="G105" s="165" t="str">
        <f aca="false">IF(Salary_Calculation[[#This Row],[Source Row]]="","",Std_Orders/Std_Days*N(Salary_Calculation[[#This Row],[Calendar Days]]))</f>
        <v/>
      </c>
      <c r="H105" s="165" t="str">
        <f aca="false">IF(Salary_Calculation[[#This Row],[Source Row]]="","",IF(N(Salary_Calculation[[#This Row],[Calendar Days]])&gt;0,Salary_Calculation[[#This Row],[Monthly Target Orders]]/N(Salary_Calculation[[#This Row],[Calendar Days]])*N(Salary_Calculation[[#This Row],[Working Days]]),0))</f>
        <v/>
      </c>
      <c r="I105" s="166" t="str">
        <f aca="false">IF(Salary_Calculation[[#This Row],[Source Row]]="","",IF(INDEX(Rider_Input[Completed Orders],Salary_Calculation[[#This Row],[Source Row]])="","",INDEX(Rider_Input[Completed Orders],Salary_Calculation[[#This Row],[Source Row]])))</f>
        <v/>
      </c>
      <c r="J105" s="165" t="str">
        <f aca="false">IF(Salary_Calculation[[#This Row],[Source Row]]="","",IF(Rate_Method="Fixed rate",Fixed_Rate,IF(N(Salary_Calculation[[#This Row],[Basic Payment]])&gt;0,N(Salary_Calculation[[#This Row],[Basic Payment]])/Std_Orders,0)))</f>
        <v/>
      </c>
      <c r="K105" s="165" t="str">
        <f aca="false">IF(Salary_Calculation[[#This Row],[Source Row]]="","",MAX(MIN(N(Salary_Calculation[[#This Row],[Completed Orders]]),Salary_Calculation[[#This Row],[Rider Target Orders]]),0))</f>
        <v/>
      </c>
      <c r="L105" s="164" t="str">
        <f aca="false">IF(Salary_Calculation[[#This Row],[Source Row]]="","",Salary_Calculation[[#This Row],[Orders Counted at Base Rate]]*Salary_Calculation[[#This Row],[Base Order Rate]])</f>
        <v/>
      </c>
      <c r="M105" s="165" t="str">
        <f aca="false">IF(Salary_Calculation[[#This Row],[Source Row]]="","",MAX(Salary_Calculation[[#This Row],[Rider Target Orders]]-N(Salary_Calculation[[#This Row],[Completed Orders]]),0))</f>
        <v/>
      </c>
      <c r="N105" s="164" t="str">
        <f aca="false">IF(Salary_Calculation[[#This Row],[Source Row]]="","",Salary_Calculation[[#This Row],[Missing Orders]]*Missing_Rate)</f>
        <v/>
      </c>
      <c r="O105" s="165" t="str">
        <f aca="false">IF(Salary_Calculation[[#This Row],[Source Row]]="","",MAX(N(Salary_Calculation[[#This Row],[Completed Orders]])-Salary_Calculation[[#This Row],[Rider Target Orders]],0))</f>
        <v/>
      </c>
      <c r="P105" s="164" t="str">
        <f aca="false">IF(Salary_Calculation[[#This Row],[Source Row]]="","",Salary_Calculation[[#This Row],[Extra Orders]]*Extra_Rate)</f>
        <v/>
      </c>
      <c r="Q105" s="164" t="str">
        <f aca="false">IF(Salary_Calculation[[#This Row],[Source Row]]="","",MAX(Salary_Calculation[[#This Row],[Salary Before Other Deductions]],0))</f>
        <v/>
      </c>
      <c r="R105" s="164" t="str">
        <f aca="false">IF(Salary_Calculation[[#This Row],[Source Row]]="","",N(INDEX(Rider_Input[missed_days_penalty],Salary_Calculation[[#This Row],[Source Row]])))</f>
        <v/>
      </c>
      <c r="S105" s="164" t="str">
        <f aca="false">IF(Salary_Calculation[[#This Row],[Source Row]]="","",N(INDEX(Rider_Input[Rider Balance / محفظة المندوب],Salary_Calculation[[#This Row],[Source Row]])))</f>
        <v/>
      </c>
      <c r="T105" s="164" t="str">
        <f aca="false">IF(Salary_Calculation[[#This Row],[Source Row]]="","",N(INDEX(Rider_Input[stacking_deduction / خصم الطلبات المتعددة],Salary_Calculation[[#This Row],[Source Row]])))</f>
        <v/>
      </c>
      <c r="U105" s="164" t="str">
        <f aca="false">IF(Salary_Calculation[[#This Row],[Source Row]]="","",N(INDEX(Rider_Input[Other Deductions],Salary_Calculation[[#This Row],[Source Row]])))</f>
        <v/>
      </c>
      <c r="V105" s="164" t="str">
        <f aca="false">IF(Salary_Calculation[[#This Row],[Source Row]]="","",N(Salary_Calculation[[#This Row],[missed_days_penalty]])+N(Salary_Calculation[[#This Row],[Rider Balance]])+N(Salary_Calculation[[#This Row],[stacking_deduction]])+N(Salary_Calculation[[#This Row],[Other Deductions]]))</f>
        <v/>
      </c>
      <c r="W105" s="167" t="str">
        <f aca="false">IF(Salary_Calculation[[#This Row],[Source Row]]="","",ROUND(MAX(Salary_Calculation[[#This Row],[Gross Salary Before Deductions]]-Salary_Calculation[[#This Row],[Total Deductions]],0),2))</f>
        <v/>
      </c>
      <c r="X105" s="164" t="str">
        <f aca="false">IF(Salary_Calculation[[#This Row],[Source Row]]="","",ROUND(MAX(Salary_Calculation[[#This Row],[Missing-Order Deduction]]-Salary_Calculation[[#This Row],[Earned Salary]],0),2))</f>
        <v/>
      </c>
      <c r="Y10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05" s="163" t="str">
        <f aca="false">IF(Salary_Calculation[[#This Row],[Source Row]]="","",IF(INDEX(Rider_Input[Notes],Salary_Calculation[[#This Row],[Source Row]])="","",INDEX(Rider_Input[Notes],Salary_Calculation[[#This Row],[Source Row]])))</f>
        <v/>
      </c>
      <c r="AA105" s="164" t="str">
        <f aca="false">IF(Salary_Calculation[[#This Row],[Source Row]]="","",Salary_Calculation[[#This Row],[Earned Salary]]-Salary_Calculation[[#This Row],[Missing-Order Deduction]]+Salary_Calculation[[#This Row],[Extra-Order Bonus]])</f>
        <v/>
      </c>
      <c r="AB105" s="164" t="str">
        <f aca="false">IF(Salary_Calculation[[#This Row],[Source Row]]="","",ROUND(Salary_Calculation[[#This Row],[Negative Balance / Amount Due from Rider]]+MAX(Salary_Calculation[[#This Row],[Total Deductions]]-Salary_Calculation[[#This Row],[Gross Salary Before Deductions]],0),2))</f>
        <v/>
      </c>
      <c r="AC10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05" s="164" t="str">
        <f aca="false">IF(Salary_Calculation[[#This Row],[Source Row]]="","",Salary_Calculation[[#This Row],[Rider Target Orders]]*Salary_Calculation[[#This Row],[Base Order Rate]])</f>
        <v/>
      </c>
      <c r="AE105" s="162" t="str">
        <f aca="false">IF(SUMPRODUCT(--(LEN(INDEX(Rider_Input[#Data],ROW()-ROW(Salary_Calculation[#Headers]),0))&gt;0))=0,"",ROW()-ROW(Salary_Calculation[#Headers]))</f>
        <v/>
      </c>
    </row>
    <row r="106" customFormat="false" ht="14.25" hidden="false" customHeight="false" outlineLevel="0" collapsed="false">
      <c r="A106" s="161" t="str">
        <f aca="false">IF(Salary_Calculation[[#This Row],[Source Row]]="","",IF(INDEX(Rider_Input[Salary Month],Salary_Calculation[[#This Row],[Source Row]])="","",INDEX(Rider_Input[Salary Month],Salary_Calculation[[#This Row],[Source Row]])))</f>
        <v/>
      </c>
      <c r="B106" s="162" t="str">
        <f aca="false">IF(Salary_Calculation[[#This Row],[Source Row]]="","",IF(INDEX(Rider_Input[Rider ID],Salary_Calculation[[#This Row],[Source Row]])="","",INDEX(Rider_Input[Rider ID],Salary_Calculation[[#This Row],[Source Row]])))</f>
        <v/>
      </c>
      <c r="C106" s="163" t="str">
        <f aca="false">IF(Salary_Calculation[[#This Row],[Source Row]]="","",IF(INDEX(Rider_Input[Rider Name],Salary_Calculation[[#This Row],[Source Row]])="","",INDEX(Rider_Input[Rider Name],Salary_Calculation[[#This Row],[Source Row]])))</f>
        <v/>
      </c>
      <c r="D106" s="164" t="str">
        <f aca="false">IF(Salary_Calculation[[#This Row],[Source Row]]="","",IF(INDEX(Rider_Input[Basic Payment],Salary_Calculation[[#This Row],[Source Row]])="","",INDEX(Rider_Input[Basic Payment],Salary_Calculation[[#This Row],[Source Row]])))</f>
        <v/>
      </c>
      <c r="E106" s="162" t="str">
        <f aca="false">IF(Salary_Calculation[[#This Row],[Source Row]]="","",IF(INDEX(Rider_Input[Calendar Days in Month],Salary_Calculation[[#This Row],[Source Row]])="","",INDEX(Rider_Input[Calendar Days in Month],Salary_Calculation[[#This Row],[Source Row]])))</f>
        <v/>
      </c>
      <c r="F106" s="162" t="str">
        <f aca="false">IF(Salary_Calculation[[#This Row],[Source Row]]="","",IF(INDEX(Rider_Input[Working Days],Salary_Calculation[[#This Row],[Source Row]])="","",INDEX(Rider_Input[Working Days],Salary_Calculation[[#This Row],[Source Row]])))</f>
        <v/>
      </c>
      <c r="G106" s="165" t="str">
        <f aca="false">IF(Salary_Calculation[[#This Row],[Source Row]]="","",Std_Orders/Std_Days*N(Salary_Calculation[[#This Row],[Calendar Days]]))</f>
        <v/>
      </c>
      <c r="H106" s="165" t="str">
        <f aca="false">IF(Salary_Calculation[[#This Row],[Source Row]]="","",IF(N(Salary_Calculation[[#This Row],[Calendar Days]])&gt;0,Salary_Calculation[[#This Row],[Monthly Target Orders]]/N(Salary_Calculation[[#This Row],[Calendar Days]])*N(Salary_Calculation[[#This Row],[Working Days]]),0))</f>
        <v/>
      </c>
      <c r="I106" s="166" t="str">
        <f aca="false">IF(Salary_Calculation[[#This Row],[Source Row]]="","",IF(INDEX(Rider_Input[Completed Orders],Salary_Calculation[[#This Row],[Source Row]])="","",INDEX(Rider_Input[Completed Orders],Salary_Calculation[[#This Row],[Source Row]])))</f>
        <v/>
      </c>
      <c r="J106" s="165" t="str">
        <f aca="false">IF(Salary_Calculation[[#This Row],[Source Row]]="","",IF(Rate_Method="Fixed rate",Fixed_Rate,IF(N(Salary_Calculation[[#This Row],[Basic Payment]])&gt;0,N(Salary_Calculation[[#This Row],[Basic Payment]])/Std_Orders,0)))</f>
        <v/>
      </c>
      <c r="K106" s="165" t="str">
        <f aca="false">IF(Salary_Calculation[[#This Row],[Source Row]]="","",MAX(MIN(N(Salary_Calculation[[#This Row],[Completed Orders]]),Salary_Calculation[[#This Row],[Rider Target Orders]]),0))</f>
        <v/>
      </c>
      <c r="L106" s="164" t="str">
        <f aca="false">IF(Salary_Calculation[[#This Row],[Source Row]]="","",Salary_Calculation[[#This Row],[Orders Counted at Base Rate]]*Salary_Calculation[[#This Row],[Base Order Rate]])</f>
        <v/>
      </c>
      <c r="M106" s="165" t="str">
        <f aca="false">IF(Salary_Calculation[[#This Row],[Source Row]]="","",MAX(Salary_Calculation[[#This Row],[Rider Target Orders]]-N(Salary_Calculation[[#This Row],[Completed Orders]]),0))</f>
        <v/>
      </c>
      <c r="N106" s="164" t="str">
        <f aca="false">IF(Salary_Calculation[[#This Row],[Source Row]]="","",Salary_Calculation[[#This Row],[Missing Orders]]*Missing_Rate)</f>
        <v/>
      </c>
      <c r="O106" s="165" t="str">
        <f aca="false">IF(Salary_Calculation[[#This Row],[Source Row]]="","",MAX(N(Salary_Calculation[[#This Row],[Completed Orders]])-Salary_Calculation[[#This Row],[Rider Target Orders]],0))</f>
        <v/>
      </c>
      <c r="P106" s="164" t="str">
        <f aca="false">IF(Salary_Calculation[[#This Row],[Source Row]]="","",Salary_Calculation[[#This Row],[Extra Orders]]*Extra_Rate)</f>
        <v/>
      </c>
      <c r="Q106" s="164" t="str">
        <f aca="false">IF(Salary_Calculation[[#This Row],[Source Row]]="","",MAX(Salary_Calculation[[#This Row],[Salary Before Other Deductions]],0))</f>
        <v/>
      </c>
      <c r="R106" s="164" t="str">
        <f aca="false">IF(Salary_Calculation[[#This Row],[Source Row]]="","",N(INDEX(Rider_Input[missed_days_penalty],Salary_Calculation[[#This Row],[Source Row]])))</f>
        <v/>
      </c>
      <c r="S106" s="164" t="str">
        <f aca="false">IF(Salary_Calculation[[#This Row],[Source Row]]="","",N(INDEX(Rider_Input[Rider Balance / محفظة المندوب],Salary_Calculation[[#This Row],[Source Row]])))</f>
        <v/>
      </c>
      <c r="T106" s="164" t="str">
        <f aca="false">IF(Salary_Calculation[[#This Row],[Source Row]]="","",N(INDEX(Rider_Input[stacking_deduction / خصم الطلبات المتعددة],Salary_Calculation[[#This Row],[Source Row]])))</f>
        <v/>
      </c>
      <c r="U106" s="164" t="str">
        <f aca="false">IF(Salary_Calculation[[#This Row],[Source Row]]="","",N(INDEX(Rider_Input[Other Deductions],Salary_Calculation[[#This Row],[Source Row]])))</f>
        <v/>
      </c>
      <c r="V106" s="164" t="str">
        <f aca="false">IF(Salary_Calculation[[#This Row],[Source Row]]="","",N(Salary_Calculation[[#This Row],[missed_days_penalty]])+N(Salary_Calculation[[#This Row],[Rider Balance]])+N(Salary_Calculation[[#This Row],[stacking_deduction]])+N(Salary_Calculation[[#This Row],[Other Deductions]]))</f>
        <v/>
      </c>
      <c r="W106" s="167" t="str">
        <f aca="false">IF(Salary_Calculation[[#This Row],[Source Row]]="","",ROUND(MAX(Salary_Calculation[[#This Row],[Gross Salary Before Deductions]]-Salary_Calculation[[#This Row],[Total Deductions]],0),2))</f>
        <v/>
      </c>
      <c r="X106" s="164" t="str">
        <f aca="false">IF(Salary_Calculation[[#This Row],[Source Row]]="","",ROUND(MAX(Salary_Calculation[[#This Row],[Missing-Order Deduction]]-Salary_Calculation[[#This Row],[Earned Salary]],0),2))</f>
        <v/>
      </c>
      <c r="Y10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06" s="163" t="str">
        <f aca="false">IF(Salary_Calculation[[#This Row],[Source Row]]="","",IF(INDEX(Rider_Input[Notes],Salary_Calculation[[#This Row],[Source Row]])="","",INDEX(Rider_Input[Notes],Salary_Calculation[[#This Row],[Source Row]])))</f>
        <v/>
      </c>
      <c r="AA106" s="164" t="str">
        <f aca="false">IF(Salary_Calculation[[#This Row],[Source Row]]="","",Salary_Calculation[[#This Row],[Earned Salary]]-Salary_Calculation[[#This Row],[Missing-Order Deduction]]+Salary_Calculation[[#This Row],[Extra-Order Bonus]])</f>
        <v/>
      </c>
      <c r="AB106" s="164" t="str">
        <f aca="false">IF(Salary_Calculation[[#This Row],[Source Row]]="","",ROUND(Salary_Calculation[[#This Row],[Negative Balance / Amount Due from Rider]]+MAX(Salary_Calculation[[#This Row],[Total Deductions]]-Salary_Calculation[[#This Row],[Gross Salary Before Deductions]],0),2))</f>
        <v/>
      </c>
      <c r="AC10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06" s="164" t="str">
        <f aca="false">IF(Salary_Calculation[[#This Row],[Source Row]]="","",Salary_Calculation[[#This Row],[Rider Target Orders]]*Salary_Calculation[[#This Row],[Base Order Rate]])</f>
        <v/>
      </c>
      <c r="AE106" s="162" t="str">
        <f aca="false">IF(SUMPRODUCT(--(LEN(INDEX(Rider_Input[#Data],ROW()-ROW(Salary_Calculation[#Headers]),0))&gt;0))=0,"",ROW()-ROW(Salary_Calculation[#Headers]))</f>
        <v/>
      </c>
    </row>
    <row r="107" customFormat="false" ht="14.25" hidden="false" customHeight="false" outlineLevel="0" collapsed="false">
      <c r="A107" s="161" t="str">
        <f aca="false">IF(Salary_Calculation[[#This Row],[Source Row]]="","",IF(INDEX(Rider_Input[Salary Month],Salary_Calculation[[#This Row],[Source Row]])="","",INDEX(Rider_Input[Salary Month],Salary_Calculation[[#This Row],[Source Row]])))</f>
        <v/>
      </c>
      <c r="B107" s="162" t="str">
        <f aca="false">IF(Salary_Calculation[[#This Row],[Source Row]]="","",IF(INDEX(Rider_Input[Rider ID],Salary_Calculation[[#This Row],[Source Row]])="","",INDEX(Rider_Input[Rider ID],Salary_Calculation[[#This Row],[Source Row]])))</f>
        <v/>
      </c>
      <c r="C107" s="163" t="str">
        <f aca="false">IF(Salary_Calculation[[#This Row],[Source Row]]="","",IF(INDEX(Rider_Input[Rider Name],Salary_Calculation[[#This Row],[Source Row]])="","",INDEX(Rider_Input[Rider Name],Salary_Calculation[[#This Row],[Source Row]])))</f>
        <v/>
      </c>
      <c r="D107" s="164" t="str">
        <f aca="false">IF(Salary_Calculation[[#This Row],[Source Row]]="","",IF(INDEX(Rider_Input[Basic Payment],Salary_Calculation[[#This Row],[Source Row]])="","",INDEX(Rider_Input[Basic Payment],Salary_Calculation[[#This Row],[Source Row]])))</f>
        <v/>
      </c>
      <c r="E107" s="162" t="str">
        <f aca="false">IF(Salary_Calculation[[#This Row],[Source Row]]="","",IF(INDEX(Rider_Input[Calendar Days in Month],Salary_Calculation[[#This Row],[Source Row]])="","",INDEX(Rider_Input[Calendar Days in Month],Salary_Calculation[[#This Row],[Source Row]])))</f>
        <v/>
      </c>
      <c r="F107" s="162" t="str">
        <f aca="false">IF(Salary_Calculation[[#This Row],[Source Row]]="","",IF(INDEX(Rider_Input[Working Days],Salary_Calculation[[#This Row],[Source Row]])="","",INDEX(Rider_Input[Working Days],Salary_Calculation[[#This Row],[Source Row]])))</f>
        <v/>
      </c>
      <c r="G107" s="165" t="str">
        <f aca="false">IF(Salary_Calculation[[#This Row],[Source Row]]="","",Std_Orders/Std_Days*N(Salary_Calculation[[#This Row],[Calendar Days]]))</f>
        <v/>
      </c>
      <c r="H107" s="165" t="str">
        <f aca="false">IF(Salary_Calculation[[#This Row],[Source Row]]="","",IF(N(Salary_Calculation[[#This Row],[Calendar Days]])&gt;0,Salary_Calculation[[#This Row],[Monthly Target Orders]]/N(Salary_Calculation[[#This Row],[Calendar Days]])*N(Salary_Calculation[[#This Row],[Working Days]]),0))</f>
        <v/>
      </c>
      <c r="I107" s="166" t="str">
        <f aca="false">IF(Salary_Calculation[[#This Row],[Source Row]]="","",IF(INDEX(Rider_Input[Completed Orders],Salary_Calculation[[#This Row],[Source Row]])="","",INDEX(Rider_Input[Completed Orders],Salary_Calculation[[#This Row],[Source Row]])))</f>
        <v/>
      </c>
      <c r="J107" s="165" t="str">
        <f aca="false">IF(Salary_Calculation[[#This Row],[Source Row]]="","",IF(Rate_Method="Fixed rate",Fixed_Rate,IF(N(Salary_Calculation[[#This Row],[Basic Payment]])&gt;0,N(Salary_Calculation[[#This Row],[Basic Payment]])/Std_Orders,0)))</f>
        <v/>
      </c>
      <c r="K107" s="165" t="str">
        <f aca="false">IF(Salary_Calculation[[#This Row],[Source Row]]="","",MAX(MIN(N(Salary_Calculation[[#This Row],[Completed Orders]]),Salary_Calculation[[#This Row],[Rider Target Orders]]),0))</f>
        <v/>
      </c>
      <c r="L107" s="164" t="str">
        <f aca="false">IF(Salary_Calculation[[#This Row],[Source Row]]="","",Salary_Calculation[[#This Row],[Orders Counted at Base Rate]]*Salary_Calculation[[#This Row],[Base Order Rate]])</f>
        <v/>
      </c>
      <c r="M107" s="165" t="str">
        <f aca="false">IF(Salary_Calculation[[#This Row],[Source Row]]="","",MAX(Salary_Calculation[[#This Row],[Rider Target Orders]]-N(Salary_Calculation[[#This Row],[Completed Orders]]),0))</f>
        <v/>
      </c>
      <c r="N107" s="164" t="str">
        <f aca="false">IF(Salary_Calculation[[#This Row],[Source Row]]="","",Salary_Calculation[[#This Row],[Missing Orders]]*Missing_Rate)</f>
        <v/>
      </c>
      <c r="O107" s="165" t="str">
        <f aca="false">IF(Salary_Calculation[[#This Row],[Source Row]]="","",MAX(N(Salary_Calculation[[#This Row],[Completed Orders]])-Salary_Calculation[[#This Row],[Rider Target Orders]],0))</f>
        <v/>
      </c>
      <c r="P107" s="164" t="str">
        <f aca="false">IF(Salary_Calculation[[#This Row],[Source Row]]="","",Salary_Calculation[[#This Row],[Extra Orders]]*Extra_Rate)</f>
        <v/>
      </c>
      <c r="Q107" s="164" t="str">
        <f aca="false">IF(Salary_Calculation[[#This Row],[Source Row]]="","",MAX(Salary_Calculation[[#This Row],[Salary Before Other Deductions]],0))</f>
        <v/>
      </c>
      <c r="R107" s="164" t="str">
        <f aca="false">IF(Salary_Calculation[[#This Row],[Source Row]]="","",N(INDEX(Rider_Input[missed_days_penalty],Salary_Calculation[[#This Row],[Source Row]])))</f>
        <v/>
      </c>
      <c r="S107" s="164" t="str">
        <f aca="false">IF(Salary_Calculation[[#This Row],[Source Row]]="","",N(INDEX(Rider_Input[Rider Balance / محفظة المندوب],Salary_Calculation[[#This Row],[Source Row]])))</f>
        <v/>
      </c>
      <c r="T107" s="164" t="str">
        <f aca="false">IF(Salary_Calculation[[#This Row],[Source Row]]="","",N(INDEX(Rider_Input[stacking_deduction / خصم الطلبات المتعددة],Salary_Calculation[[#This Row],[Source Row]])))</f>
        <v/>
      </c>
      <c r="U107" s="164" t="str">
        <f aca="false">IF(Salary_Calculation[[#This Row],[Source Row]]="","",N(INDEX(Rider_Input[Other Deductions],Salary_Calculation[[#This Row],[Source Row]])))</f>
        <v/>
      </c>
      <c r="V107" s="164" t="str">
        <f aca="false">IF(Salary_Calculation[[#This Row],[Source Row]]="","",N(Salary_Calculation[[#This Row],[missed_days_penalty]])+N(Salary_Calculation[[#This Row],[Rider Balance]])+N(Salary_Calculation[[#This Row],[stacking_deduction]])+N(Salary_Calculation[[#This Row],[Other Deductions]]))</f>
        <v/>
      </c>
      <c r="W107" s="167" t="str">
        <f aca="false">IF(Salary_Calculation[[#This Row],[Source Row]]="","",ROUND(MAX(Salary_Calculation[[#This Row],[Gross Salary Before Deductions]]-Salary_Calculation[[#This Row],[Total Deductions]],0),2))</f>
        <v/>
      </c>
      <c r="X107" s="164" t="str">
        <f aca="false">IF(Salary_Calculation[[#This Row],[Source Row]]="","",ROUND(MAX(Salary_Calculation[[#This Row],[Missing-Order Deduction]]-Salary_Calculation[[#This Row],[Earned Salary]],0),2))</f>
        <v/>
      </c>
      <c r="Y10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07" s="163" t="str">
        <f aca="false">IF(Salary_Calculation[[#This Row],[Source Row]]="","",IF(INDEX(Rider_Input[Notes],Salary_Calculation[[#This Row],[Source Row]])="","",INDEX(Rider_Input[Notes],Salary_Calculation[[#This Row],[Source Row]])))</f>
        <v/>
      </c>
      <c r="AA107" s="164" t="str">
        <f aca="false">IF(Salary_Calculation[[#This Row],[Source Row]]="","",Salary_Calculation[[#This Row],[Earned Salary]]-Salary_Calculation[[#This Row],[Missing-Order Deduction]]+Salary_Calculation[[#This Row],[Extra-Order Bonus]])</f>
        <v/>
      </c>
      <c r="AB107" s="164" t="str">
        <f aca="false">IF(Salary_Calculation[[#This Row],[Source Row]]="","",ROUND(Salary_Calculation[[#This Row],[Negative Balance / Amount Due from Rider]]+MAX(Salary_Calculation[[#This Row],[Total Deductions]]-Salary_Calculation[[#This Row],[Gross Salary Before Deductions]],0),2))</f>
        <v/>
      </c>
      <c r="AC10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07" s="164" t="str">
        <f aca="false">IF(Salary_Calculation[[#This Row],[Source Row]]="","",Salary_Calculation[[#This Row],[Rider Target Orders]]*Salary_Calculation[[#This Row],[Base Order Rate]])</f>
        <v/>
      </c>
      <c r="AE107" s="162" t="str">
        <f aca="false">IF(SUMPRODUCT(--(LEN(INDEX(Rider_Input[#Data],ROW()-ROW(Salary_Calculation[#Headers]),0))&gt;0))=0,"",ROW()-ROW(Salary_Calculation[#Headers]))</f>
        <v/>
      </c>
    </row>
    <row r="108" customFormat="false" ht="14.25" hidden="false" customHeight="false" outlineLevel="0" collapsed="false">
      <c r="A108" s="161" t="str">
        <f aca="false">IF(Salary_Calculation[[#This Row],[Source Row]]="","",IF(INDEX(Rider_Input[Salary Month],Salary_Calculation[[#This Row],[Source Row]])="","",INDEX(Rider_Input[Salary Month],Salary_Calculation[[#This Row],[Source Row]])))</f>
        <v/>
      </c>
      <c r="B108" s="162" t="str">
        <f aca="false">IF(Salary_Calculation[[#This Row],[Source Row]]="","",IF(INDEX(Rider_Input[Rider ID],Salary_Calculation[[#This Row],[Source Row]])="","",INDEX(Rider_Input[Rider ID],Salary_Calculation[[#This Row],[Source Row]])))</f>
        <v/>
      </c>
      <c r="C108" s="163" t="str">
        <f aca="false">IF(Salary_Calculation[[#This Row],[Source Row]]="","",IF(INDEX(Rider_Input[Rider Name],Salary_Calculation[[#This Row],[Source Row]])="","",INDEX(Rider_Input[Rider Name],Salary_Calculation[[#This Row],[Source Row]])))</f>
        <v/>
      </c>
      <c r="D108" s="164" t="str">
        <f aca="false">IF(Salary_Calculation[[#This Row],[Source Row]]="","",IF(INDEX(Rider_Input[Basic Payment],Salary_Calculation[[#This Row],[Source Row]])="","",INDEX(Rider_Input[Basic Payment],Salary_Calculation[[#This Row],[Source Row]])))</f>
        <v/>
      </c>
      <c r="E108" s="162" t="str">
        <f aca="false">IF(Salary_Calculation[[#This Row],[Source Row]]="","",IF(INDEX(Rider_Input[Calendar Days in Month],Salary_Calculation[[#This Row],[Source Row]])="","",INDEX(Rider_Input[Calendar Days in Month],Salary_Calculation[[#This Row],[Source Row]])))</f>
        <v/>
      </c>
      <c r="F108" s="162" t="str">
        <f aca="false">IF(Salary_Calculation[[#This Row],[Source Row]]="","",IF(INDEX(Rider_Input[Working Days],Salary_Calculation[[#This Row],[Source Row]])="","",INDEX(Rider_Input[Working Days],Salary_Calculation[[#This Row],[Source Row]])))</f>
        <v/>
      </c>
      <c r="G108" s="165" t="str">
        <f aca="false">IF(Salary_Calculation[[#This Row],[Source Row]]="","",Std_Orders/Std_Days*N(Salary_Calculation[[#This Row],[Calendar Days]]))</f>
        <v/>
      </c>
      <c r="H108" s="165" t="str">
        <f aca="false">IF(Salary_Calculation[[#This Row],[Source Row]]="","",IF(N(Salary_Calculation[[#This Row],[Calendar Days]])&gt;0,Salary_Calculation[[#This Row],[Monthly Target Orders]]/N(Salary_Calculation[[#This Row],[Calendar Days]])*N(Salary_Calculation[[#This Row],[Working Days]]),0))</f>
        <v/>
      </c>
      <c r="I108" s="166" t="str">
        <f aca="false">IF(Salary_Calculation[[#This Row],[Source Row]]="","",IF(INDEX(Rider_Input[Completed Orders],Salary_Calculation[[#This Row],[Source Row]])="","",INDEX(Rider_Input[Completed Orders],Salary_Calculation[[#This Row],[Source Row]])))</f>
        <v/>
      </c>
      <c r="J108" s="165" t="str">
        <f aca="false">IF(Salary_Calculation[[#This Row],[Source Row]]="","",IF(Rate_Method="Fixed rate",Fixed_Rate,IF(N(Salary_Calculation[[#This Row],[Basic Payment]])&gt;0,N(Salary_Calculation[[#This Row],[Basic Payment]])/Std_Orders,0)))</f>
        <v/>
      </c>
      <c r="K108" s="165" t="str">
        <f aca="false">IF(Salary_Calculation[[#This Row],[Source Row]]="","",MAX(MIN(N(Salary_Calculation[[#This Row],[Completed Orders]]),Salary_Calculation[[#This Row],[Rider Target Orders]]),0))</f>
        <v/>
      </c>
      <c r="L108" s="164" t="str">
        <f aca="false">IF(Salary_Calculation[[#This Row],[Source Row]]="","",Salary_Calculation[[#This Row],[Orders Counted at Base Rate]]*Salary_Calculation[[#This Row],[Base Order Rate]])</f>
        <v/>
      </c>
      <c r="M108" s="165" t="str">
        <f aca="false">IF(Salary_Calculation[[#This Row],[Source Row]]="","",MAX(Salary_Calculation[[#This Row],[Rider Target Orders]]-N(Salary_Calculation[[#This Row],[Completed Orders]]),0))</f>
        <v/>
      </c>
      <c r="N108" s="164" t="str">
        <f aca="false">IF(Salary_Calculation[[#This Row],[Source Row]]="","",Salary_Calculation[[#This Row],[Missing Orders]]*Missing_Rate)</f>
        <v/>
      </c>
      <c r="O108" s="165" t="str">
        <f aca="false">IF(Salary_Calculation[[#This Row],[Source Row]]="","",MAX(N(Salary_Calculation[[#This Row],[Completed Orders]])-Salary_Calculation[[#This Row],[Rider Target Orders]],0))</f>
        <v/>
      </c>
      <c r="P108" s="164" t="str">
        <f aca="false">IF(Salary_Calculation[[#This Row],[Source Row]]="","",Salary_Calculation[[#This Row],[Extra Orders]]*Extra_Rate)</f>
        <v/>
      </c>
      <c r="Q108" s="164" t="str">
        <f aca="false">IF(Salary_Calculation[[#This Row],[Source Row]]="","",MAX(Salary_Calculation[[#This Row],[Salary Before Other Deductions]],0))</f>
        <v/>
      </c>
      <c r="R108" s="164" t="str">
        <f aca="false">IF(Salary_Calculation[[#This Row],[Source Row]]="","",N(INDEX(Rider_Input[missed_days_penalty],Salary_Calculation[[#This Row],[Source Row]])))</f>
        <v/>
      </c>
      <c r="S108" s="164" t="str">
        <f aca="false">IF(Salary_Calculation[[#This Row],[Source Row]]="","",N(INDEX(Rider_Input[Rider Balance / محفظة المندوب],Salary_Calculation[[#This Row],[Source Row]])))</f>
        <v/>
      </c>
      <c r="T108" s="164" t="str">
        <f aca="false">IF(Salary_Calculation[[#This Row],[Source Row]]="","",N(INDEX(Rider_Input[stacking_deduction / خصم الطلبات المتعددة],Salary_Calculation[[#This Row],[Source Row]])))</f>
        <v/>
      </c>
      <c r="U108" s="164" t="str">
        <f aca="false">IF(Salary_Calculation[[#This Row],[Source Row]]="","",N(INDEX(Rider_Input[Other Deductions],Salary_Calculation[[#This Row],[Source Row]])))</f>
        <v/>
      </c>
      <c r="V108" s="164" t="str">
        <f aca="false">IF(Salary_Calculation[[#This Row],[Source Row]]="","",N(Salary_Calculation[[#This Row],[missed_days_penalty]])+N(Salary_Calculation[[#This Row],[Rider Balance]])+N(Salary_Calculation[[#This Row],[stacking_deduction]])+N(Salary_Calculation[[#This Row],[Other Deductions]]))</f>
        <v/>
      </c>
      <c r="W108" s="167" t="str">
        <f aca="false">IF(Salary_Calculation[[#This Row],[Source Row]]="","",ROUND(MAX(Salary_Calculation[[#This Row],[Gross Salary Before Deductions]]-Salary_Calculation[[#This Row],[Total Deductions]],0),2))</f>
        <v/>
      </c>
      <c r="X108" s="164" t="str">
        <f aca="false">IF(Salary_Calculation[[#This Row],[Source Row]]="","",ROUND(MAX(Salary_Calculation[[#This Row],[Missing-Order Deduction]]-Salary_Calculation[[#This Row],[Earned Salary]],0),2))</f>
        <v/>
      </c>
      <c r="Y10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08" s="163" t="str">
        <f aca="false">IF(Salary_Calculation[[#This Row],[Source Row]]="","",IF(INDEX(Rider_Input[Notes],Salary_Calculation[[#This Row],[Source Row]])="","",INDEX(Rider_Input[Notes],Salary_Calculation[[#This Row],[Source Row]])))</f>
        <v/>
      </c>
      <c r="AA108" s="164" t="str">
        <f aca="false">IF(Salary_Calculation[[#This Row],[Source Row]]="","",Salary_Calculation[[#This Row],[Earned Salary]]-Salary_Calculation[[#This Row],[Missing-Order Deduction]]+Salary_Calculation[[#This Row],[Extra-Order Bonus]])</f>
        <v/>
      </c>
      <c r="AB108" s="164" t="str">
        <f aca="false">IF(Salary_Calculation[[#This Row],[Source Row]]="","",ROUND(Salary_Calculation[[#This Row],[Negative Balance / Amount Due from Rider]]+MAX(Salary_Calculation[[#This Row],[Total Deductions]]-Salary_Calculation[[#This Row],[Gross Salary Before Deductions]],0),2))</f>
        <v/>
      </c>
      <c r="AC10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08" s="164" t="str">
        <f aca="false">IF(Salary_Calculation[[#This Row],[Source Row]]="","",Salary_Calculation[[#This Row],[Rider Target Orders]]*Salary_Calculation[[#This Row],[Base Order Rate]])</f>
        <v/>
      </c>
      <c r="AE108" s="162" t="str">
        <f aca="false">IF(SUMPRODUCT(--(LEN(INDEX(Rider_Input[#Data],ROW()-ROW(Salary_Calculation[#Headers]),0))&gt;0))=0,"",ROW()-ROW(Salary_Calculation[#Headers]))</f>
        <v/>
      </c>
    </row>
    <row r="109" customFormat="false" ht="14.25" hidden="false" customHeight="false" outlineLevel="0" collapsed="false">
      <c r="A109" s="161" t="str">
        <f aca="false">IF(Salary_Calculation[[#This Row],[Source Row]]="","",IF(INDEX(Rider_Input[Salary Month],Salary_Calculation[[#This Row],[Source Row]])="","",INDEX(Rider_Input[Salary Month],Salary_Calculation[[#This Row],[Source Row]])))</f>
        <v/>
      </c>
      <c r="B109" s="162" t="str">
        <f aca="false">IF(Salary_Calculation[[#This Row],[Source Row]]="","",IF(INDEX(Rider_Input[Rider ID],Salary_Calculation[[#This Row],[Source Row]])="","",INDEX(Rider_Input[Rider ID],Salary_Calculation[[#This Row],[Source Row]])))</f>
        <v/>
      </c>
      <c r="C109" s="163" t="str">
        <f aca="false">IF(Salary_Calculation[[#This Row],[Source Row]]="","",IF(INDEX(Rider_Input[Rider Name],Salary_Calculation[[#This Row],[Source Row]])="","",INDEX(Rider_Input[Rider Name],Salary_Calculation[[#This Row],[Source Row]])))</f>
        <v/>
      </c>
      <c r="D109" s="164" t="str">
        <f aca="false">IF(Salary_Calculation[[#This Row],[Source Row]]="","",IF(INDEX(Rider_Input[Basic Payment],Salary_Calculation[[#This Row],[Source Row]])="","",INDEX(Rider_Input[Basic Payment],Salary_Calculation[[#This Row],[Source Row]])))</f>
        <v/>
      </c>
      <c r="E109" s="162" t="str">
        <f aca="false">IF(Salary_Calculation[[#This Row],[Source Row]]="","",IF(INDEX(Rider_Input[Calendar Days in Month],Salary_Calculation[[#This Row],[Source Row]])="","",INDEX(Rider_Input[Calendar Days in Month],Salary_Calculation[[#This Row],[Source Row]])))</f>
        <v/>
      </c>
      <c r="F109" s="162" t="str">
        <f aca="false">IF(Salary_Calculation[[#This Row],[Source Row]]="","",IF(INDEX(Rider_Input[Working Days],Salary_Calculation[[#This Row],[Source Row]])="","",INDEX(Rider_Input[Working Days],Salary_Calculation[[#This Row],[Source Row]])))</f>
        <v/>
      </c>
      <c r="G109" s="165" t="str">
        <f aca="false">IF(Salary_Calculation[[#This Row],[Source Row]]="","",Std_Orders/Std_Days*N(Salary_Calculation[[#This Row],[Calendar Days]]))</f>
        <v/>
      </c>
      <c r="H109" s="165" t="str">
        <f aca="false">IF(Salary_Calculation[[#This Row],[Source Row]]="","",IF(N(Salary_Calculation[[#This Row],[Calendar Days]])&gt;0,Salary_Calculation[[#This Row],[Monthly Target Orders]]/N(Salary_Calculation[[#This Row],[Calendar Days]])*N(Salary_Calculation[[#This Row],[Working Days]]),0))</f>
        <v/>
      </c>
      <c r="I109" s="166" t="str">
        <f aca="false">IF(Salary_Calculation[[#This Row],[Source Row]]="","",IF(INDEX(Rider_Input[Completed Orders],Salary_Calculation[[#This Row],[Source Row]])="","",INDEX(Rider_Input[Completed Orders],Salary_Calculation[[#This Row],[Source Row]])))</f>
        <v/>
      </c>
      <c r="J109" s="165" t="str">
        <f aca="false">IF(Salary_Calculation[[#This Row],[Source Row]]="","",IF(Rate_Method="Fixed rate",Fixed_Rate,IF(N(Salary_Calculation[[#This Row],[Basic Payment]])&gt;0,N(Salary_Calculation[[#This Row],[Basic Payment]])/Std_Orders,0)))</f>
        <v/>
      </c>
      <c r="K109" s="165" t="str">
        <f aca="false">IF(Salary_Calculation[[#This Row],[Source Row]]="","",MAX(MIN(N(Salary_Calculation[[#This Row],[Completed Orders]]),Salary_Calculation[[#This Row],[Rider Target Orders]]),0))</f>
        <v/>
      </c>
      <c r="L109" s="164" t="str">
        <f aca="false">IF(Salary_Calculation[[#This Row],[Source Row]]="","",Salary_Calculation[[#This Row],[Orders Counted at Base Rate]]*Salary_Calculation[[#This Row],[Base Order Rate]])</f>
        <v/>
      </c>
      <c r="M109" s="165" t="str">
        <f aca="false">IF(Salary_Calculation[[#This Row],[Source Row]]="","",MAX(Salary_Calculation[[#This Row],[Rider Target Orders]]-N(Salary_Calculation[[#This Row],[Completed Orders]]),0))</f>
        <v/>
      </c>
      <c r="N109" s="164" t="str">
        <f aca="false">IF(Salary_Calculation[[#This Row],[Source Row]]="","",Salary_Calculation[[#This Row],[Missing Orders]]*Missing_Rate)</f>
        <v/>
      </c>
      <c r="O109" s="165" t="str">
        <f aca="false">IF(Salary_Calculation[[#This Row],[Source Row]]="","",MAX(N(Salary_Calculation[[#This Row],[Completed Orders]])-Salary_Calculation[[#This Row],[Rider Target Orders]],0))</f>
        <v/>
      </c>
      <c r="P109" s="164" t="str">
        <f aca="false">IF(Salary_Calculation[[#This Row],[Source Row]]="","",Salary_Calculation[[#This Row],[Extra Orders]]*Extra_Rate)</f>
        <v/>
      </c>
      <c r="Q109" s="164" t="str">
        <f aca="false">IF(Salary_Calculation[[#This Row],[Source Row]]="","",MAX(Salary_Calculation[[#This Row],[Salary Before Other Deductions]],0))</f>
        <v/>
      </c>
      <c r="R109" s="164" t="str">
        <f aca="false">IF(Salary_Calculation[[#This Row],[Source Row]]="","",N(INDEX(Rider_Input[missed_days_penalty],Salary_Calculation[[#This Row],[Source Row]])))</f>
        <v/>
      </c>
      <c r="S109" s="164" t="str">
        <f aca="false">IF(Salary_Calculation[[#This Row],[Source Row]]="","",N(INDEX(Rider_Input[Rider Balance / محفظة المندوب],Salary_Calculation[[#This Row],[Source Row]])))</f>
        <v/>
      </c>
      <c r="T109" s="164" t="str">
        <f aca="false">IF(Salary_Calculation[[#This Row],[Source Row]]="","",N(INDEX(Rider_Input[stacking_deduction / خصم الطلبات المتعددة],Salary_Calculation[[#This Row],[Source Row]])))</f>
        <v/>
      </c>
      <c r="U109" s="164" t="str">
        <f aca="false">IF(Salary_Calculation[[#This Row],[Source Row]]="","",N(INDEX(Rider_Input[Other Deductions],Salary_Calculation[[#This Row],[Source Row]])))</f>
        <v/>
      </c>
      <c r="V109" s="164" t="str">
        <f aca="false">IF(Salary_Calculation[[#This Row],[Source Row]]="","",N(Salary_Calculation[[#This Row],[missed_days_penalty]])+N(Salary_Calculation[[#This Row],[Rider Balance]])+N(Salary_Calculation[[#This Row],[stacking_deduction]])+N(Salary_Calculation[[#This Row],[Other Deductions]]))</f>
        <v/>
      </c>
      <c r="W109" s="167" t="str">
        <f aca="false">IF(Salary_Calculation[[#This Row],[Source Row]]="","",ROUND(MAX(Salary_Calculation[[#This Row],[Gross Salary Before Deductions]]-Salary_Calculation[[#This Row],[Total Deductions]],0),2))</f>
        <v/>
      </c>
      <c r="X109" s="164" t="str">
        <f aca="false">IF(Salary_Calculation[[#This Row],[Source Row]]="","",ROUND(MAX(Salary_Calculation[[#This Row],[Missing-Order Deduction]]-Salary_Calculation[[#This Row],[Earned Salary]],0),2))</f>
        <v/>
      </c>
      <c r="Y10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09" s="163" t="str">
        <f aca="false">IF(Salary_Calculation[[#This Row],[Source Row]]="","",IF(INDEX(Rider_Input[Notes],Salary_Calculation[[#This Row],[Source Row]])="","",INDEX(Rider_Input[Notes],Salary_Calculation[[#This Row],[Source Row]])))</f>
        <v/>
      </c>
      <c r="AA109" s="164" t="str">
        <f aca="false">IF(Salary_Calculation[[#This Row],[Source Row]]="","",Salary_Calculation[[#This Row],[Earned Salary]]-Salary_Calculation[[#This Row],[Missing-Order Deduction]]+Salary_Calculation[[#This Row],[Extra-Order Bonus]])</f>
        <v/>
      </c>
      <c r="AB109" s="164" t="str">
        <f aca="false">IF(Salary_Calculation[[#This Row],[Source Row]]="","",ROUND(Salary_Calculation[[#This Row],[Negative Balance / Amount Due from Rider]]+MAX(Salary_Calculation[[#This Row],[Total Deductions]]-Salary_Calculation[[#This Row],[Gross Salary Before Deductions]],0),2))</f>
        <v/>
      </c>
      <c r="AC10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09" s="164" t="str">
        <f aca="false">IF(Salary_Calculation[[#This Row],[Source Row]]="","",Salary_Calculation[[#This Row],[Rider Target Orders]]*Salary_Calculation[[#This Row],[Base Order Rate]])</f>
        <v/>
      </c>
      <c r="AE109" s="162" t="str">
        <f aca="false">IF(SUMPRODUCT(--(LEN(INDEX(Rider_Input[#Data],ROW()-ROW(Salary_Calculation[#Headers]),0))&gt;0))=0,"",ROW()-ROW(Salary_Calculation[#Headers]))</f>
        <v/>
      </c>
    </row>
    <row r="110" customFormat="false" ht="14.25" hidden="false" customHeight="false" outlineLevel="0" collapsed="false">
      <c r="A110" s="161" t="str">
        <f aca="false">IF(Salary_Calculation[[#This Row],[Source Row]]="","",IF(INDEX(Rider_Input[Salary Month],Salary_Calculation[[#This Row],[Source Row]])="","",INDEX(Rider_Input[Salary Month],Salary_Calculation[[#This Row],[Source Row]])))</f>
        <v/>
      </c>
      <c r="B110" s="162" t="str">
        <f aca="false">IF(Salary_Calculation[[#This Row],[Source Row]]="","",IF(INDEX(Rider_Input[Rider ID],Salary_Calculation[[#This Row],[Source Row]])="","",INDEX(Rider_Input[Rider ID],Salary_Calculation[[#This Row],[Source Row]])))</f>
        <v/>
      </c>
      <c r="C110" s="163" t="str">
        <f aca="false">IF(Salary_Calculation[[#This Row],[Source Row]]="","",IF(INDEX(Rider_Input[Rider Name],Salary_Calculation[[#This Row],[Source Row]])="","",INDEX(Rider_Input[Rider Name],Salary_Calculation[[#This Row],[Source Row]])))</f>
        <v/>
      </c>
      <c r="D110" s="164" t="str">
        <f aca="false">IF(Salary_Calculation[[#This Row],[Source Row]]="","",IF(INDEX(Rider_Input[Basic Payment],Salary_Calculation[[#This Row],[Source Row]])="","",INDEX(Rider_Input[Basic Payment],Salary_Calculation[[#This Row],[Source Row]])))</f>
        <v/>
      </c>
      <c r="E110" s="162" t="str">
        <f aca="false">IF(Salary_Calculation[[#This Row],[Source Row]]="","",IF(INDEX(Rider_Input[Calendar Days in Month],Salary_Calculation[[#This Row],[Source Row]])="","",INDEX(Rider_Input[Calendar Days in Month],Salary_Calculation[[#This Row],[Source Row]])))</f>
        <v/>
      </c>
      <c r="F110" s="162" t="str">
        <f aca="false">IF(Salary_Calculation[[#This Row],[Source Row]]="","",IF(INDEX(Rider_Input[Working Days],Salary_Calculation[[#This Row],[Source Row]])="","",INDEX(Rider_Input[Working Days],Salary_Calculation[[#This Row],[Source Row]])))</f>
        <v/>
      </c>
      <c r="G110" s="165" t="str">
        <f aca="false">IF(Salary_Calculation[[#This Row],[Source Row]]="","",Std_Orders/Std_Days*N(Salary_Calculation[[#This Row],[Calendar Days]]))</f>
        <v/>
      </c>
      <c r="H110" s="165" t="str">
        <f aca="false">IF(Salary_Calculation[[#This Row],[Source Row]]="","",IF(N(Salary_Calculation[[#This Row],[Calendar Days]])&gt;0,Salary_Calculation[[#This Row],[Monthly Target Orders]]/N(Salary_Calculation[[#This Row],[Calendar Days]])*N(Salary_Calculation[[#This Row],[Working Days]]),0))</f>
        <v/>
      </c>
      <c r="I110" s="166" t="str">
        <f aca="false">IF(Salary_Calculation[[#This Row],[Source Row]]="","",IF(INDEX(Rider_Input[Completed Orders],Salary_Calculation[[#This Row],[Source Row]])="","",INDEX(Rider_Input[Completed Orders],Salary_Calculation[[#This Row],[Source Row]])))</f>
        <v/>
      </c>
      <c r="J110" s="165" t="str">
        <f aca="false">IF(Salary_Calculation[[#This Row],[Source Row]]="","",IF(Rate_Method="Fixed rate",Fixed_Rate,IF(N(Salary_Calculation[[#This Row],[Basic Payment]])&gt;0,N(Salary_Calculation[[#This Row],[Basic Payment]])/Std_Orders,0)))</f>
        <v/>
      </c>
      <c r="K110" s="165" t="str">
        <f aca="false">IF(Salary_Calculation[[#This Row],[Source Row]]="","",MAX(MIN(N(Salary_Calculation[[#This Row],[Completed Orders]]),Salary_Calculation[[#This Row],[Rider Target Orders]]),0))</f>
        <v/>
      </c>
      <c r="L110" s="164" t="str">
        <f aca="false">IF(Salary_Calculation[[#This Row],[Source Row]]="","",Salary_Calculation[[#This Row],[Orders Counted at Base Rate]]*Salary_Calculation[[#This Row],[Base Order Rate]])</f>
        <v/>
      </c>
      <c r="M110" s="165" t="str">
        <f aca="false">IF(Salary_Calculation[[#This Row],[Source Row]]="","",MAX(Salary_Calculation[[#This Row],[Rider Target Orders]]-N(Salary_Calculation[[#This Row],[Completed Orders]]),0))</f>
        <v/>
      </c>
      <c r="N110" s="164" t="str">
        <f aca="false">IF(Salary_Calculation[[#This Row],[Source Row]]="","",Salary_Calculation[[#This Row],[Missing Orders]]*Missing_Rate)</f>
        <v/>
      </c>
      <c r="O110" s="165" t="str">
        <f aca="false">IF(Salary_Calculation[[#This Row],[Source Row]]="","",MAX(N(Salary_Calculation[[#This Row],[Completed Orders]])-Salary_Calculation[[#This Row],[Rider Target Orders]],0))</f>
        <v/>
      </c>
      <c r="P110" s="164" t="str">
        <f aca="false">IF(Salary_Calculation[[#This Row],[Source Row]]="","",Salary_Calculation[[#This Row],[Extra Orders]]*Extra_Rate)</f>
        <v/>
      </c>
      <c r="Q110" s="164" t="str">
        <f aca="false">IF(Salary_Calculation[[#This Row],[Source Row]]="","",MAX(Salary_Calculation[[#This Row],[Salary Before Other Deductions]],0))</f>
        <v/>
      </c>
      <c r="R110" s="164" t="str">
        <f aca="false">IF(Salary_Calculation[[#This Row],[Source Row]]="","",N(INDEX(Rider_Input[missed_days_penalty],Salary_Calculation[[#This Row],[Source Row]])))</f>
        <v/>
      </c>
      <c r="S110" s="164" t="str">
        <f aca="false">IF(Salary_Calculation[[#This Row],[Source Row]]="","",N(INDEX(Rider_Input[Rider Balance / محفظة المندوب],Salary_Calculation[[#This Row],[Source Row]])))</f>
        <v/>
      </c>
      <c r="T110" s="164" t="str">
        <f aca="false">IF(Salary_Calculation[[#This Row],[Source Row]]="","",N(INDEX(Rider_Input[stacking_deduction / خصم الطلبات المتعددة],Salary_Calculation[[#This Row],[Source Row]])))</f>
        <v/>
      </c>
      <c r="U110" s="164" t="str">
        <f aca="false">IF(Salary_Calculation[[#This Row],[Source Row]]="","",N(INDEX(Rider_Input[Other Deductions],Salary_Calculation[[#This Row],[Source Row]])))</f>
        <v/>
      </c>
      <c r="V110" s="164" t="str">
        <f aca="false">IF(Salary_Calculation[[#This Row],[Source Row]]="","",N(Salary_Calculation[[#This Row],[missed_days_penalty]])+N(Salary_Calculation[[#This Row],[Rider Balance]])+N(Salary_Calculation[[#This Row],[stacking_deduction]])+N(Salary_Calculation[[#This Row],[Other Deductions]]))</f>
        <v/>
      </c>
      <c r="W110" s="167" t="str">
        <f aca="false">IF(Salary_Calculation[[#This Row],[Source Row]]="","",ROUND(MAX(Salary_Calculation[[#This Row],[Gross Salary Before Deductions]]-Salary_Calculation[[#This Row],[Total Deductions]],0),2))</f>
        <v/>
      </c>
      <c r="X110" s="164" t="str">
        <f aca="false">IF(Salary_Calculation[[#This Row],[Source Row]]="","",ROUND(MAX(Salary_Calculation[[#This Row],[Missing-Order Deduction]]-Salary_Calculation[[#This Row],[Earned Salary]],0),2))</f>
        <v/>
      </c>
      <c r="Y11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10" s="163" t="str">
        <f aca="false">IF(Salary_Calculation[[#This Row],[Source Row]]="","",IF(INDEX(Rider_Input[Notes],Salary_Calculation[[#This Row],[Source Row]])="","",INDEX(Rider_Input[Notes],Salary_Calculation[[#This Row],[Source Row]])))</f>
        <v/>
      </c>
      <c r="AA110" s="164" t="str">
        <f aca="false">IF(Salary_Calculation[[#This Row],[Source Row]]="","",Salary_Calculation[[#This Row],[Earned Salary]]-Salary_Calculation[[#This Row],[Missing-Order Deduction]]+Salary_Calculation[[#This Row],[Extra-Order Bonus]])</f>
        <v/>
      </c>
      <c r="AB110" s="164" t="str">
        <f aca="false">IF(Salary_Calculation[[#This Row],[Source Row]]="","",ROUND(Salary_Calculation[[#This Row],[Negative Balance / Amount Due from Rider]]+MAX(Salary_Calculation[[#This Row],[Total Deductions]]-Salary_Calculation[[#This Row],[Gross Salary Before Deductions]],0),2))</f>
        <v/>
      </c>
      <c r="AC11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10" s="164" t="str">
        <f aca="false">IF(Salary_Calculation[[#This Row],[Source Row]]="","",Salary_Calculation[[#This Row],[Rider Target Orders]]*Salary_Calculation[[#This Row],[Base Order Rate]])</f>
        <v/>
      </c>
      <c r="AE110" s="162" t="str">
        <f aca="false">IF(SUMPRODUCT(--(LEN(INDEX(Rider_Input[#Data],ROW()-ROW(Salary_Calculation[#Headers]),0))&gt;0))=0,"",ROW()-ROW(Salary_Calculation[#Headers]))</f>
        <v/>
      </c>
    </row>
    <row r="111" customFormat="false" ht="14.25" hidden="false" customHeight="false" outlineLevel="0" collapsed="false">
      <c r="A111" s="161" t="str">
        <f aca="false">IF(Salary_Calculation[[#This Row],[Source Row]]="","",IF(INDEX(Rider_Input[Salary Month],Salary_Calculation[[#This Row],[Source Row]])="","",INDEX(Rider_Input[Salary Month],Salary_Calculation[[#This Row],[Source Row]])))</f>
        <v/>
      </c>
      <c r="B111" s="162" t="str">
        <f aca="false">IF(Salary_Calculation[[#This Row],[Source Row]]="","",IF(INDEX(Rider_Input[Rider ID],Salary_Calculation[[#This Row],[Source Row]])="","",INDEX(Rider_Input[Rider ID],Salary_Calculation[[#This Row],[Source Row]])))</f>
        <v/>
      </c>
      <c r="C111" s="163" t="str">
        <f aca="false">IF(Salary_Calculation[[#This Row],[Source Row]]="","",IF(INDEX(Rider_Input[Rider Name],Salary_Calculation[[#This Row],[Source Row]])="","",INDEX(Rider_Input[Rider Name],Salary_Calculation[[#This Row],[Source Row]])))</f>
        <v/>
      </c>
      <c r="D111" s="164" t="str">
        <f aca="false">IF(Salary_Calculation[[#This Row],[Source Row]]="","",IF(INDEX(Rider_Input[Basic Payment],Salary_Calculation[[#This Row],[Source Row]])="","",INDEX(Rider_Input[Basic Payment],Salary_Calculation[[#This Row],[Source Row]])))</f>
        <v/>
      </c>
      <c r="E111" s="162" t="str">
        <f aca="false">IF(Salary_Calculation[[#This Row],[Source Row]]="","",IF(INDEX(Rider_Input[Calendar Days in Month],Salary_Calculation[[#This Row],[Source Row]])="","",INDEX(Rider_Input[Calendar Days in Month],Salary_Calculation[[#This Row],[Source Row]])))</f>
        <v/>
      </c>
      <c r="F111" s="162" t="str">
        <f aca="false">IF(Salary_Calculation[[#This Row],[Source Row]]="","",IF(INDEX(Rider_Input[Working Days],Salary_Calculation[[#This Row],[Source Row]])="","",INDEX(Rider_Input[Working Days],Salary_Calculation[[#This Row],[Source Row]])))</f>
        <v/>
      </c>
      <c r="G111" s="165" t="str">
        <f aca="false">IF(Salary_Calculation[[#This Row],[Source Row]]="","",Std_Orders/Std_Days*N(Salary_Calculation[[#This Row],[Calendar Days]]))</f>
        <v/>
      </c>
      <c r="H111" s="165" t="str">
        <f aca="false">IF(Salary_Calculation[[#This Row],[Source Row]]="","",IF(N(Salary_Calculation[[#This Row],[Calendar Days]])&gt;0,Salary_Calculation[[#This Row],[Monthly Target Orders]]/N(Salary_Calculation[[#This Row],[Calendar Days]])*N(Salary_Calculation[[#This Row],[Working Days]]),0))</f>
        <v/>
      </c>
      <c r="I111" s="166" t="str">
        <f aca="false">IF(Salary_Calculation[[#This Row],[Source Row]]="","",IF(INDEX(Rider_Input[Completed Orders],Salary_Calculation[[#This Row],[Source Row]])="","",INDEX(Rider_Input[Completed Orders],Salary_Calculation[[#This Row],[Source Row]])))</f>
        <v/>
      </c>
      <c r="J111" s="165" t="str">
        <f aca="false">IF(Salary_Calculation[[#This Row],[Source Row]]="","",IF(Rate_Method="Fixed rate",Fixed_Rate,IF(N(Salary_Calculation[[#This Row],[Basic Payment]])&gt;0,N(Salary_Calculation[[#This Row],[Basic Payment]])/Std_Orders,0)))</f>
        <v/>
      </c>
      <c r="K111" s="165" t="str">
        <f aca="false">IF(Salary_Calculation[[#This Row],[Source Row]]="","",MAX(MIN(N(Salary_Calculation[[#This Row],[Completed Orders]]),Salary_Calculation[[#This Row],[Rider Target Orders]]),0))</f>
        <v/>
      </c>
      <c r="L111" s="164" t="str">
        <f aca="false">IF(Salary_Calculation[[#This Row],[Source Row]]="","",Salary_Calculation[[#This Row],[Orders Counted at Base Rate]]*Salary_Calculation[[#This Row],[Base Order Rate]])</f>
        <v/>
      </c>
      <c r="M111" s="165" t="str">
        <f aca="false">IF(Salary_Calculation[[#This Row],[Source Row]]="","",MAX(Salary_Calculation[[#This Row],[Rider Target Orders]]-N(Salary_Calculation[[#This Row],[Completed Orders]]),0))</f>
        <v/>
      </c>
      <c r="N111" s="164" t="str">
        <f aca="false">IF(Salary_Calculation[[#This Row],[Source Row]]="","",Salary_Calculation[[#This Row],[Missing Orders]]*Missing_Rate)</f>
        <v/>
      </c>
      <c r="O111" s="165" t="str">
        <f aca="false">IF(Salary_Calculation[[#This Row],[Source Row]]="","",MAX(N(Salary_Calculation[[#This Row],[Completed Orders]])-Salary_Calculation[[#This Row],[Rider Target Orders]],0))</f>
        <v/>
      </c>
      <c r="P111" s="164" t="str">
        <f aca="false">IF(Salary_Calculation[[#This Row],[Source Row]]="","",Salary_Calculation[[#This Row],[Extra Orders]]*Extra_Rate)</f>
        <v/>
      </c>
      <c r="Q111" s="164" t="str">
        <f aca="false">IF(Salary_Calculation[[#This Row],[Source Row]]="","",MAX(Salary_Calculation[[#This Row],[Salary Before Other Deductions]],0))</f>
        <v/>
      </c>
      <c r="R111" s="164" t="str">
        <f aca="false">IF(Salary_Calculation[[#This Row],[Source Row]]="","",N(INDEX(Rider_Input[missed_days_penalty],Salary_Calculation[[#This Row],[Source Row]])))</f>
        <v/>
      </c>
      <c r="S111" s="164" t="str">
        <f aca="false">IF(Salary_Calculation[[#This Row],[Source Row]]="","",N(INDEX(Rider_Input[Rider Balance / محفظة المندوب],Salary_Calculation[[#This Row],[Source Row]])))</f>
        <v/>
      </c>
      <c r="T111" s="164" t="str">
        <f aca="false">IF(Salary_Calculation[[#This Row],[Source Row]]="","",N(INDEX(Rider_Input[stacking_deduction / خصم الطلبات المتعددة],Salary_Calculation[[#This Row],[Source Row]])))</f>
        <v/>
      </c>
      <c r="U111" s="164" t="str">
        <f aca="false">IF(Salary_Calculation[[#This Row],[Source Row]]="","",N(INDEX(Rider_Input[Other Deductions],Salary_Calculation[[#This Row],[Source Row]])))</f>
        <v/>
      </c>
      <c r="V111" s="164" t="str">
        <f aca="false">IF(Salary_Calculation[[#This Row],[Source Row]]="","",N(Salary_Calculation[[#This Row],[missed_days_penalty]])+N(Salary_Calculation[[#This Row],[Rider Balance]])+N(Salary_Calculation[[#This Row],[stacking_deduction]])+N(Salary_Calculation[[#This Row],[Other Deductions]]))</f>
        <v/>
      </c>
      <c r="W111" s="167" t="str">
        <f aca="false">IF(Salary_Calculation[[#This Row],[Source Row]]="","",ROUND(MAX(Salary_Calculation[[#This Row],[Gross Salary Before Deductions]]-Salary_Calculation[[#This Row],[Total Deductions]],0),2))</f>
        <v/>
      </c>
      <c r="X111" s="164" t="str">
        <f aca="false">IF(Salary_Calculation[[#This Row],[Source Row]]="","",ROUND(MAX(Salary_Calculation[[#This Row],[Missing-Order Deduction]]-Salary_Calculation[[#This Row],[Earned Salary]],0),2))</f>
        <v/>
      </c>
      <c r="Y11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11" s="163" t="str">
        <f aca="false">IF(Salary_Calculation[[#This Row],[Source Row]]="","",IF(INDEX(Rider_Input[Notes],Salary_Calculation[[#This Row],[Source Row]])="","",INDEX(Rider_Input[Notes],Salary_Calculation[[#This Row],[Source Row]])))</f>
        <v/>
      </c>
      <c r="AA111" s="164" t="str">
        <f aca="false">IF(Salary_Calculation[[#This Row],[Source Row]]="","",Salary_Calculation[[#This Row],[Earned Salary]]-Salary_Calculation[[#This Row],[Missing-Order Deduction]]+Salary_Calculation[[#This Row],[Extra-Order Bonus]])</f>
        <v/>
      </c>
      <c r="AB111" s="164" t="str">
        <f aca="false">IF(Salary_Calculation[[#This Row],[Source Row]]="","",ROUND(Salary_Calculation[[#This Row],[Negative Balance / Amount Due from Rider]]+MAX(Salary_Calculation[[#This Row],[Total Deductions]]-Salary_Calculation[[#This Row],[Gross Salary Before Deductions]],0),2))</f>
        <v/>
      </c>
      <c r="AC11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11" s="164" t="str">
        <f aca="false">IF(Salary_Calculation[[#This Row],[Source Row]]="","",Salary_Calculation[[#This Row],[Rider Target Orders]]*Salary_Calculation[[#This Row],[Base Order Rate]])</f>
        <v/>
      </c>
      <c r="AE111" s="162" t="str">
        <f aca="false">IF(SUMPRODUCT(--(LEN(INDEX(Rider_Input[#Data],ROW()-ROW(Salary_Calculation[#Headers]),0))&gt;0))=0,"",ROW()-ROW(Salary_Calculation[#Headers]))</f>
        <v/>
      </c>
    </row>
    <row r="112" customFormat="false" ht="14.25" hidden="false" customHeight="false" outlineLevel="0" collapsed="false">
      <c r="A112" s="161" t="str">
        <f aca="false">IF(Salary_Calculation[[#This Row],[Source Row]]="","",IF(INDEX(Rider_Input[Salary Month],Salary_Calculation[[#This Row],[Source Row]])="","",INDEX(Rider_Input[Salary Month],Salary_Calculation[[#This Row],[Source Row]])))</f>
        <v/>
      </c>
      <c r="B112" s="162" t="str">
        <f aca="false">IF(Salary_Calculation[[#This Row],[Source Row]]="","",IF(INDEX(Rider_Input[Rider ID],Salary_Calculation[[#This Row],[Source Row]])="","",INDEX(Rider_Input[Rider ID],Salary_Calculation[[#This Row],[Source Row]])))</f>
        <v/>
      </c>
      <c r="C112" s="163" t="str">
        <f aca="false">IF(Salary_Calculation[[#This Row],[Source Row]]="","",IF(INDEX(Rider_Input[Rider Name],Salary_Calculation[[#This Row],[Source Row]])="","",INDEX(Rider_Input[Rider Name],Salary_Calculation[[#This Row],[Source Row]])))</f>
        <v/>
      </c>
      <c r="D112" s="164" t="str">
        <f aca="false">IF(Salary_Calculation[[#This Row],[Source Row]]="","",IF(INDEX(Rider_Input[Basic Payment],Salary_Calculation[[#This Row],[Source Row]])="","",INDEX(Rider_Input[Basic Payment],Salary_Calculation[[#This Row],[Source Row]])))</f>
        <v/>
      </c>
      <c r="E112" s="162" t="str">
        <f aca="false">IF(Salary_Calculation[[#This Row],[Source Row]]="","",IF(INDEX(Rider_Input[Calendar Days in Month],Salary_Calculation[[#This Row],[Source Row]])="","",INDEX(Rider_Input[Calendar Days in Month],Salary_Calculation[[#This Row],[Source Row]])))</f>
        <v/>
      </c>
      <c r="F112" s="162" t="str">
        <f aca="false">IF(Salary_Calculation[[#This Row],[Source Row]]="","",IF(INDEX(Rider_Input[Working Days],Salary_Calculation[[#This Row],[Source Row]])="","",INDEX(Rider_Input[Working Days],Salary_Calculation[[#This Row],[Source Row]])))</f>
        <v/>
      </c>
      <c r="G112" s="165" t="str">
        <f aca="false">IF(Salary_Calculation[[#This Row],[Source Row]]="","",Std_Orders/Std_Days*N(Salary_Calculation[[#This Row],[Calendar Days]]))</f>
        <v/>
      </c>
      <c r="H112" s="165" t="str">
        <f aca="false">IF(Salary_Calculation[[#This Row],[Source Row]]="","",IF(N(Salary_Calculation[[#This Row],[Calendar Days]])&gt;0,Salary_Calculation[[#This Row],[Monthly Target Orders]]/N(Salary_Calculation[[#This Row],[Calendar Days]])*N(Salary_Calculation[[#This Row],[Working Days]]),0))</f>
        <v/>
      </c>
      <c r="I112" s="166" t="str">
        <f aca="false">IF(Salary_Calculation[[#This Row],[Source Row]]="","",IF(INDEX(Rider_Input[Completed Orders],Salary_Calculation[[#This Row],[Source Row]])="","",INDEX(Rider_Input[Completed Orders],Salary_Calculation[[#This Row],[Source Row]])))</f>
        <v/>
      </c>
      <c r="J112" s="165" t="str">
        <f aca="false">IF(Salary_Calculation[[#This Row],[Source Row]]="","",IF(Rate_Method="Fixed rate",Fixed_Rate,IF(N(Salary_Calculation[[#This Row],[Basic Payment]])&gt;0,N(Salary_Calculation[[#This Row],[Basic Payment]])/Std_Orders,0)))</f>
        <v/>
      </c>
      <c r="K112" s="165" t="str">
        <f aca="false">IF(Salary_Calculation[[#This Row],[Source Row]]="","",MAX(MIN(N(Salary_Calculation[[#This Row],[Completed Orders]]),Salary_Calculation[[#This Row],[Rider Target Orders]]),0))</f>
        <v/>
      </c>
      <c r="L112" s="164" t="str">
        <f aca="false">IF(Salary_Calculation[[#This Row],[Source Row]]="","",Salary_Calculation[[#This Row],[Orders Counted at Base Rate]]*Salary_Calculation[[#This Row],[Base Order Rate]])</f>
        <v/>
      </c>
      <c r="M112" s="165" t="str">
        <f aca="false">IF(Salary_Calculation[[#This Row],[Source Row]]="","",MAX(Salary_Calculation[[#This Row],[Rider Target Orders]]-N(Salary_Calculation[[#This Row],[Completed Orders]]),0))</f>
        <v/>
      </c>
      <c r="N112" s="164" t="str">
        <f aca="false">IF(Salary_Calculation[[#This Row],[Source Row]]="","",Salary_Calculation[[#This Row],[Missing Orders]]*Missing_Rate)</f>
        <v/>
      </c>
      <c r="O112" s="165" t="str">
        <f aca="false">IF(Salary_Calculation[[#This Row],[Source Row]]="","",MAX(N(Salary_Calculation[[#This Row],[Completed Orders]])-Salary_Calculation[[#This Row],[Rider Target Orders]],0))</f>
        <v/>
      </c>
      <c r="P112" s="164" t="str">
        <f aca="false">IF(Salary_Calculation[[#This Row],[Source Row]]="","",Salary_Calculation[[#This Row],[Extra Orders]]*Extra_Rate)</f>
        <v/>
      </c>
      <c r="Q112" s="164" t="str">
        <f aca="false">IF(Salary_Calculation[[#This Row],[Source Row]]="","",MAX(Salary_Calculation[[#This Row],[Salary Before Other Deductions]],0))</f>
        <v/>
      </c>
      <c r="R112" s="164" t="str">
        <f aca="false">IF(Salary_Calculation[[#This Row],[Source Row]]="","",N(INDEX(Rider_Input[missed_days_penalty],Salary_Calculation[[#This Row],[Source Row]])))</f>
        <v/>
      </c>
      <c r="S112" s="164" t="str">
        <f aca="false">IF(Salary_Calculation[[#This Row],[Source Row]]="","",N(INDEX(Rider_Input[Rider Balance / محفظة المندوب],Salary_Calculation[[#This Row],[Source Row]])))</f>
        <v/>
      </c>
      <c r="T112" s="164" t="str">
        <f aca="false">IF(Salary_Calculation[[#This Row],[Source Row]]="","",N(INDEX(Rider_Input[stacking_deduction / خصم الطلبات المتعددة],Salary_Calculation[[#This Row],[Source Row]])))</f>
        <v/>
      </c>
      <c r="U112" s="164" t="str">
        <f aca="false">IF(Salary_Calculation[[#This Row],[Source Row]]="","",N(INDEX(Rider_Input[Other Deductions],Salary_Calculation[[#This Row],[Source Row]])))</f>
        <v/>
      </c>
      <c r="V112" s="164" t="str">
        <f aca="false">IF(Salary_Calculation[[#This Row],[Source Row]]="","",N(Salary_Calculation[[#This Row],[missed_days_penalty]])+N(Salary_Calculation[[#This Row],[Rider Balance]])+N(Salary_Calculation[[#This Row],[stacking_deduction]])+N(Salary_Calculation[[#This Row],[Other Deductions]]))</f>
        <v/>
      </c>
      <c r="W112" s="167" t="str">
        <f aca="false">IF(Salary_Calculation[[#This Row],[Source Row]]="","",ROUND(MAX(Salary_Calculation[[#This Row],[Gross Salary Before Deductions]]-Salary_Calculation[[#This Row],[Total Deductions]],0),2))</f>
        <v/>
      </c>
      <c r="X112" s="164" t="str">
        <f aca="false">IF(Salary_Calculation[[#This Row],[Source Row]]="","",ROUND(MAX(Salary_Calculation[[#This Row],[Missing-Order Deduction]]-Salary_Calculation[[#This Row],[Earned Salary]],0),2))</f>
        <v/>
      </c>
      <c r="Y11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12" s="163" t="str">
        <f aca="false">IF(Salary_Calculation[[#This Row],[Source Row]]="","",IF(INDEX(Rider_Input[Notes],Salary_Calculation[[#This Row],[Source Row]])="","",INDEX(Rider_Input[Notes],Salary_Calculation[[#This Row],[Source Row]])))</f>
        <v/>
      </c>
      <c r="AA112" s="164" t="str">
        <f aca="false">IF(Salary_Calculation[[#This Row],[Source Row]]="","",Salary_Calculation[[#This Row],[Earned Salary]]-Salary_Calculation[[#This Row],[Missing-Order Deduction]]+Salary_Calculation[[#This Row],[Extra-Order Bonus]])</f>
        <v/>
      </c>
      <c r="AB112" s="164" t="str">
        <f aca="false">IF(Salary_Calculation[[#This Row],[Source Row]]="","",ROUND(Salary_Calculation[[#This Row],[Negative Balance / Amount Due from Rider]]+MAX(Salary_Calculation[[#This Row],[Total Deductions]]-Salary_Calculation[[#This Row],[Gross Salary Before Deductions]],0),2))</f>
        <v/>
      </c>
      <c r="AC11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12" s="164" t="str">
        <f aca="false">IF(Salary_Calculation[[#This Row],[Source Row]]="","",Salary_Calculation[[#This Row],[Rider Target Orders]]*Salary_Calculation[[#This Row],[Base Order Rate]])</f>
        <v/>
      </c>
      <c r="AE112" s="162" t="str">
        <f aca="false">IF(SUMPRODUCT(--(LEN(INDEX(Rider_Input[#Data],ROW()-ROW(Salary_Calculation[#Headers]),0))&gt;0))=0,"",ROW()-ROW(Salary_Calculation[#Headers]))</f>
        <v/>
      </c>
    </row>
    <row r="113" customFormat="false" ht="14.25" hidden="false" customHeight="false" outlineLevel="0" collapsed="false">
      <c r="A113" s="161" t="str">
        <f aca="false">IF(Salary_Calculation[[#This Row],[Source Row]]="","",IF(INDEX(Rider_Input[Salary Month],Salary_Calculation[[#This Row],[Source Row]])="","",INDEX(Rider_Input[Salary Month],Salary_Calculation[[#This Row],[Source Row]])))</f>
        <v/>
      </c>
      <c r="B113" s="162" t="str">
        <f aca="false">IF(Salary_Calculation[[#This Row],[Source Row]]="","",IF(INDEX(Rider_Input[Rider ID],Salary_Calculation[[#This Row],[Source Row]])="","",INDEX(Rider_Input[Rider ID],Salary_Calculation[[#This Row],[Source Row]])))</f>
        <v/>
      </c>
      <c r="C113" s="163" t="str">
        <f aca="false">IF(Salary_Calculation[[#This Row],[Source Row]]="","",IF(INDEX(Rider_Input[Rider Name],Salary_Calculation[[#This Row],[Source Row]])="","",INDEX(Rider_Input[Rider Name],Salary_Calculation[[#This Row],[Source Row]])))</f>
        <v/>
      </c>
      <c r="D113" s="164" t="str">
        <f aca="false">IF(Salary_Calculation[[#This Row],[Source Row]]="","",IF(INDEX(Rider_Input[Basic Payment],Salary_Calculation[[#This Row],[Source Row]])="","",INDEX(Rider_Input[Basic Payment],Salary_Calculation[[#This Row],[Source Row]])))</f>
        <v/>
      </c>
      <c r="E113" s="162" t="str">
        <f aca="false">IF(Salary_Calculation[[#This Row],[Source Row]]="","",IF(INDEX(Rider_Input[Calendar Days in Month],Salary_Calculation[[#This Row],[Source Row]])="","",INDEX(Rider_Input[Calendar Days in Month],Salary_Calculation[[#This Row],[Source Row]])))</f>
        <v/>
      </c>
      <c r="F113" s="162" t="str">
        <f aca="false">IF(Salary_Calculation[[#This Row],[Source Row]]="","",IF(INDEX(Rider_Input[Working Days],Salary_Calculation[[#This Row],[Source Row]])="","",INDEX(Rider_Input[Working Days],Salary_Calculation[[#This Row],[Source Row]])))</f>
        <v/>
      </c>
      <c r="G113" s="165" t="str">
        <f aca="false">IF(Salary_Calculation[[#This Row],[Source Row]]="","",Std_Orders/Std_Days*N(Salary_Calculation[[#This Row],[Calendar Days]]))</f>
        <v/>
      </c>
      <c r="H113" s="165" t="str">
        <f aca="false">IF(Salary_Calculation[[#This Row],[Source Row]]="","",IF(N(Salary_Calculation[[#This Row],[Calendar Days]])&gt;0,Salary_Calculation[[#This Row],[Monthly Target Orders]]/N(Salary_Calculation[[#This Row],[Calendar Days]])*N(Salary_Calculation[[#This Row],[Working Days]]),0))</f>
        <v/>
      </c>
      <c r="I113" s="166" t="str">
        <f aca="false">IF(Salary_Calculation[[#This Row],[Source Row]]="","",IF(INDEX(Rider_Input[Completed Orders],Salary_Calculation[[#This Row],[Source Row]])="","",INDEX(Rider_Input[Completed Orders],Salary_Calculation[[#This Row],[Source Row]])))</f>
        <v/>
      </c>
      <c r="J113" s="165" t="str">
        <f aca="false">IF(Salary_Calculation[[#This Row],[Source Row]]="","",IF(Rate_Method="Fixed rate",Fixed_Rate,IF(N(Salary_Calculation[[#This Row],[Basic Payment]])&gt;0,N(Salary_Calculation[[#This Row],[Basic Payment]])/Std_Orders,0)))</f>
        <v/>
      </c>
      <c r="K113" s="165" t="str">
        <f aca="false">IF(Salary_Calculation[[#This Row],[Source Row]]="","",MAX(MIN(N(Salary_Calculation[[#This Row],[Completed Orders]]),Salary_Calculation[[#This Row],[Rider Target Orders]]),0))</f>
        <v/>
      </c>
      <c r="L113" s="164" t="str">
        <f aca="false">IF(Salary_Calculation[[#This Row],[Source Row]]="","",Salary_Calculation[[#This Row],[Orders Counted at Base Rate]]*Salary_Calculation[[#This Row],[Base Order Rate]])</f>
        <v/>
      </c>
      <c r="M113" s="165" t="str">
        <f aca="false">IF(Salary_Calculation[[#This Row],[Source Row]]="","",MAX(Salary_Calculation[[#This Row],[Rider Target Orders]]-N(Salary_Calculation[[#This Row],[Completed Orders]]),0))</f>
        <v/>
      </c>
      <c r="N113" s="164" t="str">
        <f aca="false">IF(Salary_Calculation[[#This Row],[Source Row]]="","",Salary_Calculation[[#This Row],[Missing Orders]]*Missing_Rate)</f>
        <v/>
      </c>
      <c r="O113" s="165" t="str">
        <f aca="false">IF(Salary_Calculation[[#This Row],[Source Row]]="","",MAX(N(Salary_Calculation[[#This Row],[Completed Orders]])-Salary_Calculation[[#This Row],[Rider Target Orders]],0))</f>
        <v/>
      </c>
      <c r="P113" s="164" t="str">
        <f aca="false">IF(Salary_Calculation[[#This Row],[Source Row]]="","",Salary_Calculation[[#This Row],[Extra Orders]]*Extra_Rate)</f>
        <v/>
      </c>
      <c r="Q113" s="164" t="str">
        <f aca="false">IF(Salary_Calculation[[#This Row],[Source Row]]="","",MAX(Salary_Calculation[[#This Row],[Salary Before Other Deductions]],0))</f>
        <v/>
      </c>
      <c r="R113" s="164" t="str">
        <f aca="false">IF(Salary_Calculation[[#This Row],[Source Row]]="","",N(INDEX(Rider_Input[missed_days_penalty],Salary_Calculation[[#This Row],[Source Row]])))</f>
        <v/>
      </c>
      <c r="S113" s="164" t="str">
        <f aca="false">IF(Salary_Calculation[[#This Row],[Source Row]]="","",N(INDEX(Rider_Input[Rider Balance / محفظة المندوب],Salary_Calculation[[#This Row],[Source Row]])))</f>
        <v/>
      </c>
      <c r="T113" s="164" t="str">
        <f aca="false">IF(Salary_Calculation[[#This Row],[Source Row]]="","",N(INDEX(Rider_Input[stacking_deduction / خصم الطلبات المتعددة],Salary_Calculation[[#This Row],[Source Row]])))</f>
        <v/>
      </c>
      <c r="U113" s="164" t="str">
        <f aca="false">IF(Salary_Calculation[[#This Row],[Source Row]]="","",N(INDEX(Rider_Input[Other Deductions],Salary_Calculation[[#This Row],[Source Row]])))</f>
        <v/>
      </c>
      <c r="V113" s="164" t="str">
        <f aca="false">IF(Salary_Calculation[[#This Row],[Source Row]]="","",N(Salary_Calculation[[#This Row],[missed_days_penalty]])+N(Salary_Calculation[[#This Row],[Rider Balance]])+N(Salary_Calculation[[#This Row],[stacking_deduction]])+N(Salary_Calculation[[#This Row],[Other Deductions]]))</f>
        <v/>
      </c>
      <c r="W113" s="167" t="str">
        <f aca="false">IF(Salary_Calculation[[#This Row],[Source Row]]="","",ROUND(MAX(Salary_Calculation[[#This Row],[Gross Salary Before Deductions]]-Salary_Calculation[[#This Row],[Total Deductions]],0),2))</f>
        <v/>
      </c>
      <c r="X113" s="164" t="str">
        <f aca="false">IF(Salary_Calculation[[#This Row],[Source Row]]="","",ROUND(MAX(Salary_Calculation[[#This Row],[Missing-Order Deduction]]-Salary_Calculation[[#This Row],[Earned Salary]],0),2))</f>
        <v/>
      </c>
      <c r="Y11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13" s="163" t="str">
        <f aca="false">IF(Salary_Calculation[[#This Row],[Source Row]]="","",IF(INDEX(Rider_Input[Notes],Salary_Calculation[[#This Row],[Source Row]])="","",INDEX(Rider_Input[Notes],Salary_Calculation[[#This Row],[Source Row]])))</f>
        <v/>
      </c>
      <c r="AA113" s="164" t="str">
        <f aca="false">IF(Salary_Calculation[[#This Row],[Source Row]]="","",Salary_Calculation[[#This Row],[Earned Salary]]-Salary_Calculation[[#This Row],[Missing-Order Deduction]]+Salary_Calculation[[#This Row],[Extra-Order Bonus]])</f>
        <v/>
      </c>
      <c r="AB113" s="164" t="str">
        <f aca="false">IF(Salary_Calculation[[#This Row],[Source Row]]="","",ROUND(Salary_Calculation[[#This Row],[Negative Balance / Amount Due from Rider]]+MAX(Salary_Calculation[[#This Row],[Total Deductions]]-Salary_Calculation[[#This Row],[Gross Salary Before Deductions]],0),2))</f>
        <v/>
      </c>
      <c r="AC11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13" s="164" t="str">
        <f aca="false">IF(Salary_Calculation[[#This Row],[Source Row]]="","",Salary_Calculation[[#This Row],[Rider Target Orders]]*Salary_Calculation[[#This Row],[Base Order Rate]])</f>
        <v/>
      </c>
      <c r="AE113" s="162" t="str">
        <f aca="false">IF(SUMPRODUCT(--(LEN(INDEX(Rider_Input[#Data],ROW()-ROW(Salary_Calculation[#Headers]),0))&gt;0))=0,"",ROW()-ROW(Salary_Calculation[#Headers]))</f>
        <v/>
      </c>
    </row>
    <row r="114" customFormat="false" ht="14.25" hidden="false" customHeight="false" outlineLevel="0" collapsed="false">
      <c r="A114" s="161" t="str">
        <f aca="false">IF(Salary_Calculation[[#This Row],[Source Row]]="","",IF(INDEX(Rider_Input[Salary Month],Salary_Calculation[[#This Row],[Source Row]])="","",INDEX(Rider_Input[Salary Month],Salary_Calculation[[#This Row],[Source Row]])))</f>
        <v/>
      </c>
      <c r="B114" s="162" t="str">
        <f aca="false">IF(Salary_Calculation[[#This Row],[Source Row]]="","",IF(INDEX(Rider_Input[Rider ID],Salary_Calculation[[#This Row],[Source Row]])="","",INDEX(Rider_Input[Rider ID],Salary_Calculation[[#This Row],[Source Row]])))</f>
        <v/>
      </c>
      <c r="C114" s="163" t="str">
        <f aca="false">IF(Salary_Calculation[[#This Row],[Source Row]]="","",IF(INDEX(Rider_Input[Rider Name],Salary_Calculation[[#This Row],[Source Row]])="","",INDEX(Rider_Input[Rider Name],Salary_Calculation[[#This Row],[Source Row]])))</f>
        <v/>
      </c>
      <c r="D114" s="164" t="str">
        <f aca="false">IF(Salary_Calculation[[#This Row],[Source Row]]="","",IF(INDEX(Rider_Input[Basic Payment],Salary_Calculation[[#This Row],[Source Row]])="","",INDEX(Rider_Input[Basic Payment],Salary_Calculation[[#This Row],[Source Row]])))</f>
        <v/>
      </c>
      <c r="E114" s="162" t="str">
        <f aca="false">IF(Salary_Calculation[[#This Row],[Source Row]]="","",IF(INDEX(Rider_Input[Calendar Days in Month],Salary_Calculation[[#This Row],[Source Row]])="","",INDEX(Rider_Input[Calendar Days in Month],Salary_Calculation[[#This Row],[Source Row]])))</f>
        <v/>
      </c>
      <c r="F114" s="162" t="str">
        <f aca="false">IF(Salary_Calculation[[#This Row],[Source Row]]="","",IF(INDEX(Rider_Input[Working Days],Salary_Calculation[[#This Row],[Source Row]])="","",INDEX(Rider_Input[Working Days],Salary_Calculation[[#This Row],[Source Row]])))</f>
        <v/>
      </c>
      <c r="G114" s="165" t="str">
        <f aca="false">IF(Salary_Calculation[[#This Row],[Source Row]]="","",Std_Orders/Std_Days*N(Salary_Calculation[[#This Row],[Calendar Days]]))</f>
        <v/>
      </c>
      <c r="H114" s="165" t="str">
        <f aca="false">IF(Salary_Calculation[[#This Row],[Source Row]]="","",IF(N(Salary_Calculation[[#This Row],[Calendar Days]])&gt;0,Salary_Calculation[[#This Row],[Monthly Target Orders]]/N(Salary_Calculation[[#This Row],[Calendar Days]])*N(Salary_Calculation[[#This Row],[Working Days]]),0))</f>
        <v/>
      </c>
      <c r="I114" s="166" t="str">
        <f aca="false">IF(Salary_Calculation[[#This Row],[Source Row]]="","",IF(INDEX(Rider_Input[Completed Orders],Salary_Calculation[[#This Row],[Source Row]])="","",INDEX(Rider_Input[Completed Orders],Salary_Calculation[[#This Row],[Source Row]])))</f>
        <v/>
      </c>
      <c r="J114" s="165" t="str">
        <f aca="false">IF(Salary_Calculation[[#This Row],[Source Row]]="","",IF(Rate_Method="Fixed rate",Fixed_Rate,IF(N(Salary_Calculation[[#This Row],[Basic Payment]])&gt;0,N(Salary_Calculation[[#This Row],[Basic Payment]])/Std_Orders,0)))</f>
        <v/>
      </c>
      <c r="K114" s="165" t="str">
        <f aca="false">IF(Salary_Calculation[[#This Row],[Source Row]]="","",MAX(MIN(N(Salary_Calculation[[#This Row],[Completed Orders]]),Salary_Calculation[[#This Row],[Rider Target Orders]]),0))</f>
        <v/>
      </c>
      <c r="L114" s="164" t="str">
        <f aca="false">IF(Salary_Calculation[[#This Row],[Source Row]]="","",Salary_Calculation[[#This Row],[Orders Counted at Base Rate]]*Salary_Calculation[[#This Row],[Base Order Rate]])</f>
        <v/>
      </c>
      <c r="M114" s="165" t="str">
        <f aca="false">IF(Salary_Calculation[[#This Row],[Source Row]]="","",MAX(Salary_Calculation[[#This Row],[Rider Target Orders]]-N(Salary_Calculation[[#This Row],[Completed Orders]]),0))</f>
        <v/>
      </c>
      <c r="N114" s="164" t="str">
        <f aca="false">IF(Salary_Calculation[[#This Row],[Source Row]]="","",Salary_Calculation[[#This Row],[Missing Orders]]*Missing_Rate)</f>
        <v/>
      </c>
      <c r="O114" s="165" t="str">
        <f aca="false">IF(Salary_Calculation[[#This Row],[Source Row]]="","",MAX(N(Salary_Calculation[[#This Row],[Completed Orders]])-Salary_Calculation[[#This Row],[Rider Target Orders]],0))</f>
        <v/>
      </c>
      <c r="P114" s="164" t="str">
        <f aca="false">IF(Salary_Calculation[[#This Row],[Source Row]]="","",Salary_Calculation[[#This Row],[Extra Orders]]*Extra_Rate)</f>
        <v/>
      </c>
      <c r="Q114" s="164" t="str">
        <f aca="false">IF(Salary_Calculation[[#This Row],[Source Row]]="","",MAX(Salary_Calculation[[#This Row],[Salary Before Other Deductions]],0))</f>
        <v/>
      </c>
      <c r="R114" s="164" t="str">
        <f aca="false">IF(Salary_Calculation[[#This Row],[Source Row]]="","",N(INDEX(Rider_Input[missed_days_penalty],Salary_Calculation[[#This Row],[Source Row]])))</f>
        <v/>
      </c>
      <c r="S114" s="164" t="str">
        <f aca="false">IF(Salary_Calculation[[#This Row],[Source Row]]="","",N(INDEX(Rider_Input[Rider Balance / محفظة المندوب],Salary_Calculation[[#This Row],[Source Row]])))</f>
        <v/>
      </c>
      <c r="T114" s="164" t="str">
        <f aca="false">IF(Salary_Calculation[[#This Row],[Source Row]]="","",N(INDEX(Rider_Input[stacking_deduction / خصم الطلبات المتعددة],Salary_Calculation[[#This Row],[Source Row]])))</f>
        <v/>
      </c>
      <c r="U114" s="164" t="str">
        <f aca="false">IF(Salary_Calculation[[#This Row],[Source Row]]="","",N(INDEX(Rider_Input[Other Deductions],Salary_Calculation[[#This Row],[Source Row]])))</f>
        <v/>
      </c>
      <c r="V114" s="164" t="str">
        <f aca="false">IF(Salary_Calculation[[#This Row],[Source Row]]="","",N(Salary_Calculation[[#This Row],[missed_days_penalty]])+N(Salary_Calculation[[#This Row],[Rider Balance]])+N(Salary_Calculation[[#This Row],[stacking_deduction]])+N(Salary_Calculation[[#This Row],[Other Deductions]]))</f>
        <v/>
      </c>
      <c r="W114" s="167" t="str">
        <f aca="false">IF(Salary_Calculation[[#This Row],[Source Row]]="","",ROUND(MAX(Salary_Calculation[[#This Row],[Gross Salary Before Deductions]]-Salary_Calculation[[#This Row],[Total Deductions]],0),2))</f>
        <v/>
      </c>
      <c r="X114" s="164" t="str">
        <f aca="false">IF(Salary_Calculation[[#This Row],[Source Row]]="","",ROUND(MAX(Salary_Calculation[[#This Row],[Missing-Order Deduction]]-Salary_Calculation[[#This Row],[Earned Salary]],0),2))</f>
        <v/>
      </c>
      <c r="Y11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14" s="163" t="str">
        <f aca="false">IF(Salary_Calculation[[#This Row],[Source Row]]="","",IF(INDEX(Rider_Input[Notes],Salary_Calculation[[#This Row],[Source Row]])="","",INDEX(Rider_Input[Notes],Salary_Calculation[[#This Row],[Source Row]])))</f>
        <v/>
      </c>
      <c r="AA114" s="164" t="str">
        <f aca="false">IF(Salary_Calculation[[#This Row],[Source Row]]="","",Salary_Calculation[[#This Row],[Earned Salary]]-Salary_Calculation[[#This Row],[Missing-Order Deduction]]+Salary_Calculation[[#This Row],[Extra-Order Bonus]])</f>
        <v/>
      </c>
      <c r="AB114" s="164" t="str">
        <f aca="false">IF(Salary_Calculation[[#This Row],[Source Row]]="","",ROUND(Salary_Calculation[[#This Row],[Negative Balance / Amount Due from Rider]]+MAX(Salary_Calculation[[#This Row],[Total Deductions]]-Salary_Calculation[[#This Row],[Gross Salary Before Deductions]],0),2))</f>
        <v/>
      </c>
      <c r="AC11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14" s="164" t="str">
        <f aca="false">IF(Salary_Calculation[[#This Row],[Source Row]]="","",Salary_Calculation[[#This Row],[Rider Target Orders]]*Salary_Calculation[[#This Row],[Base Order Rate]])</f>
        <v/>
      </c>
      <c r="AE114" s="162" t="str">
        <f aca="false">IF(SUMPRODUCT(--(LEN(INDEX(Rider_Input[#Data],ROW()-ROW(Salary_Calculation[#Headers]),0))&gt;0))=0,"",ROW()-ROW(Salary_Calculation[#Headers]))</f>
        <v/>
      </c>
    </row>
    <row r="115" customFormat="false" ht="14.25" hidden="false" customHeight="false" outlineLevel="0" collapsed="false">
      <c r="A115" s="161" t="str">
        <f aca="false">IF(Salary_Calculation[[#This Row],[Source Row]]="","",IF(INDEX(Rider_Input[Salary Month],Salary_Calculation[[#This Row],[Source Row]])="","",INDEX(Rider_Input[Salary Month],Salary_Calculation[[#This Row],[Source Row]])))</f>
        <v/>
      </c>
      <c r="B115" s="162" t="str">
        <f aca="false">IF(Salary_Calculation[[#This Row],[Source Row]]="","",IF(INDEX(Rider_Input[Rider ID],Salary_Calculation[[#This Row],[Source Row]])="","",INDEX(Rider_Input[Rider ID],Salary_Calculation[[#This Row],[Source Row]])))</f>
        <v/>
      </c>
      <c r="C115" s="163" t="str">
        <f aca="false">IF(Salary_Calculation[[#This Row],[Source Row]]="","",IF(INDEX(Rider_Input[Rider Name],Salary_Calculation[[#This Row],[Source Row]])="","",INDEX(Rider_Input[Rider Name],Salary_Calculation[[#This Row],[Source Row]])))</f>
        <v/>
      </c>
      <c r="D115" s="164" t="str">
        <f aca="false">IF(Salary_Calculation[[#This Row],[Source Row]]="","",IF(INDEX(Rider_Input[Basic Payment],Salary_Calculation[[#This Row],[Source Row]])="","",INDEX(Rider_Input[Basic Payment],Salary_Calculation[[#This Row],[Source Row]])))</f>
        <v/>
      </c>
      <c r="E115" s="162" t="str">
        <f aca="false">IF(Salary_Calculation[[#This Row],[Source Row]]="","",IF(INDEX(Rider_Input[Calendar Days in Month],Salary_Calculation[[#This Row],[Source Row]])="","",INDEX(Rider_Input[Calendar Days in Month],Salary_Calculation[[#This Row],[Source Row]])))</f>
        <v/>
      </c>
      <c r="F115" s="162" t="str">
        <f aca="false">IF(Salary_Calculation[[#This Row],[Source Row]]="","",IF(INDEX(Rider_Input[Working Days],Salary_Calculation[[#This Row],[Source Row]])="","",INDEX(Rider_Input[Working Days],Salary_Calculation[[#This Row],[Source Row]])))</f>
        <v/>
      </c>
      <c r="G115" s="165" t="str">
        <f aca="false">IF(Salary_Calculation[[#This Row],[Source Row]]="","",Std_Orders/Std_Days*N(Salary_Calculation[[#This Row],[Calendar Days]]))</f>
        <v/>
      </c>
      <c r="H115" s="165" t="str">
        <f aca="false">IF(Salary_Calculation[[#This Row],[Source Row]]="","",IF(N(Salary_Calculation[[#This Row],[Calendar Days]])&gt;0,Salary_Calculation[[#This Row],[Monthly Target Orders]]/N(Salary_Calculation[[#This Row],[Calendar Days]])*N(Salary_Calculation[[#This Row],[Working Days]]),0))</f>
        <v/>
      </c>
      <c r="I115" s="166" t="str">
        <f aca="false">IF(Salary_Calculation[[#This Row],[Source Row]]="","",IF(INDEX(Rider_Input[Completed Orders],Salary_Calculation[[#This Row],[Source Row]])="","",INDEX(Rider_Input[Completed Orders],Salary_Calculation[[#This Row],[Source Row]])))</f>
        <v/>
      </c>
      <c r="J115" s="165" t="str">
        <f aca="false">IF(Salary_Calculation[[#This Row],[Source Row]]="","",IF(Rate_Method="Fixed rate",Fixed_Rate,IF(N(Salary_Calculation[[#This Row],[Basic Payment]])&gt;0,N(Salary_Calculation[[#This Row],[Basic Payment]])/Std_Orders,0)))</f>
        <v/>
      </c>
      <c r="K115" s="165" t="str">
        <f aca="false">IF(Salary_Calculation[[#This Row],[Source Row]]="","",MAX(MIN(N(Salary_Calculation[[#This Row],[Completed Orders]]),Salary_Calculation[[#This Row],[Rider Target Orders]]),0))</f>
        <v/>
      </c>
      <c r="L115" s="164" t="str">
        <f aca="false">IF(Salary_Calculation[[#This Row],[Source Row]]="","",Salary_Calculation[[#This Row],[Orders Counted at Base Rate]]*Salary_Calculation[[#This Row],[Base Order Rate]])</f>
        <v/>
      </c>
      <c r="M115" s="165" t="str">
        <f aca="false">IF(Salary_Calculation[[#This Row],[Source Row]]="","",MAX(Salary_Calculation[[#This Row],[Rider Target Orders]]-N(Salary_Calculation[[#This Row],[Completed Orders]]),0))</f>
        <v/>
      </c>
      <c r="N115" s="164" t="str">
        <f aca="false">IF(Salary_Calculation[[#This Row],[Source Row]]="","",Salary_Calculation[[#This Row],[Missing Orders]]*Missing_Rate)</f>
        <v/>
      </c>
      <c r="O115" s="165" t="str">
        <f aca="false">IF(Salary_Calculation[[#This Row],[Source Row]]="","",MAX(N(Salary_Calculation[[#This Row],[Completed Orders]])-Salary_Calculation[[#This Row],[Rider Target Orders]],0))</f>
        <v/>
      </c>
      <c r="P115" s="164" t="str">
        <f aca="false">IF(Salary_Calculation[[#This Row],[Source Row]]="","",Salary_Calculation[[#This Row],[Extra Orders]]*Extra_Rate)</f>
        <v/>
      </c>
      <c r="Q115" s="164" t="str">
        <f aca="false">IF(Salary_Calculation[[#This Row],[Source Row]]="","",MAX(Salary_Calculation[[#This Row],[Salary Before Other Deductions]],0))</f>
        <v/>
      </c>
      <c r="R115" s="164" t="str">
        <f aca="false">IF(Salary_Calculation[[#This Row],[Source Row]]="","",N(INDEX(Rider_Input[missed_days_penalty],Salary_Calculation[[#This Row],[Source Row]])))</f>
        <v/>
      </c>
      <c r="S115" s="164" t="str">
        <f aca="false">IF(Salary_Calculation[[#This Row],[Source Row]]="","",N(INDEX(Rider_Input[Rider Balance / محفظة المندوب],Salary_Calculation[[#This Row],[Source Row]])))</f>
        <v/>
      </c>
      <c r="T115" s="164" t="str">
        <f aca="false">IF(Salary_Calculation[[#This Row],[Source Row]]="","",N(INDEX(Rider_Input[stacking_deduction / خصم الطلبات المتعددة],Salary_Calculation[[#This Row],[Source Row]])))</f>
        <v/>
      </c>
      <c r="U115" s="164" t="str">
        <f aca="false">IF(Salary_Calculation[[#This Row],[Source Row]]="","",N(INDEX(Rider_Input[Other Deductions],Salary_Calculation[[#This Row],[Source Row]])))</f>
        <v/>
      </c>
      <c r="V115" s="164" t="str">
        <f aca="false">IF(Salary_Calculation[[#This Row],[Source Row]]="","",N(Salary_Calculation[[#This Row],[missed_days_penalty]])+N(Salary_Calculation[[#This Row],[Rider Balance]])+N(Salary_Calculation[[#This Row],[stacking_deduction]])+N(Salary_Calculation[[#This Row],[Other Deductions]]))</f>
        <v/>
      </c>
      <c r="W115" s="167" t="str">
        <f aca="false">IF(Salary_Calculation[[#This Row],[Source Row]]="","",ROUND(MAX(Salary_Calculation[[#This Row],[Gross Salary Before Deductions]]-Salary_Calculation[[#This Row],[Total Deductions]],0),2))</f>
        <v/>
      </c>
      <c r="X115" s="164" t="str">
        <f aca="false">IF(Salary_Calculation[[#This Row],[Source Row]]="","",ROUND(MAX(Salary_Calculation[[#This Row],[Missing-Order Deduction]]-Salary_Calculation[[#This Row],[Earned Salary]],0),2))</f>
        <v/>
      </c>
      <c r="Y11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15" s="163" t="str">
        <f aca="false">IF(Salary_Calculation[[#This Row],[Source Row]]="","",IF(INDEX(Rider_Input[Notes],Salary_Calculation[[#This Row],[Source Row]])="","",INDEX(Rider_Input[Notes],Salary_Calculation[[#This Row],[Source Row]])))</f>
        <v/>
      </c>
      <c r="AA115" s="164" t="str">
        <f aca="false">IF(Salary_Calculation[[#This Row],[Source Row]]="","",Salary_Calculation[[#This Row],[Earned Salary]]-Salary_Calculation[[#This Row],[Missing-Order Deduction]]+Salary_Calculation[[#This Row],[Extra-Order Bonus]])</f>
        <v/>
      </c>
      <c r="AB115" s="164" t="str">
        <f aca="false">IF(Salary_Calculation[[#This Row],[Source Row]]="","",ROUND(Salary_Calculation[[#This Row],[Negative Balance / Amount Due from Rider]]+MAX(Salary_Calculation[[#This Row],[Total Deductions]]-Salary_Calculation[[#This Row],[Gross Salary Before Deductions]],0),2))</f>
        <v/>
      </c>
      <c r="AC11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15" s="164" t="str">
        <f aca="false">IF(Salary_Calculation[[#This Row],[Source Row]]="","",Salary_Calculation[[#This Row],[Rider Target Orders]]*Salary_Calculation[[#This Row],[Base Order Rate]])</f>
        <v/>
      </c>
      <c r="AE115" s="162" t="str">
        <f aca="false">IF(SUMPRODUCT(--(LEN(INDEX(Rider_Input[#Data],ROW()-ROW(Salary_Calculation[#Headers]),0))&gt;0))=0,"",ROW()-ROW(Salary_Calculation[#Headers]))</f>
        <v/>
      </c>
    </row>
    <row r="116" customFormat="false" ht="14.25" hidden="false" customHeight="false" outlineLevel="0" collapsed="false">
      <c r="A116" s="161" t="str">
        <f aca="false">IF(Salary_Calculation[[#This Row],[Source Row]]="","",IF(INDEX(Rider_Input[Salary Month],Salary_Calculation[[#This Row],[Source Row]])="","",INDEX(Rider_Input[Salary Month],Salary_Calculation[[#This Row],[Source Row]])))</f>
        <v/>
      </c>
      <c r="B116" s="162" t="str">
        <f aca="false">IF(Salary_Calculation[[#This Row],[Source Row]]="","",IF(INDEX(Rider_Input[Rider ID],Salary_Calculation[[#This Row],[Source Row]])="","",INDEX(Rider_Input[Rider ID],Salary_Calculation[[#This Row],[Source Row]])))</f>
        <v/>
      </c>
      <c r="C116" s="163" t="str">
        <f aca="false">IF(Salary_Calculation[[#This Row],[Source Row]]="","",IF(INDEX(Rider_Input[Rider Name],Salary_Calculation[[#This Row],[Source Row]])="","",INDEX(Rider_Input[Rider Name],Salary_Calculation[[#This Row],[Source Row]])))</f>
        <v/>
      </c>
      <c r="D116" s="164" t="str">
        <f aca="false">IF(Salary_Calculation[[#This Row],[Source Row]]="","",IF(INDEX(Rider_Input[Basic Payment],Salary_Calculation[[#This Row],[Source Row]])="","",INDEX(Rider_Input[Basic Payment],Salary_Calculation[[#This Row],[Source Row]])))</f>
        <v/>
      </c>
      <c r="E116" s="162" t="str">
        <f aca="false">IF(Salary_Calculation[[#This Row],[Source Row]]="","",IF(INDEX(Rider_Input[Calendar Days in Month],Salary_Calculation[[#This Row],[Source Row]])="","",INDEX(Rider_Input[Calendar Days in Month],Salary_Calculation[[#This Row],[Source Row]])))</f>
        <v/>
      </c>
      <c r="F116" s="162" t="str">
        <f aca="false">IF(Salary_Calculation[[#This Row],[Source Row]]="","",IF(INDEX(Rider_Input[Working Days],Salary_Calculation[[#This Row],[Source Row]])="","",INDEX(Rider_Input[Working Days],Salary_Calculation[[#This Row],[Source Row]])))</f>
        <v/>
      </c>
      <c r="G116" s="165" t="str">
        <f aca="false">IF(Salary_Calculation[[#This Row],[Source Row]]="","",Std_Orders/Std_Days*N(Salary_Calculation[[#This Row],[Calendar Days]]))</f>
        <v/>
      </c>
      <c r="H116" s="165" t="str">
        <f aca="false">IF(Salary_Calculation[[#This Row],[Source Row]]="","",IF(N(Salary_Calculation[[#This Row],[Calendar Days]])&gt;0,Salary_Calculation[[#This Row],[Monthly Target Orders]]/N(Salary_Calculation[[#This Row],[Calendar Days]])*N(Salary_Calculation[[#This Row],[Working Days]]),0))</f>
        <v/>
      </c>
      <c r="I116" s="166" t="str">
        <f aca="false">IF(Salary_Calculation[[#This Row],[Source Row]]="","",IF(INDEX(Rider_Input[Completed Orders],Salary_Calculation[[#This Row],[Source Row]])="","",INDEX(Rider_Input[Completed Orders],Salary_Calculation[[#This Row],[Source Row]])))</f>
        <v/>
      </c>
      <c r="J116" s="165" t="str">
        <f aca="false">IF(Salary_Calculation[[#This Row],[Source Row]]="","",IF(Rate_Method="Fixed rate",Fixed_Rate,IF(N(Salary_Calculation[[#This Row],[Basic Payment]])&gt;0,N(Salary_Calculation[[#This Row],[Basic Payment]])/Std_Orders,0)))</f>
        <v/>
      </c>
      <c r="K116" s="165" t="str">
        <f aca="false">IF(Salary_Calculation[[#This Row],[Source Row]]="","",MAX(MIN(N(Salary_Calculation[[#This Row],[Completed Orders]]),Salary_Calculation[[#This Row],[Rider Target Orders]]),0))</f>
        <v/>
      </c>
      <c r="L116" s="164" t="str">
        <f aca="false">IF(Salary_Calculation[[#This Row],[Source Row]]="","",Salary_Calculation[[#This Row],[Orders Counted at Base Rate]]*Salary_Calculation[[#This Row],[Base Order Rate]])</f>
        <v/>
      </c>
      <c r="M116" s="165" t="str">
        <f aca="false">IF(Salary_Calculation[[#This Row],[Source Row]]="","",MAX(Salary_Calculation[[#This Row],[Rider Target Orders]]-N(Salary_Calculation[[#This Row],[Completed Orders]]),0))</f>
        <v/>
      </c>
      <c r="N116" s="164" t="str">
        <f aca="false">IF(Salary_Calculation[[#This Row],[Source Row]]="","",Salary_Calculation[[#This Row],[Missing Orders]]*Missing_Rate)</f>
        <v/>
      </c>
      <c r="O116" s="165" t="str">
        <f aca="false">IF(Salary_Calculation[[#This Row],[Source Row]]="","",MAX(N(Salary_Calculation[[#This Row],[Completed Orders]])-Salary_Calculation[[#This Row],[Rider Target Orders]],0))</f>
        <v/>
      </c>
      <c r="P116" s="164" t="str">
        <f aca="false">IF(Salary_Calculation[[#This Row],[Source Row]]="","",Salary_Calculation[[#This Row],[Extra Orders]]*Extra_Rate)</f>
        <v/>
      </c>
      <c r="Q116" s="164" t="str">
        <f aca="false">IF(Salary_Calculation[[#This Row],[Source Row]]="","",MAX(Salary_Calculation[[#This Row],[Salary Before Other Deductions]],0))</f>
        <v/>
      </c>
      <c r="R116" s="164" t="str">
        <f aca="false">IF(Salary_Calculation[[#This Row],[Source Row]]="","",N(INDEX(Rider_Input[missed_days_penalty],Salary_Calculation[[#This Row],[Source Row]])))</f>
        <v/>
      </c>
      <c r="S116" s="164" t="str">
        <f aca="false">IF(Salary_Calculation[[#This Row],[Source Row]]="","",N(INDEX(Rider_Input[Rider Balance / محفظة المندوب],Salary_Calculation[[#This Row],[Source Row]])))</f>
        <v/>
      </c>
      <c r="T116" s="164" t="str">
        <f aca="false">IF(Salary_Calculation[[#This Row],[Source Row]]="","",N(INDEX(Rider_Input[stacking_deduction / خصم الطلبات المتعددة],Salary_Calculation[[#This Row],[Source Row]])))</f>
        <v/>
      </c>
      <c r="U116" s="164" t="str">
        <f aca="false">IF(Salary_Calculation[[#This Row],[Source Row]]="","",N(INDEX(Rider_Input[Other Deductions],Salary_Calculation[[#This Row],[Source Row]])))</f>
        <v/>
      </c>
      <c r="V116" s="164" t="str">
        <f aca="false">IF(Salary_Calculation[[#This Row],[Source Row]]="","",N(Salary_Calculation[[#This Row],[missed_days_penalty]])+N(Salary_Calculation[[#This Row],[Rider Balance]])+N(Salary_Calculation[[#This Row],[stacking_deduction]])+N(Salary_Calculation[[#This Row],[Other Deductions]]))</f>
        <v/>
      </c>
      <c r="W116" s="167" t="str">
        <f aca="false">IF(Salary_Calculation[[#This Row],[Source Row]]="","",ROUND(MAX(Salary_Calculation[[#This Row],[Gross Salary Before Deductions]]-Salary_Calculation[[#This Row],[Total Deductions]],0),2))</f>
        <v/>
      </c>
      <c r="X116" s="164" t="str">
        <f aca="false">IF(Salary_Calculation[[#This Row],[Source Row]]="","",ROUND(MAX(Salary_Calculation[[#This Row],[Missing-Order Deduction]]-Salary_Calculation[[#This Row],[Earned Salary]],0),2))</f>
        <v/>
      </c>
      <c r="Y11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16" s="163" t="str">
        <f aca="false">IF(Salary_Calculation[[#This Row],[Source Row]]="","",IF(INDEX(Rider_Input[Notes],Salary_Calculation[[#This Row],[Source Row]])="","",INDEX(Rider_Input[Notes],Salary_Calculation[[#This Row],[Source Row]])))</f>
        <v/>
      </c>
      <c r="AA116" s="164" t="str">
        <f aca="false">IF(Salary_Calculation[[#This Row],[Source Row]]="","",Salary_Calculation[[#This Row],[Earned Salary]]-Salary_Calculation[[#This Row],[Missing-Order Deduction]]+Salary_Calculation[[#This Row],[Extra-Order Bonus]])</f>
        <v/>
      </c>
      <c r="AB116" s="164" t="str">
        <f aca="false">IF(Salary_Calculation[[#This Row],[Source Row]]="","",ROUND(Salary_Calculation[[#This Row],[Negative Balance / Amount Due from Rider]]+MAX(Salary_Calculation[[#This Row],[Total Deductions]]-Salary_Calculation[[#This Row],[Gross Salary Before Deductions]],0),2))</f>
        <v/>
      </c>
      <c r="AC11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16" s="164" t="str">
        <f aca="false">IF(Salary_Calculation[[#This Row],[Source Row]]="","",Salary_Calculation[[#This Row],[Rider Target Orders]]*Salary_Calculation[[#This Row],[Base Order Rate]])</f>
        <v/>
      </c>
      <c r="AE116" s="162" t="str">
        <f aca="false">IF(SUMPRODUCT(--(LEN(INDEX(Rider_Input[#Data],ROW()-ROW(Salary_Calculation[#Headers]),0))&gt;0))=0,"",ROW()-ROW(Salary_Calculation[#Headers]))</f>
        <v/>
      </c>
    </row>
    <row r="117" customFormat="false" ht="14.25" hidden="false" customHeight="false" outlineLevel="0" collapsed="false">
      <c r="A117" s="161" t="str">
        <f aca="false">IF(Salary_Calculation[[#This Row],[Source Row]]="","",IF(INDEX(Rider_Input[Salary Month],Salary_Calculation[[#This Row],[Source Row]])="","",INDEX(Rider_Input[Salary Month],Salary_Calculation[[#This Row],[Source Row]])))</f>
        <v/>
      </c>
      <c r="B117" s="162" t="str">
        <f aca="false">IF(Salary_Calculation[[#This Row],[Source Row]]="","",IF(INDEX(Rider_Input[Rider ID],Salary_Calculation[[#This Row],[Source Row]])="","",INDEX(Rider_Input[Rider ID],Salary_Calculation[[#This Row],[Source Row]])))</f>
        <v/>
      </c>
      <c r="C117" s="163" t="str">
        <f aca="false">IF(Salary_Calculation[[#This Row],[Source Row]]="","",IF(INDEX(Rider_Input[Rider Name],Salary_Calculation[[#This Row],[Source Row]])="","",INDEX(Rider_Input[Rider Name],Salary_Calculation[[#This Row],[Source Row]])))</f>
        <v/>
      </c>
      <c r="D117" s="164" t="str">
        <f aca="false">IF(Salary_Calculation[[#This Row],[Source Row]]="","",IF(INDEX(Rider_Input[Basic Payment],Salary_Calculation[[#This Row],[Source Row]])="","",INDEX(Rider_Input[Basic Payment],Salary_Calculation[[#This Row],[Source Row]])))</f>
        <v/>
      </c>
      <c r="E117" s="162" t="str">
        <f aca="false">IF(Salary_Calculation[[#This Row],[Source Row]]="","",IF(INDEX(Rider_Input[Calendar Days in Month],Salary_Calculation[[#This Row],[Source Row]])="","",INDEX(Rider_Input[Calendar Days in Month],Salary_Calculation[[#This Row],[Source Row]])))</f>
        <v/>
      </c>
      <c r="F117" s="162" t="str">
        <f aca="false">IF(Salary_Calculation[[#This Row],[Source Row]]="","",IF(INDEX(Rider_Input[Working Days],Salary_Calculation[[#This Row],[Source Row]])="","",INDEX(Rider_Input[Working Days],Salary_Calculation[[#This Row],[Source Row]])))</f>
        <v/>
      </c>
      <c r="G117" s="165" t="str">
        <f aca="false">IF(Salary_Calculation[[#This Row],[Source Row]]="","",Std_Orders/Std_Days*N(Salary_Calculation[[#This Row],[Calendar Days]]))</f>
        <v/>
      </c>
      <c r="H117" s="165" t="str">
        <f aca="false">IF(Salary_Calculation[[#This Row],[Source Row]]="","",IF(N(Salary_Calculation[[#This Row],[Calendar Days]])&gt;0,Salary_Calculation[[#This Row],[Monthly Target Orders]]/N(Salary_Calculation[[#This Row],[Calendar Days]])*N(Salary_Calculation[[#This Row],[Working Days]]),0))</f>
        <v/>
      </c>
      <c r="I117" s="166" t="str">
        <f aca="false">IF(Salary_Calculation[[#This Row],[Source Row]]="","",IF(INDEX(Rider_Input[Completed Orders],Salary_Calculation[[#This Row],[Source Row]])="","",INDEX(Rider_Input[Completed Orders],Salary_Calculation[[#This Row],[Source Row]])))</f>
        <v/>
      </c>
      <c r="J117" s="165" t="str">
        <f aca="false">IF(Salary_Calculation[[#This Row],[Source Row]]="","",IF(Rate_Method="Fixed rate",Fixed_Rate,IF(N(Salary_Calculation[[#This Row],[Basic Payment]])&gt;0,N(Salary_Calculation[[#This Row],[Basic Payment]])/Std_Orders,0)))</f>
        <v/>
      </c>
      <c r="K117" s="165" t="str">
        <f aca="false">IF(Salary_Calculation[[#This Row],[Source Row]]="","",MAX(MIN(N(Salary_Calculation[[#This Row],[Completed Orders]]),Salary_Calculation[[#This Row],[Rider Target Orders]]),0))</f>
        <v/>
      </c>
      <c r="L117" s="164" t="str">
        <f aca="false">IF(Salary_Calculation[[#This Row],[Source Row]]="","",Salary_Calculation[[#This Row],[Orders Counted at Base Rate]]*Salary_Calculation[[#This Row],[Base Order Rate]])</f>
        <v/>
      </c>
      <c r="M117" s="165" t="str">
        <f aca="false">IF(Salary_Calculation[[#This Row],[Source Row]]="","",MAX(Salary_Calculation[[#This Row],[Rider Target Orders]]-N(Salary_Calculation[[#This Row],[Completed Orders]]),0))</f>
        <v/>
      </c>
      <c r="N117" s="164" t="str">
        <f aca="false">IF(Salary_Calculation[[#This Row],[Source Row]]="","",Salary_Calculation[[#This Row],[Missing Orders]]*Missing_Rate)</f>
        <v/>
      </c>
      <c r="O117" s="165" t="str">
        <f aca="false">IF(Salary_Calculation[[#This Row],[Source Row]]="","",MAX(N(Salary_Calculation[[#This Row],[Completed Orders]])-Salary_Calculation[[#This Row],[Rider Target Orders]],0))</f>
        <v/>
      </c>
      <c r="P117" s="164" t="str">
        <f aca="false">IF(Salary_Calculation[[#This Row],[Source Row]]="","",Salary_Calculation[[#This Row],[Extra Orders]]*Extra_Rate)</f>
        <v/>
      </c>
      <c r="Q117" s="164" t="str">
        <f aca="false">IF(Salary_Calculation[[#This Row],[Source Row]]="","",MAX(Salary_Calculation[[#This Row],[Salary Before Other Deductions]],0))</f>
        <v/>
      </c>
      <c r="R117" s="164" t="str">
        <f aca="false">IF(Salary_Calculation[[#This Row],[Source Row]]="","",N(INDEX(Rider_Input[missed_days_penalty],Salary_Calculation[[#This Row],[Source Row]])))</f>
        <v/>
      </c>
      <c r="S117" s="164" t="str">
        <f aca="false">IF(Salary_Calculation[[#This Row],[Source Row]]="","",N(INDEX(Rider_Input[Rider Balance / محفظة المندوب],Salary_Calculation[[#This Row],[Source Row]])))</f>
        <v/>
      </c>
      <c r="T117" s="164" t="str">
        <f aca="false">IF(Salary_Calculation[[#This Row],[Source Row]]="","",N(INDEX(Rider_Input[stacking_deduction / خصم الطلبات المتعددة],Salary_Calculation[[#This Row],[Source Row]])))</f>
        <v/>
      </c>
      <c r="U117" s="164" t="str">
        <f aca="false">IF(Salary_Calculation[[#This Row],[Source Row]]="","",N(INDEX(Rider_Input[Other Deductions],Salary_Calculation[[#This Row],[Source Row]])))</f>
        <v/>
      </c>
      <c r="V117" s="164" t="str">
        <f aca="false">IF(Salary_Calculation[[#This Row],[Source Row]]="","",N(Salary_Calculation[[#This Row],[missed_days_penalty]])+N(Salary_Calculation[[#This Row],[Rider Balance]])+N(Salary_Calculation[[#This Row],[stacking_deduction]])+N(Salary_Calculation[[#This Row],[Other Deductions]]))</f>
        <v/>
      </c>
      <c r="W117" s="167" t="str">
        <f aca="false">IF(Salary_Calculation[[#This Row],[Source Row]]="","",ROUND(MAX(Salary_Calculation[[#This Row],[Gross Salary Before Deductions]]-Salary_Calculation[[#This Row],[Total Deductions]],0),2))</f>
        <v/>
      </c>
      <c r="X117" s="164" t="str">
        <f aca="false">IF(Salary_Calculation[[#This Row],[Source Row]]="","",ROUND(MAX(Salary_Calculation[[#This Row],[Missing-Order Deduction]]-Salary_Calculation[[#This Row],[Earned Salary]],0),2))</f>
        <v/>
      </c>
      <c r="Y11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17" s="163" t="str">
        <f aca="false">IF(Salary_Calculation[[#This Row],[Source Row]]="","",IF(INDEX(Rider_Input[Notes],Salary_Calculation[[#This Row],[Source Row]])="","",INDEX(Rider_Input[Notes],Salary_Calculation[[#This Row],[Source Row]])))</f>
        <v/>
      </c>
      <c r="AA117" s="164" t="str">
        <f aca="false">IF(Salary_Calculation[[#This Row],[Source Row]]="","",Salary_Calculation[[#This Row],[Earned Salary]]-Salary_Calculation[[#This Row],[Missing-Order Deduction]]+Salary_Calculation[[#This Row],[Extra-Order Bonus]])</f>
        <v/>
      </c>
      <c r="AB117" s="164" t="str">
        <f aca="false">IF(Salary_Calculation[[#This Row],[Source Row]]="","",ROUND(Salary_Calculation[[#This Row],[Negative Balance / Amount Due from Rider]]+MAX(Salary_Calculation[[#This Row],[Total Deductions]]-Salary_Calculation[[#This Row],[Gross Salary Before Deductions]],0),2))</f>
        <v/>
      </c>
      <c r="AC11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17" s="164" t="str">
        <f aca="false">IF(Salary_Calculation[[#This Row],[Source Row]]="","",Salary_Calculation[[#This Row],[Rider Target Orders]]*Salary_Calculation[[#This Row],[Base Order Rate]])</f>
        <v/>
      </c>
      <c r="AE117" s="162" t="str">
        <f aca="false">IF(SUMPRODUCT(--(LEN(INDEX(Rider_Input[#Data],ROW()-ROW(Salary_Calculation[#Headers]),0))&gt;0))=0,"",ROW()-ROW(Salary_Calculation[#Headers]))</f>
        <v/>
      </c>
    </row>
    <row r="118" customFormat="false" ht="14.25" hidden="false" customHeight="false" outlineLevel="0" collapsed="false">
      <c r="A118" s="161" t="str">
        <f aca="false">IF(Salary_Calculation[[#This Row],[Source Row]]="","",IF(INDEX(Rider_Input[Salary Month],Salary_Calculation[[#This Row],[Source Row]])="","",INDEX(Rider_Input[Salary Month],Salary_Calculation[[#This Row],[Source Row]])))</f>
        <v/>
      </c>
      <c r="B118" s="162" t="str">
        <f aca="false">IF(Salary_Calculation[[#This Row],[Source Row]]="","",IF(INDEX(Rider_Input[Rider ID],Salary_Calculation[[#This Row],[Source Row]])="","",INDEX(Rider_Input[Rider ID],Salary_Calculation[[#This Row],[Source Row]])))</f>
        <v/>
      </c>
      <c r="C118" s="163" t="str">
        <f aca="false">IF(Salary_Calculation[[#This Row],[Source Row]]="","",IF(INDEX(Rider_Input[Rider Name],Salary_Calculation[[#This Row],[Source Row]])="","",INDEX(Rider_Input[Rider Name],Salary_Calculation[[#This Row],[Source Row]])))</f>
        <v/>
      </c>
      <c r="D118" s="164" t="str">
        <f aca="false">IF(Salary_Calculation[[#This Row],[Source Row]]="","",IF(INDEX(Rider_Input[Basic Payment],Salary_Calculation[[#This Row],[Source Row]])="","",INDEX(Rider_Input[Basic Payment],Salary_Calculation[[#This Row],[Source Row]])))</f>
        <v/>
      </c>
      <c r="E118" s="162" t="str">
        <f aca="false">IF(Salary_Calculation[[#This Row],[Source Row]]="","",IF(INDEX(Rider_Input[Calendar Days in Month],Salary_Calculation[[#This Row],[Source Row]])="","",INDEX(Rider_Input[Calendar Days in Month],Salary_Calculation[[#This Row],[Source Row]])))</f>
        <v/>
      </c>
      <c r="F118" s="162" t="str">
        <f aca="false">IF(Salary_Calculation[[#This Row],[Source Row]]="","",IF(INDEX(Rider_Input[Working Days],Salary_Calculation[[#This Row],[Source Row]])="","",INDEX(Rider_Input[Working Days],Salary_Calculation[[#This Row],[Source Row]])))</f>
        <v/>
      </c>
      <c r="G118" s="165" t="str">
        <f aca="false">IF(Salary_Calculation[[#This Row],[Source Row]]="","",Std_Orders/Std_Days*N(Salary_Calculation[[#This Row],[Calendar Days]]))</f>
        <v/>
      </c>
      <c r="H118" s="165" t="str">
        <f aca="false">IF(Salary_Calculation[[#This Row],[Source Row]]="","",IF(N(Salary_Calculation[[#This Row],[Calendar Days]])&gt;0,Salary_Calculation[[#This Row],[Monthly Target Orders]]/N(Salary_Calculation[[#This Row],[Calendar Days]])*N(Salary_Calculation[[#This Row],[Working Days]]),0))</f>
        <v/>
      </c>
      <c r="I118" s="166" t="str">
        <f aca="false">IF(Salary_Calculation[[#This Row],[Source Row]]="","",IF(INDEX(Rider_Input[Completed Orders],Salary_Calculation[[#This Row],[Source Row]])="","",INDEX(Rider_Input[Completed Orders],Salary_Calculation[[#This Row],[Source Row]])))</f>
        <v/>
      </c>
      <c r="J118" s="165" t="str">
        <f aca="false">IF(Salary_Calculation[[#This Row],[Source Row]]="","",IF(Rate_Method="Fixed rate",Fixed_Rate,IF(N(Salary_Calculation[[#This Row],[Basic Payment]])&gt;0,N(Salary_Calculation[[#This Row],[Basic Payment]])/Std_Orders,0)))</f>
        <v/>
      </c>
      <c r="K118" s="165" t="str">
        <f aca="false">IF(Salary_Calculation[[#This Row],[Source Row]]="","",MAX(MIN(N(Salary_Calculation[[#This Row],[Completed Orders]]),Salary_Calculation[[#This Row],[Rider Target Orders]]),0))</f>
        <v/>
      </c>
      <c r="L118" s="164" t="str">
        <f aca="false">IF(Salary_Calculation[[#This Row],[Source Row]]="","",Salary_Calculation[[#This Row],[Orders Counted at Base Rate]]*Salary_Calculation[[#This Row],[Base Order Rate]])</f>
        <v/>
      </c>
      <c r="M118" s="165" t="str">
        <f aca="false">IF(Salary_Calculation[[#This Row],[Source Row]]="","",MAX(Salary_Calculation[[#This Row],[Rider Target Orders]]-N(Salary_Calculation[[#This Row],[Completed Orders]]),0))</f>
        <v/>
      </c>
      <c r="N118" s="164" t="str">
        <f aca="false">IF(Salary_Calculation[[#This Row],[Source Row]]="","",Salary_Calculation[[#This Row],[Missing Orders]]*Missing_Rate)</f>
        <v/>
      </c>
      <c r="O118" s="165" t="str">
        <f aca="false">IF(Salary_Calculation[[#This Row],[Source Row]]="","",MAX(N(Salary_Calculation[[#This Row],[Completed Orders]])-Salary_Calculation[[#This Row],[Rider Target Orders]],0))</f>
        <v/>
      </c>
      <c r="P118" s="164" t="str">
        <f aca="false">IF(Salary_Calculation[[#This Row],[Source Row]]="","",Salary_Calculation[[#This Row],[Extra Orders]]*Extra_Rate)</f>
        <v/>
      </c>
      <c r="Q118" s="164" t="str">
        <f aca="false">IF(Salary_Calculation[[#This Row],[Source Row]]="","",MAX(Salary_Calculation[[#This Row],[Salary Before Other Deductions]],0))</f>
        <v/>
      </c>
      <c r="R118" s="164" t="str">
        <f aca="false">IF(Salary_Calculation[[#This Row],[Source Row]]="","",N(INDEX(Rider_Input[missed_days_penalty],Salary_Calculation[[#This Row],[Source Row]])))</f>
        <v/>
      </c>
      <c r="S118" s="164" t="str">
        <f aca="false">IF(Salary_Calculation[[#This Row],[Source Row]]="","",N(INDEX(Rider_Input[Rider Balance / محفظة المندوب],Salary_Calculation[[#This Row],[Source Row]])))</f>
        <v/>
      </c>
      <c r="T118" s="164" t="str">
        <f aca="false">IF(Salary_Calculation[[#This Row],[Source Row]]="","",N(INDEX(Rider_Input[stacking_deduction / خصم الطلبات المتعددة],Salary_Calculation[[#This Row],[Source Row]])))</f>
        <v/>
      </c>
      <c r="U118" s="164" t="str">
        <f aca="false">IF(Salary_Calculation[[#This Row],[Source Row]]="","",N(INDEX(Rider_Input[Other Deductions],Salary_Calculation[[#This Row],[Source Row]])))</f>
        <v/>
      </c>
      <c r="V118" s="164" t="str">
        <f aca="false">IF(Salary_Calculation[[#This Row],[Source Row]]="","",N(Salary_Calculation[[#This Row],[missed_days_penalty]])+N(Salary_Calculation[[#This Row],[Rider Balance]])+N(Salary_Calculation[[#This Row],[stacking_deduction]])+N(Salary_Calculation[[#This Row],[Other Deductions]]))</f>
        <v/>
      </c>
      <c r="W118" s="167" t="str">
        <f aca="false">IF(Salary_Calculation[[#This Row],[Source Row]]="","",ROUND(MAX(Salary_Calculation[[#This Row],[Gross Salary Before Deductions]]-Salary_Calculation[[#This Row],[Total Deductions]],0),2))</f>
        <v/>
      </c>
      <c r="X118" s="164" t="str">
        <f aca="false">IF(Salary_Calculation[[#This Row],[Source Row]]="","",ROUND(MAX(Salary_Calculation[[#This Row],[Missing-Order Deduction]]-Salary_Calculation[[#This Row],[Earned Salary]],0),2))</f>
        <v/>
      </c>
      <c r="Y11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18" s="163" t="str">
        <f aca="false">IF(Salary_Calculation[[#This Row],[Source Row]]="","",IF(INDEX(Rider_Input[Notes],Salary_Calculation[[#This Row],[Source Row]])="","",INDEX(Rider_Input[Notes],Salary_Calculation[[#This Row],[Source Row]])))</f>
        <v/>
      </c>
      <c r="AA118" s="164" t="str">
        <f aca="false">IF(Salary_Calculation[[#This Row],[Source Row]]="","",Salary_Calculation[[#This Row],[Earned Salary]]-Salary_Calculation[[#This Row],[Missing-Order Deduction]]+Salary_Calculation[[#This Row],[Extra-Order Bonus]])</f>
        <v/>
      </c>
      <c r="AB118" s="164" t="str">
        <f aca="false">IF(Salary_Calculation[[#This Row],[Source Row]]="","",ROUND(Salary_Calculation[[#This Row],[Negative Balance / Amount Due from Rider]]+MAX(Salary_Calculation[[#This Row],[Total Deductions]]-Salary_Calculation[[#This Row],[Gross Salary Before Deductions]],0),2))</f>
        <v/>
      </c>
      <c r="AC11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18" s="164" t="str">
        <f aca="false">IF(Salary_Calculation[[#This Row],[Source Row]]="","",Salary_Calculation[[#This Row],[Rider Target Orders]]*Salary_Calculation[[#This Row],[Base Order Rate]])</f>
        <v/>
      </c>
      <c r="AE118" s="162" t="str">
        <f aca="false">IF(SUMPRODUCT(--(LEN(INDEX(Rider_Input[#Data],ROW()-ROW(Salary_Calculation[#Headers]),0))&gt;0))=0,"",ROW()-ROW(Salary_Calculation[#Headers]))</f>
        <v/>
      </c>
    </row>
    <row r="119" customFormat="false" ht="14.25" hidden="false" customHeight="false" outlineLevel="0" collapsed="false">
      <c r="A119" s="161" t="str">
        <f aca="false">IF(Salary_Calculation[[#This Row],[Source Row]]="","",IF(INDEX(Rider_Input[Salary Month],Salary_Calculation[[#This Row],[Source Row]])="","",INDEX(Rider_Input[Salary Month],Salary_Calculation[[#This Row],[Source Row]])))</f>
        <v/>
      </c>
      <c r="B119" s="162" t="str">
        <f aca="false">IF(Salary_Calculation[[#This Row],[Source Row]]="","",IF(INDEX(Rider_Input[Rider ID],Salary_Calculation[[#This Row],[Source Row]])="","",INDEX(Rider_Input[Rider ID],Salary_Calculation[[#This Row],[Source Row]])))</f>
        <v/>
      </c>
      <c r="C119" s="163" t="str">
        <f aca="false">IF(Salary_Calculation[[#This Row],[Source Row]]="","",IF(INDEX(Rider_Input[Rider Name],Salary_Calculation[[#This Row],[Source Row]])="","",INDEX(Rider_Input[Rider Name],Salary_Calculation[[#This Row],[Source Row]])))</f>
        <v/>
      </c>
      <c r="D119" s="164" t="str">
        <f aca="false">IF(Salary_Calculation[[#This Row],[Source Row]]="","",IF(INDEX(Rider_Input[Basic Payment],Salary_Calculation[[#This Row],[Source Row]])="","",INDEX(Rider_Input[Basic Payment],Salary_Calculation[[#This Row],[Source Row]])))</f>
        <v/>
      </c>
      <c r="E119" s="162" t="str">
        <f aca="false">IF(Salary_Calculation[[#This Row],[Source Row]]="","",IF(INDEX(Rider_Input[Calendar Days in Month],Salary_Calculation[[#This Row],[Source Row]])="","",INDEX(Rider_Input[Calendar Days in Month],Salary_Calculation[[#This Row],[Source Row]])))</f>
        <v/>
      </c>
      <c r="F119" s="162" t="str">
        <f aca="false">IF(Salary_Calculation[[#This Row],[Source Row]]="","",IF(INDEX(Rider_Input[Working Days],Salary_Calculation[[#This Row],[Source Row]])="","",INDEX(Rider_Input[Working Days],Salary_Calculation[[#This Row],[Source Row]])))</f>
        <v/>
      </c>
      <c r="G119" s="165" t="str">
        <f aca="false">IF(Salary_Calculation[[#This Row],[Source Row]]="","",Std_Orders/Std_Days*N(Salary_Calculation[[#This Row],[Calendar Days]]))</f>
        <v/>
      </c>
      <c r="H119" s="165" t="str">
        <f aca="false">IF(Salary_Calculation[[#This Row],[Source Row]]="","",IF(N(Salary_Calculation[[#This Row],[Calendar Days]])&gt;0,Salary_Calculation[[#This Row],[Monthly Target Orders]]/N(Salary_Calculation[[#This Row],[Calendar Days]])*N(Salary_Calculation[[#This Row],[Working Days]]),0))</f>
        <v/>
      </c>
      <c r="I119" s="166" t="str">
        <f aca="false">IF(Salary_Calculation[[#This Row],[Source Row]]="","",IF(INDEX(Rider_Input[Completed Orders],Salary_Calculation[[#This Row],[Source Row]])="","",INDEX(Rider_Input[Completed Orders],Salary_Calculation[[#This Row],[Source Row]])))</f>
        <v/>
      </c>
      <c r="J119" s="165" t="str">
        <f aca="false">IF(Salary_Calculation[[#This Row],[Source Row]]="","",IF(Rate_Method="Fixed rate",Fixed_Rate,IF(N(Salary_Calculation[[#This Row],[Basic Payment]])&gt;0,N(Salary_Calculation[[#This Row],[Basic Payment]])/Std_Orders,0)))</f>
        <v/>
      </c>
      <c r="K119" s="165" t="str">
        <f aca="false">IF(Salary_Calculation[[#This Row],[Source Row]]="","",MAX(MIN(N(Salary_Calculation[[#This Row],[Completed Orders]]),Salary_Calculation[[#This Row],[Rider Target Orders]]),0))</f>
        <v/>
      </c>
      <c r="L119" s="164" t="str">
        <f aca="false">IF(Salary_Calculation[[#This Row],[Source Row]]="","",Salary_Calculation[[#This Row],[Orders Counted at Base Rate]]*Salary_Calculation[[#This Row],[Base Order Rate]])</f>
        <v/>
      </c>
      <c r="M119" s="165" t="str">
        <f aca="false">IF(Salary_Calculation[[#This Row],[Source Row]]="","",MAX(Salary_Calculation[[#This Row],[Rider Target Orders]]-N(Salary_Calculation[[#This Row],[Completed Orders]]),0))</f>
        <v/>
      </c>
      <c r="N119" s="164" t="str">
        <f aca="false">IF(Salary_Calculation[[#This Row],[Source Row]]="","",Salary_Calculation[[#This Row],[Missing Orders]]*Missing_Rate)</f>
        <v/>
      </c>
      <c r="O119" s="165" t="str">
        <f aca="false">IF(Salary_Calculation[[#This Row],[Source Row]]="","",MAX(N(Salary_Calculation[[#This Row],[Completed Orders]])-Salary_Calculation[[#This Row],[Rider Target Orders]],0))</f>
        <v/>
      </c>
      <c r="P119" s="164" t="str">
        <f aca="false">IF(Salary_Calculation[[#This Row],[Source Row]]="","",Salary_Calculation[[#This Row],[Extra Orders]]*Extra_Rate)</f>
        <v/>
      </c>
      <c r="Q119" s="164" t="str">
        <f aca="false">IF(Salary_Calculation[[#This Row],[Source Row]]="","",MAX(Salary_Calculation[[#This Row],[Salary Before Other Deductions]],0))</f>
        <v/>
      </c>
      <c r="R119" s="164" t="str">
        <f aca="false">IF(Salary_Calculation[[#This Row],[Source Row]]="","",N(INDEX(Rider_Input[missed_days_penalty],Salary_Calculation[[#This Row],[Source Row]])))</f>
        <v/>
      </c>
      <c r="S119" s="164" t="str">
        <f aca="false">IF(Salary_Calculation[[#This Row],[Source Row]]="","",N(INDEX(Rider_Input[Rider Balance / محفظة المندوب],Salary_Calculation[[#This Row],[Source Row]])))</f>
        <v/>
      </c>
      <c r="T119" s="164" t="str">
        <f aca="false">IF(Salary_Calculation[[#This Row],[Source Row]]="","",N(INDEX(Rider_Input[stacking_deduction / خصم الطلبات المتعددة],Salary_Calculation[[#This Row],[Source Row]])))</f>
        <v/>
      </c>
      <c r="U119" s="164" t="str">
        <f aca="false">IF(Salary_Calculation[[#This Row],[Source Row]]="","",N(INDEX(Rider_Input[Other Deductions],Salary_Calculation[[#This Row],[Source Row]])))</f>
        <v/>
      </c>
      <c r="V119" s="164" t="str">
        <f aca="false">IF(Salary_Calculation[[#This Row],[Source Row]]="","",N(Salary_Calculation[[#This Row],[missed_days_penalty]])+N(Salary_Calculation[[#This Row],[Rider Balance]])+N(Salary_Calculation[[#This Row],[stacking_deduction]])+N(Salary_Calculation[[#This Row],[Other Deductions]]))</f>
        <v/>
      </c>
      <c r="W119" s="167" t="str">
        <f aca="false">IF(Salary_Calculation[[#This Row],[Source Row]]="","",ROUND(MAX(Salary_Calculation[[#This Row],[Gross Salary Before Deductions]]-Salary_Calculation[[#This Row],[Total Deductions]],0),2))</f>
        <v/>
      </c>
      <c r="X119" s="164" t="str">
        <f aca="false">IF(Salary_Calculation[[#This Row],[Source Row]]="","",ROUND(MAX(Salary_Calculation[[#This Row],[Missing-Order Deduction]]-Salary_Calculation[[#This Row],[Earned Salary]],0),2))</f>
        <v/>
      </c>
      <c r="Y11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19" s="163" t="str">
        <f aca="false">IF(Salary_Calculation[[#This Row],[Source Row]]="","",IF(INDEX(Rider_Input[Notes],Salary_Calculation[[#This Row],[Source Row]])="","",INDEX(Rider_Input[Notes],Salary_Calculation[[#This Row],[Source Row]])))</f>
        <v/>
      </c>
      <c r="AA119" s="164" t="str">
        <f aca="false">IF(Salary_Calculation[[#This Row],[Source Row]]="","",Salary_Calculation[[#This Row],[Earned Salary]]-Salary_Calculation[[#This Row],[Missing-Order Deduction]]+Salary_Calculation[[#This Row],[Extra-Order Bonus]])</f>
        <v/>
      </c>
      <c r="AB119" s="164" t="str">
        <f aca="false">IF(Salary_Calculation[[#This Row],[Source Row]]="","",ROUND(Salary_Calculation[[#This Row],[Negative Balance / Amount Due from Rider]]+MAX(Salary_Calculation[[#This Row],[Total Deductions]]-Salary_Calculation[[#This Row],[Gross Salary Before Deductions]],0),2))</f>
        <v/>
      </c>
      <c r="AC11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19" s="164" t="str">
        <f aca="false">IF(Salary_Calculation[[#This Row],[Source Row]]="","",Salary_Calculation[[#This Row],[Rider Target Orders]]*Salary_Calculation[[#This Row],[Base Order Rate]])</f>
        <v/>
      </c>
      <c r="AE119" s="162" t="str">
        <f aca="false">IF(SUMPRODUCT(--(LEN(INDEX(Rider_Input[#Data],ROW()-ROW(Salary_Calculation[#Headers]),0))&gt;0))=0,"",ROW()-ROW(Salary_Calculation[#Headers]))</f>
        <v/>
      </c>
    </row>
    <row r="120" customFormat="false" ht="14.25" hidden="false" customHeight="false" outlineLevel="0" collapsed="false">
      <c r="A120" s="161" t="str">
        <f aca="false">IF(Salary_Calculation[[#This Row],[Source Row]]="","",IF(INDEX(Rider_Input[Salary Month],Salary_Calculation[[#This Row],[Source Row]])="","",INDEX(Rider_Input[Salary Month],Salary_Calculation[[#This Row],[Source Row]])))</f>
        <v/>
      </c>
      <c r="B120" s="162" t="str">
        <f aca="false">IF(Salary_Calculation[[#This Row],[Source Row]]="","",IF(INDEX(Rider_Input[Rider ID],Salary_Calculation[[#This Row],[Source Row]])="","",INDEX(Rider_Input[Rider ID],Salary_Calculation[[#This Row],[Source Row]])))</f>
        <v/>
      </c>
      <c r="C120" s="163" t="str">
        <f aca="false">IF(Salary_Calculation[[#This Row],[Source Row]]="","",IF(INDEX(Rider_Input[Rider Name],Salary_Calculation[[#This Row],[Source Row]])="","",INDEX(Rider_Input[Rider Name],Salary_Calculation[[#This Row],[Source Row]])))</f>
        <v/>
      </c>
      <c r="D120" s="164" t="str">
        <f aca="false">IF(Salary_Calculation[[#This Row],[Source Row]]="","",IF(INDEX(Rider_Input[Basic Payment],Salary_Calculation[[#This Row],[Source Row]])="","",INDEX(Rider_Input[Basic Payment],Salary_Calculation[[#This Row],[Source Row]])))</f>
        <v/>
      </c>
      <c r="E120" s="162" t="str">
        <f aca="false">IF(Salary_Calculation[[#This Row],[Source Row]]="","",IF(INDEX(Rider_Input[Calendar Days in Month],Salary_Calculation[[#This Row],[Source Row]])="","",INDEX(Rider_Input[Calendar Days in Month],Salary_Calculation[[#This Row],[Source Row]])))</f>
        <v/>
      </c>
      <c r="F120" s="162" t="str">
        <f aca="false">IF(Salary_Calculation[[#This Row],[Source Row]]="","",IF(INDEX(Rider_Input[Working Days],Salary_Calculation[[#This Row],[Source Row]])="","",INDEX(Rider_Input[Working Days],Salary_Calculation[[#This Row],[Source Row]])))</f>
        <v/>
      </c>
      <c r="G120" s="165" t="str">
        <f aca="false">IF(Salary_Calculation[[#This Row],[Source Row]]="","",Std_Orders/Std_Days*N(Salary_Calculation[[#This Row],[Calendar Days]]))</f>
        <v/>
      </c>
      <c r="H120" s="165" t="str">
        <f aca="false">IF(Salary_Calculation[[#This Row],[Source Row]]="","",IF(N(Salary_Calculation[[#This Row],[Calendar Days]])&gt;0,Salary_Calculation[[#This Row],[Monthly Target Orders]]/N(Salary_Calculation[[#This Row],[Calendar Days]])*N(Salary_Calculation[[#This Row],[Working Days]]),0))</f>
        <v/>
      </c>
      <c r="I120" s="166" t="str">
        <f aca="false">IF(Salary_Calculation[[#This Row],[Source Row]]="","",IF(INDEX(Rider_Input[Completed Orders],Salary_Calculation[[#This Row],[Source Row]])="","",INDEX(Rider_Input[Completed Orders],Salary_Calculation[[#This Row],[Source Row]])))</f>
        <v/>
      </c>
      <c r="J120" s="165" t="str">
        <f aca="false">IF(Salary_Calculation[[#This Row],[Source Row]]="","",IF(Rate_Method="Fixed rate",Fixed_Rate,IF(N(Salary_Calculation[[#This Row],[Basic Payment]])&gt;0,N(Salary_Calculation[[#This Row],[Basic Payment]])/Std_Orders,0)))</f>
        <v/>
      </c>
      <c r="K120" s="165" t="str">
        <f aca="false">IF(Salary_Calculation[[#This Row],[Source Row]]="","",MAX(MIN(N(Salary_Calculation[[#This Row],[Completed Orders]]),Salary_Calculation[[#This Row],[Rider Target Orders]]),0))</f>
        <v/>
      </c>
      <c r="L120" s="164" t="str">
        <f aca="false">IF(Salary_Calculation[[#This Row],[Source Row]]="","",Salary_Calculation[[#This Row],[Orders Counted at Base Rate]]*Salary_Calculation[[#This Row],[Base Order Rate]])</f>
        <v/>
      </c>
      <c r="M120" s="165" t="str">
        <f aca="false">IF(Salary_Calculation[[#This Row],[Source Row]]="","",MAX(Salary_Calculation[[#This Row],[Rider Target Orders]]-N(Salary_Calculation[[#This Row],[Completed Orders]]),0))</f>
        <v/>
      </c>
      <c r="N120" s="164" t="str">
        <f aca="false">IF(Salary_Calculation[[#This Row],[Source Row]]="","",Salary_Calculation[[#This Row],[Missing Orders]]*Missing_Rate)</f>
        <v/>
      </c>
      <c r="O120" s="165" t="str">
        <f aca="false">IF(Salary_Calculation[[#This Row],[Source Row]]="","",MAX(N(Salary_Calculation[[#This Row],[Completed Orders]])-Salary_Calculation[[#This Row],[Rider Target Orders]],0))</f>
        <v/>
      </c>
      <c r="P120" s="164" t="str">
        <f aca="false">IF(Salary_Calculation[[#This Row],[Source Row]]="","",Salary_Calculation[[#This Row],[Extra Orders]]*Extra_Rate)</f>
        <v/>
      </c>
      <c r="Q120" s="164" t="str">
        <f aca="false">IF(Salary_Calculation[[#This Row],[Source Row]]="","",MAX(Salary_Calculation[[#This Row],[Salary Before Other Deductions]],0))</f>
        <v/>
      </c>
      <c r="R120" s="164" t="str">
        <f aca="false">IF(Salary_Calculation[[#This Row],[Source Row]]="","",N(INDEX(Rider_Input[missed_days_penalty],Salary_Calculation[[#This Row],[Source Row]])))</f>
        <v/>
      </c>
      <c r="S120" s="164" t="str">
        <f aca="false">IF(Salary_Calculation[[#This Row],[Source Row]]="","",N(INDEX(Rider_Input[Rider Balance / محفظة المندوب],Salary_Calculation[[#This Row],[Source Row]])))</f>
        <v/>
      </c>
      <c r="T120" s="164" t="str">
        <f aca="false">IF(Salary_Calculation[[#This Row],[Source Row]]="","",N(INDEX(Rider_Input[stacking_deduction / خصم الطلبات المتعددة],Salary_Calculation[[#This Row],[Source Row]])))</f>
        <v/>
      </c>
      <c r="U120" s="164" t="str">
        <f aca="false">IF(Salary_Calculation[[#This Row],[Source Row]]="","",N(INDEX(Rider_Input[Other Deductions],Salary_Calculation[[#This Row],[Source Row]])))</f>
        <v/>
      </c>
      <c r="V120" s="164" t="str">
        <f aca="false">IF(Salary_Calculation[[#This Row],[Source Row]]="","",N(Salary_Calculation[[#This Row],[missed_days_penalty]])+N(Salary_Calculation[[#This Row],[Rider Balance]])+N(Salary_Calculation[[#This Row],[stacking_deduction]])+N(Salary_Calculation[[#This Row],[Other Deductions]]))</f>
        <v/>
      </c>
      <c r="W120" s="167" t="str">
        <f aca="false">IF(Salary_Calculation[[#This Row],[Source Row]]="","",ROUND(MAX(Salary_Calculation[[#This Row],[Gross Salary Before Deductions]]-Salary_Calculation[[#This Row],[Total Deductions]],0),2))</f>
        <v/>
      </c>
      <c r="X120" s="164" t="str">
        <f aca="false">IF(Salary_Calculation[[#This Row],[Source Row]]="","",ROUND(MAX(Salary_Calculation[[#This Row],[Missing-Order Deduction]]-Salary_Calculation[[#This Row],[Earned Salary]],0),2))</f>
        <v/>
      </c>
      <c r="Y12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20" s="163" t="str">
        <f aca="false">IF(Salary_Calculation[[#This Row],[Source Row]]="","",IF(INDEX(Rider_Input[Notes],Salary_Calculation[[#This Row],[Source Row]])="","",INDEX(Rider_Input[Notes],Salary_Calculation[[#This Row],[Source Row]])))</f>
        <v/>
      </c>
      <c r="AA120" s="164" t="str">
        <f aca="false">IF(Salary_Calculation[[#This Row],[Source Row]]="","",Salary_Calculation[[#This Row],[Earned Salary]]-Salary_Calculation[[#This Row],[Missing-Order Deduction]]+Salary_Calculation[[#This Row],[Extra-Order Bonus]])</f>
        <v/>
      </c>
      <c r="AB120" s="164" t="str">
        <f aca="false">IF(Salary_Calculation[[#This Row],[Source Row]]="","",ROUND(Salary_Calculation[[#This Row],[Negative Balance / Amount Due from Rider]]+MAX(Salary_Calculation[[#This Row],[Total Deductions]]-Salary_Calculation[[#This Row],[Gross Salary Before Deductions]],0),2))</f>
        <v/>
      </c>
      <c r="AC12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20" s="164" t="str">
        <f aca="false">IF(Salary_Calculation[[#This Row],[Source Row]]="","",Salary_Calculation[[#This Row],[Rider Target Orders]]*Salary_Calculation[[#This Row],[Base Order Rate]])</f>
        <v/>
      </c>
      <c r="AE120" s="162" t="str">
        <f aca="false">IF(SUMPRODUCT(--(LEN(INDEX(Rider_Input[#Data],ROW()-ROW(Salary_Calculation[#Headers]),0))&gt;0))=0,"",ROW()-ROW(Salary_Calculation[#Headers]))</f>
        <v/>
      </c>
    </row>
    <row r="121" customFormat="false" ht="14.25" hidden="false" customHeight="false" outlineLevel="0" collapsed="false">
      <c r="A121" s="161" t="str">
        <f aca="false">IF(Salary_Calculation[[#This Row],[Source Row]]="","",IF(INDEX(Rider_Input[Salary Month],Salary_Calculation[[#This Row],[Source Row]])="","",INDEX(Rider_Input[Salary Month],Salary_Calculation[[#This Row],[Source Row]])))</f>
        <v/>
      </c>
      <c r="B121" s="162" t="str">
        <f aca="false">IF(Salary_Calculation[[#This Row],[Source Row]]="","",IF(INDEX(Rider_Input[Rider ID],Salary_Calculation[[#This Row],[Source Row]])="","",INDEX(Rider_Input[Rider ID],Salary_Calculation[[#This Row],[Source Row]])))</f>
        <v/>
      </c>
      <c r="C121" s="163" t="str">
        <f aca="false">IF(Salary_Calculation[[#This Row],[Source Row]]="","",IF(INDEX(Rider_Input[Rider Name],Salary_Calculation[[#This Row],[Source Row]])="","",INDEX(Rider_Input[Rider Name],Salary_Calculation[[#This Row],[Source Row]])))</f>
        <v/>
      </c>
      <c r="D121" s="164" t="str">
        <f aca="false">IF(Salary_Calculation[[#This Row],[Source Row]]="","",IF(INDEX(Rider_Input[Basic Payment],Salary_Calculation[[#This Row],[Source Row]])="","",INDEX(Rider_Input[Basic Payment],Salary_Calculation[[#This Row],[Source Row]])))</f>
        <v/>
      </c>
      <c r="E121" s="162" t="str">
        <f aca="false">IF(Salary_Calculation[[#This Row],[Source Row]]="","",IF(INDEX(Rider_Input[Calendar Days in Month],Salary_Calculation[[#This Row],[Source Row]])="","",INDEX(Rider_Input[Calendar Days in Month],Salary_Calculation[[#This Row],[Source Row]])))</f>
        <v/>
      </c>
      <c r="F121" s="162" t="str">
        <f aca="false">IF(Salary_Calculation[[#This Row],[Source Row]]="","",IF(INDEX(Rider_Input[Working Days],Salary_Calculation[[#This Row],[Source Row]])="","",INDEX(Rider_Input[Working Days],Salary_Calculation[[#This Row],[Source Row]])))</f>
        <v/>
      </c>
      <c r="G121" s="165" t="str">
        <f aca="false">IF(Salary_Calculation[[#This Row],[Source Row]]="","",Std_Orders/Std_Days*N(Salary_Calculation[[#This Row],[Calendar Days]]))</f>
        <v/>
      </c>
      <c r="H121" s="165" t="str">
        <f aca="false">IF(Salary_Calculation[[#This Row],[Source Row]]="","",IF(N(Salary_Calculation[[#This Row],[Calendar Days]])&gt;0,Salary_Calculation[[#This Row],[Monthly Target Orders]]/N(Salary_Calculation[[#This Row],[Calendar Days]])*N(Salary_Calculation[[#This Row],[Working Days]]),0))</f>
        <v/>
      </c>
      <c r="I121" s="166" t="str">
        <f aca="false">IF(Salary_Calculation[[#This Row],[Source Row]]="","",IF(INDEX(Rider_Input[Completed Orders],Salary_Calculation[[#This Row],[Source Row]])="","",INDEX(Rider_Input[Completed Orders],Salary_Calculation[[#This Row],[Source Row]])))</f>
        <v/>
      </c>
      <c r="J121" s="165" t="str">
        <f aca="false">IF(Salary_Calculation[[#This Row],[Source Row]]="","",IF(Rate_Method="Fixed rate",Fixed_Rate,IF(N(Salary_Calculation[[#This Row],[Basic Payment]])&gt;0,N(Salary_Calculation[[#This Row],[Basic Payment]])/Std_Orders,0)))</f>
        <v/>
      </c>
      <c r="K121" s="165" t="str">
        <f aca="false">IF(Salary_Calculation[[#This Row],[Source Row]]="","",MAX(MIN(N(Salary_Calculation[[#This Row],[Completed Orders]]),Salary_Calculation[[#This Row],[Rider Target Orders]]),0))</f>
        <v/>
      </c>
      <c r="L121" s="164" t="str">
        <f aca="false">IF(Salary_Calculation[[#This Row],[Source Row]]="","",Salary_Calculation[[#This Row],[Orders Counted at Base Rate]]*Salary_Calculation[[#This Row],[Base Order Rate]])</f>
        <v/>
      </c>
      <c r="M121" s="165" t="str">
        <f aca="false">IF(Salary_Calculation[[#This Row],[Source Row]]="","",MAX(Salary_Calculation[[#This Row],[Rider Target Orders]]-N(Salary_Calculation[[#This Row],[Completed Orders]]),0))</f>
        <v/>
      </c>
      <c r="N121" s="164" t="str">
        <f aca="false">IF(Salary_Calculation[[#This Row],[Source Row]]="","",Salary_Calculation[[#This Row],[Missing Orders]]*Missing_Rate)</f>
        <v/>
      </c>
      <c r="O121" s="165" t="str">
        <f aca="false">IF(Salary_Calculation[[#This Row],[Source Row]]="","",MAX(N(Salary_Calculation[[#This Row],[Completed Orders]])-Salary_Calculation[[#This Row],[Rider Target Orders]],0))</f>
        <v/>
      </c>
      <c r="P121" s="164" t="str">
        <f aca="false">IF(Salary_Calculation[[#This Row],[Source Row]]="","",Salary_Calculation[[#This Row],[Extra Orders]]*Extra_Rate)</f>
        <v/>
      </c>
      <c r="Q121" s="164" t="str">
        <f aca="false">IF(Salary_Calculation[[#This Row],[Source Row]]="","",MAX(Salary_Calculation[[#This Row],[Salary Before Other Deductions]],0))</f>
        <v/>
      </c>
      <c r="R121" s="164" t="str">
        <f aca="false">IF(Salary_Calculation[[#This Row],[Source Row]]="","",N(INDEX(Rider_Input[missed_days_penalty],Salary_Calculation[[#This Row],[Source Row]])))</f>
        <v/>
      </c>
      <c r="S121" s="164" t="str">
        <f aca="false">IF(Salary_Calculation[[#This Row],[Source Row]]="","",N(INDEX(Rider_Input[Rider Balance / محفظة المندوب],Salary_Calculation[[#This Row],[Source Row]])))</f>
        <v/>
      </c>
      <c r="T121" s="164" t="str">
        <f aca="false">IF(Salary_Calculation[[#This Row],[Source Row]]="","",N(INDEX(Rider_Input[stacking_deduction / خصم الطلبات المتعددة],Salary_Calculation[[#This Row],[Source Row]])))</f>
        <v/>
      </c>
      <c r="U121" s="164" t="str">
        <f aca="false">IF(Salary_Calculation[[#This Row],[Source Row]]="","",N(INDEX(Rider_Input[Other Deductions],Salary_Calculation[[#This Row],[Source Row]])))</f>
        <v/>
      </c>
      <c r="V121" s="164" t="str">
        <f aca="false">IF(Salary_Calculation[[#This Row],[Source Row]]="","",N(Salary_Calculation[[#This Row],[missed_days_penalty]])+N(Salary_Calculation[[#This Row],[Rider Balance]])+N(Salary_Calculation[[#This Row],[stacking_deduction]])+N(Salary_Calculation[[#This Row],[Other Deductions]]))</f>
        <v/>
      </c>
      <c r="W121" s="167" t="str">
        <f aca="false">IF(Salary_Calculation[[#This Row],[Source Row]]="","",ROUND(MAX(Salary_Calculation[[#This Row],[Gross Salary Before Deductions]]-Salary_Calculation[[#This Row],[Total Deductions]],0),2))</f>
        <v/>
      </c>
      <c r="X121" s="164" t="str">
        <f aca="false">IF(Salary_Calculation[[#This Row],[Source Row]]="","",ROUND(MAX(Salary_Calculation[[#This Row],[Missing-Order Deduction]]-Salary_Calculation[[#This Row],[Earned Salary]],0),2))</f>
        <v/>
      </c>
      <c r="Y12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21" s="163" t="str">
        <f aca="false">IF(Salary_Calculation[[#This Row],[Source Row]]="","",IF(INDEX(Rider_Input[Notes],Salary_Calculation[[#This Row],[Source Row]])="","",INDEX(Rider_Input[Notes],Salary_Calculation[[#This Row],[Source Row]])))</f>
        <v/>
      </c>
      <c r="AA121" s="164" t="str">
        <f aca="false">IF(Salary_Calculation[[#This Row],[Source Row]]="","",Salary_Calculation[[#This Row],[Earned Salary]]-Salary_Calculation[[#This Row],[Missing-Order Deduction]]+Salary_Calculation[[#This Row],[Extra-Order Bonus]])</f>
        <v/>
      </c>
      <c r="AB121" s="164" t="str">
        <f aca="false">IF(Salary_Calculation[[#This Row],[Source Row]]="","",ROUND(Salary_Calculation[[#This Row],[Negative Balance / Amount Due from Rider]]+MAX(Salary_Calculation[[#This Row],[Total Deductions]]-Salary_Calculation[[#This Row],[Gross Salary Before Deductions]],0),2))</f>
        <v/>
      </c>
      <c r="AC12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21" s="164" t="str">
        <f aca="false">IF(Salary_Calculation[[#This Row],[Source Row]]="","",Salary_Calculation[[#This Row],[Rider Target Orders]]*Salary_Calculation[[#This Row],[Base Order Rate]])</f>
        <v/>
      </c>
      <c r="AE121" s="162" t="str">
        <f aca="false">IF(SUMPRODUCT(--(LEN(INDEX(Rider_Input[#Data],ROW()-ROW(Salary_Calculation[#Headers]),0))&gt;0))=0,"",ROW()-ROW(Salary_Calculation[#Headers]))</f>
        <v/>
      </c>
    </row>
    <row r="122" customFormat="false" ht="14.25" hidden="false" customHeight="false" outlineLevel="0" collapsed="false">
      <c r="A122" s="161" t="str">
        <f aca="false">IF(Salary_Calculation[[#This Row],[Source Row]]="","",IF(INDEX(Rider_Input[Salary Month],Salary_Calculation[[#This Row],[Source Row]])="","",INDEX(Rider_Input[Salary Month],Salary_Calculation[[#This Row],[Source Row]])))</f>
        <v/>
      </c>
      <c r="B122" s="162" t="str">
        <f aca="false">IF(Salary_Calculation[[#This Row],[Source Row]]="","",IF(INDEX(Rider_Input[Rider ID],Salary_Calculation[[#This Row],[Source Row]])="","",INDEX(Rider_Input[Rider ID],Salary_Calculation[[#This Row],[Source Row]])))</f>
        <v/>
      </c>
      <c r="C122" s="163" t="str">
        <f aca="false">IF(Salary_Calculation[[#This Row],[Source Row]]="","",IF(INDEX(Rider_Input[Rider Name],Salary_Calculation[[#This Row],[Source Row]])="","",INDEX(Rider_Input[Rider Name],Salary_Calculation[[#This Row],[Source Row]])))</f>
        <v/>
      </c>
      <c r="D122" s="164" t="str">
        <f aca="false">IF(Salary_Calculation[[#This Row],[Source Row]]="","",IF(INDEX(Rider_Input[Basic Payment],Salary_Calculation[[#This Row],[Source Row]])="","",INDEX(Rider_Input[Basic Payment],Salary_Calculation[[#This Row],[Source Row]])))</f>
        <v/>
      </c>
      <c r="E122" s="162" t="str">
        <f aca="false">IF(Salary_Calculation[[#This Row],[Source Row]]="","",IF(INDEX(Rider_Input[Calendar Days in Month],Salary_Calculation[[#This Row],[Source Row]])="","",INDEX(Rider_Input[Calendar Days in Month],Salary_Calculation[[#This Row],[Source Row]])))</f>
        <v/>
      </c>
      <c r="F122" s="162" t="str">
        <f aca="false">IF(Salary_Calculation[[#This Row],[Source Row]]="","",IF(INDEX(Rider_Input[Working Days],Salary_Calculation[[#This Row],[Source Row]])="","",INDEX(Rider_Input[Working Days],Salary_Calculation[[#This Row],[Source Row]])))</f>
        <v/>
      </c>
      <c r="G122" s="165" t="str">
        <f aca="false">IF(Salary_Calculation[[#This Row],[Source Row]]="","",Std_Orders/Std_Days*N(Salary_Calculation[[#This Row],[Calendar Days]]))</f>
        <v/>
      </c>
      <c r="H122" s="165" t="str">
        <f aca="false">IF(Salary_Calculation[[#This Row],[Source Row]]="","",IF(N(Salary_Calculation[[#This Row],[Calendar Days]])&gt;0,Salary_Calculation[[#This Row],[Monthly Target Orders]]/N(Salary_Calculation[[#This Row],[Calendar Days]])*N(Salary_Calculation[[#This Row],[Working Days]]),0))</f>
        <v/>
      </c>
      <c r="I122" s="166" t="str">
        <f aca="false">IF(Salary_Calculation[[#This Row],[Source Row]]="","",IF(INDEX(Rider_Input[Completed Orders],Salary_Calculation[[#This Row],[Source Row]])="","",INDEX(Rider_Input[Completed Orders],Salary_Calculation[[#This Row],[Source Row]])))</f>
        <v/>
      </c>
      <c r="J122" s="165" t="str">
        <f aca="false">IF(Salary_Calculation[[#This Row],[Source Row]]="","",IF(Rate_Method="Fixed rate",Fixed_Rate,IF(N(Salary_Calculation[[#This Row],[Basic Payment]])&gt;0,N(Salary_Calculation[[#This Row],[Basic Payment]])/Std_Orders,0)))</f>
        <v/>
      </c>
      <c r="K122" s="165" t="str">
        <f aca="false">IF(Salary_Calculation[[#This Row],[Source Row]]="","",MAX(MIN(N(Salary_Calculation[[#This Row],[Completed Orders]]),Salary_Calculation[[#This Row],[Rider Target Orders]]),0))</f>
        <v/>
      </c>
      <c r="L122" s="164" t="str">
        <f aca="false">IF(Salary_Calculation[[#This Row],[Source Row]]="","",Salary_Calculation[[#This Row],[Orders Counted at Base Rate]]*Salary_Calculation[[#This Row],[Base Order Rate]])</f>
        <v/>
      </c>
      <c r="M122" s="165" t="str">
        <f aca="false">IF(Salary_Calculation[[#This Row],[Source Row]]="","",MAX(Salary_Calculation[[#This Row],[Rider Target Orders]]-N(Salary_Calculation[[#This Row],[Completed Orders]]),0))</f>
        <v/>
      </c>
      <c r="N122" s="164" t="str">
        <f aca="false">IF(Salary_Calculation[[#This Row],[Source Row]]="","",Salary_Calculation[[#This Row],[Missing Orders]]*Missing_Rate)</f>
        <v/>
      </c>
      <c r="O122" s="165" t="str">
        <f aca="false">IF(Salary_Calculation[[#This Row],[Source Row]]="","",MAX(N(Salary_Calculation[[#This Row],[Completed Orders]])-Salary_Calculation[[#This Row],[Rider Target Orders]],0))</f>
        <v/>
      </c>
      <c r="P122" s="164" t="str">
        <f aca="false">IF(Salary_Calculation[[#This Row],[Source Row]]="","",Salary_Calculation[[#This Row],[Extra Orders]]*Extra_Rate)</f>
        <v/>
      </c>
      <c r="Q122" s="164" t="str">
        <f aca="false">IF(Salary_Calculation[[#This Row],[Source Row]]="","",MAX(Salary_Calculation[[#This Row],[Salary Before Other Deductions]],0))</f>
        <v/>
      </c>
      <c r="R122" s="164" t="str">
        <f aca="false">IF(Salary_Calculation[[#This Row],[Source Row]]="","",N(INDEX(Rider_Input[missed_days_penalty],Salary_Calculation[[#This Row],[Source Row]])))</f>
        <v/>
      </c>
      <c r="S122" s="164" t="str">
        <f aca="false">IF(Salary_Calculation[[#This Row],[Source Row]]="","",N(INDEX(Rider_Input[Rider Balance / محفظة المندوب],Salary_Calculation[[#This Row],[Source Row]])))</f>
        <v/>
      </c>
      <c r="T122" s="164" t="str">
        <f aca="false">IF(Salary_Calculation[[#This Row],[Source Row]]="","",N(INDEX(Rider_Input[stacking_deduction / خصم الطلبات المتعددة],Salary_Calculation[[#This Row],[Source Row]])))</f>
        <v/>
      </c>
      <c r="U122" s="164" t="str">
        <f aca="false">IF(Salary_Calculation[[#This Row],[Source Row]]="","",N(INDEX(Rider_Input[Other Deductions],Salary_Calculation[[#This Row],[Source Row]])))</f>
        <v/>
      </c>
      <c r="V122" s="164" t="str">
        <f aca="false">IF(Salary_Calculation[[#This Row],[Source Row]]="","",N(Salary_Calculation[[#This Row],[missed_days_penalty]])+N(Salary_Calculation[[#This Row],[Rider Balance]])+N(Salary_Calculation[[#This Row],[stacking_deduction]])+N(Salary_Calculation[[#This Row],[Other Deductions]]))</f>
        <v/>
      </c>
      <c r="W122" s="167" t="str">
        <f aca="false">IF(Salary_Calculation[[#This Row],[Source Row]]="","",ROUND(MAX(Salary_Calculation[[#This Row],[Gross Salary Before Deductions]]-Salary_Calculation[[#This Row],[Total Deductions]],0),2))</f>
        <v/>
      </c>
      <c r="X122" s="164" t="str">
        <f aca="false">IF(Salary_Calculation[[#This Row],[Source Row]]="","",ROUND(MAX(Salary_Calculation[[#This Row],[Missing-Order Deduction]]-Salary_Calculation[[#This Row],[Earned Salary]],0),2))</f>
        <v/>
      </c>
      <c r="Y12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22" s="163" t="str">
        <f aca="false">IF(Salary_Calculation[[#This Row],[Source Row]]="","",IF(INDEX(Rider_Input[Notes],Salary_Calculation[[#This Row],[Source Row]])="","",INDEX(Rider_Input[Notes],Salary_Calculation[[#This Row],[Source Row]])))</f>
        <v/>
      </c>
      <c r="AA122" s="164" t="str">
        <f aca="false">IF(Salary_Calculation[[#This Row],[Source Row]]="","",Salary_Calculation[[#This Row],[Earned Salary]]-Salary_Calculation[[#This Row],[Missing-Order Deduction]]+Salary_Calculation[[#This Row],[Extra-Order Bonus]])</f>
        <v/>
      </c>
      <c r="AB122" s="164" t="str">
        <f aca="false">IF(Salary_Calculation[[#This Row],[Source Row]]="","",ROUND(Salary_Calculation[[#This Row],[Negative Balance / Amount Due from Rider]]+MAX(Salary_Calculation[[#This Row],[Total Deductions]]-Salary_Calculation[[#This Row],[Gross Salary Before Deductions]],0),2))</f>
        <v/>
      </c>
      <c r="AC12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22" s="164" t="str">
        <f aca="false">IF(Salary_Calculation[[#This Row],[Source Row]]="","",Salary_Calculation[[#This Row],[Rider Target Orders]]*Salary_Calculation[[#This Row],[Base Order Rate]])</f>
        <v/>
      </c>
      <c r="AE122" s="162" t="str">
        <f aca="false">IF(SUMPRODUCT(--(LEN(INDEX(Rider_Input[#Data],ROW()-ROW(Salary_Calculation[#Headers]),0))&gt;0))=0,"",ROW()-ROW(Salary_Calculation[#Headers]))</f>
        <v/>
      </c>
    </row>
    <row r="123" customFormat="false" ht="14.25" hidden="false" customHeight="false" outlineLevel="0" collapsed="false">
      <c r="A123" s="161" t="str">
        <f aca="false">IF(Salary_Calculation[[#This Row],[Source Row]]="","",IF(INDEX(Rider_Input[Salary Month],Salary_Calculation[[#This Row],[Source Row]])="","",INDEX(Rider_Input[Salary Month],Salary_Calculation[[#This Row],[Source Row]])))</f>
        <v/>
      </c>
      <c r="B123" s="162" t="str">
        <f aca="false">IF(Salary_Calculation[[#This Row],[Source Row]]="","",IF(INDEX(Rider_Input[Rider ID],Salary_Calculation[[#This Row],[Source Row]])="","",INDEX(Rider_Input[Rider ID],Salary_Calculation[[#This Row],[Source Row]])))</f>
        <v/>
      </c>
      <c r="C123" s="163" t="str">
        <f aca="false">IF(Salary_Calculation[[#This Row],[Source Row]]="","",IF(INDEX(Rider_Input[Rider Name],Salary_Calculation[[#This Row],[Source Row]])="","",INDEX(Rider_Input[Rider Name],Salary_Calculation[[#This Row],[Source Row]])))</f>
        <v/>
      </c>
      <c r="D123" s="164" t="str">
        <f aca="false">IF(Salary_Calculation[[#This Row],[Source Row]]="","",IF(INDEX(Rider_Input[Basic Payment],Salary_Calculation[[#This Row],[Source Row]])="","",INDEX(Rider_Input[Basic Payment],Salary_Calculation[[#This Row],[Source Row]])))</f>
        <v/>
      </c>
      <c r="E123" s="162" t="str">
        <f aca="false">IF(Salary_Calculation[[#This Row],[Source Row]]="","",IF(INDEX(Rider_Input[Calendar Days in Month],Salary_Calculation[[#This Row],[Source Row]])="","",INDEX(Rider_Input[Calendar Days in Month],Salary_Calculation[[#This Row],[Source Row]])))</f>
        <v/>
      </c>
      <c r="F123" s="162" t="str">
        <f aca="false">IF(Salary_Calculation[[#This Row],[Source Row]]="","",IF(INDEX(Rider_Input[Working Days],Salary_Calculation[[#This Row],[Source Row]])="","",INDEX(Rider_Input[Working Days],Salary_Calculation[[#This Row],[Source Row]])))</f>
        <v/>
      </c>
      <c r="G123" s="165" t="str">
        <f aca="false">IF(Salary_Calculation[[#This Row],[Source Row]]="","",Std_Orders/Std_Days*N(Salary_Calculation[[#This Row],[Calendar Days]]))</f>
        <v/>
      </c>
      <c r="H123" s="165" t="str">
        <f aca="false">IF(Salary_Calculation[[#This Row],[Source Row]]="","",IF(N(Salary_Calculation[[#This Row],[Calendar Days]])&gt;0,Salary_Calculation[[#This Row],[Monthly Target Orders]]/N(Salary_Calculation[[#This Row],[Calendar Days]])*N(Salary_Calculation[[#This Row],[Working Days]]),0))</f>
        <v/>
      </c>
      <c r="I123" s="166" t="str">
        <f aca="false">IF(Salary_Calculation[[#This Row],[Source Row]]="","",IF(INDEX(Rider_Input[Completed Orders],Salary_Calculation[[#This Row],[Source Row]])="","",INDEX(Rider_Input[Completed Orders],Salary_Calculation[[#This Row],[Source Row]])))</f>
        <v/>
      </c>
      <c r="J123" s="165" t="str">
        <f aca="false">IF(Salary_Calculation[[#This Row],[Source Row]]="","",IF(Rate_Method="Fixed rate",Fixed_Rate,IF(N(Salary_Calculation[[#This Row],[Basic Payment]])&gt;0,N(Salary_Calculation[[#This Row],[Basic Payment]])/Std_Orders,0)))</f>
        <v/>
      </c>
      <c r="K123" s="165" t="str">
        <f aca="false">IF(Salary_Calculation[[#This Row],[Source Row]]="","",MAX(MIN(N(Salary_Calculation[[#This Row],[Completed Orders]]),Salary_Calculation[[#This Row],[Rider Target Orders]]),0))</f>
        <v/>
      </c>
      <c r="L123" s="164" t="str">
        <f aca="false">IF(Salary_Calculation[[#This Row],[Source Row]]="","",Salary_Calculation[[#This Row],[Orders Counted at Base Rate]]*Salary_Calculation[[#This Row],[Base Order Rate]])</f>
        <v/>
      </c>
      <c r="M123" s="165" t="str">
        <f aca="false">IF(Salary_Calculation[[#This Row],[Source Row]]="","",MAX(Salary_Calculation[[#This Row],[Rider Target Orders]]-N(Salary_Calculation[[#This Row],[Completed Orders]]),0))</f>
        <v/>
      </c>
      <c r="N123" s="164" t="str">
        <f aca="false">IF(Salary_Calculation[[#This Row],[Source Row]]="","",Salary_Calculation[[#This Row],[Missing Orders]]*Missing_Rate)</f>
        <v/>
      </c>
      <c r="O123" s="165" t="str">
        <f aca="false">IF(Salary_Calculation[[#This Row],[Source Row]]="","",MAX(N(Salary_Calculation[[#This Row],[Completed Orders]])-Salary_Calculation[[#This Row],[Rider Target Orders]],0))</f>
        <v/>
      </c>
      <c r="P123" s="164" t="str">
        <f aca="false">IF(Salary_Calculation[[#This Row],[Source Row]]="","",Salary_Calculation[[#This Row],[Extra Orders]]*Extra_Rate)</f>
        <v/>
      </c>
      <c r="Q123" s="164" t="str">
        <f aca="false">IF(Salary_Calculation[[#This Row],[Source Row]]="","",MAX(Salary_Calculation[[#This Row],[Salary Before Other Deductions]],0))</f>
        <v/>
      </c>
      <c r="R123" s="164" t="str">
        <f aca="false">IF(Salary_Calculation[[#This Row],[Source Row]]="","",N(INDEX(Rider_Input[missed_days_penalty],Salary_Calculation[[#This Row],[Source Row]])))</f>
        <v/>
      </c>
      <c r="S123" s="164" t="str">
        <f aca="false">IF(Salary_Calculation[[#This Row],[Source Row]]="","",N(INDEX(Rider_Input[Rider Balance / محفظة المندوب],Salary_Calculation[[#This Row],[Source Row]])))</f>
        <v/>
      </c>
      <c r="T123" s="164" t="str">
        <f aca="false">IF(Salary_Calculation[[#This Row],[Source Row]]="","",N(INDEX(Rider_Input[stacking_deduction / خصم الطلبات المتعددة],Salary_Calculation[[#This Row],[Source Row]])))</f>
        <v/>
      </c>
      <c r="U123" s="164" t="str">
        <f aca="false">IF(Salary_Calculation[[#This Row],[Source Row]]="","",N(INDEX(Rider_Input[Other Deductions],Salary_Calculation[[#This Row],[Source Row]])))</f>
        <v/>
      </c>
      <c r="V123" s="164" t="str">
        <f aca="false">IF(Salary_Calculation[[#This Row],[Source Row]]="","",N(Salary_Calculation[[#This Row],[missed_days_penalty]])+N(Salary_Calculation[[#This Row],[Rider Balance]])+N(Salary_Calculation[[#This Row],[stacking_deduction]])+N(Salary_Calculation[[#This Row],[Other Deductions]]))</f>
        <v/>
      </c>
      <c r="W123" s="167" t="str">
        <f aca="false">IF(Salary_Calculation[[#This Row],[Source Row]]="","",ROUND(MAX(Salary_Calculation[[#This Row],[Gross Salary Before Deductions]]-Salary_Calculation[[#This Row],[Total Deductions]],0),2))</f>
        <v/>
      </c>
      <c r="X123" s="164" t="str">
        <f aca="false">IF(Salary_Calculation[[#This Row],[Source Row]]="","",ROUND(MAX(Salary_Calculation[[#This Row],[Missing-Order Deduction]]-Salary_Calculation[[#This Row],[Earned Salary]],0),2))</f>
        <v/>
      </c>
      <c r="Y12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23" s="163" t="str">
        <f aca="false">IF(Salary_Calculation[[#This Row],[Source Row]]="","",IF(INDEX(Rider_Input[Notes],Salary_Calculation[[#This Row],[Source Row]])="","",INDEX(Rider_Input[Notes],Salary_Calculation[[#This Row],[Source Row]])))</f>
        <v/>
      </c>
      <c r="AA123" s="164" t="str">
        <f aca="false">IF(Salary_Calculation[[#This Row],[Source Row]]="","",Salary_Calculation[[#This Row],[Earned Salary]]-Salary_Calculation[[#This Row],[Missing-Order Deduction]]+Salary_Calculation[[#This Row],[Extra-Order Bonus]])</f>
        <v/>
      </c>
      <c r="AB123" s="164" t="str">
        <f aca="false">IF(Salary_Calculation[[#This Row],[Source Row]]="","",ROUND(Salary_Calculation[[#This Row],[Negative Balance / Amount Due from Rider]]+MAX(Salary_Calculation[[#This Row],[Total Deductions]]-Salary_Calculation[[#This Row],[Gross Salary Before Deductions]],0),2))</f>
        <v/>
      </c>
      <c r="AC12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23" s="164" t="str">
        <f aca="false">IF(Salary_Calculation[[#This Row],[Source Row]]="","",Salary_Calculation[[#This Row],[Rider Target Orders]]*Salary_Calculation[[#This Row],[Base Order Rate]])</f>
        <v/>
      </c>
      <c r="AE123" s="162" t="str">
        <f aca="false">IF(SUMPRODUCT(--(LEN(INDEX(Rider_Input[#Data],ROW()-ROW(Salary_Calculation[#Headers]),0))&gt;0))=0,"",ROW()-ROW(Salary_Calculation[#Headers]))</f>
        <v/>
      </c>
    </row>
    <row r="124" customFormat="false" ht="14.25" hidden="false" customHeight="false" outlineLevel="0" collapsed="false">
      <c r="A124" s="161" t="str">
        <f aca="false">IF(Salary_Calculation[[#This Row],[Source Row]]="","",IF(INDEX(Rider_Input[Salary Month],Salary_Calculation[[#This Row],[Source Row]])="","",INDEX(Rider_Input[Salary Month],Salary_Calculation[[#This Row],[Source Row]])))</f>
        <v/>
      </c>
      <c r="B124" s="162" t="str">
        <f aca="false">IF(Salary_Calculation[[#This Row],[Source Row]]="","",IF(INDEX(Rider_Input[Rider ID],Salary_Calculation[[#This Row],[Source Row]])="","",INDEX(Rider_Input[Rider ID],Salary_Calculation[[#This Row],[Source Row]])))</f>
        <v/>
      </c>
      <c r="C124" s="163" t="str">
        <f aca="false">IF(Salary_Calculation[[#This Row],[Source Row]]="","",IF(INDEX(Rider_Input[Rider Name],Salary_Calculation[[#This Row],[Source Row]])="","",INDEX(Rider_Input[Rider Name],Salary_Calculation[[#This Row],[Source Row]])))</f>
        <v/>
      </c>
      <c r="D124" s="164" t="str">
        <f aca="false">IF(Salary_Calculation[[#This Row],[Source Row]]="","",IF(INDEX(Rider_Input[Basic Payment],Salary_Calculation[[#This Row],[Source Row]])="","",INDEX(Rider_Input[Basic Payment],Salary_Calculation[[#This Row],[Source Row]])))</f>
        <v/>
      </c>
      <c r="E124" s="162" t="str">
        <f aca="false">IF(Salary_Calculation[[#This Row],[Source Row]]="","",IF(INDEX(Rider_Input[Calendar Days in Month],Salary_Calculation[[#This Row],[Source Row]])="","",INDEX(Rider_Input[Calendar Days in Month],Salary_Calculation[[#This Row],[Source Row]])))</f>
        <v/>
      </c>
      <c r="F124" s="162" t="str">
        <f aca="false">IF(Salary_Calculation[[#This Row],[Source Row]]="","",IF(INDEX(Rider_Input[Working Days],Salary_Calculation[[#This Row],[Source Row]])="","",INDEX(Rider_Input[Working Days],Salary_Calculation[[#This Row],[Source Row]])))</f>
        <v/>
      </c>
      <c r="G124" s="165" t="str">
        <f aca="false">IF(Salary_Calculation[[#This Row],[Source Row]]="","",Std_Orders/Std_Days*N(Salary_Calculation[[#This Row],[Calendar Days]]))</f>
        <v/>
      </c>
      <c r="H124" s="165" t="str">
        <f aca="false">IF(Salary_Calculation[[#This Row],[Source Row]]="","",IF(N(Salary_Calculation[[#This Row],[Calendar Days]])&gt;0,Salary_Calculation[[#This Row],[Monthly Target Orders]]/N(Salary_Calculation[[#This Row],[Calendar Days]])*N(Salary_Calculation[[#This Row],[Working Days]]),0))</f>
        <v/>
      </c>
      <c r="I124" s="166" t="str">
        <f aca="false">IF(Salary_Calculation[[#This Row],[Source Row]]="","",IF(INDEX(Rider_Input[Completed Orders],Salary_Calculation[[#This Row],[Source Row]])="","",INDEX(Rider_Input[Completed Orders],Salary_Calculation[[#This Row],[Source Row]])))</f>
        <v/>
      </c>
      <c r="J124" s="165" t="str">
        <f aca="false">IF(Salary_Calculation[[#This Row],[Source Row]]="","",IF(Rate_Method="Fixed rate",Fixed_Rate,IF(N(Salary_Calculation[[#This Row],[Basic Payment]])&gt;0,N(Salary_Calculation[[#This Row],[Basic Payment]])/Std_Orders,0)))</f>
        <v/>
      </c>
      <c r="K124" s="165" t="str">
        <f aca="false">IF(Salary_Calculation[[#This Row],[Source Row]]="","",MAX(MIN(N(Salary_Calculation[[#This Row],[Completed Orders]]),Salary_Calculation[[#This Row],[Rider Target Orders]]),0))</f>
        <v/>
      </c>
      <c r="L124" s="164" t="str">
        <f aca="false">IF(Salary_Calculation[[#This Row],[Source Row]]="","",Salary_Calculation[[#This Row],[Orders Counted at Base Rate]]*Salary_Calculation[[#This Row],[Base Order Rate]])</f>
        <v/>
      </c>
      <c r="M124" s="165" t="str">
        <f aca="false">IF(Salary_Calculation[[#This Row],[Source Row]]="","",MAX(Salary_Calculation[[#This Row],[Rider Target Orders]]-N(Salary_Calculation[[#This Row],[Completed Orders]]),0))</f>
        <v/>
      </c>
      <c r="N124" s="164" t="str">
        <f aca="false">IF(Salary_Calculation[[#This Row],[Source Row]]="","",Salary_Calculation[[#This Row],[Missing Orders]]*Missing_Rate)</f>
        <v/>
      </c>
      <c r="O124" s="165" t="str">
        <f aca="false">IF(Salary_Calculation[[#This Row],[Source Row]]="","",MAX(N(Salary_Calculation[[#This Row],[Completed Orders]])-Salary_Calculation[[#This Row],[Rider Target Orders]],0))</f>
        <v/>
      </c>
      <c r="P124" s="164" t="str">
        <f aca="false">IF(Salary_Calculation[[#This Row],[Source Row]]="","",Salary_Calculation[[#This Row],[Extra Orders]]*Extra_Rate)</f>
        <v/>
      </c>
      <c r="Q124" s="164" t="str">
        <f aca="false">IF(Salary_Calculation[[#This Row],[Source Row]]="","",MAX(Salary_Calculation[[#This Row],[Salary Before Other Deductions]],0))</f>
        <v/>
      </c>
      <c r="R124" s="164" t="str">
        <f aca="false">IF(Salary_Calculation[[#This Row],[Source Row]]="","",N(INDEX(Rider_Input[missed_days_penalty],Salary_Calculation[[#This Row],[Source Row]])))</f>
        <v/>
      </c>
      <c r="S124" s="164" t="str">
        <f aca="false">IF(Salary_Calculation[[#This Row],[Source Row]]="","",N(INDEX(Rider_Input[Rider Balance / محفظة المندوب],Salary_Calculation[[#This Row],[Source Row]])))</f>
        <v/>
      </c>
      <c r="T124" s="164" t="str">
        <f aca="false">IF(Salary_Calculation[[#This Row],[Source Row]]="","",N(INDEX(Rider_Input[stacking_deduction / خصم الطلبات المتعددة],Salary_Calculation[[#This Row],[Source Row]])))</f>
        <v/>
      </c>
      <c r="U124" s="164" t="str">
        <f aca="false">IF(Salary_Calculation[[#This Row],[Source Row]]="","",N(INDEX(Rider_Input[Other Deductions],Salary_Calculation[[#This Row],[Source Row]])))</f>
        <v/>
      </c>
      <c r="V124" s="164" t="str">
        <f aca="false">IF(Salary_Calculation[[#This Row],[Source Row]]="","",N(Salary_Calculation[[#This Row],[missed_days_penalty]])+N(Salary_Calculation[[#This Row],[Rider Balance]])+N(Salary_Calculation[[#This Row],[stacking_deduction]])+N(Salary_Calculation[[#This Row],[Other Deductions]]))</f>
        <v/>
      </c>
      <c r="W124" s="167" t="str">
        <f aca="false">IF(Salary_Calculation[[#This Row],[Source Row]]="","",ROUND(MAX(Salary_Calculation[[#This Row],[Gross Salary Before Deductions]]-Salary_Calculation[[#This Row],[Total Deductions]],0),2))</f>
        <v/>
      </c>
      <c r="X124" s="164" t="str">
        <f aca="false">IF(Salary_Calculation[[#This Row],[Source Row]]="","",ROUND(MAX(Salary_Calculation[[#This Row],[Missing-Order Deduction]]-Salary_Calculation[[#This Row],[Earned Salary]],0),2))</f>
        <v/>
      </c>
      <c r="Y12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24" s="163" t="str">
        <f aca="false">IF(Salary_Calculation[[#This Row],[Source Row]]="","",IF(INDEX(Rider_Input[Notes],Salary_Calculation[[#This Row],[Source Row]])="","",INDEX(Rider_Input[Notes],Salary_Calculation[[#This Row],[Source Row]])))</f>
        <v/>
      </c>
      <c r="AA124" s="164" t="str">
        <f aca="false">IF(Salary_Calculation[[#This Row],[Source Row]]="","",Salary_Calculation[[#This Row],[Earned Salary]]-Salary_Calculation[[#This Row],[Missing-Order Deduction]]+Salary_Calculation[[#This Row],[Extra-Order Bonus]])</f>
        <v/>
      </c>
      <c r="AB124" s="164" t="str">
        <f aca="false">IF(Salary_Calculation[[#This Row],[Source Row]]="","",ROUND(Salary_Calculation[[#This Row],[Negative Balance / Amount Due from Rider]]+MAX(Salary_Calculation[[#This Row],[Total Deductions]]-Salary_Calculation[[#This Row],[Gross Salary Before Deductions]],0),2))</f>
        <v/>
      </c>
      <c r="AC12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24" s="164" t="str">
        <f aca="false">IF(Salary_Calculation[[#This Row],[Source Row]]="","",Salary_Calculation[[#This Row],[Rider Target Orders]]*Salary_Calculation[[#This Row],[Base Order Rate]])</f>
        <v/>
      </c>
      <c r="AE124" s="162" t="str">
        <f aca="false">IF(SUMPRODUCT(--(LEN(INDEX(Rider_Input[#Data],ROW()-ROW(Salary_Calculation[#Headers]),0))&gt;0))=0,"",ROW()-ROW(Salary_Calculation[#Headers]))</f>
        <v/>
      </c>
    </row>
    <row r="125" customFormat="false" ht="14.25" hidden="false" customHeight="false" outlineLevel="0" collapsed="false">
      <c r="A125" s="161" t="str">
        <f aca="false">IF(Salary_Calculation[[#This Row],[Source Row]]="","",IF(INDEX(Rider_Input[Salary Month],Salary_Calculation[[#This Row],[Source Row]])="","",INDEX(Rider_Input[Salary Month],Salary_Calculation[[#This Row],[Source Row]])))</f>
        <v/>
      </c>
      <c r="B125" s="162" t="str">
        <f aca="false">IF(Salary_Calculation[[#This Row],[Source Row]]="","",IF(INDEX(Rider_Input[Rider ID],Salary_Calculation[[#This Row],[Source Row]])="","",INDEX(Rider_Input[Rider ID],Salary_Calculation[[#This Row],[Source Row]])))</f>
        <v/>
      </c>
      <c r="C125" s="163" t="str">
        <f aca="false">IF(Salary_Calculation[[#This Row],[Source Row]]="","",IF(INDEX(Rider_Input[Rider Name],Salary_Calculation[[#This Row],[Source Row]])="","",INDEX(Rider_Input[Rider Name],Salary_Calculation[[#This Row],[Source Row]])))</f>
        <v/>
      </c>
      <c r="D125" s="164" t="str">
        <f aca="false">IF(Salary_Calculation[[#This Row],[Source Row]]="","",IF(INDEX(Rider_Input[Basic Payment],Salary_Calculation[[#This Row],[Source Row]])="","",INDEX(Rider_Input[Basic Payment],Salary_Calculation[[#This Row],[Source Row]])))</f>
        <v/>
      </c>
      <c r="E125" s="162" t="str">
        <f aca="false">IF(Salary_Calculation[[#This Row],[Source Row]]="","",IF(INDEX(Rider_Input[Calendar Days in Month],Salary_Calculation[[#This Row],[Source Row]])="","",INDEX(Rider_Input[Calendar Days in Month],Salary_Calculation[[#This Row],[Source Row]])))</f>
        <v/>
      </c>
      <c r="F125" s="162" t="str">
        <f aca="false">IF(Salary_Calculation[[#This Row],[Source Row]]="","",IF(INDEX(Rider_Input[Working Days],Salary_Calculation[[#This Row],[Source Row]])="","",INDEX(Rider_Input[Working Days],Salary_Calculation[[#This Row],[Source Row]])))</f>
        <v/>
      </c>
      <c r="G125" s="165" t="str">
        <f aca="false">IF(Salary_Calculation[[#This Row],[Source Row]]="","",Std_Orders/Std_Days*N(Salary_Calculation[[#This Row],[Calendar Days]]))</f>
        <v/>
      </c>
      <c r="H125" s="165" t="str">
        <f aca="false">IF(Salary_Calculation[[#This Row],[Source Row]]="","",IF(N(Salary_Calculation[[#This Row],[Calendar Days]])&gt;0,Salary_Calculation[[#This Row],[Monthly Target Orders]]/N(Salary_Calculation[[#This Row],[Calendar Days]])*N(Salary_Calculation[[#This Row],[Working Days]]),0))</f>
        <v/>
      </c>
      <c r="I125" s="166" t="str">
        <f aca="false">IF(Salary_Calculation[[#This Row],[Source Row]]="","",IF(INDEX(Rider_Input[Completed Orders],Salary_Calculation[[#This Row],[Source Row]])="","",INDEX(Rider_Input[Completed Orders],Salary_Calculation[[#This Row],[Source Row]])))</f>
        <v/>
      </c>
      <c r="J125" s="165" t="str">
        <f aca="false">IF(Salary_Calculation[[#This Row],[Source Row]]="","",IF(Rate_Method="Fixed rate",Fixed_Rate,IF(N(Salary_Calculation[[#This Row],[Basic Payment]])&gt;0,N(Salary_Calculation[[#This Row],[Basic Payment]])/Std_Orders,0)))</f>
        <v/>
      </c>
      <c r="K125" s="165" t="str">
        <f aca="false">IF(Salary_Calculation[[#This Row],[Source Row]]="","",MAX(MIN(N(Salary_Calculation[[#This Row],[Completed Orders]]),Salary_Calculation[[#This Row],[Rider Target Orders]]),0))</f>
        <v/>
      </c>
      <c r="L125" s="164" t="str">
        <f aca="false">IF(Salary_Calculation[[#This Row],[Source Row]]="","",Salary_Calculation[[#This Row],[Orders Counted at Base Rate]]*Salary_Calculation[[#This Row],[Base Order Rate]])</f>
        <v/>
      </c>
      <c r="M125" s="165" t="str">
        <f aca="false">IF(Salary_Calculation[[#This Row],[Source Row]]="","",MAX(Salary_Calculation[[#This Row],[Rider Target Orders]]-N(Salary_Calculation[[#This Row],[Completed Orders]]),0))</f>
        <v/>
      </c>
      <c r="N125" s="164" t="str">
        <f aca="false">IF(Salary_Calculation[[#This Row],[Source Row]]="","",Salary_Calculation[[#This Row],[Missing Orders]]*Missing_Rate)</f>
        <v/>
      </c>
      <c r="O125" s="165" t="str">
        <f aca="false">IF(Salary_Calculation[[#This Row],[Source Row]]="","",MAX(N(Salary_Calculation[[#This Row],[Completed Orders]])-Salary_Calculation[[#This Row],[Rider Target Orders]],0))</f>
        <v/>
      </c>
      <c r="P125" s="164" t="str">
        <f aca="false">IF(Salary_Calculation[[#This Row],[Source Row]]="","",Salary_Calculation[[#This Row],[Extra Orders]]*Extra_Rate)</f>
        <v/>
      </c>
      <c r="Q125" s="164" t="str">
        <f aca="false">IF(Salary_Calculation[[#This Row],[Source Row]]="","",MAX(Salary_Calculation[[#This Row],[Salary Before Other Deductions]],0))</f>
        <v/>
      </c>
      <c r="R125" s="164" t="str">
        <f aca="false">IF(Salary_Calculation[[#This Row],[Source Row]]="","",N(INDEX(Rider_Input[missed_days_penalty],Salary_Calculation[[#This Row],[Source Row]])))</f>
        <v/>
      </c>
      <c r="S125" s="164" t="str">
        <f aca="false">IF(Salary_Calculation[[#This Row],[Source Row]]="","",N(INDEX(Rider_Input[Rider Balance / محفظة المندوب],Salary_Calculation[[#This Row],[Source Row]])))</f>
        <v/>
      </c>
      <c r="T125" s="164" t="str">
        <f aca="false">IF(Salary_Calculation[[#This Row],[Source Row]]="","",N(INDEX(Rider_Input[stacking_deduction / خصم الطلبات المتعددة],Salary_Calculation[[#This Row],[Source Row]])))</f>
        <v/>
      </c>
      <c r="U125" s="164" t="str">
        <f aca="false">IF(Salary_Calculation[[#This Row],[Source Row]]="","",N(INDEX(Rider_Input[Other Deductions],Salary_Calculation[[#This Row],[Source Row]])))</f>
        <v/>
      </c>
      <c r="V125" s="164" t="str">
        <f aca="false">IF(Salary_Calculation[[#This Row],[Source Row]]="","",N(Salary_Calculation[[#This Row],[missed_days_penalty]])+N(Salary_Calculation[[#This Row],[Rider Balance]])+N(Salary_Calculation[[#This Row],[stacking_deduction]])+N(Salary_Calculation[[#This Row],[Other Deductions]]))</f>
        <v/>
      </c>
      <c r="W125" s="167" t="str">
        <f aca="false">IF(Salary_Calculation[[#This Row],[Source Row]]="","",ROUND(MAX(Salary_Calculation[[#This Row],[Gross Salary Before Deductions]]-Salary_Calculation[[#This Row],[Total Deductions]],0),2))</f>
        <v/>
      </c>
      <c r="X125" s="164" t="str">
        <f aca="false">IF(Salary_Calculation[[#This Row],[Source Row]]="","",ROUND(MAX(Salary_Calculation[[#This Row],[Missing-Order Deduction]]-Salary_Calculation[[#This Row],[Earned Salary]],0),2))</f>
        <v/>
      </c>
      <c r="Y12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25" s="163" t="str">
        <f aca="false">IF(Salary_Calculation[[#This Row],[Source Row]]="","",IF(INDEX(Rider_Input[Notes],Salary_Calculation[[#This Row],[Source Row]])="","",INDEX(Rider_Input[Notes],Salary_Calculation[[#This Row],[Source Row]])))</f>
        <v/>
      </c>
      <c r="AA125" s="164" t="str">
        <f aca="false">IF(Salary_Calculation[[#This Row],[Source Row]]="","",Salary_Calculation[[#This Row],[Earned Salary]]-Salary_Calculation[[#This Row],[Missing-Order Deduction]]+Salary_Calculation[[#This Row],[Extra-Order Bonus]])</f>
        <v/>
      </c>
      <c r="AB125" s="164" t="str">
        <f aca="false">IF(Salary_Calculation[[#This Row],[Source Row]]="","",ROUND(Salary_Calculation[[#This Row],[Negative Balance / Amount Due from Rider]]+MAX(Salary_Calculation[[#This Row],[Total Deductions]]-Salary_Calculation[[#This Row],[Gross Salary Before Deductions]],0),2))</f>
        <v/>
      </c>
      <c r="AC12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25" s="164" t="str">
        <f aca="false">IF(Salary_Calculation[[#This Row],[Source Row]]="","",Salary_Calculation[[#This Row],[Rider Target Orders]]*Salary_Calculation[[#This Row],[Base Order Rate]])</f>
        <v/>
      </c>
      <c r="AE125" s="162" t="str">
        <f aca="false">IF(SUMPRODUCT(--(LEN(INDEX(Rider_Input[#Data],ROW()-ROW(Salary_Calculation[#Headers]),0))&gt;0))=0,"",ROW()-ROW(Salary_Calculation[#Headers]))</f>
        <v/>
      </c>
    </row>
    <row r="126" customFormat="false" ht="14.25" hidden="false" customHeight="false" outlineLevel="0" collapsed="false">
      <c r="A126" s="161" t="str">
        <f aca="false">IF(Salary_Calculation[[#This Row],[Source Row]]="","",IF(INDEX(Rider_Input[Salary Month],Salary_Calculation[[#This Row],[Source Row]])="","",INDEX(Rider_Input[Salary Month],Salary_Calculation[[#This Row],[Source Row]])))</f>
        <v/>
      </c>
      <c r="B126" s="162" t="str">
        <f aca="false">IF(Salary_Calculation[[#This Row],[Source Row]]="","",IF(INDEX(Rider_Input[Rider ID],Salary_Calculation[[#This Row],[Source Row]])="","",INDEX(Rider_Input[Rider ID],Salary_Calculation[[#This Row],[Source Row]])))</f>
        <v/>
      </c>
      <c r="C126" s="163" t="str">
        <f aca="false">IF(Salary_Calculation[[#This Row],[Source Row]]="","",IF(INDEX(Rider_Input[Rider Name],Salary_Calculation[[#This Row],[Source Row]])="","",INDEX(Rider_Input[Rider Name],Salary_Calculation[[#This Row],[Source Row]])))</f>
        <v/>
      </c>
      <c r="D126" s="164" t="str">
        <f aca="false">IF(Salary_Calculation[[#This Row],[Source Row]]="","",IF(INDEX(Rider_Input[Basic Payment],Salary_Calculation[[#This Row],[Source Row]])="","",INDEX(Rider_Input[Basic Payment],Salary_Calculation[[#This Row],[Source Row]])))</f>
        <v/>
      </c>
      <c r="E126" s="162" t="str">
        <f aca="false">IF(Salary_Calculation[[#This Row],[Source Row]]="","",IF(INDEX(Rider_Input[Calendar Days in Month],Salary_Calculation[[#This Row],[Source Row]])="","",INDEX(Rider_Input[Calendar Days in Month],Salary_Calculation[[#This Row],[Source Row]])))</f>
        <v/>
      </c>
      <c r="F126" s="162" t="str">
        <f aca="false">IF(Salary_Calculation[[#This Row],[Source Row]]="","",IF(INDEX(Rider_Input[Working Days],Salary_Calculation[[#This Row],[Source Row]])="","",INDEX(Rider_Input[Working Days],Salary_Calculation[[#This Row],[Source Row]])))</f>
        <v/>
      </c>
      <c r="G126" s="165" t="str">
        <f aca="false">IF(Salary_Calculation[[#This Row],[Source Row]]="","",Std_Orders/Std_Days*N(Salary_Calculation[[#This Row],[Calendar Days]]))</f>
        <v/>
      </c>
      <c r="H126" s="165" t="str">
        <f aca="false">IF(Salary_Calculation[[#This Row],[Source Row]]="","",IF(N(Salary_Calculation[[#This Row],[Calendar Days]])&gt;0,Salary_Calculation[[#This Row],[Monthly Target Orders]]/N(Salary_Calculation[[#This Row],[Calendar Days]])*N(Salary_Calculation[[#This Row],[Working Days]]),0))</f>
        <v/>
      </c>
      <c r="I126" s="166" t="str">
        <f aca="false">IF(Salary_Calculation[[#This Row],[Source Row]]="","",IF(INDEX(Rider_Input[Completed Orders],Salary_Calculation[[#This Row],[Source Row]])="","",INDEX(Rider_Input[Completed Orders],Salary_Calculation[[#This Row],[Source Row]])))</f>
        <v/>
      </c>
      <c r="J126" s="165" t="str">
        <f aca="false">IF(Salary_Calculation[[#This Row],[Source Row]]="","",IF(Rate_Method="Fixed rate",Fixed_Rate,IF(N(Salary_Calculation[[#This Row],[Basic Payment]])&gt;0,N(Salary_Calculation[[#This Row],[Basic Payment]])/Std_Orders,0)))</f>
        <v/>
      </c>
      <c r="K126" s="165" t="str">
        <f aca="false">IF(Salary_Calculation[[#This Row],[Source Row]]="","",MAX(MIN(N(Salary_Calculation[[#This Row],[Completed Orders]]),Salary_Calculation[[#This Row],[Rider Target Orders]]),0))</f>
        <v/>
      </c>
      <c r="L126" s="164" t="str">
        <f aca="false">IF(Salary_Calculation[[#This Row],[Source Row]]="","",Salary_Calculation[[#This Row],[Orders Counted at Base Rate]]*Salary_Calculation[[#This Row],[Base Order Rate]])</f>
        <v/>
      </c>
      <c r="M126" s="165" t="str">
        <f aca="false">IF(Salary_Calculation[[#This Row],[Source Row]]="","",MAX(Salary_Calculation[[#This Row],[Rider Target Orders]]-N(Salary_Calculation[[#This Row],[Completed Orders]]),0))</f>
        <v/>
      </c>
      <c r="N126" s="164" t="str">
        <f aca="false">IF(Salary_Calculation[[#This Row],[Source Row]]="","",Salary_Calculation[[#This Row],[Missing Orders]]*Missing_Rate)</f>
        <v/>
      </c>
      <c r="O126" s="165" t="str">
        <f aca="false">IF(Salary_Calculation[[#This Row],[Source Row]]="","",MAX(N(Salary_Calculation[[#This Row],[Completed Orders]])-Salary_Calculation[[#This Row],[Rider Target Orders]],0))</f>
        <v/>
      </c>
      <c r="P126" s="164" t="str">
        <f aca="false">IF(Salary_Calculation[[#This Row],[Source Row]]="","",Salary_Calculation[[#This Row],[Extra Orders]]*Extra_Rate)</f>
        <v/>
      </c>
      <c r="Q126" s="164" t="str">
        <f aca="false">IF(Salary_Calculation[[#This Row],[Source Row]]="","",MAX(Salary_Calculation[[#This Row],[Salary Before Other Deductions]],0))</f>
        <v/>
      </c>
      <c r="R126" s="164" t="str">
        <f aca="false">IF(Salary_Calculation[[#This Row],[Source Row]]="","",N(INDEX(Rider_Input[missed_days_penalty],Salary_Calculation[[#This Row],[Source Row]])))</f>
        <v/>
      </c>
      <c r="S126" s="164" t="str">
        <f aca="false">IF(Salary_Calculation[[#This Row],[Source Row]]="","",N(INDEX(Rider_Input[Rider Balance / محفظة المندوب],Salary_Calculation[[#This Row],[Source Row]])))</f>
        <v/>
      </c>
      <c r="T126" s="164" t="str">
        <f aca="false">IF(Salary_Calculation[[#This Row],[Source Row]]="","",N(INDEX(Rider_Input[stacking_deduction / خصم الطلبات المتعددة],Salary_Calculation[[#This Row],[Source Row]])))</f>
        <v/>
      </c>
      <c r="U126" s="164" t="str">
        <f aca="false">IF(Salary_Calculation[[#This Row],[Source Row]]="","",N(INDEX(Rider_Input[Other Deductions],Salary_Calculation[[#This Row],[Source Row]])))</f>
        <v/>
      </c>
      <c r="V126" s="164" t="str">
        <f aca="false">IF(Salary_Calculation[[#This Row],[Source Row]]="","",N(Salary_Calculation[[#This Row],[missed_days_penalty]])+N(Salary_Calculation[[#This Row],[Rider Balance]])+N(Salary_Calculation[[#This Row],[stacking_deduction]])+N(Salary_Calculation[[#This Row],[Other Deductions]]))</f>
        <v/>
      </c>
      <c r="W126" s="167" t="str">
        <f aca="false">IF(Salary_Calculation[[#This Row],[Source Row]]="","",ROUND(MAX(Salary_Calculation[[#This Row],[Gross Salary Before Deductions]]-Salary_Calculation[[#This Row],[Total Deductions]],0),2))</f>
        <v/>
      </c>
      <c r="X126" s="164" t="str">
        <f aca="false">IF(Salary_Calculation[[#This Row],[Source Row]]="","",ROUND(MAX(Salary_Calculation[[#This Row],[Missing-Order Deduction]]-Salary_Calculation[[#This Row],[Earned Salary]],0),2))</f>
        <v/>
      </c>
      <c r="Y12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26" s="163" t="str">
        <f aca="false">IF(Salary_Calculation[[#This Row],[Source Row]]="","",IF(INDEX(Rider_Input[Notes],Salary_Calculation[[#This Row],[Source Row]])="","",INDEX(Rider_Input[Notes],Salary_Calculation[[#This Row],[Source Row]])))</f>
        <v/>
      </c>
      <c r="AA126" s="164" t="str">
        <f aca="false">IF(Salary_Calculation[[#This Row],[Source Row]]="","",Salary_Calculation[[#This Row],[Earned Salary]]-Salary_Calculation[[#This Row],[Missing-Order Deduction]]+Salary_Calculation[[#This Row],[Extra-Order Bonus]])</f>
        <v/>
      </c>
      <c r="AB126" s="164" t="str">
        <f aca="false">IF(Salary_Calculation[[#This Row],[Source Row]]="","",ROUND(Salary_Calculation[[#This Row],[Negative Balance / Amount Due from Rider]]+MAX(Salary_Calculation[[#This Row],[Total Deductions]]-Salary_Calculation[[#This Row],[Gross Salary Before Deductions]],0),2))</f>
        <v/>
      </c>
      <c r="AC12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26" s="164" t="str">
        <f aca="false">IF(Salary_Calculation[[#This Row],[Source Row]]="","",Salary_Calculation[[#This Row],[Rider Target Orders]]*Salary_Calculation[[#This Row],[Base Order Rate]])</f>
        <v/>
      </c>
      <c r="AE126" s="162" t="str">
        <f aca="false">IF(SUMPRODUCT(--(LEN(INDEX(Rider_Input[#Data],ROW()-ROW(Salary_Calculation[#Headers]),0))&gt;0))=0,"",ROW()-ROW(Salary_Calculation[#Headers]))</f>
        <v/>
      </c>
    </row>
    <row r="127" customFormat="false" ht="14.25" hidden="false" customHeight="false" outlineLevel="0" collapsed="false">
      <c r="A127" s="161" t="str">
        <f aca="false">IF(Salary_Calculation[[#This Row],[Source Row]]="","",IF(INDEX(Rider_Input[Salary Month],Salary_Calculation[[#This Row],[Source Row]])="","",INDEX(Rider_Input[Salary Month],Salary_Calculation[[#This Row],[Source Row]])))</f>
        <v/>
      </c>
      <c r="B127" s="162" t="str">
        <f aca="false">IF(Salary_Calculation[[#This Row],[Source Row]]="","",IF(INDEX(Rider_Input[Rider ID],Salary_Calculation[[#This Row],[Source Row]])="","",INDEX(Rider_Input[Rider ID],Salary_Calculation[[#This Row],[Source Row]])))</f>
        <v/>
      </c>
      <c r="C127" s="163" t="str">
        <f aca="false">IF(Salary_Calculation[[#This Row],[Source Row]]="","",IF(INDEX(Rider_Input[Rider Name],Salary_Calculation[[#This Row],[Source Row]])="","",INDEX(Rider_Input[Rider Name],Salary_Calculation[[#This Row],[Source Row]])))</f>
        <v/>
      </c>
      <c r="D127" s="164" t="str">
        <f aca="false">IF(Salary_Calculation[[#This Row],[Source Row]]="","",IF(INDEX(Rider_Input[Basic Payment],Salary_Calculation[[#This Row],[Source Row]])="","",INDEX(Rider_Input[Basic Payment],Salary_Calculation[[#This Row],[Source Row]])))</f>
        <v/>
      </c>
      <c r="E127" s="162" t="str">
        <f aca="false">IF(Salary_Calculation[[#This Row],[Source Row]]="","",IF(INDEX(Rider_Input[Calendar Days in Month],Salary_Calculation[[#This Row],[Source Row]])="","",INDEX(Rider_Input[Calendar Days in Month],Salary_Calculation[[#This Row],[Source Row]])))</f>
        <v/>
      </c>
      <c r="F127" s="162" t="str">
        <f aca="false">IF(Salary_Calculation[[#This Row],[Source Row]]="","",IF(INDEX(Rider_Input[Working Days],Salary_Calculation[[#This Row],[Source Row]])="","",INDEX(Rider_Input[Working Days],Salary_Calculation[[#This Row],[Source Row]])))</f>
        <v/>
      </c>
      <c r="G127" s="165" t="str">
        <f aca="false">IF(Salary_Calculation[[#This Row],[Source Row]]="","",Std_Orders/Std_Days*N(Salary_Calculation[[#This Row],[Calendar Days]]))</f>
        <v/>
      </c>
      <c r="H127" s="165" t="str">
        <f aca="false">IF(Salary_Calculation[[#This Row],[Source Row]]="","",IF(N(Salary_Calculation[[#This Row],[Calendar Days]])&gt;0,Salary_Calculation[[#This Row],[Monthly Target Orders]]/N(Salary_Calculation[[#This Row],[Calendar Days]])*N(Salary_Calculation[[#This Row],[Working Days]]),0))</f>
        <v/>
      </c>
      <c r="I127" s="166" t="str">
        <f aca="false">IF(Salary_Calculation[[#This Row],[Source Row]]="","",IF(INDEX(Rider_Input[Completed Orders],Salary_Calculation[[#This Row],[Source Row]])="","",INDEX(Rider_Input[Completed Orders],Salary_Calculation[[#This Row],[Source Row]])))</f>
        <v/>
      </c>
      <c r="J127" s="165" t="str">
        <f aca="false">IF(Salary_Calculation[[#This Row],[Source Row]]="","",IF(Rate_Method="Fixed rate",Fixed_Rate,IF(N(Salary_Calculation[[#This Row],[Basic Payment]])&gt;0,N(Salary_Calculation[[#This Row],[Basic Payment]])/Std_Orders,0)))</f>
        <v/>
      </c>
      <c r="K127" s="165" t="str">
        <f aca="false">IF(Salary_Calculation[[#This Row],[Source Row]]="","",MAX(MIN(N(Salary_Calculation[[#This Row],[Completed Orders]]),Salary_Calculation[[#This Row],[Rider Target Orders]]),0))</f>
        <v/>
      </c>
      <c r="L127" s="164" t="str">
        <f aca="false">IF(Salary_Calculation[[#This Row],[Source Row]]="","",Salary_Calculation[[#This Row],[Orders Counted at Base Rate]]*Salary_Calculation[[#This Row],[Base Order Rate]])</f>
        <v/>
      </c>
      <c r="M127" s="165" t="str">
        <f aca="false">IF(Salary_Calculation[[#This Row],[Source Row]]="","",MAX(Salary_Calculation[[#This Row],[Rider Target Orders]]-N(Salary_Calculation[[#This Row],[Completed Orders]]),0))</f>
        <v/>
      </c>
      <c r="N127" s="164" t="str">
        <f aca="false">IF(Salary_Calculation[[#This Row],[Source Row]]="","",Salary_Calculation[[#This Row],[Missing Orders]]*Missing_Rate)</f>
        <v/>
      </c>
      <c r="O127" s="165" t="str">
        <f aca="false">IF(Salary_Calculation[[#This Row],[Source Row]]="","",MAX(N(Salary_Calculation[[#This Row],[Completed Orders]])-Salary_Calculation[[#This Row],[Rider Target Orders]],0))</f>
        <v/>
      </c>
      <c r="P127" s="164" t="str">
        <f aca="false">IF(Salary_Calculation[[#This Row],[Source Row]]="","",Salary_Calculation[[#This Row],[Extra Orders]]*Extra_Rate)</f>
        <v/>
      </c>
      <c r="Q127" s="164" t="str">
        <f aca="false">IF(Salary_Calculation[[#This Row],[Source Row]]="","",MAX(Salary_Calculation[[#This Row],[Salary Before Other Deductions]],0))</f>
        <v/>
      </c>
      <c r="R127" s="164" t="str">
        <f aca="false">IF(Salary_Calculation[[#This Row],[Source Row]]="","",N(INDEX(Rider_Input[missed_days_penalty],Salary_Calculation[[#This Row],[Source Row]])))</f>
        <v/>
      </c>
      <c r="S127" s="164" t="str">
        <f aca="false">IF(Salary_Calculation[[#This Row],[Source Row]]="","",N(INDEX(Rider_Input[Rider Balance / محفظة المندوب],Salary_Calculation[[#This Row],[Source Row]])))</f>
        <v/>
      </c>
      <c r="T127" s="164" t="str">
        <f aca="false">IF(Salary_Calculation[[#This Row],[Source Row]]="","",N(INDEX(Rider_Input[stacking_deduction / خصم الطلبات المتعددة],Salary_Calculation[[#This Row],[Source Row]])))</f>
        <v/>
      </c>
      <c r="U127" s="164" t="str">
        <f aca="false">IF(Salary_Calculation[[#This Row],[Source Row]]="","",N(INDEX(Rider_Input[Other Deductions],Salary_Calculation[[#This Row],[Source Row]])))</f>
        <v/>
      </c>
      <c r="V127" s="164" t="str">
        <f aca="false">IF(Salary_Calculation[[#This Row],[Source Row]]="","",N(Salary_Calculation[[#This Row],[missed_days_penalty]])+N(Salary_Calculation[[#This Row],[Rider Balance]])+N(Salary_Calculation[[#This Row],[stacking_deduction]])+N(Salary_Calculation[[#This Row],[Other Deductions]]))</f>
        <v/>
      </c>
      <c r="W127" s="167" t="str">
        <f aca="false">IF(Salary_Calculation[[#This Row],[Source Row]]="","",ROUND(MAX(Salary_Calculation[[#This Row],[Gross Salary Before Deductions]]-Salary_Calculation[[#This Row],[Total Deductions]],0),2))</f>
        <v/>
      </c>
      <c r="X127" s="164" t="str">
        <f aca="false">IF(Salary_Calculation[[#This Row],[Source Row]]="","",ROUND(MAX(Salary_Calculation[[#This Row],[Missing-Order Deduction]]-Salary_Calculation[[#This Row],[Earned Salary]],0),2))</f>
        <v/>
      </c>
      <c r="Y12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27" s="163" t="str">
        <f aca="false">IF(Salary_Calculation[[#This Row],[Source Row]]="","",IF(INDEX(Rider_Input[Notes],Salary_Calculation[[#This Row],[Source Row]])="","",INDEX(Rider_Input[Notes],Salary_Calculation[[#This Row],[Source Row]])))</f>
        <v/>
      </c>
      <c r="AA127" s="164" t="str">
        <f aca="false">IF(Salary_Calculation[[#This Row],[Source Row]]="","",Salary_Calculation[[#This Row],[Earned Salary]]-Salary_Calculation[[#This Row],[Missing-Order Deduction]]+Salary_Calculation[[#This Row],[Extra-Order Bonus]])</f>
        <v/>
      </c>
      <c r="AB127" s="164" t="str">
        <f aca="false">IF(Salary_Calculation[[#This Row],[Source Row]]="","",ROUND(Salary_Calculation[[#This Row],[Negative Balance / Amount Due from Rider]]+MAX(Salary_Calculation[[#This Row],[Total Deductions]]-Salary_Calculation[[#This Row],[Gross Salary Before Deductions]],0),2))</f>
        <v/>
      </c>
      <c r="AC12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27" s="164" t="str">
        <f aca="false">IF(Salary_Calculation[[#This Row],[Source Row]]="","",Salary_Calculation[[#This Row],[Rider Target Orders]]*Salary_Calculation[[#This Row],[Base Order Rate]])</f>
        <v/>
      </c>
      <c r="AE127" s="162" t="str">
        <f aca="false">IF(SUMPRODUCT(--(LEN(INDEX(Rider_Input[#Data],ROW()-ROW(Salary_Calculation[#Headers]),0))&gt;0))=0,"",ROW()-ROW(Salary_Calculation[#Headers]))</f>
        <v/>
      </c>
    </row>
    <row r="128" customFormat="false" ht="14.25" hidden="false" customHeight="false" outlineLevel="0" collapsed="false">
      <c r="A128" s="161" t="str">
        <f aca="false">IF(Salary_Calculation[[#This Row],[Source Row]]="","",IF(INDEX(Rider_Input[Salary Month],Salary_Calculation[[#This Row],[Source Row]])="","",INDEX(Rider_Input[Salary Month],Salary_Calculation[[#This Row],[Source Row]])))</f>
        <v/>
      </c>
      <c r="B128" s="162" t="str">
        <f aca="false">IF(Salary_Calculation[[#This Row],[Source Row]]="","",IF(INDEX(Rider_Input[Rider ID],Salary_Calculation[[#This Row],[Source Row]])="","",INDEX(Rider_Input[Rider ID],Salary_Calculation[[#This Row],[Source Row]])))</f>
        <v/>
      </c>
      <c r="C128" s="163" t="str">
        <f aca="false">IF(Salary_Calculation[[#This Row],[Source Row]]="","",IF(INDEX(Rider_Input[Rider Name],Salary_Calculation[[#This Row],[Source Row]])="","",INDEX(Rider_Input[Rider Name],Salary_Calculation[[#This Row],[Source Row]])))</f>
        <v/>
      </c>
      <c r="D128" s="164" t="str">
        <f aca="false">IF(Salary_Calculation[[#This Row],[Source Row]]="","",IF(INDEX(Rider_Input[Basic Payment],Salary_Calculation[[#This Row],[Source Row]])="","",INDEX(Rider_Input[Basic Payment],Salary_Calculation[[#This Row],[Source Row]])))</f>
        <v/>
      </c>
      <c r="E128" s="162" t="str">
        <f aca="false">IF(Salary_Calculation[[#This Row],[Source Row]]="","",IF(INDEX(Rider_Input[Calendar Days in Month],Salary_Calculation[[#This Row],[Source Row]])="","",INDEX(Rider_Input[Calendar Days in Month],Salary_Calculation[[#This Row],[Source Row]])))</f>
        <v/>
      </c>
      <c r="F128" s="162" t="str">
        <f aca="false">IF(Salary_Calculation[[#This Row],[Source Row]]="","",IF(INDEX(Rider_Input[Working Days],Salary_Calculation[[#This Row],[Source Row]])="","",INDEX(Rider_Input[Working Days],Salary_Calculation[[#This Row],[Source Row]])))</f>
        <v/>
      </c>
      <c r="G128" s="165" t="str">
        <f aca="false">IF(Salary_Calculation[[#This Row],[Source Row]]="","",Std_Orders/Std_Days*N(Salary_Calculation[[#This Row],[Calendar Days]]))</f>
        <v/>
      </c>
      <c r="H128" s="165" t="str">
        <f aca="false">IF(Salary_Calculation[[#This Row],[Source Row]]="","",IF(N(Salary_Calculation[[#This Row],[Calendar Days]])&gt;0,Salary_Calculation[[#This Row],[Monthly Target Orders]]/N(Salary_Calculation[[#This Row],[Calendar Days]])*N(Salary_Calculation[[#This Row],[Working Days]]),0))</f>
        <v/>
      </c>
      <c r="I128" s="166" t="str">
        <f aca="false">IF(Salary_Calculation[[#This Row],[Source Row]]="","",IF(INDEX(Rider_Input[Completed Orders],Salary_Calculation[[#This Row],[Source Row]])="","",INDEX(Rider_Input[Completed Orders],Salary_Calculation[[#This Row],[Source Row]])))</f>
        <v/>
      </c>
      <c r="J128" s="165" t="str">
        <f aca="false">IF(Salary_Calculation[[#This Row],[Source Row]]="","",IF(Rate_Method="Fixed rate",Fixed_Rate,IF(N(Salary_Calculation[[#This Row],[Basic Payment]])&gt;0,N(Salary_Calculation[[#This Row],[Basic Payment]])/Std_Orders,0)))</f>
        <v/>
      </c>
      <c r="K128" s="165" t="str">
        <f aca="false">IF(Salary_Calculation[[#This Row],[Source Row]]="","",MAX(MIN(N(Salary_Calculation[[#This Row],[Completed Orders]]),Salary_Calculation[[#This Row],[Rider Target Orders]]),0))</f>
        <v/>
      </c>
      <c r="L128" s="164" t="str">
        <f aca="false">IF(Salary_Calculation[[#This Row],[Source Row]]="","",Salary_Calculation[[#This Row],[Orders Counted at Base Rate]]*Salary_Calculation[[#This Row],[Base Order Rate]])</f>
        <v/>
      </c>
      <c r="M128" s="165" t="str">
        <f aca="false">IF(Salary_Calculation[[#This Row],[Source Row]]="","",MAX(Salary_Calculation[[#This Row],[Rider Target Orders]]-N(Salary_Calculation[[#This Row],[Completed Orders]]),0))</f>
        <v/>
      </c>
      <c r="N128" s="164" t="str">
        <f aca="false">IF(Salary_Calculation[[#This Row],[Source Row]]="","",Salary_Calculation[[#This Row],[Missing Orders]]*Missing_Rate)</f>
        <v/>
      </c>
      <c r="O128" s="165" t="str">
        <f aca="false">IF(Salary_Calculation[[#This Row],[Source Row]]="","",MAX(N(Salary_Calculation[[#This Row],[Completed Orders]])-Salary_Calculation[[#This Row],[Rider Target Orders]],0))</f>
        <v/>
      </c>
      <c r="P128" s="164" t="str">
        <f aca="false">IF(Salary_Calculation[[#This Row],[Source Row]]="","",Salary_Calculation[[#This Row],[Extra Orders]]*Extra_Rate)</f>
        <v/>
      </c>
      <c r="Q128" s="164" t="str">
        <f aca="false">IF(Salary_Calculation[[#This Row],[Source Row]]="","",MAX(Salary_Calculation[[#This Row],[Salary Before Other Deductions]],0))</f>
        <v/>
      </c>
      <c r="R128" s="164" t="str">
        <f aca="false">IF(Salary_Calculation[[#This Row],[Source Row]]="","",N(INDEX(Rider_Input[missed_days_penalty],Salary_Calculation[[#This Row],[Source Row]])))</f>
        <v/>
      </c>
      <c r="S128" s="164" t="str">
        <f aca="false">IF(Salary_Calculation[[#This Row],[Source Row]]="","",N(INDEX(Rider_Input[Rider Balance / محفظة المندوب],Salary_Calculation[[#This Row],[Source Row]])))</f>
        <v/>
      </c>
      <c r="T128" s="164" t="str">
        <f aca="false">IF(Salary_Calculation[[#This Row],[Source Row]]="","",N(INDEX(Rider_Input[stacking_deduction / خصم الطلبات المتعددة],Salary_Calculation[[#This Row],[Source Row]])))</f>
        <v/>
      </c>
      <c r="U128" s="164" t="str">
        <f aca="false">IF(Salary_Calculation[[#This Row],[Source Row]]="","",N(INDEX(Rider_Input[Other Deductions],Salary_Calculation[[#This Row],[Source Row]])))</f>
        <v/>
      </c>
      <c r="V128" s="164" t="str">
        <f aca="false">IF(Salary_Calculation[[#This Row],[Source Row]]="","",N(Salary_Calculation[[#This Row],[missed_days_penalty]])+N(Salary_Calculation[[#This Row],[Rider Balance]])+N(Salary_Calculation[[#This Row],[stacking_deduction]])+N(Salary_Calculation[[#This Row],[Other Deductions]]))</f>
        <v/>
      </c>
      <c r="W128" s="167" t="str">
        <f aca="false">IF(Salary_Calculation[[#This Row],[Source Row]]="","",ROUND(MAX(Salary_Calculation[[#This Row],[Gross Salary Before Deductions]]-Salary_Calculation[[#This Row],[Total Deductions]],0),2))</f>
        <v/>
      </c>
      <c r="X128" s="164" t="str">
        <f aca="false">IF(Salary_Calculation[[#This Row],[Source Row]]="","",ROUND(MAX(Salary_Calculation[[#This Row],[Missing-Order Deduction]]-Salary_Calculation[[#This Row],[Earned Salary]],0),2))</f>
        <v/>
      </c>
      <c r="Y12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28" s="163" t="str">
        <f aca="false">IF(Salary_Calculation[[#This Row],[Source Row]]="","",IF(INDEX(Rider_Input[Notes],Salary_Calculation[[#This Row],[Source Row]])="","",INDEX(Rider_Input[Notes],Salary_Calculation[[#This Row],[Source Row]])))</f>
        <v/>
      </c>
      <c r="AA128" s="164" t="str">
        <f aca="false">IF(Salary_Calculation[[#This Row],[Source Row]]="","",Salary_Calculation[[#This Row],[Earned Salary]]-Salary_Calculation[[#This Row],[Missing-Order Deduction]]+Salary_Calculation[[#This Row],[Extra-Order Bonus]])</f>
        <v/>
      </c>
      <c r="AB128" s="164" t="str">
        <f aca="false">IF(Salary_Calculation[[#This Row],[Source Row]]="","",ROUND(Salary_Calculation[[#This Row],[Negative Balance / Amount Due from Rider]]+MAX(Salary_Calculation[[#This Row],[Total Deductions]]-Salary_Calculation[[#This Row],[Gross Salary Before Deductions]],0),2))</f>
        <v/>
      </c>
      <c r="AC12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28" s="164" t="str">
        <f aca="false">IF(Salary_Calculation[[#This Row],[Source Row]]="","",Salary_Calculation[[#This Row],[Rider Target Orders]]*Salary_Calculation[[#This Row],[Base Order Rate]])</f>
        <v/>
      </c>
      <c r="AE128" s="162" t="str">
        <f aca="false">IF(SUMPRODUCT(--(LEN(INDEX(Rider_Input[#Data],ROW()-ROW(Salary_Calculation[#Headers]),0))&gt;0))=0,"",ROW()-ROW(Salary_Calculation[#Headers]))</f>
        <v/>
      </c>
    </row>
    <row r="129" customFormat="false" ht="14.25" hidden="false" customHeight="false" outlineLevel="0" collapsed="false">
      <c r="A129" s="161" t="str">
        <f aca="false">IF(Salary_Calculation[[#This Row],[Source Row]]="","",IF(INDEX(Rider_Input[Salary Month],Salary_Calculation[[#This Row],[Source Row]])="","",INDEX(Rider_Input[Salary Month],Salary_Calculation[[#This Row],[Source Row]])))</f>
        <v/>
      </c>
      <c r="B129" s="162" t="str">
        <f aca="false">IF(Salary_Calculation[[#This Row],[Source Row]]="","",IF(INDEX(Rider_Input[Rider ID],Salary_Calculation[[#This Row],[Source Row]])="","",INDEX(Rider_Input[Rider ID],Salary_Calculation[[#This Row],[Source Row]])))</f>
        <v/>
      </c>
      <c r="C129" s="163" t="str">
        <f aca="false">IF(Salary_Calculation[[#This Row],[Source Row]]="","",IF(INDEX(Rider_Input[Rider Name],Salary_Calculation[[#This Row],[Source Row]])="","",INDEX(Rider_Input[Rider Name],Salary_Calculation[[#This Row],[Source Row]])))</f>
        <v/>
      </c>
      <c r="D129" s="164" t="str">
        <f aca="false">IF(Salary_Calculation[[#This Row],[Source Row]]="","",IF(INDEX(Rider_Input[Basic Payment],Salary_Calculation[[#This Row],[Source Row]])="","",INDEX(Rider_Input[Basic Payment],Salary_Calculation[[#This Row],[Source Row]])))</f>
        <v/>
      </c>
      <c r="E129" s="162" t="str">
        <f aca="false">IF(Salary_Calculation[[#This Row],[Source Row]]="","",IF(INDEX(Rider_Input[Calendar Days in Month],Salary_Calculation[[#This Row],[Source Row]])="","",INDEX(Rider_Input[Calendar Days in Month],Salary_Calculation[[#This Row],[Source Row]])))</f>
        <v/>
      </c>
      <c r="F129" s="162" t="str">
        <f aca="false">IF(Salary_Calculation[[#This Row],[Source Row]]="","",IF(INDEX(Rider_Input[Working Days],Salary_Calculation[[#This Row],[Source Row]])="","",INDEX(Rider_Input[Working Days],Salary_Calculation[[#This Row],[Source Row]])))</f>
        <v/>
      </c>
      <c r="G129" s="165" t="str">
        <f aca="false">IF(Salary_Calculation[[#This Row],[Source Row]]="","",Std_Orders/Std_Days*N(Salary_Calculation[[#This Row],[Calendar Days]]))</f>
        <v/>
      </c>
      <c r="H129" s="165" t="str">
        <f aca="false">IF(Salary_Calculation[[#This Row],[Source Row]]="","",IF(N(Salary_Calculation[[#This Row],[Calendar Days]])&gt;0,Salary_Calculation[[#This Row],[Monthly Target Orders]]/N(Salary_Calculation[[#This Row],[Calendar Days]])*N(Salary_Calculation[[#This Row],[Working Days]]),0))</f>
        <v/>
      </c>
      <c r="I129" s="166" t="str">
        <f aca="false">IF(Salary_Calculation[[#This Row],[Source Row]]="","",IF(INDEX(Rider_Input[Completed Orders],Salary_Calculation[[#This Row],[Source Row]])="","",INDEX(Rider_Input[Completed Orders],Salary_Calculation[[#This Row],[Source Row]])))</f>
        <v/>
      </c>
      <c r="J129" s="165" t="str">
        <f aca="false">IF(Salary_Calculation[[#This Row],[Source Row]]="","",IF(Rate_Method="Fixed rate",Fixed_Rate,IF(N(Salary_Calculation[[#This Row],[Basic Payment]])&gt;0,N(Salary_Calculation[[#This Row],[Basic Payment]])/Std_Orders,0)))</f>
        <v/>
      </c>
      <c r="K129" s="165" t="str">
        <f aca="false">IF(Salary_Calculation[[#This Row],[Source Row]]="","",MAX(MIN(N(Salary_Calculation[[#This Row],[Completed Orders]]),Salary_Calculation[[#This Row],[Rider Target Orders]]),0))</f>
        <v/>
      </c>
      <c r="L129" s="164" t="str">
        <f aca="false">IF(Salary_Calculation[[#This Row],[Source Row]]="","",Salary_Calculation[[#This Row],[Orders Counted at Base Rate]]*Salary_Calculation[[#This Row],[Base Order Rate]])</f>
        <v/>
      </c>
      <c r="M129" s="165" t="str">
        <f aca="false">IF(Salary_Calculation[[#This Row],[Source Row]]="","",MAX(Salary_Calculation[[#This Row],[Rider Target Orders]]-N(Salary_Calculation[[#This Row],[Completed Orders]]),0))</f>
        <v/>
      </c>
      <c r="N129" s="164" t="str">
        <f aca="false">IF(Salary_Calculation[[#This Row],[Source Row]]="","",Salary_Calculation[[#This Row],[Missing Orders]]*Missing_Rate)</f>
        <v/>
      </c>
      <c r="O129" s="165" t="str">
        <f aca="false">IF(Salary_Calculation[[#This Row],[Source Row]]="","",MAX(N(Salary_Calculation[[#This Row],[Completed Orders]])-Salary_Calculation[[#This Row],[Rider Target Orders]],0))</f>
        <v/>
      </c>
      <c r="P129" s="164" t="str">
        <f aca="false">IF(Salary_Calculation[[#This Row],[Source Row]]="","",Salary_Calculation[[#This Row],[Extra Orders]]*Extra_Rate)</f>
        <v/>
      </c>
      <c r="Q129" s="164" t="str">
        <f aca="false">IF(Salary_Calculation[[#This Row],[Source Row]]="","",MAX(Salary_Calculation[[#This Row],[Salary Before Other Deductions]],0))</f>
        <v/>
      </c>
      <c r="R129" s="164" t="str">
        <f aca="false">IF(Salary_Calculation[[#This Row],[Source Row]]="","",N(INDEX(Rider_Input[missed_days_penalty],Salary_Calculation[[#This Row],[Source Row]])))</f>
        <v/>
      </c>
      <c r="S129" s="164" t="str">
        <f aca="false">IF(Salary_Calculation[[#This Row],[Source Row]]="","",N(INDEX(Rider_Input[Rider Balance / محفظة المندوب],Salary_Calculation[[#This Row],[Source Row]])))</f>
        <v/>
      </c>
      <c r="T129" s="164" t="str">
        <f aca="false">IF(Salary_Calculation[[#This Row],[Source Row]]="","",N(INDEX(Rider_Input[stacking_deduction / خصم الطلبات المتعددة],Salary_Calculation[[#This Row],[Source Row]])))</f>
        <v/>
      </c>
      <c r="U129" s="164" t="str">
        <f aca="false">IF(Salary_Calculation[[#This Row],[Source Row]]="","",N(INDEX(Rider_Input[Other Deductions],Salary_Calculation[[#This Row],[Source Row]])))</f>
        <v/>
      </c>
      <c r="V129" s="164" t="str">
        <f aca="false">IF(Salary_Calculation[[#This Row],[Source Row]]="","",N(Salary_Calculation[[#This Row],[missed_days_penalty]])+N(Salary_Calculation[[#This Row],[Rider Balance]])+N(Salary_Calculation[[#This Row],[stacking_deduction]])+N(Salary_Calculation[[#This Row],[Other Deductions]]))</f>
        <v/>
      </c>
      <c r="W129" s="167" t="str">
        <f aca="false">IF(Salary_Calculation[[#This Row],[Source Row]]="","",ROUND(MAX(Salary_Calculation[[#This Row],[Gross Salary Before Deductions]]-Salary_Calculation[[#This Row],[Total Deductions]],0),2))</f>
        <v/>
      </c>
      <c r="X129" s="164" t="str">
        <f aca="false">IF(Salary_Calculation[[#This Row],[Source Row]]="","",ROUND(MAX(Salary_Calculation[[#This Row],[Missing-Order Deduction]]-Salary_Calculation[[#This Row],[Earned Salary]],0),2))</f>
        <v/>
      </c>
      <c r="Y12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29" s="163" t="str">
        <f aca="false">IF(Salary_Calculation[[#This Row],[Source Row]]="","",IF(INDEX(Rider_Input[Notes],Salary_Calculation[[#This Row],[Source Row]])="","",INDEX(Rider_Input[Notes],Salary_Calculation[[#This Row],[Source Row]])))</f>
        <v/>
      </c>
      <c r="AA129" s="164" t="str">
        <f aca="false">IF(Salary_Calculation[[#This Row],[Source Row]]="","",Salary_Calculation[[#This Row],[Earned Salary]]-Salary_Calculation[[#This Row],[Missing-Order Deduction]]+Salary_Calculation[[#This Row],[Extra-Order Bonus]])</f>
        <v/>
      </c>
      <c r="AB129" s="164" t="str">
        <f aca="false">IF(Salary_Calculation[[#This Row],[Source Row]]="","",ROUND(Salary_Calculation[[#This Row],[Negative Balance / Amount Due from Rider]]+MAX(Salary_Calculation[[#This Row],[Total Deductions]]-Salary_Calculation[[#This Row],[Gross Salary Before Deductions]],0),2))</f>
        <v/>
      </c>
      <c r="AC12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29" s="164" t="str">
        <f aca="false">IF(Salary_Calculation[[#This Row],[Source Row]]="","",Salary_Calculation[[#This Row],[Rider Target Orders]]*Salary_Calculation[[#This Row],[Base Order Rate]])</f>
        <v/>
      </c>
      <c r="AE129" s="162" t="str">
        <f aca="false">IF(SUMPRODUCT(--(LEN(INDEX(Rider_Input[#Data],ROW()-ROW(Salary_Calculation[#Headers]),0))&gt;0))=0,"",ROW()-ROW(Salary_Calculation[#Headers]))</f>
        <v/>
      </c>
    </row>
    <row r="130" customFormat="false" ht="14.25" hidden="false" customHeight="false" outlineLevel="0" collapsed="false">
      <c r="A130" s="161" t="str">
        <f aca="false">IF(Salary_Calculation[[#This Row],[Source Row]]="","",IF(INDEX(Rider_Input[Salary Month],Salary_Calculation[[#This Row],[Source Row]])="","",INDEX(Rider_Input[Salary Month],Salary_Calculation[[#This Row],[Source Row]])))</f>
        <v/>
      </c>
      <c r="B130" s="162" t="str">
        <f aca="false">IF(Salary_Calculation[[#This Row],[Source Row]]="","",IF(INDEX(Rider_Input[Rider ID],Salary_Calculation[[#This Row],[Source Row]])="","",INDEX(Rider_Input[Rider ID],Salary_Calculation[[#This Row],[Source Row]])))</f>
        <v/>
      </c>
      <c r="C130" s="163" t="str">
        <f aca="false">IF(Salary_Calculation[[#This Row],[Source Row]]="","",IF(INDEX(Rider_Input[Rider Name],Salary_Calculation[[#This Row],[Source Row]])="","",INDEX(Rider_Input[Rider Name],Salary_Calculation[[#This Row],[Source Row]])))</f>
        <v/>
      </c>
      <c r="D130" s="164" t="str">
        <f aca="false">IF(Salary_Calculation[[#This Row],[Source Row]]="","",IF(INDEX(Rider_Input[Basic Payment],Salary_Calculation[[#This Row],[Source Row]])="","",INDEX(Rider_Input[Basic Payment],Salary_Calculation[[#This Row],[Source Row]])))</f>
        <v/>
      </c>
      <c r="E130" s="162" t="str">
        <f aca="false">IF(Salary_Calculation[[#This Row],[Source Row]]="","",IF(INDEX(Rider_Input[Calendar Days in Month],Salary_Calculation[[#This Row],[Source Row]])="","",INDEX(Rider_Input[Calendar Days in Month],Salary_Calculation[[#This Row],[Source Row]])))</f>
        <v/>
      </c>
      <c r="F130" s="162" t="str">
        <f aca="false">IF(Salary_Calculation[[#This Row],[Source Row]]="","",IF(INDEX(Rider_Input[Working Days],Salary_Calculation[[#This Row],[Source Row]])="","",INDEX(Rider_Input[Working Days],Salary_Calculation[[#This Row],[Source Row]])))</f>
        <v/>
      </c>
      <c r="G130" s="165" t="str">
        <f aca="false">IF(Salary_Calculation[[#This Row],[Source Row]]="","",Std_Orders/Std_Days*N(Salary_Calculation[[#This Row],[Calendar Days]]))</f>
        <v/>
      </c>
      <c r="H130" s="165" t="str">
        <f aca="false">IF(Salary_Calculation[[#This Row],[Source Row]]="","",IF(N(Salary_Calculation[[#This Row],[Calendar Days]])&gt;0,Salary_Calculation[[#This Row],[Monthly Target Orders]]/N(Salary_Calculation[[#This Row],[Calendar Days]])*N(Salary_Calculation[[#This Row],[Working Days]]),0))</f>
        <v/>
      </c>
      <c r="I130" s="166" t="str">
        <f aca="false">IF(Salary_Calculation[[#This Row],[Source Row]]="","",IF(INDEX(Rider_Input[Completed Orders],Salary_Calculation[[#This Row],[Source Row]])="","",INDEX(Rider_Input[Completed Orders],Salary_Calculation[[#This Row],[Source Row]])))</f>
        <v/>
      </c>
      <c r="J130" s="165" t="str">
        <f aca="false">IF(Salary_Calculation[[#This Row],[Source Row]]="","",IF(Rate_Method="Fixed rate",Fixed_Rate,IF(N(Salary_Calculation[[#This Row],[Basic Payment]])&gt;0,N(Salary_Calculation[[#This Row],[Basic Payment]])/Std_Orders,0)))</f>
        <v/>
      </c>
      <c r="K130" s="165" t="str">
        <f aca="false">IF(Salary_Calculation[[#This Row],[Source Row]]="","",MAX(MIN(N(Salary_Calculation[[#This Row],[Completed Orders]]),Salary_Calculation[[#This Row],[Rider Target Orders]]),0))</f>
        <v/>
      </c>
      <c r="L130" s="164" t="str">
        <f aca="false">IF(Salary_Calculation[[#This Row],[Source Row]]="","",Salary_Calculation[[#This Row],[Orders Counted at Base Rate]]*Salary_Calculation[[#This Row],[Base Order Rate]])</f>
        <v/>
      </c>
      <c r="M130" s="165" t="str">
        <f aca="false">IF(Salary_Calculation[[#This Row],[Source Row]]="","",MAX(Salary_Calculation[[#This Row],[Rider Target Orders]]-N(Salary_Calculation[[#This Row],[Completed Orders]]),0))</f>
        <v/>
      </c>
      <c r="N130" s="164" t="str">
        <f aca="false">IF(Salary_Calculation[[#This Row],[Source Row]]="","",Salary_Calculation[[#This Row],[Missing Orders]]*Missing_Rate)</f>
        <v/>
      </c>
      <c r="O130" s="165" t="str">
        <f aca="false">IF(Salary_Calculation[[#This Row],[Source Row]]="","",MAX(N(Salary_Calculation[[#This Row],[Completed Orders]])-Salary_Calculation[[#This Row],[Rider Target Orders]],0))</f>
        <v/>
      </c>
      <c r="P130" s="164" t="str">
        <f aca="false">IF(Salary_Calculation[[#This Row],[Source Row]]="","",Salary_Calculation[[#This Row],[Extra Orders]]*Extra_Rate)</f>
        <v/>
      </c>
      <c r="Q130" s="164" t="str">
        <f aca="false">IF(Salary_Calculation[[#This Row],[Source Row]]="","",MAX(Salary_Calculation[[#This Row],[Salary Before Other Deductions]],0))</f>
        <v/>
      </c>
      <c r="R130" s="164" t="str">
        <f aca="false">IF(Salary_Calculation[[#This Row],[Source Row]]="","",N(INDEX(Rider_Input[missed_days_penalty],Salary_Calculation[[#This Row],[Source Row]])))</f>
        <v/>
      </c>
      <c r="S130" s="164" t="str">
        <f aca="false">IF(Salary_Calculation[[#This Row],[Source Row]]="","",N(INDEX(Rider_Input[Rider Balance / محفظة المندوب],Salary_Calculation[[#This Row],[Source Row]])))</f>
        <v/>
      </c>
      <c r="T130" s="164" t="str">
        <f aca="false">IF(Salary_Calculation[[#This Row],[Source Row]]="","",N(INDEX(Rider_Input[stacking_deduction / خصم الطلبات المتعددة],Salary_Calculation[[#This Row],[Source Row]])))</f>
        <v/>
      </c>
      <c r="U130" s="164" t="str">
        <f aca="false">IF(Salary_Calculation[[#This Row],[Source Row]]="","",N(INDEX(Rider_Input[Other Deductions],Salary_Calculation[[#This Row],[Source Row]])))</f>
        <v/>
      </c>
      <c r="V130" s="164" t="str">
        <f aca="false">IF(Salary_Calculation[[#This Row],[Source Row]]="","",N(Salary_Calculation[[#This Row],[missed_days_penalty]])+N(Salary_Calculation[[#This Row],[Rider Balance]])+N(Salary_Calculation[[#This Row],[stacking_deduction]])+N(Salary_Calculation[[#This Row],[Other Deductions]]))</f>
        <v/>
      </c>
      <c r="W130" s="167" t="str">
        <f aca="false">IF(Salary_Calculation[[#This Row],[Source Row]]="","",ROUND(MAX(Salary_Calculation[[#This Row],[Gross Salary Before Deductions]]-Salary_Calculation[[#This Row],[Total Deductions]],0),2))</f>
        <v/>
      </c>
      <c r="X130" s="164" t="str">
        <f aca="false">IF(Salary_Calculation[[#This Row],[Source Row]]="","",ROUND(MAX(Salary_Calculation[[#This Row],[Missing-Order Deduction]]-Salary_Calculation[[#This Row],[Earned Salary]],0),2))</f>
        <v/>
      </c>
      <c r="Y13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30" s="163" t="str">
        <f aca="false">IF(Salary_Calculation[[#This Row],[Source Row]]="","",IF(INDEX(Rider_Input[Notes],Salary_Calculation[[#This Row],[Source Row]])="","",INDEX(Rider_Input[Notes],Salary_Calculation[[#This Row],[Source Row]])))</f>
        <v/>
      </c>
      <c r="AA130" s="164" t="str">
        <f aca="false">IF(Salary_Calculation[[#This Row],[Source Row]]="","",Salary_Calculation[[#This Row],[Earned Salary]]-Salary_Calculation[[#This Row],[Missing-Order Deduction]]+Salary_Calculation[[#This Row],[Extra-Order Bonus]])</f>
        <v/>
      </c>
      <c r="AB130" s="164" t="str">
        <f aca="false">IF(Salary_Calculation[[#This Row],[Source Row]]="","",ROUND(Salary_Calculation[[#This Row],[Negative Balance / Amount Due from Rider]]+MAX(Salary_Calculation[[#This Row],[Total Deductions]]-Salary_Calculation[[#This Row],[Gross Salary Before Deductions]],0),2))</f>
        <v/>
      </c>
      <c r="AC13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30" s="164" t="str">
        <f aca="false">IF(Salary_Calculation[[#This Row],[Source Row]]="","",Salary_Calculation[[#This Row],[Rider Target Orders]]*Salary_Calculation[[#This Row],[Base Order Rate]])</f>
        <v/>
      </c>
      <c r="AE130" s="162" t="str">
        <f aca="false">IF(SUMPRODUCT(--(LEN(INDEX(Rider_Input[#Data],ROW()-ROW(Salary_Calculation[#Headers]),0))&gt;0))=0,"",ROW()-ROW(Salary_Calculation[#Headers]))</f>
        <v/>
      </c>
    </row>
    <row r="131" customFormat="false" ht="14.25" hidden="false" customHeight="false" outlineLevel="0" collapsed="false">
      <c r="A131" s="161" t="str">
        <f aca="false">IF(Salary_Calculation[[#This Row],[Source Row]]="","",IF(INDEX(Rider_Input[Salary Month],Salary_Calculation[[#This Row],[Source Row]])="","",INDEX(Rider_Input[Salary Month],Salary_Calculation[[#This Row],[Source Row]])))</f>
        <v/>
      </c>
      <c r="B131" s="162" t="str">
        <f aca="false">IF(Salary_Calculation[[#This Row],[Source Row]]="","",IF(INDEX(Rider_Input[Rider ID],Salary_Calculation[[#This Row],[Source Row]])="","",INDEX(Rider_Input[Rider ID],Salary_Calculation[[#This Row],[Source Row]])))</f>
        <v/>
      </c>
      <c r="C131" s="163" t="str">
        <f aca="false">IF(Salary_Calculation[[#This Row],[Source Row]]="","",IF(INDEX(Rider_Input[Rider Name],Salary_Calculation[[#This Row],[Source Row]])="","",INDEX(Rider_Input[Rider Name],Salary_Calculation[[#This Row],[Source Row]])))</f>
        <v/>
      </c>
      <c r="D131" s="164" t="str">
        <f aca="false">IF(Salary_Calculation[[#This Row],[Source Row]]="","",IF(INDEX(Rider_Input[Basic Payment],Salary_Calculation[[#This Row],[Source Row]])="","",INDEX(Rider_Input[Basic Payment],Salary_Calculation[[#This Row],[Source Row]])))</f>
        <v/>
      </c>
      <c r="E131" s="162" t="str">
        <f aca="false">IF(Salary_Calculation[[#This Row],[Source Row]]="","",IF(INDEX(Rider_Input[Calendar Days in Month],Salary_Calculation[[#This Row],[Source Row]])="","",INDEX(Rider_Input[Calendar Days in Month],Salary_Calculation[[#This Row],[Source Row]])))</f>
        <v/>
      </c>
      <c r="F131" s="162" t="str">
        <f aca="false">IF(Salary_Calculation[[#This Row],[Source Row]]="","",IF(INDEX(Rider_Input[Working Days],Salary_Calculation[[#This Row],[Source Row]])="","",INDEX(Rider_Input[Working Days],Salary_Calculation[[#This Row],[Source Row]])))</f>
        <v/>
      </c>
      <c r="G131" s="165" t="str">
        <f aca="false">IF(Salary_Calculation[[#This Row],[Source Row]]="","",Std_Orders/Std_Days*N(Salary_Calculation[[#This Row],[Calendar Days]]))</f>
        <v/>
      </c>
      <c r="H131" s="165" t="str">
        <f aca="false">IF(Salary_Calculation[[#This Row],[Source Row]]="","",IF(N(Salary_Calculation[[#This Row],[Calendar Days]])&gt;0,Salary_Calculation[[#This Row],[Monthly Target Orders]]/N(Salary_Calculation[[#This Row],[Calendar Days]])*N(Salary_Calculation[[#This Row],[Working Days]]),0))</f>
        <v/>
      </c>
      <c r="I131" s="166" t="str">
        <f aca="false">IF(Salary_Calculation[[#This Row],[Source Row]]="","",IF(INDEX(Rider_Input[Completed Orders],Salary_Calculation[[#This Row],[Source Row]])="","",INDEX(Rider_Input[Completed Orders],Salary_Calculation[[#This Row],[Source Row]])))</f>
        <v/>
      </c>
      <c r="J131" s="165" t="str">
        <f aca="false">IF(Salary_Calculation[[#This Row],[Source Row]]="","",IF(Rate_Method="Fixed rate",Fixed_Rate,IF(N(Salary_Calculation[[#This Row],[Basic Payment]])&gt;0,N(Salary_Calculation[[#This Row],[Basic Payment]])/Std_Orders,0)))</f>
        <v/>
      </c>
      <c r="K131" s="165" t="str">
        <f aca="false">IF(Salary_Calculation[[#This Row],[Source Row]]="","",MAX(MIN(N(Salary_Calculation[[#This Row],[Completed Orders]]),Salary_Calculation[[#This Row],[Rider Target Orders]]),0))</f>
        <v/>
      </c>
      <c r="L131" s="164" t="str">
        <f aca="false">IF(Salary_Calculation[[#This Row],[Source Row]]="","",Salary_Calculation[[#This Row],[Orders Counted at Base Rate]]*Salary_Calculation[[#This Row],[Base Order Rate]])</f>
        <v/>
      </c>
      <c r="M131" s="165" t="str">
        <f aca="false">IF(Salary_Calculation[[#This Row],[Source Row]]="","",MAX(Salary_Calculation[[#This Row],[Rider Target Orders]]-N(Salary_Calculation[[#This Row],[Completed Orders]]),0))</f>
        <v/>
      </c>
      <c r="N131" s="164" t="str">
        <f aca="false">IF(Salary_Calculation[[#This Row],[Source Row]]="","",Salary_Calculation[[#This Row],[Missing Orders]]*Missing_Rate)</f>
        <v/>
      </c>
      <c r="O131" s="165" t="str">
        <f aca="false">IF(Salary_Calculation[[#This Row],[Source Row]]="","",MAX(N(Salary_Calculation[[#This Row],[Completed Orders]])-Salary_Calculation[[#This Row],[Rider Target Orders]],0))</f>
        <v/>
      </c>
      <c r="P131" s="164" t="str">
        <f aca="false">IF(Salary_Calculation[[#This Row],[Source Row]]="","",Salary_Calculation[[#This Row],[Extra Orders]]*Extra_Rate)</f>
        <v/>
      </c>
      <c r="Q131" s="164" t="str">
        <f aca="false">IF(Salary_Calculation[[#This Row],[Source Row]]="","",MAX(Salary_Calculation[[#This Row],[Salary Before Other Deductions]],0))</f>
        <v/>
      </c>
      <c r="R131" s="164" t="str">
        <f aca="false">IF(Salary_Calculation[[#This Row],[Source Row]]="","",N(INDEX(Rider_Input[missed_days_penalty],Salary_Calculation[[#This Row],[Source Row]])))</f>
        <v/>
      </c>
      <c r="S131" s="164" t="str">
        <f aca="false">IF(Salary_Calculation[[#This Row],[Source Row]]="","",N(INDEX(Rider_Input[Rider Balance / محفظة المندوب],Salary_Calculation[[#This Row],[Source Row]])))</f>
        <v/>
      </c>
      <c r="T131" s="164" t="str">
        <f aca="false">IF(Salary_Calculation[[#This Row],[Source Row]]="","",N(INDEX(Rider_Input[stacking_deduction / خصم الطلبات المتعددة],Salary_Calculation[[#This Row],[Source Row]])))</f>
        <v/>
      </c>
      <c r="U131" s="164" t="str">
        <f aca="false">IF(Salary_Calculation[[#This Row],[Source Row]]="","",N(INDEX(Rider_Input[Other Deductions],Salary_Calculation[[#This Row],[Source Row]])))</f>
        <v/>
      </c>
      <c r="V131" s="164" t="str">
        <f aca="false">IF(Salary_Calculation[[#This Row],[Source Row]]="","",N(Salary_Calculation[[#This Row],[missed_days_penalty]])+N(Salary_Calculation[[#This Row],[Rider Balance]])+N(Salary_Calculation[[#This Row],[stacking_deduction]])+N(Salary_Calculation[[#This Row],[Other Deductions]]))</f>
        <v/>
      </c>
      <c r="W131" s="167" t="str">
        <f aca="false">IF(Salary_Calculation[[#This Row],[Source Row]]="","",ROUND(MAX(Salary_Calculation[[#This Row],[Gross Salary Before Deductions]]-Salary_Calculation[[#This Row],[Total Deductions]],0),2))</f>
        <v/>
      </c>
      <c r="X131" s="164" t="str">
        <f aca="false">IF(Salary_Calculation[[#This Row],[Source Row]]="","",ROUND(MAX(Salary_Calculation[[#This Row],[Missing-Order Deduction]]-Salary_Calculation[[#This Row],[Earned Salary]],0),2))</f>
        <v/>
      </c>
      <c r="Y13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31" s="163" t="str">
        <f aca="false">IF(Salary_Calculation[[#This Row],[Source Row]]="","",IF(INDEX(Rider_Input[Notes],Salary_Calculation[[#This Row],[Source Row]])="","",INDEX(Rider_Input[Notes],Salary_Calculation[[#This Row],[Source Row]])))</f>
        <v/>
      </c>
      <c r="AA131" s="164" t="str">
        <f aca="false">IF(Salary_Calculation[[#This Row],[Source Row]]="","",Salary_Calculation[[#This Row],[Earned Salary]]-Salary_Calculation[[#This Row],[Missing-Order Deduction]]+Salary_Calculation[[#This Row],[Extra-Order Bonus]])</f>
        <v/>
      </c>
      <c r="AB131" s="164" t="str">
        <f aca="false">IF(Salary_Calculation[[#This Row],[Source Row]]="","",ROUND(Salary_Calculation[[#This Row],[Negative Balance / Amount Due from Rider]]+MAX(Salary_Calculation[[#This Row],[Total Deductions]]-Salary_Calculation[[#This Row],[Gross Salary Before Deductions]],0),2))</f>
        <v/>
      </c>
      <c r="AC13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31" s="164" t="str">
        <f aca="false">IF(Salary_Calculation[[#This Row],[Source Row]]="","",Salary_Calculation[[#This Row],[Rider Target Orders]]*Salary_Calculation[[#This Row],[Base Order Rate]])</f>
        <v/>
      </c>
      <c r="AE131" s="162" t="str">
        <f aca="false">IF(SUMPRODUCT(--(LEN(INDEX(Rider_Input[#Data],ROW()-ROW(Salary_Calculation[#Headers]),0))&gt;0))=0,"",ROW()-ROW(Salary_Calculation[#Headers]))</f>
        <v/>
      </c>
    </row>
    <row r="132" customFormat="false" ht="14.25" hidden="false" customHeight="false" outlineLevel="0" collapsed="false">
      <c r="A132" s="161" t="str">
        <f aca="false">IF(Salary_Calculation[[#This Row],[Source Row]]="","",IF(INDEX(Rider_Input[Salary Month],Salary_Calculation[[#This Row],[Source Row]])="","",INDEX(Rider_Input[Salary Month],Salary_Calculation[[#This Row],[Source Row]])))</f>
        <v/>
      </c>
      <c r="B132" s="162" t="str">
        <f aca="false">IF(Salary_Calculation[[#This Row],[Source Row]]="","",IF(INDEX(Rider_Input[Rider ID],Salary_Calculation[[#This Row],[Source Row]])="","",INDEX(Rider_Input[Rider ID],Salary_Calculation[[#This Row],[Source Row]])))</f>
        <v/>
      </c>
      <c r="C132" s="163" t="str">
        <f aca="false">IF(Salary_Calculation[[#This Row],[Source Row]]="","",IF(INDEX(Rider_Input[Rider Name],Salary_Calculation[[#This Row],[Source Row]])="","",INDEX(Rider_Input[Rider Name],Salary_Calculation[[#This Row],[Source Row]])))</f>
        <v/>
      </c>
      <c r="D132" s="164" t="str">
        <f aca="false">IF(Salary_Calculation[[#This Row],[Source Row]]="","",IF(INDEX(Rider_Input[Basic Payment],Salary_Calculation[[#This Row],[Source Row]])="","",INDEX(Rider_Input[Basic Payment],Salary_Calculation[[#This Row],[Source Row]])))</f>
        <v/>
      </c>
      <c r="E132" s="162" t="str">
        <f aca="false">IF(Salary_Calculation[[#This Row],[Source Row]]="","",IF(INDEX(Rider_Input[Calendar Days in Month],Salary_Calculation[[#This Row],[Source Row]])="","",INDEX(Rider_Input[Calendar Days in Month],Salary_Calculation[[#This Row],[Source Row]])))</f>
        <v/>
      </c>
      <c r="F132" s="162" t="str">
        <f aca="false">IF(Salary_Calculation[[#This Row],[Source Row]]="","",IF(INDEX(Rider_Input[Working Days],Salary_Calculation[[#This Row],[Source Row]])="","",INDEX(Rider_Input[Working Days],Salary_Calculation[[#This Row],[Source Row]])))</f>
        <v/>
      </c>
      <c r="G132" s="165" t="str">
        <f aca="false">IF(Salary_Calculation[[#This Row],[Source Row]]="","",Std_Orders/Std_Days*N(Salary_Calculation[[#This Row],[Calendar Days]]))</f>
        <v/>
      </c>
      <c r="H132" s="165" t="str">
        <f aca="false">IF(Salary_Calculation[[#This Row],[Source Row]]="","",IF(N(Salary_Calculation[[#This Row],[Calendar Days]])&gt;0,Salary_Calculation[[#This Row],[Monthly Target Orders]]/N(Salary_Calculation[[#This Row],[Calendar Days]])*N(Salary_Calculation[[#This Row],[Working Days]]),0))</f>
        <v/>
      </c>
      <c r="I132" s="166" t="str">
        <f aca="false">IF(Salary_Calculation[[#This Row],[Source Row]]="","",IF(INDEX(Rider_Input[Completed Orders],Salary_Calculation[[#This Row],[Source Row]])="","",INDEX(Rider_Input[Completed Orders],Salary_Calculation[[#This Row],[Source Row]])))</f>
        <v/>
      </c>
      <c r="J132" s="165" t="str">
        <f aca="false">IF(Salary_Calculation[[#This Row],[Source Row]]="","",IF(Rate_Method="Fixed rate",Fixed_Rate,IF(N(Salary_Calculation[[#This Row],[Basic Payment]])&gt;0,N(Salary_Calculation[[#This Row],[Basic Payment]])/Std_Orders,0)))</f>
        <v/>
      </c>
      <c r="K132" s="165" t="str">
        <f aca="false">IF(Salary_Calculation[[#This Row],[Source Row]]="","",MAX(MIN(N(Salary_Calculation[[#This Row],[Completed Orders]]),Salary_Calculation[[#This Row],[Rider Target Orders]]),0))</f>
        <v/>
      </c>
      <c r="L132" s="164" t="str">
        <f aca="false">IF(Salary_Calculation[[#This Row],[Source Row]]="","",Salary_Calculation[[#This Row],[Orders Counted at Base Rate]]*Salary_Calculation[[#This Row],[Base Order Rate]])</f>
        <v/>
      </c>
      <c r="M132" s="165" t="str">
        <f aca="false">IF(Salary_Calculation[[#This Row],[Source Row]]="","",MAX(Salary_Calculation[[#This Row],[Rider Target Orders]]-N(Salary_Calculation[[#This Row],[Completed Orders]]),0))</f>
        <v/>
      </c>
      <c r="N132" s="164" t="str">
        <f aca="false">IF(Salary_Calculation[[#This Row],[Source Row]]="","",Salary_Calculation[[#This Row],[Missing Orders]]*Missing_Rate)</f>
        <v/>
      </c>
      <c r="O132" s="165" t="str">
        <f aca="false">IF(Salary_Calculation[[#This Row],[Source Row]]="","",MAX(N(Salary_Calculation[[#This Row],[Completed Orders]])-Salary_Calculation[[#This Row],[Rider Target Orders]],0))</f>
        <v/>
      </c>
      <c r="P132" s="164" t="str">
        <f aca="false">IF(Salary_Calculation[[#This Row],[Source Row]]="","",Salary_Calculation[[#This Row],[Extra Orders]]*Extra_Rate)</f>
        <v/>
      </c>
      <c r="Q132" s="164" t="str">
        <f aca="false">IF(Salary_Calculation[[#This Row],[Source Row]]="","",MAX(Salary_Calculation[[#This Row],[Salary Before Other Deductions]],0))</f>
        <v/>
      </c>
      <c r="R132" s="164" t="str">
        <f aca="false">IF(Salary_Calculation[[#This Row],[Source Row]]="","",N(INDEX(Rider_Input[missed_days_penalty],Salary_Calculation[[#This Row],[Source Row]])))</f>
        <v/>
      </c>
      <c r="S132" s="164" t="str">
        <f aca="false">IF(Salary_Calculation[[#This Row],[Source Row]]="","",N(INDEX(Rider_Input[Rider Balance / محفظة المندوب],Salary_Calculation[[#This Row],[Source Row]])))</f>
        <v/>
      </c>
      <c r="T132" s="164" t="str">
        <f aca="false">IF(Salary_Calculation[[#This Row],[Source Row]]="","",N(INDEX(Rider_Input[stacking_deduction / خصم الطلبات المتعددة],Salary_Calculation[[#This Row],[Source Row]])))</f>
        <v/>
      </c>
      <c r="U132" s="164" t="str">
        <f aca="false">IF(Salary_Calculation[[#This Row],[Source Row]]="","",N(INDEX(Rider_Input[Other Deductions],Salary_Calculation[[#This Row],[Source Row]])))</f>
        <v/>
      </c>
      <c r="V132" s="164" t="str">
        <f aca="false">IF(Salary_Calculation[[#This Row],[Source Row]]="","",N(Salary_Calculation[[#This Row],[missed_days_penalty]])+N(Salary_Calculation[[#This Row],[Rider Balance]])+N(Salary_Calculation[[#This Row],[stacking_deduction]])+N(Salary_Calculation[[#This Row],[Other Deductions]]))</f>
        <v/>
      </c>
      <c r="W132" s="167" t="str">
        <f aca="false">IF(Salary_Calculation[[#This Row],[Source Row]]="","",ROUND(MAX(Salary_Calculation[[#This Row],[Gross Salary Before Deductions]]-Salary_Calculation[[#This Row],[Total Deductions]],0),2))</f>
        <v/>
      </c>
      <c r="X132" s="164" t="str">
        <f aca="false">IF(Salary_Calculation[[#This Row],[Source Row]]="","",ROUND(MAX(Salary_Calculation[[#This Row],[Missing-Order Deduction]]-Salary_Calculation[[#This Row],[Earned Salary]],0),2))</f>
        <v/>
      </c>
      <c r="Y13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32" s="163" t="str">
        <f aca="false">IF(Salary_Calculation[[#This Row],[Source Row]]="","",IF(INDEX(Rider_Input[Notes],Salary_Calculation[[#This Row],[Source Row]])="","",INDEX(Rider_Input[Notes],Salary_Calculation[[#This Row],[Source Row]])))</f>
        <v/>
      </c>
      <c r="AA132" s="164" t="str">
        <f aca="false">IF(Salary_Calculation[[#This Row],[Source Row]]="","",Salary_Calculation[[#This Row],[Earned Salary]]-Salary_Calculation[[#This Row],[Missing-Order Deduction]]+Salary_Calculation[[#This Row],[Extra-Order Bonus]])</f>
        <v/>
      </c>
      <c r="AB132" s="164" t="str">
        <f aca="false">IF(Salary_Calculation[[#This Row],[Source Row]]="","",ROUND(Salary_Calculation[[#This Row],[Negative Balance / Amount Due from Rider]]+MAX(Salary_Calculation[[#This Row],[Total Deductions]]-Salary_Calculation[[#This Row],[Gross Salary Before Deductions]],0),2))</f>
        <v/>
      </c>
      <c r="AC13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32" s="164" t="str">
        <f aca="false">IF(Salary_Calculation[[#This Row],[Source Row]]="","",Salary_Calculation[[#This Row],[Rider Target Orders]]*Salary_Calculation[[#This Row],[Base Order Rate]])</f>
        <v/>
      </c>
      <c r="AE132" s="162" t="str">
        <f aca="false">IF(SUMPRODUCT(--(LEN(INDEX(Rider_Input[#Data],ROW()-ROW(Salary_Calculation[#Headers]),0))&gt;0))=0,"",ROW()-ROW(Salary_Calculation[#Headers]))</f>
        <v/>
      </c>
    </row>
    <row r="133" customFormat="false" ht="14.25" hidden="false" customHeight="false" outlineLevel="0" collapsed="false">
      <c r="A133" s="161" t="str">
        <f aca="false">IF(Salary_Calculation[[#This Row],[Source Row]]="","",IF(INDEX(Rider_Input[Salary Month],Salary_Calculation[[#This Row],[Source Row]])="","",INDEX(Rider_Input[Salary Month],Salary_Calculation[[#This Row],[Source Row]])))</f>
        <v/>
      </c>
      <c r="B133" s="162" t="str">
        <f aca="false">IF(Salary_Calculation[[#This Row],[Source Row]]="","",IF(INDEX(Rider_Input[Rider ID],Salary_Calculation[[#This Row],[Source Row]])="","",INDEX(Rider_Input[Rider ID],Salary_Calculation[[#This Row],[Source Row]])))</f>
        <v/>
      </c>
      <c r="C133" s="163" t="str">
        <f aca="false">IF(Salary_Calculation[[#This Row],[Source Row]]="","",IF(INDEX(Rider_Input[Rider Name],Salary_Calculation[[#This Row],[Source Row]])="","",INDEX(Rider_Input[Rider Name],Salary_Calculation[[#This Row],[Source Row]])))</f>
        <v/>
      </c>
      <c r="D133" s="164" t="str">
        <f aca="false">IF(Salary_Calculation[[#This Row],[Source Row]]="","",IF(INDEX(Rider_Input[Basic Payment],Salary_Calculation[[#This Row],[Source Row]])="","",INDEX(Rider_Input[Basic Payment],Salary_Calculation[[#This Row],[Source Row]])))</f>
        <v/>
      </c>
      <c r="E133" s="162" t="str">
        <f aca="false">IF(Salary_Calculation[[#This Row],[Source Row]]="","",IF(INDEX(Rider_Input[Calendar Days in Month],Salary_Calculation[[#This Row],[Source Row]])="","",INDEX(Rider_Input[Calendar Days in Month],Salary_Calculation[[#This Row],[Source Row]])))</f>
        <v/>
      </c>
      <c r="F133" s="162" t="str">
        <f aca="false">IF(Salary_Calculation[[#This Row],[Source Row]]="","",IF(INDEX(Rider_Input[Working Days],Salary_Calculation[[#This Row],[Source Row]])="","",INDEX(Rider_Input[Working Days],Salary_Calculation[[#This Row],[Source Row]])))</f>
        <v/>
      </c>
      <c r="G133" s="165" t="str">
        <f aca="false">IF(Salary_Calculation[[#This Row],[Source Row]]="","",Std_Orders/Std_Days*N(Salary_Calculation[[#This Row],[Calendar Days]]))</f>
        <v/>
      </c>
      <c r="H133" s="165" t="str">
        <f aca="false">IF(Salary_Calculation[[#This Row],[Source Row]]="","",IF(N(Salary_Calculation[[#This Row],[Calendar Days]])&gt;0,Salary_Calculation[[#This Row],[Monthly Target Orders]]/N(Salary_Calculation[[#This Row],[Calendar Days]])*N(Salary_Calculation[[#This Row],[Working Days]]),0))</f>
        <v/>
      </c>
      <c r="I133" s="166" t="str">
        <f aca="false">IF(Salary_Calculation[[#This Row],[Source Row]]="","",IF(INDEX(Rider_Input[Completed Orders],Salary_Calculation[[#This Row],[Source Row]])="","",INDEX(Rider_Input[Completed Orders],Salary_Calculation[[#This Row],[Source Row]])))</f>
        <v/>
      </c>
      <c r="J133" s="165" t="str">
        <f aca="false">IF(Salary_Calculation[[#This Row],[Source Row]]="","",IF(Rate_Method="Fixed rate",Fixed_Rate,IF(N(Salary_Calculation[[#This Row],[Basic Payment]])&gt;0,N(Salary_Calculation[[#This Row],[Basic Payment]])/Std_Orders,0)))</f>
        <v/>
      </c>
      <c r="K133" s="165" t="str">
        <f aca="false">IF(Salary_Calculation[[#This Row],[Source Row]]="","",MAX(MIN(N(Salary_Calculation[[#This Row],[Completed Orders]]),Salary_Calculation[[#This Row],[Rider Target Orders]]),0))</f>
        <v/>
      </c>
      <c r="L133" s="164" t="str">
        <f aca="false">IF(Salary_Calculation[[#This Row],[Source Row]]="","",Salary_Calculation[[#This Row],[Orders Counted at Base Rate]]*Salary_Calculation[[#This Row],[Base Order Rate]])</f>
        <v/>
      </c>
      <c r="M133" s="165" t="str">
        <f aca="false">IF(Salary_Calculation[[#This Row],[Source Row]]="","",MAX(Salary_Calculation[[#This Row],[Rider Target Orders]]-N(Salary_Calculation[[#This Row],[Completed Orders]]),0))</f>
        <v/>
      </c>
      <c r="N133" s="164" t="str">
        <f aca="false">IF(Salary_Calculation[[#This Row],[Source Row]]="","",Salary_Calculation[[#This Row],[Missing Orders]]*Missing_Rate)</f>
        <v/>
      </c>
      <c r="O133" s="165" t="str">
        <f aca="false">IF(Salary_Calculation[[#This Row],[Source Row]]="","",MAX(N(Salary_Calculation[[#This Row],[Completed Orders]])-Salary_Calculation[[#This Row],[Rider Target Orders]],0))</f>
        <v/>
      </c>
      <c r="P133" s="164" t="str">
        <f aca="false">IF(Salary_Calculation[[#This Row],[Source Row]]="","",Salary_Calculation[[#This Row],[Extra Orders]]*Extra_Rate)</f>
        <v/>
      </c>
      <c r="Q133" s="164" t="str">
        <f aca="false">IF(Salary_Calculation[[#This Row],[Source Row]]="","",MAX(Salary_Calculation[[#This Row],[Salary Before Other Deductions]],0))</f>
        <v/>
      </c>
      <c r="R133" s="164" t="str">
        <f aca="false">IF(Salary_Calculation[[#This Row],[Source Row]]="","",N(INDEX(Rider_Input[missed_days_penalty],Salary_Calculation[[#This Row],[Source Row]])))</f>
        <v/>
      </c>
      <c r="S133" s="164" t="str">
        <f aca="false">IF(Salary_Calculation[[#This Row],[Source Row]]="","",N(INDEX(Rider_Input[Rider Balance / محفظة المندوب],Salary_Calculation[[#This Row],[Source Row]])))</f>
        <v/>
      </c>
      <c r="T133" s="164" t="str">
        <f aca="false">IF(Salary_Calculation[[#This Row],[Source Row]]="","",N(INDEX(Rider_Input[stacking_deduction / خصم الطلبات المتعددة],Salary_Calculation[[#This Row],[Source Row]])))</f>
        <v/>
      </c>
      <c r="U133" s="164" t="str">
        <f aca="false">IF(Salary_Calculation[[#This Row],[Source Row]]="","",N(INDEX(Rider_Input[Other Deductions],Salary_Calculation[[#This Row],[Source Row]])))</f>
        <v/>
      </c>
      <c r="V133" s="164" t="str">
        <f aca="false">IF(Salary_Calculation[[#This Row],[Source Row]]="","",N(Salary_Calculation[[#This Row],[missed_days_penalty]])+N(Salary_Calculation[[#This Row],[Rider Balance]])+N(Salary_Calculation[[#This Row],[stacking_deduction]])+N(Salary_Calculation[[#This Row],[Other Deductions]]))</f>
        <v/>
      </c>
      <c r="W133" s="167" t="str">
        <f aca="false">IF(Salary_Calculation[[#This Row],[Source Row]]="","",ROUND(MAX(Salary_Calculation[[#This Row],[Gross Salary Before Deductions]]-Salary_Calculation[[#This Row],[Total Deductions]],0),2))</f>
        <v/>
      </c>
      <c r="X133" s="164" t="str">
        <f aca="false">IF(Salary_Calculation[[#This Row],[Source Row]]="","",ROUND(MAX(Salary_Calculation[[#This Row],[Missing-Order Deduction]]-Salary_Calculation[[#This Row],[Earned Salary]],0),2))</f>
        <v/>
      </c>
      <c r="Y13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33" s="163" t="str">
        <f aca="false">IF(Salary_Calculation[[#This Row],[Source Row]]="","",IF(INDEX(Rider_Input[Notes],Salary_Calculation[[#This Row],[Source Row]])="","",INDEX(Rider_Input[Notes],Salary_Calculation[[#This Row],[Source Row]])))</f>
        <v/>
      </c>
      <c r="AA133" s="164" t="str">
        <f aca="false">IF(Salary_Calculation[[#This Row],[Source Row]]="","",Salary_Calculation[[#This Row],[Earned Salary]]-Salary_Calculation[[#This Row],[Missing-Order Deduction]]+Salary_Calculation[[#This Row],[Extra-Order Bonus]])</f>
        <v/>
      </c>
      <c r="AB133" s="164" t="str">
        <f aca="false">IF(Salary_Calculation[[#This Row],[Source Row]]="","",ROUND(Salary_Calculation[[#This Row],[Negative Balance / Amount Due from Rider]]+MAX(Salary_Calculation[[#This Row],[Total Deductions]]-Salary_Calculation[[#This Row],[Gross Salary Before Deductions]],0),2))</f>
        <v/>
      </c>
      <c r="AC13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33" s="164" t="str">
        <f aca="false">IF(Salary_Calculation[[#This Row],[Source Row]]="","",Salary_Calculation[[#This Row],[Rider Target Orders]]*Salary_Calculation[[#This Row],[Base Order Rate]])</f>
        <v/>
      </c>
      <c r="AE133" s="162" t="str">
        <f aca="false">IF(SUMPRODUCT(--(LEN(INDEX(Rider_Input[#Data],ROW()-ROW(Salary_Calculation[#Headers]),0))&gt;0))=0,"",ROW()-ROW(Salary_Calculation[#Headers]))</f>
        <v/>
      </c>
    </row>
    <row r="134" customFormat="false" ht="14.25" hidden="false" customHeight="false" outlineLevel="0" collapsed="false">
      <c r="A134" s="161" t="str">
        <f aca="false">IF(Salary_Calculation[[#This Row],[Source Row]]="","",IF(INDEX(Rider_Input[Salary Month],Salary_Calculation[[#This Row],[Source Row]])="","",INDEX(Rider_Input[Salary Month],Salary_Calculation[[#This Row],[Source Row]])))</f>
        <v/>
      </c>
      <c r="B134" s="162" t="str">
        <f aca="false">IF(Salary_Calculation[[#This Row],[Source Row]]="","",IF(INDEX(Rider_Input[Rider ID],Salary_Calculation[[#This Row],[Source Row]])="","",INDEX(Rider_Input[Rider ID],Salary_Calculation[[#This Row],[Source Row]])))</f>
        <v/>
      </c>
      <c r="C134" s="163" t="str">
        <f aca="false">IF(Salary_Calculation[[#This Row],[Source Row]]="","",IF(INDEX(Rider_Input[Rider Name],Salary_Calculation[[#This Row],[Source Row]])="","",INDEX(Rider_Input[Rider Name],Salary_Calculation[[#This Row],[Source Row]])))</f>
        <v/>
      </c>
      <c r="D134" s="164" t="str">
        <f aca="false">IF(Salary_Calculation[[#This Row],[Source Row]]="","",IF(INDEX(Rider_Input[Basic Payment],Salary_Calculation[[#This Row],[Source Row]])="","",INDEX(Rider_Input[Basic Payment],Salary_Calculation[[#This Row],[Source Row]])))</f>
        <v/>
      </c>
      <c r="E134" s="162" t="str">
        <f aca="false">IF(Salary_Calculation[[#This Row],[Source Row]]="","",IF(INDEX(Rider_Input[Calendar Days in Month],Salary_Calculation[[#This Row],[Source Row]])="","",INDEX(Rider_Input[Calendar Days in Month],Salary_Calculation[[#This Row],[Source Row]])))</f>
        <v/>
      </c>
      <c r="F134" s="162" t="str">
        <f aca="false">IF(Salary_Calculation[[#This Row],[Source Row]]="","",IF(INDEX(Rider_Input[Working Days],Salary_Calculation[[#This Row],[Source Row]])="","",INDEX(Rider_Input[Working Days],Salary_Calculation[[#This Row],[Source Row]])))</f>
        <v/>
      </c>
      <c r="G134" s="165" t="str">
        <f aca="false">IF(Salary_Calculation[[#This Row],[Source Row]]="","",Std_Orders/Std_Days*N(Salary_Calculation[[#This Row],[Calendar Days]]))</f>
        <v/>
      </c>
      <c r="H134" s="165" t="str">
        <f aca="false">IF(Salary_Calculation[[#This Row],[Source Row]]="","",IF(N(Salary_Calculation[[#This Row],[Calendar Days]])&gt;0,Salary_Calculation[[#This Row],[Monthly Target Orders]]/N(Salary_Calculation[[#This Row],[Calendar Days]])*N(Salary_Calculation[[#This Row],[Working Days]]),0))</f>
        <v/>
      </c>
      <c r="I134" s="166" t="str">
        <f aca="false">IF(Salary_Calculation[[#This Row],[Source Row]]="","",IF(INDEX(Rider_Input[Completed Orders],Salary_Calculation[[#This Row],[Source Row]])="","",INDEX(Rider_Input[Completed Orders],Salary_Calculation[[#This Row],[Source Row]])))</f>
        <v/>
      </c>
      <c r="J134" s="165" t="str">
        <f aca="false">IF(Salary_Calculation[[#This Row],[Source Row]]="","",IF(Rate_Method="Fixed rate",Fixed_Rate,IF(N(Salary_Calculation[[#This Row],[Basic Payment]])&gt;0,N(Salary_Calculation[[#This Row],[Basic Payment]])/Std_Orders,0)))</f>
        <v/>
      </c>
      <c r="K134" s="165" t="str">
        <f aca="false">IF(Salary_Calculation[[#This Row],[Source Row]]="","",MAX(MIN(N(Salary_Calculation[[#This Row],[Completed Orders]]),Salary_Calculation[[#This Row],[Rider Target Orders]]),0))</f>
        <v/>
      </c>
      <c r="L134" s="164" t="str">
        <f aca="false">IF(Salary_Calculation[[#This Row],[Source Row]]="","",Salary_Calculation[[#This Row],[Orders Counted at Base Rate]]*Salary_Calculation[[#This Row],[Base Order Rate]])</f>
        <v/>
      </c>
      <c r="M134" s="165" t="str">
        <f aca="false">IF(Salary_Calculation[[#This Row],[Source Row]]="","",MAX(Salary_Calculation[[#This Row],[Rider Target Orders]]-N(Salary_Calculation[[#This Row],[Completed Orders]]),0))</f>
        <v/>
      </c>
      <c r="N134" s="164" t="str">
        <f aca="false">IF(Salary_Calculation[[#This Row],[Source Row]]="","",Salary_Calculation[[#This Row],[Missing Orders]]*Missing_Rate)</f>
        <v/>
      </c>
      <c r="O134" s="165" t="str">
        <f aca="false">IF(Salary_Calculation[[#This Row],[Source Row]]="","",MAX(N(Salary_Calculation[[#This Row],[Completed Orders]])-Salary_Calculation[[#This Row],[Rider Target Orders]],0))</f>
        <v/>
      </c>
      <c r="P134" s="164" t="str">
        <f aca="false">IF(Salary_Calculation[[#This Row],[Source Row]]="","",Salary_Calculation[[#This Row],[Extra Orders]]*Extra_Rate)</f>
        <v/>
      </c>
      <c r="Q134" s="164" t="str">
        <f aca="false">IF(Salary_Calculation[[#This Row],[Source Row]]="","",MAX(Salary_Calculation[[#This Row],[Salary Before Other Deductions]],0))</f>
        <v/>
      </c>
      <c r="R134" s="164" t="str">
        <f aca="false">IF(Salary_Calculation[[#This Row],[Source Row]]="","",N(INDEX(Rider_Input[missed_days_penalty],Salary_Calculation[[#This Row],[Source Row]])))</f>
        <v/>
      </c>
      <c r="S134" s="164" t="str">
        <f aca="false">IF(Salary_Calculation[[#This Row],[Source Row]]="","",N(INDEX(Rider_Input[Rider Balance / محفظة المندوب],Salary_Calculation[[#This Row],[Source Row]])))</f>
        <v/>
      </c>
      <c r="T134" s="164" t="str">
        <f aca="false">IF(Salary_Calculation[[#This Row],[Source Row]]="","",N(INDEX(Rider_Input[stacking_deduction / خصم الطلبات المتعددة],Salary_Calculation[[#This Row],[Source Row]])))</f>
        <v/>
      </c>
      <c r="U134" s="164" t="str">
        <f aca="false">IF(Salary_Calculation[[#This Row],[Source Row]]="","",N(INDEX(Rider_Input[Other Deductions],Salary_Calculation[[#This Row],[Source Row]])))</f>
        <v/>
      </c>
      <c r="V134" s="164" t="str">
        <f aca="false">IF(Salary_Calculation[[#This Row],[Source Row]]="","",N(Salary_Calculation[[#This Row],[missed_days_penalty]])+N(Salary_Calculation[[#This Row],[Rider Balance]])+N(Salary_Calculation[[#This Row],[stacking_deduction]])+N(Salary_Calculation[[#This Row],[Other Deductions]]))</f>
        <v/>
      </c>
      <c r="W134" s="167" t="str">
        <f aca="false">IF(Salary_Calculation[[#This Row],[Source Row]]="","",ROUND(MAX(Salary_Calculation[[#This Row],[Gross Salary Before Deductions]]-Salary_Calculation[[#This Row],[Total Deductions]],0),2))</f>
        <v/>
      </c>
      <c r="X134" s="164" t="str">
        <f aca="false">IF(Salary_Calculation[[#This Row],[Source Row]]="","",ROUND(MAX(Salary_Calculation[[#This Row],[Missing-Order Deduction]]-Salary_Calculation[[#This Row],[Earned Salary]],0),2))</f>
        <v/>
      </c>
      <c r="Y13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34" s="163" t="str">
        <f aca="false">IF(Salary_Calculation[[#This Row],[Source Row]]="","",IF(INDEX(Rider_Input[Notes],Salary_Calculation[[#This Row],[Source Row]])="","",INDEX(Rider_Input[Notes],Salary_Calculation[[#This Row],[Source Row]])))</f>
        <v/>
      </c>
      <c r="AA134" s="164" t="str">
        <f aca="false">IF(Salary_Calculation[[#This Row],[Source Row]]="","",Salary_Calculation[[#This Row],[Earned Salary]]-Salary_Calculation[[#This Row],[Missing-Order Deduction]]+Salary_Calculation[[#This Row],[Extra-Order Bonus]])</f>
        <v/>
      </c>
      <c r="AB134" s="164" t="str">
        <f aca="false">IF(Salary_Calculation[[#This Row],[Source Row]]="","",ROUND(Salary_Calculation[[#This Row],[Negative Balance / Amount Due from Rider]]+MAX(Salary_Calculation[[#This Row],[Total Deductions]]-Salary_Calculation[[#This Row],[Gross Salary Before Deductions]],0),2))</f>
        <v/>
      </c>
      <c r="AC13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34" s="164" t="str">
        <f aca="false">IF(Salary_Calculation[[#This Row],[Source Row]]="","",Salary_Calculation[[#This Row],[Rider Target Orders]]*Salary_Calculation[[#This Row],[Base Order Rate]])</f>
        <v/>
      </c>
      <c r="AE134" s="162" t="str">
        <f aca="false">IF(SUMPRODUCT(--(LEN(INDEX(Rider_Input[#Data],ROW()-ROW(Salary_Calculation[#Headers]),0))&gt;0))=0,"",ROW()-ROW(Salary_Calculation[#Headers]))</f>
        <v/>
      </c>
    </row>
    <row r="135" customFormat="false" ht="14.25" hidden="false" customHeight="false" outlineLevel="0" collapsed="false">
      <c r="A135" s="161" t="str">
        <f aca="false">IF(Salary_Calculation[[#This Row],[Source Row]]="","",IF(INDEX(Rider_Input[Salary Month],Salary_Calculation[[#This Row],[Source Row]])="","",INDEX(Rider_Input[Salary Month],Salary_Calculation[[#This Row],[Source Row]])))</f>
        <v/>
      </c>
      <c r="B135" s="162" t="str">
        <f aca="false">IF(Salary_Calculation[[#This Row],[Source Row]]="","",IF(INDEX(Rider_Input[Rider ID],Salary_Calculation[[#This Row],[Source Row]])="","",INDEX(Rider_Input[Rider ID],Salary_Calculation[[#This Row],[Source Row]])))</f>
        <v/>
      </c>
      <c r="C135" s="163" t="str">
        <f aca="false">IF(Salary_Calculation[[#This Row],[Source Row]]="","",IF(INDEX(Rider_Input[Rider Name],Salary_Calculation[[#This Row],[Source Row]])="","",INDEX(Rider_Input[Rider Name],Salary_Calculation[[#This Row],[Source Row]])))</f>
        <v/>
      </c>
      <c r="D135" s="164" t="str">
        <f aca="false">IF(Salary_Calculation[[#This Row],[Source Row]]="","",IF(INDEX(Rider_Input[Basic Payment],Salary_Calculation[[#This Row],[Source Row]])="","",INDEX(Rider_Input[Basic Payment],Salary_Calculation[[#This Row],[Source Row]])))</f>
        <v/>
      </c>
      <c r="E135" s="162" t="str">
        <f aca="false">IF(Salary_Calculation[[#This Row],[Source Row]]="","",IF(INDEX(Rider_Input[Calendar Days in Month],Salary_Calculation[[#This Row],[Source Row]])="","",INDEX(Rider_Input[Calendar Days in Month],Salary_Calculation[[#This Row],[Source Row]])))</f>
        <v/>
      </c>
      <c r="F135" s="162" t="str">
        <f aca="false">IF(Salary_Calculation[[#This Row],[Source Row]]="","",IF(INDEX(Rider_Input[Working Days],Salary_Calculation[[#This Row],[Source Row]])="","",INDEX(Rider_Input[Working Days],Salary_Calculation[[#This Row],[Source Row]])))</f>
        <v/>
      </c>
      <c r="G135" s="165" t="str">
        <f aca="false">IF(Salary_Calculation[[#This Row],[Source Row]]="","",Std_Orders/Std_Days*N(Salary_Calculation[[#This Row],[Calendar Days]]))</f>
        <v/>
      </c>
      <c r="H135" s="165" t="str">
        <f aca="false">IF(Salary_Calculation[[#This Row],[Source Row]]="","",IF(N(Salary_Calculation[[#This Row],[Calendar Days]])&gt;0,Salary_Calculation[[#This Row],[Monthly Target Orders]]/N(Salary_Calculation[[#This Row],[Calendar Days]])*N(Salary_Calculation[[#This Row],[Working Days]]),0))</f>
        <v/>
      </c>
      <c r="I135" s="166" t="str">
        <f aca="false">IF(Salary_Calculation[[#This Row],[Source Row]]="","",IF(INDEX(Rider_Input[Completed Orders],Salary_Calculation[[#This Row],[Source Row]])="","",INDEX(Rider_Input[Completed Orders],Salary_Calculation[[#This Row],[Source Row]])))</f>
        <v/>
      </c>
      <c r="J135" s="165" t="str">
        <f aca="false">IF(Salary_Calculation[[#This Row],[Source Row]]="","",IF(Rate_Method="Fixed rate",Fixed_Rate,IF(N(Salary_Calculation[[#This Row],[Basic Payment]])&gt;0,N(Salary_Calculation[[#This Row],[Basic Payment]])/Std_Orders,0)))</f>
        <v/>
      </c>
      <c r="K135" s="165" t="str">
        <f aca="false">IF(Salary_Calculation[[#This Row],[Source Row]]="","",MAX(MIN(N(Salary_Calculation[[#This Row],[Completed Orders]]),Salary_Calculation[[#This Row],[Rider Target Orders]]),0))</f>
        <v/>
      </c>
      <c r="L135" s="164" t="str">
        <f aca="false">IF(Salary_Calculation[[#This Row],[Source Row]]="","",Salary_Calculation[[#This Row],[Orders Counted at Base Rate]]*Salary_Calculation[[#This Row],[Base Order Rate]])</f>
        <v/>
      </c>
      <c r="M135" s="165" t="str">
        <f aca="false">IF(Salary_Calculation[[#This Row],[Source Row]]="","",MAX(Salary_Calculation[[#This Row],[Rider Target Orders]]-N(Salary_Calculation[[#This Row],[Completed Orders]]),0))</f>
        <v/>
      </c>
      <c r="N135" s="164" t="str">
        <f aca="false">IF(Salary_Calculation[[#This Row],[Source Row]]="","",Salary_Calculation[[#This Row],[Missing Orders]]*Missing_Rate)</f>
        <v/>
      </c>
      <c r="O135" s="165" t="str">
        <f aca="false">IF(Salary_Calculation[[#This Row],[Source Row]]="","",MAX(N(Salary_Calculation[[#This Row],[Completed Orders]])-Salary_Calculation[[#This Row],[Rider Target Orders]],0))</f>
        <v/>
      </c>
      <c r="P135" s="164" t="str">
        <f aca="false">IF(Salary_Calculation[[#This Row],[Source Row]]="","",Salary_Calculation[[#This Row],[Extra Orders]]*Extra_Rate)</f>
        <v/>
      </c>
      <c r="Q135" s="164" t="str">
        <f aca="false">IF(Salary_Calculation[[#This Row],[Source Row]]="","",MAX(Salary_Calculation[[#This Row],[Salary Before Other Deductions]],0))</f>
        <v/>
      </c>
      <c r="R135" s="164" t="str">
        <f aca="false">IF(Salary_Calculation[[#This Row],[Source Row]]="","",N(INDEX(Rider_Input[missed_days_penalty],Salary_Calculation[[#This Row],[Source Row]])))</f>
        <v/>
      </c>
      <c r="S135" s="164" t="str">
        <f aca="false">IF(Salary_Calculation[[#This Row],[Source Row]]="","",N(INDEX(Rider_Input[Rider Balance / محفظة المندوب],Salary_Calculation[[#This Row],[Source Row]])))</f>
        <v/>
      </c>
      <c r="T135" s="164" t="str">
        <f aca="false">IF(Salary_Calculation[[#This Row],[Source Row]]="","",N(INDEX(Rider_Input[stacking_deduction / خصم الطلبات المتعددة],Salary_Calculation[[#This Row],[Source Row]])))</f>
        <v/>
      </c>
      <c r="U135" s="164" t="str">
        <f aca="false">IF(Salary_Calculation[[#This Row],[Source Row]]="","",N(INDEX(Rider_Input[Other Deductions],Salary_Calculation[[#This Row],[Source Row]])))</f>
        <v/>
      </c>
      <c r="V135" s="164" t="str">
        <f aca="false">IF(Salary_Calculation[[#This Row],[Source Row]]="","",N(Salary_Calculation[[#This Row],[missed_days_penalty]])+N(Salary_Calculation[[#This Row],[Rider Balance]])+N(Salary_Calculation[[#This Row],[stacking_deduction]])+N(Salary_Calculation[[#This Row],[Other Deductions]]))</f>
        <v/>
      </c>
      <c r="W135" s="167" t="str">
        <f aca="false">IF(Salary_Calculation[[#This Row],[Source Row]]="","",ROUND(MAX(Salary_Calculation[[#This Row],[Gross Salary Before Deductions]]-Salary_Calculation[[#This Row],[Total Deductions]],0),2))</f>
        <v/>
      </c>
      <c r="X135" s="164" t="str">
        <f aca="false">IF(Salary_Calculation[[#This Row],[Source Row]]="","",ROUND(MAX(Salary_Calculation[[#This Row],[Missing-Order Deduction]]-Salary_Calculation[[#This Row],[Earned Salary]],0),2))</f>
        <v/>
      </c>
      <c r="Y13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35" s="163" t="str">
        <f aca="false">IF(Salary_Calculation[[#This Row],[Source Row]]="","",IF(INDEX(Rider_Input[Notes],Salary_Calculation[[#This Row],[Source Row]])="","",INDEX(Rider_Input[Notes],Salary_Calculation[[#This Row],[Source Row]])))</f>
        <v/>
      </c>
      <c r="AA135" s="164" t="str">
        <f aca="false">IF(Salary_Calculation[[#This Row],[Source Row]]="","",Salary_Calculation[[#This Row],[Earned Salary]]-Salary_Calculation[[#This Row],[Missing-Order Deduction]]+Salary_Calculation[[#This Row],[Extra-Order Bonus]])</f>
        <v/>
      </c>
      <c r="AB135" s="164" t="str">
        <f aca="false">IF(Salary_Calculation[[#This Row],[Source Row]]="","",ROUND(Salary_Calculation[[#This Row],[Negative Balance / Amount Due from Rider]]+MAX(Salary_Calculation[[#This Row],[Total Deductions]]-Salary_Calculation[[#This Row],[Gross Salary Before Deductions]],0),2))</f>
        <v/>
      </c>
      <c r="AC13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35" s="164" t="str">
        <f aca="false">IF(Salary_Calculation[[#This Row],[Source Row]]="","",Salary_Calculation[[#This Row],[Rider Target Orders]]*Salary_Calculation[[#This Row],[Base Order Rate]])</f>
        <v/>
      </c>
      <c r="AE135" s="162" t="str">
        <f aca="false">IF(SUMPRODUCT(--(LEN(INDEX(Rider_Input[#Data],ROW()-ROW(Salary_Calculation[#Headers]),0))&gt;0))=0,"",ROW()-ROW(Salary_Calculation[#Headers]))</f>
        <v/>
      </c>
    </row>
    <row r="136" customFormat="false" ht="14.25" hidden="false" customHeight="false" outlineLevel="0" collapsed="false">
      <c r="A136" s="161" t="str">
        <f aca="false">IF(Salary_Calculation[[#This Row],[Source Row]]="","",IF(INDEX(Rider_Input[Salary Month],Salary_Calculation[[#This Row],[Source Row]])="","",INDEX(Rider_Input[Salary Month],Salary_Calculation[[#This Row],[Source Row]])))</f>
        <v/>
      </c>
      <c r="B136" s="162" t="str">
        <f aca="false">IF(Salary_Calculation[[#This Row],[Source Row]]="","",IF(INDEX(Rider_Input[Rider ID],Salary_Calculation[[#This Row],[Source Row]])="","",INDEX(Rider_Input[Rider ID],Salary_Calculation[[#This Row],[Source Row]])))</f>
        <v/>
      </c>
      <c r="C136" s="163" t="str">
        <f aca="false">IF(Salary_Calculation[[#This Row],[Source Row]]="","",IF(INDEX(Rider_Input[Rider Name],Salary_Calculation[[#This Row],[Source Row]])="","",INDEX(Rider_Input[Rider Name],Salary_Calculation[[#This Row],[Source Row]])))</f>
        <v/>
      </c>
      <c r="D136" s="164" t="str">
        <f aca="false">IF(Salary_Calculation[[#This Row],[Source Row]]="","",IF(INDEX(Rider_Input[Basic Payment],Salary_Calculation[[#This Row],[Source Row]])="","",INDEX(Rider_Input[Basic Payment],Salary_Calculation[[#This Row],[Source Row]])))</f>
        <v/>
      </c>
      <c r="E136" s="162" t="str">
        <f aca="false">IF(Salary_Calculation[[#This Row],[Source Row]]="","",IF(INDEX(Rider_Input[Calendar Days in Month],Salary_Calculation[[#This Row],[Source Row]])="","",INDEX(Rider_Input[Calendar Days in Month],Salary_Calculation[[#This Row],[Source Row]])))</f>
        <v/>
      </c>
      <c r="F136" s="162" t="str">
        <f aca="false">IF(Salary_Calculation[[#This Row],[Source Row]]="","",IF(INDEX(Rider_Input[Working Days],Salary_Calculation[[#This Row],[Source Row]])="","",INDEX(Rider_Input[Working Days],Salary_Calculation[[#This Row],[Source Row]])))</f>
        <v/>
      </c>
      <c r="G136" s="165" t="str">
        <f aca="false">IF(Salary_Calculation[[#This Row],[Source Row]]="","",Std_Orders/Std_Days*N(Salary_Calculation[[#This Row],[Calendar Days]]))</f>
        <v/>
      </c>
      <c r="H136" s="165" t="str">
        <f aca="false">IF(Salary_Calculation[[#This Row],[Source Row]]="","",IF(N(Salary_Calculation[[#This Row],[Calendar Days]])&gt;0,Salary_Calculation[[#This Row],[Monthly Target Orders]]/N(Salary_Calculation[[#This Row],[Calendar Days]])*N(Salary_Calculation[[#This Row],[Working Days]]),0))</f>
        <v/>
      </c>
      <c r="I136" s="166" t="str">
        <f aca="false">IF(Salary_Calculation[[#This Row],[Source Row]]="","",IF(INDEX(Rider_Input[Completed Orders],Salary_Calculation[[#This Row],[Source Row]])="","",INDEX(Rider_Input[Completed Orders],Salary_Calculation[[#This Row],[Source Row]])))</f>
        <v/>
      </c>
      <c r="J136" s="165" t="str">
        <f aca="false">IF(Salary_Calculation[[#This Row],[Source Row]]="","",IF(Rate_Method="Fixed rate",Fixed_Rate,IF(N(Salary_Calculation[[#This Row],[Basic Payment]])&gt;0,N(Salary_Calculation[[#This Row],[Basic Payment]])/Std_Orders,0)))</f>
        <v/>
      </c>
      <c r="K136" s="165" t="str">
        <f aca="false">IF(Salary_Calculation[[#This Row],[Source Row]]="","",MAX(MIN(N(Salary_Calculation[[#This Row],[Completed Orders]]),Salary_Calculation[[#This Row],[Rider Target Orders]]),0))</f>
        <v/>
      </c>
      <c r="L136" s="164" t="str">
        <f aca="false">IF(Salary_Calculation[[#This Row],[Source Row]]="","",Salary_Calculation[[#This Row],[Orders Counted at Base Rate]]*Salary_Calculation[[#This Row],[Base Order Rate]])</f>
        <v/>
      </c>
      <c r="M136" s="165" t="str">
        <f aca="false">IF(Salary_Calculation[[#This Row],[Source Row]]="","",MAX(Salary_Calculation[[#This Row],[Rider Target Orders]]-N(Salary_Calculation[[#This Row],[Completed Orders]]),0))</f>
        <v/>
      </c>
      <c r="N136" s="164" t="str">
        <f aca="false">IF(Salary_Calculation[[#This Row],[Source Row]]="","",Salary_Calculation[[#This Row],[Missing Orders]]*Missing_Rate)</f>
        <v/>
      </c>
      <c r="O136" s="165" t="str">
        <f aca="false">IF(Salary_Calculation[[#This Row],[Source Row]]="","",MAX(N(Salary_Calculation[[#This Row],[Completed Orders]])-Salary_Calculation[[#This Row],[Rider Target Orders]],0))</f>
        <v/>
      </c>
      <c r="P136" s="164" t="str">
        <f aca="false">IF(Salary_Calculation[[#This Row],[Source Row]]="","",Salary_Calculation[[#This Row],[Extra Orders]]*Extra_Rate)</f>
        <v/>
      </c>
      <c r="Q136" s="164" t="str">
        <f aca="false">IF(Salary_Calculation[[#This Row],[Source Row]]="","",MAX(Salary_Calculation[[#This Row],[Salary Before Other Deductions]],0))</f>
        <v/>
      </c>
      <c r="R136" s="164" t="str">
        <f aca="false">IF(Salary_Calculation[[#This Row],[Source Row]]="","",N(INDEX(Rider_Input[missed_days_penalty],Salary_Calculation[[#This Row],[Source Row]])))</f>
        <v/>
      </c>
      <c r="S136" s="164" t="str">
        <f aca="false">IF(Salary_Calculation[[#This Row],[Source Row]]="","",N(INDEX(Rider_Input[Rider Balance / محفظة المندوب],Salary_Calculation[[#This Row],[Source Row]])))</f>
        <v/>
      </c>
      <c r="T136" s="164" t="str">
        <f aca="false">IF(Salary_Calculation[[#This Row],[Source Row]]="","",N(INDEX(Rider_Input[stacking_deduction / خصم الطلبات المتعددة],Salary_Calculation[[#This Row],[Source Row]])))</f>
        <v/>
      </c>
      <c r="U136" s="164" t="str">
        <f aca="false">IF(Salary_Calculation[[#This Row],[Source Row]]="","",N(INDEX(Rider_Input[Other Deductions],Salary_Calculation[[#This Row],[Source Row]])))</f>
        <v/>
      </c>
      <c r="V136" s="164" t="str">
        <f aca="false">IF(Salary_Calculation[[#This Row],[Source Row]]="","",N(Salary_Calculation[[#This Row],[missed_days_penalty]])+N(Salary_Calculation[[#This Row],[Rider Balance]])+N(Salary_Calculation[[#This Row],[stacking_deduction]])+N(Salary_Calculation[[#This Row],[Other Deductions]]))</f>
        <v/>
      </c>
      <c r="W136" s="167" t="str">
        <f aca="false">IF(Salary_Calculation[[#This Row],[Source Row]]="","",ROUND(MAX(Salary_Calculation[[#This Row],[Gross Salary Before Deductions]]-Salary_Calculation[[#This Row],[Total Deductions]],0),2))</f>
        <v/>
      </c>
      <c r="X136" s="164" t="str">
        <f aca="false">IF(Salary_Calculation[[#This Row],[Source Row]]="","",ROUND(MAX(Salary_Calculation[[#This Row],[Missing-Order Deduction]]-Salary_Calculation[[#This Row],[Earned Salary]],0),2))</f>
        <v/>
      </c>
      <c r="Y13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36" s="163" t="str">
        <f aca="false">IF(Salary_Calculation[[#This Row],[Source Row]]="","",IF(INDEX(Rider_Input[Notes],Salary_Calculation[[#This Row],[Source Row]])="","",INDEX(Rider_Input[Notes],Salary_Calculation[[#This Row],[Source Row]])))</f>
        <v/>
      </c>
      <c r="AA136" s="164" t="str">
        <f aca="false">IF(Salary_Calculation[[#This Row],[Source Row]]="","",Salary_Calculation[[#This Row],[Earned Salary]]-Salary_Calculation[[#This Row],[Missing-Order Deduction]]+Salary_Calculation[[#This Row],[Extra-Order Bonus]])</f>
        <v/>
      </c>
      <c r="AB136" s="164" t="str">
        <f aca="false">IF(Salary_Calculation[[#This Row],[Source Row]]="","",ROUND(Salary_Calculation[[#This Row],[Negative Balance / Amount Due from Rider]]+MAX(Salary_Calculation[[#This Row],[Total Deductions]]-Salary_Calculation[[#This Row],[Gross Salary Before Deductions]],0),2))</f>
        <v/>
      </c>
      <c r="AC13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36" s="164" t="str">
        <f aca="false">IF(Salary_Calculation[[#This Row],[Source Row]]="","",Salary_Calculation[[#This Row],[Rider Target Orders]]*Salary_Calculation[[#This Row],[Base Order Rate]])</f>
        <v/>
      </c>
      <c r="AE136" s="162" t="str">
        <f aca="false">IF(SUMPRODUCT(--(LEN(INDEX(Rider_Input[#Data],ROW()-ROW(Salary_Calculation[#Headers]),0))&gt;0))=0,"",ROW()-ROW(Salary_Calculation[#Headers]))</f>
        <v/>
      </c>
    </row>
    <row r="137" customFormat="false" ht="14.25" hidden="false" customHeight="false" outlineLevel="0" collapsed="false">
      <c r="A137" s="161" t="str">
        <f aca="false">IF(Salary_Calculation[[#This Row],[Source Row]]="","",IF(INDEX(Rider_Input[Salary Month],Salary_Calculation[[#This Row],[Source Row]])="","",INDEX(Rider_Input[Salary Month],Salary_Calculation[[#This Row],[Source Row]])))</f>
        <v/>
      </c>
      <c r="B137" s="162" t="str">
        <f aca="false">IF(Salary_Calculation[[#This Row],[Source Row]]="","",IF(INDEX(Rider_Input[Rider ID],Salary_Calculation[[#This Row],[Source Row]])="","",INDEX(Rider_Input[Rider ID],Salary_Calculation[[#This Row],[Source Row]])))</f>
        <v/>
      </c>
      <c r="C137" s="163" t="str">
        <f aca="false">IF(Salary_Calculation[[#This Row],[Source Row]]="","",IF(INDEX(Rider_Input[Rider Name],Salary_Calculation[[#This Row],[Source Row]])="","",INDEX(Rider_Input[Rider Name],Salary_Calculation[[#This Row],[Source Row]])))</f>
        <v/>
      </c>
      <c r="D137" s="164" t="str">
        <f aca="false">IF(Salary_Calculation[[#This Row],[Source Row]]="","",IF(INDEX(Rider_Input[Basic Payment],Salary_Calculation[[#This Row],[Source Row]])="","",INDEX(Rider_Input[Basic Payment],Salary_Calculation[[#This Row],[Source Row]])))</f>
        <v/>
      </c>
      <c r="E137" s="162" t="str">
        <f aca="false">IF(Salary_Calculation[[#This Row],[Source Row]]="","",IF(INDEX(Rider_Input[Calendar Days in Month],Salary_Calculation[[#This Row],[Source Row]])="","",INDEX(Rider_Input[Calendar Days in Month],Salary_Calculation[[#This Row],[Source Row]])))</f>
        <v/>
      </c>
      <c r="F137" s="162" t="str">
        <f aca="false">IF(Salary_Calculation[[#This Row],[Source Row]]="","",IF(INDEX(Rider_Input[Working Days],Salary_Calculation[[#This Row],[Source Row]])="","",INDEX(Rider_Input[Working Days],Salary_Calculation[[#This Row],[Source Row]])))</f>
        <v/>
      </c>
      <c r="G137" s="165" t="str">
        <f aca="false">IF(Salary_Calculation[[#This Row],[Source Row]]="","",Std_Orders/Std_Days*N(Salary_Calculation[[#This Row],[Calendar Days]]))</f>
        <v/>
      </c>
      <c r="H137" s="165" t="str">
        <f aca="false">IF(Salary_Calculation[[#This Row],[Source Row]]="","",IF(N(Salary_Calculation[[#This Row],[Calendar Days]])&gt;0,Salary_Calculation[[#This Row],[Monthly Target Orders]]/N(Salary_Calculation[[#This Row],[Calendar Days]])*N(Salary_Calculation[[#This Row],[Working Days]]),0))</f>
        <v/>
      </c>
      <c r="I137" s="166" t="str">
        <f aca="false">IF(Salary_Calculation[[#This Row],[Source Row]]="","",IF(INDEX(Rider_Input[Completed Orders],Salary_Calculation[[#This Row],[Source Row]])="","",INDEX(Rider_Input[Completed Orders],Salary_Calculation[[#This Row],[Source Row]])))</f>
        <v/>
      </c>
      <c r="J137" s="165" t="str">
        <f aca="false">IF(Salary_Calculation[[#This Row],[Source Row]]="","",IF(Rate_Method="Fixed rate",Fixed_Rate,IF(N(Salary_Calculation[[#This Row],[Basic Payment]])&gt;0,N(Salary_Calculation[[#This Row],[Basic Payment]])/Std_Orders,0)))</f>
        <v/>
      </c>
      <c r="K137" s="165" t="str">
        <f aca="false">IF(Salary_Calculation[[#This Row],[Source Row]]="","",MAX(MIN(N(Salary_Calculation[[#This Row],[Completed Orders]]),Salary_Calculation[[#This Row],[Rider Target Orders]]),0))</f>
        <v/>
      </c>
      <c r="L137" s="164" t="str">
        <f aca="false">IF(Salary_Calculation[[#This Row],[Source Row]]="","",Salary_Calculation[[#This Row],[Orders Counted at Base Rate]]*Salary_Calculation[[#This Row],[Base Order Rate]])</f>
        <v/>
      </c>
      <c r="M137" s="165" t="str">
        <f aca="false">IF(Salary_Calculation[[#This Row],[Source Row]]="","",MAX(Salary_Calculation[[#This Row],[Rider Target Orders]]-N(Salary_Calculation[[#This Row],[Completed Orders]]),0))</f>
        <v/>
      </c>
      <c r="N137" s="164" t="str">
        <f aca="false">IF(Salary_Calculation[[#This Row],[Source Row]]="","",Salary_Calculation[[#This Row],[Missing Orders]]*Missing_Rate)</f>
        <v/>
      </c>
      <c r="O137" s="165" t="str">
        <f aca="false">IF(Salary_Calculation[[#This Row],[Source Row]]="","",MAX(N(Salary_Calculation[[#This Row],[Completed Orders]])-Salary_Calculation[[#This Row],[Rider Target Orders]],0))</f>
        <v/>
      </c>
      <c r="P137" s="164" t="str">
        <f aca="false">IF(Salary_Calculation[[#This Row],[Source Row]]="","",Salary_Calculation[[#This Row],[Extra Orders]]*Extra_Rate)</f>
        <v/>
      </c>
      <c r="Q137" s="164" t="str">
        <f aca="false">IF(Salary_Calculation[[#This Row],[Source Row]]="","",MAX(Salary_Calculation[[#This Row],[Salary Before Other Deductions]],0))</f>
        <v/>
      </c>
      <c r="R137" s="164" t="str">
        <f aca="false">IF(Salary_Calculation[[#This Row],[Source Row]]="","",N(INDEX(Rider_Input[missed_days_penalty],Salary_Calculation[[#This Row],[Source Row]])))</f>
        <v/>
      </c>
      <c r="S137" s="164" t="str">
        <f aca="false">IF(Salary_Calculation[[#This Row],[Source Row]]="","",N(INDEX(Rider_Input[Rider Balance / محفظة المندوب],Salary_Calculation[[#This Row],[Source Row]])))</f>
        <v/>
      </c>
      <c r="T137" s="164" t="str">
        <f aca="false">IF(Salary_Calculation[[#This Row],[Source Row]]="","",N(INDEX(Rider_Input[stacking_deduction / خصم الطلبات المتعددة],Salary_Calculation[[#This Row],[Source Row]])))</f>
        <v/>
      </c>
      <c r="U137" s="164" t="str">
        <f aca="false">IF(Salary_Calculation[[#This Row],[Source Row]]="","",N(INDEX(Rider_Input[Other Deductions],Salary_Calculation[[#This Row],[Source Row]])))</f>
        <v/>
      </c>
      <c r="V137" s="164" t="str">
        <f aca="false">IF(Salary_Calculation[[#This Row],[Source Row]]="","",N(Salary_Calculation[[#This Row],[missed_days_penalty]])+N(Salary_Calculation[[#This Row],[Rider Balance]])+N(Salary_Calculation[[#This Row],[stacking_deduction]])+N(Salary_Calculation[[#This Row],[Other Deductions]]))</f>
        <v/>
      </c>
      <c r="W137" s="167" t="str">
        <f aca="false">IF(Salary_Calculation[[#This Row],[Source Row]]="","",ROUND(MAX(Salary_Calculation[[#This Row],[Gross Salary Before Deductions]]-Salary_Calculation[[#This Row],[Total Deductions]],0),2))</f>
        <v/>
      </c>
      <c r="X137" s="164" t="str">
        <f aca="false">IF(Salary_Calculation[[#This Row],[Source Row]]="","",ROUND(MAX(Salary_Calculation[[#This Row],[Missing-Order Deduction]]-Salary_Calculation[[#This Row],[Earned Salary]],0),2))</f>
        <v/>
      </c>
      <c r="Y13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37" s="163" t="str">
        <f aca="false">IF(Salary_Calculation[[#This Row],[Source Row]]="","",IF(INDEX(Rider_Input[Notes],Salary_Calculation[[#This Row],[Source Row]])="","",INDEX(Rider_Input[Notes],Salary_Calculation[[#This Row],[Source Row]])))</f>
        <v/>
      </c>
      <c r="AA137" s="164" t="str">
        <f aca="false">IF(Salary_Calculation[[#This Row],[Source Row]]="","",Salary_Calculation[[#This Row],[Earned Salary]]-Salary_Calculation[[#This Row],[Missing-Order Deduction]]+Salary_Calculation[[#This Row],[Extra-Order Bonus]])</f>
        <v/>
      </c>
      <c r="AB137" s="164" t="str">
        <f aca="false">IF(Salary_Calculation[[#This Row],[Source Row]]="","",ROUND(Salary_Calculation[[#This Row],[Negative Balance / Amount Due from Rider]]+MAX(Salary_Calculation[[#This Row],[Total Deductions]]-Salary_Calculation[[#This Row],[Gross Salary Before Deductions]],0),2))</f>
        <v/>
      </c>
      <c r="AC13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37" s="164" t="str">
        <f aca="false">IF(Salary_Calculation[[#This Row],[Source Row]]="","",Salary_Calculation[[#This Row],[Rider Target Orders]]*Salary_Calculation[[#This Row],[Base Order Rate]])</f>
        <v/>
      </c>
      <c r="AE137" s="162" t="str">
        <f aca="false">IF(SUMPRODUCT(--(LEN(INDEX(Rider_Input[#Data],ROW()-ROW(Salary_Calculation[#Headers]),0))&gt;0))=0,"",ROW()-ROW(Salary_Calculation[#Headers]))</f>
        <v/>
      </c>
    </row>
    <row r="138" customFormat="false" ht="14.25" hidden="false" customHeight="false" outlineLevel="0" collapsed="false">
      <c r="A138" s="161" t="str">
        <f aca="false">IF(Salary_Calculation[[#This Row],[Source Row]]="","",IF(INDEX(Rider_Input[Salary Month],Salary_Calculation[[#This Row],[Source Row]])="","",INDEX(Rider_Input[Salary Month],Salary_Calculation[[#This Row],[Source Row]])))</f>
        <v/>
      </c>
      <c r="B138" s="162" t="str">
        <f aca="false">IF(Salary_Calculation[[#This Row],[Source Row]]="","",IF(INDEX(Rider_Input[Rider ID],Salary_Calculation[[#This Row],[Source Row]])="","",INDEX(Rider_Input[Rider ID],Salary_Calculation[[#This Row],[Source Row]])))</f>
        <v/>
      </c>
      <c r="C138" s="163" t="str">
        <f aca="false">IF(Salary_Calculation[[#This Row],[Source Row]]="","",IF(INDEX(Rider_Input[Rider Name],Salary_Calculation[[#This Row],[Source Row]])="","",INDEX(Rider_Input[Rider Name],Salary_Calculation[[#This Row],[Source Row]])))</f>
        <v/>
      </c>
      <c r="D138" s="164" t="str">
        <f aca="false">IF(Salary_Calculation[[#This Row],[Source Row]]="","",IF(INDEX(Rider_Input[Basic Payment],Salary_Calculation[[#This Row],[Source Row]])="","",INDEX(Rider_Input[Basic Payment],Salary_Calculation[[#This Row],[Source Row]])))</f>
        <v/>
      </c>
      <c r="E138" s="162" t="str">
        <f aca="false">IF(Salary_Calculation[[#This Row],[Source Row]]="","",IF(INDEX(Rider_Input[Calendar Days in Month],Salary_Calculation[[#This Row],[Source Row]])="","",INDEX(Rider_Input[Calendar Days in Month],Salary_Calculation[[#This Row],[Source Row]])))</f>
        <v/>
      </c>
      <c r="F138" s="162" t="str">
        <f aca="false">IF(Salary_Calculation[[#This Row],[Source Row]]="","",IF(INDEX(Rider_Input[Working Days],Salary_Calculation[[#This Row],[Source Row]])="","",INDEX(Rider_Input[Working Days],Salary_Calculation[[#This Row],[Source Row]])))</f>
        <v/>
      </c>
      <c r="G138" s="165" t="str">
        <f aca="false">IF(Salary_Calculation[[#This Row],[Source Row]]="","",Std_Orders/Std_Days*N(Salary_Calculation[[#This Row],[Calendar Days]]))</f>
        <v/>
      </c>
      <c r="H138" s="165" t="str">
        <f aca="false">IF(Salary_Calculation[[#This Row],[Source Row]]="","",IF(N(Salary_Calculation[[#This Row],[Calendar Days]])&gt;0,Salary_Calculation[[#This Row],[Monthly Target Orders]]/N(Salary_Calculation[[#This Row],[Calendar Days]])*N(Salary_Calculation[[#This Row],[Working Days]]),0))</f>
        <v/>
      </c>
      <c r="I138" s="166" t="str">
        <f aca="false">IF(Salary_Calculation[[#This Row],[Source Row]]="","",IF(INDEX(Rider_Input[Completed Orders],Salary_Calculation[[#This Row],[Source Row]])="","",INDEX(Rider_Input[Completed Orders],Salary_Calculation[[#This Row],[Source Row]])))</f>
        <v/>
      </c>
      <c r="J138" s="165" t="str">
        <f aca="false">IF(Salary_Calculation[[#This Row],[Source Row]]="","",IF(Rate_Method="Fixed rate",Fixed_Rate,IF(N(Salary_Calculation[[#This Row],[Basic Payment]])&gt;0,N(Salary_Calculation[[#This Row],[Basic Payment]])/Std_Orders,0)))</f>
        <v/>
      </c>
      <c r="K138" s="165" t="str">
        <f aca="false">IF(Salary_Calculation[[#This Row],[Source Row]]="","",MAX(MIN(N(Salary_Calculation[[#This Row],[Completed Orders]]),Salary_Calculation[[#This Row],[Rider Target Orders]]),0))</f>
        <v/>
      </c>
      <c r="L138" s="164" t="str">
        <f aca="false">IF(Salary_Calculation[[#This Row],[Source Row]]="","",Salary_Calculation[[#This Row],[Orders Counted at Base Rate]]*Salary_Calculation[[#This Row],[Base Order Rate]])</f>
        <v/>
      </c>
      <c r="M138" s="165" t="str">
        <f aca="false">IF(Salary_Calculation[[#This Row],[Source Row]]="","",MAX(Salary_Calculation[[#This Row],[Rider Target Orders]]-N(Salary_Calculation[[#This Row],[Completed Orders]]),0))</f>
        <v/>
      </c>
      <c r="N138" s="164" t="str">
        <f aca="false">IF(Salary_Calculation[[#This Row],[Source Row]]="","",Salary_Calculation[[#This Row],[Missing Orders]]*Missing_Rate)</f>
        <v/>
      </c>
      <c r="O138" s="165" t="str">
        <f aca="false">IF(Salary_Calculation[[#This Row],[Source Row]]="","",MAX(N(Salary_Calculation[[#This Row],[Completed Orders]])-Salary_Calculation[[#This Row],[Rider Target Orders]],0))</f>
        <v/>
      </c>
      <c r="P138" s="164" t="str">
        <f aca="false">IF(Salary_Calculation[[#This Row],[Source Row]]="","",Salary_Calculation[[#This Row],[Extra Orders]]*Extra_Rate)</f>
        <v/>
      </c>
      <c r="Q138" s="164" t="str">
        <f aca="false">IF(Salary_Calculation[[#This Row],[Source Row]]="","",MAX(Salary_Calculation[[#This Row],[Salary Before Other Deductions]],0))</f>
        <v/>
      </c>
      <c r="R138" s="164" t="str">
        <f aca="false">IF(Salary_Calculation[[#This Row],[Source Row]]="","",N(INDEX(Rider_Input[missed_days_penalty],Salary_Calculation[[#This Row],[Source Row]])))</f>
        <v/>
      </c>
      <c r="S138" s="164" t="str">
        <f aca="false">IF(Salary_Calculation[[#This Row],[Source Row]]="","",N(INDEX(Rider_Input[Rider Balance / محفظة المندوب],Salary_Calculation[[#This Row],[Source Row]])))</f>
        <v/>
      </c>
      <c r="T138" s="164" t="str">
        <f aca="false">IF(Salary_Calculation[[#This Row],[Source Row]]="","",N(INDEX(Rider_Input[stacking_deduction / خصم الطلبات المتعددة],Salary_Calculation[[#This Row],[Source Row]])))</f>
        <v/>
      </c>
      <c r="U138" s="164" t="str">
        <f aca="false">IF(Salary_Calculation[[#This Row],[Source Row]]="","",N(INDEX(Rider_Input[Other Deductions],Salary_Calculation[[#This Row],[Source Row]])))</f>
        <v/>
      </c>
      <c r="V138" s="164" t="str">
        <f aca="false">IF(Salary_Calculation[[#This Row],[Source Row]]="","",N(Salary_Calculation[[#This Row],[missed_days_penalty]])+N(Salary_Calculation[[#This Row],[Rider Balance]])+N(Salary_Calculation[[#This Row],[stacking_deduction]])+N(Salary_Calculation[[#This Row],[Other Deductions]]))</f>
        <v/>
      </c>
      <c r="W138" s="167" t="str">
        <f aca="false">IF(Salary_Calculation[[#This Row],[Source Row]]="","",ROUND(MAX(Salary_Calculation[[#This Row],[Gross Salary Before Deductions]]-Salary_Calculation[[#This Row],[Total Deductions]],0),2))</f>
        <v/>
      </c>
      <c r="X138" s="164" t="str">
        <f aca="false">IF(Salary_Calculation[[#This Row],[Source Row]]="","",ROUND(MAX(Salary_Calculation[[#This Row],[Missing-Order Deduction]]-Salary_Calculation[[#This Row],[Earned Salary]],0),2))</f>
        <v/>
      </c>
      <c r="Y13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38" s="163" t="str">
        <f aca="false">IF(Salary_Calculation[[#This Row],[Source Row]]="","",IF(INDEX(Rider_Input[Notes],Salary_Calculation[[#This Row],[Source Row]])="","",INDEX(Rider_Input[Notes],Salary_Calculation[[#This Row],[Source Row]])))</f>
        <v/>
      </c>
      <c r="AA138" s="164" t="str">
        <f aca="false">IF(Salary_Calculation[[#This Row],[Source Row]]="","",Salary_Calculation[[#This Row],[Earned Salary]]-Salary_Calculation[[#This Row],[Missing-Order Deduction]]+Salary_Calculation[[#This Row],[Extra-Order Bonus]])</f>
        <v/>
      </c>
      <c r="AB138" s="164" t="str">
        <f aca="false">IF(Salary_Calculation[[#This Row],[Source Row]]="","",ROUND(Salary_Calculation[[#This Row],[Negative Balance / Amount Due from Rider]]+MAX(Salary_Calculation[[#This Row],[Total Deductions]]-Salary_Calculation[[#This Row],[Gross Salary Before Deductions]],0),2))</f>
        <v/>
      </c>
      <c r="AC13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38" s="164" t="str">
        <f aca="false">IF(Salary_Calculation[[#This Row],[Source Row]]="","",Salary_Calculation[[#This Row],[Rider Target Orders]]*Salary_Calculation[[#This Row],[Base Order Rate]])</f>
        <v/>
      </c>
      <c r="AE138" s="162" t="str">
        <f aca="false">IF(SUMPRODUCT(--(LEN(INDEX(Rider_Input[#Data],ROW()-ROW(Salary_Calculation[#Headers]),0))&gt;0))=0,"",ROW()-ROW(Salary_Calculation[#Headers]))</f>
        <v/>
      </c>
    </row>
    <row r="139" customFormat="false" ht="14.25" hidden="false" customHeight="false" outlineLevel="0" collapsed="false">
      <c r="A139" s="161" t="str">
        <f aca="false">IF(Salary_Calculation[[#This Row],[Source Row]]="","",IF(INDEX(Rider_Input[Salary Month],Salary_Calculation[[#This Row],[Source Row]])="","",INDEX(Rider_Input[Salary Month],Salary_Calculation[[#This Row],[Source Row]])))</f>
        <v/>
      </c>
      <c r="B139" s="162" t="str">
        <f aca="false">IF(Salary_Calculation[[#This Row],[Source Row]]="","",IF(INDEX(Rider_Input[Rider ID],Salary_Calculation[[#This Row],[Source Row]])="","",INDEX(Rider_Input[Rider ID],Salary_Calculation[[#This Row],[Source Row]])))</f>
        <v/>
      </c>
      <c r="C139" s="163" t="str">
        <f aca="false">IF(Salary_Calculation[[#This Row],[Source Row]]="","",IF(INDEX(Rider_Input[Rider Name],Salary_Calculation[[#This Row],[Source Row]])="","",INDEX(Rider_Input[Rider Name],Salary_Calculation[[#This Row],[Source Row]])))</f>
        <v/>
      </c>
      <c r="D139" s="164" t="str">
        <f aca="false">IF(Salary_Calculation[[#This Row],[Source Row]]="","",IF(INDEX(Rider_Input[Basic Payment],Salary_Calculation[[#This Row],[Source Row]])="","",INDEX(Rider_Input[Basic Payment],Salary_Calculation[[#This Row],[Source Row]])))</f>
        <v/>
      </c>
      <c r="E139" s="162" t="str">
        <f aca="false">IF(Salary_Calculation[[#This Row],[Source Row]]="","",IF(INDEX(Rider_Input[Calendar Days in Month],Salary_Calculation[[#This Row],[Source Row]])="","",INDEX(Rider_Input[Calendar Days in Month],Salary_Calculation[[#This Row],[Source Row]])))</f>
        <v/>
      </c>
      <c r="F139" s="162" t="str">
        <f aca="false">IF(Salary_Calculation[[#This Row],[Source Row]]="","",IF(INDEX(Rider_Input[Working Days],Salary_Calculation[[#This Row],[Source Row]])="","",INDEX(Rider_Input[Working Days],Salary_Calculation[[#This Row],[Source Row]])))</f>
        <v/>
      </c>
      <c r="G139" s="165" t="str">
        <f aca="false">IF(Salary_Calculation[[#This Row],[Source Row]]="","",Std_Orders/Std_Days*N(Salary_Calculation[[#This Row],[Calendar Days]]))</f>
        <v/>
      </c>
      <c r="H139" s="165" t="str">
        <f aca="false">IF(Salary_Calculation[[#This Row],[Source Row]]="","",IF(N(Salary_Calculation[[#This Row],[Calendar Days]])&gt;0,Salary_Calculation[[#This Row],[Monthly Target Orders]]/N(Salary_Calculation[[#This Row],[Calendar Days]])*N(Salary_Calculation[[#This Row],[Working Days]]),0))</f>
        <v/>
      </c>
      <c r="I139" s="166" t="str">
        <f aca="false">IF(Salary_Calculation[[#This Row],[Source Row]]="","",IF(INDEX(Rider_Input[Completed Orders],Salary_Calculation[[#This Row],[Source Row]])="","",INDEX(Rider_Input[Completed Orders],Salary_Calculation[[#This Row],[Source Row]])))</f>
        <v/>
      </c>
      <c r="J139" s="165" t="str">
        <f aca="false">IF(Salary_Calculation[[#This Row],[Source Row]]="","",IF(Rate_Method="Fixed rate",Fixed_Rate,IF(N(Salary_Calculation[[#This Row],[Basic Payment]])&gt;0,N(Salary_Calculation[[#This Row],[Basic Payment]])/Std_Orders,0)))</f>
        <v/>
      </c>
      <c r="K139" s="165" t="str">
        <f aca="false">IF(Salary_Calculation[[#This Row],[Source Row]]="","",MAX(MIN(N(Salary_Calculation[[#This Row],[Completed Orders]]),Salary_Calculation[[#This Row],[Rider Target Orders]]),0))</f>
        <v/>
      </c>
      <c r="L139" s="164" t="str">
        <f aca="false">IF(Salary_Calculation[[#This Row],[Source Row]]="","",Salary_Calculation[[#This Row],[Orders Counted at Base Rate]]*Salary_Calculation[[#This Row],[Base Order Rate]])</f>
        <v/>
      </c>
      <c r="M139" s="165" t="str">
        <f aca="false">IF(Salary_Calculation[[#This Row],[Source Row]]="","",MAX(Salary_Calculation[[#This Row],[Rider Target Orders]]-N(Salary_Calculation[[#This Row],[Completed Orders]]),0))</f>
        <v/>
      </c>
      <c r="N139" s="164" t="str">
        <f aca="false">IF(Salary_Calculation[[#This Row],[Source Row]]="","",Salary_Calculation[[#This Row],[Missing Orders]]*Missing_Rate)</f>
        <v/>
      </c>
      <c r="O139" s="165" t="str">
        <f aca="false">IF(Salary_Calculation[[#This Row],[Source Row]]="","",MAX(N(Salary_Calculation[[#This Row],[Completed Orders]])-Salary_Calculation[[#This Row],[Rider Target Orders]],0))</f>
        <v/>
      </c>
      <c r="P139" s="164" t="str">
        <f aca="false">IF(Salary_Calculation[[#This Row],[Source Row]]="","",Salary_Calculation[[#This Row],[Extra Orders]]*Extra_Rate)</f>
        <v/>
      </c>
      <c r="Q139" s="164" t="str">
        <f aca="false">IF(Salary_Calculation[[#This Row],[Source Row]]="","",MAX(Salary_Calculation[[#This Row],[Salary Before Other Deductions]],0))</f>
        <v/>
      </c>
      <c r="R139" s="164" t="str">
        <f aca="false">IF(Salary_Calculation[[#This Row],[Source Row]]="","",N(INDEX(Rider_Input[missed_days_penalty],Salary_Calculation[[#This Row],[Source Row]])))</f>
        <v/>
      </c>
      <c r="S139" s="164" t="str">
        <f aca="false">IF(Salary_Calculation[[#This Row],[Source Row]]="","",N(INDEX(Rider_Input[Rider Balance / محفظة المندوب],Salary_Calculation[[#This Row],[Source Row]])))</f>
        <v/>
      </c>
      <c r="T139" s="164" t="str">
        <f aca="false">IF(Salary_Calculation[[#This Row],[Source Row]]="","",N(INDEX(Rider_Input[stacking_deduction / خصم الطلبات المتعددة],Salary_Calculation[[#This Row],[Source Row]])))</f>
        <v/>
      </c>
      <c r="U139" s="164" t="str">
        <f aca="false">IF(Salary_Calculation[[#This Row],[Source Row]]="","",N(INDEX(Rider_Input[Other Deductions],Salary_Calculation[[#This Row],[Source Row]])))</f>
        <v/>
      </c>
      <c r="V139" s="164" t="str">
        <f aca="false">IF(Salary_Calculation[[#This Row],[Source Row]]="","",N(Salary_Calculation[[#This Row],[missed_days_penalty]])+N(Salary_Calculation[[#This Row],[Rider Balance]])+N(Salary_Calculation[[#This Row],[stacking_deduction]])+N(Salary_Calculation[[#This Row],[Other Deductions]]))</f>
        <v/>
      </c>
      <c r="W139" s="167" t="str">
        <f aca="false">IF(Salary_Calculation[[#This Row],[Source Row]]="","",ROUND(MAX(Salary_Calculation[[#This Row],[Gross Salary Before Deductions]]-Salary_Calculation[[#This Row],[Total Deductions]],0),2))</f>
        <v/>
      </c>
      <c r="X139" s="164" t="str">
        <f aca="false">IF(Salary_Calculation[[#This Row],[Source Row]]="","",ROUND(MAX(Salary_Calculation[[#This Row],[Missing-Order Deduction]]-Salary_Calculation[[#This Row],[Earned Salary]],0),2))</f>
        <v/>
      </c>
      <c r="Y13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39" s="163" t="str">
        <f aca="false">IF(Salary_Calculation[[#This Row],[Source Row]]="","",IF(INDEX(Rider_Input[Notes],Salary_Calculation[[#This Row],[Source Row]])="","",INDEX(Rider_Input[Notes],Salary_Calculation[[#This Row],[Source Row]])))</f>
        <v/>
      </c>
      <c r="AA139" s="164" t="str">
        <f aca="false">IF(Salary_Calculation[[#This Row],[Source Row]]="","",Salary_Calculation[[#This Row],[Earned Salary]]-Salary_Calculation[[#This Row],[Missing-Order Deduction]]+Salary_Calculation[[#This Row],[Extra-Order Bonus]])</f>
        <v/>
      </c>
      <c r="AB139" s="164" t="str">
        <f aca="false">IF(Salary_Calculation[[#This Row],[Source Row]]="","",ROUND(Salary_Calculation[[#This Row],[Negative Balance / Amount Due from Rider]]+MAX(Salary_Calculation[[#This Row],[Total Deductions]]-Salary_Calculation[[#This Row],[Gross Salary Before Deductions]],0),2))</f>
        <v/>
      </c>
      <c r="AC13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39" s="164" t="str">
        <f aca="false">IF(Salary_Calculation[[#This Row],[Source Row]]="","",Salary_Calculation[[#This Row],[Rider Target Orders]]*Salary_Calculation[[#This Row],[Base Order Rate]])</f>
        <v/>
      </c>
      <c r="AE139" s="162" t="str">
        <f aca="false">IF(SUMPRODUCT(--(LEN(INDEX(Rider_Input[#Data],ROW()-ROW(Salary_Calculation[#Headers]),0))&gt;0))=0,"",ROW()-ROW(Salary_Calculation[#Headers]))</f>
        <v/>
      </c>
    </row>
    <row r="140" customFormat="false" ht="14.25" hidden="false" customHeight="false" outlineLevel="0" collapsed="false">
      <c r="A140" s="161" t="str">
        <f aca="false">IF(Salary_Calculation[[#This Row],[Source Row]]="","",IF(INDEX(Rider_Input[Salary Month],Salary_Calculation[[#This Row],[Source Row]])="","",INDEX(Rider_Input[Salary Month],Salary_Calculation[[#This Row],[Source Row]])))</f>
        <v/>
      </c>
      <c r="B140" s="162" t="str">
        <f aca="false">IF(Salary_Calculation[[#This Row],[Source Row]]="","",IF(INDEX(Rider_Input[Rider ID],Salary_Calculation[[#This Row],[Source Row]])="","",INDEX(Rider_Input[Rider ID],Salary_Calculation[[#This Row],[Source Row]])))</f>
        <v/>
      </c>
      <c r="C140" s="163" t="str">
        <f aca="false">IF(Salary_Calculation[[#This Row],[Source Row]]="","",IF(INDEX(Rider_Input[Rider Name],Salary_Calculation[[#This Row],[Source Row]])="","",INDEX(Rider_Input[Rider Name],Salary_Calculation[[#This Row],[Source Row]])))</f>
        <v/>
      </c>
      <c r="D140" s="164" t="str">
        <f aca="false">IF(Salary_Calculation[[#This Row],[Source Row]]="","",IF(INDEX(Rider_Input[Basic Payment],Salary_Calculation[[#This Row],[Source Row]])="","",INDEX(Rider_Input[Basic Payment],Salary_Calculation[[#This Row],[Source Row]])))</f>
        <v/>
      </c>
      <c r="E140" s="162" t="str">
        <f aca="false">IF(Salary_Calculation[[#This Row],[Source Row]]="","",IF(INDEX(Rider_Input[Calendar Days in Month],Salary_Calculation[[#This Row],[Source Row]])="","",INDEX(Rider_Input[Calendar Days in Month],Salary_Calculation[[#This Row],[Source Row]])))</f>
        <v/>
      </c>
      <c r="F140" s="162" t="str">
        <f aca="false">IF(Salary_Calculation[[#This Row],[Source Row]]="","",IF(INDEX(Rider_Input[Working Days],Salary_Calculation[[#This Row],[Source Row]])="","",INDEX(Rider_Input[Working Days],Salary_Calculation[[#This Row],[Source Row]])))</f>
        <v/>
      </c>
      <c r="G140" s="165" t="str">
        <f aca="false">IF(Salary_Calculation[[#This Row],[Source Row]]="","",Std_Orders/Std_Days*N(Salary_Calculation[[#This Row],[Calendar Days]]))</f>
        <v/>
      </c>
      <c r="H140" s="165" t="str">
        <f aca="false">IF(Salary_Calculation[[#This Row],[Source Row]]="","",IF(N(Salary_Calculation[[#This Row],[Calendar Days]])&gt;0,Salary_Calculation[[#This Row],[Monthly Target Orders]]/N(Salary_Calculation[[#This Row],[Calendar Days]])*N(Salary_Calculation[[#This Row],[Working Days]]),0))</f>
        <v/>
      </c>
      <c r="I140" s="166" t="str">
        <f aca="false">IF(Salary_Calculation[[#This Row],[Source Row]]="","",IF(INDEX(Rider_Input[Completed Orders],Salary_Calculation[[#This Row],[Source Row]])="","",INDEX(Rider_Input[Completed Orders],Salary_Calculation[[#This Row],[Source Row]])))</f>
        <v/>
      </c>
      <c r="J140" s="165" t="str">
        <f aca="false">IF(Salary_Calculation[[#This Row],[Source Row]]="","",IF(Rate_Method="Fixed rate",Fixed_Rate,IF(N(Salary_Calculation[[#This Row],[Basic Payment]])&gt;0,N(Salary_Calculation[[#This Row],[Basic Payment]])/Std_Orders,0)))</f>
        <v/>
      </c>
      <c r="K140" s="165" t="str">
        <f aca="false">IF(Salary_Calculation[[#This Row],[Source Row]]="","",MAX(MIN(N(Salary_Calculation[[#This Row],[Completed Orders]]),Salary_Calculation[[#This Row],[Rider Target Orders]]),0))</f>
        <v/>
      </c>
      <c r="L140" s="164" t="str">
        <f aca="false">IF(Salary_Calculation[[#This Row],[Source Row]]="","",Salary_Calculation[[#This Row],[Orders Counted at Base Rate]]*Salary_Calculation[[#This Row],[Base Order Rate]])</f>
        <v/>
      </c>
      <c r="M140" s="165" t="str">
        <f aca="false">IF(Salary_Calculation[[#This Row],[Source Row]]="","",MAX(Salary_Calculation[[#This Row],[Rider Target Orders]]-N(Salary_Calculation[[#This Row],[Completed Orders]]),0))</f>
        <v/>
      </c>
      <c r="N140" s="164" t="str">
        <f aca="false">IF(Salary_Calculation[[#This Row],[Source Row]]="","",Salary_Calculation[[#This Row],[Missing Orders]]*Missing_Rate)</f>
        <v/>
      </c>
      <c r="O140" s="165" t="str">
        <f aca="false">IF(Salary_Calculation[[#This Row],[Source Row]]="","",MAX(N(Salary_Calculation[[#This Row],[Completed Orders]])-Salary_Calculation[[#This Row],[Rider Target Orders]],0))</f>
        <v/>
      </c>
      <c r="P140" s="164" t="str">
        <f aca="false">IF(Salary_Calculation[[#This Row],[Source Row]]="","",Salary_Calculation[[#This Row],[Extra Orders]]*Extra_Rate)</f>
        <v/>
      </c>
      <c r="Q140" s="164" t="str">
        <f aca="false">IF(Salary_Calculation[[#This Row],[Source Row]]="","",MAX(Salary_Calculation[[#This Row],[Salary Before Other Deductions]],0))</f>
        <v/>
      </c>
      <c r="R140" s="164" t="str">
        <f aca="false">IF(Salary_Calculation[[#This Row],[Source Row]]="","",N(INDEX(Rider_Input[missed_days_penalty],Salary_Calculation[[#This Row],[Source Row]])))</f>
        <v/>
      </c>
      <c r="S140" s="164" t="str">
        <f aca="false">IF(Salary_Calculation[[#This Row],[Source Row]]="","",N(INDEX(Rider_Input[Rider Balance / محفظة المندوب],Salary_Calculation[[#This Row],[Source Row]])))</f>
        <v/>
      </c>
      <c r="T140" s="164" t="str">
        <f aca="false">IF(Salary_Calculation[[#This Row],[Source Row]]="","",N(INDEX(Rider_Input[stacking_deduction / خصم الطلبات المتعددة],Salary_Calculation[[#This Row],[Source Row]])))</f>
        <v/>
      </c>
      <c r="U140" s="164" t="str">
        <f aca="false">IF(Salary_Calculation[[#This Row],[Source Row]]="","",N(INDEX(Rider_Input[Other Deductions],Salary_Calculation[[#This Row],[Source Row]])))</f>
        <v/>
      </c>
      <c r="V140" s="164" t="str">
        <f aca="false">IF(Salary_Calculation[[#This Row],[Source Row]]="","",N(Salary_Calculation[[#This Row],[missed_days_penalty]])+N(Salary_Calculation[[#This Row],[Rider Balance]])+N(Salary_Calculation[[#This Row],[stacking_deduction]])+N(Salary_Calculation[[#This Row],[Other Deductions]]))</f>
        <v/>
      </c>
      <c r="W140" s="167" t="str">
        <f aca="false">IF(Salary_Calculation[[#This Row],[Source Row]]="","",ROUND(MAX(Salary_Calculation[[#This Row],[Gross Salary Before Deductions]]-Salary_Calculation[[#This Row],[Total Deductions]],0),2))</f>
        <v/>
      </c>
      <c r="X140" s="164" t="str">
        <f aca="false">IF(Salary_Calculation[[#This Row],[Source Row]]="","",ROUND(MAX(Salary_Calculation[[#This Row],[Missing-Order Deduction]]-Salary_Calculation[[#This Row],[Earned Salary]],0),2))</f>
        <v/>
      </c>
      <c r="Y14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40" s="163" t="str">
        <f aca="false">IF(Salary_Calculation[[#This Row],[Source Row]]="","",IF(INDEX(Rider_Input[Notes],Salary_Calculation[[#This Row],[Source Row]])="","",INDEX(Rider_Input[Notes],Salary_Calculation[[#This Row],[Source Row]])))</f>
        <v/>
      </c>
      <c r="AA140" s="164" t="str">
        <f aca="false">IF(Salary_Calculation[[#This Row],[Source Row]]="","",Salary_Calculation[[#This Row],[Earned Salary]]-Salary_Calculation[[#This Row],[Missing-Order Deduction]]+Salary_Calculation[[#This Row],[Extra-Order Bonus]])</f>
        <v/>
      </c>
      <c r="AB140" s="164" t="str">
        <f aca="false">IF(Salary_Calculation[[#This Row],[Source Row]]="","",ROUND(Salary_Calculation[[#This Row],[Negative Balance / Amount Due from Rider]]+MAX(Salary_Calculation[[#This Row],[Total Deductions]]-Salary_Calculation[[#This Row],[Gross Salary Before Deductions]],0),2))</f>
        <v/>
      </c>
      <c r="AC14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40" s="164" t="str">
        <f aca="false">IF(Salary_Calculation[[#This Row],[Source Row]]="","",Salary_Calculation[[#This Row],[Rider Target Orders]]*Salary_Calculation[[#This Row],[Base Order Rate]])</f>
        <v/>
      </c>
      <c r="AE140" s="162" t="str">
        <f aca="false">IF(SUMPRODUCT(--(LEN(INDEX(Rider_Input[#Data],ROW()-ROW(Salary_Calculation[#Headers]),0))&gt;0))=0,"",ROW()-ROW(Salary_Calculation[#Headers]))</f>
        <v/>
      </c>
    </row>
    <row r="141" customFormat="false" ht="14.25" hidden="false" customHeight="false" outlineLevel="0" collapsed="false">
      <c r="A141" s="161" t="str">
        <f aca="false">IF(Salary_Calculation[[#This Row],[Source Row]]="","",IF(INDEX(Rider_Input[Salary Month],Salary_Calculation[[#This Row],[Source Row]])="","",INDEX(Rider_Input[Salary Month],Salary_Calculation[[#This Row],[Source Row]])))</f>
        <v/>
      </c>
      <c r="B141" s="162" t="str">
        <f aca="false">IF(Salary_Calculation[[#This Row],[Source Row]]="","",IF(INDEX(Rider_Input[Rider ID],Salary_Calculation[[#This Row],[Source Row]])="","",INDEX(Rider_Input[Rider ID],Salary_Calculation[[#This Row],[Source Row]])))</f>
        <v/>
      </c>
      <c r="C141" s="163" t="str">
        <f aca="false">IF(Salary_Calculation[[#This Row],[Source Row]]="","",IF(INDEX(Rider_Input[Rider Name],Salary_Calculation[[#This Row],[Source Row]])="","",INDEX(Rider_Input[Rider Name],Salary_Calculation[[#This Row],[Source Row]])))</f>
        <v/>
      </c>
      <c r="D141" s="164" t="str">
        <f aca="false">IF(Salary_Calculation[[#This Row],[Source Row]]="","",IF(INDEX(Rider_Input[Basic Payment],Salary_Calculation[[#This Row],[Source Row]])="","",INDEX(Rider_Input[Basic Payment],Salary_Calculation[[#This Row],[Source Row]])))</f>
        <v/>
      </c>
      <c r="E141" s="162" t="str">
        <f aca="false">IF(Salary_Calculation[[#This Row],[Source Row]]="","",IF(INDEX(Rider_Input[Calendar Days in Month],Salary_Calculation[[#This Row],[Source Row]])="","",INDEX(Rider_Input[Calendar Days in Month],Salary_Calculation[[#This Row],[Source Row]])))</f>
        <v/>
      </c>
      <c r="F141" s="162" t="str">
        <f aca="false">IF(Salary_Calculation[[#This Row],[Source Row]]="","",IF(INDEX(Rider_Input[Working Days],Salary_Calculation[[#This Row],[Source Row]])="","",INDEX(Rider_Input[Working Days],Salary_Calculation[[#This Row],[Source Row]])))</f>
        <v/>
      </c>
      <c r="G141" s="165" t="str">
        <f aca="false">IF(Salary_Calculation[[#This Row],[Source Row]]="","",Std_Orders/Std_Days*N(Salary_Calculation[[#This Row],[Calendar Days]]))</f>
        <v/>
      </c>
      <c r="H141" s="165" t="str">
        <f aca="false">IF(Salary_Calculation[[#This Row],[Source Row]]="","",IF(N(Salary_Calculation[[#This Row],[Calendar Days]])&gt;0,Salary_Calculation[[#This Row],[Monthly Target Orders]]/N(Salary_Calculation[[#This Row],[Calendar Days]])*N(Salary_Calculation[[#This Row],[Working Days]]),0))</f>
        <v/>
      </c>
      <c r="I141" s="166" t="str">
        <f aca="false">IF(Salary_Calculation[[#This Row],[Source Row]]="","",IF(INDEX(Rider_Input[Completed Orders],Salary_Calculation[[#This Row],[Source Row]])="","",INDEX(Rider_Input[Completed Orders],Salary_Calculation[[#This Row],[Source Row]])))</f>
        <v/>
      </c>
      <c r="J141" s="165" t="str">
        <f aca="false">IF(Salary_Calculation[[#This Row],[Source Row]]="","",IF(Rate_Method="Fixed rate",Fixed_Rate,IF(N(Salary_Calculation[[#This Row],[Basic Payment]])&gt;0,N(Salary_Calculation[[#This Row],[Basic Payment]])/Std_Orders,0)))</f>
        <v/>
      </c>
      <c r="K141" s="165" t="str">
        <f aca="false">IF(Salary_Calculation[[#This Row],[Source Row]]="","",MAX(MIN(N(Salary_Calculation[[#This Row],[Completed Orders]]),Salary_Calculation[[#This Row],[Rider Target Orders]]),0))</f>
        <v/>
      </c>
      <c r="L141" s="164" t="str">
        <f aca="false">IF(Salary_Calculation[[#This Row],[Source Row]]="","",Salary_Calculation[[#This Row],[Orders Counted at Base Rate]]*Salary_Calculation[[#This Row],[Base Order Rate]])</f>
        <v/>
      </c>
      <c r="M141" s="165" t="str">
        <f aca="false">IF(Salary_Calculation[[#This Row],[Source Row]]="","",MAX(Salary_Calculation[[#This Row],[Rider Target Orders]]-N(Salary_Calculation[[#This Row],[Completed Orders]]),0))</f>
        <v/>
      </c>
      <c r="N141" s="164" t="str">
        <f aca="false">IF(Salary_Calculation[[#This Row],[Source Row]]="","",Salary_Calculation[[#This Row],[Missing Orders]]*Missing_Rate)</f>
        <v/>
      </c>
      <c r="O141" s="165" t="str">
        <f aca="false">IF(Salary_Calculation[[#This Row],[Source Row]]="","",MAX(N(Salary_Calculation[[#This Row],[Completed Orders]])-Salary_Calculation[[#This Row],[Rider Target Orders]],0))</f>
        <v/>
      </c>
      <c r="P141" s="164" t="str">
        <f aca="false">IF(Salary_Calculation[[#This Row],[Source Row]]="","",Salary_Calculation[[#This Row],[Extra Orders]]*Extra_Rate)</f>
        <v/>
      </c>
      <c r="Q141" s="164" t="str">
        <f aca="false">IF(Salary_Calculation[[#This Row],[Source Row]]="","",MAX(Salary_Calculation[[#This Row],[Salary Before Other Deductions]],0))</f>
        <v/>
      </c>
      <c r="R141" s="164" t="str">
        <f aca="false">IF(Salary_Calculation[[#This Row],[Source Row]]="","",N(INDEX(Rider_Input[missed_days_penalty],Salary_Calculation[[#This Row],[Source Row]])))</f>
        <v/>
      </c>
      <c r="S141" s="164" t="str">
        <f aca="false">IF(Salary_Calculation[[#This Row],[Source Row]]="","",N(INDEX(Rider_Input[Rider Balance / محفظة المندوب],Salary_Calculation[[#This Row],[Source Row]])))</f>
        <v/>
      </c>
      <c r="T141" s="164" t="str">
        <f aca="false">IF(Salary_Calculation[[#This Row],[Source Row]]="","",N(INDEX(Rider_Input[stacking_deduction / خصم الطلبات المتعددة],Salary_Calculation[[#This Row],[Source Row]])))</f>
        <v/>
      </c>
      <c r="U141" s="164" t="str">
        <f aca="false">IF(Salary_Calculation[[#This Row],[Source Row]]="","",N(INDEX(Rider_Input[Other Deductions],Salary_Calculation[[#This Row],[Source Row]])))</f>
        <v/>
      </c>
      <c r="V141" s="164" t="str">
        <f aca="false">IF(Salary_Calculation[[#This Row],[Source Row]]="","",N(Salary_Calculation[[#This Row],[missed_days_penalty]])+N(Salary_Calculation[[#This Row],[Rider Balance]])+N(Salary_Calculation[[#This Row],[stacking_deduction]])+N(Salary_Calculation[[#This Row],[Other Deductions]]))</f>
        <v/>
      </c>
      <c r="W141" s="167" t="str">
        <f aca="false">IF(Salary_Calculation[[#This Row],[Source Row]]="","",ROUND(MAX(Salary_Calculation[[#This Row],[Gross Salary Before Deductions]]-Salary_Calculation[[#This Row],[Total Deductions]],0),2))</f>
        <v/>
      </c>
      <c r="X141" s="164" t="str">
        <f aca="false">IF(Salary_Calculation[[#This Row],[Source Row]]="","",ROUND(MAX(Salary_Calculation[[#This Row],[Missing-Order Deduction]]-Salary_Calculation[[#This Row],[Earned Salary]],0),2))</f>
        <v/>
      </c>
      <c r="Y14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41" s="163" t="str">
        <f aca="false">IF(Salary_Calculation[[#This Row],[Source Row]]="","",IF(INDEX(Rider_Input[Notes],Salary_Calculation[[#This Row],[Source Row]])="","",INDEX(Rider_Input[Notes],Salary_Calculation[[#This Row],[Source Row]])))</f>
        <v/>
      </c>
      <c r="AA141" s="164" t="str">
        <f aca="false">IF(Salary_Calculation[[#This Row],[Source Row]]="","",Salary_Calculation[[#This Row],[Earned Salary]]-Salary_Calculation[[#This Row],[Missing-Order Deduction]]+Salary_Calculation[[#This Row],[Extra-Order Bonus]])</f>
        <v/>
      </c>
      <c r="AB141" s="164" t="str">
        <f aca="false">IF(Salary_Calculation[[#This Row],[Source Row]]="","",ROUND(Salary_Calculation[[#This Row],[Negative Balance / Amount Due from Rider]]+MAX(Salary_Calculation[[#This Row],[Total Deductions]]-Salary_Calculation[[#This Row],[Gross Salary Before Deductions]],0),2))</f>
        <v/>
      </c>
      <c r="AC14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41" s="164" t="str">
        <f aca="false">IF(Salary_Calculation[[#This Row],[Source Row]]="","",Salary_Calculation[[#This Row],[Rider Target Orders]]*Salary_Calculation[[#This Row],[Base Order Rate]])</f>
        <v/>
      </c>
      <c r="AE141" s="162" t="str">
        <f aca="false">IF(SUMPRODUCT(--(LEN(INDEX(Rider_Input[#Data],ROW()-ROW(Salary_Calculation[#Headers]),0))&gt;0))=0,"",ROW()-ROW(Salary_Calculation[#Headers]))</f>
        <v/>
      </c>
    </row>
    <row r="142" customFormat="false" ht="14.25" hidden="false" customHeight="false" outlineLevel="0" collapsed="false">
      <c r="A142" s="161" t="str">
        <f aca="false">IF(Salary_Calculation[[#This Row],[Source Row]]="","",IF(INDEX(Rider_Input[Salary Month],Salary_Calculation[[#This Row],[Source Row]])="","",INDEX(Rider_Input[Salary Month],Salary_Calculation[[#This Row],[Source Row]])))</f>
        <v/>
      </c>
      <c r="B142" s="162" t="str">
        <f aca="false">IF(Salary_Calculation[[#This Row],[Source Row]]="","",IF(INDEX(Rider_Input[Rider ID],Salary_Calculation[[#This Row],[Source Row]])="","",INDEX(Rider_Input[Rider ID],Salary_Calculation[[#This Row],[Source Row]])))</f>
        <v/>
      </c>
      <c r="C142" s="163" t="str">
        <f aca="false">IF(Salary_Calculation[[#This Row],[Source Row]]="","",IF(INDEX(Rider_Input[Rider Name],Salary_Calculation[[#This Row],[Source Row]])="","",INDEX(Rider_Input[Rider Name],Salary_Calculation[[#This Row],[Source Row]])))</f>
        <v/>
      </c>
      <c r="D142" s="164" t="str">
        <f aca="false">IF(Salary_Calculation[[#This Row],[Source Row]]="","",IF(INDEX(Rider_Input[Basic Payment],Salary_Calculation[[#This Row],[Source Row]])="","",INDEX(Rider_Input[Basic Payment],Salary_Calculation[[#This Row],[Source Row]])))</f>
        <v/>
      </c>
      <c r="E142" s="162" t="str">
        <f aca="false">IF(Salary_Calculation[[#This Row],[Source Row]]="","",IF(INDEX(Rider_Input[Calendar Days in Month],Salary_Calculation[[#This Row],[Source Row]])="","",INDEX(Rider_Input[Calendar Days in Month],Salary_Calculation[[#This Row],[Source Row]])))</f>
        <v/>
      </c>
      <c r="F142" s="162" t="str">
        <f aca="false">IF(Salary_Calculation[[#This Row],[Source Row]]="","",IF(INDEX(Rider_Input[Working Days],Salary_Calculation[[#This Row],[Source Row]])="","",INDEX(Rider_Input[Working Days],Salary_Calculation[[#This Row],[Source Row]])))</f>
        <v/>
      </c>
      <c r="G142" s="165" t="str">
        <f aca="false">IF(Salary_Calculation[[#This Row],[Source Row]]="","",Std_Orders/Std_Days*N(Salary_Calculation[[#This Row],[Calendar Days]]))</f>
        <v/>
      </c>
      <c r="H142" s="165" t="str">
        <f aca="false">IF(Salary_Calculation[[#This Row],[Source Row]]="","",IF(N(Salary_Calculation[[#This Row],[Calendar Days]])&gt;0,Salary_Calculation[[#This Row],[Monthly Target Orders]]/N(Salary_Calculation[[#This Row],[Calendar Days]])*N(Salary_Calculation[[#This Row],[Working Days]]),0))</f>
        <v/>
      </c>
      <c r="I142" s="166" t="str">
        <f aca="false">IF(Salary_Calculation[[#This Row],[Source Row]]="","",IF(INDEX(Rider_Input[Completed Orders],Salary_Calculation[[#This Row],[Source Row]])="","",INDEX(Rider_Input[Completed Orders],Salary_Calculation[[#This Row],[Source Row]])))</f>
        <v/>
      </c>
      <c r="J142" s="165" t="str">
        <f aca="false">IF(Salary_Calculation[[#This Row],[Source Row]]="","",IF(Rate_Method="Fixed rate",Fixed_Rate,IF(N(Salary_Calculation[[#This Row],[Basic Payment]])&gt;0,N(Salary_Calculation[[#This Row],[Basic Payment]])/Std_Orders,0)))</f>
        <v/>
      </c>
      <c r="K142" s="165" t="str">
        <f aca="false">IF(Salary_Calculation[[#This Row],[Source Row]]="","",MAX(MIN(N(Salary_Calculation[[#This Row],[Completed Orders]]),Salary_Calculation[[#This Row],[Rider Target Orders]]),0))</f>
        <v/>
      </c>
      <c r="L142" s="164" t="str">
        <f aca="false">IF(Salary_Calculation[[#This Row],[Source Row]]="","",Salary_Calculation[[#This Row],[Orders Counted at Base Rate]]*Salary_Calculation[[#This Row],[Base Order Rate]])</f>
        <v/>
      </c>
      <c r="M142" s="165" t="str">
        <f aca="false">IF(Salary_Calculation[[#This Row],[Source Row]]="","",MAX(Salary_Calculation[[#This Row],[Rider Target Orders]]-N(Salary_Calculation[[#This Row],[Completed Orders]]),0))</f>
        <v/>
      </c>
      <c r="N142" s="164" t="str">
        <f aca="false">IF(Salary_Calculation[[#This Row],[Source Row]]="","",Salary_Calculation[[#This Row],[Missing Orders]]*Missing_Rate)</f>
        <v/>
      </c>
      <c r="O142" s="165" t="str">
        <f aca="false">IF(Salary_Calculation[[#This Row],[Source Row]]="","",MAX(N(Salary_Calculation[[#This Row],[Completed Orders]])-Salary_Calculation[[#This Row],[Rider Target Orders]],0))</f>
        <v/>
      </c>
      <c r="P142" s="164" t="str">
        <f aca="false">IF(Salary_Calculation[[#This Row],[Source Row]]="","",Salary_Calculation[[#This Row],[Extra Orders]]*Extra_Rate)</f>
        <v/>
      </c>
      <c r="Q142" s="164" t="str">
        <f aca="false">IF(Salary_Calculation[[#This Row],[Source Row]]="","",MAX(Salary_Calculation[[#This Row],[Salary Before Other Deductions]],0))</f>
        <v/>
      </c>
      <c r="R142" s="164" t="str">
        <f aca="false">IF(Salary_Calculation[[#This Row],[Source Row]]="","",N(INDEX(Rider_Input[missed_days_penalty],Salary_Calculation[[#This Row],[Source Row]])))</f>
        <v/>
      </c>
      <c r="S142" s="164" t="str">
        <f aca="false">IF(Salary_Calculation[[#This Row],[Source Row]]="","",N(INDEX(Rider_Input[Rider Balance / محفظة المندوب],Salary_Calculation[[#This Row],[Source Row]])))</f>
        <v/>
      </c>
      <c r="T142" s="164" t="str">
        <f aca="false">IF(Salary_Calculation[[#This Row],[Source Row]]="","",N(INDEX(Rider_Input[stacking_deduction / خصم الطلبات المتعددة],Salary_Calculation[[#This Row],[Source Row]])))</f>
        <v/>
      </c>
      <c r="U142" s="164" t="str">
        <f aca="false">IF(Salary_Calculation[[#This Row],[Source Row]]="","",N(INDEX(Rider_Input[Other Deductions],Salary_Calculation[[#This Row],[Source Row]])))</f>
        <v/>
      </c>
      <c r="V142" s="164" t="str">
        <f aca="false">IF(Salary_Calculation[[#This Row],[Source Row]]="","",N(Salary_Calculation[[#This Row],[missed_days_penalty]])+N(Salary_Calculation[[#This Row],[Rider Balance]])+N(Salary_Calculation[[#This Row],[stacking_deduction]])+N(Salary_Calculation[[#This Row],[Other Deductions]]))</f>
        <v/>
      </c>
      <c r="W142" s="167" t="str">
        <f aca="false">IF(Salary_Calculation[[#This Row],[Source Row]]="","",ROUND(MAX(Salary_Calculation[[#This Row],[Gross Salary Before Deductions]]-Salary_Calculation[[#This Row],[Total Deductions]],0),2))</f>
        <v/>
      </c>
      <c r="X142" s="164" t="str">
        <f aca="false">IF(Salary_Calculation[[#This Row],[Source Row]]="","",ROUND(MAX(Salary_Calculation[[#This Row],[Missing-Order Deduction]]-Salary_Calculation[[#This Row],[Earned Salary]],0),2))</f>
        <v/>
      </c>
      <c r="Y14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42" s="163" t="str">
        <f aca="false">IF(Salary_Calculation[[#This Row],[Source Row]]="","",IF(INDEX(Rider_Input[Notes],Salary_Calculation[[#This Row],[Source Row]])="","",INDEX(Rider_Input[Notes],Salary_Calculation[[#This Row],[Source Row]])))</f>
        <v/>
      </c>
      <c r="AA142" s="164" t="str">
        <f aca="false">IF(Salary_Calculation[[#This Row],[Source Row]]="","",Salary_Calculation[[#This Row],[Earned Salary]]-Salary_Calculation[[#This Row],[Missing-Order Deduction]]+Salary_Calculation[[#This Row],[Extra-Order Bonus]])</f>
        <v/>
      </c>
      <c r="AB142" s="164" t="str">
        <f aca="false">IF(Salary_Calculation[[#This Row],[Source Row]]="","",ROUND(Salary_Calculation[[#This Row],[Negative Balance / Amount Due from Rider]]+MAX(Salary_Calculation[[#This Row],[Total Deductions]]-Salary_Calculation[[#This Row],[Gross Salary Before Deductions]],0),2))</f>
        <v/>
      </c>
      <c r="AC14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42" s="164" t="str">
        <f aca="false">IF(Salary_Calculation[[#This Row],[Source Row]]="","",Salary_Calculation[[#This Row],[Rider Target Orders]]*Salary_Calculation[[#This Row],[Base Order Rate]])</f>
        <v/>
      </c>
      <c r="AE142" s="162" t="str">
        <f aca="false">IF(SUMPRODUCT(--(LEN(INDEX(Rider_Input[#Data],ROW()-ROW(Salary_Calculation[#Headers]),0))&gt;0))=0,"",ROW()-ROW(Salary_Calculation[#Headers]))</f>
        <v/>
      </c>
    </row>
    <row r="143" customFormat="false" ht="14.25" hidden="false" customHeight="false" outlineLevel="0" collapsed="false">
      <c r="A143" s="161" t="str">
        <f aca="false">IF(Salary_Calculation[[#This Row],[Source Row]]="","",IF(INDEX(Rider_Input[Salary Month],Salary_Calculation[[#This Row],[Source Row]])="","",INDEX(Rider_Input[Salary Month],Salary_Calculation[[#This Row],[Source Row]])))</f>
        <v/>
      </c>
      <c r="B143" s="162" t="str">
        <f aca="false">IF(Salary_Calculation[[#This Row],[Source Row]]="","",IF(INDEX(Rider_Input[Rider ID],Salary_Calculation[[#This Row],[Source Row]])="","",INDEX(Rider_Input[Rider ID],Salary_Calculation[[#This Row],[Source Row]])))</f>
        <v/>
      </c>
      <c r="C143" s="163" t="str">
        <f aca="false">IF(Salary_Calculation[[#This Row],[Source Row]]="","",IF(INDEX(Rider_Input[Rider Name],Salary_Calculation[[#This Row],[Source Row]])="","",INDEX(Rider_Input[Rider Name],Salary_Calculation[[#This Row],[Source Row]])))</f>
        <v/>
      </c>
      <c r="D143" s="164" t="str">
        <f aca="false">IF(Salary_Calculation[[#This Row],[Source Row]]="","",IF(INDEX(Rider_Input[Basic Payment],Salary_Calculation[[#This Row],[Source Row]])="","",INDEX(Rider_Input[Basic Payment],Salary_Calculation[[#This Row],[Source Row]])))</f>
        <v/>
      </c>
      <c r="E143" s="162" t="str">
        <f aca="false">IF(Salary_Calculation[[#This Row],[Source Row]]="","",IF(INDEX(Rider_Input[Calendar Days in Month],Salary_Calculation[[#This Row],[Source Row]])="","",INDEX(Rider_Input[Calendar Days in Month],Salary_Calculation[[#This Row],[Source Row]])))</f>
        <v/>
      </c>
      <c r="F143" s="162" t="str">
        <f aca="false">IF(Salary_Calculation[[#This Row],[Source Row]]="","",IF(INDEX(Rider_Input[Working Days],Salary_Calculation[[#This Row],[Source Row]])="","",INDEX(Rider_Input[Working Days],Salary_Calculation[[#This Row],[Source Row]])))</f>
        <v/>
      </c>
      <c r="G143" s="165" t="str">
        <f aca="false">IF(Salary_Calculation[[#This Row],[Source Row]]="","",Std_Orders/Std_Days*N(Salary_Calculation[[#This Row],[Calendar Days]]))</f>
        <v/>
      </c>
      <c r="H143" s="165" t="str">
        <f aca="false">IF(Salary_Calculation[[#This Row],[Source Row]]="","",IF(N(Salary_Calculation[[#This Row],[Calendar Days]])&gt;0,Salary_Calculation[[#This Row],[Monthly Target Orders]]/N(Salary_Calculation[[#This Row],[Calendar Days]])*N(Salary_Calculation[[#This Row],[Working Days]]),0))</f>
        <v/>
      </c>
      <c r="I143" s="166" t="str">
        <f aca="false">IF(Salary_Calculation[[#This Row],[Source Row]]="","",IF(INDEX(Rider_Input[Completed Orders],Salary_Calculation[[#This Row],[Source Row]])="","",INDEX(Rider_Input[Completed Orders],Salary_Calculation[[#This Row],[Source Row]])))</f>
        <v/>
      </c>
      <c r="J143" s="165" t="str">
        <f aca="false">IF(Salary_Calculation[[#This Row],[Source Row]]="","",IF(Rate_Method="Fixed rate",Fixed_Rate,IF(N(Salary_Calculation[[#This Row],[Basic Payment]])&gt;0,N(Salary_Calculation[[#This Row],[Basic Payment]])/Std_Orders,0)))</f>
        <v/>
      </c>
      <c r="K143" s="165" t="str">
        <f aca="false">IF(Salary_Calculation[[#This Row],[Source Row]]="","",MAX(MIN(N(Salary_Calculation[[#This Row],[Completed Orders]]),Salary_Calculation[[#This Row],[Rider Target Orders]]),0))</f>
        <v/>
      </c>
      <c r="L143" s="164" t="str">
        <f aca="false">IF(Salary_Calculation[[#This Row],[Source Row]]="","",Salary_Calculation[[#This Row],[Orders Counted at Base Rate]]*Salary_Calculation[[#This Row],[Base Order Rate]])</f>
        <v/>
      </c>
      <c r="M143" s="165" t="str">
        <f aca="false">IF(Salary_Calculation[[#This Row],[Source Row]]="","",MAX(Salary_Calculation[[#This Row],[Rider Target Orders]]-N(Salary_Calculation[[#This Row],[Completed Orders]]),0))</f>
        <v/>
      </c>
      <c r="N143" s="164" t="str">
        <f aca="false">IF(Salary_Calculation[[#This Row],[Source Row]]="","",Salary_Calculation[[#This Row],[Missing Orders]]*Missing_Rate)</f>
        <v/>
      </c>
      <c r="O143" s="165" t="str">
        <f aca="false">IF(Salary_Calculation[[#This Row],[Source Row]]="","",MAX(N(Salary_Calculation[[#This Row],[Completed Orders]])-Salary_Calculation[[#This Row],[Rider Target Orders]],0))</f>
        <v/>
      </c>
      <c r="P143" s="164" t="str">
        <f aca="false">IF(Salary_Calculation[[#This Row],[Source Row]]="","",Salary_Calculation[[#This Row],[Extra Orders]]*Extra_Rate)</f>
        <v/>
      </c>
      <c r="Q143" s="164" t="str">
        <f aca="false">IF(Salary_Calculation[[#This Row],[Source Row]]="","",MAX(Salary_Calculation[[#This Row],[Salary Before Other Deductions]],0))</f>
        <v/>
      </c>
      <c r="R143" s="164" t="str">
        <f aca="false">IF(Salary_Calculation[[#This Row],[Source Row]]="","",N(INDEX(Rider_Input[missed_days_penalty],Salary_Calculation[[#This Row],[Source Row]])))</f>
        <v/>
      </c>
      <c r="S143" s="164" t="str">
        <f aca="false">IF(Salary_Calculation[[#This Row],[Source Row]]="","",N(INDEX(Rider_Input[Rider Balance / محفظة المندوب],Salary_Calculation[[#This Row],[Source Row]])))</f>
        <v/>
      </c>
      <c r="T143" s="164" t="str">
        <f aca="false">IF(Salary_Calculation[[#This Row],[Source Row]]="","",N(INDEX(Rider_Input[stacking_deduction / خصم الطلبات المتعددة],Salary_Calculation[[#This Row],[Source Row]])))</f>
        <v/>
      </c>
      <c r="U143" s="164" t="str">
        <f aca="false">IF(Salary_Calculation[[#This Row],[Source Row]]="","",N(INDEX(Rider_Input[Other Deductions],Salary_Calculation[[#This Row],[Source Row]])))</f>
        <v/>
      </c>
      <c r="V143" s="164" t="str">
        <f aca="false">IF(Salary_Calculation[[#This Row],[Source Row]]="","",N(Salary_Calculation[[#This Row],[missed_days_penalty]])+N(Salary_Calculation[[#This Row],[Rider Balance]])+N(Salary_Calculation[[#This Row],[stacking_deduction]])+N(Salary_Calculation[[#This Row],[Other Deductions]]))</f>
        <v/>
      </c>
      <c r="W143" s="167" t="str">
        <f aca="false">IF(Salary_Calculation[[#This Row],[Source Row]]="","",ROUND(MAX(Salary_Calculation[[#This Row],[Gross Salary Before Deductions]]-Salary_Calculation[[#This Row],[Total Deductions]],0),2))</f>
        <v/>
      </c>
      <c r="X143" s="164" t="str">
        <f aca="false">IF(Salary_Calculation[[#This Row],[Source Row]]="","",ROUND(MAX(Salary_Calculation[[#This Row],[Missing-Order Deduction]]-Salary_Calculation[[#This Row],[Earned Salary]],0),2))</f>
        <v/>
      </c>
      <c r="Y14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43" s="163" t="str">
        <f aca="false">IF(Salary_Calculation[[#This Row],[Source Row]]="","",IF(INDEX(Rider_Input[Notes],Salary_Calculation[[#This Row],[Source Row]])="","",INDEX(Rider_Input[Notes],Salary_Calculation[[#This Row],[Source Row]])))</f>
        <v/>
      </c>
      <c r="AA143" s="164" t="str">
        <f aca="false">IF(Salary_Calculation[[#This Row],[Source Row]]="","",Salary_Calculation[[#This Row],[Earned Salary]]-Salary_Calculation[[#This Row],[Missing-Order Deduction]]+Salary_Calculation[[#This Row],[Extra-Order Bonus]])</f>
        <v/>
      </c>
      <c r="AB143" s="164" t="str">
        <f aca="false">IF(Salary_Calculation[[#This Row],[Source Row]]="","",ROUND(Salary_Calculation[[#This Row],[Negative Balance / Amount Due from Rider]]+MAX(Salary_Calculation[[#This Row],[Total Deductions]]-Salary_Calculation[[#This Row],[Gross Salary Before Deductions]],0),2))</f>
        <v/>
      </c>
      <c r="AC14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43" s="164" t="str">
        <f aca="false">IF(Salary_Calculation[[#This Row],[Source Row]]="","",Salary_Calculation[[#This Row],[Rider Target Orders]]*Salary_Calculation[[#This Row],[Base Order Rate]])</f>
        <v/>
      </c>
      <c r="AE143" s="162" t="str">
        <f aca="false">IF(SUMPRODUCT(--(LEN(INDEX(Rider_Input[#Data],ROW()-ROW(Salary_Calculation[#Headers]),0))&gt;0))=0,"",ROW()-ROW(Salary_Calculation[#Headers]))</f>
        <v/>
      </c>
    </row>
    <row r="144" customFormat="false" ht="14.25" hidden="false" customHeight="false" outlineLevel="0" collapsed="false">
      <c r="A144" s="161" t="str">
        <f aca="false">IF(Salary_Calculation[[#This Row],[Source Row]]="","",IF(INDEX(Rider_Input[Salary Month],Salary_Calculation[[#This Row],[Source Row]])="","",INDEX(Rider_Input[Salary Month],Salary_Calculation[[#This Row],[Source Row]])))</f>
        <v/>
      </c>
      <c r="B144" s="162" t="str">
        <f aca="false">IF(Salary_Calculation[[#This Row],[Source Row]]="","",IF(INDEX(Rider_Input[Rider ID],Salary_Calculation[[#This Row],[Source Row]])="","",INDEX(Rider_Input[Rider ID],Salary_Calculation[[#This Row],[Source Row]])))</f>
        <v/>
      </c>
      <c r="C144" s="163" t="str">
        <f aca="false">IF(Salary_Calculation[[#This Row],[Source Row]]="","",IF(INDEX(Rider_Input[Rider Name],Salary_Calculation[[#This Row],[Source Row]])="","",INDEX(Rider_Input[Rider Name],Salary_Calculation[[#This Row],[Source Row]])))</f>
        <v/>
      </c>
      <c r="D144" s="164" t="str">
        <f aca="false">IF(Salary_Calculation[[#This Row],[Source Row]]="","",IF(INDEX(Rider_Input[Basic Payment],Salary_Calculation[[#This Row],[Source Row]])="","",INDEX(Rider_Input[Basic Payment],Salary_Calculation[[#This Row],[Source Row]])))</f>
        <v/>
      </c>
      <c r="E144" s="162" t="str">
        <f aca="false">IF(Salary_Calculation[[#This Row],[Source Row]]="","",IF(INDEX(Rider_Input[Calendar Days in Month],Salary_Calculation[[#This Row],[Source Row]])="","",INDEX(Rider_Input[Calendar Days in Month],Salary_Calculation[[#This Row],[Source Row]])))</f>
        <v/>
      </c>
      <c r="F144" s="162" t="str">
        <f aca="false">IF(Salary_Calculation[[#This Row],[Source Row]]="","",IF(INDEX(Rider_Input[Working Days],Salary_Calculation[[#This Row],[Source Row]])="","",INDEX(Rider_Input[Working Days],Salary_Calculation[[#This Row],[Source Row]])))</f>
        <v/>
      </c>
      <c r="G144" s="165" t="str">
        <f aca="false">IF(Salary_Calculation[[#This Row],[Source Row]]="","",Std_Orders/Std_Days*N(Salary_Calculation[[#This Row],[Calendar Days]]))</f>
        <v/>
      </c>
      <c r="H144" s="165" t="str">
        <f aca="false">IF(Salary_Calculation[[#This Row],[Source Row]]="","",IF(N(Salary_Calculation[[#This Row],[Calendar Days]])&gt;0,Salary_Calculation[[#This Row],[Monthly Target Orders]]/N(Salary_Calculation[[#This Row],[Calendar Days]])*N(Salary_Calculation[[#This Row],[Working Days]]),0))</f>
        <v/>
      </c>
      <c r="I144" s="166" t="str">
        <f aca="false">IF(Salary_Calculation[[#This Row],[Source Row]]="","",IF(INDEX(Rider_Input[Completed Orders],Salary_Calculation[[#This Row],[Source Row]])="","",INDEX(Rider_Input[Completed Orders],Salary_Calculation[[#This Row],[Source Row]])))</f>
        <v/>
      </c>
      <c r="J144" s="165" t="str">
        <f aca="false">IF(Salary_Calculation[[#This Row],[Source Row]]="","",IF(Rate_Method="Fixed rate",Fixed_Rate,IF(N(Salary_Calculation[[#This Row],[Basic Payment]])&gt;0,N(Salary_Calculation[[#This Row],[Basic Payment]])/Std_Orders,0)))</f>
        <v/>
      </c>
      <c r="K144" s="165" t="str">
        <f aca="false">IF(Salary_Calculation[[#This Row],[Source Row]]="","",MAX(MIN(N(Salary_Calculation[[#This Row],[Completed Orders]]),Salary_Calculation[[#This Row],[Rider Target Orders]]),0))</f>
        <v/>
      </c>
      <c r="L144" s="164" t="str">
        <f aca="false">IF(Salary_Calculation[[#This Row],[Source Row]]="","",Salary_Calculation[[#This Row],[Orders Counted at Base Rate]]*Salary_Calculation[[#This Row],[Base Order Rate]])</f>
        <v/>
      </c>
      <c r="M144" s="165" t="str">
        <f aca="false">IF(Salary_Calculation[[#This Row],[Source Row]]="","",MAX(Salary_Calculation[[#This Row],[Rider Target Orders]]-N(Salary_Calculation[[#This Row],[Completed Orders]]),0))</f>
        <v/>
      </c>
      <c r="N144" s="164" t="str">
        <f aca="false">IF(Salary_Calculation[[#This Row],[Source Row]]="","",Salary_Calculation[[#This Row],[Missing Orders]]*Missing_Rate)</f>
        <v/>
      </c>
      <c r="O144" s="165" t="str">
        <f aca="false">IF(Salary_Calculation[[#This Row],[Source Row]]="","",MAX(N(Salary_Calculation[[#This Row],[Completed Orders]])-Salary_Calculation[[#This Row],[Rider Target Orders]],0))</f>
        <v/>
      </c>
      <c r="P144" s="164" t="str">
        <f aca="false">IF(Salary_Calculation[[#This Row],[Source Row]]="","",Salary_Calculation[[#This Row],[Extra Orders]]*Extra_Rate)</f>
        <v/>
      </c>
      <c r="Q144" s="164" t="str">
        <f aca="false">IF(Salary_Calculation[[#This Row],[Source Row]]="","",MAX(Salary_Calculation[[#This Row],[Salary Before Other Deductions]],0))</f>
        <v/>
      </c>
      <c r="R144" s="164" t="str">
        <f aca="false">IF(Salary_Calculation[[#This Row],[Source Row]]="","",N(INDEX(Rider_Input[missed_days_penalty],Salary_Calculation[[#This Row],[Source Row]])))</f>
        <v/>
      </c>
      <c r="S144" s="164" t="str">
        <f aca="false">IF(Salary_Calculation[[#This Row],[Source Row]]="","",N(INDEX(Rider_Input[Rider Balance / محفظة المندوب],Salary_Calculation[[#This Row],[Source Row]])))</f>
        <v/>
      </c>
      <c r="T144" s="164" t="str">
        <f aca="false">IF(Salary_Calculation[[#This Row],[Source Row]]="","",N(INDEX(Rider_Input[stacking_deduction / خصم الطلبات المتعددة],Salary_Calculation[[#This Row],[Source Row]])))</f>
        <v/>
      </c>
      <c r="U144" s="164" t="str">
        <f aca="false">IF(Salary_Calculation[[#This Row],[Source Row]]="","",N(INDEX(Rider_Input[Other Deductions],Salary_Calculation[[#This Row],[Source Row]])))</f>
        <v/>
      </c>
      <c r="V144" s="164" t="str">
        <f aca="false">IF(Salary_Calculation[[#This Row],[Source Row]]="","",N(Salary_Calculation[[#This Row],[missed_days_penalty]])+N(Salary_Calculation[[#This Row],[Rider Balance]])+N(Salary_Calculation[[#This Row],[stacking_deduction]])+N(Salary_Calculation[[#This Row],[Other Deductions]]))</f>
        <v/>
      </c>
      <c r="W144" s="167" t="str">
        <f aca="false">IF(Salary_Calculation[[#This Row],[Source Row]]="","",ROUND(MAX(Salary_Calculation[[#This Row],[Gross Salary Before Deductions]]-Salary_Calculation[[#This Row],[Total Deductions]],0),2))</f>
        <v/>
      </c>
      <c r="X144" s="164" t="str">
        <f aca="false">IF(Salary_Calculation[[#This Row],[Source Row]]="","",ROUND(MAX(Salary_Calculation[[#This Row],[Missing-Order Deduction]]-Salary_Calculation[[#This Row],[Earned Salary]],0),2))</f>
        <v/>
      </c>
      <c r="Y14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44" s="163" t="str">
        <f aca="false">IF(Salary_Calculation[[#This Row],[Source Row]]="","",IF(INDEX(Rider_Input[Notes],Salary_Calculation[[#This Row],[Source Row]])="","",INDEX(Rider_Input[Notes],Salary_Calculation[[#This Row],[Source Row]])))</f>
        <v/>
      </c>
      <c r="AA144" s="164" t="str">
        <f aca="false">IF(Salary_Calculation[[#This Row],[Source Row]]="","",Salary_Calculation[[#This Row],[Earned Salary]]-Salary_Calculation[[#This Row],[Missing-Order Deduction]]+Salary_Calculation[[#This Row],[Extra-Order Bonus]])</f>
        <v/>
      </c>
      <c r="AB144" s="164" t="str">
        <f aca="false">IF(Salary_Calculation[[#This Row],[Source Row]]="","",ROUND(Salary_Calculation[[#This Row],[Negative Balance / Amount Due from Rider]]+MAX(Salary_Calculation[[#This Row],[Total Deductions]]-Salary_Calculation[[#This Row],[Gross Salary Before Deductions]],0),2))</f>
        <v/>
      </c>
      <c r="AC14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44" s="164" t="str">
        <f aca="false">IF(Salary_Calculation[[#This Row],[Source Row]]="","",Salary_Calculation[[#This Row],[Rider Target Orders]]*Salary_Calculation[[#This Row],[Base Order Rate]])</f>
        <v/>
      </c>
      <c r="AE144" s="162" t="str">
        <f aca="false">IF(SUMPRODUCT(--(LEN(INDEX(Rider_Input[#Data],ROW()-ROW(Salary_Calculation[#Headers]),0))&gt;0))=0,"",ROW()-ROW(Salary_Calculation[#Headers]))</f>
        <v/>
      </c>
    </row>
    <row r="145" customFormat="false" ht="14.25" hidden="false" customHeight="false" outlineLevel="0" collapsed="false">
      <c r="A145" s="161" t="str">
        <f aca="false">IF(Salary_Calculation[[#This Row],[Source Row]]="","",IF(INDEX(Rider_Input[Salary Month],Salary_Calculation[[#This Row],[Source Row]])="","",INDEX(Rider_Input[Salary Month],Salary_Calculation[[#This Row],[Source Row]])))</f>
        <v/>
      </c>
      <c r="B145" s="162" t="str">
        <f aca="false">IF(Salary_Calculation[[#This Row],[Source Row]]="","",IF(INDEX(Rider_Input[Rider ID],Salary_Calculation[[#This Row],[Source Row]])="","",INDEX(Rider_Input[Rider ID],Salary_Calculation[[#This Row],[Source Row]])))</f>
        <v/>
      </c>
      <c r="C145" s="163" t="str">
        <f aca="false">IF(Salary_Calculation[[#This Row],[Source Row]]="","",IF(INDEX(Rider_Input[Rider Name],Salary_Calculation[[#This Row],[Source Row]])="","",INDEX(Rider_Input[Rider Name],Salary_Calculation[[#This Row],[Source Row]])))</f>
        <v/>
      </c>
      <c r="D145" s="164" t="str">
        <f aca="false">IF(Salary_Calculation[[#This Row],[Source Row]]="","",IF(INDEX(Rider_Input[Basic Payment],Salary_Calculation[[#This Row],[Source Row]])="","",INDEX(Rider_Input[Basic Payment],Salary_Calculation[[#This Row],[Source Row]])))</f>
        <v/>
      </c>
      <c r="E145" s="162" t="str">
        <f aca="false">IF(Salary_Calculation[[#This Row],[Source Row]]="","",IF(INDEX(Rider_Input[Calendar Days in Month],Salary_Calculation[[#This Row],[Source Row]])="","",INDEX(Rider_Input[Calendar Days in Month],Salary_Calculation[[#This Row],[Source Row]])))</f>
        <v/>
      </c>
      <c r="F145" s="162" t="str">
        <f aca="false">IF(Salary_Calculation[[#This Row],[Source Row]]="","",IF(INDEX(Rider_Input[Working Days],Salary_Calculation[[#This Row],[Source Row]])="","",INDEX(Rider_Input[Working Days],Salary_Calculation[[#This Row],[Source Row]])))</f>
        <v/>
      </c>
      <c r="G145" s="165" t="str">
        <f aca="false">IF(Salary_Calculation[[#This Row],[Source Row]]="","",Std_Orders/Std_Days*N(Salary_Calculation[[#This Row],[Calendar Days]]))</f>
        <v/>
      </c>
      <c r="H145" s="165" t="str">
        <f aca="false">IF(Salary_Calculation[[#This Row],[Source Row]]="","",IF(N(Salary_Calculation[[#This Row],[Calendar Days]])&gt;0,Salary_Calculation[[#This Row],[Monthly Target Orders]]/N(Salary_Calculation[[#This Row],[Calendar Days]])*N(Salary_Calculation[[#This Row],[Working Days]]),0))</f>
        <v/>
      </c>
      <c r="I145" s="166" t="str">
        <f aca="false">IF(Salary_Calculation[[#This Row],[Source Row]]="","",IF(INDEX(Rider_Input[Completed Orders],Salary_Calculation[[#This Row],[Source Row]])="","",INDEX(Rider_Input[Completed Orders],Salary_Calculation[[#This Row],[Source Row]])))</f>
        <v/>
      </c>
      <c r="J145" s="165" t="str">
        <f aca="false">IF(Salary_Calculation[[#This Row],[Source Row]]="","",IF(Rate_Method="Fixed rate",Fixed_Rate,IF(N(Salary_Calculation[[#This Row],[Basic Payment]])&gt;0,N(Salary_Calculation[[#This Row],[Basic Payment]])/Std_Orders,0)))</f>
        <v/>
      </c>
      <c r="K145" s="165" t="str">
        <f aca="false">IF(Salary_Calculation[[#This Row],[Source Row]]="","",MAX(MIN(N(Salary_Calculation[[#This Row],[Completed Orders]]),Salary_Calculation[[#This Row],[Rider Target Orders]]),0))</f>
        <v/>
      </c>
      <c r="L145" s="164" t="str">
        <f aca="false">IF(Salary_Calculation[[#This Row],[Source Row]]="","",Salary_Calculation[[#This Row],[Orders Counted at Base Rate]]*Salary_Calculation[[#This Row],[Base Order Rate]])</f>
        <v/>
      </c>
      <c r="M145" s="165" t="str">
        <f aca="false">IF(Salary_Calculation[[#This Row],[Source Row]]="","",MAX(Salary_Calculation[[#This Row],[Rider Target Orders]]-N(Salary_Calculation[[#This Row],[Completed Orders]]),0))</f>
        <v/>
      </c>
      <c r="N145" s="164" t="str">
        <f aca="false">IF(Salary_Calculation[[#This Row],[Source Row]]="","",Salary_Calculation[[#This Row],[Missing Orders]]*Missing_Rate)</f>
        <v/>
      </c>
      <c r="O145" s="165" t="str">
        <f aca="false">IF(Salary_Calculation[[#This Row],[Source Row]]="","",MAX(N(Salary_Calculation[[#This Row],[Completed Orders]])-Salary_Calculation[[#This Row],[Rider Target Orders]],0))</f>
        <v/>
      </c>
      <c r="P145" s="164" t="str">
        <f aca="false">IF(Salary_Calculation[[#This Row],[Source Row]]="","",Salary_Calculation[[#This Row],[Extra Orders]]*Extra_Rate)</f>
        <v/>
      </c>
      <c r="Q145" s="164" t="str">
        <f aca="false">IF(Salary_Calculation[[#This Row],[Source Row]]="","",MAX(Salary_Calculation[[#This Row],[Salary Before Other Deductions]],0))</f>
        <v/>
      </c>
      <c r="R145" s="164" t="str">
        <f aca="false">IF(Salary_Calculation[[#This Row],[Source Row]]="","",N(INDEX(Rider_Input[missed_days_penalty],Salary_Calculation[[#This Row],[Source Row]])))</f>
        <v/>
      </c>
      <c r="S145" s="164" t="str">
        <f aca="false">IF(Salary_Calculation[[#This Row],[Source Row]]="","",N(INDEX(Rider_Input[Rider Balance / محفظة المندوب],Salary_Calculation[[#This Row],[Source Row]])))</f>
        <v/>
      </c>
      <c r="T145" s="164" t="str">
        <f aca="false">IF(Salary_Calculation[[#This Row],[Source Row]]="","",N(INDEX(Rider_Input[stacking_deduction / خصم الطلبات المتعددة],Salary_Calculation[[#This Row],[Source Row]])))</f>
        <v/>
      </c>
      <c r="U145" s="164" t="str">
        <f aca="false">IF(Salary_Calculation[[#This Row],[Source Row]]="","",N(INDEX(Rider_Input[Other Deductions],Salary_Calculation[[#This Row],[Source Row]])))</f>
        <v/>
      </c>
      <c r="V145" s="164" t="str">
        <f aca="false">IF(Salary_Calculation[[#This Row],[Source Row]]="","",N(Salary_Calculation[[#This Row],[missed_days_penalty]])+N(Salary_Calculation[[#This Row],[Rider Balance]])+N(Salary_Calculation[[#This Row],[stacking_deduction]])+N(Salary_Calculation[[#This Row],[Other Deductions]]))</f>
        <v/>
      </c>
      <c r="W145" s="167" t="str">
        <f aca="false">IF(Salary_Calculation[[#This Row],[Source Row]]="","",ROUND(MAX(Salary_Calculation[[#This Row],[Gross Salary Before Deductions]]-Salary_Calculation[[#This Row],[Total Deductions]],0),2))</f>
        <v/>
      </c>
      <c r="X145" s="164" t="str">
        <f aca="false">IF(Salary_Calculation[[#This Row],[Source Row]]="","",ROUND(MAX(Salary_Calculation[[#This Row],[Missing-Order Deduction]]-Salary_Calculation[[#This Row],[Earned Salary]],0),2))</f>
        <v/>
      </c>
      <c r="Y14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45" s="163" t="str">
        <f aca="false">IF(Salary_Calculation[[#This Row],[Source Row]]="","",IF(INDEX(Rider_Input[Notes],Salary_Calculation[[#This Row],[Source Row]])="","",INDEX(Rider_Input[Notes],Salary_Calculation[[#This Row],[Source Row]])))</f>
        <v/>
      </c>
      <c r="AA145" s="164" t="str">
        <f aca="false">IF(Salary_Calculation[[#This Row],[Source Row]]="","",Salary_Calculation[[#This Row],[Earned Salary]]-Salary_Calculation[[#This Row],[Missing-Order Deduction]]+Salary_Calculation[[#This Row],[Extra-Order Bonus]])</f>
        <v/>
      </c>
      <c r="AB145" s="164" t="str">
        <f aca="false">IF(Salary_Calculation[[#This Row],[Source Row]]="","",ROUND(Salary_Calculation[[#This Row],[Negative Balance / Amount Due from Rider]]+MAX(Salary_Calculation[[#This Row],[Total Deductions]]-Salary_Calculation[[#This Row],[Gross Salary Before Deductions]],0),2))</f>
        <v/>
      </c>
      <c r="AC14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45" s="164" t="str">
        <f aca="false">IF(Salary_Calculation[[#This Row],[Source Row]]="","",Salary_Calculation[[#This Row],[Rider Target Orders]]*Salary_Calculation[[#This Row],[Base Order Rate]])</f>
        <v/>
      </c>
      <c r="AE145" s="162" t="str">
        <f aca="false">IF(SUMPRODUCT(--(LEN(INDEX(Rider_Input[#Data],ROW()-ROW(Salary_Calculation[#Headers]),0))&gt;0))=0,"",ROW()-ROW(Salary_Calculation[#Headers]))</f>
        <v/>
      </c>
    </row>
    <row r="146" customFormat="false" ht="14.25" hidden="false" customHeight="false" outlineLevel="0" collapsed="false">
      <c r="A146" s="161" t="str">
        <f aca="false">IF(Salary_Calculation[[#This Row],[Source Row]]="","",IF(INDEX(Rider_Input[Salary Month],Salary_Calculation[[#This Row],[Source Row]])="","",INDEX(Rider_Input[Salary Month],Salary_Calculation[[#This Row],[Source Row]])))</f>
        <v/>
      </c>
      <c r="B146" s="162" t="str">
        <f aca="false">IF(Salary_Calculation[[#This Row],[Source Row]]="","",IF(INDEX(Rider_Input[Rider ID],Salary_Calculation[[#This Row],[Source Row]])="","",INDEX(Rider_Input[Rider ID],Salary_Calculation[[#This Row],[Source Row]])))</f>
        <v/>
      </c>
      <c r="C146" s="163" t="str">
        <f aca="false">IF(Salary_Calculation[[#This Row],[Source Row]]="","",IF(INDEX(Rider_Input[Rider Name],Salary_Calculation[[#This Row],[Source Row]])="","",INDEX(Rider_Input[Rider Name],Salary_Calculation[[#This Row],[Source Row]])))</f>
        <v/>
      </c>
      <c r="D146" s="164" t="str">
        <f aca="false">IF(Salary_Calculation[[#This Row],[Source Row]]="","",IF(INDEX(Rider_Input[Basic Payment],Salary_Calculation[[#This Row],[Source Row]])="","",INDEX(Rider_Input[Basic Payment],Salary_Calculation[[#This Row],[Source Row]])))</f>
        <v/>
      </c>
      <c r="E146" s="162" t="str">
        <f aca="false">IF(Salary_Calculation[[#This Row],[Source Row]]="","",IF(INDEX(Rider_Input[Calendar Days in Month],Salary_Calculation[[#This Row],[Source Row]])="","",INDEX(Rider_Input[Calendar Days in Month],Salary_Calculation[[#This Row],[Source Row]])))</f>
        <v/>
      </c>
      <c r="F146" s="162" t="str">
        <f aca="false">IF(Salary_Calculation[[#This Row],[Source Row]]="","",IF(INDEX(Rider_Input[Working Days],Salary_Calculation[[#This Row],[Source Row]])="","",INDEX(Rider_Input[Working Days],Salary_Calculation[[#This Row],[Source Row]])))</f>
        <v/>
      </c>
      <c r="G146" s="165" t="str">
        <f aca="false">IF(Salary_Calculation[[#This Row],[Source Row]]="","",Std_Orders/Std_Days*N(Salary_Calculation[[#This Row],[Calendar Days]]))</f>
        <v/>
      </c>
      <c r="H146" s="165" t="str">
        <f aca="false">IF(Salary_Calculation[[#This Row],[Source Row]]="","",IF(N(Salary_Calculation[[#This Row],[Calendar Days]])&gt;0,Salary_Calculation[[#This Row],[Monthly Target Orders]]/N(Salary_Calculation[[#This Row],[Calendar Days]])*N(Salary_Calculation[[#This Row],[Working Days]]),0))</f>
        <v/>
      </c>
      <c r="I146" s="166" t="str">
        <f aca="false">IF(Salary_Calculation[[#This Row],[Source Row]]="","",IF(INDEX(Rider_Input[Completed Orders],Salary_Calculation[[#This Row],[Source Row]])="","",INDEX(Rider_Input[Completed Orders],Salary_Calculation[[#This Row],[Source Row]])))</f>
        <v/>
      </c>
      <c r="J146" s="165" t="str">
        <f aca="false">IF(Salary_Calculation[[#This Row],[Source Row]]="","",IF(Rate_Method="Fixed rate",Fixed_Rate,IF(N(Salary_Calculation[[#This Row],[Basic Payment]])&gt;0,N(Salary_Calculation[[#This Row],[Basic Payment]])/Std_Orders,0)))</f>
        <v/>
      </c>
      <c r="K146" s="165" t="str">
        <f aca="false">IF(Salary_Calculation[[#This Row],[Source Row]]="","",MAX(MIN(N(Salary_Calculation[[#This Row],[Completed Orders]]),Salary_Calculation[[#This Row],[Rider Target Orders]]),0))</f>
        <v/>
      </c>
      <c r="L146" s="164" t="str">
        <f aca="false">IF(Salary_Calculation[[#This Row],[Source Row]]="","",Salary_Calculation[[#This Row],[Orders Counted at Base Rate]]*Salary_Calculation[[#This Row],[Base Order Rate]])</f>
        <v/>
      </c>
      <c r="M146" s="165" t="str">
        <f aca="false">IF(Salary_Calculation[[#This Row],[Source Row]]="","",MAX(Salary_Calculation[[#This Row],[Rider Target Orders]]-N(Salary_Calculation[[#This Row],[Completed Orders]]),0))</f>
        <v/>
      </c>
      <c r="N146" s="164" t="str">
        <f aca="false">IF(Salary_Calculation[[#This Row],[Source Row]]="","",Salary_Calculation[[#This Row],[Missing Orders]]*Missing_Rate)</f>
        <v/>
      </c>
      <c r="O146" s="165" t="str">
        <f aca="false">IF(Salary_Calculation[[#This Row],[Source Row]]="","",MAX(N(Salary_Calculation[[#This Row],[Completed Orders]])-Salary_Calculation[[#This Row],[Rider Target Orders]],0))</f>
        <v/>
      </c>
      <c r="P146" s="164" t="str">
        <f aca="false">IF(Salary_Calculation[[#This Row],[Source Row]]="","",Salary_Calculation[[#This Row],[Extra Orders]]*Extra_Rate)</f>
        <v/>
      </c>
      <c r="Q146" s="164" t="str">
        <f aca="false">IF(Salary_Calculation[[#This Row],[Source Row]]="","",MAX(Salary_Calculation[[#This Row],[Salary Before Other Deductions]],0))</f>
        <v/>
      </c>
      <c r="R146" s="164" t="str">
        <f aca="false">IF(Salary_Calculation[[#This Row],[Source Row]]="","",N(INDEX(Rider_Input[missed_days_penalty],Salary_Calculation[[#This Row],[Source Row]])))</f>
        <v/>
      </c>
      <c r="S146" s="164" t="str">
        <f aca="false">IF(Salary_Calculation[[#This Row],[Source Row]]="","",N(INDEX(Rider_Input[Rider Balance / محفظة المندوب],Salary_Calculation[[#This Row],[Source Row]])))</f>
        <v/>
      </c>
      <c r="T146" s="164" t="str">
        <f aca="false">IF(Salary_Calculation[[#This Row],[Source Row]]="","",N(INDEX(Rider_Input[stacking_deduction / خصم الطلبات المتعددة],Salary_Calculation[[#This Row],[Source Row]])))</f>
        <v/>
      </c>
      <c r="U146" s="164" t="str">
        <f aca="false">IF(Salary_Calculation[[#This Row],[Source Row]]="","",N(INDEX(Rider_Input[Other Deductions],Salary_Calculation[[#This Row],[Source Row]])))</f>
        <v/>
      </c>
      <c r="V146" s="164" t="str">
        <f aca="false">IF(Salary_Calculation[[#This Row],[Source Row]]="","",N(Salary_Calculation[[#This Row],[missed_days_penalty]])+N(Salary_Calculation[[#This Row],[Rider Balance]])+N(Salary_Calculation[[#This Row],[stacking_deduction]])+N(Salary_Calculation[[#This Row],[Other Deductions]]))</f>
        <v/>
      </c>
      <c r="W146" s="167" t="str">
        <f aca="false">IF(Salary_Calculation[[#This Row],[Source Row]]="","",ROUND(MAX(Salary_Calculation[[#This Row],[Gross Salary Before Deductions]]-Salary_Calculation[[#This Row],[Total Deductions]],0),2))</f>
        <v/>
      </c>
      <c r="X146" s="164" t="str">
        <f aca="false">IF(Salary_Calculation[[#This Row],[Source Row]]="","",ROUND(MAX(Salary_Calculation[[#This Row],[Missing-Order Deduction]]-Salary_Calculation[[#This Row],[Earned Salary]],0),2))</f>
        <v/>
      </c>
      <c r="Y14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46" s="163" t="str">
        <f aca="false">IF(Salary_Calculation[[#This Row],[Source Row]]="","",IF(INDEX(Rider_Input[Notes],Salary_Calculation[[#This Row],[Source Row]])="","",INDEX(Rider_Input[Notes],Salary_Calculation[[#This Row],[Source Row]])))</f>
        <v/>
      </c>
      <c r="AA146" s="164" t="str">
        <f aca="false">IF(Salary_Calculation[[#This Row],[Source Row]]="","",Salary_Calculation[[#This Row],[Earned Salary]]-Salary_Calculation[[#This Row],[Missing-Order Deduction]]+Salary_Calculation[[#This Row],[Extra-Order Bonus]])</f>
        <v/>
      </c>
      <c r="AB146" s="164" t="str">
        <f aca="false">IF(Salary_Calculation[[#This Row],[Source Row]]="","",ROUND(Salary_Calculation[[#This Row],[Negative Balance / Amount Due from Rider]]+MAX(Salary_Calculation[[#This Row],[Total Deductions]]-Salary_Calculation[[#This Row],[Gross Salary Before Deductions]],0),2))</f>
        <v/>
      </c>
      <c r="AC14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46" s="164" t="str">
        <f aca="false">IF(Salary_Calculation[[#This Row],[Source Row]]="","",Salary_Calculation[[#This Row],[Rider Target Orders]]*Salary_Calculation[[#This Row],[Base Order Rate]])</f>
        <v/>
      </c>
      <c r="AE146" s="162" t="str">
        <f aca="false">IF(SUMPRODUCT(--(LEN(INDEX(Rider_Input[#Data],ROW()-ROW(Salary_Calculation[#Headers]),0))&gt;0))=0,"",ROW()-ROW(Salary_Calculation[#Headers]))</f>
        <v/>
      </c>
    </row>
    <row r="147" customFormat="false" ht="14.25" hidden="false" customHeight="false" outlineLevel="0" collapsed="false">
      <c r="A147" s="161" t="str">
        <f aca="false">IF(Salary_Calculation[[#This Row],[Source Row]]="","",IF(INDEX(Rider_Input[Salary Month],Salary_Calculation[[#This Row],[Source Row]])="","",INDEX(Rider_Input[Salary Month],Salary_Calculation[[#This Row],[Source Row]])))</f>
        <v/>
      </c>
      <c r="B147" s="162" t="str">
        <f aca="false">IF(Salary_Calculation[[#This Row],[Source Row]]="","",IF(INDEX(Rider_Input[Rider ID],Salary_Calculation[[#This Row],[Source Row]])="","",INDEX(Rider_Input[Rider ID],Salary_Calculation[[#This Row],[Source Row]])))</f>
        <v/>
      </c>
      <c r="C147" s="163" t="str">
        <f aca="false">IF(Salary_Calculation[[#This Row],[Source Row]]="","",IF(INDEX(Rider_Input[Rider Name],Salary_Calculation[[#This Row],[Source Row]])="","",INDEX(Rider_Input[Rider Name],Salary_Calculation[[#This Row],[Source Row]])))</f>
        <v/>
      </c>
      <c r="D147" s="164" t="str">
        <f aca="false">IF(Salary_Calculation[[#This Row],[Source Row]]="","",IF(INDEX(Rider_Input[Basic Payment],Salary_Calculation[[#This Row],[Source Row]])="","",INDEX(Rider_Input[Basic Payment],Salary_Calculation[[#This Row],[Source Row]])))</f>
        <v/>
      </c>
      <c r="E147" s="162" t="str">
        <f aca="false">IF(Salary_Calculation[[#This Row],[Source Row]]="","",IF(INDEX(Rider_Input[Calendar Days in Month],Salary_Calculation[[#This Row],[Source Row]])="","",INDEX(Rider_Input[Calendar Days in Month],Salary_Calculation[[#This Row],[Source Row]])))</f>
        <v/>
      </c>
      <c r="F147" s="162" t="str">
        <f aca="false">IF(Salary_Calculation[[#This Row],[Source Row]]="","",IF(INDEX(Rider_Input[Working Days],Salary_Calculation[[#This Row],[Source Row]])="","",INDEX(Rider_Input[Working Days],Salary_Calculation[[#This Row],[Source Row]])))</f>
        <v/>
      </c>
      <c r="G147" s="165" t="str">
        <f aca="false">IF(Salary_Calculation[[#This Row],[Source Row]]="","",Std_Orders/Std_Days*N(Salary_Calculation[[#This Row],[Calendar Days]]))</f>
        <v/>
      </c>
      <c r="H147" s="165" t="str">
        <f aca="false">IF(Salary_Calculation[[#This Row],[Source Row]]="","",IF(N(Salary_Calculation[[#This Row],[Calendar Days]])&gt;0,Salary_Calculation[[#This Row],[Monthly Target Orders]]/N(Salary_Calculation[[#This Row],[Calendar Days]])*N(Salary_Calculation[[#This Row],[Working Days]]),0))</f>
        <v/>
      </c>
      <c r="I147" s="166" t="str">
        <f aca="false">IF(Salary_Calculation[[#This Row],[Source Row]]="","",IF(INDEX(Rider_Input[Completed Orders],Salary_Calculation[[#This Row],[Source Row]])="","",INDEX(Rider_Input[Completed Orders],Salary_Calculation[[#This Row],[Source Row]])))</f>
        <v/>
      </c>
      <c r="J147" s="165" t="str">
        <f aca="false">IF(Salary_Calculation[[#This Row],[Source Row]]="","",IF(Rate_Method="Fixed rate",Fixed_Rate,IF(N(Salary_Calculation[[#This Row],[Basic Payment]])&gt;0,N(Salary_Calculation[[#This Row],[Basic Payment]])/Std_Orders,0)))</f>
        <v/>
      </c>
      <c r="K147" s="165" t="str">
        <f aca="false">IF(Salary_Calculation[[#This Row],[Source Row]]="","",MAX(MIN(N(Salary_Calculation[[#This Row],[Completed Orders]]),Salary_Calculation[[#This Row],[Rider Target Orders]]),0))</f>
        <v/>
      </c>
      <c r="L147" s="164" t="str">
        <f aca="false">IF(Salary_Calculation[[#This Row],[Source Row]]="","",Salary_Calculation[[#This Row],[Orders Counted at Base Rate]]*Salary_Calculation[[#This Row],[Base Order Rate]])</f>
        <v/>
      </c>
      <c r="M147" s="165" t="str">
        <f aca="false">IF(Salary_Calculation[[#This Row],[Source Row]]="","",MAX(Salary_Calculation[[#This Row],[Rider Target Orders]]-N(Salary_Calculation[[#This Row],[Completed Orders]]),0))</f>
        <v/>
      </c>
      <c r="N147" s="164" t="str">
        <f aca="false">IF(Salary_Calculation[[#This Row],[Source Row]]="","",Salary_Calculation[[#This Row],[Missing Orders]]*Missing_Rate)</f>
        <v/>
      </c>
      <c r="O147" s="165" t="str">
        <f aca="false">IF(Salary_Calculation[[#This Row],[Source Row]]="","",MAX(N(Salary_Calculation[[#This Row],[Completed Orders]])-Salary_Calculation[[#This Row],[Rider Target Orders]],0))</f>
        <v/>
      </c>
      <c r="P147" s="164" t="str">
        <f aca="false">IF(Salary_Calculation[[#This Row],[Source Row]]="","",Salary_Calculation[[#This Row],[Extra Orders]]*Extra_Rate)</f>
        <v/>
      </c>
      <c r="Q147" s="164" t="str">
        <f aca="false">IF(Salary_Calculation[[#This Row],[Source Row]]="","",MAX(Salary_Calculation[[#This Row],[Salary Before Other Deductions]],0))</f>
        <v/>
      </c>
      <c r="R147" s="164" t="str">
        <f aca="false">IF(Salary_Calculation[[#This Row],[Source Row]]="","",N(INDEX(Rider_Input[missed_days_penalty],Salary_Calculation[[#This Row],[Source Row]])))</f>
        <v/>
      </c>
      <c r="S147" s="164" t="str">
        <f aca="false">IF(Salary_Calculation[[#This Row],[Source Row]]="","",N(INDEX(Rider_Input[Rider Balance / محفظة المندوب],Salary_Calculation[[#This Row],[Source Row]])))</f>
        <v/>
      </c>
      <c r="T147" s="164" t="str">
        <f aca="false">IF(Salary_Calculation[[#This Row],[Source Row]]="","",N(INDEX(Rider_Input[stacking_deduction / خصم الطلبات المتعددة],Salary_Calculation[[#This Row],[Source Row]])))</f>
        <v/>
      </c>
      <c r="U147" s="164" t="str">
        <f aca="false">IF(Salary_Calculation[[#This Row],[Source Row]]="","",N(INDEX(Rider_Input[Other Deductions],Salary_Calculation[[#This Row],[Source Row]])))</f>
        <v/>
      </c>
      <c r="V147" s="164" t="str">
        <f aca="false">IF(Salary_Calculation[[#This Row],[Source Row]]="","",N(Salary_Calculation[[#This Row],[missed_days_penalty]])+N(Salary_Calculation[[#This Row],[Rider Balance]])+N(Salary_Calculation[[#This Row],[stacking_deduction]])+N(Salary_Calculation[[#This Row],[Other Deductions]]))</f>
        <v/>
      </c>
      <c r="W147" s="167" t="str">
        <f aca="false">IF(Salary_Calculation[[#This Row],[Source Row]]="","",ROUND(MAX(Salary_Calculation[[#This Row],[Gross Salary Before Deductions]]-Salary_Calculation[[#This Row],[Total Deductions]],0),2))</f>
        <v/>
      </c>
      <c r="X147" s="164" t="str">
        <f aca="false">IF(Salary_Calculation[[#This Row],[Source Row]]="","",ROUND(MAX(Salary_Calculation[[#This Row],[Missing-Order Deduction]]-Salary_Calculation[[#This Row],[Earned Salary]],0),2))</f>
        <v/>
      </c>
      <c r="Y14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47" s="163" t="str">
        <f aca="false">IF(Salary_Calculation[[#This Row],[Source Row]]="","",IF(INDEX(Rider_Input[Notes],Salary_Calculation[[#This Row],[Source Row]])="","",INDEX(Rider_Input[Notes],Salary_Calculation[[#This Row],[Source Row]])))</f>
        <v/>
      </c>
      <c r="AA147" s="164" t="str">
        <f aca="false">IF(Salary_Calculation[[#This Row],[Source Row]]="","",Salary_Calculation[[#This Row],[Earned Salary]]-Salary_Calculation[[#This Row],[Missing-Order Deduction]]+Salary_Calculation[[#This Row],[Extra-Order Bonus]])</f>
        <v/>
      </c>
      <c r="AB147" s="164" t="str">
        <f aca="false">IF(Salary_Calculation[[#This Row],[Source Row]]="","",ROUND(Salary_Calculation[[#This Row],[Negative Balance / Amount Due from Rider]]+MAX(Salary_Calculation[[#This Row],[Total Deductions]]-Salary_Calculation[[#This Row],[Gross Salary Before Deductions]],0),2))</f>
        <v/>
      </c>
      <c r="AC14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47" s="164" t="str">
        <f aca="false">IF(Salary_Calculation[[#This Row],[Source Row]]="","",Salary_Calculation[[#This Row],[Rider Target Orders]]*Salary_Calculation[[#This Row],[Base Order Rate]])</f>
        <v/>
      </c>
      <c r="AE147" s="162" t="str">
        <f aca="false">IF(SUMPRODUCT(--(LEN(INDEX(Rider_Input[#Data],ROW()-ROW(Salary_Calculation[#Headers]),0))&gt;0))=0,"",ROW()-ROW(Salary_Calculation[#Headers]))</f>
        <v/>
      </c>
    </row>
    <row r="148" customFormat="false" ht="14.25" hidden="false" customHeight="false" outlineLevel="0" collapsed="false">
      <c r="A148" s="161" t="str">
        <f aca="false">IF(Salary_Calculation[[#This Row],[Source Row]]="","",IF(INDEX(Rider_Input[Salary Month],Salary_Calculation[[#This Row],[Source Row]])="","",INDEX(Rider_Input[Salary Month],Salary_Calculation[[#This Row],[Source Row]])))</f>
        <v/>
      </c>
      <c r="B148" s="162" t="str">
        <f aca="false">IF(Salary_Calculation[[#This Row],[Source Row]]="","",IF(INDEX(Rider_Input[Rider ID],Salary_Calculation[[#This Row],[Source Row]])="","",INDEX(Rider_Input[Rider ID],Salary_Calculation[[#This Row],[Source Row]])))</f>
        <v/>
      </c>
      <c r="C148" s="163" t="str">
        <f aca="false">IF(Salary_Calculation[[#This Row],[Source Row]]="","",IF(INDEX(Rider_Input[Rider Name],Salary_Calculation[[#This Row],[Source Row]])="","",INDEX(Rider_Input[Rider Name],Salary_Calculation[[#This Row],[Source Row]])))</f>
        <v/>
      </c>
      <c r="D148" s="164" t="str">
        <f aca="false">IF(Salary_Calculation[[#This Row],[Source Row]]="","",IF(INDEX(Rider_Input[Basic Payment],Salary_Calculation[[#This Row],[Source Row]])="","",INDEX(Rider_Input[Basic Payment],Salary_Calculation[[#This Row],[Source Row]])))</f>
        <v/>
      </c>
      <c r="E148" s="162" t="str">
        <f aca="false">IF(Salary_Calculation[[#This Row],[Source Row]]="","",IF(INDEX(Rider_Input[Calendar Days in Month],Salary_Calculation[[#This Row],[Source Row]])="","",INDEX(Rider_Input[Calendar Days in Month],Salary_Calculation[[#This Row],[Source Row]])))</f>
        <v/>
      </c>
      <c r="F148" s="162" t="str">
        <f aca="false">IF(Salary_Calculation[[#This Row],[Source Row]]="","",IF(INDEX(Rider_Input[Working Days],Salary_Calculation[[#This Row],[Source Row]])="","",INDEX(Rider_Input[Working Days],Salary_Calculation[[#This Row],[Source Row]])))</f>
        <v/>
      </c>
      <c r="G148" s="165" t="str">
        <f aca="false">IF(Salary_Calculation[[#This Row],[Source Row]]="","",Std_Orders/Std_Days*N(Salary_Calculation[[#This Row],[Calendar Days]]))</f>
        <v/>
      </c>
      <c r="H148" s="165" t="str">
        <f aca="false">IF(Salary_Calculation[[#This Row],[Source Row]]="","",IF(N(Salary_Calculation[[#This Row],[Calendar Days]])&gt;0,Salary_Calculation[[#This Row],[Monthly Target Orders]]/N(Salary_Calculation[[#This Row],[Calendar Days]])*N(Salary_Calculation[[#This Row],[Working Days]]),0))</f>
        <v/>
      </c>
      <c r="I148" s="166" t="str">
        <f aca="false">IF(Salary_Calculation[[#This Row],[Source Row]]="","",IF(INDEX(Rider_Input[Completed Orders],Salary_Calculation[[#This Row],[Source Row]])="","",INDEX(Rider_Input[Completed Orders],Salary_Calculation[[#This Row],[Source Row]])))</f>
        <v/>
      </c>
      <c r="J148" s="165" t="str">
        <f aca="false">IF(Salary_Calculation[[#This Row],[Source Row]]="","",IF(Rate_Method="Fixed rate",Fixed_Rate,IF(N(Salary_Calculation[[#This Row],[Basic Payment]])&gt;0,N(Salary_Calculation[[#This Row],[Basic Payment]])/Std_Orders,0)))</f>
        <v/>
      </c>
      <c r="K148" s="165" t="str">
        <f aca="false">IF(Salary_Calculation[[#This Row],[Source Row]]="","",MAX(MIN(N(Salary_Calculation[[#This Row],[Completed Orders]]),Salary_Calculation[[#This Row],[Rider Target Orders]]),0))</f>
        <v/>
      </c>
      <c r="L148" s="164" t="str">
        <f aca="false">IF(Salary_Calculation[[#This Row],[Source Row]]="","",Salary_Calculation[[#This Row],[Orders Counted at Base Rate]]*Salary_Calculation[[#This Row],[Base Order Rate]])</f>
        <v/>
      </c>
      <c r="M148" s="165" t="str">
        <f aca="false">IF(Salary_Calculation[[#This Row],[Source Row]]="","",MAX(Salary_Calculation[[#This Row],[Rider Target Orders]]-N(Salary_Calculation[[#This Row],[Completed Orders]]),0))</f>
        <v/>
      </c>
      <c r="N148" s="164" t="str">
        <f aca="false">IF(Salary_Calculation[[#This Row],[Source Row]]="","",Salary_Calculation[[#This Row],[Missing Orders]]*Missing_Rate)</f>
        <v/>
      </c>
      <c r="O148" s="165" t="str">
        <f aca="false">IF(Salary_Calculation[[#This Row],[Source Row]]="","",MAX(N(Salary_Calculation[[#This Row],[Completed Orders]])-Salary_Calculation[[#This Row],[Rider Target Orders]],0))</f>
        <v/>
      </c>
      <c r="P148" s="164" t="str">
        <f aca="false">IF(Salary_Calculation[[#This Row],[Source Row]]="","",Salary_Calculation[[#This Row],[Extra Orders]]*Extra_Rate)</f>
        <v/>
      </c>
      <c r="Q148" s="164" t="str">
        <f aca="false">IF(Salary_Calculation[[#This Row],[Source Row]]="","",MAX(Salary_Calculation[[#This Row],[Salary Before Other Deductions]],0))</f>
        <v/>
      </c>
      <c r="R148" s="164" t="str">
        <f aca="false">IF(Salary_Calculation[[#This Row],[Source Row]]="","",N(INDEX(Rider_Input[missed_days_penalty],Salary_Calculation[[#This Row],[Source Row]])))</f>
        <v/>
      </c>
      <c r="S148" s="164" t="str">
        <f aca="false">IF(Salary_Calculation[[#This Row],[Source Row]]="","",N(INDEX(Rider_Input[Rider Balance / محفظة المندوب],Salary_Calculation[[#This Row],[Source Row]])))</f>
        <v/>
      </c>
      <c r="T148" s="164" t="str">
        <f aca="false">IF(Salary_Calculation[[#This Row],[Source Row]]="","",N(INDEX(Rider_Input[stacking_deduction / خصم الطلبات المتعددة],Salary_Calculation[[#This Row],[Source Row]])))</f>
        <v/>
      </c>
      <c r="U148" s="164" t="str">
        <f aca="false">IF(Salary_Calculation[[#This Row],[Source Row]]="","",N(INDEX(Rider_Input[Other Deductions],Salary_Calculation[[#This Row],[Source Row]])))</f>
        <v/>
      </c>
      <c r="V148" s="164" t="str">
        <f aca="false">IF(Salary_Calculation[[#This Row],[Source Row]]="","",N(Salary_Calculation[[#This Row],[missed_days_penalty]])+N(Salary_Calculation[[#This Row],[Rider Balance]])+N(Salary_Calculation[[#This Row],[stacking_deduction]])+N(Salary_Calculation[[#This Row],[Other Deductions]]))</f>
        <v/>
      </c>
      <c r="W148" s="167" t="str">
        <f aca="false">IF(Salary_Calculation[[#This Row],[Source Row]]="","",ROUND(MAX(Salary_Calculation[[#This Row],[Gross Salary Before Deductions]]-Salary_Calculation[[#This Row],[Total Deductions]],0),2))</f>
        <v/>
      </c>
      <c r="X148" s="164" t="str">
        <f aca="false">IF(Salary_Calculation[[#This Row],[Source Row]]="","",ROUND(MAX(Salary_Calculation[[#This Row],[Missing-Order Deduction]]-Salary_Calculation[[#This Row],[Earned Salary]],0),2))</f>
        <v/>
      </c>
      <c r="Y14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48" s="163" t="str">
        <f aca="false">IF(Salary_Calculation[[#This Row],[Source Row]]="","",IF(INDEX(Rider_Input[Notes],Salary_Calculation[[#This Row],[Source Row]])="","",INDEX(Rider_Input[Notes],Salary_Calculation[[#This Row],[Source Row]])))</f>
        <v/>
      </c>
      <c r="AA148" s="164" t="str">
        <f aca="false">IF(Salary_Calculation[[#This Row],[Source Row]]="","",Salary_Calculation[[#This Row],[Earned Salary]]-Salary_Calculation[[#This Row],[Missing-Order Deduction]]+Salary_Calculation[[#This Row],[Extra-Order Bonus]])</f>
        <v/>
      </c>
      <c r="AB148" s="164" t="str">
        <f aca="false">IF(Salary_Calculation[[#This Row],[Source Row]]="","",ROUND(Salary_Calculation[[#This Row],[Negative Balance / Amount Due from Rider]]+MAX(Salary_Calculation[[#This Row],[Total Deductions]]-Salary_Calculation[[#This Row],[Gross Salary Before Deductions]],0),2))</f>
        <v/>
      </c>
      <c r="AC14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48" s="164" t="str">
        <f aca="false">IF(Salary_Calculation[[#This Row],[Source Row]]="","",Salary_Calculation[[#This Row],[Rider Target Orders]]*Salary_Calculation[[#This Row],[Base Order Rate]])</f>
        <v/>
      </c>
      <c r="AE148" s="162" t="str">
        <f aca="false">IF(SUMPRODUCT(--(LEN(INDEX(Rider_Input[#Data],ROW()-ROW(Salary_Calculation[#Headers]),0))&gt;0))=0,"",ROW()-ROW(Salary_Calculation[#Headers]))</f>
        <v/>
      </c>
    </row>
    <row r="149" customFormat="false" ht="14.25" hidden="false" customHeight="false" outlineLevel="0" collapsed="false">
      <c r="A149" s="161" t="str">
        <f aca="false">IF(Salary_Calculation[[#This Row],[Source Row]]="","",IF(INDEX(Rider_Input[Salary Month],Salary_Calculation[[#This Row],[Source Row]])="","",INDEX(Rider_Input[Salary Month],Salary_Calculation[[#This Row],[Source Row]])))</f>
        <v/>
      </c>
      <c r="B149" s="162" t="str">
        <f aca="false">IF(Salary_Calculation[[#This Row],[Source Row]]="","",IF(INDEX(Rider_Input[Rider ID],Salary_Calculation[[#This Row],[Source Row]])="","",INDEX(Rider_Input[Rider ID],Salary_Calculation[[#This Row],[Source Row]])))</f>
        <v/>
      </c>
      <c r="C149" s="163" t="str">
        <f aca="false">IF(Salary_Calculation[[#This Row],[Source Row]]="","",IF(INDEX(Rider_Input[Rider Name],Salary_Calculation[[#This Row],[Source Row]])="","",INDEX(Rider_Input[Rider Name],Salary_Calculation[[#This Row],[Source Row]])))</f>
        <v/>
      </c>
      <c r="D149" s="164" t="str">
        <f aca="false">IF(Salary_Calculation[[#This Row],[Source Row]]="","",IF(INDEX(Rider_Input[Basic Payment],Salary_Calculation[[#This Row],[Source Row]])="","",INDEX(Rider_Input[Basic Payment],Salary_Calculation[[#This Row],[Source Row]])))</f>
        <v/>
      </c>
      <c r="E149" s="162" t="str">
        <f aca="false">IF(Salary_Calculation[[#This Row],[Source Row]]="","",IF(INDEX(Rider_Input[Calendar Days in Month],Salary_Calculation[[#This Row],[Source Row]])="","",INDEX(Rider_Input[Calendar Days in Month],Salary_Calculation[[#This Row],[Source Row]])))</f>
        <v/>
      </c>
      <c r="F149" s="162" t="str">
        <f aca="false">IF(Salary_Calculation[[#This Row],[Source Row]]="","",IF(INDEX(Rider_Input[Working Days],Salary_Calculation[[#This Row],[Source Row]])="","",INDEX(Rider_Input[Working Days],Salary_Calculation[[#This Row],[Source Row]])))</f>
        <v/>
      </c>
      <c r="G149" s="165" t="str">
        <f aca="false">IF(Salary_Calculation[[#This Row],[Source Row]]="","",Std_Orders/Std_Days*N(Salary_Calculation[[#This Row],[Calendar Days]]))</f>
        <v/>
      </c>
      <c r="H149" s="165" t="str">
        <f aca="false">IF(Salary_Calculation[[#This Row],[Source Row]]="","",IF(N(Salary_Calculation[[#This Row],[Calendar Days]])&gt;0,Salary_Calculation[[#This Row],[Monthly Target Orders]]/N(Salary_Calculation[[#This Row],[Calendar Days]])*N(Salary_Calculation[[#This Row],[Working Days]]),0))</f>
        <v/>
      </c>
      <c r="I149" s="166" t="str">
        <f aca="false">IF(Salary_Calculation[[#This Row],[Source Row]]="","",IF(INDEX(Rider_Input[Completed Orders],Salary_Calculation[[#This Row],[Source Row]])="","",INDEX(Rider_Input[Completed Orders],Salary_Calculation[[#This Row],[Source Row]])))</f>
        <v/>
      </c>
      <c r="J149" s="165" t="str">
        <f aca="false">IF(Salary_Calculation[[#This Row],[Source Row]]="","",IF(Rate_Method="Fixed rate",Fixed_Rate,IF(N(Salary_Calculation[[#This Row],[Basic Payment]])&gt;0,N(Salary_Calculation[[#This Row],[Basic Payment]])/Std_Orders,0)))</f>
        <v/>
      </c>
      <c r="K149" s="165" t="str">
        <f aca="false">IF(Salary_Calculation[[#This Row],[Source Row]]="","",MAX(MIN(N(Salary_Calculation[[#This Row],[Completed Orders]]),Salary_Calculation[[#This Row],[Rider Target Orders]]),0))</f>
        <v/>
      </c>
      <c r="L149" s="164" t="str">
        <f aca="false">IF(Salary_Calculation[[#This Row],[Source Row]]="","",Salary_Calculation[[#This Row],[Orders Counted at Base Rate]]*Salary_Calculation[[#This Row],[Base Order Rate]])</f>
        <v/>
      </c>
      <c r="M149" s="165" t="str">
        <f aca="false">IF(Salary_Calculation[[#This Row],[Source Row]]="","",MAX(Salary_Calculation[[#This Row],[Rider Target Orders]]-N(Salary_Calculation[[#This Row],[Completed Orders]]),0))</f>
        <v/>
      </c>
      <c r="N149" s="164" t="str">
        <f aca="false">IF(Salary_Calculation[[#This Row],[Source Row]]="","",Salary_Calculation[[#This Row],[Missing Orders]]*Missing_Rate)</f>
        <v/>
      </c>
      <c r="O149" s="165" t="str">
        <f aca="false">IF(Salary_Calculation[[#This Row],[Source Row]]="","",MAX(N(Salary_Calculation[[#This Row],[Completed Orders]])-Salary_Calculation[[#This Row],[Rider Target Orders]],0))</f>
        <v/>
      </c>
      <c r="P149" s="164" t="str">
        <f aca="false">IF(Salary_Calculation[[#This Row],[Source Row]]="","",Salary_Calculation[[#This Row],[Extra Orders]]*Extra_Rate)</f>
        <v/>
      </c>
      <c r="Q149" s="164" t="str">
        <f aca="false">IF(Salary_Calculation[[#This Row],[Source Row]]="","",MAX(Salary_Calculation[[#This Row],[Salary Before Other Deductions]],0))</f>
        <v/>
      </c>
      <c r="R149" s="164" t="str">
        <f aca="false">IF(Salary_Calculation[[#This Row],[Source Row]]="","",N(INDEX(Rider_Input[missed_days_penalty],Salary_Calculation[[#This Row],[Source Row]])))</f>
        <v/>
      </c>
      <c r="S149" s="164" t="str">
        <f aca="false">IF(Salary_Calculation[[#This Row],[Source Row]]="","",N(INDEX(Rider_Input[Rider Balance / محفظة المندوب],Salary_Calculation[[#This Row],[Source Row]])))</f>
        <v/>
      </c>
      <c r="T149" s="164" t="str">
        <f aca="false">IF(Salary_Calculation[[#This Row],[Source Row]]="","",N(INDEX(Rider_Input[stacking_deduction / خصم الطلبات المتعددة],Salary_Calculation[[#This Row],[Source Row]])))</f>
        <v/>
      </c>
      <c r="U149" s="164" t="str">
        <f aca="false">IF(Salary_Calculation[[#This Row],[Source Row]]="","",N(INDEX(Rider_Input[Other Deductions],Salary_Calculation[[#This Row],[Source Row]])))</f>
        <v/>
      </c>
      <c r="V149" s="164" t="str">
        <f aca="false">IF(Salary_Calculation[[#This Row],[Source Row]]="","",N(Salary_Calculation[[#This Row],[missed_days_penalty]])+N(Salary_Calculation[[#This Row],[Rider Balance]])+N(Salary_Calculation[[#This Row],[stacking_deduction]])+N(Salary_Calculation[[#This Row],[Other Deductions]]))</f>
        <v/>
      </c>
      <c r="W149" s="167" t="str">
        <f aca="false">IF(Salary_Calculation[[#This Row],[Source Row]]="","",ROUND(MAX(Salary_Calculation[[#This Row],[Gross Salary Before Deductions]]-Salary_Calculation[[#This Row],[Total Deductions]],0),2))</f>
        <v/>
      </c>
      <c r="X149" s="164" t="str">
        <f aca="false">IF(Salary_Calculation[[#This Row],[Source Row]]="","",ROUND(MAX(Salary_Calculation[[#This Row],[Missing-Order Deduction]]-Salary_Calculation[[#This Row],[Earned Salary]],0),2))</f>
        <v/>
      </c>
      <c r="Y14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49" s="163" t="str">
        <f aca="false">IF(Salary_Calculation[[#This Row],[Source Row]]="","",IF(INDEX(Rider_Input[Notes],Salary_Calculation[[#This Row],[Source Row]])="","",INDEX(Rider_Input[Notes],Salary_Calculation[[#This Row],[Source Row]])))</f>
        <v/>
      </c>
      <c r="AA149" s="164" t="str">
        <f aca="false">IF(Salary_Calculation[[#This Row],[Source Row]]="","",Salary_Calculation[[#This Row],[Earned Salary]]-Salary_Calculation[[#This Row],[Missing-Order Deduction]]+Salary_Calculation[[#This Row],[Extra-Order Bonus]])</f>
        <v/>
      </c>
      <c r="AB149" s="164" t="str">
        <f aca="false">IF(Salary_Calculation[[#This Row],[Source Row]]="","",ROUND(Salary_Calculation[[#This Row],[Negative Balance / Amount Due from Rider]]+MAX(Salary_Calculation[[#This Row],[Total Deductions]]-Salary_Calculation[[#This Row],[Gross Salary Before Deductions]],0),2))</f>
        <v/>
      </c>
      <c r="AC14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49" s="164" t="str">
        <f aca="false">IF(Salary_Calculation[[#This Row],[Source Row]]="","",Salary_Calculation[[#This Row],[Rider Target Orders]]*Salary_Calculation[[#This Row],[Base Order Rate]])</f>
        <v/>
      </c>
      <c r="AE149" s="162" t="str">
        <f aca="false">IF(SUMPRODUCT(--(LEN(INDEX(Rider_Input[#Data],ROW()-ROW(Salary_Calculation[#Headers]),0))&gt;0))=0,"",ROW()-ROW(Salary_Calculation[#Headers]))</f>
        <v/>
      </c>
    </row>
    <row r="150" customFormat="false" ht="14.25" hidden="false" customHeight="false" outlineLevel="0" collapsed="false">
      <c r="A150" s="161" t="str">
        <f aca="false">IF(Salary_Calculation[[#This Row],[Source Row]]="","",IF(INDEX(Rider_Input[Salary Month],Salary_Calculation[[#This Row],[Source Row]])="","",INDEX(Rider_Input[Salary Month],Salary_Calculation[[#This Row],[Source Row]])))</f>
        <v/>
      </c>
      <c r="B150" s="162" t="str">
        <f aca="false">IF(Salary_Calculation[[#This Row],[Source Row]]="","",IF(INDEX(Rider_Input[Rider ID],Salary_Calculation[[#This Row],[Source Row]])="","",INDEX(Rider_Input[Rider ID],Salary_Calculation[[#This Row],[Source Row]])))</f>
        <v/>
      </c>
      <c r="C150" s="163" t="str">
        <f aca="false">IF(Salary_Calculation[[#This Row],[Source Row]]="","",IF(INDEX(Rider_Input[Rider Name],Salary_Calculation[[#This Row],[Source Row]])="","",INDEX(Rider_Input[Rider Name],Salary_Calculation[[#This Row],[Source Row]])))</f>
        <v/>
      </c>
      <c r="D150" s="164" t="str">
        <f aca="false">IF(Salary_Calculation[[#This Row],[Source Row]]="","",IF(INDEX(Rider_Input[Basic Payment],Salary_Calculation[[#This Row],[Source Row]])="","",INDEX(Rider_Input[Basic Payment],Salary_Calculation[[#This Row],[Source Row]])))</f>
        <v/>
      </c>
      <c r="E150" s="162" t="str">
        <f aca="false">IF(Salary_Calculation[[#This Row],[Source Row]]="","",IF(INDEX(Rider_Input[Calendar Days in Month],Salary_Calculation[[#This Row],[Source Row]])="","",INDEX(Rider_Input[Calendar Days in Month],Salary_Calculation[[#This Row],[Source Row]])))</f>
        <v/>
      </c>
      <c r="F150" s="162" t="str">
        <f aca="false">IF(Salary_Calculation[[#This Row],[Source Row]]="","",IF(INDEX(Rider_Input[Working Days],Salary_Calculation[[#This Row],[Source Row]])="","",INDEX(Rider_Input[Working Days],Salary_Calculation[[#This Row],[Source Row]])))</f>
        <v/>
      </c>
      <c r="G150" s="165" t="str">
        <f aca="false">IF(Salary_Calculation[[#This Row],[Source Row]]="","",Std_Orders/Std_Days*N(Salary_Calculation[[#This Row],[Calendar Days]]))</f>
        <v/>
      </c>
      <c r="H150" s="165" t="str">
        <f aca="false">IF(Salary_Calculation[[#This Row],[Source Row]]="","",IF(N(Salary_Calculation[[#This Row],[Calendar Days]])&gt;0,Salary_Calculation[[#This Row],[Monthly Target Orders]]/N(Salary_Calculation[[#This Row],[Calendar Days]])*N(Salary_Calculation[[#This Row],[Working Days]]),0))</f>
        <v/>
      </c>
      <c r="I150" s="166" t="str">
        <f aca="false">IF(Salary_Calculation[[#This Row],[Source Row]]="","",IF(INDEX(Rider_Input[Completed Orders],Salary_Calculation[[#This Row],[Source Row]])="","",INDEX(Rider_Input[Completed Orders],Salary_Calculation[[#This Row],[Source Row]])))</f>
        <v/>
      </c>
      <c r="J150" s="165" t="str">
        <f aca="false">IF(Salary_Calculation[[#This Row],[Source Row]]="","",IF(Rate_Method="Fixed rate",Fixed_Rate,IF(N(Salary_Calculation[[#This Row],[Basic Payment]])&gt;0,N(Salary_Calculation[[#This Row],[Basic Payment]])/Std_Orders,0)))</f>
        <v/>
      </c>
      <c r="K150" s="165" t="str">
        <f aca="false">IF(Salary_Calculation[[#This Row],[Source Row]]="","",MAX(MIN(N(Salary_Calculation[[#This Row],[Completed Orders]]),Salary_Calculation[[#This Row],[Rider Target Orders]]),0))</f>
        <v/>
      </c>
      <c r="L150" s="164" t="str">
        <f aca="false">IF(Salary_Calculation[[#This Row],[Source Row]]="","",Salary_Calculation[[#This Row],[Orders Counted at Base Rate]]*Salary_Calculation[[#This Row],[Base Order Rate]])</f>
        <v/>
      </c>
      <c r="M150" s="165" t="str">
        <f aca="false">IF(Salary_Calculation[[#This Row],[Source Row]]="","",MAX(Salary_Calculation[[#This Row],[Rider Target Orders]]-N(Salary_Calculation[[#This Row],[Completed Orders]]),0))</f>
        <v/>
      </c>
      <c r="N150" s="164" t="str">
        <f aca="false">IF(Salary_Calculation[[#This Row],[Source Row]]="","",Salary_Calculation[[#This Row],[Missing Orders]]*Missing_Rate)</f>
        <v/>
      </c>
      <c r="O150" s="165" t="str">
        <f aca="false">IF(Salary_Calculation[[#This Row],[Source Row]]="","",MAX(N(Salary_Calculation[[#This Row],[Completed Orders]])-Salary_Calculation[[#This Row],[Rider Target Orders]],0))</f>
        <v/>
      </c>
      <c r="P150" s="164" t="str">
        <f aca="false">IF(Salary_Calculation[[#This Row],[Source Row]]="","",Salary_Calculation[[#This Row],[Extra Orders]]*Extra_Rate)</f>
        <v/>
      </c>
      <c r="Q150" s="164" t="str">
        <f aca="false">IF(Salary_Calculation[[#This Row],[Source Row]]="","",MAX(Salary_Calculation[[#This Row],[Salary Before Other Deductions]],0))</f>
        <v/>
      </c>
      <c r="R150" s="164" t="str">
        <f aca="false">IF(Salary_Calculation[[#This Row],[Source Row]]="","",N(INDEX(Rider_Input[missed_days_penalty],Salary_Calculation[[#This Row],[Source Row]])))</f>
        <v/>
      </c>
      <c r="S150" s="164" t="str">
        <f aca="false">IF(Salary_Calculation[[#This Row],[Source Row]]="","",N(INDEX(Rider_Input[Rider Balance / محفظة المندوب],Salary_Calculation[[#This Row],[Source Row]])))</f>
        <v/>
      </c>
      <c r="T150" s="164" t="str">
        <f aca="false">IF(Salary_Calculation[[#This Row],[Source Row]]="","",N(INDEX(Rider_Input[stacking_deduction / خصم الطلبات المتعددة],Salary_Calculation[[#This Row],[Source Row]])))</f>
        <v/>
      </c>
      <c r="U150" s="164" t="str">
        <f aca="false">IF(Salary_Calculation[[#This Row],[Source Row]]="","",N(INDEX(Rider_Input[Other Deductions],Salary_Calculation[[#This Row],[Source Row]])))</f>
        <v/>
      </c>
      <c r="V150" s="164" t="str">
        <f aca="false">IF(Salary_Calculation[[#This Row],[Source Row]]="","",N(Salary_Calculation[[#This Row],[missed_days_penalty]])+N(Salary_Calculation[[#This Row],[Rider Balance]])+N(Salary_Calculation[[#This Row],[stacking_deduction]])+N(Salary_Calculation[[#This Row],[Other Deductions]]))</f>
        <v/>
      </c>
      <c r="W150" s="167" t="str">
        <f aca="false">IF(Salary_Calculation[[#This Row],[Source Row]]="","",ROUND(MAX(Salary_Calculation[[#This Row],[Gross Salary Before Deductions]]-Salary_Calculation[[#This Row],[Total Deductions]],0),2))</f>
        <v/>
      </c>
      <c r="X150" s="164" t="str">
        <f aca="false">IF(Salary_Calculation[[#This Row],[Source Row]]="","",ROUND(MAX(Salary_Calculation[[#This Row],[Missing-Order Deduction]]-Salary_Calculation[[#This Row],[Earned Salary]],0),2))</f>
        <v/>
      </c>
      <c r="Y15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50" s="163" t="str">
        <f aca="false">IF(Salary_Calculation[[#This Row],[Source Row]]="","",IF(INDEX(Rider_Input[Notes],Salary_Calculation[[#This Row],[Source Row]])="","",INDEX(Rider_Input[Notes],Salary_Calculation[[#This Row],[Source Row]])))</f>
        <v/>
      </c>
      <c r="AA150" s="164" t="str">
        <f aca="false">IF(Salary_Calculation[[#This Row],[Source Row]]="","",Salary_Calculation[[#This Row],[Earned Salary]]-Salary_Calculation[[#This Row],[Missing-Order Deduction]]+Salary_Calculation[[#This Row],[Extra-Order Bonus]])</f>
        <v/>
      </c>
      <c r="AB150" s="164" t="str">
        <f aca="false">IF(Salary_Calculation[[#This Row],[Source Row]]="","",ROUND(Salary_Calculation[[#This Row],[Negative Balance / Amount Due from Rider]]+MAX(Salary_Calculation[[#This Row],[Total Deductions]]-Salary_Calculation[[#This Row],[Gross Salary Before Deductions]],0),2))</f>
        <v/>
      </c>
      <c r="AC15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50" s="164" t="str">
        <f aca="false">IF(Salary_Calculation[[#This Row],[Source Row]]="","",Salary_Calculation[[#This Row],[Rider Target Orders]]*Salary_Calculation[[#This Row],[Base Order Rate]])</f>
        <v/>
      </c>
      <c r="AE150" s="162" t="str">
        <f aca="false">IF(SUMPRODUCT(--(LEN(INDEX(Rider_Input[#Data],ROW()-ROW(Salary_Calculation[#Headers]),0))&gt;0))=0,"",ROW()-ROW(Salary_Calculation[#Headers]))</f>
        <v/>
      </c>
    </row>
    <row r="151" customFormat="false" ht="14.25" hidden="false" customHeight="false" outlineLevel="0" collapsed="false">
      <c r="A151" s="161" t="str">
        <f aca="false">IF(Salary_Calculation[[#This Row],[Source Row]]="","",IF(INDEX(Rider_Input[Salary Month],Salary_Calculation[[#This Row],[Source Row]])="","",INDEX(Rider_Input[Salary Month],Salary_Calculation[[#This Row],[Source Row]])))</f>
        <v/>
      </c>
      <c r="B151" s="162" t="str">
        <f aca="false">IF(Salary_Calculation[[#This Row],[Source Row]]="","",IF(INDEX(Rider_Input[Rider ID],Salary_Calculation[[#This Row],[Source Row]])="","",INDEX(Rider_Input[Rider ID],Salary_Calculation[[#This Row],[Source Row]])))</f>
        <v/>
      </c>
      <c r="C151" s="163" t="str">
        <f aca="false">IF(Salary_Calculation[[#This Row],[Source Row]]="","",IF(INDEX(Rider_Input[Rider Name],Salary_Calculation[[#This Row],[Source Row]])="","",INDEX(Rider_Input[Rider Name],Salary_Calculation[[#This Row],[Source Row]])))</f>
        <v/>
      </c>
      <c r="D151" s="164" t="str">
        <f aca="false">IF(Salary_Calculation[[#This Row],[Source Row]]="","",IF(INDEX(Rider_Input[Basic Payment],Salary_Calculation[[#This Row],[Source Row]])="","",INDEX(Rider_Input[Basic Payment],Salary_Calculation[[#This Row],[Source Row]])))</f>
        <v/>
      </c>
      <c r="E151" s="162" t="str">
        <f aca="false">IF(Salary_Calculation[[#This Row],[Source Row]]="","",IF(INDEX(Rider_Input[Calendar Days in Month],Salary_Calculation[[#This Row],[Source Row]])="","",INDEX(Rider_Input[Calendar Days in Month],Salary_Calculation[[#This Row],[Source Row]])))</f>
        <v/>
      </c>
      <c r="F151" s="162" t="str">
        <f aca="false">IF(Salary_Calculation[[#This Row],[Source Row]]="","",IF(INDEX(Rider_Input[Working Days],Salary_Calculation[[#This Row],[Source Row]])="","",INDEX(Rider_Input[Working Days],Salary_Calculation[[#This Row],[Source Row]])))</f>
        <v/>
      </c>
      <c r="G151" s="165" t="str">
        <f aca="false">IF(Salary_Calculation[[#This Row],[Source Row]]="","",Std_Orders/Std_Days*N(Salary_Calculation[[#This Row],[Calendar Days]]))</f>
        <v/>
      </c>
      <c r="H151" s="165" t="str">
        <f aca="false">IF(Salary_Calculation[[#This Row],[Source Row]]="","",IF(N(Salary_Calculation[[#This Row],[Calendar Days]])&gt;0,Salary_Calculation[[#This Row],[Monthly Target Orders]]/N(Salary_Calculation[[#This Row],[Calendar Days]])*N(Salary_Calculation[[#This Row],[Working Days]]),0))</f>
        <v/>
      </c>
      <c r="I151" s="166" t="str">
        <f aca="false">IF(Salary_Calculation[[#This Row],[Source Row]]="","",IF(INDEX(Rider_Input[Completed Orders],Salary_Calculation[[#This Row],[Source Row]])="","",INDEX(Rider_Input[Completed Orders],Salary_Calculation[[#This Row],[Source Row]])))</f>
        <v/>
      </c>
      <c r="J151" s="165" t="str">
        <f aca="false">IF(Salary_Calculation[[#This Row],[Source Row]]="","",IF(Rate_Method="Fixed rate",Fixed_Rate,IF(N(Salary_Calculation[[#This Row],[Basic Payment]])&gt;0,N(Salary_Calculation[[#This Row],[Basic Payment]])/Std_Orders,0)))</f>
        <v/>
      </c>
      <c r="K151" s="165" t="str">
        <f aca="false">IF(Salary_Calculation[[#This Row],[Source Row]]="","",MAX(MIN(N(Salary_Calculation[[#This Row],[Completed Orders]]),Salary_Calculation[[#This Row],[Rider Target Orders]]),0))</f>
        <v/>
      </c>
      <c r="L151" s="164" t="str">
        <f aca="false">IF(Salary_Calculation[[#This Row],[Source Row]]="","",Salary_Calculation[[#This Row],[Orders Counted at Base Rate]]*Salary_Calculation[[#This Row],[Base Order Rate]])</f>
        <v/>
      </c>
      <c r="M151" s="165" t="str">
        <f aca="false">IF(Salary_Calculation[[#This Row],[Source Row]]="","",MAX(Salary_Calculation[[#This Row],[Rider Target Orders]]-N(Salary_Calculation[[#This Row],[Completed Orders]]),0))</f>
        <v/>
      </c>
      <c r="N151" s="164" t="str">
        <f aca="false">IF(Salary_Calculation[[#This Row],[Source Row]]="","",Salary_Calculation[[#This Row],[Missing Orders]]*Missing_Rate)</f>
        <v/>
      </c>
      <c r="O151" s="165" t="str">
        <f aca="false">IF(Salary_Calculation[[#This Row],[Source Row]]="","",MAX(N(Salary_Calculation[[#This Row],[Completed Orders]])-Salary_Calculation[[#This Row],[Rider Target Orders]],0))</f>
        <v/>
      </c>
      <c r="P151" s="164" t="str">
        <f aca="false">IF(Salary_Calculation[[#This Row],[Source Row]]="","",Salary_Calculation[[#This Row],[Extra Orders]]*Extra_Rate)</f>
        <v/>
      </c>
      <c r="Q151" s="164" t="str">
        <f aca="false">IF(Salary_Calculation[[#This Row],[Source Row]]="","",MAX(Salary_Calculation[[#This Row],[Salary Before Other Deductions]],0))</f>
        <v/>
      </c>
      <c r="R151" s="164" t="str">
        <f aca="false">IF(Salary_Calculation[[#This Row],[Source Row]]="","",N(INDEX(Rider_Input[missed_days_penalty],Salary_Calculation[[#This Row],[Source Row]])))</f>
        <v/>
      </c>
      <c r="S151" s="164" t="str">
        <f aca="false">IF(Salary_Calculation[[#This Row],[Source Row]]="","",N(INDEX(Rider_Input[Rider Balance / محفظة المندوب],Salary_Calculation[[#This Row],[Source Row]])))</f>
        <v/>
      </c>
      <c r="T151" s="164" t="str">
        <f aca="false">IF(Salary_Calculation[[#This Row],[Source Row]]="","",N(INDEX(Rider_Input[stacking_deduction / خصم الطلبات المتعددة],Salary_Calculation[[#This Row],[Source Row]])))</f>
        <v/>
      </c>
      <c r="U151" s="164" t="str">
        <f aca="false">IF(Salary_Calculation[[#This Row],[Source Row]]="","",N(INDEX(Rider_Input[Other Deductions],Salary_Calculation[[#This Row],[Source Row]])))</f>
        <v/>
      </c>
      <c r="V151" s="164" t="str">
        <f aca="false">IF(Salary_Calculation[[#This Row],[Source Row]]="","",N(Salary_Calculation[[#This Row],[missed_days_penalty]])+N(Salary_Calculation[[#This Row],[Rider Balance]])+N(Salary_Calculation[[#This Row],[stacking_deduction]])+N(Salary_Calculation[[#This Row],[Other Deductions]]))</f>
        <v/>
      </c>
      <c r="W151" s="167" t="str">
        <f aca="false">IF(Salary_Calculation[[#This Row],[Source Row]]="","",ROUND(MAX(Salary_Calculation[[#This Row],[Gross Salary Before Deductions]]-Salary_Calculation[[#This Row],[Total Deductions]],0),2))</f>
        <v/>
      </c>
      <c r="X151" s="164" t="str">
        <f aca="false">IF(Salary_Calculation[[#This Row],[Source Row]]="","",ROUND(MAX(Salary_Calculation[[#This Row],[Missing-Order Deduction]]-Salary_Calculation[[#This Row],[Earned Salary]],0),2))</f>
        <v/>
      </c>
      <c r="Y15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51" s="163" t="str">
        <f aca="false">IF(Salary_Calculation[[#This Row],[Source Row]]="","",IF(INDEX(Rider_Input[Notes],Salary_Calculation[[#This Row],[Source Row]])="","",INDEX(Rider_Input[Notes],Salary_Calculation[[#This Row],[Source Row]])))</f>
        <v/>
      </c>
      <c r="AA151" s="164" t="str">
        <f aca="false">IF(Salary_Calculation[[#This Row],[Source Row]]="","",Salary_Calculation[[#This Row],[Earned Salary]]-Salary_Calculation[[#This Row],[Missing-Order Deduction]]+Salary_Calculation[[#This Row],[Extra-Order Bonus]])</f>
        <v/>
      </c>
      <c r="AB151" s="164" t="str">
        <f aca="false">IF(Salary_Calculation[[#This Row],[Source Row]]="","",ROUND(Salary_Calculation[[#This Row],[Negative Balance / Amount Due from Rider]]+MAX(Salary_Calculation[[#This Row],[Total Deductions]]-Salary_Calculation[[#This Row],[Gross Salary Before Deductions]],0),2))</f>
        <v/>
      </c>
      <c r="AC15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51" s="164" t="str">
        <f aca="false">IF(Salary_Calculation[[#This Row],[Source Row]]="","",Salary_Calculation[[#This Row],[Rider Target Orders]]*Salary_Calculation[[#This Row],[Base Order Rate]])</f>
        <v/>
      </c>
      <c r="AE151" s="162" t="str">
        <f aca="false">IF(SUMPRODUCT(--(LEN(INDEX(Rider_Input[#Data],ROW()-ROW(Salary_Calculation[#Headers]),0))&gt;0))=0,"",ROW()-ROW(Salary_Calculation[#Headers]))</f>
        <v/>
      </c>
    </row>
    <row r="152" customFormat="false" ht="14.25" hidden="false" customHeight="false" outlineLevel="0" collapsed="false">
      <c r="A152" s="161" t="str">
        <f aca="false">IF(Salary_Calculation[[#This Row],[Source Row]]="","",IF(INDEX(Rider_Input[Salary Month],Salary_Calculation[[#This Row],[Source Row]])="","",INDEX(Rider_Input[Salary Month],Salary_Calculation[[#This Row],[Source Row]])))</f>
        <v/>
      </c>
      <c r="B152" s="162" t="str">
        <f aca="false">IF(Salary_Calculation[[#This Row],[Source Row]]="","",IF(INDEX(Rider_Input[Rider ID],Salary_Calculation[[#This Row],[Source Row]])="","",INDEX(Rider_Input[Rider ID],Salary_Calculation[[#This Row],[Source Row]])))</f>
        <v/>
      </c>
      <c r="C152" s="163" t="str">
        <f aca="false">IF(Salary_Calculation[[#This Row],[Source Row]]="","",IF(INDEX(Rider_Input[Rider Name],Salary_Calculation[[#This Row],[Source Row]])="","",INDEX(Rider_Input[Rider Name],Salary_Calculation[[#This Row],[Source Row]])))</f>
        <v/>
      </c>
      <c r="D152" s="164" t="str">
        <f aca="false">IF(Salary_Calculation[[#This Row],[Source Row]]="","",IF(INDEX(Rider_Input[Basic Payment],Salary_Calculation[[#This Row],[Source Row]])="","",INDEX(Rider_Input[Basic Payment],Salary_Calculation[[#This Row],[Source Row]])))</f>
        <v/>
      </c>
      <c r="E152" s="162" t="str">
        <f aca="false">IF(Salary_Calculation[[#This Row],[Source Row]]="","",IF(INDEX(Rider_Input[Calendar Days in Month],Salary_Calculation[[#This Row],[Source Row]])="","",INDEX(Rider_Input[Calendar Days in Month],Salary_Calculation[[#This Row],[Source Row]])))</f>
        <v/>
      </c>
      <c r="F152" s="162" t="str">
        <f aca="false">IF(Salary_Calculation[[#This Row],[Source Row]]="","",IF(INDEX(Rider_Input[Working Days],Salary_Calculation[[#This Row],[Source Row]])="","",INDEX(Rider_Input[Working Days],Salary_Calculation[[#This Row],[Source Row]])))</f>
        <v/>
      </c>
      <c r="G152" s="165" t="str">
        <f aca="false">IF(Salary_Calculation[[#This Row],[Source Row]]="","",Std_Orders/Std_Days*N(Salary_Calculation[[#This Row],[Calendar Days]]))</f>
        <v/>
      </c>
      <c r="H152" s="165" t="str">
        <f aca="false">IF(Salary_Calculation[[#This Row],[Source Row]]="","",IF(N(Salary_Calculation[[#This Row],[Calendar Days]])&gt;0,Salary_Calculation[[#This Row],[Monthly Target Orders]]/N(Salary_Calculation[[#This Row],[Calendar Days]])*N(Salary_Calculation[[#This Row],[Working Days]]),0))</f>
        <v/>
      </c>
      <c r="I152" s="166" t="str">
        <f aca="false">IF(Salary_Calculation[[#This Row],[Source Row]]="","",IF(INDEX(Rider_Input[Completed Orders],Salary_Calculation[[#This Row],[Source Row]])="","",INDEX(Rider_Input[Completed Orders],Salary_Calculation[[#This Row],[Source Row]])))</f>
        <v/>
      </c>
      <c r="J152" s="165" t="str">
        <f aca="false">IF(Salary_Calculation[[#This Row],[Source Row]]="","",IF(Rate_Method="Fixed rate",Fixed_Rate,IF(N(Salary_Calculation[[#This Row],[Basic Payment]])&gt;0,N(Salary_Calculation[[#This Row],[Basic Payment]])/Std_Orders,0)))</f>
        <v/>
      </c>
      <c r="K152" s="165" t="str">
        <f aca="false">IF(Salary_Calculation[[#This Row],[Source Row]]="","",MAX(MIN(N(Salary_Calculation[[#This Row],[Completed Orders]]),Salary_Calculation[[#This Row],[Rider Target Orders]]),0))</f>
        <v/>
      </c>
      <c r="L152" s="164" t="str">
        <f aca="false">IF(Salary_Calculation[[#This Row],[Source Row]]="","",Salary_Calculation[[#This Row],[Orders Counted at Base Rate]]*Salary_Calculation[[#This Row],[Base Order Rate]])</f>
        <v/>
      </c>
      <c r="M152" s="165" t="str">
        <f aca="false">IF(Salary_Calculation[[#This Row],[Source Row]]="","",MAX(Salary_Calculation[[#This Row],[Rider Target Orders]]-N(Salary_Calculation[[#This Row],[Completed Orders]]),0))</f>
        <v/>
      </c>
      <c r="N152" s="164" t="str">
        <f aca="false">IF(Salary_Calculation[[#This Row],[Source Row]]="","",Salary_Calculation[[#This Row],[Missing Orders]]*Missing_Rate)</f>
        <v/>
      </c>
      <c r="O152" s="165" t="str">
        <f aca="false">IF(Salary_Calculation[[#This Row],[Source Row]]="","",MAX(N(Salary_Calculation[[#This Row],[Completed Orders]])-Salary_Calculation[[#This Row],[Rider Target Orders]],0))</f>
        <v/>
      </c>
      <c r="P152" s="164" t="str">
        <f aca="false">IF(Salary_Calculation[[#This Row],[Source Row]]="","",Salary_Calculation[[#This Row],[Extra Orders]]*Extra_Rate)</f>
        <v/>
      </c>
      <c r="Q152" s="164" t="str">
        <f aca="false">IF(Salary_Calculation[[#This Row],[Source Row]]="","",MAX(Salary_Calculation[[#This Row],[Salary Before Other Deductions]],0))</f>
        <v/>
      </c>
      <c r="R152" s="164" t="str">
        <f aca="false">IF(Salary_Calculation[[#This Row],[Source Row]]="","",N(INDEX(Rider_Input[missed_days_penalty],Salary_Calculation[[#This Row],[Source Row]])))</f>
        <v/>
      </c>
      <c r="S152" s="164" t="str">
        <f aca="false">IF(Salary_Calculation[[#This Row],[Source Row]]="","",N(INDEX(Rider_Input[Rider Balance / محفظة المندوب],Salary_Calculation[[#This Row],[Source Row]])))</f>
        <v/>
      </c>
      <c r="T152" s="164" t="str">
        <f aca="false">IF(Salary_Calculation[[#This Row],[Source Row]]="","",N(INDEX(Rider_Input[stacking_deduction / خصم الطلبات المتعددة],Salary_Calculation[[#This Row],[Source Row]])))</f>
        <v/>
      </c>
      <c r="U152" s="164" t="str">
        <f aca="false">IF(Salary_Calculation[[#This Row],[Source Row]]="","",N(INDEX(Rider_Input[Other Deductions],Salary_Calculation[[#This Row],[Source Row]])))</f>
        <v/>
      </c>
      <c r="V152" s="164" t="str">
        <f aca="false">IF(Salary_Calculation[[#This Row],[Source Row]]="","",N(Salary_Calculation[[#This Row],[missed_days_penalty]])+N(Salary_Calculation[[#This Row],[Rider Balance]])+N(Salary_Calculation[[#This Row],[stacking_deduction]])+N(Salary_Calculation[[#This Row],[Other Deductions]]))</f>
        <v/>
      </c>
      <c r="W152" s="167" t="str">
        <f aca="false">IF(Salary_Calculation[[#This Row],[Source Row]]="","",ROUND(MAX(Salary_Calculation[[#This Row],[Gross Salary Before Deductions]]-Salary_Calculation[[#This Row],[Total Deductions]],0),2))</f>
        <v/>
      </c>
      <c r="X152" s="164" t="str">
        <f aca="false">IF(Salary_Calculation[[#This Row],[Source Row]]="","",ROUND(MAX(Salary_Calculation[[#This Row],[Missing-Order Deduction]]-Salary_Calculation[[#This Row],[Earned Salary]],0),2))</f>
        <v/>
      </c>
      <c r="Y15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52" s="163" t="str">
        <f aca="false">IF(Salary_Calculation[[#This Row],[Source Row]]="","",IF(INDEX(Rider_Input[Notes],Salary_Calculation[[#This Row],[Source Row]])="","",INDEX(Rider_Input[Notes],Salary_Calculation[[#This Row],[Source Row]])))</f>
        <v/>
      </c>
      <c r="AA152" s="164" t="str">
        <f aca="false">IF(Salary_Calculation[[#This Row],[Source Row]]="","",Salary_Calculation[[#This Row],[Earned Salary]]-Salary_Calculation[[#This Row],[Missing-Order Deduction]]+Salary_Calculation[[#This Row],[Extra-Order Bonus]])</f>
        <v/>
      </c>
      <c r="AB152" s="164" t="str">
        <f aca="false">IF(Salary_Calculation[[#This Row],[Source Row]]="","",ROUND(Salary_Calculation[[#This Row],[Negative Balance / Amount Due from Rider]]+MAX(Salary_Calculation[[#This Row],[Total Deductions]]-Salary_Calculation[[#This Row],[Gross Salary Before Deductions]],0),2))</f>
        <v/>
      </c>
      <c r="AC15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52" s="164" t="str">
        <f aca="false">IF(Salary_Calculation[[#This Row],[Source Row]]="","",Salary_Calculation[[#This Row],[Rider Target Orders]]*Salary_Calculation[[#This Row],[Base Order Rate]])</f>
        <v/>
      </c>
      <c r="AE152" s="162" t="str">
        <f aca="false">IF(SUMPRODUCT(--(LEN(INDEX(Rider_Input[#Data],ROW()-ROW(Salary_Calculation[#Headers]),0))&gt;0))=0,"",ROW()-ROW(Salary_Calculation[#Headers]))</f>
        <v/>
      </c>
    </row>
    <row r="153" customFormat="false" ht="14.25" hidden="false" customHeight="false" outlineLevel="0" collapsed="false">
      <c r="A153" s="161" t="str">
        <f aca="false">IF(Salary_Calculation[[#This Row],[Source Row]]="","",IF(INDEX(Rider_Input[Salary Month],Salary_Calculation[[#This Row],[Source Row]])="","",INDEX(Rider_Input[Salary Month],Salary_Calculation[[#This Row],[Source Row]])))</f>
        <v/>
      </c>
      <c r="B153" s="162" t="str">
        <f aca="false">IF(Salary_Calculation[[#This Row],[Source Row]]="","",IF(INDEX(Rider_Input[Rider ID],Salary_Calculation[[#This Row],[Source Row]])="","",INDEX(Rider_Input[Rider ID],Salary_Calculation[[#This Row],[Source Row]])))</f>
        <v/>
      </c>
      <c r="C153" s="163" t="str">
        <f aca="false">IF(Salary_Calculation[[#This Row],[Source Row]]="","",IF(INDEX(Rider_Input[Rider Name],Salary_Calculation[[#This Row],[Source Row]])="","",INDEX(Rider_Input[Rider Name],Salary_Calculation[[#This Row],[Source Row]])))</f>
        <v/>
      </c>
      <c r="D153" s="164" t="str">
        <f aca="false">IF(Salary_Calculation[[#This Row],[Source Row]]="","",IF(INDEX(Rider_Input[Basic Payment],Salary_Calculation[[#This Row],[Source Row]])="","",INDEX(Rider_Input[Basic Payment],Salary_Calculation[[#This Row],[Source Row]])))</f>
        <v/>
      </c>
      <c r="E153" s="162" t="str">
        <f aca="false">IF(Salary_Calculation[[#This Row],[Source Row]]="","",IF(INDEX(Rider_Input[Calendar Days in Month],Salary_Calculation[[#This Row],[Source Row]])="","",INDEX(Rider_Input[Calendar Days in Month],Salary_Calculation[[#This Row],[Source Row]])))</f>
        <v/>
      </c>
      <c r="F153" s="162" t="str">
        <f aca="false">IF(Salary_Calculation[[#This Row],[Source Row]]="","",IF(INDEX(Rider_Input[Working Days],Salary_Calculation[[#This Row],[Source Row]])="","",INDEX(Rider_Input[Working Days],Salary_Calculation[[#This Row],[Source Row]])))</f>
        <v/>
      </c>
      <c r="G153" s="165" t="str">
        <f aca="false">IF(Salary_Calculation[[#This Row],[Source Row]]="","",Std_Orders/Std_Days*N(Salary_Calculation[[#This Row],[Calendar Days]]))</f>
        <v/>
      </c>
      <c r="H153" s="165" t="str">
        <f aca="false">IF(Salary_Calculation[[#This Row],[Source Row]]="","",IF(N(Salary_Calculation[[#This Row],[Calendar Days]])&gt;0,Salary_Calculation[[#This Row],[Monthly Target Orders]]/N(Salary_Calculation[[#This Row],[Calendar Days]])*N(Salary_Calculation[[#This Row],[Working Days]]),0))</f>
        <v/>
      </c>
      <c r="I153" s="166" t="str">
        <f aca="false">IF(Salary_Calculation[[#This Row],[Source Row]]="","",IF(INDEX(Rider_Input[Completed Orders],Salary_Calculation[[#This Row],[Source Row]])="","",INDEX(Rider_Input[Completed Orders],Salary_Calculation[[#This Row],[Source Row]])))</f>
        <v/>
      </c>
      <c r="J153" s="165" t="str">
        <f aca="false">IF(Salary_Calculation[[#This Row],[Source Row]]="","",IF(Rate_Method="Fixed rate",Fixed_Rate,IF(N(Salary_Calculation[[#This Row],[Basic Payment]])&gt;0,N(Salary_Calculation[[#This Row],[Basic Payment]])/Std_Orders,0)))</f>
        <v/>
      </c>
      <c r="K153" s="165" t="str">
        <f aca="false">IF(Salary_Calculation[[#This Row],[Source Row]]="","",MAX(MIN(N(Salary_Calculation[[#This Row],[Completed Orders]]),Salary_Calculation[[#This Row],[Rider Target Orders]]),0))</f>
        <v/>
      </c>
      <c r="L153" s="164" t="str">
        <f aca="false">IF(Salary_Calculation[[#This Row],[Source Row]]="","",Salary_Calculation[[#This Row],[Orders Counted at Base Rate]]*Salary_Calculation[[#This Row],[Base Order Rate]])</f>
        <v/>
      </c>
      <c r="M153" s="165" t="str">
        <f aca="false">IF(Salary_Calculation[[#This Row],[Source Row]]="","",MAX(Salary_Calculation[[#This Row],[Rider Target Orders]]-N(Salary_Calculation[[#This Row],[Completed Orders]]),0))</f>
        <v/>
      </c>
      <c r="N153" s="164" t="str">
        <f aca="false">IF(Salary_Calculation[[#This Row],[Source Row]]="","",Salary_Calculation[[#This Row],[Missing Orders]]*Missing_Rate)</f>
        <v/>
      </c>
      <c r="O153" s="165" t="str">
        <f aca="false">IF(Salary_Calculation[[#This Row],[Source Row]]="","",MAX(N(Salary_Calculation[[#This Row],[Completed Orders]])-Salary_Calculation[[#This Row],[Rider Target Orders]],0))</f>
        <v/>
      </c>
      <c r="P153" s="164" t="str">
        <f aca="false">IF(Salary_Calculation[[#This Row],[Source Row]]="","",Salary_Calculation[[#This Row],[Extra Orders]]*Extra_Rate)</f>
        <v/>
      </c>
      <c r="Q153" s="164" t="str">
        <f aca="false">IF(Salary_Calculation[[#This Row],[Source Row]]="","",MAX(Salary_Calculation[[#This Row],[Salary Before Other Deductions]],0))</f>
        <v/>
      </c>
      <c r="R153" s="164" t="str">
        <f aca="false">IF(Salary_Calculation[[#This Row],[Source Row]]="","",N(INDEX(Rider_Input[missed_days_penalty],Salary_Calculation[[#This Row],[Source Row]])))</f>
        <v/>
      </c>
      <c r="S153" s="164" t="str">
        <f aca="false">IF(Salary_Calculation[[#This Row],[Source Row]]="","",N(INDEX(Rider_Input[Rider Balance / محفظة المندوب],Salary_Calculation[[#This Row],[Source Row]])))</f>
        <v/>
      </c>
      <c r="T153" s="164" t="str">
        <f aca="false">IF(Salary_Calculation[[#This Row],[Source Row]]="","",N(INDEX(Rider_Input[stacking_deduction / خصم الطلبات المتعددة],Salary_Calculation[[#This Row],[Source Row]])))</f>
        <v/>
      </c>
      <c r="U153" s="164" t="str">
        <f aca="false">IF(Salary_Calculation[[#This Row],[Source Row]]="","",N(INDEX(Rider_Input[Other Deductions],Salary_Calculation[[#This Row],[Source Row]])))</f>
        <v/>
      </c>
      <c r="V153" s="164" t="str">
        <f aca="false">IF(Salary_Calculation[[#This Row],[Source Row]]="","",N(Salary_Calculation[[#This Row],[missed_days_penalty]])+N(Salary_Calculation[[#This Row],[Rider Balance]])+N(Salary_Calculation[[#This Row],[stacking_deduction]])+N(Salary_Calculation[[#This Row],[Other Deductions]]))</f>
        <v/>
      </c>
      <c r="W153" s="167" t="str">
        <f aca="false">IF(Salary_Calculation[[#This Row],[Source Row]]="","",ROUND(MAX(Salary_Calculation[[#This Row],[Gross Salary Before Deductions]]-Salary_Calculation[[#This Row],[Total Deductions]],0),2))</f>
        <v/>
      </c>
      <c r="X153" s="164" t="str">
        <f aca="false">IF(Salary_Calculation[[#This Row],[Source Row]]="","",ROUND(MAX(Salary_Calculation[[#This Row],[Missing-Order Deduction]]-Salary_Calculation[[#This Row],[Earned Salary]],0),2))</f>
        <v/>
      </c>
      <c r="Y15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53" s="163" t="str">
        <f aca="false">IF(Salary_Calculation[[#This Row],[Source Row]]="","",IF(INDEX(Rider_Input[Notes],Salary_Calculation[[#This Row],[Source Row]])="","",INDEX(Rider_Input[Notes],Salary_Calculation[[#This Row],[Source Row]])))</f>
        <v/>
      </c>
      <c r="AA153" s="164" t="str">
        <f aca="false">IF(Salary_Calculation[[#This Row],[Source Row]]="","",Salary_Calculation[[#This Row],[Earned Salary]]-Salary_Calculation[[#This Row],[Missing-Order Deduction]]+Salary_Calculation[[#This Row],[Extra-Order Bonus]])</f>
        <v/>
      </c>
      <c r="AB153" s="164" t="str">
        <f aca="false">IF(Salary_Calculation[[#This Row],[Source Row]]="","",ROUND(Salary_Calculation[[#This Row],[Negative Balance / Amount Due from Rider]]+MAX(Salary_Calculation[[#This Row],[Total Deductions]]-Salary_Calculation[[#This Row],[Gross Salary Before Deductions]],0),2))</f>
        <v/>
      </c>
      <c r="AC15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53" s="164" t="str">
        <f aca="false">IF(Salary_Calculation[[#This Row],[Source Row]]="","",Salary_Calculation[[#This Row],[Rider Target Orders]]*Salary_Calculation[[#This Row],[Base Order Rate]])</f>
        <v/>
      </c>
      <c r="AE153" s="162" t="str">
        <f aca="false">IF(SUMPRODUCT(--(LEN(INDEX(Rider_Input[#Data],ROW()-ROW(Salary_Calculation[#Headers]),0))&gt;0))=0,"",ROW()-ROW(Salary_Calculation[#Headers]))</f>
        <v/>
      </c>
    </row>
    <row r="154" customFormat="false" ht="14.25" hidden="false" customHeight="false" outlineLevel="0" collapsed="false">
      <c r="A154" s="161" t="str">
        <f aca="false">IF(Salary_Calculation[[#This Row],[Source Row]]="","",IF(INDEX(Rider_Input[Salary Month],Salary_Calculation[[#This Row],[Source Row]])="","",INDEX(Rider_Input[Salary Month],Salary_Calculation[[#This Row],[Source Row]])))</f>
        <v/>
      </c>
      <c r="B154" s="162" t="str">
        <f aca="false">IF(Salary_Calculation[[#This Row],[Source Row]]="","",IF(INDEX(Rider_Input[Rider ID],Salary_Calculation[[#This Row],[Source Row]])="","",INDEX(Rider_Input[Rider ID],Salary_Calculation[[#This Row],[Source Row]])))</f>
        <v/>
      </c>
      <c r="C154" s="163" t="str">
        <f aca="false">IF(Salary_Calculation[[#This Row],[Source Row]]="","",IF(INDEX(Rider_Input[Rider Name],Salary_Calculation[[#This Row],[Source Row]])="","",INDEX(Rider_Input[Rider Name],Salary_Calculation[[#This Row],[Source Row]])))</f>
        <v/>
      </c>
      <c r="D154" s="164" t="str">
        <f aca="false">IF(Salary_Calculation[[#This Row],[Source Row]]="","",IF(INDEX(Rider_Input[Basic Payment],Salary_Calculation[[#This Row],[Source Row]])="","",INDEX(Rider_Input[Basic Payment],Salary_Calculation[[#This Row],[Source Row]])))</f>
        <v/>
      </c>
      <c r="E154" s="162" t="str">
        <f aca="false">IF(Salary_Calculation[[#This Row],[Source Row]]="","",IF(INDEX(Rider_Input[Calendar Days in Month],Salary_Calculation[[#This Row],[Source Row]])="","",INDEX(Rider_Input[Calendar Days in Month],Salary_Calculation[[#This Row],[Source Row]])))</f>
        <v/>
      </c>
      <c r="F154" s="162" t="str">
        <f aca="false">IF(Salary_Calculation[[#This Row],[Source Row]]="","",IF(INDEX(Rider_Input[Working Days],Salary_Calculation[[#This Row],[Source Row]])="","",INDEX(Rider_Input[Working Days],Salary_Calculation[[#This Row],[Source Row]])))</f>
        <v/>
      </c>
      <c r="G154" s="165" t="str">
        <f aca="false">IF(Salary_Calculation[[#This Row],[Source Row]]="","",Std_Orders/Std_Days*N(Salary_Calculation[[#This Row],[Calendar Days]]))</f>
        <v/>
      </c>
      <c r="H154" s="165" t="str">
        <f aca="false">IF(Salary_Calculation[[#This Row],[Source Row]]="","",IF(N(Salary_Calculation[[#This Row],[Calendar Days]])&gt;0,Salary_Calculation[[#This Row],[Monthly Target Orders]]/N(Salary_Calculation[[#This Row],[Calendar Days]])*N(Salary_Calculation[[#This Row],[Working Days]]),0))</f>
        <v/>
      </c>
      <c r="I154" s="166" t="str">
        <f aca="false">IF(Salary_Calculation[[#This Row],[Source Row]]="","",IF(INDEX(Rider_Input[Completed Orders],Salary_Calculation[[#This Row],[Source Row]])="","",INDEX(Rider_Input[Completed Orders],Salary_Calculation[[#This Row],[Source Row]])))</f>
        <v/>
      </c>
      <c r="J154" s="165" t="str">
        <f aca="false">IF(Salary_Calculation[[#This Row],[Source Row]]="","",IF(Rate_Method="Fixed rate",Fixed_Rate,IF(N(Salary_Calculation[[#This Row],[Basic Payment]])&gt;0,N(Salary_Calculation[[#This Row],[Basic Payment]])/Std_Orders,0)))</f>
        <v/>
      </c>
      <c r="K154" s="165" t="str">
        <f aca="false">IF(Salary_Calculation[[#This Row],[Source Row]]="","",MAX(MIN(N(Salary_Calculation[[#This Row],[Completed Orders]]),Salary_Calculation[[#This Row],[Rider Target Orders]]),0))</f>
        <v/>
      </c>
      <c r="L154" s="164" t="str">
        <f aca="false">IF(Salary_Calculation[[#This Row],[Source Row]]="","",Salary_Calculation[[#This Row],[Orders Counted at Base Rate]]*Salary_Calculation[[#This Row],[Base Order Rate]])</f>
        <v/>
      </c>
      <c r="M154" s="165" t="str">
        <f aca="false">IF(Salary_Calculation[[#This Row],[Source Row]]="","",MAX(Salary_Calculation[[#This Row],[Rider Target Orders]]-N(Salary_Calculation[[#This Row],[Completed Orders]]),0))</f>
        <v/>
      </c>
      <c r="N154" s="164" t="str">
        <f aca="false">IF(Salary_Calculation[[#This Row],[Source Row]]="","",Salary_Calculation[[#This Row],[Missing Orders]]*Missing_Rate)</f>
        <v/>
      </c>
      <c r="O154" s="165" t="str">
        <f aca="false">IF(Salary_Calculation[[#This Row],[Source Row]]="","",MAX(N(Salary_Calculation[[#This Row],[Completed Orders]])-Salary_Calculation[[#This Row],[Rider Target Orders]],0))</f>
        <v/>
      </c>
      <c r="P154" s="164" t="str">
        <f aca="false">IF(Salary_Calculation[[#This Row],[Source Row]]="","",Salary_Calculation[[#This Row],[Extra Orders]]*Extra_Rate)</f>
        <v/>
      </c>
      <c r="Q154" s="164" t="str">
        <f aca="false">IF(Salary_Calculation[[#This Row],[Source Row]]="","",MAX(Salary_Calculation[[#This Row],[Salary Before Other Deductions]],0))</f>
        <v/>
      </c>
      <c r="R154" s="164" t="str">
        <f aca="false">IF(Salary_Calculation[[#This Row],[Source Row]]="","",N(INDEX(Rider_Input[missed_days_penalty],Salary_Calculation[[#This Row],[Source Row]])))</f>
        <v/>
      </c>
      <c r="S154" s="164" t="str">
        <f aca="false">IF(Salary_Calculation[[#This Row],[Source Row]]="","",N(INDEX(Rider_Input[Rider Balance / محفظة المندوب],Salary_Calculation[[#This Row],[Source Row]])))</f>
        <v/>
      </c>
      <c r="T154" s="164" t="str">
        <f aca="false">IF(Salary_Calculation[[#This Row],[Source Row]]="","",N(INDEX(Rider_Input[stacking_deduction / خصم الطلبات المتعددة],Salary_Calculation[[#This Row],[Source Row]])))</f>
        <v/>
      </c>
      <c r="U154" s="164" t="str">
        <f aca="false">IF(Salary_Calculation[[#This Row],[Source Row]]="","",N(INDEX(Rider_Input[Other Deductions],Salary_Calculation[[#This Row],[Source Row]])))</f>
        <v/>
      </c>
      <c r="V154" s="164" t="str">
        <f aca="false">IF(Salary_Calculation[[#This Row],[Source Row]]="","",N(Salary_Calculation[[#This Row],[missed_days_penalty]])+N(Salary_Calculation[[#This Row],[Rider Balance]])+N(Salary_Calculation[[#This Row],[stacking_deduction]])+N(Salary_Calculation[[#This Row],[Other Deductions]]))</f>
        <v/>
      </c>
      <c r="W154" s="167" t="str">
        <f aca="false">IF(Salary_Calculation[[#This Row],[Source Row]]="","",ROUND(MAX(Salary_Calculation[[#This Row],[Gross Salary Before Deductions]]-Salary_Calculation[[#This Row],[Total Deductions]],0),2))</f>
        <v/>
      </c>
      <c r="X154" s="164" t="str">
        <f aca="false">IF(Salary_Calculation[[#This Row],[Source Row]]="","",ROUND(MAX(Salary_Calculation[[#This Row],[Missing-Order Deduction]]-Salary_Calculation[[#This Row],[Earned Salary]],0),2))</f>
        <v/>
      </c>
      <c r="Y15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54" s="163" t="str">
        <f aca="false">IF(Salary_Calculation[[#This Row],[Source Row]]="","",IF(INDEX(Rider_Input[Notes],Salary_Calculation[[#This Row],[Source Row]])="","",INDEX(Rider_Input[Notes],Salary_Calculation[[#This Row],[Source Row]])))</f>
        <v/>
      </c>
      <c r="AA154" s="164" t="str">
        <f aca="false">IF(Salary_Calculation[[#This Row],[Source Row]]="","",Salary_Calculation[[#This Row],[Earned Salary]]-Salary_Calculation[[#This Row],[Missing-Order Deduction]]+Salary_Calculation[[#This Row],[Extra-Order Bonus]])</f>
        <v/>
      </c>
      <c r="AB154" s="164" t="str">
        <f aca="false">IF(Salary_Calculation[[#This Row],[Source Row]]="","",ROUND(Salary_Calculation[[#This Row],[Negative Balance / Amount Due from Rider]]+MAX(Salary_Calculation[[#This Row],[Total Deductions]]-Salary_Calculation[[#This Row],[Gross Salary Before Deductions]],0),2))</f>
        <v/>
      </c>
      <c r="AC15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54" s="164" t="str">
        <f aca="false">IF(Salary_Calculation[[#This Row],[Source Row]]="","",Salary_Calculation[[#This Row],[Rider Target Orders]]*Salary_Calculation[[#This Row],[Base Order Rate]])</f>
        <v/>
      </c>
      <c r="AE154" s="162" t="str">
        <f aca="false">IF(SUMPRODUCT(--(LEN(INDEX(Rider_Input[#Data],ROW()-ROW(Salary_Calculation[#Headers]),0))&gt;0))=0,"",ROW()-ROW(Salary_Calculation[#Headers]))</f>
        <v/>
      </c>
    </row>
    <row r="155" customFormat="false" ht="14.25" hidden="false" customHeight="false" outlineLevel="0" collapsed="false">
      <c r="A155" s="161" t="str">
        <f aca="false">IF(Salary_Calculation[[#This Row],[Source Row]]="","",IF(INDEX(Rider_Input[Salary Month],Salary_Calculation[[#This Row],[Source Row]])="","",INDEX(Rider_Input[Salary Month],Salary_Calculation[[#This Row],[Source Row]])))</f>
        <v/>
      </c>
      <c r="B155" s="162" t="str">
        <f aca="false">IF(Salary_Calculation[[#This Row],[Source Row]]="","",IF(INDEX(Rider_Input[Rider ID],Salary_Calculation[[#This Row],[Source Row]])="","",INDEX(Rider_Input[Rider ID],Salary_Calculation[[#This Row],[Source Row]])))</f>
        <v/>
      </c>
      <c r="C155" s="163" t="str">
        <f aca="false">IF(Salary_Calculation[[#This Row],[Source Row]]="","",IF(INDEX(Rider_Input[Rider Name],Salary_Calculation[[#This Row],[Source Row]])="","",INDEX(Rider_Input[Rider Name],Salary_Calculation[[#This Row],[Source Row]])))</f>
        <v/>
      </c>
      <c r="D155" s="164" t="str">
        <f aca="false">IF(Salary_Calculation[[#This Row],[Source Row]]="","",IF(INDEX(Rider_Input[Basic Payment],Salary_Calculation[[#This Row],[Source Row]])="","",INDEX(Rider_Input[Basic Payment],Salary_Calculation[[#This Row],[Source Row]])))</f>
        <v/>
      </c>
      <c r="E155" s="162" t="str">
        <f aca="false">IF(Salary_Calculation[[#This Row],[Source Row]]="","",IF(INDEX(Rider_Input[Calendar Days in Month],Salary_Calculation[[#This Row],[Source Row]])="","",INDEX(Rider_Input[Calendar Days in Month],Salary_Calculation[[#This Row],[Source Row]])))</f>
        <v/>
      </c>
      <c r="F155" s="162" t="str">
        <f aca="false">IF(Salary_Calculation[[#This Row],[Source Row]]="","",IF(INDEX(Rider_Input[Working Days],Salary_Calculation[[#This Row],[Source Row]])="","",INDEX(Rider_Input[Working Days],Salary_Calculation[[#This Row],[Source Row]])))</f>
        <v/>
      </c>
      <c r="G155" s="165" t="str">
        <f aca="false">IF(Salary_Calculation[[#This Row],[Source Row]]="","",Std_Orders/Std_Days*N(Salary_Calculation[[#This Row],[Calendar Days]]))</f>
        <v/>
      </c>
      <c r="H155" s="165" t="str">
        <f aca="false">IF(Salary_Calculation[[#This Row],[Source Row]]="","",IF(N(Salary_Calculation[[#This Row],[Calendar Days]])&gt;0,Salary_Calculation[[#This Row],[Monthly Target Orders]]/N(Salary_Calculation[[#This Row],[Calendar Days]])*N(Salary_Calculation[[#This Row],[Working Days]]),0))</f>
        <v/>
      </c>
      <c r="I155" s="166" t="str">
        <f aca="false">IF(Salary_Calculation[[#This Row],[Source Row]]="","",IF(INDEX(Rider_Input[Completed Orders],Salary_Calculation[[#This Row],[Source Row]])="","",INDEX(Rider_Input[Completed Orders],Salary_Calculation[[#This Row],[Source Row]])))</f>
        <v/>
      </c>
      <c r="J155" s="165" t="str">
        <f aca="false">IF(Salary_Calculation[[#This Row],[Source Row]]="","",IF(Rate_Method="Fixed rate",Fixed_Rate,IF(N(Salary_Calculation[[#This Row],[Basic Payment]])&gt;0,N(Salary_Calculation[[#This Row],[Basic Payment]])/Std_Orders,0)))</f>
        <v/>
      </c>
      <c r="K155" s="165" t="str">
        <f aca="false">IF(Salary_Calculation[[#This Row],[Source Row]]="","",MAX(MIN(N(Salary_Calculation[[#This Row],[Completed Orders]]),Salary_Calculation[[#This Row],[Rider Target Orders]]),0))</f>
        <v/>
      </c>
      <c r="L155" s="164" t="str">
        <f aca="false">IF(Salary_Calculation[[#This Row],[Source Row]]="","",Salary_Calculation[[#This Row],[Orders Counted at Base Rate]]*Salary_Calculation[[#This Row],[Base Order Rate]])</f>
        <v/>
      </c>
      <c r="M155" s="165" t="str">
        <f aca="false">IF(Salary_Calculation[[#This Row],[Source Row]]="","",MAX(Salary_Calculation[[#This Row],[Rider Target Orders]]-N(Salary_Calculation[[#This Row],[Completed Orders]]),0))</f>
        <v/>
      </c>
      <c r="N155" s="164" t="str">
        <f aca="false">IF(Salary_Calculation[[#This Row],[Source Row]]="","",Salary_Calculation[[#This Row],[Missing Orders]]*Missing_Rate)</f>
        <v/>
      </c>
      <c r="O155" s="165" t="str">
        <f aca="false">IF(Salary_Calculation[[#This Row],[Source Row]]="","",MAX(N(Salary_Calculation[[#This Row],[Completed Orders]])-Salary_Calculation[[#This Row],[Rider Target Orders]],0))</f>
        <v/>
      </c>
      <c r="P155" s="164" t="str">
        <f aca="false">IF(Salary_Calculation[[#This Row],[Source Row]]="","",Salary_Calculation[[#This Row],[Extra Orders]]*Extra_Rate)</f>
        <v/>
      </c>
      <c r="Q155" s="164" t="str">
        <f aca="false">IF(Salary_Calculation[[#This Row],[Source Row]]="","",MAX(Salary_Calculation[[#This Row],[Salary Before Other Deductions]],0))</f>
        <v/>
      </c>
      <c r="R155" s="164" t="str">
        <f aca="false">IF(Salary_Calculation[[#This Row],[Source Row]]="","",N(INDEX(Rider_Input[missed_days_penalty],Salary_Calculation[[#This Row],[Source Row]])))</f>
        <v/>
      </c>
      <c r="S155" s="164" t="str">
        <f aca="false">IF(Salary_Calculation[[#This Row],[Source Row]]="","",N(INDEX(Rider_Input[Rider Balance / محفظة المندوب],Salary_Calculation[[#This Row],[Source Row]])))</f>
        <v/>
      </c>
      <c r="T155" s="164" t="str">
        <f aca="false">IF(Salary_Calculation[[#This Row],[Source Row]]="","",N(INDEX(Rider_Input[stacking_deduction / خصم الطلبات المتعددة],Salary_Calculation[[#This Row],[Source Row]])))</f>
        <v/>
      </c>
      <c r="U155" s="164" t="str">
        <f aca="false">IF(Salary_Calculation[[#This Row],[Source Row]]="","",N(INDEX(Rider_Input[Other Deductions],Salary_Calculation[[#This Row],[Source Row]])))</f>
        <v/>
      </c>
      <c r="V155" s="164" t="str">
        <f aca="false">IF(Salary_Calculation[[#This Row],[Source Row]]="","",N(Salary_Calculation[[#This Row],[missed_days_penalty]])+N(Salary_Calculation[[#This Row],[Rider Balance]])+N(Salary_Calculation[[#This Row],[stacking_deduction]])+N(Salary_Calculation[[#This Row],[Other Deductions]]))</f>
        <v/>
      </c>
      <c r="W155" s="167" t="str">
        <f aca="false">IF(Salary_Calculation[[#This Row],[Source Row]]="","",ROUND(MAX(Salary_Calculation[[#This Row],[Gross Salary Before Deductions]]-Salary_Calculation[[#This Row],[Total Deductions]],0),2))</f>
        <v/>
      </c>
      <c r="X155" s="164" t="str">
        <f aca="false">IF(Salary_Calculation[[#This Row],[Source Row]]="","",ROUND(MAX(Salary_Calculation[[#This Row],[Missing-Order Deduction]]-Salary_Calculation[[#This Row],[Earned Salary]],0),2))</f>
        <v/>
      </c>
      <c r="Y15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55" s="163" t="str">
        <f aca="false">IF(Salary_Calculation[[#This Row],[Source Row]]="","",IF(INDEX(Rider_Input[Notes],Salary_Calculation[[#This Row],[Source Row]])="","",INDEX(Rider_Input[Notes],Salary_Calculation[[#This Row],[Source Row]])))</f>
        <v/>
      </c>
      <c r="AA155" s="164" t="str">
        <f aca="false">IF(Salary_Calculation[[#This Row],[Source Row]]="","",Salary_Calculation[[#This Row],[Earned Salary]]-Salary_Calculation[[#This Row],[Missing-Order Deduction]]+Salary_Calculation[[#This Row],[Extra-Order Bonus]])</f>
        <v/>
      </c>
      <c r="AB155" s="164" t="str">
        <f aca="false">IF(Salary_Calculation[[#This Row],[Source Row]]="","",ROUND(Salary_Calculation[[#This Row],[Negative Balance / Amount Due from Rider]]+MAX(Salary_Calculation[[#This Row],[Total Deductions]]-Salary_Calculation[[#This Row],[Gross Salary Before Deductions]],0),2))</f>
        <v/>
      </c>
      <c r="AC15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55" s="164" t="str">
        <f aca="false">IF(Salary_Calculation[[#This Row],[Source Row]]="","",Salary_Calculation[[#This Row],[Rider Target Orders]]*Salary_Calculation[[#This Row],[Base Order Rate]])</f>
        <v/>
      </c>
      <c r="AE155" s="162" t="str">
        <f aca="false">IF(SUMPRODUCT(--(LEN(INDEX(Rider_Input[#Data],ROW()-ROW(Salary_Calculation[#Headers]),0))&gt;0))=0,"",ROW()-ROW(Salary_Calculation[#Headers]))</f>
        <v/>
      </c>
    </row>
    <row r="156" customFormat="false" ht="14.25" hidden="false" customHeight="false" outlineLevel="0" collapsed="false">
      <c r="A156" s="161" t="str">
        <f aca="false">IF(Salary_Calculation[[#This Row],[Source Row]]="","",IF(INDEX(Rider_Input[Salary Month],Salary_Calculation[[#This Row],[Source Row]])="","",INDEX(Rider_Input[Salary Month],Salary_Calculation[[#This Row],[Source Row]])))</f>
        <v/>
      </c>
      <c r="B156" s="162" t="str">
        <f aca="false">IF(Salary_Calculation[[#This Row],[Source Row]]="","",IF(INDEX(Rider_Input[Rider ID],Salary_Calculation[[#This Row],[Source Row]])="","",INDEX(Rider_Input[Rider ID],Salary_Calculation[[#This Row],[Source Row]])))</f>
        <v/>
      </c>
      <c r="C156" s="163" t="str">
        <f aca="false">IF(Salary_Calculation[[#This Row],[Source Row]]="","",IF(INDEX(Rider_Input[Rider Name],Salary_Calculation[[#This Row],[Source Row]])="","",INDEX(Rider_Input[Rider Name],Salary_Calculation[[#This Row],[Source Row]])))</f>
        <v/>
      </c>
      <c r="D156" s="164" t="str">
        <f aca="false">IF(Salary_Calculation[[#This Row],[Source Row]]="","",IF(INDEX(Rider_Input[Basic Payment],Salary_Calculation[[#This Row],[Source Row]])="","",INDEX(Rider_Input[Basic Payment],Salary_Calculation[[#This Row],[Source Row]])))</f>
        <v/>
      </c>
      <c r="E156" s="162" t="str">
        <f aca="false">IF(Salary_Calculation[[#This Row],[Source Row]]="","",IF(INDEX(Rider_Input[Calendar Days in Month],Salary_Calculation[[#This Row],[Source Row]])="","",INDEX(Rider_Input[Calendar Days in Month],Salary_Calculation[[#This Row],[Source Row]])))</f>
        <v/>
      </c>
      <c r="F156" s="162" t="str">
        <f aca="false">IF(Salary_Calculation[[#This Row],[Source Row]]="","",IF(INDEX(Rider_Input[Working Days],Salary_Calculation[[#This Row],[Source Row]])="","",INDEX(Rider_Input[Working Days],Salary_Calculation[[#This Row],[Source Row]])))</f>
        <v/>
      </c>
      <c r="G156" s="165" t="str">
        <f aca="false">IF(Salary_Calculation[[#This Row],[Source Row]]="","",Std_Orders/Std_Days*N(Salary_Calculation[[#This Row],[Calendar Days]]))</f>
        <v/>
      </c>
      <c r="H156" s="165" t="str">
        <f aca="false">IF(Salary_Calculation[[#This Row],[Source Row]]="","",IF(N(Salary_Calculation[[#This Row],[Calendar Days]])&gt;0,Salary_Calculation[[#This Row],[Monthly Target Orders]]/N(Salary_Calculation[[#This Row],[Calendar Days]])*N(Salary_Calculation[[#This Row],[Working Days]]),0))</f>
        <v/>
      </c>
      <c r="I156" s="166" t="str">
        <f aca="false">IF(Salary_Calculation[[#This Row],[Source Row]]="","",IF(INDEX(Rider_Input[Completed Orders],Salary_Calculation[[#This Row],[Source Row]])="","",INDEX(Rider_Input[Completed Orders],Salary_Calculation[[#This Row],[Source Row]])))</f>
        <v/>
      </c>
      <c r="J156" s="165" t="str">
        <f aca="false">IF(Salary_Calculation[[#This Row],[Source Row]]="","",IF(Rate_Method="Fixed rate",Fixed_Rate,IF(N(Salary_Calculation[[#This Row],[Basic Payment]])&gt;0,N(Salary_Calculation[[#This Row],[Basic Payment]])/Std_Orders,0)))</f>
        <v/>
      </c>
      <c r="K156" s="165" t="str">
        <f aca="false">IF(Salary_Calculation[[#This Row],[Source Row]]="","",MAX(MIN(N(Salary_Calculation[[#This Row],[Completed Orders]]),Salary_Calculation[[#This Row],[Rider Target Orders]]),0))</f>
        <v/>
      </c>
      <c r="L156" s="164" t="str">
        <f aca="false">IF(Salary_Calculation[[#This Row],[Source Row]]="","",Salary_Calculation[[#This Row],[Orders Counted at Base Rate]]*Salary_Calculation[[#This Row],[Base Order Rate]])</f>
        <v/>
      </c>
      <c r="M156" s="165" t="str">
        <f aca="false">IF(Salary_Calculation[[#This Row],[Source Row]]="","",MAX(Salary_Calculation[[#This Row],[Rider Target Orders]]-N(Salary_Calculation[[#This Row],[Completed Orders]]),0))</f>
        <v/>
      </c>
      <c r="N156" s="164" t="str">
        <f aca="false">IF(Salary_Calculation[[#This Row],[Source Row]]="","",Salary_Calculation[[#This Row],[Missing Orders]]*Missing_Rate)</f>
        <v/>
      </c>
      <c r="O156" s="165" t="str">
        <f aca="false">IF(Salary_Calculation[[#This Row],[Source Row]]="","",MAX(N(Salary_Calculation[[#This Row],[Completed Orders]])-Salary_Calculation[[#This Row],[Rider Target Orders]],0))</f>
        <v/>
      </c>
      <c r="P156" s="164" t="str">
        <f aca="false">IF(Salary_Calculation[[#This Row],[Source Row]]="","",Salary_Calculation[[#This Row],[Extra Orders]]*Extra_Rate)</f>
        <v/>
      </c>
      <c r="Q156" s="164" t="str">
        <f aca="false">IF(Salary_Calculation[[#This Row],[Source Row]]="","",MAX(Salary_Calculation[[#This Row],[Salary Before Other Deductions]],0))</f>
        <v/>
      </c>
      <c r="R156" s="164" t="str">
        <f aca="false">IF(Salary_Calculation[[#This Row],[Source Row]]="","",N(INDEX(Rider_Input[missed_days_penalty],Salary_Calculation[[#This Row],[Source Row]])))</f>
        <v/>
      </c>
      <c r="S156" s="164" t="str">
        <f aca="false">IF(Salary_Calculation[[#This Row],[Source Row]]="","",N(INDEX(Rider_Input[Rider Balance / محفظة المندوب],Salary_Calculation[[#This Row],[Source Row]])))</f>
        <v/>
      </c>
      <c r="T156" s="164" t="str">
        <f aca="false">IF(Salary_Calculation[[#This Row],[Source Row]]="","",N(INDEX(Rider_Input[stacking_deduction / خصم الطلبات المتعددة],Salary_Calculation[[#This Row],[Source Row]])))</f>
        <v/>
      </c>
      <c r="U156" s="164" t="str">
        <f aca="false">IF(Salary_Calculation[[#This Row],[Source Row]]="","",N(INDEX(Rider_Input[Other Deductions],Salary_Calculation[[#This Row],[Source Row]])))</f>
        <v/>
      </c>
      <c r="V156" s="164" t="str">
        <f aca="false">IF(Salary_Calculation[[#This Row],[Source Row]]="","",N(Salary_Calculation[[#This Row],[missed_days_penalty]])+N(Salary_Calculation[[#This Row],[Rider Balance]])+N(Salary_Calculation[[#This Row],[stacking_deduction]])+N(Salary_Calculation[[#This Row],[Other Deductions]]))</f>
        <v/>
      </c>
      <c r="W156" s="167" t="str">
        <f aca="false">IF(Salary_Calculation[[#This Row],[Source Row]]="","",ROUND(MAX(Salary_Calculation[[#This Row],[Gross Salary Before Deductions]]-Salary_Calculation[[#This Row],[Total Deductions]],0),2))</f>
        <v/>
      </c>
      <c r="X156" s="164" t="str">
        <f aca="false">IF(Salary_Calculation[[#This Row],[Source Row]]="","",ROUND(MAX(Salary_Calculation[[#This Row],[Missing-Order Deduction]]-Salary_Calculation[[#This Row],[Earned Salary]],0),2))</f>
        <v/>
      </c>
      <c r="Y15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56" s="163" t="str">
        <f aca="false">IF(Salary_Calculation[[#This Row],[Source Row]]="","",IF(INDEX(Rider_Input[Notes],Salary_Calculation[[#This Row],[Source Row]])="","",INDEX(Rider_Input[Notes],Salary_Calculation[[#This Row],[Source Row]])))</f>
        <v/>
      </c>
      <c r="AA156" s="164" t="str">
        <f aca="false">IF(Salary_Calculation[[#This Row],[Source Row]]="","",Salary_Calculation[[#This Row],[Earned Salary]]-Salary_Calculation[[#This Row],[Missing-Order Deduction]]+Salary_Calculation[[#This Row],[Extra-Order Bonus]])</f>
        <v/>
      </c>
      <c r="AB156" s="164" t="str">
        <f aca="false">IF(Salary_Calculation[[#This Row],[Source Row]]="","",ROUND(Salary_Calculation[[#This Row],[Negative Balance / Amount Due from Rider]]+MAX(Salary_Calculation[[#This Row],[Total Deductions]]-Salary_Calculation[[#This Row],[Gross Salary Before Deductions]],0),2))</f>
        <v/>
      </c>
      <c r="AC15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56" s="164" t="str">
        <f aca="false">IF(Salary_Calculation[[#This Row],[Source Row]]="","",Salary_Calculation[[#This Row],[Rider Target Orders]]*Salary_Calculation[[#This Row],[Base Order Rate]])</f>
        <v/>
      </c>
      <c r="AE156" s="162" t="str">
        <f aca="false">IF(SUMPRODUCT(--(LEN(INDEX(Rider_Input[#Data],ROW()-ROW(Salary_Calculation[#Headers]),0))&gt;0))=0,"",ROW()-ROW(Salary_Calculation[#Headers]))</f>
        <v/>
      </c>
    </row>
    <row r="157" customFormat="false" ht="14.25" hidden="false" customHeight="false" outlineLevel="0" collapsed="false">
      <c r="A157" s="161" t="str">
        <f aca="false">IF(Salary_Calculation[[#This Row],[Source Row]]="","",IF(INDEX(Rider_Input[Salary Month],Salary_Calculation[[#This Row],[Source Row]])="","",INDEX(Rider_Input[Salary Month],Salary_Calculation[[#This Row],[Source Row]])))</f>
        <v/>
      </c>
      <c r="B157" s="162" t="str">
        <f aca="false">IF(Salary_Calculation[[#This Row],[Source Row]]="","",IF(INDEX(Rider_Input[Rider ID],Salary_Calculation[[#This Row],[Source Row]])="","",INDEX(Rider_Input[Rider ID],Salary_Calculation[[#This Row],[Source Row]])))</f>
        <v/>
      </c>
      <c r="C157" s="163" t="str">
        <f aca="false">IF(Salary_Calculation[[#This Row],[Source Row]]="","",IF(INDEX(Rider_Input[Rider Name],Salary_Calculation[[#This Row],[Source Row]])="","",INDEX(Rider_Input[Rider Name],Salary_Calculation[[#This Row],[Source Row]])))</f>
        <v/>
      </c>
      <c r="D157" s="164" t="str">
        <f aca="false">IF(Salary_Calculation[[#This Row],[Source Row]]="","",IF(INDEX(Rider_Input[Basic Payment],Salary_Calculation[[#This Row],[Source Row]])="","",INDEX(Rider_Input[Basic Payment],Salary_Calculation[[#This Row],[Source Row]])))</f>
        <v/>
      </c>
      <c r="E157" s="162" t="str">
        <f aca="false">IF(Salary_Calculation[[#This Row],[Source Row]]="","",IF(INDEX(Rider_Input[Calendar Days in Month],Salary_Calculation[[#This Row],[Source Row]])="","",INDEX(Rider_Input[Calendar Days in Month],Salary_Calculation[[#This Row],[Source Row]])))</f>
        <v/>
      </c>
      <c r="F157" s="162" t="str">
        <f aca="false">IF(Salary_Calculation[[#This Row],[Source Row]]="","",IF(INDEX(Rider_Input[Working Days],Salary_Calculation[[#This Row],[Source Row]])="","",INDEX(Rider_Input[Working Days],Salary_Calculation[[#This Row],[Source Row]])))</f>
        <v/>
      </c>
      <c r="G157" s="165" t="str">
        <f aca="false">IF(Salary_Calculation[[#This Row],[Source Row]]="","",Std_Orders/Std_Days*N(Salary_Calculation[[#This Row],[Calendar Days]]))</f>
        <v/>
      </c>
      <c r="H157" s="165" t="str">
        <f aca="false">IF(Salary_Calculation[[#This Row],[Source Row]]="","",IF(N(Salary_Calculation[[#This Row],[Calendar Days]])&gt;0,Salary_Calculation[[#This Row],[Monthly Target Orders]]/N(Salary_Calculation[[#This Row],[Calendar Days]])*N(Salary_Calculation[[#This Row],[Working Days]]),0))</f>
        <v/>
      </c>
      <c r="I157" s="166" t="str">
        <f aca="false">IF(Salary_Calculation[[#This Row],[Source Row]]="","",IF(INDEX(Rider_Input[Completed Orders],Salary_Calculation[[#This Row],[Source Row]])="","",INDEX(Rider_Input[Completed Orders],Salary_Calculation[[#This Row],[Source Row]])))</f>
        <v/>
      </c>
      <c r="J157" s="165" t="str">
        <f aca="false">IF(Salary_Calculation[[#This Row],[Source Row]]="","",IF(Rate_Method="Fixed rate",Fixed_Rate,IF(N(Salary_Calculation[[#This Row],[Basic Payment]])&gt;0,N(Salary_Calculation[[#This Row],[Basic Payment]])/Std_Orders,0)))</f>
        <v/>
      </c>
      <c r="K157" s="165" t="str">
        <f aca="false">IF(Salary_Calculation[[#This Row],[Source Row]]="","",MAX(MIN(N(Salary_Calculation[[#This Row],[Completed Orders]]),Salary_Calculation[[#This Row],[Rider Target Orders]]),0))</f>
        <v/>
      </c>
      <c r="L157" s="164" t="str">
        <f aca="false">IF(Salary_Calculation[[#This Row],[Source Row]]="","",Salary_Calculation[[#This Row],[Orders Counted at Base Rate]]*Salary_Calculation[[#This Row],[Base Order Rate]])</f>
        <v/>
      </c>
      <c r="M157" s="165" t="str">
        <f aca="false">IF(Salary_Calculation[[#This Row],[Source Row]]="","",MAX(Salary_Calculation[[#This Row],[Rider Target Orders]]-N(Salary_Calculation[[#This Row],[Completed Orders]]),0))</f>
        <v/>
      </c>
      <c r="N157" s="164" t="str">
        <f aca="false">IF(Salary_Calculation[[#This Row],[Source Row]]="","",Salary_Calculation[[#This Row],[Missing Orders]]*Missing_Rate)</f>
        <v/>
      </c>
      <c r="O157" s="165" t="str">
        <f aca="false">IF(Salary_Calculation[[#This Row],[Source Row]]="","",MAX(N(Salary_Calculation[[#This Row],[Completed Orders]])-Salary_Calculation[[#This Row],[Rider Target Orders]],0))</f>
        <v/>
      </c>
      <c r="P157" s="164" t="str">
        <f aca="false">IF(Salary_Calculation[[#This Row],[Source Row]]="","",Salary_Calculation[[#This Row],[Extra Orders]]*Extra_Rate)</f>
        <v/>
      </c>
      <c r="Q157" s="164" t="str">
        <f aca="false">IF(Salary_Calculation[[#This Row],[Source Row]]="","",MAX(Salary_Calculation[[#This Row],[Salary Before Other Deductions]],0))</f>
        <v/>
      </c>
      <c r="R157" s="164" t="str">
        <f aca="false">IF(Salary_Calculation[[#This Row],[Source Row]]="","",N(INDEX(Rider_Input[missed_days_penalty],Salary_Calculation[[#This Row],[Source Row]])))</f>
        <v/>
      </c>
      <c r="S157" s="164" t="str">
        <f aca="false">IF(Salary_Calculation[[#This Row],[Source Row]]="","",N(INDEX(Rider_Input[Rider Balance / محفظة المندوب],Salary_Calculation[[#This Row],[Source Row]])))</f>
        <v/>
      </c>
      <c r="T157" s="164" t="str">
        <f aca="false">IF(Salary_Calculation[[#This Row],[Source Row]]="","",N(INDEX(Rider_Input[stacking_deduction / خصم الطلبات المتعددة],Salary_Calculation[[#This Row],[Source Row]])))</f>
        <v/>
      </c>
      <c r="U157" s="164" t="str">
        <f aca="false">IF(Salary_Calculation[[#This Row],[Source Row]]="","",N(INDEX(Rider_Input[Other Deductions],Salary_Calculation[[#This Row],[Source Row]])))</f>
        <v/>
      </c>
      <c r="V157" s="164" t="str">
        <f aca="false">IF(Salary_Calculation[[#This Row],[Source Row]]="","",N(Salary_Calculation[[#This Row],[missed_days_penalty]])+N(Salary_Calculation[[#This Row],[Rider Balance]])+N(Salary_Calculation[[#This Row],[stacking_deduction]])+N(Salary_Calculation[[#This Row],[Other Deductions]]))</f>
        <v/>
      </c>
      <c r="W157" s="167" t="str">
        <f aca="false">IF(Salary_Calculation[[#This Row],[Source Row]]="","",ROUND(MAX(Salary_Calculation[[#This Row],[Gross Salary Before Deductions]]-Salary_Calculation[[#This Row],[Total Deductions]],0),2))</f>
        <v/>
      </c>
      <c r="X157" s="164" t="str">
        <f aca="false">IF(Salary_Calculation[[#This Row],[Source Row]]="","",ROUND(MAX(Salary_Calculation[[#This Row],[Missing-Order Deduction]]-Salary_Calculation[[#This Row],[Earned Salary]],0),2))</f>
        <v/>
      </c>
      <c r="Y15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57" s="163" t="str">
        <f aca="false">IF(Salary_Calculation[[#This Row],[Source Row]]="","",IF(INDEX(Rider_Input[Notes],Salary_Calculation[[#This Row],[Source Row]])="","",INDEX(Rider_Input[Notes],Salary_Calculation[[#This Row],[Source Row]])))</f>
        <v/>
      </c>
      <c r="AA157" s="164" t="str">
        <f aca="false">IF(Salary_Calculation[[#This Row],[Source Row]]="","",Salary_Calculation[[#This Row],[Earned Salary]]-Salary_Calculation[[#This Row],[Missing-Order Deduction]]+Salary_Calculation[[#This Row],[Extra-Order Bonus]])</f>
        <v/>
      </c>
      <c r="AB157" s="164" t="str">
        <f aca="false">IF(Salary_Calculation[[#This Row],[Source Row]]="","",ROUND(Salary_Calculation[[#This Row],[Negative Balance / Amount Due from Rider]]+MAX(Salary_Calculation[[#This Row],[Total Deductions]]-Salary_Calculation[[#This Row],[Gross Salary Before Deductions]],0),2))</f>
        <v/>
      </c>
      <c r="AC15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57" s="164" t="str">
        <f aca="false">IF(Salary_Calculation[[#This Row],[Source Row]]="","",Salary_Calculation[[#This Row],[Rider Target Orders]]*Salary_Calculation[[#This Row],[Base Order Rate]])</f>
        <v/>
      </c>
      <c r="AE157" s="162" t="str">
        <f aca="false">IF(SUMPRODUCT(--(LEN(INDEX(Rider_Input[#Data],ROW()-ROW(Salary_Calculation[#Headers]),0))&gt;0))=0,"",ROW()-ROW(Salary_Calculation[#Headers]))</f>
        <v/>
      </c>
    </row>
    <row r="158" customFormat="false" ht="14.25" hidden="false" customHeight="false" outlineLevel="0" collapsed="false">
      <c r="A158" s="161" t="str">
        <f aca="false">IF(Salary_Calculation[[#This Row],[Source Row]]="","",IF(INDEX(Rider_Input[Salary Month],Salary_Calculation[[#This Row],[Source Row]])="","",INDEX(Rider_Input[Salary Month],Salary_Calculation[[#This Row],[Source Row]])))</f>
        <v/>
      </c>
      <c r="B158" s="162" t="str">
        <f aca="false">IF(Salary_Calculation[[#This Row],[Source Row]]="","",IF(INDEX(Rider_Input[Rider ID],Salary_Calculation[[#This Row],[Source Row]])="","",INDEX(Rider_Input[Rider ID],Salary_Calculation[[#This Row],[Source Row]])))</f>
        <v/>
      </c>
      <c r="C158" s="163" t="str">
        <f aca="false">IF(Salary_Calculation[[#This Row],[Source Row]]="","",IF(INDEX(Rider_Input[Rider Name],Salary_Calculation[[#This Row],[Source Row]])="","",INDEX(Rider_Input[Rider Name],Salary_Calculation[[#This Row],[Source Row]])))</f>
        <v/>
      </c>
      <c r="D158" s="164" t="str">
        <f aca="false">IF(Salary_Calculation[[#This Row],[Source Row]]="","",IF(INDEX(Rider_Input[Basic Payment],Salary_Calculation[[#This Row],[Source Row]])="","",INDEX(Rider_Input[Basic Payment],Salary_Calculation[[#This Row],[Source Row]])))</f>
        <v/>
      </c>
      <c r="E158" s="162" t="str">
        <f aca="false">IF(Salary_Calculation[[#This Row],[Source Row]]="","",IF(INDEX(Rider_Input[Calendar Days in Month],Salary_Calculation[[#This Row],[Source Row]])="","",INDEX(Rider_Input[Calendar Days in Month],Salary_Calculation[[#This Row],[Source Row]])))</f>
        <v/>
      </c>
      <c r="F158" s="162" t="str">
        <f aca="false">IF(Salary_Calculation[[#This Row],[Source Row]]="","",IF(INDEX(Rider_Input[Working Days],Salary_Calculation[[#This Row],[Source Row]])="","",INDEX(Rider_Input[Working Days],Salary_Calculation[[#This Row],[Source Row]])))</f>
        <v/>
      </c>
      <c r="G158" s="165" t="str">
        <f aca="false">IF(Salary_Calculation[[#This Row],[Source Row]]="","",Std_Orders/Std_Days*N(Salary_Calculation[[#This Row],[Calendar Days]]))</f>
        <v/>
      </c>
      <c r="H158" s="165" t="str">
        <f aca="false">IF(Salary_Calculation[[#This Row],[Source Row]]="","",IF(N(Salary_Calculation[[#This Row],[Calendar Days]])&gt;0,Salary_Calculation[[#This Row],[Monthly Target Orders]]/N(Salary_Calculation[[#This Row],[Calendar Days]])*N(Salary_Calculation[[#This Row],[Working Days]]),0))</f>
        <v/>
      </c>
      <c r="I158" s="166" t="str">
        <f aca="false">IF(Salary_Calculation[[#This Row],[Source Row]]="","",IF(INDEX(Rider_Input[Completed Orders],Salary_Calculation[[#This Row],[Source Row]])="","",INDEX(Rider_Input[Completed Orders],Salary_Calculation[[#This Row],[Source Row]])))</f>
        <v/>
      </c>
      <c r="J158" s="165" t="str">
        <f aca="false">IF(Salary_Calculation[[#This Row],[Source Row]]="","",IF(Rate_Method="Fixed rate",Fixed_Rate,IF(N(Salary_Calculation[[#This Row],[Basic Payment]])&gt;0,N(Salary_Calculation[[#This Row],[Basic Payment]])/Std_Orders,0)))</f>
        <v/>
      </c>
      <c r="K158" s="165" t="str">
        <f aca="false">IF(Salary_Calculation[[#This Row],[Source Row]]="","",MAX(MIN(N(Salary_Calculation[[#This Row],[Completed Orders]]),Salary_Calculation[[#This Row],[Rider Target Orders]]),0))</f>
        <v/>
      </c>
      <c r="L158" s="164" t="str">
        <f aca="false">IF(Salary_Calculation[[#This Row],[Source Row]]="","",Salary_Calculation[[#This Row],[Orders Counted at Base Rate]]*Salary_Calculation[[#This Row],[Base Order Rate]])</f>
        <v/>
      </c>
      <c r="M158" s="165" t="str">
        <f aca="false">IF(Salary_Calculation[[#This Row],[Source Row]]="","",MAX(Salary_Calculation[[#This Row],[Rider Target Orders]]-N(Salary_Calculation[[#This Row],[Completed Orders]]),0))</f>
        <v/>
      </c>
      <c r="N158" s="164" t="str">
        <f aca="false">IF(Salary_Calculation[[#This Row],[Source Row]]="","",Salary_Calculation[[#This Row],[Missing Orders]]*Missing_Rate)</f>
        <v/>
      </c>
      <c r="O158" s="165" t="str">
        <f aca="false">IF(Salary_Calculation[[#This Row],[Source Row]]="","",MAX(N(Salary_Calculation[[#This Row],[Completed Orders]])-Salary_Calculation[[#This Row],[Rider Target Orders]],0))</f>
        <v/>
      </c>
      <c r="P158" s="164" t="str">
        <f aca="false">IF(Salary_Calculation[[#This Row],[Source Row]]="","",Salary_Calculation[[#This Row],[Extra Orders]]*Extra_Rate)</f>
        <v/>
      </c>
      <c r="Q158" s="164" t="str">
        <f aca="false">IF(Salary_Calculation[[#This Row],[Source Row]]="","",MAX(Salary_Calculation[[#This Row],[Salary Before Other Deductions]],0))</f>
        <v/>
      </c>
      <c r="R158" s="164" t="str">
        <f aca="false">IF(Salary_Calculation[[#This Row],[Source Row]]="","",N(INDEX(Rider_Input[missed_days_penalty],Salary_Calculation[[#This Row],[Source Row]])))</f>
        <v/>
      </c>
      <c r="S158" s="164" t="str">
        <f aca="false">IF(Salary_Calculation[[#This Row],[Source Row]]="","",N(INDEX(Rider_Input[Rider Balance / محفظة المندوب],Salary_Calculation[[#This Row],[Source Row]])))</f>
        <v/>
      </c>
      <c r="T158" s="164" t="str">
        <f aca="false">IF(Salary_Calculation[[#This Row],[Source Row]]="","",N(INDEX(Rider_Input[stacking_deduction / خصم الطلبات المتعددة],Salary_Calculation[[#This Row],[Source Row]])))</f>
        <v/>
      </c>
      <c r="U158" s="164" t="str">
        <f aca="false">IF(Salary_Calculation[[#This Row],[Source Row]]="","",N(INDEX(Rider_Input[Other Deductions],Salary_Calculation[[#This Row],[Source Row]])))</f>
        <v/>
      </c>
      <c r="V158" s="164" t="str">
        <f aca="false">IF(Salary_Calculation[[#This Row],[Source Row]]="","",N(Salary_Calculation[[#This Row],[missed_days_penalty]])+N(Salary_Calculation[[#This Row],[Rider Balance]])+N(Salary_Calculation[[#This Row],[stacking_deduction]])+N(Salary_Calculation[[#This Row],[Other Deductions]]))</f>
        <v/>
      </c>
      <c r="W158" s="167" t="str">
        <f aca="false">IF(Salary_Calculation[[#This Row],[Source Row]]="","",ROUND(MAX(Salary_Calculation[[#This Row],[Gross Salary Before Deductions]]-Salary_Calculation[[#This Row],[Total Deductions]],0),2))</f>
        <v/>
      </c>
      <c r="X158" s="164" t="str">
        <f aca="false">IF(Salary_Calculation[[#This Row],[Source Row]]="","",ROUND(MAX(Salary_Calculation[[#This Row],[Missing-Order Deduction]]-Salary_Calculation[[#This Row],[Earned Salary]],0),2))</f>
        <v/>
      </c>
      <c r="Y15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58" s="163" t="str">
        <f aca="false">IF(Salary_Calculation[[#This Row],[Source Row]]="","",IF(INDEX(Rider_Input[Notes],Salary_Calculation[[#This Row],[Source Row]])="","",INDEX(Rider_Input[Notes],Salary_Calculation[[#This Row],[Source Row]])))</f>
        <v/>
      </c>
      <c r="AA158" s="164" t="str">
        <f aca="false">IF(Salary_Calculation[[#This Row],[Source Row]]="","",Salary_Calculation[[#This Row],[Earned Salary]]-Salary_Calculation[[#This Row],[Missing-Order Deduction]]+Salary_Calculation[[#This Row],[Extra-Order Bonus]])</f>
        <v/>
      </c>
      <c r="AB158" s="164" t="str">
        <f aca="false">IF(Salary_Calculation[[#This Row],[Source Row]]="","",ROUND(Salary_Calculation[[#This Row],[Negative Balance / Amount Due from Rider]]+MAX(Salary_Calculation[[#This Row],[Total Deductions]]-Salary_Calculation[[#This Row],[Gross Salary Before Deductions]],0),2))</f>
        <v/>
      </c>
      <c r="AC15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58" s="164" t="str">
        <f aca="false">IF(Salary_Calculation[[#This Row],[Source Row]]="","",Salary_Calculation[[#This Row],[Rider Target Orders]]*Salary_Calculation[[#This Row],[Base Order Rate]])</f>
        <v/>
      </c>
      <c r="AE158" s="162" t="str">
        <f aca="false">IF(SUMPRODUCT(--(LEN(INDEX(Rider_Input[#Data],ROW()-ROW(Salary_Calculation[#Headers]),0))&gt;0))=0,"",ROW()-ROW(Salary_Calculation[#Headers]))</f>
        <v/>
      </c>
    </row>
    <row r="159" customFormat="false" ht="14.25" hidden="false" customHeight="false" outlineLevel="0" collapsed="false">
      <c r="A159" s="161" t="str">
        <f aca="false">IF(Salary_Calculation[[#This Row],[Source Row]]="","",IF(INDEX(Rider_Input[Salary Month],Salary_Calculation[[#This Row],[Source Row]])="","",INDEX(Rider_Input[Salary Month],Salary_Calculation[[#This Row],[Source Row]])))</f>
        <v/>
      </c>
      <c r="B159" s="162" t="str">
        <f aca="false">IF(Salary_Calculation[[#This Row],[Source Row]]="","",IF(INDEX(Rider_Input[Rider ID],Salary_Calculation[[#This Row],[Source Row]])="","",INDEX(Rider_Input[Rider ID],Salary_Calculation[[#This Row],[Source Row]])))</f>
        <v/>
      </c>
      <c r="C159" s="163" t="str">
        <f aca="false">IF(Salary_Calculation[[#This Row],[Source Row]]="","",IF(INDEX(Rider_Input[Rider Name],Salary_Calculation[[#This Row],[Source Row]])="","",INDEX(Rider_Input[Rider Name],Salary_Calculation[[#This Row],[Source Row]])))</f>
        <v/>
      </c>
      <c r="D159" s="164" t="str">
        <f aca="false">IF(Salary_Calculation[[#This Row],[Source Row]]="","",IF(INDEX(Rider_Input[Basic Payment],Salary_Calculation[[#This Row],[Source Row]])="","",INDEX(Rider_Input[Basic Payment],Salary_Calculation[[#This Row],[Source Row]])))</f>
        <v/>
      </c>
      <c r="E159" s="162" t="str">
        <f aca="false">IF(Salary_Calculation[[#This Row],[Source Row]]="","",IF(INDEX(Rider_Input[Calendar Days in Month],Salary_Calculation[[#This Row],[Source Row]])="","",INDEX(Rider_Input[Calendar Days in Month],Salary_Calculation[[#This Row],[Source Row]])))</f>
        <v/>
      </c>
      <c r="F159" s="162" t="str">
        <f aca="false">IF(Salary_Calculation[[#This Row],[Source Row]]="","",IF(INDEX(Rider_Input[Working Days],Salary_Calculation[[#This Row],[Source Row]])="","",INDEX(Rider_Input[Working Days],Salary_Calculation[[#This Row],[Source Row]])))</f>
        <v/>
      </c>
      <c r="G159" s="165" t="str">
        <f aca="false">IF(Salary_Calculation[[#This Row],[Source Row]]="","",Std_Orders/Std_Days*N(Salary_Calculation[[#This Row],[Calendar Days]]))</f>
        <v/>
      </c>
      <c r="H159" s="165" t="str">
        <f aca="false">IF(Salary_Calculation[[#This Row],[Source Row]]="","",IF(N(Salary_Calculation[[#This Row],[Calendar Days]])&gt;0,Salary_Calculation[[#This Row],[Monthly Target Orders]]/N(Salary_Calculation[[#This Row],[Calendar Days]])*N(Salary_Calculation[[#This Row],[Working Days]]),0))</f>
        <v/>
      </c>
      <c r="I159" s="166" t="str">
        <f aca="false">IF(Salary_Calculation[[#This Row],[Source Row]]="","",IF(INDEX(Rider_Input[Completed Orders],Salary_Calculation[[#This Row],[Source Row]])="","",INDEX(Rider_Input[Completed Orders],Salary_Calculation[[#This Row],[Source Row]])))</f>
        <v/>
      </c>
      <c r="J159" s="165" t="str">
        <f aca="false">IF(Salary_Calculation[[#This Row],[Source Row]]="","",IF(Rate_Method="Fixed rate",Fixed_Rate,IF(N(Salary_Calculation[[#This Row],[Basic Payment]])&gt;0,N(Salary_Calculation[[#This Row],[Basic Payment]])/Std_Orders,0)))</f>
        <v/>
      </c>
      <c r="K159" s="165" t="str">
        <f aca="false">IF(Salary_Calculation[[#This Row],[Source Row]]="","",MAX(MIN(N(Salary_Calculation[[#This Row],[Completed Orders]]),Salary_Calculation[[#This Row],[Rider Target Orders]]),0))</f>
        <v/>
      </c>
      <c r="L159" s="164" t="str">
        <f aca="false">IF(Salary_Calculation[[#This Row],[Source Row]]="","",Salary_Calculation[[#This Row],[Orders Counted at Base Rate]]*Salary_Calculation[[#This Row],[Base Order Rate]])</f>
        <v/>
      </c>
      <c r="M159" s="165" t="str">
        <f aca="false">IF(Salary_Calculation[[#This Row],[Source Row]]="","",MAX(Salary_Calculation[[#This Row],[Rider Target Orders]]-N(Salary_Calculation[[#This Row],[Completed Orders]]),0))</f>
        <v/>
      </c>
      <c r="N159" s="164" t="str">
        <f aca="false">IF(Salary_Calculation[[#This Row],[Source Row]]="","",Salary_Calculation[[#This Row],[Missing Orders]]*Missing_Rate)</f>
        <v/>
      </c>
      <c r="O159" s="165" t="str">
        <f aca="false">IF(Salary_Calculation[[#This Row],[Source Row]]="","",MAX(N(Salary_Calculation[[#This Row],[Completed Orders]])-Salary_Calculation[[#This Row],[Rider Target Orders]],0))</f>
        <v/>
      </c>
      <c r="P159" s="164" t="str">
        <f aca="false">IF(Salary_Calculation[[#This Row],[Source Row]]="","",Salary_Calculation[[#This Row],[Extra Orders]]*Extra_Rate)</f>
        <v/>
      </c>
      <c r="Q159" s="164" t="str">
        <f aca="false">IF(Salary_Calculation[[#This Row],[Source Row]]="","",MAX(Salary_Calculation[[#This Row],[Salary Before Other Deductions]],0))</f>
        <v/>
      </c>
      <c r="R159" s="164" t="str">
        <f aca="false">IF(Salary_Calculation[[#This Row],[Source Row]]="","",N(INDEX(Rider_Input[missed_days_penalty],Salary_Calculation[[#This Row],[Source Row]])))</f>
        <v/>
      </c>
      <c r="S159" s="164" t="str">
        <f aca="false">IF(Salary_Calculation[[#This Row],[Source Row]]="","",N(INDEX(Rider_Input[Rider Balance / محفظة المندوب],Salary_Calculation[[#This Row],[Source Row]])))</f>
        <v/>
      </c>
      <c r="T159" s="164" t="str">
        <f aca="false">IF(Salary_Calculation[[#This Row],[Source Row]]="","",N(INDEX(Rider_Input[stacking_deduction / خصم الطلبات المتعددة],Salary_Calculation[[#This Row],[Source Row]])))</f>
        <v/>
      </c>
      <c r="U159" s="164" t="str">
        <f aca="false">IF(Salary_Calculation[[#This Row],[Source Row]]="","",N(INDEX(Rider_Input[Other Deductions],Salary_Calculation[[#This Row],[Source Row]])))</f>
        <v/>
      </c>
      <c r="V159" s="164" t="str">
        <f aca="false">IF(Salary_Calculation[[#This Row],[Source Row]]="","",N(Salary_Calculation[[#This Row],[missed_days_penalty]])+N(Salary_Calculation[[#This Row],[Rider Balance]])+N(Salary_Calculation[[#This Row],[stacking_deduction]])+N(Salary_Calculation[[#This Row],[Other Deductions]]))</f>
        <v/>
      </c>
      <c r="W159" s="167" t="str">
        <f aca="false">IF(Salary_Calculation[[#This Row],[Source Row]]="","",ROUND(MAX(Salary_Calculation[[#This Row],[Gross Salary Before Deductions]]-Salary_Calculation[[#This Row],[Total Deductions]],0),2))</f>
        <v/>
      </c>
      <c r="X159" s="164" t="str">
        <f aca="false">IF(Salary_Calculation[[#This Row],[Source Row]]="","",ROUND(MAX(Salary_Calculation[[#This Row],[Missing-Order Deduction]]-Salary_Calculation[[#This Row],[Earned Salary]],0),2))</f>
        <v/>
      </c>
      <c r="Y15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59" s="163" t="str">
        <f aca="false">IF(Salary_Calculation[[#This Row],[Source Row]]="","",IF(INDEX(Rider_Input[Notes],Salary_Calculation[[#This Row],[Source Row]])="","",INDEX(Rider_Input[Notes],Salary_Calculation[[#This Row],[Source Row]])))</f>
        <v/>
      </c>
      <c r="AA159" s="164" t="str">
        <f aca="false">IF(Salary_Calculation[[#This Row],[Source Row]]="","",Salary_Calculation[[#This Row],[Earned Salary]]-Salary_Calculation[[#This Row],[Missing-Order Deduction]]+Salary_Calculation[[#This Row],[Extra-Order Bonus]])</f>
        <v/>
      </c>
      <c r="AB159" s="164" t="str">
        <f aca="false">IF(Salary_Calculation[[#This Row],[Source Row]]="","",ROUND(Salary_Calculation[[#This Row],[Negative Balance / Amount Due from Rider]]+MAX(Salary_Calculation[[#This Row],[Total Deductions]]-Salary_Calculation[[#This Row],[Gross Salary Before Deductions]],0),2))</f>
        <v/>
      </c>
      <c r="AC15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59" s="164" t="str">
        <f aca="false">IF(Salary_Calculation[[#This Row],[Source Row]]="","",Salary_Calculation[[#This Row],[Rider Target Orders]]*Salary_Calculation[[#This Row],[Base Order Rate]])</f>
        <v/>
      </c>
      <c r="AE159" s="162" t="str">
        <f aca="false">IF(SUMPRODUCT(--(LEN(INDEX(Rider_Input[#Data],ROW()-ROW(Salary_Calculation[#Headers]),0))&gt;0))=0,"",ROW()-ROW(Salary_Calculation[#Headers]))</f>
        <v/>
      </c>
    </row>
    <row r="160" customFormat="false" ht="14.25" hidden="false" customHeight="false" outlineLevel="0" collapsed="false">
      <c r="A160" s="161" t="str">
        <f aca="false">IF(Salary_Calculation[[#This Row],[Source Row]]="","",IF(INDEX(Rider_Input[Salary Month],Salary_Calculation[[#This Row],[Source Row]])="","",INDEX(Rider_Input[Salary Month],Salary_Calculation[[#This Row],[Source Row]])))</f>
        <v/>
      </c>
      <c r="B160" s="162" t="str">
        <f aca="false">IF(Salary_Calculation[[#This Row],[Source Row]]="","",IF(INDEX(Rider_Input[Rider ID],Salary_Calculation[[#This Row],[Source Row]])="","",INDEX(Rider_Input[Rider ID],Salary_Calculation[[#This Row],[Source Row]])))</f>
        <v/>
      </c>
      <c r="C160" s="163" t="str">
        <f aca="false">IF(Salary_Calculation[[#This Row],[Source Row]]="","",IF(INDEX(Rider_Input[Rider Name],Salary_Calculation[[#This Row],[Source Row]])="","",INDEX(Rider_Input[Rider Name],Salary_Calculation[[#This Row],[Source Row]])))</f>
        <v/>
      </c>
      <c r="D160" s="164" t="str">
        <f aca="false">IF(Salary_Calculation[[#This Row],[Source Row]]="","",IF(INDEX(Rider_Input[Basic Payment],Salary_Calculation[[#This Row],[Source Row]])="","",INDEX(Rider_Input[Basic Payment],Salary_Calculation[[#This Row],[Source Row]])))</f>
        <v/>
      </c>
      <c r="E160" s="162" t="str">
        <f aca="false">IF(Salary_Calculation[[#This Row],[Source Row]]="","",IF(INDEX(Rider_Input[Calendar Days in Month],Salary_Calculation[[#This Row],[Source Row]])="","",INDEX(Rider_Input[Calendar Days in Month],Salary_Calculation[[#This Row],[Source Row]])))</f>
        <v/>
      </c>
      <c r="F160" s="162" t="str">
        <f aca="false">IF(Salary_Calculation[[#This Row],[Source Row]]="","",IF(INDEX(Rider_Input[Working Days],Salary_Calculation[[#This Row],[Source Row]])="","",INDEX(Rider_Input[Working Days],Salary_Calculation[[#This Row],[Source Row]])))</f>
        <v/>
      </c>
      <c r="G160" s="165" t="str">
        <f aca="false">IF(Salary_Calculation[[#This Row],[Source Row]]="","",Std_Orders/Std_Days*N(Salary_Calculation[[#This Row],[Calendar Days]]))</f>
        <v/>
      </c>
      <c r="H160" s="165" t="str">
        <f aca="false">IF(Salary_Calculation[[#This Row],[Source Row]]="","",IF(N(Salary_Calculation[[#This Row],[Calendar Days]])&gt;0,Salary_Calculation[[#This Row],[Monthly Target Orders]]/N(Salary_Calculation[[#This Row],[Calendar Days]])*N(Salary_Calculation[[#This Row],[Working Days]]),0))</f>
        <v/>
      </c>
      <c r="I160" s="166" t="str">
        <f aca="false">IF(Salary_Calculation[[#This Row],[Source Row]]="","",IF(INDEX(Rider_Input[Completed Orders],Salary_Calculation[[#This Row],[Source Row]])="","",INDEX(Rider_Input[Completed Orders],Salary_Calculation[[#This Row],[Source Row]])))</f>
        <v/>
      </c>
      <c r="J160" s="165" t="str">
        <f aca="false">IF(Salary_Calculation[[#This Row],[Source Row]]="","",IF(Rate_Method="Fixed rate",Fixed_Rate,IF(N(Salary_Calculation[[#This Row],[Basic Payment]])&gt;0,N(Salary_Calculation[[#This Row],[Basic Payment]])/Std_Orders,0)))</f>
        <v/>
      </c>
      <c r="K160" s="165" t="str">
        <f aca="false">IF(Salary_Calculation[[#This Row],[Source Row]]="","",MAX(MIN(N(Salary_Calculation[[#This Row],[Completed Orders]]),Salary_Calculation[[#This Row],[Rider Target Orders]]),0))</f>
        <v/>
      </c>
      <c r="L160" s="164" t="str">
        <f aca="false">IF(Salary_Calculation[[#This Row],[Source Row]]="","",Salary_Calculation[[#This Row],[Orders Counted at Base Rate]]*Salary_Calculation[[#This Row],[Base Order Rate]])</f>
        <v/>
      </c>
      <c r="M160" s="165" t="str">
        <f aca="false">IF(Salary_Calculation[[#This Row],[Source Row]]="","",MAX(Salary_Calculation[[#This Row],[Rider Target Orders]]-N(Salary_Calculation[[#This Row],[Completed Orders]]),0))</f>
        <v/>
      </c>
      <c r="N160" s="164" t="str">
        <f aca="false">IF(Salary_Calculation[[#This Row],[Source Row]]="","",Salary_Calculation[[#This Row],[Missing Orders]]*Missing_Rate)</f>
        <v/>
      </c>
      <c r="O160" s="165" t="str">
        <f aca="false">IF(Salary_Calculation[[#This Row],[Source Row]]="","",MAX(N(Salary_Calculation[[#This Row],[Completed Orders]])-Salary_Calculation[[#This Row],[Rider Target Orders]],0))</f>
        <v/>
      </c>
      <c r="P160" s="164" t="str">
        <f aca="false">IF(Salary_Calculation[[#This Row],[Source Row]]="","",Salary_Calculation[[#This Row],[Extra Orders]]*Extra_Rate)</f>
        <v/>
      </c>
      <c r="Q160" s="164" t="str">
        <f aca="false">IF(Salary_Calculation[[#This Row],[Source Row]]="","",MAX(Salary_Calculation[[#This Row],[Salary Before Other Deductions]],0))</f>
        <v/>
      </c>
      <c r="R160" s="164" t="str">
        <f aca="false">IF(Salary_Calculation[[#This Row],[Source Row]]="","",N(INDEX(Rider_Input[missed_days_penalty],Salary_Calculation[[#This Row],[Source Row]])))</f>
        <v/>
      </c>
      <c r="S160" s="164" t="str">
        <f aca="false">IF(Salary_Calculation[[#This Row],[Source Row]]="","",N(INDEX(Rider_Input[Rider Balance / محفظة المندوب],Salary_Calculation[[#This Row],[Source Row]])))</f>
        <v/>
      </c>
      <c r="T160" s="164" t="str">
        <f aca="false">IF(Salary_Calculation[[#This Row],[Source Row]]="","",N(INDEX(Rider_Input[stacking_deduction / خصم الطلبات المتعددة],Salary_Calculation[[#This Row],[Source Row]])))</f>
        <v/>
      </c>
      <c r="U160" s="164" t="str">
        <f aca="false">IF(Salary_Calculation[[#This Row],[Source Row]]="","",N(INDEX(Rider_Input[Other Deductions],Salary_Calculation[[#This Row],[Source Row]])))</f>
        <v/>
      </c>
      <c r="V160" s="164" t="str">
        <f aca="false">IF(Salary_Calculation[[#This Row],[Source Row]]="","",N(Salary_Calculation[[#This Row],[missed_days_penalty]])+N(Salary_Calculation[[#This Row],[Rider Balance]])+N(Salary_Calculation[[#This Row],[stacking_deduction]])+N(Salary_Calculation[[#This Row],[Other Deductions]]))</f>
        <v/>
      </c>
      <c r="W160" s="167" t="str">
        <f aca="false">IF(Salary_Calculation[[#This Row],[Source Row]]="","",ROUND(MAX(Salary_Calculation[[#This Row],[Gross Salary Before Deductions]]-Salary_Calculation[[#This Row],[Total Deductions]],0),2))</f>
        <v/>
      </c>
      <c r="X160" s="164" t="str">
        <f aca="false">IF(Salary_Calculation[[#This Row],[Source Row]]="","",ROUND(MAX(Salary_Calculation[[#This Row],[Missing-Order Deduction]]-Salary_Calculation[[#This Row],[Earned Salary]],0),2))</f>
        <v/>
      </c>
      <c r="Y16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60" s="163" t="str">
        <f aca="false">IF(Salary_Calculation[[#This Row],[Source Row]]="","",IF(INDEX(Rider_Input[Notes],Salary_Calculation[[#This Row],[Source Row]])="","",INDEX(Rider_Input[Notes],Salary_Calculation[[#This Row],[Source Row]])))</f>
        <v/>
      </c>
      <c r="AA160" s="164" t="str">
        <f aca="false">IF(Salary_Calculation[[#This Row],[Source Row]]="","",Salary_Calculation[[#This Row],[Earned Salary]]-Salary_Calculation[[#This Row],[Missing-Order Deduction]]+Salary_Calculation[[#This Row],[Extra-Order Bonus]])</f>
        <v/>
      </c>
      <c r="AB160" s="164" t="str">
        <f aca="false">IF(Salary_Calculation[[#This Row],[Source Row]]="","",ROUND(Salary_Calculation[[#This Row],[Negative Balance / Amount Due from Rider]]+MAX(Salary_Calculation[[#This Row],[Total Deductions]]-Salary_Calculation[[#This Row],[Gross Salary Before Deductions]],0),2))</f>
        <v/>
      </c>
      <c r="AC16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60" s="164" t="str">
        <f aca="false">IF(Salary_Calculation[[#This Row],[Source Row]]="","",Salary_Calculation[[#This Row],[Rider Target Orders]]*Salary_Calculation[[#This Row],[Base Order Rate]])</f>
        <v/>
      </c>
      <c r="AE160" s="162" t="str">
        <f aca="false">IF(SUMPRODUCT(--(LEN(INDEX(Rider_Input[#Data],ROW()-ROW(Salary_Calculation[#Headers]),0))&gt;0))=0,"",ROW()-ROW(Salary_Calculation[#Headers]))</f>
        <v/>
      </c>
    </row>
    <row r="161" customFormat="false" ht="14.25" hidden="false" customHeight="false" outlineLevel="0" collapsed="false">
      <c r="A161" s="161" t="str">
        <f aca="false">IF(Salary_Calculation[[#This Row],[Source Row]]="","",IF(INDEX(Rider_Input[Salary Month],Salary_Calculation[[#This Row],[Source Row]])="","",INDEX(Rider_Input[Salary Month],Salary_Calculation[[#This Row],[Source Row]])))</f>
        <v/>
      </c>
      <c r="B161" s="162" t="str">
        <f aca="false">IF(Salary_Calculation[[#This Row],[Source Row]]="","",IF(INDEX(Rider_Input[Rider ID],Salary_Calculation[[#This Row],[Source Row]])="","",INDEX(Rider_Input[Rider ID],Salary_Calculation[[#This Row],[Source Row]])))</f>
        <v/>
      </c>
      <c r="C161" s="163" t="str">
        <f aca="false">IF(Salary_Calculation[[#This Row],[Source Row]]="","",IF(INDEX(Rider_Input[Rider Name],Salary_Calculation[[#This Row],[Source Row]])="","",INDEX(Rider_Input[Rider Name],Salary_Calculation[[#This Row],[Source Row]])))</f>
        <v/>
      </c>
      <c r="D161" s="164" t="str">
        <f aca="false">IF(Salary_Calculation[[#This Row],[Source Row]]="","",IF(INDEX(Rider_Input[Basic Payment],Salary_Calculation[[#This Row],[Source Row]])="","",INDEX(Rider_Input[Basic Payment],Salary_Calculation[[#This Row],[Source Row]])))</f>
        <v/>
      </c>
      <c r="E161" s="162" t="str">
        <f aca="false">IF(Salary_Calculation[[#This Row],[Source Row]]="","",IF(INDEX(Rider_Input[Calendar Days in Month],Salary_Calculation[[#This Row],[Source Row]])="","",INDEX(Rider_Input[Calendar Days in Month],Salary_Calculation[[#This Row],[Source Row]])))</f>
        <v/>
      </c>
      <c r="F161" s="162" t="str">
        <f aca="false">IF(Salary_Calculation[[#This Row],[Source Row]]="","",IF(INDEX(Rider_Input[Working Days],Salary_Calculation[[#This Row],[Source Row]])="","",INDEX(Rider_Input[Working Days],Salary_Calculation[[#This Row],[Source Row]])))</f>
        <v/>
      </c>
      <c r="G161" s="165" t="str">
        <f aca="false">IF(Salary_Calculation[[#This Row],[Source Row]]="","",Std_Orders/Std_Days*N(Salary_Calculation[[#This Row],[Calendar Days]]))</f>
        <v/>
      </c>
      <c r="H161" s="165" t="str">
        <f aca="false">IF(Salary_Calculation[[#This Row],[Source Row]]="","",IF(N(Salary_Calculation[[#This Row],[Calendar Days]])&gt;0,Salary_Calculation[[#This Row],[Monthly Target Orders]]/N(Salary_Calculation[[#This Row],[Calendar Days]])*N(Salary_Calculation[[#This Row],[Working Days]]),0))</f>
        <v/>
      </c>
      <c r="I161" s="166" t="str">
        <f aca="false">IF(Salary_Calculation[[#This Row],[Source Row]]="","",IF(INDEX(Rider_Input[Completed Orders],Salary_Calculation[[#This Row],[Source Row]])="","",INDEX(Rider_Input[Completed Orders],Salary_Calculation[[#This Row],[Source Row]])))</f>
        <v/>
      </c>
      <c r="J161" s="165" t="str">
        <f aca="false">IF(Salary_Calculation[[#This Row],[Source Row]]="","",IF(Rate_Method="Fixed rate",Fixed_Rate,IF(N(Salary_Calculation[[#This Row],[Basic Payment]])&gt;0,N(Salary_Calculation[[#This Row],[Basic Payment]])/Std_Orders,0)))</f>
        <v/>
      </c>
      <c r="K161" s="165" t="str">
        <f aca="false">IF(Salary_Calculation[[#This Row],[Source Row]]="","",MAX(MIN(N(Salary_Calculation[[#This Row],[Completed Orders]]),Salary_Calculation[[#This Row],[Rider Target Orders]]),0))</f>
        <v/>
      </c>
      <c r="L161" s="164" t="str">
        <f aca="false">IF(Salary_Calculation[[#This Row],[Source Row]]="","",Salary_Calculation[[#This Row],[Orders Counted at Base Rate]]*Salary_Calculation[[#This Row],[Base Order Rate]])</f>
        <v/>
      </c>
      <c r="M161" s="165" t="str">
        <f aca="false">IF(Salary_Calculation[[#This Row],[Source Row]]="","",MAX(Salary_Calculation[[#This Row],[Rider Target Orders]]-N(Salary_Calculation[[#This Row],[Completed Orders]]),0))</f>
        <v/>
      </c>
      <c r="N161" s="164" t="str">
        <f aca="false">IF(Salary_Calculation[[#This Row],[Source Row]]="","",Salary_Calculation[[#This Row],[Missing Orders]]*Missing_Rate)</f>
        <v/>
      </c>
      <c r="O161" s="165" t="str">
        <f aca="false">IF(Salary_Calculation[[#This Row],[Source Row]]="","",MAX(N(Salary_Calculation[[#This Row],[Completed Orders]])-Salary_Calculation[[#This Row],[Rider Target Orders]],0))</f>
        <v/>
      </c>
      <c r="P161" s="164" t="str">
        <f aca="false">IF(Salary_Calculation[[#This Row],[Source Row]]="","",Salary_Calculation[[#This Row],[Extra Orders]]*Extra_Rate)</f>
        <v/>
      </c>
      <c r="Q161" s="164" t="str">
        <f aca="false">IF(Salary_Calculation[[#This Row],[Source Row]]="","",MAX(Salary_Calculation[[#This Row],[Salary Before Other Deductions]],0))</f>
        <v/>
      </c>
      <c r="R161" s="164" t="str">
        <f aca="false">IF(Salary_Calculation[[#This Row],[Source Row]]="","",N(INDEX(Rider_Input[missed_days_penalty],Salary_Calculation[[#This Row],[Source Row]])))</f>
        <v/>
      </c>
      <c r="S161" s="164" t="str">
        <f aca="false">IF(Salary_Calculation[[#This Row],[Source Row]]="","",N(INDEX(Rider_Input[Rider Balance / محفظة المندوب],Salary_Calculation[[#This Row],[Source Row]])))</f>
        <v/>
      </c>
      <c r="T161" s="164" t="str">
        <f aca="false">IF(Salary_Calculation[[#This Row],[Source Row]]="","",N(INDEX(Rider_Input[stacking_deduction / خصم الطلبات المتعددة],Salary_Calculation[[#This Row],[Source Row]])))</f>
        <v/>
      </c>
      <c r="U161" s="164" t="str">
        <f aca="false">IF(Salary_Calculation[[#This Row],[Source Row]]="","",N(INDEX(Rider_Input[Other Deductions],Salary_Calculation[[#This Row],[Source Row]])))</f>
        <v/>
      </c>
      <c r="V161" s="164" t="str">
        <f aca="false">IF(Salary_Calculation[[#This Row],[Source Row]]="","",N(Salary_Calculation[[#This Row],[missed_days_penalty]])+N(Salary_Calculation[[#This Row],[Rider Balance]])+N(Salary_Calculation[[#This Row],[stacking_deduction]])+N(Salary_Calculation[[#This Row],[Other Deductions]]))</f>
        <v/>
      </c>
      <c r="W161" s="167" t="str">
        <f aca="false">IF(Salary_Calculation[[#This Row],[Source Row]]="","",ROUND(MAX(Salary_Calculation[[#This Row],[Gross Salary Before Deductions]]-Salary_Calculation[[#This Row],[Total Deductions]],0),2))</f>
        <v/>
      </c>
      <c r="X161" s="164" t="str">
        <f aca="false">IF(Salary_Calculation[[#This Row],[Source Row]]="","",ROUND(MAX(Salary_Calculation[[#This Row],[Missing-Order Deduction]]-Salary_Calculation[[#This Row],[Earned Salary]],0),2))</f>
        <v/>
      </c>
      <c r="Y16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61" s="163" t="str">
        <f aca="false">IF(Salary_Calculation[[#This Row],[Source Row]]="","",IF(INDEX(Rider_Input[Notes],Salary_Calculation[[#This Row],[Source Row]])="","",INDEX(Rider_Input[Notes],Salary_Calculation[[#This Row],[Source Row]])))</f>
        <v/>
      </c>
      <c r="AA161" s="164" t="str">
        <f aca="false">IF(Salary_Calculation[[#This Row],[Source Row]]="","",Salary_Calculation[[#This Row],[Earned Salary]]-Salary_Calculation[[#This Row],[Missing-Order Deduction]]+Salary_Calculation[[#This Row],[Extra-Order Bonus]])</f>
        <v/>
      </c>
      <c r="AB161" s="164" t="str">
        <f aca="false">IF(Salary_Calculation[[#This Row],[Source Row]]="","",ROUND(Salary_Calculation[[#This Row],[Negative Balance / Amount Due from Rider]]+MAX(Salary_Calculation[[#This Row],[Total Deductions]]-Salary_Calculation[[#This Row],[Gross Salary Before Deductions]],0),2))</f>
        <v/>
      </c>
      <c r="AC16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61" s="164" t="str">
        <f aca="false">IF(Salary_Calculation[[#This Row],[Source Row]]="","",Salary_Calculation[[#This Row],[Rider Target Orders]]*Salary_Calculation[[#This Row],[Base Order Rate]])</f>
        <v/>
      </c>
      <c r="AE161" s="162" t="str">
        <f aca="false">IF(SUMPRODUCT(--(LEN(INDEX(Rider_Input[#Data],ROW()-ROW(Salary_Calculation[#Headers]),0))&gt;0))=0,"",ROW()-ROW(Salary_Calculation[#Headers]))</f>
        <v/>
      </c>
    </row>
    <row r="162" customFormat="false" ht="14.25" hidden="false" customHeight="false" outlineLevel="0" collapsed="false">
      <c r="A162" s="161" t="str">
        <f aca="false">IF(Salary_Calculation[[#This Row],[Source Row]]="","",IF(INDEX(Rider_Input[Salary Month],Salary_Calculation[[#This Row],[Source Row]])="","",INDEX(Rider_Input[Salary Month],Salary_Calculation[[#This Row],[Source Row]])))</f>
        <v/>
      </c>
      <c r="B162" s="162" t="str">
        <f aca="false">IF(Salary_Calculation[[#This Row],[Source Row]]="","",IF(INDEX(Rider_Input[Rider ID],Salary_Calculation[[#This Row],[Source Row]])="","",INDEX(Rider_Input[Rider ID],Salary_Calculation[[#This Row],[Source Row]])))</f>
        <v/>
      </c>
      <c r="C162" s="163" t="str">
        <f aca="false">IF(Salary_Calculation[[#This Row],[Source Row]]="","",IF(INDEX(Rider_Input[Rider Name],Salary_Calculation[[#This Row],[Source Row]])="","",INDEX(Rider_Input[Rider Name],Salary_Calculation[[#This Row],[Source Row]])))</f>
        <v/>
      </c>
      <c r="D162" s="164" t="str">
        <f aca="false">IF(Salary_Calculation[[#This Row],[Source Row]]="","",IF(INDEX(Rider_Input[Basic Payment],Salary_Calculation[[#This Row],[Source Row]])="","",INDEX(Rider_Input[Basic Payment],Salary_Calculation[[#This Row],[Source Row]])))</f>
        <v/>
      </c>
      <c r="E162" s="162" t="str">
        <f aca="false">IF(Salary_Calculation[[#This Row],[Source Row]]="","",IF(INDEX(Rider_Input[Calendar Days in Month],Salary_Calculation[[#This Row],[Source Row]])="","",INDEX(Rider_Input[Calendar Days in Month],Salary_Calculation[[#This Row],[Source Row]])))</f>
        <v/>
      </c>
      <c r="F162" s="162" t="str">
        <f aca="false">IF(Salary_Calculation[[#This Row],[Source Row]]="","",IF(INDEX(Rider_Input[Working Days],Salary_Calculation[[#This Row],[Source Row]])="","",INDEX(Rider_Input[Working Days],Salary_Calculation[[#This Row],[Source Row]])))</f>
        <v/>
      </c>
      <c r="G162" s="165" t="str">
        <f aca="false">IF(Salary_Calculation[[#This Row],[Source Row]]="","",Std_Orders/Std_Days*N(Salary_Calculation[[#This Row],[Calendar Days]]))</f>
        <v/>
      </c>
      <c r="H162" s="165" t="str">
        <f aca="false">IF(Salary_Calculation[[#This Row],[Source Row]]="","",IF(N(Salary_Calculation[[#This Row],[Calendar Days]])&gt;0,Salary_Calculation[[#This Row],[Monthly Target Orders]]/N(Salary_Calculation[[#This Row],[Calendar Days]])*N(Salary_Calculation[[#This Row],[Working Days]]),0))</f>
        <v/>
      </c>
      <c r="I162" s="166" t="str">
        <f aca="false">IF(Salary_Calculation[[#This Row],[Source Row]]="","",IF(INDEX(Rider_Input[Completed Orders],Salary_Calculation[[#This Row],[Source Row]])="","",INDEX(Rider_Input[Completed Orders],Salary_Calculation[[#This Row],[Source Row]])))</f>
        <v/>
      </c>
      <c r="J162" s="165" t="str">
        <f aca="false">IF(Salary_Calculation[[#This Row],[Source Row]]="","",IF(Rate_Method="Fixed rate",Fixed_Rate,IF(N(Salary_Calculation[[#This Row],[Basic Payment]])&gt;0,N(Salary_Calculation[[#This Row],[Basic Payment]])/Std_Orders,0)))</f>
        <v/>
      </c>
      <c r="K162" s="165" t="str">
        <f aca="false">IF(Salary_Calculation[[#This Row],[Source Row]]="","",MAX(MIN(N(Salary_Calculation[[#This Row],[Completed Orders]]),Salary_Calculation[[#This Row],[Rider Target Orders]]),0))</f>
        <v/>
      </c>
      <c r="L162" s="164" t="str">
        <f aca="false">IF(Salary_Calculation[[#This Row],[Source Row]]="","",Salary_Calculation[[#This Row],[Orders Counted at Base Rate]]*Salary_Calculation[[#This Row],[Base Order Rate]])</f>
        <v/>
      </c>
      <c r="M162" s="165" t="str">
        <f aca="false">IF(Salary_Calculation[[#This Row],[Source Row]]="","",MAX(Salary_Calculation[[#This Row],[Rider Target Orders]]-N(Salary_Calculation[[#This Row],[Completed Orders]]),0))</f>
        <v/>
      </c>
      <c r="N162" s="164" t="str">
        <f aca="false">IF(Salary_Calculation[[#This Row],[Source Row]]="","",Salary_Calculation[[#This Row],[Missing Orders]]*Missing_Rate)</f>
        <v/>
      </c>
      <c r="O162" s="165" t="str">
        <f aca="false">IF(Salary_Calculation[[#This Row],[Source Row]]="","",MAX(N(Salary_Calculation[[#This Row],[Completed Orders]])-Salary_Calculation[[#This Row],[Rider Target Orders]],0))</f>
        <v/>
      </c>
      <c r="P162" s="164" t="str">
        <f aca="false">IF(Salary_Calculation[[#This Row],[Source Row]]="","",Salary_Calculation[[#This Row],[Extra Orders]]*Extra_Rate)</f>
        <v/>
      </c>
      <c r="Q162" s="164" t="str">
        <f aca="false">IF(Salary_Calculation[[#This Row],[Source Row]]="","",MAX(Salary_Calculation[[#This Row],[Salary Before Other Deductions]],0))</f>
        <v/>
      </c>
      <c r="R162" s="164" t="str">
        <f aca="false">IF(Salary_Calculation[[#This Row],[Source Row]]="","",N(INDEX(Rider_Input[missed_days_penalty],Salary_Calculation[[#This Row],[Source Row]])))</f>
        <v/>
      </c>
      <c r="S162" s="164" t="str">
        <f aca="false">IF(Salary_Calculation[[#This Row],[Source Row]]="","",N(INDEX(Rider_Input[Rider Balance / محفظة المندوب],Salary_Calculation[[#This Row],[Source Row]])))</f>
        <v/>
      </c>
      <c r="T162" s="164" t="str">
        <f aca="false">IF(Salary_Calculation[[#This Row],[Source Row]]="","",N(INDEX(Rider_Input[stacking_deduction / خصم الطلبات المتعددة],Salary_Calculation[[#This Row],[Source Row]])))</f>
        <v/>
      </c>
      <c r="U162" s="164" t="str">
        <f aca="false">IF(Salary_Calculation[[#This Row],[Source Row]]="","",N(INDEX(Rider_Input[Other Deductions],Salary_Calculation[[#This Row],[Source Row]])))</f>
        <v/>
      </c>
      <c r="V162" s="164" t="str">
        <f aca="false">IF(Salary_Calculation[[#This Row],[Source Row]]="","",N(Salary_Calculation[[#This Row],[missed_days_penalty]])+N(Salary_Calculation[[#This Row],[Rider Balance]])+N(Salary_Calculation[[#This Row],[stacking_deduction]])+N(Salary_Calculation[[#This Row],[Other Deductions]]))</f>
        <v/>
      </c>
      <c r="W162" s="167" t="str">
        <f aca="false">IF(Salary_Calculation[[#This Row],[Source Row]]="","",ROUND(MAX(Salary_Calculation[[#This Row],[Gross Salary Before Deductions]]-Salary_Calculation[[#This Row],[Total Deductions]],0),2))</f>
        <v/>
      </c>
      <c r="X162" s="164" t="str">
        <f aca="false">IF(Salary_Calculation[[#This Row],[Source Row]]="","",ROUND(MAX(Salary_Calculation[[#This Row],[Missing-Order Deduction]]-Salary_Calculation[[#This Row],[Earned Salary]],0),2))</f>
        <v/>
      </c>
      <c r="Y16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62" s="163" t="str">
        <f aca="false">IF(Salary_Calculation[[#This Row],[Source Row]]="","",IF(INDEX(Rider_Input[Notes],Salary_Calculation[[#This Row],[Source Row]])="","",INDEX(Rider_Input[Notes],Salary_Calculation[[#This Row],[Source Row]])))</f>
        <v/>
      </c>
      <c r="AA162" s="164" t="str">
        <f aca="false">IF(Salary_Calculation[[#This Row],[Source Row]]="","",Salary_Calculation[[#This Row],[Earned Salary]]-Salary_Calculation[[#This Row],[Missing-Order Deduction]]+Salary_Calculation[[#This Row],[Extra-Order Bonus]])</f>
        <v/>
      </c>
      <c r="AB162" s="164" t="str">
        <f aca="false">IF(Salary_Calculation[[#This Row],[Source Row]]="","",ROUND(Salary_Calculation[[#This Row],[Negative Balance / Amount Due from Rider]]+MAX(Salary_Calculation[[#This Row],[Total Deductions]]-Salary_Calculation[[#This Row],[Gross Salary Before Deductions]],0),2))</f>
        <v/>
      </c>
      <c r="AC16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62" s="164" t="str">
        <f aca="false">IF(Salary_Calculation[[#This Row],[Source Row]]="","",Salary_Calculation[[#This Row],[Rider Target Orders]]*Salary_Calculation[[#This Row],[Base Order Rate]])</f>
        <v/>
      </c>
      <c r="AE162" s="162" t="str">
        <f aca="false">IF(SUMPRODUCT(--(LEN(INDEX(Rider_Input[#Data],ROW()-ROW(Salary_Calculation[#Headers]),0))&gt;0))=0,"",ROW()-ROW(Salary_Calculation[#Headers]))</f>
        <v/>
      </c>
    </row>
    <row r="163" customFormat="false" ht="14.25" hidden="false" customHeight="false" outlineLevel="0" collapsed="false">
      <c r="A163" s="161" t="str">
        <f aca="false">IF(Salary_Calculation[[#This Row],[Source Row]]="","",IF(INDEX(Rider_Input[Salary Month],Salary_Calculation[[#This Row],[Source Row]])="","",INDEX(Rider_Input[Salary Month],Salary_Calculation[[#This Row],[Source Row]])))</f>
        <v/>
      </c>
      <c r="B163" s="162" t="str">
        <f aca="false">IF(Salary_Calculation[[#This Row],[Source Row]]="","",IF(INDEX(Rider_Input[Rider ID],Salary_Calculation[[#This Row],[Source Row]])="","",INDEX(Rider_Input[Rider ID],Salary_Calculation[[#This Row],[Source Row]])))</f>
        <v/>
      </c>
      <c r="C163" s="163" t="str">
        <f aca="false">IF(Salary_Calculation[[#This Row],[Source Row]]="","",IF(INDEX(Rider_Input[Rider Name],Salary_Calculation[[#This Row],[Source Row]])="","",INDEX(Rider_Input[Rider Name],Salary_Calculation[[#This Row],[Source Row]])))</f>
        <v/>
      </c>
      <c r="D163" s="164" t="str">
        <f aca="false">IF(Salary_Calculation[[#This Row],[Source Row]]="","",IF(INDEX(Rider_Input[Basic Payment],Salary_Calculation[[#This Row],[Source Row]])="","",INDEX(Rider_Input[Basic Payment],Salary_Calculation[[#This Row],[Source Row]])))</f>
        <v/>
      </c>
      <c r="E163" s="162" t="str">
        <f aca="false">IF(Salary_Calculation[[#This Row],[Source Row]]="","",IF(INDEX(Rider_Input[Calendar Days in Month],Salary_Calculation[[#This Row],[Source Row]])="","",INDEX(Rider_Input[Calendar Days in Month],Salary_Calculation[[#This Row],[Source Row]])))</f>
        <v/>
      </c>
      <c r="F163" s="162" t="str">
        <f aca="false">IF(Salary_Calculation[[#This Row],[Source Row]]="","",IF(INDEX(Rider_Input[Working Days],Salary_Calculation[[#This Row],[Source Row]])="","",INDEX(Rider_Input[Working Days],Salary_Calculation[[#This Row],[Source Row]])))</f>
        <v/>
      </c>
      <c r="G163" s="165" t="str">
        <f aca="false">IF(Salary_Calculation[[#This Row],[Source Row]]="","",Std_Orders/Std_Days*N(Salary_Calculation[[#This Row],[Calendar Days]]))</f>
        <v/>
      </c>
      <c r="H163" s="165" t="str">
        <f aca="false">IF(Salary_Calculation[[#This Row],[Source Row]]="","",IF(N(Salary_Calculation[[#This Row],[Calendar Days]])&gt;0,Salary_Calculation[[#This Row],[Monthly Target Orders]]/N(Salary_Calculation[[#This Row],[Calendar Days]])*N(Salary_Calculation[[#This Row],[Working Days]]),0))</f>
        <v/>
      </c>
      <c r="I163" s="166" t="str">
        <f aca="false">IF(Salary_Calculation[[#This Row],[Source Row]]="","",IF(INDEX(Rider_Input[Completed Orders],Salary_Calculation[[#This Row],[Source Row]])="","",INDEX(Rider_Input[Completed Orders],Salary_Calculation[[#This Row],[Source Row]])))</f>
        <v/>
      </c>
      <c r="J163" s="165" t="str">
        <f aca="false">IF(Salary_Calculation[[#This Row],[Source Row]]="","",IF(Rate_Method="Fixed rate",Fixed_Rate,IF(N(Salary_Calculation[[#This Row],[Basic Payment]])&gt;0,N(Salary_Calculation[[#This Row],[Basic Payment]])/Std_Orders,0)))</f>
        <v/>
      </c>
      <c r="K163" s="165" t="str">
        <f aca="false">IF(Salary_Calculation[[#This Row],[Source Row]]="","",MAX(MIN(N(Salary_Calculation[[#This Row],[Completed Orders]]),Salary_Calculation[[#This Row],[Rider Target Orders]]),0))</f>
        <v/>
      </c>
      <c r="L163" s="164" t="str">
        <f aca="false">IF(Salary_Calculation[[#This Row],[Source Row]]="","",Salary_Calculation[[#This Row],[Orders Counted at Base Rate]]*Salary_Calculation[[#This Row],[Base Order Rate]])</f>
        <v/>
      </c>
      <c r="M163" s="165" t="str">
        <f aca="false">IF(Salary_Calculation[[#This Row],[Source Row]]="","",MAX(Salary_Calculation[[#This Row],[Rider Target Orders]]-N(Salary_Calculation[[#This Row],[Completed Orders]]),0))</f>
        <v/>
      </c>
      <c r="N163" s="164" t="str">
        <f aca="false">IF(Salary_Calculation[[#This Row],[Source Row]]="","",Salary_Calculation[[#This Row],[Missing Orders]]*Missing_Rate)</f>
        <v/>
      </c>
      <c r="O163" s="165" t="str">
        <f aca="false">IF(Salary_Calculation[[#This Row],[Source Row]]="","",MAX(N(Salary_Calculation[[#This Row],[Completed Orders]])-Salary_Calculation[[#This Row],[Rider Target Orders]],0))</f>
        <v/>
      </c>
      <c r="P163" s="164" t="str">
        <f aca="false">IF(Salary_Calculation[[#This Row],[Source Row]]="","",Salary_Calculation[[#This Row],[Extra Orders]]*Extra_Rate)</f>
        <v/>
      </c>
      <c r="Q163" s="164" t="str">
        <f aca="false">IF(Salary_Calculation[[#This Row],[Source Row]]="","",MAX(Salary_Calculation[[#This Row],[Salary Before Other Deductions]],0))</f>
        <v/>
      </c>
      <c r="R163" s="164" t="str">
        <f aca="false">IF(Salary_Calculation[[#This Row],[Source Row]]="","",N(INDEX(Rider_Input[missed_days_penalty],Salary_Calculation[[#This Row],[Source Row]])))</f>
        <v/>
      </c>
      <c r="S163" s="164" t="str">
        <f aca="false">IF(Salary_Calculation[[#This Row],[Source Row]]="","",N(INDEX(Rider_Input[Rider Balance / محفظة المندوب],Salary_Calculation[[#This Row],[Source Row]])))</f>
        <v/>
      </c>
      <c r="T163" s="164" t="str">
        <f aca="false">IF(Salary_Calculation[[#This Row],[Source Row]]="","",N(INDEX(Rider_Input[stacking_deduction / خصم الطلبات المتعددة],Salary_Calculation[[#This Row],[Source Row]])))</f>
        <v/>
      </c>
      <c r="U163" s="164" t="str">
        <f aca="false">IF(Salary_Calculation[[#This Row],[Source Row]]="","",N(INDEX(Rider_Input[Other Deductions],Salary_Calculation[[#This Row],[Source Row]])))</f>
        <v/>
      </c>
      <c r="V163" s="164" t="str">
        <f aca="false">IF(Salary_Calculation[[#This Row],[Source Row]]="","",N(Salary_Calculation[[#This Row],[missed_days_penalty]])+N(Salary_Calculation[[#This Row],[Rider Balance]])+N(Salary_Calculation[[#This Row],[stacking_deduction]])+N(Salary_Calculation[[#This Row],[Other Deductions]]))</f>
        <v/>
      </c>
      <c r="W163" s="167" t="str">
        <f aca="false">IF(Salary_Calculation[[#This Row],[Source Row]]="","",ROUND(MAX(Salary_Calculation[[#This Row],[Gross Salary Before Deductions]]-Salary_Calculation[[#This Row],[Total Deductions]],0),2))</f>
        <v/>
      </c>
      <c r="X163" s="164" t="str">
        <f aca="false">IF(Salary_Calculation[[#This Row],[Source Row]]="","",ROUND(MAX(Salary_Calculation[[#This Row],[Missing-Order Deduction]]-Salary_Calculation[[#This Row],[Earned Salary]],0),2))</f>
        <v/>
      </c>
      <c r="Y16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63" s="163" t="str">
        <f aca="false">IF(Salary_Calculation[[#This Row],[Source Row]]="","",IF(INDEX(Rider_Input[Notes],Salary_Calculation[[#This Row],[Source Row]])="","",INDEX(Rider_Input[Notes],Salary_Calculation[[#This Row],[Source Row]])))</f>
        <v/>
      </c>
      <c r="AA163" s="164" t="str">
        <f aca="false">IF(Salary_Calculation[[#This Row],[Source Row]]="","",Salary_Calculation[[#This Row],[Earned Salary]]-Salary_Calculation[[#This Row],[Missing-Order Deduction]]+Salary_Calculation[[#This Row],[Extra-Order Bonus]])</f>
        <v/>
      </c>
      <c r="AB163" s="164" t="str">
        <f aca="false">IF(Salary_Calculation[[#This Row],[Source Row]]="","",ROUND(Salary_Calculation[[#This Row],[Negative Balance / Amount Due from Rider]]+MAX(Salary_Calculation[[#This Row],[Total Deductions]]-Salary_Calculation[[#This Row],[Gross Salary Before Deductions]],0),2))</f>
        <v/>
      </c>
      <c r="AC16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63" s="164" t="str">
        <f aca="false">IF(Salary_Calculation[[#This Row],[Source Row]]="","",Salary_Calculation[[#This Row],[Rider Target Orders]]*Salary_Calculation[[#This Row],[Base Order Rate]])</f>
        <v/>
      </c>
      <c r="AE163" s="162" t="str">
        <f aca="false">IF(SUMPRODUCT(--(LEN(INDEX(Rider_Input[#Data],ROW()-ROW(Salary_Calculation[#Headers]),0))&gt;0))=0,"",ROW()-ROW(Salary_Calculation[#Headers]))</f>
        <v/>
      </c>
    </row>
    <row r="164" customFormat="false" ht="14.25" hidden="false" customHeight="false" outlineLevel="0" collapsed="false">
      <c r="A164" s="161" t="str">
        <f aca="false">IF(Salary_Calculation[[#This Row],[Source Row]]="","",IF(INDEX(Rider_Input[Salary Month],Salary_Calculation[[#This Row],[Source Row]])="","",INDEX(Rider_Input[Salary Month],Salary_Calculation[[#This Row],[Source Row]])))</f>
        <v/>
      </c>
      <c r="B164" s="162" t="str">
        <f aca="false">IF(Salary_Calculation[[#This Row],[Source Row]]="","",IF(INDEX(Rider_Input[Rider ID],Salary_Calculation[[#This Row],[Source Row]])="","",INDEX(Rider_Input[Rider ID],Salary_Calculation[[#This Row],[Source Row]])))</f>
        <v/>
      </c>
      <c r="C164" s="163" t="str">
        <f aca="false">IF(Salary_Calculation[[#This Row],[Source Row]]="","",IF(INDEX(Rider_Input[Rider Name],Salary_Calculation[[#This Row],[Source Row]])="","",INDEX(Rider_Input[Rider Name],Salary_Calculation[[#This Row],[Source Row]])))</f>
        <v/>
      </c>
      <c r="D164" s="164" t="str">
        <f aca="false">IF(Salary_Calculation[[#This Row],[Source Row]]="","",IF(INDEX(Rider_Input[Basic Payment],Salary_Calculation[[#This Row],[Source Row]])="","",INDEX(Rider_Input[Basic Payment],Salary_Calculation[[#This Row],[Source Row]])))</f>
        <v/>
      </c>
      <c r="E164" s="162" t="str">
        <f aca="false">IF(Salary_Calculation[[#This Row],[Source Row]]="","",IF(INDEX(Rider_Input[Calendar Days in Month],Salary_Calculation[[#This Row],[Source Row]])="","",INDEX(Rider_Input[Calendar Days in Month],Salary_Calculation[[#This Row],[Source Row]])))</f>
        <v/>
      </c>
      <c r="F164" s="162" t="str">
        <f aca="false">IF(Salary_Calculation[[#This Row],[Source Row]]="","",IF(INDEX(Rider_Input[Working Days],Salary_Calculation[[#This Row],[Source Row]])="","",INDEX(Rider_Input[Working Days],Salary_Calculation[[#This Row],[Source Row]])))</f>
        <v/>
      </c>
      <c r="G164" s="165" t="str">
        <f aca="false">IF(Salary_Calculation[[#This Row],[Source Row]]="","",Std_Orders/Std_Days*N(Salary_Calculation[[#This Row],[Calendar Days]]))</f>
        <v/>
      </c>
      <c r="H164" s="165" t="str">
        <f aca="false">IF(Salary_Calculation[[#This Row],[Source Row]]="","",IF(N(Salary_Calculation[[#This Row],[Calendar Days]])&gt;0,Salary_Calculation[[#This Row],[Monthly Target Orders]]/N(Salary_Calculation[[#This Row],[Calendar Days]])*N(Salary_Calculation[[#This Row],[Working Days]]),0))</f>
        <v/>
      </c>
      <c r="I164" s="166" t="str">
        <f aca="false">IF(Salary_Calculation[[#This Row],[Source Row]]="","",IF(INDEX(Rider_Input[Completed Orders],Salary_Calculation[[#This Row],[Source Row]])="","",INDEX(Rider_Input[Completed Orders],Salary_Calculation[[#This Row],[Source Row]])))</f>
        <v/>
      </c>
      <c r="J164" s="165" t="str">
        <f aca="false">IF(Salary_Calculation[[#This Row],[Source Row]]="","",IF(Rate_Method="Fixed rate",Fixed_Rate,IF(N(Salary_Calculation[[#This Row],[Basic Payment]])&gt;0,N(Salary_Calculation[[#This Row],[Basic Payment]])/Std_Orders,0)))</f>
        <v/>
      </c>
      <c r="K164" s="165" t="str">
        <f aca="false">IF(Salary_Calculation[[#This Row],[Source Row]]="","",MAX(MIN(N(Salary_Calculation[[#This Row],[Completed Orders]]),Salary_Calculation[[#This Row],[Rider Target Orders]]),0))</f>
        <v/>
      </c>
      <c r="L164" s="164" t="str">
        <f aca="false">IF(Salary_Calculation[[#This Row],[Source Row]]="","",Salary_Calculation[[#This Row],[Orders Counted at Base Rate]]*Salary_Calculation[[#This Row],[Base Order Rate]])</f>
        <v/>
      </c>
      <c r="M164" s="165" t="str">
        <f aca="false">IF(Salary_Calculation[[#This Row],[Source Row]]="","",MAX(Salary_Calculation[[#This Row],[Rider Target Orders]]-N(Salary_Calculation[[#This Row],[Completed Orders]]),0))</f>
        <v/>
      </c>
      <c r="N164" s="164" t="str">
        <f aca="false">IF(Salary_Calculation[[#This Row],[Source Row]]="","",Salary_Calculation[[#This Row],[Missing Orders]]*Missing_Rate)</f>
        <v/>
      </c>
      <c r="O164" s="165" t="str">
        <f aca="false">IF(Salary_Calculation[[#This Row],[Source Row]]="","",MAX(N(Salary_Calculation[[#This Row],[Completed Orders]])-Salary_Calculation[[#This Row],[Rider Target Orders]],0))</f>
        <v/>
      </c>
      <c r="P164" s="164" t="str">
        <f aca="false">IF(Salary_Calculation[[#This Row],[Source Row]]="","",Salary_Calculation[[#This Row],[Extra Orders]]*Extra_Rate)</f>
        <v/>
      </c>
      <c r="Q164" s="164" t="str">
        <f aca="false">IF(Salary_Calculation[[#This Row],[Source Row]]="","",MAX(Salary_Calculation[[#This Row],[Salary Before Other Deductions]],0))</f>
        <v/>
      </c>
      <c r="R164" s="164" t="str">
        <f aca="false">IF(Salary_Calculation[[#This Row],[Source Row]]="","",N(INDEX(Rider_Input[missed_days_penalty],Salary_Calculation[[#This Row],[Source Row]])))</f>
        <v/>
      </c>
      <c r="S164" s="164" t="str">
        <f aca="false">IF(Salary_Calculation[[#This Row],[Source Row]]="","",N(INDEX(Rider_Input[Rider Balance / محفظة المندوب],Salary_Calculation[[#This Row],[Source Row]])))</f>
        <v/>
      </c>
      <c r="T164" s="164" t="str">
        <f aca="false">IF(Salary_Calculation[[#This Row],[Source Row]]="","",N(INDEX(Rider_Input[stacking_deduction / خصم الطلبات المتعددة],Salary_Calculation[[#This Row],[Source Row]])))</f>
        <v/>
      </c>
      <c r="U164" s="164" t="str">
        <f aca="false">IF(Salary_Calculation[[#This Row],[Source Row]]="","",N(INDEX(Rider_Input[Other Deductions],Salary_Calculation[[#This Row],[Source Row]])))</f>
        <v/>
      </c>
      <c r="V164" s="164" t="str">
        <f aca="false">IF(Salary_Calculation[[#This Row],[Source Row]]="","",N(Salary_Calculation[[#This Row],[missed_days_penalty]])+N(Salary_Calculation[[#This Row],[Rider Balance]])+N(Salary_Calculation[[#This Row],[stacking_deduction]])+N(Salary_Calculation[[#This Row],[Other Deductions]]))</f>
        <v/>
      </c>
      <c r="W164" s="167" t="str">
        <f aca="false">IF(Salary_Calculation[[#This Row],[Source Row]]="","",ROUND(MAX(Salary_Calculation[[#This Row],[Gross Salary Before Deductions]]-Salary_Calculation[[#This Row],[Total Deductions]],0),2))</f>
        <v/>
      </c>
      <c r="X164" s="164" t="str">
        <f aca="false">IF(Salary_Calculation[[#This Row],[Source Row]]="","",ROUND(MAX(Salary_Calculation[[#This Row],[Missing-Order Deduction]]-Salary_Calculation[[#This Row],[Earned Salary]],0),2))</f>
        <v/>
      </c>
      <c r="Y16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64" s="163" t="str">
        <f aca="false">IF(Salary_Calculation[[#This Row],[Source Row]]="","",IF(INDEX(Rider_Input[Notes],Salary_Calculation[[#This Row],[Source Row]])="","",INDEX(Rider_Input[Notes],Salary_Calculation[[#This Row],[Source Row]])))</f>
        <v/>
      </c>
      <c r="AA164" s="164" t="str">
        <f aca="false">IF(Salary_Calculation[[#This Row],[Source Row]]="","",Salary_Calculation[[#This Row],[Earned Salary]]-Salary_Calculation[[#This Row],[Missing-Order Deduction]]+Salary_Calculation[[#This Row],[Extra-Order Bonus]])</f>
        <v/>
      </c>
      <c r="AB164" s="164" t="str">
        <f aca="false">IF(Salary_Calculation[[#This Row],[Source Row]]="","",ROUND(Salary_Calculation[[#This Row],[Negative Balance / Amount Due from Rider]]+MAX(Salary_Calculation[[#This Row],[Total Deductions]]-Salary_Calculation[[#This Row],[Gross Salary Before Deductions]],0),2))</f>
        <v/>
      </c>
      <c r="AC16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64" s="164" t="str">
        <f aca="false">IF(Salary_Calculation[[#This Row],[Source Row]]="","",Salary_Calculation[[#This Row],[Rider Target Orders]]*Salary_Calculation[[#This Row],[Base Order Rate]])</f>
        <v/>
      </c>
      <c r="AE164" s="162" t="str">
        <f aca="false">IF(SUMPRODUCT(--(LEN(INDEX(Rider_Input[#Data],ROW()-ROW(Salary_Calculation[#Headers]),0))&gt;0))=0,"",ROW()-ROW(Salary_Calculation[#Headers]))</f>
        <v/>
      </c>
    </row>
    <row r="165" customFormat="false" ht="14.25" hidden="false" customHeight="false" outlineLevel="0" collapsed="false">
      <c r="A165" s="161" t="str">
        <f aca="false">IF(Salary_Calculation[[#This Row],[Source Row]]="","",IF(INDEX(Rider_Input[Salary Month],Salary_Calculation[[#This Row],[Source Row]])="","",INDEX(Rider_Input[Salary Month],Salary_Calculation[[#This Row],[Source Row]])))</f>
        <v/>
      </c>
      <c r="B165" s="162" t="str">
        <f aca="false">IF(Salary_Calculation[[#This Row],[Source Row]]="","",IF(INDEX(Rider_Input[Rider ID],Salary_Calculation[[#This Row],[Source Row]])="","",INDEX(Rider_Input[Rider ID],Salary_Calculation[[#This Row],[Source Row]])))</f>
        <v/>
      </c>
      <c r="C165" s="163" t="str">
        <f aca="false">IF(Salary_Calculation[[#This Row],[Source Row]]="","",IF(INDEX(Rider_Input[Rider Name],Salary_Calculation[[#This Row],[Source Row]])="","",INDEX(Rider_Input[Rider Name],Salary_Calculation[[#This Row],[Source Row]])))</f>
        <v/>
      </c>
      <c r="D165" s="164" t="str">
        <f aca="false">IF(Salary_Calculation[[#This Row],[Source Row]]="","",IF(INDEX(Rider_Input[Basic Payment],Salary_Calculation[[#This Row],[Source Row]])="","",INDEX(Rider_Input[Basic Payment],Salary_Calculation[[#This Row],[Source Row]])))</f>
        <v/>
      </c>
      <c r="E165" s="162" t="str">
        <f aca="false">IF(Salary_Calculation[[#This Row],[Source Row]]="","",IF(INDEX(Rider_Input[Calendar Days in Month],Salary_Calculation[[#This Row],[Source Row]])="","",INDEX(Rider_Input[Calendar Days in Month],Salary_Calculation[[#This Row],[Source Row]])))</f>
        <v/>
      </c>
      <c r="F165" s="162" t="str">
        <f aca="false">IF(Salary_Calculation[[#This Row],[Source Row]]="","",IF(INDEX(Rider_Input[Working Days],Salary_Calculation[[#This Row],[Source Row]])="","",INDEX(Rider_Input[Working Days],Salary_Calculation[[#This Row],[Source Row]])))</f>
        <v/>
      </c>
      <c r="G165" s="165" t="str">
        <f aca="false">IF(Salary_Calculation[[#This Row],[Source Row]]="","",Std_Orders/Std_Days*N(Salary_Calculation[[#This Row],[Calendar Days]]))</f>
        <v/>
      </c>
      <c r="H165" s="165" t="str">
        <f aca="false">IF(Salary_Calculation[[#This Row],[Source Row]]="","",IF(N(Salary_Calculation[[#This Row],[Calendar Days]])&gt;0,Salary_Calculation[[#This Row],[Monthly Target Orders]]/N(Salary_Calculation[[#This Row],[Calendar Days]])*N(Salary_Calculation[[#This Row],[Working Days]]),0))</f>
        <v/>
      </c>
      <c r="I165" s="166" t="str">
        <f aca="false">IF(Salary_Calculation[[#This Row],[Source Row]]="","",IF(INDEX(Rider_Input[Completed Orders],Salary_Calculation[[#This Row],[Source Row]])="","",INDEX(Rider_Input[Completed Orders],Salary_Calculation[[#This Row],[Source Row]])))</f>
        <v/>
      </c>
      <c r="J165" s="165" t="str">
        <f aca="false">IF(Salary_Calculation[[#This Row],[Source Row]]="","",IF(Rate_Method="Fixed rate",Fixed_Rate,IF(N(Salary_Calculation[[#This Row],[Basic Payment]])&gt;0,N(Salary_Calculation[[#This Row],[Basic Payment]])/Std_Orders,0)))</f>
        <v/>
      </c>
      <c r="K165" s="165" t="str">
        <f aca="false">IF(Salary_Calculation[[#This Row],[Source Row]]="","",MAX(MIN(N(Salary_Calculation[[#This Row],[Completed Orders]]),Salary_Calculation[[#This Row],[Rider Target Orders]]),0))</f>
        <v/>
      </c>
      <c r="L165" s="164" t="str">
        <f aca="false">IF(Salary_Calculation[[#This Row],[Source Row]]="","",Salary_Calculation[[#This Row],[Orders Counted at Base Rate]]*Salary_Calculation[[#This Row],[Base Order Rate]])</f>
        <v/>
      </c>
      <c r="M165" s="165" t="str">
        <f aca="false">IF(Salary_Calculation[[#This Row],[Source Row]]="","",MAX(Salary_Calculation[[#This Row],[Rider Target Orders]]-N(Salary_Calculation[[#This Row],[Completed Orders]]),0))</f>
        <v/>
      </c>
      <c r="N165" s="164" t="str">
        <f aca="false">IF(Salary_Calculation[[#This Row],[Source Row]]="","",Salary_Calculation[[#This Row],[Missing Orders]]*Missing_Rate)</f>
        <v/>
      </c>
      <c r="O165" s="165" t="str">
        <f aca="false">IF(Salary_Calculation[[#This Row],[Source Row]]="","",MAX(N(Salary_Calculation[[#This Row],[Completed Orders]])-Salary_Calculation[[#This Row],[Rider Target Orders]],0))</f>
        <v/>
      </c>
      <c r="P165" s="164" t="str">
        <f aca="false">IF(Salary_Calculation[[#This Row],[Source Row]]="","",Salary_Calculation[[#This Row],[Extra Orders]]*Extra_Rate)</f>
        <v/>
      </c>
      <c r="Q165" s="164" t="str">
        <f aca="false">IF(Salary_Calculation[[#This Row],[Source Row]]="","",MAX(Salary_Calculation[[#This Row],[Salary Before Other Deductions]],0))</f>
        <v/>
      </c>
      <c r="R165" s="164" t="str">
        <f aca="false">IF(Salary_Calculation[[#This Row],[Source Row]]="","",N(INDEX(Rider_Input[missed_days_penalty],Salary_Calculation[[#This Row],[Source Row]])))</f>
        <v/>
      </c>
      <c r="S165" s="164" t="str">
        <f aca="false">IF(Salary_Calculation[[#This Row],[Source Row]]="","",N(INDEX(Rider_Input[Rider Balance / محفظة المندوب],Salary_Calculation[[#This Row],[Source Row]])))</f>
        <v/>
      </c>
      <c r="T165" s="164" t="str">
        <f aca="false">IF(Salary_Calculation[[#This Row],[Source Row]]="","",N(INDEX(Rider_Input[stacking_deduction / خصم الطلبات المتعددة],Salary_Calculation[[#This Row],[Source Row]])))</f>
        <v/>
      </c>
      <c r="U165" s="164" t="str">
        <f aca="false">IF(Salary_Calculation[[#This Row],[Source Row]]="","",N(INDEX(Rider_Input[Other Deductions],Salary_Calculation[[#This Row],[Source Row]])))</f>
        <v/>
      </c>
      <c r="V165" s="164" t="str">
        <f aca="false">IF(Salary_Calculation[[#This Row],[Source Row]]="","",N(Salary_Calculation[[#This Row],[missed_days_penalty]])+N(Salary_Calculation[[#This Row],[Rider Balance]])+N(Salary_Calculation[[#This Row],[stacking_deduction]])+N(Salary_Calculation[[#This Row],[Other Deductions]]))</f>
        <v/>
      </c>
      <c r="W165" s="167" t="str">
        <f aca="false">IF(Salary_Calculation[[#This Row],[Source Row]]="","",ROUND(MAX(Salary_Calculation[[#This Row],[Gross Salary Before Deductions]]-Salary_Calculation[[#This Row],[Total Deductions]],0),2))</f>
        <v/>
      </c>
      <c r="X165" s="164" t="str">
        <f aca="false">IF(Salary_Calculation[[#This Row],[Source Row]]="","",ROUND(MAX(Salary_Calculation[[#This Row],[Missing-Order Deduction]]-Salary_Calculation[[#This Row],[Earned Salary]],0),2))</f>
        <v/>
      </c>
      <c r="Y16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65" s="163" t="str">
        <f aca="false">IF(Salary_Calculation[[#This Row],[Source Row]]="","",IF(INDEX(Rider_Input[Notes],Salary_Calculation[[#This Row],[Source Row]])="","",INDEX(Rider_Input[Notes],Salary_Calculation[[#This Row],[Source Row]])))</f>
        <v/>
      </c>
      <c r="AA165" s="164" t="str">
        <f aca="false">IF(Salary_Calculation[[#This Row],[Source Row]]="","",Salary_Calculation[[#This Row],[Earned Salary]]-Salary_Calculation[[#This Row],[Missing-Order Deduction]]+Salary_Calculation[[#This Row],[Extra-Order Bonus]])</f>
        <v/>
      </c>
      <c r="AB165" s="164" t="str">
        <f aca="false">IF(Salary_Calculation[[#This Row],[Source Row]]="","",ROUND(Salary_Calculation[[#This Row],[Negative Balance / Amount Due from Rider]]+MAX(Salary_Calculation[[#This Row],[Total Deductions]]-Salary_Calculation[[#This Row],[Gross Salary Before Deductions]],0),2))</f>
        <v/>
      </c>
      <c r="AC16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65" s="164" t="str">
        <f aca="false">IF(Salary_Calculation[[#This Row],[Source Row]]="","",Salary_Calculation[[#This Row],[Rider Target Orders]]*Salary_Calculation[[#This Row],[Base Order Rate]])</f>
        <v/>
      </c>
      <c r="AE165" s="162" t="str">
        <f aca="false">IF(SUMPRODUCT(--(LEN(INDEX(Rider_Input[#Data],ROW()-ROW(Salary_Calculation[#Headers]),0))&gt;0))=0,"",ROW()-ROW(Salary_Calculation[#Headers]))</f>
        <v/>
      </c>
    </row>
    <row r="166" customFormat="false" ht="14.25" hidden="false" customHeight="false" outlineLevel="0" collapsed="false">
      <c r="A166" s="161" t="str">
        <f aca="false">IF(Salary_Calculation[[#This Row],[Source Row]]="","",IF(INDEX(Rider_Input[Salary Month],Salary_Calculation[[#This Row],[Source Row]])="","",INDEX(Rider_Input[Salary Month],Salary_Calculation[[#This Row],[Source Row]])))</f>
        <v/>
      </c>
      <c r="B166" s="162" t="str">
        <f aca="false">IF(Salary_Calculation[[#This Row],[Source Row]]="","",IF(INDEX(Rider_Input[Rider ID],Salary_Calculation[[#This Row],[Source Row]])="","",INDEX(Rider_Input[Rider ID],Salary_Calculation[[#This Row],[Source Row]])))</f>
        <v/>
      </c>
      <c r="C166" s="163" t="str">
        <f aca="false">IF(Salary_Calculation[[#This Row],[Source Row]]="","",IF(INDEX(Rider_Input[Rider Name],Salary_Calculation[[#This Row],[Source Row]])="","",INDEX(Rider_Input[Rider Name],Salary_Calculation[[#This Row],[Source Row]])))</f>
        <v/>
      </c>
      <c r="D166" s="164" t="str">
        <f aca="false">IF(Salary_Calculation[[#This Row],[Source Row]]="","",IF(INDEX(Rider_Input[Basic Payment],Salary_Calculation[[#This Row],[Source Row]])="","",INDEX(Rider_Input[Basic Payment],Salary_Calculation[[#This Row],[Source Row]])))</f>
        <v/>
      </c>
      <c r="E166" s="162" t="str">
        <f aca="false">IF(Salary_Calculation[[#This Row],[Source Row]]="","",IF(INDEX(Rider_Input[Calendar Days in Month],Salary_Calculation[[#This Row],[Source Row]])="","",INDEX(Rider_Input[Calendar Days in Month],Salary_Calculation[[#This Row],[Source Row]])))</f>
        <v/>
      </c>
      <c r="F166" s="162" t="str">
        <f aca="false">IF(Salary_Calculation[[#This Row],[Source Row]]="","",IF(INDEX(Rider_Input[Working Days],Salary_Calculation[[#This Row],[Source Row]])="","",INDEX(Rider_Input[Working Days],Salary_Calculation[[#This Row],[Source Row]])))</f>
        <v/>
      </c>
      <c r="G166" s="165" t="str">
        <f aca="false">IF(Salary_Calculation[[#This Row],[Source Row]]="","",Std_Orders/Std_Days*N(Salary_Calculation[[#This Row],[Calendar Days]]))</f>
        <v/>
      </c>
      <c r="H166" s="165" t="str">
        <f aca="false">IF(Salary_Calculation[[#This Row],[Source Row]]="","",IF(N(Salary_Calculation[[#This Row],[Calendar Days]])&gt;0,Salary_Calculation[[#This Row],[Monthly Target Orders]]/N(Salary_Calculation[[#This Row],[Calendar Days]])*N(Salary_Calculation[[#This Row],[Working Days]]),0))</f>
        <v/>
      </c>
      <c r="I166" s="166" t="str">
        <f aca="false">IF(Salary_Calculation[[#This Row],[Source Row]]="","",IF(INDEX(Rider_Input[Completed Orders],Salary_Calculation[[#This Row],[Source Row]])="","",INDEX(Rider_Input[Completed Orders],Salary_Calculation[[#This Row],[Source Row]])))</f>
        <v/>
      </c>
      <c r="J166" s="165" t="str">
        <f aca="false">IF(Salary_Calculation[[#This Row],[Source Row]]="","",IF(Rate_Method="Fixed rate",Fixed_Rate,IF(N(Salary_Calculation[[#This Row],[Basic Payment]])&gt;0,N(Salary_Calculation[[#This Row],[Basic Payment]])/Std_Orders,0)))</f>
        <v/>
      </c>
      <c r="K166" s="165" t="str">
        <f aca="false">IF(Salary_Calculation[[#This Row],[Source Row]]="","",MAX(MIN(N(Salary_Calculation[[#This Row],[Completed Orders]]),Salary_Calculation[[#This Row],[Rider Target Orders]]),0))</f>
        <v/>
      </c>
      <c r="L166" s="164" t="str">
        <f aca="false">IF(Salary_Calculation[[#This Row],[Source Row]]="","",Salary_Calculation[[#This Row],[Orders Counted at Base Rate]]*Salary_Calculation[[#This Row],[Base Order Rate]])</f>
        <v/>
      </c>
      <c r="M166" s="165" t="str">
        <f aca="false">IF(Salary_Calculation[[#This Row],[Source Row]]="","",MAX(Salary_Calculation[[#This Row],[Rider Target Orders]]-N(Salary_Calculation[[#This Row],[Completed Orders]]),0))</f>
        <v/>
      </c>
      <c r="N166" s="164" t="str">
        <f aca="false">IF(Salary_Calculation[[#This Row],[Source Row]]="","",Salary_Calculation[[#This Row],[Missing Orders]]*Missing_Rate)</f>
        <v/>
      </c>
      <c r="O166" s="165" t="str">
        <f aca="false">IF(Salary_Calculation[[#This Row],[Source Row]]="","",MAX(N(Salary_Calculation[[#This Row],[Completed Orders]])-Salary_Calculation[[#This Row],[Rider Target Orders]],0))</f>
        <v/>
      </c>
      <c r="P166" s="164" t="str">
        <f aca="false">IF(Salary_Calculation[[#This Row],[Source Row]]="","",Salary_Calculation[[#This Row],[Extra Orders]]*Extra_Rate)</f>
        <v/>
      </c>
      <c r="Q166" s="164" t="str">
        <f aca="false">IF(Salary_Calculation[[#This Row],[Source Row]]="","",MAX(Salary_Calculation[[#This Row],[Salary Before Other Deductions]],0))</f>
        <v/>
      </c>
      <c r="R166" s="164" t="str">
        <f aca="false">IF(Salary_Calculation[[#This Row],[Source Row]]="","",N(INDEX(Rider_Input[missed_days_penalty],Salary_Calculation[[#This Row],[Source Row]])))</f>
        <v/>
      </c>
      <c r="S166" s="164" t="str">
        <f aca="false">IF(Salary_Calculation[[#This Row],[Source Row]]="","",N(INDEX(Rider_Input[Rider Balance / محفظة المندوب],Salary_Calculation[[#This Row],[Source Row]])))</f>
        <v/>
      </c>
      <c r="T166" s="164" t="str">
        <f aca="false">IF(Salary_Calculation[[#This Row],[Source Row]]="","",N(INDEX(Rider_Input[stacking_deduction / خصم الطلبات المتعددة],Salary_Calculation[[#This Row],[Source Row]])))</f>
        <v/>
      </c>
      <c r="U166" s="164" t="str">
        <f aca="false">IF(Salary_Calculation[[#This Row],[Source Row]]="","",N(INDEX(Rider_Input[Other Deductions],Salary_Calculation[[#This Row],[Source Row]])))</f>
        <v/>
      </c>
      <c r="V166" s="164" t="str">
        <f aca="false">IF(Salary_Calculation[[#This Row],[Source Row]]="","",N(Salary_Calculation[[#This Row],[missed_days_penalty]])+N(Salary_Calculation[[#This Row],[Rider Balance]])+N(Salary_Calculation[[#This Row],[stacking_deduction]])+N(Salary_Calculation[[#This Row],[Other Deductions]]))</f>
        <v/>
      </c>
      <c r="W166" s="167" t="str">
        <f aca="false">IF(Salary_Calculation[[#This Row],[Source Row]]="","",ROUND(MAX(Salary_Calculation[[#This Row],[Gross Salary Before Deductions]]-Salary_Calculation[[#This Row],[Total Deductions]],0),2))</f>
        <v/>
      </c>
      <c r="X166" s="164" t="str">
        <f aca="false">IF(Salary_Calculation[[#This Row],[Source Row]]="","",ROUND(MAX(Salary_Calculation[[#This Row],[Missing-Order Deduction]]-Salary_Calculation[[#This Row],[Earned Salary]],0),2))</f>
        <v/>
      </c>
      <c r="Y16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66" s="163" t="str">
        <f aca="false">IF(Salary_Calculation[[#This Row],[Source Row]]="","",IF(INDEX(Rider_Input[Notes],Salary_Calculation[[#This Row],[Source Row]])="","",INDEX(Rider_Input[Notes],Salary_Calculation[[#This Row],[Source Row]])))</f>
        <v/>
      </c>
      <c r="AA166" s="164" t="str">
        <f aca="false">IF(Salary_Calculation[[#This Row],[Source Row]]="","",Salary_Calculation[[#This Row],[Earned Salary]]-Salary_Calculation[[#This Row],[Missing-Order Deduction]]+Salary_Calculation[[#This Row],[Extra-Order Bonus]])</f>
        <v/>
      </c>
      <c r="AB166" s="164" t="str">
        <f aca="false">IF(Salary_Calculation[[#This Row],[Source Row]]="","",ROUND(Salary_Calculation[[#This Row],[Negative Balance / Amount Due from Rider]]+MAX(Salary_Calculation[[#This Row],[Total Deductions]]-Salary_Calculation[[#This Row],[Gross Salary Before Deductions]],0),2))</f>
        <v/>
      </c>
      <c r="AC16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66" s="164" t="str">
        <f aca="false">IF(Salary_Calculation[[#This Row],[Source Row]]="","",Salary_Calculation[[#This Row],[Rider Target Orders]]*Salary_Calculation[[#This Row],[Base Order Rate]])</f>
        <v/>
      </c>
      <c r="AE166" s="162" t="str">
        <f aca="false">IF(SUMPRODUCT(--(LEN(INDEX(Rider_Input[#Data],ROW()-ROW(Salary_Calculation[#Headers]),0))&gt;0))=0,"",ROW()-ROW(Salary_Calculation[#Headers]))</f>
        <v/>
      </c>
    </row>
    <row r="167" customFormat="false" ht="14.25" hidden="false" customHeight="false" outlineLevel="0" collapsed="false">
      <c r="A167" s="161" t="str">
        <f aca="false">IF(Salary_Calculation[[#This Row],[Source Row]]="","",IF(INDEX(Rider_Input[Salary Month],Salary_Calculation[[#This Row],[Source Row]])="","",INDEX(Rider_Input[Salary Month],Salary_Calculation[[#This Row],[Source Row]])))</f>
        <v/>
      </c>
      <c r="B167" s="162" t="str">
        <f aca="false">IF(Salary_Calculation[[#This Row],[Source Row]]="","",IF(INDEX(Rider_Input[Rider ID],Salary_Calculation[[#This Row],[Source Row]])="","",INDEX(Rider_Input[Rider ID],Salary_Calculation[[#This Row],[Source Row]])))</f>
        <v/>
      </c>
      <c r="C167" s="163" t="str">
        <f aca="false">IF(Salary_Calculation[[#This Row],[Source Row]]="","",IF(INDEX(Rider_Input[Rider Name],Salary_Calculation[[#This Row],[Source Row]])="","",INDEX(Rider_Input[Rider Name],Salary_Calculation[[#This Row],[Source Row]])))</f>
        <v/>
      </c>
      <c r="D167" s="164" t="str">
        <f aca="false">IF(Salary_Calculation[[#This Row],[Source Row]]="","",IF(INDEX(Rider_Input[Basic Payment],Salary_Calculation[[#This Row],[Source Row]])="","",INDEX(Rider_Input[Basic Payment],Salary_Calculation[[#This Row],[Source Row]])))</f>
        <v/>
      </c>
      <c r="E167" s="162" t="str">
        <f aca="false">IF(Salary_Calculation[[#This Row],[Source Row]]="","",IF(INDEX(Rider_Input[Calendar Days in Month],Salary_Calculation[[#This Row],[Source Row]])="","",INDEX(Rider_Input[Calendar Days in Month],Salary_Calculation[[#This Row],[Source Row]])))</f>
        <v/>
      </c>
      <c r="F167" s="162" t="str">
        <f aca="false">IF(Salary_Calculation[[#This Row],[Source Row]]="","",IF(INDEX(Rider_Input[Working Days],Salary_Calculation[[#This Row],[Source Row]])="","",INDEX(Rider_Input[Working Days],Salary_Calculation[[#This Row],[Source Row]])))</f>
        <v/>
      </c>
      <c r="G167" s="165" t="str">
        <f aca="false">IF(Salary_Calculation[[#This Row],[Source Row]]="","",Std_Orders/Std_Days*N(Salary_Calculation[[#This Row],[Calendar Days]]))</f>
        <v/>
      </c>
      <c r="H167" s="165" t="str">
        <f aca="false">IF(Salary_Calculation[[#This Row],[Source Row]]="","",IF(N(Salary_Calculation[[#This Row],[Calendar Days]])&gt;0,Salary_Calculation[[#This Row],[Monthly Target Orders]]/N(Salary_Calculation[[#This Row],[Calendar Days]])*N(Salary_Calculation[[#This Row],[Working Days]]),0))</f>
        <v/>
      </c>
      <c r="I167" s="166" t="str">
        <f aca="false">IF(Salary_Calculation[[#This Row],[Source Row]]="","",IF(INDEX(Rider_Input[Completed Orders],Salary_Calculation[[#This Row],[Source Row]])="","",INDEX(Rider_Input[Completed Orders],Salary_Calculation[[#This Row],[Source Row]])))</f>
        <v/>
      </c>
      <c r="J167" s="165" t="str">
        <f aca="false">IF(Salary_Calculation[[#This Row],[Source Row]]="","",IF(Rate_Method="Fixed rate",Fixed_Rate,IF(N(Salary_Calculation[[#This Row],[Basic Payment]])&gt;0,N(Salary_Calculation[[#This Row],[Basic Payment]])/Std_Orders,0)))</f>
        <v/>
      </c>
      <c r="K167" s="165" t="str">
        <f aca="false">IF(Salary_Calculation[[#This Row],[Source Row]]="","",MAX(MIN(N(Salary_Calculation[[#This Row],[Completed Orders]]),Salary_Calculation[[#This Row],[Rider Target Orders]]),0))</f>
        <v/>
      </c>
      <c r="L167" s="164" t="str">
        <f aca="false">IF(Salary_Calculation[[#This Row],[Source Row]]="","",Salary_Calculation[[#This Row],[Orders Counted at Base Rate]]*Salary_Calculation[[#This Row],[Base Order Rate]])</f>
        <v/>
      </c>
      <c r="M167" s="165" t="str">
        <f aca="false">IF(Salary_Calculation[[#This Row],[Source Row]]="","",MAX(Salary_Calculation[[#This Row],[Rider Target Orders]]-N(Salary_Calculation[[#This Row],[Completed Orders]]),0))</f>
        <v/>
      </c>
      <c r="N167" s="164" t="str">
        <f aca="false">IF(Salary_Calculation[[#This Row],[Source Row]]="","",Salary_Calculation[[#This Row],[Missing Orders]]*Missing_Rate)</f>
        <v/>
      </c>
      <c r="O167" s="165" t="str">
        <f aca="false">IF(Salary_Calculation[[#This Row],[Source Row]]="","",MAX(N(Salary_Calculation[[#This Row],[Completed Orders]])-Salary_Calculation[[#This Row],[Rider Target Orders]],0))</f>
        <v/>
      </c>
      <c r="P167" s="164" t="str">
        <f aca="false">IF(Salary_Calculation[[#This Row],[Source Row]]="","",Salary_Calculation[[#This Row],[Extra Orders]]*Extra_Rate)</f>
        <v/>
      </c>
      <c r="Q167" s="164" t="str">
        <f aca="false">IF(Salary_Calculation[[#This Row],[Source Row]]="","",MAX(Salary_Calculation[[#This Row],[Salary Before Other Deductions]],0))</f>
        <v/>
      </c>
      <c r="R167" s="164" t="str">
        <f aca="false">IF(Salary_Calculation[[#This Row],[Source Row]]="","",N(INDEX(Rider_Input[missed_days_penalty],Salary_Calculation[[#This Row],[Source Row]])))</f>
        <v/>
      </c>
      <c r="S167" s="164" t="str">
        <f aca="false">IF(Salary_Calculation[[#This Row],[Source Row]]="","",N(INDEX(Rider_Input[Rider Balance / محفظة المندوب],Salary_Calculation[[#This Row],[Source Row]])))</f>
        <v/>
      </c>
      <c r="T167" s="164" t="str">
        <f aca="false">IF(Salary_Calculation[[#This Row],[Source Row]]="","",N(INDEX(Rider_Input[stacking_deduction / خصم الطلبات المتعددة],Salary_Calculation[[#This Row],[Source Row]])))</f>
        <v/>
      </c>
      <c r="U167" s="164" t="str">
        <f aca="false">IF(Salary_Calculation[[#This Row],[Source Row]]="","",N(INDEX(Rider_Input[Other Deductions],Salary_Calculation[[#This Row],[Source Row]])))</f>
        <v/>
      </c>
      <c r="V167" s="164" t="str">
        <f aca="false">IF(Salary_Calculation[[#This Row],[Source Row]]="","",N(Salary_Calculation[[#This Row],[missed_days_penalty]])+N(Salary_Calculation[[#This Row],[Rider Balance]])+N(Salary_Calculation[[#This Row],[stacking_deduction]])+N(Salary_Calculation[[#This Row],[Other Deductions]]))</f>
        <v/>
      </c>
      <c r="W167" s="167" t="str">
        <f aca="false">IF(Salary_Calculation[[#This Row],[Source Row]]="","",ROUND(MAX(Salary_Calculation[[#This Row],[Gross Salary Before Deductions]]-Salary_Calculation[[#This Row],[Total Deductions]],0),2))</f>
        <v/>
      </c>
      <c r="X167" s="164" t="str">
        <f aca="false">IF(Salary_Calculation[[#This Row],[Source Row]]="","",ROUND(MAX(Salary_Calculation[[#This Row],[Missing-Order Deduction]]-Salary_Calculation[[#This Row],[Earned Salary]],0),2))</f>
        <v/>
      </c>
      <c r="Y16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67" s="163" t="str">
        <f aca="false">IF(Salary_Calculation[[#This Row],[Source Row]]="","",IF(INDEX(Rider_Input[Notes],Salary_Calculation[[#This Row],[Source Row]])="","",INDEX(Rider_Input[Notes],Salary_Calculation[[#This Row],[Source Row]])))</f>
        <v/>
      </c>
      <c r="AA167" s="164" t="str">
        <f aca="false">IF(Salary_Calculation[[#This Row],[Source Row]]="","",Salary_Calculation[[#This Row],[Earned Salary]]-Salary_Calculation[[#This Row],[Missing-Order Deduction]]+Salary_Calculation[[#This Row],[Extra-Order Bonus]])</f>
        <v/>
      </c>
      <c r="AB167" s="164" t="str">
        <f aca="false">IF(Salary_Calculation[[#This Row],[Source Row]]="","",ROUND(Salary_Calculation[[#This Row],[Negative Balance / Amount Due from Rider]]+MAX(Salary_Calculation[[#This Row],[Total Deductions]]-Salary_Calculation[[#This Row],[Gross Salary Before Deductions]],0),2))</f>
        <v/>
      </c>
      <c r="AC16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67" s="164" t="str">
        <f aca="false">IF(Salary_Calculation[[#This Row],[Source Row]]="","",Salary_Calculation[[#This Row],[Rider Target Orders]]*Salary_Calculation[[#This Row],[Base Order Rate]])</f>
        <v/>
      </c>
      <c r="AE167" s="162" t="str">
        <f aca="false">IF(SUMPRODUCT(--(LEN(INDEX(Rider_Input[#Data],ROW()-ROW(Salary_Calculation[#Headers]),0))&gt;0))=0,"",ROW()-ROW(Salary_Calculation[#Headers]))</f>
        <v/>
      </c>
    </row>
    <row r="168" customFormat="false" ht="14.25" hidden="false" customHeight="false" outlineLevel="0" collapsed="false">
      <c r="A168" s="161" t="str">
        <f aca="false">IF(Salary_Calculation[[#This Row],[Source Row]]="","",IF(INDEX(Rider_Input[Salary Month],Salary_Calculation[[#This Row],[Source Row]])="","",INDEX(Rider_Input[Salary Month],Salary_Calculation[[#This Row],[Source Row]])))</f>
        <v/>
      </c>
      <c r="B168" s="162" t="str">
        <f aca="false">IF(Salary_Calculation[[#This Row],[Source Row]]="","",IF(INDEX(Rider_Input[Rider ID],Salary_Calculation[[#This Row],[Source Row]])="","",INDEX(Rider_Input[Rider ID],Salary_Calculation[[#This Row],[Source Row]])))</f>
        <v/>
      </c>
      <c r="C168" s="163" t="str">
        <f aca="false">IF(Salary_Calculation[[#This Row],[Source Row]]="","",IF(INDEX(Rider_Input[Rider Name],Salary_Calculation[[#This Row],[Source Row]])="","",INDEX(Rider_Input[Rider Name],Salary_Calculation[[#This Row],[Source Row]])))</f>
        <v/>
      </c>
      <c r="D168" s="164" t="str">
        <f aca="false">IF(Salary_Calculation[[#This Row],[Source Row]]="","",IF(INDEX(Rider_Input[Basic Payment],Salary_Calculation[[#This Row],[Source Row]])="","",INDEX(Rider_Input[Basic Payment],Salary_Calculation[[#This Row],[Source Row]])))</f>
        <v/>
      </c>
      <c r="E168" s="162" t="str">
        <f aca="false">IF(Salary_Calculation[[#This Row],[Source Row]]="","",IF(INDEX(Rider_Input[Calendar Days in Month],Salary_Calculation[[#This Row],[Source Row]])="","",INDEX(Rider_Input[Calendar Days in Month],Salary_Calculation[[#This Row],[Source Row]])))</f>
        <v/>
      </c>
      <c r="F168" s="162" t="str">
        <f aca="false">IF(Salary_Calculation[[#This Row],[Source Row]]="","",IF(INDEX(Rider_Input[Working Days],Salary_Calculation[[#This Row],[Source Row]])="","",INDEX(Rider_Input[Working Days],Salary_Calculation[[#This Row],[Source Row]])))</f>
        <v/>
      </c>
      <c r="G168" s="165" t="str">
        <f aca="false">IF(Salary_Calculation[[#This Row],[Source Row]]="","",Std_Orders/Std_Days*N(Salary_Calculation[[#This Row],[Calendar Days]]))</f>
        <v/>
      </c>
      <c r="H168" s="165" t="str">
        <f aca="false">IF(Salary_Calculation[[#This Row],[Source Row]]="","",IF(N(Salary_Calculation[[#This Row],[Calendar Days]])&gt;0,Salary_Calculation[[#This Row],[Monthly Target Orders]]/N(Salary_Calculation[[#This Row],[Calendar Days]])*N(Salary_Calculation[[#This Row],[Working Days]]),0))</f>
        <v/>
      </c>
      <c r="I168" s="166" t="str">
        <f aca="false">IF(Salary_Calculation[[#This Row],[Source Row]]="","",IF(INDEX(Rider_Input[Completed Orders],Salary_Calculation[[#This Row],[Source Row]])="","",INDEX(Rider_Input[Completed Orders],Salary_Calculation[[#This Row],[Source Row]])))</f>
        <v/>
      </c>
      <c r="J168" s="165" t="str">
        <f aca="false">IF(Salary_Calculation[[#This Row],[Source Row]]="","",IF(Rate_Method="Fixed rate",Fixed_Rate,IF(N(Salary_Calculation[[#This Row],[Basic Payment]])&gt;0,N(Salary_Calculation[[#This Row],[Basic Payment]])/Std_Orders,0)))</f>
        <v/>
      </c>
      <c r="K168" s="165" t="str">
        <f aca="false">IF(Salary_Calculation[[#This Row],[Source Row]]="","",MAX(MIN(N(Salary_Calculation[[#This Row],[Completed Orders]]),Salary_Calculation[[#This Row],[Rider Target Orders]]),0))</f>
        <v/>
      </c>
      <c r="L168" s="164" t="str">
        <f aca="false">IF(Salary_Calculation[[#This Row],[Source Row]]="","",Salary_Calculation[[#This Row],[Orders Counted at Base Rate]]*Salary_Calculation[[#This Row],[Base Order Rate]])</f>
        <v/>
      </c>
      <c r="M168" s="165" t="str">
        <f aca="false">IF(Salary_Calculation[[#This Row],[Source Row]]="","",MAX(Salary_Calculation[[#This Row],[Rider Target Orders]]-N(Salary_Calculation[[#This Row],[Completed Orders]]),0))</f>
        <v/>
      </c>
      <c r="N168" s="164" t="str">
        <f aca="false">IF(Salary_Calculation[[#This Row],[Source Row]]="","",Salary_Calculation[[#This Row],[Missing Orders]]*Missing_Rate)</f>
        <v/>
      </c>
      <c r="O168" s="165" t="str">
        <f aca="false">IF(Salary_Calculation[[#This Row],[Source Row]]="","",MAX(N(Salary_Calculation[[#This Row],[Completed Orders]])-Salary_Calculation[[#This Row],[Rider Target Orders]],0))</f>
        <v/>
      </c>
      <c r="P168" s="164" t="str">
        <f aca="false">IF(Salary_Calculation[[#This Row],[Source Row]]="","",Salary_Calculation[[#This Row],[Extra Orders]]*Extra_Rate)</f>
        <v/>
      </c>
      <c r="Q168" s="164" t="str">
        <f aca="false">IF(Salary_Calculation[[#This Row],[Source Row]]="","",MAX(Salary_Calculation[[#This Row],[Salary Before Other Deductions]],0))</f>
        <v/>
      </c>
      <c r="R168" s="164" t="str">
        <f aca="false">IF(Salary_Calculation[[#This Row],[Source Row]]="","",N(INDEX(Rider_Input[missed_days_penalty],Salary_Calculation[[#This Row],[Source Row]])))</f>
        <v/>
      </c>
      <c r="S168" s="164" t="str">
        <f aca="false">IF(Salary_Calculation[[#This Row],[Source Row]]="","",N(INDEX(Rider_Input[Rider Balance / محفظة المندوب],Salary_Calculation[[#This Row],[Source Row]])))</f>
        <v/>
      </c>
      <c r="T168" s="164" t="str">
        <f aca="false">IF(Salary_Calculation[[#This Row],[Source Row]]="","",N(INDEX(Rider_Input[stacking_deduction / خصم الطلبات المتعددة],Salary_Calculation[[#This Row],[Source Row]])))</f>
        <v/>
      </c>
      <c r="U168" s="164" t="str">
        <f aca="false">IF(Salary_Calculation[[#This Row],[Source Row]]="","",N(INDEX(Rider_Input[Other Deductions],Salary_Calculation[[#This Row],[Source Row]])))</f>
        <v/>
      </c>
      <c r="V168" s="164" t="str">
        <f aca="false">IF(Salary_Calculation[[#This Row],[Source Row]]="","",N(Salary_Calculation[[#This Row],[missed_days_penalty]])+N(Salary_Calculation[[#This Row],[Rider Balance]])+N(Salary_Calculation[[#This Row],[stacking_deduction]])+N(Salary_Calculation[[#This Row],[Other Deductions]]))</f>
        <v/>
      </c>
      <c r="W168" s="167" t="str">
        <f aca="false">IF(Salary_Calculation[[#This Row],[Source Row]]="","",ROUND(MAX(Salary_Calculation[[#This Row],[Gross Salary Before Deductions]]-Salary_Calculation[[#This Row],[Total Deductions]],0),2))</f>
        <v/>
      </c>
      <c r="X168" s="164" t="str">
        <f aca="false">IF(Salary_Calculation[[#This Row],[Source Row]]="","",ROUND(MAX(Salary_Calculation[[#This Row],[Missing-Order Deduction]]-Salary_Calculation[[#This Row],[Earned Salary]],0),2))</f>
        <v/>
      </c>
      <c r="Y16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68" s="163" t="str">
        <f aca="false">IF(Salary_Calculation[[#This Row],[Source Row]]="","",IF(INDEX(Rider_Input[Notes],Salary_Calculation[[#This Row],[Source Row]])="","",INDEX(Rider_Input[Notes],Salary_Calculation[[#This Row],[Source Row]])))</f>
        <v/>
      </c>
      <c r="AA168" s="164" t="str">
        <f aca="false">IF(Salary_Calculation[[#This Row],[Source Row]]="","",Salary_Calculation[[#This Row],[Earned Salary]]-Salary_Calculation[[#This Row],[Missing-Order Deduction]]+Salary_Calculation[[#This Row],[Extra-Order Bonus]])</f>
        <v/>
      </c>
      <c r="AB168" s="164" t="str">
        <f aca="false">IF(Salary_Calculation[[#This Row],[Source Row]]="","",ROUND(Salary_Calculation[[#This Row],[Negative Balance / Amount Due from Rider]]+MAX(Salary_Calculation[[#This Row],[Total Deductions]]-Salary_Calculation[[#This Row],[Gross Salary Before Deductions]],0),2))</f>
        <v/>
      </c>
      <c r="AC16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68" s="164" t="str">
        <f aca="false">IF(Salary_Calculation[[#This Row],[Source Row]]="","",Salary_Calculation[[#This Row],[Rider Target Orders]]*Salary_Calculation[[#This Row],[Base Order Rate]])</f>
        <v/>
      </c>
      <c r="AE168" s="162" t="str">
        <f aca="false">IF(SUMPRODUCT(--(LEN(INDEX(Rider_Input[#Data],ROW()-ROW(Salary_Calculation[#Headers]),0))&gt;0))=0,"",ROW()-ROW(Salary_Calculation[#Headers]))</f>
        <v/>
      </c>
    </row>
    <row r="169" customFormat="false" ht="14.25" hidden="false" customHeight="false" outlineLevel="0" collapsed="false">
      <c r="A169" s="161" t="str">
        <f aca="false">IF(Salary_Calculation[[#This Row],[Source Row]]="","",IF(INDEX(Rider_Input[Salary Month],Salary_Calculation[[#This Row],[Source Row]])="","",INDEX(Rider_Input[Salary Month],Salary_Calculation[[#This Row],[Source Row]])))</f>
        <v/>
      </c>
      <c r="B169" s="162" t="str">
        <f aca="false">IF(Salary_Calculation[[#This Row],[Source Row]]="","",IF(INDEX(Rider_Input[Rider ID],Salary_Calculation[[#This Row],[Source Row]])="","",INDEX(Rider_Input[Rider ID],Salary_Calculation[[#This Row],[Source Row]])))</f>
        <v/>
      </c>
      <c r="C169" s="163" t="str">
        <f aca="false">IF(Salary_Calculation[[#This Row],[Source Row]]="","",IF(INDEX(Rider_Input[Rider Name],Salary_Calculation[[#This Row],[Source Row]])="","",INDEX(Rider_Input[Rider Name],Salary_Calculation[[#This Row],[Source Row]])))</f>
        <v/>
      </c>
      <c r="D169" s="164" t="str">
        <f aca="false">IF(Salary_Calculation[[#This Row],[Source Row]]="","",IF(INDEX(Rider_Input[Basic Payment],Salary_Calculation[[#This Row],[Source Row]])="","",INDEX(Rider_Input[Basic Payment],Salary_Calculation[[#This Row],[Source Row]])))</f>
        <v/>
      </c>
      <c r="E169" s="162" t="str">
        <f aca="false">IF(Salary_Calculation[[#This Row],[Source Row]]="","",IF(INDEX(Rider_Input[Calendar Days in Month],Salary_Calculation[[#This Row],[Source Row]])="","",INDEX(Rider_Input[Calendar Days in Month],Salary_Calculation[[#This Row],[Source Row]])))</f>
        <v/>
      </c>
      <c r="F169" s="162" t="str">
        <f aca="false">IF(Salary_Calculation[[#This Row],[Source Row]]="","",IF(INDEX(Rider_Input[Working Days],Salary_Calculation[[#This Row],[Source Row]])="","",INDEX(Rider_Input[Working Days],Salary_Calculation[[#This Row],[Source Row]])))</f>
        <v/>
      </c>
      <c r="G169" s="165" t="str">
        <f aca="false">IF(Salary_Calculation[[#This Row],[Source Row]]="","",Std_Orders/Std_Days*N(Salary_Calculation[[#This Row],[Calendar Days]]))</f>
        <v/>
      </c>
      <c r="H169" s="165" t="str">
        <f aca="false">IF(Salary_Calculation[[#This Row],[Source Row]]="","",IF(N(Salary_Calculation[[#This Row],[Calendar Days]])&gt;0,Salary_Calculation[[#This Row],[Monthly Target Orders]]/N(Salary_Calculation[[#This Row],[Calendar Days]])*N(Salary_Calculation[[#This Row],[Working Days]]),0))</f>
        <v/>
      </c>
      <c r="I169" s="166" t="str">
        <f aca="false">IF(Salary_Calculation[[#This Row],[Source Row]]="","",IF(INDEX(Rider_Input[Completed Orders],Salary_Calculation[[#This Row],[Source Row]])="","",INDEX(Rider_Input[Completed Orders],Salary_Calculation[[#This Row],[Source Row]])))</f>
        <v/>
      </c>
      <c r="J169" s="165" t="str">
        <f aca="false">IF(Salary_Calculation[[#This Row],[Source Row]]="","",IF(Rate_Method="Fixed rate",Fixed_Rate,IF(N(Salary_Calculation[[#This Row],[Basic Payment]])&gt;0,N(Salary_Calculation[[#This Row],[Basic Payment]])/Std_Orders,0)))</f>
        <v/>
      </c>
      <c r="K169" s="165" t="str">
        <f aca="false">IF(Salary_Calculation[[#This Row],[Source Row]]="","",MAX(MIN(N(Salary_Calculation[[#This Row],[Completed Orders]]),Salary_Calculation[[#This Row],[Rider Target Orders]]),0))</f>
        <v/>
      </c>
      <c r="L169" s="164" t="str">
        <f aca="false">IF(Salary_Calculation[[#This Row],[Source Row]]="","",Salary_Calculation[[#This Row],[Orders Counted at Base Rate]]*Salary_Calculation[[#This Row],[Base Order Rate]])</f>
        <v/>
      </c>
      <c r="M169" s="165" t="str">
        <f aca="false">IF(Salary_Calculation[[#This Row],[Source Row]]="","",MAX(Salary_Calculation[[#This Row],[Rider Target Orders]]-N(Salary_Calculation[[#This Row],[Completed Orders]]),0))</f>
        <v/>
      </c>
      <c r="N169" s="164" t="str">
        <f aca="false">IF(Salary_Calculation[[#This Row],[Source Row]]="","",Salary_Calculation[[#This Row],[Missing Orders]]*Missing_Rate)</f>
        <v/>
      </c>
      <c r="O169" s="165" t="str">
        <f aca="false">IF(Salary_Calculation[[#This Row],[Source Row]]="","",MAX(N(Salary_Calculation[[#This Row],[Completed Orders]])-Salary_Calculation[[#This Row],[Rider Target Orders]],0))</f>
        <v/>
      </c>
      <c r="P169" s="164" t="str">
        <f aca="false">IF(Salary_Calculation[[#This Row],[Source Row]]="","",Salary_Calculation[[#This Row],[Extra Orders]]*Extra_Rate)</f>
        <v/>
      </c>
      <c r="Q169" s="164" t="str">
        <f aca="false">IF(Salary_Calculation[[#This Row],[Source Row]]="","",MAX(Salary_Calculation[[#This Row],[Salary Before Other Deductions]],0))</f>
        <v/>
      </c>
      <c r="R169" s="164" t="str">
        <f aca="false">IF(Salary_Calculation[[#This Row],[Source Row]]="","",N(INDEX(Rider_Input[missed_days_penalty],Salary_Calculation[[#This Row],[Source Row]])))</f>
        <v/>
      </c>
      <c r="S169" s="164" t="str">
        <f aca="false">IF(Salary_Calculation[[#This Row],[Source Row]]="","",N(INDEX(Rider_Input[Rider Balance / محفظة المندوب],Salary_Calculation[[#This Row],[Source Row]])))</f>
        <v/>
      </c>
      <c r="T169" s="164" t="str">
        <f aca="false">IF(Salary_Calculation[[#This Row],[Source Row]]="","",N(INDEX(Rider_Input[stacking_deduction / خصم الطلبات المتعددة],Salary_Calculation[[#This Row],[Source Row]])))</f>
        <v/>
      </c>
      <c r="U169" s="164" t="str">
        <f aca="false">IF(Salary_Calculation[[#This Row],[Source Row]]="","",N(INDEX(Rider_Input[Other Deductions],Salary_Calculation[[#This Row],[Source Row]])))</f>
        <v/>
      </c>
      <c r="V169" s="164" t="str">
        <f aca="false">IF(Salary_Calculation[[#This Row],[Source Row]]="","",N(Salary_Calculation[[#This Row],[missed_days_penalty]])+N(Salary_Calculation[[#This Row],[Rider Balance]])+N(Salary_Calculation[[#This Row],[stacking_deduction]])+N(Salary_Calculation[[#This Row],[Other Deductions]]))</f>
        <v/>
      </c>
      <c r="W169" s="167" t="str">
        <f aca="false">IF(Salary_Calculation[[#This Row],[Source Row]]="","",ROUND(MAX(Salary_Calculation[[#This Row],[Gross Salary Before Deductions]]-Salary_Calculation[[#This Row],[Total Deductions]],0),2))</f>
        <v/>
      </c>
      <c r="X169" s="164" t="str">
        <f aca="false">IF(Salary_Calculation[[#This Row],[Source Row]]="","",ROUND(MAX(Salary_Calculation[[#This Row],[Missing-Order Deduction]]-Salary_Calculation[[#This Row],[Earned Salary]],0),2))</f>
        <v/>
      </c>
      <c r="Y16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69" s="163" t="str">
        <f aca="false">IF(Salary_Calculation[[#This Row],[Source Row]]="","",IF(INDEX(Rider_Input[Notes],Salary_Calculation[[#This Row],[Source Row]])="","",INDEX(Rider_Input[Notes],Salary_Calculation[[#This Row],[Source Row]])))</f>
        <v/>
      </c>
      <c r="AA169" s="164" t="str">
        <f aca="false">IF(Salary_Calculation[[#This Row],[Source Row]]="","",Salary_Calculation[[#This Row],[Earned Salary]]-Salary_Calculation[[#This Row],[Missing-Order Deduction]]+Salary_Calculation[[#This Row],[Extra-Order Bonus]])</f>
        <v/>
      </c>
      <c r="AB169" s="164" t="str">
        <f aca="false">IF(Salary_Calculation[[#This Row],[Source Row]]="","",ROUND(Salary_Calculation[[#This Row],[Negative Balance / Amount Due from Rider]]+MAX(Salary_Calculation[[#This Row],[Total Deductions]]-Salary_Calculation[[#This Row],[Gross Salary Before Deductions]],0),2))</f>
        <v/>
      </c>
      <c r="AC16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69" s="164" t="str">
        <f aca="false">IF(Salary_Calculation[[#This Row],[Source Row]]="","",Salary_Calculation[[#This Row],[Rider Target Orders]]*Salary_Calculation[[#This Row],[Base Order Rate]])</f>
        <v/>
      </c>
      <c r="AE169" s="162" t="str">
        <f aca="false">IF(SUMPRODUCT(--(LEN(INDEX(Rider_Input[#Data],ROW()-ROW(Salary_Calculation[#Headers]),0))&gt;0))=0,"",ROW()-ROW(Salary_Calculation[#Headers]))</f>
        <v/>
      </c>
    </row>
    <row r="170" customFormat="false" ht="14.25" hidden="false" customHeight="false" outlineLevel="0" collapsed="false">
      <c r="A170" s="161" t="str">
        <f aca="false">IF(Salary_Calculation[[#This Row],[Source Row]]="","",IF(INDEX(Rider_Input[Salary Month],Salary_Calculation[[#This Row],[Source Row]])="","",INDEX(Rider_Input[Salary Month],Salary_Calculation[[#This Row],[Source Row]])))</f>
        <v/>
      </c>
      <c r="B170" s="162" t="str">
        <f aca="false">IF(Salary_Calculation[[#This Row],[Source Row]]="","",IF(INDEX(Rider_Input[Rider ID],Salary_Calculation[[#This Row],[Source Row]])="","",INDEX(Rider_Input[Rider ID],Salary_Calculation[[#This Row],[Source Row]])))</f>
        <v/>
      </c>
      <c r="C170" s="163" t="str">
        <f aca="false">IF(Salary_Calculation[[#This Row],[Source Row]]="","",IF(INDEX(Rider_Input[Rider Name],Salary_Calculation[[#This Row],[Source Row]])="","",INDEX(Rider_Input[Rider Name],Salary_Calculation[[#This Row],[Source Row]])))</f>
        <v/>
      </c>
      <c r="D170" s="164" t="str">
        <f aca="false">IF(Salary_Calculation[[#This Row],[Source Row]]="","",IF(INDEX(Rider_Input[Basic Payment],Salary_Calculation[[#This Row],[Source Row]])="","",INDEX(Rider_Input[Basic Payment],Salary_Calculation[[#This Row],[Source Row]])))</f>
        <v/>
      </c>
      <c r="E170" s="162" t="str">
        <f aca="false">IF(Salary_Calculation[[#This Row],[Source Row]]="","",IF(INDEX(Rider_Input[Calendar Days in Month],Salary_Calculation[[#This Row],[Source Row]])="","",INDEX(Rider_Input[Calendar Days in Month],Salary_Calculation[[#This Row],[Source Row]])))</f>
        <v/>
      </c>
      <c r="F170" s="162" t="str">
        <f aca="false">IF(Salary_Calculation[[#This Row],[Source Row]]="","",IF(INDEX(Rider_Input[Working Days],Salary_Calculation[[#This Row],[Source Row]])="","",INDEX(Rider_Input[Working Days],Salary_Calculation[[#This Row],[Source Row]])))</f>
        <v/>
      </c>
      <c r="G170" s="165" t="str">
        <f aca="false">IF(Salary_Calculation[[#This Row],[Source Row]]="","",Std_Orders/Std_Days*N(Salary_Calculation[[#This Row],[Calendar Days]]))</f>
        <v/>
      </c>
      <c r="H170" s="165" t="str">
        <f aca="false">IF(Salary_Calculation[[#This Row],[Source Row]]="","",IF(N(Salary_Calculation[[#This Row],[Calendar Days]])&gt;0,Salary_Calculation[[#This Row],[Monthly Target Orders]]/N(Salary_Calculation[[#This Row],[Calendar Days]])*N(Salary_Calculation[[#This Row],[Working Days]]),0))</f>
        <v/>
      </c>
      <c r="I170" s="166" t="str">
        <f aca="false">IF(Salary_Calculation[[#This Row],[Source Row]]="","",IF(INDEX(Rider_Input[Completed Orders],Salary_Calculation[[#This Row],[Source Row]])="","",INDEX(Rider_Input[Completed Orders],Salary_Calculation[[#This Row],[Source Row]])))</f>
        <v/>
      </c>
      <c r="J170" s="165" t="str">
        <f aca="false">IF(Salary_Calculation[[#This Row],[Source Row]]="","",IF(Rate_Method="Fixed rate",Fixed_Rate,IF(N(Salary_Calculation[[#This Row],[Basic Payment]])&gt;0,N(Salary_Calculation[[#This Row],[Basic Payment]])/Std_Orders,0)))</f>
        <v/>
      </c>
      <c r="K170" s="165" t="str">
        <f aca="false">IF(Salary_Calculation[[#This Row],[Source Row]]="","",MAX(MIN(N(Salary_Calculation[[#This Row],[Completed Orders]]),Salary_Calculation[[#This Row],[Rider Target Orders]]),0))</f>
        <v/>
      </c>
      <c r="L170" s="164" t="str">
        <f aca="false">IF(Salary_Calculation[[#This Row],[Source Row]]="","",Salary_Calculation[[#This Row],[Orders Counted at Base Rate]]*Salary_Calculation[[#This Row],[Base Order Rate]])</f>
        <v/>
      </c>
      <c r="M170" s="165" t="str">
        <f aca="false">IF(Salary_Calculation[[#This Row],[Source Row]]="","",MAX(Salary_Calculation[[#This Row],[Rider Target Orders]]-N(Salary_Calculation[[#This Row],[Completed Orders]]),0))</f>
        <v/>
      </c>
      <c r="N170" s="164" t="str">
        <f aca="false">IF(Salary_Calculation[[#This Row],[Source Row]]="","",Salary_Calculation[[#This Row],[Missing Orders]]*Missing_Rate)</f>
        <v/>
      </c>
      <c r="O170" s="165" t="str">
        <f aca="false">IF(Salary_Calculation[[#This Row],[Source Row]]="","",MAX(N(Salary_Calculation[[#This Row],[Completed Orders]])-Salary_Calculation[[#This Row],[Rider Target Orders]],0))</f>
        <v/>
      </c>
      <c r="P170" s="164" t="str">
        <f aca="false">IF(Salary_Calculation[[#This Row],[Source Row]]="","",Salary_Calculation[[#This Row],[Extra Orders]]*Extra_Rate)</f>
        <v/>
      </c>
      <c r="Q170" s="164" t="str">
        <f aca="false">IF(Salary_Calculation[[#This Row],[Source Row]]="","",MAX(Salary_Calculation[[#This Row],[Salary Before Other Deductions]],0))</f>
        <v/>
      </c>
      <c r="R170" s="164" t="str">
        <f aca="false">IF(Salary_Calculation[[#This Row],[Source Row]]="","",N(INDEX(Rider_Input[missed_days_penalty],Salary_Calculation[[#This Row],[Source Row]])))</f>
        <v/>
      </c>
      <c r="S170" s="164" t="str">
        <f aca="false">IF(Salary_Calculation[[#This Row],[Source Row]]="","",N(INDEX(Rider_Input[Rider Balance / محفظة المندوب],Salary_Calculation[[#This Row],[Source Row]])))</f>
        <v/>
      </c>
      <c r="T170" s="164" t="str">
        <f aca="false">IF(Salary_Calculation[[#This Row],[Source Row]]="","",N(INDEX(Rider_Input[stacking_deduction / خصم الطلبات المتعددة],Salary_Calculation[[#This Row],[Source Row]])))</f>
        <v/>
      </c>
      <c r="U170" s="164" t="str">
        <f aca="false">IF(Salary_Calculation[[#This Row],[Source Row]]="","",N(INDEX(Rider_Input[Other Deductions],Salary_Calculation[[#This Row],[Source Row]])))</f>
        <v/>
      </c>
      <c r="V170" s="164" t="str">
        <f aca="false">IF(Salary_Calculation[[#This Row],[Source Row]]="","",N(Salary_Calculation[[#This Row],[missed_days_penalty]])+N(Salary_Calculation[[#This Row],[Rider Balance]])+N(Salary_Calculation[[#This Row],[stacking_deduction]])+N(Salary_Calculation[[#This Row],[Other Deductions]]))</f>
        <v/>
      </c>
      <c r="W170" s="167" t="str">
        <f aca="false">IF(Salary_Calculation[[#This Row],[Source Row]]="","",ROUND(MAX(Salary_Calculation[[#This Row],[Gross Salary Before Deductions]]-Salary_Calculation[[#This Row],[Total Deductions]],0),2))</f>
        <v/>
      </c>
      <c r="X170" s="164" t="str">
        <f aca="false">IF(Salary_Calculation[[#This Row],[Source Row]]="","",ROUND(MAX(Salary_Calculation[[#This Row],[Missing-Order Deduction]]-Salary_Calculation[[#This Row],[Earned Salary]],0),2))</f>
        <v/>
      </c>
      <c r="Y17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70" s="163" t="str">
        <f aca="false">IF(Salary_Calculation[[#This Row],[Source Row]]="","",IF(INDEX(Rider_Input[Notes],Salary_Calculation[[#This Row],[Source Row]])="","",INDEX(Rider_Input[Notes],Salary_Calculation[[#This Row],[Source Row]])))</f>
        <v/>
      </c>
      <c r="AA170" s="164" t="str">
        <f aca="false">IF(Salary_Calculation[[#This Row],[Source Row]]="","",Salary_Calculation[[#This Row],[Earned Salary]]-Salary_Calculation[[#This Row],[Missing-Order Deduction]]+Salary_Calculation[[#This Row],[Extra-Order Bonus]])</f>
        <v/>
      </c>
      <c r="AB170" s="164" t="str">
        <f aca="false">IF(Salary_Calculation[[#This Row],[Source Row]]="","",ROUND(Salary_Calculation[[#This Row],[Negative Balance / Amount Due from Rider]]+MAX(Salary_Calculation[[#This Row],[Total Deductions]]-Salary_Calculation[[#This Row],[Gross Salary Before Deductions]],0),2))</f>
        <v/>
      </c>
      <c r="AC17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70" s="164" t="str">
        <f aca="false">IF(Salary_Calculation[[#This Row],[Source Row]]="","",Salary_Calculation[[#This Row],[Rider Target Orders]]*Salary_Calculation[[#This Row],[Base Order Rate]])</f>
        <v/>
      </c>
      <c r="AE170" s="162" t="str">
        <f aca="false">IF(SUMPRODUCT(--(LEN(INDEX(Rider_Input[#Data],ROW()-ROW(Salary_Calculation[#Headers]),0))&gt;0))=0,"",ROW()-ROW(Salary_Calculation[#Headers]))</f>
        <v/>
      </c>
    </row>
    <row r="171" customFormat="false" ht="14.25" hidden="false" customHeight="false" outlineLevel="0" collapsed="false">
      <c r="A171" s="161" t="str">
        <f aca="false">IF(Salary_Calculation[[#This Row],[Source Row]]="","",IF(INDEX(Rider_Input[Salary Month],Salary_Calculation[[#This Row],[Source Row]])="","",INDEX(Rider_Input[Salary Month],Salary_Calculation[[#This Row],[Source Row]])))</f>
        <v/>
      </c>
      <c r="B171" s="162" t="str">
        <f aca="false">IF(Salary_Calculation[[#This Row],[Source Row]]="","",IF(INDEX(Rider_Input[Rider ID],Salary_Calculation[[#This Row],[Source Row]])="","",INDEX(Rider_Input[Rider ID],Salary_Calculation[[#This Row],[Source Row]])))</f>
        <v/>
      </c>
      <c r="C171" s="163" t="str">
        <f aca="false">IF(Salary_Calculation[[#This Row],[Source Row]]="","",IF(INDEX(Rider_Input[Rider Name],Salary_Calculation[[#This Row],[Source Row]])="","",INDEX(Rider_Input[Rider Name],Salary_Calculation[[#This Row],[Source Row]])))</f>
        <v/>
      </c>
      <c r="D171" s="164" t="str">
        <f aca="false">IF(Salary_Calculation[[#This Row],[Source Row]]="","",IF(INDEX(Rider_Input[Basic Payment],Salary_Calculation[[#This Row],[Source Row]])="","",INDEX(Rider_Input[Basic Payment],Salary_Calculation[[#This Row],[Source Row]])))</f>
        <v/>
      </c>
      <c r="E171" s="162" t="str">
        <f aca="false">IF(Salary_Calculation[[#This Row],[Source Row]]="","",IF(INDEX(Rider_Input[Calendar Days in Month],Salary_Calculation[[#This Row],[Source Row]])="","",INDEX(Rider_Input[Calendar Days in Month],Salary_Calculation[[#This Row],[Source Row]])))</f>
        <v/>
      </c>
      <c r="F171" s="162" t="str">
        <f aca="false">IF(Salary_Calculation[[#This Row],[Source Row]]="","",IF(INDEX(Rider_Input[Working Days],Salary_Calculation[[#This Row],[Source Row]])="","",INDEX(Rider_Input[Working Days],Salary_Calculation[[#This Row],[Source Row]])))</f>
        <v/>
      </c>
      <c r="G171" s="165" t="str">
        <f aca="false">IF(Salary_Calculation[[#This Row],[Source Row]]="","",Std_Orders/Std_Days*N(Salary_Calculation[[#This Row],[Calendar Days]]))</f>
        <v/>
      </c>
      <c r="H171" s="165" t="str">
        <f aca="false">IF(Salary_Calculation[[#This Row],[Source Row]]="","",IF(N(Salary_Calculation[[#This Row],[Calendar Days]])&gt;0,Salary_Calculation[[#This Row],[Monthly Target Orders]]/N(Salary_Calculation[[#This Row],[Calendar Days]])*N(Salary_Calculation[[#This Row],[Working Days]]),0))</f>
        <v/>
      </c>
      <c r="I171" s="166" t="str">
        <f aca="false">IF(Salary_Calculation[[#This Row],[Source Row]]="","",IF(INDEX(Rider_Input[Completed Orders],Salary_Calculation[[#This Row],[Source Row]])="","",INDEX(Rider_Input[Completed Orders],Salary_Calculation[[#This Row],[Source Row]])))</f>
        <v/>
      </c>
      <c r="J171" s="165" t="str">
        <f aca="false">IF(Salary_Calculation[[#This Row],[Source Row]]="","",IF(Rate_Method="Fixed rate",Fixed_Rate,IF(N(Salary_Calculation[[#This Row],[Basic Payment]])&gt;0,N(Salary_Calculation[[#This Row],[Basic Payment]])/Std_Orders,0)))</f>
        <v/>
      </c>
      <c r="K171" s="165" t="str">
        <f aca="false">IF(Salary_Calculation[[#This Row],[Source Row]]="","",MAX(MIN(N(Salary_Calculation[[#This Row],[Completed Orders]]),Salary_Calculation[[#This Row],[Rider Target Orders]]),0))</f>
        <v/>
      </c>
      <c r="L171" s="164" t="str">
        <f aca="false">IF(Salary_Calculation[[#This Row],[Source Row]]="","",Salary_Calculation[[#This Row],[Orders Counted at Base Rate]]*Salary_Calculation[[#This Row],[Base Order Rate]])</f>
        <v/>
      </c>
      <c r="M171" s="165" t="str">
        <f aca="false">IF(Salary_Calculation[[#This Row],[Source Row]]="","",MAX(Salary_Calculation[[#This Row],[Rider Target Orders]]-N(Salary_Calculation[[#This Row],[Completed Orders]]),0))</f>
        <v/>
      </c>
      <c r="N171" s="164" t="str">
        <f aca="false">IF(Salary_Calculation[[#This Row],[Source Row]]="","",Salary_Calculation[[#This Row],[Missing Orders]]*Missing_Rate)</f>
        <v/>
      </c>
      <c r="O171" s="165" t="str">
        <f aca="false">IF(Salary_Calculation[[#This Row],[Source Row]]="","",MAX(N(Salary_Calculation[[#This Row],[Completed Orders]])-Salary_Calculation[[#This Row],[Rider Target Orders]],0))</f>
        <v/>
      </c>
      <c r="P171" s="164" t="str">
        <f aca="false">IF(Salary_Calculation[[#This Row],[Source Row]]="","",Salary_Calculation[[#This Row],[Extra Orders]]*Extra_Rate)</f>
        <v/>
      </c>
      <c r="Q171" s="164" t="str">
        <f aca="false">IF(Salary_Calculation[[#This Row],[Source Row]]="","",MAX(Salary_Calculation[[#This Row],[Salary Before Other Deductions]],0))</f>
        <v/>
      </c>
      <c r="R171" s="164" t="str">
        <f aca="false">IF(Salary_Calculation[[#This Row],[Source Row]]="","",N(INDEX(Rider_Input[missed_days_penalty],Salary_Calculation[[#This Row],[Source Row]])))</f>
        <v/>
      </c>
      <c r="S171" s="164" t="str">
        <f aca="false">IF(Salary_Calculation[[#This Row],[Source Row]]="","",N(INDEX(Rider_Input[Rider Balance / محفظة المندوب],Salary_Calculation[[#This Row],[Source Row]])))</f>
        <v/>
      </c>
      <c r="T171" s="164" t="str">
        <f aca="false">IF(Salary_Calculation[[#This Row],[Source Row]]="","",N(INDEX(Rider_Input[stacking_deduction / خصم الطلبات المتعددة],Salary_Calculation[[#This Row],[Source Row]])))</f>
        <v/>
      </c>
      <c r="U171" s="164" t="str">
        <f aca="false">IF(Salary_Calculation[[#This Row],[Source Row]]="","",N(INDEX(Rider_Input[Other Deductions],Salary_Calculation[[#This Row],[Source Row]])))</f>
        <v/>
      </c>
      <c r="V171" s="164" t="str">
        <f aca="false">IF(Salary_Calculation[[#This Row],[Source Row]]="","",N(Salary_Calculation[[#This Row],[missed_days_penalty]])+N(Salary_Calculation[[#This Row],[Rider Balance]])+N(Salary_Calculation[[#This Row],[stacking_deduction]])+N(Salary_Calculation[[#This Row],[Other Deductions]]))</f>
        <v/>
      </c>
      <c r="W171" s="167" t="str">
        <f aca="false">IF(Salary_Calculation[[#This Row],[Source Row]]="","",ROUND(MAX(Salary_Calculation[[#This Row],[Gross Salary Before Deductions]]-Salary_Calculation[[#This Row],[Total Deductions]],0),2))</f>
        <v/>
      </c>
      <c r="X171" s="164" t="str">
        <f aca="false">IF(Salary_Calculation[[#This Row],[Source Row]]="","",ROUND(MAX(Salary_Calculation[[#This Row],[Missing-Order Deduction]]-Salary_Calculation[[#This Row],[Earned Salary]],0),2))</f>
        <v/>
      </c>
      <c r="Y17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71" s="163" t="str">
        <f aca="false">IF(Salary_Calculation[[#This Row],[Source Row]]="","",IF(INDEX(Rider_Input[Notes],Salary_Calculation[[#This Row],[Source Row]])="","",INDEX(Rider_Input[Notes],Salary_Calculation[[#This Row],[Source Row]])))</f>
        <v/>
      </c>
      <c r="AA171" s="164" t="str">
        <f aca="false">IF(Salary_Calculation[[#This Row],[Source Row]]="","",Salary_Calculation[[#This Row],[Earned Salary]]-Salary_Calculation[[#This Row],[Missing-Order Deduction]]+Salary_Calculation[[#This Row],[Extra-Order Bonus]])</f>
        <v/>
      </c>
      <c r="AB171" s="164" t="str">
        <f aca="false">IF(Salary_Calculation[[#This Row],[Source Row]]="","",ROUND(Salary_Calculation[[#This Row],[Negative Balance / Amount Due from Rider]]+MAX(Salary_Calculation[[#This Row],[Total Deductions]]-Salary_Calculation[[#This Row],[Gross Salary Before Deductions]],0),2))</f>
        <v/>
      </c>
      <c r="AC17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71" s="164" t="str">
        <f aca="false">IF(Salary_Calculation[[#This Row],[Source Row]]="","",Salary_Calculation[[#This Row],[Rider Target Orders]]*Salary_Calculation[[#This Row],[Base Order Rate]])</f>
        <v/>
      </c>
      <c r="AE171" s="162" t="str">
        <f aca="false">IF(SUMPRODUCT(--(LEN(INDEX(Rider_Input[#Data],ROW()-ROW(Salary_Calculation[#Headers]),0))&gt;0))=0,"",ROW()-ROW(Salary_Calculation[#Headers]))</f>
        <v/>
      </c>
    </row>
    <row r="172" customFormat="false" ht="14.25" hidden="false" customHeight="false" outlineLevel="0" collapsed="false">
      <c r="A172" s="161" t="str">
        <f aca="false">IF(Salary_Calculation[[#This Row],[Source Row]]="","",IF(INDEX(Rider_Input[Salary Month],Salary_Calculation[[#This Row],[Source Row]])="","",INDEX(Rider_Input[Salary Month],Salary_Calculation[[#This Row],[Source Row]])))</f>
        <v/>
      </c>
      <c r="B172" s="162" t="str">
        <f aca="false">IF(Salary_Calculation[[#This Row],[Source Row]]="","",IF(INDEX(Rider_Input[Rider ID],Salary_Calculation[[#This Row],[Source Row]])="","",INDEX(Rider_Input[Rider ID],Salary_Calculation[[#This Row],[Source Row]])))</f>
        <v/>
      </c>
      <c r="C172" s="163" t="str">
        <f aca="false">IF(Salary_Calculation[[#This Row],[Source Row]]="","",IF(INDEX(Rider_Input[Rider Name],Salary_Calculation[[#This Row],[Source Row]])="","",INDEX(Rider_Input[Rider Name],Salary_Calculation[[#This Row],[Source Row]])))</f>
        <v/>
      </c>
      <c r="D172" s="164" t="str">
        <f aca="false">IF(Salary_Calculation[[#This Row],[Source Row]]="","",IF(INDEX(Rider_Input[Basic Payment],Salary_Calculation[[#This Row],[Source Row]])="","",INDEX(Rider_Input[Basic Payment],Salary_Calculation[[#This Row],[Source Row]])))</f>
        <v/>
      </c>
      <c r="E172" s="162" t="str">
        <f aca="false">IF(Salary_Calculation[[#This Row],[Source Row]]="","",IF(INDEX(Rider_Input[Calendar Days in Month],Salary_Calculation[[#This Row],[Source Row]])="","",INDEX(Rider_Input[Calendar Days in Month],Salary_Calculation[[#This Row],[Source Row]])))</f>
        <v/>
      </c>
      <c r="F172" s="162" t="str">
        <f aca="false">IF(Salary_Calculation[[#This Row],[Source Row]]="","",IF(INDEX(Rider_Input[Working Days],Salary_Calculation[[#This Row],[Source Row]])="","",INDEX(Rider_Input[Working Days],Salary_Calculation[[#This Row],[Source Row]])))</f>
        <v/>
      </c>
      <c r="G172" s="165" t="str">
        <f aca="false">IF(Salary_Calculation[[#This Row],[Source Row]]="","",Std_Orders/Std_Days*N(Salary_Calculation[[#This Row],[Calendar Days]]))</f>
        <v/>
      </c>
      <c r="H172" s="165" t="str">
        <f aca="false">IF(Salary_Calculation[[#This Row],[Source Row]]="","",IF(N(Salary_Calculation[[#This Row],[Calendar Days]])&gt;0,Salary_Calculation[[#This Row],[Monthly Target Orders]]/N(Salary_Calculation[[#This Row],[Calendar Days]])*N(Salary_Calculation[[#This Row],[Working Days]]),0))</f>
        <v/>
      </c>
      <c r="I172" s="166" t="str">
        <f aca="false">IF(Salary_Calculation[[#This Row],[Source Row]]="","",IF(INDEX(Rider_Input[Completed Orders],Salary_Calculation[[#This Row],[Source Row]])="","",INDEX(Rider_Input[Completed Orders],Salary_Calculation[[#This Row],[Source Row]])))</f>
        <v/>
      </c>
      <c r="J172" s="165" t="str">
        <f aca="false">IF(Salary_Calculation[[#This Row],[Source Row]]="","",IF(Rate_Method="Fixed rate",Fixed_Rate,IF(N(Salary_Calculation[[#This Row],[Basic Payment]])&gt;0,N(Salary_Calculation[[#This Row],[Basic Payment]])/Std_Orders,0)))</f>
        <v/>
      </c>
      <c r="K172" s="165" t="str">
        <f aca="false">IF(Salary_Calculation[[#This Row],[Source Row]]="","",MAX(MIN(N(Salary_Calculation[[#This Row],[Completed Orders]]),Salary_Calculation[[#This Row],[Rider Target Orders]]),0))</f>
        <v/>
      </c>
      <c r="L172" s="164" t="str">
        <f aca="false">IF(Salary_Calculation[[#This Row],[Source Row]]="","",Salary_Calculation[[#This Row],[Orders Counted at Base Rate]]*Salary_Calculation[[#This Row],[Base Order Rate]])</f>
        <v/>
      </c>
      <c r="M172" s="165" t="str">
        <f aca="false">IF(Salary_Calculation[[#This Row],[Source Row]]="","",MAX(Salary_Calculation[[#This Row],[Rider Target Orders]]-N(Salary_Calculation[[#This Row],[Completed Orders]]),0))</f>
        <v/>
      </c>
      <c r="N172" s="164" t="str">
        <f aca="false">IF(Salary_Calculation[[#This Row],[Source Row]]="","",Salary_Calculation[[#This Row],[Missing Orders]]*Missing_Rate)</f>
        <v/>
      </c>
      <c r="O172" s="165" t="str">
        <f aca="false">IF(Salary_Calculation[[#This Row],[Source Row]]="","",MAX(N(Salary_Calculation[[#This Row],[Completed Orders]])-Salary_Calculation[[#This Row],[Rider Target Orders]],0))</f>
        <v/>
      </c>
      <c r="P172" s="164" t="str">
        <f aca="false">IF(Salary_Calculation[[#This Row],[Source Row]]="","",Salary_Calculation[[#This Row],[Extra Orders]]*Extra_Rate)</f>
        <v/>
      </c>
      <c r="Q172" s="164" t="str">
        <f aca="false">IF(Salary_Calculation[[#This Row],[Source Row]]="","",MAX(Salary_Calculation[[#This Row],[Salary Before Other Deductions]],0))</f>
        <v/>
      </c>
      <c r="R172" s="164" t="str">
        <f aca="false">IF(Salary_Calculation[[#This Row],[Source Row]]="","",N(INDEX(Rider_Input[missed_days_penalty],Salary_Calculation[[#This Row],[Source Row]])))</f>
        <v/>
      </c>
      <c r="S172" s="164" t="str">
        <f aca="false">IF(Salary_Calculation[[#This Row],[Source Row]]="","",N(INDEX(Rider_Input[Rider Balance / محفظة المندوب],Salary_Calculation[[#This Row],[Source Row]])))</f>
        <v/>
      </c>
      <c r="T172" s="164" t="str">
        <f aca="false">IF(Salary_Calculation[[#This Row],[Source Row]]="","",N(INDEX(Rider_Input[stacking_deduction / خصم الطلبات المتعددة],Salary_Calculation[[#This Row],[Source Row]])))</f>
        <v/>
      </c>
      <c r="U172" s="164" t="str">
        <f aca="false">IF(Salary_Calculation[[#This Row],[Source Row]]="","",N(INDEX(Rider_Input[Other Deductions],Salary_Calculation[[#This Row],[Source Row]])))</f>
        <v/>
      </c>
      <c r="V172" s="164" t="str">
        <f aca="false">IF(Salary_Calculation[[#This Row],[Source Row]]="","",N(Salary_Calculation[[#This Row],[missed_days_penalty]])+N(Salary_Calculation[[#This Row],[Rider Balance]])+N(Salary_Calculation[[#This Row],[stacking_deduction]])+N(Salary_Calculation[[#This Row],[Other Deductions]]))</f>
        <v/>
      </c>
      <c r="W172" s="167" t="str">
        <f aca="false">IF(Salary_Calculation[[#This Row],[Source Row]]="","",ROUND(MAX(Salary_Calculation[[#This Row],[Gross Salary Before Deductions]]-Salary_Calculation[[#This Row],[Total Deductions]],0),2))</f>
        <v/>
      </c>
      <c r="X172" s="164" t="str">
        <f aca="false">IF(Salary_Calculation[[#This Row],[Source Row]]="","",ROUND(MAX(Salary_Calculation[[#This Row],[Missing-Order Deduction]]-Salary_Calculation[[#This Row],[Earned Salary]],0),2))</f>
        <v/>
      </c>
      <c r="Y17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72" s="163" t="str">
        <f aca="false">IF(Salary_Calculation[[#This Row],[Source Row]]="","",IF(INDEX(Rider_Input[Notes],Salary_Calculation[[#This Row],[Source Row]])="","",INDEX(Rider_Input[Notes],Salary_Calculation[[#This Row],[Source Row]])))</f>
        <v/>
      </c>
      <c r="AA172" s="164" t="str">
        <f aca="false">IF(Salary_Calculation[[#This Row],[Source Row]]="","",Salary_Calculation[[#This Row],[Earned Salary]]-Salary_Calculation[[#This Row],[Missing-Order Deduction]]+Salary_Calculation[[#This Row],[Extra-Order Bonus]])</f>
        <v/>
      </c>
      <c r="AB172" s="164" t="str">
        <f aca="false">IF(Salary_Calculation[[#This Row],[Source Row]]="","",ROUND(Salary_Calculation[[#This Row],[Negative Balance / Amount Due from Rider]]+MAX(Salary_Calculation[[#This Row],[Total Deductions]]-Salary_Calculation[[#This Row],[Gross Salary Before Deductions]],0),2))</f>
        <v/>
      </c>
      <c r="AC17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72" s="164" t="str">
        <f aca="false">IF(Salary_Calculation[[#This Row],[Source Row]]="","",Salary_Calculation[[#This Row],[Rider Target Orders]]*Salary_Calculation[[#This Row],[Base Order Rate]])</f>
        <v/>
      </c>
      <c r="AE172" s="162" t="str">
        <f aca="false">IF(SUMPRODUCT(--(LEN(INDEX(Rider_Input[#Data],ROW()-ROW(Salary_Calculation[#Headers]),0))&gt;0))=0,"",ROW()-ROW(Salary_Calculation[#Headers]))</f>
        <v/>
      </c>
    </row>
    <row r="173" customFormat="false" ht="14.25" hidden="false" customHeight="false" outlineLevel="0" collapsed="false">
      <c r="A173" s="161" t="str">
        <f aca="false">IF(Salary_Calculation[[#This Row],[Source Row]]="","",IF(INDEX(Rider_Input[Salary Month],Salary_Calculation[[#This Row],[Source Row]])="","",INDEX(Rider_Input[Salary Month],Salary_Calculation[[#This Row],[Source Row]])))</f>
        <v/>
      </c>
      <c r="B173" s="162" t="str">
        <f aca="false">IF(Salary_Calculation[[#This Row],[Source Row]]="","",IF(INDEX(Rider_Input[Rider ID],Salary_Calculation[[#This Row],[Source Row]])="","",INDEX(Rider_Input[Rider ID],Salary_Calculation[[#This Row],[Source Row]])))</f>
        <v/>
      </c>
      <c r="C173" s="163" t="str">
        <f aca="false">IF(Salary_Calculation[[#This Row],[Source Row]]="","",IF(INDEX(Rider_Input[Rider Name],Salary_Calculation[[#This Row],[Source Row]])="","",INDEX(Rider_Input[Rider Name],Salary_Calculation[[#This Row],[Source Row]])))</f>
        <v/>
      </c>
      <c r="D173" s="164" t="str">
        <f aca="false">IF(Salary_Calculation[[#This Row],[Source Row]]="","",IF(INDEX(Rider_Input[Basic Payment],Salary_Calculation[[#This Row],[Source Row]])="","",INDEX(Rider_Input[Basic Payment],Salary_Calculation[[#This Row],[Source Row]])))</f>
        <v/>
      </c>
      <c r="E173" s="162" t="str">
        <f aca="false">IF(Salary_Calculation[[#This Row],[Source Row]]="","",IF(INDEX(Rider_Input[Calendar Days in Month],Salary_Calculation[[#This Row],[Source Row]])="","",INDEX(Rider_Input[Calendar Days in Month],Salary_Calculation[[#This Row],[Source Row]])))</f>
        <v/>
      </c>
      <c r="F173" s="162" t="str">
        <f aca="false">IF(Salary_Calculation[[#This Row],[Source Row]]="","",IF(INDEX(Rider_Input[Working Days],Salary_Calculation[[#This Row],[Source Row]])="","",INDEX(Rider_Input[Working Days],Salary_Calculation[[#This Row],[Source Row]])))</f>
        <v/>
      </c>
      <c r="G173" s="165" t="str">
        <f aca="false">IF(Salary_Calculation[[#This Row],[Source Row]]="","",Std_Orders/Std_Days*N(Salary_Calculation[[#This Row],[Calendar Days]]))</f>
        <v/>
      </c>
      <c r="H173" s="165" t="str">
        <f aca="false">IF(Salary_Calculation[[#This Row],[Source Row]]="","",IF(N(Salary_Calculation[[#This Row],[Calendar Days]])&gt;0,Salary_Calculation[[#This Row],[Monthly Target Orders]]/N(Salary_Calculation[[#This Row],[Calendar Days]])*N(Salary_Calculation[[#This Row],[Working Days]]),0))</f>
        <v/>
      </c>
      <c r="I173" s="166" t="str">
        <f aca="false">IF(Salary_Calculation[[#This Row],[Source Row]]="","",IF(INDEX(Rider_Input[Completed Orders],Salary_Calculation[[#This Row],[Source Row]])="","",INDEX(Rider_Input[Completed Orders],Salary_Calculation[[#This Row],[Source Row]])))</f>
        <v/>
      </c>
      <c r="J173" s="165" t="str">
        <f aca="false">IF(Salary_Calculation[[#This Row],[Source Row]]="","",IF(Rate_Method="Fixed rate",Fixed_Rate,IF(N(Salary_Calculation[[#This Row],[Basic Payment]])&gt;0,N(Salary_Calculation[[#This Row],[Basic Payment]])/Std_Orders,0)))</f>
        <v/>
      </c>
      <c r="K173" s="165" t="str">
        <f aca="false">IF(Salary_Calculation[[#This Row],[Source Row]]="","",MAX(MIN(N(Salary_Calculation[[#This Row],[Completed Orders]]),Salary_Calculation[[#This Row],[Rider Target Orders]]),0))</f>
        <v/>
      </c>
      <c r="L173" s="164" t="str">
        <f aca="false">IF(Salary_Calculation[[#This Row],[Source Row]]="","",Salary_Calculation[[#This Row],[Orders Counted at Base Rate]]*Salary_Calculation[[#This Row],[Base Order Rate]])</f>
        <v/>
      </c>
      <c r="M173" s="165" t="str">
        <f aca="false">IF(Salary_Calculation[[#This Row],[Source Row]]="","",MAX(Salary_Calculation[[#This Row],[Rider Target Orders]]-N(Salary_Calculation[[#This Row],[Completed Orders]]),0))</f>
        <v/>
      </c>
      <c r="N173" s="164" t="str">
        <f aca="false">IF(Salary_Calculation[[#This Row],[Source Row]]="","",Salary_Calculation[[#This Row],[Missing Orders]]*Missing_Rate)</f>
        <v/>
      </c>
      <c r="O173" s="165" t="str">
        <f aca="false">IF(Salary_Calculation[[#This Row],[Source Row]]="","",MAX(N(Salary_Calculation[[#This Row],[Completed Orders]])-Salary_Calculation[[#This Row],[Rider Target Orders]],0))</f>
        <v/>
      </c>
      <c r="P173" s="164" t="str">
        <f aca="false">IF(Salary_Calculation[[#This Row],[Source Row]]="","",Salary_Calculation[[#This Row],[Extra Orders]]*Extra_Rate)</f>
        <v/>
      </c>
      <c r="Q173" s="164" t="str">
        <f aca="false">IF(Salary_Calculation[[#This Row],[Source Row]]="","",MAX(Salary_Calculation[[#This Row],[Salary Before Other Deductions]],0))</f>
        <v/>
      </c>
      <c r="R173" s="164" t="str">
        <f aca="false">IF(Salary_Calculation[[#This Row],[Source Row]]="","",N(INDEX(Rider_Input[missed_days_penalty],Salary_Calculation[[#This Row],[Source Row]])))</f>
        <v/>
      </c>
      <c r="S173" s="164" t="str">
        <f aca="false">IF(Salary_Calculation[[#This Row],[Source Row]]="","",N(INDEX(Rider_Input[Rider Balance / محفظة المندوب],Salary_Calculation[[#This Row],[Source Row]])))</f>
        <v/>
      </c>
      <c r="T173" s="164" t="str">
        <f aca="false">IF(Salary_Calculation[[#This Row],[Source Row]]="","",N(INDEX(Rider_Input[stacking_deduction / خصم الطلبات المتعددة],Salary_Calculation[[#This Row],[Source Row]])))</f>
        <v/>
      </c>
      <c r="U173" s="164" t="str">
        <f aca="false">IF(Salary_Calculation[[#This Row],[Source Row]]="","",N(INDEX(Rider_Input[Other Deductions],Salary_Calculation[[#This Row],[Source Row]])))</f>
        <v/>
      </c>
      <c r="V173" s="164" t="str">
        <f aca="false">IF(Salary_Calculation[[#This Row],[Source Row]]="","",N(Salary_Calculation[[#This Row],[missed_days_penalty]])+N(Salary_Calculation[[#This Row],[Rider Balance]])+N(Salary_Calculation[[#This Row],[stacking_deduction]])+N(Salary_Calculation[[#This Row],[Other Deductions]]))</f>
        <v/>
      </c>
      <c r="W173" s="167" t="str">
        <f aca="false">IF(Salary_Calculation[[#This Row],[Source Row]]="","",ROUND(MAX(Salary_Calculation[[#This Row],[Gross Salary Before Deductions]]-Salary_Calculation[[#This Row],[Total Deductions]],0),2))</f>
        <v/>
      </c>
      <c r="X173" s="164" t="str">
        <f aca="false">IF(Salary_Calculation[[#This Row],[Source Row]]="","",ROUND(MAX(Salary_Calculation[[#This Row],[Missing-Order Deduction]]-Salary_Calculation[[#This Row],[Earned Salary]],0),2))</f>
        <v/>
      </c>
      <c r="Y17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73" s="163" t="str">
        <f aca="false">IF(Salary_Calculation[[#This Row],[Source Row]]="","",IF(INDEX(Rider_Input[Notes],Salary_Calculation[[#This Row],[Source Row]])="","",INDEX(Rider_Input[Notes],Salary_Calculation[[#This Row],[Source Row]])))</f>
        <v/>
      </c>
      <c r="AA173" s="164" t="str">
        <f aca="false">IF(Salary_Calculation[[#This Row],[Source Row]]="","",Salary_Calculation[[#This Row],[Earned Salary]]-Salary_Calculation[[#This Row],[Missing-Order Deduction]]+Salary_Calculation[[#This Row],[Extra-Order Bonus]])</f>
        <v/>
      </c>
      <c r="AB173" s="164" t="str">
        <f aca="false">IF(Salary_Calculation[[#This Row],[Source Row]]="","",ROUND(Salary_Calculation[[#This Row],[Negative Balance / Amount Due from Rider]]+MAX(Salary_Calculation[[#This Row],[Total Deductions]]-Salary_Calculation[[#This Row],[Gross Salary Before Deductions]],0),2))</f>
        <v/>
      </c>
      <c r="AC17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73" s="164" t="str">
        <f aca="false">IF(Salary_Calculation[[#This Row],[Source Row]]="","",Salary_Calculation[[#This Row],[Rider Target Orders]]*Salary_Calculation[[#This Row],[Base Order Rate]])</f>
        <v/>
      </c>
      <c r="AE173" s="162" t="str">
        <f aca="false">IF(SUMPRODUCT(--(LEN(INDEX(Rider_Input[#Data],ROW()-ROW(Salary_Calculation[#Headers]),0))&gt;0))=0,"",ROW()-ROW(Salary_Calculation[#Headers]))</f>
        <v/>
      </c>
    </row>
    <row r="174" customFormat="false" ht="14.25" hidden="false" customHeight="false" outlineLevel="0" collapsed="false">
      <c r="A174" s="161" t="str">
        <f aca="false">IF(Salary_Calculation[[#This Row],[Source Row]]="","",IF(INDEX(Rider_Input[Salary Month],Salary_Calculation[[#This Row],[Source Row]])="","",INDEX(Rider_Input[Salary Month],Salary_Calculation[[#This Row],[Source Row]])))</f>
        <v/>
      </c>
      <c r="B174" s="162" t="str">
        <f aca="false">IF(Salary_Calculation[[#This Row],[Source Row]]="","",IF(INDEX(Rider_Input[Rider ID],Salary_Calculation[[#This Row],[Source Row]])="","",INDEX(Rider_Input[Rider ID],Salary_Calculation[[#This Row],[Source Row]])))</f>
        <v/>
      </c>
      <c r="C174" s="163" t="str">
        <f aca="false">IF(Salary_Calculation[[#This Row],[Source Row]]="","",IF(INDEX(Rider_Input[Rider Name],Salary_Calculation[[#This Row],[Source Row]])="","",INDEX(Rider_Input[Rider Name],Salary_Calculation[[#This Row],[Source Row]])))</f>
        <v/>
      </c>
      <c r="D174" s="164" t="str">
        <f aca="false">IF(Salary_Calculation[[#This Row],[Source Row]]="","",IF(INDEX(Rider_Input[Basic Payment],Salary_Calculation[[#This Row],[Source Row]])="","",INDEX(Rider_Input[Basic Payment],Salary_Calculation[[#This Row],[Source Row]])))</f>
        <v/>
      </c>
      <c r="E174" s="162" t="str">
        <f aca="false">IF(Salary_Calculation[[#This Row],[Source Row]]="","",IF(INDEX(Rider_Input[Calendar Days in Month],Salary_Calculation[[#This Row],[Source Row]])="","",INDEX(Rider_Input[Calendar Days in Month],Salary_Calculation[[#This Row],[Source Row]])))</f>
        <v/>
      </c>
      <c r="F174" s="162" t="str">
        <f aca="false">IF(Salary_Calculation[[#This Row],[Source Row]]="","",IF(INDEX(Rider_Input[Working Days],Salary_Calculation[[#This Row],[Source Row]])="","",INDEX(Rider_Input[Working Days],Salary_Calculation[[#This Row],[Source Row]])))</f>
        <v/>
      </c>
      <c r="G174" s="165" t="str">
        <f aca="false">IF(Salary_Calculation[[#This Row],[Source Row]]="","",Std_Orders/Std_Days*N(Salary_Calculation[[#This Row],[Calendar Days]]))</f>
        <v/>
      </c>
      <c r="H174" s="165" t="str">
        <f aca="false">IF(Salary_Calculation[[#This Row],[Source Row]]="","",IF(N(Salary_Calculation[[#This Row],[Calendar Days]])&gt;0,Salary_Calculation[[#This Row],[Monthly Target Orders]]/N(Salary_Calculation[[#This Row],[Calendar Days]])*N(Salary_Calculation[[#This Row],[Working Days]]),0))</f>
        <v/>
      </c>
      <c r="I174" s="166" t="str">
        <f aca="false">IF(Salary_Calculation[[#This Row],[Source Row]]="","",IF(INDEX(Rider_Input[Completed Orders],Salary_Calculation[[#This Row],[Source Row]])="","",INDEX(Rider_Input[Completed Orders],Salary_Calculation[[#This Row],[Source Row]])))</f>
        <v/>
      </c>
      <c r="J174" s="165" t="str">
        <f aca="false">IF(Salary_Calculation[[#This Row],[Source Row]]="","",IF(Rate_Method="Fixed rate",Fixed_Rate,IF(N(Salary_Calculation[[#This Row],[Basic Payment]])&gt;0,N(Salary_Calculation[[#This Row],[Basic Payment]])/Std_Orders,0)))</f>
        <v/>
      </c>
      <c r="K174" s="165" t="str">
        <f aca="false">IF(Salary_Calculation[[#This Row],[Source Row]]="","",MAX(MIN(N(Salary_Calculation[[#This Row],[Completed Orders]]),Salary_Calculation[[#This Row],[Rider Target Orders]]),0))</f>
        <v/>
      </c>
      <c r="L174" s="164" t="str">
        <f aca="false">IF(Salary_Calculation[[#This Row],[Source Row]]="","",Salary_Calculation[[#This Row],[Orders Counted at Base Rate]]*Salary_Calculation[[#This Row],[Base Order Rate]])</f>
        <v/>
      </c>
      <c r="M174" s="165" t="str">
        <f aca="false">IF(Salary_Calculation[[#This Row],[Source Row]]="","",MAX(Salary_Calculation[[#This Row],[Rider Target Orders]]-N(Salary_Calculation[[#This Row],[Completed Orders]]),0))</f>
        <v/>
      </c>
      <c r="N174" s="164" t="str">
        <f aca="false">IF(Salary_Calculation[[#This Row],[Source Row]]="","",Salary_Calculation[[#This Row],[Missing Orders]]*Missing_Rate)</f>
        <v/>
      </c>
      <c r="O174" s="165" t="str">
        <f aca="false">IF(Salary_Calculation[[#This Row],[Source Row]]="","",MAX(N(Salary_Calculation[[#This Row],[Completed Orders]])-Salary_Calculation[[#This Row],[Rider Target Orders]],0))</f>
        <v/>
      </c>
      <c r="P174" s="164" t="str">
        <f aca="false">IF(Salary_Calculation[[#This Row],[Source Row]]="","",Salary_Calculation[[#This Row],[Extra Orders]]*Extra_Rate)</f>
        <v/>
      </c>
      <c r="Q174" s="164" t="str">
        <f aca="false">IF(Salary_Calculation[[#This Row],[Source Row]]="","",MAX(Salary_Calculation[[#This Row],[Salary Before Other Deductions]],0))</f>
        <v/>
      </c>
      <c r="R174" s="164" t="str">
        <f aca="false">IF(Salary_Calculation[[#This Row],[Source Row]]="","",N(INDEX(Rider_Input[missed_days_penalty],Salary_Calculation[[#This Row],[Source Row]])))</f>
        <v/>
      </c>
      <c r="S174" s="164" t="str">
        <f aca="false">IF(Salary_Calculation[[#This Row],[Source Row]]="","",N(INDEX(Rider_Input[Rider Balance / محفظة المندوب],Salary_Calculation[[#This Row],[Source Row]])))</f>
        <v/>
      </c>
      <c r="T174" s="164" t="str">
        <f aca="false">IF(Salary_Calculation[[#This Row],[Source Row]]="","",N(INDEX(Rider_Input[stacking_deduction / خصم الطلبات المتعددة],Salary_Calculation[[#This Row],[Source Row]])))</f>
        <v/>
      </c>
      <c r="U174" s="164" t="str">
        <f aca="false">IF(Salary_Calculation[[#This Row],[Source Row]]="","",N(INDEX(Rider_Input[Other Deductions],Salary_Calculation[[#This Row],[Source Row]])))</f>
        <v/>
      </c>
      <c r="V174" s="164" t="str">
        <f aca="false">IF(Salary_Calculation[[#This Row],[Source Row]]="","",N(Salary_Calculation[[#This Row],[missed_days_penalty]])+N(Salary_Calculation[[#This Row],[Rider Balance]])+N(Salary_Calculation[[#This Row],[stacking_deduction]])+N(Salary_Calculation[[#This Row],[Other Deductions]]))</f>
        <v/>
      </c>
      <c r="W174" s="167" t="str">
        <f aca="false">IF(Salary_Calculation[[#This Row],[Source Row]]="","",ROUND(MAX(Salary_Calculation[[#This Row],[Gross Salary Before Deductions]]-Salary_Calculation[[#This Row],[Total Deductions]],0),2))</f>
        <v/>
      </c>
      <c r="X174" s="164" t="str">
        <f aca="false">IF(Salary_Calculation[[#This Row],[Source Row]]="","",ROUND(MAX(Salary_Calculation[[#This Row],[Missing-Order Deduction]]-Salary_Calculation[[#This Row],[Earned Salary]],0),2))</f>
        <v/>
      </c>
      <c r="Y17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74" s="163" t="str">
        <f aca="false">IF(Salary_Calculation[[#This Row],[Source Row]]="","",IF(INDEX(Rider_Input[Notes],Salary_Calculation[[#This Row],[Source Row]])="","",INDEX(Rider_Input[Notes],Salary_Calculation[[#This Row],[Source Row]])))</f>
        <v/>
      </c>
      <c r="AA174" s="164" t="str">
        <f aca="false">IF(Salary_Calculation[[#This Row],[Source Row]]="","",Salary_Calculation[[#This Row],[Earned Salary]]-Salary_Calculation[[#This Row],[Missing-Order Deduction]]+Salary_Calculation[[#This Row],[Extra-Order Bonus]])</f>
        <v/>
      </c>
      <c r="AB174" s="164" t="str">
        <f aca="false">IF(Salary_Calculation[[#This Row],[Source Row]]="","",ROUND(Salary_Calculation[[#This Row],[Negative Balance / Amount Due from Rider]]+MAX(Salary_Calculation[[#This Row],[Total Deductions]]-Salary_Calculation[[#This Row],[Gross Salary Before Deductions]],0),2))</f>
        <v/>
      </c>
      <c r="AC17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74" s="164" t="str">
        <f aca="false">IF(Salary_Calculation[[#This Row],[Source Row]]="","",Salary_Calculation[[#This Row],[Rider Target Orders]]*Salary_Calculation[[#This Row],[Base Order Rate]])</f>
        <v/>
      </c>
      <c r="AE174" s="162" t="str">
        <f aca="false">IF(SUMPRODUCT(--(LEN(INDEX(Rider_Input[#Data],ROW()-ROW(Salary_Calculation[#Headers]),0))&gt;0))=0,"",ROW()-ROW(Salary_Calculation[#Headers]))</f>
        <v/>
      </c>
    </row>
    <row r="175" customFormat="false" ht="14.25" hidden="false" customHeight="false" outlineLevel="0" collapsed="false">
      <c r="A175" s="161" t="str">
        <f aca="false">IF(Salary_Calculation[[#This Row],[Source Row]]="","",IF(INDEX(Rider_Input[Salary Month],Salary_Calculation[[#This Row],[Source Row]])="","",INDEX(Rider_Input[Salary Month],Salary_Calculation[[#This Row],[Source Row]])))</f>
        <v/>
      </c>
      <c r="B175" s="162" t="str">
        <f aca="false">IF(Salary_Calculation[[#This Row],[Source Row]]="","",IF(INDEX(Rider_Input[Rider ID],Salary_Calculation[[#This Row],[Source Row]])="","",INDEX(Rider_Input[Rider ID],Salary_Calculation[[#This Row],[Source Row]])))</f>
        <v/>
      </c>
      <c r="C175" s="163" t="str">
        <f aca="false">IF(Salary_Calculation[[#This Row],[Source Row]]="","",IF(INDEX(Rider_Input[Rider Name],Salary_Calculation[[#This Row],[Source Row]])="","",INDEX(Rider_Input[Rider Name],Salary_Calculation[[#This Row],[Source Row]])))</f>
        <v/>
      </c>
      <c r="D175" s="164" t="str">
        <f aca="false">IF(Salary_Calculation[[#This Row],[Source Row]]="","",IF(INDEX(Rider_Input[Basic Payment],Salary_Calculation[[#This Row],[Source Row]])="","",INDEX(Rider_Input[Basic Payment],Salary_Calculation[[#This Row],[Source Row]])))</f>
        <v/>
      </c>
      <c r="E175" s="162" t="str">
        <f aca="false">IF(Salary_Calculation[[#This Row],[Source Row]]="","",IF(INDEX(Rider_Input[Calendar Days in Month],Salary_Calculation[[#This Row],[Source Row]])="","",INDEX(Rider_Input[Calendar Days in Month],Salary_Calculation[[#This Row],[Source Row]])))</f>
        <v/>
      </c>
      <c r="F175" s="162" t="str">
        <f aca="false">IF(Salary_Calculation[[#This Row],[Source Row]]="","",IF(INDEX(Rider_Input[Working Days],Salary_Calculation[[#This Row],[Source Row]])="","",INDEX(Rider_Input[Working Days],Salary_Calculation[[#This Row],[Source Row]])))</f>
        <v/>
      </c>
      <c r="G175" s="165" t="str">
        <f aca="false">IF(Salary_Calculation[[#This Row],[Source Row]]="","",Std_Orders/Std_Days*N(Salary_Calculation[[#This Row],[Calendar Days]]))</f>
        <v/>
      </c>
      <c r="H175" s="165" t="str">
        <f aca="false">IF(Salary_Calculation[[#This Row],[Source Row]]="","",IF(N(Salary_Calculation[[#This Row],[Calendar Days]])&gt;0,Salary_Calculation[[#This Row],[Monthly Target Orders]]/N(Salary_Calculation[[#This Row],[Calendar Days]])*N(Salary_Calculation[[#This Row],[Working Days]]),0))</f>
        <v/>
      </c>
      <c r="I175" s="166" t="str">
        <f aca="false">IF(Salary_Calculation[[#This Row],[Source Row]]="","",IF(INDEX(Rider_Input[Completed Orders],Salary_Calculation[[#This Row],[Source Row]])="","",INDEX(Rider_Input[Completed Orders],Salary_Calculation[[#This Row],[Source Row]])))</f>
        <v/>
      </c>
      <c r="J175" s="165" t="str">
        <f aca="false">IF(Salary_Calculation[[#This Row],[Source Row]]="","",IF(Rate_Method="Fixed rate",Fixed_Rate,IF(N(Salary_Calculation[[#This Row],[Basic Payment]])&gt;0,N(Salary_Calculation[[#This Row],[Basic Payment]])/Std_Orders,0)))</f>
        <v/>
      </c>
      <c r="K175" s="165" t="str">
        <f aca="false">IF(Salary_Calculation[[#This Row],[Source Row]]="","",MAX(MIN(N(Salary_Calculation[[#This Row],[Completed Orders]]),Salary_Calculation[[#This Row],[Rider Target Orders]]),0))</f>
        <v/>
      </c>
      <c r="L175" s="164" t="str">
        <f aca="false">IF(Salary_Calculation[[#This Row],[Source Row]]="","",Salary_Calculation[[#This Row],[Orders Counted at Base Rate]]*Salary_Calculation[[#This Row],[Base Order Rate]])</f>
        <v/>
      </c>
      <c r="M175" s="165" t="str">
        <f aca="false">IF(Salary_Calculation[[#This Row],[Source Row]]="","",MAX(Salary_Calculation[[#This Row],[Rider Target Orders]]-N(Salary_Calculation[[#This Row],[Completed Orders]]),0))</f>
        <v/>
      </c>
      <c r="N175" s="164" t="str">
        <f aca="false">IF(Salary_Calculation[[#This Row],[Source Row]]="","",Salary_Calculation[[#This Row],[Missing Orders]]*Missing_Rate)</f>
        <v/>
      </c>
      <c r="O175" s="165" t="str">
        <f aca="false">IF(Salary_Calculation[[#This Row],[Source Row]]="","",MAX(N(Salary_Calculation[[#This Row],[Completed Orders]])-Salary_Calculation[[#This Row],[Rider Target Orders]],0))</f>
        <v/>
      </c>
      <c r="P175" s="164" t="str">
        <f aca="false">IF(Salary_Calculation[[#This Row],[Source Row]]="","",Salary_Calculation[[#This Row],[Extra Orders]]*Extra_Rate)</f>
        <v/>
      </c>
      <c r="Q175" s="164" t="str">
        <f aca="false">IF(Salary_Calculation[[#This Row],[Source Row]]="","",MAX(Salary_Calculation[[#This Row],[Salary Before Other Deductions]],0))</f>
        <v/>
      </c>
      <c r="R175" s="164" t="str">
        <f aca="false">IF(Salary_Calculation[[#This Row],[Source Row]]="","",N(INDEX(Rider_Input[missed_days_penalty],Salary_Calculation[[#This Row],[Source Row]])))</f>
        <v/>
      </c>
      <c r="S175" s="164" t="str">
        <f aca="false">IF(Salary_Calculation[[#This Row],[Source Row]]="","",N(INDEX(Rider_Input[Rider Balance / محفظة المندوب],Salary_Calculation[[#This Row],[Source Row]])))</f>
        <v/>
      </c>
      <c r="T175" s="164" t="str">
        <f aca="false">IF(Salary_Calculation[[#This Row],[Source Row]]="","",N(INDEX(Rider_Input[stacking_deduction / خصم الطلبات المتعددة],Salary_Calculation[[#This Row],[Source Row]])))</f>
        <v/>
      </c>
      <c r="U175" s="164" t="str">
        <f aca="false">IF(Salary_Calculation[[#This Row],[Source Row]]="","",N(INDEX(Rider_Input[Other Deductions],Salary_Calculation[[#This Row],[Source Row]])))</f>
        <v/>
      </c>
      <c r="V175" s="164" t="str">
        <f aca="false">IF(Salary_Calculation[[#This Row],[Source Row]]="","",N(Salary_Calculation[[#This Row],[missed_days_penalty]])+N(Salary_Calculation[[#This Row],[Rider Balance]])+N(Salary_Calculation[[#This Row],[stacking_deduction]])+N(Salary_Calculation[[#This Row],[Other Deductions]]))</f>
        <v/>
      </c>
      <c r="W175" s="167" t="str">
        <f aca="false">IF(Salary_Calculation[[#This Row],[Source Row]]="","",ROUND(MAX(Salary_Calculation[[#This Row],[Gross Salary Before Deductions]]-Salary_Calculation[[#This Row],[Total Deductions]],0),2))</f>
        <v/>
      </c>
      <c r="X175" s="164" t="str">
        <f aca="false">IF(Salary_Calculation[[#This Row],[Source Row]]="","",ROUND(MAX(Salary_Calculation[[#This Row],[Missing-Order Deduction]]-Salary_Calculation[[#This Row],[Earned Salary]],0),2))</f>
        <v/>
      </c>
      <c r="Y17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75" s="163" t="str">
        <f aca="false">IF(Salary_Calculation[[#This Row],[Source Row]]="","",IF(INDEX(Rider_Input[Notes],Salary_Calculation[[#This Row],[Source Row]])="","",INDEX(Rider_Input[Notes],Salary_Calculation[[#This Row],[Source Row]])))</f>
        <v/>
      </c>
      <c r="AA175" s="164" t="str">
        <f aca="false">IF(Salary_Calculation[[#This Row],[Source Row]]="","",Salary_Calculation[[#This Row],[Earned Salary]]-Salary_Calculation[[#This Row],[Missing-Order Deduction]]+Salary_Calculation[[#This Row],[Extra-Order Bonus]])</f>
        <v/>
      </c>
      <c r="AB175" s="164" t="str">
        <f aca="false">IF(Salary_Calculation[[#This Row],[Source Row]]="","",ROUND(Salary_Calculation[[#This Row],[Negative Balance / Amount Due from Rider]]+MAX(Salary_Calculation[[#This Row],[Total Deductions]]-Salary_Calculation[[#This Row],[Gross Salary Before Deductions]],0),2))</f>
        <v/>
      </c>
      <c r="AC17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75" s="164" t="str">
        <f aca="false">IF(Salary_Calculation[[#This Row],[Source Row]]="","",Salary_Calculation[[#This Row],[Rider Target Orders]]*Salary_Calculation[[#This Row],[Base Order Rate]])</f>
        <v/>
      </c>
      <c r="AE175" s="162" t="str">
        <f aca="false">IF(SUMPRODUCT(--(LEN(INDEX(Rider_Input[#Data],ROW()-ROW(Salary_Calculation[#Headers]),0))&gt;0))=0,"",ROW()-ROW(Salary_Calculation[#Headers]))</f>
        <v/>
      </c>
    </row>
    <row r="176" customFormat="false" ht="14.25" hidden="false" customHeight="false" outlineLevel="0" collapsed="false">
      <c r="A176" s="161" t="str">
        <f aca="false">IF(Salary_Calculation[[#This Row],[Source Row]]="","",IF(INDEX(Rider_Input[Salary Month],Salary_Calculation[[#This Row],[Source Row]])="","",INDEX(Rider_Input[Salary Month],Salary_Calculation[[#This Row],[Source Row]])))</f>
        <v/>
      </c>
      <c r="B176" s="162" t="str">
        <f aca="false">IF(Salary_Calculation[[#This Row],[Source Row]]="","",IF(INDEX(Rider_Input[Rider ID],Salary_Calculation[[#This Row],[Source Row]])="","",INDEX(Rider_Input[Rider ID],Salary_Calculation[[#This Row],[Source Row]])))</f>
        <v/>
      </c>
      <c r="C176" s="163" t="str">
        <f aca="false">IF(Salary_Calculation[[#This Row],[Source Row]]="","",IF(INDEX(Rider_Input[Rider Name],Salary_Calculation[[#This Row],[Source Row]])="","",INDEX(Rider_Input[Rider Name],Salary_Calculation[[#This Row],[Source Row]])))</f>
        <v/>
      </c>
      <c r="D176" s="164" t="str">
        <f aca="false">IF(Salary_Calculation[[#This Row],[Source Row]]="","",IF(INDEX(Rider_Input[Basic Payment],Salary_Calculation[[#This Row],[Source Row]])="","",INDEX(Rider_Input[Basic Payment],Salary_Calculation[[#This Row],[Source Row]])))</f>
        <v/>
      </c>
      <c r="E176" s="162" t="str">
        <f aca="false">IF(Salary_Calculation[[#This Row],[Source Row]]="","",IF(INDEX(Rider_Input[Calendar Days in Month],Salary_Calculation[[#This Row],[Source Row]])="","",INDEX(Rider_Input[Calendar Days in Month],Salary_Calculation[[#This Row],[Source Row]])))</f>
        <v/>
      </c>
      <c r="F176" s="162" t="str">
        <f aca="false">IF(Salary_Calculation[[#This Row],[Source Row]]="","",IF(INDEX(Rider_Input[Working Days],Salary_Calculation[[#This Row],[Source Row]])="","",INDEX(Rider_Input[Working Days],Salary_Calculation[[#This Row],[Source Row]])))</f>
        <v/>
      </c>
      <c r="G176" s="165" t="str">
        <f aca="false">IF(Salary_Calculation[[#This Row],[Source Row]]="","",Std_Orders/Std_Days*N(Salary_Calculation[[#This Row],[Calendar Days]]))</f>
        <v/>
      </c>
      <c r="H176" s="165" t="str">
        <f aca="false">IF(Salary_Calculation[[#This Row],[Source Row]]="","",IF(N(Salary_Calculation[[#This Row],[Calendar Days]])&gt;0,Salary_Calculation[[#This Row],[Monthly Target Orders]]/N(Salary_Calculation[[#This Row],[Calendar Days]])*N(Salary_Calculation[[#This Row],[Working Days]]),0))</f>
        <v/>
      </c>
      <c r="I176" s="166" t="str">
        <f aca="false">IF(Salary_Calculation[[#This Row],[Source Row]]="","",IF(INDEX(Rider_Input[Completed Orders],Salary_Calculation[[#This Row],[Source Row]])="","",INDEX(Rider_Input[Completed Orders],Salary_Calculation[[#This Row],[Source Row]])))</f>
        <v/>
      </c>
      <c r="J176" s="165" t="str">
        <f aca="false">IF(Salary_Calculation[[#This Row],[Source Row]]="","",IF(Rate_Method="Fixed rate",Fixed_Rate,IF(N(Salary_Calculation[[#This Row],[Basic Payment]])&gt;0,N(Salary_Calculation[[#This Row],[Basic Payment]])/Std_Orders,0)))</f>
        <v/>
      </c>
      <c r="K176" s="165" t="str">
        <f aca="false">IF(Salary_Calculation[[#This Row],[Source Row]]="","",MAX(MIN(N(Salary_Calculation[[#This Row],[Completed Orders]]),Salary_Calculation[[#This Row],[Rider Target Orders]]),0))</f>
        <v/>
      </c>
      <c r="L176" s="164" t="str">
        <f aca="false">IF(Salary_Calculation[[#This Row],[Source Row]]="","",Salary_Calculation[[#This Row],[Orders Counted at Base Rate]]*Salary_Calculation[[#This Row],[Base Order Rate]])</f>
        <v/>
      </c>
      <c r="M176" s="165" t="str">
        <f aca="false">IF(Salary_Calculation[[#This Row],[Source Row]]="","",MAX(Salary_Calculation[[#This Row],[Rider Target Orders]]-N(Salary_Calculation[[#This Row],[Completed Orders]]),0))</f>
        <v/>
      </c>
      <c r="N176" s="164" t="str">
        <f aca="false">IF(Salary_Calculation[[#This Row],[Source Row]]="","",Salary_Calculation[[#This Row],[Missing Orders]]*Missing_Rate)</f>
        <v/>
      </c>
      <c r="O176" s="165" t="str">
        <f aca="false">IF(Salary_Calculation[[#This Row],[Source Row]]="","",MAX(N(Salary_Calculation[[#This Row],[Completed Orders]])-Salary_Calculation[[#This Row],[Rider Target Orders]],0))</f>
        <v/>
      </c>
      <c r="P176" s="164" t="str">
        <f aca="false">IF(Salary_Calculation[[#This Row],[Source Row]]="","",Salary_Calculation[[#This Row],[Extra Orders]]*Extra_Rate)</f>
        <v/>
      </c>
      <c r="Q176" s="164" t="str">
        <f aca="false">IF(Salary_Calculation[[#This Row],[Source Row]]="","",MAX(Salary_Calculation[[#This Row],[Salary Before Other Deductions]],0))</f>
        <v/>
      </c>
      <c r="R176" s="164" t="str">
        <f aca="false">IF(Salary_Calculation[[#This Row],[Source Row]]="","",N(INDEX(Rider_Input[missed_days_penalty],Salary_Calculation[[#This Row],[Source Row]])))</f>
        <v/>
      </c>
      <c r="S176" s="164" t="str">
        <f aca="false">IF(Salary_Calculation[[#This Row],[Source Row]]="","",N(INDEX(Rider_Input[Rider Balance / محفظة المندوب],Salary_Calculation[[#This Row],[Source Row]])))</f>
        <v/>
      </c>
      <c r="T176" s="164" t="str">
        <f aca="false">IF(Salary_Calculation[[#This Row],[Source Row]]="","",N(INDEX(Rider_Input[stacking_deduction / خصم الطلبات المتعددة],Salary_Calculation[[#This Row],[Source Row]])))</f>
        <v/>
      </c>
      <c r="U176" s="164" t="str">
        <f aca="false">IF(Salary_Calculation[[#This Row],[Source Row]]="","",N(INDEX(Rider_Input[Other Deductions],Salary_Calculation[[#This Row],[Source Row]])))</f>
        <v/>
      </c>
      <c r="V176" s="164" t="str">
        <f aca="false">IF(Salary_Calculation[[#This Row],[Source Row]]="","",N(Salary_Calculation[[#This Row],[missed_days_penalty]])+N(Salary_Calculation[[#This Row],[Rider Balance]])+N(Salary_Calculation[[#This Row],[stacking_deduction]])+N(Salary_Calculation[[#This Row],[Other Deductions]]))</f>
        <v/>
      </c>
      <c r="W176" s="167" t="str">
        <f aca="false">IF(Salary_Calculation[[#This Row],[Source Row]]="","",ROUND(MAX(Salary_Calculation[[#This Row],[Gross Salary Before Deductions]]-Salary_Calculation[[#This Row],[Total Deductions]],0),2))</f>
        <v/>
      </c>
      <c r="X176" s="164" t="str">
        <f aca="false">IF(Salary_Calculation[[#This Row],[Source Row]]="","",ROUND(MAX(Salary_Calculation[[#This Row],[Missing-Order Deduction]]-Salary_Calculation[[#This Row],[Earned Salary]],0),2))</f>
        <v/>
      </c>
      <c r="Y17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76" s="163" t="str">
        <f aca="false">IF(Salary_Calculation[[#This Row],[Source Row]]="","",IF(INDEX(Rider_Input[Notes],Salary_Calculation[[#This Row],[Source Row]])="","",INDEX(Rider_Input[Notes],Salary_Calculation[[#This Row],[Source Row]])))</f>
        <v/>
      </c>
      <c r="AA176" s="164" t="str">
        <f aca="false">IF(Salary_Calculation[[#This Row],[Source Row]]="","",Salary_Calculation[[#This Row],[Earned Salary]]-Salary_Calculation[[#This Row],[Missing-Order Deduction]]+Salary_Calculation[[#This Row],[Extra-Order Bonus]])</f>
        <v/>
      </c>
      <c r="AB176" s="164" t="str">
        <f aca="false">IF(Salary_Calculation[[#This Row],[Source Row]]="","",ROUND(Salary_Calculation[[#This Row],[Negative Balance / Amount Due from Rider]]+MAX(Salary_Calculation[[#This Row],[Total Deductions]]-Salary_Calculation[[#This Row],[Gross Salary Before Deductions]],0),2))</f>
        <v/>
      </c>
      <c r="AC17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76" s="164" t="str">
        <f aca="false">IF(Salary_Calculation[[#This Row],[Source Row]]="","",Salary_Calculation[[#This Row],[Rider Target Orders]]*Salary_Calculation[[#This Row],[Base Order Rate]])</f>
        <v/>
      </c>
      <c r="AE176" s="162" t="str">
        <f aca="false">IF(SUMPRODUCT(--(LEN(INDEX(Rider_Input[#Data],ROW()-ROW(Salary_Calculation[#Headers]),0))&gt;0))=0,"",ROW()-ROW(Salary_Calculation[#Headers]))</f>
        <v/>
      </c>
    </row>
    <row r="177" customFormat="false" ht="14.25" hidden="false" customHeight="false" outlineLevel="0" collapsed="false">
      <c r="A177" s="161" t="str">
        <f aca="false">IF(Salary_Calculation[[#This Row],[Source Row]]="","",IF(INDEX(Rider_Input[Salary Month],Salary_Calculation[[#This Row],[Source Row]])="","",INDEX(Rider_Input[Salary Month],Salary_Calculation[[#This Row],[Source Row]])))</f>
        <v/>
      </c>
      <c r="B177" s="162" t="str">
        <f aca="false">IF(Salary_Calculation[[#This Row],[Source Row]]="","",IF(INDEX(Rider_Input[Rider ID],Salary_Calculation[[#This Row],[Source Row]])="","",INDEX(Rider_Input[Rider ID],Salary_Calculation[[#This Row],[Source Row]])))</f>
        <v/>
      </c>
      <c r="C177" s="163" t="str">
        <f aca="false">IF(Salary_Calculation[[#This Row],[Source Row]]="","",IF(INDEX(Rider_Input[Rider Name],Salary_Calculation[[#This Row],[Source Row]])="","",INDEX(Rider_Input[Rider Name],Salary_Calculation[[#This Row],[Source Row]])))</f>
        <v/>
      </c>
      <c r="D177" s="164" t="str">
        <f aca="false">IF(Salary_Calculation[[#This Row],[Source Row]]="","",IF(INDEX(Rider_Input[Basic Payment],Salary_Calculation[[#This Row],[Source Row]])="","",INDEX(Rider_Input[Basic Payment],Salary_Calculation[[#This Row],[Source Row]])))</f>
        <v/>
      </c>
      <c r="E177" s="162" t="str">
        <f aca="false">IF(Salary_Calculation[[#This Row],[Source Row]]="","",IF(INDEX(Rider_Input[Calendar Days in Month],Salary_Calculation[[#This Row],[Source Row]])="","",INDEX(Rider_Input[Calendar Days in Month],Salary_Calculation[[#This Row],[Source Row]])))</f>
        <v/>
      </c>
      <c r="F177" s="162" t="str">
        <f aca="false">IF(Salary_Calculation[[#This Row],[Source Row]]="","",IF(INDEX(Rider_Input[Working Days],Salary_Calculation[[#This Row],[Source Row]])="","",INDEX(Rider_Input[Working Days],Salary_Calculation[[#This Row],[Source Row]])))</f>
        <v/>
      </c>
      <c r="G177" s="165" t="str">
        <f aca="false">IF(Salary_Calculation[[#This Row],[Source Row]]="","",Std_Orders/Std_Days*N(Salary_Calculation[[#This Row],[Calendar Days]]))</f>
        <v/>
      </c>
      <c r="H177" s="165" t="str">
        <f aca="false">IF(Salary_Calculation[[#This Row],[Source Row]]="","",IF(N(Salary_Calculation[[#This Row],[Calendar Days]])&gt;0,Salary_Calculation[[#This Row],[Monthly Target Orders]]/N(Salary_Calculation[[#This Row],[Calendar Days]])*N(Salary_Calculation[[#This Row],[Working Days]]),0))</f>
        <v/>
      </c>
      <c r="I177" s="166" t="str">
        <f aca="false">IF(Salary_Calculation[[#This Row],[Source Row]]="","",IF(INDEX(Rider_Input[Completed Orders],Salary_Calculation[[#This Row],[Source Row]])="","",INDEX(Rider_Input[Completed Orders],Salary_Calculation[[#This Row],[Source Row]])))</f>
        <v/>
      </c>
      <c r="J177" s="165" t="str">
        <f aca="false">IF(Salary_Calculation[[#This Row],[Source Row]]="","",IF(Rate_Method="Fixed rate",Fixed_Rate,IF(N(Salary_Calculation[[#This Row],[Basic Payment]])&gt;0,N(Salary_Calculation[[#This Row],[Basic Payment]])/Std_Orders,0)))</f>
        <v/>
      </c>
      <c r="K177" s="165" t="str">
        <f aca="false">IF(Salary_Calculation[[#This Row],[Source Row]]="","",MAX(MIN(N(Salary_Calculation[[#This Row],[Completed Orders]]),Salary_Calculation[[#This Row],[Rider Target Orders]]),0))</f>
        <v/>
      </c>
      <c r="L177" s="164" t="str">
        <f aca="false">IF(Salary_Calculation[[#This Row],[Source Row]]="","",Salary_Calculation[[#This Row],[Orders Counted at Base Rate]]*Salary_Calculation[[#This Row],[Base Order Rate]])</f>
        <v/>
      </c>
      <c r="M177" s="165" t="str">
        <f aca="false">IF(Salary_Calculation[[#This Row],[Source Row]]="","",MAX(Salary_Calculation[[#This Row],[Rider Target Orders]]-N(Salary_Calculation[[#This Row],[Completed Orders]]),0))</f>
        <v/>
      </c>
      <c r="N177" s="164" t="str">
        <f aca="false">IF(Salary_Calculation[[#This Row],[Source Row]]="","",Salary_Calculation[[#This Row],[Missing Orders]]*Missing_Rate)</f>
        <v/>
      </c>
      <c r="O177" s="165" t="str">
        <f aca="false">IF(Salary_Calculation[[#This Row],[Source Row]]="","",MAX(N(Salary_Calculation[[#This Row],[Completed Orders]])-Salary_Calculation[[#This Row],[Rider Target Orders]],0))</f>
        <v/>
      </c>
      <c r="P177" s="164" t="str">
        <f aca="false">IF(Salary_Calculation[[#This Row],[Source Row]]="","",Salary_Calculation[[#This Row],[Extra Orders]]*Extra_Rate)</f>
        <v/>
      </c>
      <c r="Q177" s="164" t="str">
        <f aca="false">IF(Salary_Calculation[[#This Row],[Source Row]]="","",MAX(Salary_Calculation[[#This Row],[Salary Before Other Deductions]],0))</f>
        <v/>
      </c>
      <c r="R177" s="164" t="str">
        <f aca="false">IF(Salary_Calculation[[#This Row],[Source Row]]="","",N(INDEX(Rider_Input[missed_days_penalty],Salary_Calculation[[#This Row],[Source Row]])))</f>
        <v/>
      </c>
      <c r="S177" s="164" t="str">
        <f aca="false">IF(Salary_Calculation[[#This Row],[Source Row]]="","",N(INDEX(Rider_Input[Rider Balance / محفظة المندوب],Salary_Calculation[[#This Row],[Source Row]])))</f>
        <v/>
      </c>
      <c r="T177" s="164" t="str">
        <f aca="false">IF(Salary_Calculation[[#This Row],[Source Row]]="","",N(INDEX(Rider_Input[stacking_deduction / خصم الطلبات المتعددة],Salary_Calculation[[#This Row],[Source Row]])))</f>
        <v/>
      </c>
      <c r="U177" s="164" t="str">
        <f aca="false">IF(Salary_Calculation[[#This Row],[Source Row]]="","",N(INDEX(Rider_Input[Other Deductions],Salary_Calculation[[#This Row],[Source Row]])))</f>
        <v/>
      </c>
      <c r="V177" s="164" t="str">
        <f aca="false">IF(Salary_Calculation[[#This Row],[Source Row]]="","",N(Salary_Calculation[[#This Row],[missed_days_penalty]])+N(Salary_Calculation[[#This Row],[Rider Balance]])+N(Salary_Calculation[[#This Row],[stacking_deduction]])+N(Salary_Calculation[[#This Row],[Other Deductions]]))</f>
        <v/>
      </c>
      <c r="W177" s="167" t="str">
        <f aca="false">IF(Salary_Calculation[[#This Row],[Source Row]]="","",ROUND(MAX(Salary_Calculation[[#This Row],[Gross Salary Before Deductions]]-Salary_Calculation[[#This Row],[Total Deductions]],0),2))</f>
        <v/>
      </c>
      <c r="X177" s="164" t="str">
        <f aca="false">IF(Salary_Calculation[[#This Row],[Source Row]]="","",ROUND(MAX(Salary_Calculation[[#This Row],[Missing-Order Deduction]]-Salary_Calculation[[#This Row],[Earned Salary]],0),2))</f>
        <v/>
      </c>
      <c r="Y17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77" s="163" t="str">
        <f aca="false">IF(Salary_Calculation[[#This Row],[Source Row]]="","",IF(INDEX(Rider_Input[Notes],Salary_Calculation[[#This Row],[Source Row]])="","",INDEX(Rider_Input[Notes],Salary_Calculation[[#This Row],[Source Row]])))</f>
        <v/>
      </c>
      <c r="AA177" s="164" t="str">
        <f aca="false">IF(Salary_Calculation[[#This Row],[Source Row]]="","",Salary_Calculation[[#This Row],[Earned Salary]]-Salary_Calculation[[#This Row],[Missing-Order Deduction]]+Salary_Calculation[[#This Row],[Extra-Order Bonus]])</f>
        <v/>
      </c>
      <c r="AB177" s="164" t="str">
        <f aca="false">IF(Salary_Calculation[[#This Row],[Source Row]]="","",ROUND(Salary_Calculation[[#This Row],[Negative Balance / Amount Due from Rider]]+MAX(Salary_Calculation[[#This Row],[Total Deductions]]-Salary_Calculation[[#This Row],[Gross Salary Before Deductions]],0),2))</f>
        <v/>
      </c>
      <c r="AC17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77" s="164" t="str">
        <f aca="false">IF(Salary_Calculation[[#This Row],[Source Row]]="","",Salary_Calculation[[#This Row],[Rider Target Orders]]*Salary_Calculation[[#This Row],[Base Order Rate]])</f>
        <v/>
      </c>
      <c r="AE177" s="162" t="str">
        <f aca="false">IF(SUMPRODUCT(--(LEN(INDEX(Rider_Input[#Data],ROW()-ROW(Salary_Calculation[#Headers]),0))&gt;0))=0,"",ROW()-ROW(Salary_Calculation[#Headers]))</f>
        <v/>
      </c>
    </row>
    <row r="178" customFormat="false" ht="14.25" hidden="false" customHeight="false" outlineLevel="0" collapsed="false">
      <c r="A178" s="161" t="str">
        <f aca="false">IF(Salary_Calculation[[#This Row],[Source Row]]="","",IF(INDEX(Rider_Input[Salary Month],Salary_Calculation[[#This Row],[Source Row]])="","",INDEX(Rider_Input[Salary Month],Salary_Calculation[[#This Row],[Source Row]])))</f>
        <v/>
      </c>
      <c r="B178" s="162" t="str">
        <f aca="false">IF(Salary_Calculation[[#This Row],[Source Row]]="","",IF(INDEX(Rider_Input[Rider ID],Salary_Calculation[[#This Row],[Source Row]])="","",INDEX(Rider_Input[Rider ID],Salary_Calculation[[#This Row],[Source Row]])))</f>
        <v/>
      </c>
      <c r="C178" s="163" t="str">
        <f aca="false">IF(Salary_Calculation[[#This Row],[Source Row]]="","",IF(INDEX(Rider_Input[Rider Name],Salary_Calculation[[#This Row],[Source Row]])="","",INDEX(Rider_Input[Rider Name],Salary_Calculation[[#This Row],[Source Row]])))</f>
        <v/>
      </c>
      <c r="D178" s="164" t="str">
        <f aca="false">IF(Salary_Calculation[[#This Row],[Source Row]]="","",IF(INDEX(Rider_Input[Basic Payment],Salary_Calculation[[#This Row],[Source Row]])="","",INDEX(Rider_Input[Basic Payment],Salary_Calculation[[#This Row],[Source Row]])))</f>
        <v/>
      </c>
      <c r="E178" s="162" t="str">
        <f aca="false">IF(Salary_Calculation[[#This Row],[Source Row]]="","",IF(INDEX(Rider_Input[Calendar Days in Month],Salary_Calculation[[#This Row],[Source Row]])="","",INDEX(Rider_Input[Calendar Days in Month],Salary_Calculation[[#This Row],[Source Row]])))</f>
        <v/>
      </c>
      <c r="F178" s="162" t="str">
        <f aca="false">IF(Salary_Calculation[[#This Row],[Source Row]]="","",IF(INDEX(Rider_Input[Working Days],Salary_Calculation[[#This Row],[Source Row]])="","",INDEX(Rider_Input[Working Days],Salary_Calculation[[#This Row],[Source Row]])))</f>
        <v/>
      </c>
      <c r="G178" s="165" t="str">
        <f aca="false">IF(Salary_Calculation[[#This Row],[Source Row]]="","",Std_Orders/Std_Days*N(Salary_Calculation[[#This Row],[Calendar Days]]))</f>
        <v/>
      </c>
      <c r="H178" s="165" t="str">
        <f aca="false">IF(Salary_Calculation[[#This Row],[Source Row]]="","",IF(N(Salary_Calculation[[#This Row],[Calendar Days]])&gt;0,Salary_Calculation[[#This Row],[Monthly Target Orders]]/N(Salary_Calculation[[#This Row],[Calendar Days]])*N(Salary_Calculation[[#This Row],[Working Days]]),0))</f>
        <v/>
      </c>
      <c r="I178" s="166" t="str">
        <f aca="false">IF(Salary_Calculation[[#This Row],[Source Row]]="","",IF(INDEX(Rider_Input[Completed Orders],Salary_Calculation[[#This Row],[Source Row]])="","",INDEX(Rider_Input[Completed Orders],Salary_Calculation[[#This Row],[Source Row]])))</f>
        <v/>
      </c>
      <c r="J178" s="165" t="str">
        <f aca="false">IF(Salary_Calculation[[#This Row],[Source Row]]="","",IF(Rate_Method="Fixed rate",Fixed_Rate,IF(N(Salary_Calculation[[#This Row],[Basic Payment]])&gt;0,N(Salary_Calculation[[#This Row],[Basic Payment]])/Std_Orders,0)))</f>
        <v/>
      </c>
      <c r="K178" s="165" t="str">
        <f aca="false">IF(Salary_Calculation[[#This Row],[Source Row]]="","",MAX(MIN(N(Salary_Calculation[[#This Row],[Completed Orders]]),Salary_Calculation[[#This Row],[Rider Target Orders]]),0))</f>
        <v/>
      </c>
      <c r="L178" s="164" t="str">
        <f aca="false">IF(Salary_Calculation[[#This Row],[Source Row]]="","",Salary_Calculation[[#This Row],[Orders Counted at Base Rate]]*Salary_Calculation[[#This Row],[Base Order Rate]])</f>
        <v/>
      </c>
      <c r="M178" s="165" t="str">
        <f aca="false">IF(Salary_Calculation[[#This Row],[Source Row]]="","",MAX(Salary_Calculation[[#This Row],[Rider Target Orders]]-N(Salary_Calculation[[#This Row],[Completed Orders]]),0))</f>
        <v/>
      </c>
      <c r="N178" s="164" t="str">
        <f aca="false">IF(Salary_Calculation[[#This Row],[Source Row]]="","",Salary_Calculation[[#This Row],[Missing Orders]]*Missing_Rate)</f>
        <v/>
      </c>
      <c r="O178" s="165" t="str">
        <f aca="false">IF(Salary_Calculation[[#This Row],[Source Row]]="","",MAX(N(Salary_Calculation[[#This Row],[Completed Orders]])-Salary_Calculation[[#This Row],[Rider Target Orders]],0))</f>
        <v/>
      </c>
      <c r="P178" s="164" t="str">
        <f aca="false">IF(Salary_Calculation[[#This Row],[Source Row]]="","",Salary_Calculation[[#This Row],[Extra Orders]]*Extra_Rate)</f>
        <v/>
      </c>
      <c r="Q178" s="164" t="str">
        <f aca="false">IF(Salary_Calculation[[#This Row],[Source Row]]="","",MAX(Salary_Calculation[[#This Row],[Salary Before Other Deductions]],0))</f>
        <v/>
      </c>
      <c r="R178" s="164" t="str">
        <f aca="false">IF(Salary_Calculation[[#This Row],[Source Row]]="","",N(INDEX(Rider_Input[missed_days_penalty],Salary_Calculation[[#This Row],[Source Row]])))</f>
        <v/>
      </c>
      <c r="S178" s="164" t="str">
        <f aca="false">IF(Salary_Calculation[[#This Row],[Source Row]]="","",N(INDEX(Rider_Input[Rider Balance / محفظة المندوب],Salary_Calculation[[#This Row],[Source Row]])))</f>
        <v/>
      </c>
      <c r="T178" s="164" t="str">
        <f aca="false">IF(Salary_Calculation[[#This Row],[Source Row]]="","",N(INDEX(Rider_Input[stacking_deduction / خصم الطلبات المتعددة],Salary_Calculation[[#This Row],[Source Row]])))</f>
        <v/>
      </c>
      <c r="U178" s="164" t="str">
        <f aca="false">IF(Salary_Calculation[[#This Row],[Source Row]]="","",N(INDEX(Rider_Input[Other Deductions],Salary_Calculation[[#This Row],[Source Row]])))</f>
        <v/>
      </c>
      <c r="V178" s="164" t="str">
        <f aca="false">IF(Salary_Calculation[[#This Row],[Source Row]]="","",N(Salary_Calculation[[#This Row],[missed_days_penalty]])+N(Salary_Calculation[[#This Row],[Rider Balance]])+N(Salary_Calculation[[#This Row],[stacking_deduction]])+N(Salary_Calculation[[#This Row],[Other Deductions]]))</f>
        <v/>
      </c>
      <c r="W178" s="167" t="str">
        <f aca="false">IF(Salary_Calculation[[#This Row],[Source Row]]="","",ROUND(MAX(Salary_Calculation[[#This Row],[Gross Salary Before Deductions]]-Salary_Calculation[[#This Row],[Total Deductions]],0),2))</f>
        <v/>
      </c>
      <c r="X178" s="164" t="str">
        <f aca="false">IF(Salary_Calculation[[#This Row],[Source Row]]="","",ROUND(MAX(Salary_Calculation[[#This Row],[Missing-Order Deduction]]-Salary_Calculation[[#This Row],[Earned Salary]],0),2))</f>
        <v/>
      </c>
      <c r="Y17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78" s="163" t="str">
        <f aca="false">IF(Salary_Calculation[[#This Row],[Source Row]]="","",IF(INDEX(Rider_Input[Notes],Salary_Calculation[[#This Row],[Source Row]])="","",INDEX(Rider_Input[Notes],Salary_Calculation[[#This Row],[Source Row]])))</f>
        <v/>
      </c>
      <c r="AA178" s="164" t="str">
        <f aca="false">IF(Salary_Calculation[[#This Row],[Source Row]]="","",Salary_Calculation[[#This Row],[Earned Salary]]-Salary_Calculation[[#This Row],[Missing-Order Deduction]]+Salary_Calculation[[#This Row],[Extra-Order Bonus]])</f>
        <v/>
      </c>
      <c r="AB178" s="164" t="str">
        <f aca="false">IF(Salary_Calculation[[#This Row],[Source Row]]="","",ROUND(Salary_Calculation[[#This Row],[Negative Balance / Amount Due from Rider]]+MAX(Salary_Calculation[[#This Row],[Total Deductions]]-Salary_Calculation[[#This Row],[Gross Salary Before Deductions]],0),2))</f>
        <v/>
      </c>
      <c r="AC17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78" s="164" t="str">
        <f aca="false">IF(Salary_Calculation[[#This Row],[Source Row]]="","",Salary_Calculation[[#This Row],[Rider Target Orders]]*Salary_Calculation[[#This Row],[Base Order Rate]])</f>
        <v/>
      </c>
      <c r="AE178" s="162" t="str">
        <f aca="false">IF(SUMPRODUCT(--(LEN(INDEX(Rider_Input[#Data],ROW()-ROW(Salary_Calculation[#Headers]),0))&gt;0))=0,"",ROW()-ROW(Salary_Calculation[#Headers]))</f>
        <v/>
      </c>
    </row>
    <row r="179" customFormat="false" ht="14.25" hidden="false" customHeight="false" outlineLevel="0" collapsed="false">
      <c r="A179" s="161" t="str">
        <f aca="false">IF(Salary_Calculation[[#This Row],[Source Row]]="","",IF(INDEX(Rider_Input[Salary Month],Salary_Calculation[[#This Row],[Source Row]])="","",INDEX(Rider_Input[Salary Month],Salary_Calculation[[#This Row],[Source Row]])))</f>
        <v/>
      </c>
      <c r="B179" s="162" t="str">
        <f aca="false">IF(Salary_Calculation[[#This Row],[Source Row]]="","",IF(INDEX(Rider_Input[Rider ID],Salary_Calculation[[#This Row],[Source Row]])="","",INDEX(Rider_Input[Rider ID],Salary_Calculation[[#This Row],[Source Row]])))</f>
        <v/>
      </c>
      <c r="C179" s="163" t="str">
        <f aca="false">IF(Salary_Calculation[[#This Row],[Source Row]]="","",IF(INDEX(Rider_Input[Rider Name],Salary_Calculation[[#This Row],[Source Row]])="","",INDEX(Rider_Input[Rider Name],Salary_Calculation[[#This Row],[Source Row]])))</f>
        <v/>
      </c>
      <c r="D179" s="164" t="str">
        <f aca="false">IF(Salary_Calculation[[#This Row],[Source Row]]="","",IF(INDEX(Rider_Input[Basic Payment],Salary_Calculation[[#This Row],[Source Row]])="","",INDEX(Rider_Input[Basic Payment],Salary_Calculation[[#This Row],[Source Row]])))</f>
        <v/>
      </c>
      <c r="E179" s="162" t="str">
        <f aca="false">IF(Salary_Calculation[[#This Row],[Source Row]]="","",IF(INDEX(Rider_Input[Calendar Days in Month],Salary_Calculation[[#This Row],[Source Row]])="","",INDEX(Rider_Input[Calendar Days in Month],Salary_Calculation[[#This Row],[Source Row]])))</f>
        <v/>
      </c>
      <c r="F179" s="162" t="str">
        <f aca="false">IF(Salary_Calculation[[#This Row],[Source Row]]="","",IF(INDEX(Rider_Input[Working Days],Salary_Calculation[[#This Row],[Source Row]])="","",INDEX(Rider_Input[Working Days],Salary_Calculation[[#This Row],[Source Row]])))</f>
        <v/>
      </c>
      <c r="G179" s="165" t="str">
        <f aca="false">IF(Salary_Calculation[[#This Row],[Source Row]]="","",Std_Orders/Std_Days*N(Salary_Calculation[[#This Row],[Calendar Days]]))</f>
        <v/>
      </c>
      <c r="H179" s="165" t="str">
        <f aca="false">IF(Salary_Calculation[[#This Row],[Source Row]]="","",IF(N(Salary_Calculation[[#This Row],[Calendar Days]])&gt;0,Salary_Calculation[[#This Row],[Monthly Target Orders]]/N(Salary_Calculation[[#This Row],[Calendar Days]])*N(Salary_Calculation[[#This Row],[Working Days]]),0))</f>
        <v/>
      </c>
      <c r="I179" s="166" t="str">
        <f aca="false">IF(Salary_Calculation[[#This Row],[Source Row]]="","",IF(INDEX(Rider_Input[Completed Orders],Salary_Calculation[[#This Row],[Source Row]])="","",INDEX(Rider_Input[Completed Orders],Salary_Calculation[[#This Row],[Source Row]])))</f>
        <v/>
      </c>
      <c r="J179" s="165" t="str">
        <f aca="false">IF(Salary_Calculation[[#This Row],[Source Row]]="","",IF(Rate_Method="Fixed rate",Fixed_Rate,IF(N(Salary_Calculation[[#This Row],[Basic Payment]])&gt;0,N(Salary_Calculation[[#This Row],[Basic Payment]])/Std_Orders,0)))</f>
        <v/>
      </c>
      <c r="K179" s="165" t="str">
        <f aca="false">IF(Salary_Calculation[[#This Row],[Source Row]]="","",MAX(MIN(N(Salary_Calculation[[#This Row],[Completed Orders]]),Salary_Calculation[[#This Row],[Rider Target Orders]]),0))</f>
        <v/>
      </c>
      <c r="L179" s="164" t="str">
        <f aca="false">IF(Salary_Calculation[[#This Row],[Source Row]]="","",Salary_Calculation[[#This Row],[Orders Counted at Base Rate]]*Salary_Calculation[[#This Row],[Base Order Rate]])</f>
        <v/>
      </c>
      <c r="M179" s="165" t="str">
        <f aca="false">IF(Salary_Calculation[[#This Row],[Source Row]]="","",MAX(Salary_Calculation[[#This Row],[Rider Target Orders]]-N(Salary_Calculation[[#This Row],[Completed Orders]]),0))</f>
        <v/>
      </c>
      <c r="N179" s="164" t="str">
        <f aca="false">IF(Salary_Calculation[[#This Row],[Source Row]]="","",Salary_Calculation[[#This Row],[Missing Orders]]*Missing_Rate)</f>
        <v/>
      </c>
      <c r="O179" s="165" t="str">
        <f aca="false">IF(Salary_Calculation[[#This Row],[Source Row]]="","",MAX(N(Salary_Calculation[[#This Row],[Completed Orders]])-Salary_Calculation[[#This Row],[Rider Target Orders]],0))</f>
        <v/>
      </c>
      <c r="P179" s="164" t="str">
        <f aca="false">IF(Salary_Calculation[[#This Row],[Source Row]]="","",Salary_Calculation[[#This Row],[Extra Orders]]*Extra_Rate)</f>
        <v/>
      </c>
      <c r="Q179" s="164" t="str">
        <f aca="false">IF(Salary_Calculation[[#This Row],[Source Row]]="","",MAX(Salary_Calculation[[#This Row],[Salary Before Other Deductions]],0))</f>
        <v/>
      </c>
      <c r="R179" s="164" t="str">
        <f aca="false">IF(Salary_Calculation[[#This Row],[Source Row]]="","",N(INDEX(Rider_Input[missed_days_penalty],Salary_Calculation[[#This Row],[Source Row]])))</f>
        <v/>
      </c>
      <c r="S179" s="164" t="str">
        <f aca="false">IF(Salary_Calculation[[#This Row],[Source Row]]="","",N(INDEX(Rider_Input[Rider Balance / محفظة المندوب],Salary_Calculation[[#This Row],[Source Row]])))</f>
        <v/>
      </c>
      <c r="T179" s="164" t="str">
        <f aca="false">IF(Salary_Calculation[[#This Row],[Source Row]]="","",N(INDEX(Rider_Input[stacking_deduction / خصم الطلبات المتعددة],Salary_Calculation[[#This Row],[Source Row]])))</f>
        <v/>
      </c>
      <c r="U179" s="164" t="str">
        <f aca="false">IF(Salary_Calculation[[#This Row],[Source Row]]="","",N(INDEX(Rider_Input[Other Deductions],Salary_Calculation[[#This Row],[Source Row]])))</f>
        <v/>
      </c>
      <c r="V179" s="164" t="str">
        <f aca="false">IF(Salary_Calculation[[#This Row],[Source Row]]="","",N(Salary_Calculation[[#This Row],[missed_days_penalty]])+N(Salary_Calculation[[#This Row],[Rider Balance]])+N(Salary_Calculation[[#This Row],[stacking_deduction]])+N(Salary_Calculation[[#This Row],[Other Deductions]]))</f>
        <v/>
      </c>
      <c r="W179" s="167" t="str">
        <f aca="false">IF(Salary_Calculation[[#This Row],[Source Row]]="","",ROUND(MAX(Salary_Calculation[[#This Row],[Gross Salary Before Deductions]]-Salary_Calculation[[#This Row],[Total Deductions]],0),2))</f>
        <v/>
      </c>
      <c r="X179" s="164" t="str">
        <f aca="false">IF(Salary_Calculation[[#This Row],[Source Row]]="","",ROUND(MAX(Salary_Calculation[[#This Row],[Missing-Order Deduction]]-Salary_Calculation[[#This Row],[Earned Salary]],0),2))</f>
        <v/>
      </c>
      <c r="Y17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79" s="163" t="str">
        <f aca="false">IF(Salary_Calculation[[#This Row],[Source Row]]="","",IF(INDEX(Rider_Input[Notes],Salary_Calculation[[#This Row],[Source Row]])="","",INDEX(Rider_Input[Notes],Salary_Calculation[[#This Row],[Source Row]])))</f>
        <v/>
      </c>
      <c r="AA179" s="164" t="str">
        <f aca="false">IF(Salary_Calculation[[#This Row],[Source Row]]="","",Salary_Calculation[[#This Row],[Earned Salary]]-Salary_Calculation[[#This Row],[Missing-Order Deduction]]+Salary_Calculation[[#This Row],[Extra-Order Bonus]])</f>
        <v/>
      </c>
      <c r="AB179" s="164" t="str">
        <f aca="false">IF(Salary_Calculation[[#This Row],[Source Row]]="","",ROUND(Salary_Calculation[[#This Row],[Negative Balance / Amount Due from Rider]]+MAX(Salary_Calculation[[#This Row],[Total Deductions]]-Salary_Calculation[[#This Row],[Gross Salary Before Deductions]],0),2))</f>
        <v/>
      </c>
      <c r="AC17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79" s="164" t="str">
        <f aca="false">IF(Salary_Calculation[[#This Row],[Source Row]]="","",Salary_Calculation[[#This Row],[Rider Target Orders]]*Salary_Calculation[[#This Row],[Base Order Rate]])</f>
        <v/>
      </c>
      <c r="AE179" s="162" t="str">
        <f aca="false">IF(SUMPRODUCT(--(LEN(INDEX(Rider_Input[#Data],ROW()-ROW(Salary_Calculation[#Headers]),0))&gt;0))=0,"",ROW()-ROW(Salary_Calculation[#Headers]))</f>
        <v/>
      </c>
    </row>
    <row r="180" customFormat="false" ht="14.25" hidden="false" customHeight="false" outlineLevel="0" collapsed="false">
      <c r="A180" s="161" t="str">
        <f aca="false">IF(Salary_Calculation[[#This Row],[Source Row]]="","",IF(INDEX(Rider_Input[Salary Month],Salary_Calculation[[#This Row],[Source Row]])="","",INDEX(Rider_Input[Salary Month],Salary_Calculation[[#This Row],[Source Row]])))</f>
        <v/>
      </c>
      <c r="B180" s="162" t="str">
        <f aca="false">IF(Salary_Calculation[[#This Row],[Source Row]]="","",IF(INDEX(Rider_Input[Rider ID],Salary_Calculation[[#This Row],[Source Row]])="","",INDEX(Rider_Input[Rider ID],Salary_Calculation[[#This Row],[Source Row]])))</f>
        <v/>
      </c>
      <c r="C180" s="163" t="str">
        <f aca="false">IF(Salary_Calculation[[#This Row],[Source Row]]="","",IF(INDEX(Rider_Input[Rider Name],Salary_Calculation[[#This Row],[Source Row]])="","",INDEX(Rider_Input[Rider Name],Salary_Calculation[[#This Row],[Source Row]])))</f>
        <v/>
      </c>
      <c r="D180" s="164" t="str">
        <f aca="false">IF(Salary_Calculation[[#This Row],[Source Row]]="","",IF(INDEX(Rider_Input[Basic Payment],Salary_Calculation[[#This Row],[Source Row]])="","",INDEX(Rider_Input[Basic Payment],Salary_Calculation[[#This Row],[Source Row]])))</f>
        <v/>
      </c>
      <c r="E180" s="162" t="str">
        <f aca="false">IF(Salary_Calculation[[#This Row],[Source Row]]="","",IF(INDEX(Rider_Input[Calendar Days in Month],Salary_Calculation[[#This Row],[Source Row]])="","",INDEX(Rider_Input[Calendar Days in Month],Salary_Calculation[[#This Row],[Source Row]])))</f>
        <v/>
      </c>
      <c r="F180" s="162" t="str">
        <f aca="false">IF(Salary_Calculation[[#This Row],[Source Row]]="","",IF(INDEX(Rider_Input[Working Days],Salary_Calculation[[#This Row],[Source Row]])="","",INDEX(Rider_Input[Working Days],Salary_Calculation[[#This Row],[Source Row]])))</f>
        <v/>
      </c>
      <c r="G180" s="165" t="str">
        <f aca="false">IF(Salary_Calculation[[#This Row],[Source Row]]="","",Std_Orders/Std_Days*N(Salary_Calculation[[#This Row],[Calendar Days]]))</f>
        <v/>
      </c>
      <c r="H180" s="165" t="str">
        <f aca="false">IF(Salary_Calculation[[#This Row],[Source Row]]="","",IF(N(Salary_Calculation[[#This Row],[Calendar Days]])&gt;0,Salary_Calculation[[#This Row],[Monthly Target Orders]]/N(Salary_Calculation[[#This Row],[Calendar Days]])*N(Salary_Calculation[[#This Row],[Working Days]]),0))</f>
        <v/>
      </c>
      <c r="I180" s="166" t="str">
        <f aca="false">IF(Salary_Calculation[[#This Row],[Source Row]]="","",IF(INDEX(Rider_Input[Completed Orders],Salary_Calculation[[#This Row],[Source Row]])="","",INDEX(Rider_Input[Completed Orders],Salary_Calculation[[#This Row],[Source Row]])))</f>
        <v/>
      </c>
      <c r="J180" s="165" t="str">
        <f aca="false">IF(Salary_Calculation[[#This Row],[Source Row]]="","",IF(Rate_Method="Fixed rate",Fixed_Rate,IF(N(Salary_Calculation[[#This Row],[Basic Payment]])&gt;0,N(Salary_Calculation[[#This Row],[Basic Payment]])/Std_Orders,0)))</f>
        <v/>
      </c>
      <c r="K180" s="165" t="str">
        <f aca="false">IF(Salary_Calculation[[#This Row],[Source Row]]="","",MAX(MIN(N(Salary_Calculation[[#This Row],[Completed Orders]]),Salary_Calculation[[#This Row],[Rider Target Orders]]),0))</f>
        <v/>
      </c>
      <c r="L180" s="164" t="str">
        <f aca="false">IF(Salary_Calculation[[#This Row],[Source Row]]="","",Salary_Calculation[[#This Row],[Orders Counted at Base Rate]]*Salary_Calculation[[#This Row],[Base Order Rate]])</f>
        <v/>
      </c>
      <c r="M180" s="165" t="str">
        <f aca="false">IF(Salary_Calculation[[#This Row],[Source Row]]="","",MAX(Salary_Calculation[[#This Row],[Rider Target Orders]]-N(Salary_Calculation[[#This Row],[Completed Orders]]),0))</f>
        <v/>
      </c>
      <c r="N180" s="164" t="str">
        <f aca="false">IF(Salary_Calculation[[#This Row],[Source Row]]="","",Salary_Calculation[[#This Row],[Missing Orders]]*Missing_Rate)</f>
        <v/>
      </c>
      <c r="O180" s="165" t="str">
        <f aca="false">IF(Salary_Calculation[[#This Row],[Source Row]]="","",MAX(N(Salary_Calculation[[#This Row],[Completed Orders]])-Salary_Calculation[[#This Row],[Rider Target Orders]],0))</f>
        <v/>
      </c>
      <c r="P180" s="164" t="str">
        <f aca="false">IF(Salary_Calculation[[#This Row],[Source Row]]="","",Salary_Calculation[[#This Row],[Extra Orders]]*Extra_Rate)</f>
        <v/>
      </c>
      <c r="Q180" s="164" t="str">
        <f aca="false">IF(Salary_Calculation[[#This Row],[Source Row]]="","",MAX(Salary_Calculation[[#This Row],[Salary Before Other Deductions]],0))</f>
        <v/>
      </c>
      <c r="R180" s="164" t="str">
        <f aca="false">IF(Salary_Calculation[[#This Row],[Source Row]]="","",N(INDEX(Rider_Input[missed_days_penalty],Salary_Calculation[[#This Row],[Source Row]])))</f>
        <v/>
      </c>
      <c r="S180" s="164" t="str">
        <f aca="false">IF(Salary_Calculation[[#This Row],[Source Row]]="","",N(INDEX(Rider_Input[Rider Balance / محفظة المندوب],Salary_Calculation[[#This Row],[Source Row]])))</f>
        <v/>
      </c>
      <c r="T180" s="164" t="str">
        <f aca="false">IF(Salary_Calculation[[#This Row],[Source Row]]="","",N(INDEX(Rider_Input[stacking_deduction / خصم الطلبات المتعددة],Salary_Calculation[[#This Row],[Source Row]])))</f>
        <v/>
      </c>
      <c r="U180" s="164" t="str">
        <f aca="false">IF(Salary_Calculation[[#This Row],[Source Row]]="","",N(INDEX(Rider_Input[Other Deductions],Salary_Calculation[[#This Row],[Source Row]])))</f>
        <v/>
      </c>
      <c r="V180" s="164" t="str">
        <f aca="false">IF(Salary_Calculation[[#This Row],[Source Row]]="","",N(Salary_Calculation[[#This Row],[missed_days_penalty]])+N(Salary_Calculation[[#This Row],[Rider Balance]])+N(Salary_Calculation[[#This Row],[stacking_deduction]])+N(Salary_Calculation[[#This Row],[Other Deductions]]))</f>
        <v/>
      </c>
      <c r="W180" s="167" t="str">
        <f aca="false">IF(Salary_Calculation[[#This Row],[Source Row]]="","",ROUND(MAX(Salary_Calculation[[#This Row],[Gross Salary Before Deductions]]-Salary_Calculation[[#This Row],[Total Deductions]],0),2))</f>
        <v/>
      </c>
      <c r="X180" s="164" t="str">
        <f aca="false">IF(Salary_Calculation[[#This Row],[Source Row]]="","",ROUND(MAX(Salary_Calculation[[#This Row],[Missing-Order Deduction]]-Salary_Calculation[[#This Row],[Earned Salary]],0),2))</f>
        <v/>
      </c>
      <c r="Y18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80" s="163" t="str">
        <f aca="false">IF(Salary_Calculation[[#This Row],[Source Row]]="","",IF(INDEX(Rider_Input[Notes],Salary_Calculation[[#This Row],[Source Row]])="","",INDEX(Rider_Input[Notes],Salary_Calculation[[#This Row],[Source Row]])))</f>
        <v/>
      </c>
      <c r="AA180" s="164" t="str">
        <f aca="false">IF(Salary_Calculation[[#This Row],[Source Row]]="","",Salary_Calculation[[#This Row],[Earned Salary]]-Salary_Calculation[[#This Row],[Missing-Order Deduction]]+Salary_Calculation[[#This Row],[Extra-Order Bonus]])</f>
        <v/>
      </c>
      <c r="AB180" s="164" t="str">
        <f aca="false">IF(Salary_Calculation[[#This Row],[Source Row]]="","",ROUND(Salary_Calculation[[#This Row],[Negative Balance / Amount Due from Rider]]+MAX(Salary_Calculation[[#This Row],[Total Deductions]]-Salary_Calculation[[#This Row],[Gross Salary Before Deductions]],0),2))</f>
        <v/>
      </c>
      <c r="AC18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80" s="164" t="str">
        <f aca="false">IF(Salary_Calculation[[#This Row],[Source Row]]="","",Salary_Calculation[[#This Row],[Rider Target Orders]]*Salary_Calculation[[#This Row],[Base Order Rate]])</f>
        <v/>
      </c>
      <c r="AE180" s="162" t="str">
        <f aca="false">IF(SUMPRODUCT(--(LEN(INDEX(Rider_Input[#Data],ROW()-ROW(Salary_Calculation[#Headers]),0))&gt;0))=0,"",ROW()-ROW(Salary_Calculation[#Headers]))</f>
        <v/>
      </c>
    </row>
    <row r="181" customFormat="false" ht="14.25" hidden="false" customHeight="false" outlineLevel="0" collapsed="false">
      <c r="A181" s="161" t="str">
        <f aca="false">IF(Salary_Calculation[[#This Row],[Source Row]]="","",IF(INDEX(Rider_Input[Salary Month],Salary_Calculation[[#This Row],[Source Row]])="","",INDEX(Rider_Input[Salary Month],Salary_Calculation[[#This Row],[Source Row]])))</f>
        <v/>
      </c>
      <c r="B181" s="162" t="str">
        <f aca="false">IF(Salary_Calculation[[#This Row],[Source Row]]="","",IF(INDEX(Rider_Input[Rider ID],Salary_Calculation[[#This Row],[Source Row]])="","",INDEX(Rider_Input[Rider ID],Salary_Calculation[[#This Row],[Source Row]])))</f>
        <v/>
      </c>
      <c r="C181" s="163" t="str">
        <f aca="false">IF(Salary_Calculation[[#This Row],[Source Row]]="","",IF(INDEX(Rider_Input[Rider Name],Salary_Calculation[[#This Row],[Source Row]])="","",INDEX(Rider_Input[Rider Name],Salary_Calculation[[#This Row],[Source Row]])))</f>
        <v/>
      </c>
      <c r="D181" s="164" t="str">
        <f aca="false">IF(Salary_Calculation[[#This Row],[Source Row]]="","",IF(INDEX(Rider_Input[Basic Payment],Salary_Calculation[[#This Row],[Source Row]])="","",INDEX(Rider_Input[Basic Payment],Salary_Calculation[[#This Row],[Source Row]])))</f>
        <v/>
      </c>
      <c r="E181" s="162" t="str">
        <f aca="false">IF(Salary_Calculation[[#This Row],[Source Row]]="","",IF(INDEX(Rider_Input[Calendar Days in Month],Salary_Calculation[[#This Row],[Source Row]])="","",INDEX(Rider_Input[Calendar Days in Month],Salary_Calculation[[#This Row],[Source Row]])))</f>
        <v/>
      </c>
      <c r="F181" s="162" t="str">
        <f aca="false">IF(Salary_Calculation[[#This Row],[Source Row]]="","",IF(INDEX(Rider_Input[Working Days],Salary_Calculation[[#This Row],[Source Row]])="","",INDEX(Rider_Input[Working Days],Salary_Calculation[[#This Row],[Source Row]])))</f>
        <v/>
      </c>
      <c r="G181" s="165" t="str">
        <f aca="false">IF(Salary_Calculation[[#This Row],[Source Row]]="","",Std_Orders/Std_Days*N(Salary_Calculation[[#This Row],[Calendar Days]]))</f>
        <v/>
      </c>
      <c r="H181" s="165" t="str">
        <f aca="false">IF(Salary_Calculation[[#This Row],[Source Row]]="","",IF(N(Salary_Calculation[[#This Row],[Calendar Days]])&gt;0,Salary_Calculation[[#This Row],[Monthly Target Orders]]/N(Salary_Calculation[[#This Row],[Calendar Days]])*N(Salary_Calculation[[#This Row],[Working Days]]),0))</f>
        <v/>
      </c>
      <c r="I181" s="166" t="str">
        <f aca="false">IF(Salary_Calculation[[#This Row],[Source Row]]="","",IF(INDEX(Rider_Input[Completed Orders],Salary_Calculation[[#This Row],[Source Row]])="","",INDEX(Rider_Input[Completed Orders],Salary_Calculation[[#This Row],[Source Row]])))</f>
        <v/>
      </c>
      <c r="J181" s="165" t="str">
        <f aca="false">IF(Salary_Calculation[[#This Row],[Source Row]]="","",IF(Rate_Method="Fixed rate",Fixed_Rate,IF(N(Salary_Calculation[[#This Row],[Basic Payment]])&gt;0,N(Salary_Calculation[[#This Row],[Basic Payment]])/Std_Orders,0)))</f>
        <v/>
      </c>
      <c r="K181" s="165" t="str">
        <f aca="false">IF(Salary_Calculation[[#This Row],[Source Row]]="","",MAX(MIN(N(Salary_Calculation[[#This Row],[Completed Orders]]),Salary_Calculation[[#This Row],[Rider Target Orders]]),0))</f>
        <v/>
      </c>
      <c r="L181" s="164" t="str">
        <f aca="false">IF(Salary_Calculation[[#This Row],[Source Row]]="","",Salary_Calculation[[#This Row],[Orders Counted at Base Rate]]*Salary_Calculation[[#This Row],[Base Order Rate]])</f>
        <v/>
      </c>
      <c r="M181" s="165" t="str">
        <f aca="false">IF(Salary_Calculation[[#This Row],[Source Row]]="","",MAX(Salary_Calculation[[#This Row],[Rider Target Orders]]-N(Salary_Calculation[[#This Row],[Completed Orders]]),0))</f>
        <v/>
      </c>
      <c r="N181" s="164" t="str">
        <f aca="false">IF(Salary_Calculation[[#This Row],[Source Row]]="","",Salary_Calculation[[#This Row],[Missing Orders]]*Missing_Rate)</f>
        <v/>
      </c>
      <c r="O181" s="165" t="str">
        <f aca="false">IF(Salary_Calculation[[#This Row],[Source Row]]="","",MAX(N(Salary_Calculation[[#This Row],[Completed Orders]])-Salary_Calculation[[#This Row],[Rider Target Orders]],0))</f>
        <v/>
      </c>
      <c r="P181" s="164" t="str">
        <f aca="false">IF(Salary_Calculation[[#This Row],[Source Row]]="","",Salary_Calculation[[#This Row],[Extra Orders]]*Extra_Rate)</f>
        <v/>
      </c>
      <c r="Q181" s="164" t="str">
        <f aca="false">IF(Salary_Calculation[[#This Row],[Source Row]]="","",MAX(Salary_Calculation[[#This Row],[Salary Before Other Deductions]],0))</f>
        <v/>
      </c>
      <c r="R181" s="164" t="str">
        <f aca="false">IF(Salary_Calculation[[#This Row],[Source Row]]="","",N(INDEX(Rider_Input[missed_days_penalty],Salary_Calculation[[#This Row],[Source Row]])))</f>
        <v/>
      </c>
      <c r="S181" s="164" t="str">
        <f aca="false">IF(Salary_Calculation[[#This Row],[Source Row]]="","",N(INDEX(Rider_Input[Rider Balance / محفظة المندوب],Salary_Calculation[[#This Row],[Source Row]])))</f>
        <v/>
      </c>
      <c r="T181" s="164" t="str">
        <f aca="false">IF(Salary_Calculation[[#This Row],[Source Row]]="","",N(INDEX(Rider_Input[stacking_deduction / خصم الطلبات المتعددة],Salary_Calculation[[#This Row],[Source Row]])))</f>
        <v/>
      </c>
      <c r="U181" s="164" t="str">
        <f aca="false">IF(Salary_Calculation[[#This Row],[Source Row]]="","",N(INDEX(Rider_Input[Other Deductions],Salary_Calculation[[#This Row],[Source Row]])))</f>
        <v/>
      </c>
      <c r="V181" s="164" t="str">
        <f aca="false">IF(Salary_Calculation[[#This Row],[Source Row]]="","",N(Salary_Calculation[[#This Row],[missed_days_penalty]])+N(Salary_Calculation[[#This Row],[Rider Balance]])+N(Salary_Calculation[[#This Row],[stacking_deduction]])+N(Salary_Calculation[[#This Row],[Other Deductions]]))</f>
        <v/>
      </c>
      <c r="W181" s="167" t="str">
        <f aca="false">IF(Salary_Calculation[[#This Row],[Source Row]]="","",ROUND(MAX(Salary_Calculation[[#This Row],[Gross Salary Before Deductions]]-Salary_Calculation[[#This Row],[Total Deductions]],0),2))</f>
        <v/>
      </c>
      <c r="X181" s="164" t="str">
        <f aca="false">IF(Salary_Calculation[[#This Row],[Source Row]]="","",ROUND(MAX(Salary_Calculation[[#This Row],[Missing-Order Deduction]]-Salary_Calculation[[#This Row],[Earned Salary]],0),2))</f>
        <v/>
      </c>
      <c r="Y18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81" s="163" t="str">
        <f aca="false">IF(Salary_Calculation[[#This Row],[Source Row]]="","",IF(INDEX(Rider_Input[Notes],Salary_Calculation[[#This Row],[Source Row]])="","",INDEX(Rider_Input[Notes],Salary_Calculation[[#This Row],[Source Row]])))</f>
        <v/>
      </c>
      <c r="AA181" s="164" t="str">
        <f aca="false">IF(Salary_Calculation[[#This Row],[Source Row]]="","",Salary_Calculation[[#This Row],[Earned Salary]]-Salary_Calculation[[#This Row],[Missing-Order Deduction]]+Salary_Calculation[[#This Row],[Extra-Order Bonus]])</f>
        <v/>
      </c>
      <c r="AB181" s="164" t="str">
        <f aca="false">IF(Salary_Calculation[[#This Row],[Source Row]]="","",ROUND(Salary_Calculation[[#This Row],[Negative Balance / Amount Due from Rider]]+MAX(Salary_Calculation[[#This Row],[Total Deductions]]-Salary_Calculation[[#This Row],[Gross Salary Before Deductions]],0),2))</f>
        <v/>
      </c>
      <c r="AC18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81" s="164" t="str">
        <f aca="false">IF(Salary_Calculation[[#This Row],[Source Row]]="","",Salary_Calculation[[#This Row],[Rider Target Orders]]*Salary_Calculation[[#This Row],[Base Order Rate]])</f>
        <v/>
      </c>
      <c r="AE181" s="162" t="str">
        <f aca="false">IF(SUMPRODUCT(--(LEN(INDEX(Rider_Input[#Data],ROW()-ROW(Salary_Calculation[#Headers]),0))&gt;0))=0,"",ROW()-ROW(Salary_Calculation[#Headers]))</f>
        <v/>
      </c>
    </row>
    <row r="182" customFormat="false" ht="14.25" hidden="false" customHeight="false" outlineLevel="0" collapsed="false">
      <c r="A182" s="161" t="str">
        <f aca="false">IF(Salary_Calculation[[#This Row],[Source Row]]="","",IF(INDEX(Rider_Input[Salary Month],Salary_Calculation[[#This Row],[Source Row]])="","",INDEX(Rider_Input[Salary Month],Salary_Calculation[[#This Row],[Source Row]])))</f>
        <v/>
      </c>
      <c r="B182" s="162" t="str">
        <f aca="false">IF(Salary_Calculation[[#This Row],[Source Row]]="","",IF(INDEX(Rider_Input[Rider ID],Salary_Calculation[[#This Row],[Source Row]])="","",INDEX(Rider_Input[Rider ID],Salary_Calculation[[#This Row],[Source Row]])))</f>
        <v/>
      </c>
      <c r="C182" s="163" t="str">
        <f aca="false">IF(Salary_Calculation[[#This Row],[Source Row]]="","",IF(INDEX(Rider_Input[Rider Name],Salary_Calculation[[#This Row],[Source Row]])="","",INDEX(Rider_Input[Rider Name],Salary_Calculation[[#This Row],[Source Row]])))</f>
        <v/>
      </c>
      <c r="D182" s="164" t="str">
        <f aca="false">IF(Salary_Calculation[[#This Row],[Source Row]]="","",IF(INDEX(Rider_Input[Basic Payment],Salary_Calculation[[#This Row],[Source Row]])="","",INDEX(Rider_Input[Basic Payment],Salary_Calculation[[#This Row],[Source Row]])))</f>
        <v/>
      </c>
      <c r="E182" s="162" t="str">
        <f aca="false">IF(Salary_Calculation[[#This Row],[Source Row]]="","",IF(INDEX(Rider_Input[Calendar Days in Month],Salary_Calculation[[#This Row],[Source Row]])="","",INDEX(Rider_Input[Calendar Days in Month],Salary_Calculation[[#This Row],[Source Row]])))</f>
        <v/>
      </c>
      <c r="F182" s="162" t="str">
        <f aca="false">IF(Salary_Calculation[[#This Row],[Source Row]]="","",IF(INDEX(Rider_Input[Working Days],Salary_Calculation[[#This Row],[Source Row]])="","",INDEX(Rider_Input[Working Days],Salary_Calculation[[#This Row],[Source Row]])))</f>
        <v/>
      </c>
      <c r="G182" s="165" t="str">
        <f aca="false">IF(Salary_Calculation[[#This Row],[Source Row]]="","",Std_Orders/Std_Days*N(Salary_Calculation[[#This Row],[Calendar Days]]))</f>
        <v/>
      </c>
      <c r="H182" s="165" t="str">
        <f aca="false">IF(Salary_Calculation[[#This Row],[Source Row]]="","",IF(N(Salary_Calculation[[#This Row],[Calendar Days]])&gt;0,Salary_Calculation[[#This Row],[Monthly Target Orders]]/N(Salary_Calculation[[#This Row],[Calendar Days]])*N(Salary_Calculation[[#This Row],[Working Days]]),0))</f>
        <v/>
      </c>
      <c r="I182" s="166" t="str">
        <f aca="false">IF(Salary_Calculation[[#This Row],[Source Row]]="","",IF(INDEX(Rider_Input[Completed Orders],Salary_Calculation[[#This Row],[Source Row]])="","",INDEX(Rider_Input[Completed Orders],Salary_Calculation[[#This Row],[Source Row]])))</f>
        <v/>
      </c>
      <c r="J182" s="165" t="str">
        <f aca="false">IF(Salary_Calculation[[#This Row],[Source Row]]="","",IF(Rate_Method="Fixed rate",Fixed_Rate,IF(N(Salary_Calculation[[#This Row],[Basic Payment]])&gt;0,N(Salary_Calculation[[#This Row],[Basic Payment]])/Std_Orders,0)))</f>
        <v/>
      </c>
      <c r="K182" s="165" t="str">
        <f aca="false">IF(Salary_Calculation[[#This Row],[Source Row]]="","",MAX(MIN(N(Salary_Calculation[[#This Row],[Completed Orders]]),Salary_Calculation[[#This Row],[Rider Target Orders]]),0))</f>
        <v/>
      </c>
      <c r="L182" s="164" t="str">
        <f aca="false">IF(Salary_Calculation[[#This Row],[Source Row]]="","",Salary_Calculation[[#This Row],[Orders Counted at Base Rate]]*Salary_Calculation[[#This Row],[Base Order Rate]])</f>
        <v/>
      </c>
      <c r="M182" s="165" t="str">
        <f aca="false">IF(Salary_Calculation[[#This Row],[Source Row]]="","",MAX(Salary_Calculation[[#This Row],[Rider Target Orders]]-N(Salary_Calculation[[#This Row],[Completed Orders]]),0))</f>
        <v/>
      </c>
      <c r="N182" s="164" t="str">
        <f aca="false">IF(Salary_Calculation[[#This Row],[Source Row]]="","",Salary_Calculation[[#This Row],[Missing Orders]]*Missing_Rate)</f>
        <v/>
      </c>
      <c r="O182" s="165" t="str">
        <f aca="false">IF(Salary_Calculation[[#This Row],[Source Row]]="","",MAX(N(Salary_Calculation[[#This Row],[Completed Orders]])-Salary_Calculation[[#This Row],[Rider Target Orders]],0))</f>
        <v/>
      </c>
      <c r="P182" s="164" t="str">
        <f aca="false">IF(Salary_Calculation[[#This Row],[Source Row]]="","",Salary_Calculation[[#This Row],[Extra Orders]]*Extra_Rate)</f>
        <v/>
      </c>
      <c r="Q182" s="164" t="str">
        <f aca="false">IF(Salary_Calculation[[#This Row],[Source Row]]="","",MAX(Salary_Calculation[[#This Row],[Salary Before Other Deductions]],0))</f>
        <v/>
      </c>
      <c r="R182" s="164" t="str">
        <f aca="false">IF(Salary_Calculation[[#This Row],[Source Row]]="","",N(INDEX(Rider_Input[missed_days_penalty],Salary_Calculation[[#This Row],[Source Row]])))</f>
        <v/>
      </c>
      <c r="S182" s="164" t="str">
        <f aca="false">IF(Salary_Calculation[[#This Row],[Source Row]]="","",N(INDEX(Rider_Input[Rider Balance / محفظة المندوب],Salary_Calculation[[#This Row],[Source Row]])))</f>
        <v/>
      </c>
      <c r="T182" s="164" t="str">
        <f aca="false">IF(Salary_Calculation[[#This Row],[Source Row]]="","",N(INDEX(Rider_Input[stacking_deduction / خصم الطلبات المتعددة],Salary_Calculation[[#This Row],[Source Row]])))</f>
        <v/>
      </c>
      <c r="U182" s="164" t="str">
        <f aca="false">IF(Salary_Calculation[[#This Row],[Source Row]]="","",N(INDEX(Rider_Input[Other Deductions],Salary_Calculation[[#This Row],[Source Row]])))</f>
        <v/>
      </c>
      <c r="V182" s="164" t="str">
        <f aca="false">IF(Salary_Calculation[[#This Row],[Source Row]]="","",N(Salary_Calculation[[#This Row],[missed_days_penalty]])+N(Salary_Calculation[[#This Row],[Rider Balance]])+N(Salary_Calculation[[#This Row],[stacking_deduction]])+N(Salary_Calculation[[#This Row],[Other Deductions]]))</f>
        <v/>
      </c>
      <c r="W182" s="167" t="str">
        <f aca="false">IF(Salary_Calculation[[#This Row],[Source Row]]="","",ROUND(MAX(Salary_Calculation[[#This Row],[Gross Salary Before Deductions]]-Salary_Calculation[[#This Row],[Total Deductions]],0),2))</f>
        <v/>
      </c>
      <c r="X182" s="164" t="str">
        <f aca="false">IF(Salary_Calculation[[#This Row],[Source Row]]="","",ROUND(MAX(Salary_Calculation[[#This Row],[Missing-Order Deduction]]-Salary_Calculation[[#This Row],[Earned Salary]],0),2))</f>
        <v/>
      </c>
      <c r="Y18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82" s="163" t="str">
        <f aca="false">IF(Salary_Calculation[[#This Row],[Source Row]]="","",IF(INDEX(Rider_Input[Notes],Salary_Calculation[[#This Row],[Source Row]])="","",INDEX(Rider_Input[Notes],Salary_Calculation[[#This Row],[Source Row]])))</f>
        <v/>
      </c>
      <c r="AA182" s="164" t="str">
        <f aca="false">IF(Salary_Calculation[[#This Row],[Source Row]]="","",Salary_Calculation[[#This Row],[Earned Salary]]-Salary_Calculation[[#This Row],[Missing-Order Deduction]]+Salary_Calculation[[#This Row],[Extra-Order Bonus]])</f>
        <v/>
      </c>
      <c r="AB182" s="164" t="str">
        <f aca="false">IF(Salary_Calculation[[#This Row],[Source Row]]="","",ROUND(Salary_Calculation[[#This Row],[Negative Balance / Amount Due from Rider]]+MAX(Salary_Calculation[[#This Row],[Total Deductions]]-Salary_Calculation[[#This Row],[Gross Salary Before Deductions]],0),2))</f>
        <v/>
      </c>
      <c r="AC18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82" s="164" t="str">
        <f aca="false">IF(Salary_Calculation[[#This Row],[Source Row]]="","",Salary_Calculation[[#This Row],[Rider Target Orders]]*Salary_Calculation[[#This Row],[Base Order Rate]])</f>
        <v/>
      </c>
      <c r="AE182" s="162" t="str">
        <f aca="false">IF(SUMPRODUCT(--(LEN(INDEX(Rider_Input[#Data],ROW()-ROW(Salary_Calculation[#Headers]),0))&gt;0))=0,"",ROW()-ROW(Salary_Calculation[#Headers]))</f>
        <v/>
      </c>
    </row>
    <row r="183" customFormat="false" ht="14.25" hidden="false" customHeight="false" outlineLevel="0" collapsed="false">
      <c r="A183" s="161" t="str">
        <f aca="false">IF(Salary_Calculation[[#This Row],[Source Row]]="","",IF(INDEX(Rider_Input[Salary Month],Salary_Calculation[[#This Row],[Source Row]])="","",INDEX(Rider_Input[Salary Month],Salary_Calculation[[#This Row],[Source Row]])))</f>
        <v/>
      </c>
      <c r="B183" s="162" t="str">
        <f aca="false">IF(Salary_Calculation[[#This Row],[Source Row]]="","",IF(INDEX(Rider_Input[Rider ID],Salary_Calculation[[#This Row],[Source Row]])="","",INDEX(Rider_Input[Rider ID],Salary_Calculation[[#This Row],[Source Row]])))</f>
        <v/>
      </c>
      <c r="C183" s="163" t="str">
        <f aca="false">IF(Salary_Calculation[[#This Row],[Source Row]]="","",IF(INDEX(Rider_Input[Rider Name],Salary_Calculation[[#This Row],[Source Row]])="","",INDEX(Rider_Input[Rider Name],Salary_Calculation[[#This Row],[Source Row]])))</f>
        <v/>
      </c>
      <c r="D183" s="164" t="str">
        <f aca="false">IF(Salary_Calculation[[#This Row],[Source Row]]="","",IF(INDEX(Rider_Input[Basic Payment],Salary_Calculation[[#This Row],[Source Row]])="","",INDEX(Rider_Input[Basic Payment],Salary_Calculation[[#This Row],[Source Row]])))</f>
        <v/>
      </c>
      <c r="E183" s="162" t="str">
        <f aca="false">IF(Salary_Calculation[[#This Row],[Source Row]]="","",IF(INDEX(Rider_Input[Calendar Days in Month],Salary_Calculation[[#This Row],[Source Row]])="","",INDEX(Rider_Input[Calendar Days in Month],Salary_Calculation[[#This Row],[Source Row]])))</f>
        <v/>
      </c>
      <c r="F183" s="162" t="str">
        <f aca="false">IF(Salary_Calculation[[#This Row],[Source Row]]="","",IF(INDEX(Rider_Input[Working Days],Salary_Calculation[[#This Row],[Source Row]])="","",INDEX(Rider_Input[Working Days],Salary_Calculation[[#This Row],[Source Row]])))</f>
        <v/>
      </c>
      <c r="G183" s="165" t="str">
        <f aca="false">IF(Salary_Calculation[[#This Row],[Source Row]]="","",Std_Orders/Std_Days*N(Salary_Calculation[[#This Row],[Calendar Days]]))</f>
        <v/>
      </c>
      <c r="H183" s="165" t="str">
        <f aca="false">IF(Salary_Calculation[[#This Row],[Source Row]]="","",IF(N(Salary_Calculation[[#This Row],[Calendar Days]])&gt;0,Salary_Calculation[[#This Row],[Monthly Target Orders]]/N(Salary_Calculation[[#This Row],[Calendar Days]])*N(Salary_Calculation[[#This Row],[Working Days]]),0))</f>
        <v/>
      </c>
      <c r="I183" s="166" t="str">
        <f aca="false">IF(Salary_Calculation[[#This Row],[Source Row]]="","",IF(INDEX(Rider_Input[Completed Orders],Salary_Calculation[[#This Row],[Source Row]])="","",INDEX(Rider_Input[Completed Orders],Salary_Calculation[[#This Row],[Source Row]])))</f>
        <v/>
      </c>
      <c r="J183" s="165" t="str">
        <f aca="false">IF(Salary_Calculation[[#This Row],[Source Row]]="","",IF(Rate_Method="Fixed rate",Fixed_Rate,IF(N(Salary_Calculation[[#This Row],[Basic Payment]])&gt;0,N(Salary_Calculation[[#This Row],[Basic Payment]])/Std_Orders,0)))</f>
        <v/>
      </c>
      <c r="K183" s="165" t="str">
        <f aca="false">IF(Salary_Calculation[[#This Row],[Source Row]]="","",MAX(MIN(N(Salary_Calculation[[#This Row],[Completed Orders]]),Salary_Calculation[[#This Row],[Rider Target Orders]]),0))</f>
        <v/>
      </c>
      <c r="L183" s="164" t="str">
        <f aca="false">IF(Salary_Calculation[[#This Row],[Source Row]]="","",Salary_Calculation[[#This Row],[Orders Counted at Base Rate]]*Salary_Calculation[[#This Row],[Base Order Rate]])</f>
        <v/>
      </c>
      <c r="M183" s="165" t="str">
        <f aca="false">IF(Salary_Calculation[[#This Row],[Source Row]]="","",MAX(Salary_Calculation[[#This Row],[Rider Target Orders]]-N(Salary_Calculation[[#This Row],[Completed Orders]]),0))</f>
        <v/>
      </c>
      <c r="N183" s="164" t="str">
        <f aca="false">IF(Salary_Calculation[[#This Row],[Source Row]]="","",Salary_Calculation[[#This Row],[Missing Orders]]*Missing_Rate)</f>
        <v/>
      </c>
      <c r="O183" s="165" t="str">
        <f aca="false">IF(Salary_Calculation[[#This Row],[Source Row]]="","",MAX(N(Salary_Calculation[[#This Row],[Completed Orders]])-Salary_Calculation[[#This Row],[Rider Target Orders]],0))</f>
        <v/>
      </c>
      <c r="P183" s="164" t="str">
        <f aca="false">IF(Salary_Calculation[[#This Row],[Source Row]]="","",Salary_Calculation[[#This Row],[Extra Orders]]*Extra_Rate)</f>
        <v/>
      </c>
      <c r="Q183" s="164" t="str">
        <f aca="false">IF(Salary_Calculation[[#This Row],[Source Row]]="","",MAX(Salary_Calculation[[#This Row],[Salary Before Other Deductions]],0))</f>
        <v/>
      </c>
      <c r="R183" s="164" t="str">
        <f aca="false">IF(Salary_Calculation[[#This Row],[Source Row]]="","",N(INDEX(Rider_Input[missed_days_penalty],Salary_Calculation[[#This Row],[Source Row]])))</f>
        <v/>
      </c>
      <c r="S183" s="164" t="str">
        <f aca="false">IF(Salary_Calculation[[#This Row],[Source Row]]="","",N(INDEX(Rider_Input[Rider Balance / محفظة المندوب],Salary_Calculation[[#This Row],[Source Row]])))</f>
        <v/>
      </c>
      <c r="T183" s="164" t="str">
        <f aca="false">IF(Salary_Calculation[[#This Row],[Source Row]]="","",N(INDEX(Rider_Input[stacking_deduction / خصم الطلبات المتعددة],Salary_Calculation[[#This Row],[Source Row]])))</f>
        <v/>
      </c>
      <c r="U183" s="164" t="str">
        <f aca="false">IF(Salary_Calculation[[#This Row],[Source Row]]="","",N(INDEX(Rider_Input[Other Deductions],Salary_Calculation[[#This Row],[Source Row]])))</f>
        <v/>
      </c>
      <c r="V183" s="164" t="str">
        <f aca="false">IF(Salary_Calculation[[#This Row],[Source Row]]="","",N(Salary_Calculation[[#This Row],[missed_days_penalty]])+N(Salary_Calculation[[#This Row],[Rider Balance]])+N(Salary_Calculation[[#This Row],[stacking_deduction]])+N(Salary_Calculation[[#This Row],[Other Deductions]]))</f>
        <v/>
      </c>
      <c r="W183" s="167" t="str">
        <f aca="false">IF(Salary_Calculation[[#This Row],[Source Row]]="","",ROUND(MAX(Salary_Calculation[[#This Row],[Gross Salary Before Deductions]]-Salary_Calculation[[#This Row],[Total Deductions]],0),2))</f>
        <v/>
      </c>
      <c r="X183" s="164" t="str">
        <f aca="false">IF(Salary_Calculation[[#This Row],[Source Row]]="","",ROUND(MAX(Salary_Calculation[[#This Row],[Missing-Order Deduction]]-Salary_Calculation[[#This Row],[Earned Salary]],0),2))</f>
        <v/>
      </c>
      <c r="Y18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83" s="163" t="str">
        <f aca="false">IF(Salary_Calculation[[#This Row],[Source Row]]="","",IF(INDEX(Rider_Input[Notes],Salary_Calculation[[#This Row],[Source Row]])="","",INDEX(Rider_Input[Notes],Salary_Calculation[[#This Row],[Source Row]])))</f>
        <v/>
      </c>
      <c r="AA183" s="164" t="str">
        <f aca="false">IF(Salary_Calculation[[#This Row],[Source Row]]="","",Salary_Calculation[[#This Row],[Earned Salary]]-Salary_Calculation[[#This Row],[Missing-Order Deduction]]+Salary_Calculation[[#This Row],[Extra-Order Bonus]])</f>
        <v/>
      </c>
      <c r="AB183" s="164" t="str">
        <f aca="false">IF(Salary_Calculation[[#This Row],[Source Row]]="","",ROUND(Salary_Calculation[[#This Row],[Negative Balance / Amount Due from Rider]]+MAX(Salary_Calculation[[#This Row],[Total Deductions]]-Salary_Calculation[[#This Row],[Gross Salary Before Deductions]],0),2))</f>
        <v/>
      </c>
      <c r="AC18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83" s="164" t="str">
        <f aca="false">IF(Salary_Calculation[[#This Row],[Source Row]]="","",Salary_Calculation[[#This Row],[Rider Target Orders]]*Salary_Calculation[[#This Row],[Base Order Rate]])</f>
        <v/>
      </c>
      <c r="AE183" s="162" t="str">
        <f aca="false">IF(SUMPRODUCT(--(LEN(INDEX(Rider_Input[#Data],ROW()-ROW(Salary_Calculation[#Headers]),0))&gt;0))=0,"",ROW()-ROW(Salary_Calculation[#Headers]))</f>
        <v/>
      </c>
    </row>
    <row r="184" customFormat="false" ht="14.25" hidden="false" customHeight="false" outlineLevel="0" collapsed="false">
      <c r="A184" s="161" t="str">
        <f aca="false">IF(Salary_Calculation[[#This Row],[Source Row]]="","",IF(INDEX(Rider_Input[Salary Month],Salary_Calculation[[#This Row],[Source Row]])="","",INDEX(Rider_Input[Salary Month],Salary_Calculation[[#This Row],[Source Row]])))</f>
        <v/>
      </c>
      <c r="B184" s="162" t="str">
        <f aca="false">IF(Salary_Calculation[[#This Row],[Source Row]]="","",IF(INDEX(Rider_Input[Rider ID],Salary_Calculation[[#This Row],[Source Row]])="","",INDEX(Rider_Input[Rider ID],Salary_Calculation[[#This Row],[Source Row]])))</f>
        <v/>
      </c>
      <c r="C184" s="163" t="str">
        <f aca="false">IF(Salary_Calculation[[#This Row],[Source Row]]="","",IF(INDEX(Rider_Input[Rider Name],Salary_Calculation[[#This Row],[Source Row]])="","",INDEX(Rider_Input[Rider Name],Salary_Calculation[[#This Row],[Source Row]])))</f>
        <v/>
      </c>
      <c r="D184" s="164" t="str">
        <f aca="false">IF(Salary_Calculation[[#This Row],[Source Row]]="","",IF(INDEX(Rider_Input[Basic Payment],Salary_Calculation[[#This Row],[Source Row]])="","",INDEX(Rider_Input[Basic Payment],Salary_Calculation[[#This Row],[Source Row]])))</f>
        <v/>
      </c>
      <c r="E184" s="162" t="str">
        <f aca="false">IF(Salary_Calculation[[#This Row],[Source Row]]="","",IF(INDEX(Rider_Input[Calendar Days in Month],Salary_Calculation[[#This Row],[Source Row]])="","",INDEX(Rider_Input[Calendar Days in Month],Salary_Calculation[[#This Row],[Source Row]])))</f>
        <v/>
      </c>
      <c r="F184" s="162" t="str">
        <f aca="false">IF(Salary_Calculation[[#This Row],[Source Row]]="","",IF(INDEX(Rider_Input[Working Days],Salary_Calculation[[#This Row],[Source Row]])="","",INDEX(Rider_Input[Working Days],Salary_Calculation[[#This Row],[Source Row]])))</f>
        <v/>
      </c>
      <c r="G184" s="165" t="str">
        <f aca="false">IF(Salary_Calculation[[#This Row],[Source Row]]="","",Std_Orders/Std_Days*N(Salary_Calculation[[#This Row],[Calendar Days]]))</f>
        <v/>
      </c>
      <c r="H184" s="165" t="str">
        <f aca="false">IF(Salary_Calculation[[#This Row],[Source Row]]="","",IF(N(Salary_Calculation[[#This Row],[Calendar Days]])&gt;0,Salary_Calculation[[#This Row],[Monthly Target Orders]]/N(Salary_Calculation[[#This Row],[Calendar Days]])*N(Salary_Calculation[[#This Row],[Working Days]]),0))</f>
        <v/>
      </c>
      <c r="I184" s="166" t="str">
        <f aca="false">IF(Salary_Calculation[[#This Row],[Source Row]]="","",IF(INDEX(Rider_Input[Completed Orders],Salary_Calculation[[#This Row],[Source Row]])="","",INDEX(Rider_Input[Completed Orders],Salary_Calculation[[#This Row],[Source Row]])))</f>
        <v/>
      </c>
      <c r="J184" s="165" t="str">
        <f aca="false">IF(Salary_Calculation[[#This Row],[Source Row]]="","",IF(Rate_Method="Fixed rate",Fixed_Rate,IF(N(Salary_Calculation[[#This Row],[Basic Payment]])&gt;0,N(Salary_Calculation[[#This Row],[Basic Payment]])/Std_Orders,0)))</f>
        <v/>
      </c>
      <c r="K184" s="165" t="str">
        <f aca="false">IF(Salary_Calculation[[#This Row],[Source Row]]="","",MAX(MIN(N(Salary_Calculation[[#This Row],[Completed Orders]]),Salary_Calculation[[#This Row],[Rider Target Orders]]),0))</f>
        <v/>
      </c>
      <c r="L184" s="164" t="str">
        <f aca="false">IF(Salary_Calculation[[#This Row],[Source Row]]="","",Salary_Calculation[[#This Row],[Orders Counted at Base Rate]]*Salary_Calculation[[#This Row],[Base Order Rate]])</f>
        <v/>
      </c>
      <c r="M184" s="165" t="str">
        <f aca="false">IF(Salary_Calculation[[#This Row],[Source Row]]="","",MAX(Salary_Calculation[[#This Row],[Rider Target Orders]]-N(Salary_Calculation[[#This Row],[Completed Orders]]),0))</f>
        <v/>
      </c>
      <c r="N184" s="164" t="str">
        <f aca="false">IF(Salary_Calculation[[#This Row],[Source Row]]="","",Salary_Calculation[[#This Row],[Missing Orders]]*Missing_Rate)</f>
        <v/>
      </c>
      <c r="O184" s="165" t="str">
        <f aca="false">IF(Salary_Calculation[[#This Row],[Source Row]]="","",MAX(N(Salary_Calculation[[#This Row],[Completed Orders]])-Salary_Calculation[[#This Row],[Rider Target Orders]],0))</f>
        <v/>
      </c>
      <c r="P184" s="164" t="str">
        <f aca="false">IF(Salary_Calculation[[#This Row],[Source Row]]="","",Salary_Calculation[[#This Row],[Extra Orders]]*Extra_Rate)</f>
        <v/>
      </c>
      <c r="Q184" s="164" t="str">
        <f aca="false">IF(Salary_Calculation[[#This Row],[Source Row]]="","",MAX(Salary_Calculation[[#This Row],[Salary Before Other Deductions]],0))</f>
        <v/>
      </c>
      <c r="R184" s="164" t="str">
        <f aca="false">IF(Salary_Calculation[[#This Row],[Source Row]]="","",N(INDEX(Rider_Input[missed_days_penalty],Salary_Calculation[[#This Row],[Source Row]])))</f>
        <v/>
      </c>
      <c r="S184" s="164" t="str">
        <f aca="false">IF(Salary_Calculation[[#This Row],[Source Row]]="","",N(INDEX(Rider_Input[Rider Balance / محفظة المندوب],Salary_Calculation[[#This Row],[Source Row]])))</f>
        <v/>
      </c>
      <c r="T184" s="164" t="str">
        <f aca="false">IF(Salary_Calculation[[#This Row],[Source Row]]="","",N(INDEX(Rider_Input[stacking_deduction / خصم الطلبات المتعددة],Salary_Calculation[[#This Row],[Source Row]])))</f>
        <v/>
      </c>
      <c r="U184" s="164" t="str">
        <f aca="false">IF(Salary_Calculation[[#This Row],[Source Row]]="","",N(INDEX(Rider_Input[Other Deductions],Salary_Calculation[[#This Row],[Source Row]])))</f>
        <v/>
      </c>
      <c r="V184" s="164" t="str">
        <f aca="false">IF(Salary_Calculation[[#This Row],[Source Row]]="","",N(Salary_Calculation[[#This Row],[missed_days_penalty]])+N(Salary_Calculation[[#This Row],[Rider Balance]])+N(Salary_Calculation[[#This Row],[stacking_deduction]])+N(Salary_Calculation[[#This Row],[Other Deductions]]))</f>
        <v/>
      </c>
      <c r="W184" s="167" t="str">
        <f aca="false">IF(Salary_Calculation[[#This Row],[Source Row]]="","",ROUND(MAX(Salary_Calculation[[#This Row],[Gross Salary Before Deductions]]-Salary_Calculation[[#This Row],[Total Deductions]],0),2))</f>
        <v/>
      </c>
      <c r="X184" s="164" t="str">
        <f aca="false">IF(Salary_Calculation[[#This Row],[Source Row]]="","",ROUND(MAX(Salary_Calculation[[#This Row],[Missing-Order Deduction]]-Salary_Calculation[[#This Row],[Earned Salary]],0),2))</f>
        <v/>
      </c>
      <c r="Y18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84" s="163" t="str">
        <f aca="false">IF(Salary_Calculation[[#This Row],[Source Row]]="","",IF(INDEX(Rider_Input[Notes],Salary_Calculation[[#This Row],[Source Row]])="","",INDEX(Rider_Input[Notes],Salary_Calculation[[#This Row],[Source Row]])))</f>
        <v/>
      </c>
      <c r="AA184" s="164" t="str">
        <f aca="false">IF(Salary_Calculation[[#This Row],[Source Row]]="","",Salary_Calculation[[#This Row],[Earned Salary]]-Salary_Calculation[[#This Row],[Missing-Order Deduction]]+Salary_Calculation[[#This Row],[Extra-Order Bonus]])</f>
        <v/>
      </c>
      <c r="AB184" s="164" t="str">
        <f aca="false">IF(Salary_Calculation[[#This Row],[Source Row]]="","",ROUND(Salary_Calculation[[#This Row],[Negative Balance / Amount Due from Rider]]+MAX(Salary_Calculation[[#This Row],[Total Deductions]]-Salary_Calculation[[#This Row],[Gross Salary Before Deductions]],0),2))</f>
        <v/>
      </c>
      <c r="AC18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84" s="164" t="str">
        <f aca="false">IF(Salary_Calculation[[#This Row],[Source Row]]="","",Salary_Calculation[[#This Row],[Rider Target Orders]]*Salary_Calculation[[#This Row],[Base Order Rate]])</f>
        <v/>
      </c>
      <c r="AE184" s="162" t="str">
        <f aca="false">IF(SUMPRODUCT(--(LEN(INDEX(Rider_Input[#Data],ROW()-ROW(Salary_Calculation[#Headers]),0))&gt;0))=0,"",ROW()-ROW(Salary_Calculation[#Headers]))</f>
        <v/>
      </c>
    </row>
    <row r="185" customFormat="false" ht="14.25" hidden="false" customHeight="false" outlineLevel="0" collapsed="false">
      <c r="A185" s="161" t="str">
        <f aca="false">IF(Salary_Calculation[[#This Row],[Source Row]]="","",IF(INDEX(Rider_Input[Salary Month],Salary_Calculation[[#This Row],[Source Row]])="","",INDEX(Rider_Input[Salary Month],Salary_Calculation[[#This Row],[Source Row]])))</f>
        <v/>
      </c>
      <c r="B185" s="162" t="str">
        <f aca="false">IF(Salary_Calculation[[#This Row],[Source Row]]="","",IF(INDEX(Rider_Input[Rider ID],Salary_Calculation[[#This Row],[Source Row]])="","",INDEX(Rider_Input[Rider ID],Salary_Calculation[[#This Row],[Source Row]])))</f>
        <v/>
      </c>
      <c r="C185" s="163" t="str">
        <f aca="false">IF(Salary_Calculation[[#This Row],[Source Row]]="","",IF(INDEX(Rider_Input[Rider Name],Salary_Calculation[[#This Row],[Source Row]])="","",INDEX(Rider_Input[Rider Name],Salary_Calculation[[#This Row],[Source Row]])))</f>
        <v/>
      </c>
      <c r="D185" s="164" t="str">
        <f aca="false">IF(Salary_Calculation[[#This Row],[Source Row]]="","",IF(INDEX(Rider_Input[Basic Payment],Salary_Calculation[[#This Row],[Source Row]])="","",INDEX(Rider_Input[Basic Payment],Salary_Calculation[[#This Row],[Source Row]])))</f>
        <v/>
      </c>
      <c r="E185" s="162" t="str">
        <f aca="false">IF(Salary_Calculation[[#This Row],[Source Row]]="","",IF(INDEX(Rider_Input[Calendar Days in Month],Salary_Calculation[[#This Row],[Source Row]])="","",INDEX(Rider_Input[Calendar Days in Month],Salary_Calculation[[#This Row],[Source Row]])))</f>
        <v/>
      </c>
      <c r="F185" s="162" t="str">
        <f aca="false">IF(Salary_Calculation[[#This Row],[Source Row]]="","",IF(INDEX(Rider_Input[Working Days],Salary_Calculation[[#This Row],[Source Row]])="","",INDEX(Rider_Input[Working Days],Salary_Calculation[[#This Row],[Source Row]])))</f>
        <v/>
      </c>
      <c r="G185" s="165" t="str">
        <f aca="false">IF(Salary_Calculation[[#This Row],[Source Row]]="","",Std_Orders/Std_Days*N(Salary_Calculation[[#This Row],[Calendar Days]]))</f>
        <v/>
      </c>
      <c r="H185" s="165" t="str">
        <f aca="false">IF(Salary_Calculation[[#This Row],[Source Row]]="","",IF(N(Salary_Calculation[[#This Row],[Calendar Days]])&gt;0,Salary_Calculation[[#This Row],[Monthly Target Orders]]/N(Salary_Calculation[[#This Row],[Calendar Days]])*N(Salary_Calculation[[#This Row],[Working Days]]),0))</f>
        <v/>
      </c>
      <c r="I185" s="166" t="str">
        <f aca="false">IF(Salary_Calculation[[#This Row],[Source Row]]="","",IF(INDEX(Rider_Input[Completed Orders],Salary_Calculation[[#This Row],[Source Row]])="","",INDEX(Rider_Input[Completed Orders],Salary_Calculation[[#This Row],[Source Row]])))</f>
        <v/>
      </c>
      <c r="J185" s="165" t="str">
        <f aca="false">IF(Salary_Calculation[[#This Row],[Source Row]]="","",IF(Rate_Method="Fixed rate",Fixed_Rate,IF(N(Salary_Calculation[[#This Row],[Basic Payment]])&gt;0,N(Salary_Calculation[[#This Row],[Basic Payment]])/Std_Orders,0)))</f>
        <v/>
      </c>
      <c r="K185" s="165" t="str">
        <f aca="false">IF(Salary_Calculation[[#This Row],[Source Row]]="","",MAX(MIN(N(Salary_Calculation[[#This Row],[Completed Orders]]),Salary_Calculation[[#This Row],[Rider Target Orders]]),0))</f>
        <v/>
      </c>
      <c r="L185" s="164" t="str">
        <f aca="false">IF(Salary_Calculation[[#This Row],[Source Row]]="","",Salary_Calculation[[#This Row],[Orders Counted at Base Rate]]*Salary_Calculation[[#This Row],[Base Order Rate]])</f>
        <v/>
      </c>
      <c r="M185" s="165" t="str">
        <f aca="false">IF(Salary_Calculation[[#This Row],[Source Row]]="","",MAX(Salary_Calculation[[#This Row],[Rider Target Orders]]-N(Salary_Calculation[[#This Row],[Completed Orders]]),0))</f>
        <v/>
      </c>
      <c r="N185" s="164" t="str">
        <f aca="false">IF(Salary_Calculation[[#This Row],[Source Row]]="","",Salary_Calculation[[#This Row],[Missing Orders]]*Missing_Rate)</f>
        <v/>
      </c>
      <c r="O185" s="165" t="str">
        <f aca="false">IF(Salary_Calculation[[#This Row],[Source Row]]="","",MAX(N(Salary_Calculation[[#This Row],[Completed Orders]])-Salary_Calculation[[#This Row],[Rider Target Orders]],0))</f>
        <v/>
      </c>
      <c r="P185" s="164" t="str">
        <f aca="false">IF(Salary_Calculation[[#This Row],[Source Row]]="","",Salary_Calculation[[#This Row],[Extra Orders]]*Extra_Rate)</f>
        <v/>
      </c>
      <c r="Q185" s="164" t="str">
        <f aca="false">IF(Salary_Calculation[[#This Row],[Source Row]]="","",MAX(Salary_Calculation[[#This Row],[Salary Before Other Deductions]],0))</f>
        <v/>
      </c>
      <c r="R185" s="164" t="str">
        <f aca="false">IF(Salary_Calculation[[#This Row],[Source Row]]="","",N(INDEX(Rider_Input[missed_days_penalty],Salary_Calculation[[#This Row],[Source Row]])))</f>
        <v/>
      </c>
      <c r="S185" s="164" t="str">
        <f aca="false">IF(Salary_Calculation[[#This Row],[Source Row]]="","",N(INDEX(Rider_Input[Rider Balance / محفظة المندوب],Salary_Calculation[[#This Row],[Source Row]])))</f>
        <v/>
      </c>
      <c r="T185" s="164" t="str">
        <f aca="false">IF(Salary_Calculation[[#This Row],[Source Row]]="","",N(INDEX(Rider_Input[stacking_deduction / خصم الطلبات المتعددة],Salary_Calculation[[#This Row],[Source Row]])))</f>
        <v/>
      </c>
      <c r="U185" s="164" t="str">
        <f aca="false">IF(Salary_Calculation[[#This Row],[Source Row]]="","",N(INDEX(Rider_Input[Other Deductions],Salary_Calculation[[#This Row],[Source Row]])))</f>
        <v/>
      </c>
      <c r="V185" s="164" t="str">
        <f aca="false">IF(Salary_Calculation[[#This Row],[Source Row]]="","",N(Salary_Calculation[[#This Row],[missed_days_penalty]])+N(Salary_Calculation[[#This Row],[Rider Balance]])+N(Salary_Calculation[[#This Row],[stacking_deduction]])+N(Salary_Calculation[[#This Row],[Other Deductions]]))</f>
        <v/>
      </c>
      <c r="W185" s="167" t="str">
        <f aca="false">IF(Salary_Calculation[[#This Row],[Source Row]]="","",ROUND(MAX(Salary_Calculation[[#This Row],[Gross Salary Before Deductions]]-Salary_Calculation[[#This Row],[Total Deductions]],0),2))</f>
        <v/>
      </c>
      <c r="X185" s="164" t="str">
        <f aca="false">IF(Salary_Calculation[[#This Row],[Source Row]]="","",ROUND(MAX(Salary_Calculation[[#This Row],[Missing-Order Deduction]]-Salary_Calculation[[#This Row],[Earned Salary]],0),2))</f>
        <v/>
      </c>
      <c r="Y18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85" s="163" t="str">
        <f aca="false">IF(Salary_Calculation[[#This Row],[Source Row]]="","",IF(INDEX(Rider_Input[Notes],Salary_Calculation[[#This Row],[Source Row]])="","",INDEX(Rider_Input[Notes],Salary_Calculation[[#This Row],[Source Row]])))</f>
        <v/>
      </c>
      <c r="AA185" s="164" t="str">
        <f aca="false">IF(Salary_Calculation[[#This Row],[Source Row]]="","",Salary_Calculation[[#This Row],[Earned Salary]]-Salary_Calculation[[#This Row],[Missing-Order Deduction]]+Salary_Calculation[[#This Row],[Extra-Order Bonus]])</f>
        <v/>
      </c>
      <c r="AB185" s="164" t="str">
        <f aca="false">IF(Salary_Calculation[[#This Row],[Source Row]]="","",ROUND(Salary_Calculation[[#This Row],[Negative Balance / Amount Due from Rider]]+MAX(Salary_Calculation[[#This Row],[Total Deductions]]-Salary_Calculation[[#This Row],[Gross Salary Before Deductions]],0),2))</f>
        <v/>
      </c>
      <c r="AC18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85" s="164" t="str">
        <f aca="false">IF(Salary_Calculation[[#This Row],[Source Row]]="","",Salary_Calculation[[#This Row],[Rider Target Orders]]*Salary_Calculation[[#This Row],[Base Order Rate]])</f>
        <v/>
      </c>
      <c r="AE185" s="162" t="str">
        <f aca="false">IF(SUMPRODUCT(--(LEN(INDEX(Rider_Input[#Data],ROW()-ROW(Salary_Calculation[#Headers]),0))&gt;0))=0,"",ROW()-ROW(Salary_Calculation[#Headers]))</f>
        <v/>
      </c>
    </row>
    <row r="186" customFormat="false" ht="14.25" hidden="false" customHeight="false" outlineLevel="0" collapsed="false">
      <c r="A186" s="161" t="str">
        <f aca="false">IF(Salary_Calculation[[#This Row],[Source Row]]="","",IF(INDEX(Rider_Input[Salary Month],Salary_Calculation[[#This Row],[Source Row]])="","",INDEX(Rider_Input[Salary Month],Salary_Calculation[[#This Row],[Source Row]])))</f>
        <v/>
      </c>
      <c r="B186" s="162" t="str">
        <f aca="false">IF(Salary_Calculation[[#This Row],[Source Row]]="","",IF(INDEX(Rider_Input[Rider ID],Salary_Calculation[[#This Row],[Source Row]])="","",INDEX(Rider_Input[Rider ID],Salary_Calculation[[#This Row],[Source Row]])))</f>
        <v/>
      </c>
      <c r="C186" s="163" t="str">
        <f aca="false">IF(Salary_Calculation[[#This Row],[Source Row]]="","",IF(INDEX(Rider_Input[Rider Name],Salary_Calculation[[#This Row],[Source Row]])="","",INDEX(Rider_Input[Rider Name],Salary_Calculation[[#This Row],[Source Row]])))</f>
        <v/>
      </c>
      <c r="D186" s="164" t="str">
        <f aca="false">IF(Salary_Calculation[[#This Row],[Source Row]]="","",IF(INDEX(Rider_Input[Basic Payment],Salary_Calculation[[#This Row],[Source Row]])="","",INDEX(Rider_Input[Basic Payment],Salary_Calculation[[#This Row],[Source Row]])))</f>
        <v/>
      </c>
      <c r="E186" s="162" t="str">
        <f aca="false">IF(Salary_Calculation[[#This Row],[Source Row]]="","",IF(INDEX(Rider_Input[Calendar Days in Month],Salary_Calculation[[#This Row],[Source Row]])="","",INDEX(Rider_Input[Calendar Days in Month],Salary_Calculation[[#This Row],[Source Row]])))</f>
        <v/>
      </c>
      <c r="F186" s="162" t="str">
        <f aca="false">IF(Salary_Calculation[[#This Row],[Source Row]]="","",IF(INDEX(Rider_Input[Working Days],Salary_Calculation[[#This Row],[Source Row]])="","",INDEX(Rider_Input[Working Days],Salary_Calculation[[#This Row],[Source Row]])))</f>
        <v/>
      </c>
      <c r="G186" s="165" t="str">
        <f aca="false">IF(Salary_Calculation[[#This Row],[Source Row]]="","",Std_Orders/Std_Days*N(Salary_Calculation[[#This Row],[Calendar Days]]))</f>
        <v/>
      </c>
      <c r="H186" s="165" t="str">
        <f aca="false">IF(Salary_Calculation[[#This Row],[Source Row]]="","",IF(N(Salary_Calculation[[#This Row],[Calendar Days]])&gt;0,Salary_Calculation[[#This Row],[Monthly Target Orders]]/N(Salary_Calculation[[#This Row],[Calendar Days]])*N(Salary_Calculation[[#This Row],[Working Days]]),0))</f>
        <v/>
      </c>
      <c r="I186" s="166" t="str">
        <f aca="false">IF(Salary_Calculation[[#This Row],[Source Row]]="","",IF(INDEX(Rider_Input[Completed Orders],Salary_Calculation[[#This Row],[Source Row]])="","",INDEX(Rider_Input[Completed Orders],Salary_Calculation[[#This Row],[Source Row]])))</f>
        <v/>
      </c>
      <c r="J186" s="165" t="str">
        <f aca="false">IF(Salary_Calculation[[#This Row],[Source Row]]="","",IF(Rate_Method="Fixed rate",Fixed_Rate,IF(N(Salary_Calculation[[#This Row],[Basic Payment]])&gt;0,N(Salary_Calculation[[#This Row],[Basic Payment]])/Std_Orders,0)))</f>
        <v/>
      </c>
      <c r="K186" s="165" t="str">
        <f aca="false">IF(Salary_Calculation[[#This Row],[Source Row]]="","",MAX(MIN(N(Salary_Calculation[[#This Row],[Completed Orders]]),Salary_Calculation[[#This Row],[Rider Target Orders]]),0))</f>
        <v/>
      </c>
      <c r="L186" s="164" t="str">
        <f aca="false">IF(Salary_Calculation[[#This Row],[Source Row]]="","",Salary_Calculation[[#This Row],[Orders Counted at Base Rate]]*Salary_Calculation[[#This Row],[Base Order Rate]])</f>
        <v/>
      </c>
      <c r="M186" s="165" t="str">
        <f aca="false">IF(Salary_Calculation[[#This Row],[Source Row]]="","",MAX(Salary_Calculation[[#This Row],[Rider Target Orders]]-N(Salary_Calculation[[#This Row],[Completed Orders]]),0))</f>
        <v/>
      </c>
      <c r="N186" s="164" t="str">
        <f aca="false">IF(Salary_Calculation[[#This Row],[Source Row]]="","",Salary_Calculation[[#This Row],[Missing Orders]]*Missing_Rate)</f>
        <v/>
      </c>
      <c r="O186" s="165" t="str">
        <f aca="false">IF(Salary_Calculation[[#This Row],[Source Row]]="","",MAX(N(Salary_Calculation[[#This Row],[Completed Orders]])-Salary_Calculation[[#This Row],[Rider Target Orders]],0))</f>
        <v/>
      </c>
      <c r="P186" s="164" t="str">
        <f aca="false">IF(Salary_Calculation[[#This Row],[Source Row]]="","",Salary_Calculation[[#This Row],[Extra Orders]]*Extra_Rate)</f>
        <v/>
      </c>
      <c r="Q186" s="164" t="str">
        <f aca="false">IF(Salary_Calculation[[#This Row],[Source Row]]="","",MAX(Salary_Calculation[[#This Row],[Salary Before Other Deductions]],0))</f>
        <v/>
      </c>
      <c r="R186" s="164" t="str">
        <f aca="false">IF(Salary_Calculation[[#This Row],[Source Row]]="","",N(INDEX(Rider_Input[missed_days_penalty],Salary_Calculation[[#This Row],[Source Row]])))</f>
        <v/>
      </c>
      <c r="S186" s="164" t="str">
        <f aca="false">IF(Salary_Calculation[[#This Row],[Source Row]]="","",N(INDEX(Rider_Input[Rider Balance / محفظة المندوب],Salary_Calculation[[#This Row],[Source Row]])))</f>
        <v/>
      </c>
      <c r="T186" s="164" t="str">
        <f aca="false">IF(Salary_Calculation[[#This Row],[Source Row]]="","",N(INDEX(Rider_Input[stacking_deduction / خصم الطلبات المتعددة],Salary_Calculation[[#This Row],[Source Row]])))</f>
        <v/>
      </c>
      <c r="U186" s="164" t="str">
        <f aca="false">IF(Salary_Calculation[[#This Row],[Source Row]]="","",N(INDEX(Rider_Input[Other Deductions],Salary_Calculation[[#This Row],[Source Row]])))</f>
        <v/>
      </c>
      <c r="V186" s="164" t="str">
        <f aca="false">IF(Salary_Calculation[[#This Row],[Source Row]]="","",N(Salary_Calculation[[#This Row],[missed_days_penalty]])+N(Salary_Calculation[[#This Row],[Rider Balance]])+N(Salary_Calculation[[#This Row],[stacking_deduction]])+N(Salary_Calculation[[#This Row],[Other Deductions]]))</f>
        <v/>
      </c>
      <c r="W186" s="167" t="str">
        <f aca="false">IF(Salary_Calculation[[#This Row],[Source Row]]="","",ROUND(MAX(Salary_Calculation[[#This Row],[Gross Salary Before Deductions]]-Salary_Calculation[[#This Row],[Total Deductions]],0),2))</f>
        <v/>
      </c>
      <c r="X186" s="164" t="str">
        <f aca="false">IF(Salary_Calculation[[#This Row],[Source Row]]="","",ROUND(MAX(Salary_Calculation[[#This Row],[Missing-Order Deduction]]-Salary_Calculation[[#This Row],[Earned Salary]],0),2))</f>
        <v/>
      </c>
      <c r="Y18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86" s="163" t="str">
        <f aca="false">IF(Salary_Calculation[[#This Row],[Source Row]]="","",IF(INDEX(Rider_Input[Notes],Salary_Calculation[[#This Row],[Source Row]])="","",INDEX(Rider_Input[Notes],Salary_Calculation[[#This Row],[Source Row]])))</f>
        <v/>
      </c>
      <c r="AA186" s="164" t="str">
        <f aca="false">IF(Salary_Calculation[[#This Row],[Source Row]]="","",Salary_Calculation[[#This Row],[Earned Salary]]-Salary_Calculation[[#This Row],[Missing-Order Deduction]]+Salary_Calculation[[#This Row],[Extra-Order Bonus]])</f>
        <v/>
      </c>
      <c r="AB186" s="164" t="str">
        <f aca="false">IF(Salary_Calculation[[#This Row],[Source Row]]="","",ROUND(Salary_Calculation[[#This Row],[Negative Balance / Amount Due from Rider]]+MAX(Salary_Calculation[[#This Row],[Total Deductions]]-Salary_Calculation[[#This Row],[Gross Salary Before Deductions]],0),2))</f>
        <v/>
      </c>
      <c r="AC18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86" s="164" t="str">
        <f aca="false">IF(Salary_Calculation[[#This Row],[Source Row]]="","",Salary_Calculation[[#This Row],[Rider Target Orders]]*Salary_Calculation[[#This Row],[Base Order Rate]])</f>
        <v/>
      </c>
      <c r="AE186" s="162" t="str">
        <f aca="false">IF(SUMPRODUCT(--(LEN(INDEX(Rider_Input[#Data],ROW()-ROW(Salary_Calculation[#Headers]),0))&gt;0))=0,"",ROW()-ROW(Salary_Calculation[#Headers]))</f>
        <v/>
      </c>
    </row>
    <row r="187" customFormat="false" ht="14.25" hidden="false" customHeight="false" outlineLevel="0" collapsed="false">
      <c r="A187" s="161" t="str">
        <f aca="false">IF(Salary_Calculation[[#This Row],[Source Row]]="","",IF(INDEX(Rider_Input[Salary Month],Salary_Calculation[[#This Row],[Source Row]])="","",INDEX(Rider_Input[Salary Month],Salary_Calculation[[#This Row],[Source Row]])))</f>
        <v/>
      </c>
      <c r="B187" s="162" t="str">
        <f aca="false">IF(Salary_Calculation[[#This Row],[Source Row]]="","",IF(INDEX(Rider_Input[Rider ID],Salary_Calculation[[#This Row],[Source Row]])="","",INDEX(Rider_Input[Rider ID],Salary_Calculation[[#This Row],[Source Row]])))</f>
        <v/>
      </c>
      <c r="C187" s="163" t="str">
        <f aca="false">IF(Salary_Calculation[[#This Row],[Source Row]]="","",IF(INDEX(Rider_Input[Rider Name],Salary_Calculation[[#This Row],[Source Row]])="","",INDEX(Rider_Input[Rider Name],Salary_Calculation[[#This Row],[Source Row]])))</f>
        <v/>
      </c>
      <c r="D187" s="164" t="str">
        <f aca="false">IF(Salary_Calculation[[#This Row],[Source Row]]="","",IF(INDEX(Rider_Input[Basic Payment],Salary_Calculation[[#This Row],[Source Row]])="","",INDEX(Rider_Input[Basic Payment],Salary_Calculation[[#This Row],[Source Row]])))</f>
        <v/>
      </c>
      <c r="E187" s="162" t="str">
        <f aca="false">IF(Salary_Calculation[[#This Row],[Source Row]]="","",IF(INDEX(Rider_Input[Calendar Days in Month],Salary_Calculation[[#This Row],[Source Row]])="","",INDEX(Rider_Input[Calendar Days in Month],Salary_Calculation[[#This Row],[Source Row]])))</f>
        <v/>
      </c>
      <c r="F187" s="162" t="str">
        <f aca="false">IF(Salary_Calculation[[#This Row],[Source Row]]="","",IF(INDEX(Rider_Input[Working Days],Salary_Calculation[[#This Row],[Source Row]])="","",INDEX(Rider_Input[Working Days],Salary_Calculation[[#This Row],[Source Row]])))</f>
        <v/>
      </c>
      <c r="G187" s="165" t="str">
        <f aca="false">IF(Salary_Calculation[[#This Row],[Source Row]]="","",Std_Orders/Std_Days*N(Salary_Calculation[[#This Row],[Calendar Days]]))</f>
        <v/>
      </c>
      <c r="H187" s="165" t="str">
        <f aca="false">IF(Salary_Calculation[[#This Row],[Source Row]]="","",IF(N(Salary_Calculation[[#This Row],[Calendar Days]])&gt;0,Salary_Calculation[[#This Row],[Monthly Target Orders]]/N(Salary_Calculation[[#This Row],[Calendar Days]])*N(Salary_Calculation[[#This Row],[Working Days]]),0))</f>
        <v/>
      </c>
      <c r="I187" s="166" t="str">
        <f aca="false">IF(Salary_Calculation[[#This Row],[Source Row]]="","",IF(INDEX(Rider_Input[Completed Orders],Salary_Calculation[[#This Row],[Source Row]])="","",INDEX(Rider_Input[Completed Orders],Salary_Calculation[[#This Row],[Source Row]])))</f>
        <v/>
      </c>
      <c r="J187" s="165" t="str">
        <f aca="false">IF(Salary_Calculation[[#This Row],[Source Row]]="","",IF(Rate_Method="Fixed rate",Fixed_Rate,IF(N(Salary_Calculation[[#This Row],[Basic Payment]])&gt;0,N(Salary_Calculation[[#This Row],[Basic Payment]])/Std_Orders,0)))</f>
        <v/>
      </c>
      <c r="K187" s="165" t="str">
        <f aca="false">IF(Salary_Calculation[[#This Row],[Source Row]]="","",MAX(MIN(N(Salary_Calculation[[#This Row],[Completed Orders]]),Salary_Calculation[[#This Row],[Rider Target Orders]]),0))</f>
        <v/>
      </c>
      <c r="L187" s="164" t="str">
        <f aca="false">IF(Salary_Calculation[[#This Row],[Source Row]]="","",Salary_Calculation[[#This Row],[Orders Counted at Base Rate]]*Salary_Calculation[[#This Row],[Base Order Rate]])</f>
        <v/>
      </c>
      <c r="M187" s="165" t="str">
        <f aca="false">IF(Salary_Calculation[[#This Row],[Source Row]]="","",MAX(Salary_Calculation[[#This Row],[Rider Target Orders]]-N(Salary_Calculation[[#This Row],[Completed Orders]]),0))</f>
        <v/>
      </c>
      <c r="N187" s="164" t="str">
        <f aca="false">IF(Salary_Calculation[[#This Row],[Source Row]]="","",Salary_Calculation[[#This Row],[Missing Orders]]*Missing_Rate)</f>
        <v/>
      </c>
      <c r="O187" s="165" t="str">
        <f aca="false">IF(Salary_Calculation[[#This Row],[Source Row]]="","",MAX(N(Salary_Calculation[[#This Row],[Completed Orders]])-Salary_Calculation[[#This Row],[Rider Target Orders]],0))</f>
        <v/>
      </c>
      <c r="P187" s="164" t="str">
        <f aca="false">IF(Salary_Calculation[[#This Row],[Source Row]]="","",Salary_Calculation[[#This Row],[Extra Orders]]*Extra_Rate)</f>
        <v/>
      </c>
      <c r="Q187" s="164" t="str">
        <f aca="false">IF(Salary_Calculation[[#This Row],[Source Row]]="","",MAX(Salary_Calculation[[#This Row],[Salary Before Other Deductions]],0))</f>
        <v/>
      </c>
      <c r="R187" s="164" t="str">
        <f aca="false">IF(Salary_Calculation[[#This Row],[Source Row]]="","",N(INDEX(Rider_Input[missed_days_penalty],Salary_Calculation[[#This Row],[Source Row]])))</f>
        <v/>
      </c>
      <c r="S187" s="164" t="str">
        <f aca="false">IF(Salary_Calculation[[#This Row],[Source Row]]="","",N(INDEX(Rider_Input[Rider Balance / محفظة المندوب],Salary_Calculation[[#This Row],[Source Row]])))</f>
        <v/>
      </c>
      <c r="T187" s="164" t="str">
        <f aca="false">IF(Salary_Calculation[[#This Row],[Source Row]]="","",N(INDEX(Rider_Input[stacking_deduction / خصم الطلبات المتعددة],Salary_Calculation[[#This Row],[Source Row]])))</f>
        <v/>
      </c>
      <c r="U187" s="164" t="str">
        <f aca="false">IF(Salary_Calculation[[#This Row],[Source Row]]="","",N(INDEX(Rider_Input[Other Deductions],Salary_Calculation[[#This Row],[Source Row]])))</f>
        <v/>
      </c>
      <c r="V187" s="164" t="str">
        <f aca="false">IF(Salary_Calculation[[#This Row],[Source Row]]="","",N(Salary_Calculation[[#This Row],[missed_days_penalty]])+N(Salary_Calculation[[#This Row],[Rider Balance]])+N(Salary_Calculation[[#This Row],[stacking_deduction]])+N(Salary_Calculation[[#This Row],[Other Deductions]]))</f>
        <v/>
      </c>
      <c r="W187" s="167" t="str">
        <f aca="false">IF(Salary_Calculation[[#This Row],[Source Row]]="","",ROUND(MAX(Salary_Calculation[[#This Row],[Gross Salary Before Deductions]]-Salary_Calculation[[#This Row],[Total Deductions]],0),2))</f>
        <v/>
      </c>
      <c r="X187" s="164" t="str">
        <f aca="false">IF(Salary_Calculation[[#This Row],[Source Row]]="","",ROUND(MAX(Salary_Calculation[[#This Row],[Missing-Order Deduction]]-Salary_Calculation[[#This Row],[Earned Salary]],0),2))</f>
        <v/>
      </c>
      <c r="Y18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87" s="163" t="str">
        <f aca="false">IF(Salary_Calculation[[#This Row],[Source Row]]="","",IF(INDEX(Rider_Input[Notes],Salary_Calculation[[#This Row],[Source Row]])="","",INDEX(Rider_Input[Notes],Salary_Calculation[[#This Row],[Source Row]])))</f>
        <v/>
      </c>
      <c r="AA187" s="164" t="str">
        <f aca="false">IF(Salary_Calculation[[#This Row],[Source Row]]="","",Salary_Calculation[[#This Row],[Earned Salary]]-Salary_Calculation[[#This Row],[Missing-Order Deduction]]+Salary_Calculation[[#This Row],[Extra-Order Bonus]])</f>
        <v/>
      </c>
      <c r="AB187" s="164" t="str">
        <f aca="false">IF(Salary_Calculation[[#This Row],[Source Row]]="","",ROUND(Salary_Calculation[[#This Row],[Negative Balance / Amount Due from Rider]]+MAX(Salary_Calculation[[#This Row],[Total Deductions]]-Salary_Calculation[[#This Row],[Gross Salary Before Deductions]],0),2))</f>
        <v/>
      </c>
      <c r="AC18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87" s="164" t="str">
        <f aca="false">IF(Salary_Calculation[[#This Row],[Source Row]]="","",Salary_Calculation[[#This Row],[Rider Target Orders]]*Salary_Calculation[[#This Row],[Base Order Rate]])</f>
        <v/>
      </c>
      <c r="AE187" s="162" t="str">
        <f aca="false">IF(SUMPRODUCT(--(LEN(INDEX(Rider_Input[#Data],ROW()-ROW(Salary_Calculation[#Headers]),0))&gt;0))=0,"",ROW()-ROW(Salary_Calculation[#Headers]))</f>
        <v/>
      </c>
    </row>
    <row r="188" customFormat="false" ht="14.25" hidden="false" customHeight="false" outlineLevel="0" collapsed="false">
      <c r="A188" s="161" t="str">
        <f aca="false">IF(Salary_Calculation[[#This Row],[Source Row]]="","",IF(INDEX(Rider_Input[Salary Month],Salary_Calculation[[#This Row],[Source Row]])="","",INDEX(Rider_Input[Salary Month],Salary_Calculation[[#This Row],[Source Row]])))</f>
        <v/>
      </c>
      <c r="B188" s="162" t="str">
        <f aca="false">IF(Salary_Calculation[[#This Row],[Source Row]]="","",IF(INDEX(Rider_Input[Rider ID],Salary_Calculation[[#This Row],[Source Row]])="","",INDEX(Rider_Input[Rider ID],Salary_Calculation[[#This Row],[Source Row]])))</f>
        <v/>
      </c>
      <c r="C188" s="163" t="str">
        <f aca="false">IF(Salary_Calculation[[#This Row],[Source Row]]="","",IF(INDEX(Rider_Input[Rider Name],Salary_Calculation[[#This Row],[Source Row]])="","",INDEX(Rider_Input[Rider Name],Salary_Calculation[[#This Row],[Source Row]])))</f>
        <v/>
      </c>
      <c r="D188" s="164" t="str">
        <f aca="false">IF(Salary_Calculation[[#This Row],[Source Row]]="","",IF(INDEX(Rider_Input[Basic Payment],Salary_Calculation[[#This Row],[Source Row]])="","",INDEX(Rider_Input[Basic Payment],Salary_Calculation[[#This Row],[Source Row]])))</f>
        <v/>
      </c>
      <c r="E188" s="162" t="str">
        <f aca="false">IF(Salary_Calculation[[#This Row],[Source Row]]="","",IF(INDEX(Rider_Input[Calendar Days in Month],Salary_Calculation[[#This Row],[Source Row]])="","",INDEX(Rider_Input[Calendar Days in Month],Salary_Calculation[[#This Row],[Source Row]])))</f>
        <v/>
      </c>
      <c r="F188" s="162" t="str">
        <f aca="false">IF(Salary_Calculation[[#This Row],[Source Row]]="","",IF(INDEX(Rider_Input[Working Days],Salary_Calculation[[#This Row],[Source Row]])="","",INDEX(Rider_Input[Working Days],Salary_Calculation[[#This Row],[Source Row]])))</f>
        <v/>
      </c>
      <c r="G188" s="165" t="str">
        <f aca="false">IF(Salary_Calculation[[#This Row],[Source Row]]="","",Std_Orders/Std_Days*N(Salary_Calculation[[#This Row],[Calendar Days]]))</f>
        <v/>
      </c>
      <c r="H188" s="165" t="str">
        <f aca="false">IF(Salary_Calculation[[#This Row],[Source Row]]="","",IF(N(Salary_Calculation[[#This Row],[Calendar Days]])&gt;0,Salary_Calculation[[#This Row],[Monthly Target Orders]]/N(Salary_Calculation[[#This Row],[Calendar Days]])*N(Salary_Calculation[[#This Row],[Working Days]]),0))</f>
        <v/>
      </c>
      <c r="I188" s="166" t="str">
        <f aca="false">IF(Salary_Calculation[[#This Row],[Source Row]]="","",IF(INDEX(Rider_Input[Completed Orders],Salary_Calculation[[#This Row],[Source Row]])="","",INDEX(Rider_Input[Completed Orders],Salary_Calculation[[#This Row],[Source Row]])))</f>
        <v/>
      </c>
      <c r="J188" s="165" t="str">
        <f aca="false">IF(Salary_Calculation[[#This Row],[Source Row]]="","",IF(Rate_Method="Fixed rate",Fixed_Rate,IF(N(Salary_Calculation[[#This Row],[Basic Payment]])&gt;0,N(Salary_Calculation[[#This Row],[Basic Payment]])/Std_Orders,0)))</f>
        <v/>
      </c>
      <c r="K188" s="165" t="str">
        <f aca="false">IF(Salary_Calculation[[#This Row],[Source Row]]="","",MAX(MIN(N(Salary_Calculation[[#This Row],[Completed Orders]]),Salary_Calculation[[#This Row],[Rider Target Orders]]),0))</f>
        <v/>
      </c>
      <c r="L188" s="164" t="str">
        <f aca="false">IF(Salary_Calculation[[#This Row],[Source Row]]="","",Salary_Calculation[[#This Row],[Orders Counted at Base Rate]]*Salary_Calculation[[#This Row],[Base Order Rate]])</f>
        <v/>
      </c>
      <c r="M188" s="165" t="str">
        <f aca="false">IF(Salary_Calculation[[#This Row],[Source Row]]="","",MAX(Salary_Calculation[[#This Row],[Rider Target Orders]]-N(Salary_Calculation[[#This Row],[Completed Orders]]),0))</f>
        <v/>
      </c>
      <c r="N188" s="164" t="str">
        <f aca="false">IF(Salary_Calculation[[#This Row],[Source Row]]="","",Salary_Calculation[[#This Row],[Missing Orders]]*Missing_Rate)</f>
        <v/>
      </c>
      <c r="O188" s="165" t="str">
        <f aca="false">IF(Salary_Calculation[[#This Row],[Source Row]]="","",MAX(N(Salary_Calculation[[#This Row],[Completed Orders]])-Salary_Calculation[[#This Row],[Rider Target Orders]],0))</f>
        <v/>
      </c>
      <c r="P188" s="164" t="str">
        <f aca="false">IF(Salary_Calculation[[#This Row],[Source Row]]="","",Salary_Calculation[[#This Row],[Extra Orders]]*Extra_Rate)</f>
        <v/>
      </c>
      <c r="Q188" s="164" t="str">
        <f aca="false">IF(Salary_Calculation[[#This Row],[Source Row]]="","",MAX(Salary_Calculation[[#This Row],[Salary Before Other Deductions]],0))</f>
        <v/>
      </c>
      <c r="R188" s="164" t="str">
        <f aca="false">IF(Salary_Calculation[[#This Row],[Source Row]]="","",N(INDEX(Rider_Input[missed_days_penalty],Salary_Calculation[[#This Row],[Source Row]])))</f>
        <v/>
      </c>
      <c r="S188" s="164" t="str">
        <f aca="false">IF(Salary_Calculation[[#This Row],[Source Row]]="","",N(INDEX(Rider_Input[Rider Balance / محفظة المندوب],Salary_Calculation[[#This Row],[Source Row]])))</f>
        <v/>
      </c>
      <c r="T188" s="164" t="str">
        <f aca="false">IF(Salary_Calculation[[#This Row],[Source Row]]="","",N(INDEX(Rider_Input[stacking_deduction / خصم الطلبات المتعددة],Salary_Calculation[[#This Row],[Source Row]])))</f>
        <v/>
      </c>
      <c r="U188" s="164" t="str">
        <f aca="false">IF(Salary_Calculation[[#This Row],[Source Row]]="","",N(INDEX(Rider_Input[Other Deductions],Salary_Calculation[[#This Row],[Source Row]])))</f>
        <v/>
      </c>
      <c r="V188" s="164" t="str">
        <f aca="false">IF(Salary_Calculation[[#This Row],[Source Row]]="","",N(Salary_Calculation[[#This Row],[missed_days_penalty]])+N(Salary_Calculation[[#This Row],[Rider Balance]])+N(Salary_Calculation[[#This Row],[stacking_deduction]])+N(Salary_Calculation[[#This Row],[Other Deductions]]))</f>
        <v/>
      </c>
      <c r="W188" s="167" t="str">
        <f aca="false">IF(Salary_Calculation[[#This Row],[Source Row]]="","",ROUND(MAX(Salary_Calculation[[#This Row],[Gross Salary Before Deductions]]-Salary_Calculation[[#This Row],[Total Deductions]],0),2))</f>
        <v/>
      </c>
      <c r="X188" s="164" t="str">
        <f aca="false">IF(Salary_Calculation[[#This Row],[Source Row]]="","",ROUND(MAX(Salary_Calculation[[#This Row],[Missing-Order Deduction]]-Salary_Calculation[[#This Row],[Earned Salary]],0),2))</f>
        <v/>
      </c>
      <c r="Y18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88" s="163" t="str">
        <f aca="false">IF(Salary_Calculation[[#This Row],[Source Row]]="","",IF(INDEX(Rider_Input[Notes],Salary_Calculation[[#This Row],[Source Row]])="","",INDEX(Rider_Input[Notes],Salary_Calculation[[#This Row],[Source Row]])))</f>
        <v/>
      </c>
      <c r="AA188" s="164" t="str">
        <f aca="false">IF(Salary_Calculation[[#This Row],[Source Row]]="","",Salary_Calculation[[#This Row],[Earned Salary]]-Salary_Calculation[[#This Row],[Missing-Order Deduction]]+Salary_Calculation[[#This Row],[Extra-Order Bonus]])</f>
        <v/>
      </c>
      <c r="AB188" s="164" t="str">
        <f aca="false">IF(Salary_Calculation[[#This Row],[Source Row]]="","",ROUND(Salary_Calculation[[#This Row],[Negative Balance / Amount Due from Rider]]+MAX(Salary_Calculation[[#This Row],[Total Deductions]]-Salary_Calculation[[#This Row],[Gross Salary Before Deductions]],0),2))</f>
        <v/>
      </c>
      <c r="AC18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88" s="164" t="str">
        <f aca="false">IF(Salary_Calculation[[#This Row],[Source Row]]="","",Salary_Calculation[[#This Row],[Rider Target Orders]]*Salary_Calculation[[#This Row],[Base Order Rate]])</f>
        <v/>
      </c>
      <c r="AE188" s="162" t="str">
        <f aca="false">IF(SUMPRODUCT(--(LEN(INDEX(Rider_Input[#Data],ROW()-ROW(Salary_Calculation[#Headers]),0))&gt;0))=0,"",ROW()-ROW(Salary_Calculation[#Headers]))</f>
        <v/>
      </c>
    </row>
    <row r="189" customFormat="false" ht="14.25" hidden="false" customHeight="false" outlineLevel="0" collapsed="false">
      <c r="A189" s="161" t="str">
        <f aca="false">IF(Salary_Calculation[[#This Row],[Source Row]]="","",IF(INDEX(Rider_Input[Salary Month],Salary_Calculation[[#This Row],[Source Row]])="","",INDEX(Rider_Input[Salary Month],Salary_Calculation[[#This Row],[Source Row]])))</f>
        <v/>
      </c>
      <c r="B189" s="162" t="str">
        <f aca="false">IF(Salary_Calculation[[#This Row],[Source Row]]="","",IF(INDEX(Rider_Input[Rider ID],Salary_Calculation[[#This Row],[Source Row]])="","",INDEX(Rider_Input[Rider ID],Salary_Calculation[[#This Row],[Source Row]])))</f>
        <v/>
      </c>
      <c r="C189" s="163" t="str">
        <f aca="false">IF(Salary_Calculation[[#This Row],[Source Row]]="","",IF(INDEX(Rider_Input[Rider Name],Salary_Calculation[[#This Row],[Source Row]])="","",INDEX(Rider_Input[Rider Name],Salary_Calculation[[#This Row],[Source Row]])))</f>
        <v/>
      </c>
      <c r="D189" s="164" t="str">
        <f aca="false">IF(Salary_Calculation[[#This Row],[Source Row]]="","",IF(INDEX(Rider_Input[Basic Payment],Salary_Calculation[[#This Row],[Source Row]])="","",INDEX(Rider_Input[Basic Payment],Salary_Calculation[[#This Row],[Source Row]])))</f>
        <v/>
      </c>
      <c r="E189" s="162" t="str">
        <f aca="false">IF(Salary_Calculation[[#This Row],[Source Row]]="","",IF(INDEX(Rider_Input[Calendar Days in Month],Salary_Calculation[[#This Row],[Source Row]])="","",INDEX(Rider_Input[Calendar Days in Month],Salary_Calculation[[#This Row],[Source Row]])))</f>
        <v/>
      </c>
      <c r="F189" s="162" t="str">
        <f aca="false">IF(Salary_Calculation[[#This Row],[Source Row]]="","",IF(INDEX(Rider_Input[Working Days],Salary_Calculation[[#This Row],[Source Row]])="","",INDEX(Rider_Input[Working Days],Salary_Calculation[[#This Row],[Source Row]])))</f>
        <v/>
      </c>
      <c r="G189" s="165" t="str">
        <f aca="false">IF(Salary_Calculation[[#This Row],[Source Row]]="","",Std_Orders/Std_Days*N(Salary_Calculation[[#This Row],[Calendar Days]]))</f>
        <v/>
      </c>
      <c r="H189" s="165" t="str">
        <f aca="false">IF(Salary_Calculation[[#This Row],[Source Row]]="","",IF(N(Salary_Calculation[[#This Row],[Calendar Days]])&gt;0,Salary_Calculation[[#This Row],[Monthly Target Orders]]/N(Salary_Calculation[[#This Row],[Calendar Days]])*N(Salary_Calculation[[#This Row],[Working Days]]),0))</f>
        <v/>
      </c>
      <c r="I189" s="166" t="str">
        <f aca="false">IF(Salary_Calculation[[#This Row],[Source Row]]="","",IF(INDEX(Rider_Input[Completed Orders],Salary_Calculation[[#This Row],[Source Row]])="","",INDEX(Rider_Input[Completed Orders],Salary_Calculation[[#This Row],[Source Row]])))</f>
        <v/>
      </c>
      <c r="J189" s="165" t="str">
        <f aca="false">IF(Salary_Calculation[[#This Row],[Source Row]]="","",IF(Rate_Method="Fixed rate",Fixed_Rate,IF(N(Salary_Calculation[[#This Row],[Basic Payment]])&gt;0,N(Salary_Calculation[[#This Row],[Basic Payment]])/Std_Orders,0)))</f>
        <v/>
      </c>
      <c r="K189" s="165" t="str">
        <f aca="false">IF(Salary_Calculation[[#This Row],[Source Row]]="","",MAX(MIN(N(Salary_Calculation[[#This Row],[Completed Orders]]),Salary_Calculation[[#This Row],[Rider Target Orders]]),0))</f>
        <v/>
      </c>
      <c r="L189" s="164" t="str">
        <f aca="false">IF(Salary_Calculation[[#This Row],[Source Row]]="","",Salary_Calculation[[#This Row],[Orders Counted at Base Rate]]*Salary_Calculation[[#This Row],[Base Order Rate]])</f>
        <v/>
      </c>
      <c r="M189" s="165" t="str">
        <f aca="false">IF(Salary_Calculation[[#This Row],[Source Row]]="","",MAX(Salary_Calculation[[#This Row],[Rider Target Orders]]-N(Salary_Calculation[[#This Row],[Completed Orders]]),0))</f>
        <v/>
      </c>
      <c r="N189" s="164" t="str">
        <f aca="false">IF(Salary_Calculation[[#This Row],[Source Row]]="","",Salary_Calculation[[#This Row],[Missing Orders]]*Missing_Rate)</f>
        <v/>
      </c>
      <c r="O189" s="165" t="str">
        <f aca="false">IF(Salary_Calculation[[#This Row],[Source Row]]="","",MAX(N(Salary_Calculation[[#This Row],[Completed Orders]])-Salary_Calculation[[#This Row],[Rider Target Orders]],0))</f>
        <v/>
      </c>
      <c r="P189" s="164" t="str">
        <f aca="false">IF(Salary_Calculation[[#This Row],[Source Row]]="","",Salary_Calculation[[#This Row],[Extra Orders]]*Extra_Rate)</f>
        <v/>
      </c>
      <c r="Q189" s="164" t="str">
        <f aca="false">IF(Salary_Calculation[[#This Row],[Source Row]]="","",MAX(Salary_Calculation[[#This Row],[Salary Before Other Deductions]],0))</f>
        <v/>
      </c>
      <c r="R189" s="164" t="str">
        <f aca="false">IF(Salary_Calculation[[#This Row],[Source Row]]="","",N(INDEX(Rider_Input[missed_days_penalty],Salary_Calculation[[#This Row],[Source Row]])))</f>
        <v/>
      </c>
      <c r="S189" s="164" t="str">
        <f aca="false">IF(Salary_Calculation[[#This Row],[Source Row]]="","",N(INDEX(Rider_Input[Rider Balance / محفظة المندوب],Salary_Calculation[[#This Row],[Source Row]])))</f>
        <v/>
      </c>
      <c r="T189" s="164" t="str">
        <f aca="false">IF(Salary_Calculation[[#This Row],[Source Row]]="","",N(INDEX(Rider_Input[stacking_deduction / خصم الطلبات المتعددة],Salary_Calculation[[#This Row],[Source Row]])))</f>
        <v/>
      </c>
      <c r="U189" s="164" t="str">
        <f aca="false">IF(Salary_Calculation[[#This Row],[Source Row]]="","",N(INDEX(Rider_Input[Other Deductions],Salary_Calculation[[#This Row],[Source Row]])))</f>
        <v/>
      </c>
      <c r="V189" s="164" t="str">
        <f aca="false">IF(Salary_Calculation[[#This Row],[Source Row]]="","",N(Salary_Calculation[[#This Row],[missed_days_penalty]])+N(Salary_Calculation[[#This Row],[Rider Balance]])+N(Salary_Calculation[[#This Row],[stacking_deduction]])+N(Salary_Calculation[[#This Row],[Other Deductions]]))</f>
        <v/>
      </c>
      <c r="W189" s="167" t="str">
        <f aca="false">IF(Salary_Calculation[[#This Row],[Source Row]]="","",ROUND(MAX(Salary_Calculation[[#This Row],[Gross Salary Before Deductions]]-Salary_Calculation[[#This Row],[Total Deductions]],0),2))</f>
        <v/>
      </c>
      <c r="X189" s="164" t="str">
        <f aca="false">IF(Salary_Calculation[[#This Row],[Source Row]]="","",ROUND(MAX(Salary_Calculation[[#This Row],[Missing-Order Deduction]]-Salary_Calculation[[#This Row],[Earned Salary]],0),2))</f>
        <v/>
      </c>
      <c r="Y18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89" s="163" t="str">
        <f aca="false">IF(Salary_Calculation[[#This Row],[Source Row]]="","",IF(INDEX(Rider_Input[Notes],Salary_Calculation[[#This Row],[Source Row]])="","",INDEX(Rider_Input[Notes],Salary_Calculation[[#This Row],[Source Row]])))</f>
        <v/>
      </c>
      <c r="AA189" s="164" t="str">
        <f aca="false">IF(Salary_Calculation[[#This Row],[Source Row]]="","",Salary_Calculation[[#This Row],[Earned Salary]]-Salary_Calculation[[#This Row],[Missing-Order Deduction]]+Salary_Calculation[[#This Row],[Extra-Order Bonus]])</f>
        <v/>
      </c>
      <c r="AB189" s="164" t="str">
        <f aca="false">IF(Salary_Calculation[[#This Row],[Source Row]]="","",ROUND(Salary_Calculation[[#This Row],[Negative Balance / Amount Due from Rider]]+MAX(Salary_Calculation[[#This Row],[Total Deductions]]-Salary_Calculation[[#This Row],[Gross Salary Before Deductions]],0),2))</f>
        <v/>
      </c>
      <c r="AC18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89" s="164" t="str">
        <f aca="false">IF(Salary_Calculation[[#This Row],[Source Row]]="","",Salary_Calculation[[#This Row],[Rider Target Orders]]*Salary_Calculation[[#This Row],[Base Order Rate]])</f>
        <v/>
      </c>
      <c r="AE189" s="162" t="str">
        <f aca="false">IF(SUMPRODUCT(--(LEN(INDEX(Rider_Input[#Data],ROW()-ROW(Salary_Calculation[#Headers]),0))&gt;0))=0,"",ROW()-ROW(Salary_Calculation[#Headers]))</f>
        <v/>
      </c>
    </row>
    <row r="190" customFormat="false" ht="14.25" hidden="false" customHeight="false" outlineLevel="0" collapsed="false">
      <c r="A190" s="161" t="str">
        <f aca="false">IF(Salary_Calculation[[#This Row],[Source Row]]="","",IF(INDEX(Rider_Input[Salary Month],Salary_Calculation[[#This Row],[Source Row]])="","",INDEX(Rider_Input[Salary Month],Salary_Calculation[[#This Row],[Source Row]])))</f>
        <v/>
      </c>
      <c r="B190" s="162" t="str">
        <f aca="false">IF(Salary_Calculation[[#This Row],[Source Row]]="","",IF(INDEX(Rider_Input[Rider ID],Salary_Calculation[[#This Row],[Source Row]])="","",INDEX(Rider_Input[Rider ID],Salary_Calculation[[#This Row],[Source Row]])))</f>
        <v/>
      </c>
      <c r="C190" s="163" t="str">
        <f aca="false">IF(Salary_Calculation[[#This Row],[Source Row]]="","",IF(INDEX(Rider_Input[Rider Name],Salary_Calculation[[#This Row],[Source Row]])="","",INDEX(Rider_Input[Rider Name],Salary_Calculation[[#This Row],[Source Row]])))</f>
        <v/>
      </c>
      <c r="D190" s="164" t="str">
        <f aca="false">IF(Salary_Calculation[[#This Row],[Source Row]]="","",IF(INDEX(Rider_Input[Basic Payment],Salary_Calculation[[#This Row],[Source Row]])="","",INDEX(Rider_Input[Basic Payment],Salary_Calculation[[#This Row],[Source Row]])))</f>
        <v/>
      </c>
      <c r="E190" s="162" t="str">
        <f aca="false">IF(Salary_Calculation[[#This Row],[Source Row]]="","",IF(INDEX(Rider_Input[Calendar Days in Month],Salary_Calculation[[#This Row],[Source Row]])="","",INDEX(Rider_Input[Calendar Days in Month],Salary_Calculation[[#This Row],[Source Row]])))</f>
        <v/>
      </c>
      <c r="F190" s="162" t="str">
        <f aca="false">IF(Salary_Calculation[[#This Row],[Source Row]]="","",IF(INDEX(Rider_Input[Working Days],Salary_Calculation[[#This Row],[Source Row]])="","",INDEX(Rider_Input[Working Days],Salary_Calculation[[#This Row],[Source Row]])))</f>
        <v/>
      </c>
      <c r="G190" s="165" t="str">
        <f aca="false">IF(Salary_Calculation[[#This Row],[Source Row]]="","",Std_Orders/Std_Days*N(Salary_Calculation[[#This Row],[Calendar Days]]))</f>
        <v/>
      </c>
      <c r="H190" s="165" t="str">
        <f aca="false">IF(Salary_Calculation[[#This Row],[Source Row]]="","",IF(N(Salary_Calculation[[#This Row],[Calendar Days]])&gt;0,Salary_Calculation[[#This Row],[Monthly Target Orders]]/N(Salary_Calculation[[#This Row],[Calendar Days]])*N(Salary_Calculation[[#This Row],[Working Days]]),0))</f>
        <v/>
      </c>
      <c r="I190" s="166" t="str">
        <f aca="false">IF(Salary_Calculation[[#This Row],[Source Row]]="","",IF(INDEX(Rider_Input[Completed Orders],Salary_Calculation[[#This Row],[Source Row]])="","",INDEX(Rider_Input[Completed Orders],Salary_Calculation[[#This Row],[Source Row]])))</f>
        <v/>
      </c>
      <c r="J190" s="165" t="str">
        <f aca="false">IF(Salary_Calculation[[#This Row],[Source Row]]="","",IF(Rate_Method="Fixed rate",Fixed_Rate,IF(N(Salary_Calculation[[#This Row],[Basic Payment]])&gt;0,N(Salary_Calculation[[#This Row],[Basic Payment]])/Std_Orders,0)))</f>
        <v/>
      </c>
      <c r="K190" s="165" t="str">
        <f aca="false">IF(Salary_Calculation[[#This Row],[Source Row]]="","",MAX(MIN(N(Salary_Calculation[[#This Row],[Completed Orders]]),Salary_Calculation[[#This Row],[Rider Target Orders]]),0))</f>
        <v/>
      </c>
      <c r="L190" s="164" t="str">
        <f aca="false">IF(Salary_Calculation[[#This Row],[Source Row]]="","",Salary_Calculation[[#This Row],[Orders Counted at Base Rate]]*Salary_Calculation[[#This Row],[Base Order Rate]])</f>
        <v/>
      </c>
      <c r="M190" s="165" t="str">
        <f aca="false">IF(Salary_Calculation[[#This Row],[Source Row]]="","",MAX(Salary_Calculation[[#This Row],[Rider Target Orders]]-N(Salary_Calculation[[#This Row],[Completed Orders]]),0))</f>
        <v/>
      </c>
      <c r="N190" s="164" t="str">
        <f aca="false">IF(Salary_Calculation[[#This Row],[Source Row]]="","",Salary_Calculation[[#This Row],[Missing Orders]]*Missing_Rate)</f>
        <v/>
      </c>
      <c r="O190" s="165" t="str">
        <f aca="false">IF(Salary_Calculation[[#This Row],[Source Row]]="","",MAX(N(Salary_Calculation[[#This Row],[Completed Orders]])-Salary_Calculation[[#This Row],[Rider Target Orders]],0))</f>
        <v/>
      </c>
      <c r="P190" s="164" t="str">
        <f aca="false">IF(Salary_Calculation[[#This Row],[Source Row]]="","",Salary_Calculation[[#This Row],[Extra Orders]]*Extra_Rate)</f>
        <v/>
      </c>
      <c r="Q190" s="164" t="str">
        <f aca="false">IF(Salary_Calculation[[#This Row],[Source Row]]="","",MAX(Salary_Calculation[[#This Row],[Salary Before Other Deductions]],0))</f>
        <v/>
      </c>
      <c r="R190" s="164" t="str">
        <f aca="false">IF(Salary_Calculation[[#This Row],[Source Row]]="","",N(INDEX(Rider_Input[missed_days_penalty],Salary_Calculation[[#This Row],[Source Row]])))</f>
        <v/>
      </c>
      <c r="S190" s="164" t="str">
        <f aca="false">IF(Salary_Calculation[[#This Row],[Source Row]]="","",N(INDEX(Rider_Input[Rider Balance / محفظة المندوب],Salary_Calculation[[#This Row],[Source Row]])))</f>
        <v/>
      </c>
      <c r="T190" s="164" t="str">
        <f aca="false">IF(Salary_Calculation[[#This Row],[Source Row]]="","",N(INDEX(Rider_Input[stacking_deduction / خصم الطلبات المتعددة],Salary_Calculation[[#This Row],[Source Row]])))</f>
        <v/>
      </c>
      <c r="U190" s="164" t="str">
        <f aca="false">IF(Salary_Calculation[[#This Row],[Source Row]]="","",N(INDEX(Rider_Input[Other Deductions],Salary_Calculation[[#This Row],[Source Row]])))</f>
        <v/>
      </c>
      <c r="V190" s="164" t="str">
        <f aca="false">IF(Salary_Calculation[[#This Row],[Source Row]]="","",N(Salary_Calculation[[#This Row],[missed_days_penalty]])+N(Salary_Calculation[[#This Row],[Rider Balance]])+N(Salary_Calculation[[#This Row],[stacking_deduction]])+N(Salary_Calculation[[#This Row],[Other Deductions]]))</f>
        <v/>
      </c>
      <c r="W190" s="167" t="str">
        <f aca="false">IF(Salary_Calculation[[#This Row],[Source Row]]="","",ROUND(MAX(Salary_Calculation[[#This Row],[Gross Salary Before Deductions]]-Salary_Calculation[[#This Row],[Total Deductions]],0),2))</f>
        <v/>
      </c>
      <c r="X190" s="164" t="str">
        <f aca="false">IF(Salary_Calculation[[#This Row],[Source Row]]="","",ROUND(MAX(Salary_Calculation[[#This Row],[Missing-Order Deduction]]-Salary_Calculation[[#This Row],[Earned Salary]],0),2))</f>
        <v/>
      </c>
      <c r="Y19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90" s="163" t="str">
        <f aca="false">IF(Salary_Calculation[[#This Row],[Source Row]]="","",IF(INDEX(Rider_Input[Notes],Salary_Calculation[[#This Row],[Source Row]])="","",INDEX(Rider_Input[Notes],Salary_Calculation[[#This Row],[Source Row]])))</f>
        <v/>
      </c>
      <c r="AA190" s="164" t="str">
        <f aca="false">IF(Salary_Calculation[[#This Row],[Source Row]]="","",Salary_Calculation[[#This Row],[Earned Salary]]-Salary_Calculation[[#This Row],[Missing-Order Deduction]]+Salary_Calculation[[#This Row],[Extra-Order Bonus]])</f>
        <v/>
      </c>
      <c r="AB190" s="164" t="str">
        <f aca="false">IF(Salary_Calculation[[#This Row],[Source Row]]="","",ROUND(Salary_Calculation[[#This Row],[Negative Balance / Amount Due from Rider]]+MAX(Salary_Calculation[[#This Row],[Total Deductions]]-Salary_Calculation[[#This Row],[Gross Salary Before Deductions]],0),2))</f>
        <v/>
      </c>
      <c r="AC19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90" s="164" t="str">
        <f aca="false">IF(Salary_Calculation[[#This Row],[Source Row]]="","",Salary_Calculation[[#This Row],[Rider Target Orders]]*Salary_Calculation[[#This Row],[Base Order Rate]])</f>
        <v/>
      </c>
      <c r="AE190" s="162" t="str">
        <f aca="false">IF(SUMPRODUCT(--(LEN(INDEX(Rider_Input[#Data],ROW()-ROW(Salary_Calculation[#Headers]),0))&gt;0))=0,"",ROW()-ROW(Salary_Calculation[#Headers]))</f>
        <v/>
      </c>
    </row>
    <row r="191" customFormat="false" ht="14.25" hidden="false" customHeight="false" outlineLevel="0" collapsed="false">
      <c r="A191" s="161" t="str">
        <f aca="false">IF(Salary_Calculation[[#This Row],[Source Row]]="","",IF(INDEX(Rider_Input[Salary Month],Salary_Calculation[[#This Row],[Source Row]])="","",INDEX(Rider_Input[Salary Month],Salary_Calculation[[#This Row],[Source Row]])))</f>
        <v/>
      </c>
      <c r="B191" s="162" t="str">
        <f aca="false">IF(Salary_Calculation[[#This Row],[Source Row]]="","",IF(INDEX(Rider_Input[Rider ID],Salary_Calculation[[#This Row],[Source Row]])="","",INDEX(Rider_Input[Rider ID],Salary_Calculation[[#This Row],[Source Row]])))</f>
        <v/>
      </c>
      <c r="C191" s="163" t="str">
        <f aca="false">IF(Salary_Calculation[[#This Row],[Source Row]]="","",IF(INDEX(Rider_Input[Rider Name],Salary_Calculation[[#This Row],[Source Row]])="","",INDEX(Rider_Input[Rider Name],Salary_Calculation[[#This Row],[Source Row]])))</f>
        <v/>
      </c>
      <c r="D191" s="164" t="str">
        <f aca="false">IF(Salary_Calculation[[#This Row],[Source Row]]="","",IF(INDEX(Rider_Input[Basic Payment],Salary_Calculation[[#This Row],[Source Row]])="","",INDEX(Rider_Input[Basic Payment],Salary_Calculation[[#This Row],[Source Row]])))</f>
        <v/>
      </c>
      <c r="E191" s="162" t="str">
        <f aca="false">IF(Salary_Calculation[[#This Row],[Source Row]]="","",IF(INDEX(Rider_Input[Calendar Days in Month],Salary_Calculation[[#This Row],[Source Row]])="","",INDEX(Rider_Input[Calendar Days in Month],Salary_Calculation[[#This Row],[Source Row]])))</f>
        <v/>
      </c>
      <c r="F191" s="162" t="str">
        <f aca="false">IF(Salary_Calculation[[#This Row],[Source Row]]="","",IF(INDEX(Rider_Input[Working Days],Salary_Calculation[[#This Row],[Source Row]])="","",INDEX(Rider_Input[Working Days],Salary_Calculation[[#This Row],[Source Row]])))</f>
        <v/>
      </c>
      <c r="G191" s="165" t="str">
        <f aca="false">IF(Salary_Calculation[[#This Row],[Source Row]]="","",Std_Orders/Std_Days*N(Salary_Calculation[[#This Row],[Calendar Days]]))</f>
        <v/>
      </c>
      <c r="H191" s="165" t="str">
        <f aca="false">IF(Salary_Calculation[[#This Row],[Source Row]]="","",IF(N(Salary_Calculation[[#This Row],[Calendar Days]])&gt;0,Salary_Calculation[[#This Row],[Monthly Target Orders]]/N(Salary_Calculation[[#This Row],[Calendar Days]])*N(Salary_Calculation[[#This Row],[Working Days]]),0))</f>
        <v/>
      </c>
      <c r="I191" s="166" t="str">
        <f aca="false">IF(Salary_Calculation[[#This Row],[Source Row]]="","",IF(INDEX(Rider_Input[Completed Orders],Salary_Calculation[[#This Row],[Source Row]])="","",INDEX(Rider_Input[Completed Orders],Salary_Calculation[[#This Row],[Source Row]])))</f>
        <v/>
      </c>
      <c r="J191" s="165" t="str">
        <f aca="false">IF(Salary_Calculation[[#This Row],[Source Row]]="","",IF(Rate_Method="Fixed rate",Fixed_Rate,IF(N(Salary_Calculation[[#This Row],[Basic Payment]])&gt;0,N(Salary_Calculation[[#This Row],[Basic Payment]])/Std_Orders,0)))</f>
        <v/>
      </c>
      <c r="K191" s="165" t="str">
        <f aca="false">IF(Salary_Calculation[[#This Row],[Source Row]]="","",MAX(MIN(N(Salary_Calculation[[#This Row],[Completed Orders]]),Salary_Calculation[[#This Row],[Rider Target Orders]]),0))</f>
        <v/>
      </c>
      <c r="L191" s="164" t="str">
        <f aca="false">IF(Salary_Calculation[[#This Row],[Source Row]]="","",Salary_Calculation[[#This Row],[Orders Counted at Base Rate]]*Salary_Calculation[[#This Row],[Base Order Rate]])</f>
        <v/>
      </c>
      <c r="M191" s="165" t="str">
        <f aca="false">IF(Salary_Calculation[[#This Row],[Source Row]]="","",MAX(Salary_Calculation[[#This Row],[Rider Target Orders]]-N(Salary_Calculation[[#This Row],[Completed Orders]]),0))</f>
        <v/>
      </c>
      <c r="N191" s="164" t="str">
        <f aca="false">IF(Salary_Calculation[[#This Row],[Source Row]]="","",Salary_Calculation[[#This Row],[Missing Orders]]*Missing_Rate)</f>
        <v/>
      </c>
      <c r="O191" s="165" t="str">
        <f aca="false">IF(Salary_Calculation[[#This Row],[Source Row]]="","",MAX(N(Salary_Calculation[[#This Row],[Completed Orders]])-Salary_Calculation[[#This Row],[Rider Target Orders]],0))</f>
        <v/>
      </c>
      <c r="P191" s="164" t="str">
        <f aca="false">IF(Salary_Calculation[[#This Row],[Source Row]]="","",Salary_Calculation[[#This Row],[Extra Orders]]*Extra_Rate)</f>
        <v/>
      </c>
      <c r="Q191" s="164" t="str">
        <f aca="false">IF(Salary_Calculation[[#This Row],[Source Row]]="","",MAX(Salary_Calculation[[#This Row],[Salary Before Other Deductions]],0))</f>
        <v/>
      </c>
      <c r="R191" s="164" t="str">
        <f aca="false">IF(Salary_Calculation[[#This Row],[Source Row]]="","",N(INDEX(Rider_Input[missed_days_penalty],Salary_Calculation[[#This Row],[Source Row]])))</f>
        <v/>
      </c>
      <c r="S191" s="164" t="str">
        <f aca="false">IF(Salary_Calculation[[#This Row],[Source Row]]="","",N(INDEX(Rider_Input[Rider Balance / محفظة المندوب],Salary_Calculation[[#This Row],[Source Row]])))</f>
        <v/>
      </c>
      <c r="T191" s="164" t="str">
        <f aca="false">IF(Salary_Calculation[[#This Row],[Source Row]]="","",N(INDEX(Rider_Input[stacking_deduction / خصم الطلبات المتعددة],Salary_Calculation[[#This Row],[Source Row]])))</f>
        <v/>
      </c>
      <c r="U191" s="164" t="str">
        <f aca="false">IF(Salary_Calculation[[#This Row],[Source Row]]="","",N(INDEX(Rider_Input[Other Deductions],Salary_Calculation[[#This Row],[Source Row]])))</f>
        <v/>
      </c>
      <c r="V191" s="164" t="str">
        <f aca="false">IF(Salary_Calculation[[#This Row],[Source Row]]="","",N(Salary_Calculation[[#This Row],[missed_days_penalty]])+N(Salary_Calculation[[#This Row],[Rider Balance]])+N(Salary_Calculation[[#This Row],[stacking_deduction]])+N(Salary_Calculation[[#This Row],[Other Deductions]]))</f>
        <v/>
      </c>
      <c r="W191" s="167" t="str">
        <f aca="false">IF(Salary_Calculation[[#This Row],[Source Row]]="","",ROUND(MAX(Salary_Calculation[[#This Row],[Gross Salary Before Deductions]]-Salary_Calculation[[#This Row],[Total Deductions]],0),2))</f>
        <v/>
      </c>
      <c r="X191" s="164" t="str">
        <f aca="false">IF(Salary_Calculation[[#This Row],[Source Row]]="","",ROUND(MAX(Salary_Calculation[[#This Row],[Missing-Order Deduction]]-Salary_Calculation[[#This Row],[Earned Salary]],0),2))</f>
        <v/>
      </c>
      <c r="Y19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91" s="163" t="str">
        <f aca="false">IF(Salary_Calculation[[#This Row],[Source Row]]="","",IF(INDEX(Rider_Input[Notes],Salary_Calculation[[#This Row],[Source Row]])="","",INDEX(Rider_Input[Notes],Salary_Calculation[[#This Row],[Source Row]])))</f>
        <v/>
      </c>
      <c r="AA191" s="164" t="str">
        <f aca="false">IF(Salary_Calculation[[#This Row],[Source Row]]="","",Salary_Calculation[[#This Row],[Earned Salary]]-Salary_Calculation[[#This Row],[Missing-Order Deduction]]+Salary_Calculation[[#This Row],[Extra-Order Bonus]])</f>
        <v/>
      </c>
      <c r="AB191" s="164" t="str">
        <f aca="false">IF(Salary_Calculation[[#This Row],[Source Row]]="","",ROUND(Salary_Calculation[[#This Row],[Negative Balance / Amount Due from Rider]]+MAX(Salary_Calculation[[#This Row],[Total Deductions]]-Salary_Calculation[[#This Row],[Gross Salary Before Deductions]],0),2))</f>
        <v/>
      </c>
      <c r="AC19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91" s="164" t="str">
        <f aca="false">IF(Salary_Calculation[[#This Row],[Source Row]]="","",Salary_Calculation[[#This Row],[Rider Target Orders]]*Salary_Calculation[[#This Row],[Base Order Rate]])</f>
        <v/>
      </c>
      <c r="AE191" s="162" t="str">
        <f aca="false">IF(SUMPRODUCT(--(LEN(INDEX(Rider_Input[#Data],ROW()-ROW(Salary_Calculation[#Headers]),0))&gt;0))=0,"",ROW()-ROW(Salary_Calculation[#Headers]))</f>
        <v/>
      </c>
    </row>
    <row r="192" customFormat="false" ht="14.25" hidden="false" customHeight="false" outlineLevel="0" collapsed="false">
      <c r="A192" s="161" t="str">
        <f aca="false">IF(Salary_Calculation[[#This Row],[Source Row]]="","",IF(INDEX(Rider_Input[Salary Month],Salary_Calculation[[#This Row],[Source Row]])="","",INDEX(Rider_Input[Salary Month],Salary_Calculation[[#This Row],[Source Row]])))</f>
        <v/>
      </c>
      <c r="B192" s="162" t="str">
        <f aca="false">IF(Salary_Calculation[[#This Row],[Source Row]]="","",IF(INDEX(Rider_Input[Rider ID],Salary_Calculation[[#This Row],[Source Row]])="","",INDEX(Rider_Input[Rider ID],Salary_Calculation[[#This Row],[Source Row]])))</f>
        <v/>
      </c>
      <c r="C192" s="163" t="str">
        <f aca="false">IF(Salary_Calculation[[#This Row],[Source Row]]="","",IF(INDEX(Rider_Input[Rider Name],Salary_Calculation[[#This Row],[Source Row]])="","",INDEX(Rider_Input[Rider Name],Salary_Calculation[[#This Row],[Source Row]])))</f>
        <v/>
      </c>
      <c r="D192" s="164" t="str">
        <f aca="false">IF(Salary_Calculation[[#This Row],[Source Row]]="","",IF(INDEX(Rider_Input[Basic Payment],Salary_Calculation[[#This Row],[Source Row]])="","",INDEX(Rider_Input[Basic Payment],Salary_Calculation[[#This Row],[Source Row]])))</f>
        <v/>
      </c>
      <c r="E192" s="162" t="str">
        <f aca="false">IF(Salary_Calculation[[#This Row],[Source Row]]="","",IF(INDEX(Rider_Input[Calendar Days in Month],Salary_Calculation[[#This Row],[Source Row]])="","",INDEX(Rider_Input[Calendar Days in Month],Salary_Calculation[[#This Row],[Source Row]])))</f>
        <v/>
      </c>
      <c r="F192" s="162" t="str">
        <f aca="false">IF(Salary_Calculation[[#This Row],[Source Row]]="","",IF(INDEX(Rider_Input[Working Days],Salary_Calculation[[#This Row],[Source Row]])="","",INDEX(Rider_Input[Working Days],Salary_Calculation[[#This Row],[Source Row]])))</f>
        <v/>
      </c>
      <c r="G192" s="165" t="str">
        <f aca="false">IF(Salary_Calculation[[#This Row],[Source Row]]="","",Std_Orders/Std_Days*N(Salary_Calculation[[#This Row],[Calendar Days]]))</f>
        <v/>
      </c>
      <c r="H192" s="165" t="str">
        <f aca="false">IF(Salary_Calculation[[#This Row],[Source Row]]="","",IF(N(Salary_Calculation[[#This Row],[Calendar Days]])&gt;0,Salary_Calculation[[#This Row],[Monthly Target Orders]]/N(Salary_Calculation[[#This Row],[Calendar Days]])*N(Salary_Calculation[[#This Row],[Working Days]]),0))</f>
        <v/>
      </c>
      <c r="I192" s="166" t="str">
        <f aca="false">IF(Salary_Calculation[[#This Row],[Source Row]]="","",IF(INDEX(Rider_Input[Completed Orders],Salary_Calculation[[#This Row],[Source Row]])="","",INDEX(Rider_Input[Completed Orders],Salary_Calculation[[#This Row],[Source Row]])))</f>
        <v/>
      </c>
      <c r="J192" s="165" t="str">
        <f aca="false">IF(Salary_Calculation[[#This Row],[Source Row]]="","",IF(Rate_Method="Fixed rate",Fixed_Rate,IF(N(Salary_Calculation[[#This Row],[Basic Payment]])&gt;0,N(Salary_Calculation[[#This Row],[Basic Payment]])/Std_Orders,0)))</f>
        <v/>
      </c>
      <c r="K192" s="165" t="str">
        <f aca="false">IF(Salary_Calculation[[#This Row],[Source Row]]="","",MAX(MIN(N(Salary_Calculation[[#This Row],[Completed Orders]]),Salary_Calculation[[#This Row],[Rider Target Orders]]),0))</f>
        <v/>
      </c>
      <c r="L192" s="164" t="str">
        <f aca="false">IF(Salary_Calculation[[#This Row],[Source Row]]="","",Salary_Calculation[[#This Row],[Orders Counted at Base Rate]]*Salary_Calculation[[#This Row],[Base Order Rate]])</f>
        <v/>
      </c>
      <c r="M192" s="165" t="str">
        <f aca="false">IF(Salary_Calculation[[#This Row],[Source Row]]="","",MAX(Salary_Calculation[[#This Row],[Rider Target Orders]]-N(Salary_Calculation[[#This Row],[Completed Orders]]),0))</f>
        <v/>
      </c>
      <c r="N192" s="164" t="str">
        <f aca="false">IF(Salary_Calculation[[#This Row],[Source Row]]="","",Salary_Calculation[[#This Row],[Missing Orders]]*Missing_Rate)</f>
        <v/>
      </c>
      <c r="O192" s="165" t="str">
        <f aca="false">IF(Salary_Calculation[[#This Row],[Source Row]]="","",MAX(N(Salary_Calculation[[#This Row],[Completed Orders]])-Salary_Calculation[[#This Row],[Rider Target Orders]],0))</f>
        <v/>
      </c>
      <c r="P192" s="164" t="str">
        <f aca="false">IF(Salary_Calculation[[#This Row],[Source Row]]="","",Salary_Calculation[[#This Row],[Extra Orders]]*Extra_Rate)</f>
        <v/>
      </c>
      <c r="Q192" s="164" t="str">
        <f aca="false">IF(Salary_Calculation[[#This Row],[Source Row]]="","",MAX(Salary_Calculation[[#This Row],[Salary Before Other Deductions]],0))</f>
        <v/>
      </c>
      <c r="R192" s="164" t="str">
        <f aca="false">IF(Salary_Calculation[[#This Row],[Source Row]]="","",N(INDEX(Rider_Input[missed_days_penalty],Salary_Calculation[[#This Row],[Source Row]])))</f>
        <v/>
      </c>
      <c r="S192" s="164" t="str">
        <f aca="false">IF(Salary_Calculation[[#This Row],[Source Row]]="","",N(INDEX(Rider_Input[Rider Balance / محفظة المندوب],Salary_Calculation[[#This Row],[Source Row]])))</f>
        <v/>
      </c>
      <c r="T192" s="164" t="str">
        <f aca="false">IF(Salary_Calculation[[#This Row],[Source Row]]="","",N(INDEX(Rider_Input[stacking_deduction / خصم الطلبات المتعددة],Salary_Calculation[[#This Row],[Source Row]])))</f>
        <v/>
      </c>
      <c r="U192" s="164" t="str">
        <f aca="false">IF(Salary_Calculation[[#This Row],[Source Row]]="","",N(INDEX(Rider_Input[Other Deductions],Salary_Calculation[[#This Row],[Source Row]])))</f>
        <v/>
      </c>
      <c r="V192" s="164" t="str">
        <f aca="false">IF(Salary_Calculation[[#This Row],[Source Row]]="","",N(Salary_Calculation[[#This Row],[missed_days_penalty]])+N(Salary_Calculation[[#This Row],[Rider Balance]])+N(Salary_Calculation[[#This Row],[stacking_deduction]])+N(Salary_Calculation[[#This Row],[Other Deductions]]))</f>
        <v/>
      </c>
      <c r="W192" s="167" t="str">
        <f aca="false">IF(Salary_Calculation[[#This Row],[Source Row]]="","",ROUND(MAX(Salary_Calculation[[#This Row],[Gross Salary Before Deductions]]-Salary_Calculation[[#This Row],[Total Deductions]],0),2))</f>
        <v/>
      </c>
      <c r="X192" s="164" t="str">
        <f aca="false">IF(Salary_Calculation[[#This Row],[Source Row]]="","",ROUND(MAX(Salary_Calculation[[#This Row],[Missing-Order Deduction]]-Salary_Calculation[[#This Row],[Earned Salary]],0),2))</f>
        <v/>
      </c>
      <c r="Y19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92" s="163" t="str">
        <f aca="false">IF(Salary_Calculation[[#This Row],[Source Row]]="","",IF(INDEX(Rider_Input[Notes],Salary_Calculation[[#This Row],[Source Row]])="","",INDEX(Rider_Input[Notes],Salary_Calculation[[#This Row],[Source Row]])))</f>
        <v/>
      </c>
      <c r="AA192" s="164" t="str">
        <f aca="false">IF(Salary_Calculation[[#This Row],[Source Row]]="","",Salary_Calculation[[#This Row],[Earned Salary]]-Salary_Calculation[[#This Row],[Missing-Order Deduction]]+Salary_Calculation[[#This Row],[Extra-Order Bonus]])</f>
        <v/>
      </c>
      <c r="AB192" s="164" t="str">
        <f aca="false">IF(Salary_Calculation[[#This Row],[Source Row]]="","",ROUND(Salary_Calculation[[#This Row],[Negative Balance / Amount Due from Rider]]+MAX(Salary_Calculation[[#This Row],[Total Deductions]]-Salary_Calculation[[#This Row],[Gross Salary Before Deductions]],0),2))</f>
        <v/>
      </c>
      <c r="AC19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92" s="164" t="str">
        <f aca="false">IF(Salary_Calculation[[#This Row],[Source Row]]="","",Salary_Calculation[[#This Row],[Rider Target Orders]]*Salary_Calculation[[#This Row],[Base Order Rate]])</f>
        <v/>
      </c>
      <c r="AE192" s="162" t="str">
        <f aca="false">IF(SUMPRODUCT(--(LEN(INDEX(Rider_Input[#Data],ROW()-ROW(Salary_Calculation[#Headers]),0))&gt;0))=0,"",ROW()-ROW(Salary_Calculation[#Headers]))</f>
        <v/>
      </c>
    </row>
    <row r="193" customFormat="false" ht="14.25" hidden="false" customHeight="false" outlineLevel="0" collapsed="false">
      <c r="A193" s="161" t="str">
        <f aca="false">IF(Salary_Calculation[[#This Row],[Source Row]]="","",IF(INDEX(Rider_Input[Salary Month],Salary_Calculation[[#This Row],[Source Row]])="","",INDEX(Rider_Input[Salary Month],Salary_Calculation[[#This Row],[Source Row]])))</f>
        <v/>
      </c>
      <c r="B193" s="162" t="str">
        <f aca="false">IF(Salary_Calculation[[#This Row],[Source Row]]="","",IF(INDEX(Rider_Input[Rider ID],Salary_Calculation[[#This Row],[Source Row]])="","",INDEX(Rider_Input[Rider ID],Salary_Calculation[[#This Row],[Source Row]])))</f>
        <v/>
      </c>
      <c r="C193" s="163" t="str">
        <f aca="false">IF(Salary_Calculation[[#This Row],[Source Row]]="","",IF(INDEX(Rider_Input[Rider Name],Salary_Calculation[[#This Row],[Source Row]])="","",INDEX(Rider_Input[Rider Name],Salary_Calculation[[#This Row],[Source Row]])))</f>
        <v/>
      </c>
      <c r="D193" s="164" t="str">
        <f aca="false">IF(Salary_Calculation[[#This Row],[Source Row]]="","",IF(INDEX(Rider_Input[Basic Payment],Salary_Calculation[[#This Row],[Source Row]])="","",INDEX(Rider_Input[Basic Payment],Salary_Calculation[[#This Row],[Source Row]])))</f>
        <v/>
      </c>
      <c r="E193" s="162" t="str">
        <f aca="false">IF(Salary_Calculation[[#This Row],[Source Row]]="","",IF(INDEX(Rider_Input[Calendar Days in Month],Salary_Calculation[[#This Row],[Source Row]])="","",INDEX(Rider_Input[Calendar Days in Month],Salary_Calculation[[#This Row],[Source Row]])))</f>
        <v/>
      </c>
      <c r="F193" s="162" t="str">
        <f aca="false">IF(Salary_Calculation[[#This Row],[Source Row]]="","",IF(INDEX(Rider_Input[Working Days],Salary_Calculation[[#This Row],[Source Row]])="","",INDEX(Rider_Input[Working Days],Salary_Calculation[[#This Row],[Source Row]])))</f>
        <v/>
      </c>
      <c r="G193" s="165" t="str">
        <f aca="false">IF(Salary_Calculation[[#This Row],[Source Row]]="","",Std_Orders/Std_Days*N(Salary_Calculation[[#This Row],[Calendar Days]]))</f>
        <v/>
      </c>
      <c r="H193" s="165" t="str">
        <f aca="false">IF(Salary_Calculation[[#This Row],[Source Row]]="","",IF(N(Salary_Calculation[[#This Row],[Calendar Days]])&gt;0,Salary_Calculation[[#This Row],[Monthly Target Orders]]/N(Salary_Calculation[[#This Row],[Calendar Days]])*N(Salary_Calculation[[#This Row],[Working Days]]),0))</f>
        <v/>
      </c>
      <c r="I193" s="166" t="str">
        <f aca="false">IF(Salary_Calculation[[#This Row],[Source Row]]="","",IF(INDEX(Rider_Input[Completed Orders],Salary_Calculation[[#This Row],[Source Row]])="","",INDEX(Rider_Input[Completed Orders],Salary_Calculation[[#This Row],[Source Row]])))</f>
        <v/>
      </c>
      <c r="J193" s="165" t="str">
        <f aca="false">IF(Salary_Calculation[[#This Row],[Source Row]]="","",IF(Rate_Method="Fixed rate",Fixed_Rate,IF(N(Salary_Calculation[[#This Row],[Basic Payment]])&gt;0,N(Salary_Calculation[[#This Row],[Basic Payment]])/Std_Orders,0)))</f>
        <v/>
      </c>
      <c r="K193" s="165" t="str">
        <f aca="false">IF(Salary_Calculation[[#This Row],[Source Row]]="","",MAX(MIN(N(Salary_Calculation[[#This Row],[Completed Orders]]),Salary_Calculation[[#This Row],[Rider Target Orders]]),0))</f>
        <v/>
      </c>
      <c r="L193" s="164" t="str">
        <f aca="false">IF(Salary_Calculation[[#This Row],[Source Row]]="","",Salary_Calculation[[#This Row],[Orders Counted at Base Rate]]*Salary_Calculation[[#This Row],[Base Order Rate]])</f>
        <v/>
      </c>
      <c r="M193" s="165" t="str">
        <f aca="false">IF(Salary_Calculation[[#This Row],[Source Row]]="","",MAX(Salary_Calculation[[#This Row],[Rider Target Orders]]-N(Salary_Calculation[[#This Row],[Completed Orders]]),0))</f>
        <v/>
      </c>
      <c r="N193" s="164" t="str">
        <f aca="false">IF(Salary_Calculation[[#This Row],[Source Row]]="","",Salary_Calculation[[#This Row],[Missing Orders]]*Missing_Rate)</f>
        <v/>
      </c>
      <c r="O193" s="165" t="str">
        <f aca="false">IF(Salary_Calculation[[#This Row],[Source Row]]="","",MAX(N(Salary_Calculation[[#This Row],[Completed Orders]])-Salary_Calculation[[#This Row],[Rider Target Orders]],0))</f>
        <v/>
      </c>
      <c r="P193" s="164" t="str">
        <f aca="false">IF(Salary_Calculation[[#This Row],[Source Row]]="","",Salary_Calculation[[#This Row],[Extra Orders]]*Extra_Rate)</f>
        <v/>
      </c>
      <c r="Q193" s="164" t="str">
        <f aca="false">IF(Salary_Calculation[[#This Row],[Source Row]]="","",MAX(Salary_Calculation[[#This Row],[Salary Before Other Deductions]],0))</f>
        <v/>
      </c>
      <c r="R193" s="164" t="str">
        <f aca="false">IF(Salary_Calculation[[#This Row],[Source Row]]="","",N(INDEX(Rider_Input[missed_days_penalty],Salary_Calculation[[#This Row],[Source Row]])))</f>
        <v/>
      </c>
      <c r="S193" s="164" t="str">
        <f aca="false">IF(Salary_Calculation[[#This Row],[Source Row]]="","",N(INDEX(Rider_Input[Rider Balance / محفظة المندوب],Salary_Calculation[[#This Row],[Source Row]])))</f>
        <v/>
      </c>
      <c r="T193" s="164" t="str">
        <f aca="false">IF(Salary_Calculation[[#This Row],[Source Row]]="","",N(INDEX(Rider_Input[stacking_deduction / خصم الطلبات المتعددة],Salary_Calculation[[#This Row],[Source Row]])))</f>
        <v/>
      </c>
      <c r="U193" s="164" t="str">
        <f aca="false">IF(Salary_Calculation[[#This Row],[Source Row]]="","",N(INDEX(Rider_Input[Other Deductions],Salary_Calculation[[#This Row],[Source Row]])))</f>
        <v/>
      </c>
      <c r="V193" s="164" t="str">
        <f aca="false">IF(Salary_Calculation[[#This Row],[Source Row]]="","",N(Salary_Calculation[[#This Row],[missed_days_penalty]])+N(Salary_Calculation[[#This Row],[Rider Balance]])+N(Salary_Calculation[[#This Row],[stacking_deduction]])+N(Salary_Calculation[[#This Row],[Other Deductions]]))</f>
        <v/>
      </c>
      <c r="W193" s="167" t="str">
        <f aca="false">IF(Salary_Calculation[[#This Row],[Source Row]]="","",ROUND(MAX(Salary_Calculation[[#This Row],[Gross Salary Before Deductions]]-Salary_Calculation[[#This Row],[Total Deductions]],0),2))</f>
        <v/>
      </c>
      <c r="X193" s="164" t="str">
        <f aca="false">IF(Salary_Calculation[[#This Row],[Source Row]]="","",ROUND(MAX(Salary_Calculation[[#This Row],[Missing-Order Deduction]]-Salary_Calculation[[#This Row],[Earned Salary]],0),2))</f>
        <v/>
      </c>
      <c r="Y19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93" s="163" t="str">
        <f aca="false">IF(Salary_Calculation[[#This Row],[Source Row]]="","",IF(INDEX(Rider_Input[Notes],Salary_Calculation[[#This Row],[Source Row]])="","",INDEX(Rider_Input[Notes],Salary_Calculation[[#This Row],[Source Row]])))</f>
        <v/>
      </c>
      <c r="AA193" s="164" t="str">
        <f aca="false">IF(Salary_Calculation[[#This Row],[Source Row]]="","",Salary_Calculation[[#This Row],[Earned Salary]]-Salary_Calculation[[#This Row],[Missing-Order Deduction]]+Salary_Calculation[[#This Row],[Extra-Order Bonus]])</f>
        <v/>
      </c>
      <c r="AB193" s="164" t="str">
        <f aca="false">IF(Salary_Calculation[[#This Row],[Source Row]]="","",ROUND(Salary_Calculation[[#This Row],[Negative Balance / Amount Due from Rider]]+MAX(Salary_Calculation[[#This Row],[Total Deductions]]-Salary_Calculation[[#This Row],[Gross Salary Before Deductions]],0),2))</f>
        <v/>
      </c>
      <c r="AC19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93" s="164" t="str">
        <f aca="false">IF(Salary_Calculation[[#This Row],[Source Row]]="","",Salary_Calculation[[#This Row],[Rider Target Orders]]*Salary_Calculation[[#This Row],[Base Order Rate]])</f>
        <v/>
      </c>
      <c r="AE193" s="162" t="str">
        <f aca="false">IF(SUMPRODUCT(--(LEN(INDEX(Rider_Input[#Data],ROW()-ROW(Salary_Calculation[#Headers]),0))&gt;0))=0,"",ROW()-ROW(Salary_Calculation[#Headers]))</f>
        <v/>
      </c>
    </row>
    <row r="194" customFormat="false" ht="14.25" hidden="false" customHeight="false" outlineLevel="0" collapsed="false">
      <c r="A194" s="161" t="str">
        <f aca="false">IF(Salary_Calculation[[#This Row],[Source Row]]="","",IF(INDEX(Rider_Input[Salary Month],Salary_Calculation[[#This Row],[Source Row]])="","",INDEX(Rider_Input[Salary Month],Salary_Calculation[[#This Row],[Source Row]])))</f>
        <v/>
      </c>
      <c r="B194" s="162" t="str">
        <f aca="false">IF(Salary_Calculation[[#This Row],[Source Row]]="","",IF(INDEX(Rider_Input[Rider ID],Salary_Calculation[[#This Row],[Source Row]])="","",INDEX(Rider_Input[Rider ID],Salary_Calculation[[#This Row],[Source Row]])))</f>
        <v/>
      </c>
      <c r="C194" s="163" t="str">
        <f aca="false">IF(Salary_Calculation[[#This Row],[Source Row]]="","",IF(INDEX(Rider_Input[Rider Name],Salary_Calculation[[#This Row],[Source Row]])="","",INDEX(Rider_Input[Rider Name],Salary_Calculation[[#This Row],[Source Row]])))</f>
        <v/>
      </c>
      <c r="D194" s="164" t="str">
        <f aca="false">IF(Salary_Calculation[[#This Row],[Source Row]]="","",IF(INDEX(Rider_Input[Basic Payment],Salary_Calculation[[#This Row],[Source Row]])="","",INDEX(Rider_Input[Basic Payment],Salary_Calculation[[#This Row],[Source Row]])))</f>
        <v/>
      </c>
      <c r="E194" s="162" t="str">
        <f aca="false">IF(Salary_Calculation[[#This Row],[Source Row]]="","",IF(INDEX(Rider_Input[Calendar Days in Month],Salary_Calculation[[#This Row],[Source Row]])="","",INDEX(Rider_Input[Calendar Days in Month],Salary_Calculation[[#This Row],[Source Row]])))</f>
        <v/>
      </c>
      <c r="F194" s="162" t="str">
        <f aca="false">IF(Salary_Calculation[[#This Row],[Source Row]]="","",IF(INDEX(Rider_Input[Working Days],Salary_Calculation[[#This Row],[Source Row]])="","",INDEX(Rider_Input[Working Days],Salary_Calculation[[#This Row],[Source Row]])))</f>
        <v/>
      </c>
      <c r="G194" s="165" t="str">
        <f aca="false">IF(Salary_Calculation[[#This Row],[Source Row]]="","",Std_Orders/Std_Days*N(Salary_Calculation[[#This Row],[Calendar Days]]))</f>
        <v/>
      </c>
      <c r="H194" s="165" t="str">
        <f aca="false">IF(Salary_Calculation[[#This Row],[Source Row]]="","",IF(N(Salary_Calculation[[#This Row],[Calendar Days]])&gt;0,Salary_Calculation[[#This Row],[Monthly Target Orders]]/N(Salary_Calculation[[#This Row],[Calendar Days]])*N(Salary_Calculation[[#This Row],[Working Days]]),0))</f>
        <v/>
      </c>
      <c r="I194" s="166" t="str">
        <f aca="false">IF(Salary_Calculation[[#This Row],[Source Row]]="","",IF(INDEX(Rider_Input[Completed Orders],Salary_Calculation[[#This Row],[Source Row]])="","",INDEX(Rider_Input[Completed Orders],Salary_Calculation[[#This Row],[Source Row]])))</f>
        <v/>
      </c>
      <c r="J194" s="165" t="str">
        <f aca="false">IF(Salary_Calculation[[#This Row],[Source Row]]="","",IF(Rate_Method="Fixed rate",Fixed_Rate,IF(N(Salary_Calculation[[#This Row],[Basic Payment]])&gt;0,N(Salary_Calculation[[#This Row],[Basic Payment]])/Std_Orders,0)))</f>
        <v/>
      </c>
      <c r="K194" s="165" t="str">
        <f aca="false">IF(Salary_Calculation[[#This Row],[Source Row]]="","",MAX(MIN(N(Salary_Calculation[[#This Row],[Completed Orders]]),Salary_Calculation[[#This Row],[Rider Target Orders]]),0))</f>
        <v/>
      </c>
      <c r="L194" s="164" t="str">
        <f aca="false">IF(Salary_Calculation[[#This Row],[Source Row]]="","",Salary_Calculation[[#This Row],[Orders Counted at Base Rate]]*Salary_Calculation[[#This Row],[Base Order Rate]])</f>
        <v/>
      </c>
      <c r="M194" s="165" t="str">
        <f aca="false">IF(Salary_Calculation[[#This Row],[Source Row]]="","",MAX(Salary_Calculation[[#This Row],[Rider Target Orders]]-N(Salary_Calculation[[#This Row],[Completed Orders]]),0))</f>
        <v/>
      </c>
      <c r="N194" s="164" t="str">
        <f aca="false">IF(Salary_Calculation[[#This Row],[Source Row]]="","",Salary_Calculation[[#This Row],[Missing Orders]]*Missing_Rate)</f>
        <v/>
      </c>
      <c r="O194" s="165" t="str">
        <f aca="false">IF(Salary_Calculation[[#This Row],[Source Row]]="","",MAX(N(Salary_Calculation[[#This Row],[Completed Orders]])-Salary_Calculation[[#This Row],[Rider Target Orders]],0))</f>
        <v/>
      </c>
      <c r="P194" s="164" t="str">
        <f aca="false">IF(Salary_Calculation[[#This Row],[Source Row]]="","",Salary_Calculation[[#This Row],[Extra Orders]]*Extra_Rate)</f>
        <v/>
      </c>
      <c r="Q194" s="164" t="str">
        <f aca="false">IF(Salary_Calculation[[#This Row],[Source Row]]="","",MAX(Salary_Calculation[[#This Row],[Salary Before Other Deductions]],0))</f>
        <v/>
      </c>
      <c r="R194" s="164" t="str">
        <f aca="false">IF(Salary_Calculation[[#This Row],[Source Row]]="","",N(INDEX(Rider_Input[missed_days_penalty],Salary_Calculation[[#This Row],[Source Row]])))</f>
        <v/>
      </c>
      <c r="S194" s="164" t="str">
        <f aca="false">IF(Salary_Calculation[[#This Row],[Source Row]]="","",N(INDEX(Rider_Input[Rider Balance / محفظة المندوب],Salary_Calculation[[#This Row],[Source Row]])))</f>
        <v/>
      </c>
      <c r="T194" s="164" t="str">
        <f aca="false">IF(Salary_Calculation[[#This Row],[Source Row]]="","",N(INDEX(Rider_Input[stacking_deduction / خصم الطلبات المتعددة],Salary_Calculation[[#This Row],[Source Row]])))</f>
        <v/>
      </c>
      <c r="U194" s="164" t="str">
        <f aca="false">IF(Salary_Calculation[[#This Row],[Source Row]]="","",N(INDEX(Rider_Input[Other Deductions],Salary_Calculation[[#This Row],[Source Row]])))</f>
        <v/>
      </c>
      <c r="V194" s="164" t="str">
        <f aca="false">IF(Salary_Calculation[[#This Row],[Source Row]]="","",N(Salary_Calculation[[#This Row],[missed_days_penalty]])+N(Salary_Calculation[[#This Row],[Rider Balance]])+N(Salary_Calculation[[#This Row],[stacking_deduction]])+N(Salary_Calculation[[#This Row],[Other Deductions]]))</f>
        <v/>
      </c>
      <c r="W194" s="167" t="str">
        <f aca="false">IF(Salary_Calculation[[#This Row],[Source Row]]="","",ROUND(MAX(Salary_Calculation[[#This Row],[Gross Salary Before Deductions]]-Salary_Calculation[[#This Row],[Total Deductions]],0),2))</f>
        <v/>
      </c>
      <c r="X194" s="164" t="str">
        <f aca="false">IF(Salary_Calculation[[#This Row],[Source Row]]="","",ROUND(MAX(Salary_Calculation[[#This Row],[Missing-Order Deduction]]-Salary_Calculation[[#This Row],[Earned Salary]],0),2))</f>
        <v/>
      </c>
      <c r="Y19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94" s="163" t="str">
        <f aca="false">IF(Salary_Calculation[[#This Row],[Source Row]]="","",IF(INDEX(Rider_Input[Notes],Salary_Calculation[[#This Row],[Source Row]])="","",INDEX(Rider_Input[Notes],Salary_Calculation[[#This Row],[Source Row]])))</f>
        <v/>
      </c>
      <c r="AA194" s="164" t="str">
        <f aca="false">IF(Salary_Calculation[[#This Row],[Source Row]]="","",Salary_Calculation[[#This Row],[Earned Salary]]-Salary_Calculation[[#This Row],[Missing-Order Deduction]]+Salary_Calculation[[#This Row],[Extra-Order Bonus]])</f>
        <v/>
      </c>
      <c r="AB194" s="164" t="str">
        <f aca="false">IF(Salary_Calculation[[#This Row],[Source Row]]="","",ROUND(Salary_Calculation[[#This Row],[Negative Balance / Amount Due from Rider]]+MAX(Salary_Calculation[[#This Row],[Total Deductions]]-Salary_Calculation[[#This Row],[Gross Salary Before Deductions]],0),2))</f>
        <v/>
      </c>
      <c r="AC19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94" s="164" t="str">
        <f aca="false">IF(Salary_Calculation[[#This Row],[Source Row]]="","",Salary_Calculation[[#This Row],[Rider Target Orders]]*Salary_Calculation[[#This Row],[Base Order Rate]])</f>
        <v/>
      </c>
      <c r="AE194" s="162" t="str">
        <f aca="false">IF(SUMPRODUCT(--(LEN(INDEX(Rider_Input[#Data],ROW()-ROW(Salary_Calculation[#Headers]),0))&gt;0))=0,"",ROW()-ROW(Salary_Calculation[#Headers]))</f>
        <v/>
      </c>
    </row>
    <row r="195" customFormat="false" ht="14.25" hidden="false" customHeight="false" outlineLevel="0" collapsed="false">
      <c r="A195" s="161" t="str">
        <f aca="false">IF(Salary_Calculation[[#This Row],[Source Row]]="","",IF(INDEX(Rider_Input[Salary Month],Salary_Calculation[[#This Row],[Source Row]])="","",INDEX(Rider_Input[Salary Month],Salary_Calculation[[#This Row],[Source Row]])))</f>
        <v/>
      </c>
      <c r="B195" s="162" t="str">
        <f aca="false">IF(Salary_Calculation[[#This Row],[Source Row]]="","",IF(INDEX(Rider_Input[Rider ID],Salary_Calculation[[#This Row],[Source Row]])="","",INDEX(Rider_Input[Rider ID],Salary_Calculation[[#This Row],[Source Row]])))</f>
        <v/>
      </c>
      <c r="C195" s="163" t="str">
        <f aca="false">IF(Salary_Calculation[[#This Row],[Source Row]]="","",IF(INDEX(Rider_Input[Rider Name],Salary_Calculation[[#This Row],[Source Row]])="","",INDEX(Rider_Input[Rider Name],Salary_Calculation[[#This Row],[Source Row]])))</f>
        <v/>
      </c>
      <c r="D195" s="164" t="str">
        <f aca="false">IF(Salary_Calculation[[#This Row],[Source Row]]="","",IF(INDEX(Rider_Input[Basic Payment],Salary_Calculation[[#This Row],[Source Row]])="","",INDEX(Rider_Input[Basic Payment],Salary_Calculation[[#This Row],[Source Row]])))</f>
        <v/>
      </c>
      <c r="E195" s="162" t="str">
        <f aca="false">IF(Salary_Calculation[[#This Row],[Source Row]]="","",IF(INDEX(Rider_Input[Calendar Days in Month],Salary_Calculation[[#This Row],[Source Row]])="","",INDEX(Rider_Input[Calendar Days in Month],Salary_Calculation[[#This Row],[Source Row]])))</f>
        <v/>
      </c>
      <c r="F195" s="162" t="str">
        <f aca="false">IF(Salary_Calculation[[#This Row],[Source Row]]="","",IF(INDEX(Rider_Input[Working Days],Salary_Calculation[[#This Row],[Source Row]])="","",INDEX(Rider_Input[Working Days],Salary_Calculation[[#This Row],[Source Row]])))</f>
        <v/>
      </c>
      <c r="G195" s="165" t="str">
        <f aca="false">IF(Salary_Calculation[[#This Row],[Source Row]]="","",Std_Orders/Std_Days*N(Salary_Calculation[[#This Row],[Calendar Days]]))</f>
        <v/>
      </c>
      <c r="H195" s="165" t="str">
        <f aca="false">IF(Salary_Calculation[[#This Row],[Source Row]]="","",IF(N(Salary_Calculation[[#This Row],[Calendar Days]])&gt;0,Salary_Calculation[[#This Row],[Monthly Target Orders]]/N(Salary_Calculation[[#This Row],[Calendar Days]])*N(Salary_Calculation[[#This Row],[Working Days]]),0))</f>
        <v/>
      </c>
      <c r="I195" s="166" t="str">
        <f aca="false">IF(Salary_Calculation[[#This Row],[Source Row]]="","",IF(INDEX(Rider_Input[Completed Orders],Salary_Calculation[[#This Row],[Source Row]])="","",INDEX(Rider_Input[Completed Orders],Salary_Calculation[[#This Row],[Source Row]])))</f>
        <v/>
      </c>
      <c r="J195" s="165" t="str">
        <f aca="false">IF(Salary_Calculation[[#This Row],[Source Row]]="","",IF(Rate_Method="Fixed rate",Fixed_Rate,IF(N(Salary_Calculation[[#This Row],[Basic Payment]])&gt;0,N(Salary_Calculation[[#This Row],[Basic Payment]])/Std_Orders,0)))</f>
        <v/>
      </c>
      <c r="K195" s="165" t="str">
        <f aca="false">IF(Salary_Calculation[[#This Row],[Source Row]]="","",MAX(MIN(N(Salary_Calculation[[#This Row],[Completed Orders]]),Salary_Calculation[[#This Row],[Rider Target Orders]]),0))</f>
        <v/>
      </c>
      <c r="L195" s="164" t="str">
        <f aca="false">IF(Salary_Calculation[[#This Row],[Source Row]]="","",Salary_Calculation[[#This Row],[Orders Counted at Base Rate]]*Salary_Calculation[[#This Row],[Base Order Rate]])</f>
        <v/>
      </c>
      <c r="M195" s="165" t="str">
        <f aca="false">IF(Salary_Calculation[[#This Row],[Source Row]]="","",MAX(Salary_Calculation[[#This Row],[Rider Target Orders]]-N(Salary_Calculation[[#This Row],[Completed Orders]]),0))</f>
        <v/>
      </c>
      <c r="N195" s="164" t="str">
        <f aca="false">IF(Salary_Calculation[[#This Row],[Source Row]]="","",Salary_Calculation[[#This Row],[Missing Orders]]*Missing_Rate)</f>
        <v/>
      </c>
      <c r="O195" s="165" t="str">
        <f aca="false">IF(Salary_Calculation[[#This Row],[Source Row]]="","",MAX(N(Salary_Calculation[[#This Row],[Completed Orders]])-Salary_Calculation[[#This Row],[Rider Target Orders]],0))</f>
        <v/>
      </c>
      <c r="P195" s="164" t="str">
        <f aca="false">IF(Salary_Calculation[[#This Row],[Source Row]]="","",Salary_Calculation[[#This Row],[Extra Orders]]*Extra_Rate)</f>
        <v/>
      </c>
      <c r="Q195" s="164" t="str">
        <f aca="false">IF(Salary_Calculation[[#This Row],[Source Row]]="","",MAX(Salary_Calculation[[#This Row],[Salary Before Other Deductions]],0))</f>
        <v/>
      </c>
      <c r="R195" s="164" t="str">
        <f aca="false">IF(Salary_Calculation[[#This Row],[Source Row]]="","",N(INDEX(Rider_Input[missed_days_penalty],Salary_Calculation[[#This Row],[Source Row]])))</f>
        <v/>
      </c>
      <c r="S195" s="164" t="str">
        <f aca="false">IF(Salary_Calculation[[#This Row],[Source Row]]="","",N(INDEX(Rider_Input[Rider Balance / محفظة المندوب],Salary_Calculation[[#This Row],[Source Row]])))</f>
        <v/>
      </c>
      <c r="T195" s="164" t="str">
        <f aca="false">IF(Salary_Calculation[[#This Row],[Source Row]]="","",N(INDEX(Rider_Input[stacking_deduction / خصم الطلبات المتعددة],Salary_Calculation[[#This Row],[Source Row]])))</f>
        <v/>
      </c>
      <c r="U195" s="164" t="str">
        <f aca="false">IF(Salary_Calculation[[#This Row],[Source Row]]="","",N(INDEX(Rider_Input[Other Deductions],Salary_Calculation[[#This Row],[Source Row]])))</f>
        <v/>
      </c>
      <c r="V195" s="164" t="str">
        <f aca="false">IF(Salary_Calculation[[#This Row],[Source Row]]="","",N(Salary_Calculation[[#This Row],[missed_days_penalty]])+N(Salary_Calculation[[#This Row],[Rider Balance]])+N(Salary_Calculation[[#This Row],[stacking_deduction]])+N(Salary_Calculation[[#This Row],[Other Deductions]]))</f>
        <v/>
      </c>
      <c r="W195" s="167" t="str">
        <f aca="false">IF(Salary_Calculation[[#This Row],[Source Row]]="","",ROUND(MAX(Salary_Calculation[[#This Row],[Gross Salary Before Deductions]]-Salary_Calculation[[#This Row],[Total Deductions]],0),2))</f>
        <v/>
      </c>
      <c r="X195" s="164" t="str">
        <f aca="false">IF(Salary_Calculation[[#This Row],[Source Row]]="","",ROUND(MAX(Salary_Calculation[[#This Row],[Missing-Order Deduction]]-Salary_Calculation[[#This Row],[Earned Salary]],0),2))</f>
        <v/>
      </c>
      <c r="Y19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95" s="163" t="str">
        <f aca="false">IF(Salary_Calculation[[#This Row],[Source Row]]="","",IF(INDEX(Rider_Input[Notes],Salary_Calculation[[#This Row],[Source Row]])="","",INDEX(Rider_Input[Notes],Salary_Calculation[[#This Row],[Source Row]])))</f>
        <v/>
      </c>
      <c r="AA195" s="164" t="str">
        <f aca="false">IF(Salary_Calculation[[#This Row],[Source Row]]="","",Salary_Calculation[[#This Row],[Earned Salary]]-Salary_Calculation[[#This Row],[Missing-Order Deduction]]+Salary_Calculation[[#This Row],[Extra-Order Bonus]])</f>
        <v/>
      </c>
      <c r="AB195" s="164" t="str">
        <f aca="false">IF(Salary_Calculation[[#This Row],[Source Row]]="","",ROUND(Salary_Calculation[[#This Row],[Negative Balance / Amount Due from Rider]]+MAX(Salary_Calculation[[#This Row],[Total Deductions]]-Salary_Calculation[[#This Row],[Gross Salary Before Deductions]],0),2))</f>
        <v/>
      </c>
      <c r="AC19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95" s="164" t="str">
        <f aca="false">IF(Salary_Calculation[[#This Row],[Source Row]]="","",Salary_Calculation[[#This Row],[Rider Target Orders]]*Salary_Calculation[[#This Row],[Base Order Rate]])</f>
        <v/>
      </c>
      <c r="AE195" s="162" t="str">
        <f aca="false">IF(SUMPRODUCT(--(LEN(INDEX(Rider_Input[#Data],ROW()-ROW(Salary_Calculation[#Headers]),0))&gt;0))=0,"",ROW()-ROW(Salary_Calculation[#Headers]))</f>
        <v/>
      </c>
    </row>
    <row r="196" customFormat="false" ht="14.25" hidden="false" customHeight="false" outlineLevel="0" collapsed="false">
      <c r="A196" s="161" t="str">
        <f aca="false">IF(Salary_Calculation[[#This Row],[Source Row]]="","",IF(INDEX(Rider_Input[Salary Month],Salary_Calculation[[#This Row],[Source Row]])="","",INDEX(Rider_Input[Salary Month],Salary_Calculation[[#This Row],[Source Row]])))</f>
        <v/>
      </c>
      <c r="B196" s="162" t="str">
        <f aca="false">IF(Salary_Calculation[[#This Row],[Source Row]]="","",IF(INDEX(Rider_Input[Rider ID],Salary_Calculation[[#This Row],[Source Row]])="","",INDEX(Rider_Input[Rider ID],Salary_Calculation[[#This Row],[Source Row]])))</f>
        <v/>
      </c>
      <c r="C196" s="163" t="str">
        <f aca="false">IF(Salary_Calculation[[#This Row],[Source Row]]="","",IF(INDEX(Rider_Input[Rider Name],Salary_Calculation[[#This Row],[Source Row]])="","",INDEX(Rider_Input[Rider Name],Salary_Calculation[[#This Row],[Source Row]])))</f>
        <v/>
      </c>
      <c r="D196" s="164" t="str">
        <f aca="false">IF(Salary_Calculation[[#This Row],[Source Row]]="","",IF(INDEX(Rider_Input[Basic Payment],Salary_Calculation[[#This Row],[Source Row]])="","",INDEX(Rider_Input[Basic Payment],Salary_Calculation[[#This Row],[Source Row]])))</f>
        <v/>
      </c>
      <c r="E196" s="162" t="str">
        <f aca="false">IF(Salary_Calculation[[#This Row],[Source Row]]="","",IF(INDEX(Rider_Input[Calendar Days in Month],Salary_Calculation[[#This Row],[Source Row]])="","",INDEX(Rider_Input[Calendar Days in Month],Salary_Calculation[[#This Row],[Source Row]])))</f>
        <v/>
      </c>
      <c r="F196" s="162" t="str">
        <f aca="false">IF(Salary_Calculation[[#This Row],[Source Row]]="","",IF(INDEX(Rider_Input[Working Days],Salary_Calculation[[#This Row],[Source Row]])="","",INDEX(Rider_Input[Working Days],Salary_Calculation[[#This Row],[Source Row]])))</f>
        <v/>
      </c>
      <c r="G196" s="165" t="str">
        <f aca="false">IF(Salary_Calculation[[#This Row],[Source Row]]="","",Std_Orders/Std_Days*N(Salary_Calculation[[#This Row],[Calendar Days]]))</f>
        <v/>
      </c>
      <c r="H196" s="165" t="str">
        <f aca="false">IF(Salary_Calculation[[#This Row],[Source Row]]="","",IF(N(Salary_Calculation[[#This Row],[Calendar Days]])&gt;0,Salary_Calculation[[#This Row],[Monthly Target Orders]]/N(Salary_Calculation[[#This Row],[Calendar Days]])*N(Salary_Calculation[[#This Row],[Working Days]]),0))</f>
        <v/>
      </c>
      <c r="I196" s="166" t="str">
        <f aca="false">IF(Salary_Calculation[[#This Row],[Source Row]]="","",IF(INDEX(Rider_Input[Completed Orders],Salary_Calculation[[#This Row],[Source Row]])="","",INDEX(Rider_Input[Completed Orders],Salary_Calculation[[#This Row],[Source Row]])))</f>
        <v/>
      </c>
      <c r="J196" s="165" t="str">
        <f aca="false">IF(Salary_Calculation[[#This Row],[Source Row]]="","",IF(Rate_Method="Fixed rate",Fixed_Rate,IF(N(Salary_Calculation[[#This Row],[Basic Payment]])&gt;0,N(Salary_Calculation[[#This Row],[Basic Payment]])/Std_Orders,0)))</f>
        <v/>
      </c>
      <c r="K196" s="165" t="str">
        <f aca="false">IF(Salary_Calculation[[#This Row],[Source Row]]="","",MAX(MIN(N(Salary_Calculation[[#This Row],[Completed Orders]]),Salary_Calculation[[#This Row],[Rider Target Orders]]),0))</f>
        <v/>
      </c>
      <c r="L196" s="164" t="str">
        <f aca="false">IF(Salary_Calculation[[#This Row],[Source Row]]="","",Salary_Calculation[[#This Row],[Orders Counted at Base Rate]]*Salary_Calculation[[#This Row],[Base Order Rate]])</f>
        <v/>
      </c>
      <c r="M196" s="165" t="str">
        <f aca="false">IF(Salary_Calculation[[#This Row],[Source Row]]="","",MAX(Salary_Calculation[[#This Row],[Rider Target Orders]]-N(Salary_Calculation[[#This Row],[Completed Orders]]),0))</f>
        <v/>
      </c>
      <c r="N196" s="164" t="str">
        <f aca="false">IF(Salary_Calculation[[#This Row],[Source Row]]="","",Salary_Calculation[[#This Row],[Missing Orders]]*Missing_Rate)</f>
        <v/>
      </c>
      <c r="O196" s="165" t="str">
        <f aca="false">IF(Salary_Calculation[[#This Row],[Source Row]]="","",MAX(N(Salary_Calculation[[#This Row],[Completed Orders]])-Salary_Calculation[[#This Row],[Rider Target Orders]],0))</f>
        <v/>
      </c>
      <c r="P196" s="164" t="str">
        <f aca="false">IF(Salary_Calculation[[#This Row],[Source Row]]="","",Salary_Calculation[[#This Row],[Extra Orders]]*Extra_Rate)</f>
        <v/>
      </c>
      <c r="Q196" s="164" t="str">
        <f aca="false">IF(Salary_Calculation[[#This Row],[Source Row]]="","",MAX(Salary_Calculation[[#This Row],[Salary Before Other Deductions]],0))</f>
        <v/>
      </c>
      <c r="R196" s="164" t="str">
        <f aca="false">IF(Salary_Calculation[[#This Row],[Source Row]]="","",N(INDEX(Rider_Input[missed_days_penalty],Salary_Calculation[[#This Row],[Source Row]])))</f>
        <v/>
      </c>
      <c r="S196" s="164" t="str">
        <f aca="false">IF(Salary_Calculation[[#This Row],[Source Row]]="","",N(INDEX(Rider_Input[Rider Balance / محفظة المندوب],Salary_Calculation[[#This Row],[Source Row]])))</f>
        <v/>
      </c>
      <c r="T196" s="164" t="str">
        <f aca="false">IF(Salary_Calculation[[#This Row],[Source Row]]="","",N(INDEX(Rider_Input[stacking_deduction / خصم الطلبات المتعددة],Salary_Calculation[[#This Row],[Source Row]])))</f>
        <v/>
      </c>
      <c r="U196" s="164" t="str">
        <f aca="false">IF(Salary_Calculation[[#This Row],[Source Row]]="","",N(INDEX(Rider_Input[Other Deductions],Salary_Calculation[[#This Row],[Source Row]])))</f>
        <v/>
      </c>
      <c r="V196" s="164" t="str">
        <f aca="false">IF(Salary_Calculation[[#This Row],[Source Row]]="","",N(Salary_Calculation[[#This Row],[missed_days_penalty]])+N(Salary_Calculation[[#This Row],[Rider Balance]])+N(Salary_Calculation[[#This Row],[stacking_deduction]])+N(Salary_Calculation[[#This Row],[Other Deductions]]))</f>
        <v/>
      </c>
      <c r="W196" s="167" t="str">
        <f aca="false">IF(Salary_Calculation[[#This Row],[Source Row]]="","",ROUND(MAX(Salary_Calculation[[#This Row],[Gross Salary Before Deductions]]-Salary_Calculation[[#This Row],[Total Deductions]],0),2))</f>
        <v/>
      </c>
      <c r="X196" s="164" t="str">
        <f aca="false">IF(Salary_Calculation[[#This Row],[Source Row]]="","",ROUND(MAX(Salary_Calculation[[#This Row],[Missing-Order Deduction]]-Salary_Calculation[[#This Row],[Earned Salary]],0),2))</f>
        <v/>
      </c>
      <c r="Y19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96" s="163" t="str">
        <f aca="false">IF(Salary_Calculation[[#This Row],[Source Row]]="","",IF(INDEX(Rider_Input[Notes],Salary_Calculation[[#This Row],[Source Row]])="","",INDEX(Rider_Input[Notes],Salary_Calculation[[#This Row],[Source Row]])))</f>
        <v/>
      </c>
      <c r="AA196" s="164" t="str">
        <f aca="false">IF(Salary_Calculation[[#This Row],[Source Row]]="","",Salary_Calculation[[#This Row],[Earned Salary]]-Salary_Calculation[[#This Row],[Missing-Order Deduction]]+Salary_Calculation[[#This Row],[Extra-Order Bonus]])</f>
        <v/>
      </c>
      <c r="AB196" s="164" t="str">
        <f aca="false">IF(Salary_Calculation[[#This Row],[Source Row]]="","",ROUND(Salary_Calculation[[#This Row],[Negative Balance / Amount Due from Rider]]+MAX(Salary_Calculation[[#This Row],[Total Deductions]]-Salary_Calculation[[#This Row],[Gross Salary Before Deductions]],0),2))</f>
        <v/>
      </c>
      <c r="AC19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96" s="164" t="str">
        <f aca="false">IF(Salary_Calculation[[#This Row],[Source Row]]="","",Salary_Calculation[[#This Row],[Rider Target Orders]]*Salary_Calculation[[#This Row],[Base Order Rate]])</f>
        <v/>
      </c>
      <c r="AE196" s="162" t="str">
        <f aca="false">IF(SUMPRODUCT(--(LEN(INDEX(Rider_Input[#Data],ROW()-ROW(Salary_Calculation[#Headers]),0))&gt;0))=0,"",ROW()-ROW(Salary_Calculation[#Headers]))</f>
        <v/>
      </c>
    </row>
    <row r="197" customFormat="false" ht="14.25" hidden="false" customHeight="false" outlineLevel="0" collapsed="false">
      <c r="A197" s="161" t="str">
        <f aca="false">IF(Salary_Calculation[[#This Row],[Source Row]]="","",IF(INDEX(Rider_Input[Salary Month],Salary_Calculation[[#This Row],[Source Row]])="","",INDEX(Rider_Input[Salary Month],Salary_Calculation[[#This Row],[Source Row]])))</f>
        <v/>
      </c>
      <c r="B197" s="162" t="str">
        <f aca="false">IF(Salary_Calculation[[#This Row],[Source Row]]="","",IF(INDEX(Rider_Input[Rider ID],Salary_Calculation[[#This Row],[Source Row]])="","",INDEX(Rider_Input[Rider ID],Salary_Calculation[[#This Row],[Source Row]])))</f>
        <v/>
      </c>
      <c r="C197" s="163" t="str">
        <f aca="false">IF(Salary_Calculation[[#This Row],[Source Row]]="","",IF(INDEX(Rider_Input[Rider Name],Salary_Calculation[[#This Row],[Source Row]])="","",INDEX(Rider_Input[Rider Name],Salary_Calculation[[#This Row],[Source Row]])))</f>
        <v/>
      </c>
      <c r="D197" s="164" t="str">
        <f aca="false">IF(Salary_Calculation[[#This Row],[Source Row]]="","",IF(INDEX(Rider_Input[Basic Payment],Salary_Calculation[[#This Row],[Source Row]])="","",INDEX(Rider_Input[Basic Payment],Salary_Calculation[[#This Row],[Source Row]])))</f>
        <v/>
      </c>
      <c r="E197" s="162" t="str">
        <f aca="false">IF(Salary_Calculation[[#This Row],[Source Row]]="","",IF(INDEX(Rider_Input[Calendar Days in Month],Salary_Calculation[[#This Row],[Source Row]])="","",INDEX(Rider_Input[Calendar Days in Month],Salary_Calculation[[#This Row],[Source Row]])))</f>
        <v/>
      </c>
      <c r="F197" s="162" t="str">
        <f aca="false">IF(Salary_Calculation[[#This Row],[Source Row]]="","",IF(INDEX(Rider_Input[Working Days],Salary_Calculation[[#This Row],[Source Row]])="","",INDEX(Rider_Input[Working Days],Salary_Calculation[[#This Row],[Source Row]])))</f>
        <v/>
      </c>
      <c r="G197" s="165" t="str">
        <f aca="false">IF(Salary_Calculation[[#This Row],[Source Row]]="","",Std_Orders/Std_Days*N(Salary_Calculation[[#This Row],[Calendar Days]]))</f>
        <v/>
      </c>
      <c r="H197" s="165" t="str">
        <f aca="false">IF(Salary_Calculation[[#This Row],[Source Row]]="","",IF(N(Salary_Calculation[[#This Row],[Calendar Days]])&gt;0,Salary_Calculation[[#This Row],[Monthly Target Orders]]/N(Salary_Calculation[[#This Row],[Calendar Days]])*N(Salary_Calculation[[#This Row],[Working Days]]),0))</f>
        <v/>
      </c>
      <c r="I197" s="166" t="str">
        <f aca="false">IF(Salary_Calculation[[#This Row],[Source Row]]="","",IF(INDEX(Rider_Input[Completed Orders],Salary_Calculation[[#This Row],[Source Row]])="","",INDEX(Rider_Input[Completed Orders],Salary_Calculation[[#This Row],[Source Row]])))</f>
        <v/>
      </c>
      <c r="J197" s="165" t="str">
        <f aca="false">IF(Salary_Calculation[[#This Row],[Source Row]]="","",IF(Rate_Method="Fixed rate",Fixed_Rate,IF(N(Salary_Calculation[[#This Row],[Basic Payment]])&gt;0,N(Salary_Calculation[[#This Row],[Basic Payment]])/Std_Orders,0)))</f>
        <v/>
      </c>
      <c r="K197" s="165" t="str">
        <f aca="false">IF(Salary_Calculation[[#This Row],[Source Row]]="","",MAX(MIN(N(Salary_Calculation[[#This Row],[Completed Orders]]),Salary_Calculation[[#This Row],[Rider Target Orders]]),0))</f>
        <v/>
      </c>
      <c r="L197" s="164" t="str">
        <f aca="false">IF(Salary_Calculation[[#This Row],[Source Row]]="","",Salary_Calculation[[#This Row],[Orders Counted at Base Rate]]*Salary_Calculation[[#This Row],[Base Order Rate]])</f>
        <v/>
      </c>
      <c r="M197" s="165" t="str">
        <f aca="false">IF(Salary_Calculation[[#This Row],[Source Row]]="","",MAX(Salary_Calculation[[#This Row],[Rider Target Orders]]-N(Salary_Calculation[[#This Row],[Completed Orders]]),0))</f>
        <v/>
      </c>
      <c r="N197" s="164" t="str">
        <f aca="false">IF(Salary_Calculation[[#This Row],[Source Row]]="","",Salary_Calculation[[#This Row],[Missing Orders]]*Missing_Rate)</f>
        <v/>
      </c>
      <c r="O197" s="165" t="str">
        <f aca="false">IF(Salary_Calculation[[#This Row],[Source Row]]="","",MAX(N(Salary_Calculation[[#This Row],[Completed Orders]])-Salary_Calculation[[#This Row],[Rider Target Orders]],0))</f>
        <v/>
      </c>
      <c r="P197" s="164" t="str">
        <f aca="false">IF(Salary_Calculation[[#This Row],[Source Row]]="","",Salary_Calculation[[#This Row],[Extra Orders]]*Extra_Rate)</f>
        <v/>
      </c>
      <c r="Q197" s="164" t="str">
        <f aca="false">IF(Salary_Calculation[[#This Row],[Source Row]]="","",MAX(Salary_Calculation[[#This Row],[Salary Before Other Deductions]],0))</f>
        <v/>
      </c>
      <c r="R197" s="164" t="str">
        <f aca="false">IF(Salary_Calculation[[#This Row],[Source Row]]="","",N(INDEX(Rider_Input[missed_days_penalty],Salary_Calculation[[#This Row],[Source Row]])))</f>
        <v/>
      </c>
      <c r="S197" s="164" t="str">
        <f aca="false">IF(Salary_Calculation[[#This Row],[Source Row]]="","",N(INDEX(Rider_Input[Rider Balance / محفظة المندوب],Salary_Calculation[[#This Row],[Source Row]])))</f>
        <v/>
      </c>
      <c r="T197" s="164" t="str">
        <f aca="false">IF(Salary_Calculation[[#This Row],[Source Row]]="","",N(INDEX(Rider_Input[stacking_deduction / خصم الطلبات المتعددة],Salary_Calculation[[#This Row],[Source Row]])))</f>
        <v/>
      </c>
      <c r="U197" s="164" t="str">
        <f aca="false">IF(Salary_Calculation[[#This Row],[Source Row]]="","",N(INDEX(Rider_Input[Other Deductions],Salary_Calculation[[#This Row],[Source Row]])))</f>
        <v/>
      </c>
      <c r="V197" s="164" t="str">
        <f aca="false">IF(Salary_Calculation[[#This Row],[Source Row]]="","",N(Salary_Calculation[[#This Row],[missed_days_penalty]])+N(Salary_Calculation[[#This Row],[Rider Balance]])+N(Salary_Calculation[[#This Row],[stacking_deduction]])+N(Salary_Calculation[[#This Row],[Other Deductions]]))</f>
        <v/>
      </c>
      <c r="W197" s="167" t="str">
        <f aca="false">IF(Salary_Calculation[[#This Row],[Source Row]]="","",ROUND(MAX(Salary_Calculation[[#This Row],[Gross Salary Before Deductions]]-Salary_Calculation[[#This Row],[Total Deductions]],0),2))</f>
        <v/>
      </c>
      <c r="X197" s="164" t="str">
        <f aca="false">IF(Salary_Calculation[[#This Row],[Source Row]]="","",ROUND(MAX(Salary_Calculation[[#This Row],[Missing-Order Deduction]]-Salary_Calculation[[#This Row],[Earned Salary]],0),2))</f>
        <v/>
      </c>
      <c r="Y19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97" s="163" t="str">
        <f aca="false">IF(Salary_Calculation[[#This Row],[Source Row]]="","",IF(INDEX(Rider_Input[Notes],Salary_Calculation[[#This Row],[Source Row]])="","",INDEX(Rider_Input[Notes],Salary_Calculation[[#This Row],[Source Row]])))</f>
        <v/>
      </c>
      <c r="AA197" s="164" t="str">
        <f aca="false">IF(Salary_Calculation[[#This Row],[Source Row]]="","",Salary_Calculation[[#This Row],[Earned Salary]]-Salary_Calculation[[#This Row],[Missing-Order Deduction]]+Salary_Calculation[[#This Row],[Extra-Order Bonus]])</f>
        <v/>
      </c>
      <c r="AB197" s="164" t="str">
        <f aca="false">IF(Salary_Calculation[[#This Row],[Source Row]]="","",ROUND(Salary_Calculation[[#This Row],[Negative Balance / Amount Due from Rider]]+MAX(Salary_Calculation[[#This Row],[Total Deductions]]-Salary_Calculation[[#This Row],[Gross Salary Before Deductions]],0),2))</f>
        <v/>
      </c>
      <c r="AC19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97" s="164" t="str">
        <f aca="false">IF(Salary_Calculation[[#This Row],[Source Row]]="","",Salary_Calculation[[#This Row],[Rider Target Orders]]*Salary_Calculation[[#This Row],[Base Order Rate]])</f>
        <v/>
      </c>
      <c r="AE197" s="162" t="str">
        <f aca="false">IF(SUMPRODUCT(--(LEN(INDEX(Rider_Input[#Data],ROW()-ROW(Salary_Calculation[#Headers]),0))&gt;0))=0,"",ROW()-ROW(Salary_Calculation[#Headers]))</f>
        <v/>
      </c>
    </row>
    <row r="198" customFormat="false" ht="14.25" hidden="false" customHeight="false" outlineLevel="0" collapsed="false">
      <c r="A198" s="161" t="str">
        <f aca="false">IF(Salary_Calculation[[#This Row],[Source Row]]="","",IF(INDEX(Rider_Input[Salary Month],Salary_Calculation[[#This Row],[Source Row]])="","",INDEX(Rider_Input[Salary Month],Salary_Calculation[[#This Row],[Source Row]])))</f>
        <v/>
      </c>
      <c r="B198" s="162" t="str">
        <f aca="false">IF(Salary_Calculation[[#This Row],[Source Row]]="","",IF(INDEX(Rider_Input[Rider ID],Salary_Calculation[[#This Row],[Source Row]])="","",INDEX(Rider_Input[Rider ID],Salary_Calculation[[#This Row],[Source Row]])))</f>
        <v/>
      </c>
      <c r="C198" s="163" t="str">
        <f aca="false">IF(Salary_Calculation[[#This Row],[Source Row]]="","",IF(INDEX(Rider_Input[Rider Name],Salary_Calculation[[#This Row],[Source Row]])="","",INDEX(Rider_Input[Rider Name],Salary_Calculation[[#This Row],[Source Row]])))</f>
        <v/>
      </c>
      <c r="D198" s="164" t="str">
        <f aca="false">IF(Salary_Calculation[[#This Row],[Source Row]]="","",IF(INDEX(Rider_Input[Basic Payment],Salary_Calculation[[#This Row],[Source Row]])="","",INDEX(Rider_Input[Basic Payment],Salary_Calculation[[#This Row],[Source Row]])))</f>
        <v/>
      </c>
      <c r="E198" s="162" t="str">
        <f aca="false">IF(Salary_Calculation[[#This Row],[Source Row]]="","",IF(INDEX(Rider_Input[Calendar Days in Month],Salary_Calculation[[#This Row],[Source Row]])="","",INDEX(Rider_Input[Calendar Days in Month],Salary_Calculation[[#This Row],[Source Row]])))</f>
        <v/>
      </c>
      <c r="F198" s="162" t="str">
        <f aca="false">IF(Salary_Calculation[[#This Row],[Source Row]]="","",IF(INDEX(Rider_Input[Working Days],Salary_Calculation[[#This Row],[Source Row]])="","",INDEX(Rider_Input[Working Days],Salary_Calculation[[#This Row],[Source Row]])))</f>
        <v/>
      </c>
      <c r="G198" s="165" t="str">
        <f aca="false">IF(Salary_Calculation[[#This Row],[Source Row]]="","",Std_Orders/Std_Days*N(Salary_Calculation[[#This Row],[Calendar Days]]))</f>
        <v/>
      </c>
      <c r="H198" s="165" t="str">
        <f aca="false">IF(Salary_Calculation[[#This Row],[Source Row]]="","",IF(N(Salary_Calculation[[#This Row],[Calendar Days]])&gt;0,Salary_Calculation[[#This Row],[Monthly Target Orders]]/N(Salary_Calculation[[#This Row],[Calendar Days]])*N(Salary_Calculation[[#This Row],[Working Days]]),0))</f>
        <v/>
      </c>
      <c r="I198" s="166" t="str">
        <f aca="false">IF(Salary_Calculation[[#This Row],[Source Row]]="","",IF(INDEX(Rider_Input[Completed Orders],Salary_Calculation[[#This Row],[Source Row]])="","",INDEX(Rider_Input[Completed Orders],Salary_Calculation[[#This Row],[Source Row]])))</f>
        <v/>
      </c>
      <c r="J198" s="165" t="str">
        <f aca="false">IF(Salary_Calculation[[#This Row],[Source Row]]="","",IF(Rate_Method="Fixed rate",Fixed_Rate,IF(N(Salary_Calculation[[#This Row],[Basic Payment]])&gt;0,N(Salary_Calculation[[#This Row],[Basic Payment]])/Std_Orders,0)))</f>
        <v/>
      </c>
      <c r="K198" s="165" t="str">
        <f aca="false">IF(Salary_Calculation[[#This Row],[Source Row]]="","",MAX(MIN(N(Salary_Calculation[[#This Row],[Completed Orders]]),Salary_Calculation[[#This Row],[Rider Target Orders]]),0))</f>
        <v/>
      </c>
      <c r="L198" s="164" t="str">
        <f aca="false">IF(Salary_Calculation[[#This Row],[Source Row]]="","",Salary_Calculation[[#This Row],[Orders Counted at Base Rate]]*Salary_Calculation[[#This Row],[Base Order Rate]])</f>
        <v/>
      </c>
      <c r="M198" s="165" t="str">
        <f aca="false">IF(Salary_Calculation[[#This Row],[Source Row]]="","",MAX(Salary_Calculation[[#This Row],[Rider Target Orders]]-N(Salary_Calculation[[#This Row],[Completed Orders]]),0))</f>
        <v/>
      </c>
      <c r="N198" s="164" t="str">
        <f aca="false">IF(Salary_Calculation[[#This Row],[Source Row]]="","",Salary_Calculation[[#This Row],[Missing Orders]]*Missing_Rate)</f>
        <v/>
      </c>
      <c r="O198" s="165" t="str">
        <f aca="false">IF(Salary_Calculation[[#This Row],[Source Row]]="","",MAX(N(Salary_Calculation[[#This Row],[Completed Orders]])-Salary_Calculation[[#This Row],[Rider Target Orders]],0))</f>
        <v/>
      </c>
      <c r="P198" s="164" t="str">
        <f aca="false">IF(Salary_Calculation[[#This Row],[Source Row]]="","",Salary_Calculation[[#This Row],[Extra Orders]]*Extra_Rate)</f>
        <v/>
      </c>
      <c r="Q198" s="164" t="str">
        <f aca="false">IF(Salary_Calculation[[#This Row],[Source Row]]="","",MAX(Salary_Calculation[[#This Row],[Salary Before Other Deductions]],0))</f>
        <v/>
      </c>
      <c r="R198" s="164" t="str">
        <f aca="false">IF(Salary_Calculation[[#This Row],[Source Row]]="","",N(INDEX(Rider_Input[missed_days_penalty],Salary_Calculation[[#This Row],[Source Row]])))</f>
        <v/>
      </c>
      <c r="S198" s="164" t="str">
        <f aca="false">IF(Salary_Calculation[[#This Row],[Source Row]]="","",N(INDEX(Rider_Input[Rider Balance / محفظة المندوب],Salary_Calculation[[#This Row],[Source Row]])))</f>
        <v/>
      </c>
      <c r="T198" s="164" t="str">
        <f aca="false">IF(Salary_Calculation[[#This Row],[Source Row]]="","",N(INDEX(Rider_Input[stacking_deduction / خصم الطلبات المتعددة],Salary_Calculation[[#This Row],[Source Row]])))</f>
        <v/>
      </c>
      <c r="U198" s="164" t="str">
        <f aca="false">IF(Salary_Calculation[[#This Row],[Source Row]]="","",N(INDEX(Rider_Input[Other Deductions],Salary_Calculation[[#This Row],[Source Row]])))</f>
        <v/>
      </c>
      <c r="V198" s="164" t="str">
        <f aca="false">IF(Salary_Calculation[[#This Row],[Source Row]]="","",N(Salary_Calculation[[#This Row],[missed_days_penalty]])+N(Salary_Calculation[[#This Row],[Rider Balance]])+N(Salary_Calculation[[#This Row],[stacking_deduction]])+N(Salary_Calculation[[#This Row],[Other Deductions]]))</f>
        <v/>
      </c>
      <c r="W198" s="167" t="str">
        <f aca="false">IF(Salary_Calculation[[#This Row],[Source Row]]="","",ROUND(MAX(Salary_Calculation[[#This Row],[Gross Salary Before Deductions]]-Salary_Calculation[[#This Row],[Total Deductions]],0),2))</f>
        <v/>
      </c>
      <c r="X198" s="164" t="str">
        <f aca="false">IF(Salary_Calculation[[#This Row],[Source Row]]="","",ROUND(MAX(Salary_Calculation[[#This Row],[Missing-Order Deduction]]-Salary_Calculation[[#This Row],[Earned Salary]],0),2))</f>
        <v/>
      </c>
      <c r="Y19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98" s="163" t="str">
        <f aca="false">IF(Salary_Calculation[[#This Row],[Source Row]]="","",IF(INDEX(Rider_Input[Notes],Salary_Calculation[[#This Row],[Source Row]])="","",INDEX(Rider_Input[Notes],Salary_Calculation[[#This Row],[Source Row]])))</f>
        <v/>
      </c>
      <c r="AA198" s="164" t="str">
        <f aca="false">IF(Salary_Calculation[[#This Row],[Source Row]]="","",Salary_Calculation[[#This Row],[Earned Salary]]-Salary_Calculation[[#This Row],[Missing-Order Deduction]]+Salary_Calculation[[#This Row],[Extra-Order Bonus]])</f>
        <v/>
      </c>
      <c r="AB198" s="164" t="str">
        <f aca="false">IF(Salary_Calculation[[#This Row],[Source Row]]="","",ROUND(Salary_Calculation[[#This Row],[Negative Balance / Amount Due from Rider]]+MAX(Salary_Calculation[[#This Row],[Total Deductions]]-Salary_Calculation[[#This Row],[Gross Salary Before Deductions]],0),2))</f>
        <v/>
      </c>
      <c r="AC19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98" s="164" t="str">
        <f aca="false">IF(Salary_Calculation[[#This Row],[Source Row]]="","",Salary_Calculation[[#This Row],[Rider Target Orders]]*Salary_Calculation[[#This Row],[Base Order Rate]])</f>
        <v/>
      </c>
      <c r="AE198" s="162" t="str">
        <f aca="false">IF(SUMPRODUCT(--(LEN(INDEX(Rider_Input[#Data],ROW()-ROW(Salary_Calculation[#Headers]),0))&gt;0))=0,"",ROW()-ROW(Salary_Calculation[#Headers]))</f>
        <v/>
      </c>
    </row>
    <row r="199" customFormat="false" ht="14.25" hidden="false" customHeight="false" outlineLevel="0" collapsed="false">
      <c r="A199" s="161" t="str">
        <f aca="false">IF(Salary_Calculation[[#This Row],[Source Row]]="","",IF(INDEX(Rider_Input[Salary Month],Salary_Calculation[[#This Row],[Source Row]])="","",INDEX(Rider_Input[Salary Month],Salary_Calculation[[#This Row],[Source Row]])))</f>
        <v/>
      </c>
      <c r="B199" s="162" t="str">
        <f aca="false">IF(Salary_Calculation[[#This Row],[Source Row]]="","",IF(INDEX(Rider_Input[Rider ID],Salary_Calculation[[#This Row],[Source Row]])="","",INDEX(Rider_Input[Rider ID],Salary_Calculation[[#This Row],[Source Row]])))</f>
        <v/>
      </c>
      <c r="C199" s="163" t="str">
        <f aca="false">IF(Salary_Calculation[[#This Row],[Source Row]]="","",IF(INDEX(Rider_Input[Rider Name],Salary_Calculation[[#This Row],[Source Row]])="","",INDEX(Rider_Input[Rider Name],Salary_Calculation[[#This Row],[Source Row]])))</f>
        <v/>
      </c>
      <c r="D199" s="164" t="str">
        <f aca="false">IF(Salary_Calculation[[#This Row],[Source Row]]="","",IF(INDEX(Rider_Input[Basic Payment],Salary_Calculation[[#This Row],[Source Row]])="","",INDEX(Rider_Input[Basic Payment],Salary_Calculation[[#This Row],[Source Row]])))</f>
        <v/>
      </c>
      <c r="E199" s="162" t="str">
        <f aca="false">IF(Salary_Calculation[[#This Row],[Source Row]]="","",IF(INDEX(Rider_Input[Calendar Days in Month],Salary_Calculation[[#This Row],[Source Row]])="","",INDEX(Rider_Input[Calendar Days in Month],Salary_Calculation[[#This Row],[Source Row]])))</f>
        <v/>
      </c>
      <c r="F199" s="162" t="str">
        <f aca="false">IF(Salary_Calculation[[#This Row],[Source Row]]="","",IF(INDEX(Rider_Input[Working Days],Salary_Calculation[[#This Row],[Source Row]])="","",INDEX(Rider_Input[Working Days],Salary_Calculation[[#This Row],[Source Row]])))</f>
        <v/>
      </c>
      <c r="G199" s="165" t="str">
        <f aca="false">IF(Salary_Calculation[[#This Row],[Source Row]]="","",Std_Orders/Std_Days*N(Salary_Calculation[[#This Row],[Calendar Days]]))</f>
        <v/>
      </c>
      <c r="H199" s="165" t="str">
        <f aca="false">IF(Salary_Calculation[[#This Row],[Source Row]]="","",IF(N(Salary_Calculation[[#This Row],[Calendar Days]])&gt;0,Salary_Calculation[[#This Row],[Monthly Target Orders]]/N(Salary_Calculation[[#This Row],[Calendar Days]])*N(Salary_Calculation[[#This Row],[Working Days]]),0))</f>
        <v/>
      </c>
      <c r="I199" s="166" t="str">
        <f aca="false">IF(Salary_Calculation[[#This Row],[Source Row]]="","",IF(INDEX(Rider_Input[Completed Orders],Salary_Calculation[[#This Row],[Source Row]])="","",INDEX(Rider_Input[Completed Orders],Salary_Calculation[[#This Row],[Source Row]])))</f>
        <v/>
      </c>
      <c r="J199" s="165" t="str">
        <f aca="false">IF(Salary_Calculation[[#This Row],[Source Row]]="","",IF(Rate_Method="Fixed rate",Fixed_Rate,IF(N(Salary_Calculation[[#This Row],[Basic Payment]])&gt;0,N(Salary_Calculation[[#This Row],[Basic Payment]])/Std_Orders,0)))</f>
        <v/>
      </c>
      <c r="K199" s="165" t="str">
        <f aca="false">IF(Salary_Calculation[[#This Row],[Source Row]]="","",MAX(MIN(N(Salary_Calculation[[#This Row],[Completed Orders]]),Salary_Calculation[[#This Row],[Rider Target Orders]]),0))</f>
        <v/>
      </c>
      <c r="L199" s="164" t="str">
        <f aca="false">IF(Salary_Calculation[[#This Row],[Source Row]]="","",Salary_Calculation[[#This Row],[Orders Counted at Base Rate]]*Salary_Calculation[[#This Row],[Base Order Rate]])</f>
        <v/>
      </c>
      <c r="M199" s="165" t="str">
        <f aca="false">IF(Salary_Calculation[[#This Row],[Source Row]]="","",MAX(Salary_Calculation[[#This Row],[Rider Target Orders]]-N(Salary_Calculation[[#This Row],[Completed Orders]]),0))</f>
        <v/>
      </c>
      <c r="N199" s="164" t="str">
        <f aca="false">IF(Salary_Calculation[[#This Row],[Source Row]]="","",Salary_Calculation[[#This Row],[Missing Orders]]*Missing_Rate)</f>
        <v/>
      </c>
      <c r="O199" s="165" t="str">
        <f aca="false">IF(Salary_Calculation[[#This Row],[Source Row]]="","",MAX(N(Salary_Calculation[[#This Row],[Completed Orders]])-Salary_Calculation[[#This Row],[Rider Target Orders]],0))</f>
        <v/>
      </c>
      <c r="P199" s="164" t="str">
        <f aca="false">IF(Salary_Calculation[[#This Row],[Source Row]]="","",Salary_Calculation[[#This Row],[Extra Orders]]*Extra_Rate)</f>
        <v/>
      </c>
      <c r="Q199" s="164" t="str">
        <f aca="false">IF(Salary_Calculation[[#This Row],[Source Row]]="","",MAX(Salary_Calculation[[#This Row],[Salary Before Other Deductions]],0))</f>
        <v/>
      </c>
      <c r="R199" s="164" t="str">
        <f aca="false">IF(Salary_Calculation[[#This Row],[Source Row]]="","",N(INDEX(Rider_Input[missed_days_penalty],Salary_Calculation[[#This Row],[Source Row]])))</f>
        <v/>
      </c>
      <c r="S199" s="164" t="str">
        <f aca="false">IF(Salary_Calculation[[#This Row],[Source Row]]="","",N(INDEX(Rider_Input[Rider Balance / محفظة المندوب],Salary_Calculation[[#This Row],[Source Row]])))</f>
        <v/>
      </c>
      <c r="T199" s="164" t="str">
        <f aca="false">IF(Salary_Calculation[[#This Row],[Source Row]]="","",N(INDEX(Rider_Input[stacking_deduction / خصم الطلبات المتعددة],Salary_Calculation[[#This Row],[Source Row]])))</f>
        <v/>
      </c>
      <c r="U199" s="164" t="str">
        <f aca="false">IF(Salary_Calculation[[#This Row],[Source Row]]="","",N(INDEX(Rider_Input[Other Deductions],Salary_Calculation[[#This Row],[Source Row]])))</f>
        <v/>
      </c>
      <c r="V199" s="164" t="str">
        <f aca="false">IF(Salary_Calculation[[#This Row],[Source Row]]="","",N(Salary_Calculation[[#This Row],[missed_days_penalty]])+N(Salary_Calculation[[#This Row],[Rider Balance]])+N(Salary_Calculation[[#This Row],[stacking_deduction]])+N(Salary_Calculation[[#This Row],[Other Deductions]]))</f>
        <v/>
      </c>
      <c r="W199" s="167" t="str">
        <f aca="false">IF(Salary_Calculation[[#This Row],[Source Row]]="","",ROUND(MAX(Salary_Calculation[[#This Row],[Gross Salary Before Deductions]]-Salary_Calculation[[#This Row],[Total Deductions]],0),2))</f>
        <v/>
      </c>
      <c r="X199" s="164" t="str">
        <f aca="false">IF(Salary_Calculation[[#This Row],[Source Row]]="","",ROUND(MAX(Salary_Calculation[[#This Row],[Missing-Order Deduction]]-Salary_Calculation[[#This Row],[Earned Salary]],0),2))</f>
        <v/>
      </c>
      <c r="Y19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199" s="163" t="str">
        <f aca="false">IF(Salary_Calculation[[#This Row],[Source Row]]="","",IF(INDEX(Rider_Input[Notes],Salary_Calculation[[#This Row],[Source Row]])="","",INDEX(Rider_Input[Notes],Salary_Calculation[[#This Row],[Source Row]])))</f>
        <v/>
      </c>
      <c r="AA199" s="164" t="str">
        <f aca="false">IF(Salary_Calculation[[#This Row],[Source Row]]="","",Salary_Calculation[[#This Row],[Earned Salary]]-Salary_Calculation[[#This Row],[Missing-Order Deduction]]+Salary_Calculation[[#This Row],[Extra-Order Bonus]])</f>
        <v/>
      </c>
      <c r="AB199" s="164" t="str">
        <f aca="false">IF(Salary_Calculation[[#This Row],[Source Row]]="","",ROUND(Salary_Calculation[[#This Row],[Negative Balance / Amount Due from Rider]]+MAX(Salary_Calculation[[#This Row],[Total Deductions]]-Salary_Calculation[[#This Row],[Gross Salary Before Deductions]],0),2))</f>
        <v/>
      </c>
      <c r="AC19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199" s="164" t="str">
        <f aca="false">IF(Salary_Calculation[[#This Row],[Source Row]]="","",Salary_Calculation[[#This Row],[Rider Target Orders]]*Salary_Calculation[[#This Row],[Base Order Rate]])</f>
        <v/>
      </c>
      <c r="AE199" s="162" t="str">
        <f aca="false">IF(SUMPRODUCT(--(LEN(INDEX(Rider_Input[#Data],ROW()-ROW(Salary_Calculation[#Headers]),0))&gt;0))=0,"",ROW()-ROW(Salary_Calculation[#Headers]))</f>
        <v/>
      </c>
    </row>
    <row r="200" customFormat="false" ht="14.25" hidden="false" customHeight="false" outlineLevel="0" collapsed="false">
      <c r="A200" s="161" t="str">
        <f aca="false">IF(Salary_Calculation[[#This Row],[Source Row]]="","",IF(INDEX(Rider_Input[Salary Month],Salary_Calculation[[#This Row],[Source Row]])="","",INDEX(Rider_Input[Salary Month],Salary_Calculation[[#This Row],[Source Row]])))</f>
        <v/>
      </c>
      <c r="B200" s="162" t="str">
        <f aca="false">IF(Salary_Calculation[[#This Row],[Source Row]]="","",IF(INDEX(Rider_Input[Rider ID],Salary_Calculation[[#This Row],[Source Row]])="","",INDEX(Rider_Input[Rider ID],Salary_Calculation[[#This Row],[Source Row]])))</f>
        <v/>
      </c>
      <c r="C200" s="163" t="str">
        <f aca="false">IF(Salary_Calculation[[#This Row],[Source Row]]="","",IF(INDEX(Rider_Input[Rider Name],Salary_Calculation[[#This Row],[Source Row]])="","",INDEX(Rider_Input[Rider Name],Salary_Calculation[[#This Row],[Source Row]])))</f>
        <v/>
      </c>
      <c r="D200" s="164" t="str">
        <f aca="false">IF(Salary_Calculation[[#This Row],[Source Row]]="","",IF(INDEX(Rider_Input[Basic Payment],Salary_Calculation[[#This Row],[Source Row]])="","",INDEX(Rider_Input[Basic Payment],Salary_Calculation[[#This Row],[Source Row]])))</f>
        <v/>
      </c>
      <c r="E200" s="162" t="str">
        <f aca="false">IF(Salary_Calculation[[#This Row],[Source Row]]="","",IF(INDEX(Rider_Input[Calendar Days in Month],Salary_Calculation[[#This Row],[Source Row]])="","",INDEX(Rider_Input[Calendar Days in Month],Salary_Calculation[[#This Row],[Source Row]])))</f>
        <v/>
      </c>
      <c r="F200" s="162" t="str">
        <f aca="false">IF(Salary_Calculation[[#This Row],[Source Row]]="","",IF(INDEX(Rider_Input[Working Days],Salary_Calculation[[#This Row],[Source Row]])="","",INDEX(Rider_Input[Working Days],Salary_Calculation[[#This Row],[Source Row]])))</f>
        <v/>
      </c>
      <c r="G200" s="165" t="str">
        <f aca="false">IF(Salary_Calculation[[#This Row],[Source Row]]="","",Std_Orders/Std_Days*N(Salary_Calculation[[#This Row],[Calendar Days]]))</f>
        <v/>
      </c>
      <c r="H200" s="165" t="str">
        <f aca="false">IF(Salary_Calculation[[#This Row],[Source Row]]="","",IF(N(Salary_Calculation[[#This Row],[Calendar Days]])&gt;0,Salary_Calculation[[#This Row],[Monthly Target Orders]]/N(Salary_Calculation[[#This Row],[Calendar Days]])*N(Salary_Calculation[[#This Row],[Working Days]]),0))</f>
        <v/>
      </c>
      <c r="I200" s="166" t="str">
        <f aca="false">IF(Salary_Calculation[[#This Row],[Source Row]]="","",IF(INDEX(Rider_Input[Completed Orders],Salary_Calculation[[#This Row],[Source Row]])="","",INDEX(Rider_Input[Completed Orders],Salary_Calculation[[#This Row],[Source Row]])))</f>
        <v/>
      </c>
      <c r="J200" s="165" t="str">
        <f aca="false">IF(Salary_Calculation[[#This Row],[Source Row]]="","",IF(Rate_Method="Fixed rate",Fixed_Rate,IF(N(Salary_Calculation[[#This Row],[Basic Payment]])&gt;0,N(Salary_Calculation[[#This Row],[Basic Payment]])/Std_Orders,0)))</f>
        <v/>
      </c>
      <c r="K200" s="165" t="str">
        <f aca="false">IF(Salary_Calculation[[#This Row],[Source Row]]="","",MAX(MIN(N(Salary_Calculation[[#This Row],[Completed Orders]]),Salary_Calculation[[#This Row],[Rider Target Orders]]),0))</f>
        <v/>
      </c>
      <c r="L200" s="164" t="str">
        <f aca="false">IF(Salary_Calculation[[#This Row],[Source Row]]="","",Salary_Calculation[[#This Row],[Orders Counted at Base Rate]]*Salary_Calculation[[#This Row],[Base Order Rate]])</f>
        <v/>
      </c>
      <c r="M200" s="165" t="str">
        <f aca="false">IF(Salary_Calculation[[#This Row],[Source Row]]="","",MAX(Salary_Calculation[[#This Row],[Rider Target Orders]]-N(Salary_Calculation[[#This Row],[Completed Orders]]),0))</f>
        <v/>
      </c>
      <c r="N200" s="164" t="str">
        <f aca="false">IF(Salary_Calculation[[#This Row],[Source Row]]="","",Salary_Calculation[[#This Row],[Missing Orders]]*Missing_Rate)</f>
        <v/>
      </c>
      <c r="O200" s="165" t="str">
        <f aca="false">IF(Salary_Calculation[[#This Row],[Source Row]]="","",MAX(N(Salary_Calculation[[#This Row],[Completed Orders]])-Salary_Calculation[[#This Row],[Rider Target Orders]],0))</f>
        <v/>
      </c>
      <c r="P200" s="164" t="str">
        <f aca="false">IF(Salary_Calculation[[#This Row],[Source Row]]="","",Salary_Calculation[[#This Row],[Extra Orders]]*Extra_Rate)</f>
        <v/>
      </c>
      <c r="Q200" s="164" t="str">
        <f aca="false">IF(Salary_Calculation[[#This Row],[Source Row]]="","",MAX(Salary_Calculation[[#This Row],[Salary Before Other Deductions]],0))</f>
        <v/>
      </c>
      <c r="R200" s="164" t="str">
        <f aca="false">IF(Salary_Calculation[[#This Row],[Source Row]]="","",N(INDEX(Rider_Input[missed_days_penalty],Salary_Calculation[[#This Row],[Source Row]])))</f>
        <v/>
      </c>
      <c r="S200" s="164" t="str">
        <f aca="false">IF(Salary_Calculation[[#This Row],[Source Row]]="","",N(INDEX(Rider_Input[Rider Balance / محفظة المندوب],Salary_Calculation[[#This Row],[Source Row]])))</f>
        <v/>
      </c>
      <c r="T200" s="164" t="str">
        <f aca="false">IF(Salary_Calculation[[#This Row],[Source Row]]="","",N(INDEX(Rider_Input[stacking_deduction / خصم الطلبات المتعددة],Salary_Calculation[[#This Row],[Source Row]])))</f>
        <v/>
      </c>
      <c r="U200" s="164" t="str">
        <f aca="false">IF(Salary_Calculation[[#This Row],[Source Row]]="","",N(INDEX(Rider_Input[Other Deductions],Salary_Calculation[[#This Row],[Source Row]])))</f>
        <v/>
      </c>
      <c r="V200" s="164" t="str">
        <f aca="false">IF(Salary_Calculation[[#This Row],[Source Row]]="","",N(Salary_Calculation[[#This Row],[missed_days_penalty]])+N(Salary_Calculation[[#This Row],[Rider Balance]])+N(Salary_Calculation[[#This Row],[stacking_deduction]])+N(Salary_Calculation[[#This Row],[Other Deductions]]))</f>
        <v/>
      </c>
      <c r="W200" s="167" t="str">
        <f aca="false">IF(Salary_Calculation[[#This Row],[Source Row]]="","",ROUND(MAX(Salary_Calculation[[#This Row],[Gross Salary Before Deductions]]-Salary_Calculation[[#This Row],[Total Deductions]],0),2))</f>
        <v/>
      </c>
      <c r="X200" s="164" t="str">
        <f aca="false">IF(Salary_Calculation[[#This Row],[Source Row]]="","",ROUND(MAX(Salary_Calculation[[#This Row],[Missing-Order Deduction]]-Salary_Calculation[[#This Row],[Earned Salary]],0),2))</f>
        <v/>
      </c>
      <c r="Y20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00" s="163" t="str">
        <f aca="false">IF(Salary_Calculation[[#This Row],[Source Row]]="","",IF(INDEX(Rider_Input[Notes],Salary_Calculation[[#This Row],[Source Row]])="","",INDEX(Rider_Input[Notes],Salary_Calculation[[#This Row],[Source Row]])))</f>
        <v/>
      </c>
      <c r="AA200" s="164" t="str">
        <f aca="false">IF(Salary_Calculation[[#This Row],[Source Row]]="","",Salary_Calculation[[#This Row],[Earned Salary]]-Salary_Calculation[[#This Row],[Missing-Order Deduction]]+Salary_Calculation[[#This Row],[Extra-Order Bonus]])</f>
        <v/>
      </c>
      <c r="AB200" s="164" t="str">
        <f aca="false">IF(Salary_Calculation[[#This Row],[Source Row]]="","",ROUND(Salary_Calculation[[#This Row],[Negative Balance / Amount Due from Rider]]+MAX(Salary_Calculation[[#This Row],[Total Deductions]]-Salary_Calculation[[#This Row],[Gross Salary Before Deductions]],0),2))</f>
        <v/>
      </c>
      <c r="AC20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00" s="164" t="str">
        <f aca="false">IF(Salary_Calculation[[#This Row],[Source Row]]="","",Salary_Calculation[[#This Row],[Rider Target Orders]]*Salary_Calculation[[#This Row],[Base Order Rate]])</f>
        <v/>
      </c>
      <c r="AE200" s="162" t="str">
        <f aca="false">IF(SUMPRODUCT(--(LEN(INDEX(Rider_Input[#Data],ROW()-ROW(Salary_Calculation[#Headers]),0))&gt;0))=0,"",ROW()-ROW(Salary_Calculation[#Headers]))</f>
        <v/>
      </c>
    </row>
    <row r="201" customFormat="false" ht="14.25" hidden="false" customHeight="false" outlineLevel="0" collapsed="false">
      <c r="A201" s="161" t="str">
        <f aca="false">IF(Salary_Calculation[[#This Row],[Source Row]]="","",IF(INDEX(Rider_Input[Salary Month],Salary_Calculation[[#This Row],[Source Row]])="","",INDEX(Rider_Input[Salary Month],Salary_Calculation[[#This Row],[Source Row]])))</f>
        <v/>
      </c>
      <c r="B201" s="162" t="str">
        <f aca="false">IF(Salary_Calculation[[#This Row],[Source Row]]="","",IF(INDEX(Rider_Input[Rider ID],Salary_Calculation[[#This Row],[Source Row]])="","",INDEX(Rider_Input[Rider ID],Salary_Calculation[[#This Row],[Source Row]])))</f>
        <v/>
      </c>
      <c r="C201" s="163" t="str">
        <f aca="false">IF(Salary_Calculation[[#This Row],[Source Row]]="","",IF(INDEX(Rider_Input[Rider Name],Salary_Calculation[[#This Row],[Source Row]])="","",INDEX(Rider_Input[Rider Name],Salary_Calculation[[#This Row],[Source Row]])))</f>
        <v/>
      </c>
      <c r="D201" s="164" t="str">
        <f aca="false">IF(Salary_Calculation[[#This Row],[Source Row]]="","",IF(INDEX(Rider_Input[Basic Payment],Salary_Calculation[[#This Row],[Source Row]])="","",INDEX(Rider_Input[Basic Payment],Salary_Calculation[[#This Row],[Source Row]])))</f>
        <v/>
      </c>
      <c r="E201" s="162" t="str">
        <f aca="false">IF(Salary_Calculation[[#This Row],[Source Row]]="","",IF(INDEX(Rider_Input[Calendar Days in Month],Salary_Calculation[[#This Row],[Source Row]])="","",INDEX(Rider_Input[Calendar Days in Month],Salary_Calculation[[#This Row],[Source Row]])))</f>
        <v/>
      </c>
      <c r="F201" s="162" t="str">
        <f aca="false">IF(Salary_Calculation[[#This Row],[Source Row]]="","",IF(INDEX(Rider_Input[Working Days],Salary_Calculation[[#This Row],[Source Row]])="","",INDEX(Rider_Input[Working Days],Salary_Calculation[[#This Row],[Source Row]])))</f>
        <v/>
      </c>
      <c r="G201" s="165" t="str">
        <f aca="false">IF(Salary_Calculation[[#This Row],[Source Row]]="","",Std_Orders/Std_Days*N(Salary_Calculation[[#This Row],[Calendar Days]]))</f>
        <v/>
      </c>
      <c r="H201" s="165" t="str">
        <f aca="false">IF(Salary_Calculation[[#This Row],[Source Row]]="","",IF(N(Salary_Calculation[[#This Row],[Calendar Days]])&gt;0,Salary_Calculation[[#This Row],[Monthly Target Orders]]/N(Salary_Calculation[[#This Row],[Calendar Days]])*N(Salary_Calculation[[#This Row],[Working Days]]),0))</f>
        <v/>
      </c>
      <c r="I201" s="166" t="str">
        <f aca="false">IF(Salary_Calculation[[#This Row],[Source Row]]="","",IF(INDEX(Rider_Input[Completed Orders],Salary_Calculation[[#This Row],[Source Row]])="","",INDEX(Rider_Input[Completed Orders],Salary_Calculation[[#This Row],[Source Row]])))</f>
        <v/>
      </c>
      <c r="J201" s="165" t="str">
        <f aca="false">IF(Salary_Calculation[[#This Row],[Source Row]]="","",IF(Rate_Method="Fixed rate",Fixed_Rate,IF(N(Salary_Calculation[[#This Row],[Basic Payment]])&gt;0,N(Salary_Calculation[[#This Row],[Basic Payment]])/Std_Orders,0)))</f>
        <v/>
      </c>
      <c r="K201" s="165" t="str">
        <f aca="false">IF(Salary_Calculation[[#This Row],[Source Row]]="","",MAX(MIN(N(Salary_Calculation[[#This Row],[Completed Orders]]),Salary_Calculation[[#This Row],[Rider Target Orders]]),0))</f>
        <v/>
      </c>
      <c r="L201" s="164" t="str">
        <f aca="false">IF(Salary_Calculation[[#This Row],[Source Row]]="","",Salary_Calculation[[#This Row],[Orders Counted at Base Rate]]*Salary_Calculation[[#This Row],[Base Order Rate]])</f>
        <v/>
      </c>
      <c r="M201" s="165" t="str">
        <f aca="false">IF(Salary_Calculation[[#This Row],[Source Row]]="","",MAX(Salary_Calculation[[#This Row],[Rider Target Orders]]-N(Salary_Calculation[[#This Row],[Completed Orders]]),0))</f>
        <v/>
      </c>
      <c r="N201" s="164" t="str">
        <f aca="false">IF(Salary_Calculation[[#This Row],[Source Row]]="","",Salary_Calculation[[#This Row],[Missing Orders]]*Missing_Rate)</f>
        <v/>
      </c>
      <c r="O201" s="165" t="str">
        <f aca="false">IF(Salary_Calculation[[#This Row],[Source Row]]="","",MAX(N(Salary_Calculation[[#This Row],[Completed Orders]])-Salary_Calculation[[#This Row],[Rider Target Orders]],0))</f>
        <v/>
      </c>
      <c r="P201" s="164" t="str">
        <f aca="false">IF(Salary_Calculation[[#This Row],[Source Row]]="","",Salary_Calculation[[#This Row],[Extra Orders]]*Extra_Rate)</f>
        <v/>
      </c>
      <c r="Q201" s="164" t="str">
        <f aca="false">IF(Salary_Calculation[[#This Row],[Source Row]]="","",MAX(Salary_Calculation[[#This Row],[Salary Before Other Deductions]],0))</f>
        <v/>
      </c>
      <c r="R201" s="164" t="str">
        <f aca="false">IF(Salary_Calculation[[#This Row],[Source Row]]="","",N(INDEX(Rider_Input[missed_days_penalty],Salary_Calculation[[#This Row],[Source Row]])))</f>
        <v/>
      </c>
      <c r="S201" s="164" t="str">
        <f aca="false">IF(Salary_Calculation[[#This Row],[Source Row]]="","",N(INDEX(Rider_Input[Rider Balance / محفظة المندوب],Salary_Calculation[[#This Row],[Source Row]])))</f>
        <v/>
      </c>
      <c r="T201" s="164" t="str">
        <f aca="false">IF(Salary_Calculation[[#This Row],[Source Row]]="","",N(INDEX(Rider_Input[stacking_deduction / خصم الطلبات المتعددة],Salary_Calculation[[#This Row],[Source Row]])))</f>
        <v/>
      </c>
      <c r="U201" s="164" t="str">
        <f aca="false">IF(Salary_Calculation[[#This Row],[Source Row]]="","",N(INDEX(Rider_Input[Other Deductions],Salary_Calculation[[#This Row],[Source Row]])))</f>
        <v/>
      </c>
      <c r="V201" s="164" t="str">
        <f aca="false">IF(Salary_Calculation[[#This Row],[Source Row]]="","",N(Salary_Calculation[[#This Row],[missed_days_penalty]])+N(Salary_Calculation[[#This Row],[Rider Balance]])+N(Salary_Calculation[[#This Row],[stacking_deduction]])+N(Salary_Calculation[[#This Row],[Other Deductions]]))</f>
        <v/>
      </c>
      <c r="W201" s="167" t="str">
        <f aca="false">IF(Salary_Calculation[[#This Row],[Source Row]]="","",ROUND(MAX(Salary_Calculation[[#This Row],[Gross Salary Before Deductions]]-Salary_Calculation[[#This Row],[Total Deductions]],0),2))</f>
        <v/>
      </c>
      <c r="X201" s="164" t="str">
        <f aca="false">IF(Salary_Calculation[[#This Row],[Source Row]]="","",ROUND(MAX(Salary_Calculation[[#This Row],[Missing-Order Deduction]]-Salary_Calculation[[#This Row],[Earned Salary]],0),2))</f>
        <v/>
      </c>
      <c r="Y20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01" s="163" t="str">
        <f aca="false">IF(Salary_Calculation[[#This Row],[Source Row]]="","",IF(INDEX(Rider_Input[Notes],Salary_Calculation[[#This Row],[Source Row]])="","",INDEX(Rider_Input[Notes],Salary_Calculation[[#This Row],[Source Row]])))</f>
        <v/>
      </c>
      <c r="AA201" s="164" t="str">
        <f aca="false">IF(Salary_Calculation[[#This Row],[Source Row]]="","",Salary_Calculation[[#This Row],[Earned Salary]]-Salary_Calculation[[#This Row],[Missing-Order Deduction]]+Salary_Calculation[[#This Row],[Extra-Order Bonus]])</f>
        <v/>
      </c>
      <c r="AB201" s="164" t="str">
        <f aca="false">IF(Salary_Calculation[[#This Row],[Source Row]]="","",ROUND(Salary_Calculation[[#This Row],[Negative Balance / Amount Due from Rider]]+MAX(Salary_Calculation[[#This Row],[Total Deductions]]-Salary_Calculation[[#This Row],[Gross Salary Before Deductions]],0),2))</f>
        <v/>
      </c>
      <c r="AC20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01" s="164" t="str">
        <f aca="false">IF(Salary_Calculation[[#This Row],[Source Row]]="","",Salary_Calculation[[#This Row],[Rider Target Orders]]*Salary_Calculation[[#This Row],[Base Order Rate]])</f>
        <v/>
      </c>
      <c r="AE201" s="162" t="str">
        <f aca="false">IF(SUMPRODUCT(--(LEN(INDEX(Rider_Input[#Data],ROW()-ROW(Salary_Calculation[#Headers]),0))&gt;0))=0,"",ROW()-ROW(Salary_Calculation[#Headers]))</f>
        <v/>
      </c>
    </row>
    <row r="202" customFormat="false" ht="14.25" hidden="false" customHeight="false" outlineLevel="0" collapsed="false">
      <c r="A202" s="161" t="str">
        <f aca="false">IF(Salary_Calculation[[#This Row],[Source Row]]="","",IF(INDEX(Rider_Input[Salary Month],Salary_Calculation[[#This Row],[Source Row]])="","",INDEX(Rider_Input[Salary Month],Salary_Calculation[[#This Row],[Source Row]])))</f>
        <v/>
      </c>
      <c r="B202" s="162" t="str">
        <f aca="false">IF(Salary_Calculation[[#This Row],[Source Row]]="","",IF(INDEX(Rider_Input[Rider ID],Salary_Calculation[[#This Row],[Source Row]])="","",INDEX(Rider_Input[Rider ID],Salary_Calculation[[#This Row],[Source Row]])))</f>
        <v/>
      </c>
      <c r="C202" s="163" t="str">
        <f aca="false">IF(Salary_Calculation[[#This Row],[Source Row]]="","",IF(INDEX(Rider_Input[Rider Name],Salary_Calculation[[#This Row],[Source Row]])="","",INDEX(Rider_Input[Rider Name],Salary_Calculation[[#This Row],[Source Row]])))</f>
        <v/>
      </c>
      <c r="D202" s="164" t="str">
        <f aca="false">IF(Salary_Calculation[[#This Row],[Source Row]]="","",IF(INDEX(Rider_Input[Basic Payment],Salary_Calculation[[#This Row],[Source Row]])="","",INDEX(Rider_Input[Basic Payment],Salary_Calculation[[#This Row],[Source Row]])))</f>
        <v/>
      </c>
      <c r="E202" s="162" t="str">
        <f aca="false">IF(Salary_Calculation[[#This Row],[Source Row]]="","",IF(INDEX(Rider_Input[Calendar Days in Month],Salary_Calculation[[#This Row],[Source Row]])="","",INDEX(Rider_Input[Calendar Days in Month],Salary_Calculation[[#This Row],[Source Row]])))</f>
        <v/>
      </c>
      <c r="F202" s="162" t="str">
        <f aca="false">IF(Salary_Calculation[[#This Row],[Source Row]]="","",IF(INDEX(Rider_Input[Working Days],Salary_Calculation[[#This Row],[Source Row]])="","",INDEX(Rider_Input[Working Days],Salary_Calculation[[#This Row],[Source Row]])))</f>
        <v/>
      </c>
      <c r="G202" s="165" t="str">
        <f aca="false">IF(Salary_Calculation[[#This Row],[Source Row]]="","",Std_Orders/Std_Days*N(Salary_Calculation[[#This Row],[Calendar Days]]))</f>
        <v/>
      </c>
      <c r="H202" s="165" t="str">
        <f aca="false">IF(Salary_Calculation[[#This Row],[Source Row]]="","",IF(N(Salary_Calculation[[#This Row],[Calendar Days]])&gt;0,Salary_Calculation[[#This Row],[Monthly Target Orders]]/N(Salary_Calculation[[#This Row],[Calendar Days]])*N(Salary_Calculation[[#This Row],[Working Days]]),0))</f>
        <v/>
      </c>
      <c r="I202" s="166" t="str">
        <f aca="false">IF(Salary_Calculation[[#This Row],[Source Row]]="","",IF(INDEX(Rider_Input[Completed Orders],Salary_Calculation[[#This Row],[Source Row]])="","",INDEX(Rider_Input[Completed Orders],Salary_Calculation[[#This Row],[Source Row]])))</f>
        <v/>
      </c>
      <c r="J202" s="165" t="str">
        <f aca="false">IF(Salary_Calculation[[#This Row],[Source Row]]="","",IF(Rate_Method="Fixed rate",Fixed_Rate,IF(N(Salary_Calculation[[#This Row],[Basic Payment]])&gt;0,N(Salary_Calculation[[#This Row],[Basic Payment]])/Std_Orders,0)))</f>
        <v/>
      </c>
      <c r="K202" s="165" t="str">
        <f aca="false">IF(Salary_Calculation[[#This Row],[Source Row]]="","",MAX(MIN(N(Salary_Calculation[[#This Row],[Completed Orders]]),Salary_Calculation[[#This Row],[Rider Target Orders]]),0))</f>
        <v/>
      </c>
      <c r="L202" s="164" t="str">
        <f aca="false">IF(Salary_Calculation[[#This Row],[Source Row]]="","",Salary_Calculation[[#This Row],[Orders Counted at Base Rate]]*Salary_Calculation[[#This Row],[Base Order Rate]])</f>
        <v/>
      </c>
      <c r="M202" s="165" t="str">
        <f aca="false">IF(Salary_Calculation[[#This Row],[Source Row]]="","",MAX(Salary_Calculation[[#This Row],[Rider Target Orders]]-N(Salary_Calculation[[#This Row],[Completed Orders]]),0))</f>
        <v/>
      </c>
      <c r="N202" s="164" t="str">
        <f aca="false">IF(Salary_Calculation[[#This Row],[Source Row]]="","",Salary_Calculation[[#This Row],[Missing Orders]]*Missing_Rate)</f>
        <v/>
      </c>
      <c r="O202" s="165" t="str">
        <f aca="false">IF(Salary_Calculation[[#This Row],[Source Row]]="","",MAX(N(Salary_Calculation[[#This Row],[Completed Orders]])-Salary_Calculation[[#This Row],[Rider Target Orders]],0))</f>
        <v/>
      </c>
      <c r="P202" s="164" t="str">
        <f aca="false">IF(Salary_Calculation[[#This Row],[Source Row]]="","",Salary_Calculation[[#This Row],[Extra Orders]]*Extra_Rate)</f>
        <v/>
      </c>
      <c r="Q202" s="164" t="str">
        <f aca="false">IF(Salary_Calculation[[#This Row],[Source Row]]="","",MAX(Salary_Calculation[[#This Row],[Salary Before Other Deductions]],0))</f>
        <v/>
      </c>
      <c r="R202" s="164" t="str">
        <f aca="false">IF(Salary_Calculation[[#This Row],[Source Row]]="","",N(INDEX(Rider_Input[missed_days_penalty],Salary_Calculation[[#This Row],[Source Row]])))</f>
        <v/>
      </c>
      <c r="S202" s="164" t="str">
        <f aca="false">IF(Salary_Calculation[[#This Row],[Source Row]]="","",N(INDEX(Rider_Input[Rider Balance / محفظة المندوب],Salary_Calculation[[#This Row],[Source Row]])))</f>
        <v/>
      </c>
      <c r="T202" s="164" t="str">
        <f aca="false">IF(Salary_Calculation[[#This Row],[Source Row]]="","",N(INDEX(Rider_Input[stacking_deduction / خصم الطلبات المتعددة],Salary_Calculation[[#This Row],[Source Row]])))</f>
        <v/>
      </c>
      <c r="U202" s="164" t="str">
        <f aca="false">IF(Salary_Calculation[[#This Row],[Source Row]]="","",N(INDEX(Rider_Input[Other Deductions],Salary_Calculation[[#This Row],[Source Row]])))</f>
        <v/>
      </c>
      <c r="V202" s="164" t="str">
        <f aca="false">IF(Salary_Calculation[[#This Row],[Source Row]]="","",N(Salary_Calculation[[#This Row],[missed_days_penalty]])+N(Salary_Calculation[[#This Row],[Rider Balance]])+N(Salary_Calculation[[#This Row],[stacking_deduction]])+N(Salary_Calculation[[#This Row],[Other Deductions]]))</f>
        <v/>
      </c>
      <c r="W202" s="167" t="str">
        <f aca="false">IF(Salary_Calculation[[#This Row],[Source Row]]="","",ROUND(MAX(Salary_Calculation[[#This Row],[Gross Salary Before Deductions]]-Salary_Calculation[[#This Row],[Total Deductions]],0),2))</f>
        <v/>
      </c>
      <c r="X202" s="164" t="str">
        <f aca="false">IF(Salary_Calculation[[#This Row],[Source Row]]="","",ROUND(MAX(Salary_Calculation[[#This Row],[Missing-Order Deduction]]-Salary_Calculation[[#This Row],[Earned Salary]],0),2))</f>
        <v/>
      </c>
      <c r="Y20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02" s="163" t="str">
        <f aca="false">IF(Salary_Calculation[[#This Row],[Source Row]]="","",IF(INDEX(Rider_Input[Notes],Salary_Calculation[[#This Row],[Source Row]])="","",INDEX(Rider_Input[Notes],Salary_Calculation[[#This Row],[Source Row]])))</f>
        <v/>
      </c>
      <c r="AA202" s="164" t="str">
        <f aca="false">IF(Salary_Calculation[[#This Row],[Source Row]]="","",Salary_Calculation[[#This Row],[Earned Salary]]-Salary_Calculation[[#This Row],[Missing-Order Deduction]]+Salary_Calculation[[#This Row],[Extra-Order Bonus]])</f>
        <v/>
      </c>
      <c r="AB202" s="164" t="str">
        <f aca="false">IF(Salary_Calculation[[#This Row],[Source Row]]="","",ROUND(Salary_Calculation[[#This Row],[Negative Balance / Amount Due from Rider]]+MAX(Salary_Calculation[[#This Row],[Total Deductions]]-Salary_Calculation[[#This Row],[Gross Salary Before Deductions]],0),2))</f>
        <v/>
      </c>
      <c r="AC20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02" s="164" t="str">
        <f aca="false">IF(Salary_Calculation[[#This Row],[Source Row]]="","",Salary_Calculation[[#This Row],[Rider Target Orders]]*Salary_Calculation[[#This Row],[Base Order Rate]])</f>
        <v/>
      </c>
      <c r="AE202" s="162" t="str">
        <f aca="false">IF(SUMPRODUCT(--(LEN(INDEX(Rider_Input[#Data],ROW()-ROW(Salary_Calculation[#Headers]),0))&gt;0))=0,"",ROW()-ROW(Salary_Calculation[#Headers]))</f>
        <v/>
      </c>
    </row>
    <row r="203" customFormat="false" ht="14.25" hidden="false" customHeight="false" outlineLevel="0" collapsed="false">
      <c r="A203" s="161" t="str">
        <f aca="false">IF(Salary_Calculation[[#This Row],[Source Row]]="","",IF(INDEX(Rider_Input[Salary Month],Salary_Calculation[[#This Row],[Source Row]])="","",INDEX(Rider_Input[Salary Month],Salary_Calculation[[#This Row],[Source Row]])))</f>
        <v/>
      </c>
      <c r="B203" s="162" t="str">
        <f aca="false">IF(Salary_Calculation[[#This Row],[Source Row]]="","",IF(INDEX(Rider_Input[Rider ID],Salary_Calculation[[#This Row],[Source Row]])="","",INDEX(Rider_Input[Rider ID],Salary_Calculation[[#This Row],[Source Row]])))</f>
        <v/>
      </c>
      <c r="C203" s="163" t="str">
        <f aca="false">IF(Salary_Calculation[[#This Row],[Source Row]]="","",IF(INDEX(Rider_Input[Rider Name],Salary_Calculation[[#This Row],[Source Row]])="","",INDEX(Rider_Input[Rider Name],Salary_Calculation[[#This Row],[Source Row]])))</f>
        <v/>
      </c>
      <c r="D203" s="164" t="str">
        <f aca="false">IF(Salary_Calculation[[#This Row],[Source Row]]="","",IF(INDEX(Rider_Input[Basic Payment],Salary_Calculation[[#This Row],[Source Row]])="","",INDEX(Rider_Input[Basic Payment],Salary_Calculation[[#This Row],[Source Row]])))</f>
        <v/>
      </c>
      <c r="E203" s="162" t="str">
        <f aca="false">IF(Salary_Calculation[[#This Row],[Source Row]]="","",IF(INDEX(Rider_Input[Calendar Days in Month],Salary_Calculation[[#This Row],[Source Row]])="","",INDEX(Rider_Input[Calendar Days in Month],Salary_Calculation[[#This Row],[Source Row]])))</f>
        <v/>
      </c>
      <c r="F203" s="162" t="str">
        <f aca="false">IF(Salary_Calculation[[#This Row],[Source Row]]="","",IF(INDEX(Rider_Input[Working Days],Salary_Calculation[[#This Row],[Source Row]])="","",INDEX(Rider_Input[Working Days],Salary_Calculation[[#This Row],[Source Row]])))</f>
        <v/>
      </c>
      <c r="G203" s="165" t="str">
        <f aca="false">IF(Salary_Calculation[[#This Row],[Source Row]]="","",Std_Orders/Std_Days*N(Salary_Calculation[[#This Row],[Calendar Days]]))</f>
        <v/>
      </c>
      <c r="H203" s="165" t="str">
        <f aca="false">IF(Salary_Calculation[[#This Row],[Source Row]]="","",IF(N(Salary_Calculation[[#This Row],[Calendar Days]])&gt;0,Salary_Calculation[[#This Row],[Monthly Target Orders]]/N(Salary_Calculation[[#This Row],[Calendar Days]])*N(Salary_Calculation[[#This Row],[Working Days]]),0))</f>
        <v/>
      </c>
      <c r="I203" s="166" t="str">
        <f aca="false">IF(Salary_Calculation[[#This Row],[Source Row]]="","",IF(INDEX(Rider_Input[Completed Orders],Salary_Calculation[[#This Row],[Source Row]])="","",INDEX(Rider_Input[Completed Orders],Salary_Calculation[[#This Row],[Source Row]])))</f>
        <v/>
      </c>
      <c r="J203" s="165" t="str">
        <f aca="false">IF(Salary_Calculation[[#This Row],[Source Row]]="","",IF(Rate_Method="Fixed rate",Fixed_Rate,IF(N(Salary_Calculation[[#This Row],[Basic Payment]])&gt;0,N(Salary_Calculation[[#This Row],[Basic Payment]])/Std_Orders,0)))</f>
        <v/>
      </c>
      <c r="K203" s="165" t="str">
        <f aca="false">IF(Salary_Calculation[[#This Row],[Source Row]]="","",MAX(MIN(N(Salary_Calculation[[#This Row],[Completed Orders]]),Salary_Calculation[[#This Row],[Rider Target Orders]]),0))</f>
        <v/>
      </c>
      <c r="L203" s="164" t="str">
        <f aca="false">IF(Salary_Calculation[[#This Row],[Source Row]]="","",Salary_Calculation[[#This Row],[Orders Counted at Base Rate]]*Salary_Calculation[[#This Row],[Base Order Rate]])</f>
        <v/>
      </c>
      <c r="M203" s="165" t="str">
        <f aca="false">IF(Salary_Calculation[[#This Row],[Source Row]]="","",MAX(Salary_Calculation[[#This Row],[Rider Target Orders]]-N(Salary_Calculation[[#This Row],[Completed Orders]]),0))</f>
        <v/>
      </c>
      <c r="N203" s="164" t="str">
        <f aca="false">IF(Salary_Calculation[[#This Row],[Source Row]]="","",Salary_Calculation[[#This Row],[Missing Orders]]*Missing_Rate)</f>
        <v/>
      </c>
      <c r="O203" s="165" t="str">
        <f aca="false">IF(Salary_Calculation[[#This Row],[Source Row]]="","",MAX(N(Salary_Calculation[[#This Row],[Completed Orders]])-Salary_Calculation[[#This Row],[Rider Target Orders]],0))</f>
        <v/>
      </c>
      <c r="P203" s="164" t="str">
        <f aca="false">IF(Salary_Calculation[[#This Row],[Source Row]]="","",Salary_Calculation[[#This Row],[Extra Orders]]*Extra_Rate)</f>
        <v/>
      </c>
      <c r="Q203" s="164" t="str">
        <f aca="false">IF(Salary_Calculation[[#This Row],[Source Row]]="","",MAX(Salary_Calculation[[#This Row],[Salary Before Other Deductions]],0))</f>
        <v/>
      </c>
      <c r="R203" s="164" t="str">
        <f aca="false">IF(Salary_Calculation[[#This Row],[Source Row]]="","",N(INDEX(Rider_Input[missed_days_penalty],Salary_Calculation[[#This Row],[Source Row]])))</f>
        <v/>
      </c>
      <c r="S203" s="164" t="str">
        <f aca="false">IF(Salary_Calculation[[#This Row],[Source Row]]="","",N(INDEX(Rider_Input[Rider Balance / محفظة المندوب],Salary_Calculation[[#This Row],[Source Row]])))</f>
        <v/>
      </c>
      <c r="T203" s="164" t="str">
        <f aca="false">IF(Salary_Calculation[[#This Row],[Source Row]]="","",N(INDEX(Rider_Input[stacking_deduction / خصم الطلبات المتعددة],Salary_Calculation[[#This Row],[Source Row]])))</f>
        <v/>
      </c>
      <c r="U203" s="164" t="str">
        <f aca="false">IF(Salary_Calculation[[#This Row],[Source Row]]="","",N(INDEX(Rider_Input[Other Deductions],Salary_Calculation[[#This Row],[Source Row]])))</f>
        <v/>
      </c>
      <c r="V203" s="164" t="str">
        <f aca="false">IF(Salary_Calculation[[#This Row],[Source Row]]="","",N(Salary_Calculation[[#This Row],[missed_days_penalty]])+N(Salary_Calculation[[#This Row],[Rider Balance]])+N(Salary_Calculation[[#This Row],[stacking_deduction]])+N(Salary_Calculation[[#This Row],[Other Deductions]]))</f>
        <v/>
      </c>
      <c r="W203" s="167" t="str">
        <f aca="false">IF(Salary_Calculation[[#This Row],[Source Row]]="","",ROUND(MAX(Salary_Calculation[[#This Row],[Gross Salary Before Deductions]]-Salary_Calculation[[#This Row],[Total Deductions]],0),2))</f>
        <v/>
      </c>
      <c r="X203" s="164" t="str">
        <f aca="false">IF(Salary_Calculation[[#This Row],[Source Row]]="","",ROUND(MAX(Salary_Calculation[[#This Row],[Missing-Order Deduction]]-Salary_Calculation[[#This Row],[Earned Salary]],0),2))</f>
        <v/>
      </c>
      <c r="Y20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03" s="163" t="str">
        <f aca="false">IF(Salary_Calculation[[#This Row],[Source Row]]="","",IF(INDEX(Rider_Input[Notes],Salary_Calculation[[#This Row],[Source Row]])="","",INDEX(Rider_Input[Notes],Salary_Calculation[[#This Row],[Source Row]])))</f>
        <v/>
      </c>
      <c r="AA203" s="164" t="str">
        <f aca="false">IF(Salary_Calculation[[#This Row],[Source Row]]="","",Salary_Calculation[[#This Row],[Earned Salary]]-Salary_Calculation[[#This Row],[Missing-Order Deduction]]+Salary_Calculation[[#This Row],[Extra-Order Bonus]])</f>
        <v/>
      </c>
      <c r="AB203" s="164" t="str">
        <f aca="false">IF(Salary_Calculation[[#This Row],[Source Row]]="","",ROUND(Salary_Calculation[[#This Row],[Negative Balance / Amount Due from Rider]]+MAX(Salary_Calculation[[#This Row],[Total Deductions]]-Salary_Calculation[[#This Row],[Gross Salary Before Deductions]],0),2))</f>
        <v/>
      </c>
      <c r="AC20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03" s="164" t="str">
        <f aca="false">IF(Salary_Calculation[[#This Row],[Source Row]]="","",Salary_Calculation[[#This Row],[Rider Target Orders]]*Salary_Calculation[[#This Row],[Base Order Rate]])</f>
        <v/>
      </c>
      <c r="AE203" s="162" t="str">
        <f aca="false">IF(SUMPRODUCT(--(LEN(INDEX(Rider_Input[#Data],ROW()-ROW(Salary_Calculation[#Headers]),0))&gt;0))=0,"",ROW()-ROW(Salary_Calculation[#Headers]))</f>
        <v/>
      </c>
    </row>
    <row r="204" customFormat="false" ht="14.25" hidden="false" customHeight="false" outlineLevel="0" collapsed="false">
      <c r="A204" s="161" t="str">
        <f aca="false">IF(Salary_Calculation[[#This Row],[Source Row]]="","",IF(INDEX(Rider_Input[Salary Month],Salary_Calculation[[#This Row],[Source Row]])="","",INDEX(Rider_Input[Salary Month],Salary_Calculation[[#This Row],[Source Row]])))</f>
        <v/>
      </c>
      <c r="B204" s="162" t="str">
        <f aca="false">IF(Salary_Calculation[[#This Row],[Source Row]]="","",IF(INDEX(Rider_Input[Rider ID],Salary_Calculation[[#This Row],[Source Row]])="","",INDEX(Rider_Input[Rider ID],Salary_Calculation[[#This Row],[Source Row]])))</f>
        <v/>
      </c>
      <c r="C204" s="163" t="str">
        <f aca="false">IF(Salary_Calculation[[#This Row],[Source Row]]="","",IF(INDEX(Rider_Input[Rider Name],Salary_Calculation[[#This Row],[Source Row]])="","",INDEX(Rider_Input[Rider Name],Salary_Calculation[[#This Row],[Source Row]])))</f>
        <v/>
      </c>
      <c r="D204" s="164" t="str">
        <f aca="false">IF(Salary_Calculation[[#This Row],[Source Row]]="","",IF(INDEX(Rider_Input[Basic Payment],Salary_Calculation[[#This Row],[Source Row]])="","",INDEX(Rider_Input[Basic Payment],Salary_Calculation[[#This Row],[Source Row]])))</f>
        <v/>
      </c>
      <c r="E204" s="162" t="str">
        <f aca="false">IF(Salary_Calculation[[#This Row],[Source Row]]="","",IF(INDEX(Rider_Input[Calendar Days in Month],Salary_Calculation[[#This Row],[Source Row]])="","",INDEX(Rider_Input[Calendar Days in Month],Salary_Calculation[[#This Row],[Source Row]])))</f>
        <v/>
      </c>
      <c r="F204" s="162" t="str">
        <f aca="false">IF(Salary_Calculation[[#This Row],[Source Row]]="","",IF(INDEX(Rider_Input[Working Days],Salary_Calculation[[#This Row],[Source Row]])="","",INDEX(Rider_Input[Working Days],Salary_Calculation[[#This Row],[Source Row]])))</f>
        <v/>
      </c>
      <c r="G204" s="165" t="str">
        <f aca="false">IF(Salary_Calculation[[#This Row],[Source Row]]="","",Std_Orders/Std_Days*N(Salary_Calculation[[#This Row],[Calendar Days]]))</f>
        <v/>
      </c>
      <c r="H204" s="165" t="str">
        <f aca="false">IF(Salary_Calculation[[#This Row],[Source Row]]="","",IF(N(Salary_Calculation[[#This Row],[Calendar Days]])&gt;0,Salary_Calculation[[#This Row],[Monthly Target Orders]]/N(Salary_Calculation[[#This Row],[Calendar Days]])*N(Salary_Calculation[[#This Row],[Working Days]]),0))</f>
        <v/>
      </c>
      <c r="I204" s="166" t="str">
        <f aca="false">IF(Salary_Calculation[[#This Row],[Source Row]]="","",IF(INDEX(Rider_Input[Completed Orders],Salary_Calculation[[#This Row],[Source Row]])="","",INDEX(Rider_Input[Completed Orders],Salary_Calculation[[#This Row],[Source Row]])))</f>
        <v/>
      </c>
      <c r="J204" s="165" t="str">
        <f aca="false">IF(Salary_Calculation[[#This Row],[Source Row]]="","",IF(Rate_Method="Fixed rate",Fixed_Rate,IF(N(Salary_Calculation[[#This Row],[Basic Payment]])&gt;0,N(Salary_Calculation[[#This Row],[Basic Payment]])/Std_Orders,0)))</f>
        <v/>
      </c>
      <c r="K204" s="165" t="str">
        <f aca="false">IF(Salary_Calculation[[#This Row],[Source Row]]="","",MAX(MIN(N(Salary_Calculation[[#This Row],[Completed Orders]]),Salary_Calculation[[#This Row],[Rider Target Orders]]),0))</f>
        <v/>
      </c>
      <c r="L204" s="164" t="str">
        <f aca="false">IF(Salary_Calculation[[#This Row],[Source Row]]="","",Salary_Calculation[[#This Row],[Orders Counted at Base Rate]]*Salary_Calculation[[#This Row],[Base Order Rate]])</f>
        <v/>
      </c>
      <c r="M204" s="165" t="str">
        <f aca="false">IF(Salary_Calculation[[#This Row],[Source Row]]="","",MAX(Salary_Calculation[[#This Row],[Rider Target Orders]]-N(Salary_Calculation[[#This Row],[Completed Orders]]),0))</f>
        <v/>
      </c>
      <c r="N204" s="164" t="str">
        <f aca="false">IF(Salary_Calculation[[#This Row],[Source Row]]="","",Salary_Calculation[[#This Row],[Missing Orders]]*Missing_Rate)</f>
        <v/>
      </c>
      <c r="O204" s="165" t="str">
        <f aca="false">IF(Salary_Calculation[[#This Row],[Source Row]]="","",MAX(N(Salary_Calculation[[#This Row],[Completed Orders]])-Salary_Calculation[[#This Row],[Rider Target Orders]],0))</f>
        <v/>
      </c>
      <c r="P204" s="164" t="str">
        <f aca="false">IF(Salary_Calculation[[#This Row],[Source Row]]="","",Salary_Calculation[[#This Row],[Extra Orders]]*Extra_Rate)</f>
        <v/>
      </c>
      <c r="Q204" s="164" t="str">
        <f aca="false">IF(Salary_Calculation[[#This Row],[Source Row]]="","",MAX(Salary_Calculation[[#This Row],[Salary Before Other Deductions]],0))</f>
        <v/>
      </c>
      <c r="R204" s="164" t="str">
        <f aca="false">IF(Salary_Calculation[[#This Row],[Source Row]]="","",N(INDEX(Rider_Input[missed_days_penalty],Salary_Calculation[[#This Row],[Source Row]])))</f>
        <v/>
      </c>
      <c r="S204" s="164" t="str">
        <f aca="false">IF(Salary_Calculation[[#This Row],[Source Row]]="","",N(INDEX(Rider_Input[Rider Balance / محفظة المندوب],Salary_Calculation[[#This Row],[Source Row]])))</f>
        <v/>
      </c>
      <c r="T204" s="164" t="str">
        <f aca="false">IF(Salary_Calculation[[#This Row],[Source Row]]="","",N(INDEX(Rider_Input[stacking_deduction / خصم الطلبات المتعددة],Salary_Calculation[[#This Row],[Source Row]])))</f>
        <v/>
      </c>
      <c r="U204" s="164" t="str">
        <f aca="false">IF(Salary_Calculation[[#This Row],[Source Row]]="","",N(INDEX(Rider_Input[Other Deductions],Salary_Calculation[[#This Row],[Source Row]])))</f>
        <v/>
      </c>
      <c r="V204" s="164" t="str">
        <f aca="false">IF(Salary_Calculation[[#This Row],[Source Row]]="","",N(Salary_Calculation[[#This Row],[missed_days_penalty]])+N(Salary_Calculation[[#This Row],[Rider Balance]])+N(Salary_Calculation[[#This Row],[stacking_deduction]])+N(Salary_Calculation[[#This Row],[Other Deductions]]))</f>
        <v/>
      </c>
      <c r="W204" s="167" t="str">
        <f aca="false">IF(Salary_Calculation[[#This Row],[Source Row]]="","",ROUND(MAX(Salary_Calculation[[#This Row],[Gross Salary Before Deductions]]-Salary_Calculation[[#This Row],[Total Deductions]],0),2))</f>
        <v/>
      </c>
      <c r="X204" s="164" t="str">
        <f aca="false">IF(Salary_Calculation[[#This Row],[Source Row]]="","",ROUND(MAX(Salary_Calculation[[#This Row],[Missing-Order Deduction]]-Salary_Calculation[[#This Row],[Earned Salary]],0),2))</f>
        <v/>
      </c>
      <c r="Y20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04" s="163" t="str">
        <f aca="false">IF(Salary_Calculation[[#This Row],[Source Row]]="","",IF(INDEX(Rider_Input[Notes],Salary_Calculation[[#This Row],[Source Row]])="","",INDEX(Rider_Input[Notes],Salary_Calculation[[#This Row],[Source Row]])))</f>
        <v/>
      </c>
      <c r="AA204" s="164" t="str">
        <f aca="false">IF(Salary_Calculation[[#This Row],[Source Row]]="","",Salary_Calculation[[#This Row],[Earned Salary]]-Salary_Calculation[[#This Row],[Missing-Order Deduction]]+Salary_Calculation[[#This Row],[Extra-Order Bonus]])</f>
        <v/>
      </c>
      <c r="AB204" s="164" t="str">
        <f aca="false">IF(Salary_Calculation[[#This Row],[Source Row]]="","",ROUND(Salary_Calculation[[#This Row],[Negative Balance / Amount Due from Rider]]+MAX(Salary_Calculation[[#This Row],[Total Deductions]]-Salary_Calculation[[#This Row],[Gross Salary Before Deductions]],0),2))</f>
        <v/>
      </c>
      <c r="AC20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04" s="164" t="str">
        <f aca="false">IF(Salary_Calculation[[#This Row],[Source Row]]="","",Salary_Calculation[[#This Row],[Rider Target Orders]]*Salary_Calculation[[#This Row],[Base Order Rate]])</f>
        <v/>
      </c>
      <c r="AE204" s="162" t="str">
        <f aca="false">IF(SUMPRODUCT(--(LEN(INDEX(Rider_Input[#Data],ROW()-ROW(Salary_Calculation[#Headers]),0))&gt;0))=0,"",ROW()-ROW(Salary_Calculation[#Headers]))</f>
        <v/>
      </c>
    </row>
    <row r="205" customFormat="false" ht="14.25" hidden="false" customHeight="false" outlineLevel="0" collapsed="false">
      <c r="A205" s="161" t="str">
        <f aca="false">IF(Salary_Calculation[[#This Row],[Source Row]]="","",IF(INDEX(Rider_Input[Salary Month],Salary_Calculation[[#This Row],[Source Row]])="","",INDEX(Rider_Input[Salary Month],Salary_Calculation[[#This Row],[Source Row]])))</f>
        <v/>
      </c>
      <c r="B205" s="162" t="str">
        <f aca="false">IF(Salary_Calculation[[#This Row],[Source Row]]="","",IF(INDEX(Rider_Input[Rider ID],Salary_Calculation[[#This Row],[Source Row]])="","",INDEX(Rider_Input[Rider ID],Salary_Calculation[[#This Row],[Source Row]])))</f>
        <v/>
      </c>
      <c r="C205" s="163" t="str">
        <f aca="false">IF(Salary_Calculation[[#This Row],[Source Row]]="","",IF(INDEX(Rider_Input[Rider Name],Salary_Calculation[[#This Row],[Source Row]])="","",INDEX(Rider_Input[Rider Name],Salary_Calculation[[#This Row],[Source Row]])))</f>
        <v/>
      </c>
      <c r="D205" s="164" t="str">
        <f aca="false">IF(Salary_Calculation[[#This Row],[Source Row]]="","",IF(INDEX(Rider_Input[Basic Payment],Salary_Calculation[[#This Row],[Source Row]])="","",INDEX(Rider_Input[Basic Payment],Salary_Calculation[[#This Row],[Source Row]])))</f>
        <v/>
      </c>
      <c r="E205" s="162" t="str">
        <f aca="false">IF(Salary_Calculation[[#This Row],[Source Row]]="","",IF(INDEX(Rider_Input[Calendar Days in Month],Salary_Calculation[[#This Row],[Source Row]])="","",INDEX(Rider_Input[Calendar Days in Month],Salary_Calculation[[#This Row],[Source Row]])))</f>
        <v/>
      </c>
      <c r="F205" s="162" t="str">
        <f aca="false">IF(Salary_Calculation[[#This Row],[Source Row]]="","",IF(INDEX(Rider_Input[Working Days],Salary_Calculation[[#This Row],[Source Row]])="","",INDEX(Rider_Input[Working Days],Salary_Calculation[[#This Row],[Source Row]])))</f>
        <v/>
      </c>
      <c r="G205" s="165" t="str">
        <f aca="false">IF(Salary_Calculation[[#This Row],[Source Row]]="","",Std_Orders/Std_Days*N(Salary_Calculation[[#This Row],[Calendar Days]]))</f>
        <v/>
      </c>
      <c r="H205" s="165" t="str">
        <f aca="false">IF(Salary_Calculation[[#This Row],[Source Row]]="","",IF(N(Salary_Calculation[[#This Row],[Calendar Days]])&gt;0,Salary_Calculation[[#This Row],[Monthly Target Orders]]/N(Salary_Calculation[[#This Row],[Calendar Days]])*N(Salary_Calculation[[#This Row],[Working Days]]),0))</f>
        <v/>
      </c>
      <c r="I205" s="166" t="str">
        <f aca="false">IF(Salary_Calculation[[#This Row],[Source Row]]="","",IF(INDEX(Rider_Input[Completed Orders],Salary_Calculation[[#This Row],[Source Row]])="","",INDEX(Rider_Input[Completed Orders],Salary_Calculation[[#This Row],[Source Row]])))</f>
        <v/>
      </c>
      <c r="J205" s="165" t="str">
        <f aca="false">IF(Salary_Calculation[[#This Row],[Source Row]]="","",IF(Rate_Method="Fixed rate",Fixed_Rate,IF(N(Salary_Calculation[[#This Row],[Basic Payment]])&gt;0,N(Salary_Calculation[[#This Row],[Basic Payment]])/Std_Orders,0)))</f>
        <v/>
      </c>
      <c r="K205" s="165" t="str">
        <f aca="false">IF(Salary_Calculation[[#This Row],[Source Row]]="","",MAX(MIN(N(Salary_Calculation[[#This Row],[Completed Orders]]),Salary_Calculation[[#This Row],[Rider Target Orders]]),0))</f>
        <v/>
      </c>
      <c r="L205" s="164" t="str">
        <f aca="false">IF(Salary_Calculation[[#This Row],[Source Row]]="","",Salary_Calculation[[#This Row],[Orders Counted at Base Rate]]*Salary_Calculation[[#This Row],[Base Order Rate]])</f>
        <v/>
      </c>
      <c r="M205" s="165" t="str">
        <f aca="false">IF(Salary_Calculation[[#This Row],[Source Row]]="","",MAX(Salary_Calculation[[#This Row],[Rider Target Orders]]-N(Salary_Calculation[[#This Row],[Completed Orders]]),0))</f>
        <v/>
      </c>
      <c r="N205" s="164" t="str">
        <f aca="false">IF(Salary_Calculation[[#This Row],[Source Row]]="","",Salary_Calculation[[#This Row],[Missing Orders]]*Missing_Rate)</f>
        <v/>
      </c>
      <c r="O205" s="165" t="str">
        <f aca="false">IF(Salary_Calculation[[#This Row],[Source Row]]="","",MAX(N(Salary_Calculation[[#This Row],[Completed Orders]])-Salary_Calculation[[#This Row],[Rider Target Orders]],0))</f>
        <v/>
      </c>
      <c r="P205" s="164" t="str">
        <f aca="false">IF(Salary_Calculation[[#This Row],[Source Row]]="","",Salary_Calculation[[#This Row],[Extra Orders]]*Extra_Rate)</f>
        <v/>
      </c>
      <c r="Q205" s="164" t="str">
        <f aca="false">IF(Salary_Calculation[[#This Row],[Source Row]]="","",MAX(Salary_Calculation[[#This Row],[Salary Before Other Deductions]],0))</f>
        <v/>
      </c>
      <c r="R205" s="164" t="str">
        <f aca="false">IF(Salary_Calculation[[#This Row],[Source Row]]="","",N(INDEX(Rider_Input[missed_days_penalty],Salary_Calculation[[#This Row],[Source Row]])))</f>
        <v/>
      </c>
      <c r="S205" s="164" t="str">
        <f aca="false">IF(Salary_Calculation[[#This Row],[Source Row]]="","",N(INDEX(Rider_Input[Rider Balance / محفظة المندوب],Salary_Calculation[[#This Row],[Source Row]])))</f>
        <v/>
      </c>
      <c r="T205" s="164" t="str">
        <f aca="false">IF(Salary_Calculation[[#This Row],[Source Row]]="","",N(INDEX(Rider_Input[stacking_deduction / خصم الطلبات المتعددة],Salary_Calculation[[#This Row],[Source Row]])))</f>
        <v/>
      </c>
      <c r="U205" s="164" t="str">
        <f aca="false">IF(Salary_Calculation[[#This Row],[Source Row]]="","",N(INDEX(Rider_Input[Other Deductions],Salary_Calculation[[#This Row],[Source Row]])))</f>
        <v/>
      </c>
      <c r="V205" s="164" t="str">
        <f aca="false">IF(Salary_Calculation[[#This Row],[Source Row]]="","",N(Salary_Calculation[[#This Row],[missed_days_penalty]])+N(Salary_Calculation[[#This Row],[Rider Balance]])+N(Salary_Calculation[[#This Row],[stacking_deduction]])+N(Salary_Calculation[[#This Row],[Other Deductions]]))</f>
        <v/>
      </c>
      <c r="W205" s="167" t="str">
        <f aca="false">IF(Salary_Calculation[[#This Row],[Source Row]]="","",ROUND(MAX(Salary_Calculation[[#This Row],[Gross Salary Before Deductions]]-Salary_Calculation[[#This Row],[Total Deductions]],0),2))</f>
        <v/>
      </c>
      <c r="X205" s="164" t="str">
        <f aca="false">IF(Salary_Calculation[[#This Row],[Source Row]]="","",ROUND(MAX(Salary_Calculation[[#This Row],[Missing-Order Deduction]]-Salary_Calculation[[#This Row],[Earned Salary]],0),2))</f>
        <v/>
      </c>
      <c r="Y20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05" s="163" t="str">
        <f aca="false">IF(Salary_Calculation[[#This Row],[Source Row]]="","",IF(INDEX(Rider_Input[Notes],Salary_Calculation[[#This Row],[Source Row]])="","",INDEX(Rider_Input[Notes],Salary_Calculation[[#This Row],[Source Row]])))</f>
        <v/>
      </c>
      <c r="AA205" s="164" t="str">
        <f aca="false">IF(Salary_Calculation[[#This Row],[Source Row]]="","",Salary_Calculation[[#This Row],[Earned Salary]]-Salary_Calculation[[#This Row],[Missing-Order Deduction]]+Salary_Calculation[[#This Row],[Extra-Order Bonus]])</f>
        <v/>
      </c>
      <c r="AB205" s="164" t="str">
        <f aca="false">IF(Salary_Calculation[[#This Row],[Source Row]]="","",ROUND(Salary_Calculation[[#This Row],[Negative Balance / Amount Due from Rider]]+MAX(Salary_Calculation[[#This Row],[Total Deductions]]-Salary_Calculation[[#This Row],[Gross Salary Before Deductions]],0),2))</f>
        <v/>
      </c>
      <c r="AC20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05" s="164" t="str">
        <f aca="false">IF(Salary_Calculation[[#This Row],[Source Row]]="","",Salary_Calculation[[#This Row],[Rider Target Orders]]*Salary_Calculation[[#This Row],[Base Order Rate]])</f>
        <v/>
      </c>
      <c r="AE205" s="162" t="str">
        <f aca="false">IF(SUMPRODUCT(--(LEN(INDEX(Rider_Input[#Data],ROW()-ROW(Salary_Calculation[#Headers]),0))&gt;0))=0,"",ROW()-ROW(Salary_Calculation[#Headers]))</f>
        <v/>
      </c>
    </row>
    <row r="206" customFormat="false" ht="14.25" hidden="false" customHeight="false" outlineLevel="0" collapsed="false">
      <c r="A206" s="161" t="str">
        <f aca="false">IF(Salary_Calculation[[#This Row],[Source Row]]="","",IF(INDEX(Rider_Input[Salary Month],Salary_Calculation[[#This Row],[Source Row]])="","",INDEX(Rider_Input[Salary Month],Salary_Calculation[[#This Row],[Source Row]])))</f>
        <v/>
      </c>
      <c r="B206" s="162" t="str">
        <f aca="false">IF(Salary_Calculation[[#This Row],[Source Row]]="","",IF(INDEX(Rider_Input[Rider ID],Salary_Calculation[[#This Row],[Source Row]])="","",INDEX(Rider_Input[Rider ID],Salary_Calculation[[#This Row],[Source Row]])))</f>
        <v/>
      </c>
      <c r="C206" s="163" t="str">
        <f aca="false">IF(Salary_Calculation[[#This Row],[Source Row]]="","",IF(INDEX(Rider_Input[Rider Name],Salary_Calculation[[#This Row],[Source Row]])="","",INDEX(Rider_Input[Rider Name],Salary_Calculation[[#This Row],[Source Row]])))</f>
        <v/>
      </c>
      <c r="D206" s="164" t="str">
        <f aca="false">IF(Salary_Calculation[[#This Row],[Source Row]]="","",IF(INDEX(Rider_Input[Basic Payment],Salary_Calculation[[#This Row],[Source Row]])="","",INDEX(Rider_Input[Basic Payment],Salary_Calculation[[#This Row],[Source Row]])))</f>
        <v/>
      </c>
      <c r="E206" s="162" t="str">
        <f aca="false">IF(Salary_Calculation[[#This Row],[Source Row]]="","",IF(INDEX(Rider_Input[Calendar Days in Month],Salary_Calculation[[#This Row],[Source Row]])="","",INDEX(Rider_Input[Calendar Days in Month],Salary_Calculation[[#This Row],[Source Row]])))</f>
        <v/>
      </c>
      <c r="F206" s="162" t="str">
        <f aca="false">IF(Salary_Calculation[[#This Row],[Source Row]]="","",IF(INDEX(Rider_Input[Working Days],Salary_Calculation[[#This Row],[Source Row]])="","",INDEX(Rider_Input[Working Days],Salary_Calculation[[#This Row],[Source Row]])))</f>
        <v/>
      </c>
      <c r="G206" s="165" t="str">
        <f aca="false">IF(Salary_Calculation[[#This Row],[Source Row]]="","",Std_Orders/Std_Days*N(Salary_Calculation[[#This Row],[Calendar Days]]))</f>
        <v/>
      </c>
      <c r="H206" s="165" t="str">
        <f aca="false">IF(Salary_Calculation[[#This Row],[Source Row]]="","",IF(N(Salary_Calculation[[#This Row],[Calendar Days]])&gt;0,Salary_Calculation[[#This Row],[Monthly Target Orders]]/N(Salary_Calculation[[#This Row],[Calendar Days]])*N(Salary_Calculation[[#This Row],[Working Days]]),0))</f>
        <v/>
      </c>
      <c r="I206" s="166" t="str">
        <f aca="false">IF(Salary_Calculation[[#This Row],[Source Row]]="","",IF(INDEX(Rider_Input[Completed Orders],Salary_Calculation[[#This Row],[Source Row]])="","",INDEX(Rider_Input[Completed Orders],Salary_Calculation[[#This Row],[Source Row]])))</f>
        <v/>
      </c>
      <c r="J206" s="165" t="str">
        <f aca="false">IF(Salary_Calculation[[#This Row],[Source Row]]="","",IF(Rate_Method="Fixed rate",Fixed_Rate,IF(N(Salary_Calculation[[#This Row],[Basic Payment]])&gt;0,N(Salary_Calculation[[#This Row],[Basic Payment]])/Std_Orders,0)))</f>
        <v/>
      </c>
      <c r="K206" s="165" t="str">
        <f aca="false">IF(Salary_Calculation[[#This Row],[Source Row]]="","",MAX(MIN(N(Salary_Calculation[[#This Row],[Completed Orders]]),Salary_Calculation[[#This Row],[Rider Target Orders]]),0))</f>
        <v/>
      </c>
      <c r="L206" s="164" t="str">
        <f aca="false">IF(Salary_Calculation[[#This Row],[Source Row]]="","",Salary_Calculation[[#This Row],[Orders Counted at Base Rate]]*Salary_Calculation[[#This Row],[Base Order Rate]])</f>
        <v/>
      </c>
      <c r="M206" s="165" t="str">
        <f aca="false">IF(Salary_Calculation[[#This Row],[Source Row]]="","",MAX(Salary_Calculation[[#This Row],[Rider Target Orders]]-N(Salary_Calculation[[#This Row],[Completed Orders]]),0))</f>
        <v/>
      </c>
      <c r="N206" s="164" t="str">
        <f aca="false">IF(Salary_Calculation[[#This Row],[Source Row]]="","",Salary_Calculation[[#This Row],[Missing Orders]]*Missing_Rate)</f>
        <v/>
      </c>
      <c r="O206" s="165" t="str">
        <f aca="false">IF(Salary_Calculation[[#This Row],[Source Row]]="","",MAX(N(Salary_Calculation[[#This Row],[Completed Orders]])-Salary_Calculation[[#This Row],[Rider Target Orders]],0))</f>
        <v/>
      </c>
      <c r="P206" s="164" t="str">
        <f aca="false">IF(Salary_Calculation[[#This Row],[Source Row]]="","",Salary_Calculation[[#This Row],[Extra Orders]]*Extra_Rate)</f>
        <v/>
      </c>
      <c r="Q206" s="164" t="str">
        <f aca="false">IF(Salary_Calculation[[#This Row],[Source Row]]="","",MAX(Salary_Calculation[[#This Row],[Salary Before Other Deductions]],0))</f>
        <v/>
      </c>
      <c r="R206" s="164" t="str">
        <f aca="false">IF(Salary_Calculation[[#This Row],[Source Row]]="","",N(INDEX(Rider_Input[missed_days_penalty],Salary_Calculation[[#This Row],[Source Row]])))</f>
        <v/>
      </c>
      <c r="S206" s="164" t="str">
        <f aca="false">IF(Salary_Calculation[[#This Row],[Source Row]]="","",N(INDEX(Rider_Input[Rider Balance / محفظة المندوب],Salary_Calculation[[#This Row],[Source Row]])))</f>
        <v/>
      </c>
      <c r="T206" s="164" t="str">
        <f aca="false">IF(Salary_Calculation[[#This Row],[Source Row]]="","",N(INDEX(Rider_Input[stacking_deduction / خصم الطلبات المتعددة],Salary_Calculation[[#This Row],[Source Row]])))</f>
        <v/>
      </c>
      <c r="U206" s="164" t="str">
        <f aca="false">IF(Salary_Calculation[[#This Row],[Source Row]]="","",N(INDEX(Rider_Input[Other Deductions],Salary_Calculation[[#This Row],[Source Row]])))</f>
        <v/>
      </c>
      <c r="V206" s="164" t="str">
        <f aca="false">IF(Salary_Calculation[[#This Row],[Source Row]]="","",N(Salary_Calculation[[#This Row],[missed_days_penalty]])+N(Salary_Calculation[[#This Row],[Rider Balance]])+N(Salary_Calculation[[#This Row],[stacking_deduction]])+N(Salary_Calculation[[#This Row],[Other Deductions]]))</f>
        <v/>
      </c>
      <c r="W206" s="167" t="str">
        <f aca="false">IF(Salary_Calculation[[#This Row],[Source Row]]="","",ROUND(MAX(Salary_Calculation[[#This Row],[Gross Salary Before Deductions]]-Salary_Calculation[[#This Row],[Total Deductions]],0),2))</f>
        <v/>
      </c>
      <c r="X206" s="164" t="str">
        <f aca="false">IF(Salary_Calculation[[#This Row],[Source Row]]="","",ROUND(MAX(Salary_Calculation[[#This Row],[Missing-Order Deduction]]-Salary_Calculation[[#This Row],[Earned Salary]],0),2))</f>
        <v/>
      </c>
      <c r="Y20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06" s="163" t="str">
        <f aca="false">IF(Salary_Calculation[[#This Row],[Source Row]]="","",IF(INDEX(Rider_Input[Notes],Salary_Calculation[[#This Row],[Source Row]])="","",INDEX(Rider_Input[Notes],Salary_Calculation[[#This Row],[Source Row]])))</f>
        <v/>
      </c>
      <c r="AA206" s="164" t="str">
        <f aca="false">IF(Salary_Calculation[[#This Row],[Source Row]]="","",Salary_Calculation[[#This Row],[Earned Salary]]-Salary_Calculation[[#This Row],[Missing-Order Deduction]]+Salary_Calculation[[#This Row],[Extra-Order Bonus]])</f>
        <v/>
      </c>
      <c r="AB206" s="164" t="str">
        <f aca="false">IF(Salary_Calculation[[#This Row],[Source Row]]="","",ROUND(Salary_Calculation[[#This Row],[Negative Balance / Amount Due from Rider]]+MAX(Salary_Calculation[[#This Row],[Total Deductions]]-Salary_Calculation[[#This Row],[Gross Salary Before Deductions]],0),2))</f>
        <v/>
      </c>
      <c r="AC20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06" s="164" t="str">
        <f aca="false">IF(Salary_Calculation[[#This Row],[Source Row]]="","",Salary_Calculation[[#This Row],[Rider Target Orders]]*Salary_Calculation[[#This Row],[Base Order Rate]])</f>
        <v/>
      </c>
      <c r="AE206" s="162" t="str">
        <f aca="false">IF(SUMPRODUCT(--(LEN(INDEX(Rider_Input[#Data],ROW()-ROW(Salary_Calculation[#Headers]),0))&gt;0))=0,"",ROW()-ROW(Salary_Calculation[#Headers]))</f>
        <v/>
      </c>
    </row>
    <row r="207" customFormat="false" ht="14.25" hidden="false" customHeight="false" outlineLevel="0" collapsed="false">
      <c r="A207" s="161" t="str">
        <f aca="false">IF(Salary_Calculation[[#This Row],[Source Row]]="","",IF(INDEX(Rider_Input[Salary Month],Salary_Calculation[[#This Row],[Source Row]])="","",INDEX(Rider_Input[Salary Month],Salary_Calculation[[#This Row],[Source Row]])))</f>
        <v/>
      </c>
      <c r="B207" s="162" t="str">
        <f aca="false">IF(Salary_Calculation[[#This Row],[Source Row]]="","",IF(INDEX(Rider_Input[Rider ID],Salary_Calculation[[#This Row],[Source Row]])="","",INDEX(Rider_Input[Rider ID],Salary_Calculation[[#This Row],[Source Row]])))</f>
        <v/>
      </c>
      <c r="C207" s="163" t="str">
        <f aca="false">IF(Salary_Calculation[[#This Row],[Source Row]]="","",IF(INDEX(Rider_Input[Rider Name],Salary_Calculation[[#This Row],[Source Row]])="","",INDEX(Rider_Input[Rider Name],Salary_Calculation[[#This Row],[Source Row]])))</f>
        <v/>
      </c>
      <c r="D207" s="164" t="str">
        <f aca="false">IF(Salary_Calculation[[#This Row],[Source Row]]="","",IF(INDEX(Rider_Input[Basic Payment],Salary_Calculation[[#This Row],[Source Row]])="","",INDEX(Rider_Input[Basic Payment],Salary_Calculation[[#This Row],[Source Row]])))</f>
        <v/>
      </c>
      <c r="E207" s="162" t="str">
        <f aca="false">IF(Salary_Calculation[[#This Row],[Source Row]]="","",IF(INDEX(Rider_Input[Calendar Days in Month],Salary_Calculation[[#This Row],[Source Row]])="","",INDEX(Rider_Input[Calendar Days in Month],Salary_Calculation[[#This Row],[Source Row]])))</f>
        <v/>
      </c>
      <c r="F207" s="162" t="str">
        <f aca="false">IF(Salary_Calculation[[#This Row],[Source Row]]="","",IF(INDEX(Rider_Input[Working Days],Salary_Calculation[[#This Row],[Source Row]])="","",INDEX(Rider_Input[Working Days],Salary_Calculation[[#This Row],[Source Row]])))</f>
        <v/>
      </c>
      <c r="G207" s="165" t="str">
        <f aca="false">IF(Salary_Calculation[[#This Row],[Source Row]]="","",Std_Orders/Std_Days*N(Salary_Calculation[[#This Row],[Calendar Days]]))</f>
        <v/>
      </c>
      <c r="H207" s="165" t="str">
        <f aca="false">IF(Salary_Calculation[[#This Row],[Source Row]]="","",IF(N(Salary_Calculation[[#This Row],[Calendar Days]])&gt;0,Salary_Calculation[[#This Row],[Monthly Target Orders]]/N(Salary_Calculation[[#This Row],[Calendar Days]])*N(Salary_Calculation[[#This Row],[Working Days]]),0))</f>
        <v/>
      </c>
      <c r="I207" s="166" t="str">
        <f aca="false">IF(Salary_Calculation[[#This Row],[Source Row]]="","",IF(INDEX(Rider_Input[Completed Orders],Salary_Calculation[[#This Row],[Source Row]])="","",INDEX(Rider_Input[Completed Orders],Salary_Calculation[[#This Row],[Source Row]])))</f>
        <v/>
      </c>
      <c r="J207" s="165" t="str">
        <f aca="false">IF(Salary_Calculation[[#This Row],[Source Row]]="","",IF(Rate_Method="Fixed rate",Fixed_Rate,IF(N(Salary_Calculation[[#This Row],[Basic Payment]])&gt;0,N(Salary_Calculation[[#This Row],[Basic Payment]])/Std_Orders,0)))</f>
        <v/>
      </c>
      <c r="K207" s="165" t="str">
        <f aca="false">IF(Salary_Calculation[[#This Row],[Source Row]]="","",MAX(MIN(N(Salary_Calculation[[#This Row],[Completed Orders]]),Salary_Calculation[[#This Row],[Rider Target Orders]]),0))</f>
        <v/>
      </c>
      <c r="L207" s="164" t="str">
        <f aca="false">IF(Salary_Calculation[[#This Row],[Source Row]]="","",Salary_Calculation[[#This Row],[Orders Counted at Base Rate]]*Salary_Calculation[[#This Row],[Base Order Rate]])</f>
        <v/>
      </c>
      <c r="M207" s="165" t="str">
        <f aca="false">IF(Salary_Calculation[[#This Row],[Source Row]]="","",MAX(Salary_Calculation[[#This Row],[Rider Target Orders]]-N(Salary_Calculation[[#This Row],[Completed Orders]]),0))</f>
        <v/>
      </c>
      <c r="N207" s="164" t="str">
        <f aca="false">IF(Salary_Calculation[[#This Row],[Source Row]]="","",Salary_Calculation[[#This Row],[Missing Orders]]*Missing_Rate)</f>
        <v/>
      </c>
      <c r="O207" s="165" t="str">
        <f aca="false">IF(Salary_Calculation[[#This Row],[Source Row]]="","",MAX(N(Salary_Calculation[[#This Row],[Completed Orders]])-Salary_Calculation[[#This Row],[Rider Target Orders]],0))</f>
        <v/>
      </c>
      <c r="P207" s="164" t="str">
        <f aca="false">IF(Salary_Calculation[[#This Row],[Source Row]]="","",Salary_Calculation[[#This Row],[Extra Orders]]*Extra_Rate)</f>
        <v/>
      </c>
      <c r="Q207" s="164" t="str">
        <f aca="false">IF(Salary_Calculation[[#This Row],[Source Row]]="","",MAX(Salary_Calculation[[#This Row],[Salary Before Other Deductions]],0))</f>
        <v/>
      </c>
      <c r="R207" s="164" t="str">
        <f aca="false">IF(Salary_Calculation[[#This Row],[Source Row]]="","",N(INDEX(Rider_Input[missed_days_penalty],Salary_Calculation[[#This Row],[Source Row]])))</f>
        <v/>
      </c>
      <c r="S207" s="164" t="str">
        <f aca="false">IF(Salary_Calculation[[#This Row],[Source Row]]="","",N(INDEX(Rider_Input[Rider Balance / محفظة المندوب],Salary_Calculation[[#This Row],[Source Row]])))</f>
        <v/>
      </c>
      <c r="T207" s="164" t="str">
        <f aca="false">IF(Salary_Calculation[[#This Row],[Source Row]]="","",N(INDEX(Rider_Input[stacking_deduction / خصم الطلبات المتعددة],Salary_Calculation[[#This Row],[Source Row]])))</f>
        <v/>
      </c>
      <c r="U207" s="164" t="str">
        <f aca="false">IF(Salary_Calculation[[#This Row],[Source Row]]="","",N(INDEX(Rider_Input[Other Deductions],Salary_Calculation[[#This Row],[Source Row]])))</f>
        <v/>
      </c>
      <c r="V207" s="164" t="str">
        <f aca="false">IF(Salary_Calculation[[#This Row],[Source Row]]="","",N(Salary_Calculation[[#This Row],[missed_days_penalty]])+N(Salary_Calculation[[#This Row],[Rider Balance]])+N(Salary_Calculation[[#This Row],[stacking_deduction]])+N(Salary_Calculation[[#This Row],[Other Deductions]]))</f>
        <v/>
      </c>
      <c r="W207" s="167" t="str">
        <f aca="false">IF(Salary_Calculation[[#This Row],[Source Row]]="","",ROUND(MAX(Salary_Calculation[[#This Row],[Gross Salary Before Deductions]]-Salary_Calculation[[#This Row],[Total Deductions]],0),2))</f>
        <v/>
      </c>
      <c r="X207" s="164" t="str">
        <f aca="false">IF(Salary_Calculation[[#This Row],[Source Row]]="","",ROUND(MAX(Salary_Calculation[[#This Row],[Missing-Order Deduction]]-Salary_Calculation[[#This Row],[Earned Salary]],0),2))</f>
        <v/>
      </c>
      <c r="Y20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07" s="163" t="str">
        <f aca="false">IF(Salary_Calculation[[#This Row],[Source Row]]="","",IF(INDEX(Rider_Input[Notes],Salary_Calculation[[#This Row],[Source Row]])="","",INDEX(Rider_Input[Notes],Salary_Calculation[[#This Row],[Source Row]])))</f>
        <v/>
      </c>
      <c r="AA207" s="164" t="str">
        <f aca="false">IF(Salary_Calculation[[#This Row],[Source Row]]="","",Salary_Calculation[[#This Row],[Earned Salary]]-Salary_Calculation[[#This Row],[Missing-Order Deduction]]+Salary_Calculation[[#This Row],[Extra-Order Bonus]])</f>
        <v/>
      </c>
      <c r="AB207" s="164" t="str">
        <f aca="false">IF(Salary_Calculation[[#This Row],[Source Row]]="","",ROUND(Salary_Calculation[[#This Row],[Negative Balance / Amount Due from Rider]]+MAX(Salary_Calculation[[#This Row],[Total Deductions]]-Salary_Calculation[[#This Row],[Gross Salary Before Deductions]],0),2))</f>
        <v/>
      </c>
      <c r="AC20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07" s="164" t="str">
        <f aca="false">IF(Salary_Calculation[[#This Row],[Source Row]]="","",Salary_Calculation[[#This Row],[Rider Target Orders]]*Salary_Calculation[[#This Row],[Base Order Rate]])</f>
        <v/>
      </c>
      <c r="AE207" s="162" t="str">
        <f aca="false">IF(SUMPRODUCT(--(LEN(INDEX(Rider_Input[#Data],ROW()-ROW(Salary_Calculation[#Headers]),0))&gt;0))=0,"",ROW()-ROW(Salary_Calculation[#Headers]))</f>
        <v/>
      </c>
    </row>
    <row r="208" customFormat="false" ht="14.25" hidden="false" customHeight="false" outlineLevel="0" collapsed="false">
      <c r="A208" s="161" t="str">
        <f aca="false">IF(Salary_Calculation[[#This Row],[Source Row]]="","",IF(INDEX(Rider_Input[Salary Month],Salary_Calculation[[#This Row],[Source Row]])="","",INDEX(Rider_Input[Salary Month],Salary_Calculation[[#This Row],[Source Row]])))</f>
        <v/>
      </c>
      <c r="B208" s="162" t="str">
        <f aca="false">IF(Salary_Calculation[[#This Row],[Source Row]]="","",IF(INDEX(Rider_Input[Rider ID],Salary_Calculation[[#This Row],[Source Row]])="","",INDEX(Rider_Input[Rider ID],Salary_Calculation[[#This Row],[Source Row]])))</f>
        <v/>
      </c>
      <c r="C208" s="163" t="str">
        <f aca="false">IF(Salary_Calculation[[#This Row],[Source Row]]="","",IF(INDEX(Rider_Input[Rider Name],Salary_Calculation[[#This Row],[Source Row]])="","",INDEX(Rider_Input[Rider Name],Salary_Calculation[[#This Row],[Source Row]])))</f>
        <v/>
      </c>
      <c r="D208" s="164" t="str">
        <f aca="false">IF(Salary_Calculation[[#This Row],[Source Row]]="","",IF(INDEX(Rider_Input[Basic Payment],Salary_Calculation[[#This Row],[Source Row]])="","",INDEX(Rider_Input[Basic Payment],Salary_Calculation[[#This Row],[Source Row]])))</f>
        <v/>
      </c>
      <c r="E208" s="162" t="str">
        <f aca="false">IF(Salary_Calculation[[#This Row],[Source Row]]="","",IF(INDEX(Rider_Input[Calendar Days in Month],Salary_Calculation[[#This Row],[Source Row]])="","",INDEX(Rider_Input[Calendar Days in Month],Salary_Calculation[[#This Row],[Source Row]])))</f>
        <v/>
      </c>
      <c r="F208" s="162" t="str">
        <f aca="false">IF(Salary_Calculation[[#This Row],[Source Row]]="","",IF(INDEX(Rider_Input[Working Days],Salary_Calculation[[#This Row],[Source Row]])="","",INDEX(Rider_Input[Working Days],Salary_Calculation[[#This Row],[Source Row]])))</f>
        <v/>
      </c>
      <c r="G208" s="165" t="str">
        <f aca="false">IF(Salary_Calculation[[#This Row],[Source Row]]="","",Std_Orders/Std_Days*N(Salary_Calculation[[#This Row],[Calendar Days]]))</f>
        <v/>
      </c>
      <c r="H208" s="165" t="str">
        <f aca="false">IF(Salary_Calculation[[#This Row],[Source Row]]="","",IF(N(Salary_Calculation[[#This Row],[Calendar Days]])&gt;0,Salary_Calculation[[#This Row],[Monthly Target Orders]]/N(Salary_Calculation[[#This Row],[Calendar Days]])*N(Salary_Calculation[[#This Row],[Working Days]]),0))</f>
        <v/>
      </c>
      <c r="I208" s="166" t="str">
        <f aca="false">IF(Salary_Calculation[[#This Row],[Source Row]]="","",IF(INDEX(Rider_Input[Completed Orders],Salary_Calculation[[#This Row],[Source Row]])="","",INDEX(Rider_Input[Completed Orders],Salary_Calculation[[#This Row],[Source Row]])))</f>
        <v/>
      </c>
      <c r="J208" s="165" t="str">
        <f aca="false">IF(Salary_Calculation[[#This Row],[Source Row]]="","",IF(Rate_Method="Fixed rate",Fixed_Rate,IF(N(Salary_Calculation[[#This Row],[Basic Payment]])&gt;0,N(Salary_Calculation[[#This Row],[Basic Payment]])/Std_Orders,0)))</f>
        <v/>
      </c>
      <c r="K208" s="165" t="str">
        <f aca="false">IF(Salary_Calculation[[#This Row],[Source Row]]="","",MAX(MIN(N(Salary_Calculation[[#This Row],[Completed Orders]]),Salary_Calculation[[#This Row],[Rider Target Orders]]),0))</f>
        <v/>
      </c>
      <c r="L208" s="164" t="str">
        <f aca="false">IF(Salary_Calculation[[#This Row],[Source Row]]="","",Salary_Calculation[[#This Row],[Orders Counted at Base Rate]]*Salary_Calculation[[#This Row],[Base Order Rate]])</f>
        <v/>
      </c>
      <c r="M208" s="165" t="str">
        <f aca="false">IF(Salary_Calculation[[#This Row],[Source Row]]="","",MAX(Salary_Calculation[[#This Row],[Rider Target Orders]]-N(Salary_Calculation[[#This Row],[Completed Orders]]),0))</f>
        <v/>
      </c>
      <c r="N208" s="164" t="str">
        <f aca="false">IF(Salary_Calculation[[#This Row],[Source Row]]="","",Salary_Calculation[[#This Row],[Missing Orders]]*Missing_Rate)</f>
        <v/>
      </c>
      <c r="O208" s="165" t="str">
        <f aca="false">IF(Salary_Calculation[[#This Row],[Source Row]]="","",MAX(N(Salary_Calculation[[#This Row],[Completed Orders]])-Salary_Calculation[[#This Row],[Rider Target Orders]],0))</f>
        <v/>
      </c>
      <c r="P208" s="164" t="str">
        <f aca="false">IF(Salary_Calculation[[#This Row],[Source Row]]="","",Salary_Calculation[[#This Row],[Extra Orders]]*Extra_Rate)</f>
        <v/>
      </c>
      <c r="Q208" s="164" t="str">
        <f aca="false">IF(Salary_Calculation[[#This Row],[Source Row]]="","",MAX(Salary_Calculation[[#This Row],[Salary Before Other Deductions]],0))</f>
        <v/>
      </c>
      <c r="R208" s="164" t="str">
        <f aca="false">IF(Salary_Calculation[[#This Row],[Source Row]]="","",N(INDEX(Rider_Input[missed_days_penalty],Salary_Calculation[[#This Row],[Source Row]])))</f>
        <v/>
      </c>
      <c r="S208" s="164" t="str">
        <f aca="false">IF(Salary_Calculation[[#This Row],[Source Row]]="","",N(INDEX(Rider_Input[Rider Balance / محفظة المندوب],Salary_Calculation[[#This Row],[Source Row]])))</f>
        <v/>
      </c>
      <c r="T208" s="164" t="str">
        <f aca="false">IF(Salary_Calculation[[#This Row],[Source Row]]="","",N(INDEX(Rider_Input[stacking_deduction / خصم الطلبات المتعددة],Salary_Calculation[[#This Row],[Source Row]])))</f>
        <v/>
      </c>
      <c r="U208" s="164" t="str">
        <f aca="false">IF(Salary_Calculation[[#This Row],[Source Row]]="","",N(INDEX(Rider_Input[Other Deductions],Salary_Calculation[[#This Row],[Source Row]])))</f>
        <v/>
      </c>
      <c r="V208" s="164" t="str">
        <f aca="false">IF(Salary_Calculation[[#This Row],[Source Row]]="","",N(Salary_Calculation[[#This Row],[missed_days_penalty]])+N(Salary_Calculation[[#This Row],[Rider Balance]])+N(Salary_Calculation[[#This Row],[stacking_deduction]])+N(Salary_Calculation[[#This Row],[Other Deductions]]))</f>
        <v/>
      </c>
      <c r="W208" s="167" t="str">
        <f aca="false">IF(Salary_Calculation[[#This Row],[Source Row]]="","",ROUND(MAX(Salary_Calculation[[#This Row],[Gross Salary Before Deductions]]-Salary_Calculation[[#This Row],[Total Deductions]],0),2))</f>
        <v/>
      </c>
      <c r="X208" s="164" t="str">
        <f aca="false">IF(Salary_Calculation[[#This Row],[Source Row]]="","",ROUND(MAX(Salary_Calculation[[#This Row],[Missing-Order Deduction]]-Salary_Calculation[[#This Row],[Earned Salary]],0),2))</f>
        <v/>
      </c>
      <c r="Y20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08" s="163" t="str">
        <f aca="false">IF(Salary_Calculation[[#This Row],[Source Row]]="","",IF(INDEX(Rider_Input[Notes],Salary_Calculation[[#This Row],[Source Row]])="","",INDEX(Rider_Input[Notes],Salary_Calculation[[#This Row],[Source Row]])))</f>
        <v/>
      </c>
      <c r="AA208" s="164" t="str">
        <f aca="false">IF(Salary_Calculation[[#This Row],[Source Row]]="","",Salary_Calculation[[#This Row],[Earned Salary]]-Salary_Calculation[[#This Row],[Missing-Order Deduction]]+Salary_Calculation[[#This Row],[Extra-Order Bonus]])</f>
        <v/>
      </c>
      <c r="AB208" s="164" t="str">
        <f aca="false">IF(Salary_Calculation[[#This Row],[Source Row]]="","",ROUND(Salary_Calculation[[#This Row],[Negative Balance / Amount Due from Rider]]+MAX(Salary_Calculation[[#This Row],[Total Deductions]]-Salary_Calculation[[#This Row],[Gross Salary Before Deductions]],0),2))</f>
        <v/>
      </c>
      <c r="AC20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08" s="164" t="str">
        <f aca="false">IF(Salary_Calculation[[#This Row],[Source Row]]="","",Salary_Calculation[[#This Row],[Rider Target Orders]]*Salary_Calculation[[#This Row],[Base Order Rate]])</f>
        <v/>
      </c>
      <c r="AE208" s="162" t="str">
        <f aca="false">IF(SUMPRODUCT(--(LEN(INDEX(Rider_Input[#Data],ROW()-ROW(Salary_Calculation[#Headers]),0))&gt;0))=0,"",ROW()-ROW(Salary_Calculation[#Headers]))</f>
        <v/>
      </c>
    </row>
    <row r="209" customFormat="false" ht="14.25" hidden="false" customHeight="false" outlineLevel="0" collapsed="false">
      <c r="A209" s="161" t="str">
        <f aca="false">IF(Salary_Calculation[[#This Row],[Source Row]]="","",IF(INDEX(Rider_Input[Salary Month],Salary_Calculation[[#This Row],[Source Row]])="","",INDEX(Rider_Input[Salary Month],Salary_Calculation[[#This Row],[Source Row]])))</f>
        <v/>
      </c>
      <c r="B209" s="162" t="str">
        <f aca="false">IF(Salary_Calculation[[#This Row],[Source Row]]="","",IF(INDEX(Rider_Input[Rider ID],Salary_Calculation[[#This Row],[Source Row]])="","",INDEX(Rider_Input[Rider ID],Salary_Calculation[[#This Row],[Source Row]])))</f>
        <v/>
      </c>
      <c r="C209" s="163" t="str">
        <f aca="false">IF(Salary_Calculation[[#This Row],[Source Row]]="","",IF(INDEX(Rider_Input[Rider Name],Salary_Calculation[[#This Row],[Source Row]])="","",INDEX(Rider_Input[Rider Name],Salary_Calculation[[#This Row],[Source Row]])))</f>
        <v/>
      </c>
      <c r="D209" s="164" t="str">
        <f aca="false">IF(Salary_Calculation[[#This Row],[Source Row]]="","",IF(INDEX(Rider_Input[Basic Payment],Salary_Calculation[[#This Row],[Source Row]])="","",INDEX(Rider_Input[Basic Payment],Salary_Calculation[[#This Row],[Source Row]])))</f>
        <v/>
      </c>
      <c r="E209" s="162" t="str">
        <f aca="false">IF(Salary_Calculation[[#This Row],[Source Row]]="","",IF(INDEX(Rider_Input[Calendar Days in Month],Salary_Calculation[[#This Row],[Source Row]])="","",INDEX(Rider_Input[Calendar Days in Month],Salary_Calculation[[#This Row],[Source Row]])))</f>
        <v/>
      </c>
      <c r="F209" s="162" t="str">
        <f aca="false">IF(Salary_Calculation[[#This Row],[Source Row]]="","",IF(INDEX(Rider_Input[Working Days],Salary_Calculation[[#This Row],[Source Row]])="","",INDEX(Rider_Input[Working Days],Salary_Calculation[[#This Row],[Source Row]])))</f>
        <v/>
      </c>
      <c r="G209" s="165" t="str">
        <f aca="false">IF(Salary_Calculation[[#This Row],[Source Row]]="","",Std_Orders/Std_Days*N(Salary_Calculation[[#This Row],[Calendar Days]]))</f>
        <v/>
      </c>
      <c r="H209" s="165" t="str">
        <f aca="false">IF(Salary_Calculation[[#This Row],[Source Row]]="","",IF(N(Salary_Calculation[[#This Row],[Calendar Days]])&gt;0,Salary_Calculation[[#This Row],[Monthly Target Orders]]/N(Salary_Calculation[[#This Row],[Calendar Days]])*N(Salary_Calculation[[#This Row],[Working Days]]),0))</f>
        <v/>
      </c>
      <c r="I209" s="166" t="str">
        <f aca="false">IF(Salary_Calculation[[#This Row],[Source Row]]="","",IF(INDEX(Rider_Input[Completed Orders],Salary_Calculation[[#This Row],[Source Row]])="","",INDEX(Rider_Input[Completed Orders],Salary_Calculation[[#This Row],[Source Row]])))</f>
        <v/>
      </c>
      <c r="J209" s="165" t="str">
        <f aca="false">IF(Salary_Calculation[[#This Row],[Source Row]]="","",IF(Rate_Method="Fixed rate",Fixed_Rate,IF(N(Salary_Calculation[[#This Row],[Basic Payment]])&gt;0,N(Salary_Calculation[[#This Row],[Basic Payment]])/Std_Orders,0)))</f>
        <v/>
      </c>
      <c r="K209" s="165" t="str">
        <f aca="false">IF(Salary_Calculation[[#This Row],[Source Row]]="","",MAX(MIN(N(Salary_Calculation[[#This Row],[Completed Orders]]),Salary_Calculation[[#This Row],[Rider Target Orders]]),0))</f>
        <v/>
      </c>
      <c r="L209" s="164" t="str">
        <f aca="false">IF(Salary_Calculation[[#This Row],[Source Row]]="","",Salary_Calculation[[#This Row],[Orders Counted at Base Rate]]*Salary_Calculation[[#This Row],[Base Order Rate]])</f>
        <v/>
      </c>
      <c r="M209" s="165" t="str">
        <f aca="false">IF(Salary_Calculation[[#This Row],[Source Row]]="","",MAX(Salary_Calculation[[#This Row],[Rider Target Orders]]-N(Salary_Calculation[[#This Row],[Completed Orders]]),0))</f>
        <v/>
      </c>
      <c r="N209" s="164" t="str">
        <f aca="false">IF(Salary_Calculation[[#This Row],[Source Row]]="","",Salary_Calculation[[#This Row],[Missing Orders]]*Missing_Rate)</f>
        <v/>
      </c>
      <c r="O209" s="165" t="str">
        <f aca="false">IF(Salary_Calculation[[#This Row],[Source Row]]="","",MAX(N(Salary_Calculation[[#This Row],[Completed Orders]])-Salary_Calculation[[#This Row],[Rider Target Orders]],0))</f>
        <v/>
      </c>
      <c r="P209" s="164" t="str">
        <f aca="false">IF(Salary_Calculation[[#This Row],[Source Row]]="","",Salary_Calculation[[#This Row],[Extra Orders]]*Extra_Rate)</f>
        <v/>
      </c>
      <c r="Q209" s="164" t="str">
        <f aca="false">IF(Salary_Calculation[[#This Row],[Source Row]]="","",MAX(Salary_Calculation[[#This Row],[Salary Before Other Deductions]],0))</f>
        <v/>
      </c>
      <c r="R209" s="164" t="str">
        <f aca="false">IF(Salary_Calculation[[#This Row],[Source Row]]="","",N(INDEX(Rider_Input[missed_days_penalty],Salary_Calculation[[#This Row],[Source Row]])))</f>
        <v/>
      </c>
      <c r="S209" s="164" t="str">
        <f aca="false">IF(Salary_Calculation[[#This Row],[Source Row]]="","",N(INDEX(Rider_Input[Rider Balance / محفظة المندوب],Salary_Calculation[[#This Row],[Source Row]])))</f>
        <v/>
      </c>
      <c r="T209" s="164" t="str">
        <f aca="false">IF(Salary_Calculation[[#This Row],[Source Row]]="","",N(INDEX(Rider_Input[stacking_deduction / خصم الطلبات المتعددة],Salary_Calculation[[#This Row],[Source Row]])))</f>
        <v/>
      </c>
      <c r="U209" s="164" t="str">
        <f aca="false">IF(Salary_Calculation[[#This Row],[Source Row]]="","",N(INDEX(Rider_Input[Other Deductions],Salary_Calculation[[#This Row],[Source Row]])))</f>
        <v/>
      </c>
      <c r="V209" s="164" t="str">
        <f aca="false">IF(Salary_Calculation[[#This Row],[Source Row]]="","",N(Salary_Calculation[[#This Row],[missed_days_penalty]])+N(Salary_Calculation[[#This Row],[Rider Balance]])+N(Salary_Calculation[[#This Row],[stacking_deduction]])+N(Salary_Calculation[[#This Row],[Other Deductions]]))</f>
        <v/>
      </c>
      <c r="W209" s="167" t="str">
        <f aca="false">IF(Salary_Calculation[[#This Row],[Source Row]]="","",ROUND(MAX(Salary_Calculation[[#This Row],[Gross Salary Before Deductions]]-Salary_Calculation[[#This Row],[Total Deductions]],0),2))</f>
        <v/>
      </c>
      <c r="X209" s="164" t="str">
        <f aca="false">IF(Salary_Calculation[[#This Row],[Source Row]]="","",ROUND(MAX(Salary_Calculation[[#This Row],[Missing-Order Deduction]]-Salary_Calculation[[#This Row],[Earned Salary]],0),2))</f>
        <v/>
      </c>
      <c r="Y20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09" s="163" t="str">
        <f aca="false">IF(Salary_Calculation[[#This Row],[Source Row]]="","",IF(INDEX(Rider_Input[Notes],Salary_Calculation[[#This Row],[Source Row]])="","",INDEX(Rider_Input[Notes],Salary_Calculation[[#This Row],[Source Row]])))</f>
        <v/>
      </c>
      <c r="AA209" s="164" t="str">
        <f aca="false">IF(Salary_Calculation[[#This Row],[Source Row]]="","",Salary_Calculation[[#This Row],[Earned Salary]]-Salary_Calculation[[#This Row],[Missing-Order Deduction]]+Salary_Calculation[[#This Row],[Extra-Order Bonus]])</f>
        <v/>
      </c>
      <c r="AB209" s="164" t="str">
        <f aca="false">IF(Salary_Calculation[[#This Row],[Source Row]]="","",ROUND(Salary_Calculation[[#This Row],[Negative Balance / Amount Due from Rider]]+MAX(Salary_Calculation[[#This Row],[Total Deductions]]-Salary_Calculation[[#This Row],[Gross Salary Before Deductions]],0),2))</f>
        <v/>
      </c>
      <c r="AC20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09" s="164" t="str">
        <f aca="false">IF(Salary_Calculation[[#This Row],[Source Row]]="","",Salary_Calculation[[#This Row],[Rider Target Orders]]*Salary_Calculation[[#This Row],[Base Order Rate]])</f>
        <v/>
      </c>
      <c r="AE209" s="162" t="str">
        <f aca="false">IF(SUMPRODUCT(--(LEN(INDEX(Rider_Input[#Data],ROW()-ROW(Salary_Calculation[#Headers]),0))&gt;0))=0,"",ROW()-ROW(Salary_Calculation[#Headers]))</f>
        <v/>
      </c>
    </row>
    <row r="210" customFormat="false" ht="14.25" hidden="false" customHeight="false" outlineLevel="0" collapsed="false">
      <c r="A210" s="161" t="str">
        <f aca="false">IF(Salary_Calculation[[#This Row],[Source Row]]="","",IF(INDEX(Rider_Input[Salary Month],Salary_Calculation[[#This Row],[Source Row]])="","",INDEX(Rider_Input[Salary Month],Salary_Calculation[[#This Row],[Source Row]])))</f>
        <v/>
      </c>
      <c r="B210" s="162" t="str">
        <f aca="false">IF(Salary_Calculation[[#This Row],[Source Row]]="","",IF(INDEX(Rider_Input[Rider ID],Salary_Calculation[[#This Row],[Source Row]])="","",INDEX(Rider_Input[Rider ID],Salary_Calculation[[#This Row],[Source Row]])))</f>
        <v/>
      </c>
      <c r="C210" s="163" t="str">
        <f aca="false">IF(Salary_Calculation[[#This Row],[Source Row]]="","",IF(INDEX(Rider_Input[Rider Name],Salary_Calculation[[#This Row],[Source Row]])="","",INDEX(Rider_Input[Rider Name],Salary_Calculation[[#This Row],[Source Row]])))</f>
        <v/>
      </c>
      <c r="D210" s="164" t="str">
        <f aca="false">IF(Salary_Calculation[[#This Row],[Source Row]]="","",IF(INDEX(Rider_Input[Basic Payment],Salary_Calculation[[#This Row],[Source Row]])="","",INDEX(Rider_Input[Basic Payment],Salary_Calculation[[#This Row],[Source Row]])))</f>
        <v/>
      </c>
      <c r="E210" s="162" t="str">
        <f aca="false">IF(Salary_Calculation[[#This Row],[Source Row]]="","",IF(INDEX(Rider_Input[Calendar Days in Month],Salary_Calculation[[#This Row],[Source Row]])="","",INDEX(Rider_Input[Calendar Days in Month],Salary_Calculation[[#This Row],[Source Row]])))</f>
        <v/>
      </c>
      <c r="F210" s="162" t="str">
        <f aca="false">IF(Salary_Calculation[[#This Row],[Source Row]]="","",IF(INDEX(Rider_Input[Working Days],Salary_Calculation[[#This Row],[Source Row]])="","",INDEX(Rider_Input[Working Days],Salary_Calculation[[#This Row],[Source Row]])))</f>
        <v/>
      </c>
      <c r="G210" s="165" t="str">
        <f aca="false">IF(Salary_Calculation[[#This Row],[Source Row]]="","",Std_Orders/Std_Days*N(Salary_Calculation[[#This Row],[Calendar Days]]))</f>
        <v/>
      </c>
      <c r="H210" s="165" t="str">
        <f aca="false">IF(Salary_Calculation[[#This Row],[Source Row]]="","",IF(N(Salary_Calculation[[#This Row],[Calendar Days]])&gt;0,Salary_Calculation[[#This Row],[Monthly Target Orders]]/N(Salary_Calculation[[#This Row],[Calendar Days]])*N(Salary_Calculation[[#This Row],[Working Days]]),0))</f>
        <v/>
      </c>
      <c r="I210" s="166" t="str">
        <f aca="false">IF(Salary_Calculation[[#This Row],[Source Row]]="","",IF(INDEX(Rider_Input[Completed Orders],Salary_Calculation[[#This Row],[Source Row]])="","",INDEX(Rider_Input[Completed Orders],Salary_Calculation[[#This Row],[Source Row]])))</f>
        <v/>
      </c>
      <c r="J210" s="165" t="str">
        <f aca="false">IF(Salary_Calculation[[#This Row],[Source Row]]="","",IF(Rate_Method="Fixed rate",Fixed_Rate,IF(N(Salary_Calculation[[#This Row],[Basic Payment]])&gt;0,N(Salary_Calculation[[#This Row],[Basic Payment]])/Std_Orders,0)))</f>
        <v/>
      </c>
      <c r="K210" s="165" t="str">
        <f aca="false">IF(Salary_Calculation[[#This Row],[Source Row]]="","",MAX(MIN(N(Salary_Calculation[[#This Row],[Completed Orders]]),Salary_Calculation[[#This Row],[Rider Target Orders]]),0))</f>
        <v/>
      </c>
      <c r="L210" s="164" t="str">
        <f aca="false">IF(Salary_Calculation[[#This Row],[Source Row]]="","",Salary_Calculation[[#This Row],[Orders Counted at Base Rate]]*Salary_Calculation[[#This Row],[Base Order Rate]])</f>
        <v/>
      </c>
      <c r="M210" s="165" t="str">
        <f aca="false">IF(Salary_Calculation[[#This Row],[Source Row]]="","",MAX(Salary_Calculation[[#This Row],[Rider Target Orders]]-N(Salary_Calculation[[#This Row],[Completed Orders]]),0))</f>
        <v/>
      </c>
      <c r="N210" s="164" t="str">
        <f aca="false">IF(Salary_Calculation[[#This Row],[Source Row]]="","",Salary_Calculation[[#This Row],[Missing Orders]]*Missing_Rate)</f>
        <v/>
      </c>
      <c r="O210" s="165" t="str">
        <f aca="false">IF(Salary_Calculation[[#This Row],[Source Row]]="","",MAX(N(Salary_Calculation[[#This Row],[Completed Orders]])-Salary_Calculation[[#This Row],[Rider Target Orders]],0))</f>
        <v/>
      </c>
      <c r="P210" s="164" t="str">
        <f aca="false">IF(Salary_Calculation[[#This Row],[Source Row]]="","",Salary_Calculation[[#This Row],[Extra Orders]]*Extra_Rate)</f>
        <v/>
      </c>
      <c r="Q210" s="164" t="str">
        <f aca="false">IF(Salary_Calculation[[#This Row],[Source Row]]="","",MAX(Salary_Calculation[[#This Row],[Salary Before Other Deductions]],0))</f>
        <v/>
      </c>
      <c r="R210" s="164" t="str">
        <f aca="false">IF(Salary_Calculation[[#This Row],[Source Row]]="","",N(INDEX(Rider_Input[missed_days_penalty],Salary_Calculation[[#This Row],[Source Row]])))</f>
        <v/>
      </c>
      <c r="S210" s="164" t="str">
        <f aca="false">IF(Salary_Calculation[[#This Row],[Source Row]]="","",N(INDEX(Rider_Input[Rider Balance / محفظة المندوب],Salary_Calculation[[#This Row],[Source Row]])))</f>
        <v/>
      </c>
      <c r="T210" s="164" t="str">
        <f aca="false">IF(Salary_Calculation[[#This Row],[Source Row]]="","",N(INDEX(Rider_Input[stacking_deduction / خصم الطلبات المتعددة],Salary_Calculation[[#This Row],[Source Row]])))</f>
        <v/>
      </c>
      <c r="U210" s="164" t="str">
        <f aca="false">IF(Salary_Calculation[[#This Row],[Source Row]]="","",N(INDEX(Rider_Input[Other Deductions],Salary_Calculation[[#This Row],[Source Row]])))</f>
        <v/>
      </c>
      <c r="V210" s="164" t="str">
        <f aca="false">IF(Salary_Calculation[[#This Row],[Source Row]]="","",N(Salary_Calculation[[#This Row],[missed_days_penalty]])+N(Salary_Calculation[[#This Row],[Rider Balance]])+N(Salary_Calculation[[#This Row],[stacking_deduction]])+N(Salary_Calculation[[#This Row],[Other Deductions]]))</f>
        <v/>
      </c>
      <c r="W210" s="167" t="str">
        <f aca="false">IF(Salary_Calculation[[#This Row],[Source Row]]="","",ROUND(MAX(Salary_Calculation[[#This Row],[Gross Salary Before Deductions]]-Salary_Calculation[[#This Row],[Total Deductions]],0),2))</f>
        <v/>
      </c>
      <c r="X210" s="164" t="str">
        <f aca="false">IF(Salary_Calculation[[#This Row],[Source Row]]="","",ROUND(MAX(Salary_Calculation[[#This Row],[Missing-Order Deduction]]-Salary_Calculation[[#This Row],[Earned Salary]],0),2))</f>
        <v/>
      </c>
      <c r="Y21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10" s="163" t="str">
        <f aca="false">IF(Salary_Calculation[[#This Row],[Source Row]]="","",IF(INDEX(Rider_Input[Notes],Salary_Calculation[[#This Row],[Source Row]])="","",INDEX(Rider_Input[Notes],Salary_Calculation[[#This Row],[Source Row]])))</f>
        <v/>
      </c>
      <c r="AA210" s="164" t="str">
        <f aca="false">IF(Salary_Calculation[[#This Row],[Source Row]]="","",Salary_Calculation[[#This Row],[Earned Salary]]-Salary_Calculation[[#This Row],[Missing-Order Deduction]]+Salary_Calculation[[#This Row],[Extra-Order Bonus]])</f>
        <v/>
      </c>
      <c r="AB210" s="164" t="str">
        <f aca="false">IF(Salary_Calculation[[#This Row],[Source Row]]="","",ROUND(Salary_Calculation[[#This Row],[Negative Balance / Amount Due from Rider]]+MAX(Salary_Calculation[[#This Row],[Total Deductions]]-Salary_Calculation[[#This Row],[Gross Salary Before Deductions]],0),2))</f>
        <v/>
      </c>
      <c r="AC21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10" s="164" t="str">
        <f aca="false">IF(Salary_Calculation[[#This Row],[Source Row]]="","",Salary_Calculation[[#This Row],[Rider Target Orders]]*Salary_Calculation[[#This Row],[Base Order Rate]])</f>
        <v/>
      </c>
      <c r="AE210" s="162" t="str">
        <f aca="false">IF(SUMPRODUCT(--(LEN(INDEX(Rider_Input[#Data],ROW()-ROW(Salary_Calculation[#Headers]),0))&gt;0))=0,"",ROW()-ROW(Salary_Calculation[#Headers]))</f>
        <v/>
      </c>
    </row>
    <row r="211" customFormat="false" ht="14.25" hidden="false" customHeight="false" outlineLevel="0" collapsed="false">
      <c r="A211" s="161" t="str">
        <f aca="false">IF(Salary_Calculation[[#This Row],[Source Row]]="","",IF(INDEX(Rider_Input[Salary Month],Salary_Calculation[[#This Row],[Source Row]])="","",INDEX(Rider_Input[Salary Month],Salary_Calculation[[#This Row],[Source Row]])))</f>
        <v/>
      </c>
      <c r="B211" s="162" t="str">
        <f aca="false">IF(Salary_Calculation[[#This Row],[Source Row]]="","",IF(INDEX(Rider_Input[Rider ID],Salary_Calculation[[#This Row],[Source Row]])="","",INDEX(Rider_Input[Rider ID],Salary_Calculation[[#This Row],[Source Row]])))</f>
        <v/>
      </c>
      <c r="C211" s="163" t="str">
        <f aca="false">IF(Salary_Calculation[[#This Row],[Source Row]]="","",IF(INDEX(Rider_Input[Rider Name],Salary_Calculation[[#This Row],[Source Row]])="","",INDEX(Rider_Input[Rider Name],Salary_Calculation[[#This Row],[Source Row]])))</f>
        <v/>
      </c>
      <c r="D211" s="164" t="str">
        <f aca="false">IF(Salary_Calculation[[#This Row],[Source Row]]="","",IF(INDEX(Rider_Input[Basic Payment],Salary_Calculation[[#This Row],[Source Row]])="","",INDEX(Rider_Input[Basic Payment],Salary_Calculation[[#This Row],[Source Row]])))</f>
        <v/>
      </c>
      <c r="E211" s="162" t="str">
        <f aca="false">IF(Salary_Calculation[[#This Row],[Source Row]]="","",IF(INDEX(Rider_Input[Calendar Days in Month],Salary_Calculation[[#This Row],[Source Row]])="","",INDEX(Rider_Input[Calendar Days in Month],Salary_Calculation[[#This Row],[Source Row]])))</f>
        <v/>
      </c>
      <c r="F211" s="162" t="str">
        <f aca="false">IF(Salary_Calculation[[#This Row],[Source Row]]="","",IF(INDEX(Rider_Input[Working Days],Salary_Calculation[[#This Row],[Source Row]])="","",INDEX(Rider_Input[Working Days],Salary_Calculation[[#This Row],[Source Row]])))</f>
        <v/>
      </c>
      <c r="G211" s="165" t="str">
        <f aca="false">IF(Salary_Calculation[[#This Row],[Source Row]]="","",Std_Orders/Std_Days*N(Salary_Calculation[[#This Row],[Calendar Days]]))</f>
        <v/>
      </c>
      <c r="H211" s="165" t="str">
        <f aca="false">IF(Salary_Calculation[[#This Row],[Source Row]]="","",IF(N(Salary_Calculation[[#This Row],[Calendar Days]])&gt;0,Salary_Calculation[[#This Row],[Monthly Target Orders]]/N(Salary_Calculation[[#This Row],[Calendar Days]])*N(Salary_Calculation[[#This Row],[Working Days]]),0))</f>
        <v/>
      </c>
      <c r="I211" s="166" t="str">
        <f aca="false">IF(Salary_Calculation[[#This Row],[Source Row]]="","",IF(INDEX(Rider_Input[Completed Orders],Salary_Calculation[[#This Row],[Source Row]])="","",INDEX(Rider_Input[Completed Orders],Salary_Calculation[[#This Row],[Source Row]])))</f>
        <v/>
      </c>
      <c r="J211" s="165" t="str">
        <f aca="false">IF(Salary_Calculation[[#This Row],[Source Row]]="","",IF(Rate_Method="Fixed rate",Fixed_Rate,IF(N(Salary_Calculation[[#This Row],[Basic Payment]])&gt;0,N(Salary_Calculation[[#This Row],[Basic Payment]])/Std_Orders,0)))</f>
        <v/>
      </c>
      <c r="K211" s="165" t="str">
        <f aca="false">IF(Salary_Calculation[[#This Row],[Source Row]]="","",MAX(MIN(N(Salary_Calculation[[#This Row],[Completed Orders]]),Salary_Calculation[[#This Row],[Rider Target Orders]]),0))</f>
        <v/>
      </c>
      <c r="L211" s="164" t="str">
        <f aca="false">IF(Salary_Calculation[[#This Row],[Source Row]]="","",Salary_Calculation[[#This Row],[Orders Counted at Base Rate]]*Salary_Calculation[[#This Row],[Base Order Rate]])</f>
        <v/>
      </c>
      <c r="M211" s="165" t="str">
        <f aca="false">IF(Salary_Calculation[[#This Row],[Source Row]]="","",MAX(Salary_Calculation[[#This Row],[Rider Target Orders]]-N(Salary_Calculation[[#This Row],[Completed Orders]]),0))</f>
        <v/>
      </c>
      <c r="N211" s="164" t="str">
        <f aca="false">IF(Salary_Calculation[[#This Row],[Source Row]]="","",Salary_Calculation[[#This Row],[Missing Orders]]*Missing_Rate)</f>
        <v/>
      </c>
      <c r="O211" s="165" t="str">
        <f aca="false">IF(Salary_Calculation[[#This Row],[Source Row]]="","",MAX(N(Salary_Calculation[[#This Row],[Completed Orders]])-Salary_Calculation[[#This Row],[Rider Target Orders]],0))</f>
        <v/>
      </c>
      <c r="P211" s="164" t="str">
        <f aca="false">IF(Salary_Calculation[[#This Row],[Source Row]]="","",Salary_Calculation[[#This Row],[Extra Orders]]*Extra_Rate)</f>
        <v/>
      </c>
      <c r="Q211" s="164" t="str">
        <f aca="false">IF(Salary_Calculation[[#This Row],[Source Row]]="","",MAX(Salary_Calculation[[#This Row],[Salary Before Other Deductions]],0))</f>
        <v/>
      </c>
      <c r="R211" s="164" t="str">
        <f aca="false">IF(Salary_Calculation[[#This Row],[Source Row]]="","",N(INDEX(Rider_Input[missed_days_penalty],Salary_Calculation[[#This Row],[Source Row]])))</f>
        <v/>
      </c>
      <c r="S211" s="164" t="str">
        <f aca="false">IF(Salary_Calculation[[#This Row],[Source Row]]="","",N(INDEX(Rider_Input[Rider Balance / محفظة المندوب],Salary_Calculation[[#This Row],[Source Row]])))</f>
        <v/>
      </c>
      <c r="T211" s="164" t="str">
        <f aca="false">IF(Salary_Calculation[[#This Row],[Source Row]]="","",N(INDEX(Rider_Input[stacking_deduction / خصم الطلبات المتعددة],Salary_Calculation[[#This Row],[Source Row]])))</f>
        <v/>
      </c>
      <c r="U211" s="164" t="str">
        <f aca="false">IF(Salary_Calculation[[#This Row],[Source Row]]="","",N(INDEX(Rider_Input[Other Deductions],Salary_Calculation[[#This Row],[Source Row]])))</f>
        <v/>
      </c>
      <c r="V211" s="164" t="str">
        <f aca="false">IF(Salary_Calculation[[#This Row],[Source Row]]="","",N(Salary_Calculation[[#This Row],[missed_days_penalty]])+N(Salary_Calculation[[#This Row],[Rider Balance]])+N(Salary_Calculation[[#This Row],[stacking_deduction]])+N(Salary_Calculation[[#This Row],[Other Deductions]]))</f>
        <v/>
      </c>
      <c r="W211" s="167" t="str">
        <f aca="false">IF(Salary_Calculation[[#This Row],[Source Row]]="","",ROUND(MAX(Salary_Calculation[[#This Row],[Gross Salary Before Deductions]]-Salary_Calculation[[#This Row],[Total Deductions]],0),2))</f>
        <v/>
      </c>
      <c r="X211" s="164" t="str">
        <f aca="false">IF(Salary_Calculation[[#This Row],[Source Row]]="","",ROUND(MAX(Salary_Calculation[[#This Row],[Missing-Order Deduction]]-Salary_Calculation[[#This Row],[Earned Salary]],0),2))</f>
        <v/>
      </c>
      <c r="Y21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11" s="163" t="str">
        <f aca="false">IF(Salary_Calculation[[#This Row],[Source Row]]="","",IF(INDEX(Rider_Input[Notes],Salary_Calculation[[#This Row],[Source Row]])="","",INDEX(Rider_Input[Notes],Salary_Calculation[[#This Row],[Source Row]])))</f>
        <v/>
      </c>
      <c r="AA211" s="164" t="str">
        <f aca="false">IF(Salary_Calculation[[#This Row],[Source Row]]="","",Salary_Calculation[[#This Row],[Earned Salary]]-Salary_Calculation[[#This Row],[Missing-Order Deduction]]+Salary_Calculation[[#This Row],[Extra-Order Bonus]])</f>
        <v/>
      </c>
      <c r="AB211" s="164" t="str">
        <f aca="false">IF(Salary_Calculation[[#This Row],[Source Row]]="","",ROUND(Salary_Calculation[[#This Row],[Negative Balance / Amount Due from Rider]]+MAX(Salary_Calculation[[#This Row],[Total Deductions]]-Salary_Calculation[[#This Row],[Gross Salary Before Deductions]],0),2))</f>
        <v/>
      </c>
      <c r="AC21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11" s="164" t="str">
        <f aca="false">IF(Salary_Calculation[[#This Row],[Source Row]]="","",Salary_Calculation[[#This Row],[Rider Target Orders]]*Salary_Calculation[[#This Row],[Base Order Rate]])</f>
        <v/>
      </c>
      <c r="AE211" s="162" t="str">
        <f aca="false">IF(SUMPRODUCT(--(LEN(INDEX(Rider_Input[#Data],ROW()-ROW(Salary_Calculation[#Headers]),0))&gt;0))=0,"",ROW()-ROW(Salary_Calculation[#Headers]))</f>
        <v/>
      </c>
    </row>
    <row r="212" customFormat="false" ht="14.25" hidden="false" customHeight="false" outlineLevel="0" collapsed="false">
      <c r="A212" s="161" t="str">
        <f aca="false">IF(Salary_Calculation[[#This Row],[Source Row]]="","",IF(INDEX(Rider_Input[Salary Month],Salary_Calculation[[#This Row],[Source Row]])="","",INDEX(Rider_Input[Salary Month],Salary_Calculation[[#This Row],[Source Row]])))</f>
        <v/>
      </c>
      <c r="B212" s="162" t="str">
        <f aca="false">IF(Salary_Calculation[[#This Row],[Source Row]]="","",IF(INDEX(Rider_Input[Rider ID],Salary_Calculation[[#This Row],[Source Row]])="","",INDEX(Rider_Input[Rider ID],Salary_Calculation[[#This Row],[Source Row]])))</f>
        <v/>
      </c>
      <c r="C212" s="163" t="str">
        <f aca="false">IF(Salary_Calculation[[#This Row],[Source Row]]="","",IF(INDEX(Rider_Input[Rider Name],Salary_Calculation[[#This Row],[Source Row]])="","",INDEX(Rider_Input[Rider Name],Salary_Calculation[[#This Row],[Source Row]])))</f>
        <v/>
      </c>
      <c r="D212" s="164" t="str">
        <f aca="false">IF(Salary_Calculation[[#This Row],[Source Row]]="","",IF(INDEX(Rider_Input[Basic Payment],Salary_Calculation[[#This Row],[Source Row]])="","",INDEX(Rider_Input[Basic Payment],Salary_Calculation[[#This Row],[Source Row]])))</f>
        <v/>
      </c>
      <c r="E212" s="162" t="str">
        <f aca="false">IF(Salary_Calculation[[#This Row],[Source Row]]="","",IF(INDEX(Rider_Input[Calendar Days in Month],Salary_Calculation[[#This Row],[Source Row]])="","",INDEX(Rider_Input[Calendar Days in Month],Salary_Calculation[[#This Row],[Source Row]])))</f>
        <v/>
      </c>
      <c r="F212" s="162" t="str">
        <f aca="false">IF(Salary_Calculation[[#This Row],[Source Row]]="","",IF(INDEX(Rider_Input[Working Days],Salary_Calculation[[#This Row],[Source Row]])="","",INDEX(Rider_Input[Working Days],Salary_Calculation[[#This Row],[Source Row]])))</f>
        <v/>
      </c>
      <c r="G212" s="165" t="str">
        <f aca="false">IF(Salary_Calculation[[#This Row],[Source Row]]="","",Std_Orders/Std_Days*N(Salary_Calculation[[#This Row],[Calendar Days]]))</f>
        <v/>
      </c>
      <c r="H212" s="165" t="str">
        <f aca="false">IF(Salary_Calculation[[#This Row],[Source Row]]="","",IF(N(Salary_Calculation[[#This Row],[Calendar Days]])&gt;0,Salary_Calculation[[#This Row],[Monthly Target Orders]]/N(Salary_Calculation[[#This Row],[Calendar Days]])*N(Salary_Calculation[[#This Row],[Working Days]]),0))</f>
        <v/>
      </c>
      <c r="I212" s="166" t="str">
        <f aca="false">IF(Salary_Calculation[[#This Row],[Source Row]]="","",IF(INDEX(Rider_Input[Completed Orders],Salary_Calculation[[#This Row],[Source Row]])="","",INDEX(Rider_Input[Completed Orders],Salary_Calculation[[#This Row],[Source Row]])))</f>
        <v/>
      </c>
      <c r="J212" s="165" t="str">
        <f aca="false">IF(Salary_Calculation[[#This Row],[Source Row]]="","",IF(Rate_Method="Fixed rate",Fixed_Rate,IF(N(Salary_Calculation[[#This Row],[Basic Payment]])&gt;0,N(Salary_Calculation[[#This Row],[Basic Payment]])/Std_Orders,0)))</f>
        <v/>
      </c>
      <c r="K212" s="165" t="str">
        <f aca="false">IF(Salary_Calculation[[#This Row],[Source Row]]="","",MAX(MIN(N(Salary_Calculation[[#This Row],[Completed Orders]]),Salary_Calculation[[#This Row],[Rider Target Orders]]),0))</f>
        <v/>
      </c>
      <c r="L212" s="164" t="str">
        <f aca="false">IF(Salary_Calculation[[#This Row],[Source Row]]="","",Salary_Calculation[[#This Row],[Orders Counted at Base Rate]]*Salary_Calculation[[#This Row],[Base Order Rate]])</f>
        <v/>
      </c>
      <c r="M212" s="165" t="str">
        <f aca="false">IF(Salary_Calculation[[#This Row],[Source Row]]="","",MAX(Salary_Calculation[[#This Row],[Rider Target Orders]]-N(Salary_Calculation[[#This Row],[Completed Orders]]),0))</f>
        <v/>
      </c>
      <c r="N212" s="164" t="str">
        <f aca="false">IF(Salary_Calculation[[#This Row],[Source Row]]="","",Salary_Calculation[[#This Row],[Missing Orders]]*Missing_Rate)</f>
        <v/>
      </c>
      <c r="O212" s="165" t="str">
        <f aca="false">IF(Salary_Calculation[[#This Row],[Source Row]]="","",MAX(N(Salary_Calculation[[#This Row],[Completed Orders]])-Salary_Calculation[[#This Row],[Rider Target Orders]],0))</f>
        <v/>
      </c>
      <c r="P212" s="164" t="str">
        <f aca="false">IF(Salary_Calculation[[#This Row],[Source Row]]="","",Salary_Calculation[[#This Row],[Extra Orders]]*Extra_Rate)</f>
        <v/>
      </c>
      <c r="Q212" s="164" t="str">
        <f aca="false">IF(Salary_Calculation[[#This Row],[Source Row]]="","",MAX(Salary_Calculation[[#This Row],[Salary Before Other Deductions]],0))</f>
        <v/>
      </c>
      <c r="R212" s="164" t="str">
        <f aca="false">IF(Salary_Calculation[[#This Row],[Source Row]]="","",N(INDEX(Rider_Input[missed_days_penalty],Salary_Calculation[[#This Row],[Source Row]])))</f>
        <v/>
      </c>
      <c r="S212" s="164" t="str">
        <f aca="false">IF(Salary_Calculation[[#This Row],[Source Row]]="","",N(INDEX(Rider_Input[Rider Balance / محفظة المندوب],Salary_Calculation[[#This Row],[Source Row]])))</f>
        <v/>
      </c>
      <c r="T212" s="164" t="str">
        <f aca="false">IF(Salary_Calculation[[#This Row],[Source Row]]="","",N(INDEX(Rider_Input[stacking_deduction / خصم الطلبات المتعددة],Salary_Calculation[[#This Row],[Source Row]])))</f>
        <v/>
      </c>
      <c r="U212" s="164" t="str">
        <f aca="false">IF(Salary_Calculation[[#This Row],[Source Row]]="","",N(INDEX(Rider_Input[Other Deductions],Salary_Calculation[[#This Row],[Source Row]])))</f>
        <v/>
      </c>
      <c r="V212" s="164" t="str">
        <f aca="false">IF(Salary_Calculation[[#This Row],[Source Row]]="","",N(Salary_Calculation[[#This Row],[missed_days_penalty]])+N(Salary_Calculation[[#This Row],[Rider Balance]])+N(Salary_Calculation[[#This Row],[stacking_deduction]])+N(Salary_Calculation[[#This Row],[Other Deductions]]))</f>
        <v/>
      </c>
      <c r="W212" s="167" t="str">
        <f aca="false">IF(Salary_Calculation[[#This Row],[Source Row]]="","",ROUND(MAX(Salary_Calculation[[#This Row],[Gross Salary Before Deductions]]-Salary_Calculation[[#This Row],[Total Deductions]],0),2))</f>
        <v/>
      </c>
      <c r="X212" s="164" t="str">
        <f aca="false">IF(Salary_Calculation[[#This Row],[Source Row]]="","",ROUND(MAX(Salary_Calculation[[#This Row],[Missing-Order Deduction]]-Salary_Calculation[[#This Row],[Earned Salary]],0),2))</f>
        <v/>
      </c>
      <c r="Y21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12" s="163" t="str">
        <f aca="false">IF(Salary_Calculation[[#This Row],[Source Row]]="","",IF(INDEX(Rider_Input[Notes],Salary_Calculation[[#This Row],[Source Row]])="","",INDEX(Rider_Input[Notes],Salary_Calculation[[#This Row],[Source Row]])))</f>
        <v/>
      </c>
      <c r="AA212" s="164" t="str">
        <f aca="false">IF(Salary_Calculation[[#This Row],[Source Row]]="","",Salary_Calculation[[#This Row],[Earned Salary]]-Salary_Calculation[[#This Row],[Missing-Order Deduction]]+Salary_Calculation[[#This Row],[Extra-Order Bonus]])</f>
        <v/>
      </c>
      <c r="AB212" s="164" t="str">
        <f aca="false">IF(Salary_Calculation[[#This Row],[Source Row]]="","",ROUND(Salary_Calculation[[#This Row],[Negative Balance / Amount Due from Rider]]+MAX(Salary_Calculation[[#This Row],[Total Deductions]]-Salary_Calculation[[#This Row],[Gross Salary Before Deductions]],0),2))</f>
        <v/>
      </c>
      <c r="AC21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12" s="164" t="str">
        <f aca="false">IF(Salary_Calculation[[#This Row],[Source Row]]="","",Salary_Calculation[[#This Row],[Rider Target Orders]]*Salary_Calculation[[#This Row],[Base Order Rate]])</f>
        <v/>
      </c>
      <c r="AE212" s="162" t="str">
        <f aca="false">IF(SUMPRODUCT(--(LEN(INDEX(Rider_Input[#Data],ROW()-ROW(Salary_Calculation[#Headers]),0))&gt;0))=0,"",ROW()-ROW(Salary_Calculation[#Headers]))</f>
        <v/>
      </c>
    </row>
    <row r="213" customFormat="false" ht="14.25" hidden="false" customHeight="false" outlineLevel="0" collapsed="false">
      <c r="A213" s="161" t="str">
        <f aca="false">IF(Salary_Calculation[[#This Row],[Source Row]]="","",IF(INDEX(Rider_Input[Salary Month],Salary_Calculation[[#This Row],[Source Row]])="","",INDEX(Rider_Input[Salary Month],Salary_Calculation[[#This Row],[Source Row]])))</f>
        <v/>
      </c>
      <c r="B213" s="162" t="str">
        <f aca="false">IF(Salary_Calculation[[#This Row],[Source Row]]="","",IF(INDEX(Rider_Input[Rider ID],Salary_Calculation[[#This Row],[Source Row]])="","",INDEX(Rider_Input[Rider ID],Salary_Calculation[[#This Row],[Source Row]])))</f>
        <v/>
      </c>
      <c r="C213" s="163" t="str">
        <f aca="false">IF(Salary_Calculation[[#This Row],[Source Row]]="","",IF(INDEX(Rider_Input[Rider Name],Salary_Calculation[[#This Row],[Source Row]])="","",INDEX(Rider_Input[Rider Name],Salary_Calculation[[#This Row],[Source Row]])))</f>
        <v/>
      </c>
      <c r="D213" s="164" t="str">
        <f aca="false">IF(Salary_Calculation[[#This Row],[Source Row]]="","",IF(INDEX(Rider_Input[Basic Payment],Salary_Calculation[[#This Row],[Source Row]])="","",INDEX(Rider_Input[Basic Payment],Salary_Calculation[[#This Row],[Source Row]])))</f>
        <v/>
      </c>
      <c r="E213" s="162" t="str">
        <f aca="false">IF(Salary_Calculation[[#This Row],[Source Row]]="","",IF(INDEX(Rider_Input[Calendar Days in Month],Salary_Calculation[[#This Row],[Source Row]])="","",INDEX(Rider_Input[Calendar Days in Month],Salary_Calculation[[#This Row],[Source Row]])))</f>
        <v/>
      </c>
      <c r="F213" s="162" t="str">
        <f aca="false">IF(Salary_Calculation[[#This Row],[Source Row]]="","",IF(INDEX(Rider_Input[Working Days],Salary_Calculation[[#This Row],[Source Row]])="","",INDEX(Rider_Input[Working Days],Salary_Calculation[[#This Row],[Source Row]])))</f>
        <v/>
      </c>
      <c r="G213" s="165" t="str">
        <f aca="false">IF(Salary_Calculation[[#This Row],[Source Row]]="","",Std_Orders/Std_Days*N(Salary_Calculation[[#This Row],[Calendar Days]]))</f>
        <v/>
      </c>
      <c r="H213" s="165" t="str">
        <f aca="false">IF(Salary_Calculation[[#This Row],[Source Row]]="","",IF(N(Salary_Calculation[[#This Row],[Calendar Days]])&gt;0,Salary_Calculation[[#This Row],[Monthly Target Orders]]/N(Salary_Calculation[[#This Row],[Calendar Days]])*N(Salary_Calculation[[#This Row],[Working Days]]),0))</f>
        <v/>
      </c>
      <c r="I213" s="166" t="str">
        <f aca="false">IF(Salary_Calculation[[#This Row],[Source Row]]="","",IF(INDEX(Rider_Input[Completed Orders],Salary_Calculation[[#This Row],[Source Row]])="","",INDEX(Rider_Input[Completed Orders],Salary_Calculation[[#This Row],[Source Row]])))</f>
        <v/>
      </c>
      <c r="J213" s="165" t="str">
        <f aca="false">IF(Salary_Calculation[[#This Row],[Source Row]]="","",IF(Rate_Method="Fixed rate",Fixed_Rate,IF(N(Salary_Calculation[[#This Row],[Basic Payment]])&gt;0,N(Salary_Calculation[[#This Row],[Basic Payment]])/Std_Orders,0)))</f>
        <v/>
      </c>
      <c r="K213" s="165" t="str">
        <f aca="false">IF(Salary_Calculation[[#This Row],[Source Row]]="","",MAX(MIN(N(Salary_Calculation[[#This Row],[Completed Orders]]),Salary_Calculation[[#This Row],[Rider Target Orders]]),0))</f>
        <v/>
      </c>
      <c r="L213" s="164" t="str">
        <f aca="false">IF(Salary_Calculation[[#This Row],[Source Row]]="","",Salary_Calculation[[#This Row],[Orders Counted at Base Rate]]*Salary_Calculation[[#This Row],[Base Order Rate]])</f>
        <v/>
      </c>
      <c r="M213" s="165" t="str">
        <f aca="false">IF(Salary_Calculation[[#This Row],[Source Row]]="","",MAX(Salary_Calculation[[#This Row],[Rider Target Orders]]-N(Salary_Calculation[[#This Row],[Completed Orders]]),0))</f>
        <v/>
      </c>
      <c r="N213" s="164" t="str">
        <f aca="false">IF(Salary_Calculation[[#This Row],[Source Row]]="","",Salary_Calculation[[#This Row],[Missing Orders]]*Missing_Rate)</f>
        <v/>
      </c>
      <c r="O213" s="165" t="str">
        <f aca="false">IF(Salary_Calculation[[#This Row],[Source Row]]="","",MAX(N(Salary_Calculation[[#This Row],[Completed Orders]])-Salary_Calculation[[#This Row],[Rider Target Orders]],0))</f>
        <v/>
      </c>
      <c r="P213" s="164" t="str">
        <f aca="false">IF(Salary_Calculation[[#This Row],[Source Row]]="","",Salary_Calculation[[#This Row],[Extra Orders]]*Extra_Rate)</f>
        <v/>
      </c>
      <c r="Q213" s="164" t="str">
        <f aca="false">IF(Salary_Calculation[[#This Row],[Source Row]]="","",MAX(Salary_Calculation[[#This Row],[Salary Before Other Deductions]],0))</f>
        <v/>
      </c>
      <c r="R213" s="164" t="str">
        <f aca="false">IF(Salary_Calculation[[#This Row],[Source Row]]="","",N(INDEX(Rider_Input[missed_days_penalty],Salary_Calculation[[#This Row],[Source Row]])))</f>
        <v/>
      </c>
      <c r="S213" s="164" t="str">
        <f aca="false">IF(Salary_Calculation[[#This Row],[Source Row]]="","",N(INDEX(Rider_Input[Rider Balance / محفظة المندوب],Salary_Calculation[[#This Row],[Source Row]])))</f>
        <v/>
      </c>
      <c r="T213" s="164" t="str">
        <f aca="false">IF(Salary_Calculation[[#This Row],[Source Row]]="","",N(INDEX(Rider_Input[stacking_deduction / خصم الطلبات المتعددة],Salary_Calculation[[#This Row],[Source Row]])))</f>
        <v/>
      </c>
      <c r="U213" s="164" t="str">
        <f aca="false">IF(Salary_Calculation[[#This Row],[Source Row]]="","",N(INDEX(Rider_Input[Other Deductions],Salary_Calculation[[#This Row],[Source Row]])))</f>
        <v/>
      </c>
      <c r="V213" s="164" t="str">
        <f aca="false">IF(Salary_Calculation[[#This Row],[Source Row]]="","",N(Salary_Calculation[[#This Row],[missed_days_penalty]])+N(Salary_Calculation[[#This Row],[Rider Balance]])+N(Salary_Calculation[[#This Row],[stacking_deduction]])+N(Salary_Calculation[[#This Row],[Other Deductions]]))</f>
        <v/>
      </c>
      <c r="W213" s="167" t="str">
        <f aca="false">IF(Salary_Calculation[[#This Row],[Source Row]]="","",ROUND(MAX(Salary_Calculation[[#This Row],[Gross Salary Before Deductions]]-Salary_Calculation[[#This Row],[Total Deductions]],0),2))</f>
        <v/>
      </c>
      <c r="X213" s="164" t="str">
        <f aca="false">IF(Salary_Calculation[[#This Row],[Source Row]]="","",ROUND(MAX(Salary_Calculation[[#This Row],[Missing-Order Deduction]]-Salary_Calculation[[#This Row],[Earned Salary]],0),2))</f>
        <v/>
      </c>
      <c r="Y21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13" s="163" t="str">
        <f aca="false">IF(Salary_Calculation[[#This Row],[Source Row]]="","",IF(INDEX(Rider_Input[Notes],Salary_Calculation[[#This Row],[Source Row]])="","",INDEX(Rider_Input[Notes],Salary_Calculation[[#This Row],[Source Row]])))</f>
        <v/>
      </c>
      <c r="AA213" s="164" t="str">
        <f aca="false">IF(Salary_Calculation[[#This Row],[Source Row]]="","",Salary_Calculation[[#This Row],[Earned Salary]]-Salary_Calculation[[#This Row],[Missing-Order Deduction]]+Salary_Calculation[[#This Row],[Extra-Order Bonus]])</f>
        <v/>
      </c>
      <c r="AB213" s="164" t="str">
        <f aca="false">IF(Salary_Calculation[[#This Row],[Source Row]]="","",ROUND(Salary_Calculation[[#This Row],[Negative Balance / Amount Due from Rider]]+MAX(Salary_Calculation[[#This Row],[Total Deductions]]-Salary_Calculation[[#This Row],[Gross Salary Before Deductions]],0),2))</f>
        <v/>
      </c>
      <c r="AC21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13" s="164" t="str">
        <f aca="false">IF(Salary_Calculation[[#This Row],[Source Row]]="","",Salary_Calculation[[#This Row],[Rider Target Orders]]*Salary_Calculation[[#This Row],[Base Order Rate]])</f>
        <v/>
      </c>
      <c r="AE213" s="162" t="str">
        <f aca="false">IF(SUMPRODUCT(--(LEN(INDEX(Rider_Input[#Data],ROW()-ROW(Salary_Calculation[#Headers]),0))&gt;0))=0,"",ROW()-ROW(Salary_Calculation[#Headers]))</f>
        <v/>
      </c>
    </row>
    <row r="214" customFormat="false" ht="14.25" hidden="false" customHeight="false" outlineLevel="0" collapsed="false">
      <c r="A214" s="161" t="str">
        <f aca="false">IF(Salary_Calculation[[#This Row],[Source Row]]="","",IF(INDEX(Rider_Input[Salary Month],Salary_Calculation[[#This Row],[Source Row]])="","",INDEX(Rider_Input[Salary Month],Salary_Calculation[[#This Row],[Source Row]])))</f>
        <v/>
      </c>
      <c r="B214" s="162" t="str">
        <f aca="false">IF(Salary_Calculation[[#This Row],[Source Row]]="","",IF(INDEX(Rider_Input[Rider ID],Salary_Calculation[[#This Row],[Source Row]])="","",INDEX(Rider_Input[Rider ID],Salary_Calculation[[#This Row],[Source Row]])))</f>
        <v/>
      </c>
      <c r="C214" s="163" t="str">
        <f aca="false">IF(Salary_Calculation[[#This Row],[Source Row]]="","",IF(INDEX(Rider_Input[Rider Name],Salary_Calculation[[#This Row],[Source Row]])="","",INDEX(Rider_Input[Rider Name],Salary_Calculation[[#This Row],[Source Row]])))</f>
        <v/>
      </c>
      <c r="D214" s="164" t="str">
        <f aca="false">IF(Salary_Calculation[[#This Row],[Source Row]]="","",IF(INDEX(Rider_Input[Basic Payment],Salary_Calculation[[#This Row],[Source Row]])="","",INDEX(Rider_Input[Basic Payment],Salary_Calculation[[#This Row],[Source Row]])))</f>
        <v/>
      </c>
      <c r="E214" s="162" t="str">
        <f aca="false">IF(Salary_Calculation[[#This Row],[Source Row]]="","",IF(INDEX(Rider_Input[Calendar Days in Month],Salary_Calculation[[#This Row],[Source Row]])="","",INDEX(Rider_Input[Calendar Days in Month],Salary_Calculation[[#This Row],[Source Row]])))</f>
        <v/>
      </c>
      <c r="F214" s="162" t="str">
        <f aca="false">IF(Salary_Calculation[[#This Row],[Source Row]]="","",IF(INDEX(Rider_Input[Working Days],Salary_Calculation[[#This Row],[Source Row]])="","",INDEX(Rider_Input[Working Days],Salary_Calculation[[#This Row],[Source Row]])))</f>
        <v/>
      </c>
      <c r="G214" s="165" t="str">
        <f aca="false">IF(Salary_Calculation[[#This Row],[Source Row]]="","",Std_Orders/Std_Days*N(Salary_Calculation[[#This Row],[Calendar Days]]))</f>
        <v/>
      </c>
      <c r="H214" s="165" t="str">
        <f aca="false">IF(Salary_Calculation[[#This Row],[Source Row]]="","",IF(N(Salary_Calculation[[#This Row],[Calendar Days]])&gt;0,Salary_Calculation[[#This Row],[Monthly Target Orders]]/N(Salary_Calculation[[#This Row],[Calendar Days]])*N(Salary_Calculation[[#This Row],[Working Days]]),0))</f>
        <v/>
      </c>
      <c r="I214" s="166" t="str">
        <f aca="false">IF(Salary_Calculation[[#This Row],[Source Row]]="","",IF(INDEX(Rider_Input[Completed Orders],Salary_Calculation[[#This Row],[Source Row]])="","",INDEX(Rider_Input[Completed Orders],Salary_Calculation[[#This Row],[Source Row]])))</f>
        <v/>
      </c>
      <c r="J214" s="165" t="str">
        <f aca="false">IF(Salary_Calculation[[#This Row],[Source Row]]="","",IF(Rate_Method="Fixed rate",Fixed_Rate,IF(N(Salary_Calculation[[#This Row],[Basic Payment]])&gt;0,N(Salary_Calculation[[#This Row],[Basic Payment]])/Std_Orders,0)))</f>
        <v/>
      </c>
      <c r="K214" s="165" t="str">
        <f aca="false">IF(Salary_Calculation[[#This Row],[Source Row]]="","",MAX(MIN(N(Salary_Calculation[[#This Row],[Completed Orders]]),Salary_Calculation[[#This Row],[Rider Target Orders]]),0))</f>
        <v/>
      </c>
      <c r="L214" s="164" t="str">
        <f aca="false">IF(Salary_Calculation[[#This Row],[Source Row]]="","",Salary_Calculation[[#This Row],[Orders Counted at Base Rate]]*Salary_Calculation[[#This Row],[Base Order Rate]])</f>
        <v/>
      </c>
      <c r="M214" s="165" t="str">
        <f aca="false">IF(Salary_Calculation[[#This Row],[Source Row]]="","",MAX(Salary_Calculation[[#This Row],[Rider Target Orders]]-N(Salary_Calculation[[#This Row],[Completed Orders]]),0))</f>
        <v/>
      </c>
      <c r="N214" s="164" t="str">
        <f aca="false">IF(Salary_Calculation[[#This Row],[Source Row]]="","",Salary_Calculation[[#This Row],[Missing Orders]]*Missing_Rate)</f>
        <v/>
      </c>
      <c r="O214" s="165" t="str">
        <f aca="false">IF(Salary_Calculation[[#This Row],[Source Row]]="","",MAX(N(Salary_Calculation[[#This Row],[Completed Orders]])-Salary_Calculation[[#This Row],[Rider Target Orders]],0))</f>
        <v/>
      </c>
      <c r="P214" s="164" t="str">
        <f aca="false">IF(Salary_Calculation[[#This Row],[Source Row]]="","",Salary_Calculation[[#This Row],[Extra Orders]]*Extra_Rate)</f>
        <v/>
      </c>
      <c r="Q214" s="164" t="str">
        <f aca="false">IF(Salary_Calculation[[#This Row],[Source Row]]="","",MAX(Salary_Calculation[[#This Row],[Salary Before Other Deductions]],0))</f>
        <v/>
      </c>
      <c r="R214" s="164" t="str">
        <f aca="false">IF(Salary_Calculation[[#This Row],[Source Row]]="","",N(INDEX(Rider_Input[missed_days_penalty],Salary_Calculation[[#This Row],[Source Row]])))</f>
        <v/>
      </c>
      <c r="S214" s="164" t="str">
        <f aca="false">IF(Salary_Calculation[[#This Row],[Source Row]]="","",N(INDEX(Rider_Input[Rider Balance / محفظة المندوب],Salary_Calculation[[#This Row],[Source Row]])))</f>
        <v/>
      </c>
      <c r="T214" s="164" t="str">
        <f aca="false">IF(Salary_Calculation[[#This Row],[Source Row]]="","",N(INDEX(Rider_Input[stacking_deduction / خصم الطلبات المتعددة],Salary_Calculation[[#This Row],[Source Row]])))</f>
        <v/>
      </c>
      <c r="U214" s="164" t="str">
        <f aca="false">IF(Salary_Calculation[[#This Row],[Source Row]]="","",N(INDEX(Rider_Input[Other Deductions],Salary_Calculation[[#This Row],[Source Row]])))</f>
        <v/>
      </c>
      <c r="V214" s="164" t="str">
        <f aca="false">IF(Salary_Calculation[[#This Row],[Source Row]]="","",N(Salary_Calculation[[#This Row],[missed_days_penalty]])+N(Salary_Calculation[[#This Row],[Rider Balance]])+N(Salary_Calculation[[#This Row],[stacking_deduction]])+N(Salary_Calculation[[#This Row],[Other Deductions]]))</f>
        <v/>
      </c>
      <c r="W214" s="167" t="str">
        <f aca="false">IF(Salary_Calculation[[#This Row],[Source Row]]="","",ROUND(MAX(Salary_Calculation[[#This Row],[Gross Salary Before Deductions]]-Salary_Calculation[[#This Row],[Total Deductions]],0),2))</f>
        <v/>
      </c>
      <c r="X214" s="164" t="str">
        <f aca="false">IF(Salary_Calculation[[#This Row],[Source Row]]="","",ROUND(MAX(Salary_Calculation[[#This Row],[Missing-Order Deduction]]-Salary_Calculation[[#This Row],[Earned Salary]],0),2))</f>
        <v/>
      </c>
      <c r="Y21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14" s="163" t="str">
        <f aca="false">IF(Salary_Calculation[[#This Row],[Source Row]]="","",IF(INDEX(Rider_Input[Notes],Salary_Calculation[[#This Row],[Source Row]])="","",INDEX(Rider_Input[Notes],Salary_Calculation[[#This Row],[Source Row]])))</f>
        <v/>
      </c>
      <c r="AA214" s="164" t="str">
        <f aca="false">IF(Salary_Calculation[[#This Row],[Source Row]]="","",Salary_Calculation[[#This Row],[Earned Salary]]-Salary_Calculation[[#This Row],[Missing-Order Deduction]]+Salary_Calculation[[#This Row],[Extra-Order Bonus]])</f>
        <v/>
      </c>
      <c r="AB214" s="164" t="str">
        <f aca="false">IF(Salary_Calculation[[#This Row],[Source Row]]="","",ROUND(Salary_Calculation[[#This Row],[Negative Balance / Amount Due from Rider]]+MAX(Salary_Calculation[[#This Row],[Total Deductions]]-Salary_Calculation[[#This Row],[Gross Salary Before Deductions]],0),2))</f>
        <v/>
      </c>
      <c r="AC21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14" s="164" t="str">
        <f aca="false">IF(Salary_Calculation[[#This Row],[Source Row]]="","",Salary_Calculation[[#This Row],[Rider Target Orders]]*Salary_Calculation[[#This Row],[Base Order Rate]])</f>
        <v/>
      </c>
      <c r="AE214" s="162" t="str">
        <f aca="false">IF(SUMPRODUCT(--(LEN(INDEX(Rider_Input[#Data],ROW()-ROW(Salary_Calculation[#Headers]),0))&gt;0))=0,"",ROW()-ROW(Salary_Calculation[#Headers]))</f>
        <v/>
      </c>
    </row>
    <row r="215" customFormat="false" ht="14.25" hidden="false" customHeight="false" outlineLevel="0" collapsed="false">
      <c r="A215" s="161" t="str">
        <f aca="false">IF(Salary_Calculation[[#This Row],[Source Row]]="","",IF(INDEX(Rider_Input[Salary Month],Salary_Calculation[[#This Row],[Source Row]])="","",INDEX(Rider_Input[Salary Month],Salary_Calculation[[#This Row],[Source Row]])))</f>
        <v/>
      </c>
      <c r="B215" s="162" t="str">
        <f aca="false">IF(Salary_Calculation[[#This Row],[Source Row]]="","",IF(INDEX(Rider_Input[Rider ID],Salary_Calculation[[#This Row],[Source Row]])="","",INDEX(Rider_Input[Rider ID],Salary_Calculation[[#This Row],[Source Row]])))</f>
        <v/>
      </c>
      <c r="C215" s="163" t="str">
        <f aca="false">IF(Salary_Calculation[[#This Row],[Source Row]]="","",IF(INDEX(Rider_Input[Rider Name],Salary_Calculation[[#This Row],[Source Row]])="","",INDEX(Rider_Input[Rider Name],Salary_Calculation[[#This Row],[Source Row]])))</f>
        <v/>
      </c>
      <c r="D215" s="164" t="str">
        <f aca="false">IF(Salary_Calculation[[#This Row],[Source Row]]="","",IF(INDEX(Rider_Input[Basic Payment],Salary_Calculation[[#This Row],[Source Row]])="","",INDEX(Rider_Input[Basic Payment],Salary_Calculation[[#This Row],[Source Row]])))</f>
        <v/>
      </c>
      <c r="E215" s="162" t="str">
        <f aca="false">IF(Salary_Calculation[[#This Row],[Source Row]]="","",IF(INDEX(Rider_Input[Calendar Days in Month],Salary_Calculation[[#This Row],[Source Row]])="","",INDEX(Rider_Input[Calendar Days in Month],Salary_Calculation[[#This Row],[Source Row]])))</f>
        <v/>
      </c>
      <c r="F215" s="162" t="str">
        <f aca="false">IF(Salary_Calculation[[#This Row],[Source Row]]="","",IF(INDEX(Rider_Input[Working Days],Salary_Calculation[[#This Row],[Source Row]])="","",INDEX(Rider_Input[Working Days],Salary_Calculation[[#This Row],[Source Row]])))</f>
        <v/>
      </c>
      <c r="G215" s="165" t="str">
        <f aca="false">IF(Salary_Calculation[[#This Row],[Source Row]]="","",Std_Orders/Std_Days*N(Salary_Calculation[[#This Row],[Calendar Days]]))</f>
        <v/>
      </c>
      <c r="H215" s="165" t="str">
        <f aca="false">IF(Salary_Calculation[[#This Row],[Source Row]]="","",IF(N(Salary_Calculation[[#This Row],[Calendar Days]])&gt;0,Salary_Calculation[[#This Row],[Monthly Target Orders]]/N(Salary_Calculation[[#This Row],[Calendar Days]])*N(Salary_Calculation[[#This Row],[Working Days]]),0))</f>
        <v/>
      </c>
      <c r="I215" s="166" t="str">
        <f aca="false">IF(Salary_Calculation[[#This Row],[Source Row]]="","",IF(INDEX(Rider_Input[Completed Orders],Salary_Calculation[[#This Row],[Source Row]])="","",INDEX(Rider_Input[Completed Orders],Salary_Calculation[[#This Row],[Source Row]])))</f>
        <v/>
      </c>
      <c r="J215" s="165" t="str">
        <f aca="false">IF(Salary_Calculation[[#This Row],[Source Row]]="","",IF(Rate_Method="Fixed rate",Fixed_Rate,IF(N(Salary_Calculation[[#This Row],[Basic Payment]])&gt;0,N(Salary_Calculation[[#This Row],[Basic Payment]])/Std_Orders,0)))</f>
        <v/>
      </c>
      <c r="K215" s="165" t="str">
        <f aca="false">IF(Salary_Calculation[[#This Row],[Source Row]]="","",MAX(MIN(N(Salary_Calculation[[#This Row],[Completed Orders]]),Salary_Calculation[[#This Row],[Rider Target Orders]]),0))</f>
        <v/>
      </c>
      <c r="L215" s="164" t="str">
        <f aca="false">IF(Salary_Calculation[[#This Row],[Source Row]]="","",Salary_Calculation[[#This Row],[Orders Counted at Base Rate]]*Salary_Calculation[[#This Row],[Base Order Rate]])</f>
        <v/>
      </c>
      <c r="M215" s="165" t="str">
        <f aca="false">IF(Salary_Calculation[[#This Row],[Source Row]]="","",MAX(Salary_Calculation[[#This Row],[Rider Target Orders]]-N(Salary_Calculation[[#This Row],[Completed Orders]]),0))</f>
        <v/>
      </c>
      <c r="N215" s="164" t="str">
        <f aca="false">IF(Salary_Calculation[[#This Row],[Source Row]]="","",Salary_Calculation[[#This Row],[Missing Orders]]*Missing_Rate)</f>
        <v/>
      </c>
      <c r="O215" s="165" t="str">
        <f aca="false">IF(Salary_Calculation[[#This Row],[Source Row]]="","",MAX(N(Salary_Calculation[[#This Row],[Completed Orders]])-Salary_Calculation[[#This Row],[Rider Target Orders]],0))</f>
        <v/>
      </c>
      <c r="P215" s="164" t="str">
        <f aca="false">IF(Salary_Calculation[[#This Row],[Source Row]]="","",Salary_Calculation[[#This Row],[Extra Orders]]*Extra_Rate)</f>
        <v/>
      </c>
      <c r="Q215" s="164" t="str">
        <f aca="false">IF(Salary_Calculation[[#This Row],[Source Row]]="","",MAX(Salary_Calculation[[#This Row],[Salary Before Other Deductions]],0))</f>
        <v/>
      </c>
      <c r="R215" s="164" t="str">
        <f aca="false">IF(Salary_Calculation[[#This Row],[Source Row]]="","",N(INDEX(Rider_Input[missed_days_penalty],Salary_Calculation[[#This Row],[Source Row]])))</f>
        <v/>
      </c>
      <c r="S215" s="164" t="str">
        <f aca="false">IF(Salary_Calculation[[#This Row],[Source Row]]="","",N(INDEX(Rider_Input[Rider Balance / محفظة المندوب],Salary_Calculation[[#This Row],[Source Row]])))</f>
        <v/>
      </c>
      <c r="T215" s="164" t="str">
        <f aca="false">IF(Salary_Calculation[[#This Row],[Source Row]]="","",N(INDEX(Rider_Input[stacking_deduction / خصم الطلبات المتعددة],Salary_Calculation[[#This Row],[Source Row]])))</f>
        <v/>
      </c>
      <c r="U215" s="164" t="str">
        <f aca="false">IF(Salary_Calculation[[#This Row],[Source Row]]="","",N(INDEX(Rider_Input[Other Deductions],Salary_Calculation[[#This Row],[Source Row]])))</f>
        <v/>
      </c>
      <c r="V215" s="164" t="str">
        <f aca="false">IF(Salary_Calculation[[#This Row],[Source Row]]="","",N(Salary_Calculation[[#This Row],[missed_days_penalty]])+N(Salary_Calculation[[#This Row],[Rider Balance]])+N(Salary_Calculation[[#This Row],[stacking_deduction]])+N(Salary_Calculation[[#This Row],[Other Deductions]]))</f>
        <v/>
      </c>
      <c r="W215" s="167" t="str">
        <f aca="false">IF(Salary_Calculation[[#This Row],[Source Row]]="","",ROUND(MAX(Salary_Calculation[[#This Row],[Gross Salary Before Deductions]]-Salary_Calculation[[#This Row],[Total Deductions]],0),2))</f>
        <v/>
      </c>
      <c r="X215" s="164" t="str">
        <f aca="false">IF(Salary_Calculation[[#This Row],[Source Row]]="","",ROUND(MAX(Salary_Calculation[[#This Row],[Missing-Order Deduction]]-Salary_Calculation[[#This Row],[Earned Salary]],0),2))</f>
        <v/>
      </c>
      <c r="Y21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15" s="163" t="str">
        <f aca="false">IF(Salary_Calculation[[#This Row],[Source Row]]="","",IF(INDEX(Rider_Input[Notes],Salary_Calculation[[#This Row],[Source Row]])="","",INDEX(Rider_Input[Notes],Salary_Calculation[[#This Row],[Source Row]])))</f>
        <v/>
      </c>
      <c r="AA215" s="164" t="str">
        <f aca="false">IF(Salary_Calculation[[#This Row],[Source Row]]="","",Salary_Calculation[[#This Row],[Earned Salary]]-Salary_Calculation[[#This Row],[Missing-Order Deduction]]+Salary_Calculation[[#This Row],[Extra-Order Bonus]])</f>
        <v/>
      </c>
      <c r="AB215" s="164" t="str">
        <f aca="false">IF(Salary_Calculation[[#This Row],[Source Row]]="","",ROUND(Salary_Calculation[[#This Row],[Negative Balance / Amount Due from Rider]]+MAX(Salary_Calculation[[#This Row],[Total Deductions]]-Salary_Calculation[[#This Row],[Gross Salary Before Deductions]],0),2))</f>
        <v/>
      </c>
      <c r="AC21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15" s="164" t="str">
        <f aca="false">IF(Salary_Calculation[[#This Row],[Source Row]]="","",Salary_Calculation[[#This Row],[Rider Target Orders]]*Salary_Calculation[[#This Row],[Base Order Rate]])</f>
        <v/>
      </c>
      <c r="AE215" s="162" t="str">
        <f aca="false">IF(SUMPRODUCT(--(LEN(INDEX(Rider_Input[#Data],ROW()-ROW(Salary_Calculation[#Headers]),0))&gt;0))=0,"",ROW()-ROW(Salary_Calculation[#Headers]))</f>
        <v/>
      </c>
    </row>
    <row r="216" customFormat="false" ht="14.25" hidden="false" customHeight="false" outlineLevel="0" collapsed="false">
      <c r="A216" s="161" t="str">
        <f aca="false">IF(Salary_Calculation[[#This Row],[Source Row]]="","",IF(INDEX(Rider_Input[Salary Month],Salary_Calculation[[#This Row],[Source Row]])="","",INDEX(Rider_Input[Salary Month],Salary_Calculation[[#This Row],[Source Row]])))</f>
        <v/>
      </c>
      <c r="B216" s="162" t="str">
        <f aca="false">IF(Salary_Calculation[[#This Row],[Source Row]]="","",IF(INDEX(Rider_Input[Rider ID],Salary_Calculation[[#This Row],[Source Row]])="","",INDEX(Rider_Input[Rider ID],Salary_Calculation[[#This Row],[Source Row]])))</f>
        <v/>
      </c>
      <c r="C216" s="163" t="str">
        <f aca="false">IF(Salary_Calculation[[#This Row],[Source Row]]="","",IF(INDEX(Rider_Input[Rider Name],Salary_Calculation[[#This Row],[Source Row]])="","",INDEX(Rider_Input[Rider Name],Salary_Calculation[[#This Row],[Source Row]])))</f>
        <v/>
      </c>
      <c r="D216" s="164" t="str">
        <f aca="false">IF(Salary_Calculation[[#This Row],[Source Row]]="","",IF(INDEX(Rider_Input[Basic Payment],Salary_Calculation[[#This Row],[Source Row]])="","",INDEX(Rider_Input[Basic Payment],Salary_Calculation[[#This Row],[Source Row]])))</f>
        <v/>
      </c>
      <c r="E216" s="162" t="str">
        <f aca="false">IF(Salary_Calculation[[#This Row],[Source Row]]="","",IF(INDEX(Rider_Input[Calendar Days in Month],Salary_Calculation[[#This Row],[Source Row]])="","",INDEX(Rider_Input[Calendar Days in Month],Salary_Calculation[[#This Row],[Source Row]])))</f>
        <v/>
      </c>
      <c r="F216" s="162" t="str">
        <f aca="false">IF(Salary_Calculation[[#This Row],[Source Row]]="","",IF(INDEX(Rider_Input[Working Days],Salary_Calculation[[#This Row],[Source Row]])="","",INDEX(Rider_Input[Working Days],Salary_Calculation[[#This Row],[Source Row]])))</f>
        <v/>
      </c>
      <c r="G216" s="165" t="str">
        <f aca="false">IF(Salary_Calculation[[#This Row],[Source Row]]="","",Std_Orders/Std_Days*N(Salary_Calculation[[#This Row],[Calendar Days]]))</f>
        <v/>
      </c>
      <c r="H216" s="165" t="str">
        <f aca="false">IF(Salary_Calculation[[#This Row],[Source Row]]="","",IF(N(Salary_Calculation[[#This Row],[Calendar Days]])&gt;0,Salary_Calculation[[#This Row],[Monthly Target Orders]]/N(Salary_Calculation[[#This Row],[Calendar Days]])*N(Salary_Calculation[[#This Row],[Working Days]]),0))</f>
        <v/>
      </c>
      <c r="I216" s="166" t="str">
        <f aca="false">IF(Salary_Calculation[[#This Row],[Source Row]]="","",IF(INDEX(Rider_Input[Completed Orders],Salary_Calculation[[#This Row],[Source Row]])="","",INDEX(Rider_Input[Completed Orders],Salary_Calculation[[#This Row],[Source Row]])))</f>
        <v/>
      </c>
      <c r="J216" s="165" t="str">
        <f aca="false">IF(Salary_Calculation[[#This Row],[Source Row]]="","",IF(Rate_Method="Fixed rate",Fixed_Rate,IF(N(Salary_Calculation[[#This Row],[Basic Payment]])&gt;0,N(Salary_Calculation[[#This Row],[Basic Payment]])/Std_Orders,0)))</f>
        <v/>
      </c>
      <c r="K216" s="165" t="str">
        <f aca="false">IF(Salary_Calculation[[#This Row],[Source Row]]="","",MAX(MIN(N(Salary_Calculation[[#This Row],[Completed Orders]]),Salary_Calculation[[#This Row],[Rider Target Orders]]),0))</f>
        <v/>
      </c>
      <c r="L216" s="164" t="str">
        <f aca="false">IF(Salary_Calculation[[#This Row],[Source Row]]="","",Salary_Calculation[[#This Row],[Orders Counted at Base Rate]]*Salary_Calculation[[#This Row],[Base Order Rate]])</f>
        <v/>
      </c>
      <c r="M216" s="165" t="str">
        <f aca="false">IF(Salary_Calculation[[#This Row],[Source Row]]="","",MAX(Salary_Calculation[[#This Row],[Rider Target Orders]]-N(Salary_Calculation[[#This Row],[Completed Orders]]),0))</f>
        <v/>
      </c>
      <c r="N216" s="164" t="str">
        <f aca="false">IF(Salary_Calculation[[#This Row],[Source Row]]="","",Salary_Calculation[[#This Row],[Missing Orders]]*Missing_Rate)</f>
        <v/>
      </c>
      <c r="O216" s="165" t="str">
        <f aca="false">IF(Salary_Calculation[[#This Row],[Source Row]]="","",MAX(N(Salary_Calculation[[#This Row],[Completed Orders]])-Salary_Calculation[[#This Row],[Rider Target Orders]],0))</f>
        <v/>
      </c>
      <c r="P216" s="164" t="str">
        <f aca="false">IF(Salary_Calculation[[#This Row],[Source Row]]="","",Salary_Calculation[[#This Row],[Extra Orders]]*Extra_Rate)</f>
        <v/>
      </c>
      <c r="Q216" s="164" t="str">
        <f aca="false">IF(Salary_Calculation[[#This Row],[Source Row]]="","",MAX(Salary_Calculation[[#This Row],[Salary Before Other Deductions]],0))</f>
        <v/>
      </c>
      <c r="R216" s="164" t="str">
        <f aca="false">IF(Salary_Calculation[[#This Row],[Source Row]]="","",N(INDEX(Rider_Input[missed_days_penalty],Salary_Calculation[[#This Row],[Source Row]])))</f>
        <v/>
      </c>
      <c r="S216" s="164" t="str">
        <f aca="false">IF(Salary_Calculation[[#This Row],[Source Row]]="","",N(INDEX(Rider_Input[Rider Balance / محفظة المندوب],Salary_Calculation[[#This Row],[Source Row]])))</f>
        <v/>
      </c>
      <c r="T216" s="164" t="str">
        <f aca="false">IF(Salary_Calculation[[#This Row],[Source Row]]="","",N(INDEX(Rider_Input[stacking_deduction / خصم الطلبات المتعددة],Salary_Calculation[[#This Row],[Source Row]])))</f>
        <v/>
      </c>
      <c r="U216" s="164" t="str">
        <f aca="false">IF(Salary_Calculation[[#This Row],[Source Row]]="","",N(INDEX(Rider_Input[Other Deductions],Salary_Calculation[[#This Row],[Source Row]])))</f>
        <v/>
      </c>
      <c r="V216" s="164" t="str">
        <f aca="false">IF(Salary_Calculation[[#This Row],[Source Row]]="","",N(Salary_Calculation[[#This Row],[missed_days_penalty]])+N(Salary_Calculation[[#This Row],[Rider Balance]])+N(Salary_Calculation[[#This Row],[stacking_deduction]])+N(Salary_Calculation[[#This Row],[Other Deductions]]))</f>
        <v/>
      </c>
      <c r="W216" s="167" t="str">
        <f aca="false">IF(Salary_Calculation[[#This Row],[Source Row]]="","",ROUND(MAX(Salary_Calculation[[#This Row],[Gross Salary Before Deductions]]-Salary_Calculation[[#This Row],[Total Deductions]],0),2))</f>
        <v/>
      </c>
      <c r="X216" s="164" t="str">
        <f aca="false">IF(Salary_Calculation[[#This Row],[Source Row]]="","",ROUND(MAX(Salary_Calculation[[#This Row],[Missing-Order Deduction]]-Salary_Calculation[[#This Row],[Earned Salary]],0),2))</f>
        <v/>
      </c>
      <c r="Y21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16" s="163" t="str">
        <f aca="false">IF(Salary_Calculation[[#This Row],[Source Row]]="","",IF(INDEX(Rider_Input[Notes],Salary_Calculation[[#This Row],[Source Row]])="","",INDEX(Rider_Input[Notes],Salary_Calculation[[#This Row],[Source Row]])))</f>
        <v/>
      </c>
      <c r="AA216" s="164" t="str">
        <f aca="false">IF(Salary_Calculation[[#This Row],[Source Row]]="","",Salary_Calculation[[#This Row],[Earned Salary]]-Salary_Calculation[[#This Row],[Missing-Order Deduction]]+Salary_Calculation[[#This Row],[Extra-Order Bonus]])</f>
        <v/>
      </c>
      <c r="AB216" s="164" t="str">
        <f aca="false">IF(Salary_Calculation[[#This Row],[Source Row]]="","",ROUND(Salary_Calculation[[#This Row],[Negative Balance / Amount Due from Rider]]+MAX(Salary_Calculation[[#This Row],[Total Deductions]]-Salary_Calculation[[#This Row],[Gross Salary Before Deductions]],0),2))</f>
        <v/>
      </c>
      <c r="AC21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16" s="164" t="str">
        <f aca="false">IF(Salary_Calculation[[#This Row],[Source Row]]="","",Salary_Calculation[[#This Row],[Rider Target Orders]]*Salary_Calculation[[#This Row],[Base Order Rate]])</f>
        <v/>
      </c>
      <c r="AE216" s="162" t="str">
        <f aca="false">IF(SUMPRODUCT(--(LEN(INDEX(Rider_Input[#Data],ROW()-ROW(Salary_Calculation[#Headers]),0))&gt;0))=0,"",ROW()-ROW(Salary_Calculation[#Headers]))</f>
        <v/>
      </c>
    </row>
    <row r="217" customFormat="false" ht="14.25" hidden="false" customHeight="false" outlineLevel="0" collapsed="false">
      <c r="A217" s="161" t="str">
        <f aca="false">IF(Salary_Calculation[[#This Row],[Source Row]]="","",IF(INDEX(Rider_Input[Salary Month],Salary_Calculation[[#This Row],[Source Row]])="","",INDEX(Rider_Input[Salary Month],Salary_Calculation[[#This Row],[Source Row]])))</f>
        <v/>
      </c>
      <c r="B217" s="162" t="str">
        <f aca="false">IF(Salary_Calculation[[#This Row],[Source Row]]="","",IF(INDEX(Rider_Input[Rider ID],Salary_Calculation[[#This Row],[Source Row]])="","",INDEX(Rider_Input[Rider ID],Salary_Calculation[[#This Row],[Source Row]])))</f>
        <v/>
      </c>
      <c r="C217" s="163" t="str">
        <f aca="false">IF(Salary_Calculation[[#This Row],[Source Row]]="","",IF(INDEX(Rider_Input[Rider Name],Salary_Calculation[[#This Row],[Source Row]])="","",INDEX(Rider_Input[Rider Name],Salary_Calculation[[#This Row],[Source Row]])))</f>
        <v/>
      </c>
      <c r="D217" s="164" t="str">
        <f aca="false">IF(Salary_Calculation[[#This Row],[Source Row]]="","",IF(INDEX(Rider_Input[Basic Payment],Salary_Calculation[[#This Row],[Source Row]])="","",INDEX(Rider_Input[Basic Payment],Salary_Calculation[[#This Row],[Source Row]])))</f>
        <v/>
      </c>
      <c r="E217" s="162" t="str">
        <f aca="false">IF(Salary_Calculation[[#This Row],[Source Row]]="","",IF(INDEX(Rider_Input[Calendar Days in Month],Salary_Calculation[[#This Row],[Source Row]])="","",INDEX(Rider_Input[Calendar Days in Month],Salary_Calculation[[#This Row],[Source Row]])))</f>
        <v/>
      </c>
      <c r="F217" s="162" t="str">
        <f aca="false">IF(Salary_Calculation[[#This Row],[Source Row]]="","",IF(INDEX(Rider_Input[Working Days],Salary_Calculation[[#This Row],[Source Row]])="","",INDEX(Rider_Input[Working Days],Salary_Calculation[[#This Row],[Source Row]])))</f>
        <v/>
      </c>
      <c r="G217" s="165" t="str">
        <f aca="false">IF(Salary_Calculation[[#This Row],[Source Row]]="","",Std_Orders/Std_Days*N(Salary_Calculation[[#This Row],[Calendar Days]]))</f>
        <v/>
      </c>
      <c r="H217" s="165" t="str">
        <f aca="false">IF(Salary_Calculation[[#This Row],[Source Row]]="","",IF(N(Salary_Calculation[[#This Row],[Calendar Days]])&gt;0,Salary_Calculation[[#This Row],[Monthly Target Orders]]/N(Salary_Calculation[[#This Row],[Calendar Days]])*N(Salary_Calculation[[#This Row],[Working Days]]),0))</f>
        <v/>
      </c>
      <c r="I217" s="166" t="str">
        <f aca="false">IF(Salary_Calculation[[#This Row],[Source Row]]="","",IF(INDEX(Rider_Input[Completed Orders],Salary_Calculation[[#This Row],[Source Row]])="","",INDEX(Rider_Input[Completed Orders],Salary_Calculation[[#This Row],[Source Row]])))</f>
        <v/>
      </c>
      <c r="J217" s="165" t="str">
        <f aca="false">IF(Salary_Calculation[[#This Row],[Source Row]]="","",IF(Rate_Method="Fixed rate",Fixed_Rate,IF(N(Salary_Calculation[[#This Row],[Basic Payment]])&gt;0,N(Salary_Calculation[[#This Row],[Basic Payment]])/Std_Orders,0)))</f>
        <v/>
      </c>
      <c r="K217" s="165" t="str">
        <f aca="false">IF(Salary_Calculation[[#This Row],[Source Row]]="","",MAX(MIN(N(Salary_Calculation[[#This Row],[Completed Orders]]),Salary_Calculation[[#This Row],[Rider Target Orders]]),0))</f>
        <v/>
      </c>
      <c r="L217" s="164" t="str">
        <f aca="false">IF(Salary_Calculation[[#This Row],[Source Row]]="","",Salary_Calculation[[#This Row],[Orders Counted at Base Rate]]*Salary_Calculation[[#This Row],[Base Order Rate]])</f>
        <v/>
      </c>
      <c r="M217" s="165" t="str">
        <f aca="false">IF(Salary_Calculation[[#This Row],[Source Row]]="","",MAX(Salary_Calculation[[#This Row],[Rider Target Orders]]-N(Salary_Calculation[[#This Row],[Completed Orders]]),0))</f>
        <v/>
      </c>
      <c r="N217" s="164" t="str">
        <f aca="false">IF(Salary_Calculation[[#This Row],[Source Row]]="","",Salary_Calculation[[#This Row],[Missing Orders]]*Missing_Rate)</f>
        <v/>
      </c>
      <c r="O217" s="165" t="str">
        <f aca="false">IF(Salary_Calculation[[#This Row],[Source Row]]="","",MAX(N(Salary_Calculation[[#This Row],[Completed Orders]])-Salary_Calculation[[#This Row],[Rider Target Orders]],0))</f>
        <v/>
      </c>
      <c r="P217" s="164" t="str">
        <f aca="false">IF(Salary_Calculation[[#This Row],[Source Row]]="","",Salary_Calculation[[#This Row],[Extra Orders]]*Extra_Rate)</f>
        <v/>
      </c>
      <c r="Q217" s="164" t="str">
        <f aca="false">IF(Salary_Calculation[[#This Row],[Source Row]]="","",MAX(Salary_Calculation[[#This Row],[Salary Before Other Deductions]],0))</f>
        <v/>
      </c>
      <c r="R217" s="164" t="str">
        <f aca="false">IF(Salary_Calculation[[#This Row],[Source Row]]="","",N(INDEX(Rider_Input[missed_days_penalty],Salary_Calculation[[#This Row],[Source Row]])))</f>
        <v/>
      </c>
      <c r="S217" s="164" t="str">
        <f aca="false">IF(Salary_Calculation[[#This Row],[Source Row]]="","",N(INDEX(Rider_Input[Rider Balance / محفظة المندوب],Salary_Calculation[[#This Row],[Source Row]])))</f>
        <v/>
      </c>
      <c r="T217" s="164" t="str">
        <f aca="false">IF(Salary_Calculation[[#This Row],[Source Row]]="","",N(INDEX(Rider_Input[stacking_deduction / خصم الطلبات المتعددة],Salary_Calculation[[#This Row],[Source Row]])))</f>
        <v/>
      </c>
      <c r="U217" s="164" t="str">
        <f aca="false">IF(Salary_Calculation[[#This Row],[Source Row]]="","",N(INDEX(Rider_Input[Other Deductions],Salary_Calculation[[#This Row],[Source Row]])))</f>
        <v/>
      </c>
      <c r="V217" s="164" t="str">
        <f aca="false">IF(Salary_Calculation[[#This Row],[Source Row]]="","",N(Salary_Calculation[[#This Row],[missed_days_penalty]])+N(Salary_Calculation[[#This Row],[Rider Balance]])+N(Salary_Calculation[[#This Row],[stacking_deduction]])+N(Salary_Calculation[[#This Row],[Other Deductions]]))</f>
        <v/>
      </c>
      <c r="W217" s="167" t="str">
        <f aca="false">IF(Salary_Calculation[[#This Row],[Source Row]]="","",ROUND(MAX(Salary_Calculation[[#This Row],[Gross Salary Before Deductions]]-Salary_Calculation[[#This Row],[Total Deductions]],0),2))</f>
        <v/>
      </c>
      <c r="X217" s="164" t="str">
        <f aca="false">IF(Salary_Calculation[[#This Row],[Source Row]]="","",ROUND(MAX(Salary_Calculation[[#This Row],[Missing-Order Deduction]]-Salary_Calculation[[#This Row],[Earned Salary]],0),2))</f>
        <v/>
      </c>
      <c r="Y21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17" s="163" t="str">
        <f aca="false">IF(Salary_Calculation[[#This Row],[Source Row]]="","",IF(INDEX(Rider_Input[Notes],Salary_Calculation[[#This Row],[Source Row]])="","",INDEX(Rider_Input[Notes],Salary_Calculation[[#This Row],[Source Row]])))</f>
        <v/>
      </c>
      <c r="AA217" s="164" t="str">
        <f aca="false">IF(Salary_Calculation[[#This Row],[Source Row]]="","",Salary_Calculation[[#This Row],[Earned Salary]]-Salary_Calculation[[#This Row],[Missing-Order Deduction]]+Salary_Calculation[[#This Row],[Extra-Order Bonus]])</f>
        <v/>
      </c>
      <c r="AB217" s="164" t="str">
        <f aca="false">IF(Salary_Calculation[[#This Row],[Source Row]]="","",ROUND(Salary_Calculation[[#This Row],[Negative Balance / Amount Due from Rider]]+MAX(Salary_Calculation[[#This Row],[Total Deductions]]-Salary_Calculation[[#This Row],[Gross Salary Before Deductions]],0),2))</f>
        <v/>
      </c>
      <c r="AC21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17" s="164" t="str">
        <f aca="false">IF(Salary_Calculation[[#This Row],[Source Row]]="","",Salary_Calculation[[#This Row],[Rider Target Orders]]*Salary_Calculation[[#This Row],[Base Order Rate]])</f>
        <v/>
      </c>
      <c r="AE217" s="162" t="str">
        <f aca="false">IF(SUMPRODUCT(--(LEN(INDEX(Rider_Input[#Data],ROW()-ROW(Salary_Calculation[#Headers]),0))&gt;0))=0,"",ROW()-ROW(Salary_Calculation[#Headers]))</f>
        <v/>
      </c>
    </row>
    <row r="218" customFormat="false" ht="14.25" hidden="false" customHeight="false" outlineLevel="0" collapsed="false">
      <c r="A218" s="161" t="str">
        <f aca="false">IF(Salary_Calculation[[#This Row],[Source Row]]="","",IF(INDEX(Rider_Input[Salary Month],Salary_Calculation[[#This Row],[Source Row]])="","",INDEX(Rider_Input[Salary Month],Salary_Calculation[[#This Row],[Source Row]])))</f>
        <v/>
      </c>
      <c r="B218" s="162" t="str">
        <f aca="false">IF(Salary_Calculation[[#This Row],[Source Row]]="","",IF(INDEX(Rider_Input[Rider ID],Salary_Calculation[[#This Row],[Source Row]])="","",INDEX(Rider_Input[Rider ID],Salary_Calculation[[#This Row],[Source Row]])))</f>
        <v/>
      </c>
      <c r="C218" s="163" t="str">
        <f aca="false">IF(Salary_Calculation[[#This Row],[Source Row]]="","",IF(INDEX(Rider_Input[Rider Name],Salary_Calculation[[#This Row],[Source Row]])="","",INDEX(Rider_Input[Rider Name],Salary_Calculation[[#This Row],[Source Row]])))</f>
        <v/>
      </c>
      <c r="D218" s="164" t="str">
        <f aca="false">IF(Salary_Calculation[[#This Row],[Source Row]]="","",IF(INDEX(Rider_Input[Basic Payment],Salary_Calculation[[#This Row],[Source Row]])="","",INDEX(Rider_Input[Basic Payment],Salary_Calculation[[#This Row],[Source Row]])))</f>
        <v/>
      </c>
      <c r="E218" s="162" t="str">
        <f aca="false">IF(Salary_Calculation[[#This Row],[Source Row]]="","",IF(INDEX(Rider_Input[Calendar Days in Month],Salary_Calculation[[#This Row],[Source Row]])="","",INDEX(Rider_Input[Calendar Days in Month],Salary_Calculation[[#This Row],[Source Row]])))</f>
        <v/>
      </c>
      <c r="F218" s="162" t="str">
        <f aca="false">IF(Salary_Calculation[[#This Row],[Source Row]]="","",IF(INDEX(Rider_Input[Working Days],Salary_Calculation[[#This Row],[Source Row]])="","",INDEX(Rider_Input[Working Days],Salary_Calculation[[#This Row],[Source Row]])))</f>
        <v/>
      </c>
      <c r="G218" s="165" t="str">
        <f aca="false">IF(Salary_Calculation[[#This Row],[Source Row]]="","",Std_Orders/Std_Days*N(Salary_Calculation[[#This Row],[Calendar Days]]))</f>
        <v/>
      </c>
      <c r="H218" s="165" t="str">
        <f aca="false">IF(Salary_Calculation[[#This Row],[Source Row]]="","",IF(N(Salary_Calculation[[#This Row],[Calendar Days]])&gt;0,Salary_Calculation[[#This Row],[Monthly Target Orders]]/N(Salary_Calculation[[#This Row],[Calendar Days]])*N(Salary_Calculation[[#This Row],[Working Days]]),0))</f>
        <v/>
      </c>
      <c r="I218" s="166" t="str">
        <f aca="false">IF(Salary_Calculation[[#This Row],[Source Row]]="","",IF(INDEX(Rider_Input[Completed Orders],Salary_Calculation[[#This Row],[Source Row]])="","",INDEX(Rider_Input[Completed Orders],Salary_Calculation[[#This Row],[Source Row]])))</f>
        <v/>
      </c>
      <c r="J218" s="165" t="str">
        <f aca="false">IF(Salary_Calculation[[#This Row],[Source Row]]="","",IF(Rate_Method="Fixed rate",Fixed_Rate,IF(N(Salary_Calculation[[#This Row],[Basic Payment]])&gt;0,N(Salary_Calculation[[#This Row],[Basic Payment]])/Std_Orders,0)))</f>
        <v/>
      </c>
      <c r="K218" s="165" t="str">
        <f aca="false">IF(Salary_Calculation[[#This Row],[Source Row]]="","",MAX(MIN(N(Salary_Calculation[[#This Row],[Completed Orders]]),Salary_Calculation[[#This Row],[Rider Target Orders]]),0))</f>
        <v/>
      </c>
      <c r="L218" s="164" t="str">
        <f aca="false">IF(Salary_Calculation[[#This Row],[Source Row]]="","",Salary_Calculation[[#This Row],[Orders Counted at Base Rate]]*Salary_Calculation[[#This Row],[Base Order Rate]])</f>
        <v/>
      </c>
      <c r="M218" s="165" t="str">
        <f aca="false">IF(Salary_Calculation[[#This Row],[Source Row]]="","",MAX(Salary_Calculation[[#This Row],[Rider Target Orders]]-N(Salary_Calculation[[#This Row],[Completed Orders]]),0))</f>
        <v/>
      </c>
      <c r="N218" s="164" t="str">
        <f aca="false">IF(Salary_Calculation[[#This Row],[Source Row]]="","",Salary_Calculation[[#This Row],[Missing Orders]]*Missing_Rate)</f>
        <v/>
      </c>
      <c r="O218" s="165" t="str">
        <f aca="false">IF(Salary_Calculation[[#This Row],[Source Row]]="","",MAX(N(Salary_Calculation[[#This Row],[Completed Orders]])-Salary_Calculation[[#This Row],[Rider Target Orders]],0))</f>
        <v/>
      </c>
      <c r="P218" s="164" t="str">
        <f aca="false">IF(Salary_Calculation[[#This Row],[Source Row]]="","",Salary_Calculation[[#This Row],[Extra Orders]]*Extra_Rate)</f>
        <v/>
      </c>
      <c r="Q218" s="164" t="str">
        <f aca="false">IF(Salary_Calculation[[#This Row],[Source Row]]="","",MAX(Salary_Calculation[[#This Row],[Salary Before Other Deductions]],0))</f>
        <v/>
      </c>
      <c r="R218" s="164" t="str">
        <f aca="false">IF(Salary_Calculation[[#This Row],[Source Row]]="","",N(INDEX(Rider_Input[missed_days_penalty],Salary_Calculation[[#This Row],[Source Row]])))</f>
        <v/>
      </c>
      <c r="S218" s="164" t="str">
        <f aca="false">IF(Salary_Calculation[[#This Row],[Source Row]]="","",N(INDEX(Rider_Input[Rider Balance / محفظة المندوب],Salary_Calculation[[#This Row],[Source Row]])))</f>
        <v/>
      </c>
      <c r="T218" s="164" t="str">
        <f aca="false">IF(Salary_Calculation[[#This Row],[Source Row]]="","",N(INDEX(Rider_Input[stacking_deduction / خصم الطلبات المتعددة],Salary_Calculation[[#This Row],[Source Row]])))</f>
        <v/>
      </c>
      <c r="U218" s="164" t="str">
        <f aca="false">IF(Salary_Calculation[[#This Row],[Source Row]]="","",N(INDEX(Rider_Input[Other Deductions],Salary_Calculation[[#This Row],[Source Row]])))</f>
        <v/>
      </c>
      <c r="V218" s="164" t="str">
        <f aca="false">IF(Salary_Calculation[[#This Row],[Source Row]]="","",N(Salary_Calculation[[#This Row],[missed_days_penalty]])+N(Salary_Calculation[[#This Row],[Rider Balance]])+N(Salary_Calculation[[#This Row],[stacking_deduction]])+N(Salary_Calculation[[#This Row],[Other Deductions]]))</f>
        <v/>
      </c>
      <c r="W218" s="167" t="str">
        <f aca="false">IF(Salary_Calculation[[#This Row],[Source Row]]="","",ROUND(MAX(Salary_Calculation[[#This Row],[Gross Salary Before Deductions]]-Salary_Calculation[[#This Row],[Total Deductions]],0),2))</f>
        <v/>
      </c>
      <c r="X218" s="164" t="str">
        <f aca="false">IF(Salary_Calculation[[#This Row],[Source Row]]="","",ROUND(MAX(Salary_Calculation[[#This Row],[Missing-Order Deduction]]-Salary_Calculation[[#This Row],[Earned Salary]],0),2))</f>
        <v/>
      </c>
      <c r="Y21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18" s="163" t="str">
        <f aca="false">IF(Salary_Calculation[[#This Row],[Source Row]]="","",IF(INDEX(Rider_Input[Notes],Salary_Calculation[[#This Row],[Source Row]])="","",INDEX(Rider_Input[Notes],Salary_Calculation[[#This Row],[Source Row]])))</f>
        <v/>
      </c>
      <c r="AA218" s="164" t="str">
        <f aca="false">IF(Salary_Calculation[[#This Row],[Source Row]]="","",Salary_Calculation[[#This Row],[Earned Salary]]-Salary_Calculation[[#This Row],[Missing-Order Deduction]]+Salary_Calculation[[#This Row],[Extra-Order Bonus]])</f>
        <v/>
      </c>
      <c r="AB218" s="164" t="str">
        <f aca="false">IF(Salary_Calculation[[#This Row],[Source Row]]="","",ROUND(Salary_Calculation[[#This Row],[Negative Balance / Amount Due from Rider]]+MAX(Salary_Calculation[[#This Row],[Total Deductions]]-Salary_Calculation[[#This Row],[Gross Salary Before Deductions]],0),2))</f>
        <v/>
      </c>
      <c r="AC21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18" s="164" t="str">
        <f aca="false">IF(Salary_Calculation[[#This Row],[Source Row]]="","",Salary_Calculation[[#This Row],[Rider Target Orders]]*Salary_Calculation[[#This Row],[Base Order Rate]])</f>
        <v/>
      </c>
      <c r="AE218" s="162" t="str">
        <f aca="false">IF(SUMPRODUCT(--(LEN(INDEX(Rider_Input[#Data],ROW()-ROW(Salary_Calculation[#Headers]),0))&gt;0))=0,"",ROW()-ROW(Salary_Calculation[#Headers]))</f>
        <v/>
      </c>
    </row>
    <row r="219" customFormat="false" ht="14.25" hidden="false" customHeight="false" outlineLevel="0" collapsed="false">
      <c r="A219" s="161" t="str">
        <f aca="false">IF(Salary_Calculation[[#This Row],[Source Row]]="","",IF(INDEX(Rider_Input[Salary Month],Salary_Calculation[[#This Row],[Source Row]])="","",INDEX(Rider_Input[Salary Month],Salary_Calculation[[#This Row],[Source Row]])))</f>
        <v/>
      </c>
      <c r="B219" s="162" t="str">
        <f aca="false">IF(Salary_Calculation[[#This Row],[Source Row]]="","",IF(INDEX(Rider_Input[Rider ID],Salary_Calculation[[#This Row],[Source Row]])="","",INDEX(Rider_Input[Rider ID],Salary_Calculation[[#This Row],[Source Row]])))</f>
        <v/>
      </c>
      <c r="C219" s="163" t="str">
        <f aca="false">IF(Salary_Calculation[[#This Row],[Source Row]]="","",IF(INDEX(Rider_Input[Rider Name],Salary_Calculation[[#This Row],[Source Row]])="","",INDEX(Rider_Input[Rider Name],Salary_Calculation[[#This Row],[Source Row]])))</f>
        <v/>
      </c>
      <c r="D219" s="164" t="str">
        <f aca="false">IF(Salary_Calculation[[#This Row],[Source Row]]="","",IF(INDEX(Rider_Input[Basic Payment],Salary_Calculation[[#This Row],[Source Row]])="","",INDEX(Rider_Input[Basic Payment],Salary_Calculation[[#This Row],[Source Row]])))</f>
        <v/>
      </c>
      <c r="E219" s="162" t="str">
        <f aca="false">IF(Salary_Calculation[[#This Row],[Source Row]]="","",IF(INDEX(Rider_Input[Calendar Days in Month],Salary_Calculation[[#This Row],[Source Row]])="","",INDEX(Rider_Input[Calendar Days in Month],Salary_Calculation[[#This Row],[Source Row]])))</f>
        <v/>
      </c>
      <c r="F219" s="162" t="str">
        <f aca="false">IF(Salary_Calculation[[#This Row],[Source Row]]="","",IF(INDEX(Rider_Input[Working Days],Salary_Calculation[[#This Row],[Source Row]])="","",INDEX(Rider_Input[Working Days],Salary_Calculation[[#This Row],[Source Row]])))</f>
        <v/>
      </c>
      <c r="G219" s="165" t="str">
        <f aca="false">IF(Salary_Calculation[[#This Row],[Source Row]]="","",Std_Orders/Std_Days*N(Salary_Calculation[[#This Row],[Calendar Days]]))</f>
        <v/>
      </c>
      <c r="H219" s="165" t="str">
        <f aca="false">IF(Salary_Calculation[[#This Row],[Source Row]]="","",IF(N(Salary_Calculation[[#This Row],[Calendar Days]])&gt;0,Salary_Calculation[[#This Row],[Monthly Target Orders]]/N(Salary_Calculation[[#This Row],[Calendar Days]])*N(Salary_Calculation[[#This Row],[Working Days]]),0))</f>
        <v/>
      </c>
      <c r="I219" s="166" t="str">
        <f aca="false">IF(Salary_Calculation[[#This Row],[Source Row]]="","",IF(INDEX(Rider_Input[Completed Orders],Salary_Calculation[[#This Row],[Source Row]])="","",INDEX(Rider_Input[Completed Orders],Salary_Calculation[[#This Row],[Source Row]])))</f>
        <v/>
      </c>
      <c r="J219" s="165" t="str">
        <f aca="false">IF(Salary_Calculation[[#This Row],[Source Row]]="","",IF(Rate_Method="Fixed rate",Fixed_Rate,IF(N(Salary_Calculation[[#This Row],[Basic Payment]])&gt;0,N(Salary_Calculation[[#This Row],[Basic Payment]])/Std_Orders,0)))</f>
        <v/>
      </c>
      <c r="K219" s="165" t="str">
        <f aca="false">IF(Salary_Calculation[[#This Row],[Source Row]]="","",MAX(MIN(N(Salary_Calculation[[#This Row],[Completed Orders]]),Salary_Calculation[[#This Row],[Rider Target Orders]]),0))</f>
        <v/>
      </c>
      <c r="L219" s="164" t="str">
        <f aca="false">IF(Salary_Calculation[[#This Row],[Source Row]]="","",Salary_Calculation[[#This Row],[Orders Counted at Base Rate]]*Salary_Calculation[[#This Row],[Base Order Rate]])</f>
        <v/>
      </c>
      <c r="M219" s="165" t="str">
        <f aca="false">IF(Salary_Calculation[[#This Row],[Source Row]]="","",MAX(Salary_Calculation[[#This Row],[Rider Target Orders]]-N(Salary_Calculation[[#This Row],[Completed Orders]]),0))</f>
        <v/>
      </c>
      <c r="N219" s="164" t="str">
        <f aca="false">IF(Salary_Calculation[[#This Row],[Source Row]]="","",Salary_Calculation[[#This Row],[Missing Orders]]*Missing_Rate)</f>
        <v/>
      </c>
      <c r="O219" s="165" t="str">
        <f aca="false">IF(Salary_Calculation[[#This Row],[Source Row]]="","",MAX(N(Salary_Calculation[[#This Row],[Completed Orders]])-Salary_Calculation[[#This Row],[Rider Target Orders]],0))</f>
        <v/>
      </c>
      <c r="P219" s="164" t="str">
        <f aca="false">IF(Salary_Calculation[[#This Row],[Source Row]]="","",Salary_Calculation[[#This Row],[Extra Orders]]*Extra_Rate)</f>
        <v/>
      </c>
      <c r="Q219" s="164" t="str">
        <f aca="false">IF(Salary_Calculation[[#This Row],[Source Row]]="","",MAX(Salary_Calculation[[#This Row],[Salary Before Other Deductions]],0))</f>
        <v/>
      </c>
      <c r="R219" s="164" t="str">
        <f aca="false">IF(Salary_Calculation[[#This Row],[Source Row]]="","",N(INDEX(Rider_Input[missed_days_penalty],Salary_Calculation[[#This Row],[Source Row]])))</f>
        <v/>
      </c>
      <c r="S219" s="164" t="str">
        <f aca="false">IF(Salary_Calculation[[#This Row],[Source Row]]="","",N(INDEX(Rider_Input[Rider Balance / محفظة المندوب],Salary_Calculation[[#This Row],[Source Row]])))</f>
        <v/>
      </c>
      <c r="T219" s="164" t="str">
        <f aca="false">IF(Salary_Calculation[[#This Row],[Source Row]]="","",N(INDEX(Rider_Input[stacking_deduction / خصم الطلبات المتعددة],Salary_Calculation[[#This Row],[Source Row]])))</f>
        <v/>
      </c>
      <c r="U219" s="164" t="str">
        <f aca="false">IF(Salary_Calculation[[#This Row],[Source Row]]="","",N(INDEX(Rider_Input[Other Deductions],Salary_Calculation[[#This Row],[Source Row]])))</f>
        <v/>
      </c>
      <c r="V219" s="164" t="str">
        <f aca="false">IF(Salary_Calculation[[#This Row],[Source Row]]="","",N(Salary_Calculation[[#This Row],[missed_days_penalty]])+N(Salary_Calculation[[#This Row],[Rider Balance]])+N(Salary_Calculation[[#This Row],[stacking_deduction]])+N(Salary_Calculation[[#This Row],[Other Deductions]]))</f>
        <v/>
      </c>
      <c r="W219" s="167" t="str">
        <f aca="false">IF(Salary_Calculation[[#This Row],[Source Row]]="","",ROUND(MAX(Salary_Calculation[[#This Row],[Gross Salary Before Deductions]]-Salary_Calculation[[#This Row],[Total Deductions]],0),2))</f>
        <v/>
      </c>
      <c r="X219" s="164" t="str">
        <f aca="false">IF(Salary_Calculation[[#This Row],[Source Row]]="","",ROUND(MAX(Salary_Calculation[[#This Row],[Missing-Order Deduction]]-Salary_Calculation[[#This Row],[Earned Salary]],0),2))</f>
        <v/>
      </c>
      <c r="Y21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19" s="163" t="str">
        <f aca="false">IF(Salary_Calculation[[#This Row],[Source Row]]="","",IF(INDEX(Rider_Input[Notes],Salary_Calculation[[#This Row],[Source Row]])="","",INDEX(Rider_Input[Notes],Salary_Calculation[[#This Row],[Source Row]])))</f>
        <v/>
      </c>
      <c r="AA219" s="164" t="str">
        <f aca="false">IF(Salary_Calculation[[#This Row],[Source Row]]="","",Salary_Calculation[[#This Row],[Earned Salary]]-Salary_Calculation[[#This Row],[Missing-Order Deduction]]+Salary_Calculation[[#This Row],[Extra-Order Bonus]])</f>
        <v/>
      </c>
      <c r="AB219" s="164" t="str">
        <f aca="false">IF(Salary_Calculation[[#This Row],[Source Row]]="","",ROUND(Salary_Calculation[[#This Row],[Negative Balance / Amount Due from Rider]]+MAX(Salary_Calculation[[#This Row],[Total Deductions]]-Salary_Calculation[[#This Row],[Gross Salary Before Deductions]],0),2))</f>
        <v/>
      </c>
      <c r="AC21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19" s="164" t="str">
        <f aca="false">IF(Salary_Calculation[[#This Row],[Source Row]]="","",Salary_Calculation[[#This Row],[Rider Target Orders]]*Salary_Calculation[[#This Row],[Base Order Rate]])</f>
        <v/>
      </c>
      <c r="AE219" s="162" t="str">
        <f aca="false">IF(SUMPRODUCT(--(LEN(INDEX(Rider_Input[#Data],ROW()-ROW(Salary_Calculation[#Headers]),0))&gt;0))=0,"",ROW()-ROW(Salary_Calculation[#Headers]))</f>
        <v/>
      </c>
    </row>
    <row r="220" customFormat="false" ht="14.25" hidden="false" customHeight="false" outlineLevel="0" collapsed="false">
      <c r="A220" s="161" t="str">
        <f aca="false">IF(Salary_Calculation[[#This Row],[Source Row]]="","",IF(INDEX(Rider_Input[Salary Month],Salary_Calculation[[#This Row],[Source Row]])="","",INDEX(Rider_Input[Salary Month],Salary_Calculation[[#This Row],[Source Row]])))</f>
        <v/>
      </c>
      <c r="B220" s="162" t="str">
        <f aca="false">IF(Salary_Calculation[[#This Row],[Source Row]]="","",IF(INDEX(Rider_Input[Rider ID],Salary_Calculation[[#This Row],[Source Row]])="","",INDEX(Rider_Input[Rider ID],Salary_Calculation[[#This Row],[Source Row]])))</f>
        <v/>
      </c>
      <c r="C220" s="163" t="str">
        <f aca="false">IF(Salary_Calculation[[#This Row],[Source Row]]="","",IF(INDEX(Rider_Input[Rider Name],Salary_Calculation[[#This Row],[Source Row]])="","",INDEX(Rider_Input[Rider Name],Salary_Calculation[[#This Row],[Source Row]])))</f>
        <v/>
      </c>
      <c r="D220" s="164" t="str">
        <f aca="false">IF(Salary_Calculation[[#This Row],[Source Row]]="","",IF(INDEX(Rider_Input[Basic Payment],Salary_Calculation[[#This Row],[Source Row]])="","",INDEX(Rider_Input[Basic Payment],Salary_Calculation[[#This Row],[Source Row]])))</f>
        <v/>
      </c>
      <c r="E220" s="162" t="str">
        <f aca="false">IF(Salary_Calculation[[#This Row],[Source Row]]="","",IF(INDEX(Rider_Input[Calendar Days in Month],Salary_Calculation[[#This Row],[Source Row]])="","",INDEX(Rider_Input[Calendar Days in Month],Salary_Calculation[[#This Row],[Source Row]])))</f>
        <v/>
      </c>
      <c r="F220" s="162" t="str">
        <f aca="false">IF(Salary_Calculation[[#This Row],[Source Row]]="","",IF(INDEX(Rider_Input[Working Days],Salary_Calculation[[#This Row],[Source Row]])="","",INDEX(Rider_Input[Working Days],Salary_Calculation[[#This Row],[Source Row]])))</f>
        <v/>
      </c>
      <c r="G220" s="165" t="str">
        <f aca="false">IF(Salary_Calculation[[#This Row],[Source Row]]="","",Std_Orders/Std_Days*N(Salary_Calculation[[#This Row],[Calendar Days]]))</f>
        <v/>
      </c>
      <c r="H220" s="165" t="str">
        <f aca="false">IF(Salary_Calculation[[#This Row],[Source Row]]="","",IF(N(Salary_Calculation[[#This Row],[Calendar Days]])&gt;0,Salary_Calculation[[#This Row],[Monthly Target Orders]]/N(Salary_Calculation[[#This Row],[Calendar Days]])*N(Salary_Calculation[[#This Row],[Working Days]]),0))</f>
        <v/>
      </c>
      <c r="I220" s="166" t="str">
        <f aca="false">IF(Salary_Calculation[[#This Row],[Source Row]]="","",IF(INDEX(Rider_Input[Completed Orders],Salary_Calculation[[#This Row],[Source Row]])="","",INDEX(Rider_Input[Completed Orders],Salary_Calculation[[#This Row],[Source Row]])))</f>
        <v/>
      </c>
      <c r="J220" s="165" t="str">
        <f aca="false">IF(Salary_Calculation[[#This Row],[Source Row]]="","",IF(Rate_Method="Fixed rate",Fixed_Rate,IF(N(Salary_Calculation[[#This Row],[Basic Payment]])&gt;0,N(Salary_Calculation[[#This Row],[Basic Payment]])/Std_Orders,0)))</f>
        <v/>
      </c>
      <c r="K220" s="165" t="str">
        <f aca="false">IF(Salary_Calculation[[#This Row],[Source Row]]="","",MAX(MIN(N(Salary_Calculation[[#This Row],[Completed Orders]]),Salary_Calculation[[#This Row],[Rider Target Orders]]),0))</f>
        <v/>
      </c>
      <c r="L220" s="164" t="str">
        <f aca="false">IF(Salary_Calculation[[#This Row],[Source Row]]="","",Salary_Calculation[[#This Row],[Orders Counted at Base Rate]]*Salary_Calculation[[#This Row],[Base Order Rate]])</f>
        <v/>
      </c>
      <c r="M220" s="165" t="str">
        <f aca="false">IF(Salary_Calculation[[#This Row],[Source Row]]="","",MAX(Salary_Calculation[[#This Row],[Rider Target Orders]]-N(Salary_Calculation[[#This Row],[Completed Orders]]),0))</f>
        <v/>
      </c>
      <c r="N220" s="164" t="str">
        <f aca="false">IF(Salary_Calculation[[#This Row],[Source Row]]="","",Salary_Calculation[[#This Row],[Missing Orders]]*Missing_Rate)</f>
        <v/>
      </c>
      <c r="O220" s="165" t="str">
        <f aca="false">IF(Salary_Calculation[[#This Row],[Source Row]]="","",MAX(N(Salary_Calculation[[#This Row],[Completed Orders]])-Salary_Calculation[[#This Row],[Rider Target Orders]],0))</f>
        <v/>
      </c>
      <c r="P220" s="164" t="str">
        <f aca="false">IF(Salary_Calculation[[#This Row],[Source Row]]="","",Salary_Calculation[[#This Row],[Extra Orders]]*Extra_Rate)</f>
        <v/>
      </c>
      <c r="Q220" s="164" t="str">
        <f aca="false">IF(Salary_Calculation[[#This Row],[Source Row]]="","",MAX(Salary_Calculation[[#This Row],[Salary Before Other Deductions]],0))</f>
        <v/>
      </c>
      <c r="R220" s="164" t="str">
        <f aca="false">IF(Salary_Calculation[[#This Row],[Source Row]]="","",N(INDEX(Rider_Input[missed_days_penalty],Salary_Calculation[[#This Row],[Source Row]])))</f>
        <v/>
      </c>
      <c r="S220" s="164" t="str">
        <f aca="false">IF(Salary_Calculation[[#This Row],[Source Row]]="","",N(INDEX(Rider_Input[Rider Balance / محفظة المندوب],Salary_Calculation[[#This Row],[Source Row]])))</f>
        <v/>
      </c>
      <c r="T220" s="164" t="str">
        <f aca="false">IF(Salary_Calculation[[#This Row],[Source Row]]="","",N(INDEX(Rider_Input[stacking_deduction / خصم الطلبات المتعددة],Salary_Calculation[[#This Row],[Source Row]])))</f>
        <v/>
      </c>
      <c r="U220" s="164" t="str">
        <f aca="false">IF(Salary_Calculation[[#This Row],[Source Row]]="","",N(INDEX(Rider_Input[Other Deductions],Salary_Calculation[[#This Row],[Source Row]])))</f>
        <v/>
      </c>
      <c r="V220" s="164" t="str">
        <f aca="false">IF(Salary_Calculation[[#This Row],[Source Row]]="","",N(Salary_Calculation[[#This Row],[missed_days_penalty]])+N(Salary_Calculation[[#This Row],[Rider Balance]])+N(Salary_Calculation[[#This Row],[stacking_deduction]])+N(Salary_Calculation[[#This Row],[Other Deductions]]))</f>
        <v/>
      </c>
      <c r="W220" s="167" t="str">
        <f aca="false">IF(Salary_Calculation[[#This Row],[Source Row]]="","",ROUND(MAX(Salary_Calculation[[#This Row],[Gross Salary Before Deductions]]-Salary_Calculation[[#This Row],[Total Deductions]],0),2))</f>
        <v/>
      </c>
      <c r="X220" s="164" t="str">
        <f aca="false">IF(Salary_Calculation[[#This Row],[Source Row]]="","",ROUND(MAX(Salary_Calculation[[#This Row],[Missing-Order Deduction]]-Salary_Calculation[[#This Row],[Earned Salary]],0),2))</f>
        <v/>
      </c>
      <c r="Y22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20" s="163" t="str">
        <f aca="false">IF(Salary_Calculation[[#This Row],[Source Row]]="","",IF(INDEX(Rider_Input[Notes],Salary_Calculation[[#This Row],[Source Row]])="","",INDEX(Rider_Input[Notes],Salary_Calculation[[#This Row],[Source Row]])))</f>
        <v/>
      </c>
      <c r="AA220" s="164" t="str">
        <f aca="false">IF(Salary_Calculation[[#This Row],[Source Row]]="","",Salary_Calculation[[#This Row],[Earned Salary]]-Salary_Calculation[[#This Row],[Missing-Order Deduction]]+Salary_Calculation[[#This Row],[Extra-Order Bonus]])</f>
        <v/>
      </c>
      <c r="AB220" s="164" t="str">
        <f aca="false">IF(Salary_Calculation[[#This Row],[Source Row]]="","",ROUND(Salary_Calculation[[#This Row],[Negative Balance / Amount Due from Rider]]+MAX(Salary_Calculation[[#This Row],[Total Deductions]]-Salary_Calculation[[#This Row],[Gross Salary Before Deductions]],0),2))</f>
        <v/>
      </c>
      <c r="AC22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20" s="164" t="str">
        <f aca="false">IF(Salary_Calculation[[#This Row],[Source Row]]="","",Salary_Calculation[[#This Row],[Rider Target Orders]]*Salary_Calculation[[#This Row],[Base Order Rate]])</f>
        <v/>
      </c>
      <c r="AE220" s="162" t="str">
        <f aca="false">IF(SUMPRODUCT(--(LEN(INDEX(Rider_Input[#Data],ROW()-ROW(Salary_Calculation[#Headers]),0))&gt;0))=0,"",ROW()-ROW(Salary_Calculation[#Headers]))</f>
        <v/>
      </c>
    </row>
    <row r="221" customFormat="false" ht="14.25" hidden="false" customHeight="false" outlineLevel="0" collapsed="false">
      <c r="A221" s="161" t="str">
        <f aca="false">IF(Salary_Calculation[[#This Row],[Source Row]]="","",IF(INDEX(Rider_Input[Salary Month],Salary_Calculation[[#This Row],[Source Row]])="","",INDEX(Rider_Input[Salary Month],Salary_Calculation[[#This Row],[Source Row]])))</f>
        <v/>
      </c>
      <c r="B221" s="162" t="str">
        <f aca="false">IF(Salary_Calculation[[#This Row],[Source Row]]="","",IF(INDEX(Rider_Input[Rider ID],Salary_Calculation[[#This Row],[Source Row]])="","",INDEX(Rider_Input[Rider ID],Salary_Calculation[[#This Row],[Source Row]])))</f>
        <v/>
      </c>
      <c r="C221" s="163" t="str">
        <f aca="false">IF(Salary_Calculation[[#This Row],[Source Row]]="","",IF(INDEX(Rider_Input[Rider Name],Salary_Calculation[[#This Row],[Source Row]])="","",INDEX(Rider_Input[Rider Name],Salary_Calculation[[#This Row],[Source Row]])))</f>
        <v/>
      </c>
      <c r="D221" s="164" t="str">
        <f aca="false">IF(Salary_Calculation[[#This Row],[Source Row]]="","",IF(INDEX(Rider_Input[Basic Payment],Salary_Calculation[[#This Row],[Source Row]])="","",INDEX(Rider_Input[Basic Payment],Salary_Calculation[[#This Row],[Source Row]])))</f>
        <v/>
      </c>
      <c r="E221" s="162" t="str">
        <f aca="false">IF(Salary_Calculation[[#This Row],[Source Row]]="","",IF(INDEX(Rider_Input[Calendar Days in Month],Salary_Calculation[[#This Row],[Source Row]])="","",INDEX(Rider_Input[Calendar Days in Month],Salary_Calculation[[#This Row],[Source Row]])))</f>
        <v/>
      </c>
      <c r="F221" s="162" t="str">
        <f aca="false">IF(Salary_Calculation[[#This Row],[Source Row]]="","",IF(INDEX(Rider_Input[Working Days],Salary_Calculation[[#This Row],[Source Row]])="","",INDEX(Rider_Input[Working Days],Salary_Calculation[[#This Row],[Source Row]])))</f>
        <v/>
      </c>
      <c r="G221" s="165" t="str">
        <f aca="false">IF(Salary_Calculation[[#This Row],[Source Row]]="","",Std_Orders/Std_Days*N(Salary_Calculation[[#This Row],[Calendar Days]]))</f>
        <v/>
      </c>
      <c r="H221" s="165" t="str">
        <f aca="false">IF(Salary_Calculation[[#This Row],[Source Row]]="","",IF(N(Salary_Calculation[[#This Row],[Calendar Days]])&gt;0,Salary_Calculation[[#This Row],[Monthly Target Orders]]/N(Salary_Calculation[[#This Row],[Calendar Days]])*N(Salary_Calculation[[#This Row],[Working Days]]),0))</f>
        <v/>
      </c>
      <c r="I221" s="166" t="str">
        <f aca="false">IF(Salary_Calculation[[#This Row],[Source Row]]="","",IF(INDEX(Rider_Input[Completed Orders],Salary_Calculation[[#This Row],[Source Row]])="","",INDEX(Rider_Input[Completed Orders],Salary_Calculation[[#This Row],[Source Row]])))</f>
        <v/>
      </c>
      <c r="J221" s="165" t="str">
        <f aca="false">IF(Salary_Calculation[[#This Row],[Source Row]]="","",IF(Rate_Method="Fixed rate",Fixed_Rate,IF(N(Salary_Calculation[[#This Row],[Basic Payment]])&gt;0,N(Salary_Calculation[[#This Row],[Basic Payment]])/Std_Orders,0)))</f>
        <v/>
      </c>
      <c r="K221" s="165" t="str">
        <f aca="false">IF(Salary_Calculation[[#This Row],[Source Row]]="","",MAX(MIN(N(Salary_Calculation[[#This Row],[Completed Orders]]),Salary_Calculation[[#This Row],[Rider Target Orders]]),0))</f>
        <v/>
      </c>
      <c r="L221" s="164" t="str">
        <f aca="false">IF(Salary_Calculation[[#This Row],[Source Row]]="","",Salary_Calculation[[#This Row],[Orders Counted at Base Rate]]*Salary_Calculation[[#This Row],[Base Order Rate]])</f>
        <v/>
      </c>
      <c r="M221" s="165" t="str">
        <f aca="false">IF(Salary_Calculation[[#This Row],[Source Row]]="","",MAX(Salary_Calculation[[#This Row],[Rider Target Orders]]-N(Salary_Calculation[[#This Row],[Completed Orders]]),0))</f>
        <v/>
      </c>
      <c r="N221" s="164" t="str">
        <f aca="false">IF(Salary_Calculation[[#This Row],[Source Row]]="","",Salary_Calculation[[#This Row],[Missing Orders]]*Missing_Rate)</f>
        <v/>
      </c>
      <c r="O221" s="165" t="str">
        <f aca="false">IF(Salary_Calculation[[#This Row],[Source Row]]="","",MAX(N(Salary_Calculation[[#This Row],[Completed Orders]])-Salary_Calculation[[#This Row],[Rider Target Orders]],0))</f>
        <v/>
      </c>
      <c r="P221" s="164" t="str">
        <f aca="false">IF(Salary_Calculation[[#This Row],[Source Row]]="","",Salary_Calculation[[#This Row],[Extra Orders]]*Extra_Rate)</f>
        <v/>
      </c>
      <c r="Q221" s="164" t="str">
        <f aca="false">IF(Salary_Calculation[[#This Row],[Source Row]]="","",MAX(Salary_Calculation[[#This Row],[Salary Before Other Deductions]],0))</f>
        <v/>
      </c>
      <c r="R221" s="164" t="str">
        <f aca="false">IF(Salary_Calculation[[#This Row],[Source Row]]="","",N(INDEX(Rider_Input[missed_days_penalty],Salary_Calculation[[#This Row],[Source Row]])))</f>
        <v/>
      </c>
      <c r="S221" s="164" t="str">
        <f aca="false">IF(Salary_Calculation[[#This Row],[Source Row]]="","",N(INDEX(Rider_Input[Rider Balance / محفظة المندوب],Salary_Calculation[[#This Row],[Source Row]])))</f>
        <v/>
      </c>
      <c r="T221" s="164" t="str">
        <f aca="false">IF(Salary_Calculation[[#This Row],[Source Row]]="","",N(INDEX(Rider_Input[stacking_deduction / خصم الطلبات المتعددة],Salary_Calculation[[#This Row],[Source Row]])))</f>
        <v/>
      </c>
      <c r="U221" s="164" t="str">
        <f aca="false">IF(Salary_Calculation[[#This Row],[Source Row]]="","",N(INDEX(Rider_Input[Other Deductions],Salary_Calculation[[#This Row],[Source Row]])))</f>
        <v/>
      </c>
      <c r="V221" s="164" t="str">
        <f aca="false">IF(Salary_Calculation[[#This Row],[Source Row]]="","",N(Salary_Calculation[[#This Row],[missed_days_penalty]])+N(Salary_Calculation[[#This Row],[Rider Balance]])+N(Salary_Calculation[[#This Row],[stacking_deduction]])+N(Salary_Calculation[[#This Row],[Other Deductions]]))</f>
        <v/>
      </c>
      <c r="W221" s="167" t="str">
        <f aca="false">IF(Salary_Calculation[[#This Row],[Source Row]]="","",ROUND(MAX(Salary_Calculation[[#This Row],[Gross Salary Before Deductions]]-Salary_Calculation[[#This Row],[Total Deductions]],0),2))</f>
        <v/>
      </c>
      <c r="X221" s="164" t="str">
        <f aca="false">IF(Salary_Calculation[[#This Row],[Source Row]]="","",ROUND(MAX(Salary_Calculation[[#This Row],[Missing-Order Deduction]]-Salary_Calculation[[#This Row],[Earned Salary]],0),2))</f>
        <v/>
      </c>
      <c r="Y22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21" s="163" t="str">
        <f aca="false">IF(Salary_Calculation[[#This Row],[Source Row]]="","",IF(INDEX(Rider_Input[Notes],Salary_Calculation[[#This Row],[Source Row]])="","",INDEX(Rider_Input[Notes],Salary_Calculation[[#This Row],[Source Row]])))</f>
        <v/>
      </c>
      <c r="AA221" s="164" t="str">
        <f aca="false">IF(Salary_Calculation[[#This Row],[Source Row]]="","",Salary_Calculation[[#This Row],[Earned Salary]]-Salary_Calculation[[#This Row],[Missing-Order Deduction]]+Salary_Calculation[[#This Row],[Extra-Order Bonus]])</f>
        <v/>
      </c>
      <c r="AB221" s="164" t="str">
        <f aca="false">IF(Salary_Calculation[[#This Row],[Source Row]]="","",ROUND(Salary_Calculation[[#This Row],[Negative Balance / Amount Due from Rider]]+MAX(Salary_Calculation[[#This Row],[Total Deductions]]-Salary_Calculation[[#This Row],[Gross Salary Before Deductions]],0),2))</f>
        <v/>
      </c>
      <c r="AC22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21" s="164" t="str">
        <f aca="false">IF(Salary_Calculation[[#This Row],[Source Row]]="","",Salary_Calculation[[#This Row],[Rider Target Orders]]*Salary_Calculation[[#This Row],[Base Order Rate]])</f>
        <v/>
      </c>
      <c r="AE221" s="162" t="str">
        <f aca="false">IF(SUMPRODUCT(--(LEN(INDEX(Rider_Input[#Data],ROW()-ROW(Salary_Calculation[#Headers]),0))&gt;0))=0,"",ROW()-ROW(Salary_Calculation[#Headers]))</f>
        <v/>
      </c>
    </row>
    <row r="222" customFormat="false" ht="14.25" hidden="false" customHeight="false" outlineLevel="0" collapsed="false">
      <c r="A222" s="161" t="str">
        <f aca="false">IF(Salary_Calculation[[#This Row],[Source Row]]="","",IF(INDEX(Rider_Input[Salary Month],Salary_Calculation[[#This Row],[Source Row]])="","",INDEX(Rider_Input[Salary Month],Salary_Calculation[[#This Row],[Source Row]])))</f>
        <v/>
      </c>
      <c r="B222" s="162" t="str">
        <f aca="false">IF(Salary_Calculation[[#This Row],[Source Row]]="","",IF(INDEX(Rider_Input[Rider ID],Salary_Calculation[[#This Row],[Source Row]])="","",INDEX(Rider_Input[Rider ID],Salary_Calculation[[#This Row],[Source Row]])))</f>
        <v/>
      </c>
      <c r="C222" s="163" t="str">
        <f aca="false">IF(Salary_Calculation[[#This Row],[Source Row]]="","",IF(INDEX(Rider_Input[Rider Name],Salary_Calculation[[#This Row],[Source Row]])="","",INDEX(Rider_Input[Rider Name],Salary_Calculation[[#This Row],[Source Row]])))</f>
        <v/>
      </c>
      <c r="D222" s="164" t="str">
        <f aca="false">IF(Salary_Calculation[[#This Row],[Source Row]]="","",IF(INDEX(Rider_Input[Basic Payment],Salary_Calculation[[#This Row],[Source Row]])="","",INDEX(Rider_Input[Basic Payment],Salary_Calculation[[#This Row],[Source Row]])))</f>
        <v/>
      </c>
      <c r="E222" s="162" t="str">
        <f aca="false">IF(Salary_Calculation[[#This Row],[Source Row]]="","",IF(INDEX(Rider_Input[Calendar Days in Month],Salary_Calculation[[#This Row],[Source Row]])="","",INDEX(Rider_Input[Calendar Days in Month],Salary_Calculation[[#This Row],[Source Row]])))</f>
        <v/>
      </c>
      <c r="F222" s="162" t="str">
        <f aca="false">IF(Salary_Calculation[[#This Row],[Source Row]]="","",IF(INDEX(Rider_Input[Working Days],Salary_Calculation[[#This Row],[Source Row]])="","",INDEX(Rider_Input[Working Days],Salary_Calculation[[#This Row],[Source Row]])))</f>
        <v/>
      </c>
      <c r="G222" s="165" t="str">
        <f aca="false">IF(Salary_Calculation[[#This Row],[Source Row]]="","",Std_Orders/Std_Days*N(Salary_Calculation[[#This Row],[Calendar Days]]))</f>
        <v/>
      </c>
      <c r="H222" s="165" t="str">
        <f aca="false">IF(Salary_Calculation[[#This Row],[Source Row]]="","",IF(N(Salary_Calculation[[#This Row],[Calendar Days]])&gt;0,Salary_Calculation[[#This Row],[Monthly Target Orders]]/N(Salary_Calculation[[#This Row],[Calendar Days]])*N(Salary_Calculation[[#This Row],[Working Days]]),0))</f>
        <v/>
      </c>
      <c r="I222" s="166" t="str">
        <f aca="false">IF(Salary_Calculation[[#This Row],[Source Row]]="","",IF(INDEX(Rider_Input[Completed Orders],Salary_Calculation[[#This Row],[Source Row]])="","",INDEX(Rider_Input[Completed Orders],Salary_Calculation[[#This Row],[Source Row]])))</f>
        <v/>
      </c>
      <c r="J222" s="165" t="str">
        <f aca="false">IF(Salary_Calculation[[#This Row],[Source Row]]="","",IF(Rate_Method="Fixed rate",Fixed_Rate,IF(N(Salary_Calculation[[#This Row],[Basic Payment]])&gt;0,N(Salary_Calculation[[#This Row],[Basic Payment]])/Std_Orders,0)))</f>
        <v/>
      </c>
      <c r="K222" s="165" t="str">
        <f aca="false">IF(Salary_Calculation[[#This Row],[Source Row]]="","",MAX(MIN(N(Salary_Calculation[[#This Row],[Completed Orders]]),Salary_Calculation[[#This Row],[Rider Target Orders]]),0))</f>
        <v/>
      </c>
      <c r="L222" s="164" t="str">
        <f aca="false">IF(Salary_Calculation[[#This Row],[Source Row]]="","",Salary_Calculation[[#This Row],[Orders Counted at Base Rate]]*Salary_Calculation[[#This Row],[Base Order Rate]])</f>
        <v/>
      </c>
      <c r="M222" s="165" t="str">
        <f aca="false">IF(Salary_Calculation[[#This Row],[Source Row]]="","",MAX(Salary_Calculation[[#This Row],[Rider Target Orders]]-N(Salary_Calculation[[#This Row],[Completed Orders]]),0))</f>
        <v/>
      </c>
      <c r="N222" s="164" t="str">
        <f aca="false">IF(Salary_Calculation[[#This Row],[Source Row]]="","",Salary_Calculation[[#This Row],[Missing Orders]]*Missing_Rate)</f>
        <v/>
      </c>
      <c r="O222" s="165" t="str">
        <f aca="false">IF(Salary_Calculation[[#This Row],[Source Row]]="","",MAX(N(Salary_Calculation[[#This Row],[Completed Orders]])-Salary_Calculation[[#This Row],[Rider Target Orders]],0))</f>
        <v/>
      </c>
      <c r="P222" s="164" t="str">
        <f aca="false">IF(Salary_Calculation[[#This Row],[Source Row]]="","",Salary_Calculation[[#This Row],[Extra Orders]]*Extra_Rate)</f>
        <v/>
      </c>
      <c r="Q222" s="164" t="str">
        <f aca="false">IF(Salary_Calculation[[#This Row],[Source Row]]="","",MAX(Salary_Calculation[[#This Row],[Salary Before Other Deductions]],0))</f>
        <v/>
      </c>
      <c r="R222" s="164" t="str">
        <f aca="false">IF(Salary_Calculation[[#This Row],[Source Row]]="","",N(INDEX(Rider_Input[missed_days_penalty],Salary_Calculation[[#This Row],[Source Row]])))</f>
        <v/>
      </c>
      <c r="S222" s="164" t="str">
        <f aca="false">IF(Salary_Calculation[[#This Row],[Source Row]]="","",N(INDEX(Rider_Input[Rider Balance / محفظة المندوب],Salary_Calculation[[#This Row],[Source Row]])))</f>
        <v/>
      </c>
      <c r="T222" s="164" t="str">
        <f aca="false">IF(Salary_Calculation[[#This Row],[Source Row]]="","",N(INDEX(Rider_Input[stacking_deduction / خصم الطلبات المتعددة],Salary_Calculation[[#This Row],[Source Row]])))</f>
        <v/>
      </c>
      <c r="U222" s="164" t="str">
        <f aca="false">IF(Salary_Calculation[[#This Row],[Source Row]]="","",N(INDEX(Rider_Input[Other Deductions],Salary_Calculation[[#This Row],[Source Row]])))</f>
        <v/>
      </c>
      <c r="V222" s="164" t="str">
        <f aca="false">IF(Salary_Calculation[[#This Row],[Source Row]]="","",N(Salary_Calculation[[#This Row],[missed_days_penalty]])+N(Salary_Calculation[[#This Row],[Rider Balance]])+N(Salary_Calculation[[#This Row],[stacking_deduction]])+N(Salary_Calculation[[#This Row],[Other Deductions]]))</f>
        <v/>
      </c>
      <c r="W222" s="167" t="str">
        <f aca="false">IF(Salary_Calculation[[#This Row],[Source Row]]="","",ROUND(MAX(Salary_Calculation[[#This Row],[Gross Salary Before Deductions]]-Salary_Calculation[[#This Row],[Total Deductions]],0),2))</f>
        <v/>
      </c>
      <c r="X222" s="164" t="str">
        <f aca="false">IF(Salary_Calculation[[#This Row],[Source Row]]="","",ROUND(MAX(Salary_Calculation[[#This Row],[Missing-Order Deduction]]-Salary_Calculation[[#This Row],[Earned Salary]],0),2))</f>
        <v/>
      </c>
      <c r="Y22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22" s="163" t="str">
        <f aca="false">IF(Salary_Calculation[[#This Row],[Source Row]]="","",IF(INDEX(Rider_Input[Notes],Salary_Calculation[[#This Row],[Source Row]])="","",INDEX(Rider_Input[Notes],Salary_Calculation[[#This Row],[Source Row]])))</f>
        <v/>
      </c>
      <c r="AA222" s="164" t="str">
        <f aca="false">IF(Salary_Calculation[[#This Row],[Source Row]]="","",Salary_Calculation[[#This Row],[Earned Salary]]-Salary_Calculation[[#This Row],[Missing-Order Deduction]]+Salary_Calculation[[#This Row],[Extra-Order Bonus]])</f>
        <v/>
      </c>
      <c r="AB222" s="164" t="str">
        <f aca="false">IF(Salary_Calculation[[#This Row],[Source Row]]="","",ROUND(Salary_Calculation[[#This Row],[Negative Balance / Amount Due from Rider]]+MAX(Salary_Calculation[[#This Row],[Total Deductions]]-Salary_Calculation[[#This Row],[Gross Salary Before Deductions]],0),2))</f>
        <v/>
      </c>
      <c r="AC22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22" s="164" t="str">
        <f aca="false">IF(Salary_Calculation[[#This Row],[Source Row]]="","",Salary_Calculation[[#This Row],[Rider Target Orders]]*Salary_Calculation[[#This Row],[Base Order Rate]])</f>
        <v/>
      </c>
      <c r="AE222" s="162" t="str">
        <f aca="false">IF(SUMPRODUCT(--(LEN(INDEX(Rider_Input[#Data],ROW()-ROW(Salary_Calculation[#Headers]),0))&gt;0))=0,"",ROW()-ROW(Salary_Calculation[#Headers]))</f>
        <v/>
      </c>
    </row>
    <row r="223" customFormat="false" ht="14.25" hidden="false" customHeight="false" outlineLevel="0" collapsed="false">
      <c r="A223" s="161" t="str">
        <f aca="false">IF(Salary_Calculation[[#This Row],[Source Row]]="","",IF(INDEX(Rider_Input[Salary Month],Salary_Calculation[[#This Row],[Source Row]])="","",INDEX(Rider_Input[Salary Month],Salary_Calculation[[#This Row],[Source Row]])))</f>
        <v/>
      </c>
      <c r="B223" s="162" t="str">
        <f aca="false">IF(Salary_Calculation[[#This Row],[Source Row]]="","",IF(INDEX(Rider_Input[Rider ID],Salary_Calculation[[#This Row],[Source Row]])="","",INDEX(Rider_Input[Rider ID],Salary_Calculation[[#This Row],[Source Row]])))</f>
        <v/>
      </c>
      <c r="C223" s="163" t="str">
        <f aca="false">IF(Salary_Calculation[[#This Row],[Source Row]]="","",IF(INDEX(Rider_Input[Rider Name],Salary_Calculation[[#This Row],[Source Row]])="","",INDEX(Rider_Input[Rider Name],Salary_Calculation[[#This Row],[Source Row]])))</f>
        <v/>
      </c>
      <c r="D223" s="164" t="str">
        <f aca="false">IF(Salary_Calculation[[#This Row],[Source Row]]="","",IF(INDEX(Rider_Input[Basic Payment],Salary_Calculation[[#This Row],[Source Row]])="","",INDEX(Rider_Input[Basic Payment],Salary_Calculation[[#This Row],[Source Row]])))</f>
        <v/>
      </c>
      <c r="E223" s="162" t="str">
        <f aca="false">IF(Salary_Calculation[[#This Row],[Source Row]]="","",IF(INDEX(Rider_Input[Calendar Days in Month],Salary_Calculation[[#This Row],[Source Row]])="","",INDEX(Rider_Input[Calendar Days in Month],Salary_Calculation[[#This Row],[Source Row]])))</f>
        <v/>
      </c>
      <c r="F223" s="162" t="str">
        <f aca="false">IF(Salary_Calculation[[#This Row],[Source Row]]="","",IF(INDEX(Rider_Input[Working Days],Salary_Calculation[[#This Row],[Source Row]])="","",INDEX(Rider_Input[Working Days],Salary_Calculation[[#This Row],[Source Row]])))</f>
        <v/>
      </c>
      <c r="G223" s="165" t="str">
        <f aca="false">IF(Salary_Calculation[[#This Row],[Source Row]]="","",Std_Orders/Std_Days*N(Salary_Calculation[[#This Row],[Calendar Days]]))</f>
        <v/>
      </c>
      <c r="H223" s="165" t="str">
        <f aca="false">IF(Salary_Calculation[[#This Row],[Source Row]]="","",IF(N(Salary_Calculation[[#This Row],[Calendar Days]])&gt;0,Salary_Calculation[[#This Row],[Monthly Target Orders]]/N(Salary_Calculation[[#This Row],[Calendar Days]])*N(Salary_Calculation[[#This Row],[Working Days]]),0))</f>
        <v/>
      </c>
      <c r="I223" s="166" t="str">
        <f aca="false">IF(Salary_Calculation[[#This Row],[Source Row]]="","",IF(INDEX(Rider_Input[Completed Orders],Salary_Calculation[[#This Row],[Source Row]])="","",INDEX(Rider_Input[Completed Orders],Salary_Calculation[[#This Row],[Source Row]])))</f>
        <v/>
      </c>
      <c r="J223" s="165" t="str">
        <f aca="false">IF(Salary_Calculation[[#This Row],[Source Row]]="","",IF(Rate_Method="Fixed rate",Fixed_Rate,IF(N(Salary_Calculation[[#This Row],[Basic Payment]])&gt;0,N(Salary_Calculation[[#This Row],[Basic Payment]])/Std_Orders,0)))</f>
        <v/>
      </c>
      <c r="K223" s="165" t="str">
        <f aca="false">IF(Salary_Calculation[[#This Row],[Source Row]]="","",MAX(MIN(N(Salary_Calculation[[#This Row],[Completed Orders]]),Salary_Calculation[[#This Row],[Rider Target Orders]]),0))</f>
        <v/>
      </c>
      <c r="L223" s="164" t="str">
        <f aca="false">IF(Salary_Calculation[[#This Row],[Source Row]]="","",Salary_Calculation[[#This Row],[Orders Counted at Base Rate]]*Salary_Calculation[[#This Row],[Base Order Rate]])</f>
        <v/>
      </c>
      <c r="M223" s="165" t="str">
        <f aca="false">IF(Salary_Calculation[[#This Row],[Source Row]]="","",MAX(Salary_Calculation[[#This Row],[Rider Target Orders]]-N(Salary_Calculation[[#This Row],[Completed Orders]]),0))</f>
        <v/>
      </c>
      <c r="N223" s="164" t="str">
        <f aca="false">IF(Salary_Calculation[[#This Row],[Source Row]]="","",Salary_Calculation[[#This Row],[Missing Orders]]*Missing_Rate)</f>
        <v/>
      </c>
      <c r="O223" s="165" t="str">
        <f aca="false">IF(Salary_Calculation[[#This Row],[Source Row]]="","",MAX(N(Salary_Calculation[[#This Row],[Completed Orders]])-Salary_Calculation[[#This Row],[Rider Target Orders]],0))</f>
        <v/>
      </c>
      <c r="P223" s="164" t="str">
        <f aca="false">IF(Salary_Calculation[[#This Row],[Source Row]]="","",Salary_Calculation[[#This Row],[Extra Orders]]*Extra_Rate)</f>
        <v/>
      </c>
      <c r="Q223" s="164" t="str">
        <f aca="false">IF(Salary_Calculation[[#This Row],[Source Row]]="","",MAX(Salary_Calculation[[#This Row],[Salary Before Other Deductions]],0))</f>
        <v/>
      </c>
      <c r="R223" s="164" t="str">
        <f aca="false">IF(Salary_Calculation[[#This Row],[Source Row]]="","",N(INDEX(Rider_Input[missed_days_penalty],Salary_Calculation[[#This Row],[Source Row]])))</f>
        <v/>
      </c>
      <c r="S223" s="164" t="str">
        <f aca="false">IF(Salary_Calculation[[#This Row],[Source Row]]="","",N(INDEX(Rider_Input[Rider Balance / محفظة المندوب],Salary_Calculation[[#This Row],[Source Row]])))</f>
        <v/>
      </c>
      <c r="T223" s="164" t="str">
        <f aca="false">IF(Salary_Calculation[[#This Row],[Source Row]]="","",N(INDEX(Rider_Input[stacking_deduction / خصم الطلبات المتعددة],Salary_Calculation[[#This Row],[Source Row]])))</f>
        <v/>
      </c>
      <c r="U223" s="164" t="str">
        <f aca="false">IF(Salary_Calculation[[#This Row],[Source Row]]="","",N(INDEX(Rider_Input[Other Deductions],Salary_Calculation[[#This Row],[Source Row]])))</f>
        <v/>
      </c>
      <c r="V223" s="164" t="str">
        <f aca="false">IF(Salary_Calculation[[#This Row],[Source Row]]="","",N(Salary_Calculation[[#This Row],[missed_days_penalty]])+N(Salary_Calculation[[#This Row],[Rider Balance]])+N(Salary_Calculation[[#This Row],[stacking_deduction]])+N(Salary_Calculation[[#This Row],[Other Deductions]]))</f>
        <v/>
      </c>
      <c r="W223" s="167" t="str">
        <f aca="false">IF(Salary_Calculation[[#This Row],[Source Row]]="","",ROUND(MAX(Salary_Calculation[[#This Row],[Gross Salary Before Deductions]]-Salary_Calculation[[#This Row],[Total Deductions]],0),2))</f>
        <v/>
      </c>
      <c r="X223" s="164" t="str">
        <f aca="false">IF(Salary_Calculation[[#This Row],[Source Row]]="","",ROUND(MAX(Salary_Calculation[[#This Row],[Missing-Order Deduction]]-Salary_Calculation[[#This Row],[Earned Salary]],0),2))</f>
        <v/>
      </c>
      <c r="Y22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23" s="163" t="str">
        <f aca="false">IF(Salary_Calculation[[#This Row],[Source Row]]="","",IF(INDEX(Rider_Input[Notes],Salary_Calculation[[#This Row],[Source Row]])="","",INDEX(Rider_Input[Notes],Salary_Calculation[[#This Row],[Source Row]])))</f>
        <v/>
      </c>
      <c r="AA223" s="164" t="str">
        <f aca="false">IF(Salary_Calculation[[#This Row],[Source Row]]="","",Salary_Calculation[[#This Row],[Earned Salary]]-Salary_Calculation[[#This Row],[Missing-Order Deduction]]+Salary_Calculation[[#This Row],[Extra-Order Bonus]])</f>
        <v/>
      </c>
      <c r="AB223" s="164" t="str">
        <f aca="false">IF(Salary_Calculation[[#This Row],[Source Row]]="","",ROUND(Salary_Calculation[[#This Row],[Negative Balance / Amount Due from Rider]]+MAX(Salary_Calculation[[#This Row],[Total Deductions]]-Salary_Calculation[[#This Row],[Gross Salary Before Deductions]],0),2))</f>
        <v/>
      </c>
      <c r="AC22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23" s="164" t="str">
        <f aca="false">IF(Salary_Calculation[[#This Row],[Source Row]]="","",Salary_Calculation[[#This Row],[Rider Target Orders]]*Salary_Calculation[[#This Row],[Base Order Rate]])</f>
        <v/>
      </c>
      <c r="AE223" s="162" t="str">
        <f aca="false">IF(SUMPRODUCT(--(LEN(INDEX(Rider_Input[#Data],ROW()-ROW(Salary_Calculation[#Headers]),0))&gt;0))=0,"",ROW()-ROW(Salary_Calculation[#Headers]))</f>
        <v/>
      </c>
    </row>
    <row r="224" customFormat="false" ht="14.25" hidden="false" customHeight="false" outlineLevel="0" collapsed="false">
      <c r="A224" s="161" t="str">
        <f aca="false">IF(Salary_Calculation[[#This Row],[Source Row]]="","",IF(INDEX(Rider_Input[Salary Month],Salary_Calculation[[#This Row],[Source Row]])="","",INDEX(Rider_Input[Salary Month],Salary_Calculation[[#This Row],[Source Row]])))</f>
        <v/>
      </c>
      <c r="B224" s="162" t="str">
        <f aca="false">IF(Salary_Calculation[[#This Row],[Source Row]]="","",IF(INDEX(Rider_Input[Rider ID],Salary_Calculation[[#This Row],[Source Row]])="","",INDEX(Rider_Input[Rider ID],Salary_Calculation[[#This Row],[Source Row]])))</f>
        <v/>
      </c>
      <c r="C224" s="163" t="str">
        <f aca="false">IF(Salary_Calculation[[#This Row],[Source Row]]="","",IF(INDEX(Rider_Input[Rider Name],Salary_Calculation[[#This Row],[Source Row]])="","",INDEX(Rider_Input[Rider Name],Salary_Calculation[[#This Row],[Source Row]])))</f>
        <v/>
      </c>
      <c r="D224" s="164" t="str">
        <f aca="false">IF(Salary_Calculation[[#This Row],[Source Row]]="","",IF(INDEX(Rider_Input[Basic Payment],Salary_Calculation[[#This Row],[Source Row]])="","",INDEX(Rider_Input[Basic Payment],Salary_Calculation[[#This Row],[Source Row]])))</f>
        <v/>
      </c>
      <c r="E224" s="162" t="str">
        <f aca="false">IF(Salary_Calculation[[#This Row],[Source Row]]="","",IF(INDEX(Rider_Input[Calendar Days in Month],Salary_Calculation[[#This Row],[Source Row]])="","",INDEX(Rider_Input[Calendar Days in Month],Salary_Calculation[[#This Row],[Source Row]])))</f>
        <v/>
      </c>
      <c r="F224" s="162" t="str">
        <f aca="false">IF(Salary_Calculation[[#This Row],[Source Row]]="","",IF(INDEX(Rider_Input[Working Days],Salary_Calculation[[#This Row],[Source Row]])="","",INDEX(Rider_Input[Working Days],Salary_Calculation[[#This Row],[Source Row]])))</f>
        <v/>
      </c>
      <c r="G224" s="165" t="str">
        <f aca="false">IF(Salary_Calculation[[#This Row],[Source Row]]="","",Std_Orders/Std_Days*N(Salary_Calculation[[#This Row],[Calendar Days]]))</f>
        <v/>
      </c>
      <c r="H224" s="165" t="str">
        <f aca="false">IF(Salary_Calculation[[#This Row],[Source Row]]="","",IF(N(Salary_Calculation[[#This Row],[Calendar Days]])&gt;0,Salary_Calculation[[#This Row],[Monthly Target Orders]]/N(Salary_Calculation[[#This Row],[Calendar Days]])*N(Salary_Calculation[[#This Row],[Working Days]]),0))</f>
        <v/>
      </c>
      <c r="I224" s="166" t="str">
        <f aca="false">IF(Salary_Calculation[[#This Row],[Source Row]]="","",IF(INDEX(Rider_Input[Completed Orders],Salary_Calculation[[#This Row],[Source Row]])="","",INDEX(Rider_Input[Completed Orders],Salary_Calculation[[#This Row],[Source Row]])))</f>
        <v/>
      </c>
      <c r="J224" s="165" t="str">
        <f aca="false">IF(Salary_Calculation[[#This Row],[Source Row]]="","",IF(Rate_Method="Fixed rate",Fixed_Rate,IF(N(Salary_Calculation[[#This Row],[Basic Payment]])&gt;0,N(Salary_Calculation[[#This Row],[Basic Payment]])/Std_Orders,0)))</f>
        <v/>
      </c>
      <c r="K224" s="165" t="str">
        <f aca="false">IF(Salary_Calculation[[#This Row],[Source Row]]="","",MAX(MIN(N(Salary_Calculation[[#This Row],[Completed Orders]]),Salary_Calculation[[#This Row],[Rider Target Orders]]),0))</f>
        <v/>
      </c>
      <c r="L224" s="164" t="str">
        <f aca="false">IF(Salary_Calculation[[#This Row],[Source Row]]="","",Salary_Calculation[[#This Row],[Orders Counted at Base Rate]]*Salary_Calculation[[#This Row],[Base Order Rate]])</f>
        <v/>
      </c>
      <c r="M224" s="165" t="str">
        <f aca="false">IF(Salary_Calculation[[#This Row],[Source Row]]="","",MAX(Salary_Calculation[[#This Row],[Rider Target Orders]]-N(Salary_Calculation[[#This Row],[Completed Orders]]),0))</f>
        <v/>
      </c>
      <c r="N224" s="164" t="str">
        <f aca="false">IF(Salary_Calculation[[#This Row],[Source Row]]="","",Salary_Calculation[[#This Row],[Missing Orders]]*Missing_Rate)</f>
        <v/>
      </c>
      <c r="O224" s="165" t="str">
        <f aca="false">IF(Salary_Calculation[[#This Row],[Source Row]]="","",MAX(N(Salary_Calculation[[#This Row],[Completed Orders]])-Salary_Calculation[[#This Row],[Rider Target Orders]],0))</f>
        <v/>
      </c>
      <c r="P224" s="164" t="str">
        <f aca="false">IF(Salary_Calculation[[#This Row],[Source Row]]="","",Salary_Calculation[[#This Row],[Extra Orders]]*Extra_Rate)</f>
        <v/>
      </c>
      <c r="Q224" s="164" t="str">
        <f aca="false">IF(Salary_Calculation[[#This Row],[Source Row]]="","",MAX(Salary_Calculation[[#This Row],[Salary Before Other Deductions]],0))</f>
        <v/>
      </c>
      <c r="R224" s="164" t="str">
        <f aca="false">IF(Salary_Calculation[[#This Row],[Source Row]]="","",N(INDEX(Rider_Input[missed_days_penalty],Salary_Calculation[[#This Row],[Source Row]])))</f>
        <v/>
      </c>
      <c r="S224" s="164" t="str">
        <f aca="false">IF(Salary_Calculation[[#This Row],[Source Row]]="","",N(INDEX(Rider_Input[Rider Balance / محفظة المندوب],Salary_Calculation[[#This Row],[Source Row]])))</f>
        <v/>
      </c>
      <c r="T224" s="164" t="str">
        <f aca="false">IF(Salary_Calculation[[#This Row],[Source Row]]="","",N(INDEX(Rider_Input[stacking_deduction / خصم الطلبات المتعددة],Salary_Calculation[[#This Row],[Source Row]])))</f>
        <v/>
      </c>
      <c r="U224" s="164" t="str">
        <f aca="false">IF(Salary_Calculation[[#This Row],[Source Row]]="","",N(INDEX(Rider_Input[Other Deductions],Salary_Calculation[[#This Row],[Source Row]])))</f>
        <v/>
      </c>
      <c r="V224" s="164" t="str">
        <f aca="false">IF(Salary_Calculation[[#This Row],[Source Row]]="","",N(Salary_Calculation[[#This Row],[missed_days_penalty]])+N(Salary_Calculation[[#This Row],[Rider Balance]])+N(Salary_Calculation[[#This Row],[stacking_deduction]])+N(Salary_Calculation[[#This Row],[Other Deductions]]))</f>
        <v/>
      </c>
      <c r="W224" s="167" t="str">
        <f aca="false">IF(Salary_Calculation[[#This Row],[Source Row]]="","",ROUND(MAX(Salary_Calculation[[#This Row],[Gross Salary Before Deductions]]-Salary_Calculation[[#This Row],[Total Deductions]],0),2))</f>
        <v/>
      </c>
      <c r="X224" s="164" t="str">
        <f aca="false">IF(Salary_Calculation[[#This Row],[Source Row]]="","",ROUND(MAX(Salary_Calculation[[#This Row],[Missing-Order Deduction]]-Salary_Calculation[[#This Row],[Earned Salary]],0),2))</f>
        <v/>
      </c>
      <c r="Y22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24" s="163" t="str">
        <f aca="false">IF(Salary_Calculation[[#This Row],[Source Row]]="","",IF(INDEX(Rider_Input[Notes],Salary_Calculation[[#This Row],[Source Row]])="","",INDEX(Rider_Input[Notes],Salary_Calculation[[#This Row],[Source Row]])))</f>
        <v/>
      </c>
      <c r="AA224" s="164" t="str">
        <f aca="false">IF(Salary_Calculation[[#This Row],[Source Row]]="","",Salary_Calculation[[#This Row],[Earned Salary]]-Salary_Calculation[[#This Row],[Missing-Order Deduction]]+Salary_Calculation[[#This Row],[Extra-Order Bonus]])</f>
        <v/>
      </c>
      <c r="AB224" s="164" t="str">
        <f aca="false">IF(Salary_Calculation[[#This Row],[Source Row]]="","",ROUND(Salary_Calculation[[#This Row],[Negative Balance / Amount Due from Rider]]+MAX(Salary_Calculation[[#This Row],[Total Deductions]]-Salary_Calculation[[#This Row],[Gross Salary Before Deductions]],0),2))</f>
        <v/>
      </c>
      <c r="AC22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24" s="164" t="str">
        <f aca="false">IF(Salary_Calculation[[#This Row],[Source Row]]="","",Salary_Calculation[[#This Row],[Rider Target Orders]]*Salary_Calculation[[#This Row],[Base Order Rate]])</f>
        <v/>
      </c>
      <c r="AE224" s="162" t="str">
        <f aca="false">IF(SUMPRODUCT(--(LEN(INDEX(Rider_Input[#Data],ROW()-ROW(Salary_Calculation[#Headers]),0))&gt;0))=0,"",ROW()-ROW(Salary_Calculation[#Headers]))</f>
        <v/>
      </c>
    </row>
    <row r="225" customFormat="false" ht="14.25" hidden="false" customHeight="false" outlineLevel="0" collapsed="false">
      <c r="A225" s="161" t="str">
        <f aca="false">IF(Salary_Calculation[[#This Row],[Source Row]]="","",IF(INDEX(Rider_Input[Salary Month],Salary_Calculation[[#This Row],[Source Row]])="","",INDEX(Rider_Input[Salary Month],Salary_Calculation[[#This Row],[Source Row]])))</f>
        <v/>
      </c>
      <c r="B225" s="162" t="str">
        <f aca="false">IF(Salary_Calculation[[#This Row],[Source Row]]="","",IF(INDEX(Rider_Input[Rider ID],Salary_Calculation[[#This Row],[Source Row]])="","",INDEX(Rider_Input[Rider ID],Salary_Calculation[[#This Row],[Source Row]])))</f>
        <v/>
      </c>
      <c r="C225" s="163" t="str">
        <f aca="false">IF(Salary_Calculation[[#This Row],[Source Row]]="","",IF(INDEX(Rider_Input[Rider Name],Salary_Calculation[[#This Row],[Source Row]])="","",INDEX(Rider_Input[Rider Name],Salary_Calculation[[#This Row],[Source Row]])))</f>
        <v/>
      </c>
      <c r="D225" s="164" t="str">
        <f aca="false">IF(Salary_Calculation[[#This Row],[Source Row]]="","",IF(INDEX(Rider_Input[Basic Payment],Salary_Calculation[[#This Row],[Source Row]])="","",INDEX(Rider_Input[Basic Payment],Salary_Calculation[[#This Row],[Source Row]])))</f>
        <v/>
      </c>
      <c r="E225" s="162" t="str">
        <f aca="false">IF(Salary_Calculation[[#This Row],[Source Row]]="","",IF(INDEX(Rider_Input[Calendar Days in Month],Salary_Calculation[[#This Row],[Source Row]])="","",INDEX(Rider_Input[Calendar Days in Month],Salary_Calculation[[#This Row],[Source Row]])))</f>
        <v/>
      </c>
      <c r="F225" s="162" t="str">
        <f aca="false">IF(Salary_Calculation[[#This Row],[Source Row]]="","",IF(INDEX(Rider_Input[Working Days],Salary_Calculation[[#This Row],[Source Row]])="","",INDEX(Rider_Input[Working Days],Salary_Calculation[[#This Row],[Source Row]])))</f>
        <v/>
      </c>
      <c r="G225" s="165" t="str">
        <f aca="false">IF(Salary_Calculation[[#This Row],[Source Row]]="","",Std_Orders/Std_Days*N(Salary_Calculation[[#This Row],[Calendar Days]]))</f>
        <v/>
      </c>
      <c r="H225" s="165" t="str">
        <f aca="false">IF(Salary_Calculation[[#This Row],[Source Row]]="","",IF(N(Salary_Calculation[[#This Row],[Calendar Days]])&gt;0,Salary_Calculation[[#This Row],[Monthly Target Orders]]/N(Salary_Calculation[[#This Row],[Calendar Days]])*N(Salary_Calculation[[#This Row],[Working Days]]),0))</f>
        <v/>
      </c>
      <c r="I225" s="166" t="str">
        <f aca="false">IF(Salary_Calculation[[#This Row],[Source Row]]="","",IF(INDEX(Rider_Input[Completed Orders],Salary_Calculation[[#This Row],[Source Row]])="","",INDEX(Rider_Input[Completed Orders],Salary_Calculation[[#This Row],[Source Row]])))</f>
        <v/>
      </c>
      <c r="J225" s="165" t="str">
        <f aca="false">IF(Salary_Calculation[[#This Row],[Source Row]]="","",IF(Rate_Method="Fixed rate",Fixed_Rate,IF(N(Salary_Calculation[[#This Row],[Basic Payment]])&gt;0,N(Salary_Calculation[[#This Row],[Basic Payment]])/Std_Orders,0)))</f>
        <v/>
      </c>
      <c r="K225" s="165" t="str">
        <f aca="false">IF(Salary_Calculation[[#This Row],[Source Row]]="","",MAX(MIN(N(Salary_Calculation[[#This Row],[Completed Orders]]),Salary_Calculation[[#This Row],[Rider Target Orders]]),0))</f>
        <v/>
      </c>
      <c r="L225" s="164" t="str">
        <f aca="false">IF(Salary_Calculation[[#This Row],[Source Row]]="","",Salary_Calculation[[#This Row],[Orders Counted at Base Rate]]*Salary_Calculation[[#This Row],[Base Order Rate]])</f>
        <v/>
      </c>
      <c r="M225" s="165" t="str">
        <f aca="false">IF(Salary_Calculation[[#This Row],[Source Row]]="","",MAX(Salary_Calculation[[#This Row],[Rider Target Orders]]-N(Salary_Calculation[[#This Row],[Completed Orders]]),0))</f>
        <v/>
      </c>
      <c r="N225" s="164" t="str">
        <f aca="false">IF(Salary_Calculation[[#This Row],[Source Row]]="","",Salary_Calculation[[#This Row],[Missing Orders]]*Missing_Rate)</f>
        <v/>
      </c>
      <c r="O225" s="165" t="str">
        <f aca="false">IF(Salary_Calculation[[#This Row],[Source Row]]="","",MAX(N(Salary_Calculation[[#This Row],[Completed Orders]])-Salary_Calculation[[#This Row],[Rider Target Orders]],0))</f>
        <v/>
      </c>
      <c r="P225" s="164" t="str">
        <f aca="false">IF(Salary_Calculation[[#This Row],[Source Row]]="","",Salary_Calculation[[#This Row],[Extra Orders]]*Extra_Rate)</f>
        <v/>
      </c>
      <c r="Q225" s="164" t="str">
        <f aca="false">IF(Salary_Calculation[[#This Row],[Source Row]]="","",MAX(Salary_Calculation[[#This Row],[Salary Before Other Deductions]],0))</f>
        <v/>
      </c>
      <c r="R225" s="164" t="str">
        <f aca="false">IF(Salary_Calculation[[#This Row],[Source Row]]="","",N(INDEX(Rider_Input[missed_days_penalty],Salary_Calculation[[#This Row],[Source Row]])))</f>
        <v/>
      </c>
      <c r="S225" s="164" t="str">
        <f aca="false">IF(Salary_Calculation[[#This Row],[Source Row]]="","",N(INDEX(Rider_Input[Rider Balance / محفظة المندوب],Salary_Calculation[[#This Row],[Source Row]])))</f>
        <v/>
      </c>
      <c r="T225" s="164" t="str">
        <f aca="false">IF(Salary_Calculation[[#This Row],[Source Row]]="","",N(INDEX(Rider_Input[stacking_deduction / خصم الطلبات المتعددة],Salary_Calculation[[#This Row],[Source Row]])))</f>
        <v/>
      </c>
      <c r="U225" s="164" t="str">
        <f aca="false">IF(Salary_Calculation[[#This Row],[Source Row]]="","",N(INDEX(Rider_Input[Other Deductions],Salary_Calculation[[#This Row],[Source Row]])))</f>
        <v/>
      </c>
      <c r="V225" s="164" t="str">
        <f aca="false">IF(Salary_Calculation[[#This Row],[Source Row]]="","",N(Salary_Calculation[[#This Row],[missed_days_penalty]])+N(Salary_Calculation[[#This Row],[Rider Balance]])+N(Salary_Calculation[[#This Row],[stacking_deduction]])+N(Salary_Calculation[[#This Row],[Other Deductions]]))</f>
        <v/>
      </c>
      <c r="W225" s="167" t="str">
        <f aca="false">IF(Salary_Calculation[[#This Row],[Source Row]]="","",ROUND(MAX(Salary_Calculation[[#This Row],[Gross Salary Before Deductions]]-Salary_Calculation[[#This Row],[Total Deductions]],0),2))</f>
        <v/>
      </c>
      <c r="X225" s="164" t="str">
        <f aca="false">IF(Salary_Calculation[[#This Row],[Source Row]]="","",ROUND(MAX(Salary_Calculation[[#This Row],[Missing-Order Deduction]]-Salary_Calculation[[#This Row],[Earned Salary]],0),2))</f>
        <v/>
      </c>
      <c r="Y22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25" s="163" t="str">
        <f aca="false">IF(Salary_Calculation[[#This Row],[Source Row]]="","",IF(INDEX(Rider_Input[Notes],Salary_Calculation[[#This Row],[Source Row]])="","",INDEX(Rider_Input[Notes],Salary_Calculation[[#This Row],[Source Row]])))</f>
        <v/>
      </c>
      <c r="AA225" s="164" t="str">
        <f aca="false">IF(Salary_Calculation[[#This Row],[Source Row]]="","",Salary_Calculation[[#This Row],[Earned Salary]]-Salary_Calculation[[#This Row],[Missing-Order Deduction]]+Salary_Calculation[[#This Row],[Extra-Order Bonus]])</f>
        <v/>
      </c>
      <c r="AB225" s="164" t="str">
        <f aca="false">IF(Salary_Calculation[[#This Row],[Source Row]]="","",ROUND(Salary_Calculation[[#This Row],[Negative Balance / Amount Due from Rider]]+MAX(Salary_Calculation[[#This Row],[Total Deductions]]-Salary_Calculation[[#This Row],[Gross Salary Before Deductions]],0),2))</f>
        <v/>
      </c>
      <c r="AC22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25" s="164" t="str">
        <f aca="false">IF(Salary_Calculation[[#This Row],[Source Row]]="","",Salary_Calculation[[#This Row],[Rider Target Orders]]*Salary_Calculation[[#This Row],[Base Order Rate]])</f>
        <v/>
      </c>
      <c r="AE225" s="162" t="str">
        <f aca="false">IF(SUMPRODUCT(--(LEN(INDEX(Rider_Input[#Data],ROW()-ROW(Salary_Calculation[#Headers]),0))&gt;0))=0,"",ROW()-ROW(Salary_Calculation[#Headers]))</f>
        <v/>
      </c>
    </row>
    <row r="226" customFormat="false" ht="14.25" hidden="false" customHeight="false" outlineLevel="0" collapsed="false">
      <c r="A226" s="161" t="str">
        <f aca="false">IF(Salary_Calculation[[#This Row],[Source Row]]="","",IF(INDEX(Rider_Input[Salary Month],Salary_Calculation[[#This Row],[Source Row]])="","",INDEX(Rider_Input[Salary Month],Salary_Calculation[[#This Row],[Source Row]])))</f>
        <v/>
      </c>
      <c r="B226" s="162" t="str">
        <f aca="false">IF(Salary_Calculation[[#This Row],[Source Row]]="","",IF(INDEX(Rider_Input[Rider ID],Salary_Calculation[[#This Row],[Source Row]])="","",INDEX(Rider_Input[Rider ID],Salary_Calculation[[#This Row],[Source Row]])))</f>
        <v/>
      </c>
      <c r="C226" s="163" t="str">
        <f aca="false">IF(Salary_Calculation[[#This Row],[Source Row]]="","",IF(INDEX(Rider_Input[Rider Name],Salary_Calculation[[#This Row],[Source Row]])="","",INDEX(Rider_Input[Rider Name],Salary_Calculation[[#This Row],[Source Row]])))</f>
        <v/>
      </c>
      <c r="D226" s="164" t="str">
        <f aca="false">IF(Salary_Calculation[[#This Row],[Source Row]]="","",IF(INDEX(Rider_Input[Basic Payment],Salary_Calculation[[#This Row],[Source Row]])="","",INDEX(Rider_Input[Basic Payment],Salary_Calculation[[#This Row],[Source Row]])))</f>
        <v/>
      </c>
      <c r="E226" s="162" t="str">
        <f aca="false">IF(Salary_Calculation[[#This Row],[Source Row]]="","",IF(INDEX(Rider_Input[Calendar Days in Month],Salary_Calculation[[#This Row],[Source Row]])="","",INDEX(Rider_Input[Calendar Days in Month],Salary_Calculation[[#This Row],[Source Row]])))</f>
        <v/>
      </c>
      <c r="F226" s="162" t="str">
        <f aca="false">IF(Salary_Calculation[[#This Row],[Source Row]]="","",IF(INDEX(Rider_Input[Working Days],Salary_Calculation[[#This Row],[Source Row]])="","",INDEX(Rider_Input[Working Days],Salary_Calculation[[#This Row],[Source Row]])))</f>
        <v/>
      </c>
      <c r="G226" s="165" t="str">
        <f aca="false">IF(Salary_Calculation[[#This Row],[Source Row]]="","",Std_Orders/Std_Days*N(Salary_Calculation[[#This Row],[Calendar Days]]))</f>
        <v/>
      </c>
      <c r="H226" s="165" t="str">
        <f aca="false">IF(Salary_Calculation[[#This Row],[Source Row]]="","",IF(N(Salary_Calculation[[#This Row],[Calendar Days]])&gt;0,Salary_Calculation[[#This Row],[Monthly Target Orders]]/N(Salary_Calculation[[#This Row],[Calendar Days]])*N(Salary_Calculation[[#This Row],[Working Days]]),0))</f>
        <v/>
      </c>
      <c r="I226" s="166" t="str">
        <f aca="false">IF(Salary_Calculation[[#This Row],[Source Row]]="","",IF(INDEX(Rider_Input[Completed Orders],Salary_Calculation[[#This Row],[Source Row]])="","",INDEX(Rider_Input[Completed Orders],Salary_Calculation[[#This Row],[Source Row]])))</f>
        <v/>
      </c>
      <c r="J226" s="165" t="str">
        <f aca="false">IF(Salary_Calculation[[#This Row],[Source Row]]="","",IF(Rate_Method="Fixed rate",Fixed_Rate,IF(N(Salary_Calculation[[#This Row],[Basic Payment]])&gt;0,N(Salary_Calculation[[#This Row],[Basic Payment]])/Std_Orders,0)))</f>
        <v/>
      </c>
      <c r="K226" s="165" t="str">
        <f aca="false">IF(Salary_Calculation[[#This Row],[Source Row]]="","",MAX(MIN(N(Salary_Calculation[[#This Row],[Completed Orders]]),Salary_Calculation[[#This Row],[Rider Target Orders]]),0))</f>
        <v/>
      </c>
      <c r="L226" s="164" t="str">
        <f aca="false">IF(Salary_Calculation[[#This Row],[Source Row]]="","",Salary_Calculation[[#This Row],[Orders Counted at Base Rate]]*Salary_Calculation[[#This Row],[Base Order Rate]])</f>
        <v/>
      </c>
      <c r="M226" s="165" t="str">
        <f aca="false">IF(Salary_Calculation[[#This Row],[Source Row]]="","",MAX(Salary_Calculation[[#This Row],[Rider Target Orders]]-N(Salary_Calculation[[#This Row],[Completed Orders]]),0))</f>
        <v/>
      </c>
      <c r="N226" s="164" t="str">
        <f aca="false">IF(Salary_Calculation[[#This Row],[Source Row]]="","",Salary_Calculation[[#This Row],[Missing Orders]]*Missing_Rate)</f>
        <v/>
      </c>
      <c r="O226" s="165" t="str">
        <f aca="false">IF(Salary_Calculation[[#This Row],[Source Row]]="","",MAX(N(Salary_Calculation[[#This Row],[Completed Orders]])-Salary_Calculation[[#This Row],[Rider Target Orders]],0))</f>
        <v/>
      </c>
      <c r="P226" s="164" t="str">
        <f aca="false">IF(Salary_Calculation[[#This Row],[Source Row]]="","",Salary_Calculation[[#This Row],[Extra Orders]]*Extra_Rate)</f>
        <v/>
      </c>
      <c r="Q226" s="164" t="str">
        <f aca="false">IF(Salary_Calculation[[#This Row],[Source Row]]="","",MAX(Salary_Calculation[[#This Row],[Salary Before Other Deductions]],0))</f>
        <v/>
      </c>
      <c r="R226" s="164" t="str">
        <f aca="false">IF(Salary_Calculation[[#This Row],[Source Row]]="","",N(INDEX(Rider_Input[missed_days_penalty],Salary_Calculation[[#This Row],[Source Row]])))</f>
        <v/>
      </c>
      <c r="S226" s="164" t="str">
        <f aca="false">IF(Salary_Calculation[[#This Row],[Source Row]]="","",N(INDEX(Rider_Input[Rider Balance / محفظة المندوب],Salary_Calculation[[#This Row],[Source Row]])))</f>
        <v/>
      </c>
      <c r="T226" s="164" t="str">
        <f aca="false">IF(Salary_Calculation[[#This Row],[Source Row]]="","",N(INDEX(Rider_Input[stacking_deduction / خصم الطلبات المتعددة],Salary_Calculation[[#This Row],[Source Row]])))</f>
        <v/>
      </c>
      <c r="U226" s="164" t="str">
        <f aca="false">IF(Salary_Calculation[[#This Row],[Source Row]]="","",N(INDEX(Rider_Input[Other Deductions],Salary_Calculation[[#This Row],[Source Row]])))</f>
        <v/>
      </c>
      <c r="V226" s="164" t="str">
        <f aca="false">IF(Salary_Calculation[[#This Row],[Source Row]]="","",N(Salary_Calculation[[#This Row],[missed_days_penalty]])+N(Salary_Calculation[[#This Row],[Rider Balance]])+N(Salary_Calculation[[#This Row],[stacking_deduction]])+N(Salary_Calculation[[#This Row],[Other Deductions]]))</f>
        <v/>
      </c>
      <c r="W226" s="167" t="str">
        <f aca="false">IF(Salary_Calculation[[#This Row],[Source Row]]="","",ROUND(MAX(Salary_Calculation[[#This Row],[Gross Salary Before Deductions]]-Salary_Calculation[[#This Row],[Total Deductions]],0),2))</f>
        <v/>
      </c>
      <c r="X226" s="164" t="str">
        <f aca="false">IF(Salary_Calculation[[#This Row],[Source Row]]="","",ROUND(MAX(Salary_Calculation[[#This Row],[Missing-Order Deduction]]-Salary_Calculation[[#This Row],[Earned Salary]],0),2))</f>
        <v/>
      </c>
      <c r="Y22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26" s="163" t="str">
        <f aca="false">IF(Salary_Calculation[[#This Row],[Source Row]]="","",IF(INDEX(Rider_Input[Notes],Salary_Calculation[[#This Row],[Source Row]])="","",INDEX(Rider_Input[Notes],Salary_Calculation[[#This Row],[Source Row]])))</f>
        <v/>
      </c>
      <c r="AA226" s="164" t="str">
        <f aca="false">IF(Salary_Calculation[[#This Row],[Source Row]]="","",Salary_Calculation[[#This Row],[Earned Salary]]-Salary_Calculation[[#This Row],[Missing-Order Deduction]]+Salary_Calculation[[#This Row],[Extra-Order Bonus]])</f>
        <v/>
      </c>
      <c r="AB226" s="164" t="str">
        <f aca="false">IF(Salary_Calculation[[#This Row],[Source Row]]="","",ROUND(Salary_Calculation[[#This Row],[Negative Balance / Amount Due from Rider]]+MAX(Salary_Calculation[[#This Row],[Total Deductions]]-Salary_Calculation[[#This Row],[Gross Salary Before Deductions]],0),2))</f>
        <v/>
      </c>
      <c r="AC22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26" s="164" t="str">
        <f aca="false">IF(Salary_Calculation[[#This Row],[Source Row]]="","",Salary_Calculation[[#This Row],[Rider Target Orders]]*Salary_Calculation[[#This Row],[Base Order Rate]])</f>
        <v/>
      </c>
      <c r="AE226" s="162" t="str">
        <f aca="false">IF(SUMPRODUCT(--(LEN(INDEX(Rider_Input[#Data],ROW()-ROW(Salary_Calculation[#Headers]),0))&gt;0))=0,"",ROW()-ROW(Salary_Calculation[#Headers]))</f>
        <v/>
      </c>
    </row>
    <row r="227" customFormat="false" ht="14.25" hidden="false" customHeight="false" outlineLevel="0" collapsed="false">
      <c r="A227" s="161" t="str">
        <f aca="false">IF(Salary_Calculation[[#This Row],[Source Row]]="","",IF(INDEX(Rider_Input[Salary Month],Salary_Calculation[[#This Row],[Source Row]])="","",INDEX(Rider_Input[Salary Month],Salary_Calculation[[#This Row],[Source Row]])))</f>
        <v/>
      </c>
      <c r="B227" s="162" t="str">
        <f aca="false">IF(Salary_Calculation[[#This Row],[Source Row]]="","",IF(INDEX(Rider_Input[Rider ID],Salary_Calculation[[#This Row],[Source Row]])="","",INDEX(Rider_Input[Rider ID],Salary_Calculation[[#This Row],[Source Row]])))</f>
        <v/>
      </c>
      <c r="C227" s="163" t="str">
        <f aca="false">IF(Salary_Calculation[[#This Row],[Source Row]]="","",IF(INDEX(Rider_Input[Rider Name],Salary_Calculation[[#This Row],[Source Row]])="","",INDEX(Rider_Input[Rider Name],Salary_Calculation[[#This Row],[Source Row]])))</f>
        <v/>
      </c>
      <c r="D227" s="164" t="str">
        <f aca="false">IF(Salary_Calculation[[#This Row],[Source Row]]="","",IF(INDEX(Rider_Input[Basic Payment],Salary_Calculation[[#This Row],[Source Row]])="","",INDEX(Rider_Input[Basic Payment],Salary_Calculation[[#This Row],[Source Row]])))</f>
        <v/>
      </c>
      <c r="E227" s="162" t="str">
        <f aca="false">IF(Salary_Calculation[[#This Row],[Source Row]]="","",IF(INDEX(Rider_Input[Calendar Days in Month],Salary_Calculation[[#This Row],[Source Row]])="","",INDEX(Rider_Input[Calendar Days in Month],Salary_Calculation[[#This Row],[Source Row]])))</f>
        <v/>
      </c>
      <c r="F227" s="162" t="str">
        <f aca="false">IF(Salary_Calculation[[#This Row],[Source Row]]="","",IF(INDEX(Rider_Input[Working Days],Salary_Calculation[[#This Row],[Source Row]])="","",INDEX(Rider_Input[Working Days],Salary_Calculation[[#This Row],[Source Row]])))</f>
        <v/>
      </c>
      <c r="G227" s="165" t="str">
        <f aca="false">IF(Salary_Calculation[[#This Row],[Source Row]]="","",Std_Orders/Std_Days*N(Salary_Calculation[[#This Row],[Calendar Days]]))</f>
        <v/>
      </c>
      <c r="H227" s="165" t="str">
        <f aca="false">IF(Salary_Calculation[[#This Row],[Source Row]]="","",IF(N(Salary_Calculation[[#This Row],[Calendar Days]])&gt;0,Salary_Calculation[[#This Row],[Monthly Target Orders]]/N(Salary_Calculation[[#This Row],[Calendar Days]])*N(Salary_Calculation[[#This Row],[Working Days]]),0))</f>
        <v/>
      </c>
      <c r="I227" s="166" t="str">
        <f aca="false">IF(Salary_Calculation[[#This Row],[Source Row]]="","",IF(INDEX(Rider_Input[Completed Orders],Salary_Calculation[[#This Row],[Source Row]])="","",INDEX(Rider_Input[Completed Orders],Salary_Calculation[[#This Row],[Source Row]])))</f>
        <v/>
      </c>
      <c r="J227" s="165" t="str">
        <f aca="false">IF(Salary_Calculation[[#This Row],[Source Row]]="","",IF(Rate_Method="Fixed rate",Fixed_Rate,IF(N(Salary_Calculation[[#This Row],[Basic Payment]])&gt;0,N(Salary_Calculation[[#This Row],[Basic Payment]])/Std_Orders,0)))</f>
        <v/>
      </c>
      <c r="K227" s="165" t="str">
        <f aca="false">IF(Salary_Calculation[[#This Row],[Source Row]]="","",MAX(MIN(N(Salary_Calculation[[#This Row],[Completed Orders]]),Salary_Calculation[[#This Row],[Rider Target Orders]]),0))</f>
        <v/>
      </c>
      <c r="L227" s="164" t="str">
        <f aca="false">IF(Salary_Calculation[[#This Row],[Source Row]]="","",Salary_Calculation[[#This Row],[Orders Counted at Base Rate]]*Salary_Calculation[[#This Row],[Base Order Rate]])</f>
        <v/>
      </c>
      <c r="M227" s="165" t="str">
        <f aca="false">IF(Salary_Calculation[[#This Row],[Source Row]]="","",MAX(Salary_Calculation[[#This Row],[Rider Target Orders]]-N(Salary_Calculation[[#This Row],[Completed Orders]]),0))</f>
        <v/>
      </c>
      <c r="N227" s="164" t="str">
        <f aca="false">IF(Salary_Calculation[[#This Row],[Source Row]]="","",Salary_Calculation[[#This Row],[Missing Orders]]*Missing_Rate)</f>
        <v/>
      </c>
      <c r="O227" s="165" t="str">
        <f aca="false">IF(Salary_Calculation[[#This Row],[Source Row]]="","",MAX(N(Salary_Calculation[[#This Row],[Completed Orders]])-Salary_Calculation[[#This Row],[Rider Target Orders]],0))</f>
        <v/>
      </c>
      <c r="P227" s="164" t="str">
        <f aca="false">IF(Salary_Calculation[[#This Row],[Source Row]]="","",Salary_Calculation[[#This Row],[Extra Orders]]*Extra_Rate)</f>
        <v/>
      </c>
      <c r="Q227" s="164" t="str">
        <f aca="false">IF(Salary_Calculation[[#This Row],[Source Row]]="","",MAX(Salary_Calculation[[#This Row],[Salary Before Other Deductions]],0))</f>
        <v/>
      </c>
      <c r="R227" s="164" t="str">
        <f aca="false">IF(Salary_Calculation[[#This Row],[Source Row]]="","",N(INDEX(Rider_Input[missed_days_penalty],Salary_Calculation[[#This Row],[Source Row]])))</f>
        <v/>
      </c>
      <c r="S227" s="164" t="str">
        <f aca="false">IF(Salary_Calculation[[#This Row],[Source Row]]="","",N(INDEX(Rider_Input[Rider Balance / محفظة المندوب],Salary_Calculation[[#This Row],[Source Row]])))</f>
        <v/>
      </c>
      <c r="T227" s="164" t="str">
        <f aca="false">IF(Salary_Calculation[[#This Row],[Source Row]]="","",N(INDEX(Rider_Input[stacking_deduction / خصم الطلبات المتعددة],Salary_Calculation[[#This Row],[Source Row]])))</f>
        <v/>
      </c>
      <c r="U227" s="164" t="str">
        <f aca="false">IF(Salary_Calculation[[#This Row],[Source Row]]="","",N(INDEX(Rider_Input[Other Deductions],Salary_Calculation[[#This Row],[Source Row]])))</f>
        <v/>
      </c>
      <c r="V227" s="164" t="str">
        <f aca="false">IF(Salary_Calculation[[#This Row],[Source Row]]="","",N(Salary_Calculation[[#This Row],[missed_days_penalty]])+N(Salary_Calculation[[#This Row],[Rider Balance]])+N(Salary_Calculation[[#This Row],[stacking_deduction]])+N(Salary_Calculation[[#This Row],[Other Deductions]]))</f>
        <v/>
      </c>
      <c r="W227" s="167" t="str">
        <f aca="false">IF(Salary_Calculation[[#This Row],[Source Row]]="","",ROUND(MAX(Salary_Calculation[[#This Row],[Gross Salary Before Deductions]]-Salary_Calculation[[#This Row],[Total Deductions]],0),2))</f>
        <v/>
      </c>
      <c r="X227" s="164" t="str">
        <f aca="false">IF(Salary_Calculation[[#This Row],[Source Row]]="","",ROUND(MAX(Salary_Calculation[[#This Row],[Missing-Order Deduction]]-Salary_Calculation[[#This Row],[Earned Salary]],0),2))</f>
        <v/>
      </c>
      <c r="Y22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27" s="163" t="str">
        <f aca="false">IF(Salary_Calculation[[#This Row],[Source Row]]="","",IF(INDEX(Rider_Input[Notes],Salary_Calculation[[#This Row],[Source Row]])="","",INDEX(Rider_Input[Notes],Salary_Calculation[[#This Row],[Source Row]])))</f>
        <v/>
      </c>
      <c r="AA227" s="164" t="str">
        <f aca="false">IF(Salary_Calculation[[#This Row],[Source Row]]="","",Salary_Calculation[[#This Row],[Earned Salary]]-Salary_Calculation[[#This Row],[Missing-Order Deduction]]+Salary_Calculation[[#This Row],[Extra-Order Bonus]])</f>
        <v/>
      </c>
      <c r="AB227" s="164" t="str">
        <f aca="false">IF(Salary_Calculation[[#This Row],[Source Row]]="","",ROUND(Salary_Calculation[[#This Row],[Negative Balance / Amount Due from Rider]]+MAX(Salary_Calculation[[#This Row],[Total Deductions]]-Salary_Calculation[[#This Row],[Gross Salary Before Deductions]],0),2))</f>
        <v/>
      </c>
      <c r="AC22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27" s="164" t="str">
        <f aca="false">IF(Salary_Calculation[[#This Row],[Source Row]]="","",Salary_Calculation[[#This Row],[Rider Target Orders]]*Salary_Calculation[[#This Row],[Base Order Rate]])</f>
        <v/>
      </c>
      <c r="AE227" s="162" t="str">
        <f aca="false">IF(SUMPRODUCT(--(LEN(INDEX(Rider_Input[#Data],ROW()-ROW(Salary_Calculation[#Headers]),0))&gt;0))=0,"",ROW()-ROW(Salary_Calculation[#Headers]))</f>
        <v/>
      </c>
    </row>
    <row r="228" customFormat="false" ht="14.25" hidden="false" customHeight="false" outlineLevel="0" collapsed="false">
      <c r="A228" s="161" t="str">
        <f aca="false">IF(Salary_Calculation[[#This Row],[Source Row]]="","",IF(INDEX(Rider_Input[Salary Month],Salary_Calculation[[#This Row],[Source Row]])="","",INDEX(Rider_Input[Salary Month],Salary_Calculation[[#This Row],[Source Row]])))</f>
        <v/>
      </c>
      <c r="B228" s="162" t="str">
        <f aca="false">IF(Salary_Calculation[[#This Row],[Source Row]]="","",IF(INDEX(Rider_Input[Rider ID],Salary_Calculation[[#This Row],[Source Row]])="","",INDEX(Rider_Input[Rider ID],Salary_Calculation[[#This Row],[Source Row]])))</f>
        <v/>
      </c>
      <c r="C228" s="163" t="str">
        <f aca="false">IF(Salary_Calculation[[#This Row],[Source Row]]="","",IF(INDEX(Rider_Input[Rider Name],Salary_Calculation[[#This Row],[Source Row]])="","",INDEX(Rider_Input[Rider Name],Salary_Calculation[[#This Row],[Source Row]])))</f>
        <v/>
      </c>
      <c r="D228" s="164" t="str">
        <f aca="false">IF(Salary_Calculation[[#This Row],[Source Row]]="","",IF(INDEX(Rider_Input[Basic Payment],Salary_Calculation[[#This Row],[Source Row]])="","",INDEX(Rider_Input[Basic Payment],Salary_Calculation[[#This Row],[Source Row]])))</f>
        <v/>
      </c>
      <c r="E228" s="162" t="str">
        <f aca="false">IF(Salary_Calculation[[#This Row],[Source Row]]="","",IF(INDEX(Rider_Input[Calendar Days in Month],Salary_Calculation[[#This Row],[Source Row]])="","",INDEX(Rider_Input[Calendar Days in Month],Salary_Calculation[[#This Row],[Source Row]])))</f>
        <v/>
      </c>
      <c r="F228" s="162" t="str">
        <f aca="false">IF(Salary_Calculation[[#This Row],[Source Row]]="","",IF(INDEX(Rider_Input[Working Days],Salary_Calculation[[#This Row],[Source Row]])="","",INDEX(Rider_Input[Working Days],Salary_Calculation[[#This Row],[Source Row]])))</f>
        <v/>
      </c>
      <c r="G228" s="165" t="str">
        <f aca="false">IF(Salary_Calculation[[#This Row],[Source Row]]="","",Std_Orders/Std_Days*N(Salary_Calculation[[#This Row],[Calendar Days]]))</f>
        <v/>
      </c>
      <c r="H228" s="165" t="str">
        <f aca="false">IF(Salary_Calculation[[#This Row],[Source Row]]="","",IF(N(Salary_Calculation[[#This Row],[Calendar Days]])&gt;0,Salary_Calculation[[#This Row],[Monthly Target Orders]]/N(Salary_Calculation[[#This Row],[Calendar Days]])*N(Salary_Calculation[[#This Row],[Working Days]]),0))</f>
        <v/>
      </c>
      <c r="I228" s="166" t="str">
        <f aca="false">IF(Salary_Calculation[[#This Row],[Source Row]]="","",IF(INDEX(Rider_Input[Completed Orders],Salary_Calculation[[#This Row],[Source Row]])="","",INDEX(Rider_Input[Completed Orders],Salary_Calculation[[#This Row],[Source Row]])))</f>
        <v/>
      </c>
      <c r="J228" s="165" t="str">
        <f aca="false">IF(Salary_Calculation[[#This Row],[Source Row]]="","",IF(Rate_Method="Fixed rate",Fixed_Rate,IF(N(Salary_Calculation[[#This Row],[Basic Payment]])&gt;0,N(Salary_Calculation[[#This Row],[Basic Payment]])/Std_Orders,0)))</f>
        <v/>
      </c>
      <c r="K228" s="165" t="str">
        <f aca="false">IF(Salary_Calculation[[#This Row],[Source Row]]="","",MAX(MIN(N(Salary_Calculation[[#This Row],[Completed Orders]]),Salary_Calculation[[#This Row],[Rider Target Orders]]),0))</f>
        <v/>
      </c>
      <c r="L228" s="164" t="str">
        <f aca="false">IF(Salary_Calculation[[#This Row],[Source Row]]="","",Salary_Calculation[[#This Row],[Orders Counted at Base Rate]]*Salary_Calculation[[#This Row],[Base Order Rate]])</f>
        <v/>
      </c>
      <c r="M228" s="165" t="str">
        <f aca="false">IF(Salary_Calculation[[#This Row],[Source Row]]="","",MAX(Salary_Calculation[[#This Row],[Rider Target Orders]]-N(Salary_Calculation[[#This Row],[Completed Orders]]),0))</f>
        <v/>
      </c>
      <c r="N228" s="164" t="str">
        <f aca="false">IF(Salary_Calculation[[#This Row],[Source Row]]="","",Salary_Calculation[[#This Row],[Missing Orders]]*Missing_Rate)</f>
        <v/>
      </c>
      <c r="O228" s="165" t="str">
        <f aca="false">IF(Salary_Calculation[[#This Row],[Source Row]]="","",MAX(N(Salary_Calculation[[#This Row],[Completed Orders]])-Salary_Calculation[[#This Row],[Rider Target Orders]],0))</f>
        <v/>
      </c>
      <c r="P228" s="164" t="str">
        <f aca="false">IF(Salary_Calculation[[#This Row],[Source Row]]="","",Salary_Calculation[[#This Row],[Extra Orders]]*Extra_Rate)</f>
        <v/>
      </c>
      <c r="Q228" s="164" t="str">
        <f aca="false">IF(Salary_Calculation[[#This Row],[Source Row]]="","",MAX(Salary_Calculation[[#This Row],[Salary Before Other Deductions]],0))</f>
        <v/>
      </c>
      <c r="R228" s="164" t="str">
        <f aca="false">IF(Salary_Calculation[[#This Row],[Source Row]]="","",N(INDEX(Rider_Input[missed_days_penalty],Salary_Calculation[[#This Row],[Source Row]])))</f>
        <v/>
      </c>
      <c r="S228" s="164" t="str">
        <f aca="false">IF(Salary_Calculation[[#This Row],[Source Row]]="","",N(INDEX(Rider_Input[Rider Balance / محفظة المندوب],Salary_Calculation[[#This Row],[Source Row]])))</f>
        <v/>
      </c>
      <c r="T228" s="164" t="str">
        <f aca="false">IF(Salary_Calculation[[#This Row],[Source Row]]="","",N(INDEX(Rider_Input[stacking_deduction / خصم الطلبات المتعددة],Salary_Calculation[[#This Row],[Source Row]])))</f>
        <v/>
      </c>
      <c r="U228" s="164" t="str">
        <f aca="false">IF(Salary_Calculation[[#This Row],[Source Row]]="","",N(INDEX(Rider_Input[Other Deductions],Salary_Calculation[[#This Row],[Source Row]])))</f>
        <v/>
      </c>
      <c r="V228" s="164" t="str">
        <f aca="false">IF(Salary_Calculation[[#This Row],[Source Row]]="","",N(Salary_Calculation[[#This Row],[missed_days_penalty]])+N(Salary_Calculation[[#This Row],[Rider Balance]])+N(Salary_Calculation[[#This Row],[stacking_deduction]])+N(Salary_Calculation[[#This Row],[Other Deductions]]))</f>
        <v/>
      </c>
      <c r="W228" s="167" t="str">
        <f aca="false">IF(Salary_Calculation[[#This Row],[Source Row]]="","",ROUND(MAX(Salary_Calculation[[#This Row],[Gross Salary Before Deductions]]-Salary_Calculation[[#This Row],[Total Deductions]],0),2))</f>
        <v/>
      </c>
      <c r="X228" s="164" t="str">
        <f aca="false">IF(Salary_Calculation[[#This Row],[Source Row]]="","",ROUND(MAX(Salary_Calculation[[#This Row],[Missing-Order Deduction]]-Salary_Calculation[[#This Row],[Earned Salary]],0),2))</f>
        <v/>
      </c>
      <c r="Y22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28" s="163" t="str">
        <f aca="false">IF(Salary_Calculation[[#This Row],[Source Row]]="","",IF(INDEX(Rider_Input[Notes],Salary_Calculation[[#This Row],[Source Row]])="","",INDEX(Rider_Input[Notes],Salary_Calculation[[#This Row],[Source Row]])))</f>
        <v/>
      </c>
      <c r="AA228" s="164" t="str">
        <f aca="false">IF(Salary_Calculation[[#This Row],[Source Row]]="","",Salary_Calculation[[#This Row],[Earned Salary]]-Salary_Calculation[[#This Row],[Missing-Order Deduction]]+Salary_Calculation[[#This Row],[Extra-Order Bonus]])</f>
        <v/>
      </c>
      <c r="AB228" s="164" t="str">
        <f aca="false">IF(Salary_Calculation[[#This Row],[Source Row]]="","",ROUND(Salary_Calculation[[#This Row],[Negative Balance / Amount Due from Rider]]+MAX(Salary_Calculation[[#This Row],[Total Deductions]]-Salary_Calculation[[#This Row],[Gross Salary Before Deductions]],0),2))</f>
        <v/>
      </c>
      <c r="AC22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28" s="164" t="str">
        <f aca="false">IF(Salary_Calculation[[#This Row],[Source Row]]="","",Salary_Calculation[[#This Row],[Rider Target Orders]]*Salary_Calculation[[#This Row],[Base Order Rate]])</f>
        <v/>
      </c>
      <c r="AE228" s="162" t="str">
        <f aca="false">IF(SUMPRODUCT(--(LEN(INDEX(Rider_Input[#Data],ROW()-ROW(Salary_Calculation[#Headers]),0))&gt;0))=0,"",ROW()-ROW(Salary_Calculation[#Headers]))</f>
        <v/>
      </c>
    </row>
    <row r="229" customFormat="false" ht="14.25" hidden="false" customHeight="false" outlineLevel="0" collapsed="false">
      <c r="A229" s="161" t="str">
        <f aca="false">IF(Salary_Calculation[[#This Row],[Source Row]]="","",IF(INDEX(Rider_Input[Salary Month],Salary_Calculation[[#This Row],[Source Row]])="","",INDEX(Rider_Input[Salary Month],Salary_Calculation[[#This Row],[Source Row]])))</f>
        <v/>
      </c>
      <c r="B229" s="162" t="str">
        <f aca="false">IF(Salary_Calculation[[#This Row],[Source Row]]="","",IF(INDEX(Rider_Input[Rider ID],Salary_Calculation[[#This Row],[Source Row]])="","",INDEX(Rider_Input[Rider ID],Salary_Calculation[[#This Row],[Source Row]])))</f>
        <v/>
      </c>
      <c r="C229" s="163" t="str">
        <f aca="false">IF(Salary_Calculation[[#This Row],[Source Row]]="","",IF(INDEX(Rider_Input[Rider Name],Salary_Calculation[[#This Row],[Source Row]])="","",INDEX(Rider_Input[Rider Name],Salary_Calculation[[#This Row],[Source Row]])))</f>
        <v/>
      </c>
      <c r="D229" s="164" t="str">
        <f aca="false">IF(Salary_Calculation[[#This Row],[Source Row]]="","",IF(INDEX(Rider_Input[Basic Payment],Salary_Calculation[[#This Row],[Source Row]])="","",INDEX(Rider_Input[Basic Payment],Salary_Calculation[[#This Row],[Source Row]])))</f>
        <v/>
      </c>
      <c r="E229" s="162" t="str">
        <f aca="false">IF(Salary_Calculation[[#This Row],[Source Row]]="","",IF(INDEX(Rider_Input[Calendar Days in Month],Salary_Calculation[[#This Row],[Source Row]])="","",INDEX(Rider_Input[Calendar Days in Month],Salary_Calculation[[#This Row],[Source Row]])))</f>
        <v/>
      </c>
      <c r="F229" s="162" t="str">
        <f aca="false">IF(Salary_Calculation[[#This Row],[Source Row]]="","",IF(INDEX(Rider_Input[Working Days],Salary_Calculation[[#This Row],[Source Row]])="","",INDEX(Rider_Input[Working Days],Salary_Calculation[[#This Row],[Source Row]])))</f>
        <v/>
      </c>
      <c r="G229" s="165" t="str">
        <f aca="false">IF(Salary_Calculation[[#This Row],[Source Row]]="","",Std_Orders/Std_Days*N(Salary_Calculation[[#This Row],[Calendar Days]]))</f>
        <v/>
      </c>
      <c r="H229" s="165" t="str">
        <f aca="false">IF(Salary_Calculation[[#This Row],[Source Row]]="","",IF(N(Salary_Calculation[[#This Row],[Calendar Days]])&gt;0,Salary_Calculation[[#This Row],[Monthly Target Orders]]/N(Salary_Calculation[[#This Row],[Calendar Days]])*N(Salary_Calculation[[#This Row],[Working Days]]),0))</f>
        <v/>
      </c>
      <c r="I229" s="166" t="str">
        <f aca="false">IF(Salary_Calculation[[#This Row],[Source Row]]="","",IF(INDEX(Rider_Input[Completed Orders],Salary_Calculation[[#This Row],[Source Row]])="","",INDEX(Rider_Input[Completed Orders],Salary_Calculation[[#This Row],[Source Row]])))</f>
        <v/>
      </c>
      <c r="J229" s="165" t="str">
        <f aca="false">IF(Salary_Calculation[[#This Row],[Source Row]]="","",IF(Rate_Method="Fixed rate",Fixed_Rate,IF(N(Salary_Calculation[[#This Row],[Basic Payment]])&gt;0,N(Salary_Calculation[[#This Row],[Basic Payment]])/Std_Orders,0)))</f>
        <v/>
      </c>
      <c r="K229" s="165" t="str">
        <f aca="false">IF(Salary_Calculation[[#This Row],[Source Row]]="","",MAX(MIN(N(Salary_Calculation[[#This Row],[Completed Orders]]),Salary_Calculation[[#This Row],[Rider Target Orders]]),0))</f>
        <v/>
      </c>
      <c r="L229" s="164" t="str">
        <f aca="false">IF(Salary_Calculation[[#This Row],[Source Row]]="","",Salary_Calculation[[#This Row],[Orders Counted at Base Rate]]*Salary_Calculation[[#This Row],[Base Order Rate]])</f>
        <v/>
      </c>
      <c r="M229" s="165" t="str">
        <f aca="false">IF(Salary_Calculation[[#This Row],[Source Row]]="","",MAX(Salary_Calculation[[#This Row],[Rider Target Orders]]-N(Salary_Calculation[[#This Row],[Completed Orders]]),0))</f>
        <v/>
      </c>
      <c r="N229" s="164" t="str">
        <f aca="false">IF(Salary_Calculation[[#This Row],[Source Row]]="","",Salary_Calculation[[#This Row],[Missing Orders]]*Missing_Rate)</f>
        <v/>
      </c>
      <c r="O229" s="165" t="str">
        <f aca="false">IF(Salary_Calculation[[#This Row],[Source Row]]="","",MAX(N(Salary_Calculation[[#This Row],[Completed Orders]])-Salary_Calculation[[#This Row],[Rider Target Orders]],0))</f>
        <v/>
      </c>
      <c r="P229" s="164" t="str">
        <f aca="false">IF(Salary_Calculation[[#This Row],[Source Row]]="","",Salary_Calculation[[#This Row],[Extra Orders]]*Extra_Rate)</f>
        <v/>
      </c>
      <c r="Q229" s="164" t="str">
        <f aca="false">IF(Salary_Calculation[[#This Row],[Source Row]]="","",MAX(Salary_Calculation[[#This Row],[Salary Before Other Deductions]],0))</f>
        <v/>
      </c>
      <c r="R229" s="164" t="str">
        <f aca="false">IF(Salary_Calculation[[#This Row],[Source Row]]="","",N(INDEX(Rider_Input[missed_days_penalty],Salary_Calculation[[#This Row],[Source Row]])))</f>
        <v/>
      </c>
      <c r="S229" s="164" t="str">
        <f aca="false">IF(Salary_Calculation[[#This Row],[Source Row]]="","",N(INDEX(Rider_Input[Rider Balance / محفظة المندوب],Salary_Calculation[[#This Row],[Source Row]])))</f>
        <v/>
      </c>
      <c r="T229" s="164" t="str">
        <f aca="false">IF(Salary_Calculation[[#This Row],[Source Row]]="","",N(INDEX(Rider_Input[stacking_deduction / خصم الطلبات المتعددة],Salary_Calculation[[#This Row],[Source Row]])))</f>
        <v/>
      </c>
      <c r="U229" s="164" t="str">
        <f aca="false">IF(Salary_Calculation[[#This Row],[Source Row]]="","",N(INDEX(Rider_Input[Other Deductions],Salary_Calculation[[#This Row],[Source Row]])))</f>
        <v/>
      </c>
      <c r="V229" s="164" t="str">
        <f aca="false">IF(Salary_Calculation[[#This Row],[Source Row]]="","",N(Salary_Calculation[[#This Row],[missed_days_penalty]])+N(Salary_Calculation[[#This Row],[Rider Balance]])+N(Salary_Calculation[[#This Row],[stacking_deduction]])+N(Salary_Calculation[[#This Row],[Other Deductions]]))</f>
        <v/>
      </c>
      <c r="W229" s="167" t="str">
        <f aca="false">IF(Salary_Calculation[[#This Row],[Source Row]]="","",ROUND(MAX(Salary_Calculation[[#This Row],[Gross Salary Before Deductions]]-Salary_Calculation[[#This Row],[Total Deductions]],0),2))</f>
        <v/>
      </c>
      <c r="X229" s="164" t="str">
        <f aca="false">IF(Salary_Calculation[[#This Row],[Source Row]]="","",ROUND(MAX(Salary_Calculation[[#This Row],[Missing-Order Deduction]]-Salary_Calculation[[#This Row],[Earned Salary]],0),2))</f>
        <v/>
      </c>
      <c r="Y22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29" s="163" t="str">
        <f aca="false">IF(Salary_Calculation[[#This Row],[Source Row]]="","",IF(INDEX(Rider_Input[Notes],Salary_Calculation[[#This Row],[Source Row]])="","",INDEX(Rider_Input[Notes],Salary_Calculation[[#This Row],[Source Row]])))</f>
        <v/>
      </c>
      <c r="AA229" s="164" t="str">
        <f aca="false">IF(Salary_Calculation[[#This Row],[Source Row]]="","",Salary_Calculation[[#This Row],[Earned Salary]]-Salary_Calculation[[#This Row],[Missing-Order Deduction]]+Salary_Calculation[[#This Row],[Extra-Order Bonus]])</f>
        <v/>
      </c>
      <c r="AB229" s="164" t="str">
        <f aca="false">IF(Salary_Calculation[[#This Row],[Source Row]]="","",ROUND(Salary_Calculation[[#This Row],[Negative Balance / Amount Due from Rider]]+MAX(Salary_Calculation[[#This Row],[Total Deductions]]-Salary_Calculation[[#This Row],[Gross Salary Before Deductions]],0),2))</f>
        <v/>
      </c>
      <c r="AC22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29" s="164" t="str">
        <f aca="false">IF(Salary_Calculation[[#This Row],[Source Row]]="","",Salary_Calculation[[#This Row],[Rider Target Orders]]*Salary_Calculation[[#This Row],[Base Order Rate]])</f>
        <v/>
      </c>
      <c r="AE229" s="162" t="str">
        <f aca="false">IF(SUMPRODUCT(--(LEN(INDEX(Rider_Input[#Data],ROW()-ROW(Salary_Calculation[#Headers]),0))&gt;0))=0,"",ROW()-ROW(Salary_Calculation[#Headers]))</f>
        <v/>
      </c>
    </row>
    <row r="230" customFormat="false" ht="14.25" hidden="false" customHeight="false" outlineLevel="0" collapsed="false">
      <c r="A230" s="161" t="str">
        <f aca="false">IF(Salary_Calculation[[#This Row],[Source Row]]="","",IF(INDEX(Rider_Input[Salary Month],Salary_Calculation[[#This Row],[Source Row]])="","",INDEX(Rider_Input[Salary Month],Salary_Calculation[[#This Row],[Source Row]])))</f>
        <v/>
      </c>
      <c r="B230" s="162" t="str">
        <f aca="false">IF(Salary_Calculation[[#This Row],[Source Row]]="","",IF(INDEX(Rider_Input[Rider ID],Salary_Calculation[[#This Row],[Source Row]])="","",INDEX(Rider_Input[Rider ID],Salary_Calculation[[#This Row],[Source Row]])))</f>
        <v/>
      </c>
      <c r="C230" s="163" t="str">
        <f aca="false">IF(Salary_Calculation[[#This Row],[Source Row]]="","",IF(INDEX(Rider_Input[Rider Name],Salary_Calculation[[#This Row],[Source Row]])="","",INDEX(Rider_Input[Rider Name],Salary_Calculation[[#This Row],[Source Row]])))</f>
        <v/>
      </c>
      <c r="D230" s="164" t="str">
        <f aca="false">IF(Salary_Calculation[[#This Row],[Source Row]]="","",IF(INDEX(Rider_Input[Basic Payment],Salary_Calculation[[#This Row],[Source Row]])="","",INDEX(Rider_Input[Basic Payment],Salary_Calculation[[#This Row],[Source Row]])))</f>
        <v/>
      </c>
      <c r="E230" s="162" t="str">
        <f aca="false">IF(Salary_Calculation[[#This Row],[Source Row]]="","",IF(INDEX(Rider_Input[Calendar Days in Month],Salary_Calculation[[#This Row],[Source Row]])="","",INDEX(Rider_Input[Calendar Days in Month],Salary_Calculation[[#This Row],[Source Row]])))</f>
        <v/>
      </c>
      <c r="F230" s="162" t="str">
        <f aca="false">IF(Salary_Calculation[[#This Row],[Source Row]]="","",IF(INDEX(Rider_Input[Working Days],Salary_Calculation[[#This Row],[Source Row]])="","",INDEX(Rider_Input[Working Days],Salary_Calculation[[#This Row],[Source Row]])))</f>
        <v/>
      </c>
      <c r="G230" s="165" t="str">
        <f aca="false">IF(Salary_Calculation[[#This Row],[Source Row]]="","",Std_Orders/Std_Days*N(Salary_Calculation[[#This Row],[Calendar Days]]))</f>
        <v/>
      </c>
      <c r="H230" s="165" t="str">
        <f aca="false">IF(Salary_Calculation[[#This Row],[Source Row]]="","",IF(N(Salary_Calculation[[#This Row],[Calendar Days]])&gt;0,Salary_Calculation[[#This Row],[Monthly Target Orders]]/N(Salary_Calculation[[#This Row],[Calendar Days]])*N(Salary_Calculation[[#This Row],[Working Days]]),0))</f>
        <v/>
      </c>
      <c r="I230" s="166" t="str">
        <f aca="false">IF(Salary_Calculation[[#This Row],[Source Row]]="","",IF(INDEX(Rider_Input[Completed Orders],Salary_Calculation[[#This Row],[Source Row]])="","",INDEX(Rider_Input[Completed Orders],Salary_Calculation[[#This Row],[Source Row]])))</f>
        <v/>
      </c>
      <c r="J230" s="165" t="str">
        <f aca="false">IF(Salary_Calculation[[#This Row],[Source Row]]="","",IF(Rate_Method="Fixed rate",Fixed_Rate,IF(N(Salary_Calculation[[#This Row],[Basic Payment]])&gt;0,N(Salary_Calculation[[#This Row],[Basic Payment]])/Std_Orders,0)))</f>
        <v/>
      </c>
      <c r="K230" s="165" t="str">
        <f aca="false">IF(Salary_Calculation[[#This Row],[Source Row]]="","",MAX(MIN(N(Salary_Calculation[[#This Row],[Completed Orders]]),Salary_Calculation[[#This Row],[Rider Target Orders]]),0))</f>
        <v/>
      </c>
      <c r="L230" s="164" t="str">
        <f aca="false">IF(Salary_Calculation[[#This Row],[Source Row]]="","",Salary_Calculation[[#This Row],[Orders Counted at Base Rate]]*Salary_Calculation[[#This Row],[Base Order Rate]])</f>
        <v/>
      </c>
      <c r="M230" s="165" t="str">
        <f aca="false">IF(Salary_Calculation[[#This Row],[Source Row]]="","",MAX(Salary_Calculation[[#This Row],[Rider Target Orders]]-N(Salary_Calculation[[#This Row],[Completed Orders]]),0))</f>
        <v/>
      </c>
      <c r="N230" s="164" t="str">
        <f aca="false">IF(Salary_Calculation[[#This Row],[Source Row]]="","",Salary_Calculation[[#This Row],[Missing Orders]]*Missing_Rate)</f>
        <v/>
      </c>
      <c r="O230" s="165" t="str">
        <f aca="false">IF(Salary_Calculation[[#This Row],[Source Row]]="","",MAX(N(Salary_Calculation[[#This Row],[Completed Orders]])-Salary_Calculation[[#This Row],[Rider Target Orders]],0))</f>
        <v/>
      </c>
      <c r="P230" s="164" t="str">
        <f aca="false">IF(Salary_Calculation[[#This Row],[Source Row]]="","",Salary_Calculation[[#This Row],[Extra Orders]]*Extra_Rate)</f>
        <v/>
      </c>
      <c r="Q230" s="164" t="str">
        <f aca="false">IF(Salary_Calculation[[#This Row],[Source Row]]="","",MAX(Salary_Calculation[[#This Row],[Salary Before Other Deductions]],0))</f>
        <v/>
      </c>
      <c r="R230" s="164" t="str">
        <f aca="false">IF(Salary_Calculation[[#This Row],[Source Row]]="","",N(INDEX(Rider_Input[missed_days_penalty],Salary_Calculation[[#This Row],[Source Row]])))</f>
        <v/>
      </c>
      <c r="S230" s="164" t="str">
        <f aca="false">IF(Salary_Calculation[[#This Row],[Source Row]]="","",N(INDEX(Rider_Input[Rider Balance / محفظة المندوب],Salary_Calculation[[#This Row],[Source Row]])))</f>
        <v/>
      </c>
      <c r="T230" s="164" t="str">
        <f aca="false">IF(Salary_Calculation[[#This Row],[Source Row]]="","",N(INDEX(Rider_Input[stacking_deduction / خصم الطلبات المتعددة],Salary_Calculation[[#This Row],[Source Row]])))</f>
        <v/>
      </c>
      <c r="U230" s="164" t="str">
        <f aca="false">IF(Salary_Calculation[[#This Row],[Source Row]]="","",N(INDEX(Rider_Input[Other Deductions],Salary_Calculation[[#This Row],[Source Row]])))</f>
        <v/>
      </c>
      <c r="V230" s="164" t="str">
        <f aca="false">IF(Salary_Calculation[[#This Row],[Source Row]]="","",N(Salary_Calculation[[#This Row],[missed_days_penalty]])+N(Salary_Calculation[[#This Row],[Rider Balance]])+N(Salary_Calculation[[#This Row],[stacking_deduction]])+N(Salary_Calculation[[#This Row],[Other Deductions]]))</f>
        <v/>
      </c>
      <c r="W230" s="167" t="str">
        <f aca="false">IF(Salary_Calculation[[#This Row],[Source Row]]="","",ROUND(MAX(Salary_Calculation[[#This Row],[Gross Salary Before Deductions]]-Salary_Calculation[[#This Row],[Total Deductions]],0),2))</f>
        <v/>
      </c>
      <c r="X230" s="164" t="str">
        <f aca="false">IF(Salary_Calculation[[#This Row],[Source Row]]="","",ROUND(MAX(Salary_Calculation[[#This Row],[Missing-Order Deduction]]-Salary_Calculation[[#This Row],[Earned Salary]],0),2))</f>
        <v/>
      </c>
      <c r="Y23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30" s="163" t="str">
        <f aca="false">IF(Salary_Calculation[[#This Row],[Source Row]]="","",IF(INDEX(Rider_Input[Notes],Salary_Calculation[[#This Row],[Source Row]])="","",INDEX(Rider_Input[Notes],Salary_Calculation[[#This Row],[Source Row]])))</f>
        <v/>
      </c>
      <c r="AA230" s="164" t="str">
        <f aca="false">IF(Salary_Calculation[[#This Row],[Source Row]]="","",Salary_Calculation[[#This Row],[Earned Salary]]-Salary_Calculation[[#This Row],[Missing-Order Deduction]]+Salary_Calculation[[#This Row],[Extra-Order Bonus]])</f>
        <v/>
      </c>
      <c r="AB230" s="164" t="str">
        <f aca="false">IF(Salary_Calculation[[#This Row],[Source Row]]="","",ROUND(Salary_Calculation[[#This Row],[Negative Balance / Amount Due from Rider]]+MAX(Salary_Calculation[[#This Row],[Total Deductions]]-Salary_Calculation[[#This Row],[Gross Salary Before Deductions]],0),2))</f>
        <v/>
      </c>
      <c r="AC23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30" s="164" t="str">
        <f aca="false">IF(Salary_Calculation[[#This Row],[Source Row]]="","",Salary_Calculation[[#This Row],[Rider Target Orders]]*Salary_Calculation[[#This Row],[Base Order Rate]])</f>
        <v/>
      </c>
      <c r="AE230" s="162" t="str">
        <f aca="false">IF(SUMPRODUCT(--(LEN(INDEX(Rider_Input[#Data],ROW()-ROW(Salary_Calculation[#Headers]),0))&gt;0))=0,"",ROW()-ROW(Salary_Calculation[#Headers]))</f>
        <v/>
      </c>
    </row>
    <row r="231" customFormat="false" ht="14.25" hidden="false" customHeight="false" outlineLevel="0" collapsed="false">
      <c r="A231" s="161" t="str">
        <f aca="false">IF(Salary_Calculation[[#This Row],[Source Row]]="","",IF(INDEX(Rider_Input[Salary Month],Salary_Calculation[[#This Row],[Source Row]])="","",INDEX(Rider_Input[Salary Month],Salary_Calculation[[#This Row],[Source Row]])))</f>
        <v/>
      </c>
      <c r="B231" s="162" t="str">
        <f aca="false">IF(Salary_Calculation[[#This Row],[Source Row]]="","",IF(INDEX(Rider_Input[Rider ID],Salary_Calculation[[#This Row],[Source Row]])="","",INDEX(Rider_Input[Rider ID],Salary_Calculation[[#This Row],[Source Row]])))</f>
        <v/>
      </c>
      <c r="C231" s="163" t="str">
        <f aca="false">IF(Salary_Calculation[[#This Row],[Source Row]]="","",IF(INDEX(Rider_Input[Rider Name],Salary_Calculation[[#This Row],[Source Row]])="","",INDEX(Rider_Input[Rider Name],Salary_Calculation[[#This Row],[Source Row]])))</f>
        <v/>
      </c>
      <c r="D231" s="164" t="str">
        <f aca="false">IF(Salary_Calculation[[#This Row],[Source Row]]="","",IF(INDEX(Rider_Input[Basic Payment],Salary_Calculation[[#This Row],[Source Row]])="","",INDEX(Rider_Input[Basic Payment],Salary_Calculation[[#This Row],[Source Row]])))</f>
        <v/>
      </c>
      <c r="E231" s="162" t="str">
        <f aca="false">IF(Salary_Calculation[[#This Row],[Source Row]]="","",IF(INDEX(Rider_Input[Calendar Days in Month],Salary_Calculation[[#This Row],[Source Row]])="","",INDEX(Rider_Input[Calendar Days in Month],Salary_Calculation[[#This Row],[Source Row]])))</f>
        <v/>
      </c>
      <c r="F231" s="162" t="str">
        <f aca="false">IF(Salary_Calculation[[#This Row],[Source Row]]="","",IF(INDEX(Rider_Input[Working Days],Salary_Calculation[[#This Row],[Source Row]])="","",INDEX(Rider_Input[Working Days],Salary_Calculation[[#This Row],[Source Row]])))</f>
        <v/>
      </c>
      <c r="G231" s="165" t="str">
        <f aca="false">IF(Salary_Calculation[[#This Row],[Source Row]]="","",Std_Orders/Std_Days*N(Salary_Calculation[[#This Row],[Calendar Days]]))</f>
        <v/>
      </c>
      <c r="H231" s="165" t="str">
        <f aca="false">IF(Salary_Calculation[[#This Row],[Source Row]]="","",IF(N(Salary_Calculation[[#This Row],[Calendar Days]])&gt;0,Salary_Calculation[[#This Row],[Monthly Target Orders]]/N(Salary_Calculation[[#This Row],[Calendar Days]])*N(Salary_Calculation[[#This Row],[Working Days]]),0))</f>
        <v/>
      </c>
      <c r="I231" s="166" t="str">
        <f aca="false">IF(Salary_Calculation[[#This Row],[Source Row]]="","",IF(INDEX(Rider_Input[Completed Orders],Salary_Calculation[[#This Row],[Source Row]])="","",INDEX(Rider_Input[Completed Orders],Salary_Calculation[[#This Row],[Source Row]])))</f>
        <v/>
      </c>
      <c r="J231" s="165" t="str">
        <f aca="false">IF(Salary_Calculation[[#This Row],[Source Row]]="","",IF(Rate_Method="Fixed rate",Fixed_Rate,IF(N(Salary_Calculation[[#This Row],[Basic Payment]])&gt;0,N(Salary_Calculation[[#This Row],[Basic Payment]])/Std_Orders,0)))</f>
        <v/>
      </c>
      <c r="K231" s="165" t="str">
        <f aca="false">IF(Salary_Calculation[[#This Row],[Source Row]]="","",MAX(MIN(N(Salary_Calculation[[#This Row],[Completed Orders]]),Salary_Calculation[[#This Row],[Rider Target Orders]]),0))</f>
        <v/>
      </c>
      <c r="L231" s="164" t="str">
        <f aca="false">IF(Salary_Calculation[[#This Row],[Source Row]]="","",Salary_Calculation[[#This Row],[Orders Counted at Base Rate]]*Salary_Calculation[[#This Row],[Base Order Rate]])</f>
        <v/>
      </c>
      <c r="M231" s="165" t="str">
        <f aca="false">IF(Salary_Calculation[[#This Row],[Source Row]]="","",MAX(Salary_Calculation[[#This Row],[Rider Target Orders]]-N(Salary_Calculation[[#This Row],[Completed Orders]]),0))</f>
        <v/>
      </c>
      <c r="N231" s="164" t="str">
        <f aca="false">IF(Salary_Calculation[[#This Row],[Source Row]]="","",Salary_Calculation[[#This Row],[Missing Orders]]*Missing_Rate)</f>
        <v/>
      </c>
      <c r="O231" s="165" t="str">
        <f aca="false">IF(Salary_Calculation[[#This Row],[Source Row]]="","",MAX(N(Salary_Calculation[[#This Row],[Completed Orders]])-Salary_Calculation[[#This Row],[Rider Target Orders]],0))</f>
        <v/>
      </c>
      <c r="P231" s="164" t="str">
        <f aca="false">IF(Salary_Calculation[[#This Row],[Source Row]]="","",Salary_Calculation[[#This Row],[Extra Orders]]*Extra_Rate)</f>
        <v/>
      </c>
      <c r="Q231" s="164" t="str">
        <f aca="false">IF(Salary_Calculation[[#This Row],[Source Row]]="","",MAX(Salary_Calculation[[#This Row],[Salary Before Other Deductions]],0))</f>
        <v/>
      </c>
      <c r="R231" s="164" t="str">
        <f aca="false">IF(Salary_Calculation[[#This Row],[Source Row]]="","",N(INDEX(Rider_Input[missed_days_penalty],Salary_Calculation[[#This Row],[Source Row]])))</f>
        <v/>
      </c>
      <c r="S231" s="164" t="str">
        <f aca="false">IF(Salary_Calculation[[#This Row],[Source Row]]="","",N(INDEX(Rider_Input[Rider Balance / محفظة المندوب],Salary_Calculation[[#This Row],[Source Row]])))</f>
        <v/>
      </c>
      <c r="T231" s="164" t="str">
        <f aca="false">IF(Salary_Calculation[[#This Row],[Source Row]]="","",N(INDEX(Rider_Input[stacking_deduction / خصم الطلبات المتعددة],Salary_Calculation[[#This Row],[Source Row]])))</f>
        <v/>
      </c>
      <c r="U231" s="164" t="str">
        <f aca="false">IF(Salary_Calculation[[#This Row],[Source Row]]="","",N(INDEX(Rider_Input[Other Deductions],Salary_Calculation[[#This Row],[Source Row]])))</f>
        <v/>
      </c>
      <c r="V231" s="164" t="str">
        <f aca="false">IF(Salary_Calculation[[#This Row],[Source Row]]="","",N(Salary_Calculation[[#This Row],[missed_days_penalty]])+N(Salary_Calculation[[#This Row],[Rider Balance]])+N(Salary_Calculation[[#This Row],[stacking_deduction]])+N(Salary_Calculation[[#This Row],[Other Deductions]]))</f>
        <v/>
      </c>
      <c r="W231" s="167" t="str">
        <f aca="false">IF(Salary_Calculation[[#This Row],[Source Row]]="","",ROUND(MAX(Salary_Calculation[[#This Row],[Gross Salary Before Deductions]]-Salary_Calculation[[#This Row],[Total Deductions]],0),2))</f>
        <v/>
      </c>
      <c r="X231" s="164" t="str">
        <f aca="false">IF(Salary_Calculation[[#This Row],[Source Row]]="","",ROUND(MAX(Salary_Calculation[[#This Row],[Missing-Order Deduction]]-Salary_Calculation[[#This Row],[Earned Salary]],0),2))</f>
        <v/>
      </c>
      <c r="Y23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31" s="163" t="str">
        <f aca="false">IF(Salary_Calculation[[#This Row],[Source Row]]="","",IF(INDEX(Rider_Input[Notes],Salary_Calculation[[#This Row],[Source Row]])="","",INDEX(Rider_Input[Notes],Salary_Calculation[[#This Row],[Source Row]])))</f>
        <v/>
      </c>
      <c r="AA231" s="164" t="str">
        <f aca="false">IF(Salary_Calculation[[#This Row],[Source Row]]="","",Salary_Calculation[[#This Row],[Earned Salary]]-Salary_Calculation[[#This Row],[Missing-Order Deduction]]+Salary_Calculation[[#This Row],[Extra-Order Bonus]])</f>
        <v/>
      </c>
      <c r="AB231" s="164" t="str">
        <f aca="false">IF(Salary_Calculation[[#This Row],[Source Row]]="","",ROUND(Salary_Calculation[[#This Row],[Negative Balance / Amount Due from Rider]]+MAX(Salary_Calculation[[#This Row],[Total Deductions]]-Salary_Calculation[[#This Row],[Gross Salary Before Deductions]],0),2))</f>
        <v/>
      </c>
      <c r="AC23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31" s="164" t="str">
        <f aca="false">IF(Salary_Calculation[[#This Row],[Source Row]]="","",Salary_Calculation[[#This Row],[Rider Target Orders]]*Salary_Calculation[[#This Row],[Base Order Rate]])</f>
        <v/>
      </c>
      <c r="AE231" s="162" t="str">
        <f aca="false">IF(SUMPRODUCT(--(LEN(INDEX(Rider_Input[#Data],ROW()-ROW(Salary_Calculation[#Headers]),0))&gt;0))=0,"",ROW()-ROW(Salary_Calculation[#Headers]))</f>
        <v/>
      </c>
    </row>
    <row r="232" customFormat="false" ht="14.25" hidden="false" customHeight="false" outlineLevel="0" collapsed="false">
      <c r="A232" s="161" t="str">
        <f aca="false">IF(Salary_Calculation[[#This Row],[Source Row]]="","",IF(INDEX(Rider_Input[Salary Month],Salary_Calculation[[#This Row],[Source Row]])="","",INDEX(Rider_Input[Salary Month],Salary_Calculation[[#This Row],[Source Row]])))</f>
        <v/>
      </c>
      <c r="B232" s="162" t="str">
        <f aca="false">IF(Salary_Calculation[[#This Row],[Source Row]]="","",IF(INDEX(Rider_Input[Rider ID],Salary_Calculation[[#This Row],[Source Row]])="","",INDEX(Rider_Input[Rider ID],Salary_Calculation[[#This Row],[Source Row]])))</f>
        <v/>
      </c>
      <c r="C232" s="163" t="str">
        <f aca="false">IF(Salary_Calculation[[#This Row],[Source Row]]="","",IF(INDEX(Rider_Input[Rider Name],Salary_Calculation[[#This Row],[Source Row]])="","",INDEX(Rider_Input[Rider Name],Salary_Calculation[[#This Row],[Source Row]])))</f>
        <v/>
      </c>
      <c r="D232" s="164" t="str">
        <f aca="false">IF(Salary_Calculation[[#This Row],[Source Row]]="","",IF(INDEX(Rider_Input[Basic Payment],Salary_Calculation[[#This Row],[Source Row]])="","",INDEX(Rider_Input[Basic Payment],Salary_Calculation[[#This Row],[Source Row]])))</f>
        <v/>
      </c>
      <c r="E232" s="162" t="str">
        <f aca="false">IF(Salary_Calculation[[#This Row],[Source Row]]="","",IF(INDEX(Rider_Input[Calendar Days in Month],Salary_Calculation[[#This Row],[Source Row]])="","",INDEX(Rider_Input[Calendar Days in Month],Salary_Calculation[[#This Row],[Source Row]])))</f>
        <v/>
      </c>
      <c r="F232" s="162" t="str">
        <f aca="false">IF(Salary_Calculation[[#This Row],[Source Row]]="","",IF(INDEX(Rider_Input[Working Days],Salary_Calculation[[#This Row],[Source Row]])="","",INDEX(Rider_Input[Working Days],Salary_Calculation[[#This Row],[Source Row]])))</f>
        <v/>
      </c>
      <c r="G232" s="165" t="str">
        <f aca="false">IF(Salary_Calculation[[#This Row],[Source Row]]="","",Std_Orders/Std_Days*N(Salary_Calculation[[#This Row],[Calendar Days]]))</f>
        <v/>
      </c>
      <c r="H232" s="165" t="str">
        <f aca="false">IF(Salary_Calculation[[#This Row],[Source Row]]="","",IF(N(Salary_Calculation[[#This Row],[Calendar Days]])&gt;0,Salary_Calculation[[#This Row],[Monthly Target Orders]]/N(Salary_Calculation[[#This Row],[Calendar Days]])*N(Salary_Calculation[[#This Row],[Working Days]]),0))</f>
        <v/>
      </c>
      <c r="I232" s="166" t="str">
        <f aca="false">IF(Salary_Calculation[[#This Row],[Source Row]]="","",IF(INDEX(Rider_Input[Completed Orders],Salary_Calculation[[#This Row],[Source Row]])="","",INDEX(Rider_Input[Completed Orders],Salary_Calculation[[#This Row],[Source Row]])))</f>
        <v/>
      </c>
      <c r="J232" s="165" t="str">
        <f aca="false">IF(Salary_Calculation[[#This Row],[Source Row]]="","",IF(Rate_Method="Fixed rate",Fixed_Rate,IF(N(Salary_Calculation[[#This Row],[Basic Payment]])&gt;0,N(Salary_Calculation[[#This Row],[Basic Payment]])/Std_Orders,0)))</f>
        <v/>
      </c>
      <c r="K232" s="165" t="str">
        <f aca="false">IF(Salary_Calculation[[#This Row],[Source Row]]="","",MAX(MIN(N(Salary_Calculation[[#This Row],[Completed Orders]]),Salary_Calculation[[#This Row],[Rider Target Orders]]),0))</f>
        <v/>
      </c>
      <c r="L232" s="164" t="str">
        <f aca="false">IF(Salary_Calculation[[#This Row],[Source Row]]="","",Salary_Calculation[[#This Row],[Orders Counted at Base Rate]]*Salary_Calculation[[#This Row],[Base Order Rate]])</f>
        <v/>
      </c>
      <c r="M232" s="165" t="str">
        <f aca="false">IF(Salary_Calculation[[#This Row],[Source Row]]="","",MAX(Salary_Calculation[[#This Row],[Rider Target Orders]]-N(Salary_Calculation[[#This Row],[Completed Orders]]),0))</f>
        <v/>
      </c>
      <c r="N232" s="164" t="str">
        <f aca="false">IF(Salary_Calculation[[#This Row],[Source Row]]="","",Salary_Calculation[[#This Row],[Missing Orders]]*Missing_Rate)</f>
        <v/>
      </c>
      <c r="O232" s="165" t="str">
        <f aca="false">IF(Salary_Calculation[[#This Row],[Source Row]]="","",MAX(N(Salary_Calculation[[#This Row],[Completed Orders]])-Salary_Calculation[[#This Row],[Rider Target Orders]],0))</f>
        <v/>
      </c>
      <c r="P232" s="164" t="str">
        <f aca="false">IF(Salary_Calculation[[#This Row],[Source Row]]="","",Salary_Calculation[[#This Row],[Extra Orders]]*Extra_Rate)</f>
        <v/>
      </c>
      <c r="Q232" s="164" t="str">
        <f aca="false">IF(Salary_Calculation[[#This Row],[Source Row]]="","",MAX(Salary_Calculation[[#This Row],[Salary Before Other Deductions]],0))</f>
        <v/>
      </c>
      <c r="R232" s="164" t="str">
        <f aca="false">IF(Salary_Calculation[[#This Row],[Source Row]]="","",N(INDEX(Rider_Input[missed_days_penalty],Salary_Calculation[[#This Row],[Source Row]])))</f>
        <v/>
      </c>
      <c r="S232" s="164" t="str">
        <f aca="false">IF(Salary_Calculation[[#This Row],[Source Row]]="","",N(INDEX(Rider_Input[Rider Balance / محفظة المندوب],Salary_Calculation[[#This Row],[Source Row]])))</f>
        <v/>
      </c>
      <c r="T232" s="164" t="str">
        <f aca="false">IF(Salary_Calculation[[#This Row],[Source Row]]="","",N(INDEX(Rider_Input[stacking_deduction / خصم الطلبات المتعددة],Salary_Calculation[[#This Row],[Source Row]])))</f>
        <v/>
      </c>
      <c r="U232" s="164" t="str">
        <f aca="false">IF(Salary_Calculation[[#This Row],[Source Row]]="","",N(INDEX(Rider_Input[Other Deductions],Salary_Calculation[[#This Row],[Source Row]])))</f>
        <v/>
      </c>
      <c r="V232" s="164" t="str">
        <f aca="false">IF(Salary_Calculation[[#This Row],[Source Row]]="","",N(Salary_Calculation[[#This Row],[missed_days_penalty]])+N(Salary_Calculation[[#This Row],[Rider Balance]])+N(Salary_Calculation[[#This Row],[stacking_deduction]])+N(Salary_Calculation[[#This Row],[Other Deductions]]))</f>
        <v/>
      </c>
      <c r="W232" s="167" t="str">
        <f aca="false">IF(Salary_Calculation[[#This Row],[Source Row]]="","",ROUND(MAX(Salary_Calculation[[#This Row],[Gross Salary Before Deductions]]-Salary_Calculation[[#This Row],[Total Deductions]],0),2))</f>
        <v/>
      </c>
      <c r="X232" s="164" t="str">
        <f aca="false">IF(Salary_Calculation[[#This Row],[Source Row]]="","",ROUND(MAX(Salary_Calculation[[#This Row],[Missing-Order Deduction]]-Salary_Calculation[[#This Row],[Earned Salary]],0),2))</f>
        <v/>
      </c>
      <c r="Y23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32" s="163" t="str">
        <f aca="false">IF(Salary_Calculation[[#This Row],[Source Row]]="","",IF(INDEX(Rider_Input[Notes],Salary_Calculation[[#This Row],[Source Row]])="","",INDEX(Rider_Input[Notes],Salary_Calculation[[#This Row],[Source Row]])))</f>
        <v/>
      </c>
      <c r="AA232" s="164" t="str">
        <f aca="false">IF(Salary_Calculation[[#This Row],[Source Row]]="","",Salary_Calculation[[#This Row],[Earned Salary]]-Salary_Calculation[[#This Row],[Missing-Order Deduction]]+Salary_Calculation[[#This Row],[Extra-Order Bonus]])</f>
        <v/>
      </c>
      <c r="AB232" s="164" t="str">
        <f aca="false">IF(Salary_Calculation[[#This Row],[Source Row]]="","",ROUND(Salary_Calculation[[#This Row],[Negative Balance / Amount Due from Rider]]+MAX(Salary_Calculation[[#This Row],[Total Deductions]]-Salary_Calculation[[#This Row],[Gross Salary Before Deductions]],0),2))</f>
        <v/>
      </c>
      <c r="AC23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32" s="164" t="str">
        <f aca="false">IF(Salary_Calculation[[#This Row],[Source Row]]="","",Salary_Calculation[[#This Row],[Rider Target Orders]]*Salary_Calculation[[#This Row],[Base Order Rate]])</f>
        <v/>
      </c>
      <c r="AE232" s="162" t="str">
        <f aca="false">IF(SUMPRODUCT(--(LEN(INDEX(Rider_Input[#Data],ROW()-ROW(Salary_Calculation[#Headers]),0))&gt;0))=0,"",ROW()-ROW(Salary_Calculation[#Headers]))</f>
        <v/>
      </c>
    </row>
    <row r="233" customFormat="false" ht="14.25" hidden="false" customHeight="false" outlineLevel="0" collapsed="false">
      <c r="A233" s="161" t="str">
        <f aca="false">IF(Salary_Calculation[[#This Row],[Source Row]]="","",IF(INDEX(Rider_Input[Salary Month],Salary_Calculation[[#This Row],[Source Row]])="","",INDEX(Rider_Input[Salary Month],Salary_Calculation[[#This Row],[Source Row]])))</f>
        <v/>
      </c>
      <c r="B233" s="162" t="str">
        <f aca="false">IF(Salary_Calculation[[#This Row],[Source Row]]="","",IF(INDEX(Rider_Input[Rider ID],Salary_Calculation[[#This Row],[Source Row]])="","",INDEX(Rider_Input[Rider ID],Salary_Calculation[[#This Row],[Source Row]])))</f>
        <v/>
      </c>
      <c r="C233" s="163" t="str">
        <f aca="false">IF(Salary_Calculation[[#This Row],[Source Row]]="","",IF(INDEX(Rider_Input[Rider Name],Salary_Calculation[[#This Row],[Source Row]])="","",INDEX(Rider_Input[Rider Name],Salary_Calculation[[#This Row],[Source Row]])))</f>
        <v/>
      </c>
      <c r="D233" s="164" t="str">
        <f aca="false">IF(Salary_Calculation[[#This Row],[Source Row]]="","",IF(INDEX(Rider_Input[Basic Payment],Salary_Calculation[[#This Row],[Source Row]])="","",INDEX(Rider_Input[Basic Payment],Salary_Calculation[[#This Row],[Source Row]])))</f>
        <v/>
      </c>
      <c r="E233" s="162" t="str">
        <f aca="false">IF(Salary_Calculation[[#This Row],[Source Row]]="","",IF(INDEX(Rider_Input[Calendar Days in Month],Salary_Calculation[[#This Row],[Source Row]])="","",INDEX(Rider_Input[Calendar Days in Month],Salary_Calculation[[#This Row],[Source Row]])))</f>
        <v/>
      </c>
      <c r="F233" s="162" t="str">
        <f aca="false">IF(Salary_Calculation[[#This Row],[Source Row]]="","",IF(INDEX(Rider_Input[Working Days],Salary_Calculation[[#This Row],[Source Row]])="","",INDEX(Rider_Input[Working Days],Salary_Calculation[[#This Row],[Source Row]])))</f>
        <v/>
      </c>
      <c r="G233" s="165" t="str">
        <f aca="false">IF(Salary_Calculation[[#This Row],[Source Row]]="","",Std_Orders/Std_Days*N(Salary_Calculation[[#This Row],[Calendar Days]]))</f>
        <v/>
      </c>
      <c r="H233" s="165" t="str">
        <f aca="false">IF(Salary_Calculation[[#This Row],[Source Row]]="","",IF(N(Salary_Calculation[[#This Row],[Calendar Days]])&gt;0,Salary_Calculation[[#This Row],[Monthly Target Orders]]/N(Salary_Calculation[[#This Row],[Calendar Days]])*N(Salary_Calculation[[#This Row],[Working Days]]),0))</f>
        <v/>
      </c>
      <c r="I233" s="166" t="str">
        <f aca="false">IF(Salary_Calculation[[#This Row],[Source Row]]="","",IF(INDEX(Rider_Input[Completed Orders],Salary_Calculation[[#This Row],[Source Row]])="","",INDEX(Rider_Input[Completed Orders],Salary_Calculation[[#This Row],[Source Row]])))</f>
        <v/>
      </c>
      <c r="J233" s="165" t="str">
        <f aca="false">IF(Salary_Calculation[[#This Row],[Source Row]]="","",IF(Rate_Method="Fixed rate",Fixed_Rate,IF(N(Salary_Calculation[[#This Row],[Basic Payment]])&gt;0,N(Salary_Calculation[[#This Row],[Basic Payment]])/Std_Orders,0)))</f>
        <v/>
      </c>
      <c r="K233" s="165" t="str">
        <f aca="false">IF(Salary_Calculation[[#This Row],[Source Row]]="","",MAX(MIN(N(Salary_Calculation[[#This Row],[Completed Orders]]),Salary_Calculation[[#This Row],[Rider Target Orders]]),0))</f>
        <v/>
      </c>
      <c r="L233" s="164" t="str">
        <f aca="false">IF(Salary_Calculation[[#This Row],[Source Row]]="","",Salary_Calculation[[#This Row],[Orders Counted at Base Rate]]*Salary_Calculation[[#This Row],[Base Order Rate]])</f>
        <v/>
      </c>
      <c r="M233" s="165" t="str">
        <f aca="false">IF(Salary_Calculation[[#This Row],[Source Row]]="","",MAX(Salary_Calculation[[#This Row],[Rider Target Orders]]-N(Salary_Calculation[[#This Row],[Completed Orders]]),0))</f>
        <v/>
      </c>
      <c r="N233" s="164" t="str">
        <f aca="false">IF(Salary_Calculation[[#This Row],[Source Row]]="","",Salary_Calculation[[#This Row],[Missing Orders]]*Missing_Rate)</f>
        <v/>
      </c>
      <c r="O233" s="165" t="str">
        <f aca="false">IF(Salary_Calculation[[#This Row],[Source Row]]="","",MAX(N(Salary_Calculation[[#This Row],[Completed Orders]])-Salary_Calculation[[#This Row],[Rider Target Orders]],0))</f>
        <v/>
      </c>
      <c r="P233" s="164" t="str">
        <f aca="false">IF(Salary_Calculation[[#This Row],[Source Row]]="","",Salary_Calculation[[#This Row],[Extra Orders]]*Extra_Rate)</f>
        <v/>
      </c>
      <c r="Q233" s="164" t="str">
        <f aca="false">IF(Salary_Calculation[[#This Row],[Source Row]]="","",MAX(Salary_Calculation[[#This Row],[Salary Before Other Deductions]],0))</f>
        <v/>
      </c>
      <c r="R233" s="164" t="str">
        <f aca="false">IF(Salary_Calculation[[#This Row],[Source Row]]="","",N(INDEX(Rider_Input[missed_days_penalty],Salary_Calculation[[#This Row],[Source Row]])))</f>
        <v/>
      </c>
      <c r="S233" s="164" t="str">
        <f aca="false">IF(Salary_Calculation[[#This Row],[Source Row]]="","",N(INDEX(Rider_Input[Rider Balance / محفظة المندوب],Salary_Calculation[[#This Row],[Source Row]])))</f>
        <v/>
      </c>
      <c r="T233" s="164" t="str">
        <f aca="false">IF(Salary_Calculation[[#This Row],[Source Row]]="","",N(INDEX(Rider_Input[stacking_deduction / خصم الطلبات المتعددة],Salary_Calculation[[#This Row],[Source Row]])))</f>
        <v/>
      </c>
      <c r="U233" s="164" t="str">
        <f aca="false">IF(Salary_Calculation[[#This Row],[Source Row]]="","",N(INDEX(Rider_Input[Other Deductions],Salary_Calculation[[#This Row],[Source Row]])))</f>
        <v/>
      </c>
      <c r="V233" s="164" t="str">
        <f aca="false">IF(Salary_Calculation[[#This Row],[Source Row]]="","",N(Salary_Calculation[[#This Row],[missed_days_penalty]])+N(Salary_Calculation[[#This Row],[Rider Balance]])+N(Salary_Calculation[[#This Row],[stacking_deduction]])+N(Salary_Calculation[[#This Row],[Other Deductions]]))</f>
        <v/>
      </c>
      <c r="W233" s="167" t="str">
        <f aca="false">IF(Salary_Calculation[[#This Row],[Source Row]]="","",ROUND(MAX(Salary_Calculation[[#This Row],[Gross Salary Before Deductions]]-Salary_Calculation[[#This Row],[Total Deductions]],0),2))</f>
        <v/>
      </c>
      <c r="X233" s="164" t="str">
        <f aca="false">IF(Salary_Calculation[[#This Row],[Source Row]]="","",ROUND(MAX(Salary_Calculation[[#This Row],[Missing-Order Deduction]]-Salary_Calculation[[#This Row],[Earned Salary]],0),2))</f>
        <v/>
      </c>
      <c r="Y23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33" s="163" t="str">
        <f aca="false">IF(Salary_Calculation[[#This Row],[Source Row]]="","",IF(INDEX(Rider_Input[Notes],Salary_Calculation[[#This Row],[Source Row]])="","",INDEX(Rider_Input[Notes],Salary_Calculation[[#This Row],[Source Row]])))</f>
        <v/>
      </c>
      <c r="AA233" s="164" t="str">
        <f aca="false">IF(Salary_Calculation[[#This Row],[Source Row]]="","",Salary_Calculation[[#This Row],[Earned Salary]]-Salary_Calculation[[#This Row],[Missing-Order Deduction]]+Salary_Calculation[[#This Row],[Extra-Order Bonus]])</f>
        <v/>
      </c>
      <c r="AB233" s="164" t="str">
        <f aca="false">IF(Salary_Calculation[[#This Row],[Source Row]]="","",ROUND(Salary_Calculation[[#This Row],[Negative Balance / Amount Due from Rider]]+MAX(Salary_Calculation[[#This Row],[Total Deductions]]-Salary_Calculation[[#This Row],[Gross Salary Before Deductions]],0),2))</f>
        <v/>
      </c>
      <c r="AC23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33" s="164" t="str">
        <f aca="false">IF(Salary_Calculation[[#This Row],[Source Row]]="","",Salary_Calculation[[#This Row],[Rider Target Orders]]*Salary_Calculation[[#This Row],[Base Order Rate]])</f>
        <v/>
      </c>
      <c r="AE233" s="162" t="str">
        <f aca="false">IF(SUMPRODUCT(--(LEN(INDEX(Rider_Input[#Data],ROW()-ROW(Salary_Calculation[#Headers]),0))&gt;0))=0,"",ROW()-ROW(Salary_Calculation[#Headers]))</f>
        <v/>
      </c>
    </row>
    <row r="234" customFormat="false" ht="14.25" hidden="false" customHeight="false" outlineLevel="0" collapsed="false">
      <c r="A234" s="161" t="str">
        <f aca="false">IF(Salary_Calculation[[#This Row],[Source Row]]="","",IF(INDEX(Rider_Input[Salary Month],Salary_Calculation[[#This Row],[Source Row]])="","",INDEX(Rider_Input[Salary Month],Salary_Calculation[[#This Row],[Source Row]])))</f>
        <v/>
      </c>
      <c r="B234" s="162" t="str">
        <f aca="false">IF(Salary_Calculation[[#This Row],[Source Row]]="","",IF(INDEX(Rider_Input[Rider ID],Salary_Calculation[[#This Row],[Source Row]])="","",INDEX(Rider_Input[Rider ID],Salary_Calculation[[#This Row],[Source Row]])))</f>
        <v/>
      </c>
      <c r="C234" s="163" t="str">
        <f aca="false">IF(Salary_Calculation[[#This Row],[Source Row]]="","",IF(INDEX(Rider_Input[Rider Name],Salary_Calculation[[#This Row],[Source Row]])="","",INDEX(Rider_Input[Rider Name],Salary_Calculation[[#This Row],[Source Row]])))</f>
        <v/>
      </c>
      <c r="D234" s="164" t="str">
        <f aca="false">IF(Salary_Calculation[[#This Row],[Source Row]]="","",IF(INDEX(Rider_Input[Basic Payment],Salary_Calculation[[#This Row],[Source Row]])="","",INDEX(Rider_Input[Basic Payment],Salary_Calculation[[#This Row],[Source Row]])))</f>
        <v/>
      </c>
      <c r="E234" s="162" t="str">
        <f aca="false">IF(Salary_Calculation[[#This Row],[Source Row]]="","",IF(INDEX(Rider_Input[Calendar Days in Month],Salary_Calculation[[#This Row],[Source Row]])="","",INDEX(Rider_Input[Calendar Days in Month],Salary_Calculation[[#This Row],[Source Row]])))</f>
        <v/>
      </c>
      <c r="F234" s="162" t="str">
        <f aca="false">IF(Salary_Calculation[[#This Row],[Source Row]]="","",IF(INDEX(Rider_Input[Working Days],Salary_Calculation[[#This Row],[Source Row]])="","",INDEX(Rider_Input[Working Days],Salary_Calculation[[#This Row],[Source Row]])))</f>
        <v/>
      </c>
      <c r="G234" s="165" t="str">
        <f aca="false">IF(Salary_Calculation[[#This Row],[Source Row]]="","",Std_Orders/Std_Days*N(Salary_Calculation[[#This Row],[Calendar Days]]))</f>
        <v/>
      </c>
      <c r="H234" s="165" t="str">
        <f aca="false">IF(Salary_Calculation[[#This Row],[Source Row]]="","",IF(N(Salary_Calculation[[#This Row],[Calendar Days]])&gt;0,Salary_Calculation[[#This Row],[Monthly Target Orders]]/N(Salary_Calculation[[#This Row],[Calendar Days]])*N(Salary_Calculation[[#This Row],[Working Days]]),0))</f>
        <v/>
      </c>
      <c r="I234" s="166" t="str">
        <f aca="false">IF(Salary_Calculation[[#This Row],[Source Row]]="","",IF(INDEX(Rider_Input[Completed Orders],Salary_Calculation[[#This Row],[Source Row]])="","",INDEX(Rider_Input[Completed Orders],Salary_Calculation[[#This Row],[Source Row]])))</f>
        <v/>
      </c>
      <c r="J234" s="165" t="str">
        <f aca="false">IF(Salary_Calculation[[#This Row],[Source Row]]="","",IF(Rate_Method="Fixed rate",Fixed_Rate,IF(N(Salary_Calculation[[#This Row],[Basic Payment]])&gt;0,N(Salary_Calculation[[#This Row],[Basic Payment]])/Std_Orders,0)))</f>
        <v/>
      </c>
      <c r="K234" s="165" t="str">
        <f aca="false">IF(Salary_Calculation[[#This Row],[Source Row]]="","",MAX(MIN(N(Salary_Calculation[[#This Row],[Completed Orders]]),Salary_Calculation[[#This Row],[Rider Target Orders]]),0))</f>
        <v/>
      </c>
      <c r="L234" s="164" t="str">
        <f aca="false">IF(Salary_Calculation[[#This Row],[Source Row]]="","",Salary_Calculation[[#This Row],[Orders Counted at Base Rate]]*Salary_Calculation[[#This Row],[Base Order Rate]])</f>
        <v/>
      </c>
      <c r="M234" s="165" t="str">
        <f aca="false">IF(Salary_Calculation[[#This Row],[Source Row]]="","",MAX(Salary_Calculation[[#This Row],[Rider Target Orders]]-N(Salary_Calculation[[#This Row],[Completed Orders]]),0))</f>
        <v/>
      </c>
      <c r="N234" s="164" t="str">
        <f aca="false">IF(Salary_Calculation[[#This Row],[Source Row]]="","",Salary_Calculation[[#This Row],[Missing Orders]]*Missing_Rate)</f>
        <v/>
      </c>
      <c r="O234" s="165" t="str">
        <f aca="false">IF(Salary_Calculation[[#This Row],[Source Row]]="","",MAX(N(Salary_Calculation[[#This Row],[Completed Orders]])-Salary_Calculation[[#This Row],[Rider Target Orders]],0))</f>
        <v/>
      </c>
      <c r="P234" s="164" t="str">
        <f aca="false">IF(Salary_Calculation[[#This Row],[Source Row]]="","",Salary_Calculation[[#This Row],[Extra Orders]]*Extra_Rate)</f>
        <v/>
      </c>
      <c r="Q234" s="164" t="str">
        <f aca="false">IF(Salary_Calculation[[#This Row],[Source Row]]="","",MAX(Salary_Calculation[[#This Row],[Salary Before Other Deductions]],0))</f>
        <v/>
      </c>
      <c r="R234" s="164" t="str">
        <f aca="false">IF(Salary_Calculation[[#This Row],[Source Row]]="","",N(INDEX(Rider_Input[missed_days_penalty],Salary_Calculation[[#This Row],[Source Row]])))</f>
        <v/>
      </c>
      <c r="S234" s="164" t="str">
        <f aca="false">IF(Salary_Calculation[[#This Row],[Source Row]]="","",N(INDEX(Rider_Input[Rider Balance / محفظة المندوب],Salary_Calculation[[#This Row],[Source Row]])))</f>
        <v/>
      </c>
      <c r="T234" s="164" t="str">
        <f aca="false">IF(Salary_Calculation[[#This Row],[Source Row]]="","",N(INDEX(Rider_Input[stacking_deduction / خصم الطلبات المتعددة],Salary_Calculation[[#This Row],[Source Row]])))</f>
        <v/>
      </c>
      <c r="U234" s="164" t="str">
        <f aca="false">IF(Salary_Calculation[[#This Row],[Source Row]]="","",N(INDEX(Rider_Input[Other Deductions],Salary_Calculation[[#This Row],[Source Row]])))</f>
        <v/>
      </c>
      <c r="V234" s="164" t="str">
        <f aca="false">IF(Salary_Calculation[[#This Row],[Source Row]]="","",N(Salary_Calculation[[#This Row],[missed_days_penalty]])+N(Salary_Calculation[[#This Row],[Rider Balance]])+N(Salary_Calculation[[#This Row],[stacking_deduction]])+N(Salary_Calculation[[#This Row],[Other Deductions]]))</f>
        <v/>
      </c>
      <c r="W234" s="167" t="str">
        <f aca="false">IF(Salary_Calculation[[#This Row],[Source Row]]="","",ROUND(MAX(Salary_Calculation[[#This Row],[Gross Salary Before Deductions]]-Salary_Calculation[[#This Row],[Total Deductions]],0),2))</f>
        <v/>
      </c>
      <c r="X234" s="164" t="str">
        <f aca="false">IF(Salary_Calculation[[#This Row],[Source Row]]="","",ROUND(MAX(Salary_Calculation[[#This Row],[Missing-Order Deduction]]-Salary_Calculation[[#This Row],[Earned Salary]],0),2))</f>
        <v/>
      </c>
      <c r="Y23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34" s="163" t="str">
        <f aca="false">IF(Salary_Calculation[[#This Row],[Source Row]]="","",IF(INDEX(Rider_Input[Notes],Salary_Calculation[[#This Row],[Source Row]])="","",INDEX(Rider_Input[Notes],Salary_Calculation[[#This Row],[Source Row]])))</f>
        <v/>
      </c>
      <c r="AA234" s="164" t="str">
        <f aca="false">IF(Salary_Calculation[[#This Row],[Source Row]]="","",Salary_Calculation[[#This Row],[Earned Salary]]-Salary_Calculation[[#This Row],[Missing-Order Deduction]]+Salary_Calculation[[#This Row],[Extra-Order Bonus]])</f>
        <v/>
      </c>
      <c r="AB234" s="164" t="str">
        <f aca="false">IF(Salary_Calculation[[#This Row],[Source Row]]="","",ROUND(Salary_Calculation[[#This Row],[Negative Balance / Amount Due from Rider]]+MAX(Salary_Calculation[[#This Row],[Total Deductions]]-Salary_Calculation[[#This Row],[Gross Salary Before Deductions]],0),2))</f>
        <v/>
      </c>
      <c r="AC23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34" s="164" t="str">
        <f aca="false">IF(Salary_Calculation[[#This Row],[Source Row]]="","",Salary_Calculation[[#This Row],[Rider Target Orders]]*Salary_Calculation[[#This Row],[Base Order Rate]])</f>
        <v/>
      </c>
      <c r="AE234" s="162" t="str">
        <f aca="false">IF(SUMPRODUCT(--(LEN(INDEX(Rider_Input[#Data],ROW()-ROW(Salary_Calculation[#Headers]),0))&gt;0))=0,"",ROW()-ROW(Salary_Calculation[#Headers]))</f>
        <v/>
      </c>
    </row>
    <row r="235" customFormat="false" ht="14.25" hidden="false" customHeight="false" outlineLevel="0" collapsed="false">
      <c r="A235" s="161" t="str">
        <f aca="false">IF(Salary_Calculation[[#This Row],[Source Row]]="","",IF(INDEX(Rider_Input[Salary Month],Salary_Calculation[[#This Row],[Source Row]])="","",INDEX(Rider_Input[Salary Month],Salary_Calculation[[#This Row],[Source Row]])))</f>
        <v/>
      </c>
      <c r="B235" s="162" t="str">
        <f aca="false">IF(Salary_Calculation[[#This Row],[Source Row]]="","",IF(INDEX(Rider_Input[Rider ID],Salary_Calculation[[#This Row],[Source Row]])="","",INDEX(Rider_Input[Rider ID],Salary_Calculation[[#This Row],[Source Row]])))</f>
        <v/>
      </c>
      <c r="C235" s="163" t="str">
        <f aca="false">IF(Salary_Calculation[[#This Row],[Source Row]]="","",IF(INDEX(Rider_Input[Rider Name],Salary_Calculation[[#This Row],[Source Row]])="","",INDEX(Rider_Input[Rider Name],Salary_Calculation[[#This Row],[Source Row]])))</f>
        <v/>
      </c>
      <c r="D235" s="164" t="str">
        <f aca="false">IF(Salary_Calculation[[#This Row],[Source Row]]="","",IF(INDEX(Rider_Input[Basic Payment],Salary_Calculation[[#This Row],[Source Row]])="","",INDEX(Rider_Input[Basic Payment],Salary_Calculation[[#This Row],[Source Row]])))</f>
        <v/>
      </c>
      <c r="E235" s="162" t="str">
        <f aca="false">IF(Salary_Calculation[[#This Row],[Source Row]]="","",IF(INDEX(Rider_Input[Calendar Days in Month],Salary_Calculation[[#This Row],[Source Row]])="","",INDEX(Rider_Input[Calendar Days in Month],Salary_Calculation[[#This Row],[Source Row]])))</f>
        <v/>
      </c>
      <c r="F235" s="162" t="str">
        <f aca="false">IF(Salary_Calculation[[#This Row],[Source Row]]="","",IF(INDEX(Rider_Input[Working Days],Salary_Calculation[[#This Row],[Source Row]])="","",INDEX(Rider_Input[Working Days],Salary_Calculation[[#This Row],[Source Row]])))</f>
        <v/>
      </c>
      <c r="G235" s="165" t="str">
        <f aca="false">IF(Salary_Calculation[[#This Row],[Source Row]]="","",Std_Orders/Std_Days*N(Salary_Calculation[[#This Row],[Calendar Days]]))</f>
        <v/>
      </c>
      <c r="H235" s="165" t="str">
        <f aca="false">IF(Salary_Calculation[[#This Row],[Source Row]]="","",IF(N(Salary_Calculation[[#This Row],[Calendar Days]])&gt;0,Salary_Calculation[[#This Row],[Monthly Target Orders]]/N(Salary_Calculation[[#This Row],[Calendar Days]])*N(Salary_Calculation[[#This Row],[Working Days]]),0))</f>
        <v/>
      </c>
      <c r="I235" s="166" t="str">
        <f aca="false">IF(Salary_Calculation[[#This Row],[Source Row]]="","",IF(INDEX(Rider_Input[Completed Orders],Salary_Calculation[[#This Row],[Source Row]])="","",INDEX(Rider_Input[Completed Orders],Salary_Calculation[[#This Row],[Source Row]])))</f>
        <v/>
      </c>
      <c r="J235" s="165" t="str">
        <f aca="false">IF(Salary_Calculation[[#This Row],[Source Row]]="","",IF(Rate_Method="Fixed rate",Fixed_Rate,IF(N(Salary_Calculation[[#This Row],[Basic Payment]])&gt;0,N(Salary_Calculation[[#This Row],[Basic Payment]])/Std_Orders,0)))</f>
        <v/>
      </c>
      <c r="K235" s="165" t="str">
        <f aca="false">IF(Salary_Calculation[[#This Row],[Source Row]]="","",MAX(MIN(N(Salary_Calculation[[#This Row],[Completed Orders]]),Salary_Calculation[[#This Row],[Rider Target Orders]]),0))</f>
        <v/>
      </c>
      <c r="L235" s="164" t="str">
        <f aca="false">IF(Salary_Calculation[[#This Row],[Source Row]]="","",Salary_Calculation[[#This Row],[Orders Counted at Base Rate]]*Salary_Calculation[[#This Row],[Base Order Rate]])</f>
        <v/>
      </c>
      <c r="M235" s="165" t="str">
        <f aca="false">IF(Salary_Calculation[[#This Row],[Source Row]]="","",MAX(Salary_Calculation[[#This Row],[Rider Target Orders]]-N(Salary_Calculation[[#This Row],[Completed Orders]]),0))</f>
        <v/>
      </c>
      <c r="N235" s="164" t="str">
        <f aca="false">IF(Salary_Calculation[[#This Row],[Source Row]]="","",Salary_Calculation[[#This Row],[Missing Orders]]*Missing_Rate)</f>
        <v/>
      </c>
      <c r="O235" s="165" t="str">
        <f aca="false">IF(Salary_Calculation[[#This Row],[Source Row]]="","",MAX(N(Salary_Calculation[[#This Row],[Completed Orders]])-Salary_Calculation[[#This Row],[Rider Target Orders]],0))</f>
        <v/>
      </c>
      <c r="P235" s="164" t="str">
        <f aca="false">IF(Salary_Calculation[[#This Row],[Source Row]]="","",Salary_Calculation[[#This Row],[Extra Orders]]*Extra_Rate)</f>
        <v/>
      </c>
      <c r="Q235" s="164" t="str">
        <f aca="false">IF(Salary_Calculation[[#This Row],[Source Row]]="","",MAX(Salary_Calculation[[#This Row],[Salary Before Other Deductions]],0))</f>
        <v/>
      </c>
      <c r="R235" s="164" t="str">
        <f aca="false">IF(Salary_Calculation[[#This Row],[Source Row]]="","",N(INDEX(Rider_Input[missed_days_penalty],Salary_Calculation[[#This Row],[Source Row]])))</f>
        <v/>
      </c>
      <c r="S235" s="164" t="str">
        <f aca="false">IF(Salary_Calculation[[#This Row],[Source Row]]="","",N(INDEX(Rider_Input[Rider Balance / محفظة المندوب],Salary_Calculation[[#This Row],[Source Row]])))</f>
        <v/>
      </c>
      <c r="T235" s="164" t="str">
        <f aca="false">IF(Salary_Calculation[[#This Row],[Source Row]]="","",N(INDEX(Rider_Input[stacking_deduction / خصم الطلبات المتعددة],Salary_Calculation[[#This Row],[Source Row]])))</f>
        <v/>
      </c>
      <c r="U235" s="164" t="str">
        <f aca="false">IF(Salary_Calculation[[#This Row],[Source Row]]="","",N(INDEX(Rider_Input[Other Deductions],Salary_Calculation[[#This Row],[Source Row]])))</f>
        <v/>
      </c>
      <c r="V235" s="164" t="str">
        <f aca="false">IF(Salary_Calculation[[#This Row],[Source Row]]="","",N(Salary_Calculation[[#This Row],[missed_days_penalty]])+N(Salary_Calculation[[#This Row],[Rider Balance]])+N(Salary_Calculation[[#This Row],[stacking_deduction]])+N(Salary_Calculation[[#This Row],[Other Deductions]]))</f>
        <v/>
      </c>
      <c r="W235" s="167" t="str">
        <f aca="false">IF(Salary_Calculation[[#This Row],[Source Row]]="","",ROUND(MAX(Salary_Calculation[[#This Row],[Gross Salary Before Deductions]]-Salary_Calculation[[#This Row],[Total Deductions]],0),2))</f>
        <v/>
      </c>
      <c r="X235" s="164" t="str">
        <f aca="false">IF(Salary_Calculation[[#This Row],[Source Row]]="","",ROUND(MAX(Salary_Calculation[[#This Row],[Missing-Order Deduction]]-Salary_Calculation[[#This Row],[Earned Salary]],0),2))</f>
        <v/>
      </c>
      <c r="Y23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35" s="163" t="str">
        <f aca="false">IF(Salary_Calculation[[#This Row],[Source Row]]="","",IF(INDEX(Rider_Input[Notes],Salary_Calculation[[#This Row],[Source Row]])="","",INDEX(Rider_Input[Notes],Salary_Calculation[[#This Row],[Source Row]])))</f>
        <v/>
      </c>
      <c r="AA235" s="164" t="str">
        <f aca="false">IF(Salary_Calculation[[#This Row],[Source Row]]="","",Salary_Calculation[[#This Row],[Earned Salary]]-Salary_Calculation[[#This Row],[Missing-Order Deduction]]+Salary_Calculation[[#This Row],[Extra-Order Bonus]])</f>
        <v/>
      </c>
      <c r="AB235" s="164" t="str">
        <f aca="false">IF(Salary_Calculation[[#This Row],[Source Row]]="","",ROUND(Salary_Calculation[[#This Row],[Negative Balance / Amount Due from Rider]]+MAX(Salary_Calculation[[#This Row],[Total Deductions]]-Salary_Calculation[[#This Row],[Gross Salary Before Deductions]],0),2))</f>
        <v/>
      </c>
      <c r="AC23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35" s="164" t="str">
        <f aca="false">IF(Salary_Calculation[[#This Row],[Source Row]]="","",Salary_Calculation[[#This Row],[Rider Target Orders]]*Salary_Calculation[[#This Row],[Base Order Rate]])</f>
        <v/>
      </c>
      <c r="AE235" s="162" t="str">
        <f aca="false">IF(SUMPRODUCT(--(LEN(INDEX(Rider_Input[#Data],ROW()-ROW(Salary_Calculation[#Headers]),0))&gt;0))=0,"",ROW()-ROW(Salary_Calculation[#Headers]))</f>
        <v/>
      </c>
    </row>
    <row r="236" customFormat="false" ht="14.25" hidden="false" customHeight="false" outlineLevel="0" collapsed="false">
      <c r="A236" s="161" t="str">
        <f aca="false">IF(Salary_Calculation[[#This Row],[Source Row]]="","",IF(INDEX(Rider_Input[Salary Month],Salary_Calculation[[#This Row],[Source Row]])="","",INDEX(Rider_Input[Salary Month],Salary_Calculation[[#This Row],[Source Row]])))</f>
        <v/>
      </c>
      <c r="B236" s="162" t="str">
        <f aca="false">IF(Salary_Calculation[[#This Row],[Source Row]]="","",IF(INDEX(Rider_Input[Rider ID],Salary_Calculation[[#This Row],[Source Row]])="","",INDEX(Rider_Input[Rider ID],Salary_Calculation[[#This Row],[Source Row]])))</f>
        <v/>
      </c>
      <c r="C236" s="163" t="str">
        <f aca="false">IF(Salary_Calculation[[#This Row],[Source Row]]="","",IF(INDEX(Rider_Input[Rider Name],Salary_Calculation[[#This Row],[Source Row]])="","",INDEX(Rider_Input[Rider Name],Salary_Calculation[[#This Row],[Source Row]])))</f>
        <v/>
      </c>
      <c r="D236" s="164" t="str">
        <f aca="false">IF(Salary_Calculation[[#This Row],[Source Row]]="","",IF(INDEX(Rider_Input[Basic Payment],Salary_Calculation[[#This Row],[Source Row]])="","",INDEX(Rider_Input[Basic Payment],Salary_Calculation[[#This Row],[Source Row]])))</f>
        <v/>
      </c>
      <c r="E236" s="162" t="str">
        <f aca="false">IF(Salary_Calculation[[#This Row],[Source Row]]="","",IF(INDEX(Rider_Input[Calendar Days in Month],Salary_Calculation[[#This Row],[Source Row]])="","",INDEX(Rider_Input[Calendar Days in Month],Salary_Calculation[[#This Row],[Source Row]])))</f>
        <v/>
      </c>
      <c r="F236" s="162" t="str">
        <f aca="false">IF(Salary_Calculation[[#This Row],[Source Row]]="","",IF(INDEX(Rider_Input[Working Days],Salary_Calculation[[#This Row],[Source Row]])="","",INDEX(Rider_Input[Working Days],Salary_Calculation[[#This Row],[Source Row]])))</f>
        <v/>
      </c>
      <c r="G236" s="165" t="str">
        <f aca="false">IF(Salary_Calculation[[#This Row],[Source Row]]="","",Std_Orders/Std_Days*N(Salary_Calculation[[#This Row],[Calendar Days]]))</f>
        <v/>
      </c>
      <c r="H236" s="165" t="str">
        <f aca="false">IF(Salary_Calculation[[#This Row],[Source Row]]="","",IF(N(Salary_Calculation[[#This Row],[Calendar Days]])&gt;0,Salary_Calculation[[#This Row],[Monthly Target Orders]]/N(Salary_Calculation[[#This Row],[Calendar Days]])*N(Salary_Calculation[[#This Row],[Working Days]]),0))</f>
        <v/>
      </c>
      <c r="I236" s="166" t="str">
        <f aca="false">IF(Salary_Calculation[[#This Row],[Source Row]]="","",IF(INDEX(Rider_Input[Completed Orders],Salary_Calculation[[#This Row],[Source Row]])="","",INDEX(Rider_Input[Completed Orders],Salary_Calculation[[#This Row],[Source Row]])))</f>
        <v/>
      </c>
      <c r="J236" s="165" t="str">
        <f aca="false">IF(Salary_Calculation[[#This Row],[Source Row]]="","",IF(Rate_Method="Fixed rate",Fixed_Rate,IF(N(Salary_Calculation[[#This Row],[Basic Payment]])&gt;0,N(Salary_Calculation[[#This Row],[Basic Payment]])/Std_Orders,0)))</f>
        <v/>
      </c>
      <c r="K236" s="165" t="str">
        <f aca="false">IF(Salary_Calculation[[#This Row],[Source Row]]="","",MAX(MIN(N(Salary_Calculation[[#This Row],[Completed Orders]]),Salary_Calculation[[#This Row],[Rider Target Orders]]),0))</f>
        <v/>
      </c>
      <c r="L236" s="164" t="str">
        <f aca="false">IF(Salary_Calculation[[#This Row],[Source Row]]="","",Salary_Calculation[[#This Row],[Orders Counted at Base Rate]]*Salary_Calculation[[#This Row],[Base Order Rate]])</f>
        <v/>
      </c>
      <c r="M236" s="165" t="str">
        <f aca="false">IF(Salary_Calculation[[#This Row],[Source Row]]="","",MAX(Salary_Calculation[[#This Row],[Rider Target Orders]]-N(Salary_Calculation[[#This Row],[Completed Orders]]),0))</f>
        <v/>
      </c>
      <c r="N236" s="164" t="str">
        <f aca="false">IF(Salary_Calculation[[#This Row],[Source Row]]="","",Salary_Calculation[[#This Row],[Missing Orders]]*Missing_Rate)</f>
        <v/>
      </c>
      <c r="O236" s="165" t="str">
        <f aca="false">IF(Salary_Calculation[[#This Row],[Source Row]]="","",MAX(N(Salary_Calculation[[#This Row],[Completed Orders]])-Salary_Calculation[[#This Row],[Rider Target Orders]],0))</f>
        <v/>
      </c>
      <c r="P236" s="164" t="str">
        <f aca="false">IF(Salary_Calculation[[#This Row],[Source Row]]="","",Salary_Calculation[[#This Row],[Extra Orders]]*Extra_Rate)</f>
        <v/>
      </c>
      <c r="Q236" s="164" t="str">
        <f aca="false">IF(Salary_Calculation[[#This Row],[Source Row]]="","",MAX(Salary_Calculation[[#This Row],[Salary Before Other Deductions]],0))</f>
        <v/>
      </c>
      <c r="R236" s="164" t="str">
        <f aca="false">IF(Salary_Calculation[[#This Row],[Source Row]]="","",N(INDEX(Rider_Input[missed_days_penalty],Salary_Calculation[[#This Row],[Source Row]])))</f>
        <v/>
      </c>
      <c r="S236" s="164" t="str">
        <f aca="false">IF(Salary_Calculation[[#This Row],[Source Row]]="","",N(INDEX(Rider_Input[Rider Balance / محفظة المندوب],Salary_Calculation[[#This Row],[Source Row]])))</f>
        <v/>
      </c>
      <c r="T236" s="164" t="str">
        <f aca="false">IF(Salary_Calculation[[#This Row],[Source Row]]="","",N(INDEX(Rider_Input[stacking_deduction / خصم الطلبات المتعددة],Salary_Calculation[[#This Row],[Source Row]])))</f>
        <v/>
      </c>
      <c r="U236" s="164" t="str">
        <f aca="false">IF(Salary_Calculation[[#This Row],[Source Row]]="","",N(INDEX(Rider_Input[Other Deductions],Salary_Calculation[[#This Row],[Source Row]])))</f>
        <v/>
      </c>
      <c r="V236" s="164" t="str">
        <f aca="false">IF(Salary_Calculation[[#This Row],[Source Row]]="","",N(Salary_Calculation[[#This Row],[missed_days_penalty]])+N(Salary_Calculation[[#This Row],[Rider Balance]])+N(Salary_Calculation[[#This Row],[stacking_deduction]])+N(Salary_Calculation[[#This Row],[Other Deductions]]))</f>
        <v/>
      </c>
      <c r="W236" s="167" t="str">
        <f aca="false">IF(Salary_Calculation[[#This Row],[Source Row]]="","",ROUND(MAX(Salary_Calculation[[#This Row],[Gross Salary Before Deductions]]-Salary_Calculation[[#This Row],[Total Deductions]],0),2))</f>
        <v/>
      </c>
      <c r="X236" s="164" t="str">
        <f aca="false">IF(Salary_Calculation[[#This Row],[Source Row]]="","",ROUND(MAX(Salary_Calculation[[#This Row],[Missing-Order Deduction]]-Salary_Calculation[[#This Row],[Earned Salary]],0),2))</f>
        <v/>
      </c>
      <c r="Y23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36" s="163" t="str">
        <f aca="false">IF(Salary_Calculation[[#This Row],[Source Row]]="","",IF(INDEX(Rider_Input[Notes],Salary_Calculation[[#This Row],[Source Row]])="","",INDEX(Rider_Input[Notes],Salary_Calculation[[#This Row],[Source Row]])))</f>
        <v/>
      </c>
      <c r="AA236" s="164" t="str">
        <f aca="false">IF(Salary_Calculation[[#This Row],[Source Row]]="","",Salary_Calculation[[#This Row],[Earned Salary]]-Salary_Calculation[[#This Row],[Missing-Order Deduction]]+Salary_Calculation[[#This Row],[Extra-Order Bonus]])</f>
        <v/>
      </c>
      <c r="AB236" s="164" t="str">
        <f aca="false">IF(Salary_Calculation[[#This Row],[Source Row]]="","",ROUND(Salary_Calculation[[#This Row],[Negative Balance / Amount Due from Rider]]+MAX(Salary_Calculation[[#This Row],[Total Deductions]]-Salary_Calculation[[#This Row],[Gross Salary Before Deductions]],0),2))</f>
        <v/>
      </c>
      <c r="AC23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36" s="164" t="str">
        <f aca="false">IF(Salary_Calculation[[#This Row],[Source Row]]="","",Salary_Calculation[[#This Row],[Rider Target Orders]]*Salary_Calculation[[#This Row],[Base Order Rate]])</f>
        <v/>
      </c>
      <c r="AE236" s="162" t="str">
        <f aca="false">IF(SUMPRODUCT(--(LEN(INDEX(Rider_Input[#Data],ROW()-ROW(Salary_Calculation[#Headers]),0))&gt;0))=0,"",ROW()-ROW(Salary_Calculation[#Headers]))</f>
        <v/>
      </c>
    </row>
    <row r="237" customFormat="false" ht="14.25" hidden="false" customHeight="false" outlineLevel="0" collapsed="false">
      <c r="A237" s="161" t="str">
        <f aca="false">IF(Salary_Calculation[[#This Row],[Source Row]]="","",IF(INDEX(Rider_Input[Salary Month],Salary_Calculation[[#This Row],[Source Row]])="","",INDEX(Rider_Input[Salary Month],Salary_Calculation[[#This Row],[Source Row]])))</f>
        <v/>
      </c>
      <c r="B237" s="162" t="str">
        <f aca="false">IF(Salary_Calculation[[#This Row],[Source Row]]="","",IF(INDEX(Rider_Input[Rider ID],Salary_Calculation[[#This Row],[Source Row]])="","",INDEX(Rider_Input[Rider ID],Salary_Calculation[[#This Row],[Source Row]])))</f>
        <v/>
      </c>
      <c r="C237" s="163" t="str">
        <f aca="false">IF(Salary_Calculation[[#This Row],[Source Row]]="","",IF(INDEX(Rider_Input[Rider Name],Salary_Calculation[[#This Row],[Source Row]])="","",INDEX(Rider_Input[Rider Name],Salary_Calculation[[#This Row],[Source Row]])))</f>
        <v/>
      </c>
      <c r="D237" s="164" t="str">
        <f aca="false">IF(Salary_Calculation[[#This Row],[Source Row]]="","",IF(INDEX(Rider_Input[Basic Payment],Salary_Calculation[[#This Row],[Source Row]])="","",INDEX(Rider_Input[Basic Payment],Salary_Calculation[[#This Row],[Source Row]])))</f>
        <v/>
      </c>
      <c r="E237" s="162" t="str">
        <f aca="false">IF(Salary_Calculation[[#This Row],[Source Row]]="","",IF(INDEX(Rider_Input[Calendar Days in Month],Salary_Calculation[[#This Row],[Source Row]])="","",INDEX(Rider_Input[Calendar Days in Month],Salary_Calculation[[#This Row],[Source Row]])))</f>
        <v/>
      </c>
      <c r="F237" s="162" t="str">
        <f aca="false">IF(Salary_Calculation[[#This Row],[Source Row]]="","",IF(INDEX(Rider_Input[Working Days],Salary_Calculation[[#This Row],[Source Row]])="","",INDEX(Rider_Input[Working Days],Salary_Calculation[[#This Row],[Source Row]])))</f>
        <v/>
      </c>
      <c r="G237" s="165" t="str">
        <f aca="false">IF(Salary_Calculation[[#This Row],[Source Row]]="","",Std_Orders/Std_Days*N(Salary_Calculation[[#This Row],[Calendar Days]]))</f>
        <v/>
      </c>
      <c r="H237" s="165" t="str">
        <f aca="false">IF(Salary_Calculation[[#This Row],[Source Row]]="","",IF(N(Salary_Calculation[[#This Row],[Calendar Days]])&gt;0,Salary_Calculation[[#This Row],[Monthly Target Orders]]/N(Salary_Calculation[[#This Row],[Calendar Days]])*N(Salary_Calculation[[#This Row],[Working Days]]),0))</f>
        <v/>
      </c>
      <c r="I237" s="166" t="str">
        <f aca="false">IF(Salary_Calculation[[#This Row],[Source Row]]="","",IF(INDEX(Rider_Input[Completed Orders],Salary_Calculation[[#This Row],[Source Row]])="","",INDEX(Rider_Input[Completed Orders],Salary_Calculation[[#This Row],[Source Row]])))</f>
        <v/>
      </c>
      <c r="J237" s="165" t="str">
        <f aca="false">IF(Salary_Calculation[[#This Row],[Source Row]]="","",IF(Rate_Method="Fixed rate",Fixed_Rate,IF(N(Salary_Calculation[[#This Row],[Basic Payment]])&gt;0,N(Salary_Calculation[[#This Row],[Basic Payment]])/Std_Orders,0)))</f>
        <v/>
      </c>
      <c r="K237" s="165" t="str">
        <f aca="false">IF(Salary_Calculation[[#This Row],[Source Row]]="","",MAX(MIN(N(Salary_Calculation[[#This Row],[Completed Orders]]),Salary_Calculation[[#This Row],[Rider Target Orders]]),0))</f>
        <v/>
      </c>
      <c r="L237" s="164" t="str">
        <f aca="false">IF(Salary_Calculation[[#This Row],[Source Row]]="","",Salary_Calculation[[#This Row],[Orders Counted at Base Rate]]*Salary_Calculation[[#This Row],[Base Order Rate]])</f>
        <v/>
      </c>
      <c r="M237" s="165" t="str">
        <f aca="false">IF(Salary_Calculation[[#This Row],[Source Row]]="","",MAX(Salary_Calculation[[#This Row],[Rider Target Orders]]-N(Salary_Calculation[[#This Row],[Completed Orders]]),0))</f>
        <v/>
      </c>
      <c r="N237" s="164" t="str">
        <f aca="false">IF(Salary_Calculation[[#This Row],[Source Row]]="","",Salary_Calculation[[#This Row],[Missing Orders]]*Missing_Rate)</f>
        <v/>
      </c>
      <c r="O237" s="165" t="str">
        <f aca="false">IF(Salary_Calculation[[#This Row],[Source Row]]="","",MAX(N(Salary_Calculation[[#This Row],[Completed Orders]])-Salary_Calculation[[#This Row],[Rider Target Orders]],0))</f>
        <v/>
      </c>
      <c r="P237" s="164" t="str">
        <f aca="false">IF(Salary_Calculation[[#This Row],[Source Row]]="","",Salary_Calculation[[#This Row],[Extra Orders]]*Extra_Rate)</f>
        <v/>
      </c>
      <c r="Q237" s="164" t="str">
        <f aca="false">IF(Salary_Calculation[[#This Row],[Source Row]]="","",MAX(Salary_Calculation[[#This Row],[Salary Before Other Deductions]],0))</f>
        <v/>
      </c>
      <c r="R237" s="164" t="str">
        <f aca="false">IF(Salary_Calculation[[#This Row],[Source Row]]="","",N(INDEX(Rider_Input[missed_days_penalty],Salary_Calculation[[#This Row],[Source Row]])))</f>
        <v/>
      </c>
      <c r="S237" s="164" t="str">
        <f aca="false">IF(Salary_Calculation[[#This Row],[Source Row]]="","",N(INDEX(Rider_Input[Rider Balance / محفظة المندوب],Salary_Calculation[[#This Row],[Source Row]])))</f>
        <v/>
      </c>
      <c r="T237" s="164" t="str">
        <f aca="false">IF(Salary_Calculation[[#This Row],[Source Row]]="","",N(INDEX(Rider_Input[stacking_deduction / خصم الطلبات المتعددة],Salary_Calculation[[#This Row],[Source Row]])))</f>
        <v/>
      </c>
      <c r="U237" s="164" t="str">
        <f aca="false">IF(Salary_Calculation[[#This Row],[Source Row]]="","",N(INDEX(Rider_Input[Other Deductions],Salary_Calculation[[#This Row],[Source Row]])))</f>
        <v/>
      </c>
      <c r="V237" s="164" t="str">
        <f aca="false">IF(Salary_Calculation[[#This Row],[Source Row]]="","",N(Salary_Calculation[[#This Row],[missed_days_penalty]])+N(Salary_Calculation[[#This Row],[Rider Balance]])+N(Salary_Calculation[[#This Row],[stacking_deduction]])+N(Salary_Calculation[[#This Row],[Other Deductions]]))</f>
        <v/>
      </c>
      <c r="W237" s="167" t="str">
        <f aca="false">IF(Salary_Calculation[[#This Row],[Source Row]]="","",ROUND(MAX(Salary_Calculation[[#This Row],[Gross Salary Before Deductions]]-Salary_Calculation[[#This Row],[Total Deductions]],0),2))</f>
        <v/>
      </c>
      <c r="X237" s="164" t="str">
        <f aca="false">IF(Salary_Calculation[[#This Row],[Source Row]]="","",ROUND(MAX(Salary_Calculation[[#This Row],[Missing-Order Deduction]]-Salary_Calculation[[#This Row],[Earned Salary]],0),2))</f>
        <v/>
      </c>
      <c r="Y23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37" s="163" t="str">
        <f aca="false">IF(Salary_Calculation[[#This Row],[Source Row]]="","",IF(INDEX(Rider_Input[Notes],Salary_Calculation[[#This Row],[Source Row]])="","",INDEX(Rider_Input[Notes],Salary_Calculation[[#This Row],[Source Row]])))</f>
        <v/>
      </c>
      <c r="AA237" s="164" t="str">
        <f aca="false">IF(Salary_Calculation[[#This Row],[Source Row]]="","",Salary_Calculation[[#This Row],[Earned Salary]]-Salary_Calculation[[#This Row],[Missing-Order Deduction]]+Salary_Calculation[[#This Row],[Extra-Order Bonus]])</f>
        <v/>
      </c>
      <c r="AB237" s="164" t="str">
        <f aca="false">IF(Salary_Calculation[[#This Row],[Source Row]]="","",ROUND(Salary_Calculation[[#This Row],[Negative Balance / Amount Due from Rider]]+MAX(Salary_Calculation[[#This Row],[Total Deductions]]-Salary_Calculation[[#This Row],[Gross Salary Before Deductions]],0),2))</f>
        <v/>
      </c>
      <c r="AC23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37" s="164" t="str">
        <f aca="false">IF(Salary_Calculation[[#This Row],[Source Row]]="","",Salary_Calculation[[#This Row],[Rider Target Orders]]*Salary_Calculation[[#This Row],[Base Order Rate]])</f>
        <v/>
      </c>
      <c r="AE237" s="162" t="str">
        <f aca="false">IF(SUMPRODUCT(--(LEN(INDEX(Rider_Input[#Data],ROW()-ROW(Salary_Calculation[#Headers]),0))&gt;0))=0,"",ROW()-ROW(Salary_Calculation[#Headers]))</f>
        <v/>
      </c>
    </row>
    <row r="238" customFormat="false" ht="14.25" hidden="false" customHeight="false" outlineLevel="0" collapsed="false">
      <c r="A238" s="161" t="str">
        <f aca="false">IF(Salary_Calculation[[#This Row],[Source Row]]="","",IF(INDEX(Rider_Input[Salary Month],Salary_Calculation[[#This Row],[Source Row]])="","",INDEX(Rider_Input[Salary Month],Salary_Calculation[[#This Row],[Source Row]])))</f>
        <v/>
      </c>
      <c r="B238" s="162" t="str">
        <f aca="false">IF(Salary_Calculation[[#This Row],[Source Row]]="","",IF(INDEX(Rider_Input[Rider ID],Salary_Calculation[[#This Row],[Source Row]])="","",INDEX(Rider_Input[Rider ID],Salary_Calculation[[#This Row],[Source Row]])))</f>
        <v/>
      </c>
      <c r="C238" s="163" t="str">
        <f aca="false">IF(Salary_Calculation[[#This Row],[Source Row]]="","",IF(INDEX(Rider_Input[Rider Name],Salary_Calculation[[#This Row],[Source Row]])="","",INDEX(Rider_Input[Rider Name],Salary_Calculation[[#This Row],[Source Row]])))</f>
        <v/>
      </c>
      <c r="D238" s="164" t="str">
        <f aca="false">IF(Salary_Calculation[[#This Row],[Source Row]]="","",IF(INDEX(Rider_Input[Basic Payment],Salary_Calculation[[#This Row],[Source Row]])="","",INDEX(Rider_Input[Basic Payment],Salary_Calculation[[#This Row],[Source Row]])))</f>
        <v/>
      </c>
      <c r="E238" s="162" t="str">
        <f aca="false">IF(Salary_Calculation[[#This Row],[Source Row]]="","",IF(INDEX(Rider_Input[Calendar Days in Month],Salary_Calculation[[#This Row],[Source Row]])="","",INDEX(Rider_Input[Calendar Days in Month],Salary_Calculation[[#This Row],[Source Row]])))</f>
        <v/>
      </c>
      <c r="F238" s="162" t="str">
        <f aca="false">IF(Salary_Calculation[[#This Row],[Source Row]]="","",IF(INDEX(Rider_Input[Working Days],Salary_Calculation[[#This Row],[Source Row]])="","",INDEX(Rider_Input[Working Days],Salary_Calculation[[#This Row],[Source Row]])))</f>
        <v/>
      </c>
      <c r="G238" s="165" t="str">
        <f aca="false">IF(Salary_Calculation[[#This Row],[Source Row]]="","",Std_Orders/Std_Days*N(Salary_Calculation[[#This Row],[Calendar Days]]))</f>
        <v/>
      </c>
      <c r="H238" s="165" t="str">
        <f aca="false">IF(Salary_Calculation[[#This Row],[Source Row]]="","",IF(N(Salary_Calculation[[#This Row],[Calendar Days]])&gt;0,Salary_Calculation[[#This Row],[Monthly Target Orders]]/N(Salary_Calculation[[#This Row],[Calendar Days]])*N(Salary_Calculation[[#This Row],[Working Days]]),0))</f>
        <v/>
      </c>
      <c r="I238" s="166" t="str">
        <f aca="false">IF(Salary_Calculation[[#This Row],[Source Row]]="","",IF(INDEX(Rider_Input[Completed Orders],Salary_Calculation[[#This Row],[Source Row]])="","",INDEX(Rider_Input[Completed Orders],Salary_Calculation[[#This Row],[Source Row]])))</f>
        <v/>
      </c>
      <c r="J238" s="165" t="str">
        <f aca="false">IF(Salary_Calculation[[#This Row],[Source Row]]="","",IF(Rate_Method="Fixed rate",Fixed_Rate,IF(N(Salary_Calculation[[#This Row],[Basic Payment]])&gt;0,N(Salary_Calculation[[#This Row],[Basic Payment]])/Std_Orders,0)))</f>
        <v/>
      </c>
      <c r="K238" s="165" t="str">
        <f aca="false">IF(Salary_Calculation[[#This Row],[Source Row]]="","",MAX(MIN(N(Salary_Calculation[[#This Row],[Completed Orders]]),Salary_Calculation[[#This Row],[Rider Target Orders]]),0))</f>
        <v/>
      </c>
      <c r="L238" s="164" t="str">
        <f aca="false">IF(Salary_Calculation[[#This Row],[Source Row]]="","",Salary_Calculation[[#This Row],[Orders Counted at Base Rate]]*Salary_Calculation[[#This Row],[Base Order Rate]])</f>
        <v/>
      </c>
      <c r="M238" s="165" t="str">
        <f aca="false">IF(Salary_Calculation[[#This Row],[Source Row]]="","",MAX(Salary_Calculation[[#This Row],[Rider Target Orders]]-N(Salary_Calculation[[#This Row],[Completed Orders]]),0))</f>
        <v/>
      </c>
      <c r="N238" s="164" t="str">
        <f aca="false">IF(Salary_Calculation[[#This Row],[Source Row]]="","",Salary_Calculation[[#This Row],[Missing Orders]]*Missing_Rate)</f>
        <v/>
      </c>
      <c r="O238" s="165" t="str">
        <f aca="false">IF(Salary_Calculation[[#This Row],[Source Row]]="","",MAX(N(Salary_Calculation[[#This Row],[Completed Orders]])-Salary_Calculation[[#This Row],[Rider Target Orders]],0))</f>
        <v/>
      </c>
      <c r="P238" s="164" t="str">
        <f aca="false">IF(Salary_Calculation[[#This Row],[Source Row]]="","",Salary_Calculation[[#This Row],[Extra Orders]]*Extra_Rate)</f>
        <v/>
      </c>
      <c r="Q238" s="164" t="str">
        <f aca="false">IF(Salary_Calculation[[#This Row],[Source Row]]="","",MAX(Salary_Calculation[[#This Row],[Salary Before Other Deductions]],0))</f>
        <v/>
      </c>
      <c r="R238" s="164" t="str">
        <f aca="false">IF(Salary_Calculation[[#This Row],[Source Row]]="","",N(INDEX(Rider_Input[missed_days_penalty],Salary_Calculation[[#This Row],[Source Row]])))</f>
        <v/>
      </c>
      <c r="S238" s="164" t="str">
        <f aca="false">IF(Salary_Calculation[[#This Row],[Source Row]]="","",N(INDEX(Rider_Input[Rider Balance / محفظة المندوب],Salary_Calculation[[#This Row],[Source Row]])))</f>
        <v/>
      </c>
      <c r="T238" s="164" t="str">
        <f aca="false">IF(Salary_Calculation[[#This Row],[Source Row]]="","",N(INDEX(Rider_Input[stacking_deduction / خصم الطلبات المتعددة],Salary_Calculation[[#This Row],[Source Row]])))</f>
        <v/>
      </c>
      <c r="U238" s="164" t="str">
        <f aca="false">IF(Salary_Calculation[[#This Row],[Source Row]]="","",N(INDEX(Rider_Input[Other Deductions],Salary_Calculation[[#This Row],[Source Row]])))</f>
        <v/>
      </c>
      <c r="V238" s="164" t="str">
        <f aca="false">IF(Salary_Calculation[[#This Row],[Source Row]]="","",N(Salary_Calculation[[#This Row],[missed_days_penalty]])+N(Salary_Calculation[[#This Row],[Rider Balance]])+N(Salary_Calculation[[#This Row],[stacking_deduction]])+N(Salary_Calculation[[#This Row],[Other Deductions]]))</f>
        <v/>
      </c>
      <c r="W238" s="167" t="str">
        <f aca="false">IF(Salary_Calculation[[#This Row],[Source Row]]="","",ROUND(MAX(Salary_Calculation[[#This Row],[Gross Salary Before Deductions]]-Salary_Calculation[[#This Row],[Total Deductions]],0),2))</f>
        <v/>
      </c>
      <c r="X238" s="164" t="str">
        <f aca="false">IF(Salary_Calculation[[#This Row],[Source Row]]="","",ROUND(MAX(Salary_Calculation[[#This Row],[Missing-Order Deduction]]-Salary_Calculation[[#This Row],[Earned Salary]],0),2))</f>
        <v/>
      </c>
      <c r="Y23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38" s="163" t="str">
        <f aca="false">IF(Salary_Calculation[[#This Row],[Source Row]]="","",IF(INDEX(Rider_Input[Notes],Salary_Calculation[[#This Row],[Source Row]])="","",INDEX(Rider_Input[Notes],Salary_Calculation[[#This Row],[Source Row]])))</f>
        <v/>
      </c>
      <c r="AA238" s="164" t="str">
        <f aca="false">IF(Salary_Calculation[[#This Row],[Source Row]]="","",Salary_Calculation[[#This Row],[Earned Salary]]-Salary_Calculation[[#This Row],[Missing-Order Deduction]]+Salary_Calculation[[#This Row],[Extra-Order Bonus]])</f>
        <v/>
      </c>
      <c r="AB238" s="164" t="str">
        <f aca="false">IF(Salary_Calculation[[#This Row],[Source Row]]="","",ROUND(Salary_Calculation[[#This Row],[Negative Balance / Amount Due from Rider]]+MAX(Salary_Calculation[[#This Row],[Total Deductions]]-Salary_Calculation[[#This Row],[Gross Salary Before Deductions]],0),2))</f>
        <v/>
      </c>
      <c r="AC23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38" s="164" t="str">
        <f aca="false">IF(Salary_Calculation[[#This Row],[Source Row]]="","",Salary_Calculation[[#This Row],[Rider Target Orders]]*Salary_Calculation[[#This Row],[Base Order Rate]])</f>
        <v/>
      </c>
      <c r="AE238" s="162" t="str">
        <f aca="false">IF(SUMPRODUCT(--(LEN(INDEX(Rider_Input[#Data],ROW()-ROW(Salary_Calculation[#Headers]),0))&gt;0))=0,"",ROW()-ROW(Salary_Calculation[#Headers]))</f>
        <v/>
      </c>
    </row>
    <row r="239" customFormat="false" ht="14.25" hidden="false" customHeight="false" outlineLevel="0" collapsed="false">
      <c r="A239" s="161" t="str">
        <f aca="false">IF(Salary_Calculation[[#This Row],[Source Row]]="","",IF(INDEX(Rider_Input[Salary Month],Salary_Calculation[[#This Row],[Source Row]])="","",INDEX(Rider_Input[Salary Month],Salary_Calculation[[#This Row],[Source Row]])))</f>
        <v/>
      </c>
      <c r="B239" s="162" t="str">
        <f aca="false">IF(Salary_Calculation[[#This Row],[Source Row]]="","",IF(INDEX(Rider_Input[Rider ID],Salary_Calculation[[#This Row],[Source Row]])="","",INDEX(Rider_Input[Rider ID],Salary_Calculation[[#This Row],[Source Row]])))</f>
        <v/>
      </c>
      <c r="C239" s="163" t="str">
        <f aca="false">IF(Salary_Calculation[[#This Row],[Source Row]]="","",IF(INDEX(Rider_Input[Rider Name],Salary_Calculation[[#This Row],[Source Row]])="","",INDEX(Rider_Input[Rider Name],Salary_Calculation[[#This Row],[Source Row]])))</f>
        <v/>
      </c>
      <c r="D239" s="164" t="str">
        <f aca="false">IF(Salary_Calculation[[#This Row],[Source Row]]="","",IF(INDEX(Rider_Input[Basic Payment],Salary_Calculation[[#This Row],[Source Row]])="","",INDEX(Rider_Input[Basic Payment],Salary_Calculation[[#This Row],[Source Row]])))</f>
        <v/>
      </c>
      <c r="E239" s="162" t="str">
        <f aca="false">IF(Salary_Calculation[[#This Row],[Source Row]]="","",IF(INDEX(Rider_Input[Calendar Days in Month],Salary_Calculation[[#This Row],[Source Row]])="","",INDEX(Rider_Input[Calendar Days in Month],Salary_Calculation[[#This Row],[Source Row]])))</f>
        <v/>
      </c>
      <c r="F239" s="162" t="str">
        <f aca="false">IF(Salary_Calculation[[#This Row],[Source Row]]="","",IF(INDEX(Rider_Input[Working Days],Salary_Calculation[[#This Row],[Source Row]])="","",INDEX(Rider_Input[Working Days],Salary_Calculation[[#This Row],[Source Row]])))</f>
        <v/>
      </c>
      <c r="G239" s="165" t="str">
        <f aca="false">IF(Salary_Calculation[[#This Row],[Source Row]]="","",Std_Orders/Std_Days*N(Salary_Calculation[[#This Row],[Calendar Days]]))</f>
        <v/>
      </c>
      <c r="H239" s="165" t="str">
        <f aca="false">IF(Salary_Calculation[[#This Row],[Source Row]]="","",IF(N(Salary_Calculation[[#This Row],[Calendar Days]])&gt;0,Salary_Calculation[[#This Row],[Monthly Target Orders]]/N(Salary_Calculation[[#This Row],[Calendar Days]])*N(Salary_Calculation[[#This Row],[Working Days]]),0))</f>
        <v/>
      </c>
      <c r="I239" s="166" t="str">
        <f aca="false">IF(Salary_Calculation[[#This Row],[Source Row]]="","",IF(INDEX(Rider_Input[Completed Orders],Salary_Calculation[[#This Row],[Source Row]])="","",INDEX(Rider_Input[Completed Orders],Salary_Calculation[[#This Row],[Source Row]])))</f>
        <v/>
      </c>
      <c r="J239" s="165" t="str">
        <f aca="false">IF(Salary_Calculation[[#This Row],[Source Row]]="","",IF(Rate_Method="Fixed rate",Fixed_Rate,IF(N(Salary_Calculation[[#This Row],[Basic Payment]])&gt;0,N(Salary_Calculation[[#This Row],[Basic Payment]])/Std_Orders,0)))</f>
        <v/>
      </c>
      <c r="K239" s="165" t="str">
        <f aca="false">IF(Salary_Calculation[[#This Row],[Source Row]]="","",MAX(MIN(N(Salary_Calculation[[#This Row],[Completed Orders]]),Salary_Calculation[[#This Row],[Rider Target Orders]]),0))</f>
        <v/>
      </c>
      <c r="L239" s="164" t="str">
        <f aca="false">IF(Salary_Calculation[[#This Row],[Source Row]]="","",Salary_Calculation[[#This Row],[Orders Counted at Base Rate]]*Salary_Calculation[[#This Row],[Base Order Rate]])</f>
        <v/>
      </c>
      <c r="M239" s="165" t="str">
        <f aca="false">IF(Salary_Calculation[[#This Row],[Source Row]]="","",MAX(Salary_Calculation[[#This Row],[Rider Target Orders]]-N(Salary_Calculation[[#This Row],[Completed Orders]]),0))</f>
        <v/>
      </c>
      <c r="N239" s="164" t="str">
        <f aca="false">IF(Salary_Calculation[[#This Row],[Source Row]]="","",Salary_Calculation[[#This Row],[Missing Orders]]*Missing_Rate)</f>
        <v/>
      </c>
      <c r="O239" s="165" t="str">
        <f aca="false">IF(Salary_Calculation[[#This Row],[Source Row]]="","",MAX(N(Salary_Calculation[[#This Row],[Completed Orders]])-Salary_Calculation[[#This Row],[Rider Target Orders]],0))</f>
        <v/>
      </c>
      <c r="P239" s="164" t="str">
        <f aca="false">IF(Salary_Calculation[[#This Row],[Source Row]]="","",Salary_Calculation[[#This Row],[Extra Orders]]*Extra_Rate)</f>
        <v/>
      </c>
      <c r="Q239" s="164" t="str">
        <f aca="false">IF(Salary_Calculation[[#This Row],[Source Row]]="","",MAX(Salary_Calculation[[#This Row],[Salary Before Other Deductions]],0))</f>
        <v/>
      </c>
      <c r="R239" s="164" t="str">
        <f aca="false">IF(Salary_Calculation[[#This Row],[Source Row]]="","",N(INDEX(Rider_Input[missed_days_penalty],Salary_Calculation[[#This Row],[Source Row]])))</f>
        <v/>
      </c>
      <c r="S239" s="164" t="str">
        <f aca="false">IF(Salary_Calculation[[#This Row],[Source Row]]="","",N(INDEX(Rider_Input[Rider Balance / محفظة المندوب],Salary_Calculation[[#This Row],[Source Row]])))</f>
        <v/>
      </c>
      <c r="T239" s="164" t="str">
        <f aca="false">IF(Salary_Calculation[[#This Row],[Source Row]]="","",N(INDEX(Rider_Input[stacking_deduction / خصم الطلبات المتعددة],Salary_Calculation[[#This Row],[Source Row]])))</f>
        <v/>
      </c>
      <c r="U239" s="164" t="str">
        <f aca="false">IF(Salary_Calculation[[#This Row],[Source Row]]="","",N(INDEX(Rider_Input[Other Deductions],Salary_Calculation[[#This Row],[Source Row]])))</f>
        <v/>
      </c>
      <c r="V239" s="164" t="str">
        <f aca="false">IF(Salary_Calculation[[#This Row],[Source Row]]="","",N(Salary_Calculation[[#This Row],[missed_days_penalty]])+N(Salary_Calculation[[#This Row],[Rider Balance]])+N(Salary_Calculation[[#This Row],[stacking_deduction]])+N(Salary_Calculation[[#This Row],[Other Deductions]]))</f>
        <v/>
      </c>
      <c r="W239" s="167" t="str">
        <f aca="false">IF(Salary_Calculation[[#This Row],[Source Row]]="","",ROUND(MAX(Salary_Calculation[[#This Row],[Gross Salary Before Deductions]]-Salary_Calculation[[#This Row],[Total Deductions]],0),2))</f>
        <v/>
      </c>
      <c r="X239" s="164" t="str">
        <f aca="false">IF(Salary_Calculation[[#This Row],[Source Row]]="","",ROUND(MAX(Salary_Calculation[[#This Row],[Missing-Order Deduction]]-Salary_Calculation[[#This Row],[Earned Salary]],0),2))</f>
        <v/>
      </c>
      <c r="Y23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39" s="163" t="str">
        <f aca="false">IF(Salary_Calculation[[#This Row],[Source Row]]="","",IF(INDEX(Rider_Input[Notes],Salary_Calculation[[#This Row],[Source Row]])="","",INDEX(Rider_Input[Notes],Salary_Calculation[[#This Row],[Source Row]])))</f>
        <v/>
      </c>
      <c r="AA239" s="164" t="str">
        <f aca="false">IF(Salary_Calculation[[#This Row],[Source Row]]="","",Salary_Calculation[[#This Row],[Earned Salary]]-Salary_Calculation[[#This Row],[Missing-Order Deduction]]+Salary_Calculation[[#This Row],[Extra-Order Bonus]])</f>
        <v/>
      </c>
      <c r="AB239" s="164" t="str">
        <f aca="false">IF(Salary_Calculation[[#This Row],[Source Row]]="","",ROUND(Salary_Calculation[[#This Row],[Negative Balance / Amount Due from Rider]]+MAX(Salary_Calculation[[#This Row],[Total Deductions]]-Salary_Calculation[[#This Row],[Gross Salary Before Deductions]],0),2))</f>
        <v/>
      </c>
      <c r="AC23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39" s="164" t="str">
        <f aca="false">IF(Salary_Calculation[[#This Row],[Source Row]]="","",Salary_Calculation[[#This Row],[Rider Target Orders]]*Salary_Calculation[[#This Row],[Base Order Rate]])</f>
        <v/>
      </c>
      <c r="AE239" s="162" t="str">
        <f aca="false">IF(SUMPRODUCT(--(LEN(INDEX(Rider_Input[#Data],ROW()-ROW(Salary_Calculation[#Headers]),0))&gt;0))=0,"",ROW()-ROW(Salary_Calculation[#Headers]))</f>
        <v/>
      </c>
    </row>
    <row r="240" customFormat="false" ht="14.25" hidden="false" customHeight="false" outlineLevel="0" collapsed="false">
      <c r="A240" s="161" t="str">
        <f aca="false">IF(Salary_Calculation[[#This Row],[Source Row]]="","",IF(INDEX(Rider_Input[Salary Month],Salary_Calculation[[#This Row],[Source Row]])="","",INDEX(Rider_Input[Salary Month],Salary_Calculation[[#This Row],[Source Row]])))</f>
        <v/>
      </c>
      <c r="B240" s="162" t="str">
        <f aca="false">IF(Salary_Calculation[[#This Row],[Source Row]]="","",IF(INDEX(Rider_Input[Rider ID],Salary_Calculation[[#This Row],[Source Row]])="","",INDEX(Rider_Input[Rider ID],Salary_Calculation[[#This Row],[Source Row]])))</f>
        <v/>
      </c>
      <c r="C240" s="163" t="str">
        <f aca="false">IF(Salary_Calculation[[#This Row],[Source Row]]="","",IF(INDEX(Rider_Input[Rider Name],Salary_Calculation[[#This Row],[Source Row]])="","",INDEX(Rider_Input[Rider Name],Salary_Calculation[[#This Row],[Source Row]])))</f>
        <v/>
      </c>
      <c r="D240" s="164" t="str">
        <f aca="false">IF(Salary_Calculation[[#This Row],[Source Row]]="","",IF(INDEX(Rider_Input[Basic Payment],Salary_Calculation[[#This Row],[Source Row]])="","",INDEX(Rider_Input[Basic Payment],Salary_Calculation[[#This Row],[Source Row]])))</f>
        <v/>
      </c>
      <c r="E240" s="162" t="str">
        <f aca="false">IF(Salary_Calculation[[#This Row],[Source Row]]="","",IF(INDEX(Rider_Input[Calendar Days in Month],Salary_Calculation[[#This Row],[Source Row]])="","",INDEX(Rider_Input[Calendar Days in Month],Salary_Calculation[[#This Row],[Source Row]])))</f>
        <v/>
      </c>
      <c r="F240" s="162" t="str">
        <f aca="false">IF(Salary_Calculation[[#This Row],[Source Row]]="","",IF(INDEX(Rider_Input[Working Days],Salary_Calculation[[#This Row],[Source Row]])="","",INDEX(Rider_Input[Working Days],Salary_Calculation[[#This Row],[Source Row]])))</f>
        <v/>
      </c>
      <c r="G240" s="165" t="str">
        <f aca="false">IF(Salary_Calculation[[#This Row],[Source Row]]="","",Std_Orders/Std_Days*N(Salary_Calculation[[#This Row],[Calendar Days]]))</f>
        <v/>
      </c>
      <c r="H240" s="165" t="str">
        <f aca="false">IF(Salary_Calculation[[#This Row],[Source Row]]="","",IF(N(Salary_Calculation[[#This Row],[Calendar Days]])&gt;0,Salary_Calculation[[#This Row],[Monthly Target Orders]]/N(Salary_Calculation[[#This Row],[Calendar Days]])*N(Salary_Calculation[[#This Row],[Working Days]]),0))</f>
        <v/>
      </c>
      <c r="I240" s="166" t="str">
        <f aca="false">IF(Salary_Calculation[[#This Row],[Source Row]]="","",IF(INDEX(Rider_Input[Completed Orders],Salary_Calculation[[#This Row],[Source Row]])="","",INDEX(Rider_Input[Completed Orders],Salary_Calculation[[#This Row],[Source Row]])))</f>
        <v/>
      </c>
      <c r="J240" s="165" t="str">
        <f aca="false">IF(Salary_Calculation[[#This Row],[Source Row]]="","",IF(Rate_Method="Fixed rate",Fixed_Rate,IF(N(Salary_Calculation[[#This Row],[Basic Payment]])&gt;0,N(Salary_Calculation[[#This Row],[Basic Payment]])/Std_Orders,0)))</f>
        <v/>
      </c>
      <c r="K240" s="165" t="str">
        <f aca="false">IF(Salary_Calculation[[#This Row],[Source Row]]="","",MAX(MIN(N(Salary_Calculation[[#This Row],[Completed Orders]]),Salary_Calculation[[#This Row],[Rider Target Orders]]),0))</f>
        <v/>
      </c>
      <c r="L240" s="164" t="str">
        <f aca="false">IF(Salary_Calculation[[#This Row],[Source Row]]="","",Salary_Calculation[[#This Row],[Orders Counted at Base Rate]]*Salary_Calculation[[#This Row],[Base Order Rate]])</f>
        <v/>
      </c>
      <c r="M240" s="165" t="str">
        <f aca="false">IF(Salary_Calculation[[#This Row],[Source Row]]="","",MAX(Salary_Calculation[[#This Row],[Rider Target Orders]]-N(Salary_Calculation[[#This Row],[Completed Orders]]),0))</f>
        <v/>
      </c>
      <c r="N240" s="164" t="str">
        <f aca="false">IF(Salary_Calculation[[#This Row],[Source Row]]="","",Salary_Calculation[[#This Row],[Missing Orders]]*Missing_Rate)</f>
        <v/>
      </c>
      <c r="O240" s="165" t="str">
        <f aca="false">IF(Salary_Calculation[[#This Row],[Source Row]]="","",MAX(N(Salary_Calculation[[#This Row],[Completed Orders]])-Salary_Calculation[[#This Row],[Rider Target Orders]],0))</f>
        <v/>
      </c>
      <c r="P240" s="164" t="str">
        <f aca="false">IF(Salary_Calculation[[#This Row],[Source Row]]="","",Salary_Calculation[[#This Row],[Extra Orders]]*Extra_Rate)</f>
        <v/>
      </c>
      <c r="Q240" s="164" t="str">
        <f aca="false">IF(Salary_Calculation[[#This Row],[Source Row]]="","",MAX(Salary_Calculation[[#This Row],[Salary Before Other Deductions]],0))</f>
        <v/>
      </c>
      <c r="R240" s="164" t="str">
        <f aca="false">IF(Salary_Calculation[[#This Row],[Source Row]]="","",N(INDEX(Rider_Input[missed_days_penalty],Salary_Calculation[[#This Row],[Source Row]])))</f>
        <v/>
      </c>
      <c r="S240" s="164" t="str">
        <f aca="false">IF(Salary_Calculation[[#This Row],[Source Row]]="","",N(INDEX(Rider_Input[Rider Balance / محفظة المندوب],Salary_Calculation[[#This Row],[Source Row]])))</f>
        <v/>
      </c>
      <c r="T240" s="164" t="str">
        <f aca="false">IF(Salary_Calculation[[#This Row],[Source Row]]="","",N(INDEX(Rider_Input[stacking_deduction / خصم الطلبات المتعددة],Salary_Calculation[[#This Row],[Source Row]])))</f>
        <v/>
      </c>
      <c r="U240" s="164" t="str">
        <f aca="false">IF(Salary_Calculation[[#This Row],[Source Row]]="","",N(INDEX(Rider_Input[Other Deductions],Salary_Calculation[[#This Row],[Source Row]])))</f>
        <v/>
      </c>
      <c r="V240" s="164" t="str">
        <f aca="false">IF(Salary_Calculation[[#This Row],[Source Row]]="","",N(Salary_Calculation[[#This Row],[missed_days_penalty]])+N(Salary_Calculation[[#This Row],[Rider Balance]])+N(Salary_Calculation[[#This Row],[stacking_deduction]])+N(Salary_Calculation[[#This Row],[Other Deductions]]))</f>
        <v/>
      </c>
      <c r="W240" s="167" t="str">
        <f aca="false">IF(Salary_Calculation[[#This Row],[Source Row]]="","",ROUND(MAX(Salary_Calculation[[#This Row],[Gross Salary Before Deductions]]-Salary_Calculation[[#This Row],[Total Deductions]],0),2))</f>
        <v/>
      </c>
      <c r="X240" s="164" t="str">
        <f aca="false">IF(Salary_Calculation[[#This Row],[Source Row]]="","",ROUND(MAX(Salary_Calculation[[#This Row],[Missing-Order Deduction]]-Salary_Calculation[[#This Row],[Earned Salary]],0),2))</f>
        <v/>
      </c>
      <c r="Y24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40" s="163" t="str">
        <f aca="false">IF(Salary_Calculation[[#This Row],[Source Row]]="","",IF(INDEX(Rider_Input[Notes],Salary_Calculation[[#This Row],[Source Row]])="","",INDEX(Rider_Input[Notes],Salary_Calculation[[#This Row],[Source Row]])))</f>
        <v/>
      </c>
      <c r="AA240" s="164" t="str">
        <f aca="false">IF(Salary_Calculation[[#This Row],[Source Row]]="","",Salary_Calculation[[#This Row],[Earned Salary]]-Salary_Calculation[[#This Row],[Missing-Order Deduction]]+Salary_Calculation[[#This Row],[Extra-Order Bonus]])</f>
        <v/>
      </c>
      <c r="AB240" s="164" t="str">
        <f aca="false">IF(Salary_Calculation[[#This Row],[Source Row]]="","",ROUND(Salary_Calculation[[#This Row],[Negative Balance / Amount Due from Rider]]+MAX(Salary_Calculation[[#This Row],[Total Deductions]]-Salary_Calculation[[#This Row],[Gross Salary Before Deductions]],0),2))</f>
        <v/>
      </c>
      <c r="AC24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40" s="164" t="str">
        <f aca="false">IF(Salary_Calculation[[#This Row],[Source Row]]="","",Salary_Calculation[[#This Row],[Rider Target Orders]]*Salary_Calculation[[#This Row],[Base Order Rate]])</f>
        <v/>
      </c>
      <c r="AE240" s="162" t="str">
        <f aca="false">IF(SUMPRODUCT(--(LEN(INDEX(Rider_Input[#Data],ROW()-ROW(Salary_Calculation[#Headers]),0))&gt;0))=0,"",ROW()-ROW(Salary_Calculation[#Headers]))</f>
        <v/>
      </c>
    </row>
    <row r="241" customFormat="false" ht="14.25" hidden="false" customHeight="false" outlineLevel="0" collapsed="false">
      <c r="A241" s="161" t="str">
        <f aca="false">IF(Salary_Calculation[[#This Row],[Source Row]]="","",IF(INDEX(Rider_Input[Salary Month],Salary_Calculation[[#This Row],[Source Row]])="","",INDEX(Rider_Input[Salary Month],Salary_Calculation[[#This Row],[Source Row]])))</f>
        <v/>
      </c>
      <c r="B241" s="162" t="str">
        <f aca="false">IF(Salary_Calculation[[#This Row],[Source Row]]="","",IF(INDEX(Rider_Input[Rider ID],Salary_Calculation[[#This Row],[Source Row]])="","",INDEX(Rider_Input[Rider ID],Salary_Calculation[[#This Row],[Source Row]])))</f>
        <v/>
      </c>
      <c r="C241" s="163" t="str">
        <f aca="false">IF(Salary_Calculation[[#This Row],[Source Row]]="","",IF(INDEX(Rider_Input[Rider Name],Salary_Calculation[[#This Row],[Source Row]])="","",INDEX(Rider_Input[Rider Name],Salary_Calculation[[#This Row],[Source Row]])))</f>
        <v/>
      </c>
      <c r="D241" s="164" t="str">
        <f aca="false">IF(Salary_Calculation[[#This Row],[Source Row]]="","",IF(INDEX(Rider_Input[Basic Payment],Salary_Calculation[[#This Row],[Source Row]])="","",INDEX(Rider_Input[Basic Payment],Salary_Calculation[[#This Row],[Source Row]])))</f>
        <v/>
      </c>
      <c r="E241" s="162" t="str">
        <f aca="false">IF(Salary_Calculation[[#This Row],[Source Row]]="","",IF(INDEX(Rider_Input[Calendar Days in Month],Salary_Calculation[[#This Row],[Source Row]])="","",INDEX(Rider_Input[Calendar Days in Month],Salary_Calculation[[#This Row],[Source Row]])))</f>
        <v/>
      </c>
      <c r="F241" s="162" t="str">
        <f aca="false">IF(Salary_Calculation[[#This Row],[Source Row]]="","",IF(INDEX(Rider_Input[Working Days],Salary_Calculation[[#This Row],[Source Row]])="","",INDEX(Rider_Input[Working Days],Salary_Calculation[[#This Row],[Source Row]])))</f>
        <v/>
      </c>
      <c r="G241" s="165" t="str">
        <f aca="false">IF(Salary_Calculation[[#This Row],[Source Row]]="","",Std_Orders/Std_Days*N(Salary_Calculation[[#This Row],[Calendar Days]]))</f>
        <v/>
      </c>
      <c r="H241" s="165" t="str">
        <f aca="false">IF(Salary_Calculation[[#This Row],[Source Row]]="","",IF(N(Salary_Calculation[[#This Row],[Calendar Days]])&gt;0,Salary_Calculation[[#This Row],[Monthly Target Orders]]/N(Salary_Calculation[[#This Row],[Calendar Days]])*N(Salary_Calculation[[#This Row],[Working Days]]),0))</f>
        <v/>
      </c>
      <c r="I241" s="166" t="str">
        <f aca="false">IF(Salary_Calculation[[#This Row],[Source Row]]="","",IF(INDEX(Rider_Input[Completed Orders],Salary_Calculation[[#This Row],[Source Row]])="","",INDEX(Rider_Input[Completed Orders],Salary_Calculation[[#This Row],[Source Row]])))</f>
        <v/>
      </c>
      <c r="J241" s="165" t="str">
        <f aca="false">IF(Salary_Calculation[[#This Row],[Source Row]]="","",IF(Rate_Method="Fixed rate",Fixed_Rate,IF(N(Salary_Calculation[[#This Row],[Basic Payment]])&gt;0,N(Salary_Calculation[[#This Row],[Basic Payment]])/Std_Orders,0)))</f>
        <v/>
      </c>
      <c r="K241" s="165" t="str">
        <f aca="false">IF(Salary_Calculation[[#This Row],[Source Row]]="","",MAX(MIN(N(Salary_Calculation[[#This Row],[Completed Orders]]),Salary_Calculation[[#This Row],[Rider Target Orders]]),0))</f>
        <v/>
      </c>
      <c r="L241" s="164" t="str">
        <f aca="false">IF(Salary_Calculation[[#This Row],[Source Row]]="","",Salary_Calculation[[#This Row],[Orders Counted at Base Rate]]*Salary_Calculation[[#This Row],[Base Order Rate]])</f>
        <v/>
      </c>
      <c r="M241" s="165" t="str">
        <f aca="false">IF(Salary_Calculation[[#This Row],[Source Row]]="","",MAX(Salary_Calculation[[#This Row],[Rider Target Orders]]-N(Salary_Calculation[[#This Row],[Completed Orders]]),0))</f>
        <v/>
      </c>
      <c r="N241" s="164" t="str">
        <f aca="false">IF(Salary_Calculation[[#This Row],[Source Row]]="","",Salary_Calculation[[#This Row],[Missing Orders]]*Missing_Rate)</f>
        <v/>
      </c>
      <c r="O241" s="165" t="str">
        <f aca="false">IF(Salary_Calculation[[#This Row],[Source Row]]="","",MAX(N(Salary_Calculation[[#This Row],[Completed Orders]])-Salary_Calculation[[#This Row],[Rider Target Orders]],0))</f>
        <v/>
      </c>
      <c r="P241" s="164" t="str">
        <f aca="false">IF(Salary_Calculation[[#This Row],[Source Row]]="","",Salary_Calculation[[#This Row],[Extra Orders]]*Extra_Rate)</f>
        <v/>
      </c>
      <c r="Q241" s="164" t="str">
        <f aca="false">IF(Salary_Calculation[[#This Row],[Source Row]]="","",MAX(Salary_Calculation[[#This Row],[Salary Before Other Deductions]],0))</f>
        <v/>
      </c>
      <c r="R241" s="164" t="str">
        <f aca="false">IF(Salary_Calculation[[#This Row],[Source Row]]="","",N(INDEX(Rider_Input[missed_days_penalty],Salary_Calculation[[#This Row],[Source Row]])))</f>
        <v/>
      </c>
      <c r="S241" s="164" t="str">
        <f aca="false">IF(Salary_Calculation[[#This Row],[Source Row]]="","",N(INDEX(Rider_Input[Rider Balance / محفظة المندوب],Salary_Calculation[[#This Row],[Source Row]])))</f>
        <v/>
      </c>
      <c r="T241" s="164" t="str">
        <f aca="false">IF(Salary_Calculation[[#This Row],[Source Row]]="","",N(INDEX(Rider_Input[stacking_deduction / خصم الطلبات المتعددة],Salary_Calculation[[#This Row],[Source Row]])))</f>
        <v/>
      </c>
      <c r="U241" s="164" t="str">
        <f aca="false">IF(Salary_Calculation[[#This Row],[Source Row]]="","",N(INDEX(Rider_Input[Other Deductions],Salary_Calculation[[#This Row],[Source Row]])))</f>
        <v/>
      </c>
      <c r="V241" s="164" t="str">
        <f aca="false">IF(Salary_Calculation[[#This Row],[Source Row]]="","",N(Salary_Calculation[[#This Row],[missed_days_penalty]])+N(Salary_Calculation[[#This Row],[Rider Balance]])+N(Salary_Calculation[[#This Row],[stacking_deduction]])+N(Salary_Calculation[[#This Row],[Other Deductions]]))</f>
        <v/>
      </c>
      <c r="W241" s="167" t="str">
        <f aca="false">IF(Salary_Calculation[[#This Row],[Source Row]]="","",ROUND(MAX(Salary_Calculation[[#This Row],[Gross Salary Before Deductions]]-Salary_Calculation[[#This Row],[Total Deductions]],0),2))</f>
        <v/>
      </c>
      <c r="X241" s="164" t="str">
        <f aca="false">IF(Salary_Calculation[[#This Row],[Source Row]]="","",ROUND(MAX(Salary_Calculation[[#This Row],[Missing-Order Deduction]]-Salary_Calculation[[#This Row],[Earned Salary]],0),2))</f>
        <v/>
      </c>
      <c r="Y24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41" s="163" t="str">
        <f aca="false">IF(Salary_Calculation[[#This Row],[Source Row]]="","",IF(INDEX(Rider_Input[Notes],Salary_Calculation[[#This Row],[Source Row]])="","",INDEX(Rider_Input[Notes],Salary_Calculation[[#This Row],[Source Row]])))</f>
        <v/>
      </c>
      <c r="AA241" s="164" t="str">
        <f aca="false">IF(Salary_Calculation[[#This Row],[Source Row]]="","",Salary_Calculation[[#This Row],[Earned Salary]]-Salary_Calculation[[#This Row],[Missing-Order Deduction]]+Salary_Calculation[[#This Row],[Extra-Order Bonus]])</f>
        <v/>
      </c>
      <c r="AB241" s="164" t="str">
        <f aca="false">IF(Salary_Calculation[[#This Row],[Source Row]]="","",ROUND(Salary_Calculation[[#This Row],[Negative Balance / Amount Due from Rider]]+MAX(Salary_Calculation[[#This Row],[Total Deductions]]-Salary_Calculation[[#This Row],[Gross Salary Before Deductions]],0),2))</f>
        <v/>
      </c>
      <c r="AC24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41" s="164" t="str">
        <f aca="false">IF(Salary_Calculation[[#This Row],[Source Row]]="","",Salary_Calculation[[#This Row],[Rider Target Orders]]*Salary_Calculation[[#This Row],[Base Order Rate]])</f>
        <v/>
      </c>
      <c r="AE241" s="162" t="str">
        <f aca="false">IF(SUMPRODUCT(--(LEN(INDEX(Rider_Input[#Data],ROW()-ROW(Salary_Calculation[#Headers]),0))&gt;0))=0,"",ROW()-ROW(Salary_Calculation[#Headers]))</f>
        <v/>
      </c>
    </row>
    <row r="242" customFormat="false" ht="14.25" hidden="false" customHeight="false" outlineLevel="0" collapsed="false">
      <c r="A242" s="161" t="str">
        <f aca="false">IF(Salary_Calculation[[#This Row],[Source Row]]="","",IF(INDEX(Rider_Input[Salary Month],Salary_Calculation[[#This Row],[Source Row]])="","",INDEX(Rider_Input[Salary Month],Salary_Calculation[[#This Row],[Source Row]])))</f>
        <v/>
      </c>
      <c r="B242" s="162" t="str">
        <f aca="false">IF(Salary_Calculation[[#This Row],[Source Row]]="","",IF(INDEX(Rider_Input[Rider ID],Salary_Calculation[[#This Row],[Source Row]])="","",INDEX(Rider_Input[Rider ID],Salary_Calculation[[#This Row],[Source Row]])))</f>
        <v/>
      </c>
      <c r="C242" s="163" t="str">
        <f aca="false">IF(Salary_Calculation[[#This Row],[Source Row]]="","",IF(INDEX(Rider_Input[Rider Name],Salary_Calculation[[#This Row],[Source Row]])="","",INDEX(Rider_Input[Rider Name],Salary_Calculation[[#This Row],[Source Row]])))</f>
        <v/>
      </c>
      <c r="D242" s="164" t="str">
        <f aca="false">IF(Salary_Calculation[[#This Row],[Source Row]]="","",IF(INDEX(Rider_Input[Basic Payment],Salary_Calculation[[#This Row],[Source Row]])="","",INDEX(Rider_Input[Basic Payment],Salary_Calculation[[#This Row],[Source Row]])))</f>
        <v/>
      </c>
      <c r="E242" s="162" t="str">
        <f aca="false">IF(Salary_Calculation[[#This Row],[Source Row]]="","",IF(INDEX(Rider_Input[Calendar Days in Month],Salary_Calculation[[#This Row],[Source Row]])="","",INDEX(Rider_Input[Calendar Days in Month],Salary_Calculation[[#This Row],[Source Row]])))</f>
        <v/>
      </c>
      <c r="F242" s="162" t="str">
        <f aca="false">IF(Salary_Calculation[[#This Row],[Source Row]]="","",IF(INDEX(Rider_Input[Working Days],Salary_Calculation[[#This Row],[Source Row]])="","",INDEX(Rider_Input[Working Days],Salary_Calculation[[#This Row],[Source Row]])))</f>
        <v/>
      </c>
      <c r="G242" s="165" t="str">
        <f aca="false">IF(Salary_Calculation[[#This Row],[Source Row]]="","",Std_Orders/Std_Days*N(Salary_Calculation[[#This Row],[Calendar Days]]))</f>
        <v/>
      </c>
      <c r="H242" s="165" t="str">
        <f aca="false">IF(Salary_Calculation[[#This Row],[Source Row]]="","",IF(N(Salary_Calculation[[#This Row],[Calendar Days]])&gt;0,Salary_Calculation[[#This Row],[Monthly Target Orders]]/N(Salary_Calculation[[#This Row],[Calendar Days]])*N(Salary_Calculation[[#This Row],[Working Days]]),0))</f>
        <v/>
      </c>
      <c r="I242" s="166" t="str">
        <f aca="false">IF(Salary_Calculation[[#This Row],[Source Row]]="","",IF(INDEX(Rider_Input[Completed Orders],Salary_Calculation[[#This Row],[Source Row]])="","",INDEX(Rider_Input[Completed Orders],Salary_Calculation[[#This Row],[Source Row]])))</f>
        <v/>
      </c>
      <c r="J242" s="165" t="str">
        <f aca="false">IF(Salary_Calculation[[#This Row],[Source Row]]="","",IF(Rate_Method="Fixed rate",Fixed_Rate,IF(N(Salary_Calculation[[#This Row],[Basic Payment]])&gt;0,N(Salary_Calculation[[#This Row],[Basic Payment]])/Std_Orders,0)))</f>
        <v/>
      </c>
      <c r="K242" s="165" t="str">
        <f aca="false">IF(Salary_Calculation[[#This Row],[Source Row]]="","",MAX(MIN(N(Salary_Calculation[[#This Row],[Completed Orders]]),Salary_Calculation[[#This Row],[Rider Target Orders]]),0))</f>
        <v/>
      </c>
      <c r="L242" s="164" t="str">
        <f aca="false">IF(Salary_Calculation[[#This Row],[Source Row]]="","",Salary_Calculation[[#This Row],[Orders Counted at Base Rate]]*Salary_Calculation[[#This Row],[Base Order Rate]])</f>
        <v/>
      </c>
      <c r="M242" s="165" t="str">
        <f aca="false">IF(Salary_Calculation[[#This Row],[Source Row]]="","",MAX(Salary_Calculation[[#This Row],[Rider Target Orders]]-N(Salary_Calculation[[#This Row],[Completed Orders]]),0))</f>
        <v/>
      </c>
      <c r="N242" s="164" t="str">
        <f aca="false">IF(Salary_Calculation[[#This Row],[Source Row]]="","",Salary_Calculation[[#This Row],[Missing Orders]]*Missing_Rate)</f>
        <v/>
      </c>
      <c r="O242" s="165" t="str">
        <f aca="false">IF(Salary_Calculation[[#This Row],[Source Row]]="","",MAX(N(Salary_Calculation[[#This Row],[Completed Orders]])-Salary_Calculation[[#This Row],[Rider Target Orders]],0))</f>
        <v/>
      </c>
      <c r="P242" s="164" t="str">
        <f aca="false">IF(Salary_Calculation[[#This Row],[Source Row]]="","",Salary_Calculation[[#This Row],[Extra Orders]]*Extra_Rate)</f>
        <v/>
      </c>
      <c r="Q242" s="164" t="str">
        <f aca="false">IF(Salary_Calculation[[#This Row],[Source Row]]="","",MAX(Salary_Calculation[[#This Row],[Salary Before Other Deductions]],0))</f>
        <v/>
      </c>
      <c r="R242" s="164" t="str">
        <f aca="false">IF(Salary_Calculation[[#This Row],[Source Row]]="","",N(INDEX(Rider_Input[missed_days_penalty],Salary_Calculation[[#This Row],[Source Row]])))</f>
        <v/>
      </c>
      <c r="S242" s="164" t="str">
        <f aca="false">IF(Salary_Calculation[[#This Row],[Source Row]]="","",N(INDEX(Rider_Input[Rider Balance / محفظة المندوب],Salary_Calculation[[#This Row],[Source Row]])))</f>
        <v/>
      </c>
      <c r="T242" s="164" t="str">
        <f aca="false">IF(Salary_Calculation[[#This Row],[Source Row]]="","",N(INDEX(Rider_Input[stacking_deduction / خصم الطلبات المتعددة],Salary_Calculation[[#This Row],[Source Row]])))</f>
        <v/>
      </c>
      <c r="U242" s="164" t="str">
        <f aca="false">IF(Salary_Calculation[[#This Row],[Source Row]]="","",N(INDEX(Rider_Input[Other Deductions],Salary_Calculation[[#This Row],[Source Row]])))</f>
        <v/>
      </c>
      <c r="V242" s="164" t="str">
        <f aca="false">IF(Salary_Calculation[[#This Row],[Source Row]]="","",N(Salary_Calculation[[#This Row],[missed_days_penalty]])+N(Salary_Calculation[[#This Row],[Rider Balance]])+N(Salary_Calculation[[#This Row],[stacking_deduction]])+N(Salary_Calculation[[#This Row],[Other Deductions]]))</f>
        <v/>
      </c>
      <c r="W242" s="167" t="str">
        <f aca="false">IF(Salary_Calculation[[#This Row],[Source Row]]="","",ROUND(MAX(Salary_Calculation[[#This Row],[Gross Salary Before Deductions]]-Salary_Calculation[[#This Row],[Total Deductions]],0),2))</f>
        <v/>
      </c>
      <c r="X242" s="164" t="str">
        <f aca="false">IF(Salary_Calculation[[#This Row],[Source Row]]="","",ROUND(MAX(Salary_Calculation[[#This Row],[Missing-Order Deduction]]-Salary_Calculation[[#This Row],[Earned Salary]],0),2))</f>
        <v/>
      </c>
      <c r="Y24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42" s="163" t="str">
        <f aca="false">IF(Salary_Calculation[[#This Row],[Source Row]]="","",IF(INDEX(Rider_Input[Notes],Salary_Calculation[[#This Row],[Source Row]])="","",INDEX(Rider_Input[Notes],Salary_Calculation[[#This Row],[Source Row]])))</f>
        <v/>
      </c>
      <c r="AA242" s="164" t="str">
        <f aca="false">IF(Salary_Calculation[[#This Row],[Source Row]]="","",Salary_Calculation[[#This Row],[Earned Salary]]-Salary_Calculation[[#This Row],[Missing-Order Deduction]]+Salary_Calculation[[#This Row],[Extra-Order Bonus]])</f>
        <v/>
      </c>
      <c r="AB242" s="164" t="str">
        <f aca="false">IF(Salary_Calculation[[#This Row],[Source Row]]="","",ROUND(Salary_Calculation[[#This Row],[Negative Balance / Amount Due from Rider]]+MAX(Salary_Calculation[[#This Row],[Total Deductions]]-Salary_Calculation[[#This Row],[Gross Salary Before Deductions]],0),2))</f>
        <v/>
      </c>
      <c r="AC24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42" s="164" t="str">
        <f aca="false">IF(Salary_Calculation[[#This Row],[Source Row]]="","",Salary_Calculation[[#This Row],[Rider Target Orders]]*Salary_Calculation[[#This Row],[Base Order Rate]])</f>
        <v/>
      </c>
      <c r="AE242" s="162" t="str">
        <f aca="false">IF(SUMPRODUCT(--(LEN(INDEX(Rider_Input[#Data],ROW()-ROW(Salary_Calculation[#Headers]),0))&gt;0))=0,"",ROW()-ROW(Salary_Calculation[#Headers]))</f>
        <v/>
      </c>
    </row>
    <row r="243" customFormat="false" ht="14.25" hidden="false" customHeight="false" outlineLevel="0" collapsed="false">
      <c r="A243" s="161" t="str">
        <f aca="false">IF(Salary_Calculation[[#This Row],[Source Row]]="","",IF(INDEX(Rider_Input[Salary Month],Salary_Calculation[[#This Row],[Source Row]])="","",INDEX(Rider_Input[Salary Month],Salary_Calculation[[#This Row],[Source Row]])))</f>
        <v/>
      </c>
      <c r="B243" s="162" t="str">
        <f aca="false">IF(Salary_Calculation[[#This Row],[Source Row]]="","",IF(INDEX(Rider_Input[Rider ID],Salary_Calculation[[#This Row],[Source Row]])="","",INDEX(Rider_Input[Rider ID],Salary_Calculation[[#This Row],[Source Row]])))</f>
        <v/>
      </c>
      <c r="C243" s="163" t="str">
        <f aca="false">IF(Salary_Calculation[[#This Row],[Source Row]]="","",IF(INDEX(Rider_Input[Rider Name],Salary_Calculation[[#This Row],[Source Row]])="","",INDEX(Rider_Input[Rider Name],Salary_Calculation[[#This Row],[Source Row]])))</f>
        <v/>
      </c>
      <c r="D243" s="164" t="str">
        <f aca="false">IF(Salary_Calculation[[#This Row],[Source Row]]="","",IF(INDEX(Rider_Input[Basic Payment],Salary_Calculation[[#This Row],[Source Row]])="","",INDEX(Rider_Input[Basic Payment],Salary_Calculation[[#This Row],[Source Row]])))</f>
        <v/>
      </c>
      <c r="E243" s="162" t="str">
        <f aca="false">IF(Salary_Calculation[[#This Row],[Source Row]]="","",IF(INDEX(Rider_Input[Calendar Days in Month],Salary_Calculation[[#This Row],[Source Row]])="","",INDEX(Rider_Input[Calendar Days in Month],Salary_Calculation[[#This Row],[Source Row]])))</f>
        <v/>
      </c>
      <c r="F243" s="162" t="str">
        <f aca="false">IF(Salary_Calculation[[#This Row],[Source Row]]="","",IF(INDEX(Rider_Input[Working Days],Salary_Calculation[[#This Row],[Source Row]])="","",INDEX(Rider_Input[Working Days],Salary_Calculation[[#This Row],[Source Row]])))</f>
        <v/>
      </c>
      <c r="G243" s="165" t="str">
        <f aca="false">IF(Salary_Calculation[[#This Row],[Source Row]]="","",Std_Orders/Std_Days*N(Salary_Calculation[[#This Row],[Calendar Days]]))</f>
        <v/>
      </c>
      <c r="H243" s="165" t="str">
        <f aca="false">IF(Salary_Calculation[[#This Row],[Source Row]]="","",IF(N(Salary_Calculation[[#This Row],[Calendar Days]])&gt;0,Salary_Calculation[[#This Row],[Monthly Target Orders]]/N(Salary_Calculation[[#This Row],[Calendar Days]])*N(Salary_Calculation[[#This Row],[Working Days]]),0))</f>
        <v/>
      </c>
      <c r="I243" s="166" t="str">
        <f aca="false">IF(Salary_Calculation[[#This Row],[Source Row]]="","",IF(INDEX(Rider_Input[Completed Orders],Salary_Calculation[[#This Row],[Source Row]])="","",INDEX(Rider_Input[Completed Orders],Salary_Calculation[[#This Row],[Source Row]])))</f>
        <v/>
      </c>
      <c r="J243" s="165" t="str">
        <f aca="false">IF(Salary_Calculation[[#This Row],[Source Row]]="","",IF(Rate_Method="Fixed rate",Fixed_Rate,IF(N(Salary_Calculation[[#This Row],[Basic Payment]])&gt;0,N(Salary_Calculation[[#This Row],[Basic Payment]])/Std_Orders,0)))</f>
        <v/>
      </c>
      <c r="K243" s="165" t="str">
        <f aca="false">IF(Salary_Calculation[[#This Row],[Source Row]]="","",MAX(MIN(N(Salary_Calculation[[#This Row],[Completed Orders]]),Salary_Calculation[[#This Row],[Rider Target Orders]]),0))</f>
        <v/>
      </c>
      <c r="L243" s="164" t="str">
        <f aca="false">IF(Salary_Calculation[[#This Row],[Source Row]]="","",Salary_Calculation[[#This Row],[Orders Counted at Base Rate]]*Salary_Calculation[[#This Row],[Base Order Rate]])</f>
        <v/>
      </c>
      <c r="M243" s="165" t="str">
        <f aca="false">IF(Salary_Calculation[[#This Row],[Source Row]]="","",MAX(Salary_Calculation[[#This Row],[Rider Target Orders]]-N(Salary_Calculation[[#This Row],[Completed Orders]]),0))</f>
        <v/>
      </c>
      <c r="N243" s="164" t="str">
        <f aca="false">IF(Salary_Calculation[[#This Row],[Source Row]]="","",Salary_Calculation[[#This Row],[Missing Orders]]*Missing_Rate)</f>
        <v/>
      </c>
      <c r="O243" s="165" t="str">
        <f aca="false">IF(Salary_Calculation[[#This Row],[Source Row]]="","",MAX(N(Salary_Calculation[[#This Row],[Completed Orders]])-Salary_Calculation[[#This Row],[Rider Target Orders]],0))</f>
        <v/>
      </c>
      <c r="P243" s="164" t="str">
        <f aca="false">IF(Salary_Calculation[[#This Row],[Source Row]]="","",Salary_Calculation[[#This Row],[Extra Orders]]*Extra_Rate)</f>
        <v/>
      </c>
      <c r="Q243" s="164" t="str">
        <f aca="false">IF(Salary_Calculation[[#This Row],[Source Row]]="","",MAX(Salary_Calculation[[#This Row],[Salary Before Other Deductions]],0))</f>
        <v/>
      </c>
      <c r="R243" s="164" t="str">
        <f aca="false">IF(Salary_Calculation[[#This Row],[Source Row]]="","",N(INDEX(Rider_Input[missed_days_penalty],Salary_Calculation[[#This Row],[Source Row]])))</f>
        <v/>
      </c>
      <c r="S243" s="164" t="str">
        <f aca="false">IF(Salary_Calculation[[#This Row],[Source Row]]="","",N(INDEX(Rider_Input[Rider Balance / محفظة المندوب],Salary_Calculation[[#This Row],[Source Row]])))</f>
        <v/>
      </c>
      <c r="T243" s="164" t="str">
        <f aca="false">IF(Salary_Calculation[[#This Row],[Source Row]]="","",N(INDEX(Rider_Input[stacking_deduction / خصم الطلبات المتعددة],Salary_Calculation[[#This Row],[Source Row]])))</f>
        <v/>
      </c>
      <c r="U243" s="164" t="str">
        <f aca="false">IF(Salary_Calculation[[#This Row],[Source Row]]="","",N(INDEX(Rider_Input[Other Deductions],Salary_Calculation[[#This Row],[Source Row]])))</f>
        <v/>
      </c>
      <c r="V243" s="164" t="str">
        <f aca="false">IF(Salary_Calculation[[#This Row],[Source Row]]="","",N(Salary_Calculation[[#This Row],[missed_days_penalty]])+N(Salary_Calculation[[#This Row],[Rider Balance]])+N(Salary_Calculation[[#This Row],[stacking_deduction]])+N(Salary_Calculation[[#This Row],[Other Deductions]]))</f>
        <v/>
      </c>
      <c r="W243" s="167" t="str">
        <f aca="false">IF(Salary_Calculation[[#This Row],[Source Row]]="","",ROUND(MAX(Salary_Calculation[[#This Row],[Gross Salary Before Deductions]]-Salary_Calculation[[#This Row],[Total Deductions]],0),2))</f>
        <v/>
      </c>
      <c r="X243" s="164" t="str">
        <f aca="false">IF(Salary_Calculation[[#This Row],[Source Row]]="","",ROUND(MAX(Salary_Calculation[[#This Row],[Missing-Order Deduction]]-Salary_Calculation[[#This Row],[Earned Salary]],0),2))</f>
        <v/>
      </c>
      <c r="Y24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43" s="163" t="str">
        <f aca="false">IF(Salary_Calculation[[#This Row],[Source Row]]="","",IF(INDEX(Rider_Input[Notes],Salary_Calculation[[#This Row],[Source Row]])="","",INDEX(Rider_Input[Notes],Salary_Calculation[[#This Row],[Source Row]])))</f>
        <v/>
      </c>
      <c r="AA243" s="164" t="str">
        <f aca="false">IF(Salary_Calculation[[#This Row],[Source Row]]="","",Salary_Calculation[[#This Row],[Earned Salary]]-Salary_Calculation[[#This Row],[Missing-Order Deduction]]+Salary_Calculation[[#This Row],[Extra-Order Bonus]])</f>
        <v/>
      </c>
      <c r="AB243" s="164" t="str">
        <f aca="false">IF(Salary_Calculation[[#This Row],[Source Row]]="","",ROUND(Salary_Calculation[[#This Row],[Negative Balance / Amount Due from Rider]]+MAX(Salary_Calculation[[#This Row],[Total Deductions]]-Salary_Calculation[[#This Row],[Gross Salary Before Deductions]],0),2))</f>
        <v/>
      </c>
      <c r="AC24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43" s="164" t="str">
        <f aca="false">IF(Salary_Calculation[[#This Row],[Source Row]]="","",Salary_Calculation[[#This Row],[Rider Target Orders]]*Salary_Calculation[[#This Row],[Base Order Rate]])</f>
        <v/>
      </c>
      <c r="AE243" s="162" t="str">
        <f aca="false">IF(SUMPRODUCT(--(LEN(INDEX(Rider_Input[#Data],ROW()-ROW(Salary_Calculation[#Headers]),0))&gt;0))=0,"",ROW()-ROW(Salary_Calculation[#Headers]))</f>
        <v/>
      </c>
    </row>
    <row r="244" customFormat="false" ht="14.25" hidden="false" customHeight="false" outlineLevel="0" collapsed="false">
      <c r="A244" s="161" t="str">
        <f aca="false">IF(Salary_Calculation[[#This Row],[Source Row]]="","",IF(INDEX(Rider_Input[Salary Month],Salary_Calculation[[#This Row],[Source Row]])="","",INDEX(Rider_Input[Salary Month],Salary_Calculation[[#This Row],[Source Row]])))</f>
        <v/>
      </c>
      <c r="B244" s="162" t="str">
        <f aca="false">IF(Salary_Calculation[[#This Row],[Source Row]]="","",IF(INDEX(Rider_Input[Rider ID],Salary_Calculation[[#This Row],[Source Row]])="","",INDEX(Rider_Input[Rider ID],Salary_Calculation[[#This Row],[Source Row]])))</f>
        <v/>
      </c>
      <c r="C244" s="163" t="str">
        <f aca="false">IF(Salary_Calculation[[#This Row],[Source Row]]="","",IF(INDEX(Rider_Input[Rider Name],Salary_Calculation[[#This Row],[Source Row]])="","",INDEX(Rider_Input[Rider Name],Salary_Calculation[[#This Row],[Source Row]])))</f>
        <v/>
      </c>
      <c r="D244" s="164" t="str">
        <f aca="false">IF(Salary_Calculation[[#This Row],[Source Row]]="","",IF(INDEX(Rider_Input[Basic Payment],Salary_Calculation[[#This Row],[Source Row]])="","",INDEX(Rider_Input[Basic Payment],Salary_Calculation[[#This Row],[Source Row]])))</f>
        <v/>
      </c>
      <c r="E244" s="162" t="str">
        <f aca="false">IF(Salary_Calculation[[#This Row],[Source Row]]="","",IF(INDEX(Rider_Input[Calendar Days in Month],Salary_Calculation[[#This Row],[Source Row]])="","",INDEX(Rider_Input[Calendar Days in Month],Salary_Calculation[[#This Row],[Source Row]])))</f>
        <v/>
      </c>
      <c r="F244" s="162" t="str">
        <f aca="false">IF(Salary_Calculation[[#This Row],[Source Row]]="","",IF(INDEX(Rider_Input[Working Days],Salary_Calculation[[#This Row],[Source Row]])="","",INDEX(Rider_Input[Working Days],Salary_Calculation[[#This Row],[Source Row]])))</f>
        <v/>
      </c>
      <c r="G244" s="165" t="str">
        <f aca="false">IF(Salary_Calculation[[#This Row],[Source Row]]="","",Std_Orders/Std_Days*N(Salary_Calculation[[#This Row],[Calendar Days]]))</f>
        <v/>
      </c>
      <c r="H244" s="165" t="str">
        <f aca="false">IF(Salary_Calculation[[#This Row],[Source Row]]="","",IF(N(Salary_Calculation[[#This Row],[Calendar Days]])&gt;0,Salary_Calculation[[#This Row],[Monthly Target Orders]]/N(Salary_Calculation[[#This Row],[Calendar Days]])*N(Salary_Calculation[[#This Row],[Working Days]]),0))</f>
        <v/>
      </c>
      <c r="I244" s="166" t="str">
        <f aca="false">IF(Salary_Calculation[[#This Row],[Source Row]]="","",IF(INDEX(Rider_Input[Completed Orders],Salary_Calculation[[#This Row],[Source Row]])="","",INDEX(Rider_Input[Completed Orders],Salary_Calculation[[#This Row],[Source Row]])))</f>
        <v/>
      </c>
      <c r="J244" s="165" t="str">
        <f aca="false">IF(Salary_Calculation[[#This Row],[Source Row]]="","",IF(Rate_Method="Fixed rate",Fixed_Rate,IF(N(Salary_Calculation[[#This Row],[Basic Payment]])&gt;0,N(Salary_Calculation[[#This Row],[Basic Payment]])/Std_Orders,0)))</f>
        <v/>
      </c>
      <c r="K244" s="165" t="str">
        <f aca="false">IF(Salary_Calculation[[#This Row],[Source Row]]="","",MAX(MIN(N(Salary_Calculation[[#This Row],[Completed Orders]]),Salary_Calculation[[#This Row],[Rider Target Orders]]),0))</f>
        <v/>
      </c>
      <c r="L244" s="164" t="str">
        <f aca="false">IF(Salary_Calculation[[#This Row],[Source Row]]="","",Salary_Calculation[[#This Row],[Orders Counted at Base Rate]]*Salary_Calculation[[#This Row],[Base Order Rate]])</f>
        <v/>
      </c>
      <c r="M244" s="165" t="str">
        <f aca="false">IF(Salary_Calculation[[#This Row],[Source Row]]="","",MAX(Salary_Calculation[[#This Row],[Rider Target Orders]]-N(Salary_Calculation[[#This Row],[Completed Orders]]),0))</f>
        <v/>
      </c>
      <c r="N244" s="164" t="str">
        <f aca="false">IF(Salary_Calculation[[#This Row],[Source Row]]="","",Salary_Calculation[[#This Row],[Missing Orders]]*Missing_Rate)</f>
        <v/>
      </c>
      <c r="O244" s="165" t="str">
        <f aca="false">IF(Salary_Calculation[[#This Row],[Source Row]]="","",MAX(N(Salary_Calculation[[#This Row],[Completed Orders]])-Salary_Calculation[[#This Row],[Rider Target Orders]],0))</f>
        <v/>
      </c>
      <c r="P244" s="164" t="str">
        <f aca="false">IF(Salary_Calculation[[#This Row],[Source Row]]="","",Salary_Calculation[[#This Row],[Extra Orders]]*Extra_Rate)</f>
        <v/>
      </c>
      <c r="Q244" s="164" t="str">
        <f aca="false">IF(Salary_Calculation[[#This Row],[Source Row]]="","",MAX(Salary_Calculation[[#This Row],[Salary Before Other Deductions]],0))</f>
        <v/>
      </c>
      <c r="R244" s="164" t="str">
        <f aca="false">IF(Salary_Calculation[[#This Row],[Source Row]]="","",N(INDEX(Rider_Input[missed_days_penalty],Salary_Calculation[[#This Row],[Source Row]])))</f>
        <v/>
      </c>
      <c r="S244" s="164" t="str">
        <f aca="false">IF(Salary_Calculation[[#This Row],[Source Row]]="","",N(INDEX(Rider_Input[Rider Balance / محفظة المندوب],Salary_Calculation[[#This Row],[Source Row]])))</f>
        <v/>
      </c>
      <c r="T244" s="164" t="str">
        <f aca="false">IF(Salary_Calculation[[#This Row],[Source Row]]="","",N(INDEX(Rider_Input[stacking_deduction / خصم الطلبات المتعددة],Salary_Calculation[[#This Row],[Source Row]])))</f>
        <v/>
      </c>
      <c r="U244" s="164" t="str">
        <f aca="false">IF(Salary_Calculation[[#This Row],[Source Row]]="","",N(INDEX(Rider_Input[Other Deductions],Salary_Calculation[[#This Row],[Source Row]])))</f>
        <v/>
      </c>
      <c r="V244" s="164" t="str">
        <f aca="false">IF(Salary_Calculation[[#This Row],[Source Row]]="","",N(Salary_Calculation[[#This Row],[missed_days_penalty]])+N(Salary_Calculation[[#This Row],[Rider Balance]])+N(Salary_Calculation[[#This Row],[stacking_deduction]])+N(Salary_Calculation[[#This Row],[Other Deductions]]))</f>
        <v/>
      </c>
      <c r="W244" s="167" t="str">
        <f aca="false">IF(Salary_Calculation[[#This Row],[Source Row]]="","",ROUND(MAX(Salary_Calculation[[#This Row],[Gross Salary Before Deductions]]-Salary_Calculation[[#This Row],[Total Deductions]],0),2))</f>
        <v/>
      </c>
      <c r="X244" s="164" t="str">
        <f aca="false">IF(Salary_Calculation[[#This Row],[Source Row]]="","",ROUND(MAX(Salary_Calculation[[#This Row],[Missing-Order Deduction]]-Salary_Calculation[[#This Row],[Earned Salary]],0),2))</f>
        <v/>
      </c>
      <c r="Y24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44" s="163" t="str">
        <f aca="false">IF(Salary_Calculation[[#This Row],[Source Row]]="","",IF(INDEX(Rider_Input[Notes],Salary_Calculation[[#This Row],[Source Row]])="","",INDEX(Rider_Input[Notes],Salary_Calculation[[#This Row],[Source Row]])))</f>
        <v/>
      </c>
      <c r="AA244" s="164" t="str">
        <f aca="false">IF(Salary_Calculation[[#This Row],[Source Row]]="","",Salary_Calculation[[#This Row],[Earned Salary]]-Salary_Calculation[[#This Row],[Missing-Order Deduction]]+Salary_Calculation[[#This Row],[Extra-Order Bonus]])</f>
        <v/>
      </c>
      <c r="AB244" s="164" t="str">
        <f aca="false">IF(Salary_Calculation[[#This Row],[Source Row]]="","",ROUND(Salary_Calculation[[#This Row],[Negative Balance / Amount Due from Rider]]+MAX(Salary_Calculation[[#This Row],[Total Deductions]]-Salary_Calculation[[#This Row],[Gross Salary Before Deductions]],0),2))</f>
        <v/>
      </c>
      <c r="AC24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44" s="164" t="str">
        <f aca="false">IF(Salary_Calculation[[#This Row],[Source Row]]="","",Salary_Calculation[[#This Row],[Rider Target Orders]]*Salary_Calculation[[#This Row],[Base Order Rate]])</f>
        <v/>
      </c>
      <c r="AE244" s="162" t="str">
        <f aca="false">IF(SUMPRODUCT(--(LEN(INDEX(Rider_Input[#Data],ROW()-ROW(Salary_Calculation[#Headers]),0))&gt;0))=0,"",ROW()-ROW(Salary_Calculation[#Headers]))</f>
        <v/>
      </c>
    </row>
    <row r="245" customFormat="false" ht="14.25" hidden="false" customHeight="false" outlineLevel="0" collapsed="false">
      <c r="A245" s="161" t="str">
        <f aca="false">IF(Salary_Calculation[[#This Row],[Source Row]]="","",IF(INDEX(Rider_Input[Salary Month],Salary_Calculation[[#This Row],[Source Row]])="","",INDEX(Rider_Input[Salary Month],Salary_Calculation[[#This Row],[Source Row]])))</f>
        <v/>
      </c>
      <c r="B245" s="162" t="str">
        <f aca="false">IF(Salary_Calculation[[#This Row],[Source Row]]="","",IF(INDEX(Rider_Input[Rider ID],Salary_Calculation[[#This Row],[Source Row]])="","",INDEX(Rider_Input[Rider ID],Salary_Calculation[[#This Row],[Source Row]])))</f>
        <v/>
      </c>
      <c r="C245" s="163" t="str">
        <f aca="false">IF(Salary_Calculation[[#This Row],[Source Row]]="","",IF(INDEX(Rider_Input[Rider Name],Salary_Calculation[[#This Row],[Source Row]])="","",INDEX(Rider_Input[Rider Name],Salary_Calculation[[#This Row],[Source Row]])))</f>
        <v/>
      </c>
      <c r="D245" s="164" t="str">
        <f aca="false">IF(Salary_Calculation[[#This Row],[Source Row]]="","",IF(INDEX(Rider_Input[Basic Payment],Salary_Calculation[[#This Row],[Source Row]])="","",INDEX(Rider_Input[Basic Payment],Salary_Calculation[[#This Row],[Source Row]])))</f>
        <v/>
      </c>
      <c r="E245" s="162" t="str">
        <f aca="false">IF(Salary_Calculation[[#This Row],[Source Row]]="","",IF(INDEX(Rider_Input[Calendar Days in Month],Salary_Calculation[[#This Row],[Source Row]])="","",INDEX(Rider_Input[Calendar Days in Month],Salary_Calculation[[#This Row],[Source Row]])))</f>
        <v/>
      </c>
      <c r="F245" s="162" t="str">
        <f aca="false">IF(Salary_Calculation[[#This Row],[Source Row]]="","",IF(INDEX(Rider_Input[Working Days],Salary_Calculation[[#This Row],[Source Row]])="","",INDEX(Rider_Input[Working Days],Salary_Calculation[[#This Row],[Source Row]])))</f>
        <v/>
      </c>
      <c r="G245" s="165" t="str">
        <f aca="false">IF(Salary_Calculation[[#This Row],[Source Row]]="","",Std_Orders/Std_Days*N(Salary_Calculation[[#This Row],[Calendar Days]]))</f>
        <v/>
      </c>
      <c r="H245" s="165" t="str">
        <f aca="false">IF(Salary_Calculation[[#This Row],[Source Row]]="","",IF(N(Salary_Calculation[[#This Row],[Calendar Days]])&gt;0,Salary_Calculation[[#This Row],[Monthly Target Orders]]/N(Salary_Calculation[[#This Row],[Calendar Days]])*N(Salary_Calculation[[#This Row],[Working Days]]),0))</f>
        <v/>
      </c>
      <c r="I245" s="166" t="str">
        <f aca="false">IF(Salary_Calculation[[#This Row],[Source Row]]="","",IF(INDEX(Rider_Input[Completed Orders],Salary_Calculation[[#This Row],[Source Row]])="","",INDEX(Rider_Input[Completed Orders],Salary_Calculation[[#This Row],[Source Row]])))</f>
        <v/>
      </c>
      <c r="J245" s="165" t="str">
        <f aca="false">IF(Salary_Calculation[[#This Row],[Source Row]]="","",IF(Rate_Method="Fixed rate",Fixed_Rate,IF(N(Salary_Calculation[[#This Row],[Basic Payment]])&gt;0,N(Salary_Calculation[[#This Row],[Basic Payment]])/Std_Orders,0)))</f>
        <v/>
      </c>
      <c r="K245" s="165" t="str">
        <f aca="false">IF(Salary_Calculation[[#This Row],[Source Row]]="","",MAX(MIN(N(Salary_Calculation[[#This Row],[Completed Orders]]),Salary_Calculation[[#This Row],[Rider Target Orders]]),0))</f>
        <v/>
      </c>
      <c r="L245" s="164" t="str">
        <f aca="false">IF(Salary_Calculation[[#This Row],[Source Row]]="","",Salary_Calculation[[#This Row],[Orders Counted at Base Rate]]*Salary_Calculation[[#This Row],[Base Order Rate]])</f>
        <v/>
      </c>
      <c r="M245" s="165" t="str">
        <f aca="false">IF(Salary_Calculation[[#This Row],[Source Row]]="","",MAX(Salary_Calculation[[#This Row],[Rider Target Orders]]-N(Salary_Calculation[[#This Row],[Completed Orders]]),0))</f>
        <v/>
      </c>
      <c r="N245" s="164" t="str">
        <f aca="false">IF(Salary_Calculation[[#This Row],[Source Row]]="","",Salary_Calculation[[#This Row],[Missing Orders]]*Missing_Rate)</f>
        <v/>
      </c>
      <c r="O245" s="165" t="str">
        <f aca="false">IF(Salary_Calculation[[#This Row],[Source Row]]="","",MAX(N(Salary_Calculation[[#This Row],[Completed Orders]])-Salary_Calculation[[#This Row],[Rider Target Orders]],0))</f>
        <v/>
      </c>
      <c r="P245" s="164" t="str">
        <f aca="false">IF(Salary_Calculation[[#This Row],[Source Row]]="","",Salary_Calculation[[#This Row],[Extra Orders]]*Extra_Rate)</f>
        <v/>
      </c>
      <c r="Q245" s="164" t="str">
        <f aca="false">IF(Salary_Calculation[[#This Row],[Source Row]]="","",MAX(Salary_Calculation[[#This Row],[Salary Before Other Deductions]],0))</f>
        <v/>
      </c>
      <c r="R245" s="164" t="str">
        <f aca="false">IF(Salary_Calculation[[#This Row],[Source Row]]="","",N(INDEX(Rider_Input[missed_days_penalty],Salary_Calculation[[#This Row],[Source Row]])))</f>
        <v/>
      </c>
      <c r="S245" s="164" t="str">
        <f aca="false">IF(Salary_Calculation[[#This Row],[Source Row]]="","",N(INDEX(Rider_Input[Rider Balance / محفظة المندوب],Salary_Calculation[[#This Row],[Source Row]])))</f>
        <v/>
      </c>
      <c r="T245" s="164" t="str">
        <f aca="false">IF(Salary_Calculation[[#This Row],[Source Row]]="","",N(INDEX(Rider_Input[stacking_deduction / خصم الطلبات المتعددة],Salary_Calculation[[#This Row],[Source Row]])))</f>
        <v/>
      </c>
      <c r="U245" s="164" t="str">
        <f aca="false">IF(Salary_Calculation[[#This Row],[Source Row]]="","",N(INDEX(Rider_Input[Other Deductions],Salary_Calculation[[#This Row],[Source Row]])))</f>
        <v/>
      </c>
      <c r="V245" s="164" t="str">
        <f aca="false">IF(Salary_Calculation[[#This Row],[Source Row]]="","",N(Salary_Calculation[[#This Row],[missed_days_penalty]])+N(Salary_Calculation[[#This Row],[Rider Balance]])+N(Salary_Calculation[[#This Row],[stacking_deduction]])+N(Salary_Calculation[[#This Row],[Other Deductions]]))</f>
        <v/>
      </c>
      <c r="W245" s="167" t="str">
        <f aca="false">IF(Salary_Calculation[[#This Row],[Source Row]]="","",ROUND(MAX(Salary_Calculation[[#This Row],[Gross Salary Before Deductions]]-Salary_Calculation[[#This Row],[Total Deductions]],0),2))</f>
        <v/>
      </c>
      <c r="X245" s="164" t="str">
        <f aca="false">IF(Salary_Calculation[[#This Row],[Source Row]]="","",ROUND(MAX(Salary_Calculation[[#This Row],[Missing-Order Deduction]]-Salary_Calculation[[#This Row],[Earned Salary]],0),2))</f>
        <v/>
      </c>
      <c r="Y24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45" s="163" t="str">
        <f aca="false">IF(Salary_Calculation[[#This Row],[Source Row]]="","",IF(INDEX(Rider_Input[Notes],Salary_Calculation[[#This Row],[Source Row]])="","",INDEX(Rider_Input[Notes],Salary_Calculation[[#This Row],[Source Row]])))</f>
        <v/>
      </c>
      <c r="AA245" s="164" t="str">
        <f aca="false">IF(Salary_Calculation[[#This Row],[Source Row]]="","",Salary_Calculation[[#This Row],[Earned Salary]]-Salary_Calculation[[#This Row],[Missing-Order Deduction]]+Salary_Calculation[[#This Row],[Extra-Order Bonus]])</f>
        <v/>
      </c>
      <c r="AB245" s="164" t="str">
        <f aca="false">IF(Salary_Calculation[[#This Row],[Source Row]]="","",ROUND(Salary_Calculation[[#This Row],[Negative Balance / Amount Due from Rider]]+MAX(Salary_Calculation[[#This Row],[Total Deductions]]-Salary_Calculation[[#This Row],[Gross Salary Before Deductions]],0),2))</f>
        <v/>
      </c>
      <c r="AC24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45" s="164" t="str">
        <f aca="false">IF(Salary_Calculation[[#This Row],[Source Row]]="","",Salary_Calculation[[#This Row],[Rider Target Orders]]*Salary_Calculation[[#This Row],[Base Order Rate]])</f>
        <v/>
      </c>
      <c r="AE245" s="162" t="str">
        <f aca="false">IF(SUMPRODUCT(--(LEN(INDEX(Rider_Input[#Data],ROW()-ROW(Salary_Calculation[#Headers]),0))&gt;0))=0,"",ROW()-ROW(Salary_Calculation[#Headers]))</f>
        <v/>
      </c>
    </row>
    <row r="246" customFormat="false" ht="14.25" hidden="false" customHeight="false" outlineLevel="0" collapsed="false">
      <c r="A246" s="161" t="str">
        <f aca="false">IF(Salary_Calculation[[#This Row],[Source Row]]="","",IF(INDEX(Rider_Input[Salary Month],Salary_Calculation[[#This Row],[Source Row]])="","",INDEX(Rider_Input[Salary Month],Salary_Calculation[[#This Row],[Source Row]])))</f>
        <v/>
      </c>
      <c r="B246" s="162" t="str">
        <f aca="false">IF(Salary_Calculation[[#This Row],[Source Row]]="","",IF(INDEX(Rider_Input[Rider ID],Salary_Calculation[[#This Row],[Source Row]])="","",INDEX(Rider_Input[Rider ID],Salary_Calculation[[#This Row],[Source Row]])))</f>
        <v/>
      </c>
      <c r="C246" s="163" t="str">
        <f aca="false">IF(Salary_Calculation[[#This Row],[Source Row]]="","",IF(INDEX(Rider_Input[Rider Name],Salary_Calculation[[#This Row],[Source Row]])="","",INDEX(Rider_Input[Rider Name],Salary_Calculation[[#This Row],[Source Row]])))</f>
        <v/>
      </c>
      <c r="D246" s="164" t="str">
        <f aca="false">IF(Salary_Calculation[[#This Row],[Source Row]]="","",IF(INDEX(Rider_Input[Basic Payment],Salary_Calculation[[#This Row],[Source Row]])="","",INDEX(Rider_Input[Basic Payment],Salary_Calculation[[#This Row],[Source Row]])))</f>
        <v/>
      </c>
      <c r="E246" s="162" t="str">
        <f aca="false">IF(Salary_Calculation[[#This Row],[Source Row]]="","",IF(INDEX(Rider_Input[Calendar Days in Month],Salary_Calculation[[#This Row],[Source Row]])="","",INDEX(Rider_Input[Calendar Days in Month],Salary_Calculation[[#This Row],[Source Row]])))</f>
        <v/>
      </c>
      <c r="F246" s="162" t="str">
        <f aca="false">IF(Salary_Calculation[[#This Row],[Source Row]]="","",IF(INDEX(Rider_Input[Working Days],Salary_Calculation[[#This Row],[Source Row]])="","",INDEX(Rider_Input[Working Days],Salary_Calculation[[#This Row],[Source Row]])))</f>
        <v/>
      </c>
      <c r="G246" s="165" t="str">
        <f aca="false">IF(Salary_Calculation[[#This Row],[Source Row]]="","",Std_Orders/Std_Days*N(Salary_Calculation[[#This Row],[Calendar Days]]))</f>
        <v/>
      </c>
      <c r="H246" s="165" t="str">
        <f aca="false">IF(Salary_Calculation[[#This Row],[Source Row]]="","",IF(N(Salary_Calculation[[#This Row],[Calendar Days]])&gt;0,Salary_Calculation[[#This Row],[Monthly Target Orders]]/N(Salary_Calculation[[#This Row],[Calendar Days]])*N(Salary_Calculation[[#This Row],[Working Days]]),0))</f>
        <v/>
      </c>
      <c r="I246" s="166" t="str">
        <f aca="false">IF(Salary_Calculation[[#This Row],[Source Row]]="","",IF(INDEX(Rider_Input[Completed Orders],Salary_Calculation[[#This Row],[Source Row]])="","",INDEX(Rider_Input[Completed Orders],Salary_Calculation[[#This Row],[Source Row]])))</f>
        <v/>
      </c>
      <c r="J246" s="165" t="str">
        <f aca="false">IF(Salary_Calculation[[#This Row],[Source Row]]="","",IF(Rate_Method="Fixed rate",Fixed_Rate,IF(N(Salary_Calculation[[#This Row],[Basic Payment]])&gt;0,N(Salary_Calculation[[#This Row],[Basic Payment]])/Std_Orders,0)))</f>
        <v/>
      </c>
      <c r="K246" s="165" t="str">
        <f aca="false">IF(Salary_Calculation[[#This Row],[Source Row]]="","",MAX(MIN(N(Salary_Calculation[[#This Row],[Completed Orders]]),Salary_Calculation[[#This Row],[Rider Target Orders]]),0))</f>
        <v/>
      </c>
      <c r="L246" s="164" t="str">
        <f aca="false">IF(Salary_Calculation[[#This Row],[Source Row]]="","",Salary_Calculation[[#This Row],[Orders Counted at Base Rate]]*Salary_Calculation[[#This Row],[Base Order Rate]])</f>
        <v/>
      </c>
      <c r="M246" s="165" t="str">
        <f aca="false">IF(Salary_Calculation[[#This Row],[Source Row]]="","",MAX(Salary_Calculation[[#This Row],[Rider Target Orders]]-N(Salary_Calculation[[#This Row],[Completed Orders]]),0))</f>
        <v/>
      </c>
      <c r="N246" s="164" t="str">
        <f aca="false">IF(Salary_Calculation[[#This Row],[Source Row]]="","",Salary_Calculation[[#This Row],[Missing Orders]]*Missing_Rate)</f>
        <v/>
      </c>
      <c r="O246" s="165" t="str">
        <f aca="false">IF(Salary_Calculation[[#This Row],[Source Row]]="","",MAX(N(Salary_Calculation[[#This Row],[Completed Orders]])-Salary_Calculation[[#This Row],[Rider Target Orders]],0))</f>
        <v/>
      </c>
      <c r="P246" s="164" t="str">
        <f aca="false">IF(Salary_Calculation[[#This Row],[Source Row]]="","",Salary_Calculation[[#This Row],[Extra Orders]]*Extra_Rate)</f>
        <v/>
      </c>
      <c r="Q246" s="164" t="str">
        <f aca="false">IF(Salary_Calculation[[#This Row],[Source Row]]="","",MAX(Salary_Calculation[[#This Row],[Salary Before Other Deductions]],0))</f>
        <v/>
      </c>
      <c r="R246" s="164" t="str">
        <f aca="false">IF(Salary_Calculation[[#This Row],[Source Row]]="","",N(INDEX(Rider_Input[missed_days_penalty],Salary_Calculation[[#This Row],[Source Row]])))</f>
        <v/>
      </c>
      <c r="S246" s="164" t="str">
        <f aca="false">IF(Salary_Calculation[[#This Row],[Source Row]]="","",N(INDEX(Rider_Input[Rider Balance / محفظة المندوب],Salary_Calculation[[#This Row],[Source Row]])))</f>
        <v/>
      </c>
      <c r="T246" s="164" t="str">
        <f aca="false">IF(Salary_Calculation[[#This Row],[Source Row]]="","",N(INDEX(Rider_Input[stacking_deduction / خصم الطلبات المتعددة],Salary_Calculation[[#This Row],[Source Row]])))</f>
        <v/>
      </c>
      <c r="U246" s="164" t="str">
        <f aca="false">IF(Salary_Calculation[[#This Row],[Source Row]]="","",N(INDEX(Rider_Input[Other Deductions],Salary_Calculation[[#This Row],[Source Row]])))</f>
        <v/>
      </c>
      <c r="V246" s="164" t="str">
        <f aca="false">IF(Salary_Calculation[[#This Row],[Source Row]]="","",N(Salary_Calculation[[#This Row],[missed_days_penalty]])+N(Salary_Calculation[[#This Row],[Rider Balance]])+N(Salary_Calculation[[#This Row],[stacking_deduction]])+N(Salary_Calculation[[#This Row],[Other Deductions]]))</f>
        <v/>
      </c>
      <c r="W246" s="167" t="str">
        <f aca="false">IF(Salary_Calculation[[#This Row],[Source Row]]="","",ROUND(MAX(Salary_Calculation[[#This Row],[Gross Salary Before Deductions]]-Salary_Calculation[[#This Row],[Total Deductions]],0),2))</f>
        <v/>
      </c>
      <c r="X246" s="164" t="str">
        <f aca="false">IF(Salary_Calculation[[#This Row],[Source Row]]="","",ROUND(MAX(Salary_Calculation[[#This Row],[Missing-Order Deduction]]-Salary_Calculation[[#This Row],[Earned Salary]],0),2))</f>
        <v/>
      </c>
      <c r="Y24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46" s="163" t="str">
        <f aca="false">IF(Salary_Calculation[[#This Row],[Source Row]]="","",IF(INDEX(Rider_Input[Notes],Salary_Calculation[[#This Row],[Source Row]])="","",INDEX(Rider_Input[Notes],Salary_Calculation[[#This Row],[Source Row]])))</f>
        <v/>
      </c>
      <c r="AA246" s="164" t="str">
        <f aca="false">IF(Salary_Calculation[[#This Row],[Source Row]]="","",Salary_Calculation[[#This Row],[Earned Salary]]-Salary_Calculation[[#This Row],[Missing-Order Deduction]]+Salary_Calculation[[#This Row],[Extra-Order Bonus]])</f>
        <v/>
      </c>
      <c r="AB246" s="164" t="str">
        <f aca="false">IF(Salary_Calculation[[#This Row],[Source Row]]="","",ROUND(Salary_Calculation[[#This Row],[Negative Balance / Amount Due from Rider]]+MAX(Salary_Calculation[[#This Row],[Total Deductions]]-Salary_Calculation[[#This Row],[Gross Salary Before Deductions]],0),2))</f>
        <v/>
      </c>
      <c r="AC24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46" s="164" t="str">
        <f aca="false">IF(Salary_Calculation[[#This Row],[Source Row]]="","",Salary_Calculation[[#This Row],[Rider Target Orders]]*Salary_Calculation[[#This Row],[Base Order Rate]])</f>
        <v/>
      </c>
      <c r="AE246" s="162" t="str">
        <f aca="false">IF(SUMPRODUCT(--(LEN(INDEX(Rider_Input[#Data],ROW()-ROW(Salary_Calculation[#Headers]),0))&gt;0))=0,"",ROW()-ROW(Salary_Calculation[#Headers]))</f>
        <v/>
      </c>
    </row>
    <row r="247" customFormat="false" ht="14.25" hidden="false" customHeight="false" outlineLevel="0" collapsed="false">
      <c r="A247" s="161" t="str">
        <f aca="false">IF(Salary_Calculation[[#This Row],[Source Row]]="","",IF(INDEX(Rider_Input[Salary Month],Salary_Calculation[[#This Row],[Source Row]])="","",INDEX(Rider_Input[Salary Month],Salary_Calculation[[#This Row],[Source Row]])))</f>
        <v/>
      </c>
      <c r="B247" s="162" t="str">
        <f aca="false">IF(Salary_Calculation[[#This Row],[Source Row]]="","",IF(INDEX(Rider_Input[Rider ID],Salary_Calculation[[#This Row],[Source Row]])="","",INDEX(Rider_Input[Rider ID],Salary_Calculation[[#This Row],[Source Row]])))</f>
        <v/>
      </c>
      <c r="C247" s="163" t="str">
        <f aca="false">IF(Salary_Calculation[[#This Row],[Source Row]]="","",IF(INDEX(Rider_Input[Rider Name],Salary_Calculation[[#This Row],[Source Row]])="","",INDEX(Rider_Input[Rider Name],Salary_Calculation[[#This Row],[Source Row]])))</f>
        <v/>
      </c>
      <c r="D247" s="164" t="str">
        <f aca="false">IF(Salary_Calculation[[#This Row],[Source Row]]="","",IF(INDEX(Rider_Input[Basic Payment],Salary_Calculation[[#This Row],[Source Row]])="","",INDEX(Rider_Input[Basic Payment],Salary_Calculation[[#This Row],[Source Row]])))</f>
        <v/>
      </c>
      <c r="E247" s="162" t="str">
        <f aca="false">IF(Salary_Calculation[[#This Row],[Source Row]]="","",IF(INDEX(Rider_Input[Calendar Days in Month],Salary_Calculation[[#This Row],[Source Row]])="","",INDEX(Rider_Input[Calendar Days in Month],Salary_Calculation[[#This Row],[Source Row]])))</f>
        <v/>
      </c>
      <c r="F247" s="162" t="str">
        <f aca="false">IF(Salary_Calculation[[#This Row],[Source Row]]="","",IF(INDEX(Rider_Input[Working Days],Salary_Calculation[[#This Row],[Source Row]])="","",INDEX(Rider_Input[Working Days],Salary_Calculation[[#This Row],[Source Row]])))</f>
        <v/>
      </c>
      <c r="G247" s="165" t="str">
        <f aca="false">IF(Salary_Calculation[[#This Row],[Source Row]]="","",Std_Orders/Std_Days*N(Salary_Calculation[[#This Row],[Calendar Days]]))</f>
        <v/>
      </c>
      <c r="H247" s="165" t="str">
        <f aca="false">IF(Salary_Calculation[[#This Row],[Source Row]]="","",IF(N(Salary_Calculation[[#This Row],[Calendar Days]])&gt;0,Salary_Calculation[[#This Row],[Monthly Target Orders]]/N(Salary_Calculation[[#This Row],[Calendar Days]])*N(Salary_Calculation[[#This Row],[Working Days]]),0))</f>
        <v/>
      </c>
      <c r="I247" s="166" t="str">
        <f aca="false">IF(Salary_Calculation[[#This Row],[Source Row]]="","",IF(INDEX(Rider_Input[Completed Orders],Salary_Calculation[[#This Row],[Source Row]])="","",INDEX(Rider_Input[Completed Orders],Salary_Calculation[[#This Row],[Source Row]])))</f>
        <v/>
      </c>
      <c r="J247" s="165" t="str">
        <f aca="false">IF(Salary_Calculation[[#This Row],[Source Row]]="","",IF(Rate_Method="Fixed rate",Fixed_Rate,IF(N(Salary_Calculation[[#This Row],[Basic Payment]])&gt;0,N(Salary_Calculation[[#This Row],[Basic Payment]])/Std_Orders,0)))</f>
        <v/>
      </c>
      <c r="K247" s="165" t="str">
        <f aca="false">IF(Salary_Calculation[[#This Row],[Source Row]]="","",MAX(MIN(N(Salary_Calculation[[#This Row],[Completed Orders]]),Salary_Calculation[[#This Row],[Rider Target Orders]]),0))</f>
        <v/>
      </c>
      <c r="L247" s="164" t="str">
        <f aca="false">IF(Salary_Calculation[[#This Row],[Source Row]]="","",Salary_Calculation[[#This Row],[Orders Counted at Base Rate]]*Salary_Calculation[[#This Row],[Base Order Rate]])</f>
        <v/>
      </c>
      <c r="M247" s="165" t="str">
        <f aca="false">IF(Salary_Calculation[[#This Row],[Source Row]]="","",MAX(Salary_Calculation[[#This Row],[Rider Target Orders]]-N(Salary_Calculation[[#This Row],[Completed Orders]]),0))</f>
        <v/>
      </c>
      <c r="N247" s="164" t="str">
        <f aca="false">IF(Salary_Calculation[[#This Row],[Source Row]]="","",Salary_Calculation[[#This Row],[Missing Orders]]*Missing_Rate)</f>
        <v/>
      </c>
      <c r="O247" s="165" t="str">
        <f aca="false">IF(Salary_Calculation[[#This Row],[Source Row]]="","",MAX(N(Salary_Calculation[[#This Row],[Completed Orders]])-Salary_Calculation[[#This Row],[Rider Target Orders]],0))</f>
        <v/>
      </c>
      <c r="P247" s="164" t="str">
        <f aca="false">IF(Salary_Calculation[[#This Row],[Source Row]]="","",Salary_Calculation[[#This Row],[Extra Orders]]*Extra_Rate)</f>
        <v/>
      </c>
      <c r="Q247" s="164" t="str">
        <f aca="false">IF(Salary_Calculation[[#This Row],[Source Row]]="","",MAX(Salary_Calculation[[#This Row],[Salary Before Other Deductions]],0))</f>
        <v/>
      </c>
      <c r="R247" s="164" t="str">
        <f aca="false">IF(Salary_Calculation[[#This Row],[Source Row]]="","",N(INDEX(Rider_Input[missed_days_penalty],Salary_Calculation[[#This Row],[Source Row]])))</f>
        <v/>
      </c>
      <c r="S247" s="164" t="str">
        <f aca="false">IF(Salary_Calculation[[#This Row],[Source Row]]="","",N(INDEX(Rider_Input[Rider Balance / محفظة المندوب],Salary_Calculation[[#This Row],[Source Row]])))</f>
        <v/>
      </c>
      <c r="T247" s="164" t="str">
        <f aca="false">IF(Salary_Calculation[[#This Row],[Source Row]]="","",N(INDEX(Rider_Input[stacking_deduction / خصم الطلبات المتعددة],Salary_Calculation[[#This Row],[Source Row]])))</f>
        <v/>
      </c>
      <c r="U247" s="164" t="str">
        <f aca="false">IF(Salary_Calculation[[#This Row],[Source Row]]="","",N(INDEX(Rider_Input[Other Deductions],Salary_Calculation[[#This Row],[Source Row]])))</f>
        <v/>
      </c>
      <c r="V247" s="164" t="str">
        <f aca="false">IF(Salary_Calculation[[#This Row],[Source Row]]="","",N(Salary_Calculation[[#This Row],[missed_days_penalty]])+N(Salary_Calculation[[#This Row],[Rider Balance]])+N(Salary_Calculation[[#This Row],[stacking_deduction]])+N(Salary_Calculation[[#This Row],[Other Deductions]]))</f>
        <v/>
      </c>
      <c r="W247" s="167" t="str">
        <f aca="false">IF(Salary_Calculation[[#This Row],[Source Row]]="","",ROUND(MAX(Salary_Calculation[[#This Row],[Gross Salary Before Deductions]]-Salary_Calculation[[#This Row],[Total Deductions]],0),2))</f>
        <v/>
      </c>
      <c r="X247" s="164" t="str">
        <f aca="false">IF(Salary_Calculation[[#This Row],[Source Row]]="","",ROUND(MAX(Salary_Calculation[[#This Row],[Missing-Order Deduction]]-Salary_Calculation[[#This Row],[Earned Salary]],0),2))</f>
        <v/>
      </c>
      <c r="Y24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47" s="163" t="str">
        <f aca="false">IF(Salary_Calculation[[#This Row],[Source Row]]="","",IF(INDEX(Rider_Input[Notes],Salary_Calculation[[#This Row],[Source Row]])="","",INDEX(Rider_Input[Notes],Salary_Calculation[[#This Row],[Source Row]])))</f>
        <v/>
      </c>
      <c r="AA247" s="164" t="str">
        <f aca="false">IF(Salary_Calculation[[#This Row],[Source Row]]="","",Salary_Calculation[[#This Row],[Earned Salary]]-Salary_Calculation[[#This Row],[Missing-Order Deduction]]+Salary_Calculation[[#This Row],[Extra-Order Bonus]])</f>
        <v/>
      </c>
      <c r="AB247" s="164" t="str">
        <f aca="false">IF(Salary_Calculation[[#This Row],[Source Row]]="","",ROUND(Salary_Calculation[[#This Row],[Negative Balance / Amount Due from Rider]]+MAX(Salary_Calculation[[#This Row],[Total Deductions]]-Salary_Calculation[[#This Row],[Gross Salary Before Deductions]],0),2))</f>
        <v/>
      </c>
      <c r="AC24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47" s="164" t="str">
        <f aca="false">IF(Salary_Calculation[[#This Row],[Source Row]]="","",Salary_Calculation[[#This Row],[Rider Target Orders]]*Salary_Calculation[[#This Row],[Base Order Rate]])</f>
        <v/>
      </c>
      <c r="AE247" s="162" t="str">
        <f aca="false">IF(SUMPRODUCT(--(LEN(INDEX(Rider_Input[#Data],ROW()-ROW(Salary_Calculation[#Headers]),0))&gt;0))=0,"",ROW()-ROW(Salary_Calculation[#Headers]))</f>
        <v/>
      </c>
    </row>
    <row r="248" customFormat="false" ht="14.25" hidden="false" customHeight="false" outlineLevel="0" collapsed="false">
      <c r="A248" s="161" t="str">
        <f aca="false">IF(Salary_Calculation[[#This Row],[Source Row]]="","",IF(INDEX(Rider_Input[Salary Month],Salary_Calculation[[#This Row],[Source Row]])="","",INDEX(Rider_Input[Salary Month],Salary_Calculation[[#This Row],[Source Row]])))</f>
        <v/>
      </c>
      <c r="B248" s="162" t="str">
        <f aca="false">IF(Salary_Calculation[[#This Row],[Source Row]]="","",IF(INDEX(Rider_Input[Rider ID],Salary_Calculation[[#This Row],[Source Row]])="","",INDEX(Rider_Input[Rider ID],Salary_Calculation[[#This Row],[Source Row]])))</f>
        <v/>
      </c>
      <c r="C248" s="163" t="str">
        <f aca="false">IF(Salary_Calculation[[#This Row],[Source Row]]="","",IF(INDEX(Rider_Input[Rider Name],Salary_Calculation[[#This Row],[Source Row]])="","",INDEX(Rider_Input[Rider Name],Salary_Calculation[[#This Row],[Source Row]])))</f>
        <v/>
      </c>
      <c r="D248" s="164" t="str">
        <f aca="false">IF(Salary_Calculation[[#This Row],[Source Row]]="","",IF(INDEX(Rider_Input[Basic Payment],Salary_Calculation[[#This Row],[Source Row]])="","",INDEX(Rider_Input[Basic Payment],Salary_Calculation[[#This Row],[Source Row]])))</f>
        <v/>
      </c>
      <c r="E248" s="162" t="str">
        <f aca="false">IF(Salary_Calculation[[#This Row],[Source Row]]="","",IF(INDEX(Rider_Input[Calendar Days in Month],Salary_Calculation[[#This Row],[Source Row]])="","",INDEX(Rider_Input[Calendar Days in Month],Salary_Calculation[[#This Row],[Source Row]])))</f>
        <v/>
      </c>
      <c r="F248" s="162" t="str">
        <f aca="false">IF(Salary_Calculation[[#This Row],[Source Row]]="","",IF(INDEX(Rider_Input[Working Days],Salary_Calculation[[#This Row],[Source Row]])="","",INDEX(Rider_Input[Working Days],Salary_Calculation[[#This Row],[Source Row]])))</f>
        <v/>
      </c>
      <c r="G248" s="165" t="str">
        <f aca="false">IF(Salary_Calculation[[#This Row],[Source Row]]="","",Std_Orders/Std_Days*N(Salary_Calculation[[#This Row],[Calendar Days]]))</f>
        <v/>
      </c>
      <c r="H248" s="165" t="str">
        <f aca="false">IF(Salary_Calculation[[#This Row],[Source Row]]="","",IF(N(Salary_Calculation[[#This Row],[Calendar Days]])&gt;0,Salary_Calculation[[#This Row],[Monthly Target Orders]]/N(Salary_Calculation[[#This Row],[Calendar Days]])*N(Salary_Calculation[[#This Row],[Working Days]]),0))</f>
        <v/>
      </c>
      <c r="I248" s="166" t="str">
        <f aca="false">IF(Salary_Calculation[[#This Row],[Source Row]]="","",IF(INDEX(Rider_Input[Completed Orders],Salary_Calculation[[#This Row],[Source Row]])="","",INDEX(Rider_Input[Completed Orders],Salary_Calculation[[#This Row],[Source Row]])))</f>
        <v/>
      </c>
      <c r="J248" s="165" t="str">
        <f aca="false">IF(Salary_Calculation[[#This Row],[Source Row]]="","",IF(Rate_Method="Fixed rate",Fixed_Rate,IF(N(Salary_Calculation[[#This Row],[Basic Payment]])&gt;0,N(Salary_Calculation[[#This Row],[Basic Payment]])/Std_Orders,0)))</f>
        <v/>
      </c>
      <c r="K248" s="165" t="str">
        <f aca="false">IF(Salary_Calculation[[#This Row],[Source Row]]="","",MAX(MIN(N(Salary_Calculation[[#This Row],[Completed Orders]]),Salary_Calculation[[#This Row],[Rider Target Orders]]),0))</f>
        <v/>
      </c>
      <c r="L248" s="164" t="str">
        <f aca="false">IF(Salary_Calculation[[#This Row],[Source Row]]="","",Salary_Calculation[[#This Row],[Orders Counted at Base Rate]]*Salary_Calculation[[#This Row],[Base Order Rate]])</f>
        <v/>
      </c>
      <c r="M248" s="165" t="str">
        <f aca="false">IF(Salary_Calculation[[#This Row],[Source Row]]="","",MAX(Salary_Calculation[[#This Row],[Rider Target Orders]]-N(Salary_Calculation[[#This Row],[Completed Orders]]),0))</f>
        <v/>
      </c>
      <c r="N248" s="164" t="str">
        <f aca="false">IF(Salary_Calculation[[#This Row],[Source Row]]="","",Salary_Calculation[[#This Row],[Missing Orders]]*Missing_Rate)</f>
        <v/>
      </c>
      <c r="O248" s="165" t="str">
        <f aca="false">IF(Salary_Calculation[[#This Row],[Source Row]]="","",MAX(N(Salary_Calculation[[#This Row],[Completed Orders]])-Salary_Calculation[[#This Row],[Rider Target Orders]],0))</f>
        <v/>
      </c>
      <c r="P248" s="164" t="str">
        <f aca="false">IF(Salary_Calculation[[#This Row],[Source Row]]="","",Salary_Calculation[[#This Row],[Extra Orders]]*Extra_Rate)</f>
        <v/>
      </c>
      <c r="Q248" s="164" t="str">
        <f aca="false">IF(Salary_Calculation[[#This Row],[Source Row]]="","",MAX(Salary_Calculation[[#This Row],[Salary Before Other Deductions]],0))</f>
        <v/>
      </c>
      <c r="R248" s="164" t="str">
        <f aca="false">IF(Salary_Calculation[[#This Row],[Source Row]]="","",N(INDEX(Rider_Input[missed_days_penalty],Salary_Calculation[[#This Row],[Source Row]])))</f>
        <v/>
      </c>
      <c r="S248" s="164" t="str">
        <f aca="false">IF(Salary_Calculation[[#This Row],[Source Row]]="","",N(INDEX(Rider_Input[Rider Balance / محفظة المندوب],Salary_Calculation[[#This Row],[Source Row]])))</f>
        <v/>
      </c>
      <c r="T248" s="164" t="str">
        <f aca="false">IF(Salary_Calculation[[#This Row],[Source Row]]="","",N(INDEX(Rider_Input[stacking_deduction / خصم الطلبات المتعددة],Salary_Calculation[[#This Row],[Source Row]])))</f>
        <v/>
      </c>
      <c r="U248" s="164" t="str">
        <f aca="false">IF(Salary_Calculation[[#This Row],[Source Row]]="","",N(INDEX(Rider_Input[Other Deductions],Salary_Calculation[[#This Row],[Source Row]])))</f>
        <v/>
      </c>
      <c r="V248" s="164" t="str">
        <f aca="false">IF(Salary_Calculation[[#This Row],[Source Row]]="","",N(Salary_Calculation[[#This Row],[missed_days_penalty]])+N(Salary_Calculation[[#This Row],[Rider Balance]])+N(Salary_Calculation[[#This Row],[stacking_deduction]])+N(Salary_Calculation[[#This Row],[Other Deductions]]))</f>
        <v/>
      </c>
      <c r="W248" s="167" t="str">
        <f aca="false">IF(Salary_Calculation[[#This Row],[Source Row]]="","",ROUND(MAX(Salary_Calculation[[#This Row],[Gross Salary Before Deductions]]-Salary_Calculation[[#This Row],[Total Deductions]],0),2))</f>
        <v/>
      </c>
      <c r="X248" s="164" t="str">
        <f aca="false">IF(Salary_Calculation[[#This Row],[Source Row]]="","",ROUND(MAX(Salary_Calculation[[#This Row],[Missing-Order Deduction]]-Salary_Calculation[[#This Row],[Earned Salary]],0),2))</f>
        <v/>
      </c>
      <c r="Y24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48" s="163" t="str">
        <f aca="false">IF(Salary_Calculation[[#This Row],[Source Row]]="","",IF(INDEX(Rider_Input[Notes],Salary_Calculation[[#This Row],[Source Row]])="","",INDEX(Rider_Input[Notes],Salary_Calculation[[#This Row],[Source Row]])))</f>
        <v/>
      </c>
      <c r="AA248" s="164" t="str">
        <f aca="false">IF(Salary_Calculation[[#This Row],[Source Row]]="","",Salary_Calculation[[#This Row],[Earned Salary]]-Salary_Calculation[[#This Row],[Missing-Order Deduction]]+Salary_Calculation[[#This Row],[Extra-Order Bonus]])</f>
        <v/>
      </c>
      <c r="AB248" s="164" t="str">
        <f aca="false">IF(Salary_Calculation[[#This Row],[Source Row]]="","",ROUND(Salary_Calculation[[#This Row],[Negative Balance / Amount Due from Rider]]+MAX(Salary_Calculation[[#This Row],[Total Deductions]]-Salary_Calculation[[#This Row],[Gross Salary Before Deductions]],0),2))</f>
        <v/>
      </c>
      <c r="AC24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48" s="164" t="str">
        <f aca="false">IF(Salary_Calculation[[#This Row],[Source Row]]="","",Salary_Calculation[[#This Row],[Rider Target Orders]]*Salary_Calculation[[#This Row],[Base Order Rate]])</f>
        <v/>
      </c>
      <c r="AE248" s="162" t="str">
        <f aca="false">IF(SUMPRODUCT(--(LEN(INDEX(Rider_Input[#Data],ROW()-ROW(Salary_Calculation[#Headers]),0))&gt;0))=0,"",ROW()-ROW(Salary_Calculation[#Headers]))</f>
        <v/>
      </c>
    </row>
    <row r="249" customFormat="false" ht="14.25" hidden="false" customHeight="false" outlineLevel="0" collapsed="false">
      <c r="A249" s="161" t="str">
        <f aca="false">IF(Salary_Calculation[[#This Row],[Source Row]]="","",IF(INDEX(Rider_Input[Salary Month],Salary_Calculation[[#This Row],[Source Row]])="","",INDEX(Rider_Input[Salary Month],Salary_Calculation[[#This Row],[Source Row]])))</f>
        <v/>
      </c>
      <c r="B249" s="162" t="str">
        <f aca="false">IF(Salary_Calculation[[#This Row],[Source Row]]="","",IF(INDEX(Rider_Input[Rider ID],Salary_Calculation[[#This Row],[Source Row]])="","",INDEX(Rider_Input[Rider ID],Salary_Calculation[[#This Row],[Source Row]])))</f>
        <v/>
      </c>
      <c r="C249" s="163" t="str">
        <f aca="false">IF(Salary_Calculation[[#This Row],[Source Row]]="","",IF(INDEX(Rider_Input[Rider Name],Salary_Calculation[[#This Row],[Source Row]])="","",INDEX(Rider_Input[Rider Name],Salary_Calculation[[#This Row],[Source Row]])))</f>
        <v/>
      </c>
      <c r="D249" s="164" t="str">
        <f aca="false">IF(Salary_Calculation[[#This Row],[Source Row]]="","",IF(INDEX(Rider_Input[Basic Payment],Salary_Calculation[[#This Row],[Source Row]])="","",INDEX(Rider_Input[Basic Payment],Salary_Calculation[[#This Row],[Source Row]])))</f>
        <v/>
      </c>
      <c r="E249" s="162" t="str">
        <f aca="false">IF(Salary_Calculation[[#This Row],[Source Row]]="","",IF(INDEX(Rider_Input[Calendar Days in Month],Salary_Calculation[[#This Row],[Source Row]])="","",INDEX(Rider_Input[Calendar Days in Month],Salary_Calculation[[#This Row],[Source Row]])))</f>
        <v/>
      </c>
      <c r="F249" s="162" t="str">
        <f aca="false">IF(Salary_Calculation[[#This Row],[Source Row]]="","",IF(INDEX(Rider_Input[Working Days],Salary_Calculation[[#This Row],[Source Row]])="","",INDEX(Rider_Input[Working Days],Salary_Calculation[[#This Row],[Source Row]])))</f>
        <v/>
      </c>
      <c r="G249" s="165" t="str">
        <f aca="false">IF(Salary_Calculation[[#This Row],[Source Row]]="","",Std_Orders/Std_Days*N(Salary_Calculation[[#This Row],[Calendar Days]]))</f>
        <v/>
      </c>
      <c r="H249" s="165" t="str">
        <f aca="false">IF(Salary_Calculation[[#This Row],[Source Row]]="","",IF(N(Salary_Calculation[[#This Row],[Calendar Days]])&gt;0,Salary_Calculation[[#This Row],[Monthly Target Orders]]/N(Salary_Calculation[[#This Row],[Calendar Days]])*N(Salary_Calculation[[#This Row],[Working Days]]),0))</f>
        <v/>
      </c>
      <c r="I249" s="166" t="str">
        <f aca="false">IF(Salary_Calculation[[#This Row],[Source Row]]="","",IF(INDEX(Rider_Input[Completed Orders],Salary_Calculation[[#This Row],[Source Row]])="","",INDEX(Rider_Input[Completed Orders],Salary_Calculation[[#This Row],[Source Row]])))</f>
        <v/>
      </c>
      <c r="J249" s="165" t="str">
        <f aca="false">IF(Salary_Calculation[[#This Row],[Source Row]]="","",IF(Rate_Method="Fixed rate",Fixed_Rate,IF(N(Salary_Calculation[[#This Row],[Basic Payment]])&gt;0,N(Salary_Calculation[[#This Row],[Basic Payment]])/Std_Orders,0)))</f>
        <v/>
      </c>
      <c r="K249" s="165" t="str">
        <f aca="false">IF(Salary_Calculation[[#This Row],[Source Row]]="","",MAX(MIN(N(Salary_Calculation[[#This Row],[Completed Orders]]),Salary_Calculation[[#This Row],[Rider Target Orders]]),0))</f>
        <v/>
      </c>
      <c r="L249" s="164" t="str">
        <f aca="false">IF(Salary_Calculation[[#This Row],[Source Row]]="","",Salary_Calculation[[#This Row],[Orders Counted at Base Rate]]*Salary_Calculation[[#This Row],[Base Order Rate]])</f>
        <v/>
      </c>
      <c r="M249" s="165" t="str">
        <f aca="false">IF(Salary_Calculation[[#This Row],[Source Row]]="","",MAX(Salary_Calculation[[#This Row],[Rider Target Orders]]-N(Salary_Calculation[[#This Row],[Completed Orders]]),0))</f>
        <v/>
      </c>
      <c r="N249" s="164" t="str">
        <f aca="false">IF(Salary_Calculation[[#This Row],[Source Row]]="","",Salary_Calculation[[#This Row],[Missing Orders]]*Missing_Rate)</f>
        <v/>
      </c>
      <c r="O249" s="165" t="str">
        <f aca="false">IF(Salary_Calculation[[#This Row],[Source Row]]="","",MAX(N(Salary_Calculation[[#This Row],[Completed Orders]])-Salary_Calculation[[#This Row],[Rider Target Orders]],0))</f>
        <v/>
      </c>
      <c r="P249" s="164" t="str">
        <f aca="false">IF(Salary_Calculation[[#This Row],[Source Row]]="","",Salary_Calculation[[#This Row],[Extra Orders]]*Extra_Rate)</f>
        <v/>
      </c>
      <c r="Q249" s="164" t="str">
        <f aca="false">IF(Salary_Calculation[[#This Row],[Source Row]]="","",MAX(Salary_Calculation[[#This Row],[Salary Before Other Deductions]],0))</f>
        <v/>
      </c>
      <c r="R249" s="164" t="str">
        <f aca="false">IF(Salary_Calculation[[#This Row],[Source Row]]="","",N(INDEX(Rider_Input[missed_days_penalty],Salary_Calculation[[#This Row],[Source Row]])))</f>
        <v/>
      </c>
      <c r="S249" s="164" t="str">
        <f aca="false">IF(Salary_Calculation[[#This Row],[Source Row]]="","",N(INDEX(Rider_Input[Rider Balance / محفظة المندوب],Salary_Calculation[[#This Row],[Source Row]])))</f>
        <v/>
      </c>
      <c r="T249" s="164" t="str">
        <f aca="false">IF(Salary_Calculation[[#This Row],[Source Row]]="","",N(INDEX(Rider_Input[stacking_deduction / خصم الطلبات المتعددة],Salary_Calculation[[#This Row],[Source Row]])))</f>
        <v/>
      </c>
      <c r="U249" s="164" t="str">
        <f aca="false">IF(Salary_Calculation[[#This Row],[Source Row]]="","",N(INDEX(Rider_Input[Other Deductions],Salary_Calculation[[#This Row],[Source Row]])))</f>
        <v/>
      </c>
      <c r="V249" s="164" t="str">
        <f aca="false">IF(Salary_Calculation[[#This Row],[Source Row]]="","",N(Salary_Calculation[[#This Row],[missed_days_penalty]])+N(Salary_Calculation[[#This Row],[Rider Balance]])+N(Salary_Calculation[[#This Row],[stacking_deduction]])+N(Salary_Calculation[[#This Row],[Other Deductions]]))</f>
        <v/>
      </c>
      <c r="W249" s="167" t="str">
        <f aca="false">IF(Salary_Calculation[[#This Row],[Source Row]]="","",ROUND(MAX(Salary_Calculation[[#This Row],[Gross Salary Before Deductions]]-Salary_Calculation[[#This Row],[Total Deductions]],0),2))</f>
        <v/>
      </c>
      <c r="X249" s="164" t="str">
        <f aca="false">IF(Salary_Calculation[[#This Row],[Source Row]]="","",ROUND(MAX(Salary_Calculation[[#This Row],[Missing-Order Deduction]]-Salary_Calculation[[#This Row],[Earned Salary]],0),2))</f>
        <v/>
      </c>
      <c r="Y24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49" s="163" t="str">
        <f aca="false">IF(Salary_Calculation[[#This Row],[Source Row]]="","",IF(INDEX(Rider_Input[Notes],Salary_Calculation[[#This Row],[Source Row]])="","",INDEX(Rider_Input[Notes],Salary_Calculation[[#This Row],[Source Row]])))</f>
        <v/>
      </c>
      <c r="AA249" s="164" t="str">
        <f aca="false">IF(Salary_Calculation[[#This Row],[Source Row]]="","",Salary_Calculation[[#This Row],[Earned Salary]]-Salary_Calculation[[#This Row],[Missing-Order Deduction]]+Salary_Calculation[[#This Row],[Extra-Order Bonus]])</f>
        <v/>
      </c>
      <c r="AB249" s="164" t="str">
        <f aca="false">IF(Salary_Calculation[[#This Row],[Source Row]]="","",ROUND(Salary_Calculation[[#This Row],[Negative Balance / Amount Due from Rider]]+MAX(Salary_Calculation[[#This Row],[Total Deductions]]-Salary_Calculation[[#This Row],[Gross Salary Before Deductions]],0),2))</f>
        <v/>
      </c>
      <c r="AC24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49" s="164" t="str">
        <f aca="false">IF(Salary_Calculation[[#This Row],[Source Row]]="","",Salary_Calculation[[#This Row],[Rider Target Orders]]*Salary_Calculation[[#This Row],[Base Order Rate]])</f>
        <v/>
      </c>
      <c r="AE249" s="162" t="str">
        <f aca="false">IF(SUMPRODUCT(--(LEN(INDEX(Rider_Input[#Data],ROW()-ROW(Salary_Calculation[#Headers]),0))&gt;0))=0,"",ROW()-ROW(Salary_Calculation[#Headers]))</f>
        <v/>
      </c>
    </row>
    <row r="250" customFormat="false" ht="14.25" hidden="false" customHeight="false" outlineLevel="0" collapsed="false">
      <c r="A250" s="161" t="str">
        <f aca="false">IF(Salary_Calculation[[#This Row],[Source Row]]="","",IF(INDEX(Rider_Input[Salary Month],Salary_Calculation[[#This Row],[Source Row]])="","",INDEX(Rider_Input[Salary Month],Salary_Calculation[[#This Row],[Source Row]])))</f>
        <v/>
      </c>
      <c r="B250" s="162" t="str">
        <f aca="false">IF(Salary_Calculation[[#This Row],[Source Row]]="","",IF(INDEX(Rider_Input[Rider ID],Salary_Calculation[[#This Row],[Source Row]])="","",INDEX(Rider_Input[Rider ID],Salary_Calculation[[#This Row],[Source Row]])))</f>
        <v/>
      </c>
      <c r="C250" s="163" t="str">
        <f aca="false">IF(Salary_Calculation[[#This Row],[Source Row]]="","",IF(INDEX(Rider_Input[Rider Name],Salary_Calculation[[#This Row],[Source Row]])="","",INDEX(Rider_Input[Rider Name],Salary_Calculation[[#This Row],[Source Row]])))</f>
        <v/>
      </c>
      <c r="D250" s="164" t="str">
        <f aca="false">IF(Salary_Calculation[[#This Row],[Source Row]]="","",IF(INDEX(Rider_Input[Basic Payment],Salary_Calculation[[#This Row],[Source Row]])="","",INDEX(Rider_Input[Basic Payment],Salary_Calculation[[#This Row],[Source Row]])))</f>
        <v/>
      </c>
      <c r="E250" s="162" t="str">
        <f aca="false">IF(Salary_Calculation[[#This Row],[Source Row]]="","",IF(INDEX(Rider_Input[Calendar Days in Month],Salary_Calculation[[#This Row],[Source Row]])="","",INDEX(Rider_Input[Calendar Days in Month],Salary_Calculation[[#This Row],[Source Row]])))</f>
        <v/>
      </c>
      <c r="F250" s="162" t="str">
        <f aca="false">IF(Salary_Calculation[[#This Row],[Source Row]]="","",IF(INDEX(Rider_Input[Working Days],Salary_Calculation[[#This Row],[Source Row]])="","",INDEX(Rider_Input[Working Days],Salary_Calculation[[#This Row],[Source Row]])))</f>
        <v/>
      </c>
      <c r="G250" s="165" t="str">
        <f aca="false">IF(Salary_Calculation[[#This Row],[Source Row]]="","",Std_Orders/Std_Days*N(Salary_Calculation[[#This Row],[Calendar Days]]))</f>
        <v/>
      </c>
      <c r="H250" s="165" t="str">
        <f aca="false">IF(Salary_Calculation[[#This Row],[Source Row]]="","",IF(N(Salary_Calculation[[#This Row],[Calendar Days]])&gt;0,Salary_Calculation[[#This Row],[Monthly Target Orders]]/N(Salary_Calculation[[#This Row],[Calendar Days]])*N(Salary_Calculation[[#This Row],[Working Days]]),0))</f>
        <v/>
      </c>
      <c r="I250" s="166" t="str">
        <f aca="false">IF(Salary_Calculation[[#This Row],[Source Row]]="","",IF(INDEX(Rider_Input[Completed Orders],Salary_Calculation[[#This Row],[Source Row]])="","",INDEX(Rider_Input[Completed Orders],Salary_Calculation[[#This Row],[Source Row]])))</f>
        <v/>
      </c>
      <c r="J250" s="165" t="str">
        <f aca="false">IF(Salary_Calculation[[#This Row],[Source Row]]="","",IF(Rate_Method="Fixed rate",Fixed_Rate,IF(N(Salary_Calculation[[#This Row],[Basic Payment]])&gt;0,N(Salary_Calculation[[#This Row],[Basic Payment]])/Std_Orders,0)))</f>
        <v/>
      </c>
      <c r="K250" s="165" t="str">
        <f aca="false">IF(Salary_Calculation[[#This Row],[Source Row]]="","",MAX(MIN(N(Salary_Calculation[[#This Row],[Completed Orders]]),Salary_Calculation[[#This Row],[Rider Target Orders]]),0))</f>
        <v/>
      </c>
      <c r="L250" s="164" t="str">
        <f aca="false">IF(Salary_Calculation[[#This Row],[Source Row]]="","",Salary_Calculation[[#This Row],[Orders Counted at Base Rate]]*Salary_Calculation[[#This Row],[Base Order Rate]])</f>
        <v/>
      </c>
      <c r="M250" s="165" t="str">
        <f aca="false">IF(Salary_Calculation[[#This Row],[Source Row]]="","",MAX(Salary_Calculation[[#This Row],[Rider Target Orders]]-N(Salary_Calculation[[#This Row],[Completed Orders]]),0))</f>
        <v/>
      </c>
      <c r="N250" s="164" t="str">
        <f aca="false">IF(Salary_Calculation[[#This Row],[Source Row]]="","",Salary_Calculation[[#This Row],[Missing Orders]]*Missing_Rate)</f>
        <v/>
      </c>
      <c r="O250" s="165" t="str">
        <f aca="false">IF(Salary_Calculation[[#This Row],[Source Row]]="","",MAX(N(Salary_Calculation[[#This Row],[Completed Orders]])-Salary_Calculation[[#This Row],[Rider Target Orders]],0))</f>
        <v/>
      </c>
      <c r="P250" s="164" t="str">
        <f aca="false">IF(Salary_Calculation[[#This Row],[Source Row]]="","",Salary_Calculation[[#This Row],[Extra Orders]]*Extra_Rate)</f>
        <v/>
      </c>
      <c r="Q250" s="164" t="str">
        <f aca="false">IF(Salary_Calculation[[#This Row],[Source Row]]="","",MAX(Salary_Calculation[[#This Row],[Salary Before Other Deductions]],0))</f>
        <v/>
      </c>
      <c r="R250" s="164" t="str">
        <f aca="false">IF(Salary_Calculation[[#This Row],[Source Row]]="","",N(INDEX(Rider_Input[missed_days_penalty],Salary_Calculation[[#This Row],[Source Row]])))</f>
        <v/>
      </c>
      <c r="S250" s="164" t="str">
        <f aca="false">IF(Salary_Calculation[[#This Row],[Source Row]]="","",N(INDEX(Rider_Input[Rider Balance / محفظة المندوب],Salary_Calculation[[#This Row],[Source Row]])))</f>
        <v/>
      </c>
      <c r="T250" s="164" t="str">
        <f aca="false">IF(Salary_Calculation[[#This Row],[Source Row]]="","",N(INDEX(Rider_Input[stacking_deduction / خصم الطلبات المتعددة],Salary_Calculation[[#This Row],[Source Row]])))</f>
        <v/>
      </c>
      <c r="U250" s="164" t="str">
        <f aca="false">IF(Salary_Calculation[[#This Row],[Source Row]]="","",N(INDEX(Rider_Input[Other Deductions],Salary_Calculation[[#This Row],[Source Row]])))</f>
        <v/>
      </c>
      <c r="V250" s="164" t="str">
        <f aca="false">IF(Salary_Calculation[[#This Row],[Source Row]]="","",N(Salary_Calculation[[#This Row],[missed_days_penalty]])+N(Salary_Calculation[[#This Row],[Rider Balance]])+N(Salary_Calculation[[#This Row],[stacking_deduction]])+N(Salary_Calculation[[#This Row],[Other Deductions]]))</f>
        <v/>
      </c>
      <c r="W250" s="167" t="str">
        <f aca="false">IF(Salary_Calculation[[#This Row],[Source Row]]="","",ROUND(MAX(Salary_Calculation[[#This Row],[Gross Salary Before Deductions]]-Salary_Calculation[[#This Row],[Total Deductions]],0),2))</f>
        <v/>
      </c>
      <c r="X250" s="164" t="str">
        <f aca="false">IF(Salary_Calculation[[#This Row],[Source Row]]="","",ROUND(MAX(Salary_Calculation[[#This Row],[Missing-Order Deduction]]-Salary_Calculation[[#This Row],[Earned Salary]],0),2))</f>
        <v/>
      </c>
      <c r="Y25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50" s="163" t="str">
        <f aca="false">IF(Salary_Calculation[[#This Row],[Source Row]]="","",IF(INDEX(Rider_Input[Notes],Salary_Calculation[[#This Row],[Source Row]])="","",INDEX(Rider_Input[Notes],Salary_Calculation[[#This Row],[Source Row]])))</f>
        <v/>
      </c>
      <c r="AA250" s="164" t="str">
        <f aca="false">IF(Salary_Calculation[[#This Row],[Source Row]]="","",Salary_Calculation[[#This Row],[Earned Salary]]-Salary_Calculation[[#This Row],[Missing-Order Deduction]]+Salary_Calculation[[#This Row],[Extra-Order Bonus]])</f>
        <v/>
      </c>
      <c r="AB250" s="164" t="str">
        <f aca="false">IF(Salary_Calculation[[#This Row],[Source Row]]="","",ROUND(Salary_Calculation[[#This Row],[Negative Balance / Amount Due from Rider]]+MAX(Salary_Calculation[[#This Row],[Total Deductions]]-Salary_Calculation[[#This Row],[Gross Salary Before Deductions]],0),2))</f>
        <v/>
      </c>
      <c r="AC25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50" s="164" t="str">
        <f aca="false">IF(Salary_Calculation[[#This Row],[Source Row]]="","",Salary_Calculation[[#This Row],[Rider Target Orders]]*Salary_Calculation[[#This Row],[Base Order Rate]])</f>
        <v/>
      </c>
      <c r="AE250" s="162" t="str">
        <f aca="false">IF(SUMPRODUCT(--(LEN(INDEX(Rider_Input[#Data],ROW()-ROW(Salary_Calculation[#Headers]),0))&gt;0))=0,"",ROW()-ROW(Salary_Calculation[#Headers]))</f>
        <v/>
      </c>
    </row>
    <row r="251" customFormat="false" ht="14.25" hidden="false" customHeight="false" outlineLevel="0" collapsed="false">
      <c r="A251" s="161" t="str">
        <f aca="false">IF(Salary_Calculation[[#This Row],[Source Row]]="","",IF(INDEX(Rider_Input[Salary Month],Salary_Calculation[[#This Row],[Source Row]])="","",INDEX(Rider_Input[Salary Month],Salary_Calculation[[#This Row],[Source Row]])))</f>
        <v/>
      </c>
      <c r="B251" s="162" t="str">
        <f aca="false">IF(Salary_Calculation[[#This Row],[Source Row]]="","",IF(INDEX(Rider_Input[Rider ID],Salary_Calculation[[#This Row],[Source Row]])="","",INDEX(Rider_Input[Rider ID],Salary_Calculation[[#This Row],[Source Row]])))</f>
        <v/>
      </c>
      <c r="C251" s="163" t="str">
        <f aca="false">IF(Salary_Calculation[[#This Row],[Source Row]]="","",IF(INDEX(Rider_Input[Rider Name],Salary_Calculation[[#This Row],[Source Row]])="","",INDEX(Rider_Input[Rider Name],Salary_Calculation[[#This Row],[Source Row]])))</f>
        <v/>
      </c>
      <c r="D251" s="164" t="str">
        <f aca="false">IF(Salary_Calculation[[#This Row],[Source Row]]="","",IF(INDEX(Rider_Input[Basic Payment],Salary_Calculation[[#This Row],[Source Row]])="","",INDEX(Rider_Input[Basic Payment],Salary_Calculation[[#This Row],[Source Row]])))</f>
        <v/>
      </c>
      <c r="E251" s="162" t="str">
        <f aca="false">IF(Salary_Calculation[[#This Row],[Source Row]]="","",IF(INDEX(Rider_Input[Calendar Days in Month],Salary_Calculation[[#This Row],[Source Row]])="","",INDEX(Rider_Input[Calendar Days in Month],Salary_Calculation[[#This Row],[Source Row]])))</f>
        <v/>
      </c>
      <c r="F251" s="162" t="str">
        <f aca="false">IF(Salary_Calculation[[#This Row],[Source Row]]="","",IF(INDEX(Rider_Input[Working Days],Salary_Calculation[[#This Row],[Source Row]])="","",INDEX(Rider_Input[Working Days],Salary_Calculation[[#This Row],[Source Row]])))</f>
        <v/>
      </c>
      <c r="G251" s="165" t="str">
        <f aca="false">IF(Salary_Calculation[[#This Row],[Source Row]]="","",Std_Orders/Std_Days*N(Salary_Calculation[[#This Row],[Calendar Days]]))</f>
        <v/>
      </c>
      <c r="H251" s="165" t="str">
        <f aca="false">IF(Salary_Calculation[[#This Row],[Source Row]]="","",IF(N(Salary_Calculation[[#This Row],[Calendar Days]])&gt;0,Salary_Calculation[[#This Row],[Monthly Target Orders]]/N(Salary_Calculation[[#This Row],[Calendar Days]])*N(Salary_Calculation[[#This Row],[Working Days]]),0))</f>
        <v/>
      </c>
      <c r="I251" s="166" t="str">
        <f aca="false">IF(Salary_Calculation[[#This Row],[Source Row]]="","",IF(INDEX(Rider_Input[Completed Orders],Salary_Calculation[[#This Row],[Source Row]])="","",INDEX(Rider_Input[Completed Orders],Salary_Calculation[[#This Row],[Source Row]])))</f>
        <v/>
      </c>
      <c r="J251" s="165" t="str">
        <f aca="false">IF(Salary_Calculation[[#This Row],[Source Row]]="","",IF(Rate_Method="Fixed rate",Fixed_Rate,IF(N(Salary_Calculation[[#This Row],[Basic Payment]])&gt;0,N(Salary_Calculation[[#This Row],[Basic Payment]])/Std_Orders,0)))</f>
        <v/>
      </c>
      <c r="K251" s="165" t="str">
        <f aca="false">IF(Salary_Calculation[[#This Row],[Source Row]]="","",MAX(MIN(N(Salary_Calculation[[#This Row],[Completed Orders]]),Salary_Calculation[[#This Row],[Rider Target Orders]]),0))</f>
        <v/>
      </c>
      <c r="L251" s="164" t="str">
        <f aca="false">IF(Salary_Calculation[[#This Row],[Source Row]]="","",Salary_Calculation[[#This Row],[Orders Counted at Base Rate]]*Salary_Calculation[[#This Row],[Base Order Rate]])</f>
        <v/>
      </c>
      <c r="M251" s="165" t="str">
        <f aca="false">IF(Salary_Calculation[[#This Row],[Source Row]]="","",MAX(Salary_Calculation[[#This Row],[Rider Target Orders]]-N(Salary_Calculation[[#This Row],[Completed Orders]]),0))</f>
        <v/>
      </c>
      <c r="N251" s="164" t="str">
        <f aca="false">IF(Salary_Calculation[[#This Row],[Source Row]]="","",Salary_Calculation[[#This Row],[Missing Orders]]*Missing_Rate)</f>
        <v/>
      </c>
      <c r="O251" s="165" t="str">
        <f aca="false">IF(Salary_Calculation[[#This Row],[Source Row]]="","",MAX(N(Salary_Calculation[[#This Row],[Completed Orders]])-Salary_Calculation[[#This Row],[Rider Target Orders]],0))</f>
        <v/>
      </c>
      <c r="P251" s="164" t="str">
        <f aca="false">IF(Salary_Calculation[[#This Row],[Source Row]]="","",Salary_Calculation[[#This Row],[Extra Orders]]*Extra_Rate)</f>
        <v/>
      </c>
      <c r="Q251" s="164" t="str">
        <f aca="false">IF(Salary_Calculation[[#This Row],[Source Row]]="","",MAX(Salary_Calculation[[#This Row],[Salary Before Other Deductions]],0))</f>
        <v/>
      </c>
      <c r="R251" s="164" t="str">
        <f aca="false">IF(Salary_Calculation[[#This Row],[Source Row]]="","",N(INDEX(Rider_Input[missed_days_penalty],Salary_Calculation[[#This Row],[Source Row]])))</f>
        <v/>
      </c>
      <c r="S251" s="164" t="str">
        <f aca="false">IF(Salary_Calculation[[#This Row],[Source Row]]="","",N(INDEX(Rider_Input[Rider Balance / محفظة المندوب],Salary_Calculation[[#This Row],[Source Row]])))</f>
        <v/>
      </c>
      <c r="T251" s="164" t="str">
        <f aca="false">IF(Salary_Calculation[[#This Row],[Source Row]]="","",N(INDEX(Rider_Input[stacking_deduction / خصم الطلبات المتعددة],Salary_Calculation[[#This Row],[Source Row]])))</f>
        <v/>
      </c>
      <c r="U251" s="164" t="str">
        <f aca="false">IF(Salary_Calculation[[#This Row],[Source Row]]="","",N(INDEX(Rider_Input[Other Deductions],Salary_Calculation[[#This Row],[Source Row]])))</f>
        <v/>
      </c>
      <c r="V251" s="164" t="str">
        <f aca="false">IF(Salary_Calculation[[#This Row],[Source Row]]="","",N(Salary_Calculation[[#This Row],[missed_days_penalty]])+N(Salary_Calculation[[#This Row],[Rider Balance]])+N(Salary_Calculation[[#This Row],[stacking_deduction]])+N(Salary_Calculation[[#This Row],[Other Deductions]]))</f>
        <v/>
      </c>
      <c r="W251" s="167" t="str">
        <f aca="false">IF(Salary_Calculation[[#This Row],[Source Row]]="","",ROUND(MAX(Salary_Calculation[[#This Row],[Gross Salary Before Deductions]]-Salary_Calculation[[#This Row],[Total Deductions]],0),2))</f>
        <v/>
      </c>
      <c r="X251" s="164" t="str">
        <f aca="false">IF(Salary_Calculation[[#This Row],[Source Row]]="","",ROUND(MAX(Salary_Calculation[[#This Row],[Missing-Order Deduction]]-Salary_Calculation[[#This Row],[Earned Salary]],0),2))</f>
        <v/>
      </c>
      <c r="Y25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51" s="163" t="str">
        <f aca="false">IF(Salary_Calculation[[#This Row],[Source Row]]="","",IF(INDEX(Rider_Input[Notes],Salary_Calculation[[#This Row],[Source Row]])="","",INDEX(Rider_Input[Notes],Salary_Calculation[[#This Row],[Source Row]])))</f>
        <v/>
      </c>
      <c r="AA251" s="164" t="str">
        <f aca="false">IF(Salary_Calculation[[#This Row],[Source Row]]="","",Salary_Calculation[[#This Row],[Earned Salary]]-Salary_Calculation[[#This Row],[Missing-Order Deduction]]+Salary_Calculation[[#This Row],[Extra-Order Bonus]])</f>
        <v/>
      </c>
      <c r="AB251" s="164" t="str">
        <f aca="false">IF(Salary_Calculation[[#This Row],[Source Row]]="","",ROUND(Salary_Calculation[[#This Row],[Negative Balance / Amount Due from Rider]]+MAX(Salary_Calculation[[#This Row],[Total Deductions]]-Salary_Calculation[[#This Row],[Gross Salary Before Deductions]],0),2))</f>
        <v/>
      </c>
      <c r="AC25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51" s="164" t="str">
        <f aca="false">IF(Salary_Calculation[[#This Row],[Source Row]]="","",Salary_Calculation[[#This Row],[Rider Target Orders]]*Salary_Calculation[[#This Row],[Base Order Rate]])</f>
        <v/>
      </c>
      <c r="AE251" s="162" t="str">
        <f aca="false">IF(SUMPRODUCT(--(LEN(INDEX(Rider_Input[#Data],ROW()-ROW(Salary_Calculation[#Headers]),0))&gt;0))=0,"",ROW()-ROW(Salary_Calculation[#Headers]))</f>
        <v/>
      </c>
    </row>
    <row r="252" customFormat="false" ht="14.25" hidden="false" customHeight="false" outlineLevel="0" collapsed="false">
      <c r="A252" s="161" t="str">
        <f aca="false">IF(Salary_Calculation[[#This Row],[Source Row]]="","",IF(INDEX(Rider_Input[Salary Month],Salary_Calculation[[#This Row],[Source Row]])="","",INDEX(Rider_Input[Salary Month],Salary_Calculation[[#This Row],[Source Row]])))</f>
        <v/>
      </c>
      <c r="B252" s="162" t="str">
        <f aca="false">IF(Salary_Calculation[[#This Row],[Source Row]]="","",IF(INDEX(Rider_Input[Rider ID],Salary_Calculation[[#This Row],[Source Row]])="","",INDEX(Rider_Input[Rider ID],Salary_Calculation[[#This Row],[Source Row]])))</f>
        <v/>
      </c>
      <c r="C252" s="163" t="str">
        <f aca="false">IF(Salary_Calculation[[#This Row],[Source Row]]="","",IF(INDEX(Rider_Input[Rider Name],Salary_Calculation[[#This Row],[Source Row]])="","",INDEX(Rider_Input[Rider Name],Salary_Calculation[[#This Row],[Source Row]])))</f>
        <v/>
      </c>
      <c r="D252" s="164" t="str">
        <f aca="false">IF(Salary_Calculation[[#This Row],[Source Row]]="","",IF(INDEX(Rider_Input[Basic Payment],Salary_Calculation[[#This Row],[Source Row]])="","",INDEX(Rider_Input[Basic Payment],Salary_Calculation[[#This Row],[Source Row]])))</f>
        <v/>
      </c>
      <c r="E252" s="162" t="str">
        <f aca="false">IF(Salary_Calculation[[#This Row],[Source Row]]="","",IF(INDEX(Rider_Input[Calendar Days in Month],Salary_Calculation[[#This Row],[Source Row]])="","",INDEX(Rider_Input[Calendar Days in Month],Salary_Calculation[[#This Row],[Source Row]])))</f>
        <v/>
      </c>
      <c r="F252" s="162" t="str">
        <f aca="false">IF(Salary_Calculation[[#This Row],[Source Row]]="","",IF(INDEX(Rider_Input[Working Days],Salary_Calculation[[#This Row],[Source Row]])="","",INDEX(Rider_Input[Working Days],Salary_Calculation[[#This Row],[Source Row]])))</f>
        <v/>
      </c>
      <c r="G252" s="165" t="str">
        <f aca="false">IF(Salary_Calculation[[#This Row],[Source Row]]="","",Std_Orders/Std_Days*N(Salary_Calculation[[#This Row],[Calendar Days]]))</f>
        <v/>
      </c>
      <c r="H252" s="165" t="str">
        <f aca="false">IF(Salary_Calculation[[#This Row],[Source Row]]="","",IF(N(Salary_Calculation[[#This Row],[Calendar Days]])&gt;0,Salary_Calculation[[#This Row],[Monthly Target Orders]]/N(Salary_Calculation[[#This Row],[Calendar Days]])*N(Salary_Calculation[[#This Row],[Working Days]]),0))</f>
        <v/>
      </c>
      <c r="I252" s="166" t="str">
        <f aca="false">IF(Salary_Calculation[[#This Row],[Source Row]]="","",IF(INDEX(Rider_Input[Completed Orders],Salary_Calculation[[#This Row],[Source Row]])="","",INDEX(Rider_Input[Completed Orders],Salary_Calculation[[#This Row],[Source Row]])))</f>
        <v/>
      </c>
      <c r="J252" s="165" t="str">
        <f aca="false">IF(Salary_Calculation[[#This Row],[Source Row]]="","",IF(Rate_Method="Fixed rate",Fixed_Rate,IF(N(Salary_Calculation[[#This Row],[Basic Payment]])&gt;0,N(Salary_Calculation[[#This Row],[Basic Payment]])/Std_Orders,0)))</f>
        <v/>
      </c>
      <c r="K252" s="165" t="str">
        <f aca="false">IF(Salary_Calculation[[#This Row],[Source Row]]="","",MAX(MIN(N(Salary_Calculation[[#This Row],[Completed Orders]]),Salary_Calculation[[#This Row],[Rider Target Orders]]),0))</f>
        <v/>
      </c>
      <c r="L252" s="164" t="str">
        <f aca="false">IF(Salary_Calculation[[#This Row],[Source Row]]="","",Salary_Calculation[[#This Row],[Orders Counted at Base Rate]]*Salary_Calculation[[#This Row],[Base Order Rate]])</f>
        <v/>
      </c>
      <c r="M252" s="165" t="str">
        <f aca="false">IF(Salary_Calculation[[#This Row],[Source Row]]="","",MAX(Salary_Calculation[[#This Row],[Rider Target Orders]]-N(Salary_Calculation[[#This Row],[Completed Orders]]),0))</f>
        <v/>
      </c>
      <c r="N252" s="164" t="str">
        <f aca="false">IF(Salary_Calculation[[#This Row],[Source Row]]="","",Salary_Calculation[[#This Row],[Missing Orders]]*Missing_Rate)</f>
        <v/>
      </c>
      <c r="O252" s="165" t="str">
        <f aca="false">IF(Salary_Calculation[[#This Row],[Source Row]]="","",MAX(N(Salary_Calculation[[#This Row],[Completed Orders]])-Salary_Calculation[[#This Row],[Rider Target Orders]],0))</f>
        <v/>
      </c>
      <c r="P252" s="164" t="str">
        <f aca="false">IF(Salary_Calculation[[#This Row],[Source Row]]="","",Salary_Calculation[[#This Row],[Extra Orders]]*Extra_Rate)</f>
        <v/>
      </c>
      <c r="Q252" s="164" t="str">
        <f aca="false">IF(Salary_Calculation[[#This Row],[Source Row]]="","",MAX(Salary_Calculation[[#This Row],[Salary Before Other Deductions]],0))</f>
        <v/>
      </c>
      <c r="R252" s="164" t="str">
        <f aca="false">IF(Salary_Calculation[[#This Row],[Source Row]]="","",N(INDEX(Rider_Input[missed_days_penalty],Salary_Calculation[[#This Row],[Source Row]])))</f>
        <v/>
      </c>
      <c r="S252" s="164" t="str">
        <f aca="false">IF(Salary_Calculation[[#This Row],[Source Row]]="","",N(INDEX(Rider_Input[Rider Balance / محفظة المندوب],Salary_Calculation[[#This Row],[Source Row]])))</f>
        <v/>
      </c>
      <c r="T252" s="164" t="str">
        <f aca="false">IF(Salary_Calculation[[#This Row],[Source Row]]="","",N(INDEX(Rider_Input[stacking_deduction / خصم الطلبات المتعددة],Salary_Calculation[[#This Row],[Source Row]])))</f>
        <v/>
      </c>
      <c r="U252" s="164" t="str">
        <f aca="false">IF(Salary_Calculation[[#This Row],[Source Row]]="","",N(INDEX(Rider_Input[Other Deductions],Salary_Calculation[[#This Row],[Source Row]])))</f>
        <v/>
      </c>
      <c r="V252" s="164" t="str">
        <f aca="false">IF(Salary_Calculation[[#This Row],[Source Row]]="","",N(Salary_Calculation[[#This Row],[missed_days_penalty]])+N(Salary_Calculation[[#This Row],[Rider Balance]])+N(Salary_Calculation[[#This Row],[stacking_deduction]])+N(Salary_Calculation[[#This Row],[Other Deductions]]))</f>
        <v/>
      </c>
      <c r="W252" s="167" t="str">
        <f aca="false">IF(Salary_Calculation[[#This Row],[Source Row]]="","",ROUND(MAX(Salary_Calculation[[#This Row],[Gross Salary Before Deductions]]-Salary_Calculation[[#This Row],[Total Deductions]],0),2))</f>
        <v/>
      </c>
      <c r="X252" s="164" t="str">
        <f aca="false">IF(Salary_Calculation[[#This Row],[Source Row]]="","",ROUND(MAX(Salary_Calculation[[#This Row],[Missing-Order Deduction]]-Salary_Calculation[[#This Row],[Earned Salary]],0),2))</f>
        <v/>
      </c>
      <c r="Y25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52" s="163" t="str">
        <f aca="false">IF(Salary_Calculation[[#This Row],[Source Row]]="","",IF(INDEX(Rider_Input[Notes],Salary_Calculation[[#This Row],[Source Row]])="","",INDEX(Rider_Input[Notes],Salary_Calculation[[#This Row],[Source Row]])))</f>
        <v/>
      </c>
      <c r="AA252" s="164" t="str">
        <f aca="false">IF(Salary_Calculation[[#This Row],[Source Row]]="","",Salary_Calculation[[#This Row],[Earned Salary]]-Salary_Calculation[[#This Row],[Missing-Order Deduction]]+Salary_Calculation[[#This Row],[Extra-Order Bonus]])</f>
        <v/>
      </c>
      <c r="AB252" s="164" t="str">
        <f aca="false">IF(Salary_Calculation[[#This Row],[Source Row]]="","",ROUND(Salary_Calculation[[#This Row],[Negative Balance / Amount Due from Rider]]+MAX(Salary_Calculation[[#This Row],[Total Deductions]]-Salary_Calculation[[#This Row],[Gross Salary Before Deductions]],0),2))</f>
        <v/>
      </c>
      <c r="AC25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52" s="164" t="str">
        <f aca="false">IF(Salary_Calculation[[#This Row],[Source Row]]="","",Salary_Calculation[[#This Row],[Rider Target Orders]]*Salary_Calculation[[#This Row],[Base Order Rate]])</f>
        <v/>
      </c>
      <c r="AE252" s="162" t="str">
        <f aca="false">IF(SUMPRODUCT(--(LEN(INDEX(Rider_Input[#Data],ROW()-ROW(Salary_Calculation[#Headers]),0))&gt;0))=0,"",ROW()-ROW(Salary_Calculation[#Headers]))</f>
        <v/>
      </c>
    </row>
    <row r="253" customFormat="false" ht="14.25" hidden="false" customHeight="false" outlineLevel="0" collapsed="false">
      <c r="A253" s="161" t="str">
        <f aca="false">IF(Salary_Calculation[[#This Row],[Source Row]]="","",IF(INDEX(Rider_Input[Salary Month],Salary_Calculation[[#This Row],[Source Row]])="","",INDEX(Rider_Input[Salary Month],Salary_Calculation[[#This Row],[Source Row]])))</f>
        <v/>
      </c>
      <c r="B253" s="162" t="str">
        <f aca="false">IF(Salary_Calculation[[#This Row],[Source Row]]="","",IF(INDEX(Rider_Input[Rider ID],Salary_Calculation[[#This Row],[Source Row]])="","",INDEX(Rider_Input[Rider ID],Salary_Calculation[[#This Row],[Source Row]])))</f>
        <v/>
      </c>
      <c r="C253" s="163" t="str">
        <f aca="false">IF(Salary_Calculation[[#This Row],[Source Row]]="","",IF(INDEX(Rider_Input[Rider Name],Salary_Calculation[[#This Row],[Source Row]])="","",INDEX(Rider_Input[Rider Name],Salary_Calculation[[#This Row],[Source Row]])))</f>
        <v/>
      </c>
      <c r="D253" s="164" t="str">
        <f aca="false">IF(Salary_Calculation[[#This Row],[Source Row]]="","",IF(INDEX(Rider_Input[Basic Payment],Salary_Calculation[[#This Row],[Source Row]])="","",INDEX(Rider_Input[Basic Payment],Salary_Calculation[[#This Row],[Source Row]])))</f>
        <v/>
      </c>
      <c r="E253" s="162" t="str">
        <f aca="false">IF(Salary_Calculation[[#This Row],[Source Row]]="","",IF(INDEX(Rider_Input[Calendar Days in Month],Salary_Calculation[[#This Row],[Source Row]])="","",INDEX(Rider_Input[Calendar Days in Month],Salary_Calculation[[#This Row],[Source Row]])))</f>
        <v/>
      </c>
      <c r="F253" s="162" t="str">
        <f aca="false">IF(Salary_Calculation[[#This Row],[Source Row]]="","",IF(INDEX(Rider_Input[Working Days],Salary_Calculation[[#This Row],[Source Row]])="","",INDEX(Rider_Input[Working Days],Salary_Calculation[[#This Row],[Source Row]])))</f>
        <v/>
      </c>
      <c r="G253" s="165" t="str">
        <f aca="false">IF(Salary_Calculation[[#This Row],[Source Row]]="","",Std_Orders/Std_Days*N(Salary_Calculation[[#This Row],[Calendar Days]]))</f>
        <v/>
      </c>
      <c r="H253" s="165" t="str">
        <f aca="false">IF(Salary_Calculation[[#This Row],[Source Row]]="","",IF(N(Salary_Calculation[[#This Row],[Calendar Days]])&gt;0,Salary_Calculation[[#This Row],[Monthly Target Orders]]/N(Salary_Calculation[[#This Row],[Calendar Days]])*N(Salary_Calculation[[#This Row],[Working Days]]),0))</f>
        <v/>
      </c>
      <c r="I253" s="166" t="str">
        <f aca="false">IF(Salary_Calculation[[#This Row],[Source Row]]="","",IF(INDEX(Rider_Input[Completed Orders],Salary_Calculation[[#This Row],[Source Row]])="","",INDEX(Rider_Input[Completed Orders],Salary_Calculation[[#This Row],[Source Row]])))</f>
        <v/>
      </c>
      <c r="J253" s="165" t="str">
        <f aca="false">IF(Salary_Calculation[[#This Row],[Source Row]]="","",IF(Rate_Method="Fixed rate",Fixed_Rate,IF(N(Salary_Calculation[[#This Row],[Basic Payment]])&gt;0,N(Salary_Calculation[[#This Row],[Basic Payment]])/Std_Orders,0)))</f>
        <v/>
      </c>
      <c r="K253" s="165" t="str">
        <f aca="false">IF(Salary_Calculation[[#This Row],[Source Row]]="","",MAX(MIN(N(Salary_Calculation[[#This Row],[Completed Orders]]),Salary_Calculation[[#This Row],[Rider Target Orders]]),0))</f>
        <v/>
      </c>
      <c r="L253" s="164" t="str">
        <f aca="false">IF(Salary_Calculation[[#This Row],[Source Row]]="","",Salary_Calculation[[#This Row],[Orders Counted at Base Rate]]*Salary_Calculation[[#This Row],[Base Order Rate]])</f>
        <v/>
      </c>
      <c r="M253" s="165" t="str">
        <f aca="false">IF(Salary_Calculation[[#This Row],[Source Row]]="","",MAX(Salary_Calculation[[#This Row],[Rider Target Orders]]-N(Salary_Calculation[[#This Row],[Completed Orders]]),0))</f>
        <v/>
      </c>
      <c r="N253" s="164" t="str">
        <f aca="false">IF(Salary_Calculation[[#This Row],[Source Row]]="","",Salary_Calculation[[#This Row],[Missing Orders]]*Missing_Rate)</f>
        <v/>
      </c>
      <c r="O253" s="165" t="str">
        <f aca="false">IF(Salary_Calculation[[#This Row],[Source Row]]="","",MAX(N(Salary_Calculation[[#This Row],[Completed Orders]])-Salary_Calculation[[#This Row],[Rider Target Orders]],0))</f>
        <v/>
      </c>
      <c r="P253" s="164" t="str">
        <f aca="false">IF(Salary_Calculation[[#This Row],[Source Row]]="","",Salary_Calculation[[#This Row],[Extra Orders]]*Extra_Rate)</f>
        <v/>
      </c>
      <c r="Q253" s="164" t="str">
        <f aca="false">IF(Salary_Calculation[[#This Row],[Source Row]]="","",MAX(Salary_Calculation[[#This Row],[Salary Before Other Deductions]],0))</f>
        <v/>
      </c>
      <c r="R253" s="164" t="str">
        <f aca="false">IF(Salary_Calculation[[#This Row],[Source Row]]="","",N(INDEX(Rider_Input[missed_days_penalty],Salary_Calculation[[#This Row],[Source Row]])))</f>
        <v/>
      </c>
      <c r="S253" s="164" t="str">
        <f aca="false">IF(Salary_Calculation[[#This Row],[Source Row]]="","",N(INDEX(Rider_Input[Rider Balance / محفظة المندوب],Salary_Calculation[[#This Row],[Source Row]])))</f>
        <v/>
      </c>
      <c r="T253" s="164" t="str">
        <f aca="false">IF(Salary_Calculation[[#This Row],[Source Row]]="","",N(INDEX(Rider_Input[stacking_deduction / خصم الطلبات المتعددة],Salary_Calculation[[#This Row],[Source Row]])))</f>
        <v/>
      </c>
      <c r="U253" s="164" t="str">
        <f aca="false">IF(Salary_Calculation[[#This Row],[Source Row]]="","",N(INDEX(Rider_Input[Other Deductions],Salary_Calculation[[#This Row],[Source Row]])))</f>
        <v/>
      </c>
      <c r="V253" s="164" t="str">
        <f aca="false">IF(Salary_Calculation[[#This Row],[Source Row]]="","",N(Salary_Calculation[[#This Row],[missed_days_penalty]])+N(Salary_Calculation[[#This Row],[Rider Balance]])+N(Salary_Calculation[[#This Row],[stacking_deduction]])+N(Salary_Calculation[[#This Row],[Other Deductions]]))</f>
        <v/>
      </c>
      <c r="W253" s="167" t="str">
        <f aca="false">IF(Salary_Calculation[[#This Row],[Source Row]]="","",ROUND(MAX(Salary_Calculation[[#This Row],[Gross Salary Before Deductions]]-Salary_Calculation[[#This Row],[Total Deductions]],0),2))</f>
        <v/>
      </c>
      <c r="X253" s="164" t="str">
        <f aca="false">IF(Salary_Calculation[[#This Row],[Source Row]]="","",ROUND(MAX(Salary_Calculation[[#This Row],[Missing-Order Deduction]]-Salary_Calculation[[#This Row],[Earned Salary]],0),2))</f>
        <v/>
      </c>
      <c r="Y25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53" s="163" t="str">
        <f aca="false">IF(Salary_Calculation[[#This Row],[Source Row]]="","",IF(INDEX(Rider_Input[Notes],Salary_Calculation[[#This Row],[Source Row]])="","",INDEX(Rider_Input[Notes],Salary_Calculation[[#This Row],[Source Row]])))</f>
        <v/>
      </c>
      <c r="AA253" s="164" t="str">
        <f aca="false">IF(Salary_Calculation[[#This Row],[Source Row]]="","",Salary_Calculation[[#This Row],[Earned Salary]]-Salary_Calculation[[#This Row],[Missing-Order Deduction]]+Salary_Calculation[[#This Row],[Extra-Order Bonus]])</f>
        <v/>
      </c>
      <c r="AB253" s="164" t="str">
        <f aca="false">IF(Salary_Calculation[[#This Row],[Source Row]]="","",ROUND(Salary_Calculation[[#This Row],[Negative Balance / Amount Due from Rider]]+MAX(Salary_Calculation[[#This Row],[Total Deductions]]-Salary_Calculation[[#This Row],[Gross Salary Before Deductions]],0),2))</f>
        <v/>
      </c>
      <c r="AC25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53" s="164" t="str">
        <f aca="false">IF(Salary_Calculation[[#This Row],[Source Row]]="","",Salary_Calculation[[#This Row],[Rider Target Orders]]*Salary_Calculation[[#This Row],[Base Order Rate]])</f>
        <v/>
      </c>
      <c r="AE253" s="162" t="str">
        <f aca="false">IF(SUMPRODUCT(--(LEN(INDEX(Rider_Input[#Data],ROW()-ROW(Salary_Calculation[#Headers]),0))&gt;0))=0,"",ROW()-ROW(Salary_Calculation[#Headers]))</f>
        <v/>
      </c>
    </row>
    <row r="254" customFormat="false" ht="14.25" hidden="false" customHeight="false" outlineLevel="0" collapsed="false">
      <c r="A254" s="161" t="str">
        <f aca="false">IF(Salary_Calculation[[#This Row],[Source Row]]="","",IF(INDEX(Rider_Input[Salary Month],Salary_Calculation[[#This Row],[Source Row]])="","",INDEX(Rider_Input[Salary Month],Salary_Calculation[[#This Row],[Source Row]])))</f>
        <v/>
      </c>
      <c r="B254" s="162" t="str">
        <f aca="false">IF(Salary_Calculation[[#This Row],[Source Row]]="","",IF(INDEX(Rider_Input[Rider ID],Salary_Calculation[[#This Row],[Source Row]])="","",INDEX(Rider_Input[Rider ID],Salary_Calculation[[#This Row],[Source Row]])))</f>
        <v/>
      </c>
      <c r="C254" s="163" t="str">
        <f aca="false">IF(Salary_Calculation[[#This Row],[Source Row]]="","",IF(INDEX(Rider_Input[Rider Name],Salary_Calculation[[#This Row],[Source Row]])="","",INDEX(Rider_Input[Rider Name],Salary_Calculation[[#This Row],[Source Row]])))</f>
        <v/>
      </c>
      <c r="D254" s="164" t="str">
        <f aca="false">IF(Salary_Calculation[[#This Row],[Source Row]]="","",IF(INDEX(Rider_Input[Basic Payment],Salary_Calculation[[#This Row],[Source Row]])="","",INDEX(Rider_Input[Basic Payment],Salary_Calculation[[#This Row],[Source Row]])))</f>
        <v/>
      </c>
      <c r="E254" s="162" t="str">
        <f aca="false">IF(Salary_Calculation[[#This Row],[Source Row]]="","",IF(INDEX(Rider_Input[Calendar Days in Month],Salary_Calculation[[#This Row],[Source Row]])="","",INDEX(Rider_Input[Calendar Days in Month],Salary_Calculation[[#This Row],[Source Row]])))</f>
        <v/>
      </c>
      <c r="F254" s="162" t="str">
        <f aca="false">IF(Salary_Calculation[[#This Row],[Source Row]]="","",IF(INDEX(Rider_Input[Working Days],Salary_Calculation[[#This Row],[Source Row]])="","",INDEX(Rider_Input[Working Days],Salary_Calculation[[#This Row],[Source Row]])))</f>
        <v/>
      </c>
      <c r="G254" s="165" t="str">
        <f aca="false">IF(Salary_Calculation[[#This Row],[Source Row]]="","",Std_Orders/Std_Days*N(Salary_Calculation[[#This Row],[Calendar Days]]))</f>
        <v/>
      </c>
      <c r="H254" s="165" t="str">
        <f aca="false">IF(Salary_Calculation[[#This Row],[Source Row]]="","",IF(N(Salary_Calculation[[#This Row],[Calendar Days]])&gt;0,Salary_Calculation[[#This Row],[Monthly Target Orders]]/N(Salary_Calculation[[#This Row],[Calendar Days]])*N(Salary_Calculation[[#This Row],[Working Days]]),0))</f>
        <v/>
      </c>
      <c r="I254" s="166" t="str">
        <f aca="false">IF(Salary_Calculation[[#This Row],[Source Row]]="","",IF(INDEX(Rider_Input[Completed Orders],Salary_Calculation[[#This Row],[Source Row]])="","",INDEX(Rider_Input[Completed Orders],Salary_Calculation[[#This Row],[Source Row]])))</f>
        <v/>
      </c>
      <c r="J254" s="165" t="str">
        <f aca="false">IF(Salary_Calculation[[#This Row],[Source Row]]="","",IF(Rate_Method="Fixed rate",Fixed_Rate,IF(N(Salary_Calculation[[#This Row],[Basic Payment]])&gt;0,N(Salary_Calculation[[#This Row],[Basic Payment]])/Std_Orders,0)))</f>
        <v/>
      </c>
      <c r="K254" s="165" t="str">
        <f aca="false">IF(Salary_Calculation[[#This Row],[Source Row]]="","",MAX(MIN(N(Salary_Calculation[[#This Row],[Completed Orders]]),Salary_Calculation[[#This Row],[Rider Target Orders]]),0))</f>
        <v/>
      </c>
      <c r="L254" s="164" t="str">
        <f aca="false">IF(Salary_Calculation[[#This Row],[Source Row]]="","",Salary_Calculation[[#This Row],[Orders Counted at Base Rate]]*Salary_Calculation[[#This Row],[Base Order Rate]])</f>
        <v/>
      </c>
      <c r="M254" s="165" t="str">
        <f aca="false">IF(Salary_Calculation[[#This Row],[Source Row]]="","",MAX(Salary_Calculation[[#This Row],[Rider Target Orders]]-N(Salary_Calculation[[#This Row],[Completed Orders]]),0))</f>
        <v/>
      </c>
      <c r="N254" s="164" t="str">
        <f aca="false">IF(Salary_Calculation[[#This Row],[Source Row]]="","",Salary_Calculation[[#This Row],[Missing Orders]]*Missing_Rate)</f>
        <v/>
      </c>
      <c r="O254" s="165" t="str">
        <f aca="false">IF(Salary_Calculation[[#This Row],[Source Row]]="","",MAX(N(Salary_Calculation[[#This Row],[Completed Orders]])-Salary_Calculation[[#This Row],[Rider Target Orders]],0))</f>
        <v/>
      </c>
      <c r="P254" s="164" t="str">
        <f aca="false">IF(Salary_Calculation[[#This Row],[Source Row]]="","",Salary_Calculation[[#This Row],[Extra Orders]]*Extra_Rate)</f>
        <v/>
      </c>
      <c r="Q254" s="164" t="str">
        <f aca="false">IF(Salary_Calculation[[#This Row],[Source Row]]="","",MAX(Salary_Calculation[[#This Row],[Salary Before Other Deductions]],0))</f>
        <v/>
      </c>
      <c r="R254" s="164" t="str">
        <f aca="false">IF(Salary_Calculation[[#This Row],[Source Row]]="","",N(INDEX(Rider_Input[missed_days_penalty],Salary_Calculation[[#This Row],[Source Row]])))</f>
        <v/>
      </c>
      <c r="S254" s="164" t="str">
        <f aca="false">IF(Salary_Calculation[[#This Row],[Source Row]]="","",N(INDEX(Rider_Input[Rider Balance / محفظة المندوب],Salary_Calculation[[#This Row],[Source Row]])))</f>
        <v/>
      </c>
      <c r="T254" s="164" t="str">
        <f aca="false">IF(Salary_Calculation[[#This Row],[Source Row]]="","",N(INDEX(Rider_Input[stacking_deduction / خصم الطلبات المتعددة],Salary_Calculation[[#This Row],[Source Row]])))</f>
        <v/>
      </c>
      <c r="U254" s="164" t="str">
        <f aca="false">IF(Salary_Calculation[[#This Row],[Source Row]]="","",N(INDEX(Rider_Input[Other Deductions],Salary_Calculation[[#This Row],[Source Row]])))</f>
        <v/>
      </c>
      <c r="V254" s="164" t="str">
        <f aca="false">IF(Salary_Calculation[[#This Row],[Source Row]]="","",N(Salary_Calculation[[#This Row],[missed_days_penalty]])+N(Salary_Calculation[[#This Row],[Rider Balance]])+N(Salary_Calculation[[#This Row],[stacking_deduction]])+N(Salary_Calculation[[#This Row],[Other Deductions]]))</f>
        <v/>
      </c>
      <c r="W254" s="167" t="str">
        <f aca="false">IF(Salary_Calculation[[#This Row],[Source Row]]="","",ROUND(MAX(Salary_Calculation[[#This Row],[Gross Salary Before Deductions]]-Salary_Calculation[[#This Row],[Total Deductions]],0),2))</f>
        <v/>
      </c>
      <c r="X254" s="164" t="str">
        <f aca="false">IF(Salary_Calculation[[#This Row],[Source Row]]="","",ROUND(MAX(Salary_Calculation[[#This Row],[Missing-Order Deduction]]-Salary_Calculation[[#This Row],[Earned Salary]],0),2))</f>
        <v/>
      </c>
      <c r="Y25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54" s="163" t="str">
        <f aca="false">IF(Salary_Calculation[[#This Row],[Source Row]]="","",IF(INDEX(Rider_Input[Notes],Salary_Calculation[[#This Row],[Source Row]])="","",INDEX(Rider_Input[Notes],Salary_Calculation[[#This Row],[Source Row]])))</f>
        <v/>
      </c>
      <c r="AA254" s="164" t="str">
        <f aca="false">IF(Salary_Calculation[[#This Row],[Source Row]]="","",Salary_Calculation[[#This Row],[Earned Salary]]-Salary_Calculation[[#This Row],[Missing-Order Deduction]]+Salary_Calculation[[#This Row],[Extra-Order Bonus]])</f>
        <v/>
      </c>
      <c r="AB254" s="164" t="str">
        <f aca="false">IF(Salary_Calculation[[#This Row],[Source Row]]="","",ROUND(Salary_Calculation[[#This Row],[Negative Balance / Amount Due from Rider]]+MAX(Salary_Calculation[[#This Row],[Total Deductions]]-Salary_Calculation[[#This Row],[Gross Salary Before Deductions]],0),2))</f>
        <v/>
      </c>
      <c r="AC25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54" s="164" t="str">
        <f aca="false">IF(Salary_Calculation[[#This Row],[Source Row]]="","",Salary_Calculation[[#This Row],[Rider Target Orders]]*Salary_Calculation[[#This Row],[Base Order Rate]])</f>
        <v/>
      </c>
      <c r="AE254" s="162" t="str">
        <f aca="false">IF(SUMPRODUCT(--(LEN(INDEX(Rider_Input[#Data],ROW()-ROW(Salary_Calculation[#Headers]),0))&gt;0))=0,"",ROW()-ROW(Salary_Calculation[#Headers]))</f>
        <v/>
      </c>
    </row>
    <row r="255" customFormat="false" ht="14.25" hidden="false" customHeight="false" outlineLevel="0" collapsed="false">
      <c r="A255" s="161" t="str">
        <f aca="false">IF(Salary_Calculation[[#This Row],[Source Row]]="","",IF(INDEX(Rider_Input[Salary Month],Salary_Calculation[[#This Row],[Source Row]])="","",INDEX(Rider_Input[Salary Month],Salary_Calculation[[#This Row],[Source Row]])))</f>
        <v/>
      </c>
      <c r="B255" s="162" t="str">
        <f aca="false">IF(Salary_Calculation[[#This Row],[Source Row]]="","",IF(INDEX(Rider_Input[Rider ID],Salary_Calculation[[#This Row],[Source Row]])="","",INDEX(Rider_Input[Rider ID],Salary_Calculation[[#This Row],[Source Row]])))</f>
        <v/>
      </c>
      <c r="C255" s="163" t="str">
        <f aca="false">IF(Salary_Calculation[[#This Row],[Source Row]]="","",IF(INDEX(Rider_Input[Rider Name],Salary_Calculation[[#This Row],[Source Row]])="","",INDEX(Rider_Input[Rider Name],Salary_Calculation[[#This Row],[Source Row]])))</f>
        <v/>
      </c>
      <c r="D255" s="164" t="str">
        <f aca="false">IF(Salary_Calculation[[#This Row],[Source Row]]="","",IF(INDEX(Rider_Input[Basic Payment],Salary_Calculation[[#This Row],[Source Row]])="","",INDEX(Rider_Input[Basic Payment],Salary_Calculation[[#This Row],[Source Row]])))</f>
        <v/>
      </c>
      <c r="E255" s="162" t="str">
        <f aca="false">IF(Salary_Calculation[[#This Row],[Source Row]]="","",IF(INDEX(Rider_Input[Calendar Days in Month],Salary_Calculation[[#This Row],[Source Row]])="","",INDEX(Rider_Input[Calendar Days in Month],Salary_Calculation[[#This Row],[Source Row]])))</f>
        <v/>
      </c>
      <c r="F255" s="162" t="str">
        <f aca="false">IF(Salary_Calculation[[#This Row],[Source Row]]="","",IF(INDEX(Rider_Input[Working Days],Salary_Calculation[[#This Row],[Source Row]])="","",INDEX(Rider_Input[Working Days],Salary_Calculation[[#This Row],[Source Row]])))</f>
        <v/>
      </c>
      <c r="G255" s="165" t="str">
        <f aca="false">IF(Salary_Calculation[[#This Row],[Source Row]]="","",Std_Orders/Std_Days*N(Salary_Calculation[[#This Row],[Calendar Days]]))</f>
        <v/>
      </c>
      <c r="H255" s="165" t="str">
        <f aca="false">IF(Salary_Calculation[[#This Row],[Source Row]]="","",IF(N(Salary_Calculation[[#This Row],[Calendar Days]])&gt;0,Salary_Calculation[[#This Row],[Monthly Target Orders]]/N(Salary_Calculation[[#This Row],[Calendar Days]])*N(Salary_Calculation[[#This Row],[Working Days]]),0))</f>
        <v/>
      </c>
      <c r="I255" s="166" t="str">
        <f aca="false">IF(Salary_Calculation[[#This Row],[Source Row]]="","",IF(INDEX(Rider_Input[Completed Orders],Salary_Calculation[[#This Row],[Source Row]])="","",INDEX(Rider_Input[Completed Orders],Salary_Calculation[[#This Row],[Source Row]])))</f>
        <v/>
      </c>
      <c r="J255" s="165" t="str">
        <f aca="false">IF(Salary_Calculation[[#This Row],[Source Row]]="","",IF(Rate_Method="Fixed rate",Fixed_Rate,IF(N(Salary_Calculation[[#This Row],[Basic Payment]])&gt;0,N(Salary_Calculation[[#This Row],[Basic Payment]])/Std_Orders,0)))</f>
        <v/>
      </c>
      <c r="K255" s="165" t="str">
        <f aca="false">IF(Salary_Calculation[[#This Row],[Source Row]]="","",MAX(MIN(N(Salary_Calculation[[#This Row],[Completed Orders]]),Salary_Calculation[[#This Row],[Rider Target Orders]]),0))</f>
        <v/>
      </c>
      <c r="L255" s="164" t="str">
        <f aca="false">IF(Salary_Calculation[[#This Row],[Source Row]]="","",Salary_Calculation[[#This Row],[Orders Counted at Base Rate]]*Salary_Calculation[[#This Row],[Base Order Rate]])</f>
        <v/>
      </c>
      <c r="M255" s="165" t="str">
        <f aca="false">IF(Salary_Calculation[[#This Row],[Source Row]]="","",MAX(Salary_Calculation[[#This Row],[Rider Target Orders]]-N(Salary_Calculation[[#This Row],[Completed Orders]]),0))</f>
        <v/>
      </c>
      <c r="N255" s="164" t="str">
        <f aca="false">IF(Salary_Calculation[[#This Row],[Source Row]]="","",Salary_Calculation[[#This Row],[Missing Orders]]*Missing_Rate)</f>
        <v/>
      </c>
      <c r="O255" s="165" t="str">
        <f aca="false">IF(Salary_Calculation[[#This Row],[Source Row]]="","",MAX(N(Salary_Calculation[[#This Row],[Completed Orders]])-Salary_Calculation[[#This Row],[Rider Target Orders]],0))</f>
        <v/>
      </c>
      <c r="P255" s="164" t="str">
        <f aca="false">IF(Salary_Calculation[[#This Row],[Source Row]]="","",Salary_Calculation[[#This Row],[Extra Orders]]*Extra_Rate)</f>
        <v/>
      </c>
      <c r="Q255" s="164" t="str">
        <f aca="false">IF(Salary_Calculation[[#This Row],[Source Row]]="","",MAX(Salary_Calculation[[#This Row],[Salary Before Other Deductions]],0))</f>
        <v/>
      </c>
      <c r="R255" s="164" t="str">
        <f aca="false">IF(Salary_Calculation[[#This Row],[Source Row]]="","",N(INDEX(Rider_Input[missed_days_penalty],Salary_Calculation[[#This Row],[Source Row]])))</f>
        <v/>
      </c>
      <c r="S255" s="164" t="str">
        <f aca="false">IF(Salary_Calculation[[#This Row],[Source Row]]="","",N(INDEX(Rider_Input[Rider Balance / محفظة المندوب],Salary_Calculation[[#This Row],[Source Row]])))</f>
        <v/>
      </c>
      <c r="T255" s="164" t="str">
        <f aca="false">IF(Salary_Calculation[[#This Row],[Source Row]]="","",N(INDEX(Rider_Input[stacking_deduction / خصم الطلبات المتعددة],Salary_Calculation[[#This Row],[Source Row]])))</f>
        <v/>
      </c>
      <c r="U255" s="164" t="str">
        <f aca="false">IF(Salary_Calculation[[#This Row],[Source Row]]="","",N(INDEX(Rider_Input[Other Deductions],Salary_Calculation[[#This Row],[Source Row]])))</f>
        <v/>
      </c>
      <c r="V255" s="164" t="str">
        <f aca="false">IF(Salary_Calculation[[#This Row],[Source Row]]="","",N(Salary_Calculation[[#This Row],[missed_days_penalty]])+N(Salary_Calculation[[#This Row],[Rider Balance]])+N(Salary_Calculation[[#This Row],[stacking_deduction]])+N(Salary_Calculation[[#This Row],[Other Deductions]]))</f>
        <v/>
      </c>
      <c r="W255" s="167" t="str">
        <f aca="false">IF(Salary_Calculation[[#This Row],[Source Row]]="","",ROUND(MAX(Salary_Calculation[[#This Row],[Gross Salary Before Deductions]]-Salary_Calculation[[#This Row],[Total Deductions]],0),2))</f>
        <v/>
      </c>
      <c r="X255" s="164" t="str">
        <f aca="false">IF(Salary_Calculation[[#This Row],[Source Row]]="","",ROUND(MAX(Salary_Calculation[[#This Row],[Missing-Order Deduction]]-Salary_Calculation[[#This Row],[Earned Salary]],0),2))</f>
        <v/>
      </c>
      <c r="Y25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55" s="163" t="str">
        <f aca="false">IF(Salary_Calculation[[#This Row],[Source Row]]="","",IF(INDEX(Rider_Input[Notes],Salary_Calculation[[#This Row],[Source Row]])="","",INDEX(Rider_Input[Notes],Salary_Calculation[[#This Row],[Source Row]])))</f>
        <v/>
      </c>
      <c r="AA255" s="164" t="str">
        <f aca="false">IF(Salary_Calculation[[#This Row],[Source Row]]="","",Salary_Calculation[[#This Row],[Earned Salary]]-Salary_Calculation[[#This Row],[Missing-Order Deduction]]+Salary_Calculation[[#This Row],[Extra-Order Bonus]])</f>
        <v/>
      </c>
      <c r="AB255" s="164" t="str">
        <f aca="false">IF(Salary_Calculation[[#This Row],[Source Row]]="","",ROUND(Salary_Calculation[[#This Row],[Negative Balance / Amount Due from Rider]]+MAX(Salary_Calculation[[#This Row],[Total Deductions]]-Salary_Calculation[[#This Row],[Gross Salary Before Deductions]],0),2))</f>
        <v/>
      </c>
      <c r="AC25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55" s="164" t="str">
        <f aca="false">IF(Salary_Calculation[[#This Row],[Source Row]]="","",Salary_Calculation[[#This Row],[Rider Target Orders]]*Salary_Calculation[[#This Row],[Base Order Rate]])</f>
        <v/>
      </c>
      <c r="AE255" s="162" t="str">
        <f aca="false">IF(SUMPRODUCT(--(LEN(INDEX(Rider_Input[#Data],ROW()-ROW(Salary_Calculation[#Headers]),0))&gt;0))=0,"",ROW()-ROW(Salary_Calculation[#Headers]))</f>
        <v/>
      </c>
    </row>
    <row r="256" customFormat="false" ht="14.25" hidden="false" customHeight="false" outlineLevel="0" collapsed="false">
      <c r="A256" s="161" t="str">
        <f aca="false">IF(Salary_Calculation[[#This Row],[Source Row]]="","",IF(INDEX(Rider_Input[Salary Month],Salary_Calculation[[#This Row],[Source Row]])="","",INDEX(Rider_Input[Salary Month],Salary_Calculation[[#This Row],[Source Row]])))</f>
        <v/>
      </c>
      <c r="B256" s="162" t="str">
        <f aca="false">IF(Salary_Calculation[[#This Row],[Source Row]]="","",IF(INDEX(Rider_Input[Rider ID],Salary_Calculation[[#This Row],[Source Row]])="","",INDEX(Rider_Input[Rider ID],Salary_Calculation[[#This Row],[Source Row]])))</f>
        <v/>
      </c>
      <c r="C256" s="163" t="str">
        <f aca="false">IF(Salary_Calculation[[#This Row],[Source Row]]="","",IF(INDEX(Rider_Input[Rider Name],Salary_Calculation[[#This Row],[Source Row]])="","",INDEX(Rider_Input[Rider Name],Salary_Calculation[[#This Row],[Source Row]])))</f>
        <v/>
      </c>
      <c r="D256" s="164" t="str">
        <f aca="false">IF(Salary_Calculation[[#This Row],[Source Row]]="","",IF(INDEX(Rider_Input[Basic Payment],Salary_Calculation[[#This Row],[Source Row]])="","",INDEX(Rider_Input[Basic Payment],Salary_Calculation[[#This Row],[Source Row]])))</f>
        <v/>
      </c>
      <c r="E256" s="162" t="str">
        <f aca="false">IF(Salary_Calculation[[#This Row],[Source Row]]="","",IF(INDEX(Rider_Input[Calendar Days in Month],Salary_Calculation[[#This Row],[Source Row]])="","",INDEX(Rider_Input[Calendar Days in Month],Salary_Calculation[[#This Row],[Source Row]])))</f>
        <v/>
      </c>
      <c r="F256" s="162" t="str">
        <f aca="false">IF(Salary_Calculation[[#This Row],[Source Row]]="","",IF(INDEX(Rider_Input[Working Days],Salary_Calculation[[#This Row],[Source Row]])="","",INDEX(Rider_Input[Working Days],Salary_Calculation[[#This Row],[Source Row]])))</f>
        <v/>
      </c>
      <c r="G256" s="165" t="str">
        <f aca="false">IF(Salary_Calculation[[#This Row],[Source Row]]="","",Std_Orders/Std_Days*N(Salary_Calculation[[#This Row],[Calendar Days]]))</f>
        <v/>
      </c>
      <c r="H256" s="165" t="str">
        <f aca="false">IF(Salary_Calculation[[#This Row],[Source Row]]="","",IF(N(Salary_Calculation[[#This Row],[Calendar Days]])&gt;0,Salary_Calculation[[#This Row],[Monthly Target Orders]]/N(Salary_Calculation[[#This Row],[Calendar Days]])*N(Salary_Calculation[[#This Row],[Working Days]]),0))</f>
        <v/>
      </c>
      <c r="I256" s="166" t="str">
        <f aca="false">IF(Salary_Calculation[[#This Row],[Source Row]]="","",IF(INDEX(Rider_Input[Completed Orders],Salary_Calculation[[#This Row],[Source Row]])="","",INDEX(Rider_Input[Completed Orders],Salary_Calculation[[#This Row],[Source Row]])))</f>
        <v/>
      </c>
      <c r="J256" s="165" t="str">
        <f aca="false">IF(Salary_Calculation[[#This Row],[Source Row]]="","",IF(Rate_Method="Fixed rate",Fixed_Rate,IF(N(Salary_Calculation[[#This Row],[Basic Payment]])&gt;0,N(Salary_Calculation[[#This Row],[Basic Payment]])/Std_Orders,0)))</f>
        <v/>
      </c>
      <c r="K256" s="165" t="str">
        <f aca="false">IF(Salary_Calculation[[#This Row],[Source Row]]="","",MAX(MIN(N(Salary_Calculation[[#This Row],[Completed Orders]]),Salary_Calculation[[#This Row],[Rider Target Orders]]),0))</f>
        <v/>
      </c>
      <c r="L256" s="164" t="str">
        <f aca="false">IF(Salary_Calculation[[#This Row],[Source Row]]="","",Salary_Calculation[[#This Row],[Orders Counted at Base Rate]]*Salary_Calculation[[#This Row],[Base Order Rate]])</f>
        <v/>
      </c>
      <c r="M256" s="165" t="str">
        <f aca="false">IF(Salary_Calculation[[#This Row],[Source Row]]="","",MAX(Salary_Calculation[[#This Row],[Rider Target Orders]]-N(Salary_Calculation[[#This Row],[Completed Orders]]),0))</f>
        <v/>
      </c>
      <c r="N256" s="164" t="str">
        <f aca="false">IF(Salary_Calculation[[#This Row],[Source Row]]="","",Salary_Calculation[[#This Row],[Missing Orders]]*Missing_Rate)</f>
        <v/>
      </c>
      <c r="O256" s="165" t="str">
        <f aca="false">IF(Salary_Calculation[[#This Row],[Source Row]]="","",MAX(N(Salary_Calculation[[#This Row],[Completed Orders]])-Salary_Calculation[[#This Row],[Rider Target Orders]],0))</f>
        <v/>
      </c>
      <c r="P256" s="164" t="str">
        <f aca="false">IF(Salary_Calculation[[#This Row],[Source Row]]="","",Salary_Calculation[[#This Row],[Extra Orders]]*Extra_Rate)</f>
        <v/>
      </c>
      <c r="Q256" s="164" t="str">
        <f aca="false">IF(Salary_Calculation[[#This Row],[Source Row]]="","",MAX(Salary_Calculation[[#This Row],[Salary Before Other Deductions]],0))</f>
        <v/>
      </c>
      <c r="R256" s="164" t="str">
        <f aca="false">IF(Salary_Calculation[[#This Row],[Source Row]]="","",N(INDEX(Rider_Input[missed_days_penalty],Salary_Calculation[[#This Row],[Source Row]])))</f>
        <v/>
      </c>
      <c r="S256" s="164" t="str">
        <f aca="false">IF(Salary_Calculation[[#This Row],[Source Row]]="","",N(INDEX(Rider_Input[Rider Balance / محفظة المندوب],Salary_Calculation[[#This Row],[Source Row]])))</f>
        <v/>
      </c>
      <c r="T256" s="164" t="str">
        <f aca="false">IF(Salary_Calculation[[#This Row],[Source Row]]="","",N(INDEX(Rider_Input[stacking_deduction / خصم الطلبات المتعددة],Salary_Calculation[[#This Row],[Source Row]])))</f>
        <v/>
      </c>
      <c r="U256" s="164" t="str">
        <f aca="false">IF(Salary_Calculation[[#This Row],[Source Row]]="","",N(INDEX(Rider_Input[Other Deductions],Salary_Calculation[[#This Row],[Source Row]])))</f>
        <v/>
      </c>
      <c r="V256" s="164" t="str">
        <f aca="false">IF(Salary_Calculation[[#This Row],[Source Row]]="","",N(Salary_Calculation[[#This Row],[missed_days_penalty]])+N(Salary_Calculation[[#This Row],[Rider Balance]])+N(Salary_Calculation[[#This Row],[stacking_deduction]])+N(Salary_Calculation[[#This Row],[Other Deductions]]))</f>
        <v/>
      </c>
      <c r="W256" s="167" t="str">
        <f aca="false">IF(Salary_Calculation[[#This Row],[Source Row]]="","",ROUND(MAX(Salary_Calculation[[#This Row],[Gross Salary Before Deductions]]-Salary_Calculation[[#This Row],[Total Deductions]],0),2))</f>
        <v/>
      </c>
      <c r="X256" s="164" t="str">
        <f aca="false">IF(Salary_Calculation[[#This Row],[Source Row]]="","",ROUND(MAX(Salary_Calculation[[#This Row],[Missing-Order Deduction]]-Salary_Calculation[[#This Row],[Earned Salary]],0),2))</f>
        <v/>
      </c>
      <c r="Y25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56" s="163" t="str">
        <f aca="false">IF(Salary_Calculation[[#This Row],[Source Row]]="","",IF(INDEX(Rider_Input[Notes],Salary_Calculation[[#This Row],[Source Row]])="","",INDEX(Rider_Input[Notes],Salary_Calculation[[#This Row],[Source Row]])))</f>
        <v/>
      </c>
      <c r="AA256" s="164" t="str">
        <f aca="false">IF(Salary_Calculation[[#This Row],[Source Row]]="","",Salary_Calculation[[#This Row],[Earned Salary]]-Salary_Calculation[[#This Row],[Missing-Order Deduction]]+Salary_Calculation[[#This Row],[Extra-Order Bonus]])</f>
        <v/>
      </c>
      <c r="AB256" s="164" t="str">
        <f aca="false">IF(Salary_Calculation[[#This Row],[Source Row]]="","",ROUND(Salary_Calculation[[#This Row],[Negative Balance / Amount Due from Rider]]+MAX(Salary_Calculation[[#This Row],[Total Deductions]]-Salary_Calculation[[#This Row],[Gross Salary Before Deductions]],0),2))</f>
        <v/>
      </c>
      <c r="AC25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56" s="164" t="str">
        <f aca="false">IF(Salary_Calculation[[#This Row],[Source Row]]="","",Salary_Calculation[[#This Row],[Rider Target Orders]]*Salary_Calculation[[#This Row],[Base Order Rate]])</f>
        <v/>
      </c>
      <c r="AE256" s="162" t="str">
        <f aca="false">IF(SUMPRODUCT(--(LEN(INDEX(Rider_Input[#Data],ROW()-ROW(Salary_Calculation[#Headers]),0))&gt;0))=0,"",ROW()-ROW(Salary_Calculation[#Headers]))</f>
        <v/>
      </c>
    </row>
    <row r="257" customFormat="false" ht="14.25" hidden="false" customHeight="false" outlineLevel="0" collapsed="false">
      <c r="A257" s="161" t="str">
        <f aca="false">IF(Salary_Calculation[[#This Row],[Source Row]]="","",IF(INDEX(Rider_Input[Salary Month],Salary_Calculation[[#This Row],[Source Row]])="","",INDEX(Rider_Input[Salary Month],Salary_Calculation[[#This Row],[Source Row]])))</f>
        <v/>
      </c>
      <c r="B257" s="162" t="str">
        <f aca="false">IF(Salary_Calculation[[#This Row],[Source Row]]="","",IF(INDEX(Rider_Input[Rider ID],Salary_Calculation[[#This Row],[Source Row]])="","",INDEX(Rider_Input[Rider ID],Salary_Calculation[[#This Row],[Source Row]])))</f>
        <v/>
      </c>
      <c r="C257" s="163" t="str">
        <f aca="false">IF(Salary_Calculation[[#This Row],[Source Row]]="","",IF(INDEX(Rider_Input[Rider Name],Salary_Calculation[[#This Row],[Source Row]])="","",INDEX(Rider_Input[Rider Name],Salary_Calculation[[#This Row],[Source Row]])))</f>
        <v/>
      </c>
      <c r="D257" s="164" t="str">
        <f aca="false">IF(Salary_Calculation[[#This Row],[Source Row]]="","",IF(INDEX(Rider_Input[Basic Payment],Salary_Calculation[[#This Row],[Source Row]])="","",INDEX(Rider_Input[Basic Payment],Salary_Calculation[[#This Row],[Source Row]])))</f>
        <v/>
      </c>
      <c r="E257" s="162" t="str">
        <f aca="false">IF(Salary_Calculation[[#This Row],[Source Row]]="","",IF(INDEX(Rider_Input[Calendar Days in Month],Salary_Calculation[[#This Row],[Source Row]])="","",INDEX(Rider_Input[Calendar Days in Month],Salary_Calculation[[#This Row],[Source Row]])))</f>
        <v/>
      </c>
      <c r="F257" s="162" t="str">
        <f aca="false">IF(Salary_Calculation[[#This Row],[Source Row]]="","",IF(INDEX(Rider_Input[Working Days],Salary_Calculation[[#This Row],[Source Row]])="","",INDEX(Rider_Input[Working Days],Salary_Calculation[[#This Row],[Source Row]])))</f>
        <v/>
      </c>
      <c r="G257" s="165" t="str">
        <f aca="false">IF(Salary_Calculation[[#This Row],[Source Row]]="","",Std_Orders/Std_Days*N(Salary_Calculation[[#This Row],[Calendar Days]]))</f>
        <v/>
      </c>
      <c r="H257" s="165" t="str">
        <f aca="false">IF(Salary_Calculation[[#This Row],[Source Row]]="","",IF(N(Salary_Calculation[[#This Row],[Calendar Days]])&gt;0,Salary_Calculation[[#This Row],[Monthly Target Orders]]/N(Salary_Calculation[[#This Row],[Calendar Days]])*N(Salary_Calculation[[#This Row],[Working Days]]),0))</f>
        <v/>
      </c>
      <c r="I257" s="166" t="str">
        <f aca="false">IF(Salary_Calculation[[#This Row],[Source Row]]="","",IF(INDEX(Rider_Input[Completed Orders],Salary_Calculation[[#This Row],[Source Row]])="","",INDEX(Rider_Input[Completed Orders],Salary_Calculation[[#This Row],[Source Row]])))</f>
        <v/>
      </c>
      <c r="J257" s="165" t="str">
        <f aca="false">IF(Salary_Calculation[[#This Row],[Source Row]]="","",IF(Rate_Method="Fixed rate",Fixed_Rate,IF(N(Salary_Calculation[[#This Row],[Basic Payment]])&gt;0,N(Salary_Calculation[[#This Row],[Basic Payment]])/Std_Orders,0)))</f>
        <v/>
      </c>
      <c r="K257" s="165" t="str">
        <f aca="false">IF(Salary_Calculation[[#This Row],[Source Row]]="","",MAX(MIN(N(Salary_Calculation[[#This Row],[Completed Orders]]),Salary_Calculation[[#This Row],[Rider Target Orders]]),0))</f>
        <v/>
      </c>
      <c r="L257" s="164" t="str">
        <f aca="false">IF(Salary_Calculation[[#This Row],[Source Row]]="","",Salary_Calculation[[#This Row],[Orders Counted at Base Rate]]*Salary_Calculation[[#This Row],[Base Order Rate]])</f>
        <v/>
      </c>
      <c r="M257" s="165" t="str">
        <f aca="false">IF(Salary_Calculation[[#This Row],[Source Row]]="","",MAX(Salary_Calculation[[#This Row],[Rider Target Orders]]-N(Salary_Calculation[[#This Row],[Completed Orders]]),0))</f>
        <v/>
      </c>
      <c r="N257" s="164" t="str">
        <f aca="false">IF(Salary_Calculation[[#This Row],[Source Row]]="","",Salary_Calculation[[#This Row],[Missing Orders]]*Missing_Rate)</f>
        <v/>
      </c>
      <c r="O257" s="165" t="str">
        <f aca="false">IF(Salary_Calculation[[#This Row],[Source Row]]="","",MAX(N(Salary_Calculation[[#This Row],[Completed Orders]])-Salary_Calculation[[#This Row],[Rider Target Orders]],0))</f>
        <v/>
      </c>
      <c r="P257" s="164" t="str">
        <f aca="false">IF(Salary_Calculation[[#This Row],[Source Row]]="","",Salary_Calculation[[#This Row],[Extra Orders]]*Extra_Rate)</f>
        <v/>
      </c>
      <c r="Q257" s="164" t="str">
        <f aca="false">IF(Salary_Calculation[[#This Row],[Source Row]]="","",MAX(Salary_Calculation[[#This Row],[Salary Before Other Deductions]],0))</f>
        <v/>
      </c>
      <c r="R257" s="164" t="str">
        <f aca="false">IF(Salary_Calculation[[#This Row],[Source Row]]="","",N(INDEX(Rider_Input[missed_days_penalty],Salary_Calculation[[#This Row],[Source Row]])))</f>
        <v/>
      </c>
      <c r="S257" s="164" t="str">
        <f aca="false">IF(Salary_Calculation[[#This Row],[Source Row]]="","",N(INDEX(Rider_Input[Rider Balance / محفظة المندوب],Salary_Calculation[[#This Row],[Source Row]])))</f>
        <v/>
      </c>
      <c r="T257" s="164" t="str">
        <f aca="false">IF(Salary_Calculation[[#This Row],[Source Row]]="","",N(INDEX(Rider_Input[stacking_deduction / خصم الطلبات المتعددة],Salary_Calculation[[#This Row],[Source Row]])))</f>
        <v/>
      </c>
      <c r="U257" s="164" t="str">
        <f aca="false">IF(Salary_Calculation[[#This Row],[Source Row]]="","",N(INDEX(Rider_Input[Other Deductions],Salary_Calculation[[#This Row],[Source Row]])))</f>
        <v/>
      </c>
      <c r="V257" s="164" t="str">
        <f aca="false">IF(Salary_Calculation[[#This Row],[Source Row]]="","",N(Salary_Calculation[[#This Row],[missed_days_penalty]])+N(Salary_Calculation[[#This Row],[Rider Balance]])+N(Salary_Calculation[[#This Row],[stacking_deduction]])+N(Salary_Calculation[[#This Row],[Other Deductions]]))</f>
        <v/>
      </c>
      <c r="W257" s="167" t="str">
        <f aca="false">IF(Salary_Calculation[[#This Row],[Source Row]]="","",ROUND(MAX(Salary_Calculation[[#This Row],[Gross Salary Before Deductions]]-Salary_Calculation[[#This Row],[Total Deductions]],0),2))</f>
        <v/>
      </c>
      <c r="X257" s="164" t="str">
        <f aca="false">IF(Salary_Calculation[[#This Row],[Source Row]]="","",ROUND(MAX(Salary_Calculation[[#This Row],[Missing-Order Deduction]]-Salary_Calculation[[#This Row],[Earned Salary]],0),2))</f>
        <v/>
      </c>
      <c r="Y25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57" s="163" t="str">
        <f aca="false">IF(Salary_Calculation[[#This Row],[Source Row]]="","",IF(INDEX(Rider_Input[Notes],Salary_Calculation[[#This Row],[Source Row]])="","",INDEX(Rider_Input[Notes],Salary_Calculation[[#This Row],[Source Row]])))</f>
        <v/>
      </c>
      <c r="AA257" s="164" t="str">
        <f aca="false">IF(Salary_Calculation[[#This Row],[Source Row]]="","",Salary_Calculation[[#This Row],[Earned Salary]]-Salary_Calculation[[#This Row],[Missing-Order Deduction]]+Salary_Calculation[[#This Row],[Extra-Order Bonus]])</f>
        <v/>
      </c>
      <c r="AB257" s="164" t="str">
        <f aca="false">IF(Salary_Calculation[[#This Row],[Source Row]]="","",ROUND(Salary_Calculation[[#This Row],[Negative Balance / Amount Due from Rider]]+MAX(Salary_Calculation[[#This Row],[Total Deductions]]-Salary_Calculation[[#This Row],[Gross Salary Before Deductions]],0),2))</f>
        <v/>
      </c>
      <c r="AC25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57" s="164" t="str">
        <f aca="false">IF(Salary_Calculation[[#This Row],[Source Row]]="","",Salary_Calculation[[#This Row],[Rider Target Orders]]*Salary_Calculation[[#This Row],[Base Order Rate]])</f>
        <v/>
      </c>
      <c r="AE257" s="162" t="str">
        <f aca="false">IF(SUMPRODUCT(--(LEN(INDEX(Rider_Input[#Data],ROW()-ROW(Salary_Calculation[#Headers]),0))&gt;0))=0,"",ROW()-ROW(Salary_Calculation[#Headers]))</f>
        <v/>
      </c>
    </row>
    <row r="258" customFormat="false" ht="14.25" hidden="false" customHeight="false" outlineLevel="0" collapsed="false">
      <c r="A258" s="161" t="str">
        <f aca="false">IF(Salary_Calculation[[#This Row],[Source Row]]="","",IF(INDEX(Rider_Input[Salary Month],Salary_Calculation[[#This Row],[Source Row]])="","",INDEX(Rider_Input[Salary Month],Salary_Calculation[[#This Row],[Source Row]])))</f>
        <v/>
      </c>
      <c r="B258" s="162" t="str">
        <f aca="false">IF(Salary_Calculation[[#This Row],[Source Row]]="","",IF(INDEX(Rider_Input[Rider ID],Salary_Calculation[[#This Row],[Source Row]])="","",INDEX(Rider_Input[Rider ID],Salary_Calculation[[#This Row],[Source Row]])))</f>
        <v/>
      </c>
      <c r="C258" s="163" t="str">
        <f aca="false">IF(Salary_Calculation[[#This Row],[Source Row]]="","",IF(INDEX(Rider_Input[Rider Name],Salary_Calculation[[#This Row],[Source Row]])="","",INDEX(Rider_Input[Rider Name],Salary_Calculation[[#This Row],[Source Row]])))</f>
        <v/>
      </c>
      <c r="D258" s="164" t="str">
        <f aca="false">IF(Salary_Calculation[[#This Row],[Source Row]]="","",IF(INDEX(Rider_Input[Basic Payment],Salary_Calculation[[#This Row],[Source Row]])="","",INDEX(Rider_Input[Basic Payment],Salary_Calculation[[#This Row],[Source Row]])))</f>
        <v/>
      </c>
      <c r="E258" s="162" t="str">
        <f aca="false">IF(Salary_Calculation[[#This Row],[Source Row]]="","",IF(INDEX(Rider_Input[Calendar Days in Month],Salary_Calculation[[#This Row],[Source Row]])="","",INDEX(Rider_Input[Calendar Days in Month],Salary_Calculation[[#This Row],[Source Row]])))</f>
        <v/>
      </c>
      <c r="F258" s="162" t="str">
        <f aca="false">IF(Salary_Calculation[[#This Row],[Source Row]]="","",IF(INDEX(Rider_Input[Working Days],Salary_Calculation[[#This Row],[Source Row]])="","",INDEX(Rider_Input[Working Days],Salary_Calculation[[#This Row],[Source Row]])))</f>
        <v/>
      </c>
      <c r="G258" s="165" t="str">
        <f aca="false">IF(Salary_Calculation[[#This Row],[Source Row]]="","",Std_Orders/Std_Days*N(Salary_Calculation[[#This Row],[Calendar Days]]))</f>
        <v/>
      </c>
      <c r="H258" s="165" t="str">
        <f aca="false">IF(Salary_Calculation[[#This Row],[Source Row]]="","",IF(N(Salary_Calculation[[#This Row],[Calendar Days]])&gt;0,Salary_Calculation[[#This Row],[Monthly Target Orders]]/N(Salary_Calculation[[#This Row],[Calendar Days]])*N(Salary_Calculation[[#This Row],[Working Days]]),0))</f>
        <v/>
      </c>
      <c r="I258" s="166" t="str">
        <f aca="false">IF(Salary_Calculation[[#This Row],[Source Row]]="","",IF(INDEX(Rider_Input[Completed Orders],Salary_Calculation[[#This Row],[Source Row]])="","",INDEX(Rider_Input[Completed Orders],Salary_Calculation[[#This Row],[Source Row]])))</f>
        <v/>
      </c>
      <c r="J258" s="165" t="str">
        <f aca="false">IF(Salary_Calculation[[#This Row],[Source Row]]="","",IF(Rate_Method="Fixed rate",Fixed_Rate,IF(N(Salary_Calculation[[#This Row],[Basic Payment]])&gt;0,N(Salary_Calculation[[#This Row],[Basic Payment]])/Std_Orders,0)))</f>
        <v/>
      </c>
      <c r="K258" s="165" t="str">
        <f aca="false">IF(Salary_Calculation[[#This Row],[Source Row]]="","",MAX(MIN(N(Salary_Calculation[[#This Row],[Completed Orders]]),Salary_Calculation[[#This Row],[Rider Target Orders]]),0))</f>
        <v/>
      </c>
      <c r="L258" s="164" t="str">
        <f aca="false">IF(Salary_Calculation[[#This Row],[Source Row]]="","",Salary_Calculation[[#This Row],[Orders Counted at Base Rate]]*Salary_Calculation[[#This Row],[Base Order Rate]])</f>
        <v/>
      </c>
      <c r="M258" s="165" t="str">
        <f aca="false">IF(Salary_Calculation[[#This Row],[Source Row]]="","",MAX(Salary_Calculation[[#This Row],[Rider Target Orders]]-N(Salary_Calculation[[#This Row],[Completed Orders]]),0))</f>
        <v/>
      </c>
      <c r="N258" s="164" t="str">
        <f aca="false">IF(Salary_Calculation[[#This Row],[Source Row]]="","",Salary_Calculation[[#This Row],[Missing Orders]]*Missing_Rate)</f>
        <v/>
      </c>
      <c r="O258" s="165" t="str">
        <f aca="false">IF(Salary_Calculation[[#This Row],[Source Row]]="","",MAX(N(Salary_Calculation[[#This Row],[Completed Orders]])-Salary_Calculation[[#This Row],[Rider Target Orders]],0))</f>
        <v/>
      </c>
      <c r="P258" s="164" t="str">
        <f aca="false">IF(Salary_Calculation[[#This Row],[Source Row]]="","",Salary_Calculation[[#This Row],[Extra Orders]]*Extra_Rate)</f>
        <v/>
      </c>
      <c r="Q258" s="164" t="str">
        <f aca="false">IF(Salary_Calculation[[#This Row],[Source Row]]="","",MAX(Salary_Calculation[[#This Row],[Salary Before Other Deductions]],0))</f>
        <v/>
      </c>
      <c r="R258" s="164" t="str">
        <f aca="false">IF(Salary_Calculation[[#This Row],[Source Row]]="","",N(INDEX(Rider_Input[missed_days_penalty],Salary_Calculation[[#This Row],[Source Row]])))</f>
        <v/>
      </c>
      <c r="S258" s="164" t="str">
        <f aca="false">IF(Salary_Calculation[[#This Row],[Source Row]]="","",N(INDEX(Rider_Input[Rider Balance / محفظة المندوب],Salary_Calculation[[#This Row],[Source Row]])))</f>
        <v/>
      </c>
      <c r="T258" s="164" t="str">
        <f aca="false">IF(Salary_Calculation[[#This Row],[Source Row]]="","",N(INDEX(Rider_Input[stacking_deduction / خصم الطلبات المتعددة],Salary_Calculation[[#This Row],[Source Row]])))</f>
        <v/>
      </c>
      <c r="U258" s="164" t="str">
        <f aca="false">IF(Salary_Calculation[[#This Row],[Source Row]]="","",N(INDEX(Rider_Input[Other Deductions],Salary_Calculation[[#This Row],[Source Row]])))</f>
        <v/>
      </c>
      <c r="V258" s="164" t="str">
        <f aca="false">IF(Salary_Calculation[[#This Row],[Source Row]]="","",N(Salary_Calculation[[#This Row],[missed_days_penalty]])+N(Salary_Calculation[[#This Row],[Rider Balance]])+N(Salary_Calculation[[#This Row],[stacking_deduction]])+N(Salary_Calculation[[#This Row],[Other Deductions]]))</f>
        <v/>
      </c>
      <c r="W258" s="167" t="str">
        <f aca="false">IF(Salary_Calculation[[#This Row],[Source Row]]="","",ROUND(MAX(Salary_Calculation[[#This Row],[Gross Salary Before Deductions]]-Salary_Calculation[[#This Row],[Total Deductions]],0),2))</f>
        <v/>
      </c>
      <c r="X258" s="164" t="str">
        <f aca="false">IF(Salary_Calculation[[#This Row],[Source Row]]="","",ROUND(MAX(Salary_Calculation[[#This Row],[Missing-Order Deduction]]-Salary_Calculation[[#This Row],[Earned Salary]],0),2))</f>
        <v/>
      </c>
      <c r="Y25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58" s="163" t="str">
        <f aca="false">IF(Salary_Calculation[[#This Row],[Source Row]]="","",IF(INDEX(Rider_Input[Notes],Salary_Calculation[[#This Row],[Source Row]])="","",INDEX(Rider_Input[Notes],Salary_Calculation[[#This Row],[Source Row]])))</f>
        <v/>
      </c>
      <c r="AA258" s="164" t="str">
        <f aca="false">IF(Salary_Calculation[[#This Row],[Source Row]]="","",Salary_Calculation[[#This Row],[Earned Salary]]-Salary_Calculation[[#This Row],[Missing-Order Deduction]]+Salary_Calculation[[#This Row],[Extra-Order Bonus]])</f>
        <v/>
      </c>
      <c r="AB258" s="164" t="str">
        <f aca="false">IF(Salary_Calculation[[#This Row],[Source Row]]="","",ROUND(Salary_Calculation[[#This Row],[Negative Balance / Amount Due from Rider]]+MAX(Salary_Calculation[[#This Row],[Total Deductions]]-Salary_Calculation[[#This Row],[Gross Salary Before Deductions]],0),2))</f>
        <v/>
      </c>
      <c r="AC25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58" s="164" t="str">
        <f aca="false">IF(Salary_Calculation[[#This Row],[Source Row]]="","",Salary_Calculation[[#This Row],[Rider Target Orders]]*Salary_Calculation[[#This Row],[Base Order Rate]])</f>
        <v/>
      </c>
      <c r="AE258" s="162" t="str">
        <f aca="false">IF(SUMPRODUCT(--(LEN(INDEX(Rider_Input[#Data],ROW()-ROW(Salary_Calculation[#Headers]),0))&gt;0))=0,"",ROW()-ROW(Salary_Calculation[#Headers]))</f>
        <v/>
      </c>
    </row>
    <row r="259" customFormat="false" ht="14.25" hidden="false" customHeight="false" outlineLevel="0" collapsed="false">
      <c r="A259" s="161" t="str">
        <f aca="false">IF(Salary_Calculation[[#This Row],[Source Row]]="","",IF(INDEX(Rider_Input[Salary Month],Salary_Calculation[[#This Row],[Source Row]])="","",INDEX(Rider_Input[Salary Month],Salary_Calculation[[#This Row],[Source Row]])))</f>
        <v/>
      </c>
      <c r="B259" s="162" t="str">
        <f aca="false">IF(Salary_Calculation[[#This Row],[Source Row]]="","",IF(INDEX(Rider_Input[Rider ID],Salary_Calculation[[#This Row],[Source Row]])="","",INDEX(Rider_Input[Rider ID],Salary_Calculation[[#This Row],[Source Row]])))</f>
        <v/>
      </c>
      <c r="C259" s="163" t="str">
        <f aca="false">IF(Salary_Calculation[[#This Row],[Source Row]]="","",IF(INDEX(Rider_Input[Rider Name],Salary_Calculation[[#This Row],[Source Row]])="","",INDEX(Rider_Input[Rider Name],Salary_Calculation[[#This Row],[Source Row]])))</f>
        <v/>
      </c>
      <c r="D259" s="164" t="str">
        <f aca="false">IF(Salary_Calculation[[#This Row],[Source Row]]="","",IF(INDEX(Rider_Input[Basic Payment],Salary_Calculation[[#This Row],[Source Row]])="","",INDEX(Rider_Input[Basic Payment],Salary_Calculation[[#This Row],[Source Row]])))</f>
        <v/>
      </c>
      <c r="E259" s="162" t="str">
        <f aca="false">IF(Salary_Calculation[[#This Row],[Source Row]]="","",IF(INDEX(Rider_Input[Calendar Days in Month],Salary_Calculation[[#This Row],[Source Row]])="","",INDEX(Rider_Input[Calendar Days in Month],Salary_Calculation[[#This Row],[Source Row]])))</f>
        <v/>
      </c>
      <c r="F259" s="162" t="str">
        <f aca="false">IF(Salary_Calculation[[#This Row],[Source Row]]="","",IF(INDEX(Rider_Input[Working Days],Salary_Calculation[[#This Row],[Source Row]])="","",INDEX(Rider_Input[Working Days],Salary_Calculation[[#This Row],[Source Row]])))</f>
        <v/>
      </c>
      <c r="G259" s="165" t="str">
        <f aca="false">IF(Salary_Calculation[[#This Row],[Source Row]]="","",Std_Orders/Std_Days*N(Salary_Calculation[[#This Row],[Calendar Days]]))</f>
        <v/>
      </c>
      <c r="H259" s="165" t="str">
        <f aca="false">IF(Salary_Calculation[[#This Row],[Source Row]]="","",IF(N(Salary_Calculation[[#This Row],[Calendar Days]])&gt;0,Salary_Calculation[[#This Row],[Monthly Target Orders]]/N(Salary_Calculation[[#This Row],[Calendar Days]])*N(Salary_Calculation[[#This Row],[Working Days]]),0))</f>
        <v/>
      </c>
      <c r="I259" s="166" t="str">
        <f aca="false">IF(Salary_Calculation[[#This Row],[Source Row]]="","",IF(INDEX(Rider_Input[Completed Orders],Salary_Calculation[[#This Row],[Source Row]])="","",INDEX(Rider_Input[Completed Orders],Salary_Calculation[[#This Row],[Source Row]])))</f>
        <v/>
      </c>
      <c r="J259" s="165" t="str">
        <f aca="false">IF(Salary_Calculation[[#This Row],[Source Row]]="","",IF(Rate_Method="Fixed rate",Fixed_Rate,IF(N(Salary_Calculation[[#This Row],[Basic Payment]])&gt;0,N(Salary_Calculation[[#This Row],[Basic Payment]])/Std_Orders,0)))</f>
        <v/>
      </c>
      <c r="K259" s="165" t="str">
        <f aca="false">IF(Salary_Calculation[[#This Row],[Source Row]]="","",MAX(MIN(N(Salary_Calculation[[#This Row],[Completed Orders]]),Salary_Calculation[[#This Row],[Rider Target Orders]]),0))</f>
        <v/>
      </c>
      <c r="L259" s="164" t="str">
        <f aca="false">IF(Salary_Calculation[[#This Row],[Source Row]]="","",Salary_Calculation[[#This Row],[Orders Counted at Base Rate]]*Salary_Calculation[[#This Row],[Base Order Rate]])</f>
        <v/>
      </c>
      <c r="M259" s="165" t="str">
        <f aca="false">IF(Salary_Calculation[[#This Row],[Source Row]]="","",MAX(Salary_Calculation[[#This Row],[Rider Target Orders]]-N(Salary_Calculation[[#This Row],[Completed Orders]]),0))</f>
        <v/>
      </c>
      <c r="N259" s="164" t="str">
        <f aca="false">IF(Salary_Calculation[[#This Row],[Source Row]]="","",Salary_Calculation[[#This Row],[Missing Orders]]*Missing_Rate)</f>
        <v/>
      </c>
      <c r="O259" s="165" t="str">
        <f aca="false">IF(Salary_Calculation[[#This Row],[Source Row]]="","",MAX(N(Salary_Calculation[[#This Row],[Completed Orders]])-Salary_Calculation[[#This Row],[Rider Target Orders]],0))</f>
        <v/>
      </c>
      <c r="P259" s="164" t="str">
        <f aca="false">IF(Salary_Calculation[[#This Row],[Source Row]]="","",Salary_Calculation[[#This Row],[Extra Orders]]*Extra_Rate)</f>
        <v/>
      </c>
      <c r="Q259" s="164" t="str">
        <f aca="false">IF(Salary_Calculation[[#This Row],[Source Row]]="","",MAX(Salary_Calculation[[#This Row],[Salary Before Other Deductions]],0))</f>
        <v/>
      </c>
      <c r="R259" s="164" t="str">
        <f aca="false">IF(Salary_Calculation[[#This Row],[Source Row]]="","",N(INDEX(Rider_Input[missed_days_penalty],Salary_Calculation[[#This Row],[Source Row]])))</f>
        <v/>
      </c>
      <c r="S259" s="164" t="str">
        <f aca="false">IF(Salary_Calculation[[#This Row],[Source Row]]="","",N(INDEX(Rider_Input[Rider Balance / محفظة المندوب],Salary_Calculation[[#This Row],[Source Row]])))</f>
        <v/>
      </c>
      <c r="T259" s="164" t="str">
        <f aca="false">IF(Salary_Calculation[[#This Row],[Source Row]]="","",N(INDEX(Rider_Input[stacking_deduction / خصم الطلبات المتعددة],Salary_Calculation[[#This Row],[Source Row]])))</f>
        <v/>
      </c>
      <c r="U259" s="164" t="str">
        <f aca="false">IF(Salary_Calculation[[#This Row],[Source Row]]="","",N(INDEX(Rider_Input[Other Deductions],Salary_Calculation[[#This Row],[Source Row]])))</f>
        <v/>
      </c>
      <c r="V259" s="164" t="str">
        <f aca="false">IF(Salary_Calculation[[#This Row],[Source Row]]="","",N(Salary_Calculation[[#This Row],[missed_days_penalty]])+N(Salary_Calculation[[#This Row],[Rider Balance]])+N(Salary_Calculation[[#This Row],[stacking_deduction]])+N(Salary_Calculation[[#This Row],[Other Deductions]]))</f>
        <v/>
      </c>
      <c r="W259" s="167" t="str">
        <f aca="false">IF(Salary_Calculation[[#This Row],[Source Row]]="","",ROUND(MAX(Salary_Calculation[[#This Row],[Gross Salary Before Deductions]]-Salary_Calculation[[#This Row],[Total Deductions]],0),2))</f>
        <v/>
      </c>
      <c r="X259" s="164" t="str">
        <f aca="false">IF(Salary_Calculation[[#This Row],[Source Row]]="","",ROUND(MAX(Salary_Calculation[[#This Row],[Missing-Order Deduction]]-Salary_Calculation[[#This Row],[Earned Salary]],0),2))</f>
        <v/>
      </c>
      <c r="Y25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59" s="163" t="str">
        <f aca="false">IF(Salary_Calculation[[#This Row],[Source Row]]="","",IF(INDEX(Rider_Input[Notes],Salary_Calculation[[#This Row],[Source Row]])="","",INDEX(Rider_Input[Notes],Salary_Calculation[[#This Row],[Source Row]])))</f>
        <v/>
      </c>
      <c r="AA259" s="164" t="str">
        <f aca="false">IF(Salary_Calculation[[#This Row],[Source Row]]="","",Salary_Calculation[[#This Row],[Earned Salary]]-Salary_Calculation[[#This Row],[Missing-Order Deduction]]+Salary_Calculation[[#This Row],[Extra-Order Bonus]])</f>
        <v/>
      </c>
      <c r="AB259" s="164" t="str">
        <f aca="false">IF(Salary_Calculation[[#This Row],[Source Row]]="","",ROUND(Salary_Calculation[[#This Row],[Negative Balance / Amount Due from Rider]]+MAX(Salary_Calculation[[#This Row],[Total Deductions]]-Salary_Calculation[[#This Row],[Gross Salary Before Deductions]],0),2))</f>
        <v/>
      </c>
      <c r="AC25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59" s="164" t="str">
        <f aca="false">IF(Salary_Calculation[[#This Row],[Source Row]]="","",Salary_Calculation[[#This Row],[Rider Target Orders]]*Salary_Calculation[[#This Row],[Base Order Rate]])</f>
        <v/>
      </c>
      <c r="AE259" s="162" t="str">
        <f aca="false">IF(SUMPRODUCT(--(LEN(INDEX(Rider_Input[#Data],ROW()-ROW(Salary_Calculation[#Headers]),0))&gt;0))=0,"",ROW()-ROW(Salary_Calculation[#Headers]))</f>
        <v/>
      </c>
    </row>
    <row r="260" customFormat="false" ht="14.25" hidden="false" customHeight="false" outlineLevel="0" collapsed="false">
      <c r="A260" s="161" t="str">
        <f aca="false">IF(Salary_Calculation[[#This Row],[Source Row]]="","",IF(INDEX(Rider_Input[Salary Month],Salary_Calculation[[#This Row],[Source Row]])="","",INDEX(Rider_Input[Salary Month],Salary_Calculation[[#This Row],[Source Row]])))</f>
        <v/>
      </c>
      <c r="B260" s="162" t="str">
        <f aca="false">IF(Salary_Calculation[[#This Row],[Source Row]]="","",IF(INDEX(Rider_Input[Rider ID],Salary_Calculation[[#This Row],[Source Row]])="","",INDEX(Rider_Input[Rider ID],Salary_Calculation[[#This Row],[Source Row]])))</f>
        <v/>
      </c>
      <c r="C260" s="163" t="str">
        <f aca="false">IF(Salary_Calculation[[#This Row],[Source Row]]="","",IF(INDEX(Rider_Input[Rider Name],Salary_Calculation[[#This Row],[Source Row]])="","",INDEX(Rider_Input[Rider Name],Salary_Calculation[[#This Row],[Source Row]])))</f>
        <v/>
      </c>
      <c r="D260" s="164" t="str">
        <f aca="false">IF(Salary_Calculation[[#This Row],[Source Row]]="","",IF(INDEX(Rider_Input[Basic Payment],Salary_Calculation[[#This Row],[Source Row]])="","",INDEX(Rider_Input[Basic Payment],Salary_Calculation[[#This Row],[Source Row]])))</f>
        <v/>
      </c>
      <c r="E260" s="162" t="str">
        <f aca="false">IF(Salary_Calculation[[#This Row],[Source Row]]="","",IF(INDEX(Rider_Input[Calendar Days in Month],Salary_Calculation[[#This Row],[Source Row]])="","",INDEX(Rider_Input[Calendar Days in Month],Salary_Calculation[[#This Row],[Source Row]])))</f>
        <v/>
      </c>
      <c r="F260" s="162" t="str">
        <f aca="false">IF(Salary_Calculation[[#This Row],[Source Row]]="","",IF(INDEX(Rider_Input[Working Days],Salary_Calculation[[#This Row],[Source Row]])="","",INDEX(Rider_Input[Working Days],Salary_Calculation[[#This Row],[Source Row]])))</f>
        <v/>
      </c>
      <c r="G260" s="165" t="str">
        <f aca="false">IF(Salary_Calculation[[#This Row],[Source Row]]="","",Std_Orders/Std_Days*N(Salary_Calculation[[#This Row],[Calendar Days]]))</f>
        <v/>
      </c>
      <c r="H260" s="165" t="str">
        <f aca="false">IF(Salary_Calculation[[#This Row],[Source Row]]="","",IF(N(Salary_Calculation[[#This Row],[Calendar Days]])&gt;0,Salary_Calculation[[#This Row],[Monthly Target Orders]]/N(Salary_Calculation[[#This Row],[Calendar Days]])*N(Salary_Calculation[[#This Row],[Working Days]]),0))</f>
        <v/>
      </c>
      <c r="I260" s="166" t="str">
        <f aca="false">IF(Salary_Calculation[[#This Row],[Source Row]]="","",IF(INDEX(Rider_Input[Completed Orders],Salary_Calculation[[#This Row],[Source Row]])="","",INDEX(Rider_Input[Completed Orders],Salary_Calculation[[#This Row],[Source Row]])))</f>
        <v/>
      </c>
      <c r="J260" s="165" t="str">
        <f aca="false">IF(Salary_Calculation[[#This Row],[Source Row]]="","",IF(Rate_Method="Fixed rate",Fixed_Rate,IF(N(Salary_Calculation[[#This Row],[Basic Payment]])&gt;0,N(Salary_Calculation[[#This Row],[Basic Payment]])/Std_Orders,0)))</f>
        <v/>
      </c>
      <c r="K260" s="165" t="str">
        <f aca="false">IF(Salary_Calculation[[#This Row],[Source Row]]="","",MAX(MIN(N(Salary_Calculation[[#This Row],[Completed Orders]]),Salary_Calculation[[#This Row],[Rider Target Orders]]),0))</f>
        <v/>
      </c>
      <c r="L260" s="164" t="str">
        <f aca="false">IF(Salary_Calculation[[#This Row],[Source Row]]="","",Salary_Calculation[[#This Row],[Orders Counted at Base Rate]]*Salary_Calculation[[#This Row],[Base Order Rate]])</f>
        <v/>
      </c>
      <c r="M260" s="165" t="str">
        <f aca="false">IF(Salary_Calculation[[#This Row],[Source Row]]="","",MAX(Salary_Calculation[[#This Row],[Rider Target Orders]]-N(Salary_Calculation[[#This Row],[Completed Orders]]),0))</f>
        <v/>
      </c>
      <c r="N260" s="164" t="str">
        <f aca="false">IF(Salary_Calculation[[#This Row],[Source Row]]="","",Salary_Calculation[[#This Row],[Missing Orders]]*Missing_Rate)</f>
        <v/>
      </c>
      <c r="O260" s="165" t="str">
        <f aca="false">IF(Salary_Calculation[[#This Row],[Source Row]]="","",MAX(N(Salary_Calculation[[#This Row],[Completed Orders]])-Salary_Calculation[[#This Row],[Rider Target Orders]],0))</f>
        <v/>
      </c>
      <c r="P260" s="164" t="str">
        <f aca="false">IF(Salary_Calculation[[#This Row],[Source Row]]="","",Salary_Calculation[[#This Row],[Extra Orders]]*Extra_Rate)</f>
        <v/>
      </c>
      <c r="Q260" s="164" t="str">
        <f aca="false">IF(Salary_Calculation[[#This Row],[Source Row]]="","",MAX(Salary_Calculation[[#This Row],[Salary Before Other Deductions]],0))</f>
        <v/>
      </c>
      <c r="R260" s="164" t="str">
        <f aca="false">IF(Salary_Calculation[[#This Row],[Source Row]]="","",N(INDEX(Rider_Input[missed_days_penalty],Salary_Calculation[[#This Row],[Source Row]])))</f>
        <v/>
      </c>
      <c r="S260" s="164" t="str">
        <f aca="false">IF(Salary_Calculation[[#This Row],[Source Row]]="","",N(INDEX(Rider_Input[Rider Balance / محفظة المندوب],Salary_Calculation[[#This Row],[Source Row]])))</f>
        <v/>
      </c>
      <c r="T260" s="164" t="str">
        <f aca="false">IF(Salary_Calculation[[#This Row],[Source Row]]="","",N(INDEX(Rider_Input[stacking_deduction / خصم الطلبات المتعددة],Salary_Calculation[[#This Row],[Source Row]])))</f>
        <v/>
      </c>
      <c r="U260" s="164" t="str">
        <f aca="false">IF(Salary_Calculation[[#This Row],[Source Row]]="","",N(INDEX(Rider_Input[Other Deductions],Salary_Calculation[[#This Row],[Source Row]])))</f>
        <v/>
      </c>
      <c r="V260" s="164" t="str">
        <f aca="false">IF(Salary_Calculation[[#This Row],[Source Row]]="","",N(Salary_Calculation[[#This Row],[missed_days_penalty]])+N(Salary_Calculation[[#This Row],[Rider Balance]])+N(Salary_Calculation[[#This Row],[stacking_deduction]])+N(Salary_Calculation[[#This Row],[Other Deductions]]))</f>
        <v/>
      </c>
      <c r="W260" s="167" t="str">
        <f aca="false">IF(Salary_Calculation[[#This Row],[Source Row]]="","",ROUND(MAX(Salary_Calculation[[#This Row],[Gross Salary Before Deductions]]-Salary_Calculation[[#This Row],[Total Deductions]],0),2))</f>
        <v/>
      </c>
      <c r="X260" s="164" t="str">
        <f aca="false">IF(Salary_Calculation[[#This Row],[Source Row]]="","",ROUND(MAX(Salary_Calculation[[#This Row],[Missing-Order Deduction]]-Salary_Calculation[[#This Row],[Earned Salary]],0),2))</f>
        <v/>
      </c>
      <c r="Y26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60" s="163" t="str">
        <f aca="false">IF(Salary_Calculation[[#This Row],[Source Row]]="","",IF(INDEX(Rider_Input[Notes],Salary_Calculation[[#This Row],[Source Row]])="","",INDEX(Rider_Input[Notes],Salary_Calculation[[#This Row],[Source Row]])))</f>
        <v/>
      </c>
      <c r="AA260" s="164" t="str">
        <f aca="false">IF(Salary_Calculation[[#This Row],[Source Row]]="","",Salary_Calculation[[#This Row],[Earned Salary]]-Salary_Calculation[[#This Row],[Missing-Order Deduction]]+Salary_Calculation[[#This Row],[Extra-Order Bonus]])</f>
        <v/>
      </c>
      <c r="AB260" s="164" t="str">
        <f aca="false">IF(Salary_Calculation[[#This Row],[Source Row]]="","",ROUND(Salary_Calculation[[#This Row],[Negative Balance / Amount Due from Rider]]+MAX(Salary_Calculation[[#This Row],[Total Deductions]]-Salary_Calculation[[#This Row],[Gross Salary Before Deductions]],0),2))</f>
        <v/>
      </c>
      <c r="AC26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60" s="164" t="str">
        <f aca="false">IF(Salary_Calculation[[#This Row],[Source Row]]="","",Salary_Calculation[[#This Row],[Rider Target Orders]]*Salary_Calculation[[#This Row],[Base Order Rate]])</f>
        <v/>
      </c>
      <c r="AE260" s="162" t="str">
        <f aca="false">IF(SUMPRODUCT(--(LEN(INDEX(Rider_Input[#Data],ROW()-ROW(Salary_Calculation[#Headers]),0))&gt;0))=0,"",ROW()-ROW(Salary_Calculation[#Headers]))</f>
        <v/>
      </c>
    </row>
    <row r="261" customFormat="false" ht="14.25" hidden="false" customHeight="false" outlineLevel="0" collapsed="false">
      <c r="A261" s="161" t="str">
        <f aca="false">IF(Salary_Calculation[[#This Row],[Source Row]]="","",IF(INDEX(Rider_Input[Salary Month],Salary_Calculation[[#This Row],[Source Row]])="","",INDEX(Rider_Input[Salary Month],Salary_Calculation[[#This Row],[Source Row]])))</f>
        <v/>
      </c>
      <c r="B261" s="162" t="str">
        <f aca="false">IF(Salary_Calculation[[#This Row],[Source Row]]="","",IF(INDEX(Rider_Input[Rider ID],Salary_Calculation[[#This Row],[Source Row]])="","",INDEX(Rider_Input[Rider ID],Salary_Calculation[[#This Row],[Source Row]])))</f>
        <v/>
      </c>
      <c r="C261" s="163" t="str">
        <f aca="false">IF(Salary_Calculation[[#This Row],[Source Row]]="","",IF(INDEX(Rider_Input[Rider Name],Salary_Calculation[[#This Row],[Source Row]])="","",INDEX(Rider_Input[Rider Name],Salary_Calculation[[#This Row],[Source Row]])))</f>
        <v/>
      </c>
      <c r="D261" s="164" t="str">
        <f aca="false">IF(Salary_Calculation[[#This Row],[Source Row]]="","",IF(INDEX(Rider_Input[Basic Payment],Salary_Calculation[[#This Row],[Source Row]])="","",INDEX(Rider_Input[Basic Payment],Salary_Calculation[[#This Row],[Source Row]])))</f>
        <v/>
      </c>
      <c r="E261" s="162" t="str">
        <f aca="false">IF(Salary_Calculation[[#This Row],[Source Row]]="","",IF(INDEX(Rider_Input[Calendar Days in Month],Salary_Calculation[[#This Row],[Source Row]])="","",INDEX(Rider_Input[Calendar Days in Month],Salary_Calculation[[#This Row],[Source Row]])))</f>
        <v/>
      </c>
      <c r="F261" s="162" t="str">
        <f aca="false">IF(Salary_Calculation[[#This Row],[Source Row]]="","",IF(INDEX(Rider_Input[Working Days],Salary_Calculation[[#This Row],[Source Row]])="","",INDEX(Rider_Input[Working Days],Salary_Calculation[[#This Row],[Source Row]])))</f>
        <v/>
      </c>
      <c r="G261" s="165" t="str">
        <f aca="false">IF(Salary_Calculation[[#This Row],[Source Row]]="","",Std_Orders/Std_Days*N(Salary_Calculation[[#This Row],[Calendar Days]]))</f>
        <v/>
      </c>
      <c r="H261" s="165" t="str">
        <f aca="false">IF(Salary_Calculation[[#This Row],[Source Row]]="","",IF(N(Salary_Calculation[[#This Row],[Calendar Days]])&gt;0,Salary_Calculation[[#This Row],[Monthly Target Orders]]/N(Salary_Calculation[[#This Row],[Calendar Days]])*N(Salary_Calculation[[#This Row],[Working Days]]),0))</f>
        <v/>
      </c>
      <c r="I261" s="166" t="str">
        <f aca="false">IF(Salary_Calculation[[#This Row],[Source Row]]="","",IF(INDEX(Rider_Input[Completed Orders],Salary_Calculation[[#This Row],[Source Row]])="","",INDEX(Rider_Input[Completed Orders],Salary_Calculation[[#This Row],[Source Row]])))</f>
        <v/>
      </c>
      <c r="J261" s="165" t="str">
        <f aca="false">IF(Salary_Calculation[[#This Row],[Source Row]]="","",IF(Rate_Method="Fixed rate",Fixed_Rate,IF(N(Salary_Calculation[[#This Row],[Basic Payment]])&gt;0,N(Salary_Calculation[[#This Row],[Basic Payment]])/Std_Orders,0)))</f>
        <v/>
      </c>
      <c r="K261" s="165" t="str">
        <f aca="false">IF(Salary_Calculation[[#This Row],[Source Row]]="","",MAX(MIN(N(Salary_Calculation[[#This Row],[Completed Orders]]),Salary_Calculation[[#This Row],[Rider Target Orders]]),0))</f>
        <v/>
      </c>
      <c r="L261" s="164" t="str">
        <f aca="false">IF(Salary_Calculation[[#This Row],[Source Row]]="","",Salary_Calculation[[#This Row],[Orders Counted at Base Rate]]*Salary_Calculation[[#This Row],[Base Order Rate]])</f>
        <v/>
      </c>
      <c r="M261" s="165" t="str">
        <f aca="false">IF(Salary_Calculation[[#This Row],[Source Row]]="","",MAX(Salary_Calculation[[#This Row],[Rider Target Orders]]-N(Salary_Calculation[[#This Row],[Completed Orders]]),0))</f>
        <v/>
      </c>
      <c r="N261" s="164" t="str">
        <f aca="false">IF(Salary_Calculation[[#This Row],[Source Row]]="","",Salary_Calculation[[#This Row],[Missing Orders]]*Missing_Rate)</f>
        <v/>
      </c>
      <c r="O261" s="165" t="str">
        <f aca="false">IF(Salary_Calculation[[#This Row],[Source Row]]="","",MAX(N(Salary_Calculation[[#This Row],[Completed Orders]])-Salary_Calculation[[#This Row],[Rider Target Orders]],0))</f>
        <v/>
      </c>
      <c r="P261" s="164" t="str">
        <f aca="false">IF(Salary_Calculation[[#This Row],[Source Row]]="","",Salary_Calculation[[#This Row],[Extra Orders]]*Extra_Rate)</f>
        <v/>
      </c>
      <c r="Q261" s="164" t="str">
        <f aca="false">IF(Salary_Calculation[[#This Row],[Source Row]]="","",MAX(Salary_Calculation[[#This Row],[Salary Before Other Deductions]],0))</f>
        <v/>
      </c>
      <c r="R261" s="164" t="str">
        <f aca="false">IF(Salary_Calculation[[#This Row],[Source Row]]="","",N(INDEX(Rider_Input[missed_days_penalty],Salary_Calculation[[#This Row],[Source Row]])))</f>
        <v/>
      </c>
      <c r="S261" s="164" t="str">
        <f aca="false">IF(Salary_Calculation[[#This Row],[Source Row]]="","",N(INDEX(Rider_Input[Rider Balance / محفظة المندوب],Salary_Calculation[[#This Row],[Source Row]])))</f>
        <v/>
      </c>
      <c r="T261" s="164" t="str">
        <f aca="false">IF(Salary_Calculation[[#This Row],[Source Row]]="","",N(INDEX(Rider_Input[stacking_deduction / خصم الطلبات المتعددة],Salary_Calculation[[#This Row],[Source Row]])))</f>
        <v/>
      </c>
      <c r="U261" s="164" t="str">
        <f aca="false">IF(Salary_Calculation[[#This Row],[Source Row]]="","",N(INDEX(Rider_Input[Other Deductions],Salary_Calculation[[#This Row],[Source Row]])))</f>
        <v/>
      </c>
      <c r="V261" s="164" t="str">
        <f aca="false">IF(Salary_Calculation[[#This Row],[Source Row]]="","",N(Salary_Calculation[[#This Row],[missed_days_penalty]])+N(Salary_Calculation[[#This Row],[Rider Balance]])+N(Salary_Calculation[[#This Row],[stacking_deduction]])+N(Salary_Calculation[[#This Row],[Other Deductions]]))</f>
        <v/>
      </c>
      <c r="W261" s="167" t="str">
        <f aca="false">IF(Salary_Calculation[[#This Row],[Source Row]]="","",ROUND(MAX(Salary_Calculation[[#This Row],[Gross Salary Before Deductions]]-Salary_Calculation[[#This Row],[Total Deductions]],0),2))</f>
        <v/>
      </c>
      <c r="X261" s="164" t="str">
        <f aca="false">IF(Salary_Calculation[[#This Row],[Source Row]]="","",ROUND(MAX(Salary_Calculation[[#This Row],[Missing-Order Deduction]]-Salary_Calculation[[#This Row],[Earned Salary]],0),2))</f>
        <v/>
      </c>
      <c r="Y26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61" s="163" t="str">
        <f aca="false">IF(Salary_Calculation[[#This Row],[Source Row]]="","",IF(INDEX(Rider_Input[Notes],Salary_Calculation[[#This Row],[Source Row]])="","",INDEX(Rider_Input[Notes],Salary_Calculation[[#This Row],[Source Row]])))</f>
        <v/>
      </c>
      <c r="AA261" s="164" t="str">
        <f aca="false">IF(Salary_Calculation[[#This Row],[Source Row]]="","",Salary_Calculation[[#This Row],[Earned Salary]]-Salary_Calculation[[#This Row],[Missing-Order Deduction]]+Salary_Calculation[[#This Row],[Extra-Order Bonus]])</f>
        <v/>
      </c>
      <c r="AB261" s="164" t="str">
        <f aca="false">IF(Salary_Calculation[[#This Row],[Source Row]]="","",ROUND(Salary_Calculation[[#This Row],[Negative Balance / Amount Due from Rider]]+MAX(Salary_Calculation[[#This Row],[Total Deductions]]-Salary_Calculation[[#This Row],[Gross Salary Before Deductions]],0),2))</f>
        <v/>
      </c>
      <c r="AC26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61" s="164" t="str">
        <f aca="false">IF(Salary_Calculation[[#This Row],[Source Row]]="","",Salary_Calculation[[#This Row],[Rider Target Orders]]*Salary_Calculation[[#This Row],[Base Order Rate]])</f>
        <v/>
      </c>
      <c r="AE261" s="162" t="str">
        <f aca="false">IF(SUMPRODUCT(--(LEN(INDEX(Rider_Input[#Data],ROW()-ROW(Salary_Calculation[#Headers]),0))&gt;0))=0,"",ROW()-ROW(Salary_Calculation[#Headers]))</f>
        <v/>
      </c>
    </row>
    <row r="262" customFormat="false" ht="14.25" hidden="false" customHeight="false" outlineLevel="0" collapsed="false">
      <c r="A262" s="161" t="str">
        <f aca="false">IF(Salary_Calculation[[#This Row],[Source Row]]="","",IF(INDEX(Rider_Input[Salary Month],Salary_Calculation[[#This Row],[Source Row]])="","",INDEX(Rider_Input[Salary Month],Salary_Calculation[[#This Row],[Source Row]])))</f>
        <v/>
      </c>
      <c r="B262" s="162" t="str">
        <f aca="false">IF(Salary_Calculation[[#This Row],[Source Row]]="","",IF(INDEX(Rider_Input[Rider ID],Salary_Calculation[[#This Row],[Source Row]])="","",INDEX(Rider_Input[Rider ID],Salary_Calculation[[#This Row],[Source Row]])))</f>
        <v/>
      </c>
      <c r="C262" s="163" t="str">
        <f aca="false">IF(Salary_Calculation[[#This Row],[Source Row]]="","",IF(INDEX(Rider_Input[Rider Name],Salary_Calculation[[#This Row],[Source Row]])="","",INDEX(Rider_Input[Rider Name],Salary_Calculation[[#This Row],[Source Row]])))</f>
        <v/>
      </c>
      <c r="D262" s="164" t="str">
        <f aca="false">IF(Salary_Calculation[[#This Row],[Source Row]]="","",IF(INDEX(Rider_Input[Basic Payment],Salary_Calculation[[#This Row],[Source Row]])="","",INDEX(Rider_Input[Basic Payment],Salary_Calculation[[#This Row],[Source Row]])))</f>
        <v/>
      </c>
      <c r="E262" s="162" t="str">
        <f aca="false">IF(Salary_Calculation[[#This Row],[Source Row]]="","",IF(INDEX(Rider_Input[Calendar Days in Month],Salary_Calculation[[#This Row],[Source Row]])="","",INDEX(Rider_Input[Calendar Days in Month],Salary_Calculation[[#This Row],[Source Row]])))</f>
        <v/>
      </c>
      <c r="F262" s="162" t="str">
        <f aca="false">IF(Salary_Calculation[[#This Row],[Source Row]]="","",IF(INDEX(Rider_Input[Working Days],Salary_Calculation[[#This Row],[Source Row]])="","",INDEX(Rider_Input[Working Days],Salary_Calculation[[#This Row],[Source Row]])))</f>
        <v/>
      </c>
      <c r="G262" s="165" t="str">
        <f aca="false">IF(Salary_Calculation[[#This Row],[Source Row]]="","",Std_Orders/Std_Days*N(Salary_Calculation[[#This Row],[Calendar Days]]))</f>
        <v/>
      </c>
      <c r="H262" s="165" t="str">
        <f aca="false">IF(Salary_Calculation[[#This Row],[Source Row]]="","",IF(N(Salary_Calculation[[#This Row],[Calendar Days]])&gt;0,Salary_Calculation[[#This Row],[Monthly Target Orders]]/N(Salary_Calculation[[#This Row],[Calendar Days]])*N(Salary_Calculation[[#This Row],[Working Days]]),0))</f>
        <v/>
      </c>
      <c r="I262" s="166" t="str">
        <f aca="false">IF(Salary_Calculation[[#This Row],[Source Row]]="","",IF(INDEX(Rider_Input[Completed Orders],Salary_Calculation[[#This Row],[Source Row]])="","",INDEX(Rider_Input[Completed Orders],Salary_Calculation[[#This Row],[Source Row]])))</f>
        <v/>
      </c>
      <c r="J262" s="165" t="str">
        <f aca="false">IF(Salary_Calculation[[#This Row],[Source Row]]="","",IF(Rate_Method="Fixed rate",Fixed_Rate,IF(N(Salary_Calculation[[#This Row],[Basic Payment]])&gt;0,N(Salary_Calculation[[#This Row],[Basic Payment]])/Std_Orders,0)))</f>
        <v/>
      </c>
      <c r="K262" s="165" t="str">
        <f aca="false">IF(Salary_Calculation[[#This Row],[Source Row]]="","",MAX(MIN(N(Salary_Calculation[[#This Row],[Completed Orders]]),Salary_Calculation[[#This Row],[Rider Target Orders]]),0))</f>
        <v/>
      </c>
      <c r="L262" s="164" t="str">
        <f aca="false">IF(Salary_Calculation[[#This Row],[Source Row]]="","",Salary_Calculation[[#This Row],[Orders Counted at Base Rate]]*Salary_Calculation[[#This Row],[Base Order Rate]])</f>
        <v/>
      </c>
      <c r="M262" s="165" t="str">
        <f aca="false">IF(Salary_Calculation[[#This Row],[Source Row]]="","",MAX(Salary_Calculation[[#This Row],[Rider Target Orders]]-N(Salary_Calculation[[#This Row],[Completed Orders]]),0))</f>
        <v/>
      </c>
      <c r="N262" s="164" t="str">
        <f aca="false">IF(Salary_Calculation[[#This Row],[Source Row]]="","",Salary_Calculation[[#This Row],[Missing Orders]]*Missing_Rate)</f>
        <v/>
      </c>
      <c r="O262" s="165" t="str">
        <f aca="false">IF(Salary_Calculation[[#This Row],[Source Row]]="","",MAX(N(Salary_Calculation[[#This Row],[Completed Orders]])-Salary_Calculation[[#This Row],[Rider Target Orders]],0))</f>
        <v/>
      </c>
      <c r="P262" s="164" t="str">
        <f aca="false">IF(Salary_Calculation[[#This Row],[Source Row]]="","",Salary_Calculation[[#This Row],[Extra Orders]]*Extra_Rate)</f>
        <v/>
      </c>
      <c r="Q262" s="164" t="str">
        <f aca="false">IF(Salary_Calculation[[#This Row],[Source Row]]="","",MAX(Salary_Calculation[[#This Row],[Salary Before Other Deductions]],0))</f>
        <v/>
      </c>
      <c r="R262" s="164" t="str">
        <f aca="false">IF(Salary_Calculation[[#This Row],[Source Row]]="","",N(INDEX(Rider_Input[missed_days_penalty],Salary_Calculation[[#This Row],[Source Row]])))</f>
        <v/>
      </c>
      <c r="S262" s="164" t="str">
        <f aca="false">IF(Salary_Calculation[[#This Row],[Source Row]]="","",N(INDEX(Rider_Input[Rider Balance / محفظة المندوب],Salary_Calculation[[#This Row],[Source Row]])))</f>
        <v/>
      </c>
      <c r="T262" s="164" t="str">
        <f aca="false">IF(Salary_Calculation[[#This Row],[Source Row]]="","",N(INDEX(Rider_Input[stacking_deduction / خصم الطلبات المتعددة],Salary_Calculation[[#This Row],[Source Row]])))</f>
        <v/>
      </c>
      <c r="U262" s="164" t="str">
        <f aca="false">IF(Salary_Calculation[[#This Row],[Source Row]]="","",N(INDEX(Rider_Input[Other Deductions],Salary_Calculation[[#This Row],[Source Row]])))</f>
        <v/>
      </c>
      <c r="V262" s="164" t="str">
        <f aca="false">IF(Salary_Calculation[[#This Row],[Source Row]]="","",N(Salary_Calculation[[#This Row],[missed_days_penalty]])+N(Salary_Calculation[[#This Row],[Rider Balance]])+N(Salary_Calculation[[#This Row],[stacking_deduction]])+N(Salary_Calculation[[#This Row],[Other Deductions]]))</f>
        <v/>
      </c>
      <c r="W262" s="167" t="str">
        <f aca="false">IF(Salary_Calculation[[#This Row],[Source Row]]="","",ROUND(MAX(Salary_Calculation[[#This Row],[Gross Salary Before Deductions]]-Salary_Calculation[[#This Row],[Total Deductions]],0),2))</f>
        <v/>
      </c>
      <c r="X262" s="164" t="str">
        <f aca="false">IF(Salary_Calculation[[#This Row],[Source Row]]="","",ROUND(MAX(Salary_Calculation[[#This Row],[Missing-Order Deduction]]-Salary_Calculation[[#This Row],[Earned Salary]],0),2))</f>
        <v/>
      </c>
      <c r="Y26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62" s="163" t="str">
        <f aca="false">IF(Salary_Calculation[[#This Row],[Source Row]]="","",IF(INDEX(Rider_Input[Notes],Salary_Calculation[[#This Row],[Source Row]])="","",INDEX(Rider_Input[Notes],Salary_Calculation[[#This Row],[Source Row]])))</f>
        <v/>
      </c>
      <c r="AA262" s="164" t="str">
        <f aca="false">IF(Salary_Calculation[[#This Row],[Source Row]]="","",Salary_Calculation[[#This Row],[Earned Salary]]-Salary_Calculation[[#This Row],[Missing-Order Deduction]]+Salary_Calculation[[#This Row],[Extra-Order Bonus]])</f>
        <v/>
      </c>
      <c r="AB262" s="164" t="str">
        <f aca="false">IF(Salary_Calculation[[#This Row],[Source Row]]="","",ROUND(Salary_Calculation[[#This Row],[Negative Balance / Amount Due from Rider]]+MAX(Salary_Calculation[[#This Row],[Total Deductions]]-Salary_Calculation[[#This Row],[Gross Salary Before Deductions]],0),2))</f>
        <v/>
      </c>
      <c r="AC26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62" s="164" t="str">
        <f aca="false">IF(Salary_Calculation[[#This Row],[Source Row]]="","",Salary_Calculation[[#This Row],[Rider Target Orders]]*Salary_Calculation[[#This Row],[Base Order Rate]])</f>
        <v/>
      </c>
      <c r="AE262" s="162" t="str">
        <f aca="false">IF(SUMPRODUCT(--(LEN(INDEX(Rider_Input[#Data],ROW()-ROW(Salary_Calculation[#Headers]),0))&gt;0))=0,"",ROW()-ROW(Salary_Calculation[#Headers]))</f>
        <v/>
      </c>
    </row>
    <row r="263" customFormat="false" ht="14.25" hidden="false" customHeight="false" outlineLevel="0" collapsed="false">
      <c r="A263" s="161" t="str">
        <f aca="false">IF(Salary_Calculation[[#This Row],[Source Row]]="","",IF(INDEX(Rider_Input[Salary Month],Salary_Calculation[[#This Row],[Source Row]])="","",INDEX(Rider_Input[Salary Month],Salary_Calculation[[#This Row],[Source Row]])))</f>
        <v/>
      </c>
      <c r="B263" s="162" t="str">
        <f aca="false">IF(Salary_Calculation[[#This Row],[Source Row]]="","",IF(INDEX(Rider_Input[Rider ID],Salary_Calculation[[#This Row],[Source Row]])="","",INDEX(Rider_Input[Rider ID],Salary_Calculation[[#This Row],[Source Row]])))</f>
        <v/>
      </c>
      <c r="C263" s="163" t="str">
        <f aca="false">IF(Salary_Calculation[[#This Row],[Source Row]]="","",IF(INDEX(Rider_Input[Rider Name],Salary_Calculation[[#This Row],[Source Row]])="","",INDEX(Rider_Input[Rider Name],Salary_Calculation[[#This Row],[Source Row]])))</f>
        <v/>
      </c>
      <c r="D263" s="164" t="str">
        <f aca="false">IF(Salary_Calculation[[#This Row],[Source Row]]="","",IF(INDEX(Rider_Input[Basic Payment],Salary_Calculation[[#This Row],[Source Row]])="","",INDEX(Rider_Input[Basic Payment],Salary_Calculation[[#This Row],[Source Row]])))</f>
        <v/>
      </c>
      <c r="E263" s="162" t="str">
        <f aca="false">IF(Salary_Calculation[[#This Row],[Source Row]]="","",IF(INDEX(Rider_Input[Calendar Days in Month],Salary_Calculation[[#This Row],[Source Row]])="","",INDEX(Rider_Input[Calendar Days in Month],Salary_Calculation[[#This Row],[Source Row]])))</f>
        <v/>
      </c>
      <c r="F263" s="162" t="str">
        <f aca="false">IF(Salary_Calculation[[#This Row],[Source Row]]="","",IF(INDEX(Rider_Input[Working Days],Salary_Calculation[[#This Row],[Source Row]])="","",INDEX(Rider_Input[Working Days],Salary_Calculation[[#This Row],[Source Row]])))</f>
        <v/>
      </c>
      <c r="G263" s="165" t="str">
        <f aca="false">IF(Salary_Calculation[[#This Row],[Source Row]]="","",Std_Orders/Std_Days*N(Salary_Calculation[[#This Row],[Calendar Days]]))</f>
        <v/>
      </c>
      <c r="H263" s="165" t="str">
        <f aca="false">IF(Salary_Calculation[[#This Row],[Source Row]]="","",IF(N(Salary_Calculation[[#This Row],[Calendar Days]])&gt;0,Salary_Calculation[[#This Row],[Monthly Target Orders]]/N(Salary_Calculation[[#This Row],[Calendar Days]])*N(Salary_Calculation[[#This Row],[Working Days]]),0))</f>
        <v/>
      </c>
      <c r="I263" s="166" t="str">
        <f aca="false">IF(Salary_Calculation[[#This Row],[Source Row]]="","",IF(INDEX(Rider_Input[Completed Orders],Salary_Calculation[[#This Row],[Source Row]])="","",INDEX(Rider_Input[Completed Orders],Salary_Calculation[[#This Row],[Source Row]])))</f>
        <v/>
      </c>
      <c r="J263" s="165" t="str">
        <f aca="false">IF(Salary_Calculation[[#This Row],[Source Row]]="","",IF(Rate_Method="Fixed rate",Fixed_Rate,IF(N(Salary_Calculation[[#This Row],[Basic Payment]])&gt;0,N(Salary_Calculation[[#This Row],[Basic Payment]])/Std_Orders,0)))</f>
        <v/>
      </c>
      <c r="K263" s="165" t="str">
        <f aca="false">IF(Salary_Calculation[[#This Row],[Source Row]]="","",MAX(MIN(N(Salary_Calculation[[#This Row],[Completed Orders]]),Salary_Calculation[[#This Row],[Rider Target Orders]]),0))</f>
        <v/>
      </c>
      <c r="L263" s="164" t="str">
        <f aca="false">IF(Salary_Calculation[[#This Row],[Source Row]]="","",Salary_Calculation[[#This Row],[Orders Counted at Base Rate]]*Salary_Calculation[[#This Row],[Base Order Rate]])</f>
        <v/>
      </c>
      <c r="M263" s="165" t="str">
        <f aca="false">IF(Salary_Calculation[[#This Row],[Source Row]]="","",MAX(Salary_Calculation[[#This Row],[Rider Target Orders]]-N(Salary_Calculation[[#This Row],[Completed Orders]]),0))</f>
        <v/>
      </c>
      <c r="N263" s="164" t="str">
        <f aca="false">IF(Salary_Calculation[[#This Row],[Source Row]]="","",Salary_Calculation[[#This Row],[Missing Orders]]*Missing_Rate)</f>
        <v/>
      </c>
      <c r="O263" s="165" t="str">
        <f aca="false">IF(Salary_Calculation[[#This Row],[Source Row]]="","",MAX(N(Salary_Calculation[[#This Row],[Completed Orders]])-Salary_Calculation[[#This Row],[Rider Target Orders]],0))</f>
        <v/>
      </c>
      <c r="P263" s="164" t="str">
        <f aca="false">IF(Salary_Calculation[[#This Row],[Source Row]]="","",Salary_Calculation[[#This Row],[Extra Orders]]*Extra_Rate)</f>
        <v/>
      </c>
      <c r="Q263" s="164" t="str">
        <f aca="false">IF(Salary_Calculation[[#This Row],[Source Row]]="","",MAX(Salary_Calculation[[#This Row],[Salary Before Other Deductions]],0))</f>
        <v/>
      </c>
      <c r="R263" s="164" t="str">
        <f aca="false">IF(Salary_Calculation[[#This Row],[Source Row]]="","",N(INDEX(Rider_Input[missed_days_penalty],Salary_Calculation[[#This Row],[Source Row]])))</f>
        <v/>
      </c>
      <c r="S263" s="164" t="str">
        <f aca="false">IF(Salary_Calculation[[#This Row],[Source Row]]="","",N(INDEX(Rider_Input[Rider Balance / محفظة المندوب],Salary_Calculation[[#This Row],[Source Row]])))</f>
        <v/>
      </c>
      <c r="T263" s="164" t="str">
        <f aca="false">IF(Salary_Calculation[[#This Row],[Source Row]]="","",N(INDEX(Rider_Input[stacking_deduction / خصم الطلبات المتعددة],Salary_Calculation[[#This Row],[Source Row]])))</f>
        <v/>
      </c>
      <c r="U263" s="164" t="str">
        <f aca="false">IF(Salary_Calculation[[#This Row],[Source Row]]="","",N(INDEX(Rider_Input[Other Deductions],Salary_Calculation[[#This Row],[Source Row]])))</f>
        <v/>
      </c>
      <c r="V263" s="164" t="str">
        <f aca="false">IF(Salary_Calculation[[#This Row],[Source Row]]="","",N(Salary_Calculation[[#This Row],[missed_days_penalty]])+N(Salary_Calculation[[#This Row],[Rider Balance]])+N(Salary_Calculation[[#This Row],[stacking_deduction]])+N(Salary_Calculation[[#This Row],[Other Deductions]]))</f>
        <v/>
      </c>
      <c r="W263" s="167" t="str">
        <f aca="false">IF(Salary_Calculation[[#This Row],[Source Row]]="","",ROUND(MAX(Salary_Calculation[[#This Row],[Gross Salary Before Deductions]]-Salary_Calculation[[#This Row],[Total Deductions]],0),2))</f>
        <v/>
      </c>
      <c r="X263" s="164" t="str">
        <f aca="false">IF(Salary_Calculation[[#This Row],[Source Row]]="","",ROUND(MAX(Salary_Calculation[[#This Row],[Missing-Order Deduction]]-Salary_Calculation[[#This Row],[Earned Salary]],0),2))</f>
        <v/>
      </c>
      <c r="Y26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63" s="163" t="str">
        <f aca="false">IF(Salary_Calculation[[#This Row],[Source Row]]="","",IF(INDEX(Rider_Input[Notes],Salary_Calculation[[#This Row],[Source Row]])="","",INDEX(Rider_Input[Notes],Salary_Calculation[[#This Row],[Source Row]])))</f>
        <v/>
      </c>
      <c r="AA263" s="164" t="str">
        <f aca="false">IF(Salary_Calculation[[#This Row],[Source Row]]="","",Salary_Calculation[[#This Row],[Earned Salary]]-Salary_Calculation[[#This Row],[Missing-Order Deduction]]+Salary_Calculation[[#This Row],[Extra-Order Bonus]])</f>
        <v/>
      </c>
      <c r="AB263" s="164" t="str">
        <f aca="false">IF(Salary_Calculation[[#This Row],[Source Row]]="","",ROUND(Salary_Calculation[[#This Row],[Negative Balance / Amount Due from Rider]]+MAX(Salary_Calculation[[#This Row],[Total Deductions]]-Salary_Calculation[[#This Row],[Gross Salary Before Deductions]],0),2))</f>
        <v/>
      </c>
      <c r="AC26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63" s="164" t="str">
        <f aca="false">IF(Salary_Calculation[[#This Row],[Source Row]]="","",Salary_Calculation[[#This Row],[Rider Target Orders]]*Salary_Calculation[[#This Row],[Base Order Rate]])</f>
        <v/>
      </c>
      <c r="AE263" s="162" t="str">
        <f aca="false">IF(SUMPRODUCT(--(LEN(INDEX(Rider_Input[#Data],ROW()-ROW(Salary_Calculation[#Headers]),0))&gt;0))=0,"",ROW()-ROW(Salary_Calculation[#Headers]))</f>
        <v/>
      </c>
    </row>
    <row r="264" customFormat="false" ht="14.25" hidden="false" customHeight="false" outlineLevel="0" collapsed="false">
      <c r="A264" s="161" t="str">
        <f aca="false">IF(Salary_Calculation[[#This Row],[Source Row]]="","",IF(INDEX(Rider_Input[Salary Month],Salary_Calculation[[#This Row],[Source Row]])="","",INDEX(Rider_Input[Salary Month],Salary_Calculation[[#This Row],[Source Row]])))</f>
        <v/>
      </c>
      <c r="B264" s="162" t="str">
        <f aca="false">IF(Salary_Calculation[[#This Row],[Source Row]]="","",IF(INDEX(Rider_Input[Rider ID],Salary_Calculation[[#This Row],[Source Row]])="","",INDEX(Rider_Input[Rider ID],Salary_Calculation[[#This Row],[Source Row]])))</f>
        <v/>
      </c>
      <c r="C264" s="163" t="str">
        <f aca="false">IF(Salary_Calculation[[#This Row],[Source Row]]="","",IF(INDEX(Rider_Input[Rider Name],Salary_Calculation[[#This Row],[Source Row]])="","",INDEX(Rider_Input[Rider Name],Salary_Calculation[[#This Row],[Source Row]])))</f>
        <v/>
      </c>
      <c r="D264" s="164" t="str">
        <f aca="false">IF(Salary_Calculation[[#This Row],[Source Row]]="","",IF(INDEX(Rider_Input[Basic Payment],Salary_Calculation[[#This Row],[Source Row]])="","",INDEX(Rider_Input[Basic Payment],Salary_Calculation[[#This Row],[Source Row]])))</f>
        <v/>
      </c>
      <c r="E264" s="162" t="str">
        <f aca="false">IF(Salary_Calculation[[#This Row],[Source Row]]="","",IF(INDEX(Rider_Input[Calendar Days in Month],Salary_Calculation[[#This Row],[Source Row]])="","",INDEX(Rider_Input[Calendar Days in Month],Salary_Calculation[[#This Row],[Source Row]])))</f>
        <v/>
      </c>
      <c r="F264" s="162" t="str">
        <f aca="false">IF(Salary_Calculation[[#This Row],[Source Row]]="","",IF(INDEX(Rider_Input[Working Days],Salary_Calculation[[#This Row],[Source Row]])="","",INDEX(Rider_Input[Working Days],Salary_Calculation[[#This Row],[Source Row]])))</f>
        <v/>
      </c>
      <c r="G264" s="165" t="str">
        <f aca="false">IF(Salary_Calculation[[#This Row],[Source Row]]="","",Std_Orders/Std_Days*N(Salary_Calculation[[#This Row],[Calendar Days]]))</f>
        <v/>
      </c>
      <c r="H264" s="165" t="str">
        <f aca="false">IF(Salary_Calculation[[#This Row],[Source Row]]="","",IF(N(Salary_Calculation[[#This Row],[Calendar Days]])&gt;0,Salary_Calculation[[#This Row],[Monthly Target Orders]]/N(Salary_Calculation[[#This Row],[Calendar Days]])*N(Salary_Calculation[[#This Row],[Working Days]]),0))</f>
        <v/>
      </c>
      <c r="I264" s="166" t="str">
        <f aca="false">IF(Salary_Calculation[[#This Row],[Source Row]]="","",IF(INDEX(Rider_Input[Completed Orders],Salary_Calculation[[#This Row],[Source Row]])="","",INDEX(Rider_Input[Completed Orders],Salary_Calculation[[#This Row],[Source Row]])))</f>
        <v/>
      </c>
      <c r="J264" s="165" t="str">
        <f aca="false">IF(Salary_Calculation[[#This Row],[Source Row]]="","",IF(Rate_Method="Fixed rate",Fixed_Rate,IF(N(Salary_Calculation[[#This Row],[Basic Payment]])&gt;0,N(Salary_Calculation[[#This Row],[Basic Payment]])/Std_Orders,0)))</f>
        <v/>
      </c>
      <c r="K264" s="165" t="str">
        <f aca="false">IF(Salary_Calculation[[#This Row],[Source Row]]="","",MAX(MIN(N(Salary_Calculation[[#This Row],[Completed Orders]]),Salary_Calculation[[#This Row],[Rider Target Orders]]),0))</f>
        <v/>
      </c>
      <c r="L264" s="164" t="str">
        <f aca="false">IF(Salary_Calculation[[#This Row],[Source Row]]="","",Salary_Calculation[[#This Row],[Orders Counted at Base Rate]]*Salary_Calculation[[#This Row],[Base Order Rate]])</f>
        <v/>
      </c>
      <c r="M264" s="165" t="str">
        <f aca="false">IF(Salary_Calculation[[#This Row],[Source Row]]="","",MAX(Salary_Calculation[[#This Row],[Rider Target Orders]]-N(Salary_Calculation[[#This Row],[Completed Orders]]),0))</f>
        <v/>
      </c>
      <c r="N264" s="164" t="str">
        <f aca="false">IF(Salary_Calculation[[#This Row],[Source Row]]="","",Salary_Calculation[[#This Row],[Missing Orders]]*Missing_Rate)</f>
        <v/>
      </c>
      <c r="O264" s="165" t="str">
        <f aca="false">IF(Salary_Calculation[[#This Row],[Source Row]]="","",MAX(N(Salary_Calculation[[#This Row],[Completed Orders]])-Salary_Calculation[[#This Row],[Rider Target Orders]],0))</f>
        <v/>
      </c>
      <c r="P264" s="164" t="str">
        <f aca="false">IF(Salary_Calculation[[#This Row],[Source Row]]="","",Salary_Calculation[[#This Row],[Extra Orders]]*Extra_Rate)</f>
        <v/>
      </c>
      <c r="Q264" s="164" t="str">
        <f aca="false">IF(Salary_Calculation[[#This Row],[Source Row]]="","",MAX(Salary_Calculation[[#This Row],[Salary Before Other Deductions]],0))</f>
        <v/>
      </c>
      <c r="R264" s="164" t="str">
        <f aca="false">IF(Salary_Calculation[[#This Row],[Source Row]]="","",N(INDEX(Rider_Input[missed_days_penalty],Salary_Calculation[[#This Row],[Source Row]])))</f>
        <v/>
      </c>
      <c r="S264" s="164" t="str">
        <f aca="false">IF(Salary_Calculation[[#This Row],[Source Row]]="","",N(INDEX(Rider_Input[Rider Balance / محفظة المندوب],Salary_Calculation[[#This Row],[Source Row]])))</f>
        <v/>
      </c>
      <c r="T264" s="164" t="str">
        <f aca="false">IF(Salary_Calculation[[#This Row],[Source Row]]="","",N(INDEX(Rider_Input[stacking_deduction / خصم الطلبات المتعددة],Salary_Calculation[[#This Row],[Source Row]])))</f>
        <v/>
      </c>
      <c r="U264" s="164" t="str">
        <f aca="false">IF(Salary_Calculation[[#This Row],[Source Row]]="","",N(INDEX(Rider_Input[Other Deductions],Salary_Calculation[[#This Row],[Source Row]])))</f>
        <v/>
      </c>
      <c r="V264" s="164" t="str">
        <f aca="false">IF(Salary_Calculation[[#This Row],[Source Row]]="","",N(Salary_Calculation[[#This Row],[missed_days_penalty]])+N(Salary_Calculation[[#This Row],[Rider Balance]])+N(Salary_Calculation[[#This Row],[stacking_deduction]])+N(Salary_Calculation[[#This Row],[Other Deductions]]))</f>
        <v/>
      </c>
      <c r="W264" s="167" t="str">
        <f aca="false">IF(Salary_Calculation[[#This Row],[Source Row]]="","",ROUND(MAX(Salary_Calculation[[#This Row],[Gross Salary Before Deductions]]-Salary_Calculation[[#This Row],[Total Deductions]],0),2))</f>
        <v/>
      </c>
      <c r="X264" s="164" t="str">
        <f aca="false">IF(Salary_Calculation[[#This Row],[Source Row]]="","",ROUND(MAX(Salary_Calculation[[#This Row],[Missing-Order Deduction]]-Salary_Calculation[[#This Row],[Earned Salary]],0),2))</f>
        <v/>
      </c>
      <c r="Y26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64" s="163" t="str">
        <f aca="false">IF(Salary_Calculation[[#This Row],[Source Row]]="","",IF(INDEX(Rider_Input[Notes],Salary_Calculation[[#This Row],[Source Row]])="","",INDEX(Rider_Input[Notes],Salary_Calculation[[#This Row],[Source Row]])))</f>
        <v/>
      </c>
      <c r="AA264" s="164" t="str">
        <f aca="false">IF(Salary_Calculation[[#This Row],[Source Row]]="","",Salary_Calculation[[#This Row],[Earned Salary]]-Salary_Calculation[[#This Row],[Missing-Order Deduction]]+Salary_Calculation[[#This Row],[Extra-Order Bonus]])</f>
        <v/>
      </c>
      <c r="AB264" s="164" t="str">
        <f aca="false">IF(Salary_Calculation[[#This Row],[Source Row]]="","",ROUND(Salary_Calculation[[#This Row],[Negative Balance / Amount Due from Rider]]+MAX(Salary_Calculation[[#This Row],[Total Deductions]]-Salary_Calculation[[#This Row],[Gross Salary Before Deductions]],0),2))</f>
        <v/>
      </c>
      <c r="AC26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64" s="164" t="str">
        <f aca="false">IF(Salary_Calculation[[#This Row],[Source Row]]="","",Salary_Calculation[[#This Row],[Rider Target Orders]]*Salary_Calculation[[#This Row],[Base Order Rate]])</f>
        <v/>
      </c>
      <c r="AE264" s="162" t="str">
        <f aca="false">IF(SUMPRODUCT(--(LEN(INDEX(Rider_Input[#Data],ROW()-ROW(Salary_Calculation[#Headers]),0))&gt;0))=0,"",ROW()-ROW(Salary_Calculation[#Headers]))</f>
        <v/>
      </c>
    </row>
    <row r="265" customFormat="false" ht="14.25" hidden="false" customHeight="false" outlineLevel="0" collapsed="false">
      <c r="A265" s="161" t="str">
        <f aca="false">IF(Salary_Calculation[[#This Row],[Source Row]]="","",IF(INDEX(Rider_Input[Salary Month],Salary_Calculation[[#This Row],[Source Row]])="","",INDEX(Rider_Input[Salary Month],Salary_Calculation[[#This Row],[Source Row]])))</f>
        <v/>
      </c>
      <c r="B265" s="162" t="str">
        <f aca="false">IF(Salary_Calculation[[#This Row],[Source Row]]="","",IF(INDEX(Rider_Input[Rider ID],Salary_Calculation[[#This Row],[Source Row]])="","",INDEX(Rider_Input[Rider ID],Salary_Calculation[[#This Row],[Source Row]])))</f>
        <v/>
      </c>
      <c r="C265" s="163" t="str">
        <f aca="false">IF(Salary_Calculation[[#This Row],[Source Row]]="","",IF(INDEX(Rider_Input[Rider Name],Salary_Calculation[[#This Row],[Source Row]])="","",INDEX(Rider_Input[Rider Name],Salary_Calculation[[#This Row],[Source Row]])))</f>
        <v/>
      </c>
      <c r="D265" s="164" t="str">
        <f aca="false">IF(Salary_Calculation[[#This Row],[Source Row]]="","",IF(INDEX(Rider_Input[Basic Payment],Salary_Calculation[[#This Row],[Source Row]])="","",INDEX(Rider_Input[Basic Payment],Salary_Calculation[[#This Row],[Source Row]])))</f>
        <v/>
      </c>
      <c r="E265" s="162" t="str">
        <f aca="false">IF(Salary_Calculation[[#This Row],[Source Row]]="","",IF(INDEX(Rider_Input[Calendar Days in Month],Salary_Calculation[[#This Row],[Source Row]])="","",INDEX(Rider_Input[Calendar Days in Month],Salary_Calculation[[#This Row],[Source Row]])))</f>
        <v/>
      </c>
      <c r="F265" s="162" t="str">
        <f aca="false">IF(Salary_Calculation[[#This Row],[Source Row]]="","",IF(INDEX(Rider_Input[Working Days],Salary_Calculation[[#This Row],[Source Row]])="","",INDEX(Rider_Input[Working Days],Salary_Calculation[[#This Row],[Source Row]])))</f>
        <v/>
      </c>
      <c r="G265" s="165" t="str">
        <f aca="false">IF(Salary_Calculation[[#This Row],[Source Row]]="","",Std_Orders/Std_Days*N(Salary_Calculation[[#This Row],[Calendar Days]]))</f>
        <v/>
      </c>
      <c r="H265" s="165" t="str">
        <f aca="false">IF(Salary_Calculation[[#This Row],[Source Row]]="","",IF(N(Salary_Calculation[[#This Row],[Calendar Days]])&gt;0,Salary_Calculation[[#This Row],[Monthly Target Orders]]/N(Salary_Calculation[[#This Row],[Calendar Days]])*N(Salary_Calculation[[#This Row],[Working Days]]),0))</f>
        <v/>
      </c>
      <c r="I265" s="166" t="str">
        <f aca="false">IF(Salary_Calculation[[#This Row],[Source Row]]="","",IF(INDEX(Rider_Input[Completed Orders],Salary_Calculation[[#This Row],[Source Row]])="","",INDEX(Rider_Input[Completed Orders],Salary_Calculation[[#This Row],[Source Row]])))</f>
        <v/>
      </c>
      <c r="J265" s="165" t="str">
        <f aca="false">IF(Salary_Calculation[[#This Row],[Source Row]]="","",IF(Rate_Method="Fixed rate",Fixed_Rate,IF(N(Salary_Calculation[[#This Row],[Basic Payment]])&gt;0,N(Salary_Calculation[[#This Row],[Basic Payment]])/Std_Orders,0)))</f>
        <v/>
      </c>
      <c r="K265" s="165" t="str">
        <f aca="false">IF(Salary_Calculation[[#This Row],[Source Row]]="","",MAX(MIN(N(Salary_Calculation[[#This Row],[Completed Orders]]),Salary_Calculation[[#This Row],[Rider Target Orders]]),0))</f>
        <v/>
      </c>
      <c r="L265" s="164" t="str">
        <f aca="false">IF(Salary_Calculation[[#This Row],[Source Row]]="","",Salary_Calculation[[#This Row],[Orders Counted at Base Rate]]*Salary_Calculation[[#This Row],[Base Order Rate]])</f>
        <v/>
      </c>
      <c r="M265" s="165" t="str">
        <f aca="false">IF(Salary_Calculation[[#This Row],[Source Row]]="","",MAX(Salary_Calculation[[#This Row],[Rider Target Orders]]-N(Salary_Calculation[[#This Row],[Completed Orders]]),0))</f>
        <v/>
      </c>
      <c r="N265" s="164" t="str">
        <f aca="false">IF(Salary_Calculation[[#This Row],[Source Row]]="","",Salary_Calculation[[#This Row],[Missing Orders]]*Missing_Rate)</f>
        <v/>
      </c>
      <c r="O265" s="165" t="str">
        <f aca="false">IF(Salary_Calculation[[#This Row],[Source Row]]="","",MAX(N(Salary_Calculation[[#This Row],[Completed Orders]])-Salary_Calculation[[#This Row],[Rider Target Orders]],0))</f>
        <v/>
      </c>
      <c r="P265" s="164" t="str">
        <f aca="false">IF(Salary_Calculation[[#This Row],[Source Row]]="","",Salary_Calculation[[#This Row],[Extra Orders]]*Extra_Rate)</f>
        <v/>
      </c>
      <c r="Q265" s="164" t="str">
        <f aca="false">IF(Salary_Calculation[[#This Row],[Source Row]]="","",MAX(Salary_Calculation[[#This Row],[Salary Before Other Deductions]],0))</f>
        <v/>
      </c>
      <c r="R265" s="164" t="str">
        <f aca="false">IF(Salary_Calculation[[#This Row],[Source Row]]="","",N(INDEX(Rider_Input[missed_days_penalty],Salary_Calculation[[#This Row],[Source Row]])))</f>
        <v/>
      </c>
      <c r="S265" s="164" t="str">
        <f aca="false">IF(Salary_Calculation[[#This Row],[Source Row]]="","",N(INDEX(Rider_Input[Rider Balance / محفظة المندوب],Salary_Calculation[[#This Row],[Source Row]])))</f>
        <v/>
      </c>
      <c r="T265" s="164" t="str">
        <f aca="false">IF(Salary_Calculation[[#This Row],[Source Row]]="","",N(INDEX(Rider_Input[stacking_deduction / خصم الطلبات المتعددة],Salary_Calculation[[#This Row],[Source Row]])))</f>
        <v/>
      </c>
      <c r="U265" s="164" t="str">
        <f aca="false">IF(Salary_Calculation[[#This Row],[Source Row]]="","",N(INDEX(Rider_Input[Other Deductions],Salary_Calculation[[#This Row],[Source Row]])))</f>
        <v/>
      </c>
      <c r="V265" s="164" t="str">
        <f aca="false">IF(Salary_Calculation[[#This Row],[Source Row]]="","",N(Salary_Calculation[[#This Row],[missed_days_penalty]])+N(Salary_Calculation[[#This Row],[Rider Balance]])+N(Salary_Calculation[[#This Row],[stacking_deduction]])+N(Salary_Calculation[[#This Row],[Other Deductions]]))</f>
        <v/>
      </c>
      <c r="W265" s="167" t="str">
        <f aca="false">IF(Salary_Calculation[[#This Row],[Source Row]]="","",ROUND(MAX(Salary_Calculation[[#This Row],[Gross Salary Before Deductions]]-Salary_Calculation[[#This Row],[Total Deductions]],0),2))</f>
        <v/>
      </c>
      <c r="X265" s="164" t="str">
        <f aca="false">IF(Salary_Calculation[[#This Row],[Source Row]]="","",ROUND(MAX(Salary_Calculation[[#This Row],[Missing-Order Deduction]]-Salary_Calculation[[#This Row],[Earned Salary]],0),2))</f>
        <v/>
      </c>
      <c r="Y26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65" s="163" t="str">
        <f aca="false">IF(Salary_Calculation[[#This Row],[Source Row]]="","",IF(INDEX(Rider_Input[Notes],Salary_Calculation[[#This Row],[Source Row]])="","",INDEX(Rider_Input[Notes],Salary_Calculation[[#This Row],[Source Row]])))</f>
        <v/>
      </c>
      <c r="AA265" s="164" t="str">
        <f aca="false">IF(Salary_Calculation[[#This Row],[Source Row]]="","",Salary_Calculation[[#This Row],[Earned Salary]]-Salary_Calculation[[#This Row],[Missing-Order Deduction]]+Salary_Calculation[[#This Row],[Extra-Order Bonus]])</f>
        <v/>
      </c>
      <c r="AB265" s="164" t="str">
        <f aca="false">IF(Salary_Calculation[[#This Row],[Source Row]]="","",ROUND(Salary_Calculation[[#This Row],[Negative Balance / Amount Due from Rider]]+MAX(Salary_Calculation[[#This Row],[Total Deductions]]-Salary_Calculation[[#This Row],[Gross Salary Before Deductions]],0),2))</f>
        <v/>
      </c>
      <c r="AC26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65" s="164" t="str">
        <f aca="false">IF(Salary_Calculation[[#This Row],[Source Row]]="","",Salary_Calculation[[#This Row],[Rider Target Orders]]*Salary_Calculation[[#This Row],[Base Order Rate]])</f>
        <v/>
      </c>
      <c r="AE265" s="162" t="str">
        <f aca="false">IF(SUMPRODUCT(--(LEN(INDEX(Rider_Input[#Data],ROW()-ROW(Salary_Calculation[#Headers]),0))&gt;0))=0,"",ROW()-ROW(Salary_Calculation[#Headers]))</f>
        <v/>
      </c>
    </row>
    <row r="266" customFormat="false" ht="14.25" hidden="false" customHeight="false" outlineLevel="0" collapsed="false">
      <c r="A266" s="161" t="str">
        <f aca="false">IF(Salary_Calculation[[#This Row],[Source Row]]="","",IF(INDEX(Rider_Input[Salary Month],Salary_Calculation[[#This Row],[Source Row]])="","",INDEX(Rider_Input[Salary Month],Salary_Calculation[[#This Row],[Source Row]])))</f>
        <v/>
      </c>
      <c r="B266" s="162" t="str">
        <f aca="false">IF(Salary_Calculation[[#This Row],[Source Row]]="","",IF(INDEX(Rider_Input[Rider ID],Salary_Calculation[[#This Row],[Source Row]])="","",INDEX(Rider_Input[Rider ID],Salary_Calculation[[#This Row],[Source Row]])))</f>
        <v/>
      </c>
      <c r="C266" s="163" t="str">
        <f aca="false">IF(Salary_Calculation[[#This Row],[Source Row]]="","",IF(INDEX(Rider_Input[Rider Name],Salary_Calculation[[#This Row],[Source Row]])="","",INDEX(Rider_Input[Rider Name],Salary_Calculation[[#This Row],[Source Row]])))</f>
        <v/>
      </c>
      <c r="D266" s="164" t="str">
        <f aca="false">IF(Salary_Calculation[[#This Row],[Source Row]]="","",IF(INDEX(Rider_Input[Basic Payment],Salary_Calculation[[#This Row],[Source Row]])="","",INDEX(Rider_Input[Basic Payment],Salary_Calculation[[#This Row],[Source Row]])))</f>
        <v/>
      </c>
      <c r="E266" s="162" t="str">
        <f aca="false">IF(Salary_Calculation[[#This Row],[Source Row]]="","",IF(INDEX(Rider_Input[Calendar Days in Month],Salary_Calculation[[#This Row],[Source Row]])="","",INDEX(Rider_Input[Calendar Days in Month],Salary_Calculation[[#This Row],[Source Row]])))</f>
        <v/>
      </c>
      <c r="F266" s="162" t="str">
        <f aca="false">IF(Salary_Calculation[[#This Row],[Source Row]]="","",IF(INDEX(Rider_Input[Working Days],Salary_Calculation[[#This Row],[Source Row]])="","",INDEX(Rider_Input[Working Days],Salary_Calculation[[#This Row],[Source Row]])))</f>
        <v/>
      </c>
      <c r="G266" s="165" t="str">
        <f aca="false">IF(Salary_Calculation[[#This Row],[Source Row]]="","",Std_Orders/Std_Days*N(Salary_Calculation[[#This Row],[Calendar Days]]))</f>
        <v/>
      </c>
      <c r="H266" s="165" t="str">
        <f aca="false">IF(Salary_Calculation[[#This Row],[Source Row]]="","",IF(N(Salary_Calculation[[#This Row],[Calendar Days]])&gt;0,Salary_Calculation[[#This Row],[Monthly Target Orders]]/N(Salary_Calculation[[#This Row],[Calendar Days]])*N(Salary_Calculation[[#This Row],[Working Days]]),0))</f>
        <v/>
      </c>
      <c r="I266" s="166" t="str">
        <f aca="false">IF(Salary_Calculation[[#This Row],[Source Row]]="","",IF(INDEX(Rider_Input[Completed Orders],Salary_Calculation[[#This Row],[Source Row]])="","",INDEX(Rider_Input[Completed Orders],Salary_Calculation[[#This Row],[Source Row]])))</f>
        <v/>
      </c>
      <c r="J266" s="165" t="str">
        <f aca="false">IF(Salary_Calculation[[#This Row],[Source Row]]="","",IF(Rate_Method="Fixed rate",Fixed_Rate,IF(N(Salary_Calculation[[#This Row],[Basic Payment]])&gt;0,N(Salary_Calculation[[#This Row],[Basic Payment]])/Std_Orders,0)))</f>
        <v/>
      </c>
      <c r="K266" s="165" t="str">
        <f aca="false">IF(Salary_Calculation[[#This Row],[Source Row]]="","",MAX(MIN(N(Salary_Calculation[[#This Row],[Completed Orders]]),Salary_Calculation[[#This Row],[Rider Target Orders]]),0))</f>
        <v/>
      </c>
      <c r="L266" s="164" t="str">
        <f aca="false">IF(Salary_Calculation[[#This Row],[Source Row]]="","",Salary_Calculation[[#This Row],[Orders Counted at Base Rate]]*Salary_Calculation[[#This Row],[Base Order Rate]])</f>
        <v/>
      </c>
      <c r="M266" s="165" t="str">
        <f aca="false">IF(Salary_Calculation[[#This Row],[Source Row]]="","",MAX(Salary_Calculation[[#This Row],[Rider Target Orders]]-N(Salary_Calculation[[#This Row],[Completed Orders]]),0))</f>
        <v/>
      </c>
      <c r="N266" s="164" t="str">
        <f aca="false">IF(Salary_Calculation[[#This Row],[Source Row]]="","",Salary_Calculation[[#This Row],[Missing Orders]]*Missing_Rate)</f>
        <v/>
      </c>
      <c r="O266" s="165" t="str">
        <f aca="false">IF(Salary_Calculation[[#This Row],[Source Row]]="","",MAX(N(Salary_Calculation[[#This Row],[Completed Orders]])-Salary_Calculation[[#This Row],[Rider Target Orders]],0))</f>
        <v/>
      </c>
      <c r="P266" s="164" t="str">
        <f aca="false">IF(Salary_Calculation[[#This Row],[Source Row]]="","",Salary_Calculation[[#This Row],[Extra Orders]]*Extra_Rate)</f>
        <v/>
      </c>
      <c r="Q266" s="164" t="str">
        <f aca="false">IF(Salary_Calculation[[#This Row],[Source Row]]="","",MAX(Salary_Calculation[[#This Row],[Salary Before Other Deductions]],0))</f>
        <v/>
      </c>
      <c r="R266" s="164" t="str">
        <f aca="false">IF(Salary_Calculation[[#This Row],[Source Row]]="","",N(INDEX(Rider_Input[missed_days_penalty],Salary_Calculation[[#This Row],[Source Row]])))</f>
        <v/>
      </c>
      <c r="S266" s="164" t="str">
        <f aca="false">IF(Salary_Calculation[[#This Row],[Source Row]]="","",N(INDEX(Rider_Input[Rider Balance / محفظة المندوب],Salary_Calculation[[#This Row],[Source Row]])))</f>
        <v/>
      </c>
      <c r="T266" s="164" t="str">
        <f aca="false">IF(Salary_Calculation[[#This Row],[Source Row]]="","",N(INDEX(Rider_Input[stacking_deduction / خصم الطلبات المتعددة],Salary_Calculation[[#This Row],[Source Row]])))</f>
        <v/>
      </c>
      <c r="U266" s="164" t="str">
        <f aca="false">IF(Salary_Calculation[[#This Row],[Source Row]]="","",N(INDEX(Rider_Input[Other Deductions],Salary_Calculation[[#This Row],[Source Row]])))</f>
        <v/>
      </c>
      <c r="V266" s="164" t="str">
        <f aca="false">IF(Salary_Calculation[[#This Row],[Source Row]]="","",N(Salary_Calculation[[#This Row],[missed_days_penalty]])+N(Salary_Calculation[[#This Row],[Rider Balance]])+N(Salary_Calculation[[#This Row],[stacking_deduction]])+N(Salary_Calculation[[#This Row],[Other Deductions]]))</f>
        <v/>
      </c>
      <c r="W266" s="167" t="str">
        <f aca="false">IF(Salary_Calculation[[#This Row],[Source Row]]="","",ROUND(MAX(Salary_Calculation[[#This Row],[Gross Salary Before Deductions]]-Salary_Calculation[[#This Row],[Total Deductions]],0),2))</f>
        <v/>
      </c>
      <c r="X266" s="164" t="str">
        <f aca="false">IF(Salary_Calculation[[#This Row],[Source Row]]="","",ROUND(MAX(Salary_Calculation[[#This Row],[Missing-Order Deduction]]-Salary_Calculation[[#This Row],[Earned Salary]],0),2))</f>
        <v/>
      </c>
      <c r="Y26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66" s="163" t="str">
        <f aca="false">IF(Salary_Calculation[[#This Row],[Source Row]]="","",IF(INDEX(Rider_Input[Notes],Salary_Calculation[[#This Row],[Source Row]])="","",INDEX(Rider_Input[Notes],Salary_Calculation[[#This Row],[Source Row]])))</f>
        <v/>
      </c>
      <c r="AA266" s="164" t="str">
        <f aca="false">IF(Salary_Calculation[[#This Row],[Source Row]]="","",Salary_Calculation[[#This Row],[Earned Salary]]-Salary_Calculation[[#This Row],[Missing-Order Deduction]]+Salary_Calculation[[#This Row],[Extra-Order Bonus]])</f>
        <v/>
      </c>
      <c r="AB266" s="164" t="str">
        <f aca="false">IF(Salary_Calculation[[#This Row],[Source Row]]="","",ROUND(Salary_Calculation[[#This Row],[Negative Balance / Amount Due from Rider]]+MAX(Salary_Calculation[[#This Row],[Total Deductions]]-Salary_Calculation[[#This Row],[Gross Salary Before Deductions]],0),2))</f>
        <v/>
      </c>
      <c r="AC26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66" s="164" t="str">
        <f aca="false">IF(Salary_Calculation[[#This Row],[Source Row]]="","",Salary_Calculation[[#This Row],[Rider Target Orders]]*Salary_Calculation[[#This Row],[Base Order Rate]])</f>
        <v/>
      </c>
      <c r="AE266" s="162" t="str">
        <f aca="false">IF(SUMPRODUCT(--(LEN(INDEX(Rider_Input[#Data],ROW()-ROW(Salary_Calculation[#Headers]),0))&gt;0))=0,"",ROW()-ROW(Salary_Calculation[#Headers]))</f>
        <v/>
      </c>
    </row>
    <row r="267" customFormat="false" ht="14.25" hidden="false" customHeight="false" outlineLevel="0" collapsed="false">
      <c r="A267" s="161" t="str">
        <f aca="false">IF(Salary_Calculation[[#This Row],[Source Row]]="","",IF(INDEX(Rider_Input[Salary Month],Salary_Calculation[[#This Row],[Source Row]])="","",INDEX(Rider_Input[Salary Month],Salary_Calculation[[#This Row],[Source Row]])))</f>
        <v/>
      </c>
      <c r="B267" s="162" t="str">
        <f aca="false">IF(Salary_Calculation[[#This Row],[Source Row]]="","",IF(INDEX(Rider_Input[Rider ID],Salary_Calculation[[#This Row],[Source Row]])="","",INDEX(Rider_Input[Rider ID],Salary_Calculation[[#This Row],[Source Row]])))</f>
        <v/>
      </c>
      <c r="C267" s="163" t="str">
        <f aca="false">IF(Salary_Calculation[[#This Row],[Source Row]]="","",IF(INDEX(Rider_Input[Rider Name],Salary_Calculation[[#This Row],[Source Row]])="","",INDEX(Rider_Input[Rider Name],Salary_Calculation[[#This Row],[Source Row]])))</f>
        <v/>
      </c>
      <c r="D267" s="164" t="str">
        <f aca="false">IF(Salary_Calculation[[#This Row],[Source Row]]="","",IF(INDEX(Rider_Input[Basic Payment],Salary_Calculation[[#This Row],[Source Row]])="","",INDEX(Rider_Input[Basic Payment],Salary_Calculation[[#This Row],[Source Row]])))</f>
        <v/>
      </c>
      <c r="E267" s="162" t="str">
        <f aca="false">IF(Salary_Calculation[[#This Row],[Source Row]]="","",IF(INDEX(Rider_Input[Calendar Days in Month],Salary_Calculation[[#This Row],[Source Row]])="","",INDEX(Rider_Input[Calendar Days in Month],Salary_Calculation[[#This Row],[Source Row]])))</f>
        <v/>
      </c>
      <c r="F267" s="162" t="str">
        <f aca="false">IF(Salary_Calculation[[#This Row],[Source Row]]="","",IF(INDEX(Rider_Input[Working Days],Salary_Calculation[[#This Row],[Source Row]])="","",INDEX(Rider_Input[Working Days],Salary_Calculation[[#This Row],[Source Row]])))</f>
        <v/>
      </c>
      <c r="G267" s="165" t="str">
        <f aca="false">IF(Salary_Calculation[[#This Row],[Source Row]]="","",Std_Orders/Std_Days*N(Salary_Calculation[[#This Row],[Calendar Days]]))</f>
        <v/>
      </c>
      <c r="H267" s="165" t="str">
        <f aca="false">IF(Salary_Calculation[[#This Row],[Source Row]]="","",IF(N(Salary_Calculation[[#This Row],[Calendar Days]])&gt;0,Salary_Calculation[[#This Row],[Monthly Target Orders]]/N(Salary_Calculation[[#This Row],[Calendar Days]])*N(Salary_Calculation[[#This Row],[Working Days]]),0))</f>
        <v/>
      </c>
      <c r="I267" s="166" t="str">
        <f aca="false">IF(Salary_Calculation[[#This Row],[Source Row]]="","",IF(INDEX(Rider_Input[Completed Orders],Salary_Calculation[[#This Row],[Source Row]])="","",INDEX(Rider_Input[Completed Orders],Salary_Calculation[[#This Row],[Source Row]])))</f>
        <v/>
      </c>
      <c r="J267" s="165" t="str">
        <f aca="false">IF(Salary_Calculation[[#This Row],[Source Row]]="","",IF(Rate_Method="Fixed rate",Fixed_Rate,IF(N(Salary_Calculation[[#This Row],[Basic Payment]])&gt;0,N(Salary_Calculation[[#This Row],[Basic Payment]])/Std_Orders,0)))</f>
        <v/>
      </c>
      <c r="K267" s="165" t="str">
        <f aca="false">IF(Salary_Calculation[[#This Row],[Source Row]]="","",MAX(MIN(N(Salary_Calculation[[#This Row],[Completed Orders]]),Salary_Calculation[[#This Row],[Rider Target Orders]]),0))</f>
        <v/>
      </c>
      <c r="L267" s="164" t="str">
        <f aca="false">IF(Salary_Calculation[[#This Row],[Source Row]]="","",Salary_Calculation[[#This Row],[Orders Counted at Base Rate]]*Salary_Calculation[[#This Row],[Base Order Rate]])</f>
        <v/>
      </c>
      <c r="M267" s="165" t="str">
        <f aca="false">IF(Salary_Calculation[[#This Row],[Source Row]]="","",MAX(Salary_Calculation[[#This Row],[Rider Target Orders]]-N(Salary_Calculation[[#This Row],[Completed Orders]]),0))</f>
        <v/>
      </c>
      <c r="N267" s="164" t="str">
        <f aca="false">IF(Salary_Calculation[[#This Row],[Source Row]]="","",Salary_Calculation[[#This Row],[Missing Orders]]*Missing_Rate)</f>
        <v/>
      </c>
      <c r="O267" s="165" t="str">
        <f aca="false">IF(Salary_Calculation[[#This Row],[Source Row]]="","",MAX(N(Salary_Calculation[[#This Row],[Completed Orders]])-Salary_Calculation[[#This Row],[Rider Target Orders]],0))</f>
        <v/>
      </c>
      <c r="P267" s="164" t="str">
        <f aca="false">IF(Salary_Calculation[[#This Row],[Source Row]]="","",Salary_Calculation[[#This Row],[Extra Orders]]*Extra_Rate)</f>
        <v/>
      </c>
      <c r="Q267" s="164" t="str">
        <f aca="false">IF(Salary_Calculation[[#This Row],[Source Row]]="","",MAX(Salary_Calculation[[#This Row],[Salary Before Other Deductions]],0))</f>
        <v/>
      </c>
      <c r="R267" s="164" t="str">
        <f aca="false">IF(Salary_Calculation[[#This Row],[Source Row]]="","",N(INDEX(Rider_Input[missed_days_penalty],Salary_Calculation[[#This Row],[Source Row]])))</f>
        <v/>
      </c>
      <c r="S267" s="164" t="str">
        <f aca="false">IF(Salary_Calculation[[#This Row],[Source Row]]="","",N(INDEX(Rider_Input[Rider Balance / محفظة المندوب],Salary_Calculation[[#This Row],[Source Row]])))</f>
        <v/>
      </c>
      <c r="T267" s="164" t="str">
        <f aca="false">IF(Salary_Calculation[[#This Row],[Source Row]]="","",N(INDEX(Rider_Input[stacking_deduction / خصم الطلبات المتعددة],Salary_Calculation[[#This Row],[Source Row]])))</f>
        <v/>
      </c>
      <c r="U267" s="164" t="str">
        <f aca="false">IF(Salary_Calculation[[#This Row],[Source Row]]="","",N(INDEX(Rider_Input[Other Deductions],Salary_Calculation[[#This Row],[Source Row]])))</f>
        <v/>
      </c>
      <c r="V267" s="164" t="str">
        <f aca="false">IF(Salary_Calculation[[#This Row],[Source Row]]="","",N(Salary_Calculation[[#This Row],[missed_days_penalty]])+N(Salary_Calculation[[#This Row],[Rider Balance]])+N(Salary_Calculation[[#This Row],[stacking_deduction]])+N(Salary_Calculation[[#This Row],[Other Deductions]]))</f>
        <v/>
      </c>
      <c r="W267" s="167" t="str">
        <f aca="false">IF(Salary_Calculation[[#This Row],[Source Row]]="","",ROUND(MAX(Salary_Calculation[[#This Row],[Gross Salary Before Deductions]]-Salary_Calculation[[#This Row],[Total Deductions]],0),2))</f>
        <v/>
      </c>
      <c r="X267" s="164" t="str">
        <f aca="false">IF(Salary_Calculation[[#This Row],[Source Row]]="","",ROUND(MAX(Salary_Calculation[[#This Row],[Missing-Order Deduction]]-Salary_Calculation[[#This Row],[Earned Salary]],0),2))</f>
        <v/>
      </c>
      <c r="Y26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67" s="163" t="str">
        <f aca="false">IF(Salary_Calculation[[#This Row],[Source Row]]="","",IF(INDEX(Rider_Input[Notes],Salary_Calculation[[#This Row],[Source Row]])="","",INDEX(Rider_Input[Notes],Salary_Calculation[[#This Row],[Source Row]])))</f>
        <v/>
      </c>
      <c r="AA267" s="164" t="str">
        <f aca="false">IF(Salary_Calculation[[#This Row],[Source Row]]="","",Salary_Calculation[[#This Row],[Earned Salary]]-Salary_Calculation[[#This Row],[Missing-Order Deduction]]+Salary_Calculation[[#This Row],[Extra-Order Bonus]])</f>
        <v/>
      </c>
      <c r="AB267" s="164" t="str">
        <f aca="false">IF(Salary_Calculation[[#This Row],[Source Row]]="","",ROUND(Salary_Calculation[[#This Row],[Negative Balance / Amount Due from Rider]]+MAX(Salary_Calculation[[#This Row],[Total Deductions]]-Salary_Calculation[[#This Row],[Gross Salary Before Deductions]],0),2))</f>
        <v/>
      </c>
      <c r="AC26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67" s="164" t="str">
        <f aca="false">IF(Salary_Calculation[[#This Row],[Source Row]]="","",Salary_Calculation[[#This Row],[Rider Target Orders]]*Salary_Calculation[[#This Row],[Base Order Rate]])</f>
        <v/>
      </c>
      <c r="AE267" s="162" t="str">
        <f aca="false">IF(SUMPRODUCT(--(LEN(INDEX(Rider_Input[#Data],ROW()-ROW(Salary_Calculation[#Headers]),0))&gt;0))=0,"",ROW()-ROW(Salary_Calculation[#Headers]))</f>
        <v/>
      </c>
    </row>
    <row r="268" customFormat="false" ht="14.25" hidden="false" customHeight="false" outlineLevel="0" collapsed="false">
      <c r="A268" s="161" t="str">
        <f aca="false">IF(Salary_Calculation[[#This Row],[Source Row]]="","",IF(INDEX(Rider_Input[Salary Month],Salary_Calculation[[#This Row],[Source Row]])="","",INDEX(Rider_Input[Salary Month],Salary_Calculation[[#This Row],[Source Row]])))</f>
        <v/>
      </c>
      <c r="B268" s="162" t="str">
        <f aca="false">IF(Salary_Calculation[[#This Row],[Source Row]]="","",IF(INDEX(Rider_Input[Rider ID],Salary_Calculation[[#This Row],[Source Row]])="","",INDEX(Rider_Input[Rider ID],Salary_Calculation[[#This Row],[Source Row]])))</f>
        <v/>
      </c>
      <c r="C268" s="163" t="str">
        <f aca="false">IF(Salary_Calculation[[#This Row],[Source Row]]="","",IF(INDEX(Rider_Input[Rider Name],Salary_Calculation[[#This Row],[Source Row]])="","",INDEX(Rider_Input[Rider Name],Salary_Calculation[[#This Row],[Source Row]])))</f>
        <v/>
      </c>
      <c r="D268" s="164" t="str">
        <f aca="false">IF(Salary_Calculation[[#This Row],[Source Row]]="","",IF(INDEX(Rider_Input[Basic Payment],Salary_Calculation[[#This Row],[Source Row]])="","",INDEX(Rider_Input[Basic Payment],Salary_Calculation[[#This Row],[Source Row]])))</f>
        <v/>
      </c>
      <c r="E268" s="162" t="str">
        <f aca="false">IF(Salary_Calculation[[#This Row],[Source Row]]="","",IF(INDEX(Rider_Input[Calendar Days in Month],Salary_Calculation[[#This Row],[Source Row]])="","",INDEX(Rider_Input[Calendar Days in Month],Salary_Calculation[[#This Row],[Source Row]])))</f>
        <v/>
      </c>
      <c r="F268" s="162" t="str">
        <f aca="false">IF(Salary_Calculation[[#This Row],[Source Row]]="","",IF(INDEX(Rider_Input[Working Days],Salary_Calculation[[#This Row],[Source Row]])="","",INDEX(Rider_Input[Working Days],Salary_Calculation[[#This Row],[Source Row]])))</f>
        <v/>
      </c>
      <c r="G268" s="165" t="str">
        <f aca="false">IF(Salary_Calculation[[#This Row],[Source Row]]="","",Std_Orders/Std_Days*N(Salary_Calculation[[#This Row],[Calendar Days]]))</f>
        <v/>
      </c>
      <c r="H268" s="165" t="str">
        <f aca="false">IF(Salary_Calculation[[#This Row],[Source Row]]="","",IF(N(Salary_Calculation[[#This Row],[Calendar Days]])&gt;0,Salary_Calculation[[#This Row],[Monthly Target Orders]]/N(Salary_Calculation[[#This Row],[Calendar Days]])*N(Salary_Calculation[[#This Row],[Working Days]]),0))</f>
        <v/>
      </c>
      <c r="I268" s="166" t="str">
        <f aca="false">IF(Salary_Calculation[[#This Row],[Source Row]]="","",IF(INDEX(Rider_Input[Completed Orders],Salary_Calculation[[#This Row],[Source Row]])="","",INDEX(Rider_Input[Completed Orders],Salary_Calculation[[#This Row],[Source Row]])))</f>
        <v/>
      </c>
      <c r="J268" s="165" t="str">
        <f aca="false">IF(Salary_Calculation[[#This Row],[Source Row]]="","",IF(Rate_Method="Fixed rate",Fixed_Rate,IF(N(Salary_Calculation[[#This Row],[Basic Payment]])&gt;0,N(Salary_Calculation[[#This Row],[Basic Payment]])/Std_Orders,0)))</f>
        <v/>
      </c>
      <c r="K268" s="165" t="str">
        <f aca="false">IF(Salary_Calculation[[#This Row],[Source Row]]="","",MAX(MIN(N(Salary_Calculation[[#This Row],[Completed Orders]]),Salary_Calculation[[#This Row],[Rider Target Orders]]),0))</f>
        <v/>
      </c>
      <c r="L268" s="164" t="str">
        <f aca="false">IF(Salary_Calculation[[#This Row],[Source Row]]="","",Salary_Calculation[[#This Row],[Orders Counted at Base Rate]]*Salary_Calculation[[#This Row],[Base Order Rate]])</f>
        <v/>
      </c>
      <c r="M268" s="165" t="str">
        <f aca="false">IF(Salary_Calculation[[#This Row],[Source Row]]="","",MAX(Salary_Calculation[[#This Row],[Rider Target Orders]]-N(Salary_Calculation[[#This Row],[Completed Orders]]),0))</f>
        <v/>
      </c>
      <c r="N268" s="164" t="str">
        <f aca="false">IF(Salary_Calculation[[#This Row],[Source Row]]="","",Salary_Calculation[[#This Row],[Missing Orders]]*Missing_Rate)</f>
        <v/>
      </c>
      <c r="O268" s="165" t="str">
        <f aca="false">IF(Salary_Calculation[[#This Row],[Source Row]]="","",MAX(N(Salary_Calculation[[#This Row],[Completed Orders]])-Salary_Calculation[[#This Row],[Rider Target Orders]],0))</f>
        <v/>
      </c>
      <c r="P268" s="164" t="str">
        <f aca="false">IF(Salary_Calculation[[#This Row],[Source Row]]="","",Salary_Calculation[[#This Row],[Extra Orders]]*Extra_Rate)</f>
        <v/>
      </c>
      <c r="Q268" s="164" t="str">
        <f aca="false">IF(Salary_Calculation[[#This Row],[Source Row]]="","",MAX(Salary_Calculation[[#This Row],[Salary Before Other Deductions]],0))</f>
        <v/>
      </c>
      <c r="R268" s="164" t="str">
        <f aca="false">IF(Salary_Calculation[[#This Row],[Source Row]]="","",N(INDEX(Rider_Input[missed_days_penalty],Salary_Calculation[[#This Row],[Source Row]])))</f>
        <v/>
      </c>
      <c r="S268" s="164" t="str">
        <f aca="false">IF(Salary_Calculation[[#This Row],[Source Row]]="","",N(INDEX(Rider_Input[Rider Balance / محفظة المندوب],Salary_Calculation[[#This Row],[Source Row]])))</f>
        <v/>
      </c>
      <c r="T268" s="164" t="str">
        <f aca="false">IF(Salary_Calculation[[#This Row],[Source Row]]="","",N(INDEX(Rider_Input[stacking_deduction / خصم الطلبات المتعددة],Salary_Calculation[[#This Row],[Source Row]])))</f>
        <v/>
      </c>
      <c r="U268" s="164" t="str">
        <f aca="false">IF(Salary_Calculation[[#This Row],[Source Row]]="","",N(INDEX(Rider_Input[Other Deductions],Salary_Calculation[[#This Row],[Source Row]])))</f>
        <v/>
      </c>
      <c r="V268" s="164" t="str">
        <f aca="false">IF(Salary_Calculation[[#This Row],[Source Row]]="","",N(Salary_Calculation[[#This Row],[missed_days_penalty]])+N(Salary_Calculation[[#This Row],[Rider Balance]])+N(Salary_Calculation[[#This Row],[stacking_deduction]])+N(Salary_Calculation[[#This Row],[Other Deductions]]))</f>
        <v/>
      </c>
      <c r="W268" s="167" t="str">
        <f aca="false">IF(Salary_Calculation[[#This Row],[Source Row]]="","",ROUND(MAX(Salary_Calculation[[#This Row],[Gross Salary Before Deductions]]-Salary_Calculation[[#This Row],[Total Deductions]],0),2))</f>
        <v/>
      </c>
      <c r="X268" s="164" t="str">
        <f aca="false">IF(Salary_Calculation[[#This Row],[Source Row]]="","",ROUND(MAX(Salary_Calculation[[#This Row],[Missing-Order Deduction]]-Salary_Calculation[[#This Row],[Earned Salary]],0),2))</f>
        <v/>
      </c>
      <c r="Y26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68" s="163" t="str">
        <f aca="false">IF(Salary_Calculation[[#This Row],[Source Row]]="","",IF(INDEX(Rider_Input[Notes],Salary_Calculation[[#This Row],[Source Row]])="","",INDEX(Rider_Input[Notes],Salary_Calculation[[#This Row],[Source Row]])))</f>
        <v/>
      </c>
      <c r="AA268" s="164" t="str">
        <f aca="false">IF(Salary_Calculation[[#This Row],[Source Row]]="","",Salary_Calculation[[#This Row],[Earned Salary]]-Salary_Calculation[[#This Row],[Missing-Order Deduction]]+Salary_Calculation[[#This Row],[Extra-Order Bonus]])</f>
        <v/>
      </c>
      <c r="AB268" s="164" t="str">
        <f aca="false">IF(Salary_Calculation[[#This Row],[Source Row]]="","",ROUND(Salary_Calculation[[#This Row],[Negative Balance / Amount Due from Rider]]+MAX(Salary_Calculation[[#This Row],[Total Deductions]]-Salary_Calculation[[#This Row],[Gross Salary Before Deductions]],0),2))</f>
        <v/>
      </c>
      <c r="AC26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68" s="164" t="str">
        <f aca="false">IF(Salary_Calculation[[#This Row],[Source Row]]="","",Salary_Calculation[[#This Row],[Rider Target Orders]]*Salary_Calculation[[#This Row],[Base Order Rate]])</f>
        <v/>
      </c>
      <c r="AE268" s="162" t="str">
        <f aca="false">IF(SUMPRODUCT(--(LEN(INDEX(Rider_Input[#Data],ROW()-ROW(Salary_Calculation[#Headers]),0))&gt;0))=0,"",ROW()-ROW(Salary_Calculation[#Headers]))</f>
        <v/>
      </c>
    </row>
    <row r="269" customFormat="false" ht="14.25" hidden="false" customHeight="false" outlineLevel="0" collapsed="false">
      <c r="A269" s="161" t="str">
        <f aca="false">IF(Salary_Calculation[[#This Row],[Source Row]]="","",IF(INDEX(Rider_Input[Salary Month],Salary_Calculation[[#This Row],[Source Row]])="","",INDEX(Rider_Input[Salary Month],Salary_Calculation[[#This Row],[Source Row]])))</f>
        <v/>
      </c>
      <c r="B269" s="162" t="str">
        <f aca="false">IF(Salary_Calculation[[#This Row],[Source Row]]="","",IF(INDEX(Rider_Input[Rider ID],Salary_Calculation[[#This Row],[Source Row]])="","",INDEX(Rider_Input[Rider ID],Salary_Calculation[[#This Row],[Source Row]])))</f>
        <v/>
      </c>
      <c r="C269" s="163" t="str">
        <f aca="false">IF(Salary_Calculation[[#This Row],[Source Row]]="","",IF(INDEX(Rider_Input[Rider Name],Salary_Calculation[[#This Row],[Source Row]])="","",INDEX(Rider_Input[Rider Name],Salary_Calculation[[#This Row],[Source Row]])))</f>
        <v/>
      </c>
      <c r="D269" s="164" t="str">
        <f aca="false">IF(Salary_Calculation[[#This Row],[Source Row]]="","",IF(INDEX(Rider_Input[Basic Payment],Salary_Calculation[[#This Row],[Source Row]])="","",INDEX(Rider_Input[Basic Payment],Salary_Calculation[[#This Row],[Source Row]])))</f>
        <v/>
      </c>
      <c r="E269" s="162" t="str">
        <f aca="false">IF(Salary_Calculation[[#This Row],[Source Row]]="","",IF(INDEX(Rider_Input[Calendar Days in Month],Salary_Calculation[[#This Row],[Source Row]])="","",INDEX(Rider_Input[Calendar Days in Month],Salary_Calculation[[#This Row],[Source Row]])))</f>
        <v/>
      </c>
      <c r="F269" s="162" t="str">
        <f aca="false">IF(Salary_Calculation[[#This Row],[Source Row]]="","",IF(INDEX(Rider_Input[Working Days],Salary_Calculation[[#This Row],[Source Row]])="","",INDEX(Rider_Input[Working Days],Salary_Calculation[[#This Row],[Source Row]])))</f>
        <v/>
      </c>
      <c r="G269" s="165" t="str">
        <f aca="false">IF(Salary_Calculation[[#This Row],[Source Row]]="","",Std_Orders/Std_Days*N(Salary_Calculation[[#This Row],[Calendar Days]]))</f>
        <v/>
      </c>
      <c r="H269" s="165" t="str">
        <f aca="false">IF(Salary_Calculation[[#This Row],[Source Row]]="","",IF(N(Salary_Calculation[[#This Row],[Calendar Days]])&gt;0,Salary_Calculation[[#This Row],[Monthly Target Orders]]/N(Salary_Calculation[[#This Row],[Calendar Days]])*N(Salary_Calculation[[#This Row],[Working Days]]),0))</f>
        <v/>
      </c>
      <c r="I269" s="166" t="str">
        <f aca="false">IF(Salary_Calculation[[#This Row],[Source Row]]="","",IF(INDEX(Rider_Input[Completed Orders],Salary_Calculation[[#This Row],[Source Row]])="","",INDEX(Rider_Input[Completed Orders],Salary_Calculation[[#This Row],[Source Row]])))</f>
        <v/>
      </c>
      <c r="J269" s="165" t="str">
        <f aca="false">IF(Salary_Calculation[[#This Row],[Source Row]]="","",IF(Rate_Method="Fixed rate",Fixed_Rate,IF(N(Salary_Calculation[[#This Row],[Basic Payment]])&gt;0,N(Salary_Calculation[[#This Row],[Basic Payment]])/Std_Orders,0)))</f>
        <v/>
      </c>
      <c r="K269" s="165" t="str">
        <f aca="false">IF(Salary_Calculation[[#This Row],[Source Row]]="","",MAX(MIN(N(Salary_Calculation[[#This Row],[Completed Orders]]),Salary_Calculation[[#This Row],[Rider Target Orders]]),0))</f>
        <v/>
      </c>
      <c r="L269" s="164" t="str">
        <f aca="false">IF(Salary_Calculation[[#This Row],[Source Row]]="","",Salary_Calculation[[#This Row],[Orders Counted at Base Rate]]*Salary_Calculation[[#This Row],[Base Order Rate]])</f>
        <v/>
      </c>
      <c r="M269" s="165" t="str">
        <f aca="false">IF(Salary_Calculation[[#This Row],[Source Row]]="","",MAX(Salary_Calculation[[#This Row],[Rider Target Orders]]-N(Salary_Calculation[[#This Row],[Completed Orders]]),0))</f>
        <v/>
      </c>
      <c r="N269" s="164" t="str">
        <f aca="false">IF(Salary_Calculation[[#This Row],[Source Row]]="","",Salary_Calculation[[#This Row],[Missing Orders]]*Missing_Rate)</f>
        <v/>
      </c>
      <c r="O269" s="165" t="str">
        <f aca="false">IF(Salary_Calculation[[#This Row],[Source Row]]="","",MAX(N(Salary_Calculation[[#This Row],[Completed Orders]])-Salary_Calculation[[#This Row],[Rider Target Orders]],0))</f>
        <v/>
      </c>
      <c r="P269" s="164" t="str">
        <f aca="false">IF(Salary_Calculation[[#This Row],[Source Row]]="","",Salary_Calculation[[#This Row],[Extra Orders]]*Extra_Rate)</f>
        <v/>
      </c>
      <c r="Q269" s="164" t="str">
        <f aca="false">IF(Salary_Calculation[[#This Row],[Source Row]]="","",MAX(Salary_Calculation[[#This Row],[Salary Before Other Deductions]],0))</f>
        <v/>
      </c>
      <c r="R269" s="164" t="str">
        <f aca="false">IF(Salary_Calculation[[#This Row],[Source Row]]="","",N(INDEX(Rider_Input[missed_days_penalty],Salary_Calculation[[#This Row],[Source Row]])))</f>
        <v/>
      </c>
      <c r="S269" s="164" t="str">
        <f aca="false">IF(Salary_Calculation[[#This Row],[Source Row]]="","",N(INDEX(Rider_Input[Rider Balance / محفظة المندوب],Salary_Calculation[[#This Row],[Source Row]])))</f>
        <v/>
      </c>
      <c r="T269" s="164" t="str">
        <f aca="false">IF(Salary_Calculation[[#This Row],[Source Row]]="","",N(INDEX(Rider_Input[stacking_deduction / خصم الطلبات المتعددة],Salary_Calculation[[#This Row],[Source Row]])))</f>
        <v/>
      </c>
      <c r="U269" s="164" t="str">
        <f aca="false">IF(Salary_Calculation[[#This Row],[Source Row]]="","",N(INDEX(Rider_Input[Other Deductions],Salary_Calculation[[#This Row],[Source Row]])))</f>
        <v/>
      </c>
      <c r="V269" s="164" t="str">
        <f aca="false">IF(Salary_Calculation[[#This Row],[Source Row]]="","",N(Salary_Calculation[[#This Row],[missed_days_penalty]])+N(Salary_Calculation[[#This Row],[Rider Balance]])+N(Salary_Calculation[[#This Row],[stacking_deduction]])+N(Salary_Calculation[[#This Row],[Other Deductions]]))</f>
        <v/>
      </c>
      <c r="W269" s="167" t="str">
        <f aca="false">IF(Salary_Calculation[[#This Row],[Source Row]]="","",ROUND(MAX(Salary_Calculation[[#This Row],[Gross Salary Before Deductions]]-Salary_Calculation[[#This Row],[Total Deductions]],0),2))</f>
        <v/>
      </c>
      <c r="X269" s="164" t="str">
        <f aca="false">IF(Salary_Calculation[[#This Row],[Source Row]]="","",ROUND(MAX(Salary_Calculation[[#This Row],[Missing-Order Deduction]]-Salary_Calculation[[#This Row],[Earned Salary]],0),2))</f>
        <v/>
      </c>
      <c r="Y26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69" s="163" t="str">
        <f aca="false">IF(Salary_Calculation[[#This Row],[Source Row]]="","",IF(INDEX(Rider_Input[Notes],Salary_Calculation[[#This Row],[Source Row]])="","",INDEX(Rider_Input[Notes],Salary_Calculation[[#This Row],[Source Row]])))</f>
        <v/>
      </c>
      <c r="AA269" s="164" t="str">
        <f aca="false">IF(Salary_Calculation[[#This Row],[Source Row]]="","",Salary_Calculation[[#This Row],[Earned Salary]]-Salary_Calculation[[#This Row],[Missing-Order Deduction]]+Salary_Calculation[[#This Row],[Extra-Order Bonus]])</f>
        <v/>
      </c>
      <c r="AB269" s="164" t="str">
        <f aca="false">IF(Salary_Calculation[[#This Row],[Source Row]]="","",ROUND(Salary_Calculation[[#This Row],[Negative Balance / Amount Due from Rider]]+MAX(Salary_Calculation[[#This Row],[Total Deductions]]-Salary_Calculation[[#This Row],[Gross Salary Before Deductions]],0),2))</f>
        <v/>
      </c>
      <c r="AC26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69" s="164" t="str">
        <f aca="false">IF(Salary_Calculation[[#This Row],[Source Row]]="","",Salary_Calculation[[#This Row],[Rider Target Orders]]*Salary_Calculation[[#This Row],[Base Order Rate]])</f>
        <v/>
      </c>
      <c r="AE269" s="162" t="str">
        <f aca="false">IF(SUMPRODUCT(--(LEN(INDEX(Rider_Input[#Data],ROW()-ROW(Salary_Calculation[#Headers]),0))&gt;0))=0,"",ROW()-ROW(Salary_Calculation[#Headers]))</f>
        <v/>
      </c>
    </row>
    <row r="270" customFormat="false" ht="14.25" hidden="false" customHeight="false" outlineLevel="0" collapsed="false">
      <c r="A270" s="161" t="str">
        <f aca="false">IF(Salary_Calculation[[#This Row],[Source Row]]="","",IF(INDEX(Rider_Input[Salary Month],Salary_Calculation[[#This Row],[Source Row]])="","",INDEX(Rider_Input[Salary Month],Salary_Calculation[[#This Row],[Source Row]])))</f>
        <v/>
      </c>
      <c r="B270" s="162" t="str">
        <f aca="false">IF(Salary_Calculation[[#This Row],[Source Row]]="","",IF(INDEX(Rider_Input[Rider ID],Salary_Calculation[[#This Row],[Source Row]])="","",INDEX(Rider_Input[Rider ID],Salary_Calculation[[#This Row],[Source Row]])))</f>
        <v/>
      </c>
      <c r="C270" s="163" t="str">
        <f aca="false">IF(Salary_Calculation[[#This Row],[Source Row]]="","",IF(INDEX(Rider_Input[Rider Name],Salary_Calculation[[#This Row],[Source Row]])="","",INDEX(Rider_Input[Rider Name],Salary_Calculation[[#This Row],[Source Row]])))</f>
        <v/>
      </c>
      <c r="D270" s="164" t="str">
        <f aca="false">IF(Salary_Calculation[[#This Row],[Source Row]]="","",IF(INDEX(Rider_Input[Basic Payment],Salary_Calculation[[#This Row],[Source Row]])="","",INDEX(Rider_Input[Basic Payment],Salary_Calculation[[#This Row],[Source Row]])))</f>
        <v/>
      </c>
      <c r="E270" s="162" t="str">
        <f aca="false">IF(Salary_Calculation[[#This Row],[Source Row]]="","",IF(INDEX(Rider_Input[Calendar Days in Month],Salary_Calculation[[#This Row],[Source Row]])="","",INDEX(Rider_Input[Calendar Days in Month],Salary_Calculation[[#This Row],[Source Row]])))</f>
        <v/>
      </c>
      <c r="F270" s="162" t="str">
        <f aca="false">IF(Salary_Calculation[[#This Row],[Source Row]]="","",IF(INDEX(Rider_Input[Working Days],Salary_Calculation[[#This Row],[Source Row]])="","",INDEX(Rider_Input[Working Days],Salary_Calculation[[#This Row],[Source Row]])))</f>
        <v/>
      </c>
      <c r="G270" s="165" t="str">
        <f aca="false">IF(Salary_Calculation[[#This Row],[Source Row]]="","",Std_Orders/Std_Days*N(Salary_Calculation[[#This Row],[Calendar Days]]))</f>
        <v/>
      </c>
      <c r="H270" s="165" t="str">
        <f aca="false">IF(Salary_Calculation[[#This Row],[Source Row]]="","",IF(N(Salary_Calculation[[#This Row],[Calendar Days]])&gt;0,Salary_Calculation[[#This Row],[Monthly Target Orders]]/N(Salary_Calculation[[#This Row],[Calendar Days]])*N(Salary_Calculation[[#This Row],[Working Days]]),0))</f>
        <v/>
      </c>
      <c r="I270" s="166" t="str">
        <f aca="false">IF(Salary_Calculation[[#This Row],[Source Row]]="","",IF(INDEX(Rider_Input[Completed Orders],Salary_Calculation[[#This Row],[Source Row]])="","",INDEX(Rider_Input[Completed Orders],Salary_Calculation[[#This Row],[Source Row]])))</f>
        <v/>
      </c>
      <c r="J270" s="165" t="str">
        <f aca="false">IF(Salary_Calculation[[#This Row],[Source Row]]="","",IF(Rate_Method="Fixed rate",Fixed_Rate,IF(N(Salary_Calculation[[#This Row],[Basic Payment]])&gt;0,N(Salary_Calculation[[#This Row],[Basic Payment]])/Std_Orders,0)))</f>
        <v/>
      </c>
      <c r="K270" s="165" t="str">
        <f aca="false">IF(Salary_Calculation[[#This Row],[Source Row]]="","",MAX(MIN(N(Salary_Calculation[[#This Row],[Completed Orders]]),Salary_Calculation[[#This Row],[Rider Target Orders]]),0))</f>
        <v/>
      </c>
      <c r="L270" s="164" t="str">
        <f aca="false">IF(Salary_Calculation[[#This Row],[Source Row]]="","",Salary_Calculation[[#This Row],[Orders Counted at Base Rate]]*Salary_Calculation[[#This Row],[Base Order Rate]])</f>
        <v/>
      </c>
      <c r="M270" s="165" t="str">
        <f aca="false">IF(Salary_Calculation[[#This Row],[Source Row]]="","",MAX(Salary_Calculation[[#This Row],[Rider Target Orders]]-N(Salary_Calculation[[#This Row],[Completed Orders]]),0))</f>
        <v/>
      </c>
      <c r="N270" s="164" t="str">
        <f aca="false">IF(Salary_Calculation[[#This Row],[Source Row]]="","",Salary_Calculation[[#This Row],[Missing Orders]]*Missing_Rate)</f>
        <v/>
      </c>
      <c r="O270" s="165" t="str">
        <f aca="false">IF(Salary_Calculation[[#This Row],[Source Row]]="","",MAX(N(Salary_Calculation[[#This Row],[Completed Orders]])-Salary_Calculation[[#This Row],[Rider Target Orders]],0))</f>
        <v/>
      </c>
      <c r="P270" s="164" t="str">
        <f aca="false">IF(Salary_Calculation[[#This Row],[Source Row]]="","",Salary_Calculation[[#This Row],[Extra Orders]]*Extra_Rate)</f>
        <v/>
      </c>
      <c r="Q270" s="164" t="str">
        <f aca="false">IF(Salary_Calculation[[#This Row],[Source Row]]="","",MAX(Salary_Calculation[[#This Row],[Salary Before Other Deductions]],0))</f>
        <v/>
      </c>
      <c r="R270" s="164" t="str">
        <f aca="false">IF(Salary_Calculation[[#This Row],[Source Row]]="","",N(INDEX(Rider_Input[missed_days_penalty],Salary_Calculation[[#This Row],[Source Row]])))</f>
        <v/>
      </c>
      <c r="S270" s="164" t="str">
        <f aca="false">IF(Salary_Calculation[[#This Row],[Source Row]]="","",N(INDEX(Rider_Input[Rider Balance / محفظة المندوب],Salary_Calculation[[#This Row],[Source Row]])))</f>
        <v/>
      </c>
      <c r="T270" s="164" t="str">
        <f aca="false">IF(Salary_Calculation[[#This Row],[Source Row]]="","",N(INDEX(Rider_Input[stacking_deduction / خصم الطلبات المتعددة],Salary_Calculation[[#This Row],[Source Row]])))</f>
        <v/>
      </c>
      <c r="U270" s="164" t="str">
        <f aca="false">IF(Salary_Calculation[[#This Row],[Source Row]]="","",N(INDEX(Rider_Input[Other Deductions],Salary_Calculation[[#This Row],[Source Row]])))</f>
        <v/>
      </c>
      <c r="V270" s="164" t="str">
        <f aca="false">IF(Salary_Calculation[[#This Row],[Source Row]]="","",N(Salary_Calculation[[#This Row],[missed_days_penalty]])+N(Salary_Calculation[[#This Row],[Rider Balance]])+N(Salary_Calculation[[#This Row],[stacking_deduction]])+N(Salary_Calculation[[#This Row],[Other Deductions]]))</f>
        <v/>
      </c>
      <c r="W270" s="167" t="str">
        <f aca="false">IF(Salary_Calculation[[#This Row],[Source Row]]="","",ROUND(MAX(Salary_Calculation[[#This Row],[Gross Salary Before Deductions]]-Salary_Calculation[[#This Row],[Total Deductions]],0),2))</f>
        <v/>
      </c>
      <c r="X270" s="164" t="str">
        <f aca="false">IF(Salary_Calculation[[#This Row],[Source Row]]="","",ROUND(MAX(Salary_Calculation[[#This Row],[Missing-Order Deduction]]-Salary_Calculation[[#This Row],[Earned Salary]],0),2))</f>
        <v/>
      </c>
      <c r="Y27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70" s="163" t="str">
        <f aca="false">IF(Salary_Calculation[[#This Row],[Source Row]]="","",IF(INDEX(Rider_Input[Notes],Salary_Calculation[[#This Row],[Source Row]])="","",INDEX(Rider_Input[Notes],Salary_Calculation[[#This Row],[Source Row]])))</f>
        <v/>
      </c>
      <c r="AA270" s="164" t="str">
        <f aca="false">IF(Salary_Calculation[[#This Row],[Source Row]]="","",Salary_Calculation[[#This Row],[Earned Salary]]-Salary_Calculation[[#This Row],[Missing-Order Deduction]]+Salary_Calculation[[#This Row],[Extra-Order Bonus]])</f>
        <v/>
      </c>
      <c r="AB270" s="164" t="str">
        <f aca="false">IF(Salary_Calculation[[#This Row],[Source Row]]="","",ROUND(Salary_Calculation[[#This Row],[Negative Balance / Amount Due from Rider]]+MAX(Salary_Calculation[[#This Row],[Total Deductions]]-Salary_Calculation[[#This Row],[Gross Salary Before Deductions]],0),2))</f>
        <v/>
      </c>
      <c r="AC27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70" s="164" t="str">
        <f aca="false">IF(Salary_Calculation[[#This Row],[Source Row]]="","",Salary_Calculation[[#This Row],[Rider Target Orders]]*Salary_Calculation[[#This Row],[Base Order Rate]])</f>
        <v/>
      </c>
      <c r="AE270" s="162" t="str">
        <f aca="false">IF(SUMPRODUCT(--(LEN(INDEX(Rider_Input[#Data],ROW()-ROW(Salary_Calculation[#Headers]),0))&gt;0))=0,"",ROW()-ROW(Salary_Calculation[#Headers]))</f>
        <v/>
      </c>
    </row>
    <row r="271" customFormat="false" ht="14.25" hidden="false" customHeight="false" outlineLevel="0" collapsed="false">
      <c r="A271" s="161" t="str">
        <f aca="false">IF(Salary_Calculation[[#This Row],[Source Row]]="","",IF(INDEX(Rider_Input[Salary Month],Salary_Calculation[[#This Row],[Source Row]])="","",INDEX(Rider_Input[Salary Month],Salary_Calculation[[#This Row],[Source Row]])))</f>
        <v/>
      </c>
      <c r="B271" s="162" t="str">
        <f aca="false">IF(Salary_Calculation[[#This Row],[Source Row]]="","",IF(INDEX(Rider_Input[Rider ID],Salary_Calculation[[#This Row],[Source Row]])="","",INDEX(Rider_Input[Rider ID],Salary_Calculation[[#This Row],[Source Row]])))</f>
        <v/>
      </c>
      <c r="C271" s="163" t="str">
        <f aca="false">IF(Salary_Calculation[[#This Row],[Source Row]]="","",IF(INDEX(Rider_Input[Rider Name],Salary_Calculation[[#This Row],[Source Row]])="","",INDEX(Rider_Input[Rider Name],Salary_Calculation[[#This Row],[Source Row]])))</f>
        <v/>
      </c>
      <c r="D271" s="164" t="str">
        <f aca="false">IF(Salary_Calculation[[#This Row],[Source Row]]="","",IF(INDEX(Rider_Input[Basic Payment],Salary_Calculation[[#This Row],[Source Row]])="","",INDEX(Rider_Input[Basic Payment],Salary_Calculation[[#This Row],[Source Row]])))</f>
        <v/>
      </c>
      <c r="E271" s="162" t="str">
        <f aca="false">IF(Salary_Calculation[[#This Row],[Source Row]]="","",IF(INDEX(Rider_Input[Calendar Days in Month],Salary_Calculation[[#This Row],[Source Row]])="","",INDEX(Rider_Input[Calendar Days in Month],Salary_Calculation[[#This Row],[Source Row]])))</f>
        <v/>
      </c>
      <c r="F271" s="162" t="str">
        <f aca="false">IF(Salary_Calculation[[#This Row],[Source Row]]="","",IF(INDEX(Rider_Input[Working Days],Salary_Calculation[[#This Row],[Source Row]])="","",INDEX(Rider_Input[Working Days],Salary_Calculation[[#This Row],[Source Row]])))</f>
        <v/>
      </c>
      <c r="G271" s="165" t="str">
        <f aca="false">IF(Salary_Calculation[[#This Row],[Source Row]]="","",Std_Orders/Std_Days*N(Salary_Calculation[[#This Row],[Calendar Days]]))</f>
        <v/>
      </c>
      <c r="H271" s="165" t="str">
        <f aca="false">IF(Salary_Calculation[[#This Row],[Source Row]]="","",IF(N(Salary_Calculation[[#This Row],[Calendar Days]])&gt;0,Salary_Calculation[[#This Row],[Monthly Target Orders]]/N(Salary_Calculation[[#This Row],[Calendar Days]])*N(Salary_Calculation[[#This Row],[Working Days]]),0))</f>
        <v/>
      </c>
      <c r="I271" s="166" t="str">
        <f aca="false">IF(Salary_Calculation[[#This Row],[Source Row]]="","",IF(INDEX(Rider_Input[Completed Orders],Salary_Calculation[[#This Row],[Source Row]])="","",INDEX(Rider_Input[Completed Orders],Salary_Calculation[[#This Row],[Source Row]])))</f>
        <v/>
      </c>
      <c r="J271" s="165" t="str">
        <f aca="false">IF(Salary_Calculation[[#This Row],[Source Row]]="","",IF(Rate_Method="Fixed rate",Fixed_Rate,IF(N(Salary_Calculation[[#This Row],[Basic Payment]])&gt;0,N(Salary_Calculation[[#This Row],[Basic Payment]])/Std_Orders,0)))</f>
        <v/>
      </c>
      <c r="K271" s="165" t="str">
        <f aca="false">IF(Salary_Calculation[[#This Row],[Source Row]]="","",MAX(MIN(N(Salary_Calculation[[#This Row],[Completed Orders]]),Salary_Calculation[[#This Row],[Rider Target Orders]]),0))</f>
        <v/>
      </c>
      <c r="L271" s="164" t="str">
        <f aca="false">IF(Salary_Calculation[[#This Row],[Source Row]]="","",Salary_Calculation[[#This Row],[Orders Counted at Base Rate]]*Salary_Calculation[[#This Row],[Base Order Rate]])</f>
        <v/>
      </c>
      <c r="M271" s="165" t="str">
        <f aca="false">IF(Salary_Calculation[[#This Row],[Source Row]]="","",MAX(Salary_Calculation[[#This Row],[Rider Target Orders]]-N(Salary_Calculation[[#This Row],[Completed Orders]]),0))</f>
        <v/>
      </c>
      <c r="N271" s="164" t="str">
        <f aca="false">IF(Salary_Calculation[[#This Row],[Source Row]]="","",Salary_Calculation[[#This Row],[Missing Orders]]*Missing_Rate)</f>
        <v/>
      </c>
      <c r="O271" s="165" t="str">
        <f aca="false">IF(Salary_Calculation[[#This Row],[Source Row]]="","",MAX(N(Salary_Calculation[[#This Row],[Completed Orders]])-Salary_Calculation[[#This Row],[Rider Target Orders]],0))</f>
        <v/>
      </c>
      <c r="P271" s="164" t="str">
        <f aca="false">IF(Salary_Calculation[[#This Row],[Source Row]]="","",Salary_Calculation[[#This Row],[Extra Orders]]*Extra_Rate)</f>
        <v/>
      </c>
      <c r="Q271" s="164" t="str">
        <f aca="false">IF(Salary_Calculation[[#This Row],[Source Row]]="","",MAX(Salary_Calculation[[#This Row],[Salary Before Other Deductions]],0))</f>
        <v/>
      </c>
      <c r="R271" s="164" t="str">
        <f aca="false">IF(Salary_Calculation[[#This Row],[Source Row]]="","",N(INDEX(Rider_Input[missed_days_penalty],Salary_Calculation[[#This Row],[Source Row]])))</f>
        <v/>
      </c>
      <c r="S271" s="164" t="str">
        <f aca="false">IF(Salary_Calculation[[#This Row],[Source Row]]="","",N(INDEX(Rider_Input[Rider Balance / محفظة المندوب],Salary_Calculation[[#This Row],[Source Row]])))</f>
        <v/>
      </c>
      <c r="T271" s="164" t="str">
        <f aca="false">IF(Salary_Calculation[[#This Row],[Source Row]]="","",N(INDEX(Rider_Input[stacking_deduction / خصم الطلبات المتعددة],Salary_Calculation[[#This Row],[Source Row]])))</f>
        <v/>
      </c>
      <c r="U271" s="164" t="str">
        <f aca="false">IF(Salary_Calculation[[#This Row],[Source Row]]="","",N(INDEX(Rider_Input[Other Deductions],Salary_Calculation[[#This Row],[Source Row]])))</f>
        <v/>
      </c>
      <c r="V271" s="164" t="str">
        <f aca="false">IF(Salary_Calculation[[#This Row],[Source Row]]="","",N(Salary_Calculation[[#This Row],[missed_days_penalty]])+N(Salary_Calculation[[#This Row],[Rider Balance]])+N(Salary_Calculation[[#This Row],[stacking_deduction]])+N(Salary_Calculation[[#This Row],[Other Deductions]]))</f>
        <v/>
      </c>
      <c r="W271" s="167" t="str">
        <f aca="false">IF(Salary_Calculation[[#This Row],[Source Row]]="","",ROUND(MAX(Salary_Calculation[[#This Row],[Gross Salary Before Deductions]]-Salary_Calculation[[#This Row],[Total Deductions]],0),2))</f>
        <v/>
      </c>
      <c r="X271" s="164" t="str">
        <f aca="false">IF(Salary_Calculation[[#This Row],[Source Row]]="","",ROUND(MAX(Salary_Calculation[[#This Row],[Missing-Order Deduction]]-Salary_Calculation[[#This Row],[Earned Salary]],0),2))</f>
        <v/>
      </c>
      <c r="Y27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71" s="163" t="str">
        <f aca="false">IF(Salary_Calculation[[#This Row],[Source Row]]="","",IF(INDEX(Rider_Input[Notes],Salary_Calculation[[#This Row],[Source Row]])="","",INDEX(Rider_Input[Notes],Salary_Calculation[[#This Row],[Source Row]])))</f>
        <v/>
      </c>
      <c r="AA271" s="164" t="str">
        <f aca="false">IF(Salary_Calculation[[#This Row],[Source Row]]="","",Salary_Calculation[[#This Row],[Earned Salary]]-Salary_Calculation[[#This Row],[Missing-Order Deduction]]+Salary_Calculation[[#This Row],[Extra-Order Bonus]])</f>
        <v/>
      </c>
      <c r="AB271" s="164" t="str">
        <f aca="false">IF(Salary_Calculation[[#This Row],[Source Row]]="","",ROUND(Salary_Calculation[[#This Row],[Negative Balance / Amount Due from Rider]]+MAX(Salary_Calculation[[#This Row],[Total Deductions]]-Salary_Calculation[[#This Row],[Gross Salary Before Deductions]],0),2))</f>
        <v/>
      </c>
      <c r="AC27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71" s="164" t="str">
        <f aca="false">IF(Salary_Calculation[[#This Row],[Source Row]]="","",Salary_Calculation[[#This Row],[Rider Target Orders]]*Salary_Calculation[[#This Row],[Base Order Rate]])</f>
        <v/>
      </c>
      <c r="AE271" s="162" t="str">
        <f aca="false">IF(SUMPRODUCT(--(LEN(INDEX(Rider_Input[#Data],ROW()-ROW(Salary_Calculation[#Headers]),0))&gt;0))=0,"",ROW()-ROW(Salary_Calculation[#Headers]))</f>
        <v/>
      </c>
    </row>
    <row r="272" customFormat="false" ht="14.25" hidden="false" customHeight="false" outlineLevel="0" collapsed="false">
      <c r="A272" s="161" t="str">
        <f aca="false">IF(Salary_Calculation[[#This Row],[Source Row]]="","",IF(INDEX(Rider_Input[Salary Month],Salary_Calculation[[#This Row],[Source Row]])="","",INDEX(Rider_Input[Salary Month],Salary_Calculation[[#This Row],[Source Row]])))</f>
        <v/>
      </c>
      <c r="B272" s="162" t="str">
        <f aca="false">IF(Salary_Calculation[[#This Row],[Source Row]]="","",IF(INDEX(Rider_Input[Rider ID],Salary_Calculation[[#This Row],[Source Row]])="","",INDEX(Rider_Input[Rider ID],Salary_Calculation[[#This Row],[Source Row]])))</f>
        <v/>
      </c>
      <c r="C272" s="163" t="str">
        <f aca="false">IF(Salary_Calculation[[#This Row],[Source Row]]="","",IF(INDEX(Rider_Input[Rider Name],Salary_Calculation[[#This Row],[Source Row]])="","",INDEX(Rider_Input[Rider Name],Salary_Calculation[[#This Row],[Source Row]])))</f>
        <v/>
      </c>
      <c r="D272" s="164" t="str">
        <f aca="false">IF(Salary_Calculation[[#This Row],[Source Row]]="","",IF(INDEX(Rider_Input[Basic Payment],Salary_Calculation[[#This Row],[Source Row]])="","",INDEX(Rider_Input[Basic Payment],Salary_Calculation[[#This Row],[Source Row]])))</f>
        <v/>
      </c>
      <c r="E272" s="162" t="str">
        <f aca="false">IF(Salary_Calculation[[#This Row],[Source Row]]="","",IF(INDEX(Rider_Input[Calendar Days in Month],Salary_Calculation[[#This Row],[Source Row]])="","",INDEX(Rider_Input[Calendar Days in Month],Salary_Calculation[[#This Row],[Source Row]])))</f>
        <v/>
      </c>
      <c r="F272" s="162" t="str">
        <f aca="false">IF(Salary_Calculation[[#This Row],[Source Row]]="","",IF(INDEX(Rider_Input[Working Days],Salary_Calculation[[#This Row],[Source Row]])="","",INDEX(Rider_Input[Working Days],Salary_Calculation[[#This Row],[Source Row]])))</f>
        <v/>
      </c>
      <c r="G272" s="165" t="str">
        <f aca="false">IF(Salary_Calculation[[#This Row],[Source Row]]="","",Std_Orders/Std_Days*N(Salary_Calculation[[#This Row],[Calendar Days]]))</f>
        <v/>
      </c>
      <c r="H272" s="165" t="str">
        <f aca="false">IF(Salary_Calculation[[#This Row],[Source Row]]="","",IF(N(Salary_Calculation[[#This Row],[Calendar Days]])&gt;0,Salary_Calculation[[#This Row],[Monthly Target Orders]]/N(Salary_Calculation[[#This Row],[Calendar Days]])*N(Salary_Calculation[[#This Row],[Working Days]]),0))</f>
        <v/>
      </c>
      <c r="I272" s="166" t="str">
        <f aca="false">IF(Salary_Calculation[[#This Row],[Source Row]]="","",IF(INDEX(Rider_Input[Completed Orders],Salary_Calculation[[#This Row],[Source Row]])="","",INDEX(Rider_Input[Completed Orders],Salary_Calculation[[#This Row],[Source Row]])))</f>
        <v/>
      </c>
      <c r="J272" s="165" t="str">
        <f aca="false">IF(Salary_Calculation[[#This Row],[Source Row]]="","",IF(Rate_Method="Fixed rate",Fixed_Rate,IF(N(Salary_Calculation[[#This Row],[Basic Payment]])&gt;0,N(Salary_Calculation[[#This Row],[Basic Payment]])/Std_Orders,0)))</f>
        <v/>
      </c>
      <c r="K272" s="165" t="str">
        <f aca="false">IF(Salary_Calculation[[#This Row],[Source Row]]="","",MAX(MIN(N(Salary_Calculation[[#This Row],[Completed Orders]]),Salary_Calculation[[#This Row],[Rider Target Orders]]),0))</f>
        <v/>
      </c>
      <c r="L272" s="164" t="str">
        <f aca="false">IF(Salary_Calculation[[#This Row],[Source Row]]="","",Salary_Calculation[[#This Row],[Orders Counted at Base Rate]]*Salary_Calculation[[#This Row],[Base Order Rate]])</f>
        <v/>
      </c>
      <c r="M272" s="165" t="str">
        <f aca="false">IF(Salary_Calculation[[#This Row],[Source Row]]="","",MAX(Salary_Calculation[[#This Row],[Rider Target Orders]]-N(Salary_Calculation[[#This Row],[Completed Orders]]),0))</f>
        <v/>
      </c>
      <c r="N272" s="164" t="str">
        <f aca="false">IF(Salary_Calculation[[#This Row],[Source Row]]="","",Salary_Calculation[[#This Row],[Missing Orders]]*Missing_Rate)</f>
        <v/>
      </c>
      <c r="O272" s="165" t="str">
        <f aca="false">IF(Salary_Calculation[[#This Row],[Source Row]]="","",MAX(N(Salary_Calculation[[#This Row],[Completed Orders]])-Salary_Calculation[[#This Row],[Rider Target Orders]],0))</f>
        <v/>
      </c>
      <c r="P272" s="164" t="str">
        <f aca="false">IF(Salary_Calculation[[#This Row],[Source Row]]="","",Salary_Calculation[[#This Row],[Extra Orders]]*Extra_Rate)</f>
        <v/>
      </c>
      <c r="Q272" s="164" t="str">
        <f aca="false">IF(Salary_Calculation[[#This Row],[Source Row]]="","",MAX(Salary_Calculation[[#This Row],[Salary Before Other Deductions]],0))</f>
        <v/>
      </c>
      <c r="R272" s="164" t="str">
        <f aca="false">IF(Salary_Calculation[[#This Row],[Source Row]]="","",N(INDEX(Rider_Input[missed_days_penalty],Salary_Calculation[[#This Row],[Source Row]])))</f>
        <v/>
      </c>
      <c r="S272" s="164" t="str">
        <f aca="false">IF(Salary_Calculation[[#This Row],[Source Row]]="","",N(INDEX(Rider_Input[Rider Balance / محفظة المندوب],Salary_Calculation[[#This Row],[Source Row]])))</f>
        <v/>
      </c>
      <c r="T272" s="164" t="str">
        <f aca="false">IF(Salary_Calculation[[#This Row],[Source Row]]="","",N(INDEX(Rider_Input[stacking_deduction / خصم الطلبات المتعددة],Salary_Calculation[[#This Row],[Source Row]])))</f>
        <v/>
      </c>
      <c r="U272" s="164" t="str">
        <f aca="false">IF(Salary_Calculation[[#This Row],[Source Row]]="","",N(INDEX(Rider_Input[Other Deductions],Salary_Calculation[[#This Row],[Source Row]])))</f>
        <v/>
      </c>
      <c r="V272" s="164" t="str">
        <f aca="false">IF(Salary_Calculation[[#This Row],[Source Row]]="","",N(Salary_Calculation[[#This Row],[missed_days_penalty]])+N(Salary_Calculation[[#This Row],[Rider Balance]])+N(Salary_Calculation[[#This Row],[stacking_deduction]])+N(Salary_Calculation[[#This Row],[Other Deductions]]))</f>
        <v/>
      </c>
      <c r="W272" s="167" t="str">
        <f aca="false">IF(Salary_Calculation[[#This Row],[Source Row]]="","",ROUND(MAX(Salary_Calculation[[#This Row],[Gross Salary Before Deductions]]-Salary_Calculation[[#This Row],[Total Deductions]],0),2))</f>
        <v/>
      </c>
      <c r="X272" s="164" t="str">
        <f aca="false">IF(Salary_Calculation[[#This Row],[Source Row]]="","",ROUND(MAX(Salary_Calculation[[#This Row],[Missing-Order Deduction]]-Salary_Calculation[[#This Row],[Earned Salary]],0),2))</f>
        <v/>
      </c>
      <c r="Y27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72" s="163" t="str">
        <f aca="false">IF(Salary_Calculation[[#This Row],[Source Row]]="","",IF(INDEX(Rider_Input[Notes],Salary_Calculation[[#This Row],[Source Row]])="","",INDEX(Rider_Input[Notes],Salary_Calculation[[#This Row],[Source Row]])))</f>
        <v/>
      </c>
      <c r="AA272" s="164" t="str">
        <f aca="false">IF(Salary_Calculation[[#This Row],[Source Row]]="","",Salary_Calculation[[#This Row],[Earned Salary]]-Salary_Calculation[[#This Row],[Missing-Order Deduction]]+Salary_Calculation[[#This Row],[Extra-Order Bonus]])</f>
        <v/>
      </c>
      <c r="AB272" s="164" t="str">
        <f aca="false">IF(Salary_Calculation[[#This Row],[Source Row]]="","",ROUND(Salary_Calculation[[#This Row],[Negative Balance / Amount Due from Rider]]+MAX(Salary_Calculation[[#This Row],[Total Deductions]]-Salary_Calculation[[#This Row],[Gross Salary Before Deductions]],0),2))</f>
        <v/>
      </c>
      <c r="AC27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72" s="164" t="str">
        <f aca="false">IF(Salary_Calculation[[#This Row],[Source Row]]="","",Salary_Calculation[[#This Row],[Rider Target Orders]]*Salary_Calculation[[#This Row],[Base Order Rate]])</f>
        <v/>
      </c>
      <c r="AE272" s="162" t="str">
        <f aca="false">IF(SUMPRODUCT(--(LEN(INDEX(Rider_Input[#Data],ROW()-ROW(Salary_Calculation[#Headers]),0))&gt;0))=0,"",ROW()-ROW(Salary_Calculation[#Headers]))</f>
        <v/>
      </c>
    </row>
    <row r="273" customFormat="false" ht="14.25" hidden="false" customHeight="false" outlineLevel="0" collapsed="false">
      <c r="A273" s="161" t="str">
        <f aca="false">IF(Salary_Calculation[[#This Row],[Source Row]]="","",IF(INDEX(Rider_Input[Salary Month],Salary_Calculation[[#This Row],[Source Row]])="","",INDEX(Rider_Input[Salary Month],Salary_Calculation[[#This Row],[Source Row]])))</f>
        <v/>
      </c>
      <c r="B273" s="162" t="str">
        <f aca="false">IF(Salary_Calculation[[#This Row],[Source Row]]="","",IF(INDEX(Rider_Input[Rider ID],Salary_Calculation[[#This Row],[Source Row]])="","",INDEX(Rider_Input[Rider ID],Salary_Calculation[[#This Row],[Source Row]])))</f>
        <v/>
      </c>
      <c r="C273" s="163" t="str">
        <f aca="false">IF(Salary_Calculation[[#This Row],[Source Row]]="","",IF(INDEX(Rider_Input[Rider Name],Salary_Calculation[[#This Row],[Source Row]])="","",INDEX(Rider_Input[Rider Name],Salary_Calculation[[#This Row],[Source Row]])))</f>
        <v/>
      </c>
      <c r="D273" s="164" t="str">
        <f aca="false">IF(Salary_Calculation[[#This Row],[Source Row]]="","",IF(INDEX(Rider_Input[Basic Payment],Salary_Calculation[[#This Row],[Source Row]])="","",INDEX(Rider_Input[Basic Payment],Salary_Calculation[[#This Row],[Source Row]])))</f>
        <v/>
      </c>
      <c r="E273" s="162" t="str">
        <f aca="false">IF(Salary_Calculation[[#This Row],[Source Row]]="","",IF(INDEX(Rider_Input[Calendar Days in Month],Salary_Calculation[[#This Row],[Source Row]])="","",INDEX(Rider_Input[Calendar Days in Month],Salary_Calculation[[#This Row],[Source Row]])))</f>
        <v/>
      </c>
      <c r="F273" s="162" t="str">
        <f aca="false">IF(Salary_Calculation[[#This Row],[Source Row]]="","",IF(INDEX(Rider_Input[Working Days],Salary_Calculation[[#This Row],[Source Row]])="","",INDEX(Rider_Input[Working Days],Salary_Calculation[[#This Row],[Source Row]])))</f>
        <v/>
      </c>
      <c r="G273" s="165" t="str">
        <f aca="false">IF(Salary_Calculation[[#This Row],[Source Row]]="","",Std_Orders/Std_Days*N(Salary_Calculation[[#This Row],[Calendar Days]]))</f>
        <v/>
      </c>
      <c r="H273" s="165" t="str">
        <f aca="false">IF(Salary_Calculation[[#This Row],[Source Row]]="","",IF(N(Salary_Calculation[[#This Row],[Calendar Days]])&gt;0,Salary_Calculation[[#This Row],[Monthly Target Orders]]/N(Salary_Calculation[[#This Row],[Calendar Days]])*N(Salary_Calculation[[#This Row],[Working Days]]),0))</f>
        <v/>
      </c>
      <c r="I273" s="166" t="str">
        <f aca="false">IF(Salary_Calculation[[#This Row],[Source Row]]="","",IF(INDEX(Rider_Input[Completed Orders],Salary_Calculation[[#This Row],[Source Row]])="","",INDEX(Rider_Input[Completed Orders],Salary_Calculation[[#This Row],[Source Row]])))</f>
        <v/>
      </c>
      <c r="J273" s="165" t="str">
        <f aca="false">IF(Salary_Calculation[[#This Row],[Source Row]]="","",IF(Rate_Method="Fixed rate",Fixed_Rate,IF(N(Salary_Calculation[[#This Row],[Basic Payment]])&gt;0,N(Salary_Calculation[[#This Row],[Basic Payment]])/Std_Orders,0)))</f>
        <v/>
      </c>
      <c r="K273" s="165" t="str">
        <f aca="false">IF(Salary_Calculation[[#This Row],[Source Row]]="","",MAX(MIN(N(Salary_Calculation[[#This Row],[Completed Orders]]),Salary_Calculation[[#This Row],[Rider Target Orders]]),0))</f>
        <v/>
      </c>
      <c r="L273" s="164" t="str">
        <f aca="false">IF(Salary_Calculation[[#This Row],[Source Row]]="","",Salary_Calculation[[#This Row],[Orders Counted at Base Rate]]*Salary_Calculation[[#This Row],[Base Order Rate]])</f>
        <v/>
      </c>
      <c r="M273" s="165" t="str">
        <f aca="false">IF(Salary_Calculation[[#This Row],[Source Row]]="","",MAX(Salary_Calculation[[#This Row],[Rider Target Orders]]-N(Salary_Calculation[[#This Row],[Completed Orders]]),0))</f>
        <v/>
      </c>
      <c r="N273" s="164" t="str">
        <f aca="false">IF(Salary_Calculation[[#This Row],[Source Row]]="","",Salary_Calculation[[#This Row],[Missing Orders]]*Missing_Rate)</f>
        <v/>
      </c>
      <c r="O273" s="165" t="str">
        <f aca="false">IF(Salary_Calculation[[#This Row],[Source Row]]="","",MAX(N(Salary_Calculation[[#This Row],[Completed Orders]])-Salary_Calculation[[#This Row],[Rider Target Orders]],0))</f>
        <v/>
      </c>
      <c r="P273" s="164" t="str">
        <f aca="false">IF(Salary_Calculation[[#This Row],[Source Row]]="","",Salary_Calculation[[#This Row],[Extra Orders]]*Extra_Rate)</f>
        <v/>
      </c>
      <c r="Q273" s="164" t="str">
        <f aca="false">IF(Salary_Calculation[[#This Row],[Source Row]]="","",MAX(Salary_Calculation[[#This Row],[Salary Before Other Deductions]],0))</f>
        <v/>
      </c>
      <c r="R273" s="164" t="str">
        <f aca="false">IF(Salary_Calculation[[#This Row],[Source Row]]="","",N(INDEX(Rider_Input[missed_days_penalty],Salary_Calculation[[#This Row],[Source Row]])))</f>
        <v/>
      </c>
      <c r="S273" s="164" t="str">
        <f aca="false">IF(Salary_Calculation[[#This Row],[Source Row]]="","",N(INDEX(Rider_Input[Rider Balance / محفظة المندوب],Salary_Calculation[[#This Row],[Source Row]])))</f>
        <v/>
      </c>
      <c r="T273" s="164" t="str">
        <f aca="false">IF(Salary_Calculation[[#This Row],[Source Row]]="","",N(INDEX(Rider_Input[stacking_deduction / خصم الطلبات المتعددة],Salary_Calculation[[#This Row],[Source Row]])))</f>
        <v/>
      </c>
      <c r="U273" s="164" t="str">
        <f aca="false">IF(Salary_Calculation[[#This Row],[Source Row]]="","",N(INDEX(Rider_Input[Other Deductions],Salary_Calculation[[#This Row],[Source Row]])))</f>
        <v/>
      </c>
      <c r="V273" s="164" t="str">
        <f aca="false">IF(Salary_Calculation[[#This Row],[Source Row]]="","",N(Salary_Calculation[[#This Row],[missed_days_penalty]])+N(Salary_Calculation[[#This Row],[Rider Balance]])+N(Salary_Calculation[[#This Row],[stacking_deduction]])+N(Salary_Calculation[[#This Row],[Other Deductions]]))</f>
        <v/>
      </c>
      <c r="W273" s="167" t="str">
        <f aca="false">IF(Salary_Calculation[[#This Row],[Source Row]]="","",ROUND(MAX(Salary_Calculation[[#This Row],[Gross Salary Before Deductions]]-Salary_Calculation[[#This Row],[Total Deductions]],0),2))</f>
        <v/>
      </c>
      <c r="X273" s="164" t="str">
        <f aca="false">IF(Salary_Calculation[[#This Row],[Source Row]]="","",ROUND(MAX(Salary_Calculation[[#This Row],[Missing-Order Deduction]]-Salary_Calculation[[#This Row],[Earned Salary]],0),2))</f>
        <v/>
      </c>
      <c r="Y27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73" s="163" t="str">
        <f aca="false">IF(Salary_Calculation[[#This Row],[Source Row]]="","",IF(INDEX(Rider_Input[Notes],Salary_Calculation[[#This Row],[Source Row]])="","",INDEX(Rider_Input[Notes],Salary_Calculation[[#This Row],[Source Row]])))</f>
        <v/>
      </c>
      <c r="AA273" s="164" t="str">
        <f aca="false">IF(Salary_Calculation[[#This Row],[Source Row]]="","",Salary_Calculation[[#This Row],[Earned Salary]]-Salary_Calculation[[#This Row],[Missing-Order Deduction]]+Salary_Calculation[[#This Row],[Extra-Order Bonus]])</f>
        <v/>
      </c>
      <c r="AB273" s="164" t="str">
        <f aca="false">IF(Salary_Calculation[[#This Row],[Source Row]]="","",ROUND(Salary_Calculation[[#This Row],[Negative Balance / Amount Due from Rider]]+MAX(Salary_Calculation[[#This Row],[Total Deductions]]-Salary_Calculation[[#This Row],[Gross Salary Before Deductions]],0),2))</f>
        <v/>
      </c>
      <c r="AC27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73" s="164" t="str">
        <f aca="false">IF(Salary_Calculation[[#This Row],[Source Row]]="","",Salary_Calculation[[#This Row],[Rider Target Orders]]*Salary_Calculation[[#This Row],[Base Order Rate]])</f>
        <v/>
      </c>
      <c r="AE273" s="162" t="str">
        <f aca="false">IF(SUMPRODUCT(--(LEN(INDEX(Rider_Input[#Data],ROW()-ROW(Salary_Calculation[#Headers]),0))&gt;0))=0,"",ROW()-ROW(Salary_Calculation[#Headers]))</f>
        <v/>
      </c>
    </row>
    <row r="274" customFormat="false" ht="14.25" hidden="false" customHeight="false" outlineLevel="0" collapsed="false">
      <c r="A274" s="161" t="str">
        <f aca="false">IF(Salary_Calculation[[#This Row],[Source Row]]="","",IF(INDEX(Rider_Input[Salary Month],Salary_Calculation[[#This Row],[Source Row]])="","",INDEX(Rider_Input[Salary Month],Salary_Calculation[[#This Row],[Source Row]])))</f>
        <v/>
      </c>
      <c r="B274" s="162" t="str">
        <f aca="false">IF(Salary_Calculation[[#This Row],[Source Row]]="","",IF(INDEX(Rider_Input[Rider ID],Salary_Calculation[[#This Row],[Source Row]])="","",INDEX(Rider_Input[Rider ID],Salary_Calculation[[#This Row],[Source Row]])))</f>
        <v/>
      </c>
      <c r="C274" s="163" t="str">
        <f aca="false">IF(Salary_Calculation[[#This Row],[Source Row]]="","",IF(INDEX(Rider_Input[Rider Name],Salary_Calculation[[#This Row],[Source Row]])="","",INDEX(Rider_Input[Rider Name],Salary_Calculation[[#This Row],[Source Row]])))</f>
        <v/>
      </c>
      <c r="D274" s="164" t="str">
        <f aca="false">IF(Salary_Calculation[[#This Row],[Source Row]]="","",IF(INDEX(Rider_Input[Basic Payment],Salary_Calculation[[#This Row],[Source Row]])="","",INDEX(Rider_Input[Basic Payment],Salary_Calculation[[#This Row],[Source Row]])))</f>
        <v/>
      </c>
      <c r="E274" s="162" t="str">
        <f aca="false">IF(Salary_Calculation[[#This Row],[Source Row]]="","",IF(INDEX(Rider_Input[Calendar Days in Month],Salary_Calculation[[#This Row],[Source Row]])="","",INDEX(Rider_Input[Calendar Days in Month],Salary_Calculation[[#This Row],[Source Row]])))</f>
        <v/>
      </c>
      <c r="F274" s="162" t="str">
        <f aca="false">IF(Salary_Calculation[[#This Row],[Source Row]]="","",IF(INDEX(Rider_Input[Working Days],Salary_Calculation[[#This Row],[Source Row]])="","",INDEX(Rider_Input[Working Days],Salary_Calculation[[#This Row],[Source Row]])))</f>
        <v/>
      </c>
      <c r="G274" s="165" t="str">
        <f aca="false">IF(Salary_Calculation[[#This Row],[Source Row]]="","",Std_Orders/Std_Days*N(Salary_Calculation[[#This Row],[Calendar Days]]))</f>
        <v/>
      </c>
      <c r="H274" s="165" t="str">
        <f aca="false">IF(Salary_Calculation[[#This Row],[Source Row]]="","",IF(N(Salary_Calculation[[#This Row],[Calendar Days]])&gt;0,Salary_Calculation[[#This Row],[Monthly Target Orders]]/N(Salary_Calculation[[#This Row],[Calendar Days]])*N(Salary_Calculation[[#This Row],[Working Days]]),0))</f>
        <v/>
      </c>
      <c r="I274" s="166" t="str">
        <f aca="false">IF(Salary_Calculation[[#This Row],[Source Row]]="","",IF(INDEX(Rider_Input[Completed Orders],Salary_Calculation[[#This Row],[Source Row]])="","",INDEX(Rider_Input[Completed Orders],Salary_Calculation[[#This Row],[Source Row]])))</f>
        <v/>
      </c>
      <c r="J274" s="165" t="str">
        <f aca="false">IF(Salary_Calculation[[#This Row],[Source Row]]="","",IF(Rate_Method="Fixed rate",Fixed_Rate,IF(N(Salary_Calculation[[#This Row],[Basic Payment]])&gt;0,N(Salary_Calculation[[#This Row],[Basic Payment]])/Std_Orders,0)))</f>
        <v/>
      </c>
      <c r="K274" s="165" t="str">
        <f aca="false">IF(Salary_Calculation[[#This Row],[Source Row]]="","",MAX(MIN(N(Salary_Calculation[[#This Row],[Completed Orders]]),Salary_Calculation[[#This Row],[Rider Target Orders]]),0))</f>
        <v/>
      </c>
      <c r="L274" s="164" t="str">
        <f aca="false">IF(Salary_Calculation[[#This Row],[Source Row]]="","",Salary_Calculation[[#This Row],[Orders Counted at Base Rate]]*Salary_Calculation[[#This Row],[Base Order Rate]])</f>
        <v/>
      </c>
      <c r="M274" s="165" t="str">
        <f aca="false">IF(Salary_Calculation[[#This Row],[Source Row]]="","",MAX(Salary_Calculation[[#This Row],[Rider Target Orders]]-N(Salary_Calculation[[#This Row],[Completed Orders]]),0))</f>
        <v/>
      </c>
      <c r="N274" s="164" t="str">
        <f aca="false">IF(Salary_Calculation[[#This Row],[Source Row]]="","",Salary_Calculation[[#This Row],[Missing Orders]]*Missing_Rate)</f>
        <v/>
      </c>
      <c r="O274" s="165" t="str">
        <f aca="false">IF(Salary_Calculation[[#This Row],[Source Row]]="","",MAX(N(Salary_Calculation[[#This Row],[Completed Orders]])-Salary_Calculation[[#This Row],[Rider Target Orders]],0))</f>
        <v/>
      </c>
      <c r="P274" s="164" t="str">
        <f aca="false">IF(Salary_Calculation[[#This Row],[Source Row]]="","",Salary_Calculation[[#This Row],[Extra Orders]]*Extra_Rate)</f>
        <v/>
      </c>
      <c r="Q274" s="164" t="str">
        <f aca="false">IF(Salary_Calculation[[#This Row],[Source Row]]="","",MAX(Salary_Calculation[[#This Row],[Salary Before Other Deductions]],0))</f>
        <v/>
      </c>
      <c r="R274" s="164" t="str">
        <f aca="false">IF(Salary_Calculation[[#This Row],[Source Row]]="","",N(INDEX(Rider_Input[missed_days_penalty],Salary_Calculation[[#This Row],[Source Row]])))</f>
        <v/>
      </c>
      <c r="S274" s="164" t="str">
        <f aca="false">IF(Salary_Calculation[[#This Row],[Source Row]]="","",N(INDEX(Rider_Input[Rider Balance / محفظة المندوب],Salary_Calculation[[#This Row],[Source Row]])))</f>
        <v/>
      </c>
      <c r="T274" s="164" t="str">
        <f aca="false">IF(Salary_Calculation[[#This Row],[Source Row]]="","",N(INDEX(Rider_Input[stacking_deduction / خصم الطلبات المتعددة],Salary_Calculation[[#This Row],[Source Row]])))</f>
        <v/>
      </c>
      <c r="U274" s="164" t="str">
        <f aca="false">IF(Salary_Calculation[[#This Row],[Source Row]]="","",N(INDEX(Rider_Input[Other Deductions],Salary_Calculation[[#This Row],[Source Row]])))</f>
        <v/>
      </c>
      <c r="V274" s="164" t="str">
        <f aca="false">IF(Salary_Calculation[[#This Row],[Source Row]]="","",N(Salary_Calculation[[#This Row],[missed_days_penalty]])+N(Salary_Calculation[[#This Row],[Rider Balance]])+N(Salary_Calculation[[#This Row],[stacking_deduction]])+N(Salary_Calculation[[#This Row],[Other Deductions]]))</f>
        <v/>
      </c>
      <c r="W274" s="167" t="str">
        <f aca="false">IF(Salary_Calculation[[#This Row],[Source Row]]="","",ROUND(MAX(Salary_Calculation[[#This Row],[Gross Salary Before Deductions]]-Salary_Calculation[[#This Row],[Total Deductions]],0),2))</f>
        <v/>
      </c>
      <c r="X274" s="164" t="str">
        <f aca="false">IF(Salary_Calculation[[#This Row],[Source Row]]="","",ROUND(MAX(Salary_Calculation[[#This Row],[Missing-Order Deduction]]-Salary_Calculation[[#This Row],[Earned Salary]],0),2))</f>
        <v/>
      </c>
      <c r="Y27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74" s="163" t="str">
        <f aca="false">IF(Salary_Calculation[[#This Row],[Source Row]]="","",IF(INDEX(Rider_Input[Notes],Salary_Calculation[[#This Row],[Source Row]])="","",INDEX(Rider_Input[Notes],Salary_Calculation[[#This Row],[Source Row]])))</f>
        <v/>
      </c>
      <c r="AA274" s="164" t="str">
        <f aca="false">IF(Salary_Calculation[[#This Row],[Source Row]]="","",Salary_Calculation[[#This Row],[Earned Salary]]-Salary_Calculation[[#This Row],[Missing-Order Deduction]]+Salary_Calculation[[#This Row],[Extra-Order Bonus]])</f>
        <v/>
      </c>
      <c r="AB274" s="164" t="str">
        <f aca="false">IF(Salary_Calculation[[#This Row],[Source Row]]="","",ROUND(Salary_Calculation[[#This Row],[Negative Balance / Amount Due from Rider]]+MAX(Salary_Calculation[[#This Row],[Total Deductions]]-Salary_Calculation[[#This Row],[Gross Salary Before Deductions]],0),2))</f>
        <v/>
      </c>
      <c r="AC27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74" s="164" t="str">
        <f aca="false">IF(Salary_Calculation[[#This Row],[Source Row]]="","",Salary_Calculation[[#This Row],[Rider Target Orders]]*Salary_Calculation[[#This Row],[Base Order Rate]])</f>
        <v/>
      </c>
      <c r="AE274" s="162" t="str">
        <f aca="false">IF(SUMPRODUCT(--(LEN(INDEX(Rider_Input[#Data],ROW()-ROW(Salary_Calculation[#Headers]),0))&gt;0))=0,"",ROW()-ROW(Salary_Calculation[#Headers]))</f>
        <v/>
      </c>
    </row>
    <row r="275" customFormat="false" ht="14.25" hidden="false" customHeight="false" outlineLevel="0" collapsed="false">
      <c r="A275" s="161" t="str">
        <f aca="false">IF(Salary_Calculation[[#This Row],[Source Row]]="","",IF(INDEX(Rider_Input[Salary Month],Salary_Calculation[[#This Row],[Source Row]])="","",INDEX(Rider_Input[Salary Month],Salary_Calculation[[#This Row],[Source Row]])))</f>
        <v/>
      </c>
      <c r="B275" s="162" t="str">
        <f aca="false">IF(Salary_Calculation[[#This Row],[Source Row]]="","",IF(INDEX(Rider_Input[Rider ID],Salary_Calculation[[#This Row],[Source Row]])="","",INDEX(Rider_Input[Rider ID],Salary_Calculation[[#This Row],[Source Row]])))</f>
        <v/>
      </c>
      <c r="C275" s="163" t="str">
        <f aca="false">IF(Salary_Calculation[[#This Row],[Source Row]]="","",IF(INDEX(Rider_Input[Rider Name],Salary_Calculation[[#This Row],[Source Row]])="","",INDEX(Rider_Input[Rider Name],Salary_Calculation[[#This Row],[Source Row]])))</f>
        <v/>
      </c>
      <c r="D275" s="164" t="str">
        <f aca="false">IF(Salary_Calculation[[#This Row],[Source Row]]="","",IF(INDEX(Rider_Input[Basic Payment],Salary_Calculation[[#This Row],[Source Row]])="","",INDEX(Rider_Input[Basic Payment],Salary_Calculation[[#This Row],[Source Row]])))</f>
        <v/>
      </c>
      <c r="E275" s="162" t="str">
        <f aca="false">IF(Salary_Calculation[[#This Row],[Source Row]]="","",IF(INDEX(Rider_Input[Calendar Days in Month],Salary_Calculation[[#This Row],[Source Row]])="","",INDEX(Rider_Input[Calendar Days in Month],Salary_Calculation[[#This Row],[Source Row]])))</f>
        <v/>
      </c>
      <c r="F275" s="162" t="str">
        <f aca="false">IF(Salary_Calculation[[#This Row],[Source Row]]="","",IF(INDEX(Rider_Input[Working Days],Salary_Calculation[[#This Row],[Source Row]])="","",INDEX(Rider_Input[Working Days],Salary_Calculation[[#This Row],[Source Row]])))</f>
        <v/>
      </c>
      <c r="G275" s="165" t="str">
        <f aca="false">IF(Salary_Calculation[[#This Row],[Source Row]]="","",Std_Orders/Std_Days*N(Salary_Calculation[[#This Row],[Calendar Days]]))</f>
        <v/>
      </c>
      <c r="H275" s="165" t="str">
        <f aca="false">IF(Salary_Calculation[[#This Row],[Source Row]]="","",IF(N(Salary_Calculation[[#This Row],[Calendar Days]])&gt;0,Salary_Calculation[[#This Row],[Monthly Target Orders]]/N(Salary_Calculation[[#This Row],[Calendar Days]])*N(Salary_Calculation[[#This Row],[Working Days]]),0))</f>
        <v/>
      </c>
      <c r="I275" s="166" t="str">
        <f aca="false">IF(Salary_Calculation[[#This Row],[Source Row]]="","",IF(INDEX(Rider_Input[Completed Orders],Salary_Calculation[[#This Row],[Source Row]])="","",INDEX(Rider_Input[Completed Orders],Salary_Calculation[[#This Row],[Source Row]])))</f>
        <v/>
      </c>
      <c r="J275" s="165" t="str">
        <f aca="false">IF(Salary_Calculation[[#This Row],[Source Row]]="","",IF(Rate_Method="Fixed rate",Fixed_Rate,IF(N(Salary_Calculation[[#This Row],[Basic Payment]])&gt;0,N(Salary_Calculation[[#This Row],[Basic Payment]])/Std_Orders,0)))</f>
        <v/>
      </c>
      <c r="K275" s="165" t="str">
        <f aca="false">IF(Salary_Calculation[[#This Row],[Source Row]]="","",MAX(MIN(N(Salary_Calculation[[#This Row],[Completed Orders]]),Salary_Calculation[[#This Row],[Rider Target Orders]]),0))</f>
        <v/>
      </c>
      <c r="L275" s="164" t="str">
        <f aca="false">IF(Salary_Calculation[[#This Row],[Source Row]]="","",Salary_Calculation[[#This Row],[Orders Counted at Base Rate]]*Salary_Calculation[[#This Row],[Base Order Rate]])</f>
        <v/>
      </c>
      <c r="M275" s="165" t="str">
        <f aca="false">IF(Salary_Calculation[[#This Row],[Source Row]]="","",MAX(Salary_Calculation[[#This Row],[Rider Target Orders]]-N(Salary_Calculation[[#This Row],[Completed Orders]]),0))</f>
        <v/>
      </c>
      <c r="N275" s="164" t="str">
        <f aca="false">IF(Salary_Calculation[[#This Row],[Source Row]]="","",Salary_Calculation[[#This Row],[Missing Orders]]*Missing_Rate)</f>
        <v/>
      </c>
      <c r="O275" s="165" t="str">
        <f aca="false">IF(Salary_Calculation[[#This Row],[Source Row]]="","",MAX(N(Salary_Calculation[[#This Row],[Completed Orders]])-Salary_Calculation[[#This Row],[Rider Target Orders]],0))</f>
        <v/>
      </c>
      <c r="P275" s="164" t="str">
        <f aca="false">IF(Salary_Calculation[[#This Row],[Source Row]]="","",Salary_Calculation[[#This Row],[Extra Orders]]*Extra_Rate)</f>
        <v/>
      </c>
      <c r="Q275" s="164" t="str">
        <f aca="false">IF(Salary_Calculation[[#This Row],[Source Row]]="","",MAX(Salary_Calculation[[#This Row],[Salary Before Other Deductions]],0))</f>
        <v/>
      </c>
      <c r="R275" s="164" t="str">
        <f aca="false">IF(Salary_Calculation[[#This Row],[Source Row]]="","",N(INDEX(Rider_Input[missed_days_penalty],Salary_Calculation[[#This Row],[Source Row]])))</f>
        <v/>
      </c>
      <c r="S275" s="164" t="str">
        <f aca="false">IF(Salary_Calculation[[#This Row],[Source Row]]="","",N(INDEX(Rider_Input[Rider Balance / محفظة المندوب],Salary_Calculation[[#This Row],[Source Row]])))</f>
        <v/>
      </c>
      <c r="T275" s="164" t="str">
        <f aca="false">IF(Salary_Calculation[[#This Row],[Source Row]]="","",N(INDEX(Rider_Input[stacking_deduction / خصم الطلبات المتعددة],Salary_Calculation[[#This Row],[Source Row]])))</f>
        <v/>
      </c>
      <c r="U275" s="164" t="str">
        <f aca="false">IF(Salary_Calculation[[#This Row],[Source Row]]="","",N(INDEX(Rider_Input[Other Deductions],Salary_Calculation[[#This Row],[Source Row]])))</f>
        <v/>
      </c>
      <c r="V275" s="164" t="str">
        <f aca="false">IF(Salary_Calculation[[#This Row],[Source Row]]="","",N(Salary_Calculation[[#This Row],[missed_days_penalty]])+N(Salary_Calculation[[#This Row],[Rider Balance]])+N(Salary_Calculation[[#This Row],[stacking_deduction]])+N(Salary_Calculation[[#This Row],[Other Deductions]]))</f>
        <v/>
      </c>
      <c r="W275" s="167" t="str">
        <f aca="false">IF(Salary_Calculation[[#This Row],[Source Row]]="","",ROUND(MAX(Salary_Calculation[[#This Row],[Gross Salary Before Deductions]]-Salary_Calculation[[#This Row],[Total Deductions]],0),2))</f>
        <v/>
      </c>
      <c r="X275" s="164" t="str">
        <f aca="false">IF(Salary_Calculation[[#This Row],[Source Row]]="","",ROUND(MAX(Salary_Calculation[[#This Row],[Missing-Order Deduction]]-Salary_Calculation[[#This Row],[Earned Salary]],0),2))</f>
        <v/>
      </c>
      <c r="Y27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75" s="163" t="str">
        <f aca="false">IF(Salary_Calculation[[#This Row],[Source Row]]="","",IF(INDEX(Rider_Input[Notes],Salary_Calculation[[#This Row],[Source Row]])="","",INDEX(Rider_Input[Notes],Salary_Calculation[[#This Row],[Source Row]])))</f>
        <v/>
      </c>
      <c r="AA275" s="164" t="str">
        <f aca="false">IF(Salary_Calculation[[#This Row],[Source Row]]="","",Salary_Calculation[[#This Row],[Earned Salary]]-Salary_Calculation[[#This Row],[Missing-Order Deduction]]+Salary_Calculation[[#This Row],[Extra-Order Bonus]])</f>
        <v/>
      </c>
      <c r="AB275" s="164" t="str">
        <f aca="false">IF(Salary_Calculation[[#This Row],[Source Row]]="","",ROUND(Salary_Calculation[[#This Row],[Negative Balance / Amount Due from Rider]]+MAX(Salary_Calculation[[#This Row],[Total Deductions]]-Salary_Calculation[[#This Row],[Gross Salary Before Deductions]],0),2))</f>
        <v/>
      </c>
      <c r="AC27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75" s="164" t="str">
        <f aca="false">IF(Salary_Calculation[[#This Row],[Source Row]]="","",Salary_Calculation[[#This Row],[Rider Target Orders]]*Salary_Calculation[[#This Row],[Base Order Rate]])</f>
        <v/>
      </c>
      <c r="AE275" s="162" t="str">
        <f aca="false">IF(SUMPRODUCT(--(LEN(INDEX(Rider_Input[#Data],ROW()-ROW(Salary_Calculation[#Headers]),0))&gt;0))=0,"",ROW()-ROW(Salary_Calculation[#Headers]))</f>
        <v/>
      </c>
    </row>
    <row r="276" customFormat="false" ht="14.25" hidden="false" customHeight="false" outlineLevel="0" collapsed="false">
      <c r="A276" s="161" t="str">
        <f aca="false">IF(Salary_Calculation[[#This Row],[Source Row]]="","",IF(INDEX(Rider_Input[Salary Month],Salary_Calculation[[#This Row],[Source Row]])="","",INDEX(Rider_Input[Salary Month],Salary_Calculation[[#This Row],[Source Row]])))</f>
        <v/>
      </c>
      <c r="B276" s="162" t="str">
        <f aca="false">IF(Salary_Calculation[[#This Row],[Source Row]]="","",IF(INDEX(Rider_Input[Rider ID],Salary_Calculation[[#This Row],[Source Row]])="","",INDEX(Rider_Input[Rider ID],Salary_Calculation[[#This Row],[Source Row]])))</f>
        <v/>
      </c>
      <c r="C276" s="163" t="str">
        <f aca="false">IF(Salary_Calculation[[#This Row],[Source Row]]="","",IF(INDEX(Rider_Input[Rider Name],Salary_Calculation[[#This Row],[Source Row]])="","",INDEX(Rider_Input[Rider Name],Salary_Calculation[[#This Row],[Source Row]])))</f>
        <v/>
      </c>
      <c r="D276" s="164" t="str">
        <f aca="false">IF(Salary_Calculation[[#This Row],[Source Row]]="","",IF(INDEX(Rider_Input[Basic Payment],Salary_Calculation[[#This Row],[Source Row]])="","",INDEX(Rider_Input[Basic Payment],Salary_Calculation[[#This Row],[Source Row]])))</f>
        <v/>
      </c>
      <c r="E276" s="162" t="str">
        <f aca="false">IF(Salary_Calculation[[#This Row],[Source Row]]="","",IF(INDEX(Rider_Input[Calendar Days in Month],Salary_Calculation[[#This Row],[Source Row]])="","",INDEX(Rider_Input[Calendar Days in Month],Salary_Calculation[[#This Row],[Source Row]])))</f>
        <v/>
      </c>
      <c r="F276" s="162" t="str">
        <f aca="false">IF(Salary_Calculation[[#This Row],[Source Row]]="","",IF(INDEX(Rider_Input[Working Days],Salary_Calculation[[#This Row],[Source Row]])="","",INDEX(Rider_Input[Working Days],Salary_Calculation[[#This Row],[Source Row]])))</f>
        <v/>
      </c>
      <c r="G276" s="165" t="str">
        <f aca="false">IF(Salary_Calculation[[#This Row],[Source Row]]="","",Std_Orders/Std_Days*N(Salary_Calculation[[#This Row],[Calendar Days]]))</f>
        <v/>
      </c>
      <c r="H276" s="165" t="str">
        <f aca="false">IF(Salary_Calculation[[#This Row],[Source Row]]="","",IF(N(Salary_Calculation[[#This Row],[Calendar Days]])&gt;0,Salary_Calculation[[#This Row],[Monthly Target Orders]]/N(Salary_Calculation[[#This Row],[Calendar Days]])*N(Salary_Calculation[[#This Row],[Working Days]]),0))</f>
        <v/>
      </c>
      <c r="I276" s="166" t="str">
        <f aca="false">IF(Salary_Calculation[[#This Row],[Source Row]]="","",IF(INDEX(Rider_Input[Completed Orders],Salary_Calculation[[#This Row],[Source Row]])="","",INDEX(Rider_Input[Completed Orders],Salary_Calculation[[#This Row],[Source Row]])))</f>
        <v/>
      </c>
      <c r="J276" s="165" t="str">
        <f aca="false">IF(Salary_Calculation[[#This Row],[Source Row]]="","",IF(Rate_Method="Fixed rate",Fixed_Rate,IF(N(Salary_Calculation[[#This Row],[Basic Payment]])&gt;0,N(Salary_Calculation[[#This Row],[Basic Payment]])/Std_Orders,0)))</f>
        <v/>
      </c>
      <c r="K276" s="165" t="str">
        <f aca="false">IF(Salary_Calculation[[#This Row],[Source Row]]="","",MAX(MIN(N(Salary_Calculation[[#This Row],[Completed Orders]]),Salary_Calculation[[#This Row],[Rider Target Orders]]),0))</f>
        <v/>
      </c>
      <c r="L276" s="164" t="str">
        <f aca="false">IF(Salary_Calculation[[#This Row],[Source Row]]="","",Salary_Calculation[[#This Row],[Orders Counted at Base Rate]]*Salary_Calculation[[#This Row],[Base Order Rate]])</f>
        <v/>
      </c>
      <c r="M276" s="165" t="str">
        <f aca="false">IF(Salary_Calculation[[#This Row],[Source Row]]="","",MAX(Salary_Calculation[[#This Row],[Rider Target Orders]]-N(Salary_Calculation[[#This Row],[Completed Orders]]),0))</f>
        <v/>
      </c>
      <c r="N276" s="164" t="str">
        <f aca="false">IF(Salary_Calculation[[#This Row],[Source Row]]="","",Salary_Calculation[[#This Row],[Missing Orders]]*Missing_Rate)</f>
        <v/>
      </c>
      <c r="O276" s="165" t="str">
        <f aca="false">IF(Salary_Calculation[[#This Row],[Source Row]]="","",MAX(N(Salary_Calculation[[#This Row],[Completed Orders]])-Salary_Calculation[[#This Row],[Rider Target Orders]],0))</f>
        <v/>
      </c>
      <c r="P276" s="164" t="str">
        <f aca="false">IF(Salary_Calculation[[#This Row],[Source Row]]="","",Salary_Calculation[[#This Row],[Extra Orders]]*Extra_Rate)</f>
        <v/>
      </c>
      <c r="Q276" s="164" t="str">
        <f aca="false">IF(Salary_Calculation[[#This Row],[Source Row]]="","",MAX(Salary_Calculation[[#This Row],[Salary Before Other Deductions]],0))</f>
        <v/>
      </c>
      <c r="R276" s="164" t="str">
        <f aca="false">IF(Salary_Calculation[[#This Row],[Source Row]]="","",N(INDEX(Rider_Input[missed_days_penalty],Salary_Calculation[[#This Row],[Source Row]])))</f>
        <v/>
      </c>
      <c r="S276" s="164" t="str">
        <f aca="false">IF(Salary_Calculation[[#This Row],[Source Row]]="","",N(INDEX(Rider_Input[Rider Balance / محفظة المندوب],Salary_Calculation[[#This Row],[Source Row]])))</f>
        <v/>
      </c>
      <c r="T276" s="164" t="str">
        <f aca="false">IF(Salary_Calculation[[#This Row],[Source Row]]="","",N(INDEX(Rider_Input[stacking_deduction / خصم الطلبات المتعددة],Salary_Calculation[[#This Row],[Source Row]])))</f>
        <v/>
      </c>
      <c r="U276" s="164" t="str">
        <f aca="false">IF(Salary_Calculation[[#This Row],[Source Row]]="","",N(INDEX(Rider_Input[Other Deductions],Salary_Calculation[[#This Row],[Source Row]])))</f>
        <v/>
      </c>
      <c r="V276" s="164" t="str">
        <f aca="false">IF(Salary_Calculation[[#This Row],[Source Row]]="","",N(Salary_Calculation[[#This Row],[missed_days_penalty]])+N(Salary_Calculation[[#This Row],[Rider Balance]])+N(Salary_Calculation[[#This Row],[stacking_deduction]])+N(Salary_Calculation[[#This Row],[Other Deductions]]))</f>
        <v/>
      </c>
      <c r="W276" s="167" t="str">
        <f aca="false">IF(Salary_Calculation[[#This Row],[Source Row]]="","",ROUND(MAX(Salary_Calculation[[#This Row],[Gross Salary Before Deductions]]-Salary_Calculation[[#This Row],[Total Deductions]],0),2))</f>
        <v/>
      </c>
      <c r="X276" s="164" t="str">
        <f aca="false">IF(Salary_Calculation[[#This Row],[Source Row]]="","",ROUND(MAX(Salary_Calculation[[#This Row],[Missing-Order Deduction]]-Salary_Calculation[[#This Row],[Earned Salary]],0),2))</f>
        <v/>
      </c>
      <c r="Y27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76" s="163" t="str">
        <f aca="false">IF(Salary_Calculation[[#This Row],[Source Row]]="","",IF(INDEX(Rider_Input[Notes],Salary_Calculation[[#This Row],[Source Row]])="","",INDEX(Rider_Input[Notes],Salary_Calculation[[#This Row],[Source Row]])))</f>
        <v/>
      </c>
      <c r="AA276" s="164" t="str">
        <f aca="false">IF(Salary_Calculation[[#This Row],[Source Row]]="","",Salary_Calculation[[#This Row],[Earned Salary]]-Salary_Calculation[[#This Row],[Missing-Order Deduction]]+Salary_Calculation[[#This Row],[Extra-Order Bonus]])</f>
        <v/>
      </c>
      <c r="AB276" s="164" t="str">
        <f aca="false">IF(Salary_Calculation[[#This Row],[Source Row]]="","",ROUND(Salary_Calculation[[#This Row],[Negative Balance / Amount Due from Rider]]+MAX(Salary_Calculation[[#This Row],[Total Deductions]]-Salary_Calculation[[#This Row],[Gross Salary Before Deductions]],0),2))</f>
        <v/>
      </c>
      <c r="AC27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76" s="164" t="str">
        <f aca="false">IF(Salary_Calculation[[#This Row],[Source Row]]="","",Salary_Calculation[[#This Row],[Rider Target Orders]]*Salary_Calculation[[#This Row],[Base Order Rate]])</f>
        <v/>
      </c>
      <c r="AE276" s="162" t="str">
        <f aca="false">IF(SUMPRODUCT(--(LEN(INDEX(Rider_Input[#Data],ROW()-ROW(Salary_Calculation[#Headers]),0))&gt;0))=0,"",ROW()-ROW(Salary_Calculation[#Headers]))</f>
        <v/>
      </c>
    </row>
    <row r="277" customFormat="false" ht="14.25" hidden="false" customHeight="false" outlineLevel="0" collapsed="false">
      <c r="A277" s="161" t="str">
        <f aca="false">IF(Salary_Calculation[[#This Row],[Source Row]]="","",IF(INDEX(Rider_Input[Salary Month],Salary_Calculation[[#This Row],[Source Row]])="","",INDEX(Rider_Input[Salary Month],Salary_Calculation[[#This Row],[Source Row]])))</f>
        <v/>
      </c>
      <c r="B277" s="162" t="str">
        <f aca="false">IF(Salary_Calculation[[#This Row],[Source Row]]="","",IF(INDEX(Rider_Input[Rider ID],Salary_Calculation[[#This Row],[Source Row]])="","",INDEX(Rider_Input[Rider ID],Salary_Calculation[[#This Row],[Source Row]])))</f>
        <v/>
      </c>
      <c r="C277" s="163" t="str">
        <f aca="false">IF(Salary_Calculation[[#This Row],[Source Row]]="","",IF(INDEX(Rider_Input[Rider Name],Salary_Calculation[[#This Row],[Source Row]])="","",INDEX(Rider_Input[Rider Name],Salary_Calculation[[#This Row],[Source Row]])))</f>
        <v/>
      </c>
      <c r="D277" s="164" t="str">
        <f aca="false">IF(Salary_Calculation[[#This Row],[Source Row]]="","",IF(INDEX(Rider_Input[Basic Payment],Salary_Calculation[[#This Row],[Source Row]])="","",INDEX(Rider_Input[Basic Payment],Salary_Calculation[[#This Row],[Source Row]])))</f>
        <v/>
      </c>
      <c r="E277" s="162" t="str">
        <f aca="false">IF(Salary_Calculation[[#This Row],[Source Row]]="","",IF(INDEX(Rider_Input[Calendar Days in Month],Salary_Calculation[[#This Row],[Source Row]])="","",INDEX(Rider_Input[Calendar Days in Month],Salary_Calculation[[#This Row],[Source Row]])))</f>
        <v/>
      </c>
      <c r="F277" s="162" t="str">
        <f aca="false">IF(Salary_Calculation[[#This Row],[Source Row]]="","",IF(INDEX(Rider_Input[Working Days],Salary_Calculation[[#This Row],[Source Row]])="","",INDEX(Rider_Input[Working Days],Salary_Calculation[[#This Row],[Source Row]])))</f>
        <v/>
      </c>
      <c r="G277" s="165" t="str">
        <f aca="false">IF(Salary_Calculation[[#This Row],[Source Row]]="","",Std_Orders/Std_Days*N(Salary_Calculation[[#This Row],[Calendar Days]]))</f>
        <v/>
      </c>
      <c r="H277" s="165" t="str">
        <f aca="false">IF(Salary_Calculation[[#This Row],[Source Row]]="","",IF(N(Salary_Calculation[[#This Row],[Calendar Days]])&gt;0,Salary_Calculation[[#This Row],[Monthly Target Orders]]/N(Salary_Calculation[[#This Row],[Calendar Days]])*N(Salary_Calculation[[#This Row],[Working Days]]),0))</f>
        <v/>
      </c>
      <c r="I277" s="166" t="str">
        <f aca="false">IF(Salary_Calculation[[#This Row],[Source Row]]="","",IF(INDEX(Rider_Input[Completed Orders],Salary_Calculation[[#This Row],[Source Row]])="","",INDEX(Rider_Input[Completed Orders],Salary_Calculation[[#This Row],[Source Row]])))</f>
        <v/>
      </c>
      <c r="J277" s="165" t="str">
        <f aca="false">IF(Salary_Calculation[[#This Row],[Source Row]]="","",IF(Rate_Method="Fixed rate",Fixed_Rate,IF(N(Salary_Calculation[[#This Row],[Basic Payment]])&gt;0,N(Salary_Calculation[[#This Row],[Basic Payment]])/Std_Orders,0)))</f>
        <v/>
      </c>
      <c r="K277" s="165" t="str">
        <f aca="false">IF(Salary_Calculation[[#This Row],[Source Row]]="","",MAX(MIN(N(Salary_Calculation[[#This Row],[Completed Orders]]),Salary_Calculation[[#This Row],[Rider Target Orders]]),0))</f>
        <v/>
      </c>
      <c r="L277" s="164" t="str">
        <f aca="false">IF(Salary_Calculation[[#This Row],[Source Row]]="","",Salary_Calculation[[#This Row],[Orders Counted at Base Rate]]*Salary_Calculation[[#This Row],[Base Order Rate]])</f>
        <v/>
      </c>
      <c r="M277" s="165" t="str">
        <f aca="false">IF(Salary_Calculation[[#This Row],[Source Row]]="","",MAX(Salary_Calculation[[#This Row],[Rider Target Orders]]-N(Salary_Calculation[[#This Row],[Completed Orders]]),0))</f>
        <v/>
      </c>
      <c r="N277" s="164" t="str">
        <f aca="false">IF(Salary_Calculation[[#This Row],[Source Row]]="","",Salary_Calculation[[#This Row],[Missing Orders]]*Missing_Rate)</f>
        <v/>
      </c>
      <c r="O277" s="165" t="str">
        <f aca="false">IF(Salary_Calculation[[#This Row],[Source Row]]="","",MAX(N(Salary_Calculation[[#This Row],[Completed Orders]])-Salary_Calculation[[#This Row],[Rider Target Orders]],0))</f>
        <v/>
      </c>
      <c r="P277" s="164" t="str">
        <f aca="false">IF(Salary_Calculation[[#This Row],[Source Row]]="","",Salary_Calculation[[#This Row],[Extra Orders]]*Extra_Rate)</f>
        <v/>
      </c>
      <c r="Q277" s="164" t="str">
        <f aca="false">IF(Salary_Calculation[[#This Row],[Source Row]]="","",MAX(Salary_Calculation[[#This Row],[Salary Before Other Deductions]],0))</f>
        <v/>
      </c>
      <c r="R277" s="164" t="str">
        <f aca="false">IF(Salary_Calculation[[#This Row],[Source Row]]="","",N(INDEX(Rider_Input[missed_days_penalty],Salary_Calculation[[#This Row],[Source Row]])))</f>
        <v/>
      </c>
      <c r="S277" s="164" t="str">
        <f aca="false">IF(Salary_Calculation[[#This Row],[Source Row]]="","",N(INDEX(Rider_Input[Rider Balance / محفظة المندوب],Salary_Calculation[[#This Row],[Source Row]])))</f>
        <v/>
      </c>
      <c r="T277" s="164" t="str">
        <f aca="false">IF(Salary_Calculation[[#This Row],[Source Row]]="","",N(INDEX(Rider_Input[stacking_deduction / خصم الطلبات المتعددة],Salary_Calculation[[#This Row],[Source Row]])))</f>
        <v/>
      </c>
      <c r="U277" s="164" t="str">
        <f aca="false">IF(Salary_Calculation[[#This Row],[Source Row]]="","",N(INDEX(Rider_Input[Other Deductions],Salary_Calculation[[#This Row],[Source Row]])))</f>
        <v/>
      </c>
      <c r="V277" s="164" t="str">
        <f aca="false">IF(Salary_Calculation[[#This Row],[Source Row]]="","",N(Salary_Calculation[[#This Row],[missed_days_penalty]])+N(Salary_Calculation[[#This Row],[Rider Balance]])+N(Salary_Calculation[[#This Row],[stacking_deduction]])+N(Salary_Calculation[[#This Row],[Other Deductions]]))</f>
        <v/>
      </c>
      <c r="W277" s="167" t="str">
        <f aca="false">IF(Salary_Calculation[[#This Row],[Source Row]]="","",ROUND(MAX(Salary_Calculation[[#This Row],[Gross Salary Before Deductions]]-Salary_Calculation[[#This Row],[Total Deductions]],0),2))</f>
        <v/>
      </c>
      <c r="X277" s="164" t="str">
        <f aca="false">IF(Salary_Calculation[[#This Row],[Source Row]]="","",ROUND(MAX(Salary_Calculation[[#This Row],[Missing-Order Deduction]]-Salary_Calculation[[#This Row],[Earned Salary]],0),2))</f>
        <v/>
      </c>
      <c r="Y27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77" s="163" t="str">
        <f aca="false">IF(Salary_Calculation[[#This Row],[Source Row]]="","",IF(INDEX(Rider_Input[Notes],Salary_Calculation[[#This Row],[Source Row]])="","",INDEX(Rider_Input[Notes],Salary_Calculation[[#This Row],[Source Row]])))</f>
        <v/>
      </c>
      <c r="AA277" s="164" t="str">
        <f aca="false">IF(Salary_Calculation[[#This Row],[Source Row]]="","",Salary_Calculation[[#This Row],[Earned Salary]]-Salary_Calculation[[#This Row],[Missing-Order Deduction]]+Salary_Calculation[[#This Row],[Extra-Order Bonus]])</f>
        <v/>
      </c>
      <c r="AB277" s="164" t="str">
        <f aca="false">IF(Salary_Calculation[[#This Row],[Source Row]]="","",ROUND(Salary_Calculation[[#This Row],[Negative Balance / Amount Due from Rider]]+MAX(Salary_Calculation[[#This Row],[Total Deductions]]-Salary_Calculation[[#This Row],[Gross Salary Before Deductions]],0),2))</f>
        <v/>
      </c>
      <c r="AC27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77" s="164" t="str">
        <f aca="false">IF(Salary_Calculation[[#This Row],[Source Row]]="","",Salary_Calculation[[#This Row],[Rider Target Orders]]*Salary_Calculation[[#This Row],[Base Order Rate]])</f>
        <v/>
      </c>
      <c r="AE277" s="162" t="str">
        <f aca="false">IF(SUMPRODUCT(--(LEN(INDEX(Rider_Input[#Data],ROW()-ROW(Salary_Calculation[#Headers]),0))&gt;0))=0,"",ROW()-ROW(Salary_Calculation[#Headers]))</f>
        <v/>
      </c>
    </row>
    <row r="278" customFormat="false" ht="14.25" hidden="false" customHeight="false" outlineLevel="0" collapsed="false">
      <c r="A278" s="161" t="str">
        <f aca="false">IF(Salary_Calculation[[#This Row],[Source Row]]="","",IF(INDEX(Rider_Input[Salary Month],Salary_Calculation[[#This Row],[Source Row]])="","",INDEX(Rider_Input[Salary Month],Salary_Calculation[[#This Row],[Source Row]])))</f>
        <v/>
      </c>
      <c r="B278" s="162" t="str">
        <f aca="false">IF(Salary_Calculation[[#This Row],[Source Row]]="","",IF(INDEX(Rider_Input[Rider ID],Salary_Calculation[[#This Row],[Source Row]])="","",INDEX(Rider_Input[Rider ID],Salary_Calculation[[#This Row],[Source Row]])))</f>
        <v/>
      </c>
      <c r="C278" s="163" t="str">
        <f aca="false">IF(Salary_Calculation[[#This Row],[Source Row]]="","",IF(INDEX(Rider_Input[Rider Name],Salary_Calculation[[#This Row],[Source Row]])="","",INDEX(Rider_Input[Rider Name],Salary_Calculation[[#This Row],[Source Row]])))</f>
        <v/>
      </c>
      <c r="D278" s="164" t="str">
        <f aca="false">IF(Salary_Calculation[[#This Row],[Source Row]]="","",IF(INDEX(Rider_Input[Basic Payment],Salary_Calculation[[#This Row],[Source Row]])="","",INDEX(Rider_Input[Basic Payment],Salary_Calculation[[#This Row],[Source Row]])))</f>
        <v/>
      </c>
      <c r="E278" s="162" t="str">
        <f aca="false">IF(Salary_Calculation[[#This Row],[Source Row]]="","",IF(INDEX(Rider_Input[Calendar Days in Month],Salary_Calculation[[#This Row],[Source Row]])="","",INDEX(Rider_Input[Calendar Days in Month],Salary_Calculation[[#This Row],[Source Row]])))</f>
        <v/>
      </c>
      <c r="F278" s="162" t="str">
        <f aca="false">IF(Salary_Calculation[[#This Row],[Source Row]]="","",IF(INDEX(Rider_Input[Working Days],Salary_Calculation[[#This Row],[Source Row]])="","",INDEX(Rider_Input[Working Days],Salary_Calculation[[#This Row],[Source Row]])))</f>
        <v/>
      </c>
      <c r="G278" s="165" t="str">
        <f aca="false">IF(Salary_Calculation[[#This Row],[Source Row]]="","",Std_Orders/Std_Days*N(Salary_Calculation[[#This Row],[Calendar Days]]))</f>
        <v/>
      </c>
      <c r="H278" s="165" t="str">
        <f aca="false">IF(Salary_Calculation[[#This Row],[Source Row]]="","",IF(N(Salary_Calculation[[#This Row],[Calendar Days]])&gt;0,Salary_Calculation[[#This Row],[Monthly Target Orders]]/N(Salary_Calculation[[#This Row],[Calendar Days]])*N(Salary_Calculation[[#This Row],[Working Days]]),0))</f>
        <v/>
      </c>
      <c r="I278" s="166" t="str">
        <f aca="false">IF(Salary_Calculation[[#This Row],[Source Row]]="","",IF(INDEX(Rider_Input[Completed Orders],Salary_Calculation[[#This Row],[Source Row]])="","",INDEX(Rider_Input[Completed Orders],Salary_Calculation[[#This Row],[Source Row]])))</f>
        <v/>
      </c>
      <c r="J278" s="165" t="str">
        <f aca="false">IF(Salary_Calculation[[#This Row],[Source Row]]="","",IF(Rate_Method="Fixed rate",Fixed_Rate,IF(N(Salary_Calculation[[#This Row],[Basic Payment]])&gt;0,N(Salary_Calculation[[#This Row],[Basic Payment]])/Std_Orders,0)))</f>
        <v/>
      </c>
      <c r="K278" s="165" t="str">
        <f aca="false">IF(Salary_Calculation[[#This Row],[Source Row]]="","",MAX(MIN(N(Salary_Calculation[[#This Row],[Completed Orders]]),Salary_Calculation[[#This Row],[Rider Target Orders]]),0))</f>
        <v/>
      </c>
      <c r="L278" s="164" t="str">
        <f aca="false">IF(Salary_Calculation[[#This Row],[Source Row]]="","",Salary_Calculation[[#This Row],[Orders Counted at Base Rate]]*Salary_Calculation[[#This Row],[Base Order Rate]])</f>
        <v/>
      </c>
      <c r="M278" s="165" t="str">
        <f aca="false">IF(Salary_Calculation[[#This Row],[Source Row]]="","",MAX(Salary_Calculation[[#This Row],[Rider Target Orders]]-N(Salary_Calculation[[#This Row],[Completed Orders]]),0))</f>
        <v/>
      </c>
      <c r="N278" s="164" t="str">
        <f aca="false">IF(Salary_Calculation[[#This Row],[Source Row]]="","",Salary_Calculation[[#This Row],[Missing Orders]]*Missing_Rate)</f>
        <v/>
      </c>
      <c r="O278" s="165" t="str">
        <f aca="false">IF(Salary_Calculation[[#This Row],[Source Row]]="","",MAX(N(Salary_Calculation[[#This Row],[Completed Orders]])-Salary_Calculation[[#This Row],[Rider Target Orders]],0))</f>
        <v/>
      </c>
      <c r="P278" s="164" t="str">
        <f aca="false">IF(Salary_Calculation[[#This Row],[Source Row]]="","",Salary_Calculation[[#This Row],[Extra Orders]]*Extra_Rate)</f>
        <v/>
      </c>
      <c r="Q278" s="164" t="str">
        <f aca="false">IF(Salary_Calculation[[#This Row],[Source Row]]="","",MAX(Salary_Calculation[[#This Row],[Salary Before Other Deductions]],0))</f>
        <v/>
      </c>
      <c r="R278" s="164" t="str">
        <f aca="false">IF(Salary_Calculation[[#This Row],[Source Row]]="","",N(INDEX(Rider_Input[missed_days_penalty],Salary_Calculation[[#This Row],[Source Row]])))</f>
        <v/>
      </c>
      <c r="S278" s="164" t="str">
        <f aca="false">IF(Salary_Calculation[[#This Row],[Source Row]]="","",N(INDEX(Rider_Input[Rider Balance / محفظة المندوب],Salary_Calculation[[#This Row],[Source Row]])))</f>
        <v/>
      </c>
      <c r="T278" s="164" t="str">
        <f aca="false">IF(Salary_Calculation[[#This Row],[Source Row]]="","",N(INDEX(Rider_Input[stacking_deduction / خصم الطلبات المتعددة],Salary_Calculation[[#This Row],[Source Row]])))</f>
        <v/>
      </c>
      <c r="U278" s="164" t="str">
        <f aca="false">IF(Salary_Calculation[[#This Row],[Source Row]]="","",N(INDEX(Rider_Input[Other Deductions],Salary_Calculation[[#This Row],[Source Row]])))</f>
        <v/>
      </c>
      <c r="V278" s="164" t="str">
        <f aca="false">IF(Salary_Calculation[[#This Row],[Source Row]]="","",N(Salary_Calculation[[#This Row],[missed_days_penalty]])+N(Salary_Calculation[[#This Row],[Rider Balance]])+N(Salary_Calculation[[#This Row],[stacking_deduction]])+N(Salary_Calculation[[#This Row],[Other Deductions]]))</f>
        <v/>
      </c>
      <c r="W278" s="167" t="str">
        <f aca="false">IF(Salary_Calculation[[#This Row],[Source Row]]="","",ROUND(MAX(Salary_Calculation[[#This Row],[Gross Salary Before Deductions]]-Salary_Calculation[[#This Row],[Total Deductions]],0),2))</f>
        <v/>
      </c>
      <c r="X278" s="164" t="str">
        <f aca="false">IF(Salary_Calculation[[#This Row],[Source Row]]="","",ROUND(MAX(Salary_Calculation[[#This Row],[Missing-Order Deduction]]-Salary_Calculation[[#This Row],[Earned Salary]],0),2))</f>
        <v/>
      </c>
      <c r="Y27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78" s="163" t="str">
        <f aca="false">IF(Salary_Calculation[[#This Row],[Source Row]]="","",IF(INDEX(Rider_Input[Notes],Salary_Calculation[[#This Row],[Source Row]])="","",INDEX(Rider_Input[Notes],Salary_Calculation[[#This Row],[Source Row]])))</f>
        <v/>
      </c>
      <c r="AA278" s="164" t="str">
        <f aca="false">IF(Salary_Calculation[[#This Row],[Source Row]]="","",Salary_Calculation[[#This Row],[Earned Salary]]-Salary_Calculation[[#This Row],[Missing-Order Deduction]]+Salary_Calculation[[#This Row],[Extra-Order Bonus]])</f>
        <v/>
      </c>
      <c r="AB278" s="164" t="str">
        <f aca="false">IF(Salary_Calculation[[#This Row],[Source Row]]="","",ROUND(Salary_Calculation[[#This Row],[Negative Balance / Amount Due from Rider]]+MAX(Salary_Calculation[[#This Row],[Total Deductions]]-Salary_Calculation[[#This Row],[Gross Salary Before Deductions]],0),2))</f>
        <v/>
      </c>
      <c r="AC27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78" s="164" t="str">
        <f aca="false">IF(Salary_Calculation[[#This Row],[Source Row]]="","",Salary_Calculation[[#This Row],[Rider Target Orders]]*Salary_Calculation[[#This Row],[Base Order Rate]])</f>
        <v/>
      </c>
      <c r="AE278" s="162" t="str">
        <f aca="false">IF(SUMPRODUCT(--(LEN(INDEX(Rider_Input[#Data],ROW()-ROW(Salary_Calculation[#Headers]),0))&gt;0))=0,"",ROW()-ROW(Salary_Calculation[#Headers]))</f>
        <v/>
      </c>
    </row>
    <row r="279" customFormat="false" ht="14.25" hidden="false" customHeight="false" outlineLevel="0" collapsed="false">
      <c r="A279" s="161" t="str">
        <f aca="false">IF(Salary_Calculation[[#This Row],[Source Row]]="","",IF(INDEX(Rider_Input[Salary Month],Salary_Calculation[[#This Row],[Source Row]])="","",INDEX(Rider_Input[Salary Month],Salary_Calculation[[#This Row],[Source Row]])))</f>
        <v/>
      </c>
      <c r="B279" s="162" t="str">
        <f aca="false">IF(Salary_Calculation[[#This Row],[Source Row]]="","",IF(INDEX(Rider_Input[Rider ID],Salary_Calculation[[#This Row],[Source Row]])="","",INDEX(Rider_Input[Rider ID],Salary_Calculation[[#This Row],[Source Row]])))</f>
        <v/>
      </c>
      <c r="C279" s="163" t="str">
        <f aca="false">IF(Salary_Calculation[[#This Row],[Source Row]]="","",IF(INDEX(Rider_Input[Rider Name],Salary_Calculation[[#This Row],[Source Row]])="","",INDEX(Rider_Input[Rider Name],Salary_Calculation[[#This Row],[Source Row]])))</f>
        <v/>
      </c>
      <c r="D279" s="164" t="str">
        <f aca="false">IF(Salary_Calculation[[#This Row],[Source Row]]="","",IF(INDEX(Rider_Input[Basic Payment],Salary_Calculation[[#This Row],[Source Row]])="","",INDEX(Rider_Input[Basic Payment],Salary_Calculation[[#This Row],[Source Row]])))</f>
        <v/>
      </c>
      <c r="E279" s="162" t="str">
        <f aca="false">IF(Salary_Calculation[[#This Row],[Source Row]]="","",IF(INDEX(Rider_Input[Calendar Days in Month],Salary_Calculation[[#This Row],[Source Row]])="","",INDEX(Rider_Input[Calendar Days in Month],Salary_Calculation[[#This Row],[Source Row]])))</f>
        <v/>
      </c>
      <c r="F279" s="162" t="str">
        <f aca="false">IF(Salary_Calculation[[#This Row],[Source Row]]="","",IF(INDEX(Rider_Input[Working Days],Salary_Calculation[[#This Row],[Source Row]])="","",INDEX(Rider_Input[Working Days],Salary_Calculation[[#This Row],[Source Row]])))</f>
        <v/>
      </c>
      <c r="G279" s="165" t="str">
        <f aca="false">IF(Salary_Calculation[[#This Row],[Source Row]]="","",Std_Orders/Std_Days*N(Salary_Calculation[[#This Row],[Calendar Days]]))</f>
        <v/>
      </c>
      <c r="H279" s="165" t="str">
        <f aca="false">IF(Salary_Calculation[[#This Row],[Source Row]]="","",IF(N(Salary_Calculation[[#This Row],[Calendar Days]])&gt;0,Salary_Calculation[[#This Row],[Monthly Target Orders]]/N(Salary_Calculation[[#This Row],[Calendar Days]])*N(Salary_Calculation[[#This Row],[Working Days]]),0))</f>
        <v/>
      </c>
      <c r="I279" s="166" t="str">
        <f aca="false">IF(Salary_Calculation[[#This Row],[Source Row]]="","",IF(INDEX(Rider_Input[Completed Orders],Salary_Calculation[[#This Row],[Source Row]])="","",INDEX(Rider_Input[Completed Orders],Salary_Calculation[[#This Row],[Source Row]])))</f>
        <v/>
      </c>
      <c r="J279" s="165" t="str">
        <f aca="false">IF(Salary_Calculation[[#This Row],[Source Row]]="","",IF(Rate_Method="Fixed rate",Fixed_Rate,IF(N(Salary_Calculation[[#This Row],[Basic Payment]])&gt;0,N(Salary_Calculation[[#This Row],[Basic Payment]])/Std_Orders,0)))</f>
        <v/>
      </c>
      <c r="K279" s="165" t="str">
        <f aca="false">IF(Salary_Calculation[[#This Row],[Source Row]]="","",MAX(MIN(N(Salary_Calculation[[#This Row],[Completed Orders]]),Salary_Calculation[[#This Row],[Rider Target Orders]]),0))</f>
        <v/>
      </c>
      <c r="L279" s="164" t="str">
        <f aca="false">IF(Salary_Calculation[[#This Row],[Source Row]]="","",Salary_Calculation[[#This Row],[Orders Counted at Base Rate]]*Salary_Calculation[[#This Row],[Base Order Rate]])</f>
        <v/>
      </c>
      <c r="M279" s="165" t="str">
        <f aca="false">IF(Salary_Calculation[[#This Row],[Source Row]]="","",MAX(Salary_Calculation[[#This Row],[Rider Target Orders]]-N(Salary_Calculation[[#This Row],[Completed Orders]]),0))</f>
        <v/>
      </c>
      <c r="N279" s="164" t="str">
        <f aca="false">IF(Salary_Calculation[[#This Row],[Source Row]]="","",Salary_Calculation[[#This Row],[Missing Orders]]*Missing_Rate)</f>
        <v/>
      </c>
      <c r="O279" s="165" t="str">
        <f aca="false">IF(Salary_Calculation[[#This Row],[Source Row]]="","",MAX(N(Salary_Calculation[[#This Row],[Completed Orders]])-Salary_Calculation[[#This Row],[Rider Target Orders]],0))</f>
        <v/>
      </c>
      <c r="P279" s="164" t="str">
        <f aca="false">IF(Salary_Calculation[[#This Row],[Source Row]]="","",Salary_Calculation[[#This Row],[Extra Orders]]*Extra_Rate)</f>
        <v/>
      </c>
      <c r="Q279" s="164" t="str">
        <f aca="false">IF(Salary_Calculation[[#This Row],[Source Row]]="","",MAX(Salary_Calculation[[#This Row],[Salary Before Other Deductions]],0))</f>
        <v/>
      </c>
      <c r="R279" s="164" t="str">
        <f aca="false">IF(Salary_Calculation[[#This Row],[Source Row]]="","",N(INDEX(Rider_Input[missed_days_penalty],Salary_Calculation[[#This Row],[Source Row]])))</f>
        <v/>
      </c>
      <c r="S279" s="164" t="str">
        <f aca="false">IF(Salary_Calculation[[#This Row],[Source Row]]="","",N(INDEX(Rider_Input[Rider Balance / محفظة المندوب],Salary_Calculation[[#This Row],[Source Row]])))</f>
        <v/>
      </c>
      <c r="T279" s="164" t="str">
        <f aca="false">IF(Salary_Calculation[[#This Row],[Source Row]]="","",N(INDEX(Rider_Input[stacking_deduction / خصم الطلبات المتعددة],Salary_Calculation[[#This Row],[Source Row]])))</f>
        <v/>
      </c>
      <c r="U279" s="164" t="str">
        <f aca="false">IF(Salary_Calculation[[#This Row],[Source Row]]="","",N(INDEX(Rider_Input[Other Deductions],Salary_Calculation[[#This Row],[Source Row]])))</f>
        <v/>
      </c>
      <c r="V279" s="164" t="str">
        <f aca="false">IF(Salary_Calculation[[#This Row],[Source Row]]="","",N(Salary_Calculation[[#This Row],[missed_days_penalty]])+N(Salary_Calculation[[#This Row],[Rider Balance]])+N(Salary_Calculation[[#This Row],[stacking_deduction]])+N(Salary_Calculation[[#This Row],[Other Deductions]]))</f>
        <v/>
      </c>
      <c r="W279" s="167" t="str">
        <f aca="false">IF(Salary_Calculation[[#This Row],[Source Row]]="","",ROUND(MAX(Salary_Calculation[[#This Row],[Gross Salary Before Deductions]]-Salary_Calculation[[#This Row],[Total Deductions]],0),2))</f>
        <v/>
      </c>
      <c r="X279" s="164" t="str">
        <f aca="false">IF(Salary_Calculation[[#This Row],[Source Row]]="","",ROUND(MAX(Salary_Calculation[[#This Row],[Missing-Order Deduction]]-Salary_Calculation[[#This Row],[Earned Salary]],0),2))</f>
        <v/>
      </c>
      <c r="Y27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79" s="163" t="str">
        <f aca="false">IF(Salary_Calculation[[#This Row],[Source Row]]="","",IF(INDEX(Rider_Input[Notes],Salary_Calculation[[#This Row],[Source Row]])="","",INDEX(Rider_Input[Notes],Salary_Calculation[[#This Row],[Source Row]])))</f>
        <v/>
      </c>
      <c r="AA279" s="164" t="str">
        <f aca="false">IF(Salary_Calculation[[#This Row],[Source Row]]="","",Salary_Calculation[[#This Row],[Earned Salary]]-Salary_Calculation[[#This Row],[Missing-Order Deduction]]+Salary_Calculation[[#This Row],[Extra-Order Bonus]])</f>
        <v/>
      </c>
      <c r="AB279" s="164" t="str">
        <f aca="false">IF(Salary_Calculation[[#This Row],[Source Row]]="","",ROUND(Salary_Calculation[[#This Row],[Negative Balance / Amount Due from Rider]]+MAX(Salary_Calculation[[#This Row],[Total Deductions]]-Salary_Calculation[[#This Row],[Gross Salary Before Deductions]],0),2))</f>
        <v/>
      </c>
      <c r="AC27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79" s="164" t="str">
        <f aca="false">IF(Salary_Calculation[[#This Row],[Source Row]]="","",Salary_Calculation[[#This Row],[Rider Target Orders]]*Salary_Calculation[[#This Row],[Base Order Rate]])</f>
        <v/>
      </c>
      <c r="AE279" s="162" t="str">
        <f aca="false">IF(SUMPRODUCT(--(LEN(INDEX(Rider_Input[#Data],ROW()-ROW(Salary_Calculation[#Headers]),0))&gt;0))=0,"",ROW()-ROW(Salary_Calculation[#Headers]))</f>
        <v/>
      </c>
    </row>
    <row r="280" customFormat="false" ht="14.25" hidden="false" customHeight="false" outlineLevel="0" collapsed="false">
      <c r="A280" s="161" t="str">
        <f aca="false">IF(Salary_Calculation[[#This Row],[Source Row]]="","",IF(INDEX(Rider_Input[Salary Month],Salary_Calculation[[#This Row],[Source Row]])="","",INDEX(Rider_Input[Salary Month],Salary_Calculation[[#This Row],[Source Row]])))</f>
        <v/>
      </c>
      <c r="B280" s="162" t="str">
        <f aca="false">IF(Salary_Calculation[[#This Row],[Source Row]]="","",IF(INDEX(Rider_Input[Rider ID],Salary_Calculation[[#This Row],[Source Row]])="","",INDEX(Rider_Input[Rider ID],Salary_Calculation[[#This Row],[Source Row]])))</f>
        <v/>
      </c>
      <c r="C280" s="163" t="str">
        <f aca="false">IF(Salary_Calculation[[#This Row],[Source Row]]="","",IF(INDEX(Rider_Input[Rider Name],Salary_Calculation[[#This Row],[Source Row]])="","",INDEX(Rider_Input[Rider Name],Salary_Calculation[[#This Row],[Source Row]])))</f>
        <v/>
      </c>
      <c r="D280" s="164" t="str">
        <f aca="false">IF(Salary_Calculation[[#This Row],[Source Row]]="","",IF(INDEX(Rider_Input[Basic Payment],Salary_Calculation[[#This Row],[Source Row]])="","",INDEX(Rider_Input[Basic Payment],Salary_Calculation[[#This Row],[Source Row]])))</f>
        <v/>
      </c>
      <c r="E280" s="162" t="str">
        <f aca="false">IF(Salary_Calculation[[#This Row],[Source Row]]="","",IF(INDEX(Rider_Input[Calendar Days in Month],Salary_Calculation[[#This Row],[Source Row]])="","",INDEX(Rider_Input[Calendar Days in Month],Salary_Calculation[[#This Row],[Source Row]])))</f>
        <v/>
      </c>
      <c r="F280" s="162" t="str">
        <f aca="false">IF(Salary_Calculation[[#This Row],[Source Row]]="","",IF(INDEX(Rider_Input[Working Days],Salary_Calculation[[#This Row],[Source Row]])="","",INDEX(Rider_Input[Working Days],Salary_Calculation[[#This Row],[Source Row]])))</f>
        <v/>
      </c>
      <c r="G280" s="165" t="str">
        <f aca="false">IF(Salary_Calculation[[#This Row],[Source Row]]="","",Std_Orders/Std_Days*N(Salary_Calculation[[#This Row],[Calendar Days]]))</f>
        <v/>
      </c>
      <c r="H280" s="165" t="str">
        <f aca="false">IF(Salary_Calculation[[#This Row],[Source Row]]="","",IF(N(Salary_Calculation[[#This Row],[Calendar Days]])&gt;0,Salary_Calculation[[#This Row],[Monthly Target Orders]]/N(Salary_Calculation[[#This Row],[Calendar Days]])*N(Salary_Calculation[[#This Row],[Working Days]]),0))</f>
        <v/>
      </c>
      <c r="I280" s="166" t="str">
        <f aca="false">IF(Salary_Calculation[[#This Row],[Source Row]]="","",IF(INDEX(Rider_Input[Completed Orders],Salary_Calculation[[#This Row],[Source Row]])="","",INDEX(Rider_Input[Completed Orders],Salary_Calculation[[#This Row],[Source Row]])))</f>
        <v/>
      </c>
      <c r="J280" s="165" t="str">
        <f aca="false">IF(Salary_Calculation[[#This Row],[Source Row]]="","",IF(Rate_Method="Fixed rate",Fixed_Rate,IF(N(Salary_Calculation[[#This Row],[Basic Payment]])&gt;0,N(Salary_Calculation[[#This Row],[Basic Payment]])/Std_Orders,0)))</f>
        <v/>
      </c>
      <c r="K280" s="165" t="str">
        <f aca="false">IF(Salary_Calculation[[#This Row],[Source Row]]="","",MAX(MIN(N(Salary_Calculation[[#This Row],[Completed Orders]]),Salary_Calculation[[#This Row],[Rider Target Orders]]),0))</f>
        <v/>
      </c>
      <c r="L280" s="164" t="str">
        <f aca="false">IF(Salary_Calculation[[#This Row],[Source Row]]="","",Salary_Calculation[[#This Row],[Orders Counted at Base Rate]]*Salary_Calculation[[#This Row],[Base Order Rate]])</f>
        <v/>
      </c>
      <c r="M280" s="165" t="str">
        <f aca="false">IF(Salary_Calculation[[#This Row],[Source Row]]="","",MAX(Salary_Calculation[[#This Row],[Rider Target Orders]]-N(Salary_Calculation[[#This Row],[Completed Orders]]),0))</f>
        <v/>
      </c>
      <c r="N280" s="164" t="str">
        <f aca="false">IF(Salary_Calculation[[#This Row],[Source Row]]="","",Salary_Calculation[[#This Row],[Missing Orders]]*Missing_Rate)</f>
        <v/>
      </c>
      <c r="O280" s="165" t="str">
        <f aca="false">IF(Salary_Calculation[[#This Row],[Source Row]]="","",MAX(N(Salary_Calculation[[#This Row],[Completed Orders]])-Salary_Calculation[[#This Row],[Rider Target Orders]],0))</f>
        <v/>
      </c>
      <c r="P280" s="164" t="str">
        <f aca="false">IF(Salary_Calculation[[#This Row],[Source Row]]="","",Salary_Calculation[[#This Row],[Extra Orders]]*Extra_Rate)</f>
        <v/>
      </c>
      <c r="Q280" s="164" t="str">
        <f aca="false">IF(Salary_Calculation[[#This Row],[Source Row]]="","",MAX(Salary_Calculation[[#This Row],[Salary Before Other Deductions]],0))</f>
        <v/>
      </c>
      <c r="R280" s="164" t="str">
        <f aca="false">IF(Salary_Calculation[[#This Row],[Source Row]]="","",N(INDEX(Rider_Input[missed_days_penalty],Salary_Calculation[[#This Row],[Source Row]])))</f>
        <v/>
      </c>
      <c r="S280" s="164" t="str">
        <f aca="false">IF(Salary_Calculation[[#This Row],[Source Row]]="","",N(INDEX(Rider_Input[Rider Balance / محفظة المندوب],Salary_Calculation[[#This Row],[Source Row]])))</f>
        <v/>
      </c>
      <c r="T280" s="164" t="str">
        <f aca="false">IF(Salary_Calculation[[#This Row],[Source Row]]="","",N(INDEX(Rider_Input[stacking_deduction / خصم الطلبات المتعددة],Salary_Calculation[[#This Row],[Source Row]])))</f>
        <v/>
      </c>
      <c r="U280" s="164" t="str">
        <f aca="false">IF(Salary_Calculation[[#This Row],[Source Row]]="","",N(INDEX(Rider_Input[Other Deductions],Salary_Calculation[[#This Row],[Source Row]])))</f>
        <v/>
      </c>
      <c r="V280" s="164" t="str">
        <f aca="false">IF(Salary_Calculation[[#This Row],[Source Row]]="","",N(Salary_Calculation[[#This Row],[missed_days_penalty]])+N(Salary_Calculation[[#This Row],[Rider Balance]])+N(Salary_Calculation[[#This Row],[stacking_deduction]])+N(Salary_Calculation[[#This Row],[Other Deductions]]))</f>
        <v/>
      </c>
      <c r="W280" s="167" t="str">
        <f aca="false">IF(Salary_Calculation[[#This Row],[Source Row]]="","",ROUND(MAX(Salary_Calculation[[#This Row],[Gross Salary Before Deductions]]-Salary_Calculation[[#This Row],[Total Deductions]],0),2))</f>
        <v/>
      </c>
      <c r="X280" s="164" t="str">
        <f aca="false">IF(Salary_Calculation[[#This Row],[Source Row]]="","",ROUND(MAX(Salary_Calculation[[#This Row],[Missing-Order Deduction]]-Salary_Calculation[[#This Row],[Earned Salary]],0),2))</f>
        <v/>
      </c>
      <c r="Y28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80" s="163" t="str">
        <f aca="false">IF(Salary_Calculation[[#This Row],[Source Row]]="","",IF(INDEX(Rider_Input[Notes],Salary_Calculation[[#This Row],[Source Row]])="","",INDEX(Rider_Input[Notes],Salary_Calculation[[#This Row],[Source Row]])))</f>
        <v/>
      </c>
      <c r="AA280" s="164" t="str">
        <f aca="false">IF(Salary_Calculation[[#This Row],[Source Row]]="","",Salary_Calculation[[#This Row],[Earned Salary]]-Salary_Calculation[[#This Row],[Missing-Order Deduction]]+Salary_Calculation[[#This Row],[Extra-Order Bonus]])</f>
        <v/>
      </c>
      <c r="AB280" s="164" t="str">
        <f aca="false">IF(Salary_Calculation[[#This Row],[Source Row]]="","",ROUND(Salary_Calculation[[#This Row],[Negative Balance / Amount Due from Rider]]+MAX(Salary_Calculation[[#This Row],[Total Deductions]]-Salary_Calculation[[#This Row],[Gross Salary Before Deductions]],0),2))</f>
        <v/>
      </c>
      <c r="AC28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80" s="164" t="str">
        <f aca="false">IF(Salary_Calculation[[#This Row],[Source Row]]="","",Salary_Calculation[[#This Row],[Rider Target Orders]]*Salary_Calculation[[#This Row],[Base Order Rate]])</f>
        <v/>
      </c>
      <c r="AE280" s="162" t="str">
        <f aca="false">IF(SUMPRODUCT(--(LEN(INDEX(Rider_Input[#Data],ROW()-ROW(Salary_Calculation[#Headers]),0))&gt;0))=0,"",ROW()-ROW(Salary_Calculation[#Headers]))</f>
        <v/>
      </c>
    </row>
    <row r="281" customFormat="false" ht="14.25" hidden="false" customHeight="false" outlineLevel="0" collapsed="false">
      <c r="A281" s="161" t="str">
        <f aca="false">IF(Salary_Calculation[[#This Row],[Source Row]]="","",IF(INDEX(Rider_Input[Salary Month],Salary_Calculation[[#This Row],[Source Row]])="","",INDEX(Rider_Input[Salary Month],Salary_Calculation[[#This Row],[Source Row]])))</f>
        <v/>
      </c>
      <c r="B281" s="162" t="str">
        <f aca="false">IF(Salary_Calculation[[#This Row],[Source Row]]="","",IF(INDEX(Rider_Input[Rider ID],Salary_Calculation[[#This Row],[Source Row]])="","",INDEX(Rider_Input[Rider ID],Salary_Calculation[[#This Row],[Source Row]])))</f>
        <v/>
      </c>
      <c r="C281" s="163" t="str">
        <f aca="false">IF(Salary_Calculation[[#This Row],[Source Row]]="","",IF(INDEX(Rider_Input[Rider Name],Salary_Calculation[[#This Row],[Source Row]])="","",INDEX(Rider_Input[Rider Name],Salary_Calculation[[#This Row],[Source Row]])))</f>
        <v/>
      </c>
      <c r="D281" s="164" t="str">
        <f aca="false">IF(Salary_Calculation[[#This Row],[Source Row]]="","",IF(INDEX(Rider_Input[Basic Payment],Salary_Calculation[[#This Row],[Source Row]])="","",INDEX(Rider_Input[Basic Payment],Salary_Calculation[[#This Row],[Source Row]])))</f>
        <v/>
      </c>
      <c r="E281" s="162" t="str">
        <f aca="false">IF(Salary_Calculation[[#This Row],[Source Row]]="","",IF(INDEX(Rider_Input[Calendar Days in Month],Salary_Calculation[[#This Row],[Source Row]])="","",INDEX(Rider_Input[Calendar Days in Month],Salary_Calculation[[#This Row],[Source Row]])))</f>
        <v/>
      </c>
      <c r="F281" s="162" t="str">
        <f aca="false">IF(Salary_Calculation[[#This Row],[Source Row]]="","",IF(INDEX(Rider_Input[Working Days],Salary_Calculation[[#This Row],[Source Row]])="","",INDEX(Rider_Input[Working Days],Salary_Calculation[[#This Row],[Source Row]])))</f>
        <v/>
      </c>
      <c r="G281" s="165" t="str">
        <f aca="false">IF(Salary_Calculation[[#This Row],[Source Row]]="","",Std_Orders/Std_Days*N(Salary_Calculation[[#This Row],[Calendar Days]]))</f>
        <v/>
      </c>
      <c r="H281" s="165" t="str">
        <f aca="false">IF(Salary_Calculation[[#This Row],[Source Row]]="","",IF(N(Salary_Calculation[[#This Row],[Calendar Days]])&gt;0,Salary_Calculation[[#This Row],[Monthly Target Orders]]/N(Salary_Calculation[[#This Row],[Calendar Days]])*N(Salary_Calculation[[#This Row],[Working Days]]),0))</f>
        <v/>
      </c>
      <c r="I281" s="166" t="str">
        <f aca="false">IF(Salary_Calculation[[#This Row],[Source Row]]="","",IF(INDEX(Rider_Input[Completed Orders],Salary_Calculation[[#This Row],[Source Row]])="","",INDEX(Rider_Input[Completed Orders],Salary_Calculation[[#This Row],[Source Row]])))</f>
        <v/>
      </c>
      <c r="J281" s="165" t="str">
        <f aca="false">IF(Salary_Calculation[[#This Row],[Source Row]]="","",IF(Rate_Method="Fixed rate",Fixed_Rate,IF(N(Salary_Calculation[[#This Row],[Basic Payment]])&gt;0,N(Salary_Calculation[[#This Row],[Basic Payment]])/Std_Orders,0)))</f>
        <v/>
      </c>
      <c r="K281" s="165" t="str">
        <f aca="false">IF(Salary_Calculation[[#This Row],[Source Row]]="","",MAX(MIN(N(Salary_Calculation[[#This Row],[Completed Orders]]),Salary_Calculation[[#This Row],[Rider Target Orders]]),0))</f>
        <v/>
      </c>
      <c r="L281" s="164" t="str">
        <f aca="false">IF(Salary_Calculation[[#This Row],[Source Row]]="","",Salary_Calculation[[#This Row],[Orders Counted at Base Rate]]*Salary_Calculation[[#This Row],[Base Order Rate]])</f>
        <v/>
      </c>
      <c r="M281" s="165" t="str">
        <f aca="false">IF(Salary_Calculation[[#This Row],[Source Row]]="","",MAX(Salary_Calculation[[#This Row],[Rider Target Orders]]-N(Salary_Calculation[[#This Row],[Completed Orders]]),0))</f>
        <v/>
      </c>
      <c r="N281" s="164" t="str">
        <f aca="false">IF(Salary_Calculation[[#This Row],[Source Row]]="","",Salary_Calculation[[#This Row],[Missing Orders]]*Missing_Rate)</f>
        <v/>
      </c>
      <c r="O281" s="165" t="str">
        <f aca="false">IF(Salary_Calculation[[#This Row],[Source Row]]="","",MAX(N(Salary_Calculation[[#This Row],[Completed Orders]])-Salary_Calculation[[#This Row],[Rider Target Orders]],0))</f>
        <v/>
      </c>
      <c r="P281" s="164" t="str">
        <f aca="false">IF(Salary_Calculation[[#This Row],[Source Row]]="","",Salary_Calculation[[#This Row],[Extra Orders]]*Extra_Rate)</f>
        <v/>
      </c>
      <c r="Q281" s="164" t="str">
        <f aca="false">IF(Salary_Calculation[[#This Row],[Source Row]]="","",MAX(Salary_Calculation[[#This Row],[Salary Before Other Deductions]],0))</f>
        <v/>
      </c>
      <c r="R281" s="164" t="str">
        <f aca="false">IF(Salary_Calculation[[#This Row],[Source Row]]="","",N(INDEX(Rider_Input[missed_days_penalty],Salary_Calculation[[#This Row],[Source Row]])))</f>
        <v/>
      </c>
      <c r="S281" s="164" t="str">
        <f aca="false">IF(Salary_Calculation[[#This Row],[Source Row]]="","",N(INDEX(Rider_Input[Rider Balance / محفظة المندوب],Salary_Calculation[[#This Row],[Source Row]])))</f>
        <v/>
      </c>
      <c r="T281" s="164" t="str">
        <f aca="false">IF(Salary_Calculation[[#This Row],[Source Row]]="","",N(INDEX(Rider_Input[stacking_deduction / خصم الطلبات المتعددة],Salary_Calculation[[#This Row],[Source Row]])))</f>
        <v/>
      </c>
      <c r="U281" s="164" t="str">
        <f aca="false">IF(Salary_Calculation[[#This Row],[Source Row]]="","",N(INDEX(Rider_Input[Other Deductions],Salary_Calculation[[#This Row],[Source Row]])))</f>
        <v/>
      </c>
      <c r="V281" s="164" t="str">
        <f aca="false">IF(Salary_Calculation[[#This Row],[Source Row]]="","",N(Salary_Calculation[[#This Row],[missed_days_penalty]])+N(Salary_Calculation[[#This Row],[Rider Balance]])+N(Salary_Calculation[[#This Row],[stacking_deduction]])+N(Salary_Calculation[[#This Row],[Other Deductions]]))</f>
        <v/>
      </c>
      <c r="W281" s="167" t="str">
        <f aca="false">IF(Salary_Calculation[[#This Row],[Source Row]]="","",ROUND(MAX(Salary_Calculation[[#This Row],[Gross Salary Before Deductions]]-Salary_Calculation[[#This Row],[Total Deductions]],0),2))</f>
        <v/>
      </c>
      <c r="X281" s="164" t="str">
        <f aca="false">IF(Salary_Calculation[[#This Row],[Source Row]]="","",ROUND(MAX(Salary_Calculation[[#This Row],[Missing-Order Deduction]]-Salary_Calculation[[#This Row],[Earned Salary]],0),2))</f>
        <v/>
      </c>
      <c r="Y28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81" s="163" t="str">
        <f aca="false">IF(Salary_Calculation[[#This Row],[Source Row]]="","",IF(INDEX(Rider_Input[Notes],Salary_Calculation[[#This Row],[Source Row]])="","",INDEX(Rider_Input[Notes],Salary_Calculation[[#This Row],[Source Row]])))</f>
        <v/>
      </c>
      <c r="AA281" s="164" t="str">
        <f aca="false">IF(Salary_Calculation[[#This Row],[Source Row]]="","",Salary_Calculation[[#This Row],[Earned Salary]]-Salary_Calculation[[#This Row],[Missing-Order Deduction]]+Salary_Calculation[[#This Row],[Extra-Order Bonus]])</f>
        <v/>
      </c>
      <c r="AB281" s="164" t="str">
        <f aca="false">IF(Salary_Calculation[[#This Row],[Source Row]]="","",ROUND(Salary_Calculation[[#This Row],[Negative Balance / Amount Due from Rider]]+MAX(Salary_Calculation[[#This Row],[Total Deductions]]-Salary_Calculation[[#This Row],[Gross Salary Before Deductions]],0),2))</f>
        <v/>
      </c>
      <c r="AC28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81" s="164" t="str">
        <f aca="false">IF(Salary_Calculation[[#This Row],[Source Row]]="","",Salary_Calculation[[#This Row],[Rider Target Orders]]*Salary_Calculation[[#This Row],[Base Order Rate]])</f>
        <v/>
      </c>
      <c r="AE281" s="162" t="str">
        <f aca="false">IF(SUMPRODUCT(--(LEN(INDEX(Rider_Input[#Data],ROW()-ROW(Salary_Calculation[#Headers]),0))&gt;0))=0,"",ROW()-ROW(Salary_Calculation[#Headers]))</f>
        <v/>
      </c>
    </row>
    <row r="282" customFormat="false" ht="14.25" hidden="false" customHeight="false" outlineLevel="0" collapsed="false">
      <c r="A282" s="161" t="str">
        <f aca="false">IF(Salary_Calculation[[#This Row],[Source Row]]="","",IF(INDEX(Rider_Input[Salary Month],Salary_Calculation[[#This Row],[Source Row]])="","",INDEX(Rider_Input[Salary Month],Salary_Calculation[[#This Row],[Source Row]])))</f>
        <v/>
      </c>
      <c r="B282" s="162" t="str">
        <f aca="false">IF(Salary_Calculation[[#This Row],[Source Row]]="","",IF(INDEX(Rider_Input[Rider ID],Salary_Calculation[[#This Row],[Source Row]])="","",INDEX(Rider_Input[Rider ID],Salary_Calculation[[#This Row],[Source Row]])))</f>
        <v/>
      </c>
      <c r="C282" s="163" t="str">
        <f aca="false">IF(Salary_Calculation[[#This Row],[Source Row]]="","",IF(INDEX(Rider_Input[Rider Name],Salary_Calculation[[#This Row],[Source Row]])="","",INDEX(Rider_Input[Rider Name],Salary_Calculation[[#This Row],[Source Row]])))</f>
        <v/>
      </c>
      <c r="D282" s="164" t="str">
        <f aca="false">IF(Salary_Calculation[[#This Row],[Source Row]]="","",IF(INDEX(Rider_Input[Basic Payment],Salary_Calculation[[#This Row],[Source Row]])="","",INDEX(Rider_Input[Basic Payment],Salary_Calculation[[#This Row],[Source Row]])))</f>
        <v/>
      </c>
      <c r="E282" s="162" t="str">
        <f aca="false">IF(Salary_Calculation[[#This Row],[Source Row]]="","",IF(INDEX(Rider_Input[Calendar Days in Month],Salary_Calculation[[#This Row],[Source Row]])="","",INDEX(Rider_Input[Calendar Days in Month],Salary_Calculation[[#This Row],[Source Row]])))</f>
        <v/>
      </c>
      <c r="F282" s="162" t="str">
        <f aca="false">IF(Salary_Calculation[[#This Row],[Source Row]]="","",IF(INDEX(Rider_Input[Working Days],Salary_Calculation[[#This Row],[Source Row]])="","",INDEX(Rider_Input[Working Days],Salary_Calculation[[#This Row],[Source Row]])))</f>
        <v/>
      </c>
      <c r="G282" s="165" t="str">
        <f aca="false">IF(Salary_Calculation[[#This Row],[Source Row]]="","",Std_Orders/Std_Days*N(Salary_Calculation[[#This Row],[Calendar Days]]))</f>
        <v/>
      </c>
      <c r="H282" s="165" t="str">
        <f aca="false">IF(Salary_Calculation[[#This Row],[Source Row]]="","",IF(N(Salary_Calculation[[#This Row],[Calendar Days]])&gt;0,Salary_Calculation[[#This Row],[Monthly Target Orders]]/N(Salary_Calculation[[#This Row],[Calendar Days]])*N(Salary_Calculation[[#This Row],[Working Days]]),0))</f>
        <v/>
      </c>
      <c r="I282" s="166" t="str">
        <f aca="false">IF(Salary_Calculation[[#This Row],[Source Row]]="","",IF(INDEX(Rider_Input[Completed Orders],Salary_Calculation[[#This Row],[Source Row]])="","",INDEX(Rider_Input[Completed Orders],Salary_Calculation[[#This Row],[Source Row]])))</f>
        <v/>
      </c>
      <c r="J282" s="165" t="str">
        <f aca="false">IF(Salary_Calculation[[#This Row],[Source Row]]="","",IF(Rate_Method="Fixed rate",Fixed_Rate,IF(N(Salary_Calculation[[#This Row],[Basic Payment]])&gt;0,N(Salary_Calculation[[#This Row],[Basic Payment]])/Std_Orders,0)))</f>
        <v/>
      </c>
      <c r="K282" s="165" t="str">
        <f aca="false">IF(Salary_Calculation[[#This Row],[Source Row]]="","",MAX(MIN(N(Salary_Calculation[[#This Row],[Completed Orders]]),Salary_Calculation[[#This Row],[Rider Target Orders]]),0))</f>
        <v/>
      </c>
      <c r="L282" s="164" t="str">
        <f aca="false">IF(Salary_Calculation[[#This Row],[Source Row]]="","",Salary_Calculation[[#This Row],[Orders Counted at Base Rate]]*Salary_Calculation[[#This Row],[Base Order Rate]])</f>
        <v/>
      </c>
      <c r="M282" s="165" t="str">
        <f aca="false">IF(Salary_Calculation[[#This Row],[Source Row]]="","",MAX(Salary_Calculation[[#This Row],[Rider Target Orders]]-N(Salary_Calculation[[#This Row],[Completed Orders]]),0))</f>
        <v/>
      </c>
      <c r="N282" s="164" t="str">
        <f aca="false">IF(Salary_Calculation[[#This Row],[Source Row]]="","",Salary_Calculation[[#This Row],[Missing Orders]]*Missing_Rate)</f>
        <v/>
      </c>
      <c r="O282" s="165" t="str">
        <f aca="false">IF(Salary_Calculation[[#This Row],[Source Row]]="","",MAX(N(Salary_Calculation[[#This Row],[Completed Orders]])-Salary_Calculation[[#This Row],[Rider Target Orders]],0))</f>
        <v/>
      </c>
      <c r="P282" s="164" t="str">
        <f aca="false">IF(Salary_Calculation[[#This Row],[Source Row]]="","",Salary_Calculation[[#This Row],[Extra Orders]]*Extra_Rate)</f>
        <v/>
      </c>
      <c r="Q282" s="164" t="str">
        <f aca="false">IF(Salary_Calculation[[#This Row],[Source Row]]="","",MAX(Salary_Calculation[[#This Row],[Salary Before Other Deductions]],0))</f>
        <v/>
      </c>
      <c r="R282" s="164" t="str">
        <f aca="false">IF(Salary_Calculation[[#This Row],[Source Row]]="","",N(INDEX(Rider_Input[missed_days_penalty],Salary_Calculation[[#This Row],[Source Row]])))</f>
        <v/>
      </c>
      <c r="S282" s="164" t="str">
        <f aca="false">IF(Salary_Calculation[[#This Row],[Source Row]]="","",N(INDEX(Rider_Input[Rider Balance / محفظة المندوب],Salary_Calculation[[#This Row],[Source Row]])))</f>
        <v/>
      </c>
      <c r="T282" s="164" t="str">
        <f aca="false">IF(Salary_Calculation[[#This Row],[Source Row]]="","",N(INDEX(Rider_Input[stacking_deduction / خصم الطلبات المتعددة],Salary_Calculation[[#This Row],[Source Row]])))</f>
        <v/>
      </c>
      <c r="U282" s="164" t="str">
        <f aca="false">IF(Salary_Calculation[[#This Row],[Source Row]]="","",N(INDEX(Rider_Input[Other Deductions],Salary_Calculation[[#This Row],[Source Row]])))</f>
        <v/>
      </c>
      <c r="V282" s="164" t="str">
        <f aca="false">IF(Salary_Calculation[[#This Row],[Source Row]]="","",N(Salary_Calculation[[#This Row],[missed_days_penalty]])+N(Salary_Calculation[[#This Row],[Rider Balance]])+N(Salary_Calculation[[#This Row],[stacking_deduction]])+N(Salary_Calculation[[#This Row],[Other Deductions]]))</f>
        <v/>
      </c>
      <c r="W282" s="167" t="str">
        <f aca="false">IF(Salary_Calculation[[#This Row],[Source Row]]="","",ROUND(MAX(Salary_Calculation[[#This Row],[Gross Salary Before Deductions]]-Salary_Calculation[[#This Row],[Total Deductions]],0),2))</f>
        <v/>
      </c>
      <c r="X282" s="164" t="str">
        <f aca="false">IF(Salary_Calculation[[#This Row],[Source Row]]="","",ROUND(MAX(Salary_Calculation[[#This Row],[Missing-Order Deduction]]-Salary_Calculation[[#This Row],[Earned Salary]],0),2))</f>
        <v/>
      </c>
      <c r="Y28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82" s="163" t="str">
        <f aca="false">IF(Salary_Calculation[[#This Row],[Source Row]]="","",IF(INDEX(Rider_Input[Notes],Salary_Calculation[[#This Row],[Source Row]])="","",INDEX(Rider_Input[Notes],Salary_Calculation[[#This Row],[Source Row]])))</f>
        <v/>
      </c>
      <c r="AA282" s="164" t="str">
        <f aca="false">IF(Salary_Calculation[[#This Row],[Source Row]]="","",Salary_Calculation[[#This Row],[Earned Salary]]-Salary_Calculation[[#This Row],[Missing-Order Deduction]]+Salary_Calculation[[#This Row],[Extra-Order Bonus]])</f>
        <v/>
      </c>
      <c r="AB282" s="164" t="str">
        <f aca="false">IF(Salary_Calculation[[#This Row],[Source Row]]="","",ROUND(Salary_Calculation[[#This Row],[Negative Balance / Amount Due from Rider]]+MAX(Salary_Calculation[[#This Row],[Total Deductions]]-Salary_Calculation[[#This Row],[Gross Salary Before Deductions]],0),2))</f>
        <v/>
      </c>
      <c r="AC28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82" s="164" t="str">
        <f aca="false">IF(Salary_Calculation[[#This Row],[Source Row]]="","",Salary_Calculation[[#This Row],[Rider Target Orders]]*Salary_Calculation[[#This Row],[Base Order Rate]])</f>
        <v/>
      </c>
      <c r="AE282" s="162" t="str">
        <f aca="false">IF(SUMPRODUCT(--(LEN(INDEX(Rider_Input[#Data],ROW()-ROW(Salary_Calculation[#Headers]),0))&gt;0))=0,"",ROW()-ROW(Salary_Calculation[#Headers]))</f>
        <v/>
      </c>
    </row>
    <row r="283" customFormat="false" ht="14.25" hidden="false" customHeight="false" outlineLevel="0" collapsed="false">
      <c r="A283" s="161" t="str">
        <f aca="false">IF(Salary_Calculation[[#This Row],[Source Row]]="","",IF(INDEX(Rider_Input[Salary Month],Salary_Calculation[[#This Row],[Source Row]])="","",INDEX(Rider_Input[Salary Month],Salary_Calculation[[#This Row],[Source Row]])))</f>
        <v/>
      </c>
      <c r="B283" s="162" t="str">
        <f aca="false">IF(Salary_Calculation[[#This Row],[Source Row]]="","",IF(INDEX(Rider_Input[Rider ID],Salary_Calculation[[#This Row],[Source Row]])="","",INDEX(Rider_Input[Rider ID],Salary_Calculation[[#This Row],[Source Row]])))</f>
        <v/>
      </c>
      <c r="C283" s="163" t="str">
        <f aca="false">IF(Salary_Calculation[[#This Row],[Source Row]]="","",IF(INDEX(Rider_Input[Rider Name],Salary_Calculation[[#This Row],[Source Row]])="","",INDEX(Rider_Input[Rider Name],Salary_Calculation[[#This Row],[Source Row]])))</f>
        <v/>
      </c>
      <c r="D283" s="164" t="str">
        <f aca="false">IF(Salary_Calculation[[#This Row],[Source Row]]="","",IF(INDEX(Rider_Input[Basic Payment],Salary_Calculation[[#This Row],[Source Row]])="","",INDEX(Rider_Input[Basic Payment],Salary_Calculation[[#This Row],[Source Row]])))</f>
        <v/>
      </c>
      <c r="E283" s="162" t="str">
        <f aca="false">IF(Salary_Calculation[[#This Row],[Source Row]]="","",IF(INDEX(Rider_Input[Calendar Days in Month],Salary_Calculation[[#This Row],[Source Row]])="","",INDEX(Rider_Input[Calendar Days in Month],Salary_Calculation[[#This Row],[Source Row]])))</f>
        <v/>
      </c>
      <c r="F283" s="162" t="str">
        <f aca="false">IF(Salary_Calculation[[#This Row],[Source Row]]="","",IF(INDEX(Rider_Input[Working Days],Salary_Calculation[[#This Row],[Source Row]])="","",INDEX(Rider_Input[Working Days],Salary_Calculation[[#This Row],[Source Row]])))</f>
        <v/>
      </c>
      <c r="G283" s="165" t="str">
        <f aca="false">IF(Salary_Calculation[[#This Row],[Source Row]]="","",Std_Orders/Std_Days*N(Salary_Calculation[[#This Row],[Calendar Days]]))</f>
        <v/>
      </c>
      <c r="H283" s="165" t="str">
        <f aca="false">IF(Salary_Calculation[[#This Row],[Source Row]]="","",IF(N(Salary_Calculation[[#This Row],[Calendar Days]])&gt;0,Salary_Calculation[[#This Row],[Monthly Target Orders]]/N(Salary_Calculation[[#This Row],[Calendar Days]])*N(Salary_Calculation[[#This Row],[Working Days]]),0))</f>
        <v/>
      </c>
      <c r="I283" s="166" t="str">
        <f aca="false">IF(Salary_Calculation[[#This Row],[Source Row]]="","",IF(INDEX(Rider_Input[Completed Orders],Salary_Calculation[[#This Row],[Source Row]])="","",INDEX(Rider_Input[Completed Orders],Salary_Calculation[[#This Row],[Source Row]])))</f>
        <v/>
      </c>
      <c r="J283" s="165" t="str">
        <f aca="false">IF(Salary_Calculation[[#This Row],[Source Row]]="","",IF(Rate_Method="Fixed rate",Fixed_Rate,IF(N(Salary_Calculation[[#This Row],[Basic Payment]])&gt;0,N(Salary_Calculation[[#This Row],[Basic Payment]])/Std_Orders,0)))</f>
        <v/>
      </c>
      <c r="K283" s="165" t="str">
        <f aca="false">IF(Salary_Calculation[[#This Row],[Source Row]]="","",MAX(MIN(N(Salary_Calculation[[#This Row],[Completed Orders]]),Salary_Calculation[[#This Row],[Rider Target Orders]]),0))</f>
        <v/>
      </c>
      <c r="L283" s="164" t="str">
        <f aca="false">IF(Salary_Calculation[[#This Row],[Source Row]]="","",Salary_Calculation[[#This Row],[Orders Counted at Base Rate]]*Salary_Calculation[[#This Row],[Base Order Rate]])</f>
        <v/>
      </c>
      <c r="M283" s="165" t="str">
        <f aca="false">IF(Salary_Calculation[[#This Row],[Source Row]]="","",MAX(Salary_Calculation[[#This Row],[Rider Target Orders]]-N(Salary_Calculation[[#This Row],[Completed Orders]]),0))</f>
        <v/>
      </c>
      <c r="N283" s="164" t="str">
        <f aca="false">IF(Salary_Calculation[[#This Row],[Source Row]]="","",Salary_Calculation[[#This Row],[Missing Orders]]*Missing_Rate)</f>
        <v/>
      </c>
      <c r="O283" s="165" t="str">
        <f aca="false">IF(Salary_Calculation[[#This Row],[Source Row]]="","",MAX(N(Salary_Calculation[[#This Row],[Completed Orders]])-Salary_Calculation[[#This Row],[Rider Target Orders]],0))</f>
        <v/>
      </c>
      <c r="P283" s="164" t="str">
        <f aca="false">IF(Salary_Calculation[[#This Row],[Source Row]]="","",Salary_Calculation[[#This Row],[Extra Orders]]*Extra_Rate)</f>
        <v/>
      </c>
      <c r="Q283" s="164" t="str">
        <f aca="false">IF(Salary_Calculation[[#This Row],[Source Row]]="","",MAX(Salary_Calculation[[#This Row],[Salary Before Other Deductions]],0))</f>
        <v/>
      </c>
      <c r="R283" s="164" t="str">
        <f aca="false">IF(Salary_Calculation[[#This Row],[Source Row]]="","",N(INDEX(Rider_Input[missed_days_penalty],Salary_Calculation[[#This Row],[Source Row]])))</f>
        <v/>
      </c>
      <c r="S283" s="164" t="str">
        <f aca="false">IF(Salary_Calculation[[#This Row],[Source Row]]="","",N(INDEX(Rider_Input[Rider Balance / محفظة المندوب],Salary_Calculation[[#This Row],[Source Row]])))</f>
        <v/>
      </c>
      <c r="T283" s="164" t="str">
        <f aca="false">IF(Salary_Calculation[[#This Row],[Source Row]]="","",N(INDEX(Rider_Input[stacking_deduction / خصم الطلبات المتعددة],Salary_Calculation[[#This Row],[Source Row]])))</f>
        <v/>
      </c>
      <c r="U283" s="164" t="str">
        <f aca="false">IF(Salary_Calculation[[#This Row],[Source Row]]="","",N(INDEX(Rider_Input[Other Deductions],Salary_Calculation[[#This Row],[Source Row]])))</f>
        <v/>
      </c>
      <c r="V283" s="164" t="str">
        <f aca="false">IF(Salary_Calculation[[#This Row],[Source Row]]="","",N(Salary_Calculation[[#This Row],[missed_days_penalty]])+N(Salary_Calculation[[#This Row],[Rider Balance]])+N(Salary_Calculation[[#This Row],[stacking_deduction]])+N(Salary_Calculation[[#This Row],[Other Deductions]]))</f>
        <v/>
      </c>
      <c r="W283" s="167" t="str">
        <f aca="false">IF(Salary_Calculation[[#This Row],[Source Row]]="","",ROUND(MAX(Salary_Calculation[[#This Row],[Gross Salary Before Deductions]]-Salary_Calculation[[#This Row],[Total Deductions]],0),2))</f>
        <v/>
      </c>
      <c r="X283" s="164" t="str">
        <f aca="false">IF(Salary_Calculation[[#This Row],[Source Row]]="","",ROUND(MAX(Salary_Calculation[[#This Row],[Missing-Order Deduction]]-Salary_Calculation[[#This Row],[Earned Salary]],0),2))</f>
        <v/>
      </c>
      <c r="Y28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83" s="163" t="str">
        <f aca="false">IF(Salary_Calculation[[#This Row],[Source Row]]="","",IF(INDEX(Rider_Input[Notes],Salary_Calculation[[#This Row],[Source Row]])="","",INDEX(Rider_Input[Notes],Salary_Calculation[[#This Row],[Source Row]])))</f>
        <v/>
      </c>
      <c r="AA283" s="164" t="str">
        <f aca="false">IF(Salary_Calculation[[#This Row],[Source Row]]="","",Salary_Calculation[[#This Row],[Earned Salary]]-Salary_Calculation[[#This Row],[Missing-Order Deduction]]+Salary_Calculation[[#This Row],[Extra-Order Bonus]])</f>
        <v/>
      </c>
      <c r="AB283" s="164" t="str">
        <f aca="false">IF(Salary_Calculation[[#This Row],[Source Row]]="","",ROUND(Salary_Calculation[[#This Row],[Negative Balance / Amount Due from Rider]]+MAX(Salary_Calculation[[#This Row],[Total Deductions]]-Salary_Calculation[[#This Row],[Gross Salary Before Deductions]],0),2))</f>
        <v/>
      </c>
      <c r="AC28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83" s="164" t="str">
        <f aca="false">IF(Salary_Calculation[[#This Row],[Source Row]]="","",Salary_Calculation[[#This Row],[Rider Target Orders]]*Salary_Calculation[[#This Row],[Base Order Rate]])</f>
        <v/>
      </c>
      <c r="AE283" s="162" t="str">
        <f aca="false">IF(SUMPRODUCT(--(LEN(INDEX(Rider_Input[#Data],ROW()-ROW(Salary_Calculation[#Headers]),0))&gt;0))=0,"",ROW()-ROW(Salary_Calculation[#Headers]))</f>
        <v/>
      </c>
    </row>
    <row r="284" customFormat="false" ht="14.25" hidden="false" customHeight="false" outlineLevel="0" collapsed="false">
      <c r="A284" s="161" t="str">
        <f aca="false">IF(Salary_Calculation[[#This Row],[Source Row]]="","",IF(INDEX(Rider_Input[Salary Month],Salary_Calculation[[#This Row],[Source Row]])="","",INDEX(Rider_Input[Salary Month],Salary_Calculation[[#This Row],[Source Row]])))</f>
        <v/>
      </c>
      <c r="B284" s="162" t="str">
        <f aca="false">IF(Salary_Calculation[[#This Row],[Source Row]]="","",IF(INDEX(Rider_Input[Rider ID],Salary_Calculation[[#This Row],[Source Row]])="","",INDEX(Rider_Input[Rider ID],Salary_Calculation[[#This Row],[Source Row]])))</f>
        <v/>
      </c>
      <c r="C284" s="163" t="str">
        <f aca="false">IF(Salary_Calculation[[#This Row],[Source Row]]="","",IF(INDEX(Rider_Input[Rider Name],Salary_Calculation[[#This Row],[Source Row]])="","",INDEX(Rider_Input[Rider Name],Salary_Calculation[[#This Row],[Source Row]])))</f>
        <v/>
      </c>
      <c r="D284" s="164" t="str">
        <f aca="false">IF(Salary_Calculation[[#This Row],[Source Row]]="","",IF(INDEX(Rider_Input[Basic Payment],Salary_Calculation[[#This Row],[Source Row]])="","",INDEX(Rider_Input[Basic Payment],Salary_Calculation[[#This Row],[Source Row]])))</f>
        <v/>
      </c>
      <c r="E284" s="162" t="str">
        <f aca="false">IF(Salary_Calculation[[#This Row],[Source Row]]="","",IF(INDEX(Rider_Input[Calendar Days in Month],Salary_Calculation[[#This Row],[Source Row]])="","",INDEX(Rider_Input[Calendar Days in Month],Salary_Calculation[[#This Row],[Source Row]])))</f>
        <v/>
      </c>
      <c r="F284" s="162" t="str">
        <f aca="false">IF(Salary_Calculation[[#This Row],[Source Row]]="","",IF(INDEX(Rider_Input[Working Days],Salary_Calculation[[#This Row],[Source Row]])="","",INDEX(Rider_Input[Working Days],Salary_Calculation[[#This Row],[Source Row]])))</f>
        <v/>
      </c>
      <c r="G284" s="165" t="str">
        <f aca="false">IF(Salary_Calculation[[#This Row],[Source Row]]="","",Std_Orders/Std_Days*N(Salary_Calculation[[#This Row],[Calendar Days]]))</f>
        <v/>
      </c>
      <c r="H284" s="165" t="str">
        <f aca="false">IF(Salary_Calculation[[#This Row],[Source Row]]="","",IF(N(Salary_Calculation[[#This Row],[Calendar Days]])&gt;0,Salary_Calculation[[#This Row],[Monthly Target Orders]]/N(Salary_Calculation[[#This Row],[Calendar Days]])*N(Salary_Calculation[[#This Row],[Working Days]]),0))</f>
        <v/>
      </c>
      <c r="I284" s="166" t="str">
        <f aca="false">IF(Salary_Calculation[[#This Row],[Source Row]]="","",IF(INDEX(Rider_Input[Completed Orders],Salary_Calculation[[#This Row],[Source Row]])="","",INDEX(Rider_Input[Completed Orders],Salary_Calculation[[#This Row],[Source Row]])))</f>
        <v/>
      </c>
      <c r="J284" s="165" t="str">
        <f aca="false">IF(Salary_Calculation[[#This Row],[Source Row]]="","",IF(Rate_Method="Fixed rate",Fixed_Rate,IF(N(Salary_Calculation[[#This Row],[Basic Payment]])&gt;0,N(Salary_Calculation[[#This Row],[Basic Payment]])/Std_Orders,0)))</f>
        <v/>
      </c>
      <c r="K284" s="165" t="str">
        <f aca="false">IF(Salary_Calculation[[#This Row],[Source Row]]="","",MAX(MIN(N(Salary_Calculation[[#This Row],[Completed Orders]]),Salary_Calculation[[#This Row],[Rider Target Orders]]),0))</f>
        <v/>
      </c>
      <c r="L284" s="164" t="str">
        <f aca="false">IF(Salary_Calculation[[#This Row],[Source Row]]="","",Salary_Calculation[[#This Row],[Orders Counted at Base Rate]]*Salary_Calculation[[#This Row],[Base Order Rate]])</f>
        <v/>
      </c>
      <c r="M284" s="165" t="str">
        <f aca="false">IF(Salary_Calculation[[#This Row],[Source Row]]="","",MAX(Salary_Calculation[[#This Row],[Rider Target Orders]]-N(Salary_Calculation[[#This Row],[Completed Orders]]),0))</f>
        <v/>
      </c>
      <c r="N284" s="164" t="str">
        <f aca="false">IF(Salary_Calculation[[#This Row],[Source Row]]="","",Salary_Calculation[[#This Row],[Missing Orders]]*Missing_Rate)</f>
        <v/>
      </c>
      <c r="O284" s="165" t="str">
        <f aca="false">IF(Salary_Calculation[[#This Row],[Source Row]]="","",MAX(N(Salary_Calculation[[#This Row],[Completed Orders]])-Salary_Calculation[[#This Row],[Rider Target Orders]],0))</f>
        <v/>
      </c>
      <c r="P284" s="164" t="str">
        <f aca="false">IF(Salary_Calculation[[#This Row],[Source Row]]="","",Salary_Calculation[[#This Row],[Extra Orders]]*Extra_Rate)</f>
        <v/>
      </c>
      <c r="Q284" s="164" t="str">
        <f aca="false">IF(Salary_Calculation[[#This Row],[Source Row]]="","",MAX(Salary_Calculation[[#This Row],[Salary Before Other Deductions]],0))</f>
        <v/>
      </c>
      <c r="R284" s="164" t="str">
        <f aca="false">IF(Salary_Calculation[[#This Row],[Source Row]]="","",N(INDEX(Rider_Input[missed_days_penalty],Salary_Calculation[[#This Row],[Source Row]])))</f>
        <v/>
      </c>
      <c r="S284" s="164" t="str">
        <f aca="false">IF(Salary_Calculation[[#This Row],[Source Row]]="","",N(INDEX(Rider_Input[Rider Balance / محفظة المندوب],Salary_Calculation[[#This Row],[Source Row]])))</f>
        <v/>
      </c>
      <c r="T284" s="164" t="str">
        <f aca="false">IF(Salary_Calculation[[#This Row],[Source Row]]="","",N(INDEX(Rider_Input[stacking_deduction / خصم الطلبات المتعددة],Salary_Calculation[[#This Row],[Source Row]])))</f>
        <v/>
      </c>
      <c r="U284" s="164" t="str">
        <f aca="false">IF(Salary_Calculation[[#This Row],[Source Row]]="","",N(INDEX(Rider_Input[Other Deductions],Salary_Calculation[[#This Row],[Source Row]])))</f>
        <v/>
      </c>
      <c r="V284" s="164" t="str">
        <f aca="false">IF(Salary_Calculation[[#This Row],[Source Row]]="","",N(Salary_Calculation[[#This Row],[missed_days_penalty]])+N(Salary_Calculation[[#This Row],[Rider Balance]])+N(Salary_Calculation[[#This Row],[stacking_deduction]])+N(Salary_Calculation[[#This Row],[Other Deductions]]))</f>
        <v/>
      </c>
      <c r="W284" s="167" t="str">
        <f aca="false">IF(Salary_Calculation[[#This Row],[Source Row]]="","",ROUND(MAX(Salary_Calculation[[#This Row],[Gross Salary Before Deductions]]-Salary_Calculation[[#This Row],[Total Deductions]],0),2))</f>
        <v/>
      </c>
      <c r="X284" s="164" t="str">
        <f aca="false">IF(Salary_Calculation[[#This Row],[Source Row]]="","",ROUND(MAX(Salary_Calculation[[#This Row],[Missing-Order Deduction]]-Salary_Calculation[[#This Row],[Earned Salary]],0),2))</f>
        <v/>
      </c>
      <c r="Y28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84" s="163" t="str">
        <f aca="false">IF(Salary_Calculation[[#This Row],[Source Row]]="","",IF(INDEX(Rider_Input[Notes],Salary_Calculation[[#This Row],[Source Row]])="","",INDEX(Rider_Input[Notes],Salary_Calculation[[#This Row],[Source Row]])))</f>
        <v/>
      </c>
      <c r="AA284" s="164" t="str">
        <f aca="false">IF(Salary_Calculation[[#This Row],[Source Row]]="","",Salary_Calculation[[#This Row],[Earned Salary]]-Salary_Calculation[[#This Row],[Missing-Order Deduction]]+Salary_Calculation[[#This Row],[Extra-Order Bonus]])</f>
        <v/>
      </c>
      <c r="AB284" s="164" t="str">
        <f aca="false">IF(Salary_Calculation[[#This Row],[Source Row]]="","",ROUND(Salary_Calculation[[#This Row],[Negative Balance / Amount Due from Rider]]+MAX(Salary_Calculation[[#This Row],[Total Deductions]]-Salary_Calculation[[#This Row],[Gross Salary Before Deductions]],0),2))</f>
        <v/>
      </c>
      <c r="AC28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84" s="164" t="str">
        <f aca="false">IF(Salary_Calculation[[#This Row],[Source Row]]="","",Salary_Calculation[[#This Row],[Rider Target Orders]]*Salary_Calculation[[#This Row],[Base Order Rate]])</f>
        <v/>
      </c>
      <c r="AE284" s="162" t="str">
        <f aca="false">IF(SUMPRODUCT(--(LEN(INDEX(Rider_Input[#Data],ROW()-ROW(Salary_Calculation[#Headers]),0))&gt;0))=0,"",ROW()-ROW(Salary_Calculation[#Headers]))</f>
        <v/>
      </c>
    </row>
    <row r="285" customFormat="false" ht="14.25" hidden="false" customHeight="false" outlineLevel="0" collapsed="false">
      <c r="A285" s="161" t="str">
        <f aca="false">IF(Salary_Calculation[[#This Row],[Source Row]]="","",IF(INDEX(Rider_Input[Salary Month],Salary_Calculation[[#This Row],[Source Row]])="","",INDEX(Rider_Input[Salary Month],Salary_Calculation[[#This Row],[Source Row]])))</f>
        <v/>
      </c>
      <c r="B285" s="162" t="str">
        <f aca="false">IF(Salary_Calculation[[#This Row],[Source Row]]="","",IF(INDEX(Rider_Input[Rider ID],Salary_Calculation[[#This Row],[Source Row]])="","",INDEX(Rider_Input[Rider ID],Salary_Calculation[[#This Row],[Source Row]])))</f>
        <v/>
      </c>
      <c r="C285" s="163" t="str">
        <f aca="false">IF(Salary_Calculation[[#This Row],[Source Row]]="","",IF(INDEX(Rider_Input[Rider Name],Salary_Calculation[[#This Row],[Source Row]])="","",INDEX(Rider_Input[Rider Name],Salary_Calculation[[#This Row],[Source Row]])))</f>
        <v/>
      </c>
      <c r="D285" s="164" t="str">
        <f aca="false">IF(Salary_Calculation[[#This Row],[Source Row]]="","",IF(INDEX(Rider_Input[Basic Payment],Salary_Calculation[[#This Row],[Source Row]])="","",INDEX(Rider_Input[Basic Payment],Salary_Calculation[[#This Row],[Source Row]])))</f>
        <v/>
      </c>
      <c r="E285" s="162" t="str">
        <f aca="false">IF(Salary_Calculation[[#This Row],[Source Row]]="","",IF(INDEX(Rider_Input[Calendar Days in Month],Salary_Calculation[[#This Row],[Source Row]])="","",INDEX(Rider_Input[Calendar Days in Month],Salary_Calculation[[#This Row],[Source Row]])))</f>
        <v/>
      </c>
      <c r="F285" s="162" t="str">
        <f aca="false">IF(Salary_Calculation[[#This Row],[Source Row]]="","",IF(INDEX(Rider_Input[Working Days],Salary_Calculation[[#This Row],[Source Row]])="","",INDEX(Rider_Input[Working Days],Salary_Calculation[[#This Row],[Source Row]])))</f>
        <v/>
      </c>
      <c r="G285" s="165" t="str">
        <f aca="false">IF(Salary_Calculation[[#This Row],[Source Row]]="","",Std_Orders/Std_Days*N(Salary_Calculation[[#This Row],[Calendar Days]]))</f>
        <v/>
      </c>
      <c r="H285" s="165" t="str">
        <f aca="false">IF(Salary_Calculation[[#This Row],[Source Row]]="","",IF(N(Salary_Calculation[[#This Row],[Calendar Days]])&gt;0,Salary_Calculation[[#This Row],[Monthly Target Orders]]/N(Salary_Calculation[[#This Row],[Calendar Days]])*N(Salary_Calculation[[#This Row],[Working Days]]),0))</f>
        <v/>
      </c>
      <c r="I285" s="166" t="str">
        <f aca="false">IF(Salary_Calculation[[#This Row],[Source Row]]="","",IF(INDEX(Rider_Input[Completed Orders],Salary_Calculation[[#This Row],[Source Row]])="","",INDEX(Rider_Input[Completed Orders],Salary_Calculation[[#This Row],[Source Row]])))</f>
        <v/>
      </c>
      <c r="J285" s="165" t="str">
        <f aca="false">IF(Salary_Calculation[[#This Row],[Source Row]]="","",IF(Rate_Method="Fixed rate",Fixed_Rate,IF(N(Salary_Calculation[[#This Row],[Basic Payment]])&gt;0,N(Salary_Calculation[[#This Row],[Basic Payment]])/Std_Orders,0)))</f>
        <v/>
      </c>
      <c r="K285" s="165" t="str">
        <f aca="false">IF(Salary_Calculation[[#This Row],[Source Row]]="","",MAX(MIN(N(Salary_Calculation[[#This Row],[Completed Orders]]),Salary_Calculation[[#This Row],[Rider Target Orders]]),0))</f>
        <v/>
      </c>
      <c r="L285" s="164" t="str">
        <f aca="false">IF(Salary_Calculation[[#This Row],[Source Row]]="","",Salary_Calculation[[#This Row],[Orders Counted at Base Rate]]*Salary_Calculation[[#This Row],[Base Order Rate]])</f>
        <v/>
      </c>
      <c r="M285" s="165" t="str">
        <f aca="false">IF(Salary_Calculation[[#This Row],[Source Row]]="","",MAX(Salary_Calculation[[#This Row],[Rider Target Orders]]-N(Salary_Calculation[[#This Row],[Completed Orders]]),0))</f>
        <v/>
      </c>
      <c r="N285" s="164" t="str">
        <f aca="false">IF(Salary_Calculation[[#This Row],[Source Row]]="","",Salary_Calculation[[#This Row],[Missing Orders]]*Missing_Rate)</f>
        <v/>
      </c>
      <c r="O285" s="165" t="str">
        <f aca="false">IF(Salary_Calculation[[#This Row],[Source Row]]="","",MAX(N(Salary_Calculation[[#This Row],[Completed Orders]])-Salary_Calculation[[#This Row],[Rider Target Orders]],0))</f>
        <v/>
      </c>
      <c r="P285" s="164" t="str">
        <f aca="false">IF(Salary_Calculation[[#This Row],[Source Row]]="","",Salary_Calculation[[#This Row],[Extra Orders]]*Extra_Rate)</f>
        <v/>
      </c>
      <c r="Q285" s="164" t="str">
        <f aca="false">IF(Salary_Calculation[[#This Row],[Source Row]]="","",MAX(Salary_Calculation[[#This Row],[Salary Before Other Deductions]],0))</f>
        <v/>
      </c>
      <c r="R285" s="164" t="str">
        <f aca="false">IF(Salary_Calculation[[#This Row],[Source Row]]="","",N(INDEX(Rider_Input[missed_days_penalty],Salary_Calculation[[#This Row],[Source Row]])))</f>
        <v/>
      </c>
      <c r="S285" s="164" t="str">
        <f aca="false">IF(Salary_Calculation[[#This Row],[Source Row]]="","",N(INDEX(Rider_Input[Rider Balance / محفظة المندوب],Salary_Calculation[[#This Row],[Source Row]])))</f>
        <v/>
      </c>
      <c r="T285" s="164" t="str">
        <f aca="false">IF(Salary_Calculation[[#This Row],[Source Row]]="","",N(INDEX(Rider_Input[stacking_deduction / خصم الطلبات المتعددة],Salary_Calculation[[#This Row],[Source Row]])))</f>
        <v/>
      </c>
      <c r="U285" s="164" t="str">
        <f aca="false">IF(Salary_Calculation[[#This Row],[Source Row]]="","",N(INDEX(Rider_Input[Other Deductions],Salary_Calculation[[#This Row],[Source Row]])))</f>
        <v/>
      </c>
      <c r="V285" s="164" t="str">
        <f aca="false">IF(Salary_Calculation[[#This Row],[Source Row]]="","",N(Salary_Calculation[[#This Row],[missed_days_penalty]])+N(Salary_Calculation[[#This Row],[Rider Balance]])+N(Salary_Calculation[[#This Row],[stacking_deduction]])+N(Salary_Calculation[[#This Row],[Other Deductions]]))</f>
        <v/>
      </c>
      <c r="W285" s="167" t="str">
        <f aca="false">IF(Salary_Calculation[[#This Row],[Source Row]]="","",ROUND(MAX(Salary_Calculation[[#This Row],[Gross Salary Before Deductions]]-Salary_Calculation[[#This Row],[Total Deductions]],0),2))</f>
        <v/>
      </c>
      <c r="X285" s="164" t="str">
        <f aca="false">IF(Salary_Calculation[[#This Row],[Source Row]]="","",ROUND(MAX(Salary_Calculation[[#This Row],[Missing-Order Deduction]]-Salary_Calculation[[#This Row],[Earned Salary]],0),2))</f>
        <v/>
      </c>
      <c r="Y28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85" s="163" t="str">
        <f aca="false">IF(Salary_Calculation[[#This Row],[Source Row]]="","",IF(INDEX(Rider_Input[Notes],Salary_Calculation[[#This Row],[Source Row]])="","",INDEX(Rider_Input[Notes],Salary_Calculation[[#This Row],[Source Row]])))</f>
        <v/>
      </c>
      <c r="AA285" s="164" t="str">
        <f aca="false">IF(Salary_Calculation[[#This Row],[Source Row]]="","",Salary_Calculation[[#This Row],[Earned Salary]]-Salary_Calculation[[#This Row],[Missing-Order Deduction]]+Salary_Calculation[[#This Row],[Extra-Order Bonus]])</f>
        <v/>
      </c>
      <c r="AB285" s="164" t="str">
        <f aca="false">IF(Salary_Calculation[[#This Row],[Source Row]]="","",ROUND(Salary_Calculation[[#This Row],[Negative Balance / Amount Due from Rider]]+MAX(Salary_Calculation[[#This Row],[Total Deductions]]-Salary_Calculation[[#This Row],[Gross Salary Before Deductions]],0),2))</f>
        <v/>
      </c>
      <c r="AC28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85" s="164" t="str">
        <f aca="false">IF(Salary_Calculation[[#This Row],[Source Row]]="","",Salary_Calculation[[#This Row],[Rider Target Orders]]*Salary_Calculation[[#This Row],[Base Order Rate]])</f>
        <v/>
      </c>
      <c r="AE285" s="162" t="str">
        <f aca="false">IF(SUMPRODUCT(--(LEN(INDEX(Rider_Input[#Data],ROW()-ROW(Salary_Calculation[#Headers]),0))&gt;0))=0,"",ROW()-ROW(Salary_Calculation[#Headers]))</f>
        <v/>
      </c>
    </row>
    <row r="286" customFormat="false" ht="14.25" hidden="false" customHeight="false" outlineLevel="0" collapsed="false">
      <c r="A286" s="161" t="str">
        <f aca="false">IF(Salary_Calculation[[#This Row],[Source Row]]="","",IF(INDEX(Rider_Input[Salary Month],Salary_Calculation[[#This Row],[Source Row]])="","",INDEX(Rider_Input[Salary Month],Salary_Calculation[[#This Row],[Source Row]])))</f>
        <v/>
      </c>
      <c r="B286" s="162" t="str">
        <f aca="false">IF(Salary_Calculation[[#This Row],[Source Row]]="","",IF(INDEX(Rider_Input[Rider ID],Salary_Calculation[[#This Row],[Source Row]])="","",INDEX(Rider_Input[Rider ID],Salary_Calculation[[#This Row],[Source Row]])))</f>
        <v/>
      </c>
      <c r="C286" s="163" t="str">
        <f aca="false">IF(Salary_Calculation[[#This Row],[Source Row]]="","",IF(INDEX(Rider_Input[Rider Name],Salary_Calculation[[#This Row],[Source Row]])="","",INDEX(Rider_Input[Rider Name],Salary_Calculation[[#This Row],[Source Row]])))</f>
        <v/>
      </c>
      <c r="D286" s="164" t="str">
        <f aca="false">IF(Salary_Calculation[[#This Row],[Source Row]]="","",IF(INDEX(Rider_Input[Basic Payment],Salary_Calculation[[#This Row],[Source Row]])="","",INDEX(Rider_Input[Basic Payment],Salary_Calculation[[#This Row],[Source Row]])))</f>
        <v/>
      </c>
      <c r="E286" s="162" t="str">
        <f aca="false">IF(Salary_Calculation[[#This Row],[Source Row]]="","",IF(INDEX(Rider_Input[Calendar Days in Month],Salary_Calculation[[#This Row],[Source Row]])="","",INDEX(Rider_Input[Calendar Days in Month],Salary_Calculation[[#This Row],[Source Row]])))</f>
        <v/>
      </c>
      <c r="F286" s="162" t="str">
        <f aca="false">IF(Salary_Calculation[[#This Row],[Source Row]]="","",IF(INDEX(Rider_Input[Working Days],Salary_Calculation[[#This Row],[Source Row]])="","",INDEX(Rider_Input[Working Days],Salary_Calculation[[#This Row],[Source Row]])))</f>
        <v/>
      </c>
      <c r="G286" s="165" t="str">
        <f aca="false">IF(Salary_Calculation[[#This Row],[Source Row]]="","",Std_Orders/Std_Days*N(Salary_Calculation[[#This Row],[Calendar Days]]))</f>
        <v/>
      </c>
      <c r="H286" s="165" t="str">
        <f aca="false">IF(Salary_Calculation[[#This Row],[Source Row]]="","",IF(N(Salary_Calculation[[#This Row],[Calendar Days]])&gt;0,Salary_Calculation[[#This Row],[Monthly Target Orders]]/N(Salary_Calculation[[#This Row],[Calendar Days]])*N(Salary_Calculation[[#This Row],[Working Days]]),0))</f>
        <v/>
      </c>
      <c r="I286" s="166" t="str">
        <f aca="false">IF(Salary_Calculation[[#This Row],[Source Row]]="","",IF(INDEX(Rider_Input[Completed Orders],Salary_Calculation[[#This Row],[Source Row]])="","",INDEX(Rider_Input[Completed Orders],Salary_Calculation[[#This Row],[Source Row]])))</f>
        <v/>
      </c>
      <c r="J286" s="165" t="str">
        <f aca="false">IF(Salary_Calculation[[#This Row],[Source Row]]="","",IF(Rate_Method="Fixed rate",Fixed_Rate,IF(N(Salary_Calculation[[#This Row],[Basic Payment]])&gt;0,N(Salary_Calculation[[#This Row],[Basic Payment]])/Std_Orders,0)))</f>
        <v/>
      </c>
      <c r="K286" s="165" t="str">
        <f aca="false">IF(Salary_Calculation[[#This Row],[Source Row]]="","",MAX(MIN(N(Salary_Calculation[[#This Row],[Completed Orders]]),Salary_Calculation[[#This Row],[Rider Target Orders]]),0))</f>
        <v/>
      </c>
      <c r="L286" s="164" t="str">
        <f aca="false">IF(Salary_Calculation[[#This Row],[Source Row]]="","",Salary_Calculation[[#This Row],[Orders Counted at Base Rate]]*Salary_Calculation[[#This Row],[Base Order Rate]])</f>
        <v/>
      </c>
      <c r="M286" s="165" t="str">
        <f aca="false">IF(Salary_Calculation[[#This Row],[Source Row]]="","",MAX(Salary_Calculation[[#This Row],[Rider Target Orders]]-N(Salary_Calculation[[#This Row],[Completed Orders]]),0))</f>
        <v/>
      </c>
      <c r="N286" s="164" t="str">
        <f aca="false">IF(Salary_Calculation[[#This Row],[Source Row]]="","",Salary_Calculation[[#This Row],[Missing Orders]]*Missing_Rate)</f>
        <v/>
      </c>
      <c r="O286" s="165" t="str">
        <f aca="false">IF(Salary_Calculation[[#This Row],[Source Row]]="","",MAX(N(Salary_Calculation[[#This Row],[Completed Orders]])-Salary_Calculation[[#This Row],[Rider Target Orders]],0))</f>
        <v/>
      </c>
      <c r="P286" s="164" t="str">
        <f aca="false">IF(Salary_Calculation[[#This Row],[Source Row]]="","",Salary_Calculation[[#This Row],[Extra Orders]]*Extra_Rate)</f>
        <v/>
      </c>
      <c r="Q286" s="164" t="str">
        <f aca="false">IF(Salary_Calculation[[#This Row],[Source Row]]="","",MAX(Salary_Calculation[[#This Row],[Salary Before Other Deductions]],0))</f>
        <v/>
      </c>
      <c r="R286" s="164" t="str">
        <f aca="false">IF(Salary_Calculation[[#This Row],[Source Row]]="","",N(INDEX(Rider_Input[missed_days_penalty],Salary_Calculation[[#This Row],[Source Row]])))</f>
        <v/>
      </c>
      <c r="S286" s="164" t="str">
        <f aca="false">IF(Salary_Calculation[[#This Row],[Source Row]]="","",N(INDEX(Rider_Input[Rider Balance / محفظة المندوب],Salary_Calculation[[#This Row],[Source Row]])))</f>
        <v/>
      </c>
      <c r="T286" s="164" t="str">
        <f aca="false">IF(Salary_Calculation[[#This Row],[Source Row]]="","",N(INDEX(Rider_Input[stacking_deduction / خصم الطلبات المتعددة],Salary_Calculation[[#This Row],[Source Row]])))</f>
        <v/>
      </c>
      <c r="U286" s="164" t="str">
        <f aca="false">IF(Salary_Calculation[[#This Row],[Source Row]]="","",N(INDEX(Rider_Input[Other Deductions],Salary_Calculation[[#This Row],[Source Row]])))</f>
        <v/>
      </c>
      <c r="V286" s="164" t="str">
        <f aca="false">IF(Salary_Calculation[[#This Row],[Source Row]]="","",N(Salary_Calculation[[#This Row],[missed_days_penalty]])+N(Salary_Calculation[[#This Row],[Rider Balance]])+N(Salary_Calculation[[#This Row],[stacking_deduction]])+N(Salary_Calculation[[#This Row],[Other Deductions]]))</f>
        <v/>
      </c>
      <c r="W286" s="167" t="str">
        <f aca="false">IF(Salary_Calculation[[#This Row],[Source Row]]="","",ROUND(MAX(Salary_Calculation[[#This Row],[Gross Salary Before Deductions]]-Salary_Calculation[[#This Row],[Total Deductions]],0),2))</f>
        <v/>
      </c>
      <c r="X286" s="164" t="str">
        <f aca="false">IF(Salary_Calculation[[#This Row],[Source Row]]="","",ROUND(MAX(Salary_Calculation[[#This Row],[Missing-Order Deduction]]-Salary_Calculation[[#This Row],[Earned Salary]],0),2))</f>
        <v/>
      </c>
      <c r="Y28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86" s="163" t="str">
        <f aca="false">IF(Salary_Calculation[[#This Row],[Source Row]]="","",IF(INDEX(Rider_Input[Notes],Salary_Calculation[[#This Row],[Source Row]])="","",INDEX(Rider_Input[Notes],Salary_Calculation[[#This Row],[Source Row]])))</f>
        <v/>
      </c>
      <c r="AA286" s="164" t="str">
        <f aca="false">IF(Salary_Calculation[[#This Row],[Source Row]]="","",Salary_Calculation[[#This Row],[Earned Salary]]-Salary_Calculation[[#This Row],[Missing-Order Deduction]]+Salary_Calculation[[#This Row],[Extra-Order Bonus]])</f>
        <v/>
      </c>
      <c r="AB286" s="164" t="str">
        <f aca="false">IF(Salary_Calculation[[#This Row],[Source Row]]="","",ROUND(Salary_Calculation[[#This Row],[Negative Balance / Amount Due from Rider]]+MAX(Salary_Calculation[[#This Row],[Total Deductions]]-Salary_Calculation[[#This Row],[Gross Salary Before Deductions]],0),2))</f>
        <v/>
      </c>
      <c r="AC28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86" s="164" t="str">
        <f aca="false">IF(Salary_Calculation[[#This Row],[Source Row]]="","",Salary_Calculation[[#This Row],[Rider Target Orders]]*Salary_Calculation[[#This Row],[Base Order Rate]])</f>
        <v/>
      </c>
      <c r="AE286" s="162" t="str">
        <f aca="false">IF(SUMPRODUCT(--(LEN(INDEX(Rider_Input[#Data],ROW()-ROW(Salary_Calculation[#Headers]),0))&gt;0))=0,"",ROW()-ROW(Salary_Calculation[#Headers]))</f>
        <v/>
      </c>
    </row>
    <row r="287" customFormat="false" ht="14.25" hidden="false" customHeight="false" outlineLevel="0" collapsed="false">
      <c r="A287" s="161" t="str">
        <f aca="false">IF(Salary_Calculation[[#This Row],[Source Row]]="","",IF(INDEX(Rider_Input[Salary Month],Salary_Calculation[[#This Row],[Source Row]])="","",INDEX(Rider_Input[Salary Month],Salary_Calculation[[#This Row],[Source Row]])))</f>
        <v/>
      </c>
      <c r="B287" s="162" t="str">
        <f aca="false">IF(Salary_Calculation[[#This Row],[Source Row]]="","",IF(INDEX(Rider_Input[Rider ID],Salary_Calculation[[#This Row],[Source Row]])="","",INDEX(Rider_Input[Rider ID],Salary_Calculation[[#This Row],[Source Row]])))</f>
        <v/>
      </c>
      <c r="C287" s="163" t="str">
        <f aca="false">IF(Salary_Calculation[[#This Row],[Source Row]]="","",IF(INDEX(Rider_Input[Rider Name],Salary_Calculation[[#This Row],[Source Row]])="","",INDEX(Rider_Input[Rider Name],Salary_Calculation[[#This Row],[Source Row]])))</f>
        <v/>
      </c>
      <c r="D287" s="164" t="str">
        <f aca="false">IF(Salary_Calculation[[#This Row],[Source Row]]="","",IF(INDEX(Rider_Input[Basic Payment],Salary_Calculation[[#This Row],[Source Row]])="","",INDEX(Rider_Input[Basic Payment],Salary_Calculation[[#This Row],[Source Row]])))</f>
        <v/>
      </c>
      <c r="E287" s="162" t="str">
        <f aca="false">IF(Salary_Calculation[[#This Row],[Source Row]]="","",IF(INDEX(Rider_Input[Calendar Days in Month],Salary_Calculation[[#This Row],[Source Row]])="","",INDEX(Rider_Input[Calendar Days in Month],Salary_Calculation[[#This Row],[Source Row]])))</f>
        <v/>
      </c>
      <c r="F287" s="162" t="str">
        <f aca="false">IF(Salary_Calculation[[#This Row],[Source Row]]="","",IF(INDEX(Rider_Input[Working Days],Salary_Calculation[[#This Row],[Source Row]])="","",INDEX(Rider_Input[Working Days],Salary_Calculation[[#This Row],[Source Row]])))</f>
        <v/>
      </c>
      <c r="G287" s="165" t="str">
        <f aca="false">IF(Salary_Calculation[[#This Row],[Source Row]]="","",Std_Orders/Std_Days*N(Salary_Calculation[[#This Row],[Calendar Days]]))</f>
        <v/>
      </c>
      <c r="H287" s="165" t="str">
        <f aca="false">IF(Salary_Calculation[[#This Row],[Source Row]]="","",IF(N(Salary_Calculation[[#This Row],[Calendar Days]])&gt;0,Salary_Calculation[[#This Row],[Monthly Target Orders]]/N(Salary_Calculation[[#This Row],[Calendar Days]])*N(Salary_Calculation[[#This Row],[Working Days]]),0))</f>
        <v/>
      </c>
      <c r="I287" s="166" t="str">
        <f aca="false">IF(Salary_Calculation[[#This Row],[Source Row]]="","",IF(INDEX(Rider_Input[Completed Orders],Salary_Calculation[[#This Row],[Source Row]])="","",INDEX(Rider_Input[Completed Orders],Salary_Calculation[[#This Row],[Source Row]])))</f>
        <v/>
      </c>
      <c r="J287" s="165" t="str">
        <f aca="false">IF(Salary_Calculation[[#This Row],[Source Row]]="","",IF(Rate_Method="Fixed rate",Fixed_Rate,IF(N(Salary_Calculation[[#This Row],[Basic Payment]])&gt;0,N(Salary_Calculation[[#This Row],[Basic Payment]])/Std_Orders,0)))</f>
        <v/>
      </c>
      <c r="K287" s="165" t="str">
        <f aca="false">IF(Salary_Calculation[[#This Row],[Source Row]]="","",MAX(MIN(N(Salary_Calculation[[#This Row],[Completed Orders]]),Salary_Calculation[[#This Row],[Rider Target Orders]]),0))</f>
        <v/>
      </c>
      <c r="L287" s="164" t="str">
        <f aca="false">IF(Salary_Calculation[[#This Row],[Source Row]]="","",Salary_Calculation[[#This Row],[Orders Counted at Base Rate]]*Salary_Calculation[[#This Row],[Base Order Rate]])</f>
        <v/>
      </c>
      <c r="M287" s="165" t="str">
        <f aca="false">IF(Salary_Calculation[[#This Row],[Source Row]]="","",MAX(Salary_Calculation[[#This Row],[Rider Target Orders]]-N(Salary_Calculation[[#This Row],[Completed Orders]]),0))</f>
        <v/>
      </c>
      <c r="N287" s="164" t="str">
        <f aca="false">IF(Salary_Calculation[[#This Row],[Source Row]]="","",Salary_Calculation[[#This Row],[Missing Orders]]*Missing_Rate)</f>
        <v/>
      </c>
      <c r="O287" s="165" t="str">
        <f aca="false">IF(Salary_Calculation[[#This Row],[Source Row]]="","",MAX(N(Salary_Calculation[[#This Row],[Completed Orders]])-Salary_Calculation[[#This Row],[Rider Target Orders]],0))</f>
        <v/>
      </c>
      <c r="P287" s="164" t="str">
        <f aca="false">IF(Salary_Calculation[[#This Row],[Source Row]]="","",Salary_Calculation[[#This Row],[Extra Orders]]*Extra_Rate)</f>
        <v/>
      </c>
      <c r="Q287" s="164" t="str">
        <f aca="false">IF(Salary_Calculation[[#This Row],[Source Row]]="","",MAX(Salary_Calculation[[#This Row],[Salary Before Other Deductions]],0))</f>
        <v/>
      </c>
      <c r="R287" s="164" t="str">
        <f aca="false">IF(Salary_Calculation[[#This Row],[Source Row]]="","",N(INDEX(Rider_Input[missed_days_penalty],Salary_Calculation[[#This Row],[Source Row]])))</f>
        <v/>
      </c>
      <c r="S287" s="164" t="str">
        <f aca="false">IF(Salary_Calculation[[#This Row],[Source Row]]="","",N(INDEX(Rider_Input[Rider Balance / محفظة المندوب],Salary_Calculation[[#This Row],[Source Row]])))</f>
        <v/>
      </c>
      <c r="T287" s="164" t="str">
        <f aca="false">IF(Salary_Calculation[[#This Row],[Source Row]]="","",N(INDEX(Rider_Input[stacking_deduction / خصم الطلبات المتعددة],Salary_Calculation[[#This Row],[Source Row]])))</f>
        <v/>
      </c>
      <c r="U287" s="164" t="str">
        <f aca="false">IF(Salary_Calculation[[#This Row],[Source Row]]="","",N(INDEX(Rider_Input[Other Deductions],Salary_Calculation[[#This Row],[Source Row]])))</f>
        <v/>
      </c>
      <c r="V287" s="164" t="str">
        <f aca="false">IF(Salary_Calculation[[#This Row],[Source Row]]="","",N(Salary_Calculation[[#This Row],[missed_days_penalty]])+N(Salary_Calculation[[#This Row],[Rider Balance]])+N(Salary_Calculation[[#This Row],[stacking_deduction]])+N(Salary_Calculation[[#This Row],[Other Deductions]]))</f>
        <v/>
      </c>
      <c r="W287" s="167" t="str">
        <f aca="false">IF(Salary_Calculation[[#This Row],[Source Row]]="","",ROUND(MAX(Salary_Calculation[[#This Row],[Gross Salary Before Deductions]]-Salary_Calculation[[#This Row],[Total Deductions]],0),2))</f>
        <v/>
      </c>
      <c r="X287" s="164" t="str">
        <f aca="false">IF(Salary_Calculation[[#This Row],[Source Row]]="","",ROUND(MAX(Salary_Calculation[[#This Row],[Missing-Order Deduction]]-Salary_Calculation[[#This Row],[Earned Salary]],0),2))</f>
        <v/>
      </c>
      <c r="Y28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87" s="163" t="str">
        <f aca="false">IF(Salary_Calculation[[#This Row],[Source Row]]="","",IF(INDEX(Rider_Input[Notes],Salary_Calculation[[#This Row],[Source Row]])="","",INDEX(Rider_Input[Notes],Salary_Calculation[[#This Row],[Source Row]])))</f>
        <v/>
      </c>
      <c r="AA287" s="164" t="str">
        <f aca="false">IF(Salary_Calculation[[#This Row],[Source Row]]="","",Salary_Calculation[[#This Row],[Earned Salary]]-Salary_Calculation[[#This Row],[Missing-Order Deduction]]+Salary_Calculation[[#This Row],[Extra-Order Bonus]])</f>
        <v/>
      </c>
      <c r="AB287" s="164" t="str">
        <f aca="false">IF(Salary_Calculation[[#This Row],[Source Row]]="","",ROUND(Salary_Calculation[[#This Row],[Negative Balance / Amount Due from Rider]]+MAX(Salary_Calculation[[#This Row],[Total Deductions]]-Salary_Calculation[[#This Row],[Gross Salary Before Deductions]],0),2))</f>
        <v/>
      </c>
      <c r="AC28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87" s="164" t="str">
        <f aca="false">IF(Salary_Calculation[[#This Row],[Source Row]]="","",Salary_Calculation[[#This Row],[Rider Target Orders]]*Salary_Calculation[[#This Row],[Base Order Rate]])</f>
        <v/>
      </c>
      <c r="AE287" s="162" t="str">
        <f aca="false">IF(SUMPRODUCT(--(LEN(INDEX(Rider_Input[#Data],ROW()-ROW(Salary_Calculation[#Headers]),0))&gt;0))=0,"",ROW()-ROW(Salary_Calculation[#Headers]))</f>
        <v/>
      </c>
    </row>
    <row r="288" customFormat="false" ht="14.25" hidden="false" customHeight="false" outlineLevel="0" collapsed="false">
      <c r="A288" s="161" t="str">
        <f aca="false">IF(Salary_Calculation[[#This Row],[Source Row]]="","",IF(INDEX(Rider_Input[Salary Month],Salary_Calculation[[#This Row],[Source Row]])="","",INDEX(Rider_Input[Salary Month],Salary_Calculation[[#This Row],[Source Row]])))</f>
        <v/>
      </c>
      <c r="B288" s="162" t="str">
        <f aca="false">IF(Salary_Calculation[[#This Row],[Source Row]]="","",IF(INDEX(Rider_Input[Rider ID],Salary_Calculation[[#This Row],[Source Row]])="","",INDEX(Rider_Input[Rider ID],Salary_Calculation[[#This Row],[Source Row]])))</f>
        <v/>
      </c>
      <c r="C288" s="163" t="str">
        <f aca="false">IF(Salary_Calculation[[#This Row],[Source Row]]="","",IF(INDEX(Rider_Input[Rider Name],Salary_Calculation[[#This Row],[Source Row]])="","",INDEX(Rider_Input[Rider Name],Salary_Calculation[[#This Row],[Source Row]])))</f>
        <v/>
      </c>
      <c r="D288" s="164" t="str">
        <f aca="false">IF(Salary_Calculation[[#This Row],[Source Row]]="","",IF(INDEX(Rider_Input[Basic Payment],Salary_Calculation[[#This Row],[Source Row]])="","",INDEX(Rider_Input[Basic Payment],Salary_Calculation[[#This Row],[Source Row]])))</f>
        <v/>
      </c>
      <c r="E288" s="162" t="str">
        <f aca="false">IF(Salary_Calculation[[#This Row],[Source Row]]="","",IF(INDEX(Rider_Input[Calendar Days in Month],Salary_Calculation[[#This Row],[Source Row]])="","",INDEX(Rider_Input[Calendar Days in Month],Salary_Calculation[[#This Row],[Source Row]])))</f>
        <v/>
      </c>
      <c r="F288" s="162" t="str">
        <f aca="false">IF(Salary_Calculation[[#This Row],[Source Row]]="","",IF(INDEX(Rider_Input[Working Days],Salary_Calculation[[#This Row],[Source Row]])="","",INDEX(Rider_Input[Working Days],Salary_Calculation[[#This Row],[Source Row]])))</f>
        <v/>
      </c>
      <c r="G288" s="165" t="str">
        <f aca="false">IF(Salary_Calculation[[#This Row],[Source Row]]="","",Std_Orders/Std_Days*N(Salary_Calculation[[#This Row],[Calendar Days]]))</f>
        <v/>
      </c>
      <c r="H288" s="165" t="str">
        <f aca="false">IF(Salary_Calculation[[#This Row],[Source Row]]="","",IF(N(Salary_Calculation[[#This Row],[Calendar Days]])&gt;0,Salary_Calculation[[#This Row],[Monthly Target Orders]]/N(Salary_Calculation[[#This Row],[Calendar Days]])*N(Salary_Calculation[[#This Row],[Working Days]]),0))</f>
        <v/>
      </c>
      <c r="I288" s="166" t="str">
        <f aca="false">IF(Salary_Calculation[[#This Row],[Source Row]]="","",IF(INDEX(Rider_Input[Completed Orders],Salary_Calculation[[#This Row],[Source Row]])="","",INDEX(Rider_Input[Completed Orders],Salary_Calculation[[#This Row],[Source Row]])))</f>
        <v/>
      </c>
      <c r="J288" s="165" t="str">
        <f aca="false">IF(Salary_Calculation[[#This Row],[Source Row]]="","",IF(Rate_Method="Fixed rate",Fixed_Rate,IF(N(Salary_Calculation[[#This Row],[Basic Payment]])&gt;0,N(Salary_Calculation[[#This Row],[Basic Payment]])/Std_Orders,0)))</f>
        <v/>
      </c>
      <c r="K288" s="165" t="str">
        <f aca="false">IF(Salary_Calculation[[#This Row],[Source Row]]="","",MAX(MIN(N(Salary_Calculation[[#This Row],[Completed Orders]]),Salary_Calculation[[#This Row],[Rider Target Orders]]),0))</f>
        <v/>
      </c>
      <c r="L288" s="164" t="str">
        <f aca="false">IF(Salary_Calculation[[#This Row],[Source Row]]="","",Salary_Calculation[[#This Row],[Orders Counted at Base Rate]]*Salary_Calculation[[#This Row],[Base Order Rate]])</f>
        <v/>
      </c>
      <c r="M288" s="165" t="str">
        <f aca="false">IF(Salary_Calculation[[#This Row],[Source Row]]="","",MAX(Salary_Calculation[[#This Row],[Rider Target Orders]]-N(Salary_Calculation[[#This Row],[Completed Orders]]),0))</f>
        <v/>
      </c>
      <c r="N288" s="164" t="str">
        <f aca="false">IF(Salary_Calculation[[#This Row],[Source Row]]="","",Salary_Calculation[[#This Row],[Missing Orders]]*Missing_Rate)</f>
        <v/>
      </c>
      <c r="O288" s="165" t="str">
        <f aca="false">IF(Salary_Calculation[[#This Row],[Source Row]]="","",MAX(N(Salary_Calculation[[#This Row],[Completed Orders]])-Salary_Calculation[[#This Row],[Rider Target Orders]],0))</f>
        <v/>
      </c>
      <c r="P288" s="164" t="str">
        <f aca="false">IF(Salary_Calculation[[#This Row],[Source Row]]="","",Salary_Calculation[[#This Row],[Extra Orders]]*Extra_Rate)</f>
        <v/>
      </c>
      <c r="Q288" s="164" t="str">
        <f aca="false">IF(Salary_Calculation[[#This Row],[Source Row]]="","",MAX(Salary_Calculation[[#This Row],[Salary Before Other Deductions]],0))</f>
        <v/>
      </c>
      <c r="R288" s="164" t="str">
        <f aca="false">IF(Salary_Calculation[[#This Row],[Source Row]]="","",N(INDEX(Rider_Input[missed_days_penalty],Salary_Calculation[[#This Row],[Source Row]])))</f>
        <v/>
      </c>
      <c r="S288" s="164" t="str">
        <f aca="false">IF(Salary_Calculation[[#This Row],[Source Row]]="","",N(INDEX(Rider_Input[Rider Balance / محفظة المندوب],Salary_Calculation[[#This Row],[Source Row]])))</f>
        <v/>
      </c>
      <c r="T288" s="164" t="str">
        <f aca="false">IF(Salary_Calculation[[#This Row],[Source Row]]="","",N(INDEX(Rider_Input[stacking_deduction / خصم الطلبات المتعددة],Salary_Calculation[[#This Row],[Source Row]])))</f>
        <v/>
      </c>
      <c r="U288" s="164" t="str">
        <f aca="false">IF(Salary_Calculation[[#This Row],[Source Row]]="","",N(INDEX(Rider_Input[Other Deductions],Salary_Calculation[[#This Row],[Source Row]])))</f>
        <v/>
      </c>
      <c r="V288" s="164" t="str">
        <f aca="false">IF(Salary_Calculation[[#This Row],[Source Row]]="","",N(Salary_Calculation[[#This Row],[missed_days_penalty]])+N(Salary_Calculation[[#This Row],[Rider Balance]])+N(Salary_Calculation[[#This Row],[stacking_deduction]])+N(Salary_Calculation[[#This Row],[Other Deductions]]))</f>
        <v/>
      </c>
      <c r="W288" s="167" t="str">
        <f aca="false">IF(Salary_Calculation[[#This Row],[Source Row]]="","",ROUND(MAX(Salary_Calculation[[#This Row],[Gross Salary Before Deductions]]-Salary_Calculation[[#This Row],[Total Deductions]],0),2))</f>
        <v/>
      </c>
      <c r="X288" s="164" t="str">
        <f aca="false">IF(Salary_Calculation[[#This Row],[Source Row]]="","",ROUND(MAX(Salary_Calculation[[#This Row],[Missing-Order Deduction]]-Salary_Calculation[[#This Row],[Earned Salary]],0),2))</f>
        <v/>
      </c>
      <c r="Y28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88" s="163" t="str">
        <f aca="false">IF(Salary_Calculation[[#This Row],[Source Row]]="","",IF(INDEX(Rider_Input[Notes],Salary_Calculation[[#This Row],[Source Row]])="","",INDEX(Rider_Input[Notes],Salary_Calculation[[#This Row],[Source Row]])))</f>
        <v/>
      </c>
      <c r="AA288" s="164" t="str">
        <f aca="false">IF(Salary_Calculation[[#This Row],[Source Row]]="","",Salary_Calculation[[#This Row],[Earned Salary]]-Salary_Calculation[[#This Row],[Missing-Order Deduction]]+Salary_Calculation[[#This Row],[Extra-Order Bonus]])</f>
        <v/>
      </c>
      <c r="AB288" s="164" t="str">
        <f aca="false">IF(Salary_Calculation[[#This Row],[Source Row]]="","",ROUND(Salary_Calculation[[#This Row],[Negative Balance / Amount Due from Rider]]+MAX(Salary_Calculation[[#This Row],[Total Deductions]]-Salary_Calculation[[#This Row],[Gross Salary Before Deductions]],0),2))</f>
        <v/>
      </c>
      <c r="AC28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88" s="164" t="str">
        <f aca="false">IF(Salary_Calculation[[#This Row],[Source Row]]="","",Salary_Calculation[[#This Row],[Rider Target Orders]]*Salary_Calculation[[#This Row],[Base Order Rate]])</f>
        <v/>
      </c>
      <c r="AE288" s="162" t="str">
        <f aca="false">IF(SUMPRODUCT(--(LEN(INDEX(Rider_Input[#Data],ROW()-ROW(Salary_Calculation[#Headers]),0))&gt;0))=0,"",ROW()-ROW(Salary_Calculation[#Headers]))</f>
        <v/>
      </c>
    </row>
    <row r="289" customFormat="false" ht="14.25" hidden="false" customHeight="false" outlineLevel="0" collapsed="false">
      <c r="A289" s="161" t="str">
        <f aca="false">IF(Salary_Calculation[[#This Row],[Source Row]]="","",IF(INDEX(Rider_Input[Salary Month],Salary_Calculation[[#This Row],[Source Row]])="","",INDEX(Rider_Input[Salary Month],Salary_Calculation[[#This Row],[Source Row]])))</f>
        <v/>
      </c>
      <c r="B289" s="162" t="str">
        <f aca="false">IF(Salary_Calculation[[#This Row],[Source Row]]="","",IF(INDEX(Rider_Input[Rider ID],Salary_Calculation[[#This Row],[Source Row]])="","",INDEX(Rider_Input[Rider ID],Salary_Calculation[[#This Row],[Source Row]])))</f>
        <v/>
      </c>
      <c r="C289" s="163" t="str">
        <f aca="false">IF(Salary_Calculation[[#This Row],[Source Row]]="","",IF(INDEX(Rider_Input[Rider Name],Salary_Calculation[[#This Row],[Source Row]])="","",INDEX(Rider_Input[Rider Name],Salary_Calculation[[#This Row],[Source Row]])))</f>
        <v/>
      </c>
      <c r="D289" s="164" t="str">
        <f aca="false">IF(Salary_Calculation[[#This Row],[Source Row]]="","",IF(INDEX(Rider_Input[Basic Payment],Salary_Calculation[[#This Row],[Source Row]])="","",INDEX(Rider_Input[Basic Payment],Salary_Calculation[[#This Row],[Source Row]])))</f>
        <v/>
      </c>
      <c r="E289" s="162" t="str">
        <f aca="false">IF(Salary_Calculation[[#This Row],[Source Row]]="","",IF(INDEX(Rider_Input[Calendar Days in Month],Salary_Calculation[[#This Row],[Source Row]])="","",INDEX(Rider_Input[Calendar Days in Month],Salary_Calculation[[#This Row],[Source Row]])))</f>
        <v/>
      </c>
      <c r="F289" s="162" t="str">
        <f aca="false">IF(Salary_Calculation[[#This Row],[Source Row]]="","",IF(INDEX(Rider_Input[Working Days],Salary_Calculation[[#This Row],[Source Row]])="","",INDEX(Rider_Input[Working Days],Salary_Calculation[[#This Row],[Source Row]])))</f>
        <v/>
      </c>
      <c r="G289" s="165" t="str">
        <f aca="false">IF(Salary_Calculation[[#This Row],[Source Row]]="","",Std_Orders/Std_Days*N(Salary_Calculation[[#This Row],[Calendar Days]]))</f>
        <v/>
      </c>
      <c r="H289" s="165" t="str">
        <f aca="false">IF(Salary_Calculation[[#This Row],[Source Row]]="","",IF(N(Salary_Calculation[[#This Row],[Calendar Days]])&gt;0,Salary_Calculation[[#This Row],[Monthly Target Orders]]/N(Salary_Calculation[[#This Row],[Calendar Days]])*N(Salary_Calculation[[#This Row],[Working Days]]),0))</f>
        <v/>
      </c>
      <c r="I289" s="166" t="str">
        <f aca="false">IF(Salary_Calculation[[#This Row],[Source Row]]="","",IF(INDEX(Rider_Input[Completed Orders],Salary_Calculation[[#This Row],[Source Row]])="","",INDEX(Rider_Input[Completed Orders],Salary_Calculation[[#This Row],[Source Row]])))</f>
        <v/>
      </c>
      <c r="J289" s="165" t="str">
        <f aca="false">IF(Salary_Calculation[[#This Row],[Source Row]]="","",IF(Rate_Method="Fixed rate",Fixed_Rate,IF(N(Salary_Calculation[[#This Row],[Basic Payment]])&gt;0,N(Salary_Calculation[[#This Row],[Basic Payment]])/Std_Orders,0)))</f>
        <v/>
      </c>
      <c r="K289" s="165" t="str">
        <f aca="false">IF(Salary_Calculation[[#This Row],[Source Row]]="","",MAX(MIN(N(Salary_Calculation[[#This Row],[Completed Orders]]),Salary_Calculation[[#This Row],[Rider Target Orders]]),0))</f>
        <v/>
      </c>
      <c r="L289" s="164" t="str">
        <f aca="false">IF(Salary_Calculation[[#This Row],[Source Row]]="","",Salary_Calculation[[#This Row],[Orders Counted at Base Rate]]*Salary_Calculation[[#This Row],[Base Order Rate]])</f>
        <v/>
      </c>
      <c r="M289" s="165" t="str">
        <f aca="false">IF(Salary_Calculation[[#This Row],[Source Row]]="","",MAX(Salary_Calculation[[#This Row],[Rider Target Orders]]-N(Salary_Calculation[[#This Row],[Completed Orders]]),0))</f>
        <v/>
      </c>
      <c r="N289" s="164" t="str">
        <f aca="false">IF(Salary_Calculation[[#This Row],[Source Row]]="","",Salary_Calculation[[#This Row],[Missing Orders]]*Missing_Rate)</f>
        <v/>
      </c>
      <c r="O289" s="165" t="str">
        <f aca="false">IF(Salary_Calculation[[#This Row],[Source Row]]="","",MAX(N(Salary_Calculation[[#This Row],[Completed Orders]])-Salary_Calculation[[#This Row],[Rider Target Orders]],0))</f>
        <v/>
      </c>
      <c r="P289" s="164" t="str">
        <f aca="false">IF(Salary_Calculation[[#This Row],[Source Row]]="","",Salary_Calculation[[#This Row],[Extra Orders]]*Extra_Rate)</f>
        <v/>
      </c>
      <c r="Q289" s="164" t="str">
        <f aca="false">IF(Salary_Calculation[[#This Row],[Source Row]]="","",MAX(Salary_Calculation[[#This Row],[Salary Before Other Deductions]],0))</f>
        <v/>
      </c>
      <c r="R289" s="164" t="str">
        <f aca="false">IF(Salary_Calculation[[#This Row],[Source Row]]="","",N(INDEX(Rider_Input[missed_days_penalty],Salary_Calculation[[#This Row],[Source Row]])))</f>
        <v/>
      </c>
      <c r="S289" s="164" t="str">
        <f aca="false">IF(Salary_Calculation[[#This Row],[Source Row]]="","",N(INDEX(Rider_Input[Rider Balance / محفظة المندوب],Salary_Calculation[[#This Row],[Source Row]])))</f>
        <v/>
      </c>
      <c r="T289" s="164" t="str">
        <f aca="false">IF(Salary_Calculation[[#This Row],[Source Row]]="","",N(INDEX(Rider_Input[stacking_deduction / خصم الطلبات المتعددة],Salary_Calculation[[#This Row],[Source Row]])))</f>
        <v/>
      </c>
      <c r="U289" s="164" t="str">
        <f aca="false">IF(Salary_Calculation[[#This Row],[Source Row]]="","",N(INDEX(Rider_Input[Other Deductions],Salary_Calculation[[#This Row],[Source Row]])))</f>
        <v/>
      </c>
      <c r="V289" s="164" t="str">
        <f aca="false">IF(Salary_Calculation[[#This Row],[Source Row]]="","",N(Salary_Calculation[[#This Row],[missed_days_penalty]])+N(Salary_Calculation[[#This Row],[Rider Balance]])+N(Salary_Calculation[[#This Row],[stacking_deduction]])+N(Salary_Calculation[[#This Row],[Other Deductions]]))</f>
        <v/>
      </c>
      <c r="W289" s="167" t="str">
        <f aca="false">IF(Salary_Calculation[[#This Row],[Source Row]]="","",ROUND(MAX(Salary_Calculation[[#This Row],[Gross Salary Before Deductions]]-Salary_Calculation[[#This Row],[Total Deductions]],0),2))</f>
        <v/>
      </c>
      <c r="X289" s="164" t="str">
        <f aca="false">IF(Salary_Calculation[[#This Row],[Source Row]]="","",ROUND(MAX(Salary_Calculation[[#This Row],[Missing-Order Deduction]]-Salary_Calculation[[#This Row],[Earned Salary]],0),2))</f>
        <v/>
      </c>
      <c r="Y28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89" s="163" t="str">
        <f aca="false">IF(Salary_Calculation[[#This Row],[Source Row]]="","",IF(INDEX(Rider_Input[Notes],Salary_Calculation[[#This Row],[Source Row]])="","",INDEX(Rider_Input[Notes],Salary_Calculation[[#This Row],[Source Row]])))</f>
        <v/>
      </c>
      <c r="AA289" s="164" t="str">
        <f aca="false">IF(Salary_Calculation[[#This Row],[Source Row]]="","",Salary_Calculation[[#This Row],[Earned Salary]]-Salary_Calculation[[#This Row],[Missing-Order Deduction]]+Salary_Calculation[[#This Row],[Extra-Order Bonus]])</f>
        <v/>
      </c>
      <c r="AB289" s="164" t="str">
        <f aca="false">IF(Salary_Calculation[[#This Row],[Source Row]]="","",ROUND(Salary_Calculation[[#This Row],[Negative Balance / Amount Due from Rider]]+MAX(Salary_Calculation[[#This Row],[Total Deductions]]-Salary_Calculation[[#This Row],[Gross Salary Before Deductions]],0),2))</f>
        <v/>
      </c>
      <c r="AC28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89" s="164" t="str">
        <f aca="false">IF(Salary_Calculation[[#This Row],[Source Row]]="","",Salary_Calculation[[#This Row],[Rider Target Orders]]*Salary_Calculation[[#This Row],[Base Order Rate]])</f>
        <v/>
      </c>
      <c r="AE289" s="162" t="str">
        <f aca="false">IF(SUMPRODUCT(--(LEN(INDEX(Rider_Input[#Data],ROW()-ROW(Salary_Calculation[#Headers]),0))&gt;0))=0,"",ROW()-ROW(Salary_Calculation[#Headers]))</f>
        <v/>
      </c>
    </row>
    <row r="290" customFormat="false" ht="14.25" hidden="false" customHeight="false" outlineLevel="0" collapsed="false">
      <c r="A290" s="161" t="str">
        <f aca="false">IF(Salary_Calculation[[#This Row],[Source Row]]="","",IF(INDEX(Rider_Input[Salary Month],Salary_Calculation[[#This Row],[Source Row]])="","",INDEX(Rider_Input[Salary Month],Salary_Calculation[[#This Row],[Source Row]])))</f>
        <v/>
      </c>
      <c r="B290" s="162" t="str">
        <f aca="false">IF(Salary_Calculation[[#This Row],[Source Row]]="","",IF(INDEX(Rider_Input[Rider ID],Salary_Calculation[[#This Row],[Source Row]])="","",INDEX(Rider_Input[Rider ID],Salary_Calculation[[#This Row],[Source Row]])))</f>
        <v/>
      </c>
      <c r="C290" s="163" t="str">
        <f aca="false">IF(Salary_Calculation[[#This Row],[Source Row]]="","",IF(INDEX(Rider_Input[Rider Name],Salary_Calculation[[#This Row],[Source Row]])="","",INDEX(Rider_Input[Rider Name],Salary_Calculation[[#This Row],[Source Row]])))</f>
        <v/>
      </c>
      <c r="D290" s="164" t="str">
        <f aca="false">IF(Salary_Calculation[[#This Row],[Source Row]]="","",IF(INDEX(Rider_Input[Basic Payment],Salary_Calculation[[#This Row],[Source Row]])="","",INDEX(Rider_Input[Basic Payment],Salary_Calculation[[#This Row],[Source Row]])))</f>
        <v/>
      </c>
      <c r="E290" s="162" t="str">
        <f aca="false">IF(Salary_Calculation[[#This Row],[Source Row]]="","",IF(INDEX(Rider_Input[Calendar Days in Month],Salary_Calculation[[#This Row],[Source Row]])="","",INDEX(Rider_Input[Calendar Days in Month],Salary_Calculation[[#This Row],[Source Row]])))</f>
        <v/>
      </c>
      <c r="F290" s="162" t="str">
        <f aca="false">IF(Salary_Calculation[[#This Row],[Source Row]]="","",IF(INDEX(Rider_Input[Working Days],Salary_Calculation[[#This Row],[Source Row]])="","",INDEX(Rider_Input[Working Days],Salary_Calculation[[#This Row],[Source Row]])))</f>
        <v/>
      </c>
      <c r="G290" s="165" t="str">
        <f aca="false">IF(Salary_Calculation[[#This Row],[Source Row]]="","",Std_Orders/Std_Days*N(Salary_Calculation[[#This Row],[Calendar Days]]))</f>
        <v/>
      </c>
      <c r="H290" s="165" t="str">
        <f aca="false">IF(Salary_Calculation[[#This Row],[Source Row]]="","",IF(N(Salary_Calculation[[#This Row],[Calendar Days]])&gt;0,Salary_Calculation[[#This Row],[Monthly Target Orders]]/N(Salary_Calculation[[#This Row],[Calendar Days]])*N(Salary_Calculation[[#This Row],[Working Days]]),0))</f>
        <v/>
      </c>
      <c r="I290" s="166" t="str">
        <f aca="false">IF(Salary_Calculation[[#This Row],[Source Row]]="","",IF(INDEX(Rider_Input[Completed Orders],Salary_Calculation[[#This Row],[Source Row]])="","",INDEX(Rider_Input[Completed Orders],Salary_Calculation[[#This Row],[Source Row]])))</f>
        <v/>
      </c>
      <c r="J290" s="165" t="str">
        <f aca="false">IF(Salary_Calculation[[#This Row],[Source Row]]="","",IF(Rate_Method="Fixed rate",Fixed_Rate,IF(N(Salary_Calculation[[#This Row],[Basic Payment]])&gt;0,N(Salary_Calculation[[#This Row],[Basic Payment]])/Std_Orders,0)))</f>
        <v/>
      </c>
      <c r="K290" s="165" t="str">
        <f aca="false">IF(Salary_Calculation[[#This Row],[Source Row]]="","",MAX(MIN(N(Salary_Calculation[[#This Row],[Completed Orders]]),Salary_Calculation[[#This Row],[Rider Target Orders]]),0))</f>
        <v/>
      </c>
      <c r="L290" s="164" t="str">
        <f aca="false">IF(Salary_Calculation[[#This Row],[Source Row]]="","",Salary_Calculation[[#This Row],[Orders Counted at Base Rate]]*Salary_Calculation[[#This Row],[Base Order Rate]])</f>
        <v/>
      </c>
      <c r="M290" s="165" t="str">
        <f aca="false">IF(Salary_Calculation[[#This Row],[Source Row]]="","",MAX(Salary_Calculation[[#This Row],[Rider Target Orders]]-N(Salary_Calculation[[#This Row],[Completed Orders]]),0))</f>
        <v/>
      </c>
      <c r="N290" s="164" t="str">
        <f aca="false">IF(Salary_Calculation[[#This Row],[Source Row]]="","",Salary_Calculation[[#This Row],[Missing Orders]]*Missing_Rate)</f>
        <v/>
      </c>
      <c r="O290" s="165" t="str">
        <f aca="false">IF(Salary_Calculation[[#This Row],[Source Row]]="","",MAX(N(Salary_Calculation[[#This Row],[Completed Orders]])-Salary_Calculation[[#This Row],[Rider Target Orders]],0))</f>
        <v/>
      </c>
      <c r="P290" s="164" t="str">
        <f aca="false">IF(Salary_Calculation[[#This Row],[Source Row]]="","",Salary_Calculation[[#This Row],[Extra Orders]]*Extra_Rate)</f>
        <v/>
      </c>
      <c r="Q290" s="164" t="str">
        <f aca="false">IF(Salary_Calculation[[#This Row],[Source Row]]="","",MAX(Salary_Calculation[[#This Row],[Salary Before Other Deductions]],0))</f>
        <v/>
      </c>
      <c r="R290" s="164" t="str">
        <f aca="false">IF(Salary_Calculation[[#This Row],[Source Row]]="","",N(INDEX(Rider_Input[missed_days_penalty],Salary_Calculation[[#This Row],[Source Row]])))</f>
        <v/>
      </c>
      <c r="S290" s="164" t="str">
        <f aca="false">IF(Salary_Calculation[[#This Row],[Source Row]]="","",N(INDEX(Rider_Input[Rider Balance / محفظة المندوب],Salary_Calculation[[#This Row],[Source Row]])))</f>
        <v/>
      </c>
      <c r="T290" s="164" t="str">
        <f aca="false">IF(Salary_Calculation[[#This Row],[Source Row]]="","",N(INDEX(Rider_Input[stacking_deduction / خصم الطلبات المتعددة],Salary_Calculation[[#This Row],[Source Row]])))</f>
        <v/>
      </c>
      <c r="U290" s="164" t="str">
        <f aca="false">IF(Salary_Calculation[[#This Row],[Source Row]]="","",N(INDEX(Rider_Input[Other Deductions],Salary_Calculation[[#This Row],[Source Row]])))</f>
        <v/>
      </c>
      <c r="V290" s="164" t="str">
        <f aca="false">IF(Salary_Calculation[[#This Row],[Source Row]]="","",N(Salary_Calculation[[#This Row],[missed_days_penalty]])+N(Salary_Calculation[[#This Row],[Rider Balance]])+N(Salary_Calculation[[#This Row],[stacking_deduction]])+N(Salary_Calculation[[#This Row],[Other Deductions]]))</f>
        <v/>
      </c>
      <c r="W290" s="167" t="str">
        <f aca="false">IF(Salary_Calculation[[#This Row],[Source Row]]="","",ROUND(MAX(Salary_Calculation[[#This Row],[Gross Salary Before Deductions]]-Salary_Calculation[[#This Row],[Total Deductions]],0),2))</f>
        <v/>
      </c>
      <c r="X290" s="164" t="str">
        <f aca="false">IF(Salary_Calculation[[#This Row],[Source Row]]="","",ROUND(MAX(Salary_Calculation[[#This Row],[Missing-Order Deduction]]-Salary_Calculation[[#This Row],[Earned Salary]],0),2))</f>
        <v/>
      </c>
      <c r="Y29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90" s="163" t="str">
        <f aca="false">IF(Salary_Calculation[[#This Row],[Source Row]]="","",IF(INDEX(Rider_Input[Notes],Salary_Calculation[[#This Row],[Source Row]])="","",INDEX(Rider_Input[Notes],Salary_Calculation[[#This Row],[Source Row]])))</f>
        <v/>
      </c>
      <c r="AA290" s="164" t="str">
        <f aca="false">IF(Salary_Calculation[[#This Row],[Source Row]]="","",Salary_Calculation[[#This Row],[Earned Salary]]-Salary_Calculation[[#This Row],[Missing-Order Deduction]]+Salary_Calculation[[#This Row],[Extra-Order Bonus]])</f>
        <v/>
      </c>
      <c r="AB290" s="164" t="str">
        <f aca="false">IF(Salary_Calculation[[#This Row],[Source Row]]="","",ROUND(Salary_Calculation[[#This Row],[Negative Balance / Amount Due from Rider]]+MAX(Salary_Calculation[[#This Row],[Total Deductions]]-Salary_Calculation[[#This Row],[Gross Salary Before Deductions]],0),2))</f>
        <v/>
      </c>
      <c r="AC29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90" s="164" t="str">
        <f aca="false">IF(Salary_Calculation[[#This Row],[Source Row]]="","",Salary_Calculation[[#This Row],[Rider Target Orders]]*Salary_Calculation[[#This Row],[Base Order Rate]])</f>
        <v/>
      </c>
      <c r="AE290" s="162" t="str">
        <f aca="false">IF(SUMPRODUCT(--(LEN(INDEX(Rider_Input[#Data],ROW()-ROW(Salary_Calculation[#Headers]),0))&gt;0))=0,"",ROW()-ROW(Salary_Calculation[#Headers]))</f>
        <v/>
      </c>
    </row>
    <row r="291" customFormat="false" ht="14.25" hidden="false" customHeight="false" outlineLevel="0" collapsed="false">
      <c r="A291" s="161" t="str">
        <f aca="false">IF(Salary_Calculation[[#This Row],[Source Row]]="","",IF(INDEX(Rider_Input[Salary Month],Salary_Calculation[[#This Row],[Source Row]])="","",INDEX(Rider_Input[Salary Month],Salary_Calculation[[#This Row],[Source Row]])))</f>
        <v/>
      </c>
      <c r="B291" s="162" t="str">
        <f aca="false">IF(Salary_Calculation[[#This Row],[Source Row]]="","",IF(INDEX(Rider_Input[Rider ID],Salary_Calculation[[#This Row],[Source Row]])="","",INDEX(Rider_Input[Rider ID],Salary_Calculation[[#This Row],[Source Row]])))</f>
        <v/>
      </c>
      <c r="C291" s="163" t="str">
        <f aca="false">IF(Salary_Calculation[[#This Row],[Source Row]]="","",IF(INDEX(Rider_Input[Rider Name],Salary_Calculation[[#This Row],[Source Row]])="","",INDEX(Rider_Input[Rider Name],Salary_Calculation[[#This Row],[Source Row]])))</f>
        <v/>
      </c>
      <c r="D291" s="164" t="str">
        <f aca="false">IF(Salary_Calculation[[#This Row],[Source Row]]="","",IF(INDEX(Rider_Input[Basic Payment],Salary_Calculation[[#This Row],[Source Row]])="","",INDEX(Rider_Input[Basic Payment],Salary_Calculation[[#This Row],[Source Row]])))</f>
        <v/>
      </c>
      <c r="E291" s="162" t="str">
        <f aca="false">IF(Salary_Calculation[[#This Row],[Source Row]]="","",IF(INDEX(Rider_Input[Calendar Days in Month],Salary_Calculation[[#This Row],[Source Row]])="","",INDEX(Rider_Input[Calendar Days in Month],Salary_Calculation[[#This Row],[Source Row]])))</f>
        <v/>
      </c>
      <c r="F291" s="162" t="str">
        <f aca="false">IF(Salary_Calculation[[#This Row],[Source Row]]="","",IF(INDEX(Rider_Input[Working Days],Salary_Calculation[[#This Row],[Source Row]])="","",INDEX(Rider_Input[Working Days],Salary_Calculation[[#This Row],[Source Row]])))</f>
        <v/>
      </c>
      <c r="G291" s="165" t="str">
        <f aca="false">IF(Salary_Calculation[[#This Row],[Source Row]]="","",Std_Orders/Std_Days*N(Salary_Calculation[[#This Row],[Calendar Days]]))</f>
        <v/>
      </c>
      <c r="H291" s="165" t="str">
        <f aca="false">IF(Salary_Calculation[[#This Row],[Source Row]]="","",IF(N(Salary_Calculation[[#This Row],[Calendar Days]])&gt;0,Salary_Calculation[[#This Row],[Monthly Target Orders]]/N(Salary_Calculation[[#This Row],[Calendar Days]])*N(Salary_Calculation[[#This Row],[Working Days]]),0))</f>
        <v/>
      </c>
      <c r="I291" s="166" t="str">
        <f aca="false">IF(Salary_Calculation[[#This Row],[Source Row]]="","",IF(INDEX(Rider_Input[Completed Orders],Salary_Calculation[[#This Row],[Source Row]])="","",INDEX(Rider_Input[Completed Orders],Salary_Calculation[[#This Row],[Source Row]])))</f>
        <v/>
      </c>
      <c r="J291" s="165" t="str">
        <f aca="false">IF(Salary_Calculation[[#This Row],[Source Row]]="","",IF(Rate_Method="Fixed rate",Fixed_Rate,IF(N(Salary_Calculation[[#This Row],[Basic Payment]])&gt;0,N(Salary_Calculation[[#This Row],[Basic Payment]])/Std_Orders,0)))</f>
        <v/>
      </c>
      <c r="K291" s="165" t="str">
        <f aca="false">IF(Salary_Calculation[[#This Row],[Source Row]]="","",MAX(MIN(N(Salary_Calculation[[#This Row],[Completed Orders]]),Salary_Calculation[[#This Row],[Rider Target Orders]]),0))</f>
        <v/>
      </c>
      <c r="L291" s="164" t="str">
        <f aca="false">IF(Salary_Calculation[[#This Row],[Source Row]]="","",Salary_Calculation[[#This Row],[Orders Counted at Base Rate]]*Salary_Calculation[[#This Row],[Base Order Rate]])</f>
        <v/>
      </c>
      <c r="M291" s="165" t="str">
        <f aca="false">IF(Salary_Calculation[[#This Row],[Source Row]]="","",MAX(Salary_Calculation[[#This Row],[Rider Target Orders]]-N(Salary_Calculation[[#This Row],[Completed Orders]]),0))</f>
        <v/>
      </c>
      <c r="N291" s="164" t="str">
        <f aca="false">IF(Salary_Calculation[[#This Row],[Source Row]]="","",Salary_Calculation[[#This Row],[Missing Orders]]*Missing_Rate)</f>
        <v/>
      </c>
      <c r="O291" s="165" t="str">
        <f aca="false">IF(Salary_Calculation[[#This Row],[Source Row]]="","",MAX(N(Salary_Calculation[[#This Row],[Completed Orders]])-Salary_Calculation[[#This Row],[Rider Target Orders]],0))</f>
        <v/>
      </c>
      <c r="P291" s="164" t="str">
        <f aca="false">IF(Salary_Calculation[[#This Row],[Source Row]]="","",Salary_Calculation[[#This Row],[Extra Orders]]*Extra_Rate)</f>
        <v/>
      </c>
      <c r="Q291" s="164" t="str">
        <f aca="false">IF(Salary_Calculation[[#This Row],[Source Row]]="","",MAX(Salary_Calculation[[#This Row],[Salary Before Other Deductions]],0))</f>
        <v/>
      </c>
      <c r="R291" s="164" t="str">
        <f aca="false">IF(Salary_Calculation[[#This Row],[Source Row]]="","",N(INDEX(Rider_Input[missed_days_penalty],Salary_Calculation[[#This Row],[Source Row]])))</f>
        <v/>
      </c>
      <c r="S291" s="164" t="str">
        <f aca="false">IF(Salary_Calculation[[#This Row],[Source Row]]="","",N(INDEX(Rider_Input[Rider Balance / محفظة المندوب],Salary_Calculation[[#This Row],[Source Row]])))</f>
        <v/>
      </c>
      <c r="T291" s="164" t="str">
        <f aca="false">IF(Salary_Calculation[[#This Row],[Source Row]]="","",N(INDEX(Rider_Input[stacking_deduction / خصم الطلبات المتعددة],Salary_Calculation[[#This Row],[Source Row]])))</f>
        <v/>
      </c>
      <c r="U291" s="164" t="str">
        <f aca="false">IF(Salary_Calculation[[#This Row],[Source Row]]="","",N(INDEX(Rider_Input[Other Deductions],Salary_Calculation[[#This Row],[Source Row]])))</f>
        <v/>
      </c>
      <c r="V291" s="164" t="str">
        <f aca="false">IF(Salary_Calculation[[#This Row],[Source Row]]="","",N(Salary_Calculation[[#This Row],[missed_days_penalty]])+N(Salary_Calculation[[#This Row],[Rider Balance]])+N(Salary_Calculation[[#This Row],[stacking_deduction]])+N(Salary_Calculation[[#This Row],[Other Deductions]]))</f>
        <v/>
      </c>
      <c r="W291" s="167" t="str">
        <f aca="false">IF(Salary_Calculation[[#This Row],[Source Row]]="","",ROUND(MAX(Salary_Calculation[[#This Row],[Gross Salary Before Deductions]]-Salary_Calculation[[#This Row],[Total Deductions]],0),2))</f>
        <v/>
      </c>
      <c r="X291" s="164" t="str">
        <f aca="false">IF(Salary_Calculation[[#This Row],[Source Row]]="","",ROUND(MAX(Salary_Calculation[[#This Row],[Missing-Order Deduction]]-Salary_Calculation[[#This Row],[Earned Salary]],0),2))</f>
        <v/>
      </c>
      <c r="Y29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91" s="163" t="str">
        <f aca="false">IF(Salary_Calculation[[#This Row],[Source Row]]="","",IF(INDEX(Rider_Input[Notes],Salary_Calculation[[#This Row],[Source Row]])="","",INDEX(Rider_Input[Notes],Salary_Calculation[[#This Row],[Source Row]])))</f>
        <v/>
      </c>
      <c r="AA291" s="164" t="str">
        <f aca="false">IF(Salary_Calculation[[#This Row],[Source Row]]="","",Salary_Calculation[[#This Row],[Earned Salary]]-Salary_Calculation[[#This Row],[Missing-Order Deduction]]+Salary_Calculation[[#This Row],[Extra-Order Bonus]])</f>
        <v/>
      </c>
      <c r="AB291" s="164" t="str">
        <f aca="false">IF(Salary_Calculation[[#This Row],[Source Row]]="","",ROUND(Salary_Calculation[[#This Row],[Negative Balance / Amount Due from Rider]]+MAX(Salary_Calculation[[#This Row],[Total Deductions]]-Salary_Calculation[[#This Row],[Gross Salary Before Deductions]],0),2))</f>
        <v/>
      </c>
      <c r="AC29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91" s="164" t="str">
        <f aca="false">IF(Salary_Calculation[[#This Row],[Source Row]]="","",Salary_Calculation[[#This Row],[Rider Target Orders]]*Salary_Calculation[[#This Row],[Base Order Rate]])</f>
        <v/>
      </c>
      <c r="AE291" s="162" t="str">
        <f aca="false">IF(SUMPRODUCT(--(LEN(INDEX(Rider_Input[#Data],ROW()-ROW(Salary_Calculation[#Headers]),0))&gt;0))=0,"",ROW()-ROW(Salary_Calculation[#Headers]))</f>
        <v/>
      </c>
    </row>
    <row r="292" customFormat="false" ht="14.25" hidden="false" customHeight="false" outlineLevel="0" collapsed="false">
      <c r="A292" s="161" t="str">
        <f aca="false">IF(Salary_Calculation[[#This Row],[Source Row]]="","",IF(INDEX(Rider_Input[Salary Month],Salary_Calculation[[#This Row],[Source Row]])="","",INDEX(Rider_Input[Salary Month],Salary_Calculation[[#This Row],[Source Row]])))</f>
        <v/>
      </c>
      <c r="B292" s="162" t="str">
        <f aca="false">IF(Salary_Calculation[[#This Row],[Source Row]]="","",IF(INDEX(Rider_Input[Rider ID],Salary_Calculation[[#This Row],[Source Row]])="","",INDEX(Rider_Input[Rider ID],Salary_Calculation[[#This Row],[Source Row]])))</f>
        <v/>
      </c>
      <c r="C292" s="163" t="str">
        <f aca="false">IF(Salary_Calculation[[#This Row],[Source Row]]="","",IF(INDEX(Rider_Input[Rider Name],Salary_Calculation[[#This Row],[Source Row]])="","",INDEX(Rider_Input[Rider Name],Salary_Calculation[[#This Row],[Source Row]])))</f>
        <v/>
      </c>
      <c r="D292" s="164" t="str">
        <f aca="false">IF(Salary_Calculation[[#This Row],[Source Row]]="","",IF(INDEX(Rider_Input[Basic Payment],Salary_Calculation[[#This Row],[Source Row]])="","",INDEX(Rider_Input[Basic Payment],Salary_Calculation[[#This Row],[Source Row]])))</f>
        <v/>
      </c>
      <c r="E292" s="162" t="str">
        <f aca="false">IF(Salary_Calculation[[#This Row],[Source Row]]="","",IF(INDEX(Rider_Input[Calendar Days in Month],Salary_Calculation[[#This Row],[Source Row]])="","",INDEX(Rider_Input[Calendar Days in Month],Salary_Calculation[[#This Row],[Source Row]])))</f>
        <v/>
      </c>
      <c r="F292" s="162" t="str">
        <f aca="false">IF(Salary_Calculation[[#This Row],[Source Row]]="","",IF(INDEX(Rider_Input[Working Days],Salary_Calculation[[#This Row],[Source Row]])="","",INDEX(Rider_Input[Working Days],Salary_Calculation[[#This Row],[Source Row]])))</f>
        <v/>
      </c>
      <c r="G292" s="165" t="str">
        <f aca="false">IF(Salary_Calculation[[#This Row],[Source Row]]="","",Std_Orders/Std_Days*N(Salary_Calculation[[#This Row],[Calendar Days]]))</f>
        <v/>
      </c>
      <c r="H292" s="165" t="str">
        <f aca="false">IF(Salary_Calculation[[#This Row],[Source Row]]="","",IF(N(Salary_Calculation[[#This Row],[Calendar Days]])&gt;0,Salary_Calculation[[#This Row],[Monthly Target Orders]]/N(Salary_Calculation[[#This Row],[Calendar Days]])*N(Salary_Calculation[[#This Row],[Working Days]]),0))</f>
        <v/>
      </c>
      <c r="I292" s="166" t="str">
        <f aca="false">IF(Salary_Calculation[[#This Row],[Source Row]]="","",IF(INDEX(Rider_Input[Completed Orders],Salary_Calculation[[#This Row],[Source Row]])="","",INDEX(Rider_Input[Completed Orders],Salary_Calculation[[#This Row],[Source Row]])))</f>
        <v/>
      </c>
      <c r="J292" s="165" t="str">
        <f aca="false">IF(Salary_Calculation[[#This Row],[Source Row]]="","",IF(Rate_Method="Fixed rate",Fixed_Rate,IF(N(Salary_Calculation[[#This Row],[Basic Payment]])&gt;0,N(Salary_Calculation[[#This Row],[Basic Payment]])/Std_Orders,0)))</f>
        <v/>
      </c>
      <c r="K292" s="165" t="str">
        <f aca="false">IF(Salary_Calculation[[#This Row],[Source Row]]="","",MAX(MIN(N(Salary_Calculation[[#This Row],[Completed Orders]]),Salary_Calculation[[#This Row],[Rider Target Orders]]),0))</f>
        <v/>
      </c>
      <c r="L292" s="164" t="str">
        <f aca="false">IF(Salary_Calculation[[#This Row],[Source Row]]="","",Salary_Calculation[[#This Row],[Orders Counted at Base Rate]]*Salary_Calculation[[#This Row],[Base Order Rate]])</f>
        <v/>
      </c>
      <c r="M292" s="165" t="str">
        <f aca="false">IF(Salary_Calculation[[#This Row],[Source Row]]="","",MAX(Salary_Calculation[[#This Row],[Rider Target Orders]]-N(Salary_Calculation[[#This Row],[Completed Orders]]),0))</f>
        <v/>
      </c>
      <c r="N292" s="164" t="str">
        <f aca="false">IF(Salary_Calculation[[#This Row],[Source Row]]="","",Salary_Calculation[[#This Row],[Missing Orders]]*Missing_Rate)</f>
        <v/>
      </c>
      <c r="O292" s="165" t="str">
        <f aca="false">IF(Salary_Calculation[[#This Row],[Source Row]]="","",MAX(N(Salary_Calculation[[#This Row],[Completed Orders]])-Salary_Calculation[[#This Row],[Rider Target Orders]],0))</f>
        <v/>
      </c>
      <c r="P292" s="164" t="str">
        <f aca="false">IF(Salary_Calculation[[#This Row],[Source Row]]="","",Salary_Calculation[[#This Row],[Extra Orders]]*Extra_Rate)</f>
        <v/>
      </c>
      <c r="Q292" s="164" t="str">
        <f aca="false">IF(Salary_Calculation[[#This Row],[Source Row]]="","",MAX(Salary_Calculation[[#This Row],[Salary Before Other Deductions]],0))</f>
        <v/>
      </c>
      <c r="R292" s="164" t="str">
        <f aca="false">IF(Salary_Calculation[[#This Row],[Source Row]]="","",N(INDEX(Rider_Input[missed_days_penalty],Salary_Calculation[[#This Row],[Source Row]])))</f>
        <v/>
      </c>
      <c r="S292" s="164" t="str">
        <f aca="false">IF(Salary_Calculation[[#This Row],[Source Row]]="","",N(INDEX(Rider_Input[Rider Balance / محفظة المندوب],Salary_Calculation[[#This Row],[Source Row]])))</f>
        <v/>
      </c>
      <c r="T292" s="164" t="str">
        <f aca="false">IF(Salary_Calculation[[#This Row],[Source Row]]="","",N(INDEX(Rider_Input[stacking_deduction / خصم الطلبات المتعددة],Salary_Calculation[[#This Row],[Source Row]])))</f>
        <v/>
      </c>
      <c r="U292" s="164" t="str">
        <f aca="false">IF(Salary_Calculation[[#This Row],[Source Row]]="","",N(INDEX(Rider_Input[Other Deductions],Salary_Calculation[[#This Row],[Source Row]])))</f>
        <v/>
      </c>
      <c r="V292" s="164" t="str">
        <f aca="false">IF(Salary_Calculation[[#This Row],[Source Row]]="","",N(Salary_Calculation[[#This Row],[missed_days_penalty]])+N(Salary_Calculation[[#This Row],[Rider Balance]])+N(Salary_Calculation[[#This Row],[stacking_deduction]])+N(Salary_Calculation[[#This Row],[Other Deductions]]))</f>
        <v/>
      </c>
      <c r="W292" s="167" t="str">
        <f aca="false">IF(Salary_Calculation[[#This Row],[Source Row]]="","",ROUND(MAX(Salary_Calculation[[#This Row],[Gross Salary Before Deductions]]-Salary_Calculation[[#This Row],[Total Deductions]],0),2))</f>
        <v/>
      </c>
      <c r="X292" s="164" t="str">
        <f aca="false">IF(Salary_Calculation[[#This Row],[Source Row]]="","",ROUND(MAX(Salary_Calculation[[#This Row],[Missing-Order Deduction]]-Salary_Calculation[[#This Row],[Earned Salary]],0),2))</f>
        <v/>
      </c>
      <c r="Y29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92" s="163" t="str">
        <f aca="false">IF(Salary_Calculation[[#This Row],[Source Row]]="","",IF(INDEX(Rider_Input[Notes],Salary_Calculation[[#This Row],[Source Row]])="","",INDEX(Rider_Input[Notes],Salary_Calculation[[#This Row],[Source Row]])))</f>
        <v/>
      </c>
      <c r="AA292" s="164" t="str">
        <f aca="false">IF(Salary_Calculation[[#This Row],[Source Row]]="","",Salary_Calculation[[#This Row],[Earned Salary]]-Salary_Calculation[[#This Row],[Missing-Order Deduction]]+Salary_Calculation[[#This Row],[Extra-Order Bonus]])</f>
        <v/>
      </c>
      <c r="AB292" s="164" t="str">
        <f aca="false">IF(Salary_Calculation[[#This Row],[Source Row]]="","",ROUND(Salary_Calculation[[#This Row],[Negative Balance / Amount Due from Rider]]+MAX(Salary_Calculation[[#This Row],[Total Deductions]]-Salary_Calculation[[#This Row],[Gross Salary Before Deductions]],0),2))</f>
        <v/>
      </c>
      <c r="AC29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92" s="164" t="str">
        <f aca="false">IF(Salary_Calculation[[#This Row],[Source Row]]="","",Salary_Calculation[[#This Row],[Rider Target Orders]]*Salary_Calculation[[#This Row],[Base Order Rate]])</f>
        <v/>
      </c>
      <c r="AE292" s="162" t="str">
        <f aca="false">IF(SUMPRODUCT(--(LEN(INDEX(Rider_Input[#Data],ROW()-ROW(Salary_Calculation[#Headers]),0))&gt;0))=0,"",ROW()-ROW(Salary_Calculation[#Headers]))</f>
        <v/>
      </c>
    </row>
    <row r="293" customFormat="false" ht="14.25" hidden="false" customHeight="false" outlineLevel="0" collapsed="false">
      <c r="A293" s="161" t="str">
        <f aca="false">IF(Salary_Calculation[[#This Row],[Source Row]]="","",IF(INDEX(Rider_Input[Salary Month],Salary_Calculation[[#This Row],[Source Row]])="","",INDEX(Rider_Input[Salary Month],Salary_Calculation[[#This Row],[Source Row]])))</f>
        <v/>
      </c>
      <c r="B293" s="162" t="str">
        <f aca="false">IF(Salary_Calculation[[#This Row],[Source Row]]="","",IF(INDEX(Rider_Input[Rider ID],Salary_Calculation[[#This Row],[Source Row]])="","",INDEX(Rider_Input[Rider ID],Salary_Calculation[[#This Row],[Source Row]])))</f>
        <v/>
      </c>
      <c r="C293" s="163" t="str">
        <f aca="false">IF(Salary_Calculation[[#This Row],[Source Row]]="","",IF(INDEX(Rider_Input[Rider Name],Salary_Calculation[[#This Row],[Source Row]])="","",INDEX(Rider_Input[Rider Name],Salary_Calculation[[#This Row],[Source Row]])))</f>
        <v/>
      </c>
      <c r="D293" s="164" t="str">
        <f aca="false">IF(Salary_Calculation[[#This Row],[Source Row]]="","",IF(INDEX(Rider_Input[Basic Payment],Salary_Calculation[[#This Row],[Source Row]])="","",INDEX(Rider_Input[Basic Payment],Salary_Calculation[[#This Row],[Source Row]])))</f>
        <v/>
      </c>
      <c r="E293" s="162" t="str">
        <f aca="false">IF(Salary_Calculation[[#This Row],[Source Row]]="","",IF(INDEX(Rider_Input[Calendar Days in Month],Salary_Calculation[[#This Row],[Source Row]])="","",INDEX(Rider_Input[Calendar Days in Month],Salary_Calculation[[#This Row],[Source Row]])))</f>
        <v/>
      </c>
      <c r="F293" s="162" t="str">
        <f aca="false">IF(Salary_Calculation[[#This Row],[Source Row]]="","",IF(INDEX(Rider_Input[Working Days],Salary_Calculation[[#This Row],[Source Row]])="","",INDEX(Rider_Input[Working Days],Salary_Calculation[[#This Row],[Source Row]])))</f>
        <v/>
      </c>
      <c r="G293" s="165" t="str">
        <f aca="false">IF(Salary_Calculation[[#This Row],[Source Row]]="","",Std_Orders/Std_Days*N(Salary_Calculation[[#This Row],[Calendar Days]]))</f>
        <v/>
      </c>
      <c r="H293" s="165" t="str">
        <f aca="false">IF(Salary_Calculation[[#This Row],[Source Row]]="","",IF(N(Salary_Calculation[[#This Row],[Calendar Days]])&gt;0,Salary_Calculation[[#This Row],[Monthly Target Orders]]/N(Salary_Calculation[[#This Row],[Calendar Days]])*N(Salary_Calculation[[#This Row],[Working Days]]),0))</f>
        <v/>
      </c>
      <c r="I293" s="166" t="str">
        <f aca="false">IF(Salary_Calculation[[#This Row],[Source Row]]="","",IF(INDEX(Rider_Input[Completed Orders],Salary_Calculation[[#This Row],[Source Row]])="","",INDEX(Rider_Input[Completed Orders],Salary_Calculation[[#This Row],[Source Row]])))</f>
        <v/>
      </c>
      <c r="J293" s="165" t="str">
        <f aca="false">IF(Salary_Calculation[[#This Row],[Source Row]]="","",IF(Rate_Method="Fixed rate",Fixed_Rate,IF(N(Salary_Calculation[[#This Row],[Basic Payment]])&gt;0,N(Salary_Calculation[[#This Row],[Basic Payment]])/Std_Orders,0)))</f>
        <v/>
      </c>
      <c r="K293" s="165" t="str">
        <f aca="false">IF(Salary_Calculation[[#This Row],[Source Row]]="","",MAX(MIN(N(Salary_Calculation[[#This Row],[Completed Orders]]),Salary_Calculation[[#This Row],[Rider Target Orders]]),0))</f>
        <v/>
      </c>
      <c r="L293" s="164" t="str">
        <f aca="false">IF(Salary_Calculation[[#This Row],[Source Row]]="","",Salary_Calculation[[#This Row],[Orders Counted at Base Rate]]*Salary_Calculation[[#This Row],[Base Order Rate]])</f>
        <v/>
      </c>
      <c r="M293" s="165" t="str">
        <f aca="false">IF(Salary_Calculation[[#This Row],[Source Row]]="","",MAX(Salary_Calculation[[#This Row],[Rider Target Orders]]-N(Salary_Calculation[[#This Row],[Completed Orders]]),0))</f>
        <v/>
      </c>
      <c r="N293" s="164" t="str">
        <f aca="false">IF(Salary_Calculation[[#This Row],[Source Row]]="","",Salary_Calculation[[#This Row],[Missing Orders]]*Missing_Rate)</f>
        <v/>
      </c>
      <c r="O293" s="165" t="str">
        <f aca="false">IF(Salary_Calculation[[#This Row],[Source Row]]="","",MAX(N(Salary_Calculation[[#This Row],[Completed Orders]])-Salary_Calculation[[#This Row],[Rider Target Orders]],0))</f>
        <v/>
      </c>
      <c r="P293" s="164" t="str">
        <f aca="false">IF(Salary_Calculation[[#This Row],[Source Row]]="","",Salary_Calculation[[#This Row],[Extra Orders]]*Extra_Rate)</f>
        <v/>
      </c>
      <c r="Q293" s="164" t="str">
        <f aca="false">IF(Salary_Calculation[[#This Row],[Source Row]]="","",MAX(Salary_Calculation[[#This Row],[Salary Before Other Deductions]],0))</f>
        <v/>
      </c>
      <c r="R293" s="164" t="str">
        <f aca="false">IF(Salary_Calculation[[#This Row],[Source Row]]="","",N(INDEX(Rider_Input[missed_days_penalty],Salary_Calculation[[#This Row],[Source Row]])))</f>
        <v/>
      </c>
      <c r="S293" s="164" t="str">
        <f aca="false">IF(Salary_Calculation[[#This Row],[Source Row]]="","",N(INDEX(Rider_Input[Rider Balance / محفظة المندوب],Salary_Calculation[[#This Row],[Source Row]])))</f>
        <v/>
      </c>
      <c r="T293" s="164" t="str">
        <f aca="false">IF(Salary_Calculation[[#This Row],[Source Row]]="","",N(INDEX(Rider_Input[stacking_deduction / خصم الطلبات المتعددة],Salary_Calculation[[#This Row],[Source Row]])))</f>
        <v/>
      </c>
      <c r="U293" s="164" t="str">
        <f aca="false">IF(Salary_Calculation[[#This Row],[Source Row]]="","",N(INDEX(Rider_Input[Other Deductions],Salary_Calculation[[#This Row],[Source Row]])))</f>
        <v/>
      </c>
      <c r="V293" s="164" t="str">
        <f aca="false">IF(Salary_Calculation[[#This Row],[Source Row]]="","",N(Salary_Calculation[[#This Row],[missed_days_penalty]])+N(Salary_Calculation[[#This Row],[Rider Balance]])+N(Salary_Calculation[[#This Row],[stacking_deduction]])+N(Salary_Calculation[[#This Row],[Other Deductions]]))</f>
        <v/>
      </c>
      <c r="W293" s="167" t="str">
        <f aca="false">IF(Salary_Calculation[[#This Row],[Source Row]]="","",ROUND(MAX(Salary_Calculation[[#This Row],[Gross Salary Before Deductions]]-Salary_Calculation[[#This Row],[Total Deductions]],0),2))</f>
        <v/>
      </c>
      <c r="X293" s="164" t="str">
        <f aca="false">IF(Salary_Calculation[[#This Row],[Source Row]]="","",ROUND(MAX(Salary_Calculation[[#This Row],[Missing-Order Deduction]]-Salary_Calculation[[#This Row],[Earned Salary]],0),2))</f>
        <v/>
      </c>
      <c r="Y29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93" s="163" t="str">
        <f aca="false">IF(Salary_Calculation[[#This Row],[Source Row]]="","",IF(INDEX(Rider_Input[Notes],Salary_Calculation[[#This Row],[Source Row]])="","",INDEX(Rider_Input[Notes],Salary_Calculation[[#This Row],[Source Row]])))</f>
        <v/>
      </c>
      <c r="AA293" s="164" t="str">
        <f aca="false">IF(Salary_Calculation[[#This Row],[Source Row]]="","",Salary_Calculation[[#This Row],[Earned Salary]]-Salary_Calculation[[#This Row],[Missing-Order Deduction]]+Salary_Calculation[[#This Row],[Extra-Order Bonus]])</f>
        <v/>
      </c>
      <c r="AB293" s="164" t="str">
        <f aca="false">IF(Salary_Calculation[[#This Row],[Source Row]]="","",ROUND(Salary_Calculation[[#This Row],[Negative Balance / Amount Due from Rider]]+MAX(Salary_Calculation[[#This Row],[Total Deductions]]-Salary_Calculation[[#This Row],[Gross Salary Before Deductions]],0),2))</f>
        <v/>
      </c>
      <c r="AC29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93" s="164" t="str">
        <f aca="false">IF(Salary_Calculation[[#This Row],[Source Row]]="","",Salary_Calculation[[#This Row],[Rider Target Orders]]*Salary_Calculation[[#This Row],[Base Order Rate]])</f>
        <v/>
      </c>
      <c r="AE293" s="162" t="str">
        <f aca="false">IF(SUMPRODUCT(--(LEN(INDEX(Rider_Input[#Data],ROW()-ROW(Salary_Calculation[#Headers]),0))&gt;0))=0,"",ROW()-ROW(Salary_Calculation[#Headers]))</f>
        <v/>
      </c>
    </row>
    <row r="294" customFormat="false" ht="14.25" hidden="false" customHeight="false" outlineLevel="0" collapsed="false">
      <c r="A294" s="161" t="str">
        <f aca="false">IF(Salary_Calculation[[#This Row],[Source Row]]="","",IF(INDEX(Rider_Input[Salary Month],Salary_Calculation[[#This Row],[Source Row]])="","",INDEX(Rider_Input[Salary Month],Salary_Calculation[[#This Row],[Source Row]])))</f>
        <v/>
      </c>
      <c r="B294" s="162" t="str">
        <f aca="false">IF(Salary_Calculation[[#This Row],[Source Row]]="","",IF(INDEX(Rider_Input[Rider ID],Salary_Calculation[[#This Row],[Source Row]])="","",INDEX(Rider_Input[Rider ID],Salary_Calculation[[#This Row],[Source Row]])))</f>
        <v/>
      </c>
      <c r="C294" s="163" t="str">
        <f aca="false">IF(Salary_Calculation[[#This Row],[Source Row]]="","",IF(INDEX(Rider_Input[Rider Name],Salary_Calculation[[#This Row],[Source Row]])="","",INDEX(Rider_Input[Rider Name],Salary_Calculation[[#This Row],[Source Row]])))</f>
        <v/>
      </c>
      <c r="D294" s="164" t="str">
        <f aca="false">IF(Salary_Calculation[[#This Row],[Source Row]]="","",IF(INDEX(Rider_Input[Basic Payment],Salary_Calculation[[#This Row],[Source Row]])="","",INDEX(Rider_Input[Basic Payment],Salary_Calculation[[#This Row],[Source Row]])))</f>
        <v/>
      </c>
      <c r="E294" s="162" t="str">
        <f aca="false">IF(Salary_Calculation[[#This Row],[Source Row]]="","",IF(INDEX(Rider_Input[Calendar Days in Month],Salary_Calculation[[#This Row],[Source Row]])="","",INDEX(Rider_Input[Calendar Days in Month],Salary_Calculation[[#This Row],[Source Row]])))</f>
        <v/>
      </c>
      <c r="F294" s="162" t="str">
        <f aca="false">IF(Salary_Calculation[[#This Row],[Source Row]]="","",IF(INDEX(Rider_Input[Working Days],Salary_Calculation[[#This Row],[Source Row]])="","",INDEX(Rider_Input[Working Days],Salary_Calculation[[#This Row],[Source Row]])))</f>
        <v/>
      </c>
      <c r="G294" s="165" t="str">
        <f aca="false">IF(Salary_Calculation[[#This Row],[Source Row]]="","",Std_Orders/Std_Days*N(Salary_Calculation[[#This Row],[Calendar Days]]))</f>
        <v/>
      </c>
      <c r="H294" s="165" t="str">
        <f aca="false">IF(Salary_Calculation[[#This Row],[Source Row]]="","",IF(N(Salary_Calculation[[#This Row],[Calendar Days]])&gt;0,Salary_Calculation[[#This Row],[Monthly Target Orders]]/N(Salary_Calculation[[#This Row],[Calendar Days]])*N(Salary_Calculation[[#This Row],[Working Days]]),0))</f>
        <v/>
      </c>
      <c r="I294" s="166" t="str">
        <f aca="false">IF(Salary_Calculation[[#This Row],[Source Row]]="","",IF(INDEX(Rider_Input[Completed Orders],Salary_Calculation[[#This Row],[Source Row]])="","",INDEX(Rider_Input[Completed Orders],Salary_Calculation[[#This Row],[Source Row]])))</f>
        <v/>
      </c>
      <c r="J294" s="165" t="str">
        <f aca="false">IF(Salary_Calculation[[#This Row],[Source Row]]="","",IF(Rate_Method="Fixed rate",Fixed_Rate,IF(N(Salary_Calculation[[#This Row],[Basic Payment]])&gt;0,N(Salary_Calculation[[#This Row],[Basic Payment]])/Std_Orders,0)))</f>
        <v/>
      </c>
      <c r="K294" s="165" t="str">
        <f aca="false">IF(Salary_Calculation[[#This Row],[Source Row]]="","",MAX(MIN(N(Salary_Calculation[[#This Row],[Completed Orders]]),Salary_Calculation[[#This Row],[Rider Target Orders]]),0))</f>
        <v/>
      </c>
      <c r="L294" s="164" t="str">
        <f aca="false">IF(Salary_Calculation[[#This Row],[Source Row]]="","",Salary_Calculation[[#This Row],[Orders Counted at Base Rate]]*Salary_Calculation[[#This Row],[Base Order Rate]])</f>
        <v/>
      </c>
      <c r="M294" s="165" t="str">
        <f aca="false">IF(Salary_Calculation[[#This Row],[Source Row]]="","",MAX(Salary_Calculation[[#This Row],[Rider Target Orders]]-N(Salary_Calculation[[#This Row],[Completed Orders]]),0))</f>
        <v/>
      </c>
      <c r="N294" s="164" t="str">
        <f aca="false">IF(Salary_Calculation[[#This Row],[Source Row]]="","",Salary_Calculation[[#This Row],[Missing Orders]]*Missing_Rate)</f>
        <v/>
      </c>
      <c r="O294" s="165" t="str">
        <f aca="false">IF(Salary_Calculation[[#This Row],[Source Row]]="","",MAX(N(Salary_Calculation[[#This Row],[Completed Orders]])-Salary_Calculation[[#This Row],[Rider Target Orders]],0))</f>
        <v/>
      </c>
      <c r="P294" s="164" t="str">
        <f aca="false">IF(Salary_Calculation[[#This Row],[Source Row]]="","",Salary_Calculation[[#This Row],[Extra Orders]]*Extra_Rate)</f>
        <v/>
      </c>
      <c r="Q294" s="164" t="str">
        <f aca="false">IF(Salary_Calculation[[#This Row],[Source Row]]="","",MAX(Salary_Calculation[[#This Row],[Salary Before Other Deductions]],0))</f>
        <v/>
      </c>
      <c r="R294" s="164" t="str">
        <f aca="false">IF(Salary_Calculation[[#This Row],[Source Row]]="","",N(INDEX(Rider_Input[missed_days_penalty],Salary_Calculation[[#This Row],[Source Row]])))</f>
        <v/>
      </c>
      <c r="S294" s="164" t="str">
        <f aca="false">IF(Salary_Calculation[[#This Row],[Source Row]]="","",N(INDEX(Rider_Input[Rider Balance / محفظة المندوب],Salary_Calculation[[#This Row],[Source Row]])))</f>
        <v/>
      </c>
      <c r="T294" s="164" t="str">
        <f aca="false">IF(Salary_Calculation[[#This Row],[Source Row]]="","",N(INDEX(Rider_Input[stacking_deduction / خصم الطلبات المتعددة],Salary_Calculation[[#This Row],[Source Row]])))</f>
        <v/>
      </c>
      <c r="U294" s="164" t="str">
        <f aca="false">IF(Salary_Calculation[[#This Row],[Source Row]]="","",N(INDEX(Rider_Input[Other Deductions],Salary_Calculation[[#This Row],[Source Row]])))</f>
        <v/>
      </c>
      <c r="V294" s="164" t="str">
        <f aca="false">IF(Salary_Calculation[[#This Row],[Source Row]]="","",N(Salary_Calculation[[#This Row],[missed_days_penalty]])+N(Salary_Calculation[[#This Row],[Rider Balance]])+N(Salary_Calculation[[#This Row],[stacking_deduction]])+N(Salary_Calculation[[#This Row],[Other Deductions]]))</f>
        <v/>
      </c>
      <c r="W294" s="167" t="str">
        <f aca="false">IF(Salary_Calculation[[#This Row],[Source Row]]="","",ROUND(MAX(Salary_Calculation[[#This Row],[Gross Salary Before Deductions]]-Salary_Calculation[[#This Row],[Total Deductions]],0),2))</f>
        <v/>
      </c>
      <c r="X294" s="164" t="str">
        <f aca="false">IF(Salary_Calculation[[#This Row],[Source Row]]="","",ROUND(MAX(Salary_Calculation[[#This Row],[Missing-Order Deduction]]-Salary_Calculation[[#This Row],[Earned Salary]],0),2))</f>
        <v/>
      </c>
      <c r="Y29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94" s="163" t="str">
        <f aca="false">IF(Salary_Calculation[[#This Row],[Source Row]]="","",IF(INDEX(Rider_Input[Notes],Salary_Calculation[[#This Row],[Source Row]])="","",INDEX(Rider_Input[Notes],Salary_Calculation[[#This Row],[Source Row]])))</f>
        <v/>
      </c>
      <c r="AA294" s="164" t="str">
        <f aca="false">IF(Salary_Calculation[[#This Row],[Source Row]]="","",Salary_Calculation[[#This Row],[Earned Salary]]-Salary_Calculation[[#This Row],[Missing-Order Deduction]]+Salary_Calculation[[#This Row],[Extra-Order Bonus]])</f>
        <v/>
      </c>
      <c r="AB294" s="164" t="str">
        <f aca="false">IF(Salary_Calculation[[#This Row],[Source Row]]="","",ROUND(Salary_Calculation[[#This Row],[Negative Balance / Amount Due from Rider]]+MAX(Salary_Calculation[[#This Row],[Total Deductions]]-Salary_Calculation[[#This Row],[Gross Salary Before Deductions]],0),2))</f>
        <v/>
      </c>
      <c r="AC29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94" s="164" t="str">
        <f aca="false">IF(Salary_Calculation[[#This Row],[Source Row]]="","",Salary_Calculation[[#This Row],[Rider Target Orders]]*Salary_Calculation[[#This Row],[Base Order Rate]])</f>
        <v/>
      </c>
      <c r="AE294" s="162" t="str">
        <f aca="false">IF(SUMPRODUCT(--(LEN(INDEX(Rider_Input[#Data],ROW()-ROW(Salary_Calculation[#Headers]),0))&gt;0))=0,"",ROW()-ROW(Salary_Calculation[#Headers]))</f>
        <v/>
      </c>
    </row>
    <row r="295" customFormat="false" ht="14.25" hidden="false" customHeight="false" outlineLevel="0" collapsed="false">
      <c r="A295" s="161" t="str">
        <f aca="false">IF(Salary_Calculation[[#This Row],[Source Row]]="","",IF(INDEX(Rider_Input[Salary Month],Salary_Calculation[[#This Row],[Source Row]])="","",INDEX(Rider_Input[Salary Month],Salary_Calculation[[#This Row],[Source Row]])))</f>
        <v/>
      </c>
      <c r="B295" s="162" t="str">
        <f aca="false">IF(Salary_Calculation[[#This Row],[Source Row]]="","",IF(INDEX(Rider_Input[Rider ID],Salary_Calculation[[#This Row],[Source Row]])="","",INDEX(Rider_Input[Rider ID],Salary_Calculation[[#This Row],[Source Row]])))</f>
        <v/>
      </c>
      <c r="C295" s="163" t="str">
        <f aca="false">IF(Salary_Calculation[[#This Row],[Source Row]]="","",IF(INDEX(Rider_Input[Rider Name],Salary_Calculation[[#This Row],[Source Row]])="","",INDEX(Rider_Input[Rider Name],Salary_Calculation[[#This Row],[Source Row]])))</f>
        <v/>
      </c>
      <c r="D295" s="164" t="str">
        <f aca="false">IF(Salary_Calculation[[#This Row],[Source Row]]="","",IF(INDEX(Rider_Input[Basic Payment],Salary_Calculation[[#This Row],[Source Row]])="","",INDEX(Rider_Input[Basic Payment],Salary_Calculation[[#This Row],[Source Row]])))</f>
        <v/>
      </c>
      <c r="E295" s="162" t="str">
        <f aca="false">IF(Salary_Calculation[[#This Row],[Source Row]]="","",IF(INDEX(Rider_Input[Calendar Days in Month],Salary_Calculation[[#This Row],[Source Row]])="","",INDEX(Rider_Input[Calendar Days in Month],Salary_Calculation[[#This Row],[Source Row]])))</f>
        <v/>
      </c>
      <c r="F295" s="162" t="str">
        <f aca="false">IF(Salary_Calculation[[#This Row],[Source Row]]="","",IF(INDEX(Rider_Input[Working Days],Salary_Calculation[[#This Row],[Source Row]])="","",INDEX(Rider_Input[Working Days],Salary_Calculation[[#This Row],[Source Row]])))</f>
        <v/>
      </c>
      <c r="G295" s="165" t="str">
        <f aca="false">IF(Salary_Calculation[[#This Row],[Source Row]]="","",Std_Orders/Std_Days*N(Salary_Calculation[[#This Row],[Calendar Days]]))</f>
        <v/>
      </c>
      <c r="H295" s="165" t="str">
        <f aca="false">IF(Salary_Calculation[[#This Row],[Source Row]]="","",IF(N(Salary_Calculation[[#This Row],[Calendar Days]])&gt;0,Salary_Calculation[[#This Row],[Monthly Target Orders]]/N(Salary_Calculation[[#This Row],[Calendar Days]])*N(Salary_Calculation[[#This Row],[Working Days]]),0))</f>
        <v/>
      </c>
      <c r="I295" s="166" t="str">
        <f aca="false">IF(Salary_Calculation[[#This Row],[Source Row]]="","",IF(INDEX(Rider_Input[Completed Orders],Salary_Calculation[[#This Row],[Source Row]])="","",INDEX(Rider_Input[Completed Orders],Salary_Calculation[[#This Row],[Source Row]])))</f>
        <v/>
      </c>
      <c r="J295" s="165" t="str">
        <f aca="false">IF(Salary_Calculation[[#This Row],[Source Row]]="","",IF(Rate_Method="Fixed rate",Fixed_Rate,IF(N(Salary_Calculation[[#This Row],[Basic Payment]])&gt;0,N(Salary_Calculation[[#This Row],[Basic Payment]])/Std_Orders,0)))</f>
        <v/>
      </c>
      <c r="K295" s="165" t="str">
        <f aca="false">IF(Salary_Calculation[[#This Row],[Source Row]]="","",MAX(MIN(N(Salary_Calculation[[#This Row],[Completed Orders]]),Salary_Calculation[[#This Row],[Rider Target Orders]]),0))</f>
        <v/>
      </c>
      <c r="L295" s="164" t="str">
        <f aca="false">IF(Salary_Calculation[[#This Row],[Source Row]]="","",Salary_Calculation[[#This Row],[Orders Counted at Base Rate]]*Salary_Calculation[[#This Row],[Base Order Rate]])</f>
        <v/>
      </c>
      <c r="M295" s="165" t="str">
        <f aca="false">IF(Salary_Calculation[[#This Row],[Source Row]]="","",MAX(Salary_Calculation[[#This Row],[Rider Target Orders]]-N(Salary_Calculation[[#This Row],[Completed Orders]]),0))</f>
        <v/>
      </c>
      <c r="N295" s="164" t="str">
        <f aca="false">IF(Salary_Calculation[[#This Row],[Source Row]]="","",Salary_Calculation[[#This Row],[Missing Orders]]*Missing_Rate)</f>
        <v/>
      </c>
      <c r="O295" s="165" t="str">
        <f aca="false">IF(Salary_Calculation[[#This Row],[Source Row]]="","",MAX(N(Salary_Calculation[[#This Row],[Completed Orders]])-Salary_Calculation[[#This Row],[Rider Target Orders]],0))</f>
        <v/>
      </c>
      <c r="P295" s="164" t="str">
        <f aca="false">IF(Salary_Calculation[[#This Row],[Source Row]]="","",Salary_Calculation[[#This Row],[Extra Orders]]*Extra_Rate)</f>
        <v/>
      </c>
      <c r="Q295" s="164" t="str">
        <f aca="false">IF(Salary_Calculation[[#This Row],[Source Row]]="","",MAX(Salary_Calculation[[#This Row],[Salary Before Other Deductions]],0))</f>
        <v/>
      </c>
      <c r="R295" s="164" t="str">
        <f aca="false">IF(Salary_Calculation[[#This Row],[Source Row]]="","",N(INDEX(Rider_Input[missed_days_penalty],Salary_Calculation[[#This Row],[Source Row]])))</f>
        <v/>
      </c>
      <c r="S295" s="164" t="str">
        <f aca="false">IF(Salary_Calculation[[#This Row],[Source Row]]="","",N(INDEX(Rider_Input[Rider Balance / محفظة المندوب],Salary_Calculation[[#This Row],[Source Row]])))</f>
        <v/>
      </c>
      <c r="T295" s="164" t="str">
        <f aca="false">IF(Salary_Calculation[[#This Row],[Source Row]]="","",N(INDEX(Rider_Input[stacking_deduction / خصم الطلبات المتعددة],Salary_Calculation[[#This Row],[Source Row]])))</f>
        <v/>
      </c>
      <c r="U295" s="164" t="str">
        <f aca="false">IF(Salary_Calculation[[#This Row],[Source Row]]="","",N(INDEX(Rider_Input[Other Deductions],Salary_Calculation[[#This Row],[Source Row]])))</f>
        <v/>
      </c>
      <c r="V295" s="164" t="str">
        <f aca="false">IF(Salary_Calculation[[#This Row],[Source Row]]="","",N(Salary_Calculation[[#This Row],[missed_days_penalty]])+N(Salary_Calculation[[#This Row],[Rider Balance]])+N(Salary_Calculation[[#This Row],[stacking_deduction]])+N(Salary_Calculation[[#This Row],[Other Deductions]]))</f>
        <v/>
      </c>
      <c r="W295" s="167" t="str">
        <f aca="false">IF(Salary_Calculation[[#This Row],[Source Row]]="","",ROUND(MAX(Salary_Calculation[[#This Row],[Gross Salary Before Deductions]]-Salary_Calculation[[#This Row],[Total Deductions]],0),2))</f>
        <v/>
      </c>
      <c r="X295" s="164" t="str">
        <f aca="false">IF(Salary_Calculation[[#This Row],[Source Row]]="","",ROUND(MAX(Salary_Calculation[[#This Row],[Missing-Order Deduction]]-Salary_Calculation[[#This Row],[Earned Salary]],0),2))</f>
        <v/>
      </c>
      <c r="Y29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95" s="163" t="str">
        <f aca="false">IF(Salary_Calculation[[#This Row],[Source Row]]="","",IF(INDEX(Rider_Input[Notes],Salary_Calculation[[#This Row],[Source Row]])="","",INDEX(Rider_Input[Notes],Salary_Calculation[[#This Row],[Source Row]])))</f>
        <v/>
      </c>
      <c r="AA295" s="164" t="str">
        <f aca="false">IF(Salary_Calculation[[#This Row],[Source Row]]="","",Salary_Calculation[[#This Row],[Earned Salary]]-Salary_Calculation[[#This Row],[Missing-Order Deduction]]+Salary_Calculation[[#This Row],[Extra-Order Bonus]])</f>
        <v/>
      </c>
      <c r="AB295" s="164" t="str">
        <f aca="false">IF(Salary_Calculation[[#This Row],[Source Row]]="","",ROUND(Salary_Calculation[[#This Row],[Negative Balance / Amount Due from Rider]]+MAX(Salary_Calculation[[#This Row],[Total Deductions]]-Salary_Calculation[[#This Row],[Gross Salary Before Deductions]],0),2))</f>
        <v/>
      </c>
      <c r="AC29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95" s="164" t="str">
        <f aca="false">IF(Salary_Calculation[[#This Row],[Source Row]]="","",Salary_Calculation[[#This Row],[Rider Target Orders]]*Salary_Calculation[[#This Row],[Base Order Rate]])</f>
        <v/>
      </c>
      <c r="AE295" s="162" t="str">
        <f aca="false">IF(SUMPRODUCT(--(LEN(INDEX(Rider_Input[#Data],ROW()-ROW(Salary_Calculation[#Headers]),0))&gt;0))=0,"",ROW()-ROW(Salary_Calculation[#Headers]))</f>
        <v/>
      </c>
    </row>
    <row r="296" customFormat="false" ht="14.25" hidden="false" customHeight="false" outlineLevel="0" collapsed="false">
      <c r="A296" s="161" t="str">
        <f aca="false">IF(Salary_Calculation[[#This Row],[Source Row]]="","",IF(INDEX(Rider_Input[Salary Month],Salary_Calculation[[#This Row],[Source Row]])="","",INDEX(Rider_Input[Salary Month],Salary_Calculation[[#This Row],[Source Row]])))</f>
        <v/>
      </c>
      <c r="B296" s="162" t="str">
        <f aca="false">IF(Salary_Calculation[[#This Row],[Source Row]]="","",IF(INDEX(Rider_Input[Rider ID],Salary_Calculation[[#This Row],[Source Row]])="","",INDEX(Rider_Input[Rider ID],Salary_Calculation[[#This Row],[Source Row]])))</f>
        <v/>
      </c>
      <c r="C296" s="163" t="str">
        <f aca="false">IF(Salary_Calculation[[#This Row],[Source Row]]="","",IF(INDEX(Rider_Input[Rider Name],Salary_Calculation[[#This Row],[Source Row]])="","",INDEX(Rider_Input[Rider Name],Salary_Calculation[[#This Row],[Source Row]])))</f>
        <v/>
      </c>
      <c r="D296" s="164" t="str">
        <f aca="false">IF(Salary_Calculation[[#This Row],[Source Row]]="","",IF(INDEX(Rider_Input[Basic Payment],Salary_Calculation[[#This Row],[Source Row]])="","",INDEX(Rider_Input[Basic Payment],Salary_Calculation[[#This Row],[Source Row]])))</f>
        <v/>
      </c>
      <c r="E296" s="162" t="str">
        <f aca="false">IF(Salary_Calculation[[#This Row],[Source Row]]="","",IF(INDEX(Rider_Input[Calendar Days in Month],Salary_Calculation[[#This Row],[Source Row]])="","",INDEX(Rider_Input[Calendar Days in Month],Salary_Calculation[[#This Row],[Source Row]])))</f>
        <v/>
      </c>
      <c r="F296" s="162" t="str">
        <f aca="false">IF(Salary_Calculation[[#This Row],[Source Row]]="","",IF(INDEX(Rider_Input[Working Days],Salary_Calculation[[#This Row],[Source Row]])="","",INDEX(Rider_Input[Working Days],Salary_Calculation[[#This Row],[Source Row]])))</f>
        <v/>
      </c>
      <c r="G296" s="165" t="str">
        <f aca="false">IF(Salary_Calculation[[#This Row],[Source Row]]="","",Std_Orders/Std_Days*N(Salary_Calculation[[#This Row],[Calendar Days]]))</f>
        <v/>
      </c>
      <c r="H296" s="165" t="str">
        <f aca="false">IF(Salary_Calculation[[#This Row],[Source Row]]="","",IF(N(Salary_Calculation[[#This Row],[Calendar Days]])&gt;0,Salary_Calculation[[#This Row],[Monthly Target Orders]]/N(Salary_Calculation[[#This Row],[Calendar Days]])*N(Salary_Calculation[[#This Row],[Working Days]]),0))</f>
        <v/>
      </c>
      <c r="I296" s="166" t="str">
        <f aca="false">IF(Salary_Calculation[[#This Row],[Source Row]]="","",IF(INDEX(Rider_Input[Completed Orders],Salary_Calculation[[#This Row],[Source Row]])="","",INDEX(Rider_Input[Completed Orders],Salary_Calculation[[#This Row],[Source Row]])))</f>
        <v/>
      </c>
      <c r="J296" s="165" t="str">
        <f aca="false">IF(Salary_Calculation[[#This Row],[Source Row]]="","",IF(Rate_Method="Fixed rate",Fixed_Rate,IF(N(Salary_Calculation[[#This Row],[Basic Payment]])&gt;0,N(Salary_Calculation[[#This Row],[Basic Payment]])/Std_Orders,0)))</f>
        <v/>
      </c>
      <c r="K296" s="165" t="str">
        <f aca="false">IF(Salary_Calculation[[#This Row],[Source Row]]="","",MAX(MIN(N(Salary_Calculation[[#This Row],[Completed Orders]]),Salary_Calculation[[#This Row],[Rider Target Orders]]),0))</f>
        <v/>
      </c>
      <c r="L296" s="164" t="str">
        <f aca="false">IF(Salary_Calculation[[#This Row],[Source Row]]="","",Salary_Calculation[[#This Row],[Orders Counted at Base Rate]]*Salary_Calculation[[#This Row],[Base Order Rate]])</f>
        <v/>
      </c>
      <c r="M296" s="165" t="str">
        <f aca="false">IF(Salary_Calculation[[#This Row],[Source Row]]="","",MAX(Salary_Calculation[[#This Row],[Rider Target Orders]]-N(Salary_Calculation[[#This Row],[Completed Orders]]),0))</f>
        <v/>
      </c>
      <c r="N296" s="164" t="str">
        <f aca="false">IF(Salary_Calculation[[#This Row],[Source Row]]="","",Salary_Calculation[[#This Row],[Missing Orders]]*Missing_Rate)</f>
        <v/>
      </c>
      <c r="O296" s="165" t="str">
        <f aca="false">IF(Salary_Calculation[[#This Row],[Source Row]]="","",MAX(N(Salary_Calculation[[#This Row],[Completed Orders]])-Salary_Calculation[[#This Row],[Rider Target Orders]],0))</f>
        <v/>
      </c>
      <c r="P296" s="164" t="str">
        <f aca="false">IF(Salary_Calculation[[#This Row],[Source Row]]="","",Salary_Calculation[[#This Row],[Extra Orders]]*Extra_Rate)</f>
        <v/>
      </c>
      <c r="Q296" s="164" t="str">
        <f aca="false">IF(Salary_Calculation[[#This Row],[Source Row]]="","",MAX(Salary_Calculation[[#This Row],[Salary Before Other Deductions]],0))</f>
        <v/>
      </c>
      <c r="R296" s="164" t="str">
        <f aca="false">IF(Salary_Calculation[[#This Row],[Source Row]]="","",N(INDEX(Rider_Input[missed_days_penalty],Salary_Calculation[[#This Row],[Source Row]])))</f>
        <v/>
      </c>
      <c r="S296" s="164" t="str">
        <f aca="false">IF(Salary_Calculation[[#This Row],[Source Row]]="","",N(INDEX(Rider_Input[Rider Balance / محفظة المندوب],Salary_Calculation[[#This Row],[Source Row]])))</f>
        <v/>
      </c>
      <c r="T296" s="164" t="str">
        <f aca="false">IF(Salary_Calculation[[#This Row],[Source Row]]="","",N(INDEX(Rider_Input[stacking_deduction / خصم الطلبات المتعددة],Salary_Calculation[[#This Row],[Source Row]])))</f>
        <v/>
      </c>
      <c r="U296" s="164" t="str">
        <f aca="false">IF(Salary_Calculation[[#This Row],[Source Row]]="","",N(INDEX(Rider_Input[Other Deductions],Salary_Calculation[[#This Row],[Source Row]])))</f>
        <v/>
      </c>
      <c r="V296" s="164" t="str">
        <f aca="false">IF(Salary_Calculation[[#This Row],[Source Row]]="","",N(Salary_Calculation[[#This Row],[missed_days_penalty]])+N(Salary_Calculation[[#This Row],[Rider Balance]])+N(Salary_Calculation[[#This Row],[stacking_deduction]])+N(Salary_Calculation[[#This Row],[Other Deductions]]))</f>
        <v/>
      </c>
      <c r="W296" s="167" t="str">
        <f aca="false">IF(Salary_Calculation[[#This Row],[Source Row]]="","",ROUND(MAX(Salary_Calculation[[#This Row],[Gross Salary Before Deductions]]-Salary_Calculation[[#This Row],[Total Deductions]],0),2))</f>
        <v/>
      </c>
      <c r="X296" s="164" t="str">
        <f aca="false">IF(Salary_Calculation[[#This Row],[Source Row]]="","",ROUND(MAX(Salary_Calculation[[#This Row],[Missing-Order Deduction]]-Salary_Calculation[[#This Row],[Earned Salary]],0),2))</f>
        <v/>
      </c>
      <c r="Y29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96" s="163" t="str">
        <f aca="false">IF(Salary_Calculation[[#This Row],[Source Row]]="","",IF(INDEX(Rider_Input[Notes],Salary_Calculation[[#This Row],[Source Row]])="","",INDEX(Rider_Input[Notes],Salary_Calculation[[#This Row],[Source Row]])))</f>
        <v/>
      </c>
      <c r="AA296" s="164" t="str">
        <f aca="false">IF(Salary_Calculation[[#This Row],[Source Row]]="","",Salary_Calculation[[#This Row],[Earned Salary]]-Salary_Calculation[[#This Row],[Missing-Order Deduction]]+Salary_Calculation[[#This Row],[Extra-Order Bonus]])</f>
        <v/>
      </c>
      <c r="AB296" s="164" t="str">
        <f aca="false">IF(Salary_Calculation[[#This Row],[Source Row]]="","",ROUND(Salary_Calculation[[#This Row],[Negative Balance / Amount Due from Rider]]+MAX(Salary_Calculation[[#This Row],[Total Deductions]]-Salary_Calculation[[#This Row],[Gross Salary Before Deductions]],0),2))</f>
        <v/>
      </c>
      <c r="AC29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96" s="164" t="str">
        <f aca="false">IF(Salary_Calculation[[#This Row],[Source Row]]="","",Salary_Calculation[[#This Row],[Rider Target Orders]]*Salary_Calculation[[#This Row],[Base Order Rate]])</f>
        <v/>
      </c>
      <c r="AE296" s="162" t="str">
        <f aca="false">IF(SUMPRODUCT(--(LEN(INDEX(Rider_Input[#Data],ROW()-ROW(Salary_Calculation[#Headers]),0))&gt;0))=0,"",ROW()-ROW(Salary_Calculation[#Headers]))</f>
        <v/>
      </c>
    </row>
    <row r="297" customFormat="false" ht="14.25" hidden="false" customHeight="false" outlineLevel="0" collapsed="false">
      <c r="A297" s="161" t="str">
        <f aca="false">IF(Salary_Calculation[[#This Row],[Source Row]]="","",IF(INDEX(Rider_Input[Salary Month],Salary_Calculation[[#This Row],[Source Row]])="","",INDEX(Rider_Input[Salary Month],Salary_Calculation[[#This Row],[Source Row]])))</f>
        <v/>
      </c>
      <c r="B297" s="162" t="str">
        <f aca="false">IF(Salary_Calculation[[#This Row],[Source Row]]="","",IF(INDEX(Rider_Input[Rider ID],Salary_Calculation[[#This Row],[Source Row]])="","",INDEX(Rider_Input[Rider ID],Salary_Calculation[[#This Row],[Source Row]])))</f>
        <v/>
      </c>
      <c r="C297" s="163" t="str">
        <f aca="false">IF(Salary_Calculation[[#This Row],[Source Row]]="","",IF(INDEX(Rider_Input[Rider Name],Salary_Calculation[[#This Row],[Source Row]])="","",INDEX(Rider_Input[Rider Name],Salary_Calculation[[#This Row],[Source Row]])))</f>
        <v/>
      </c>
      <c r="D297" s="164" t="str">
        <f aca="false">IF(Salary_Calculation[[#This Row],[Source Row]]="","",IF(INDEX(Rider_Input[Basic Payment],Salary_Calculation[[#This Row],[Source Row]])="","",INDEX(Rider_Input[Basic Payment],Salary_Calculation[[#This Row],[Source Row]])))</f>
        <v/>
      </c>
      <c r="E297" s="162" t="str">
        <f aca="false">IF(Salary_Calculation[[#This Row],[Source Row]]="","",IF(INDEX(Rider_Input[Calendar Days in Month],Salary_Calculation[[#This Row],[Source Row]])="","",INDEX(Rider_Input[Calendar Days in Month],Salary_Calculation[[#This Row],[Source Row]])))</f>
        <v/>
      </c>
      <c r="F297" s="162" t="str">
        <f aca="false">IF(Salary_Calculation[[#This Row],[Source Row]]="","",IF(INDEX(Rider_Input[Working Days],Salary_Calculation[[#This Row],[Source Row]])="","",INDEX(Rider_Input[Working Days],Salary_Calculation[[#This Row],[Source Row]])))</f>
        <v/>
      </c>
      <c r="G297" s="165" t="str">
        <f aca="false">IF(Salary_Calculation[[#This Row],[Source Row]]="","",Std_Orders/Std_Days*N(Salary_Calculation[[#This Row],[Calendar Days]]))</f>
        <v/>
      </c>
      <c r="H297" s="165" t="str">
        <f aca="false">IF(Salary_Calculation[[#This Row],[Source Row]]="","",IF(N(Salary_Calculation[[#This Row],[Calendar Days]])&gt;0,Salary_Calculation[[#This Row],[Monthly Target Orders]]/N(Salary_Calculation[[#This Row],[Calendar Days]])*N(Salary_Calculation[[#This Row],[Working Days]]),0))</f>
        <v/>
      </c>
      <c r="I297" s="166" t="str">
        <f aca="false">IF(Salary_Calculation[[#This Row],[Source Row]]="","",IF(INDEX(Rider_Input[Completed Orders],Salary_Calculation[[#This Row],[Source Row]])="","",INDEX(Rider_Input[Completed Orders],Salary_Calculation[[#This Row],[Source Row]])))</f>
        <v/>
      </c>
      <c r="J297" s="165" t="str">
        <f aca="false">IF(Salary_Calculation[[#This Row],[Source Row]]="","",IF(Rate_Method="Fixed rate",Fixed_Rate,IF(N(Salary_Calculation[[#This Row],[Basic Payment]])&gt;0,N(Salary_Calculation[[#This Row],[Basic Payment]])/Std_Orders,0)))</f>
        <v/>
      </c>
      <c r="K297" s="165" t="str">
        <f aca="false">IF(Salary_Calculation[[#This Row],[Source Row]]="","",MAX(MIN(N(Salary_Calculation[[#This Row],[Completed Orders]]),Salary_Calculation[[#This Row],[Rider Target Orders]]),0))</f>
        <v/>
      </c>
      <c r="L297" s="164" t="str">
        <f aca="false">IF(Salary_Calculation[[#This Row],[Source Row]]="","",Salary_Calculation[[#This Row],[Orders Counted at Base Rate]]*Salary_Calculation[[#This Row],[Base Order Rate]])</f>
        <v/>
      </c>
      <c r="M297" s="165" t="str">
        <f aca="false">IF(Salary_Calculation[[#This Row],[Source Row]]="","",MAX(Salary_Calculation[[#This Row],[Rider Target Orders]]-N(Salary_Calculation[[#This Row],[Completed Orders]]),0))</f>
        <v/>
      </c>
      <c r="N297" s="164" t="str">
        <f aca="false">IF(Salary_Calculation[[#This Row],[Source Row]]="","",Salary_Calculation[[#This Row],[Missing Orders]]*Missing_Rate)</f>
        <v/>
      </c>
      <c r="O297" s="165" t="str">
        <f aca="false">IF(Salary_Calculation[[#This Row],[Source Row]]="","",MAX(N(Salary_Calculation[[#This Row],[Completed Orders]])-Salary_Calculation[[#This Row],[Rider Target Orders]],0))</f>
        <v/>
      </c>
      <c r="P297" s="164" t="str">
        <f aca="false">IF(Salary_Calculation[[#This Row],[Source Row]]="","",Salary_Calculation[[#This Row],[Extra Orders]]*Extra_Rate)</f>
        <v/>
      </c>
      <c r="Q297" s="164" t="str">
        <f aca="false">IF(Salary_Calculation[[#This Row],[Source Row]]="","",MAX(Salary_Calculation[[#This Row],[Salary Before Other Deductions]],0))</f>
        <v/>
      </c>
      <c r="R297" s="164" t="str">
        <f aca="false">IF(Salary_Calculation[[#This Row],[Source Row]]="","",N(INDEX(Rider_Input[missed_days_penalty],Salary_Calculation[[#This Row],[Source Row]])))</f>
        <v/>
      </c>
      <c r="S297" s="164" t="str">
        <f aca="false">IF(Salary_Calculation[[#This Row],[Source Row]]="","",N(INDEX(Rider_Input[Rider Balance / محفظة المندوب],Salary_Calculation[[#This Row],[Source Row]])))</f>
        <v/>
      </c>
      <c r="T297" s="164" t="str">
        <f aca="false">IF(Salary_Calculation[[#This Row],[Source Row]]="","",N(INDEX(Rider_Input[stacking_deduction / خصم الطلبات المتعددة],Salary_Calculation[[#This Row],[Source Row]])))</f>
        <v/>
      </c>
      <c r="U297" s="164" t="str">
        <f aca="false">IF(Salary_Calculation[[#This Row],[Source Row]]="","",N(INDEX(Rider_Input[Other Deductions],Salary_Calculation[[#This Row],[Source Row]])))</f>
        <v/>
      </c>
      <c r="V297" s="164" t="str">
        <f aca="false">IF(Salary_Calculation[[#This Row],[Source Row]]="","",N(Salary_Calculation[[#This Row],[missed_days_penalty]])+N(Salary_Calculation[[#This Row],[Rider Balance]])+N(Salary_Calculation[[#This Row],[stacking_deduction]])+N(Salary_Calculation[[#This Row],[Other Deductions]]))</f>
        <v/>
      </c>
      <c r="W297" s="167" t="str">
        <f aca="false">IF(Salary_Calculation[[#This Row],[Source Row]]="","",ROUND(MAX(Salary_Calculation[[#This Row],[Gross Salary Before Deductions]]-Salary_Calculation[[#This Row],[Total Deductions]],0),2))</f>
        <v/>
      </c>
      <c r="X297" s="164" t="str">
        <f aca="false">IF(Salary_Calculation[[#This Row],[Source Row]]="","",ROUND(MAX(Salary_Calculation[[#This Row],[Missing-Order Deduction]]-Salary_Calculation[[#This Row],[Earned Salary]],0),2))</f>
        <v/>
      </c>
      <c r="Y29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97" s="163" t="str">
        <f aca="false">IF(Salary_Calculation[[#This Row],[Source Row]]="","",IF(INDEX(Rider_Input[Notes],Salary_Calculation[[#This Row],[Source Row]])="","",INDEX(Rider_Input[Notes],Salary_Calculation[[#This Row],[Source Row]])))</f>
        <v/>
      </c>
      <c r="AA297" s="164" t="str">
        <f aca="false">IF(Salary_Calculation[[#This Row],[Source Row]]="","",Salary_Calculation[[#This Row],[Earned Salary]]-Salary_Calculation[[#This Row],[Missing-Order Deduction]]+Salary_Calculation[[#This Row],[Extra-Order Bonus]])</f>
        <v/>
      </c>
      <c r="AB297" s="164" t="str">
        <f aca="false">IF(Salary_Calculation[[#This Row],[Source Row]]="","",ROUND(Salary_Calculation[[#This Row],[Negative Balance / Amount Due from Rider]]+MAX(Salary_Calculation[[#This Row],[Total Deductions]]-Salary_Calculation[[#This Row],[Gross Salary Before Deductions]],0),2))</f>
        <v/>
      </c>
      <c r="AC29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97" s="164" t="str">
        <f aca="false">IF(Salary_Calculation[[#This Row],[Source Row]]="","",Salary_Calculation[[#This Row],[Rider Target Orders]]*Salary_Calculation[[#This Row],[Base Order Rate]])</f>
        <v/>
      </c>
      <c r="AE297" s="162" t="str">
        <f aca="false">IF(SUMPRODUCT(--(LEN(INDEX(Rider_Input[#Data],ROW()-ROW(Salary_Calculation[#Headers]),0))&gt;0))=0,"",ROW()-ROW(Salary_Calculation[#Headers]))</f>
        <v/>
      </c>
    </row>
    <row r="298" customFormat="false" ht="14.25" hidden="false" customHeight="false" outlineLevel="0" collapsed="false">
      <c r="A298" s="161" t="str">
        <f aca="false">IF(Salary_Calculation[[#This Row],[Source Row]]="","",IF(INDEX(Rider_Input[Salary Month],Salary_Calculation[[#This Row],[Source Row]])="","",INDEX(Rider_Input[Salary Month],Salary_Calculation[[#This Row],[Source Row]])))</f>
        <v/>
      </c>
      <c r="B298" s="162" t="str">
        <f aca="false">IF(Salary_Calculation[[#This Row],[Source Row]]="","",IF(INDEX(Rider_Input[Rider ID],Salary_Calculation[[#This Row],[Source Row]])="","",INDEX(Rider_Input[Rider ID],Salary_Calculation[[#This Row],[Source Row]])))</f>
        <v/>
      </c>
      <c r="C298" s="163" t="str">
        <f aca="false">IF(Salary_Calculation[[#This Row],[Source Row]]="","",IF(INDEX(Rider_Input[Rider Name],Salary_Calculation[[#This Row],[Source Row]])="","",INDEX(Rider_Input[Rider Name],Salary_Calculation[[#This Row],[Source Row]])))</f>
        <v/>
      </c>
      <c r="D298" s="164" t="str">
        <f aca="false">IF(Salary_Calculation[[#This Row],[Source Row]]="","",IF(INDEX(Rider_Input[Basic Payment],Salary_Calculation[[#This Row],[Source Row]])="","",INDEX(Rider_Input[Basic Payment],Salary_Calculation[[#This Row],[Source Row]])))</f>
        <v/>
      </c>
      <c r="E298" s="162" t="str">
        <f aca="false">IF(Salary_Calculation[[#This Row],[Source Row]]="","",IF(INDEX(Rider_Input[Calendar Days in Month],Salary_Calculation[[#This Row],[Source Row]])="","",INDEX(Rider_Input[Calendar Days in Month],Salary_Calculation[[#This Row],[Source Row]])))</f>
        <v/>
      </c>
      <c r="F298" s="162" t="str">
        <f aca="false">IF(Salary_Calculation[[#This Row],[Source Row]]="","",IF(INDEX(Rider_Input[Working Days],Salary_Calculation[[#This Row],[Source Row]])="","",INDEX(Rider_Input[Working Days],Salary_Calculation[[#This Row],[Source Row]])))</f>
        <v/>
      </c>
      <c r="G298" s="165" t="str">
        <f aca="false">IF(Salary_Calculation[[#This Row],[Source Row]]="","",Std_Orders/Std_Days*N(Salary_Calculation[[#This Row],[Calendar Days]]))</f>
        <v/>
      </c>
      <c r="H298" s="165" t="str">
        <f aca="false">IF(Salary_Calculation[[#This Row],[Source Row]]="","",IF(N(Salary_Calculation[[#This Row],[Calendar Days]])&gt;0,Salary_Calculation[[#This Row],[Monthly Target Orders]]/N(Salary_Calculation[[#This Row],[Calendar Days]])*N(Salary_Calculation[[#This Row],[Working Days]]),0))</f>
        <v/>
      </c>
      <c r="I298" s="166" t="str">
        <f aca="false">IF(Salary_Calculation[[#This Row],[Source Row]]="","",IF(INDEX(Rider_Input[Completed Orders],Salary_Calculation[[#This Row],[Source Row]])="","",INDEX(Rider_Input[Completed Orders],Salary_Calculation[[#This Row],[Source Row]])))</f>
        <v/>
      </c>
      <c r="J298" s="165" t="str">
        <f aca="false">IF(Salary_Calculation[[#This Row],[Source Row]]="","",IF(Rate_Method="Fixed rate",Fixed_Rate,IF(N(Salary_Calculation[[#This Row],[Basic Payment]])&gt;0,N(Salary_Calculation[[#This Row],[Basic Payment]])/Std_Orders,0)))</f>
        <v/>
      </c>
      <c r="K298" s="165" t="str">
        <f aca="false">IF(Salary_Calculation[[#This Row],[Source Row]]="","",MAX(MIN(N(Salary_Calculation[[#This Row],[Completed Orders]]),Salary_Calculation[[#This Row],[Rider Target Orders]]),0))</f>
        <v/>
      </c>
      <c r="L298" s="164" t="str">
        <f aca="false">IF(Salary_Calculation[[#This Row],[Source Row]]="","",Salary_Calculation[[#This Row],[Orders Counted at Base Rate]]*Salary_Calculation[[#This Row],[Base Order Rate]])</f>
        <v/>
      </c>
      <c r="M298" s="165" t="str">
        <f aca="false">IF(Salary_Calculation[[#This Row],[Source Row]]="","",MAX(Salary_Calculation[[#This Row],[Rider Target Orders]]-N(Salary_Calculation[[#This Row],[Completed Orders]]),0))</f>
        <v/>
      </c>
      <c r="N298" s="164" t="str">
        <f aca="false">IF(Salary_Calculation[[#This Row],[Source Row]]="","",Salary_Calculation[[#This Row],[Missing Orders]]*Missing_Rate)</f>
        <v/>
      </c>
      <c r="O298" s="165" t="str">
        <f aca="false">IF(Salary_Calculation[[#This Row],[Source Row]]="","",MAX(N(Salary_Calculation[[#This Row],[Completed Orders]])-Salary_Calculation[[#This Row],[Rider Target Orders]],0))</f>
        <v/>
      </c>
      <c r="P298" s="164" t="str">
        <f aca="false">IF(Salary_Calculation[[#This Row],[Source Row]]="","",Salary_Calculation[[#This Row],[Extra Orders]]*Extra_Rate)</f>
        <v/>
      </c>
      <c r="Q298" s="164" t="str">
        <f aca="false">IF(Salary_Calculation[[#This Row],[Source Row]]="","",MAX(Salary_Calculation[[#This Row],[Salary Before Other Deductions]],0))</f>
        <v/>
      </c>
      <c r="R298" s="164" t="str">
        <f aca="false">IF(Salary_Calculation[[#This Row],[Source Row]]="","",N(INDEX(Rider_Input[missed_days_penalty],Salary_Calculation[[#This Row],[Source Row]])))</f>
        <v/>
      </c>
      <c r="S298" s="164" t="str">
        <f aca="false">IF(Salary_Calculation[[#This Row],[Source Row]]="","",N(INDEX(Rider_Input[Rider Balance / محفظة المندوب],Salary_Calculation[[#This Row],[Source Row]])))</f>
        <v/>
      </c>
      <c r="T298" s="164" t="str">
        <f aca="false">IF(Salary_Calculation[[#This Row],[Source Row]]="","",N(INDEX(Rider_Input[stacking_deduction / خصم الطلبات المتعددة],Salary_Calculation[[#This Row],[Source Row]])))</f>
        <v/>
      </c>
      <c r="U298" s="164" t="str">
        <f aca="false">IF(Salary_Calculation[[#This Row],[Source Row]]="","",N(INDEX(Rider_Input[Other Deductions],Salary_Calculation[[#This Row],[Source Row]])))</f>
        <v/>
      </c>
      <c r="V298" s="164" t="str">
        <f aca="false">IF(Salary_Calculation[[#This Row],[Source Row]]="","",N(Salary_Calculation[[#This Row],[missed_days_penalty]])+N(Salary_Calculation[[#This Row],[Rider Balance]])+N(Salary_Calculation[[#This Row],[stacking_deduction]])+N(Salary_Calculation[[#This Row],[Other Deductions]]))</f>
        <v/>
      </c>
      <c r="W298" s="167" t="str">
        <f aca="false">IF(Salary_Calculation[[#This Row],[Source Row]]="","",ROUND(MAX(Salary_Calculation[[#This Row],[Gross Salary Before Deductions]]-Salary_Calculation[[#This Row],[Total Deductions]],0),2))</f>
        <v/>
      </c>
      <c r="X298" s="164" t="str">
        <f aca="false">IF(Salary_Calculation[[#This Row],[Source Row]]="","",ROUND(MAX(Salary_Calculation[[#This Row],[Missing-Order Deduction]]-Salary_Calculation[[#This Row],[Earned Salary]],0),2))</f>
        <v/>
      </c>
      <c r="Y29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98" s="163" t="str">
        <f aca="false">IF(Salary_Calculation[[#This Row],[Source Row]]="","",IF(INDEX(Rider_Input[Notes],Salary_Calculation[[#This Row],[Source Row]])="","",INDEX(Rider_Input[Notes],Salary_Calculation[[#This Row],[Source Row]])))</f>
        <v/>
      </c>
      <c r="AA298" s="164" t="str">
        <f aca="false">IF(Salary_Calculation[[#This Row],[Source Row]]="","",Salary_Calculation[[#This Row],[Earned Salary]]-Salary_Calculation[[#This Row],[Missing-Order Deduction]]+Salary_Calculation[[#This Row],[Extra-Order Bonus]])</f>
        <v/>
      </c>
      <c r="AB298" s="164" t="str">
        <f aca="false">IF(Salary_Calculation[[#This Row],[Source Row]]="","",ROUND(Salary_Calculation[[#This Row],[Negative Balance / Amount Due from Rider]]+MAX(Salary_Calculation[[#This Row],[Total Deductions]]-Salary_Calculation[[#This Row],[Gross Salary Before Deductions]],0),2))</f>
        <v/>
      </c>
      <c r="AC29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98" s="164" t="str">
        <f aca="false">IF(Salary_Calculation[[#This Row],[Source Row]]="","",Salary_Calculation[[#This Row],[Rider Target Orders]]*Salary_Calculation[[#This Row],[Base Order Rate]])</f>
        <v/>
      </c>
      <c r="AE298" s="162" t="str">
        <f aca="false">IF(SUMPRODUCT(--(LEN(INDEX(Rider_Input[#Data],ROW()-ROW(Salary_Calculation[#Headers]),0))&gt;0))=0,"",ROW()-ROW(Salary_Calculation[#Headers]))</f>
        <v/>
      </c>
    </row>
    <row r="299" customFormat="false" ht="14.25" hidden="false" customHeight="false" outlineLevel="0" collapsed="false">
      <c r="A299" s="161" t="str">
        <f aca="false">IF(Salary_Calculation[[#This Row],[Source Row]]="","",IF(INDEX(Rider_Input[Salary Month],Salary_Calculation[[#This Row],[Source Row]])="","",INDEX(Rider_Input[Salary Month],Salary_Calculation[[#This Row],[Source Row]])))</f>
        <v/>
      </c>
      <c r="B299" s="162" t="str">
        <f aca="false">IF(Salary_Calculation[[#This Row],[Source Row]]="","",IF(INDEX(Rider_Input[Rider ID],Salary_Calculation[[#This Row],[Source Row]])="","",INDEX(Rider_Input[Rider ID],Salary_Calculation[[#This Row],[Source Row]])))</f>
        <v/>
      </c>
      <c r="C299" s="163" t="str">
        <f aca="false">IF(Salary_Calculation[[#This Row],[Source Row]]="","",IF(INDEX(Rider_Input[Rider Name],Salary_Calculation[[#This Row],[Source Row]])="","",INDEX(Rider_Input[Rider Name],Salary_Calculation[[#This Row],[Source Row]])))</f>
        <v/>
      </c>
      <c r="D299" s="164" t="str">
        <f aca="false">IF(Salary_Calculation[[#This Row],[Source Row]]="","",IF(INDEX(Rider_Input[Basic Payment],Salary_Calculation[[#This Row],[Source Row]])="","",INDEX(Rider_Input[Basic Payment],Salary_Calculation[[#This Row],[Source Row]])))</f>
        <v/>
      </c>
      <c r="E299" s="162" t="str">
        <f aca="false">IF(Salary_Calculation[[#This Row],[Source Row]]="","",IF(INDEX(Rider_Input[Calendar Days in Month],Salary_Calculation[[#This Row],[Source Row]])="","",INDEX(Rider_Input[Calendar Days in Month],Salary_Calculation[[#This Row],[Source Row]])))</f>
        <v/>
      </c>
      <c r="F299" s="162" t="str">
        <f aca="false">IF(Salary_Calculation[[#This Row],[Source Row]]="","",IF(INDEX(Rider_Input[Working Days],Salary_Calculation[[#This Row],[Source Row]])="","",INDEX(Rider_Input[Working Days],Salary_Calculation[[#This Row],[Source Row]])))</f>
        <v/>
      </c>
      <c r="G299" s="165" t="str">
        <f aca="false">IF(Salary_Calculation[[#This Row],[Source Row]]="","",Std_Orders/Std_Days*N(Salary_Calculation[[#This Row],[Calendar Days]]))</f>
        <v/>
      </c>
      <c r="H299" s="165" t="str">
        <f aca="false">IF(Salary_Calculation[[#This Row],[Source Row]]="","",IF(N(Salary_Calculation[[#This Row],[Calendar Days]])&gt;0,Salary_Calculation[[#This Row],[Monthly Target Orders]]/N(Salary_Calculation[[#This Row],[Calendar Days]])*N(Salary_Calculation[[#This Row],[Working Days]]),0))</f>
        <v/>
      </c>
      <c r="I299" s="166" t="str">
        <f aca="false">IF(Salary_Calculation[[#This Row],[Source Row]]="","",IF(INDEX(Rider_Input[Completed Orders],Salary_Calculation[[#This Row],[Source Row]])="","",INDEX(Rider_Input[Completed Orders],Salary_Calculation[[#This Row],[Source Row]])))</f>
        <v/>
      </c>
      <c r="J299" s="165" t="str">
        <f aca="false">IF(Salary_Calculation[[#This Row],[Source Row]]="","",IF(Rate_Method="Fixed rate",Fixed_Rate,IF(N(Salary_Calculation[[#This Row],[Basic Payment]])&gt;0,N(Salary_Calculation[[#This Row],[Basic Payment]])/Std_Orders,0)))</f>
        <v/>
      </c>
      <c r="K299" s="165" t="str">
        <f aca="false">IF(Salary_Calculation[[#This Row],[Source Row]]="","",MAX(MIN(N(Salary_Calculation[[#This Row],[Completed Orders]]),Salary_Calculation[[#This Row],[Rider Target Orders]]),0))</f>
        <v/>
      </c>
      <c r="L299" s="164" t="str">
        <f aca="false">IF(Salary_Calculation[[#This Row],[Source Row]]="","",Salary_Calculation[[#This Row],[Orders Counted at Base Rate]]*Salary_Calculation[[#This Row],[Base Order Rate]])</f>
        <v/>
      </c>
      <c r="M299" s="165" t="str">
        <f aca="false">IF(Salary_Calculation[[#This Row],[Source Row]]="","",MAX(Salary_Calculation[[#This Row],[Rider Target Orders]]-N(Salary_Calculation[[#This Row],[Completed Orders]]),0))</f>
        <v/>
      </c>
      <c r="N299" s="164" t="str">
        <f aca="false">IF(Salary_Calculation[[#This Row],[Source Row]]="","",Salary_Calculation[[#This Row],[Missing Orders]]*Missing_Rate)</f>
        <v/>
      </c>
      <c r="O299" s="165" t="str">
        <f aca="false">IF(Salary_Calculation[[#This Row],[Source Row]]="","",MAX(N(Salary_Calculation[[#This Row],[Completed Orders]])-Salary_Calculation[[#This Row],[Rider Target Orders]],0))</f>
        <v/>
      </c>
      <c r="P299" s="164" t="str">
        <f aca="false">IF(Salary_Calculation[[#This Row],[Source Row]]="","",Salary_Calculation[[#This Row],[Extra Orders]]*Extra_Rate)</f>
        <v/>
      </c>
      <c r="Q299" s="164" t="str">
        <f aca="false">IF(Salary_Calculation[[#This Row],[Source Row]]="","",MAX(Salary_Calculation[[#This Row],[Salary Before Other Deductions]],0))</f>
        <v/>
      </c>
      <c r="R299" s="164" t="str">
        <f aca="false">IF(Salary_Calculation[[#This Row],[Source Row]]="","",N(INDEX(Rider_Input[missed_days_penalty],Salary_Calculation[[#This Row],[Source Row]])))</f>
        <v/>
      </c>
      <c r="S299" s="164" t="str">
        <f aca="false">IF(Salary_Calculation[[#This Row],[Source Row]]="","",N(INDEX(Rider_Input[Rider Balance / محفظة المندوب],Salary_Calculation[[#This Row],[Source Row]])))</f>
        <v/>
      </c>
      <c r="T299" s="164" t="str">
        <f aca="false">IF(Salary_Calculation[[#This Row],[Source Row]]="","",N(INDEX(Rider_Input[stacking_deduction / خصم الطلبات المتعددة],Salary_Calculation[[#This Row],[Source Row]])))</f>
        <v/>
      </c>
      <c r="U299" s="164" t="str">
        <f aca="false">IF(Salary_Calculation[[#This Row],[Source Row]]="","",N(INDEX(Rider_Input[Other Deductions],Salary_Calculation[[#This Row],[Source Row]])))</f>
        <v/>
      </c>
      <c r="V299" s="164" t="str">
        <f aca="false">IF(Salary_Calculation[[#This Row],[Source Row]]="","",N(Salary_Calculation[[#This Row],[missed_days_penalty]])+N(Salary_Calculation[[#This Row],[Rider Balance]])+N(Salary_Calculation[[#This Row],[stacking_deduction]])+N(Salary_Calculation[[#This Row],[Other Deductions]]))</f>
        <v/>
      </c>
      <c r="W299" s="167" t="str">
        <f aca="false">IF(Salary_Calculation[[#This Row],[Source Row]]="","",ROUND(MAX(Salary_Calculation[[#This Row],[Gross Salary Before Deductions]]-Salary_Calculation[[#This Row],[Total Deductions]],0),2))</f>
        <v/>
      </c>
      <c r="X299" s="164" t="str">
        <f aca="false">IF(Salary_Calculation[[#This Row],[Source Row]]="","",ROUND(MAX(Salary_Calculation[[#This Row],[Missing-Order Deduction]]-Salary_Calculation[[#This Row],[Earned Salary]],0),2))</f>
        <v/>
      </c>
      <c r="Y29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299" s="163" t="str">
        <f aca="false">IF(Salary_Calculation[[#This Row],[Source Row]]="","",IF(INDEX(Rider_Input[Notes],Salary_Calculation[[#This Row],[Source Row]])="","",INDEX(Rider_Input[Notes],Salary_Calculation[[#This Row],[Source Row]])))</f>
        <v/>
      </c>
      <c r="AA299" s="164" t="str">
        <f aca="false">IF(Salary_Calculation[[#This Row],[Source Row]]="","",Salary_Calculation[[#This Row],[Earned Salary]]-Salary_Calculation[[#This Row],[Missing-Order Deduction]]+Salary_Calculation[[#This Row],[Extra-Order Bonus]])</f>
        <v/>
      </c>
      <c r="AB299" s="164" t="str">
        <f aca="false">IF(Salary_Calculation[[#This Row],[Source Row]]="","",ROUND(Salary_Calculation[[#This Row],[Negative Balance / Amount Due from Rider]]+MAX(Salary_Calculation[[#This Row],[Total Deductions]]-Salary_Calculation[[#This Row],[Gross Salary Before Deductions]],0),2))</f>
        <v/>
      </c>
      <c r="AC29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299" s="164" t="str">
        <f aca="false">IF(Salary_Calculation[[#This Row],[Source Row]]="","",Salary_Calculation[[#This Row],[Rider Target Orders]]*Salary_Calculation[[#This Row],[Base Order Rate]])</f>
        <v/>
      </c>
      <c r="AE299" s="162" t="str">
        <f aca="false">IF(SUMPRODUCT(--(LEN(INDEX(Rider_Input[#Data],ROW()-ROW(Salary_Calculation[#Headers]),0))&gt;0))=0,"",ROW()-ROW(Salary_Calculation[#Headers]))</f>
        <v/>
      </c>
    </row>
    <row r="300" customFormat="false" ht="14.25" hidden="false" customHeight="false" outlineLevel="0" collapsed="false">
      <c r="A300" s="161" t="str">
        <f aca="false">IF(Salary_Calculation[[#This Row],[Source Row]]="","",IF(INDEX(Rider_Input[Salary Month],Salary_Calculation[[#This Row],[Source Row]])="","",INDEX(Rider_Input[Salary Month],Salary_Calculation[[#This Row],[Source Row]])))</f>
        <v/>
      </c>
      <c r="B300" s="162" t="str">
        <f aca="false">IF(Salary_Calculation[[#This Row],[Source Row]]="","",IF(INDEX(Rider_Input[Rider ID],Salary_Calculation[[#This Row],[Source Row]])="","",INDEX(Rider_Input[Rider ID],Salary_Calculation[[#This Row],[Source Row]])))</f>
        <v/>
      </c>
      <c r="C300" s="163" t="str">
        <f aca="false">IF(Salary_Calculation[[#This Row],[Source Row]]="","",IF(INDEX(Rider_Input[Rider Name],Salary_Calculation[[#This Row],[Source Row]])="","",INDEX(Rider_Input[Rider Name],Salary_Calculation[[#This Row],[Source Row]])))</f>
        <v/>
      </c>
      <c r="D300" s="164" t="str">
        <f aca="false">IF(Salary_Calculation[[#This Row],[Source Row]]="","",IF(INDEX(Rider_Input[Basic Payment],Salary_Calculation[[#This Row],[Source Row]])="","",INDEX(Rider_Input[Basic Payment],Salary_Calculation[[#This Row],[Source Row]])))</f>
        <v/>
      </c>
      <c r="E300" s="162" t="str">
        <f aca="false">IF(Salary_Calculation[[#This Row],[Source Row]]="","",IF(INDEX(Rider_Input[Calendar Days in Month],Salary_Calculation[[#This Row],[Source Row]])="","",INDEX(Rider_Input[Calendar Days in Month],Salary_Calculation[[#This Row],[Source Row]])))</f>
        <v/>
      </c>
      <c r="F300" s="162" t="str">
        <f aca="false">IF(Salary_Calculation[[#This Row],[Source Row]]="","",IF(INDEX(Rider_Input[Working Days],Salary_Calculation[[#This Row],[Source Row]])="","",INDEX(Rider_Input[Working Days],Salary_Calculation[[#This Row],[Source Row]])))</f>
        <v/>
      </c>
      <c r="G300" s="165" t="str">
        <f aca="false">IF(Salary_Calculation[[#This Row],[Source Row]]="","",Std_Orders/Std_Days*N(Salary_Calculation[[#This Row],[Calendar Days]]))</f>
        <v/>
      </c>
      <c r="H300" s="165" t="str">
        <f aca="false">IF(Salary_Calculation[[#This Row],[Source Row]]="","",IF(N(Salary_Calculation[[#This Row],[Calendar Days]])&gt;0,Salary_Calculation[[#This Row],[Monthly Target Orders]]/N(Salary_Calculation[[#This Row],[Calendar Days]])*N(Salary_Calculation[[#This Row],[Working Days]]),0))</f>
        <v/>
      </c>
      <c r="I300" s="166" t="str">
        <f aca="false">IF(Salary_Calculation[[#This Row],[Source Row]]="","",IF(INDEX(Rider_Input[Completed Orders],Salary_Calculation[[#This Row],[Source Row]])="","",INDEX(Rider_Input[Completed Orders],Salary_Calculation[[#This Row],[Source Row]])))</f>
        <v/>
      </c>
      <c r="J300" s="165" t="str">
        <f aca="false">IF(Salary_Calculation[[#This Row],[Source Row]]="","",IF(Rate_Method="Fixed rate",Fixed_Rate,IF(N(Salary_Calculation[[#This Row],[Basic Payment]])&gt;0,N(Salary_Calculation[[#This Row],[Basic Payment]])/Std_Orders,0)))</f>
        <v/>
      </c>
      <c r="K300" s="165" t="str">
        <f aca="false">IF(Salary_Calculation[[#This Row],[Source Row]]="","",MAX(MIN(N(Salary_Calculation[[#This Row],[Completed Orders]]),Salary_Calculation[[#This Row],[Rider Target Orders]]),0))</f>
        <v/>
      </c>
      <c r="L300" s="164" t="str">
        <f aca="false">IF(Salary_Calculation[[#This Row],[Source Row]]="","",Salary_Calculation[[#This Row],[Orders Counted at Base Rate]]*Salary_Calculation[[#This Row],[Base Order Rate]])</f>
        <v/>
      </c>
      <c r="M300" s="165" t="str">
        <f aca="false">IF(Salary_Calculation[[#This Row],[Source Row]]="","",MAX(Salary_Calculation[[#This Row],[Rider Target Orders]]-N(Salary_Calculation[[#This Row],[Completed Orders]]),0))</f>
        <v/>
      </c>
      <c r="N300" s="164" t="str">
        <f aca="false">IF(Salary_Calculation[[#This Row],[Source Row]]="","",Salary_Calculation[[#This Row],[Missing Orders]]*Missing_Rate)</f>
        <v/>
      </c>
      <c r="O300" s="165" t="str">
        <f aca="false">IF(Salary_Calculation[[#This Row],[Source Row]]="","",MAX(N(Salary_Calculation[[#This Row],[Completed Orders]])-Salary_Calculation[[#This Row],[Rider Target Orders]],0))</f>
        <v/>
      </c>
      <c r="P300" s="164" t="str">
        <f aca="false">IF(Salary_Calculation[[#This Row],[Source Row]]="","",Salary_Calculation[[#This Row],[Extra Orders]]*Extra_Rate)</f>
        <v/>
      </c>
      <c r="Q300" s="164" t="str">
        <f aca="false">IF(Salary_Calculation[[#This Row],[Source Row]]="","",MAX(Salary_Calculation[[#This Row],[Salary Before Other Deductions]],0))</f>
        <v/>
      </c>
      <c r="R300" s="164" t="str">
        <f aca="false">IF(Salary_Calculation[[#This Row],[Source Row]]="","",N(INDEX(Rider_Input[missed_days_penalty],Salary_Calculation[[#This Row],[Source Row]])))</f>
        <v/>
      </c>
      <c r="S300" s="164" t="str">
        <f aca="false">IF(Salary_Calculation[[#This Row],[Source Row]]="","",N(INDEX(Rider_Input[Rider Balance / محفظة المندوب],Salary_Calculation[[#This Row],[Source Row]])))</f>
        <v/>
      </c>
      <c r="T300" s="164" t="str">
        <f aca="false">IF(Salary_Calculation[[#This Row],[Source Row]]="","",N(INDEX(Rider_Input[stacking_deduction / خصم الطلبات المتعددة],Salary_Calculation[[#This Row],[Source Row]])))</f>
        <v/>
      </c>
      <c r="U300" s="164" t="str">
        <f aca="false">IF(Salary_Calculation[[#This Row],[Source Row]]="","",N(INDEX(Rider_Input[Other Deductions],Salary_Calculation[[#This Row],[Source Row]])))</f>
        <v/>
      </c>
      <c r="V300" s="164" t="str">
        <f aca="false">IF(Salary_Calculation[[#This Row],[Source Row]]="","",N(Salary_Calculation[[#This Row],[missed_days_penalty]])+N(Salary_Calculation[[#This Row],[Rider Balance]])+N(Salary_Calculation[[#This Row],[stacking_deduction]])+N(Salary_Calculation[[#This Row],[Other Deductions]]))</f>
        <v/>
      </c>
      <c r="W300" s="167" t="str">
        <f aca="false">IF(Salary_Calculation[[#This Row],[Source Row]]="","",ROUND(MAX(Salary_Calculation[[#This Row],[Gross Salary Before Deductions]]-Salary_Calculation[[#This Row],[Total Deductions]],0),2))</f>
        <v/>
      </c>
      <c r="X300" s="164" t="str">
        <f aca="false">IF(Salary_Calculation[[#This Row],[Source Row]]="","",ROUND(MAX(Salary_Calculation[[#This Row],[Missing-Order Deduction]]-Salary_Calculation[[#This Row],[Earned Salary]],0),2))</f>
        <v/>
      </c>
      <c r="Y30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00" s="163" t="str">
        <f aca="false">IF(Salary_Calculation[[#This Row],[Source Row]]="","",IF(INDEX(Rider_Input[Notes],Salary_Calculation[[#This Row],[Source Row]])="","",INDEX(Rider_Input[Notes],Salary_Calculation[[#This Row],[Source Row]])))</f>
        <v/>
      </c>
      <c r="AA300" s="164" t="str">
        <f aca="false">IF(Salary_Calculation[[#This Row],[Source Row]]="","",Salary_Calculation[[#This Row],[Earned Salary]]-Salary_Calculation[[#This Row],[Missing-Order Deduction]]+Salary_Calculation[[#This Row],[Extra-Order Bonus]])</f>
        <v/>
      </c>
      <c r="AB300" s="164" t="str">
        <f aca="false">IF(Salary_Calculation[[#This Row],[Source Row]]="","",ROUND(Salary_Calculation[[#This Row],[Negative Balance / Amount Due from Rider]]+MAX(Salary_Calculation[[#This Row],[Total Deductions]]-Salary_Calculation[[#This Row],[Gross Salary Before Deductions]],0),2))</f>
        <v/>
      </c>
      <c r="AC30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00" s="164" t="str">
        <f aca="false">IF(Salary_Calculation[[#This Row],[Source Row]]="","",Salary_Calculation[[#This Row],[Rider Target Orders]]*Salary_Calculation[[#This Row],[Base Order Rate]])</f>
        <v/>
      </c>
      <c r="AE300" s="162" t="str">
        <f aca="false">IF(SUMPRODUCT(--(LEN(INDEX(Rider_Input[#Data],ROW()-ROW(Salary_Calculation[#Headers]),0))&gt;0))=0,"",ROW()-ROW(Salary_Calculation[#Headers]))</f>
        <v/>
      </c>
    </row>
    <row r="301" customFormat="false" ht="14.25" hidden="false" customHeight="false" outlineLevel="0" collapsed="false">
      <c r="A301" s="161" t="str">
        <f aca="false">IF(Salary_Calculation[[#This Row],[Source Row]]="","",IF(INDEX(Rider_Input[Salary Month],Salary_Calculation[[#This Row],[Source Row]])="","",INDEX(Rider_Input[Salary Month],Salary_Calculation[[#This Row],[Source Row]])))</f>
        <v/>
      </c>
      <c r="B301" s="162" t="str">
        <f aca="false">IF(Salary_Calculation[[#This Row],[Source Row]]="","",IF(INDEX(Rider_Input[Rider ID],Salary_Calculation[[#This Row],[Source Row]])="","",INDEX(Rider_Input[Rider ID],Salary_Calculation[[#This Row],[Source Row]])))</f>
        <v/>
      </c>
      <c r="C301" s="163" t="str">
        <f aca="false">IF(Salary_Calculation[[#This Row],[Source Row]]="","",IF(INDEX(Rider_Input[Rider Name],Salary_Calculation[[#This Row],[Source Row]])="","",INDEX(Rider_Input[Rider Name],Salary_Calculation[[#This Row],[Source Row]])))</f>
        <v/>
      </c>
      <c r="D301" s="164" t="str">
        <f aca="false">IF(Salary_Calculation[[#This Row],[Source Row]]="","",IF(INDEX(Rider_Input[Basic Payment],Salary_Calculation[[#This Row],[Source Row]])="","",INDEX(Rider_Input[Basic Payment],Salary_Calculation[[#This Row],[Source Row]])))</f>
        <v/>
      </c>
      <c r="E301" s="162" t="str">
        <f aca="false">IF(Salary_Calculation[[#This Row],[Source Row]]="","",IF(INDEX(Rider_Input[Calendar Days in Month],Salary_Calculation[[#This Row],[Source Row]])="","",INDEX(Rider_Input[Calendar Days in Month],Salary_Calculation[[#This Row],[Source Row]])))</f>
        <v/>
      </c>
      <c r="F301" s="162" t="str">
        <f aca="false">IF(Salary_Calculation[[#This Row],[Source Row]]="","",IF(INDEX(Rider_Input[Working Days],Salary_Calculation[[#This Row],[Source Row]])="","",INDEX(Rider_Input[Working Days],Salary_Calculation[[#This Row],[Source Row]])))</f>
        <v/>
      </c>
      <c r="G301" s="165" t="str">
        <f aca="false">IF(Salary_Calculation[[#This Row],[Source Row]]="","",Std_Orders/Std_Days*N(Salary_Calculation[[#This Row],[Calendar Days]]))</f>
        <v/>
      </c>
      <c r="H301" s="165" t="str">
        <f aca="false">IF(Salary_Calculation[[#This Row],[Source Row]]="","",IF(N(Salary_Calculation[[#This Row],[Calendar Days]])&gt;0,Salary_Calculation[[#This Row],[Monthly Target Orders]]/N(Salary_Calculation[[#This Row],[Calendar Days]])*N(Salary_Calculation[[#This Row],[Working Days]]),0))</f>
        <v/>
      </c>
      <c r="I301" s="166" t="str">
        <f aca="false">IF(Salary_Calculation[[#This Row],[Source Row]]="","",IF(INDEX(Rider_Input[Completed Orders],Salary_Calculation[[#This Row],[Source Row]])="","",INDEX(Rider_Input[Completed Orders],Salary_Calculation[[#This Row],[Source Row]])))</f>
        <v/>
      </c>
      <c r="J301" s="165" t="str">
        <f aca="false">IF(Salary_Calculation[[#This Row],[Source Row]]="","",IF(Rate_Method="Fixed rate",Fixed_Rate,IF(N(Salary_Calculation[[#This Row],[Basic Payment]])&gt;0,N(Salary_Calculation[[#This Row],[Basic Payment]])/Std_Orders,0)))</f>
        <v/>
      </c>
      <c r="K301" s="165" t="str">
        <f aca="false">IF(Salary_Calculation[[#This Row],[Source Row]]="","",MAX(MIN(N(Salary_Calculation[[#This Row],[Completed Orders]]),Salary_Calculation[[#This Row],[Rider Target Orders]]),0))</f>
        <v/>
      </c>
      <c r="L301" s="164" t="str">
        <f aca="false">IF(Salary_Calculation[[#This Row],[Source Row]]="","",Salary_Calculation[[#This Row],[Orders Counted at Base Rate]]*Salary_Calculation[[#This Row],[Base Order Rate]])</f>
        <v/>
      </c>
      <c r="M301" s="165" t="str">
        <f aca="false">IF(Salary_Calculation[[#This Row],[Source Row]]="","",MAX(Salary_Calculation[[#This Row],[Rider Target Orders]]-N(Salary_Calculation[[#This Row],[Completed Orders]]),0))</f>
        <v/>
      </c>
      <c r="N301" s="164" t="str">
        <f aca="false">IF(Salary_Calculation[[#This Row],[Source Row]]="","",Salary_Calculation[[#This Row],[Missing Orders]]*Missing_Rate)</f>
        <v/>
      </c>
      <c r="O301" s="165" t="str">
        <f aca="false">IF(Salary_Calculation[[#This Row],[Source Row]]="","",MAX(N(Salary_Calculation[[#This Row],[Completed Orders]])-Salary_Calculation[[#This Row],[Rider Target Orders]],0))</f>
        <v/>
      </c>
      <c r="P301" s="164" t="str">
        <f aca="false">IF(Salary_Calculation[[#This Row],[Source Row]]="","",Salary_Calculation[[#This Row],[Extra Orders]]*Extra_Rate)</f>
        <v/>
      </c>
      <c r="Q301" s="164" t="str">
        <f aca="false">IF(Salary_Calculation[[#This Row],[Source Row]]="","",MAX(Salary_Calculation[[#This Row],[Salary Before Other Deductions]],0))</f>
        <v/>
      </c>
      <c r="R301" s="164" t="str">
        <f aca="false">IF(Salary_Calculation[[#This Row],[Source Row]]="","",N(INDEX(Rider_Input[missed_days_penalty],Salary_Calculation[[#This Row],[Source Row]])))</f>
        <v/>
      </c>
      <c r="S301" s="164" t="str">
        <f aca="false">IF(Salary_Calculation[[#This Row],[Source Row]]="","",N(INDEX(Rider_Input[Rider Balance / محفظة المندوب],Salary_Calculation[[#This Row],[Source Row]])))</f>
        <v/>
      </c>
      <c r="T301" s="164" t="str">
        <f aca="false">IF(Salary_Calculation[[#This Row],[Source Row]]="","",N(INDEX(Rider_Input[stacking_deduction / خصم الطلبات المتعددة],Salary_Calculation[[#This Row],[Source Row]])))</f>
        <v/>
      </c>
      <c r="U301" s="164" t="str">
        <f aca="false">IF(Salary_Calculation[[#This Row],[Source Row]]="","",N(INDEX(Rider_Input[Other Deductions],Salary_Calculation[[#This Row],[Source Row]])))</f>
        <v/>
      </c>
      <c r="V301" s="164" t="str">
        <f aca="false">IF(Salary_Calculation[[#This Row],[Source Row]]="","",N(Salary_Calculation[[#This Row],[missed_days_penalty]])+N(Salary_Calculation[[#This Row],[Rider Balance]])+N(Salary_Calculation[[#This Row],[stacking_deduction]])+N(Salary_Calculation[[#This Row],[Other Deductions]]))</f>
        <v/>
      </c>
      <c r="W301" s="167" t="str">
        <f aca="false">IF(Salary_Calculation[[#This Row],[Source Row]]="","",ROUND(MAX(Salary_Calculation[[#This Row],[Gross Salary Before Deductions]]-Salary_Calculation[[#This Row],[Total Deductions]],0),2))</f>
        <v/>
      </c>
      <c r="X301" s="164" t="str">
        <f aca="false">IF(Salary_Calculation[[#This Row],[Source Row]]="","",ROUND(MAX(Salary_Calculation[[#This Row],[Missing-Order Deduction]]-Salary_Calculation[[#This Row],[Earned Salary]],0),2))</f>
        <v/>
      </c>
      <c r="Y30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01" s="163" t="str">
        <f aca="false">IF(Salary_Calculation[[#This Row],[Source Row]]="","",IF(INDEX(Rider_Input[Notes],Salary_Calculation[[#This Row],[Source Row]])="","",INDEX(Rider_Input[Notes],Salary_Calculation[[#This Row],[Source Row]])))</f>
        <v/>
      </c>
      <c r="AA301" s="164" t="str">
        <f aca="false">IF(Salary_Calculation[[#This Row],[Source Row]]="","",Salary_Calculation[[#This Row],[Earned Salary]]-Salary_Calculation[[#This Row],[Missing-Order Deduction]]+Salary_Calculation[[#This Row],[Extra-Order Bonus]])</f>
        <v/>
      </c>
      <c r="AB301" s="164" t="str">
        <f aca="false">IF(Salary_Calculation[[#This Row],[Source Row]]="","",ROUND(Salary_Calculation[[#This Row],[Negative Balance / Amount Due from Rider]]+MAX(Salary_Calculation[[#This Row],[Total Deductions]]-Salary_Calculation[[#This Row],[Gross Salary Before Deductions]],0),2))</f>
        <v/>
      </c>
      <c r="AC30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01" s="164" t="str">
        <f aca="false">IF(Salary_Calculation[[#This Row],[Source Row]]="","",Salary_Calculation[[#This Row],[Rider Target Orders]]*Salary_Calculation[[#This Row],[Base Order Rate]])</f>
        <v/>
      </c>
      <c r="AE301" s="162" t="str">
        <f aca="false">IF(SUMPRODUCT(--(LEN(INDEX(Rider_Input[#Data],ROW()-ROW(Salary_Calculation[#Headers]),0))&gt;0))=0,"",ROW()-ROW(Salary_Calculation[#Headers]))</f>
        <v/>
      </c>
    </row>
    <row r="302" customFormat="false" ht="14.25" hidden="false" customHeight="false" outlineLevel="0" collapsed="false">
      <c r="A302" s="161" t="str">
        <f aca="false">IF(Salary_Calculation[[#This Row],[Source Row]]="","",IF(INDEX(Rider_Input[Salary Month],Salary_Calculation[[#This Row],[Source Row]])="","",INDEX(Rider_Input[Salary Month],Salary_Calculation[[#This Row],[Source Row]])))</f>
        <v/>
      </c>
      <c r="B302" s="162" t="str">
        <f aca="false">IF(Salary_Calculation[[#This Row],[Source Row]]="","",IF(INDEX(Rider_Input[Rider ID],Salary_Calculation[[#This Row],[Source Row]])="","",INDEX(Rider_Input[Rider ID],Salary_Calculation[[#This Row],[Source Row]])))</f>
        <v/>
      </c>
      <c r="C302" s="163" t="str">
        <f aca="false">IF(Salary_Calculation[[#This Row],[Source Row]]="","",IF(INDEX(Rider_Input[Rider Name],Salary_Calculation[[#This Row],[Source Row]])="","",INDEX(Rider_Input[Rider Name],Salary_Calculation[[#This Row],[Source Row]])))</f>
        <v/>
      </c>
      <c r="D302" s="164" t="str">
        <f aca="false">IF(Salary_Calculation[[#This Row],[Source Row]]="","",IF(INDEX(Rider_Input[Basic Payment],Salary_Calculation[[#This Row],[Source Row]])="","",INDEX(Rider_Input[Basic Payment],Salary_Calculation[[#This Row],[Source Row]])))</f>
        <v/>
      </c>
      <c r="E302" s="162" t="str">
        <f aca="false">IF(Salary_Calculation[[#This Row],[Source Row]]="","",IF(INDEX(Rider_Input[Calendar Days in Month],Salary_Calculation[[#This Row],[Source Row]])="","",INDEX(Rider_Input[Calendar Days in Month],Salary_Calculation[[#This Row],[Source Row]])))</f>
        <v/>
      </c>
      <c r="F302" s="162" t="str">
        <f aca="false">IF(Salary_Calculation[[#This Row],[Source Row]]="","",IF(INDEX(Rider_Input[Working Days],Salary_Calculation[[#This Row],[Source Row]])="","",INDEX(Rider_Input[Working Days],Salary_Calculation[[#This Row],[Source Row]])))</f>
        <v/>
      </c>
      <c r="G302" s="165" t="str">
        <f aca="false">IF(Salary_Calculation[[#This Row],[Source Row]]="","",Std_Orders/Std_Days*N(Salary_Calculation[[#This Row],[Calendar Days]]))</f>
        <v/>
      </c>
      <c r="H302" s="165" t="str">
        <f aca="false">IF(Salary_Calculation[[#This Row],[Source Row]]="","",IF(N(Salary_Calculation[[#This Row],[Calendar Days]])&gt;0,Salary_Calculation[[#This Row],[Monthly Target Orders]]/N(Salary_Calculation[[#This Row],[Calendar Days]])*N(Salary_Calculation[[#This Row],[Working Days]]),0))</f>
        <v/>
      </c>
      <c r="I302" s="166" t="str">
        <f aca="false">IF(Salary_Calculation[[#This Row],[Source Row]]="","",IF(INDEX(Rider_Input[Completed Orders],Salary_Calculation[[#This Row],[Source Row]])="","",INDEX(Rider_Input[Completed Orders],Salary_Calculation[[#This Row],[Source Row]])))</f>
        <v/>
      </c>
      <c r="J302" s="165" t="str">
        <f aca="false">IF(Salary_Calculation[[#This Row],[Source Row]]="","",IF(Rate_Method="Fixed rate",Fixed_Rate,IF(N(Salary_Calculation[[#This Row],[Basic Payment]])&gt;0,N(Salary_Calculation[[#This Row],[Basic Payment]])/Std_Orders,0)))</f>
        <v/>
      </c>
      <c r="K302" s="165" t="str">
        <f aca="false">IF(Salary_Calculation[[#This Row],[Source Row]]="","",MAX(MIN(N(Salary_Calculation[[#This Row],[Completed Orders]]),Salary_Calculation[[#This Row],[Rider Target Orders]]),0))</f>
        <v/>
      </c>
      <c r="L302" s="164" t="str">
        <f aca="false">IF(Salary_Calculation[[#This Row],[Source Row]]="","",Salary_Calculation[[#This Row],[Orders Counted at Base Rate]]*Salary_Calculation[[#This Row],[Base Order Rate]])</f>
        <v/>
      </c>
      <c r="M302" s="165" t="str">
        <f aca="false">IF(Salary_Calculation[[#This Row],[Source Row]]="","",MAX(Salary_Calculation[[#This Row],[Rider Target Orders]]-N(Salary_Calculation[[#This Row],[Completed Orders]]),0))</f>
        <v/>
      </c>
      <c r="N302" s="164" t="str">
        <f aca="false">IF(Salary_Calculation[[#This Row],[Source Row]]="","",Salary_Calculation[[#This Row],[Missing Orders]]*Missing_Rate)</f>
        <v/>
      </c>
      <c r="O302" s="165" t="str">
        <f aca="false">IF(Salary_Calculation[[#This Row],[Source Row]]="","",MAX(N(Salary_Calculation[[#This Row],[Completed Orders]])-Salary_Calculation[[#This Row],[Rider Target Orders]],0))</f>
        <v/>
      </c>
      <c r="P302" s="164" t="str">
        <f aca="false">IF(Salary_Calculation[[#This Row],[Source Row]]="","",Salary_Calculation[[#This Row],[Extra Orders]]*Extra_Rate)</f>
        <v/>
      </c>
      <c r="Q302" s="164" t="str">
        <f aca="false">IF(Salary_Calculation[[#This Row],[Source Row]]="","",MAX(Salary_Calculation[[#This Row],[Salary Before Other Deductions]],0))</f>
        <v/>
      </c>
      <c r="R302" s="164" t="str">
        <f aca="false">IF(Salary_Calculation[[#This Row],[Source Row]]="","",N(INDEX(Rider_Input[missed_days_penalty],Salary_Calculation[[#This Row],[Source Row]])))</f>
        <v/>
      </c>
      <c r="S302" s="164" t="str">
        <f aca="false">IF(Salary_Calculation[[#This Row],[Source Row]]="","",N(INDEX(Rider_Input[Rider Balance / محفظة المندوب],Salary_Calculation[[#This Row],[Source Row]])))</f>
        <v/>
      </c>
      <c r="T302" s="164" t="str">
        <f aca="false">IF(Salary_Calculation[[#This Row],[Source Row]]="","",N(INDEX(Rider_Input[stacking_deduction / خصم الطلبات المتعددة],Salary_Calculation[[#This Row],[Source Row]])))</f>
        <v/>
      </c>
      <c r="U302" s="164" t="str">
        <f aca="false">IF(Salary_Calculation[[#This Row],[Source Row]]="","",N(INDEX(Rider_Input[Other Deductions],Salary_Calculation[[#This Row],[Source Row]])))</f>
        <v/>
      </c>
      <c r="V302" s="164" t="str">
        <f aca="false">IF(Salary_Calculation[[#This Row],[Source Row]]="","",N(Salary_Calculation[[#This Row],[missed_days_penalty]])+N(Salary_Calculation[[#This Row],[Rider Balance]])+N(Salary_Calculation[[#This Row],[stacking_deduction]])+N(Salary_Calculation[[#This Row],[Other Deductions]]))</f>
        <v/>
      </c>
      <c r="W302" s="167" t="str">
        <f aca="false">IF(Salary_Calculation[[#This Row],[Source Row]]="","",ROUND(MAX(Salary_Calculation[[#This Row],[Gross Salary Before Deductions]]-Salary_Calculation[[#This Row],[Total Deductions]],0),2))</f>
        <v/>
      </c>
      <c r="X302" s="164" t="str">
        <f aca="false">IF(Salary_Calculation[[#This Row],[Source Row]]="","",ROUND(MAX(Salary_Calculation[[#This Row],[Missing-Order Deduction]]-Salary_Calculation[[#This Row],[Earned Salary]],0),2))</f>
        <v/>
      </c>
      <c r="Y30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02" s="163" t="str">
        <f aca="false">IF(Salary_Calculation[[#This Row],[Source Row]]="","",IF(INDEX(Rider_Input[Notes],Salary_Calculation[[#This Row],[Source Row]])="","",INDEX(Rider_Input[Notes],Salary_Calculation[[#This Row],[Source Row]])))</f>
        <v/>
      </c>
      <c r="AA302" s="164" t="str">
        <f aca="false">IF(Salary_Calculation[[#This Row],[Source Row]]="","",Salary_Calculation[[#This Row],[Earned Salary]]-Salary_Calculation[[#This Row],[Missing-Order Deduction]]+Salary_Calculation[[#This Row],[Extra-Order Bonus]])</f>
        <v/>
      </c>
      <c r="AB302" s="164" t="str">
        <f aca="false">IF(Salary_Calculation[[#This Row],[Source Row]]="","",ROUND(Salary_Calculation[[#This Row],[Negative Balance / Amount Due from Rider]]+MAX(Salary_Calculation[[#This Row],[Total Deductions]]-Salary_Calculation[[#This Row],[Gross Salary Before Deductions]],0),2))</f>
        <v/>
      </c>
      <c r="AC30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02" s="164" t="str">
        <f aca="false">IF(Salary_Calculation[[#This Row],[Source Row]]="","",Salary_Calculation[[#This Row],[Rider Target Orders]]*Salary_Calculation[[#This Row],[Base Order Rate]])</f>
        <v/>
      </c>
      <c r="AE302" s="162" t="str">
        <f aca="false">IF(SUMPRODUCT(--(LEN(INDEX(Rider_Input[#Data],ROW()-ROW(Salary_Calculation[#Headers]),0))&gt;0))=0,"",ROW()-ROW(Salary_Calculation[#Headers]))</f>
        <v/>
      </c>
    </row>
    <row r="303" customFormat="false" ht="14.25" hidden="false" customHeight="false" outlineLevel="0" collapsed="false">
      <c r="A303" s="161" t="str">
        <f aca="false">IF(Salary_Calculation[[#This Row],[Source Row]]="","",IF(INDEX(Rider_Input[Salary Month],Salary_Calculation[[#This Row],[Source Row]])="","",INDEX(Rider_Input[Salary Month],Salary_Calculation[[#This Row],[Source Row]])))</f>
        <v/>
      </c>
      <c r="B303" s="162" t="str">
        <f aca="false">IF(Salary_Calculation[[#This Row],[Source Row]]="","",IF(INDEX(Rider_Input[Rider ID],Salary_Calculation[[#This Row],[Source Row]])="","",INDEX(Rider_Input[Rider ID],Salary_Calculation[[#This Row],[Source Row]])))</f>
        <v/>
      </c>
      <c r="C303" s="163" t="str">
        <f aca="false">IF(Salary_Calculation[[#This Row],[Source Row]]="","",IF(INDEX(Rider_Input[Rider Name],Salary_Calculation[[#This Row],[Source Row]])="","",INDEX(Rider_Input[Rider Name],Salary_Calculation[[#This Row],[Source Row]])))</f>
        <v/>
      </c>
      <c r="D303" s="164" t="str">
        <f aca="false">IF(Salary_Calculation[[#This Row],[Source Row]]="","",IF(INDEX(Rider_Input[Basic Payment],Salary_Calculation[[#This Row],[Source Row]])="","",INDEX(Rider_Input[Basic Payment],Salary_Calculation[[#This Row],[Source Row]])))</f>
        <v/>
      </c>
      <c r="E303" s="162" t="str">
        <f aca="false">IF(Salary_Calculation[[#This Row],[Source Row]]="","",IF(INDEX(Rider_Input[Calendar Days in Month],Salary_Calculation[[#This Row],[Source Row]])="","",INDEX(Rider_Input[Calendar Days in Month],Salary_Calculation[[#This Row],[Source Row]])))</f>
        <v/>
      </c>
      <c r="F303" s="162" t="str">
        <f aca="false">IF(Salary_Calculation[[#This Row],[Source Row]]="","",IF(INDEX(Rider_Input[Working Days],Salary_Calculation[[#This Row],[Source Row]])="","",INDEX(Rider_Input[Working Days],Salary_Calculation[[#This Row],[Source Row]])))</f>
        <v/>
      </c>
      <c r="G303" s="165" t="str">
        <f aca="false">IF(Salary_Calculation[[#This Row],[Source Row]]="","",Std_Orders/Std_Days*N(Salary_Calculation[[#This Row],[Calendar Days]]))</f>
        <v/>
      </c>
      <c r="H303" s="165" t="str">
        <f aca="false">IF(Salary_Calculation[[#This Row],[Source Row]]="","",IF(N(Salary_Calculation[[#This Row],[Calendar Days]])&gt;0,Salary_Calculation[[#This Row],[Monthly Target Orders]]/N(Salary_Calculation[[#This Row],[Calendar Days]])*N(Salary_Calculation[[#This Row],[Working Days]]),0))</f>
        <v/>
      </c>
      <c r="I303" s="166" t="str">
        <f aca="false">IF(Salary_Calculation[[#This Row],[Source Row]]="","",IF(INDEX(Rider_Input[Completed Orders],Salary_Calculation[[#This Row],[Source Row]])="","",INDEX(Rider_Input[Completed Orders],Salary_Calculation[[#This Row],[Source Row]])))</f>
        <v/>
      </c>
      <c r="J303" s="165" t="str">
        <f aca="false">IF(Salary_Calculation[[#This Row],[Source Row]]="","",IF(Rate_Method="Fixed rate",Fixed_Rate,IF(N(Salary_Calculation[[#This Row],[Basic Payment]])&gt;0,N(Salary_Calculation[[#This Row],[Basic Payment]])/Std_Orders,0)))</f>
        <v/>
      </c>
      <c r="K303" s="165" t="str">
        <f aca="false">IF(Salary_Calculation[[#This Row],[Source Row]]="","",MAX(MIN(N(Salary_Calculation[[#This Row],[Completed Orders]]),Salary_Calculation[[#This Row],[Rider Target Orders]]),0))</f>
        <v/>
      </c>
      <c r="L303" s="164" t="str">
        <f aca="false">IF(Salary_Calculation[[#This Row],[Source Row]]="","",Salary_Calculation[[#This Row],[Orders Counted at Base Rate]]*Salary_Calculation[[#This Row],[Base Order Rate]])</f>
        <v/>
      </c>
      <c r="M303" s="165" t="str">
        <f aca="false">IF(Salary_Calculation[[#This Row],[Source Row]]="","",MAX(Salary_Calculation[[#This Row],[Rider Target Orders]]-N(Salary_Calculation[[#This Row],[Completed Orders]]),0))</f>
        <v/>
      </c>
      <c r="N303" s="164" t="str">
        <f aca="false">IF(Salary_Calculation[[#This Row],[Source Row]]="","",Salary_Calculation[[#This Row],[Missing Orders]]*Missing_Rate)</f>
        <v/>
      </c>
      <c r="O303" s="165" t="str">
        <f aca="false">IF(Salary_Calculation[[#This Row],[Source Row]]="","",MAX(N(Salary_Calculation[[#This Row],[Completed Orders]])-Salary_Calculation[[#This Row],[Rider Target Orders]],0))</f>
        <v/>
      </c>
      <c r="P303" s="164" t="str">
        <f aca="false">IF(Salary_Calculation[[#This Row],[Source Row]]="","",Salary_Calculation[[#This Row],[Extra Orders]]*Extra_Rate)</f>
        <v/>
      </c>
      <c r="Q303" s="164" t="str">
        <f aca="false">IF(Salary_Calculation[[#This Row],[Source Row]]="","",MAX(Salary_Calculation[[#This Row],[Salary Before Other Deductions]],0))</f>
        <v/>
      </c>
      <c r="R303" s="164" t="str">
        <f aca="false">IF(Salary_Calculation[[#This Row],[Source Row]]="","",N(INDEX(Rider_Input[missed_days_penalty],Salary_Calculation[[#This Row],[Source Row]])))</f>
        <v/>
      </c>
      <c r="S303" s="164" t="str">
        <f aca="false">IF(Salary_Calculation[[#This Row],[Source Row]]="","",N(INDEX(Rider_Input[Rider Balance / محفظة المندوب],Salary_Calculation[[#This Row],[Source Row]])))</f>
        <v/>
      </c>
      <c r="T303" s="164" t="str">
        <f aca="false">IF(Salary_Calculation[[#This Row],[Source Row]]="","",N(INDEX(Rider_Input[stacking_deduction / خصم الطلبات المتعددة],Salary_Calculation[[#This Row],[Source Row]])))</f>
        <v/>
      </c>
      <c r="U303" s="164" t="str">
        <f aca="false">IF(Salary_Calculation[[#This Row],[Source Row]]="","",N(INDEX(Rider_Input[Other Deductions],Salary_Calculation[[#This Row],[Source Row]])))</f>
        <v/>
      </c>
      <c r="V303" s="164" t="str">
        <f aca="false">IF(Salary_Calculation[[#This Row],[Source Row]]="","",N(Salary_Calculation[[#This Row],[missed_days_penalty]])+N(Salary_Calculation[[#This Row],[Rider Balance]])+N(Salary_Calculation[[#This Row],[stacking_deduction]])+N(Salary_Calculation[[#This Row],[Other Deductions]]))</f>
        <v/>
      </c>
      <c r="W303" s="167" t="str">
        <f aca="false">IF(Salary_Calculation[[#This Row],[Source Row]]="","",ROUND(MAX(Salary_Calculation[[#This Row],[Gross Salary Before Deductions]]-Salary_Calculation[[#This Row],[Total Deductions]],0),2))</f>
        <v/>
      </c>
      <c r="X303" s="164" t="str">
        <f aca="false">IF(Salary_Calculation[[#This Row],[Source Row]]="","",ROUND(MAX(Salary_Calculation[[#This Row],[Missing-Order Deduction]]-Salary_Calculation[[#This Row],[Earned Salary]],0),2))</f>
        <v/>
      </c>
      <c r="Y30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03" s="163" t="str">
        <f aca="false">IF(Salary_Calculation[[#This Row],[Source Row]]="","",IF(INDEX(Rider_Input[Notes],Salary_Calculation[[#This Row],[Source Row]])="","",INDEX(Rider_Input[Notes],Salary_Calculation[[#This Row],[Source Row]])))</f>
        <v/>
      </c>
      <c r="AA303" s="164" t="str">
        <f aca="false">IF(Salary_Calculation[[#This Row],[Source Row]]="","",Salary_Calculation[[#This Row],[Earned Salary]]-Salary_Calculation[[#This Row],[Missing-Order Deduction]]+Salary_Calculation[[#This Row],[Extra-Order Bonus]])</f>
        <v/>
      </c>
      <c r="AB303" s="164" t="str">
        <f aca="false">IF(Salary_Calculation[[#This Row],[Source Row]]="","",ROUND(Salary_Calculation[[#This Row],[Negative Balance / Amount Due from Rider]]+MAX(Salary_Calculation[[#This Row],[Total Deductions]]-Salary_Calculation[[#This Row],[Gross Salary Before Deductions]],0),2))</f>
        <v/>
      </c>
      <c r="AC30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03" s="164" t="str">
        <f aca="false">IF(Salary_Calculation[[#This Row],[Source Row]]="","",Salary_Calculation[[#This Row],[Rider Target Orders]]*Salary_Calculation[[#This Row],[Base Order Rate]])</f>
        <v/>
      </c>
      <c r="AE303" s="162" t="str">
        <f aca="false">IF(SUMPRODUCT(--(LEN(INDEX(Rider_Input[#Data],ROW()-ROW(Salary_Calculation[#Headers]),0))&gt;0))=0,"",ROW()-ROW(Salary_Calculation[#Headers]))</f>
        <v/>
      </c>
    </row>
    <row r="304" customFormat="false" ht="14.25" hidden="false" customHeight="false" outlineLevel="0" collapsed="false">
      <c r="A304" s="161" t="str">
        <f aca="false">IF(Salary_Calculation[[#This Row],[Source Row]]="","",IF(INDEX(Rider_Input[Salary Month],Salary_Calculation[[#This Row],[Source Row]])="","",INDEX(Rider_Input[Salary Month],Salary_Calculation[[#This Row],[Source Row]])))</f>
        <v/>
      </c>
      <c r="B304" s="162" t="str">
        <f aca="false">IF(Salary_Calculation[[#This Row],[Source Row]]="","",IF(INDEX(Rider_Input[Rider ID],Salary_Calculation[[#This Row],[Source Row]])="","",INDEX(Rider_Input[Rider ID],Salary_Calculation[[#This Row],[Source Row]])))</f>
        <v/>
      </c>
      <c r="C304" s="163" t="str">
        <f aca="false">IF(Salary_Calculation[[#This Row],[Source Row]]="","",IF(INDEX(Rider_Input[Rider Name],Salary_Calculation[[#This Row],[Source Row]])="","",INDEX(Rider_Input[Rider Name],Salary_Calculation[[#This Row],[Source Row]])))</f>
        <v/>
      </c>
      <c r="D304" s="164" t="str">
        <f aca="false">IF(Salary_Calculation[[#This Row],[Source Row]]="","",IF(INDEX(Rider_Input[Basic Payment],Salary_Calculation[[#This Row],[Source Row]])="","",INDEX(Rider_Input[Basic Payment],Salary_Calculation[[#This Row],[Source Row]])))</f>
        <v/>
      </c>
      <c r="E304" s="162" t="str">
        <f aca="false">IF(Salary_Calculation[[#This Row],[Source Row]]="","",IF(INDEX(Rider_Input[Calendar Days in Month],Salary_Calculation[[#This Row],[Source Row]])="","",INDEX(Rider_Input[Calendar Days in Month],Salary_Calculation[[#This Row],[Source Row]])))</f>
        <v/>
      </c>
      <c r="F304" s="162" t="str">
        <f aca="false">IF(Salary_Calculation[[#This Row],[Source Row]]="","",IF(INDEX(Rider_Input[Working Days],Salary_Calculation[[#This Row],[Source Row]])="","",INDEX(Rider_Input[Working Days],Salary_Calculation[[#This Row],[Source Row]])))</f>
        <v/>
      </c>
      <c r="G304" s="165" t="str">
        <f aca="false">IF(Salary_Calculation[[#This Row],[Source Row]]="","",Std_Orders/Std_Days*N(Salary_Calculation[[#This Row],[Calendar Days]]))</f>
        <v/>
      </c>
      <c r="H304" s="165" t="str">
        <f aca="false">IF(Salary_Calculation[[#This Row],[Source Row]]="","",IF(N(Salary_Calculation[[#This Row],[Calendar Days]])&gt;0,Salary_Calculation[[#This Row],[Monthly Target Orders]]/N(Salary_Calculation[[#This Row],[Calendar Days]])*N(Salary_Calculation[[#This Row],[Working Days]]),0))</f>
        <v/>
      </c>
      <c r="I304" s="166" t="str">
        <f aca="false">IF(Salary_Calculation[[#This Row],[Source Row]]="","",IF(INDEX(Rider_Input[Completed Orders],Salary_Calculation[[#This Row],[Source Row]])="","",INDEX(Rider_Input[Completed Orders],Salary_Calculation[[#This Row],[Source Row]])))</f>
        <v/>
      </c>
      <c r="J304" s="165" t="str">
        <f aca="false">IF(Salary_Calculation[[#This Row],[Source Row]]="","",IF(Rate_Method="Fixed rate",Fixed_Rate,IF(N(Salary_Calculation[[#This Row],[Basic Payment]])&gt;0,N(Salary_Calculation[[#This Row],[Basic Payment]])/Std_Orders,0)))</f>
        <v/>
      </c>
      <c r="K304" s="165" t="str">
        <f aca="false">IF(Salary_Calculation[[#This Row],[Source Row]]="","",MAX(MIN(N(Salary_Calculation[[#This Row],[Completed Orders]]),Salary_Calculation[[#This Row],[Rider Target Orders]]),0))</f>
        <v/>
      </c>
      <c r="L304" s="164" t="str">
        <f aca="false">IF(Salary_Calculation[[#This Row],[Source Row]]="","",Salary_Calculation[[#This Row],[Orders Counted at Base Rate]]*Salary_Calculation[[#This Row],[Base Order Rate]])</f>
        <v/>
      </c>
      <c r="M304" s="165" t="str">
        <f aca="false">IF(Salary_Calculation[[#This Row],[Source Row]]="","",MAX(Salary_Calculation[[#This Row],[Rider Target Orders]]-N(Salary_Calculation[[#This Row],[Completed Orders]]),0))</f>
        <v/>
      </c>
      <c r="N304" s="164" t="str">
        <f aca="false">IF(Salary_Calculation[[#This Row],[Source Row]]="","",Salary_Calculation[[#This Row],[Missing Orders]]*Missing_Rate)</f>
        <v/>
      </c>
      <c r="O304" s="165" t="str">
        <f aca="false">IF(Salary_Calculation[[#This Row],[Source Row]]="","",MAX(N(Salary_Calculation[[#This Row],[Completed Orders]])-Salary_Calculation[[#This Row],[Rider Target Orders]],0))</f>
        <v/>
      </c>
      <c r="P304" s="164" t="str">
        <f aca="false">IF(Salary_Calculation[[#This Row],[Source Row]]="","",Salary_Calculation[[#This Row],[Extra Orders]]*Extra_Rate)</f>
        <v/>
      </c>
      <c r="Q304" s="164" t="str">
        <f aca="false">IF(Salary_Calculation[[#This Row],[Source Row]]="","",MAX(Salary_Calculation[[#This Row],[Salary Before Other Deductions]],0))</f>
        <v/>
      </c>
      <c r="R304" s="164" t="str">
        <f aca="false">IF(Salary_Calculation[[#This Row],[Source Row]]="","",N(INDEX(Rider_Input[missed_days_penalty],Salary_Calculation[[#This Row],[Source Row]])))</f>
        <v/>
      </c>
      <c r="S304" s="164" t="str">
        <f aca="false">IF(Salary_Calculation[[#This Row],[Source Row]]="","",N(INDEX(Rider_Input[Rider Balance / محفظة المندوب],Salary_Calculation[[#This Row],[Source Row]])))</f>
        <v/>
      </c>
      <c r="T304" s="164" t="str">
        <f aca="false">IF(Salary_Calculation[[#This Row],[Source Row]]="","",N(INDEX(Rider_Input[stacking_deduction / خصم الطلبات المتعددة],Salary_Calculation[[#This Row],[Source Row]])))</f>
        <v/>
      </c>
      <c r="U304" s="164" t="str">
        <f aca="false">IF(Salary_Calculation[[#This Row],[Source Row]]="","",N(INDEX(Rider_Input[Other Deductions],Salary_Calculation[[#This Row],[Source Row]])))</f>
        <v/>
      </c>
      <c r="V304" s="164" t="str">
        <f aca="false">IF(Salary_Calculation[[#This Row],[Source Row]]="","",N(Salary_Calculation[[#This Row],[missed_days_penalty]])+N(Salary_Calculation[[#This Row],[Rider Balance]])+N(Salary_Calculation[[#This Row],[stacking_deduction]])+N(Salary_Calculation[[#This Row],[Other Deductions]]))</f>
        <v/>
      </c>
      <c r="W304" s="167" t="str">
        <f aca="false">IF(Salary_Calculation[[#This Row],[Source Row]]="","",ROUND(MAX(Salary_Calculation[[#This Row],[Gross Salary Before Deductions]]-Salary_Calculation[[#This Row],[Total Deductions]],0),2))</f>
        <v/>
      </c>
      <c r="X304" s="164" t="str">
        <f aca="false">IF(Salary_Calculation[[#This Row],[Source Row]]="","",ROUND(MAX(Salary_Calculation[[#This Row],[Missing-Order Deduction]]-Salary_Calculation[[#This Row],[Earned Salary]],0),2))</f>
        <v/>
      </c>
      <c r="Y30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04" s="163" t="str">
        <f aca="false">IF(Salary_Calculation[[#This Row],[Source Row]]="","",IF(INDEX(Rider_Input[Notes],Salary_Calculation[[#This Row],[Source Row]])="","",INDEX(Rider_Input[Notes],Salary_Calculation[[#This Row],[Source Row]])))</f>
        <v/>
      </c>
      <c r="AA304" s="164" t="str">
        <f aca="false">IF(Salary_Calculation[[#This Row],[Source Row]]="","",Salary_Calculation[[#This Row],[Earned Salary]]-Salary_Calculation[[#This Row],[Missing-Order Deduction]]+Salary_Calculation[[#This Row],[Extra-Order Bonus]])</f>
        <v/>
      </c>
      <c r="AB304" s="164" t="str">
        <f aca="false">IF(Salary_Calculation[[#This Row],[Source Row]]="","",ROUND(Salary_Calculation[[#This Row],[Negative Balance / Amount Due from Rider]]+MAX(Salary_Calculation[[#This Row],[Total Deductions]]-Salary_Calculation[[#This Row],[Gross Salary Before Deductions]],0),2))</f>
        <v/>
      </c>
      <c r="AC30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04" s="164" t="str">
        <f aca="false">IF(Salary_Calculation[[#This Row],[Source Row]]="","",Salary_Calculation[[#This Row],[Rider Target Orders]]*Salary_Calculation[[#This Row],[Base Order Rate]])</f>
        <v/>
      </c>
      <c r="AE304" s="162" t="str">
        <f aca="false">IF(SUMPRODUCT(--(LEN(INDEX(Rider_Input[#Data],ROW()-ROW(Salary_Calculation[#Headers]),0))&gt;0))=0,"",ROW()-ROW(Salary_Calculation[#Headers]))</f>
        <v/>
      </c>
    </row>
    <row r="305" customFormat="false" ht="14.25" hidden="false" customHeight="false" outlineLevel="0" collapsed="false">
      <c r="A305" s="161" t="str">
        <f aca="false">IF(Salary_Calculation[[#This Row],[Source Row]]="","",IF(INDEX(Rider_Input[Salary Month],Salary_Calculation[[#This Row],[Source Row]])="","",INDEX(Rider_Input[Salary Month],Salary_Calculation[[#This Row],[Source Row]])))</f>
        <v/>
      </c>
      <c r="B305" s="162" t="str">
        <f aca="false">IF(Salary_Calculation[[#This Row],[Source Row]]="","",IF(INDEX(Rider_Input[Rider ID],Salary_Calculation[[#This Row],[Source Row]])="","",INDEX(Rider_Input[Rider ID],Salary_Calculation[[#This Row],[Source Row]])))</f>
        <v/>
      </c>
      <c r="C305" s="163" t="str">
        <f aca="false">IF(Salary_Calculation[[#This Row],[Source Row]]="","",IF(INDEX(Rider_Input[Rider Name],Salary_Calculation[[#This Row],[Source Row]])="","",INDEX(Rider_Input[Rider Name],Salary_Calculation[[#This Row],[Source Row]])))</f>
        <v/>
      </c>
      <c r="D305" s="164" t="str">
        <f aca="false">IF(Salary_Calculation[[#This Row],[Source Row]]="","",IF(INDEX(Rider_Input[Basic Payment],Salary_Calculation[[#This Row],[Source Row]])="","",INDEX(Rider_Input[Basic Payment],Salary_Calculation[[#This Row],[Source Row]])))</f>
        <v/>
      </c>
      <c r="E305" s="162" t="str">
        <f aca="false">IF(Salary_Calculation[[#This Row],[Source Row]]="","",IF(INDEX(Rider_Input[Calendar Days in Month],Salary_Calculation[[#This Row],[Source Row]])="","",INDEX(Rider_Input[Calendar Days in Month],Salary_Calculation[[#This Row],[Source Row]])))</f>
        <v/>
      </c>
      <c r="F305" s="162" t="str">
        <f aca="false">IF(Salary_Calculation[[#This Row],[Source Row]]="","",IF(INDEX(Rider_Input[Working Days],Salary_Calculation[[#This Row],[Source Row]])="","",INDEX(Rider_Input[Working Days],Salary_Calculation[[#This Row],[Source Row]])))</f>
        <v/>
      </c>
      <c r="G305" s="165" t="str">
        <f aca="false">IF(Salary_Calculation[[#This Row],[Source Row]]="","",Std_Orders/Std_Days*N(Salary_Calculation[[#This Row],[Calendar Days]]))</f>
        <v/>
      </c>
      <c r="H305" s="165" t="str">
        <f aca="false">IF(Salary_Calculation[[#This Row],[Source Row]]="","",IF(N(Salary_Calculation[[#This Row],[Calendar Days]])&gt;0,Salary_Calculation[[#This Row],[Monthly Target Orders]]/N(Salary_Calculation[[#This Row],[Calendar Days]])*N(Salary_Calculation[[#This Row],[Working Days]]),0))</f>
        <v/>
      </c>
      <c r="I305" s="166" t="str">
        <f aca="false">IF(Salary_Calculation[[#This Row],[Source Row]]="","",IF(INDEX(Rider_Input[Completed Orders],Salary_Calculation[[#This Row],[Source Row]])="","",INDEX(Rider_Input[Completed Orders],Salary_Calculation[[#This Row],[Source Row]])))</f>
        <v/>
      </c>
      <c r="J305" s="165" t="str">
        <f aca="false">IF(Salary_Calculation[[#This Row],[Source Row]]="","",IF(Rate_Method="Fixed rate",Fixed_Rate,IF(N(Salary_Calculation[[#This Row],[Basic Payment]])&gt;0,N(Salary_Calculation[[#This Row],[Basic Payment]])/Std_Orders,0)))</f>
        <v/>
      </c>
      <c r="K305" s="165" t="str">
        <f aca="false">IF(Salary_Calculation[[#This Row],[Source Row]]="","",MAX(MIN(N(Salary_Calculation[[#This Row],[Completed Orders]]),Salary_Calculation[[#This Row],[Rider Target Orders]]),0))</f>
        <v/>
      </c>
      <c r="L305" s="164" t="str">
        <f aca="false">IF(Salary_Calculation[[#This Row],[Source Row]]="","",Salary_Calculation[[#This Row],[Orders Counted at Base Rate]]*Salary_Calculation[[#This Row],[Base Order Rate]])</f>
        <v/>
      </c>
      <c r="M305" s="165" t="str">
        <f aca="false">IF(Salary_Calculation[[#This Row],[Source Row]]="","",MAX(Salary_Calculation[[#This Row],[Rider Target Orders]]-N(Salary_Calculation[[#This Row],[Completed Orders]]),0))</f>
        <v/>
      </c>
      <c r="N305" s="164" t="str">
        <f aca="false">IF(Salary_Calculation[[#This Row],[Source Row]]="","",Salary_Calculation[[#This Row],[Missing Orders]]*Missing_Rate)</f>
        <v/>
      </c>
      <c r="O305" s="165" t="str">
        <f aca="false">IF(Salary_Calculation[[#This Row],[Source Row]]="","",MAX(N(Salary_Calculation[[#This Row],[Completed Orders]])-Salary_Calculation[[#This Row],[Rider Target Orders]],0))</f>
        <v/>
      </c>
      <c r="P305" s="164" t="str">
        <f aca="false">IF(Salary_Calculation[[#This Row],[Source Row]]="","",Salary_Calculation[[#This Row],[Extra Orders]]*Extra_Rate)</f>
        <v/>
      </c>
      <c r="Q305" s="164" t="str">
        <f aca="false">IF(Salary_Calculation[[#This Row],[Source Row]]="","",MAX(Salary_Calculation[[#This Row],[Salary Before Other Deductions]],0))</f>
        <v/>
      </c>
      <c r="R305" s="164" t="str">
        <f aca="false">IF(Salary_Calculation[[#This Row],[Source Row]]="","",N(INDEX(Rider_Input[missed_days_penalty],Salary_Calculation[[#This Row],[Source Row]])))</f>
        <v/>
      </c>
      <c r="S305" s="164" t="str">
        <f aca="false">IF(Salary_Calculation[[#This Row],[Source Row]]="","",N(INDEX(Rider_Input[Rider Balance / محفظة المندوب],Salary_Calculation[[#This Row],[Source Row]])))</f>
        <v/>
      </c>
      <c r="T305" s="164" t="str">
        <f aca="false">IF(Salary_Calculation[[#This Row],[Source Row]]="","",N(INDEX(Rider_Input[stacking_deduction / خصم الطلبات المتعددة],Salary_Calculation[[#This Row],[Source Row]])))</f>
        <v/>
      </c>
      <c r="U305" s="164" t="str">
        <f aca="false">IF(Salary_Calculation[[#This Row],[Source Row]]="","",N(INDEX(Rider_Input[Other Deductions],Salary_Calculation[[#This Row],[Source Row]])))</f>
        <v/>
      </c>
      <c r="V305" s="164" t="str">
        <f aca="false">IF(Salary_Calculation[[#This Row],[Source Row]]="","",N(Salary_Calculation[[#This Row],[missed_days_penalty]])+N(Salary_Calculation[[#This Row],[Rider Balance]])+N(Salary_Calculation[[#This Row],[stacking_deduction]])+N(Salary_Calculation[[#This Row],[Other Deductions]]))</f>
        <v/>
      </c>
      <c r="W305" s="167" t="str">
        <f aca="false">IF(Salary_Calculation[[#This Row],[Source Row]]="","",ROUND(MAX(Salary_Calculation[[#This Row],[Gross Salary Before Deductions]]-Salary_Calculation[[#This Row],[Total Deductions]],0),2))</f>
        <v/>
      </c>
      <c r="X305" s="164" t="str">
        <f aca="false">IF(Salary_Calculation[[#This Row],[Source Row]]="","",ROUND(MAX(Salary_Calculation[[#This Row],[Missing-Order Deduction]]-Salary_Calculation[[#This Row],[Earned Salary]],0),2))</f>
        <v/>
      </c>
      <c r="Y30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05" s="163" t="str">
        <f aca="false">IF(Salary_Calculation[[#This Row],[Source Row]]="","",IF(INDEX(Rider_Input[Notes],Salary_Calculation[[#This Row],[Source Row]])="","",INDEX(Rider_Input[Notes],Salary_Calculation[[#This Row],[Source Row]])))</f>
        <v/>
      </c>
      <c r="AA305" s="164" t="str">
        <f aca="false">IF(Salary_Calculation[[#This Row],[Source Row]]="","",Salary_Calculation[[#This Row],[Earned Salary]]-Salary_Calculation[[#This Row],[Missing-Order Deduction]]+Salary_Calculation[[#This Row],[Extra-Order Bonus]])</f>
        <v/>
      </c>
      <c r="AB305" s="164" t="str">
        <f aca="false">IF(Salary_Calculation[[#This Row],[Source Row]]="","",ROUND(Salary_Calculation[[#This Row],[Negative Balance / Amount Due from Rider]]+MAX(Salary_Calculation[[#This Row],[Total Deductions]]-Salary_Calculation[[#This Row],[Gross Salary Before Deductions]],0),2))</f>
        <v/>
      </c>
      <c r="AC30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05" s="164" t="str">
        <f aca="false">IF(Salary_Calculation[[#This Row],[Source Row]]="","",Salary_Calculation[[#This Row],[Rider Target Orders]]*Salary_Calculation[[#This Row],[Base Order Rate]])</f>
        <v/>
      </c>
      <c r="AE305" s="162" t="str">
        <f aca="false">IF(SUMPRODUCT(--(LEN(INDEX(Rider_Input[#Data],ROW()-ROW(Salary_Calculation[#Headers]),0))&gt;0))=0,"",ROW()-ROW(Salary_Calculation[#Headers]))</f>
        <v/>
      </c>
    </row>
    <row r="306" customFormat="false" ht="14.25" hidden="false" customHeight="false" outlineLevel="0" collapsed="false">
      <c r="A306" s="161" t="str">
        <f aca="false">IF(Salary_Calculation[[#This Row],[Source Row]]="","",IF(INDEX(Rider_Input[Salary Month],Salary_Calculation[[#This Row],[Source Row]])="","",INDEX(Rider_Input[Salary Month],Salary_Calculation[[#This Row],[Source Row]])))</f>
        <v/>
      </c>
      <c r="B306" s="162" t="str">
        <f aca="false">IF(Salary_Calculation[[#This Row],[Source Row]]="","",IF(INDEX(Rider_Input[Rider ID],Salary_Calculation[[#This Row],[Source Row]])="","",INDEX(Rider_Input[Rider ID],Salary_Calculation[[#This Row],[Source Row]])))</f>
        <v/>
      </c>
      <c r="C306" s="163" t="str">
        <f aca="false">IF(Salary_Calculation[[#This Row],[Source Row]]="","",IF(INDEX(Rider_Input[Rider Name],Salary_Calculation[[#This Row],[Source Row]])="","",INDEX(Rider_Input[Rider Name],Salary_Calculation[[#This Row],[Source Row]])))</f>
        <v/>
      </c>
      <c r="D306" s="164" t="str">
        <f aca="false">IF(Salary_Calculation[[#This Row],[Source Row]]="","",IF(INDEX(Rider_Input[Basic Payment],Salary_Calculation[[#This Row],[Source Row]])="","",INDEX(Rider_Input[Basic Payment],Salary_Calculation[[#This Row],[Source Row]])))</f>
        <v/>
      </c>
      <c r="E306" s="162" t="str">
        <f aca="false">IF(Salary_Calculation[[#This Row],[Source Row]]="","",IF(INDEX(Rider_Input[Calendar Days in Month],Salary_Calculation[[#This Row],[Source Row]])="","",INDEX(Rider_Input[Calendar Days in Month],Salary_Calculation[[#This Row],[Source Row]])))</f>
        <v/>
      </c>
      <c r="F306" s="162" t="str">
        <f aca="false">IF(Salary_Calculation[[#This Row],[Source Row]]="","",IF(INDEX(Rider_Input[Working Days],Salary_Calculation[[#This Row],[Source Row]])="","",INDEX(Rider_Input[Working Days],Salary_Calculation[[#This Row],[Source Row]])))</f>
        <v/>
      </c>
      <c r="G306" s="165" t="str">
        <f aca="false">IF(Salary_Calculation[[#This Row],[Source Row]]="","",Std_Orders/Std_Days*N(Salary_Calculation[[#This Row],[Calendar Days]]))</f>
        <v/>
      </c>
      <c r="H306" s="165" t="str">
        <f aca="false">IF(Salary_Calculation[[#This Row],[Source Row]]="","",IF(N(Salary_Calculation[[#This Row],[Calendar Days]])&gt;0,Salary_Calculation[[#This Row],[Monthly Target Orders]]/N(Salary_Calculation[[#This Row],[Calendar Days]])*N(Salary_Calculation[[#This Row],[Working Days]]),0))</f>
        <v/>
      </c>
      <c r="I306" s="166" t="str">
        <f aca="false">IF(Salary_Calculation[[#This Row],[Source Row]]="","",IF(INDEX(Rider_Input[Completed Orders],Salary_Calculation[[#This Row],[Source Row]])="","",INDEX(Rider_Input[Completed Orders],Salary_Calculation[[#This Row],[Source Row]])))</f>
        <v/>
      </c>
      <c r="J306" s="165" t="str">
        <f aca="false">IF(Salary_Calculation[[#This Row],[Source Row]]="","",IF(Rate_Method="Fixed rate",Fixed_Rate,IF(N(Salary_Calculation[[#This Row],[Basic Payment]])&gt;0,N(Salary_Calculation[[#This Row],[Basic Payment]])/Std_Orders,0)))</f>
        <v/>
      </c>
      <c r="K306" s="165" t="str">
        <f aca="false">IF(Salary_Calculation[[#This Row],[Source Row]]="","",MAX(MIN(N(Salary_Calculation[[#This Row],[Completed Orders]]),Salary_Calculation[[#This Row],[Rider Target Orders]]),0))</f>
        <v/>
      </c>
      <c r="L306" s="164" t="str">
        <f aca="false">IF(Salary_Calculation[[#This Row],[Source Row]]="","",Salary_Calculation[[#This Row],[Orders Counted at Base Rate]]*Salary_Calculation[[#This Row],[Base Order Rate]])</f>
        <v/>
      </c>
      <c r="M306" s="165" t="str">
        <f aca="false">IF(Salary_Calculation[[#This Row],[Source Row]]="","",MAX(Salary_Calculation[[#This Row],[Rider Target Orders]]-N(Salary_Calculation[[#This Row],[Completed Orders]]),0))</f>
        <v/>
      </c>
      <c r="N306" s="164" t="str">
        <f aca="false">IF(Salary_Calculation[[#This Row],[Source Row]]="","",Salary_Calculation[[#This Row],[Missing Orders]]*Missing_Rate)</f>
        <v/>
      </c>
      <c r="O306" s="165" t="str">
        <f aca="false">IF(Salary_Calculation[[#This Row],[Source Row]]="","",MAX(N(Salary_Calculation[[#This Row],[Completed Orders]])-Salary_Calculation[[#This Row],[Rider Target Orders]],0))</f>
        <v/>
      </c>
      <c r="P306" s="164" t="str">
        <f aca="false">IF(Salary_Calculation[[#This Row],[Source Row]]="","",Salary_Calculation[[#This Row],[Extra Orders]]*Extra_Rate)</f>
        <v/>
      </c>
      <c r="Q306" s="164" t="str">
        <f aca="false">IF(Salary_Calculation[[#This Row],[Source Row]]="","",MAX(Salary_Calculation[[#This Row],[Salary Before Other Deductions]],0))</f>
        <v/>
      </c>
      <c r="R306" s="164" t="str">
        <f aca="false">IF(Salary_Calculation[[#This Row],[Source Row]]="","",N(INDEX(Rider_Input[missed_days_penalty],Salary_Calculation[[#This Row],[Source Row]])))</f>
        <v/>
      </c>
      <c r="S306" s="164" t="str">
        <f aca="false">IF(Salary_Calculation[[#This Row],[Source Row]]="","",N(INDEX(Rider_Input[Rider Balance / محفظة المندوب],Salary_Calculation[[#This Row],[Source Row]])))</f>
        <v/>
      </c>
      <c r="T306" s="164" t="str">
        <f aca="false">IF(Salary_Calculation[[#This Row],[Source Row]]="","",N(INDEX(Rider_Input[stacking_deduction / خصم الطلبات المتعددة],Salary_Calculation[[#This Row],[Source Row]])))</f>
        <v/>
      </c>
      <c r="U306" s="164" t="str">
        <f aca="false">IF(Salary_Calculation[[#This Row],[Source Row]]="","",N(INDEX(Rider_Input[Other Deductions],Salary_Calculation[[#This Row],[Source Row]])))</f>
        <v/>
      </c>
      <c r="V306" s="164" t="str">
        <f aca="false">IF(Salary_Calculation[[#This Row],[Source Row]]="","",N(Salary_Calculation[[#This Row],[missed_days_penalty]])+N(Salary_Calculation[[#This Row],[Rider Balance]])+N(Salary_Calculation[[#This Row],[stacking_deduction]])+N(Salary_Calculation[[#This Row],[Other Deductions]]))</f>
        <v/>
      </c>
      <c r="W306" s="167" t="str">
        <f aca="false">IF(Salary_Calculation[[#This Row],[Source Row]]="","",ROUND(MAX(Salary_Calculation[[#This Row],[Gross Salary Before Deductions]]-Salary_Calculation[[#This Row],[Total Deductions]],0),2))</f>
        <v/>
      </c>
      <c r="X306" s="164" t="str">
        <f aca="false">IF(Salary_Calculation[[#This Row],[Source Row]]="","",ROUND(MAX(Salary_Calculation[[#This Row],[Missing-Order Deduction]]-Salary_Calculation[[#This Row],[Earned Salary]],0),2))</f>
        <v/>
      </c>
      <c r="Y30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06" s="163" t="str">
        <f aca="false">IF(Salary_Calculation[[#This Row],[Source Row]]="","",IF(INDEX(Rider_Input[Notes],Salary_Calculation[[#This Row],[Source Row]])="","",INDEX(Rider_Input[Notes],Salary_Calculation[[#This Row],[Source Row]])))</f>
        <v/>
      </c>
      <c r="AA306" s="164" t="str">
        <f aca="false">IF(Salary_Calculation[[#This Row],[Source Row]]="","",Salary_Calculation[[#This Row],[Earned Salary]]-Salary_Calculation[[#This Row],[Missing-Order Deduction]]+Salary_Calculation[[#This Row],[Extra-Order Bonus]])</f>
        <v/>
      </c>
      <c r="AB306" s="164" t="str">
        <f aca="false">IF(Salary_Calculation[[#This Row],[Source Row]]="","",ROUND(Salary_Calculation[[#This Row],[Negative Balance / Amount Due from Rider]]+MAX(Salary_Calculation[[#This Row],[Total Deductions]]-Salary_Calculation[[#This Row],[Gross Salary Before Deductions]],0),2))</f>
        <v/>
      </c>
      <c r="AC30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06" s="164" t="str">
        <f aca="false">IF(Salary_Calculation[[#This Row],[Source Row]]="","",Salary_Calculation[[#This Row],[Rider Target Orders]]*Salary_Calculation[[#This Row],[Base Order Rate]])</f>
        <v/>
      </c>
      <c r="AE306" s="162" t="str">
        <f aca="false">IF(SUMPRODUCT(--(LEN(INDEX(Rider_Input[#Data],ROW()-ROW(Salary_Calculation[#Headers]),0))&gt;0))=0,"",ROW()-ROW(Salary_Calculation[#Headers]))</f>
        <v/>
      </c>
    </row>
    <row r="307" customFormat="false" ht="14.25" hidden="false" customHeight="false" outlineLevel="0" collapsed="false">
      <c r="A307" s="161" t="str">
        <f aca="false">IF(Salary_Calculation[[#This Row],[Source Row]]="","",IF(INDEX(Rider_Input[Salary Month],Salary_Calculation[[#This Row],[Source Row]])="","",INDEX(Rider_Input[Salary Month],Salary_Calculation[[#This Row],[Source Row]])))</f>
        <v/>
      </c>
      <c r="B307" s="162" t="str">
        <f aca="false">IF(Salary_Calculation[[#This Row],[Source Row]]="","",IF(INDEX(Rider_Input[Rider ID],Salary_Calculation[[#This Row],[Source Row]])="","",INDEX(Rider_Input[Rider ID],Salary_Calculation[[#This Row],[Source Row]])))</f>
        <v/>
      </c>
      <c r="C307" s="163" t="str">
        <f aca="false">IF(Salary_Calculation[[#This Row],[Source Row]]="","",IF(INDEX(Rider_Input[Rider Name],Salary_Calculation[[#This Row],[Source Row]])="","",INDEX(Rider_Input[Rider Name],Salary_Calculation[[#This Row],[Source Row]])))</f>
        <v/>
      </c>
      <c r="D307" s="164" t="str">
        <f aca="false">IF(Salary_Calculation[[#This Row],[Source Row]]="","",IF(INDEX(Rider_Input[Basic Payment],Salary_Calculation[[#This Row],[Source Row]])="","",INDEX(Rider_Input[Basic Payment],Salary_Calculation[[#This Row],[Source Row]])))</f>
        <v/>
      </c>
      <c r="E307" s="162" t="str">
        <f aca="false">IF(Salary_Calculation[[#This Row],[Source Row]]="","",IF(INDEX(Rider_Input[Calendar Days in Month],Salary_Calculation[[#This Row],[Source Row]])="","",INDEX(Rider_Input[Calendar Days in Month],Salary_Calculation[[#This Row],[Source Row]])))</f>
        <v/>
      </c>
      <c r="F307" s="162" t="str">
        <f aca="false">IF(Salary_Calculation[[#This Row],[Source Row]]="","",IF(INDEX(Rider_Input[Working Days],Salary_Calculation[[#This Row],[Source Row]])="","",INDEX(Rider_Input[Working Days],Salary_Calculation[[#This Row],[Source Row]])))</f>
        <v/>
      </c>
      <c r="G307" s="165" t="str">
        <f aca="false">IF(Salary_Calculation[[#This Row],[Source Row]]="","",Std_Orders/Std_Days*N(Salary_Calculation[[#This Row],[Calendar Days]]))</f>
        <v/>
      </c>
      <c r="H307" s="165" t="str">
        <f aca="false">IF(Salary_Calculation[[#This Row],[Source Row]]="","",IF(N(Salary_Calculation[[#This Row],[Calendar Days]])&gt;0,Salary_Calculation[[#This Row],[Monthly Target Orders]]/N(Salary_Calculation[[#This Row],[Calendar Days]])*N(Salary_Calculation[[#This Row],[Working Days]]),0))</f>
        <v/>
      </c>
      <c r="I307" s="166" t="str">
        <f aca="false">IF(Salary_Calculation[[#This Row],[Source Row]]="","",IF(INDEX(Rider_Input[Completed Orders],Salary_Calculation[[#This Row],[Source Row]])="","",INDEX(Rider_Input[Completed Orders],Salary_Calculation[[#This Row],[Source Row]])))</f>
        <v/>
      </c>
      <c r="J307" s="165" t="str">
        <f aca="false">IF(Salary_Calculation[[#This Row],[Source Row]]="","",IF(Rate_Method="Fixed rate",Fixed_Rate,IF(N(Salary_Calculation[[#This Row],[Basic Payment]])&gt;0,N(Salary_Calculation[[#This Row],[Basic Payment]])/Std_Orders,0)))</f>
        <v/>
      </c>
      <c r="K307" s="165" t="str">
        <f aca="false">IF(Salary_Calculation[[#This Row],[Source Row]]="","",MAX(MIN(N(Salary_Calculation[[#This Row],[Completed Orders]]),Salary_Calculation[[#This Row],[Rider Target Orders]]),0))</f>
        <v/>
      </c>
      <c r="L307" s="164" t="str">
        <f aca="false">IF(Salary_Calculation[[#This Row],[Source Row]]="","",Salary_Calculation[[#This Row],[Orders Counted at Base Rate]]*Salary_Calculation[[#This Row],[Base Order Rate]])</f>
        <v/>
      </c>
      <c r="M307" s="165" t="str">
        <f aca="false">IF(Salary_Calculation[[#This Row],[Source Row]]="","",MAX(Salary_Calculation[[#This Row],[Rider Target Orders]]-N(Salary_Calculation[[#This Row],[Completed Orders]]),0))</f>
        <v/>
      </c>
      <c r="N307" s="164" t="str">
        <f aca="false">IF(Salary_Calculation[[#This Row],[Source Row]]="","",Salary_Calculation[[#This Row],[Missing Orders]]*Missing_Rate)</f>
        <v/>
      </c>
      <c r="O307" s="165" t="str">
        <f aca="false">IF(Salary_Calculation[[#This Row],[Source Row]]="","",MAX(N(Salary_Calculation[[#This Row],[Completed Orders]])-Salary_Calculation[[#This Row],[Rider Target Orders]],0))</f>
        <v/>
      </c>
      <c r="P307" s="164" t="str">
        <f aca="false">IF(Salary_Calculation[[#This Row],[Source Row]]="","",Salary_Calculation[[#This Row],[Extra Orders]]*Extra_Rate)</f>
        <v/>
      </c>
      <c r="Q307" s="164" t="str">
        <f aca="false">IF(Salary_Calculation[[#This Row],[Source Row]]="","",MAX(Salary_Calculation[[#This Row],[Salary Before Other Deductions]],0))</f>
        <v/>
      </c>
      <c r="R307" s="164" t="str">
        <f aca="false">IF(Salary_Calculation[[#This Row],[Source Row]]="","",N(INDEX(Rider_Input[missed_days_penalty],Salary_Calculation[[#This Row],[Source Row]])))</f>
        <v/>
      </c>
      <c r="S307" s="164" t="str">
        <f aca="false">IF(Salary_Calculation[[#This Row],[Source Row]]="","",N(INDEX(Rider_Input[Rider Balance / محفظة المندوب],Salary_Calculation[[#This Row],[Source Row]])))</f>
        <v/>
      </c>
      <c r="T307" s="164" t="str">
        <f aca="false">IF(Salary_Calculation[[#This Row],[Source Row]]="","",N(INDEX(Rider_Input[stacking_deduction / خصم الطلبات المتعددة],Salary_Calculation[[#This Row],[Source Row]])))</f>
        <v/>
      </c>
      <c r="U307" s="164" t="str">
        <f aca="false">IF(Salary_Calculation[[#This Row],[Source Row]]="","",N(INDEX(Rider_Input[Other Deductions],Salary_Calculation[[#This Row],[Source Row]])))</f>
        <v/>
      </c>
      <c r="V307" s="164" t="str">
        <f aca="false">IF(Salary_Calculation[[#This Row],[Source Row]]="","",N(Salary_Calculation[[#This Row],[missed_days_penalty]])+N(Salary_Calculation[[#This Row],[Rider Balance]])+N(Salary_Calculation[[#This Row],[stacking_deduction]])+N(Salary_Calculation[[#This Row],[Other Deductions]]))</f>
        <v/>
      </c>
      <c r="W307" s="167" t="str">
        <f aca="false">IF(Salary_Calculation[[#This Row],[Source Row]]="","",ROUND(MAX(Salary_Calculation[[#This Row],[Gross Salary Before Deductions]]-Salary_Calculation[[#This Row],[Total Deductions]],0),2))</f>
        <v/>
      </c>
      <c r="X307" s="164" t="str">
        <f aca="false">IF(Salary_Calculation[[#This Row],[Source Row]]="","",ROUND(MAX(Salary_Calculation[[#This Row],[Missing-Order Deduction]]-Salary_Calculation[[#This Row],[Earned Salary]],0),2))</f>
        <v/>
      </c>
      <c r="Y30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07" s="163" t="str">
        <f aca="false">IF(Salary_Calculation[[#This Row],[Source Row]]="","",IF(INDEX(Rider_Input[Notes],Salary_Calculation[[#This Row],[Source Row]])="","",INDEX(Rider_Input[Notes],Salary_Calculation[[#This Row],[Source Row]])))</f>
        <v/>
      </c>
      <c r="AA307" s="164" t="str">
        <f aca="false">IF(Salary_Calculation[[#This Row],[Source Row]]="","",Salary_Calculation[[#This Row],[Earned Salary]]-Salary_Calculation[[#This Row],[Missing-Order Deduction]]+Salary_Calculation[[#This Row],[Extra-Order Bonus]])</f>
        <v/>
      </c>
      <c r="AB307" s="164" t="str">
        <f aca="false">IF(Salary_Calculation[[#This Row],[Source Row]]="","",ROUND(Salary_Calculation[[#This Row],[Negative Balance / Amount Due from Rider]]+MAX(Salary_Calculation[[#This Row],[Total Deductions]]-Salary_Calculation[[#This Row],[Gross Salary Before Deductions]],0),2))</f>
        <v/>
      </c>
      <c r="AC30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07" s="164" t="str">
        <f aca="false">IF(Salary_Calculation[[#This Row],[Source Row]]="","",Salary_Calculation[[#This Row],[Rider Target Orders]]*Salary_Calculation[[#This Row],[Base Order Rate]])</f>
        <v/>
      </c>
      <c r="AE307" s="162" t="str">
        <f aca="false">IF(SUMPRODUCT(--(LEN(INDEX(Rider_Input[#Data],ROW()-ROW(Salary_Calculation[#Headers]),0))&gt;0))=0,"",ROW()-ROW(Salary_Calculation[#Headers]))</f>
        <v/>
      </c>
    </row>
    <row r="308" customFormat="false" ht="14.25" hidden="false" customHeight="false" outlineLevel="0" collapsed="false">
      <c r="A308" s="161" t="str">
        <f aca="false">IF(Salary_Calculation[[#This Row],[Source Row]]="","",IF(INDEX(Rider_Input[Salary Month],Salary_Calculation[[#This Row],[Source Row]])="","",INDEX(Rider_Input[Salary Month],Salary_Calculation[[#This Row],[Source Row]])))</f>
        <v/>
      </c>
      <c r="B308" s="162" t="str">
        <f aca="false">IF(Salary_Calculation[[#This Row],[Source Row]]="","",IF(INDEX(Rider_Input[Rider ID],Salary_Calculation[[#This Row],[Source Row]])="","",INDEX(Rider_Input[Rider ID],Salary_Calculation[[#This Row],[Source Row]])))</f>
        <v/>
      </c>
      <c r="C308" s="163" t="str">
        <f aca="false">IF(Salary_Calculation[[#This Row],[Source Row]]="","",IF(INDEX(Rider_Input[Rider Name],Salary_Calculation[[#This Row],[Source Row]])="","",INDEX(Rider_Input[Rider Name],Salary_Calculation[[#This Row],[Source Row]])))</f>
        <v/>
      </c>
      <c r="D308" s="164" t="str">
        <f aca="false">IF(Salary_Calculation[[#This Row],[Source Row]]="","",IF(INDEX(Rider_Input[Basic Payment],Salary_Calculation[[#This Row],[Source Row]])="","",INDEX(Rider_Input[Basic Payment],Salary_Calculation[[#This Row],[Source Row]])))</f>
        <v/>
      </c>
      <c r="E308" s="162" t="str">
        <f aca="false">IF(Salary_Calculation[[#This Row],[Source Row]]="","",IF(INDEX(Rider_Input[Calendar Days in Month],Salary_Calculation[[#This Row],[Source Row]])="","",INDEX(Rider_Input[Calendar Days in Month],Salary_Calculation[[#This Row],[Source Row]])))</f>
        <v/>
      </c>
      <c r="F308" s="162" t="str">
        <f aca="false">IF(Salary_Calculation[[#This Row],[Source Row]]="","",IF(INDEX(Rider_Input[Working Days],Salary_Calculation[[#This Row],[Source Row]])="","",INDEX(Rider_Input[Working Days],Salary_Calculation[[#This Row],[Source Row]])))</f>
        <v/>
      </c>
      <c r="G308" s="165" t="str">
        <f aca="false">IF(Salary_Calculation[[#This Row],[Source Row]]="","",Std_Orders/Std_Days*N(Salary_Calculation[[#This Row],[Calendar Days]]))</f>
        <v/>
      </c>
      <c r="H308" s="165" t="str">
        <f aca="false">IF(Salary_Calculation[[#This Row],[Source Row]]="","",IF(N(Salary_Calculation[[#This Row],[Calendar Days]])&gt;0,Salary_Calculation[[#This Row],[Monthly Target Orders]]/N(Salary_Calculation[[#This Row],[Calendar Days]])*N(Salary_Calculation[[#This Row],[Working Days]]),0))</f>
        <v/>
      </c>
      <c r="I308" s="166" t="str">
        <f aca="false">IF(Salary_Calculation[[#This Row],[Source Row]]="","",IF(INDEX(Rider_Input[Completed Orders],Salary_Calculation[[#This Row],[Source Row]])="","",INDEX(Rider_Input[Completed Orders],Salary_Calculation[[#This Row],[Source Row]])))</f>
        <v/>
      </c>
      <c r="J308" s="165" t="str">
        <f aca="false">IF(Salary_Calculation[[#This Row],[Source Row]]="","",IF(Rate_Method="Fixed rate",Fixed_Rate,IF(N(Salary_Calculation[[#This Row],[Basic Payment]])&gt;0,N(Salary_Calculation[[#This Row],[Basic Payment]])/Std_Orders,0)))</f>
        <v/>
      </c>
      <c r="K308" s="165" t="str">
        <f aca="false">IF(Salary_Calculation[[#This Row],[Source Row]]="","",MAX(MIN(N(Salary_Calculation[[#This Row],[Completed Orders]]),Salary_Calculation[[#This Row],[Rider Target Orders]]),0))</f>
        <v/>
      </c>
      <c r="L308" s="164" t="str">
        <f aca="false">IF(Salary_Calculation[[#This Row],[Source Row]]="","",Salary_Calculation[[#This Row],[Orders Counted at Base Rate]]*Salary_Calculation[[#This Row],[Base Order Rate]])</f>
        <v/>
      </c>
      <c r="M308" s="165" t="str">
        <f aca="false">IF(Salary_Calculation[[#This Row],[Source Row]]="","",MAX(Salary_Calculation[[#This Row],[Rider Target Orders]]-N(Salary_Calculation[[#This Row],[Completed Orders]]),0))</f>
        <v/>
      </c>
      <c r="N308" s="164" t="str">
        <f aca="false">IF(Salary_Calculation[[#This Row],[Source Row]]="","",Salary_Calculation[[#This Row],[Missing Orders]]*Missing_Rate)</f>
        <v/>
      </c>
      <c r="O308" s="165" t="str">
        <f aca="false">IF(Salary_Calculation[[#This Row],[Source Row]]="","",MAX(N(Salary_Calculation[[#This Row],[Completed Orders]])-Salary_Calculation[[#This Row],[Rider Target Orders]],0))</f>
        <v/>
      </c>
      <c r="P308" s="164" t="str">
        <f aca="false">IF(Salary_Calculation[[#This Row],[Source Row]]="","",Salary_Calculation[[#This Row],[Extra Orders]]*Extra_Rate)</f>
        <v/>
      </c>
      <c r="Q308" s="164" t="str">
        <f aca="false">IF(Salary_Calculation[[#This Row],[Source Row]]="","",MAX(Salary_Calculation[[#This Row],[Salary Before Other Deductions]],0))</f>
        <v/>
      </c>
      <c r="R308" s="164" t="str">
        <f aca="false">IF(Salary_Calculation[[#This Row],[Source Row]]="","",N(INDEX(Rider_Input[missed_days_penalty],Salary_Calculation[[#This Row],[Source Row]])))</f>
        <v/>
      </c>
      <c r="S308" s="164" t="str">
        <f aca="false">IF(Salary_Calculation[[#This Row],[Source Row]]="","",N(INDEX(Rider_Input[Rider Balance / محفظة المندوب],Salary_Calculation[[#This Row],[Source Row]])))</f>
        <v/>
      </c>
      <c r="T308" s="164" t="str">
        <f aca="false">IF(Salary_Calculation[[#This Row],[Source Row]]="","",N(INDEX(Rider_Input[stacking_deduction / خصم الطلبات المتعددة],Salary_Calculation[[#This Row],[Source Row]])))</f>
        <v/>
      </c>
      <c r="U308" s="164" t="str">
        <f aca="false">IF(Salary_Calculation[[#This Row],[Source Row]]="","",N(INDEX(Rider_Input[Other Deductions],Salary_Calculation[[#This Row],[Source Row]])))</f>
        <v/>
      </c>
      <c r="V308" s="164" t="str">
        <f aca="false">IF(Salary_Calculation[[#This Row],[Source Row]]="","",N(Salary_Calculation[[#This Row],[missed_days_penalty]])+N(Salary_Calculation[[#This Row],[Rider Balance]])+N(Salary_Calculation[[#This Row],[stacking_deduction]])+N(Salary_Calculation[[#This Row],[Other Deductions]]))</f>
        <v/>
      </c>
      <c r="W308" s="167" t="str">
        <f aca="false">IF(Salary_Calculation[[#This Row],[Source Row]]="","",ROUND(MAX(Salary_Calculation[[#This Row],[Gross Salary Before Deductions]]-Salary_Calculation[[#This Row],[Total Deductions]],0),2))</f>
        <v/>
      </c>
      <c r="X308" s="164" t="str">
        <f aca="false">IF(Salary_Calculation[[#This Row],[Source Row]]="","",ROUND(MAX(Salary_Calculation[[#This Row],[Missing-Order Deduction]]-Salary_Calculation[[#This Row],[Earned Salary]],0),2))</f>
        <v/>
      </c>
      <c r="Y30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08" s="163" t="str">
        <f aca="false">IF(Salary_Calculation[[#This Row],[Source Row]]="","",IF(INDEX(Rider_Input[Notes],Salary_Calculation[[#This Row],[Source Row]])="","",INDEX(Rider_Input[Notes],Salary_Calculation[[#This Row],[Source Row]])))</f>
        <v/>
      </c>
      <c r="AA308" s="164" t="str">
        <f aca="false">IF(Salary_Calculation[[#This Row],[Source Row]]="","",Salary_Calculation[[#This Row],[Earned Salary]]-Salary_Calculation[[#This Row],[Missing-Order Deduction]]+Salary_Calculation[[#This Row],[Extra-Order Bonus]])</f>
        <v/>
      </c>
      <c r="AB308" s="164" t="str">
        <f aca="false">IF(Salary_Calculation[[#This Row],[Source Row]]="","",ROUND(Salary_Calculation[[#This Row],[Negative Balance / Amount Due from Rider]]+MAX(Salary_Calculation[[#This Row],[Total Deductions]]-Salary_Calculation[[#This Row],[Gross Salary Before Deductions]],0),2))</f>
        <v/>
      </c>
      <c r="AC30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08" s="164" t="str">
        <f aca="false">IF(Salary_Calculation[[#This Row],[Source Row]]="","",Salary_Calculation[[#This Row],[Rider Target Orders]]*Salary_Calculation[[#This Row],[Base Order Rate]])</f>
        <v/>
      </c>
      <c r="AE308" s="162" t="str">
        <f aca="false">IF(SUMPRODUCT(--(LEN(INDEX(Rider_Input[#Data],ROW()-ROW(Salary_Calculation[#Headers]),0))&gt;0))=0,"",ROW()-ROW(Salary_Calculation[#Headers]))</f>
        <v/>
      </c>
    </row>
    <row r="309" customFormat="false" ht="14.25" hidden="false" customHeight="false" outlineLevel="0" collapsed="false">
      <c r="A309" s="161" t="str">
        <f aca="false">IF(Salary_Calculation[[#This Row],[Source Row]]="","",IF(INDEX(Rider_Input[Salary Month],Salary_Calculation[[#This Row],[Source Row]])="","",INDEX(Rider_Input[Salary Month],Salary_Calculation[[#This Row],[Source Row]])))</f>
        <v/>
      </c>
      <c r="B309" s="162" t="str">
        <f aca="false">IF(Salary_Calculation[[#This Row],[Source Row]]="","",IF(INDEX(Rider_Input[Rider ID],Salary_Calculation[[#This Row],[Source Row]])="","",INDEX(Rider_Input[Rider ID],Salary_Calculation[[#This Row],[Source Row]])))</f>
        <v/>
      </c>
      <c r="C309" s="163" t="str">
        <f aca="false">IF(Salary_Calculation[[#This Row],[Source Row]]="","",IF(INDEX(Rider_Input[Rider Name],Salary_Calculation[[#This Row],[Source Row]])="","",INDEX(Rider_Input[Rider Name],Salary_Calculation[[#This Row],[Source Row]])))</f>
        <v/>
      </c>
      <c r="D309" s="164" t="str">
        <f aca="false">IF(Salary_Calculation[[#This Row],[Source Row]]="","",IF(INDEX(Rider_Input[Basic Payment],Salary_Calculation[[#This Row],[Source Row]])="","",INDEX(Rider_Input[Basic Payment],Salary_Calculation[[#This Row],[Source Row]])))</f>
        <v/>
      </c>
      <c r="E309" s="162" t="str">
        <f aca="false">IF(Salary_Calculation[[#This Row],[Source Row]]="","",IF(INDEX(Rider_Input[Calendar Days in Month],Salary_Calculation[[#This Row],[Source Row]])="","",INDEX(Rider_Input[Calendar Days in Month],Salary_Calculation[[#This Row],[Source Row]])))</f>
        <v/>
      </c>
      <c r="F309" s="162" t="str">
        <f aca="false">IF(Salary_Calculation[[#This Row],[Source Row]]="","",IF(INDEX(Rider_Input[Working Days],Salary_Calculation[[#This Row],[Source Row]])="","",INDEX(Rider_Input[Working Days],Salary_Calculation[[#This Row],[Source Row]])))</f>
        <v/>
      </c>
      <c r="G309" s="165" t="str">
        <f aca="false">IF(Salary_Calculation[[#This Row],[Source Row]]="","",Std_Orders/Std_Days*N(Salary_Calculation[[#This Row],[Calendar Days]]))</f>
        <v/>
      </c>
      <c r="H309" s="165" t="str">
        <f aca="false">IF(Salary_Calculation[[#This Row],[Source Row]]="","",IF(N(Salary_Calculation[[#This Row],[Calendar Days]])&gt;0,Salary_Calculation[[#This Row],[Monthly Target Orders]]/N(Salary_Calculation[[#This Row],[Calendar Days]])*N(Salary_Calculation[[#This Row],[Working Days]]),0))</f>
        <v/>
      </c>
      <c r="I309" s="166" t="str">
        <f aca="false">IF(Salary_Calculation[[#This Row],[Source Row]]="","",IF(INDEX(Rider_Input[Completed Orders],Salary_Calculation[[#This Row],[Source Row]])="","",INDEX(Rider_Input[Completed Orders],Salary_Calculation[[#This Row],[Source Row]])))</f>
        <v/>
      </c>
      <c r="J309" s="165" t="str">
        <f aca="false">IF(Salary_Calculation[[#This Row],[Source Row]]="","",IF(Rate_Method="Fixed rate",Fixed_Rate,IF(N(Salary_Calculation[[#This Row],[Basic Payment]])&gt;0,N(Salary_Calculation[[#This Row],[Basic Payment]])/Std_Orders,0)))</f>
        <v/>
      </c>
      <c r="K309" s="165" t="str">
        <f aca="false">IF(Salary_Calculation[[#This Row],[Source Row]]="","",MAX(MIN(N(Salary_Calculation[[#This Row],[Completed Orders]]),Salary_Calculation[[#This Row],[Rider Target Orders]]),0))</f>
        <v/>
      </c>
      <c r="L309" s="164" t="str">
        <f aca="false">IF(Salary_Calculation[[#This Row],[Source Row]]="","",Salary_Calculation[[#This Row],[Orders Counted at Base Rate]]*Salary_Calculation[[#This Row],[Base Order Rate]])</f>
        <v/>
      </c>
      <c r="M309" s="165" t="str">
        <f aca="false">IF(Salary_Calculation[[#This Row],[Source Row]]="","",MAX(Salary_Calculation[[#This Row],[Rider Target Orders]]-N(Salary_Calculation[[#This Row],[Completed Orders]]),0))</f>
        <v/>
      </c>
      <c r="N309" s="164" t="str">
        <f aca="false">IF(Salary_Calculation[[#This Row],[Source Row]]="","",Salary_Calculation[[#This Row],[Missing Orders]]*Missing_Rate)</f>
        <v/>
      </c>
      <c r="O309" s="165" t="str">
        <f aca="false">IF(Salary_Calculation[[#This Row],[Source Row]]="","",MAX(N(Salary_Calculation[[#This Row],[Completed Orders]])-Salary_Calculation[[#This Row],[Rider Target Orders]],0))</f>
        <v/>
      </c>
      <c r="P309" s="164" t="str">
        <f aca="false">IF(Salary_Calculation[[#This Row],[Source Row]]="","",Salary_Calculation[[#This Row],[Extra Orders]]*Extra_Rate)</f>
        <v/>
      </c>
      <c r="Q309" s="164" t="str">
        <f aca="false">IF(Salary_Calculation[[#This Row],[Source Row]]="","",MAX(Salary_Calculation[[#This Row],[Salary Before Other Deductions]],0))</f>
        <v/>
      </c>
      <c r="R309" s="164" t="str">
        <f aca="false">IF(Salary_Calculation[[#This Row],[Source Row]]="","",N(INDEX(Rider_Input[missed_days_penalty],Salary_Calculation[[#This Row],[Source Row]])))</f>
        <v/>
      </c>
      <c r="S309" s="164" t="str">
        <f aca="false">IF(Salary_Calculation[[#This Row],[Source Row]]="","",N(INDEX(Rider_Input[Rider Balance / محفظة المندوب],Salary_Calculation[[#This Row],[Source Row]])))</f>
        <v/>
      </c>
      <c r="T309" s="164" t="str">
        <f aca="false">IF(Salary_Calculation[[#This Row],[Source Row]]="","",N(INDEX(Rider_Input[stacking_deduction / خصم الطلبات المتعددة],Salary_Calculation[[#This Row],[Source Row]])))</f>
        <v/>
      </c>
      <c r="U309" s="164" t="str">
        <f aca="false">IF(Salary_Calculation[[#This Row],[Source Row]]="","",N(INDEX(Rider_Input[Other Deductions],Salary_Calculation[[#This Row],[Source Row]])))</f>
        <v/>
      </c>
      <c r="V309" s="164" t="str">
        <f aca="false">IF(Salary_Calculation[[#This Row],[Source Row]]="","",N(Salary_Calculation[[#This Row],[missed_days_penalty]])+N(Salary_Calculation[[#This Row],[Rider Balance]])+N(Salary_Calculation[[#This Row],[stacking_deduction]])+N(Salary_Calculation[[#This Row],[Other Deductions]]))</f>
        <v/>
      </c>
      <c r="W309" s="167" t="str">
        <f aca="false">IF(Salary_Calculation[[#This Row],[Source Row]]="","",ROUND(MAX(Salary_Calculation[[#This Row],[Gross Salary Before Deductions]]-Salary_Calculation[[#This Row],[Total Deductions]],0),2))</f>
        <v/>
      </c>
      <c r="X309" s="164" t="str">
        <f aca="false">IF(Salary_Calculation[[#This Row],[Source Row]]="","",ROUND(MAX(Salary_Calculation[[#This Row],[Missing-Order Deduction]]-Salary_Calculation[[#This Row],[Earned Salary]],0),2))</f>
        <v/>
      </c>
      <c r="Y30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09" s="163" t="str">
        <f aca="false">IF(Salary_Calculation[[#This Row],[Source Row]]="","",IF(INDEX(Rider_Input[Notes],Salary_Calculation[[#This Row],[Source Row]])="","",INDEX(Rider_Input[Notes],Salary_Calculation[[#This Row],[Source Row]])))</f>
        <v/>
      </c>
      <c r="AA309" s="164" t="str">
        <f aca="false">IF(Salary_Calculation[[#This Row],[Source Row]]="","",Salary_Calculation[[#This Row],[Earned Salary]]-Salary_Calculation[[#This Row],[Missing-Order Deduction]]+Salary_Calculation[[#This Row],[Extra-Order Bonus]])</f>
        <v/>
      </c>
      <c r="AB309" s="164" t="str">
        <f aca="false">IF(Salary_Calculation[[#This Row],[Source Row]]="","",ROUND(Salary_Calculation[[#This Row],[Negative Balance / Amount Due from Rider]]+MAX(Salary_Calculation[[#This Row],[Total Deductions]]-Salary_Calculation[[#This Row],[Gross Salary Before Deductions]],0),2))</f>
        <v/>
      </c>
      <c r="AC30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09" s="164" t="str">
        <f aca="false">IF(Salary_Calculation[[#This Row],[Source Row]]="","",Salary_Calculation[[#This Row],[Rider Target Orders]]*Salary_Calculation[[#This Row],[Base Order Rate]])</f>
        <v/>
      </c>
      <c r="AE309" s="162" t="str">
        <f aca="false">IF(SUMPRODUCT(--(LEN(INDEX(Rider_Input[#Data],ROW()-ROW(Salary_Calculation[#Headers]),0))&gt;0))=0,"",ROW()-ROW(Salary_Calculation[#Headers]))</f>
        <v/>
      </c>
    </row>
    <row r="310" customFormat="false" ht="14.25" hidden="false" customHeight="false" outlineLevel="0" collapsed="false">
      <c r="A310" s="161" t="str">
        <f aca="false">IF(Salary_Calculation[[#This Row],[Source Row]]="","",IF(INDEX(Rider_Input[Salary Month],Salary_Calculation[[#This Row],[Source Row]])="","",INDEX(Rider_Input[Salary Month],Salary_Calculation[[#This Row],[Source Row]])))</f>
        <v/>
      </c>
      <c r="B310" s="162" t="str">
        <f aca="false">IF(Salary_Calculation[[#This Row],[Source Row]]="","",IF(INDEX(Rider_Input[Rider ID],Salary_Calculation[[#This Row],[Source Row]])="","",INDEX(Rider_Input[Rider ID],Salary_Calculation[[#This Row],[Source Row]])))</f>
        <v/>
      </c>
      <c r="C310" s="163" t="str">
        <f aca="false">IF(Salary_Calculation[[#This Row],[Source Row]]="","",IF(INDEX(Rider_Input[Rider Name],Salary_Calculation[[#This Row],[Source Row]])="","",INDEX(Rider_Input[Rider Name],Salary_Calculation[[#This Row],[Source Row]])))</f>
        <v/>
      </c>
      <c r="D310" s="164" t="str">
        <f aca="false">IF(Salary_Calculation[[#This Row],[Source Row]]="","",IF(INDEX(Rider_Input[Basic Payment],Salary_Calculation[[#This Row],[Source Row]])="","",INDEX(Rider_Input[Basic Payment],Salary_Calculation[[#This Row],[Source Row]])))</f>
        <v/>
      </c>
      <c r="E310" s="162" t="str">
        <f aca="false">IF(Salary_Calculation[[#This Row],[Source Row]]="","",IF(INDEX(Rider_Input[Calendar Days in Month],Salary_Calculation[[#This Row],[Source Row]])="","",INDEX(Rider_Input[Calendar Days in Month],Salary_Calculation[[#This Row],[Source Row]])))</f>
        <v/>
      </c>
      <c r="F310" s="162" t="str">
        <f aca="false">IF(Salary_Calculation[[#This Row],[Source Row]]="","",IF(INDEX(Rider_Input[Working Days],Salary_Calculation[[#This Row],[Source Row]])="","",INDEX(Rider_Input[Working Days],Salary_Calculation[[#This Row],[Source Row]])))</f>
        <v/>
      </c>
      <c r="G310" s="165" t="str">
        <f aca="false">IF(Salary_Calculation[[#This Row],[Source Row]]="","",Std_Orders/Std_Days*N(Salary_Calculation[[#This Row],[Calendar Days]]))</f>
        <v/>
      </c>
      <c r="H310" s="165" t="str">
        <f aca="false">IF(Salary_Calculation[[#This Row],[Source Row]]="","",IF(N(Salary_Calculation[[#This Row],[Calendar Days]])&gt;0,Salary_Calculation[[#This Row],[Monthly Target Orders]]/N(Salary_Calculation[[#This Row],[Calendar Days]])*N(Salary_Calculation[[#This Row],[Working Days]]),0))</f>
        <v/>
      </c>
      <c r="I310" s="166" t="str">
        <f aca="false">IF(Salary_Calculation[[#This Row],[Source Row]]="","",IF(INDEX(Rider_Input[Completed Orders],Salary_Calculation[[#This Row],[Source Row]])="","",INDEX(Rider_Input[Completed Orders],Salary_Calculation[[#This Row],[Source Row]])))</f>
        <v/>
      </c>
      <c r="J310" s="165" t="str">
        <f aca="false">IF(Salary_Calculation[[#This Row],[Source Row]]="","",IF(Rate_Method="Fixed rate",Fixed_Rate,IF(N(Salary_Calculation[[#This Row],[Basic Payment]])&gt;0,N(Salary_Calculation[[#This Row],[Basic Payment]])/Std_Orders,0)))</f>
        <v/>
      </c>
      <c r="K310" s="165" t="str">
        <f aca="false">IF(Salary_Calculation[[#This Row],[Source Row]]="","",MAX(MIN(N(Salary_Calculation[[#This Row],[Completed Orders]]),Salary_Calculation[[#This Row],[Rider Target Orders]]),0))</f>
        <v/>
      </c>
      <c r="L310" s="164" t="str">
        <f aca="false">IF(Salary_Calculation[[#This Row],[Source Row]]="","",Salary_Calculation[[#This Row],[Orders Counted at Base Rate]]*Salary_Calculation[[#This Row],[Base Order Rate]])</f>
        <v/>
      </c>
      <c r="M310" s="165" t="str">
        <f aca="false">IF(Salary_Calculation[[#This Row],[Source Row]]="","",MAX(Salary_Calculation[[#This Row],[Rider Target Orders]]-N(Salary_Calculation[[#This Row],[Completed Orders]]),0))</f>
        <v/>
      </c>
      <c r="N310" s="164" t="str">
        <f aca="false">IF(Salary_Calculation[[#This Row],[Source Row]]="","",Salary_Calculation[[#This Row],[Missing Orders]]*Missing_Rate)</f>
        <v/>
      </c>
      <c r="O310" s="165" t="str">
        <f aca="false">IF(Salary_Calculation[[#This Row],[Source Row]]="","",MAX(N(Salary_Calculation[[#This Row],[Completed Orders]])-Salary_Calculation[[#This Row],[Rider Target Orders]],0))</f>
        <v/>
      </c>
      <c r="P310" s="164" t="str">
        <f aca="false">IF(Salary_Calculation[[#This Row],[Source Row]]="","",Salary_Calculation[[#This Row],[Extra Orders]]*Extra_Rate)</f>
        <v/>
      </c>
      <c r="Q310" s="164" t="str">
        <f aca="false">IF(Salary_Calculation[[#This Row],[Source Row]]="","",MAX(Salary_Calculation[[#This Row],[Salary Before Other Deductions]],0))</f>
        <v/>
      </c>
      <c r="R310" s="164" t="str">
        <f aca="false">IF(Salary_Calculation[[#This Row],[Source Row]]="","",N(INDEX(Rider_Input[missed_days_penalty],Salary_Calculation[[#This Row],[Source Row]])))</f>
        <v/>
      </c>
      <c r="S310" s="164" t="str">
        <f aca="false">IF(Salary_Calculation[[#This Row],[Source Row]]="","",N(INDEX(Rider_Input[Rider Balance / محفظة المندوب],Salary_Calculation[[#This Row],[Source Row]])))</f>
        <v/>
      </c>
      <c r="T310" s="164" t="str">
        <f aca="false">IF(Salary_Calculation[[#This Row],[Source Row]]="","",N(INDEX(Rider_Input[stacking_deduction / خصم الطلبات المتعددة],Salary_Calculation[[#This Row],[Source Row]])))</f>
        <v/>
      </c>
      <c r="U310" s="164" t="str">
        <f aca="false">IF(Salary_Calculation[[#This Row],[Source Row]]="","",N(INDEX(Rider_Input[Other Deductions],Salary_Calculation[[#This Row],[Source Row]])))</f>
        <v/>
      </c>
      <c r="V310" s="164" t="str">
        <f aca="false">IF(Salary_Calculation[[#This Row],[Source Row]]="","",N(Salary_Calculation[[#This Row],[missed_days_penalty]])+N(Salary_Calculation[[#This Row],[Rider Balance]])+N(Salary_Calculation[[#This Row],[stacking_deduction]])+N(Salary_Calculation[[#This Row],[Other Deductions]]))</f>
        <v/>
      </c>
      <c r="W310" s="167" t="str">
        <f aca="false">IF(Salary_Calculation[[#This Row],[Source Row]]="","",ROUND(MAX(Salary_Calculation[[#This Row],[Gross Salary Before Deductions]]-Salary_Calculation[[#This Row],[Total Deductions]],0),2))</f>
        <v/>
      </c>
      <c r="X310" s="164" t="str">
        <f aca="false">IF(Salary_Calculation[[#This Row],[Source Row]]="","",ROUND(MAX(Salary_Calculation[[#This Row],[Missing-Order Deduction]]-Salary_Calculation[[#This Row],[Earned Salary]],0),2))</f>
        <v/>
      </c>
      <c r="Y31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10" s="163" t="str">
        <f aca="false">IF(Salary_Calculation[[#This Row],[Source Row]]="","",IF(INDEX(Rider_Input[Notes],Salary_Calculation[[#This Row],[Source Row]])="","",INDEX(Rider_Input[Notes],Salary_Calculation[[#This Row],[Source Row]])))</f>
        <v/>
      </c>
      <c r="AA310" s="164" t="str">
        <f aca="false">IF(Salary_Calculation[[#This Row],[Source Row]]="","",Salary_Calculation[[#This Row],[Earned Salary]]-Salary_Calculation[[#This Row],[Missing-Order Deduction]]+Salary_Calculation[[#This Row],[Extra-Order Bonus]])</f>
        <v/>
      </c>
      <c r="AB310" s="164" t="str">
        <f aca="false">IF(Salary_Calculation[[#This Row],[Source Row]]="","",ROUND(Salary_Calculation[[#This Row],[Negative Balance / Amount Due from Rider]]+MAX(Salary_Calculation[[#This Row],[Total Deductions]]-Salary_Calculation[[#This Row],[Gross Salary Before Deductions]],0),2))</f>
        <v/>
      </c>
      <c r="AC31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10" s="164" t="str">
        <f aca="false">IF(Salary_Calculation[[#This Row],[Source Row]]="","",Salary_Calculation[[#This Row],[Rider Target Orders]]*Salary_Calculation[[#This Row],[Base Order Rate]])</f>
        <v/>
      </c>
      <c r="AE310" s="162" t="str">
        <f aca="false">IF(SUMPRODUCT(--(LEN(INDEX(Rider_Input[#Data],ROW()-ROW(Salary_Calculation[#Headers]),0))&gt;0))=0,"",ROW()-ROW(Salary_Calculation[#Headers]))</f>
        <v/>
      </c>
    </row>
    <row r="311" customFormat="false" ht="14.25" hidden="false" customHeight="false" outlineLevel="0" collapsed="false">
      <c r="A311" s="161" t="str">
        <f aca="false">IF(Salary_Calculation[[#This Row],[Source Row]]="","",IF(INDEX(Rider_Input[Salary Month],Salary_Calculation[[#This Row],[Source Row]])="","",INDEX(Rider_Input[Salary Month],Salary_Calculation[[#This Row],[Source Row]])))</f>
        <v/>
      </c>
      <c r="B311" s="162" t="str">
        <f aca="false">IF(Salary_Calculation[[#This Row],[Source Row]]="","",IF(INDEX(Rider_Input[Rider ID],Salary_Calculation[[#This Row],[Source Row]])="","",INDEX(Rider_Input[Rider ID],Salary_Calculation[[#This Row],[Source Row]])))</f>
        <v/>
      </c>
      <c r="C311" s="163" t="str">
        <f aca="false">IF(Salary_Calculation[[#This Row],[Source Row]]="","",IF(INDEX(Rider_Input[Rider Name],Salary_Calculation[[#This Row],[Source Row]])="","",INDEX(Rider_Input[Rider Name],Salary_Calculation[[#This Row],[Source Row]])))</f>
        <v/>
      </c>
      <c r="D311" s="164" t="str">
        <f aca="false">IF(Salary_Calculation[[#This Row],[Source Row]]="","",IF(INDEX(Rider_Input[Basic Payment],Salary_Calculation[[#This Row],[Source Row]])="","",INDEX(Rider_Input[Basic Payment],Salary_Calculation[[#This Row],[Source Row]])))</f>
        <v/>
      </c>
      <c r="E311" s="162" t="str">
        <f aca="false">IF(Salary_Calculation[[#This Row],[Source Row]]="","",IF(INDEX(Rider_Input[Calendar Days in Month],Salary_Calculation[[#This Row],[Source Row]])="","",INDEX(Rider_Input[Calendar Days in Month],Salary_Calculation[[#This Row],[Source Row]])))</f>
        <v/>
      </c>
      <c r="F311" s="162" t="str">
        <f aca="false">IF(Salary_Calculation[[#This Row],[Source Row]]="","",IF(INDEX(Rider_Input[Working Days],Salary_Calculation[[#This Row],[Source Row]])="","",INDEX(Rider_Input[Working Days],Salary_Calculation[[#This Row],[Source Row]])))</f>
        <v/>
      </c>
      <c r="G311" s="165" t="str">
        <f aca="false">IF(Salary_Calculation[[#This Row],[Source Row]]="","",Std_Orders/Std_Days*N(Salary_Calculation[[#This Row],[Calendar Days]]))</f>
        <v/>
      </c>
      <c r="H311" s="165" t="str">
        <f aca="false">IF(Salary_Calculation[[#This Row],[Source Row]]="","",IF(N(Salary_Calculation[[#This Row],[Calendar Days]])&gt;0,Salary_Calculation[[#This Row],[Monthly Target Orders]]/N(Salary_Calculation[[#This Row],[Calendar Days]])*N(Salary_Calculation[[#This Row],[Working Days]]),0))</f>
        <v/>
      </c>
      <c r="I311" s="166" t="str">
        <f aca="false">IF(Salary_Calculation[[#This Row],[Source Row]]="","",IF(INDEX(Rider_Input[Completed Orders],Salary_Calculation[[#This Row],[Source Row]])="","",INDEX(Rider_Input[Completed Orders],Salary_Calculation[[#This Row],[Source Row]])))</f>
        <v/>
      </c>
      <c r="J311" s="165" t="str">
        <f aca="false">IF(Salary_Calculation[[#This Row],[Source Row]]="","",IF(Rate_Method="Fixed rate",Fixed_Rate,IF(N(Salary_Calculation[[#This Row],[Basic Payment]])&gt;0,N(Salary_Calculation[[#This Row],[Basic Payment]])/Std_Orders,0)))</f>
        <v/>
      </c>
      <c r="K311" s="165" t="str">
        <f aca="false">IF(Salary_Calculation[[#This Row],[Source Row]]="","",MAX(MIN(N(Salary_Calculation[[#This Row],[Completed Orders]]),Salary_Calculation[[#This Row],[Rider Target Orders]]),0))</f>
        <v/>
      </c>
      <c r="L311" s="164" t="str">
        <f aca="false">IF(Salary_Calculation[[#This Row],[Source Row]]="","",Salary_Calculation[[#This Row],[Orders Counted at Base Rate]]*Salary_Calculation[[#This Row],[Base Order Rate]])</f>
        <v/>
      </c>
      <c r="M311" s="165" t="str">
        <f aca="false">IF(Salary_Calculation[[#This Row],[Source Row]]="","",MAX(Salary_Calculation[[#This Row],[Rider Target Orders]]-N(Salary_Calculation[[#This Row],[Completed Orders]]),0))</f>
        <v/>
      </c>
      <c r="N311" s="164" t="str">
        <f aca="false">IF(Salary_Calculation[[#This Row],[Source Row]]="","",Salary_Calculation[[#This Row],[Missing Orders]]*Missing_Rate)</f>
        <v/>
      </c>
      <c r="O311" s="165" t="str">
        <f aca="false">IF(Salary_Calculation[[#This Row],[Source Row]]="","",MAX(N(Salary_Calculation[[#This Row],[Completed Orders]])-Salary_Calculation[[#This Row],[Rider Target Orders]],0))</f>
        <v/>
      </c>
      <c r="P311" s="164" t="str">
        <f aca="false">IF(Salary_Calculation[[#This Row],[Source Row]]="","",Salary_Calculation[[#This Row],[Extra Orders]]*Extra_Rate)</f>
        <v/>
      </c>
      <c r="Q311" s="164" t="str">
        <f aca="false">IF(Salary_Calculation[[#This Row],[Source Row]]="","",MAX(Salary_Calculation[[#This Row],[Salary Before Other Deductions]],0))</f>
        <v/>
      </c>
      <c r="R311" s="164" t="str">
        <f aca="false">IF(Salary_Calculation[[#This Row],[Source Row]]="","",N(INDEX(Rider_Input[missed_days_penalty],Salary_Calculation[[#This Row],[Source Row]])))</f>
        <v/>
      </c>
      <c r="S311" s="164" t="str">
        <f aca="false">IF(Salary_Calculation[[#This Row],[Source Row]]="","",N(INDEX(Rider_Input[Rider Balance / محفظة المندوب],Salary_Calculation[[#This Row],[Source Row]])))</f>
        <v/>
      </c>
      <c r="T311" s="164" t="str">
        <f aca="false">IF(Salary_Calculation[[#This Row],[Source Row]]="","",N(INDEX(Rider_Input[stacking_deduction / خصم الطلبات المتعددة],Salary_Calculation[[#This Row],[Source Row]])))</f>
        <v/>
      </c>
      <c r="U311" s="164" t="str">
        <f aca="false">IF(Salary_Calculation[[#This Row],[Source Row]]="","",N(INDEX(Rider_Input[Other Deductions],Salary_Calculation[[#This Row],[Source Row]])))</f>
        <v/>
      </c>
      <c r="V311" s="164" t="str">
        <f aca="false">IF(Salary_Calculation[[#This Row],[Source Row]]="","",N(Salary_Calculation[[#This Row],[missed_days_penalty]])+N(Salary_Calculation[[#This Row],[Rider Balance]])+N(Salary_Calculation[[#This Row],[stacking_deduction]])+N(Salary_Calculation[[#This Row],[Other Deductions]]))</f>
        <v/>
      </c>
      <c r="W311" s="167" t="str">
        <f aca="false">IF(Salary_Calculation[[#This Row],[Source Row]]="","",ROUND(MAX(Salary_Calculation[[#This Row],[Gross Salary Before Deductions]]-Salary_Calculation[[#This Row],[Total Deductions]],0),2))</f>
        <v/>
      </c>
      <c r="X311" s="164" t="str">
        <f aca="false">IF(Salary_Calculation[[#This Row],[Source Row]]="","",ROUND(MAX(Salary_Calculation[[#This Row],[Missing-Order Deduction]]-Salary_Calculation[[#This Row],[Earned Salary]],0),2))</f>
        <v/>
      </c>
      <c r="Y31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11" s="163" t="str">
        <f aca="false">IF(Salary_Calculation[[#This Row],[Source Row]]="","",IF(INDEX(Rider_Input[Notes],Salary_Calculation[[#This Row],[Source Row]])="","",INDEX(Rider_Input[Notes],Salary_Calculation[[#This Row],[Source Row]])))</f>
        <v/>
      </c>
      <c r="AA311" s="164" t="str">
        <f aca="false">IF(Salary_Calculation[[#This Row],[Source Row]]="","",Salary_Calculation[[#This Row],[Earned Salary]]-Salary_Calculation[[#This Row],[Missing-Order Deduction]]+Salary_Calculation[[#This Row],[Extra-Order Bonus]])</f>
        <v/>
      </c>
      <c r="AB311" s="164" t="str">
        <f aca="false">IF(Salary_Calculation[[#This Row],[Source Row]]="","",ROUND(Salary_Calculation[[#This Row],[Negative Balance / Amount Due from Rider]]+MAX(Salary_Calculation[[#This Row],[Total Deductions]]-Salary_Calculation[[#This Row],[Gross Salary Before Deductions]],0),2))</f>
        <v/>
      </c>
      <c r="AC31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11" s="164" t="str">
        <f aca="false">IF(Salary_Calculation[[#This Row],[Source Row]]="","",Salary_Calculation[[#This Row],[Rider Target Orders]]*Salary_Calculation[[#This Row],[Base Order Rate]])</f>
        <v/>
      </c>
      <c r="AE311" s="162" t="str">
        <f aca="false">IF(SUMPRODUCT(--(LEN(INDEX(Rider_Input[#Data],ROW()-ROW(Salary_Calculation[#Headers]),0))&gt;0))=0,"",ROW()-ROW(Salary_Calculation[#Headers]))</f>
        <v/>
      </c>
    </row>
    <row r="312" customFormat="false" ht="14.25" hidden="false" customHeight="false" outlineLevel="0" collapsed="false">
      <c r="A312" s="161" t="str">
        <f aca="false">IF(Salary_Calculation[[#This Row],[Source Row]]="","",IF(INDEX(Rider_Input[Salary Month],Salary_Calculation[[#This Row],[Source Row]])="","",INDEX(Rider_Input[Salary Month],Salary_Calculation[[#This Row],[Source Row]])))</f>
        <v/>
      </c>
      <c r="B312" s="162" t="str">
        <f aca="false">IF(Salary_Calculation[[#This Row],[Source Row]]="","",IF(INDEX(Rider_Input[Rider ID],Salary_Calculation[[#This Row],[Source Row]])="","",INDEX(Rider_Input[Rider ID],Salary_Calculation[[#This Row],[Source Row]])))</f>
        <v/>
      </c>
      <c r="C312" s="163" t="str">
        <f aca="false">IF(Salary_Calculation[[#This Row],[Source Row]]="","",IF(INDEX(Rider_Input[Rider Name],Salary_Calculation[[#This Row],[Source Row]])="","",INDEX(Rider_Input[Rider Name],Salary_Calculation[[#This Row],[Source Row]])))</f>
        <v/>
      </c>
      <c r="D312" s="164" t="str">
        <f aca="false">IF(Salary_Calculation[[#This Row],[Source Row]]="","",IF(INDEX(Rider_Input[Basic Payment],Salary_Calculation[[#This Row],[Source Row]])="","",INDEX(Rider_Input[Basic Payment],Salary_Calculation[[#This Row],[Source Row]])))</f>
        <v/>
      </c>
      <c r="E312" s="162" t="str">
        <f aca="false">IF(Salary_Calculation[[#This Row],[Source Row]]="","",IF(INDEX(Rider_Input[Calendar Days in Month],Salary_Calculation[[#This Row],[Source Row]])="","",INDEX(Rider_Input[Calendar Days in Month],Salary_Calculation[[#This Row],[Source Row]])))</f>
        <v/>
      </c>
      <c r="F312" s="162" t="str">
        <f aca="false">IF(Salary_Calculation[[#This Row],[Source Row]]="","",IF(INDEX(Rider_Input[Working Days],Salary_Calculation[[#This Row],[Source Row]])="","",INDEX(Rider_Input[Working Days],Salary_Calculation[[#This Row],[Source Row]])))</f>
        <v/>
      </c>
      <c r="G312" s="165" t="str">
        <f aca="false">IF(Salary_Calculation[[#This Row],[Source Row]]="","",Std_Orders/Std_Days*N(Salary_Calculation[[#This Row],[Calendar Days]]))</f>
        <v/>
      </c>
      <c r="H312" s="165" t="str">
        <f aca="false">IF(Salary_Calculation[[#This Row],[Source Row]]="","",IF(N(Salary_Calculation[[#This Row],[Calendar Days]])&gt;0,Salary_Calculation[[#This Row],[Monthly Target Orders]]/N(Salary_Calculation[[#This Row],[Calendar Days]])*N(Salary_Calculation[[#This Row],[Working Days]]),0))</f>
        <v/>
      </c>
      <c r="I312" s="166" t="str">
        <f aca="false">IF(Salary_Calculation[[#This Row],[Source Row]]="","",IF(INDEX(Rider_Input[Completed Orders],Salary_Calculation[[#This Row],[Source Row]])="","",INDEX(Rider_Input[Completed Orders],Salary_Calculation[[#This Row],[Source Row]])))</f>
        <v/>
      </c>
      <c r="J312" s="165" t="str">
        <f aca="false">IF(Salary_Calculation[[#This Row],[Source Row]]="","",IF(Rate_Method="Fixed rate",Fixed_Rate,IF(N(Salary_Calculation[[#This Row],[Basic Payment]])&gt;0,N(Salary_Calculation[[#This Row],[Basic Payment]])/Std_Orders,0)))</f>
        <v/>
      </c>
      <c r="K312" s="165" t="str">
        <f aca="false">IF(Salary_Calculation[[#This Row],[Source Row]]="","",MAX(MIN(N(Salary_Calculation[[#This Row],[Completed Orders]]),Salary_Calculation[[#This Row],[Rider Target Orders]]),0))</f>
        <v/>
      </c>
      <c r="L312" s="164" t="str">
        <f aca="false">IF(Salary_Calculation[[#This Row],[Source Row]]="","",Salary_Calculation[[#This Row],[Orders Counted at Base Rate]]*Salary_Calculation[[#This Row],[Base Order Rate]])</f>
        <v/>
      </c>
      <c r="M312" s="165" t="str">
        <f aca="false">IF(Salary_Calculation[[#This Row],[Source Row]]="","",MAX(Salary_Calculation[[#This Row],[Rider Target Orders]]-N(Salary_Calculation[[#This Row],[Completed Orders]]),0))</f>
        <v/>
      </c>
      <c r="N312" s="164" t="str">
        <f aca="false">IF(Salary_Calculation[[#This Row],[Source Row]]="","",Salary_Calculation[[#This Row],[Missing Orders]]*Missing_Rate)</f>
        <v/>
      </c>
      <c r="O312" s="165" t="str">
        <f aca="false">IF(Salary_Calculation[[#This Row],[Source Row]]="","",MAX(N(Salary_Calculation[[#This Row],[Completed Orders]])-Salary_Calculation[[#This Row],[Rider Target Orders]],0))</f>
        <v/>
      </c>
      <c r="P312" s="164" t="str">
        <f aca="false">IF(Salary_Calculation[[#This Row],[Source Row]]="","",Salary_Calculation[[#This Row],[Extra Orders]]*Extra_Rate)</f>
        <v/>
      </c>
      <c r="Q312" s="164" t="str">
        <f aca="false">IF(Salary_Calculation[[#This Row],[Source Row]]="","",MAX(Salary_Calculation[[#This Row],[Salary Before Other Deductions]],0))</f>
        <v/>
      </c>
      <c r="R312" s="164" t="str">
        <f aca="false">IF(Salary_Calculation[[#This Row],[Source Row]]="","",N(INDEX(Rider_Input[missed_days_penalty],Salary_Calculation[[#This Row],[Source Row]])))</f>
        <v/>
      </c>
      <c r="S312" s="164" t="str">
        <f aca="false">IF(Salary_Calculation[[#This Row],[Source Row]]="","",N(INDEX(Rider_Input[Rider Balance / محفظة المندوب],Salary_Calculation[[#This Row],[Source Row]])))</f>
        <v/>
      </c>
      <c r="T312" s="164" t="str">
        <f aca="false">IF(Salary_Calculation[[#This Row],[Source Row]]="","",N(INDEX(Rider_Input[stacking_deduction / خصم الطلبات المتعددة],Salary_Calculation[[#This Row],[Source Row]])))</f>
        <v/>
      </c>
      <c r="U312" s="164" t="str">
        <f aca="false">IF(Salary_Calculation[[#This Row],[Source Row]]="","",N(INDEX(Rider_Input[Other Deductions],Salary_Calculation[[#This Row],[Source Row]])))</f>
        <v/>
      </c>
      <c r="V312" s="164" t="str">
        <f aca="false">IF(Salary_Calculation[[#This Row],[Source Row]]="","",N(Salary_Calculation[[#This Row],[missed_days_penalty]])+N(Salary_Calculation[[#This Row],[Rider Balance]])+N(Salary_Calculation[[#This Row],[stacking_deduction]])+N(Salary_Calculation[[#This Row],[Other Deductions]]))</f>
        <v/>
      </c>
      <c r="W312" s="167" t="str">
        <f aca="false">IF(Salary_Calculation[[#This Row],[Source Row]]="","",ROUND(MAX(Salary_Calculation[[#This Row],[Gross Salary Before Deductions]]-Salary_Calculation[[#This Row],[Total Deductions]],0),2))</f>
        <v/>
      </c>
      <c r="X312" s="164" t="str">
        <f aca="false">IF(Salary_Calculation[[#This Row],[Source Row]]="","",ROUND(MAX(Salary_Calculation[[#This Row],[Missing-Order Deduction]]-Salary_Calculation[[#This Row],[Earned Salary]],0),2))</f>
        <v/>
      </c>
      <c r="Y31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12" s="163" t="str">
        <f aca="false">IF(Salary_Calculation[[#This Row],[Source Row]]="","",IF(INDEX(Rider_Input[Notes],Salary_Calculation[[#This Row],[Source Row]])="","",INDEX(Rider_Input[Notes],Salary_Calculation[[#This Row],[Source Row]])))</f>
        <v/>
      </c>
      <c r="AA312" s="164" t="str">
        <f aca="false">IF(Salary_Calculation[[#This Row],[Source Row]]="","",Salary_Calculation[[#This Row],[Earned Salary]]-Salary_Calculation[[#This Row],[Missing-Order Deduction]]+Salary_Calculation[[#This Row],[Extra-Order Bonus]])</f>
        <v/>
      </c>
      <c r="AB312" s="164" t="str">
        <f aca="false">IF(Salary_Calculation[[#This Row],[Source Row]]="","",ROUND(Salary_Calculation[[#This Row],[Negative Balance / Amount Due from Rider]]+MAX(Salary_Calculation[[#This Row],[Total Deductions]]-Salary_Calculation[[#This Row],[Gross Salary Before Deductions]],0),2))</f>
        <v/>
      </c>
      <c r="AC31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12" s="164" t="str">
        <f aca="false">IF(Salary_Calculation[[#This Row],[Source Row]]="","",Salary_Calculation[[#This Row],[Rider Target Orders]]*Salary_Calculation[[#This Row],[Base Order Rate]])</f>
        <v/>
      </c>
      <c r="AE312" s="162" t="str">
        <f aca="false">IF(SUMPRODUCT(--(LEN(INDEX(Rider_Input[#Data],ROW()-ROW(Salary_Calculation[#Headers]),0))&gt;0))=0,"",ROW()-ROW(Salary_Calculation[#Headers]))</f>
        <v/>
      </c>
    </row>
    <row r="313" customFormat="false" ht="14.25" hidden="false" customHeight="false" outlineLevel="0" collapsed="false">
      <c r="A313" s="161" t="str">
        <f aca="false">IF(Salary_Calculation[[#This Row],[Source Row]]="","",IF(INDEX(Rider_Input[Salary Month],Salary_Calculation[[#This Row],[Source Row]])="","",INDEX(Rider_Input[Salary Month],Salary_Calculation[[#This Row],[Source Row]])))</f>
        <v/>
      </c>
      <c r="B313" s="162" t="str">
        <f aca="false">IF(Salary_Calculation[[#This Row],[Source Row]]="","",IF(INDEX(Rider_Input[Rider ID],Salary_Calculation[[#This Row],[Source Row]])="","",INDEX(Rider_Input[Rider ID],Salary_Calculation[[#This Row],[Source Row]])))</f>
        <v/>
      </c>
      <c r="C313" s="163" t="str">
        <f aca="false">IF(Salary_Calculation[[#This Row],[Source Row]]="","",IF(INDEX(Rider_Input[Rider Name],Salary_Calculation[[#This Row],[Source Row]])="","",INDEX(Rider_Input[Rider Name],Salary_Calculation[[#This Row],[Source Row]])))</f>
        <v/>
      </c>
      <c r="D313" s="164" t="str">
        <f aca="false">IF(Salary_Calculation[[#This Row],[Source Row]]="","",IF(INDEX(Rider_Input[Basic Payment],Salary_Calculation[[#This Row],[Source Row]])="","",INDEX(Rider_Input[Basic Payment],Salary_Calculation[[#This Row],[Source Row]])))</f>
        <v/>
      </c>
      <c r="E313" s="162" t="str">
        <f aca="false">IF(Salary_Calculation[[#This Row],[Source Row]]="","",IF(INDEX(Rider_Input[Calendar Days in Month],Salary_Calculation[[#This Row],[Source Row]])="","",INDEX(Rider_Input[Calendar Days in Month],Salary_Calculation[[#This Row],[Source Row]])))</f>
        <v/>
      </c>
      <c r="F313" s="162" t="str">
        <f aca="false">IF(Salary_Calculation[[#This Row],[Source Row]]="","",IF(INDEX(Rider_Input[Working Days],Salary_Calculation[[#This Row],[Source Row]])="","",INDEX(Rider_Input[Working Days],Salary_Calculation[[#This Row],[Source Row]])))</f>
        <v/>
      </c>
      <c r="G313" s="165" t="str">
        <f aca="false">IF(Salary_Calculation[[#This Row],[Source Row]]="","",Std_Orders/Std_Days*N(Salary_Calculation[[#This Row],[Calendar Days]]))</f>
        <v/>
      </c>
      <c r="H313" s="165" t="str">
        <f aca="false">IF(Salary_Calculation[[#This Row],[Source Row]]="","",IF(N(Salary_Calculation[[#This Row],[Calendar Days]])&gt;0,Salary_Calculation[[#This Row],[Monthly Target Orders]]/N(Salary_Calculation[[#This Row],[Calendar Days]])*N(Salary_Calculation[[#This Row],[Working Days]]),0))</f>
        <v/>
      </c>
      <c r="I313" s="166" t="str">
        <f aca="false">IF(Salary_Calculation[[#This Row],[Source Row]]="","",IF(INDEX(Rider_Input[Completed Orders],Salary_Calculation[[#This Row],[Source Row]])="","",INDEX(Rider_Input[Completed Orders],Salary_Calculation[[#This Row],[Source Row]])))</f>
        <v/>
      </c>
      <c r="J313" s="165" t="str">
        <f aca="false">IF(Salary_Calculation[[#This Row],[Source Row]]="","",IF(Rate_Method="Fixed rate",Fixed_Rate,IF(N(Salary_Calculation[[#This Row],[Basic Payment]])&gt;0,N(Salary_Calculation[[#This Row],[Basic Payment]])/Std_Orders,0)))</f>
        <v/>
      </c>
      <c r="K313" s="165" t="str">
        <f aca="false">IF(Salary_Calculation[[#This Row],[Source Row]]="","",MAX(MIN(N(Salary_Calculation[[#This Row],[Completed Orders]]),Salary_Calculation[[#This Row],[Rider Target Orders]]),0))</f>
        <v/>
      </c>
      <c r="L313" s="164" t="str">
        <f aca="false">IF(Salary_Calculation[[#This Row],[Source Row]]="","",Salary_Calculation[[#This Row],[Orders Counted at Base Rate]]*Salary_Calculation[[#This Row],[Base Order Rate]])</f>
        <v/>
      </c>
      <c r="M313" s="165" t="str">
        <f aca="false">IF(Salary_Calculation[[#This Row],[Source Row]]="","",MAX(Salary_Calculation[[#This Row],[Rider Target Orders]]-N(Salary_Calculation[[#This Row],[Completed Orders]]),0))</f>
        <v/>
      </c>
      <c r="N313" s="164" t="str">
        <f aca="false">IF(Salary_Calculation[[#This Row],[Source Row]]="","",Salary_Calculation[[#This Row],[Missing Orders]]*Missing_Rate)</f>
        <v/>
      </c>
      <c r="O313" s="165" t="str">
        <f aca="false">IF(Salary_Calculation[[#This Row],[Source Row]]="","",MAX(N(Salary_Calculation[[#This Row],[Completed Orders]])-Salary_Calculation[[#This Row],[Rider Target Orders]],0))</f>
        <v/>
      </c>
      <c r="P313" s="164" t="str">
        <f aca="false">IF(Salary_Calculation[[#This Row],[Source Row]]="","",Salary_Calculation[[#This Row],[Extra Orders]]*Extra_Rate)</f>
        <v/>
      </c>
      <c r="Q313" s="164" t="str">
        <f aca="false">IF(Salary_Calculation[[#This Row],[Source Row]]="","",MAX(Salary_Calculation[[#This Row],[Salary Before Other Deductions]],0))</f>
        <v/>
      </c>
      <c r="R313" s="164" t="str">
        <f aca="false">IF(Salary_Calculation[[#This Row],[Source Row]]="","",N(INDEX(Rider_Input[missed_days_penalty],Salary_Calculation[[#This Row],[Source Row]])))</f>
        <v/>
      </c>
      <c r="S313" s="164" t="str">
        <f aca="false">IF(Salary_Calculation[[#This Row],[Source Row]]="","",N(INDEX(Rider_Input[Rider Balance / محفظة المندوب],Salary_Calculation[[#This Row],[Source Row]])))</f>
        <v/>
      </c>
      <c r="T313" s="164" t="str">
        <f aca="false">IF(Salary_Calculation[[#This Row],[Source Row]]="","",N(INDEX(Rider_Input[stacking_deduction / خصم الطلبات المتعددة],Salary_Calculation[[#This Row],[Source Row]])))</f>
        <v/>
      </c>
      <c r="U313" s="164" t="str">
        <f aca="false">IF(Salary_Calculation[[#This Row],[Source Row]]="","",N(INDEX(Rider_Input[Other Deductions],Salary_Calculation[[#This Row],[Source Row]])))</f>
        <v/>
      </c>
      <c r="V313" s="164" t="str">
        <f aca="false">IF(Salary_Calculation[[#This Row],[Source Row]]="","",N(Salary_Calculation[[#This Row],[missed_days_penalty]])+N(Salary_Calculation[[#This Row],[Rider Balance]])+N(Salary_Calculation[[#This Row],[stacking_deduction]])+N(Salary_Calculation[[#This Row],[Other Deductions]]))</f>
        <v/>
      </c>
      <c r="W313" s="167" t="str">
        <f aca="false">IF(Salary_Calculation[[#This Row],[Source Row]]="","",ROUND(MAX(Salary_Calculation[[#This Row],[Gross Salary Before Deductions]]-Salary_Calculation[[#This Row],[Total Deductions]],0),2))</f>
        <v/>
      </c>
      <c r="X313" s="164" t="str">
        <f aca="false">IF(Salary_Calculation[[#This Row],[Source Row]]="","",ROUND(MAX(Salary_Calculation[[#This Row],[Missing-Order Deduction]]-Salary_Calculation[[#This Row],[Earned Salary]],0),2))</f>
        <v/>
      </c>
      <c r="Y31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13" s="163" t="str">
        <f aca="false">IF(Salary_Calculation[[#This Row],[Source Row]]="","",IF(INDEX(Rider_Input[Notes],Salary_Calculation[[#This Row],[Source Row]])="","",INDEX(Rider_Input[Notes],Salary_Calculation[[#This Row],[Source Row]])))</f>
        <v/>
      </c>
      <c r="AA313" s="164" t="str">
        <f aca="false">IF(Salary_Calculation[[#This Row],[Source Row]]="","",Salary_Calculation[[#This Row],[Earned Salary]]-Salary_Calculation[[#This Row],[Missing-Order Deduction]]+Salary_Calculation[[#This Row],[Extra-Order Bonus]])</f>
        <v/>
      </c>
      <c r="AB313" s="164" t="str">
        <f aca="false">IF(Salary_Calculation[[#This Row],[Source Row]]="","",ROUND(Salary_Calculation[[#This Row],[Negative Balance / Amount Due from Rider]]+MAX(Salary_Calculation[[#This Row],[Total Deductions]]-Salary_Calculation[[#This Row],[Gross Salary Before Deductions]],0),2))</f>
        <v/>
      </c>
      <c r="AC31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13" s="164" t="str">
        <f aca="false">IF(Salary_Calculation[[#This Row],[Source Row]]="","",Salary_Calculation[[#This Row],[Rider Target Orders]]*Salary_Calculation[[#This Row],[Base Order Rate]])</f>
        <v/>
      </c>
      <c r="AE313" s="162" t="str">
        <f aca="false">IF(SUMPRODUCT(--(LEN(INDEX(Rider_Input[#Data],ROW()-ROW(Salary_Calculation[#Headers]),0))&gt;0))=0,"",ROW()-ROW(Salary_Calculation[#Headers]))</f>
        <v/>
      </c>
    </row>
    <row r="314" customFormat="false" ht="14.25" hidden="false" customHeight="false" outlineLevel="0" collapsed="false">
      <c r="A314" s="161" t="str">
        <f aca="false">IF(Salary_Calculation[[#This Row],[Source Row]]="","",IF(INDEX(Rider_Input[Salary Month],Salary_Calculation[[#This Row],[Source Row]])="","",INDEX(Rider_Input[Salary Month],Salary_Calculation[[#This Row],[Source Row]])))</f>
        <v/>
      </c>
      <c r="B314" s="162" t="str">
        <f aca="false">IF(Salary_Calculation[[#This Row],[Source Row]]="","",IF(INDEX(Rider_Input[Rider ID],Salary_Calculation[[#This Row],[Source Row]])="","",INDEX(Rider_Input[Rider ID],Salary_Calculation[[#This Row],[Source Row]])))</f>
        <v/>
      </c>
      <c r="C314" s="163" t="str">
        <f aca="false">IF(Salary_Calculation[[#This Row],[Source Row]]="","",IF(INDEX(Rider_Input[Rider Name],Salary_Calculation[[#This Row],[Source Row]])="","",INDEX(Rider_Input[Rider Name],Salary_Calculation[[#This Row],[Source Row]])))</f>
        <v/>
      </c>
      <c r="D314" s="164" t="str">
        <f aca="false">IF(Salary_Calculation[[#This Row],[Source Row]]="","",IF(INDEX(Rider_Input[Basic Payment],Salary_Calculation[[#This Row],[Source Row]])="","",INDEX(Rider_Input[Basic Payment],Salary_Calculation[[#This Row],[Source Row]])))</f>
        <v/>
      </c>
      <c r="E314" s="162" t="str">
        <f aca="false">IF(Salary_Calculation[[#This Row],[Source Row]]="","",IF(INDEX(Rider_Input[Calendar Days in Month],Salary_Calculation[[#This Row],[Source Row]])="","",INDEX(Rider_Input[Calendar Days in Month],Salary_Calculation[[#This Row],[Source Row]])))</f>
        <v/>
      </c>
      <c r="F314" s="162" t="str">
        <f aca="false">IF(Salary_Calculation[[#This Row],[Source Row]]="","",IF(INDEX(Rider_Input[Working Days],Salary_Calculation[[#This Row],[Source Row]])="","",INDEX(Rider_Input[Working Days],Salary_Calculation[[#This Row],[Source Row]])))</f>
        <v/>
      </c>
      <c r="G314" s="165" t="str">
        <f aca="false">IF(Salary_Calculation[[#This Row],[Source Row]]="","",Std_Orders/Std_Days*N(Salary_Calculation[[#This Row],[Calendar Days]]))</f>
        <v/>
      </c>
      <c r="H314" s="165" t="str">
        <f aca="false">IF(Salary_Calculation[[#This Row],[Source Row]]="","",IF(N(Salary_Calculation[[#This Row],[Calendar Days]])&gt;0,Salary_Calculation[[#This Row],[Monthly Target Orders]]/N(Salary_Calculation[[#This Row],[Calendar Days]])*N(Salary_Calculation[[#This Row],[Working Days]]),0))</f>
        <v/>
      </c>
      <c r="I314" s="166" t="str">
        <f aca="false">IF(Salary_Calculation[[#This Row],[Source Row]]="","",IF(INDEX(Rider_Input[Completed Orders],Salary_Calculation[[#This Row],[Source Row]])="","",INDEX(Rider_Input[Completed Orders],Salary_Calculation[[#This Row],[Source Row]])))</f>
        <v/>
      </c>
      <c r="J314" s="165" t="str">
        <f aca="false">IF(Salary_Calculation[[#This Row],[Source Row]]="","",IF(Rate_Method="Fixed rate",Fixed_Rate,IF(N(Salary_Calculation[[#This Row],[Basic Payment]])&gt;0,N(Salary_Calculation[[#This Row],[Basic Payment]])/Std_Orders,0)))</f>
        <v/>
      </c>
      <c r="K314" s="165" t="str">
        <f aca="false">IF(Salary_Calculation[[#This Row],[Source Row]]="","",MAX(MIN(N(Salary_Calculation[[#This Row],[Completed Orders]]),Salary_Calculation[[#This Row],[Rider Target Orders]]),0))</f>
        <v/>
      </c>
      <c r="L314" s="164" t="str">
        <f aca="false">IF(Salary_Calculation[[#This Row],[Source Row]]="","",Salary_Calculation[[#This Row],[Orders Counted at Base Rate]]*Salary_Calculation[[#This Row],[Base Order Rate]])</f>
        <v/>
      </c>
      <c r="M314" s="165" t="str">
        <f aca="false">IF(Salary_Calculation[[#This Row],[Source Row]]="","",MAX(Salary_Calculation[[#This Row],[Rider Target Orders]]-N(Salary_Calculation[[#This Row],[Completed Orders]]),0))</f>
        <v/>
      </c>
      <c r="N314" s="164" t="str">
        <f aca="false">IF(Salary_Calculation[[#This Row],[Source Row]]="","",Salary_Calculation[[#This Row],[Missing Orders]]*Missing_Rate)</f>
        <v/>
      </c>
      <c r="O314" s="165" t="str">
        <f aca="false">IF(Salary_Calculation[[#This Row],[Source Row]]="","",MAX(N(Salary_Calculation[[#This Row],[Completed Orders]])-Salary_Calculation[[#This Row],[Rider Target Orders]],0))</f>
        <v/>
      </c>
      <c r="P314" s="164" t="str">
        <f aca="false">IF(Salary_Calculation[[#This Row],[Source Row]]="","",Salary_Calculation[[#This Row],[Extra Orders]]*Extra_Rate)</f>
        <v/>
      </c>
      <c r="Q314" s="164" t="str">
        <f aca="false">IF(Salary_Calculation[[#This Row],[Source Row]]="","",MAX(Salary_Calculation[[#This Row],[Salary Before Other Deductions]],0))</f>
        <v/>
      </c>
      <c r="R314" s="164" t="str">
        <f aca="false">IF(Salary_Calculation[[#This Row],[Source Row]]="","",N(INDEX(Rider_Input[missed_days_penalty],Salary_Calculation[[#This Row],[Source Row]])))</f>
        <v/>
      </c>
      <c r="S314" s="164" t="str">
        <f aca="false">IF(Salary_Calculation[[#This Row],[Source Row]]="","",N(INDEX(Rider_Input[Rider Balance / محفظة المندوب],Salary_Calculation[[#This Row],[Source Row]])))</f>
        <v/>
      </c>
      <c r="T314" s="164" t="str">
        <f aca="false">IF(Salary_Calculation[[#This Row],[Source Row]]="","",N(INDEX(Rider_Input[stacking_deduction / خصم الطلبات المتعددة],Salary_Calculation[[#This Row],[Source Row]])))</f>
        <v/>
      </c>
      <c r="U314" s="164" t="str">
        <f aca="false">IF(Salary_Calculation[[#This Row],[Source Row]]="","",N(INDEX(Rider_Input[Other Deductions],Salary_Calculation[[#This Row],[Source Row]])))</f>
        <v/>
      </c>
      <c r="V314" s="164" t="str">
        <f aca="false">IF(Salary_Calculation[[#This Row],[Source Row]]="","",N(Salary_Calculation[[#This Row],[missed_days_penalty]])+N(Salary_Calculation[[#This Row],[Rider Balance]])+N(Salary_Calculation[[#This Row],[stacking_deduction]])+N(Salary_Calculation[[#This Row],[Other Deductions]]))</f>
        <v/>
      </c>
      <c r="W314" s="167" t="str">
        <f aca="false">IF(Salary_Calculation[[#This Row],[Source Row]]="","",ROUND(MAX(Salary_Calculation[[#This Row],[Gross Salary Before Deductions]]-Salary_Calculation[[#This Row],[Total Deductions]],0),2))</f>
        <v/>
      </c>
      <c r="X314" s="164" t="str">
        <f aca="false">IF(Salary_Calculation[[#This Row],[Source Row]]="","",ROUND(MAX(Salary_Calculation[[#This Row],[Missing-Order Deduction]]-Salary_Calculation[[#This Row],[Earned Salary]],0),2))</f>
        <v/>
      </c>
      <c r="Y31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14" s="163" t="str">
        <f aca="false">IF(Salary_Calculation[[#This Row],[Source Row]]="","",IF(INDEX(Rider_Input[Notes],Salary_Calculation[[#This Row],[Source Row]])="","",INDEX(Rider_Input[Notes],Salary_Calculation[[#This Row],[Source Row]])))</f>
        <v/>
      </c>
      <c r="AA314" s="164" t="str">
        <f aca="false">IF(Salary_Calculation[[#This Row],[Source Row]]="","",Salary_Calculation[[#This Row],[Earned Salary]]-Salary_Calculation[[#This Row],[Missing-Order Deduction]]+Salary_Calculation[[#This Row],[Extra-Order Bonus]])</f>
        <v/>
      </c>
      <c r="AB314" s="164" t="str">
        <f aca="false">IF(Salary_Calculation[[#This Row],[Source Row]]="","",ROUND(Salary_Calculation[[#This Row],[Negative Balance / Amount Due from Rider]]+MAX(Salary_Calculation[[#This Row],[Total Deductions]]-Salary_Calculation[[#This Row],[Gross Salary Before Deductions]],0),2))</f>
        <v/>
      </c>
      <c r="AC31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14" s="164" t="str">
        <f aca="false">IF(Salary_Calculation[[#This Row],[Source Row]]="","",Salary_Calculation[[#This Row],[Rider Target Orders]]*Salary_Calculation[[#This Row],[Base Order Rate]])</f>
        <v/>
      </c>
      <c r="AE314" s="162" t="str">
        <f aca="false">IF(SUMPRODUCT(--(LEN(INDEX(Rider_Input[#Data],ROW()-ROW(Salary_Calculation[#Headers]),0))&gt;0))=0,"",ROW()-ROW(Salary_Calculation[#Headers]))</f>
        <v/>
      </c>
    </row>
    <row r="315" customFormat="false" ht="14.25" hidden="false" customHeight="false" outlineLevel="0" collapsed="false">
      <c r="A315" s="161" t="str">
        <f aca="false">IF(Salary_Calculation[[#This Row],[Source Row]]="","",IF(INDEX(Rider_Input[Salary Month],Salary_Calculation[[#This Row],[Source Row]])="","",INDEX(Rider_Input[Salary Month],Salary_Calculation[[#This Row],[Source Row]])))</f>
        <v/>
      </c>
      <c r="B315" s="162" t="str">
        <f aca="false">IF(Salary_Calculation[[#This Row],[Source Row]]="","",IF(INDEX(Rider_Input[Rider ID],Salary_Calculation[[#This Row],[Source Row]])="","",INDEX(Rider_Input[Rider ID],Salary_Calculation[[#This Row],[Source Row]])))</f>
        <v/>
      </c>
      <c r="C315" s="163" t="str">
        <f aca="false">IF(Salary_Calculation[[#This Row],[Source Row]]="","",IF(INDEX(Rider_Input[Rider Name],Salary_Calculation[[#This Row],[Source Row]])="","",INDEX(Rider_Input[Rider Name],Salary_Calculation[[#This Row],[Source Row]])))</f>
        <v/>
      </c>
      <c r="D315" s="164" t="str">
        <f aca="false">IF(Salary_Calculation[[#This Row],[Source Row]]="","",IF(INDEX(Rider_Input[Basic Payment],Salary_Calculation[[#This Row],[Source Row]])="","",INDEX(Rider_Input[Basic Payment],Salary_Calculation[[#This Row],[Source Row]])))</f>
        <v/>
      </c>
      <c r="E315" s="162" t="str">
        <f aca="false">IF(Salary_Calculation[[#This Row],[Source Row]]="","",IF(INDEX(Rider_Input[Calendar Days in Month],Salary_Calculation[[#This Row],[Source Row]])="","",INDEX(Rider_Input[Calendar Days in Month],Salary_Calculation[[#This Row],[Source Row]])))</f>
        <v/>
      </c>
      <c r="F315" s="162" t="str">
        <f aca="false">IF(Salary_Calculation[[#This Row],[Source Row]]="","",IF(INDEX(Rider_Input[Working Days],Salary_Calculation[[#This Row],[Source Row]])="","",INDEX(Rider_Input[Working Days],Salary_Calculation[[#This Row],[Source Row]])))</f>
        <v/>
      </c>
      <c r="G315" s="165" t="str">
        <f aca="false">IF(Salary_Calculation[[#This Row],[Source Row]]="","",Std_Orders/Std_Days*N(Salary_Calculation[[#This Row],[Calendar Days]]))</f>
        <v/>
      </c>
      <c r="H315" s="165" t="str">
        <f aca="false">IF(Salary_Calculation[[#This Row],[Source Row]]="","",IF(N(Salary_Calculation[[#This Row],[Calendar Days]])&gt;0,Salary_Calculation[[#This Row],[Monthly Target Orders]]/N(Salary_Calculation[[#This Row],[Calendar Days]])*N(Salary_Calculation[[#This Row],[Working Days]]),0))</f>
        <v/>
      </c>
      <c r="I315" s="166" t="str">
        <f aca="false">IF(Salary_Calculation[[#This Row],[Source Row]]="","",IF(INDEX(Rider_Input[Completed Orders],Salary_Calculation[[#This Row],[Source Row]])="","",INDEX(Rider_Input[Completed Orders],Salary_Calculation[[#This Row],[Source Row]])))</f>
        <v/>
      </c>
      <c r="J315" s="165" t="str">
        <f aca="false">IF(Salary_Calculation[[#This Row],[Source Row]]="","",IF(Rate_Method="Fixed rate",Fixed_Rate,IF(N(Salary_Calculation[[#This Row],[Basic Payment]])&gt;0,N(Salary_Calculation[[#This Row],[Basic Payment]])/Std_Orders,0)))</f>
        <v/>
      </c>
      <c r="K315" s="165" t="str">
        <f aca="false">IF(Salary_Calculation[[#This Row],[Source Row]]="","",MAX(MIN(N(Salary_Calculation[[#This Row],[Completed Orders]]),Salary_Calculation[[#This Row],[Rider Target Orders]]),0))</f>
        <v/>
      </c>
      <c r="L315" s="164" t="str">
        <f aca="false">IF(Salary_Calculation[[#This Row],[Source Row]]="","",Salary_Calculation[[#This Row],[Orders Counted at Base Rate]]*Salary_Calculation[[#This Row],[Base Order Rate]])</f>
        <v/>
      </c>
      <c r="M315" s="165" t="str">
        <f aca="false">IF(Salary_Calculation[[#This Row],[Source Row]]="","",MAX(Salary_Calculation[[#This Row],[Rider Target Orders]]-N(Salary_Calculation[[#This Row],[Completed Orders]]),0))</f>
        <v/>
      </c>
      <c r="N315" s="164" t="str">
        <f aca="false">IF(Salary_Calculation[[#This Row],[Source Row]]="","",Salary_Calculation[[#This Row],[Missing Orders]]*Missing_Rate)</f>
        <v/>
      </c>
      <c r="O315" s="165" t="str">
        <f aca="false">IF(Salary_Calculation[[#This Row],[Source Row]]="","",MAX(N(Salary_Calculation[[#This Row],[Completed Orders]])-Salary_Calculation[[#This Row],[Rider Target Orders]],0))</f>
        <v/>
      </c>
      <c r="P315" s="164" t="str">
        <f aca="false">IF(Salary_Calculation[[#This Row],[Source Row]]="","",Salary_Calculation[[#This Row],[Extra Orders]]*Extra_Rate)</f>
        <v/>
      </c>
      <c r="Q315" s="164" t="str">
        <f aca="false">IF(Salary_Calculation[[#This Row],[Source Row]]="","",MAX(Salary_Calculation[[#This Row],[Salary Before Other Deductions]],0))</f>
        <v/>
      </c>
      <c r="R315" s="164" t="str">
        <f aca="false">IF(Salary_Calculation[[#This Row],[Source Row]]="","",N(INDEX(Rider_Input[missed_days_penalty],Salary_Calculation[[#This Row],[Source Row]])))</f>
        <v/>
      </c>
      <c r="S315" s="164" t="str">
        <f aca="false">IF(Salary_Calculation[[#This Row],[Source Row]]="","",N(INDEX(Rider_Input[Rider Balance / محفظة المندوب],Salary_Calculation[[#This Row],[Source Row]])))</f>
        <v/>
      </c>
      <c r="T315" s="164" t="str">
        <f aca="false">IF(Salary_Calculation[[#This Row],[Source Row]]="","",N(INDEX(Rider_Input[stacking_deduction / خصم الطلبات المتعددة],Salary_Calculation[[#This Row],[Source Row]])))</f>
        <v/>
      </c>
      <c r="U315" s="164" t="str">
        <f aca="false">IF(Salary_Calculation[[#This Row],[Source Row]]="","",N(INDEX(Rider_Input[Other Deductions],Salary_Calculation[[#This Row],[Source Row]])))</f>
        <v/>
      </c>
      <c r="V315" s="164" t="str">
        <f aca="false">IF(Salary_Calculation[[#This Row],[Source Row]]="","",N(Salary_Calculation[[#This Row],[missed_days_penalty]])+N(Salary_Calculation[[#This Row],[Rider Balance]])+N(Salary_Calculation[[#This Row],[stacking_deduction]])+N(Salary_Calculation[[#This Row],[Other Deductions]]))</f>
        <v/>
      </c>
      <c r="W315" s="167" t="str">
        <f aca="false">IF(Salary_Calculation[[#This Row],[Source Row]]="","",ROUND(MAX(Salary_Calculation[[#This Row],[Gross Salary Before Deductions]]-Salary_Calculation[[#This Row],[Total Deductions]],0),2))</f>
        <v/>
      </c>
      <c r="X315" s="164" t="str">
        <f aca="false">IF(Salary_Calculation[[#This Row],[Source Row]]="","",ROUND(MAX(Salary_Calculation[[#This Row],[Missing-Order Deduction]]-Salary_Calculation[[#This Row],[Earned Salary]],0),2))</f>
        <v/>
      </c>
      <c r="Y31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15" s="163" t="str">
        <f aca="false">IF(Salary_Calculation[[#This Row],[Source Row]]="","",IF(INDEX(Rider_Input[Notes],Salary_Calculation[[#This Row],[Source Row]])="","",INDEX(Rider_Input[Notes],Salary_Calculation[[#This Row],[Source Row]])))</f>
        <v/>
      </c>
      <c r="AA315" s="164" t="str">
        <f aca="false">IF(Salary_Calculation[[#This Row],[Source Row]]="","",Salary_Calculation[[#This Row],[Earned Salary]]-Salary_Calculation[[#This Row],[Missing-Order Deduction]]+Salary_Calculation[[#This Row],[Extra-Order Bonus]])</f>
        <v/>
      </c>
      <c r="AB315" s="164" t="str">
        <f aca="false">IF(Salary_Calculation[[#This Row],[Source Row]]="","",ROUND(Salary_Calculation[[#This Row],[Negative Balance / Amount Due from Rider]]+MAX(Salary_Calculation[[#This Row],[Total Deductions]]-Salary_Calculation[[#This Row],[Gross Salary Before Deductions]],0),2))</f>
        <v/>
      </c>
      <c r="AC31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15" s="164" t="str">
        <f aca="false">IF(Salary_Calculation[[#This Row],[Source Row]]="","",Salary_Calculation[[#This Row],[Rider Target Orders]]*Salary_Calculation[[#This Row],[Base Order Rate]])</f>
        <v/>
      </c>
      <c r="AE315" s="162" t="str">
        <f aca="false">IF(SUMPRODUCT(--(LEN(INDEX(Rider_Input[#Data],ROW()-ROW(Salary_Calculation[#Headers]),0))&gt;0))=0,"",ROW()-ROW(Salary_Calculation[#Headers]))</f>
        <v/>
      </c>
    </row>
    <row r="316" customFormat="false" ht="14.25" hidden="false" customHeight="false" outlineLevel="0" collapsed="false">
      <c r="A316" s="161" t="str">
        <f aca="false">IF(Salary_Calculation[[#This Row],[Source Row]]="","",IF(INDEX(Rider_Input[Salary Month],Salary_Calculation[[#This Row],[Source Row]])="","",INDEX(Rider_Input[Salary Month],Salary_Calculation[[#This Row],[Source Row]])))</f>
        <v/>
      </c>
      <c r="B316" s="162" t="str">
        <f aca="false">IF(Salary_Calculation[[#This Row],[Source Row]]="","",IF(INDEX(Rider_Input[Rider ID],Salary_Calculation[[#This Row],[Source Row]])="","",INDEX(Rider_Input[Rider ID],Salary_Calculation[[#This Row],[Source Row]])))</f>
        <v/>
      </c>
      <c r="C316" s="163" t="str">
        <f aca="false">IF(Salary_Calculation[[#This Row],[Source Row]]="","",IF(INDEX(Rider_Input[Rider Name],Salary_Calculation[[#This Row],[Source Row]])="","",INDEX(Rider_Input[Rider Name],Salary_Calculation[[#This Row],[Source Row]])))</f>
        <v/>
      </c>
      <c r="D316" s="164" t="str">
        <f aca="false">IF(Salary_Calculation[[#This Row],[Source Row]]="","",IF(INDEX(Rider_Input[Basic Payment],Salary_Calculation[[#This Row],[Source Row]])="","",INDEX(Rider_Input[Basic Payment],Salary_Calculation[[#This Row],[Source Row]])))</f>
        <v/>
      </c>
      <c r="E316" s="162" t="str">
        <f aca="false">IF(Salary_Calculation[[#This Row],[Source Row]]="","",IF(INDEX(Rider_Input[Calendar Days in Month],Salary_Calculation[[#This Row],[Source Row]])="","",INDEX(Rider_Input[Calendar Days in Month],Salary_Calculation[[#This Row],[Source Row]])))</f>
        <v/>
      </c>
      <c r="F316" s="162" t="str">
        <f aca="false">IF(Salary_Calculation[[#This Row],[Source Row]]="","",IF(INDEX(Rider_Input[Working Days],Salary_Calculation[[#This Row],[Source Row]])="","",INDEX(Rider_Input[Working Days],Salary_Calculation[[#This Row],[Source Row]])))</f>
        <v/>
      </c>
      <c r="G316" s="165" t="str">
        <f aca="false">IF(Salary_Calculation[[#This Row],[Source Row]]="","",Std_Orders/Std_Days*N(Salary_Calculation[[#This Row],[Calendar Days]]))</f>
        <v/>
      </c>
      <c r="H316" s="165" t="str">
        <f aca="false">IF(Salary_Calculation[[#This Row],[Source Row]]="","",IF(N(Salary_Calculation[[#This Row],[Calendar Days]])&gt;0,Salary_Calculation[[#This Row],[Monthly Target Orders]]/N(Salary_Calculation[[#This Row],[Calendar Days]])*N(Salary_Calculation[[#This Row],[Working Days]]),0))</f>
        <v/>
      </c>
      <c r="I316" s="166" t="str">
        <f aca="false">IF(Salary_Calculation[[#This Row],[Source Row]]="","",IF(INDEX(Rider_Input[Completed Orders],Salary_Calculation[[#This Row],[Source Row]])="","",INDEX(Rider_Input[Completed Orders],Salary_Calculation[[#This Row],[Source Row]])))</f>
        <v/>
      </c>
      <c r="J316" s="165" t="str">
        <f aca="false">IF(Salary_Calculation[[#This Row],[Source Row]]="","",IF(Rate_Method="Fixed rate",Fixed_Rate,IF(N(Salary_Calculation[[#This Row],[Basic Payment]])&gt;0,N(Salary_Calculation[[#This Row],[Basic Payment]])/Std_Orders,0)))</f>
        <v/>
      </c>
      <c r="K316" s="165" t="str">
        <f aca="false">IF(Salary_Calculation[[#This Row],[Source Row]]="","",MAX(MIN(N(Salary_Calculation[[#This Row],[Completed Orders]]),Salary_Calculation[[#This Row],[Rider Target Orders]]),0))</f>
        <v/>
      </c>
      <c r="L316" s="164" t="str">
        <f aca="false">IF(Salary_Calculation[[#This Row],[Source Row]]="","",Salary_Calculation[[#This Row],[Orders Counted at Base Rate]]*Salary_Calculation[[#This Row],[Base Order Rate]])</f>
        <v/>
      </c>
      <c r="M316" s="165" t="str">
        <f aca="false">IF(Salary_Calculation[[#This Row],[Source Row]]="","",MAX(Salary_Calculation[[#This Row],[Rider Target Orders]]-N(Salary_Calculation[[#This Row],[Completed Orders]]),0))</f>
        <v/>
      </c>
      <c r="N316" s="164" t="str">
        <f aca="false">IF(Salary_Calculation[[#This Row],[Source Row]]="","",Salary_Calculation[[#This Row],[Missing Orders]]*Missing_Rate)</f>
        <v/>
      </c>
      <c r="O316" s="165" t="str">
        <f aca="false">IF(Salary_Calculation[[#This Row],[Source Row]]="","",MAX(N(Salary_Calculation[[#This Row],[Completed Orders]])-Salary_Calculation[[#This Row],[Rider Target Orders]],0))</f>
        <v/>
      </c>
      <c r="P316" s="164" t="str">
        <f aca="false">IF(Salary_Calculation[[#This Row],[Source Row]]="","",Salary_Calculation[[#This Row],[Extra Orders]]*Extra_Rate)</f>
        <v/>
      </c>
      <c r="Q316" s="164" t="str">
        <f aca="false">IF(Salary_Calculation[[#This Row],[Source Row]]="","",MAX(Salary_Calculation[[#This Row],[Salary Before Other Deductions]],0))</f>
        <v/>
      </c>
      <c r="R316" s="164" t="str">
        <f aca="false">IF(Salary_Calculation[[#This Row],[Source Row]]="","",N(INDEX(Rider_Input[missed_days_penalty],Salary_Calculation[[#This Row],[Source Row]])))</f>
        <v/>
      </c>
      <c r="S316" s="164" t="str">
        <f aca="false">IF(Salary_Calculation[[#This Row],[Source Row]]="","",N(INDEX(Rider_Input[Rider Balance / محفظة المندوب],Salary_Calculation[[#This Row],[Source Row]])))</f>
        <v/>
      </c>
      <c r="T316" s="164" t="str">
        <f aca="false">IF(Salary_Calculation[[#This Row],[Source Row]]="","",N(INDEX(Rider_Input[stacking_deduction / خصم الطلبات المتعددة],Salary_Calculation[[#This Row],[Source Row]])))</f>
        <v/>
      </c>
      <c r="U316" s="164" t="str">
        <f aca="false">IF(Salary_Calculation[[#This Row],[Source Row]]="","",N(INDEX(Rider_Input[Other Deductions],Salary_Calculation[[#This Row],[Source Row]])))</f>
        <v/>
      </c>
      <c r="V316" s="164" t="str">
        <f aca="false">IF(Salary_Calculation[[#This Row],[Source Row]]="","",N(Salary_Calculation[[#This Row],[missed_days_penalty]])+N(Salary_Calculation[[#This Row],[Rider Balance]])+N(Salary_Calculation[[#This Row],[stacking_deduction]])+N(Salary_Calculation[[#This Row],[Other Deductions]]))</f>
        <v/>
      </c>
      <c r="W316" s="167" t="str">
        <f aca="false">IF(Salary_Calculation[[#This Row],[Source Row]]="","",ROUND(MAX(Salary_Calculation[[#This Row],[Gross Salary Before Deductions]]-Salary_Calculation[[#This Row],[Total Deductions]],0),2))</f>
        <v/>
      </c>
      <c r="X316" s="164" t="str">
        <f aca="false">IF(Salary_Calculation[[#This Row],[Source Row]]="","",ROUND(MAX(Salary_Calculation[[#This Row],[Missing-Order Deduction]]-Salary_Calculation[[#This Row],[Earned Salary]],0),2))</f>
        <v/>
      </c>
      <c r="Y31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16" s="163" t="str">
        <f aca="false">IF(Salary_Calculation[[#This Row],[Source Row]]="","",IF(INDEX(Rider_Input[Notes],Salary_Calculation[[#This Row],[Source Row]])="","",INDEX(Rider_Input[Notes],Salary_Calculation[[#This Row],[Source Row]])))</f>
        <v/>
      </c>
      <c r="AA316" s="164" t="str">
        <f aca="false">IF(Salary_Calculation[[#This Row],[Source Row]]="","",Salary_Calculation[[#This Row],[Earned Salary]]-Salary_Calculation[[#This Row],[Missing-Order Deduction]]+Salary_Calculation[[#This Row],[Extra-Order Bonus]])</f>
        <v/>
      </c>
      <c r="AB316" s="164" t="str">
        <f aca="false">IF(Salary_Calculation[[#This Row],[Source Row]]="","",ROUND(Salary_Calculation[[#This Row],[Negative Balance / Amount Due from Rider]]+MAX(Salary_Calculation[[#This Row],[Total Deductions]]-Salary_Calculation[[#This Row],[Gross Salary Before Deductions]],0),2))</f>
        <v/>
      </c>
      <c r="AC31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16" s="164" t="str">
        <f aca="false">IF(Salary_Calculation[[#This Row],[Source Row]]="","",Salary_Calculation[[#This Row],[Rider Target Orders]]*Salary_Calculation[[#This Row],[Base Order Rate]])</f>
        <v/>
      </c>
      <c r="AE316" s="162" t="str">
        <f aca="false">IF(SUMPRODUCT(--(LEN(INDEX(Rider_Input[#Data],ROW()-ROW(Salary_Calculation[#Headers]),0))&gt;0))=0,"",ROW()-ROW(Salary_Calculation[#Headers]))</f>
        <v/>
      </c>
    </row>
    <row r="317" customFormat="false" ht="14.25" hidden="false" customHeight="false" outlineLevel="0" collapsed="false">
      <c r="A317" s="161" t="str">
        <f aca="false">IF(Salary_Calculation[[#This Row],[Source Row]]="","",IF(INDEX(Rider_Input[Salary Month],Salary_Calculation[[#This Row],[Source Row]])="","",INDEX(Rider_Input[Salary Month],Salary_Calculation[[#This Row],[Source Row]])))</f>
        <v/>
      </c>
      <c r="B317" s="162" t="str">
        <f aca="false">IF(Salary_Calculation[[#This Row],[Source Row]]="","",IF(INDEX(Rider_Input[Rider ID],Salary_Calculation[[#This Row],[Source Row]])="","",INDEX(Rider_Input[Rider ID],Salary_Calculation[[#This Row],[Source Row]])))</f>
        <v/>
      </c>
      <c r="C317" s="163" t="str">
        <f aca="false">IF(Salary_Calculation[[#This Row],[Source Row]]="","",IF(INDEX(Rider_Input[Rider Name],Salary_Calculation[[#This Row],[Source Row]])="","",INDEX(Rider_Input[Rider Name],Salary_Calculation[[#This Row],[Source Row]])))</f>
        <v/>
      </c>
      <c r="D317" s="164" t="str">
        <f aca="false">IF(Salary_Calculation[[#This Row],[Source Row]]="","",IF(INDEX(Rider_Input[Basic Payment],Salary_Calculation[[#This Row],[Source Row]])="","",INDEX(Rider_Input[Basic Payment],Salary_Calculation[[#This Row],[Source Row]])))</f>
        <v/>
      </c>
      <c r="E317" s="162" t="str">
        <f aca="false">IF(Salary_Calculation[[#This Row],[Source Row]]="","",IF(INDEX(Rider_Input[Calendar Days in Month],Salary_Calculation[[#This Row],[Source Row]])="","",INDEX(Rider_Input[Calendar Days in Month],Salary_Calculation[[#This Row],[Source Row]])))</f>
        <v/>
      </c>
      <c r="F317" s="162" t="str">
        <f aca="false">IF(Salary_Calculation[[#This Row],[Source Row]]="","",IF(INDEX(Rider_Input[Working Days],Salary_Calculation[[#This Row],[Source Row]])="","",INDEX(Rider_Input[Working Days],Salary_Calculation[[#This Row],[Source Row]])))</f>
        <v/>
      </c>
      <c r="G317" s="165" t="str">
        <f aca="false">IF(Salary_Calculation[[#This Row],[Source Row]]="","",Std_Orders/Std_Days*N(Salary_Calculation[[#This Row],[Calendar Days]]))</f>
        <v/>
      </c>
      <c r="H317" s="165" t="str">
        <f aca="false">IF(Salary_Calculation[[#This Row],[Source Row]]="","",IF(N(Salary_Calculation[[#This Row],[Calendar Days]])&gt;0,Salary_Calculation[[#This Row],[Monthly Target Orders]]/N(Salary_Calculation[[#This Row],[Calendar Days]])*N(Salary_Calculation[[#This Row],[Working Days]]),0))</f>
        <v/>
      </c>
      <c r="I317" s="166" t="str">
        <f aca="false">IF(Salary_Calculation[[#This Row],[Source Row]]="","",IF(INDEX(Rider_Input[Completed Orders],Salary_Calculation[[#This Row],[Source Row]])="","",INDEX(Rider_Input[Completed Orders],Salary_Calculation[[#This Row],[Source Row]])))</f>
        <v/>
      </c>
      <c r="J317" s="165" t="str">
        <f aca="false">IF(Salary_Calculation[[#This Row],[Source Row]]="","",IF(Rate_Method="Fixed rate",Fixed_Rate,IF(N(Salary_Calculation[[#This Row],[Basic Payment]])&gt;0,N(Salary_Calculation[[#This Row],[Basic Payment]])/Std_Orders,0)))</f>
        <v/>
      </c>
      <c r="K317" s="165" t="str">
        <f aca="false">IF(Salary_Calculation[[#This Row],[Source Row]]="","",MAX(MIN(N(Salary_Calculation[[#This Row],[Completed Orders]]),Salary_Calculation[[#This Row],[Rider Target Orders]]),0))</f>
        <v/>
      </c>
      <c r="L317" s="164" t="str">
        <f aca="false">IF(Salary_Calculation[[#This Row],[Source Row]]="","",Salary_Calculation[[#This Row],[Orders Counted at Base Rate]]*Salary_Calculation[[#This Row],[Base Order Rate]])</f>
        <v/>
      </c>
      <c r="M317" s="165" t="str">
        <f aca="false">IF(Salary_Calculation[[#This Row],[Source Row]]="","",MAX(Salary_Calculation[[#This Row],[Rider Target Orders]]-N(Salary_Calculation[[#This Row],[Completed Orders]]),0))</f>
        <v/>
      </c>
      <c r="N317" s="164" t="str">
        <f aca="false">IF(Salary_Calculation[[#This Row],[Source Row]]="","",Salary_Calculation[[#This Row],[Missing Orders]]*Missing_Rate)</f>
        <v/>
      </c>
      <c r="O317" s="165" t="str">
        <f aca="false">IF(Salary_Calculation[[#This Row],[Source Row]]="","",MAX(N(Salary_Calculation[[#This Row],[Completed Orders]])-Salary_Calculation[[#This Row],[Rider Target Orders]],0))</f>
        <v/>
      </c>
      <c r="P317" s="164" t="str">
        <f aca="false">IF(Salary_Calculation[[#This Row],[Source Row]]="","",Salary_Calculation[[#This Row],[Extra Orders]]*Extra_Rate)</f>
        <v/>
      </c>
      <c r="Q317" s="164" t="str">
        <f aca="false">IF(Salary_Calculation[[#This Row],[Source Row]]="","",MAX(Salary_Calculation[[#This Row],[Salary Before Other Deductions]],0))</f>
        <v/>
      </c>
      <c r="R317" s="164" t="str">
        <f aca="false">IF(Salary_Calculation[[#This Row],[Source Row]]="","",N(INDEX(Rider_Input[missed_days_penalty],Salary_Calculation[[#This Row],[Source Row]])))</f>
        <v/>
      </c>
      <c r="S317" s="164" t="str">
        <f aca="false">IF(Salary_Calculation[[#This Row],[Source Row]]="","",N(INDEX(Rider_Input[Rider Balance / محفظة المندوب],Salary_Calculation[[#This Row],[Source Row]])))</f>
        <v/>
      </c>
      <c r="T317" s="164" t="str">
        <f aca="false">IF(Salary_Calculation[[#This Row],[Source Row]]="","",N(INDEX(Rider_Input[stacking_deduction / خصم الطلبات المتعددة],Salary_Calculation[[#This Row],[Source Row]])))</f>
        <v/>
      </c>
      <c r="U317" s="164" t="str">
        <f aca="false">IF(Salary_Calculation[[#This Row],[Source Row]]="","",N(INDEX(Rider_Input[Other Deductions],Salary_Calculation[[#This Row],[Source Row]])))</f>
        <v/>
      </c>
      <c r="V317" s="164" t="str">
        <f aca="false">IF(Salary_Calculation[[#This Row],[Source Row]]="","",N(Salary_Calculation[[#This Row],[missed_days_penalty]])+N(Salary_Calculation[[#This Row],[Rider Balance]])+N(Salary_Calculation[[#This Row],[stacking_deduction]])+N(Salary_Calculation[[#This Row],[Other Deductions]]))</f>
        <v/>
      </c>
      <c r="W317" s="167" t="str">
        <f aca="false">IF(Salary_Calculation[[#This Row],[Source Row]]="","",ROUND(MAX(Salary_Calculation[[#This Row],[Gross Salary Before Deductions]]-Salary_Calculation[[#This Row],[Total Deductions]],0),2))</f>
        <v/>
      </c>
      <c r="X317" s="164" t="str">
        <f aca="false">IF(Salary_Calculation[[#This Row],[Source Row]]="","",ROUND(MAX(Salary_Calculation[[#This Row],[Missing-Order Deduction]]-Salary_Calculation[[#This Row],[Earned Salary]],0),2))</f>
        <v/>
      </c>
      <c r="Y31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17" s="163" t="str">
        <f aca="false">IF(Salary_Calculation[[#This Row],[Source Row]]="","",IF(INDEX(Rider_Input[Notes],Salary_Calculation[[#This Row],[Source Row]])="","",INDEX(Rider_Input[Notes],Salary_Calculation[[#This Row],[Source Row]])))</f>
        <v/>
      </c>
      <c r="AA317" s="164" t="str">
        <f aca="false">IF(Salary_Calculation[[#This Row],[Source Row]]="","",Salary_Calculation[[#This Row],[Earned Salary]]-Salary_Calculation[[#This Row],[Missing-Order Deduction]]+Salary_Calculation[[#This Row],[Extra-Order Bonus]])</f>
        <v/>
      </c>
      <c r="AB317" s="164" t="str">
        <f aca="false">IF(Salary_Calculation[[#This Row],[Source Row]]="","",ROUND(Salary_Calculation[[#This Row],[Negative Balance / Amount Due from Rider]]+MAX(Salary_Calculation[[#This Row],[Total Deductions]]-Salary_Calculation[[#This Row],[Gross Salary Before Deductions]],0),2))</f>
        <v/>
      </c>
      <c r="AC31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17" s="164" t="str">
        <f aca="false">IF(Salary_Calculation[[#This Row],[Source Row]]="","",Salary_Calculation[[#This Row],[Rider Target Orders]]*Salary_Calculation[[#This Row],[Base Order Rate]])</f>
        <v/>
      </c>
      <c r="AE317" s="162" t="str">
        <f aca="false">IF(SUMPRODUCT(--(LEN(INDEX(Rider_Input[#Data],ROW()-ROW(Salary_Calculation[#Headers]),0))&gt;0))=0,"",ROW()-ROW(Salary_Calculation[#Headers]))</f>
        <v/>
      </c>
    </row>
    <row r="318" customFormat="false" ht="14.25" hidden="false" customHeight="false" outlineLevel="0" collapsed="false">
      <c r="A318" s="161" t="str">
        <f aca="false">IF(Salary_Calculation[[#This Row],[Source Row]]="","",IF(INDEX(Rider_Input[Salary Month],Salary_Calculation[[#This Row],[Source Row]])="","",INDEX(Rider_Input[Salary Month],Salary_Calculation[[#This Row],[Source Row]])))</f>
        <v/>
      </c>
      <c r="B318" s="162" t="str">
        <f aca="false">IF(Salary_Calculation[[#This Row],[Source Row]]="","",IF(INDEX(Rider_Input[Rider ID],Salary_Calculation[[#This Row],[Source Row]])="","",INDEX(Rider_Input[Rider ID],Salary_Calculation[[#This Row],[Source Row]])))</f>
        <v/>
      </c>
      <c r="C318" s="163" t="str">
        <f aca="false">IF(Salary_Calculation[[#This Row],[Source Row]]="","",IF(INDEX(Rider_Input[Rider Name],Salary_Calculation[[#This Row],[Source Row]])="","",INDEX(Rider_Input[Rider Name],Salary_Calculation[[#This Row],[Source Row]])))</f>
        <v/>
      </c>
      <c r="D318" s="164" t="str">
        <f aca="false">IF(Salary_Calculation[[#This Row],[Source Row]]="","",IF(INDEX(Rider_Input[Basic Payment],Salary_Calculation[[#This Row],[Source Row]])="","",INDEX(Rider_Input[Basic Payment],Salary_Calculation[[#This Row],[Source Row]])))</f>
        <v/>
      </c>
      <c r="E318" s="162" t="str">
        <f aca="false">IF(Salary_Calculation[[#This Row],[Source Row]]="","",IF(INDEX(Rider_Input[Calendar Days in Month],Salary_Calculation[[#This Row],[Source Row]])="","",INDEX(Rider_Input[Calendar Days in Month],Salary_Calculation[[#This Row],[Source Row]])))</f>
        <v/>
      </c>
      <c r="F318" s="162" t="str">
        <f aca="false">IF(Salary_Calculation[[#This Row],[Source Row]]="","",IF(INDEX(Rider_Input[Working Days],Salary_Calculation[[#This Row],[Source Row]])="","",INDEX(Rider_Input[Working Days],Salary_Calculation[[#This Row],[Source Row]])))</f>
        <v/>
      </c>
      <c r="G318" s="165" t="str">
        <f aca="false">IF(Salary_Calculation[[#This Row],[Source Row]]="","",Std_Orders/Std_Days*N(Salary_Calculation[[#This Row],[Calendar Days]]))</f>
        <v/>
      </c>
      <c r="H318" s="165" t="str">
        <f aca="false">IF(Salary_Calculation[[#This Row],[Source Row]]="","",IF(N(Salary_Calculation[[#This Row],[Calendar Days]])&gt;0,Salary_Calculation[[#This Row],[Monthly Target Orders]]/N(Salary_Calculation[[#This Row],[Calendar Days]])*N(Salary_Calculation[[#This Row],[Working Days]]),0))</f>
        <v/>
      </c>
      <c r="I318" s="166" t="str">
        <f aca="false">IF(Salary_Calculation[[#This Row],[Source Row]]="","",IF(INDEX(Rider_Input[Completed Orders],Salary_Calculation[[#This Row],[Source Row]])="","",INDEX(Rider_Input[Completed Orders],Salary_Calculation[[#This Row],[Source Row]])))</f>
        <v/>
      </c>
      <c r="J318" s="165" t="str">
        <f aca="false">IF(Salary_Calculation[[#This Row],[Source Row]]="","",IF(Rate_Method="Fixed rate",Fixed_Rate,IF(N(Salary_Calculation[[#This Row],[Basic Payment]])&gt;0,N(Salary_Calculation[[#This Row],[Basic Payment]])/Std_Orders,0)))</f>
        <v/>
      </c>
      <c r="K318" s="165" t="str">
        <f aca="false">IF(Salary_Calculation[[#This Row],[Source Row]]="","",MAX(MIN(N(Salary_Calculation[[#This Row],[Completed Orders]]),Salary_Calculation[[#This Row],[Rider Target Orders]]),0))</f>
        <v/>
      </c>
      <c r="L318" s="164" t="str">
        <f aca="false">IF(Salary_Calculation[[#This Row],[Source Row]]="","",Salary_Calculation[[#This Row],[Orders Counted at Base Rate]]*Salary_Calculation[[#This Row],[Base Order Rate]])</f>
        <v/>
      </c>
      <c r="M318" s="165" t="str">
        <f aca="false">IF(Salary_Calculation[[#This Row],[Source Row]]="","",MAX(Salary_Calculation[[#This Row],[Rider Target Orders]]-N(Salary_Calculation[[#This Row],[Completed Orders]]),0))</f>
        <v/>
      </c>
      <c r="N318" s="164" t="str">
        <f aca="false">IF(Salary_Calculation[[#This Row],[Source Row]]="","",Salary_Calculation[[#This Row],[Missing Orders]]*Missing_Rate)</f>
        <v/>
      </c>
      <c r="O318" s="165" t="str">
        <f aca="false">IF(Salary_Calculation[[#This Row],[Source Row]]="","",MAX(N(Salary_Calculation[[#This Row],[Completed Orders]])-Salary_Calculation[[#This Row],[Rider Target Orders]],0))</f>
        <v/>
      </c>
      <c r="P318" s="164" t="str">
        <f aca="false">IF(Salary_Calculation[[#This Row],[Source Row]]="","",Salary_Calculation[[#This Row],[Extra Orders]]*Extra_Rate)</f>
        <v/>
      </c>
      <c r="Q318" s="164" t="str">
        <f aca="false">IF(Salary_Calculation[[#This Row],[Source Row]]="","",MAX(Salary_Calculation[[#This Row],[Salary Before Other Deductions]],0))</f>
        <v/>
      </c>
      <c r="R318" s="164" t="str">
        <f aca="false">IF(Salary_Calculation[[#This Row],[Source Row]]="","",N(INDEX(Rider_Input[missed_days_penalty],Salary_Calculation[[#This Row],[Source Row]])))</f>
        <v/>
      </c>
      <c r="S318" s="164" t="str">
        <f aca="false">IF(Salary_Calculation[[#This Row],[Source Row]]="","",N(INDEX(Rider_Input[Rider Balance / محفظة المندوب],Salary_Calculation[[#This Row],[Source Row]])))</f>
        <v/>
      </c>
      <c r="T318" s="164" t="str">
        <f aca="false">IF(Salary_Calculation[[#This Row],[Source Row]]="","",N(INDEX(Rider_Input[stacking_deduction / خصم الطلبات المتعددة],Salary_Calculation[[#This Row],[Source Row]])))</f>
        <v/>
      </c>
      <c r="U318" s="164" t="str">
        <f aca="false">IF(Salary_Calculation[[#This Row],[Source Row]]="","",N(INDEX(Rider_Input[Other Deductions],Salary_Calculation[[#This Row],[Source Row]])))</f>
        <v/>
      </c>
      <c r="V318" s="164" t="str">
        <f aca="false">IF(Salary_Calculation[[#This Row],[Source Row]]="","",N(Salary_Calculation[[#This Row],[missed_days_penalty]])+N(Salary_Calculation[[#This Row],[Rider Balance]])+N(Salary_Calculation[[#This Row],[stacking_deduction]])+N(Salary_Calculation[[#This Row],[Other Deductions]]))</f>
        <v/>
      </c>
      <c r="W318" s="167" t="str">
        <f aca="false">IF(Salary_Calculation[[#This Row],[Source Row]]="","",ROUND(MAX(Salary_Calculation[[#This Row],[Gross Salary Before Deductions]]-Salary_Calculation[[#This Row],[Total Deductions]],0),2))</f>
        <v/>
      </c>
      <c r="X318" s="164" t="str">
        <f aca="false">IF(Salary_Calculation[[#This Row],[Source Row]]="","",ROUND(MAX(Salary_Calculation[[#This Row],[Missing-Order Deduction]]-Salary_Calculation[[#This Row],[Earned Salary]],0),2))</f>
        <v/>
      </c>
      <c r="Y31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18" s="163" t="str">
        <f aca="false">IF(Salary_Calculation[[#This Row],[Source Row]]="","",IF(INDEX(Rider_Input[Notes],Salary_Calculation[[#This Row],[Source Row]])="","",INDEX(Rider_Input[Notes],Salary_Calculation[[#This Row],[Source Row]])))</f>
        <v/>
      </c>
      <c r="AA318" s="164" t="str">
        <f aca="false">IF(Salary_Calculation[[#This Row],[Source Row]]="","",Salary_Calculation[[#This Row],[Earned Salary]]-Salary_Calculation[[#This Row],[Missing-Order Deduction]]+Salary_Calculation[[#This Row],[Extra-Order Bonus]])</f>
        <v/>
      </c>
      <c r="AB318" s="164" t="str">
        <f aca="false">IF(Salary_Calculation[[#This Row],[Source Row]]="","",ROUND(Salary_Calculation[[#This Row],[Negative Balance / Amount Due from Rider]]+MAX(Salary_Calculation[[#This Row],[Total Deductions]]-Salary_Calculation[[#This Row],[Gross Salary Before Deductions]],0),2))</f>
        <v/>
      </c>
      <c r="AC31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18" s="164" t="str">
        <f aca="false">IF(Salary_Calculation[[#This Row],[Source Row]]="","",Salary_Calculation[[#This Row],[Rider Target Orders]]*Salary_Calculation[[#This Row],[Base Order Rate]])</f>
        <v/>
      </c>
      <c r="AE318" s="162" t="str">
        <f aca="false">IF(SUMPRODUCT(--(LEN(INDEX(Rider_Input[#Data],ROW()-ROW(Salary_Calculation[#Headers]),0))&gt;0))=0,"",ROW()-ROW(Salary_Calculation[#Headers]))</f>
        <v/>
      </c>
    </row>
    <row r="319" customFormat="false" ht="14.25" hidden="false" customHeight="false" outlineLevel="0" collapsed="false">
      <c r="A319" s="161" t="str">
        <f aca="false">IF(Salary_Calculation[[#This Row],[Source Row]]="","",IF(INDEX(Rider_Input[Salary Month],Salary_Calculation[[#This Row],[Source Row]])="","",INDEX(Rider_Input[Salary Month],Salary_Calculation[[#This Row],[Source Row]])))</f>
        <v/>
      </c>
      <c r="B319" s="162" t="str">
        <f aca="false">IF(Salary_Calculation[[#This Row],[Source Row]]="","",IF(INDEX(Rider_Input[Rider ID],Salary_Calculation[[#This Row],[Source Row]])="","",INDEX(Rider_Input[Rider ID],Salary_Calculation[[#This Row],[Source Row]])))</f>
        <v/>
      </c>
      <c r="C319" s="163" t="str">
        <f aca="false">IF(Salary_Calculation[[#This Row],[Source Row]]="","",IF(INDEX(Rider_Input[Rider Name],Salary_Calculation[[#This Row],[Source Row]])="","",INDEX(Rider_Input[Rider Name],Salary_Calculation[[#This Row],[Source Row]])))</f>
        <v/>
      </c>
      <c r="D319" s="164" t="str">
        <f aca="false">IF(Salary_Calculation[[#This Row],[Source Row]]="","",IF(INDEX(Rider_Input[Basic Payment],Salary_Calculation[[#This Row],[Source Row]])="","",INDEX(Rider_Input[Basic Payment],Salary_Calculation[[#This Row],[Source Row]])))</f>
        <v/>
      </c>
      <c r="E319" s="162" t="str">
        <f aca="false">IF(Salary_Calculation[[#This Row],[Source Row]]="","",IF(INDEX(Rider_Input[Calendar Days in Month],Salary_Calculation[[#This Row],[Source Row]])="","",INDEX(Rider_Input[Calendar Days in Month],Salary_Calculation[[#This Row],[Source Row]])))</f>
        <v/>
      </c>
      <c r="F319" s="162" t="str">
        <f aca="false">IF(Salary_Calculation[[#This Row],[Source Row]]="","",IF(INDEX(Rider_Input[Working Days],Salary_Calculation[[#This Row],[Source Row]])="","",INDEX(Rider_Input[Working Days],Salary_Calculation[[#This Row],[Source Row]])))</f>
        <v/>
      </c>
      <c r="G319" s="165" t="str">
        <f aca="false">IF(Salary_Calculation[[#This Row],[Source Row]]="","",Std_Orders/Std_Days*N(Salary_Calculation[[#This Row],[Calendar Days]]))</f>
        <v/>
      </c>
      <c r="H319" s="165" t="str">
        <f aca="false">IF(Salary_Calculation[[#This Row],[Source Row]]="","",IF(N(Salary_Calculation[[#This Row],[Calendar Days]])&gt;0,Salary_Calculation[[#This Row],[Monthly Target Orders]]/N(Salary_Calculation[[#This Row],[Calendar Days]])*N(Salary_Calculation[[#This Row],[Working Days]]),0))</f>
        <v/>
      </c>
      <c r="I319" s="166" t="str">
        <f aca="false">IF(Salary_Calculation[[#This Row],[Source Row]]="","",IF(INDEX(Rider_Input[Completed Orders],Salary_Calculation[[#This Row],[Source Row]])="","",INDEX(Rider_Input[Completed Orders],Salary_Calculation[[#This Row],[Source Row]])))</f>
        <v/>
      </c>
      <c r="J319" s="165" t="str">
        <f aca="false">IF(Salary_Calculation[[#This Row],[Source Row]]="","",IF(Rate_Method="Fixed rate",Fixed_Rate,IF(N(Salary_Calculation[[#This Row],[Basic Payment]])&gt;0,N(Salary_Calculation[[#This Row],[Basic Payment]])/Std_Orders,0)))</f>
        <v/>
      </c>
      <c r="K319" s="165" t="str">
        <f aca="false">IF(Salary_Calculation[[#This Row],[Source Row]]="","",MAX(MIN(N(Salary_Calculation[[#This Row],[Completed Orders]]),Salary_Calculation[[#This Row],[Rider Target Orders]]),0))</f>
        <v/>
      </c>
      <c r="L319" s="164" t="str">
        <f aca="false">IF(Salary_Calculation[[#This Row],[Source Row]]="","",Salary_Calculation[[#This Row],[Orders Counted at Base Rate]]*Salary_Calculation[[#This Row],[Base Order Rate]])</f>
        <v/>
      </c>
      <c r="M319" s="165" t="str">
        <f aca="false">IF(Salary_Calculation[[#This Row],[Source Row]]="","",MAX(Salary_Calculation[[#This Row],[Rider Target Orders]]-N(Salary_Calculation[[#This Row],[Completed Orders]]),0))</f>
        <v/>
      </c>
      <c r="N319" s="164" t="str">
        <f aca="false">IF(Salary_Calculation[[#This Row],[Source Row]]="","",Salary_Calculation[[#This Row],[Missing Orders]]*Missing_Rate)</f>
        <v/>
      </c>
      <c r="O319" s="165" t="str">
        <f aca="false">IF(Salary_Calculation[[#This Row],[Source Row]]="","",MAX(N(Salary_Calculation[[#This Row],[Completed Orders]])-Salary_Calculation[[#This Row],[Rider Target Orders]],0))</f>
        <v/>
      </c>
      <c r="P319" s="164" t="str">
        <f aca="false">IF(Salary_Calculation[[#This Row],[Source Row]]="","",Salary_Calculation[[#This Row],[Extra Orders]]*Extra_Rate)</f>
        <v/>
      </c>
      <c r="Q319" s="164" t="str">
        <f aca="false">IF(Salary_Calculation[[#This Row],[Source Row]]="","",MAX(Salary_Calculation[[#This Row],[Salary Before Other Deductions]],0))</f>
        <v/>
      </c>
      <c r="R319" s="164" t="str">
        <f aca="false">IF(Salary_Calculation[[#This Row],[Source Row]]="","",N(INDEX(Rider_Input[missed_days_penalty],Salary_Calculation[[#This Row],[Source Row]])))</f>
        <v/>
      </c>
      <c r="S319" s="164" t="str">
        <f aca="false">IF(Salary_Calculation[[#This Row],[Source Row]]="","",N(INDEX(Rider_Input[Rider Balance / محفظة المندوب],Salary_Calculation[[#This Row],[Source Row]])))</f>
        <v/>
      </c>
      <c r="T319" s="164" t="str">
        <f aca="false">IF(Salary_Calculation[[#This Row],[Source Row]]="","",N(INDEX(Rider_Input[stacking_deduction / خصم الطلبات المتعددة],Salary_Calculation[[#This Row],[Source Row]])))</f>
        <v/>
      </c>
      <c r="U319" s="164" t="str">
        <f aca="false">IF(Salary_Calculation[[#This Row],[Source Row]]="","",N(INDEX(Rider_Input[Other Deductions],Salary_Calculation[[#This Row],[Source Row]])))</f>
        <v/>
      </c>
      <c r="V319" s="164" t="str">
        <f aca="false">IF(Salary_Calculation[[#This Row],[Source Row]]="","",N(Salary_Calculation[[#This Row],[missed_days_penalty]])+N(Salary_Calculation[[#This Row],[Rider Balance]])+N(Salary_Calculation[[#This Row],[stacking_deduction]])+N(Salary_Calculation[[#This Row],[Other Deductions]]))</f>
        <v/>
      </c>
      <c r="W319" s="167" t="str">
        <f aca="false">IF(Salary_Calculation[[#This Row],[Source Row]]="","",ROUND(MAX(Salary_Calculation[[#This Row],[Gross Salary Before Deductions]]-Salary_Calculation[[#This Row],[Total Deductions]],0),2))</f>
        <v/>
      </c>
      <c r="X319" s="164" t="str">
        <f aca="false">IF(Salary_Calculation[[#This Row],[Source Row]]="","",ROUND(MAX(Salary_Calculation[[#This Row],[Missing-Order Deduction]]-Salary_Calculation[[#This Row],[Earned Salary]],0),2))</f>
        <v/>
      </c>
      <c r="Y31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19" s="163" t="str">
        <f aca="false">IF(Salary_Calculation[[#This Row],[Source Row]]="","",IF(INDEX(Rider_Input[Notes],Salary_Calculation[[#This Row],[Source Row]])="","",INDEX(Rider_Input[Notes],Salary_Calculation[[#This Row],[Source Row]])))</f>
        <v/>
      </c>
      <c r="AA319" s="164" t="str">
        <f aca="false">IF(Salary_Calculation[[#This Row],[Source Row]]="","",Salary_Calculation[[#This Row],[Earned Salary]]-Salary_Calculation[[#This Row],[Missing-Order Deduction]]+Salary_Calculation[[#This Row],[Extra-Order Bonus]])</f>
        <v/>
      </c>
      <c r="AB319" s="164" t="str">
        <f aca="false">IF(Salary_Calculation[[#This Row],[Source Row]]="","",ROUND(Salary_Calculation[[#This Row],[Negative Balance / Amount Due from Rider]]+MAX(Salary_Calculation[[#This Row],[Total Deductions]]-Salary_Calculation[[#This Row],[Gross Salary Before Deductions]],0),2))</f>
        <v/>
      </c>
      <c r="AC31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19" s="164" t="str">
        <f aca="false">IF(Salary_Calculation[[#This Row],[Source Row]]="","",Salary_Calculation[[#This Row],[Rider Target Orders]]*Salary_Calculation[[#This Row],[Base Order Rate]])</f>
        <v/>
      </c>
      <c r="AE319" s="162" t="str">
        <f aca="false">IF(SUMPRODUCT(--(LEN(INDEX(Rider_Input[#Data],ROW()-ROW(Salary_Calculation[#Headers]),0))&gt;0))=0,"",ROW()-ROW(Salary_Calculation[#Headers]))</f>
        <v/>
      </c>
    </row>
    <row r="320" customFormat="false" ht="14.25" hidden="false" customHeight="false" outlineLevel="0" collapsed="false">
      <c r="A320" s="161" t="str">
        <f aca="false">IF(Salary_Calculation[[#This Row],[Source Row]]="","",IF(INDEX(Rider_Input[Salary Month],Salary_Calculation[[#This Row],[Source Row]])="","",INDEX(Rider_Input[Salary Month],Salary_Calculation[[#This Row],[Source Row]])))</f>
        <v/>
      </c>
      <c r="B320" s="162" t="str">
        <f aca="false">IF(Salary_Calculation[[#This Row],[Source Row]]="","",IF(INDEX(Rider_Input[Rider ID],Salary_Calculation[[#This Row],[Source Row]])="","",INDEX(Rider_Input[Rider ID],Salary_Calculation[[#This Row],[Source Row]])))</f>
        <v/>
      </c>
      <c r="C320" s="163" t="str">
        <f aca="false">IF(Salary_Calculation[[#This Row],[Source Row]]="","",IF(INDEX(Rider_Input[Rider Name],Salary_Calculation[[#This Row],[Source Row]])="","",INDEX(Rider_Input[Rider Name],Salary_Calculation[[#This Row],[Source Row]])))</f>
        <v/>
      </c>
      <c r="D320" s="164" t="str">
        <f aca="false">IF(Salary_Calculation[[#This Row],[Source Row]]="","",IF(INDEX(Rider_Input[Basic Payment],Salary_Calculation[[#This Row],[Source Row]])="","",INDEX(Rider_Input[Basic Payment],Salary_Calculation[[#This Row],[Source Row]])))</f>
        <v/>
      </c>
      <c r="E320" s="162" t="str">
        <f aca="false">IF(Salary_Calculation[[#This Row],[Source Row]]="","",IF(INDEX(Rider_Input[Calendar Days in Month],Salary_Calculation[[#This Row],[Source Row]])="","",INDEX(Rider_Input[Calendar Days in Month],Salary_Calculation[[#This Row],[Source Row]])))</f>
        <v/>
      </c>
      <c r="F320" s="162" t="str">
        <f aca="false">IF(Salary_Calculation[[#This Row],[Source Row]]="","",IF(INDEX(Rider_Input[Working Days],Salary_Calculation[[#This Row],[Source Row]])="","",INDEX(Rider_Input[Working Days],Salary_Calculation[[#This Row],[Source Row]])))</f>
        <v/>
      </c>
      <c r="G320" s="165" t="str">
        <f aca="false">IF(Salary_Calculation[[#This Row],[Source Row]]="","",Std_Orders/Std_Days*N(Salary_Calculation[[#This Row],[Calendar Days]]))</f>
        <v/>
      </c>
      <c r="H320" s="165" t="str">
        <f aca="false">IF(Salary_Calculation[[#This Row],[Source Row]]="","",IF(N(Salary_Calculation[[#This Row],[Calendar Days]])&gt;0,Salary_Calculation[[#This Row],[Monthly Target Orders]]/N(Salary_Calculation[[#This Row],[Calendar Days]])*N(Salary_Calculation[[#This Row],[Working Days]]),0))</f>
        <v/>
      </c>
      <c r="I320" s="166" t="str">
        <f aca="false">IF(Salary_Calculation[[#This Row],[Source Row]]="","",IF(INDEX(Rider_Input[Completed Orders],Salary_Calculation[[#This Row],[Source Row]])="","",INDEX(Rider_Input[Completed Orders],Salary_Calculation[[#This Row],[Source Row]])))</f>
        <v/>
      </c>
      <c r="J320" s="165" t="str">
        <f aca="false">IF(Salary_Calculation[[#This Row],[Source Row]]="","",IF(Rate_Method="Fixed rate",Fixed_Rate,IF(N(Salary_Calculation[[#This Row],[Basic Payment]])&gt;0,N(Salary_Calculation[[#This Row],[Basic Payment]])/Std_Orders,0)))</f>
        <v/>
      </c>
      <c r="K320" s="165" t="str">
        <f aca="false">IF(Salary_Calculation[[#This Row],[Source Row]]="","",MAX(MIN(N(Salary_Calculation[[#This Row],[Completed Orders]]),Salary_Calculation[[#This Row],[Rider Target Orders]]),0))</f>
        <v/>
      </c>
      <c r="L320" s="164" t="str">
        <f aca="false">IF(Salary_Calculation[[#This Row],[Source Row]]="","",Salary_Calculation[[#This Row],[Orders Counted at Base Rate]]*Salary_Calculation[[#This Row],[Base Order Rate]])</f>
        <v/>
      </c>
      <c r="M320" s="165" t="str">
        <f aca="false">IF(Salary_Calculation[[#This Row],[Source Row]]="","",MAX(Salary_Calculation[[#This Row],[Rider Target Orders]]-N(Salary_Calculation[[#This Row],[Completed Orders]]),0))</f>
        <v/>
      </c>
      <c r="N320" s="164" t="str">
        <f aca="false">IF(Salary_Calculation[[#This Row],[Source Row]]="","",Salary_Calculation[[#This Row],[Missing Orders]]*Missing_Rate)</f>
        <v/>
      </c>
      <c r="O320" s="165" t="str">
        <f aca="false">IF(Salary_Calculation[[#This Row],[Source Row]]="","",MAX(N(Salary_Calculation[[#This Row],[Completed Orders]])-Salary_Calculation[[#This Row],[Rider Target Orders]],0))</f>
        <v/>
      </c>
      <c r="P320" s="164" t="str">
        <f aca="false">IF(Salary_Calculation[[#This Row],[Source Row]]="","",Salary_Calculation[[#This Row],[Extra Orders]]*Extra_Rate)</f>
        <v/>
      </c>
      <c r="Q320" s="164" t="str">
        <f aca="false">IF(Salary_Calculation[[#This Row],[Source Row]]="","",MAX(Salary_Calculation[[#This Row],[Salary Before Other Deductions]],0))</f>
        <v/>
      </c>
      <c r="R320" s="164" t="str">
        <f aca="false">IF(Salary_Calculation[[#This Row],[Source Row]]="","",N(INDEX(Rider_Input[missed_days_penalty],Salary_Calculation[[#This Row],[Source Row]])))</f>
        <v/>
      </c>
      <c r="S320" s="164" t="str">
        <f aca="false">IF(Salary_Calculation[[#This Row],[Source Row]]="","",N(INDEX(Rider_Input[Rider Balance / محفظة المندوب],Salary_Calculation[[#This Row],[Source Row]])))</f>
        <v/>
      </c>
      <c r="T320" s="164" t="str">
        <f aca="false">IF(Salary_Calculation[[#This Row],[Source Row]]="","",N(INDEX(Rider_Input[stacking_deduction / خصم الطلبات المتعددة],Salary_Calculation[[#This Row],[Source Row]])))</f>
        <v/>
      </c>
      <c r="U320" s="164" t="str">
        <f aca="false">IF(Salary_Calculation[[#This Row],[Source Row]]="","",N(INDEX(Rider_Input[Other Deductions],Salary_Calculation[[#This Row],[Source Row]])))</f>
        <v/>
      </c>
      <c r="V320" s="164" t="str">
        <f aca="false">IF(Salary_Calculation[[#This Row],[Source Row]]="","",N(Salary_Calculation[[#This Row],[missed_days_penalty]])+N(Salary_Calculation[[#This Row],[Rider Balance]])+N(Salary_Calculation[[#This Row],[stacking_deduction]])+N(Salary_Calculation[[#This Row],[Other Deductions]]))</f>
        <v/>
      </c>
      <c r="W320" s="167" t="str">
        <f aca="false">IF(Salary_Calculation[[#This Row],[Source Row]]="","",ROUND(MAX(Salary_Calculation[[#This Row],[Gross Salary Before Deductions]]-Salary_Calculation[[#This Row],[Total Deductions]],0),2))</f>
        <v/>
      </c>
      <c r="X320" s="164" t="str">
        <f aca="false">IF(Salary_Calculation[[#This Row],[Source Row]]="","",ROUND(MAX(Salary_Calculation[[#This Row],[Missing-Order Deduction]]-Salary_Calculation[[#This Row],[Earned Salary]],0),2))</f>
        <v/>
      </c>
      <c r="Y32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20" s="163" t="str">
        <f aca="false">IF(Salary_Calculation[[#This Row],[Source Row]]="","",IF(INDEX(Rider_Input[Notes],Salary_Calculation[[#This Row],[Source Row]])="","",INDEX(Rider_Input[Notes],Salary_Calculation[[#This Row],[Source Row]])))</f>
        <v/>
      </c>
      <c r="AA320" s="164" t="str">
        <f aca="false">IF(Salary_Calculation[[#This Row],[Source Row]]="","",Salary_Calculation[[#This Row],[Earned Salary]]-Salary_Calculation[[#This Row],[Missing-Order Deduction]]+Salary_Calculation[[#This Row],[Extra-Order Bonus]])</f>
        <v/>
      </c>
      <c r="AB320" s="164" t="str">
        <f aca="false">IF(Salary_Calculation[[#This Row],[Source Row]]="","",ROUND(Salary_Calculation[[#This Row],[Negative Balance / Amount Due from Rider]]+MAX(Salary_Calculation[[#This Row],[Total Deductions]]-Salary_Calculation[[#This Row],[Gross Salary Before Deductions]],0),2))</f>
        <v/>
      </c>
      <c r="AC32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20" s="164" t="str">
        <f aca="false">IF(Salary_Calculation[[#This Row],[Source Row]]="","",Salary_Calculation[[#This Row],[Rider Target Orders]]*Salary_Calculation[[#This Row],[Base Order Rate]])</f>
        <v/>
      </c>
      <c r="AE320" s="162" t="str">
        <f aca="false">IF(SUMPRODUCT(--(LEN(INDEX(Rider_Input[#Data],ROW()-ROW(Salary_Calculation[#Headers]),0))&gt;0))=0,"",ROW()-ROW(Salary_Calculation[#Headers]))</f>
        <v/>
      </c>
    </row>
    <row r="321" customFormat="false" ht="14.25" hidden="false" customHeight="false" outlineLevel="0" collapsed="false">
      <c r="A321" s="161" t="str">
        <f aca="false">IF(Salary_Calculation[[#This Row],[Source Row]]="","",IF(INDEX(Rider_Input[Salary Month],Salary_Calculation[[#This Row],[Source Row]])="","",INDEX(Rider_Input[Salary Month],Salary_Calculation[[#This Row],[Source Row]])))</f>
        <v/>
      </c>
      <c r="B321" s="162" t="str">
        <f aca="false">IF(Salary_Calculation[[#This Row],[Source Row]]="","",IF(INDEX(Rider_Input[Rider ID],Salary_Calculation[[#This Row],[Source Row]])="","",INDEX(Rider_Input[Rider ID],Salary_Calculation[[#This Row],[Source Row]])))</f>
        <v/>
      </c>
      <c r="C321" s="163" t="str">
        <f aca="false">IF(Salary_Calculation[[#This Row],[Source Row]]="","",IF(INDEX(Rider_Input[Rider Name],Salary_Calculation[[#This Row],[Source Row]])="","",INDEX(Rider_Input[Rider Name],Salary_Calculation[[#This Row],[Source Row]])))</f>
        <v/>
      </c>
      <c r="D321" s="164" t="str">
        <f aca="false">IF(Salary_Calculation[[#This Row],[Source Row]]="","",IF(INDEX(Rider_Input[Basic Payment],Salary_Calculation[[#This Row],[Source Row]])="","",INDEX(Rider_Input[Basic Payment],Salary_Calculation[[#This Row],[Source Row]])))</f>
        <v/>
      </c>
      <c r="E321" s="162" t="str">
        <f aca="false">IF(Salary_Calculation[[#This Row],[Source Row]]="","",IF(INDEX(Rider_Input[Calendar Days in Month],Salary_Calculation[[#This Row],[Source Row]])="","",INDEX(Rider_Input[Calendar Days in Month],Salary_Calculation[[#This Row],[Source Row]])))</f>
        <v/>
      </c>
      <c r="F321" s="162" t="str">
        <f aca="false">IF(Salary_Calculation[[#This Row],[Source Row]]="","",IF(INDEX(Rider_Input[Working Days],Salary_Calculation[[#This Row],[Source Row]])="","",INDEX(Rider_Input[Working Days],Salary_Calculation[[#This Row],[Source Row]])))</f>
        <v/>
      </c>
      <c r="G321" s="165" t="str">
        <f aca="false">IF(Salary_Calculation[[#This Row],[Source Row]]="","",Std_Orders/Std_Days*N(Salary_Calculation[[#This Row],[Calendar Days]]))</f>
        <v/>
      </c>
      <c r="H321" s="165" t="str">
        <f aca="false">IF(Salary_Calculation[[#This Row],[Source Row]]="","",IF(N(Salary_Calculation[[#This Row],[Calendar Days]])&gt;0,Salary_Calculation[[#This Row],[Monthly Target Orders]]/N(Salary_Calculation[[#This Row],[Calendar Days]])*N(Salary_Calculation[[#This Row],[Working Days]]),0))</f>
        <v/>
      </c>
      <c r="I321" s="166" t="str">
        <f aca="false">IF(Salary_Calculation[[#This Row],[Source Row]]="","",IF(INDEX(Rider_Input[Completed Orders],Salary_Calculation[[#This Row],[Source Row]])="","",INDEX(Rider_Input[Completed Orders],Salary_Calculation[[#This Row],[Source Row]])))</f>
        <v/>
      </c>
      <c r="J321" s="165" t="str">
        <f aca="false">IF(Salary_Calculation[[#This Row],[Source Row]]="","",IF(Rate_Method="Fixed rate",Fixed_Rate,IF(N(Salary_Calculation[[#This Row],[Basic Payment]])&gt;0,N(Salary_Calculation[[#This Row],[Basic Payment]])/Std_Orders,0)))</f>
        <v/>
      </c>
      <c r="K321" s="165" t="str">
        <f aca="false">IF(Salary_Calculation[[#This Row],[Source Row]]="","",MAX(MIN(N(Salary_Calculation[[#This Row],[Completed Orders]]),Salary_Calculation[[#This Row],[Rider Target Orders]]),0))</f>
        <v/>
      </c>
      <c r="L321" s="164" t="str">
        <f aca="false">IF(Salary_Calculation[[#This Row],[Source Row]]="","",Salary_Calculation[[#This Row],[Orders Counted at Base Rate]]*Salary_Calculation[[#This Row],[Base Order Rate]])</f>
        <v/>
      </c>
      <c r="M321" s="165" t="str">
        <f aca="false">IF(Salary_Calculation[[#This Row],[Source Row]]="","",MAX(Salary_Calculation[[#This Row],[Rider Target Orders]]-N(Salary_Calculation[[#This Row],[Completed Orders]]),0))</f>
        <v/>
      </c>
      <c r="N321" s="164" t="str">
        <f aca="false">IF(Salary_Calculation[[#This Row],[Source Row]]="","",Salary_Calculation[[#This Row],[Missing Orders]]*Missing_Rate)</f>
        <v/>
      </c>
      <c r="O321" s="165" t="str">
        <f aca="false">IF(Salary_Calculation[[#This Row],[Source Row]]="","",MAX(N(Salary_Calculation[[#This Row],[Completed Orders]])-Salary_Calculation[[#This Row],[Rider Target Orders]],0))</f>
        <v/>
      </c>
      <c r="P321" s="164" t="str">
        <f aca="false">IF(Salary_Calculation[[#This Row],[Source Row]]="","",Salary_Calculation[[#This Row],[Extra Orders]]*Extra_Rate)</f>
        <v/>
      </c>
      <c r="Q321" s="164" t="str">
        <f aca="false">IF(Salary_Calculation[[#This Row],[Source Row]]="","",MAX(Salary_Calculation[[#This Row],[Salary Before Other Deductions]],0))</f>
        <v/>
      </c>
      <c r="R321" s="164" t="str">
        <f aca="false">IF(Salary_Calculation[[#This Row],[Source Row]]="","",N(INDEX(Rider_Input[missed_days_penalty],Salary_Calculation[[#This Row],[Source Row]])))</f>
        <v/>
      </c>
      <c r="S321" s="164" t="str">
        <f aca="false">IF(Salary_Calculation[[#This Row],[Source Row]]="","",N(INDEX(Rider_Input[Rider Balance / محفظة المندوب],Salary_Calculation[[#This Row],[Source Row]])))</f>
        <v/>
      </c>
      <c r="T321" s="164" t="str">
        <f aca="false">IF(Salary_Calculation[[#This Row],[Source Row]]="","",N(INDEX(Rider_Input[stacking_deduction / خصم الطلبات المتعددة],Salary_Calculation[[#This Row],[Source Row]])))</f>
        <v/>
      </c>
      <c r="U321" s="164" t="str">
        <f aca="false">IF(Salary_Calculation[[#This Row],[Source Row]]="","",N(INDEX(Rider_Input[Other Deductions],Salary_Calculation[[#This Row],[Source Row]])))</f>
        <v/>
      </c>
      <c r="V321" s="164" t="str">
        <f aca="false">IF(Salary_Calculation[[#This Row],[Source Row]]="","",N(Salary_Calculation[[#This Row],[missed_days_penalty]])+N(Salary_Calculation[[#This Row],[Rider Balance]])+N(Salary_Calculation[[#This Row],[stacking_deduction]])+N(Salary_Calculation[[#This Row],[Other Deductions]]))</f>
        <v/>
      </c>
      <c r="W321" s="167" t="str">
        <f aca="false">IF(Salary_Calculation[[#This Row],[Source Row]]="","",ROUND(MAX(Salary_Calculation[[#This Row],[Gross Salary Before Deductions]]-Salary_Calculation[[#This Row],[Total Deductions]],0),2))</f>
        <v/>
      </c>
      <c r="X321" s="164" t="str">
        <f aca="false">IF(Salary_Calculation[[#This Row],[Source Row]]="","",ROUND(MAX(Salary_Calculation[[#This Row],[Missing-Order Deduction]]-Salary_Calculation[[#This Row],[Earned Salary]],0),2))</f>
        <v/>
      </c>
      <c r="Y32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21" s="163" t="str">
        <f aca="false">IF(Salary_Calculation[[#This Row],[Source Row]]="","",IF(INDEX(Rider_Input[Notes],Salary_Calculation[[#This Row],[Source Row]])="","",INDEX(Rider_Input[Notes],Salary_Calculation[[#This Row],[Source Row]])))</f>
        <v/>
      </c>
      <c r="AA321" s="164" t="str">
        <f aca="false">IF(Salary_Calculation[[#This Row],[Source Row]]="","",Salary_Calculation[[#This Row],[Earned Salary]]-Salary_Calculation[[#This Row],[Missing-Order Deduction]]+Salary_Calculation[[#This Row],[Extra-Order Bonus]])</f>
        <v/>
      </c>
      <c r="AB321" s="164" t="str">
        <f aca="false">IF(Salary_Calculation[[#This Row],[Source Row]]="","",ROUND(Salary_Calculation[[#This Row],[Negative Balance / Amount Due from Rider]]+MAX(Salary_Calculation[[#This Row],[Total Deductions]]-Salary_Calculation[[#This Row],[Gross Salary Before Deductions]],0),2))</f>
        <v/>
      </c>
      <c r="AC32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21" s="164" t="str">
        <f aca="false">IF(Salary_Calculation[[#This Row],[Source Row]]="","",Salary_Calculation[[#This Row],[Rider Target Orders]]*Salary_Calculation[[#This Row],[Base Order Rate]])</f>
        <v/>
      </c>
      <c r="AE321" s="162" t="str">
        <f aca="false">IF(SUMPRODUCT(--(LEN(INDEX(Rider_Input[#Data],ROW()-ROW(Salary_Calculation[#Headers]),0))&gt;0))=0,"",ROW()-ROW(Salary_Calculation[#Headers]))</f>
        <v/>
      </c>
    </row>
    <row r="322" customFormat="false" ht="14.25" hidden="false" customHeight="false" outlineLevel="0" collapsed="false">
      <c r="A322" s="161" t="str">
        <f aca="false">IF(Salary_Calculation[[#This Row],[Source Row]]="","",IF(INDEX(Rider_Input[Salary Month],Salary_Calculation[[#This Row],[Source Row]])="","",INDEX(Rider_Input[Salary Month],Salary_Calculation[[#This Row],[Source Row]])))</f>
        <v/>
      </c>
      <c r="B322" s="162" t="str">
        <f aca="false">IF(Salary_Calculation[[#This Row],[Source Row]]="","",IF(INDEX(Rider_Input[Rider ID],Salary_Calculation[[#This Row],[Source Row]])="","",INDEX(Rider_Input[Rider ID],Salary_Calculation[[#This Row],[Source Row]])))</f>
        <v/>
      </c>
      <c r="C322" s="163" t="str">
        <f aca="false">IF(Salary_Calculation[[#This Row],[Source Row]]="","",IF(INDEX(Rider_Input[Rider Name],Salary_Calculation[[#This Row],[Source Row]])="","",INDEX(Rider_Input[Rider Name],Salary_Calculation[[#This Row],[Source Row]])))</f>
        <v/>
      </c>
      <c r="D322" s="164" t="str">
        <f aca="false">IF(Salary_Calculation[[#This Row],[Source Row]]="","",IF(INDEX(Rider_Input[Basic Payment],Salary_Calculation[[#This Row],[Source Row]])="","",INDEX(Rider_Input[Basic Payment],Salary_Calculation[[#This Row],[Source Row]])))</f>
        <v/>
      </c>
      <c r="E322" s="162" t="str">
        <f aca="false">IF(Salary_Calculation[[#This Row],[Source Row]]="","",IF(INDEX(Rider_Input[Calendar Days in Month],Salary_Calculation[[#This Row],[Source Row]])="","",INDEX(Rider_Input[Calendar Days in Month],Salary_Calculation[[#This Row],[Source Row]])))</f>
        <v/>
      </c>
      <c r="F322" s="162" t="str">
        <f aca="false">IF(Salary_Calculation[[#This Row],[Source Row]]="","",IF(INDEX(Rider_Input[Working Days],Salary_Calculation[[#This Row],[Source Row]])="","",INDEX(Rider_Input[Working Days],Salary_Calculation[[#This Row],[Source Row]])))</f>
        <v/>
      </c>
      <c r="G322" s="165" t="str">
        <f aca="false">IF(Salary_Calculation[[#This Row],[Source Row]]="","",Std_Orders/Std_Days*N(Salary_Calculation[[#This Row],[Calendar Days]]))</f>
        <v/>
      </c>
      <c r="H322" s="165" t="str">
        <f aca="false">IF(Salary_Calculation[[#This Row],[Source Row]]="","",IF(N(Salary_Calculation[[#This Row],[Calendar Days]])&gt;0,Salary_Calculation[[#This Row],[Monthly Target Orders]]/N(Salary_Calculation[[#This Row],[Calendar Days]])*N(Salary_Calculation[[#This Row],[Working Days]]),0))</f>
        <v/>
      </c>
      <c r="I322" s="166" t="str">
        <f aca="false">IF(Salary_Calculation[[#This Row],[Source Row]]="","",IF(INDEX(Rider_Input[Completed Orders],Salary_Calculation[[#This Row],[Source Row]])="","",INDEX(Rider_Input[Completed Orders],Salary_Calculation[[#This Row],[Source Row]])))</f>
        <v/>
      </c>
      <c r="J322" s="165" t="str">
        <f aca="false">IF(Salary_Calculation[[#This Row],[Source Row]]="","",IF(Rate_Method="Fixed rate",Fixed_Rate,IF(N(Salary_Calculation[[#This Row],[Basic Payment]])&gt;0,N(Salary_Calculation[[#This Row],[Basic Payment]])/Std_Orders,0)))</f>
        <v/>
      </c>
      <c r="K322" s="165" t="str">
        <f aca="false">IF(Salary_Calculation[[#This Row],[Source Row]]="","",MAX(MIN(N(Salary_Calculation[[#This Row],[Completed Orders]]),Salary_Calculation[[#This Row],[Rider Target Orders]]),0))</f>
        <v/>
      </c>
      <c r="L322" s="164" t="str">
        <f aca="false">IF(Salary_Calculation[[#This Row],[Source Row]]="","",Salary_Calculation[[#This Row],[Orders Counted at Base Rate]]*Salary_Calculation[[#This Row],[Base Order Rate]])</f>
        <v/>
      </c>
      <c r="M322" s="165" t="str">
        <f aca="false">IF(Salary_Calculation[[#This Row],[Source Row]]="","",MAX(Salary_Calculation[[#This Row],[Rider Target Orders]]-N(Salary_Calculation[[#This Row],[Completed Orders]]),0))</f>
        <v/>
      </c>
      <c r="N322" s="164" t="str">
        <f aca="false">IF(Salary_Calculation[[#This Row],[Source Row]]="","",Salary_Calculation[[#This Row],[Missing Orders]]*Missing_Rate)</f>
        <v/>
      </c>
      <c r="O322" s="165" t="str">
        <f aca="false">IF(Salary_Calculation[[#This Row],[Source Row]]="","",MAX(N(Salary_Calculation[[#This Row],[Completed Orders]])-Salary_Calculation[[#This Row],[Rider Target Orders]],0))</f>
        <v/>
      </c>
      <c r="P322" s="164" t="str">
        <f aca="false">IF(Salary_Calculation[[#This Row],[Source Row]]="","",Salary_Calculation[[#This Row],[Extra Orders]]*Extra_Rate)</f>
        <v/>
      </c>
      <c r="Q322" s="164" t="str">
        <f aca="false">IF(Salary_Calculation[[#This Row],[Source Row]]="","",MAX(Salary_Calculation[[#This Row],[Salary Before Other Deductions]],0))</f>
        <v/>
      </c>
      <c r="R322" s="164" t="str">
        <f aca="false">IF(Salary_Calculation[[#This Row],[Source Row]]="","",N(INDEX(Rider_Input[missed_days_penalty],Salary_Calculation[[#This Row],[Source Row]])))</f>
        <v/>
      </c>
      <c r="S322" s="164" t="str">
        <f aca="false">IF(Salary_Calculation[[#This Row],[Source Row]]="","",N(INDEX(Rider_Input[Rider Balance / محفظة المندوب],Salary_Calculation[[#This Row],[Source Row]])))</f>
        <v/>
      </c>
      <c r="T322" s="164" t="str">
        <f aca="false">IF(Salary_Calculation[[#This Row],[Source Row]]="","",N(INDEX(Rider_Input[stacking_deduction / خصم الطلبات المتعددة],Salary_Calculation[[#This Row],[Source Row]])))</f>
        <v/>
      </c>
      <c r="U322" s="164" t="str">
        <f aca="false">IF(Salary_Calculation[[#This Row],[Source Row]]="","",N(INDEX(Rider_Input[Other Deductions],Salary_Calculation[[#This Row],[Source Row]])))</f>
        <v/>
      </c>
      <c r="V322" s="164" t="str">
        <f aca="false">IF(Salary_Calculation[[#This Row],[Source Row]]="","",N(Salary_Calculation[[#This Row],[missed_days_penalty]])+N(Salary_Calculation[[#This Row],[Rider Balance]])+N(Salary_Calculation[[#This Row],[stacking_deduction]])+N(Salary_Calculation[[#This Row],[Other Deductions]]))</f>
        <v/>
      </c>
      <c r="W322" s="167" t="str">
        <f aca="false">IF(Salary_Calculation[[#This Row],[Source Row]]="","",ROUND(MAX(Salary_Calculation[[#This Row],[Gross Salary Before Deductions]]-Salary_Calculation[[#This Row],[Total Deductions]],0),2))</f>
        <v/>
      </c>
      <c r="X322" s="164" t="str">
        <f aca="false">IF(Salary_Calculation[[#This Row],[Source Row]]="","",ROUND(MAX(Salary_Calculation[[#This Row],[Missing-Order Deduction]]-Salary_Calculation[[#This Row],[Earned Salary]],0),2))</f>
        <v/>
      </c>
      <c r="Y32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22" s="163" t="str">
        <f aca="false">IF(Salary_Calculation[[#This Row],[Source Row]]="","",IF(INDEX(Rider_Input[Notes],Salary_Calculation[[#This Row],[Source Row]])="","",INDEX(Rider_Input[Notes],Salary_Calculation[[#This Row],[Source Row]])))</f>
        <v/>
      </c>
      <c r="AA322" s="164" t="str">
        <f aca="false">IF(Salary_Calculation[[#This Row],[Source Row]]="","",Salary_Calculation[[#This Row],[Earned Salary]]-Salary_Calculation[[#This Row],[Missing-Order Deduction]]+Salary_Calculation[[#This Row],[Extra-Order Bonus]])</f>
        <v/>
      </c>
      <c r="AB322" s="164" t="str">
        <f aca="false">IF(Salary_Calculation[[#This Row],[Source Row]]="","",ROUND(Salary_Calculation[[#This Row],[Negative Balance / Amount Due from Rider]]+MAX(Salary_Calculation[[#This Row],[Total Deductions]]-Salary_Calculation[[#This Row],[Gross Salary Before Deductions]],0),2))</f>
        <v/>
      </c>
      <c r="AC32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22" s="164" t="str">
        <f aca="false">IF(Salary_Calculation[[#This Row],[Source Row]]="","",Salary_Calculation[[#This Row],[Rider Target Orders]]*Salary_Calculation[[#This Row],[Base Order Rate]])</f>
        <v/>
      </c>
      <c r="AE322" s="162" t="str">
        <f aca="false">IF(SUMPRODUCT(--(LEN(INDEX(Rider_Input[#Data],ROW()-ROW(Salary_Calculation[#Headers]),0))&gt;0))=0,"",ROW()-ROW(Salary_Calculation[#Headers]))</f>
        <v/>
      </c>
    </row>
    <row r="323" customFormat="false" ht="14.25" hidden="false" customHeight="false" outlineLevel="0" collapsed="false">
      <c r="A323" s="161" t="str">
        <f aca="false">IF(Salary_Calculation[[#This Row],[Source Row]]="","",IF(INDEX(Rider_Input[Salary Month],Salary_Calculation[[#This Row],[Source Row]])="","",INDEX(Rider_Input[Salary Month],Salary_Calculation[[#This Row],[Source Row]])))</f>
        <v/>
      </c>
      <c r="B323" s="162" t="str">
        <f aca="false">IF(Salary_Calculation[[#This Row],[Source Row]]="","",IF(INDEX(Rider_Input[Rider ID],Salary_Calculation[[#This Row],[Source Row]])="","",INDEX(Rider_Input[Rider ID],Salary_Calculation[[#This Row],[Source Row]])))</f>
        <v/>
      </c>
      <c r="C323" s="163" t="str">
        <f aca="false">IF(Salary_Calculation[[#This Row],[Source Row]]="","",IF(INDEX(Rider_Input[Rider Name],Salary_Calculation[[#This Row],[Source Row]])="","",INDEX(Rider_Input[Rider Name],Salary_Calculation[[#This Row],[Source Row]])))</f>
        <v/>
      </c>
      <c r="D323" s="164" t="str">
        <f aca="false">IF(Salary_Calculation[[#This Row],[Source Row]]="","",IF(INDEX(Rider_Input[Basic Payment],Salary_Calculation[[#This Row],[Source Row]])="","",INDEX(Rider_Input[Basic Payment],Salary_Calculation[[#This Row],[Source Row]])))</f>
        <v/>
      </c>
      <c r="E323" s="162" t="str">
        <f aca="false">IF(Salary_Calculation[[#This Row],[Source Row]]="","",IF(INDEX(Rider_Input[Calendar Days in Month],Salary_Calculation[[#This Row],[Source Row]])="","",INDEX(Rider_Input[Calendar Days in Month],Salary_Calculation[[#This Row],[Source Row]])))</f>
        <v/>
      </c>
      <c r="F323" s="162" t="str">
        <f aca="false">IF(Salary_Calculation[[#This Row],[Source Row]]="","",IF(INDEX(Rider_Input[Working Days],Salary_Calculation[[#This Row],[Source Row]])="","",INDEX(Rider_Input[Working Days],Salary_Calculation[[#This Row],[Source Row]])))</f>
        <v/>
      </c>
      <c r="G323" s="165" t="str">
        <f aca="false">IF(Salary_Calculation[[#This Row],[Source Row]]="","",Std_Orders/Std_Days*N(Salary_Calculation[[#This Row],[Calendar Days]]))</f>
        <v/>
      </c>
      <c r="H323" s="165" t="str">
        <f aca="false">IF(Salary_Calculation[[#This Row],[Source Row]]="","",IF(N(Salary_Calculation[[#This Row],[Calendar Days]])&gt;0,Salary_Calculation[[#This Row],[Monthly Target Orders]]/N(Salary_Calculation[[#This Row],[Calendar Days]])*N(Salary_Calculation[[#This Row],[Working Days]]),0))</f>
        <v/>
      </c>
      <c r="I323" s="166" t="str">
        <f aca="false">IF(Salary_Calculation[[#This Row],[Source Row]]="","",IF(INDEX(Rider_Input[Completed Orders],Salary_Calculation[[#This Row],[Source Row]])="","",INDEX(Rider_Input[Completed Orders],Salary_Calculation[[#This Row],[Source Row]])))</f>
        <v/>
      </c>
      <c r="J323" s="165" t="str">
        <f aca="false">IF(Salary_Calculation[[#This Row],[Source Row]]="","",IF(Rate_Method="Fixed rate",Fixed_Rate,IF(N(Salary_Calculation[[#This Row],[Basic Payment]])&gt;0,N(Salary_Calculation[[#This Row],[Basic Payment]])/Std_Orders,0)))</f>
        <v/>
      </c>
      <c r="K323" s="165" t="str">
        <f aca="false">IF(Salary_Calculation[[#This Row],[Source Row]]="","",MAX(MIN(N(Salary_Calculation[[#This Row],[Completed Orders]]),Salary_Calculation[[#This Row],[Rider Target Orders]]),0))</f>
        <v/>
      </c>
      <c r="L323" s="164" t="str">
        <f aca="false">IF(Salary_Calculation[[#This Row],[Source Row]]="","",Salary_Calculation[[#This Row],[Orders Counted at Base Rate]]*Salary_Calculation[[#This Row],[Base Order Rate]])</f>
        <v/>
      </c>
      <c r="M323" s="165" t="str">
        <f aca="false">IF(Salary_Calculation[[#This Row],[Source Row]]="","",MAX(Salary_Calculation[[#This Row],[Rider Target Orders]]-N(Salary_Calculation[[#This Row],[Completed Orders]]),0))</f>
        <v/>
      </c>
      <c r="N323" s="164" t="str">
        <f aca="false">IF(Salary_Calculation[[#This Row],[Source Row]]="","",Salary_Calculation[[#This Row],[Missing Orders]]*Missing_Rate)</f>
        <v/>
      </c>
      <c r="O323" s="165" t="str">
        <f aca="false">IF(Salary_Calculation[[#This Row],[Source Row]]="","",MAX(N(Salary_Calculation[[#This Row],[Completed Orders]])-Salary_Calculation[[#This Row],[Rider Target Orders]],0))</f>
        <v/>
      </c>
      <c r="P323" s="164" t="str">
        <f aca="false">IF(Salary_Calculation[[#This Row],[Source Row]]="","",Salary_Calculation[[#This Row],[Extra Orders]]*Extra_Rate)</f>
        <v/>
      </c>
      <c r="Q323" s="164" t="str">
        <f aca="false">IF(Salary_Calculation[[#This Row],[Source Row]]="","",MAX(Salary_Calculation[[#This Row],[Salary Before Other Deductions]],0))</f>
        <v/>
      </c>
      <c r="R323" s="164" t="str">
        <f aca="false">IF(Salary_Calculation[[#This Row],[Source Row]]="","",N(INDEX(Rider_Input[missed_days_penalty],Salary_Calculation[[#This Row],[Source Row]])))</f>
        <v/>
      </c>
      <c r="S323" s="164" t="str">
        <f aca="false">IF(Salary_Calculation[[#This Row],[Source Row]]="","",N(INDEX(Rider_Input[Rider Balance / محفظة المندوب],Salary_Calculation[[#This Row],[Source Row]])))</f>
        <v/>
      </c>
      <c r="T323" s="164" t="str">
        <f aca="false">IF(Salary_Calculation[[#This Row],[Source Row]]="","",N(INDEX(Rider_Input[stacking_deduction / خصم الطلبات المتعددة],Salary_Calculation[[#This Row],[Source Row]])))</f>
        <v/>
      </c>
      <c r="U323" s="164" t="str">
        <f aca="false">IF(Salary_Calculation[[#This Row],[Source Row]]="","",N(INDEX(Rider_Input[Other Deductions],Salary_Calculation[[#This Row],[Source Row]])))</f>
        <v/>
      </c>
      <c r="V323" s="164" t="str">
        <f aca="false">IF(Salary_Calculation[[#This Row],[Source Row]]="","",N(Salary_Calculation[[#This Row],[missed_days_penalty]])+N(Salary_Calculation[[#This Row],[Rider Balance]])+N(Salary_Calculation[[#This Row],[stacking_deduction]])+N(Salary_Calculation[[#This Row],[Other Deductions]]))</f>
        <v/>
      </c>
      <c r="W323" s="167" t="str">
        <f aca="false">IF(Salary_Calculation[[#This Row],[Source Row]]="","",ROUND(MAX(Salary_Calculation[[#This Row],[Gross Salary Before Deductions]]-Salary_Calculation[[#This Row],[Total Deductions]],0),2))</f>
        <v/>
      </c>
      <c r="X323" s="164" t="str">
        <f aca="false">IF(Salary_Calculation[[#This Row],[Source Row]]="","",ROUND(MAX(Salary_Calculation[[#This Row],[Missing-Order Deduction]]-Salary_Calculation[[#This Row],[Earned Salary]],0),2))</f>
        <v/>
      </c>
      <c r="Y32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23" s="163" t="str">
        <f aca="false">IF(Salary_Calculation[[#This Row],[Source Row]]="","",IF(INDEX(Rider_Input[Notes],Salary_Calculation[[#This Row],[Source Row]])="","",INDEX(Rider_Input[Notes],Salary_Calculation[[#This Row],[Source Row]])))</f>
        <v/>
      </c>
      <c r="AA323" s="164" t="str">
        <f aca="false">IF(Salary_Calculation[[#This Row],[Source Row]]="","",Salary_Calculation[[#This Row],[Earned Salary]]-Salary_Calculation[[#This Row],[Missing-Order Deduction]]+Salary_Calculation[[#This Row],[Extra-Order Bonus]])</f>
        <v/>
      </c>
      <c r="AB323" s="164" t="str">
        <f aca="false">IF(Salary_Calculation[[#This Row],[Source Row]]="","",ROUND(Salary_Calculation[[#This Row],[Negative Balance / Amount Due from Rider]]+MAX(Salary_Calculation[[#This Row],[Total Deductions]]-Salary_Calculation[[#This Row],[Gross Salary Before Deductions]],0),2))</f>
        <v/>
      </c>
      <c r="AC32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23" s="164" t="str">
        <f aca="false">IF(Salary_Calculation[[#This Row],[Source Row]]="","",Salary_Calculation[[#This Row],[Rider Target Orders]]*Salary_Calculation[[#This Row],[Base Order Rate]])</f>
        <v/>
      </c>
      <c r="AE323" s="162" t="str">
        <f aca="false">IF(SUMPRODUCT(--(LEN(INDEX(Rider_Input[#Data],ROW()-ROW(Salary_Calculation[#Headers]),0))&gt;0))=0,"",ROW()-ROW(Salary_Calculation[#Headers]))</f>
        <v/>
      </c>
    </row>
    <row r="324" customFormat="false" ht="14.25" hidden="false" customHeight="false" outlineLevel="0" collapsed="false">
      <c r="A324" s="161" t="str">
        <f aca="false">IF(Salary_Calculation[[#This Row],[Source Row]]="","",IF(INDEX(Rider_Input[Salary Month],Salary_Calculation[[#This Row],[Source Row]])="","",INDEX(Rider_Input[Salary Month],Salary_Calculation[[#This Row],[Source Row]])))</f>
        <v/>
      </c>
      <c r="B324" s="162" t="str">
        <f aca="false">IF(Salary_Calculation[[#This Row],[Source Row]]="","",IF(INDEX(Rider_Input[Rider ID],Salary_Calculation[[#This Row],[Source Row]])="","",INDEX(Rider_Input[Rider ID],Salary_Calculation[[#This Row],[Source Row]])))</f>
        <v/>
      </c>
      <c r="C324" s="163" t="str">
        <f aca="false">IF(Salary_Calculation[[#This Row],[Source Row]]="","",IF(INDEX(Rider_Input[Rider Name],Salary_Calculation[[#This Row],[Source Row]])="","",INDEX(Rider_Input[Rider Name],Salary_Calculation[[#This Row],[Source Row]])))</f>
        <v/>
      </c>
      <c r="D324" s="164" t="str">
        <f aca="false">IF(Salary_Calculation[[#This Row],[Source Row]]="","",IF(INDEX(Rider_Input[Basic Payment],Salary_Calculation[[#This Row],[Source Row]])="","",INDEX(Rider_Input[Basic Payment],Salary_Calculation[[#This Row],[Source Row]])))</f>
        <v/>
      </c>
      <c r="E324" s="162" t="str">
        <f aca="false">IF(Salary_Calculation[[#This Row],[Source Row]]="","",IF(INDEX(Rider_Input[Calendar Days in Month],Salary_Calculation[[#This Row],[Source Row]])="","",INDEX(Rider_Input[Calendar Days in Month],Salary_Calculation[[#This Row],[Source Row]])))</f>
        <v/>
      </c>
      <c r="F324" s="162" t="str">
        <f aca="false">IF(Salary_Calculation[[#This Row],[Source Row]]="","",IF(INDEX(Rider_Input[Working Days],Salary_Calculation[[#This Row],[Source Row]])="","",INDEX(Rider_Input[Working Days],Salary_Calculation[[#This Row],[Source Row]])))</f>
        <v/>
      </c>
      <c r="G324" s="165" t="str">
        <f aca="false">IF(Salary_Calculation[[#This Row],[Source Row]]="","",Std_Orders/Std_Days*N(Salary_Calculation[[#This Row],[Calendar Days]]))</f>
        <v/>
      </c>
      <c r="H324" s="165" t="str">
        <f aca="false">IF(Salary_Calculation[[#This Row],[Source Row]]="","",IF(N(Salary_Calculation[[#This Row],[Calendar Days]])&gt;0,Salary_Calculation[[#This Row],[Monthly Target Orders]]/N(Salary_Calculation[[#This Row],[Calendar Days]])*N(Salary_Calculation[[#This Row],[Working Days]]),0))</f>
        <v/>
      </c>
      <c r="I324" s="166" t="str">
        <f aca="false">IF(Salary_Calculation[[#This Row],[Source Row]]="","",IF(INDEX(Rider_Input[Completed Orders],Salary_Calculation[[#This Row],[Source Row]])="","",INDEX(Rider_Input[Completed Orders],Salary_Calculation[[#This Row],[Source Row]])))</f>
        <v/>
      </c>
      <c r="J324" s="165" t="str">
        <f aca="false">IF(Salary_Calculation[[#This Row],[Source Row]]="","",IF(Rate_Method="Fixed rate",Fixed_Rate,IF(N(Salary_Calculation[[#This Row],[Basic Payment]])&gt;0,N(Salary_Calculation[[#This Row],[Basic Payment]])/Std_Orders,0)))</f>
        <v/>
      </c>
      <c r="K324" s="165" t="str">
        <f aca="false">IF(Salary_Calculation[[#This Row],[Source Row]]="","",MAX(MIN(N(Salary_Calculation[[#This Row],[Completed Orders]]),Salary_Calculation[[#This Row],[Rider Target Orders]]),0))</f>
        <v/>
      </c>
      <c r="L324" s="164" t="str">
        <f aca="false">IF(Salary_Calculation[[#This Row],[Source Row]]="","",Salary_Calculation[[#This Row],[Orders Counted at Base Rate]]*Salary_Calculation[[#This Row],[Base Order Rate]])</f>
        <v/>
      </c>
      <c r="M324" s="165" t="str">
        <f aca="false">IF(Salary_Calculation[[#This Row],[Source Row]]="","",MAX(Salary_Calculation[[#This Row],[Rider Target Orders]]-N(Salary_Calculation[[#This Row],[Completed Orders]]),0))</f>
        <v/>
      </c>
      <c r="N324" s="164" t="str">
        <f aca="false">IF(Salary_Calculation[[#This Row],[Source Row]]="","",Salary_Calculation[[#This Row],[Missing Orders]]*Missing_Rate)</f>
        <v/>
      </c>
      <c r="O324" s="165" t="str">
        <f aca="false">IF(Salary_Calculation[[#This Row],[Source Row]]="","",MAX(N(Salary_Calculation[[#This Row],[Completed Orders]])-Salary_Calculation[[#This Row],[Rider Target Orders]],0))</f>
        <v/>
      </c>
      <c r="P324" s="164" t="str">
        <f aca="false">IF(Salary_Calculation[[#This Row],[Source Row]]="","",Salary_Calculation[[#This Row],[Extra Orders]]*Extra_Rate)</f>
        <v/>
      </c>
      <c r="Q324" s="164" t="str">
        <f aca="false">IF(Salary_Calculation[[#This Row],[Source Row]]="","",MAX(Salary_Calculation[[#This Row],[Salary Before Other Deductions]],0))</f>
        <v/>
      </c>
      <c r="R324" s="164" t="str">
        <f aca="false">IF(Salary_Calculation[[#This Row],[Source Row]]="","",N(INDEX(Rider_Input[missed_days_penalty],Salary_Calculation[[#This Row],[Source Row]])))</f>
        <v/>
      </c>
      <c r="S324" s="164" t="str">
        <f aca="false">IF(Salary_Calculation[[#This Row],[Source Row]]="","",N(INDEX(Rider_Input[Rider Balance / محفظة المندوب],Salary_Calculation[[#This Row],[Source Row]])))</f>
        <v/>
      </c>
      <c r="T324" s="164" t="str">
        <f aca="false">IF(Salary_Calculation[[#This Row],[Source Row]]="","",N(INDEX(Rider_Input[stacking_deduction / خصم الطلبات المتعددة],Salary_Calculation[[#This Row],[Source Row]])))</f>
        <v/>
      </c>
      <c r="U324" s="164" t="str">
        <f aca="false">IF(Salary_Calculation[[#This Row],[Source Row]]="","",N(INDEX(Rider_Input[Other Deductions],Salary_Calculation[[#This Row],[Source Row]])))</f>
        <v/>
      </c>
      <c r="V324" s="164" t="str">
        <f aca="false">IF(Salary_Calculation[[#This Row],[Source Row]]="","",N(Salary_Calculation[[#This Row],[missed_days_penalty]])+N(Salary_Calculation[[#This Row],[Rider Balance]])+N(Salary_Calculation[[#This Row],[stacking_deduction]])+N(Salary_Calculation[[#This Row],[Other Deductions]]))</f>
        <v/>
      </c>
      <c r="W324" s="167" t="str">
        <f aca="false">IF(Salary_Calculation[[#This Row],[Source Row]]="","",ROUND(MAX(Salary_Calculation[[#This Row],[Gross Salary Before Deductions]]-Salary_Calculation[[#This Row],[Total Deductions]],0),2))</f>
        <v/>
      </c>
      <c r="X324" s="164" t="str">
        <f aca="false">IF(Salary_Calculation[[#This Row],[Source Row]]="","",ROUND(MAX(Salary_Calculation[[#This Row],[Missing-Order Deduction]]-Salary_Calculation[[#This Row],[Earned Salary]],0),2))</f>
        <v/>
      </c>
      <c r="Y32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24" s="163" t="str">
        <f aca="false">IF(Salary_Calculation[[#This Row],[Source Row]]="","",IF(INDEX(Rider_Input[Notes],Salary_Calculation[[#This Row],[Source Row]])="","",INDEX(Rider_Input[Notes],Salary_Calculation[[#This Row],[Source Row]])))</f>
        <v/>
      </c>
      <c r="AA324" s="164" t="str">
        <f aca="false">IF(Salary_Calculation[[#This Row],[Source Row]]="","",Salary_Calculation[[#This Row],[Earned Salary]]-Salary_Calculation[[#This Row],[Missing-Order Deduction]]+Salary_Calculation[[#This Row],[Extra-Order Bonus]])</f>
        <v/>
      </c>
      <c r="AB324" s="164" t="str">
        <f aca="false">IF(Salary_Calculation[[#This Row],[Source Row]]="","",ROUND(Salary_Calculation[[#This Row],[Negative Balance / Amount Due from Rider]]+MAX(Salary_Calculation[[#This Row],[Total Deductions]]-Salary_Calculation[[#This Row],[Gross Salary Before Deductions]],0),2))</f>
        <v/>
      </c>
      <c r="AC32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24" s="164" t="str">
        <f aca="false">IF(Salary_Calculation[[#This Row],[Source Row]]="","",Salary_Calculation[[#This Row],[Rider Target Orders]]*Salary_Calculation[[#This Row],[Base Order Rate]])</f>
        <v/>
      </c>
      <c r="AE324" s="162" t="str">
        <f aca="false">IF(SUMPRODUCT(--(LEN(INDEX(Rider_Input[#Data],ROW()-ROW(Salary_Calculation[#Headers]),0))&gt;0))=0,"",ROW()-ROW(Salary_Calculation[#Headers]))</f>
        <v/>
      </c>
    </row>
    <row r="325" customFormat="false" ht="14.25" hidden="false" customHeight="false" outlineLevel="0" collapsed="false">
      <c r="A325" s="161" t="str">
        <f aca="false">IF(Salary_Calculation[[#This Row],[Source Row]]="","",IF(INDEX(Rider_Input[Salary Month],Salary_Calculation[[#This Row],[Source Row]])="","",INDEX(Rider_Input[Salary Month],Salary_Calculation[[#This Row],[Source Row]])))</f>
        <v/>
      </c>
      <c r="B325" s="162" t="str">
        <f aca="false">IF(Salary_Calculation[[#This Row],[Source Row]]="","",IF(INDEX(Rider_Input[Rider ID],Salary_Calculation[[#This Row],[Source Row]])="","",INDEX(Rider_Input[Rider ID],Salary_Calculation[[#This Row],[Source Row]])))</f>
        <v/>
      </c>
      <c r="C325" s="163" t="str">
        <f aca="false">IF(Salary_Calculation[[#This Row],[Source Row]]="","",IF(INDEX(Rider_Input[Rider Name],Salary_Calculation[[#This Row],[Source Row]])="","",INDEX(Rider_Input[Rider Name],Salary_Calculation[[#This Row],[Source Row]])))</f>
        <v/>
      </c>
      <c r="D325" s="164" t="str">
        <f aca="false">IF(Salary_Calculation[[#This Row],[Source Row]]="","",IF(INDEX(Rider_Input[Basic Payment],Salary_Calculation[[#This Row],[Source Row]])="","",INDEX(Rider_Input[Basic Payment],Salary_Calculation[[#This Row],[Source Row]])))</f>
        <v/>
      </c>
      <c r="E325" s="162" t="str">
        <f aca="false">IF(Salary_Calculation[[#This Row],[Source Row]]="","",IF(INDEX(Rider_Input[Calendar Days in Month],Salary_Calculation[[#This Row],[Source Row]])="","",INDEX(Rider_Input[Calendar Days in Month],Salary_Calculation[[#This Row],[Source Row]])))</f>
        <v/>
      </c>
      <c r="F325" s="162" t="str">
        <f aca="false">IF(Salary_Calculation[[#This Row],[Source Row]]="","",IF(INDEX(Rider_Input[Working Days],Salary_Calculation[[#This Row],[Source Row]])="","",INDEX(Rider_Input[Working Days],Salary_Calculation[[#This Row],[Source Row]])))</f>
        <v/>
      </c>
      <c r="G325" s="165" t="str">
        <f aca="false">IF(Salary_Calculation[[#This Row],[Source Row]]="","",Std_Orders/Std_Days*N(Salary_Calculation[[#This Row],[Calendar Days]]))</f>
        <v/>
      </c>
      <c r="H325" s="165" t="str">
        <f aca="false">IF(Salary_Calculation[[#This Row],[Source Row]]="","",IF(N(Salary_Calculation[[#This Row],[Calendar Days]])&gt;0,Salary_Calculation[[#This Row],[Monthly Target Orders]]/N(Salary_Calculation[[#This Row],[Calendar Days]])*N(Salary_Calculation[[#This Row],[Working Days]]),0))</f>
        <v/>
      </c>
      <c r="I325" s="166" t="str">
        <f aca="false">IF(Salary_Calculation[[#This Row],[Source Row]]="","",IF(INDEX(Rider_Input[Completed Orders],Salary_Calculation[[#This Row],[Source Row]])="","",INDEX(Rider_Input[Completed Orders],Salary_Calculation[[#This Row],[Source Row]])))</f>
        <v/>
      </c>
      <c r="J325" s="165" t="str">
        <f aca="false">IF(Salary_Calculation[[#This Row],[Source Row]]="","",IF(Rate_Method="Fixed rate",Fixed_Rate,IF(N(Salary_Calculation[[#This Row],[Basic Payment]])&gt;0,N(Salary_Calculation[[#This Row],[Basic Payment]])/Std_Orders,0)))</f>
        <v/>
      </c>
      <c r="K325" s="165" t="str">
        <f aca="false">IF(Salary_Calculation[[#This Row],[Source Row]]="","",MAX(MIN(N(Salary_Calculation[[#This Row],[Completed Orders]]),Salary_Calculation[[#This Row],[Rider Target Orders]]),0))</f>
        <v/>
      </c>
      <c r="L325" s="164" t="str">
        <f aca="false">IF(Salary_Calculation[[#This Row],[Source Row]]="","",Salary_Calculation[[#This Row],[Orders Counted at Base Rate]]*Salary_Calculation[[#This Row],[Base Order Rate]])</f>
        <v/>
      </c>
      <c r="M325" s="165" t="str">
        <f aca="false">IF(Salary_Calculation[[#This Row],[Source Row]]="","",MAX(Salary_Calculation[[#This Row],[Rider Target Orders]]-N(Salary_Calculation[[#This Row],[Completed Orders]]),0))</f>
        <v/>
      </c>
      <c r="N325" s="164" t="str">
        <f aca="false">IF(Salary_Calculation[[#This Row],[Source Row]]="","",Salary_Calculation[[#This Row],[Missing Orders]]*Missing_Rate)</f>
        <v/>
      </c>
      <c r="O325" s="165" t="str">
        <f aca="false">IF(Salary_Calculation[[#This Row],[Source Row]]="","",MAX(N(Salary_Calculation[[#This Row],[Completed Orders]])-Salary_Calculation[[#This Row],[Rider Target Orders]],0))</f>
        <v/>
      </c>
      <c r="P325" s="164" t="str">
        <f aca="false">IF(Salary_Calculation[[#This Row],[Source Row]]="","",Salary_Calculation[[#This Row],[Extra Orders]]*Extra_Rate)</f>
        <v/>
      </c>
      <c r="Q325" s="164" t="str">
        <f aca="false">IF(Salary_Calculation[[#This Row],[Source Row]]="","",MAX(Salary_Calculation[[#This Row],[Salary Before Other Deductions]],0))</f>
        <v/>
      </c>
      <c r="R325" s="164" t="str">
        <f aca="false">IF(Salary_Calculation[[#This Row],[Source Row]]="","",N(INDEX(Rider_Input[missed_days_penalty],Salary_Calculation[[#This Row],[Source Row]])))</f>
        <v/>
      </c>
      <c r="S325" s="164" t="str">
        <f aca="false">IF(Salary_Calculation[[#This Row],[Source Row]]="","",N(INDEX(Rider_Input[Rider Balance / محفظة المندوب],Salary_Calculation[[#This Row],[Source Row]])))</f>
        <v/>
      </c>
      <c r="T325" s="164" t="str">
        <f aca="false">IF(Salary_Calculation[[#This Row],[Source Row]]="","",N(INDEX(Rider_Input[stacking_deduction / خصم الطلبات المتعددة],Salary_Calculation[[#This Row],[Source Row]])))</f>
        <v/>
      </c>
      <c r="U325" s="164" t="str">
        <f aca="false">IF(Salary_Calculation[[#This Row],[Source Row]]="","",N(INDEX(Rider_Input[Other Deductions],Salary_Calculation[[#This Row],[Source Row]])))</f>
        <v/>
      </c>
      <c r="V325" s="164" t="str">
        <f aca="false">IF(Salary_Calculation[[#This Row],[Source Row]]="","",N(Salary_Calculation[[#This Row],[missed_days_penalty]])+N(Salary_Calculation[[#This Row],[Rider Balance]])+N(Salary_Calculation[[#This Row],[stacking_deduction]])+N(Salary_Calculation[[#This Row],[Other Deductions]]))</f>
        <v/>
      </c>
      <c r="W325" s="167" t="str">
        <f aca="false">IF(Salary_Calculation[[#This Row],[Source Row]]="","",ROUND(MAX(Salary_Calculation[[#This Row],[Gross Salary Before Deductions]]-Salary_Calculation[[#This Row],[Total Deductions]],0),2))</f>
        <v/>
      </c>
      <c r="X325" s="164" t="str">
        <f aca="false">IF(Salary_Calculation[[#This Row],[Source Row]]="","",ROUND(MAX(Salary_Calculation[[#This Row],[Missing-Order Deduction]]-Salary_Calculation[[#This Row],[Earned Salary]],0),2))</f>
        <v/>
      </c>
      <c r="Y32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25" s="163" t="str">
        <f aca="false">IF(Salary_Calculation[[#This Row],[Source Row]]="","",IF(INDEX(Rider_Input[Notes],Salary_Calculation[[#This Row],[Source Row]])="","",INDEX(Rider_Input[Notes],Salary_Calculation[[#This Row],[Source Row]])))</f>
        <v/>
      </c>
      <c r="AA325" s="164" t="str">
        <f aca="false">IF(Salary_Calculation[[#This Row],[Source Row]]="","",Salary_Calculation[[#This Row],[Earned Salary]]-Salary_Calculation[[#This Row],[Missing-Order Deduction]]+Salary_Calculation[[#This Row],[Extra-Order Bonus]])</f>
        <v/>
      </c>
      <c r="AB325" s="164" t="str">
        <f aca="false">IF(Salary_Calculation[[#This Row],[Source Row]]="","",ROUND(Salary_Calculation[[#This Row],[Negative Balance / Amount Due from Rider]]+MAX(Salary_Calculation[[#This Row],[Total Deductions]]-Salary_Calculation[[#This Row],[Gross Salary Before Deductions]],0),2))</f>
        <v/>
      </c>
      <c r="AC32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25" s="164" t="str">
        <f aca="false">IF(Salary_Calculation[[#This Row],[Source Row]]="","",Salary_Calculation[[#This Row],[Rider Target Orders]]*Salary_Calculation[[#This Row],[Base Order Rate]])</f>
        <v/>
      </c>
      <c r="AE325" s="162" t="str">
        <f aca="false">IF(SUMPRODUCT(--(LEN(INDEX(Rider_Input[#Data],ROW()-ROW(Salary_Calculation[#Headers]),0))&gt;0))=0,"",ROW()-ROW(Salary_Calculation[#Headers]))</f>
        <v/>
      </c>
    </row>
    <row r="326" customFormat="false" ht="14.25" hidden="false" customHeight="false" outlineLevel="0" collapsed="false">
      <c r="A326" s="161" t="str">
        <f aca="false">IF(Salary_Calculation[[#This Row],[Source Row]]="","",IF(INDEX(Rider_Input[Salary Month],Salary_Calculation[[#This Row],[Source Row]])="","",INDEX(Rider_Input[Salary Month],Salary_Calculation[[#This Row],[Source Row]])))</f>
        <v/>
      </c>
      <c r="B326" s="162" t="str">
        <f aca="false">IF(Salary_Calculation[[#This Row],[Source Row]]="","",IF(INDEX(Rider_Input[Rider ID],Salary_Calculation[[#This Row],[Source Row]])="","",INDEX(Rider_Input[Rider ID],Salary_Calculation[[#This Row],[Source Row]])))</f>
        <v/>
      </c>
      <c r="C326" s="163" t="str">
        <f aca="false">IF(Salary_Calculation[[#This Row],[Source Row]]="","",IF(INDEX(Rider_Input[Rider Name],Salary_Calculation[[#This Row],[Source Row]])="","",INDEX(Rider_Input[Rider Name],Salary_Calculation[[#This Row],[Source Row]])))</f>
        <v/>
      </c>
      <c r="D326" s="164" t="str">
        <f aca="false">IF(Salary_Calculation[[#This Row],[Source Row]]="","",IF(INDEX(Rider_Input[Basic Payment],Salary_Calculation[[#This Row],[Source Row]])="","",INDEX(Rider_Input[Basic Payment],Salary_Calculation[[#This Row],[Source Row]])))</f>
        <v/>
      </c>
      <c r="E326" s="162" t="str">
        <f aca="false">IF(Salary_Calculation[[#This Row],[Source Row]]="","",IF(INDEX(Rider_Input[Calendar Days in Month],Salary_Calculation[[#This Row],[Source Row]])="","",INDEX(Rider_Input[Calendar Days in Month],Salary_Calculation[[#This Row],[Source Row]])))</f>
        <v/>
      </c>
      <c r="F326" s="162" t="str">
        <f aca="false">IF(Salary_Calculation[[#This Row],[Source Row]]="","",IF(INDEX(Rider_Input[Working Days],Salary_Calculation[[#This Row],[Source Row]])="","",INDEX(Rider_Input[Working Days],Salary_Calculation[[#This Row],[Source Row]])))</f>
        <v/>
      </c>
      <c r="G326" s="165" t="str">
        <f aca="false">IF(Salary_Calculation[[#This Row],[Source Row]]="","",Std_Orders/Std_Days*N(Salary_Calculation[[#This Row],[Calendar Days]]))</f>
        <v/>
      </c>
      <c r="H326" s="165" t="str">
        <f aca="false">IF(Salary_Calculation[[#This Row],[Source Row]]="","",IF(N(Salary_Calculation[[#This Row],[Calendar Days]])&gt;0,Salary_Calculation[[#This Row],[Monthly Target Orders]]/N(Salary_Calculation[[#This Row],[Calendar Days]])*N(Salary_Calculation[[#This Row],[Working Days]]),0))</f>
        <v/>
      </c>
      <c r="I326" s="166" t="str">
        <f aca="false">IF(Salary_Calculation[[#This Row],[Source Row]]="","",IF(INDEX(Rider_Input[Completed Orders],Salary_Calculation[[#This Row],[Source Row]])="","",INDEX(Rider_Input[Completed Orders],Salary_Calculation[[#This Row],[Source Row]])))</f>
        <v/>
      </c>
      <c r="J326" s="165" t="str">
        <f aca="false">IF(Salary_Calculation[[#This Row],[Source Row]]="","",IF(Rate_Method="Fixed rate",Fixed_Rate,IF(N(Salary_Calculation[[#This Row],[Basic Payment]])&gt;0,N(Salary_Calculation[[#This Row],[Basic Payment]])/Std_Orders,0)))</f>
        <v/>
      </c>
      <c r="K326" s="165" t="str">
        <f aca="false">IF(Salary_Calculation[[#This Row],[Source Row]]="","",MAX(MIN(N(Salary_Calculation[[#This Row],[Completed Orders]]),Salary_Calculation[[#This Row],[Rider Target Orders]]),0))</f>
        <v/>
      </c>
      <c r="L326" s="164" t="str">
        <f aca="false">IF(Salary_Calculation[[#This Row],[Source Row]]="","",Salary_Calculation[[#This Row],[Orders Counted at Base Rate]]*Salary_Calculation[[#This Row],[Base Order Rate]])</f>
        <v/>
      </c>
      <c r="M326" s="165" t="str">
        <f aca="false">IF(Salary_Calculation[[#This Row],[Source Row]]="","",MAX(Salary_Calculation[[#This Row],[Rider Target Orders]]-N(Salary_Calculation[[#This Row],[Completed Orders]]),0))</f>
        <v/>
      </c>
      <c r="N326" s="164" t="str">
        <f aca="false">IF(Salary_Calculation[[#This Row],[Source Row]]="","",Salary_Calculation[[#This Row],[Missing Orders]]*Missing_Rate)</f>
        <v/>
      </c>
      <c r="O326" s="165" t="str">
        <f aca="false">IF(Salary_Calculation[[#This Row],[Source Row]]="","",MAX(N(Salary_Calculation[[#This Row],[Completed Orders]])-Salary_Calculation[[#This Row],[Rider Target Orders]],0))</f>
        <v/>
      </c>
      <c r="P326" s="164" t="str">
        <f aca="false">IF(Salary_Calculation[[#This Row],[Source Row]]="","",Salary_Calculation[[#This Row],[Extra Orders]]*Extra_Rate)</f>
        <v/>
      </c>
      <c r="Q326" s="164" t="str">
        <f aca="false">IF(Salary_Calculation[[#This Row],[Source Row]]="","",MAX(Salary_Calculation[[#This Row],[Salary Before Other Deductions]],0))</f>
        <v/>
      </c>
      <c r="R326" s="164" t="str">
        <f aca="false">IF(Salary_Calculation[[#This Row],[Source Row]]="","",N(INDEX(Rider_Input[missed_days_penalty],Salary_Calculation[[#This Row],[Source Row]])))</f>
        <v/>
      </c>
      <c r="S326" s="164" t="str">
        <f aca="false">IF(Salary_Calculation[[#This Row],[Source Row]]="","",N(INDEX(Rider_Input[Rider Balance / محفظة المندوب],Salary_Calculation[[#This Row],[Source Row]])))</f>
        <v/>
      </c>
      <c r="T326" s="164" t="str">
        <f aca="false">IF(Salary_Calculation[[#This Row],[Source Row]]="","",N(INDEX(Rider_Input[stacking_deduction / خصم الطلبات المتعددة],Salary_Calculation[[#This Row],[Source Row]])))</f>
        <v/>
      </c>
      <c r="U326" s="164" t="str">
        <f aca="false">IF(Salary_Calculation[[#This Row],[Source Row]]="","",N(INDEX(Rider_Input[Other Deductions],Salary_Calculation[[#This Row],[Source Row]])))</f>
        <v/>
      </c>
      <c r="V326" s="164" t="str">
        <f aca="false">IF(Salary_Calculation[[#This Row],[Source Row]]="","",N(Salary_Calculation[[#This Row],[missed_days_penalty]])+N(Salary_Calculation[[#This Row],[Rider Balance]])+N(Salary_Calculation[[#This Row],[stacking_deduction]])+N(Salary_Calculation[[#This Row],[Other Deductions]]))</f>
        <v/>
      </c>
      <c r="W326" s="167" t="str">
        <f aca="false">IF(Salary_Calculation[[#This Row],[Source Row]]="","",ROUND(MAX(Salary_Calculation[[#This Row],[Gross Salary Before Deductions]]-Salary_Calculation[[#This Row],[Total Deductions]],0),2))</f>
        <v/>
      </c>
      <c r="X326" s="164" t="str">
        <f aca="false">IF(Salary_Calculation[[#This Row],[Source Row]]="","",ROUND(MAX(Salary_Calculation[[#This Row],[Missing-Order Deduction]]-Salary_Calculation[[#This Row],[Earned Salary]],0),2))</f>
        <v/>
      </c>
      <c r="Y32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26" s="163" t="str">
        <f aca="false">IF(Salary_Calculation[[#This Row],[Source Row]]="","",IF(INDEX(Rider_Input[Notes],Salary_Calculation[[#This Row],[Source Row]])="","",INDEX(Rider_Input[Notes],Salary_Calculation[[#This Row],[Source Row]])))</f>
        <v/>
      </c>
      <c r="AA326" s="164" t="str">
        <f aca="false">IF(Salary_Calculation[[#This Row],[Source Row]]="","",Salary_Calculation[[#This Row],[Earned Salary]]-Salary_Calculation[[#This Row],[Missing-Order Deduction]]+Salary_Calculation[[#This Row],[Extra-Order Bonus]])</f>
        <v/>
      </c>
      <c r="AB326" s="164" t="str">
        <f aca="false">IF(Salary_Calculation[[#This Row],[Source Row]]="","",ROUND(Salary_Calculation[[#This Row],[Negative Balance / Amount Due from Rider]]+MAX(Salary_Calculation[[#This Row],[Total Deductions]]-Salary_Calculation[[#This Row],[Gross Salary Before Deductions]],0),2))</f>
        <v/>
      </c>
      <c r="AC32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26" s="164" t="str">
        <f aca="false">IF(Salary_Calculation[[#This Row],[Source Row]]="","",Salary_Calculation[[#This Row],[Rider Target Orders]]*Salary_Calculation[[#This Row],[Base Order Rate]])</f>
        <v/>
      </c>
      <c r="AE326" s="162" t="str">
        <f aca="false">IF(SUMPRODUCT(--(LEN(INDEX(Rider_Input[#Data],ROW()-ROW(Salary_Calculation[#Headers]),0))&gt;0))=0,"",ROW()-ROW(Salary_Calculation[#Headers]))</f>
        <v/>
      </c>
    </row>
    <row r="327" customFormat="false" ht="14.25" hidden="false" customHeight="false" outlineLevel="0" collapsed="false">
      <c r="A327" s="161" t="str">
        <f aca="false">IF(Salary_Calculation[[#This Row],[Source Row]]="","",IF(INDEX(Rider_Input[Salary Month],Salary_Calculation[[#This Row],[Source Row]])="","",INDEX(Rider_Input[Salary Month],Salary_Calculation[[#This Row],[Source Row]])))</f>
        <v/>
      </c>
      <c r="B327" s="162" t="str">
        <f aca="false">IF(Salary_Calculation[[#This Row],[Source Row]]="","",IF(INDEX(Rider_Input[Rider ID],Salary_Calculation[[#This Row],[Source Row]])="","",INDEX(Rider_Input[Rider ID],Salary_Calculation[[#This Row],[Source Row]])))</f>
        <v/>
      </c>
      <c r="C327" s="163" t="str">
        <f aca="false">IF(Salary_Calculation[[#This Row],[Source Row]]="","",IF(INDEX(Rider_Input[Rider Name],Salary_Calculation[[#This Row],[Source Row]])="","",INDEX(Rider_Input[Rider Name],Salary_Calculation[[#This Row],[Source Row]])))</f>
        <v/>
      </c>
      <c r="D327" s="164" t="str">
        <f aca="false">IF(Salary_Calculation[[#This Row],[Source Row]]="","",IF(INDEX(Rider_Input[Basic Payment],Salary_Calculation[[#This Row],[Source Row]])="","",INDEX(Rider_Input[Basic Payment],Salary_Calculation[[#This Row],[Source Row]])))</f>
        <v/>
      </c>
      <c r="E327" s="162" t="str">
        <f aca="false">IF(Salary_Calculation[[#This Row],[Source Row]]="","",IF(INDEX(Rider_Input[Calendar Days in Month],Salary_Calculation[[#This Row],[Source Row]])="","",INDEX(Rider_Input[Calendar Days in Month],Salary_Calculation[[#This Row],[Source Row]])))</f>
        <v/>
      </c>
      <c r="F327" s="162" t="str">
        <f aca="false">IF(Salary_Calculation[[#This Row],[Source Row]]="","",IF(INDEX(Rider_Input[Working Days],Salary_Calculation[[#This Row],[Source Row]])="","",INDEX(Rider_Input[Working Days],Salary_Calculation[[#This Row],[Source Row]])))</f>
        <v/>
      </c>
      <c r="G327" s="165" t="str">
        <f aca="false">IF(Salary_Calculation[[#This Row],[Source Row]]="","",Std_Orders/Std_Days*N(Salary_Calculation[[#This Row],[Calendar Days]]))</f>
        <v/>
      </c>
      <c r="H327" s="165" t="str">
        <f aca="false">IF(Salary_Calculation[[#This Row],[Source Row]]="","",IF(N(Salary_Calculation[[#This Row],[Calendar Days]])&gt;0,Salary_Calculation[[#This Row],[Monthly Target Orders]]/N(Salary_Calculation[[#This Row],[Calendar Days]])*N(Salary_Calculation[[#This Row],[Working Days]]),0))</f>
        <v/>
      </c>
      <c r="I327" s="166" t="str">
        <f aca="false">IF(Salary_Calculation[[#This Row],[Source Row]]="","",IF(INDEX(Rider_Input[Completed Orders],Salary_Calculation[[#This Row],[Source Row]])="","",INDEX(Rider_Input[Completed Orders],Salary_Calculation[[#This Row],[Source Row]])))</f>
        <v/>
      </c>
      <c r="J327" s="165" t="str">
        <f aca="false">IF(Salary_Calculation[[#This Row],[Source Row]]="","",IF(Rate_Method="Fixed rate",Fixed_Rate,IF(N(Salary_Calculation[[#This Row],[Basic Payment]])&gt;0,N(Salary_Calculation[[#This Row],[Basic Payment]])/Std_Orders,0)))</f>
        <v/>
      </c>
      <c r="K327" s="165" t="str">
        <f aca="false">IF(Salary_Calculation[[#This Row],[Source Row]]="","",MAX(MIN(N(Salary_Calculation[[#This Row],[Completed Orders]]),Salary_Calculation[[#This Row],[Rider Target Orders]]),0))</f>
        <v/>
      </c>
      <c r="L327" s="164" t="str">
        <f aca="false">IF(Salary_Calculation[[#This Row],[Source Row]]="","",Salary_Calculation[[#This Row],[Orders Counted at Base Rate]]*Salary_Calculation[[#This Row],[Base Order Rate]])</f>
        <v/>
      </c>
      <c r="M327" s="165" t="str">
        <f aca="false">IF(Salary_Calculation[[#This Row],[Source Row]]="","",MAX(Salary_Calculation[[#This Row],[Rider Target Orders]]-N(Salary_Calculation[[#This Row],[Completed Orders]]),0))</f>
        <v/>
      </c>
      <c r="N327" s="164" t="str">
        <f aca="false">IF(Salary_Calculation[[#This Row],[Source Row]]="","",Salary_Calculation[[#This Row],[Missing Orders]]*Missing_Rate)</f>
        <v/>
      </c>
      <c r="O327" s="165" t="str">
        <f aca="false">IF(Salary_Calculation[[#This Row],[Source Row]]="","",MAX(N(Salary_Calculation[[#This Row],[Completed Orders]])-Salary_Calculation[[#This Row],[Rider Target Orders]],0))</f>
        <v/>
      </c>
      <c r="P327" s="164" t="str">
        <f aca="false">IF(Salary_Calculation[[#This Row],[Source Row]]="","",Salary_Calculation[[#This Row],[Extra Orders]]*Extra_Rate)</f>
        <v/>
      </c>
      <c r="Q327" s="164" t="str">
        <f aca="false">IF(Salary_Calculation[[#This Row],[Source Row]]="","",MAX(Salary_Calculation[[#This Row],[Salary Before Other Deductions]],0))</f>
        <v/>
      </c>
      <c r="R327" s="164" t="str">
        <f aca="false">IF(Salary_Calculation[[#This Row],[Source Row]]="","",N(INDEX(Rider_Input[missed_days_penalty],Salary_Calculation[[#This Row],[Source Row]])))</f>
        <v/>
      </c>
      <c r="S327" s="164" t="str">
        <f aca="false">IF(Salary_Calculation[[#This Row],[Source Row]]="","",N(INDEX(Rider_Input[Rider Balance / محفظة المندوب],Salary_Calculation[[#This Row],[Source Row]])))</f>
        <v/>
      </c>
      <c r="T327" s="164" t="str">
        <f aca="false">IF(Salary_Calculation[[#This Row],[Source Row]]="","",N(INDEX(Rider_Input[stacking_deduction / خصم الطلبات المتعددة],Salary_Calculation[[#This Row],[Source Row]])))</f>
        <v/>
      </c>
      <c r="U327" s="164" t="str">
        <f aca="false">IF(Salary_Calculation[[#This Row],[Source Row]]="","",N(INDEX(Rider_Input[Other Deductions],Salary_Calculation[[#This Row],[Source Row]])))</f>
        <v/>
      </c>
      <c r="V327" s="164" t="str">
        <f aca="false">IF(Salary_Calculation[[#This Row],[Source Row]]="","",N(Salary_Calculation[[#This Row],[missed_days_penalty]])+N(Salary_Calculation[[#This Row],[Rider Balance]])+N(Salary_Calculation[[#This Row],[stacking_deduction]])+N(Salary_Calculation[[#This Row],[Other Deductions]]))</f>
        <v/>
      </c>
      <c r="W327" s="167" t="str">
        <f aca="false">IF(Salary_Calculation[[#This Row],[Source Row]]="","",ROUND(MAX(Salary_Calculation[[#This Row],[Gross Salary Before Deductions]]-Salary_Calculation[[#This Row],[Total Deductions]],0),2))</f>
        <v/>
      </c>
      <c r="X327" s="164" t="str">
        <f aca="false">IF(Salary_Calculation[[#This Row],[Source Row]]="","",ROUND(MAX(Salary_Calculation[[#This Row],[Missing-Order Deduction]]-Salary_Calculation[[#This Row],[Earned Salary]],0),2))</f>
        <v/>
      </c>
      <c r="Y32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27" s="163" t="str">
        <f aca="false">IF(Salary_Calculation[[#This Row],[Source Row]]="","",IF(INDEX(Rider_Input[Notes],Salary_Calculation[[#This Row],[Source Row]])="","",INDEX(Rider_Input[Notes],Salary_Calculation[[#This Row],[Source Row]])))</f>
        <v/>
      </c>
      <c r="AA327" s="164" t="str">
        <f aca="false">IF(Salary_Calculation[[#This Row],[Source Row]]="","",Salary_Calculation[[#This Row],[Earned Salary]]-Salary_Calculation[[#This Row],[Missing-Order Deduction]]+Salary_Calculation[[#This Row],[Extra-Order Bonus]])</f>
        <v/>
      </c>
      <c r="AB327" s="164" t="str">
        <f aca="false">IF(Salary_Calculation[[#This Row],[Source Row]]="","",ROUND(Salary_Calculation[[#This Row],[Negative Balance / Amount Due from Rider]]+MAX(Salary_Calculation[[#This Row],[Total Deductions]]-Salary_Calculation[[#This Row],[Gross Salary Before Deductions]],0),2))</f>
        <v/>
      </c>
      <c r="AC32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27" s="164" t="str">
        <f aca="false">IF(Salary_Calculation[[#This Row],[Source Row]]="","",Salary_Calculation[[#This Row],[Rider Target Orders]]*Salary_Calculation[[#This Row],[Base Order Rate]])</f>
        <v/>
      </c>
      <c r="AE327" s="162" t="str">
        <f aca="false">IF(SUMPRODUCT(--(LEN(INDEX(Rider_Input[#Data],ROW()-ROW(Salary_Calculation[#Headers]),0))&gt;0))=0,"",ROW()-ROW(Salary_Calculation[#Headers]))</f>
        <v/>
      </c>
    </row>
    <row r="328" customFormat="false" ht="14.25" hidden="false" customHeight="false" outlineLevel="0" collapsed="false">
      <c r="A328" s="161" t="str">
        <f aca="false">IF(Salary_Calculation[[#This Row],[Source Row]]="","",IF(INDEX(Rider_Input[Salary Month],Salary_Calculation[[#This Row],[Source Row]])="","",INDEX(Rider_Input[Salary Month],Salary_Calculation[[#This Row],[Source Row]])))</f>
        <v/>
      </c>
      <c r="B328" s="162" t="str">
        <f aca="false">IF(Salary_Calculation[[#This Row],[Source Row]]="","",IF(INDEX(Rider_Input[Rider ID],Salary_Calculation[[#This Row],[Source Row]])="","",INDEX(Rider_Input[Rider ID],Salary_Calculation[[#This Row],[Source Row]])))</f>
        <v/>
      </c>
      <c r="C328" s="163" t="str">
        <f aca="false">IF(Salary_Calculation[[#This Row],[Source Row]]="","",IF(INDEX(Rider_Input[Rider Name],Salary_Calculation[[#This Row],[Source Row]])="","",INDEX(Rider_Input[Rider Name],Salary_Calculation[[#This Row],[Source Row]])))</f>
        <v/>
      </c>
      <c r="D328" s="164" t="str">
        <f aca="false">IF(Salary_Calculation[[#This Row],[Source Row]]="","",IF(INDEX(Rider_Input[Basic Payment],Salary_Calculation[[#This Row],[Source Row]])="","",INDEX(Rider_Input[Basic Payment],Salary_Calculation[[#This Row],[Source Row]])))</f>
        <v/>
      </c>
      <c r="E328" s="162" t="str">
        <f aca="false">IF(Salary_Calculation[[#This Row],[Source Row]]="","",IF(INDEX(Rider_Input[Calendar Days in Month],Salary_Calculation[[#This Row],[Source Row]])="","",INDEX(Rider_Input[Calendar Days in Month],Salary_Calculation[[#This Row],[Source Row]])))</f>
        <v/>
      </c>
      <c r="F328" s="162" t="str">
        <f aca="false">IF(Salary_Calculation[[#This Row],[Source Row]]="","",IF(INDEX(Rider_Input[Working Days],Salary_Calculation[[#This Row],[Source Row]])="","",INDEX(Rider_Input[Working Days],Salary_Calculation[[#This Row],[Source Row]])))</f>
        <v/>
      </c>
      <c r="G328" s="165" t="str">
        <f aca="false">IF(Salary_Calculation[[#This Row],[Source Row]]="","",Std_Orders/Std_Days*N(Salary_Calculation[[#This Row],[Calendar Days]]))</f>
        <v/>
      </c>
      <c r="H328" s="165" t="str">
        <f aca="false">IF(Salary_Calculation[[#This Row],[Source Row]]="","",IF(N(Salary_Calculation[[#This Row],[Calendar Days]])&gt;0,Salary_Calculation[[#This Row],[Monthly Target Orders]]/N(Salary_Calculation[[#This Row],[Calendar Days]])*N(Salary_Calculation[[#This Row],[Working Days]]),0))</f>
        <v/>
      </c>
      <c r="I328" s="166" t="str">
        <f aca="false">IF(Salary_Calculation[[#This Row],[Source Row]]="","",IF(INDEX(Rider_Input[Completed Orders],Salary_Calculation[[#This Row],[Source Row]])="","",INDEX(Rider_Input[Completed Orders],Salary_Calculation[[#This Row],[Source Row]])))</f>
        <v/>
      </c>
      <c r="J328" s="165" t="str">
        <f aca="false">IF(Salary_Calculation[[#This Row],[Source Row]]="","",IF(Rate_Method="Fixed rate",Fixed_Rate,IF(N(Salary_Calculation[[#This Row],[Basic Payment]])&gt;0,N(Salary_Calculation[[#This Row],[Basic Payment]])/Std_Orders,0)))</f>
        <v/>
      </c>
      <c r="K328" s="165" t="str">
        <f aca="false">IF(Salary_Calculation[[#This Row],[Source Row]]="","",MAX(MIN(N(Salary_Calculation[[#This Row],[Completed Orders]]),Salary_Calculation[[#This Row],[Rider Target Orders]]),0))</f>
        <v/>
      </c>
      <c r="L328" s="164" t="str">
        <f aca="false">IF(Salary_Calculation[[#This Row],[Source Row]]="","",Salary_Calculation[[#This Row],[Orders Counted at Base Rate]]*Salary_Calculation[[#This Row],[Base Order Rate]])</f>
        <v/>
      </c>
      <c r="M328" s="165" t="str">
        <f aca="false">IF(Salary_Calculation[[#This Row],[Source Row]]="","",MAX(Salary_Calculation[[#This Row],[Rider Target Orders]]-N(Salary_Calculation[[#This Row],[Completed Orders]]),0))</f>
        <v/>
      </c>
      <c r="N328" s="164" t="str">
        <f aca="false">IF(Salary_Calculation[[#This Row],[Source Row]]="","",Salary_Calculation[[#This Row],[Missing Orders]]*Missing_Rate)</f>
        <v/>
      </c>
      <c r="O328" s="165" t="str">
        <f aca="false">IF(Salary_Calculation[[#This Row],[Source Row]]="","",MAX(N(Salary_Calculation[[#This Row],[Completed Orders]])-Salary_Calculation[[#This Row],[Rider Target Orders]],0))</f>
        <v/>
      </c>
      <c r="P328" s="164" t="str">
        <f aca="false">IF(Salary_Calculation[[#This Row],[Source Row]]="","",Salary_Calculation[[#This Row],[Extra Orders]]*Extra_Rate)</f>
        <v/>
      </c>
      <c r="Q328" s="164" t="str">
        <f aca="false">IF(Salary_Calculation[[#This Row],[Source Row]]="","",MAX(Salary_Calculation[[#This Row],[Salary Before Other Deductions]],0))</f>
        <v/>
      </c>
      <c r="R328" s="164" t="str">
        <f aca="false">IF(Salary_Calculation[[#This Row],[Source Row]]="","",N(INDEX(Rider_Input[missed_days_penalty],Salary_Calculation[[#This Row],[Source Row]])))</f>
        <v/>
      </c>
      <c r="S328" s="164" t="str">
        <f aca="false">IF(Salary_Calculation[[#This Row],[Source Row]]="","",N(INDEX(Rider_Input[Rider Balance / محفظة المندوب],Salary_Calculation[[#This Row],[Source Row]])))</f>
        <v/>
      </c>
      <c r="T328" s="164" t="str">
        <f aca="false">IF(Salary_Calculation[[#This Row],[Source Row]]="","",N(INDEX(Rider_Input[stacking_deduction / خصم الطلبات المتعددة],Salary_Calculation[[#This Row],[Source Row]])))</f>
        <v/>
      </c>
      <c r="U328" s="164" t="str">
        <f aca="false">IF(Salary_Calculation[[#This Row],[Source Row]]="","",N(INDEX(Rider_Input[Other Deductions],Salary_Calculation[[#This Row],[Source Row]])))</f>
        <v/>
      </c>
      <c r="V328" s="164" t="str">
        <f aca="false">IF(Salary_Calculation[[#This Row],[Source Row]]="","",N(Salary_Calculation[[#This Row],[missed_days_penalty]])+N(Salary_Calculation[[#This Row],[Rider Balance]])+N(Salary_Calculation[[#This Row],[stacking_deduction]])+N(Salary_Calculation[[#This Row],[Other Deductions]]))</f>
        <v/>
      </c>
      <c r="W328" s="167" t="str">
        <f aca="false">IF(Salary_Calculation[[#This Row],[Source Row]]="","",ROUND(MAX(Salary_Calculation[[#This Row],[Gross Salary Before Deductions]]-Salary_Calculation[[#This Row],[Total Deductions]],0),2))</f>
        <v/>
      </c>
      <c r="X328" s="164" t="str">
        <f aca="false">IF(Salary_Calculation[[#This Row],[Source Row]]="","",ROUND(MAX(Salary_Calculation[[#This Row],[Missing-Order Deduction]]-Salary_Calculation[[#This Row],[Earned Salary]],0),2))</f>
        <v/>
      </c>
      <c r="Y32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28" s="163" t="str">
        <f aca="false">IF(Salary_Calculation[[#This Row],[Source Row]]="","",IF(INDEX(Rider_Input[Notes],Salary_Calculation[[#This Row],[Source Row]])="","",INDEX(Rider_Input[Notes],Salary_Calculation[[#This Row],[Source Row]])))</f>
        <v/>
      </c>
      <c r="AA328" s="164" t="str">
        <f aca="false">IF(Salary_Calculation[[#This Row],[Source Row]]="","",Salary_Calculation[[#This Row],[Earned Salary]]-Salary_Calculation[[#This Row],[Missing-Order Deduction]]+Salary_Calculation[[#This Row],[Extra-Order Bonus]])</f>
        <v/>
      </c>
      <c r="AB328" s="164" t="str">
        <f aca="false">IF(Salary_Calculation[[#This Row],[Source Row]]="","",ROUND(Salary_Calculation[[#This Row],[Negative Balance / Amount Due from Rider]]+MAX(Salary_Calculation[[#This Row],[Total Deductions]]-Salary_Calculation[[#This Row],[Gross Salary Before Deductions]],0),2))</f>
        <v/>
      </c>
      <c r="AC32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28" s="164" t="str">
        <f aca="false">IF(Salary_Calculation[[#This Row],[Source Row]]="","",Salary_Calculation[[#This Row],[Rider Target Orders]]*Salary_Calculation[[#This Row],[Base Order Rate]])</f>
        <v/>
      </c>
      <c r="AE328" s="162" t="str">
        <f aca="false">IF(SUMPRODUCT(--(LEN(INDEX(Rider_Input[#Data],ROW()-ROW(Salary_Calculation[#Headers]),0))&gt;0))=0,"",ROW()-ROW(Salary_Calculation[#Headers]))</f>
        <v/>
      </c>
    </row>
    <row r="329" customFormat="false" ht="14.25" hidden="false" customHeight="false" outlineLevel="0" collapsed="false">
      <c r="A329" s="161" t="str">
        <f aca="false">IF(Salary_Calculation[[#This Row],[Source Row]]="","",IF(INDEX(Rider_Input[Salary Month],Salary_Calculation[[#This Row],[Source Row]])="","",INDEX(Rider_Input[Salary Month],Salary_Calculation[[#This Row],[Source Row]])))</f>
        <v/>
      </c>
      <c r="B329" s="162" t="str">
        <f aca="false">IF(Salary_Calculation[[#This Row],[Source Row]]="","",IF(INDEX(Rider_Input[Rider ID],Salary_Calculation[[#This Row],[Source Row]])="","",INDEX(Rider_Input[Rider ID],Salary_Calculation[[#This Row],[Source Row]])))</f>
        <v/>
      </c>
      <c r="C329" s="163" t="str">
        <f aca="false">IF(Salary_Calculation[[#This Row],[Source Row]]="","",IF(INDEX(Rider_Input[Rider Name],Salary_Calculation[[#This Row],[Source Row]])="","",INDEX(Rider_Input[Rider Name],Salary_Calculation[[#This Row],[Source Row]])))</f>
        <v/>
      </c>
      <c r="D329" s="164" t="str">
        <f aca="false">IF(Salary_Calculation[[#This Row],[Source Row]]="","",IF(INDEX(Rider_Input[Basic Payment],Salary_Calculation[[#This Row],[Source Row]])="","",INDEX(Rider_Input[Basic Payment],Salary_Calculation[[#This Row],[Source Row]])))</f>
        <v/>
      </c>
      <c r="E329" s="162" t="str">
        <f aca="false">IF(Salary_Calculation[[#This Row],[Source Row]]="","",IF(INDEX(Rider_Input[Calendar Days in Month],Salary_Calculation[[#This Row],[Source Row]])="","",INDEX(Rider_Input[Calendar Days in Month],Salary_Calculation[[#This Row],[Source Row]])))</f>
        <v/>
      </c>
      <c r="F329" s="162" t="str">
        <f aca="false">IF(Salary_Calculation[[#This Row],[Source Row]]="","",IF(INDEX(Rider_Input[Working Days],Salary_Calculation[[#This Row],[Source Row]])="","",INDEX(Rider_Input[Working Days],Salary_Calculation[[#This Row],[Source Row]])))</f>
        <v/>
      </c>
      <c r="G329" s="165" t="str">
        <f aca="false">IF(Salary_Calculation[[#This Row],[Source Row]]="","",Std_Orders/Std_Days*N(Salary_Calculation[[#This Row],[Calendar Days]]))</f>
        <v/>
      </c>
      <c r="H329" s="165" t="str">
        <f aca="false">IF(Salary_Calculation[[#This Row],[Source Row]]="","",IF(N(Salary_Calculation[[#This Row],[Calendar Days]])&gt;0,Salary_Calculation[[#This Row],[Monthly Target Orders]]/N(Salary_Calculation[[#This Row],[Calendar Days]])*N(Salary_Calculation[[#This Row],[Working Days]]),0))</f>
        <v/>
      </c>
      <c r="I329" s="166" t="str">
        <f aca="false">IF(Salary_Calculation[[#This Row],[Source Row]]="","",IF(INDEX(Rider_Input[Completed Orders],Salary_Calculation[[#This Row],[Source Row]])="","",INDEX(Rider_Input[Completed Orders],Salary_Calculation[[#This Row],[Source Row]])))</f>
        <v/>
      </c>
      <c r="J329" s="165" t="str">
        <f aca="false">IF(Salary_Calculation[[#This Row],[Source Row]]="","",IF(Rate_Method="Fixed rate",Fixed_Rate,IF(N(Salary_Calculation[[#This Row],[Basic Payment]])&gt;0,N(Salary_Calculation[[#This Row],[Basic Payment]])/Std_Orders,0)))</f>
        <v/>
      </c>
      <c r="K329" s="165" t="str">
        <f aca="false">IF(Salary_Calculation[[#This Row],[Source Row]]="","",MAX(MIN(N(Salary_Calculation[[#This Row],[Completed Orders]]),Salary_Calculation[[#This Row],[Rider Target Orders]]),0))</f>
        <v/>
      </c>
      <c r="L329" s="164" t="str">
        <f aca="false">IF(Salary_Calculation[[#This Row],[Source Row]]="","",Salary_Calculation[[#This Row],[Orders Counted at Base Rate]]*Salary_Calculation[[#This Row],[Base Order Rate]])</f>
        <v/>
      </c>
      <c r="M329" s="165" t="str">
        <f aca="false">IF(Salary_Calculation[[#This Row],[Source Row]]="","",MAX(Salary_Calculation[[#This Row],[Rider Target Orders]]-N(Salary_Calculation[[#This Row],[Completed Orders]]),0))</f>
        <v/>
      </c>
      <c r="N329" s="164" t="str">
        <f aca="false">IF(Salary_Calculation[[#This Row],[Source Row]]="","",Salary_Calculation[[#This Row],[Missing Orders]]*Missing_Rate)</f>
        <v/>
      </c>
      <c r="O329" s="165" t="str">
        <f aca="false">IF(Salary_Calculation[[#This Row],[Source Row]]="","",MAX(N(Salary_Calculation[[#This Row],[Completed Orders]])-Salary_Calculation[[#This Row],[Rider Target Orders]],0))</f>
        <v/>
      </c>
      <c r="P329" s="164" t="str">
        <f aca="false">IF(Salary_Calculation[[#This Row],[Source Row]]="","",Salary_Calculation[[#This Row],[Extra Orders]]*Extra_Rate)</f>
        <v/>
      </c>
      <c r="Q329" s="164" t="str">
        <f aca="false">IF(Salary_Calculation[[#This Row],[Source Row]]="","",MAX(Salary_Calculation[[#This Row],[Salary Before Other Deductions]],0))</f>
        <v/>
      </c>
      <c r="R329" s="164" t="str">
        <f aca="false">IF(Salary_Calculation[[#This Row],[Source Row]]="","",N(INDEX(Rider_Input[missed_days_penalty],Salary_Calculation[[#This Row],[Source Row]])))</f>
        <v/>
      </c>
      <c r="S329" s="164" t="str">
        <f aca="false">IF(Salary_Calculation[[#This Row],[Source Row]]="","",N(INDEX(Rider_Input[Rider Balance / محفظة المندوب],Salary_Calculation[[#This Row],[Source Row]])))</f>
        <v/>
      </c>
      <c r="T329" s="164" t="str">
        <f aca="false">IF(Salary_Calculation[[#This Row],[Source Row]]="","",N(INDEX(Rider_Input[stacking_deduction / خصم الطلبات المتعددة],Salary_Calculation[[#This Row],[Source Row]])))</f>
        <v/>
      </c>
      <c r="U329" s="164" t="str">
        <f aca="false">IF(Salary_Calculation[[#This Row],[Source Row]]="","",N(INDEX(Rider_Input[Other Deductions],Salary_Calculation[[#This Row],[Source Row]])))</f>
        <v/>
      </c>
      <c r="V329" s="164" t="str">
        <f aca="false">IF(Salary_Calculation[[#This Row],[Source Row]]="","",N(Salary_Calculation[[#This Row],[missed_days_penalty]])+N(Salary_Calculation[[#This Row],[Rider Balance]])+N(Salary_Calculation[[#This Row],[stacking_deduction]])+N(Salary_Calculation[[#This Row],[Other Deductions]]))</f>
        <v/>
      </c>
      <c r="W329" s="167" t="str">
        <f aca="false">IF(Salary_Calculation[[#This Row],[Source Row]]="","",ROUND(MAX(Salary_Calculation[[#This Row],[Gross Salary Before Deductions]]-Salary_Calculation[[#This Row],[Total Deductions]],0),2))</f>
        <v/>
      </c>
      <c r="X329" s="164" t="str">
        <f aca="false">IF(Salary_Calculation[[#This Row],[Source Row]]="","",ROUND(MAX(Salary_Calculation[[#This Row],[Missing-Order Deduction]]-Salary_Calculation[[#This Row],[Earned Salary]],0),2))</f>
        <v/>
      </c>
      <c r="Y32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29" s="163" t="str">
        <f aca="false">IF(Salary_Calculation[[#This Row],[Source Row]]="","",IF(INDEX(Rider_Input[Notes],Salary_Calculation[[#This Row],[Source Row]])="","",INDEX(Rider_Input[Notes],Salary_Calculation[[#This Row],[Source Row]])))</f>
        <v/>
      </c>
      <c r="AA329" s="164" t="str">
        <f aca="false">IF(Salary_Calculation[[#This Row],[Source Row]]="","",Salary_Calculation[[#This Row],[Earned Salary]]-Salary_Calculation[[#This Row],[Missing-Order Deduction]]+Salary_Calculation[[#This Row],[Extra-Order Bonus]])</f>
        <v/>
      </c>
      <c r="AB329" s="164" t="str">
        <f aca="false">IF(Salary_Calculation[[#This Row],[Source Row]]="","",ROUND(Salary_Calculation[[#This Row],[Negative Balance / Amount Due from Rider]]+MAX(Salary_Calculation[[#This Row],[Total Deductions]]-Salary_Calculation[[#This Row],[Gross Salary Before Deductions]],0),2))</f>
        <v/>
      </c>
      <c r="AC32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29" s="164" t="str">
        <f aca="false">IF(Salary_Calculation[[#This Row],[Source Row]]="","",Salary_Calculation[[#This Row],[Rider Target Orders]]*Salary_Calculation[[#This Row],[Base Order Rate]])</f>
        <v/>
      </c>
      <c r="AE329" s="162" t="str">
        <f aca="false">IF(SUMPRODUCT(--(LEN(INDEX(Rider_Input[#Data],ROW()-ROW(Salary_Calculation[#Headers]),0))&gt;0))=0,"",ROW()-ROW(Salary_Calculation[#Headers]))</f>
        <v/>
      </c>
    </row>
    <row r="330" customFormat="false" ht="14.25" hidden="false" customHeight="false" outlineLevel="0" collapsed="false">
      <c r="A330" s="161" t="str">
        <f aca="false">IF(Salary_Calculation[[#This Row],[Source Row]]="","",IF(INDEX(Rider_Input[Salary Month],Salary_Calculation[[#This Row],[Source Row]])="","",INDEX(Rider_Input[Salary Month],Salary_Calculation[[#This Row],[Source Row]])))</f>
        <v/>
      </c>
      <c r="B330" s="162" t="str">
        <f aca="false">IF(Salary_Calculation[[#This Row],[Source Row]]="","",IF(INDEX(Rider_Input[Rider ID],Salary_Calculation[[#This Row],[Source Row]])="","",INDEX(Rider_Input[Rider ID],Salary_Calculation[[#This Row],[Source Row]])))</f>
        <v/>
      </c>
      <c r="C330" s="163" t="str">
        <f aca="false">IF(Salary_Calculation[[#This Row],[Source Row]]="","",IF(INDEX(Rider_Input[Rider Name],Salary_Calculation[[#This Row],[Source Row]])="","",INDEX(Rider_Input[Rider Name],Salary_Calculation[[#This Row],[Source Row]])))</f>
        <v/>
      </c>
      <c r="D330" s="164" t="str">
        <f aca="false">IF(Salary_Calculation[[#This Row],[Source Row]]="","",IF(INDEX(Rider_Input[Basic Payment],Salary_Calculation[[#This Row],[Source Row]])="","",INDEX(Rider_Input[Basic Payment],Salary_Calculation[[#This Row],[Source Row]])))</f>
        <v/>
      </c>
      <c r="E330" s="162" t="str">
        <f aca="false">IF(Salary_Calculation[[#This Row],[Source Row]]="","",IF(INDEX(Rider_Input[Calendar Days in Month],Salary_Calculation[[#This Row],[Source Row]])="","",INDEX(Rider_Input[Calendar Days in Month],Salary_Calculation[[#This Row],[Source Row]])))</f>
        <v/>
      </c>
      <c r="F330" s="162" t="str">
        <f aca="false">IF(Salary_Calculation[[#This Row],[Source Row]]="","",IF(INDEX(Rider_Input[Working Days],Salary_Calculation[[#This Row],[Source Row]])="","",INDEX(Rider_Input[Working Days],Salary_Calculation[[#This Row],[Source Row]])))</f>
        <v/>
      </c>
      <c r="G330" s="165" t="str">
        <f aca="false">IF(Salary_Calculation[[#This Row],[Source Row]]="","",Std_Orders/Std_Days*N(Salary_Calculation[[#This Row],[Calendar Days]]))</f>
        <v/>
      </c>
      <c r="H330" s="165" t="str">
        <f aca="false">IF(Salary_Calculation[[#This Row],[Source Row]]="","",IF(N(Salary_Calculation[[#This Row],[Calendar Days]])&gt;0,Salary_Calculation[[#This Row],[Monthly Target Orders]]/N(Salary_Calculation[[#This Row],[Calendar Days]])*N(Salary_Calculation[[#This Row],[Working Days]]),0))</f>
        <v/>
      </c>
      <c r="I330" s="166" t="str">
        <f aca="false">IF(Salary_Calculation[[#This Row],[Source Row]]="","",IF(INDEX(Rider_Input[Completed Orders],Salary_Calculation[[#This Row],[Source Row]])="","",INDEX(Rider_Input[Completed Orders],Salary_Calculation[[#This Row],[Source Row]])))</f>
        <v/>
      </c>
      <c r="J330" s="165" t="str">
        <f aca="false">IF(Salary_Calculation[[#This Row],[Source Row]]="","",IF(Rate_Method="Fixed rate",Fixed_Rate,IF(N(Salary_Calculation[[#This Row],[Basic Payment]])&gt;0,N(Salary_Calculation[[#This Row],[Basic Payment]])/Std_Orders,0)))</f>
        <v/>
      </c>
      <c r="K330" s="165" t="str">
        <f aca="false">IF(Salary_Calculation[[#This Row],[Source Row]]="","",MAX(MIN(N(Salary_Calculation[[#This Row],[Completed Orders]]),Salary_Calculation[[#This Row],[Rider Target Orders]]),0))</f>
        <v/>
      </c>
      <c r="L330" s="164" t="str">
        <f aca="false">IF(Salary_Calculation[[#This Row],[Source Row]]="","",Salary_Calculation[[#This Row],[Orders Counted at Base Rate]]*Salary_Calculation[[#This Row],[Base Order Rate]])</f>
        <v/>
      </c>
      <c r="M330" s="165" t="str">
        <f aca="false">IF(Salary_Calculation[[#This Row],[Source Row]]="","",MAX(Salary_Calculation[[#This Row],[Rider Target Orders]]-N(Salary_Calculation[[#This Row],[Completed Orders]]),0))</f>
        <v/>
      </c>
      <c r="N330" s="164" t="str">
        <f aca="false">IF(Salary_Calculation[[#This Row],[Source Row]]="","",Salary_Calculation[[#This Row],[Missing Orders]]*Missing_Rate)</f>
        <v/>
      </c>
      <c r="O330" s="165" t="str">
        <f aca="false">IF(Salary_Calculation[[#This Row],[Source Row]]="","",MAX(N(Salary_Calculation[[#This Row],[Completed Orders]])-Salary_Calculation[[#This Row],[Rider Target Orders]],0))</f>
        <v/>
      </c>
      <c r="P330" s="164" t="str">
        <f aca="false">IF(Salary_Calculation[[#This Row],[Source Row]]="","",Salary_Calculation[[#This Row],[Extra Orders]]*Extra_Rate)</f>
        <v/>
      </c>
      <c r="Q330" s="164" t="str">
        <f aca="false">IF(Salary_Calculation[[#This Row],[Source Row]]="","",MAX(Salary_Calculation[[#This Row],[Salary Before Other Deductions]],0))</f>
        <v/>
      </c>
      <c r="R330" s="164" t="str">
        <f aca="false">IF(Salary_Calculation[[#This Row],[Source Row]]="","",N(INDEX(Rider_Input[missed_days_penalty],Salary_Calculation[[#This Row],[Source Row]])))</f>
        <v/>
      </c>
      <c r="S330" s="164" t="str">
        <f aca="false">IF(Salary_Calculation[[#This Row],[Source Row]]="","",N(INDEX(Rider_Input[Rider Balance / محفظة المندوب],Salary_Calculation[[#This Row],[Source Row]])))</f>
        <v/>
      </c>
      <c r="T330" s="164" t="str">
        <f aca="false">IF(Salary_Calculation[[#This Row],[Source Row]]="","",N(INDEX(Rider_Input[stacking_deduction / خصم الطلبات المتعددة],Salary_Calculation[[#This Row],[Source Row]])))</f>
        <v/>
      </c>
      <c r="U330" s="164" t="str">
        <f aca="false">IF(Salary_Calculation[[#This Row],[Source Row]]="","",N(INDEX(Rider_Input[Other Deductions],Salary_Calculation[[#This Row],[Source Row]])))</f>
        <v/>
      </c>
      <c r="V330" s="164" t="str">
        <f aca="false">IF(Salary_Calculation[[#This Row],[Source Row]]="","",N(Salary_Calculation[[#This Row],[missed_days_penalty]])+N(Salary_Calculation[[#This Row],[Rider Balance]])+N(Salary_Calculation[[#This Row],[stacking_deduction]])+N(Salary_Calculation[[#This Row],[Other Deductions]]))</f>
        <v/>
      </c>
      <c r="W330" s="167" t="str">
        <f aca="false">IF(Salary_Calculation[[#This Row],[Source Row]]="","",ROUND(MAX(Salary_Calculation[[#This Row],[Gross Salary Before Deductions]]-Salary_Calculation[[#This Row],[Total Deductions]],0),2))</f>
        <v/>
      </c>
      <c r="X330" s="164" t="str">
        <f aca="false">IF(Salary_Calculation[[#This Row],[Source Row]]="","",ROUND(MAX(Salary_Calculation[[#This Row],[Missing-Order Deduction]]-Salary_Calculation[[#This Row],[Earned Salary]],0),2))</f>
        <v/>
      </c>
      <c r="Y33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30" s="163" t="str">
        <f aca="false">IF(Salary_Calculation[[#This Row],[Source Row]]="","",IF(INDEX(Rider_Input[Notes],Salary_Calculation[[#This Row],[Source Row]])="","",INDEX(Rider_Input[Notes],Salary_Calculation[[#This Row],[Source Row]])))</f>
        <v/>
      </c>
      <c r="AA330" s="164" t="str">
        <f aca="false">IF(Salary_Calculation[[#This Row],[Source Row]]="","",Salary_Calculation[[#This Row],[Earned Salary]]-Salary_Calculation[[#This Row],[Missing-Order Deduction]]+Salary_Calculation[[#This Row],[Extra-Order Bonus]])</f>
        <v/>
      </c>
      <c r="AB330" s="164" t="str">
        <f aca="false">IF(Salary_Calculation[[#This Row],[Source Row]]="","",ROUND(Salary_Calculation[[#This Row],[Negative Balance / Amount Due from Rider]]+MAX(Salary_Calculation[[#This Row],[Total Deductions]]-Salary_Calculation[[#This Row],[Gross Salary Before Deductions]],0),2))</f>
        <v/>
      </c>
      <c r="AC33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30" s="164" t="str">
        <f aca="false">IF(Salary_Calculation[[#This Row],[Source Row]]="","",Salary_Calculation[[#This Row],[Rider Target Orders]]*Salary_Calculation[[#This Row],[Base Order Rate]])</f>
        <v/>
      </c>
      <c r="AE330" s="162" t="str">
        <f aca="false">IF(SUMPRODUCT(--(LEN(INDEX(Rider_Input[#Data],ROW()-ROW(Salary_Calculation[#Headers]),0))&gt;0))=0,"",ROW()-ROW(Salary_Calculation[#Headers]))</f>
        <v/>
      </c>
    </row>
    <row r="331" customFormat="false" ht="14.25" hidden="false" customHeight="false" outlineLevel="0" collapsed="false">
      <c r="A331" s="161" t="str">
        <f aca="false">IF(Salary_Calculation[[#This Row],[Source Row]]="","",IF(INDEX(Rider_Input[Salary Month],Salary_Calculation[[#This Row],[Source Row]])="","",INDEX(Rider_Input[Salary Month],Salary_Calculation[[#This Row],[Source Row]])))</f>
        <v/>
      </c>
      <c r="B331" s="162" t="str">
        <f aca="false">IF(Salary_Calculation[[#This Row],[Source Row]]="","",IF(INDEX(Rider_Input[Rider ID],Salary_Calculation[[#This Row],[Source Row]])="","",INDEX(Rider_Input[Rider ID],Salary_Calculation[[#This Row],[Source Row]])))</f>
        <v/>
      </c>
      <c r="C331" s="163" t="str">
        <f aca="false">IF(Salary_Calculation[[#This Row],[Source Row]]="","",IF(INDEX(Rider_Input[Rider Name],Salary_Calculation[[#This Row],[Source Row]])="","",INDEX(Rider_Input[Rider Name],Salary_Calculation[[#This Row],[Source Row]])))</f>
        <v/>
      </c>
      <c r="D331" s="164" t="str">
        <f aca="false">IF(Salary_Calculation[[#This Row],[Source Row]]="","",IF(INDEX(Rider_Input[Basic Payment],Salary_Calculation[[#This Row],[Source Row]])="","",INDEX(Rider_Input[Basic Payment],Salary_Calculation[[#This Row],[Source Row]])))</f>
        <v/>
      </c>
      <c r="E331" s="162" t="str">
        <f aca="false">IF(Salary_Calculation[[#This Row],[Source Row]]="","",IF(INDEX(Rider_Input[Calendar Days in Month],Salary_Calculation[[#This Row],[Source Row]])="","",INDEX(Rider_Input[Calendar Days in Month],Salary_Calculation[[#This Row],[Source Row]])))</f>
        <v/>
      </c>
      <c r="F331" s="162" t="str">
        <f aca="false">IF(Salary_Calculation[[#This Row],[Source Row]]="","",IF(INDEX(Rider_Input[Working Days],Salary_Calculation[[#This Row],[Source Row]])="","",INDEX(Rider_Input[Working Days],Salary_Calculation[[#This Row],[Source Row]])))</f>
        <v/>
      </c>
      <c r="G331" s="165" t="str">
        <f aca="false">IF(Salary_Calculation[[#This Row],[Source Row]]="","",Std_Orders/Std_Days*N(Salary_Calculation[[#This Row],[Calendar Days]]))</f>
        <v/>
      </c>
      <c r="H331" s="165" t="str">
        <f aca="false">IF(Salary_Calculation[[#This Row],[Source Row]]="","",IF(N(Salary_Calculation[[#This Row],[Calendar Days]])&gt;0,Salary_Calculation[[#This Row],[Monthly Target Orders]]/N(Salary_Calculation[[#This Row],[Calendar Days]])*N(Salary_Calculation[[#This Row],[Working Days]]),0))</f>
        <v/>
      </c>
      <c r="I331" s="166" t="str">
        <f aca="false">IF(Salary_Calculation[[#This Row],[Source Row]]="","",IF(INDEX(Rider_Input[Completed Orders],Salary_Calculation[[#This Row],[Source Row]])="","",INDEX(Rider_Input[Completed Orders],Salary_Calculation[[#This Row],[Source Row]])))</f>
        <v/>
      </c>
      <c r="J331" s="165" t="str">
        <f aca="false">IF(Salary_Calculation[[#This Row],[Source Row]]="","",IF(Rate_Method="Fixed rate",Fixed_Rate,IF(N(Salary_Calculation[[#This Row],[Basic Payment]])&gt;0,N(Salary_Calculation[[#This Row],[Basic Payment]])/Std_Orders,0)))</f>
        <v/>
      </c>
      <c r="K331" s="165" t="str">
        <f aca="false">IF(Salary_Calculation[[#This Row],[Source Row]]="","",MAX(MIN(N(Salary_Calculation[[#This Row],[Completed Orders]]),Salary_Calculation[[#This Row],[Rider Target Orders]]),0))</f>
        <v/>
      </c>
      <c r="L331" s="164" t="str">
        <f aca="false">IF(Salary_Calculation[[#This Row],[Source Row]]="","",Salary_Calculation[[#This Row],[Orders Counted at Base Rate]]*Salary_Calculation[[#This Row],[Base Order Rate]])</f>
        <v/>
      </c>
      <c r="M331" s="165" t="str">
        <f aca="false">IF(Salary_Calculation[[#This Row],[Source Row]]="","",MAX(Salary_Calculation[[#This Row],[Rider Target Orders]]-N(Salary_Calculation[[#This Row],[Completed Orders]]),0))</f>
        <v/>
      </c>
      <c r="N331" s="164" t="str">
        <f aca="false">IF(Salary_Calculation[[#This Row],[Source Row]]="","",Salary_Calculation[[#This Row],[Missing Orders]]*Missing_Rate)</f>
        <v/>
      </c>
      <c r="O331" s="165" t="str">
        <f aca="false">IF(Salary_Calculation[[#This Row],[Source Row]]="","",MAX(N(Salary_Calculation[[#This Row],[Completed Orders]])-Salary_Calculation[[#This Row],[Rider Target Orders]],0))</f>
        <v/>
      </c>
      <c r="P331" s="164" t="str">
        <f aca="false">IF(Salary_Calculation[[#This Row],[Source Row]]="","",Salary_Calculation[[#This Row],[Extra Orders]]*Extra_Rate)</f>
        <v/>
      </c>
      <c r="Q331" s="164" t="str">
        <f aca="false">IF(Salary_Calculation[[#This Row],[Source Row]]="","",MAX(Salary_Calculation[[#This Row],[Salary Before Other Deductions]],0))</f>
        <v/>
      </c>
      <c r="R331" s="164" t="str">
        <f aca="false">IF(Salary_Calculation[[#This Row],[Source Row]]="","",N(INDEX(Rider_Input[missed_days_penalty],Salary_Calculation[[#This Row],[Source Row]])))</f>
        <v/>
      </c>
      <c r="S331" s="164" t="str">
        <f aca="false">IF(Salary_Calculation[[#This Row],[Source Row]]="","",N(INDEX(Rider_Input[Rider Balance / محفظة المندوب],Salary_Calculation[[#This Row],[Source Row]])))</f>
        <v/>
      </c>
      <c r="T331" s="164" t="str">
        <f aca="false">IF(Salary_Calculation[[#This Row],[Source Row]]="","",N(INDEX(Rider_Input[stacking_deduction / خصم الطلبات المتعددة],Salary_Calculation[[#This Row],[Source Row]])))</f>
        <v/>
      </c>
      <c r="U331" s="164" t="str">
        <f aca="false">IF(Salary_Calculation[[#This Row],[Source Row]]="","",N(INDEX(Rider_Input[Other Deductions],Salary_Calculation[[#This Row],[Source Row]])))</f>
        <v/>
      </c>
      <c r="V331" s="164" t="str">
        <f aca="false">IF(Salary_Calculation[[#This Row],[Source Row]]="","",N(Salary_Calculation[[#This Row],[missed_days_penalty]])+N(Salary_Calculation[[#This Row],[Rider Balance]])+N(Salary_Calculation[[#This Row],[stacking_deduction]])+N(Salary_Calculation[[#This Row],[Other Deductions]]))</f>
        <v/>
      </c>
      <c r="W331" s="167" t="str">
        <f aca="false">IF(Salary_Calculation[[#This Row],[Source Row]]="","",ROUND(MAX(Salary_Calculation[[#This Row],[Gross Salary Before Deductions]]-Salary_Calculation[[#This Row],[Total Deductions]],0),2))</f>
        <v/>
      </c>
      <c r="X331" s="164" t="str">
        <f aca="false">IF(Salary_Calculation[[#This Row],[Source Row]]="","",ROUND(MAX(Salary_Calculation[[#This Row],[Missing-Order Deduction]]-Salary_Calculation[[#This Row],[Earned Salary]],0),2))</f>
        <v/>
      </c>
      <c r="Y33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31" s="163" t="str">
        <f aca="false">IF(Salary_Calculation[[#This Row],[Source Row]]="","",IF(INDEX(Rider_Input[Notes],Salary_Calculation[[#This Row],[Source Row]])="","",INDEX(Rider_Input[Notes],Salary_Calculation[[#This Row],[Source Row]])))</f>
        <v/>
      </c>
      <c r="AA331" s="164" t="str">
        <f aca="false">IF(Salary_Calculation[[#This Row],[Source Row]]="","",Salary_Calculation[[#This Row],[Earned Salary]]-Salary_Calculation[[#This Row],[Missing-Order Deduction]]+Salary_Calculation[[#This Row],[Extra-Order Bonus]])</f>
        <v/>
      </c>
      <c r="AB331" s="164" t="str">
        <f aca="false">IF(Salary_Calculation[[#This Row],[Source Row]]="","",ROUND(Salary_Calculation[[#This Row],[Negative Balance / Amount Due from Rider]]+MAX(Salary_Calculation[[#This Row],[Total Deductions]]-Salary_Calculation[[#This Row],[Gross Salary Before Deductions]],0),2))</f>
        <v/>
      </c>
      <c r="AC33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31" s="164" t="str">
        <f aca="false">IF(Salary_Calculation[[#This Row],[Source Row]]="","",Salary_Calculation[[#This Row],[Rider Target Orders]]*Salary_Calculation[[#This Row],[Base Order Rate]])</f>
        <v/>
      </c>
      <c r="AE331" s="162" t="str">
        <f aca="false">IF(SUMPRODUCT(--(LEN(INDEX(Rider_Input[#Data],ROW()-ROW(Salary_Calculation[#Headers]),0))&gt;0))=0,"",ROW()-ROW(Salary_Calculation[#Headers]))</f>
        <v/>
      </c>
    </row>
    <row r="332" customFormat="false" ht="14.25" hidden="false" customHeight="false" outlineLevel="0" collapsed="false">
      <c r="A332" s="161" t="str">
        <f aca="false">IF(Salary_Calculation[[#This Row],[Source Row]]="","",IF(INDEX(Rider_Input[Salary Month],Salary_Calculation[[#This Row],[Source Row]])="","",INDEX(Rider_Input[Salary Month],Salary_Calculation[[#This Row],[Source Row]])))</f>
        <v/>
      </c>
      <c r="B332" s="162" t="str">
        <f aca="false">IF(Salary_Calculation[[#This Row],[Source Row]]="","",IF(INDEX(Rider_Input[Rider ID],Salary_Calculation[[#This Row],[Source Row]])="","",INDEX(Rider_Input[Rider ID],Salary_Calculation[[#This Row],[Source Row]])))</f>
        <v/>
      </c>
      <c r="C332" s="163" t="str">
        <f aca="false">IF(Salary_Calculation[[#This Row],[Source Row]]="","",IF(INDEX(Rider_Input[Rider Name],Salary_Calculation[[#This Row],[Source Row]])="","",INDEX(Rider_Input[Rider Name],Salary_Calculation[[#This Row],[Source Row]])))</f>
        <v/>
      </c>
      <c r="D332" s="164" t="str">
        <f aca="false">IF(Salary_Calculation[[#This Row],[Source Row]]="","",IF(INDEX(Rider_Input[Basic Payment],Salary_Calculation[[#This Row],[Source Row]])="","",INDEX(Rider_Input[Basic Payment],Salary_Calculation[[#This Row],[Source Row]])))</f>
        <v/>
      </c>
      <c r="E332" s="162" t="str">
        <f aca="false">IF(Salary_Calculation[[#This Row],[Source Row]]="","",IF(INDEX(Rider_Input[Calendar Days in Month],Salary_Calculation[[#This Row],[Source Row]])="","",INDEX(Rider_Input[Calendar Days in Month],Salary_Calculation[[#This Row],[Source Row]])))</f>
        <v/>
      </c>
      <c r="F332" s="162" t="str">
        <f aca="false">IF(Salary_Calculation[[#This Row],[Source Row]]="","",IF(INDEX(Rider_Input[Working Days],Salary_Calculation[[#This Row],[Source Row]])="","",INDEX(Rider_Input[Working Days],Salary_Calculation[[#This Row],[Source Row]])))</f>
        <v/>
      </c>
      <c r="G332" s="165" t="str">
        <f aca="false">IF(Salary_Calculation[[#This Row],[Source Row]]="","",Std_Orders/Std_Days*N(Salary_Calculation[[#This Row],[Calendar Days]]))</f>
        <v/>
      </c>
      <c r="H332" s="165" t="str">
        <f aca="false">IF(Salary_Calculation[[#This Row],[Source Row]]="","",IF(N(Salary_Calculation[[#This Row],[Calendar Days]])&gt;0,Salary_Calculation[[#This Row],[Monthly Target Orders]]/N(Salary_Calculation[[#This Row],[Calendar Days]])*N(Salary_Calculation[[#This Row],[Working Days]]),0))</f>
        <v/>
      </c>
      <c r="I332" s="166" t="str">
        <f aca="false">IF(Salary_Calculation[[#This Row],[Source Row]]="","",IF(INDEX(Rider_Input[Completed Orders],Salary_Calculation[[#This Row],[Source Row]])="","",INDEX(Rider_Input[Completed Orders],Salary_Calculation[[#This Row],[Source Row]])))</f>
        <v/>
      </c>
      <c r="J332" s="165" t="str">
        <f aca="false">IF(Salary_Calculation[[#This Row],[Source Row]]="","",IF(Rate_Method="Fixed rate",Fixed_Rate,IF(N(Salary_Calculation[[#This Row],[Basic Payment]])&gt;0,N(Salary_Calculation[[#This Row],[Basic Payment]])/Std_Orders,0)))</f>
        <v/>
      </c>
      <c r="K332" s="165" t="str">
        <f aca="false">IF(Salary_Calculation[[#This Row],[Source Row]]="","",MAX(MIN(N(Salary_Calculation[[#This Row],[Completed Orders]]),Salary_Calculation[[#This Row],[Rider Target Orders]]),0))</f>
        <v/>
      </c>
      <c r="L332" s="164" t="str">
        <f aca="false">IF(Salary_Calculation[[#This Row],[Source Row]]="","",Salary_Calculation[[#This Row],[Orders Counted at Base Rate]]*Salary_Calculation[[#This Row],[Base Order Rate]])</f>
        <v/>
      </c>
      <c r="M332" s="165" t="str">
        <f aca="false">IF(Salary_Calculation[[#This Row],[Source Row]]="","",MAX(Salary_Calculation[[#This Row],[Rider Target Orders]]-N(Salary_Calculation[[#This Row],[Completed Orders]]),0))</f>
        <v/>
      </c>
      <c r="N332" s="164" t="str">
        <f aca="false">IF(Salary_Calculation[[#This Row],[Source Row]]="","",Salary_Calculation[[#This Row],[Missing Orders]]*Missing_Rate)</f>
        <v/>
      </c>
      <c r="O332" s="165" t="str">
        <f aca="false">IF(Salary_Calculation[[#This Row],[Source Row]]="","",MAX(N(Salary_Calculation[[#This Row],[Completed Orders]])-Salary_Calculation[[#This Row],[Rider Target Orders]],0))</f>
        <v/>
      </c>
      <c r="P332" s="164" t="str">
        <f aca="false">IF(Salary_Calculation[[#This Row],[Source Row]]="","",Salary_Calculation[[#This Row],[Extra Orders]]*Extra_Rate)</f>
        <v/>
      </c>
      <c r="Q332" s="164" t="str">
        <f aca="false">IF(Salary_Calculation[[#This Row],[Source Row]]="","",MAX(Salary_Calculation[[#This Row],[Salary Before Other Deductions]],0))</f>
        <v/>
      </c>
      <c r="R332" s="164" t="str">
        <f aca="false">IF(Salary_Calculation[[#This Row],[Source Row]]="","",N(INDEX(Rider_Input[missed_days_penalty],Salary_Calculation[[#This Row],[Source Row]])))</f>
        <v/>
      </c>
      <c r="S332" s="164" t="str">
        <f aca="false">IF(Salary_Calculation[[#This Row],[Source Row]]="","",N(INDEX(Rider_Input[Rider Balance / محفظة المندوب],Salary_Calculation[[#This Row],[Source Row]])))</f>
        <v/>
      </c>
      <c r="T332" s="164" t="str">
        <f aca="false">IF(Salary_Calculation[[#This Row],[Source Row]]="","",N(INDEX(Rider_Input[stacking_deduction / خصم الطلبات المتعددة],Salary_Calculation[[#This Row],[Source Row]])))</f>
        <v/>
      </c>
      <c r="U332" s="164" t="str">
        <f aca="false">IF(Salary_Calculation[[#This Row],[Source Row]]="","",N(INDEX(Rider_Input[Other Deductions],Salary_Calculation[[#This Row],[Source Row]])))</f>
        <v/>
      </c>
      <c r="V332" s="164" t="str">
        <f aca="false">IF(Salary_Calculation[[#This Row],[Source Row]]="","",N(Salary_Calculation[[#This Row],[missed_days_penalty]])+N(Salary_Calculation[[#This Row],[Rider Balance]])+N(Salary_Calculation[[#This Row],[stacking_deduction]])+N(Salary_Calculation[[#This Row],[Other Deductions]]))</f>
        <v/>
      </c>
      <c r="W332" s="167" t="str">
        <f aca="false">IF(Salary_Calculation[[#This Row],[Source Row]]="","",ROUND(MAX(Salary_Calculation[[#This Row],[Gross Salary Before Deductions]]-Salary_Calculation[[#This Row],[Total Deductions]],0),2))</f>
        <v/>
      </c>
      <c r="X332" s="164" t="str">
        <f aca="false">IF(Salary_Calculation[[#This Row],[Source Row]]="","",ROUND(MAX(Salary_Calculation[[#This Row],[Missing-Order Deduction]]-Salary_Calculation[[#This Row],[Earned Salary]],0),2))</f>
        <v/>
      </c>
      <c r="Y33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32" s="163" t="str">
        <f aca="false">IF(Salary_Calculation[[#This Row],[Source Row]]="","",IF(INDEX(Rider_Input[Notes],Salary_Calculation[[#This Row],[Source Row]])="","",INDEX(Rider_Input[Notes],Salary_Calculation[[#This Row],[Source Row]])))</f>
        <v/>
      </c>
      <c r="AA332" s="164" t="str">
        <f aca="false">IF(Salary_Calculation[[#This Row],[Source Row]]="","",Salary_Calculation[[#This Row],[Earned Salary]]-Salary_Calculation[[#This Row],[Missing-Order Deduction]]+Salary_Calculation[[#This Row],[Extra-Order Bonus]])</f>
        <v/>
      </c>
      <c r="AB332" s="164" t="str">
        <f aca="false">IF(Salary_Calculation[[#This Row],[Source Row]]="","",ROUND(Salary_Calculation[[#This Row],[Negative Balance / Amount Due from Rider]]+MAX(Salary_Calculation[[#This Row],[Total Deductions]]-Salary_Calculation[[#This Row],[Gross Salary Before Deductions]],0),2))</f>
        <v/>
      </c>
      <c r="AC33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32" s="164" t="str">
        <f aca="false">IF(Salary_Calculation[[#This Row],[Source Row]]="","",Salary_Calculation[[#This Row],[Rider Target Orders]]*Salary_Calculation[[#This Row],[Base Order Rate]])</f>
        <v/>
      </c>
      <c r="AE332" s="162" t="str">
        <f aca="false">IF(SUMPRODUCT(--(LEN(INDEX(Rider_Input[#Data],ROW()-ROW(Salary_Calculation[#Headers]),0))&gt;0))=0,"",ROW()-ROW(Salary_Calculation[#Headers]))</f>
        <v/>
      </c>
    </row>
    <row r="333" customFormat="false" ht="14.25" hidden="false" customHeight="false" outlineLevel="0" collapsed="false">
      <c r="A333" s="161" t="str">
        <f aca="false">IF(Salary_Calculation[[#This Row],[Source Row]]="","",IF(INDEX(Rider_Input[Salary Month],Salary_Calculation[[#This Row],[Source Row]])="","",INDEX(Rider_Input[Salary Month],Salary_Calculation[[#This Row],[Source Row]])))</f>
        <v/>
      </c>
      <c r="B333" s="162" t="str">
        <f aca="false">IF(Salary_Calculation[[#This Row],[Source Row]]="","",IF(INDEX(Rider_Input[Rider ID],Salary_Calculation[[#This Row],[Source Row]])="","",INDEX(Rider_Input[Rider ID],Salary_Calculation[[#This Row],[Source Row]])))</f>
        <v/>
      </c>
      <c r="C333" s="163" t="str">
        <f aca="false">IF(Salary_Calculation[[#This Row],[Source Row]]="","",IF(INDEX(Rider_Input[Rider Name],Salary_Calculation[[#This Row],[Source Row]])="","",INDEX(Rider_Input[Rider Name],Salary_Calculation[[#This Row],[Source Row]])))</f>
        <v/>
      </c>
      <c r="D333" s="164" t="str">
        <f aca="false">IF(Salary_Calculation[[#This Row],[Source Row]]="","",IF(INDEX(Rider_Input[Basic Payment],Salary_Calculation[[#This Row],[Source Row]])="","",INDEX(Rider_Input[Basic Payment],Salary_Calculation[[#This Row],[Source Row]])))</f>
        <v/>
      </c>
      <c r="E333" s="162" t="str">
        <f aca="false">IF(Salary_Calculation[[#This Row],[Source Row]]="","",IF(INDEX(Rider_Input[Calendar Days in Month],Salary_Calculation[[#This Row],[Source Row]])="","",INDEX(Rider_Input[Calendar Days in Month],Salary_Calculation[[#This Row],[Source Row]])))</f>
        <v/>
      </c>
      <c r="F333" s="162" t="str">
        <f aca="false">IF(Salary_Calculation[[#This Row],[Source Row]]="","",IF(INDEX(Rider_Input[Working Days],Salary_Calculation[[#This Row],[Source Row]])="","",INDEX(Rider_Input[Working Days],Salary_Calculation[[#This Row],[Source Row]])))</f>
        <v/>
      </c>
      <c r="G333" s="165" t="str">
        <f aca="false">IF(Salary_Calculation[[#This Row],[Source Row]]="","",Std_Orders/Std_Days*N(Salary_Calculation[[#This Row],[Calendar Days]]))</f>
        <v/>
      </c>
      <c r="H333" s="165" t="str">
        <f aca="false">IF(Salary_Calculation[[#This Row],[Source Row]]="","",IF(N(Salary_Calculation[[#This Row],[Calendar Days]])&gt;0,Salary_Calculation[[#This Row],[Monthly Target Orders]]/N(Salary_Calculation[[#This Row],[Calendar Days]])*N(Salary_Calculation[[#This Row],[Working Days]]),0))</f>
        <v/>
      </c>
      <c r="I333" s="166" t="str">
        <f aca="false">IF(Salary_Calculation[[#This Row],[Source Row]]="","",IF(INDEX(Rider_Input[Completed Orders],Salary_Calculation[[#This Row],[Source Row]])="","",INDEX(Rider_Input[Completed Orders],Salary_Calculation[[#This Row],[Source Row]])))</f>
        <v/>
      </c>
      <c r="J333" s="165" t="str">
        <f aca="false">IF(Salary_Calculation[[#This Row],[Source Row]]="","",IF(Rate_Method="Fixed rate",Fixed_Rate,IF(N(Salary_Calculation[[#This Row],[Basic Payment]])&gt;0,N(Salary_Calculation[[#This Row],[Basic Payment]])/Std_Orders,0)))</f>
        <v/>
      </c>
      <c r="K333" s="165" t="str">
        <f aca="false">IF(Salary_Calculation[[#This Row],[Source Row]]="","",MAX(MIN(N(Salary_Calculation[[#This Row],[Completed Orders]]),Salary_Calculation[[#This Row],[Rider Target Orders]]),0))</f>
        <v/>
      </c>
      <c r="L333" s="164" t="str">
        <f aca="false">IF(Salary_Calculation[[#This Row],[Source Row]]="","",Salary_Calculation[[#This Row],[Orders Counted at Base Rate]]*Salary_Calculation[[#This Row],[Base Order Rate]])</f>
        <v/>
      </c>
      <c r="M333" s="165" t="str">
        <f aca="false">IF(Salary_Calculation[[#This Row],[Source Row]]="","",MAX(Salary_Calculation[[#This Row],[Rider Target Orders]]-N(Salary_Calculation[[#This Row],[Completed Orders]]),0))</f>
        <v/>
      </c>
      <c r="N333" s="164" t="str">
        <f aca="false">IF(Salary_Calculation[[#This Row],[Source Row]]="","",Salary_Calculation[[#This Row],[Missing Orders]]*Missing_Rate)</f>
        <v/>
      </c>
      <c r="O333" s="165" t="str">
        <f aca="false">IF(Salary_Calculation[[#This Row],[Source Row]]="","",MAX(N(Salary_Calculation[[#This Row],[Completed Orders]])-Salary_Calculation[[#This Row],[Rider Target Orders]],0))</f>
        <v/>
      </c>
      <c r="P333" s="164" t="str">
        <f aca="false">IF(Salary_Calculation[[#This Row],[Source Row]]="","",Salary_Calculation[[#This Row],[Extra Orders]]*Extra_Rate)</f>
        <v/>
      </c>
      <c r="Q333" s="164" t="str">
        <f aca="false">IF(Salary_Calculation[[#This Row],[Source Row]]="","",MAX(Salary_Calculation[[#This Row],[Salary Before Other Deductions]],0))</f>
        <v/>
      </c>
      <c r="R333" s="164" t="str">
        <f aca="false">IF(Salary_Calculation[[#This Row],[Source Row]]="","",N(INDEX(Rider_Input[missed_days_penalty],Salary_Calculation[[#This Row],[Source Row]])))</f>
        <v/>
      </c>
      <c r="S333" s="164" t="str">
        <f aca="false">IF(Salary_Calculation[[#This Row],[Source Row]]="","",N(INDEX(Rider_Input[Rider Balance / محفظة المندوب],Salary_Calculation[[#This Row],[Source Row]])))</f>
        <v/>
      </c>
      <c r="T333" s="164" t="str">
        <f aca="false">IF(Salary_Calculation[[#This Row],[Source Row]]="","",N(INDEX(Rider_Input[stacking_deduction / خصم الطلبات المتعددة],Salary_Calculation[[#This Row],[Source Row]])))</f>
        <v/>
      </c>
      <c r="U333" s="164" t="str">
        <f aca="false">IF(Salary_Calculation[[#This Row],[Source Row]]="","",N(INDEX(Rider_Input[Other Deductions],Salary_Calculation[[#This Row],[Source Row]])))</f>
        <v/>
      </c>
      <c r="V333" s="164" t="str">
        <f aca="false">IF(Salary_Calculation[[#This Row],[Source Row]]="","",N(Salary_Calculation[[#This Row],[missed_days_penalty]])+N(Salary_Calculation[[#This Row],[Rider Balance]])+N(Salary_Calculation[[#This Row],[stacking_deduction]])+N(Salary_Calculation[[#This Row],[Other Deductions]]))</f>
        <v/>
      </c>
      <c r="W333" s="167" t="str">
        <f aca="false">IF(Salary_Calculation[[#This Row],[Source Row]]="","",ROUND(MAX(Salary_Calculation[[#This Row],[Gross Salary Before Deductions]]-Salary_Calculation[[#This Row],[Total Deductions]],0),2))</f>
        <v/>
      </c>
      <c r="X333" s="164" t="str">
        <f aca="false">IF(Salary_Calculation[[#This Row],[Source Row]]="","",ROUND(MAX(Salary_Calculation[[#This Row],[Missing-Order Deduction]]-Salary_Calculation[[#This Row],[Earned Salary]],0),2))</f>
        <v/>
      </c>
      <c r="Y33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33" s="163" t="str">
        <f aca="false">IF(Salary_Calculation[[#This Row],[Source Row]]="","",IF(INDEX(Rider_Input[Notes],Salary_Calculation[[#This Row],[Source Row]])="","",INDEX(Rider_Input[Notes],Salary_Calculation[[#This Row],[Source Row]])))</f>
        <v/>
      </c>
      <c r="AA333" s="164" t="str">
        <f aca="false">IF(Salary_Calculation[[#This Row],[Source Row]]="","",Salary_Calculation[[#This Row],[Earned Salary]]-Salary_Calculation[[#This Row],[Missing-Order Deduction]]+Salary_Calculation[[#This Row],[Extra-Order Bonus]])</f>
        <v/>
      </c>
      <c r="AB333" s="164" t="str">
        <f aca="false">IF(Salary_Calculation[[#This Row],[Source Row]]="","",ROUND(Salary_Calculation[[#This Row],[Negative Balance / Amount Due from Rider]]+MAX(Salary_Calculation[[#This Row],[Total Deductions]]-Salary_Calculation[[#This Row],[Gross Salary Before Deductions]],0),2))</f>
        <v/>
      </c>
      <c r="AC33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33" s="164" t="str">
        <f aca="false">IF(Salary_Calculation[[#This Row],[Source Row]]="","",Salary_Calculation[[#This Row],[Rider Target Orders]]*Salary_Calculation[[#This Row],[Base Order Rate]])</f>
        <v/>
      </c>
      <c r="AE333" s="162" t="str">
        <f aca="false">IF(SUMPRODUCT(--(LEN(INDEX(Rider_Input[#Data],ROW()-ROW(Salary_Calculation[#Headers]),0))&gt;0))=0,"",ROW()-ROW(Salary_Calculation[#Headers]))</f>
        <v/>
      </c>
    </row>
    <row r="334" customFormat="false" ht="14.25" hidden="false" customHeight="false" outlineLevel="0" collapsed="false">
      <c r="A334" s="161" t="str">
        <f aca="false">IF(Salary_Calculation[[#This Row],[Source Row]]="","",IF(INDEX(Rider_Input[Salary Month],Salary_Calculation[[#This Row],[Source Row]])="","",INDEX(Rider_Input[Salary Month],Salary_Calculation[[#This Row],[Source Row]])))</f>
        <v/>
      </c>
      <c r="B334" s="162" t="str">
        <f aca="false">IF(Salary_Calculation[[#This Row],[Source Row]]="","",IF(INDEX(Rider_Input[Rider ID],Salary_Calculation[[#This Row],[Source Row]])="","",INDEX(Rider_Input[Rider ID],Salary_Calculation[[#This Row],[Source Row]])))</f>
        <v/>
      </c>
      <c r="C334" s="163" t="str">
        <f aca="false">IF(Salary_Calculation[[#This Row],[Source Row]]="","",IF(INDEX(Rider_Input[Rider Name],Salary_Calculation[[#This Row],[Source Row]])="","",INDEX(Rider_Input[Rider Name],Salary_Calculation[[#This Row],[Source Row]])))</f>
        <v/>
      </c>
      <c r="D334" s="164" t="str">
        <f aca="false">IF(Salary_Calculation[[#This Row],[Source Row]]="","",IF(INDEX(Rider_Input[Basic Payment],Salary_Calculation[[#This Row],[Source Row]])="","",INDEX(Rider_Input[Basic Payment],Salary_Calculation[[#This Row],[Source Row]])))</f>
        <v/>
      </c>
      <c r="E334" s="162" t="str">
        <f aca="false">IF(Salary_Calculation[[#This Row],[Source Row]]="","",IF(INDEX(Rider_Input[Calendar Days in Month],Salary_Calculation[[#This Row],[Source Row]])="","",INDEX(Rider_Input[Calendar Days in Month],Salary_Calculation[[#This Row],[Source Row]])))</f>
        <v/>
      </c>
      <c r="F334" s="162" t="str">
        <f aca="false">IF(Salary_Calculation[[#This Row],[Source Row]]="","",IF(INDEX(Rider_Input[Working Days],Salary_Calculation[[#This Row],[Source Row]])="","",INDEX(Rider_Input[Working Days],Salary_Calculation[[#This Row],[Source Row]])))</f>
        <v/>
      </c>
      <c r="G334" s="165" t="str">
        <f aca="false">IF(Salary_Calculation[[#This Row],[Source Row]]="","",Std_Orders/Std_Days*N(Salary_Calculation[[#This Row],[Calendar Days]]))</f>
        <v/>
      </c>
      <c r="H334" s="165" t="str">
        <f aca="false">IF(Salary_Calculation[[#This Row],[Source Row]]="","",IF(N(Salary_Calculation[[#This Row],[Calendar Days]])&gt;0,Salary_Calculation[[#This Row],[Monthly Target Orders]]/N(Salary_Calculation[[#This Row],[Calendar Days]])*N(Salary_Calculation[[#This Row],[Working Days]]),0))</f>
        <v/>
      </c>
      <c r="I334" s="166" t="str">
        <f aca="false">IF(Salary_Calculation[[#This Row],[Source Row]]="","",IF(INDEX(Rider_Input[Completed Orders],Salary_Calculation[[#This Row],[Source Row]])="","",INDEX(Rider_Input[Completed Orders],Salary_Calculation[[#This Row],[Source Row]])))</f>
        <v/>
      </c>
      <c r="J334" s="165" t="str">
        <f aca="false">IF(Salary_Calculation[[#This Row],[Source Row]]="","",IF(Rate_Method="Fixed rate",Fixed_Rate,IF(N(Salary_Calculation[[#This Row],[Basic Payment]])&gt;0,N(Salary_Calculation[[#This Row],[Basic Payment]])/Std_Orders,0)))</f>
        <v/>
      </c>
      <c r="K334" s="165" t="str">
        <f aca="false">IF(Salary_Calculation[[#This Row],[Source Row]]="","",MAX(MIN(N(Salary_Calculation[[#This Row],[Completed Orders]]),Salary_Calculation[[#This Row],[Rider Target Orders]]),0))</f>
        <v/>
      </c>
      <c r="L334" s="164" t="str">
        <f aca="false">IF(Salary_Calculation[[#This Row],[Source Row]]="","",Salary_Calculation[[#This Row],[Orders Counted at Base Rate]]*Salary_Calculation[[#This Row],[Base Order Rate]])</f>
        <v/>
      </c>
      <c r="M334" s="165" t="str">
        <f aca="false">IF(Salary_Calculation[[#This Row],[Source Row]]="","",MAX(Salary_Calculation[[#This Row],[Rider Target Orders]]-N(Salary_Calculation[[#This Row],[Completed Orders]]),0))</f>
        <v/>
      </c>
      <c r="N334" s="164" t="str">
        <f aca="false">IF(Salary_Calculation[[#This Row],[Source Row]]="","",Salary_Calculation[[#This Row],[Missing Orders]]*Missing_Rate)</f>
        <v/>
      </c>
      <c r="O334" s="165" t="str">
        <f aca="false">IF(Salary_Calculation[[#This Row],[Source Row]]="","",MAX(N(Salary_Calculation[[#This Row],[Completed Orders]])-Salary_Calculation[[#This Row],[Rider Target Orders]],0))</f>
        <v/>
      </c>
      <c r="P334" s="164" t="str">
        <f aca="false">IF(Salary_Calculation[[#This Row],[Source Row]]="","",Salary_Calculation[[#This Row],[Extra Orders]]*Extra_Rate)</f>
        <v/>
      </c>
      <c r="Q334" s="164" t="str">
        <f aca="false">IF(Salary_Calculation[[#This Row],[Source Row]]="","",MAX(Salary_Calculation[[#This Row],[Salary Before Other Deductions]],0))</f>
        <v/>
      </c>
      <c r="R334" s="164" t="str">
        <f aca="false">IF(Salary_Calculation[[#This Row],[Source Row]]="","",N(INDEX(Rider_Input[missed_days_penalty],Salary_Calculation[[#This Row],[Source Row]])))</f>
        <v/>
      </c>
      <c r="S334" s="164" t="str">
        <f aca="false">IF(Salary_Calculation[[#This Row],[Source Row]]="","",N(INDEX(Rider_Input[Rider Balance / محفظة المندوب],Salary_Calculation[[#This Row],[Source Row]])))</f>
        <v/>
      </c>
      <c r="T334" s="164" t="str">
        <f aca="false">IF(Salary_Calculation[[#This Row],[Source Row]]="","",N(INDEX(Rider_Input[stacking_deduction / خصم الطلبات المتعددة],Salary_Calculation[[#This Row],[Source Row]])))</f>
        <v/>
      </c>
      <c r="U334" s="164" t="str">
        <f aca="false">IF(Salary_Calculation[[#This Row],[Source Row]]="","",N(INDEX(Rider_Input[Other Deductions],Salary_Calculation[[#This Row],[Source Row]])))</f>
        <v/>
      </c>
      <c r="V334" s="164" t="str">
        <f aca="false">IF(Salary_Calculation[[#This Row],[Source Row]]="","",N(Salary_Calculation[[#This Row],[missed_days_penalty]])+N(Salary_Calculation[[#This Row],[Rider Balance]])+N(Salary_Calculation[[#This Row],[stacking_deduction]])+N(Salary_Calculation[[#This Row],[Other Deductions]]))</f>
        <v/>
      </c>
      <c r="W334" s="167" t="str">
        <f aca="false">IF(Salary_Calculation[[#This Row],[Source Row]]="","",ROUND(MAX(Salary_Calculation[[#This Row],[Gross Salary Before Deductions]]-Salary_Calculation[[#This Row],[Total Deductions]],0),2))</f>
        <v/>
      </c>
      <c r="X334" s="164" t="str">
        <f aca="false">IF(Salary_Calculation[[#This Row],[Source Row]]="","",ROUND(MAX(Salary_Calculation[[#This Row],[Missing-Order Deduction]]-Salary_Calculation[[#This Row],[Earned Salary]],0),2))</f>
        <v/>
      </c>
      <c r="Y33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34" s="163" t="str">
        <f aca="false">IF(Salary_Calculation[[#This Row],[Source Row]]="","",IF(INDEX(Rider_Input[Notes],Salary_Calculation[[#This Row],[Source Row]])="","",INDEX(Rider_Input[Notes],Salary_Calculation[[#This Row],[Source Row]])))</f>
        <v/>
      </c>
      <c r="AA334" s="164" t="str">
        <f aca="false">IF(Salary_Calculation[[#This Row],[Source Row]]="","",Salary_Calculation[[#This Row],[Earned Salary]]-Salary_Calculation[[#This Row],[Missing-Order Deduction]]+Salary_Calculation[[#This Row],[Extra-Order Bonus]])</f>
        <v/>
      </c>
      <c r="AB334" s="164" t="str">
        <f aca="false">IF(Salary_Calculation[[#This Row],[Source Row]]="","",ROUND(Salary_Calculation[[#This Row],[Negative Balance / Amount Due from Rider]]+MAX(Salary_Calculation[[#This Row],[Total Deductions]]-Salary_Calculation[[#This Row],[Gross Salary Before Deductions]],0),2))</f>
        <v/>
      </c>
      <c r="AC33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34" s="164" t="str">
        <f aca="false">IF(Salary_Calculation[[#This Row],[Source Row]]="","",Salary_Calculation[[#This Row],[Rider Target Orders]]*Salary_Calculation[[#This Row],[Base Order Rate]])</f>
        <v/>
      </c>
      <c r="AE334" s="162" t="str">
        <f aca="false">IF(SUMPRODUCT(--(LEN(INDEX(Rider_Input[#Data],ROW()-ROW(Salary_Calculation[#Headers]),0))&gt;0))=0,"",ROW()-ROW(Salary_Calculation[#Headers]))</f>
        <v/>
      </c>
    </row>
    <row r="335" customFormat="false" ht="14.25" hidden="false" customHeight="false" outlineLevel="0" collapsed="false">
      <c r="A335" s="161" t="str">
        <f aca="false">IF(Salary_Calculation[[#This Row],[Source Row]]="","",IF(INDEX(Rider_Input[Salary Month],Salary_Calculation[[#This Row],[Source Row]])="","",INDEX(Rider_Input[Salary Month],Salary_Calculation[[#This Row],[Source Row]])))</f>
        <v/>
      </c>
      <c r="B335" s="162" t="str">
        <f aca="false">IF(Salary_Calculation[[#This Row],[Source Row]]="","",IF(INDEX(Rider_Input[Rider ID],Salary_Calculation[[#This Row],[Source Row]])="","",INDEX(Rider_Input[Rider ID],Salary_Calculation[[#This Row],[Source Row]])))</f>
        <v/>
      </c>
      <c r="C335" s="163" t="str">
        <f aca="false">IF(Salary_Calculation[[#This Row],[Source Row]]="","",IF(INDEX(Rider_Input[Rider Name],Salary_Calculation[[#This Row],[Source Row]])="","",INDEX(Rider_Input[Rider Name],Salary_Calculation[[#This Row],[Source Row]])))</f>
        <v/>
      </c>
      <c r="D335" s="164" t="str">
        <f aca="false">IF(Salary_Calculation[[#This Row],[Source Row]]="","",IF(INDEX(Rider_Input[Basic Payment],Salary_Calculation[[#This Row],[Source Row]])="","",INDEX(Rider_Input[Basic Payment],Salary_Calculation[[#This Row],[Source Row]])))</f>
        <v/>
      </c>
      <c r="E335" s="162" t="str">
        <f aca="false">IF(Salary_Calculation[[#This Row],[Source Row]]="","",IF(INDEX(Rider_Input[Calendar Days in Month],Salary_Calculation[[#This Row],[Source Row]])="","",INDEX(Rider_Input[Calendar Days in Month],Salary_Calculation[[#This Row],[Source Row]])))</f>
        <v/>
      </c>
      <c r="F335" s="162" t="str">
        <f aca="false">IF(Salary_Calculation[[#This Row],[Source Row]]="","",IF(INDEX(Rider_Input[Working Days],Salary_Calculation[[#This Row],[Source Row]])="","",INDEX(Rider_Input[Working Days],Salary_Calculation[[#This Row],[Source Row]])))</f>
        <v/>
      </c>
      <c r="G335" s="165" t="str">
        <f aca="false">IF(Salary_Calculation[[#This Row],[Source Row]]="","",Std_Orders/Std_Days*N(Salary_Calculation[[#This Row],[Calendar Days]]))</f>
        <v/>
      </c>
      <c r="H335" s="165" t="str">
        <f aca="false">IF(Salary_Calculation[[#This Row],[Source Row]]="","",IF(N(Salary_Calculation[[#This Row],[Calendar Days]])&gt;0,Salary_Calculation[[#This Row],[Monthly Target Orders]]/N(Salary_Calculation[[#This Row],[Calendar Days]])*N(Salary_Calculation[[#This Row],[Working Days]]),0))</f>
        <v/>
      </c>
      <c r="I335" s="166" t="str">
        <f aca="false">IF(Salary_Calculation[[#This Row],[Source Row]]="","",IF(INDEX(Rider_Input[Completed Orders],Salary_Calculation[[#This Row],[Source Row]])="","",INDEX(Rider_Input[Completed Orders],Salary_Calculation[[#This Row],[Source Row]])))</f>
        <v/>
      </c>
      <c r="J335" s="165" t="str">
        <f aca="false">IF(Salary_Calculation[[#This Row],[Source Row]]="","",IF(Rate_Method="Fixed rate",Fixed_Rate,IF(N(Salary_Calculation[[#This Row],[Basic Payment]])&gt;0,N(Salary_Calculation[[#This Row],[Basic Payment]])/Std_Orders,0)))</f>
        <v/>
      </c>
      <c r="K335" s="165" t="str">
        <f aca="false">IF(Salary_Calculation[[#This Row],[Source Row]]="","",MAX(MIN(N(Salary_Calculation[[#This Row],[Completed Orders]]),Salary_Calculation[[#This Row],[Rider Target Orders]]),0))</f>
        <v/>
      </c>
      <c r="L335" s="164" t="str">
        <f aca="false">IF(Salary_Calculation[[#This Row],[Source Row]]="","",Salary_Calculation[[#This Row],[Orders Counted at Base Rate]]*Salary_Calculation[[#This Row],[Base Order Rate]])</f>
        <v/>
      </c>
      <c r="M335" s="165" t="str">
        <f aca="false">IF(Salary_Calculation[[#This Row],[Source Row]]="","",MAX(Salary_Calculation[[#This Row],[Rider Target Orders]]-N(Salary_Calculation[[#This Row],[Completed Orders]]),0))</f>
        <v/>
      </c>
      <c r="N335" s="164" t="str">
        <f aca="false">IF(Salary_Calculation[[#This Row],[Source Row]]="","",Salary_Calculation[[#This Row],[Missing Orders]]*Missing_Rate)</f>
        <v/>
      </c>
      <c r="O335" s="165" t="str">
        <f aca="false">IF(Salary_Calculation[[#This Row],[Source Row]]="","",MAX(N(Salary_Calculation[[#This Row],[Completed Orders]])-Salary_Calculation[[#This Row],[Rider Target Orders]],0))</f>
        <v/>
      </c>
      <c r="P335" s="164" t="str">
        <f aca="false">IF(Salary_Calculation[[#This Row],[Source Row]]="","",Salary_Calculation[[#This Row],[Extra Orders]]*Extra_Rate)</f>
        <v/>
      </c>
      <c r="Q335" s="164" t="str">
        <f aca="false">IF(Salary_Calculation[[#This Row],[Source Row]]="","",MAX(Salary_Calculation[[#This Row],[Salary Before Other Deductions]],0))</f>
        <v/>
      </c>
      <c r="R335" s="164" t="str">
        <f aca="false">IF(Salary_Calculation[[#This Row],[Source Row]]="","",N(INDEX(Rider_Input[missed_days_penalty],Salary_Calculation[[#This Row],[Source Row]])))</f>
        <v/>
      </c>
      <c r="S335" s="164" t="str">
        <f aca="false">IF(Salary_Calculation[[#This Row],[Source Row]]="","",N(INDEX(Rider_Input[Rider Balance / محفظة المندوب],Salary_Calculation[[#This Row],[Source Row]])))</f>
        <v/>
      </c>
      <c r="T335" s="164" t="str">
        <f aca="false">IF(Salary_Calculation[[#This Row],[Source Row]]="","",N(INDEX(Rider_Input[stacking_deduction / خصم الطلبات المتعددة],Salary_Calculation[[#This Row],[Source Row]])))</f>
        <v/>
      </c>
      <c r="U335" s="164" t="str">
        <f aca="false">IF(Salary_Calculation[[#This Row],[Source Row]]="","",N(INDEX(Rider_Input[Other Deductions],Salary_Calculation[[#This Row],[Source Row]])))</f>
        <v/>
      </c>
      <c r="V335" s="164" t="str">
        <f aca="false">IF(Salary_Calculation[[#This Row],[Source Row]]="","",N(Salary_Calculation[[#This Row],[missed_days_penalty]])+N(Salary_Calculation[[#This Row],[Rider Balance]])+N(Salary_Calculation[[#This Row],[stacking_deduction]])+N(Salary_Calculation[[#This Row],[Other Deductions]]))</f>
        <v/>
      </c>
      <c r="W335" s="167" t="str">
        <f aca="false">IF(Salary_Calculation[[#This Row],[Source Row]]="","",ROUND(MAX(Salary_Calculation[[#This Row],[Gross Salary Before Deductions]]-Salary_Calculation[[#This Row],[Total Deductions]],0),2))</f>
        <v/>
      </c>
      <c r="X335" s="164" t="str">
        <f aca="false">IF(Salary_Calculation[[#This Row],[Source Row]]="","",ROUND(MAX(Salary_Calculation[[#This Row],[Missing-Order Deduction]]-Salary_Calculation[[#This Row],[Earned Salary]],0),2))</f>
        <v/>
      </c>
      <c r="Y33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35" s="163" t="str">
        <f aca="false">IF(Salary_Calculation[[#This Row],[Source Row]]="","",IF(INDEX(Rider_Input[Notes],Salary_Calculation[[#This Row],[Source Row]])="","",INDEX(Rider_Input[Notes],Salary_Calculation[[#This Row],[Source Row]])))</f>
        <v/>
      </c>
      <c r="AA335" s="164" t="str">
        <f aca="false">IF(Salary_Calculation[[#This Row],[Source Row]]="","",Salary_Calculation[[#This Row],[Earned Salary]]-Salary_Calculation[[#This Row],[Missing-Order Deduction]]+Salary_Calculation[[#This Row],[Extra-Order Bonus]])</f>
        <v/>
      </c>
      <c r="AB335" s="164" t="str">
        <f aca="false">IF(Salary_Calculation[[#This Row],[Source Row]]="","",ROUND(Salary_Calculation[[#This Row],[Negative Balance / Amount Due from Rider]]+MAX(Salary_Calculation[[#This Row],[Total Deductions]]-Salary_Calculation[[#This Row],[Gross Salary Before Deductions]],0),2))</f>
        <v/>
      </c>
      <c r="AC33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35" s="164" t="str">
        <f aca="false">IF(Salary_Calculation[[#This Row],[Source Row]]="","",Salary_Calculation[[#This Row],[Rider Target Orders]]*Salary_Calculation[[#This Row],[Base Order Rate]])</f>
        <v/>
      </c>
      <c r="AE335" s="162" t="str">
        <f aca="false">IF(SUMPRODUCT(--(LEN(INDEX(Rider_Input[#Data],ROW()-ROW(Salary_Calculation[#Headers]),0))&gt;0))=0,"",ROW()-ROW(Salary_Calculation[#Headers]))</f>
        <v/>
      </c>
    </row>
    <row r="336" customFormat="false" ht="14.25" hidden="false" customHeight="false" outlineLevel="0" collapsed="false">
      <c r="A336" s="161" t="str">
        <f aca="false">IF(Salary_Calculation[[#This Row],[Source Row]]="","",IF(INDEX(Rider_Input[Salary Month],Salary_Calculation[[#This Row],[Source Row]])="","",INDEX(Rider_Input[Salary Month],Salary_Calculation[[#This Row],[Source Row]])))</f>
        <v/>
      </c>
      <c r="B336" s="162" t="str">
        <f aca="false">IF(Salary_Calculation[[#This Row],[Source Row]]="","",IF(INDEX(Rider_Input[Rider ID],Salary_Calculation[[#This Row],[Source Row]])="","",INDEX(Rider_Input[Rider ID],Salary_Calculation[[#This Row],[Source Row]])))</f>
        <v/>
      </c>
      <c r="C336" s="163" t="str">
        <f aca="false">IF(Salary_Calculation[[#This Row],[Source Row]]="","",IF(INDEX(Rider_Input[Rider Name],Salary_Calculation[[#This Row],[Source Row]])="","",INDEX(Rider_Input[Rider Name],Salary_Calculation[[#This Row],[Source Row]])))</f>
        <v/>
      </c>
      <c r="D336" s="164" t="str">
        <f aca="false">IF(Salary_Calculation[[#This Row],[Source Row]]="","",IF(INDEX(Rider_Input[Basic Payment],Salary_Calculation[[#This Row],[Source Row]])="","",INDEX(Rider_Input[Basic Payment],Salary_Calculation[[#This Row],[Source Row]])))</f>
        <v/>
      </c>
      <c r="E336" s="162" t="str">
        <f aca="false">IF(Salary_Calculation[[#This Row],[Source Row]]="","",IF(INDEX(Rider_Input[Calendar Days in Month],Salary_Calculation[[#This Row],[Source Row]])="","",INDEX(Rider_Input[Calendar Days in Month],Salary_Calculation[[#This Row],[Source Row]])))</f>
        <v/>
      </c>
      <c r="F336" s="162" t="str">
        <f aca="false">IF(Salary_Calculation[[#This Row],[Source Row]]="","",IF(INDEX(Rider_Input[Working Days],Salary_Calculation[[#This Row],[Source Row]])="","",INDEX(Rider_Input[Working Days],Salary_Calculation[[#This Row],[Source Row]])))</f>
        <v/>
      </c>
      <c r="G336" s="165" t="str">
        <f aca="false">IF(Salary_Calculation[[#This Row],[Source Row]]="","",Std_Orders/Std_Days*N(Salary_Calculation[[#This Row],[Calendar Days]]))</f>
        <v/>
      </c>
      <c r="H336" s="165" t="str">
        <f aca="false">IF(Salary_Calculation[[#This Row],[Source Row]]="","",IF(N(Salary_Calculation[[#This Row],[Calendar Days]])&gt;0,Salary_Calculation[[#This Row],[Monthly Target Orders]]/N(Salary_Calculation[[#This Row],[Calendar Days]])*N(Salary_Calculation[[#This Row],[Working Days]]),0))</f>
        <v/>
      </c>
      <c r="I336" s="166" t="str">
        <f aca="false">IF(Salary_Calculation[[#This Row],[Source Row]]="","",IF(INDEX(Rider_Input[Completed Orders],Salary_Calculation[[#This Row],[Source Row]])="","",INDEX(Rider_Input[Completed Orders],Salary_Calculation[[#This Row],[Source Row]])))</f>
        <v/>
      </c>
      <c r="J336" s="165" t="str">
        <f aca="false">IF(Salary_Calculation[[#This Row],[Source Row]]="","",IF(Rate_Method="Fixed rate",Fixed_Rate,IF(N(Salary_Calculation[[#This Row],[Basic Payment]])&gt;0,N(Salary_Calculation[[#This Row],[Basic Payment]])/Std_Orders,0)))</f>
        <v/>
      </c>
      <c r="K336" s="165" t="str">
        <f aca="false">IF(Salary_Calculation[[#This Row],[Source Row]]="","",MAX(MIN(N(Salary_Calculation[[#This Row],[Completed Orders]]),Salary_Calculation[[#This Row],[Rider Target Orders]]),0))</f>
        <v/>
      </c>
      <c r="L336" s="164" t="str">
        <f aca="false">IF(Salary_Calculation[[#This Row],[Source Row]]="","",Salary_Calculation[[#This Row],[Orders Counted at Base Rate]]*Salary_Calculation[[#This Row],[Base Order Rate]])</f>
        <v/>
      </c>
      <c r="M336" s="165" t="str">
        <f aca="false">IF(Salary_Calculation[[#This Row],[Source Row]]="","",MAX(Salary_Calculation[[#This Row],[Rider Target Orders]]-N(Salary_Calculation[[#This Row],[Completed Orders]]),0))</f>
        <v/>
      </c>
      <c r="N336" s="164" t="str">
        <f aca="false">IF(Salary_Calculation[[#This Row],[Source Row]]="","",Salary_Calculation[[#This Row],[Missing Orders]]*Missing_Rate)</f>
        <v/>
      </c>
      <c r="O336" s="165" t="str">
        <f aca="false">IF(Salary_Calculation[[#This Row],[Source Row]]="","",MAX(N(Salary_Calculation[[#This Row],[Completed Orders]])-Salary_Calculation[[#This Row],[Rider Target Orders]],0))</f>
        <v/>
      </c>
      <c r="P336" s="164" t="str">
        <f aca="false">IF(Salary_Calculation[[#This Row],[Source Row]]="","",Salary_Calculation[[#This Row],[Extra Orders]]*Extra_Rate)</f>
        <v/>
      </c>
      <c r="Q336" s="164" t="str">
        <f aca="false">IF(Salary_Calculation[[#This Row],[Source Row]]="","",MAX(Salary_Calculation[[#This Row],[Salary Before Other Deductions]],0))</f>
        <v/>
      </c>
      <c r="R336" s="164" t="str">
        <f aca="false">IF(Salary_Calculation[[#This Row],[Source Row]]="","",N(INDEX(Rider_Input[missed_days_penalty],Salary_Calculation[[#This Row],[Source Row]])))</f>
        <v/>
      </c>
      <c r="S336" s="164" t="str">
        <f aca="false">IF(Salary_Calculation[[#This Row],[Source Row]]="","",N(INDEX(Rider_Input[Rider Balance / محفظة المندوب],Salary_Calculation[[#This Row],[Source Row]])))</f>
        <v/>
      </c>
      <c r="T336" s="164" t="str">
        <f aca="false">IF(Salary_Calculation[[#This Row],[Source Row]]="","",N(INDEX(Rider_Input[stacking_deduction / خصم الطلبات المتعددة],Salary_Calculation[[#This Row],[Source Row]])))</f>
        <v/>
      </c>
      <c r="U336" s="164" t="str">
        <f aca="false">IF(Salary_Calculation[[#This Row],[Source Row]]="","",N(INDEX(Rider_Input[Other Deductions],Salary_Calculation[[#This Row],[Source Row]])))</f>
        <v/>
      </c>
      <c r="V336" s="164" t="str">
        <f aca="false">IF(Salary_Calculation[[#This Row],[Source Row]]="","",N(Salary_Calculation[[#This Row],[missed_days_penalty]])+N(Salary_Calculation[[#This Row],[Rider Balance]])+N(Salary_Calculation[[#This Row],[stacking_deduction]])+N(Salary_Calculation[[#This Row],[Other Deductions]]))</f>
        <v/>
      </c>
      <c r="W336" s="167" t="str">
        <f aca="false">IF(Salary_Calculation[[#This Row],[Source Row]]="","",ROUND(MAX(Salary_Calculation[[#This Row],[Gross Salary Before Deductions]]-Salary_Calculation[[#This Row],[Total Deductions]],0),2))</f>
        <v/>
      </c>
      <c r="X336" s="164" t="str">
        <f aca="false">IF(Salary_Calculation[[#This Row],[Source Row]]="","",ROUND(MAX(Salary_Calculation[[#This Row],[Missing-Order Deduction]]-Salary_Calculation[[#This Row],[Earned Salary]],0),2))</f>
        <v/>
      </c>
      <c r="Y33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36" s="163" t="str">
        <f aca="false">IF(Salary_Calculation[[#This Row],[Source Row]]="","",IF(INDEX(Rider_Input[Notes],Salary_Calculation[[#This Row],[Source Row]])="","",INDEX(Rider_Input[Notes],Salary_Calculation[[#This Row],[Source Row]])))</f>
        <v/>
      </c>
      <c r="AA336" s="164" t="str">
        <f aca="false">IF(Salary_Calculation[[#This Row],[Source Row]]="","",Salary_Calculation[[#This Row],[Earned Salary]]-Salary_Calculation[[#This Row],[Missing-Order Deduction]]+Salary_Calculation[[#This Row],[Extra-Order Bonus]])</f>
        <v/>
      </c>
      <c r="AB336" s="164" t="str">
        <f aca="false">IF(Salary_Calculation[[#This Row],[Source Row]]="","",ROUND(Salary_Calculation[[#This Row],[Negative Balance / Amount Due from Rider]]+MAX(Salary_Calculation[[#This Row],[Total Deductions]]-Salary_Calculation[[#This Row],[Gross Salary Before Deductions]],0),2))</f>
        <v/>
      </c>
      <c r="AC33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36" s="164" t="str">
        <f aca="false">IF(Salary_Calculation[[#This Row],[Source Row]]="","",Salary_Calculation[[#This Row],[Rider Target Orders]]*Salary_Calculation[[#This Row],[Base Order Rate]])</f>
        <v/>
      </c>
      <c r="AE336" s="162" t="str">
        <f aca="false">IF(SUMPRODUCT(--(LEN(INDEX(Rider_Input[#Data],ROW()-ROW(Salary_Calculation[#Headers]),0))&gt;0))=0,"",ROW()-ROW(Salary_Calculation[#Headers]))</f>
        <v/>
      </c>
    </row>
    <row r="337" customFormat="false" ht="14.25" hidden="false" customHeight="false" outlineLevel="0" collapsed="false">
      <c r="A337" s="161" t="str">
        <f aca="false">IF(Salary_Calculation[[#This Row],[Source Row]]="","",IF(INDEX(Rider_Input[Salary Month],Salary_Calculation[[#This Row],[Source Row]])="","",INDEX(Rider_Input[Salary Month],Salary_Calculation[[#This Row],[Source Row]])))</f>
        <v/>
      </c>
      <c r="B337" s="162" t="str">
        <f aca="false">IF(Salary_Calculation[[#This Row],[Source Row]]="","",IF(INDEX(Rider_Input[Rider ID],Salary_Calculation[[#This Row],[Source Row]])="","",INDEX(Rider_Input[Rider ID],Salary_Calculation[[#This Row],[Source Row]])))</f>
        <v/>
      </c>
      <c r="C337" s="163" t="str">
        <f aca="false">IF(Salary_Calculation[[#This Row],[Source Row]]="","",IF(INDEX(Rider_Input[Rider Name],Salary_Calculation[[#This Row],[Source Row]])="","",INDEX(Rider_Input[Rider Name],Salary_Calculation[[#This Row],[Source Row]])))</f>
        <v/>
      </c>
      <c r="D337" s="164" t="str">
        <f aca="false">IF(Salary_Calculation[[#This Row],[Source Row]]="","",IF(INDEX(Rider_Input[Basic Payment],Salary_Calculation[[#This Row],[Source Row]])="","",INDEX(Rider_Input[Basic Payment],Salary_Calculation[[#This Row],[Source Row]])))</f>
        <v/>
      </c>
      <c r="E337" s="162" t="str">
        <f aca="false">IF(Salary_Calculation[[#This Row],[Source Row]]="","",IF(INDEX(Rider_Input[Calendar Days in Month],Salary_Calculation[[#This Row],[Source Row]])="","",INDEX(Rider_Input[Calendar Days in Month],Salary_Calculation[[#This Row],[Source Row]])))</f>
        <v/>
      </c>
      <c r="F337" s="162" t="str">
        <f aca="false">IF(Salary_Calculation[[#This Row],[Source Row]]="","",IF(INDEX(Rider_Input[Working Days],Salary_Calculation[[#This Row],[Source Row]])="","",INDEX(Rider_Input[Working Days],Salary_Calculation[[#This Row],[Source Row]])))</f>
        <v/>
      </c>
      <c r="G337" s="165" t="str">
        <f aca="false">IF(Salary_Calculation[[#This Row],[Source Row]]="","",Std_Orders/Std_Days*N(Salary_Calculation[[#This Row],[Calendar Days]]))</f>
        <v/>
      </c>
      <c r="H337" s="165" t="str">
        <f aca="false">IF(Salary_Calculation[[#This Row],[Source Row]]="","",IF(N(Salary_Calculation[[#This Row],[Calendar Days]])&gt;0,Salary_Calculation[[#This Row],[Monthly Target Orders]]/N(Salary_Calculation[[#This Row],[Calendar Days]])*N(Salary_Calculation[[#This Row],[Working Days]]),0))</f>
        <v/>
      </c>
      <c r="I337" s="166" t="str">
        <f aca="false">IF(Salary_Calculation[[#This Row],[Source Row]]="","",IF(INDEX(Rider_Input[Completed Orders],Salary_Calculation[[#This Row],[Source Row]])="","",INDEX(Rider_Input[Completed Orders],Salary_Calculation[[#This Row],[Source Row]])))</f>
        <v/>
      </c>
      <c r="J337" s="165" t="str">
        <f aca="false">IF(Salary_Calculation[[#This Row],[Source Row]]="","",IF(Rate_Method="Fixed rate",Fixed_Rate,IF(N(Salary_Calculation[[#This Row],[Basic Payment]])&gt;0,N(Salary_Calculation[[#This Row],[Basic Payment]])/Std_Orders,0)))</f>
        <v/>
      </c>
      <c r="K337" s="165" t="str">
        <f aca="false">IF(Salary_Calculation[[#This Row],[Source Row]]="","",MAX(MIN(N(Salary_Calculation[[#This Row],[Completed Orders]]),Salary_Calculation[[#This Row],[Rider Target Orders]]),0))</f>
        <v/>
      </c>
      <c r="L337" s="164" t="str">
        <f aca="false">IF(Salary_Calculation[[#This Row],[Source Row]]="","",Salary_Calculation[[#This Row],[Orders Counted at Base Rate]]*Salary_Calculation[[#This Row],[Base Order Rate]])</f>
        <v/>
      </c>
      <c r="M337" s="165" t="str">
        <f aca="false">IF(Salary_Calculation[[#This Row],[Source Row]]="","",MAX(Salary_Calculation[[#This Row],[Rider Target Orders]]-N(Salary_Calculation[[#This Row],[Completed Orders]]),0))</f>
        <v/>
      </c>
      <c r="N337" s="164" t="str">
        <f aca="false">IF(Salary_Calculation[[#This Row],[Source Row]]="","",Salary_Calculation[[#This Row],[Missing Orders]]*Missing_Rate)</f>
        <v/>
      </c>
      <c r="O337" s="165" t="str">
        <f aca="false">IF(Salary_Calculation[[#This Row],[Source Row]]="","",MAX(N(Salary_Calculation[[#This Row],[Completed Orders]])-Salary_Calculation[[#This Row],[Rider Target Orders]],0))</f>
        <v/>
      </c>
      <c r="P337" s="164" t="str">
        <f aca="false">IF(Salary_Calculation[[#This Row],[Source Row]]="","",Salary_Calculation[[#This Row],[Extra Orders]]*Extra_Rate)</f>
        <v/>
      </c>
      <c r="Q337" s="164" t="str">
        <f aca="false">IF(Salary_Calculation[[#This Row],[Source Row]]="","",MAX(Salary_Calculation[[#This Row],[Salary Before Other Deductions]],0))</f>
        <v/>
      </c>
      <c r="R337" s="164" t="str">
        <f aca="false">IF(Salary_Calculation[[#This Row],[Source Row]]="","",N(INDEX(Rider_Input[missed_days_penalty],Salary_Calculation[[#This Row],[Source Row]])))</f>
        <v/>
      </c>
      <c r="S337" s="164" t="str">
        <f aca="false">IF(Salary_Calculation[[#This Row],[Source Row]]="","",N(INDEX(Rider_Input[Rider Balance / محفظة المندوب],Salary_Calculation[[#This Row],[Source Row]])))</f>
        <v/>
      </c>
      <c r="T337" s="164" t="str">
        <f aca="false">IF(Salary_Calculation[[#This Row],[Source Row]]="","",N(INDEX(Rider_Input[stacking_deduction / خصم الطلبات المتعددة],Salary_Calculation[[#This Row],[Source Row]])))</f>
        <v/>
      </c>
      <c r="U337" s="164" t="str">
        <f aca="false">IF(Salary_Calculation[[#This Row],[Source Row]]="","",N(INDEX(Rider_Input[Other Deductions],Salary_Calculation[[#This Row],[Source Row]])))</f>
        <v/>
      </c>
      <c r="V337" s="164" t="str">
        <f aca="false">IF(Salary_Calculation[[#This Row],[Source Row]]="","",N(Salary_Calculation[[#This Row],[missed_days_penalty]])+N(Salary_Calculation[[#This Row],[Rider Balance]])+N(Salary_Calculation[[#This Row],[stacking_deduction]])+N(Salary_Calculation[[#This Row],[Other Deductions]]))</f>
        <v/>
      </c>
      <c r="W337" s="167" t="str">
        <f aca="false">IF(Salary_Calculation[[#This Row],[Source Row]]="","",ROUND(MAX(Salary_Calculation[[#This Row],[Gross Salary Before Deductions]]-Salary_Calculation[[#This Row],[Total Deductions]],0),2))</f>
        <v/>
      </c>
      <c r="X337" s="164" t="str">
        <f aca="false">IF(Salary_Calculation[[#This Row],[Source Row]]="","",ROUND(MAX(Salary_Calculation[[#This Row],[Missing-Order Deduction]]-Salary_Calculation[[#This Row],[Earned Salary]],0),2))</f>
        <v/>
      </c>
      <c r="Y33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37" s="163" t="str">
        <f aca="false">IF(Salary_Calculation[[#This Row],[Source Row]]="","",IF(INDEX(Rider_Input[Notes],Salary_Calculation[[#This Row],[Source Row]])="","",INDEX(Rider_Input[Notes],Salary_Calculation[[#This Row],[Source Row]])))</f>
        <v/>
      </c>
      <c r="AA337" s="164" t="str">
        <f aca="false">IF(Salary_Calculation[[#This Row],[Source Row]]="","",Salary_Calculation[[#This Row],[Earned Salary]]-Salary_Calculation[[#This Row],[Missing-Order Deduction]]+Salary_Calculation[[#This Row],[Extra-Order Bonus]])</f>
        <v/>
      </c>
      <c r="AB337" s="164" t="str">
        <f aca="false">IF(Salary_Calculation[[#This Row],[Source Row]]="","",ROUND(Salary_Calculation[[#This Row],[Negative Balance / Amount Due from Rider]]+MAX(Salary_Calculation[[#This Row],[Total Deductions]]-Salary_Calculation[[#This Row],[Gross Salary Before Deductions]],0),2))</f>
        <v/>
      </c>
      <c r="AC33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37" s="164" t="str">
        <f aca="false">IF(Salary_Calculation[[#This Row],[Source Row]]="","",Salary_Calculation[[#This Row],[Rider Target Orders]]*Salary_Calculation[[#This Row],[Base Order Rate]])</f>
        <v/>
      </c>
      <c r="AE337" s="162" t="str">
        <f aca="false">IF(SUMPRODUCT(--(LEN(INDEX(Rider_Input[#Data],ROW()-ROW(Salary_Calculation[#Headers]),0))&gt;0))=0,"",ROW()-ROW(Salary_Calculation[#Headers]))</f>
        <v/>
      </c>
    </row>
    <row r="338" customFormat="false" ht="14.25" hidden="false" customHeight="false" outlineLevel="0" collapsed="false">
      <c r="A338" s="161" t="str">
        <f aca="false">IF(Salary_Calculation[[#This Row],[Source Row]]="","",IF(INDEX(Rider_Input[Salary Month],Salary_Calculation[[#This Row],[Source Row]])="","",INDEX(Rider_Input[Salary Month],Salary_Calculation[[#This Row],[Source Row]])))</f>
        <v/>
      </c>
      <c r="B338" s="162" t="str">
        <f aca="false">IF(Salary_Calculation[[#This Row],[Source Row]]="","",IF(INDEX(Rider_Input[Rider ID],Salary_Calculation[[#This Row],[Source Row]])="","",INDEX(Rider_Input[Rider ID],Salary_Calculation[[#This Row],[Source Row]])))</f>
        <v/>
      </c>
      <c r="C338" s="163" t="str">
        <f aca="false">IF(Salary_Calculation[[#This Row],[Source Row]]="","",IF(INDEX(Rider_Input[Rider Name],Salary_Calculation[[#This Row],[Source Row]])="","",INDEX(Rider_Input[Rider Name],Salary_Calculation[[#This Row],[Source Row]])))</f>
        <v/>
      </c>
      <c r="D338" s="164" t="str">
        <f aca="false">IF(Salary_Calculation[[#This Row],[Source Row]]="","",IF(INDEX(Rider_Input[Basic Payment],Salary_Calculation[[#This Row],[Source Row]])="","",INDEX(Rider_Input[Basic Payment],Salary_Calculation[[#This Row],[Source Row]])))</f>
        <v/>
      </c>
      <c r="E338" s="162" t="str">
        <f aca="false">IF(Salary_Calculation[[#This Row],[Source Row]]="","",IF(INDEX(Rider_Input[Calendar Days in Month],Salary_Calculation[[#This Row],[Source Row]])="","",INDEX(Rider_Input[Calendar Days in Month],Salary_Calculation[[#This Row],[Source Row]])))</f>
        <v/>
      </c>
      <c r="F338" s="162" t="str">
        <f aca="false">IF(Salary_Calculation[[#This Row],[Source Row]]="","",IF(INDEX(Rider_Input[Working Days],Salary_Calculation[[#This Row],[Source Row]])="","",INDEX(Rider_Input[Working Days],Salary_Calculation[[#This Row],[Source Row]])))</f>
        <v/>
      </c>
      <c r="G338" s="165" t="str">
        <f aca="false">IF(Salary_Calculation[[#This Row],[Source Row]]="","",Std_Orders/Std_Days*N(Salary_Calculation[[#This Row],[Calendar Days]]))</f>
        <v/>
      </c>
      <c r="H338" s="165" t="str">
        <f aca="false">IF(Salary_Calculation[[#This Row],[Source Row]]="","",IF(N(Salary_Calculation[[#This Row],[Calendar Days]])&gt;0,Salary_Calculation[[#This Row],[Monthly Target Orders]]/N(Salary_Calculation[[#This Row],[Calendar Days]])*N(Salary_Calculation[[#This Row],[Working Days]]),0))</f>
        <v/>
      </c>
      <c r="I338" s="166" t="str">
        <f aca="false">IF(Salary_Calculation[[#This Row],[Source Row]]="","",IF(INDEX(Rider_Input[Completed Orders],Salary_Calculation[[#This Row],[Source Row]])="","",INDEX(Rider_Input[Completed Orders],Salary_Calculation[[#This Row],[Source Row]])))</f>
        <v/>
      </c>
      <c r="J338" s="165" t="str">
        <f aca="false">IF(Salary_Calculation[[#This Row],[Source Row]]="","",IF(Rate_Method="Fixed rate",Fixed_Rate,IF(N(Salary_Calculation[[#This Row],[Basic Payment]])&gt;0,N(Salary_Calculation[[#This Row],[Basic Payment]])/Std_Orders,0)))</f>
        <v/>
      </c>
      <c r="K338" s="165" t="str">
        <f aca="false">IF(Salary_Calculation[[#This Row],[Source Row]]="","",MAX(MIN(N(Salary_Calculation[[#This Row],[Completed Orders]]),Salary_Calculation[[#This Row],[Rider Target Orders]]),0))</f>
        <v/>
      </c>
      <c r="L338" s="164" t="str">
        <f aca="false">IF(Salary_Calculation[[#This Row],[Source Row]]="","",Salary_Calculation[[#This Row],[Orders Counted at Base Rate]]*Salary_Calculation[[#This Row],[Base Order Rate]])</f>
        <v/>
      </c>
      <c r="M338" s="165" t="str">
        <f aca="false">IF(Salary_Calculation[[#This Row],[Source Row]]="","",MAX(Salary_Calculation[[#This Row],[Rider Target Orders]]-N(Salary_Calculation[[#This Row],[Completed Orders]]),0))</f>
        <v/>
      </c>
      <c r="N338" s="164" t="str">
        <f aca="false">IF(Salary_Calculation[[#This Row],[Source Row]]="","",Salary_Calculation[[#This Row],[Missing Orders]]*Missing_Rate)</f>
        <v/>
      </c>
      <c r="O338" s="165" t="str">
        <f aca="false">IF(Salary_Calculation[[#This Row],[Source Row]]="","",MAX(N(Salary_Calculation[[#This Row],[Completed Orders]])-Salary_Calculation[[#This Row],[Rider Target Orders]],0))</f>
        <v/>
      </c>
      <c r="P338" s="164" t="str">
        <f aca="false">IF(Salary_Calculation[[#This Row],[Source Row]]="","",Salary_Calculation[[#This Row],[Extra Orders]]*Extra_Rate)</f>
        <v/>
      </c>
      <c r="Q338" s="164" t="str">
        <f aca="false">IF(Salary_Calculation[[#This Row],[Source Row]]="","",MAX(Salary_Calculation[[#This Row],[Salary Before Other Deductions]],0))</f>
        <v/>
      </c>
      <c r="R338" s="164" t="str">
        <f aca="false">IF(Salary_Calculation[[#This Row],[Source Row]]="","",N(INDEX(Rider_Input[missed_days_penalty],Salary_Calculation[[#This Row],[Source Row]])))</f>
        <v/>
      </c>
      <c r="S338" s="164" t="str">
        <f aca="false">IF(Salary_Calculation[[#This Row],[Source Row]]="","",N(INDEX(Rider_Input[Rider Balance / محفظة المندوب],Salary_Calculation[[#This Row],[Source Row]])))</f>
        <v/>
      </c>
      <c r="T338" s="164" t="str">
        <f aca="false">IF(Salary_Calculation[[#This Row],[Source Row]]="","",N(INDEX(Rider_Input[stacking_deduction / خصم الطلبات المتعددة],Salary_Calculation[[#This Row],[Source Row]])))</f>
        <v/>
      </c>
      <c r="U338" s="164" t="str">
        <f aca="false">IF(Salary_Calculation[[#This Row],[Source Row]]="","",N(INDEX(Rider_Input[Other Deductions],Salary_Calculation[[#This Row],[Source Row]])))</f>
        <v/>
      </c>
      <c r="V338" s="164" t="str">
        <f aca="false">IF(Salary_Calculation[[#This Row],[Source Row]]="","",N(Salary_Calculation[[#This Row],[missed_days_penalty]])+N(Salary_Calculation[[#This Row],[Rider Balance]])+N(Salary_Calculation[[#This Row],[stacking_deduction]])+N(Salary_Calculation[[#This Row],[Other Deductions]]))</f>
        <v/>
      </c>
      <c r="W338" s="167" t="str">
        <f aca="false">IF(Salary_Calculation[[#This Row],[Source Row]]="","",ROUND(MAX(Salary_Calculation[[#This Row],[Gross Salary Before Deductions]]-Salary_Calculation[[#This Row],[Total Deductions]],0),2))</f>
        <v/>
      </c>
      <c r="X338" s="164" t="str">
        <f aca="false">IF(Salary_Calculation[[#This Row],[Source Row]]="","",ROUND(MAX(Salary_Calculation[[#This Row],[Missing-Order Deduction]]-Salary_Calculation[[#This Row],[Earned Salary]],0),2))</f>
        <v/>
      </c>
      <c r="Y33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38" s="163" t="str">
        <f aca="false">IF(Salary_Calculation[[#This Row],[Source Row]]="","",IF(INDEX(Rider_Input[Notes],Salary_Calculation[[#This Row],[Source Row]])="","",INDEX(Rider_Input[Notes],Salary_Calculation[[#This Row],[Source Row]])))</f>
        <v/>
      </c>
      <c r="AA338" s="164" t="str">
        <f aca="false">IF(Salary_Calculation[[#This Row],[Source Row]]="","",Salary_Calculation[[#This Row],[Earned Salary]]-Salary_Calculation[[#This Row],[Missing-Order Deduction]]+Salary_Calculation[[#This Row],[Extra-Order Bonus]])</f>
        <v/>
      </c>
      <c r="AB338" s="164" t="str">
        <f aca="false">IF(Salary_Calculation[[#This Row],[Source Row]]="","",ROUND(Salary_Calculation[[#This Row],[Negative Balance / Amount Due from Rider]]+MAX(Salary_Calculation[[#This Row],[Total Deductions]]-Salary_Calculation[[#This Row],[Gross Salary Before Deductions]],0),2))</f>
        <v/>
      </c>
      <c r="AC33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38" s="164" t="str">
        <f aca="false">IF(Salary_Calculation[[#This Row],[Source Row]]="","",Salary_Calculation[[#This Row],[Rider Target Orders]]*Salary_Calculation[[#This Row],[Base Order Rate]])</f>
        <v/>
      </c>
      <c r="AE338" s="162" t="str">
        <f aca="false">IF(SUMPRODUCT(--(LEN(INDEX(Rider_Input[#Data],ROW()-ROW(Salary_Calculation[#Headers]),0))&gt;0))=0,"",ROW()-ROW(Salary_Calculation[#Headers]))</f>
        <v/>
      </c>
    </row>
    <row r="339" customFormat="false" ht="14.25" hidden="false" customHeight="false" outlineLevel="0" collapsed="false">
      <c r="A339" s="161" t="str">
        <f aca="false">IF(Salary_Calculation[[#This Row],[Source Row]]="","",IF(INDEX(Rider_Input[Salary Month],Salary_Calculation[[#This Row],[Source Row]])="","",INDEX(Rider_Input[Salary Month],Salary_Calculation[[#This Row],[Source Row]])))</f>
        <v/>
      </c>
      <c r="B339" s="162" t="str">
        <f aca="false">IF(Salary_Calculation[[#This Row],[Source Row]]="","",IF(INDEX(Rider_Input[Rider ID],Salary_Calculation[[#This Row],[Source Row]])="","",INDEX(Rider_Input[Rider ID],Salary_Calculation[[#This Row],[Source Row]])))</f>
        <v/>
      </c>
      <c r="C339" s="163" t="str">
        <f aca="false">IF(Salary_Calculation[[#This Row],[Source Row]]="","",IF(INDEX(Rider_Input[Rider Name],Salary_Calculation[[#This Row],[Source Row]])="","",INDEX(Rider_Input[Rider Name],Salary_Calculation[[#This Row],[Source Row]])))</f>
        <v/>
      </c>
      <c r="D339" s="164" t="str">
        <f aca="false">IF(Salary_Calculation[[#This Row],[Source Row]]="","",IF(INDEX(Rider_Input[Basic Payment],Salary_Calculation[[#This Row],[Source Row]])="","",INDEX(Rider_Input[Basic Payment],Salary_Calculation[[#This Row],[Source Row]])))</f>
        <v/>
      </c>
      <c r="E339" s="162" t="str">
        <f aca="false">IF(Salary_Calculation[[#This Row],[Source Row]]="","",IF(INDEX(Rider_Input[Calendar Days in Month],Salary_Calculation[[#This Row],[Source Row]])="","",INDEX(Rider_Input[Calendar Days in Month],Salary_Calculation[[#This Row],[Source Row]])))</f>
        <v/>
      </c>
      <c r="F339" s="162" t="str">
        <f aca="false">IF(Salary_Calculation[[#This Row],[Source Row]]="","",IF(INDEX(Rider_Input[Working Days],Salary_Calculation[[#This Row],[Source Row]])="","",INDEX(Rider_Input[Working Days],Salary_Calculation[[#This Row],[Source Row]])))</f>
        <v/>
      </c>
      <c r="G339" s="165" t="str">
        <f aca="false">IF(Salary_Calculation[[#This Row],[Source Row]]="","",Std_Orders/Std_Days*N(Salary_Calculation[[#This Row],[Calendar Days]]))</f>
        <v/>
      </c>
      <c r="H339" s="165" t="str">
        <f aca="false">IF(Salary_Calculation[[#This Row],[Source Row]]="","",IF(N(Salary_Calculation[[#This Row],[Calendar Days]])&gt;0,Salary_Calculation[[#This Row],[Monthly Target Orders]]/N(Salary_Calculation[[#This Row],[Calendar Days]])*N(Salary_Calculation[[#This Row],[Working Days]]),0))</f>
        <v/>
      </c>
      <c r="I339" s="166" t="str">
        <f aca="false">IF(Salary_Calculation[[#This Row],[Source Row]]="","",IF(INDEX(Rider_Input[Completed Orders],Salary_Calculation[[#This Row],[Source Row]])="","",INDEX(Rider_Input[Completed Orders],Salary_Calculation[[#This Row],[Source Row]])))</f>
        <v/>
      </c>
      <c r="J339" s="165" t="str">
        <f aca="false">IF(Salary_Calculation[[#This Row],[Source Row]]="","",IF(Rate_Method="Fixed rate",Fixed_Rate,IF(N(Salary_Calculation[[#This Row],[Basic Payment]])&gt;0,N(Salary_Calculation[[#This Row],[Basic Payment]])/Std_Orders,0)))</f>
        <v/>
      </c>
      <c r="K339" s="165" t="str">
        <f aca="false">IF(Salary_Calculation[[#This Row],[Source Row]]="","",MAX(MIN(N(Salary_Calculation[[#This Row],[Completed Orders]]),Salary_Calculation[[#This Row],[Rider Target Orders]]),0))</f>
        <v/>
      </c>
      <c r="L339" s="164" t="str">
        <f aca="false">IF(Salary_Calculation[[#This Row],[Source Row]]="","",Salary_Calculation[[#This Row],[Orders Counted at Base Rate]]*Salary_Calculation[[#This Row],[Base Order Rate]])</f>
        <v/>
      </c>
      <c r="M339" s="165" t="str">
        <f aca="false">IF(Salary_Calculation[[#This Row],[Source Row]]="","",MAX(Salary_Calculation[[#This Row],[Rider Target Orders]]-N(Salary_Calculation[[#This Row],[Completed Orders]]),0))</f>
        <v/>
      </c>
      <c r="N339" s="164" t="str">
        <f aca="false">IF(Salary_Calculation[[#This Row],[Source Row]]="","",Salary_Calculation[[#This Row],[Missing Orders]]*Missing_Rate)</f>
        <v/>
      </c>
      <c r="O339" s="165" t="str">
        <f aca="false">IF(Salary_Calculation[[#This Row],[Source Row]]="","",MAX(N(Salary_Calculation[[#This Row],[Completed Orders]])-Salary_Calculation[[#This Row],[Rider Target Orders]],0))</f>
        <v/>
      </c>
      <c r="P339" s="164" t="str">
        <f aca="false">IF(Salary_Calculation[[#This Row],[Source Row]]="","",Salary_Calculation[[#This Row],[Extra Orders]]*Extra_Rate)</f>
        <v/>
      </c>
      <c r="Q339" s="164" t="str">
        <f aca="false">IF(Salary_Calculation[[#This Row],[Source Row]]="","",MAX(Salary_Calculation[[#This Row],[Salary Before Other Deductions]],0))</f>
        <v/>
      </c>
      <c r="R339" s="164" t="str">
        <f aca="false">IF(Salary_Calculation[[#This Row],[Source Row]]="","",N(INDEX(Rider_Input[missed_days_penalty],Salary_Calculation[[#This Row],[Source Row]])))</f>
        <v/>
      </c>
      <c r="S339" s="164" t="str">
        <f aca="false">IF(Salary_Calculation[[#This Row],[Source Row]]="","",N(INDEX(Rider_Input[Rider Balance / محفظة المندوب],Salary_Calculation[[#This Row],[Source Row]])))</f>
        <v/>
      </c>
      <c r="T339" s="164" t="str">
        <f aca="false">IF(Salary_Calculation[[#This Row],[Source Row]]="","",N(INDEX(Rider_Input[stacking_deduction / خصم الطلبات المتعددة],Salary_Calculation[[#This Row],[Source Row]])))</f>
        <v/>
      </c>
      <c r="U339" s="164" t="str">
        <f aca="false">IF(Salary_Calculation[[#This Row],[Source Row]]="","",N(INDEX(Rider_Input[Other Deductions],Salary_Calculation[[#This Row],[Source Row]])))</f>
        <v/>
      </c>
      <c r="V339" s="164" t="str">
        <f aca="false">IF(Salary_Calculation[[#This Row],[Source Row]]="","",N(Salary_Calculation[[#This Row],[missed_days_penalty]])+N(Salary_Calculation[[#This Row],[Rider Balance]])+N(Salary_Calculation[[#This Row],[stacking_deduction]])+N(Salary_Calculation[[#This Row],[Other Deductions]]))</f>
        <v/>
      </c>
      <c r="W339" s="167" t="str">
        <f aca="false">IF(Salary_Calculation[[#This Row],[Source Row]]="","",ROUND(MAX(Salary_Calculation[[#This Row],[Gross Salary Before Deductions]]-Salary_Calculation[[#This Row],[Total Deductions]],0),2))</f>
        <v/>
      </c>
      <c r="X339" s="164" t="str">
        <f aca="false">IF(Salary_Calculation[[#This Row],[Source Row]]="","",ROUND(MAX(Salary_Calculation[[#This Row],[Missing-Order Deduction]]-Salary_Calculation[[#This Row],[Earned Salary]],0),2))</f>
        <v/>
      </c>
      <c r="Y33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39" s="163" t="str">
        <f aca="false">IF(Salary_Calculation[[#This Row],[Source Row]]="","",IF(INDEX(Rider_Input[Notes],Salary_Calculation[[#This Row],[Source Row]])="","",INDEX(Rider_Input[Notes],Salary_Calculation[[#This Row],[Source Row]])))</f>
        <v/>
      </c>
      <c r="AA339" s="164" t="str">
        <f aca="false">IF(Salary_Calculation[[#This Row],[Source Row]]="","",Salary_Calculation[[#This Row],[Earned Salary]]-Salary_Calculation[[#This Row],[Missing-Order Deduction]]+Salary_Calculation[[#This Row],[Extra-Order Bonus]])</f>
        <v/>
      </c>
      <c r="AB339" s="164" t="str">
        <f aca="false">IF(Salary_Calculation[[#This Row],[Source Row]]="","",ROUND(Salary_Calculation[[#This Row],[Negative Balance / Amount Due from Rider]]+MAX(Salary_Calculation[[#This Row],[Total Deductions]]-Salary_Calculation[[#This Row],[Gross Salary Before Deductions]],0),2))</f>
        <v/>
      </c>
      <c r="AC33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39" s="164" t="str">
        <f aca="false">IF(Salary_Calculation[[#This Row],[Source Row]]="","",Salary_Calculation[[#This Row],[Rider Target Orders]]*Salary_Calculation[[#This Row],[Base Order Rate]])</f>
        <v/>
      </c>
      <c r="AE339" s="162" t="str">
        <f aca="false">IF(SUMPRODUCT(--(LEN(INDEX(Rider_Input[#Data],ROW()-ROW(Salary_Calculation[#Headers]),0))&gt;0))=0,"",ROW()-ROW(Salary_Calculation[#Headers]))</f>
        <v/>
      </c>
    </row>
    <row r="340" customFormat="false" ht="14.25" hidden="false" customHeight="false" outlineLevel="0" collapsed="false">
      <c r="A340" s="161" t="str">
        <f aca="false">IF(Salary_Calculation[[#This Row],[Source Row]]="","",IF(INDEX(Rider_Input[Salary Month],Salary_Calculation[[#This Row],[Source Row]])="","",INDEX(Rider_Input[Salary Month],Salary_Calculation[[#This Row],[Source Row]])))</f>
        <v/>
      </c>
      <c r="B340" s="162" t="str">
        <f aca="false">IF(Salary_Calculation[[#This Row],[Source Row]]="","",IF(INDEX(Rider_Input[Rider ID],Salary_Calculation[[#This Row],[Source Row]])="","",INDEX(Rider_Input[Rider ID],Salary_Calculation[[#This Row],[Source Row]])))</f>
        <v/>
      </c>
      <c r="C340" s="163" t="str">
        <f aca="false">IF(Salary_Calculation[[#This Row],[Source Row]]="","",IF(INDEX(Rider_Input[Rider Name],Salary_Calculation[[#This Row],[Source Row]])="","",INDEX(Rider_Input[Rider Name],Salary_Calculation[[#This Row],[Source Row]])))</f>
        <v/>
      </c>
      <c r="D340" s="164" t="str">
        <f aca="false">IF(Salary_Calculation[[#This Row],[Source Row]]="","",IF(INDEX(Rider_Input[Basic Payment],Salary_Calculation[[#This Row],[Source Row]])="","",INDEX(Rider_Input[Basic Payment],Salary_Calculation[[#This Row],[Source Row]])))</f>
        <v/>
      </c>
      <c r="E340" s="162" t="str">
        <f aca="false">IF(Salary_Calculation[[#This Row],[Source Row]]="","",IF(INDEX(Rider_Input[Calendar Days in Month],Salary_Calculation[[#This Row],[Source Row]])="","",INDEX(Rider_Input[Calendar Days in Month],Salary_Calculation[[#This Row],[Source Row]])))</f>
        <v/>
      </c>
      <c r="F340" s="162" t="str">
        <f aca="false">IF(Salary_Calculation[[#This Row],[Source Row]]="","",IF(INDEX(Rider_Input[Working Days],Salary_Calculation[[#This Row],[Source Row]])="","",INDEX(Rider_Input[Working Days],Salary_Calculation[[#This Row],[Source Row]])))</f>
        <v/>
      </c>
      <c r="G340" s="165" t="str">
        <f aca="false">IF(Salary_Calculation[[#This Row],[Source Row]]="","",Std_Orders/Std_Days*N(Salary_Calculation[[#This Row],[Calendar Days]]))</f>
        <v/>
      </c>
      <c r="H340" s="165" t="str">
        <f aca="false">IF(Salary_Calculation[[#This Row],[Source Row]]="","",IF(N(Salary_Calculation[[#This Row],[Calendar Days]])&gt;0,Salary_Calculation[[#This Row],[Monthly Target Orders]]/N(Salary_Calculation[[#This Row],[Calendar Days]])*N(Salary_Calculation[[#This Row],[Working Days]]),0))</f>
        <v/>
      </c>
      <c r="I340" s="166" t="str">
        <f aca="false">IF(Salary_Calculation[[#This Row],[Source Row]]="","",IF(INDEX(Rider_Input[Completed Orders],Salary_Calculation[[#This Row],[Source Row]])="","",INDEX(Rider_Input[Completed Orders],Salary_Calculation[[#This Row],[Source Row]])))</f>
        <v/>
      </c>
      <c r="J340" s="165" t="str">
        <f aca="false">IF(Salary_Calculation[[#This Row],[Source Row]]="","",IF(Rate_Method="Fixed rate",Fixed_Rate,IF(N(Salary_Calculation[[#This Row],[Basic Payment]])&gt;0,N(Salary_Calculation[[#This Row],[Basic Payment]])/Std_Orders,0)))</f>
        <v/>
      </c>
      <c r="K340" s="165" t="str">
        <f aca="false">IF(Salary_Calculation[[#This Row],[Source Row]]="","",MAX(MIN(N(Salary_Calculation[[#This Row],[Completed Orders]]),Salary_Calculation[[#This Row],[Rider Target Orders]]),0))</f>
        <v/>
      </c>
      <c r="L340" s="164" t="str">
        <f aca="false">IF(Salary_Calculation[[#This Row],[Source Row]]="","",Salary_Calculation[[#This Row],[Orders Counted at Base Rate]]*Salary_Calculation[[#This Row],[Base Order Rate]])</f>
        <v/>
      </c>
      <c r="M340" s="165" t="str">
        <f aca="false">IF(Salary_Calculation[[#This Row],[Source Row]]="","",MAX(Salary_Calculation[[#This Row],[Rider Target Orders]]-N(Salary_Calculation[[#This Row],[Completed Orders]]),0))</f>
        <v/>
      </c>
      <c r="N340" s="164" t="str">
        <f aca="false">IF(Salary_Calculation[[#This Row],[Source Row]]="","",Salary_Calculation[[#This Row],[Missing Orders]]*Missing_Rate)</f>
        <v/>
      </c>
      <c r="O340" s="165" t="str">
        <f aca="false">IF(Salary_Calculation[[#This Row],[Source Row]]="","",MAX(N(Salary_Calculation[[#This Row],[Completed Orders]])-Salary_Calculation[[#This Row],[Rider Target Orders]],0))</f>
        <v/>
      </c>
      <c r="P340" s="164" t="str">
        <f aca="false">IF(Salary_Calculation[[#This Row],[Source Row]]="","",Salary_Calculation[[#This Row],[Extra Orders]]*Extra_Rate)</f>
        <v/>
      </c>
      <c r="Q340" s="164" t="str">
        <f aca="false">IF(Salary_Calculation[[#This Row],[Source Row]]="","",MAX(Salary_Calculation[[#This Row],[Salary Before Other Deductions]],0))</f>
        <v/>
      </c>
      <c r="R340" s="164" t="str">
        <f aca="false">IF(Salary_Calculation[[#This Row],[Source Row]]="","",N(INDEX(Rider_Input[missed_days_penalty],Salary_Calculation[[#This Row],[Source Row]])))</f>
        <v/>
      </c>
      <c r="S340" s="164" t="str">
        <f aca="false">IF(Salary_Calculation[[#This Row],[Source Row]]="","",N(INDEX(Rider_Input[Rider Balance / محفظة المندوب],Salary_Calculation[[#This Row],[Source Row]])))</f>
        <v/>
      </c>
      <c r="T340" s="164" t="str">
        <f aca="false">IF(Salary_Calculation[[#This Row],[Source Row]]="","",N(INDEX(Rider_Input[stacking_deduction / خصم الطلبات المتعددة],Salary_Calculation[[#This Row],[Source Row]])))</f>
        <v/>
      </c>
      <c r="U340" s="164" t="str">
        <f aca="false">IF(Salary_Calculation[[#This Row],[Source Row]]="","",N(INDEX(Rider_Input[Other Deductions],Salary_Calculation[[#This Row],[Source Row]])))</f>
        <v/>
      </c>
      <c r="V340" s="164" t="str">
        <f aca="false">IF(Salary_Calculation[[#This Row],[Source Row]]="","",N(Salary_Calculation[[#This Row],[missed_days_penalty]])+N(Salary_Calculation[[#This Row],[Rider Balance]])+N(Salary_Calculation[[#This Row],[stacking_deduction]])+N(Salary_Calculation[[#This Row],[Other Deductions]]))</f>
        <v/>
      </c>
      <c r="W340" s="167" t="str">
        <f aca="false">IF(Salary_Calculation[[#This Row],[Source Row]]="","",ROUND(MAX(Salary_Calculation[[#This Row],[Gross Salary Before Deductions]]-Salary_Calculation[[#This Row],[Total Deductions]],0),2))</f>
        <v/>
      </c>
      <c r="X340" s="164" t="str">
        <f aca="false">IF(Salary_Calculation[[#This Row],[Source Row]]="","",ROUND(MAX(Salary_Calculation[[#This Row],[Missing-Order Deduction]]-Salary_Calculation[[#This Row],[Earned Salary]],0),2))</f>
        <v/>
      </c>
      <c r="Y34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40" s="163" t="str">
        <f aca="false">IF(Salary_Calculation[[#This Row],[Source Row]]="","",IF(INDEX(Rider_Input[Notes],Salary_Calculation[[#This Row],[Source Row]])="","",INDEX(Rider_Input[Notes],Salary_Calculation[[#This Row],[Source Row]])))</f>
        <v/>
      </c>
      <c r="AA340" s="164" t="str">
        <f aca="false">IF(Salary_Calculation[[#This Row],[Source Row]]="","",Salary_Calculation[[#This Row],[Earned Salary]]-Salary_Calculation[[#This Row],[Missing-Order Deduction]]+Salary_Calculation[[#This Row],[Extra-Order Bonus]])</f>
        <v/>
      </c>
      <c r="AB340" s="164" t="str">
        <f aca="false">IF(Salary_Calculation[[#This Row],[Source Row]]="","",ROUND(Salary_Calculation[[#This Row],[Negative Balance / Amount Due from Rider]]+MAX(Salary_Calculation[[#This Row],[Total Deductions]]-Salary_Calculation[[#This Row],[Gross Salary Before Deductions]],0),2))</f>
        <v/>
      </c>
      <c r="AC34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40" s="164" t="str">
        <f aca="false">IF(Salary_Calculation[[#This Row],[Source Row]]="","",Salary_Calculation[[#This Row],[Rider Target Orders]]*Salary_Calculation[[#This Row],[Base Order Rate]])</f>
        <v/>
      </c>
      <c r="AE340" s="162" t="str">
        <f aca="false">IF(SUMPRODUCT(--(LEN(INDEX(Rider_Input[#Data],ROW()-ROW(Salary_Calculation[#Headers]),0))&gt;0))=0,"",ROW()-ROW(Salary_Calculation[#Headers]))</f>
        <v/>
      </c>
    </row>
    <row r="341" customFormat="false" ht="14.25" hidden="false" customHeight="false" outlineLevel="0" collapsed="false">
      <c r="A341" s="161" t="str">
        <f aca="false">IF(Salary_Calculation[[#This Row],[Source Row]]="","",IF(INDEX(Rider_Input[Salary Month],Salary_Calculation[[#This Row],[Source Row]])="","",INDEX(Rider_Input[Salary Month],Salary_Calculation[[#This Row],[Source Row]])))</f>
        <v/>
      </c>
      <c r="B341" s="162" t="str">
        <f aca="false">IF(Salary_Calculation[[#This Row],[Source Row]]="","",IF(INDEX(Rider_Input[Rider ID],Salary_Calculation[[#This Row],[Source Row]])="","",INDEX(Rider_Input[Rider ID],Salary_Calculation[[#This Row],[Source Row]])))</f>
        <v/>
      </c>
      <c r="C341" s="163" t="str">
        <f aca="false">IF(Salary_Calculation[[#This Row],[Source Row]]="","",IF(INDEX(Rider_Input[Rider Name],Salary_Calculation[[#This Row],[Source Row]])="","",INDEX(Rider_Input[Rider Name],Salary_Calculation[[#This Row],[Source Row]])))</f>
        <v/>
      </c>
      <c r="D341" s="164" t="str">
        <f aca="false">IF(Salary_Calculation[[#This Row],[Source Row]]="","",IF(INDEX(Rider_Input[Basic Payment],Salary_Calculation[[#This Row],[Source Row]])="","",INDEX(Rider_Input[Basic Payment],Salary_Calculation[[#This Row],[Source Row]])))</f>
        <v/>
      </c>
      <c r="E341" s="162" t="str">
        <f aca="false">IF(Salary_Calculation[[#This Row],[Source Row]]="","",IF(INDEX(Rider_Input[Calendar Days in Month],Salary_Calculation[[#This Row],[Source Row]])="","",INDEX(Rider_Input[Calendar Days in Month],Salary_Calculation[[#This Row],[Source Row]])))</f>
        <v/>
      </c>
      <c r="F341" s="162" t="str">
        <f aca="false">IF(Salary_Calculation[[#This Row],[Source Row]]="","",IF(INDEX(Rider_Input[Working Days],Salary_Calculation[[#This Row],[Source Row]])="","",INDEX(Rider_Input[Working Days],Salary_Calculation[[#This Row],[Source Row]])))</f>
        <v/>
      </c>
      <c r="G341" s="165" t="str">
        <f aca="false">IF(Salary_Calculation[[#This Row],[Source Row]]="","",Std_Orders/Std_Days*N(Salary_Calculation[[#This Row],[Calendar Days]]))</f>
        <v/>
      </c>
      <c r="H341" s="165" t="str">
        <f aca="false">IF(Salary_Calculation[[#This Row],[Source Row]]="","",IF(N(Salary_Calculation[[#This Row],[Calendar Days]])&gt;0,Salary_Calculation[[#This Row],[Monthly Target Orders]]/N(Salary_Calculation[[#This Row],[Calendar Days]])*N(Salary_Calculation[[#This Row],[Working Days]]),0))</f>
        <v/>
      </c>
      <c r="I341" s="166" t="str">
        <f aca="false">IF(Salary_Calculation[[#This Row],[Source Row]]="","",IF(INDEX(Rider_Input[Completed Orders],Salary_Calculation[[#This Row],[Source Row]])="","",INDEX(Rider_Input[Completed Orders],Salary_Calculation[[#This Row],[Source Row]])))</f>
        <v/>
      </c>
      <c r="J341" s="165" t="str">
        <f aca="false">IF(Salary_Calculation[[#This Row],[Source Row]]="","",IF(Rate_Method="Fixed rate",Fixed_Rate,IF(N(Salary_Calculation[[#This Row],[Basic Payment]])&gt;0,N(Salary_Calculation[[#This Row],[Basic Payment]])/Std_Orders,0)))</f>
        <v/>
      </c>
      <c r="K341" s="165" t="str">
        <f aca="false">IF(Salary_Calculation[[#This Row],[Source Row]]="","",MAX(MIN(N(Salary_Calculation[[#This Row],[Completed Orders]]),Salary_Calculation[[#This Row],[Rider Target Orders]]),0))</f>
        <v/>
      </c>
      <c r="L341" s="164" t="str">
        <f aca="false">IF(Salary_Calculation[[#This Row],[Source Row]]="","",Salary_Calculation[[#This Row],[Orders Counted at Base Rate]]*Salary_Calculation[[#This Row],[Base Order Rate]])</f>
        <v/>
      </c>
      <c r="M341" s="165" t="str">
        <f aca="false">IF(Salary_Calculation[[#This Row],[Source Row]]="","",MAX(Salary_Calculation[[#This Row],[Rider Target Orders]]-N(Salary_Calculation[[#This Row],[Completed Orders]]),0))</f>
        <v/>
      </c>
      <c r="N341" s="164" t="str">
        <f aca="false">IF(Salary_Calculation[[#This Row],[Source Row]]="","",Salary_Calculation[[#This Row],[Missing Orders]]*Missing_Rate)</f>
        <v/>
      </c>
      <c r="O341" s="165" t="str">
        <f aca="false">IF(Salary_Calculation[[#This Row],[Source Row]]="","",MAX(N(Salary_Calculation[[#This Row],[Completed Orders]])-Salary_Calculation[[#This Row],[Rider Target Orders]],0))</f>
        <v/>
      </c>
      <c r="P341" s="164" t="str">
        <f aca="false">IF(Salary_Calculation[[#This Row],[Source Row]]="","",Salary_Calculation[[#This Row],[Extra Orders]]*Extra_Rate)</f>
        <v/>
      </c>
      <c r="Q341" s="164" t="str">
        <f aca="false">IF(Salary_Calculation[[#This Row],[Source Row]]="","",MAX(Salary_Calculation[[#This Row],[Salary Before Other Deductions]],0))</f>
        <v/>
      </c>
      <c r="R341" s="164" t="str">
        <f aca="false">IF(Salary_Calculation[[#This Row],[Source Row]]="","",N(INDEX(Rider_Input[missed_days_penalty],Salary_Calculation[[#This Row],[Source Row]])))</f>
        <v/>
      </c>
      <c r="S341" s="164" t="str">
        <f aca="false">IF(Salary_Calculation[[#This Row],[Source Row]]="","",N(INDEX(Rider_Input[Rider Balance / محفظة المندوب],Salary_Calculation[[#This Row],[Source Row]])))</f>
        <v/>
      </c>
      <c r="T341" s="164" t="str">
        <f aca="false">IF(Salary_Calculation[[#This Row],[Source Row]]="","",N(INDEX(Rider_Input[stacking_deduction / خصم الطلبات المتعددة],Salary_Calculation[[#This Row],[Source Row]])))</f>
        <v/>
      </c>
      <c r="U341" s="164" t="str">
        <f aca="false">IF(Salary_Calculation[[#This Row],[Source Row]]="","",N(INDEX(Rider_Input[Other Deductions],Salary_Calculation[[#This Row],[Source Row]])))</f>
        <v/>
      </c>
      <c r="V341" s="164" t="str">
        <f aca="false">IF(Salary_Calculation[[#This Row],[Source Row]]="","",N(Salary_Calculation[[#This Row],[missed_days_penalty]])+N(Salary_Calculation[[#This Row],[Rider Balance]])+N(Salary_Calculation[[#This Row],[stacking_deduction]])+N(Salary_Calculation[[#This Row],[Other Deductions]]))</f>
        <v/>
      </c>
      <c r="W341" s="167" t="str">
        <f aca="false">IF(Salary_Calculation[[#This Row],[Source Row]]="","",ROUND(MAX(Salary_Calculation[[#This Row],[Gross Salary Before Deductions]]-Salary_Calculation[[#This Row],[Total Deductions]],0),2))</f>
        <v/>
      </c>
      <c r="X341" s="164" t="str">
        <f aca="false">IF(Salary_Calculation[[#This Row],[Source Row]]="","",ROUND(MAX(Salary_Calculation[[#This Row],[Missing-Order Deduction]]-Salary_Calculation[[#This Row],[Earned Salary]],0),2))</f>
        <v/>
      </c>
      <c r="Y34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41" s="163" t="str">
        <f aca="false">IF(Salary_Calculation[[#This Row],[Source Row]]="","",IF(INDEX(Rider_Input[Notes],Salary_Calculation[[#This Row],[Source Row]])="","",INDEX(Rider_Input[Notes],Salary_Calculation[[#This Row],[Source Row]])))</f>
        <v/>
      </c>
      <c r="AA341" s="164" t="str">
        <f aca="false">IF(Salary_Calculation[[#This Row],[Source Row]]="","",Salary_Calculation[[#This Row],[Earned Salary]]-Salary_Calculation[[#This Row],[Missing-Order Deduction]]+Salary_Calculation[[#This Row],[Extra-Order Bonus]])</f>
        <v/>
      </c>
      <c r="AB341" s="164" t="str">
        <f aca="false">IF(Salary_Calculation[[#This Row],[Source Row]]="","",ROUND(Salary_Calculation[[#This Row],[Negative Balance / Amount Due from Rider]]+MAX(Salary_Calculation[[#This Row],[Total Deductions]]-Salary_Calculation[[#This Row],[Gross Salary Before Deductions]],0),2))</f>
        <v/>
      </c>
      <c r="AC34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41" s="164" t="str">
        <f aca="false">IF(Salary_Calculation[[#This Row],[Source Row]]="","",Salary_Calculation[[#This Row],[Rider Target Orders]]*Salary_Calculation[[#This Row],[Base Order Rate]])</f>
        <v/>
      </c>
      <c r="AE341" s="162" t="str">
        <f aca="false">IF(SUMPRODUCT(--(LEN(INDEX(Rider_Input[#Data],ROW()-ROW(Salary_Calculation[#Headers]),0))&gt;0))=0,"",ROW()-ROW(Salary_Calculation[#Headers]))</f>
        <v/>
      </c>
    </row>
    <row r="342" customFormat="false" ht="14.25" hidden="false" customHeight="false" outlineLevel="0" collapsed="false">
      <c r="A342" s="161" t="str">
        <f aca="false">IF(Salary_Calculation[[#This Row],[Source Row]]="","",IF(INDEX(Rider_Input[Salary Month],Salary_Calculation[[#This Row],[Source Row]])="","",INDEX(Rider_Input[Salary Month],Salary_Calculation[[#This Row],[Source Row]])))</f>
        <v/>
      </c>
      <c r="B342" s="162" t="str">
        <f aca="false">IF(Salary_Calculation[[#This Row],[Source Row]]="","",IF(INDEX(Rider_Input[Rider ID],Salary_Calculation[[#This Row],[Source Row]])="","",INDEX(Rider_Input[Rider ID],Salary_Calculation[[#This Row],[Source Row]])))</f>
        <v/>
      </c>
      <c r="C342" s="163" t="str">
        <f aca="false">IF(Salary_Calculation[[#This Row],[Source Row]]="","",IF(INDEX(Rider_Input[Rider Name],Salary_Calculation[[#This Row],[Source Row]])="","",INDEX(Rider_Input[Rider Name],Salary_Calculation[[#This Row],[Source Row]])))</f>
        <v/>
      </c>
      <c r="D342" s="164" t="str">
        <f aca="false">IF(Salary_Calculation[[#This Row],[Source Row]]="","",IF(INDEX(Rider_Input[Basic Payment],Salary_Calculation[[#This Row],[Source Row]])="","",INDEX(Rider_Input[Basic Payment],Salary_Calculation[[#This Row],[Source Row]])))</f>
        <v/>
      </c>
      <c r="E342" s="162" t="str">
        <f aca="false">IF(Salary_Calculation[[#This Row],[Source Row]]="","",IF(INDEX(Rider_Input[Calendar Days in Month],Salary_Calculation[[#This Row],[Source Row]])="","",INDEX(Rider_Input[Calendar Days in Month],Salary_Calculation[[#This Row],[Source Row]])))</f>
        <v/>
      </c>
      <c r="F342" s="162" t="str">
        <f aca="false">IF(Salary_Calculation[[#This Row],[Source Row]]="","",IF(INDEX(Rider_Input[Working Days],Salary_Calculation[[#This Row],[Source Row]])="","",INDEX(Rider_Input[Working Days],Salary_Calculation[[#This Row],[Source Row]])))</f>
        <v/>
      </c>
      <c r="G342" s="165" t="str">
        <f aca="false">IF(Salary_Calculation[[#This Row],[Source Row]]="","",Std_Orders/Std_Days*N(Salary_Calculation[[#This Row],[Calendar Days]]))</f>
        <v/>
      </c>
      <c r="H342" s="165" t="str">
        <f aca="false">IF(Salary_Calculation[[#This Row],[Source Row]]="","",IF(N(Salary_Calculation[[#This Row],[Calendar Days]])&gt;0,Salary_Calculation[[#This Row],[Monthly Target Orders]]/N(Salary_Calculation[[#This Row],[Calendar Days]])*N(Salary_Calculation[[#This Row],[Working Days]]),0))</f>
        <v/>
      </c>
      <c r="I342" s="166" t="str">
        <f aca="false">IF(Salary_Calculation[[#This Row],[Source Row]]="","",IF(INDEX(Rider_Input[Completed Orders],Salary_Calculation[[#This Row],[Source Row]])="","",INDEX(Rider_Input[Completed Orders],Salary_Calculation[[#This Row],[Source Row]])))</f>
        <v/>
      </c>
      <c r="J342" s="165" t="str">
        <f aca="false">IF(Salary_Calculation[[#This Row],[Source Row]]="","",IF(Rate_Method="Fixed rate",Fixed_Rate,IF(N(Salary_Calculation[[#This Row],[Basic Payment]])&gt;0,N(Salary_Calculation[[#This Row],[Basic Payment]])/Std_Orders,0)))</f>
        <v/>
      </c>
      <c r="K342" s="165" t="str">
        <f aca="false">IF(Salary_Calculation[[#This Row],[Source Row]]="","",MAX(MIN(N(Salary_Calculation[[#This Row],[Completed Orders]]),Salary_Calculation[[#This Row],[Rider Target Orders]]),0))</f>
        <v/>
      </c>
      <c r="L342" s="164" t="str">
        <f aca="false">IF(Salary_Calculation[[#This Row],[Source Row]]="","",Salary_Calculation[[#This Row],[Orders Counted at Base Rate]]*Salary_Calculation[[#This Row],[Base Order Rate]])</f>
        <v/>
      </c>
      <c r="M342" s="165" t="str">
        <f aca="false">IF(Salary_Calculation[[#This Row],[Source Row]]="","",MAX(Salary_Calculation[[#This Row],[Rider Target Orders]]-N(Salary_Calculation[[#This Row],[Completed Orders]]),0))</f>
        <v/>
      </c>
      <c r="N342" s="164" t="str">
        <f aca="false">IF(Salary_Calculation[[#This Row],[Source Row]]="","",Salary_Calculation[[#This Row],[Missing Orders]]*Missing_Rate)</f>
        <v/>
      </c>
      <c r="O342" s="165" t="str">
        <f aca="false">IF(Salary_Calculation[[#This Row],[Source Row]]="","",MAX(N(Salary_Calculation[[#This Row],[Completed Orders]])-Salary_Calculation[[#This Row],[Rider Target Orders]],0))</f>
        <v/>
      </c>
      <c r="P342" s="164" t="str">
        <f aca="false">IF(Salary_Calculation[[#This Row],[Source Row]]="","",Salary_Calculation[[#This Row],[Extra Orders]]*Extra_Rate)</f>
        <v/>
      </c>
      <c r="Q342" s="164" t="str">
        <f aca="false">IF(Salary_Calculation[[#This Row],[Source Row]]="","",MAX(Salary_Calculation[[#This Row],[Salary Before Other Deductions]],0))</f>
        <v/>
      </c>
      <c r="R342" s="164" t="str">
        <f aca="false">IF(Salary_Calculation[[#This Row],[Source Row]]="","",N(INDEX(Rider_Input[missed_days_penalty],Salary_Calculation[[#This Row],[Source Row]])))</f>
        <v/>
      </c>
      <c r="S342" s="164" t="str">
        <f aca="false">IF(Salary_Calculation[[#This Row],[Source Row]]="","",N(INDEX(Rider_Input[Rider Balance / محفظة المندوب],Salary_Calculation[[#This Row],[Source Row]])))</f>
        <v/>
      </c>
      <c r="T342" s="164" t="str">
        <f aca="false">IF(Salary_Calculation[[#This Row],[Source Row]]="","",N(INDEX(Rider_Input[stacking_deduction / خصم الطلبات المتعددة],Salary_Calculation[[#This Row],[Source Row]])))</f>
        <v/>
      </c>
      <c r="U342" s="164" t="str">
        <f aca="false">IF(Salary_Calculation[[#This Row],[Source Row]]="","",N(INDEX(Rider_Input[Other Deductions],Salary_Calculation[[#This Row],[Source Row]])))</f>
        <v/>
      </c>
      <c r="V342" s="164" t="str">
        <f aca="false">IF(Salary_Calculation[[#This Row],[Source Row]]="","",N(Salary_Calculation[[#This Row],[missed_days_penalty]])+N(Salary_Calculation[[#This Row],[Rider Balance]])+N(Salary_Calculation[[#This Row],[stacking_deduction]])+N(Salary_Calculation[[#This Row],[Other Deductions]]))</f>
        <v/>
      </c>
      <c r="W342" s="167" t="str">
        <f aca="false">IF(Salary_Calculation[[#This Row],[Source Row]]="","",ROUND(MAX(Salary_Calculation[[#This Row],[Gross Salary Before Deductions]]-Salary_Calculation[[#This Row],[Total Deductions]],0),2))</f>
        <v/>
      </c>
      <c r="X342" s="164" t="str">
        <f aca="false">IF(Salary_Calculation[[#This Row],[Source Row]]="","",ROUND(MAX(Salary_Calculation[[#This Row],[Missing-Order Deduction]]-Salary_Calculation[[#This Row],[Earned Salary]],0),2))</f>
        <v/>
      </c>
      <c r="Y34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42" s="163" t="str">
        <f aca="false">IF(Salary_Calculation[[#This Row],[Source Row]]="","",IF(INDEX(Rider_Input[Notes],Salary_Calculation[[#This Row],[Source Row]])="","",INDEX(Rider_Input[Notes],Salary_Calculation[[#This Row],[Source Row]])))</f>
        <v/>
      </c>
      <c r="AA342" s="164" t="str">
        <f aca="false">IF(Salary_Calculation[[#This Row],[Source Row]]="","",Salary_Calculation[[#This Row],[Earned Salary]]-Salary_Calculation[[#This Row],[Missing-Order Deduction]]+Salary_Calculation[[#This Row],[Extra-Order Bonus]])</f>
        <v/>
      </c>
      <c r="AB342" s="164" t="str">
        <f aca="false">IF(Salary_Calculation[[#This Row],[Source Row]]="","",ROUND(Salary_Calculation[[#This Row],[Negative Balance / Amount Due from Rider]]+MAX(Salary_Calculation[[#This Row],[Total Deductions]]-Salary_Calculation[[#This Row],[Gross Salary Before Deductions]],0),2))</f>
        <v/>
      </c>
      <c r="AC34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42" s="164" t="str">
        <f aca="false">IF(Salary_Calculation[[#This Row],[Source Row]]="","",Salary_Calculation[[#This Row],[Rider Target Orders]]*Salary_Calculation[[#This Row],[Base Order Rate]])</f>
        <v/>
      </c>
      <c r="AE342" s="162" t="str">
        <f aca="false">IF(SUMPRODUCT(--(LEN(INDEX(Rider_Input[#Data],ROW()-ROW(Salary_Calculation[#Headers]),0))&gt;0))=0,"",ROW()-ROW(Salary_Calculation[#Headers]))</f>
        <v/>
      </c>
    </row>
    <row r="343" customFormat="false" ht="14.25" hidden="false" customHeight="false" outlineLevel="0" collapsed="false">
      <c r="A343" s="161" t="str">
        <f aca="false">IF(Salary_Calculation[[#This Row],[Source Row]]="","",IF(INDEX(Rider_Input[Salary Month],Salary_Calculation[[#This Row],[Source Row]])="","",INDEX(Rider_Input[Salary Month],Salary_Calculation[[#This Row],[Source Row]])))</f>
        <v/>
      </c>
      <c r="B343" s="162" t="str">
        <f aca="false">IF(Salary_Calculation[[#This Row],[Source Row]]="","",IF(INDEX(Rider_Input[Rider ID],Salary_Calculation[[#This Row],[Source Row]])="","",INDEX(Rider_Input[Rider ID],Salary_Calculation[[#This Row],[Source Row]])))</f>
        <v/>
      </c>
      <c r="C343" s="163" t="str">
        <f aca="false">IF(Salary_Calculation[[#This Row],[Source Row]]="","",IF(INDEX(Rider_Input[Rider Name],Salary_Calculation[[#This Row],[Source Row]])="","",INDEX(Rider_Input[Rider Name],Salary_Calculation[[#This Row],[Source Row]])))</f>
        <v/>
      </c>
      <c r="D343" s="164" t="str">
        <f aca="false">IF(Salary_Calculation[[#This Row],[Source Row]]="","",IF(INDEX(Rider_Input[Basic Payment],Salary_Calculation[[#This Row],[Source Row]])="","",INDEX(Rider_Input[Basic Payment],Salary_Calculation[[#This Row],[Source Row]])))</f>
        <v/>
      </c>
      <c r="E343" s="162" t="str">
        <f aca="false">IF(Salary_Calculation[[#This Row],[Source Row]]="","",IF(INDEX(Rider_Input[Calendar Days in Month],Salary_Calculation[[#This Row],[Source Row]])="","",INDEX(Rider_Input[Calendar Days in Month],Salary_Calculation[[#This Row],[Source Row]])))</f>
        <v/>
      </c>
      <c r="F343" s="162" t="str">
        <f aca="false">IF(Salary_Calculation[[#This Row],[Source Row]]="","",IF(INDEX(Rider_Input[Working Days],Salary_Calculation[[#This Row],[Source Row]])="","",INDEX(Rider_Input[Working Days],Salary_Calculation[[#This Row],[Source Row]])))</f>
        <v/>
      </c>
      <c r="G343" s="165" t="str">
        <f aca="false">IF(Salary_Calculation[[#This Row],[Source Row]]="","",Std_Orders/Std_Days*N(Salary_Calculation[[#This Row],[Calendar Days]]))</f>
        <v/>
      </c>
      <c r="H343" s="165" t="str">
        <f aca="false">IF(Salary_Calculation[[#This Row],[Source Row]]="","",IF(N(Salary_Calculation[[#This Row],[Calendar Days]])&gt;0,Salary_Calculation[[#This Row],[Monthly Target Orders]]/N(Salary_Calculation[[#This Row],[Calendar Days]])*N(Salary_Calculation[[#This Row],[Working Days]]),0))</f>
        <v/>
      </c>
      <c r="I343" s="166" t="str">
        <f aca="false">IF(Salary_Calculation[[#This Row],[Source Row]]="","",IF(INDEX(Rider_Input[Completed Orders],Salary_Calculation[[#This Row],[Source Row]])="","",INDEX(Rider_Input[Completed Orders],Salary_Calculation[[#This Row],[Source Row]])))</f>
        <v/>
      </c>
      <c r="J343" s="165" t="str">
        <f aca="false">IF(Salary_Calculation[[#This Row],[Source Row]]="","",IF(Rate_Method="Fixed rate",Fixed_Rate,IF(N(Salary_Calculation[[#This Row],[Basic Payment]])&gt;0,N(Salary_Calculation[[#This Row],[Basic Payment]])/Std_Orders,0)))</f>
        <v/>
      </c>
      <c r="K343" s="165" t="str">
        <f aca="false">IF(Salary_Calculation[[#This Row],[Source Row]]="","",MAX(MIN(N(Salary_Calculation[[#This Row],[Completed Orders]]),Salary_Calculation[[#This Row],[Rider Target Orders]]),0))</f>
        <v/>
      </c>
      <c r="L343" s="164" t="str">
        <f aca="false">IF(Salary_Calculation[[#This Row],[Source Row]]="","",Salary_Calculation[[#This Row],[Orders Counted at Base Rate]]*Salary_Calculation[[#This Row],[Base Order Rate]])</f>
        <v/>
      </c>
      <c r="M343" s="165" t="str">
        <f aca="false">IF(Salary_Calculation[[#This Row],[Source Row]]="","",MAX(Salary_Calculation[[#This Row],[Rider Target Orders]]-N(Salary_Calculation[[#This Row],[Completed Orders]]),0))</f>
        <v/>
      </c>
      <c r="N343" s="164" t="str">
        <f aca="false">IF(Salary_Calculation[[#This Row],[Source Row]]="","",Salary_Calculation[[#This Row],[Missing Orders]]*Missing_Rate)</f>
        <v/>
      </c>
      <c r="O343" s="165" t="str">
        <f aca="false">IF(Salary_Calculation[[#This Row],[Source Row]]="","",MAX(N(Salary_Calculation[[#This Row],[Completed Orders]])-Salary_Calculation[[#This Row],[Rider Target Orders]],0))</f>
        <v/>
      </c>
      <c r="P343" s="164" t="str">
        <f aca="false">IF(Salary_Calculation[[#This Row],[Source Row]]="","",Salary_Calculation[[#This Row],[Extra Orders]]*Extra_Rate)</f>
        <v/>
      </c>
      <c r="Q343" s="164" t="str">
        <f aca="false">IF(Salary_Calculation[[#This Row],[Source Row]]="","",MAX(Salary_Calculation[[#This Row],[Salary Before Other Deductions]],0))</f>
        <v/>
      </c>
      <c r="R343" s="164" t="str">
        <f aca="false">IF(Salary_Calculation[[#This Row],[Source Row]]="","",N(INDEX(Rider_Input[missed_days_penalty],Salary_Calculation[[#This Row],[Source Row]])))</f>
        <v/>
      </c>
      <c r="S343" s="164" t="str">
        <f aca="false">IF(Salary_Calculation[[#This Row],[Source Row]]="","",N(INDEX(Rider_Input[Rider Balance / محفظة المندوب],Salary_Calculation[[#This Row],[Source Row]])))</f>
        <v/>
      </c>
      <c r="T343" s="164" t="str">
        <f aca="false">IF(Salary_Calculation[[#This Row],[Source Row]]="","",N(INDEX(Rider_Input[stacking_deduction / خصم الطلبات المتعددة],Salary_Calculation[[#This Row],[Source Row]])))</f>
        <v/>
      </c>
      <c r="U343" s="164" t="str">
        <f aca="false">IF(Salary_Calculation[[#This Row],[Source Row]]="","",N(INDEX(Rider_Input[Other Deductions],Salary_Calculation[[#This Row],[Source Row]])))</f>
        <v/>
      </c>
      <c r="V343" s="164" t="str">
        <f aca="false">IF(Salary_Calculation[[#This Row],[Source Row]]="","",N(Salary_Calculation[[#This Row],[missed_days_penalty]])+N(Salary_Calculation[[#This Row],[Rider Balance]])+N(Salary_Calculation[[#This Row],[stacking_deduction]])+N(Salary_Calculation[[#This Row],[Other Deductions]]))</f>
        <v/>
      </c>
      <c r="W343" s="167" t="str">
        <f aca="false">IF(Salary_Calculation[[#This Row],[Source Row]]="","",ROUND(MAX(Salary_Calculation[[#This Row],[Gross Salary Before Deductions]]-Salary_Calculation[[#This Row],[Total Deductions]],0),2))</f>
        <v/>
      </c>
      <c r="X343" s="164" t="str">
        <f aca="false">IF(Salary_Calculation[[#This Row],[Source Row]]="","",ROUND(MAX(Salary_Calculation[[#This Row],[Missing-Order Deduction]]-Salary_Calculation[[#This Row],[Earned Salary]],0),2))</f>
        <v/>
      </c>
      <c r="Y34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43" s="163" t="str">
        <f aca="false">IF(Salary_Calculation[[#This Row],[Source Row]]="","",IF(INDEX(Rider_Input[Notes],Salary_Calculation[[#This Row],[Source Row]])="","",INDEX(Rider_Input[Notes],Salary_Calculation[[#This Row],[Source Row]])))</f>
        <v/>
      </c>
      <c r="AA343" s="164" t="str">
        <f aca="false">IF(Salary_Calculation[[#This Row],[Source Row]]="","",Salary_Calculation[[#This Row],[Earned Salary]]-Salary_Calculation[[#This Row],[Missing-Order Deduction]]+Salary_Calculation[[#This Row],[Extra-Order Bonus]])</f>
        <v/>
      </c>
      <c r="AB343" s="164" t="str">
        <f aca="false">IF(Salary_Calculation[[#This Row],[Source Row]]="","",ROUND(Salary_Calculation[[#This Row],[Negative Balance / Amount Due from Rider]]+MAX(Salary_Calculation[[#This Row],[Total Deductions]]-Salary_Calculation[[#This Row],[Gross Salary Before Deductions]],0),2))</f>
        <v/>
      </c>
      <c r="AC34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43" s="164" t="str">
        <f aca="false">IF(Salary_Calculation[[#This Row],[Source Row]]="","",Salary_Calculation[[#This Row],[Rider Target Orders]]*Salary_Calculation[[#This Row],[Base Order Rate]])</f>
        <v/>
      </c>
      <c r="AE343" s="162" t="str">
        <f aca="false">IF(SUMPRODUCT(--(LEN(INDEX(Rider_Input[#Data],ROW()-ROW(Salary_Calculation[#Headers]),0))&gt;0))=0,"",ROW()-ROW(Salary_Calculation[#Headers]))</f>
        <v/>
      </c>
    </row>
    <row r="344" customFormat="false" ht="14.25" hidden="false" customHeight="false" outlineLevel="0" collapsed="false">
      <c r="A344" s="161" t="str">
        <f aca="false">IF(Salary_Calculation[[#This Row],[Source Row]]="","",IF(INDEX(Rider_Input[Salary Month],Salary_Calculation[[#This Row],[Source Row]])="","",INDEX(Rider_Input[Salary Month],Salary_Calculation[[#This Row],[Source Row]])))</f>
        <v/>
      </c>
      <c r="B344" s="162" t="str">
        <f aca="false">IF(Salary_Calculation[[#This Row],[Source Row]]="","",IF(INDEX(Rider_Input[Rider ID],Salary_Calculation[[#This Row],[Source Row]])="","",INDEX(Rider_Input[Rider ID],Salary_Calculation[[#This Row],[Source Row]])))</f>
        <v/>
      </c>
      <c r="C344" s="163" t="str">
        <f aca="false">IF(Salary_Calculation[[#This Row],[Source Row]]="","",IF(INDEX(Rider_Input[Rider Name],Salary_Calculation[[#This Row],[Source Row]])="","",INDEX(Rider_Input[Rider Name],Salary_Calculation[[#This Row],[Source Row]])))</f>
        <v/>
      </c>
      <c r="D344" s="164" t="str">
        <f aca="false">IF(Salary_Calculation[[#This Row],[Source Row]]="","",IF(INDEX(Rider_Input[Basic Payment],Salary_Calculation[[#This Row],[Source Row]])="","",INDEX(Rider_Input[Basic Payment],Salary_Calculation[[#This Row],[Source Row]])))</f>
        <v/>
      </c>
      <c r="E344" s="162" t="str">
        <f aca="false">IF(Salary_Calculation[[#This Row],[Source Row]]="","",IF(INDEX(Rider_Input[Calendar Days in Month],Salary_Calculation[[#This Row],[Source Row]])="","",INDEX(Rider_Input[Calendar Days in Month],Salary_Calculation[[#This Row],[Source Row]])))</f>
        <v/>
      </c>
      <c r="F344" s="162" t="str">
        <f aca="false">IF(Salary_Calculation[[#This Row],[Source Row]]="","",IF(INDEX(Rider_Input[Working Days],Salary_Calculation[[#This Row],[Source Row]])="","",INDEX(Rider_Input[Working Days],Salary_Calculation[[#This Row],[Source Row]])))</f>
        <v/>
      </c>
      <c r="G344" s="165" t="str">
        <f aca="false">IF(Salary_Calculation[[#This Row],[Source Row]]="","",Std_Orders/Std_Days*N(Salary_Calculation[[#This Row],[Calendar Days]]))</f>
        <v/>
      </c>
      <c r="H344" s="165" t="str">
        <f aca="false">IF(Salary_Calculation[[#This Row],[Source Row]]="","",IF(N(Salary_Calculation[[#This Row],[Calendar Days]])&gt;0,Salary_Calculation[[#This Row],[Monthly Target Orders]]/N(Salary_Calculation[[#This Row],[Calendar Days]])*N(Salary_Calculation[[#This Row],[Working Days]]),0))</f>
        <v/>
      </c>
      <c r="I344" s="166" t="str">
        <f aca="false">IF(Salary_Calculation[[#This Row],[Source Row]]="","",IF(INDEX(Rider_Input[Completed Orders],Salary_Calculation[[#This Row],[Source Row]])="","",INDEX(Rider_Input[Completed Orders],Salary_Calculation[[#This Row],[Source Row]])))</f>
        <v/>
      </c>
      <c r="J344" s="165" t="str">
        <f aca="false">IF(Salary_Calculation[[#This Row],[Source Row]]="","",IF(Rate_Method="Fixed rate",Fixed_Rate,IF(N(Salary_Calculation[[#This Row],[Basic Payment]])&gt;0,N(Salary_Calculation[[#This Row],[Basic Payment]])/Std_Orders,0)))</f>
        <v/>
      </c>
      <c r="K344" s="165" t="str">
        <f aca="false">IF(Salary_Calculation[[#This Row],[Source Row]]="","",MAX(MIN(N(Salary_Calculation[[#This Row],[Completed Orders]]),Salary_Calculation[[#This Row],[Rider Target Orders]]),0))</f>
        <v/>
      </c>
      <c r="L344" s="164" t="str">
        <f aca="false">IF(Salary_Calculation[[#This Row],[Source Row]]="","",Salary_Calculation[[#This Row],[Orders Counted at Base Rate]]*Salary_Calculation[[#This Row],[Base Order Rate]])</f>
        <v/>
      </c>
      <c r="M344" s="165" t="str">
        <f aca="false">IF(Salary_Calculation[[#This Row],[Source Row]]="","",MAX(Salary_Calculation[[#This Row],[Rider Target Orders]]-N(Salary_Calculation[[#This Row],[Completed Orders]]),0))</f>
        <v/>
      </c>
      <c r="N344" s="164" t="str">
        <f aca="false">IF(Salary_Calculation[[#This Row],[Source Row]]="","",Salary_Calculation[[#This Row],[Missing Orders]]*Missing_Rate)</f>
        <v/>
      </c>
      <c r="O344" s="165" t="str">
        <f aca="false">IF(Salary_Calculation[[#This Row],[Source Row]]="","",MAX(N(Salary_Calculation[[#This Row],[Completed Orders]])-Salary_Calculation[[#This Row],[Rider Target Orders]],0))</f>
        <v/>
      </c>
      <c r="P344" s="164" t="str">
        <f aca="false">IF(Salary_Calculation[[#This Row],[Source Row]]="","",Salary_Calculation[[#This Row],[Extra Orders]]*Extra_Rate)</f>
        <v/>
      </c>
      <c r="Q344" s="164" t="str">
        <f aca="false">IF(Salary_Calculation[[#This Row],[Source Row]]="","",MAX(Salary_Calculation[[#This Row],[Salary Before Other Deductions]],0))</f>
        <v/>
      </c>
      <c r="R344" s="164" t="str">
        <f aca="false">IF(Salary_Calculation[[#This Row],[Source Row]]="","",N(INDEX(Rider_Input[missed_days_penalty],Salary_Calculation[[#This Row],[Source Row]])))</f>
        <v/>
      </c>
      <c r="S344" s="164" t="str">
        <f aca="false">IF(Salary_Calculation[[#This Row],[Source Row]]="","",N(INDEX(Rider_Input[Rider Balance / محفظة المندوب],Salary_Calculation[[#This Row],[Source Row]])))</f>
        <v/>
      </c>
      <c r="T344" s="164" t="str">
        <f aca="false">IF(Salary_Calculation[[#This Row],[Source Row]]="","",N(INDEX(Rider_Input[stacking_deduction / خصم الطلبات المتعددة],Salary_Calculation[[#This Row],[Source Row]])))</f>
        <v/>
      </c>
      <c r="U344" s="164" t="str">
        <f aca="false">IF(Salary_Calculation[[#This Row],[Source Row]]="","",N(INDEX(Rider_Input[Other Deductions],Salary_Calculation[[#This Row],[Source Row]])))</f>
        <v/>
      </c>
      <c r="V344" s="164" t="str">
        <f aca="false">IF(Salary_Calculation[[#This Row],[Source Row]]="","",N(Salary_Calculation[[#This Row],[missed_days_penalty]])+N(Salary_Calculation[[#This Row],[Rider Balance]])+N(Salary_Calculation[[#This Row],[stacking_deduction]])+N(Salary_Calculation[[#This Row],[Other Deductions]]))</f>
        <v/>
      </c>
      <c r="W344" s="167" t="str">
        <f aca="false">IF(Salary_Calculation[[#This Row],[Source Row]]="","",ROUND(MAX(Salary_Calculation[[#This Row],[Gross Salary Before Deductions]]-Salary_Calculation[[#This Row],[Total Deductions]],0),2))</f>
        <v/>
      </c>
      <c r="X344" s="164" t="str">
        <f aca="false">IF(Salary_Calculation[[#This Row],[Source Row]]="","",ROUND(MAX(Salary_Calculation[[#This Row],[Missing-Order Deduction]]-Salary_Calculation[[#This Row],[Earned Salary]],0),2))</f>
        <v/>
      </c>
      <c r="Y34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44" s="163" t="str">
        <f aca="false">IF(Salary_Calculation[[#This Row],[Source Row]]="","",IF(INDEX(Rider_Input[Notes],Salary_Calculation[[#This Row],[Source Row]])="","",INDEX(Rider_Input[Notes],Salary_Calculation[[#This Row],[Source Row]])))</f>
        <v/>
      </c>
      <c r="AA344" s="164" t="str">
        <f aca="false">IF(Salary_Calculation[[#This Row],[Source Row]]="","",Salary_Calculation[[#This Row],[Earned Salary]]-Salary_Calculation[[#This Row],[Missing-Order Deduction]]+Salary_Calculation[[#This Row],[Extra-Order Bonus]])</f>
        <v/>
      </c>
      <c r="AB344" s="164" t="str">
        <f aca="false">IF(Salary_Calculation[[#This Row],[Source Row]]="","",ROUND(Salary_Calculation[[#This Row],[Negative Balance / Amount Due from Rider]]+MAX(Salary_Calculation[[#This Row],[Total Deductions]]-Salary_Calculation[[#This Row],[Gross Salary Before Deductions]],0),2))</f>
        <v/>
      </c>
      <c r="AC34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44" s="164" t="str">
        <f aca="false">IF(Salary_Calculation[[#This Row],[Source Row]]="","",Salary_Calculation[[#This Row],[Rider Target Orders]]*Salary_Calculation[[#This Row],[Base Order Rate]])</f>
        <v/>
      </c>
      <c r="AE344" s="162" t="str">
        <f aca="false">IF(SUMPRODUCT(--(LEN(INDEX(Rider_Input[#Data],ROW()-ROW(Salary_Calculation[#Headers]),0))&gt;0))=0,"",ROW()-ROW(Salary_Calculation[#Headers]))</f>
        <v/>
      </c>
    </row>
    <row r="345" customFormat="false" ht="14.25" hidden="false" customHeight="false" outlineLevel="0" collapsed="false">
      <c r="A345" s="161" t="str">
        <f aca="false">IF(Salary_Calculation[[#This Row],[Source Row]]="","",IF(INDEX(Rider_Input[Salary Month],Salary_Calculation[[#This Row],[Source Row]])="","",INDEX(Rider_Input[Salary Month],Salary_Calculation[[#This Row],[Source Row]])))</f>
        <v/>
      </c>
      <c r="B345" s="162" t="str">
        <f aca="false">IF(Salary_Calculation[[#This Row],[Source Row]]="","",IF(INDEX(Rider_Input[Rider ID],Salary_Calculation[[#This Row],[Source Row]])="","",INDEX(Rider_Input[Rider ID],Salary_Calculation[[#This Row],[Source Row]])))</f>
        <v/>
      </c>
      <c r="C345" s="163" t="str">
        <f aca="false">IF(Salary_Calculation[[#This Row],[Source Row]]="","",IF(INDEX(Rider_Input[Rider Name],Salary_Calculation[[#This Row],[Source Row]])="","",INDEX(Rider_Input[Rider Name],Salary_Calculation[[#This Row],[Source Row]])))</f>
        <v/>
      </c>
      <c r="D345" s="164" t="str">
        <f aca="false">IF(Salary_Calculation[[#This Row],[Source Row]]="","",IF(INDEX(Rider_Input[Basic Payment],Salary_Calculation[[#This Row],[Source Row]])="","",INDEX(Rider_Input[Basic Payment],Salary_Calculation[[#This Row],[Source Row]])))</f>
        <v/>
      </c>
      <c r="E345" s="162" t="str">
        <f aca="false">IF(Salary_Calculation[[#This Row],[Source Row]]="","",IF(INDEX(Rider_Input[Calendar Days in Month],Salary_Calculation[[#This Row],[Source Row]])="","",INDEX(Rider_Input[Calendar Days in Month],Salary_Calculation[[#This Row],[Source Row]])))</f>
        <v/>
      </c>
      <c r="F345" s="162" t="str">
        <f aca="false">IF(Salary_Calculation[[#This Row],[Source Row]]="","",IF(INDEX(Rider_Input[Working Days],Salary_Calculation[[#This Row],[Source Row]])="","",INDEX(Rider_Input[Working Days],Salary_Calculation[[#This Row],[Source Row]])))</f>
        <v/>
      </c>
      <c r="G345" s="165" t="str">
        <f aca="false">IF(Salary_Calculation[[#This Row],[Source Row]]="","",Std_Orders/Std_Days*N(Salary_Calculation[[#This Row],[Calendar Days]]))</f>
        <v/>
      </c>
      <c r="H345" s="165" t="str">
        <f aca="false">IF(Salary_Calculation[[#This Row],[Source Row]]="","",IF(N(Salary_Calculation[[#This Row],[Calendar Days]])&gt;0,Salary_Calculation[[#This Row],[Monthly Target Orders]]/N(Salary_Calculation[[#This Row],[Calendar Days]])*N(Salary_Calculation[[#This Row],[Working Days]]),0))</f>
        <v/>
      </c>
      <c r="I345" s="166" t="str">
        <f aca="false">IF(Salary_Calculation[[#This Row],[Source Row]]="","",IF(INDEX(Rider_Input[Completed Orders],Salary_Calculation[[#This Row],[Source Row]])="","",INDEX(Rider_Input[Completed Orders],Salary_Calculation[[#This Row],[Source Row]])))</f>
        <v/>
      </c>
      <c r="J345" s="165" t="str">
        <f aca="false">IF(Salary_Calculation[[#This Row],[Source Row]]="","",IF(Rate_Method="Fixed rate",Fixed_Rate,IF(N(Salary_Calculation[[#This Row],[Basic Payment]])&gt;0,N(Salary_Calculation[[#This Row],[Basic Payment]])/Std_Orders,0)))</f>
        <v/>
      </c>
      <c r="K345" s="165" t="str">
        <f aca="false">IF(Salary_Calculation[[#This Row],[Source Row]]="","",MAX(MIN(N(Salary_Calculation[[#This Row],[Completed Orders]]),Salary_Calculation[[#This Row],[Rider Target Orders]]),0))</f>
        <v/>
      </c>
      <c r="L345" s="164" t="str">
        <f aca="false">IF(Salary_Calculation[[#This Row],[Source Row]]="","",Salary_Calculation[[#This Row],[Orders Counted at Base Rate]]*Salary_Calculation[[#This Row],[Base Order Rate]])</f>
        <v/>
      </c>
      <c r="M345" s="165" t="str">
        <f aca="false">IF(Salary_Calculation[[#This Row],[Source Row]]="","",MAX(Salary_Calculation[[#This Row],[Rider Target Orders]]-N(Salary_Calculation[[#This Row],[Completed Orders]]),0))</f>
        <v/>
      </c>
      <c r="N345" s="164" t="str">
        <f aca="false">IF(Salary_Calculation[[#This Row],[Source Row]]="","",Salary_Calculation[[#This Row],[Missing Orders]]*Missing_Rate)</f>
        <v/>
      </c>
      <c r="O345" s="165" t="str">
        <f aca="false">IF(Salary_Calculation[[#This Row],[Source Row]]="","",MAX(N(Salary_Calculation[[#This Row],[Completed Orders]])-Salary_Calculation[[#This Row],[Rider Target Orders]],0))</f>
        <v/>
      </c>
      <c r="P345" s="164" t="str">
        <f aca="false">IF(Salary_Calculation[[#This Row],[Source Row]]="","",Salary_Calculation[[#This Row],[Extra Orders]]*Extra_Rate)</f>
        <v/>
      </c>
      <c r="Q345" s="164" t="str">
        <f aca="false">IF(Salary_Calculation[[#This Row],[Source Row]]="","",MAX(Salary_Calculation[[#This Row],[Salary Before Other Deductions]],0))</f>
        <v/>
      </c>
      <c r="R345" s="164" t="str">
        <f aca="false">IF(Salary_Calculation[[#This Row],[Source Row]]="","",N(INDEX(Rider_Input[missed_days_penalty],Salary_Calculation[[#This Row],[Source Row]])))</f>
        <v/>
      </c>
      <c r="S345" s="164" t="str">
        <f aca="false">IF(Salary_Calculation[[#This Row],[Source Row]]="","",N(INDEX(Rider_Input[Rider Balance / محفظة المندوب],Salary_Calculation[[#This Row],[Source Row]])))</f>
        <v/>
      </c>
      <c r="T345" s="164" t="str">
        <f aca="false">IF(Salary_Calculation[[#This Row],[Source Row]]="","",N(INDEX(Rider_Input[stacking_deduction / خصم الطلبات المتعددة],Salary_Calculation[[#This Row],[Source Row]])))</f>
        <v/>
      </c>
      <c r="U345" s="164" t="str">
        <f aca="false">IF(Salary_Calculation[[#This Row],[Source Row]]="","",N(INDEX(Rider_Input[Other Deductions],Salary_Calculation[[#This Row],[Source Row]])))</f>
        <v/>
      </c>
      <c r="V345" s="164" t="str">
        <f aca="false">IF(Salary_Calculation[[#This Row],[Source Row]]="","",N(Salary_Calculation[[#This Row],[missed_days_penalty]])+N(Salary_Calculation[[#This Row],[Rider Balance]])+N(Salary_Calculation[[#This Row],[stacking_deduction]])+N(Salary_Calculation[[#This Row],[Other Deductions]]))</f>
        <v/>
      </c>
      <c r="W345" s="167" t="str">
        <f aca="false">IF(Salary_Calculation[[#This Row],[Source Row]]="","",ROUND(MAX(Salary_Calculation[[#This Row],[Gross Salary Before Deductions]]-Salary_Calculation[[#This Row],[Total Deductions]],0),2))</f>
        <v/>
      </c>
      <c r="X345" s="164" t="str">
        <f aca="false">IF(Salary_Calculation[[#This Row],[Source Row]]="","",ROUND(MAX(Salary_Calculation[[#This Row],[Missing-Order Deduction]]-Salary_Calculation[[#This Row],[Earned Salary]],0),2))</f>
        <v/>
      </c>
      <c r="Y34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45" s="163" t="str">
        <f aca="false">IF(Salary_Calculation[[#This Row],[Source Row]]="","",IF(INDEX(Rider_Input[Notes],Salary_Calculation[[#This Row],[Source Row]])="","",INDEX(Rider_Input[Notes],Salary_Calculation[[#This Row],[Source Row]])))</f>
        <v/>
      </c>
      <c r="AA345" s="164" t="str">
        <f aca="false">IF(Salary_Calculation[[#This Row],[Source Row]]="","",Salary_Calculation[[#This Row],[Earned Salary]]-Salary_Calculation[[#This Row],[Missing-Order Deduction]]+Salary_Calculation[[#This Row],[Extra-Order Bonus]])</f>
        <v/>
      </c>
      <c r="AB345" s="164" t="str">
        <f aca="false">IF(Salary_Calculation[[#This Row],[Source Row]]="","",ROUND(Salary_Calculation[[#This Row],[Negative Balance / Amount Due from Rider]]+MAX(Salary_Calculation[[#This Row],[Total Deductions]]-Salary_Calculation[[#This Row],[Gross Salary Before Deductions]],0),2))</f>
        <v/>
      </c>
      <c r="AC34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45" s="164" t="str">
        <f aca="false">IF(Salary_Calculation[[#This Row],[Source Row]]="","",Salary_Calculation[[#This Row],[Rider Target Orders]]*Salary_Calculation[[#This Row],[Base Order Rate]])</f>
        <v/>
      </c>
      <c r="AE345" s="162" t="str">
        <f aca="false">IF(SUMPRODUCT(--(LEN(INDEX(Rider_Input[#Data],ROW()-ROW(Salary_Calculation[#Headers]),0))&gt;0))=0,"",ROW()-ROW(Salary_Calculation[#Headers]))</f>
        <v/>
      </c>
    </row>
    <row r="346" customFormat="false" ht="14.25" hidden="false" customHeight="false" outlineLevel="0" collapsed="false">
      <c r="A346" s="161" t="str">
        <f aca="false">IF(Salary_Calculation[[#This Row],[Source Row]]="","",IF(INDEX(Rider_Input[Salary Month],Salary_Calculation[[#This Row],[Source Row]])="","",INDEX(Rider_Input[Salary Month],Salary_Calculation[[#This Row],[Source Row]])))</f>
        <v/>
      </c>
      <c r="B346" s="162" t="str">
        <f aca="false">IF(Salary_Calculation[[#This Row],[Source Row]]="","",IF(INDEX(Rider_Input[Rider ID],Salary_Calculation[[#This Row],[Source Row]])="","",INDEX(Rider_Input[Rider ID],Salary_Calculation[[#This Row],[Source Row]])))</f>
        <v/>
      </c>
      <c r="C346" s="163" t="str">
        <f aca="false">IF(Salary_Calculation[[#This Row],[Source Row]]="","",IF(INDEX(Rider_Input[Rider Name],Salary_Calculation[[#This Row],[Source Row]])="","",INDEX(Rider_Input[Rider Name],Salary_Calculation[[#This Row],[Source Row]])))</f>
        <v/>
      </c>
      <c r="D346" s="164" t="str">
        <f aca="false">IF(Salary_Calculation[[#This Row],[Source Row]]="","",IF(INDEX(Rider_Input[Basic Payment],Salary_Calculation[[#This Row],[Source Row]])="","",INDEX(Rider_Input[Basic Payment],Salary_Calculation[[#This Row],[Source Row]])))</f>
        <v/>
      </c>
      <c r="E346" s="162" t="str">
        <f aca="false">IF(Salary_Calculation[[#This Row],[Source Row]]="","",IF(INDEX(Rider_Input[Calendar Days in Month],Salary_Calculation[[#This Row],[Source Row]])="","",INDEX(Rider_Input[Calendar Days in Month],Salary_Calculation[[#This Row],[Source Row]])))</f>
        <v/>
      </c>
      <c r="F346" s="162" t="str">
        <f aca="false">IF(Salary_Calculation[[#This Row],[Source Row]]="","",IF(INDEX(Rider_Input[Working Days],Salary_Calculation[[#This Row],[Source Row]])="","",INDEX(Rider_Input[Working Days],Salary_Calculation[[#This Row],[Source Row]])))</f>
        <v/>
      </c>
      <c r="G346" s="165" t="str">
        <f aca="false">IF(Salary_Calculation[[#This Row],[Source Row]]="","",Std_Orders/Std_Days*N(Salary_Calculation[[#This Row],[Calendar Days]]))</f>
        <v/>
      </c>
      <c r="H346" s="165" t="str">
        <f aca="false">IF(Salary_Calculation[[#This Row],[Source Row]]="","",IF(N(Salary_Calculation[[#This Row],[Calendar Days]])&gt;0,Salary_Calculation[[#This Row],[Monthly Target Orders]]/N(Salary_Calculation[[#This Row],[Calendar Days]])*N(Salary_Calculation[[#This Row],[Working Days]]),0))</f>
        <v/>
      </c>
      <c r="I346" s="166" t="str">
        <f aca="false">IF(Salary_Calculation[[#This Row],[Source Row]]="","",IF(INDEX(Rider_Input[Completed Orders],Salary_Calculation[[#This Row],[Source Row]])="","",INDEX(Rider_Input[Completed Orders],Salary_Calculation[[#This Row],[Source Row]])))</f>
        <v/>
      </c>
      <c r="J346" s="165" t="str">
        <f aca="false">IF(Salary_Calculation[[#This Row],[Source Row]]="","",IF(Rate_Method="Fixed rate",Fixed_Rate,IF(N(Salary_Calculation[[#This Row],[Basic Payment]])&gt;0,N(Salary_Calculation[[#This Row],[Basic Payment]])/Std_Orders,0)))</f>
        <v/>
      </c>
      <c r="K346" s="165" t="str">
        <f aca="false">IF(Salary_Calculation[[#This Row],[Source Row]]="","",MAX(MIN(N(Salary_Calculation[[#This Row],[Completed Orders]]),Salary_Calculation[[#This Row],[Rider Target Orders]]),0))</f>
        <v/>
      </c>
      <c r="L346" s="164" t="str">
        <f aca="false">IF(Salary_Calculation[[#This Row],[Source Row]]="","",Salary_Calculation[[#This Row],[Orders Counted at Base Rate]]*Salary_Calculation[[#This Row],[Base Order Rate]])</f>
        <v/>
      </c>
      <c r="M346" s="165" t="str">
        <f aca="false">IF(Salary_Calculation[[#This Row],[Source Row]]="","",MAX(Salary_Calculation[[#This Row],[Rider Target Orders]]-N(Salary_Calculation[[#This Row],[Completed Orders]]),0))</f>
        <v/>
      </c>
      <c r="N346" s="164" t="str">
        <f aca="false">IF(Salary_Calculation[[#This Row],[Source Row]]="","",Salary_Calculation[[#This Row],[Missing Orders]]*Missing_Rate)</f>
        <v/>
      </c>
      <c r="O346" s="165" t="str">
        <f aca="false">IF(Salary_Calculation[[#This Row],[Source Row]]="","",MAX(N(Salary_Calculation[[#This Row],[Completed Orders]])-Salary_Calculation[[#This Row],[Rider Target Orders]],0))</f>
        <v/>
      </c>
      <c r="P346" s="164" t="str">
        <f aca="false">IF(Salary_Calculation[[#This Row],[Source Row]]="","",Salary_Calculation[[#This Row],[Extra Orders]]*Extra_Rate)</f>
        <v/>
      </c>
      <c r="Q346" s="164" t="str">
        <f aca="false">IF(Salary_Calculation[[#This Row],[Source Row]]="","",MAX(Salary_Calculation[[#This Row],[Salary Before Other Deductions]],0))</f>
        <v/>
      </c>
      <c r="R346" s="164" t="str">
        <f aca="false">IF(Salary_Calculation[[#This Row],[Source Row]]="","",N(INDEX(Rider_Input[missed_days_penalty],Salary_Calculation[[#This Row],[Source Row]])))</f>
        <v/>
      </c>
      <c r="S346" s="164" t="str">
        <f aca="false">IF(Salary_Calculation[[#This Row],[Source Row]]="","",N(INDEX(Rider_Input[Rider Balance / محفظة المندوب],Salary_Calculation[[#This Row],[Source Row]])))</f>
        <v/>
      </c>
      <c r="T346" s="164" t="str">
        <f aca="false">IF(Salary_Calculation[[#This Row],[Source Row]]="","",N(INDEX(Rider_Input[stacking_deduction / خصم الطلبات المتعددة],Salary_Calculation[[#This Row],[Source Row]])))</f>
        <v/>
      </c>
      <c r="U346" s="164" t="str">
        <f aca="false">IF(Salary_Calculation[[#This Row],[Source Row]]="","",N(INDEX(Rider_Input[Other Deductions],Salary_Calculation[[#This Row],[Source Row]])))</f>
        <v/>
      </c>
      <c r="V346" s="164" t="str">
        <f aca="false">IF(Salary_Calculation[[#This Row],[Source Row]]="","",N(Salary_Calculation[[#This Row],[missed_days_penalty]])+N(Salary_Calculation[[#This Row],[Rider Balance]])+N(Salary_Calculation[[#This Row],[stacking_deduction]])+N(Salary_Calculation[[#This Row],[Other Deductions]]))</f>
        <v/>
      </c>
      <c r="W346" s="167" t="str">
        <f aca="false">IF(Salary_Calculation[[#This Row],[Source Row]]="","",ROUND(MAX(Salary_Calculation[[#This Row],[Gross Salary Before Deductions]]-Salary_Calculation[[#This Row],[Total Deductions]],0),2))</f>
        <v/>
      </c>
      <c r="X346" s="164" t="str">
        <f aca="false">IF(Salary_Calculation[[#This Row],[Source Row]]="","",ROUND(MAX(Salary_Calculation[[#This Row],[Missing-Order Deduction]]-Salary_Calculation[[#This Row],[Earned Salary]],0),2))</f>
        <v/>
      </c>
      <c r="Y34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46" s="163" t="str">
        <f aca="false">IF(Salary_Calculation[[#This Row],[Source Row]]="","",IF(INDEX(Rider_Input[Notes],Salary_Calculation[[#This Row],[Source Row]])="","",INDEX(Rider_Input[Notes],Salary_Calculation[[#This Row],[Source Row]])))</f>
        <v/>
      </c>
      <c r="AA346" s="164" t="str">
        <f aca="false">IF(Salary_Calculation[[#This Row],[Source Row]]="","",Salary_Calculation[[#This Row],[Earned Salary]]-Salary_Calculation[[#This Row],[Missing-Order Deduction]]+Salary_Calculation[[#This Row],[Extra-Order Bonus]])</f>
        <v/>
      </c>
      <c r="AB346" s="164" t="str">
        <f aca="false">IF(Salary_Calculation[[#This Row],[Source Row]]="","",ROUND(Salary_Calculation[[#This Row],[Negative Balance / Amount Due from Rider]]+MAX(Salary_Calculation[[#This Row],[Total Deductions]]-Salary_Calculation[[#This Row],[Gross Salary Before Deductions]],0),2))</f>
        <v/>
      </c>
      <c r="AC34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46" s="164" t="str">
        <f aca="false">IF(Salary_Calculation[[#This Row],[Source Row]]="","",Salary_Calculation[[#This Row],[Rider Target Orders]]*Salary_Calculation[[#This Row],[Base Order Rate]])</f>
        <v/>
      </c>
      <c r="AE346" s="162" t="str">
        <f aca="false">IF(SUMPRODUCT(--(LEN(INDEX(Rider_Input[#Data],ROW()-ROW(Salary_Calculation[#Headers]),0))&gt;0))=0,"",ROW()-ROW(Salary_Calculation[#Headers]))</f>
        <v/>
      </c>
    </row>
    <row r="347" customFormat="false" ht="14.25" hidden="false" customHeight="false" outlineLevel="0" collapsed="false">
      <c r="A347" s="161" t="str">
        <f aca="false">IF(Salary_Calculation[[#This Row],[Source Row]]="","",IF(INDEX(Rider_Input[Salary Month],Salary_Calculation[[#This Row],[Source Row]])="","",INDEX(Rider_Input[Salary Month],Salary_Calculation[[#This Row],[Source Row]])))</f>
        <v/>
      </c>
      <c r="B347" s="162" t="str">
        <f aca="false">IF(Salary_Calculation[[#This Row],[Source Row]]="","",IF(INDEX(Rider_Input[Rider ID],Salary_Calculation[[#This Row],[Source Row]])="","",INDEX(Rider_Input[Rider ID],Salary_Calculation[[#This Row],[Source Row]])))</f>
        <v/>
      </c>
      <c r="C347" s="163" t="str">
        <f aca="false">IF(Salary_Calculation[[#This Row],[Source Row]]="","",IF(INDEX(Rider_Input[Rider Name],Salary_Calculation[[#This Row],[Source Row]])="","",INDEX(Rider_Input[Rider Name],Salary_Calculation[[#This Row],[Source Row]])))</f>
        <v/>
      </c>
      <c r="D347" s="164" t="str">
        <f aca="false">IF(Salary_Calculation[[#This Row],[Source Row]]="","",IF(INDEX(Rider_Input[Basic Payment],Salary_Calculation[[#This Row],[Source Row]])="","",INDEX(Rider_Input[Basic Payment],Salary_Calculation[[#This Row],[Source Row]])))</f>
        <v/>
      </c>
      <c r="E347" s="162" t="str">
        <f aca="false">IF(Salary_Calculation[[#This Row],[Source Row]]="","",IF(INDEX(Rider_Input[Calendar Days in Month],Salary_Calculation[[#This Row],[Source Row]])="","",INDEX(Rider_Input[Calendar Days in Month],Salary_Calculation[[#This Row],[Source Row]])))</f>
        <v/>
      </c>
      <c r="F347" s="162" t="str">
        <f aca="false">IF(Salary_Calculation[[#This Row],[Source Row]]="","",IF(INDEX(Rider_Input[Working Days],Salary_Calculation[[#This Row],[Source Row]])="","",INDEX(Rider_Input[Working Days],Salary_Calculation[[#This Row],[Source Row]])))</f>
        <v/>
      </c>
      <c r="G347" s="165" t="str">
        <f aca="false">IF(Salary_Calculation[[#This Row],[Source Row]]="","",Std_Orders/Std_Days*N(Salary_Calculation[[#This Row],[Calendar Days]]))</f>
        <v/>
      </c>
      <c r="H347" s="165" t="str">
        <f aca="false">IF(Salary_Calculation[[#This Row],[Source Row]]="","",IF(N(Salary_Calculation[[#This Row],[Calendar Days]])&gt;0,Salary_Calculation[[#This Row],[Monthly Target Orders]]/N(Salary_Calculation[[#This Row],[Calendar Days]])*N(Salary_Calculation[[#This Row],[Working Days]]),0))</f>
        <v/>
      </c>
      <c r="I347" s="166" t="str">
        <f aca="false">IF(Salary_Calculation[[#This Row],[Source Row]]="","",IF(INDEX(Rider_Input[Completed Orders],Salary_Calculation[[#This Row],[Source Row]])="","",INDEX(Rider_Input[Completed Orders],Salary_Calculation[[#This Row],[Source Row]])))</f>
        <v/>
      </c>
      <c r="J347" s="165" t="str">
        <f aca="false">IF(Salary_Calculation[[#This Row],[Source Row]]="","",IF(Rate_Method="Fixed rate",Fixed_Rate,IF(N(Salary_Calculation[[#This Row],[Basic Payment]])&gt;0,N(Salary_Calculation[[#This Row],[Basic Payment]])/Std_Orders,0)))</f>
        <v/>
      </c>
      <c r="K347" s="165" t="str">
        <f aca="false">IF(Salary_Calculation[[#This Row],[Source Row]]="","",MAX(MIN(N(Salary_Calculation[[#This Row],[Completed Orders]]),Salary_Calculation[[#This Row],[Rider Target Orders]]),0))</f>
        <v/>
      </c>
      <c r="L347" s="164" t="str">
        <f aca="false">IF(Salary_Calculation[[#This Row],[Source Row]]="","",Salary_Calculation[[#This Row],[Orders Counted at Base Rate]]*Salary_Calculation[[#This Row],[Base Order Rate]])</f>
        <v/>
      </c>
      <c r="M347" s="165" t="str">
        <f aca="false">IF(Salary_Calculation[[#This Row],[Source Row]]="","",MAX(Salary_Calculation[[#This Row],[Rider Target Orders]]-N(Salary_Calculation[[#This Row],[Completed Orders]]),0))</f>
        <v/>
      </c>
      <c r="N347" s="164" t="str">
        <f aca="false">IF(Salary_Calculation[[#This Row],[Source Row]]="","",Salary_Calculation[[#This Row],[Missing Orders]]*Missing_Rate)</f>
        <v/>
      </c>
      <c r="O347" s="165" t="str">
        <f aca="false">IF(Salary_Calculation[[#This Row],[Source Row]]="","",MAX(N(Salary_Calculation[[#This Row],[Completed Orders]])-Salary_Calculation[[#This Row],[Rider Target Orders]],0))</f>
        <v/>
      </c>
      <c r="P347" s="164" t="str">
        <f aca="false">IF(Salary_Calculation[[#This Row],[Source Row]]="","",Salary_Calculation[[#This Row],[Extra Orders]]*Extra_Rate)</f>
        <v/>
      </c>
      <c r="Q347" s="164" t="str">
        <f aca="false">IF(Salary_Calculation[[#This Row],[Source Row]]="","",MAX(Salary_Calculation[[#This Row],[Salary Before Other Deductions]],0))</f>
        <v/>
      </c>
      <c r="R347" s="164" t="str">
        <f aca="false">IF(Salary_Calculation[[#This Row],[Source Row]]="","",N(INDEX(Rider_Input[missed_days_penalty],Salary_Calculation[[#This Row],[Source Row]])))</f>
        <v/>
      </c>
      <c r="S347" s="164" t="str">
        <f aca="false">IF(Salary_Calculation[[#This Row],[Source Row]]="","",N(INDEX(Rider_Input[Rider Balance / محفظة المندوب],Salary_Calculation[[#This Row],[Source Row]])))</f>
        <v/>
      </c>
      <c r="T347" s="164" t="str">
        <f aca="false">IF(Salary_Calculation[[#This Row],[Source Row]]="","",N(INDEX(Rider_Input[stacking_deduction / خصم الطلبات المتعددة],Salary_Calculation[[#This Row],[Source Row]])))</f>
        <v/>
      </c>
      <c r="U347" s="164" t="str">
        <f aca="false">IF(Salary_Calculation[[#This Row],[Source Row]]="","",N(INDEX(Rider_Input[Other Deductions],Salary_Calculation[[#This Row],[Source Row]])))</f>
        <v/>
      </c>
      <c r="V347" s="164" t="str">
        <f aca="false">IF(Salary_Calculation[[#This Row],[Source Row]]="","",N(Salary_Calculation[[#This Row],[missed_days_penalty]])+N(Salary_Calculation[[#This Row],[Rider Balance]])+N(Salary_Calculation[[#This Row],[stacking_deduction]])+N(Salary_Calculation[[#This Row],[Other Deductions]]))</f>
        <v/>
      </c>
      <c r="W347" s="167" t="str">
        <f aca="false">IF(Salary_Calculation[[#This Row],[Source Row]]="","",ROUND(MAX(Salary_Calculation[[#This Row],[Gross Salary Before Deductions]]-Salary_Calculation[[#This Row],[Total Deductions]],0),2))</f>
        <v/>
      </c>
      <c r="X347" s="164" t="str">
        <f aca="false">IF(Salary_Calculation[[#This Row],[Source Row]]="","",ROUND(MAX(Salary_Calculation[[#This Row],[Missing-Order Deduction]]-Salary_Calculation[[#This Row],[Earned Salary]],0),2))</f>
        <v/>
      </c>
      <c r="Y34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47" s="163" t="str">
        <f aca="false">IF(Salary_Calculation[[#This Row],[Source Row]]="","",IF(INDEX(Rider_Input[Notes],Salary_Calculation[[#This Row],[Source Row]])="","",INDEX(Rider_Input[Notes],Salary_Calculation[[#This Row],[Source Row]])))</f>
        <v/>
      </c>
      <c r="AA347" s="164" t="str">
        <f aca="false">IF(Salary_Calculation[[#This Row],[Source Row]]="","",Salary_Calculation[[#This Row],[Earned Salary]]-Salary_Calculation[[#This Row],[Missing-Order Deduction]]+Salary_Calculation[[#This Row],[Extra-Order Bonus]])</f>
        <v/>
      </c>
      <c r="AB347" s="164" t="str">
        <f aca="false">IF(Salary_Calculation[[#This Row],[Source Row]]="","",ROUND(Salary_Calculation[[#This Row],[Negative Balance / Amount Due from Rider]]+MAX(Salary_Calculation[[#This Row],[Total Deductions]]-Salary_Calculation[[#This Row],[Gross Salary Before Deductions]],0),2))</f>
        <v/>
      </c>
      <c r="AC34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47" s="164" t="str">
        <f aca="false">IF(Salary_Calculation[[#This Row],[Source Row]]="","",Salary_Calculation[[#This Row],[Rider Target Orders]]*Salary_Calculation[[#This Row],[Base Order Rate]])</f>
        <v/>
      </c>
      <c r="AE347" s="162" t="str">
        <f aca="false">IF(SUMPRODUCT(--(LEN(INDEX(Rider_Input[#Data],ROW()-ROW(Salary_Calculation[#Headers]),0))&gt;0))=0,"",ROW()-ROW(Salary_Calculation[#Headers]))</f>
        <v/>
      </c>
    </row>
    <row r="348" customFormat="false" ht="14.25" hidden="false" customHeight="false" outlineLevel="0" collapsed="false">
      <c r="A348" s="161" t="str">
        <f aca="false">IF(Salary_Calculation[[#This Row],[Source Row]]="","",IF(INDEX(Rider_Input[Salary Month],Salary_Calculation[[#This Row],[Source Row]])="","",INDEX(Rider_Input[Salary Month],Salary_Calculation[[#This Row],[Source Row]])))</f>
        <v/>
      </c>
      <c r="B348" s="162" t="str">
        <f aca="false">IF(Salary_Calculation[[#This Row],[Source Row]]="","",IF(INDEX(Rider_Input[Rider ID],Salary_Calculation[[#This Row],[Source Row]])="","",INDEX(Rider_Input[Rider ID],Salary_Calculation[[#This Row],[Source Row]])))</f>
        <v/>
      </c>
      <c r="C348" s="163" t="str">
        <f aca="false">IF(Salary_Calculation[[#This Row],[Source Row]]="","",IF(INDEX(Rider_Input[Rider Name],Salary_Calculation[[#This Row],[Source Row]])="","",INDEX(Rider_Input[Rider Name],Salary_Calculation[[#This Row],[Source Row]])))</f>
        <v/>
      </c>
      <c r="D348" s="164" t="str">
        <f aca="false">IF(Salary_Calculation[[#This Row],[Source Row]]="","",IF(INDEX(Rider_Input[Basic Payment],Salary_Calculation[[#This Row],[Source Row]])="","",INDEX(Rider_Input[Basic Payment],Salary_Calculation[[#This Row],[Source Row]])))</f>
        <v/>
      </c>
      <c r="E348" s="162" t="str">
        <f aca="false">IF(Salary_Calculation[[#This Row],[Source Row]]="","",IF(INDEX(Rider_Input[Calendar Days in Month],Salary_Calculation[[#This Row],[Source Row]])="","",INDEX(Rider_Input[Calendar Days in Month],Salary_Calculation[[#This Row],[Source Row]])))</f>
        <v/>
      </c>
      <c r="F348" s="162" t="str">
        <f aca="false">IF(Salary_Calculation[[#This Row],[Source Row]]="","",IF(INDEX(Rider_Input[Working Days],Salary_Calculation[[#This Row],[Source Row]])="","",INDEX(Rider_Input[Working Days],Salary_Calculation[[#This Row],[Source Row]])))</f>
        <v/>
      </c>
      <c r="G348" s="165" t="str">
        <f aca="false">IF(Salary_Calculation[[#This Row],[Source Row]]="","",Std_Orders/Std_Days*N(Salary_Calculation[[#This Row],[Calendar Days]]))</f>
        <v/>
      </c>
      <c r="H348" s="165" t="str">
        <f aca="false">IF(Salary_Calculation[[#This Row],[Source Row]]="","",IF(N(Salary_Calculation[[#This Row],[Calendar Days]])&gt;0,Salary_Calculation[[#This Row],[Monthly Target Orders]]/N(Salary_Calculation[[#This Row],[Calendar Days]])*N(Salary_Calculation[[#This Row],[Working Days]]),0))</f>
        <v/>
      </c>
      <c r="I348" s="166" t="str">
        <f aca="false">IF(Salary_Calculation[[#This Row],[Source Row]]="","",IF(INDEX(Rider_Input[Completed Orders],Salary_Calculation[[#This Row],[Source Row]])="","",INDEX(Rider_Input[Completed Orders],Salary_Calculation[[#This Row],[Source Row]])))</f>
        <v/>
      </c>
      <c r="J348" s="165" t="str">
        <f aca="false">IF(Salary_Calculation[[#This Row],[Source Row]]="","",IF(Rate_Method="Fixed rate",Fixed_Rate,IF(N(Salary_Calculation[[#This Row],[Basic Payment]])&gt;0,N(Salary_Calculation[[#This Row],[Basic Payment]])/Std_Orders,0)))</f>
        <v/>
      </c>
      <c r="K348" s="165" t="str">
        <f aca="false">IF(Salary_Calculation[[#This Row],[Source Row]]="","",MAX(MIN(N(Salary_Calculation[[#This Row],[Completed Orders]]),Salary_Calculation[[#This Row],[Rider Target Orders]]),0))</f>
        <v/>
      </c>
      <c r="L348" s="164" t="str">
        <f aca="false">IF(Salary_Calculation[[#This Row],[Source Row]]="","",Salary_Calculation[[#This Row],[Orders Counted at Base Rate]]*Salary_Calculation[[#This Row],[Base Order Rate]])</f>
        <v/>
      </c>
      <c r="M348" s="165" t="str">
        <f aca="false">IF(Salary_Calculation[[#This Row],[Source Row]]="","",MAX(Salary_Calculation[[#This Row],[Rider Target Orders]]-N(Salary_Calculation[[#This Row],[Completed Orders]]),0))</f>
        <v/>
      </c>
      <c r="N348" s="164" t="str">
        <f aca="false">IF(Salary_Calculation[[#This Row],[Source Row]]="","",Salary_Calculation[[#This Row],[Missing Orders]]*Missing_Rate)</f>
        <v/>
      </c>
      <c r="O348" s="165" t="str">
        <f aca="false">IF(Salary_Calculation[[#This Row],[Source Row]]="","",MAX(N(Salary_Calculation[[#This Row],[Completed Orders]])-Salary_Calculation[[#This Row],[Rider Target Orders]],0))</f>
        <v/>
      </c>
      <c r="P348" s="164" t="str">
        <f aca="false">IF(Salary_Calculation[[#This Row],[Source Row]]="","",Salary_Calculation[[#This Row],[Extra Orders]]*Extra_Rate)</f>
        <v/>
      </c>
      <c r="Q348" s="164" t="str">
        <f aca="false">IF(Salary_Calculation[[#This Row],[Source Row]]="","",MAX(Salary_Calculation[[#This Row],[Salary Before Other Deductions]],0))</f>
        <v/>
      </c>
      <c r="R348" s="164" t="str">
        <f aca="false">IF(Salary_Calculation[[#This Row],[Source Row]]="","",N(INDEX(Rider_Input[missed_days_penalty],Salary_Calculation[[#This Row],[Source Row]])))</f>
        <v/>
      </c>
      <c r="S348" s="164" t="str">
        <f aca="false">IF(Salary_Calculation[[#This Row],[Source Row]]="","",N(INDEX(Rider_Input[Rider Balance / محفظة المندوب],Salary_Calculation[[#This Row],[Source Row]])))</f>
        <v/>
      </c>
      <c r="T348" s="164" t="str">
        <f aca="false">IF(Salary_Calculation[[#This Row],[Source Row]]="","",N(INDEX(Rider_Input[stacking_deduction / خصم الطلبات المتعددة],Salary_Calculation[[#This Row],[Source Row]])))</f>
        <v/>
      </c>
      <c r="U348" s="164" t="str">
        <f aca="false">IF(Salary_Calculation[[#This Row],[Source Row]]="","",N(INDEX(Rider_Input[Other Deductions],Salary_Calculation[[#This Row],[Source Row]])))</f>
        <v/>
      </c>
      <c r="V348" s="164" t="str">
        <f aca="false">IF(Salary_Calculation[[#This Row],[Source Row]]="","",N(Salary_Calculation[[#This Row],[missed_days_penalty]])+N(Salary_Calculation[[#This Row],[Rider Balance]])+N(Salary_Calculation[[#This Row],[stacking_deduction]])+N(Salary_Calculation[[#This Row],[Other Deductions]]))</f>
        <v/>
      </c>
      <c r="W348" s="167" t="str">
        <f aca="false">IF(Salary_Calculation[[#This Row],[Source Row]]="","",ROUND(MAX(Salary_Calculation[[#This Row],[Gross Salary Before Deductions]]-Salary_Calculation[[#This Row],[Total Deductions]],0),2))</f>
        <v/>
      </c>
      <c r="X348" s="164" t="str">
        <f aca="false">IF(Salary_Calculation[[#This Row],[Source Row]]="","",ROUND(MAX(Salary_Calculation[[#This Row],[Missing-Order Deduction]]-Salary_Calculation[[#This Row],[Earned Salary]],0),2))</f>
        <v/>
      </c>
      <c r="Y34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48" s="163" t="str">
        <f aca="false">IF(Salary_Calculation[[#This Row],[Source Row]]="","",IF(INDEX(Rider_Input[Notes],Salary_Calculation[[#This Row],[Source Row]])="","",INDEX(Rider_Input[Notes],Salary_Calculation[[#This Row],[Source Row]])))</f>
        <v/>
      </c>
      <c r="AA348" s="164" t="str">
        <f aca="false">IF(Salary_Calculation[[#This Row],[Source Row]]="","",Salary_Calculation[[#This Row],[Earned Salary]]-Salary_Calculation[[#This Row],[Missing-Order Deduction]]+Salary_Calculation[[#This Row],[Extra-Order Bonus]])</f>
        <v/>
      </c>
      <c r="AB348" s="164" t="str">
        <f aca="false">IF(Salary_Calculation[[#This Row],[Source Row]]="","",ROUND(Salary_Calculation[[#This Row],[Negative Balance / Amount Due from Rider]]+MAX(Salary_Calculation[[#This Row],[Total Deductions]]-Salary_Calculation[[#This Row],[Gross Salary Before Deductions]],0),2))</f>
        <v/>
      </c>
      <c r="AC34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48" s="164" t="str">
        <f aca="false">IF(Salary_Calculation[[#This Row],[Source Row]]="","",Salary_Calculation[[#This Row],[Rider Target Orders]]*Salary_Calculation[[#This Row],[Base Order Rate]])</f>
        <v/>
      </c>
      <c r="AE348" s="162" t="str">
        <f aca="false">IF(SUMPRODUCT(--(LEN(INDEX(Rider_Input[#Data],ROW()-ROW(Salary_Calculation[#Headers]),0))&gt;0))=0,"",ROW()-ROW(Salary_Calculation[#Headers]))</f>
        <v/>
      </c>
    </row>
    <row r="349" customFormat="false" ht="14.25" hidden="false" customHeight="false" outlineLevel="0" collapsed="false">
      <c r="A349" s="161" t="str">
        <f aca="false">IF(Salary_Calculation[[#This Row],[Source Row]]="","",IF(INDEX(Rider_Input[Salary Month],Salary_Calculation[[#This Row],[Source Row]])="","",INDEX(Rider_Input[Salary Month],Salary_Calculation[[#This Row],[Source Row]])))</f>
        <v/>
      </c>
      <c r="B349" s="162" t="str">
        <f aca="false">IF(Salary_Calculation[[#This Row],[Source Row]]="","",IF(INDEX(Rider_Input[Rider ID],Salary_Calculation[[#This Row],[Source Row]])="","",INDEX(Rider_Input[Rider ID],Salary_Calculation[[#This Row],[Source Row]])))</f>
        <v/>
      </c>
      <c r="C349" s="163" t="str">
        <f aca="false">IF(Salary_Calculation[[#This Row],[Source Row]]="","",IF(INDEX(Rider_Input[Rider Name],Salary_Calculation[[#This Row],[Source Row]])="","",INDEX(Rider_Input[Rider Name],Salary_Calculation[[#This Row],[Source Row]])))</f>
        <v/>
      </c>
      <c r="D349" s="164" t="str">
        <f aca="false">IF(Salary_Calculation[[#This Row],[Source Row]]="","",IF(INDEX(Rider_Input[Basic Payment],Salary_Calculation[[#This Row],[Source Row]])="","",INDEX(Rider_Input[Basic Payment],Salary_Calculation[[#This Row],[Source Row]])))</f>
        <v/>
      </c>
      <c r="E349" s="162" t="str">
        <f aca="false">IF(Salary_Calculation[[#This Row],[Source Row]]="","",IF(INDEX(Rider_Input[Calendar Days in Month],Salary_Calculation[[#This Row],[Source Row]])="","",INDEX(Rider_Input[Calendar Days in Month],Salary_Calculation[[#This Row],[Source Row]])))</f>
        <v/>
      </c>
      <c r="F349" s="162" t="str">
        <f aca="false">IF(Salary_Calculation[[#This Row],[Source Row]]="","",IF(INDEX(Rider_Input[Working Days],Salary_Calculation[[#This Row],[Source Row]])="","",INDEX(Rider_Input[Working Days],Salary_Calculation[[#This Row],[Source Row]])))</f>
        <v/>
      </c>
      <c r="G349" s="165" t="str">
        <f aca="false">IF(Salary_Calculation[[#This Row],[Source Row]]="","",Std_Orders/Std_Days*N(Salary_Calculation[[#This Row],[Calendar Days]]))</f>
        <v/>
      </c>
      <c r="H349" s="165" t="str">
        <f aca="false">IF(Salary_Calculation[[#This Row],[Source Row]]="","",IF(N(Salary_Calculation[[#This Row],[Calendar Days]])&gt;0,Salary_Calculation[[#This Row],[Monthly Target Orders]]/N(Salary_Calculation[[#This Row],[Calendar Days]])*N(Salary_Calculation[[#This Row],[Working Days]]),0))</f>
        <v/>
      </c>
      <c r="I349" s="166" t="str">
        <f aca="false">IF(Salary_Calculation[[#This Row],[Source Row]]="","",IF(INDEX(Rider_Input[Completed Orders],Salary_Calculation[[#This Row],[Source Row]])="","",INDEX(Rider_Input[Completed Orders],Salary_Calculation[[#This Row],[Source Row]])))</f>
        <v/>
      </c>
      <c r="J349" s="165" t="str">
        <f aca="false">IF(Salary_Calculation[[#This Row],[Source Row]]="","",IF(Rate_Method="Fixed rate",Fixed_Rate,IF(N(Salary_Calculation[[#This Row],[Basic Payment]])&gt;0,N(Salary_Calculation[[#This Row],[Basic Payment]])/Std_Orders,0)))</f>
        <v/>
      </c>
      <c r="K349" s="165" t="str">
        <f aca="false">IF(Salary_Calculation[[#This Row],[Source Row]]="","",MAX(MIN(N(Salary_Calculation[[#This Row],[Completed Orders]]),Salary_Calculation[[#This Row],[Rider Target Orders]]),0))</f>
        <v/>
      </c>
      <c r="L349" s="164" t="str">
        <f aca="false">IF(Salary_Calculation[[#This Row],[Source Row]]="","",Salary_Calculation[[#This Row],[Orders Counted at Base Rate]]*Salary_Calculation[[#This Row],[Base Order Rate]])</f>
        <v/>
      </c>
      <c r="M349" s="165" t="str">
        <f aca="false">IF(Salary_Calculation[[#This Row],[Source Row]]="","",MAX(Salary_Calculation[[#This Row],[Rider Target Orders]]-N(Salary_Calculation[[#This Row],[Completed Orders]]),0))</f>
        <v/>
      </c>
      <c r="N349" s="164" t="str">
        <f aca="false">IF(Salary_Calculation[[#This Row],[Source Row]]="","",Salary_Calculation[[#This Row],[Missing Orders]]*Missing_Rate)</f>
        <v/>
      </c>
      <c r="O349" s="165" t="str">
        <f aca="false">IF(Salary_Calculation[[#This Row],[Source Row]]="","",MAX(N(Salary_Calculation[[#This Row],[Completed Orders]])-Salary_Calculation[[#This Row],[Rider Target Orders]],0))</f>
        <v/>
      </c>
      <c r="P349" s="164" t="str">
        <f aca="false">IF(Salary_Calculation[[#This Row],[Source Row]]="","",Salary_Calculation[[#This Row],[Extra Orders]]*Extra_Rate)</f>
        <v/>
      </c>
      <c r="Q349" s="164" t="str">
        <f aca="false">IF(Salary_Calculation[[#This Row],[Source Row]]="","",MAX(Salary_Calculation[[#This Row],[Salary Before Other Deductions]],0))</f>
        <v/>
      </c>
      <c r="R349" s="164" t="str">
        <f aca="false">IF(Salary_Calculation[[#This Row],[Source Row]]="","",N(INDEX(Rider_Input[missed_days_penalty],Salary_Calculation[[#This Row],[Source Row]])))</f>
        <v/>
      </c>
      <c r="S349" s="164" t="str">
        <f aca="false">IF(Salary_Calculation[[#This Row],[Source Row]]="","",N(INDEX(Rider_Input[Rider Balance / محفظة المندوب],Salary_Calculation[[#This Row],[Source Row]])))</f>
        <v/>
      </c>
      <c r="T349" s="164" t="str">
        <f aca="false">IF(Salary_Calculation[[#This Row],[Source Row]]="","",N(INDEX(Rider_Input[stacking_deduction / خصم الطلبات المتعددة],Salary_Calculation[[#This Row],[Source Row]])))</f>
        <v/>
      </c>
      <c r="U349" s="164" t="str">
        <f aca="false">IF(Salary_Calculation[[#This Row],[Source Row]]="","",N(INDEX(Rider_Input[Other Deductions],Salary_Calculation[[#This Row],[Source Row]])))</f>
        <v/>
      </c>
      <c r="V349" s="164" t="str">
        <f aca="false">IF(Salary_Calculation[[#This Row],[Source Row]]="","",N(Salary_Calculation[[#This Row],[missed_days_penalty]])+N(Salary_Calculation[[#This Row],[Rider Balance]])+N(Salary_Calculation[[#This Row],[stacking_deduction]])+N(Salary_Calculation[[#This Row],[Other Deductions]]))</f>
        <v/>
      </c>
      <c r="W349" s="167" t="str">
        <f aca="false">IF(Salary_Calculation[[#This Row],[Source Row]]="","",ROUND(MAX(Salary_Calculation[[#This Row],[Gross Salary Before Deductions]]-Salary_Calculation[[#This Row],[Total Deductions]],0),2))</f>
        <v/>
      </c>
      <c r="X349" s="164" t="str">
        <f aca="false">IF(Salary_Calculation[[#This Row],[Source Row]]="","",ROUND(MAX(Salary_Calculation[[#This Row],[Missing-Order Deduction]]-Salary_Calculation[[#This Row],[Earned Salary]],0),2))</f>
        <v/>
      </c>
      <c r="Y34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49" s="163" t="str">
        <f aca="false">IF(Salary_Calculation[[#This Row],[Source Row]]="","",IF(INDEX(Rider_Input[Notes],Salary_Calculation[[#This Row],[Source Row]])="","",INDEX(Rider_Input[Notes],Salary_Calculation[[#This Row],[Source Row]])))</f>
        <v/>
      </c>
      <c r="AA349" s="164" t="str">
        <f aca="false">IF(Salary_Calculation[[#This Row],[Source Row]]="","",Salary_Calculation[[#This Row],[Earned Salary]]-Salary_Calculation[[#This Row],[Missing-Order Deduction]]+Salary_Calculation[[#This Row],[Extra-Order Bonus]])</f>
        <v/>
      </c>
      <c r="AB349" s="164" t="str">
        <f aca="false">IF(Salary_Calculation[[#This Row],[Source Row]]="","",ROUND(Salary_Calculation[[#This Row],[Negative Balance / Amount Due from Rider]]+MAX(Salary_Calculation[[#This Row],[Total Deductions]]-Salary_Calculation[[#This Row],[Gross Salary Before Deductions]],0),2))</f>
        <v/>
      </c>
      <c r="AC34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49" s="164" t="str">
        <f aca="false">IF(Salary_Calculation[[#This Row],[Source Row]]="","",Salary_Calculation[[#This Row],[Rider Target Orders]]*Salary_Calculation[[#This Row],[Base Order Rate]])</f>
        <v/>
      </c>
      <c r="AE349" s="162" t="str">
        <f aca="false">IF(SUMPRODUCT(--(LEN(INDEX(Rider_Input[#Data],ROW()-ROW(Salary_Calculation[#Headers]),0))&gt;0))=0,"",ROW()-ROW(Salary_Calculation[#Headers]))</f>
        <v/>
      </c>
    </row>
    <row r="350" customFormat="false" ht="14.25" hidden="false" customHeight="false" outlineLevel="0" collapsed="false">
      <c r="A350" s="161" t="str">
        <f aca="false">IF(Salary_Calculation[[#This Row],[Source Row]]="","",IF(INDEX(Rider_Input[Salary Month],Salary_Calculation[[#This Row],[Source Row]])="","",INDEX(Rider_Input[Salary Month],Salary_Calculation[[#This Row],[Source Row]])))</f>
        <v/>
      </c>
      <c r="B350" s="162" t="str">
        <f aca="false">IF(Salary_Calculation[[#This Row],[Source Row]]="","",IF(INDEX(Rider_Input[Rider ID],Salary_Calculation[[#This Row],[Source Row]])="","",INDEX(Rider_Input[Rider ID],Salary_Calculation[[#This Row],[Source Row]])))</f>
        <v/>
      </c>
      <c r="C350" s="163" t="str">
        <f aca="false">IF(Salary_Calculation[[#This Row],[Source Row]]="","",IF(INDEX(Rider_Input[Rider Name],Salary_Calculation[[#This Row],[Source Row]])="","",INDEX(Rider_Input[Rider Name],Salary_Calculation[[#This Row],[Source Row]])))</f>
        <v/>
      </c>
      <c r="D350" s="164" t="str">
        <f aca="false">IF(Salary_Calculation[[#This Row],[Source Row]]="","",IF(INDEX(Rider_Input[Basic Payment],Salary_Calculation[[#This Row],[Source Row]])="","",INDEX(Rider_Input[Basic Payment],Salary_Calculation[[#This Row],[Source Row]])))</f>
        <v/>
      </c>
      <c r="E350" s="162" t="str">
        <f aca="false">IF(Salary_Calculation[[#This Row],[Source Row]]="","",IF(INDEX(Rider_Input[Calendar Days in Month],Salary_Calculation[[#This Row],[Source Row]])="","",INDEX(Rider_Input[Calendar Days in Month],Salary_Calculation[[#This Row],[Source Row]])))</f>
        <v/>
      </c>
      <c r="F350" s="162" t="str">
        <f aca="false">IF(Salary_Calculation[[#This Row],[Source Row]]="","",IF(INDEX(Rider_Input[Working Days],Salary_Calculation[[#This Row],[Source Row]])="","",INDEX(Rider_Input[Working Days],Salary_Calculation[[#This Row],[Source Row]])))</f>
        <v/>
      </c>
      <c r="G350" s="165" t="str">
        <f aca="false">IF(Salary_Calculation[[#This Row],[Source Row]]="","",Std_Orders/Std_Days*N(Salary_Calculation[[#This Row],[Calendar Days]]))</f>
        <v/>
      </c>
      <c r="H350" s="165" t="str">
        <f aca="false">IF(Salary_Calculation[[#This Row],[Source Row]]="","",IF(N(Salary_Calculation[[#This Row],[Calendar Days]])&gt;0,Salary_Calculation[[#This Row],[Monthly Target Orders]]/N(Salary_Calculation[[#This Row],[Calendar Days]])*N(Salary_Calculation[[#This Row],[Working Days]]),0))</f>
        <v/>
      </c>
      <c r="I350" s="166" t="str">
        <f aca="false">IF(Salary_Calculation[[#This Row],[Source Row]]="","",IF(INDEX(Rider_Input[Completed Orders],Salary_Calculation[[#This Row],[Source Row]])="","",INDEX(Rider_Input[Completed Orders],Salary_Calculation[[#This Row],[Source Row]])))</f>
        <v/>
      </c>
      <c r="J350" s="165" t="str">
        <f aca="false">IF(Salary_Calculation[[#This Row],[Source Row]]="","",IF(Rate_Method="Fixed rate",Fixed_Rate,IF(N(Salary_Calculation[[#This Row],[Basic Payment]])&gt;0,N(Salary_Calculation[[#This Row],[Basic Payment]])/Std_Orders,0)))</f>
        <v/>
      </c>
      <c r="K350" s="165" t="str">
        <f aca="false">IF(Salary_Calculation[[#This Row],[Source Row]]="","",MAX(MIN(N(Salary_Calculation[[#This Row],[Completed Orders]]),Salary_Calculation[[#This Row],[Rider Target Orders]]),0))</f>
        <v/>
      </c>
      <c r="L350" s="164" t="str">
        <f aca="false">IF(Salary_Calculation[[#This Row],[Source Row]]="","",Salary_Calculation[[#This Row],[Orders Counted at Base Rate]]*Salary_Calculation[[#This Row],[Base Order Rate]])</f>
        <v/>
      </c>
      <c r="M350" s="165" t="str">
        <f aca="false">IF(Salary_Calculation[[#This Row],[Source Row]]="","",MAX(Salary_Calculation[[#This Row],[Rider Target Orders]]-N(Salary_Calculation[[#This Row],[Completed Orders]]),0))</f>
        <v/>
      </c>
      <c r="N350" s="164" t="str">
        <f aca="false">IF(Salary_Calculation[[#This Row],[Source Row]]="","",Salary_Calculation[[#This Row],[Missing Orders]]*Missing_Rate)</f>
        <v/>
      </c>
      <c r="O350" s="165" t="str">
        <f aca="false">IF(Salary_Calculation[[#This Row],[Source Row]]="","",MAX(N(Salary_Calculation[[#This Row],[Completed Orders]])-Salary_Calculation[[#This Row],[Rider Target Orders]],0))</f>
        <v/>
      </c>
      <c r="P350" s="164" t="str">
        <f aca="false">IF(Salary_Calculation[[#This Row],[Source Row]]="","",Salary_Calculation[[#This Row],[Extra Orders]]*Extra_Rate)</f>
        <v/>
      </c>
      <c r="Q350" s="164" t="str">
        <f aca="false">IF(Salary_Calculation[[#This Row],[Source Row]]="","",MAX(Salary_Calculation[[#This Row],[Salary Before Other Deductions]],0))</f>
        <v/>
      </c>
      <c r="R350" s="164" t="str">
        <f aca="false">IF(Salary_Calculation[[#This Row],[Source Row]]="","",N(INDEX(Rider_Input[missed_days_penalty],Salary_Calculation[[#This Row],[Source Row]])))</f>
        <v/>
      </c>
      <c r="S350" s="164" t="str">
        <f aca="false">IF(Salary_Calculation[[#This Row],[Source Row]]="","",N(INDEX(Rider_Input[Rider Balance / محفظة المندوب],Salary_Calculation[[#This Row],[Source Row]])))</f>
        <v/>
      </c>
      <c r="T350" s="164" t="str">
        <f aca="false">IF(Salary_Calculation[[#This Row],[Source Row]]="","",N(INDEX(Rider_Input[stacking_deduction / خصم الطلبات المتعددة],Salary_Calculation[[#This Row],[Source Row]])))</f>
        <v/>
      </c>
      <c r="U350" s="164" t="str">
        <f aca="false">IF(Salary_Calculation[[#This Row],[Source Row]]="","",N(INDEX(Rider_Input[Other Deductions],Salary_Calculation[[#This Row],[Source Row]])))</f>
        <v/>
      </c>
      <c r="V350" s="164" t="str">
        <f aca="false">IF(Salary_Calculation[[#This Row],[Source Row]]="","",N(Salary_Calculation[[#This Row],[missed_days_penalty]])+N(Salary_Calculation[[#This Row],[Rider Balance]])+N(Salary_Calculation[[#This Row],[stacking_deduction]])+N(Salary_Calculation[[#This Row],[Other Deductions]]))</f>
        <v/>
      </c>
      <c r="W350" s="167" t="str">
        <f aca="false">IF(Salary_Calculation[[#This Row],[Source Row]]="","",ROUND(MAX(Salary_Calculation[[#This Row],[Gross Salary Before Deductions]]-Salary_Calculation[[#This Row],[Total Deductions]],0),2))</f>
        <v/>
      </c>
      <c r="X350" s="164" t="str">
        <f aca="false">IF(Salary_Calculation[[#This Row],[Source Row]]="","",ROUND(MAX(Salary_Calculation[[#This Row],[Missing-Order Deduction]]-Salary_Calculation[[#This Row],[Earned Salary]],0),2))</f>
        <v/>
      </c>
      <c r="Y35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50" s="163" t="str">
        <f aca="false">IF(Salary_Calculation[[#This Row],[Source Row]]="","",IF(INDEX(Rider_Input[Notes],Salary_Calculation[[#This Row],[Source Row]])="","",INDEX(Rider_Input[Notes],Salary_Calculation[[#This Row],[Source Row]])))</f>
        <v/>
      </c>
      <c r="AA350" s="164" t="str">
        <f aca="false">IF(Salary_Calculation[[#This Row],[Source Row]]="","",Salary_Calculation[[#This Row],[Earned Salary]]-Salary_Calculation[[#This Row],[Missing-Order Deduction]]+Salary_Calculation[[#This Row],[Extra-Order Bonus]])</f>
        <v/>
      </c>
      <c r="AB350" s="164" t="str">
        <f aca="false">IF(Salary_Calculation[[#This Row],[Source Row]]="","",ROUND(Salary_Calculation[[#This Row],[Negative Balance / Amount Due from Rider]]+MAX(Salary_Calculation[[#This Row],[Total Deductions]]-Salary_Calculation[[#This Row],[Gross Salary Before Deductions]],0),2))</f>
        <v/>
      </c>
      <c r="AC35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50" s="164" t="str">
        <f aca="false">IF(Salary_Calculation[[#This Row],[Source Row]]="","",Salary_Calculation[[#This Row],[Rider Target Orders]]*Salary_Calculation[[#This Row],[Base Order Rate]])</f>
        <v/>
      </c>
      <c r="AE350" s="162" t="str">
        <f aca="false">IF(SUMPRODUCT(--(LEN(INDEX(Rider_Input[#Data],ROW()-ROW(Salary_Calculation[#Headers]),0))&gt;0))=0,"",ROW()-ROW(Salary_Calculation[#Headers]))</f>
        <v/>
      </c>
    </row>
    <row r="351" customFormat="false" ht="14.25" hidden="false" customHeight="false" outlineLevel="0" collapsed="false">
      <c r="A351" s="161" t="str">
        <f aca="false">IF(Salary_Calculation[[#This Row],[Source Row]]="","",IF(INDEX(Rider_Input[Salary Month],Salary_Calculation[[#This Row],[Source Row]])="","",INDEX(Rider_Input[Salary Month],Salary_Calculation[[#This Row],[Source Row]])))</f>
        <v/>
      </c>
      <c r="B351" s="162" t="str">
        <f aca="false">IF(Salary_Calculation[[#This Row],[Source Row]]="","",IF(INDEX(Rider_Input[Rider ID],Salary_Calculation[[#This Row],[Source Row]])="","",INDEX(Rider_Input[Rider ID],Salary_Calculation[[#This Row],[Source Row]])))</f>
        <v/>
      </c>
      <c r="C351" s="163" t="str">
        <f aca="false">IF(Salary_Calculation[[#This Row],[Source Row]]="","",IF(INDEX(Rider_Input[Rider Name],Salary_Calculation[[#This Row],[Source Row]])="","",INDEX(Rider_Input[Rider Name],Salary_Calculation[[#This Row],[Source Row]])))</f>
        <v/>
      </c>
      <c r="D351" s="164" t="str">
        <f aca="false">IF(Salary_Calculation[[#This Row],[Source Row]]="","",IF(INDEX(Rider_Input[Basic Payment],Salary_Calculation[[#This Row],[Source Row]])="","",INDEX(Rider_Input[Basic Payment],Salary_Calculation[[#This Row],[Source Row]])))</f>
        <v/>
      </c>
      <c r="E351" s="162" t="str">
        <f aca="false">IF(Salary_Calculation[[#This Row],[Source Row]]="","",IF(INDEX(Rider_Input[Calendar Days in Month],Salary_Calculation[[#This Row],[Source Row]])="","",INDEX(Rider_Input[Calendar Days in Month],Salary_Calculation[[#This Row],[Source Row]])))</f>
        <v/>
      </c>
      <c r="F351" s="162" t="str">
        <f aca="false">IF(Salary_Calculation[[#This Row],[Source Row]]="","",IF(INDEX(Rider_Input[Working Days],Salary_Calculation[[#This Row],[Source Row]])="","",INDEX(Rider_Input[Working Days],Salary_Calculation[[#This Row],[Source Row]])))</f>
        <v/>
      </c>
      <c r="G351" s="165" t="str">
        <f aca="false">IF(Salary_Calculation[[#This Row],[Source Row]]="","",Std_Orders/Std_Days*N(Salary_Calculation[[#This Row],[Calendar Days]]))</f>
        <v/>
      </c>
      <c r="H351" s="165" t="str">
        <f aca="false">IF(Salary_Calculation[[#This Row],[Source Row]]="","",IF(N(Salary_Calculation[[#This Row],[Calendar Days]])&gt;0,Salary_Calculation[[#This Row],[Monthly Target Orders]]/N(Salary_Calculation[[#This Row],[Calendar Days]])*N(Salary_Calculation[[#This Row],[Working Days]]),0))</f>
        <v/>
      </c>
      <c r="I351" s="166" t="str">
        <f aca="false">IF(Salary_Calculation[[#This Row],[Source Row]]="","",IF(INDEX(Rider_Input[Completed Orders],Salary_Calculation[[#This Row],[Source Row]])="","",INDEX(Rider_Input[Completed Orders],Salary_Calculation[[#This Row],[Source Row]])))</f>
        <v/>
      </c>
      <c r="J351" s="165" t="str">
        <f aca="false">IF(Salary_Calculation[[#This Row],[Source Row]]="","",IF(Rate_Method="Fixed rate",Fixed_Rate,IF(N(Salary_Calculation[[#This Row],[Basic Payment]])&gt;0,N(Salary_Calculation[[#This Row],[Basic Payment]])/Std_Orders,0)))</f>
        <v/>
      </c>
      <c r="K351" s="165" t="str">
        <f aca="false">IF(Salary_Calculation[[#This Row],[Source Row]]="","",MAX(MIN(N(Salary_Calculation[[#This Row],[Completed Orders]]),Salary_Calculation[[#This Row],[Rider Target Orders]]),0))</f>
        <v/>
      </c>
      <c r="L351" s="164" t="str">
        <f aca="false">IF(Salary_Calculation[[#This Row],[Source Row]]="","",Salary_Calculation[[#This Row],[Orders Counted at Base Rate]]*Salary_Calculation[[#This Row],[Base Order Rate]])</f>
        <v/>
      </c>
      <c r="M351" s="165" t="str">
        <f aca="false">IF(Salary_Calculation[[#This Row],[Source Row]]="","",MAX(Salary_Calculation[[#This Row],[Rider Target Orders]]-N(Salary_Calculation[[#This Row],[Completed Orders]]),0))</f>
        <v/>
      </c>
      <c r="N351" s="164" t="str">
        <f aca="false">IF(Salary_Calculation[[#This Row],[Source Row]]="","",Salary_Calculation[[#This Row],[Missing Orders]]*Missing_Rate)</f>
        <v/>
      </c>
      <c r="O351" s="165" t="str">
        <f aca="false">IF(Salary_Calculation[[#This Row],[Source Row]]="","",MAX(N(Salary_Calculation[[#This Row],[Completed Orders]])-Salary_Calculation[[#This Row],[Rider Target Orders]],0))</f>
        <v/>
      </c>
      <c r="P351" s="164" t="str">
        <f aca="false">IF(Salary_Calculation[[#This Row],[Source Row]]="","",Salary_Calculation[[#This Row],[Extra Orders]]*Extra_Rate)</f>
        <v/>
      </c>
      <c r="Q351" s="164" t="str">
        <f aca="false">IF(Salary_Calculation[[#This Row],[Source Row]]="","",MAX(Salary_Calculation[[#This Row],[Salary Before Other Deductions]],0))</f>
        <v/>
      </c>
      <c r="R351" s="164" t="str">
        <f aca="false">IF(Salary_Calculation[[#This Row],[Source Row]]="","",N(INDEX(Rider_Input[missed_days_penalty],Salary_Calculation[[#This Row],[Source Row]])))</f>
        <v/>
      </c>
      <c r="S351" s="164" t="str">
        <f aca="false">IF(Salary_Calculation[[#This Row],[Source Row]]="","",N(INDEX(Rider_Input[Rider Balance / محفظة المندوب],Salary_Calculation[[#This Row],[Source Row]])))</f>
        <v/>
      </c>
      <c r="T351" s="164" t="str">
        <f aca="false">IF(Salary_Calculation[[#This Row],[Source Row]]="","",N(INDEX(Rider_Input[stacking_deduction / خصم الطلبات المتعددة],Salary_Calculation[[#This Row],[Source Row]])))</f>
        <v/>
      </c>
      <c r="U351" s="164" t="str">
        <f aca="false">IF(Salary_Calculation[[#This Row],[Source Row]]="","",N(INDEX(Rider_Input[Other Deductions],Salary_Calculation[[#This Row],[Source Row]])))</f>
        <v/>
      </c>
      <c r="V351" s="164" t="str">
        <f aca="false">IF(Salary_Calculation[[#This Row],[Source Row]]="","",N(Salary_Calculation[[#This Row],[missed_days_penalty]])+N(Salary_Calculation[[#This Row],[Rider Balance]])+N(Salary_Calculation[[#This Row],[stacking_deduction]])+N(Salary_Calculation[[#This Row],[Other Deductions]]))</f>
        <v/>
      </c>
      <c r="W351" s="167" t="str">
        <f aca="false">IF(Salary_Calculation[[#This Row],[Source Row]]="","",ROUND(MAX(Salary_Calculation[[#This Row],[Gross Salary Before Deductions]]-Salary_Calculation[[#This Row],[Total Deductions]],0),2))</f>
        <v/>
      </c>
      <c r="X351" s="164" t="str">
        <f aca="false">IF(Salary_Calculation[[#This Row],[Source Row]]="","",ROUND(MAX(Salary_Calculation[[#This Row],[Missing-Order Deduction]]-Salary_Calculation[[#This Row],[Earned Salary]],0),2))</f>
        <v/>
      </c>
      <c r="Y35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51" s="163" t="str">
        <f aca="false">IF(Salary_Calculation[[#This Row],[Source Row]]="","",IF(INDEX(Rider_Input[Notes],Salary_Calculation[[#This Row],[Source Row]])="","",INDEX(Rider_Input[Notes],Salary_Calculation[[#This Row],[Source Row]])))</f>
        <v/>
      </c>
      <c r="AA351" s="164" t="str">
        <f aca="false">IF(Salary_Calculation[[#This Row],[Source Row]]="","",Salary_Calculation[[#This Row],[Earned Salary]]-Salary_Calculation[[#This Row],[Missing-Order Deduction]]+Salary_Calculation[[#This Row],[Extra-Order Bonus]])</f>
        <v/>
      </c>
      <c r="AB351" s="164" t="str">
        <f aca="false">IF(Salary_Calculation[[#This Row],[Source Row]]="","",ROUND(Salary_Calculation[[#This Row],[Negative Balance / Amount Due from Rider]]+MAX(Salary_Calculation[[#This Row],[Total Deductions]]-Salary_Calculation[[#This Row],[Gross Salary Before Deductions]],0),2))</f>
        <v/>
      </c>
      <c r="AC35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51" s="164" t="str">
        <f aca="false">IF(Salary_Calculation[[#This Row],[Source Row]]="","",Salary_Calculation[[#This Row],[Rider Target Orders]]*Salary_Calculation[[#This Row],[Base Order Rate]])</f>
        <v/>
      </c>
      <c r="AE351" s="162" t="str">
        <f aca="false">IF(SUMPRODUCT(--(LEN(INDEX(Rider_Input[#Data],ROW()-ROW(Salary_Calculation[#Headers]),0))&gt;0))=0,"",ROW()-ROW(Salary_Calculation[#Headers]))</f>
        <v/>
      </c>
    </row>
    <row r="352" customFormat="false" ht="14.25" hidden="false" customHeight="false" outlineLevel="0" collapsed="false">
      <c r="A352" s="161" t="str">
        <f aca="false">IF(Salary_Calculation[[#This Row],[Source Row]]="","",IF(INDEX(Rider_Input[Salary Month],Salary_Calculation[[#This Row],[Source Row]])="","",INDEX(Rider_Input[Salary Month],Salary_Calculation[[#This Row],[Source Row]])))</f>
        <v/>
      </c>
      <c r="B352" s="162" t="str">
        <f aca="false">IF(Salary_Calculation[[#This Row],[Source Row]]="","",IF(INDEX(Rider_Input[Rider ID],Salary_Calculation[[#This Row],[Source Row]])="","",INDEX(Rider_Input[Rider ID],Salary_Calculation[[#This Row],[Source Row]])))</f>
        <v/>
      </c>
      <c r="C352" s="163" t="str">
        <f aca="false">IF(Salary_Calculation[[#This Row],[Source Row]]="","",IF(INDEX(Rider_Input[Rider Name],Salary_Calculation[[#This Row],[Source Row]])="","",INDEX(Rider_Input[Rider Name],Salary_Calculation[[#This Row],[Source Row]])))</f>
        <v/>
      </c>
      <c r="D352" s="164" t="str">
        <f aca="false">IF(Salary_Calculation[[#This Row],[Source Row]]="","",IF(INDEX(Rider_Input[Basic Payment],Salary_Calculation[[#This Row],[Source Row]])="","",INDEX(Rider_Input[Basic Payment],Salary_Calculation[[#This Row],[Source Row]])))</f>
        <v/>
      </c>
      <c r="E352" s="162" t="str">
        <f aca="false">IF(Salary_Calculation[[#This Row],[Source Row]]="","",IF(INDEX(Rider_Input[Calendar Days in Month],Salary_Calculation[[#This Row],[Source Row]])="","",INDEX(Rider_Input[Calendar Days in Month],Salary_Calculation[[#This Row],[Source Row]])))</f>
        <v/>
      </c>
      <c r="F352" s="162" t="str">
        <f aca="false">IF(Salary_Calculation[[#This Row],[Source Row]]="","",IF(INDEX(Rider_Input[Working Days],Salary_Calculation[[#This Row],[Source Row]])="","",INDEX(Rider_Input[Working Days],Salary_Calculation[[#This Row],[Source Row]])))</f>
        <v/>
      </c>
      <c r="G352" s="165" t="str">
        <f aca="false">IF(Salary_Calculation[[#This Row],[Source Row]]="","",Std_Orders/Std_Days*N(Salary_Calculation[[#This Row],[Calendar Days]]))</f>
        <v/>
      </c>
      <c r="H352" s="165" t="str">
        <f aca="false">IF(Salary_Calculation[[#This Row],[Source Row]]="","",IF(N(Salary_Calculation[[#This Row],[Calendar Days]])&gt;0,Salary_Calculation[[#This Row],[Monthly Target Orders]]/N(Salary_Calculation[[#This Row],[Calendar Days]])*N(Salary_Calculation[[#This Row],[Working Days]]),0))</f>
        <v/>
      </c>
      <c r="I352" s="166" t="str">
        <f aca="false">IF(Salary_Calculation[[#This Row],[Source Row]]="","",IF(INDEX(Rider_Input[Completed Orders],Salary_Calculation[[#This Row],[Source Row]])="","",INDEX(Rider_Input[Completed Orders],Salary_Calculation[[#This Row],[Source Row]])))</f>
        <v/>
      </c>
      <c r="J352" s="165" t="str">
        <f aca="false">IF(Salary_Calculation[[#This Row],[Source Row]]="","",IF(Rate_Method="Fixed rate",Fixed_Rate,IF(N(Salary_Calculation[[#This Row],[Basic Payment]])&gt;0,N(Salary_Calculation[[#This Row],[Basic Payment]])/Std_Orders,0)))</f>
        <v/>
      </c>
      <c r="K352" s="165" t="str">
        <f aca="false">IF(Salary_Calculation[[#This Row],[Source Row]]="","",MAX(MIN(N(Salary_Calculation[[#This Row],[Completed Orders]]),Salary_Calculation[[#This Row],[Rider Target Orders]]),0))</f>
        <v/>
      </c>
      <c r="L352" s="164" t="str">
        <f aca="false">IF(Salary_Calculation[[#This Row],[Source Row]]="","",Salary_Calculation[[#This Row],[Orders Counted at Base Rate]]*Salary_Calculation[[#This Row],[Base Order Rate]])</f>
        <v/>
      </c>
      <c r="M352" s="165" t="str">
        <f aca="false">IF(Salary_Calculation[[#This Row],[Source Row]]="","",MAX(Salary_Calculation[[#This Row],[Rider Target Orders]]-N(Salary_Calculation[[#This Row],[Completed Orders]]),0))</f>
        <v/>
      </c>
      <c r="N352" s="164" t="str">
        <f aca="false">IF(Salary_Calculation[[#This Row],[Source Row]]="","",Salary_Calculation[[#This Row],[Missing Orders]]*Missing_Rate)</f>
        <v/>
      </c>
      <c r="O352" s="165" t="str">
        <f aca="false">IF(Salary_Calculation[[#This Row],[Source Row]]="","",MAX(N(Salary_Calculation[[#This Row],[Completed Orders]])-Salary_Calculation[[#This Row],[Rider Target Orders]],0))</f>
        <v/>
      </c>
      <c r="P352" s="164" t="str">
        <f aca="false">IF(Salary_Calculation[[#This Row],[Source Row]]="","",Salary_Calculation[[#This Row],[Extra Orders]]*Extra_Rate)</f>
        <v/>
      </c>
      <c r="Q352" s="164" t="str">
        <f aca="false">IF(Salary_Calculation[[#This Row],[Source Row]]="","",MAX(Salary_Calculation[[#This Row],[Salary Before Other Deductions]],0))</f>
        <v/>
      </c>
      <c r="R352" s="164" t="str">
        <f aca="false">IF(Salary_Calculation[[#This Row],[Source Row]]="","",N(INDEX(Rider_Input[missed_days_penalty],Salary_Calculation[[#This Row],[Source Row]])))</f>
        <v/>
      </c>
      <c r="S352" s="164" t="str">
        <f aca="false">IF(Salary_Calculation[[#This Row],[Source Row]]="","",N(INDEX(Rider_Input[Rider Balance / محفظة المندوب],Salary_Calculation[[#This Row],[Source Row]])))</f>
        <v/>
      </c>
      <c r="T352" s="164" t="str">
        <f aca="false">IF(Salary_Calculation[[#This Row],[Source Row]]="","",N(INDEX(Rider_Input[stacking_deduction / خصم الطلبات المتعددة],Salary_Calculation[[#This Row],[Source Row]])))</f>
        <v/>
      </c>
      <c r="U352" s="164" t="str">
        <f aca="false">IF(Salary_Calculation[[#This Row],[Source Row]]="","",N(INDEX(Rider_Input[Other Deductions],Salary_Calculation[[#This Row],[Source Row]])))</f>
        <v/>
      </c>
      <c r="V352" s="164" t="str">
        <f aca="false">IF(Salary_Calculation[[#This Row],[Source Row]]="","",N(Salary_Calculation[[#This Row],[missed_days_penalty]])+N(Salary_Calculation[[#This Row],[Rider Balance]])+N(Salary_Calculation[[#This Row],[stacking_deduction]])+N(Salary_Calculation[[#This Row],[Other Deductions]]))</f>
        <v/>
      </c>
      <c r="W352" s="167" t="str">
        <f aca="false">IF(Salary_Calculation[[#This Row],[Source Row]]="","",ROUND(MAX(Salary_Calculation[[#This Row],[Gross Salary Before Deductions]]-Salary_Calculation[[#This Row],[Total Deductions]],0),2))</f>
        <v/>
      </c>
      <c r="X352" s="164" t="str">
        <f aca="false">IF(Salary_Calculation[[#This Row],[Source Row]]="","",ROUND(MAX(Salary_Calculation[[#This Row],[Missing-Order Deduction]]-Salary_Calculation[[#This Row],[Earned Salary]],0),2))</f>
        <v/>
      </c>
      <c r="Y35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52" s="163" t="str">
        <f aca="false">IF(Salary_Calculation[[#This Row],[Source Row]]="","",IF(INDEX(Rider_Input[Notes],Salary_Calculation[[#This Row],[Source Row]])="","",INDEX(Rider_Input[Notes],Salary_Calculation[[#This Row],[Source Row]])))</f>
        <v/>
      </c>
      <c r="AA352" s="164" t="str">
        <f aca="false">IF(Salary_Calculation[[#This Row],[Source Row]]="","",Salary_Calculation[[#This Row],[Earned Salary]]-Salary_Calculation[[#This Row],[Missing-Order Deduction]]+Salary_Calculation[[#This Row],[Extra-Order Bonus]])</f>
        <v/>
      </c>
      <c r="AB352" s="164" t="str">
        <f aca="false">IF(Salary_Calculation[[#This Row],[Source Row]]="","",ROUND(Salary_Calculation[[#This Row],[Negative Balance / Amount Due from Rider]]+MAX(Salary_Calculation[[#This Row],[Total Deductions]]-Salary_Calculation[[#This Row],[Gross Salary Before Deductions]],0),2))</f>
        <v/>
      </c>
      <c r="AC35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52" s="164" t="str">
        <f aca="false">IF(Salary_Calculation[[#This Row],[Source Row]]="","",Salary_Calculation[[#This Row],[Rider Target Orders]]*Salary_Calculation[[#This Row],[Base Order Rate]])</f>
        <v/>
      </c>
      <c r="AE352" s="162" t="str">
        <f aca="false">IF(SUMPRODUCT(--(LEN(INDEX(Rider_Input[#Data],ROW()-ROW(Salary_Calculation[#Headers]),0))&gt;0))=0,"",ROW()-ROW(Salary_Calculation[#Headers]))</f>
        <v/>
      </c>
    </row>
    <row r="353" customFormat="false" ht="14.25" hidden="false" customHeight="false" outlineLevel="0" collapsed="false">
      <c r="A353" s="161" t="str">
        <f aca="false">IF(Salary_Calculation[[#This Row],[Source Row]]="","",IF(INDEX(Rider_Input[Salary Month],Salary_Calculation[[#This Row],[Source Row]])="","",INDEX(Rider_Input[Salary Month],Salary_Calculation[[#This Row],[Source Row]])))</f>
        <v/>
      </c>
      <c r="B353" s="162" t="str">
        <f aca="false">IF(Salary_Calculation[[#This Row],[Source Row]]="","",IF(INDEX(Rider_Input[Rider ID],Salary_Calculation[[#This Row],[Source Row]])="","",INDEX(Rider_Input[Rider ID],Salary_Calculation[[#This Row],[Source Row]])))</f>
        <v/>
      </c>
      <c r="C353" s="163" t="str">
        <f aca="false">IF(Salary_Calculation[[#This Row],[Source Row]]="","",IF(INDEX(Rider_Input[Rider Name],Salary_Calculation[[#This Row],[Source Row]])="","",INDEX(Rider_Input[Rider Name],Salary_Calculation[[#This Row],[Source Row]])))</f>
        <v/>
      </c>
      <c r="D353" s="164" t="str">
        <f aca="false">IF(Salary_Calculation[[#This Row],[Source Row]]="","",IF(INDEX(Rider_Input[Basic Payment],Salary_Calculation[[#This Row],[Source Row]])="","",INDEX(Rider_Input[Basic Payment],Salary_Calculation[[#This Row],[Source Row]])))</f>
        <v/>
      </c>
      <c r="E353" s="162" t="str">
        <f aca="false">IF(Salary_Calculation[[#This Row],[Source Row]]="","",IF(INDEX(Rider_Input[Calendar Days in Month],Salary_Calculation[[#This Row],[Source Row]])="","",INDEX(Rider_Input[Calendar Days in Month],Salary_Calculation[[#This Row],[Source Row]])))</f>
        <v/>
      </c>
      <c r="F353" s="162" t="str">
        <f aca="false">IF(Salary_Calculation[[#This Row],[Source Row]]="","",IF(INDEX(Rider_Input[Working Days],Salary_Calculation[[#This Row],[Source Row]])="","",INDEX(Rider_Input[Working Days],Salary_Calculation[[#This Row],[Source Row]])))</f>
        <v/>
      </c>
      <c r="G353" s="165" t="str">
        <f aca="false">IF(Salary_Calculation[[#This Row],[Source Row]]="","",Std_Orders/Std_Days*N(Salary_Calculation[[#This Row],[Calendar Days]]))</f>
        <v/>
      </c>
      <c r="H353" s="165" t="str">
        <f aca="false">IF(Salary_Calculation[[#This Row],[Source Row]]="","",IF(N(Salary_Calculation[[#This Row],[Calendar Days]])&gt;0,Salary_Calculation[[#This Row],[Monthly Target Orders]]/N(Salary_Calculation[[#This Row],[Calendar Days]])*N(Salary_Calculation[[#This Row],[Working Days]]),0))</f>
        <v/>
      </c>
      <c r="I353" s="166" t="str">
        <f aca="false">IF(Salary_Calculation[[#This Row],[Source Row]]="","",IF(INDEX(Rider_Input[Completed Orders],Salary_Calculation[[#This Row],[Source Row]])="","",INDEX(Rider_Input[Completed Orders],Salary_Calculation[[#This Row],[Source Row]])))</f>
        <v/>
      </c>
      <c r="J353" s="165" t="str">
        <f aca="false">IF(Salary_Calculation[[#This Row],[Source Row]]="","",IF(Rate_Method="Fixed rate",Fixed_Rate,IF(N(Salary_Calculation[[#This Row],[Basic Payment]])&gt;0,N(Salary_Calculation[[#This Row],[Basic Payment]])/Std_Orders,0)))</f>
        <v/>
      </c>
      <c r="K353" s="165" t="str">
        <f aca="false">IF(Salary_Calculation[[#This Row],[Source Row]]="","",MAX(MIN(N(Salary_Calculation[[#This Row],[Completed Orders]]),Salary_Calculation[[#This Row],[Rider Target Orders]]),0))</f>
        <v/>
      </c>
      <c r="L353" s="164" t="str">
        <f aca="false">IF(Salary_Calculation[[#This Row],[Source Row]]="","",Salary_Calculation[[#This Row],[Orders Counted at Base Rate]]*Salary_Calculation[[#This Row],[Base Order Rate]])</f>
        <v/>
      </c>
      <c r="M353" s="165" t="str">
        <f aca="false">IF(Salary_Calculation[[#This Row],[Source Row]]="","",MAX(Salary_Calculation[[#This Row],[Rider Target Orders]]-N(Salary_Calculation[[#This Row],[Completed Orders]]),0))</f>
        <v/>
      </c>
      <c r="N353" s="164" t="str">
        <f aca="false">IF(Salary_Calculation[[#This Row],[Source Row]]="","",Salary_Calculation[[#This Row],[Missing Orders]]*Missing_Rate)</f>
        <v/>
      </c>
      <c r="O353" s="165" t="str">
        <f aca="false">IF(Salary_Calculation[[#This Row],[Source Row]]="","",MAX(N(Salary_Calculation[[#This Row],[Completed Orders]])-Salary_Calculation[[#This Row],[Rider Target Orders]],0))</f>
        <v/>
      </c>
      <c r="P353" s="164" t="str">
        <f aca="false">IF(Salary_Calculation[[#This Row],[Source Row]]="","",Salary_Calculation[[#This Row],[Extra Orders]]*Extra_Rate)</f>
        <v/>
      </c>
      <c r="Q353" s="164" t="str">
        <f aca="false">IF(Salary_Calculation[[#This Row],[Source Row]]="","",MAX(Salary_Calculation[[#This Row],[Salary Before Other Deductions]],0))</f>
        <v/>
      </c>
      <c r="R353" s="164" t="str">
        <f aca="false">IF(Salary_Calculation[[#This Row],[Source Row]]="","",N(INDEX(Rider_Input[missed_days_penalty],Salary_Calculation[[#This Row],[Source Row]])))</f>
        <v/>
      </c>
      <c r="S353" s="164" t="str">
        <f aca="false">IF(Salary_Calculation[[#This Row],[Source Row]]="","",N(INDEX(Rider_Input[Rider Balance / محفظة المندوب],Salary_Calculation[[#This Row],[Source Row]])))</f>
        <v/>
      </c>
      <c r="T353" s="164" t="str">
        <f aca="false">IF(Salary_Calculation[[#This Row],[Source Row]]="","",N(INDEX(Rider_Input[stacking_deduction / خصم الطلبات المتعددة],Salary_Calculation[[#This Row],[Source Row]])))</f>
        <v/>
      </c>
      <c r="U353" s="164" t="str">
        <f aca="false">IF(Salary_Calculation[[#This Row],[Source Row]]="","",N(INDEX(Rider_Input[Other Deductions],Salary_Calculation[[#This Row],[Source Row]])))</f>
        <v/>
      </c>
      <c r="V353" s="164" t="str">
        <f aca="false">IF(Salary_Calculation[[#This Row],[Source Row]]="","",N(Salary_Calculation[[#This Row],[missed_days_penalty]])+N(Salary_Calculation[[#This Row],[Rider Balance]])+N(Salary_Calculation[[#This Row],[stacking_deduction]])+N(Salary_Calculation[[#This Row],[Other Deductions]]))</f>
        <v/>
      </c>
      <c r="W353" s="167" t="str">
        <f aca="false">IF(Salary_Calculation[[#This Row],[Source Row]]="","",ROUND(MAX(Salary_Calculation[[#This Row],[Gross Salary Before Deductions]]-Salary_Calculation[[#This Row],[Total Deductions]],0),2))</f>
        <v/>
      </c>
      <c r="X353" s="164" t="str">
        <f aca="false">IF(Salary_Calculation[[#This Row],[Source Row]]="","",ROUND(MAX(Salary_Calculation[[#This Row],[Missing-Order Deduction]]-Salary_Calculation[[#This Row],[Earned Salary]],0),2))</f>
        <v/>
      </c>
      <c r="Y35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53" s="163" t="str">
        <f aca="false">IF(Salary_Calculation[[#This Row],[Source Row]]="","",IF(INDEX(Rider_Input[Notes],Salary_Calculation[[#This Row],[Source Row]])="","",INDEX(Rider_Input[Notes],Salary_Calculation[[#This Row],[Source Row]])))</f>
        <v/>
      </c>
      <c r="AA353" s="164" t="str">
        <f aca="false">IF(Salary_Calculation[[#This Row],[Source Row]]="","",Salary_Calculation[[#This Row],[Earned Salary]]-Salary_Calculation[[#This Row],[Missing-Order Deduction]]+Salary_Calculation[[#This Row],[Extra-Order Bonus]])</f>
        <v/>
      </c>
      <c r="AB353" s="164" t="str">
        <f aca="false">IF(Salary_Calculation[[#This Row],[Source Row]]="","",ROUND(Salary_Calculation[[#This Row],[Negative Balance / Amount Due from Rider]]+MAX(Salary_Calculation[[#This Row],[Total Deductions]]-Salary_Calculation[[#This Row],[Gross Salary Before Deductions]],0),2))</f>
        <v/>
      </c>
      <c r="AC35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53" s="164" t="str">
        <f aca="false">IF(Salary_Calculation[[#This Row],[Source Row]]="","",Salary_Calculation[[#This Row],[Rider Target Orders]]*Salary_Calculation[[#This Row],[Base Order Rate]])</f>
        <v/>
      </c>
      <c r="AE353" s="162" t="str">
        <f aca="false">IF(SUMPRODUCT(--(LEN(INDEX(Rider_Input[#Data],ROW()-ROW(Salary_Calculation[#Headers]),0))&gt;0))=0,"",ROW()-ROW(Salary_Calculation[#Headers]))</f>
        <v/>
      </c>
    </row>
    <row r="354" customFormat="false" ht="14.25" hidden="false" customHeight="false" outlineLevel="0" collapsed="false">
      <c r="A354" s="161" t="str">
        <f aca="false">IF(Salary_Calculation[[#This Row],[Source Row]]="","",IF(INDEX(Rider_Input[Salary Month],Salary_Calculation[[#This Row],[Source Row]])="","",INDEX(Rider_Input[Salary Month],Salary_Calculation[[#This Row],[Source Row]])))</f>
        <v/>
      </c>
      <c r="B354" s="162" t="str">
        <f aca="false">IF(Salary_Calculation[[#This Row],[Source Row]]="","",IF(INDEX(Rider_Input[Rider ID],Salary_Calculation[[#This Row],[Source Row]])="","",INDEX(Rider_Input[Rider ID],Salary_Calculation[[#This Row],[Source Row]])))</f>
        <v/>
      </c>
      <c r="C354" s="163" t="str">
        <f aca="false">IF(Salary_Calculation[[#This Row],[Source Row]]="","",IF(INDEX(Rider_Input[Rider Name],Salary_Calculation[[#This Row],[Source Row]])="","",INDEX(Rider_Input[Rider Name],Salary_Calculation[[#This Row],[Source Row]])))</f>
        <v/>
      </c>
      <c r="D354" s="164" t="str">
        <f aca="false">IF(Salary_Calculation[[#This Row],[Source Row]]="","",IF(INDEX(Rider_Input[Basic Payment],Salary_Calculation[[#This Row],[Source Row]])="","",INDEX(Rider_Input[Basic Payment],Salary_Calculation[[#This Row],[Source Row]])))</f>
        <v/>
      </c>
      <c r="E354" s="162" t="str">
        <f aca="false">IF(Salary_Calculation[[#This Row],[Source Row]]="","",IF(INDEX(Rider_Input[Calendar Days in Month],Salary_Calculation[[#This Row],[Source Row]])="","",INDEX(Rider_Input[Calendar Days in Month],Salary_Calculation[[#This Row],[Source Row]])))</f>
        <v/>
      </c>
      <c r="F354" s="162" t="str">
        <f aca="false">IF(Salary_Calculation[[#This Row],[Source Row]]="","",IF(INDEX(Rider_Input[Working Days],Salary_Calculation[[#This Row],[Source Row]])="","",INDEX(Rider_Input[Working Days],Salary_Calculation[[#This Row],[Source Row]])))</f>
        <v/>
      </c>
      <c r="G354" s="165" t="str">
        <f aca="false">IF(Salary_Calculation[[#This Row],[Source Row]]="","",Std_Orders/Std_Days*N(Salary_Calculation[[#This Row],[Calendar Days]]))</f>
        <v/>
      </c>
      <c r="H354" s="165" t="str">
        <f aca="false">IF(Salary_Calculation[[#This Row],[Source Row]]="","",IF(N(Salary_Calculation[[#This Row],[Calendar Days]])&gt;0,Salary_Calculation[[#This Row],[Monthly Target Orders]]/N(Salary_Calculation[[#This Row],[Calendar Days]])*N(Salary_Calculation[[#This Row],[Working Days]]),0))</f>
        <v/>
      </c>
      <c r="I354" s="166" t="str">
        <f aca="false">IF(Salary_Calculation[[#This Row],[Source Row]]="","",IF(INDEX(Rider_Input[Completed Orders],Salary_Calculation[[#This Row],[Source Row]])="","",INDEX(Rider_Input[Completed Orders],Salary_Calculation[[#This Row],[Source Row]])))</f>
        <v/>
      </c>
      <c r="J354" s="165" t="str">
        <f aca="false">IF(Salary_Calculation[[#This Row],[Source Row]]="","",IF(Rate_Method="Fixed rate",Fixed_Rate,IF(N(Salary_Calculation[[#This Row],[Basic Payment]])&gt;0,N(Salary_Calculation[[#This Row],[Basic Payment]])/Std_Orders,0)))</f>
        <v/>
      </c>
      <c r="K354" s="165" t="str">
        <f aca="false">IF(Salary_Calculation[[#This Row],[Source Row]]="","",MAX(MIN(N(Salary_Calculation[[#This Row],[Completed Orders]]),Salary_Calculation[[#This Row],[Rider Target Orders]]),0))</f>
        <v/>
      </c>
      <c r="L354" s="164" t="str">
        <f aca="false">IF(Salary_Calculation[[#This Row],[Source Row]]="","",Salary_Calculation[[#This Row],[Orders Counted at Base Rate]]*Salary_Calculation[[#This Row],[Base Order Rate]])</f>
        <v/>
      </c>
      <c r="M354" s="165" t="str">
        <f aca="false">IF(Salary_Calculation[[#This Row],[Source Row]]="","",MAX(Salary_Calculation[[#This Row],[Rider Target Orders]]-N(Salary_Calculation[[#This Row],[Completed Orders]]),0))</f>
        <v/>
      </c>
      <c r="N354" s="164" t="str">
        <f aca="false">IF(Salary_Calculation[[#This Row],[Source Row]]="","",Salary_Calculation[[#This Row],[Missing Orders]]*Missing_Rate)</f>
        <v/>
      </c>
      <c r="O354" s="165" t="str">
        <f aca="false">IF(Salary_Calculation[[#This Row],[Source Row]]="","",MAX(N(Salary_Calculation[[#This Row],[Completed Orders]])-Salary_Calculation[[#This Row],[Rider Target Orders]],0))</f>
        <v/>
      </c>
      <c r="P354" s="164" t="str">
        <f aca="false">IF(Salary_Calculation[[#This Row],[Source Row]]="","",Salary_Calculation[[#This Row],[Extra Orders]]*Extra_Rate)</f>
        <v/>
      </c>
      <c r="Q354" s="164" t="str">
        <f aca="false">IF(Salary_Calculation[[#This Row],[Source Row]]="","",MAX(Salary_Calculation[[#This Row],[Salary Before Other Deductions]],0))</f>
        <v/>
      </c>
      <c r="R354" s="164" t="str">
        <f aca="false">IF(Salary_Calculation[[#This Row],[Source Row]]="","",N(INDEX(Rider_Input[missed_days_penalty],Salary_Calculation[[#This Row],[Source Row]])))</f>
        <v/>
      </c>
      <c r="S354" s="164" t="str">
        <f aca="false">IF(Salary_Calculation[[#This Row],[Source Row]]="","",N(INDEX(Rider_Input[Rider Balance / محفظة المندوب],Salary_Calculation[[#This Row],[Source Row]])))</f>
        <v/>
      </c>
      <c r="T354" s="164" t="str">
        <f aca="false">IF(Salary_Calculation[[#This Row],[Source Row]]="","",N(INDEX(Rider_Input[stacking_deduction / خصم الطلبات المتعددة],Salary_Calculation[[#This Row],[Source Row]])))</f>
        <v/>
      </c>
      <c r="U354" s="164" t="str">
        <f aca="false">IF(Salary_Calculation[[#This Row],[Source Row]]="","",N(INDEX(Rider_Input[Other Deductions],Salary_Calculation[[#This Row],[Source Row]])))</f>
        <v/>
      </c>
      <c r="V354" s="164" t="str">
        <f aca="false">IF(Salary_Calculation[[#This Row],[Source Row]]="","",N(Salary_Calculation[[#This Row],[missed_days_penalty]])+N(Salary_Calculation[[#This Row],[Rider Balance]])+N(Salary_Calculation[[#This Row],[stacking_deduction]])+N(Salary_Calculation[[#This Row],[Other Deductions]]))</f>
        <v/>
      </c>
      <c r="W354" s="167" t="str">
        <f aca="false">IF(Salary_Calculation[[#This Row],[Source Row]]="","",ROUND(MAX(Salary_Calculation[[#This Row],[Gross Salary Before Deductions]]-Salary_Calculation[[#This Row],[Total Deductions]],0),2))</f>
        <v/>
      </c>
      <c r="X354" s="164" t="str">
        <f aca="false">IF(Salary_Calculation[[#This Row],[Source Row]]="","",ROUND(MAX(Salary_Calculation[[#This Row],[Missing-Order Deduction]]-Salary_Calculation[[#This Row],[Earned Salary]],0),2))</f>
        <v/>
      </c>
      <c r="Y35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54" s="163" t="str">
        <f aca="false">IF(Salary_Calculation[[#This Row],[Source Row]]="","",IF(INDEX(Rider_Input[Notes],Salary_Calculation[[#This Row],[Source Row]])="","",INDEX(Rider_Input[Notes],Salary_Calculation[[#This Row],[Source Row]])))</f>
        <v/>
      </c>
      <c r="AA354" s="164" t="str">
        <f aca="false">IF(Salary_Calculation[[#This Row],[Source Row]]="","",Salary_Calculation[[#This Row],[Earned Salary]]-Salary_Calculation[[#This Row],[Missing-Order Deduction]]+Salary_Calculation[[#This Row],[Extra-Order Bonus]])</f>
        <v/>
      </c>
      <c r="AB354" s="164" t="str">
        <f aca="false">IF(Salary_Calculation[[#This Row],[Source Row]]="","",ROUND(Salary_Calculation[[#This Row],[Negative Balance / Amount Due from Rider]]+MAX(Salary_Calculation[[#This Row],[Total Deductions]]-Salary_Calculation[[#This Row],[Gross Salary Before Deductions]],0),2))</f>
        <v/>
      </c>
      <c r="AC35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54" s="164" t="str">
        <f aca="false">IF(Salary_Calculation[[#This Row],[Source Row]]="","",Salary_Calculation[[#This Row],[Rider Target Orders]]*Salary_Calculation[[#This Row],[Base Order Rate]])</f>
        <v/>
      </c>
      <c r="AE354" s="162" t="str">
        <f aca="false">IF(SUMPRODUCT(--(LEN(INDEX(Rider_Input[#Data],ROW()-ROW(Salary_Calculation[#Headers]),0))&gt;0))=0,"",ROW()-ROW(Salary_Calculation[#Headers]))</f>
        <v/>
      </c>
    </row>
    <row r="355" customFormat="false" ht="14.25" hidden="false" customHeight="false" outlineLevel="0" collapsed="false">
      <c r="A355" s="161" t="str">
        <f aca="false">IF(Salary_Calculation[[#This Row],[Source Row]]="","",IF(INDEX(Rider_Input[Salary Month],Salary_Calculation[[#This Row],[Source Row]])="","",INDEX(Rider_Input[Salary Month],Salary_Calculation[[#This Row],[Source Row]])))</f>
        <v/>
      </c>
      <c r="B355" s="162" t="str">
        <f aca="false">IF(Salary_Calculation[[#This Row],[Source Row]]="","",IF(INDEX(Rider_Input[Rider ID],Salary_Calculation[[#This Row],[Source Row]])="","",INDEX(Rider_Input[Rider ID],Salary_Calculation[[#This Row],[Source Row]])))</f>
        <v/>
      </c>
      <c r="C355" s="163" t="str">
        <f aca="false">IF(Salary_Calculation[[#This Row],[Source Row]]="","",IF(INDEX(Rider_Input[Rider Name],Salary_Calculation[[#This Row],[Source Row]])="","",INDEX(Rider_Input[Rider Name],Salary_Calculation[[#This Row],[Source Row]])))</f>
        <v/>
      </c>
      <c r="D355" s="164" t="str">
        <f aca="false">IF(Salary_Calculation[[#This Row],[Source Row]]="","",IF(INDEX(Rider_Input[Basic Payment],Salary_Calculation[[#This Row],[Source Row]])="","",INDEX(Rider_Input[Basic Payment],Salary_Calculation[[#This Row],[Source Row]])))</f>
        <v/>
      </c>
      <c r="E355" s="162" t="str">
        <f aca="false">IF(Salary_Calculation[[#This Row],[Source Row]]="","",IF(INDEX(Rider_Input[Calendar Days in Month],Salary_Calculation[[#This Row],[Source Row]])="","",INDEX(Rider_Input[Calendar Days in Month],Salary_Calculation[[#This Row],[Source Row]])))</f>
        <v/>
      </c>
      <c r="F355" s="162" t="str">
        <f aca="false">IF(Salary_Calculation[[#This Row],[Source Row]]="","",IF(INDEX(Rider_Input[Working Days],Salary_Calculation[[#This Row],[Source Row]])="","",INDEX(Rider_Input[Working Days],Salary_Calculation[[#This Row],[Source Row]])))</f>
        <v/>
      </c>
      <c r="G355" s="165" t="str">
        <f aca="false">IF(Salary_Calculation[[#This Row],[Source Row]]="","",Std_Orders/Std_Days*N(Salary_Calculation[[#This Row],[Calendar Days]]))</f>
        <v/>
      </c>
      <c r="H355" s="165" t="str">
        <f aca="false">IF(Salary_Calculation[[#This Row],[Source Row]]="","",IF(N(Salary_Calculation[[#This Row],[Calendar Days]])&gt;0,Salary_Calculation[[#This Row],[Monthly Target Orders]]/N(Salary_Calculation[[#This Row],[Calendar Days]])*N(Salary_Calculation[[#This Row],[Working Days]]),0))</f>
        <v/>
      </c>
      <c r="I355" s="166" t="str">
        <f aca="false">IF(Salary_Calculation[[#This Row],[Source Row]]="","",IF(INDEX(Rider_Input[Completed Orders],Salary_Calculation[[#This Row],[Source Row]])="","",INDEX(Rider_Input[Completed Orders],Salary_Calculation[[#This Row],[Source Row]])))</f>
        <v/>
      </c>
      <c r="J355" s="165" t="str">
        <f aca="false">IF(Salary_Calculation[[#This Row],[Source Row]]="","",IF(Rate_Method="Fixed rate",Fixed_Rate,IF(N(Salary_Calculation[[#This Row],[Basic Payment]])&gt;0,N(Salary_Calculation[[#This Row],[Basic Payment]])/Std_Orders,0)))</f>
        <v/>
      </c>
      <c r="K355" s="165" t="str">
        <f aca="false">IF(Salary_Calculation[[#This Row],[Source Row]]="","",MAX(MIN(N(Salary_Calculation[[#This Row],[Completed Orders]]),Salary_Calculation[[#This Row],[Rider Target Orders]]),0))</f>
        <v/>
      </c>
      <c r="L355" s="164" t="str">
        <f aca="false">IF(Salary_Calculation[[#This Row],[Source Row]]="","",Salary_Calculation[[#This Row],[Orders Counted at Base Rate]]*Salary_Calculation[[#This Row],[Base Order Rate]])</f>
        <v/>
      </c>
      <c r="M355" s="165" t="str">
        <f aca="false">IF(Salary_Calculation[[#This Row],[Source Row]]="","",MAX(Salary_Calculation[[#This Row],[Rider Target Orders]]-N(Salary_Calculation[[#This Row],[Completed Orders]]),0))</f>
        <v/>
      </c>
      <c r="N355" s="164" t="str">
        <f aca="false">IF(Salary_Calculation[[#This Row],[Source Row]]="","",Salary_Calculation[[#This Row],[Missing Orders]]*Missing_Rate)</f>
        <v/>
      </c>
      <c r="O355" s="165" t="str">
        <f aca="false">IF(Salary_Calculation[[#This Row],[Source Row]]="","",MAX(N(Salary_Calculation[[#This Row],[Completed Orders]])-Salary_Calculation[[#This Row],[Rider Target Orders]],0))</f>
        <v/>
      </c>
      <c r="P355" s="164" t="str">
        <f aca="false">IF(Salary_Calculation[[#This Row],[Source Row]]="","",Salary_Calculation[[#This Row],[Extra Orders]]*Extra_Rate)</f>
        <v/>
      </c>
      <c r="Q355" s="164" t="str">
        <f aca="false">IF(Salary_Calculation[[#This Row],[Source Row]]="","",MAX(Salary_Calculation[[#This Row],[Salary Before Other Deductions]],0))</f>
        <v/>
      </c>
      <c r="R355" s="164" t="str">
        <f aca="false">IF(Salary_Calculation[[#This Row],[Source Row]]="","",N(INDEX(Rider_Input[missed_days_penalty],Salary_Calculation[[#This Row],[Source Row]])))</f>
        <v/>
      </c>
      <c r="S355" s="164" t="str">
        <f aca="false">IF(Salary_Calculation[[#This Row],[Source Row]]="","",N(INDEX(Rider_Input[Rider Balance / محفظة المندوب],Salary_Calculation[[#This Row],[Source Row]])))</f>
        <v/>
      </c>
      <c r="T355" s="164" t="str">
        <f aca="false">IF(Salary_Calculation[[#This Row],[Source Row]]="","",N(INDEX(Rider_Input[stacking_deduction / خصم الطلبات المتعددة],Salary_Calculation[[#This Row],[Source Row]])))</f>
        <v/>
      </c>
      <c r="U355" s="164" t="str">
        <f aca="false">IF(Salary_Calculation[[#This Row],[Source Row]]="","",N(INDEX(Rider_Input[Other Deductions],Salary_Calculation[[#This Row],[Source Row]])))</f>
        <v/>
      </c>
      <c r="V355" s="164" t="str">
        <f aca="false">IF(Salary_Calculation[[#This Row],[Source Row]]="","",N(Salary_Calculation[[#This Row],[missed_days_penalty]])+N(Salary_Calculation[[#This Row],[Rider Balance]])+N(Salary_Calculation[[#This Row],[stacking_deduction]])+N(Salary_Calculation[[#This Row],[Other Deductions]]))</f>
        <v/>
      </c>
      <c r="W355" s="167" t="str">
        <f aca="false">IF(Salary_Calculation[[#This Row],[Source Row]]="","",ROUND(MAX(Salary_Calculation[[#This Row],[Gross Salary Before Deductions]]-Salary_Calculation[[#This Row],[Total Deductions]],0),2))</f>
        <v/>
      </c>
      <c r="X355" s="164" t="str">
        <f aca="false">IF(Salary_Calculation[[#This Row],[Source Row]]="","",ROUND(MAX(Salary_Calculation[[#This Row],[Missing-Order Deduction]]-Salary_Calculation[[#This Row],[Earned Salary]],0),2))</f>
        <v/>
      </c>
      <c r="Y35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55" s="163" t="str">
        <f aca="false">IF(Salary_Calculation[[#This Row],[Source Row]]="","",IF(INDEX(Rider_Input[Notes],Salary_Calculation[[#This Row],[Source Row]])="","",INDEX(Rider_Input[Notes],Salary_Calculation[[#This Row],[Source Row]])))</f>
        <v/>
      </c>
      <c r="AA355" s="164" t="str">
        <f aca="false">IF(Salary_Calculation[[#This Row],[Source Row]]="","",Salary_Calculation[[#This Row],[Earned Salary]]-Salary_Calculation[[#This Row],[Missing-Order Deduction]]+Salary_Calculation[[#This Row],[Extra-Order Bonus]])</f>
        <v/>
      </c>
      <c r="AB355" s="164" t="str">
        <f aca="false">IF(Salary_Calculation[[#This Row],[Source Row]]="","",ROUND(Salary_Calculation[[#This Row],[Negative Balance / Amount Due from Rider]]+MAX(Salary_Calculation[[#This Row],[Total Deductions]]-Salary_Calculation[[#This Row],[Gross Salary Before Deductions]],0),2))</f>
        <v/>
      </c>
      <c r="AC35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55" s="164" t="str">
        <f aca="false">IF(Salary_Calculation[[#This Row],[Source Row]]="","",Salary_Calculation[[#This Row],[Rider Target Orders]]*Salary_Calculation[[#This Row],[Base Order Rate]])</f>
        <v/>
      </c>
      <c r="AE355" s="162" t="str">
        <f aca="false">IF(SUMPRODUCT(--(LEN(INDEX(Rider_Input[#Data],ROW()-ROW(Salary_Calculation[#Headers]),0))&gt;0))=0,"",ROW()-ROW(Salary_Calculation[#Headers]))</f>
        <v/>
      </c>
    </row>
    <row r="356" customFormat="false" ht="14.25" hidden="false" customHeight="false" outlineLevel="0" collapsed="false">
      <c r="A356" s="161" t="str">
        <f aca="false">IF(Salary_Calculation[[#This Row],[Source Row]]="","",IF(INDEX(Rider_Input[Salary Month],Salary_Calculation[[#This Row],[Source Row]])="","",INDEX(Rider_Input[Salary Month],Salary_Calculation[[#This Row],[Source Row]])))</f>
        <v/>
      </c>
      <c r="B356" s="162" t="str">
        <f aca="false">IF(Salary_Calculation[[#This Row],[Source Row]]="","",IF(INDEX(Rider_Input[Rider ID],Salary_Calculation[[#This Row],[Source Row]])="","",INDEX(Rider_Input[Rider ID],Salary_Calculation[[#This Row],[Source Row]])))</f>
        <v/>
      </c>
      <c r="C356" s="163" t="str">
        <f aca="false">IF(Salary_Calculation[[#This Row],[Source Row]]="","",IF(INDEX(Rider_Input[Rider Name],Salary_Calculation[[#This Row],[Source Row]])="","",INDEX(Rider_Input[Rider Name],Salary_Calculation[[#This Row],[Source Row]])))</f>
        <v/>
      </c>
      <c r="D356" s="164" t="str">
        <f aca="false">IF(Salary_Calculation[[#This Row],[Source Row]]="","",IF(INDEX(Rider_Input[Basic Payment],Salary_Calculation[[#This Row],[Source Row]])="","",INDEX(Rider_Input[Basic Payment],Salary_Calculation[[#This Row],[Source Row]])))</f>
        <v/>
      </c>
      <c r="E356" s="162" t="str">
        <f aca="false">IF(Salary_Calculation[[#This Row],[Source Row]]="","",IF(INDEX(Rider_Input[Calendar Days in Month],Salary_Calculation[[#This Row],[Source Row]])="","",INDEX(Rider_Input[Calendar Days in Month],Salary_Calculation[[#This Row],[Source Row]])))</f>
        <v/>
      </c>
      <c r="F356" s="162" t="str">
        <f aca="false">IF(Salary_Calculation[[#This Row],[Source Row]]="","",IF(INDEX(Rider_Input[Working Days],Salary_Calculation[[#This Row],[Source Row]])="","",INDEX(Rider_Input[Working Days],Salary_Calculation[[#This Row],[Source Row]])))</f>
        <v/>
      </c>
      <c r="G356" s="165" t="str">
        <f aca="false">IF(Salary_Calculation[[#This Row],[Source Row]]="","",Std_Orders/Std_Days*N(Salary_Calculation[[#This Row],[Calendar Days]]))</f>
        <v/>
      </c>
      <c r="H356" s="165" t="str">
        <f aca="false">IF(Salary_Calculation[[#This Row],[Source Row]]="","",IF(N(Salary_Calculation[[#This Row],[Calendar Days]])&gt;0,Salary_Calculation[[#This Row],[Monthly Target Orders]]/N(Salary_Calculation[[#This Row],[Calendar Days]])*N(Salary_Calculation[[#This Row],[Working Days]]),0))</f>
        <v/>
      </c>
      <c r="I356" s="166" t="str">
        <f aca="false">IF(Salary_Calculation[[#This Row],[Source Row]]="","",IF(INDEX(Rider_Input[Completed Orders],Salary_Calculation[[#This Row],[Source Row]])="","",INDEX(Rider_Input[Completed Orders],Salary_Calculation[[#This Row],[Source Row]])))</f>
        <v/>
      </c>
      <c r="J356" s="165" t="str">
        <f aca="false">IF(Salary_Calculation[[#This Row],[Source Row]]="","",IF(Rate_Method="Fixed rate",Fixed_Rate,IF(N(Salary_Calculation[[#This Row],[Basic Payment]])&gt;0,N(Salary_Calculation[[#This Row],[Basic Payment]])/Std_Orders,0)))</f>
        <v/>
      </c>
      <c r="K356" s="165" t="str">
        <f aca="false">IF(Salary_Calculation[[#This Row],[Source Row]]="","",MAX(MIN(N(Salary_Calculation[[#This Row],[Completed Orders]]),Salary_Calculation[[#This Row],[Rider Target Orders]]),0))</f>
        <v/>
      </c>
      <c r="L356" s="164" t="str">
        <f aca="false">IF(Salary_Calculation[[#This Row],[Source Row]]="","",Salary_Calculation[[#This Row],[Orders Counted at Base Rate]]*Salary_Calculation[[#This Row],[Base Order Rate]])</f>
        <v/>
      </c>
      <c r="M356" s="165" t="str">
        <f aca="false">IF(Salary_Calculation[[#This Row],[Source Row]]="","",MAX(Salary_Calculation[[#This Row],[Rider Target Orders]]-N(Salary_Calculation[[#This Row],[Completed Orders]]),0))</f>
        <v/>
      </c>
      <c r="N356" s="164" t="str">
        <f aca="false">IF(Salary_Calculation[[#This Row],[Source Row]]="","",Salary_Calculation[[#This Row],[Missing Orders]]*Missing_Rate)</f>
        <v/>
      </c>
      <c r="O356" s="165" t="str">
        <f aca="false">IF(Salary_Calculation[[#This Row],[Source Row]]="","",MAX(N(Salary_Calculation[[#This Row],[Completed Orders]])-Salary_Calculation[[#This Row],[Rider Target Orders]],0))</f>
        <v/>
      </c>
      <c r="P356" s="164" t="str">
        <f aca="false">IF(Salary_Calculation[[#This Row],[Source Row]]="","",Salary_Calculation[[#This Row],[Extra Orders]]*Extra_Rate)</f>
        <v/>
      </c>
      <c r="Q356" s="164" t="str">
        <f aca="false">IF(Salary_Calculation[[#This Row],[Source Row]]="","",MAX(Salary_Calculation[[#This Row],[Salary Before Other Deductions]],0))</f>
        <v/>
      </c>
      <c r="R356" s="164" t="str">
        <f aca="false">IF(Salary_Calculation[[#This Row],[Source Row]]="","",N(INDEX(Rider_Input[missed_days_penalty],Salary_Calculation[[#This Row],[Source Row]])))</f>
        <v/>
      </c>
      <c r="S356" s="164" t="str">
        <f aca="false">IF(Salary_Calculation[[#This Row],[Source Row]]="","",N(INDEX(Rider_Input[Rider Balance / محفظة المندوب],Salary_Calculation[[#This Row],[Source Row]])))</f>
        <v/>
      </c>
      <c r="T356" s="164" t="str">
        <f aca="false">IF(Salary_Calculation[[#This Row],[Source Row]]="","",N(INDEX(Rider_Input[stacking_deduction / خصم الطلبات المتعددة],Salary_Calculation[[#This Row],[Source Row]])))</f>
        <v/>
      </c>
      <c r="U356" s="164" t="str">
        <f aca="false">IF(Salary_Calculation[[#This Row],[Source Row]]="","",N(INDEX(Rider_Input[Other Deductions],Salary_Calculation[[#This Row],[Source Row]])))</f>
        <v/>
      </c>
      <c r="V356" s="164" t="str">
        <f aca="false">IF(Salary_Calculation[[#This Row],[Source Row]]="","",N(Salary_Calculation[[#This Row],[missed_days_penalty]])+N(Salary_Calculation[[#This Row],[Rider Balance]])+N(Salary_Calculation[[#This Row],[stacking_deduction]])+N(Salary_Calculation[[#This Row],[Other Deductions]]))</f>
        <v/>
      </c>
      <c r="W356" s="167" t="str">
        <f aca="false">IF(Salary_Calculation[[#This Row],[Source Row]]="","",ROUND(MAX(Salary_Calculation[[#This Row],[Gross Salary Before Deductions]]-Salary_Calculation[[#This Row],[Total Deductions]],0),2))</f>
        <v/>
      </c>
      <c r="X356" s="164" t="str">
        <f aca="false">IF(Salary_Calculation[[#This Row],[Source Row]]="","",ROUND(MAX(Salary_Calculation[[#This Row],[Missing-Order Deduction]]-Salary_Calculation[[#This Row],[Earned Salary]],0),2))</f>
        <v/>
      </c>
      <c r="Y35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56" s="163" t="str">
        <f aca="false">IF(Salary_Calculation[[#This Row],[Source Row]]="","",IF(INDEX(Rider_Input[Notes],Salary_Calculation[[#This Row],[Source Row]])="","",INDEX(Rider_Input[Notes],Salary_Calculation[[#This Row],[Source Row]])))</f>
        <v/>
      </c>
      <c r="AA356" s="164" t="str">
        <f aca="false">IF(Salary_Calculation[[#This Row],[Source Row]]="","",Salary_Calculation[[#This Row],[Earned Salary]]-Salary_Calculation[[#This Row],[Missing-Order Deduction]]+Salary_Calculation[[#This Row],[Extra-Order Bonus]])</f>
        <v/>
      </c>
      <c r="AB356" s="164" t="str">
        <f aca="false">IF(Salary_Calculation[[#This Row],[Source Row]]="","",ROUND(Salary_Calculation[[#This Row],[Negative Balance / Amount Due from Rider]]+MAX(Salary_Calculation[[#This Row],[Total Deductions]]-Salary_Calculation[[#This Row],[Gross Salary Before Deductions]],0),2))</f>
        <v/>
      </c>
      <c r="AC35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56" s="164" t="str">
        <f aca="false">IF(Salary_Calculation[[#This Row],[Source Row]]="","",Salary_Calculation[[#This Row],[Rider Target Orders]]*Salary_Calculation[[#This Row],[Base Order Rate]])</f>
        <v/>
      </c>
      <c r="AE356" s="162" t="str">
        <f aca="false">IF(SUMPRODUCT(--(LEN(INDEX(Rider_Input[#Data],ROW()-ROW(Salary_Calculation[#Headers]),0))&gt;0))=0,"",ROW()-ROW(Salary_Calculation[#Headers]))</f>
        <v/>
      </c>
    </row>
    <row r="357" customFormat="false" ht="14.25" hidden="false" customHeight="false" outlineLevel="0" collapsed="false">
      <c r="A357" s="161" t="str">
        <f aca="false">IF(Salary_Calculation[[#This Row],[Source Row]]="","",IF(INDEX(Rider_Input[Salary Month],Salary_Calculation[[#This Row],[Source Row]])="","",INDEX(Rider_Input[Salary Month],Salary_Calculation[[#This Row],[Source Row]])))</f>
        <v/>
      </c>
      <c r="B357" s="162" t="str">
        <f aca="false">IF(Salary_Calculation[[#This Row],[Source Row]]="","",IF(INDEX(Rider_Input[Rider ID],Salary_Calculation[[#This Row],[Source Row]])="","",INDEX(Rider_Input[Rider ID],Salary_Calculation[[#This Row],[Source Row]])))</f>
        <v/>
      </c>
      <c r="C357" s="163" t="str">
        <f aca="false">IF(Salary_Calculation[[#This Row],[Source Row]]="","",IF(INDEX(Rider_Input[Rider Name],Salary_Calculation[[#This Row],[Source Row]])="","",INDEX(Rider_Input[Rider Name],Salary_Calculation[[#This Row],[Source Row]])))</f>
        <v/>
      </c>
      <c r="D357" s="164" t="str">
        <f aca="false">IF(Salary_Calculation[[#This Row],[Source Row]]="","",IF(INDEX(Rider_Input[Basic Payment],Salary_Calculation[[#This Row],[Source Row]])="","",INDEX(Rider_Input[Basic Payment],Salary_Calculation[[#This Row],[Source Row]])))</f>
        <v/>
      </c>
      <c r="E357" s="162" t="str">
        <f aca="false">IF(Salary_Calculation[[#This Row],[Source Row]]="","",IF(INDEX(Rider_Input[Calendar Days in Month],Salary_Calculation[[#This Row],[Source Row]])="","",INDEX(Rider_Input[Calendar Days in Month],Salary_Calculation[[#This Row],[Source Row]])))</f>
        <v/>
      </c>
      <c r="F357" s="162" t="str">
        <f aca="false">IF(Salary_Calculation[[#This Row],[Source Row]]="","",IF(INDEX(Rider_Input[Working Days],Salary_Calculation[[#This Row],[Source Row]])="","",INDEX(Rider_Input[Working Days],Salary_Calculation[[#This Row],[Source Row]])))</f>
        <v/>
      </c>
      <c r="G357" s="165" t="str">
        <f aca="false">IF(Salary_Calculation[[#This Row],[Source Row]]="","",Std_Orders/Std_Days*N(Salary_Calculation[[#This Row],[Calendar Days]]))</f>
        <v/>
      </c>
      <c r="H357" s="165" t="str">
        <f aca="false">IF(Salary_Calculation[[#This Row],[Source Row]]="","",IF(N(Salary_Calculation[[#This Row],[Calendar Days]])&gt;0,Salary_Calculation[[#This Row],[Monthly Target Orders]]/N(Salary_Calculation[[#This Row],[Calendar Days]])*N(Salary_Calculation[[#This Row],[Working Days]]),0))</f>
        <v/>
      </c>
      <c r="I357" s="166" t="str">
        <f aca="false">IF(Salary_Calculation[[#This Row],[Source Row]]="","",IF(INDEX(Rider_Input[Completed Orders],Salary_Calculation[[#This Row],[Source Row]])="","",INDEX(Rider_Input[Completed Orders],Salary_Calculation[[#This Row],[Source Row]])))</f>
        <v/>
      </c>
      <c r="J357" s="165" t="str">
        <f aca="false">IF(Salary_Calculation[[#This Row],[Source Row]]="","",IF(Rate_Method="Fixed rate",Fixed_Rate,IF(N(Salary_Calculation[[#This Row],[Basic Payment]])&gt;0,N(Salary_Calculation[[#This Row],[Basic Payment]])/Std_Orders,0)))</f>
        <v/>
      </c>
      <c r="K357" s="165" t="str">
        <f aca="false">IF(Salary_Calculation[[#This Row],[Source Row]]="","",MAX(MIN(N(Salary_Calculation[[#This Row],[Completed Orders]]),Salary_Calculation[[#This Row],[Rider Target Orders]]),0))</f>
        <v/>
      </c>
      <c r="L357" s="164" t="str">
        <f aca="false">IF(Salary_Calculation[[#This Row],[Source Row]]="","",Salary_Calculation[[#This Row],[Orders Counted at Base Rate]]*Salary_Calculation[[#This Row],[Base Order Rate]])</f>
        <v/>
      </c>
      <c r="M357" s="165" t="str">
        <f aca="false">IF(Salary_Calculation[[#This Row],[Source Row]]="","",MAX(Salary_Calculation[[#This Row],[Rider Target Orders]]-N(Salary_Calculation[[#This Row],[Completed Orders]]),0))</f>
        <v/>
      </c>
      <c r="N357" s="164" t="str">
        <f aca="false">IF(Salary_Calculation[[#This Row],[Source Row]]="","",Salary_Calculation[[#This Row],[Missing Orders]]*Missing_Rate)</f>
        <v/>
      </c>
      <c r="O357" s="165" t="str">
        <f aca="false">IF(Salary_Calculation[[#This Row],[Source Row]]="","",MAX(N(Salary_Calculation[[#This Row],[Completed Orders]])-Salary_Calculation[[#This Row],[Rider Target Orders]],0))</f>
        <v/>
      </c>
      <c r="P357" s="164" t="str">
        <f aca="false">IF(Salary_Calculation[[#This Row],[Source Row]]="","",Salary_Calculation[[#This Row],[Extra Orders]]*Extra_Rate)</f>
        <v/>
      </c>
      <c r="Q357" s="164" t="str">
        <f aca="false">IF(Salary_Calculation[[#This Row],[Source Row]]="","",MAX(Salary_Calculation[[#This Row],[Salary Before Other Deductions]],0))</f>
        <v/>
      </c>
      <c r="R357" s="164" t="str">
        <f aca="false">IF(Salary_Calculation[[#This Row],[Source Row]]="","",N(INDEX(Rider_Input[missed_days_penalty],Salary_Calculation[[#This Row],[Source Row]])))</f>
        <v/>
      </c>
      <c r="S357" s="164" t="str">
        <f aca="false">IF(Salary_Calculation[[#This Row],[Source Row]]="","",N(INDEX(Rider_Input[Rider Balance / محفظة المندوب],Salary_Calculation[[#This Row],[Source Row]])))</f>
        <v/>
      </c>
      <c r="T357" s="164" t="str">
        <f aca="false">IF(Salary_Calculation[[#This Row],[Source Row]]="","",N(INDEX(Rider_Input[stacking_deduction / خصم الطلبات المتعددة],Salary_Calculation[[#This Row],[Source Row]])))</f>
        <v/>
      </c>
      <c r="U357" s="164" t="str">
        <f aca="false">IF(Salary_Calculation[[#This Row],[Source Row]]="","",N(INDEX(Rider_Input[Other Deductions],Salary_Calculation[[#This Row],[Source Row]])))</f>
        <v/>
      </c>
      <c r="V357" s="164" t="str">
        <f aca="false">IF(Salary_Calculation[[#This Row],[Source Row]]="","",N(Salary_Calculation[[#This Row],[missed_days_penalty]])+N(Salary_Calculation[[#This Row],[Rider Balance]])+N(Salary_Calculation[[#This Row],[stacking_deduction]])+N(Salary_Calculation[[#This Row],[Other Deductions]]))</f>
        <v/>
      </c>
      <c r="W357" s="167" t="str">
        <f aca="false">IF(Salary_Calculation[[#This Row],[Source Row]]="","",ROUND(MAX(Salary_Calculation[[#This Row],[Gross Salary Before Deductions]]-Salary_Calculation[[#This Row],[Total Deductions]],0),2))</f>
        <v/>
      </c>
      <c r="X357" s="164" t="str">
        <f aca="false">IF(Salary_Calculation[[#This Row],[Source Row]]="","",ROUND(MAX(Salary_Calculation[[#This Row],[Missing-Order Deduction]]-Salary_Calculation[[#This Row],[Earned Salary]],0),2))</f>
        <v/>
      </c>
      <c r="Y35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57" s="163" t="str">
        <f aca="false">IF(Salary_Calculation[[#This Row],[Source Row]]="","",IF(INDEX(Rider_Input[Notes],Salary_Calculation[[#This Row],[Source Row]])="","",INDEX(Rider_Input[Notes],Salary_Calculation[[#This Row],[Source Row]])))</f>
        <v/>
      </c>
      <c r="AA357" s="164" t="str">
        <f aca="false">IF(Salary_Calculation[[#This Row],[Source Row]]="","",Salary_Calculation[[#This Row],[Earned Salary]]-Salary_Calculation[[#This Row],[Missing-Order Deduction]]+Salary_Calculation[[#This Row],[Extra-Order Bonus]])</f>
        <v/>
      </c>
      <c r="AB357" s="164" t="str">
        <f aca="false">IF(Salary_Calculation[[#This Row],[Source Row]]="","",ROUND(Salary_Calculation[[#This Row],[Negative Balance / Amount Due from Rider]]+MAX(Salary_Calculation[[#This Row],[Total Deductions]]-Salary_Calculation[[#This Row],[Gross Salary Before Deductions]],0),2))</f>
        <v/>
      </c>
      <c r="AC35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57" s="164" t="str">
        <f aca="false">IF(Salary_Calculation[[#This Row],[Source Row]]="","",Salary_Calculation[[#This Row],[Rider Target Orders]]*Salary_Calculation[[#This Row],[Base Order Rate]])</f>
        <v/>
      </c>
      <c r="AE357" s="162" t="str">
        <f aca="false">IF(SUMPRODUCT(--(LEN(INDEX(Rider_Input[#Data],ROW()-ROW(Salary_Calculation[#Headers]),0))&gt;0))=0,"",ROW()-ROW(Salary_Calculation[#Headers]))</f>
        <v/>
      </c>
    </row>
    <row r="358" customFormat="false" ht="14.25" hidden="false" customHeight="false" outlineLevel="0" collapsed="false">
      <c r="A358" s="161" t="str">
        <f aca="false">IF(Salary_Calculation[[#This Row],[Source Row]]="","",IF(INDEX(Rider_Input[Salary Month],Salary_Calculation[[#This Row],[Source Row]])="","",INDEX(Rider_Input[Salary Month],Salary_Calculation[[#This Row],[Source Row]])))</f>
        <v/>
      </c>
      <c r="B358" s="162" t="str">
        <f aca="false">IF(Salary_Calculation[[#This Row],[Source Row]]="","",IF(INDEX(Rider_Input[Rider ID],Salary_Calculation[[#This Row],[Source Row]])="","",INDEX(Rider_Input[Rider ID],Salary_Calculation[[#This Row],[Source Row]])))</f>
        <v/>
      </c>
      <c r="C358" s="163" t="str">
        <f aca="false">IF(Salary_Calculation[[#This Row],[Source Row]]="","",IF(INDEX(Rider_Input[Rider Name],Salary_Calculation[[#This Row],[Source Row]])="","",INDEX(Rider_Input[Rider Name],Salary_Calculation[[#This Row],[Source Row]])))</f>
        <v/>
      </c>
      <c r="D358" s="164" t="str">
        <f aca="false">IF(Salary_Calculation[[#This Row],[Source Row]]="","",IF(INDEX(Rider_Input[Basic Payment],Salary_Calculation[[#This Row],[Source Row]])="","",INDEX(Rider_Input[Basic Payment],Salary_Calculation[[#This Row],[Source Row]])))</f>
        <v/>
      </c>
      <c r="E358" s="162" t="str">
        <f aca="false">IF(Salary_Calculation[[#This Row],[Source Row]]="","",IF(INDEX(Rider_Input[Calendar Days in Month],Salary_Calculation[[#This Row],[Source Row]])="","",INDEX(Rider_Input[Calendar Days in Month],Salary_Calculation[[#This Row],[Source Row]])))</f>
        <v/>
      </c>
      <c r="F358" s="162" t="str">
        <f aca="false">IF(Salary_Calculation[[#This Row],[Source Row]]="","",IF(INDEX(Rider_Input[Working Days],Salary_Calculation[[#This Row],[Source Row]])="","",INDEX(Rider_Input[Working Days],Salary_Calculation[[#This Row],[Source Row]])))</f>
        <v/>
      </c>
      <c r="G358" s="165" t="str">
        <f aca="false">IF(Salary_Calculation[[#This Row],[Source Row]]="","",Std_Orders/Std_Days*N(Salary_Calculation[[#This Row],[Calendar Days]]))</f>
        <v/>
      </c>
      <c r="H358" s="165" t="str">
        <f aca="false">IF(Salary_Calculation[[#This Row],[Source Row]]="","",IF(N(Salary_Calculation[[#This Row],[Calendar Days]])&gt;0,Salary_Calculation[[#This Row],[Monthly Target Orders]]/N(Salary_Calculation[[#This Row],[Calendar Days]])*N(Salary_Calculation[[#This Row],[Working Days]]),0))</f>
        <v/>
      </c>
      <c r="I358" s="166" t="str">
        <f aca="false">IF(Salary_Calculation[[#This Row],[Source Row]]="","",IF(INDEX(Rider_Input[Completed Orders],Salary_Calculation[[#This Row],[Source Row]])="","",INDEX(Rider_Input[Completed Orders],Salary_Calculation[[#This Row],[Source Row]])))</f>
        <v/>
      </c>
      <c r="J358" s="165" t="str">
        <f aca="false">IF(Salary_Calculation[[#This Row],[Source Row]]="","",IF(Rate_Method="Fixed rate",Fixed_Rate,IF(N(Salary_Calculation[[#This Row],[Basic Payment]])&gt;0,N(Salary_Calculation[[#This Row],[Basic Payment]])/Std_Orders,0)))</f>
        <v/>
      </c>
      <c r="K358" s="165" t="str">
        <f aca="false">IF(Salary_Calculation[[#This Row],[Source Row]]="","",MAX(MIN(N(Salary_Calculation[[#This Row],[Completed Orders]]),Salary_Calculation[[#This Row],[Rider Target Orders]]),0))</f>
        <v/>
      </c>
      <c r="L358" s="164" t="str">
        <f aca="false">IF(Salary_Calculation[[#This Row],[Source Row]]="","",Salary_Calculation[[#This Row],[Orders Counted at Base Rate]]*Salary_Calculation[[#This Row],[Base Order Rate]])</f>
        <v/>
      </c>
      <c r="M358" s="165" t="str">
        <f aca="false">IF(Salary_Calculation[[#This Row],[Source Row]]="","",MAX(Salary_Calculation[[#This Row],[Rider Target Orders]]-N(Salary_Calculation[[#This Row],[Completed Orders]]),0))</f>
        <v/>
      </c>
      <c r="N358" s="164" t="str">
        <f aca="false">IF(Salary_Calculation[[#This Row],[Source Row]]="","",Salary_Calculation[[#This Row],[Missing Orders]]*Missing_Rate)</f>
        <v/>
      </c>
      <c r="O358" s="165" t="str">
        <f aca="false">IF(Salary_Calculation[[#This Row],[Source Row]]="","",MAX(N(Salary_Calculation[[#This Row],[Completed Orders]])-Salary_Calculation[[#This Row],[Rider Target Orders]],0))</f>
        <v/>
      </c>
      <c r="P358" s="164" t="str">
        <f aca="false">IF(Salary_Calculation[[#This Row],[Source Row]]="","",Salary_Calculation[[#This Row],[Extra Orders]]*Extra_Rate)</f>
        <v/>
      </c>
      <c r="Q358" s="164" t="str">
        <f aca="false">IF(Salary_Calculation[[#This Row],[Source Row]]="","",MAX(Salary_Calculation[[#This Row],[Salary Before Other Deductions]],0))</f>
        <v/>
      </c>
      <c r="R358" s="164" t="str">
        <f aca="false">IF(Salary_Calculation[[#This Row],[Source Row]]="","",N(INDEX(Rider_Input[missed_days_penalty],Salary_Calculation[[#This Row],[Source Row]])))</f>
        <v/>
      </c>
      <c r="S358" s="164" t="str">
        <f aca="false">IF(Salary_Calculation[[#This Row],[Source Row]]="","",N(INDEX(Rider_Input[Rider Balance / محفظة المندوب],Salary_Calculation[[#This Row],[Source Row]])))</f>
        <v/>
      </c>
      <c r="T358" s="164" t="str">
        <f aca="false">IF(Salary_Calculation[[#This Row],[Source Row]]="","",N(INDEX(Rider_Input[stacking_deduction / خصم الطلبات المتعددة],Salary_Calculation[[#This Row],[Source Row]])))</f>
        <v/>
      </c>
      <c r="U358" s="164" t="str">
        <f aca="false">IF(Salary_Calculation[[#This Row],[Source Row]]="","",N(INDEX(Rider_Input[Other Deductions],Salary_Calculation[[#This Row],[Source Row]])))</f>
        <v/>
      </c>
      <c r="V358" s="164" t="str">
        <f aca="false">IF(Salary_Calculation[[#This Row],[Source Row]]="","",N(Salary_Calculation[[#This Row],[missed_days_penalty]])+N(Salary_Calculation[[#This Row],[Rider Balance]])+N(Salary_Calculation[[#This Row],[stacking_deduction]])+N(Salary_Calculation[[#This Row],[Other Deductions]]))</f>
        <v/>
      </c>
      <c r="W358" s="167" t="str">
        <f aca="false">IF(Salary_Calculation[[#This Row],[Source Row]]="","",ROUND(MAX(Salary_Calculation[[#This Row],[Gross Salary Before Deductions]]-Salary_Calculation[[#This Row],[Total Deductions]],0),2))</f>
        <v/>
      </c>
      <c r="X358" s="164" t="str">
        <f aca="false">IF(Salary_Calculation[[#This Row],[Source Row]]="","",ROUND(MAX(Salary_Calculation[[#This Row],[Missing-Order Deduction]]-Salary_Calculation[[#This Row],[Earned Salary]],0),2))</f>
        <v/>
      </c>
      <c r="Y35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58" s="163" t="str">
        <f aca="false">IF(Salary_Calculation[[#This Row],[Source Row]]="","",IF(INDEX(Rider_Input[Notes],Salary_Calculation[[#This Row],[Source Row]])="","",INDEX(Rider_Input[Notes],Salary_Calculation[[#This Row],[Source Row]])))</f>
        <v/>
      </c>
      <c r="AA358" s="164" t="str">
        <f aca="false">IF(Salary_Calculation[[#This Row],[Source Row]]="","",Salary_Calculation[[#This Row],[Earned Salary]]-Salary_Calculation[[#This Row],[Missing-Order Deduction]]+Salary_Calculation[[#This Row],[Extra-Order Bonus]])</f>
        <v/>
      </c>
      <c r="AB358" s="164" t="str">
        <f aca="false">IF(Salary_Calculation[[#This Row],[Source Row]]="","",ROUND(Salary_Calculation[[#This Row],[Negative Balance / Amount Due from Rider]]+MAX(Salary_Calculation[[#This Row],[Total Deductions]]-Salary_Calculation[[#This Row],[Gross Salary Before Deductions]],0),2))</f>
        <v/>
      </c>
      <c r="AC35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58" s="164" t="str">
        <f aca="false">IF(Salary_Calculation[[#This Row],[Source Row]]="","",Salary_Calculation[[#This Row],[Rider Target Orders]]*Salary_Calculation[[#This Row],[Base Order Rate]])</f>
        <v/>
      </c>
      <c r="AE358" s="162" t="str">
        <f aca="false">IF(SUMPRODUCT(--(LEN(INDEX(Rider_Input[#Data],ROW()-ROW(Salary_Calculation[#Headers]),0))&gt;0))=0,"",ROW()-ROW(Salary_Calculation[#Headers]))</f>
        <v/>
      </c>
    </row>
    <row r="359" customFormat="false" ht="14.25" hidden="false" customHeight="false" outlineLevel="0" collapsed="false">
      <c r="A359" s="161" t="str">
        <f aca="false">IF(Salary_Calculation[[#This Row],[Source Row]]="","",IF(INDEX(Rider_Input[Salary Month],Salary_Calculation[[#This Row],[Source Row]])="","",INDEX(Rider_Input[Salary Month],Salary_Calculation[[#This Row],[Source Row]])))</f>
        <v/>
      </c>
      <c r="B359" s="162" t="str">
        <f aca="false">IF(Salary_Calculation[[#This Row],[Source Row]]="","",IF(INDEX(Rider_Input[Rider ID],Salary_Calculation[[#This Row],[Source Row]])="","",INDEX(Rider_Input[Rider ID],Salary_Calculation[[#This Row],[Source Row]])))</f>
        <v/>
      </c>
      <c r="C359" s="163" t="str">
        <f aca="false">IF(Salary_Calculation[[#This Row],[Source Row]]="","",IF(INDEX(Rider_Input[Rider Name],Salary_Calculation[[#This Row],[Source Row]])="","",INDEX(Rider_Input[Rider Name],Salary_Calculation[[#This Row],[Source Row]])))</f>
        <v/>
      </c>
      <c r="D359" s="164" t="str">
        <f aca="false">IF(Salary_Calculation[[#This Row],[Source Row]]="","",IF(INDEX(Rider_Input[Basic Payment],Salary_Calculation[[#This Row],[Source Row]])="","",INDEX(Rider_Input[Basic Payment],Salary_Calculation[[#This Row],[Source Row]])))</f>
        <v/>
      </c>
      <c r="E359" s="162" t="str">
        <f aca="false">IF(Salary_Calculation[[#This Row],[Source Row]]="","",IF(INDEX(Rider_Input[Calendar Days in Month],Salary_Calculation[[#This Row],[Source Row]])="","",INDEX(Rider_Input[Calendar Days in Month],Salary_Calculation[[#This Row],[Source Row]])))</f>
        <v/>
      </c>
      <c r="F359" s="162" t="str">
        <f aca="false">IF(Salary_Calculation[[#This Row],[Source Row]]="","",IF(INDEX(Rider_Input[Working Days],Salary_Calculation[[#This Row],[Source Row]])="","",INDEX(Rider_Input[Working Days],Salary_Calculation[[#This Row],[Source Row]])))</f>
        <v/>
      </c>
      <c r="G359" s="165" t="str">
        <f aca="false">IF(Salary_Calculation[[#This Row],[Source Row]]="","",Std_Orders/Std_Days*N(Salary_Calculation[[#This Row],[Calendar Days]]))</f>
        <v/>
      </c>
      <c r="H359" s="165" t="str">
        <f aca="false">IF(Salary_Calculation[[#This Row],[Source Row]]="","",IF(N(Salary_Calculation[[#This Row],[Calendar Days]])&gt;0,Salary_Calculation[[#This Row],[Monthly Target Orders]]/N(Salary_Calculation[[#This Row],[Calendar Days]])*N(Salary_Calculation[[#This Row],[Working Days]]),0))</f>
        <v/>
      </c>
      <c r="I359" s="166" t="str">
        <f aca="false">IF(Salary_Calculation[[#This Row],[Source Row]]="","",IF(INDEX(Rider_Input[Completed Orders],Salary_Calculation[[#This Row],[Source Row]])="","",INDEX(Rider_Input[Completed Orders],Salary_Calculation[[#This Row],[Source Row]])))</f>
        <v/>
      </c>
      <c r="J359" s="165" t="str">
        <f aca="false">IF(Salary_Calculation[[#This Row],[Source Row]]="","",IF(Rate_Method="Fixed rate",Fixed_Rate,IF(N(Salary_Calculation[[#This Row],[Basic Payment]])&gt;0,N(Salary_Calculation[[#This Row],[Basic Payment]])/Std_Orders,0)))</f>
        <v/>
      </c>
      <c r="K359" s="165" t="str">
        <f aca="false">IF(Salary_Calculation[[#This Row],[Source Row]]="","",MAX(MIN(N(Salary_Calculation[[#This Row],[Completed Orders]]),Salary_Calculation[[#This Row],[Rider Target Orders]]),0))</f>
        <v/>
      </c>
      <c r="L359" s="164" t="str">
        <f aca="false">IF(Salary_Calculation[[#This Row],[Source Row]]="","",Salary_Calculation[[#This Row],[Orders Counted at Base Rate]]*Salary_Calculation[[#This Row],[Base Order Rate]])</f>
        <v/>
      </c>
      <c r="M359" s="165" t="str">
        <f aca="false">IF(Salary_Calculation[[#This Row],[Source Row]]="","",MAX(Salary_Calculation[[#This Row],[Rider Target Orders]]-N(Salary_Calculation[[#This Row],[Completed Orders]]),0))</f>
        <v/>
      </c>
      <c r="N359" s="164" t="str">
        <f aca="false">IF(Salary_Calculation[[#This Row],[Source Row]]="","",Salary_Calculation[[#This Row],[Missing Orders]]*Missing_Rate)</f>
        <v/>
      </c>
      <c r="O359" s="165" t="str">
        <f aca="false">IF(Salary_Calculation[[#This Row],[Source Row]]="","",MAX(N(Salary_Calculation[[#This Row],[Completed Orders]])-Salary_Calculation[[#This Row],[Rider Target Orders]],0))</f>
        <v/>
      </c>
      <c r="P359" s="164" t="str">
        <f aca="false">IF(Salary_Calculation[[#This Row],[Source Row]]="","",Salary_Calculation[[#This Row],[Extra Orders]]*Extra_Rate)</f>
        <v/>
      </c>
      <c r="Q359" s="164" t="str">
        <f aca="false">IF(Salary_Calculation[[#This Row],[Source Row]]="","",MAX(Salary_Calculation[[#This Row],[Salary Before Other Deductions]],0))</f>
        <v/>
      </c>
      <c r="R359" s="164" t="str">
        <f aca="false">IF(Salary_Calculation[[#This Row],[Source Row]]="","",N(INDEX(Rider_Input[missed_days_penalty],Salary_Calculation[[#This Row],[Source Row]])))</f>
        <v/>
      </c>
      <c r="S359" s="164" t="str">
        <f aca="false">IF(Salary_Calculation[[#This Row],[Source Row]]="","",N(INDEX(Rider_Input[Rider Balance / محفظة المندوب],Salary_Calculation[[#This Row],[Source Row]])))</f>
        <v/>
      </c>
      <c r="T359" s="164" t="str">
        <f aca="false">IF(Salary_Calculation[[#This Row],[Source Row]]="","",N(INDEX(Rider_Input[stacking_deduction / خصم الطلبات المتعددة],Salary_Calculation[[#This Row],[Source Row]])))</f>
        <v/>
      </c>
      <c r="U359" s="164" t="str">
        <f aca="false">IF(Salary_Calculation[[#This Row],[Source Row]]="","",N(INDEX(Rider_Input[Other Deductions],Salary_Calculation[[#This Row],[Source Row]])))</f>
        <v/>
      </c>
      <c r="V359" s="164" t="str">
        <f aca="false">IF(Salary_Calculation[[#This Row],[Source Row]]="","",N(Salary_Calculation[[#This Row],[missed_days_penalty]])+N(Salary_Calculation[[#This Row],[Rider Balance]])+N(Salary_Calculation[[#This Row],[stacking_deduction]])+N(Salary_Calculation[[#This Row],[Other Deductions]]))</f>
        <v/>
      </c>
      <c r="W359" s="167" t="str">
        <f aca="false">IF(Salary_Calculation[[#This Row],[Source Row]]="","",ROUND(MAX(Salary_Calculation[[#This Row],[Gross Salary Before Deductions]]-Salary_Calculation[[#This Row],[Total Deductions]],0),2))</f>
        <v/>
      </c>
      <c r="X359" s="164" t="str">
        <f aca="false">IF(Salary_Calculation[[#This Row],[Source Row]]="","",ROUND(MAX(Salary_Calculation[[#This Row],[Missing-Order Deduction]]-Salary_Calculation[[#This Row],[Earned Salary]],0),2))</f>
        <v/>
      </c>
      <c r="Y35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59" s="163" t="str">
        <f aca="false">IF(Salary_Calculation[[#This Row],[Source Row]]="","",IF(INDEX(Rider_Input[Notes],Salary_Calculation[[#This Row],[Source Row]])="","",INDEX(Rider_Input[Notes],Salary_Calculation[[#This Row],[Source Row]])))</f>
        <v/>
      </c>
      <c r="AA359" s="164" t="str">
        <f aca="false">IF(Salary_Calculation[[#This Row],[Source Row]]="","",Salary_Calculation[[#This Row],[Earned Salary]]-Salary_Calculation[[#This Row],[Missing-Order Deduction]]+Salary_Calculation[[#This Row],[Extra-Order Bonus]])</f>
        <v/>
      </c>
      <c r="AB359" s="164" t="str">
        <f aca="false">IF(Salary_Calculation[[#This Row],[Source Row]]="","",ROUND(Salary_Calculation[[#This Row],[Negative Balance / Amount Due from Rider]]+MAX(Salary_Calculation[[#This Row],[Total Deductions]]-Salary_Calculation[[#This Row],[Gross Salary Before Deductions]],0),2))</f>
        <v/>
      </c>
      <c r="AC35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59" s="164" t="str">
        <f aca="false">IF(Salary_Calculation[[#This Row],[Source Row]]="","",Salary_Calculation[[#This Row],[Rider Target Orders]]*Salary_Calculation[[#This Row],[Base Order Rate]])</f>
        <v/>
      </c>
      <c r="AE359" s="162" t="str">
        <f aca="false">IF(SUMPRODUCT(--(LEN(INDEX(Rider_Input[#Data],ROW()-ROW(Salary_Calculation[#Headers]),0))&gt;0))=0,"",ROW()-ROW(Salary_Calculation[#Headers]))</f>
        <v/>
      </c>
    </row>
    <row r="360" customFormat="false" ht="14.25" hidden="false" customHeight="false" outlineLevel="0" collapsed="false">
      <c r="A360" s="161" t="str">
        <f aca="false">IF(Salary_Calculation[[#This Row],[Source Row]]="","",IF(INDEX(Rider_Input[Salary Month],Salary_Calculation[[#This Row],[Source Row]])="","",INDEX(Rider_Input[Salary Month],Salary_Calculation[[#This Row],[Source Row]])))</f>
        <v/>
      </c>
      <c r="B360" s="162" t="str">
        <f aca="false">IF(Salary_Calculation[[#This Row],[Source Row]]="","",IF(INDEX(Rider_Input[Rider ID],Salary_Calculation[[#This Row],[Source Row]])="","",INDEX(Rider_Input[Rider ID],Salary_Calculation[[#This Row],[Source Row]])))</f>
        <v/>
      </c>
      <c r="C360" s="163" t="str">
        <f aca="false">IF(Salary_Calculation[[#This Row],[Source Row]]="","",IF(INDEX(Rider_Input[Rider Name],Salary_Calculation[[#This Row],[Source Row]])="","",INDEX(Rider_Input[Rider Name],Salary_Calculation[[#This Row],[Source Row]])))</f>
        <v/>
      </c>
      <c r="D360" s="164" t="str">
        <f aca="false">IF(Salary_Calculation[[#This Row],[Source Row]]="","",IF(INDEX(Rider_Input[Basic Payment],Salary_Calculation[[#This Row],[Source Row]])="","",INDEX(Rider_Input[Basic Payment],Salary_Calculation[[#This Row],[Source Row]])))</f>
        <v/>
      </c>
      <c r="E360" s="162" t="str">
        <f aca="false">IF(Salary_Calculation[[#This Row],[Source Row]]="","",IF(INDEX(Rider_Input[Calendar Days in Month],Salary_Calculation[[#This Row],[Source Row]])="","",INDEX(Rider_Input[Calendar Days in Month],Salary_Calculation[[#This Row],[Source Row]])))</f>
        <v/>
      </c>
      <c r="F360" s="162" t="str">
        <f aca="false">IF(Salary_Calculation[[#This Row],[Source Row]]="","",IF(INDEX(Rider_Input[Working Days],Salary_Calculation[[#This Row],[Source Row]])="","",INDEX(Rider_Input[Working Days],Salary_Calculation[[#This Row],[Source Row]])))</f>
        <v/>
      </c>
      <c r="G360" s="165" t="str">
        <f aca="false">IF(Salary_Calculation[[#This Row],[Source Row]]="","",Std_Orders/Std_Days*N(Salary_Calculation[[#This Row],[Calendar Days]]))</f>
        <v/>
      </c>
      <c r="H360" s="165" t="str">
        <f aca="false">IF(Salary_Calculation[[#This Row],[Source Row]]="","",IF(N(Salary_Calculation[[#This Row],[Calendar Days]])&gt;0,Salary_Calculation[[#This Row],[Monthly Target Orders]]/N(Salary_Calculation[[#This Row],[Calendar Days]])*N(Salary_Calculation[[#This Row],[Working Days]]),0))</f>
        <v/>
      </c>
      <c r="I360" s="166" t="str">
        <f aca="false">IF(Salary_Calculation[[#This Row],[Source Row]]="","",IF(INDEX(Rider_Input[Completed Orders],Salary_Calculation[[#This Row],[Source Row]])="","",INDEX(Rider_Input[Completed Orders],Salary_Calculation[[#This Row],[Source Row]])))</f>
        <v/>
      </c>
      <c r="J360" s="165" t="str">
        <f aca="false">IF(Salary_Calculation[[#This Row],[Source Row]]="","",IF(Rate_Method="Fixed rate",Fixed_Rate,IF(N(Salary_Calculation[[#This Row],[Basic Payment]])&gt;0,N(Salary_Calculation[[#This Row],[Basic Payment]])/Std_Orders,0)))</f>
        <v/>
      </c>
      <c r="K360" s="165" t="str">
        <f aca="false">IF(Salary_Calculation[[#This Row],[Source Row]]="","",MAX(MIN(N(Salary_Calculation[[#This Row],[Completed Orders]]),Salary_Calculation[[#This Row],[Rider Target Orders]]),0))</f>
        <v/>
      </c>
      <c r="L360" s="164" t="str">
        <f aca="false">IF(Salary_Calculation[[#This Row],[Source Row]]="","",Salary_Calculation[[#This Row],[Orders Counted at Base Rate]]*Salary_Calculation[[#This Row],[Base Order Rate]])</f>
        <v/>
      </c>
      <c r="M360" s="165" t="str">
        <f aca="false">IF(Salary_Calculation[[#This Row],[Source Row]]="","",MAX(Salary_Calculation[[#This Row],[Rider Target Orders]]-N(Salary_Calculation[[#This Row],[Completed Orders]]),0))</f>
        <v/>
      </c>
      <c r="N360" s="164" t="str">
        <f aca="false">IF(Salary_Calculation[[#This Row],[Source Row]]="","",Salary_Calculation[[#This Row],[Missing Orders]]*Missing_Rate)</f>
        <v/>
      </c>
      <c r="O360" s="165" t="str">
        <f aca="false">IF(Salary_Calculation[[#This Row],[Source Row]]="","",MAX(N(Salary_Calculation[[#This Row],[Completed Orders]])-Salary_Calculation[[#This Row],[Rider Target Orders]],0))</f>
        <v/>
      </c>
      <c r="P360" s="164" t="str">
        <f aca="false">IF(Salary_Calculation[[#This Row],[Source Row]]="","",Salary_Calculation[[#This Row],[Extra Orders]]*Extra_Rate)</f>
        <v/>
      </c>
      <c r="Q360" s="164" t="str">
        <f aca="false">IF(Salary_Calculation[[#This Row],[Source Row]]="","",MAX(Salary_Calculation[[#This Row],[Salary Before Other Deductions]],0))</f>
        <v/>
      </c>
      <c r="R360" s="164" t="str">
        <f aca="false">IF(Salary_Calculation[[#This Row],[Source Row]]="","",N(INDEX(Rider_Input[missed_days_penalty],Salary_Calculation[[#This Row],[Source Row]])))</f>
        <v/>
      </c>
      <c r="S360" s="164" t="str">
        <f aca="false">IF(Salary_Calculation[[#This Row],[Source Row]]="","",N(INDEX(Rider_Input[Rider Balance / محفظة المندوب],Salary_Calculation[[#This Row],[Source Row]])))</f>
        <v/>
      </c>
      <c r="T360" s="164" t="str">
        <f aca="false">IF(Salary_Calculation[[#This Row],[Source Row]]="","",N(INDEX(Rider_Input[stacking_deduction / خصم الطلبات المتعددة],Salary_Calculation[[#This Row],[Source Row]])))</f>
        <v/>
      </c>
      <c r="U360" s="164" t="str">
        <f aca="false">IF(Salary_Calculation[[#This Row],[Source Row]]="","",N(INDEX(Rider_Input[Other Deductions],Salary_Calculation[[#This Row],[Source Row]])))</f>
        <v/>
      </c>
      <c r="V360" s="164" t="str">
        <f aca="false">IF(Salary_Calculation[[#This Row],[Source Row]]="","",N(Salary_Calculation[[#This Row],[missed_days_penalty]])+N(Salary_Calculation[[#This Row],[Rider Balance]])+N(Salary_Calculation[[#This Row],[stacking_deduction]])+N(Salary_Calculation[[#This Row],[Other Deductions]]))</f>
        <v/>
      </c>
      <c r="W360" s="167" t="str">
        <f aca="false">IF(Salary_Calculation[[#This Row],[Source Row]]="","",ROUND(MAX(Salary_Calculation[[#This Row],[Gross Salary Before Deductions]]-Salary_Calculation[[#This Row],[Total Deductions]],0),2))</f>
        <v/>
      </c>
      <c r="X360" s="164" t="str">
        <f aca="false">IF(Salary_Calculation[[#This Row],[Source Row]]="","",ROUND(MAX(Salary_Calculation[[#This Row],[Missing-Order Deduction]]-Salary_Calculation[[#This Row],[Earned Salary]],0),2))</f>
        <v/>
      </c>
      <c r="Y36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60" s="163" t="str">
        <f aca="false">IF(Salary_Calculation[[#This Row],[Source Row]]="","",IF(INDEX(Rider_Input[Notes],Salary_Calculation[[#This Row],[Source Row]])="","",INDEX(Rider_Input[Notes],Salary_Calculation[[#This Row],[Source Row]])))</f>
        <v/>
      </c>
      <c r="AA360" s="164" t="str">
        <f aca="false">IF(Salary_Calculation[[#This Row],[Source Row]]="","",Salary_Calculation[[#This Row],[Earned Salary]]-Salary_Calculation[[#This Row],[Missing-Order Deduction]]+Salary_Calculation[[#This Row],[Extra-Order Bonus]])</f>
        <v/>
      </c>
      <c r="AB360" s="164" t="str">
        <f aca="false">IF(Salary_Calculation[[#This Row],[Source Row]]="","",ROUND(Salary_Calculation[[#This Row],[Negative Balance / Amount Due from Rider]]+MAX(Salary_Calculation[[#This Row],[Total Deductions]]-Salary_Calculation[[#This Row],[Gross Salary Before Deductions]],0),2))</f>
        <v/>
      </c>
      <c r="AC36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60" s="164" t="str">
        <f aca="false">IF(Salary_Calculation[[#This Row],[Source Row]]="","",Salary_Calculation[[#This Row],[Rider Target Orders]]*Salary_Calculation[[#This Row],[Base Order Rate]])</f>
        <v/>
      </c>
      <c r="AE360" s="162" t="str">
        <f aca="false">IF(SUMPRODUCT(--(LEN(INDEX(Rider_Input[#Data],ROW()-ROW(Salary_Calculation[#Headers]),0))&gt;0))=0,"",ROW()-ROW(Salary_Calculation[#Headers]))</f>
        <v/>
      </c>
    </row>
    <row r="361" customFormat="false" ht="14.25" hidden="false" customHeight="false" outlineLevel="0" collapsed="false">
      <c r="A361" s="161" t="str">
        <f aca="false">IF(Salary_Calculation[[#This Row],[Source Row]]="","",IF(INDEX(Rider_Input[Salary Month],Salary_Calculation[[#This Row],[Source Row]])="","",INDEX(Rider_Input[Salary Month],Salary_Calculation[[#This Row],[Source Row]])))</f>
        <v/>
      </c>
      <c r="B361" s="162" t="str">
        <f aca="false">IF(Salary_Calculation[[#This Row],[Source Row]]="","",IF(INDEX(Rider_Input[Rider ID],Salary_Calculation[[#This Row],[Source Row]])="","",INDEX(Rider_Input[Rider ID],Salary_Calculation[[#This Row],[Source Row]])))</f>
        <v/>
      </c>
      <c r="C361" s="163" t="str">
        <f aca="false">IF(Salary_Calculation[[#This Row],[Source Row]]="","",IF(INDEX(Rider_Input[Rider Name],Salary_Calculation[[#This Row],[Source Row]])="","",INDEX(Rider_Input[Rider Name],Salary_Calculation[[#This Row],[Source Row]])))</f>
        <v/>
      </c>
      <c r="D361" s="164" t="str">
        <f aca="false">IF(Salary_Calculation[[#This Row],[Source Row]]="","",IF(INDEX(Rider_Input[Basic Payment],Salary_Calculation[[#This Row],[Source Row]])="","",INDEX(Rider_Input[Basic Payment],Salary_Calculation[[#This Row],[Source Row]])))</f>
        <v/>
      </c>
      <c r="E361" s="162" t="str">
        <f aca="false">IF(Salary_Calculation[[#This Row],[Source Row]]="","",IF(INDEX(Rider_Input[Calendar Days in Month],Salary_Calculation[[#This Row],[Source Row]])="","",INDEX(Rider_Input[Calendar Days in Month],Salary_Calculation[[#This Row],[Source Row]])))</f>
        <v/>
      </c>
      <c r="F361" s="162" t="str">
        <f aca="false">IF(Salary_Calculation[[#This Row],[Source Row]]="","",IF(INDEX(Rider_Input[Working Days],Salary_Calculation[[#This Row],[Source Row]])="","",INDEX(Rider_Input[Working Days],Salary_Calculation[[#This Row],[Source Row]])))</f>
        <v/>
      </c>
      <c r="G361" s="165" t="str">
        <f aca="false">IF(Salary_Calculation[[#This Row],[Source Row]]="","",Std_Orders/Std_Days*N(Salary_Calculation[[#This Row],[Calendar Days]]))</f>
        <v/>
      </c>
      <c r="H361" s="165" t="str">
        <f aca="false">IF(Salary_Calculation[[#This Row],[Source Row]]="","",IF(N(Salary_Calculation[[#This Row],[Calendar Days]])&gt;0,Salary_Calculation[[#This Row],[Monthly Target Orders]]/N(Salary_Calculation[[#This Row],[Calendar Days]])*N(Salary_Calculation[[#This Row],[Working Days]]),0))</f>
        <v/>
      </c>
      <c r="I361" s="166" t="str">
        <f aca="false">IF(Salary_Calculation[[#This Row],[Source Row]]="","",IF(INDEX(Rider_Input[Completed Orders],Salary_Calculation[[#This Row],[Source Row]])="","",INDEX(Rider_Input[Completed Orders],Salary_Calculation[[#This Row],[Source Row]])))</f>
        <v/>
      </c>
      <c r="J361" s="165" t="str">
        <f aca="false">IF(Salary_Calculation[[#This Row],[Source Row]]="","",IF(Rate_Method="Fixed rate",Fixed_Rate,IF(N(Salary_Calculation[[#This Row],[Basic Payment]])&gt;0,N(Salary_Calculation[[#This Row],[Basic Payment]])/Std_Orders,0)))</f>
        <v/>
      </c>
      <c r="K361" s="165" t="str">
        <f aca="false">IF(Salary_Calculation[[#This Row],[Source Row]]="","",MAX(MIN(N(Salary_Calculation[[#This Row],[Completed Orders]]),Salary_Calculation[[#This Row],[Rider Target Orders]]),0))</f>
        <v/>
      </c>
      <c r="L361" s="164" t="str">
        <f aca="false">IF(Salary_Calculation[[#This Row],[Source Row]]="","",Salary_Calculation[[#This Row],[Orders Counted at Base Rate]]*Salary_Calculation[[#This Row],[Base Order Rate]])</f>
        <v/>
      </c>
      <c r="M361" s="165" t="str">
        <f aca="false">IF(Salary_Calculation[[#This Row],[Source Row]]="","",MAX(Salary_Calculation[[#This Row],[Rider Target Orders]]-N(Salary_Calculation[[#This Row],[Completed Orders]]),0))</f>
        <v/>
      </c>
      <c r="N361" s="164" t="str">
        <f aca="false">IF(Salary_Calculation[[#This Row],[Source Row]]="","",Salary_Calculation[[#This Row],[Missing Orders]]*Missing_Rate)</f>
        <v/>
      </c>
      <c r="O361" s="165" t="str">
        <f aca="false">IF(Salary_Calculation[[#This Row],[Source Row]]="","",MAX(N(Salary_Calculation[[#This Row],[Completed Orders]])-Salary_Calculation[[#This Row],[Rider Target Orders]],0))</f>
        <v/>
      </c>
      <c r="P361" s="164" t="str">
        <f aca="false">IF(Salary_Calculation[[#This Row],[Source Row]]="","",Salary_Calculation[[#This Row],[Extra Orders]]*Extra_Rate)</f>
        <v/>
      </c>
      <c r="Q361" s="164" t="str">
        <f aca="false">IF(Salary_Calculation[[#This Row],[Source Row]]="","",MAX(Salary_Calculation[[#This Row],[Salary Before Other Deductions]],0))</f>
        <v/>
      </c>
      <c r="R361" s="164" t="str">
        <f aca="false">IF(Salary_Calculation[[#This Row],[Source Row]]="","",N(INDEX(Rider_Input[missed_days_penalty],Salary_Calculation[[#This Row],[Source Row]])))</f>
        <v/>
      </c>
      <c r="S361" s="164" t="str">
        <f aca="false">IF(Salary_Calculation[[#This Row],[Source Row]]="","",N(INDEX(Rider_Input[Rider Balance / محفظة المندوب],Salary_Calculation[[#This Row],[Source Row]])))</f>
        <v/>
      </c>
      <c r="T361" s="164" t="str">
        <f aca="false">IF(Salary_Calculation[[#This Row],[Source Row]]="","",N(INDEX(Rider_Input[stacking_deduction / خصم الطلبات المتعددة],Salary_Calculation[[#This Row],[Source Row]])))</f>
        <v/>
      </c>
      <c r="U361" s="164" t="str">
        <f aca="false">IF(Salary_Calculation[[#This Row],[Source Row]]="","",N(INDEX(Rider_Input[Other Deductions],Salary_Calculation[[#This Row],[Source Row]])))</f>
        <v/>
      </c>
      <c r="V361" s="164" t="str">
        <f aca="false">IF(Salary_Calculation[[#This Row],[Source Row]]="","",N(Salary_Calculation[[#This Row],[missed_days_penalty]])+N(Salary_Calculation[[#This Row],[Rider Balance]])+N(Salary_Calculation[[#This Row],[stacking_deduction]])+N(Salary_Calculation[[#This Row],[Other Deductions]]))</f>
        <v/>
      </c>
      <c r="W361" s="167" t="str">
        <f aca="false">IF(Salary_Calculation[[#This Row],[Source Row]]="","",ROUND(MAX(Salary_Calculation[[#This Row],[Gross Salary Before Deductions]]-Salary_Calculation[[#This Row],[Total Deductions]],0),2))</f>
        <v/>
      </c>
      <c r="X361" s="164" t="str">
        <f aca="false">IF(Salary_Calculation[[#This Row],[Source Row]]="","",ROUND(MAX(Salary_Calculation[[#This Row],[Missing-Order Deduction]]-Salary_Calculation[[#This Row],[Earned Salary]],0),2))</f>
        <v/>
      </c>
      <c r="Y36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61" s="163" t="str">
        <f aca="false">IF(Salary_Calculation[[#This Row],[Source Row]]="","",IF(INDEX(Rider_Input[Notes],Salary_Calculation[[#This Row],[Source Row]])="","",INDEX(Rider_Input[Notes],Salary_Calculation[[#This Row],[Source Row]])))</f>
        <v/>
      </c>
      <c r="AA361" s="164" t="str">
        <f aca="false">IF(Salary_Calculation[[#This Row],[Source Row]]="","",Salary_Calculation[[#This Row],[Earned Salary]]-Salary_Calculation[[#This Row],[Missing-Order Deduction]]+Salary_Calculation[[#This Row],[Extra-Order Bonus]])</f>
        <v/>
      </c>
      <c r="AB361" s="164" t="str">
        <f aca="false">IF(Salary_Calculation[[#This Row],[Source Row]]="","",ROUND(Salary_Calculation[[#This Row],[Negative Balance / Amount Due from Rider]]+MAX(Salary_Calculation[[#This Row],[Total Deductions]]-Salary_Calculation[[#This Row],[Gross Salary Before Deductions]],0),2))</f>
        <v/>
      </c>
      <c r="AC36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61" s="164" t="str">
        <f aca="false">IF(Salary_Calculation[[#This Row],[Source Row]]="","",Salary_Calculation[[#This Row],[Rider Target Orders]]*Salary_Calculation[[#This Row],[Base Order Rate]])</f>
        <v/>
      </c>
      <c r="AE361" s="162" t="str">
        <f aca="false">IF(SUMPRODUCT(--(LEN(INDEX(Rider_Input[#Data],ROW()-ROW(Salary_Calculation[#Headers]),0))&gt;0))=0,"",ROW()-ROW(Salary_Calculation[#Headers]))</f>
        <v/>
      </c>
    </row>
    <row r="362" customFormat="false" ht="14.25" hidden="false" customHeight="false" outlineLevel="0" collapsed="false">
      <c r="A362" s="161" t="str">
        <f aca="false">IF(Salary_Calculation[[#This Row],[Source Row]]="","",IF(INDEX(Rider_Input[Salary Month],Salary_Calculation[[#This Row],[Source Row]])="","",INDEX(Rider_Input[Salary Month],Salary_Calculation[[#This Row],[Source Row]])))</f>
        <v/>
      </c>
      <c r="B362" s="162" t="str">
        <f aca="false">IF(Salary_Calculation[[#This Row],[Source Row]]="","",IF(INDEX(Rider_Input[Rider ID],Salary_Calculation[[#This Row],[Source Row]])="","",INDEX(Rider_Input[Rider ID],Salary_Calculation[[#This Row],[Source Row]])))</f>
        <v/>
      </c>
      <c r="C362" s="163" t="str">
        <f aca="false">IF(Salary_Calculation[[#This Row],[Source Row]]="","",IF(INDEX(Rider_Input[Rider Name],Salary_Calculation[[#This Row],[Source Row]])="","",INDEX(Rider_Input[Rider Name],Salary_Calculation[[#This Row],[Source Row]])))</f>
        <v/>
      </c>
      <c r="D362" s="164" t="str">
        <f aca="false">IF(Salary_Calculation[[#This Row],[Source Row]]="","",IF(INDEX(Rider_Input[Basic Payment],Salary_Calculation[[#This Row],[Source Row]])="","",INDEX(Rider_Input[Basic Payment],Salary_Calculation[[#This Row],[Source Row]])))</f>
        <v/>
      </c>
      <c r="E362" s="162" t="str">
        <f aca="false">IF(Salary_Calculation[[#This Row],[Source Row]]="","",IF(INDEX(Rider_Input[Calendar Days in Month],Salary_Calculation[[#This Row],[Source Row]])="","",INDEX(Rider_Input[Calendar Days in Month],Salary_Calculation[[#This Row],[Source Row]])))</f>
        <v/>
      </c>
      <c r="F362" s="162" t="str">
        <f aca="false">IF(Salary_Calculation[[#This Row],[Source Row]]="","",IF(INDEX(Rider_Input[Working Days],Salary_Calculation[[#This Row],[Source Row]])="","",INDEX(Rider_Input[Working Days],Salary_Calculation[[#This Row],[Source Row]])))</f>
        <v/>
      </c>
      <c r="G362" s="165" t="str">
        <f aca="false">IF(Salary_Calculation[[#This Row],[Source Row]]="","",Std_Orders/Std_Days*N(Salary_Calculation[[#This Row],[Calendar Days]]))</f>
        <v/>
      </c>
      <c r="H362" s="165" t="str">
        <f aca="false">IF(Salary_Calculation[[#This Row],[Source Row]]="","",IF(N(Salary_Calculation[[#This Row],[Calendar Days]])&gt;0,Salary_Calculation[[#This Row],[Monthly Target Orders]]/N(Salary_Calculation[[#This Row],[Calendar Days]])*N(Salary_Calculation[[#This Row],[Working Days]]),0))</f>
        <v/>
      </c>
      <c r="I362" s="166" t="str">
        <f aca="false">IF(Salary_Calculation[[#This Row],[Source Row]]="","",IF(INDEX(Rider_Input[Completed Orders],Salary_Calculation[[#This Row],[Source Row]])="","",INDEX(Rider_Input[Completed Orders],Salary_Calculation[[#This Row],[Source Row]])))</f>
        <v/>
      </c>
      <c r="J362" s="165" t="str">
        <f aca="false">IF(Salary_Calculation[[#This Row],[Source Row]]="","",IF(Rate_Method="Fixed rate",Fixed_Rate,IF(N(Salary_Calculation[[#This Row],[Basic Payment]])&gt;0,N(Salary_Calculation[[#This Row],[Basic Payment]])/Std_Orders,0)))</f>
        <v/>
      </c>
      <c r="K362" s="165" t="str">
        <f aca="false">IF(Salary_Calculation[[#This Row],[Source Row]]="","",MAX(MIN(N(Salary_Calculation[[#This Row],[Completed Orders]]),Salary_Calculation[[#This Row],[Rider Target Orders]]),0))</f>
        <v/>
      </c>
      <c r="L362" s="164" t="str">
        <f aca="false">IF(Salary_Calculation[[#This Row],[Source Row]]="","",Salary_Calculation[[#This Row],[Orders Counted at Base Rate]]*Salary_Calculation[[#This Row],[Base Order Rate]])</f>
        <v/>
      </c>
      <c r="M362" s="165" t="str">
        <f aca="false">IF(Salary_Calculation[[#This Row],[Source Row]]="","",MAX(Salary_Calculation[[#This Row],[Rider Target Orders]]-N(Salary_Calculation[[#This Row],[Completed Orders]]),0))</f>
        <v/>
      </c>
      <c r="N362" s="164" t="str">
        <f aca="false">IF(Salary_Calculation[[#This Row],[Source Row]]="","",Salary_Calculation[[#This Row],[Missing Orders]]*Missing_Rate)</f>
        <v/>
      </c>
      <c r="O362" s="165" t="str">
        <f aca="false">IF(Salary_Calculation[[#This Row],[Source Row]]="","",MAX(N(Salary_Calculation[[#This Row],[Completed Orders]])-Salary_Calculation[[#This Row],[Rider Target Orders]],0))</f>
        <v/>
      </c>
      <c r="P362" s="164" t="str">
        <f aca="false">IF(Salary_Calculation[[#This Row],[Source Row]]="","",Salary_Calculation[[#This Row],[Extra Orders]]*Extra_Rate)</f>
        <v/>
      </c>
      <c r="Q362" s="164" t="str">
        <f aca="false">IF(Salary_Calculation[[#This Row],[Source Row]]="","",MAX(Salary_Calculation[[#This Row],[Salary Before Other Deductions]],0))</f>
        <v/>
      </c>
      <c r="R362" s="164" t="str">
        <f aca="false">IF(Salary_Calculation[[#This Row],[Source Row]]="","",N(INDEX(Rider_Input[missed_days_penalty],Salary_Calculation[[#This Row],[Source Row]])))</f>
        <v/>
      </c>
      <c r="S362" s="164" t="str">
        <f aca="false">IF(Salary_Calculation[[#This Row],[Source Row]]="","",N(INDEX(Rider_Input[Rider Balance / محفظة المندوب],Salary_Calculation[[#This Row],[Source Row]])))</f>
        <v/>
      </c>
      <c r="T362" s="164" t="str">
        <f aca="false">IF(Salary_Calculation[[#This Row],[Source Row]]="","",N(INDEX(Rider_Input[stacking_deduction / خصم الطلبات المتعددة],Salary_Calculation[[#This Row],[Source Row]])))</f>
        <v/>
      </c>
      <c r="U362" s="164" t="str">
        <f aca="false">IF(Salary_Calculation[[#This Row],[Source Row]]="","",N(INDEX(Rider_Input[Other Deductions],Salary_Calculation[[#This Row],[Source Row]])))</f>
        <v/>
      </c>
      <c r="V362" s="164" t="str">
        <f aca="false">IF(Salary_Calculation[[#This Row],[Source Row]]="","",N(Salary_Calculation[[#This Row],[missed_days_penalty]])+N(Salary_Calculation[[#This Row],[Rider Balance]])+N(Salary_Calculation[[#This Row],[stacking_deduction]])+N(Salary_Calculation[[#This Row],[Other Deductions]]))</f>
        <v/>
      </c>
      <c r="W362" s="167" t="str">
        <f aca="false">IF(Salary_Calculation[[#This Row],[Source Row]]="","",ROUND(MAX(Salary_Calculation[[#This Row],[Gross Salary Before Deductions]]-Salary_Calculation[[#This Row],[Total Deductions]],0),2))</f>
        <v/>
      </c>
      <c r="X362" s="164" t="str">
        <f aca="false">IF(Salary_Calculation[[#This Row],[Source Row]]="","",ROUND(MAX(Salary_Calculation[[#This Row],[Missing-Order Deduction]]-Salary_Calculation[[#This Row],[Earned Salary]],0),2))</f>
        <v/>
      </c>
      <c r="Y36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62" s="163" t="str">
        <f aca="false">IF(Salary_Calculation[[#This Row],[Source Row]]="","",IF(INDEX(Rider_Input[Notes],Salary_Calculation[[#This Row],[Source Row]])="","",INDEX(Rider_Input[Notes],Salary_Calculation[[#This Row],[Source Row]])))</f>
        <v/>
      </c>
      <c r="AA362" s="164" t="str">
        <f aca="false">IF(Salary_Calculation[[#This Row],[Source Row]]="","",Salary_Calculation[[#This Row],[Earned Salary]]-Salary_Calculation[[#This Row],[Missing-Order Deduction]]+Salary_Calculation[[#This Row],[Extra-Order Bonus]])</f>
        <v/>
      </c>
      <c r="AB362" s="164" t="str">
        <f aca="false">IF(Salary_Calculation[[#This Row],[Source Row]]="","",ROUND(Salary_Calculation[[#This Row],[Negative Balance / Amount Due from Rider]]+MAX(Salary_Calculation[[#This Row],[Total Deductions]]-Salary_Calculation[[#This Row],[Gross Salary Before Deductions]],0),2))</f>
        <v/>
      </c>
      <c r="AC36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62" s="164" t="str">
        <f aca="false">IF(Salary_Calculation[[#This Row],[Source Row]]="","",Salary_Calculation[[#This Row],[Rider Target Orders]]*Salary_Calculation[[#This Row],[Base Order Rate]])</f>
        <v/>
      </c>
      <c r="AE362" s="162" t="str">
        <f aca="false">IF(SUMPRODUCT(--(LEN(INDEX(Rider_Input[#Data],ROW()-ROW(Salary_Calculation[#Headers]),0))&gt;0))=0,"",ROW()-ROW(Salary_Calculation[#Headers]))</f>
        <v/>
      </c>
    </row>
    <row r="363" customFormat="false" ht="14.25" hidden="false" customHeight="false" outlineLevel="0" collapsed="false">
      <c r="A363" s="161" t="str">
        <f aca="false">IF(Salary_Calculation[[#This Row],[Source Row]]="","",IF(INDEX(Rider_Input[Salary Month],Salary_Calculation[[#This Row],[Source Row]])="","",INDEX(Rider_Input[Salary Month],Salary_Calculation[[#This Row],[Source Row]])))</f>
        <v/>
      </c>
      <c r="B363" s="162" t="str">
        <f aca="false">IF(Salary_Calculation[[#This Row],[Source Row]]="","",IF(INDEX(Rider_Input[Rider ID],Salary_Calculation[[#This Row],[Source Row]])="","",INDEX(Rider_Input[Rider ID],Salary_Calculation[[#This Row],[Source Row]])))</f>
        <v/>
      </c>
      <c r="C363" s="163" t="str">
        <f aca="false">IF(Salary_Calculation[[#This Row],[Source Row]]="","",IF(INDEX(Rider_Input[Rider Name],Salary_Calculation[[#This Row],[Source Row]])="","",INDEX(Rider_Input[Rider Name],Salary_Calculation[[#This Row],[Source Row]])))</f>
        <v/>
      </c>
      <c r="D363" s="164" t="str">
        <f aca="false">IF(Salary_Calculation[[#This Row],[Source Row]]="","",IF(INDEX(Rider_Input[Basic Payment],Salary_Calculation[[#This Row],[Source Row]])="","",INDEX(Rider_Input[Basic Payment],Salary_Calculation[[#This Row],[Source Row]])))</f>
        <v/>
      </c>
      <c r="E363" s="162" t="str">
        <f aca="false">IF(Salary_Calculation[[#This Row],[Source Row]]="","",IF(INDEX(Rider_Input[Calendar Days in Month],Salary_Calculation[[#This Row],[Source Row]])="","",INDEX(Rider_Input[Calendar Days in Month],Salary_Calculation[[#This Row],[Source Row]])))</f>
        <v/>
      </c>
      <c r="F363" s="162" t="str">
        <f aca="false">IF(Salary_Calculation[[#This Row],[Source Row]]="","",IF(INDEX(Rider_Input[Working Days],Salary_Calculation[[#This Row],[Source Row]])="","",INDEX(Rider_Input[Working Days],Salary_Calculation[[#This Row],[Source Row]])))</f>
        <v/>
      </c>
      <c r="G363" s="165" t="str">
        <f aca="false">IF(Salary_Calculation[[#This Row],[Source Row]]="","",Std_Orders/Std_Days*N(Salary_Calculation[[#This Row],[Calendar Days]]))</f>
        <v/>
      </c>
      <c r="H363" s="165" t="str">
        <f aca="false">IF(Salary_Calculation[[#This Row],[Source Row]]="","",IF(N(Salary_Calculation[[#This Row],[Calendar Days]])&gt;0,Salary_Calculation[[#This Row],[Monthly Target Orders]]/N(Salary_Calculation[[#This Row],[Calendar Days]])*N(Salary_Calculation[[#This Row],[Working Days]]),0))</f>
        <v/>
      </c>
      <c r="I363" s="166" t="str">
        <f aca="false">IF(Salary_Calculation[[#This Row],[Source Row]]="","",IF(INDEX(Rider_Input[Completed Orders],Salary_Calculation[[#This Row],[Source Row]])="","",INDEX(Rider_Input[Completed Orders],Salary_Calculation[[#This Row],[Source Row]])))</f>
        <v/>
      </c>
      <c r="J363" s="165" t="str">
        <f aca="false">IF(Salary_Calculation[[#This Row],[Source Row]]="","",IF(Rate_Method="Fixed rate",Fixed_Rate,IF(N(Salary_Calculation[[#This Row],[Basic Payment]])&gt;0,N(Salary_Calculation[[#This Row],[Basic Payment]])/Std_Orders,0)))</f>
        <v/>
      </c>
      <c r="K363" s="165" t="str">
        <f aca="false">IF(Salary_Calculation[[#This Row],[Source Row]]="","",MAX(MIN(N(Salary_Calculation[[#This Row],[Completed Orders]]),Salary_Calculation[[#This Row],[Rider Target Orders]]),0))</f>
        <v/>
      </c>
      <c r="L363" s="164" t="str">
        <f aca="false">IF(Salary_Calculation[[#This Row],[Source Row]]="","",Salary_Calculation[[#This Row],[Orders Counted at Base Rate]]*Salary_Calculation[[#This Row],[Base Order Rate]])</f>
        <v/>
      </c>
      <c r="M363" s="165" t="str">
        <f aca="false">IF(Salary_Calculation[[#This Row],[Source Row]]="","",MAX(Salary_Calculation[[#This Row],[Rider Target Orders]]-N(Salary_Calculation[[#This Row],[Completed Orders]]),0))</f>
        <v/>
      </c>
      <c r="N363" s="164" t="str">
        <f aca="false">IF(Salary_Calculation[[#This Row],[Source Row]]="","",Salary_Calculation[[#This Row],[Missing Orders]]*Missing_Rate)</f>
        <v/>
      </c>
      <c r="O363" s="165" t="str">
        <f aca="false">IF(Salary_Calculation[[#This Row],[Source Row]]="","",MAX(N(Salary_Calculation[[#This Row],[Completed Orders]])-Salary_Calculation[[#This Row],[Rider Target Orders]],0))</f>
        <v/>
      </c>
      <c r="P363" s="164" t="str">
        <f aca="false">IF(Salary_Calculation[[#This Row],[Source Row]]="","",Salary_Calculation[[#This Row],[Extra Orders]]*Extra_Rate)</f>
        <v/>
      </c>
      <c r="Q363" s="164" t="str">
        <f aca="false">IF(Salary_Calculation[[#This Row],[Source Row]]="","",MAX(Salary_Calculation[[#This Row],[Salary Before Other Deductions]],0))</f>
        <v/>
      </c>
      <c r="R363" s="164" t="str">
        <f aca="false">IF(Salary_Calculation[[#This Row],[Source Row]]="","",N(INDEX(Rider_Input[missed_days_penalty],Salary_Calculation[[#This Row],[Source Row]])))</f>
        <v/>
      </c>
      <c r="S363" s="164" t="str">
        <f aca="false">IF(Salary_Calculation[[#This Row],[Source Row]]="","",N(INDEX(Rider_Input[Rider Balance / محفظة المندوب],Salary_Calculation[[#This Row],[Source Row]])))</f>
        <v/>
      </c>
      <c r="T363" s="164" t="str">
        <f aca="false">IF(Salary_Calculation[[#This Row],[Source Row]]="","",N(INDEX(Rider_Input[stacking_deduction / خصم الطلبات المتعددة],Salary_Calculation[[#This Row],[Source Row]])))</f>
        <v/>
      </c>
      <c r="U363" s="164" t="str">
        <f aca="false">IF(Salary_Calculation[[#This Row],[Source Row]]="","",N(INDEX(Rider_Input[Other Deductions],Salary_Calculation[[#This Row],[Source Row]])))</f>
        <v/>
      </c>
      <c r="V363" s="164" t="str">
        <f aca="false">IF(Salary_Calculation[[#This Row],[Source Row]]="","",N(Salary_Calculation[[#This Row],[missed_days_penalty]])+N(Salary_Calculation[[#This Row],[Rider Balance]])+N(Salary_Calculation[[#This Row],[stacking_deduction]])+N(Salary_Calculation[[#This Row],[Other Deductions]]))</f>
        <v/>
      </c>
      <c r="W363" s="167" t="str">
        <f aca="false">IF(Salary_Calculation[[#This Row],[Source Row]]="","",ROUND(MAX(Salary_Calculation[[#This Row],[Gross Salary Before Deductions]]-Salary_Calculation[[#This Row],[Total Deductions]],0),2))</f>
        <v/>
      </c>
      <c r="X363" s="164" t="str">
        <f aca="false">IF(Salary_Calculation[[#This Row],[Source Row]]="","",ROUND(MAX(Salary_Calculation[[#This Row],[Missing-Order Deduction]]-Salary_Calculation[[#This Row],[Earned Salary]],0),2))</f>
        <v/>
      </c>
      <c r="Y36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63" s="163" t="str">
        <f aca="false">IF(Salary_Calculation[[#This Row],[Source Row]]="","",IF(INDEX(Rider_Input[Notes],Salary_Calculation[[#This Row],[Source Row]])="","",INDEX(Rider_Input[Notes],Salary_Calculation[[#This Row],[Source Row]])))</f>
        <v/>
      </c>
      <c r="AA363" s="164" t="str">
        <f aca="false">IF(Salary_Calculation[[#This Row],[Source Row]]="","",Salary_Calculation[[#This Row],[Earned Salary]]-Salary_Calculation[[#This Row],[Missing-Order Deduction]]+Salary_Calculation[[#This Row],[Extra-Order Bonus]])</f>
        <v/>
      </c>
      <c r="AB363" s="164" t="str">
        <f aca="false">IF(Salary_Calculation[[#This Row],[Source Row]]="","",ROUND(Salary_Calculation[[#This Row],[Negative Balance / Amount Due from Rider]]+MAX(Salary_Calculation[[#This Row],[Total Deductions]]-Salary_Calculation[[#This Row],[Gross Salary Before Deductions]],0),2))</f>
        <v/>
      </c>
      <c r="AC36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63" s="164" t="str">
        <f aca="false">IF(Salary_Calculation[[#This Row],[Source Row]]="","",Salary_Calculation[[#This Row],[Rider Target Orders]]*Salary_Calculation[[#This Row],[Base Order Rate]])</f>
        <v/>
      </c>
      <c r="AE363" s="162" t="str">
        <f aca="false">IF(SUMPRODUCT(--(LEN(INDEX(Rider_Input[#Data],ROW()-ROW(Salary_Calculation[#Headers]),0))&gt;0))=0,"",ROW()-ROW(Salary_Calculation[#Headers]))</f>
        <v/>
      </c>
    </row>
    <row r="364" customFormat="false" ht="14.25" hidden="false" customHeight="false" outlineLevel="0" collapsed="false">
      <c r="A364" s="161" t="str">
        <f aca="false">IF(Salary_Calculation[[#This Row],[Source Row]]="","",IF(INDEX(Rider_Input[Salary Month],Salary_Calculation[[#This Row],[Source Row]])="","",INDEX(Rider_Input[Salary Month],Salary_Calculation[[#This Row],[Source Row]])))</f>
        <v/>
      </c>
      <c r="B364" s="162" t="str">
        <f aca="false">IF(Salary_Calculation[[#This Row],[Source Row]]="","",IF(INDEX(Rider_Input[Rider ID],Salary_Calculation[[#This Row],[Source Row]])="","",INDEX(Rider_Input[Rider ID],Salary_Calculation[[#This Row],[Source Row]])))</f>
        <v/>
      </c>
      <c r="C364" s="163" t="str">
        <f aca="false">IF(Salary_Calculation[[#This Row],[Source Row]]="","",IF(INDEX(Rider_Input[Rider Name],Salary_Calculation[[#This Row],[Source Row]])="","",INDEX(Rider_Input[Rider Name],Salary_Calculation[[#This Row],[Source Row]])))</f>
        <v/>
      </c>
      <c r="D364" s="164" t="str">
        <f aca="false">IF(Salary_Calculation[[#This Row],[Source Row]]="","",IF(INDEX(Rider_Input[Basic Payment],Salary_Calculation[[#This Row],[Source Row]])="","",INDEX(Rider_Input[Basic Payment],Salary_Calculation[[#This Row],[Source Row]])))</f>
        <v/>
      </c>
      <c r="E364" s="162" t="str">
        <f aca="false">IF(Salary_Calculation[[#This Row],[Source Row]]="","",IF(INDEX(Rider_Input[Calendar Days in Month],Salary_Calculation[[#This Row],[Source Row]])="","",INDEX(Rider_Input[Calendar Days in Month],Salary_Calculation[[#This Row],[Source Row]])))</f>
        <v/>
      </c>
      <c r="F364" s="162" t="str">
        <f aca="false">IF(Salary_Calculation[[#This Row],[Source Row]]="","",IF(INDEX(Rider_Input[Working Days],Salary_Calculation[[#This Row],[Source Row]])="","",INDEX(Rider_Input[Working Days],Salary_Calculation[[#This Row],[Source Row]])))</f>
        <v/>
      </c>
      <c r="G364" s="165" t="str">
        <f aca="false">IF(Salary_Calculation[[#This Row],[Source Row]]="","",Std_Orders/Std_Days*N(Salary_Calculation[[#This Row],[Calendar Days]]))</f>
        <v/>
      </c>
      <c r="H364" s="165" t="str">
        <f aca="false">IF(Salary_Calculation[[#This Row],[Source Row]]="","",IF(N(Salary_Calculation[[#This Row],[Calendar Days]])&gt;0,Salary_Calculation[[#This Row],[Monthly Target Orders]]/N(Salary_Calculation[[#This Row],[Calendar Days]])*N(Salary_Calculation[[#This Row],[Working Days]]),0))</f>
        <v/>
      </c>
      <c r="I364" s="166" t="str">
        <f aca="false">IF(Salary_Calculation[[#This Row],[Source Row]]="","",IF(INDEX(Rider_Input[Completed Orders],Salary_Calculation[[#This Row],[Source Row]])="","",INDEX(Rider_Input[Completed Orders],Salary_Calculation[[#This Row],[Source Row]])))</f>
        <v/>
      </c>
      <c r="J364" s="165" t="str">
        <f aca="false">IF(Salary_Calculation[[#This Row],[Source Row]]="","",IF(Rate_Method="Fixed rate",Fixed_Rate,IF(N(Salary_Calculation[[#This Row],[Basic Payment]])&gt;0,N(Salary_Calculation[[#This Row],[Basic Payment]])/Std_Orders,0)))</f>
        <v/>
      </c>
      <c r="K364" s="165" t="str">
        <f aca="false">IF(Salary_Calculation[[#This Row],[Source Row]]="","",MAX(MIN(N(Salary_Calculation[[#This Row],[Completed Orders]]),Salary_Calculation[[#This Row],[Rider Target Orders]]),0))</f>
        <v/>
      </c>
      <c r="L364" s="164" t="str">
        <f aca="false">IF(Salary_Calculation[[#This Row],[Source Row]]="","",Salary_Calculation[[#This Row],[Orders Counted at Base Rate]]*Salary_Calculation[[#This Row],[Base Order Rate]])</f>
        <v/>
      </c>
      <c r="M364" s="165" t="str">
        <f aca="false">IF(Salary_Calculation[[#This Row],[Source Row]]="","",MAX(Salary_Calculation[[#This Row],[Rider Target Orders]]-N(Salary_Calculation[[#This Row],[Completed Orders]]),0))</f>
        <v/>
      </c>
      <c r="N364" s="164" t="str">
        <f aca="false">IF(Salary_Calculation[[#This Row],[Source Row]]="","",Salary_Calculation[[#This Row],[Missing Orders]]*Missing_Rate)</f>
        <v/>
      </c>
      <c r="O364" s="165" t="str">
        <f aca="false">IF(Salary_Calculation[[#This Row],[Source Row]]="","",MAX(N(Salary_Calculation[[#This Row],[Completed Orders]])-Salary_Calculation[[#This Row],[Rider Target Orders]],0))</f>
        <v/>
      </c>
      <c r="P364" s="164" t="str">
        <f aca="false">IF(Salary_Calculation[[#This Row],[Source Row]]="","",Salary_Calculation[[#This Row],[Extra Orders]]*Extra_Rate)</f>
        <v/>
      </c>
      <c r="Q364" s="164" t="str">
        <f aca="false">IF(Salary_Calculation[[#This Row],[Source Row]]="","",MAX(Salary_Calculation[[#This Row],[Salary Before Other Deductions]],0))</f>
        <v/>
      </c>
      <c r="R364" s="164" t="str">
        <f aca="false">IF(Salary_Calculation[[#This Row],[Source Row]]="","",N(INDEX(Rider_Input[missed_days_penalty],Salary_Calculation[[#This Row],[Source Row]])))</f>
        <v/>
      </c>
      <c r="S364" s="164" t="str">
        <f aca="false">IF(Salary_Calculation[[#This Row],[Source Row]]="","",N(INDEX(Rider_Input[Rider Balance / محفظة المندوب],Salary_Calculation[[#This Row],[Source Row]])))</f>
        <v/>
      </c>
      <c r="T364" s="164" t="str">
        <f aca="false">IF(Salary_Calculation[[#This Row],[Source Row]]="","",N(INDEX(Rider_Input[stacking_deduction / خصم الطلبات المتعددة],Salary_Calculation[[#This Row],[Source Row]])))</f>
        <v/>
      </c>
      <c r="U364" s="164" t="str">
        <f aca="false">IF(Salary_Calculation[[#This Row],[Source Row]]="","",N(INDEX(Rider_Input[Other Deductions],Salary_Calculation[[#This Row],[Source Row]])))</f>
        <v/>
      </c>
      <c r="V364" s="164" t="str">
        <f aca="false">IF(Salary_Calculation[[#This Row],[Source Row]]="","",N(Salary_Calculation[[#This Row],[missed_days_penalty]])+N(Salary_Calculation[[#This Row],[Rider Balance]])+N(Salary_Calculation[[#This Row],[stacking_deduction]])+N(Salary_Calculation[[#This Row],[Other Deductions]]))</f>
        <v/>
      </c>
      <c r="W364" s="167" t="str">
        <f aca="false">IF(Salary_Calculation[[#This Row],[Source Row]]="","",ROUND(MAX(Salary_Calculation[[#This Row],[Gross Salary Before Deductions]]-Salary_Calculation[[#This Row],[Total Deductions]],0),2))</f>
        <v/>
      </c>
      <c r="X364" s="164" t="str">
        <f aca="false">IF(Salary_Calculation[[#This Row],[Source Row]]="","",ROUND(MAX(Salary_Calculation[[#This Row],[Missing-Order Deduction]]-Salary_Calculation[[#This Row],[Earned Salary]],0),2))</f>
        <v/>
      </c>
      <c r="Y36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64" s="163" t="str">
        <f aca="false">IF(Salary_Calculation[[#This Row],[Source Row]]="","",IF(INDEX(Rider_Input[Notes],Salary_Calculation[[#This Row],[Source Row]])="","",INDEX(Rider_Input[Notes],Salary_Calculation[[#This Row],[Source Row]])))</f>
        <v/>
      </c>
      <c r="AA364" s="164" t="str">
        <f aca="false">IF(Salary_Calculation[[#This Row],[Source Row]]="","",Salary_Calculation[[#This Row],[Earned Salary]]-Salary_Calculation[[#This Row],[Missing-Order Deduction]]+Salary_Calculation[[#This Row],[Extra-Order Bonus]])</f>
        <v/>
      </c>
      <c r="AB364" s="164" t="str">
        <f aca="false">IF(Salary_Calculation[[#This Row],[Source Row]]="","",ROUND(Salary_Calculation[[#This Row],[Negative Balance / Amount Due from Rider]]+MAX(Salary_Calculation[[#This Row],[Total Deductions]]-Salary_Calculation[[#This Row],[Gross Salary Before Deductions]],0),2))</f>
        <v/>
      </c>
      <c r="AC36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64" s="164" t="str">
        <f aca="false">IF(Salary_Calculation[[#This Row],[Source Row]]="","",Salary_Calculation[[#This Row],[Rider Target Orders]]*Salary_Calculation[[#This Row],[Base Order Rate]])</f>
        <v/>
      </c>
      <c r="AE364" s="162" t="str">
        <f aca="false">IF(SUMPRODUCT(--(LEN(INDEX(Rider_Input[#Data],ROW()-ROW(Salary_Calculation[#Headers]),0))&gt;0))=0,"",ROW()-ROW(Salary_Calculation[#Headers]))</f>
        <v/>
      </c>
    </row>
    <row r="365" customFormat="false" ht="14.25" hidden="false" customHeight="false" outlineLevel="0" collapsed="false">
      <c r="A365" s="161" t="str">
        <f aca="false">IF(Salary_Calculation[[#This Row],[Source Row]]="","",IF(INDEX(Rider_Input[Salary Month],Salary_Calculation[[#This Row],[Source Row]])="","",INDEX(Rider_Input[Salary Month],Salary_Calculation[[#This Row],[Source Row]])))</f>
        <v/>
      </c>
      <c r="B365" s="162" t="str">
        <f aca="false">IF(Salary_Calculation[[#This Row],[Source Row]]="","",IF(INDEX(Rider_Input[Rider ID],Salary_Calculation[[#This Row],[Source Row]])="","",INDEX(Rider_Input[Rider ID],Salary_Calculation[[#This Row],[Source Row]])))</f>
        <v/>
      </c>
      <c r="C365" s="163" t="str">
        <f aca="false">IF(Salary_Calculation[[#This Row],[Source Row]]="","",IF(INDEX(Rider_Input[Rider Name],Salary_Calculation[[#This Row],[Source Row]])="","",INDEX(Rider_Input[Rider Name],Salary_Calculation[[#This Row],[Source Row]])))</f>
        <v/>
      </c>
      <c r="D365" s="164" t="str">
        <f aca="false">IF(Salary_Calculation[[#This Row],[Source Row]]="","",IF(INDEX(Rider_Input[Basic Payment],Salary_Calculation[[#This Row],[Source Row]])="","",INDEX(Rider_Input[Basic Payment],Salary_Calculation[[#This Row],[Source Row]])))</f>
        <v/>
      </c>
      <c r="E365" s="162" t="str">
        <f aca="false">IF(Salary_Calculation[[#This Row],[Source Row]]="","",IF(INDEX(Rider_Input[Calendar Days in Month],Salary_Calculation[[#This Row],[Source Row]])="","",INDEX(Rider_Input[Calendar Days in Month],Salary_Calculation[[#This Row],[Source Row]])))</f>
        <v/>
      </c>
      <c r="F365" s="162" t="str">
        <f aca="false">IF(Salary_Calculation[[#This Row],[Source Row]]="","",IF(INDEX(Rider_Input[Working Days],Salary_Calculation[[#This Row],[Source Row]])="","",INDEX(Rider_Input[Working Days],Salary_Calculation[[#This Row],[Source Row]])))</f>
        <v/>
      </c>
      <c r="G365" s="165" t="str">
        <f aca="false">IF(Salary_Calculation[[#This Row],[Source Row]]="","",Std_Orders/Std_Days*N(Salary_Calculation[[#This Row],[Calendar Days]]))</f>
        <v/>
      </c>
      <c r="H365" s="165" t="str">
        <f aca="false">IF(Salary_Calculation[[#This Row],[Source Row]]="","",IF(N(Salary_Calculation[[#This Row],[Calendar Days]])&gt;0,Salary_Calculation[[#This Row],[Monthly Target Orders]]/N(Salary_Calculation[[#This Row],[Calendar Days]])*N(Salary_Calculation[[#This Row],[Working Days]]),0))</f>
        <v/>
      </c>
      <c r="I365" s="166" t="str">
        <f aca="false">IF(Salary_Calculation[[#This Row],[Source Row]]="","",IF(INDEX(Rider_Input[Completed Orders],Salary_Calculation[[#This Row],[Source Row]])="","",INDEX(Rider_Input[Completed Orders],Salary_Calculation[[#This Row],[Source Row]])))</f>
        <v/>
      </c>
      <c r="J365" s="165" t="str">
        <f aca="false">IF(Salary_Calculation[[#This Row],[Source Row]]="","",IF(Rate_Method="Fixed rate",Fixed_Rate,IF(N(Salary_Calculation[[#This Row],[Basic Payment]])&gt;0,N(Salary_Calculation[[#This Row],[Basic Payment]])/Std_Orders,0)))</f>
        <v/>
      </c>
      <c r="K365" s="165" t="str">
        <f aca="false">IF(Salary_Calculation[[#This Row],[Source Row]]="","",MAX(MIN(N(Salary_Calculation[[#This Row],[Completed Orders]]),Salary_Calculation[[#This Row],[Rider Target Orders]]),0))</f>
        <v/>
      </c>
      <c r="L365" s="164" t="str">
        <f aca="false">IF(Salary_Calculation[[#This Row],[Source Row]]="","",Salary_Calculation[[#This Row],[Orders Counted at Base Rate]]*Salary_Calculation[[#This Row],[Base Order Rate]])</f>
        <v/>
      </c>
      <c r="M365" s="165" t="str">
        <f aca="false">IF(Salary_Calculation[[#This Row],[Source Row]]="","",MAX(Salary_Calculation[[#This Row],[Rider Target Orders]]-N(Salary_Calculation[[#This Row],[Completed Orders]]),0))</f>
        <v/>
      </c>
      <c r="N365" s="164" t="str">
        <f aca="false">IF(Salary_Calculation[[#This Row],[Source Row]]="","",Salary_Calculation[[#This Row],[Missing Orders]]*Missing_Rate)</f>
        <v/>
      </c>
      <c r="O365" s="165" t="str">
        <f aca="false">IF(Salary_Calculation[[#This Row],[Source Row]]="","",MAX(N(Salary_Calculation[[#This Row],[Completed Orders]])-Salary_Calculation[[#This Row],[Rider Target Orders]],0))</f>
        <v/>
      </c>
      <c r="P365" s="164" t="str">
        <f aca="false">IF(Salary_Calculation[[#This Row],[Source Row]]="","",Salary_Calculation[[#This Row],[Extra Orders]]*Extra_Rate)</f>
        <v/>
      </c>
      <c r="Q365" s="164" t="str">
        <f aca="false">IF(Salary_Calculation[[#This Row],[Source Row]]="","",MAX(Salary_Calculation[[#This Row],[Salary Before Other Deductions]],0))</f>
        <v/>
      </c>
      <c r="R365" s="164" t="str">
        <f aca="false">IF(Salary_Calculation[[#This Row],[Source Row]]="","",N(INDEX(Rider_Input[missed_days_penalty],Salary_Calculation[[#This Row],[Source Row]])))</f>
        <v/>
      </c>
      <c r="S365" s="164" t="str">
        <f aca="false">IF(Salary_Calculation[[#This Row],[Source Row]]="","",N(INDEX(Rider_Input[Rider Balance / محفظة المندوب],Salary_Calculation[[#This Row],[Source Row]])))</f>
        <v/>
      </c>
      <c r="T365" s="164" t="str">
        <f aca="false">IF(Salary_Calculation[[#This Row],[Source Row]]="","",N(INDEX(Rider_Input[stacking_deduction / خصم الطلبات المتعددة],Salary_Calculation[[#This Row],[Source Row]])))</f>
        <v/>
      </c>
      <c r="U365" s="164" t="str">
        <f aca="false">IF(Salary_Calculation[[#This Row],[Source Row]]="","",N(INDEX(Rider_Input[Other Deductions],Salary_Calculation[[#This Row],[Source Row]])))</f>
        <v/>
      </c>
      <c r="V365" s="164" t="str">
        <f aca="false">IF(Salary_Calculation[[#This Row],[Source Row]]="","",N(Salary_Calculation[[#This Row],[missed_days_penalty]])+N(Salary_Calculation[[#This Row],[Rider Balance]])+N(Salary_Calculation[[#This Row],[stacking_deduction]])+N(Salary_Calculation[[#This Row],[Other Deductions]]))</f>
        <v/>
      </c>
      <c r="W365" s="167" t="str">
        <f aca="false">IF(Salary_Calculation[[#This Row],[Source Row]]="","",ROUND(MAX(Salary_Calculation[[#This Row],[Gross Salary Before Deductions]]-Salary_Calculation[[#This Row],[Total Deductions]],0),2))</f>
        <v/>
      </c>
      <c r="X365" s="164" t="str">
        <f aca="false">IF(Salary_Calculation[[#This Row],[Source Row]]="","",ROUND(MAX(Salary_Calculation[[#This Row],[Missing-Order Deduction]]-Salary_Calculation[[#This Row],[Earned Salary]],0),2))</f>
        <v/>
      </c>
      <c r="Y36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65" s="163" t="str">
        <f aca="false">IF(Salary_Calculation[[#This Row],[Source Row]]="","",IF(INDEX(Rider_Input[Notes],Salary_Calculation[[#This Row],[Source Row]])="","",INDEX(Rider_Input[Notes],Salary_Calculation[[#This Row],[Source Row]])))</f>
        <v/>
      </c>
      <c r="AA365" s="164" t="str">
        <f aca="false">IF(Salary_Calculation[[#This Row],[Source Row]]="","",Salary_Calculation[[#This Row],[Earned Salary]]-Salary_Calculation[[#This Row],[Missing-Order Deduction]]+Salary_Calculation[[#This Row],[Extra-Order Bonus]])</f>
        <v/>
      </c>
      <c r="AB365" s="164" t="str">
        <f aca="false">IF(Salary_Calculation[[#This Row],[Source Row]]="","",ROUND(Salary_Calculation[[#This Row],[Negative Balance / Amount Due from Rider]]+MAX(Salary_Calculation[[#This Row],[Total Deductions]]-Salary_Calculation[[#This Row],[Gross Salary Before Deductions]],0),2))</f>
        <v/>
      </c>
      <c r="AC36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65" s="164" t="str">
        <f aca="false">IF(Salary_Calculation[[#This Row],[Source Row]]="","",Salary_Calculation[[#This Row],[Rider Target Orders]]*Salary_Calculation[[#This Row],[Base Order Rate]])</f>
        <v/>
      </c>
      <c r="AE365" s="162" t="str">
        <f aca="false">IF(SUMPRODUCT(--(LEN(INDEX(Rider_Input[#Data],ROW()-ROW(Salary_Calculation[#Headers]),0))&gt;0))=0,"",ROW()-ROW(Salary_Calculation[#Headers]))</f>
        <v/>
      </c>
    </row>
    <row r="366" customFormat="false" ht="14.25" hidden="false" customHeight="false" outlineLevel="0" collapsed="false">
      <c r="A366" s="161" t="str">
        <f aca="false">IF(Salary_Calculation[[#This Row],[Source Row]]="","",IF(INDEX(Rider_Input[Salary Month],Salary_Calculation[[#This Row],[Source Row]])="","",INDEX(Rider_Input[Salary Month],Salary_Calculation[[#This Row],[Source Row]])))</f>
        <v/>
      </c>
      <c r="B366" s="162" t="str">
        <f aca="false">IF(Salary_Calculation[[#This Row],[Source Row]]="","",IF(INDEX(Rider_Input[Rider ID],Salary_Calculation[[#This Row],[Source Row]])="","",INDEX(Rider_Input[Rider ID],Salary_Calculation[[#This Row],[Source Row]])))</f>
        <v/>
      </c>
      <c r="C366" s="163" t="str">
        <f aca="false">IF(Salary_Calculation[[#This Row],[Source Row]]="","",IF(INDEX(Rider_Input[Rider Name],Salary_Calculation[[#This Row],[Source Row]])="","",INDEX(Rider_Input[Rider Name],Salary_Calculation[[#This Row],[Source Row]])))</f>
        <v/>
      </c>
      <c r="D366" s="164" t="str">
        <f aca="false">IF(Salary_Calculation[[#This Row],[Source Row]]="","",IF(INDEX(Rider_Input[Basic Payment],Salary_Calculation[[#This Row],[Source Row]])="","",INDEX(Rider_Input[Basic Payment],Salary_Calculation[[#This Row],[Source Row]])))</f>
        <v/>
      </c>
      <c r="E366" s="162" t="str">
        <f aca="false">IF(Salary_Calculation[[#This Row],[Source Row]]="","",IF(INDEX(Rider_Input[Calendar Days in Month],Salary_Calculation[[#This Row],[Source Row]])="","",INDEX(Rider_Input[Calendar Days in Month],Salary_Calculation[[#This Row],[Source Row]])))</f>
        <v/>
      </c>
      <c r="F366" s="162" t="str">
        <f aca="false">IF(Salary_Calculation[[#This Row],[Source Row]]="","",IF(INDEX(Rider_Input[Working Days],Salary_Calculation[[#This Row],[Source Row]])="","",INDEX(Rider_Input[Working Days],Salary_Calculation[[#This Row],[Source Row]])))</f>
        <v/>
      </c>
      <c r="G366" s="165" t="str">
        <f aca="false">IF(Salary_Calculation[[#This Row],[Source Row]]="","",Std_Orders/Std_Days*N(Salary_Calculation[[#This Row],[Calendar Days]]))</f>
        <v/>
      </c>
      <c r="H366" s="165" t="str">
        <f aca="false">IF(Salary_Calculation[[#This Row],[Source Row]]="","",IF(N(Salary_Calculation[[#This Row],[Calendar Days]])&gt;0,Salary_Calculation[[#This Row],[Monthly Target Orders]]/N(Salary_Calculation[[#This Row],[Calendar Days]])*N(Salary_Calculation[[#This Row],[Working Days]]),0))</f>
        <v/>
      </c>
      <c r="I366" s="166" t="str">
        <f aca="false">IF(Salary_Calculation[[#This Row],[Source Row]]="","",IF(INDEX(Rider_Input[Completed Orders],Salary_Calculation[[#This Row],[Source Row]])="","",INDEX(Rider_Input[Completed Orders],Salary_Calculation[[#This Row],[Source Row]])))</f>
        <v/>
      </c>
      <c r="J366" s="165" t="str">
        <f aca="false">IF(Salary_Calculation[[#This Row],[Source Row]]="","",IF(Rate_Method="Fixed rate",Fixed_Rate,IF(N(Salary_Calculation[[#This Row],[Basic Payment]])&gt;0,N(Salary_Calculation[[#This Row],[Basic Payment]])/Std_Orders,0)))</f>
        <v/>
      </c>
      <c r="K366" s="165" t="str">
        <f aca="false">IF(Salary_Calculation[[#This Row],[Source Row]]="","",MAX(MIN(N(Salary_Calculation[[#This Row],[Completed Orders]]),Salary_Calculation[[#This Row],[Rider Target Orders]]),0))</f>
        <v/>
      </c>
      <c r="L366" s="164" t="str">
        <f aca="false">IF(Salary_Calculation[[#This Row],[Source Row]]="","",Salary_Calculation[[#This Row],[Orders Counted at Base Rate]]*Salary_Calculation[[#This Row],[Base Order Rate]])</f>
        <v/>
      </c>
      <c r="M366" s="165" t="str">
        <f aca="false">IF(Salary_Calculation[[#This Row],[Source Row]]="","",MAX(Salary_Calculation[[#This Row],[Rider Target Orders]]-N(Salary_Calculation[[#This Row],[Completed Orders]]),0))</f>
        <v/>
      </c>
      <c r="N366" s="164" t="str">
        <f aca="false">IF(Salary_Calculation[[#This Row],[Source Row]]="","",Salary_Calculation[[#This Row],[Missing Orders]]*Missing_Rate)</f>
        <v/>
      </c>
      <c r="O366" s="165" t="str">
        <f aca="false">IF(Salary_Calculation[[#This Row],[Source Row]]="","",MAX(N(Salary_Calculation[[#This Row],[Completed Orders]])-Salary_Calculation[[#This Row],[Rider Target Orders]],0))</f>
        <v/>
      </c>
      <c r="P366" s="164" t="str">
        <f aca="false">IF(Salary_Calculation[[#This Row],[Source Row]]="","",Salary_Calculation[[#This Row],[Extra Orders]]*Extra_Rate)</f>
        <v/>
      </c>
      <c r="Q366" s="164" t="str">
        <f aca="false">IF(Salary_Calculation[[#This Row],[Source Row]]="","",MAX(Salary_Calculation[[#This Row],[Salary Before Other Deductions]],0))</f>
        <v/>
      </c>
      <c r="R366" s="164" t="str">
        <f aca="false">IF(Salary_Calculation[[#This Row],[Source Row]]="","",N(INDEX(Rider_Input[missed_days_penalty],Salary_Calculation[[#This Row],[Source Row]])))</f>
        <v/>
      </c>
      <c r="S366" s="164" t="str">
        <f aca="false">IF(Salary_Calculation[[#This Row],[Source Row]]="","",N(INDEX(Rider_Input[Rider Balance / محفظة المندوب],Salary_Calculation[[#This Row],[Source Row]])))</f>
        <v/>
      </c>
      <c r="T366" s="164" t="str">
        <f aca="false">IF(Salary_Calculation[[#This Row],[Source Row]]="","",N(INDEX(Rider_Input[stacking_deduction / خصم الطلبات المتعددة],Salary_Calculation[[#This Row],[Source Row]])))</f>
        <v/>
      </c>
      <c r="U366" s="164" t="str">
        <f aca="false">IF(Salary_Calculation[[#This Row],[Source Row]]="","",N(INDEX(Rider_Input[Other Deductions],Salary_Calculation[[#This Row],[Source Row]])))</f>
        <v/>
      </c>
      <c r="V366" s="164" t="str">
        <f aca="false">IF(Salary_Calculation[[#This Row],[Source Row]]="","",N(Salary_Calculation[[#This Row],[missed_days_penalty]])+N(Salary_Calculation[[#This Row],[Rider Balance]])+N(Salary_Calculation[[#This Row],[stacking_deduction]])+N(Salary_Calculation[[#This Row],[Other Deductions]]))</f>
        <v/>
      </c>
      <c r="W366" s="167" t="str">
        <f aca="false">IF(Salary_Calculation[[#This Row],[Source Row]]="","",ROUND(MAX(Salary_Calculation[[#This Row],[Gross Salary Before Deductions]]-Salary_Calculation[[#This Row],[Total Deductions]],0),2))</f>
        <v/>
      </c>
      <c r="X366" s="164" t="str">
        <f aca="false">IF(Salary_Calculation[[#This Row],[Source Row]]="","",ROUND(MAX(Salary_Calculation[[#This Row],[Missing-Order Deduction]]-Salary_Calculation[[#This Row],[Earned Salary]],0),2))</f>
        <v/>
      </c>
      <c r="Y36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66" s="163" t="str">
        <f aca="false">IF(Salary_Calculation[[#This Row],[Source Row]]="","",IF(INDEX(Rider_Input[Notes],Salary_Calculation[[#This Row],[Source Row]])="","",INDEX(Rider_Input[Notes],Salary_Calculation[[#This Row],[Source Row]])))</f>
        <v/>
      </c>
      <c r="AA366" s="164" t="str">
        <f aca="false">IF(Salary_Calculation[[#This Row],[Source Row]]="","",Salary_Calculation[[#This Row],[Earned Salary]]-Salary_Calculation[[#This Row],[Missing-Order Deduction]]+Salary_Calculation[[#This Row],[Extra-Order Bonus]])</f>
        <v/>
      </c>
      <c r="AB366" s="164" t="str">
        <f aca="false">IF(Salary_Calculation[[#This Row],[Source Row]]="","",ROUND(Salary_Calculation[[#This Row],[Negative Balance / Amount Due from Rider]]+MAX(Salary_Calculation[[#This Row],[Total Deductions]]-Salary_Calculation[[#This Row],[Gross Salary Before Deductions]],0),2))</f>
        <v/>
      </c>
      <c r="AC36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66" s="164" t="str">
        <f aca="false">IF(Salary_Calculation[[#This Row],[Source Row]]="","",Salary_Calculation[[#This Row],[Rider Target Orders]]*Salary_Calculation[[#This Row],[Base Order Rate]])</f>
        <v/>
      </c>
      <c r="AE366" s="162" t="str">
        <f aca="false">IF(SUMPRODUCT(--(LEN(INDEX(Rider_Input[#Data],ROW()-ROW(Salary_Calculation[#Headers]),0))&gt;0))=0,"",ROW()-ROW(Salary_Calculation[#Headers]))</f>
        <v/>
      </c>
    </row>
    <row r="367" customFormat="false" ht="14.25" hidden="false" customHeight="false" outlineLevel="0" collapsed="false">
      <c r="A367" s="161" t="str">
        <f aca="false">IF(Salary_Calculation[[#This Row],[Source Row]]="","",IF(INDEX(Rider_Input[Salary Month],Salary_Calculation[[#This Row],[Source Row]])="","",INDEX(Rider_Input[Salary Month],Salary_Calculation[[#This Row],[Source Row]])))</f>
        <v/>
      </c>
      <c r="B367" s="162" t="str">
        <f aca="false">IF(Salary_Calculation[[#This Row],[Source Row]]="","",IF(INDEX(Rider_Input[Rider ID],Salary_Calculation[[#This Row],[Source Row]])="","",INDEX(Rider_Input[Rider ID],Salary_Calculation[[#This Row],[Source Row]])))</f>
        <v/>
      </c>
      <c r="C367" s="163" t="str">
        <f aca="false">IF(Salary_Calculation[[#This Row],[Source Row]]="","",IF(INDEX(Rider_Input[Rider Name],Salary_Calculation[[#This Row],[Source Row]])="","",INDEX(Rider_Input[Rider Name],Salary_Calculation[[#This Row],[Source Row]])))</f>
        <v/>
      </c>
      <c r="D367" s="164" t="str">
        <f aca="false">IF(Salary_Calculation[[#This Row],[Source Row]]="","",IF(INDEX(Rider_Input[Basic Payment],Salary_Calculation[[#This Row],[Source Row]])="","",INDEX(Rider_Input[Basic Payment],Salary_Calculation[[#This Row],[Source Row]])))</f>
        <v/>
      </c>
      <c r="E367" s="162" t="str">
        <f aca="false">IF(Salary_Calculation[[#This Row],[Source Row]]="","",IF(INDEX(Rider_Input[Calendar Days in Month],Salary_Calculation[[#This Row],[Source Row]])="","",INDEX(Rider_Input[Calendar Days in Month],Salary_Calculation[[#This Row],[Source Row]])))</f>
        <v/>
      </c>
      <c r="F367" s="162" t="str">
        <f aca="false">IF(Salary_Calculation[[#This Row],[Source Row]]="","",IF(INDEX(Rider_Input[Working Days],Salary_Calculation[[#This Row],[Source Row]])="","",INDEX(Rider_Input[Working Days],Salary_Calculation[[#This Row],[Source Row]])))</f>
        <v/>
      </c>
      <c r="G367" s="165" t="str">
        <f aca="false">IF(Salary_Calculation[[#This Row],[Source Row]]="","",Std_Orders/Std_Days*N(Salary_Calculation[[#This Row],[Calendar Days]]))</f>
        <v/>
      </c>
      <c r="H367" s="165" t="str">
        <f aca="false">IF(Salary_Calculation[[#This Row],[Source Row]]="","",IF(N(Salary_Calculation[[#This Row],[Calendar Days]])&gt;0,Salary_Calculation[[#This Row],[Monthly Target Orders]]/N(Salary_Calculation[[#This Row],[Calendar Days]])*N(Salary_Calculation[[#This Row],[Working Days]]),0))</f>
        <v/>
      </c>
      <c r="I367" s="166" t="str">
        <f aca="false">IF(Salary_Calculation[[#This Row],[Source Row]]="","",IF(INDEX(Rider_Input[Completed Orders],Salary_Calculation[[#This Row],[Source Row]])="","",INDEX(Rider_Input[Completed Orders],Salary_Calculation[[#This Row],[Source Row]])))</f>
        <v/>
      </c>
      <c r="J367" s="165" t="str">
        <f aca="false">IF(Salary_Calculation[[#This Row],[Source Row]]="","",IF(Rate_Method="Fixed rate",Fixed_Rate,IF(N(Salary_Calculation[[#This Row],[Basic Payment]])&gt;0,N(Salary_Calculation[[#This Row],[Basic Payment]])/Std_Orders,0)))</f>
        <v/>
      </c>
      <c r="K367" s="165" t="str">
        <f aca="false">IF(Salary_Calculation[[#This Row],[Source Row]]="","",MAX(MIN(N(Salary_Calculation[[#This Row],[Completed Orders]]),Salary_Calculation[[#This Row],[Rider Target Orders]]),0))</f>
        <v/>
      </c>
      <c r="L367" s="164" t="str">
        <f aca="false">IF(Salary_Calculation[[#This Row],[Source Row]]="","",Salary_Calculation[[#This Row],[Orders Counted at Base Rate]]*Salary_Calculation[[#This Row],[Base Order Rate]])</f>
        <v/>
      </c>
      <c r="M367" s="165" t="str">
        <f aca="false">IF(Salary_Calculation[[#This Row],[Source Row]]="","",MAX(Salary_Calculation[[#This Row],[Rider Target Orders]]-N(Salary_Calculation[[#This Row],[Completed Orders]]),0))</f>
        <v/>
      </c>
      <c r="N367" s="164" t="str">
        <f aca="false">IF(Salary_Calculation[[#This Row],[Source Row]]="","",Salary_Calculation[[#This Row],[Missing Orders]]*Missing_Rate)</f>
        <v/>
      </c>
      <c r="O367" s="165" t="str">
        <f aca="false">IF(Salary_Calculation[[#This Row],[Source Row]]="","",MAX(N(Salary_Calculation[[#This Row],[Completed Orders]])-Salary_Calculation[[#This Row],[Rider Target Orders]],0))</f>
        <v/>
      </c>
      <c r="P367" s="164" t="str">
        <f aca="false">IF(Salary_Calculation[[#This Row],[Source Row]]="","",Salary_Calculation[[#This Row],[Extra Orders]]*Extra_Rate)</f>
        <v/>
      </c>
      <c r="Q367" s="164" t="str">
        <f aca="false">IF(Salary_Calculation[[#This Row],[Source Row]]="","",MAX(Salary_Calculation[[#This Row],[Salary Before Other Deductions]],0))</f>
        <v/>
      </c>
      <c r="R367" s="164" t="str">
        <f aca="false">IF(Salary_Calculation[[#This Row],[Source Row]]="","",N(INDEX(Rider_Input[missed_days_penalty],Salary_Calculation[[#This Row],[Source Row]])))</f>
        <v/>
      </c>
      <c r="S367" s="164" t="str">
        <f aca="false">IF(Salary_Calculation[[#This Row],[Source Row]]="","",N(INDEX(Rider_Input[Rider Balance / محفظة المندوب],Salary_Calculation[[#This Row],[Source Row]])))</f>
        <v/>
      </c>
      <c r="T367" s="164" t="str">
        <f aca="false">IF(Salary_Calculation[[#This Row],[Source Row]]="","",N(INDEX(Rider_Input[stacking_deduction / خصم الطلبات المتعددة],Salary_Calculation[[#This Row],[Source Row]])))</f>
        <v/>
      </c>
      <c r="U367" s="164" t="str">
        <f aca="false">IF(Salary_Calculation[[#This Row],[Source Row]]="","",N(INDEX(Rider_Input[Other Deductions],Salary_Calculation[[#This Row],[Source Row]])))</f>
        <v/>
      </c>
      <c r="V367" s="164" t="str">
        <f aca="false">IF(Salary_Calculation[[#This Row],[Source Row]]="","",N(Salary_Calculation[[#This Row],[missed_days_penalty]])+N(Salary_Calculation[[#This Row],[Rider Balance]])+N(Salary_Calculation[[#This Row],[stacking_deduction]])+N(Salary_Calculation[[#This Row],[Other Deductions]]))</f>
        <v/>
      </c>
      <c r="W367" s="167" t="str">
        <f aca="false">IF(Salary_Calculation[[#This Row],[Source Row]]="","",ROUND(MAX(Salary_Calculation[[#This Row],[Gross Salary Before Deductions]]-Salary_Calculation[[#This Row],[Total Deductions]],0),2))</f>
        <v/>
      </c>
      <c r="X367" s="164" t="str">
        <f aca="false">IF(Salary_Calculation[[#This Row],[Source Row]]="","",ROUND(MAX(Salary_Calculation[[#This Row],[Missing-Order Deduction]]-Salary_Calculation[[#This Row],[Earned Salary]],0),2))</f>
        <v/>
      </c>
      <c r="Y36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67" s="163" t="str">
        <f aca="false">IF(Salary_Calculation[[#This Row],[Source Row]]="","",IF(INDEX(Rider_Input[Notes],Salary_Calculation[[#This Row],[Source Row]])="","",INDEX(Rider_Input[Notes],Salary_Calculation[[#This Row],[Source Row]])))</f>
        <v/>
      </c>
      <c r="AA367" s="164" t="str">
        <f aca="false">IF(Salary_Calculation[[#This Row],[Source Row]]="","",Salary_Calculation[[#This Row],[Earned Salary]]-Salary_Calculation[[#This Row],[Missing-Order Deduction]]+Salary_Calculation[[#This Row],[Extra-Order Bonus]])</f>
        <v/>
      </c>
      <c r="AB367" s="164" t="str">
        <f aca="false">IF(Salary_Calculation[[#This Row],[Source Row]]="","",ROUND(Salary_Calculation[[#This Row],[Negative Balance / Amount Due from Rider]]+MAX(Salary_Calculation[[#This Row],[Total Deductions]]-Salary_Calculation[[#This Row],[Gross Salary Before Deductions]],0),2))</f>
        <v/>
      </c>
      <c r="AC36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67" s="164" t="str">
        <f aca="false">IF(Salary_Calculation[[#This Row],[Source Row]]="","",Salary_Calculation[[#This Row],[Rider Target Orders]]*Salary_Calculation[[#This Row],[Base Order Rate]])</f>
        <v/>
      </c>
      <c r="AE367" s="162" t="str">
        <f aca="false">IF(SUMPRODUCT(--(LEN(INDEX(Rider_Input[#Data],ROW()-ROW(Salary_Calculation[#Headers]),0))&gt;0))=0,"",ROW()-ROW(Salary_Calculation[#Headers]))</f>
        <v/>
      </c>
    </row>
    <row r="368" customFormat="false" ht="14.25" hidden="false" customHeight="false" outlineLevel="0" collapsed="false">
      <c r="A368" s="161" t="str">
        <f aca="false">IF(Salary_Calculation[[#This Row],[Source Row]]="","",IF(INDEX(Rider_Input[Salary Month],Salary_Calculation[[#This Row],[Source Row]])="","",INDEX(Rider_Input[Salary Month],Salary_Calculation[[#This Row],[Source Row]])))</f>
        <v/>
      </c>
      <c r="B368" s="162" t="str">
        <f aca="false">IF(Salary_Calculation[[#This Row],[Source Row]]="","",IF(INDEX(Rider_Input[Rider ID],Salary_Calculation[[#This Row],[Source Row]])="","",INDEX(Rider_Input[Rider ID],Salary_Calculation[[#This Row],[Source Row]])))</f>
        <v/>
      </c>
      <c r="C368" s="163" t="str">
        <f aca="false">IF(Salary_Calculation[[#This Row],[Source Row]]="","",IF(INDEX(Rider_Input[Rider Name],Salary_Calculation[[#This Row],[Source Row]])="","",INDEX(Rider_Input[Rider Name],Salary_Calculation[[#This Row],[Source Row]])))</f>
        <v/>
      </c>
      <c r="D368" s="164" t="str">
        <f aca="false">IF(Salary_Calculation[[#This Row],[Source Row]]="","",IF(INDEX(Rider_Input[Basic Payment],Salary_Calculation[[#This Row],[Source Row]])="","",INDEX(Rider_Input[Basic Payment],Salary_Calculation[[#This Row],[Source Row]])))</f>
        <v/>
      </c>
      <c r="E368" s="162" t="str">
        <f aca="false">IF(Salary_Calculation[[#This Row],[Source Row]]="","",IF(INDEX(Rider_Input[Calendar Days in Month],Salary_Calculation[[#This Row],[Source Row]])="","",INDEX(Rider_Input[Calendar Days in Month],Salary_Calculation[[#This Row],[Source Row]])))</f>
        <v/>
      </c>
      <c r="F368" s="162" t="str">
        <f aca="false">IF(Salary_Calculation[[#This Row],[Source Row]]="","",IF(INDEX(Rider_Input[Working Days],Salary_Calculation[[#This Row],[Source Row]])="","",INDEX(Rider_Input[Working Days],Salary_Calculation[[#This Row],[Source Row]])))</f>
        <v/>
      </c>
      <c r="G368" s="165" t="str">
        <f aca="false">IF(Salary_Calculation[[#This Row],[Source Row]]="","",Std_Orders/Std_Days*N(Salary_Calculation[[#This Row],[Calendar Days]]))</f>
        <v/>
      </c>
      <c r="H368" s="165" t="str">
        <f aca="false">IF(Salary_Calculation[[#This Row],[Source Row]]="","",IF(N(Salary_Calculation[[#This Row],[Calendar Days]])&gt;0,Salary_Calculation[[#This Row],[Monthly Target Orders]]/N(Salary_Calculation[[#This Row],[Calendar Days]])*N(Salary_Calculation[[#This Row],[Working Days]]),0))</f>
        <v/>
      </c>
      <c r="I368" s="166" t="str">
        <f aca="false">IF(Salary_Calculation[[#This Row],[Source Row]]="","",IF(INDEX(Rider_Input[Completed Orders],Salary_Calculation[[#This Row],[Source Row]])="","",INDEX(Rider_Input[Completed Orders],Salary_Calculation[[#This Row],[Source Row]])))</f>
        <v/>
      </c>
      <c r="J368" s="165" t="str">
        <f aca="false">IF(Salary_Calculation[[#This Row],[Source Row]]="","",IF(Rate_Method="Fixed rate",Fixed_Rate,IF(N(Salary_Calculation[[#This Row],[Basic Payment]])&gt;0,N(Salary_Calculation[[#This Row],[Basic Payment]])/Std_Orders,0)))</f>
        <v/>
      </c>
      <c r="K368" s="165" t="str">
        <f aca="false">IF(Salary_Calculation[[#This Row],[Source Row]]="","",MAX(MIN(N(Salary_Calculation[[#This Row],[Completed Orders]]),Salary_Calculation[[#This Row],[Rider Target Orders]]),0))</f>
        <v/>
      </c>
      <c r="L368" s="164" t="str">
        <f aca="false">IF(Salary_Calculation[[#This Row],[Source Row]]="","",Salary_Calculation[[#This Row],[Orders Counted at Base Rate]]*Salary_Calculation[[#This Row],[Base Order Rate]])</f>
        <v/>
      </c>
      <c r="M368" s="165" t="str">
        <f aca="false">IF(Salary_Calculation[[#This Row],[Source Row]]="","",MAX(Salary_Calculation[[#This Row],[Rider Target Orders]]-N(Salary_Calculation[[#This Row],[Completed Orders]]),0))</f>
        <v/>
      </c>
      <c r="N368" s="164" t="str">
        <f aca="false">IF(Salary_Calculation[[#This Row],[Source Row]]="","",Salary_Calculation[[#This Row],[Missing Orders]]*Missing_Rate)</f>
        <v/>
      </c>
      <c r="O368" s="165" t="str">
        <f aca="false">IF(Salary_Calculation[[#This Row],[Source Row]]="","",MAX(N(Salary_Calculation[[#This Row],[Completed Orders]])-Salary_Calculation[[#This Row],[Rider Target Orders]],0))</f>
        <v/>
      </c>
      <c r="P368" s="164" t="str">
        <f aca="false">IF(Salary_Calculation[[#This Row],[Source Row]]="","",Salary_Calculation[[#This Row],[Extra Orders]]*Extra_Rate)</f>
        <v/>
      </c>
      <c r="Q368" s="164" t="str">
        <f aca="false">IF(Salary_Calculation[[#This Row],[Source Row]]="","",MAX(Salary_Calculation[[#This Row],[Salary Before Other Deductions]],0))</f>
        <v/>
      </c>
      <c r="R368" s="164" t="str">
        <f aca="false">IF(Salary_Calculation[[#This Row],[Source Row]]="","",N(INDEX(Rider_Input[missed_days_penalty],Salary_Calculation[[#This Row],[Source Row]])))</f>
        <v/>
      </c>
      <c r="S368" s="164" t="str">
        <f aca="false">IF(Salary_Calculation[[#This Row],[Source Row]]="","",N(INDEX(Rider_Input[Rider Balance / محفظة المندوب],Salary_Calculation[[#This Row],[Source Row]])))</f>
        <v/>
      </c>
      <c r="T368" s="164" t="str">
        <f aca="false">IF(Salary_Calculation[[#This Row],[Source Row]]="","",N(INDEX(Rider_Input[stacking_deduction / خصم الطلبات المتعددة],Salary_Calculation[[#This Row],[Source Row]])))</f>
        <v/>
      </c>
      <c r="U368" s="164" t="str">
        <f aca="false">IF(Salary_Calculation[[#This Row],[Source Row]]="","",N(INDEX(Rider_Input[Other Deductions],Salary_Calculation[[#This Row],[Source Row]])))</f>
        <v/>
      </c>
      <c r="V368" s="164" t="str">
        <f aca="false">IF(Salary_Calculation[[#This Row],[Source Row]]="","",N(Salary_Calculation[[#This Row],[missed_days_penalty]])+N(Salary_Calculation[[#This Row],[Rider Balance]])+N(Salary_Calculation[[#This Row],[stacking_deduction]])+N(Salary_Calculation[[#This Row],[Other Deductions]]))</f>
        <v/>
      </c>
      <c r="W368" s="167" t="str">
        <f aca="false">IF(Salary_Calculation[[#This Row],[Source Row]]="","",ROUND(MAX(Salary_Calculation[[#This Row],[Gross Salary Before Deductions]]-Salary_Calculation[[#This Row],[Total Deductions]],0),2))</f>
        <v/>
      </c>
      <c r="X368" s="164" t="str">
        <f aca="false">IF(Salary_Calculation[[#This Row],[Source Row]]="","",ROUND(MAX(Salary_Calculation[[#This Row],[Missing-Order Deduction]]-Salary_Calculation[[#This Row],[Earned Salary]],0),2))</f>
        <v/>
      </c>
      <c r="Y36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68" s="163" t="str">
        <f aca="false">IF(Salary_Calculation[[#This Row],[Source Row]]="","",IF(INDEX(Rider_Input[Notes],Salary_Calculation[[#This Row],[Source Row]])="","",INDEX(Rider_Input[Notes],Salary_Calculation[[#This Row],[Source Row]])))</f>
        <v/>
      </c>
      <c r="AA368" s="164" t="str">
        <f aca="false">IF(Salary_Calculation[[#This Row],[Source Row]]="","",Salary_Calculation[[#This Row],[Earned Salary]]-Salary_Calculation[[#This Row],[Missing-Order Deduction]]+Salary_Calculation[[#This Row],[Extra-Order Bonus]])</f>
        <v/>
      </c>
      <c r="AB368" s="164" t="str">
        <f aca="false">IF(Salary_Calculation[[#This Row],[Source Row]]="","",ROUND(Salary_Calculation[[#This Row],[Negative Balance / Amount Due from Rider]]+MAX(Salary_Calculation[[#This Row],[Total Deductions]]-Salary_Calculation[[#This Row],[Gross Salary Before Deductions]],0),2))</f>
        <v/>
      </c>
      <c r="AC36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68" s="164" t="str">
        <f aca="false">IF(Salary_Calculation[[#This Row],[Source Row]]="","",Salary_Calculation[[#This Row],[Rider Target Orders]]*Salary_Calculation[[#This Row],[Base Order Rate]])</f>
        <v/>
      </c>
      <c r="AE368" s="162" t="str">
        <f aca="false">IF(SUMPRODUCT(--(LEN(INDEX(Rider_Input[#Data],ROW()-ROW(Salary_Calculation[#Headers]),0))&gt;0))=0,"",ROW()-ROW(Salary_Calculation[#Headers]))</f>
        <v/>
      </c>
    </row>
    <row r="369" customFormat="false" ht="14.25" hidden="false" customHeight="false" outlineLevel="0" collapsed="false">
      <c r="A369" s="161" t="str">
        <f aca="false">IF(Salary_Calculation[[#This Row],[Source Row]]="","",IF(INDEX(Rider_Input[Salary Month],Salary_Calculation[[#This Row],[Source Row]])="","",INDEX(Rider_Input[Salary Month],Salary_Calculation[[#This Row],[Source Row]])))</f>
        <v/>
      </c>
      <c r="B369" s="162" t="str">
        <f aca="false">IF(Salary_Calculation[[#This Row],[Source Row]]="","",IF(INDEX(Rider_Input[Rider ID],Salary_Calculation[[#This Row],[Source Row]])="","",INDEX(Rider_Input[Rider ID],Salary_Calculation[[#This Row],[Source Row]])))</f>
        <v/>
      </c>
      <c r="C369" s="163" t="str">
        <f aca="false">IF(Salary_Calculation[[#This Row],[Source Row]]="","",IF(INDEX(Rider_Input[Rider Name],Salary_Calculation[[#This Row],[Source Row]])="","",INDEX(Rider_Input[Rider Name],Salary_Calculation[[#This Row],[Source Row]])))</f>
        <v/>
      </c>
      <c r="D369" s="164" t="str">
        <f aca="false">IF(Salary_Calculation[[#This Row],[Source Row]]="","",IF(INDEX(Rider_Input[Basic Payment],Salary_Calculation[[#This Row],[Source Row]])="","",INDEX(Rider_Input[Basic Payment],Salary_Calculation[[#This Row],[Source Row]])))</f>
        <v/>
      </c>
      <c r="E369" s="162" t="str">
        <f aca="false">IF(Salary_Calculation[[#This Row],[Source Row]]="","",IF(INDEX(Rider_Input[Calendar Days in Month],Salary_Calculation[[#This Row],[Source Row]])="","",INDEX(Rider_Input[Calendar Days in Month],Salary_Calculation[[#This Row],[Source Row]])))</f>
        <v/>
      </c>
      <c r="F369" s="162" t="str">
        <f aca="false">IF(Salary_Calculation[[#This Row],[Source Row]]="","",IF(INDEX(Rider_Input[Working Days],Salary_Calculation[[#This Row],[Source Row]])="","",INDEX(Rider_Input[Working Days],Salary_Calculation[[#This Row],[Source Row]])))</f>
        <v/>
      </c>
      <c r="G369" s="165" t="str">
        <f aca="false">IF(Salary_Calculation[[#This Row],[Source Row]]="","",Std_Orders/Std_Days*N(Salary_Calculation[[#This Row],[Calendar Days]]))</f>
        <v/>
      </c>
      <c r="H369" s="165" t="str">
        <f aca="false">IF(Salary_Calculation[[#This Row],[Source Row]]="","",IF(N(Salary_Calculation[[#This Row],[Calendar Days]])&gt;0,Salary_Calculation[[#This Row],[Monthly Target Orders]]/N(Salary_Calculation[[#This Row],[Calendar Days]])*N(Salary_Calculation[[#This Row],[Working Days]]),0))</f>
        <v/>
      </c>
      <c r="I369" s="166" t="str">
        <f aca="false">IF(Salary_Calculation[[#This Row],[Source Row]]="","",IF(INDEX(Rider_Input[Completed Orders],Salary_Calculation[[#This Row],[Source Row]])="","",INDEX(Rider_Input[Completed Orders],Salary_Calculation[[#This Row],[Source Row]])))</f>
        <v/>
      </c>
      <c r="J369" s="165" t="str">
        <f aca="false">IF(Salary_Calculation[[#This Row],[Source Row]]="","",IF(Rate_Method="Fixed rate",Fixed_Rate,IF(N(Salary_Calculation[[#This Row],[Basic Payment]])&gt;0,N(Salary_Calculation[[#This Row],[Basic Payment]])/Std_Orders,0)))</f>
        <v/>
      </c>
      <c r="K369" s="165" t="str">
        <f aca="false">IF(Salary_Calculation[[#This Row],[Source Row]]="","",MAX(MIN(N(Salary_Calculation[[#This Row],[Completed Orders]]),Salary_Calculation[[#This Row],[Rider Target Orders]]),0))</f>
        <v/>
      </c>
      <c r="L369" s="164" t="str">
        <f aca="false">IF(Salary_Calculation[[#This Row],[Source Row]]="","",Salary_Calculation[[#This Row],[Orders Counted at Base Rate]]*Salary_Calculation[[#This Row],[Base Order Rate]])</f>
        <v/>
      </c>
      <c r="M369" s="165" t="str">
        <f aca="false">IF(Salary_Calculation[[#This Row],[Source Row]]="","",MAX(Salary_Calculation[[#This Row],[Rider Target Orders]]-N(Salary_Calculation[[#This Row],[Completed Orders]]),0))</f>
        <v/>
      </c>
      <c r="N369" s="164" t="str">
        <f aca="false">IF(Salary_Calculation[[#This Row],[Source Row]]="","",Salary_Calculation[[#This Row],[Missing Orders]]*Missing_Rate)</f>
        <v/>
      </c>
      <c r="O369" s="165" t="str">
        <f aca="false">IF(Salary_Calculation[[#This Row],[Source Row]]="","",MAX(N(Salary_Calculation[[#This Row],[Completed Orders]])-Salary_Calculation[[#This Row],[Rider Target Orders]],0))</f>
        <v/>
      </c>
      <c r="P369" s="164" t="str">
        <f aca="false">IF(Salary_Calculation[[#This Row],[Source Row]]="","",Salary_Calculation[[#This Row],[Extra Orders]]*Extra_Rate)</f>
        <v/>
      </c>
      <c r="Q369" s="164" t="str">
        <f aca="false">IF(Salary_Calculation[[#This Row],[Source Row]]="","",MAX(Salary_Calculation[[#This Row],[Salary Before Other Deductions]],0))</f>
        <v/>
      </c>
      <c r="R369" s="164" t="str">
        <f aca="false">IF(Salary_Calculation[[#This Row],[Source Row]]="","",N(INDEX(Rider_Input[missed_days_penalty],Salary_Calculation[[#This Row],[Source Row]])))</f>
        <v/>
      </c>
      <c r="S369" s="164" t="str">
        <f aca="false">IF(Salary_Calculation[[#This Row],[Source Row]]="","",N(INDEX(Rider_Input[Rider Balance / محفظة المندوب],Salary_Calculation[[#This Row],[Source Row]])))</f>
        <v/>
      </c>
      <c r="T369" s="164" t="str">
        <f aca="false">IF(Salary_Calculation[[#This Row],[Source Row]]="","",N(INDEX(Rider_Input[stacking_deduction / خصم الطلبات المتعددة],Salary_Calculation[[#This Row],[Source Row]])))</f>
        <v/>
      </c>
      <c r="U369" s="164" t="str">
        <f aca="false">IF(Salary_Calculation[[#This Row],[Source Row]]="","",N(INDEX(Rider_Input[Other Deductions],Salary_Calculation[[#This Row],[Source Row]])))</f>
        <v/>
      </c>
      <c r="V369" s="164" t="str">
        <f aca="false">IF(Salary_Calculation[[#This Row],[Source Row]]="","",N(Salary_Calculation[[#This Row],[missed_days_penalty]])+N(Salary_Calculation[[#This Row],[Rider Balance]])+N(Salary_Calculation[[#This Row],[stacking_deduction]])+N(Salary_Calculation[[#This Row],[Other Deductions]]))</f>
        <v/>
      </c>
      <c r="W369" s="167" t="str">
        <f aca="false">IF(Salary_Calculation[[#This Row],[Source Row]]="","",ROUND(MAX(Salary_Calculation[[#This Row],[Gross Salary Before Deductions]]-Salary_Calculation[[#This Row],[Total Deductions]],0),2))</f>
        <v/>
      </c>
      <c r="X369" s="164" t="str">
        <f aca="false">IF(Salary_Calculation[[#This Row],[Source Row]]="","",ROUND(MAX(Salary_Calculation[[#This Row],[Missing-Order Deduction]]-Salary_Calculation[[#This Row],[Earned Salary]],0),2))</f>
        <v/>
      </c>
      <c r="Y36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69" s="163" t="str">
        <f aca="false">IF(Salary_Calculation[[#This Row],[Source Row]]="","",IF(INDEX(Rider_Input[Notes],Salary_Calculation[[#This Row],[Source Row]])="","",INDEX(Rider_Input[Notes],Salary_Calculation[[#This Row],[Source Row]])))</f>
        <v/>
      </c>
      <c r="AA369" s="164" t="str">
        <f aca="false">IF(Salary_Calculation[[#This Row],[Source Row]]="","",Salary_Calculation[[#This Row],[Earned Salary]]-Salary_Calculation[[#This Row],[Missing-Order Deduction]]+Salary_Calculation[[#This Row],[Extra-Order Bonus]])</f>
        <v/>
      </c>
      <c r="AB369" s="164" t="str">
        <f aca="false">IF(Salary_Calculation[[#This Row],[Source Row]]="","",ROUND(Salary_Calculation[[#This Row],[Negative Balance / Amount Due from Rider]]+MAX(Salary_Calculation[[#This Row],[Total Deductions]]-Salary_Calculation[[#This Row],[Gross Salary Before Deductions]],0),2))</f>
        <v/>
      </c>
      <c r="AC36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69" s="164" t="str">
        <f aca="false">IF(Salary_Calculation[[#This Row],[Source Row]]="","",Salary_Calculation[[#This Row],[Rider Target Orders]]*Salary_Calculation[[#This Row],[Base Order Rate]])</f>
        <v/>
      </c>
      <c r="AE369" s="162" t="str">
        <f aca="false">IF(SUMPRODUCT(--(LEN(INDEX(Rider_Input[#Data],ROW()-ROW(Salary_Calculation[#Headers]),0))&gt;0))=0,"",ROW()-ROW(Salary_Calculation[#Headers]))</f>
        <v/>
      </c>
    </row>
    <row r="370" customFormat="false" ht="14.25" hidden="false" customHeight="false" outlineLevel="0" collapsed="false">
      <c r="A370" s="161" t="str">
        <f aca="false">IF(Salary_Calculation[[#This Row],[Source Row]]="","",IF(INDEX(Rider_Input[Salary Month],Salary_Calculation[[#This Row],[Source Row]])="","",INDEX(Rider_Input[Salary Month],Salary_Calculation[[#This Row],[Source Row]])))</f>
        <v/>
      </c>
      <c r="B370" s="162" t="str">
        <f aca="false">IF(Salary_Calculation[[#This Row],[Source Row]]="","",IF(INDEX(Rider_Input[Rider ID],Salary_Calculation[[#This Row],[Source Row]])="","",INDEX(Rider_Input[Rider ID],Salary_Calculation[[#This Row],[Source Row]])))</f>
        <v/>
      </c>
      <c r="C370" s="163" t="str">
        <f aca="false">IF(Salary_Calculation[[#This Row],[Source Row]]="","",IF(INDEX(Rider_Input[Rider Name],Salary_Calculation[[#This Row],[Source Row]])="","",INDEX(Rider_Input[Rider Name],Salary_Calculation[[#This Row],[Source Row]])))</f>
        <v/>
      </c>
      <c r="D370" s="164" t="str">
        <f aca="false">IF(Salary_Calculation[[#This Row],[Source Row]]="","",IF(INDEX(Rider_Input[Basic Payment],Salary_Calculation[[#This Row],[Source Row]])="","",INDEX(Rider_Input[Basic Payment],Salary_Calculation[[#This Row],[Source Row]])))</f>
        <v/>
      </c>
      <c r="E370" s="162" t="str">
        <f aca="false">IF(Salary_Calculation[[#This Row],[Source Row]]="","",IF(INDEX(Rider_Input[Calendar Days in Month],Salary_Calculation[[#This Row],[Source Row]])="","",INDEX(Rider_Input[Calendar Days in Month],Salary_Calculation[[#This Row],[Source Row]])))</f>
        <v/>
      </c>
      <c r="F370" s="162" t="str">
        <f aca="false">IF(Salary_Calculation[[#This Row],[Source Row]]="","",IF(INDEX(Rider_Input[Working Days],Salary_Calculation[[#This Row],[Source Row]])="","",INDEX(Rider_Input[Working Days],Salary_Calculation[[#This Row],[Source Row]])))</f>
        <v/>
      </c>
      <c r="G370" s="165" t="str">
        <f aca="false">IF(Salary_Calculation[[#This Row],[Source Row]]="","",Std_Orders/Std_Days*N(Salary_Calculation[[#This Row],[Calendar Days]]))</f>
        <v/>
      </c>
      <c r="H370" s="165" t="str">
        <f aca="false">IF(Salary_Calculation[[#This Row],[Source Row]]="","",IF(N(Salary_Calculation[[#This Row],[Calendar Days]])&gt;0,Salary_Calculation[[#This Row],[Monthly Target Orders]]/N(Salary_Calculation[[#This Row],[Calendar Days]])*N(Salary_Calculation[[#This Row],[Working Days]]),0))</f>
        <v/>
      </c>
      <c r="I370" s="166" t="str">
        <f aca="false">IF(Salary_Calculation[[#This Row],[Source Row]]="","",IF(INDEX(Rider_Input[Completed Orders],Salary_Calculation[[#This Row],[Source Row]])="","",INDEX(Rider_Input[Completed Orders],Salary_Calculation[[#This Row],[Source Row]])))</f>
        <v/>
      </c>
      <c r="J370" s="165" t="str">
        <f aca="false">IF(Salary_Calculation[[#This Row],[Source Row]]="","",IF(Rate_Method="Fixed rate",Fixed_Rate,IF(N(Salary_Calculation[[#This Row],[Basic Payment]])&gt;0,N(Salary_Calculation[[#This Row],[Basic Payment]])/Std_Orders,0)))</f>
        <v/>
      </c>
      <c r="K370" s="165" t="str">
        <f aca="false">IF(Salary_Calculation[[#This Row],[Source Row]]="","",MAX(MIN(N(Salary_Calculation[[#This Row],[Completed Orders]]),Salary_Calculation[[#This Row],[Rider Target Orders]]),0))</f>
        <v/>
      </c>
      <c r="L370" s="164" t="str">
        <f aca="false">IF(Salary_Calculation[[#This Row],[Source Row]]="","",Salary_Calculation[[#This Row],[Orders Counted at Base Rate]]*Salary_Calculation[[#This Row],[Base Order Rate]])</f>
        <v/>
      </c>
      <c r="M370" s="165" t="str">
        <f aca="false">IF(Salary_Calculation[[#This Row],[Source Row]]="","",MAX(Salary_Calculation[[#This Row],[Rider Target Orders]]-N(Salary_Calculation[[#This Row],[Completed Orders]]),0))</f>
        <v/>
      </c>
      <c r="N370" s="164" t="str">
        <f aca="false">IF(Salary_Calculation[[#This Row],[Source Row]]="","",Salary_Calculation[[#This Row],[Missing Orders]]*Missing_Rate)</f>
        <v/>
      </c>
      <c r="O370" s="165" t="str">
        <f aca="false">IF(Salary_Calculation[[#This Row],[Source Row]]="","",MAX(N(Salary_Calculation[[#This Row],[Completed Orders]])-Salary_Calculation[[#This Row],[Rider Target Orders]],0))</f>
        <v/>
      </c>
      <c r="P370" s="164" t="str">
        <f aca="false">IF(Salary_Calculation[[#This Row],[Source Row]]="","",Salary_Calculation[[#This Row],[Extra Orders]]*Extra_Rate)</f>
        <v/>
      </c>
      <c r="Q370" s="164" t="str">
        <f aca="false">IF(Salary_Calculation[[#This Row],[Source Row]]="","",MAX(Salary_Calculation[[#This Row],[Salary Before Other Deductions]],0))</f>
        <v/>
      </c>
      <c r="R370" s="164" t="str">
        <f aca="false">IF(Salary_Calculation[[#This Row],[Source Row]]="","",N(INDEX(Rider_Input[missed_days_penalty],Salary_Calculation[[#This Row],[Source Row]])))</f>
        <v/>
      </c>
      <c r="S370" s="164" t="str">
        <f aca="false">IF(Salary_Calculation[[#This Row],[Source Row]]="","",N(INDEX(Rider_Input[Rider Balance / محفظة المندوب],Salary_Calculation[[#This Row],[Source Row]])))</f>
        <v/>
      </c>
      <c r="T370" s="164" t="str">
        <f aca="false">IF(Salary_Calculation[[#This Row],[Source Row]]="","",N(INDEX(Rider_Input[stacking_deduction / خصم الطلبات المتعددة],Salary_Calculation[[#This Row],[Source Row]])))</f>
        <v/>
      </c>
      <c r="U370" s="164" t="str">
        <f aca="false">IF(Salary_Calculation[[#This Row],[Source Row]]="","",N(INDEX(Rider_Input[Other Deductions],Salary_Calculation[[#This Row],[Source Row]])))</f>
        <v/>
      </c>
      <c r="V370" s="164" t="str">
        <f aca="false">IF(Salary_Calculation[[#This Row],[Source Row]]="","",N(Salary_Calculation[[#This Row],[missed_days_penalty]])+N(Salary_Calculation[[#This Row],[Rider Balance]])+N(Salary_Calculation[[#This Row],[stacking_deduction]])+N(Salary_Calculation[[#This Row],[Other Deductions]]))</f>
        <v/>
      </c>
      <c r="W370" s="167" t="str">
        <f aca="false">IF(Salary_Calculation[[#This Row],[Source Row]]="","",ROUND(MAX(Salary_Calculation[[#This Row],[Gross Salary Before Deductions]]-Salary_Calculation[[#This Row],[Total Deductions]],0),2))</f>
        <v/>
      </c>
      <c r="X370" s="164" t="str">
        <f aca="false">IF(Salary_Calculation[[#This Row],[Source Row]]="","",ROUND(MAX(Salary_Calculation[[#This Row],[Missing-Order Deduction]]-Salary_Calculation[[#This Row],[Earned Salary]],0),2))</f>
        <v/>
      </c>
      <c r="Y37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70" s="163" t="str">
        <f aca="false">IF(Salary_Calculation[[#This Row],[Source Row]]="","",IF(INDEX(Rider_Input[Notes],Salary_Calculation[[#This Row],[Source Row]])="","",INDEX(Rider_Input[Notes],Salary_Calculation[[#This Row],[Source Row]])))</f>
        <v/>
      </c>
      <c r="AA370" s="164" t="str">
        <f aca="false">IF(Salary_Calculation[[#This Row],[Source Row]]="","",Salary_Calculation[[#This Row],[Earned Salary]]-Salary_Calculation[[#This Row],[Missing-Order Deduction]]+Salary_Calculation[[#This Row],[Extra-Order Bonus]])</f>
        <v/>
      </c>
      <c r="AB370" s="164" t="str">
        <f aca="false">IF(Salary_Calculation[[#This Row],[Source Row]]="","",ROUND(Salary_Calculation[[#This Row],[Negative Balance / Amount Due from Rider]]+MAX(Salary_Calculation[[#This Row],[Total Deductions]]-Salary_Calculation[[#This Row],[Gross Salary Before Deductions]],0),2))</f>
        <v/>
      </c>
      <c r="AC37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70" s="164" t="str">
        <f aca="false">IF(Salary_Calculation[[#This Row],[Source Row]]="","",Salary_Calculation[[#This Row],[Rider Target Orders]]*Salary_Calculation[[#This Row],[Base Order Rate]])</f>
        <v/>
      </c>
      <c r="AE370" s="162" t="str">
        <f aca="false">IF(SUMPRODUCT(--(LEN(INDEX(Rider_Input[#Data],ROW()-ROW(Salary_Calculation[#Headers]),0))&gt;0))=0,"",ROW()-ROW(Salary_Calculation[#Headers]))</f>
        <v/>
      </c>
    </row>
    <row r="371" customFormat="false" ht="14.25" hidden="false" customHeight="false" outlineLevel="0" collapsed="false">
      <c r="A371" s="161" t="str">
        <f aca="false">IF(Salary_Calculation[[#This Row],[Source Row]]="","",IF(INDEX(Rider_Input[Salary Month],Salary_Calculation[[#This Row],[Source Row]])="","",INDEX(Rider_Input[Salary Month],Salary_Calculation[[#This Row],[Source Row]])))</f>
        <v/>
      </c>
      <c r="B371" s="162" t="str">
        <f aca="false">IF(Salary_Calculation[[#This Row],[Source Row]]="","",IF(INDEX(Rider_Input[Rider ID],Salary_Calculation[[#This Row],[Source Row]])="","",INDEX(Rider_Input[Rider ID],Salary_Calculation[[#This Row],[Source Row]])))</f>
        <v/>
      </c>
      <c r="C371" s="163" t="str">
        <f aca="false">IF(Salary_Calculation[[#This Row],[Source Row]]="","",IF(INDEX(Rider_Input[Rider Name],Salary_Calculation[[#This Row],[Source Row]])="","",INDEX(Rider_Input[Rider Name],Salary_Calculation[[#This Row],[Source Row]])))</f>
        <v/>
      </c>
      <c r="D371" s="164" t="str">
        <f aca="false">IF(Salary_Calculation[[#This Row],[Source Row]]="","",IF(INDEX(Rider_Input[Basic Payment],Salary_Calculation[[#This Row],[Source Row]])="","",INDEX(Rider_Input[Basic Payment],Salary_Calculation[[#This Row],[Source Row]])))</f>
        <v/>
      </c>
      <c r="E371" s="162" t="str">
        <f aca="false">IF(Salary_Calculation[[#This Row],[Source Row]]="","",IF(INDEX(Rider_Input[Calendar Days in Month],Salary_Calculation[[#This Row],[Source Row]])="","",INDEX(Rider_Input[Calendar Days in Month],Salary_Calculation[[#This Row],[Source Row]])))</f>
        <v/>
      </c>
      <c r="F371" s="162" t="str">
        <f aca="false">IF(Salary_Calculation[[#This Row],[Source Row]]="","",IF(INDEX(Rider_Input[Working Days],Salary_Calculation[[#This Row],[Source Row]])="","",INDEX(Rider_Input[Working Days],Salary_Calculation[[#This Row],[Source Row]])))</f>
        <v/>
      </c>
      <c r="G371" s="165" t="str">
        <f aca="false">IF(Salary_Calculation[[#This Row],[Source Row]]="","",Std_Orders/Std_Days*N(Salary_Calculation[[#This Row],[Calendar Days]]))</f>
        <v/>
      </c>
      <c r="H371" s="165" t="str">
        <f aca="false">IF(Salary_Calculation[[#This Row],[Source Row]]="","",IF(N(Salary_Calculation[[#This Row],[Calendar Days]])&gt;0,Salary_Calculation[[#This Row],[Monthly Target Orders]]/N(Salary_Calculation[[#This Row],[Calendar Days]])*N(Salary_Calculation[[#This Row],[Working Days]]),0))</f>
        <v/>
      </c>
      <c r="I371" s="166" t="str">
        <f aca="false">IF(Salary_Calculation[[#This Row],[Source Row]]="","",IF(INDEX(Rider_Input[Completed Orders],Salary_Calculation[[#This Row],[Source Row]])="","",INDEX(Rider_Input[Completed Orders],Salary_Calculation[[#This Row],[Source Row]])))</f>
        <v/>
      </c>
      <c r="J371" s="165" t="str">
        <f aca="false">IF(Salary_Calculation[[#This Row],[Source Row]]="","",IF(Rate_Method="Fixed rate",Fixed_Rate,IF(N(Salary_Calculation[[#This Row],[Basic Payment]])&gt;0,N(Salary_Calculation[[#This Row],[Basic Payment]])/Std_Orders,0)))</f>
        <v/>
      </c>
      <c r="K371" s="165" t="str">
        <f aca="false">IF(Salary_Calculation[[#This Row],[Source Row]]="","",MAX(MIN(N(Salary_Calculation[[#This Row],[Completed Orders]]),Salary_Calculation[[#This Row],[Rider Target Orders]]),0))</f>
        <v/>
      </c>
      <c r="L371" s="164" t="str">
        <f aca="false">IF(Salary_Calculation[[#This Row],[Source Row]]="","",Salary_Calculation[[#This Row],[Orders Counted at Base Rate]]*Salary_Calculation[[#This Row],[Base Order Rate]])</f>
        <v/>
      </c>
      <c r="M371" s="165" t="str">
        <f aca="false">IF(Salary_Calculation[[#This Row],[Source Row]]="","",MAX(Salary_Calculation[[#This Row],[Rider Target Orders]]-N(Salary_Calculation[[#This Row],[Completed Orders]]),0))</f>
        <v/>
      </c>
      <c r="N371" s="164" t="str">
        <f aca="false">IF(Salary_Calculation[[#This Row],[Source Row]]="","",Salary_Calculation[[#This Row],[Missing Orders]]*Missing_Rate)</f>
        <v/>
      </c>
      <c r="O371" s="165" t="str">
        <f aca="false">IF(Salary_Calculation[[#This Row],[Source Row]]="","",MAX(N(Salary_Calculation[[#This Row],[Completed Orders]])-Salary_Calculation[[#This Row],[Rider Target Orders]],0))</f>
        <v/>
      </c>
      <c r="P371" s="164" t="str">
        <f aca="false">IF(Salary_Calculation[[#This Row],[Source Row]]="","",Salary_Calculation[[#This Row],[Extra Orders]]*Extra_Rate)</f>
        <v/>
      </c>
      <c r="Q371" s="164" t="str">
        <f aca="false">IF(Salary_Calculation[[#This Row],[Source Row]]="","",MAX(Salary_Calculation[[#This Row],[Salary Before Other Deductions]],0))</f>
        <v/>
      </c>
      <c r="R371" s="164" t="str">
        <f aca="false">IF(Salary_Calculation[[#This Row],[Source Row]]="","",N(INDEX(Rider_Input[missed_days_penalty],Salary_Calculation[[#This Row],[Source Row]])))</f>
        <v/>
      </c>
      <c r="S371" s="164" t="str">
        <f aca="false">IF(Salary_Calculation[[#This Row],[Source Row]]="","",N(INDEX(Rider_Input[Rider Balance / محفظة المندوب],Salary_Calculation[[#This Row],[Source Row]])))</f>
        <v/>
      </c>
      <c r="T371" s="164" t="str">
        <f aca="false">IF(Salary_Calculation[[#This Row],[Source Row]]="","",N(INDEX(Rider_Input[stacking_deduction / خصم الطلبات المتعددة],Salary_Calculation[[#This Row],[Source Row]])))</f>
        <v/>
      </c>
      <c r="U371" s="164" t="str">
        <f aca="false">IF(Salary_Calculation[[#This Row],[Source Row]]="","",N(INDEX(Rider_Input[Other Deductions],Salary_Calculation[[#This Row],[Source Row]])))</f>
        <v/>
      </c>
      <c r="V371" s="164" t="str">
        <f aca="false">IF(Salary_Calculation[[#This Row],[Source Row]]="","",N(Salary_Calculation[[#This Row],[missed_days_penalty]])+N(Salary_Calculation[[#This Row],[Rider Balance]])+N(Salary_Calculation[[#This Row],[stacking_deduction]])+N(Salary_Calculation[[#This Row],[Other Deductions]]))</f>
        <v/>
      </c>
      <c r="W371" s="167" t="str">
        <f aca="false">IF(Salary_Calculation[[#This Row],[Source Row]]="","",ROUND(MAX(Salary_Calculation[[#This Row],[Gross Salary Before Deductions]]-Salary_Calculation[[#This Row],[Total Deductions]],0),2))</f>
        <v/>
      </c>
      <c r="X371" s="164" t="str">
        <f aca="false">IF(Salary_Calculation[[#This Row],[Source Row]]="","",ROUND(MAX(Salary_Calculation[[#This Row],[Missing-Order Deduction]]-Salary_Calculation[[#This Row],[Earned Salary]],0),2))</f>
        <v/>
      </c>
      <c r="Y37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71" s="163" t="str">
        <f aca="false">IF(Salary_Calculation[[#This Row],[Source Row]]="","",IF(INDEX(Rider_Input[Notes],Salary_Calculation[[#This Row],[Source Row]])="","",INDEX(Rider_Input[Notes],Salary_Calculation[[#This Row],[Source Row]])))</f>
        <v/>
      </c>
      <c r="AA371" s="164" t="str">
        <f aca="false">IF(Salary_Calculation[[#This Row],[Source Row]]="","",Salary_Calculation[[#This Row],[Earned Salary]]-Salary_Calculation[[#This Row],[Missing-Order Deduction]]+Salary_Calculation[[#This Row],[Extra-Order Bonus]])</f>
        <v/>
      </c>
      <c r="AB371" s="164" t="str">
        <f aca="false">IF(Salary_Calculation[[#This Row],[Source Row]]="","",ROUND(Salary_Calculation[[#This Row],[Negative Balance / Amount Due from Rider]]+MAX(Salary_Calculation[[#This Row],[Total Deductions]]-Salary_Calculation[[#This Row],[Gross Salary Before Deductions]],0),2))</f>
        <v/>
      </c>
      <c r="AC37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71" s="164" t="str">
        <f aca="false">IF(Salary_Calculation[[#This Row],[Source Row]]="","",Salary_Calculation[[#This Row],[Rider Target Orders]]*Salary_Calculation[[#This Row],[Base Order Rate]])</f>
        <v/>
      </c>
      <c r="AE371" s="162" t="str">
        <f aca="false">IF(SUMPRODUCT(--(LEN(INDEX(Rider_Input[#Data],ROW()-ROW(Salary_Calculation[#Headers]),0))&gt;0))=0,"",ROW()-ROW(Salary_Calculation[#Headers]))</f>
        <v/>
      </c>
    </row>
    <row r="372" customFormat="false" ht="14.25" hidden="false" customHeight="false" outlineLevel="0" collapsed="false">
      <c r="A372" s="161" t="str">
        <f aca="false">IF(Salary_Calculation[[#This Row],[Source Row]]="","",IF(INDEX(Rider_Input[Salary Month],Salary_Calculation[[#This Row],[Source Row]])="","",INDEX(Rider_Input[Salary Month],Salary_Calculation[[#This Row],[Source Row]])))</f>
        <v/>
      </c>
      <c r="B372" s="162" t="str">
        <f aca="false">IF(Salary_Calculation[[#This Row],[Source Row]]="","",IF(INDEX(Rider_Input[Rider ID],Salary_Calculation[[#This Row],[Source Row]])="","",INDEX(Rider_Input[Rider ID],Salary_Calculation[[#This Row],[Source Row]])))</f>
        <v/>
      </c>
      <c r="C372" s="163" t="str">
        <f aca="false">IF(Salary_Calculation[[#This Row],[Source Row]]="","",IF(INDEX(Rider_Input[Rider Name],Salary_Calculation[[#This Row],[Source Row]])="","",INDEX(Rider_Input[Rider Name],Salary_Calculation[[#This Row],[Source Row]])))</f>
        <v/>
      </c>
      <c r="D372" s="164" t="str">
        <f aca="false">IF(Salary_Calculation[[#This Row],[Source Row]]="","",IF(INDEX(Rider_Input[Basic Payment],Salary_Calculation[[#This Row],[Source Row]])="","",INDEX(Rider_Input[Basic Payment],Salary_Calculation[[#This Row],[Source Row]])))</f>
        <v/>
      </c>
      <c r="E372" s="162" t="str">
        <f aca="false">IF(Salary_Calculation[[#This Row],[Source Row]]="","",IF(INDEX(Rider_Input[Calendar Days in Month],Salary_Calculation[[#This Row],[Source Row]])="","",INDEX(Rider_Input[Calendar Days in Month],Salary_Calculation[[#This Row],[Source Row]])))</f>
        <v/>
      </c>
      <c r="F372" s="162" t="str">
        <f aca="false">IF(Salary_Calculation[[#This Row],[Source Row]]="","",IF(INDEX(Rider_Input[Working Days],Salary_Calculation[[#This Row],[Source Row]])="","",INDEX(Rider_Input[Working Days],Salary_Calculation[[#This Row],[Source Row]])))</f>
        <v/>
      </c>
      <c r="G372" s="165" t="str">
        <f aca="false">IF(Salary_Calculation[[#This Row],[Source Row]]="","",Std_Orders/Std_Days*N(Salary_Calculation[[#This Row],[Calendar Days]]))</f>
        <v/>
      </c>
      <c r="H372" s="165" t="str">
        <f aca="false">IF(Salary_Calculation[[#This Row],[Source Row]]="","",IF(N(Salary_Calculation[[#This Row],[Calendar Days]])&gt;0,Salary_Calculation[[#This Row],[Monthly Target Orders]]/N(Salary_Calculation[[#This Row],[Calendar Days]])*N(Salary_Calculation[[#This Row],[Working Days]]),0))</f>
        <v/>
      </c>
      <c r="I372" s="166" t="str">
        <f aca="false">IF(Salary_Calculation[[#This Row],[Source Row]]="","",IF(INDEX(Rider_Input[Completed Orders],Salary_Calculation[[#This Row],[Source Row]])="","",INDEX(Rider_Input[Completed Orders],Salary_Calculation[[#This Row],[Source Row]])))</f>
        <v/>
      </c>
      <c r="J372" s="165" t="str">
        <f aca="false">IF(Salary_Calculation[[#This Row],[Source Row]]="","",IF(Rate_Method="Fixed rate",Fixed_Rate,IF(N(Salary_Calculation[[#This Row],[Basic Payment]])&gt;0,N(Salary_Calculation[[#This Row],[Basic Payment]])/Std_Orders,0)))</f>
        <v/>
      </c>
      <c r="K372" s="165" t="str">
        <f aca="false">IF(Salary_Calculation[[#This Row],[Source Row]]="","",MAX(MIN(N(Salary_Calculation[[#This Row],[Completed Orders]]),Salary_Calculation[[#This Row],[Rider Target Orders]]),0))</f>
        <v/>
      </c>
      <c r="L372" s="164" t="str">
        <f aca="false">IF(Salary_Calculation[[#This Row],[Source Row]]="","",Salary_Calculation[[#This Row],[Orders Counted at Base Rate]]*Salary_Calculation[[#This Row],[Base Order Rate]])</f>
        <v/>
      </c>
      <c r="M372" s="165" t="str">
        <f aca="false">IF(Salary_Calculation[[#This Row],[Source Row]]="","",MAX(Salary_Calculation[[#This Row],[Rider Target Orders]]-N(Salary_Calculation[[#This Row],[Completed Orders]]),0))</f>
        <v/>
      </c>
      <c r="N372" s="164" t="str">
        <f aca="false">IF(Salary_Calculation[[#This Row],[Source Row]]="","",Salary_Calculation[[#This Row],[Missing Orders]]*Missing_Rate)</f>
        <v/>
      </c>
      <c r="O372" s="165" t="str">
        <f aca="false">IF(Salary_Calculation[[#This Row],[Source Row]]="","",MAX(N(Salary_Calculation[[#This Row],[Completed Orders]])-Salary_Calculation[[#This Row],[Rider Target Orders]],0))</f>
        <v/>
      </c>
      <c r="P372" s="164" t="str">
        <f aca="false">IF(Salary_Calculation[[#This Row],[Source Row]]="","",Salary_Calculation[[#This Row],[Extra Orders]]*Extra_Rate)</f>
        <v/>
      </c>
      <c r="Q372" s="164" t="str">
        <f aca="false">IF(Salary_Calculation[[#This Row],[Source Row]]="","",MAX(Salary_Calculation[[#This Row],[Salary Before Other Deductions]],0))</f>
        <v/>
      </c>
      <c r="R372" s="164" t="str">
        <f aca="false">IF(Salary_Calculation[[#This Row],[Source Row]]="","",N(INDEX(Rider_Input[missed_days_penalty],Salary_Calculation[[#This Row],[Source Row]])))</f>
        <v/>
      </c>
      <c r="S372" s="164" t="str">
        <f aca="false">IF(Salary_Calculation[[#This Row],[Source Row]]="","",N(INDEX(Rider_Input[Rider Balance / محفظة المندوب],Salary_Calculation[[#This Row],[Source Row]])))</f>
        <v/>
      </c>
      <c r="T372" s="164" t="str">
        <f aca="false">IF(Salary_Calculation[[#This Row],[Source Row]]="","",N(INDEX(Rider_Input[stacking_deduction / خصم الطلبات المتعددة],Salary_Calculation[[#This Row],[Source Row]])))</f>
        <v/>
      </c>
      <c r="U372" s="164" t="str">
        <f aca="false">IF(Salary_Calculation[[#This Row],[Source Row]]="","",N(INDEX(Rider_Input[Other Deductions],Salary_Calculation[[#This Row],[Source Row]])))</f>
        <v/>
      </c>
      <c r="V372" s="164" t="str">
        <f aca="false">IF(Salary_Calculation[[#This Row],[Source Row]]="","",N(Salary_Calculation[[#This Row],[missed_days_penalty]])+N(Salary_Calculation[[#This Row],[Rider Balance]])+N(Salary_Calculation[[#This Row],[stacking_deduction]])+N(Salary_Calculation[[#This Row],[Other Deductions]]))</f>
        <v/>
      </c>
      <c r="W372" s="167" t="str">
        <f aca="false">IF(Salary_Calculation[[#This Row],[Source Row]]="","",ROUND(MAX(Salary_Calculation[[#This Row],[Gross Salary Before Deductions]]-Salary_Calculation[[#This Row],[Total Deductions]],0),2))</f>
        <v/>
      </c>
      <c r="X372" s="164" t="str">
        <f aca="false">IF(Salary_Calculation[[#This Row],[Source Row]]="","",ROUND(MAX(Salary_Calculation[[#This Row],[Missing-Order Deduction]]-Salary_Calculation[[#This Row],[Earned Salary]],0),2))</f>
        <v/>
      </c>
      <c r="Y37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72" s="163" t="str">
        <f aca="false">IF(Salary_Calculation[[#This Row],[Source Row]]="","",IF(INDEX(Rider_Input[Notes],Salary_Calculation[[#This Row],[Source Row]])="","",INDEX(Rider_Input[Notes],Salary_Calculation[[#This Row],[Source Row]])))</f>
        <v/>
      </c>
      <c r="AA372" s="164" t="str">
        <f aca="false">IF(Salary_Calculation[[#This Row],[Source Row]]="","",Salary_Calculation[[#This Row],[Earned Salary]]-Salary_Calculation[[#This Row],[Missing-Order Deduction]]+Salary_Calculation[[#This Row],[Extra-Order Bonus]])</f>
        <v/>
      </c>
      <c r="AB372" s="164" t="str">
        <f aca="false">IF(Salary_Calculation[[#This Row],[Source Row]]="","",ROUND(Salary_Calculation[[#This Row],[Negative Balance / Amount Due from Rider]]+MAX(Salary_Calculation[[#This Row],[Total Deductions]]-Salary_Calculation[[#This Row],[Gross Salary Before Deductions]],0),2))</f>
        <v/>
      </c>
      <c r="AC37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72" s="164" t="str">
        <f aca="false">IF(Salary_Calculation[[#This Row],[Source Row]]="","",Salary_Calculation[[#This Row],[Rider Target Orders]]*Salary_Calculation[[#This Row],[Base Order Rate]])</f>
        <v/>
      </c>
      <c r="AE372" s="162" t="str">
        <f aca="false">IF(SUMPRODUCT(--(LEN(INDEX(Rider_Input[#Data],ROW()-ROW(Salary_Calculation[#Headers]),0))&gt;0))=0,"",ROW()-ROW(Salary_Calculation[#Headers]))</f>
        <v/>
      </c>
    </row>
    <row r="373" customFormat="false" ht="14.25" hidden="false" customHeight="false" outlineLevel="0" collapsed="false">
      <c r="A373" s="161" t="str">
        <f aca="false">IF(Salary_Calculation[[#This Row],[Source Row]]="","",IF(INDEX(Rider_Input[Salary Month],Salary_Calculation[[#This Row],[Source Row]])="","",INDEX(Rider_Input[Salary Month],Salary_Calculation[[#This Row],[Source Row]])))</f>
        <v/>
      </c>
      <c r="B373" s="162" t="str">
        <f aca="false">IF(Salary_Calculation[[#This Row],[Source Row]]="","",IF(INDEX(Rider_Input[Rider ID],Salary_Calculation[[#This Row],[Source Row]])="","",INDEX(Rider_Input[Rider ID],Salary_Calculation[[#This Row],[Source Row]])))</f>
        <v/>
      </c>
      <c r="C373" s="163" t="str">
        <f aca="false">IF(Salary_Calculation[[#This Row],[Source Row]]="","",IF(INDEX(Rider_Input[Rider Name],Salary_Calculation[[#This Row],[Source Row]])="","",INDEX(Rider_Input[Rider Name],Salary_Calculation[[#This Row],[Source Row]])))</f>
        <v/>
      </c>
      <c r="D373" s="164" t="str">
        <f aca="false">IF(Salary_Calculation[[#This Row],[Source Row]]="","",IF(INDEX(Rider_Input[Basic Payment],Salary_Calculation[[#This Row],[Source Row]])="","",INDEX(Rider_Input[Basic Payment],Salary_Calculation[[#This Row],[Source Row]])))</f>
        <v/>
      </c>
      <c r="E373" s="162" t="str">
        <f aca="false">IF(Salary_Calculation[[#This Row],[Source Row]]="","",IF(INDEX(Rider_Input[Calendar Days in Month],Salary_Calculation[[#This Row],[Source Row]])="","",INDEX(Rider_Input[Calendar Days in Month],Salary_Calculation[[#This Row],[Source Row]])))</f>
        <v/>
      </c>
      <c r="F373" s="162" t="str">
        <f aca="false">IF(Salary_Calculation[[#This Row],[Source Row]]="","",IF(INDEX(Rider_Input[Working Days],Salary_Calculation[[#This Row],[Source Row]])="","",INDEX(Rider_Input[Working Days],Salary_Calculation[[#This Row],[Source Row]])))</f>
        <v/>
      </c>
      <c r="G373" s="165" t="str">
        <f aca="false">IF(Salary_Calculation[[#This Row],[Source Row]]="","",Std_Orders/Std_Days*N(Salary_Calculation[[#This Row],[Calendar Days]]))</f>
        <v/>
      </c>
      <c r="H373" s="165" t="str">
        <f aca="false">IF(Salary_Calculation[[#This Row],[Source Row]]="","",IF(N(Salary_Calculation[[#This Row],[Calendar Days]])&gt;0,Salary_Calculation[[#This Row],[Monthly Target Orders]]/N(Salary_Calculation[[#This Row],[Calendar Days]])*N(Salary_Calculation[[#This Row],[Working Days]]),0))</f>
        <v/>
      </c>
      <c r="I373" s="166" t="str">
        <f aca="false">IF(Salary_Calculation[[#This Row],[Source Row]]="","",IF(INDEX(Rider_Input[Completed Orders],Salary_Calculation[[#This Row],[Source Row]])="","",INDEX(Rider_Input[Completed Orders],Salary_Calculation[[#This Row],[Source Row]])))</f>
        <v/>
      </c>
      <c r="J373" s="165" t="str">
        <f aca="false">IF(Salary_Calculation[[#This Row],[Source Row]]="","",IF(Rate_Method="Fixed rate",Fixed_Rate,IF(N(Salary_Calculation[[#This Row],[Basic Payment]])&gt;0,N(Salary_Calculation[[#This Row],[Basic Payment]])/Std_Orders,0)))</f>
        <v/>
      </c>
      <c r="K373" s="165" t="str">
        <f aca="false">IF(Salary_Calculation[[#This Row],[Source Row]]="","",MAX(MIN(N(Salary_Calculation[[#This Row],[Completed Orders]]),Salary_Calculation[[#This Row],[Rider Target Orders]]),0))</f>
        <v/>
      </c>
      <c r="L373" s="164" t="str">
        <f aca="false">IF(Salary_Calculation[[#This Row],[Source Row]]="","",Salary_Calculation[[#This Row],[Orders Counted at Base Rate]]*Salary_Calculation[[#This Row],[Base Order Rate]])</f>
        <v/>
      </c>
      <c r="M373" s="165" t="str">
        <f aca="false">IF(Salary_Calculation[[#This Row],[Source Row]]="","",MAX(Salary_Calculation[[#This Row],[Rider Target Orders]]-N(Salary_Calculation[[#This Row],[Completed Orders]]),0))</f>
        <v/>
      </c>
      <c r="N373" s="164" t="str">
        <f aca="false">IF(Salary_Calculation[[#This Row],[Source Row]]="","",Salary_Calculation[[#This Row],[Missing Orders]]*Missing_Rate)</f>
        <v/>
      </c>
      <c r="O373" s="165" t="str">
        <f aca="false">IF(Salary_Calculation[[#This Row],[Source Row]]="","",MAX(N(Salary_Calculation[[#This Row],[Completed Orders]])-Salary_Calculation[[#This Row],[Rider Target Orders]],0))</f>
        <v/>
      </c>
      <c r="P373" s="164" t="str">
        <f aca="false">IF(Salary_Calculation[[#This Row],[Source Row]]="","",Salary_Calculation[[#This Row],[Extra Orders]]*Extra_Rate)</f>
        <v/>
      </c>
      <c r="Q373" s="164" t="str">
        <f aca="false">IF(Salary_Calculation[[#This Row],[Source Row]]="","",MAX(Salary_Calculation[[#This Row],[Salary Before Other Deductions]],0))</f>
        <v/>
      </c>
      <c r="R373" s="164" t="str">
        <f aca="false">IF(Salary_Calculation[[#This Row],[Source Row]]="","",N(INDEX(Rider_Input[missed_days_penalty],Salary_Calculation[[#This Row],[Source Row]])))</f>
        <v/>
      </c>
      <c r="S373" s="164" t="str">
        <f aca="false">IF(Salary_Calculation[[#This Row],[Source Row]]="","",N(INDEX(Rider_Input[Rider Balance / محفظة المندوب],Salary_Calculation[[#This Row],[Source Row]])))</f>
        <v/>
      </c>
      <c r="T373" s="164" t="str">
        <f aca="false">IF(Salary_Calculation[[#This Row],[Source Row]]="","",N(INDEX(Rider_Input[stacking_deduction / خصم الطلبات المتعددة],Salary_Calculation[[#This Row],[Source Row]])))</f>
        <v/>
      </c>
      <c r="U373" s="164" t="str">
        <f aca="false">IF(Salary_Calculation[[#This Row],[Source Row]]="","",N(INDEX(Rider_Input[Other Deductions],Salary_Calculation[[#This Row],[Source Row]])))</f>
        <v/>
      </c>
      <c r="V373" s="164" t="str">
        <f aca="false">IF(Salary_Calculation[[#This Row],[Source Row]]="","",N(Salary_Calculation[[#This Row],[missed_days_penalty]])+N(Salary_Calculation[[#This Row],[Rider Balance]])+N(Salary_Calculation[[#This Row],[stacking_deduction]])+N(Salary_Calculation[[#This Row],[Other Deductions]]))</f>
        <v/>
      </c>
      <c r="W373" s="167" t="str">
        <f aca="false">IF(Salary_Calculation[[#This Row],[Source Row]]="","",ROUND(MAX(Salary_Calculation[[#This Row],[Gross Salary Before Deductions]]-Salary_Calculation[[#This Row],[Total Deductions]],0),2))</f>
        <v/>
      </c>
      <c r="X373" s="164" t="str">
        <f aca="false">IF(Salary_Calculation[[#This Row],[Source Row]]="","",ROUND(MAX(Salary_Calculation[[#This Row],[Missing-Order Deduction]]-Salary_Calculation[[#This Row],[Earned Salary]],0),2))</f>
        <v/>
      </c>
      <c r="Y37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73" s="163" t="str">
        <f aca="false">IF(Salary_Calculation[[#This Row],[Source Row]]="","",IF(INDEX(Rider_Input[Notes],Salary_Calculation[[#This Row],[Source Row]])="","",INDEX(Rider_Input[Notes],Salary_Calculation[[#This Row],[Source Row]])))</f>
        <v/>
      </c>
      <c r="AA373" s="164" t="str">
        <f aca="false">IF(Salary_Calculation[[#This Row],[Source Row]]="","",Salary_Calculation[[#This Row],[Earned Salary]]-Salary_Calculation[[#This Row],[Missing-Order Deduction]]+Salary_Calculation[[#This Row],[Extra-Order Bonus]])</f>
        <v/>
      </c>
      <c r="AB373" s="164" t="str">
        <f aca="false">IF(Salary_Calculation[[#This Row],[Source Row]]="","",ROUND(Salary_Calculation[[#This Row],[Negative Balance / Amount Due from Rider]]+MAX(Salary_Calculation[[#This Row],[Total Deductions]]-Salary_Calculation[[#This Row],[Gross Salary Before Deductions]],0),2))</f>
        <v/>
      </c>
      <c r="AC37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73" s="164" t="str">
        <f aca="false">IF(Salary_Calculation[[#This Row],[Source Row]]="","",Salary_Calculation[[#This Row],[Rider Target Orders]]*Salary_Calculation[[#This Row],[Base Order Rate]])</f>
        <v/>
      </c>
      <c r="AE373" s="162" t="str">
        <f aca="false">IF(SUMPRODUCT(--(LEN(INDEX(Rider_Input[#Data],ROW()-ROW(Salary_Calculation[#Headers]),0))&gt;0))=0,"",ROW()-ROW(Salary_Calculation[#Headers]))</f>
        <v/>
      </c>
    </row>
    <row r="374" customFormat="false" ht="14.25" hidden="false" customHeight="false" outlineLevel="0" collapsed="false">
      <c r="A374" s="161" t="str">
        <f aca="false">IF(Salary_Calculation[[#This Row],[Source Row]]="","",IF(INDEX(Rider_Input[Salary Month],Salary_Calculation[[#This Row],[Source Row]])="","",INDEX(Rider_Input[Salary Month],Salary_Calculation[[#This Row],[Source Row]])))</f>
        <v/>
      </c>
      <c r="B374" s="162" t="str">
        <f aca="false">IF(Salary_Calculation[[#This Row],[Source Row]]="","",IF(INDEX(Rider_Input[Rider ID],Salary_Calculation[[#This Row],[Source Row]])="","",INDEX(Rider_Input[Rider ID],Salary_Calculation[[#This Row],[Source Row]])))</f>
        <v/>
      </c>
      <c r="C374" s="163" t="str">
        <f aca="false">IF(Salary_Calculation[[#This Row],[Source Row]]="","",IF(INDEX(Rider_Input[Rider Name],Salary_Calculation[[#This Row],[Source Row]])="","",INDEX(Rider_Input[Rider Name],Salary_Calculation[[#This Row],[Source Row]])))</f>
        <v/>
      </c>
      <c r="D374" s="164" t="str">
        <f aca="false">IF(Salary_Calculation[[#This Row],[Source Row]]="","",IF(INDEX(Rider_Input[Basic Payment],Salary_Calculation[[#This Row],[Source Row]])="","",INDEX(Rider_Input[Basic Payment],Salary_Calculation[[#This Row],[Source Row]])))</f>
        <v/>
      </c>
      <c r="E374" s="162" t="str">
        <f aca="false">IF(Salary_Calculation[[#This Row],[Source Row]]="","",IF(INDEX(Rider_Input[Calendar Days in Month],Salary_Calculation[[#This Row],[Source Row]])="","",INDEX(Rider_Input[Calendar Days in Month],Salary_Calculation[[#This Row],[Source Row]])))</f>
        <v/>
      </c>
      <c r="F374" s="162" t="str">
        <f aca="false">IF(Salary_Calculation[[#This Row],[Source Row]]="","",IF(INDEX(Rider_Input[Working Days],Salary_Calculation[[#This Row],[Source Row]])="","",INDEX(Rider_Input[Working Days],Salary_Calculation[[#This Row],[Source Row]])))</f>
        <v/>
      </c>
      <c r="G374" s="165" t="str">
        <f aca="false">IF(Salary_Calculation[[#This Row],[Source Row]]="","",Std_Orders/Std_Days*N(Salary_Calculation[[#This Row],[Calendar Days]]))</f>
        <v/>
      </c>
      <c r="H374" s="165" t="str">
        <f aca="false">IF(Salary_Calculation[[#This Row],[Source Row]]="","",IF(N(Salary_Calculation[[#This Row],[Calendar Days]])&gt;0,Salary_Calculation[[#This Row],[Monthly Target Orders]]/N(Salary_Calculation[[#This Row],[Calendar Days]])*N(Salary_Calculation[[#This Row],[Working Days]]),0))</f>
        <v/>
      </c>
      <c r="I374" s="166" t="str">
        <f aca="false">IF(Salary_Calculation[[#This Row],[Source Row]]="","",IF(INDEX(Rider_Input[Completed Orders],Salary_Calculation[[#This Row],[Source Row]])="","",INDEX(Rider_Input[Completed Orders],Salary_Calculation[[#This Row],[Source Row]])))</f>
        <v/>
      </c>
      <c r="J374" s="165" t="str">
        <f aca="false">IF(Salary_Calculation[[#This Row],[Source Row]]="","",IF(Rate_Method="Fixed rate",Fixed_Rate,IF(N(Salary_Calculation[[#This Row],[Basic Payment]])&gt;0,N(Salary_Calculation[[#This Row],[Basic Payment]])/Std_Orders,0)))</f>
        <v/>
      </c>
      <c r="K374" s="165" t="str">
        <f aca="false">IF(Salary_Calculation[[#This Row],[Source Row]]="","",MAX(MIN(N(Salary_Calculation[[#This Row],[Completed Orders]]),Salary_Calculation[[#This Row],[Rider Target Orders]]),0))</f>
        <v/>
      </c>
      <c r="L374" s="164" t="str">
        <f aca="false">IF(Salary_Calculation[[#This Row],[Source Row]]="","",Salary_Calculation[[#This Row],[Orders Counted at Base Rate]]*Salary_Calculation[[#This Row],[Base Order Rate]])</f>
        <v/>
      </c>
      <c r="M374" s="165" t="str">
        <f aca="false">IF(Salary_Calculation[[#This Row],[Source Row]]="","",MAX(Salary_Calculation[[#This Row],[Rider Target Orders]]-N(Salary_Calculation[[#This Row],[Completed Orders]]),0))</f>
        <v/>
      </c>
      <c r="N374" s="164" t="str">
        <f aca="false">IF(Salary_Calculation[[#This Row],[Source Row]]="","",Salary_Calculation[[#This Row],[Missing Orders]]*Missing_Rate)</f>
        <v/>
      </c>
      <c r="O374" s="165" t="str">
        <f aca="false">IF(Salary_Calculation[[#This Row],[Source Row]]="","",MAX(N(Salary_Calculation[[#This Row],[Completed Orders]])-Salary_Calculation[[#This Row],[Rider Target Orders]],0))</f>
        <v/>
      </c>
      <c r="P374" s="164" t="str">
        <f aca="false">IF(Salary_Calculation[[#This Row],[Source Row]]="","",Salary_Calculation[[#This Row],[Extra Orders]]*Extra_Rate)</f>
        <v/>
      </c>
      <c r="Q374" s="164" t="str">
        <f aca="false">IF(Salary_Calculation[[#This Row],[Source Row]]="","",MAX(Salary_Calculation[[#This Row],[Salary Before Other Deductions]],0))</f>
        <v/>
      </c>
      <c r="R374" s="164" t="str">
        <f aca="false">IF(Salary_Calculation[[#This Row],[Source Row]]="","",N(INDEX(Rider_Input[missed_days_penalty],Salary_Calculation[[#This Row],[Source Row]])))</f>
        <v/>
      </c>
      <c r="S374" s="164" t="str">
        <f aca="false">IF(Salary_Calculation[[#This Row],[Source Row]]="","",N(INDEX(Rider_Input[Rider Balance / محفظة المندوب],Salary_Calculation[[#This Row],[Source Row]])))</f>
        <v/>
      </c>
      <c r="T374" s="164" t="str">
        <f aca="false">IF(Salary_Calculation[[#This Row],[Source Row]]="","",N(INDEX(Rider_Input[stacking_deduction / خصم الطلبات المتعددة],Salary_Calculation[[#This Row],[Source Row]])))</f>
        <v/>
      </c>
      <c r="U374" s="164" t="str">
        <f aca="false">IF(Salary_Calculation[[#This Row],[Source Row]]="","",N(INDEX(Rider_Input[Other Deductions],Salary_Calculation[[#This Row],[Source Row]])))</f>
        <v/>
      </c>
      <c r="V374" s="164" t="str">
        <f aca="false">IF(Salary_Calculation[[#This Row],[Source Row]]="","",N(Salary_Calculation[[#This Row],[missed_days_penalty]])+N(Salary_Calculation[[#This Row],[Rider Balance]])+N(Salary_Calculation[[#This Row],[stacking_deduction]])+N(Salary_Calculation[[#This Row],[Other Deductions]]))</f>
        <v/>
      </c>
      <c r="W374" s="167" t="str">
        <f aca="false">IF(Salary_Calculation[[#This Row],[Source Row]]="","",ROUND(MAX(Salary_Calculation[[#This Row],[Gross Salary Before Deductions]]-Salary_Calculation[[#This Row],[Total Deductions]],0),2))</f>
        <v/>
      </c>
      <c r="X374" s="164" t="str">
        <f aca="false">IF(Salary_Calculation[[#This Row],[Source Row]]="","",ROUND(MAX(Salary_Calculation[[#This Row],[Missing-Order Deduction]]-Salary_Calculation[[#This Row],[Earned Salary]],0),2))</f>
        <v/>
      </c>
      <c r="Y37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74" s="163" t="str">
        <f aca="false">IF(Salary_Calculation[[#This Row],[Source Row]]="","",IF(INDEX(Rider_Input[Notes],Salary_Calculation[[#This Row],[Source Row]])="","",INDEX(Rider_Input[Notes],Salary_Calculation[[#This Row],[Source Row]])))</f>
        <v/>
      </c>
      <c r="AA374" s="164" t="str">
        <f aca="false">IF(Salary_Calculation[[#This Row],[Source Row]]="","",Salary_Calculation[[#This Row],[Earned Salary]]-Salary_Calculation[[#This Row],[Missing-Order Deduction]]+Salary_Calculation[[#This Row],[Extra-Order Bonus]])</f>
        <v/>
      </c>
      <c r="AB374" s="164" t="str">
        <f aca="false">IF(Salary_Calculation[[#This Row],[Source Row]]="","",ROUND(Salary_Calculation[[#This Row],[Negative Balance / Amount Due from Rider]]+MAX(Salary_Calculation[[#This Row],[Total Deductions]]-Salary_Calculation[[#This Row],[Gross Salary Before Deductions]],0),2))</f>
        <v/>
      </c>
      <c r="AC37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74" s="164" t="str">
        <f aca="false">IF(Salary_Calculation[[#This Row],[Source Row]]="","",Salary_Calculation[[#This Row],[Rider Target Orders]]*Salary_Calculation[[#This Row],[Base Order Rate]])</f>
        <v/>
      </c>
      <c r="AE374" s="162" t="str">
        <f aca="false">IF(SUMPRODUCT(--(LEN(INDEX(Rider_Input[#Data],ROW()-ROW(Salary_Calculation[#Headers]),0))&gt;0))=0,"",ROW()-ROW(Salary_Calculation[#Headers]))</f>
        <v/>
      </c>
    </row>
    <row r="375" customFormat="false" ht="14.25" hidden="false" customHeight="false" outlineLevel="0" collapsed="false">
      <c r="A375" s="161" t="str">
        <f aca="false">IF(Salary_Calculation[[#This Row],[Source Row]]="","",IF(INDEX(Rider_Input[Salary Month],Salary_Calculation[[#This Row],[Source Row]])="","",INDEX(Rider_Input[Salary Month],Salary_Calculation[[#This Row],[Source Row]])))</f>
        <v/>
      </c>
      <c r="B375" s="162" t="str">
        <f aca="false">IF(Salary_Calculation[[#This Row],[Source Row]]="","",IF(INDEX(Rider_Input[Rider ID],Salary_Calculation[[#This Row],[Source Row]])="","",INDEX(Rider_Input[Rider ID],Salary_Calculation[[#This Row],[Source Row]])))</f>
        <v/>
      </c>
      <c r="C375" s="163" t="str">
        <f aca="false">IF(Salary_Calculation[[#This Row],[Source Row]]="","",IF(INDEX(Rider_Input[Rider Name],Salary_Calculation[[#This Row],[Source Row]])="","",INDEX(Rider_Input[Rider Name],Salary_Calculation[[#This Row],[Source Row]])))</f>
        <v/>
      </c>
      <c r="D375" s="164" t="str">
        <f aca="false">IF(Salary_Calculation[[#This Row],[Source Row]]="","",IF(INDEX(Rider_Input[Basic Payment],Salary_Calculation[[#This Row],[Source Row]])="","",INDEX(Rider_Input[Basic Payment],Salary_Calculation[[#This Row],[Source Row]])))</f>
        <v/>
      </c>
      <c r="E375" s="162" t="str">
        <f aca="false">IF(Salary_Calculation[[#This Row],[Source Row]]="","",IF(INDEX(Rider_Input[Calendar Days in Month],Salary_Calculation[[#This Row],[Source Row]])="","",INDEX(Rider_Input[Calendar Days in Month],Salary_Calculation[[#This Row],[Source Row]])))</f>
        <v/>
      </c>
      <c r="F375" s="162" t="str">
        <f aca="false">IF(Salary_Calculation[[#This Row],[Source Row]]="","",IF(INDEX(Rider_Input[Working Days],Salary_Calculation[[#This Row],[Source Row]])="","",INDEX(Rider_Input[Working Days],Salary_Calculation[[#This Row],[Source Row]])))</f>
        <v/>
      </c>
      <c r="G375" s="165" t="str">
        <f aca="false">IF(Salary_Calculation[[#This Row],[Source Row]]="","",Std_Orders/Std_Days*N(Salary_Calculation[[#This Row],[Calendar Days]]))</f>
        <v/>
      </c>
      <c r="H375" s="165" t="str">
        <f aca="false">IF(Salary_Calculation[[#This Row],[Source Row]]="","",IF(N(Salary_Calculation[[#This Row],[Calendar Days]])&gt;0,Salary_Calculation[[#This Row],[Monthly Target Orders]]/N(Salary_Calculation[[#This Row],[Calendar Days]])*N(Salary_Calculation[[#This Row],[Working Days]]),0))</f>
        <v/>
      </c>
      <c r="I375" s="166" t="str">
        <f aca="false">IF(Salary_Calculation[[#This Row],[Source Row]]="","",IF(INDEX(Rider_Input[Completed Orders],Salary_Calculation[[#This Row],[Source Row]])="","",INDEX(Rider_Input[Completed Orders],Salary_Calculation[[#This Row],[Source Row]])))</f>
        <v/>
      </c>
      <c r="J375" s="165" t="str">
        <f aca="false">IF(Salary_Calculation[[#This Row],[Source Row]]="","",IF(Rate_Method="Fixed rate",Fixed_Rate,IF(N(Salary_Calculation[[#This Row],[Basic Payment]])&gt;0,N(Salary_Calculation[[#This Row],[Basic Payment]])/Std_Orders,0)))</f>
        <v/>
      </c>
      <c r="K375" s="165" t="str">
        <f aca="false">IF(Salary_Calculation[[#This Row],[Source Row]]="","",MAX(MIN(N(Salary_Calculation[[#This Row],[Completed Orders]]),Salary_Calculation[[#This Row],[Rider Target Orders]]),0))</f>
        <v/>
      </c>
      <c r="L375" s="164" t="str">
        <f aca="false">IF(Salary_Calculation[[#This Row],[Source Row]]="","",Salary_Calculation[[#This Row],[Orders Counted at Base Rate]]*Salary_Calculation[[#This Row],[Base Order Rate]])</f>
        <v/>
      </c>
      <c r="M375" s="165" t="str">
        <f aca="false">IF(Salary_Calculation[[#This Row],[Source Row]]="","",MAX(Salary_Calculation[[#This Row],[Rider Target Orders]]-N(Salary_Calculation[[#This Row],[Completed Orders]]),0))</f>
        <v/>
      </c>
      <c r="N375" s="164" t="str">
        <f aca="false">IF(Salary_Calculation[[#This Row],[Source Row]]="","",Salary_Calculation[[#This Row],[Missing Orders]]*Missing_Rate)</f>
        <v/>
      </c>
      <c r="O375" s="165" t="str">
        <f aca="false">IF(Salary_Calculation[[#This Row],[Source Row]]="","",MAX(N(Salary_Calculation[[#This Row],[Completed Orders]])-Salary_Calculation[[#This Row],[Rider Target Orders]],0))</f>
        <v/>
      </c>
      <c r="P375" s="164" t="str">
        <f aca="false">IF(Salary_Calculation[[#This Row],[Source Row]]="","",Salary_Calculation[[#This Row],[Extra Orders]]*Extra_Rate)</f>
        <v/>
      </c>
      <c r="Q375" s="164" t="str">
        <f aca="false">IF(Salary_Calculation[[#This Row],[Source Row]]="","",MAX(Salary_Calculation[[#This Row],[Salary Before Other Deductions]],0))</f>
        <v/>
      </c>
      <c r="R375" s="164" t="str">
        <f aca="false">IF(Salary_Calculation[[#This Row],[Source Row]]="","",N(INDEX(Rider_Input[missed_days_penalty],Salary_Calculation[[#This Row],[Source Row]])))</f>
        <v/>
      </c>
      <c r="S375" s="164" t="str">
        <f aca="false">IF(Salary_Calculation[[#This Row],[Source Row]]="","",N(INDEX(Rider_Input[Rider Balance / محفظة المندوب],Salary_Calculation[[#This Row],[Source Row]])))</f>
        <v/>
      </c>
      <c r="T375" s="164" t="str">
        <f aca="false">IF(Salary_Calculation[[#This Row],[Source Row]]="","",N(INDEX(Rider_Input[stacking_deduction / خصم الطلبات المتعددة],Salary_Calculation[[#This Row],[Source Row]])))</f>
        <v/>
      </c>
      <c r="U375" s="164" t="str">
        <f aca="false">IF(Salary_Calculation[[#This Row],[Source Row]]="","",N(INDEX(Rider_Input[Other Deductions],Salary_Calculation[[#This Row],[Source Row]])))</f>
        <v/>
      </c>
      <c r="V375" s="164" t="str">
        <f aca="false">IF(Salary_Calculation[[#This Row],[Source Row]]="","",N(Salary_Calculation[[#This Row],[missed_days_penalty]])+N(Salary_Calculation[[#This Row],[Rider Balance]])+N(Salary_Calculation[[#This Row],[stacking_deduction]])+N(Salary_Calculation[[#This Row],[Other Deductions]]))</f>
        <v/>
      </c>
      <c r="W375" s="167" t="str">
        <f aca="false">IF(Salary_Calculation[[#This Row],[Source Row]]="","",ROUND(MAX(Salary_Calculation[[#This Row],[Gross Salary Before Deductions]]-Salary_Calculation[[#This Row],[Total Deductions]],0),2))</f>
        <v/>
      </c>
      <c r="X375" s="164" t="str">
        <f aca="false">IF(Salary_Calculation[[#This Row],[Source Row]]="","",ROUND(MAX(Salary_Calculation[[#This Row],[Missing-Order Deduction]]-Salary_Calculation[[#This Row],[Earned Salary]],0),2))</f>
        <v/>
      </c>
      <c r="Y37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75" s="163" t="str">
        <f aca="false">IF(Salary_Calculation[[#This Row],[Source Row]]="","",IF(INDEX(Rider_Input[Notes],Salary_Calculation[[#This Row],[Source Row]])="","",INDEX(Rider_Input[Notes],Salary_Calculation[[#This Row],[Source Row]])))</f>
        <v/>
      </c>
      <c r="AA375" s="164" t="str">
        <f aca="false">IF(Salary_Calculation[[#This Row],[Source Row]]="","",Salary_Calculation[[#This Row],[Earned Salary]]-Salary_Calculation[[#This Row],[Missing-Order Deduction]]+Salary_Calculation[[#This Row],[Extra-Order Bonus]])</f>
        <v/>
      </c>
      <c r="AB375" s="164" t="str">
        <f aca="false">IF(Salary_Calculation[[#This Row],[Source Row]]="","",ROUND(Salary_Calculation[[#This Row],[Negative Balance / Amount Due from Rider]]+MAX(Salary_Calculation[[#This Row],[Total Deductions]]-Salary_Calculation[[#This Row],[Gross Salary Before Deductions]],0),2))</f>
        <v/>
      </c>
      <c r="AC37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75" s="164" t="str">
        <f aca="false">IF(Salary_Calculation[[#This Row],[Source Row]]="","",Salary_Calculation[[#This Row],[Rider Target Orders]]*Salary_Calculation[[#This Row],[Base Order Rate]])</f>
        <v/>
      </c>
      <c r="AE375" s="162" t="str">
        <f aca="false">IF(SUMPRODUCT(--(LEN(INDEX(Rider_Input[#Data],ROW()-ROW(Salary_Calculation[#Headers]),0))&gt;0))=0,"",ROW()-ROW(Salary_Calculation[#Headers]))</f>
        <v/>
      </c>
    </row>
    <row r="376" customFormat="false" ht="14.25" hidden="false" customHeight="false" outlineLevel="0" collapsed="false">
      <c r="A376" s="161" t="str">
        <f aca="false">IF(Salary_Calculation[[#This Row],[Source Row]]="","",IF(INDEX(Rider_Input[Salary Month],Salary_Calculation[[#This Row],[Source Row]])="","",INDEX(Rider_Input[Salary Month],Salary_Calculation[[#This Row],[Source Row]])))</f>
        <v/>
      </c>
      <c r="B376" s="162" t="str">
        <f aca="false">IF(Salary_Calculation[[#This Row],[Source Row]]="","",IF(INDEX(Rider_Input[Rider ID],Salary_Calculation[[#This Row],[Source Row]])="","",INDEX(Rider_Input[Rider ID],Salary_Calculation[[#This Row],[Source Row]])))</f>
        <v/>
      </c>
      <c r="C376" s="163" t="str">
        <f aca="false">IF(Salary_Calculation[[#This Row],[Source Row]]="","",IF(INDEX(Rider_Input[Rider Name],Salary_Calculation[[#This Row],[Source Row]])="","",INDEX(Rider_Input[Rider Name],Salary_Calculation[[#This Row],[Source Row]])))</f>
        <v/>
      </c>
      <c r="D376" s="164" t="str">
        <f aca="false">IF(Salary_Calculation[[#This Row],[Source Row]]="","",IF(INDEX(Rider_Input[Basic Payment],Salary_Calculation[[#This Row],[Source Row]])="","",INDEX(Rider_Input[Basic Payment],Salary_Calculation[[#This Row],[Source Row]])))</f>
        <v/>
      </c>
      <c r="E376" s="162" t="str">
        <f aca="false">IF(Salary_Calculation[[#This Row],[Source Row]]="","",IF(INDEX(Rider_Input[Calendar Days in Month],Salary_Calculation[[#This Row],[Source Row]])="","",INDEX(Rider_Input[Calendar Days in Month],Salary_Calculation[[#This Row],[Source Row]])))</f>
        <v/>
      </c>
      <c r="F376" s="162" t="str">
        <f aca="false">IF(Salary_Calculation[[#This Row],[Source Row]]="","",IF(INDEX(Rider_Input[Working Days],Salary_Calculation[[#This Row],[Source Row]])="","",INDEX(Rider_Input[Working Days],Salary_Calculation[[#This Row],[Source Row]])))</f>
        <v/>
      </c>
      <c r="G376" s="165" t="str">
        <f aca="false">IF(Salary_Calculation[[#This Row],[Source Row]]="","",Std_Orders/Std_Days*N(Salary_Calculation[[#This Row],[Calendar Days]]))</f>
        <v/>
      </c>
      <c r="H376" s="165" t="str">
        <f aca="false">IF(Salary_Calculation[[#This Row],[Source Row]]="","",IF(N(Salary_Calculation[[#This Row],[Calendar Days]])&gt;0,Salary_Calculation[[#This Row],[Monthly Target Orders]]/N(Salary_Calculation[[#This Row],[Calendar Days]])*N(Salary_Calculation[[#This Row],[Working Days]]),0))</f>
        <v/>
      </c>
      <c r="I376" s="166" t="str">
        <f aca="false">IF(Salary_Calculation[[#This Row],[Source Row]]="","",IF(INDEX(Rider_Input[Completed Orders],Salary_Calculation[[#This Row],[Source Row]])="","",INDEX(Rider_Input[Completed Orders],Salary_Calculation[[#This Row],[Source Row]])))</f>
        <v/>
      </c>
      <c r="J376" s="165" t="str">
        <f aca="false">IF(Salary_Calculation[[#This Row],[Source Row]]="","",IF(Rate_Method="Fixed rate",Fixed_Rate,IF(N(Salary_Calculation[[#This Row],[Basic Payment]])&gt;0,N(Salary_Calculation[[#This Row],[Basic Payment]])/Std_Orders,0)))</f>
        <v/>
      </c>
      <c r="K376" s="165" t="str">
        <f aca="false">IF(Salary_Calculation[[#This Row],[Source Row]]="","",MAX(MIN(N(Salary_Calculation[[#This Row],[Completed Orders]]),Salary_Calculation[[#This Row],[Rider Target Orders]]),0))</f>
        <v/>
      </c>
      <c r="L376" s="164" t="str">
        <f aca="false">IF(Salary_Calculation[[#This Row],[Source Row]]="","",Salary_Calculation[[#This Row],[Orders Counted at Base Rate]]*Salary_Calculation[[#This Row],[Base Order Rate]])</f>
        <v/>
      </c>
      <c r="M376" s="165" t="str">
        <f aca="false">IF(Salary_Calculation[[#This Row],[Source Row]]="","",MAX(Salary_Calculation[[#This Row],[Rider Target Orders]]-N(Salary_Calculation[[#This Row],[Completed Orders]]),0))</f>
        <v/>
      </c>
      <c r="N376" s="164" t="str">
        <f aca="false">IF(Salary_Calculation[[#This Row],[Source Row]]="","",Salary_Calculation[[#This Row],[Missing Orders]]*Missing_Rate)</f>
        <v/>
      </c>
      <c r="O376" s="165" t="str">
        <f aca="false">IF(Salary_Calculation[[#This Row],[Source Row]]="","",MAX(N(Salary_Calculation[[#This Row],[Completed Orders]])-Salary_Calculation[[#This Row],[Rider Target Orders]],0))</f>
        <v/>
      </c>
      <c r="P376" s="164" t="str">
        <f aca="false">IF(Salary_Calculation[[#This Row],[Source Row]]="","",Salary_Calculation[[#This Row],[Extra Orders]]*Extra_Rate)</f>
        <v/>
      </c>
      <c r="Q376" s="164" t="str">
        <f aca="false">IF(Salary_Calculation[[#This Row],[Source Row]]="","",MAX(Salary_Calculation[[#This Row],[Salary Before Other Deductions]],0))</f>
        <v/>
      </c>
      <c r="R376" s="164" t="str">
        <f aca="false">IF(Salary_Calculation[[#This Row],[Source Row]]="","",N(INDEX(Rider_Input[missed_days_penalty],Salary_Calculation[[#This Row],[Source Row]])))</f>
        <v/>
      </c>
      <c r="S376" s="164" t="str">
        <f aca="false">IF(Salary_Calculation[[#This Row],[Source Row]]="","",N(INDEX(Rider_Input[Rider Balance / محفظة المندوب],Salary_Calculation[[#This Row],[Source Row]])))</f>
        <v/>
      </c>
      <c r="T376" s="164" t="str">
        <f aca="false">IF(Salary_Calculation[[#This Row],[Source Row]]="","",N(INDEX(Rider_Input[stacking_deduction / خصم الطلبات المتعددة],Salary_Calculation[[#This Row],[Source Row]])))</f>
        <v/>
      </c>
      <c r="U376" s="164" t="str">
        <f aca="false">IF(Salary_Calculation[[#This Row],[Source Row]]="","",N(INDEX(Rider_Input[Other Deductions],Salary_Calculation[[#This Row],[Source Row]])))</f>
        <v/>
      </c>
      <c r="V376" s="164" t="str">
        <f aca="false">IF(Salary_Calculation[[#This Row],[Source Row]]="","",N(Salary_Calculation[[#This Row],[missed_days_penalty]])+N(Salary_Calculation[[#This Row],[Rider Balance]])+N(Salary_Calculation[[#This Row],[stacking_deduction]])+N(Salary_Calculation[[#This Row],[Other Deductions]]))</f>
        <v/>
      </c>
      <c r="W376" s="167" t="str">
        <f aca="false">IF(Salary_Calculation[[#This Row],[Source Row]]="","",ROUND(MAX(Salary_Calculation[[#This Row],[Gross Salary Before Deductions]]-Salary_Calculation[[#This Row],[Total Deductions]],0),2))</f>
        <v/>
      </c>
      <c r="X376" s="164" t="str">
        <f aca="false">IF(Salary_Calculation[[#This Row],[Source Row]]="","",ROUND(MAX(Salary_Calculation[[#This Row],[Missing-Order Deduction]]-Salary_Calculation[[#This Row],[Earned Salary]],0),2))</f>
        <v/>
      </c>
      <c r="Y37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76" s="163" t="str">
        <f aca="false">IF(Salary_Calculation[[#This Row],[Source Row]]="","",IF(INDEX(Rider_Input[Notes],Salary_Calculation[[#This Row],[Source Row]])="","",INDEX(Rider_Input[Notes],Salary_Calculation[[#This Row],[Source Row]])))</f>
        <v/>
      </c>
      <c r="AA376" s="164" t="str">
        <f aca="false">IF(Salary_Calculation[[#This Row],[Source Row]]="","",Salary_Calculation[[#This Row],[Earned Salary]]-Salary_Calculation[[#This Row],[Missing-Order Deduction]]+Salary_Calculation[[#This Row],[Extra-Order Bonus]])</f>
        <v/>
      </c>
      <c r="AB376" s="164" t="str">
        <f aca="false">IF(Salary_Calculation[[#This Row],[Source Row]]="","",ROUND(Salary_Calculation[[#This Row],[Negative Balance / Amount Due from Rider]]+MAX(Salary_Calculation[[#This Row],[Total Deductions]]-Salary_Calculation[[#This Row],[Gross Salary Before Deductions]],0),2))</f>
        <v/>
      </c>
      <c r="AC37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76" s="164" t="str">
        <f aca="false">IF(Salary_Calculation[[#This Row],[Source Row]]="","",Salary_Calculation[[#This Row],[Rider Target Orders]]*Salary_Calculation[[#This Row],[Base Order Rate]])</f>
        <v/>
      </c>
      <c r="AE376" s="162" t="str">
        <f aca="false">IF(SUMPRODUCT(--(LEN(INDEX(Rider_Input[#Data],ROW()-ROW(Salary_Calculation[#Headers]),0))&gt;0))=0,"",ROW()-ROW(Salary_Calculation[#Headers]))</f>
        <v/>
      </c>
    </row>
    <row r="377" customFormat="false" ht="14.25" hidden="false" customHeight="false" outlineLevel="0" collapsed="false">
      <c r="A377" s="161" t="str">
        <f aca="false">IF(Salary_Calculation[[#This Row],[Source Row]]="","",IF(INDEX(Rider_Input[Salary Month],Salary_Calculation[[#This Row],[Source Row]])="","",INDEX(Rider_Input[Salary Month],Salary_Calculation[[#This Row],[Source Row]])))</f>
        <v/>
      </c>
      <c r="B377" s="162" t="str">
        <f aca="false">IF(Salary_Calculation[[#This Row],[Source Row]]="","",IF(INDEX(Rider_Input[Rider ID],Salary_Calculation[[#This Row],[Source Row]])="","",INDEX(Rider_Input[Rider ID],Salary_Calculation[[#This Row],[Source Row]])))</f>
        <v/>
      </c>
      <c r="C377" s="163" t="str">
        <f aca="false">IF(Salary_Calculation[[#This Row],[Source Row]]="","",IF(INDEX(Rider_Input[Rider Name],Salary_Calculation[[#This Row],[Source Row]])="","",INDEX(Rider_Input[Rider Name],Salary_Calculation[[#This Row],[Source Row]])))</f>
        <v/>
      </c>
      <c r="D377" s="164" t="str">
        <f aca="false">IF(Salary_Calculation[[#This Row],[Source Row]]="","",IF(INDEX(Rider_Input[Basic Payment],Salary_Calculation[[#This Row],[Source Row]])="","",INDEX(Rider_Input[Basic Payment],Salary_Calculation[[#This Row],[Source Row]])))</f>
        <v/>
      </c>
      <c r="E377" s="162" t="str">
        <f aca="false">IF(Salary_Calculation[[#This Row],[Source Row]]="","",IF(INDEX(Rider_Input[Calendar Days in Month],Salary_Calculation[[#This Row],[Source Row]])="","",INDEX(Rider_Input[Calendar Days in Month],Salary_Calculation[[#This Row],[Source Row]])))</f>
        <v/>
      </c>
      <c r="F377" s="162" t="str">
        <f aca="false">IF(Salary_Calculation[[#This Row],[Source Row]]="","",IF(INDEX(Rider_Input[Working Days],Salary_Calculation[[#This Row],[Source Row]])="","",INDEX(Rider_Input[Working Days],Salary_Calculation[[#This Row],[Source Row]])))</f>
        <v/>
      </c>
      <c r="G377" s="165" t="str">
        <f aca="false">IF(Salary_Calculation[[#This Row],[Source Row]]="","",Std_Orders/Std_Days*N(Salary_Calculation[[#This Row],[Calendar Days]]))</f>
        <v/>
      </c>
      <c r="H377" s="165" t="str">
        <f aca="false">IF(Salary_Calculation[[#This Row],[Source Row]]="","",IF(N(Salary_Calculation[[#This Row],[Calendar Days]])&gt;0,Salary_Calculation[[#This Row],[Monthly Target Orders]]/N(Salary_Calculation[[#This Row],[Calendar Days]])*N(Salary_Calculation[[#This Row],[Working Days]]),0))</f>
        <v/>
      </c>
      <c r="I377" s="166" t="str">
        <f aca="false">IF(Salary_Calculation[[#This Row],[Source Row]]="","",IF(INDEX(Rider_Input[Completed Orders],Salary_Calculation[[#This Row],[Source Row]])="","",INDEX(Rider_Input[Completed Orders],Salary_Calculation[[#This Row],[Source Row]])))</f>
        <v/>
      </c>
      <c r="J377" s="165" t="str">
        <f aca="false">IF(Salary_Calculation[[#This Row],[Source Row]]="","",IF(Rate_Method="Fixed rate",Fixed_Rate,IF(N(Salary_Calculation[[#This Row],[Basic Payment]])&gt;0,N(Salary_Calculation[[#This Row],[Basic Payment]])/Std_Orders,0)))</f>
        <v/>
      </c>
      <c r="K377" s="165" t="str">
        <f aca="false">IF(Salary_Calculation[[#This Row],[Source Row]]="","",MAX(MIN(N(Salary_Calculation[[#This Row],[Completed Orders]]),Salary_Calculation[[#This Row],[Rider Target Orders]]),0))</f>
        <v/>
      </c>
      <c r="L377" s="164" t="str">
        <f aca="false">IF(Salary_Calculation[[#This Row],[Source Row]]="","",Salary_Calculation[[#This Row],[Orders Counted at Base Rate]]*Salary_Calculation[[#This Row],[Base Order Rate]])</f>
        <v/>
      </c>
      <c r="M377" s="165" t="str">
        <f aca="false">IF(Salary_Calculation[[#This Row],[Source Row]]="","",MAX(Salary_Calculation[[#This Row],[Rider Target Orders]]-N(Salary_Calculation[[#This Row],[Completed Orders]]),0))</f>
        <v/>
      </c>
      <c r="N377" s="164" t="str">
        <f aca="false">IF(Salary_Calculation[[#This Row],[Source Row]]="","",Salary_Calculation[[#This Row],[Missing Orders]]*Missing_Rate)</f>
        <v/>
      </c>
      <c r="O377" s="165" t="str">
        <f aca="false">IF(Salary_Calculation[[#This Row],[Source Row]]="","",MAX(N(Salary_Calculation[[#This Row],[Completed Orders]])-Salary_Calculation[[#This Row],[Rider Target Orders]],0))</f>
        <v/>
      </c>
      <c r="P377" s="164" t="str">
        <f aca="false">IF(Salary_Calculation[[#This Row],[Source Row]]="","",Salary_Calculation[[#This Row],[Extra Orders]]*Extra_Rate)</f>
        <v/>
      </c>
      <c r="Q377" s="164" t="str">
        <f aca="false">IF(Salary_Calculation[[#This Row],[Source Row]]="","",MAX(Salary_Calculation[[#This Row],[Salary Before Other Deductions]],0))</f>
        <v/>
      </c>
      <c r="R377" s="164" t="str">
        <f aca="false">IF(Salary_Calculation[[#This Row],[Source Row]]="","",N(INDEX(Rider_Input[missed_days_penalty],Salary_Calculation[[#This Row],[Source Row]])))</f>
        <v/>
      </c>
      <c r="S377" s="164" t="str">
        <f aca="false">IF(Salary_Calculation[[#This Row],[Source Row]]="","",N(INDEX(Rider_Input[Rider Balance / محفظة المندوب],Salary_Calculation[[#This Row],[Source Row]])))</f>
        <v/>
      </c>
      <c r="T377" s="164" t="str">
        <f aca="false">IF(Salary_Calculation[[#This Row],[Source Row]]="","",N(INDEX(Rider_Input[stacking_deduction / خصم الطلبات المتعددة],Salary_Calculation[[#This Row],[Source Row]])))</f>
        <v/>
      </c>
      <c r="U377" s="164" t="str">
        <f aca="false">IF(Salary_Calculation[[#This Row],[Source Row]]="","",N(INDEX(Rider_Input[Other Deductions],Salary_Calculation[[#This Row],[Source Row]])))</f>
        <v/>
      </c>
      <c r="V377" s="164" t="str">
        <f aca="false">IF(Salary_Calculation[[#This Row],[Source Row]]="","",N(Salary_Calculation[[#This Row],[missed_days_penalty]])+N(Salary_Calculation[[#This Row],[Rider Balance]])+N(Salary_Calculation[[#This Row],[stacking_deduction]])+N(Salary_Calculation[[#This Row],[Other Deductions]]))</f>
        <v/>
      </c>
      <c r="W377" s="167" t="str">
        <f aca="false">IF(Salary_Calculation[[#This Row],[Source Row]]="","",ROUND(MAX(Salary_Calculation[[#This Row],[Gross Salary Before Deductions]]-Salary_Calculation[[#This Row],[Total Deductions]],0),2))</f>
        <v/>
      </c>
      <c r="X377" s="164" t="str">
        <f aca="false">IF(Salary_Calculation[[#This Row],[Source Row]]="","",ROUND(MAX(Salary_Calculation[[#This Row],[Missing-Order Deduction]]-Salary_Calculation[[#This Row],[Earned Salary]],0),2))</f>
        <v/>
      </c>
      <c r="Y37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77" s="163" t="str">
        <f aca="false">IF(Salary_Calculation[[#This Row],[Source Row]]="","",IF(INDEX(Rider_Input[Notes],Salary_Calculation[[#This Row],[Source Row]])="","",INDEX(Rider_Input[Notes],Salary_Calculation[[#This Row],[Source Row]])))</f>
        <v/>
      </c>
      <c r="AA377" s="164" t="str">
        <f aca="false">IF(Salary_Calculation[[#This Row],[Source Row]]="","",Salary_Calculation[[#This Row],[Earned Salary]]-Salary_Calculation[[#This Row],[Missing-Order Deduction]]+Salary_Calculation[[#This Row],[Extra-Order Bonus]])</f>
        <v/>
      </c>
      <c r="AB377" s="164" t="str">
        <f aca="false">IF(Salary_Calculation[[#This Row],[Source Row]]="","",ROUND(Salary_Calculation[[#This Row],[Negative Balance / Amount Due from Rider]]+MAX(Salary_Calculation[[#This Row],[Total Deductions]]-Salary_Calculation[[#This Row],[Gross Salary Before Deductions]],0),2))</f>
        <v/>
      </c>
      <c r="AC37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77" s="164" t="str">
        <f aca="false">IF(Salary_Calculation[[#This Row],[Source Row]]="","",Salary_Calculation[[#This Row],[Rider Target Orders]]*Salary_Calculation[[#This Row],[Base Order Rate]])</f>
        <v/>
      </c>
      <c r="AE377" s="162" t="str">
        <f aca="false">IF(SUMPRODUCT(--(LEN(INDEX(Rider_Input[#Data],ROW()-ROW(Salary_Calculation[#Headers]),0))&gt;0))=0,"",ROW()-ROW(Salary_Calculation[#Headers]))</f>
        <v/>
      </c>
    </row>
    <row r="378" customFormat="false" ht="14.25" hidden="false" customHeight="false" outlineLevel="0" collapsed="false">
      <c r="A378" s="161" t="str">
        <f aca="false">IF(Salary_Calculation[[#This Row],[Source Row]]="","",IF(INDEX(Rider_Input[Salary Month],Salary_Calculation[[#This Row],[Source Row]])="","",INDEX(Rider_Input[Salary Month],Salary_Calculation[[#This Row],[Source Row]])))</f>
        <v/>
      </c>
      <c r="B378" s="162" t="str">
        <f aca="false">IF(Salary_Calculation[[#This Row],[Source Row]]="","",IF(INDEX(Rider_Input[Rider ID],Salary_Calculation[[#This Row],[Source Row]])="","",INDEX(Rider_Input[Rider ID],Salary_Calculation[[#This Row],[Source Row]])))</f>
        <v/>
      </c>
      <c r="C378" s="163" t="str">
        <f aca="false">IF(Salary_Calculation[[#This Row],[Source Row]]="","",IF(INDEX(Rider_Input[Rider Name],Salary_Calculation[[#This Row],[Source Row]])="","",INDEX(Rider_Input[Rider Name],Salary_Calculation[[#This Row],[Source Row]])))</f>
        <v/>
      </c>
      <c r="D378" s="164" t="str">
        <f aca="false">IF(Salary_Calculation[[#This Row],[Source Row]]="","",IF(INDEX(Rider_Input[Basic Payment],Salary_Calculation[[#This Row],[Source Row]])="","",INDEX(Rider_Input[Basic Payment],Salary_Calculation[[#This Row],[Source Row]])))</f>
        <v/>
      </c>
      <c r="E378" s="162" t="str">
        <f aca="false">IF(Salary_Calculation[[#This Row],[Source Row]]="","",IF(INDEX(Rider_Input[Calendar Days in Month],Salary_Calculation[[#This Row],[Source Row]])="","",INDEX(Rider_Input[Calendar Days in Month],Salary_Calculation[[#This Row],[Source Row]])))</f>
        <v/>
      </c>
      <c r="F378" s="162" t="str">
        <f aca="false">IF(Salary_Calculation[[#This Row],[Source Row]]="","",IF(INDEX(Rider_Input[Working Days],Salary_Calculation[[#This Row],[Source Row]])="","",INDEX(Rider_Input[Working Days],Salary_Calculation[[#This Row],[Source Row]])))</f>
        <v/>
      </c>
      <c r="G378" s="165" t="str">
        <f aca="false">IF(Salary_Calculation[[#This Row],[Source Row]]="","",Std_Orders/Std_Days*N(Salary_Calculation[[#This Row],[Calendar Days]]))</f>
        <v/>
      </c>
      <c r="H378" s="165" t="str">
        <f aca="false">IF(Salary_Calculation[[#This Row],[Source Row]]="","",IF(N(Salary_Calculation[[#This Row],[Calendar Days]])&gt;0,Salary_Calculation[[#This Row],[Monthly Target Orders]]/N(Salary_Calculation[[#This Row],[Calendar Days]])*N(Salary_Calculation[[#This Row],[Working Days]]),0))</f>
        <v/>
      </c>
      <c r="I378" s="166" t="str">
        <f aca="false">IF(Salary_Calculation[[#This Row],[Source Row]]="","",IF(INDEX(Rider_Input[Completed Orders],Salary_Calculation[[#This Row],[Source Row]])="","",INDEX(Rider_Input[Completed Orders],Salary_Calculation[[#This Row],[Source Row]])))</f>
        <v/>
      </c>
      <c r="J378" s="165" t="str">
        <f aca="false">IF(Salary_Calculation[[#This Row],[Source Row]]="","",IF(Rate_Method="Fixed rate",Fixed_Rate,IF(N(Salary_Calculation[[#This Row],[Basic Payment]])&gt;0,N(Salary_Calculation[[#This Row],[Basic Payment]])/Std_Orders,0)))</f>
        <v/>
      </c>
      <c r="K378" s="165" t="str">
        <f aca="false">IF(Salary_Calculation[[#This Row],[Source Row]]="","",MAX(MIN(N(Salary_Calculation[[#This Row],[Completed Orders]]),Salary_Calculation[[#This Row],[Rider Target Orders]]),0))</f>
        <v/>
      </c>
      <c r="L378" s="164" t="str">
        <f aca="false">IF(Salary_Calculation[[#This Row],[Source Row]]="","",Salary_Calculation[[#This Row],[Orders Counted at Base Rate]]*Salary_Calculation[[#This Row],[Base Order Rate]])</f>
        <v/>
      </c>
      <c r="M378" s="165" t="str">
        <f aca="false">IF(Salary_Calculation[[#This Row],[Source Row]]="","",MAX(Salary_Calculation[[#This Row],[Rider Target Orders]]-N(Salary_Calculation[[#This Row],[Completed Orders]]),0))</f>
        <v/>
      </c>
      <c r="N378" s="164" t="str">
        <f aca="false">IF(Salary_Calculation[[#This Row],[Source Row]]="","",Salary_Calculation[[#This Row],[Missing Orders]]*Missing_Rate)</f>
        <v/>
      </c>
      <c r="O378" s="165" t="str">
        <f aca="false">IF(Salary_Calculation[[#This Row],[Source Row]]="","",MAX(N(Salary_Calculation[[#This Row],[Completed Orders]])-Salary_Calculation[[#This Row],[Rider Target Orders]],0))</f>
        <v/>
      </c>
      <c r="P378" s="164" t="str">
        <f aca="false">IF(Salary_Calculation[[#This Row],[Source Row]]="","",Salary_Calculation[[#This Row],[Extra Orders]]*Extra_Rate)</f>
        <v/>
      </c>
      <c r="Q378" s="164" t="str">
        <f aca="false">IF(Salary_Calculation[[#This Row],[Source Row]]="","",MAX(Salary_Calculation[[#This Row],[Salary Before Other Deductions]],0))</f>
        <v/>
      </c>
      <c r="R378" s="164" t="str">
        <f aca="false">IF(Salary_Calculation[[#This Row],[Source Row]]="","",N(INDEX(Rider_Input[missed_days_penalty],Salary_Calculation[[#This Row],[Source Row]])))</f>
        <v/>
      </c>
      <c r="S378" s="164" t="str">
        <f aca="false">IF(Salary_Calculation[[#This Row],[Source Row]]="","",N(INDEX(Rider_Input[Rider Balance / محفظة المندوب],Salary_Calculation[[#This Row],[Source Row]])))</f>
        <v/>
      </c>
      <c r="T378" s="164" t="str">
        <f aca="false">IF(Salary_Calculation[[#This Row],[Source Row]]="","",N(INDEX(Rider_Input[stacking_deduction / خصم الطلبات المتعددة],Salary_Calculation[[#This Row],[Source Row]])))</f>
        <v/>
      </c>
      <c r="U378" s="164" t="str">
        <f aca="false">IF(Salary_Calculation[[#This Row],[Source Row]]="","",N(INDEX(Rider_Input[Other Deductions],Salary_Calculation[[#This Row],[Source Row]])))</f>
        <v/>
      </c>
      <c r="V378" s="164" t="str">
        <f aca="false">IF(Salary_Calculation[[#This Row],[Source Row]]="","",N(Salary_Calculation[[#This Row],[missed_days_penalty]])+N(Salary_Calculation[[#This Row],[Rider Balance]])+N(Salary_Calculation[[#This Row],[stacking_deduction]])+N(Salary_Calculation[[#This Row],[Other Deductions]]))</f>
        <v/>
      </c>
      <c r="W378" s="167" t="str">
        <f aca="false">IF(Salary_Calculation[[#This Row],[Source Row]]="","",ROUND(MAX(Salary_Calculation[[#This Row],[Gross Salary Before Deductions]]-Salary_Calculation[[#This Row],[Total Deductions]],0),2))</f>
        <v/>
      </c>
      <c r="X378" s="164" t="str">
        <f aca="false">IF(Salary_Calculation[[#This Row],[Source Row]]="","",ROUND(MAX(Salary_Calculation[[#This Row],[Missing-Order Deduction]]-Salary_Calculation[[#This Row],[Earned Salary]],0),2))</f>
        <v/>
      </c>
      <c r="Y37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78" s="163" t="str">
        <f aca="false">IF(Salary_Calculation[[#This Row],[Source Row]]="","",IF(INDEX(Rider_Input[Notes],Salary_Calculation[[#This Row],[Source Row]])="","",INDEX(Rider_Input[Notes],Salary_Calculation[[#This Row],[Source Row]])))</f>
        <v/>
      </c>
      <c r="AA378" s="164" t="str">
        <f aca="false">IF(Salary_Calculation[[#This Row],[Source Row]]="","",Salary_Calculation[[#This Row],[Earned Salary]]-Salary_Calculation[[#This Row],[Missing-Order Deduction]]+Salary_Calculation[[#This Row],[Extra-Order Bonus]])</f>
        <v/>
      </c>
      <c r="AB378" s="164" t="str">
        <f aca="false">IF(Salary_Calculation[[#This Row],[Source Row]]="","",ROUND(Salary_Calculation[[#This Row],[Negative Balance / Amount Due from Rider]]+MAX(Salary_Calculation[[#This Row],[Total Deductions]]-Salary_Calculation[[#This Row],[Gross Salary Before Deductions]],0),2))</f>
        <v/>
      </c>
      <c r="AC37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78" s="164" t="str">
        <f aca="false">IF(Salary_Calculation[[#This Row],[Source Row]]="","",Salary_Calculation[[#This Row],[Rider Target Orders]]*Salary_Calculation[[#This Row],[Base Order Rate]])</f>
        <v/>
      </c>
      <c r="AE378" s="162" t="str">
        <f aca="false">IF(SUMPRODUCT(--(LEN(INDEX(Rider_Input[#Data],ROW()-ROW(Salary_Calculation[#Headers]),0))&gt;0))=0,"",ROW()-ROW(Salary_Calculation[#Headers]))</f>
        <v/>
      </c>
    </row>
    <row r="379" customFormat="false" ht="14.25" hidden="false" customHeight="false" outlineLevel="0" collapsed="false">
      <c r="A379" s="161" t="str">
        <f aca="false">IF(Salary_Calculation[[#This Row],[Source Row]]="","",IF(INDEX(Rider_Input[Salary Month],Salary_Calculation[[#This Row],[Source Row]])="","",INDEX(Rider_Input[Salary Month],Salary_Calculation[[#This Row],[Source Row]])))</f>
        <v/>
      </c>
      <c r="B379" s="162" t="str">
        <f aca="false">IF(Salary_Calculation[[#This Row],[Source Row]]="","",IF(INDEX(Rider_Input[Rider ID],Salary_Calculation[[#This Row],[Source Row]])="","",INDEX(Rider_Input[Rider ID],Salary_Calculation[[#This Row],[Source Row]])))</f>
        <v/>
      </c>
      <c r="C379" s="163" t="str">
        <f aca="false">IF(Salary_Calculation[[#This Row],[Source Row]]="","",IF(INDEX(Rider_Input[Rider Name],Salary_Calculation[[#This Row],[Source Row]])="","",INDEX(Rider_Input[Rider Name],Salary_Calculation[[#This Row],[Source Row]])))</f>
        <v/>
      </c>
      <c r="D379" s="164" t="str">
        <f aca="false">IF(Salary_Calculation[[#This Row],[Source Row]]="","",IF(INDEX(Rider_Input[Basic Payment],Salary_Calculation[[#This Row],[Source Row]])="","",INDEX(Rider_Input[Basic Payment],Salary_Calculation[[#This Row],[Source Row]])))</f>
        <v/>
      </c>
      <c r="E379" s="162" t="str">
        <f aca="false">IF(Salary_Calculation[[#This Row],[Source Row]]="","",IF(INDEX(Rider_Input[Calendar Days in Month],Salary_Calculation[[#This Row],[Source Row]])="","",INDEX(Rider_Input[Calendar Days in Month],Salary_Calculation[[#This Row],[Source Row]])))</f>
        <v/>
      </c>
      <c r="F379" s="162" t="str">
        <f aca="false">IF(Salary_Calculation[[#This Row],[Source Row]]="","",IF(INDEX(Rider_Input[Working Days],Salary_Calculation[[#This Row],[Source Row]])="","",INDEX(Rider_Input[Working Days],Salary_Calculation[[#This Row],[Source Row]])))</f>
        <v/>
      </c>
      <c r="G379" s="165" t="str">
        <f aca="false">IF(Salary_Calculation[[#This Row],[Source Row]]="","",Std_Orders/Std_Days*N(Salary_Calculation[[#This Row],[Calendar Days]]))</f>
        <v/>
      </c>
      <c r="H379" s="165" t="str">
        <f aca="false">IF(Salary_Calculation[[#This Row],[Source Row]]="","",IF(N(Salary_Calculation[[#This Row],[Calendar Days]])&gt;0,Salary_Calculation[[#This Row],[Monthly Target Orders]]/N(Salary_Calculation[[#This Row],[Calendar Days]])*N(Salary_Calculation[[#This Row],[Working Days]]),0))</f>
        <v/>
      </c>
      <c r="I379" s="166" t="str">
        <f aca="false">IF(Salary_Calculation[[#This Row],[Source Row]]="","",IF(INDEX(Rider_Input[Completed Orders],Salary_Calculation[[#This Row],[Source Row]])="","",INDEX(Rider_Input[Completed Orders],Salary_Calculation[[#This Row],[Source Row]])))</f>
        <v/>
      </c>
      <c r="J379" s="165" t="str">
        <f aca="false">IF(Salary_Calculation[[#This Row],[Source Row]]="","",IF(Rate_Method="Fixed rate",Fixed_Rate,IF(N(Salary_Calculation[[#This Row],[Basic Payment]])&gt;0,N(Salary_Calculation[[#This Row],[Basic Payment]])/Std_Orders,0)))</f>
        <v/>
      </c>
      <c r="K379" s="165" t="str">
        <f aca="false">IF(Salary_Calculation[[#This Row],[Source Row]]="","",MAX(MIN(N(Salary_Calculation[[#This Row],[Completed Orders]]),Salary_Calculation[[#This Row],[Rider Target Orders]]),0))</f>
        <v/>
      </c>
      <c r="L379" s="164" t="str">
        <f aca="false">IF(Salary_Calculation[[#This Row],[Source Row]]="","",Salary_Calculation[[#This Row],[Orders Counted at Base Rate]]*Salary_Calculation[[#This Row],[Base Order Rate]])</f>
        <v/>
      </c>
      <c r="M379" s="165" t="str">
        <f aca="false">IF(Salary_Calculation[[#This Row],[Source Row]]="","",MAX(Salary_Calculation[[#This Row],[Rider Target Orders]]-N(Salary_Calculation[[#This Row],[Completed Orders]]),0))</f>
        <v/>
      </c>
      <c r="N379" s="164" t="str">
        <f aca="false">IF(Salary_Calculation[[#This Row],[Source Row]]="","",Salary_Calculation[[#This Row],[Missing Orders]]*Missing_Rate)</f>
        <v/>
      </c>
      <c r="O379" s="165" t="str">
        <f aca="false">IF(Salary_Calculation[[#This Row],[Source Row]]="","",MAX(N(Salary_Calculation[[#This Row],[Completed Orders]])-Salary_Calculation[[#This Row],[Rider Target Orders]],0))</f>
        <v/>
      </c>
      <c r="P379" s="164" t="str">
        <f aca="false">IF(Salary_Calculation[[#This Row],[Source Row]]="","",Salary_Calculation[[#This Row],[Extra Orders]]*Extra_Rate)</f>
        <v/>
      </c>
      <c r="Q379" s="164" t="str">
        <f aca="false">IF(Salary_Calculation[[#This Row],[Source Row]]="","",MAX(Salary_Calculation[[#This Row],[Salary Before Other Deductions]],0))</f>
        <v/>
      </c>
      <c r="R379" s="164" t="str">
        <f aca="false">IF(Salary_Calculation[[#This Row],[Source Row]]="","",N(INDEX(Rider_Input[missed_days_penalty],Salary_Calculation[[#This Row],[Source Row]])))</f>
        <v/>
      </c>
      <c r="S379" s="164" t="str">
        <f aca="false">IF(Salary_Calculation[[#This Row],[Source Row]]="","",N(INDEX(Rider_Input[Rider Balance / محفظة المندوب],Salary_Calculation[[#This Row],[Source Row]])))</f>
        <v/>
      </c>
      <c r="T379" s="164" t="str">
        <f aca="false">IF(Salary_Calculation[[#This Row],[Source Row]]="","",N(INDEX(Rider_Input[stacking_deduction / خصم الطلبات المتعددة],Salary_Calculation[[#This Row],[Source Row]])))</f>
        <v/>
      </c>
      <c r="U379" s="164" t="str">
        <f aca="false">IF(Salary_Calculation[[#This Row],[Source Row]]="","",N(INDEX(Rider_Input[Other Deductions],Salary_Calculation[[#This Row],[Source Row]])))</f>
        <v/>
      </c>
      <c r="V379" s="164" t="str">
        <f aca="false">IF(Salary_Calculation[[#This Row],[Source Row]]="","",N(Salary_Calculation[[#This Row],[missed_days_penalty]])+N(Salary_Calculation[[#This Row],[Rider Balance]])+N(Salary_Calculation[[#This Row],[stacking_deduction]])+N(Salary_Calculation[[#This Row],[Other Deductions]]))</f>
        <v/>
      </c>
      <c r="W379" s="167" t="str">
        <f aca="false">IF(Salary_Calculation[[#This Row],[Source Row]]="","",ROUND(MAX(Salary_Calculation[[#This Row],[Gross Salary Before Deductions]]-Salary_Calculation[[#This Row],[Total Deductions]],0),2))</f>
        <v/>
      </c>
      <c r="X379" s="164" t="str">
        <f aca="false">IF(Salary_Calculation[[#This Row],[Source Row]]="","",ROUND(MAX(Salary_Calculation[[#This Row],[Missing-Order Deduction]]-Salary_Calculation[[#This Row],[Earned Salary]],0),2))</f>
        <v/>
      </c>
      <c r="Y37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79" s="163" t="str">
        <f aca="false">IF(Salary_Calculation[[#This Row],[Source Row]]="","",IF(INDEX(Rider_Input[Notes],Salary_Calculation[[#This Row],[Source Row]])="","",INDEX(Rider_Input[Notes],Salary_Calculation[[#This Row],[Source Row]])))</f>
        <v/>
      </c>
      <c r="AA379" s="164" t="str">
        <f aca="false">IF(Salary_Calculation[[#This Row],[Source Row]]="","",Salary_Calculation[[#This Row],[Earned Salary]]-Salary_Calculation[[#This Row],[Missing-Order Deduction]]+Salary_Calculation[[#This Row],[Extra-Order Bonus]])</f>
        <v/>
      </c>
      <c r="AB379" s="164" t="str">
        <f aca="false">IF(Salary_Calculation[[#This Row],[Source Row]]="","",ROUND(Salary_Calculation[[#This Row],[Negative Balance / Amount Due from Rider]]+MAX(Salary_Calculation[[#This Row],[Total Deductions]]-Salary_Calculation[[#This Row],[Gross Salary Before Deductions]],0),2))</f>
        <v/>
      </c>
      <c r="AC37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79" s="164" t="str">
        <f aca="false">IF(Salary_Calculation[[#This Row],[Source Row]]="","",Salary_Calculation[[#This Row],[Rider Target Orders]]*Salary_Calculation[[#This Row],[Base Order Rate]])</f>
        <v/>
      </c>
      <c r="AE379" s="162" t="str">
        <f aca="false">IF(SUMPRODUCT(--(LEN(INDEX(Rider_Input[#Data],ROW()-ROW(Salary_Calculation[#Headers]),0))&gt;0))=0,"",ROW()-ROW(Salary_Calculation[#Headers]))</f>
        <v/>
      </c>
    </row>
    <row r="380" customFormat="false" ht="14.25" hidden="false" customHeight="false" outlineLevel="0" collapsed="false">
      <c r="A380" s="161" t="str">
        <f aca="false">IF(Salary_Calculation[[#This Row],[Source Row]]="","",IF(INDEX(Rider_Input[Salary Month],Salary_Calculation[[#This Row],[Source Row]])="","",INDEX(Rider_Input[Salary Month],Salary_Calculation[[#This Row],[Source Row]])))</f>
        <v/>
      </c>
      <c r="B380" s="162" t="str">
        <f aca="false">IF(Salary_Calculation[[#This Row],[Source Row]]="","",IF(INDEX(Rider_Input[Rider ID],Salary_Calculation[[#This Row],[Source Row]])="","",INDEX(Rider_Input[Rider ID],Salary_Calculation[[#This Row],[Source Row]])))</f>
        <v/>
      </c>
      <c r="C380" s="163" t="str">
        <f aca="false">IF(Salary_Calculation[[#This Row],[Source Row]]="","",IF(INDEX(Rider_Input[Rider Name],Salary_Calculation[[#This Row],[Source Row]])="","",INDEX(Rider_Input[Rider Name],Salary_Calculation[[#This Row],[Source Row]])))</f>
        <v/>
      </c>
      <c r="D380" s="164" t="str">
        <f aca="false">IF(Salary_Calculation[[#This Row],[Source Row]]="","",IF(INDEX(Rider_Input[Basic Payment],Salary_Calculation[[#This Row],[Source Row]])="","",INDEX(Rider_Input[Basic Payment],Salary_Calculation[[#This Row],[Source Row]])))</f>
        <v/>
      </c>
      <c r="E380" s="162" t="str">
        <f aca="false">IF(Salary_Calculation[[#This Row],[Source Row]]="","",IF(INDEX(Rider_Input[Calendar Days in Month],Salary_Calculation[[#This Row],[Source Row]])="","",INDEX(Rider_Input[Calendar Days in Month],Salary_Calculation[[#This Row],[Source Row]])))</f>
        <v/>
      </c>
      <c r="F380" s="162" t="str">
        <f aca="false">IF(Salary_Calculation[[#This Row],[Source Row]]="","",IF(INDEX(Rider_Input[Working Days],Salary_Calculation[[#This Row],[Source Row]])="","",INDEX(Rider_Input[Working Days],Salary_Calculation[[#This Row],[Source Row]])))</f>
        <v/>
      </c>
      <c r="G380" s="165" t="str">
        <f aca="false">IF(Salary_Calculation[[#This Row],[Source Row]]="","",Std_Orders/Std_Days*N(Salary_Calculation[[#This Row],[Calendar Days]]))</f>
        <v/>
      </c>
      <c r="H380" s="165" t="str">
        <f aca="false">IF(Salary_Calculation[[#This Row],[Source Row]]="","",IF(N(Salary_Calculation[[#This Row],[Calendar Days]])&gt;0,Salary_Calculation[[#This Row],[Monthly Target Orders]]/N(Salary_Calculation[[#This Row],[Calendar Days]])*N(Salary_Calculation[[#This Row],[Working Days]]),0))</f>
        <v/>
      </c>
      <c r="I380" s="166" t="str">
        <f aca="false">IF(Salary_Calculation[[#This Row],[Source Row]]="","",IF(INDEX(Rider_Input[Completed Orders],Salary_Calculation[[#This Row],[Source Row]])="","",INDEX(Rider_Input[Completed Orders],Salary_Calculation[[#This Row],[Source Row]])))</f>
        <v/>
      </c>
      <c r="J380" s="165" t="str">
        <f aca="false">IF(Salary_Calculation[[#This Row],[Source Row]]="","",IF(Rate_Method="Fixed rate",Fixed_Rate,IF(N(Salary_Calculation[[#This Row],[Basic Payment]])&gt;0,N(Salary_Calculation[[#This Row],[Basic Payment]])/Std_Orders,0)))</f>
        <v/>
      </c>
      <c r="K380" s="165" t="str">
        <f aca="false">IF(Salary_Calculation[[#This Row],[Source Row]]="","",MAX(MIN(N(Salary_Calculation[[#This Row],[Completed Orders]]),Salary_Calculation[[#This Row],[Rider Target Orders]]),0))</f>
        <v/>
      </c>
      <c r="L380" s="164" t="str">
        <f aca="false">IF(Salary_Calculation[[#This Row],[Source Row]]="","",Salary_Calculation[[#This Row],[Orders Counted at Base Rate]]*Salary_Calculation[[#This Row],[Base Order Rate]])</f>
        <v/>
      </c>
      <c r="M380" s="165" t="str">
        <f aca="false">IF(Salary_Calculation[[#This Row],[Source Row]]="","",MAX(Salary_Calculation[[#This Row],[Rider Target Orders]]-N(Salary_Calculation[[#This Row],[Completed Orders]]),0))</f>
        <v/>
      </c>
      <c r="N380" s="164" t="str">
        <f aca="false">IF(Salary_Calculation[[#This Row],[Source Row]]="","",Salary_Calculation[[#This Row],[Missing Orders]]*Missing_Rate)</f>
        <v/>
      </c>
      <c r="O380" s="165" t="str">
        <f aca="false">IF(Salary_Calculation[[#This Row],[Source Row]]="","",MAX(N(Salary_Calculation[[#This Row],[Completed Orders]])-Salary_Calculation[[#This Row],[Rider Target Orders]],0))</f>
        <v/>
      </c>
      <c r="P380" s="164" t="str">
        <f aca="false">IF(Salary_Calculation[[#This Row],[Source Row]]="","",Salary_Calculation[[#This Row],[Extra Orders]]*Extra_Rate)</f>
        <v/>
      </c>
      <c r="Q380" s="164" t="str">
        <f aca="false">IF(Salary_Calculation[[#This Row],[Source Row]]="","",MAX(Salary_Calculation[[#This Row],[Salary Before Other Deductions]],0))</f>
        <v/>
      </c>
      <c r="R380" s="164" t="str">
        <f aca="false">IF(Salary_Calculation[[#This Row],[Source Row]]="","",N(INDEX(Rider_Input[missed_days_penalty],Salary_Calculation[[#This Row],[Source Row]])))</f>
        <v/>
      </c>
      <c r="S380" s="164" t="str">
        <f aca="false">IF(Salary_Calculation[[#This Row],[Source Row]]="","",N(INDEX(Rider_Input[Rider Balance / محفظة المندوب],Salary_Calculation[[#This Row],[Source Row]])))</f>
        <v/>
      </c>
      <c r="T380" s="164" t="str">
        <f aca="false">IF(Salary_Calculation[[#This Row],[Source Row]]="","",N(INDEX(Rider_Input[stacking_deduction / خصم الطلبات المتعددة],Salary_Calculation[[#This Row],[Source Row]])))</f>
        <v/>
      </c>
      <c r="U380" s="164" t="str">
        <f aca="false">IF(Salary_Calculation[[#This Row],[Source Row]]="","",N(INDEX(Rider_Input[Other Deductions],Salary_Calculation[[#This Row],[Source Row]])))</f>
        <v/>
      </c>
      <c r="V380" s="164" t="str">
        <f aca="false">IF(Salary_Calculation[[#This Row],[Source Row]]="","",N(Salary_Calculation[[#This Row],[missed_days_penalty]])+N(Salary_Calculation[[#This Row],[Rider Balance]])+N(Salary_Calculation[[#This Row],[stacking_deduction]])+N(Salary_Calculation[[#This Row],[Other Deductions]]))</f>
        <v/>
      </c>
      <c r="W380" s="167" t="str">
        <f aca="false">IF(Salary_Calculation[[#This Row],[Source Row]]="","",ROUND(MAX(Salary_Calculation[[#This Row],[Gross Salary Before Deductions]]-Salary_Calculation[[#This Row],[Total Deductions]],0),2))</f>
        <v/>
      </c>
      <c r="X380" s="164" t="str">
        <f aca="false">IF(Salary_Calculation[[#This Row],[Source Row]]="","",ROUND(MAX(Salary_Calculation[[#This Row],[Missing-Order Deduction]]-Salary_Calculation[[#This Row],[Earned Salary]],0),2))</f>
        <v/>
      </c>
      <c r="Y38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80" s="163" t="str">
        <f aca="false">IF(Salary_Calculation[[#This Row],[Source Row]]="","",IF(INDEX(Rider_Input[Notes],Salary_Calculation[[#This Row],[Source Row]])="","",INDEX(Rider_Input[Notes],Salary_Calculation[[#This Row],[Source Row]])))</f>
        <v/>
      </c>
      <c r="AA380" s="164" t="str">
        <f aca="false">IF(Salary_Calculation[[#This Row],[Source Row]]="","",Salary_Calculation[[#This Row],[Earned Salary]]-Salary_Calculation[[#This Row],[Missing-Order Deduction]]+Salary_Calculation[[#This Row],[Extra-Order Bonus]])</f>
        <v/>
      </c>
      <c r="AB380" s="164" t="str">
        <f aca="false">IF(Salary_Calculation[[#This Row],[Source Row]]="","",ROUND(Salary_Calculation[[#This Row],[Negative Balance / Amount Due from Rider]]+MAX(Salary_Calculation[[#This Row],[Total Deductions]]-Salary_Calculation[[#This Row],[Gross Salary Before Deductions]],0),2))</f>
        <v/>
      </c>
      <c r="AC38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80" s="164" t="str">
        <f aca="false">IF(Salary_Calculation[[#This Row],[Source Row]]="","",Salary_Calculation[[#This Row],[Rider Target Orders]]*Salary_Calculation[[#This Row],[Base Order Rate]])</f>
        <v/>
      </c>
      <c r="AE380" s="162" t="str">
        <f aca="false">IF(SUMPRODUCT(--(LEN(INDEX(Rider_Input[#Data],ROW()-ROW(Salary_Calculation[#Headers]),0))&gt;0))=0,"",ROW()-ROW(Salary_Calculation[#Headers]))</f>
        <v/>
      </c>
    </row>
    <row r="381" customFormat="false" ht="14.25" hidden="false" customHeight="false" outlineLevel="0" collapsed="false">
      <c r="A381" s="161" t="str">
        <f aca="false">IF(Salary_Calculation[[#This Row],[Source Row]]="","",IF(INDEX(Rider_Input[Salary Month],Salary_Calculation[[#This Row],[Source Row]])="","",INDEX(Rider_Input[Salary Month],Salary_Calculation[[#This Row],[Source Row]])))</f>
        <v/>
      </c>
      <c r="B381" s="162" t="str">
        <f aca="false">IF(Salary_Calculation[[#This Row],[Source Row]]="","",IF(INDEX(Rider_Input[Rider ID],Salary_Calculation[[#This Row],[Source Row]])="","",INDEX(Rider_Input[Rider ID],Salary_Calculation[[#This Row],[Source Row]])))</f>
        <v/>
      </c>
      <c r="C381" s="163" t="str">
        <f aca="false">IF(Salary_Calculation[[#This Row],[Source Row]]="","",IF(INDEX(Rider_Input[Rider Name],Salary_Calculation[[#This Row],[Source Row]])="","",INDEX(Rider_Input[Rider Name],Salary_Calculation[[#This Row],[Source Row]])))</f>
        <v/>
      </c>
      <c r="D381" s="164" t="str">
        <f aca="false">IF(Salary_Calculation[[#This Row],[Source Row]]="","",IF(INDEX(Rider_Input[Basic Payment],Salary_Calculation[[#This Row],[Source Row]])="","",INDEX(Rider_Input[Basic Payment],Salary_Calculation[[#This Row],[Source Row]])))</f>
        <v/>
      </c>
      <c r="E381" s="162" t="str">
        <f aca="false">IF(Salary_Calculation[[#This Row],[Source Row]]="","",IF(INDEX(Rider_Input[Calendar Days in Month],Salary_Calculation[[#This Row],[Source Row]])="","",INDEX(Rider_Input[Calendar Days in Month],Salary_Calculation[[#This Row],[Source Row]])))</f>
        <v/>
      </c>
      <c r="F381" s="162" t="str">
        <f aca="false">IF(Salary_Calculation[[#This Row],[Source Row]]="","",IF(INDEX(Rider_Input[Working Days],Salary_Calculation[[#This Row],[Source Row]])="","",INDEX(Rider_Input[Working Days],Salary_Calculation[[#This Row],[Source Row]])))</f>
        <v/>
      </c>
      <c r="G381" s="165" t="str">
        <f aca="false">IF(Salary_Calculation[[#This Row],[Source Row]]="","",Std_Orders/Std_Days*N(Salary_Calculation[[#This Row],[Calendar Days]]))</f>
        <v/>
      </c>
      <c r="H381" s="165" t="str">
        <f aca="false">IF(Salary_Calculation[[#This Row],[Source Row]]="","",IF(N(Salary_Calculation[[#This Row],[Calendar Days]])&gt;0,Salary_Calculation[[#This Row],[Monthly Target Orders]]/N(Salary_Calculation[[#This Row],[Calendar Days]])*N(Salary_Calculation[[#This Row],[Working Days]]),0))</f>
        <v/>
      </c>
      <c r="I381" s="166" t="str">
        <f aca="false">IF(Salary_Calculation[[#This Row],[Source Row]]="","",IF(INDEX(Rider_Input[Completed Orders],Salary_Calculation[[#This Row],[Source Row]])="","",INDEX(Rider_Input[Completed Orders],Salary_Calculation[[#This Row],[Source Row]])))</f>
        <v/>
      </c>
      <c r="J381" s="165" t="str">
        <f aca="false">IF(Salary_Calculation[[#This Row],[Source Row]]="","",IF(Rate_Method="Fixed rate",Fixed_Rate,IF(N(Salary_Calculation[[#This Row],[Basic Payment]])&gt;0,N(Salary_Calculation[[#This Row],[Basic Payment]])/Std_Orders,0)))</f>
        <v/>
      </c>
      <c r="K381" s="165" t="str">
        <f aca="false">IF(Salary_Calculation[[#This Row],[Source Row]]="","",MAX(MIN(N(Salary_Calculation[[#This Row],[Completed Orders]]),Salary_Calculation[[#This Row],[Rider Target Orders]]),0))</f>
        <v/>
      </c>
      <c r="L381" s="164" t="str">
        <f aca="false">IF(Salary_Calculation[[#This Row],[Source Row]]="","",Salary_Calculation[[#This Row],[Orders Counted at Base Rate]]*Salary_Calculation[[#This Row],[Base Order Rate]])</f>
        <v/>
      </c>
      <c r="M381" s="165" t="str">
        <f aca="false">IF(Salary_Calculation[[#This Row],[Source Row]]="","",MAX(Salary_Calculation[[#This Row],[Rider Target Orders]]-N(Salary_Calculation[[#This Row],[Completed Orders]]),0))</f>
        <v/>
      </c>
      <c r="N381" s="164" t="str">
        <f aca="false">IF(Salary_Calculation[[#This Row],[Source Row]]="","",Salary_Calculation[[#This Row],[Missing Orders]]*Missing_Rate)</f>
        <v/>
      </c>
      <c r="O381" s="165" t="str">
        <f aca="false">IF(Salary_Calculation[[#This Row],[Source Row]]="","",MAX(N(Salary_Calculation[[#This Row],[Completed Orders]])-Salary_Calculation[[#This Row],[Rider Target Orders]],0))</f>
        <v/>
      </c>
      <c r="P381" s="164" t="str">
        <f aca="false">IF(Salary_Calculation[[#This Row],[Source Row]]="","",Salary_Calculation[[#This Row],[Extra Orders]]*Extra_Rate)</f>
        <v/>
      </c>
      <c r="Q381" s="164" t="str">
        <f aca="false">IF(Salary_Calculation[[#This Row],[Source Row]]="","",MAX(Salary_Calculation[[#This Row],[Salary Before Other Deductions]],0))</f>
        <v/>
      </c>
      <c r="R381" s="164" t="str">
        <f aca="false">IF(Salary_Calculation[[#This Row],[Source Row]]="","",N(INDEX(Rider_Input[missed_days_penalty],Salary_Calculation[[#This Row],[Source Row]])))</f>
        <v/>
      </c>
      <c r="S381" s="164" t="str">
        <f aca="false">IF(Salary_Calculation[[#This Row],[Source Row]]="","",N(INDEX(Rider_Input[Rider Balance / محفظة المندوب],Salary_Calculation[[#This Row],[Source Row]])))</f>
        <v/>
      </c>
      <c r="T381" s="164" t="str">
        <f aca="false">IF(Salary_Calculation[[#This Row],[Source Row]]="","",N(INDEX(Rider_Input[stacking_deduction / خصم الطلبات المتعددة],Salary_Calculation[[#This Row],[Source Row]])))</f>
        <v/>
      </c>
      <c r="U381" s="164" t="str">
        <f aca="false">IF(Salary_Calculation[[#This Row],[Source Row]]="","",N(INDEX(Rider_Input[Other Deductions],Salary_Calculation[[#This Row],[Source Row]])))</f>
        <v/>
      </c>
      <c r="V381" s="164" t="str">
        <f aca="false">IF(Salary_Calculation[[#This Row],[Source Row]]="","",N(Salary_Calculation[[#This Row],[missed_days_penalty]])+N(Salary_Calculation[[#This Row],[Rider Balance]])+N(Salary_Calculation[[#This Row],[stacking_deduction]])+N(Salary_Calculation[[#This Row],[Other Deductions]]))</f>
        <v/>
      </c>
      <c r="W381" s="167" t="str">
        <f aca="false">IF(Salary_Calculation[[#This Row],[Source Row]]="","",ROUND(MAX(Salary_Calculation[[#This Row],[Gross Salary Before Deductions]]-Salary_Calculation[[#This Row],[Total Deductions]],0),2))</f>
        <v/>
      </c>
      <c r="X381" s="164" t="str">
        <f aca="false">IF(Salary_Calculation[[#This Row],[Source Row]]="","",ROUND(MAX(Salary_Calculation[[#This Row],[Missing-Order Deduction]]-Salary_Calculation[[#This Row],[Earned Salary]],0),2))</f>
        <v/>
      </c>
      <c r="Y38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81" s="163" t="str">
        <f aca="false">IF(Salary_Calculation[[#This Row],[Source Row]]="","",IF(INDEX(Rider_Input[Notes],Salary_Calculation[[#This Row],[Source Row]])="","",INDEX(Rider_Input[Notes],Salary_Calculation[[#This Row],[Source Row]])))</f>
        <v/>
      </c>
      <c r="AA381" s="164" t="str">
        <f aca="false">IF(Salary_Calculation[[#This Row],[Source Row]]="","",Salary_Calculation[[#This Row],[Earned Salary]]-Salary_Calculation[[#This Row],[Missing-Order Deduction]]+Salary_Calculation[[#This Row],[Extra-Order Bonus]])</f>
        <v/>
      </c>
      <c r="AB381" s="164" t="str">
        <f aca="false">IF(Salary_Calculation[[#This Row],[Source Row]]="","",ROUND(Salary_Calculation[[#This Row],[Negative Balance / Amount Due from Rider]]+MAX(Salary_Calculation[[#This Row],[Total Deductions]]-Salary_Calculation[[#This Row],[Gross Salary Before Deductions]],0),2))</f>
        <v/>
      </c>
      <c r="AC38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81" s="164" t="str">
        <f aca="false">IF(Salary_Calculation[[#This Row],[Source Row]]="","",Salary_Calculation[[#This Row],[Rider Target Orders]]*Salary_Calculation[[#This Row],[Base Order Rate]])</f>
        <v/>
      </c>
      <c r="AE381" s="162" t="str">
        <f aca="false">IF(SUMPRODUCT(--(LEN(INDEX(Rider_Input[#Data],ROW()-ROW(Salary_Calculation[#Headers]),0))&gt;0))=0,"",ROW()-ROW(Salary_Calculation[#Headers]))</f>
        <v/>
      </c>
    </row>
    <row r="382" customFormat="false" ht="14.25" hidden="false" customHeight="false" outlineLevel="0" collapsed="false">
      <c r="A382" s="161" t="str">
        <f aca="false">IF(Salary_Calculation[[#This Row],[Source Row]]="","",IF(INDEX(Rider_Input[Salary Month],Salary_Calculation[[#This Row],[Source Row]])="","",INDEX(Rider_Input[Salary Month],Salary_Calculation[[#This Row],[Source Row]])))</f>
        <v/>
      </c>
      <c r="B382" s="162" t="str">
        <f aca="false">IF(Salary_Calculation[[#This Row],[Source Row]]="","",IF(INDEX(Rider_Input[Rider ID],Salary_Calculation[[#This Row],[Source Row]])="","",INDEX(Rider_Input[Rider ID],Salary_Calculation[[#This Row],[Source Row]])))</f>
        <v/>
      </c>
      <c r="C382" s="163" t="str">
        <f aca="false">IF(Salary_Calculation[[#This Row],[Source Row]]="","",IF(INDEX(Rider_Input[Rider Name],Salary_Calculation[[#This Row],[Source Row]])="","",INDEX(Rider_Input[Rider Name],Salary_Calculation[[#This Row],[Source Row]])))</f>
        <v/>
      </c>
      <c r="D382" s="164" t="str">
        <f aca="false">IF(Salary_Calculation[[#This Row],[Source Row]]="","",IF(INDEX(Rider_Input[Basic Payment],Salary_Calculation[[#This Row],[Source Row]])="","",INDEX(Rider_Input[Basic Payment],Salary_Calculation[[#This Row],[Source Row]])))</f>
        <v/>
      </c>
      <c r="E382" s="162" t="str">
        <f aca="false">IF(Salary_Calculation[[#This Row],[Source Row]]="","",IF(INDEX(Rider_Input[Calendar Days in Month],Salary_Calculation[[#This Row],[Source Row]])="","",INDEX(Rider_Input[Calendar Days in Month],Salary_Calculation[[#This Row],[Source Row]])))</f>
        <v/>
      </c>
      <c r="F382" s="162" t="str">
        <f aca="false">IF(Salary_Calculation[[#This Row],[Source Row]]="","",IF(INDEX(Rider_Input[Working Days],Salary_Calculation[[#This Row],[Source Row]])="","",INDEX(Rider_Input[Working Days],Salary_Calculation[[#This Row],[Source Row]])))</f>
        <v/>
      </c>
      <c r="G382" s="165" t="str">
        <f aca="false">IF(Salary_Calculation[[#This Row],[Source Row]]="","",Std_Orders/Std_Days*N(Salary_Calculation[[#This Row],[Calendar Days]]))</f>
        <v/>
      </c>
      <c r="H382" s="165" t="str">
        <f aca="false">IF(Salary_Calculation[[#This Row],[Source Row]]="","",IF(N(Salary_Calculation[[#This Row],[Calendar Days]])&gt;0,Salary_Calculation[[#This Row],[Monthly Target Orders]]/N(Salary_Calculation[[#This Row],[Calendar Days]])*N(Salary_Calculation[[#This Row],[Working Days]]),0))</f>
        <v/>
      </c>
      <c r="I382" s="166" t="str">
        <f aca="false">IF(Salary_Calculation[[#This Row],[Source Row]]="","",IF(INDEX(Rider_Input[Completed Orders],Salary_Calculation[[#This Row],[Source Row]])="","",INDEX(Rider_Input[Completed Orders],Salary_Calculation[[#This Row],[Source Row]])))</f>
        <v/>
      </c>
      <c r="J382" s="165" t="str">
        <f aca="false">IF(Salary_Calculation[[#This Row],[Source Row]]="","",IF(Rate_Method="Fixed rate",Fixed_Rate,IF(N(Salary_Calculation[[#This Row],[Basic Payment]])&gt;0,N(Salary_Calculation[[#This Row],[Basic Payment]])/Std_Orders,0)))</f>
        <v/>
      </c>
      <c r="K382" s="165" t="str">
        <f aca="false">IF(Salary_Calculation[[#This Row],[Source Row]]="","",MAX(MIN(N(Salary_Calculation[[#This Row],[Completed Orders]]),Salary_Calculation[[#This Row],[Rider Target Orders]]),0))</f>
        <v/>
      </c>
      <c r="L382" s="164" t="str">
        <f aca="false">IF(Salary_Calculation[[#This Row],[Source Row]]="","",Salary_Calculation[[#This Row],[Orders Counted at Base Rate]]*Salary_Calculation[[#This Row],[Base Order Rate]])</f>
        <v/>
      </c>
      <c r="M382" s="165" t="str">
        <f aca="false">IF(Salary_Calculation[[#This Row],[Source Row]]="","",MAX(Salary_Calculation[[#This Row],[Rider Target Orders]]-N(Salary_Calculation[[#This Row],[Completed Orders]]),0))</f>
        <v/>
      </c>
      <c r="N382" s="164" t="str">
        <f aca="false">IF(Salary_Calculation[[#This Row],[Source Row]]="","",Salary_Calculation[[#This Row],[Missing Orders]]*Missing_Rate)</f>
        <v/>
      </c>
      <c r="O382" s="165" t="str">
        <f aca="false">IF(Salary_Calculation[[#This Row],[Source Row]]="","",MAX(N(Salary_Calculation[[#This Row],[Completed Orders]])-Salary_Calculation[[#This Row],[Rider Target Orders]],0))</f>
        <v/>
      </c>
      <c r="P382" s="164" t="str">
        <f aca="false">IF(Salary_Calculation[[#This Row],[Source Row]]="","",Salary_Calculation[[#This Row],[Extra Orders]]*Extra_Rate)</f>
        <v/>
      </c>
      <c r="Q382" s="164" t="str">
        <f aca="false">IF(Salary_Calculation[[#This Row],[Source Row]]="","",MAX(Salary_Calculation[[#This Row],[Salary Before Other Deductions]],0))</f>
        <v/>
      </c>
      <c r="R382" s="164" t="str">
        <f aca="false">IF(Salary_Calculation[[#This Row],[Source Row]]="","",N(INDEX(Rider_Input[missed_days_penalty],Salary_Calculation[[#This Row],[Source Row]])))</f>
        <v/>
      </c>
      <c r="S382" s="164" t="str">
        <f aca="false">IF(Salary_Calculation[[#This Row],[Source Row]]="","",N(INDEX(Rider_Input[Rider Balance / محفظة المندوب],Salary_Calculation[[#This Row],[Source Row]])))</f>
        <v/>
      </c>
      <c r="T382" s="164" t="str">
        <f aca="false">IF(Salary_Calculation[[#This Row],[Source Row]]="","",N(INDEX(Rider_Input[stacking_deduction / خصم الطلبات المتعددة],Salary_Calculation[[#This Row],[Source Row]])))</f>
        <v/>
      </c>
      <c r="U382" s="164" t="str">
        <f aca="false">IF(Salary_Calculation[[#This Row],[Source Row]]="","",N(INDEX(Rider_Input[Other Deductions],Salary_Calculation[[#This Row],[Source Row]])))</f>
        <v/>
      </c>
      <c r="V382" s="164" t="str">
        <f aca="false">IF(Salary_Calculation[[#This Row],[Source Row]]="","",N(Salary_Calculation[[#This Row],[missed_days_penalty]])+N(Salary_Calculation[[#This Row],[Rider Balance]])+N(Salary_Calculation[[#This Row],[stacking_deduction]])+N(Salary_Calculation[[#This Row],[Other Deductions]]))</f>
        <v/>
      </c>
      <c r="W382" s="167" t="str">
        <f aca="false">IF(Salary_Calculation[[#This Row],[Source Row]]="","",ROUND(MAX(Salary_Calculation[[#This Row],[Gross Salary Before Deductions]]-Salary_Calculation[[#This Row],[Total Deductions]],0),2))</f>
        <v/>
      </c>
      <c r="X382" s="164" t="str">
        <f aca="false">IF(Salary_Calculation[[#This Row],[Source Row]]="","",ROUND(MAX(Salary_Calculation[[#This Row],[Missing-Order Deduction]]-Salary_Calculation[[#This Row],[Earned Salary]],0),2))</f>
        <v/>
      </c>
      <c r="Y38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82" s="163" t="str">
        <f aca="false">IF(Salary_Calculation[[#This Row],[Source Row]]="","",IF(INDEX(Rider_Input[Notes],Salary_Calculation[[#This Row],[Source Row]])="","",INDEX(Rider_Input[Notes],Salary_Calculation[[#This Row],[Source Row]])))</f>
        <v/>
      </c>
      <c r="AA382" s="164" t="str">
        <f aca="false">IF(Salary_Calculation[[#This Row],[Source Row]]="","",Salary_Calculation[[#This Row],[Earned Salary]]-Salary_Calculation[[#This Row],[Missing-Order Deduction]]+Salary_Calculation[[#This Row],[Extra-Order Bonus]])</f>
        <v/>
      </c>
      <c r="AB382" s="164" t="str">
        <f aca="false">IF(Salary_Calculation[[#This Row],[Source Row]]="","",ROUND(Salary_Calculation[[#This Row],[Negative Balance / Amount Due from Rider]]+MAX(Salary_Calculation[[#This Row],[Total Deductions]]-Salary_Calculation[[#This Row],[Gross Salary Before Deductions]],0),2))</f>
        <v/>
      </c>
      <c r="AC38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82" s="164" t="str">
        <f aca="false">IF(Salary_Calculation[[#This Row],[Source Row]]="","",Salary_Calculation[[#This Row],[Rider Target Orders]]*Salary_Calculation[[#This Row],[Base Order Rate]])</f>
        <v/>
      </c>
      <c r="AE382" s="162" t="str">
        <f aca="false">IF(SUMPRODUCT(--(LEN(INDEX(Rider_Input[#Data],ROW()-ROW(Salary_Calculation[#Headers]),0))&gt;0))=0,"",ROW()-ROW(Salary_Calculation[#Headers]))</f>
        <v/>
      </c>
    </row>
    <row r="383" customFormat="false" ht="14.25" hidden="false" customHeight="false" outlineLevel="0" collapsed="false">
      <c r="A383" s="161" t="str">
        <f aca="false">IF(Salary_Calculation[[#This Row],[Source Row]]="","",IF(INDEX(Rider_Input[Salary Month],Salary_Calculation[[#This Row],[Source Row]])="","",INDEX(Rider_Input[Salary Month],Salary_Calculation[[#This Row],[Source Row]])))</f>
        <v/>
      </c>
      <c r="B383" s="162" t="str">
        <f aca="false">IF(Salary_Calculation[[#This Row],[Source Row]]="","",IF(INDEX(Rider_Input[Rider ID],Salary_Calculation[[#This Row],[Source Row]])="","",INDEX(Rider_Input[Rider ID],Salary_Calculation[[#This Row],[Source Row]])))</f>
        <v/>
      </c>
      <c r="C383" s="163" t="str">
        <f aca="false">IF(Salary_Calculation[[#This Row],[Source Row]]="","",IF(INDEX(Rider_Input[Rider Name],Salary_Calculation[[#This Row],[Source Row]])="","",INDEX(Rider_Input[Rider Name],Salary_Calculation[[#This Row],[Source Row]])))</f>
        <v/>
      </c>
      <c r="D383" s="164" t="str">
        <f aca="false">IF(Salary_Calculation[[#This Row],[Source Row]]="","",IF(INDEX(Rider_Input[Basic Payment],Salary_Calculation[[#This Row],[Source Row]])="","",INDEX(Rider_Input[Basic Payment],Salary_Calculation[[#This Row],[Source Row]])))</f>
        <v/>
      </c>
      <c r="E383" s="162" t="str">
        <f aca="false">IF(Salary_Calculation[[#This Row],[Source Row]]="","",IF(INDEX(Rider_Input[Calendar Days in Month],Salary_Calculation[[#This Row],[Source Row]])="","",INDEX(Rider_Input[Calendar Days in Month],Salary_Calculation[[#This Row],[Source Row]])))</f>
        <v/>
      </c>
      <c r="F383" s="162" t="str">
        <f aca="false">IF(Salary_Calculation[[#This Row],[Source Row]]="","",IF(INDEX(Rider_Input[Working Days],Salary_Calculation[[#This Row],[Source Row]])="","",INDEX(Rider_Input[Working Days],Salary_Calculation[[#This Row],[Source Row]])))</f>
        <v/>
      </c>
      <c r="G383" s="165" t="str">
        <f aca="false">IF(Salary_Calculation[[#This Row],[Source Row]]="","",Std_Orders/Std_Days*N(Salary_Calculation[[#This Row],[Calendar Days]]))</f>
        <v/>
      </c>
      <c r="H383" s="165" t="str">
        <f aca="false">IF(Salary_Calculation[[#This Row],[Source Row]]="","",IF(N(Salary_Calculation[[#This Row],[Calendar Days]])&gt;0,Salary_Calculation[[#This Row],[Monthly Target Orders]]/N(Salary_Calculation[[#This Row],[Calendar Days]])*N(Salary_Calculation[[#This Row],[Working Days]]),0))</f>
        <v/>
      </c>
      <c r="I383" s="166" t="str">
        <f aca="false">IF(Salary_Calculation[[#This Row],[Source Row]]="","",IF(INDEX(Rider_Input[Completed Orders],Salary_Calculation[[#This Row],[Source Row]])="","",INDEX(Rider_Input[Completed Orders],Salary_Calculation[[#This Row],[Source Row]])))</f>
        <v/>
      </c>
      <c r="J383" s="165" t="str">
        <f aca="false">IF(Salary_Calculation[[#This Row],[Source Row]]="","",IF(Rate_Method="Fixed rate",Fixed_Rate,IF(N(Salary_Calculation[[#This Row],[Basic Payment]])&gt;0,N(Salary_Calculation[[#This Row],[Basic Payment]])/Std_Orders,0)))</f>
        <v/>
      </c>
      <c r="K383" s="165" t="str">
        <f aca="false">IF(Salary_Calculation[[#This Row],[Source Row]]="","",MAX(MIN(N(Salary_Calculation[[#This Row],[Completed Orders]]),Salary_Calculation[[#This Row],[Rider Target Orders]]),0))</f>
        <v/>
      </c>
      <c r="L383" s="164" t="str">
        <f aca="false">IF(Salary_Calculation[[#This Row],[Source Row]]="","",Salary_Calculation[[#This Row],[Orders Counted at Base Rate]]*Salary_Calculation[[#This Row],[Base Order Rate]])</f>
        <v/>
      </c>
      <c r="M383" s="165" t="str">
        <f aca="false">IF(Salary_Calculation[[#This Row],[Source Row]]="","",MAX(Salary_Calculation[[#This Row],[Rider Target Orders]]-N(Salary_Calculation[[#This Row],[Completed Orders]]),0))</f>
        <v/>
      </c>
      <c r="N383" s="164" t="str">
        <f aca="false">IF(Salary_Calculation[[#This Row],[Source Row]]="","",Salary_Calculation[[#This Row],[Missing Orders]]*Missing_Rate)</f>
        <v/>
      </c>
      <c r="O383" s="165" t="str">
        <f aca="false">IF(Salary_Calculation[[#This Row],[Source Row]]="","",MAX(N(Salary_Calculation[[#This Row],[Completed Orders]])-Salary_Calculation[[#This Row],[Rider Target Orders]],0))</f>
        <v/>
      </c>
      <c r="P383" s="164" t="str">
        <f aca="false">IF(Salary_Calculation[[#This Row],[Source Row]]="","",Salary_Calculation[[#This Row],[Extra Orders]]*Extra_Rate)</f>
        <v/>
      </c>
      <c r="Q383" s="164" t="str">
        <f aca="false">IF(Salary_Calculation[[#This Row],[Source Row]]="","",MAX(Salary_Calculation[[#This Row],[Salary Before Other Deductions]],0))</f>
        <v/>
      </c>
      <c r="R383" s="164" t="str">
        <f aca="false">IF(Salary_Calculation[[#This Row],[Source Row]]="","",N(INDEX(Rider_Input[missed_days_penalty],Salary_Calculation[[#This Row],[Source Row]])))</f>
        <v/>
      </c>
      <c r="S383" s="164" t="str">
        <f aca="false">IF(Salary_Calculation[[#This Row],[Source Row]]="","",N(INDEX(Rider_Input[Rider Balance / محفظة المندوب],Salary_Calculation[[#This Row],[Source Row]])))</f>
        <v/>
      </c>
      <c r="T383" s="164" t="str">
        <f aca="false">IF(Salary_Calculation[[#This Row],[Source Row]]="","",N(INDEX(Rider_Input[stacking_deduction / خصم الطلبات المتعددة],Salary_Calculation[[#This Row],[Source Row]])))</f>
        <v/>
      </c>
      <c r="U383" s="164" t="str">
        <f aca="false">IF(Salary_Calculation[[#This Row],[Source Row]]="","",N(INDEX(Rider_Input[Other Deductions],Salary_Calculation[[#This Row],[Source Row]])))</f>
        <v/>
      </c>
      <c r="V383" s="164" t="str">
        <f aca="false">IF(Salary_Calculation[[#This Row],[Source Row]]="","",N(Salary_Calculation[[#This Row],[missed_days_penalty]])+N(Salary_Calculation[[#This Row],[Rider Balance]])+N(Salary_Calculation[[#This Row],[stacking_deduction]])+N(Salary_Calculation[[#This Row],[Other Deductions]]))</f>
        <v/>
      </c>
      <c r="W383" s="167" t="str">
        <f aca="false">IF(Salary_Calculation[[#This Row],[Source Row]]="","",ROUND(MAX(Salary_Calculation[[#This Row],[Gross Salary Before Deductions]]-Salary_Calculation[[#This Row],[Total Deductions]],0),2))</f>
        <v/>
      </c>
      <c r="X383" s="164" t="str">
        <f aca="false">IF(Salary_Calculation[[#This Row],[Source Row]]="","",ROUND(MAX(Salary_Calculation[[#This Row],[Missing-Order Deduction]]-Salary_Calculation[[#This Row],[Earned Salary]],0),2))</f>
        <v/>
      </c>
      <c r="Y38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83" s="163" t="str">
        <f aca="false">IF(Salary_Calculation[[#This Row],[Source Row]]="","",IF(INDEX(Rider_Input[Notes],Salary_Calculation[[#This Row],[Source Row]])="","",INDEX(Rider_Input[Notes],Salary_Calculation[[#This Row],[Source Row]])))</f>
        <v/>
      </c>
      <c r="AA383" s="164" t="str">
        <f aca="false">IF(Salary_Calculation[[#This Row],[Source Row]]="","",Salary_Calculation[[#This Row],[Earned Salary]]-Salary_Calculation[[#This Row],[Missing-Order Deduction]]+Salary_Calculation[[#This Row],[Extra-Order Bonus]])</f>
        <v/>
      </c>
      <c r="AB383" s="164" t="str">
        <f aca="false">IF(Salary_Calculation[[#This Row],[Source Row]]="","",ROUND(Salary_Calculation[[#This Row],[Negative Balance / Amount Due from Rider]]+MAX(Salary_Calculation[[#This Row],[Total Deductions]]-Salary_Calculation[[#This Row],[Gross Salary Before Deductions]],0),2))</f>
        <v/>
      </c>
      <c r="AC38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83" s="164" t="str">
        <f aca="false">IF(Salary_Calculation[[#This Row],[Source Row]]="","",Salary_Calculation[[#This Row],[Rider Target Orders]]*Salary_Calculation[[#This Row],[Base Order Rate]])</f>
        <v/>
      </c>
      <c r="AE383" s="162" t="str">
        <f aca="false">IF(SUMPRODUCT(--(LEN(INDEX(Rider_Input[#Data],ROW()-ROW(Salary_Calculation[#Headers]),0))&gt;0))=0,"",ROW()-ROW(Salary_Calculation[#Headers]))</f>
        <v/>
      </c>
    </row>
    <row r="384" customFormat="false" ht="14.25" hidden="false" customHeight="false" outlineLevel="0" collapsed="false">
      <c r="A384" s="161" t="str">
        <f aca="false">IF(Salary_Calculation[[#This Row],[Source Row]]="","",IF(INDEX(Rider_Input[Salary Month],Salary_Calculation[[#This Row],[Source Row]])="","",INDEX(Rider_Input[Salary Month],Salary_Calculation[[#This Row],[Source Row]])))</f>
        <v/>
      </c>
      <c r="B384" s="162" t="str">
        <f aca="false">IF(Salary_Calculation[[#This Row],[Source Row]]="","",IF(INDEX(Rider_Input[Rider ID],Salary_Calculation[[#This Row],[Source Row]])="","",INDEX(Rider_Input[Rider ID],Salary_Calculation[[#This Row],[Source Row]])))</f>
        <v/>
      </c>
      <c r="C384" s="163" t="str">
        <f aca="false">IF(Salary_Calculation[[#This Row],[Source Row]]="","",IF(INDEX(Rider_Input[Rider Name],Salary_Calculation[[#This Row],[Source Row]])="","",INDEX(Rider_Input[Rider Name],Salary_Calculation[[#This Row],[Source Row]])))</f>
        <v/>
      </c>
      <c r="D384" s="164" t="str">
        <f aca="false">IF(Salary_Calculation[[#This Row],[Source Row]]="","",IF(INDEX(Rider_Input[Basic Payment],Salary_Calculation[[#This Row],[Source Row]])="","",INDEX(Rider_Input[Basic Payment],Salary_Calculation[[#This Row],[Source Row]])))</f>
        <v/>
      </c>
      <c r="E384" s="162" t="str">
        <f aca="false">IF(Salary_Calculation[[#This Row],[Source Row]]="","",IF(INDEX(Rider_Input[Calendar Days in Month],Salary_Calculation[[#This Row],[Source Row]])="","",INDEX(Rider_Input[Calendar Days in Month],Salary_Calculation[[#This Row],[Source Row]])))</f>
        <v/>
      </c>
      <c r="F384" s="162" t="str">
        <f aca="false">IF(Salary_Calculation[[#This Row],[Source Row]]="","",IF(INDEX(Rider_Input[Working Days],Salary_Calculation[[#This Row],[Source Row]])="","",INDEX(Rider_Input[Working Days],Salary_Calculation[[#This Row],[Source Row]])))</f>
        <v/>
      </c>
      <c r="G384" s="165" t="str">
        <f aca="false">IF(Salary_Calculation[[#This Row],[Source Row]]="","",Std_Orders/Std_Days*N(Salary_Calculation[[#This Row],[Calendar Days]]))</f>
        <v/>
      </c>
      <c r="H384" s="165" t="str">
        <f aca="false">IF(Salary_Calculation[[#This Row],[Source Row]]="","",IF(N(Salary_Calculation[[#This Row],[Calendar Days]])&gt;0,Salary_Calculation[[#This Row],[Monthly Target Orders]]/N(Salary_Calculation[[#This Row],[Calendar Days]])*N(Salary_Calculation[[#This Row],[Working Days]]),0))</f>
        <v/>
      </c>
      <c r="I384" s="166" t="str">
        <f aca="false">IF(Salary_Calculation[[#This Row],[Source Row]]="","",IF(INDEX(Rider_Input[Completed Orders],Salary_Calculation[[#This Row],[Source Row]])="","",INDEX(Rider_Input[Completed Orders],Salary_Calculation[[#This Row],[Source Row]])))</f>
        <v/>
      </c>
      <c r="J384" s="165" t="str">
        <f aca="false">IF(Salary_Calculation[[#This Row],[Source Row]]="","",IF(Rate_Method="Fixed rate",Fixed_Rate,IF(N(Salary_Calculation[[#This Row],[Basic Payment]])&gt;0,N(Salary_Calculation[[#This Row],[Basic Payment]])/Std_Orders,0)))</f>
        <v/>
      </c>
      <c r="K384" s="165" t="str">
        <f aca="false">IF(Salary_Calculation[[#This Row],[Source Row]]="","",MAX(MIN(N(Salary_Calculation[[#This Row],[Completed Orders]]),Salary_Calculation[[#This Row],[Rider Target Orders]]),0))</f>
        <v/>
      </c>
      <c r="L384" s="164" t="str">
        <f aca="false">IF(Salary_Calculation[[#This Row],[Source Row]]="","",Salary_Calculation[[#This Row],[Orders Counted at Base Rate]]*Salary_Calculation[[#This Row],[Base Order Rate]])</f>
        <v/>
      </c>
      <c r="M384" s="165" t="str">
        <f aca="false">IF(Salary_Calculation[[#This Row],[Source Row]]="","",MAX(Salary_Calculation[[#This Row],[Rider Target Orders]]-N(Salary_Calculation[[#This Row],[Completed Orders]]),0))</f>
        <v/>
      </c>
      <c r="N384" s="164" t="str">
        <f aca="false">IF(Salary_Calculation[[#This Row],[Source Row]]="","",Salary_Calculation[[#This Row],[Missing Orders]]*Missing_Rate)</f>
        <v/>
      </c>
      <c r="O384" s="165" t="str">
        <f aca="false">IF(Salary_Calculation[[#This Row],[Source Row]]="","",MAX(N(Salary_Calculation[[#This Row],[Completed Orders]])-Salary_Calculation[[#This Row],[Rider Target Orders]],0))</f>
        <v/>
      </c>
      <c r="P384" s="164" t="str">
        <f aca="false">IF(Salary_Calculation[[#This Row],[Source Row]]="","",Salary_Calculation[[#This Row],[Extra Orders]]*Extra_Rate)</f>
        <v/>
      </c>
      <c r="Q384" s="164" t="str">
        <f aca="false">IF(Salary_Calculation[[#This Row],[Source Row]]="","",MAX(Salary_Calculation[[#This Row],[Salary Before Other Deductions]],0))</f>
        <v/>
      </c>
      <c r="R384" s="164" t="str">
        <f aca="false">IF(Salary_Calculation[[#This Row],[Source Row]]="","",N(INDEX(Rider_Input[missed_days_penalty],Salary_Calculation[[#This Row],[Source Row]])))</f>
        <v/>
      </c>
      <c r="S384" s="164" t="str">
        <f aca="false">IF(Salary_Calculation[[#This Row],[Source Row]]="","",N(INDEX(Rider_Input[Rider Balance / محفظة المندوب],Salary_Calculation[[#This Row],[Source Row]])))</f>
        <v/>
      </c>
      <c r="T384" s="164" t="str">
        <f aca="false">IF(Salary_Calculation[[#This Row],[Source Row]]="","",N(INDEX(Rider_Input[stacking_deduction / خصم الطلبات المتعددة],Salary_Calculation[[#This Row],[Source Row]])))</f>
        <v/>
      </c>
      <c r="U384" s="164" t="str">
        <f aca="false">IF(Salary_Calculation[[#This Row],[Source Row]]="","",N(INDEX(Rider_Input[Other Deductions],Salary_Calculation[[#This Row],[Source Row]])))</f>
        <v/>
      </c>
      <c r="V384" s="164" t="str">
        <f aca="false">IF(Salary_Calculation[[#This Row],[Source Row]]="","",N(Salary_Calculation[[#This Row],[missed_days_penalty]])+N(Salary_Calculation[[#This Row],[Rider Balance]])+N(Salary_Calculation[[#This Row],[stacking_deduction]])+N(Salary_Calculation[[#This Row],[Other Deductions]]))</f>
        <v/>
      </c>
      <c r="W384" s="167" t="str">
        <f aca="false">IF(Salary_Calculation[[#This Row],[Source Row]]="","",ROUND(MAX(Salary_Calculation[[#This Row],[Gross Salary Before Deductions]]-Salary_Calculation[[#This Row],[Total Deductions]],0),2))</f>
        <v/>
      </c>
      <c r="X384" s="164" t="str">
        <f aca="false">IF(Salary_Calculation[[#This Row],[Source Row]]="","",ROUND(MAX(Salary_Calculation[[#This Row],[Missing-Order Deduction]]-Salary_Calculation[[#This Row],[Earned Salary]],0),2))</f>
        <v/>
      </c>
      <c r="Y38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84" s="163" t="str">
        <f aca="false">IF(Salary_Calculation[[#This Row],[Source Row]]="","",IF(INDEX(Rider_Input[Notes],Salary_Calculation[[#This Row],[Source Row]])="","",INDEX(Rider_Input[Notes],Salary_Calculation[[#This Row],[Source Row]])))</f>
        <v/>
      </c>
      <c r="AA384" s="164" t="str">
        <f aca="false">IF(Salary_Calculation[[#This Row],[Source Row]]="","",Salary_Calculation[[#This Row],[Earned Salary]]-Salary_Calculation[[#This Row],[Missing-Order Deduction]]+Salary_Calculation[[#This Row],[Extra-Order Bonus]])</f>
        <v/>
      </c>
      <c r="AB384" s="164" t="str">
        <f aca="false">IF(Salary_Calculation[[#This Row],[Source Row]]="","",ROUND(Salary_Calculation[[#This Row],[Negative Balance / Amount Due from Rider]]+MAX(Salary_Calculation[[#This Row],[Total Deductions]]-Salary_Calculation[[#This Row],[Gross Salary Before Deductions]],0),2))</f>
        <v/>
      </c>
      <c r="AC38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84" s="164" t="str">
        <f aca="false">IF(Salary_Calculation[[#This Row],[Source Row]]="","",Salary_Calculation[[#This Row],[Rider Target Orders]]*Salary_Calculation[[#This Row],[Base Order Rate]])</f>
        <v/>
      </c>
      <c r="AE384" s="162" t="str">
        <f aca="false">IF(SUMPRODUCT(--(LEN(INDEX(Rider_Input[#Data],ROW()-ROW(Salary_Calculation[#Headers]),0))&gt;0))=0,"",ROW()-ROW(Salary_Calculation[#Headers]))</f>
        <v/>
      </c>
    </row>
    <row r="385" customFormat="false" ht="14.25" hidden="false" customHeight="false" outlineLevel="0" collapsed="false">
      <c r="A385" s="161" t="str">
        <f aca="false">IF(Salary_Calculation[[#This Row],[Source Row]]="","",IF(INDEX(Rider_Input[Salary Month],Salary_Calculation[[#This Row],[Source Row]])="","",INDEX(Rider_Input[Salary Month],Salary_Calculation[[#This Row],[Source Row]])))</f>
        <v/>
      </c>
      <c r="B385" s="162" t="str">
        <f aca="false">IF(Salary_Calculation[[#This Row],[Source Row]]="","",IF(INDEX(Rider_Input[Rider ID],Salary_Calculation[[#This Row],[Source Row]])="","",INDEX(Rider_Input[Rider ID],Salary_Calculation[[#This Row],[Source Row]])))</f>
        <v/>
      </c>
      <c r="C385" s="163" t="str">
        <f aca="false">IF(Salary_Calculation[[#This Row],[Source Row]]="","",IF(INDEX(Rider_Input[Rider Name],Salary_Calculation[[#This Row],[Source Row]])="","",INDEX(Rider_Input[Rider Name],Salary_Calculation[[#This Row],[Source Row]])))</f>
        <v/>
      </c>
      <c r="D385" s="164" t="str">
        <f aca="false">IF(Salary_Calculation[[#This Row],[Source Row]]="","",IF(INDEX(Rider_Input[Basic Payment],Salary_Calculation[[#This Row],[Source Row]])="","",INDEX(Rider_Input[Basic Payment],Salary_Calculation[[#This Row],[Source Row]])))</f>
        <v/>
      </c>
      <c r="E385" s="162" t="str">
        <f aca="false">IF(Salary_Calculation[[#This Row],[Source Row]]="","",IF(INDEX(Rider_Input[Calendar Days in Month],Salary_Calculation[[#This Row],[Source Row]])="","",INDEX(Rider_Input[Calendar Days in Month],Salary_Calculation[[#This Row],[Source Row]])))</f>
        <v/>
      </c>
      <c r="F385" s="162" t="str">
        <f aca="false">IF(Salary_Calculation[[#This Row],[Source Row]]="","",IF(INDEX(Rider_Input[Working Days],Salary_Calculation[[#This Row],[Source Row]])="","",INDEX(Rider_Input[Working Days],Salary_Calculation[[#This Row],[Source Row]])))</f>
        <v/>
      </c>
      <c r="G385" s="165" t="str">
        <f aca="false">IF(Salary_Calculation[[#This Row],[Source Row]]="","",Std_Orders/Std_Days*N(Salary_Calculation[[#This Row],[Calendar Days]]))</f>
        <v/>
      </c>
      <c r="H385" s="165" t="str">
        <f aca="false">IF(Salary_Calculation[[#This Row],[Source Row]]="","",IF(N(Salary_Calculation[[#This Row],[Calendar Days]])&gt;0,Salary_Calculation[[#This Row],[Monthly Target Orders]]/N(Salary_Calculation[[#This Row],[Calendar Days]])*N(Salary_Calculation[[#This Row],[Working Days]]),0))</f>
        <v/>
      </c>
      <c r="I385" s="166" t="str">
        <f aca="false">IF(Salary_Calculation[[#This Row],[Source Row]]="","",IF(INDEX(Rider_Input[Completed Orders],Salary_Calculation[[#This Row],[Source Row]])="","",INDEX(Rider_Input[Completed Orders],Salary_Calculation[[#This Row],[Source Row]])))</f>
        <v/>
      </c>
      <c r="J385" s="165" t="str">
        <f aca="false">IF(Salary_Calculation[[#This Row],[Source Row]]="","",IF(Rate_Method="Fixed rate",Fixed_Rate,IF(N(Salary_Calculation[[#This Row],[Basic Payment]])&gt;0,N(Salary_Calculation[[#This Row],[Basic Payment]])/Std_Orders,0)))</f>
        <v/>
      </c>
      <c r="K385" s="165" t="str">
        <f aca="false">IF(Salary_Calculation[[#This Row],[Source Row]]="","",MAX(MIN(N(Salary_Calculation[[#This Row],[Completed Orders]]),Salary_Calculation[[#This Row],[Rider Target Orders]]),0))</f>
        <v/>
      </c>
      <c r="L385" s="164" t="str">
        <f aca="false">IF(Salary_Calculation[[#This Row],[Source Row]]="","",Salary_Calculation[[#This Row],[Orders Counted at Base Rate]]*Salary_Calculation[[#This Row],[Base Order Rate]])</f>
        <v/>
      </c>
      <c r="M385" s="165" t="str">
        <f aca="false">IF(Salary_Calculation[[#This Row],[Source Row]]="","",MAX(Salary_Calculation[[#This Row],[Rider Target Orders]]-N(Salary_Calculation[[#This Row],[Completed Orders]]),0))</f>
        <v/>
      </c>
      <c r="N385" s="164" t="str">
        <f aca="false">IF(Salary_Calculation[[#This Row],[Source Row]]="","",Salary_Calculation[[#This Row],[Missing Orders]]*Missing_Rate)</f>
        <v/>
      </c>
      <c r="O385" s="165" t="str">
        <f aca="false">IF(Salary_Calculation[[#This Row],[Source Row]]="","",MAX(N(Salary_Calculation[[#This Row],[Completed Orders]])-Salary_Calculation[[#This Row],[Rider Target Orders]],0))</f>
        <v/>
      </c>
      <c r="P385" s="164" t="str">
        <f aca="false">IF(Salary_Calculation[[#This Row],[Source Row]]="","",Salary_Calculation[[#This Row],[Extra Orders]]*Extra_Rate)</f>
        <v/>
      </c>
      <c r="Q385" s="164" t="str">
        <f aca="false">IF(Salary_Calculation[[#This Row],[Source Row]]="","",MAX(Salary_Calculation[[#This Row],[Salary Before Other Deductions]],0))</f>
        <v/>
      </c>
      <c r="R385" s="164" t="str">
        <f aca="false">IF(Salary_Calculation[[#This Row],[Source Row]]="","",N(INDEX(Rider_Input[missed_days_penalty],Salary_Calculation[[#This Row],[Source Row]])))</f>
        <v/>
      </c>
      <c r="S385" s="164" t="str">
        <f aca="false">IF(Salary_Calculation[[#This Row],[Source Row]]="","",N(INDEX(Rider_Input[Rider Balance / محفظة المندوب],Salary_Calculation[[#This Row],[Source Row]])))</f>
        <v/>
      </c>
      <c r="T385" s="164" t="str">
        <f aca="false">IF(Salary_Calculation[[#This Row],[Source Row]]="","",N(INDEX(Rider_Input[stacking_deduction / خصم الطلبات المتعددة],Salary_Calculation[[#This Row],[Source Row]])))</f>
        <v/>
      </c>
      <c r="U385" s="164" t="str">
        <f aca="false">IF(Salary_Calculation[[#This Row],[Source Row]]="","",N(INDEX(Rider_Input[Other Deductions],Salary_Calculation[[#This Row],[Source Row]])))</f>
        <v/>
      </c>
      <c r="V385" s="164" t="str">
        <f aca="false">IF(Salary_Calculation[[#This Row],[Source Row]]="","",N(Salary_Calculation[[#This Row],[missed_days_penalty]])+N(Salary_Calculation[[#This Row],[Rider Balance]])+N(Salary_Calculation[[#This Row],[stacking_deduction]])+N(Salary_Calculation[[#This Row],[Other Deductions]]))</f>
        <v/>
      </c>
      <c r="W385" s="167" t="str">
        <f aca="false">IF(Salary_Calculation[[#This Row],[Source Row]]="","",ROUND(MAX(Salary_Calculation[[#This Row],[Gross Salary Before Deductions]]-Salary_Calculation[[#This Row],[Total Deductions]],0),2))</f>
        <v/>
      </c>
      <c r="X385" s="164" t="str">
        <f aca="false">IF(Salary_Calculation[[#This Row],[Source Row]]="","",ROUND(MAX(Salary_Calculation[[#This Row],[Missing-Order Deduction]]-Salary_Calculation[[#This Row],[Earned Salary]],0),2))</f>
        <v/>
      </c>
      <c r="Y38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85" s="163" t="str">
        <f aca="false">IF(Salary_Calculation[[#This Row],[Source Row]]="","",IF(INDEX(Rider_Input[Notes],Salary_Calculation[[#This Row],[Source Row]])="","",INDEX(Rider_Input[Notes],Salary_Calculation[[#This Row],[Source Row]])))</f>
        <v/>
      </c>
      <c r="AA385" s="164" t="str">
        <f aca="false">IF(Salary_Calculation[[#This Row],[Source Row]]="","",Salary_Calculation[[#This Row],[Earned Salary]]-Salary_Calculation[[#This Row],[Missing-Order Deduction]]+Salary_Calculation[[#This Row],[Extra-Order Bonus]])</f>
        <v/>
      </c>
      <c r="AB385" s="164" t="str">
        <f aca="false">IF(Salary_Calculation[[#This Row],[Source Row]]="","",ROUND(Salary_Calculation[[#This Row],[Negative Balance / Amount Due from Rider]]+MAX(Salary_Calculation[[#This Row],[Total Deductions]]-Salary_Calculation[[#This Row],[Gross Salary Before Deductions]],0),2))</f>
        <v/>
      </c>
      <c r="AC38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85" s="164" t="str">
        <f aca="false">IF(Salary_Calculation[[#This Row],[Source Row]]="","",Salary_Calculation[[#This Row],[Rider Target Orders]]*Salary_Calculation[[#This Row],[Base Order Rate]])</f>
        <v/>
      </c>
      <c r="AE385" s="162" t="str">
        <f aca="false">IF(SUMPRODUCT(--(LEN(INDEX(Rider_Input[#Data],ROW()-ROW(Salary_Calculation[#Headers]),0))&gt;0))=0,"",ROW()-ROW(Salary_Calculation[#Headers]))</f>
        <v/>
      </c>
    </row>
    <row r="386" customFormat="false" ht="14.25" hidden="false" customHeight="false" outlineLevel="0" collapsed="false">
      <c r="A386" s="161" t="str">
        <f aca="false">IF(Salary_Calculation[[#This Row],[Source Row]]="","",IF(INDEX(Rider_Input[Salary Month],Salary_Calculation[[#This Row],[Source Row]])="","",INDEX(Rider_Input[Salary Month],Salary_Calculation[[#This Row],[Source Row]])))</f>
        <v/>
      </c>
      <c r="B386" s="162" t="str">
        <f aca="false">IF(Salary_Calculation[[#This Row],[Source Row]]="","",IF(INDEX(Rider_Input[Rider ID],Salary_Calculation[[#This Row],[Source Row]])="","",INDEX(Rider_Input[Rider ID],Salary_Calculation[[#This Row],[Source Row]])))</f>
        <v/>
      </c>
      <c r="C386" s="163" t="str">
        <f aca="false">IF(Salary_Calculation[[#This Row],[Source Row]]="","",IF(INDEX(Rider_Input[Rider Name],Salary_Calculation[[#This Row],[Source Row]])="","",INDEX(Rider_Input[Rider Name],Salary_Calculation[[#This Row],[Source Row]])))</f>
        <v/>
      </c>
      <c r="D386" s="164" t="str">
        <f aca="false">IF(Salary_Calculation[[#This Row],[Source Row]]="","",IF(INDEX(Rider_Input[Basic Payment],Salary_Calculation[[#This Row],[Source Row]])="","",INDEX(Rider_Input[Basic Payment],Salary_Calculation[[#This Row],[Source Row]])))</f>
        <v/>
      </c>
      <c r="E386" s="162" t="str">
        <f aca="false">IF(Salary_Calculation[[#This Row],[Source Row]]="","",IF(INDEX(Rider_Input[Calendar Days in Month],Salary_Calculation[[#This Row],[Source Row]])="","",INDEX(Rider_Input[Calendar Days in Month],Salary_Calculation[[#This Row],[Source Row]])))</f>
        <v/>
      </c>
      <c r="F386" s="162" t="str">
        <f aca="false">IF(Salary_Calculation[[#This Row],[Source Row]]="","",IF(INDEX(Rider_Input[Working Days],Salary_Calculation[[#This Row],[Source Row]])="","",INDEX(Rider_Input[Working Days],Salary_Calculation[[#This Row],[Source Row]])))</f>
        <v/>
      </c>
      <c r="G386" s="165" t="str">
        <f aca="false">IF(Salary_Calculation[[#This Row],[Source Row]]="","",Std_Orders/Std_Days*N(Salary_Calculation[[#This Row],[Calendar Days]]))</f>
        <v/>
      </c>
      <c r="H386" s="165" t="str">
        <f aca="false">IF(Salary_Calculation[[#This Row],[Source Row]]="","",IF(N(Salary_Calculation[[#This Row],[Calendar Days]])&gt;0,Salary_Calculation[[#This Row],[Monthly Target Orders]]/N(Salary_Calculation[[#This Row],[Calendar Days]])*N(Salary_Calculation[[#This Row],[Working Days]]),0))</f>
        <v/>
      </c>
      <c r="I386" s="166" t="str">
        <f aca="false">IF(Salary_Calculation[[#This Row],[Source Row]]="","",IF(INDEX(Rider_Input[Completed Orders],Salary_Calculation[[#This Row],[Source Row]])="","",INDEX(Rider_Input[Completed Orders],Salary_Calculation[[#This Row],[Source Row]])))</f>
        <v/>
      </c>
      <c r="J386" s="165" t="str">
        <f aca="false">IF(Salary_Calculation[[#This Row],[Source Row]]="","",IF(Rate_Method="Fixed rate",Fixed_Rate,IF(N(Salary_Calculation[[#This Row],[Basic Payment]])&gt;0,N(Salary_Calculation[[#This Row],[Basic Payment]])/Std_Orders,0)))</f>
        <v/>
      </c>
      <c r="K386" s="165" t="str">
        <f aca="false">IF(Salary_Calculation[[#This Row],[Source Row]]="","",MAX(MIN(N(Salary_Calculation[[#This Row],[Completed Orders]]),Salary_Calculation[[#This Row],[Rider Target Orders]]),0))</f>
        <v/>
      </c>
      <c r="L386" s="164" t="str">
        <f aca="false">IF(Salary_Calculation[[#This Row],[Source Row]]="","",Salary_Calculation[[#This Row],[Orders Counted at Base Rate]]*Salary_Calculation[[#This Row],[Base Order Rate]])</f>
        <v/>
      </c>
      <c r="M386" s="165" t="str">
        <f aca="false">IF(Salary_Calculation[[#This Row],[Source Row]]="","",MAX(Salary_Calculation[[#This Row],[Rider Target Orders]]-N(Salary_Calculation[[#This Row],[Completed Orders]]),0))</f>
        <v/>
      </c>
      <c r="N386" s="164" t="str">
        <f aca="false">IF(Salary_Calculation[[#This Row],[Source Row]]="","",Salary_Calculation[[#This Row],[Missing Orders]]*Missing_Rate)</f>
        <v/>
      </c>
      <c r="O386" s="165" t="str">
        <f aca="false">IF(Salary_Calculation[[#This Row],[Source Row]]="","",MAX(N(Salary_Calculation[[#This Row],[Completed Orders]])-Salary_Calculation[[#This Row],[Rider Target Orders]],0))</f>
        <v/>
      </c>
      <c r="P386" s="164" t="str">
        <f aca="false">IF(Salary_Calculation[[#This Row],[Source Row]]="","",Salary_Calculation[[#This Row],[Extra Orders]]*Extra_Rate)</f>
        <v/>
      </c>
      <c r="Q386" s="164" t="str">
        <f aca="false">IF(Salary_Calculation[[#This Row],[Source Row]]="","",MAX(Salary_Calculation[[#This Row],[Salary Before Other Deductions]],0))</f>
        <v/>
      </c>
      <c r="R386" s="164" t="str">
        <f aca="false">IF(Salary_Calculation[[#This Row],[Source Row]]="","",N(INDEX(Rider_Input[missed_days_penalty],Salary_Calculation[[#This Row],[Source Row]])))</f>
        <v/>
      </c>
      <c r="S386" s="164" t="str">
        <f aca="false">IF(Salary_Calculation[[#This Row],[Source Row]]="","",N(INDEX(Rider_Input[Rider Balance / محفظة المندوب],Salary_Calculation[[#This Row],[Source Row]])))</f>
        <v/>
      </c>
      <c r="T386" s="164" t="str">
        <f aca="false">IF(Salary_Calculation[[#This Row],[Source Row]]="","",N(INDEX(Rider_Input[stacking_deduction / خصم الطلبات المتعددة],Salary_Calculation[[#This Row],[Source Row]])))</f>
        <v/>
      </c>
      <c r="U386" s="164" t="str">
        <f aca="false">IF(Salary_Calculation[[#This Row],[Source Row]]="","",N(INDEX(Rider_Input[Other Deductions],Salary_Calculation[[#This Row],[Source Row]])))</f>
        <v/>
      </c>
      <c r="V386" s="164" t="str">
        <f aca="false">IF(Salary_Calculation[[#This Row],[Source Row]]="","",N(Salary_Calculation[[#This Row],[missed_days_penalty]])+N(Salary_Calculation[[#This Row],[Rider Balance]])+N(Salary_Calculation[[#This Row],[stacking_deduction]])+N(Salary_Calculation[[#This Row],[Other Deductions]]))</f>
        <v/>
      </c>
      <c r="W386" s="167" t="str">
        <f aca="false">IF(Salary_Calculation[[#This Row],[Source Row]]="","",ROUND(MAX(Salary_Calculation[[#This Row],[Gross Salary Before Deductions]]-Salary_Calculation[[#This Row],[Total Deductions]],0),2))</f>
        <v/>
      </c>
      <c r="X386" s="164" t="str">
        <f aca="false">IF(Salary_Calculation[[#This Row],[Source Row]]="","",ROUND(MAX(Salary_Calculation[[#This Row],[Missing-Order Deduction]]-Salary_Calculation[[#This Row],[Earned Salary]],0),2))</f>
        <v/>
      </c>
      <c r="Y38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86" s="163" t="str">
        <f aca="false">IF(Salary_Calculation[[#This Row],[Source Row]]="","",IF(INDEX(Rider_Input[Notes],Salary_Calculation[[#This Row],[Source Row]])="","",INDEX(Rider_Input[Notes],Salary_Calculation[[#This Row],[Source Row]])))</f>
        <v/>
      </c>
      <c r="AA386" s="164" t="str">
        <f aca="false">IF(Salary_Calculation[[#This Row],[Source Row]]="","",Salary_Calculation[[#This Row],[Earned Salary]]-Salary_Calculation[[#This Row],[Missing-Order Deduction]]+Salary_Calculation[[#This Row],[Extra-Order Bonus]])</f>
        <v/>
      </c>
      <c r="AB386" s="164" t="str">
        <f aca="false">IF(Salary_Calculation[[#This Row],[Source Row]]="","",ROUND(Salary_Calculation[[#This Row],[Negative Balance / Amount Due from Rider]]+MAX(Salary_Calculation[[#This Row],[Total Deductions]]-Salary_Calculation[[#This Row],[Gross Salary Before Deductions]],0),2))</f>
        <v/>
      </c>
      <c r="AC38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86" s="164" t="str">
        <f aca="false">IF(Salary_Calculation[[#This Row],[Source Row]]="","",Salary_Calculation[[#This Row],[Rider Target Orders]]*Salary_Calculation[[#This Row],[Base Order Rate]])</f>
        <v/>
      </c>
      <c r="AE386" s="162" t="str">
        <f aca="false">IF(SUMPRODUCT(--(LEN(INDEX(Rider_Input[#Data],ROW()-ROW(Salary_Calculation[#Headers]),0))&gt;0))=0,"",ROW()-ROW(Salary_Calculation[#Headers]))</f>
        <v/>
      </c>
    </row>
    <row r="387" customFormat="false" ht="14.25" hidden="false" customHeight="false" outlineLevel="0" collapsed="false">
      <c r="A387" s="161" t="str">
        <f aca="false">IF(Salary_Calculation[[#This Row],[Source Row]]="","",IF(INDEX(Rider_Input[Salary Month],Salary_Calculation[[#This Row],[Source Row]])="","",INDEX(Rider_Input[Salary Month],Salary_Calculation[[#This Row],[Source Row]])))</f>
        <v/>
      </c>
      <c r="B387" s="162" t="str">
        <f aca="false">IF(Salary_Calculation[[#This Row],[Source Row]]="","",IF(INDEX(Rider_Input[Rider ID],Salary_Calculation[[#This Row],[Source Row]])="","",INDEX(Rider_Input[Rider ID],Salary_Calculation[[#This Row],[Source Row]])))</f>
        <v/>
      </c>
      <c r="C387" s="163" t="str">
        <f aca="false">IF(Salary_Calculation[[#This Row],[Source Row]]="","",IF(INDEX(Rider_Input[Rider Name],Salary_Calculation[[#This Row],[Source Row]])="","",INDEX(Rider_Input[Rider Name],Salary_Calculation[[#This Row],[Source Row]])))</f>
        <v/>
      </c>
      <c r="D387" s="164" t="str">
        <f aca="false">IF(Salary_Calculation[[#This Row],[Source Row]]="","",IF(INDEX(Rider_Input[Basic Payment],Salary_Calculation[[#This Row],[Source Row]])="","",INDEX(Rider_Input[Basic Payment],Salary_Calculation[[#This Row],[Source Row]])))</f>
        <v/>
      </c>
      <c r="E387" s="162" t="str">
        <f aca="false">IF(Salary_Calculation[[#This Row],[Source Row]]="","",IF(INDEX(Rider_Input[Calendar Days in Month],Salary_Calculation[[#This Row],[Source Row]])="","",INDEX(Rider_Input[Calendar Days in Month],Salary_Calculation[[#This Row],[Source Row]])))</f>
        <v/>
      </c>
      <c r="F387" s="162" t="str">
        <f aca="false">IF(Salary_Calculation[[#This Row],[Source Row]]="","",IF(INDEX(Rider_Input[Working Days],Salary_Calculation[[#This Row],[Source Row]])="","",INDEX(Rider_Input[Working Days],Salary_Calculation[[#This Row],[Source Row]])))</f>
        <v/>
      </c>
      <c r="G387" s="165" t="str">
        <f aca="false">IF(Salary_Calculation[[#This Row],[Source Row]]="","",Std_Orders/Std_Days*N(Salary_Calculation[[#This Row],[Calendar Days]]))</f>
        <v/>
      </c>
      <c r="H387" s="165" t="str">
        <f aca="false">IF(Salary_Calculation[[#This Row],[Source Row]]="","",IF(N(Salary_Calculation[[#This Row],[Calendar Days]])&gt;0,Salary_Calculation[[#This Row],[Monthly Target Orders]]/N(Salary_Calculation[[#This Row],[Calendar Days]])*N(Salary_Calculation[[#This Row],[Working Days]]),0))</f>
        <v/>
      </c>
      <c r="I387" s="166" t="str">
        <f aca="false">IF(Salary_Calculation[[#This Row],[Source Row]]="","",IF(INDEX(Rider_Input[Completed Orders],Salary_Calculation[[#This Row],[Source Row]])="","",INDEX(Rider_Input[Completed Orders],Salary_Calculation[[#This Row],[Source Row]])))</f>
        <v/>
      </c>
      <c r="J387" s="165" t="str">
        <f aca="false">IF(Salary_Calculation[[#This Row],[Source Row]]="","",IF(Rate_Method="Fixed rate",Fixed_Rate,IF(N(Salary_Calculation[[#This Row],[Basic Payment]])&gt;0,N(Salary_Calculation[[#This Row],[Basic Payment]])/Std_Orders,0)))</f>
        <v/>
      </c>
      <c r="K387" s="165" t="str">
        <f aca="false">IF(Salary_Calculation[[#This Row],[Source Row]]="","",MAX(MIN(N(Salary_Calculation[[#This Row],[Completed Orders]]),Salary_Calculation[[#This Row],[Rider Target Orders]]),0))</f>
        <v/>
      </c>
      <c r="L387" s="164" t="str">
        <f aca="false">IF(Salary_Calculation[[#This Row],[Source Row]]="","",Salary_Calculation[[#This Row],[Orders Counted at Base Rate]]*Salary_Calculation[[#This Row],[Base Order Rate]])</f>
        <v/>
      </c>
      <c r="M387" s="165" t="str">
        <f aca="false">IF(Salary_Calculation[[#This Row],[Source Row]]="","",MAX(Salary_Calculation[[#This Row],[Rider Target Orders]]-N(Salary_Calculation[[#This Row],[Completed Orders]]),0))</f>
        <v/>
      </c>
      <c r="N387" s="164" t="str">
        <f aca="false">IF(Salary_Calculation[[#This Row],[Source Row]]="","",Salary_Calculation[[#This Row],[Missing Orders]]*Missing_Rate)</f>
        <v/>
      </c>
      <c r="O387" s="165" t="str">
        <f aca="false">IF(Salary_Calculation[[#This Row],[Source Row]]="","",MAX(N(Salary_Calculation[[#This Row],[Completed Orders]])-Salary_Calculation[[#This Row],[Rider Target Orders]],0))</f>
        <v/>
      </c>
      <c r="P387" s="164" t="str">
        <f aca="false">IF(Salary_Calculation[[#This Row],[Source Row]]="","",Salary_Calculation[[#This Row],[Extra Orders]]*Extra_Rate)</f>
        <v/>
      </c>
      <c r="Q387" s="164" t="str">
        <f aca="false">IF(Salary_Calculation[[#This Row],[Source Row]]="","",MAX(Salary_Calculation[[#This Row],[Salary Before Other Deductions]],0))</f>
        <v/>
      </c>
      <c r="R387" s="164" t="str">
        <f aca="false">IF(Salary_Calculation[[#This Row],[Source Row]]="","",N(INDEX(Rider_Input[missed_days_penalty],Salary_Calculation[[#This Row],[Source Row]])))</f>
        <v/>
      </c>
      <c r="S387" s="164" t="str">
        <f aca="false">IF(Salary_Calculation[[#This Row],[Source Row]]="","",N(INDEX(Rider_Input[Rider Balance / محفظة المندوب],Salary_Calculation[[#This Row],[Source Row]])))</f>
        <v/>
      </c>
      <c r="T387" s="164" t="str">
        <f aca="false">IF(Salary_Calculation[[#This Row],[Source Row]]="","",N(INDEX(Rider_Input[stacking_deduction / خصم الطلبات المتعددة],Salary_Calculation[[#This Row],[Source Row]])))</f>
        <v/>
      </c>
      <c r="U387" s="164" t="str">
        <f aca="false">IF(Salary_Calculation[[#This Row],[Source Row]]="","",N(INDEX(Rider_Input[Other Deductions],Salary_Calculation[[#This Row],[Source Row]])))</f>
        <v/>
      </c>
      <c r="V387" s="164" t="str">
        <f aca="false">IF(Salary_Calculation[[#This Row],[Source Row]]="","",N(Salary_Calculation[[#This Row],[missed_days_penalty]])+N(Salary_Calculation[[#This Row],[Rider Balance]])+N(Salary_Calculation[[#This Row],[stacking_deduction]])+N(Salary_Calculation[[#This Row],[Other Deductions]]))</f>
        <v/>
      </c>
      <c r="W387" s="167" t="str">
        <f aca="false">IF(Salary_Calculation[[#This Row],[Source Row]]="","",ROUND(MAX(Salary_Calculation[[#This Row],[Gross Salary Before Deductions]]-Salary_Calculation[[#This Row],[Total Deductions]],0),2))</f>
        <v/>
      </c>
      <c r="X387" s="164" t="str">
        <f aca="false">IF(Salary_Calculation[[#This Row],[Source Row]]="","",ROUND(MAX(Salary_Calculation[[#This Row],[Missing-Order Deduction]]-Salary_Calculation[[#This Row],[Earned Salary]],0),2))</f>
        <v/>
      </c>
      <c r="Y38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87" s="163" t="str">
        <f aca="false">IF(Salary_Calculation[[#This Row],[Source Row]]="","",IF(INDEX(Rider_Input[Notes],Salary_Calculation[[#This Row],[Source Row]])="","",INDEX(Rider_Input[Notes],Salary_Calculation[[#This Row],[Source Row]])))</f>
        <v/>
      </c>
      <c r="AA387" s="164" t="str">
        <f aca="false">IF(Salary_Calculation[[#This Row],[Source Row]]="","",Salary_Calculation[[#This Row],[Earned Salary]]-Salary_Calculation[[#This Row],[Missing-Order Deduction]]+Salary_Calculation[[#This Row],[Extra-Order Bonus]])</f>
        <v/>
      </c>
      <c r="AB387" s="164" t="str">
        <f aca="false">IF(Salary_Calculation[[#This Row],[Source Row]]="","",ROUND(Salary_Calculation[[#This Row],[Negative Balance / Amount Due from Rider]]+MAX(Salary_Calculation[[#This Row],[Total Deductions]]-Salary_Calculation[[#This Row],[Gross Salary Before Deductions]],0),2))</f>
        <v/>
      </c>
      <c r="AC38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87" s="164" t="str">
        <f aca="false">IF(Salary_Calculation[[#This Row],[Source Row]]="","",Salary_Calculation[[#This Row],[Rider Target Orders]]*Salary_Calculation[[#This Row],[Base Order Rate]])</f>
        <v/>
      </c>
      <c r="AE387" s="162" t="str">
        <f aca="false">IF(SUMPRODUCT(--(LEN(INDEX(Rider_Input[#Data],ROW()-ROW(Salary_Calculation[#Headers]),0))&gt;0))=0,"",ROW()-ROW(Salary_Calculation[#Headers]))</f>
        <v/>
      </c>
    </row>
    <row r="388" customFormat="false" ht="14.25" hidden="false" customHeight="false" outlineLevel="0" collapsed="false">
      <c r="A388" s="161" t="str">
        <f aca="false">IF(Salary_Calculation[[#This Row],[Source Row]]="","",IF(INDEX(Rider_Input[Salary Month],Salary_Calculation[[#This Row],[Source Row]])="","",INDEX(Rider_Input[Salary Month],Salary_Calculation[[#This Row],[Source Row]])))</f>
        <v/>
      </c>
      <c r="B388" s="162" t="str">
        <f aca="false">IF(Salary_Calculation[[#This Row],[Source Row]]="","",IF(INDEX(Rider_Input[Rider ID],Salary_Calculation[[#This Row],[Source Row]])="","",INDEX(Rider_Input[Rider ID],Salary_Calculation[[#This Row],[Source Row]])))</f>
        <v/>
      </c>
      <c r="C388" s="163" t="str">
        <f aca="false">IF(Salary_Calculation[[#This Row],[Source Row]]="","",IF(INDEX(Rider_Input[Rider Name],Salary_Calculation[[#This Row],[Source Row]])="","",INDEX(Rider_Input[Rider Name],Salary_Calculation[[#This Row],[Source Row]])))</f>
        <v/>
      </c>
      <c r="D388" s="164" t="str">
        <f aca="false">IF(Salary_Calculation[[#This Row],[Source Row]]="","",IF(INDEX(Rider_Input[Basic Payment],Salary_Calculation[[#This Row],[Source Row]])="","",INDEX(Rider_Input[Basic Payment],Salary_Calculation[[#This Row],[Source Row]])))</f>
        <v/>
      </c>
      <c r="E388" s="162" t="str">
        <f aca="false">IF(Salary_Calculation[[#This Row],[Source Row]]="","",IF(INDEX(Rider_Input[Calendar Days in Month],Salary_Calculation[[#This Row],[Source Row]])="","",INDEX(Rider_Input[Calendar Days in Month],Salary_Calculation[[#This Row],[Source Row]])))</f>
        <v/>
      </c>
      <c r="F388" s="162" t="str">
        <f aca="false">IF(Salary_Calculation[[#This Row],[Source Row]]="","",IF(INDEX(Rider_Input[Working Days],Salary_Calculation[[#This Row],[Source Row]])="","",INDEX(Rider_Input[Working Days],Salary_Calculation[[#This Row],[Source Row]])))</f>
        <v/>
      </c>
      <c r="G388" s="165" t="str">
        <f aca="false">IF(Salary_Calculation[[#This Row],[Source Row]]="","",Std_Orders/Std_Days*N(Salary_Calculation[[#This Row],[Calendar Days]]))</f>
        <v/>
      </c>
      <c r="H388" s="165" t="str">
        <f aca="false">IF(Salary_Calculation[[#This Row],[Source Row]]="","",IF(N(Salary_Calculation[[#This Row],[Calendar Days]])&gt;0,Salary_Calculation[[#This Row],[Monthly Target Orders]]/N(Salary_Calculation[[#This Row],[Calendar Days]])*N(Salary_Calculation[[#This Row],[Working Days]]),0))</f>
        <v/>
      </c>
      <c r="I388" s="166" t="str">
        <f aca="false">IF(Salary_Calculation[[#This Row],[Source Row]]="","",IF(INDEX(Rider_Input[Completed Orders],Salary_Calculation[[#This Row],[Source Row]])="","",INDEX(Rider_Input[Completed Orders],Salary_Calculation[[#This Row],[Source Row]])))</f>
        <v/>
      </c>
      <c r="J388" s="165" t="str">
        <f aca="false">IF(Salary_Calculation[[#This Row],[Source Row]]="","",IF(Rate_Method="Fixed rate",Fixed_Rate,IF(N(Salary_Calculation[[#This Row],[Basic Payment]])&gt;0,N(Salary_Calculation[[#This Row],[Basic Payment]])/Std_Orders,0)))</f>
        <v/>
      </c>
      <c r="K388" s="165" t="str">
        <f aca="false">IF(Salary_Calculation[[#This Row],[Source Row]]="","",MAX(MIN(N(Salary_Calculation[[#This Row],[Completed Orders]]),Salary_Calculation[[#This Row],[Rider Target Orders]]),0))</f>
        <v/>
      </c>
      <c r="L388" s="164" t="str">
        <f aca="false">IF(Salary_Calculation[[#This Row],[Source Row]]="","",Salary_Calculation[[#This Row],[Orders Counted at Base Rate]]*Salary_Calculation[[#This Row],[Base Order Rate]])</f>
        <v/>
      </c>
      <c r="M388" s="165" t="str">
        <f aca="false">IF(Salary_Calculation[[#This Row],[Source Row]]="","",MAX(Salary_Calculation[[#This Row],[Rider Target Orders]]-N(Salary_Calculation[[#This Row],[Completed Orders]]),0))</f>
        <v/>
      </c>
      <c r="N388" s="164" t="str">
        <f aca="false">IF(Salary_Calculation[[#This Row],[Source Row]]="","",Salary_Calculation[[#This Row],[Missing Orders]]*Missing_Rate)</f>
        <v/>
      </c>
      <c r="O388" s="165" t="str">
        <f aca="false">IF(Salary_Calculation[[#This Row],[Source Row]]="","",MAX(N(Salary_Calculation[[#This Row],[Completed Orders]])-Salary_Calculation[[#This Row],[Rider Target Orders]],0))</f>
        <v/>
      </c>
      <c r="P388" s="164" t="str">
        <f aca="false">IF(Salary_Calculation[[#This Row],[Source Row]]="","",Salary_Calculation[[#This Row],[Extra Orders]]*Extra_Rate)</f>
        <v/>
      </c>
      <c r="Q388" s="164" t="str">
        <f aca="false">IF(Salary_Calculation[[#This Row],[Source Row]]="","",MAX(Salary_Calculation[[#This Row],[Salary Before Other Deductions]],0))</f>
        <v/>
      </c>
      <c r="R388" s="164" t="str">
        <f aca="false">IF(Salary_Calculation[[#This Row],[Source Row]]="","",N(INDEX(Rider_Input[missed_days_penalty],Salary_Calculation[[#This Row],[Source Row]])))</f>
        <v/>
      </c>
      <c r="S388" s="164" t="str">
        <f aca="false">IF(Salary_Calculation[[#This Row],[Source Row]]="","",N(INDEX(Rider_Input[Rider Balance / محفظة المندوب],Salary_Calculation[[#This Row],[Source Row]])))</f>
        <v/>
      </c>
      <c r="T388" s="164" t="str">
        <f aca="false">IF(Salary_Calculation[[#This Row],[Source Row]]="","",N(INDEX(Rider_Input[stacking_deduction / خصم الطلبات المتعددة],Salary_Calculation[[#This Row],[Source Row]])))</f>
        <v/>
      </c>
      <c r="U388" s="164" t="str">
        <f aca="false">IF(Salary_Calculation[[#This Row],[Source Row]]="","",N(INDEX(Rider_Input[Other Deductions],Salary_Calculation[[#This Row],[Source Row]])))</f>
        <v/>
      </c>
      <c r="V388" s="164" t="str">
        <f aca="false">IF(Salary_Calculation[[#This Row],[Source Row]]="","",N(Salary_Calculation[[#This Row],[missed_days_penalty]])+N(Salary_Calculation[[#This Row],[Rider Balance]])+N(Salary_Calculation[[#This Row],[stacking_deduction]])+N(Salary_Calculation[[#This Row],[Other Deductions]]))</f>
        <v/>
      </c>
      <c r="W388" s="167" t="str">
        <f aca="false">IF(Salary_Calculation[[#This Row],[Source Row]]="","",ROUND(MAX(Salary_Calculation[[#This Row],[Gross Salary Before Deductions]]-Salary_Calculation[[#This Row],[Total Deductions]],0),2))</f>
        <v/>
      </c>
      <c r="X388" s="164" t="str">
        <f aca="false">IF(Salary_Calculation[[#This Row],[Source Row]]="","",ROUND(MAX(Salary_Calculation[[#This Row],[Missing-Order Deduction]]-Salary_Calculation[[#This Row],[Earned Salary]],0),2))</f>
        <v/>
      </c>
      <c r="Y38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88" s="163" t="str">
        <f aca="false">IF(Salary_Calculation[[#This Row],[Source Row]]="","",IF(INDEX(Rider_Input[Notes],Salary_Calculation[[#This Row],[Source Row]])="","",INDEX(Rider_Input[Notes],Salary_Calculation[[#This Row],[Source Row]])))</f>
        <v/>
      </c>
      <c r="AA388" s="164" t="str">
        <f aca="false">IF(Salary_Calculation[[#This Row],[Source Row]]="","",Salary_Calculation[[#This Row],[Earned Salary]]-Salary_Calculation[[#This Row],[Missing-Order Deduction]]+Salary_Calculation[[#This Row],[Extra-Order Bonus]])</f>
        <v/>
      </c>
      <c r="AB388" s="164" t="str">
        <f aca="false">IF(Salary_Calculation[[#This Row],[Source Row]]="","",ROUND(Salary_Calculation[[#This Row],[Negative Balance / Amount Due from Rider]]+MAX(Salary_Calculation[[#This Row],[Total Deductions]]-Salary_Calculation[[#This Row],[Gross Salary Before Deductions]],0),2))</f>
        <v/>
      </c>
      <c r="AC38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88" s="164" t="str">
        <f aca="false">IF(Salary_Calculation[[#This Row],[Source Row]]="","",Salary_Calculation[[#This Row],[Rider Target Orders]]*Salary_Calculation[[#This Row],[Base Order Rate]])</f>
        <v/>
      </c>
      <c r="AE388" s="162" t="str">
        <f aca="false">IF(SUMPRODUCT(--(LEN(INDEX(Rider_Input[#Data],ROW()-ROW(Salary_Calculation[#Headers]),0))&gt;0))=0,"",ROW()-ROW(Salary_Calculation[#Headers]))</f>
        <v/>
      </c>
    </row>
    <row r="389" customFormat="false" ht="14.25" hidden="false" customHeight="false" outlineLevel="0" collapsed="false">
      <c r="A389" s="161" t="str">
        <f aca="false">IF(Salary_Calculation[[#This Row],[Source Row]]="","",IF(INDEX(Rider_Input[Salary Month],Salary_Calculation[[#This Row],[Source Row]])="","",INDEX(Rider_Input[Salary Month],Salary_Calculation[[#This Row],[Source Row]])))</f>
        <v/>
      </c>
      <c r="B389" s="162" t="str">
        <f aca="false">IF(Salary_Calculation[[#This Row],[Source Row]]="","",IF(INDEX(Rider_Input[Rider ID],Salary_Calculation[[#This Row],[Source Row]])="","",INDEX(Rider_Input[Rider ID],Salary_Calculation[[#This Row],[Source Row]])))</f>
        <v/>
      </c>
      <c r="C389" s="163" t="str">
        <f aca="false">IF(Salary_Calculation[[#This Row],[Source Row]]="","",IF(INDEX(Rider_Input[Rider Name],Salary_Calculation[[#This Row],[Source Row]])="","",INDEX(Rider_Input[Rider Name],Salary_Calculation[[#This Row],[Source Row]])))</f>
        <v/>
      </c>
      <c r="D389" s="164" t="str">
        <f aca="false">IF(Salary_Calculation[[#This Row],[Source Row]]="","",IF(INDEX(Rider_Input[Basic Payment],Salary_Calculation[[#This Row],[Source Row]])="","",INDEX(Rider_Input[Basic Payment],Salary_Calculation[[#This Row],[Source Row]])))</f>
        <v/>
      </c>
      <c r="E389" s="162" t="str">
        <f aca="false">IF(Salary_Calculation[[#This Row],[Source Row]]="","",IF(INDEX(Rider_Input[Calendar Days in Month],Salary_Calculation[[#This Row],[Source Row]])="","",INDEX(Rider_Input[Calendar Days in Month],Salary_Calculation[[#This Row],[Source Row]])))</f>
        <v/>
      </c>
      <c r="F389" s="162" t="str">
        <f aca="false">IF(Salary_Calculation[[#This Row],[Source Row]]="","",IF(INDEX(Rider_Input[Working Days],Salary_Calculation[[#This Row],[Source Row]])="","",INDEX(Rider_Input[Working Days],Salary_Calculation[[#This Row],[Source Row]])))</f>
        <v/>
      </c>
      <c r="G389" s="165" t="str">
        <f aca="false">IF(Salary_Calculation[[#This Row],[Source Row]]="","",Std_Orders/Std_Days*N(Salary_Calculation[[#This Row],[Calendar Days]]))</f>
        <v/>
      </c>
      <c r="H389" s="165" t="str">
        <f aca="false">IF(Salary_Calculation[[#This Row],[Source Row]]="","",IF(N(Salary_Calculation[[#This Row],[Calendar Days]])&gt;0,Salary_Calculation[[#This Row],[Monthly Target Orders]]/N(Salary_Calculation[[#This Row],[Calendar Days]])*N(Salary_Calculation[[#This Row],[Working Days]]),0))</f>
        <v/>
      </c>
      <c r="I389" s="166" t="str">
        <f aca="false">IF(Salary_Calculation[[#This Row],[Source Row]]="","",IF(INDEX(Rider_Input[Completed Orders],Salary_Calculation[[#This Row],[Source Row]])="","",INDEX(Rider_Input[Completed Orders],Salary_Calculation[[#This Row],[Source Row]])))</f>
        <v/>
      </c>
      <c r="J389" s="165" t="str">
        <f aca="false">IF(Salary_Calculation[[#This Row],[Source Row]]="","",IF(Rate_Method="Fixed rate",Fixed_Rate,IF(N(Salary_Calculation[[#This Row],[Basic Payment]])&gt;0,N(Salary_Calculation[[#This Row],[Basic Payment]])/Std_Orders,0)))</f>
        <v/>
      </c>
      <c r="K389" s="165" t="str">
        <f aca="false">IF(Salary_Calculation[[#This Row],[Source Row]]="","",MAX(MIN(N(Salary_Calculation[[#This Row],[Completed Orders]]),Salary_Calculation[[#This Row],[Rider Target Orders]]),0))</f>
        <v/>
      </c>
      <c r="L389" s="164" t="str">
        <f aca="false">IF(Salary_Calculation[[#This Row],[Source Row]]="","",Salary_Calculation[[#This Row],[Orders Counted at Base Rate]]*Salary_Calculation[[#This Row],[Base Order Rate]])</f>
        <v/>
      </c>
      <c r="M389" s="165" t="str">
        <f aca="false">IF(Salary_Calculation[[#This Row],[Source Row]]="","",MAX(Salary_Calculation[[#This Row],[Rider Target Orders]]-N(Salary_Calculation[[#This Row],[Completed Orders]]),0))</f>
        <v/>
      </c>
      <c r="N389" s="164" t="str">
        <f aca="false">IF(Salary_Calculation[[#This Row],[Source Row]]="","",Salary_Calculation[[#This Row],[Missing Orders]]*Missing_Rate)</f>
        <v/>
      </c>
      <c r="O389" s="165" t="str">
        <f aca="false">IF(Salary_Calculation[[#This Row],[Source Row]]="","",MAX(N(Salary_Calculation[[#This Row],[Completed Orders]])-Salary_Calculation[[#This Row],[Rider Target Orders]],0))</f>
        <v/>
      </c>
      <c r="P389" s="164" t="str">
        <f aca="false">IF(Salary_Calculation[[#This Row],[Source Row]]="","",Salary_Calculation[[#This Row],[Extra Orders]]*Extra_Rate)</f>
        <v/>
      </c>
      <c r="Q389" s="164" t="str">
        <f aca="false">IF(Salary_Calculation[[#This Row],[Source Row]]="","",MAX(Salary_Calculation[[#This Row],[Salary Before Other Deductions]],0))</f>
        <v/>
      </c>
      <c r="R389" s="164" t="str">
        <f aca="false">IF(Salary_Calculation[[#This Row],[Source Row]]="","",N(INDEX(Rider_Input[missed_days_penalty],Salary_Calculation[[#This Row],[Source Row]])))</f>
        <v/>
      </c>
      <c r="S389" s="164" t="str">
        <f aca="false">IF(Salary_Calculation[[#This Row],[Source Row]]="","",N(INDEX(Rider_Input[Rider Balance / محفظة المندوب],Salary_Calculation[[#This Row],[Source Row]])))</f>
        <v/>
      </c>
      <c r="T389" s="164" t="str">
        <f aca="false">IF(Salary_Calculation[[#This Row],[Source Row]]="","",N(INDEX(Rider_Input[stacking_deduction / خصم الطلبات المتعددة],Salary_Calculation[[#This Row],[Source Row]])))</f>
        <v/>
      </c>
      <c r="U389" s="164" t="str">
        <f aca="false">IF(Salary_Calculation[[#This Row],[Source Row]]="","",N(INDEX(Rider_Input[Other Deductions],Salary_Calculation[[#This Row],[Source Row]])))</f>
        <v/>
      </c>
      <c r="V389" s="164" t="str">
        <f aca="false">IF(Salary_Calculation[[#This Row],[Source Row]]="","",N(Salary_Calculation[[#This Row],[missed_days_penalty]])+N(Salary_Calculation[[#This Row],[Rider Balance]])+N(Salary_Calculation[[#This Row],[stacking_deduction]])+N(Salary_Calculation[[#This Row],[Other Deductions]]))</f>
        <v/>
      </c>
      <c r="W389" s="167" t="str">
        <f aca="false">IF(Salary_Calculation[[#This Row],[Source Row]]="","",ROUND(MAX(Salary_Calculation[[#This Row],[Gross Salary Before Deductions]]-Salary_Calculation[[#This Row],[Total Deductions]],0),2))</f>
        <v/>
      </c>
      <c r="X389" s="164" t="str">
        <f aca="false">IF(Salary_Calculation[[#This Row],[Source Row]]="","",ROUND(MAX(Salary_Calculation[[#This Row],[Missing-Order Deduction]]-Salary_Calculation[[#This Row],[Earned Salary]],0),2))</f>
        <v/>
      </c>
      <c r="Y38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89" s="163" t="str">
        <f aca="false">IF(Salary_Calculation[[#This Row],[Source Row]]="","",IF(INDEX(Rider_Input[Notes],Salary_Calculation[[#This Row],[Source Row]])="","",INDEX(Rider_Input[Notes],Salary_Calculation[[#This Row],[Source Row]])))</f>
        <v/>
      </c>
      <c r="AA389" s="164" t="str">
        <f aca="false">IF(Salary_Calculation[[#This Row],[Source Row]]="","",Salary_Calculation[[#This Row],[Earned Salary]]-Salary_Calculation[[#This Row],[Missing-Order Deduction]]+Salary_Calculation[[#This Row],[Extra-Order Bonus]])</f>
        <v/>
      </c>
      <c r="AB389" s="164" t="str">
        <f aca="false">IF(Salary_Calculation[[#This Row],[Source Row]]="","",ROUND(Salary_Calculation[[#This Row],[Negative Balance / Amount Due from Rider]]+MAX(Salary_Calculation[[#This Row],[Total Deductions]]-Salary_Calculation[[#This Row],[Gross Salary Before Deductions]],0),2))</f>
        <v/>
      </c>
      <c r="AC38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89" s="164" t="str">
        <f aca="false">IF(Salary_Calculation[[#This Row],[Source Row]]="","",Salary_Calculation[[#This Row],[Rider Target Orders]]*Salary_Calculation[[#This Row],[Base Order Rate]])</f>
        <v/>
      </c>
      <c r="AE389" s="162" t="str">
        <f aca="false">IF(SUMPRODUCT(--(LEN(INDEX(Rider_Input[#Data],ROW()-ROW(Salary_Calculation[#Headers]),0))&gt;0))=0,"",ROW()-ROW(Salary_Calculation[#Headers]))</f>
        <v/>
      </c>
    </row>
    <row r="390" customFormat="false" ht="14.25" hidden="false" customHeight="false" outlineLevel="0" collapsed="false">
      <c r="A390" s="161" t="str">
        <f aca="false">IF(Salary_Calculation[[#This Row],[Source Row]]="","",IF(INDEX(Rider_Input[Salary Month],Salary_Calculation[[#This Row],[Source Row]])="","",INDEX(Rider_Input[Salary Month],Salary_Calculation[[#This Row],[Source Row]])))</f>
        <v/>
      </c>
      <c r="B390" s="162" t="str">
        <f aca="false">IF(Salary_Calculation[[#This Row],[Source Row]]="","",IF(INDEX(Rider_Input[Rider ID],Salary_Calculation[[#This Row],[Source Row]])="","",INDEX(Rider_Input[Rider ID],Salary_Calculation[[#This Row],[Source Row]])))</f>
        <v/>
      </c>
      <c r="C390" s="163" t="str">
        <f aca="false">IF(Salary_Calculation[[#This Row],[Source Row]]="","",IF(INDEX(Rider_Input[Rider Name],Salary_Calculation[[#This Row],[Source Row]])="","",INDEX(Rider_Input[Rider Name],Salary_Calculation[[#This Row],[Source Row]])))</f>
        <v/>
      </c>
      <c r="D390" s="164" t="str">
        <f aca="false">IF(Salary_Calculation[[#This Row],[Source Row]]="","",IF(INDEX(Rider_Input[Basic Payment],Salary_Calculation[[#This Row],[Source Row]])="","",INDEX(Rider_Input[Basic Payment],Salary_Calculation[[#This Row],[Source Row]])))</f>
        <v/>
      </c>
      <c r="E390" s="162" t="str">
        <f aca="false">IF(Salary_Calculation[[#This Row],[Source Row]]="","",IF(INDEX(Rider_Input[Calendar Days in Month],Salary_Calculation[[#This Row],[Source Row]])="","",INDEX(Rider_Input[Calendar Days in Month],Salary_Calculation[[#This Row],[Source Row]])))</f>
        <v/>
      </c>
      <c r="F390" s="162" t="str">
        <f aca="false">IF(Salary_Calculation[[#This Row],[Source Row]]="","",IF(INDEX(Rider_Input[Working Days],Salary_Calculation[[#This Row],[Source Row]])="","",INDEX(Rider_Input[Working Days],Salary_Calculation[[#This Row],[Source Row]])))</f>
        <v/>
      </c>
      <c r="G390" s="165" t="str">
        <f aca="false">IF(Salary_Calculation[[#This Row],[Source Row]]="","",Std_Orders/Std_Days*N(Salary_Calculation[[#This Row],[Calendar Days]]))</f>
        <v/>
      </c>
      <c r="H390" s="165" t="str">
        <f aca="false">IF(Salary_Calculation[[#This Row],[Source Row]]="","",IF(N(Salary_Calculation[[#This Row],[Calendar Days]])&gt;0,Salary_Calculation[[#This Row],[Monthly Target Orders]]/N(Salary_Calculation[[#This Row],[Calendar Days]])*N(Salary_Calculation[[#This Row],[Working Days]]),0))</f>
        <v/>
      </c>
      <c r="I390" s="166" t="str">
        <f aca="false">IF(Salary_Calculation[[#This Row],[Source Row]]="","",IF(INDEX(Rider_Input[Completed Orders],Salary_Calculation[[#This Row],[Source Row]])="","",INDEX(Rider_Input[Completed Orders],Salary_Calculation[[#This Row],[Source Row]])))</f>
        <v/>
      </c>
      <c r="J390" s="165" t="str">
        <f aca="false">IF(Salary_Calculation[[#This Row],[Source Row]]="","",IF(Rate_Method="Fixed rate",Fixed_Rate,IF(N(Salary_Calculation[[#This Row],[Basic Payment]])&gt;0,N(Salary_Calculation[[#This Row],[Basic Payment]])/Std_Orders,0)))</f>
        <v/>
      </c>
      <c r="K390" s="165" t="str">
        <f aca="false">IF(Salary_Calculation[[#This Row],[Source Row]]="","",MAX(MIN(N(Salary_Calculation[[#This Row],[Completed Orders]]),Salary_Calculation[[#This Row],[Rider Target Orders]]),0))</f>
        <v/>
      </c>
      <c r="L390" s="164" t="str">
        <f aca="false">IF(Salary_Calculation[[#This Row],[Source Row]]="","",Salary_Calculation[[#This Row],[Orders Counted at Base Rate]]*Salary_Calculation[[#This Row],[Base Order Rate]])</f>
        <v/>
      </c>
      <c r="M390" s="165" t="str">
        <f aca="false">IF(Salary_Calculation[[#This Row],[Source Row]]="","",MAX(Salary_Calculation[[#This Row],[Rider Target Orders]]-N(Salary_Calculation[[#This Row],[Completed Orders]]),0))</f>
        <v/>
      </c>
      <c r="N390" s="164" t="str">
        <f aca="false">IF(Salary_Calculation[[#This Row],[Source Row]]="","",Salary_Calculation[[#This Row],[Missing Orders]]*Missing_Rate)</f>
        <v/>
      </c>
      <c r="O390" s="165" t="str">
        <f aca="false">IF(Salary_Calculation[[#This Row],[Source Row]]="","",MAX(N(Salary_Calculation[[#This Row],[Completed Orders]])-Salary_Calculation[[#This Row],[Rider Target Orders]],0))</f>
        <v/>
      </c>
      <c r="P390" s="164" t="str">
        <f aca="false">IF(Salary_Calculation[[#This Row],[Source Row]]="","",Salary_Calculation[[#This Row],[Extra Orders]]*Extra_Rate)</f>
        <v/>
      </c>
      <c r="Q390" s="164" t="str">
        <f aca="false">IF(Salary_Calculation[[#This Row],[Source Row]]="","",MAX(Salary_Calculation[[#This Row],[Salary Before Other Deductions]],0))</f>
        <v/>
      </c>
      <c r="R390" s="164" t="str">
        <f aca="false">IF(Salary_Calculation[[#This Row],[Source Row]]="","",N(INDEX(Rider_Input[missed_days_penalty],Salary_Calculation[[#This Row],[Source Row]])))</f>
        <v/>
      </c>
      <c r="S390" s="164" t="str">
        <f aca="false">IF(Salary_Calculation[[#This Row],[Source Row]]="","",N(INDEX(Rider_Input[Rider Balance / محفظة المندوب],Salary_Calculation[[#This Row],[Source Row]])))</f>
        <v/>
      </c>
      <c r="T390" s="164" t="str">
        <f aca="false">IF(Salary_Calculation[[#This Row],[Source Row]]="","",N(INDEX(Rider_Input[stacking_deduction / خصم الطلبات المتعددة],Salary_Calculation[[#This Row],[Source Row]])))</f>
        <v/>
      </c>
      <c r="U390" s="164" t="str">
        <f aca="false">IF(Salary_Calculation[[#This Row],[Source Row]]="","",N(INDEX(Rider_Input[Other Deductions],Salary_Calculation[[#This Row],[Source Row]])))</f>
        <v/>
      </c>
      <c r="V390" s="164" t="str">
        <f aca="false">IF(Salary_Calculation[[#This Row],[Source Row]]="","",N(Salary_Calculation[[#This Row],[missed_days_penalty]])+N(Salary_Calculation[[#This Row],[Rider Balance]])+N(Salary_Calculation[[#This Row],[stacking_deduction]])+N(Salary_Calculation[[#This Row],[Other Deductions]]))</f>
        <v/>
      </c>
      <c r="W390" s="167" t="str">
        <f aca="false">IF(Salary_Calculation[[#This Row],[Source Row]]="","",ROUND(MAX(Salary_Calculation[[#This Row],[Gross Salary Before Deductions]]-Salary_Calculation[[#This Row],[Total Deductions]],0),2))</f>
        <v/>
      </c>
      <c r="X390" s="164" t="str">
        <f aca="false">IF(Salary_Calculation[[#This Row],[Source Row]]="","",ROUND(MAX(Salary_Calculation[[#This Row],[Missing-Order Deduction]]-Salary_Calculation[[#This Row],[Earned Salary]],0),2))</f>
        <v/>
      </c>
      <c r="Y39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90" s="163" t="str">
        <f aca="false">IF(Salary_Calculation[[#This Row],[Source Row]]="","",IF(INDEX(Rider_Input[Notes],Salary_Calculation[[#This Row],[Source Row]])="","",INDEX(Rider_Input[Notes],Salary_Calculation[[#This Row],[Source Row]])))</f>
        <v/>
      </c>
      <c r="AA390" s="164" t="str">
        <f aca="false">IF(Salary_Calculation[[#This Row],[Source Row]]="","",Salary_Calculation[[#This Row],[Earned Salary]]-Salary_Calculation[[#This Row],[Missing-Order Deduction]]+Salary_Calculation[[#This Row],[Extra-Order Bonus]])</f>
        <v/>
      </c>
      <c r="AB390" s="164" t="str">
        <f aca="false">IF(Salary_Calculation[[#This Row],[Source Row]]="","",ROUND(Salary_Calculation[[#This Row],[Negative Balance / Amount Due from Rider]]+MAX(Salary_Calculation[[#This Row],[Total Deductions]]-Salary_Calculation[[#This Row],[Gross Salary Before Deductions]],0),2))</f>
        <v/>
      </c>
      <c r="AC39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90" s="164" t="str">
        <f aca="false">IF(Salary_Calculation[[#This Row],[Source Row]]="","",Salary_Calculation[[#This Row],[Rider Target Orders]]*Salary_Calculation[[#This Row],[Base Order Rate]])</f>
        <v/>
      </c>
      <c r="AE390" s="162" t="str">
        <f aca="false">IF(SUMPRODUCT(--(LEN(INDEX(Rider_Input[#Data],ROW()-ROW(Salary_Calculation[#Headers]),0))&gt;0))=0,"",ROW()-ROW(Salary_Calculation[#Headers]))</f>
        <v/>
      </c>
    </row>
    <row r="391" customFormat="false" ht="14.25" hidden="false" customHeight="false" outlineLevel="0" collapsed="false">
      <c r="A391" s="161" t="str">
        <f aca="false">IF(Salary_Calculation[[#This Row],[Source Row]]="","",IF(INDEX(Rider_Input[Salary Month],Salary_Calculation[[#This Row],[Source Row]])="","",INDEX(Rider_Input[Salary Month],Salary_Calculation[[#This Row],[Source Row]])))</f>
        <v/>
      </c>
      <c r="B391" s="162" t="str">
        <f aca="false">IF(Salary_Calculation[[#This Row],[Source Row]]="","",IF(INDEX(Rider_Input[Rider ID],Salary_Calculation[[#This Row],[Source Row]])="","",INDEX(Rider_Input[Rider ID],Salary_Calculation[[#This Row],[Source Row]])))</f>
        <v/>
      </c>
      <c r="C391" s="163" t="str">
        <f aca="false">IF(Salary_Calculation[[#This Row],[Source Row]]="","",IF(INDEX(Rider_Input[Rider Name],Salary_Calculation[[#This Row],[Source Row]])="","",INDEX(Rider_Input[Rider Name],Salary_Calculation[[#This Row],[Source Row]])))</f>
        <v/>
      </c>
      <c r="D391" s="164" t="str">
        <f aca="false">IF(Salary_Calculation[[#This Row],[Source Row]]="","",IF(INDEX(Rider_Input[Basic Payment],Salary_Calculation[[#This Row],[Source Row]])="","",INDEX(Rider_Input[Basic Payment],Salary_Calculation[[#This Row],[Source Row]])))</f>
        <v/>
      </c>
      <c r="E391" s="162" t="str">
        <f aca="false">IF(Salary_Calculation[[#This Row],[Source Row]]="","",IF(INDEX(Rider_Input[Calendar Days in Month],Salary_Calculation[[#This Row],[Source Row]])="","",INDEX(Rider_Input[Calendar Days in Month],Salary_Calculation[[#This Row],[Source Row]])))</f>
        <v/>
      </c>
      <c r="F391" s="162" t="str">
        <f aca="false">IF(Salary_Calculation[[#This Row],[Source Row]]="","",IF(INDEX(Rider_Input[Working Days],Salary_Calculation[[#This Row],[Source Row]])="","",INDEX(Rider_Input[Working Days],Salary_Calculation[[#This Row],[Source Row]])))</f>
        <v/>
      </c>
      <c r="G391" s="165" t="str">
        <f aca="false">IF(Salary_Calculation[[#This Row],[Source Row]]="","",Std_Orders/Std_Days*N(Salary_Calculation[[#This Row],[Calendar Days]]))</f>
        <v/>
      </c>
      <c r="H391" s="165" t="str">
        <f aca="false">IF(Salary_Calculation[[#This Row],[Source Row]]="","",IF(N(Salary_Calculation[[#This Row],[Calendar Days]])&gt;0,Salary_Calculation[[#This Row],[Monthly Target Orders]]/N(Salary_Calculation[[#This Row],[Calendar Days]])*N(Salary_Calculation[[#This Row],[Working Days]]),0))</f>
        <v/>
      </c>
      <c r="I391" s="166" t="str">
        <f aca="false">IF(Salary_Calculation[[#This Row],[Source Row]]="","",IF(INDEX(Rider_Input[Completed Orders],Salary_Calculation[[#This Row],[Source Row]])="","",INDEX(Rider_Input[Completed Orders],Salary_Calculation[[#This Row],[Source Row]])))</f>
        <v/>
      </c>
      <c r="J391" s="165" t="str">
        <f aca="false">IF(Salary_Calculation[[#This Row],[Source Row]]="","",IF(Rate_Method="Fixed rate",Fixed_Rate,IF(N(Salary_Calculation[[#This Row],[Basic Payment]])&gt;0,N(Salary_Calculation[[#This Row],[Basic Payment]])/Std_Orders,0)))</f>
        <v/>
      </c>
      <c r="K391" s="165" t="str">
        <f aca="false">IF(Salary_Calculation[[#This Row],[Source Row]]="","",MAX(MIN(N(Salary_Calculation[[#This Row],[Completed Orders]]),Salary_Calculation[[#This Row],[Rider Target Orders]]),0))</f>
        <v/>
      </c>
      <c r="L391" s="164" t="str">
        <f aca="false">IF(Salary_Calculation[[#This Row],[Source Row]]="","",Salary_Calculation[[#This Row],[Orders Counted at Base Rate]]*Salary_Calculation[[#This Row],[Base Order Rate]])</f>
        <v/>
      </c>
      <c r="M391" s="165" t="str">
        <f aca="false">IF(Salary_Calculation[[#This Row],[Source Row]]="","",MAX(Salary_Calculation[[#This Row],[Rider Target Orders]]-N(Salary_Calculation[[#This Row],[Completed Orders]]),0))</f>
        <v/>
      </c>
      <c r="N391" s="164" t="str">
        <f aca="false">IF(Salary_Calculation[[#This Row],[Source Row]]="","",Salary_Calculation[[#This Row],[Missing Orders]]*Missing_Rate)</f>
        <v/>
      </c>
      <c r="O391" s="165" t="str">
        <f aca="false">IF(Salary_Calculation[[#This Row],[Source Row]]="","",MAX(N(Salary_Calculation[[#This Row],[Completed Orders]])-Salary_Calculation[[#This Row],[Rider Target Orders]],0))</f>
        <v/>
      </c>
      <c r="P391" s="164" t="str">
        <f aca="false">IF(Salary_Calculation[[#This Row],[Source Row]]="","",Salary_Calculation[[#This Row],[Extra Orders]]*Extra_Rate)</f>
        <v/>
      </c>
      <c r="Q391" s="164" t="str">
        <f aca="false">IF(Salary_Calculation[[#This Row],[Source Row]]="","",MAX(Salary_Calculation[[#This Row],[Salary Before Other Deductions]],0))</f>
        <v/>
      </c>
      <c r="R391" s="164" t="str">
        <f aca="false">IF(Salary_Calculation[[#This Row],[Source Row]]="","",N(INDEX(Rider_Input[missed_days_penalty],Salary_Calculation[[#This Row],[Source Row]])))</f>
        <v/>
      </c>
      <c r="S391" s="164" t="str">
        <f aca="false">IF(Salary_Calculation[[#This Row],[Source Row]]="","",N(INDEX(Rider_Input[Rider Balance / محفظة المندوب],Salary_Calculation[[#This Row],[Source Row]])))</f>
        <v/>
      </c>
      <c r="T391" s="164" t="str">
        <f aca="false">IF(Salary_Calculation[[#This Row],[Source Row]]="","",N(INDEX(Rider_Input[stacking_deduction / خصم الطلبات المتعددة],Salary_Calculation[[#This Row],[Source Row]])))</f>
        <v/>
      </c>
      <c r="U391" s="164" t="str">
        <f aca="false">IF(Salary_Calculation[[#This Row],[Source Row]]="","",N(INDEX(Rider_Input[Other Deductions],Salary_Calculation[[#This Row],[Source Row]])))</f>
        <v/>
      </c>
      <c r="V391" s="164" t="str">
        <f aca="false">IF(Salary_Calculation[[#This Row],[Source Row]]="","",N(Salary_Calculation[[#This Row],[missed_days_penalty]])+N(Salary_Calculation[[#This Row],[Rider Balance]])+N(Salary_Calculation[[#This Row],[stacking_deduction]])+N(Salary_Calculation[[#This Row],[Other Deductions]]))</f>
        <v/>
      </c>
      <c r="W391" s="167" t="str">
        <f aca="false">IF(Salary_Calculation[[#This Row],[Source Row]]="","",ROUND(MAX(Salary_Calculation[[#This Row],[Gross Salary Before Deductions]]-Salary_Calculation[[#This Row],[Total Deductions]],0),2))</f>
        <v/>
      </c>
      <c r="X391" s="164" t="str">
        <f aca="false">IF(Salary_Calculation[[#This Row],[Source Row]]="","",ROUND(MAX(Salary_Calculation[[#This Row],[Missing-Order Deduction]]-Salary_Calculation[[#This Row],[Earned Salary]],0),2))</f>
        <v/>
      </c>
      <c r="Y39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91" s="163" t="str">
        <f aca="false">IF(Salary_Calculation[[#This Row],[Source Row]]="","",IF(INDEX(Rider_Input[Notes],Salary_Calculation[[#This Row],[Source Row]])="","",INDEX(Rider_Input[Notes],Salary_Calculation[[#This Row],[Source Row]])))</f>
        <v/>
      </c>
      <c r="AA391" s="164" t="str">
        <f aca="false">IF(Salary_Calculation[[#This Row],[Source Row]]="","",Salary_Calculation[[#This Row],[Earned Salary]]-Salary_Calculation[[#This Row],[Missing-Order Deduction]]+Salary_Calculation[[#This Row],[Extra-Order Bonus]])</f>
        <v/>
      </c>
      <c r="AB391" s="164" t="str">
        <f aca="false">IF(Salary_Calculation[[#This Row],[Source Row]]="","",ROUND(Salary_Calculation[[#This Row],[Negative Balance / Amount Due from Rider]]+MAX(Salary_Calculation[[#This Row],[Total Deductions]]-Salary_Calculation[[#This Row],[Gross Salary Before Deductions]],0),2))</f>
        <v/>
      </c>
      <c r="AC39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91" s="164" t="str">
        <f aca="false">IF(Salary_Calculation[[#This Row],[Source Row]]="","",Salary_Calculation[[#This Row],[Rider Target Orders]]*Salary_Calculation[[#This Row],[Base Order Rate]])</f>
        <v/>
      </c>
      <c r="AE391" s="162" t="str">
        <f aca="false">IF(SUMPRODUCT(--(LEN(INDEX(Rider_Input[#Data],ROW()-ROW(Salary_Calculation[#Headers]),0))&gt;0))=0,"",ROW()-ROW(Salary_Calculation[#Headers]))</f>
        <v/>
      </c>
    </row>
    <row r="392" customFormat="false" ht="14.25" hidden="false" customHeight="false" outlineLevel="0" collapsed="false">
      <c r="A392" s="161" t="str">
        <f aca="false">IF(Salary_Calculation[[#This Row],[Source Row]]="","",IF(INDEX(Rider_Input[Salary Month],Salary_Calculation[[#This Row],[Source Row]])="","",INDEX(Rider_Input[Salary Month],Salary_Calculation[[#This Row],[Source Row]])))</f>
        <v/>
      </c>
      <c r="B392" s="162" t="str">
        <f aca="false">IF(Salary_Calculation[[#This Row],[Source Row]]="","",IF(INDEX(Rider_Input[Rider ID],Salary_Calculation[[#This Row],[Source Row]])="","",INDEX(Rider_Input[Rider ID],Salary_Calculation[[#This Row],[Source Row]])))</f>
        <v/>
      </c>
      <c r="C392" s="163" t="str">
        <f aca="false">IF(Salary_Calculation[[#This Row],[Source Row]]="","",IF(INDEX(Rider_Input[Rider Name],Salary_Calculation[[#This Row],[Source Row]])="","",INDEX(Rider_Input[Rider Name],Salary_Calculation[[#This Row],[Source Row]])))</f>
        <v/>
      </c>
      <c r="D392" s="164" t="str">
        <f aca="false">IF(Salary_Calculation[[#This Row],[Source Row]]="","",IF(INDEX(Rider_Input[Basic Payment],Salary_Calculation[[#This Row],[Source Row]])="","",INDEX(Rider_Input[Basic Payment],Salary_Calculation[[#This Row],[Source Row]])))</f>
        <v/>
      </c>
      <c r="E392" s="162" t="str">
        <f aca="false">IF(Salary_Calculation[[#This Row],[Source Row]]="","",IF(INDEX(Rider_Input[Calendar Days in Month],Salary_Calculation[[#This Row],[Source Row]])="","",INDEX(Rider_Input[Calendar Days in Month],Salary_Calculation[[#This Row],[Source Row]])))</f>
        <v/>
      </c>
      <c r="F392" s="162" t="str">
        <f aca="false">IF(Salary_Calculation[[#This Row],[Source Row]]="","",IF(INDEX(Rider_Input[Working Days],Salary_Calculation[[#This Row],[Source Row]])="","",INDEX(Rider_Input[Working Days],Salary_Calculation[[#This Row],[Source Row]])))</f>
        <v/>
      </c>
      <c r="G392" s="165" t="str">
        <f aca="false">IF(Salary_Calculation[[#This Row],[Source Row]]="","",Std_Orders/Std_Days*N(Salary_Calculation[[#This Row],[Calendar Days]]))</f>
        <v/>
      </c>
      <c r="H392" s="165" t="str">
        <f aca="false">IF(Salary_Calculation[[#This Row],[Source Row]]="","",IF(N(Salary_Calculation[[#This Row],[Calendar Days]])&gt;0,Salary_Calculation[[#This Row],[Monthly Target Orders]]/N(Salary_Calculation[[#This Row],[Calendar Days]])*N(Salary_Calculation[[#This Row],[Working Days]]),0))</f>
        <v/>
      </c>
      <c r="I392" s="166" t="str">
        <f aca="false">IF(Salary_Calculation[[#This Row],[Source Row]]="","",IF(INDEX(Rider_Input[Completed Orders],Salary_Calculation[[#This Row],[Source Row]])="","",INDEX(Rider_Input[Completed Orders],Salary_Calculation[[#This Row],[Source Row]])))</f>
        <v/>
      </c>
      <c r="J392" s="165" t="str">
        <f aca="false">IF(Salary_Calculation[[#This Row],[Source Row]]="","",IF(Rate_Method="Fixed rate",Fixed_Rate,IF(N(Salary_Calculation[[#This Row],[Basic Payment]])&gt;0,N(Salary_Calculation[[#This Row],[Basic Payment]])/Std_Orders,0)))</f>
        <v/>
      </c>
      <c r="K392" s="165" t="str">
        <f aca="false">IF(Salary_Calculation[[#This Row],[Source Row]]="","",MAX(MIN(N(Salary_Calculation[[#This Row],[Completed Orders]]),Salary_Calculation[[#This Row],[Rider Target Orders]]),0))</f>
        <v/>
      </c>
      <c r="L392" s="164" t="str">
        <f aca="false">IF(Salary_Calculation[[#This Row],[Source Row]]="","",Salary_Calculation[[#This Row],[Orders Counted at Base Rate]]*Salary_Calculation[[#This Row],[Base Order Rate]])</f>
        <v/>
      </c>
      <c r="M392" s="165" t="str">
        <f aca="false">IF(Salary_Calculation[[#This Row],[Source Row]]="","",MAX(Salary_Calculation[[#This Row],[Rider Target Orders]]-N(Salary_Calculation[[#This Row],[Completed Orders]]),0))</f>
        <v/>
      </c>
      <c r="N392" s="164" t="str">
        <f aca="false">IF(Salary_Calculation[[#This Row],[Source Row]]="","",Salary_Calculation[[#This Row],[Missing Orders]]*Missing_Rate)</f>
        <v/>
      </c>
      <c r="O392" s="165" t="str">
        <f aca="false">IF(Salary_Calculation[[#This Row],[Source Row]]="","",MAX(N(Salary_Calculation[[#This Row],[Completed Orders]])-Salary_Calculation[[#This Row],[Rider Target Orders]],0))</f>
        <v/>
      </c>
      <c r="P392" s="164" t="str">
        <f aca="false">IF(Salary_Calculation[[#This Row],[Source Row]]="","",Salary_Calculation[[#This Row],[Extra Orders]]*Extra_Rate)</f>
        <v/>
      </c>
      <c r="Q392" s="164" t="str">
        <f aca="false">IF(Salary_Calculation[[#This Row],[Source Row]]="","",MAX(Salary_Calculation[[#This Row],[Salary Before Other Deductions]],0))</f>
        <v/>
      </c>
      <c r="R392" s="164" t="str">
        <f aca="false">IF(Salary_Calculation[[#This Row],[Source Row]]="","",N(INDEX(Rider_Input[missed_days_penalty],Salary_Calculation[[#This Row],[Source Row]])))</f>
        <v/>
      </c>
      <c r="S392" s="164" t="str">
        <f aca="false">IF(Salary_Calculation[[#This Row],[Source Row]]="","",N(INDEX(Rider_Input[Rider Balance / محفظة المندوب],Salary_Calculation[[#This Row],[Source Row]])))</f>
        <v/>
      </c>
      <c r="T392" s="164" t="str">
        <f aca="false">IF(Salary_Calculation[[#This Row],[Source Row]]="","",N(INDEX(Rider_Input[stacking_deduction / خصم الطلبات المتعددة],Salary_Calculation[[#This Row],[Source Row]])))</f>
        <v/>
      </c>
      <c r="U392" s="164" t="str">
        <f aca="false">IF(Salary_Calculation[[#This Row],[Source Row]]="","",N(INDEX(Rider_Input[Other Deductions],Salary_Calculation[[#This Row],[Source Row]])))</f>
        <v/>
      </c>
      <c r="V392" s="164" t="str">
        <f aca="false">IF(Salary_Calculation[[#This Row],[Source Row]]="","",N(Salary_Calculation[[#This Row],[missed_days_penalty]])+N(Salary_Calculation[[#This Row],[Rider Balance]])+N(Salary_Calculation[[#This Row],[stacking_deduction]])+N(Salary_Calculation[[#This Row],[Other Deductions]]))</f>
        <v/>
      </c>
      <c r="W392" s="167" t="str">
        <f aca="false">IF(Salary_Calculation[[#This Row],[Source Row]]="","",ROUND(MAX(Salary_Calculation[[#This Row],[Gross Salary Before Deductions]]-Salary_Calculation[[#This Row],[Total Deductions]],0),2))</f>
        <v/>
      </c>
      <c r="X392" s="164" t="str">
        <f aca="false">IF(Salary_Calculation[[#This Row],[Source Row]]="","",ROUND(MAX(Salary_Calculation[[#This Row],[Missing-Order Deduction]]-Salary_Calculation[[#This Row],[Earned Salary]],0),2))</f>
        <v/>
      </c>
      <c r="Y39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92" s="163" t="str">
        <f aca="false">IF(Salary_Calculation[[#This Row],[Source Row]]="","",IF(INDEX(Rider_Input[Notes],Salary_Calculation[[#This Row],[Source Row]])="","",INDEX(Rider_Input[Notes],Salary_Calculation[[#This Row],[Source Row]])))</f>
        <v/>
      </c>
      <c r="AA392" s="164" t="str">
        <f aca="false">IF(Salary_Calculation[[#This Row],[Source Row]]="","",Salary_Calculation[[#This Row],[Earned Salary]]-Salary_Calculation[[#This Row],[Missing-Order Deduction]]+Salary_Calculation[[#This Row],[Extra-Order Bonus]])</f>
        <v/>
      </c>
      <c r="AB392" s="164" t="str">
        <f aca="false">IF(Salary_Calculation[[#This Row],[Source Row]]="","",ROUND(Salary_Calculation[[#This Row],[Negative Balance / Amount Due from Rider]]+MAX(Salary_Calculation[[#This Row],[Total Deductions]]-Salary_Calculation[[#This Row],[Gross Salary Before Deductions]],0),2))</f>
        <v/>
      </c>
      <c r="AC39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92" s="164" t="str">
        <f aca="false">IF(Salary_Calculation[[#This Row],[Source Row]]="","",Salary_Calculation[[#This Row],[Rider Target Orders]]*Salary_Calculation[[#This Row],[Base Order Rate]])</f>
        <v/>
      </c>
      <c r="AE392" s="162" t="str">
        <f aca="false">IF(SUMPRODUCT(--(LEN(INDEX(Rider_Input[#Data],ROW()-ROW(Salary_Calculation[#Headers]),0))&gt;0))=0,"",ROW()-ROW(Salary_Calculation[#Headers]))</f>
        <v/>
      </c>
    </row>
    <row r="393" customFormat="false" ht="14.25" hidden="false" customHeight="false" outlineLevel="0" collapsed="false">
      <c r="A393" s="161" t="str">
        <f aca="false">IF(Salary_Calculation[[#This Row],[Source Row]]="","",IF(INDEX(Rider_Input[Salary Month],Salary_Calculation[[#This Row],[Source Row]])="","",INDEX(Rider_Input[Salary Month],Salary_Calculation[[#This Row],[Source Row]])))</f>
        <v/>
      </c>
      <c r="B393" s="162" t="str">
        <f aca="false">IF(Salary_Calculation[[#This Row],[Source Row]]="","",IF(INDEX(Rider_Input[Rider ID],Salary_Calculation[[#This Row],[Source Row]])="","",INDEX(Rider_Input[Rider ID],Salary_Calculation[[#This Row],[Source Row]])))</f>
        <v/>
      </c>
      <c r="C393" s="163" t="str">
        <f aca="false">IF(Salary_Calculation[[#This Row],[Source Row]]="","",IF(INDEX(Rider_Input[Rider Name],Salary_Calculation[[#This Row],[Source Row]])="","",INDEX(Rider_Input[Rider Name],Salary_Calculation[[#This Row],[Source Row]])))</f>
        <v/>
      </c>
      <c r="D393" s="164" t="str">
        <f aca="false">IF(Salary_Calculation[[#This Row],[Source Row]]="","",IF(INDEX(Rider_Input[Basic Payment],Salary_Calculation[[#This Row],[Source Row]])="","",INDEX(Rider_Input[Basic Payment],Salary_Calculation[[#This Row],[Source Row]])))</f>
        <v/>
      </c>
      <c r="E393" s="162" t="str">
        <f aca="false">IF(Salary_Calculation[[#This Row],[Source Row]]="","",IF(INDEX(Rider_Input[Calendar Days in Month],Salary_Calculation[[#This Row],[Source Row]])="","",INDEX(Rider_Input[Calendar Days in Month],Salary_Calculation[[#This Row],[Source Row]])))</f>
        <v/>
      </c>
      <c r="F393" s="162" t="str">
        <f aca="false">IF(Salary_Calculation[[#This Row],[Source Row]]="","",IF(INDEX(Rider_Input[Working Days],Salary_Calculation[[#This Row],[Source Row]])="","",INDEX(Rider_Input[Working Days],Salary_Calculation[[#This Row],[Source Row]])))</f>
        <v/>
      </c>
      <c r="G393" s="165" t="str">
        <f aca="false">IF(Salary_Calculation[[#This Row],[Source Row]]="","",Std_Orders/Std_Days*N(Salary_Calculation[[#This Row],[Calendar Days]]))</f>
        <v/>
      </c>
      <c r="H393" s="165" t="str">
        <f aca="false">IF(Salary_Calculation[[#This Row],[Source Row]]="","",IF(N(Salary_Calculation[[#This Row],[Calendar Days]])&gt;0,Salary_Calculation[[#This Row],[Monthly Target Orders]]/N(Salary_Calculation[[#This Row],[Calendar Days]])*N(Salary_Calculation[[#This Row],[Working Days]]),0))</f>
        <v/>
      </c>
      <c r="I393" s="166" t="str">
        <f aca="false">IF(Salary_Calculation[[#This Row],[Source Row]]="","",IF(INDEX(Rider_Input[Completed Orders],Salary_Calculation[[#This Row],[Source Row]])="","",INDEX(Rider_Input[Completed Orders],Salary_Calculation[[#This Row],[Source Row]])))</f>
        <v/>
      </c>
      <c r="J393" s="165" t="str">
        <f aca="false">IF(Salary_Calculation[[#This Row],[Source Row]]="","",IF(Rate_Method="Fixed rate",Fixed_Rate,IF(N(Salary_Calculation[[#This Row],[Basic Payment]])&gt;0,N(Salary_Calculation[[#This Row],[Basic Payment]])/Std_Orders,0)))</f>
        <v/>
      </c>
      <c r="K393" s="165" t="str">
        <f aca="false">IF(Salary_Calculation[[#This Row],[Source Row]]="","",MAX(MIN(N(Salary_Calculation[[#This Row],[Completed Orders]]),Salary_Calculation[[#This Row],[Rider Target Orders]]),0))</f>
        <v/>
      </c>
      <c r="L393" s="164" t="str">
        <f aca="false">IF(Salary_Calculation[[#This Row],[Source Row]]="","",Salary_Calculation[[#This Row],[Orders Counted at Base Rate]]*Salary_Calculation[[#This Row],[Base Order Rate]])</f>
        <v/>
      </c>
      <c r="M393" s="165" t="str">
        <f aca="false">IF(Salary_Calculation[[#This Row],[Source Row]]="","",MAX(Salary_Calculation[[#This Row],[Rider Target Orders]]-N(Salary_Calculation[[#This Row],[Completed Orders]]),0))</f>
        <v/>
      </c>
      <c r="N393" s="164" t="str">
        <f aca="false">IF(Salary_Calculation[[#This Row],[Source Row]]="","",Salary_Calculation[[#This Row],[Missing Orders]]*Missing_Rate)</f>
        <v/>
      </c>
      <c r="O393" s="165" t="str">
        <f aca="false">IF(Salary_Calculation[[#This Row],[Source Row]]="","",MAX(N(Salary_Calculation[[#This Row],[Completed Orders]])-Salary_Calculation[[#This Row],[Rider Target Orders]],0))</f>
        <v/>
      </c>
      <c r="P393" s="164" t="str">
        <f aca="false">IF(Salary_Calculation[[#This Row],[Source Row]]="","",Salary_Calculation[[#This Row],[Extra Orders]]*Extra_Rate)</f>
        <v/>
      </c>
      <c r="Q393" s="164" t="str">
        <f aca="false">IF(Salary_Calculation[[#This Row],[Source Row]]="","",MAX(Salary_Calculation[[#This Row],[Salary Before Other Deductions]],0))</f>
        <v/>
      </c>
      <c r="R393" s="164" t="str">
        <f aca="false">IF(Salary_Calculation[[#This Row],[Source Row]]="","",N(INDEX(Rider_Input[missed_days_penalty],Salary_Calculation[[#This Row],[Source Row]])))</f>
        <v/>
      </c>
      <c r="S393" s="164" t="str">
        <f aca="false">IF(Salary_Calculation[[#This Row],[Source Row]]="","",N(INDEX(Rider_Input[Rider Balance / محفظة المندوب],Salary_Calculation[[#This Row],[Source Row]])))</f>
        <v/>
      </c>
      <c r="T393" s="164" t="str">
        <f aca="false">IF(Salary_Calculation[[#This Row],[Source Row]]="","",N(INDEX(Rider_Input[stacking_deduction / خصم الطلبات المتعددة],Salary_Calculation[[#This Row],[Source Row]])))</f>
        <v/>
      </c>
      <c r="U393" s="164" t="str">
        <f aca="false">IF(Salary_Calculation[[#This Row],[Source Row]]="","",N(INDEX(Rider_Input[Other Deductions],Salary_Calculation[[#This Row],[Source Row]])))</f>
        <v/>
      </c>
      <c r="V393" s="164" t="str">
        <f aca="false">IF(Salary_Calculation[[#This Row],[Source Row]]="","",N(Salary_Calculation[[#This Row],[missed_days_penalty]])+N(Salary_Calculation[[#This Row],[Rider Balance]])+N(Salary_Calculation[[#This Row],[stacking_deduction]])+N(Salary_Calculation[[#This Row],[Other Deductions]]))</f>
        <v/>
      </c>
      <c r="W393" s="167" t="str">
        <f aca="false">IF(Salary_Calculation[[#This Row],[Source Row]]="","",ROUND(MAX(Salary_Calculation[[#This Row],[Gross Salary Before Deductions]]-Salary_Calculation[[#This Row],[Total Deductions]],0),2))</f>
        <v/>
      </c>
      <c r="X393" s="164" t="str">
        <f aca="false">IF(Salary_Calculation[[#This Row],[Source Row]]="","",ROUND(MAX(Salary_Calculation[[#This Row],[Missing-Order Deduction]]-Salary_Calculation[[#This Row],[Earned Salary]],0),2))</f>
        <v/>
      </c>
      <c r="Y39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93" s="163" t="str">
        <f aca="false">IF(Salary_Calculation[[#This Row],[Source Row]]="","",IF(INDEX(Rider_Input[Notes],Salary_Calculation[[#This Row],[Source Row]])="","",INDEX(Rider_Input[Notes],Salary_Calculation[[#This Row],[Source Row]])))</f>
        <v/>
      </c>
      <c r="AA393" s="164" t="str">
        <f aca="false">IF(Salary_Calculation[[#This Row],[Source Row]]="","",Salary_Calculation[[#This Row],[Earned Salary]]-Salary_Calculation[[#This Row],[Missing-Order Deduction]]+Salary_Calculation[[#This Row],[Extra-Order Bonus]])</f>
        <v/>
      </c>
      <c r="AB393" s="164" t="str">
        <f aca="false">IF(Salary_Calculation[[#This Row],[Source Row]]="","",ROUND(Salary_Calculation[[#This Row],[Negative Balance / Amount Due from Rider]]+MAX(Salary_Calculation[[#This Row],[Total Deductions]]-Salary_Calculation[[#This Row],[Gross Salary Before Deductions]],0),2))</f>
        <v/>
      </c>
      <c r="AC39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93" s="164" t="str">
        <f aca="false">IF(Salary_Calculation[[#This Row],[Source Row]]="","",Salary_Calculation[[#This Row],[Rider Target Orders]]*Salary_Calculation[[#This Row],[Base Order Rate]])</f>
        <v/>
      </c>
      <c r="AE393" s="162" t="str">
        <f aca="false">IF(SUMPRODUCT(--(LEN(INDEX(Rider_Input[#Data],ROW()-ROW(Salary_Calculation[#Headers]),0))&gt;0))=0,"",ROW()-ROW(Salary_Calculation[#Headers]))</f>
        <v/>
      </c>
    </row>
    <row r="394" customFormat="false" ht="14.25" hidden="false" customHeight="false" outlineLevel="0" collapsed="false">
      <c r="A394" s="161" t="str">
        <f aca="false">IF(Salary_Calculation[[#This Row],[Source Row]]="","",IF(INDEX(Rider_Input[Salary Month],Salary_Calculation[[#This Row],[Source Row]])="","",INDEX(Rider_Input[Salary Month],Salary_Calculation[[#This Row],[Source Row]])))</f>
        <v/>
      </c>
      <c r="B394" s="162" t="str">
        <f aca="false">IF(Salary_Calculation[[#This Row],[Source Row]]="","",IF(INDEX(Rider_Input[Rider ID],Salary_Calculation[[#This Row],[Source Row]])="","",INDEX(Rider_Input[Rider ID],Salary_Calculation[[#This Row],[Source Row]])))</f>
        <v/>
      </c>
      <c r="C394" s="163" t="str">
        <f aca="false">IF(Salary_Calculation[[#This Row],[Source Row]]="","",IF(INDEX(Rider_Input[Rider Name],Salary_Calculation[[#This Row],[Source Row]])="","",INDEX(Rider_Input[Rider Name],Salary_Calculation[[#This Row],[Source Row]])))</f>
        <v/>
      </c>
      <c r="D394" s="164" t="str">
        <f aca="false">IF(Salary_Calculation[[#This Row],[Source Row]]="","",IF(INDEX(Rider_Input[Basic Payment],Salary_Calculation[[#This Row],[Source Row]])="","",INDEX(Rider_Input[Basic Payment],Salary_Calculation[[#This Row],[Source Row]])))</f>
        <v/>
      </c>
      <c r="E394" s="162" t="str">
        <f aca="false">IF(Salary_Calculation[[#This Row],[Source Row]]="","",IF(INDEX(Rider_Input[Calendar Days in Month],Salary_Calculation[[#This Row],[Source Row]])="","",INDEX(Rider_Input[Calendar Days in Month],Salary_Calculation[[#This Row],[Source Row]])))</f>
        <v/>
      </c>
      <c r="F394" s="162" t="str">
        <f aca="false">IF(Salary_Calculation[[#This Row],[Source Row]]="","",IF(INDEX(Rider_Input[Working Days],Salary_Calculation[[#This Row],[Source Row]])="","",INDEX(Rider_Input[Working Days],Salary_Calculation[[#This Row],[Source Row]])))</f>
        <v/>
      </c>
      <c r="G394" s="165" t="str">
        <f aca="false">IF(Salary_Calculation[[#This Row],[Source Row]]="","",Std_Orders/Std_Days*N(Salary_Calculation[[#This Row],[Calendar Days]]))</f>
        <v/>
      </c>
      <c r="H394" s="165" t="str">
        <f aca="false">IF(Salary_Calculation[[#This Row],[Source Row]]="","",IF(N(Salary_Calculation[[#This Row],[Calendar Days]])&gt;0,Salary_Calculation[[#This Row],[Monthly Target Orders]]/N(Salary_Calculation[[#This Row],[Calendar Days]])*N(Salary_Calculation[[#This Row],[Working Days]]),0))</f>
        <v/>
      </c>
      <c r="I394" s="166" t="str">
        <f aca="false">IF(Salary_Calculation[[#This Row],[Source Row]]="","",IF(INDEX(Rider_Input[Completed Orders],Salary_Calculation[[#This Row],[Source Row]])="","",INDEX(Rider_Input[Completed Orders],Salary_Calculation[[#This Row],[Source Row]])))</f>
        <v/>
      </c>
      <c r="J394" s="165" t="str">
        <f aca="false">IF(Salary_Calculation[[#This Row],[Source Row]]="","",IF(Rate_Method="Fixed rate",Fixed_Rate,IF(N(Salary_Calculation[[#This Row],[Basic Payment]])&gt;0,N(Salary_Calculation[[#This Row],[Basic Payment]])/Std_Orders,0)))</f>
        <v/>
      </c>
      <c r="K394" s="165" t="str">
        <f aca="false">IF(Salary_Calculation[[#This Row],[Source Row]]="","",MAX(MIN(N(Salary_Calculation[[#This Row],[Completed Orders]]),Salary_Calculation[[#This Row],[Rider Target Orders]]),0))</f>
        <v/>
      </c>
      <c r="L394" s="164" t="str">
        <f aca="false">IF(Salary_Calculation[[#This Row],[Source Row]]="","",Salary_Calculation[[#This Row],[Orders Counted at Base Rate]]*Salary_Calculation[[#This Row],[Base Order Rate]])</f>
        <v/>
      </c>
      <c r="M394" s="165" t="str">
        <f aca="false">IF(Salary_Calculation[[#This Row],[Source Row]]="","",MAX(Salary_Calculation[[#This Row],[Rider Target Orders]]-N(Salary_Calculation[[#This Row],[Completed Orders]]),0))</f>
        <v/>
      </c>
      <c r="N394" s="164" t="str">
        <f aca="false">IF(Salary_Calculation[[#This Row],[Source Row]]="","",Salary_Calculation[[#This Row],[Missing Orders]]*Missing_Rate)</f>
        <v/>
      </c>
      <c r="O394" s="165" t="str">
        <f aca="false">IF(Salary_Calculation[[#This Row],[Source Row]]="","",MAX(N(Salary_Calculation[[#This Row],[Completed Orders]])-Salary_Calculation[[#This Row],[Rider Target Orders]],0))</f>
        <v/>
      </c>
      <c r="P394" s="164" t="str">
        <f aca="false">IF(Salary_Calculation[[#This Row],[Source Row]]="","",Salary_Calculation[[#This Row],[Extra Orders]]*Extra_Rate)</f>
        <v/>
      </c>
      <c r="Q394" s="164" t="str">
        <f aca="false">IF(Salary_Calculation[[#This Row],[Source Row]]="","",MAX(Salary_Calculation[[#This Row],[Salary Before Other Deductions]],0))</f>
        <v/>
      </c>
      <c r="R394" s="164" t="str">
        <f aca="false">IF(Salary_Calculation[[#This Row],[Source Row]]="","",N(INDEX(Rider_Input[missed_days_penalty],Salary_Calculation[[#This Row],[Source Row]])))</f>
        <v/>
      </c>
      <c r="S394" s="164" t="str">
        <f aca="false">IF(Salary_Calculation[[#This Row],[Source Row]]="","",N(INDEX(Rider_Input[Rider Balance / محفظة المندوب],Salary_Calculation[[#This Row],[Source Row]])))</f>
        <v/>
      </c>
      <c r="T394" s="164" t="str">
        <f aca="false">IF(Salary_Calculation[[#This Row],[Source Row]]="","",N(INDEX(Rider_Input[stacking_deduction / خصم الطلبات المتعددة],Salary_Calculation[[#This Row],[Source Row]])))</f>
        <v/>
      </c>
      <c r="U394" s="164" t="str">
        <f aca="false">IF(Salary_Calculation[[#This Row],[Source Row]]="","",N(INDEX(Rider_Input[Other Deductions],Salary_Calculation[[#This Row],[Source Row]])))</f>
        <v/>
      </c>
      <c r="V394" s="164" t="str">
        <f aca="false">IF(Salary_Calculation[[#This Row],[Source Row]]="","",N(Salary_Calculation[[#This Row],[missed_days_penalty]])+N(Salary_Calculation[[#This Row],[Rider Balance]])+N(Salary_Calculation[[#This Row],[stacking_deduction]])+N(Salary_Calculation[[#This Row],[Other Deductions]]))</f>
        <v/>
      </c>
      <c r="W394" s="167" t="str">
        <f aca="false">IF(Salary_Calculation[[#This Row],[Source Row]]="","",ROUND(MAX(Salary_Calculation[[#This Row],[Gross Salary Before Deductions]]-Salary_Calculation[[#This Row],[Total Deductions]],0),2))</f>
        <v/>
      </c>
      <c r="X394" s="164" t="str">
        <f aca="false">IF(Salary_Calculation[[#This Row],[Source Row]]="","",ROUND(MAX(Salary_Calculation[[#This Row],[Missing-Order Deduction]]-Salary_Calculation[[#This Row],[Earned Salary]],0),2))</f>
        <v/>
      </c>
      <c r="Y39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94" s="163" t="str">
        <f aca="false">IF(Salary_Calculation[[#This Row],[Source Row]]="","",IF(INDEX(Rider_Input[Notes],Salary_Calculation[[#This Row],[Source Row]])="","",INDEX(Rider_Input[Notes],Salary_Calculation[[#This Row],[Source Row]])))</f>
        <v/>
      </c>
      <c r="AA394" s="164" t="str">
        <f aca="false">IF(Salary_Calculation[[#This Row],[Source Row]]="","",Salary_Calculation[[#This Row],[Earned Salary]]-Salary_Calculation[[#This Row],[Missing-Order Deduction]]+Salary_Calculation[[#This Row],[Extra-Order Bonus]])</f>
        <v/>
      </c>
      <c r="AB394" s="164" t="str">
        <f aca="false">IF(Salary_Calculation[[#This Row],[Source Row]]="","",ROUND(Salary_Calculation[[#This Row],[Negative Balance / Amount Due from Rider]]+MAX(Salary_Calculation[[#This Row],[Total Deductions]]-Salary_Calculation[[#This Row],[Gross Salary Before Deductions]],0),2))</f>
        <v/>
      </c>
      <c r="AC39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94" s="164" t="str">
        <f aca="false">IF(Salary_Calculation[[#This Row],[Source Row]]="","",Salary_Calculation[[#This Row],[Rider Target Orders]]*Salary_Calculation[[#This Row],[Base Order Rate]])</f>
        <v/>
      </c>
      <c r="AE394" s="162" t="str">
        <f aca="false">IF(SUMPRODUCT(--(LEN(INDEX(Rider_Input[#Data],ROW()-ROW(Salary_Calculation[#Headers]),0))&gt;0))=0,"",ROW()-ROW(Salary_Calculation[#Headers]))</f>
        <v/>
      </c>
    </row>
    <row r="395" customFormat="false" ht="14.25" hidden="false" customHeight="false" outlineLevel="0" collapsed="false">
      <c r="A395" s="161" t="str">
        <f aca="false">IF(Salary_Calculation[[#This Row],[Source Row]]="","",IF(INDEX(Rider_Input[Salary Month],Salary_Calculation[[#This Row],[Source Row]])="","",INDEX(Rider_Input[Salary Month],Salary_Calculation[[#This Row],[Source Row]])))</f>
        <v/>
      </c>
      <c r="B395" s="162" t="str">
        <f aca="false">IF(Salary_Calculation[[#This Row],[Source Row]]="","",IF(INDEX(Rider_Input[Rider ID],Salary_Calculation[[#This Row],[Source Row]])="","",INDEX(Rider_Input[Rider ID],Salary_Calculation[[#This Row],[Source Row]])))</f>
        <v/>
      </c>
      <c r="C395" s="163" t="str">
        <f aca="false">IF(Salary_Calculation[[#This Row],[Source Row]]="","",IF(INDEX(Rider_Input[Rider Name],Salary_Calculation[[#This Row],[Source Row]])="","",INDEX(Rider_Input[Rider Name],Salary_Calculation[[#This Row],[Source Row]])))</f>
        <v/>
      </c>
      <c r="D395" s="164" t="str">
        <f aca="false">IF(Salary_Calculation[[#This Row],[Source Row]]="","",IF(INDEX(Rider_Input[Basic Payment],Salary_Calculation[[#This Row],[Source Row]])="","",INDEX(Rider_Input[Basic Payment],Salary_Calculation[[#This Row],[Source Row]])))</f>
        <v/>
      </c>
      <c r="E395" s="162" t="str">
        <f aca="false">IF(Salary_Calculation[[#This Row],[Source Row]]="","",IF(INDEX(Rider_Input[Calendar Days in Month],Salary_Calculation[[#This Row],[Source Row]])="","",INDEX(Rider_Input[Calendar Days in Month],Salary_Calculation[[#This Row],[Source Row]])))</f>
        <v/>
      </c>
      <c r="F395" s="162" t="str">
        <f aca="false">IF(Salary_Calculation[[#This Row],[Source Row]]="","",IF(INDEX(Rider_Input[Working Days],Salary_Calculation[[#This Row],[Source Row]])="","",INDEX(Rider_Input[Working Days],Salary_Calculation[[#This Row],[Source Row]])))</f>
        <v/>
      </c>
      <c r="G395" s="165" t="str">
        <f aca="false">IF(Salary_Calculation[[#This Row],[Source Row]]="","",Std_Orders/Std_Days*N(Salary_Calculation[[#This Row],[Calendar Days]]))</f>
        <v/>
      </c>
      <c r="H395" s="165" t="str">
        <f aca="false">IF(Salary_Calculation[[#This Row],[Source Row]]="","",IF(N(Salary_Calculation[[#This Row],[Calendar Days]])&gt;0,Salary_Calculation[[#This Row],[Monthly Target Orders]]/N(Salary_Calculation[[#This Row],[Calendar Days]])*N(Salary_Calculation[[#This Row],[Working Days]]),0))</f>
        <v/>
      </c>
      <c r="I395" s="166" t="str">
        <f aca="false">IF(Salary_Calculation[[#This Row],[Source Row]]="","",IF(INDEX(Rider_Input[Completed Orders],Salary_Calculation[[#This Row],[Source Row]])="","",INDEX(Rider_Input[Completed Orders],Salary_Calculation[[#This Row],[Source Row]])))</f>
        <v/>
      </c>
      <c r="J395" s="165" t="str">
        <f aca="false">IF(Salary_Calculation[[#This Row],[Source Row]]="","",IF(Rate_Method="Fixed rate",Fixed_Rate,IF(N(Salary_Calculation[[#This Row],[Basic Payment]])&gt;0,N(Salary_Calculation[[#This Row],[Basic Payment]])/Std_Orders,0)))</f>
        <v/>
      </c>
      <c r="K395" s="165" t="str">
        <f aca="false">IF(Salary_Calculation[[#This Row],[Source Row]]="","",MAX(MIN(N(Salary_Calculation[[#This Row],[Completed Orders]]),Salary_Calculation[[#This Row],[Rider Target Orders]]),0))</f>
        <v/>
      </c>
      <c r="L395" s="164" t="str">
        <f aca="false">IF(Salary_Calculation[[#This Row],[Source Row]]="","",Salary_Calculation[[#This Row],[Orders Counted at Base Rate]]*Salary_Calculation[[#This Row],[Base Order Rate]])</f>
        <v/>
      </c>
      <c r="M395" s="165" t="str">
        <f aca="false">IF(Salary_Calculation[[#This Row],[Source Row]]="","",MAX(Salary_Calculation[[#This Row],[Rider Target Orders]]-N(Salary_Calculation[[#This Row],[Completed Orders]]),0))</f>
        <v/>
      </c>
      <c r="N395" s="164" t="str">
        <f aca="false">IF(Salary_Calculation[[#This Row],[Source Row]]="","",Salary_Calculation[[#This Row],[Missing Orders]]*Missing_Rate)</f>
        <v/>
      </c>
      <c r="O395" s="165" t="str">
        <f aca="false">IF(Salary_Calculation[[#This Row],[Source Row]]="","",MAX(N(Salary_Calculation[[#This Row],[Completed Orders]])-Salary_Calculation[[#This Row],[Rider Target Orders]],0))</f>
        <v/>
      </c>
      <c r="P395" s="164" t="str">
        <f aca="false">IF(Salary_Calculation[[#This Row],[Source Row]]="","",Salary_Calculation[[#This Row],[Extra Orders]]*Extra_Rate)</f>
        <v/>
      </c>
      <c r="Q395" s="164" t="str">
        <f aca="false">IF(Salary_Calculation[[#This Row],[Source Row]]="","",MAX(Salary_Calculation[[#This Row],[Salary Before Other Deductions]],0))</f>
        <v/>
      </c>
      <c r="R395" s="164" t="str">
        <f aca="false">IF(Salary_Calculation[[#This Row],[Source Row]]="","",N(INDEX(Rider_Input[missed_days_penalty],Salary_Calculation[[#This Row],[Source Row]])))</f>
        <v/>
      </c>
      <c r="S395" s="164" t="str">
        <f aca="false">IF(Salary_Calculation[[#This Row],[Source Row]]="","",N(INDEX(Rider_Input[Rider Balance / محفظة المندوب],Salary_Calculation[[#This Row],[Source Row]])))</f>
        <v/>
      </c>
      <c r="T395" s="164" t="str">
        <f aca="false">IF(Salary_Calculation[[#This Row],[Source Row]]="","",N(INDEX(Rider_Input[stacking_deduction / خصم الطلبات المتعددة],Salary_Calculation[[#This Row],[Source Row]])))</f>
        <v/>
      </c>
      <c r="U395" s="164" t="str">
        <f aca="false">IF(Salary_Calculation[[#This Row],[Source Row]]="","",N(INDEX(Rider_Input[Other Deductions],Salary_Calculation[[#This Row],[Source Row]])))</f>
        <v/>
      </c>
      <c r="V395" s="164" t="str">
        <f aca="false">IF(Salary_Calculation[[#This Row],[Source Row]]="","",N(Salary_Calculation[[#This Row],[missed_days_penalty]])+N(Salary_Calculation[[#This Row],[Rider Balance]])+N(Salary_Calculation[[#This Row],[stacking_deduction]])+N(Salary_Calculation[[#This Row],[Other Deductions]]))</f>
        <v/>
      </c>
      <c r="W395" s="167" t="str">
        <f aca="false">IF(Salary_Calculation[[#This Row],[Source Row]]="","",ROUND(MAX(Salary_Calculation[[#This Row],[Gross Salary Before Deductions]]-Salary_Calculation[[#This Row],[Total Deductions]],0),2))</f>
        <v/>
      </c>
      <c r="X395" s="164" t="str">
        <f aca="false">IF(Salary_Calculation[[#This Row],[Source Row]]="","",ROUND(MAX(Salary_Calculation[[#This Row],[Missing-Order Deduction]]-Salary_Calculation[[#This Row],[Earned Salary]],0),2))</f>
        <v/>
      </c>
      <c r="Y39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95" s="163" t="str">
        <f aca="false">IF(Salary_Calculation[[#This Row],[Source Row]]="","",IF(INDEX(Rider_Input[Notes],Salary_Calculation[[#This Row],[Source Row]])="","",INDEX(Rider_Input[Notes],Salary_Calculation[[#This Row],[Source Row]])))</f>
        <v/>
      </c>
      <c r="AA395" s="164" t="str">
        <f aca="false">IF(Salary_Calculation[[#This Row],[Source Row]]="","",Salary_Calculation[[#This Row],[Earned Salary]]-Salary_Calculation[[#This Row],[Missing-Order Deduction]]+Salary_Calculation[[#This Row],[Extra-Order Bonus]])</f>
        <v/>
      </c>
      <c r="AB395" s="164" t="str">
        <f aca="false">IF(Salary_Calculation[[#This Row],[Source Row]]="","",ROUND(Salary_Calculation[[#This Row],[Negative Balance / Amount Due from Rider]]+MAX(Salary_Calculation[[#This Row],[Total Deductions]]-Salary_Calculation[[#This Row],[Gross Salary Before Deductions]],0),2))</f>
        <v/>
      </c>
      <c r="AC39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95" s="164" t="str">
        <f aca="false">IF(Salary_Calculation[[#This Row],[Source Row]]="","",Salary_Calculation[[#This Row],[Rider Target Orders]]*Salary_Calculation[[#This Row],[Base Order Rate]])</f>
        <v/>
      </c>
      <c r="AE395" s="162" t="str">
        <f aca="false">IF(SUMPRODUCT(--(LEN(INDEX(Rider_Input[#Data],ROW()-ROW(Salary_Calculation[#Headers]),0))&gt;0))=0,"",ROW()-ROW(Salary_Calculation[#Headers]))</f>
        <v/>
      </c>
    </row>
    <row r="396" customFormat="false" ht="14.25" hidden="false" customHeight="false" outlineLevel="0" collapsed="false">
      <c r="A396" s="161" t="str">
        <f aca="false">IF(Salary_Calculation[[#This Row],[Source Row]]="","",IF(INDEX(Rider_Input[Salary Month],Salary_Calculation[[#This Row],[Source Row]])="","",INDEX(Rider_Input[Salary Month],Salary_Calculation[[#This Row],[Source Row]])))</f>
        <v/>
      </c>
      <c r="B396" s="162" t="str">
        <f aca="false">IF(Salary_Calculation[[#This Row],[Source Row]]="","",IF(INDEX(Rider_Input[Rider ID],Salary_Calculation[[#This Row],[Source Row]])="","",INDEX(Rider_Input[Rider ID],Salary_Calculation[[#This Row],[Source Row]])))</f>
        <v/>
      </c>
      <c r="C396" s="163" t="str">
        <f aca="false">IF(Salary_Calculation[[#This Row],[Source Row]]="","",IF(INDEX(Rider_Input[Rider Name],Salary_Calculation[[#This Row],[Source Row]])="","",INDEX(Rider_Input[Rider Name],Salary_Calculation[[#This Row],[Source Row]])))</f>
        <v/>
      </c>
      <c r="D396" s="164" t="str">
        <f aca="false">IF(Salary_Calculation[[#This Row],[Source Row]]="","",IF(INDEX(Rider_Input[Basic Payment],Salary_Calculation[[#This Row],[Source Row]])="","",INDEX(Rider_Input[Basic Payment],Salary_Calculation[[#This Row],[Source Row]])))</f>
        <v/>
      </c>
      <c r="E396" s="162" t="str">
        <f aca="false">IF(Salary_Calculation[[#This Row],[Source Row]]="","",IF(INDEX(Rider_Input[Calendar Days in Month],Salary_Calculation[[#This Row],[Source Row]])="","",INDEX(Rider_Input[Calendar Days in Month],Salary_Calculation[[#This Row],[Source Row]])))</f>
        <v/>
      </c>
      <c r="F396" s="162" t="str">
        <f aca="false">IF(Salary_Calculation[[#This Row],[Source Row]]="","",IF(INDEX(Rider_Input[Working Days],Salary_Calculation[[#This Row],[Source Row]])="","",INDEX(Rider_Input[Working Days],Salary_Calculation[[#This Row],[Source Row]])))</f>
        <v/>
      </c>
      <c r="G396" s="165" t="str">
        <f aca="false">IF(Salary_Calculation[[#This Row],[Source Row]]="","",Std_Orders/Std_Days*N(Salary_Calculation[[#This Row],[Calendar Days]]))</f>
        <v/>
      </c>
      <c r="H396" s="165" t="str">
        <f aca="false">IF(Salary_Calculation[[#This Row],[Source Row]]="","",IF(N(Salary_Calculation[[#This Row],[Calendar Days]])&gt;0,Salary_Calculation[[#This Row],[Monthly Target Orders]]/N(Salary_Calculation[[#This Row],[Calendar Days]])*N(Salary_Calculation[[#This Row],[Working Days]]),0))</f>
        <v/>
      </c>
      <c r="I396" s="166" t="str">
        <f aca="false">IF(Salary_Calculation[[#This Row],[Source Row]]="","",IF(INDEX(Rider_Input[Completed Orders],Salary_Calculation[[#This Row],[Source Row]])="","",INDEX(Rider_Input[Completed Orders],Salary_Calculation[[#This Row],[Source Row]])))</f>
        <v/>
      </c>
      <c r="J396" s="165" t="str">
        <f aca="false">IF(Salary_Calculation[[#This Row],[Source Row]]="","",IF(Rate_Method="Fixed rate",Fixed_Rate,IF(N(Salary_Calculation[[#This Row],[Basic Payment]])&gt;0,N(Salary_Calculation[[#This Row],[Basic Payment]])/Std_Orders,0)))</f>
        <v/>
      </c>
      <c r="K396" s="165" t="str">
        <f aca="false">IF(Salary_Calculation[[#This Row],[Source Row]]="","",MAX(MIN(N(Salary_Calculation[[#This Row],[Completed Orders]]),Salary_Calculation[[#This Row],[Rider Target Orders]]),0))</f>
        <v/>
      </c>
      <c r="L396" s="164" t="str">
        <f aca="false">IF(Salary_Calculation[[#This Row],[Source Row]]="","",Salary_Calculation[[#This Row],[Orders Counted at Base Rate]]*Salary_Calculation[[#This Row],[Base Order Rate]])</f>
        <v/>
      </c>
      <c r="M396" s="165" t="str">
        <f aca="false">IF(Salary_Calculation[[#This Row],[Source Row]]="","",MAX(Salary_Calculation[[#This Row],[Rider Target Orders]]-N(Salary_Calculation[[#This Row],[Completed Orders]]),0))</f>
        <v/>
      </c>
      <c r="N396" s="164" t="str">
        <f aca="false">IF(Salary_Calculation[[#This Row],[Source Row]]="","",Salary_Calculation[[#This Row],[Missing Orders]]*Missing_Rate)</f>
        <v/>
      </c>
      <c r="O396" s="165" t="str">
        <f aca="false">IF(Salary_Calculation[[#This Row],[Source Row]]="","",MAX(N(Salary_Calculation[[#This Row],[Completed Orders]])-Salary_Calculation[[#This Row],[Rider Target Orders]],0))</f>
        <v/>
      </c>
      <c r="P396" s="164" t="str">
        <f aca="false">IF(Salary_Calculation[[#This Row],[Source Row]]="","",Salary_Calculation[[#This Row],[Extra Orders]]*Extra_Rate)</f>
        <v/>
      </c>
      <c r="Q396" s="164" t="str">
        <f aca="false">IF(Salary_Calculation[[#This Row],[Source Row]]="","",MAX(Salary_Calculation[[#This Row],[Salary Before Other Deductions]],0))</f>
        <v/>
      </c>
      <c r="R396" s="164" t="str">
        <f aca="false">IF(Salary_Calculation[[#This Row],[Source Row]]="","",N(INDEX(Rider_Input[missed_days_penalty],Salary_Calculation[[#This Row],[Source Row]])))</f>
        <v/>
      </c>
      <c r="S396" s="164" t="str">
        <f aca="false">IF(Salary_Calculation[[#This Row],[Source Row]]="","",N(INDEX(Rider_Input[Rider Balance / محفظة المندوب],Salary_Calculation[[#This Row],[Source Row]])))</f>
        <v/>
      </c>
      <c r="T396" s="164" t="str">
        <f aca="false">IF(Salary_Calculation[[#This Row],[Source Row]]="","",N(INDEX(Rider_Input[stacking_deduction / خصم الطلبات المتعددة],Salary_Calculation[[#This Row],[Source Row]])))</f>
        <v/>
      </c>
      <c r="U396" s="164" t="str">
        <f aca="false">IF(Salary_Calculation[[#This Row],[Source Row]]="","",N(INDEX(Rider_Input[Other Deductions],Salary_Calculation[[#This Row],[Source Row]])))</f>
        <v/>
      </c>
      <c r="V396" s="164" t="str">
        <f aca="false">IF(Salary_Calculation[[#This Row],[Source Row]]="","",N(Salary_Calculation[[#This Row],[missed_days_penalty]])+N(Salary_Calculation[[#This Row],[Rider Balance]])+N(Salary_Calculation[[#This Row],[stacking_deduction]])+N(Salary_Calculation[[#This Row],[Other Deductions]]))</f>
        <v/>
      </c>
      <c r="W396" s="167" t="str">
        <f aca="false">IF(Salary_Calculation[[#This Row],[Source Row]]="","",ROUND(MAX(Salary_Calculation[[#This Row],[Gross Salary Before Deductions]]-Salary_Calculation[[#This Row],[Total Deductions]],0),2))</f>
        <v/>
      </c>
      <c r="X396" s="164" t="str">
        <f aca="false">IF(Salary_Calculation[[#This Row],[Source Row]]="","",ROUND(MAX(Salary_Calculation[[#This Row],[Missing-Order Deduction]]-Salary_Calculation[[#This Row],[Earned Salary]],0),2))</f>
        <v/>
      </c>
      <c r="Y39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96" s="163" t="str">
        <f aca="false">IF(Salary_Calculation[[#This Row],[Source Row]]="","",IF(INDEX(Rider_Input[Notes],Salary_Calculation[[#This Row],[Source Row]])="","",INDEX(Rider_Input[Notes],Salary_Calculation[[#This Row],[Source Row]])))</f>
        <v/>
      </c>
      <c r="AA396" s="164" t="str">
        <f aca="false">IF(Salary_Calculation[[#This Row],[Source Row]]="","",Salary_Calculation[[#This Row],[Earned Salary]]-Salary_Calculation[[#This Row],[Missing-Order Deduction]]+Salary_Calculation[[#This Row],[Extra-Order Bonus]])</f>
        <v/>
      </c>
      <c r="AB396" s="164" t="str">
        <f aca="false">IF(Salary_Calculation[[#This Row],[Source Row]]="","",ROUND(Salary_Calculation[[#This Row],[Negative Balance / Amount Due from Rider]]+MAX(Salary_Calculation[[#This Row],[Total Deductions]]-Salary_Calculation[[#This Row],[Gross Salary Before Deductions]],0),2))</f>
        <v/>
      </c>
      <c r="AC39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96" s="164" t="str">
        <f aca="false">IF(Salary_Calculation[[#This Row],[Source Row]]="","",Salary_Calculation[[#This Row],[Rider Target Orders]]*Salary_Calculation[[#This Row],[Base Order Rate]])</f>
        <v/>
      </c>
      <c r="AE396" s="162" t="str">
        <f aca="false">IF(SUMPRODUCT(--(LEN(INDEX(Rider_Input[#Data],ROW()-ROW(Salary_Calculation[#Headers]),0))&gt;0))=0,"",ROW()-ROW(Salary_Calculation[#Headers]))</f>
        <v/>
      </c>
    </row>
    <row r="397" customFormat="false" ht="14.25" hidden="false" customHeight="false" outlineLevel="0" collapsed="false">
      <c r="A397" s="161" t="str">
        <f aca="false">IF(Salary_Calculation[[#This Row],[Source Row]]="","",IF(INDEX(Rider_Input[Salary Month],Salary_Calculation[[#This Row],[Source Row]])="","",INDEX(Rider_Input[Salary Month],Salary_Calculation[[#This Row],[Source Row]])))</f>
        <v/>
      </c>
      <c r="B397" s="162" t="str">
        <f aca="false">IF(Salary_Calculation[[#This Row],[Source Row]]="","",IF(INDEX(Rider_Input[Rider ID],Salary_Calculation[[#This Row],[Source Row]])="","",INDEX(Rider_Input[Rider ID],Salary_Calculation[[#This Row],[Source Row]])))</f>
        <v/>
      </c>
      <c r="C397" s="163" t="str">
        <f aca="false">IF(Salary_Calculation[[#This Row],[Source Row]]="","",IF(INDEX(Rider_Input[Rider Name],Salary_Calculation[[#This Row],[Source Row]])="","",INDEX(Rider_Input[Rider Name],Salary_Calculation[[#This Row],[Source Row]])))</f>
        <v/>
      </c>
      <c r="D397" s="164" t="str">
        <f aca="false">IF(Salary_Calculation[[#This Row],[Source Row]]="","",IF(INDEX(Rider_Input[Basic Payment],Salary_Calculation[[#This Row],[Source Row]])="","",INDEX(Rider_Input[Basic Payment],Salary_Calculation[[#This Row],[Source Row]])))</f>
        <v/>
      </c>
      <c r="E397" s="162" t="str">
        <f aca="false">IF(Salary_Calculation[[#This Row],[Source Row]]="","",IF(INDEX(Rider_Input[Calendar Days in Month],Salary_Calculation[[#This Row],[Source Row]])="","",INDEX(Rider_Input[Calendar Days in Month],Salary_Calculation[[#This Row],[Source Row]])))</f>
        <v/>
      </c>
      <c r="F397" s="162" t="str">
        <f aca="false">IF(Salary_Calculation[[#This Row],[Source Row]]="","",IF(INDEX(Rider_Input[Working Days],Salary_Calculation[[#This Row],[Source Row]])="","",INDEX(Rider_Input[Working Days],Salary_Calculation[[#This Row],[Source Row]])))</f>
        <v/>
      </c>
      <c r="G397" s="165" t="str">
        <f aca="false">IF(Salary_Calculation[[#This Row],[Source Row]]="","",Std_Orders/Std_Days*N(Salary_Calculation[[#This Row],[Calendar Days]]))</f>
        <v/>
      </c>
      <c r="H397" s="165" t="str">
        <f aca="false">IF(Salary_Calculation[[#This Row],[Source Row]]="","",IF(N(Salary_Calculation[[#This Row],[Calendar Days]])&gt;0,Salary_Calculation[[#This Row],[Monthly Target Orders]]/N(Salary_Calculation[[#This Row],[Calendar Days]])*N(Salary_Calculation[[#This Row],[Working Days]]),0))</f>
        <v/>
      </c>
      <c r="I397" s="166" t="str">
        <f aca="false">IF(Salary_Calculation[[#This Row],[Source Row]]="","",IF(INDEX(Rider_Input[Completed Orders],Salary_Calculation[[#This Row],[Source Row]])="","",INDEX(Rider_Input[Completed Orders],Salary_Calculation[[#This Row],[Source Row]])))</f>
        <v/>
      </c>
      <c r="J397" s="165" t="str">
        <f aca="false">IF(Salary_Calculation[[#This Row],[Source Row]]="","",IF(Rate_Method="Fixed rate",Fixed_Rate,IF(N(Salary_Calculation[[#This Row],[Basic Payment]])&gt;0,N(Salary_Calculation[[#This Row],[Basic Payment]])/Std_Orders,0)))</f>
        <v/>
      </c>
      <c r="K397" s="165" t="str">
        <f aca="false">IF(Salary_Calculation[[#This Row],[Source Row]]="","",MAX(MIN(N(Salary_Calculation[[#This Row],[Completed Orders]]),Salary_Calculation[[#This Row],[Rider Target Orders]]),0))</f>
        <v/>
      </c>
      <c r="L397" s="164" t="str">
        <f aca="false">IF(Salary_Calculation[[#This Row],[Source Row]]="","",Salary_Calculation[[#This Row],[Orders Counted at Base Rate]]*Salary_Calculation[[#This Row],[Base Order Rate]])</f>
        <v/>
      </c>
      <c r="M397" s="165" t="str">
        <f aca="false">IF(Salary_Calculation[[#This Row],[Source Row]]="","",MAX(Salary_Calculation[[#This Row],[Rider Target Orders]]-N(Salary_Calculation[[#This Row],[Completed Orders]]),0))</f>
        <v/>
      </c>
      <c r="N397" s="164" t="str">
        <f aca="false">IF(Salary_Calculation[[#This Row],[Source Row]]="","",Salary_Calculation[[#This Row],[Missing Orders]]*Missing_Rate)</f>
        <v/>
      </c>
      <c r="O397" s="165" t="str">
        <f aca="false">IF(Salary_Calculation[[#This Row],[Source Row]]="","",MAX(N(Salary_Calculation[[#This Row],[Completed Orders]])-Salary_Calculation[[#This Row],[Rider Target Orders]],0))</f>
        <v/>
      </c>
      <c r="P397" s="164" t="str">
        <f aca="false">IF(Salary_Calculation[[#This Row],[Source Row]]="","",Salary_Calculation[[#This Row],[Extra Orders]]*Extra_Rate)</f>
        <v/>
      </c>
      <c r="Q397" s="164" t="str">
        <f aca="false">IF(Salary_Calculation[[#This Row],[Source Row]]="","",MAX(Salary_Calculation[[#This Row],[Salary Before Other Deductions]],0))</f>
        <v/>
      </c>
      <c r="R397" s="164" t="str">
        <f aca="false">IF(Salary_Calculation[[#This Row],[Source Row]]="","",N(INDEX(Rider_Input[missed_days_penalty],Salary_Calculation[[#This Row],[Source Row]])))</f>
        <v/>
      </c>
      <c r="S397" s="164" t="str">
        <f aca="false">IF(Salary_Calculation[[#This Row],[Source Row]]="","",N(INDEX(Rider_Input[Rider Balance / محفظة المندوب],Salary_Calculation[[#This Row],[Source Row]])))</f>
        <v/>
      </c>
      <c r="T397" s="164" t="str">
        <f aca="false">IF(Salary_Calculation[[#This Row],[Source Row]]="","",N(INDEX(Rider_Input[stacking_deduction / خصم الطلبات المتعددة],Salary_Calculation[[#This Row],[Source Row]])))</f>
        <v/>
      </c>
      <c r="U397" s="164" t="str">
        <f aca="false">IF(Salary_Calculation[[#This Row],[Source Row]]="","",N(INDEX(Rider_Input[Other Deductions],Salary_Calculation[[#This Row],[Source Row]])))</f>
        <v/>
      </c>
      <c r="V397" s="164" t="str">
        <f aca="false">IF(Salary_Calculation[[#This Row],[Source Row]]="","",N(Salary_Calculation[[#This Row],[missed_days_penalty]])+N(Salary_Calculation[[#This Row],[Rider Balance]])+N(Salary_Calculation[[#This Row],[stacking_deduction]])+N(Salary_Calculation[[#This Row],[Other Deductions]]))</f>
        <v/>
      </c>
      <c r="W397" s="167" t="str">
        <f aca="false">IF(Salary_Calculation[[#This Row],[Source Row]]="","",ROUND(MAX(Salary_Calculation[[#This Row],[Gross Salary Before Deductions]]-Salary_Calculation[[#This Row],[Total Deductions]],0),2))</f>
        <v/>
      </c>
      <c r="X397" s="164" t="str">
        <f aca="false">IF(Salary_Calculation[[#This Row],[Source Row]]="","",ROUND(MAX(Salary_Calculation[[#This Row],[Missing-Order Deduction]]-Salary_Calculation[[#This Row],[Earned Salary]],0),2))</f>
        <v/>
      </c>
      <c r="Y39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97" s="163" t="str">
        <f aca="false">IF(Salary_Calculation[[#This Row],[Source Row]]="","",IF(INDEX(Rider_Input[Notes],Salary_Calculation[[#This Row],[Source Row]])="","",INDEX(Rider_Input[Notes],Salary_Calculation[[#This Row],[Source Row]])))</f>
        <v/>
      </c>
      <c r="AA397" s="164" t="str">
        <f aca="false">IF(Salary_Calculation[[#This Row],[Source Row]]="","",Salary_Calculation[[#This Row],[Earned Salary]]-Salary_Calculation[[#This Row],[Missing-Order Deduction]]+Salary_Calculation[[#This Row],[Extra-Order Bonus]])</f>
        <v/>
      </c>
      <c r="AB397" s="164" t="str">
        <f aca="false">IF(Salary_Calculation[[#This Row],[Source Row]]="","",ROUND(Salary_Calculation[[#This Row],[Negative Balance / Amount Due from Rider]]+MAX(Salary_Calculation[[#This Row],[Total Deductions]]-Salary_Calculation[[#This Row],[Gross Salary Before Deductions]],0),2))</f>
        <v/>
      </c>
      <c r="AC39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97" s="164" t="str">
        <f aca="false">IF(Salary_Calculation[[#This Row],[Source Row]]="","",Salary_Calculation[[#This Row],[Rider Target Orders]]*Salary_Calculation[[#This Row],[Base Order Rate]])</f>
        <v/>
      </c>
      <c r="AE397" s="162" t="str">
        <f aca="false">IF(SUMPRODUCT(--(LEN(INDEX(Rider_Input[#Data],ROW()-ROW(Salary_Calculation[#Headers]),0))&gt;0))=0,"",ROW()-ROW(Salary_Calculation[#Headers]))</f>
        <v/>
      </c>
    </row>
    <row r="398" customFormat="false" ht="14.25" hidden="false" customHeight="false" outlineLevel="0" collapsed="false">
      <c r="A398" s="161" t="str">
        <f aca="false">IF(Salary_Calculation[[#This Row],[Source Row]]="","",IF(INDEX(Rider_Input[Salary Month],Salary_Calculation[[#This Row],[Source Row]])="","",INDEX(Rider_Input[Salary Month],Salary_Calculation[[#This Row],[Source Row]])))</f>
        <v/>
      </c>
      <c r="B398" s="162" t="str">
        <f aca="false">IF(Salary_Calculation[[#This Row],[Source Row]]="","",IF(INDEX(Rider_Input[Rider ID],Salary_Calculation[[#This Row],[Source Row]])="","",INDEX(Rider_Input[Rider ID],Salary_Calculation[[#This Row],[Source Row]])))</f>
        <v/>
      </c>
      <c r="C398" s="163" t="str">
        <f aca="false">IF(Salary_Calculation[[#This Row],[Source Row]]="","",IF(INDEX(Rider_Input[Rider Name],Salary_Calculation[[#This Row],[Source Row]])="","",INDEX(Rider_Input[Rider Name],Salary_Calculation[[#This Row],[Source Row]])))</f>
        <v/>
      </c>
      <c r="D398" s="164" t="str">
        <f aca="false">IF(Salary_Calculation[[#This Row],[Source Row]]="","",IF(INDEX(Rider_Input[Basic Payment],Salary_Calculation[[#This Row],[Source Row]])="","",INDEX(Rider_Input[Basic Payment],Salary_Calculation[[#This Row],[Source Row]])))</f>
        <v/>
      </c>
      <c r="E398" s="162" t="str">
        <f aca="false">IF(Salary_Calculation[[#This Row],[Source Row]]="","",IF(INDEX(Rider_Input[Calendar Days in Month],Salary_Calculation[[#This Row],[Source Row]])="","",INDEX(Rider_Input[Calendar Days in Month],Salary_Calculation[[#This Row],[Source Row]])))</f>
        <v/>
      </c>
      <c r="F398" s="162" t="str">
        <f aca="false">IF(Salary_Calculation[[#This Row],[Source Row]]="","",IF(INDEX(Rider_Input[Working Days],Salary_Calculation[[#This Row],[Source Row]])="","",INDEX(Rider_Input[Working Days],Salary_Calculation[[#This Row],[Source Row]])))</f>
        <v/>
      </c>
      <c r="G398" s="165" t="str">
        <f aca="false">IF(Salary_Calculation[[#This Row],[Source Row]]="","",Std_Orders/Std_Days*N(Salary_Calculation[[#This Row],[Calendar Days]]))</f>
        <v/>
      </c>
      <c r="H398" s="165" t="str">
        <f aca="false">IF(Salary_Calculation[[#This Row],[Source Row]]="","",IF(N(Salary_Calculation[[#This Row],[Calendar Days]])&gt;0,Salary_Calculation[[#This Row],[Monthly Target Orders]]/N(Salary_Calculation[[#This Row],[Calendar Days]])*N(Salary_Calculation[[#This Row],[Working Days]]),0))</f>
        <v/>
      </c>
      <c r="I398" s="166" t="str">
        <f aca="false">IF(Salary_Calculation[[#This Row],[Source Row]]="","",IF(INDEX(Rider_Input[Completed Orders],Salary_Calculation[[#This Row],[Source Row]])="","",INDEX(Rider_Input[Completed Orders],Salary_Calculation[[#This Row],[Source Row]])))</f>
        <v/>
      </c>
      <c r="J398" s="165" t="str">
        <f aca="false">IF(Salary_Calculation[[#This Row],[Source Row]]="","",IF(Rate_Method="Fixed rate",Fixed_Rate,IF(N(Salary_Calculation[[#This Row],[Basic Payment]])&gt;0,N(Salary_Calculation[[#This Row],[Basic Payment]])/Std_Orders,0)))</f>
        <v/>
      </c>
      <c r="K398" s="165" t="str">
        <f aca="false">IF(Salary_Calculation[[#This Row],[Source Row]]="","",MAX(MIN(N(Salary_Calculation[[#This Row],[Completed Orders]]),Salary_Calculation[[#This Row],[Rider Target Orders]]),0))</f>
        <v/>
      </c>
      <c r="L398" s="164" t="str">
        <f aca="false">IF(Salary_Calculation[[#This Row],[Source Row]]="","",Salary_Calculation[[#This Row],[Orders Counted at Base Rate]]*Salary_Calculation[[#This Row],[Base Order Rate]])</f>
        <v/>
      </c>
      <c r="M398" s="165" t="str">
        <f aca="false">IF(Salary_Calculation[[#This Row],[Source Row]]="","",MAX(Salary_Calculation[[#This Row],[Rider Target Orders]]-N(Salary_Calculation[[#This Row],[Completed Orders]]),0))</f>
        <v/>
      </c>
      <c r="N398" s="164" t="str">
        <f aca="false">IF(Salary_Calculation[[#This Row],[Source Row]]="","",Salary_Calculation[[#This Row],[Missing Orders]]*Missing_Rate)</f>
        <v/>
      </c>
      <c r="O398" s="165" t="str">
        <f aca="false">IF(Salary_Calculation[[#This Row],[Source Row]]="","",MAX(N(Salary_Calculation[[#This Row],[Completed Orders]])-Salary_Calculation[[#This Row],[Rider Target Orders]],0))</f>
        <v/>
      </c>
      <c r="P398" s="164" t="str">
        <f aca="false">IF(Salary_Calculation[[#This Row],[Source Row]]="","",Salary_Calculation[[#This Row],[Extra Orders]]*Extra_Rate)</f>
        <v/>
      </c>
      <c r="Q398" s="164" t="str">
        <f aca="false">IF(Salary_Calculation[[#This Row],[Source Row]]="","",MAX(Salary_Calculation[[#This Row],[Salary Before Other Deductions]],0))</f>
        <v/>
      </c>
      <c r="R398" s="164" t="str">
        <f aca="false">IF(Salary_Calculation[[#This Row],[Source Row]]="","",N(INDEX(Rider_Input[missed_days_penalty],Salary_Calculation[[#This Row],[Source Row]])))</f>
        <v/>
      </c>
      <c r="S398" s="164" t="str">
        <f aca="false">IF(Salary_Calculation[[#This Row],[Source Row]]="","",N(INDEX(Rider_Input[Rider Balance / محفظة المندوب],Salary_Calculation[[#This Row],[Source Row]])))</f>
        <v/>
      </c>
      <c r="T398" s="164" t="str">
        <f aca="false">IF(Salary_Calculation[[#This Row],[Source Row]]="","",N(INDEX(Rider_Input[stacking_deduction / خصم الطلبات المتعددة],Salary_Calculation[[#This Row],[Source Row]])))</f>
        <v/>
      </c>
      <c r="U398" s="164" t="str">
        <f aca="false">IF(Salary_Calculation[[#This Row],[Source Row]]="","",N(INDEX(Rider_Input[Other Deductions],Salary_Calculation[[#This Row],[Source Row]])))</f>
        <v/>
      </c>
      <c r="V398" s="164" t="str">
        <f aca="false">IF(Salary_Calculation[[#This Row],[Source Row]]="","",N(Salary_Calculation[[#This Row],[missed_days_penalty]])+N(Salary_Calculation[[#This Row],[Rider Balance]])+N(Salary_Calculation[[#This Row],[stacking_deduction]])+N(Salary_Calculation[[#This Row],[Other Deductions]]))</f>
        <v/>
      </c>
      <c r="W398" s="167" t="str">
        <f aca="false">IF(Salary_Calculation[[#This Row],[Source Row]]="","",ROUND(MAX(Salary_Calculation[[#This Row],[Gross Salary Before Deductions]]-Salary_Calculation[[#This Row],[Total Deductions]],0),2))</f>
        <v/>
      </c>
      <c r="X398" s="164" t="str">
        <f aca="false">IF(Salary_Calculation[[#This Row],[Source Row]]="","",ROUND(MAX(Salary_Calculation[[#This Row],[Missing-Order Deduction]]-Salary_Calculation[[#This Row],[Earned Salary]],0),2))</f>
        <v/>
      </c>
      <c r="Y39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98" s="163" t="str">
        <f aca="false">IF(Salary_Calculation[[#This Row],[Source Row]]="","",IF(INDEX(Rider_Input[Notes],Salary_Calculation[[#This Row],[Source Row]])="","",INDEX(Rider_Input[Notes],Salary_Calculation[[#This Row],[Source Row]])))</f>
        <v/>
      </c>
      <c r="AA398" s="164" t="str">
        <f aca="false">IF(Salary_Calculation[[#This Row],[Source Row]]="","",Salary_Calculation[[#This Row],[Earned Salary]]-Salary_Calculation[[#This Row],[Missing-Order Deduction]]+Salary_Calculation[[#This Row],[Extra-Order Bonus]])</f>
        <v/>
      </c>
      <c r="AB398" s="164" t="str">
        <f aca="false">IF(Salary_Calculation[[#This Row],[Source Row]]="","",ROUND(Salary_Calculation[[#This Row],[Negative Balance / Amount Due from Rider]]+MAX(Salary_Calculation[[#This Row],[Total Deductions]]-Salary_Calculation[[#This Row],[Gross Salary Before Deductions]],0),2))</f>
        <v/>
      </c>
      <c r="AC39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98" s="164" t="str">
        <f aca="false">IF(Salary_Calculation[[#This Row],[Source Row]]="","",Salary_Calculation[[#This Row],[Rider Target Orders]]*Salary_Calculation[[#This Row],[Base Order Rate]])</f>
        <v/>
      </c>
      <c r="AE398" s="162" t="str">
        <f aca="false">IF(SUMPRODUCT(--(LEN(INDEX(Rider_Input[#Data],ROW()-ROW(Salary_Calculation[#Headers]),0))&gt;0))=0,"",ROW()-ROW(Salary_Calculation[#Headers]))</f>
        <v/>
      </c>
    </row>
    <row r="399" customFormat="false" ht="14.25" hidden="false" customHeight="false" outlineLevel="0" collapsed="false">
      <c r="A399" s="161" t="str">
        <f aca="false">IF(Salary_Calculation[[#This Row],[Source Row]]="","",IF(INDEX(Rider_Input[Salary Month],Salary_Calculation[[#This Row],[Source Row]])="","",INDEX(Rider_Input[Salary Month],Salary_Calculation[[#This Row],[Source Row]])))</f>
        <v/>
      </c>
      <c r="B399" s="162" t="str">
        <f aca="false">IF(Salary_Calculation[[#This Row],[Source Row]]="","",IF(INDEX(Rider_Input[Rider ID],Salary_Calculation[[#This Row],[Source Row]])="","",INDEX(Rider_Input[Rider ID],Salary_Calculation[[#This Row],[Source Row]])))</f>
        <v/>
      </c>
      <c r="C399" s="163" t="str">
        <f aca="false">IF(Salary_Calculation[[#This Row],[Source Row]]="","",IF(INDEX(Rider_Input[Rider Name],Salary_Calculation[[#This Row],[Source Row]])="","",INDEX(Rider_Input[Rider Name],Salary_Calculation[[#This Row],[Source Row]])))</f>
        <v/>
      </c>
      <c r="D399" s="164" t="str">
        <f aca="false">IF(Salary_Calculation[[#This Row],[Source Row]]="","",IF(INDEX(Rider_Input[Basic Payment],Salary_Calculation[[#This Row],[Source Row]])="","",INDEX(Rider_Input[Basic Payment],Salary_Calculation[[#This Row],[Source Row]])))</f>
        <v/>
      </c>
      <c r="E399" s="162" t="str">
        <f aca="false">IF(Salary_Calculation[[#This Row],[Source Row]]="","",IF(INDEX(Rider_Input[Calendar Days in Month],Salary_Calculation[[#This Row],[Source Row]])="","",INDEX(Rider_Input[Calendar Days in Month],Salary_Calculation[[#This Row],[Source Row]])))</f>
        <v/>
      </c>
      <c r="F399" s="162" t="str">
        <f aca="false">IF(Salary_Calculation[[#This Row],[Source Row]]="","",IF(INDEX(Rider_Input[Working Days],Salary_Calculation[[#This Row],[Source Row]])="","",INDEX(Rider_Input[Working Days],Salary_Calculation[[#This Row],[Source Row]])))</f>
        <v/>
      </c>
      <c r="G399" s="165" t="str">
        <f aca="false">IF(Salary_Calculation[[#This Row],[Source Row]]="","",Std_Orders/Std_Days*N(Salary_Calculation[[#This Row],[Calendar Days]]))</f>
        <v/>
      </c>
      <c r="H399" s="165" t="str">
        <f aca="false">IF(Salary_Calculation[[#This Row],[Source Row]]="","",IF(N(Salary_Calculation[[#This Row],[Calendar Days]])&gt;0,Salary_Calculation[[#This Row],[Monthly Target Orders]]/N(Salary_Calculation[[#This Row],[Calendar Days]])*N(Salary_Calculation[[#This Row],[Working Days]]),0))</f>
        <v/>
      </c>
      <c r="I399" s="166" t="str">
        <f aca="false">IF(Salary_Calculation[[#This Row],[Source Row]]="","",IF(INDEX(Rider_Input[Completed Orders],Salary_Calculation[[#This Row],[Source Row]])="","",INDEX(Rider_Input[Completed Orders],Salary_Calculation[[#This Row],[Source Row]])))</f>
        <v/>
      </c>
      <c r="J399" s="165" t="str">
        <f aca="false">IF(Salary_Calculation[[#This Row],[Source Row]]="","",IF(Rate_Method="Fixed rate",Fixed_Rate,IF(N(Salary_Calculation[[#This Row],[Basic Payment]])&gt;0,N(Salary_Calculation[[#This Row],[Basic Payment]])/Std_Orders,0)))</f>
        <v/>
      </c>
      <c r="K399" s="165" t="str">
        <f aca="false">IF(Salary_Calculation[[#This Row],[Source Row]]="","",MAX(MIN(N(Salary_Calculation[[#This Row],[Completed Orders]]),Salary_Calculation[[#This Row],[Rider Target Orders]]),0))</f>
        <v/>
      </c>
      <c r="L399" s="164" t="str">
        <f aca="false">IF(Salary_Calculation[[#This Row],[Source Row]]="","",Salary_Calculation[[#This Row],[Orders Counted at Base Rate]]*Salary_Calculation[[#This Row],[Base Order Rate]])</f>
        <v/>
      </c>
      <c r="M399" s="165" t="str">
        <f aca="false">IF(Salary_Calculation[[#This Row],[Source Row]]="","",MAX(Salary_Calculation[[#This Row],[Rider Target Orders]]-N(Salary_Calculation[[#This Row],[Completed Orders]]),0))</f>
        <v/>
      </c>
      <c r="N399" s="164" t="str">
        <f aca="false">IF(Salary_Calculation[[#This Row],[Source Row]]="","",Salary_Calculation[[#This Row],[Missing Orders]]*Missing_Rate)</f>
        <v/>
      </c>
      <c r="O399" s="165" t="str">
        <f aca="false">IF(Salary_Calculation[[#This Row],[Source Row]]="","",MAX(N(Salary_Calculation[[#This Row],[Completed Orders]])-Salary_Calculation[[#This Row],[Rider Target Orders]],0))</f>
        <v/>
      </c>
      <c r="P399" s="164" t="str">
        <f aca="false">IF(Salary_Calculation[[#This Row],[Source Row]]="","",Salary_Calculation[[#This Row],[Extra Orders]]*Extra_Rate)</f>
        <v/>
      </c>
      <c r="Q399" s="164" t="str">
        <f aca="false">IF(Salary_Calculation[[#This Row],[Source Row]]="","",MAX(Salary_Calculation[[#This Row],[Salary Before Other Deductions]],0))</f>
        <v/>
      </c>
      <c r="R399" s="164" t="str">
        <f aca="false">IF(Salary_Calculation[[#This Row],[Source Row]]="","",N(INDEX(Rider_Input[missed_days_penalty],Salary_Calculation[[#This Row],[Source Row]])))</f>
        <v/>
      </c>
      <c r="S399" s="164" t="str">
        <f aca="false">IF(Salary_Calculation[[#This Row],[Source Row]]="","",N(INDEX(Rider_Input[Rider Balance / محفظة المندوب],Salary_Calculation[[#This Row],[Source Row]])))</f>
        <v/>
      </c>
      <c r="T399" s="164" t="str">
        <f aca="false">IF(Salary_Calculation[[#This Row],[Source Row]]="","",N(INDEX(Rider_Input[stacking_deduction / خصم الطلبات المتعددة],Salary_Calculation[[#This Row],[Source Row]])))</f>
        <v/>
      </c>
      <c r="U399" s="164" t="str">
        <f aca="false">IF(Salary_Calculation[[#This Row],[Source Row]]="","",N(INDEX(Rider_Input[Other Deductions],Salary_Calculation[[#This Row],[Source Row]])))</f>
        <v/>
      </c>
      <c r="V399" s="164" t="str">
        <f aca="false">IF(Salary_Calculation[[#This Row],[Source Row]]="","",N(Salary_Calculation[[#This Row],[missed_days_penalty]])+N(Salary_Calculation[[#This Row],[Rider Balance]])+N(Salary_Calculation[[#This Row],[stacking_deduction]])+N(Salary_Calculation[[#This Row],[Other Deductions]]))</f>
        <v/>
      </c>
      <c r="W399" s="167" t="str">
        <f aca="false">IF(Salary_Calculation[[#This Row],[Source Row]]="","",ROUND(MAX(Salary_Calculation[[#This Row],[Gross Salary Before Deductions]]-Salary_Calculation[[#This Row],[Total Deductions]],0),2))</f>
        <v/>
      </c>
      <c r="X399" s="164" t="str">
        <f aca="false">IF(Salary_Calculation[[#This Row],[Source Row]]="","",ROUND(MAX(Salary_Calculation[[#This Row],[Missing-Order Deduction]]-Salary_Calculation[[#This Row],[Earned Salary]],0),2))</f>
        <v/>
      </c>
      <c r="Y39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399" s="163" t="str">
        <f aca="false">IF(Salary_Calculation[[#This Row],[Source Row]]="","",IF(INDEX(Rider_Input[Notes],Salary_Calculation[[#This Row],[Source Row]])="","",INDEX(Rider_Input[Notes],Salary_Calculation[[#This Row],[Source Row]])))</f>
        <v/>
      </c>
      <c r="AA399" s="164" t="str">
        <f aca="false">IF(Salary_Calculation[[#This Row],[Source Row]]="","",Salary_Calculation[[#This Row],[Earned Salary]]-Salary_Calculation[[#This Row],[Missing-Order Deduction]]+Salary_Calculation[[#This Row],[Extra-Order Bonus]])</f>
        <v/>
      </c>
      <c r="AB399" s="164" t="str">
        <f aca="false">IF(Salary_Calculation[[#This Row],[Source Row]]="","",ROUND(Salary_Calculation[[#This Row],[Negative Balance / Amount Due from Rider]]+MAX(Salary_Calculation[[#This Row],[Total Deductions]]-Salary_Calculation[[#This Row],[Gross Salary Before Deductions]],0),2))</f>
        <v/>
      </c>
      <c r="AC39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399" s="164" t="str">
        <f aca="false">IF(Salary_Calculation[[#This Row],[Source Row]]="","",Salary_Calculation[[#This Row],[Rider Target Orders]]*Salary_Calculation[[#This Row],[Base Order Rate]])</f>
        <v/>
      </c>
      <c r="AE399" s="162" t="str">
        <f aca="false">IF(SUMPRODUCT(--(LEN(INDEX(Rider_Input[#Data],ROW()-ROW(Salary_Calculation[#Headers]),0))&gt;0))=0,"",ROW()-ROW(Salary_Calculation[#Headers]))</f>
        <v/>
      </c>
    </row>
    <row r="400" customFormat="false" ht="14.25" hidden="false" customHeight="false" outlineLevel="0" collapsed="false">
      <c r="A400" s="161" t="str">
        <f aca="false">IF(Salary_Calculation[[#This Row],[Source Row]]="","",IF(INDEX(Rider_Input[Salary Month],Salary_Calculation[[#This Row],[Source Row]])="","",INDEX(Rider_Input[Salary Month],Salary_Calculation[[#This Row],[Source Row]])))</f>
        <v/>
      </c>
      <c r="B400" s="162" t="str">
        <f aca="false">IF(Salary_Calculation[[#This Row],[Source Row]]="","",IF(INDEX(Rider_Input[Rider ID],Salary_Calculation[[#This Row],[Source Row]])="","",INDEX(Rider_Input[Rider ID],Salary_Calculation[[#This Row],[Source Row]])))</f>
        <v/>
      </c>
      <c r="C400" s="163" t="str">
        <f aca="false">IF(Salary_Calculation[[#This Row],[Source Row]]="","",IF(INDEX(Rider_Input[Rider Name],Salary_Calculation[[#This Row],[Source Row]])="","",INDEX(Rider_Input[Rider Name],Salary_Calculation[[#This Row],[Source Row]])))</f>
        <v/>
      </c>
      <c r="D400" s="164" t="str">
        <f aca="false">IF(Salary_Calculation[[#This Row],[Source Row]]="","",IF(INDEX(Rider_Input[Basic Payment],Salary_Calculation[[#This Row],[Source Row]])="","",INDEX(Rider_Input[Basic Payment],Salary_Calculation[[#This Row],[Source Row]])))</f>
        <v/>
      </c>
      <c r="E400" s="162" t="str">
        <f aca="false">IF(Salary_Calculation[[#This Row],[Source Row]]="","",IF(INDEX(Rider_Input[Calendar Days in Month],Salary_Calculation[[#This Row],[Source Row]])="","",INDEX(Rider_Input[Calendar Days in Month],Salary_Calculation[[#This Row],[Source Row]])))</f>
        <v/>
      </c>
      <c r="F400" s="162" t="str">
        <f aca="false">IF(Salary_Calculation[[#This Row],[Source Row]]="","",IF(INDEX(Rider_Input[Working Days],Salary_Calculation[[#This Row],[Source Row]])="","",INDEX(Rider_Input[Working Days],Salary_Calculation[[#This Row],[Source Row]])))</f>
        <v/>
      </c>
      <c r="G400" s="165" t="str">
        <f aca="false">IF(Salary_Calculation[[#This Row],[Source Row]]="","",Std_Orders/Std_Days*N(Salary_Calculation[[#This Row],[Calendar Days]]))</f>
        <v/>
      </c>
      <c r="H400" s="165" t="str">
        <f aca="false">IF(Salary_Calculation[[#This Row],[Source Row]]="","",IF(N(Salary_Calculation[[#This Row],[Calendar Days]])&gt;0,Salary_Calculation[[#This Row],[Monthly Target Orders]]/N(Salary_Calculation[[#This Row],[Calendar Days]])*N(Salary_Calculation[[#This Row],[Working Days]]),0))</f>
        <v/>
      </c>
      <c r="I400" s="166" t="str">
        <f aca="false">IF(Salary_Calculation[[#This Row],[Source Row]]="","",IF(INDEX(Rider_Input[Completed Orders],Salary_Calculation[[#This Row],[Source Row]])="","",INDEX(Rider_Input[Completed Orders],Salary_Calculation[[#This Row],[Source Row]])))</f>
        <v/>
      </c>
      <c r="J400" s="165" t="str">
        <f aca="false">IF(Salary_Calculation[[#This Row],[Source Row]]="","",IF(Rate_Method="Fixed rate",Fixed_Rate,IF(N(Salary_Calculation[[#This Row],[Basic Payment]])&gt;0,N(Salary_Calculation[[#This Row],[Basic Payment]])/Std_Orders,0)))</f>
        <v/>
      </c>
      <c r="K400" s="165" t="str">
        <f aca="false">IF(Salary_Calculation[[#This Row],[Source Row]]="","",MAX(MIN(N(Salary_Calculation[[#This Row],[Completed Orders]]),Salary_Calculation[[#This Row],[Rider Target Orders]]),0))</f>
        <v/>
      </c>
      <c r="L400" s="164" t="str">
        <f aca="false">IF(Salary_Calculation[[#This Row],[Source Row]]="","",Salary_Calculation[[#This Row],[Orders Counted at Base Rate]]*Salary_Calculation[[#This Row],[Base Order Rate]])</f>
        <v/>
      </c>
      <c r="M400" s="165" t="str">
        <f aca="false">IF(Salary_Calculation[[#This Row],[Source Row]]="","",MAX(Salary_Calculation[[#This Row],[Rider Target Orders]]-N(Salary_Calculation[[#This Row],[Completed Orders]]),0))</f>
        <v/>
      </c>
      <c r="N400" s="164" t="str">
        <f aca="false">IF(Salary_Calculation[[#This Row],[Source Row]]="","",Salary_Calculation[[#This Row],[Missing Orders]]*Missing_Rate)</f>
        <v/>
      </c>
      <c r="O400" s="165" t="str">
        <f aca="false">IF(Salary_Calculation[[#This Row],[Source Row]]="","",MAX(N(Salary_Calculation[[#This Row],[Completed Orders]])-Salary_Calculation[[#This Row],[Rider Target Orders]],0))</f>
        <v/>
      </c>
      <c r="P400" s="164" t="str">
        <f aca="false">IF(Salary_Calculation[[#This Row],[Source Row]]="","",Salary_Calculation[[#This Row],[Extra Orders]]*Extra_Rate)</f>
        <v/>
      </c>
      <c r="Q400" s="164" t="str">
        <f aca="false">IF(Salary_Calculation[[#This Row],[Source Row]]="","",MAX(Salary_Calculation[[#This Row],[Salary Before Other Deductions]],0))</f>
        <v/>
      </c>
      <c r="R400" s="164" t="str">
        <f aca="false">IF(Salary_Calculation[[#This Row],[Source Row]]="","",N(INDEX(Rider_Input[missed_days_penalty],Salary_Calculation[[#This Row],[Source Row]])))</f>
        <v/>
      </c>
      <c r="S400" s="164" t="str">
        <f aca="false">IF(Salary_Calculation[[#This Row],[Source Row]]="","",N(INDEX(Rider_Input[Rider Balance / محفظة المندوب],Salary_Calculation[[#This Row],[Source Row]])))</f>
        <v/>
      </c>
      <c r="T400" s="164" t="str">
        <f aca="false">IF(Salary_Calculation[[#This Row],[Source Row]]="","",N(INDEX(Rider_Input[stacking_deduction / خصم الطلبات المتعددة],Salary_Calculation[[#This Row],[Source Row]])))</f>
        <v/>
      </c>
      <c r="U400" s="164" t="str">
        <f aca="false">IF(Salary_Calculation[[#This Row],[Source Row]]="","",N(INDEX(Rider_Input[Other Deductions],Salary_Calculation[[#This Row],[Source Row]])))</f>
        <v/>
      </c>
      <c r="V400" s="164" t="str">
        <f aca="false">IF(Salary_Calculation[[#This Row],[Source Row]]="","",N(Salary_Calculation[[#This Row],[missed_days_penalty]])+N(Salary_Calculation[[#This Row],[Rider Balance]])+N(Salary_Calculation[[#This Row],[stacking_deduction]])+N(Salary_Calculation[[#This Row],[Other Deductions]]))</f>
        <v/>
      </c>
      <c r="W400" s="167" t="str">
        <f aca="false">IF(Salary_Calculation[[#This Row],[Source Row]]="","",ROUND(MAX(Salary_Calculation[[#This Row],[Gross Salary Before Deductions]]-Salary_Calculation[[#This Row],[Total Deductions]],0),2))</f>
        <v/>
      </c>
      <c r="X400" s="164" t="str">
        <f aca="false">IF(Salary_Calculation[[#This Row],[Source Row]]="","",ROUND(MAX(Salary_Calculation[[#This Row],[Missing-Order Deduction]]-Salary_Calculation[[#This Row],[Earned Salary]],0),2))</f>
        <v/>
      </c>
      <c r="Y40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00" s="163" t="str">
        <f aca="false">IF(Salary_Calculation[[#This Row],[Source Row]]="","",IF(INDEX(Rider_Input[Notes],Salary_Calculation[[#This Row],[Source Row]])="","",INDEX(Rider_Input[Notes],Salary_Calculation[[#This Row],[Source Row]])))</f>
        <v/>
      </c>
      <c r="AA400" s="164" t="str">
        <f aca="false">IF(Salary_Calculation[[#This Row],[Source Row]]="","",Salary_Calculation[[#This Row],[Earned Salary]]-Salary_Calculation[[#This Row],[Missing-Order Deduction]]+Salary_Calculation[[#This Row],[Extra-Order Bonus]])</f>
        <v/>
      </c>
      <c r="AB400" s="164" t="str">
        <f aca="false">IF(Salary_Calculation[[#This Row],[Source Row]]="","",ROUND(Salary_Calculation[[#This Row],[Negative Balance / Amount Due from Rider]]+MAX(Salary_Calculation[[#This Row],[Total Deductions]]-Salary_Calculation[[#This Row],[Gross Salary Before Deductions]],0),2))</f>
        <v/>
      </c>
      <c r="AC40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00" s="164" t="str">
        <f aca="false">IF(Salary_Calculation[[#This Row],[Source Row]]="","",Salary_Calculation[[#This Row],[Rider Target Orders]]*Salary_Calculation[[#This Row],[Base Order Rate]])</f>
        <v/>
      </c>
      <c r="AE400" s="162" t="str">
        <f aca="false">IF(SUMPRODUCT(--(LEN(INDEX(Rider_Input[#Data],ROW()-ROW(Salary_Calculation[#Headers]),0))&gt;0))=0,"",ROW()-ROW(Salary_Calculation[#Headers]))</f>
        <v/>
      </c>
    </row>
    <row r="401" customFormat="false" ht="14.25" hidden="false" customHeight="false" outlineLevel="0" collapsed="false">
      <c r="A401" s="161" t="str">
        <f aca="false">IF(Salary_Calculation[[#This Row],[Source Row]]="","",IF(INDEX(Rider_Input[Salary Month],Salary_Calculation[[#This Row],[Source Row]])="","",INDEX(Rider_Input[Salary Month],Salary_Calculation[[#This Row],[Source Row]])))</f>
        <v/>
      </c>
      <c r="B401" s="162" t="str">
        <f aca="false">IF(Salary_Calculation[[#This Row],[Source Row]]="","",IF(INDEX(Rider_Input[Rider ID],Salary_Calculation[[#This Row],[Source Row]])="","",INDEX(Rider_Input[Rider ID],Salary_Calculation[[#This Row],[Source Row]])))</f>
        <v/>
      </c>
      <c r="C401" s="163" t="str">
        <f aca="false">IF(Salary_Calculation[[#This Row],[Source Row]]="","",IF(INDEX(Rider_Input[Rider Name],Salary_Calculation[[#This Row],[Source Row]])="","",INDEX(Rider_Input[Rider Name],Salary_Calculation[[#This Row],[Source Row]])))</f>
        <v/>
      </c>
      <c r="D401" s="164" t="str">
        <f aca="false">IF(Salary_Calculation[[#This Row],[Source Row]]="","",IF(INDEX(Rider_Input[Basic Payment],Salary_Calculation[[#This Row],[Source Row]])="","",INDEX(Rider_Input[Basic Payment],Salary_Calculation[[#This Row],[Source Row]])))</f>
        <v/>
      </c>
      <c r="E401" s="162" t="str">
        <f aca="false">IF(Salary_Calculation[[#This Row],[Source Row]]="","",IF(INDEX(Rider_Input[Calendar Days in Month],Salary_Calculation[[#This Row],[Source Row]])="","",INDEX(Rider_Input[Calendar Days in Month],Salary_Calculation[[#This Row],[Source Row]])))</f>
        <v/>
      </c>
      <c r="F401" s="162" t="str">
        <f aca="false">IF(Salary_Calculation[[#This Row],[Source Row]]="","",IF(INDEX(Rider_Input[Working Days],Salary_Calculation[[#This Row],[Source Row]])="","",INDEX(Rider_Input[Working Days],Salary_Calculation[[#This Row],[Source Row]])))</f>
        <v/>
      </c>
      <c r="G401" s="165" t="str">
        <f aca="false">IF(Salary_Calculation[[#This Row],[Source Row]]="","",Std_Orders/Std_Days*N(Salary_Calculation[[#This Row],[Calendar Days]]))</f>
        <v/>
      </c>
      <c r="H401" s="165" t="str">
        <f aca="false">IF(Salary_Calculation[[#This Row],[Source Row]]="","",IF(N(Salary_Calculation[[#This Row],[Calendar Days]])&gt;0,Salary_Calculation[[#This Row],[Monthly Target Orders]]/N(Salary_Calculation[[#This Row],[Calendar Days]])*N(Salary_Calculation[[#This Row],[Working Days]]),0))</f>
        <v/>
      </c>
      <c r="I401" s="166" t="str">
        <f aca="false">IF(Salary_Calculation[[#This Row],[Source Row]]="","",IF(INDEX(Rider_Input[Completed Orders],Salary_Calculation[[#This Row],[Source Row]])="","",INDEX(Rider_Input[Completed Orders],Salary_Calculation[[#This Row],[Source Row]])))</f>
        <v/>
      </c>
      <c r="J401" s="165" t="str">
        <f aca="false">IF(Salary_Calculation[[#This Row],[Source Row]]="","",IF(Rate_Method="Fixed rate",Fixed_Rate,IF(N(Salary_Calculation[[#This Row],[Basic Payment]])&gt;0,N(Salary_Calculation[[#This Row],[Basic Payment]])/Std_Orders,0)))</f>
        <v/>
      </c>
      <c r="K401" s="165" t="str">
        <f aca="false">IF(Salary_Calculation[[#This Row],[Source Row]]="","",MAX(MIN(N(Salary_Calculation[[#This Row],[Completed Orders]]),Salary_Calculation[[#This Row],[Rider Target Orders]]),0))</f>
        <v/>
      </c>
      <c r="L401" s="164" t="str">
        <f aca="false">IF(Salary_Calculation[[#This Row],[Source Row]]="","",Salary_Calculation[[#This Row],[Orders Counted at Base Rate]]*Salary_Calculation[[#This Row],[Base Order Rate]])</f>
        <v/>
      </c>
      <c r="M401" s="165" t="str">
        <f aca="false">IF(Salary_Calculation[[#This Row],[Source Row]]="","",MAX(Salary_Calculation[[#This Row],[Rider Target Orders]]-N(Salary_Calculation[[#This Row],[Completed Orders]]),0))</f>
        <v/>
      </c>
      <c r="N401" s="164" t="str">
        <f aca="false">IF(Salary_Calculation[[#This Row],[Source Row]]="","",Salary_Calculation[[#This Row],[Missing Orders]]*Missing_Rate)</f>
        <v/>
      </c>
      <c r="O401" s="165" t="str">
        <f aca="false">IF(Salary_Calculation[[#This Row],[Source Row]]="","",MAX(N(Salary_Calculation[[#This Row],[Completed Orders]])-Salary_Calculation[[#This Row],[Rider Target Orders]],0))</f>
        <v/>
      </c>
      <c r="P401" s="164" t="str">
        <f aca="false">IF(Salary_Calculation[[#This Row],[Source Row]]="","",Salary_Calculation[[#This Row],[Extra Orders]]*Extra_Rate)</f>
        <v/>
      </c>
      <c r="Q401" s="164" t="str">
        <f aca="false">IF(Salary_Calculation[[#This Row],[Source Row]]="","",MAX(Salary_Calculation[[#This Row],[Salary Before Other Deductions]],0))</f>
        <v/>
      </c>
      <c r="R401" s="164" t="str">
        <f aca="false">IF(Salary_Calculation[[#This Row],[Source Row]]="","",N(INDEX(Rider_Input[missed_days_penalty],Salary_Calculation[[#This Row],[Source Row]])))</f>
        <v/>
      </c>
      <c r="S401" s="164" t="str">
        <f aca="false">IF(Salary_Calculation[[#This Row],[Source Row]]="","",N(INDEX(Rider_Input[Rider Balance / محفظة المندوب],Salary_Calculation[[#This Row],[Source Row]])))</f>
        <v/>
      </c>
      <c r="T401" s="164" t="str">
        <f aca="false">IF(Salary_Calculation[[#This Row],[Source Row]]="","",N(INDEX(Rider_Input[stacking_deduction / خصم الطلبات المتعددة],Salary_Calculation[[#This Row],[Source Row]])))</f>
        <v/>
      </c>
      <c r="U401" s="164" t="str">
        <f aca="false">IF(Salary_Calculation[[#This Row],[Source Row]]="","",N(INDEX(Rider_Input[Other Deductions],Salary_Calculation[[#This Row],[Source Row]])))</f>
        <v/>
      </c>
      <c r="V401" s="164" t="str">
        <f aca="false">IF(Salary_Calculation[[#This Row],[Source Row]]="","",N(Salary_Calculation[[#This Row],[missed_days_penalty]])+N(Salary_Calculation[[#This Row],[Rider Balance]])+N(Salary_Calculation[[#This Row],[stacking_deduction]])+N(Salary_Calculation[[#This Row],[Other Deductions]]))</f>
        <v/>
      </c>
      <c r="W401" s="167" t="str">
        <f aca="false">IF(Salary_Calculation[[#This Row],[Source Row]]="","",ROUND(MAX(Salary_Calculation[[#This Row],[Gross Salary Before Deductions]]-Salary_Calculation[[#This Row],[Total Deductions]],0),2))</f>
        <v/>
      </c>
      <c r="X401" s="164" t="str">
        <f aca="false">IF(Salary_Calculation[[#This Row],[Source Row]]="","",ROUND(MAX(Salary_Calculation[[#This Row],[Missing-Order Deduction]]-Salary_Calculation[[#This Row],[Earned Salary]],0),2))</f>
        <v/>
      </c>
      <c r="Y40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01" s="163" t="str">
        <f aca="false">IF(Salary_Calculation[[#This Row],[Source Row]]="","",IF(INDEX(Rider_Input[Notes],Salary_Calculation[[#This Row],[Source Row]])="","",INDEX(Rider_Input[Notes],Salary_Calculation[[#This Row],[Source Row]])))</f>
        <v/>
      </c>
      <c r="AA401" s="164" t="str">
        <f aca="false">IF(Salary_Calculation[[#This Row],[Source Row]]="","",Salary_Calculation[[#This Row],[Earned Salary]]-Salary_Calculation[[#This Row],[Missing-Order Deduction]]+Salary_Calculation[[#This Row],[Extra-Order Bonus]])</f>
        <v/>
      </c>
      <c r="AB401" s="164" t="str">
        <f aca="false">IF(Salary_Calculation[[#This Row],[Source Row]]="","",ROUND(Salary_Calculation[[#This Row],[Negative Balance / Amount Due from Rider]]+MAX(Salary_Calculation[[#This Row],[Total Deductions]]-Salary_Calculation[[#This Row],[Gross Salary Before Deductions]],0),2))</f>
        <v/>
      </c>
      <c r="AC40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01" s="164" t="str">
        <f aca="false">IF(Salary_Calculation[[#This Row],[Source Row]]="","",Salary_Calculation[[#This Row],[Rider Target Orders]]*Salary_Calculation[[#This Row],[Base Order Rate]])</f>
        <v/>
      </c>
      <c r="AE401" s="162" t="str">
        <f aca="false">IF(SUMPRODUCT(--(LEN(INDEX(Rider_Input[#Data],ROW()-ROW(Salary_Calculation[#Headers]),0))&gt;0))=0,"",ROW()-ROW(Salary_Calculation[#Headers]))</f>
        <v/>
      </c>
    </row>
    <row r="402" customFormat="false" ht="14.25" hidden="false" customHeight="false" outlineLevel="0" collapsed="false">
      <c r="A402" s="161" t="str">
        <f aca="false">IF(Salary_Calculation[[#This Row],[Source Row]]="","",IF(INDEX(Rider_Input[Salary Month],Salary_Calculation[[#This Row],[Source Row]])="","",INDEX(Rider_Input[Salary Month],Salary_Calculation[[#This Row],[Source Row]])))</f>
        <v/>
      </c>
      <c r="B402" s="162" t="str">
        <f aca="false">IF(Salary_Calculation[[#This Row],[Source Row]]="","",IF(INDEX(Rider_Input[Rider ID],Salary_Calculation[[#This Row],[Source Row]])="","",INDEX(Rider_Input[Rider ID],Salary_Calculation[[#This Row],[Source Row]])))</f>
        <v/>
      </c>
      <c r="C402" s="163" t="str">
        <f aca="false">IF(Salary_Calculation[[#This Row],[Source Row]]="","",IF(INDEX(Rider_Input[Rider Name],Salary_Calculation[[#This Row],[Source Row]])="","",INDEX(Rider_Input[Rider Name],Salary_Calculation[[#This Row],[Source Row]])))</f>
        <v/>
      </c>
      <c r="D402" s="164" t="str">
        <f aca="false">IF(Salary_Calculation[[#This Row],[Source Row]]="","",IF(INDEX(Rider_Input[Basic Payment],Salary_Calculation[[#This Row],[Source Row]])="","",INDEX(Rider_Input[Basic Payment],Salary_Calculation[[#This Row],[Source Row]])))</f>
        <v/>
      </c>
      <c r="E402" s="162" t="str">
        <f aca="false">IF(Salary_Calculation[[#This Row],[Source Row]]="","",IF(INDEX(Rider_Input[Calendar Days in Month],Salary_Calculation[[#This Row],[Source Row]])="","",INDEX(Rider_Input[Calendar Days in Month],Salary_Calculation[[#This Row],[Source Row]])))</f>
        <v/>
      </c>
      <c r="F402" s="162" t="str">
        <f aca="false">IF(Salary_Calculation[[#This Row],[Source Row]]="","",IF(INDEX(Rider_Input[Working Days],Salary_Calculation[[#This Row],[Source Row]])="","",INDEX(Rider_Input[Working Days],Salary_Calculation[[#This Row],[Source Row]])))</f>
        <v/>
      </c>
      <c r="G402" s="165" t="str">
        <f aca="false">IF(Salary_Calculation[[#This Row],[Source Row]]="","",Std_Orders/Std_Days*N(Salary_Calculation[[#This Row],[Calendar Days]]))</f>
        <v/>
      </c>
      <c r="H402" s="165" t="str">
        <f aca="false">IF(Salary_Calculation[[#This Row],[Source Row]]="","",IF(N(Salary_Calculation[[#This Row],[Calendar Days]])&gt;0,Salary_Calculation[[#This Row],[Monthly Target Orders]]/N(Salary_Calculation[[#This Row],[Calendar Days]])*N(Salary_Calculation[[#This Row],[Working Days]]),0))</f>
        <v/>
      </c>
      <c r="I402" s="166" t="str">
        <f aca="false">IF(Salary_Calculation[[#This Row],[Source Row]]="","",IF(INDEX(Rider_Input[Completed Orders],Salary_Calculation[[#This Row],[Source Row]])="","",INDEX(Rider_Input[Completed Orders],Salary_Calculation[[#This Row],[Source Row]])))</f>
        <v/>
      </c>
      <c r="J402" s="165" t="str">
        <f aca="false">IF(Salary_Calculation[[#This Row],[Source Row]]="","",IF(Rate_Method="Fixed rate",Fixed_Rate,IF(N(Salary_Calculation[[#This Row],[Basic Payment]])&gt;0,N(Salary_Calculation[[#This Row],[Basic Payment]])/Std_Orders,0)))</f>
        <v/>
      </c>
      <c r="K402" s="165" t="str">
        <f aca="false">IF(Salary_Calculation[[#This Row],[Source Row]]="","",MAX(MIN(N(Salary_Calculation[[#This Row],[Completed Orders]]),Salary_Calculation[[#This Row],[Rider Target Orders]]),0))</f>
        <v/>
      </c>
      <c r="L402" s="164" t="str">
        <f aca="false">IF(Salary_Calculation[[#This Row],[Source Row]]="","",Salary_Calculation[[#This Row],[Orders Counted at Base Rate]]*Salary_Calculation[[#This Row],[Base Order Rate]])</f>
        <v/>
      </c>
      <c r="M402" s="165" t="str">
        <f aca="false">IF(Salary_Calculation[[#This Row],[Source Row]]="","",MAX(Salary_Calculation[[#This Row],[Rider Target Orders]]-N(Salary_Calculation[[#This Row],[Completed Orders]]),0))</f>
        <v/>
      </c>
      <c r="N402" s="164" t="str">
        <f aca="false">IF(Salary_Calculation[[#This Row],[Source Row]]="","",Salary_Calculation[[#This Row],[Missing Orders]]*Missing_Rate)</f>
        <v/>
      </c>
      <c r="O402" s="165" t="str">
        <f aca="false">IF(Salary_Calculation[[#This Row],[Source Row]]="","",MAX(N(Salary_Calculation[[#This Row],[Completed Orders]])-Salary_Calculation[[#This Row],[Rider Target Orders]],0))</f>
        <v/>
      </c>
      <c r="P402" s="164" t="str">
        <f aca="false">IF(Salary_Calculation[[#This Row],[Source Row]]="","",Salary_Calculation[[#This Row],[Extra Orders]]*Extra_Rate)</f>
        <v/>
      </c>
      <c r="Q402" s="164" t="str">
        <f aca="false">IF(Salary_Calculation[[#This Row],[Source Row]]="","",MAX(Salary_Calculation[[#This Row],[Salary Before Other Deductions]],0))</f>
        <v/>
      </c>
      <c r="R402" s="164" t="str">
        <f aca="false">IF(Salary_Calculation[[#This Row],[Source Row]]="","",N(INDEX(Rider_Input[missed_days_penalty],Salary_Calculation[[#This Row],[Source Row]])))</f>
        <v/>
      </c>
      <c r="S402" s="164" t="str">
        <f aca="false">IF(Salary_Calculation[[#This Row],[Source Row]]="","",N(INDEX(Rider_Input[Rider Balance / محفظة المندوب],Salary_Calculation[[#This Row],[Source Row]])))</f>
        <v/>
      </c>
      <c r="T402" s="164" t="str">
        <f aca="false">IF(Salary_Calculation[[#This Row],[Source Row]]="","",N(INDEX(Rider_Input[stacking_deduction / خصم الطلبات المتعددة],Salary_Calculation[[#This Row],[Source Row]])))</f>
        <v/>
      </c>
      <c r="U402" s="164" t="str">
        <f aca="false">IF(Salary_Calculation[[#This Row],[Source Row]]="","",N(INDEX(Rider_Input[Other Deductions],Salary_Calculation[[#This Row],[Source Row]])))</f>
        <v/>
      </c>
      <c r="V402" s="164" t="str">
        <f aca="false">IF(Salary_Calculation[[#This Row],[Source Row]]="","",N(Salary_Calculation[[#This Row],[missed_days_penalty]])+N(Salary_Calculation[[#This Row],[Rider Balance]])+N(Salary_Calculation[[#This Row],[stacking_deduction]])+N(Salary_Calculation[[#This Row],[Other Deductions]]))</f>
        <v/>
      </c>
      <c r="W402" s="167" t="str">
        <f aca="false">IF(Salary_Calculation[[#This Row],[Source Row]]="","",ROUND(MAX(Salary_Calculation[[#This Row],[Gross Salary Before Deductions]]-Salary_Calculation[[#This Row],[Total Deductions]],0),2))</f>
        <v/>
      </c>
      <c r="X402" s="164" t="str">
        <f aca="false">IF(Salary_Calculation[[#This Row],[Source Row]]="","",ROUND(MAX(Salary_Calculation[[#This Row],[Missing-Order Deduction]]-Salary_Calculation[[#This Row],[Earned Salary]],0),2))</f>
        <v/>
      </c>
      <c r="Y40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02" s="163" t="str">
        <f aca="false">IF(Salary_Calculation[[#This Row],[Source Row]]="","",IF(INDEX(Rider_Input[Notes],Salary_Calculation[[#This Row],[Source Row]])="","",INDEX(Rider_Input[Notes],Salary_Calculation[[#This Row],[Source Row]])))</f>
        <v/>
      </c>
      <c r="AA402" s="164" t="str">
        <f aca="false">IF(Salary_Calculation[[#This Row],[Source Row]]="","",Salary_Calculation[[#This Row],[Earned Salary]]-Salary_Calculation[[#This Row],[Missing-Order Deduction]]+Salary_Calculation[[#This Row],[Extra-Order Bonus]])</f>
        <v/>
      </c>
      <c r="AB402" s="164" t="str">
        <f aca="false">IF(Salary_Calculation[[#This Row],[Source Row]]="","",ROUND(Salary_Calculation[[#This Row],[Negative Balance / Amount Due from Rider]]+MAX(Salary_Calculation[[#This Row],[Total Deductions]]-Salary_Calculation[[#This Row],[Gross Salary Before Deductions]],0),2))</f>
        <v/>
      </c>
      <c r="AC40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02" s="164" t="str">
        <f aca="false">IF(Salary_Calculation[[#This Row],[Source Row]]="","",Salary_Calculation[[#This Row],[Rider Target Orders]]*Salary_Calculation[[#This Row],[Base Order Rate]])</f>
        <v/>
      </c>
      <c r="AE402" s="162" t="str">
        <f aca="false">IF(SUMPRODUCT(--(LEN(INDEX(Rider_Input[#Data],ROW()-ROW(Salary_Calculation[#Headers]),0))&gt;0))=0,"",ROW()-ROW(Salary_Calculation[#Headers]))</f>
        <v/>
      </c>
    </row>
    <row r="403" customFormat="false" ht="14.25" hidden="false" customHeight="false" outlineLevel="0" collapsed="false">
      <c r="A403" s="161" t="str">
        <f aca="false">IF(Salary_Calculation[[#This Row],[Source Row]]="","",IF(INDEX(Rider_Input[Salary Month],Salary_Calculation[[#This Row],[Source Row]])="","",INDEX(Rider_Input[Salary Month],Salary_Calculation[[#This Row],[Source Row]])))</f>
        <v/>
      </c>
      <c r="B403" s="162" t="str">
        <f aca="false">IF(Salary_Calculation[[#This Row],[Source Row]]="","",IF(INDEX(Rider_Input[Rider ID],Salary_Calculation[[#This Row],[Source Row]])="","",INDEX(Rider_Input[Rider ID],Salary_Calculation[[#This Row],[Source Row]])))</f>
        <v/>
      </c>
      <c r="C403" s="163" t="str">
        <f aca="false">IF(Salary_Calculation[[#This Row],[Source Row]]="","",IF(INDEX(Rider_Input[Rider Name],Salary_Calculation[[#This Row],[Source Row]])="","",INDEX(Rider_Input[Rider Name],Salary_Calculation[[#This Row],[Source Row]])))</f>
        <v/>
      </c>
      <c r="D403" s="164" t="str">
        <f aca="false">IF(Salary_Calculation[[#This Row],[Source Row]]="","",IF(INDEX(Rider_Input[Basic Payment],Salary_Calculation[[#This Row],[Source Row]])="","",INDEX(Rider_Input[Basic Payment],Salary_Calculation[[#This Row],[Source Row]])))</f>
        <v/>
      </c>
      <c r="E403" s="162" t="str">
        <f aca="false">IF(Salary_Calculation[[#This Row],[Source Row]]="","",IF(INDEX(Rider_Input[Calendar Days in Month],Salary_Calculation[[#This Row],[Source Row]])="","",INDEX(Rider_Input[Calendar Days in Month],Salary_Calculation[[#This Row],[Source Row]])))</f>
        <v/>
      </c>
      <c r="F403" s="162" t="str">
        <f aca="false">IF(Salary_Calculation[[#This Row],[Source Row]]="","",IF(INDEX(Rider_Input[Working Days],Salary_Calculation[[#This Row],[Source Row]])="","",INDEX(Rider_Input[Working Days],Salary_Calculation[[#This Row],[Source Row]])))</f>
        <v/>
      </c>
      <c r="G403" s="165" t="str">
        <f aca="false">IF(Salary_Calculation[[#This Row],[Source Row]]="","",Std_Orders/Std_Days*N(Salary_Calculation[[#This Row],[Calendar Days]]))</f>
        <v/>
      </c>
      <c r="H403" s="165" t="str">
        <f aca="false">IF(Salary_Calculation[[#This Row],[Source Row]]="","",IF(N(Salary_Calculation[[#This Row],[Calendar Days]])&gt;0,Salary_Calculation[[#This Row],[Monthly Target Orders]]/N(Salary_Calculation[[#This Row],[Calendar Days]])*N(Salary_Calculation[[#This Row],[Working Days]]),0))</f>
        <v/>
      </c>
      <c r="I403" s="166" t="str">
        <f aca="false">IF(Salary_Calculation[[#This Row],[Source Row]]="","",IF(INDEX(Rider_Input[Completed Orders],Salary_Calculation[[#This Row],[Source Row]])="","",INDEX(Rider_Input[Completed Orders],Salary_Calculation[[#This Row],[Source Row]])))</f>
        <v/>
      </c>
      <c r="J403" s="165" t="str">
        <f aca="false">IF(Salary_Calculation[[#This Row],[Source Row]]="","",IF(Rate_Method="Fixed rate",Fixed_Rate,IF(N(Salary_Calculation[[#This Row],[Basic Payment]])&gt;0,N(Salary_Calculation[[#This Row],[Basic Payment]])/Std_Orders,0)))</f>
        <v/>
      </c>
      <c r="K403" s="165" t="str">
        <f aca="false">IF(Salary_Calculation[[#This Row],[Source Row]]="","",MAX(MIN(N(Salary_Calculation[[#This Row],[Completed Orders]]),Salary_Calculation[[#This Row],[Rider Target Orders]]),0))</f>
        <v/>
      </c>
      <c r="L403" s="164" t="str">
        <f aca="false">IF(Salary_Calculation[[#This Row],[Source Row]]="","",Salary_Calculation[[#This Row],[Orders Counted at Base Rate]]*Salary_Calculation[[#This Row],[Base Order Rate]])</f>
        <v/>
      </c>
      <c r="M403" s="165" t="str">
        <f aca="false">IF(Salary_Calculation[[#This Row],[Source Row]]="","",MAX(Salary_Calculation[[#This Row],[Rider Target Orders]]-N(Salary_Calculation[[#This Row],[Completed Orders]]),0))</f>
        <v/>
      </c>
      <c r="N403" s="164" t="str">
        <f aca="false">IF(Salary_Calculation[[#This Row],[Source Row]]="","",Salary_Calculation[[#This Row],[Missing Orders]]*Missing_Rate)</f>
        <v/>
      </c>
      <c r="O403" s="165" t="str">
        <f aca="false">IF(Salary_Calculation[[#This Row],[Source Row]]="","",MAX(N(Salary_Calculation[[#This Row],[Completed Orders]])-Salary_Calculation[[#This Row],[Rider Target Orders]],0))</f>
        <v/>
      </c>
      <c r="P403" s="164" t="str">
        <f aca="false">IF(Salary_Calculation[[#This Row],[Source Row]]="","",Salary_Calculation[[#This Row],[Extra Orders]]*Extra_Rate)</f>
        <v/>
      </c>
      <c r="Q403" s="164" t="str">
        <f aca="false">IF(Salary_Calculation[[#This Row],[Source Row]]="","",MAX(Salary_Calculation[[#This Row],[Salary Before Other Deductions]],0))</f>
        <v/>
      </c>
      <c r="R403" s="164" t="str">
        <f aca="false">IF(Salary_Calculation[[#This Row],[Source Row]]="","",N(INDEX(Rider_Input[missed_days_penalty],Salary_Calculation[[#This Row],[Source Row]])))</f>
        <v/>
      </c>
      <c r="S403" s="164" t="str">
        <f aca="false">IF(Salary_Calculation[[#This Row],[Source Row]]="","",N(INDEX(Rider_Input[Rider Balance / محفظة المندوب],Salary_Calculation[[#This Row],[Source Row]])))</f>
        <v/>
      </c>
      <c r="T403" s="164" t="str">
        <f aca="false">IF(Salary_Calculation[[#This Row],[Source Row]]="","",N(INDEX(Rider_Input[stacking_deduction / خصم الطلبات المتعددة],Salary_Calculation[[#This Row],[Source Row]])))</f>
        <v/>
      </c>
      <c r="U403" s="164" t="str">
        <f aca="false">IF(Salary_Calculation[[#This Row],[Source Row]]="","",N(INDEX(Rider_Input[Other Deductions],Salary_Calculation[[#This Row],[Source Row]])))</f>
        <v/>
      </c>
      <c r="V403" s="164" t="str">
        <f aca="false">IF(Salary_Calculation[[#This Row],[Source Row]]="","",N(Salary_Calculation[[#This Row],[missed_days_penalty]])+N(Salary_Calculation[[#This Row],[Rider Balance]])+N(Salary_Calculation[[#This Row],[stacking_deduction]])+N(Salary_Calculation[[#This Row],[Other Deductions]]))</f>
        <v/>
      </c>
      <c r="W403" s="167" t="str">
        <f aca="false">IF(Salary_Calculation[[#This Row],[Source Row]]="","",ROUND(MAX(Salary_Calculation[[#This Row],[Gross Salary Before Deductions]]-Salary_Calculation[[#This Row],[Total Deductions]],0),2))</f>
        <v/>
      </c>
      <c r="X403" s="164" t="str">
        <f aca="false">IF(Salary_Calculation[[#This Row],[Source Row]]="","",ROUND(MAX(Salary_Calculation[[#This Row],[Missing-Order Deduction]]-Salary_Calculation[[#This Row],[Earned Salary]],0),2))</f>
        <v/>
      </c>
      <c r="Y40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03" s="163" t="str">
        <f aca="false">IF(Salary_Calculation[[#This Row],[Source Row]]="","",IF(INDEX(Rider_Input[Notes],Salary_Calculation[[#This Row],[Source Row]])="","",INDEX(Rider_Input[Notes],Salary_Calculation[[#This Row],[Source Row]])))</f>
        <v/>
      </c>
      <c r="AA403" s="164" t="str">
        <f aca="false">IF(Salary_Calculation[[#This Row],[Source Row]]="","",Salary_Calculation[[#This Row],[Earned Salary]]-Salary_Calculation[[#This Row],[Missing-Order Deduction]]+Salary_Calculation[[#This Row],[Extra-Order Bonus]])</f>
        <v/>
      </c>
      <c r="AB403" s="164" t="str">
        <f aca="false">IF(Salary_Calculation[[#This Row],[Source Row]]="","",ROUND(Salary_Calculation[[#This Row],[Negative Balance / Amount Due from Rider]]+MAX(Salary_Calculation[[#This Row],[Total Deductions]]-Salary_Calculation[[#This Row],[Gross Salary Before Deductions]],0),2))</f>
        <v/>
      </c>
      <c r="AC40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03" s="164" t="str">
        <f aca="false">IF(Salary_Calculation[[#This Row],[Source Row]]="","",Salary_Calculation[[#This Row],[Rider Target Orders]]*Salary_Calculation[[#This Row],[Base Order Rate]])</f>
        <v/>
      </c>
      <c r="AE403" s="162" t="str">
        <f aca="false">IF(SUMPRODUCT(--(LEN(INDEX(Rider_Input[#Data],ROW()-ROW(Salary_Calculation[#Headers]),0))&gt;0))=0,"",ROW()-ROW(Salary_Calculation[#Headers]))</f>
        <v/>
      </c>
    </row>
    <row r="404" customFormat="false" ht="14.25" hidden="false" customHeight="false" outlineLevel="0" collapsed="false">
      <c r="A404" s="161" t="str">
        <f aca="false">IF(Salary_Calculation[[#This Row],[Source Row]]="","",IF(INDEX(Rider_Input[Salary Month],Salary_Calculation[[#This Row],[Source Row]])="","",INDEX(Rider_Input[Salary Month],Salary_Calculation[[#This Row],[Source Row]])))</f>
        <v/>
      </c>
      <c r="B404" s="162" t="str">
        <f aca="false">IF(Salary_Calculation[[#This Row],[Source Row]]="","",IF(INDEX(Rider_Input[Rider ID],Salary_Calculation[[#This Row],[Source Row]])="","",INDEX(Rider_Input[Rider ID],Salary_Calculation[[#This Row],[Source Row]])))</f>
        <v/>
      </c>
      <c r="C404" s="163" t="str">
        <f aca="false">IF(Salary_Calculation[[#This Row],[Source Row]]="","",IF(INDEX(Rider_Input[Rider Name],Salary_Calculation[[#This Row],[Source Row]])="","",INDEX(Rider_Input[Rider Name],Salary_Calculation[[#This Row],[Source Row]])))</f>
        <v/>
      </c>
      <c r="D404" s="164" t="str">
        <f aca="false">IF(Salary_Calculation[[#This Row],[Source Row]]="","",IF(INDEX(Rider_Input[Basic Payment],Salary_Calculation[[#This Row],[Source Row]])="","",INDEX(Rider_Input[Basic Payment],Salary_Calculation[[#This Row],[Source Row]])))</f>
        <v/>
      </c>
      <c r="E404" s="162" t="str">
        <f aca="false">IF(Salary_Calculation[[#This Row],[Source Row]]="","",IF(INDEX(Rider_Input[Calendar Days in Month],Salary_Calculation[[#This Row],[Source Row]])="","",INDEX(Rider_Input[Calendar Days in Month],Salary_Calculation[[#This Row],[Source Row]])))</f>
        <v/>
      </c>
      <c r="F404" s="162" t="str">
        <f aca="false">IF(Salary_Calculation[[#This Row],[Source Row]]="","",IF(INDEX(Rider_Input[Working Days],Salary_Calculation[[#This Row],[Source Row]])="","",INDEX(Rider_Input[Working Days],Salary_Calculation[[#This Row],[Source Row]])))</f>
        <v/>
      </c>
      <c r="G404" s="165" t="str">
        <f aca="false">IF(Salary_Calculation[[#This Row],[Source Row]]="","",Std_Orders/Std_Days*N(Salary_Calculation[[#This Row],[Calendar Days]]))</f>
        <v/>
      </c>
      <c r="H404" s="165" t="str">
        <f aca="false">IF(Salary_Calculation[[#This Row],[Source Row]]="","",IF(N(Salary_Calculation[[#This Row],[Calendar Days]])&gt;0,Salary_Calculation[[#This Row],[Monthly Target Orders]]/N(Salary_Calculation[[#This Row],[Calendar Days]])*N(Salary_Calculation[[#This Row],[Working Days]]),0))</f>
        <v/>
      </c>
      <c r="I404" s="166" t="str">
        <f aca="false">IF(Salary_Calculation[[#This Row],[Source Row]]="","",IF(INDEX(Rider_Input[Completed Orders],Salary_Calculation[[#This Row],[Source Row]])="","",INDEX(Rider_Input[Completed Orders],Salary_Calculation[[#This Row],[Source Row]])))</f>
        <v/>
      </c>
      <c r="J404" s="165" t="str">
        <f aca="false">IF(Salary_Calculation[[#This Row],[Source Row]]="","",IF(Rate_Method="Fixed rate",Fixed_Rate,IF(N(Salary_Calculation[[#This Row],[Basic Payment]])&gt;0,N(Salary_Calculation[[#This Row],[Basic Payment]])/Std_Orders,0)))</f>
        <v/>
      </c>
      <c r="K404" s="165" t="str">
        <f aca="false">IF(Salary_Calculation[[#This Row],[Source Row]]="","",MAX(MIN(N(Salary_Calculation[[#This Row],[Completed Orders]]),Salary_Calculation[[#This Row],[Rider Target Orders]]),0))</f>
        <v/>
      </c>
      <c r="L404" s="164" t="str">
        <f aca="false">IF(Salary_Calculation[[#This Row],[Source Row]]="","",Salary_Calculation[[#This Row],[Orders Counted at Base Rate]]*Salary_Calculation[[#This Row],[Base Order Rate]])</f>
        <v/>
      </c>
      <c r="M404" s="165" t="str">
        <f aca="false">IF(Salary_Calculation[[#This Row],[Source Row]]="","",MAX(Salary_Calculation[[#This Row],[Rider Target Orders]]-N(Salary_Calculation[[#This Row],[Completed Orders]]),0))</f>
        <v/>
      </c>
      <c r="N404" s="164" t="str">
        <f aca="false">IF(Salary_Calculation[[#This Row],[Source Row]]="","",Salary_Calculation[[#This Row],[Missing Orders]]*Missing_Rate)</f>
        <v/>
      </c>
      <c r="O404" s="165" t="str">
        <f aca="false">IF(Salary_Calculation[[#This Row],[Source Row]]="","",MAX(N(Salary_Calculation[[#This Row],[Completed Orders]])-Salary_Calculation[[#This Row],[Rider Target Orders]],0))</f>
        <v/>
      </c>
      <c r="P404" s="164" t="str">
        <f aca="false">IF(Salary_Calculation[[#This Row],[Source Row]]="","",Salary_Calculation[[#This Row],[Extra Orders]]*Extra_Rate)</f>
        <v/>
      </c>
      <c r="Q404" s="164" t="str">
        <f aca="false">IF(Salary_Calculation[[#This Row],[Source Row]]="","",MAX(Salary_Calculation[[#This Row],[Salary Before Other Deductions]],0))</f>
        <v/>
      </c>
      <c r="R404" s="164" t="str">
        <f aca="false">IF(Salary_Calculation[[#This Row],[Source Row]]="","",N(INDEX(Rider_Input[missed_days_penalty],Salary_Calculation[[#This Row],[Source Row]])))</f>
        <v/>
      </c>
      <c r="S404" s="164" t="str">
        <f aca="false">IF(Salary_Calculation[[#This Row],[Source Row]]="","",N(INDEX(Rider_Input[Rider Balance / محفظة المندوب],Salary_Calculation[[#This Row],[Source Row]])))</f>
        <v/>
      </c>
      <c r="T404" s="164" t="str">
        <f aca="false">IF(Salary_Calculation[[#This Row],[Source Row]]="","",N(INDEX(Rider_Input[stacking_deduction / خصم الطلبات المتعددة],Salary_Calculation[[#This Row],[Source Row]])))</f>
        <v/>
      </c>
      <c r="U404" s="164" t="str">
        <f aca="false">IF(Salary_Calculation[[#This Row],[Source Row]]="","",N(INDEX(Rider_Input[Other Deductions],Salary_Calculation[[#This Row],[Source Row]])))</f>
        <v/>
      </c>
      <c r="V404" s="164" t="str">
        <f aca="false">IF(Salary_Calculation[[#This Row],[Source Row]]="","",N(Salary_Calculation[[#This Row],[missed_days_penalty]])+N(Salary_Calculation[[#This Row],[Rider Balance]])+N(Salary_Calculation[[#This Row],[stacking_deduction]])+N(Salary_Calculation[[#This Row],[Other Deductions]]))</f>
        <v/>
      </c>
      <c r="W404" s="167" t="str">
        <f aca="false">IF(Salary_Calculation[[#This Row],[Source Row]]="","",ROUND(MAX(Salary_Calculation[[#This Row],[Gross Salary Before Deductions]]-Salary_Calculation[[#This Row],[Total Deductions]],0),2))</f>
        <v/>
      </c>
      <c r="X404" s="164" t="str">
        <f aca="false">IF(Salary_Calculation[[#This Row],[Source Row]]="","",ROUND(MAX(Salary_Calculation[[#This Row],[Missing-Order Deduction]]-Salary_Calculation[[#This Row],[Earned Salary]],0),2))</f>
        <v/>
      </c>
      <c r="Y40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04" s="163" t="str">
        <f aca="false">IF(Salary_Calculation[[#This Row],[Source Row]]="","",IF(INDEX(Rider_Input[Notes],Salary_Calculation[[#This Row],[Source Row]])="","",INDEX(Rider_Input[Notes],Salary_Calculation[[#This Row],[Source Row]])))</f>
        <v/>
      </c>
      <c r="AA404" s="164" t="str">
        <f aca="false">IF(Salary_Calculation[[#This Row],[Source Row]]="","",Salary_Calculation[[#This Row],[Earned Salary]]-Salary_Calculation[[#This Row],[Missing-Order Deduction]]+Salary_Calculation[[#This Row],[Extra-Order Bonus]])</f>
        <v/>
      </c>
      <c r="AB404" s="164" t="str">
        <f aca="false">IF(Salary_Calculation[[#This Row],[Source Row]]="","",ROUND(Salary_Calculation[[#This Row],[Negative Balance / Amount Due from Rider]]+MAX(Salary_Calculation[[#This Row],[Total Deductions]]-Salary_Calculation[[#This Row],[Gross Salary Before Deductions]],0),2))</f>
        <v/>
      </c>
      <c r="AC40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04" s="164" t="str">
        <f aca="false">IF(Salary_Calculation[[#This Row],[Source Row]]="","",Salary_Calculation[[#This Row],[Rider Target Orders]]*Salary_Calculation[[#This Row],[Base Order Rate]])</f>
        <v/>
      </c>
      <c r="AE404" s="162" t="str">
        <f aca="false">IF(SUMPRODUCT(--(LEN(INDEX(Rider_Input[#Data],ROW()-ROW(Salary_Calculation[#Headers]),0))&gt;0))=0,"",ROW()-ROW(Salary_Calculation[#Headers]))</f>
        <v/>
      </c>
    </row>
    <row r="405" customFormat="false" ht="14.25" hidden="false" customHeight="false" outlineLevel="0" collapsed="false">
      <c r="A405" s="161" t="str">
        <f aca="false">IF(Salary_Calculation[[#This Row],[Source Row]]="","",IF(INDEX(Rider_Input[Salary Month],Salary_Calculation[[#This Row],[Source Row]])="","",INDEX(Rider_Input[Salary Month],Salary_Calculation[[#This Row],[Source Row]])))</f>
        <v/>
      </c>
      <c r="B405" s="162" t="str">
        <f aca="false">IF(Salary_Calculation[[#This Row],[Source Row]]="","",IF(INDEX(Rider_Input[Rider ID],Salary_Calculation[[#This Row],[Source Row]])="","",INDEX(Rider_Input[Rider ID],Salary_Calculation[[#This Row],[Source Row]])))</f>
        <v/>
      </c>
      <c r="C405" s="163" t="str">
        <f aca="false">IF(Salary_Calculation[[#This Row],[Source Row]]="","",IF(INDEX(Rider_Input[Rider Name],Salary_Calculation[[#This Row],[Source Row]])="","",INDEX(Rider_Input[Rider Name],Salary_Calculation[[#This Row],[Source Row]])))</f>
        <v/>
      </c>
      <c r="D405" s="164" t="str">
        <f aca="false">IF(Salary_Calculation[[#This Row],[Source Row]]="","",IF(INDEX(Rider_Input[Basic Payment],Salary_Calculation[[#This Row],[Source Row]])="","",INDEX(Rider_Input[Basic Payment],Salary_Calculation[[#This Row],[Source Row]])))</f>
        <v/>
      </c>
      <c r="E405" s="162" t="str">
        <f aca="false">IF(Salary_Calculation[[#This Row],[Source Row]]="","",IF(INDEX(Rider_Input[Calendar Days in Month],Salary_Calculation[[#This Row],[Source Row]])="","",INDEX(Rider_Input[Calendar Days in Month],Salary_Calculation[[#This Row],[Source Row]])))</f>
        <v/>
      </c>
      <c r="F405" s="162" t="str">
        <f aca="false">IF(Salary_Calculation[[#This Row],[Source Row]]="","",IF(INDEX(Rider_Input[Working Days],Salary_Calculation[[#This Row],[Source Row]])="","",INDEX(Rider_Input[Working Days],Salary_Calculation[[#This Row],[Source Row]])))</f>
        <v/>
      </c>
      <c r="G405" s="165" t="str">
        <f aca="false">IF(Salary_Calculation[[#This Row],[Source Row]]="","",Std_Orders/Std_Days*N(Salary_Calculation[[#This Row],[Calendar Days]]))</f>
        <v/>
      </c>
      <c r="H405" s="165" t="str">
        <f aca="false">IF(Salary_Calculation[[#This Row],[Source Row]]="","",IF(N(Salary_Calculation[[#This Row],[Calendar Days]])&gt;0,Salary_Calculation[[#This Row],[Monthly Target Orders]]/N(Salary_Calculation[[#This Row],[Calendar Days]])*N(Salary_Calculation[[#This Row],[Working Days]]),0))</f>
        <v/>
      </c>
      <c r="I405" s="166" t="str">
        <f aca="false">IF(Salary_Calculation[[#This Row],[Source Row]]="","",IF(INDEX(Rider_Input[Completed Orders],Salary_Calculation[[#This Row],[Source Row]])="","",INDEX(Rider_Input[Completed Orders],Salary_Calculation[[#This Row],[Source Row]])))</f>
        <v/>
      </c>
      <c r="J405" s="165" t="str">
        <f aca="false">IF(Salary_Calculation[[#This Row],[Source Row]]="","",IF(Rate_Method="Fixed rate",Fixed_Rate,IF(N(Salary_Calculation[[#This Row],[Basic Payment]])&gt;0,N(Salary_Calculation[[#This Row],[Basic Payment]])/Std_Orders,0)))</f>
        <v/>
      </c>
      <c r="K405" s="165" t="str">
        <f aca="false">IF(Salary_Calculation[[#This Row],[Source Row]]="","",MAX(MIN(N(Salary_Calculation[[#This Row],[Completed Orders]]),Salary_Calculation[[#This Row],[Rider Target Orders]]),0))</f>
        <v/>
      </c>
      <c r="L405" s="164" t="str">
        <f aca="false">IF(Salary_Calculation[[#This Row],[Source Row]]="","",Salary_Calculation[[#This Row],[Orders Counted at Base Rate]]*Salary_Calculation[[#This Row],[Base Order Rate]])</f>
        <v/>
      </c>
      <c r="M405" s="165" t="str">
        <f aca="false">IF(Salary_Calculation[[#This Row],[Source Row]]="","",MAX(Salary_Calculation[[#This Row],[Rider Target Orders]]-N(Salary_Calculation[[#This Row],[Completed Orders]]),0))</f>
        <v/>
      </c>
      <c r="N405" s="164" t="str">
        <f aca="false">IF(Salary_Calculation[[#This Row],[Source Row]]="","",Salary_Calculation[[#This Row],[Missing Orders]]*Missing_Rate)</f>
        <v/>
      </c>
      <c r="O405" s="165" t="str">
        <f aca="false">IF(Salary_Calculation[[#This Row],[Source Row]]="","",MAX(N(Salary_Calculation[[#This Row],[Completed Orders]])-Salary_Calculation[[#This Row],[Rider Target Orders]],0))</f>
        <v/>
      </c>
      <c r="P405" s="164" t="str">
        <f aca="false">IF(Salary_Calculation[[#This Row],[Source Row]]="","",Salary_Calculation[[#This Row],[Extra Orders]]*Extra_Rate)</f>
        <v/>
      </c>
      <c r="Q405" s="164" t="str">
        <f aca="false">IF(Salary_Calculation[[#This Row],[Source Row]]="","",MAX(Salary_Calculation[[#This Row],[Salary Before Other Deductions]],0))</f>
        <v/>
      </c>
      <c r="R405" s="164" t="str">
        <f aca="false">IF(Salary_Calculation[[#This Row],[Source Row]]="","",N(INDEX(Rider_Input[missed_days_penalty],Salary_Calculation[[#This Row],[Source Row]])))</f>
        <v/>
      </c>
      <c r="S405" s="164" t="str">
        <f aca="false">IF(Salary_Calculation[[#This Row],[Source Row]]="","",N(INDEX(Rider_Input[Rider Balance / محفظة المندوب],Salary_Calculation[[#This Row],[Source Row]])))</f>
        <v/>
      </c>
      <c r="T405" s="164" t="str">
        <f aca="false">IF(Salary_Calculation[[#This Row],[Source Row]]="","",N(INDEX(Rider_Input[stacking_deduction / خصم الطلبات المتعددة],Salary_Calculation[[#This Row],[Source Row]])))</f>
        <v/>
      </c>
      <c r="U405" s="164" t="str">
        <f aca="false">IF(Salary_Calculation[[#This Row],[Source Row]]="","",N(INDEX(Rider_Input[Other Deductions],Salary_Calculation[[#This Row],[Source Row]])))</f>
        <v/>
      </c>
      <c r="V405" s="164" t="str">
        <f aca="false">IF(Salary_Calculation[[#This Row],[Source Row]]="","",N(Salary_Calculation[[#This Row],[missed_days_penalty]])+N(Salary_Calculation[[#This Row],[Rider Balance]])+N(Salary_Calculation[[#This Row],[stacking_deduction]])+N(Salary_Calculation[[#This Row],[Other Deductions]]))</f>
        <v/>
      </c>
      <c r="W405" s="167" t="str">
        <f aca="false">IF(Salary_Calculation[[#This Row],[Source Row]]="","",ROUND(MAX(Salary_Calculation[[#This Row],[Gross Salary Before Deductions]]-Salary_Calculation[[#This Row],[Total Deductions]],0),2))</f>
        <v/>
      </c>
      <c r="X405" s="164" t="str">
        <f aca="false">IF(Salary_Calculation[[#This Row],[Source Row]]="","",ROUND(MAX(Salary_Calculation[[#This Row],[Missing-Order Deduction]]-Salary_Calculation[[#This Row],[Earned Salary]],0),2))</f>
        <v/>
      </c>
      <c r="Y40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05" s="163" t="str">
        <f aca="false">IF(Salary_Calculation[[#This Row],[Source Row]]="","",IF(INDEX(Rider_Input[Notes],Salary_Calculation[[#This Row],[Source Row]])="","",INDEX(Rider_Input[Notes],Salary_Calculation[[#This Row],[Source Row]])))</f>
        <v/>
      </c>
      <c r="AA405" s="164" t="str">
        <f aca="false">IF(Salary_Calculation[[#This Row],[Source Row]]="","",Salary_Calculation[[#This Row],[Earned Salary]]-Salary_Calculation[[#This Row],[Missing-Order Deduction]]+Salary_Calculation[[#This Row],[Extra-Order Bonus]])</f>
        <v/>
      </c>
      <c r="AB405" s="164" t="str">
        <f aca="false">IF(Salary_Calculation[[#This Row],[Source Row]]="","",ROUND(Salary_Calculation[[#This Row],[Negative Balance / Amount Due from Rider]]+MAX(Salary_Calculation[[#This Row],[Total Deductions]]-Salary_Calculation[[#This Row],[Gross Salary Before Deductions]],0),2))</f>
        <v/>
      </c>
      <c r="AC40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05" s="164" t="str">
        <f aca="false">IF(Salary_Calculation[[#This Row],[Source Row]]="","",Salary_Calculation[[#This Row],[Rider Target Orders]]*Salary_Calculation[[#This Row],[Base Order Rate]])</f>
        <v/>
      </c>
      <c r="AE405" s="162" t="str">
        <f aca="false">IF(SUMPRODUCT(--(LEN(INDEX(Rider_Input[#Data],ROW()-ROW(Salary_Calculation[#Headers]),0))&gt;0))=0,"",ROW()-ROW(Salary_Calculation[#Headers]))</f>
        <v/>
      </c>
    </row>
    <row r="406" customFormat="false" ht="14.25" hidden="false" customHeight="false" outlineLevel="0" collapsed="false">
      <c r="A406" s="161" t="str">
        <f aca="false">IF(Salary_Calculation[[#This Row],[Source Row]]="","",IF(INDEX(Rider_Input[Salary Month],Salary_Calculation[[#This Row],[Source Row]])="","",INDEX(Rider_Input[Salary Month],Salary_Calculation[[#This Row],[Source Row]])))</f>
        <v/>
      </c>
      <c r="B406" s="162" t="str">
        <f aca="false">IF(Salary_Calculation[[#This Row],[Source Row]]="","",IF(INDEX(Rider_Input[Rider ID],Salary_Calculation[[#This Row],[Source Row]])="","",INDEX(Rider_Input[Rider ID],Salary_Calculation[[#This Row],[Source Row]])))</f>
        <v/>
      </c>
      <c r="C406" s="163" t="str">
        <f aca="false">IF(Salary_Calculation[[#This Row],[Source Row]]="","",IF(INDEX(Rider_Input[Rider Name],Salary_Calculation[[#This Row],[Source Row]])="","",INDEX(Rider_Input[Rider Name],Salary_Calculation[[#This Row],[Source Row]])))</f>
        <v/>
      </c>
      <c r="D406" s="164" t="str">
        <f aca="false">IF(Salary_Calculation[[#This Row],[Source Row]]="","",IF(INDEX(Rider_Input[Basic Payment],Salary_Calculation[[#This Row],[Source Row]])="","",INDEX(Rider_Input[Basic Payment],Salary_Calculation[[#This Row],[Source Row]])))</f>
        <v/>
      </c>
      <c r="E406" s="162" t="str">
        <f aca="false">IF(Salary_Calculation[[#This Row],[Source Row]]="","",IF(INDEX(Rider_Input[Calendar Days in Month],Salary_Calculation[[#This Row],[Source Row]])="","",INDEX(Rider_Input[Calendar Days in Month],Salary_Calculation[[#This Row],[Source Row]])))</f>
        <v/>
      </c>
      <c r="F406" s="162" t="str">
        <f aca="false">IF(Salary_Calculation[[#This Row],[Source Row]]="","",IF(INDEX(Rider_Input[Working Days],Salary_Calculation[[#This Row],[Source Row]])="","",INDEX(Rider_Input[Working Days],Salary_Calculation[[#This Row],[Source Row]])))</f>
        <v/>
      </c>
      <c r="G406" s="165" t="str">
        <f aca="false">IF(Salary_Calculation[[#This Row],[Source Row]]="","",Std_Orders/Std_Days*N(Salary_Calculation[[#This Row],[Calendar Days]]))</f>
        <v/>
      </c>
      <c r="H406" s="165" t="str">
        <f aca="false">IF(Salary_Calculation[[#This Row],[Source Row]]="","",IF(N(Salary_Calculation[[#This Row],[Calendar Days]])&gt;0,Salary_Calculation[[#This Row],[Monthly Target Orders]]/N(Salary_Calculation[[#This Row],[Calendar Days]])*N(Salary_Calculation[[#This Row],[Working Days]]),0))</f>
        <v/>
      </c>
      <c r="I406" s="166" t="str">
        <f aca="false">IF(Salary_Calculation[[#This Row],[Source Row]]="","",IF(INDEX(Rider_Input[Completed Orders],Salary_Calculation[[#This Row],[Source Row]])="","",INDEX(Rider_Input[Completed Orders],Salary_Calculation[[#This Row],[Source Row]])))</f>
        <v/>
      </c>
      <c r="J406" s="165" t="str">
        <f aca="false">IF(Salary_Calculation[[#This Row],[Source Row]]="","",IF(Rate_Method="Fixed rate",Fixed_Rate,IF(N(Salary_Calculation[[#This Row],[Basic Payment]])&gt;0,N(Salary_Calculation[[#This Row],[Basic Payment]])/Std_Orders,0)))</f>
        <v/>
      </c>
      <c r="K406" s="165" t="str">
        <f aca="false">IF(Salary_Calculation[[#This Row],[Source Row]]="","",MAX(MIN(N(Salary_Calculation[[#This Row],[Completed Orders]]),Salary_Calculation[[#This Row],[Rider Target Orders]]),0))</f>
        <v/>
      </c>
      <c r="L406" s="164" t="str">
        <f aca="false">IF(Salary_Calculation[[#This Row],[Source Row]]="","",Salary_Calculation[[#This Row],[Orders Counted at Base Rate]]*Salary_Calculation[[#This Row],[Base Order Rate]])</f>
        <v/>
      </c>
      <c r="M406" s="165" t="str">
        <f aca="false">IF(Salary_Calculation[[#This Row],[Source Row]]="","",MAX(Salary_Calculation[[#This Row],[Rider Target Orders]]-N(Salary_Calculation[[#This Row],[Completed Orders]]),0))</f>
        <v/>
      </c>
      <c r="N406" s="164" t="str">
        <f aca="false">IF(Salary_Calculation[[#This Row],[Source Row]]="","",Salary_Calculation[[#This Row],[Missing Orders]]*Missing_Rate)</f>
        <v/>
      </c>
      <c r="O406" s="165" t="str">
        <f aca="false">IF(Salary_Calculation[[#This Row],[Source Row]]="","",MAX(N(Salary_Calculation[[#This Row],[Completed Orders]])-Salary_Calculation[[#This Row],[Rider Target Orders]],0))</f>
        <v/>
      </c>
      <c r="P406" s="164" t="str">
        <f aca="false">IF(Salary_Calculation[[#This Row],[Source Row]]="","",Salary_Calculation[[#This Row],[Extra Orders]]*Extra_Rate)</f>
        <v/>
      </c>
      <c r="Q406" s="164" t="str">
        <f aca="false">IF(Salary_Calculation[[#This Row],[Source Row]]="","",MAX(Salary_Calculation[[#This Row],[Salary Before Other Deductions]],0))</f>
        <v/>
      </c>
      <c r="R406" s="164" t="str">
        <f aca="false">IF(Salary_Calculation[[#This Row],[Source Row]]="","",N(INDEX(Rider_Input[missed_days_penalty],Salary_Calculation[[#This Row],[Source Row]])))</f>
        <v/>
      </c>
      <c r="S406" s="164" t="str">
        <f aca="false">IF(Salary_Calculation[[#This Row],[Source Row]]="","",N(INDEX(Rider_Input[Rider Balance / محفظة المندوب],Salary_Calculation[[#This Row],[Source Row]])))</f>
        <v/>
      </c>
      <c r="T406" s="164" t="str">
        <f aca="false">IF(Salary_Calculation[[#This Row],[Source Row]]="","",N(INDEX(Rider_Input[stacking_deduction / خصم الطلبات المتعددة],Salary_Calculation[[#This Row],[Source Row]])))</f>
        <v/>
      </c>
      <c r="U406" s="164" t="str">
        <f aca="false">IF(Salary_Calculation[[#This Row],[Source Row]]="","",N(INDEX(Rider_Input[Other Deductions],Salary_Calculation[[#This Row],[Source Row]])))</f>
        <v/>
      </c>
      <c r="V406" s="164" t="str">
        <f aca="false">IF(Salary_Calculation[[#This Row],[Source Row]]="","",N(Salary_Calculation[[#This Row],[missed_days_penalty]])+N(Salary_Calculation[[#This Row],[Rider Balance]])+N(Salary_Calculation[[#This Row],[stacking_deduction]])+N(Salary_Calculation[[#This Row],[Other Deductions]]))</f>
        <v/>
      </c>
      <c r="W406" s="167" t="str">
        <f aca="false">IF(Salary_Calculation[[#This Row],[Source Row]]="","",ROUND(MAX(Salary_Calculation[[#This Row],[Gross Salary Before Deductions]]-Salary_Calculation[[#This Row],[Total Deductions]],0),2))</f>
        <v/>
      </c>
      <c r="X406" s="164" t="str">
        <f aca="false">IF(Salary_Calculation[[#This Row],[Source Row]]="","",ROUND(MAX(Salary_Calculation[[#This Row],[Missing-Order Deduction]]-Salary_Calculation[[#This Row],[Earned Salary]],0),2))</f>
        <v/>
      </c>
      <c r="Y40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06" s="163" t="str">
        <f aca="false">IF(Salary_Calculation[[#This Row],[Source Row]]="","",IF(INDEX(Rider_Input[Notes],Salary_Calculation[[#This Row],[Source Row]])="","",INDEX(Rider_Input[Notes],Salary_Calculation[[#This Row],[Source Row]])))</f>
        <v/>
      </c>
      <c r="AA406" s="164" t="str">
        <f aca="false">IF(Salary_Calculation[[#This Row],[Source Row]]="","",Salary_Calculation[[#This Row],[Earned Salary]]-Salary_Calculation[[#This Row],[Missing-Order Deduction]]+Salary_Calculation[[#This Row],[Extra-Order Bonus]])</f>
        <v/>
      </c>
      <c r="AB406" s="164" t="str">
        <f aca="false">IF(Salary_Calculation[[#This Row],[Source Row]]="","",ROUND(Salary_Calculation[[#This Row],[Negative Balance / Amount Due from Rider]]+MAX(Salary_Calculation[[#This Row],[Total Deductions]]-Salary_Calculation[[#This Row],[Gross Salary Before Deductions]],0),2))</f>
        <v/>
      </c>
      <c r="AC40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06" s="164" t="str">
        <f aca="false">IF(Salary_Calculation[[#This Row],[Source Row]]="","",Salary_Calculation[[#This Row],[Rider Target Orders]]*Salary_Calculation[[#This Row],[Base Order Rate]])</f>
        <v/>
      </c>
      <c r="AE406" s="162" t="str">
        <f aca="false">IF(SUMPRODUCT(--(LEN(INDEX(Rider_Input[#Data],ROW()-ROW(Salary_Calculation[#Headers]),0))&gt;0))=0,"",ROW()-ROW(Salary_Calculation[#Headers]))</f>
        <v/>
      </c>
    </row>
    <row r="407" customFormat="false" ht="14.25" hidden="false" customHeight="false" outlineLevel="0" collapsed="false">
      <c r="A407" s="161" t="str">
        <f aca="false">IF(Salary_Calculation[[#This Row],[Source Row]]="","",IF(INDEX(Rider_Input[Salary Month],Salary_Calculation[[#This Row],[Source Row]])="","",INDEX(Rider_Input[Salary Month],Salary_Calculation[[#This Row],[Source Row]])))</f>
        <v/>
      </c>
      <c r="B407" s="162" t="str">
        <f aca="false">IF(Salary_Calculation[[#This Row],[Source Row]]="","",IF(INDEX(Rider_Input[Rider ID],Salary_Calculation[[#This Row],[Source Row]])="","",INDEX(Rider_Input[Rider ID],Salary_Calculation[[#This Row],[Source Row]])))</f>
        <v/>
      </c>
      <c r="C407" s="163" t="str">
        <f aca="false">IF(Salary_Calculation[[#This Row],[Source Row]]="","",IF(INDEX(Rider_Input[Rider Name],Salary_Calculation[[#This Row],[Source Row]])="","",INDEX(Rider_Input[Rider Name],Salary_Calculation[[#This Row],[Source Row]])))</f>
        <v/>
      </c>
      <c r="D407" s="164" t="str">
        <f aca="false">IF(Salary_Calculation[[#This Row],[Source Row]]="","",IF(INDEX(Rider_Input[Basic Payment],Salary_Calculation[[#This Row],[Source Row]])="","",INDEX(Rider_Input[Basic Payment],Salary_Calculation[[#This Row],[Source Row]])))</f>
        <v/>
      </c>
      <c r="E407" s="162" t="str">
        <f aca="false">IF(Salary_Calculation[[#This Row],[Source Row]]="","",IF(INDEX(Rider_Input[Calendar Days in Month],Salary_Calculation[[#This Row],[Source Row]])="","",INDEX(Rider_Input[Calendar Days in Month],Salary_Calculation[[#This Row],[Source Row]])))</f>
        <v/>
      </c>
      <c r="F407" s="162" t="str">
        <f aca="false">IF(Salary_Calculation[[#This Row],[Source Row]]="","",IF(INDEX(Rider_Input[Working Days],Salary_Calculation[[#This Row],[Source Row]])="","",INDEX(Rider_Input[Working Days],Salary_Calculation[[#This Row],[Source Row]])))</f>
        <v/>
      </c>
      <c r="G407" s="165" t="str">
        <f aca="false">IF(Salary_Calculation[[#This Row],[Source Row]]="","",Std_Orders/Std_Days*N(Salary_Calculation[[#This Row],[Calendar Days]]))</f>
        <v/>
      </c>
      <c r="H407" s="165" t="str">
        <f aca="false">IF(Salary_Calculation[[#This Row],[Source Row]]="","",IF(N(Salary_Calculation[[#This Row],[Calendar Days]])&gt;0,Salary_Calculation[[#This Row],[Monthly Target Orders]]/N(Salary_Calculation[[#This Row],[Calendar Days]])*N(Salary_Calculation[[#This Row],[Working Days]]),0))</f>
        <v/>
      </c>
      <c r="I407" s="166" t="str">
        <f aca="false">IF(Salary_Calculation[[#This Row],[Source Row]]="","",IF(INDEX(Rider_Input[Completed Orders],Salary_Calculation[[#This Row],[Source Row]])="","",INDEX(Rider_Input[Completed Orders],Salary_Calculation[[#This Row],[Source Row]])))</f>
        <v/>
      </c>
      <c r="J407" s="165" t="str">
        <f aca="false">IF(Salary_Calculation[[#This Row],[Source Row]]="","",IF(Rate_Method="Fixed rate",Fixed_Rate,IF(N(Salary_Calculation[[#This Row],[Basic Payment]])&gt;0,N(Salary_Calculation[[#This Row],[Basic Payment]])/Std_Orders,0)))</f>
        <v/>
      </c>
      <c r="K407" s="165" t="str">
        <f aca="false">IF(Salary_Calculation[[#This Row],[Source Row]]="","",MAX(MIN(N(Salary_Calculation[[#This Row],[Completed Orders]]),Salary_Calculation[[#This Row],[Rider Target Orders]]),0))</f>
        <v/>
      </c>
      <c r="L407" s="164" t="str">
        <f aca="false">IF(Salary_Calculation[[#This Row],[Source Row]]="","",Salary_Calculation[[#This Row],[Orders Counted at Base Rate]]*Salary_Calculation[[#This Row],[Base Order Rate]])</f>
        <v/>
      </c>
      <c r="M407" s="165" t="str">
        <f aca="false">IF(Salary_Calculation[[#This Row],[Source Row]]="","",MAX(Salary_Calculation[[#This Row],[Rider Target Orders]]-N(Salary_Calculation[[#This Row],[Completed Orders]]),0))</f>
        <v/>
      </c>
      <c r="N407" s="164" t="str">
        <f aca="false">IF(Salary_Calculation[[#This Row],[Source Row]]="","",Salary_Calculation[[#This Row],[Missing Orders]]*Missing_Rate)</f>
        <v/>
      </c>
      <c r="O407" s="165" t="str">
        <f aca="false">IF(Salary_Calculation[[#This Row],[Source Row]]="","",MAX(N(Salary_Calculation[[#This Row],[Completed Orders]])-Salary_Calculation[[#This Row],[Rider Target Orders]],0))</f>
        <v/>
      </c>
      <c r="P407" s="164" t="str">
        <f aca="false">IF(Salary_Calculation[[#This Row],[Source Row]]="","",Salary_Calculation[[#This Row],[Extra Orders]]*Extra_Rate)</f>
        <v/>
      </c>
      <c r="Q407" s="164" t="str">
        <f aca="false">IF(Salary_Calculation[[#This Row],[Source Row]]="","",MAX(Salary_Calculation[[#This Row],[Salary Before Other Deductions]],0))</f>
        <v/>
      </c>
      <c r="R407" s="164" t="str">
        <f aca="false">IF(Salary_Calculation[[#This Row],[Source Row]]="","",N(INDEX(Rider_Input[missed_days_penalty],Salary_Calculation[[#This Row],[Source Row]])))</f>
        <v/>
      </c>
      <c r="S407" s="164" t="str">
        <f aca="false">IF(Salary_Calculation[[#This Row],[Source Row]]="","",N(INDEX(Rider_Input[Rider Balance / محفظة المندوب],Salary_Calculation[[#This Row],[Source Row]])))</f>
        <v/>
      </c>
      <c r="T407" s="164" t="str">
        <f aca="false">IF(Salary_Calculation[[#This Row],[Source Row]]="","",N(INDEX(Rider_Input[stacking_deduction / خصم الطلبات المتعددة],Salary_Calculation[[#This Row],[Source Row]])))</f>
        <v/>
      </c>
      <c r="U407" s="164" t="str">
        <f aca="false">IF(Salary_Calculation[[#This Row],[Source Row]]="","",N(INDEX(Rider_Input[Other Deductions],Salary_Calculation[[#This Row],[Source Row]])))</f>
        <v/>
      </c>
      <c r="V407" s="164" t="str">
        <f aca="false">IF(Salary_Calculation[[#This Row],[Source Row]]="","",N(Salary_Calculation[[#This Row],[missed_days_penalty]])+N(Salary_Calculation[[#This Row],[Rider Balance]])+N(Salary_Calculation[[#This Row],[stacking_deduction]])+N(Salary_Calculation[[#This Row],[Other Deductions]]))</f>
        <v/>
      </c>
      <c r="W407" s="167" t="str">
        <f aca="false">IF(Salary_Calculation[[#This Row],[Source Row]]="","",ROUND(MAX(Salary_Calculation[[#This Row],[Gross Salary Before Deductions]]-Salary_Calculation[[#This Row],[Total Deductions]],0),2))</f>
        <v/>
      </c>
      <c r="X407" s="164" t="str">
        <f aca="false">IF(Salary_Calculation[[#This Row],[Source Row]]="","",ROUND(MAX(Salary_Calculation[[#This Row],[Missing-Order Deduction]]-Salary_Calculation[[#This Row],[Earned Salary]],0),2))</f>
        <v/>
      </c>
      <c r="Y40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07" s="163" t="str">
        <f aca="false">IF(Salary_Calculation[[#This Row],[Source Row]]="","",IF(INDEX(Rider_Input[Notes],Salary_Calculation[[#This Row],[Source Row]])="","",INDEX(Rider_Input[Notes],Salary_Calculation[[#This Row],[Source Row]])))</f>
        <v/>
      </c>
      <c r="AA407" s="164" t="str">
        <f aca="false">IF(Salary_Calculation[[#This Row],[Source Row]]="","",Salary_Calculation[[#This Row],[Earned Salary]]-Salary_Calculation[[#This Row],[Missing-Order Deduction]]+Salary_Calculation[[#This Row],[Extra-Order Bonus]])</f>
        <v/>
      </c>
      <c r="AB407" s="164" t="str">
        <f aca="false">IF(Salary_Calculation[[#This Row],[Source Row]]="","",ROUND(Salary_Calculation[[#This Row],[Negative Balance / Amount Due from Rider]]+MAX(Salary_Calculation[[#This Row],[Total Deductions]]-Salary_Calculation[[#This Row],[Gross Salary Before Deductions]],0),2))</f>
        <v/>
      </c>
      <c r="AC40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07" s="164" t="str">
        <f aca="false">IF(Salary_Calculation[[#This Row],[Source Row]]="","",Salary_Calculation[[#This Row],[Rider Target Orders]]*Salary_Calculation[[#This Row],[Base Order Rate]])</f>
        <v/>
      </c>
      <c r="AE407" s="162" t="str">
        <f aca="false">IF(SUMPRODUCT(--(LEN(INDEX(Rider_Input[#Data],ROW()-ROW(Salary_Calculation[#Headers]),0))&gt;0))=0,"",ROW()-ROW(Salary_Calculation[#Headers]))</f>
        <v/>
      </c>
    </row>
    <row r="408" customFormat="false" ht="14.25" hidden="false" customHeight="false" outlineLevel="0" collapsed="false">
      <c r="A408" s="161" t="str">
        <f aca="false">IF(Salary_Calculation[[#This Row],[Source Row]]="","",IF(INDEX(Rider_Input[Salary Month],Salary_Calculation[[#This Row],[Source Row]])="","",INDEX(Rider_Input[Salary Month],Salary_Calculation[[#This Row],[Source Row]])))</f>
        <v/>
      </c>
      <c r="B408" s="162" t="str">
        <f aca="false">IF(Salary_Calculation[[#This Row],[Source Row]]="","",IF(INDEX(Rider_Input[Rider ID],Salary_Calculation[[#This Row],[Source Row]])="","",INDEX(Rider_Input[Rider ID],Salary_Calculation[[#This Row],[Source Row]])))</f>
        <v/>
      </c>
      <c r="C408" s="163" t="str">
        <f aca="false">IF(Salary_Calculation[[#This Row],[Source Row]]="","",IF(INDEX(Rider_Input[Rider Name],Salary_Calculation[[#This Row],[Source Row]])="","",INDEX(Rider_Input[Rider Name],Salary_Calculation[[#This Row],[Source Row]])))</f>
        <v/>
      </c>
      <c r="D408" s="164" t="str">
        <f aca="false">IF(Salary_Calculation[[#This Row],[Source Row]]="","",IF(INDEX(Rider_Input[Basic Payment],Salary_Calculation[[#This Row],[Source Row]])="","",INDEX(Rider_Input[Basic Payment],Salary_Calculation[[#This Row],[Source Row]])))</f>
        <v/>
      </c>
      <c r="E408" s="162" t="str">
        <f aca="false">IF(Salary_Calculation[[#This Row],[Source Row]]="","",IF(INDEX(Rider_Input[Calendar Days in Month],Salary_Calculation[[#This Row],[Source Row]])="","",INDEX(Rider_Input[Calendar Days in Month],Salary_Calculation[[#This Row],[Source Row]])))</f>
        <v/>
      </c>
      <c r="F408" s="162" t="str">
        <f aca="false">IF(Salary_Calculation[[#This Row],[Source Row]]="","",IF(INDEX(Rider_Input[Working Days],Salary_Calculation[[#This Row],[Source Row]])="","",INDEX(Rider_Input[Working Days],Salary_Calculation[[#This Row],[Source Row]])))</f>
        <v/>
      </c>
      <c r="G408" s="165" t="str">
        <f aca="false">IF(Salary_Calculation[[#This Row],[Source Row]]="","",Std_Orders/Std_Days*N(Salary_Calculation[[#This Row],[Calendar Days]]))</f>
        <v/>
      </c>
      <c r="H408" s="165" t="str">
        <f aca="false">IF(Salary_Calculation[[#This Row],[Source Row]]="","",IF(N(Salary_Calculation[[#This Row],[Calendar Days]])&gt;0,Salary_Calculation[[#This Row],[Monthly Target Orders]]/N(Salary_Calculation[[#This Row],[Calendar Days]])*N(Salary_Calculation[[#This Row],[Working Days]]),0))</f>
        <v/>
      </c>
      <c r="I408" s="166" t="str">
        <f aca="false">IF(Salary_Calculation[[#This Row],[Source Row]]="","",IF(INDEX(Rider_Input[Completed Orders],Salary_Calculation[[#This Row],[Source Row]])="","",INDEX(Rider_Input[Completed Orders],Salary_Calculation[[#This Row],[Source Row]])))</f>
        <v/>
      </c>
      <c r="J408" s="165" t="str">
        <f aca="false">IF(Salary_Calculation[[#This Row],[Source Row]]="","",IF(Rate_Method="Fixed rate",Fixed_Rate,IF(N(Salary_Calculation[[#This Row],[Basic Payment]])&gt;0,N(Salary_Calculation[[#This Row],[Basic Payment]])/Std_Orders,0)))</f>
        <v/>
      </c>
      <c r="K408" s="165" t="str">
        <f aca="false">IF(Salary_Calculation[[#This Row],[Source Row]]="","",MAX(MIN(N(Salary_Calculation[[#This Row],[Completed Orders]]),Salary_Calculation[[#This Row],[Rider Target Orders]]),0))</f>
        <v/>
      </c>
      <c r="L408" s="164" t="str">
        <f aca="false">IF(Salary_Calculation[[#This Row],[Source Row]]="","",Salary_Calculation[[#This Row],[Orders Counted at Base Rate]]*Salary_Calculation[[#This Row],[Base Order Rate]])</f>
        <v/>
      </c>
      <c r="M408" s="165" t="str">
        <f aca="false">IF(Salary_Calculation[[#This Row],[Source Row]]="","",MAX(Salary_Calculation[[#This Row],[Rider Target Orders]]-N(Salary_Calculation[[#This Row],[Completed Orders]]),0))</f>
        <v/>
      </c>
      <c r="N408" s="164" t="str">
        <f aca="false">IF(Salary_Calculation[[#This Row],[Source Row]]="","",Salary_Calculation[[#This Row],[Missing Orders]]*Missing_Rate)</f>
        <v/>
      </c>
      <c r="O408" s="165" t="str">
        <f aca="false">IF(Salary_Calculation[[#This Row],[Source Row]]="","",MAX(N(Salary_Calculation[[#This Row],[Completed Orders]])-Salary_Calculation[[#This Row],[Rider Target Orders]],0))</f>
        <v/>
      </c>
      <c r="P408" s="164" t="str">
        <f aca="false">IF(Salary_Calculation[[#This Row],[Source Row]]="","",Salary_Calculation[[#This Row],[Extra Orders]]*Extra_Rate)</f>
        <v/>
      </c>
      <c r="Q408" s="164" t="str">
        <f aca="false">IF(Salary_Calculation[[#This Row],[Source Row]]="","",MAX(Salary_Calculation[[#This Row],[Salary Before Other Deductions]],0))</f>
        <v/>
      </c>
      <c r="R408" s="164" t="str">
        <f aca="false">IF(Salary_Calculation[[#This Row],[Source Row]]="","",N(INDEX(Rider_Input[missed_days_penalty],Salary_Calculation[[#This Row],[Source Row]])))</f>
        <v/>
      </c>
      <c r="S408" s="164" t="str">
        <f aca="false">IF(Salary_Calculation[[#This Row],[Source Row]]="","",N(INDEX(Rider_Input[Rider Balance / محفظة المندوب],Salary_Calculation[[#This Row],[Source Row]])))</f>
        <v/>
      </c>
      <c r="T408" s="164" t="str">
        <f aca="false">IF(Salary_Calculation[[#This Row],[Source Row]]="","",N(INDEX(Rider_Input[stacking_deduction / خصم الطلبات المتعددة],Salary_Calculation[[#This Row],[Source Row]])))</f>
        <v/>
      </c>
      <c r="U408" s="164" t="str">
        <f aca="false">IF(Salary_Calculation[[#This Row],[Source Row]]="","",N(INDEX(Rider_Input[Other Deductions],Salary_Calculation[[#This Row],[Source Row]])))</f>
        <v/>
      </c>
      <c r="V408" s="164" t="str">
        <f aca="false">IF(Salary_Calculation[[#This Row],[Source Row]]="","",N(Salary_Calculation[[#This Row],[missed_days_penalty]])+N(Salary_Calculation[[#This Row],[Rider Balance]])+N(Salary_Calculation[[#This Row],[stacking_deduction]])+N(Salary_Calculation[[#This Row],[Other Deductions]]))</f>
        <v/>
      </c>
      <c r="W408" s="167" t="str">
        <f aca="false">IF(Salary_Calculation[[#This Row],[Source Row]]="","",ROUND(MAX(Salary_Calculation[[#This Row],[Gross Salary Before Deductions]]-Salary_Calculation[[#This Row],[Total Deductions]],0),2))</f>
        <v/>
      </c>
      <c r="X408" s="164" t="str">
        <f aca="false">IF(Salary_Calculation[[#This Row],[Source Row]]="","",ROUND(MAX(Salary_Calculation[[#This Row],[Missing-Order Deduction]]-Salary_Calculation[[#This Row],[Earned Salary]],0),2))</f>
        <v/>
      </c>
      <c r="Y40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08" s="163" t="str">
        <f aca="false">IF(Salary_Calculation[[#This Row],[Source Row]]="","",IF(INDEX(Rider_Input[Notes],Salary_Calculation[[#This Row],[Source Row]])="","",INDEX(Rider_Input[Notes],Salary_Calculation[[#This Row],[Source Row]])))</f>
        <v/>
      </c>
      <c r="AA408" s="164" t="str">
        <f aca="false">IF(Salary_Calculation[[#This Row],[Source Row]]="","",Salary_Calculation[[#This Row],[Earned Salary]]-Salary_Calculation[[#This Row],[Missing-Order Deduction]]+Salary_Calculation[[#This Row],[Extra-Order Bonus]])</f>
        <v/>
      </c>
      <c r="AB408" s="164" t="str">
        <f aca="false">IF(Salary_Calculation[[#This Row],[Source Row]]="","",ROUND(Salary_Calculation[[#This Row],[Negative Balance / Amount Due from Rider]]+MAX(Salary_Calculation[[#This Row],[Total Deductions]]-Salary_Calculation[[#This Row],[Gross Salary Before Deductions]],0),2))</f>
        <v/>
      </c>
      <c r="AC40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08" s="164" t="str">
        <f aca="false">IF(Salary_Calculation[[#This Row],[Source Row]]="","",Salary_Calculation[[#This Row],[Rider Target Orders]]*Salary_Calculation[[#This Row],[Base Order Rate]])</f>
        <v/>
      </c>
      <c r="AE408" s="162" t="str">
        <f aca="false">IF(SUMPRODUCT(--(LEN(INDEX(Rider_Input[#Data],ROW()-ROW(Salary_Calculation[#Headers]),0))&gt;0))=0,"",ROW()-ROW(Salary_Calculation[#Headers]))</f>
        <v/>
      </c>
    </row>
    <row r="409" customFormat="false" ht="14.25" hidden="false" customHeight="false" outlineLevel="0" collapsed="false">
      <c r="A409" s="161" t="str">
        <f aca="false">IF(Salary_Calculation[[#This Row],[Source Row]]="","",IF(INDEX(Rider_Input[Salary Month],Salary_Calculation[[#This Row],[Source Row]])="","",INDEX(Rider_Input[Salary Month],Salary_Calculation[[#This Row],[Source Row]])))</f>
        <v/>
      </c>
      <c r="B409" s="162" t="str">
        <f aca="false">IF(Salary_Calculation[[#This Row],[Source Row]]="","",IF(INDEX(Rider_Input[Rider ID],Salary_Calculation[[#This Row],[Source Row]])="","",INDEX(Rider_Input[Rider ID],Salary_Calculation[[#This Row],[Source Row]])))</f>
        <v/>
      </c>
      <c r="C409" s="163" t="str">
        <f aca="false">IF(Salary_Calculation[[#This Row],[Source Row]]="","",IF(INDEX(Rider_Input[Rider Name],Salary_Calculation[[#This Row],[Source Row]])="","",INDEX(Rider_Input[Rider Name],Salary_Calculation[[#This Row],[Source Row]])))</f>
        <v/>
      </c>
      <c r="D409" s="164" t="str">
        <f aca="false">IF(Salary_Calculation[[#This Row],[Source Row]]="","",IF(INDEX(Rider_Input[Basic Payment],Salary_Calculation[[#This Row],[Source Row]])="","",INDEX(Rider_Input[Basic Payment],Salary_Calculation[[#This Row],[Source Row]])))</f>
        <v/>
      </c>
      <c r="E409" s="162" t="str">
        <f aca="false">IF(Salary_Calculation[[#This Row],[Source Row]]="","",IF(INDEX(Rider_Input[Calendar Days in Month],Salary_Calculation[[#This Row],[Source Row]])="","",INDEX(Rider_Input[Calendar Days in Month],Salary_Calculation[[#This Row],[Source Row]])))</f>
        <v/>
      </c>
      <c r="F409" s="162" t="str">
        <f aca="false">IF(Salary_Calculation[[#This Row],[Source Row]]="","",IF(INDEX(Rider_Input[Working Days],Salary_Calculation[[#This Row],[Source Row]])="","",INDEX(Rider_Input[Working Days],Salary_Calculation[[#This Row],[Source Row]])))</f>
        <v/>
      </c>
      <c r="G409" s="165" t="str">
        <f aca="false">IF(Salary_Calculation[[#This Row],[Source Row]]="","",Std_Orders/Std_Days*N(Salary_Calculation[[#This Row],[Calendar Days]]))</f>
        <v/>
      </c>
      <c r="H409" s="165" t="str">
        <f aca="false">IF(Salary_Calculation[[#This Row],[Source Row]]="","",IF(N(Salary_Calculation[[#This Row],[Calendar Days]])&gt;0,Salary_Calculation[[#This Row],[Monthly Target Orders]]/N(Salary_Calculation[[#This Row],[Calendar Days]])*N(Salary_Calculation[[#This Row],[Working Days]]),0))</f>
        <v/>
      </c>
      <c r="I409" s="166" t="str">
        <f aca="false">IF(Salary_Calculation[[#This Row],[Source Row]]="","",IF(INDEX(Rider_Input[Completed Orders],Salary_Calculation[[#This Row],[Source Row]])="","",INDEX(Rider_Input[Completed Orders],Salary_Calculation[[#This Row],[Source Row]])))</f>
        <v/>
      </c>
      <c r="J409" s="165" t="str">
        <f aca="false">IF(Salary_Calculation[[#This Row],[Source Row]]="","",IF(Rate_Method="Fixed rate",Fixed_Rate,IF(N(Salary_Calculation[[#This Row],[Basic Payment]])&gt;0,N(Salary_Calculation[[#This Row],[Basic Payment]])/Std_Orders,0)))</f>
        <v/>
      </c>
      <c r="K409" s="165" t="str">
        <f aca="false">IF(Salary_Calculation[[#This Row],[Source Row]]="","",MAX(MIN(N(Salary_Calculation[[#This Row],[Completed Orders]]),Salary_Calculation[[#This Row],[Rider Target Orders]]),0))</f>
        <v/>
      </c>
      <c r="L409" s="164" t="str">
        <f aca="false">IF(Salary_Calculation[[#This Row],[Source Row]]="","",Salary_Calculation[[#This Row],[Orders Counted at Base Rate]]*Salary_Calculation[[#This Row],[Base Order Rate]])</f>
        <v/>
      </c>
      <c r="M409" s="165" t="str">
        <f aca="false">IF(Salary_Calculation[[#This Row],[Source Row]]="","",MAX(Salary_Calculation[[#This Row],[Rider Target Orders]]-N(Salary_Calculation[[#This Row],[Completed Orders]]),0))</f>
        <v/>
      </c>
      <c r="N409" s="164" t="str">
        <f aca="false">IF(Salary_Calculation[[#This Row],[Source Row]]="","",Salary_Calculation[[#This Row],[Missing Orders]]*Missing_Rate)</f>
        <v/>
      </c>
      <c r="O409" s="165" t="str">
        <f aca="false">IF(Salary_Calculation[[#This Row],[Source Row]]="","",MAX(N(Salary_Calculation[[#This Row],[Completed Orders]])-Salary_Calculation[[#This Row],[Rider Target Orders]],0))</f>
        <v/>
      </c>
      <c r="P409" s="164" t="str">
        <f aca="false">IF(Salary_Calculation[[#This Row],[Source Row]]="","",Salary_Calculation[[#This Row],[Extra Orders]]*Extra_Rate)</f>
        <v/>
      </c>
      <c r="Q409" s="164" t="str">
        <f aca="false">IF(Salary_Calculation[[#This Row],[Source Row]]="","",MAX(Salary_Calculation[[#This Row],[Salary Before Other Deductions]],0))</f>
        <v/>
      </c>
      <c r="R409" s="164" t="str">
        <f aca="false">IF(Salary_Calculation[[#This Row],[Source Row]]="","",N(INDEX(Rider_Input[missed_days_penalty],Salary_Calculation[[#This Row],[Source Row]])))</f>
        <v/>
      </c>
      <c r="S409" s="164" t="str">
        <f aca="false">IF(Salary_Calculation[[#This Row],[Source Row]]="","",N(INDEX(Rider_Input[Rider Balance / محفظة المندوب],Salary_Calculation[[#This Row],[Source Row]])))</f>
        <v/>
      </c>
      <c r="T409" s="164" t="str">
        <f aca="false">IF(Salary_Calculation[[#This Row],[Source Row]]="","",N(INDEX(Rider_Input[stacking_deduction / خصم الطلبات المتعددة],Salary_Calculation[[#This Row],[Source Row]])))</f>
        <v/>
      </c>
      <c r="U409" s="164" t="str">
        <f aca="false">IF(Salary_Calculation[[#This Row],[Source Row]]="","",N(INDEX(Rider_Input[Other Deductions],Salary_Calculation[[#This Row],[Source Row]])))</f>
        <v/>
      </c>
      <c r="V409" s="164" t="str">
        <f aca="false">IF(Salary_Calculation[[#This Row],[Source Row]]="","",N(Salary_Calculation[[#This Row],[missed_days_penalty]])+N(Salary_Calculation[[#This Row],[Rider Balance]])+N(Salary_Calculation[[#This Row],[stacking_deduction]])+N(Salary_Calculation[[#This Row],[Other Deductions]]))</f>
        <v/>
      </c>
      <c r="W409" s="167" t="str">
        <f aca="false">IF(Salary_Calculation[[#This Row],[Source Row]]="","",ROUND(MAX(Salary_Calculation[[#This Row],[Gross Salary Before Deductions]]-Salary_Calculation[[#This Row],[Total Deductions]],0),2))</f>
        <v/>
      </c>
      <c r="X409" s="164" t="str">
        <f aca="false">IF(Salary_Calculation[[#This Row],[Source Row]]="","",ROUND(MAX(Salary_Calculation[[#This Row],[Missing-Order Deduction]]-Salary_Calculation[[#This Row],[Earned Salary]],0),2))</f>
        <v/>
      </c>
      <c r="Y40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09" s="163" t="str">
        <f aca="false">IF(Salary_Calculation[[#This Row],[Source Row]]="","",IF(INDEX(Rider_Input[Notes],Salary_Calculation[[#This Row],[Source Row]])="","",INDEX(Rider_Input[Notes],Salary_Calculation[[#This Row],[Source Row]])))</f>
        <v/>
      </c>
      <c r="AA409" s="164" t="str">
        <f aca="false">IF(Salary_Calculation[[#This Row],[Source Row]]="","",Salary_Calculation[[#This Row],[Earned Salary]]-Salary_Calculation[[#This Row],[Missing-Order Deduction]]+Salary_Calculation[[#This Row],[Extra-Order Bonus]])</f>
        <v/>
      </c>
      <c r="AB409" s="164" t="str">
        <f aca="false">IF(Salary_Calculation[[#This Row],[Source Row]]="","",ROUND(Salary_Calculation[[#This Row],[Negative Balance / Amount Due from Rider]]+MAX(Salary_Calculation[[#This Row],[Total Deductions]]-Salary_Calculation[[#This Row],[Gross Salary Before Deductions]],0),2))</f>
        <v/>
      </c>
      <c r="AC40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09" s="164" t="str">
        <f aca="false">IF(Salary_Calculation[[#This Row],[Source Row]]="","",Salary_Calculation[[#This Row],[Rider Target Orders]]*Salary_Calculation[[#This Row],[Base Order Rate]])</f>
        <v/>
      </c>
      <c r="AE409" s="162" t="str">
        <f aca="false">IF(SUMPRODUCT(--(LEN(INDEX(Rider_Input[#Data],ROW()-ROW(Salary_Calculation[#Headers]),0))&gt;0))=0,"",ROW()-ROW(Salary_Calculation[#Headers]))</f>
        <v/>
      </c>
    </row>
    <row r="410" customFormat="false" ht="14.25" hidden="false" customHeight="false" outlineLevel="0" collapsed="false">
      <c r="A410" s="161" t="str">
        <f aca="false">IF(Salary_Calculation[[#This Row],[Source Row]]="","",IF(INDEX(Rider_Input[Salary Month],Salary_Calculation[[#This Row],[Source Row]])="","",INDEX(Rider_Input[Salary Month],Salary_Calculation[[#This Row],[Source Row]])))</f>
        <v/>
      </c>
      <c r="B410" s="162" t="str">
        <f aca="false">IF(Salary_Calculation[[#This Row],[Source Row]]="","",IF(INDEX(Rider_Input[Rider ID],Salary_Calculation[[#This Row],[Source Row]])="","",INDEX(Rider_Input[Rider ID],Salary_Calculation[[#This Row],[Source Row]])))</f>
        <v/>
      </c>
      <c r="C410" s="163" t="str">
        <f aca="false">IF(Salary_Calculation[[#This Row],[Source Row]]="","",IF(INDEX(Rider_Input[Rider Name],Salary_Calculation[[#This Row],[Source Row]])="","",INDEX(Rider_Input[Rider Name],Salary_Calculation[[#This Row],[Source Row]])))</f>
        <v/>
      </c>
      <c r="D410" s="164" t="str">
        <f aca="false">IF(Salary_Calculation[[#This Row],[Source Row]]="","",IF(INDEX(Rider_Input[Basic Payment],Salary_Calculation[[#This Row],[Source Row]])="","",INDEX(Rider_Input[Basic Payment],Salary_Calculation[[#This Row],[Source Row]])))</f>
        <v/>
      </c>
      <c r="E410" s="162" t="str">
        <f aca="false">IF(Salary_Calculation[[#This Row],[Source Row]]="","",IF(INDEX(Rider_Input[Calendar Days in Month],Salary_Calculation[[#This Row],[Source Row]])="","",INDEX(Rider_Input[Calendar Days in Month],Salary_Calculation[[#This Row],[Source Row]])))</f>
        <v/>
      </c>
      <c r="F410" s="162" t="str">
        <f aca="false">IF(Salary_Calculation[[#This Row],[Source Row]]="","",IF(INDEX(Rider_Input[Working Days],Salary_Calculation[[#This Row],[Source Row]])="","",INDEX(Rider_Input[Working Days],Salary_Calculation[[#This Row],[Source Row]])))</f>
        <v/>
      </c>
      <c r="G410" s="165" t="str">
        <f aca="false">IF(Salary_Calculation[[#This Row],[Source Row]]="","",Std_Orders/Std_Days*N(Salary_Calculation[[#This Row],[Calendar Days]]))</f>
        <v/>
      </c>
      <c r="H410" s="165" t="str">
        <f aca="false">IF(Salary_Calculation[[#This Row],[Source Row]]="","",IF(N(Salary_Calculation[[#This Row],[Calendar Days]])&gt;0,Salary_Calculation[[#This Row],[Monthly Target Orders]]/N(Salary_Calculation[[#This Row],[Calendar Days]])*N(Salary_Calculation[[#This Row],[Working Days]]),0))</f>
        <v/>
      </c>
      <c r="I410" s="166" t="str">
        <f aca="false">IF(Salary_Calculation[[#This Row],[Source Row]]="","",IF(INDEX(Rider_Input[Completed Orders],Salary_Calculation[[#This Row],[Source Row]])="","",INDEX(Rider_Input[Completed Orders],Salary_Calculation[[#This Row],[Source Row]])))</f>
        <v/>
      </c>
      <c r="J410" s="165" t="str">
        <f aca="false">IF(Salary_Calculation[[#This Row],[Source Row]]="","",IF(Rate_Method="Fixed rate",Fixed_Rate,IF(N(Salary_Calculation[[#This Row],[Basic Payment]])&gt;0,N(Salary_Calculation[[#This Row],[Basic Payment]])/Std_Orders,0)))</f>
        <v/>
      </c>
      <c r="K410" s="165" t="str">
        <f aca="false">IF(Salary_Calculation[[#This Row],[Source Row]]="","",MAX(MIN(N(Salary_Calculation[[#This Row],[Completed Orders]]),Salary_Calculation[[#This Row],[Rider Target Orders]]),0))</f>
        <v/>
      </c>
      <c r="L410" s="164" t="str">
        <f aca="false">IF(Salary_Calculation[[#This Row],[Source Row]]="","",Salary_Calculation[[#This Row],[Orders Counted at Base Rate]]*Salary_Calculation[[#This Row],[Base Order Rate]])</f>
        <v/>
      </c>
      <c r="M410" s="165" t="str">
        <f aca="false">IF(Salary_Calculation[[#This Row],[Source Row]]="","",MAX(Salary_Calculation[[#This Row],[Rider Target Orders]]-N(Salary_Calculation[[#This Row],[Completed Orders]]),0))</f>
        <v/>
      </c>
      <c r="N410" s="164" t="str">
        <f aca="false">IF(Salary_Calculation[[#This Row],[Source Row]]="","",Salary_Calculation[[#This Row],[Missing Orders]]*Missing_Rate)</f>
        <v/>
      </c>
      <c r="O410" s="165" t="str">
        <f aca="false">IF(Salary_Calculation[[#This Row],[Source Row]]="","",MAX(N(Salary_Calculation[[#This Row],[Completed Orders]])-Salary_Calculation[[#This Row],[Rider Target Orders]],0))</f>
        <v/>
      </c>
      <c r="P410" s="164" t="str">
        <f aca="false">IF(Salary_Calculation[[#This Row],[Source Row]]="","",Salary_Calculation[[#This Row],[Extra Orders]]*Extra_Rate)</f>
        <v/>
      </c>
      <c r="Q410" s="164" t="str">
        <f aca="false">IF(Salary_Calculation[[#This Row],[Source Row]]="","",MAX(Salary_Calculation[[#This Row],[Salary Before Other Deductions]],0))</f>
        <v/>
      </c>
      <c r="R410" s="164" t="str">
        <f aca="false">IF(Salary_Calculation[[#This Row],[Source Row]]="","",N(INDEX(Rider_Input[missed_days_penalty],Salary_Calculation[[#This Row],[Source Row]])))</f>
        <v/>
      </c>
      <c r="S410" s="164" t="str">
        <f aca="false">IF(Salary_Calculation[[#This Row],[Source Row]]="","",N(INDEX(Rider_Input[Rider Balance / محفظة المندوب],Salary_Calculation[[#This Row],[Source Row]])))</f>
        <v/>
      </c>
      <c r="T410" s="164" t="str">
        <f aca="false">IF(Salary_Calculation[[#This Row],[Source Row]]="","",N(INDEX(Rider_Input[stacking_deduction / خصم الطلبات المتعددة],Salary_Calculation[[#This Row],[Source Row]])))</f>
        <v/>
      </c>
      <c r="U410" s="164" t="str">
        <f aca="false">IF(Salary_Calculation[[#This Row],[Source Row]]="","",N(INDEX(Rider_Input[Other Deductions],Salary_Calculation[[#This Row],[Source Row]])))</f>
        <v/>
      </c>
      <c r="V410" s="164" t="str">
        <f aca="false">IF(Salary_Calculation[[#This Row],[Source Row]]="","",N(Salary_Calculation[[#This Row],[missed_days_penalty]])+N(Salary_Calculation[[#This Row],[Rider Balance]])+N(Salary_Calculation[[#This Row],[stacking_deduction]])+N(Salary_Calculation[[#This Row],[Other Deductions]]))</f>
        <v/>
      </c>
      <c r="W410" s="167" t="str">
        <f aca="false">IF(Salary_Calculation[[#This Row],[Source Row]]="","",ROUND(MAX(Salary_Calculation[[#This Row],[Gross Salary Before Deductions]]-Salary_Calculation[[#This Row],[Total Deductions]],0),2))</f>
        <v/>
      </c>
      <c r="X410" s="164" t="str">
        <f aca="false">IF(Salary_Calculation[[#This Row],[Source Row]]="","",ROUND(MAX(Salary_Calculation[[#This Row],[Missing-Order Deduction]]-Salary_Calculation[[#This Row],[Earned Salary]],0),2))</f>
        <v/>
      </c>
      <c r="Y41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10" s="163" t="str">
        <f aca="false">IF(Salary_Calculation[[#This Row],[Source Row]]="","",IF(INDEX(Rider_Input[Notes],Salary_Calculation[[#This Row],[Source Row]])="","",INDEX(Rider_Input[Notes],Salary_Calculation[[#This Row],[Source Row]])))</f>
        <v/>
      </c>
      <c r="AA410" s="164" t="str">
        <f aca="false">IF(Salary_Calculation[[#This Row],[Source Row]]="","",Salary_Calculation[[#This Row],[Earned Salary]]-Salary_Calculation[[#This Row],[Missing-Order Deduction]]+Salary_Calculation[[#This Row],[Extra-Order Bonus]])</f>
        <v/>
      </c>
      <c r="AB410" s="164" t="str">
        <f aca="false">IF(Salary_Calculation[[#This Row],[Source Row]]="","",ROUND(Salary_Calculation[[#This Row],[Negative Balance / Amount Due from Rider]]+MAX(Salary_Calculation[[#This Row],[Total Deductions]]-Salary_Calculation[[#This Row],[Gross Salary Before Deductions]],0),2))</f>
        <v/>
      </c>
      <c r="AC41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10" s="164" t="str">
        <f aca="false">IF(Salary_Calculation[[#This Row],[Source Row]]="","",Salary_Calculation[[#This Row],[Rider Target Orders]]*Salary_Calculation[[#This Row],[Base Order Rate]])</f>
        <v/>
      </c>
      <c r="AE410" s="162" t="str">
        <f aca="false">IF(SUMPRODUCT(--(LEN(INDEX(Rider_Input[#Data],ROW()-ROW(Salary_Calculation[#Headers]),0))&gt;0))=0,"",ROW()-ROW(Salary_Calculation[#Headers]))</f>
        <v/>
      </c>
    </row>
    <row r="411" customFormat="false" ht="14.25" hidden="false" customHeight="false" outlineLevel="0" collapsed="false">
      <c r="A411" s="161" t="str">
        <f aca="false">IF(Salary_Calculation[[#This Row],[Source Row]]="","",IF(INDEX(Rider_Input[Salary Month],Salary_Calculation[[#This Row],[Source Row]])="","",INDEX(Rider_Input[Salary Month],Salary_Calculation[[#This Row],[Source Row]])))</f>
        <v/>
      </c>
      <c r="B411" s="162" t="str">
        <f aca="false">IF(Salary_Calculation[[#This Row],[Source Row]]="","",IF(INDEX(Rider_Input[Rider ID],Salary_Calculation[[#This Row],[Source Row]])="","",INDEX(Rider_Input[Rider ID],Salary_Calculation[[#This Row],[Source Row]])))</f>
        <v/>
      </c>
      <c r="C411" s="163" t="str">
        <f aca="false">IF(Salary_Calculation[[#This Row],[Source Row]]="","",IF(INDEX(Rider_Input[Rider Name],Salary_Calculation[[#This Row],[Source Row]])="","",INDEX(Rider_Input[Rider Name],Salary_Calculation[[#This Row],[Source Row]])))</f>
        <v/>
      </c>
      <c r="D411" s="164" t="str">
        <f aca="false">IF(Salary_Calculation[[#This Row],[Source Row]]="","",IF(INDEX(Rider_Input[Basic Payment],Salary_Calculation[[#This Row],[Source Row]])="","",INDEX(Rider_Input[Basic Payment],Salary_Calculation[[#This Row],[Source Row]])))</f>
        <v/>
      </c>
      <c r="E411" s="162" t="str">
        <f aca="false">IF(Salary_Calculation[[#This Row],[Source Row]]="","",IF(INDEX(Rider_Input[Calendar Days in Month],Salary_Calculation[[#This Row],[Source Row]])="","",INDEX(Rider_Input[Calendar Days in Month],Salary_Calculation[[#This Row],[Source Row]])))</f>
        <v/>
      </c>
      <c r="F411" s="162" t="str">
        <f aca="false">IF(Salary_Calculation[[#This Row],[Source Row]]="","",IF(INDEX(Rider_Input[Working Days],Salary_Calculation[[#This Row],[Source Row]])="","",INDEX(Rider_Input[Working Days],Salary_Calculation[[#This Row],[Source Row]])))</f>
        <v/>
      </c>
      <c r="G411" s="165" t="str">
        <f aca="false">IF(Salary_Calculation[[#This Row],[Source Row]]="","",Std_Orders/Std_Days*N(Salary_Calculation[[#This Row],[Calendar Days]]))</f>
        <v/>
      </c>
      <c r="H411" s="165" t="str">
        <f aca="false">IF(Salary_Calculation[[#This Row],[Source Row]]="","",IF(N(Salary_Calculation[[#This Row],[Calendar Days]])&gt;0,Salary_Calculation[[#This Row],[Monthly Target Orders]]/N(Salary_Calculation[[#This Row],[Calendar Days]])*N(Salary_Calculation[[#This Row],[Working Days]]),0))</f>
        <v/>
      </c>
      <c r="I411" s="166" t="str">
        <f aca="false">IF(Salary_Calculation[[#This Row],[Source Row]]="","",IF(INDEX(Rider_Input[Completed Orders],Salary_Calculation[[#This Row],[Source Row]])="","",INDEX(Rider_Input[Completed Orders],Salary_Calculation[[#This Row],[Source Row]])))</f>
        <v/>
      </c>
      <c r="J411" s="165" t="str">
        <f aca="false">IF(Salary_Calculation[[#This Row],[Source Row]]="","",IF(Rate_Method="Fixed rate",Fixed_Rate,IF(N(Salary_Calculation[[#This Row],[Basic Payment]])&gt;0,N(Salary_Calculation[[#This Row],[Basic Payment]])/Std_Orders,0)))</f>
        <v/>
      </c>
      <c r="K411" s="165" t="str">
        <f aca="false">IF(Salary_Calculation[[#This Row],[Source Row]]="","",MAX(MIN(N(Salary_Calculation[[#This Row],[Completed Orders]]),Salary_Calculation[[#This Row],[Rider Target Orders]]),0))</f>
        <v/>
      </c>
      <c r="L411" s="164" t="str">
        <f aca="false">IF(Salary_Calculation[[#This Row],[Source Row]]="","",Salary_Calculation[[#This Row],[Orders Counted at Base Rate]]*Salary_Calculation[[#This Row],[Base Order Rate]])</f>
        <v/>
      </c>
      <c r="M411" s="165" t="str">
        <f aca="false">IF(Salary_Calculation[[#This Row],[Source Row]]="","",MAX(Salary_Calculation[[#This Row],[Rider Target Orders]]-N(Salary_Calculation[[#This Row],[Completed Orders]]),0))</f>
        <v/>
      </c>
      <c r="N411" s="164" t="str">
        <f aca="false">IF(Salary_Calculation[[#This Row],[Source Row]]="","",Salary_Calculation[[#This Row],[Missing Orders]]*Missing_Rate)</f>
        <v/>
      </c>
      <c r="O411" s="165" t="str">
        <f aca="false">IF(Salary_Calculation[[#This Row],[Source Row]]="","",MAX(N(Salary_Calculation[[#This Row],[Completed Orders]])-Salary_Calculation[[#This Row],[Rider Target Orders]],0))</f>
        <v/>
      </c>
      <c r="P411" s="164" t="str">
        <f aca="false">IF(Salary_Calculation[[#This Row],[Source Row]]="","",Salary_Calculation[[#This Row],[Extra Orders]]*Extra_Rate)</f>
        <v/>
      </c>
      <c r="Q411" s="164" t="str">
        <f aca="false">IF(Salary_Calculation[[#This Row],[Source Row]]="","",MAX(Salary_Calculation[[#This Row],[Salary Before Other Deductions]],0))</f>
        <v/>
      </c>
      <c r="R411" s="164" t="str">
        <f aca="false">IF(Salary_Calculation[[#This Row],[Source Row]]="","",N(INDEX(Rider_Input[missed_days_penalty],Salary_Calculation[[#This Row],[Source Row]])))</f>
        <v/>
      </c>
      <c r="S411" s="164" t="str">
        <f aca="false">IF(Salary_Calculation[[#This Row],[Source Row]]="","",N(INDEX(Rider_Input[Rider Balance / محفظة المندوب],Salary_Calculation[[#This Row],[Source Row]])))</f>
        <v/>
      </c>
      <c r="T411" s="164" t="str">
        <f aca="false">IF(Salary_Calculation[[#This Row],[Source Row]]="","",N(INDEX(Rider_Input[stacking_deduction / خصم الطلبات المتعددة],Salary_Calculation[[#This Row],[Source Row]])))</f>
        <v/>
      </c>
      <c r="U411" s="164" t="str">
        <f aca="false">IF(Salary_Calculation[[#This Row],[Source Row]]="","",N(INDEX(Rider_Input[Other Deductions],Salary_Calculation[[#This Row],[Source Row]])))</f>
        <v/>
      </c>
      <c r="V411" s="164" t="str">
        <f aca="false">IF(Salary_Calculation[[#This Row],[Source Row]]="","",N(Salary_Calculation[[#This Row],[missed_days_penalty]])+N(Salary_Calculation[[#This Row],[Rider Balance]])+N(Salary_Calculation[[#This Row],[stacking_deduction]])+N(Salary_Calculation[[#This Row],[Other Deductions]]))</f>
        <v/>
      </c>
      <c r="W411" s="167" t="str">
        <f aca="false">IF(Salary_Calculation[[#This Row],[Source Row]]="","",ROUND(MAX(Salary_Calculation[[#This Row],[Gross Salary Before Deductions]]-Salary_Calculation[[#This Row],[Total Deductions]],0),2))</f>
        <v/>
      </c>
      <c r="X411" s="164" t="str">
        <f aca="false">IF(Salary_Calculation[[#This Row],[Source Row]]="","",ROUND(MAX(Salary_Calculation[[#This Row],[Missing-Order Deduction]]-Salary_Calculation[[#This Row],[Earned Salary]],0),2))</f>
        <v/>
      </c>
      <c r="Y41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11" s="163" t="str">
        <f aca="false">IF(Salary_Calculation[[#This Row],[Source Row]]="","",IF(INDEX(Rider_Input[Notes],Salary_Calculation[[#This Row],[Source Row]])="","",INDEX(Rider_Input[Notes],Salary_Calculation[[#This Row],[Source Row]])))</f>
        <v/>
      </c>
      <c r="AA411" s="164" t="str">
        <f aca="false">IF(Salary_Calculation[[#This Row],[Source Row]]="","",Salary_Calculation[[#This Row],[Earned Salary]]-Salary_Calculation[[#This Row],[Missing-Order Deduction]]+Salary_Calculation[[#This Row],[Extra-Order Bonus]])</f>
        <v/>
      </c>
      <c r="AB411" s="164" t="str">
        <f aca="false">IF(Salary_Calculation[[#This Row],[Source Row]]="","",ROUND(Salary_Calculation[[#This Row],[Negative Balance / Amount Due from Rider]]+MAX(Salary_Calculation[[#This Row],[Total Deductions]]-Salary_Calculation[[#This Row],[Gross Salary Before Deductions]],0),2))</f>
        <v/>
      </c>
      <c r="AC41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11" s="164" t="str">
        <f aca="false">IF(Salary_Calculation[[#This Row],[Source Row]]="","",Salary_Calculation[[#This Row],[Rider Target Orders]]*Salary_Calculation[[#This Row],[Base Order Rate]])</f>
        <v/>
      </c>
      <c r="AE411" s="162" t="str">
        <f aca="false">IF(SUMPRODUCT(--(LEN(INDEX(Rider_Input[#Data],ROW()-ROW(Salary_Calculation[#Headers]),0))&gt;0))=0,"",ROW()-ROW(Salary_Calculation[#Headers]))</f>
        <v/>
      </c>
    </row>
    <row r="412" customFormat="false" ht="14.25" hidden="false" customHeight="false" outlineLevel="0" collapsed="false">
      <c r="A412" s="161" t="str">
        <f aca="false">IF(Salary_Calculation[[#This Row],[Source Row]]="","",IF(INDEX(Rider_Input[Salary Month],Salary_Calculation[[#This Row],[Source Row]])="","",INDEX(Rider_Input[Salary Month],Salary_Calculation[[#This Row],[Source Row]])))</f>
        <v/>
      </c>
      <c r="B412" s="162" t="str">
        <f aca="false">IF(Salary_Calculation[[#This Row],[Source Row]]="","",IF(INDEX(Rider_Input[Rider ID],Salary_Calculation[[#This Row],[Source Row]])="","",INDEX(Rider_Input[Rider ID],Salary_Calculation[[#This Row],[Source Row]])))</f>
        <v/>
      </c>
      <c r="C412" s="163" t="str">
        <f aca="false">IF(Salary_Calculation[[#This Row],[Source Row]]="","",IF(INDEX(Rider_Input[Rider Name],Salary_Calculation[[#This Row],[Source Row]])="","",INDEX(Rider_Input[Rider Name],Salary_Calculation[[#This Row],[Source Row]])))</f>
        <v/>
      </c>
      <c r="D412" s="164" t="str">
        <f aca="false">IF(Salary_Calculation[[#This Row],[Source Row]]="","",IF(INDEX(Rider_Input[Basic Payment],Salary_Calculation[[#This Row],[Source Row]])="","",INDEX(Rider_Input[Basic Payment],Salary_Calculation[[#This Row],[Source Row]])))</f>
        <v/>
      </c>
      <c r="E412" s="162" t="str">
        <f aca="false">IF(Salary_Calculation[[#This Row],[Source Row]]="","",IF(INDEX(Rider_Input[Calendar Days in Month],Salary_Calculation[[#This Row],[Source Row]])="","",INDEX(Rider_Input[Calendar Days in Month],Salary_Calculation[[#This Row],[Source Row]])))</f>
        <v/>
      </c>
      <c r="F412" s="162" t="str">
        <f aca="false">IF(Salary_Calculation[[#This Row],[Source Row]]="","",IF(INDEX(Rider_Input[Working Days],Salary_Calculation[[#This Row],[Source Row]])="","",INDEX(Rider_Input[Working Days],Salary_Calculation[[#This Row],[Source Row]])))</f>
        <v/>
      </c>
      <c r="G412" s="165" t="str">
        <f aca="false">IF(Salary_Calculation[[#This Row],[Source Row]]="","",Std_Orders/Std_Days*N(Salary_Calculation[[#This Row],[Calendar Days]]))</f>
        <v/>
      </c>
      <c r="H412" s="165" t="str">
        <f aca="false">IF(Salary_Calculation[[#This Row],[Source Row]]="","",IF(N(Salary_Calculation[[#This Row],[Calendar Days]])&gt;0,Salary_Calculation[[#This Row],[Monthly Target Orders]]/N(Salary_Calculation[[#This Row],[Calendar Days]])*N(Salary_Calculation[[#This Row],[Working Days]]),0))</f>
        <v/>
      </c>
      <c r="I412" s="166" t="str">
        <f aca="false">IF(Salary_Calculation[[#This Row],[Source Row]]="","",IF(INDEX(Rider_Input[Completed Orders],Salary_Calculation[[#This Row],[Source Row]])="","",INDEX(Rider_Input[Completed Orders],Salary_Calculation[[#This Row],[Source Row]])))</f>
        <v/>
      </c>
      <c r="J412" s="165" t="str">
        <f aca="false">IF(Salary_Calculation[[#This Row],[Source Row]]="","",IF(Rate_Method="Fixed rate",Fixed_Rate,IF(N(Salary_Calculation[[#This Row],[Basic Payment]])&gt;0,N(Salary_Calculation[[#This Row],[Basic Payment]])/Std_Orders,0)))</f>
        <v/>
      </c>
      <c r="K412" s="165" t="str">
        <f aca="false">IF(Salary_Calculation[[#This Row],[Source Row]]="","",MAX(MIN(N(Salary_Calculation[[#This Row],[Completed Orders]]),Salary_Calculation[[#This Row],[Rider Target Orders]]),0))</f>
        <v/>
      </c>
      <c r="L412" s="164" t="str">
        <f aca="false">IF(Salary_Calculation[[#This Row],[Source Row]]="","",Salary_Calculation[[#This Row],[Orders Counted at Base Rate]]*Salary_Calculation[[#This Row],[Base Order Rate]])</f>
        <v/>
      </c>
      <c r="M412" s="165" t="str">
        <f aca="false">IF(Salary_Calculation[[#This Row],[Source Row]]="","",MAX(Salary_Calculation[[#This Row],[Rider Target Orders]]-N(Salary_Calculation[[#This Row],[Completed Orders]]),0))</f>
        <v/>
      </c>
      <c r="N412" s="164" t="str">
        <f aca="false">IF(Salary_Calculation[[#This Row],[Source Row]]="","",Salary_Calculation[[#This Row],[Missing Orders]]*Missing_Rate)</f>
        <v/>
      </c>
      <c r="O412" s="165" t="str">
        <f aca="false">IF(Salary_Calculation[[#This Row],[Source Row]]="","",MAX(N(Salary_Calculation[[#This Row],[Completed Orders]])-Salary_Calculation[[#This Row],[Rider Target Orders]],0))</f>
        <v/>
      </c>
      <c r="P412" s="164" t="str">
        <f aca="false">IF(Salary_Calculation[[#This Row],[Source Row]]="","",Salary_Calculation[[#This Row],[Extra Orders]]*Extra_Rate)</f>
        <v/>
      </c>
      <c r="Q412" s="164" t="str">
        <f aca="false">IF(Salary_Calculation[[#This Row],[Source Row]]="","",MAX(Salary_Calculation[[#This Row],[Salary Before Other Deductions]],0))</f>
        <v/>
      </c>
      <c r="R412" s="164" t="str">
        <f aca="false">IF(Salary_Calculation[[#This Row],[Source Row]]="","",N(INDEX(Rider_Input[missed_days_penalty],Salary_Calculation[[#This Row],[Source Row]])))</f>
        <v/>
      </c>
      <c r="S412" s="164" t="str">
        <f aca="false">IF(Salary_Calculation[[#This Row],[Source Row]]="","",N(INDEX(Rider_Input[Rider Balance / محفظة المندوب],Salary_Calculation[[#This Row],[Source Row]])))</f>
        <v/>
      </c>
      <c r="T412" s="164" t="str">
        <f aca="false">IF(Salary_Calculation[[#This Row],[Source Row]]="","",N(INDEX(Rider_Input[stacking_deduction / خصم الطلبات المتعددة],Salary_Calculation[[#This Row],[Source Row]])))</f>
        <v/>
      </c>
      <c r="U412" s="164" t="str">
        <f aca="false">IF(Salary_Calculation[[#This Row],[Source Row]]="","",N(INDEX(Rider_Input[Other Deductions],Salary_Calculation[[#This Row],[Source Row]])))</f>
        <v/>
      </c>
      <c r="V412" s="164" t="str">
        <f aca="false">IF(Salary_Calculation[[#This Row],[Source Row]]="","",N(Salary_Calculation[[#This Row],[missed_days_penalty]])+N(Salary_Calculation[[#This Row],[Rider Balance]])+N(Salary_Calculation[[#This Row],[stacking_deduction]])+N(Salary_Calculation[[#This Row],[Other Deductions]]))</f>
        <v/>
      </c>
      <c r="W412" s="167" t="str">
        <f aca="false">IF(Salary_Calculation[[#This Row],[Source Row]]="","",ROUND(MAX(Salary_Calculation[[#This Row],[Gross Salary Before Deductions]]-Salary_Calculation[[#This Row],[Total Deductions]],0),2))</f>
        <v/>
      </c>
      <c r="X412" s="164" t="str">
        <f aca="false">IF(Salary_Calculation[[#This Row],[Source Row]]="","",ROUND(MAX(Salary_Calculation[[#This Row],[Missing-Order Deduction]]-Salary_Calculation[[#This Row],[Earned Salary]],0),2))</f>
        <v/>
      </c>
      <c r="Y41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12" s="163" t="str">
        <f aca="false">IF(Salary_Calculation[[#This Row],[Source Row]]="","",IF(INDEX(Rider_Input[Notes],Salary_Calculation[[#This Row],[Source Row]])="","",INDEX(Rider_Input[Notes],Salary_Calculation[[#This Row],[Source Row]])))</f>
        <v/>
      </c>
      <c r="AA412" s="164" t="str">
        <f aca="false">IF(Salary_Calculation[[#This Row],[Source Row]]="","",Salary_Calculation[[#This Row],[Earned Salary]]-Salary_Calculation[[#This Row],[Missing-Order Deduction]]+Salary_Calculation[[#This Row],[Extra-Order Bonus]])</f>
        <v/>
      </c>
      <c r="AB412" s="164" t="str">
        <f aca="false">IF(Salary_Calculation[[#This Row],[Source Row]]="","",ROUND(Salary_Calculation[[#This Row],[Negative Balance / Amount Due from Rider]]+MAX(Salary_Calculation[[#This Row],[Total Deductions]]-Salary_Calculation[[#This Row],[Gross Salary Before Deductions]],0),2))</f>
        <v/>
      </c>
      <c r="AC41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12" s="164" t="str">
        <f aca="false">IF(Salary_Calculation[[#This Row],[Source Row]]="","",Salary_Calculation[[#This Row],[Rider Target Orders]]*Salary_Calculation[[#This Row],[Base Order Rate]])</f>
        <v/>
      </c>
      <c r="AE412" s="162" t="str">
        <f aca="false">IF(SUMPRODUCT(--(LEN(INDEX(Rider_Input[#Data],ROW()-ROW(Salary_Calculation[#Headers]),0))&gt;0))=0,"",ROW()-ROW(Salary_Calculation[#Headers]))</f>
        <v/>
      </c>
    </row>
    <row r="413" customFormat="false" ht="14.25" hidden="false" customHeight="false" outlineLevel="0" collapsed="false">
      <c r="A413" s="161" t="str">
        <f aca="false">IF(Salary_Calculation[[#This Row],[Source Row]]="","",IF(INDEX(Rider_Input[Salary Month],Salary_Calculation[[#This Row],[Source Row]])="","",INDEX(Rider_Input[Salary Month],Salary_Calculation[[#This Row],[Source Row]])))</f>
        <v/>
      </c>
      <c r="B413" s="162" t="str">
        <f aca="false">IF(Salary_Calculation[[#This Row],[Source Row]]="","",IF(INDEX(Rider_Input[Rider ID],Salary_Calculation[[#This Row],[Source Row]])="","",INDEX(Rider_Input[Rider ID],Salary_Calculation[[#This Row],[Source Row]])))</f>
        <v/>
      </c>
      <c r="C413" s="163" t="str">
        <f aca="false">IF(Salary_Calculation[[#This Row],[Source Row]]="","",IF(INDEX(Rider_Input[Rider Name],Salary_Calculation[[#This Row],[Source Row]])="","",INDEX(Rider_Input[Rider Name],Salary_Calculation[[#This Row],[Source Row]])))</f>
        <v/>
      </c>
      <c r="D413" s="164" t="str">
        <f aca="false">IF(Salary_Calculation[[#This Row],[Source Row]]="","",IF(INDEX(Rider_Input[Basic Payment],Salary_Calculation[[#This Row],[Source Row]])="","",INDEX(Rider_Input[Basic Payment],Salary_Calculation[[#This Row],[Source Row]])))</f>
        <v/>
      </c>
      <c r="E413" s="162" t="str">
        <f aca="false">IF(Salary_Calculation[[#This Row],[Source Row]]="","",IF(INDEX(Rider_Input[Calendar Days in Month],Salary_Calculation[[#This Row],[Source Row]])="","",INDEX(Rider_Input[Calendar Days in Month],Salary_Calculation[[#This Row],[Source Row]])))</f>
        <v/>
      </c>
      <c r="F413" s="162" t="str">
        <f aca="false">IF(Salary_Calculation[[#This Row],[Source Row]]="","",IF(INDEX(Rider_Input[Working Days],Salary_Calculation[[#This Row],[Source Row]])="","",INDEX(Rider_Input[Working Days],Salary_Calculation[[#This Row],[Source Row]])))</f>
        <v/>
      </c>
      <c r="G413" s="165" t="str">
        <f aca="false">IF(Salary_Calculation[[#This Row],[Source Row]]="","",Std_Orders/Std_Days*N(Salary_Calculation[[#This Row],[Calendar Days]]))</f>
        <v/>
      </c>
      <c r="H413" s="165" t="str">
        <f aca="false">IF(Salary_Calculation[[#This Row],[Source Row]]="","",IF(N(Salary_Calculation[[#This Row],[Calendar Days]])&gt;0,Salary_Calculation[[#This Row],[Monthly Target Orders]]/N(Salary_Calculation[[#This Row],[Calendar Days]])*N(Salary_Calculation[[#This Row],[Working Days]]),0))</f>
        <v/>
      </c>
      <c r="I413" s="166" t="str">
        <f aca="false">IF(Salary_Calculation[[#This Row],[Source Row]]="","",IF(INDEX(Rider_Input[Completed Orders],Salary_Calculation[[#This Row],[Source Row]])="","",INDEX(Rider_Input[Completed Orders],Salary_Calculation[[#This Row],[Source Row]])))</f>
        <v/>
      </c>
      <c r="J413" s="165" t="str">
        <f aca="false">IF(Salary_Calculation[[#This Row],[Source Row]]="","",IF(Rate_Method="Fixed rate",Fixed_Rate,IF(N(Salary_Calculation[[#This Row],[Basic Payment]])&gt;0,N(Salary_Calculation[[#This Row],[Basic Payment]])/Std_Orders,0)))</f>
        <v/>
      </c>
      <c r="K413" s="165" t="str">
        <f aca="false">IF(Salary_Calculation[[#This Row],[Source Row]]="","",MAX(MIN(N(Salary_Calculation[[#This Row],[Completed Orders]]),Salary_Calculation[[#This Row],[Rider Target Orders]]),0))</f>
        <v/>
      </c>
      <c r="L413" s="164" t="str">
        <f aca="false">IF(Salary_Calculation[[#This Row],[Source Row]]="","",Salary_Calculation[[#This Row],[Orders Counted at Base Rate]]*Salary_Calculation[[#This Row],[Base Order Rate]])</f>
        <v/>
      </c>
      <c r="M413" s="165" t="str">
        <f aca="false">IF(Salary_Calculation[[#This Row],[Source Row]]="","",MAX(Salary_Calculation[[#This Row],[Rider Target Orders]]-N(Salary_Calculation[[#This Row],[Completed Orders]]),0))</f>
        <v/>
      </c>
      <c r="N413" s="164" t="str">
        <f aca="false">IF(Salary_Calculation[[#This Row],[Source Row]]="","",Salary_Calculation[[#This Row],[Missing Orders]]*Missing_Rate)</f>
        <v/>
      </c>
      <c r="O413" s="165" t="str">
        <f aca="false">IF(Salary_Calculation[[#This Row],[Source Row]]="","",MAX(N(Salary_Calculation[[#This Row],[Completed Orders]])-Salary_Calculation[[#This Row],[Rider Target Orders]],0))</f>
        <v/>
      </c>
      <c r="P413" s="164" t="str">
        <f aca="false">IF(Salary_Calculation[[#This Row],[Source Row]]="","",Salary_Calculation[[#This Row],[Extra Orders]]*Extra_Rate)</f>
        <v/>
      </c>
      <c r="Q413" s="164" t="str">
        <f aca="false">IF(Salary_Calculation[[#This Row],[Source Row]]="","",MAX(Salary_Calculation[[#This Row],[Salary Before Other Deductions]],0))</f>
        <v/>
      </c>
      <c r="R413" s="164" t="str">
        <f aca="false">IF(Salary_Calculation[[#This Row],[Source Row]]="","",N(INDEX(Rider_Input[missed_days_penalty],Salary_Calculation[[#This Row],[Source Row]])))</f>
        <v/>
      </c>
      <c r="S413" s="164" t="str">
        <f aca="false">IF(Salary_Calculation[[#This Row],[Source Row]]="","",N(INDEX(Rider_Input[Rider Balance / محفظة المندوب],Salary_Calculation[[#This Row],[Source Row]])))</f>
        <v/>
      </c>
      <c r="T413" s="164" t="str">
        <f aca="false">IF(Salary_Calculation[[#This Row],[Source Row]]="","",N(INDEX(Rider_Input[stacking_deduction / خصم الطلبات المتعددة],Salary_Calculation[[#This Row],[Source Row]])))</f>
        <v/>
      </c>
      <c r="U413" s="164" t="str">
        <f aca="false">IF(Salary_Calculation[[#This Row],[Source Row]]="","",N(INDEX(Rider_Input[Other Deductions],Salary_Calculation[[#This Row],[Source Row]])))</f>
        <v/>
      </c>
      <c r="V413" s="164" t="str">
        <f aca="false">IF(Salary_Calculation[[#This Row],[Source Row]]="","",N(Salary_Calculation[[#This Row],[missed_days_penalty]])+N(Salary_Calculation[[#This Row],[Rider Balance]])+N(Salary_Calculation[[#This Row],[stacking_deduction]])+N(Salary_Calculation[[#This Row],[Other Deductions]]))</f>
        <v/>
      </c>
      <c r="W413" s="167" t="str">
        <f aca="false">IF(Salary_Calculation[[#This Row],[Source Row]]="","",ROUND(MAX(Salary_Calculation[[#This Row],[Gross Salary Before Deductions]]-Salary_Calculation[[#This Row],[Total Deductions]],0),2))</f>
        <v/>
      </c>
      <c r="X413" s="164" t="str">
        <f aca="false">IF(Salary_Calculation[[#This Row],[Source Row]]="","",ROUND(MAX(Salary_Calculation[[#This Row],[Missing-Order Deduction]]-Salary_Calculation[[#This Row],[Earned Salary]],0),2))</f>
        <v/>
      </c>
      <c r="Y41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13" s="163" t="str">
        <f aca="false">IF(Salary_Calculation[[#This Row],[Source Row]]="","",IF(INDEX(Rider_Input[Notes],Salary_Calculation[[#This Row],[Source Row]])="","",INDEX(Rider_Input[Notes],Salary_Calculation[[#This Row],[Source Row]])))</f>
        <v/>
      </c>
      <c r="AA413" s="164" t="str">
        <f aca="false">IF(Salary_Calculation[[#This Row],[Source Row]]="","",Salary_Calculation[[#This Row],[Earned Salary]]-Salary_Calculation[[#This Row],[Missing-Order Deduction]]+Salary_Calculation[[#This Row],[Extra-Order Bonus]])</f>
        <v/>
      </c>
      <c r="AB413" s="164" t="str">
        <f aca="false">IF(Salary_Calculation[[#This Row],[Source Row]]="","",ROUND(Salary_Calculation[[#This Row],[Negative Balance / Amount Due from Rider]]+MAX(Salary_Calculation[[#This Row],[Total Deductions]]-Salary_Calculation[[#This Row],[Gross Salary Before Deductions]],0),2))</f>
        <v/>
      </c>
      <c r="AC41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13" s="164" t="str">
        <f aca="false">IF(Salary_Calculation[[#This Row],[Source Row]]="","",Salary_Calculation[[#This Row],[Rider Target Orders]]*Salary_Calculation[[#This Row],[Base Order Rate]])</f>
        <v/>
      </c>
      <c r="AE413" s="162" t="str">
        <f aca="false">IF(SUMPRODUCT(--(LEN(INDEX(Rider_Input[#Data],ROW()-ROW(Salary_Calculation[#Headers]),0))&gt;0))=0,"",ROW()-ROW(Salary_Calculation[#Headers]))</f>
        <v/>
      </c>
    </row>
    <row r="414" customFormat="false" ht="14.25" hidden="false" customHeight="false" outlineLevel="0" collapsed="false">
      <c r="A414" s="161" t="str">
        <f aca="false">IF(Salary_Calculation[[#This Row],[Source Row]]="","",IF(INDEX(Rider_Input[Salary Month],Salary_Calculation[[#This Row],[Source Row]])="","",INDEX(Rider_Input[Salary Month],Salary_Calculation[[#This Row],[Source Row]])))</f>
        <v/>
      </c>
      <c r="B414" s="162" t="str">
        <f aca="false">IF(Salary_Calculation[[#This Row],[Source Row]]="","",IF(INDEX(Rider_Input[Rider ID],Salary_Calculation[[#This Row],[Source Row]])="","",INDEX(Rider_Input[Rider ID],Salary_Calculation[[#This Row],[Source Row]])))</f>
        <v/>
      </c>
      <c r="C414" s="163" t="str">
        <f aca="false">IF(Salary_Calculation[[#This Row],[Source Row]]="","",IF(INDEX(Rider_Input[Rider Name],Salary_Calculation[[#This Row],[Source Row]])="","",INDEX(Rider_Input[Rider Name],Salary_Calculation[[#This Row],[Source Row]])))</f>
        <v/>
      </c>
      <c r="D414" s="164" t="str">
        <f aca="false">IF(Salary_Calculation[[#This Row],[Source Row]]="","",IF(INDEX(Rider_Input[Basic Payment],Salary_Calculation[[#This Row],[Source Row]])="","",INDEX(Rider_Input[Basic Payment],Salary_Calculation[[#This Row],[Source Row]])))</f>
        <v/>
      </c>
      <c r="E414" s="162" t="str">
        <f aca="false">IF(Salary_Calculation[[#This Row],[Source Row]]="","",IF(INDEX(Rider_Input[Calendar Days in Month],Salary_Calculation[[#This Row],[Source Row]])="","",INDEX(Rider_Input[Calendar Days in Month],Salary_Calculation[[#This Row],[Source Row]])))</f>
        <v/>
      </c>
      <c r="F414" s="162" t="str">
        <f aca="false">IF(Salary_Calculation[[#This Row],[Source Row]]="","",IF(INDEX(Rider_Input[Working Days],Salary_Calculation[[#This Row],[Source Row]])="","",INDEX(Rider_Input[Working Days],Salary_Calculation[[#This Row],[Source Row]])))</f>
        <v/>
      </c>
      <c r="G414" s="165" t="str">
        <f aca="false">IF(Salary_Calculation[[#This Row],[Source Row]]="","",Std_Orders/Std_Days*N(Salary_Calculation[[#This Row],[Calendar Days]]))</f>
        <v/>
      </c>
      <c r="H414" s="165" t="str">
        <f aca="false">IF(Salary_Calculation[[#This Row],[Source Row]]="","",IF(N(Salary_Calculation[[#This Row],[Calendar Days]])&gt;0,Salary_Calculation[[#This Row],[Monthly Target Orders]]/N(Salary_Calculation[[#This Row],[Calendar Days]])*N(Salary_Calculation[[#This Row],[Working Days]]),0))</f>
        <v/>
      </c>
      <c r="I414" s="166" t="str">
        <f aca="false">IF(Salary_Calculation[[#This Row],[Source Row]]="","",IF(INDEX(Rider_Input[Completed Orders],Salary_Calculation[[#This Row],[Source Row]])="","",INDEX(Rider_Input[Completed Orders],Salary_Calculation[[#This Row],[Source Row]])))</f>
        <v/>
      </c>
      <c r="J414" s="165" t="str">
        <f aca="false">IF(Salary_Calculation[[#This Row],[Source Row]]="","",IF(Rate_Method="Fixed rate",Fixed_Rate,IF(N(Salary_Calculation[[#This Row],[Basic Payment]])&gt;0,N(Salary_Calculation[[#This Row],[Basic Payment]])/Std_Orders,0)))</f>
        <v/>
      </c>
      <c r="K414" s="165" t="str">
        <f aca="false">IF(Salary_Calculation[[#This Row],[Source Row]]="","",MAX(MIN(N(Salary_Calculation[[#This Row],[Completed Orders]]),Salary_Calculation[[#This Row],[Rider Target Orders]]),0))</f>
        <v/>
      </c>
      <c r="L414" s="164" t="str">
        <f aca="false">IF(Salary_Calculation[[#This Row],[Source Row]]="","",Salary_Calculation[[#This Row],[Orders Counted at Base Rate]]*Salary_Calculation[[#This Row],[Base Order Rate]])</f>
        <v/>
      </c>
      <c r="M414" s="165" t="str">
        <f aca="false">IF(Salary_Calculation[[#This Row],[Source Row]]="","",MAX(Salary_Calculation[[#This Row],[Rider Target Orders]]-N(Salary_Calculation[[#This Row],[Completed Orders]]),0))</f>
        <v/>
      </c>
      <c r="N414" s="164" t="str">
        <f aca="false">IF(Salary_Calculation[[#This Row],[Source Row]]="","",Salary_Calculation[[#This Row],[Missing Orders]]*Missing_Rate)</f>
        <v/>
      </c>
      <c r="O414" s="165" t="str">
        <f aca="false">IF(Salary_Calculation[[#This Row],[Source Row]]="","",MAX(N(Salary_Calculation[[#This Row],[Completed Orders]])-Salary_Calculation[[#This Row],[Rider Target Orders]],0))</f>
        <v/>
      </c>
      <c r="P414" s="164" t="str">
        <f aca="false">IF(Salary_Calculation[[#This Row],[Source Row]]="","",Salary_Calculation[[#This Row],[Extra Orders]]*Extra_Rate)</f>
        <v/>
      </c>
      <c r="Q414" s="164" t="str">
        <f aca="false">IF(Salary_Calculation[[#This Row],[Source Row]]="","",MAX(Salary_Calculation[[#This Row],[Salary Before Other Deductions]],0))</f>
        <v/>
      </c>
      <c r="R414" s="164" t="str">
        <f aca="false">IF(Salary_Calculation[[#This Row],[Source Row]]="","",N(INDEX(Rider_Input[missed_days_penalty],Salary_Calculation[[#This Row],[Source Row]])))</f>
        <v/>
      </c>
      <c r="S414" s="164" t="str">
        <f aca="false">IF(Salary_Calculation[[#This Row],[Source Row]]="","",N(INDEX(Rider_Input[Rider Balance / محفظة المندوب],Salary_Calculation[[#This Row],[Source Row]])))</f>
        <v/>
      </c>
      <c r="T414" s="164" t="str">
        <f aca="false">IF(Salary_Calculation[[#This Row],[Source Row]]="","",N(INDEX(Rider_Input[stacking_deduction / خصم الطلبات المتعددة],Salary_Calculation[[#This Row],[Source Row]])))</f>
        <v/>
      </c>
      <c r="U414" s="164" t="str">
        <f aca="false">IF(Salary_Calculation[[#This Row],[Source Row]]="","",N(INDEX(Rider_Input[Other Deductions],Salary_Calculation[[#This Row],[Source Row]])))</f>
        <v/>
      </c>
      <c r="V414" s="164" t="str">
        <f aca="false">IF(Salary_Calculation[[#This Row],[Source Row]]="","",N(Salary_Calculation[[#This Row],[missed_days_penalty]])+N(Salary_Calculation[[#This Row],[Rider Balance]])+N(Salary_Calculation[[#This Row],[stacking_deduction]])+N(Salary_Calculation[[#This Row],[Other Deductions]]))</f>
        <v/>
      </c>
      <c r="W414" s="167" t="str">
        <f aca="false">IF(Salary_Calculation[[#This Row],[Source Row]]="","",ROUND(MAX(Salary_Calculation[[#This Row],[Gross Salary Before Deductions]]-Salary_Calculation[[#This Row],[Total Deductions]],0),2))</f>
        <v/>
      </c>
      <c r="X414" s="164" t="str">
        <f aca="false">IF(Salary_Calculation[[#This Row],[Source Row]]="","",ROUND(MAX(Salary_Calculation[[#This Row],[Missing-Order Deduction]]-Salary_Calculation[[#This Row],[Earned Salary]],0),2))</f>
        <v/>
      </c>
      <c r="Y41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14" s="163" t="str">
        <f aca="false">IF(Salary_Calculation[[#This Row],[Source Row]]="","",IF(INDEX(Rider_Input[Notes],Salary_Calculation[[#This Row],[Source Row]])="","",INDEX(Rider_Input[Notes],Salary_Calculation[[#This Row],[Source Row]])))</f>
        <v/>
      </c>
      <c r="AA414" s="164" t="str">
        <f aca="false">IF(Salary_Calculation[[#This Row],[Source Row]]="","",Salary_Calculation[[#This Row],[Earned Salary]]-Salary_Calculation[[#This Row],[Missing-Order Deduction]]+Salary_Calculation[[#This Row],[Extra-Order Bonus]])</f>
        <v/>
      </c>
      <c r="AB414" s="164" t="str">
        <f aca="false">IF(Salary_Calculation[[#This Row],[Source Row]]="","",ROUND(Salary_Calculation[[#This Row],[Negative Balance / Amount Due from Rider]]+MAX(Salary_Calculation[[#This Row],[Total Deductions]]-Salary_Calculation[[#This Row],[Gross Salary Before Deductions]],0),2))</f>
        <v/>
      </c>
      <c r="AC41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14" s="164" t="str">
        <f aca="false">IF(Salary_Calculation[[#This Row],[Source Row]]="","",Salary_Calculation[[#This Row],[Rider Target Orders]]*Salary_Calculation[[#This Row],[Base Order Rate]])</f>
        <v/>
      </c>
      <c r="AE414" s="162" t="str">
        <f aca="false">IF(SUMPRODUCT(--(LEN(INDEX(Rider_Input[#Data],ROW()-ROW(Salary_Calculation[#Headers]),0))&gt;0))=0,"",ROW()-ROW(Salary_Calculation[#Headers]))</f>
        <v/>
      </c>
    </row>
    <row r="415" customFormat="false" ht="14.25" hidden="false" customHeight="false" outlineLevel="0" collapsed="false">
      <c r="A415" s="161" t="str">
        <f aca="false">IF(Salary_Calculation[[#This Row],[Source Row]]="","",IF(INDEX(Rider_Input[Salary Month],Salary_Calculation[[#This Row],[Source Row]])="","",INDEX(Rider_Input[Salary Month],Salary_Calculation[[#This Row],[Source Row]])))</f>
        <v/>
      </c>
      <c r="B415" s="162" t="str">
        <f aca="false">IF(Salary_Calculation[[#This Row],[Source Row]]="","",IF(INDEX(Rider_Input[Rider ID],Salary_Calculation[[#This Row],[Source Row]])="","",INDEX(Rider_Input[Rider ID],Salary_Calculation[[#This Row],[Source Row]])))</f>
        <v/>
      </c>
      <c r="C415" s="163" t="str">
        <f aca="false">IF(Salary_Calculation[[#This Row],[Source Row]]="","",IF(INDEX(Rider_Input[Rider Name],Salary_Calculation[[#This Row],[Source Row]])="","",INDEX(Rider_Input[Rider Name],Salary_Calculation[[#This Row],[Source Row]])))</f>
        <v/>
      </c>
      <c r="D415" s="164" t="str">
        <f aca="false">IF(Salary_Calculation[[#This Row],[Source Row]]="","",IF(INDEX(Rider_Input[Basic Payment],Salary_Calculation[[#This Row],[Source Row]])="","",INDEX(Rider_Input[Basic Payment],Salary_Calculation[[#This Row],[Source Row]])))</f>
        <v/>
      </c>
      <c r="E415" s="162" t="str">
        <f aca="false">IF(Salary_Calculation[[#This Row],[Source Row]]="","",IF(INDEX(Rider_Input[Calendar Days in Month],Salary_Calculation[[#This Row],[Source Row]])="","",INDEX(Rider_Input[Calendar Days in Month],Salary_Calculation[[#This Row],[Source Row]])))</f>
        <v/>
      </c>
      <c r="F415" s="162" t="str">
        <f aca="false">IF(Salary_Calculation[[#This Row],[Source Row]]="","",IF(INDEX(Rider_Input[Working Days],Salary_Calculation[[#This Row],[Source Row]])="","",INDEX(Rider_Input[Working Days],Salary_Calculation[[#This Row],[Source Row]])))</f>
        <v/>
      </c>
      <c r="G415" s="165" t="str">
        <f aca="false">IF(Salary_Calculation[[#This Row],[Source Row]]="","",Std_Orders/Std_Days*N(Salary_Calculation[[#This Row],[Calendar Days]]))</f>
        <v/>
      </c>
      <c r="H415" s="165" t="str">
        <f aca="false">IF(Salary_Calculation[[#This Row],[Source Row]]="","",IF(N(Salary_Calculation[[#This Row],[Calendar Days]])&gt;0,Salary_Calculation[[#This Row],[Monthly Target Orders]]/N(Salary_Calculation[[#This Row],[Calendar Days]])*N(Salary_Calculation[[#This Row],[Working Days]]),0))</f>
        <v/>
      </c>
      <c r="I415" s="166" t="str">
        <f aca="false">IF(Salary_Calculation[[#This Row],[Source Row]]="","",IF(INDEX(Rider_Input[Completed Orders],Salary_Calculation[[#This Row],[Source Row]])="","",INDEX(Rider_Input[Completed Orders],Salary_Calculation[[#This Row],[Source Row]])))</f>
        <v/>
      </c>
      <c r="J415" s="165" t="str">
        <f aca="false">IF(Salary_Calculation[[#This Row],[Source Row]]="","",IF(Rate_Method="Fixed rate",Fixed_Rate,IF(N(Salary_Calculation[[#This Row],[Basic Payment]])&gt;0,N(Salary_Calculation[[#This Row],[Basic Payment]])/Std_Orders,0)))</f>
        <v/>
      </c>
      <c r="K415" s="165" t="str">
        <f aca="false">IF(Salary_Calculation[[#This Row],[Source Row]]="","",MAX(MIN(N(Salary_Calculation[[#This Row],[Completed Orders]]),Salary_Calculation[[#This Row],[Rider Target Orders]]),0))</f>
        <v/>
      </c>
      <c r="L415" s="164" t="str">
        <f aca="false">IF(Salary_Calculation[[#This Row],[Source Row]]="","",Salary_Calculation[[#This Row],[Orders Counted at Base Rate]]*Salary_Calculation[[#This Row],[Base Order Rate]])</f>
        <v/>
      </c>
      <c r="M415" s="165" t="str">
        <f aca="false">IF(Salary_Calculation[[#This Row],[Source Row]]="","",MAX(Salary_Calculation[[#This Row],[Rider Target Orders]]-N(Salary_Calculation[[#This Row],[Completed Orders]]),0))</f>
        <v/>
      </c>
      <c r="N415" s="164" t="str">
        <f aca="false">IF(Salary_Calculation[[#This Row],[Source Row]]="","",Salary_Calculation[[#This Row],[Missing Orders]]*Missing_Rate)</f>
        <v/>
      </c>
      <c r="O415" s="165" t="str">
        <f aca="false">IF(Salary_Calculation[[#This Row],[Source Row]]="","",MAX(N(Salary_Calculation[[#This Row],[Completed Orders]])-Salary_Calculation[[#This Row],[Rider Target Orders]],0))</f>
        <v/>
      </c>
      <c r="P415" s="164" t="str">
        <f aca="false">IF(Salary_Calculation[[#This Row],[Source Row]]="","",Salary_Calculation[[#This Row],[Extra Orders]]*Extra_Rate)</f>
        <v/>
      </c>
      <c r="Q415" s="164" t="str">
        <f aca="false">IF(Salary_Calculation[[#This Row],[Source Row]]="","",MAX(Salary_Calculation[[#This Row],[Salary Before Other Deductions]],0))</f>
        <v/>
      </c>
      <c r="R415" s="164" t="str">
        <f aca="false">IF(Salary_Calculation[[#This Row],[Source Row]]="","",N(INDEX(Rider_Input[missed_days_penalty],Salary_Calculation[[#This Row],[Source Row]])))</f>
        <v/>
      </c>
      <c r="S415" s="164" t="str">
        <f aca="false">IF(Salary_Calculation[[#This Row],[Source Row]]="","",N(INDEX(Rider_Input[Rider Balance / محفظة المندوب],Salary_Calculation[[#This Row],[Source Row]])))</f>
        <v/>
      </c>
      <c r="T415" s="164" t="str">
        <f aca="false">IF(Salary_Calculation[[#This Row],[Source Row]]="","",N(INDEX(Rider_Input[stacking_deduction / خصم الطلبات المتعددة],Salary_Calculation[[#This Row],[Source Row]])))</f>
        <v/>
      </c>
      <c r="U415" s="164" t="str">
        <f aca="false">IF(Salary_Calculation[[#This Row],[Source Row]]="","",N(INDEX(Rider_Input[Other Deductions],Salary_Calculation[[#This Row],[Source Row]])))</f>
        <v/>
      </c>
      <c r="V415" s="164" t="str">
        <f aca="false">IF(Salary_Calculation[[#This Row],[Source Row]]="","",N(Salary_Calculation[[#This Row],[missed_days_penalty]])+N(Salary_Calculation[[#This Row],[Rider Balance]])+N(Salary_Calculation[[#This Row],[stacking_deduction]])+N(Salary_Calculation[[#This Row],[Other Deductions]]))</f>
        <v/>
      </c>
      <c r="W415" s="167" t="str">
        <f aca="false">IF(Salary_Calculation[[#This Row],[Source Row]]="","",ROUND(MAX(Salary_Calculation[[#This Row],[Gross Salary Before Deductions]]-Salary_Calculation[[#This Row],[Total Deductions]],0),2))</f>
        <v/>
      </c>
      <c r="X415" s="164" t="str">
        <f aca="false">IF(Salary_Calculation[[#This Row],[Source Row]]="","",ROUND(MAX(Salary_Calculation[[#This Row],[Missing-Order Deduction]]-Salary_Calculation[[#This Row],[Earned Salary]],0),2))</f>
        <v/>
      </c>
      <c r="Y41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15" s="163" t="str">
        <f aca="false">IF(Salary_Calculation[[#This Row],[Source Row]]="","",IF(INDEX(Rider_Input[Notes],Salary_Calculation[[#This Row],[Source Row]])="","",INDEX(Rider_Input[Notes],Salary_Calculation[[#This Row],[Source Row]])))</f>
        <v/>
      </c>
      <c r="AA415" s="164" t="str">
        <f aca="false">IF(Salary_Calculation[[#This Row],[Source Row]]="","",Salary_Calculation[[#This Row],[Earned Salary]]-Salary_Calculation[[#This Row],[Missing-Order Deduction]]+Salary_Calculation[[#This Row],[Extra-Order Bonus]])</f>
        <v/>
      </c>
      <c r="AB415" s="164" t="str">
        <f aca="false">IF(Salary_Calculation[[#This Row],[Source Row]]="","",ROUND(Salary_Calculation[[#This Row],[Negative Balance / Amount Due from Rider]]+MAX(Salary_Calculation[[#This Row],[Total Deductions]]-Salary_Calculation[[#This Row],[Gross Salary Before Deductions]],0),2))</f>
        <v/>
      </c>
      <c r="AC41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15" s="164" t="str">
        <f aca="false">IF(Salary_Calculation[[#This Row],[Source Row]]="","",Salary_Calculation[[#This Row],[Rider Target Orders]]*Salary_Calculation[[#This Row],[Base Order Rate]])</f>
        <v/>
      </c>
      <c r="AE415" s="162" t="str">
        <f aca="false">IF(SUMPRODUCT(--(LEN(INDEX(Rider_Input[#Data],ROW()-ROW(Salary_Calculation[#Headers]),0))&gt;0))=0,"",ROW()-ROW(Salary_Calculation[#Headers]))</f>
        <v/>
      </c>
    </row>
    <row r="416" customFormat="false" ht="14.25" hidden="false" customHeight="false" outlineLevel="0" collapsed="false">
      <c r="A416" s="161" t="str">
        <f aca="false">IF(Salary_Calculation[[#This Row],[Source Row]]="","",IF(INDEX(Rider_Input[Salary Month],Salary_Calculation[[#This Row],[Source Row]])="","",INDEX(Rider_Input[Salary Month],Salary_Calculation[[#This Row],[Source Row]])))</f>
        <v/>
      </c>
      <c r="B416" s="162" t="str">
        <f aca="false">IF(Salary_Calculation[[#This Row],[Source Row]]="","",IF(INDEX(Rider_Input[Rider ID],Salary_Calculation[[#This Row],[Source Row]])="","",INDEX(Rider_Input[Rider ID],Salary_Calculation[[#This Row],[Source Row]])))</f>
        <v/>
      </c>
      <c r="C416" s="163" t="str">
        <f aca="false">IF(Salary_Calculation[[#This Row],[Source Row]]="","",IF(INDEX(Rider_Input[Rider Name],Salary_Calculation[[#This Row],[Source Row]])="","",INDEX(Rider_Input[Rider Name],Salary_Calculation[[#This Row],[Source Row]])))</f>
        <v/>
      </c>
      <c r="D416" s="164" t="str">
        <f aca="false">IF(Salary_Calculation[[#This Row],[Source Row]]="","",IF(INDEX(Rider_Input[Basic Payment],Salary_Calculation[[#This Row],[Source Row]])="","",INDEX(Rider_Input[Basic Payment],Salary_Calculation[[#This Row],[Source Row]])))</f>
        <v/>
      </c>
      <c r="E416" s="162" t="str">
        <f aca="false">IF(Salary_Calculation[[#This Row],[Source Row]]="","",IF(INDEX(Rider_Input[Calendar Days in Month],Salary_Calculation[[#This Row],[Source Row]])="","",INDEX(Rider_Input[Calendar Days in Month],Salary_Calculation[[#This Row],[Source Row]])))</f>
        <v/>
      </c>
      <c r="F416" s="162" t="str">
        <f aca="false">IF(Salary_Calculation[[#This Row],[Source Row]]="","",IF(INDEX(Rider_Input[Working Days],Salary_Calculation[[#This Row],[Source Row]])="","",INDEX(Rider_Input[Working Days],Salary_Calculation[[#This Row],[Source Row]])))</f>
        <v/>
      </c>
      <c r="G416" s="165" t="str">
        <f aca="false">IF(Salary_Calculation[[#This Row],[Source Row]]="","",Std_Orders/Std_Days*N(Salary_Calculation[[#This Row],[Calendar Days]]))</f>
        <v/>
      </c>
      <c r="H416" s="165" t="str">
        <f aca="false">IF(Salary_Calculation[[#This Row],[Source Row]]="","",IF(N(Salary_Calculation[[#This Row],[Calendar Days]])&gt;0,Salary_Calculation[[#This Row],[Monthly Target Orders]]/N(Salary_Calculation[[#This Row],[Calendar Days]])*N(Salary_Calculation[[#This Row],[Working Days]]),0))</f>
        <v/>
      </c>
      <c r="I416" s="166" t="str">
        <f aca="false">IF(Salary_Calculation[[#This Row],[Source Row]]="","",IF(INDEX(Rider_Input[Completed Orders],Salary_Calculation[[#This Row],[Source Row]])="","",INDEX(Rider_Input[Completed Orders],Salary_Calculation[[#This Row],[Source Row]])))</f>
        <v/>
      </c>
      <c r="J416" s="165" t="str">
        <f aca="false">IF(Salary_Calculation[[#This Row],[Source Row]]="","",IF(Rate_Method="Fixed rate",Fixed_Rate,IF(N(Salary_Calculation[[#This Row],[Basic Payment]])&gt;0,N(Salary_Calculation[[#This Row],[Basic Payment]])/Std_Orders,0)))</f>
        <v/>
      </c>
      <c r="K416" s="165" t="str">
        <f aca="false">IF(Salary_Calculation[[#This Row],[Source Row]]="","",MAX(MIN(N(Salary_Calculation[[#This Row],[Completed Orders]]),Salary_Calculation[[#This Row],[Rider Target Orders]]),0))</f>
        <v/>
      </c>
      <c r="L416" s="164" t="str">
        <f aca="false">IF(Salary_Calculation[[#This Row],[Source Row]]="","",Salary_Calculation[[#This Row],[Orders Counted at Base Rate]]*Salary_Calculation[[#This Row],[Base Order Rate]])</f>
        <v/>
      </c>
      <c r="M416" s="165" t="str">
        <f aca="false">IF(Salary_Calculation[[#This Row],[Source Row]]="","",MAX(Salary_Calculation[[#This Row],[Rider Target Orders]]-N(Salary_Calculation[[#This Row],[Completed Orders]]),0))</f>
        <v/>
      </c>
      <c r="N416" s="164" t="str">
        <f aca="false">IF(Salary_Calculation[[#This Row],[Source Row]]="","",Salary_Calculation[[#This Row],[Missing Orders]]*Missing_Rate)</f>
        <v/>
      </c>
      <c r="O416" s="165" t="str">
        <f aca="false">IF(Salary_Calculation[[#This Row],[Source Row]]="","",MAX(N(Salary_Calculation[[#This Row],[Completed Orders]])-Salary_Calculation[[#This Row],[Rider Target Orders]],0))</f>
        <v/>
      </c>
      <c r="P416" s="164" t="str">
        <f aca="false">IF(Salary_Calculation[[#This Row],[Source Row]]="","",Salary_Calculation[[#This Row],[Extra Orders]]*Extra_Rate)</f>
        <v/>
      </c>
      <c r="Q416" s="164" t="str">
        <f aca="false">IF(Salary_Calculation[[#This Row],[Source Row]]="","",MAX(Salary_Calculation[[#This Row],[Salary Before Other Deductions]],0))</f>
        <v/>
      </c>
      <c r="R416" s="164" t="str">
        <f aca="false">IF(Salary_Calculation[[#This Row],[Source Row]]="","",N(INDEX(Rider_Input[missed_days_penalty],Salary_Calculation[[#This Row],[Source Row]])))</f>
        <v/>
      </c>
      <c r="S416" s="164" t="str">
        <f aca="false">IF(Salary_Calculation[[#This Row],[Source Row]]="","",N(INDEX(Rider_Input[Rider Balance / محفظة المندوب],Salary_Calculation[[#This Row],[Source Row]])))</f>
        <v/>
      </c>
      <c r="T416" s="164" t="str">
        <f aca="false">IF(Salary_Calculation[[#This Row],[Source Row]]="","",N(INDEX(Rider_Input[stacking_deduction / خصم الطلبات المتعددة],Salary_Calculation[[#This Row],[Source Row]])))</f>
        <v/>
      </c>
      <c r="U416" s="164" t="str">
        <f aca="false">IF(Salary_Calculation[[#This Row],[Source Row]]="","",N(INDEX(Rider_Input[Other Deductions],Salary_Calculation[[#This Row],[Source Row]])))</f>
        <v/>
      </c>
      <c r="V416" s="164" t="str">
        <f aca="false">IF(Salary_Calculation[[#This Row],[Source Row]]="","",N(Salary_Calculation[[#This Row],[missed_days_penalty]])+N(Salary_Calculation[[#This Row],[Rider Balance]])+N(Salary_Calculation[[#This Row],[stacking_deduction]])+N(Salary_Calculation[[#This Row],[Other Deductions]]))</f>
        <v/>
      </c>
      <c r="W416" s="167" t="str">
        <f aca="false">IF(Salary_Calculation[[#This Row],[Source Row]]="","",ROUND(MAX(Salary_Calculation[[#This Row],[Gross Salary Before Deductions]]-Salary_Calculation[[#This Row],[Total Deductions]],0),2))</f>
        <v/>
      </c>
      <c r="X416" s="164" t="str">
        <f aca="false">IF(Salary_Calculation[[#This Row],[Source Row]]="","",ROUND(MAX(Salary_Calculation[[#This Row],[Missing-Order Deduction]]-Salary_Calculation[[#This Row],[Earned Salary]],0),2))</f>
        <v/>
      </c>
      <c r="Y41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16" s="163" t="str">
        <f aca="false">IF(Salary_Calculation[[#This Row],[Source Row]]="","",IF(INDEX(Rider_Input[Notes],Salary_Calculation[[#This Row],[Source Row]])="","",INDEX(Rider_Input[Notes],Salary_Calculation[[#This Row],[Source Row]])))</f>
        <v/>
      </c>
      <c r="AA416" s="164" t="str">
        <f aca="false">IF(Salary_Calculation[[#This Row],[Source Row]]="","",Salary_Calculation[[#This Row],[Earned Salary]]-Salary_Calculation[[#This Row],[Missing-Order Deduction]]+Salary_Calculation[[#This Row],[Extra-Order Bonus]])</f>
        <v/>
      </c>
      <c r="AB416" s="164" t="str">
        <f aca="false">IF(Salary_Calculation[[#This Row],[Source Row]]="","",ROUND(Salary_Calculation[[#This Row],[Negative Balance / Amount Due from Rider]]+MAX(Salary_Calculation[[#This Row],[Total Deductions]]-Salary_Calculation[[#This Row],[Gross Salary Before Deductions]],0),2))</f>
        <v/>
      </c>
      <c r="AC41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16" s="164" t="str">
        <f aca="false">IF(Salary_Calculation[[#This Row],[Source Row]]="","",Salary_Calculation[[#This Row],[Rider Target Orders]]*Salary_Calculation[[#This Row],[Base Order Rate]])</f>
        <v/>
      </c>
      <c r="AE416" s="162" t="str">
        <f aca="false">IF(SUMPRODUCT(--(LEN(INDEX(Rider_Input[#Data],ROW()-ROW(Salary_Calculation[#Headers]),0))&gt;0))=0,"",ROW()-ROW(Salary_Calculation[#Headers]))</f>
        <v/>
      </c>
    </row>
    <row r="417" customFormat="false" ht="14.25" hidden="false" customHeight="false" outlineLevel="0" collapsed="false">
      <c r="A417" s="161" t="str">
        <f aca="false">IF(Salary_Calculation[[#This Row],[Source Row]]="","",IF(INDEX(Rider_Input[Salary Month],Salary_Calculation[[#This Row],[Source Row]])="","",INDEX(Rider_Input[Salary Month],Salary_Calculation[[#This Row],[Source Row]])))</f>
        <v/>
      </c>
      <c r="B417" s="162" t="str">
        <f aca="false">IF(Salary_Calculation[[#This Row],[Source Row]]="","",IF(INDEX(Rider_Input[Rider ID],Salary_Calculation[[#This Row],[Source Row]])="","",INDEX(Rider_Input[Rider ID],Salary_Calculation[[#This Row],[Source Row]])))</f>
        <v/>
      </c>
      <c r="C417" s="163" t="str">
        <f aca="false">IF(Salary_Calculation[[#This Row],[Source Row]]="","",IF(INDEX(Rider_Input[Rider Name],Salary_Calculation[[#This Row],[Source Row]])="","",INDEX(Rider_Input[Rider Name],Salary_Calculation[[#This Row],[Source Row]])))</f>
        <v/>
      </c>
      <c r="D417" s="164" t="str">
        <f aca="false">IF(Salary_Calculation[[#This Row],[Source Row]]="","",IF(INDEX(Rider_Input[Basic Payment],Salary_Calculation[[#This Row],[Source Row]])="","",INDEX(Rider_Input[Basic Payment],Salary_Calculation[[#This Row],[Source Row]])))</f>
        <v/>
      </c>
      <c r="E417" s="162" t="str">
        <f aca="false">IF(Salary_Calculation[[#This Row],[Source Row]]="","",IF(INDEX(Rider_Input[Calendar Days in Month],Salary_Calculation[[#This Row],[Source Row]])="","",INDEX(Rider_Input[Calendar Days in Month],Salary_Calculation[[#This Row],[Source Row]])))</f>
        <v/>
      </c>
      <c r="F417" s="162" t="str">
        <f aca="false">IF(Salary_Calculation[[#This Row],[Source Row]]="","",IF(INDEX(Rider_Input[Working Days],Salary_Calculation[[#This Row],[Source Row]])="","",INDEX(Rider_Input[Working Days],Salary_Calculation[[#This Row],[Source Row]])))</f>
        <v/>
      </c>
      <c r="G417" s="165" t="str">
        <f aca="false">IF(Salary_Calculation[[#This Row],[Source Row]]="","",Std_Orders/Std_Days*N(Salary_Calculation[[#This Row],[Calendar Days]]))</f>
        <v/>
      </c>
      <c r="H417" s="165" t="str">
        <f aca="false">IF(Salary_Calculation[[#This Row],[Source Row]]="","",IF(N(Salary_Calculation[[#This Row],[Calendar Days]])&gt;0,Salary_Calculation[[#This Row],[Monthly Target Orders]]/N(Salary_Calculation[[#This Row],[Calendar Days]])*N(Salary_Calculation[[#This Row],[Working Days]]),0))</f>
        <v/>
      </c>
      <c r="I417" s="166" t="str">
        <f aca="false">IF(Salary_Calculation[[#This Row],[Source Row]]="","",IF(INDEX(Rider_Input[Completed Orders],Salary_Calculation[[#This Row],[Source Row]])="","",INDEX(Rider_Input[Completed Orders],Salary_Calculation[[#This Row],[Source Row]])))</f>
        <v/>
      </c>
      <c r="J417" s="165" t="str">
        <f aca="false">IF(Salary_Calculation[[#This Row],[Source Row]]="","",IF(Rate_Method="Fixed rate",Fixed_Rate,IF(N(Salary_Calculation[[#This Row],[Basic Payment]])&gt;0,N(Salary_Calculation[[#This Row],[Basic Payment]])/Std_Orders,0)))</f>
        <v/>
      </c>
      <c r="K417" s="165" t="str">
        <f aca="false">IF(Salary_Calculation[[#This Row],[Source Row]]="","",MAX(MIN(N(Salary_Calculation[[#This Row],[Completed Orders]]),Salary_Calculation[[#This Row],[Rider Target Orders]]),0))</f>
        <v/>
      </c>
      <c r="L417" s="164" t="str">
        <f aca="false">IF(Salary_Calculation[[#This Row],[Source Row]]="","",Salary_Calculation[[#This Row],[Orders Counted at Base Rate]]*Salary_Calculation[[#This Row],[Base Order Rate]])</f>
        <v/>
      </c>
      <c r="M417" s="165" t="str">
        <f aca="false">IF(Salary_Calculation[[#This Row],[Source Row]]="","",MAX(Salary_Calculation[[#This Row],[Rider Target Orders]]-N(Salary_Calculation[[#This Row],[Completed Orders]]),0))</f>
        <v/>
      </c>
      <c r="N417" s="164" t="str">
        <f aca="false">IF(Salary_Calculation[[#This Row],[Source Row]]="","",Salary_Calculation[[#This Row],[Missing Orders]]*Missing_Rate)</f>
        <v/>
      </c>
      <c r="O417" s="165" t="str">
        <f aca="false">IF(Salary_Calculation[[#This Row],[Source Row]]="","",MAX(N(Salary_Calculation[[#This Row],[Completed Orders]])-Salary_Calculation[[#This Row],[Rider Target Orders]],0))</f>
        <v/>
      </c>
      <c r="P417" s="164" t="str">
        <f aca="false">IF(Salary_Calculation[[#This Row],[Source Row]]="","",Salary_Calculation[[#This Row],[Extra Orders]]*Extra_Rate)</f>
        <v/>
      </c>
      <c r="Q417" s="164" t="str">
        <f aca="false">IF(Salary_Calculation[[#This Row],[Source Row]]="","",MAX(Salary_Calculation[[#This Row],[Salary Before Other Deductions]],0))</f>
        <v/>
      </c>
      <c r="R417" s="164" t="str">
        <f aca="false">IF(Salary_Calculation[[#This Row],[Source Row]]="","",N(INDEX(Rider_Input[missed_days_penalty],Salary_Calculation[[#This Row],[Source Row]])))</f>
        <v/>
      </c>
      <c r="S417" s="164" t="str">
        <f aca="false">IF(Salary_Calculation[[#This Row],[Source Row]]="","",N(INDEX(Rider_Input[Rider Balance / محفظة المندوب],Salary_Calculation[[#This Row],[Source Row]])))</f>
        <v/>
      </c>
      <c r="T417" s="164" t="str">
        <f aca="false">IF(Salary_Calculation[[#This Row],[Source Row]]="","",N(INDEX(Rider_Input[stacking_deduction / خصم الطلبات المتعددة],Salary_Calculation[[#This Row],[Source Row]])))</f>
        <v/>
      </c>
      <c r="U417" s="164" t="str">
        <f aca="false">IF(Salary_Calculation[[#This Row],[Source Row]]="","",N(INDEX(Rider_Input[Other Deductions],Salary_Calculation[[#This Row],[Source Row]])))</f>
        <v/>
      </c>
      <c r="V417" s="164" t="str">
        <f aca="false">IF(Salary_Calculation[[#This Row],[Source Row]]="","",N(Salary_Calculation[[#This Row],[missed_days_penalty]])+N(Salary_Calculation[[#This Row],[Rider Balance]])+N(Salary_Calculation[[#This Row],[stacking_deduction]])+N(Salary_Calculation[[#This Row],[Other Deductions]]))</f>
        <v/>
      </c>
      <c r="W417" s="167" t="str">
        <f aca="false">IF(Salary_Calculation[[#This Row],[Source Row]]="","",ROUND(MAX(Salary_Calculation[[#This Row],[Gross Salary Before Deductions]]-Salary_Calculation[[#This Row],[Total Deductions]],0),2))</f>
        <v/>
      </c>
      <c r="X417" s="164" t="str">
        <f aca="false">IF(Salary_Calculation[[#This Row],[Source Row]]="","",ROUND(MAX(Salary_Calculation[[#This Row],[Missing-Order Deduction]]-Salary_Calculation[[#This Row],[Earned Salary]],0),2))</f>
        <v/>
      </c>
      <c r="Y41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17" s="163" t="str">
        <f aca="false">IF(Salary_Calculation[[#This Row],[Source Row]]="","",IF(INDEX(Rider_Input[Notes],Salary_Calculation[[#This Row],[Source Row]])="","",INDEX(Rider_Input[Notes],Salary_Calculation[[#This Row],[Source Row]])))</f>
        <v/>
      </c>
      <c r="AA417" s="164" t="str">
        <f aca="false">IF(Salary_Calculation[[#This Row],[Source Row]]="","",Salary_Calculation[[#This Row],[Earned Salary]]-Salary_Calculation[[#This Row],[Missing-Order Deduction]]+Salary_Calculation[[#This Row],[Extra-Order Bonus]])</f>
        <v/>
      </c>
      <c r="AB417" s="164" t="str">
        <f aca="false">IF(Salary_Calculation[[#This Row],[Source Row]]="","",ROUND(Salary_Calculation[[#This Row],[Negative Balance / Amount Due from Rider]]+MAX(Salary_Calculation[[#This Row],[Total Deductions]]-Salary_Calculation[[#This Row],[Gross Salary Before Deductions]],0),2))</f>
        <v/>
      </c>
      <c r="AC41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17" s="164" t="str">
        <f aca="false">IF(Salary_Calculation[[#This Row],[Source Row]]="","",Salary_Calculation[[#This Row],[Rider Target Orders]]*Salary_Calculation[[#This Row],[Base Order Rate]])</f>
        <v/>
      </c>
      <c r="AE417" s="162" t="str">
        <f aca="false">IF(SUMPRODUCT(--(LEN(INDEX(Rider_Input[#Data],ROW()-ROW(Salary_Calculation[#Headers]),0))&gt;0))=0,"",ROW()-ROW(Salary_Calculation[#Headers]))</f>
        <v/>
      </c>
    </row>
    <row r="418" customFormat="false" ht="14.25" hidden="false" customHeight="false" outlineLevel="0" collapsed="false">
      <c r="A418" s="161" t="str">
        <f aca="false">IF(Salary_Calculation[[#This Row],[Source Row]]="","",IF(INDEX(Rider_Input[Salary Month],Salary_Calculation[[#This Row],[Source Row]])="","",INDEX(Rider_Input[Salary Month],Salary_Calculation[[#This Row],[Source Row]])))</f>
        <v/>
      </c>
      <c r="B418" s="162" t="str">
        <f aca="false">IF(Salary_Calculation[[#This Row],[Source Row]]="","",IF(INDEX(Rider_Input[Rider ID],Salary_Calculation[[#This Row],[Source Row]])="","",INDEX(Rider_Input[Rider ID],Salary_Calculation[[#This Row],[Source Row]])))</f>
        <v/>
      </c>
      <c r="C418" s="163" t="str">
        <f aca="false">IF(Salary_Calculation[[#This Row],[Source Row]]="","",IF(INDEX(Rider_Input[Rider Name],Salary_Calculation[[#This Row],[Source Row]])="","",INDEX(Rider_Input[Rider Name],Salary_Calculation[[#This Row],[Source Row]])))</f>
        <v/>
      </c>
      <c r="D418" s="164" t="str">
        <f aca="false">IF(Salary_Calculation[[#This Row],[Source Row]]="","",IF(INDEX(Rider_Input[Basic Payment],Salary_Calculation[[#This Row],[Source Row]])="","",INDEX(Rider_Input[Basic Payment],Salary_Calculation[[#This Row],[Source Row]])))</f>
        <v/>
      </c>
      <c r="E418" s="162" t="str">
        <f aca="false">IF(Salary_Calculation[[#This Row],[Source Row]]="","",IF(INDEX(Rider_Input[Calendar Days in Month],Salary_Calculation[[#This Row],[Source Row]])="","",INDEX(Rider_Input[Calendar Days in Month],Salary_Calculation[[#This Row],[Source Row]])))</f>
        <v/>
      </c>
      <c r="F418" s="162" t="str">
        <f aca="false">IF(Salary_Calculation[[#This Row],[Source Row]]="","",IF(INDEX(Rider_Input[Working Days],Salary_Calculation[[#This Row],[Source Row]])="","",INDEX(Rider_Input[Working Days],Salary_Calculation[[#This Row],[Source Row]])))</f>
        <v/>
      </c>
      <c r="G418" s="165" t="str">
        <f aca="false">IF(Salary_Calculation[[#This Row],[Source Row]]="","",Std_Orders/Std_Days*N(Salary_Calculation[[#This Row],[Calendar Days]]))</f>
        <v/>
      </c>
      <c r="H418" s="165" t="str">
        <f aca="false">IF(Salary_Calculation[[#This Row],[Source Row]]="","",IF(N(Salary_Calculation[[#This Row],[Calendar Days]])&gt;0,Salary_Calculation[[#This Row],[Monthly Target Orders]]/N(Salary_Calculation[[#This Row],[Calendar Days]])*N(Salary_Calculation[[#This Row],[Working Days]]),0))</f>
        <v/>
      </c>
      <c r="I418" s="166" t="str">
        <f aca="false">IF(Salary_Calculation[[#This Row],[Source Row]]="","",IF(INDEX(Rider_Input[Completed Orders],Salary_Calculation[[#This Row],[Source Row]])="","",INDEX(Rider_Input[Completed Orders],Salary_Calculation[[#This Row],[Source Row]])))</f>
        <v/>
      </c>
      <c r="J418" s="165" t="str">
        <f aca="false">IF(Salary_Calculation[[#This Row],[Source Row]]="","",IF(Rate_Method="Fixed rate",Fixed_Rate,IF(N(Salary_Calculation[[#This Row],[Basic Payment]])&gt;0,N(Salary_Calculation[[#This Row],[Basic Payment]])/Std_Orders,0)))</f>
        <v/>
      </c>
      <c r="K418" s="165" t="str">
        <f aca="false">IF(Salary_Calculation[[#This Row],[Source Row]]="","",MAX(MIN(N(Salary_Calculation[[#This Row],[Completed Orders]]),Salary_Calculation[[#This Row],[Rider Target Orders]]),0))</f>
        <v/>
      </c>
      <c r="L418" s="164" t="str">
        <f aca="false">IF(Salary_Calculation[[#This Row],[Source Row]]="","",Salary_Calculation[[#This Row],[Orders Counted at Base Rate]]*Salary_Calculation[[#This Row],[Base Order Rate]])</f>
        <v/>
      </c>
      <c r="M418" s="165" t="str">
        <f aca="false">IF(Salary_Calculation[[#This Row],[Source Row]]="","",MAX(Salary_Calculation[[#This Row],[Rider Target Orders]]-N(Salary_Calculation[[#This Row],[Completed Orders]]),0))</f>
        <v/>
      </c>
      <c r="N418" s="164" t="str">
        <f aca="false">IF(Salary_Calculation[[#This Row],[Source Row]]="","",Salary_Calculation[[#This Row],[Missing Orders]]*Missing_Rate)</f>
        <v/>
      </c>
      <c r="O418" s="165" t="str">
        <f aca="false">IF(Salary_Calculation[[#This Row],[Source Row]]="","",MAX(N(Salary_Calculation[[#This Row],[Completed Orders]])-Salary_Calculation[[#This Row],[Rider Target Orders]],0))</f>
        <v/>
      </c>
      <c r="P418" s="164" t="str">
        <f aca="false">IF(Salary_Calculation[[#This Row],[Source Row]]="","",Salary_Calculation[[#This Row],[Extra Orders]]*Extra_Rate)</f>
        <v/>
      </c>
      <c r="Q418" s="164" t="str">
        <f aca="false">IF(Salary_Calculation[[#This Row],[Source Row]]="","",MAX(Salary_Calculation[[#This Row],[Salary Before Other Deductions]],0))</f>
        <v/>
      </c>
      <c r="R418" s="164" t="str">
        <f aca="false">IF(Salary_Calculation[[#This Row],[Source Row]]="","",N(INDEX(Rider_Input[missed_days_penalty],Salary_Calculation[[#This Row],[Source Row]])))</f>
        <v/>
      </c>
      <c r="S418" s="164" t="str">
        <f aca="false">IF(Salary_Calculation[[#This Row],[Source Row]]="","",N(INDEX(Rider_Input[Rider Balance / محفظة المندوب],Salary_Calculation[[#This Row],[Source Row]])))</f>
        <v/>
      </c>
      <c r="T418" s="164" t="str">
        <f aca="false">IF(Salary_Calculation[[#This Row],[Source Row]]="","",N(INDEX(Rider_Input[stacking_deduction / خصم الطلبات المتعددة],Salary_Calculation[[#This Row],[Source Row]])))</f>
        <v/>
      </c>
      <c r="U418" s="164" t="str">
        <f aca="false">IF(Salary_Calculation[[#This Row],[Source Row]]="","",N(INDEX(Rider_Input[Other Deductions],Salary_Calculation[[#This Row],[Source Row]])))</f>
        <v/>
      </c>
      <c r="V418" s="164" t="str">
        <f aca="false">IF(Salary_Calculation[[#This Row],[Source Row]]="","",N(Salary_Calculation[[#This Row],[missed_days_penalty]])+N(Salary_Calculation[[#This Row],[Rider Balance]])+N(Salary_Calculation[[#This Row],[stacking_deduction]])+N(Salary_Calculation[[#This Row],[Other Deductions]]))</f>
        <v/>
      </c>
      <c r="W418" s="167" t="str">
        <f aca="false">IF(Salary_Calculation[[#This Row],[Source Row]]="","",ROUND(MAX(Salary_Calculation[[#This Row],[Gross Salary Before Deductions]]-Salary_Calculation[[#This Row],[Total Deductions]],0),2))</f>
        <v/>
      </c>
      <c r="X418" s="164" t="str">
        <f aca="false">IF(Salary_Calculation[[#This Row],[Source Row]]="","",ROUND(MAX(Salary_Calculation[[#This Row],[Missing-Order Deduction]]-Salary_Calculation[[#This Row],[Earned Salary]],0),2))</f>
        <v/>
      </c>
      <c r="Y41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18" s="163" t="str">
        <f aca="false">IF(Salary_Calculation[[#This Row],[Source Row]]="","",IF(INDEX(Rider_Input[Notes],Salary_Calculation[[#This Row],[Source Row]])="","",INDEX(Rider_Input[Notes],Salary_Calculation[[#This Row],[Source Row]])))</f>
        <v/>
      </c>
      <c r="AA418" s="164" t="str">
        <f aca="false">IF(Salary_Calculation[[#This Row],[Source Row]]="","",Salary_Calculation[[#This Row],[Earned Salary]]-Salary_Calculation[[#This Row],[Missing-Order Deduction]]+Salary_Calculation[[#This Row],[Extra-Order Bonus]])</f>
        <v/>
      </c>
      <c r="AB418" s="164" t="str">
        <f aca="false">IF(Salary_Calculation[[#This Row],[Source Row]]="","",ROUND(Salary_Calculation[[#This Row],[Negative Balance / Amount Due from Rider]]+MAX(Salary_Calculation[[#This Row],[Total Deductions]]-Salary_Calculation[[#This Row],[Gross Salary Before Deductions]],0),2))</f>
        <v/>
      </c>
      <c r="AC41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18" s="164" t="str">
        <f aca="false">IF(Salary_Calculation[[#This Row],[Source Row]]="","",Salary_Calculation[[#This Row],[Rider Target Orders]]*Salary_Calculation[[#This Row],[Base Order Rate]])</f>
        <v/>
      </c>
      <c r="AE418" s="162" t="str">
        <f aca="false">IF(SUMPRODUCT(--(LEN(INDEX(Rider_Input[#Data],ROW()-ROW(Salary_Calculation[#Headers]),0))&gt;0))=0,"",ROW()-ROW(Salary_Calculation[#Headers]))</f>
        <v/>
      </c>
    </row>
    <row r="419" customFormat="false" ht="14.25" hidden="false" customHeight="false" outlineLevel="0" collapsed="false">
      <c r="A419" s="161" t="str">
        <f aca="false">IF(Salary_Calculation[[#This Row],[Source Row]]="","",IF(INDEX(Rider_Input[Salary Month],Salary_Calculation[[#This Row],[Source Row]])="","",INDEX(Rider_Input[Salary Month],Salary_Calculation[[#This Row],[Source Row]])))</f>
        <v/>
      </c>
      <c r="B419" s="162" t="str">
        <f aca="false">IF(Salary_Calculation[[#This Row],[Source Row]]="","",IF(INDEX(Rider_Input[Rider ID],Salary_Calculation[[#This Row],[Source Row]])="","",INDEX(Rider_Input[Rider ID],Salary_Calculation[[#This Row],[Source Row]])))</f>
        <v/>
      </c>
      <c r="C419" s="163" t="str">
        <f aca="false">IF(Salary_Calculation[[#This Row],[Source Row]]="","",IF(INDEX(Rider_Input[Rider Name],Salary_Calculation[[#This Row],[Source Row]])="","",INDEX(Rider_Input[Rider Name],Salary_Calculation[[#This Row],[Source Row]])))</f>
        <v/>
      </c>
      <c r="D419" s="164" t="str">
        <f aca="false">IF(Salary_Calculation[[#This Row],[Source Row]]="","",IF(INDEX(Rider_Input[Basic Payment],Salary_Calculation[[#This Row],[Source Row]])="","",INDEX(Rider_Input[Basic Payment],Salary_Calculation[[#This Row],[Source Row]])))</f>
        <v/>
      </c>
      <c r="E419" s="162" t="str">
        <f aca="false">IF(Salary_Calculation[[#This Row],[Source Row]]="","",IF(INDEX(Rider_Input[Calendar Days in Month],Salary_Calculation[[#This Row],[Source Row]])="","",INDEX(Rider_Input[Calendar Days in Month],Salary_Calculation[[#This Row],[Source Row]])))</f>
        <v/>
      </c>
      <c r="F419" s="162" t="str">
        <f aca="false">IF(Salary_Calculation[[#This Row],[Source Row]]="","",IF(INDEX(Rider_Input[Working Days],Salary_Calculation[[#This Row],[Source Row]])="","",INDEX(Rider_Input[Working Days],Salary_Calculation[[#This Row],[Source Row]])))</f>
        <v/>
      </c>
      <c r="G419" s="165" t="str">
        <f aca="false">IF(Salary_Calculation[[#This Row],[Source Row]]="","",Std_Orders/Std_Days*N(Salary_Calculation[[#This Row],[Calendar Days]]))</f>
        <v/>
      </c>
      <c r="H419" s="165" t="str">
        <f aca="false">IF(Salary_Calculation[[#This Row],[Source Row]]="","",IF(N(Salary_Calculation[[#This Row],[Calendar Days]])&gt;0,Salary_Calculation[[#This Row],[Monthly Target Orders]]/N(Salary_Calculation[[#This Row],[Calendar Days]])*N(Salary_Calculation[[#This Row],[Working Days]]),0))</f>
        <v/>
      </c>
      <c r="I419" s="166" t="str">
        <f aca="false">IF(Salary_Calculation[[#This Row],[Source Row]]="","",IF(INDEX(Rider_Input[Completed Orders],Salary_Calculation[[#This Row],[Source Row]])="","",INDEX(Rider_Input[Completed Orders],Salary_Calculation[[#This Row],[Source Row]])))</f>
        <v/>
      </c>
      <c r="J419" s="165" t="str">
        <f aca="false">IF(Salary_Calculation[[#This Row],[Source Row]]="","",IF(Rate_Method="Fixed rate",Fixed_Rate,IF(N(Salary_Calculation[[#This Row],[Basic Payment]])&gt;0,N(Salary_Calculation[[#This Row],[Basic Payment]])/Std_Orders,0)))</f>
        <v/>
      </c>
      <c r="K419" s="165" t="str">
        <f aca="false">IF(Salary_Calculation[[#This Row],[Source Row]]="","",MAX(MIN(N(Salary_Calculation[[#This Row],[Completed Orders]]),Salary_Calculation[[#This Row],[Rider Target Orders]]),0))</f>
        <v/>
      </c>
      <c r="L419" s="164" t="str">
        <f aca="false">IF(Salary_Calculation[[#This Row],[Source Row]]="","",Salary_Calculation[[#This Row],[Orders Counted at Base Rate]]*Salary_Calculation[[#This Row],[Base Order Rate]])</f>
        <v/>
      </c>
      <c r="M419" s="165" t="str">
        <f aca="false">IF(Salary_Calculation[[#This Row],[Source Row]]="","",MAX(Salary_Calculation[[#This Row],[Rider Target Orders]]-N(Salary_Calculation[[#This Row],[Completed Orders]]),0))</f>
        <v/>
      </c>
      <c r="N419" s="164" t="str">
        <f aca="false">IF(Salary_Calculation[[#This Row],[Source Row]]="","",Salary_Calculation[[#This Row],[Missing Orders]]*Missing_Rate)</f>
        <v/>
      </c>
      <c r="O419" s="165" t="str">
        <f aca="false">IF(Salary_Calculation[[#This Row],[Source Row]]="","",MAX(N(Salary_Calculation[[#This Row],[Completed Orders]])-Salary_Calculation[[#This Row],[Rider Target Orders]],0))</f>
        <v/>
      </c>
      <c r="P419" s="164" t="str">
        <f aca="false">IF(Salary_Calculation[[#This Row],[Source Row]]="","",Salary_Calculation[[#This Row],[Extra Orders]]*Extra_Rate)</f>
        <v/>
      </c>
      <c r="Q419" s="164" t="str">
        <f aca="false">IF(Salary_Calculation[[#This Row],[Source Row]]="","",MAX(Salary_Calculation[[#This Row],[Salary Before Other Deductions]],0))</f>
        <v/>
      </c>
      <c r="R419" s="164" t="str">
        <f aca="false">IF(Salary_Calculation[[#This Row],[Source Row]]="","",N(INDEX(Rider_Input[missed_days_penalty],Salary_Calculation[[#This Row],[Source Row]])))</f>
        <v/>
      </c>
      <c r="S419" s="164" t="str">
        <f aca="false">IF(Salary_Calculation[[#This Row],[Source Row]]="","",N(INDEX(Rider_Input[Rider Balance / محفظة المندوب],Salary_Calculation[[#This Row],[Source Row]])))</f>
        <v/>
      </c>
      <c r="T419" s="164" t="str">
        <f aca="false">IF(Salary_Calculation[[#This Row],[Source Row]]="","",N(INDEX(Rider_Input[stacking_deduction / خصم الطلبات المتعددة],Salary_Calculation[[#This Row],[Source Row]])))</f>
        <v/>
      </c>
      <c r="U419" s="164" t="str">
        <f aca="false">IF(Salary_Calculation[[#This Row],[Source Row]]="","",N(INDEX(Rider_Input[Other Deductions],Salary_Calculation[[#This Row],[Source Row]])))</f>
        <v/>
      </c>
      <c r="V419" s="164" t="str">
        <f aca="false">IF(Salary_Calculation[[#This Row],[Source Row]]="","",N(Salary_Calculation[[#This Row],[missed_days_penalty]])+N(Salary_Calculation[[#This Row],[Rider Balance]])+N(Salary_Calculation[[#This Row],[stacking_deduction]])+N(Salary_Calculation[[#This Row],[Other Deductions]]))</f>
        <v/>
      </c>
      <c r="W419" s="167" t="str">
        <f aca="false">IF(Salary_Calculation[[#This Row],[Source Row]]="","",ROUND(MAX(Salary_Calculation[[#This Row],[Gross Salary Before Deductions]]-Salary_Calculation[[#This Row],[Total Deductions]],0),2))</f>
        <v/>
      </c>
      <c r="X419" s="164" t="str">
        <f aca="false">IF(Salary_Calculation[[#This Row],[Source Row]]="","",ROUND(MAX(Salary_Calculation[[#This Row],[Missing-Order Deduction]]-Salary_Calculation[[#This Row],[Earned Salary]],0),2))</f>
        <v/>
      </c>
      <c r="Y41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19" s="163" t="str">
        <f aca="false">IF(Salary_Calculation[[#This Row],[Source Row]]="","",IF(INDEX(Rider_Input[Notes],Salary_Calculation[[#This Row],[Source Row]])="","",INDEX(Rider_Input[Notes],Salary_Calculation[[#This Row],[Source Row]])))</f>
        <v/>
      </c>
      <c r="AA419" s="164" t="str">
        <f aca="false">IF(Salary_Calculation[[#This Row],[Source Row]]="","",Salary_Calculation[[#This Row],[Earned Salary]]-Salary_Calculation[[#This Row],[Missing-Order Deduction]]+Salary_Calculation[[#This Row],[Extra-Order Bonus]])</f>
        <v/>
      </c>
      <c r="AB419" s="164" t="str">
        <f aca="false">IF(Salary_Calculation[[#This Row],[Source Row]]="","",ROUND(Salary_Calculation[[#This Row],[Negative Balance / Amount Due from Rider]]+MAX(Salary_Calculation[[#This Row],[Total Deductions]]-Salary_Calculation[[#This Row],[Gross Salary Before Deductions]],0),2))</f>
        <v/>
      </c>
      <c r="AC41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19" s="164" t="str">
        <f aca="false">IF(Salary_Calculation[[#This Row],[Source Row]]="","",Salary_Calculation[[#This Row],[Rider Target Orders]]*Salary_Calculation[[#This Row],[Base Order Rate]])</f>
        <v/>
      </c>
      <c r="AE419" s="162" t="str">
        <f aca="false">IF(SUMPRODUCT(--(LEN(INDEX(Rider_Input[#Data],ROW()-ROW(Salary_Calculation[#Headers]),0))&gt;0))=0,"",ROW()-ROW(Salary_Calculation[#Headers]))</f>
        <v/>
      </c>
    </row>
    <row r="420" customFormat="false" ht="14.25" hidden="false" customHeight="false" outlineLevel="0" collapsed="false">
      <c r="A420" s="161" t="str">
        <f aca="false">IF(Salary_Calculation[[#This Row],[Source Row]]="","",IF(INDEX(Rider_Input[Salary Month],Salary_Calculation[[#This Row],[Source Row]])="","",INDEX(Rider_Input[Salary Month],Salary_Calculation[[#This Row],[Source Row]])))</f>
        <v/>
      </c>
      <c r="B420" s="162" t="str">
        <f aca="false">IF(Salary_Calculation[[#This Row],[Source Row]]="","",IF(INDEX(Rider_Input[Rider ID],Salary_Calculation[[#This Row],[Source Row]])="","",INDEX(Rider_Input[Rider ID],Salary_Calculation[[#This Row],[Source Row]])))</f>
        <v/>
      </c>
      <c r="C420" s="163" t="str">
        <f aca="false">IF(Salary_Calculation[[#This Row],[Source Row]]="","",IF(INDEX(Rider_Input[Rider Name],Salary_Calculation[[#This Row],[Source Row]])="","",INDEX(Rider_Input[Rider Name],Salary_Calculation[[#This Row],[Source Row]])))</f>
        <v/>
      </c>
      <c r="D420" s="164" t="str">
        <f aca="false">IF(Salary_Calculation[[#This Row],[Source Row]]="","",IF(INDEX(Rider_Input[Basic Payment],Salary_Calculation[[#This Row],[Source Row]])="","",INDEX(Rider_Input[Basic Payment],Salary_Calculation[[#This Row],[Source Row]])))</f>
        <v/>
      </c>
      <c r="E420" s="162" t="str">
        <f aca="false">IF(Salary_Calculation[[#This Row],[Source Row]]="","",IF(INDEX(Rider_Input[Calendar Days in Month],Salary_Calculation[[#This Row],[Source Row]])="","",INDEX(Rider_Input[Calendar Days in Month],Salary_Calculation[[#This Row],[Source Row]])))</f>
        <v/>
      </c>
      <c r="F420" s="162" t="str">
        <f aca="false">IF(Salary_Calculation[[#This Row],[Source Row]]="","",IF(INDEX(Rider_Input[Working Days],Salary_Calculation[[#This Row],[Source Row]])="","",INDEX(Rider_Input[Working Days],Salary_Calculation[[#This Row],[Source Row]])))</f>
        <v/>
      </c>
      <c r="G420" s="165" t="str">
        <f aca="false">IF(Salary_Calculation[[#This Row],[Source Row]]="","",Std_Orders/Std_Days*N(Salary_Calculation[[#This Row],[Calendar Days]]))</f>
        <v/>
      </c>
      <c r="H420" s="165" t="str">
        <f aca="false">IF(Salary_Calculation[[#This Row],[Source Row]]="","",IF(N(Salary_Calculation[[#This Row],[Calendar Days]])&gt;0,Salary_Calculation[[#This Row],[Monthly Target Orders]]/N(Salary_Calculation[[#This Row],[Calendar Days]])*N(Salary_Calculation[[#This Row],[Working Days]]),0))</f>
        <v/>
      </c>
      <c r="I420" s="166" t="str">
        <f aca="false">IF(Salary_Calculation[[#This Row],[Source Row]]="","",IF(INDEX(Rider_Input[Completed Orders],Salary_Calculation[[#This Row],[Source Row]])="","",INDEX(Rider_Input[Completed Orders],Salary_Calculation[[#This Row],[Source Row]])))</f>
        <v/>
      </c>
      <c r="J420" s="165" t="str">
        <f aca="false">IF(Salary_Calculation[[#This Row],[Source Row]]="","",IF(Rate_Method="Fixed rate",Fixed_Rate,IF(N(Salary_Calculation[[#This Row],[Basic Payment]])&gt;0,N(Salary_Calculation[[#This Row],[Basic Payment]])/Std_Orders,0)))</f>
        <v/>
      </c>
      <c r="K420" s="165" t="str">
        <f aca="false">IF(Salary_Calculation[[#This Row],[Source Row]]="","",MAX(MIN(N(Salary_Calculation[[#This Row],[Completed Orders]]),Salary_Calculation[[#This Row],[Rider Target Orders]]),0))</f>
        <v/>
      </c>
      <c r="L420" s="164" t="str">
        <f aca="false">IF(Salary_Calculation[[#This Row],[Source Row]]="","",Salary_Calculation[[#This Row],[Orders Counted at Base Rate]]*Salary_Calculation[[#This Row],[Base Order Rate]])</f>
        <v/>
      </c>
      <c r="M420" s="165" t="str">
        <f aca="false">IF(Salary_Calculation[[#This Row],[Source Row]]="","",MAX(Salary_Calculation[[#This Row],[Rider Target Orders]]-N(Salary_Calculation[[#This Row],[Completed Orders]]),0))</f>
        <v/>
      </c>
      <c r="N420" s="164" t="str">
        <f aca="false">IF(Salary_Calculation[[#This Row],[Source Row]]="","",Salary_Calculation[[#This Row],[Missing Orders]]*Missing_Rate)</f>
        <v/>
      </c>
      <c r="O420" s="165" t="str">
        <f aca="false">IF(Salary_Calculation[[#This Row],[Source Row]]="","",MAX(N(Salary_Calculation[[#This Row],[Completed Orders]])-Salary_Calculation[[#This Row],[Rider Target Orders]],0))</f>
        <v/>
      </c>
      <c r="P420" s="164" t="str">
        <f aca="false">IF(Salary_Calculation[[#This Row],[Source Row]]="","",Salary_Calculation[[#This Row],[Extra Orders]]*Extra_Rate)</f>
        <v/>
      </c>
      <c r="Q420" s="164" t="str">
        <f aca="false">IF(Salary_Calculation[[#This Row],[Source Row]]="","",MAX(Salary_Calculation[[#This Row],[Salary Before Other Deductions]],0))</f>
        <v/>
      </c>
      <c r="R420" s="164" t="str">
        <f aca="false">IF(Salary_Calculation[[#This Row],[Source Row]]="","",N(INDEX(Rider_Input[missed_days_penalty],Salary_Calculation[[#This Row],[Source Row]])))</f>
        <v/>
      </c>
      <c r="S420" s="164" t="str">
        <f aca="false">IF(Salary_Calculation[[#This Row],[Source Row]]="","",N(INDEX(Rider_Input[Rider Balance / محفظة المندوب],Salary_Calculation[[#This Row],[Source Row]])))</f>
        <v/>
      </c>
      <c r="T420" s="164" t="str">
        <f aca="false">IF(Salary_Calculation[[#This Row],[Source Row]]="","",N(INDEX(Rider_Input[stacking_deduction / خصم الطلبات المتعددة],Salary_Calculation[[#This Row],[Source Row]])))</f>
        <v/>
      </c>
      <c r="U420" s="164" t="str">
        <f aca="false">IF(Salary_Calculation[[#This Row],[Source Row]]="","",N(INDEX(Rider_Input[Other Deductions],Salary_Calculation[[#This Row],[Source Row]])))</f>
        <v/>
      </c>
      <c r="V420" s="164" t="str">
        <f aca="false">IF(Salary_Calculation[[#This Row],[Source Row]]="","",N(Salary_Calculation[[#This Row],[missed_days_penalty]])+N(Salary_Calculation[[#This Row],[Rider Balance]])+N(Salary_Calculation[[#This Row],[stacking_deduction]])+N(Salary_Calculation[[#This Row],[Other Deductions]]))</f>
        <v/>
      </c>
      <c r="W420" s="167" t="str">
        <f aca="false">IF(Salary_Calculation[[#This Row],[Source Row]]="","",ROUND(MAX(Salary_Calculation[[#This Row],[Gross Salary Before Deductions]]-Salary_Calculation[[#This Row],[Total Deductions]],0),2))</f>
        <v/>
      </c>
      <c r="X420" s="164" t="str">
        <f aca="false">IF(Salary_Calculation[[#This Row],[Source Row]]="","",ROUND(MAX(Salary_Calculation[[#This Row],[Missing-Order Deduction]]-Salary_Calculation[[#This Row],[Earned Salary]],0),2))</f>
        <v/>
      </c>
      <c r="Y42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20" s="163" t="str">
        <f aca="false">IF(Salary_Calculation[[#This Row],[Source Row]]="","",IF(INDEX(Rider_Input[Notes],Salary_Calculation[[#This Row],[Source Row]])="","",INDEX(Rider_Input[Notes],Salary_Calculation[[#This Row],[Source Row]])))</f>
        <v/>
      </c>
      <c r="AA420" s="164" t="str">
        <f aca="false">IF(Salary_Calculation[[#This Row],[Source Row]]="","",Salary_Calculation[[#This Row],[Earned Salary]]-Salary_Calculation[[#This Row],[Missing-Order Deduction]]+Salary_Calculation[[#This Row],[Extra-Order Bonus]])</f>
        <v/>
      </c>
      <c r="AB420" s="164" t="str">
        <f aca="false">IF(Salary_Calculation[[#This Row],[Source Row]]="","",ROUND(Salary_Calculation[[#This Row],[Negative Balance / Amount Due from Rider]]+MAX(Salary_Calculation[[#This Row],[Total Deductions]]-Salary_Calculation[[#This Row],[Gross Salary Before Deductions]],0),2))</f>
        <v/>
      </c>
      <c r="AC42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20" s="164" t="str">
        <f aca="false">IF(Salary_Calculation[[#This Row],[Source Row]]="","",Salary_Calculation[[#This Row],[Rider Target Orders]]*Salary_Calculation[[#This Row],[Base Order Rate]])</f>
        <v/>
      </c>
      <c r="AE420" s="162" t="str">
        <f aca="false">IF(SUMPRODUCT(--(LEN(INDEX(Rider_Input[#Data],ROW()-ROW(Salary_Calculation[#Headers]),0))&gt;0))=0,"",ROW()-ROW(Salary_Calculation[#Headers]))</f>
        <v/>
      </c>
    </row>
    <row r="421" customFormat="false" ht="14.25" hidden="false" customHeight="false" outlineLevel="0" collapsed="false">
      <c r="A421" s="161" t="str">
        <f aca="false">IF(Salary_Calculation[[#This Row],[Source Row]]="","",IF(INDEX(Rider_Input[Salary Month],Salary_Calculation[[#This Row],[Source Row]])="","",INDEX(Rider_Input[Salary Month],Salary_Calculation[[#This Row],[Source Row]])))</f>
        <v/>
      </c>
      <c r="B421" s="162" t="str">
        <f aca="false">IF(Salary_Calculation[[#This Row],[Source Row]]="","",IF(INDEX(Rider_Input[Rider ID],Salary_Calculation[[#This Row],[Source Row]])="","",INDEX(Rider_Input[Rider ID],Salary_Calculation[[#This Row],[Source Row]])))</f>
        <v/>
      </c>
      <c r="C421" s="163" t="str">
        <f aca="false">IF(Salary_Calculation[[#This Row],[Source Row]]="","",IF(INDEX(Rider_Input[Rider Name],Salary_Calculation[[#This Row],[Source Row]])="","",INDEX(Rider_Input[Rider Name],Salary_Calculation[[#This Row],[Source Row]])))</f>
        <v/>
      </c>
      <c r="D421" s="164" t="str">
        <f aca="false">IF(Salary_Calculation[[#This Row],[Source Row]]="","",IF(INDEX(Rider_Input[Basic Payment],Salary_Calculation[[#This Row],[Source Row]])="","",INDEX(Rider_Input[Basic Payment],Salary_Calculation[[#This Row],[Source Row]])))</f>
        <v/>
      </c>
      <c r="E421" s="162" t="str">
        <f aca="false">IF(Salary_Calculation[[#This Row],[Source Row]]="","",IF(INDEX(Rider_Input[Calendar Days in Month],Salary_Calculation[[#This Row],[Source Row]])="","",INDEX(Rider_Input[Calendar Days in Month],Salary_Calculation[[#This Row],[Source Row]])))</f>
        <v/>
      </c>
      <c r="F421" s="162" t="str">
        <f aca="false">IF(Salary_Calculation[[#This Row],[Source Row]]="","",IF(INDEX(Rider_Input[Working Days],Salary_Calculation[[#This Row],[Source Row]])="","",INDEX(Rider_Input[Working Days],Salary_Calculation[[#This Row],[Source Row]])))</f>
        <v/>
      </c>
      <c r="G421" s="165" t="str">
        <f aca="false">IF(Salary_Calculation[[#This Row],[Source Row]]="","",Std_Orders/Std_Days*N(Salary_Calculation[[#This Row],[Calendar Days]]))</f>
        <v/>
      </c>
      <c r="H421" s="165" t="str">
        <f aca="false">IF(Salary_Calculation[[#This Row],[Source Row]]="","",IF(N(Salary_Calculation[[#This Row],[Calendar Days]])&gt;0,Salary_Calculation[[#This Row],[Monthly Target Orders]]/N(Salary_Calculation[[#This Row],[Calendar Days]])*N(Salary_Calculation[[#This Row],[Working Days]]),0))</f>
        <v/>
      </c>
      <c r="I421" s="166" t="str">
        <f aca="false">IF(Salary_Calculation[[#This Row],[Source Row]]="","",IF(INDEX(Rider_Input[Completed Orders],Salary_Calculation[[#This Row],[Source Row]])="","",INDEX(Rider_Input[Completed Orders],Salary_Calculation[[#This Row],[Source Row]])))</f>
        <v/>
      </c>
      <c r="J421" s="165" t="str">
        <f aca="false">IF(Salary_Calculation[[#This Row],[Source Row]]="","",IF(Rate_Method="Fixed rate",Fixed_Rate,IF(N(Salary_Calculation[[#This Row],[Basic Payment]])&gt;0,N(Salary_Calculation[[#This Row],[Basic Payment]])/Std_Orders,0)))</f>
        <v/>
      </c>
      <c r="K421" s="165" t="str">
        <f aca="false">IF(Salary_Calculation[[#This Row],[Source Row]]="","",MAX(MIN(N(Salary_Calculation[[#This Row],[Completed Orders]]),Salary_Calculation[[#This Row],[Rider Target Orders]]),0))</f>
        <v/>
      </c>
      <c r="L421" s="164" t="str">
        <f aca="false">IF(Salary_Calculation[[#This Row],[Source Row]]="","",Salary_Calculation[[#This Row],[Orders Counted at Base Rate]]*Salary_Calculation[[#This Row],[Base Order Rate]])</f>
        <v/>
      </c>
      <c r="M421" s="165" t="str">
        <f aca="false">IF(Salary_Calculation[[#This Row],[Source Row]]="","",MAX(Salary_Calculation[[#This Row],[Rider Target Orders]]-N(Salary_Calculation[[#This Row],[Completed Orders]]),0))</f>
        <v/>
      </c>
      <c r="N421" s="164" t="str">
        <f aca="false">IF(Salary_Calculation[[#This Row],[Source Row]]="","",Salary_Calculation[[#This Row],[Missing Orders]]*Missing_Rate)</f>
        <v/>
      </c>
      <c r="O421" s="165" t="str">
        <f aca="false">IF(Salary_Calculation[[#This Row],[Source Row]]="","",MAX(N(Salary_Calculation[[#This Row],[Completed Orders]])-Salary_Calculation[[#This Row],[Rider Target Orders]],0))</f>
        <v/>
      </c>
      <c r="P421" s="164" t="str">
        <f aca="false">IF(Salary_Calculation[[#This Row],[Source Row]]="","",Salary_Calculation[[#This Row],[Extra Orders]]*Extra_Rate)</f>
        <v/>
      </c>
      <c r="Q421" s="164" t="str">
        <f aca="false">IF(Salary_Calculation[[#This Row],[Source Row]]="","",MAX(Salary_Calculation[[#This Row],[Salary Before Other Deductions]],0))</f>
        <v/>
      </c>
      <c r="R421" s="164" t="str">
        <f aca="false">IF(Salary_Calculation[[#This Row],[Source Row]]="","",N(INDEX(Rider_Input[missed_days_penalty],Salary_Calculation[[#This Row],[Source Row]])))</f>
        <v/>
      </c>
      <c r="S421" s="164" t="str">
        <f aca="false">IF(Salary_Calculation[[#This Row],[Source Row]]="","",N(INDEX(Rider_Input[Rider Balance / محفظة المندوب],Salary_Calculation[[#This Row],[Source Row]])))</f>
        <v/>
      </c>
      <c r="T421" s="164" t="str">
        <f aca="false">IF(Salary_Calculation[[#This Row],[Source Row]]="","",N(INDEX(Rider_Input[stacking_deduction / خصم الطلبات المتعددة],Salary_Calculation[[#This Row],[Source Row]])))</f>
        <v/>
      </c>
      <c r="U421" s="164" t="str">
        <f aca="false">IF(Salary_Calculation[[#This Row],[Source Row]]="","",N(INDEX(Rider_Input[Other Deductions],Salary_Calculation[[#This Row],[Source Row]])))</f>
        <v/>
      </c>
      <c r="V421" s="164" t="str">
        <f aca="false">IF(Salary_Calculation[[#This Row],[Source Row]]="","",N(Salary_Calculation[[#This Row],[missed_days_penalty]])+N(Salary_Calculation[[#This Row],[Rider Balance]])+N(Salary_Calculation[[#This Row],[stacking_deduction]])+N(Salary_Calculation[[#This Row],[Other Deductions]]))</f>
        <v/>
      </c>
      <c r="W421" s="167" t="str">
        <f aca="false">IF(Salary_Calculation[[#This Row],[Source Row]]="","",ROUND(MAX(Salary_Calculation[[#This Row],[Gross Salary Before Deductions]]-Salary_Calculation[[#This Row],[Total Deductions]],0),2))</f>
        <v/>
      </c>
      <c r="X421" s="164" t="str">
        <f aca="false">IF(Salary_Calculation[[#This Row],[Source Row]]="","",ROUND(MAX(Salary_Calculation[[#This Row],[Missing-Order Deduction]]-Salary_Calculation[[#This Row],[Earned Salary]],0),2))</f>
        <v/>
      </c>
      <c r="Y42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21" s="163" t="str">
        <f aca="false">IF(Salary_Calculation[[#This Row],[Source Row]]="","",IF(INDEX(Rider_Input[Notes],Salary_Calculation[[#This Row],[Source Row]])="","",INDEX(Rider_Input[Notes],Salary_Calculation[[#This Row],[Source Row]])))</f>
        <v/>
      </c>
      <c r="AA421" s="164" t="str">
        <f aca="false">IF(Salary_Calculation[[#This Row],[Source Row]]="","",Salary_Calculation[[#This Row],[Earned Salary]]-Salary_Calculation[[#This Row],[Missing-Order Deduction]]+Salary_Calculation[[#This Row],[Extra-Order Bonus]])</f>
        <v/>
      </c>
      <c r="AB421" s="164" t="str">
        <f aca="false">IF(Salary_Calculation[[#This Row],[Source Row]]="","",ROUND(Salary_Calculation[[#This Row],[Negative Balance / Amount Due from Rider]]+MAX(Salary_Calculation[[#This Row],[Total Deductions]]-Salary_Calculation[[#This Row],[Gross Salary Before Deductions]],0),2))</f>
        <v/>
      </c>
      <c r="AC42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21" s="164" t="str">
        <f aca="false">IF(Salary_Calculation[[#This Row],[Source Row]]="","",Salary_Calculation[[#This Row],[Rider Target Orders]]*Salary_Calculation[[#This Row],[Base Order Rate]])</f>
        <v/>
      </c>
      <c r="AE421" s="162" t="str">
        <f aca="false">IF(SUMPRODUCT(--(LEN(INDEX(Rider_Input[#Data],ROW()-ROW(Salary_Calculation[#Headers]),0))&gt;0))=0,"",ROW()-ROW(Salary_Calculation[#Headers]))</f>
        <v/>
      </c>
    </row>
    <row r="422" customFormat="false" ht="14.25" hidden="false" customHeight="false" outlineLevel="0" collapsed="false">
      <c r="A422" s="161" t="str">
        <f aca="false">IF(Salary_Calculation[[#This Row],[Source Row]]="","",IF(INDEX(Rider_Input[Salary Month],Salary_Calculation[[#This Row],[Source Row]])="","",INDEX(Rider_Input[Salary Month],Salary_Calculation[[#This Row],[Source Row]])))</f>
        <v/>
      </c>
      <c r="B422" s="162" t="str">
        <f aca="false">IF(Salary_Calculation[[#This Row],[Source Row]]="","",IF(INDEX(Rider_Input[Rider ID],Salary_Calculation[[#This Row],[Source Row]])="","",INDEX(Rider_Input[Rider ID],Salary_Calculation[[#This Row],[Source Row]])))</f>
        <v/>
      </c>
      <c r="C422" s="163" t="str">
        <f aca="false">IF(Salary_Calculation[[#This Row],[Source Row]]="","",IF(INDEX(Rider_Input[Rider Name],Salary_Calculation[[#This Row],[Source Row]])="","",INDEX(Rider_Input[Rider Name],Salary_Calculation[[#This Row],[Source Row]])))</f>
        <v/>
      </c>
      <c r="D422" s="164" t="str">
        <f aca="false">IF(Salary_Calculation[[#This Row],[Source Row]]="","",IF(INDEX(Rider_Input[Basic Payment],Salary_Calculation[[#This Row],[Source Row]])="","",INDEX(Rider_Input[Basic Payment],Salary_Calculation[[#This Row],[Source Row]])))</f>
        <v/>
      </c>
      <c r="E422" s="162" t="str">
        <f aca="false">IF(Salary_Calculation[[#This Row],[Source Row]]="","",IF(INDEX(Rider_Input[Calendar Days in Month],Salary_Calculation[[#This Row],[Source Row]])="","",INDEX(Rider_Input[Calendar Days in Month],Salary_Calculation[[#This Row],[Source Row]])))</f>
        <v/>
      </c>
      <c r="F422" s="162" t="str">
        <f aca="false">IF(Salary_Calculation[[#This Row],[Source Row]]="","",IF(INDEX(Rider_Input[Working Days],Salary_Calculation[[#This Row],[Source Row]])="","",INDEX(Rider_Input[Working Days],Salary_Calculation[[#This Row],[Source Row]])))</f>
        <v/>
      </c>
      <c r="G422" s="165" t="str">
        <f aca="false">IF(Salary_Calculation[[#This Row],[Source Row]]="","",Std_Orders/Std_Days*N(Salary_Calculation[[#This Row],[Calendar Days]]))</f>
        <v/>
      </c>
      <c r="H422" s="165" t="str">
        <f aca="false">IF(Salary_Calculation[[#This Row],[Source Row]]="","",IF(N(Salary_Calculation[[#This Row],[Calendar Days]])&gt;0,Salary_Calculation[[#This Row],[Monthly Target Orders]]/N(Salary_Calculation[[#This Row],[Calendar Days]])*N(Salary_Calculation[[#This Row],[Working Days]]),0))</f>
        <v/>
      </c>
      <c r="I422" s="166" t="str">
        <f aca="false">IF(Salary_Calculation[[#This Row],[Source Row]]="","",IF(INDEX(Rider_Input[Completed Orders],Salary_Calculation[[#This Row],[Source Row]])="","",INDEX(Rider_Input[Completed Orders],Salary_Calculation[[#This Row],[Source Row]])))</f>
        <v/>
      </c>
      <c r="J422" s="165" t="str">
        <f aca="false">IF(Salary_Calculation[[#This Row],[Source Row]]="","",IF(Rate_Method="Fixed rate",Fixed_Rate,IF(N(Salary_Calculation[[#This Row],[Basic Payment]])&gt;0,N(Salary_Calculation[[#This Row],[Basic Payment]])/Std_Orders,0)))</f>
        <v/>
      </c>
      <c r="K422" s="165" t="str">
        <f aca="false">IF(Salary_Calculation[[#This Row],[Source Row]]="","",MAX(MIN(N(Salary_Calculation[[#This Row],[Completed Orders]]),Salary_Calculation[[#This Row],[Rider Target Orders]]),0))</f>
        <v/>
      </c>
      <c r="L422" s="164" t="str">
        <f aca="false">IF(Salary_Calculation[[#This Row],[Source Row]]="","",Salary_Calculation[[#This Row],[Orders Counted at Base Rate]]*Salary_Calculation[[#This Row],[Base Order Rate]])</f>
        <v/>
      </c>
      <c r="M422" s="165" t="str">
        <f aca="false">IF(Salary_Calculation[[#This Row],[Source Row]]="","",MAX(Salary_Calculation[[#This Row],[Rider Target Orders]]-N(Salary_Calculation[[#This Row],[Completed Orders]]),0))</f>
        <v/>
      </c>
      <c r="N422" s="164" t="str">
        <f aca="false">IF(Salary_Calculation[[#This Row],[Source Row]]="","",Salary_Calculation[[#This Row],[Missing Orders]]*Missing_Rate)</f>
        <v/>
      </c>
      <c r="O422" s="165" t="str">
        <f aca="false">IF(Salary_Calculation[[#This Row],[Source Row]]="","",MAX(N(Salary_Calculation[[#This Row],[Completed Orders]])-Salary_Calculation[[#This Row],[Rider Target Orders]],0))</f>
        <v/>
      </c>
      <c r="P422" s="164" t="str">
        <f aca="false">IF(Salary_Calculation[[#This Row],[Source Row]]="","",Salary_Calculation[[#This Row],[Extra Orders]]*Extra_Rate)</f>
        <v/>
      </c>
      <c r="Q422" s="164" t="str">
        <f aca="false">IF(Salary_Calculation[[#This Row],[Source Row]]="","",MAX(Salary_Calculation[[#This Row],[Salary Before Other Deductions]],0))</f>
        <v/>
      </c>
      <c r="R422" s="164" t="str">
        <f aca="false">IF(Salary_Calculation[[#This Row],[Source Row]]="","",N(INDEX(Rider_Input[missed_days_penalty],Salary_Calculation[[#This Row],[Source Row]])))</f>
        <v/>
      </c>
      <c r="S422" s="164" t="str">
        <f aca="false">IF(Salary_Calculation[[#This Row],[Source Row]]="","",N(INDEX(Rider_Input[Rider Balance / محفظة المندوب],Salary_Calculation[[#This Row],[Source Row]])))</f>
        <v/>
      </c>
      <c r="T422" s="164" t="str">
        <f aca="false">IF(Salary_Calculation[[#This Row],[Source Row]]="","",N(INDEX(Rider_Input[stacking_deduction / خصم الطلبات المتعددة],Salary_Calculation[[#This Row],[Source Row]])))</f>
        <v/>
      </c>
      <c r="U422" s="164" t="str">
        <f aca="false">IF(Salary_Calculation[[#This Row],[Source Row]]="","",N(INDEX(Rider_Input[Other Deductions],Salary_Calculation[[#This Row],[Source Row]])))</f>
        <v/>
      </c>
      <c r="V422" s="164" t="str">
        <f aca="false">IF(Salary_Calculation[[#This Row],[Source Row]]="","",N(Salary_Calculation[[#This Row],[missed_days_penalty]])+N(Salary_Calculation[[#This Row],[Rider Balance]])+N(Salary_Calculation[[#This Row],[stacking_deduction]])+N(Salary_Calculation[[#This Row],[Other Deductions]]))</f>
        <v/>
      </c>
      <c r="W422" s="167" t="str">
        <f aca="false">IF(Salary_Calculation[[#This Row],[Source Row]]="","",ROUND(MAX(Salary_Calculation[[#This Row],[Gross Salary Before Deductions]]-Salary_Calculation[[#This Row],[Total Deductions]],0),2))</f>
        <v/>
      </c>
      <c r="X422" s="164" t="str">
        <f aca="false">IF(Salary_Calculation[[#This Row],[Source Row]]="","",ROUND(MAX(Salary_Calculation[[#This Row],[Missing-Order Deduction]]-Salary_Calculation[[#This Row],[Earned Salary]],0),2))</f>
        <v/>
      </c>
      <c r="Y42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22" s="163" t="str">
        <f aca="false">IF(Salary_Calculation[[#This Row],[Source Row]]="","",IF(INDEX(Rider_Input[Notes],Salary_Calculation[[#This Row],[Source Row]])="","",INDEX(Rider_Input[Notes],Salary_Calculation[[#This Row],[Source Row]])))</f>
        <v/>
      </c>
      <c r="AA422" s="164" t="str">
        <f aca="false">IF(Salary_Calculation[[#This Row],[Source Row]]="","",Salary_Calculation[[#This Row],[Earned Salary]]-Salary_Calculation[[#This Row],[Missing-Order Deduction]]+Salary_Calculation[[#This Row],[Extra-Order Bonus]])</f>
        <v/>
      </c>
      <c r="AB422" s="164" t="str">
        <f aca="false">IF(Salary_Calculation[[#This Row],[Source Row]]="","",ROUND(Salary_Calculation[[#This Row],[Negative Balance / Amount Due from Rider]]+MAX(Salary_Calculation[[#This Row],[Total Deductions]]-Salary_Calculation[[#This Row],[Gross Salary Before Deductions]],0),2))</f>
        <v/>
      </c>
      <c r="AC42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22" s="164" t="str">
        <f aca="false">IF(Salary_Calculation[[#This Row],[Source Row]]="","",Salary_Calculation[[#This Row],[Rider Target Orders]]*Salary_Calculation[[#This Row],[Base Order Rate]])</f>
        <v/>
      </c>
      <c r="AE422" s="162" t="str">
        <f aca="false">IF(SUMPRODUCT(--(LEN(INDEX(Rider_Input[#Data],ROW()-ROW(Salary_Calculation[#Headers]),0))&gt;0))=0,"",ROW()-ROW(Salary_Calculation[#Headers]))</f>
        <v/>
      </c>
    </row>
    <row r="423" customFormat="false" ht="14.25" hidden="false" customHeight="false" outlineLevel="0" collapsed="false">
      <c r="A423" s="161" t="str">
        <f aca="false">IF(Salary_Calculation[[#This Row],[Source Row]]="","",IF(INDEX(Rider_Input[Salary Month],Salary_Calculation[[#This Row],[Source Row]])="","",INDEX(Rider_Input[Salary Month],Salary_Calculation[[#This Row],[Source Row]])))</f>
        <v/>
      </c>
      <c r="B423" s="162" t="str">
        <f aca="false">IF(Salary_Calculation[[#This Row],[Source Row]]="","",IF(INDEX(Rider_Input[Rider ID],Salary_Calculation[[#This Row],[Source Row]])="","",INDEX(Rider_Input[Rider ID],Salary_Calculation[[#This Row],[Source Row]])))</f>
        <v/>
      </c>
      <c r="C423" s="163" t="str">
        <f aca="false">IF(Salary_Calculation[[#This Row],[Source Row]]="","",IF(INDEX(Rider_Input[Rider Name],Salary_Calculation[[#This Row],[Source Row]])="","",INDEX(Rider_Input[Rider Name],Salary_Calculation[[#This Row],[Source Row]])))</f>
        <v/>
      </c>
      <c r="D423" s="164" t="str">
        <f aca="false">IF(Salary_Calculation[[#This Row],[Source Row]]="","",IF(INDEX(Rider_Input[Basic Payment],Salary_Calculation[[#This Row],[Source Row]])="","",INDEX(Rider_Input[Basic Payment],Salary_Calculation[[#This Row],[Source Row]])))</f>
        <v/>
      </c>
      <c r="E423" s="162" t="str">
        <f aca="false">IF(Salary_Calculation[[#This Row],[Source Row]]="","",IF(INDEX(Rider_Input[Calendar Days in Month],Salary_Calculation[[#This Row],[Source Row]])="","",INDEX(Rider_Input[Calendar Days in Month],Salary_Calculation[[#This Row],[Source Row]])))</f>
        <v/>
      </c>
      <c r="F423" s="162" t="str">
        <f aca="false">IF(Salary_Calculation[[#This Row],[Source Row]]="","",IF(INDEX(Rider_Input[Working Days],Salary_Calculation[[#This Row],[Source Row]])="","",INDEX(Rider_Input[Working Days],Salary_Calculation[[#This Row],[Source Row]])))</f>
        <v/>
      </c>
      <c r="G423" s="165" t="str">
        <f aca="false">IF(Salary_Calculation[[#This Row],[Source Row]]="","",Std_Orders/Std_Days*N(Salary_Calculation[[#This Row],[Calendar Days]]))</f>
        <v/>
      </c>
      <c r="H423" s="165" t="str">
        <f aca="false">IF(Salary_Calculation[[#This Row],[Source Row]]="","",IF(N(Salary_Calculation[[#This Row],[Calendar Days]])&gt;0,Salary_Calculation[[#This Row],[Monthly Target Orders]]/N(Salary_Calculation[[#This Row],[Calendar Days]])*N(Salary_Calculation[[#This Row],[Working Days]]),0))</f>
        <v/>
      </c>
      <c r="I423" s="166" t="str">
        <f aca="false">IF(Salary_Calculation[[#This Row],[Source Row]]="","",IF(INDEX(Rider_Input[Completed Orders],Salary_Calculation[[#This Row],[Source Row]])="","",INDEX(Rider_Input[Completed Orders],Salary_Calculation[[#This Row],[Source Row]])))</f>
        <v/>
      </c>
      <c r="J423" s="165" t="str">
        <f aca="false">IF(Salary_Calculation[[#This Row],[Source Row]]="","",IF(Rate_Method="Fixed rate",Fixed_Rate,IF(N(Salary_Calculation[[#This Row],[Basic Payment]])&gt;0,N(Salary_Calculation[[#This Row],[Basic Payment]])/Std_Orders,0)))</f>
        <v/>
      </c>
      <c r="K423" s="165" t="str">
        <f aca="false">IF(Salary_Calculation[[#This Row],[Source Row]]="","",MAX(MIN(N(Salary_Calculation[[#This Row],[Completed Orders]]),Salary_Calculation[[#This Row],[Rider Target Orders]]),0))</f>
        <v/>
      </c>
      <c r="L423" s="164" t="str">
        <f aca="false">IF(Salary_Calculation[[#This Row],[Source Row]]="","",Salary_Calculation[[#This Row],[Orders Counted at Base Rate]]*Salary_Calculation[[#This Row],[Base Order Rate]])</f>
        <v/>
      </c>
      <c r="M423" s="165" t="str">
        <f aca="false">IF(Salary_Calculation[[#This Row],[Source Row]]="","",MAX(Salary_Calculation[[#This Row],[Rider Target Orders]]-N(Salary_Calculation[[#This Row],[Completed Orders]]),0))</f>
        <v/>
      </c>
      <c r="N423" s="164" t="str">
        <f aca="false">IF(Salary_Calculation[[#This Row],[Source Row]]="","",Salary_Calculation[[#This Row],[Missing Orders]]*Missing_Rate)</f>
        <v/>
      </c>
      <c r="O423" s="165" t="str">
        <f aca="false">IF(Salary_Calculation[[#This Row],[Source Row]]="","",MAX(N(Salary_Calculation[[#This Row],[Completed Orders]])-Salary_Calculation[[#This Row],[Rider Target Orders]],0))</f>
        <v/>
      </c>
      <c r="P423" s="164" t="str">
        <f aca="false">IF(Salary_Calculation[[#This Row],[Source Row]]="","",Salary_Calculation[[#This Row],[Extra Orders]]*Extra_Rate)</f>
        <v/>
      </c>
      <c r="Q423" s="164" t="str">
        <f aca="false">IF(Salary_Calculation[[#This Row],[Source Row]]="","",MAX(Salary_Calculation[[#This Row],[Salary Before Other Deductions]],0))</f>
        <v/>
      </c>
      <c r="R423" s="164" t="str">
        <f aca="false">IF(Salary_Calculation[[#This Row],[Source Row]]="","",N(INDEX(Rider_Input[missed_days_penalty],Salary_Calculation[[#This Row],[Source Row]])))</f>
        <v/>
      </c>
      <c r="S423" s="164" t="str">
        <f aca="false">IF(Salary_Calculation[[#This Row],[Source Row]]="","",N(INDEX(Rider_Input[Rider Balance / محفظة المندوب],Salary_Calculation[[#This Row],[Source Row]])))</f>
        <v/>
      </c>
      <c r="T423" s="164" t="str">
        <f aca="false">IF(Salary_Calculation[[#This Row],[Source Row]]="","",N(INDEX(Rider_Input[stacking_deduction / خصم الطلبات المتعددة],Salary_Calculation[[#This Row],[Source Row]])))</f>
        <v/>
      </c>
      <c r="U423" s="164" t="str">
        <f aca="false">IF(Salary_Calculation[[#This Row],[Source Row]]="","",N(INDEX(Rider_Input[Other Deductions],Salary_Calculation[[#This Row],[Source Row]])))</f>
        <v/>
      </c>
      <c r="V423" s="164" t="str">
        <f aca="false">IF(Salary_Calculation[[#This Row],[Source Row]]="","",N(Salary_Calculation[[#This Row],[missed_days_penalty]])+N(Salary_Calculation[[#This Row],[Rider Balance]])+N(Salary_Calculation[[#This Row],[stacking_deduction]])+N(Salary_Calculation[[#This Row],[Other Deductions]]))</f>
        <v/>
      </c>
      <c r="W423" s="167" t="str">
        <f aca="false">IF(Salary_Calculation[[#This Row],[Source Row]]="","",ROUND(MAX(Salary_Calculation[[#This Row],[Gross Salary Before Deductions]]-Salary_Calculation[[#This Row],[Total Deductions]],0),2))</f>
        <v/>
      </c>
      <c r="X423" s="164" t="str">
        <f aca="false">IF(Salary_Calculation[[#This Row],[Source Row]]="","",ROUND(MAX(Salary_Calculation[[#This Row],[Missing-Order Deduction]]-Salary_Calculation[[#This Row],[Earned Salary]],0),2))</f>
        <v/>
      </c>
      <c r="Y42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23" s="163" t="str">
        <f aca="false">IF(Salary_Calculation[[#This Row],[Source Row]]="","",IF(INDEX(Rider_Input[Notes],Salary_Calculation[[#This Row],[Source Row]])="","",INDEX(Rider_Input[Notes],Salary_Calculation[[#This Row],[Source Row]])))</f>
        <v/>
      </c>
      <c r="AA423" s="164" t="str">
        <f aca="false">IF(Salary_Calculation[[#This Row],[Source Row]]="","",Salary_Calculation[[#This Row],[Earned Salary]]-Salary_Calculation[[#This Row],[Missing-Order Deduction]]+Salary_Calculation[[#This Row],[Extra-Order Bonus]])</f>
        <v/>
      </c>
      <c r="AB423" s="164" t="str">
        <f aca="false">IF(Salary_Calculation[[#This Row],[Source Row]]="","",ROUND(Salary_Calculation[[#This Row],[Negative Balance / Amount Due from Rider]]+MAX(Salary_Calculation[[#This Row],[Total Deductions]]-Salary_Calculation[[#This Row],[Gross Salary Before Deductions]],0),2))</f>
        <v/>
      </c>
      <c r="AC42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23" s="164" t="str">
        <f aca="false">IF(Salary_Calculation[[#This Row],[Source Row]]="","",Salary_Calculation[[#This Row],[Rider Target Orders]]*Salary_Calculation[[#This Row],[Base Order Rate]])</f>
        <v/>
      </c>
      <c r="AE423" s="162" t="str">
        <f aca="false">IF(SUMPRODUCT(--(LEN(INDEX(Rider_Input[#Data],ROW()-ROW(Salary_Calculation[#Headers]),0))&gt;0))=0,"",ROW()-ROW(Salary_Calculation[#Headers]))</f>
        <v/>
      </c>
    </row>
    <row r="424" customFormat="false" ht="14.25" hidden="false" customHeight="false" outlineLevel="0" collapsed="false">
      <c r="A424" s="161" t="str">
        <f aca="false">IF(Salary_Calculation[[#This Row],[Source Row]]="","",IF(INDEX(Rider_Input[Salary Month],Salary_Calculation[[#This Row],[Source Row]])="","",INDEX(Rider_Input[Salary Month],Salary_Calculation[[#This Row],[Source Row]])))</f>
        <v/>
      </c>
      <c r="B424" s="162" t="str">
        <f aca="false">IF(Salary_Calculation[[#This Row],[Source Row]]="","",IF(INDEX(Rider_Input[Rider ID],Salary_Calculation[[#This Row],[Source Row]])="","",INDEX(Rider_Input[Rider ID],Salary_Calculation[[#This Row],[Source Row]])))</f>
        <v/>
      </c>
      <c r="C424" s="163" t="str">
        <f aca="false">IF(Salary_Calculation[[#This Row],[Source Row]]="","",IF(INDEX(Rider_Input[Rider Name],Salary_Calculation[[#This Row],[Source Row]])="","",INDEX(Rider_Input[Rider Name],Salary_Calculation[[#This Row],[Source Row]])))</f>
        <v/>
      </c>
      <c r="D424" s="164" t="str">
        <f aca="false">IF(Salary_Calculation[[#This Row],[Source Row]]="","",IF(INDEX(Rider_Input[Basic Payment],Salary_Calculation[[#This Row],[Source Row]])="","",INDEX(Rider_Input[Basic Payment],Salary_Calculation[[#This Row],[Source Row]])))</f>
        <v/>
      </c>
      <c r="E424" s="162" t="str">
        <f aca="false">IF(Salary_Calculation[[#This Row],[Source Row]]="","",IF(INDEX(Rider_Input[Calendar Days in Month],Salary_Calculation[[#This Row],[Source Row]])="","",INDEX(Rider_Input[Calendar Days in Month],Salary_Calculation[[#This Row],[Source Row]])))</f>
        <v/>
      </c>
      <c r="F424" s="162" t="str">
        <f aca="false">IF(Salary_Calculation[[#This Row],[Source Row]]="","",IF(INDEX(Rider_Input[Working Days],Salary_Calculation[[#This Row],[Source Row]])="","",INDEX(Rider_Input[Working Days],Salary_Calculation[[#This Row],[Source Row]])))</f>
        <v/>
      </c>
      <c r="G424" s="165" t="str">
        <f aca="false">IF(Salary_Calculation[[#This Row],[Source Row]]="","",Std_Orders/Std_Days*N(Salary_Calculation[[#This Row],[Calendar Days]]))</f>
        <v/>
      </c>
      <c r="H424" s="165" t="str">
        <f aca="false">IF(Salary_Calculation[[#This Row],[Source Row]]="","",IF(N(Salary_Calculation[[#This Row],[Calendar Days]])&gt;0,Salary_Calculation[[#This Row],[Monthly Target Orders]]/N(Salary_Calculation[[#This Row],[Calendar Days]])*N(Salary_Calculation[[#This Row],[Working Days]]),0))</f>
        <v/>
      </c>
      <c r="I424" s="166" t="str">
        <f aca="false">IF(Salary_Calculation[[#This Row],[Source Row]]="","",IF(INDEX(Rider_Input[Completed Orders],Salary_Calculation[[#This Row],[Source Row]])="","",INDEX(Rider_Input[Completed Orders],Salary_Calculation[[#This Row],[Source Row]])))</f>
        <v/>
      </c>
      <c r="J424" s="165" t="str">
        <f aca="false">IF(Salary_Calculation[[#This Row],[Source Row]]="","",IF(Rate_Method="Fixed rate",Fixed_Rate,IF(N(Salary_Calculation[[#This Row],[Basic Payment]])&gt;0,N(Salary_Calculation[[#This Row],[Basic Payment]])/Std_Orders,0)))</f>
        <v/>
      </c>
      <c r="K424" s="165" t="str">
        <f aca="false">IF(Salary_Calculation[[#This Row],[Source Row]]="","",MAX(MIN(N(Salary_Calculation[[#This Row],[Completed Orders]]),Salary_Calculation[[#This Row],[Rider Target Orders]]),0))</f>
        <v/>
      </c>
      <c r="L424" s="164" t="str">
        <f aca="false">IF(Salary_Calculation[[#This Row],[Source Row]]="","",Salary_Calculation[[#This Row],[Orders Counted at Base Rate]]*Salary_Calculation[[#This Row],[Base Order Rate]])</f>
        <v/>
      </c>
      <c r="M424" s="165" t="str">
        <f aca="false">IF(Salary_Calculation[[#This Row],[Source Row]]="","",MAX(Salary_Calculation[[#This Row],[Rider Target Orders]]-N(Salary_Calculation[[#This Row],[Completed Orders]]),0))</f>
        <v/>
      </c>
      <c r="N424" s="164" t="str">
        <f aca="false">IF(Salary_Calculation[[#This Row],[Source Row]]="","",Salary_Calculation[[#This Row],[Missing Orders]]*Missing_Rate)</f>
        <v/>
      </c>
      <c r="O424" s="165" t="str">
        <f aca="false">IF(Salary_Calculation[[#This Row],[Source Row]]="","",MAX(N(Salary_Calculation[[#This Row],[Completed Orders]])-Salary_Calculation[[#This Row],[Rider Target Orders]],0))</f>
        <v/>
      </c>
      <c r="P424" s="164" t="str">
        <f aca="false">IF(Salary_Calculation[[#This Row],[Source Row]]="","",Salary_Calculation[[#This Row],[Extra Orders]]*Extra_Rate)</f>
        <v/>
      </c>
      <c r="Q424" s="164" t="str">
        <f aca="false">IF(Salary_Calculation[[#This Row],[Source Row]]="","",MAX(Salary_Calculation[[#This Row],[Salary Before Other Deductions]],0))</f>
        <v/>
      </c>
      <c r="R424" s="164" t="str">
        <f aca="false">IF(Salary_Calculation[[#This Row],[Source Row]]="","",N(INDEX(Rider_Input[missed_days_penalty],Salary_Calculation[[#This Row],[Source Row]])))</f>
        <v/>
      </c>
      <c r="S424" s="164" t="str">
        <f aca="false">IF(Salary_Calculation[[#This Row],[Source Row]]="","",N(INDEX(Rider_Input[Rider Balance / محفظة المندوب],Salary_Calculation[[#This Row],[Source Row]])))</f>
        <v/>
      </c>
      <c r="T424" s="164" t="str">
        <f aca="false">IF(Salary_Calculation[[#This Row],[Source Row]]="","",N(INDEX(Rider_Input[stacking_deduction / خصم الطلبات المتعددة],Salary_Calculation[[#This Row],[Source Row]])))</f>
        <v/>
      </c>
      <c r="U424" s="164" t="str">
        <f aca="false">IF(Salary_Calculation[[#This Row],[Source Row]]="","",N(INDEX(Rider_Input[Other Deductions],Salary_Calculation[[#This Row],[Source Row]])))</f>
        <v/>
      </c>
      <c r="V424" s="164" t="str">
        <f aca="false">IF(Salary_Calculation[[#This Row],[Source Row]]="","",N(Salary_Calculation[[#This Row],[missed_days_penalty]])+N(Salary_Calculation[[#This Row],[Rider Balance]])+N(Salary_Calculation[[#This Row],[stacking_deduction]])+N(Salary_Calculation[[#This Row],[Other Deductions]]))</f>
        <v/>
      </c>
      <c r="W424" s="167" t="str">
        <f aca="false">IF(Salary_Calculation[[#This Row],[Source Row]]="","",ROUND(MAX(Salary_Calculation[[#This Row],[Gross Salary Before Deductions]]-Salary_Calculation[[#This Row],[Total Deductions]],0),2))</f>
        <v/>
      </c>
      <c r="X424" s="164" t="str">
        <f aca="false">IF(Salary_Calculation[[#This Row],[Source Row]]="","",ROUND(MAX(Salary_Calculation[[#This Row],[Missing-Order Deduction]]-Salary_Calculation[[#This Row],[Earned Salary]],0),2))</f>
        <v/>
      </c>
      <c r="Y42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24" s="163" t="str">
        <f aca="false">IF(Salary_Calculation[[#This Row],[Source Row]]="","",IF(INDEX(Rider_Input[Notes],Salary_Calculation[[#This Row],[Source Row]])="","",INDEX(Rider_Input[Notes],Salary_Calculation[[#This Row],[Source Row]])))</f>
        <v/>
      </c>
      <c r="AA424" s="164" t="str">
        <f aca="false">IF(Salary_Calculation[[#This Row],[Source Row]]="","",Salary_Calculation[[#This Row],[Earned Salary]]-Salary_Calculation[[#This Row],[Missing-Order Deduction]]+Salary_Calculation[[#This Row],[Extra-Order Bonus]])</f>
        <v/>
      </c>
      <c r="AB424" s="164" t="str">
        <f aca="false">IF(Salary_Calculation[[#This Row],[Source Row]]="","",ROUND(Salary_Calculation[[#This Row],[Negative Balance / Amount Due from Rider]]+MAX(Salary_Calculation[[#This Row],[Total Deductions]]-Salary_Calculation[[#This Row],[Gross Salary Before Deductions]],0),2))</f>
        <v/>
      </c>
      <c r="AC42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24" s="164" t="str">
        <f aca="false">IF(Salary_Calculation[[#This Row],[Source Row]]="","",Salary_Calculation[[#This Row],[Rider Target Orders]]*Salary_Calculation[[#This Row],[Base Order Rate]])</f>
        <v/>
      </c>
      <c r="AE424" s="162" t="str">
        <f aca="false">IF(SUMPRODUCT(--(LEN(INDEX(Rider_Input[#Data],ROW()-ROW(Salary_Calculation[#Headers]),0))&gt;0))=0,"",ROW()-ROW(Salary_Calculation[#Headers]))</f>
        <v/>
      </c>
    </row>
    <row r="425" customFormat="false" ht="14.25" hidden="false" customHeight="false" outlineLevel="0" collapsed="false">
      <c r="A425" s="161" t="str">
        <f aca="false">IF(Salary_Calculation[[#This Row],[Source Row]]="","",IF(INDEX(Rider_Input[Salary Month],Salary_Calculation[[#This Row],[Source Row]])="","",INDEX(Rider_Input[Salary Month],Salary_Calculation[[#This Row],[Source Row]])))</f>
        <v/>
      </c>
      <c r="B425" s="162" t="str">
        <f aca="false">IF(Salary_Calculation[[#This Row],[Source Row]]="","",IF(INDEX(Rider_Input[Rider ID],Salary_Calculation[[#This Row],[Source Row]])="","",INDEX(Rider_Input[Rider ID],Salary_Calculation[[#This Row],[Source Row]])))</f>
        <v/>
      </c>
      <c r="C425" s="163" t="str">
        <f aca="false">IF(Salary_Calculation[[#This Row],[Source Row]]="","",IF(INDEX(Rider_Input[Rider Name],Salary_Calculation[[#This Row],[Source Row]])="","",INDEX(Rider_Input[Rider Name],Salary_Calculation[[#This Row],[Source Row]])))</f>
        <v/>
      </c>
      <c r="D425" s="164" t="str">
        <f aca="false">IF(Salary_Calculation[[#This Row],[Source Row]]="","",IF(INDEX(Rider_Input[Basic Payment],Salary_Calculation[[#This Row],[Source Row]])="","",INDEX(Rider_Input[Basic Payment],Salary_Calculation[[#This Row],[Source Row]])))</f>
        <v/>
      </c>
      <c r="E425" s="162" t="str">
        <f aca="false">IF(Salary_Calculation[[#This Row],[Source Row]]="","",IF(INDEX(Rider_Input[Calendar Days in Month],Salary_Calculation[[#This Row],[Source Row]])="","",INDEX(Rider_Input[Calendar Days in Month],Salary_Calculation[[#This Row],[Source Row]])))</f>
        <v/>
      </c>
      <c r="F425" s="162" t="str">
        <f aca="false">IF(Salary_Calculation[[#This Row],[Source Row]]="","",IF(INDEX(Rider_Input[Working Days],Salary_Calculation[[#This Row],[Source Row]])="","",INDEX(Rider_Input[Working Days],Salary_Calculation[[#This Row],[Source Row]])))</f>
        <v/>
      </c>
      <c r="G425" s="165" t="str">
        <f aca="false">IF(Salary_Calculation[[#This Row],[Source Row]]="","",Std_Orders/Std_Days*N(Salary_Calculation[[#This Row],[Calendar Days]]))</f>
        <v/>
      </c>
      <c r="H425" s="165" t="str">
        <f aca="false">IF(Salary_Calculation[[#This Row],[Source Row]]="","",IF(N(Salary_Calculation[[#This Row],[Calendar Days]])&gt;0,Salary_Calculation[[#This Row],[Monthly Target Orders]]/N(Salary_Calculation[[#This Row],[Calendar Days]])*N(Salary_Calculation[[#This Row],[Working Days]]),0))</f>
        <v/>
      </c>
      <c r="I425" s="166" t="str">
        <f aca="false">IF(Salary_Calculation[[#This Row],[Source Row]]="","",IF(INDEX(Rider_Input[Completed Orders],Salary_Calculation[[#This Row],[Source Row]])="","",INDEX(Rider_Input[Completed Orders],Salary_Calculation[[#This Row],[Source Row]])))</f>
        <v/>
      </c>
      <c r="J425" s="165" t="str">
        <f aca="false">IF(Salary_Calculation[[#This Row],[Source Row]]="","",IF(Rate_Method="Fixed rate",Fixed_Rate,IF(N(Salary_Calculation[[#This Row],[Basic Payment]])&gt;0,N(Salary_Calculation[[#This Row],[Basic Payment]])/Std_Orders,0)))</f>
        <v/>
      </c>
      <c r="K425" s="165" t="str">
        <f aca="false">IF(Salary_Calculation[[#This Row],[Source Row]]="","",MAX(MIN(N(Salary_Calculation[[#This Row],[Completed Orders]]),Salary_Calculation[[#This Row],[Rider Target Orders]]),0))</f>
        <v/>
      </c>
      <c r="L425" s="164" t="str">
        <f aca="false">IF(Salary_Calculation[[#This Row],[Source Row]]="","",Salary_Calculation[[#This Row],[Orders Counted at Base Rate]]*Salary_Calculation[[#This Row],[Base Order Rate]])</f>
        <v/>
      </c>
      <c r="M425" s="165" t="str">
        <f aca="false">IF(Salary_Calculation[[#This Row],[Source Row]]="","",MAX(Salary_Calculation[[#This Row],[Rider Target Orders]]-N(Salary_Calculation[[#This Row],[Completed Orders]]),0))</f>
        <v/>
      </c>
      <c r="N425" s="164" t="str">
        <f aca="false">IF(Salary_Calculation[[#This Row],[Source Row]]="","",Salary_Calculation[[#This Row],[Missing Orders]]*Missing_Rate)</f>
        <v/>
      </c>
      <c r="O425" s="165" t="str">
        <f aca="false">IF(Salary_Calculation[[#This Row],[Source Row]]="","",MAX(N(Salary_Calculation[[#This Row],[Completed Orders]])-Salary_Calculation[[#This Row],[Rider Target Orders]],0))</f>
        <v/>
      </c>
      <c r="P425" s="164" t="str">
        <f aca="false">IF(Salary_Calculation[[#This Row],[Source Row]]="","",Salary_Calculation[[#This Row],[Extra Orders]]*Extra_Rate)</f>
        <v/>
      </c>
      <c r="Q425" s="164" t="str">
        <f aca="false">IF(Salary_Calculation[[#This Row],[Source Row]]="","",MAX(Salary_Calculation[[#This Row],[Salary Before Other Deductions]],0))</f>
        <v/>
      </c>
      <c r="R425" s="164" t="str">
        <f aca="false">IF(Salary_Calculation[[#This Row],[Source Row]]="","",N(INDEX(Rider_Input[missed_days_penalty],Salary_Calculation[[#This Row],[Source Row]])))</f>
        <v/>
      </c>
      <c r="S425" s="164" t="str">
        <f aca="false">IF(Salary_Calculation[[#This Row],[Source Row]]="","",N(INDEX(Rider_Input[Rider Balance / محفظة المندوب],Salary_Calculation[[#This Row],[Source Row]])))</f>
        <v/>
      </c>
      <c r="T425" s="164" t="str">
        <f aca="false">IF(Salary_Calculation[[#This Row],[Source Row]]="","",N(INDEX(Rider_Input[stacking_deduction / خصم الطلبات المتعددة],Salary_Calculation[[#This Row],[Source Row]])))</f>
        <v/>
      </c>
      <c r="U425" s="164" t="str">
        <f aca="false">IF(Salary_Calculation[[#This Row],[Source Row]]="","",N(INDEX(Rider_Input[Other Deductions],Salary_Calculation[[#This Row],[Source Row]])))</f>
        <v/>
      </c>
      <c r="V425" s="164" t="str">
        <f aca="false">IF(Salary_Calculation[[#This Row],[Source Row]]="","",N(Salary_Calculation[[#This Row],[missed_days_penalty]])+N(Salary_Calculation[[#This Row],[Rider Balance]])+N(Salary_Calculation[[#This Row],[stacking_deduction]])+N(Salary_Calculation[[#This Row],[Other Deductions]]))</f>
        <v/>
      </c>
      <c r="W425" s="167" t="str">
        <f aca="false">IF(Salary_Calculation[[#This Row],[Source Row]]="","",ROUND(MAX(Salary_Calculation[[#This Row],[Gross Salary Before Deductions]]-Salary_Calculation[[#This Row],[Total Deductions]],0),2))</f>
        <v/>
      </c>
      <c r="X425" s="164" t="str">
        <f aca="false">IF(Salary_Calculation[[#This Row],[Source Row]]="","",ROUND(MAX(Salary_Calculation[[#This Row],[Missing-Order Deduction]]-Salary_Calculation[[#This Row],[Earned Salary]],0),2))</f>
        <v/>
      </c>
      <c r="Y42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25" s="163" t="str">
        <f aca="false">IF(Salary_Calculation[[#This Row],[Source Row]]="","",IF(INDEX(Rider_Input[Notes],Salary_Calculation[[#This Row],[Source Row]])="","",INDEX(Rider_Input[Notes],Salary_Calculation[[#This Row],[Source Row]])))</f>
        <v/>
      </c>
      <c r="AA425" s="164" t="str">
        <f aca="false">IF(Salary_Calculation[[#This Row],[Source Row]]="","",Salary_Calculation[[#This Row],[Earned Salary]]-Salary_Calculation[[#This Row],[Missing-Order Deduction]]+Salary_Calculation[[#This Row],[Extra-Order Bonus]])</f>
        <v/>
      </c>
      <c r="AB425" s="164" t="str">
        <f aca="false">IF(Salary_Calculation[[#This Row],[Source Row]]="","",ROUND(Salary_Calculation[[#This Row],[Negative Balance / Amount Due from Rider]]+MAX(Salary_Calculation[[#This Row],[Total Deductions]]-Salary_Calculation[[#This Row],[Gross Salary Before Deductions]],0),2))</f>
        <v/>
      </c>
      <c r="AC42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25" s="164" t="str">
        <f aca="false">IF(Salary_Calculation[[#This Row],[Source Row]]="","",Salary_Calculation[[#This Row],[Rider Target Orders]]*Salary_Calculation[[#This Row],[Base Order Rate]])</f>
        <v/>
      </c>
      <c r="AE425" s="162" t="str">
        <f aca="false">IF(SUMPRODUCT(--(LEN(INDEX(Rider_Input[#Data],ROW()-ROW(Salary_Calculation[#Headers]),0))&gt;0))=0,"",ROW()-ROW(Salary_Calculation[#Headers]))</f>
        <v/>
      </c>
    </row>
    <row r="426" customFormat="false" ht="14.25" hidden="false" customHeight="false" outlineLevel="0" collapsed="false">
      <c r="A426" s="161" t="str">
        <f aca="false">IF(Salary_Calculation[[#This Row],[Source Row]]="","",IF(INDEX(Rider_Input[Salary Month],Salary_Calculation[[#This Row],[Source Row]])="","",INDEX(Rider_Input[Salary Month],Salary_Calculation[[#This Row],[Source Row]])))</f>
        <v/>
      </c>
      <c r="B426" s="162" t="str">
        <f aca="false">IF(Salary_Calculation[[#This Row],[Source Row]]="","",IF(INDEX(Rider_Input[Rider ID],Salary_Calculation[[#This Row],[Source Row]])="","",INDEX(Rider_Input[Rider ID],Salary_Calculation[[#This Row],[Source Row]])))</f>
        <v/>
      </c>
      <c r="C426" s="163" t="str">
        <f aca="false">IF(Salary_Calculation[[#This Row],[Source Row]]="","",IF(INDEX(Rider_Input[Rider Name],Salary_Calculation[[#This Row],[Source Row]])="","",INDEX(Rider_Input[Rider Name],Salary_Calculation[[#This Row],[Source Row]])))</f>
        <v/>
      </c>
      <c r="D426" s="164" t="str">
        <f aca="false">IF(Salary_Calculation[[#This Row],[Source Row]]="","",IF(INDEX(Rider_Input[Basic Payment],Salary_Calculation[[#This Row],[Source Row]])="","",INDEX(Rider_Input[Basic Payment],Salary_Calculation[[#This Row],[Source Row]])))</f>
        <v/>
      </c>
      <c r="E426" s="162" t="str">
        <f aca="false">IF(Salary_Calculation[[#This Row],[Source Row]]="","",IF(INDEX(Rider_Input[Calendar Days in Month],Salary_Calculation[[#This Row],[Source Row]])="","",INDEX(Rider_Input[Calendar Days in Month],Salary_Calculation[[#This Row],[Source Row]])))</f>
        <v/>
      </c>
      <c r="F426" s="162" t="str">
        <f aca="false">IF(Salary_Calculation[[#This Row],[Source Row]]="","",IF(INDEX(Rider_Input[Working Days],Salary_Calculation[[#This Row],[Source Row]])="","",INDEX(Rider_Input[Working Days],Salary_Calculation[[#This Row],[Source Row]])))</f>
        <v/>
      </c>
      <c r="G426" s="165" t="str">
        <f aca="false">IF(Salary_Calculation[[#This Row],[Source Row]]="","",Std_Orders/Std_Days*N(Salary_Calculation[[#This Row],[Calendar Days]]))</f>
        <v/>
      </c>
      <c r="H426" s="165" t="str">
        <f aca="false">IF(Salary_Calculation[[#This Row],[Source Row]]="","",IF(N(Salary_Calculation[[#This Row],[Calendar Days]])&gt;0,Salary_Calculation[[#This Row],[Monthly Target Orders]]/N(Salary_Calculation[[#This Row],[Calendar Days]])*N(Salary_Calculation[[#This Row],[Working Days]]),0))</f>
        <v/>
      </c>
      <c r="I426" s="166" t="str">
        <f aca="false">IF(Salary_Calculation[[#This Row],[Source Row]]="","",IF(INDEX(Rider_Input[Completed Orders],Salary_Calculation[[#This Row],[Source Row]])="","",INDEX(Rider_Input[Completed Orders],Salary_Calculation[[#This Row],[Source Row]])))</f>
        <v/>
      </c>
      <c r="J426" s="165" t="str">
        <f aca="false">IF(Salary_Calculation[[#This Row],[Source Row]]="","",IF(Rate_Method="Fixed rate",Fixed_Rate,IF(N(Salary_Calculation[[#This Row],[Basic Payment]])&gt;0,N(Salary_Calculation[[#This Row],[Basic Payment]])/Std_Orders,0)))</f>
        <v/>
      </c>
      <c r="K426" s="165" t="str">
        <f aca="false">IF(Salary_Calculation[[#This Row],[Source Row]]="","",MAX(MIN(N(Salary_Calculation[[#This Row],[Completed Orders]]),Salary_Calculation[[#This Row],[Rider Target Orders]]),0))</f>
        <v/>
      </c>
      <c r="L426" s="164" t="str">
        <f aca="false">IF(Salary_Calculation[[#This Row],[Source Row]]="","",Salary_Calculation[[#This Row],[Orders Counted at Base Rate]]*Salary_Calculation[[#This Row],[Base Order Rate]])</f>
        <v/>
      </c>
      <c r="M426" s="165" t="str">
        <f aca="false">IF(Salary_Calculation[[#This Row],[Source Row]]="","",MAX(Salary_Calculation[[#This Row],[Rider Target Orders]]-N(Salary_Calculation[[#This Row],[Completed Orders]]),0))</f>
        <v/>
      </c>
      <c r="N426" s="164" t="str">
        <f aca="false">IF(Salary_Calculation[[#This Row],[Source Row]]="","",Salary_Calculation[[#This Row],[Missing Orders]]*Missing_Rate)</f>
        <v/>
      </c>
      <c r="O426" s="165" t="str">
        <f aca="false">IF(Salary_Calculation[[#This Row],[Source Row]]="","",MAX(N(Salary_Calculation[[#This Row],[Completed Orders]])-Salary_Calculation[[#This Row],[Rider Target Orders]],0))</f>
        <v/>
      </c>
      <c r="P426" s="164" t="str">
        <f aca="false">IF(Salary_Calculation[[#This Row],[Source Row]]="","",Salary_Calculation[[#This Row],[Extra Orders]]*Extra_Rate)</f>
        <v/>
      </c>
      <c r="Q426" s="164" t="str">
        <f aca="false">IF(Salary_Calculation[[#This Row],[Source Row]]="","",MAX(Salary_Calculation[[#This Row],[Salary Before Other Deductions]],0))</f>
        <v/>
      </c>
      <c r="R426" s="164" t="str">
        <f aca="false">IF(Salary_Calculation[[#This Row],[Source Row]]="","",N(INDEX(Rider_Input[missed_days_penalty],Salary_Calculation[[#This Row],[Source Row]])))</f>
        <v/>
      </c>
      <c r="S426" s="164" t="str">
        <f aca="false">IF(Salary_Calculation[[#This Row],[Source Row]]="","",N(INDEX(Rider_Input[Rider Balance / محفظة المندوب],Salary_Calculation[[#This Row],[Source Row]])))</f>
        <v/>
      </c>
      <c r="T426" s="164" t="str">
        <f aca="false">IF(Salary_Calculation[[#This Row],[Source Row]]="","",N(INDEX(Rider_Input[stacking_deduction / خصم الطلبات المتعددة],Salary_Calculation[[#This Row],[Source Row]])))</f>
        <v/>
      </c>
      <c r="U426" s="164" t="str">
        <f aca="false">IF(Salary_Calculation[[#This Row],[Source Row]]="","",N(INDEX(Rider_Input[Other Deductions],Salary_Calculation[[#This Row],[Source Row]])))</f>
        <v/>
      </c>
      <c r="V426" s="164" t="str">
        <f aca="false">IF(Salary_Calculation[[#This Row],[Source Row]]="","",N(Salary_Calculation[[#This Row],[missed_days_penalty]])+N(Salary_Calculation[[#This Row],[Rider Balance]])+N(Salary_Calculation[[#This Row],[stacking_deduction]])+N(Salary_Calculation[[#This Row],[Other Deductions]]))</f>
        <v/>
      </c>
      <c r="W426" s="167" t="str">
        <f aca="false">IF(Salary_Calculation[[#This Row],[Source Row]]="","",ROUND(MAX(Salary_Calculation[[#This Row],[Gross Salary Before Deductions]]-Salary_Calculation[[#This Row],[Total Deductions]],0),2))</f>
        <v/>
      </c>
      <c r="X426" s="164" t="str">
        <f aca="false">IF(Salary_Calculation[[#This Row],[Source Row]]="","",ROUND(MAX(Salary_Calculation[[#This Row],[Missing-Order Deduction]]-Salary_Calculation[[#This Row],[Earned Salary]],0),2))</f>
        <v/>
      </c>
      <c r="Y42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26" s="163" t="str">
        <f aca="false">IF(Salary_Calculation[[#This Row],[Source Row]]="","",IF(INDEX(Rider_Input[Notes],Salary_Calculation[[#This Row],[Source Row]])="","",INDEX(Rider_Input[Notes],Salary_Calculation[[#This Row],[Source Row]])))</f>
        <v/>
      </c>
      <c r="AA426" s="164" t="str">
        <f aca="false">IF(Salary_Calculation[[#This Row],[Source Row]]="","",Salary_Calculation[[#This Row],[Earned Salary]]-Salary_Calculation[[#This Row],[Missing-Order Deduction]]+Salary_Calculation[[#This Row],[Extra-Order Bonus]])</f>
        <v/>
      </c>
      <c r="AB426" s="164" t="str">
        <f aca="false">IF(Salary_Calculation[[#This Row],[Source Row]]="","",ROUND(Salary_Calculation[[#This Row],[Negative Balance / Amount Due from Rider]]+MAX(Salary_Calculation[[#This Row],[Total Deductions]]-Salary_Calculation[[#This Row],[Gross Salary Before Deductions]],0),2))</f>
        <v/>
      </c>
      <c r="AC42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26" s="164" t="str">
        <f aca="false">IF(Salary_Calculation[[#This Row],[Source Row]]="","",Salary_Calculation[[#This Row],[Rider Target Orders]]*Salary_Calculation[[#This Row],[Base Order Rate]])</f>
        <v/>
      </c>
      <c r="AE426" s="162" t="str">
        <f aca="false">IF(SUMPRODUCT(--(LEN(INDEX(Rider_Input[#Data],ROW()-ROW(Salary_Calculation[#Headers]),0))&gt;0))=0,"",ROW()-ROW(Salary_Calculation[#Headers]))</f>
        <v/>
      </c>
    </row>
    <row r="427" customFormat="false" ht="14.25" hidden="false" customHeight="false" outlineLevel="0" collapsed="false">
      <c r="A427" s="161" t="str">
        <f aca="false">IF(Salary_Calculation[[#This Row],[Source Row]]="","",IF(INDEX(Rider_Input[Salary Month],Salary_Calculation[[#This Row],[Source Row]])="","",INDEX(Rider_Input[Salary Month],Salary_Calculation[[#This Row],[Source Row]])))</f>
        <v/>
      </c>
      <c r="B427" s="162" t="str">
        <f aca="false">IF(Salary_Calculation[[#This Row],[Source Row]]="","",IF(INDEX(Rider_Input[Rider ID],Salary_Calculation[[#This Row],[Source Row]])="","",INDEX(Rider_Input[Rider ID],Salary_Calculation[[#This Row],[Source Row]])))</f>
        <v/>
      </c>
      <c r="C427" s="163" t="str">
        <f aca="false">IF(Salary_Calculation[[#This Row],[Source Row]]="","",IF(INDEX(Rider_Input[Rider Name],Salary_Calculation[[#This Row],[Source Row]])="","",INDEX(Rider_Input[Rider Name],Salary_Calculation[[#This Row],[Source Row]])))</f>
        <v/>
      </c>
      <c r="D427" s="164" t="str">
        <f aca="false">IF(Salary_Calculation[[#This Row],[Source Row]]="","",IF(INDEX(Rider_Input[Basic Payment],Salary_Calculation[[#This Row],[Source Row]])="","",INDEX(Rider_Input[Basic Payment],Salary_Calculation[[#This Row],[Source Row]])))</f>
        <v/>
      </c>
      <c r="E427" s="162" t="str">
        <f aca="false">IF(Salary_Calculation[[#This Row],[Source Row]]="","",IF(INDEX(Rider_Input[Calendar Days in Month],Salary_Calculation[[#This Row],[Source Row]])="","",INDEX(Rider_Input[Calendar Days in Month],Salary_Calculation[[#This Row],[Source Row]])))</f>
        <v/>
      </c>
      <c r="F427" s="162" t="str">
        <f aca="false">IF(Salary_Calculation[[#This Row],[Source Row]]="","",IF(INDEX(Rider_Input[Working Days],Salary_Calculation[[#This Row],[Source Row]])="","",INDEX(Rider_Input[Working Days],Salary_Calculation[[#This Row],[Source Row]])))</f>
        <v/>
      </c>
      <c r="G427" s="165" t="str">
        <f aca="false">IF(Salary_Calculation[[#This Row],[Source Row]]="","",Std_Orders/Std_Days*N(Salary_Calculation[[#This Row],[Calendar Days]]))</f>
        <v/>
      </c>
      <c r="H427" s="165" t="str">
        <f aca="false">IF(Salary_Calculation[[#This Row],[Source Row]]="","",IF(N(Salary_Calculation[[#This Row],[Calendar Days]])&gt;0,Salary_Calculation[[#This Row],[Monthly Target Orders]]/N(Salary_Calculation[[#This Row],[Calendar Days]])*N(Salary_Calculation[[#This Row],[Working Days]]),0))</f>
        <v/>
      </c>
      <c r="I427" s="166" t="str">
        <f aca="false">IF(Salary_Calculation[[#This Row],[Source Row]]="","",IF(INDEX(Rider_Input[Completed Orders],Salary_Calculation[[#This Row],[Source Row]])="","",INDEX(Rider_Input[Completed Orders],Salary_Calculation[[#This Row],[Source Row]])))</f>
        <v/>
      </c>
      <c r="J427" s="165" t="str">
        <f aca="false">IF(Salary_Calculation[[#This Row],[Source Row]]="","",IF(Rate_Method="Fixed rate",Fixed_Rate,IF(N(Salary_Calculation[[#This Row],[Basic Payment]])&gt;0,N(Salary_Calculation[[#This Row],[Basic Payment]])/Std_Orders,0)))</f>
        <v/>
      </c>
      <c r="K427" s="165" t="str">
        <f aca="false">IF(Salary_Calculation[[#This Row],[Source Row]]="","",MAX(MIN(N(Salary_Calculation[[#This Row],[Completed Orders]]),Salary_Calculation[[#This Row],[Rider Target Orders]]),0))</f>
        <v/>
      </c>
      <c r="L427" s="164" t="str">
        <f aca="false">IF(Salary_Calculation[[#This Row],[Source Row]]="","",Salary_Calculation[[#This Row],[Orders Counted at Base Rate]]*Salary_Calculation[[#This Row],[Base Order Rate]])</f>
        <v/>
      </c>
      <c r="M427" s="165" t="str">
        <f aca="false">IF(Salary_Calculation[[#This Row],[Source Row]]="","",MAX(Salary_Calculation[[#This Row],[Rider Target Orders]]-N(Salary_Calculation[[#This Row],[Completed Orders]]),0))</f>
        <v/>
      </c>
      <c r="N427" s="164" t="str">
        <f aca="false">IF(Salary_Calculation[[#This Row],[Source Row]]="","",Salary_Calculation[[#This Row],[Missing Orders]]*Missing_Rate)</f>
        <v/>
      </c>
      <c r="O427" s="165" t="str">
        <f aca="false">IF(Salary_Calculation[[#This Row],[Source Row]]="","",MAX(N(Salary_Calculation[[#This Row],[Completed Orders]])-Salary_Calculation[[#This Row],[Rider Target Orders]],0))</f>
        <v/>
      </c>
      <c r="P427" s="164" t="str">
        <f aca="false">IF(Salary_Calculation[[#This Row],[Source Row]]="","",Salary_Calculation[[#This Row],[Extra Orders]]*Extra_Rate)</f>
        <v/>
      </c>
      <c r="Q427" s="164" t="str">
        <f aca="false">IF(Salary_Calculation[[#This Row],[Source Row]]="","",MAX(Salary_Calculation[[#This Row],[Salary Before Other Deductions]],0))</f>
        <v/>
      </c>
      <c r="R427" s="164" t="str">
        <f aca="false">IF(Salary_Calculation[[#This Row],[Source Row]]="","",N(INDEX(Rider_Input[missed_days_penalty],Salary_Calculation[[#This Row],[Source Row]])))</f>
        <v/>
      </c>
      <c r="S427" s="164" t="str">
        <f aca="false">IF(Salary_Calculation[[#This Row],[Source Row]]="","",N(INDEX(Rider_Input[Rider Balance / محفظة المندوب],Salary_Calculation[[#This Row],[Source Row]])))</f>
        <v/>
      </c>
      <c r="T427" s="164" t="str">
        <f aca="false">IF(Salary_Calculation[[#This Row],[Source Row]]="","",N(INDEX(Rider_Input[stacking_deduction / خصم الطلبات المتعددة],Salary_Calculation[[#This Row],[Source Row]])))</f>
        <v/>
      </c>
      <c r="U427" s="164" t="str">
        <f aca="false">IF(Salary_Calculation[[#This Row],[Source Row]]="","",N(INDEX(Rider_Input[Other Deductions],Salary_Calculation[[#This Row],[Source Row]])))</f>
        <v/>
      </c>
      <c r="V427" s="164" t="str">
        <f aca="false">IF(Salary_Calculation[[#This Row],[Source Row]]="","",N(Salary_Calculation[[#This Row],[missed_days_penalty]])+N(Salary_Calculation[[#This Row],[Rider Balance]])+N(Salary_Calculation[[#This Row],[stacking_deduction]])+N(Salary_Calculation[[#This Row],[Other Deductions]]))</f>
        <v/>
      </c>
      <c r="W427" s="167" t="str">
        <f aca="false">IF(Salary_Calculation[[#This Row],[Source Row]]="","",ROUND(MAX(Salary_Calculation[[#This Row],[Gross Salary Before Deductions]]-Salary_Calculation[[#This Row],[Total Deductions]],0),2))</f>
        <v/>
      </c>
      <c r="X427" s="164" t="str">
        <f aca="false">IF(Salary_Calculation[[#This Row],[Source Row]]="","",ROUND(MAX(Salary_Calculation[[#This Row],[Missing-Order Deduction]]-Salary_Calculation[[#This Row],[Earned Salary]],0),2))</f>
        <v/>
      </c>
      <c r="Y42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27" s="163" t="str">
        <f aca="false">IF(Salary_Calculation[[#This Row],[Source Row]]="","",IF(INDEX(Rider_Input[Notes],Salary_Calculation[[#This Row],[Source Row]])="","",INDEX(Rider_Input[Notes],Salary_Calculation[[#This Row],[Source Row]])))</f>
        <v/>
      </c>
      <c r="AA427" s="164" t="str">
        <f aca="false">IF(Salary_Calculation[[#This Row],[Source Row]]="","",Salary_Calculation[[#This Row],[Earned Salary]]-Salary_Calculation[[#This Row],[Missing-Order Deduction]]+Salary_Calculation[[#This Row],[Extra-Order Bonus]])</f>
        <v/>
      </c>
      <c r="AB427" s="164" t="str">
        <f aca="false">IF(Salary_Calculation[[#This Row],[Source Row]]="","",ROUND(Salary_Calculation[[#This Row],[Negative Balance / Amount Due from Rider]]+MAX(Salary_Calculation[[#This Row],[Total Deductions]]-Salary_Calculation[[#This Row],[Gross Salary Before Deductions]],0),2))</f>
        <v/>
      </c>
      <c r="AC42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27" s="164" t="str">
        <f aca="false">IF(Salary_Calculation[[#This Row],[Source Row]]="","",Salary_Calculation[[#This Row],[Rider Target Orders]]*Salary_Calculation[[#This Row],[Base Order Rate]])</f>
        <v/>
      </c>
      <c r="AE427" s="162" t="str">
        <f aca="false">IF(SUMPRODUCT(--(LEN(INDEX(Rider_Input[#Data],ROW()-ROW(Salary_Calculation[#Headers]),0))&gt;0))=0,"",ROW()-ROW(Salary_Calculation[#Headers]))</f>
        <v/>
      </c>
    </row>
    <row r="428" customFormat="false" ht="14.25" hidden="false" customHeight="false" outlineLevel="0" collapsed="false">
      <c r="A428" s="161" t="str">
        <f aca="false">IF(Salary_Calculation[[#This Row],[Source Row]]="","",IF(INDEX(Rider_Input[Salary Month],Salary_Calculation[[#This Row],[Source Row]])="","",INDEX(Rider_Input[Salary Month],Salary_Calculation[[#This Row],[Source Row]])))</f>
        <v/>
      </c>
      <c r="B428" s="162" t="str">
        <f aca="false">IF(Salary_Calculation[[#This Row],[Source Row]]="","",IF(INDEX(Rider_Input[Rider ID],Salary_Calculation[[#This Row],[Source Row]])="","",INDEX(Rider_Input[Rider ID],Salary_Calculation[[#This Row],[Source Row]])))</f>
        <v/>
      </c>
      <c r="C428" s="163" t="str">
        <f aca="false">IF(Salary_Calculation[[#This Row],[Source Row]]="","",IF(INDEX(Rider_Input[Rider Name],Salary_Calculation[[#This Row],[Source Row]])="","",INDEX(Rider_Input[Rider Name],Salary_Calculation[[#This Row],[Source Row]])))</f>
        <v/>
      </c>
      <c r="D428" s="164" t="str">
        <f aca="false">IF(Salary_Calculation[[#This Row],[Source Row]]="","",IF(INDEX(Rider_Input[Basic Payment],Salary_Calculation[[#This Row],[Source Row]])="","",INDEX(Rider_Input[Basic Payment],Salary_Calculation[[#This Row],[Source Row]])))</f>
        <v/>
      </c>
      <c r="E428" s="162" t="str">
        <f aca="false">IF(Salary_Calculation[[#This Row],[Source Row]]="","",IF(INDEX(Rider_Input[Calendar Days in Month],Salary_Calculation[[#This Row],[Source Row]])="","",INDEX(Rider_Input[Calendar Days in Month],Salary_Calculation[[#This Row],[Source Row]])))</f>
        <v/>
      </c>
      <c r="F428" s="162" t="str">
        <f aca="false">IF(Salary_Calculation[[#This Row],[Source Row]]="","",IF(INDEX(Rider_Input[Working Days],Salary_Calculation[[#This Row],[Source Row]])="","",INDEX(Rider_Input[Working Days],Salary_Calculation[[#This Row],[Source Row]])))</f>
        <v/>
      </c>
      <c r="G428" s="165" t="str">
        <f aca="false">IF(Salary_Calculation[[#This Row],[Source Row]]="","",Std_Orders/Std_Days*N(Salary_Calculation[[#This Row],[Calendar Days]]))</f>
        <v/>
      </c>
      <c r="H428" s="165" t="str">
        <f aca="false">IF(Salary_Calculation[[#This Row],[Source Row]]="","",IF(N(Salary_Calculation[[#This Row],[Calendar Days]])&gt;0,Salary_Calculation[[#This Row],[Monthly Target Orders]]/N(Salary_Calculation[[#This Row],[Calendar Days]])*N(Salary_Calculation[[#This Row],[Working Days]]),0))</f>
        <v/>
      </c>
      <c r="I428" s="166" t="str">
        <f aca="false">IF(Salary_Calculation[[#This Row],[Source Row]]="","",IF(INDEX(Rider_Input[Completed Orders],Salary_Calculation[[#This Row],[Source Row]])="","",INDEX(Rider_Input[Completed Orders],Salary_Calculation[[#This Row],[Source Row]])))</f>
        <v/>
      </c>
      <c r="J428" s="165" t="str">
        <f aca="false">IF(Salary_Calculation[[#This Row],[Source Row]]="","",IF(Rate_Method="Fixed rate",Fixed_Rate,IF(N(Salary_Calculation[[#This Row],[Basic Payment]])&gt;0,N(Salary_Calculation[[#This Row],[Basic Payment]])/Std_Orders,0)))</f>
        <v/>
      </c>
      <c r="K428" s="165" t="str">
        <f aca="false">IF(Salary_Calculation[[#This Row],[Source Row]]="","",MAX(MIN(N(Salary_Calculation[[#This Row],[Completed Orders]]),Salary_Calculation[[#This Row],[Rider Target Orders]]),0))</f>
        <v/>
      </c>
      <c r="L428" s="164" t="str">
        <f aca="false">IF(Salary_Calculation[[#This Row],[Source Row]]="","",Salary_Calculation[[#This Row],[Orders Counted at Base Rate]]*Salary_Calculation[[#This Row],[Base Order Rate]])</f>
        <v/>
      </c>
      <c r="M428" s="165" t="str">
        <f aca="false">IF(Salary_Calculation[[#This Row],[Source Row]]="","",MAX(Salary_Calculation[[#This Row],[Rider Target Orders]]-N(Salary_Calculation[[#This Row],[Completed Orders]]),0))</f>
        <v/>
      </c>
      <c r="N428" s="164" t="str">
        <f aca="false">IF(Salary_Calculation[[#This Row],[Source Row]]="","",Salary_Calculation[[#This Row],[Missing Orders]]*Missing_Rate)</f>
        <v/>
      </c>
      <c r="O428" s="165" t="str">
        <f aca="false">IF(Salary_Calculation[[#This Row],[Source Row]]="","",MAX(N(Salary_Calculation[[#This Row],[Completed Orders]])-Salary_Calculation[[#This Row],[Rider Target Orders]],0))</f>
        <v/>
      </c>
      <c r="P428" s="164" t="str">
        <f aca="false">IF(Salary_Calculation[[#This Row],[Source Row]]="","",Salary_Calculation[[#This Row],[Extra Orders]]*Extra_Rate)</f>
        <v/>
      </c>
      <c r="Q428" s="164" t="str">
        <f aca="false">IF(Salary_Calculation[[#This Row],[Source Row]]="","",MAX(Salary_Calculation[[#This Row],[Salary Before Other Deductions]],0))</f>
        <v/>
      </c>
      <c r="R428" s="164" t="str">
        <f aca="false">IF(Salary_Calculation[[#This Row],[Source Row]]="","",N(INDEX(Rider_Input[missed_days_penalty],Salary_Calculation[[#This Row],[Source Row]])))</f>
        <v/>
      </c>
      <c r="S428" s="164" t="str">
        <f aca="false">IF(Salary_Calculation[[#This Row],[Source Row]]="","",N(INDEX(Rider_Input[Rider Balance / محفظة المندوب],Salary_Calculation[[#This Row],[Source Row]])))</f>
        <v/>
      </c>
      <c r="T428" s="164" t="str">
        <f aca="false">IF(Salary_Calculation[[#This Row],[Source Row]]="","",N(INDEX(Rider_Input[stacking_deduction / خصم الطلبات المتعددة],Salary_Calculation[[#This Row],[Source Row]])))</f>
        <v/>
      </c>
      <c r="U428" s="164" t="str">
        <f aca="false">IF(Salary_Calculation[[#This Row],[Source Row]]="","",N(INDEX(Rider_Input[Other Deductions],Salary_Calculation[[#This Row],[Source Row]])))</f>
        <v/>
      </c>
      <c r="V428" s="164" t="str">
        <f aca="false">IF(Salary_Calculation[[#This Row],[Source Row]]="","",N(Salary_Calculation[[#This Row],[missed_days_penalty]])+N(Salary_Calculation[[#This Row],[Rider Balance]])+N(Salary_Calculation[[#This Row],[stacking_deduction]])+N(Salary_Calculation[[#This Row],[Other Deductions]]))</f>
        <v/>
      </c>
      <c r="W428" s="167" t="str">
        <f aca="false">IF(Salary_Calculation[[#This Row],[Source Row]]="","",ROUND(MAX(Salary_Calculation[[#This Row],[Gross Salary Before Deductions]]-Salary_Calculation[[#This Row],[Total Deductions]],0),2))</f>
        <v/>
      </c>
      <c r="X428" s="164" t="str">
        <f aca="false">IF(Salary_Calculation[[#This Row],[Source Row]]="","",ROUND(MAX(Salary_Calculation[[#This Row],[Missing-Order Deduction]]-Salary_Calculation[[#This Row],[Earned Salary]],0),2))</f>
        <v/>
      </c>
      <c r="Y42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28" s="163" t="str">
        <f aca="false">IF(Salary_Calculation[[#This Row],[Source Row]]="","",IF(INDEX(Rider_Input[Notes],Salary_Calculation[[#This Row],[Source Row]])="","",INDEX(Rider_Input[Notes],Salary_Calculation[[#This Row],[Source Row]])))</f>
        <v/>
      </c>
      <c r="AA428" s="164" t="str">
        <f aca="false">IF(Salary_Calculation[[#This Row],[Source Row]]="","",Salary_Calculation[[#This Row],[Earned Salary]]-Salary_Calculation[[#This Row],[Missing-Order Deduction]]+Salary_Calculation[[#This Row],[Extra-Order Bonus]])</f>
        <v/>
      </c>
      <c r="AB428" s="164" t="str">
        <f aca="false">IF(Salary_Calculation[[#This Row],[Source Row]]="","",ROUND(Salary_Calculation[[#This Row],[Negative Balance / Amount Due from Rider]]+MAX(Salary_Calculation[[#This Row],[Total Deductions]]-Salary_Calculation[[#This Row],[Gross Salary Before Deductions]],0),2))</f>
        <v/>
      </c>
      <c r="AC42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28" s="164" t="str">
        <f aca="false">IF(Salary_Calculation[[#This Row],[Source Row]]="","",Salary_Calculation[[#This Row],[Rider Target Orders]]*Salary_Calculation[[#This Row],[Base Order Rate]])</f>
        <v/>
      </c>
      <c r="AE428" s="162" t="str">
        <f aca="false">IF(SUMPRODUCT(--(LEN(INDEX(Rider_Input[#Data],ROW()-ROW(Salary_Calculation[#Headers]),0))&gt;0))=0,"",ROW()-ROW(Salary_Calculation[#Headers]))</f>
        <v/>
      </c>
    </row>
    <row r="429" customFormat="false" ht="14.25" hidden="false" customHeight="false" outlineLevel="0" collapsed="false">
      <c r="A429" s="161" t="str">
        <f aca="false">IF(Salary_Calculation[[#This Row],[Source Row]]="","",IF(INDEX(Rider_Input[Salary Month],Salary_Calculation[[#This Row],[Source Row]])="","",INDEX(Rider_Input[Salary Month],Salary_Calculation[[#This Row],[Source Row]])))</f>
        <v/>
      </c>
      <c r="B429" s="162" t="str">
        <f aca="false">IF(Salary_Calculation[[#This Row],[Source Row]]="","",IF(INDEX(Rider_Input[Rider ID],Salary_Calculation[[#This Row],[Source Row]])="","",INDEX(Rider_Input[Rider ID],Salary_Calculation[[#This Row],[Source Row]])))</f>
        <v/>
      </c>
      <c r="C429" s="163" t="str">
        <f aca="false">IF(Salary_Calculation[[#This Row],[Source Row]]="","",IF(INDEX(Rider_Input[Rider Name],Salary_Calculation[[#This Row],[Source Row]])="","",INDEX(Rider_Input[Rider Name],Salary_Calculation[[#This Row],[Source Row]])))</f>
        <v/>
      </c>
      <c r="D429" s="164" t="str">
        <f aca="false">IF(Salary_Calculation[[#This Row],[Source Row]]="","",IF(INDEX(Rider_Input[Basic Payment],Salary_Calculation[[#This Row],[Source Row]])="","",INDEX(Rider_Input[Basic Payment],Salary_Calculation[[#This Row],[Source Row]])))</f>
        <v/>
      </c>
      <c r="E429" s="162" t="str">
        <f aca="false">IF(Salary_Calculation[[#This Row],[Source Row]]="","",IF(INDEX(Rider_Input[Calendar Days in Month],Salary_Calculation[[#This Row],[Source Row]])="","",INDEX(Rider_Input[Calendar Days in Month],Salary_Calculation[[#This Row],[Source Row]])))</f>
        <v/>
      </c>
      <c r="F429" s="162" t="str">
        <f aca="false">IF(Salary_Calculation[[#This Row],[Source Row]]="","",IF(INDEX(Rider_Input[Working Days],Salary_Calculation[[#This Row],[Source Row]])="","",INDEX(Rider_Input[Working Days],Salary_Calculation[[#This Row],[Source Row]])))</f>
        <v/>
      </c>
      <c r="G429" s="165" t="str">
        <f aca="false">IF(Salary_Calculation[[#This Row],[Source Row]]="","",Std_Orders/Std_Days*N(Salary_Calculation[[#This Row],[Calendar Days]]))</f>
        <v/>
      </c>
      <c r="H429" s="165" t="str">
        <f aca="false">IF(Salary_Calculation[[#This Row],[Source Row]]="","",IF(N(Salary_Calculation[[#This Row],[Calendar Days]])&gt;0,Salary_Calculation[[#This Row],[Monthly Target Orders]]/N(Salary_Calculation[[#This Row],[Calendar Days]])*N(Salary_Calculation[[#This Row],[Working Days]]),0))</f>
        <v/>
      </c>
      <c r="I429" s="166" t="str">
        <f aca="false">IF(Salary_Calculation[[#This Row],[Source Row]]="","",IF(INDEX(Rider_Input[Completed Orders],Salary_Calculation[[#This Row],[Source Row]])="","",INDEX(Rider_Input[Completed Orders],Salary_Calculation[[#This Row],[Source Row]])))</f>
        <v/>
      </c>
      <c r="J429" s="165" t="str">
        <f aca="false">IF(Salary_Calculation[[#This Row],[Source Row]]="","",IF(Rate_Method="Fixed rate",Fixed_Rate,IF(N(Salary_Calculation[[#This Row],[Basic Payment]])&gt;0,N(Salary_Calculation[[#This Row],[Basic Payment]])/Std_Orders,0)))</f>
        <v/>
      </c>
      <c r="K429" s="165" t="str">
        <f aca="false">IF(Salary_Calculation[[#This Row],[Source Row]]="","",MAX(MIN(N(Salary_Calculation[[#This Row],[Completed Orders]]),Salary_Calculation[[#This Row],[Rider Target Orders]]),0))</f>
        <v/>
      </c>
      <c r="L429" s="164" t="str">
        <f aca="false">IF(Salary_Calculation[[#This Row],[Source Row]]="","",Salary_Calculation[[#This Row],[Orders Counted at Base Rate]]*Salary_Calculation[[#This Row],[Base Order Rate]])</f>
        <v/>
      </c>
      <c r="M429" s="165" t="str">
        <f aca="false">IF(Salary_Calculation[[#This Row],[Source Row]]="","",MAX(Salary_Calculation[[#This Row],[Rider Target Orders]]-N(Salary_Calculation[[#This Row],[Completed Orders]]),0))</f>
        <v/>
      </c>
      <c r="N429" s="164" t="str">
        <f aca="false">IF(Salary_Calculation[[#This Row],[Source Row]]="","",Salary_Calculation[[#This Row],[Missing Orders]]*Missing_Rate)</f>
        <v/>
      </c>
      <c r="O429" s="165" t="str">
        <f aca="false">IF(Salary_Calculation[[#This Row],[Source Row]]="","",MAX(N(Salary_Calculation[[#This Row],[Completed Orders]])-Salary_Calculation[[#This Row],[Rider Target Orders]],0))</f>
        <v/>
      </c>
      <c r="P429" s="164" t="str">
        <f aca="false">IF(Salary_Calculation[[#This Row],[Source Row]]="","",Salary_Calculation[[#This Row],[Extra Orders]]*Extra_Rate)</f>
        <v/>
      </c>
      <c r="Q429" s="164" t="str">
        <f aca="false">IF(Salary_Calculation[[#This Row],[Source Row]]="","",MAX(Salary_Calculation[[#This Row],[Salary Before Other Deductions]],0))</f>
        <v/>
      </c>
      <c r="R429" s="164" t="str">
        <f aca="false">IF(Salary_Calculation[[#This Row],[Source Row]]="","",N(INDEX(Rider_Input[missed_days_penalty],Salary_Calculation[[#This Row],[Source Row]])))</f>
        <v/>
      </c>
      <c r="S429" s="164" t="str">
        <f aca="false">IF(Salary_Calculation[[#This Row],[Source Row]]="","",N(INDEX(Rider_Input[Rider Balance / محفظة المندوب],Salary_Calculation[[#This Row],[Source Row]])))</f>
        <v/>
      </c>
      <c r="T429" s="164" t="str">
        <f aca="false">IF(Salary_Calculation[[#This Row],[Source Row]]="","",N(INDEX(Rider_Input[stacking_deduction / خصم الطلبات المتعددة],Salary_Calculation[[#This Row],[Source Row]])))</f>
        <v/>
      </c>
      <c r="U429" s="164" t="str">
        <f aca="false">IF(Salary_Calculation[[#This Row],[Source Row]]="","",N(INDEX(Rider_Input[Other Deductions],Salary_Calculation[[#This Row],[Source Row]])))</f>
        <v/>
      </c>
      <c r="V429" s="164" t="str">
        <f aca="false">IF(Salary_Calculation[[#This Row],[Source Row]]="","",N(Salary_Calculation[[#This Row],[missed_days_penalty]])+N(Salary_Calculation[[#This Row],[Rider Balance]])+N(Salary_Calculation[[#This Row],[stacking_deduction]])+N(Salary_Calculation[[#This Row],[Other Deductions]]))</f>
        <v/>
      </c>
      <c r="W429" s="167" t="str">
        <f aca="false">IF(Salary_Calculation[[#This Row],[Source Row]]="","",ROUND(MAX(Salary_Calculation[[#This Row],[Gross Salary Before Deductions]]-Salary_Calculation[[#This Row],[Total Deductions]],0),2))</f>
        <v/>
      </c>
      <c r="X429" s="164" t="str">
        <f aca="false">IF(Salary_Calculation[[#This Row],[Source Row]]="","",ROUND(MAX(Salary_Calculation[[#This Row],[Missing-Order Deduction]]-Salary_Calculation[[#This Row],[Earned Salary]],0),2))</f>
        <v/>
      </c>
      <c r="Y42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29" s="163" t="str">
        <f aca="false">IF(Salary_Calculation[[#This Row],[Source Row]]="","",IF(INDEX(Rider_Input[Notes],Salary_Calculation[[#This Row],[Source Row]])="","",INDEX(Rider_Input[Notes],Salary_Calculation[[#This Row],[Source Row]])))</f>
        <v/>
      </c>
      <c r="AA429" s="164" t="str">
        <f aca="false">IF(Salary_Calculation[[#This Row],[Source Row]]="","",Salary_Calculation[[#This Row],[Earned Salary]]-Salary_Calculation[[#This Row],[Missing-Order Deduction]]+Salary_Calculation[[#This Row],[Extra-Order Bonus]])</f>
        <v/>
      </c>
      <c r="AB429" s="164" t="str">
        <f aca="false">IF(Salary_Calculation[[#This Row],[Source Row]]="","",ROUND(Salary_Calculation[[#This Row],[Negative Balance / Amount Due from Rider]]+MAX(Salary_Calculation[[#This Row],[Total Deductions]]-Salary_Calculation[[#This Row],[Gross Salary Before Deductions]],0),2))</f>
        <v/>
      </c>
      <c r="AC42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29" s="164" t="str">
        <f aca="false">IF(Salary_Calculation[[#This Row],[Source Row]]="","",Salary_Calculation[[#This Row],[Rider Target Orders]]*Salary_Calculation[[#This Row],[Base Order Rate]])</f>
        <v/>
      </c>
      <c r="AE429" s="162" t="str">
        <f aca="false">IF(SUMPRODUCT(--(LEN(INDEX(Rider_Input[#Data],ROW()-ROW(Salary_Calculation[#Headers]),0))&gt;0))=0,"",ROW()-ROW(Salary_Calculation[#Headers]))</f>
        <v/>
      </c>
    </row>
    <row r="430" customFormat="false" ht="14.25" hidden="false" customHeight="false" outlineLevel="0" collapsed="false">
      <c r="A430" s="161" t="str">
        <f aca="false">IF(Salary_Calculation[[#This Row],[Source Row]]="","",IF(INDEX(Rider_Input[Salary Month],Salary_Calculation[[#This Row],[Source Row]])="","",INDEX(Rider_Input[Salary Month],Salary_Calculation[[#This Row],[Source Row]])))</f>
        <v/>
      </c>
      <c r="B430" s="162" t="str">
        <f aca="false">IF(Salary_Calculation[[#This Row],[Source Row]]="","",IF(INDEX(Rider_Input[Rider ID],Salary_Calculation[[#This Row],[Source Row]])="","",INDEX(Rider_Input[Rider ID],Salary_Calculation[[#This Row],[Source Row]])))</f>
        <v/>
      </c>
      <c r="C430" s="163" t="str">
        <f aca="false">IF(Salary_Calculation[[#This Row],[Source Row]]="","",IF(INDEX(Rider_Input[Rider Name],Salary_Calculation[[#This Row],[Source Row]])="","",INDEX(Rider_Input[Rider Name],Salary_Calculation[[#This Row],[Source Row]])))</f>
        <v/>
      </c>
      <c r="D430" s="164" t="str">
        <f aca="false">IF(Salary_Calculation[[#This Row],[Source Row]]="","",IF(INDEX(Rider_Input[Basic Payment],Salary_Calculation[[#This Row],[Source Row]])="","",INDEX(Rider_Input[Basic Payment],Salary_Calculation[[#This Row],[Source Row]])))</f>
        <v/>
      </c>
      <c r="E430" s="162" t="str">
        <f aca="false">IF(Salary_Calculation[[#This Row],[Source Row]]="","",IF(INDEX(Rider_Input[Calendar Days in Month],Salary_Calculation[[#This Row],[Source Row]])="","",INDEX(Rider_Input[Calendar Days in Month],Salary_Calculation[[#This Row],[Source Row]])))</f>
        <v/>
      </c>
      <c r="F430" s="162" t="str">
        <f aca="false">IF(Salary_Calculation[[#This Row],[Source Row]]="","",IF(INDEX(Rider_Input[Working Days],Salary_Calculation[[#This Row],[Source Row]])="","",INDEX(Rider_Input[Working Days],Salary_Calculation[[#This Row],[Source Row]])))</f>
        <v/>
      </c>
      <c r="G430" s="165" t="str">
        <f aca="false">IF(Salary_Calculation[[#This Row],[Source Row]]="","",Std_Orders/Std_Days*N(Salary_Calculation[[#This Row],[Calendar Days]]))</f>
        <v/>
      </c>
      <c r="H430" s="165" t="str">
        <f aca="false">IF(Salary_Calculation[[#This Row],[Source Row]]="","",IF(N(Salary_Calculation[[#This Row],[Calendar Days]])&gt;0,Salary_Calculation[[#This Row],[Monthly Target Orders]]/N(Salary_Calculation[[#This Row],[Calendar Days]])*N(Salary_Calculation[[#This Row],[Working Days]]),0))</f>
        <v/>
      </c>
      <c r="I430" s="166" t="str">
        <f aca="false">IF(Salary_Calculation[[#This Row],[Source Row]]="","",IF(INDEX(Rider_Input[Completed Orders],Salary_Calculation[[#This Row],[Source Row]])="","",INDEX(Rider_Input[Completed Orders],Salary_Calculation[[#This Row],[Source Row]])))</f>
        <v/>
      </c>
      <c r="J430" s="165" t="str">
        <f aca="false">IF(Salary_Calculation[[#This Row],[Source Row]]="","",IF(Rate_Method="Fixed rate",Fixed_Rate,IF(N(Salary_Calculation[[#This Row],[Basic Payment]])&gt;0,N(Salary_Calculation[[#This Row],[Basic Payment]])/Std_Orders,0)))</f>
        <v/>
      </c>
      <c r="K430" s="165" t="str">
        <f aca="false">IF(Salary_Calculation[[#This Row],[Source Row]]="","",MAX(MIN(N(Salary_Calculation[[#This Row],[Completed Orders]]),Salary_Calculation[[#This Row],[Rider Target Orders]]),0))</f>
        <v/>
      </c>
      <c r="L430" s="164" t="str">
        <f aca="false">IF(Salary_Calculation[[#This Row],[Source Row]]="","",Salary_Calculation[[#This Row],[Orders Counted at Base Rate]]*Salary_Calculation[[#This Row],[Base Order Rate]])</f>
        <v/>
      </c>
      <c r="M430" s="165" t="str">
        <f aca="false">IF(Salary_Calculation[[#This Row],[Source Row]]="","",MAX(Salary_Calculation[[#This Row],[Rider Target Orders]]-N(Salary_Calculation[[#This Row],[Completed Orders]]),0))</f>
        <v/>
      </c>
      <c r="N430" s="164" t="str">
        <f aca="false">IF(Salary_Calculation[[#This Row],[Source Row]]="","",Salary_Calculation[[#This Row],[Missing Orders]]*Missing_Rate)</f>
        <v/>
      </c>
      <c r="O430" s="165" t="str">
        <f aca="false">IF(Salary_Calculation[[#This Row],[Source Row]]="","",MAX(N(Salary_Calculation[[#This Row],[Completed Orders]])-Salary_Calculation[[#This Row],[Rider Target Orders]],0))</f>
        <v/>
      </c>
      <c r="P430" s="164" t="str">
        <f aca="false">IF(Salary_Calculation[[#This Row],[Source Row]]="","",Salary_Calculation[[#This Row],[Extra Orders]]*Extra_Rate)</f>
        <v/>
      </c>
      <c r="Q430" s="164" t="str">
        <f aca="false">IF(Salary_Calculation[[#This Row],[Source Row]]="","",MAX(Salary_Calculation[[#This Row],[Salary Before Other Deductions]],0))</f>
        <v/>
      </c>
      <c r="R430" s="164" t="str">
        <f aca="false">IF(Salary_Calculation[[#This Row],[Source Row]]="","",N(INDEX(Rider_Input[missed_days_penalty],Salary_Calculation[[#This Row],[Source Row]])))</f>
        <v/>
      </c>
      <c r="S430" s="164" t="str">
        <f aca="false">IF(Salary_Calculation[[#This Row],[Source Row]]="","",N(INDEX(Rider_Input[Rider Balance / محفظة المندوب],Salary_Calculation[[#This Row],[Source Row]])))</f>
        <v/>
      </c>
      <c r="T430" s="164" t="str">
        <f aca="false">IF(Salary_Calculation[[#This Row],[Source Row]]="","",N(INDEX(Rider_Input[stacking_deduction / خصم الطلبات المتعددة],Salary_Calculation[[#This Row],[Source Row]])))</f>
        <v/>
      </c>
      <c r="U430" s="164" t="str">
        <f aca="false">IF(Salary_Calculation[[#This Row],[Source Row]]="","",N(INDEX(Rider_Input[Other Deductions],Salary_Calculation[[#This Row],[Source Row]])))</f>
        <v/>
      </c>
      <c r="V430" s="164" t="str">
        <f aca="false">IF(Salary_Calculation[[#This Row],[Source Row]]="","",N(Salary_Calculation[[#This Row],[missed_days_penalty]])+N(Salary_Calculation[[#This Row],[Rider Balance]])+N(Salary_Calculation[[#This Row],[stacking_deduction]])+N(Salary_Calculation[[#This Row],[Other Deductions]]))</f>
        <v/>
      </c>
      <c r="W430" s="167" t="str">
        <f aca="false">IF(Salary_Calculation[[#This Row],[Source Row]]="","",ROUND(MAX(Salary_Calculation[[#This Row],[Gross Salary Before Deductions]]-Salary_Calculation[[#This Row],[Total Deductions]],0),2))</f>
        <v/>
      </c>
      <c r="X430" s="164" t="str">
        <f aca="false">IF(Salary_Calculation[[#This Row],[Source Row]]="","",ROUND(MAX(Salary_Calculation[[#This Row],[Missing-Order Deduction]]-Salary_Calculation[[#This Row],[Earned Salary]],0),2))</f>
        <v/>
      </c>
      <c r="Y43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30" s="163" t="str">
        <f aca="false">IF(Salary_Calculation[[#This Row],[Source Row]]="","",IF(INDEX(Rider_Input[Notes],Salary_Calculation[[#This Row],[Source Row]])="","",INDEX(Rider_Input[Notes],Salary_Calculation[[#This Row],[Source Row]])))</f>
        <v/>
      </c>
      <c r="AA430" s="164" t="str">
        <f aca="false">IF(Salary_Calculation[[#This Row],[Source Row]]="","",Salary_Calculation[[#This Row],[Earned Salary]]-Salary_Calculation[[#This Row],[Missing-Order Deduction]]+Salary_Calculation[[#This Row],[Extra-Order Bonus]])</f>
        <v/>
      </c>
      <c r="AB430" s="164" t="str">
        <f aca="false">IF(Salary_Calculation[[#This Row],[Source Row]]="","",ROUND(Salary_Calculation[[#This Row],[Negative Balance / Amount Due from Rider]]+MAX(Salary_Calculation[[#This Row],[Total Deductions]]-Salary_Calculation[[#This Row],[Gross Salary Before Deductions]],0),2))</f>
        <v/>
      </c>
      <c r="AC43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30" s="164" t="str">
        <f aca="false">IF(Salary_Calculation[[#This Row],[Source Row]]="","",Salary_Calculation[[#This Row],[Rider Target Orders]]*Salary_Calculation[[#This Row],[Base Order Rate]])</f>
        <v/>
      </c>
      <c r="AE430" s="162" t="str">
        <f aca="false">IF(SUMPRODUCT(--(LEN(INDEX(Rider_Input[#Data],ROW()-ROW(Salary_Calculation[#Headers]),0))&gt;0))=0,"",ROW()-ROW(Salary_Calculation[#Headers]))</f>
        <v/>
      </c>
    </row>
    <row r="431" customFormat="false" ht="14.25" hidden="false" customHeight="false" outlineLevel="0" collapsed="false">
      <c r="A431" s="161" t="str">
        <f aca="false">IF(Salary_Calculation[[#This Row],[Source Row]]="","",IF(INDEX(Rider_Input[Salary Month],Salary_Calculation[[#This Row],[Source Row]])="","",INDEX(Rider_Input[Salary Month],Salary_Calculation[[#This Row],[Source Row]])))</f>
        <v/>
      </c>
      <c r="B431" s="162" t="str">
        <f aca="false">IF(Salary_Calculation[[#This Row],[Source Row]]="","",IF(INDEX(Rider_Input[Rider ID],Salary_Calculation[[#This Row],[Source Row]])="","",INDEX(Rider_Input[Rider ID],Salary_Calculation[[#This Row],[Source Row]])))</f>
        <v/>
      </c>
      <c r="C431" s="163" t="str">
        <f aca="false">IF(Salary_Calculation[[#This Row],[Source Row]]="","",IF(INDEX(Rider_Input[Rider Name],Salary_Calculation[[#This Row],[Source Row]])="","",INDEX(Rider_Input[Rider Name],Salary_Calculation[[#This Row],[Source Row]])))</f>
        <v/>
      </c>
      <c r="D431" s="164" t="str">
        <f aca="false">IF(Salary_Calculation[[#This Row],[Source Row]]="","",IF(INDEX(Rider_Input[Basic Payment],Salary_Calculation[[#This Row],[Source Row]])="","",INDEX(Rider_Input[Basic Payment],Salary_Calculation[[#This Row],[Source Row]])))</f>
        <v/>
      </c>
      <c r="E431" s="162" t="str">
        <f aca="false">IF(Salary_Calculation[[#This Row],[Source Row]]="","",IF(INDEX(Rider_Input[Calendar Days in Month],Salary_Calculation[[#This Row],[Source Row]])="","",INDEX(Rider_Input[Calendar Days in Month],Salary_Calculation[[#This Row],[Source Row]])))</f>
        <v/>
      </c>
      <c r="F431" s="162" t="str">
        <f aca="false">IF(Salary_Calculation[[#This Row],[Source Row]]="","",IF(INDEX(Rider_Input[Working Days],Salary_Calculation[[#This Row],[Source Row]])="","",INDEX(Rider_Input[Working Days],Salary_Calculation[[#This Row],[Source Row]])))</f>
        <v/>
      </c>
      <c r="G431" s="165" t="str">
        <f aca="false">IF(Salary_Calculation[[#This Row],[Source Row]]="","",Std_Orders/Std_Days*N(Salary_Calculation[[#This Row],[Calendar Days]]))</f>
        <v/>
      </c>
      <c r="H431" s="165" t="str">
        <f aca="false">IF(Salary_Calculation[[#This Row],[Source Row]]="","",IF(N(Salary_Calculation[[#This Row],[Calendar Days]])&gt;0,Salary_Calculation[[#This Row],[Monthly Target Orders]]/N(Salary_Calculation[[#This Row],[Calendar Days]])*N(Salary_Calculation[[#This Row],[Working Days]]),0))</f>
        <v/>
      </c>
      <c r="I431" s="166" t="str">
        <f aca="false">IF(Salary_Calculation[[#This Row],[Source Row]]="","",IF(INDEX(Rider_Input[Completed Orders],Salary_Calculation[[#This Row],[Source Row]])="","",INDEX(Rider_Input[Completed Orders],Salary_Calculation[[#This Row],[Source Row]])))</f>
        <v/>
      </c>
      <c r="J431" s="165" t="str">
        <f aca="false">IF(Salary_Calculation[[#This Row],[Source Row]]="","",IF(Rate_Method="Fixed rate",Fixed_Rate,IF(N(Salary_Calculation[[#This Row],[Basic Payment]])&gt;0,N(Salary_Calculation[[#This Row],[Basic Payment]])/Std_Orders,0)))</f>
        <v/>
      </c>
      <c r="K431" s="165" t="str">
        <f aca="false">IF(Salary_Calculation[[#This Row],[Source Row]]="","",MAX(MIN(N(Salary_Calculation[[#This Row],[Completed Orders]]),Salary_Calculation[[#This Row],[Rider Target Orders]]),0))</f>
        <v/>
      </c>
      <c r="L431" s="164" t="str">
        <f aca="false">IF(Salary_Calculation[[#This Row],[Source Row]]="","",Salary_Calculation[[#This Row],[Orders Counted at Base Rate]]*Salary_Calculation[[#This Row],[Base Order Rate]])</f>
        <v/>
      </c>
      <c r="M431" s="165" t="str">
        <f aca="false">IF(Salary_Calculation[[#This Row],[Source Row]]="","",MAX(Salary_Calculation[[#This Row],[Rider Target Orders]]-N(Salary_Calculation[[#This Row],[Completed Orders]]),0))</f>
        <v/>
      </c>
      <c r="N431" s="164" t="str">
        <f aca="false">IF(Salary_Calculation[[#This Row],[Source Row]]="","",Salary_Calculation[[#This Row],[Missing Orders]]*Missing_Rate)</f>
        <v/>
      </c>
      <c r="O431" s="165" t="str">
        <f aca="false">IF(Salary_Calculation[[#This Row],[Source Row]]="","",MAX(N(Salary_Calculation[[#This Row],[Completed Orders]])-Salary_Calculation[[#This Row],[Rider Target Orders]],0))</f>
        <v/>
      </c>
      <c r="P431" s="164" t="str">
        <f aca="false">IF(Salary_Calculation[[#This Row],[Source Row]]="","",Salary_Calculation[[#This Row],[Extra Orders]]*Extra_Rate)</f>
        <v/>
      </c>
      <c r="Q431" s="164" t="str">
        <f aca="false">IF(Salary_Calculation[[#This Row],[Source Row]]="","",MAX(Salary_Calculation[[#This Row],[Salary Before Other Deductions]],0))</f>
        <v/>
      </c>
      <c r="R431" s="164" t="str">
        <f aca="false">IF(Salary_Calculation[[#This Row],[Source Row]]="","",N(INDEX(Rider_Input[missed_days_penalty],Salary_Calculation[[#This Row],[Source Row]])))</f>
        <v/>
      </c>
      <c r="S431" s="164" t="str">
        <f aca="false">IF(Salary_Calculation[[#This Row],[Source Row]]="","",N(INDEX(Rider_Input[Rider Balance / محفظة المندوب],Salary_Calculation[[#This Row],[Source Row]])))</f>
        <v/>
      </c>
      <c r="T431" s="164" t="str">
        <f aca="false">IF(Salary_Calculation[[#This Row],[Source Row]]="","",N(INDEX(Rider_Input[stacking_deduction / خصم الطلبات المتعددة],Salary_Calculation[[#This Row],[Source Row]])))</f>
        <v/>
      </c>
      <c r="U431" s="164" t="str">
        <f aca="false">IF(Salary_Calculation[[#This Row],[Source Row]]="","",N(INDEX(Rider_Input[Other Deductions],Salary_Calculation[[#This Row],[Source Row]])))</f>
        <v/>
      </c>
      <c r="V431" s="164" t="str">
        <f aca="false">IF(Salary_Calculation[[#This Row],[Source Row]]="","",N(Salary_Calculation[[#This Row],[missed_days_penalty]])+N(Salary_Calculation[[#This Row],[Rider Balance]])+N(Salary_Calculation[[#This Row],[stacking_deduction]])+N(Salary_Calculation[[#This Row],[Other Deductions]]))</f>
        <v/>
      </c>
      <c r="W431" s="167" t="str">
        <f aca="false">IF(Salary_Calculation[[#This Row],[Source Row]]="","",ROUND(MAX(Salary_Calculation[[#This Row],[Gross Salary Before Deductions]]-Salary_Calculation[[#This Row],[Total Deductions]],0),2))</f>
        <v/>
      </c>
      <c r="X431" s="164" t="str">
        <f aca="false">IF(Salary_Calculation[[#This Row],[Source Row]]="","",ROUND(MAX(Salary_Calculation[[#This Row],[Missing-Order Deduction]]-Salary_Calculation[[#This Row],[Earned Salary]],0),2))</f>
        <v/>
      </c>
      <c r="Y43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31" s="163" t="str">
        <f aca="false">IF(Salary_Calculation[[#This Row],[Source Row]]="","",IF(INDEX(Rider_Input[Notes],Salary_Calculation[[#This Row],[Source Row]])="","",INDEX(Rider_Input[Notes],Salary_Calculation[[#This Row],[Source Row]])))</f>
        <v/>
      </c>
      <c r="AA431" s="164" t="str">
        <f aca="false">IF(Salary_Calculation[[#This Row],[Source Row]]="","",Salary_Calculation[[#This Row],[Earned Salary]]-Salary_Calculation[[#This Row],[Missing-Order Deduction]]+Salary_Calculation[[#This Row],[Extra-Order Bonus]])</f>
        <v/>
      </c>
      <c r="AB431" s="164" t="str">
        <f aca="false">IF(Salary_Calculation[[#This Row],[Source Row]]="","",ROUND(Salary_Calculation[[#This Row],[Negative Balance / Amount Due from Rider]]+MAX(Salary_Calculation[[#This Row],[Total Deductions]]-Salary_Calculation[[#This Row],[Gross Salary Before Deductions]],0),2))</f>
        <v/>
      </c>
      <c r="AC43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31" s="164" t="str">
        <f aca="false">IF(Salary_Calculation[[#This Row],[Source Row]]="","",Salary_Calculation[[#This Row],[Rider Target Orders]]*Salary_Calculation[[#This Row],[Base Order Rate]])</f>
        <v/>
      </c>
      <c r="AE431" s="162" t="str">
        <f aca="false">IF(SUMPRODUCT(--(LEN(INDEX(Rider_Input[#Data],ROW()-ROW(Salary_Calculation[#Headers]),0))&gt;0))=0,"",ROW()-ROW(Salary_Calculation[#Headers]))</f>
        <v/>
      </c>
    </row>
    <row r="432" customFormat="false" ht="14.25" hidden="false" customHeight="false" outlineLevel="0" collapsed="false">
      <c r="A432" s="161" t="str">
        <f aca="false">IF(Salary_Calculation[[#This Row],[Source Row]]="","",IF(INDEX(Rider_Input[Salary Month],Salary_Calculation[[#This Row],[Source Row]])="","",INDEX(Rider_Input[Salary Month],Salary_Calculation[[#This Row],[Source Row]])))</f>
        <v/>
      </c>
      <c r="B432" s="162" t="str">
        <f aca="false">IF(Salary_Calculation[[#This Row],[Source Row]]="","",IF(INDEX(Rider_Input[Rider ID],Salary_Calculation[[#This Row],[Source Row]])="","",INDEX(Rider_Input[Rider ID],Salary_Calculation[[#This Row],[Source Row]])))</f>
        <v/>
      </c>
      <c r="C432" s="163" t="str">
        <f aca="false">IF(Salary_Calculation[[#This Row],[Source Row]]="","",IF(INDEX(Rider_Input[Rider Name],Salary_Calculation[[#This Row],[Source Row]])="","",INDEX(Rider_Input[Rider Name],Salary_Calculation[[#This Row],[Source Row]])))</f>
        <v/>
      </c>
      <c r="D432" s="164" t="str">
        <f aca="false">IF(Salary_Calculation[[#This Row],[Source Row]]="","",IF(INDEX(Rider_Input[Basic Payment],Salary_Calculation[[#This Row],[Source Row]])="","",INDEX(Rider_Input[Basic Payment],Salary_Calculation[[#This Row],[Source Row]])))</f>
        <v/>
      </c>
      <c r="E432" s="162" t="str">
        <f aca="false">IF(Salary_Calculation[[#This Row],[Source Row]]="","",IF(INDEX(Rider_Input[Calendar Days in Month],Salary_Calculation[[#This Row],[Source Row]])="","",INDEX(Rider_Input[Calendar Days in Month],Salary_Calculation[[#This Row],[Source Row]])))</f>
        <v/>
      </c>
      <c r="F432" s="162" t="str">
        <f aca="false">IF(Salary_Calculation[[#This Row],[Source Row]]="","",IF(INDEX(Rider_Input[Working Days],Salary_Calculation[[#This Row],[Source Row]])="","",INDEX(Rider_Input[Working Days],Salary_Calculation[[#This Row],[Source Row]])))</f>
        <v/>
      </c>
      <c r="G432" s="165" t="str">
        <f aca="false">IF(Salary_Calculation[[#This Row],[Source Row]]="","",Std_Orders/Std_Days*N(Salary_Calculation[[#This Row],[Calendar Days]]))</f>
        <v/>
      </c>
      <c r="H432" s="165" t="str">
        <f aca="false">IF(Salary_Calculation[[#This Row],[Source Row]]="","",IF(N(Salary_Calculation[[#This Row],[Calendar Days]])&gt;0,Salary_Calculation[[#This Row],[Monthly Target Orders]]/N(Salary_Calculation[[#This Row],[Calendar Days]])*N(Salary_Calculation[[#This Row],[Working Days]]),0))</f>
        <v/>
      </c>
      <c r="I432" s="166" t="str">
        <f aca="false">IF(Salary_Calculation[[#This Row],[Source Row]]="","",IF(INDEX(Rider_Input[Completed Orders],Salary_Calculation[[#This Row],[Source Row]])="","",INDEX(Rider_Input[Completed Orders],Salary_Calculation[[#This Row],[Source Row]])))</f>
        <v/>
      </c>
      <c r="J432" s="165" t="str">
        <f aca="false">IF(Salary_Calculation[[#This Row],[Source Row]]="","",IF(Rate_Method="Fixed rate",Fixed_Rate,IF(N(Salary_Calculation[[#This Row],[Basic Payment]])&gt;0,N(Salary_Calculation[[#This Row],[Basic Payment]])/Std_Orders,0)))</f>
        <v/>
      </c>
      <c r="K432" s="165" t="str">
        <f aca="false">IF(Salary_Calculation[[#This Row],[Source Row]]="","",MAX(MIN(N(Salary_Calculation[[#This Row],[Completed Orders]]),Salary_Calculation[[#This Row],[Rider Target Orders]]),0))</f>
        <v/>
      </c>
      <c r="L432" s="164" t="str">
        <f aca="false">IF(Salary_Calculation[[#This Row],[Source Row]]="","",Salary_Calculation[[#This Row],[Orders Counted at Base Rate]]*Salary_Calculation[[#This Row],[Base Order Rate]])</f>
        <v/>
      </c>
      <c r="M432" s="165" t="str">
        <f aca="false">IF(Salary_Calculation[[#This Row],[Source Row]]="","",MAX(Salary_Calculation[[#This Row],[Rider Target Orders]]-N(Salary_Calculation[[#This Row],[Completed Orders]]),0))</f>
        <v/>
      </c>
      <c r="N432" s="164" t="str">
        <f aca="false">IF(Salary_Calculation[[#This Row],[Source Row]]="","",Salary_Calculation[[#This Row],[Missing Orders]]*Missing_Rate)</f>
        <v/>
      </c>
      <c r="O432" s="165" t="str">
        <f aca="false">IF(Salary_Calculation[[#This Row],[Source Row]]="","",MAX(N(Salary_Calculation[[#This Row],[Completed Orders]])-Salary_Calculation[[#This Row],[Rider Target Orders]],0))</f>
        <v/>
      </c>
      <c r="P432" s="164" t="str">
        <f aca="false">IF(Salary_Calculation[[#This Row],[Source Row]]="","",Salary_Calculation[[#This Row],[Extra Orders]]*Extra_Rate)</f>
        <v/>
      </c>
      <c r="Q432" s="164" t="str">
        <f aca="false">IF(Salary_Calculation[[#This Row],[Source Row]]="","",MAX(Salary_Calculation[[#This Row],[Salary Before Other Deductions]],0))</f>
        <v/>
      </c>
      <c r="R432" s="164" t="str">
        <f aca="false">IF(Salary_Calculation[[#This Row],[Source Row]]="","",N(INDEX(Rider_Input[missed_days_penalty],Salary_Calculation[[#This Row],[Source Row]])))</f>
        <v/>
      </c>
      <c r="S432" s="164" t="str">
        <f aca="false">IF(Salary_Calculation[[#This Row],[Source Row]]="","",N(INDEX(Rider_Input[Rider Balance / محفظة المندوب],Salary_Calculation[[#This Row],[Source Row]])))</f>
        <v/>
      </c>
      <c r="T432" s="164" t="str">
        <f aca="false">IF(Salary_Calculation[[#This Row],[Source Row]]="","",N(INDEX(Rider_Input[stacking_deduction / خصم الطلبات المتعددة],Salary_Calculation[[#This Row],[Source Row]])))</f>
        <v/>
      </c>
      <c r="U432" s="164" t="str">
        <f aca="false">IF(Salary_Calculation[[#This Row],[Source Row]]="","",N(INDEX(Rider_Input[Other Deductions],Salary_Calculation[[#This Row],[Source Row]])))</f>
        <v/>
      </c>
      <c r="V432" s="164" t="str">
        <f aca="false">IF(Salary_Calculation[[#This Row],[Source Row]]="","",N(Salary_Calculation[[#This Row],[missed_days_penalty]])+N(Salary_Calculation[[#This Row],[Rider Balance]])+N(Salary_Calculation[[#This Row],[stacking_deduction]])+N(Salary_Calculation[[#This Row],[Other Deductions]]))</f>
        <v/>
      </c>
      <c r="W432" s="167" t="str">
        <f aca="false">IF(Salary_Calculation[[#This Row],[Source Row]]="","",ROUND(MAX(Salary_Calculation[[#This Row],[Gross Salary Before Deductions]]-Salary_Calculation[[#This Row],[Total Deductions]],0),2))</f>
        <v/>
      </c>
      <c r="X432" s="164" t="str">
        <f aca="false">IF(Salary_Calculation[[#This Row],[Source Row]]="","",ROUND(MAX(Salary_Calculation[[#This Row],[Missing-Order Deduction]]-Salary_Calculation[[#This Row],[Earned Salary]],0),2))</f>
        <v/>
      </c>
      <c r="Y43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32" s="163" t="str">
        <f aca="false">IF(Salary_Calculation[[#This Row],[Source Row]]="","",IF(INDEX(Rider_Input[Notes],Salary_Calculation[[#This Row],[Source Row]])="","",INDEX(Rider_Input[Notes],Salary_Calculation[[#This Row],[Source Row]])))</f>
        <v/>
      </c>
      <c r="AA432" s="164" t="str">
        <f aca="false">IF(Salary_Calculation[[#This Row],[Source Row]]="","",Salary_Calculation[[#This Row],[Earned Salary]]-Salary_Calculation[[#This Row],[Missing-Order Deduction]]+Salary_Calculation[[#This Row],[Extra-Order Bonus]])</f>
        <v/>
      </c>
      <c r="AB432" s="164" t="str">
        <f aca="false">IF(Salary_Calculation[[#This Row],[Source Row]]="","",ROUND(Salary_Calculation[[#This Row],[Negative Balance / Amount Due from Rider]]+MAX(Salary_Calculation[[#This Row],[Total Deductions]]-Salary_Calculation[[#This Row],[Gross Salary Before Deductions]],0),2))</f>
        <v/>
      </c>
      <c r="AC43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32" s="164" t="str">
        <f aca="false">IF(Salary_Calculation[[#This Row],[Source Row]]="","",Salary_Calculation[[#This Row],[Rider Target Orders]]*Salary_Calculation[[#This Row],[Base Order Rate]])</f>
        <v/>
      </c>
      <c r="AE432" s="162" t="str">
        <f aca="false">IF(SUMPRODUCT(--(LEN(INDEX(Rider_Input[#Data],ROW()-ROW(Salary_Calculation[#Headers]),0))&gt;0))=0,"",ROW()-ROW(Salary_Calculation[#Headers]))</f>
        <v/>
      </c>
    </row>
    <row r="433" customFormat="false" ht="14.25" hidden="false" customHeight="false" outlineLevel="0" collapsed="false">
      <c r="A433" s="161" t="str">
        <f aca="false">IF(Salary_Calculation[[#This Row],[Source Row]]="","",IF(INDEX(Rider_Input[Salary Month],Salary_Calculation[[#This Row],[Source Row]])="","",INDEX(Rider_Input[Salary Month],Salary_Calculation[[#This Row],[Source Row]])))</f>
        <v/>
      </c>
      <c r="B433" s="162" t="str">
        <f aca="false">IF(Salary_Calculation[[#This Row],[Source Row]]="","",IF(INDEX(Rider_Input[Rider ID],Salary_Calculation[[#This Row],[Source Row]])="","",INDEX(Rider_Input[Rider ID],Salary_Calculation[[#This Row],[Source Row]])))</f>
        <v/>
      </c>
      <c r="C433" s="163" t="str">
        <f aca="false">IF(Salary_Calculation[[#This Row],[Source Row]]="","",IF(INDEX(Rider_Input[Rider Name],Salary_Calculation[[#This Row],[Source Row]])="","",INDEX(Rider_Input[Rider Name],Salary_Calculation[[#This Row],[Source Row]])))</f>
        <v/>
      </c>
      <c r="D433" s="164" t="str">
        <f aca="false">IF(Salary_Calculation[[#This Row],[Source Row]]="","",IF(INDEX(Rider_Input[Basic Payment],Salary_Calculation[[#This Row],[Source Row]])="","",INDEX(Rider_Input[Basic Payment],Salary_Calculation[[#This Row],[Source Row]])))</f>
        <v/>
      </c>
      <c r="E433" s="162" t="str">
        <f aca="false">IF(Salary_Calculation[[#This Row],[Source Row]]="","",IF(INDEX(Rider_Input[Calendar Days in Month],Salary_Calculation[[#This Row],[Source Row]])="","",INDEX(Rider_Input[Calendar Days in Month],Salary_Calculation[[#This Row],[Source Row]])))</f>
        <v/>
      </c>
      <c r="F433" s="162" t="str">
        <f aca="false">IF(Salary_Calculation[[#This Row],[Source Row]]="","",IF(INDEX(Rider_Input[Working Days],Salary_Calculation[[#This Row],[Source Row]])="","",INDEX(Rider_Input[Working Days],Salary_Calculation[[#This Row],[Source Row]])))</f>
        <v/>
      </c>
      <c r="G433" s="165" t="str">
        <f aca="false">IF(Salary_Calculation[[#This Row],[Source Row]]="","",Std_Orders/Std_Days*N(Salary_Calculation[[#This Row],[Calendar Days]]))</f>
        <v/>
      </c>
      <c r="H433" s="165" t="str">
        <f aca="false">IF(Salary_Calculation[[#This Row],[Source Row]]="","",IF(N(Salary_Calculation[[#This Row],[Calendar Days]])&gt;0,Salary_Calculation[[#This Row],[Monthly Target Orders]]/N(Salary_Calculation[[#This Row],[Calendar Days]])*N(Salary_Calculation[[#This Row],[Working Days]]),0))</f>
        <v/>
      </c>
      <c r="I433" s="166" t="str">
        <f aca="false">IF(Salary_Calculation[[#This Row],[Source Row]]="","",IF(INDEX(Rider_Input[Completed Orders],Salary_Calculation[[#This Row],[Source Row]])="","",INDEX(Rider_Input[Completed Orders],Salary_Calculation[[#This Row],[Source Row]])))</f>
        <v/>
      </c>
      <c r="J433" s="165" t="str">
        <f aca="false">IF(Salary_Calculation[[#This Row],[Source Row]]="","",IF(Rate_Method="Fixed rate",Fixed_Rate,IF(N(Salary_Calculation[[#This Row],[Basic Payment]])&gt;0,N(Salary_Calculation[[#This Row],[Basic Payment]])/Std_Orders,0)))</f>
        <v/>
      </c>
      <c r="K433" s="165" t="str">
        <f aca="false">IF(Salary_Calculation[[#This Row],[Source Row]]="","",MAX(MIN(N(Salary_Calculation[[#This Row],[Completed Orders]]),Salary_Calculation[[#This Row],[Rider Target Orders]]),0))</f>
        <v/>
      </c>
      <c r="L433" s="164" t="str">
        <f aca="false">IF(Salary_Calculation[[#This Row],[Source Row]]="","",Salary_Calculation[[#This Row],[Orders Counted at Base Rate]]*Salary_Calculation[[#This Row],[Base Order Rate]])</f>
        <v/>
      </c>
      <c r="M433" s="165" t="str">
        <f aca="false">IF(Salary_Calculation[[#This Row],[Source Row]]="","",MAX(Salary_Calculation[[#This Row],[Rider Target Orders]]-N(Salary_Calculation[[#This Row],[Completed Orders]]),0))</f>
        <v/>
      </c>
      <c r="N433" s="164" t="str">
        <f aca="false">IF(Salary_Calculation[[#This Row],[Source Row]]="","",Salary_Calculation[[#This Row],[Missing Orders]]*Missing_Rate)</f>
        <v/>
      </c>
      <c r="O433" s="165" t="str">
        <f aca="false">IF(Salary_Calculation[[#This Row],[Source Row]]="","",MAX(N(Salary_Calculation[[#This Row],[Completed Orders]])-Salary_Calculation[[#This Row],[Rider Target Orders]],0))</f>
        <v/>
      </c>
      <c r="P433" s="164" t="str">
        <f aca="false">IF(Salary_Calculation[[#This Row],[Source Row]]="","",Salary_Calculation[[#This Row],[Extra Orders]]*Extra_Rate)</f>
        <v/>
      </c>
      <c r="Q433" s="164" t="str">
        <f aca="false">IF(Salary_Calculation[[#This Row],[Source Row]]="","",MAX(Salary_Calculation[[#This Row],[Salary Before Other Deductions]],0))</f>
        <v/>
      </c>
      <c r="R433" s="164" t="str">
        <f aca="false">IF(Salary_Calculation[[#This Row],[Source Row]]="","",N(INDEX(Rider_Input[missed_days_penalty],Salary_Calculation[[#This Row],[Source Row]])))</f>
        <v/>
      </c>
      <c r="S433" s="164" t="str">
        <f aca="false">IF(Salary_Calculation[[#This Row],[Source Row]]="","",N(INDEX(Rider_Input[Rider Balance / محفظة المندوب],Salary_Calculation[[#This Row],[Source Row]])))</f>
        <v/>
      </c>
      <c r="T433" s="164" t="str">
        <f aca="false">IF(Salary_Calculation[[#This Row],[Source Row]]="","",N(INDEX(Rider_Input[stacking_deduction / خصم الطلبات المتعددة],Salary_Calculation[[#This Row],[Source Row]])))</f>
        <v/>
      </c>
      <c r="U433" s="164" t="str">
        <f aca="false">IF(Salary_Calculation[[#This Row],[Source Row]]="","",N(INDEX(Rider_Input[Other Deductions],Salary_Calculation[[#This Row],[Source Row]])))</f>
        <v/>
      </c>
      <c r="V433" s="164" t="str">
        <f aca="false">IF(Salary_Calculation[[#This Row],[Source Row]]="","",N(Salary_Calculation[[#This Row],[missed_days_penalty]])+N(Salary_Calculation[[#This Row],[Rider Balance]])+N(Salary_Calculation[[#This Row],[stacking_deduction]])+N(Salary_Calculation[[#This Row],[Other Deductions]]))</f>
        <v/>
      </c>
      <c r="W433" s="167" t="str">
        <f aca="false">IF(Salary_Calculation[[#This Row],[Source Row]]="","",ROUND(MAX(Salary_Calculation[[#This Row],[Gross Salary Before Deductions]]-Salary_Calculation[[#This Row],[Total Deductions]],0),2))</f>
        <v/>
      </c>
      <c r="X433" s="164" t="str">
        <f aca="false">IF(Salary_Calculation[[#This Row],[Source Row]]="","",ROUND(MAX(Salary_Calculation[[#This Row],[Missing-Order Deduction]]-Salary_Calculation[[#This Row],[Earned Salary]],0),2))</f>
        <v/>
      </c>
      <c r="Y43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33" s="163" t="str">
        <f aca="false">IF(Salary_Calculation[[#This Row],[Source Row]]="","",IF(INDEX(Rider_Input[Notes],Salary_Calculation[[#This Row],[Source Row]])="","",INDEX(Rider_Input[Notes],Salary_Calculation[[#This Row],[Source Row]])))</f>
        <v/>
      </c>
      <c r="AA433" s="164" t="str">
        <f aca="false">IF(Salary_Calculation[[#This Row],[Source Row]]="","",Salary_Calculation[[#This Row],[Earned Salary]]-Salary_Calculation[[#This Row],[Missing-Order Deduction]]+Salary_Calculation[[#This Row],[Extra-Order Bonus]])</f>
        <v/>
      </c>
      <c r="AB433" s="164" t="str">
        <f aca="false">IF(Salary_Calculation[[#This Row],[Source Row]]="","",ROUND(Salary_Calculation[[#This Row],[Negative Balance / Amount Due from Rider]]+MAX(Salary_Calculation[[#This Row],[Total Deductions]]-Salary_Calculation[[#This Row],[Gross Salary Before Deductions]],0),2))</f>
        <v/>
      </c>
      <c r="AC43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33" s="164" t="str">
        <f aca="false">IF(Salary_Calculation[[#This Row],[Source Row]]="","",Salary_Calculation[[#This Row],[Rider Target Orders]]*Salary_Calculation[[#This Row],[Base Order Rate]])</f>
        <v/>
      </c>
      <c r="AE433" s="162" t="str">
        <f aca="false">IF(SUMPRODUCT(--(LEN(INDEX(Rider_Input[#Data],ROW()-ROW(Salary_Calculation[#Headers]),0))&gt;0))=0,"",ROW()-ROW(Salary_Calculation[#Headers]))</f>
        <v/>
      </c>
    </row>
    <row r="434" customFormat="false" ht="14.25" hidden="false" customHeight="false" outlineLevel="0" collapsed="false">
      <c r="A434" s="161" t="str">
        <f aca="false">IF(Salary_Calculation[[#This Row],[Source Row]]="","",IF(INDEX(Rider_Input[Salary Month],Salary_Calculation[[#This Row],[Source Row]])="","",INDEX(Rider_Input[Salary Month],Salary_Calculation[[#This Row],[Source Row]])))</f>
        <v/>
      </c>
      <c r="B434" s="162" t="str">
        <f aca="false">IF(Salary_Calculation[[#This Row],[Source Row]]="","",IF(INDEX(Rider_Input[Rider ID],Salary_Calculation[[#This Row],[Source Row]])="","",INDEX(Rider_Input[Rider ID],Salary_Calculation[[#This Row],[Source Row]])))</f>
        <v/>
      </c>
      <c r="C434" s="163" t="str">
        <f aca="false">IF(Salary_Calculation[[#This Row],[Source Row]]="","",IF(INDEX(Rider_Input[Rider Name],Salary_Calculation[[#This Row],[Source Row]])="","",INDEX(Rider_Input[Rider Name],Salary_Calculation[[#This Row],[Source Row]])))</f>
        <v/>
      </c>
      <c r="D434" s="164" t="str">
        <f aca="false">IF(Salary_Calculation[[#This Row],[Source Row]]="","",IF(INDEX(Rider_Input[Basic Payment],Salary_Calculation[[#This Row],[Source Row]])="","",INDEX(Rider_Input[Basic Payment],Salary_Calculation[[#This Row],[Source Row]])))</f>
        <v/>
      </c>
      <c r="E434" s="162" t="str">
        <f aca="false">IF(Salary_Calculation[[#This Row],[Source Row]]="","",IF(INDEX(Rider_Input[Calendar Days in Month],Salary_Calculation[[#This Row],[Source Row]])="","",INDEX(Rider_Input[Calendar Days in Month],Salary_Calculation[[#This Row],[Source Row]])))</f>
        <v/>
      </c>
      <c r="F434" s="162" t="str">
        <f aca="false">IF(Salary_Calculation[[#This Row],[Source Row]]="","",IF(INDEX(Rider_Input[Working Days],Salary_Calculation[[#This Row],[Source Row]])="","",INDEX(Rider_Input[Working Days],Salary_Calculation[[#This Row],[Source Row]])))</f>
        <v/>
      </c>
      <c r="G434" s="165" t="str">
        <f aca="false">IF(Salary_Calculation[[#This Row],[Source Row]]="","",Std_Orders/Std_Days*N(Salary_Calculation[[#This Row],[Calendar Days]]))</f>
        <v/>
      </c>
      <c r="H434" s="165" t="str">
        <f aca="false">IF(Salary_Calculation[[#This Row],[Source Row]]="","",IF(N(Salary_Calculation[[#This Row],[Calendar Days]])&gt;0,Salary_Calculation[[#This Row],[Monthly Target Orders]]/N(Salary_Calculation[[#This Row],[Calendar Days]])*N(Salary_Calculation[[#This Row],[Working Days]]),0))</f>
        <v/>
      </c>
      <c r="I434" s="166" t="str">
        <f aca="false">IF(Salary_Calculation[[#This Row],[Source Row]]="","",IF(INDEX(Rider_Input[Completed Orders],Salary_Calculation[[#This Row],[Source Row]])="","",INDEX(Rider_Input[Completed Orders],Salary_Calculation[[#This Row],[Source Row]])))</f>
        <v/>
      </c>
      <c r="J434" s="165" t="str">
        <f aca="false">IF(Salary_Calculation[[#This Row],[Source Row]]="","",IF(Rate_Method="Fixed rate",Fixed_Rate,IF(N(Salary_Calculation[[#This Row],[Basic Payment]])&gt;0,N(Salary_Calculation[[#This Row],[Basic Payment]])/Std_Orders,0)))</f>
        <v/>
      </c>
      <c r="K434" s="165" t="str">
        <f aca="false">IF(Salary_Calculation[[#This Row],[Source Row]]="","",MAX(MIN(N(Salary_Calculation[[#This Row],[Completed Orders]]),Salary_Calculation[[#This Row],[Rider Target Orders]]),0))</f>
        <v/>
      </c>
      <c r="L434" s="164" t="str">
        <f aca="false">IF(Salary_Calculation[[#This Row],[Source Row]]="","",Salary_Calculation[[#This Row],[Orders Counted at Base Rate]]*Salary_Calculation[[#This Row],[Base Order Rate]])</f>
        <v/>
      </c>
      <c r="M434" s="165" t="str">
        <f aca="false">IF(Salary_Calculation[[#This Row],[Source Row]]="","",MAX(Salary_Calculation[[#This Row],[Rider Target Orders]]-N(Salary_Calculation[[#This Row],[Completed Orders]]),0))</f>
        <v/>
      </c>
      <c r="N434" s="164" t="str">
        <f aca="false">IF(Salary_Calculation[[#This Row],[Source Row]]="","",Salary_Calculation[[#This Row],[Missing Orders]]*Missing_Rate)</f>
        <v/>
      </c>
      <c r="O434" s="165" t="str">
        <f aca="false">IF(Salary_Calculation[[#This Row],[Source Row]]="","",MAX(N(Salary_Calculation[[#This Row],[Completed Orders]])-Salary_Calculation[[#This Row],[Rider Target Orders]],0))</f>
        <v/>
      </c>
      <c r="P434" s="164" t="str">
        <f aca="false">IF(Salary_Calculation[[#This Row],[Source Row]]="","",Salary_Calculation[[#This Row],[Extra Orders]]*Extra_Rate)</f>
        <v/>
      </c>
      <c r="Q434" s="164" t="str">
        <f aca="false">IF(Salary_Calculation[[#This Row],[Source Row]]="","",MAX(Salary_Calculation[[#This Row],[Salary Before Other Deductions]],0))</f>
        <v/>
      </c>
      <c r="R434" s="164" t="str">
        <f aca="false">IF(Salary_Calculation[[#This Row],[Source Row]]="","",N(INDEX(Rider_Input[missed_days_penalty],Salary_Calculation[[#This Row],[Source Row]])))</f>
        <v/>
      </c>
      <c r="S434" s="164" t="str">
        <f aca="false">IF(Salary_Calculation[[#This Row],[Source Row]]="","",N(INDEX(Rider_Input[Rider Balance / محفظة المندوب],Salary_Calculation[[#This Row],[Source Row]])))</f>
        <v/>
      </c>
      <c r="T434" s="164" t="str">
        <f aca="false">IF(Salary_Calculation[[#This Row],[Source Row]]="","",N(INDEX(Rider_Input[stacking_deduction / خصم الطلبات المتعددة],Salary_Calculation[[#This Row],[Source Row]])))</f>
        <v/>
      </c>
      <c r="U434" s="164" t="str">
        <f aca="false">IF(Salary_Calculation[[#This Row],[Source Row]]="","",N(INDEX(Rider_Input[Other Deductions],Salary_Calculation[[#This Row],[Source Row]])))</f>
        <v/>
      </c>
      <c r="V434" s="164" t="str">
        <f aca="false">IF(Salary_Calculation[[#This Row],[Source Row]]="","",N(Salary_Calculation[[#This Row],[missed_days_penalty]])+N(Salary_Calculation[[#This Row],[Rider Balance]])+N(Salary_Calculation[[#This Row],[stacking_deduction]])+N(Salary_Calculation[[#This Row],[Other Deductions]]))</f>
        <v/>
      </c>
      <c r="W434" s="167" t="str">
        <f aca="false">IF(Salary_Calculation[[#This Row],[Source Row]]="","",ROUND(MAX(Salary_Calculation[[#This Row],[Gross Salary Before Deductions]]-Salary_Calculation[[#This Row],[Total Deductions]],0),2))</f>
        <v/>
      </c>
      <c r="X434" s="164" t="str">
        <f aca="false">IF(Salary_Calculation[[#This Row],[Source Row]]="","",ROUND(MAX(Salary_Calculation[[#This Row],[Missing-Order Deduction]]-Salary_Calculation[[#This Row],[Earned Salary]],0),2))</f>
        <v/>
      </c>
      <c r="Y43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34" s="163" t="str">
        <f aca="false">IF(Salary_Calculation[[#This Row],[Source Row]]="","",IF(INDEX(Rider_Input[Notes],Salary_Calculation[[#This Row],[Source Row]])="","",INDEX(Rider_Input[Notes],Salary_Calculation[[#This Row],[Source Row]])))</f>
        <v/>
      </c>
      <c r="AA434" s="164" t="str">
        <f aca="false">IF(Salary_Calculation[[#This Row],[Source Row]]="","",Salary_Calculation[[#This Row],[Earned Salary]]-Salary_Calculation[[#This Row],[Missing-Order Deduction]]+Salary_Calculation[[#This Row],[Extra-Order Bonus]])</f>
        <v/>
      </c>
      <c r="AB434" s="164" t="str">
        <f aca="false">IF(Salary_Calculation[[#This Row],[Source Row]]="","",ROUND(Salary_Calculation[[#This Row],[Negative Balance / Amount Due from Rider]]+MAX(Salary_Calculation[[#This Row],[Total Deductions]]-Salary_Calculation[[#This Row],[Gross Salary Before Deductions]],0),2))</f>
        <v/>
      </c>
      <c r="AC43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34" s="164" t="str">
        <f aca="false">IF(Salary_Calculation[[#This Row],[Source Row]]="","",Salary_Calculation[[#This Row],[Rider Target Orders]]*Salary_Calculation[[#This Row],[Base Order Rate]])</f>
        <v/>
      </c>
      <c r="AE434" s="162" t="str">
        <f aca="false">IF(SUMPRODUCT(--(LEN(INDEX(Rider_Input[#Data],ROW()-ROW(Salary_Calculation[#Headers]),0))&gt;0))=0,"",ROW()-ROW(Salary_Calculation[#Headers]))</f>
        <v/>
      </c>
    </row>
    <row r="435" customFormat="false" ht="14.25" hidden="false" customHeight="false" outlineLevel="0" collapsed="false">
      <c r="A435" s="161" t="str">
        <f aca="false">IF(Salary_Calculation[[#This Row],[Source Row]]="","",IF(INDEX(Rider_Input[Salary Month],Salary_Calculation[[#This Row],[Source Row]])="","",INDEX(Rider_Input[Salary Month],Salary_Calculation[[#This Row],[Source Row]])))</f>
        <v/>
      </c>
      <c r="B435" s="162" t="str">
        <f aca="false">IF(Salary_Calculation[[#This Row],[Source Row]]="","",IF(INDEX(Rider_Input[Rider ID],Salary_Calculation[[#This Row],[Source Row]])="","",INDEX(Rider_Input[Rider ID],Salary_Calculation[[#This Row],[Source Row]])))</f>
        <v/>
      </c>
      <c r="C435" s="163" t="str">
        <f aca="false">IF(Salary_Calculation[[#This Row],[Source Row]]="","",IF(INDEX(Rider_Input[Rider Name],Salary_Calculation[[#This Row],[Source Row]])="","",INDEX(Rider_Input[Rider Name],Salary_Calculation[[#This Row],[Source Row]])))</f>
        <v/>
      </c>
      <c r="D435" s="164" t="str">
        <f aca="false">IF(Salary_Calculation[[#This Row],[Source Row]]="","",IF(INDEX(Rider_Input[Basic Payment],Salary_Calculation[[#This Row],[Source Row]])="","",INDEX(Rider_Input[Basic Payment],Salary_Calculation[[#This Row],[Source Row]])))</f>
        <v/>
      </c>
      <c r="E435" s="162" t="str">
        <f aca="false">IF(Salary_Calculation[[#This Row],[Source Row]]="","",IF(INDEX(Rider_Input[Calendar Days in Month],Salary_Calculation[[#This Row],[Source Row]])="","",INDEX(Rider_Input[Calendar Days in Month],Salary_Calculation[[#This Row],[Source Row]])))</f>
        <v/>
      </c>
      <c r="F435" s="162" t="str">
        <f aca="false">IF(Salary_Calculation[[#This Row],[Source Row]]="","",IF(INDEX(Rider_Input[Working Days],Salary_Calculation[[#This Row],[Source Row]])="","",INDEX(Rider_Input[Working Days],Salary_Calculation[[#This Row],[Source Row]])))</f>
        <v/>
      </c>
      <c r="G435" s="165" t="str">
        <f aca="false">IF(Salary_Calculation[[#This Row],[Source Row]]="","",Std_Orders/Std_Days*N(Salary_Calculation[[#This Row],[Calendar Days]]))</f>
        <v/>
      </c>
      <c r="H435" s="165" t="str">
        <f aca="false">IF(Salary_Calculation[[#This Row],[Source Row]]="","",IF(N(Salary_Calculation[[#This Row],[Calendar Days]])&gt;0,Salary_Calculation[[#This Row],[Monthly Target Orders]]/N(Salary_Calculation[[#This Row],[Calendar Days]])*N(Salary_Calculation[[#This Row],[Working Days]]),0))</f>
        <v/>
      </c>
      <c r="I435" s="166" t="str">
        <f aca="false">IF(Salary_Calculation[[#This Row],[Source Row]]="","",IF(INDEX(Rider_Input[Completed Orders],Salary_Calculation[[#This Row],[Source Row]])="","",INDEX(Rider_Input[Completed Orders],Salary_Calculation[[#This Row],[Source Row]])))</f>
        <v/>
      </c>
      <c r="J435" s="165" t="str">
        <f aca="false">IF(Salary_Calculation[[#This Row],[Source Row]]="","",IF(Rate_Method="Fixed rate",Fixed_Rate,IF(N(Salary_Calculation[[#This Row],[Basic Payment]])&gt;0,N(Salary_Calculation[[#This Row],[Basic Payment]])/Std_Orders,0)))</f>
        <v/>
      </c>
      <c r="K435" s="165" t="str">
        <f aca="false">IF(Salary_Calculation[[#This Row],[Source Row]]="","",MAX(MIN(N(Salary_Calculation[[#This Row],[Completed Orders]]),Salary_Calculation[[#This Row],[Rider Target Orders]]),0))</f>
        <v/>
      </c>
      <c r="L435" s="164" t="str">
        <f aca="false">IF(Salary_Calculation[[#This Row],[Source Row]]="","",Salary_Calculation[[#This Row],[Orders Counted at Base Rate]]*Salary_Calculation[[#This Row],[Base Order Rate]])</f>
        <v/>
      </c>
      <c r="M435" s="165" t="str">
        <f aca="false">IF(Salary_Calculation[[#This Row],[Source Row]]="","",MAX(Salary_Calculation[[#This Row],[Rider Target Orders]]-N(Salary_Calculation[[#This Row],[Completed Orders]]),0))</f>
        <v/>
      </c>
      <c r="N435" s="164" t="str">
        <f aca="false">IF(Salary_Calculation[[#This Row],[Source Row]]="","",Salary_Calculation[[#This Row],[Missing Orders]]*Missing_Rate)</f>
        <v/>
      </c>
      <c r="O435" s="165" t="str">
        <f aca="false">IF(Salary_Calculation[[#This Row],[Source Row]]="","",MAX(N(Salary_Calculation[[#This Row],[Completed Orders]])-Salary_Calculation[[#This Row],[Rider Target Orders]],0))</f>
        <v/>
      </c>
      <c r="P435" s="164" t="str">
        <f aca="false">IF(Salary_Calculation[[#This Row],[Source Row]]="","",Salary_Calculation[[#This Row],[Extra Orders]]*Extra_Rate)</f>
        <v/>
      </c>
      <c r="Q435" s="164" t="str">
        <f aca="false">IF(Salary_Calculation[[#This Row],[Source Row]]="","",MAX(Salary_Calculation[[#This Row],[Salary Before Other Deductions]],0))</f>
        <v/>
      </c>
      <c r="R435" s="164" t="str">
        <f aca="false">IF(Salary_Calculation[[#This Row],[Source Row]]="","",N(INDEX(Rider_Input[missed_days_penalty],Salary_Calculation[[#This Row],[Source Row]])))</f>
        <v/>
      </c>
      <c r="S435" s="164" t="str">
        <f aca="false">IF(Salary_Calculation[[#This Row],[Source Row]]="","",N(INDEX(Rider_Input[Rider Balance / محفظة المندوب],Salary_Calculation[[#This Row],[Source Row]])))</f>
        <v/>
      </c>
      <c r="T435" s="164" t="str">
        <f aca="false">IF(Salary_Calculation[[#This Row],[Source Row]]="","",N(INDEX(Rider_Input[stacking_deduction / خصم الطلبات المتعددة],Salary_Calculation[[#This Row],[Source Row]])))</f>
        <v/>
      </c>
      <c r="U435" s="164" t="str">
        <f aca="false">IF(Salary_Calculation[[#This Row],[Source Row]]="","",N(INDEX(Rider_Input[Other Deductions],Salary_Calculation[[#This Row],[Source Row]])))</f>
        <v/>
      </c>
      <c r="V435" s="164" t="str">
        <f aca="false">IF(Salary_Calculation[[#This Row],[Source Row]]="","",N(Salary_Calculation[[#This Row],[missed_days_penalty]])+N(Salary_Calculation[[#This Row],[Rider Balance]])+N(Salary_Calculation[[#This Row],[stacking_deduction]])+N(Salary_Calculation[[#This Row],[Other Deductions]]))</f>
        <v/>
      </c>
      <c r="W435" s="167" t="str">
        <f aca="false">IF(Salary_Calculation[[#This Row],[Source Row]]="","",ROUND(MAX(Salary_Calculation[[#This Row],[Gross Salary Before Deductions]]-Salary_Calculation[[#This Row],[Total Deductions]],0),2))</f>
        <v/>
      </c>
      <c r="X435" s="164" t="str">
        <f aca="false">IF(Salary_Calculation[[#This Row],[Source Row]]="","",ROUND(MAX(Salary_Calculation[[#This Row],[Missing-Order Deduction]]-Salary_Calculation[[#This Row],[Earned Salary]],0),2))</f>
        <v/>
      </c>
      <c r="Y43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35" s="163" t="str">
        <f aca="false">IF(Salary_Calculation[[#This Row],[Source Row]]="","",IF(INDEX(Rider_Input[Notes],Salary_Calculation[[#This Row],[Source Row]])="","",INDEX(Rider_Input[Notes],Salary_Calculation[[#This Row],[Source Row]])))</f>
        <v/>
      </c>
      <c r="AA435" s="164" t="str">
        <f aca="false">IF(Salary_Calculation[[#This Row],[Source Row]]="","",Salary_Calculation[[#This Row],[Earned Salary]]-Salary_Calculation[[#This Row],[Missing-Order Deduction]]+Salary_Calculation[[#This Row],[Extra-Order Bonus]])</f>
        <v/>
      </c>
      <c r="AB435" s="164" t="str">
        <f aca="false">IF(Salary_Calculation[[#This Row],[Source Row]]="","",ROUND(Salary_Calculation[[#This Row],[Negative Balance / Amount Due from Rider]]+MAX(Salary_Calculation[[#This Row],[Total Deductions]]-Salary_Calculation[[#This Row],[Gross Salary Before Deductions]],0),2))</f>
        <v/>
      </c>
      <c r="AC43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35" s="164" t="str">
        <f aca="false">IF(Salary_Calculation[[#This Row],[Source Row]]="","",Salary_Calculation[[#This Row],[Rider Target Orders]]*Salary_Calculation[[#This Row],[Base Order Rate]])</f>
        <v/>
      </c>
      <c r="AE435" s="162" t="str">
        <f aca="false">IF(SUMPRODUCT(--(LEN(INDEX(Rider_Input[#Data],ROW()-ROW(Salary_Calculation[#Headers]),0))&gt;0))=0,"",ROW()-ROW(Salary_Calculation[#Headers]))</f>
        <v/>
      </c>
    </row>
    <row r="436" customFormat="false" ht="14.25" hidden="false" customHeight="false" outlineLevel="0" collapsed="false">
      <c r="A436" s="161" t="str">
        <f aca="false">IF(Salary_Calculation[[#This Row],[Source Row]]="","",IF(INDEX(Rider_Input[Salary Month],Salary_Calculation[[#This Row],[Source Row]])="","",INDEX(Rider_Input[Salary Month],Salary_Calculation[[#This Row],[Source Row]])))</f>
        <v/>
      </c>
      <c r="B436" s="162" t="str">
        <f aca="false">IF(Salary_Calculation[[#This Row],[Source Row]]="","",IF(INDEX(Rider_Input[Rider ID],Salary_Calculation[[#This Row],[Source Row]])="","",INDEX(Rider_Input[Rider ID],Salary_Calculation[[#This Row],[Source Row]])))</f>
        <v/>
      </c>
      <c r="C436" s="163" t="str">
        <f aca="false">IF(Salary_Calculation[[#This Row],[Source Row]]="","",IF(INDEX(Rider_Input[Rider Name],Salary_Calculation[[#This Row],[Source Row]])="","",INDEX(Rider_Input[Rider Name],Salary_Calculation[[#This Row],[Source Row]])))</f>
        <v/>
      </c>
      <c r="D436" s="164" t="str">
        <f aca="false">IF(Salary_Calculation[[#This Row],[Source Row]]="","",IF(INDEX(Rider_Input[Basic Payment],Salary_Calculation[[#This Row],[Source Row]])="","",INDEX(Rider_Input[Basic Payment],Salary_Calculation[[#This Row],[Source Row]])))</f>
        <v/>
      </c>
      <c r="E436" s="162" t="str">
        <f aca="false">IF(Salary_Calculation[[#This Row],[Source Row]]="","",IF(INDEX(Rider_Input[Calendar Days in Month],Salary_Calculation[[#This Row],[Source Row]])="","",INDEX(Rider_Input[Calendar Days in Month],Salary_Calculation[[#This Row],[Source Row]])))</f>
        <v/>
      </c>
      <c r="F436" s="162" t="str">
        <f aca="false">IF(Salary_Calculation[[#This Row],[Source Row]]="","",IF(INDEX(Rider_Input[Working Days],Salary_Calculation[[#This Row],[Source Row]])="","",INDEX(Rider_Input[Working Days],Salary_Calculation[[#This Row],[Source Row]])))</f>
        <v/>
      </c>
      <c r="G436" s="165" t="str">
        <f aca="false">IF(Salary_Calculation[[#This Row],[Source Row]]="","",Std_Orders/Std_Days*N(Salary_Calculation[[#This Row],[Calendar Days]]))</f>
        <v/>
      </c>
      <c r="H436" s="165" t="str">
        <f aca="false">IF(Salary_Calculation[[#This Row],[Source Row]]="","",IF(N(Salary_Calculation[[#This Row],[Calendar Days]])&gt;0,Salary_Calculation[[#This Row],[Monthly Target Orders]]/N(Salary_Calculation[[#This Row],[Calendar Days]])*N(Salary_Calculation[[#This Row],[Working Days]]),0))</f>
        <v/>
      </c>
      <c r="I436" s="166" t="str">
        <f aca="false">IF(Salary_Calculation[[#This Row],[Source Row]]="","",IF(INDEX(Rider_Input[Completed Orders],Salary_Calculation[[#This Row],[Source Row]])="","",INDEX(Rider_Input[Completed Orders],Salary_Calculation[[#This Row],[Source Row]])))</f>
        <v/>
      </c>
      <c r="J436" s="165" t="str">
        <f aca="false">IF(Salary_Calculation[[#This Row],[Source Row]]="","",IF(Rate_Method="Fixed rate",Fixed_Rate,IF(N(Salary_Calculation[[#This Row],[Basic Payment]])&gt;0,N(Salary_Calculation[[#This Row],[Basic Payment]])/Std_Orders,0)))</f>
        <v/>
      </c>
      <c r="K436" s="165" t="str">
        <f aca="false">IF(Salary_Calculation[[#This Row],[Source Row]]="","",MAX(MIN(N(Salary_Calculation[[#This Row],[Completed Orders]]),Salary_Calculation[[#This Row],[Rider Target Orders]]),0))</f>
        <v/>
      </c>
      <c r="L436" s="164" t="str">
        <f aca="false">IF(Salary_Calculation[[#This Row],[Source Row]]="","",Salary_Calculation[[#This Row],[Orders Counted at Base Rate]]*Salary_Calculation[[#This Row],[Base Order Rate]])</f>
        <v/>
      </c>
      <c r="M436" s="165" t="str">
        <f aca="false">IF(Salary_Calculation[[#This Row],[Source Row]]="","",MAX(Salary_Calculation[[#This Row],[Rider Target Orders]]-N(Salary_Calculation[[#This Row],[Completed Orders]]),0))</f>
        <v/>
      </c>
      <c r="N436" s="164" t="str">
        <f aca="false">IF(Salary_Calculation[[#This Row],[Source Row]]="","",Salary_Calculation[[#This Row],[Missing Orders]]*Missing_Rate)</f>
        <v/>
      </c>
      <c r="O436" s="165" t="str">
        <f aca="false">IF(Salary_Calculation[[#This Row],[Source Row]]="","",MAX(N(Salary_Calculation[[#This Row],[Completed Orders]])-Salary_Calculation[[#This Row],[Rider Target Orders]],0))</f>
        <v/>
      </c>
      <c r="P436" s="164" t="str">
        <f aca="false">IF(Salary_Calculation[[#This Row],[Source Row]]="","",Salary_Calculation[[#This Row],[Extra Orders]]*Extra_Rate)</f>
        <v/>
      </c>
      <c r="Q436" s="164" t="str">
        <f aca="false">IF(Salary_Calculation[[#This Row],[Source Row]]="","",MAX(Salary_Calculation[[#This Row],[Salary Before Other Deductions]],0))</f>
        <v/>
      </c>
      <c r="R436" s="164" t="str">
        <f aca="false">IF(Salary_Calculation[[#This Row],[Source Row]]="","",N(INDEX(Rider_Input[missed_days_penalty],Salary_Calculation[[#This Row],[Source Row]])))</f>
        <v/>
      </c>
      <c r="S436" s="164" t="str">
        <f aca="false">IF(Salary_Calculation[[#This Row],[Source Row]]="","",N(INDEX(Rider_Input[Rider Balance / محفظة المندوب],Salary_Calculation[[#This Row],[Source Row]])))</f>
        <v/>
      </c>
      <c r="T436" s="164" t="str">
        <f aca="false">IF(Salary_Calculation[[#This Row],[Source Row]]="","",N(INDEX(Rider_Input[stacking_deduction / خصم الطلبات المتعددة],Salary_Calculation[[#This Row],[Source Row]])))</f>
        <v/>
      </c>
      <c r="U436" s="164" t="str">
        <f aca="false">IF(Salary_Calculation[[#This Row],[Source Row]]="","",N(INDEX(Rider_Input[Other Deductions],Salary_Calculation[[#This Row],[Source Row]])))</f>
        <v/>
      </c>
      <c r="V436" s="164" t="str">
        <f aca="false">IF(Salary_Calculation[[#This Row],[Source Row]]="","",N(Salary_Calculation[[#This Row],[missed_days_penalty]])+N(Salary_Calculation[[#This Row],[Rider Balance]])+N(Salary_Calculation[[#This Row],[stacking_deduction]])+N(Salary_Calculation[[#This Row],[Other Deductions]]))</f>
        <v/>
      </c>
      <c r="W436" s="167" t="str">
        <f aca="false">IF(Salary_Calculation[[#This Row],[Source Row]]="","",ROUND(MAX(Salary_Calculation[[#This Row],[Gross Salary Before Deductions]]-Salary_Calculation[[#This Row],[Total Deductions]],0),2))</f>
        <v/>
      </c>
      <c r="X436" s="164" t="str">
        <f aca="false">IF(Salary_Calculation[[#This Row],[Source Row]]="","",ROUND(MAX(Salary_Calculation[[#This Row],[Missing-Order Deduction]]-Salary_Calculation[[#This Row],[Earned Salary]],0),2))</f>
        <v/>
      </c>
      <c r="Y43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36" s="163" t="str">
        <f aca="false">IF(Salary_Calculation[[#This Row],[Source Row]]="","",IF(INDEX(Rider_Input[Notes],Salary_Calculation[[#This Row],[Source Row]])="","",INDEX(Rider_Input[Notes],Salary_Calculation[[#This Row],[Source Row]])))</f>
        <v/>
      </c>
      <c r="AA436" s="164" t="str">
        <f aca="false">IF(Salary_Calculation[[#This Row],[Source Row]]="","",Salary_Calculation[[#This Row],[Earned Salary]]-Salary_Calculation[[#This Row],[Missing-Order Deduction]]+Salary_Calculation[[#This Row],[Extra-Order Bonus]])</f>
        <v/>
      </c>
      <c r="AB436" s="164" t="str">
        <f aca="false">IF(Salary_Calculation[[#This Row],[Source Row]]="","",ROUND(Salary_Calculation[[#This Row],[Negative Balance / Amount Due from Rider]]+MAX(Salary_Calculation[[#This Row],[Total Deductions]]-Salary_Calculation[[#This Row],[Gross Salary Before Deductions]],0),2))</f>
        <v/>
      </c>
      <c r="AC43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36" s="164" t="str">
        <f aca="false">IF(Salary_Calculation[[#This Row],[Source Row]]="","",Salary_Calculation[[#This Row],[Rider Target Orders]]*Salary_Calculation[[#This Row],[Base Order Rate]])</f>
        <v/>
      </c>
      <c r="AE436" s="162" t="str">
        <f aca="false">IF(SUMPRODUCT(--(LEN(INDEX(Rider_Input[#Data],ROW()-ROW(Salary_Calculation[#Headers]),0))&gt;0))=0,"",ROW()-ROW(Salary_Calculation[#Headers]))</f>
        <v/>
      </c>
    </row>
    <row r="437" customFormat="false" ht="14.25" hidden="false" customHeight="false" outlineLevel="0" collapsed="false">
      <c r="A437" s="161" t="str">
        <f aca="false">IF(Salary_Calculation[[#This Row],[Source Row]]="","",IF(INDEX(Rider_Input[Salary Month],Salary_Calculation[[#This Row],[Source Row]])="","",INDEX(Rider_Input[Salary Month],Salary_Calculation[[#This Row],[Source Row]])))</f>
        <v/>
      </c>
      <c r="B437" s="162" t="str">
        <f aca="false">IF(Salary_Calculation[[#This Row],[Source Row]]="","",IF(INDEX(Rider_Input[Rider ID],Salary_Calculation[[#This Row],[Source Row]])="","",INDEX(Rider_Input[Rider ID],Salary_Calculation[[#This Row],[Source Row]])))</f>
        <v/>
      </c>
      <c r="C437" s="163" t="str">
        <f aca="false">IF(Salary_Calculation[[#This Row],[Source Row]]="","",IF(INDEX(Rider_Input[Rider Name],Salary_Calculation[[#This Row],[Source Row]])="","",INDEX(Rider_Input[Rider Name],Salary_Calculation[[#This Row],[Source Row]])))</f>
        <v/>
      </c>
      <c r="D437" s="164" t="str">
        <f aca="false">IF(Salary_Calculation[[#This Row],[Source Row]]="","",IF(INDEX(Rider_Input[Basic Payment],Salary_Calculation[[#This Row],[Source Row]])="","",INDEX(Rider_Input[Basic Payment],Salary_Calculation[[#This Row],[Source Row]])))</f>
        <v/>
      </c>
      <c r="E437" s="162" t="str">
        <f aca="false">IF(Salary_Calculation[[#This Row],[Source Row]]="","",IF(INDEX(Rider_Input[Calendar Days in Month],Salary_Calculation[[#This Row],[Source Row]])="","",INDEX(Rider_Input[Calendar Days in Month],Salary_Calculation[[#This Row],[Source Row]])))</f>
        <v/>
      </c>
      <c r="F437" s="162" t="str">
        <f aca="false">IF(Salary_Calculation[[#This Row],[Source Row]]="","",IF(INDEX(Rider_Input[Working Days],Salary_Calculation[[#This Row],[Source Row]])="","",INDEX(Rider_Input[Working Days],Salary_Calculation[[#This Row],[Source Row]])))</f>
        <v/>
      </c>
      <c r="G437" s="165" t="str">
        <f aca="false">IF(Salary_Calculation[[#This Row],[Source Row]]="","",Std_Orders/Std_Days*N(Salary_Calculation[[#This Row],[Calendar Days]]))</f>
        <v/>
      </c>
      <c r="H437" s="165" t="str">
        <f aca="false">IF(Salary_Calculation[[#This Row],[Source Row]]="","",IF(N(Salary_Calculation[[#This Row],[Calendar Days]])&gt;0,Salary_Calculation[[#This Row],[Monthly Target Orders]]/N(Salary_Calculation[[#This Row],[Calendar Days]])*N(Salary_Calculation[[#This Row],[Working Days]]),0))</f>
        <v/>
      </c>
      <c r="I437" s="166" t="str">
        <f aca="false">IF(Salary_Calculation[[#This Row],[Source Row]]="","",IF(INDEX(Rider_Input[Completed Orders],Salary_Calculation[[#This Row],[Source Row]])="","",INDEX(Rider_Input[Completed Orders],Salary_Calculation[[#This Row],[Source Row]])))</f>
        <v/>
      </c>
      <c r="J437" s="165" t="str">
        <f aca="false">IF(Salary_Calculation[[#This Row],[Source Row]]="","",IF(Rate_Method="Fixed rate",Fixed_Rate,IF(N(Salary_Calculation[[#This Row],[Basic Payment]])&gt;0,N(Salary_Calculation[[#This Row],[Basic Payment]])/Std_Orders,0)))</f>
        <v/>
      </c>
      <c r="K437" s="165" t="str">
        <f aca="false">IF(Salary_Calculation[[#This Row],[Source Row]]="","",MAX(MIN(N(Salary_Calculation[[#This Row],[Completed Orders]]),Salary_Calculation[[#This Row],[Rider Target Orders]]),0))</f>
        <v/>
      </c>
      <c r="L437" s="164" t="str">
        <f aca="false">IF(Salary_Calculation[[#This Row],[Source Row]]="","",Salary_Calculation[[#This Row],[Orders Counted at Base Rate]]*Salary_Calculation[[#This Row],[Base Order Rate]])</f>
        <v/>
      </c>
      <c r="M437" s="165" t="str">
        <f aca="false">IF(Salary_Calculation[[#This Row],[Source Row]]="","",MAX(Salary_Calculation[[#This Row],[Rider Target Orders]]-N(Salary_Calculation[[#This Row],[Completed Orders]]),0))</f>
        <v/>
      </c>
      <c r="N437" s="164" t="str">
        <f aca="false">IF(Salary_Calculation[[#This Row],[Source Row]]="","",Salary_Calculation[[#This Row],[Missing Orders]]*Missing_Rate)</f>
        <v/>
      </c>
      <c r="O437" s="165" t="str">
        <f aca="false">IF(Salary_Calculation[[#This Row],[Source Row]]="","",MAX(N(Salary_Calculation[[#This Row],[Completed Orders]])-Salary_Calculation[[#This Row],[Rider Target Orders]],0))</f>
        <v/>
      </c>
      <c r="P437" s="164" t="str">
        <f aca="false">IF(Salary_Calculation[[#This Row],[Source Row]]="","",Salary_Calculation[[#This Row],[Extra Orders]]*Extra_Rate)</f>
        <v/>
      </c>
      <c r="Q437" s="164" t="str">
        <f aca="false">IF(Salary_Calculation[[#This Row],[Source Row]]="","",MAX(Salary_Calculation[[#This Row],[Salary Before Other Deductions]],0))</f>
        <v/>
      </c>
      <c r="R437" s="164" t="str">
        <f aca="false">IF(Salary_Calculation[[#This Row],[Source Row]]="","",N(INDEX(Rider_Input[missed_days_penalty],Salary_Calculation[[#This Row],[Source Row]])))</f>
        <v/>
      </c>
      <c r="S437" s="164" t="str">
        <f aca="false">IF(Salary_Calculation[[#This Row],[Source Row]]="","",N(INDEX(Rider_Input[Rider Balance / محفظة المندوب],Salary_Calculation[[#This Row],[Source Row]])))</f>
        <v/>
      </c>
      <c r="T437" s="164" t="str">
        <f aca="false">IF(Salary_Calculation[[#This Row],[Source Row]]="","",N(INDEX(Rider_Input[stacking_deduction / خصم الطلبات المتعددة],Salary_Calculation[[#This Row],[Source Row]])))</f>
        <v/>
      </c>
      <c r="U437" s="164" t="str">
        <f aca="false">IF(Salary_Calculation[[#This Row],[Source Row]]="","",N(INDEX(Rider_Input[Other Deductions],Salary_Calculation[[#This Row],[Source Row]])))</f>
        <v/>
      </c>
      <c r="V437" s="164" t="str">
        <f aca="false">IF(Salary_Calculation[[#This Row],[Source Row]]="","",N(Salary_Calculation[[#This Row],[missed_days_penalty]])+N(Salary_Calculation[[#This Row],[Rider Balance]])+N(Salary_Calculation[[#This Row],[stacking_deduction]])+N(Salary_Calculation[[#This Row],[Other Deductions]]))</f>
        <v/>
      </c>
      <c r="W437" s="167" t="str">
        <f aca="false">IF(Salary_Calculation[[#This Row],[Source Row]]="","",ROUND(MAX(Salary_Calculation[[#This Row],[Gross Salary Before Deductions]]-Salary_Calculation[[#This Row],[Total Deductions]],0),2))</f>
        <v/>
      </c>
      <c r="X437" s="164" t="str">
        <f aca="false">IF(Salary_Calculation[[#This Row],[Source Row]]="","",ROUND(MAX(Salary_Calculation[[#This Row],[Missing-Order Deduction]]-Salary_Calculation[[#This Row],[Earned Salary]],0),2))</f>
        <v/>
      </c>
      <c r="Y43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37" s="163" t="str">
        <f aca="false">IF(Salary_Calculation[[#This Row],[Source Row]]="","",IF(INDEX(Rider_Input[Notes],Salary_Calculation[[#This Row],[Source Row]])="","",INDEX(Rider_Input[Notes],Salary_Calculation[[#This Row],[Source Row]])))</f>
        <v/>
      </c>
      <c r="AA437" s="164" t="str">
        <f aca="false">IF(Salary_Calculation[[#This Row],[Source Row]]="","",Salary_Calculation[[#This Row],[Earned Salary]]-Salary_Calculation[[#This Row],[Missing-Order Deduction]]+Salary_Calculation[[#This Row],[Extra-Order Bonus]])</f>
        <v/>
      </c>
      <c r="AB437" s="164" t="str">
        <f aca="false">IF(Salary_Calculation[[#This Row],[Source Row]]="","",ROUND(Salary_Calculation[[#This Row],[Negative Balance / Amount Due from Rider]]+MAX(Salary_Calculation[[#This Row],[Total Deductions]]-Salary_Calculation[[#This Row],[Gross Salary Before Deductions]],0),2))</f>
        <v/>
      </c>
      <c r="AC43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37" s="164" t="str">
        <f aca="false">IF(Salary_Calculation[[#This Row],[Source Row]]="","",Salary_Calculation[[#This Row],[Rider Target Orders]]*Salary_Calculation[[#This Row],[Base Order Rate]])</f>
        <v/>
      </c>
      <c r="AE437" s="162" t="str">
        <f aca="false">IF(SUMPRODUCT(--(LEN(INDEX(Rider_Input[#Data],ROW()-ROW(Salary_Calculation[#Headers]),0))&gt;0))=0,"",ROW()-ROW(Salary_Calculation[#Headers]))</f>
        <v/>
      </c>
    </row>
    <row r="438" customFormat="false" ht="14.25" hidden="false" customHeight="false" outlineLevel="0" collapsed="false">
      <c r="A438" s="161" t="str">
        <f aca="false">IF(Salary_Calculation[[#This Row],[Source Row]]="","",IF(INDEX(Rider_Input[Salary Month],Salary_Calculation[[#This Row],[Source Row]])="","",INDEX(Rider_Input[Salary Month],Salary_Calculation[[#This Row],[Source Row]])))</f>
        <v/>
      </c>
      <c r="B438" s="162" t="str">
        <f aca="false">IF(Salary_Calculation[[#This Row],[Source Row]]="","",IF(INDEX(Rider_Input[Rider ID],Salary_Calculation[[#This Row],[Source Row]])="","",INDEX(Rider_Input[Rider ID],Salary_Calculation[[#This Row],[Source Row]])))</f>
        <v/>
      </c>
      <c r="C438" s="163" t="str">
        <f aca="false">IF(Salary_Calculation[[#This Row],[Source Row]]="","",IF(INDEX(Rider_Input[Rider Name],Salary_Calculation[[#This Row],[Source Row]])="","",INDEX(Rider_Input[Rider Name],Salary_Calculation[[#This Row],[Source Row]])))</f>
        <v/>
      </c>
      <c r="D438" s="164" t="str">
        <f aca="false">IF(Salary_Calculation[[#This Row],[Source Row]]="","",IF(INDEX(Rider_Input[Basic Payment],Salary_Calculation[[#This Row],[Source Row]])="","",INDEX(Rider_Input[Basic Payment],Salary_Calculation[[#This Row],[Source Row]])))</f>
        <v/>
      </c>
      <c r="E438" s="162" t="str">
        <f aca="false">IF(Salary_Calculation[[#This Row],[Source Row]]="","",IF(INDEX(Rider_Input[Calendar Days in Month],Salary_Calculation[[#This Row],[Source Row]])="","",INDEX(Rider_Input[Calendar Days in Month],Salary_Calculation[[#This Row],[Source Row]])))</f>
        <v/>
      </c>
      <c r="F438" s="162" t="str">
        <f aca="false">IF(Salary_Calculation[[#This Row],[Source Row]]="","",IF(INDEX(Rider_Input[Working Days],Salary_Calculation[[#This Row],[Source Row]])="","",INDEX(Rider_Input[Working Days],Salary_Calculation[[#This Row],[Source Row]])))</f>
        <v/>
      </c>
      <c r="G438" s="165" t="str">
        <f aca="false">IF(Salary_Calculation[[#This Row],[Source Row]]="","",Std_Orders/Std_Days*N(Salary_Calculation[[#This Row],[Calendar Days]]))</f>
        <v/>
      </c>
      <c r="H438" s="165" t="str">
        <f aca="false">IF(Salary_Calculation[[#This Row],[Source Row]]="","",IF(N(Salary_Calculation[[#This Row],[Calendar Days]])&gt;0,Salary_Calculation[[#This Row],[Monthly Target Orders]]/N(Salary_Calculation[[#This Row],[Calendar Days]])*N(Salary_Calculation[[#This Row],[Working Days]]),0))</f>
        <v/>
      </c>
      <c r="I438" s="166" t="str">
        <f aca="false">IF(Salary_Calculation[[#This Row],[Source Row]]="","",IF(INDEX(Rider_Input[Completed Orders],Salary_Calculation[[#This Row],[Source Row]])="","",INDEX(Rider_Input[Completed Orders],Salary_Calculation[[#This Row],[Source Row]])))</f>
        <v/>
      </c>
      <c r="J438" s="165" t="str">
        <f aca="false">IF(Salary_Calculation[[#This Row],[Source Row]]="","",IF(Rate_Method="Fixed rate",Fixed_Rate,IF(N(Salary_Calculation[[#This Row],[Basic Payment]])&gt;0,N(Salary_Calculation[[#This Row],[Basic Payment]])/Std_Orders,0)))</f>
        <v/>
      </c>
      <c r="K438" s="165" t="str">
        <f aca="false">IF(Salary_Calculation[[#This Row],[Source Row]]="","",MAX(MIN(N(Salary_Calculation[[#This Row],[Completed Orders]]),Salary_Calculation[[#This Row],[Rider Target Orders]]),0))</f>
        <v/>
      </c>
      <c r="L438" s="164" t="str">
        <f aca="false">IF(Salary_Calculation[[#This Row],[Source Row]]="","",Salary_Calculation[[#This Row],[Orders Counted at Base Rate]]*Salary_Calculation[[#This Row],[Base Order Rate]])</f>
        <v/>
      </c>
      <c r="M438" s="165" t="str">
        <f aca="false">IF(Salary_Calculation[[#This Row],[Source Row]]="","",MAX(Salary_Calculation[[#This Row],[Rider Target Orders]]-N(Salary_Calculation[[#This Row],[Completed Orders]]),0))</f>
        <v/>
      </c>
      <c r="N438" s="164" t="str">
        <f aca="false">IF(Salary_Calculation[[#This Row],[Source Row]]="","",Salary_Calculation[[#This Row],[Missing Orders]]*Missing_Rate)</f>
        <v/>
      </c>
      <c r="O438" s="165" t="str">
        <f aca="false">IF(Salary_Calculation[[#This Row],[Source Row]]="","",MAX(N(Salary_Calculation[[#This Row],[Completed Orders]])-Salary_Calculation[[#This Row],[Rider Target Orders]],0))</f>
        <v/>
      </c>
      <c r="P438" s="164" t="str">
        <f aca="false">IF(Salary_Calculation[[#This Row],[Source Row]]="","",Salary_Calculation[[#This Row],[Extra Orders]]*Extra_Rate)</f>
        <v/>
      </c>
      <c r="Q438" s="164" t="str">
        <f aca="false">IF(Salary_Calculation[[#This Row],[Source Row]]="","",MAX(Salary_Calculation[[#This Row],[Salary Before Other Deductions]],0))</f>
        <v/>
      </c>
      <c r="R438" s="164" t="str">
        <f aca="false">IF(Salary_Calculation[[#This Row],[Source Row]]="","",N(INDEX(Rider_Input[missed_days_penalty],Salary_Calculation[[#This Row],[Source Row]])))</f>
        <v/>
      </c>
      <c r="S438" s="164" t="str">
        <f aca="false">IF(Salary_Calculation[[#This Row],[Source Row]]="","",N(INDEX(Rider_Input[Rider Balance / محفظة المندوب],Salary_Calculation[[#This Row],[Source Row]])))</f>
        <v/>
      </c>
      <c r="T438" s="164" t="str">
        <f aca="false">IF(Salary_Calculation[[#This Row],[Source Row]]="","",N(INDEX(Rider_Input[stacking_deduction / خصم الطلبات المتعددة],Salary_Calculation[[#This Row],[Source Row]])))</f>
        <v/>
      </c>
      <c r="U438" s="164" t="str">
        <f aca="false">IF(Salary_Calculation[[#This Row],[Source Row]]="","",N(INDEX(Rider_Input[Other Deductions],Salary_Calculation[[#This Row],[Source Row]])))</f>
        <v/>
      </c>
      <c r="V438" s="164" t="str">
        <f aca="false">IF(Salary_Calculation[[#This Row],[Source Row]]="","",N(Salary_Calculation[[#This Row],[missed_days_penalty]])+N(Salary_Calculation[[#This Row],[Rider Balance]])+N(Salary_Calculation[[#This Row],[stacking_deduction]])+N(Salary_Calculation[[#This Row],[Other Deductions]]))</f>
        <v/>
      </c>
      <c r="W438" s="167" t="str">
        <f aca="false">IF(Salary_Calculation[[#This Row],[Source Row]]="","",ROUND(MAX(Salary_Calculation[[#This Row],[Gross Salary Before Deductions]]-Salary_Calculation[[#This Row],[Total Deductions]],0),2))</f>
        <v/>
      </c>
      <c r="X438" s="164" t="str">
        <f aca="false">IF(Salary_Calculation[[#This Row],[Source Row]]="","",ROUND(MAX(Salary_Calculation[[#This Row],[Missing-Order Deduction]]-Salary_Calculation[[#This Row],[Earned Salary]],0),2))</f>
        <v/>
      </c>
      <c r="Y43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38" s="163" t="str">
        <f aca="false">IF(Salary_Calculation[[#This Row],[Source Row]]="","",IF(INDEX(Rider_Input[Notes],Salary_Calculation[[#This Row],[Source Row]])="","",INDEX(Rider_Input[Notes],Salary_Calculation[[#This Row],[Source Row]])))</f>
        <v/>
      </c>
      <c r="AA438" s="164" t="str">
        <f aca="false">IF(Salary_Calculation[[#This Row],[Source Row]]="","",Salary_Calculation[[#This Row],[Earned Salary]]-Salary_Calculation[[#This Row],[Missing-Order Deduction]]+Salary_Calculation[[#This Row],[Extra-Order Bonus]])</f>
        <v/>
      </c>
      <c r="AB438" s="164" t="str">
        <f aca="false">IF(Salary_Calculation[[#This Row],[Source Row]]="","",ROUND(Salary_Calculation[[#This Row],[Negative Balance / Amount Due from Rider]]+MAX(Salary_Calculation[[#This Row],[Total Deductions]]-Salary_Calculation[[#This Row],[Gross Salary Before Deductions]],0),2))</f>
        <v/>
      </c>
      <c r="AC43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38" s="164" t="str">
        <f aca="false">IF(Salary_Calculation[[#This Row],[Source Row]]="","",Salary_Calculation[[#This Row],[Rider Target Orders]]*Salary_Calculation[[#This Row],[Base Order Rate]])</f>
        <v/>
      </c>
      <c r="AE438" s="162" t="str">
        <f aca="false">IF(SUMPRODUCT(--(LEN(INDEX(Rider_Input[#Data],ROW()-ROW(Salary_Calculation[#Headers]),0))&gt;0))=0,"",ROW()-ROW(Salary_Calculation[#Headers]))</f>
        <v/>
      </c>
    </row>
    <row r="439" customFormat="false" ht="14.25" hidden="false" customHeight="false" outlineLevel="0" collapsed="false">
      <c r="A439" s="161" t="str">
        <f aca="false">IF(Salary_Calculation[[#This Row],[Source Row]]="","",IF(INDEX(Rider_Input[Salary Month],Salary_Calculation[[#This Row],[Source Row]])="","",INDEX(Rider_Input[Salary Month],Salary_Calculation[[#This Row],[Source Row]])))</f>
        <v/>
      </c>
      <c r="B439" s="162" t="str">
        <f aca="false">IF(Salary_Calculation[[#This Row],[Source Row]]="","",IF(INDEX(Rider_Input[Rider ID],Salary_Calculation[[#This Row],[Source Row]])="","",INDEX(Rider_Input[Rider ID],Salary_Calculation[[#This Row],[Source Row]])))</f>
        <v/>
      </c>
      <c r="C439" s="163" t="str">
        <f aca="false">IF(Salary_Calculation[[#This Row],[Source Row]]="","",IF(INDEX(Rider_Input[Rider Name],Salary_Calculation[[#This Row],[Source Row]])="","",INDEX(Rider_Input[Rider Name],Salary_Calculation[[#This Row],[Source Row]])))</f>
        <v/>
      </c>
      <c r="D439" s="164" t="str">
        <f aca="false">IF(Salary_Calculation[[#This Row],[Source Row]]="","",IF(INDEX(Rider_Input[Basic Payment],Salary_Calculation[[#This Row],[Source Row]])="","",INDEX(Rider_Input[Basic Payment],Salary_Calculation[[#This Row],[Source Row]])))</f>
        <v/>
      </c>
      <c r="E439" s="162" t="str">
        <f aca="false">IF(Salary_Calculation[[#This Row],[Source Row]]="","",IF(INDEX(Rider_Input[Calendar Days in Month],Salary_Calculation[[#This Row],[Source Row]])="","",INDEX(Rider_Input[Calendar Days in Month],Salary_Calculation[[#This Row],[Source Row]])))</f>
        <v/>
      </c>
      <c r="F439" s="162" t="str">
        <f aca="false">IF(Salary_Calculation[[#This Row],[Source Row]]="","",IF(INDEX(Rider_Input[Working Days],Salary_Calculation[[#This Row],[Source Row]])="","",INDEX(Rider_Input[Working Days],Salary_Calculation[[#This Row],[Source Row]])))</f>
        <v/>
      </c>
      <c r="G439" s="165" t="str">
        <f aca="false">IF(Salary_Calculation[[#This Row],[Source Row]]="","",Std_Orders/Std_Days*N(Salary_Calculation[[#This Row],[Calendar Days]]))</f>
        <v/>
      </c>
      <c r="H439" s="165" t="str">
        <f aca="false">IF(Salary_Calculation[[#This Row],[Source Row]]="","",IF(N(Salary_Calculation[[#This Row],[Calendar Days]])&gt;0,Salary_Calculation[[#This Row],[Monthly Target Orders]]/N(Salary_Calculation[[#This Row],[Calendar Days]])*N(Salary_Calculation[[#This Row],[Working Days]]),0))</f>
        <v/>
      </c>
      <c r="I439" s="166" t="str">
        <f aca="false">IF(Salary_Calculation[[#This Row],[Source Row]]="","",IF(INDEX(Rider_Input[Completed Orders],Salary_Calculation[[#This Row],[Source Row]])="","",INDEX(Rider_Input[Completed Orders],Salary_Calculation[[#This Row],[Source Row]])))</f>
        <v/>
      </c>
      <c r="J439" s="165" t="str">
        <f aca="false">IF(Salary_Calculation[[#This Row],[Source Row]]="","",IF(Rate_Method="Fixed rate",Fixed_Rate,IF(N(Salary_Calculation[[#This Row],[Basic Payment]])&gt;0,N(Salary_Calculation[[#This Row],[Basic Payment]])/Std_Orders,0)))</f>
        <v/>
      </c>
      <c r="K439" s="165" t="str">
        <f aca="false">IF(Salary_Calculation[[#This Row],[Source Row]]="","",MAX(MIN(N(Salary_Calculation[[#This Row],[Completed Orders]]),Salary_Calculation[[#This Row],[Rider Target Orders]]),0))</f>
        <v/>
      </c>
      <c r="L439" s="164" t="str">
        <f aca="false">IF(Salary_Calculation[[#This Row],[Source Row]]="","",Salary_Calculation[[#This Row],[Orders Counted at Base Rate]]*Salary_Calculation[[#This Row],[Base Order Rate]])</f>
        <v/>
      </c>
      <c r="M439" s="165" t="str">
        <f aca="false">IF(Salary_Calculation[[#This Row],[Source Row]]="","",MAX(Salary_Calculation[[#This Row],[Rider Target Orders]]-N(Salary_Calculation[[#This Row],[Completed Orders]]),0))</f>
        <v/>
      </c>
      <c r="N439" s="164" t="str">
        <f aca="false">IF(Salary_Calculation[[#This Row],[Source Row]]="","",Salary_Calculation[[#This Row],[Missing Orders]]*Missing_Rate)</f>
        <v/>
      </c>
      <c r="O439" s="165" t="str">
        <f aca="false">IF(Salary_Calculation[[#This Row],[Source Row]]="","",MAX(N(Salary_Calculation[[#This Row],[Completed Orders]])-Salary_Calculation[[#This Row],[Rider Target Orders]],0))</f>
        <v/>
      </c>
      <c r="P439" s="164" t="str">
        <f aca="false">IF(Salary_Calculation[[#This Row],[Source Row]]="","",Salary_Calculation[[#This Row],[Extra Orders]]*Extra_Rate)</f>
        <v/>
      </c>
      <c r="Q439" s="164" t="str">
        <f aca="false">IF(Salary_Calculation[[#This Row],[Source Row]]="","",MAX(Salary_Calculation[[#This Row],[Salary Before Other Deductions]],0))</f>
        <v/>
      </c>
      <c r="R439" s="164" t="str">
        <f aca="false">IF(Salary_Calculation[[#This Row],[Source Row]]="","",N(INDEX(Rider_Input[missed_days_penalty],Salary_Calculation[[#This Row],[Source Row]])))</f>
        <v/>
      </c>
      <c r="S439" s="164" t="str">
        <f aca="false">IF(Salary_Calculation[[#This Row],[Source Row]]="","",N(INDEX(Rider_Input[Rider Balance / محفظة المندوب],Salary_Calculation[[#This Row],[Source Row]])))</f>
        <v/>
      </c>
      <c r="T439" s="164" t="str">
        <f aca="false">IF(Salary_Calculation[[#This Row],[Source Row]]="","",N(INDEX(Rider_Input[stacking_deduction / خصم الطلبات المتعددة],Salary_Calculation[[#This Row],[Source Row]])))</f>
        <v/>
      </c>
      <c r="U439" s="164" t="str">
        <f aca="false">IF(Salary_Calculation[[#This Row],[Source Row]]="","",N(INDEX(Rider_Input[Other Deductions],Salary_Calculation[[#This Row],[Source Row]])))</f>
        <v/>
      </c>
      <c r="V439" s="164" t="str">
        <f aca="false">IF(Salary_Calculation[[#This Row],[Source Row]]="","",N(Salary_Calculation[[#This Row],[missed_days_penalty]])+N(Salary_Calculation[[#This Row],[Rider Balance]])+N(Salary_Calculation[[#This Row],[stacking_deduction]])+N(Salary_Calculation[[#This Row],[Other Deductions]]))</f>
        <v/>
      </c>
      <c r="W439" s="167" t="str">
        <f aca="false">IF(Salary_Calculation[[#This Row],[Source Row]]="","",ROUND(MAX(Salary_Calculation[[#This Row],[Gross Salary Before Deductions]]-Salary_Calculation[[#This Row],[Total Deductions]],0),2))</f>
        <v/>
      </c>
      <c r="X439" s="164" t="str">
        <f aca="false">IF(Salary_Calculation[[#This Row],[Source Row]]="","",ROUND(MAX(Salary_Calculation[[#This Row],[Missing-Order Deduction]]-Salary_Calculation[[#This Row],[Earned Salary]],0),2))</f>
        <v/>
      </c>
      <c r="Y43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39" s="163" t="str">
        <f aca="false">IF(Salary_Calculation[[#This Row],[Source Row]]="","",IF(INDEX(Rider_Input[Notes],Salary_Calculation[[#This Row],[Source Row]])="","",INDEX(Rider_Input[Notes],Salary_Calculation[[#This Row],[Source Row]])))</f>
        <v/>
      </c>
      <c r="AA439" s="164" t="str">
        <f aca="false">IF(Salary_Calculation[[#This Row],[Source Row]]="","",Salary_Calculation[[#This Row],[Earned Salary]]-Salary_Calculation[[#This Row],[Missing-Order Deduction]]+Salary_Calculation[[#This Row],[Extra-Order Bonus]])</f>
        <v/>
      </c>
      <c r="AB439" s="164" t="str">
        <f aca="false">IF(Salary_Calculation[[#This Row],[Source Row]]="","",ROUND(Salary_Calculation[[#This Row],[Negative Balance / Amount Due from Rider]]+MAX(Salary_Calculation[[#This Row],[Total Deductions]]-Salary_Calculation[[#This Row],[Gross Salary Before Deductions]],0),2))</f>
        <v/>
      </c>
      <c r="AC43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39" s="164" t="str">
        <f aca="false">IF(Salary_Calculation[[#This Row],[Source Row]]="","",Salary_Calculation[[#This Row],[Rider Target Orders]]*Salary_Calculation[[#This Row],[Base Order Rate]])</f>
        <v/>
      </c>
      <c r="AE439" s="162" t="str">
        <f aca="false">IF(SUMPRODUCT(--(LEN(INDEX(Rider_Input[#Data],ROW()-ROW(Salary_Calculation[#Headers]),0))&gt;0))=0,"",ROW()-ROW(Salary_Calculation[#Headers]))</f>
        <v/>
      </c>
    </row>
    <row r="440" customFormat="false" ht="14.25" hidden="false" customHeight="false" outlineLevel="0" collapsed="false">
      <c r="A440" s="161" t="str">
        <f aca="false">IF(Salary_Calculation[[#This Row],[Source Row]]="","",IF(INDEX(Rider_Input[Salary Month],Salary_Calculation[[#This Row],[Source Row]])="","",INDEX(Rider_Input[Salary Month],Salary_Calculation[[#This Row],[Source Row]])))</f>
        <v/>
      </c>
      <c r="B440" s="162" t="str">
        <f aca="false">IF(Salary_Calculation[[#This Row],[Source Row]]="","",IF(INDEX(Rider_Input[Rider ID],Salary_Calculation[[#This Row],[Source Row]])="","",INDEX(Rider_Input[Rider ID],Salary_Calculation[[#This Row],[Source Row]])))</f>
        <v/>
      </c>
      <c r="C440" s="163" t="str">
        <f aca="false">IF(Salary_Calculation[[#This Row],[Source Row]]="","",IF(INDEX(Rider_Input[Rider Name],Salary_Calculation[[#This Row],[Source Row]])="","",INDEX(Rider_Input[Rider Name],Salary_Calculation[[#This Row],[Source Row]])))</f>
        <v/>
      </c>
      <c r="D440" s="164" t="str">
        <f aca="false">IF(Salary_Calculation[[#This Row],[Source Row]]="","",IF(INDEX(Rider_Input[Basic Payment],Salary_Calculation[[#This Row],[Source Row]])="","",INDEX(Rider_Input[Basic Payment],Salary_Calculation[[#This Row],[Source Row]])))</f>
        <v/>
      </c>
      <c r="E440" s="162" t="str">
        <f aca="false">IF(Salary_Calculation[[#This Row],[Source Row]]="","",IF(INDEX(Rider_Input[Calendar Days in Month],Salary_Calculation[[#This Row],[Source Row]])="","",INDEX(Rider_Input[Calendar Days in Month],Salary_Calculation[[#This Row],[Source Row]])))</f>
        <v/>
      </c>
      <c r="F440" s="162" t="str">
        <f aca="false">IF(Salary_Calculation[[#This Row],[Source Row]]="","",IF(INDEX(Rider_Input[Working Days],Salary_Calculation[[#This Row],[Source Row]])="","",INDEX(Rider_Input[Working Days],Salary_Calculation[[#This Row],[Source Row]])))</f>
        <v/>
      </c>
      <c r="G440" s="165" t="str">
        <f aca="false">IF(Salary_Calculation[[#This Row],[Source Row]]="","",Std_Orders/Std_Days*N(Salary_Calculation[[#This Row],[Calendar Days]]))</f>
        <v/>
      </c>
      <c r="H440" s="165" t="str">
        <f aca="false">IF(Salary_Calculation[[#This Row],[Source Row]]="","",IF(N(Salary_Calculation[[#This Row],[Calendar Days]])&gt;0,Salary_Calculation[[#This Row],[Monthly Target Orders]]/N(Salary_Calculation[[#This Row],[Calendar Days]])*N(Salary_Calculation[[#This Row],[Working Days]]),0))</f>
        <v/>
      </c>
      <c r="I440" s="166" t="str">
        <f aca="false">IF(Salary_Calculation[[#This Row],[Source Row]]="","",IF(INDEX(Rider_Input[Completed Orders],Salary_Calculation[[#This Row],[Source Row]])="","",INDEX(Rider_Input[Completed Orders],Salary_Calculation[[#This Row],[Source Row]])))</f>
        <v/>
      </c>
      <c r="J440" s="165" t="str">
        <f aca="false">IF(Salary_Calculation[[#This Row],[Source Row]]="","",IF(Rate_Method="Fixed rate",Fixed_Rate,IF(N(Salary_Calculation[[#This Row],[Basic Payment]])&gt;0,N(Salary_Calculation[[#This Row],[Basic Payment]])/Std_Orders,0)))</f>
        <v/>
      </c>
      <c r="K440" s="165" t="str">
        <f aca="false">IF(Salary_Calculation[[#This Row],[Source Row]]="","",MAX(MIN(N(Salary_Calculation[[#This Row],[Completed Orders]]),Salary_Calculation[[#This Row],[Rider Target Orders]]),0))</f>
        <v/>
      </c>
      <c r="L440" s="164" t="str">
        <f aca="false">IF(Salary_Calculation[[#This Row],[Source Row]]="","",Salary_Calculation[[#This Row],[Orders Counted at Base Rate]]*Salary_Calculation[[#This Row],[Base Order Rate]])</f>
        <v/>
      </c>
      <c r="M440" s="165" t="str">
        <f aca="false">IF(Salary_Calculation[[#This Row],[Source Row]]="","",MAX(Salary_Calculation[[#This Row],[Rider Target Orders]]-N(Salary_Calculation[[#This Row],[Completed Orders]]),0))</f>
        <v/>
      </c>
      <c r="N440" s="164" t="str">
        <f aca="false">IF(Salary_Calculation[[#This Row],[Source Row]]="","",Salary_Calculation[[#This Row],[Missing Orders]]*Missing_Rate)</f>
        <v/>
      </c>
      <c r="O440" s="165" t="str">
        <f aca="false">IF(Salary_Calculation[[#This Row],[Source Row]]="","",MAX(N(Salary_Calculation[[#This Row],[Completed Orders]])-Salary_Calculation[[#This Row],[Rider Target Orders]],0))</f>
        <v/>
      </c>
      <c r="P440" s="164" t="str">
        <f aca="false">IF(Salary_Calculation[[#This Row],[Source Row]]="","",Salary_Calculation[[#This Row],[Extra Orders]]*Extra_Rate)</f>
        <v/>
      </c>
      <c r="Q440" s="164" t="str">
        <f aca="false">IF(Salary_Calculation[[#This Row],[Source Row]]="","",MAX(Salary_Calculation[[#This Row],[Salary Before Other Deductions]],0))</f>
        <v/>
      </c>
      <c r="R440" s="164" t="str">
        <f aca="false">IF(Salary_Calculation[[#This Row],[Source Row]]="","",N(INDEX(Rider_Input[missed_days_penalty],Salary_Calculation[[#This Row],[Source Row]])))</f>
        <v/>
      </c>
      <c r="S440" s="164" t="str">
        <f aca="false">IF(Salary_Calculation[[#This Row],[Source Row]]="","",N(INDEX(Rider_Input[Rider Balance / محفظة المندوب],Salary_Calculation[[#This Row],[Source Row]])))</f>
        <v/>
      </c>
      <c r="T440" s="164" t="str">
        <f aca="false">IF(Salary_Calculation[[#This Row],[Source Row]]="","",N(INDEX(Rider_Input[stacking_deduction / خصم الطلبات المتعددة],Salary_Calculation[[#This Row],[Source Row]])))</f>
        <v/>
      </c>
      <c r="U440" s="164" t="str">
        <f aca="false">IF(Salary_Calculation[[#This Row],[Source Row]]="","",N(INDEX(Rider_Input[Other Deductions],Salary_Calculation[[#This Row],[Source Row]])))</f>
        <v/>
      </c>
      <c r="V440" s="164" t="str">
        <f aca="false">IF(Salary_Calculation[[#This Row],[Source Row]]="","",N(Salary_Calculation[[#This Row],[missed_days_penalty]])+N(Salary_Calculation[[#This Row],[Rider Balance]])+N(Salary_Calculation[[#This Row],[stacking_deduction]])+N(Salary_Calculation[[#This Row],[Other Deductions]]))</f>
        <v/>
      </c>
      <c r="W440" s="167" t="str">
        <f aca="false">IF(Salary_Calculation[[#This Row],[Source Row]]="","",ROUND(MAX(Salary_Calculation[[#This Row],[Gross Salary Before Deductions]]-Salary_Calculation[[#This Row],[Total Deductions]],0),2))</f>
        <v/>
      </c>
      <c r="X440" s="164" t="str">
        <f aca="false">IF(Salary_Calculation[[#This Row],[Source Row]]="","",ROUND(MAX(Salary_Calculation[[#This Row],[Missing-Order Deduction]]-Salary_Calculation[[#This Row],[Earned Salary]],0),2))</f>
        <v/>
      </c>
      <c r="Y44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40" s="163" t="str">
        <f aca="false">IF(Salary_Calculation[[#This Row],[Source Row]]="","",IF(INDEX(Rider_Input[Notes],Salary_Calculation[[#This Row],[Source Row]])="","",INDEX(Rider_Input[Notes],Salary_Calculation[[#This Row],[Source Row]])))</f>
        <v/>
      </c>
      <c r="AA440" s="164" t="str">
        <f aca="false">IF(Salary_Calculation[[#This Row],[Source Row]]="","",Salary_Calculation[[#This Row],[Earned Salary]]-Salary_Calculation[[#This Row],[Missing-Order Deduction]]+Salary_Calculation[[#This Row],[Extra-Order Bonus]])</f>
        <v/>
      </c>
      <c r="AB440" s="164" t="str">
        <f aca="false">IF(Salary_Calculation[[#This Row],[Source Row]]="","",ROUND(Salary_Calculation[[#This Row],[Negative Balance / Amount Due from Rider]]+MAX(Salary_Calculation[[#This Row],[Total Deductions]]-Salary_Calculation[[#This Row],[Gross Salary Before Deductions]],0),2))</f>
        <v/>
      </c>
      <c r="AC44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40" s="164" t="str">
        <f aca="false">IF(Salary_Calculation[[#This Row],[Source Row]]="","",Salary_Calculation[[#This Row],[Rider Target Orders]]*Salary_Calculation[[#This Row],[Base Order Rate]])</f>
        <v/>
      </c>
      <c r="AE440" s="162" t="str">
        <f aca="false">IF(SUMPRODUCT(--(LEN(INDEX(Rider_Input[#Data],ROW()-ROW(Salary_Calculation[#Headers]),0))&gt;0))=0,"",ROW()-ROW(Salary_Calculation[#Headers]))</f>
        <v/>
      </c>
    </row>
    <row r="441" customFormat="false" ht="14.25" hidden="false" customHeight="false" outlineLevel="0" collapsed="false">
      <c r="A441" s="161" t="str">
        <f aca="false">IF(Salary_Calculation[[#This Row],[Source Row]]="","",IF(INDEX(Rider_Input[Salary Month],Salary_Calculation[[#This Row],[Source Row]])="","",INDEX(Rider_Input[Salary Month],Salary_Calculation[[#This Row],[Source Row]])))</f>
        <v/>
      </c>
      <c r="B441" s="162" t="str">
        <f aca="false">IF(Salary_Calculation[[#This Row],[Source Row]]="","",IF(INDEX(Rider_Input[Rider ID],Salary_Calculation[[#This Row],[Source Row]])="","",INDEX(Rider_Input[Rider ID],Salary_Calculation[[#This Row],[Source Row]])))</f>
        <v/>
      </c>
      <c r="C441" s="163" t="str">
        <f aca="false">IF(Salary_Calculation[[#This Row],[Source Row]]="","",IF(INDEX(Rider_Input[Rider Name],Salary_Calculation[[#This Row],[Source Row]])="","",INDEX(Rider_Input[Rider Name],Salary_Calculation[[#This Row],[Source Row]])))</f>
        <v/>
      </c>
      <c r="D441" s="164" t="str">
        <f aca="false">IF(Salary_Calculation[[#This Row],[Source Row]]="","",IF(INDEX(Rider_Input[Basic Payment],Salary_Calculation[[#This Row],[Source Row]])="","",INDEX(Rider_Input[Basic Payment],Salary_Calculation[[#This Row],[Source Row]])))</f>
        <v/>
      </c>
      <c r="E441" s="162" t="str">
        <f aca="false">IF(Salary_Calculation[[#This Row],[Source Row]]="","",IF(INDEX(Rider_Input[Calendar Days in Month],Salary_Calculation[[#This Row],[Source Row]])="","",INDEX(Rider_Input[Calendar Days in Month],Salary_Calculation[[#This Row],[Source Row]])))</f>
        <v/>
      </c>
      <c r="F441" s="162" t="str">
        <f aca="false">IF(Salary_Calculation[[#This Row],[Source Row]]="","",IF(INDEX(Rider_Input[Working Days],Salary_Calculation[[#This Row],[Source Row]])="","",INDEX(Rider_Input[Working Days],Salary_Calculation[[#This Row],[Source Row]])))</f>
        <v/>
      </c>
      <c r="G441" s="165" t="str">
        <f aca="false">IF(Salary_Calculation[[#This Row],[Source Row]]="","",Std_Orders/Std_Days*N(Salary_Calculation[[#This Row],[Calendar Days]]))</f>
        <v/>
      </c>
      <c r="H441" s="165" t="str">
        <f aca="false">IF(Salary_Calculation[[#This Row],[Source Row]]="","",IF(N(Salary_Calculation[[#This Row],[Calendar Days]])&gt;0,Salary_Calculation[[#This Row],[Monthly Target Orders]]/N(Salary_Calculation[[#This Row],[Calendar Days]])*N(Salary_Calculation[[#This Row],[Working Days]]),0))</f>
        <v/>
      </c>
      <c r="I441" s="166" t="str">
        <f aca="false">IF(Salary_Calculation[[#This Row],[Source Row]]="","",IF(INDEX(Rider_Input[Completed Orders],Salary_Calculation[[#This Row],[Source Row]])="","",INDEX(Rider_Input[Completed Orders],Salary_Calculation[[#This Row],[Source Row]])))</f>
        <v/>
      </c>
      <c r="J441" s="165" t="str">
        <f aca="false">IF(Salary_Calculation[[#This Row],[Source Row]]="","",IF(Rate_Method="Fixed rate",Fixed_Rate,IF(N(Salary_Calculation[[#This Row],[Basic Payment]])&gt;0,N(Salary_Calculation[[#This Row],[Basic Payment]])/Std_Orders,0)))</f>
        <v/>
      </c>
      <c r="K441" s="165" t="str">
        <f aca="false">IF(Salary_Calculation[[#This Row],[Source Row]]="","",MAX(MIN(N(Salary_Calculation[[#This Row],[Completed Orders]]),Salary_Calculation[[#This Row],[Rider Target Orders]]),0))</f>
        <v/>
      </c>
      <c r="L441" s="164" t="str">
        <f aca="false">IF(Salary_Calculation[[#This Row],[Source Row]]="","",Salary_Calculation[[#This Row],[Orders Counted at Base Rate]]*Salary_Calculation[[#This Row],[Base Order Rate]])</f>
        <v/>
      </c>
      <c r="M441" s="165" t="str">
        <f aca="false">IF(Salary_Calculation[[#This Row],[Source Row]]="","",MAX(Salary_Calculation[[#This Row],[Rider Target Orders]]-N(Salary_Calculation[[#This Row],[Completed Orders]]),0))</f>
        <v/>
      </c>
      <c r="N441" s="164" t="str">
        <f aca="false">IF(Salary_Calculation[[#This Row],[Source Row]]="","",Salary_Calculation[[#This Row],[Missing Orders]]*Missing_Rate)</f>
        <v/>
      </c>
      <c r="O441" s="165" t="str">
        <f aca="false">IF(Salary_Calculation[[#This Row],[Source Row]]="","",MAX(N(Salary_Calculation[[#This Row],[Completed Orders]])-Salary_Calculation[[#This Row],[Rider Target Orders]],0))</f>
        <v/>
      </c>
      <c r="P441" s="164" t="str">
        <f aca="false">IF(Salary_Calculation[[#This Row],[Source Row]]="","",Salary_Calculation[[#This Row],[Extra Orders]]*Extra_Rate)</f>
        <v/>
      </c>
      <c r="Q441" s="164" t="str">
        <f aca="false">IF(Salary_Calculation[[#This Row],[Source Row]]="","",MAX(Salary_Calculation[[#This Row],[Salary Before Other Deductions]],0))</f>
        <v/>
      </c>
      <c r="R441" s="164" t="str">
        <f aca="false">IF(Salary_Calculation[[#This Row],[Source Row]]="","",N(INDEX(Rider_Input[missed_days_penalty],Salary_Calculation[[#This Row],[Source Row]])))</f>
        <v/>
      </c>
      <c r="S441" s="164" t="str">
        <f aca="false">IF(Salary_Calculation[[#This Row],[Source Row]]="","",N(INDEX(Rider_Input[Rider Balance / محفظة المندوب],Salary_Calculation[[#This Row],[Source Row]])))</f>
        <v/>
      </c>
      <c r="T441" s="164" t="str">
        <f aca="false">IF(Salary_Calculation[[#This Row],[Source Row]]="","",N(INDEX(Rider_Input[stacking_deduction / خصم الطلبات المتعددة],Salary_Calculation[[#This Row],[Source Row]])))</f>
        <v/>
      </c>
      <c r="U441" s="164" t="str">
        <f aca="false">IF(Salary_Calculation[[#This Row],[Source Row]]="","",N(INDEX(Rider_Input[Other Deductions],Salary_Calculation[[#This Row],[Source Row]])))</f>
        <v/>
      </c>
      <c r="V441" s="164" t="str">
        <f aca="false">IF(Salary_Calculation[[#This Row],[Source Row]]="","",N(Salary_Calculation[[#This Row],[missed_days_penalty]])+N(Salary_Calculation[[#This Row],[Rider Balance]])+N(Salary_Calculation[[#This Row],[stacking_deduction]])+N(Salary_Calculation[[#This Row],[Other Deductions]]))</f>
        <v/>
      </c>
      <c r="W441" s="167" t="str">
        <f aca="false">IF(Salary_Calculation[[#This Row],[Source Row]]="","",ROUND(MAX(Salary_Calculation[[#This Row],[Gross Salary Before Deductions]]-Salary_Calculation[[#This Row],[Total Deductions]],0),2))</f>
        <v/>
      </c>
      <c r="X441" s="164" t="str">
        <f aca="false">IF(Salary_Calculation[[#This Row],[Source Row]]="","",ROUND(MAX(Salary_Calculation[[#This Row],[Missing-Order Deduction]]-Salary_Calculation[[#This Row],[Earned Salary]],0),2))</f>
        <v/>
      </c>
      <c r="Y44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41" s="163" t="str">
        <f aca="false">IF(Salary_Calculation[[#This Row],[Source Row]]="","",IF(INDEX(Rider_Input[Notes],Salary_Calculation[[#This Row],[Source Row]])="","",INDEX(Rider_Input[Notes],Salary_Calculation[[#This Row],[Source Row]])))</f>
        <v/>
      </c>
      <c r="AA441" s="164" t="str">
        <f aca="false">IF(Salary_Calculation[[#This Row],[Source Row]]="","",Salary_Calculation[[#This Row],[Earned Salary]]-Salary_Calculation[[#This Row],[Missing-Order Deduction]]+Salary_Calculation[[#This Row],[Extra-Order Bonus]])</f>
        <v/>
      </c>
      <c r="AB441" s="164" t="str">
        <f aca="false">IF(Salary_Calculation[[#This Row],[Source Row]]="","",ROUND(Salary_Calculation[[#This Row],[Negative Balance / Amount Due from Rider]]+MAX(Salary_Calculation[[#This Row],[Total Deductions]]-Salary_Calculation[[#This Row],[Gross Salary Before Deductions]],0),2))</f>
        <v/>
      </c>
      <c r="AC44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41" s="164" t="str">
        <f aca="false">IF(Salary_Calculation[[#This Row],[Source Row]]="","",Salary_Calculation[[#This Row],[Rider Target Orders]]*Salary_Calculation[[#This Row],[Base Order Rate]])</f>
        <v/>
      </c>
      <c r="AE441" s="162" t="str">
        <f aca="false">IF(SUMPRODUCT(--(LEN(INDEX(Rider_Input[#Data],ROW()-ROW(Salary_Calculation[#Headers]),0))&gt;0))=0,"",ROW()-ROW(Salary_Calculation[#Headers]))</f>
        <v/>
      </c>
    </row>
    <row r="442" customFormat="false" ht="14.25" hidden="false" customHeight="false" outlineLevel="0" collapsed="false">
      <c r="A442" s="161" t="str">
        <f aca="false">IF(Salary_Calculation[[#This Row],[Source Row]]="","",IF(INDEX(Rider_Input[Salary Month],Salary_Calculation[[#This Row],[Source Row]])="","",INDEX(Rider_Input[Salary Month],Salary_Calculation[[#This Row],[Source Row]])))</f>
        <v/>
      </c>
      <c r="B442" s="162" t="str">
        <f aca="false">IF(Salary_Calculation[[#This Row],[Source Row]]="","",IF(INDEX(Rider_Input[Rider ID],Salary_Calculation[[#This Row],[Source Row]])="","",INDEX(Rider_Input[Rider ID],Salary_Calculation[[#This Row],[Source Row]])))</f>
        <v/>
      </c>
      <c r="C442" s="163" t="str">
        <f aca="false">IF(Salary_Calculation[[#This Row],[Source Row]]="","",IF(INDEX(Rider_Input[Rider Name],Salary_Calculation[[#This Row],[Source Row]])="","",INDEX(Rider_Input[Rider Name],Salary_Calculation[[#This Row],[Source Row]])))</f>
        <v/>
      </c>
      <c r="D442" s="164" t="str">
        <f aca="false">IF(Salary_Calculation[[#This Row],[Source Row]]="","",IF(INDEX(Rider_Input[Basic Payment],Salary_Calculation[[#This Row],[Source Row]])="","",INDEX(Rider_Input[Basic Payment],Salary_Calculation[[#This Row],[Source Row]])))</f>
        <v/>
      </c>
      <c r="E442" s="162" t="str">
        <f aca="false">IF(Salary_Calculation[[#This Row],[Source Row]]="","",IF(INDEX(Rider_Input[Calendar Days in Month],Salary_Calculation[[#This Row],[Source Row]])="","",INDEX(Rider_Input[Calendar Days in Month],Salary_Calculation[[#This Row],[Source Row]])))</f>
        <v/>
      </c>
      <c r="F442" s="162" t="str">
        <f aca="false">IF(Salary_Calculation[[#This Row],[Source Row]]="","",IF(INDEX(Rider_Input[Working Days],Salary_Calculation[[#This Row],[Source Row]])="","",INDEX(Rider_Input[Working Days],Salary_Calculation[[#This Row],[Source Row]])))</f>
        <v/>
      </c>
      <c r="G442" s="165" t="str">
        <f aca="false">IF(Salary_Calculation[[#This Row],[Source Row]]="","",Std_Orders/Std_Days*N(Salary_Calculation[[#This Row],[Calendar Days]]))</f>
        <v/>
      </c>
      <c r="H442" s="165" t="str">
        <f aca="false">IF(Salary_Calculation[[#This Row],[Source Row]]="","",IF(N(Salary_Calculation[[#This Row],[Calendar Days]])&gt;0,Salary_Calculation[[#This Row],[Monthly Target Orders]]/N(Salary_Calculation[[#This Row],[Calendar Days]])*N(Salary_Calculation[[#This Row],[Working Days]]),0))</f>
        <v/>
      </c>
      <c r="I442" s="166" t="str">
        <f aca="false">IF(Salary_Calculation[[#This Row],[Source Row]]="","",IF(INDEX(Rider_Input[Completed Orders],Salary_Calculation[[#This Row],[Source Row]])="","",INDEX(Rider_Input[Completed Orders],Salary_Calculation[[#This Row],[Source Row]])))</f>
        <v/>
      </c>
      <c r="J442" s="165" t="str">
        <f aca="false">IF(Salary_Calculation[[#This Row],[Source Row]]="","",IF(Rate_Method="Fixed rate",Fixed_Rate,IF(N(Salary_Calculation[[#This Row],[Basic Payment]])&gt;0,N(Salary_Calculation[[#This Row],[Basic Payment]])/Std_Orders,0)))</f>
        <v/>
      </c>
      <c r="K442" s="165" t="str">
        <f aca="false">IF(Salary_Calculation[[#This Row],[Source Row]]="","",MAX(MIN(N(Salary_Calculation[[#This Row],[Completed Orders]]),Salary_Calculation[[#This Row],[Rider Target Orders]]),0))</f>
        <v/>
      </c>
      <c r="L442" s="164" t="str">
        <f aca="false">IF(Salary_Calculation[[#This Row],[Source Row]]="","",Salary_Calculation[[#This Row],[Orders Counted at Base Rate]]*Salary_Calculation[[#This Row],[Base Order Rate]])</f>
        <v/>
      </c>
      <c r="M442" s="165" t="str">
        <f aca="false">IF(Salary_Calculation[[#This Row],[Source Row]]="","",MAX(Salary_Calculation[[#This Row],[Rider Target Orders]]-N(Salary_Calculation[[#This Row],[Completed Orders]]),0))</f>
        <v/>
      </c>
      <c r="N442" s="164" t="str">
        <f aca="false">IF(Salary_Calculation[[#This Row],[Source Row]]="","",Salary_Calculation[[#This Row],[Missing Orders]]*Missing_Rate)</f>
        <v/>
      </c>
      <c r="O442" s="165" t="str">
        <f aca="false">IF(Salary_Calculation[[#This Row],[Source Row]]="","",MAX(N(Salary_Calculation[[#This Row],[Completed Orders]])-Salary_Calculation[[#This Row],[Rider Target Orders]],0))</f>
        <v/>
      </c>
      <c r="P442" s="164" t="str">
        <f aca="false">IF(Salary_Calculation[[#This Row],[Source Row]]="","",Salary_Calculation[[#This Row],[Extra Orders]]*Extra_Rate)</f>
        <v/>
      </c>
      <c r="Q442" s="164" t="str">
        <f aca="false">IF(Salary_Calculation[[#This Row],[Source Row]]="","",MAX(Salary_Calculation[[#This Row],[Salary Before Other Deductions]],0))</f>
        <v/>
      </c>
      <c r="R442" s="164" t="str">
        <f aca="false">IF(Salary_Calculation[[#This Row],[Source Row]]="","",N(INDEX(Rider_Input[missed_days_penalty],Salary_Calculation[[#This Row],[Source Row]])))</f>
        <v/>
      </c>
      <c r="S442" s="164" t="str">
        <f aca="false">IF(Salary_Calculation[[#This Row],[Source Row]]="","",N(INDEX(Rider_Input[Rider Balance / محفظة المندوب],Salary_Calculation[[#This Row],[Source Row]])))</f>
        <v/>
      </c>
      <c r="T442" s="164" t="str">
        <f aca="false">IF(Salary_Calculation[[#This Row],[Source Row]]="","",N(INDEX(Rider_Input[stacking_deduction / خصم الطلبات المتعددة],Salary_Calculation[[#This Row],[Source Row]])))</f>
        <v/>
      </c>
      <c r="U442" s="164" t="str">
        <f aca="false">IF(Salary_Calculation[[#This Row],[Source Row]]="","",N(INDEX(Rider_Input[Other Deductions],Salary_Calculation[[#This Row],[Source Row]])))</f>
        <v/>
      </c>
      <c r="V442" s="164" t="str">
        <f aca="false">IF(Salary_Calculation[[#This Row],[Source Row]]="","",N(Salary_Calculation[[#This Row],[missed_days_penalty]])+N(Salary_Calculation[[#This Row],[Rider Balance]])+N(Salary_Calculation[[#This Row],[stacking_deduction]])+N(Salary_Calculation[[#This Row],[Other Deductions]]))</f>
        <v/>
      </c>
      <c r="W442" s="167" t="str">
        <f aca="false">IF(Salary_Calculation[[#This Row],[Source Row]]="","",ROUND(MAX(Salary_Calculation[[#This Row],[Gross Salary Before Deductions]]-Salary_Calculation[[#This Row],[Total Deductions]],0),2))</f>
        <v/>
      </c>
      <c r="X442" s="164" t="str">
        <f aca="false">IF(Salary_Calculation[[#This Row],[Source Row]]="","",ROUND(MAX(Salary_Calculation[[#This Row],[Missing-Order Deduction]]-Salary_Calculation[[#This Row],[Earned Salary]],0),2))</f>
        <v/>
      </c>
      <c r="Y44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42" s="163" t="str">
        <f aca="false">IF(Salary_Calculation[[#This Row],[Source Row]]="","",IF(INDEX(Rider_Input[Notes],Salary_Calculation[[#This Row],[Source Row]])="","",INDEX(Rider_Input[Notes],Salary_Calculation[[#This Row],[Source Row]])))</f>
        <v/>
      </c>
      <c r="AA442" s="164" t="str">
        <f aca="false">IF(Salary_Calculation[[#This Row],[Source Row]]="","",Salary_Calculation[[#This Row],[Earned Salary]]-Salary_Calculation[[#This Row],[Missing-Order Deduction]]+Salary_Calculation[[#This Row],[Extra-Order Bonus]])</f>
        <v/>
      </c>
      <c r="AB442" s="164" t="str">
        <f aca="false">IF(Salary_Calculation[[#This Row],[Source Row]]="","",ROUND(Salary_Calculation[[#This Row],[Negative Balance / Amount Due from Rider]]+MAX(Salary_Calculation[[#This Row],[Total Deductions]]-Salary_Calculation[[#This Row],[Gross Salary Before Deductions]],0),2))</f>
        <v/>
      </c>
      <c r="AC44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42" s="164" t="str">
        <f aca="false">IF(Salary_Calculation[[#This Row],[Source Row]]="","",Salary_Calculation[[#This Row],[Rider Target Orders]]*Salary_Calculation[[#This Row],[Base Order Rate]])</f>
        <v/>
      </c>
      <c r="AE442" s="162" t="str">
        <f aca="false">IF(SUMPRODUCT(--(LEN(INDEX(Rider_Input[#Data],ROW()-ROW(Salary_Calculation[#Headers]),0))&gt;0))=0,"",ROW()-ROW(Salary_Calculation[#Headers]))</f>
        <v/>
      </c>
    </row>
    <row r="443" customFormat="false" ht="14.25" hidden="false" customHeight="false" outlineLevel="0" collapsed="false">
      <c r="A443" s="161" t="str">
        <f aca="false">IF(Salary_Calculation[[#This Row],[Source Row]]="","",IF(INDEX(Rider_Input[Salary Month],Salary_Calculation[[#This Row],[Source Row]])="","",INDEX(Rider_Input[Salary Month],Salary_Calculation[[#This Row],[Source Row]])))</f>
        <v/>
      </c>
      <c r="B443" s="162" t="str">
        <f aca="false">IF(Salary_Calculation[[#This Row],[Source Row]]="","",IF(INDEX(Rider_Input[Rider ID],Salary_Calculation[[#This Row],[Source Row]])="","",INDEX(Rider_Input[Rider ID],Salary_Calculation[[#This Row],[Source Row]])))</f>
        <v/>
      </c>
      <c r="C443" s="163" t="str">
        <f aca="false">IF(Salary_Calculation[[#This Row],[Source Row]]="","",IF(INDEX(Rider_Input[Rider Name],Salary_Calculation[[#This Row],[Source Row]])="","",INDEX(Rider_Input[Rider Name],Salary_Calculation[[#This Row],[Source Row]])))</f>
        <v/>
      </c>
      <c r="D443" s="164" t="str">
        <f aca="false">IF(Salary_Calculation[[#This Row],[Source Row]]="","",IF(INDEX(Rider_Input[Basic Payment],Salary_Calculation[[#This Row],[Source Row]])="","",INDEX(Rider_Input[Basic Payment],Salary_Calculation[[#This Row],[Source Row]])))</f>
        <v/>
      </c>
      <c r="E443" s="162" t="str">
        <f aca="false">IF(Salary_Calculation[[#This Row],[Source Row]]="","",IF(INDEX(Rider_Input[Calendar Days in Month],Salary_Calculation[[#This Row],[Source Row]])="","",INDEX(Rider_Input[Calendar Days in Month],Salary_Calculation[[#This Row],[Source Row]])))</f>
        <v/>
      </c>
      <c r="F443" s="162" t="str">
        <f aca="false">IF(Salary_Calculation[[#This Row],[Source Row]]="","",IF(INDEX(Rider_Input[Working Days],Salary_Calculation[[#This Row],[Source Row]])="","",INDEX(Rider_Input[Working Days],Salary_Calculation[[#This Row],[Source Row]])))</f>
        <v/>
      </c>
      <c r="G443" s="165" t="str">
        <f aca="false">IF(Salary_Calculation[[#This Row],[Source Row]]="","",Std_Orders/Std_Days*N(Salary_Calculation[[#This Row],[Calendar Days]]))</f>
        <v/>
      </c>
      <c r="H443" s="165" t="str">
        <f aca="false">IF(Salary_Calculation[[#This Row],[Source Row]]="","",IF(N(Salary_Calculation[[#This Row],[Calendar Days]])&gt;0,Salary_Calculation[[#This Row],[Monthly Target Orders]]/N(Salary_Calculation[[#This Row],[Calendar Days]])*N(Salary_Calculation[[#This Row],[Working Days]]),0))</f>
        <v/>
      </c>
      <c r="I443" s="166" t="str">
        <f aca="false">IF(Salary_Calculation[[#This Row],[Source Row]]="","",IF(INDEX(Rider_Input[Completed Orders],Salary_Calculation[[#This Row],[Source Row]])="","",INDEX(Rider_Input[Completed Orders],Salary_Calculation[[#This Row],[Source Row]])))</f>
        <v/>
      </c>
      <c r="J443" s="165" t="str">
        <f aca="false">IF(Salary_Calculation[[#This Row],[Source Row]]="","",IF(Rate_Method="Fixed rate",Fixed_Rate,IF(N(Salary_Calculation[[#This Row],[Basic Payment]])&gt;0,N(Salary_Calculation[[#This Row],[Basic Payment]])/Std_Orders,0)))</f>
        <v/>
      </c>
      <c r="K443" s="165" t="str">
        <f aca="false">IF(Salary_Calculation[[#This Row],[Source Row]]="","",MAX(MIN(N(Salary_Calculation[[#This Row],[Completed Orders]]),Salary_Calculation[[#This Row],[Rider Target Orders]]),0))</f>
        <v/>
      </c>
      <c r="L443" s="164" t="str">
        <f aca="false">IF(Salary_Calculation[[#This Row],[Source Row]]="","",Salary_Calculation[[#This Row],[Orders Counted at Base Rate]]*Salary_Calculation[[#This Row],[Base Order Rate]])</f>
        <v/>
      </c>
      <c r="M443" s="165" t="str">
        <f aca="false">IF(Salary_Calculation[[#This Row],[Source Row]]="","",MAX(Salary_Calculation[[#This Row],[Rider Target Orders]]-N(Salary_Calculation[[#This Row],[Completed Orders]]),0))</f>
        <v/>
      </c>
      <c r="N443" s="164" t="str">
        <f aca="false">IF(Salary_Calculation[[#This Row],[Source Row]]="","",Salary_Calculation[[#This Row],[Missing Orders]]*Missing_Rate)</f>
        <v/>
      </c>
      <c r="O443" s="165" t="str">
        <f aca="false">IF(Salary_Calculation[[#This Row],[Source Row]]="","",MAX(N(Salary_Calculation[[#This Row],[Completed Orders]])-Salary_Calculation[[#This Row],[Rider Target Orders]],0))</f>
        <v/>
      </c>
      <c r="P443" s="164" t="str">
        <f aca="false">IF(Salary_Calculation[[#This Row],[Source Row]]="","",Salary_Calculation[[#This Row],[Extra Orders]]*Extra_Rate)</f>
        <v/>
      </c>
      <c r="Q443" s="164" t="str">
        <f aca="false">IF(Salary_Calculation[[#This Row],[Source Row]]="","",MAX(Salary_Calculation[[#This Row],[Salary Before Other Deductions]],0))</f>
        <v/>
      </c>
      <c r="R443" s="164" t="str">
        <f aca="false">IF(Salary_Calculation[[#This Row],[Source Row]]="","",N(INDEX(Rider_Input[missed_days_penalty],Salary_Calculation[[#This Row],[Source Row]])))</f>
        <v/>
      </c>
      <c r="S443" s="164" t="str">
        <f aca="false">IF(Salary_Calculation[[#This Row],[Source Row]]="","",N(INDEX(Rider_Input[Rider Balance / محفظة المندوب],Salary_Calculation[[#This Row],[Source Row]])))</f>
        <v/>
      </c>
      <c r="T443" s="164" t="str">
        <f aca="false">IF(Salary_Calculation[[#This Row],[Source Row]]="","",N(INDEX(Rider_Input[stacking_deduction / خصم الطلبات المتعددة],Salary_Calculation[[#This Row],[Source Row]])))</f>
        <v/>
      </c>
      <c r="U443" s="164" t="str">
        <f aca="false">IF(Salary_Calculation[[#This Row],[Source Row]]="","",N(INDEX(Rider_Input[Other Deductions],Salary_Calculation[[#This Row],[Source Row]])))</f>
        <v/>
      </c>
      <c r="V443" s="164" t="str">
        <f aca="false">IF(Salary_Calculation[[#This Row],[Source Row]]="","",N(Salary_Calculation[[#This Row],[missed_days_penalty]])+N(Salary_Calculation[[#This Row],[Rider Balance]])+N(Salary_Calculation[[#This Row],[stacking_deduction]])+N(Salary_Calculation[[#This Row],[Other Deductions]]))</f>
        <v/>
      </c>
      <c r="W443" s="167" t="str">
        <f aca="false">IF(Salary_Calculation[[#This Row],[Source Row]]="","",ROUND(MAX(Salary_Calculation[[#This Row],[Gross Salary Before Deductions]]-Salary_Calculation[[#This Row],[Total Deductions]],0),2))</f>
        <v/>
      </c>
      <c r="X443" s="164" t="str">
        <f aca="false">IF(Salary_Calculation[[#This Row],[Source Row]]="","",ROUND(MAX(Salary_Calculation[[#This Row],[Missing-Order Deduction]]-Salary_Calculation[[#This Row],[Earned Salary]],0),2))</f>
        <v/>
      </c>
      <c r="Y44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43" s="163" t="str">
        <f aca="false">IF(Salary_Calculation[[#This Row],[Source Row]]="","",IF(INDEX(Rider_Input[Notes],Salary_Calculation[[#This Row],[Source Row]])="","",INDEX(Rider_Input[Notes],Salary_Calculation[[#This Row],[Source Row]])))</f>
        <v/>
      </c>
      <c r="AA443" s="164" t="str">
        <f aca="false">IF(Salary_Calculation[[#This Row],[Source Row]]="","",Salary_Calculation[[#This Row],[Earned Salary]]-Salary_Calculation[[#This Row],[Missing-Order Deduction]]+Salary_Calculation[[#This Row],[Extra-Order Bonus]])</f>
        <v/>
      </c>
      <c r="AB443" s="164" t="str">
        <f aca="false">IF(Salary_Calculation[[#This Row],[Source Row]]="","",ROUND(Salary_Calculation[[#This Row],[Negative Balance / Amount Due from Rider]]+MAX(Salary_Calculation[[#This Row],[Total Deductions]]-Salary_Calculation[[#This Row],[Gross Salary Before Deductions]],0),2))</f>
        <v/>
      </c>
      <c r="AC44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43" s="164" t="str">
        <f aca="false">IF(Salary_Calculation[[#This Row],[Source Row]]="","",Salary_Calculation[[#This Row],[Rider Target Orders]]*Salary_Calculation[[#This Row],[Base Order Rate]])</f>
        <v/>
      </c>
      <c r="AE443" s="162" t="str">
        <f aca="false">IF(SUMPRODUCT(--(LEN(INDEX(Rider_Input[#Data],ROW()-ROW(Salary_Calculation[#Headers]),0))&gt;0))=0,"",ROW()-ROW(Salary_Calculation[#Headers]))</f>
        <v/>
      </c>
    </row>
    <row r="444" customFormat="false" ht="14.25" hidden="false" customHeight="false" outlineLevel="0" collapsed="false">
      <c r="A444" s="161" t="str">
        <f aca="false">IF(Salary_Calculation[[#This Row],[Source Row]]="","",IF(INDEX(Rider_Input[Salary Month],Salary_Calculation[[#This Row],[Source Row]])="","",INDEX(Rider_Input[Salary Month],Salary_Calculation[[#This Row],[Source Row]])))</f>
        <v/>
      </c>
      <c r="B444" s="162" t="str">
        <f aca="false">IF(Salary_Calculation[[#This Row],[Source Row]]="","",IF(INDEX(Rider_Input[Rider ID],Salary_Calculation[[#This Row],[Source Row]])="","",INDEX(Rider_Input[Rider ID],Salary_Calculation[[#This Row],[Source Row]])))</f>
        <v/>
      </c>
      <c r="C444" s="163" t="str">
        <f aca="false">IF(Salary_Calculation[[#This Row],[Source Row]]="","",IF(INDEX(Rider_Input[Rider Name],Salary_Calculation[[#This Row],[Source Row]])="","",INDEX(Rider_Input[Rider Name],Salary_Calculation[[#This Row],[Source Row]])))</f>
        <v/>
      </c>
      <c r="D444" s="164" t="str">
        <f aca="false">IF(Salary_Calculation[[#This Row],[Source Row]]="","",IF(INDEX(Rider_Input[Basic Payment],Salary_Calculation[[#This Row],[Source Row]])="","",INDEX(Rider_Input[Basic Payment],Salary_Calculation[[#This Row],[Source Row]])))</f>
        <v/>
      </c>
      <c r="E444" s="162" t="str">
        <f aca="false">IF(Salary_Calculation[[#This Row],[Source Row]]="","",IF(INDEX(Rider_Input[Calendar Days in Month],Salary_Calculation[[#This Row],[Source Row]])="","",INDEX(Rider_Input[Calendar Days in Month],Salary_Calculation[[#This Row],[Source Row]])))</f>
        <v/>
      </c>
      <c r="F444" s="162" t="str">
        <f aca="false">IF(Salary_Calculation[[#This Row],[Source Row]]="","",IF(INDEX(Rider_Input[Working Days],Salary_Calculation[[#This Row],[Source Row]])="","",INDEX(Rider_Input[Working Days],Salary_Calculation[[#This Row],[Source Row]])))</f>
        <v/>
      </c>
      <c r="G444" s="165" t="str">
        <f aca="false">IF(Salary_Calculation[[#This Row],[Source Row]]="","",Std_Orders/Std_Days*N(Salary_Calculation[[#This Row],[Calendar Days]]))</f>
        <v/>
      </c>
      <c r="H444" s="165" t="str">
        <f aca="false">IF(Salary_Calculation[[#This Row],[Source Row]]="","",IF(N(Salary_Calculation[[#This Row],[Calendar Days]])&gt;0,Salary_Calculation[[#This Row],[Monthly Target Orders]]/N(Salary_Calculation[[#This Row],[Calendar Days]])*N(Salary_Calculation[[#This Row],[Working Days]]),0))</f>
        <v/>
      </c>
      <c r="I444" s="166" t="str">
        <f aca="false">IF(Salary_Calculation[[#This Row],[Source Row]]="","",IF(INDEX(Rider_Input[Completed Orders],Salary_Calculation[[#This Row],[Source Row]])="","",INDEX(Rider_Input[Completed Orders],Salary_Calculation[[#This Row],[Source Row]])))</f>
        <v/>
      </c>
      <c r="J444" s="165" t="str">
        <f aca="false">IF(Salary_Calculation[[#This Row],[Source Row]]="","",IF(Rate_Method="Fixed rate",Fixed_Rate,IF(N(Salary_Calculation[[#This Row],[Basic Payment]])&gt;0,N(Salary_Calculation[[#This Row],[Basic Payment]])/Std_Orders,0)))</f>
        <v/>
      </c>
      <c r="K444" s="165" t="str">
        <f aca="false">IF(Salary_Calculation[[#This Row],[Source Row]]="","",MAX(MIN(N(Salary_Calculation[[#This Row],[Completed Orders]]),Salary_Calculation[[#This Row],[Rider Target Orders]]),0))</f>
        <v/>
      </c>
      <c r="L444" s="164" t="str">
        <f aca="false">IF(Salary_Calculation[[#This Row],[Source Row]]="","",Salary_Calculation[[#This Row],[Orders Counted at Base Rate]]*Salary_Calculation[[#This Row],[Base Order Rate]])</f>
        <v/>
      </c>
      <c r="M444" s="165" t="str">
        <f aca="false">IF(Salary_Calculation[[#This Row],[Source Row]]="","",MAX(Salary_Calculation[[#This Row],[Rider Target Orders]]-N(Salary_Calculation[[#This Row],[Completed Orders]]),0))</f>
        <v/>
      </c>
      <c r="N444" s="164" t="str">
        <f aca="false">IF(Salary_Calculation[[#This Row],[Source Row]]="","",Salary_Calculation[[#This Row],[Missing Orders]]*Missing_Rate)</f>
        <v/>
      </c>
      <c r="O444" s="165" t="str">
        <f aca="false">IF(Salary_Calculation[[#This Row],[Source Row]]="","",MAX(N(Salary_Calculation[[#This Row],[Completed Orders]])-Salary_Calculation[[#This Row],[Rider Target Orders]],0))</f>
        <v/>
      </c>
      <c r="P444" s="164" t="str">
        <f aca="false">IF(Salary_Calculation[[#This Row],[Source Row]]="","",Salary_Calculation[[#This Row],[Extra Orders]]*Extra_Rate)</f>
        <v/>
      </c>
      <c r="Q444" s="164" t="str">
        <f aca="false">IF(Salary_Calculation[[#This Row],[Source Row]]="","",MAX(Salary_Calculation[[#This Row],[Salary Before Other Deductions]],0))</f>
        <v/>
      </c>
      <c r="R444" s="164" t="str">
        <f aca="false">IF(Salary_Calculation[[#This Row],[Source Row]]="","",N(INDEX(Rider_Input[missed_days_penalty],Salary_Calculation[[#This Row],[Source Row]])))</f>
        <v/>
      </c>
      <c r="S444" s="164" t="str">
        <f aca="false">IF(Salary_Calculation[[#This Row],[Source Row]]="","",N(INDEX(Rider_Input[Rider Balance / محفظة المندوب],Salary_Calculation[[#This Row],[Source Row]])))</f>
        <v/>
      </c>
      <c r="T444" s="164" t="str">
        <f aca="false">IF(Salary_Calculation[[#This Row],[Source Row]]="","",N(INDEX(Rider_Input[stacking_deduction / خصم الطلبات المتعددة],Salary_Calculation[[#This Row],[Source Row]])))</f>
        <v/>
      </c>
      <c r="U444" s="164" t="str">
        <f aca="false">IF(Salary_Calculation[[#This Row],[Source Row]]="","",N(INDEX(Rider_Input[Other Deductions],Salary_Calculation[[#This Row],[Source Row]])))</f>
        <v/>
      </c>
      <c r="V444" s="164" t="str">
        <f aca="false">IF(Salary_Calculation[[#This Row],[Source Row]]="","",N(Salary_Calculation[[#This Row],[missed_days_penalty]])+N(Salary_Calculation[[#This Row],[Rider Balance]])+N(Salary_Calculation[[#This Row],[stacking_deduction]])+N(Salary_Calculation[[#This Row],[Other Deductions]]))</f>
        <v/>
      </c>
      <c r="W444" s="167" t="str">
        <f aca="false">IF(Salary_Calculation[[#This Row],[Source Row]]="","",ROUND(MAX(Salary_Calculation[[#This Row],[Gross Salary Before Deductions]]-Salary_Calculation[[#This Row],[Total Deductions]],0),2))</f>
        <v/>
      </c>
      <c r="X444" s="164" t="str">
        <f aca="false">IF(Salary_Calculation[[#This Row],[Source Row]]="","",ROUND(MAX(Salary_Calculation[[#This Row],[Missing-Order Deduction]]-Salary_Calculation[[#This Row],[Earned Salary]],0),2))</f>
        <v/>
      </c>
      <c r="Y44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44" s="163" t="str">
        <f aca="false">IF(Salary_Calculation[[#This Row],[Source Row]]="","",IF(INDEX(Rider_Input[Notes],Salary_Calculation[[#This Row],[Source Row]])="","",INDEX(Rider_Input[Notes],Salary_Calculation[[#This Row],[Source Row]])))</f>
        <v/>
      </c>
      <c r="AA444" s="164" t="str">
        <f aca="false">IF(Salary_Calculation[[#This Row],[Source Row]]="","",Salary_Calculation[[#This Row],[Earned Salary]]-Salary_Calculation[[#This Row],[Missing-Order Deduction]]+Salary_Calculation[[#This Row],[Extra-Order Bonus]])</f>
        <v/>
      </c>
      <c r="AB444" s="164" t="str">
        <f aca="false">IF(Salary_Calculation[[#This Row],[Source Row]]="","",ROUND(Salary_Calculation[[#This Row],[Negative Balance / Amount Due from Rider]]+MAX(Salary_Calculation[[#This Row],[Total Deductions]]-Salary_Calculation[[#This Row],[Gross Salary Before Deductions]],0),2))</f>
        <v/>
      </c>
      <c r="AC44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44" s="164" t="str">
        <f aca="false">IF(Salary_Calculation[[#This Row],[Source Row]]="","",Salary_Calculation[[#This Row],[Rider Target Orders]]*Salary_Calculation[[#This Row],[Base Order Rate]])</f>
        <v/>
      </c>
      <c r="AE444" s="162" t="str">
        <f aca="false">IF(SUMPRODUCT(--(LEN(INDEX(Rider_Input[#Data],ROW()-ROW(Salary_Calculation[#Headers]),0))&gt;0))=0,"",ROW()-ROW(Salary_Calculation[#Headers]))</f>
        <v/>
      </c>
    </row>
    <row r="445" customFormat="false" ht="14.25" hidden="false" customHeight="false" outlineLevel="0" collapsed="false">
      <c r="A445" s="161" t="str">
        <f aca="false">IF(Salary_Calculation[[#This Row],[Source Row]]="","",IF(INDEX(Rider_Input[Salary Month],Salary_Calculation[[#This Row],[Source Row]])="","",INDEX(Rider_Input[Salary Month],Salary_Calculation[[#This Row],[Source Row]])))</f>
        <v/>
      </c>
      <c r="B445" s="162" t="str">
        <f aca="false">IF(Salary_Calculation[[#This Row],[Source Row]]="","",IF(INDEX(Rider_Input[Rider ID],Salary_Calculation[[#This Row],[Source Row]])="","",INDEX(Rider_Input[Rider ID],Salary_Calculation[[#This Row],[Source Row]])))</f>
        <v/>
      </c>
      <c r="C445" s="163" t="str">
        <f aca="false">IF(Salary_Calculation[[#This Row],[Source Row]]="","",IF(INDEX(Rider_Input[Rider Name],Salary_Calculation[[#This Row],[Source Row]])="","",INDEX(Rider_Input[Rider Name],Salary_Calculation[[#This Row],[Source Row]])))</f>
        <v/>
      </c>
      <c r="D445" s="164" t="str">
        <f aca="false">IF(Salary_Calculation[[#This Row],[Source Row]]="","",IF(INDEX(Rider_Input[Basic Payment],Salary_Calculation[[#This Row],[Source Row]])="","",INDEX(Rider_Input[Basic Payment],Salary_Calculation[[#This Row],[Source Row]])))</f>
        <v/>
      </c>
      <c r="E445" s="162" t="str">
        <f aca="false">IF(Salary_Calculation[[#This Row],[Source Row]]="","",IF(INDEX(Rider_Input[Calendar Days in Month],Salary_Calculation[[#This Row],[Source Row]])="","",INDEX(Rider_Input[Calendar Days in Month],Salary_Calculation[[#This Row],[Source Row]])))</f>
        <v/>
      </c>
      <c r="F445" s="162" t="str">
        <f aca="false">IF(Salary_Calculation[[#This Row],[Source Row]]="","",IF(INDEX(Rider_Input[Working Days],Salary_Calculation[[#This Row],[Source Row]])="","",INDEX(Rider_Input[Working Days],Salary_Calculation[[#This Row],[Source Row]])))</f>
        <v/>
      </c>
      <c r="G445" s="165" t="str">
        <f aca="false">IF(Salary_Calculation[[#This Row],[Source Row]]="","",Std_Orders/Std_Days*N(Salary_Calculation[[#This Row],[Calendar Days]]))</f>
        <v/>
      </c>
      <c r="H445" s="165" t="str">
        <f aca="false">IF(Salary_Calculation[[#This Row],[Source Row]]="","",IF(N(Salary_Calculation[[#This Row],[Calendar Days]])&gt;0,Salary_Calculation[[#This Row],[Monthly Target Orders]]/N(Salary_Calculation[[#This Row],[Calendar Days]])*N(Salary_Calculation[[#This Row],[Working Days]]),0))</f>
        <v/>
      </c>
      <c r="I445" s="166" t="str">
        <f aca="false">IF(Salary_Calculation[[#This Row],[Source Row]]="","",IF(INDEX(Rider_Input[Completed Orders],Salary_Calculation[[#This Row],[Source Row]])="","",INDEX(Rider_Input[Completed Orders],Salary_Calculation[[#This Row],[Source Row]])))</f>
        <v/>
      </c>
      <c r="J445" s="165" t="str">
        <f aca="false">IF(Salary_Calculation[[#This Row],[Source Row]]="","",IF(Rate_Method="Fixed rate",Fixed_Rate,IF(N(Salary_Calculation[[#This Row],[Basic Payment]])&gt;0,N(Salary_Calculation[[#This Row],[Basic Payment]])/Std_Orders,0)))</f>
        <v/>
      </c>
      <c r="K445" s="165" t="str">
        <f aca="false">IF(Salary_Calculation[[#This Row],[Source Row]]="","",MAX(MIN(N(Salary_Calculation[[#This Row],[Completed Orders]]),Salary_Calculation[[#This Row],[Rider Target Orders]]),0))</f>
        <v/>
      </c>
      <c r="L445" s="164" t="str">
        <f aca="false">IF(Salary_Calculation[[#This Row],[Source Row]]="","",Salary_Calculation[[#This Row],[Orders Counted at Base Rate]]*Salary_Calculation[[#This Row],[Base Order Rate]])</f>
        <v/>
      </c>
      <c r="M445" s="165" t="str">
        <f aca="false">IF(Salary_Calculation[[#This Row],[Source Row]]="","",MAX(Salary_Calculation[[#This Row],[Rider Target Orders]]-N(Salary_Calculation[[#This Row],[Completed Orders]]),0))</f>
        <v/>
      </c>
      <c r="N445" s="164" t="str">
        <f aca="false">IF(Salary_Calculation[[#This Row],[Source Row]]="","",Salary_Calculation[[#This Row],[Missing Orders]]*Missing_Rate)</f>
        <v/>
      </c>
      <c r="O445" s="165" t="str">
        <f aca="false">IF(Salary_Calculation[[#This Row],[Source Row]]="","",MAX(N(Salary_Calculation[[#This Row],[Completed Orders]])-Salary_Calculation[[#This Row],[Rider Target Orders]],0))</f>
        <v/>
      </c>
      <c r="P445" s="164" t="str">
        <f aca="false">IF(Salary_Calculation[[#This Row],[Source Row]]="","",Salary_Calculation[[#This Row],[Extra Orders]]*Extra_Rate)</f>
        <v/>
      </c>
      <c r="Q445" s="164" t="str">
        <f aca="false">IF(Salary_Calculation[[#This Row],[Source Row]]="","",MAX(Salary_Calculation[[#This Row],[Salary Before Other Deductions]],0))</f>
        <v/>
      </c>
      <c r="R445" s="164" t="str">
        <f aca="false">IF(Salary_Calculation[[#This Row],[Source Row]]="","",N(INDEX(Rider_Input[missed_days_penalty],Salary_Calculation[[#This Row],[Source Row]])))</f>
        <v/>
      </c>
      <c r="S445" s="164" t="str">
        <f aca="false">IF(Salary_Calculation[[#This Row],[Source Row]]="","",N(INDEX(Rider_Input[Rider Balance / محفظة المندوب],Salary_Calculation[[#This Row],[Source Row]])))</f>
        <v/>
      </c>
      <c r="T445" s="164" t="str">
        <f aca="false">IF(Salary_Calculation[[#This Row],[Source Row]]="","",N(INDEX(Rider_Input[stacking_deduction / خصم الطلبات المتعددة],Salary_Calculation[[#This Row],[Source Row]])))</f>
        <v/>
      </c>
      <c r="U445" s="164" t="str">
        <f aca="false">IF(Salary_Calculation[[#This Row],[Source Row]]="","",N(INDEX(Rider_Input[Other Deductions],Salary_Calculation[[#This Row],[Source Row]])))</f>
        <v/>
      </c>
      <c r="V445" s="164" t="str">
        <f aca="false">IF(Salary_Calculation[[#This Row],[Source Row]]="","",N(Salary_Calculation[[#This Row],[missed_days_penalty]])+N(Salary_Calculation[[#This Row],[Rider Balance]])+N(Salary_Calculation[[#This Row],[stacking_deduction]])+N(Salary_Calculation[[#This Row],[Other Deductions]]))</f>
        <v/>
      </c>
      <c r="W445" s="167" t="str">
        <f aca="false">IF(Salary_Calculation[[#This Row],[Source Row]]="","",ROUND(MAX(Salary_Calculation[[#This Row],[Gross Salary Before Deductions]]-Salary_Calculation[[#This Row],[Total Deductions]],0),2))</f>
        <v/>
      </c>
      <c r="X445" s="164" t="str">
        <f aca="false">IF(Salary_Calculation[[#This Row],[Source Row]]="","",ROUND(MAX(Salary_Calculation[[#This Row],[Missing-Order Deduction]]-Salary_Calculation[[#This Row],[Earned Salary]],0),2))</f>
        <v/>
      </c>
      <c r="Y44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45" s="163" t="str">
        <f aca="false">IF(Salary_Calculation[[#This Row],[Source Row]]="","",IF(INDEX(Rider_Input[Notes],Salary_Calculation[[#This Row],[Source Row]])="","",INDEX(Rider_Input[Notes],Salary_Calculation[[#This Row],[Source Row]])))</f>
        <v/>
      </c>
      <c r="AA445" s="164" t="str">
        <f aca="false">IF(Salary_Calculation[[#This Row],[Source Row]]="","",Salary_Calculation[[#This Row],[Earned Salary]]-Salary_Calculation[[#This Row],[Missing-Order Deduction]]+Salary_Calculation[[#This Row],[Extra-Order Bonus]])</f>
        <v/>
      </c>
      <c r="AB445" s="164" t="str">
        <f aca="false">IF(Salary_Calculation[[#This Row],[Source Row]]="","",ROUND(Salary_Calculation[[#This Row],[Negative Balance / Amount Due from Rider]]+MAX(Salary_Calculation[[#This Row],[Total Deductions]]-Salary_Calculation[[#This Row],[Gross Salary Before Deductions]],0),2))</f>
        <v/>
      </c>
      <c r="AC44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45" s="164" t="str">
        <f aca="false">IF(Salary_Calculation[[#This Row],[Source Row]]="","",Salary_Calculation[[#This Row],[Rider Target Orders]]*Salary_Calculation[[#This Row],[Base Order Rate]])</f>
        <v/>
      </c>
      <c r="AE445" s="162" t="str">
        <f aca="false">IF(SUMPRODUCT(--(LEN(INDEX(Rider_Input[#Data],ROW()-ROW(Salary_Calculation[#Headers]),0))&gt;0))=0,"",ROW()-ROW(Salary_Calculation[#Headers]))</f>
        <v/>
      </c>
    </row>
    <row r="446" customFormat="false" ht="14.25" hidden="false" customHeight="false" outlineLevel="0" collapsed="false">
      <c r="A446" s="161" t="str">
        <f aca="false">IF(Salary_Calculation[[#This Row],[Source Row]]="","",IF(INDEX(Rider_Input[Salary Month],Salary_Calculation[[#This Row],[Source Row]])="","",INDEX(Rider_Input[Salary Month],Salary_Calculation[[#This Row],[Source Row]])))</f>
        <v/>
      </c>
      <c r="B446" s="162" t="str">
        <f aca="false">IF(Salary_Calculation[[#This Row],[Source Row]]="","",IF(INDEX(Rider_Input[Rider ID],Salary_Calculation[[#This Row],[Source Row]])="","",INDEX(Rider_Input[Rider ID],Salary_Calculation[[#This Row],[Source Row]])))</f>
        <v/>
      </c>
      <c r="C446" s="163" t="str">
        <f aca="false">IF(Salary_Calculation[[#This Row],[Source Row]]="","",IF(INDEX(Rider_Input[Rider Name],Salary_Calculation[[#This Row],[Source Row]])="","",INDEX(Rider_Input[Rider Name],Salary_Calculation[[#This Row],[Source Row]])))</f>
        <v/>
      </c>
      <c r="D446" s="164" t="str">
        <f aca="false">IF(Salary_Calculation[[#This Row],[Source Row]]="","",IF(INDEX(Rider_Input[Basic Payment],Salary_Calculation[[#This Row],[Source Row]])="","",INDEX(Rider_Input[Basic Payment],Salary_Calculation[[#This Row],[Source Row]])))</f>
        <v/>
      </c>
      <c r="E446" s="162" t="str">
        <f aca="false">IF(Salary_Calculation[[#This Row],[Source Row]]="","",IF(INDEX(Rider_Input[Calendar Days in Month],Salary_Calculation[[#This Row],[Source Row]])="","",INDEX(Rider_Input[Calendar Days in Month],Salary_Calculation[[#This Row],[Source Row]])))</f>
        <v/>
      </c>
      <c r="F446" s="162" t="str">
        <f aca="false">IF(Salary_Calculation[[#This Row],[Source Row]]="","",IF(INDEX(Rider_Input[Working Days],Salary_Calculation[[#This Row],[Source Row]])="","",INDEX(Rider_Input[Working Days],Salary_Calculation[[#This Row],[Source Row]])))</f>
        <v/>
      </c>
      <c r="G446" s="165" t="str">
        <f aca="false">IF(Salary_Calculation[[#This Row],[Source Row]]="","",Std_Orders/Std_Days*N(Salary_Calculation[[#This Row],[Calendar Days]]))</f>
        <v/>
      </c>
      <c r="H446" s="165" t="str">
        <f aca="false">IF(Salary_Calculation[[#This Row],[Source Row]]="","",IF(N(Salary_Calculation[[#This Row],[Calendar Days]])&gt;0,Salary_Calculation[[#This Row],[Monthly Target Orders]]/N(Salary_Calculation[[#This Row],[Calendar Days]])*N(Salary_Calculation[[#This Row],[Working Days]]),0))</f>
        <v/>
      </c>
      <c r="I446" s="166" t="str">
        <f aca="false">IF(Salary_Calculation[[#This Row],[Source Row]]="","",IF(INDEX(Rider_Input[Completed Orders],Salary_Calculation[[#This Row],[Source Row]])="","",INDEX(Rider_Input[Completed Orders],Salary_Calculation[[#This Row],[Source Row]])))</f>
        <v/>
      </c>
      <c r="J446" s="165" t="str">
        <f aca="false">IF(Salary_Calculation[[#This Row],[Source Row]]="","",IF(Rate_Method="Fixed rate",Fixed_Rate,IF(N(Salary_Calculation[[#This Row],[Basic Payment]])&gt;0,N(Salary_Calculation[[#This Row],[Basic Payment]])/Std_Orders,0)))</f>
        <v/>
      </c>
      <c r="K446" s="165" t="str">
        <f aca="false">IF(Salary_Calculation[[#This Row],[Source Row]]="","",MAX(MIN(N(Salary_Calculation[[#This Row],[Completed Orders]]),Salary_Calculation[[#This Row],[Rider Target Orders]]),0))</f>
        <v/>
      </c>
      <c r="L446" s="164" t="str">
        <f aca="false">IF(Salary_Calculation[[#This Row],[Source Row]]="","",Salary_Calculation[[#This Row],[Orders Counted at Base Rate]]*Salary_Calculation[[#This Row],[Base Order Rate]])</f>
        <v/>
      </c>
      <c r="M446" s="165" t="str">
        <f aca="false">IF(Salary_Calculation[[#This Row],[Source Row]]="","",MAX(Salary_Calculation[[#This Row],[Rider Target Orders]]-N(Salary_Calculation[[#This Row],[Completed Orders]]),0))</f>
        <v/>
      </c>
      <c r="N446" s="164" t="str">
        <f aca="false">IF(Salary_Calculation[[#This Row],[Source Row]]="","",Salary_Calculation[[#This Row],[Missing Orders]]*Missing_Rate)</f>
        <v/>
      </c>
      <c r="O446" s="165" t="str">
        <f aca="false">IF(Salary_Calculation[[#This Row],[Source Row]]="","",MAX(N(Salary_Calculation[[#This Row],[Completed Orders]])-Salary_Calculation[[#This Row],[Rider Target Orders]],0))</f>
        <v/>
      </c>
      <c r="P446" s="164" t="str">
        <f aca="false">IF(Salary_Calculation[[#This Row],[Source Row]]="","",Salary_Calculation[[#This Row],[Extra Orders]]*Extra_Rate)</f>
        <v/>
      </c>
      <c r="Q446" s="164" t="str">
        <f aca="false">IF(Salary_Calculation[[#This Row],[Source Row]]="","",MAX(Salary_Calculation[[#This Row],[Salary Before Other Deductions]],0))</f>
        <v/>
      </c>
      <c r="R446" s="164" t="str">
        <f aca="false">IF(Salary_Calculation[[#This Row],[Source Row]]="","",N(INDEX(Rider_Input[missed_days_penalty],Salary_Calculation[[#This Row],[Source Row]])))</f>
        <v/>
      </c>
      <c r="S446" s="164" t="str">
        <f aca="false">IF(Salary_Calculation[[#This Row],[Source Row]]="","",N(INDEX(Rider_Input[Rider Balance / محفظة المندوب],Salary_Calculation[[#This Row],[Source Row]])))</f>
        <v/>
      </c>
      <c r="T446" s="164" t="str">
        <f aca="false">IF(Salary_Calculation[[#This Row],[Source Row]]="","",N(INDEX(Rider_Input[stacking_deduction / خصم الطلبات المتعددة],Salary_Calculation[[#This Row],[Source Row]])))</f>
        <v/>
      </c>
      <c r="U446" s="164" t="str">
        <f aca="false">IF(Salary_Calculation[[#This Row],[Source Row]]="","",N(INDEX(Rider_Input[Other Deductions],Salary_Calculation[[#This Row],[Source Row]])))</f>
        <v/>
      </c>
      <c r="V446" s="164" t="str">
        <f aca="false">IF(Salary_Calculation[[#This Row],[Source Row]]="","",N(Salary_Calculation[[#This Row],[missed_days_penalty]])+N(Salary_Calculation[[#This Row],[Rider Balance]])+N(Salary_Calculation[[#This Row],[stacking_deduction]])+N(Salary_Calculation[[#This Row],[Other Deductions]]))</f>
        <v/>
      </c>
      <c r="W446" s="167" t="str">
        <f aca="false">IF(Salary_Calculation[[#This Row],[Source Row]]="","",ROUND(MAX(Salary_Calculation[[#This Row],[Gross Salary Before Deductions]]-Salary_Calculation[[#This Row],[Total Deductions]],0),2))</f>
        <v/>
      </c>
      <c r="X446" s="164" t="str">
        <f aca="false">IF(Salary_Calculation[[#This Row],[Source Row]]="","",ROUND(MAX(Salary_Calculation[[#This Row],[Missing-Order Deduction]]-Salary_Calculation[[#This Row],[Earned Salary]],0),2))</f>
        <v/>
      </c>
      <c r="Y44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46" s="163" t="str">
        <f aca="false">IF(Salary_Calculation[[#This Row],[Source Row]]="","",IF(INDEX(Rider_Input[Notes],Salary_Calculation[[#This Row],[Source Row]])="","",INDEX(Rider_Input[Notes],Salary_Calculation[[#This Row],[Source Row]])))</f>
        <v/>
      </c>
      <c r="AA446" s="164" t="str">
        <f aca="false">IF(Salary_Calculation[[#This Row],[Source Row]]="","",Salary_Calculation[[#This Row],[Earned Salary]]-Salary_Calculation[[#This Row],[Missing-Order Deduction]]+Salary_Calculation[[#This Row],[Extra-Order Bonus]])</f>
        <v/>
      </c>
      <c r="AB446" s="164" t="str">
        <f aca="false">IF(Salary_Calculation[[#This Row],[Source Row]]="","",ROUND(Salary_Calculation[[#This Row],[Negative Balance / Amount Due from Rider]]+MAX(Salary_Calculation[[#This Row],[Total Deductions]]-Salary_Calculation[[#This Row],[Gross Salary Before Deductions]],0),2))</f>
        <v/>
      </c>
      <c r="AC44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46" s="164" t="str">
        <f aca="false">IF(Salary_Calculation[[#This Row],[Source Row]]="","",Salary_Calculation[[#This Row],[Rider Target Orders]]*Salary_Calculation[[#This Row],[Base Order Rate]])</f>
        <v/>
      </c>
      <c r="AE446" s="162" t="str">
        <f aca="false">IF(SUMPRODUCT(--(LEN(INDEX(Rider_Input[#Data],ROW()-ROW(Salary_Calculation[#Headers]),0))&gt;0))=0,"",ROW()-ROW(Salary_Calculation[#Headers]))</f>
        <v/>
      </c>
    </row>
    <row r="447" customFormat="false" ht="14.25" hidden="false" customHeight="false" outlineLevel="0" collapsed="false">
      <c r="A447" s="161" t="str">
        <f aca="false">IF(Salary_Calculation[[#This Row],[Source Row]]="","",IF(INDEX(Rider_Input[Salary Month],Salary_Calculation[[#This Row],[Source Row]])="","",INDEX(Rider_Input[Salary Month],Salary_Calculation[[#This Row],[Source Row]])))</f>
        <v/>
      </c>
      <c r="B447" s="162" t="str">
        <f aca="false">IF(Salary_Calculation[[#This Row],[Source Row]]="","",IF(INDEX(Rider_Input[Rider ID],Salary_Calculation[[#This Row],[Source Row]])="","",INDEX(Rider_Input[Rider ID],Salary_Calculation[[#This Row],[Source Row]])))</f>
        <v/>
      </c>
      <c r="C447" s="163" t="str">
        <f aca="false">IF(Salary_Calculation[[#This Row],[Source Row]]="","",IF(INDEX(Rider_Input[Rider Name],Salary_Calculation[[#This Row],[Source Row]])="","",INDEX(Rider_Input[Rider Name],Salary_Calculation[[#This Row],[Source Row]])))</f>
        <v/>
      </c>
      <c r="D447" s="164" t="str">
        <f aca="false">IF(Salary_Calculation[[#This Row],[Source Row]]="","",IF(INDEX(Rider_Input[Basic Payment],Salary_Calculation[[#This Row],[Source Row]])="","",INDEX(Rider_Input[Basic Payment],Salary_Calculation[[#This Row],[Source Row]])))</f>
        <v/>
      </c>
      <c r="E447" s="162" t="str">
        <f aca="false">IF(Salary_Calculation[[#This Row],[Source Row]]="","",IF(INDEX(Rider_Input[Calendar Days in Month],Salary_Calculation[[#This Row],[Source Row]])="","",INDEX(Rider_Input[Calendar Days in Month],Salary_Calculation[[#This Row],[Source Row]])))</f>
        <v/>
      </c>
      <c r="F447" s="162" t="str">
        <f aca="false">IF(Salary_Calculation[[#This Row],[Source Row]]="","",IF(INDEX(Rider_Input[Working Days],Salary_Calculation[[#This Row],[Source Row]])="","",INDEX(Rider_Input[Working Days],Salary_Calculation[[#This Row],[Source Row]])))</f>
        <v/>
      </c>
      <c r="G447" s="165" t="str">
        <f aca="false">IF(Salary_Calculation[[#This Row],[Source Row]]="","",Std_Orders/Std_Days*N(Salary_Calculation[[#This Row],[Calendar Days]]))</f>
        <v/>
      </c>
      <c r="H447" s="165" t="str">
        <f aca="false">IF(Salary_Calculation[[#This Row],[Source Row]]="","",IF(N(Salary_Calculation[[#This Row],[Calendar Days]])&gt;0,Salary_Calculation[[#This Row],[Monthly Target Orders]]/N(Salary_Calculation[[#This Row],[Calendar Days]])*N(Salary_Calculation[[#This Row],[Working Days]]),0))</f>
        <v/>
      </c>
      <c r="I447" s="166" t="str">
        <f aca="false">IF(Salary_Calculation[[#This Row],[Source Row]]="","",IF(INDEX(Rider_Input[Completed Orders],Salary_Calculation[[#This Row],[Source Row]])="","",INDEX(Rider_Input[Completed Orders],Salary_Calculation[[#This Row],[Source Row]])))</f>
        <v/>
      </c>
      <c r="J447" s="165" t="str">
        <f aca="false">IF(Salary_Calculation[[#This Row],[Source Row]]="","",IF(Rate_Method="Fixed rate",Fixed_Rate,IF(N(Salary_Calculation[[#This Row],[Basic Payment]])&gt;0,N(Salary_Calculation[[#This Row],[Basic Payment]])/Std_Orders,0)))</f>
        <v/>
      </c>
      <c r="K447" s="165" t="str">
        <f aca="false">IF(Salary_Calculation[[#This Row],[Source Row]]="","",MAX(MIN(N(Salary_Calculation[[#This Row],[Completed Orders]]),Salary_Calculation[[#This Row],[Rider Target Orders]]),0))</f>
        <v/>
      </c>
      <c r="L447" s="164" t="str">
        <f aca="false">IF(Salary_Calculation[[#This Row],[Source Row]]="","",Salary_Calculation[[#This Row],[Orders Counted at Base Rate]]*Salary_Calculation[[#This Row],[Base Order Rate]])</f>
        <v/>
      </c>
      <c r="M447" s="165" t="str">
        <f aca="false">IF(Salary_Calculation[[#This Row],[Source Row]]="","",MAX(Salary_Calculation[[#This Row],[Rider Target Orders]]-N(Salary_Calculation[[#This Row],[Completed Orders]]),0))</f>
        <v/>
      </c>
      <c r="N447" s="164" t="str">
        <f aca="false">IF(Salary_Calculation[[#This Row],[Source Row]]="","",Salary_Calculation[[#This Row],[Missing Orders]]*Missing_Rate)</f>
        <v/>
      </c>
      <c r="O447" s="165" t="str">
        <f aca="false">IF(Salary_Calculation[[#This Row],[Source Row]]="","",MAX(N(Salary_Calculation[[#This Row],[Completed Orders]])-Salary_Calculation[[#This Row],[Rider Target Orders]],0))</f>
        <v/>
      </c>
      <c r="P447" s="164" t="str">
        <f aca="false">IF(Salary_Calculation[[#This Row],[Source Row]]="","",Salary_Calculation[[#This Row],[Extra Orders]]*Extra_Rate)</f>
        <v/>
      </c>
      <c r="Q447" s="164" t="str">
        <f aca="false">IF(Salary_Calculation[[#This Row],[Source Row]]="","",MAX(Salary_Calculation[[#This Row],[Salary Before Other Deductions]],0))</f>
        <v/>
      </c>
      <c r="R447" s="164" t="str">
        <f aca="false">IF(Salary_Calculation[[#This Row],[Source Row]]="","",N(INDEX(Rider_Input[missed_days_penalty],Salary_Calculation[[#This Row],[Source Row]])))</f>
        <v/>
      </c>
      <c r="S447" s="164" t="str">
        <f aca="false">IF(Salary_Calculation[[#This Row],[Source Row]]="","",N(INDEX(Rider_Input[Rider Balance / محفظة المندوب],Salary_Calculation[[#This Row],[Source Row]])))</f>
        <v/>
      </c>
      <c r="T447" s="164" t="str">
        <f aca="false">IF(Salary_Calculation[[#This Row],[Source Row]]="","",N(INDEX(Rider_Input[stacking_deduction / خصم الطلبات المتعددة],Salary_Calculation[[#This Row],[Source Row]])))</f>
        <v/>
      </c>
      <c r="U447" s="164" t="str">
        <f aca="false">IF(Salary_Calculation[[#This Row],[Source Row]]="","",N(INDEX(Rider_Input[Other Deductions],Salary_Calculation[[#This Row],[Source Row]])))</f>
        <v/>
      </c>
      <c r="V447" s="164" t="str">
        <f aca="false">IF(Salary_Calculation[[#This Row],[Source Row]]="","",N(Salary_Calculation[[#This Row],[missed_days_penalty]])+N(Salary_Calculation[[#This Row],[Rider Balance]])+N(Salary_Calculation[[#This Row],[stacking_deduction]])+N(Salary_Calculation[[#This Row],[Other Deductions]]))</f>
        <v/>
      </c>
      <c r="W447" s="167" t="str">
        <f aca="false">IF(Salary_Calculation[[#This Row],[Source Row]]="","",ROUND(MAX(Salary_Calculation[[#This Row],[Gross Salary Before Deductions]]-Salary_Calculation[[#This Row],[Total Deductions]],0),2))</f>
        <v/>
      </c>
      <c r="X447" s="164" t="str">
        <f aca="false">IF(Salary_Calculation[[#This Row],[Source Row]]="","",ROUND(MAX(Salary_Calculation[[#This Row],[Missing-Order Deduction]]-Salary_Calculation[[#This Row],[Earned Salary]],0),2))</f>
        <v/>
      </c>
      <c r="Y44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47" s="163" t="str">
        <f aca="false">IF(Salary_Calculation[[#This Row],[Source Row]]="","",IF(INDEX(Rider_Input[Notes],Salary_Calculation[[#This Row],[Source Row]])="","",INDEX(Rider_Input[Notes],Salary_Calculation[[#This Row],[Source Row]])))</f>
        <v/>
      </c>
      <c r="AA447" s="164" t="str">
        <f aca="false">IF(Salary_Calculation[[#This Row],[Source Row]]="","",Salary_Calculation[[#This Row],[Earned Salary]]-Salary_Calculation[[#This Row],[Missing-Order Deduction]]+Salary_Calculation[[#This Row],[Extra-Order Bonus]])</f>
        <v/>
      </c>
      <c r="AB447" s="164" t="str">
        <f aca="false">IF(Salary_Calculation[[#This Row],[Source Row]]="","",ROUND(Salary_Calculation[[#This Row],[Negative Balance / Amount Due from Rider]]+MAX(Salary_Calculation[[#This Row],[Total Deductions]]-Salary_Calculation[[#This Row],[Gross Salary Before Deductions]],0),2))</f>
        <v/>
      </c>
      <c r="AC44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47" s="164" t="str">
        <f aca="false">IF(Salary_Calculation[[#This Row],[Source Row]]="","",Salary_Calculation[[#This Row],[Rider Target Orders]]*Salary_Calculation[[#This Row],[Base Order Rate]])</f>
        <v/>
      </c>
      <c r="AE447" s="162" t="str">
        <f aca="false">IF(SUMPRODUCT(--(LEN(INDEX(Rider_Input[#Data],ROW()-ROW(Salary_Calculation[#Headers]),0))&gt;0))=0,"",ROW()-ROW(Salary_Calculation[#Headers]))</f>
        <v/>
      </c>
    </row>
    <row r="448" customFormat="false" ht="14.25" hidden="false" customHeight="false" outlineLevel="0" collapsed="false">
      <c r="A448" s="161" t="str">
        <f aca="false">IF(Salary_Calculation[[#This Row],[Source Row]]="","",IF(INDEX(Rider_Input[Salary Month],Salary_Calculation[[#This Row],[Source Row]])="","",INDEX(Rider_Input[Salary Month],Salary_Calculation[[#This Row],[Source Row]])))</f>
        <v/>
      </c>
      <c r="B448" s="162" t="str">
        <f aca="false">IF(Salary_Calculation[[#This Row],[Source Row]]="","",IF(INDEX(Rider_Input[Rider ID],Salary_Calculation[[#This Row],[Source Row]])="","",INDEX(Rider_Input[Rider ID],Salary_Calculation[[#This Row],[Source Row]])))</f>
        <v/>
      </c>
      <c r="C448" s="163" t="str">
        <f aca="false">IF(Salary_Calculation[[#This Row],[Source Row]]="","",IF(INDEX(Rider_Input[Rider Name],Salary_Calculation[[#This Row],[Source Row]])="","",INDEX(Rider_Input[Rider Name],Salary_Calculation[[#This Row],[Source Row]])))</f>
        <v/>
      </c>
      <c r="D448" s="164" t="str">
        <f aca="false">IF(Salary_Calculation[[#This Row],[Source Row]]="","",IF(INDEX(Rider_Input[Basic Payment],Salary_Calculation[[#This Row],[Source Row]])="","",INDEX(Rider_Input[Basic Payment],Salary_Calculation[[#This Row],[Source Row]])))</f>
        <v/>
      </c>
      <c r="E448" s="162" t="str">
        <f aca="false">IF(Salary_Calculation[[#This Row],[Source Row]]="","",IF(INDEX(Rider_Input[Calendar Days in Month],Salary_Calculation[[#This Row],[Source Row]])="","",INDEX(Rider_Input[Calendar Days in Month],Salary_Calculation[[#This Row],[Source Row]])))</f>
        <v/>
      </c>
      <c r="F448" s="162" t="str">
        <f aca="false">IF(Salary_Calculation[[#This Row],[Source Row]]="","",IF(INDEX(Rider_Input[Working Days],Salary_Calculation[[#This Row],[Source Row]])="","",INDEX(Rider_Input[Working Days],Salary_Calculation[[#This Row],[Source Row]])))</f>
        <v/>
      </c>
      <c r="G448" s="165" t="str">
        <f aca="false">IF(Salary_Calculation[[#This Row],[Source Row]]="","",Std_Orders/Std_Days*N(Salary_Calculation[[#This Row],[Calendar Days]]))</f>
        <v/>
      </c>
      <c r="H448" s="165" t="str">
        <f aca="false">IF(Salary_Calculation[[#This Row],[Source Row]]="","",IF(N(Salary_Calculation[[#This Row],[Calendar Days]])&gt;0,Salary_Calculation[[#This Row],[Monthly Target Orders]]/N(Salary_Calculation[[#This Row],[Calendar Days]])*N(Salary_Calculation[[#This Row],[Working Days]]),0))</f>
        <v/>
      </c>
      <c r="I448" s="166" t="str">
        <f aca="false">IF(Salary_Calculation[[#This Row],[Source Row]]="","",IF(INDEX(Rider_Input[Completed Orders],Salary_Calculation[[#This Row],[Source Row]])="","",INDEX(Rider_Input[Completed Orders],Salary_Calculation[[#This Row],[Source Row]])))</f>
        <v/>
      </c>
      <c r="J448" s="165" t="str">
        <f aca="false">IF(Salary_Calculation[[#This Row],[Source Row]]="","",IF(Rate_Method="Fixed rate",Fixed_Rate,IF(N(Salary_Calculation[[#This Row],[Basic Payment]])&gt;0,N(Salary_Calculation[[#This Row],[Basic Payment]])/Std_Orders,0)))</f>
        <v/>
      </c>
      <c r="K448" s="165" t="str">
        <f aca="false">IF(Salary_Calculation[[#This Row],[Source Row]]="","",MAX(MIN(N(Salary_Calculation[[#This Row],[Completed Orders]]),Salary_Calculation[[#This Row],[Rider Target Orders]]),0))</f>
        <v/>
      </c>
      <c r="L448" s="164" t="str">
        <f aca="false">IF(Salary_Calculation[[#This Row],[Source Row]]="","",Salary_Calculation[[#This Row],[Orders Counted at Base Rate]]*Salary_Calculation[[#This Row],[Base Order Rate]])</f>
        <v/>
      </c>
      <c r="M448" s="165" t="str">
        <f aca="false">IF(Salary_Calculation[[#This Row],[Source Row]]="","",MAX(Salary_Calculation[[#This Row],[Rider Target Orders]]-N(Salary_Calculation[[#This Row],[Completed Orders]]),0))</f>
        <v/>
      </c>
      <c r="N448" s="164" t="str">
        <f aca="false">IF(Salary_Calculation[[#This Row],[Source Row]]="","",Salary_Calculation[[#This Row],[Missing Orders]]*Missing_Rate)</f>
        <v/>
      </c>
      <c r="O448" s="165" t="str">
        <f aca="false">IF(Salary_Calculation[[#This Row],[Source Row]]="","",MAX(N(Salary_Calculation[[#This Row],[Completed Orders]])-Salary_Calculation[[#This Row],[Rider Target Orders]],0))</f>
        <v/>
      </c>
      <c r="P448" s="164" t="str">
        <f aca="false">IF(Salary_Calculation[[#This Row],[Source Row]]="","",Salary_Calculation[[#This Row],[Extra Orders]]*Extra_Rate)</f>
        <v/>
      </c>
      <c r="Q448" s="164" t="str">
        <f aca="false">IF(Salary_Calculation[[#This Row],[Source Row]]="","",MAX(Salary_Calculation[[#This Row],[Salary Before Other Deductions]],0))</f>
        <v/>
      </c>
      <c r="R448" s="164" t="str">
        <f aca="false">IF(Salary_Calculation[[#This Row],[Source Row]]="","",N(INDEX(Rider_Input[missed_days_penalty],Salary_Calculation[[#This Row],[Source Row]])))</f>
        <v/>
      </c>
      <c r="S448" s="164" t="str">
        <f aca="false">IF(Salary_Calculation[[#This Row],[Source Row]]="","",N(INDEX(Rider_Input[Rider Balance / محفظة المندوب],Salary_Calculation[[#This Row],[Source Row]])))</f>
        <v/>
      </c>
      <c r="T448" s="164" t="str">
        <f aca="false">IF(Salary_Calculation[[#This Row],[Source Row]]="","",N(INDEX(Rider_Input[stacking_deduction / خصم الطلبات المتعددة],Salary_Calculation[[#This Row],[Source Row]])))</f>
        <v/>
      </c>
      <c r="U448" s="164" t="str">
        <f aca="false">IF(Salary_Calculation[[#This Row],[Source Row]]="","",N(INDEX(Rider_Input[Other Deductions],Salary_Calculation[[#This Row],[Source Row]])))</f>
        <v/>
      </c>
      <c r="V448" s="164" t="str">
        <f aca="false">IF(Salary_Calculation[[#This Row],[Source Row]]="","",N(Salary_Calculation[[#This Row],[missed_days_penalty]])+N(Salary_Calculation[[#This Row],[Rider Balance]])+N(Salary_Calculation[[#This Row],[stacking_deduction]])+N(Salary_Calculation[[#This Row],[Other Deductions]]))</f>
        <v/>
      </c>
      <c r="W448" s="167" t="str">
        <f aca="false">IF(Salary_Calculation[[#This Row],[Source Row]]="","",ROUND(MAX(Salary_Calculation[[#This Row],[Gross Salary Before Deductions]]-Salary_Calculation[[#This Row],[Total Deductions]],0),2))</f>
        <v/>
      </c>
      <c r="X448" s="164" t="str">
        <f aca="false">IF(Salary_Calculation[[#This Row],[Source Row]]="","",ROUND(MAX(Salary_Calculation[[#This Row],[Missing-Order Deduction]]-Salary_Calculation[[#This Row],[Earned Salary]],0),2))</f>
        <v/>
      </c>
      <c r="Y44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48" s="163" t="str">
        <f aca="false">IF(Salary_Calculation[[#This Row],[Source Row]]="","",IF(INDEX(Rider_Input[Notes],Salary_Calculation[[#This Row],[Source Row]])="","",INDEX(Rider_Input[Notes],Salary_Calculation[[#This Row],[Source Row]])))</f>
        <v/>
      </c>
      <c r="AA448" s="164" t="str">
        <f aca="false">IF(Salary_Calculation[[#This Row],[Source Row]]="","",Salary_Calculation[[#This Row],[Earned Salary]]-Salary_Calculation[[#This Row],[Missing-Order Deduction]]+Salary_Calculation[[#This Row],[Extra-Order Bonus]])</f>
        <v/>
      </c>
      <c r="AB448" s="164" t="str">
        <f aca="false">IF(Salary_Calculation[[#This Row],[Source Row]]="","",ROUND(Salary_Calculation[[#This Row],[Negative Balance / Amount Due from Rider]]+MAX(Salary_Calculation[[#This Row],[Total Deductions]]-Salary_Calculation[[#This Row],[Gross Salary Before Deductions]],0),2))</f>
        <v/>
      </c>
      <c r="AC44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48" s="164" t="str">
        <f aca="false">IF(Salary_Calculation[[#This Row],[Source Row]]="","",Salary_Calculation[[#This Row],[Rider Target Orders]]*Salary_Calculation[[#This Row],[Base Order Rate]])</f>
        <v/>
      </c>
      <c r="AE448" s="162" t="str">
        <f aca="false">IF(SUMPRODUCT(--(LEN(INDEX(Rider_Input[#Data],ROW()-ROW(Salary_Calculation[#Headers]),0))&gt;0))=0,"",ROW()-ROW(Salary_Calculation[#Headers]))</f>
        <v/>
      </c>
    </row>
    <row r="449" customFormat="false" ht="14.25" hidden="false" customHeight="false" outlineLevel="0" collapsed="false">
      <c r="A449" s="161" t="str">
        <f aca="false">IF(Salary_Calculation[[#This Row],[Source Row]]="","",IF(INDEX(Rider_Input[Salary Month],Salary_Calculation[[#This Row],[Source Row]])="","",INDEX(Rider_Input[Salary Month],Salary_Calculation[[#This Row],[Source Row]])))</f>
        <v/>
      </c>
      <c r="B449" s="162" t="str">
        <f aca="false">IF(Salary_Calculation[[#This Row],[Source Row]]="","",IF(INDEX(Rider_Input[Rider ID],Salary_Calculation[[#This Row],[Source Row]])="","",INDEX(Rider_Input[Rider ID],Salary_Calculation[[#This Row],[Source Row]])))</f>
        <v/>
      </c>
      <c r="C449" s="163" t="str">
        <f aca="false">IF(Salary_Calculation[[#This Row],[Source Row]]="","",IF(INDEX(Rider_Input[Rider Name],Salary_Calculation[[#This Row],[Source Row]])="","",INDEX(Rider_Input[Rider Name],Salary_Calculation[[#This Row],[Source Row]])))</f>
        <v/>
      </c>
      <c r="D449" s="164" t="str">
        <f aca="false">IF(Salary_Calculation[[#This Row],[Source Row]]="","",IF(INDEX(Rider_Input[Basic Payment],Salary_Calculation[[#This Row],[Source Row]])="","",INDEX(Rider_Input[Basic Payment],Salary_Calculation[[#This Row],[Source Row]])))</f>
        <v/>
      </c>
      <c r="E449" s="162" t="str">
        <f aca="false">IF(Salary_Calculation[[#This Row],[Source Row]]="","",IF(INDEX(Rider_Input[Calendar Days in Month],Salary_Calculation[[#This Row],[Source Row]])="","",INDEX(Rider_Input[Calendar Days in Month],Salary_Calculation[[#This Row],[Source Row]])))</f>
        <v/>
      </c>
      <c r="F449" s="162" t="str">
        <f aca="false">IF(Salary_Calculation[[#This Row],[Source Row]]="","",IF(INDEX(Rider_Input[Working Days],Salary_Calculation[[#This Row],[Source Row]])="","",INDEX(Rider_Input[Working Days],Salary_Calculation[[#This Row],[Source Row]])))</f>
        <v/>
      </c>
      <c r="G449" s="165" t="str">
        <f aca="false">IF(Salary_Calculation[[#This Row],[Source Row]]="","",Std_Orders/Std_Days*N(Salary_Calculation[[#This Row],[Calendar Days]]))</f>
        <v/>
      </c>
      <c r="H449" s="165" t="str">
        <f aca="false">IF(Salary_Calculation[[#This Row],[Source Row]]="","",IF(N(Salary_Calculation[[#This Row],[Calendar Days]])&gt;0,Salary_Calculation[[#This Row],[Monthly Target Orders]]/N(Salary_Calculation[[#This Row],[Calendar Days]])*N(Salary_Calculation[[#This Row],[Working Days]]),0))</f>
        <v/>
      </c>
      <c r="I449" s="166" t="str">
        <f aca="false">IF(Salary_Calculation[[#This Row],[Source Row]]="","",IF(INDEX(Rider_Input[Completed Orders],Salary_Calculation[[#This Row],[Source Row]])="","",INDEX(Rider_Input[Completed Orders],Salary_Calculation[[#This Row],[Source Row]])))</f>
        <v/>
      </c>
      <c r="J449" s="165" t="str">
        <f aca="false">IF(Salary_Calculation[[#This Row],[Source Row]]="","",IF(Rate_Method="Fixed rate",Fixed_Rate,IF(N(Salary_Calculation[[#This Row],[Basic Payment]])&gt;0,N(Salary_Calculation[[#This Row],[Basic Payment]])/Std_Orders,0)))</f>
        <v/>
      </c>
      <c r="K449" s="165" t="str">
        <f aca="false">IF(Salary_Calculation[[#This Row],[Source Row]]="","",MAX(MIN(N(Salary_Calculation[[#This Row],[Completed Orders]]),Salary_Calculation[[#This Row],[Rider Target Orders]]),0))</f>
        <v/>
      </c>
      <c r="L449" s="164" t="str">
        <f aca="false">IF(Salary_Calculation[[#This Row],[Source Row]]="","",Salary_Calculation[[#This Row],[Orders Counted at Base Rate]]*Salary_Calculation[[#This Row],[Base Order Rate]])</f>
        <v/>
      </c>
      <c r="M449" s="165" t="str">
        <f aca="false">IF(Salary_Calculation[[#This Row],[Source Row]]="","",MAX(Salary_Calculation[[#This Row],[Rider Target Orders]]-N(Salary_Calculation[[#This Row],[Completed Orders]]),0))</f>
        <v/>
      </c>
      <c r="N449" s="164" t="str">
        <f aca="false">IF(Salary_Calculation[[#This Row],[Source Row]]="","",Salary_Calculation[[#This Row],[Missing Orders]]*Missing_Rate)</f>
        <v/>
      </c>
      <c r="O449" s="165" t="str">
        <f aca="false">IF(Salary_Calculation[[#This Row],[Source Row]]="","",MAX(N(Salary_Calculation[[#This Row],[Completed Orders]])-Salary_Calculation[[#This Row],[Rider Target Orders]],0))</f>
        <v/>
      </c>
      <c r="P449" s="164" t="str">
        <f aca="false">IF(Salary_Calculation[[#This Row],[Source Row]]="","",Salary_Calculation[[#This Row],[Extra Orders]]*Extra_Rate)</f>
        <v/>
      </c>
      <c r="Q449" s="164" t="str">
        <f aca="false">IF(Salary_Calculation[[#This Row],[Source Row]]="","",MAX(Salary_Calculation[[#This Row],[Salary Before Other Deductions]],0))</f>
        <v/>
      </c>
      <c r="R449" s="164" t="str">
        <f aca="false">IF(Salary_Calculation[[#This Row],[Source Row]]="","",N(INDEX(Rider_Input[missed_days_penalty],Salary_Calculation[[#This Row],[Source Row]])))</f>
        <v/>
      </c>
      <c r="S449" s="164" t="str">
        <f aca="false">IF(Salary_Calculation[[#This Row],[Source Row]]="","",N(INDEX(Rider_Input[Rider Balance / محفظة المندوب],Salary_Calculation[[#This Row],[Source Row]])))</f>
        <v/>
      </c>
      <c r="T449" s="164" t="str">
        <f aca="false">IF(Salary_Calculation[[#This Row],[Source Row]]="","",N(INDEX(Rider_Input[stacking_deduction / خصم الطلبات المتعددة],Salary_Calculation[[#This Row],[Source Row]])))</f>
        <v/>
      </c>
      <c r="U449" s="164" t="str">
        <f aca="false">IF(Salary_Calculation[[#This Row],[Source Row]]="","",N(INDEX(Rider_Input[Other Deductions],Salary_Calculation[[#This Row],[Source Row]])))</f>
        <v/>
      </c>
      <c r="V449" s="164" t="str">
        <f aca="false">IF(Salary_Calculation[[#This Row],[Source Row]]="","",N(Salary_Calculation[[#This Row],[missed_days_penalty]])+N(Salary_Calculation[[#This Row],[Rider Balance]])+N(Salary_Calculation[[#This Row],[stacking_deduction]])+N(Salary_Calculation[[#This Row],[Other Deductions]]))</f>
        <v/>
      </c>
      <c r="W449" s="167" t="str">
        <f aca="false">IF(Salary_Calculation[[#This Row],[Source Row]]="","",ROUND(MAX(Salary_Calculation[[#This Row],[Gross Salary Before Deductions]]-Salary_Calculation[[#This Row],[Total Deductions]],0),2))</f>
        <v/>
      </c>
      <c r="X449" s="164" t="str">
        <f aca="false">IF(Salary_Calculation[[#This Row],[Source Row]]="","",ROUND(MAX(Salary_Calculation[[#This Row],[Missing-Order Deduction]]-Salary_Calculation[[#This Row],[Earned Salary]],0),2))</f>
        <v/>
      </c>
      <c r="Y44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49" s="163" t="str">
        <f aca="false">IF(Salary_Calculation[[#This Row],[Source Row]]="","",IF(INDEX(Rider_Input[Notes],Salary_Calculation[[#This Row],[Source Row]])="","",INDEX(Rider_Input[Notes],Salary_Calculation[[#This Row],[Source Row]])))</f>
        <v/>
      </c>
      <c r="AA449" s="164" t="str">
        <f aca="false">IF(Salary_Calculation[[#This Row],[Source Row]]="","",Salary_Calculation[[#This Row],[Earned Salary]]-Salary_Calculation[[#This Row],[Missing-Order Deduction]]+Salary_Calculation[[#This Row],[Extra-Order Bonus]])</f>
        <v/>
      </c>
      <c r="AB449" s="164" t="str">
        <f aca="false">IF(Salary_Calculation[[#This Row],[Source Row]]="","",ROUND(Salary_Calculation[[#This Row],[Negative Balance / Amount Due from Rider]]+MAX(Salary_Calculation[[#This Row],[Total Deductions]]-Salary_Calculation[[#This Row],[Gross Salary Before Deductions]],0),2))</f>
        <v/>
      </c>
      <c r="AC44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49" s="164" t="str">
        <f aca="false">IF(Salary_Calculation[[#This Row],[Source Row]]="","",Salary_Calculation[[#This Row],[Rider Target Orders]]*Salary_Calculation[[#This Row],[Base Order Rate]])</f>
        <v/>
      </c>
      <c r="AE449" s="162" t="str">
        <f aca="false">IF(SUMPRODUCT(--(LEN(INDEX(Rider_Input[#Data],ROW()-ROW(Salary_Calculation[#Headers]),0))&gt;0))=0,"",ROW()-ROW(Salary_Calculation[#Headers]))</f>
        <v/>
      </c>
    </row>
    <row r="450" customFormat="false" ht="14.25" hidden="false" customHeight="false" outlineLevel="0" collapsed="false">
      <c r="A450" s="161" t="str">
        <f aca="false">IF(Salary_Calculation[[#This Row],[Source Row]]="","",IF(INDEX(Rider_Input[Salary Month],Salary_Calculation[[#This Row],[Source Row]])="","",INDEX(Rider_Input[Salary Month],Salary_Calculation[[#This Row],[Source Row]])))</f>
        <v/>
      </c>
      <c r="B450" s="162" t="str">
        <f aca="false">IF(Salary_Calculation[[#This Row],[Source Row]]="","",IF(INDEX(Rider_Input[Rider ID],Salary_Calculation[[#This Row],[Source Row]])="","",INDEX(Rider_Input[Rider ID],Salary_Calculation[[#This Row],[Source Row]])))</f>
        <v/>
      </c>
      <c r="C450" s="163" t="str">
        <f aca="false">IF(Salary_Calculation[[#This Row],[Source Row]]="","",IF(INDEX(Rider_Input[Rider Name],Salary_Calculation[[#This Row],[Source Row]])="","",INDEX(Rider_Input[Rider Name],Salary_Calculation[[#This Row],[Source Row]])))</f>
        <v/>
      </c>
      <c r="D450" s="164" t="str">
        <f aca="false">IF(Salary_Calculation[[#This Row],[Source Row]]="","",IF(INDEX(Rider_Input[Basic Payment],Salary_Calculation[[#This Row],[Source Row]])="","",INDEX(Rider_Input[Basic Payment],Salary_Calculation[[#This Row],[Source Row]])))</f>
        <v/>
      </c>
      <c r="E450" s="162" t="str">
        <f aca="false">IF(Salary_Calculation[[#This Row],[Source Row]]="","",IF(INDEX(Rider_Input[Calendar Days in Month],Salary_Calculation[[#This Row],[Source Row]])="","",INDEX(Rider_Input[Calendar Days in Month],Salary_Calculation[[#This Row],[Source Row]])))</f>
        <v/>
      </c>
      <c r="F450" s="162" t="str">
        <f aca="false">IF(Salary_Calculation[[#This Row],[Source Row]]="","",IF(INDEX(Rider_Input[Working Days],Salary_Calculation[[#This Row],[Source Row]])="","",INDEX(Rider_Input[Working Days],Salary_Calculation[[#This Row],[Source Row]])))</f>
        <v/>
      </c>
      <c r="G450" s="165" t="str">
        <f aca="false">IF(Salary_Calculation[[#This Row],[Source Row]]="","",Std_Orders/Std_Days*N(Salary_Calculation[[#This Row],[Calendar Days]]))</f>
        <v/>
      </c>
      <c r="H450" s="165" t="str">
        <f aca="false">IF(Salary_Calculation[[#This Row],[Source Row]]="","",IF(N(Salary_Calculation[[#This Row],[Calendar Days]])&gt;0,Salary_Calculation[[#This Row],[Monthly Target Orders]]/N(Salary_Calculation[[#This Row],[Calendar Days]])*N(Salary_Calculation[[#This Row],[Working Days]]),0))</f>
        <v/>
      </c>
      <c r="I450" s="166" t="str">
        <f aca="false">IF(Salary_Calculation[[#This Row],[Source Row]]="","",IF(INDEX(Rider_Input[Completed Orders],Salary_Calculation[[#This Row],[Source Row]])="","",INDEX(Rider_Input[Completed Orders],Salary_Calculation[[#This Row],[Source Row]])))</f>
        <v/>
      </c>
      <c r="J450" s="165" t="str">
        <f aca="false">IF(Salary_Calculation[[#This Row],[Source Row]]="","",IF(Rate_Method="Fixed rate",Fixed_Rate,IF(N(Salary_Calculation[[#This Row],[Basic Payment]])&gt;0,N(Salary_Calculation[[#This Row],[Basic Payment]])/Std_Orders,0)))</f>
        <v/>
      </c>
      <c r="K450" s="165" t="str">
        <f aca="false">IF(Salary_Calculation[[#This Row],[Source Row]]="","",MAX(MIN(N(Salary_Calculation[[#This Row],[Completed Orders]]),Salary_Calculation[[#This Row],[Rider Target Orders]]),0))</f>
        <v/>
      </c>
      <c r="L450" s="164" t="str">
        <f aca="false">IF(Salary_Calculation[[#This Row],[Source Row]]="","",Salary_Calculation[[#This Row],[Orders Counted at Base Rate]]*Salary_Calculation[[#This Row],[Base Order Rate]])</f>
        <v/>
      </c>
      <c r="M450" s="165" t="str">
        <f aca="false">IF(Salary_Calculation[[#This Row],[Source Row]]="","",MAX(Salary_Calculation[[#This Row],[Rider Target Orders]]-N(Salary_Calculation[[#This Row],[Completed Orders]]),0))</f>
        <v/>
      </c>
      <c r="N450" s="164" t="str">
        <f aca="false">IF(Salary_Calculation[[#This Row],[Source Row]]="","",Salary_Calculation[[#This Row],[Missing Orders]]*Missing_Rate)</f>
        <v/>
      </c>
      <c r="O450" s="165" t="str">
        <f aca="false">IF(Salary_Calculation[[#This Row],[Source Row]]="","",MAX(N(Salary_Calculation[[#This Row],[Completed Orders]])-Salary_Calculation[[#This Row],[Rider Target Orders]],0))</f>
        <v/>
      </c>
      <c r="P450" s="164" t="str">
        <f aca="false">IF(Salary_Calculation[[#This Row],[Source Row]]="","",Salary_Calculation[[#This Row],[Extra Orders]]*Extra_Rate)</f>
        <v/>
      </c>
      <c r="Q450" s="164" t="str">
        <f aca="false">IF(Salary_Calculation[[#This Row],[Source Row]]="","",MAX(Salary_Calculation[[#This Row],[Salary Before Other Deductions]],0))</f>
        <v/>
      </c>
      <c r="R450" s="164" t="str">
        <f aca="false">IF(Salary_Calculation[[#This Row],[Source Row]]="","",N(INDEX(Rider_Input[missed_days_penalty],Salary_Calculation[[#This Row],[Source Row]])))</f>
        <v/>
      </c>
      <c r="S450" s="164" t="str">
        <f aca="false">IF(Salary_Calculation[[#This Row],[Source Row]]="","",N(INDEX(Rider_Input[Rider Balance / محفظة المندوب],Salary_Calculation[[#This Row],[Source Row]])))</f>
        <v/>
      </c>
      <c r="T450" s="164" t="str">
        <f aca="false">IF(Salary_Calculation[[#This Row],[Source Row]]="","",N(INDEX(Rider_Input[stacking_deduction / خصم الطلبات المتعددة],Salary_Calculation[[#This Row],[Source Row]])))</f>
        <v/>
      </c>
      <c r="U450" s="164" t="str">
        <f aca="false">IF(Salary_Calculation[[#This Row],[Source Row]]="","",N(INDEX(Rider_Input[Other Deductions],Salary_Calculation[[#This Row],[Source Row]])))</f>
        <v/>
      </c>
      <c r="V450" s="164" t="str">
        <f aca="false">IF(Salary_Calculation[[#This Row],[Source Row]]="","",N(Salary_Calculation[[#This Row],[missed_days_penalty]])+N(Salary_Calculation[[#This Row],[Rider Balance]])+N(Salary_Calculation[[#This Row],[stacking_deduction]])+N(Salary_Calculation[[#This Row],[Other Deductions]]))</f>
        <v/>
      </c>
      <c r="W450" s="167" t="str">
        <f aca="false">IF(Salary_Calculation[[#This Row],[Source Row]]="","",ROUND(MAX(Salary_Calculation[[#This Row],[Gross Salary Before Deductions]]-Salary_Calculation[[#This Row],[Total Deductions]],0),2))</f>
        <v/>
      </c>
      <c r="X450" s="164" t="str">
        <f aca="false">IF(Salary_Calculation[[#This Row],[Source Row]]="","",ROUND(MAX(Salary_Calculation[[#This Row],[Missing-Order Deduction]]-Salary_Calculation[[#This Row],[Earned Salary]],0),2))</f>
        <v/>
      </c>
      <c r="Y45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50" s="163" t="str">
        <f aca="false">IF(Salary_Calculation[[#This Row],[Source Row]]="","",IF(INDEX(Rider_Input[Notes],Salary_Calculation[[#This Row],[Source Row]])="","",INDEX(Rider_Input[Notes],Salary_Calculation[[#This Row],[Source Row]])))</f>
        <v/>
      </c>
      <c r="AA450" s="164" t="str">
        <f aca="false">IF(Salary_Calculation[[#This Row],[Source Row]]="","",Salary_Calculation[[#This Row],[Earned Salary]]-Salary_Calculation[[#This Row],[Missing-Order Deduction]]+Salary_Calculation[[#This Row],[Extra-Order Bonus]])</f>
        <v/>
      </c>
      <c r="AB450" s="164" t="str">
        <f aca="false">IF(Salary_Calculation[[#This Row],[Source Row]]="","",ROUND(Salary_Calculation[[#This Row],[Negative Balance / Amount Due from Rider]]+MAX(Salary_Calculation[[#This Row],[Total Deductions]]-Salary_Calculation[[#This Row],[Gross Salary Before Deductions]],0),2))</f>
        <v/>
      </c>
      <c r="AC45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50" s="164" t="str">
        <f aca="false">IF(Salary_Calculation[[#This Row],[Source Row]]="","",Salary_Calculation[[#This Row],[Rider Target Orders]]*Salary_Calculation[[#This Row],[Base Order Rate]])</f>
        <v/>
      </c>
      <c r="AE450" s="162" t="str">
        <f aca="false">IF(SUMPRODUCT(--(LEN(INDEX(Rider_Input[#Data],ROW()-ROW(Salary_Calculation[#Headers]),0))&gt;0))=0,"",ROW()-ROW(Salary_Calculation[#Headers]))</f>
        <v/>
      </c>
    </row>
    <row r="451" customFormat="false" ht="14.25" hidden="false" customHeight="false" outlineLevel="0" collapsed="false">
      <c r="A451" s="161" t="str">
        <f aca="false">IF(Salary_Calculation[[#This Row],[Source Row]]="","",IF(INDEX(Rider_Input[Salary Month],Salary_Calculation[[#This Row],[Source Row]])="","",INDEX(Rider_Input[Salary Month],Salary_Calculation[[#This Row],[Source Row]])))</f>
        <v/>
      </c>
      <c r="B451" s="162" t="str">
        <f aca="false">IF(Salary_Calculation[[#This Row],[Source Row]]="","",IF(INDEX(Rider_Input[Rider ID],Salary_Calculation[[#This Row],[Source Row]])="","",INDEX(Rider_Input[Rider ID],Salary_Calculation[[#This Row],[Source Row]])))</f>
        <v/>
      </c>
      <c r="C451" s="163" t="str">
        <f aca="false">IF(Salary_Calculation[[#This Row],[Source Row]]="","",IF(INDEX(Rider_Input[Rider Name],Salary_Calculation[[#This Row],[Source Row]])="","",INDEX(Rider_Input[Rider Name],Salary_Calculation[[#This Row],[Source Row]])))</f>
        <v/>
      </c>
      <c r="D451" s="164" t="str">
        <f aca="false">IF(Salary_Calculation[[#This Row],[Source Row]]="","",IF(INDEX(Rider_Input[Basic Payment],Salary_Calculation[[#This Row],[Source Row]])="","",INDEX(Rider_Input[Basic Payment],Salary_Calculation[[#This Row],[Source Row]])))</f>
        <v/>
      </c>
      <c r="E451" s="162" t="str">
        <f aca="false">IF(Salary_Calculation[[#This Row],[Source Row]]="","",IF(INDEX(Rider_Input[Calendar Days in Month],Salary_Calculation[[#This Row],[Source Row]])="","",INDEX(Rider_Input[Calendar Days in Month],Salary_Calculation[[#This Row],[Source Row]])))</f>
        <v/>
      </c>
      <c r="F451" s="162" t="str">
        <f aca="false">IF(Salary_Calculation[[#This Row],[Source Row]]="","",IF(INDEX(Rider_Input[Working Days],Salary_Calculation[[#This Row],[Source Row]])="","",INDEX(Rider_Input[Working Days],Salary_Calculation[[#This Row],[Source Row]])))</f>
        <v/>
      </c>
      <c r="G451" s="165" t="str">
        <f aca="false">IF(Salary_Calculation[[#This Row],[Source Row]]="","",Std_Orders/Std_Days*N(Salary_Calculation[[#This Row],[Calendar Days]]))</f>
        <v/>
      </c>
      <c r="H451" s="165" t="str">
        <f aca="false">IF(Salary_Calculation[[#This Row],[Source Row]]="","",IF(N(Salary_Calculation[[#This Row],[Calendar Days]])&gt;0,Salary_Calculation[[#This Row],[Monthly Target Orders]]/N(Salary_Calculation[[#This Row],[Calendar Days]])*N(Salary_Calculation[[#This Row],[Working Days]]),0))</f>
        <v/>
      </c>
      <c r="I451" s="166" t="str">
        <f aca="false">IF(Salary_Calculation[[#This Row],[Source Row]]="","",IF(INDEX(Rider_Input[Completed Orders],Salary_Calculation[[#This Row],[Source Row]])="","",INDEX(Rider_Input[Completed Orders],Salary_Calculation[[#This Row],[Source Row]])))</f>
        <v/>
      </c>
      <c r="J451" s="165" t="str">
        <f aca="false">IF(Salary_Calculation[[#This Row],[Source Row]]="","",IF(Rate_Method="Fixed rate",Fixed_Rate,IF(N(Salary_Calculation[[#This Row],[Basic Payment]])&gt;0,N(Salary_Calculation[[#This Row],[Basic Payment]])/Std_Orders,0)))</f>
        <v/>
      </c>
      <c r="K451" s="165" t="str">
        <f aca="false">IF(Salary_Calculation[[#This Row],[Source Row]]="","",MAX(MIN(N(Salary_Calculation[[#This Row],[Completed Orders]]),Salary_Calculation[[#This Row],[Rider Target Orders]]),0))</f>
        <v/>
      </c>
      <c r="L451" s="164" t="str">
        <f aca="false">IF(Salary_Calculation[[#This Row],[Source Row]]="","",Salary_Calculation[[#This Row],[Orders Counted at Base Rate]]*Salary_Calculation[[#This Row],[Base Order Rate]])</f>
        <v/>
      </c>
      <c r="M451" s="165" t="str">
        <f aca="false">IF(Salary_Calculation[[#This Row],[Source Row]]="","",MAX(Salary_Calculation[[#This Row],[Rider Target Orders]]-N(Salary_Calculation[[#This Row],[Completed Orders]]),0))</f>
        <v/>
      </c>
      <c r="N451" s="164" t="str">
        <f aca="false">IF(Salary_Calculation[[#This Row],[Source Row]]="","",Salary_Calculation[[#This Row],[Missing Orders]]*Missing_Rate)</f>
        <v/>
      </c>
      <c r="O451" s="165" t="str">
        <f aca="false">IF(Salary_Calculation[[#This Row],[Source Row]]="","",MAX(N(Salary_Calculation[[#This Row],[Completed Orders]])-Salary_Calculation[[#This Row],[Rider Target Orders]],0))</f>
        <v/>
      </c>
      <c r="P451" s="164" t="str">
        <f aca="false">IF(Salary_Calculation[[#This Row],[Source Row]]="","",Salary_Calculation[[#This Row],[Extra Orders]]*Extra_Rate)</f>
        <v/>
      </c>
      <c r="Q451" s="164" t="str">
        <f aca="false">IF(Salary_Calculation[[#This Row],[Source Row]]="","",MAX(Salary_Calculation[[#This Row],[Salary Before Other Deductions]],0))</f>
        <v/>
      </c>
      <c r="R451" s="164" t="str">
        <f aca="false">IF(Salary_Calculation[[#This Row],[Source Row]]="","",N(INDEX(Rider_Input[missed_days_penalty],Salary_Calculation[[#This Row],[Source Row]])))</f>
        <v/>
      </c>
      <c r="S451" s="164" t="str">
        <f aca="false">IF(Salary_Calculation[[#This Row],[Source Row]]="","",N(INDEX(Rider_Input[Rider Balance / محفظة المندوب],Salary_Calculation[[#This Row],[Source Row]])))</f>
        <v/>
      </c>
      <c r="T451" s="164" t="str">
        <f aca="false">IF(Salary_Calculation[[#This Row],[Source Row]]="","",N(INDEX(Rider_Input[stacking_deduction / خصم الطلبات المتعددة],Salary_Calculation[[#This Row],[Source Row]])))</f>
        <v/>
      </c>
      <c r="U451" s="164" t="str">
        <f aca="false">IF(Salary_Calculation[[#This Row],[Source Row]]="","",N(INDEX(Rider_Input[Other Deductions],Salary_Calculation[[#This Row],[Source Row]])))</f>
        <v/>
      </c>
      <c r="V451" s="164" t="str">
        <f aca="false">IF(Salary_Calculation[[#This Row],[Source Row]]="","",N(Salary_Calculation[[#This Row],[missed_days_penalty]])+N(Salary_Calculation[[#This Row],[Rider Balance]])+N(Salary_Calculation[[#This Row],[stacking_deduction]])+N(Salary_Calculation[[#This Row],[Other Deductions]]))</f>
        <v/>
      </c>
      <c r="W451" s="167" t="str">
        <f aca="false">IF(Salary_Calculation[[#This Row],[Source Row]]="","",ROUND(MAX(Salary_Calculation[[#This Row],[Gross Salary Before Deductions]]-Salary_Calculation[[#This Row],[Total Deductions]],0),2))</f>
        <v/>
      </c>
      <c r="X451" s="164" t="str">
        <f aca="false">IF(Salary_Calculation[[#This Row],[Source Row]]="","",ROUND(MAX(Salary_Calculation[[#This Row],[Missing-Order Deduction]]-Salary_Calculation[[#This Row],[Earned Salary]],0),2))</f>
        <v/>
      </c>
      <c r="Y45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51" s="163" t="str">
        <f aca="false">IF(Salary_Calculation[[#This Row],[Source Row]]="","",IF(INDEX(Rider_Input[Notes],Salary_Calculation[[#This Row],[Source Row]])="","",INDEX(Rider_Input[Notes],Salary_Calculation[[#This Row],[Source Row]])))</f>
        <v/>
      </c>
      <c r="AA451" s="164" t="str">
        <f aca="false">IF(Salary_Calculation[[#This Row],[Source Row]]="","",Salary_Calculation[[#This Row],[Earned Salary]]-Salary_Calculation[[#This Row],[Missing-Order Deduction]]+Salary_Calculation[[#This Row],[Extra-Order Bonus]])</f>
        <v/>
      </c>
      <c r="AB451" s="164" t="str">
        <f aca="false">IF(Salary_Calculation[[#This Row],[Source Row]]="","",ROUND(Salary_Calculation[[#This Row],[Negative Balance / Amount Due from Rider]]+MAX(Salary_Calculation[[#This Row],[Total Deductions]]-Salary_Calculation[[#This Row],[Gross Salary Before Deductions]],0),2))</f>
        <v/>
      </c>
      <c r="AC45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51" s="164" t="str">
        <f aca="false">IF(Salary_Calculation[[#This Row],[Source Row]]="","",Salary_Calculation[[#This Row],[Rider Target Orders]]*Salary_Calculation[[#This Row],[Base Order Rate]])</f>
        <v/>
      </c>
      <c r="AE451" s="162" t="str">
        <f aca="false">IF(SUMPRODUCT(--(LEN(INDEX(Rider_Input[#Data],ROW()-ROW(Salary_Calculation[#Headers]),0))&gt;0))=0,"",ROW()-ROW(Salary_Calculation[#Headers]))</f>
        <v/>
      </c>
    </row>
    <row r="452" customFormat="false" ht="14.25" hidden="false" customHeight="false" outlineLevel="0" collapsed="false">
      <c r="A452" s="161" t="str">
        <f aca="false">IF(Salary_Calculation[[#This Row],[Source Row]]="","",IF(INDEX(Rider_Input[Salary Month],Salary_Calculation[[#This Row],[Source Row]])="","",INDEX(Rider_Input[Salary Month],Salary_Calculation[[#This Row],[Source Row]])))</f>
        <v/>
      </c>
      <c r="B452" s="162" t="str">
        <f aca="false">IF(Salary_Calculation[[#This Row],[Source Row]]="","",IF(INDEX(Rider_Input[Rider ID],Salary_Calculation[[#This Row],[Source Row]])="","",INDEX(Rider_Input[Rider ID],Salary_Calculation[[#This Row],[Source Row]])))</f>
        <v/>
      </c>
      <c r="C452" s="163" t="str">
        <f aca="false">IF(Salary_Calculation[[#This Row],[Source Row]]="","",IF(INDEX(Rider_Input[Rider Name],Salary_Calculation[[#This Row],[Source Row]])="","",INDEX(Rider_Input[Rider Name],Salary_Calculation[[#This Row],[Source Row]])))</f>
        <v/>
      </c>
      <c r="D452" s="164" t="str">
        <f aca="false">IF(Salary_Calculation[[#This Row],[Source Row]]="","",IF(INDEX(Rider_Input[Basic Payment],Salary_Calculation[[#This Row],[Source Row]])="","",INDEX(Rider_Input[Basic Payment],Salary_Calculation[[#This Row],[Source Row]])))</f>
        <v/>
      </c>
      <c r="E452" s="162" t="str">
        <f aca="false">IF(Salary_Calculation[[#This Row],[Source Row]]="","",IF(INDEX(Rider_Input[Calendar Days in Month],Salary_Calculation[[#This Row],[Source Row]])="","",INDEX(Rider_Input[Calendar Days in Month],Salary_Calculation[[#This Row],[Source Row]])))</f>
        <v/>
      </c>
      <c r="F452" s="162" t="str">
        <f aca="false">IF(Salary_Calculation[[#This Row],[Source Row]]="","",IF(INDEX(Rider_Input[Working Days],Salary_Calculation[[#This Row],[Source Row]])="","",INDEX(Rider_Input[Working Days],Salary_Calculation[[#This Row],[Source Row]])))</f>
        <v/>
      </c>
      <c r="G452" s="165" t="str">
        <f aca="false">IF(Salary_Calculation[[#This Row],[Source Row]]="","",Std_Orders/Std_Days*N(Salary_Calculation[[#This Row],[Calendar Days]]))</f>
        <v/>
      </c>
      <c r="H452" s="165" t="str">
        <f aca="false">IF(Salary_Calculation[[#This Row],[Source Row]]="","",IF(N(Salary_Calculation[[#This Row],[Calendar Days]])&gt;0,Salary_Calculation[[#This Row],[Monthly Target Orders]]/N(Salary_Calculation[[#This Row],[Calendar Days]])*N(Salary_Calculation[[#This Row],[Working Days]]),0))</f>
        <v/>
      </c>
      <c r="I452" s="166" t="str">
        <f aca="false">IF(Salary_Calculation[[#This Row],[Source Row]]="","",IF(INDEX(Rider_Input[Completed Orders],Salary_Calculation[[#This Row],[Source Row]])="","",INDEX(Rider_Input[Completed Orders],Salary_Calculation[[#This Row],[Source Row]])))</f>
        <v/>
      </c>
      <c r="J452" s="165" t="str">
        <f aca="false">IF(Salary_Calculation[[#This Row],[Source Row]]="","",IF(Rate_Method="Fixed rate",Fixed_Rate,IF(N(Salary_Calculation[[#This Row],[Basic Payment]])&gt;0,N(Salary_Calculation[[#This Row],[Basic Payment]])/Std_Orders,0)))</f>
        <v/>
      </c>
      <c r="K452" s="165" t="str">
        <f aca="false">IF(Salary_Calculation[[#This Row],[Source Row]]="","",MAX(MIN(N(Salary_Calculation[[#This Row],[Completed Orders]]),Salary_Calculation[[#This Row],[Rider Target Orders]]),0))</f>
        <v/>
      </c>
      <c r="L452" s="164" t="str">
        <f aca="false">IF(Salary_Calculation[[#This Row],[Source Row]]="","",Salary_Calculation[[#This Row],[Orders Counted at Base Rate]]*Salary_Calculation[[#This Row],[Base Order Rate]])</f>
        <v/>
      </c>
      <c r="M452" s="165" t="str">
        <f aca="false">IF(Salary_Calculation[[#This Row],[Source Row]]="","",MAX(Salary_Calculation[[#This Row],[Rider Target Orders]]-N(Salary_Calculation[[#This Row],[Completed Orders]]),0))</f>
        <v/>
      </c>
      <c r="N452" s="164" t="str">
        <f aca="false">IF(Salary_Calculation[[#This Row],[Source Row]]="","",Salary_Calculation[[#This Row],[Missing Orders]]*Missing_Rate)</f>
        <v/>
      </c>
      <c r="O452" s="165" t="str">
        <f aca="false">IF(Salary_Calculation[[#This Row],[Source Row]]="","",MAX(N(Salary_Calculation[[#This Row],[Completed Orders]])-Salary_Calculation[[#This Row],[Rider Target Orders]],0))</f>
        <v/>
      </c>
      <c r="P452" s="164" t="str">
        <f aca="false">IF(Salary_Calculation[[#This Row],[Source Row]]="","",Salary_Calculation[[#This Row],[Extra Orders]]*Extra_Rate)</f>
        <v/>
      </c>
      <c r="Q452" s="164" t="str">
        <f aca="false">IF(Salary_Calculation[[#This Row],[Source Row]]="","",MAX(Salary_Calculation[[#This Row],[Salary Before Other Deductions]],0))</f>
        <v/>
      </c>
      <c r="R452" s="164" t="str">
        <f aca="false">IF(Salary_Calculation[[#This Row],[Source Row]]="","",N(INDEX(Rider_Input[missed_days_penalty],Salary_Calculation[[#This Row],[Source Row]])))</f>
        <v/>
      </c>
      <c r="S452" s="164" t="str">
        <f aca="false">IF(Salary_Calculation[[#This Row],[Source Row]]="","",N(INDEX(Rider_Input[Rider Balance / محفظة المندوب],Salary_Calculation[[#This Row],[Source Row]])))</f>
        <v/>
      </c>
      <c r="T452" s="164" t="str">
        <f aca="false">IF(Salary_Calculation[[#This Row],[Source Row]]="","",N(INDEX(Rider_Input[stacking_deduction / خصم الطلبات المتعددة],Salary_Calculation[[#This Row],[Source Row]])))</f>
        <v/>
      </c>
      <c r="U452" s="164" t="str">
        <f aca="false">IF(Salary_Calculation[[#This Row],[Source Row]]="","",N(INDEX(Rider_Input[Other Deductions],Salary_Calculation[[#This Row],[Source Row]])))</f>
        <v/>
      </c>
      <c r="V452" s="164" t="str">
        <f aca="false">IF(Salary_Calculation[[#This Row],[Source Row]]="","",N(Salary_Calculation[[#This Row],[missed_days_penalty]])+N(Salary_Calculation[[#This Row],[Rider Balance]])+N(Salary_Calculation[[#This Row],[stacking_deduction]])+N(Salary_Calculation[[#This Row],[Other Deductions]]))</f>
        <v/>
      </c>
      <c r="W452" s="167" t="str">
        <f aca="false">IF(Salary_Calculation[[#This Row],[Source Row]]="","",ROUND(MAX(Salary_Calculation[[#This Row],[Gross Salary Before Deductions]]-Salary_Calculation[[#This Row],[Total Deductions]],0),2))</f>
        <v/>
      </c>
      <c r="X452" s="164" t="str">
        <f aca="false">IF(Salary_Calculation[[#This Row],[Source Row]]="","",ROUND(MAX(Salary_Calculation[[#This Row],[Missing-Order Deduction]]-Salary_Calculation[[#This Row],[Earned Salary]],0),2))</f>
        <v/>
      </c>
      <c r="Y45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52" s="163" t="str">
        <f aca="false">IF(Salary_Calculation[[#This Row],[Source Row]]="","",IF(INDEX(Rider_Input[Notes],Salary_Calculation[[#This Row],[Source Row]])="","",INDEX(Rider_Input[Notes],Salary_Calculation[[#This Row],[Source Row]])))</f>
        <v/>
      </c>
      <c r="AA452" s="164" t="str">
        <f aca="false">IF(Salary_Calculation[[#This Row],[Source Row]]="","",Salary_Calculation[[#This Row],[Earned Salary]]-Salary_Calculation[[#This Row],[Missing-Order Deduction]]+Salary_Calculation[[#This Row],[Extra-Order Bonus]])</f>
        <v/>
      </c>
      <c r="AB452" s="164" t="str">
        <f aca="false">IF(Salary_Calculation[[#This Row],[Source Row]]="","",ROUND(Salary_Calculation[[#This Row],[Negative Balance / Amount Due from Rider]]+MAX(Salary_Calculation[[#This Row],[Total Deductions]]-Salary_Calculation[[#This Row],[Gross Salary Before Deductions]],0),2))</f>
        <v/>
      </c>
      <c r="AC45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52" s="164" t="str">
        <f aca="false">IF(Salary_Calculation[[#This Row],[Source Row]]="","",Salary_Calculation[[#This Row],[Rider Target Orders]]*Salary_Calculation[[#This Row],[Base Order Rate]])</f>
        <v/>
      </c>
      <c r="AE452" s="162" t="str">
        <f aca="false">IF(SUMPRODUCT(--(LEN(INDEX(Rider_Input[#Data],ROW()-ROW(Salary_Calculation[#Headers]),0))&gt;0))=0,"",ROW()-ROW(Salary_Calculation[#Headers]))</f>
        <v/>
      </c>
    </row>
    <row r="453" customFormat="false" ht="14.25" hidden="false" customHeight="false" outlineLevel="0" collapsed="false">
      <c r="A453" s="161" t="str">
        <f aca="false">IF(Salary_Calculation[[#This Row],[Source Row]]="","",IF(INDEX(Rider_Input[Salary Month],Salary_Calculation[[#This Row],[Source Row]])="","",INDEX(Rider_Input[Salary Month],Salary_Calculation[[#This Row],[Source Row]])))</f>
        <v/>
      </c>
      <c r="B453" s="162" t="str">
        <f aca="false">IF(Salary_Calculation[[#This Row],[Source Row]]="","",IF(INDEX(Rider_Input[Rider ID],Salary_Calculation[[#This Row],[Source Row]])="","",INDEX(Rider_Input[Rider ID],Salary_Calculation[[#This Row],[Source Row]])))</f>
        <v/>
      </c>
      <c r="C453" s="163" t="str">
        <f aca="false">IF(Salary_Calculation[[#This Row],[Source Row]]="","",IF(INDEX(Rider_Input[Rider Name],Salary_Calculation[[#This Row],[Source Row]])="","",INDEX(Rider_Input[Rider Name],Salary_Calculation[[#This Row],[Source Row]])))</f>
        <v/>
      </c>
      <c r="D453" s="164" t="str">
        <f aca="false">IF(Salary_Calculation[[#This Row],[Source Row]]="","",IF(INDEX(Rider_Input[Basic Payment],Salary_Calculation[[#This Row],[Source Row]])="","",INDEX(Rider_Input[Basic Payment],Salary_Calculation[[#This Row],[Source Row]])))</f>
        <v/>
      </c>
      <c r="E453" s="162" t="str">
        <f aca="false">IF(Salary_Calculation[[#This Row],[Source Row]]="","",IF(INDEX(Rider_Input[Calendar Days in Month],Salary_Calculation[[#This Row],[Source Row]])="","",INDEX(Rider_Input[Calendar Days in Month],Salary_Calculation[[#This Row],[Source Row]])))</f>
        <v/>
      </c>
      <c r="F453" s="162" t="str">
        <f aca="false">IF(Salary_Calculation[[#This Row],[Source Row]]="","",IF(INDEX(Rider_Input[Working Days],Salary_Calculation[[#This Row],[Source Row]])="","",INDEX(Rider_Input[Working Days],Salary_Calculation[[#This Row],[Source Row]])))</f>
        <v/>
      </c>
      <c r="G453" s="165" t="str">
        <f aca="false">IF(Salary_Calculation[[#This Row],[Source Row]]="","",Std_Orders/Std_Days*N(Salary_Calculation[[#This Row],[Calendar Days]]))</f>
        <v/>
      </c>
      <c r="H453" s="165" t="str">
        <f aca="false">IF(Salary_Calculation[[#This Row],[Source Row]]="","",IF(N(Salary_Calculation[[#This Row],[Calendar Days]])&gt;0,Salary_Calculation[[#This Row],[Monthly Target Orders]]/N(Salary_Calculation[[#This Row],[Calendar Days]])*N(Salary_Calculation[[#This Row],[Working Days]]),0))</f>
        <v/>
      </c>
      <c r="I453" s="166" t="str">
        <f aca="false">IF(Salary_Calculation[[#This Row],[Source Row]]="","",IF(INDEX(Rider_Input[Completed Orders],Salary_Calculation[[#This Row],[Source Row]])="","",INDEX(Rider_Input[Completed Orders],Salary_Calculation[[#This Row],[Source Row]])))</f>
        <v/>
      </c>
      <c r="J453" s="165" t="str">
        <f aca="false">IF(Salary_Calculation[[#This Row],[Source Row]]="","",IF(Rate_Method="Fixed rate",Fixed_Rate,IF(N(Salary_Calculation[[#This Row],[Basic Payment]])&gt;0,N(Salary_Calculation[[#This Row],[Basic Payment]])/Std_Orders,0)))</f>
        <v/>
      </c>
      <c r="K453" s="165" t="str">
        <f aca="false">IF(Salary_Calculation[[#This Row],[Source Row]]="","",MAX(MIN(N(Salary_Calculation[[#This Row],[Completed Orders]]),Salary_Calculation[[#This Row],[Rider Target Orders]]),0))</f>
        <v/>
      </c>
      <c r="L453" s="164" t="str">
        <f aca="false">IF(Salary_Calculation[[#This Row],[Source Row]]="","",Salary_Calculation[[#This Row],[Orders Counted at Base Rate]]*Salary_Calculation[[#This Row],[Base Order Rate]])</f>
        <v/>
      </c>
      <c r="M453" s="165" t="str">
        <f aca="false">IF(Salary_Calculation[[#This Row],[Source Row]]="","",MAX(Salary_Calculation[[#This Row],[Rider Target Orders]]-N(Salary_Calculation[[#This Row],[Completed Orders]]),0))</f>
        <v/>
      </c>
      <c r="N453" s="164" t="str">
        <f aca="false">IF(Salary_Calculation[[#This Row],[Source Row]]="","",Salary_Calculation[[#This Row],[Missing Orders]]*Missing_Rate)</f>
        <v/>
      </c>
      <c r="O453" s="165" t="str">
        <f aca="false">IF(Salary_Calculation[[#This Row],[Source Row]]="","",MAX(N(Salary_Calculation[[#This Row],[Completed Orders]])-Salary_Calculation[[#This Row],[Rider Target Orders]],0))</f>
        <v/>
      </c>
      <c r="P453" s="164" t="str">
        <f aca="false">IF(Salary_Calculation[[#This Row],[Source Row]]="","",Salary_Calculation[[#This Row],[Extra Orders]]*Extra_Rate)</f>
        <v/>
      </c>
      <c r="Q453" s="164" t="str">
        <f aca="false">IF(Salary_Calculation[[#This Row],[Source Row]]="","",MAX(Salary_Calculation[[#This Row],[Salary Before Other Deductions]],0))</f>
        <v/>
      </c>
      <c r="R453" s="164" t="str">
        <f aca="false">IF(Salary_Calculation[[#This Row],[Source Row]]="","",N(INDEX(Rider_Input[missed_days_penalty],Salary_Calculation[[#This Row],[Source Row]])))</f>
        <v/>
      </c>
      <c r="S453" s="164" t="str">
        <f aca="false">IF(Salary_Calculation[[#This Row],[Source Row]]="","",N(INDEX(Rider_Input[Rider Balance / محفظة المندوب],Salary_Calculation[[#This Row],[Source Row]])))</f>
        <v/>
      </c>
      <c r="T453" s="164" t="str">
        <f aca="false">IF(Salary_Calculation[[#This Row],[Source Row]]="","",N(INDEX(Rider_Input[stacking_deduction / خصم الطلبات المتعددة],Salary_Calculation[[#This Row],[Source Row]])))</f>
        <v/>
      </c>
      <c r="U453" s="164" t="str">
        <f aca="false">IF(Salary_Calculation[[#This Row],[Source Row]]="","",N(INDEX(Rider_Input[Other Deductions],Salary_Calculation[[#This Row],[Source Row]])))</f>
        <v/>
      </c>
      <c r="V453" s="164" t="str">
        <f aca="false">IF(Salary_Calculation[[#This Row],[Source Row]]="","",N(Salary_Calculation[[#This Row],[missed_days_penalty]])+N(Salary_Calculation[[#This Row],[Rider Balance]])+N(Salary_Calculation[[#This Row],[stacking_deduction]])+N(Salary_Calculation[[#This Row],[Other Deductions]]))</f>
        <v/>
      </c>
      <c r="W453" s="167" t="str">
        <f aca="false">IF(Salary_Calculation[[#This Row],[Source Row]]="","",ROUND(MAX(Salary_Calculation[[#This Row],[Gross Salary Before Deductions]]-Salary_Calculation[[#This Row],[Total Deductions]],0),2))</f>
        <v/>
      </c>
      <c r="X453" s="164" t="str">
        <f aca="false">IF(Salary_Calculation[[#This Row],[Source Row]]="","",ROUND(MAX(Salary_Calculation[[#This Row],[Missing-Order Deduction]]-Salary_Calculation[[#This Row],[Earned Salary]],0),2))</f>
        <v/>
      </c>
      <c r="Y45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53" s="163" t="str">
        <f aca="false">IF(Salary_Calculation[[#This Row],[Source Row]]="","",IF(INDEX(Rider_Input[Notes],Salary_Calculation[[#This Row],[Source Row]])="","",INDEX(Rider_Input[Notes],Salary_Calculation[[#This Row],[Source Row]])))</f>
        <v/>
      </c>
      <c r="AA453" s="164" t="str">
        <f aca="false">IF(Salary_Calculation[[#This Row],[Source Row]]="","",Salary_Calculation[[#This Row],[Earned Salary]]-Salary_Calculation[[#This Row],[Missing-Order Deduction]]+Salary_Calculation[[#This Row],[Extra-Order Bonus]])</f>
        <v/>
      </c>
      <c r="AB453" s="164" t="str">
        <f aca="false">IF(Salary_Calculation[[#This Row],[Source Row]]="","",ROUND(Salary_Calculation[[#This Row],[Negative Balance / Amount Due from Rider]]+MAX(Salary_Calculation[[#This Row],[Total Deductions]]-Salary_Calculation[[#This Row],[Gross Salary Before Deductions]],0),2))</f>
        <v/>
      </c>
      <c r="AC45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53" s="164" t="str">
        <f aca="false">IF(Salary_Calculation[[#This Row],[Source Row]]="","",Salary_Calculation[[#This Row],[Rider Target Orders]]*Salary_Calculation[[#This Row],[Base Order Rate]])</f>
        <v/>
      </c>
      <c r="AE453" s="162" t="str">
        <f aca="false">IF(SUMPRODUCT(--(LEN(INDEX(Rider_Input[#Data],ROW()-ROW(Salary_Calculation[#Headers]),0))&gt;0))=0,"",ROW()-ROW(Salary_Calculation[#Headers]))</f>
        <v/>
      </c>
    </row>
    <row r="454" customFormat="false" ht="14.25" hidden="false" customHeight="false" outlineLevel="0" collapsed="false">
      <c r="A454" s="161" t="str">
        <f aca="false">IF(Salary_Calculation[[#This Row],[Source Row]]="","",IF(INDEX(Rider_Input[Salary Month],Salary_Calculation[[#This Row],[Source Row]])="","",INDEX(Rider_Input[Salary Month],Salary_Calculation[[#This Row],[Source Row]])))</f>
        <v/>
      </c>
      <c r="B454" s="162" t="str">
        <f aca="false">IF(Salary_Calculation[[#This Row],[Source Row]]="","",IF(INDEX(Rider_Input[Rider ID],Salary_Calculation[[#This Row],[Source Row]])="","",INDEX(Rider_Input[Rider ID],Salary_Calculation[[#This Row],[Source Row]])))</f>
        <v/>
      </c>
      <c r="C454" s="163" t="str">
        <f aca="false">IF(Salary_Calculation[[#This Row],[Source Row]]="","",IF(INDEX(Rider_Input[Rider Name],Salary_Calculation[[#This Row],[Source Row]])="","",INDEX(Rider_Input[Rider Name],Salary_Calculation[[#This Row],[Source Row]])))</f>
        <v/>
      </c>
      <c r="D454" s="164" t="str">
        <f aca="false">IF(Salary_Calculation[[#This Row],[Source Row]]="","",IF(INDEX(Rider_Input[Basic Payment],Salary_Calculation[[#This Row],[Source Row]])="","",INDEX(Rider_Input[Basic Payment],Salary_Calculation[[#This Row],[Source Row]])))</f>
        <v/>
      </c>
      <c r="E454" s="162" t="str">
        <f aca="false">IF(Salary_Calculation[[#This Row],[Source Row]]="","",IF(INDEX(Rider_Input[Calendar Days in Month],Salary_Calculation[[#This Row],[Source Row]])="","",INDEX(Rider_Input[Calendar Days in Month],Salary_Calculation[[#This Row],[Source Row]])))</f>
        <v/>
      </c>
      <c r="F454" s="162" t="str">
        <f aca="false">IF(Salary_Calculation[[#This Row],[Source Row]]="","",IF(INDEX(Rider_Input[Working Days],Salary_Calculation[[#This Row],[Source Row]])="","",INDEX(Rider_Input[Working Days],Salary_Calculation[[#This Row],[Source Row]])))</f>
        <v/>
      </c>
      <c r="G454" s="165" t="str">
        <f aca="false">IF(Salary_Calculation[[#This Row],[Source Row]]="","",Std_Orders/Std_Days*N(Salary_Calculation[[#This Row],[Calendar Days]]))</f>
        <v/>
      </c>
      <c r="H454" s="165" t="str">
        <f aca="false">IF(Salary_Calculation[[#This Row],[Source Row]]="","",IF(N(Salary_Calculation[[#This Row],[Calendar Days]])&gt;0,Salary_Calculation[[#This Row],[Monthly Target Orders]]/N(Salary_Calculation[[#This Row],[Calendar Days]])*N(Salary_Calculation[[#This Row],[Working Days]]),0))</f>
        <v/>
      </c>
      <c r="I454" s="166" t="str">
        <f aca="false">IF(Salary_Calculation[[#This Row],[Source Row]]="","",IF(INDEX(Rider_Input[Completed Orders],Salary_Calculation[[#This Row],[Source Row]])="","",INDEX(Rider_Input[Completed Orders],Salary_Calculation[[#This Row],[Source Row]])))</f>
        <v/>
      </c>
      <c r="J454" s="165" t="str">
        <f aca="false">IF(Salary_Calculation[[#This Row],[Source Row]]="","",IF(Rate_Method="Fixed rate",Fixed_Rate,IF(N(Salary_Calculation[[#This Row],[Basic Payment]])&gt;0,N(Salary_Calculation[[#This Row],[Basic Payment]])/Std_Orders,0)))</f>
        <v/>
      </c>
      <c r="K454" s="165" t="str">
        <f aca="false">IF(Salary_Calculation[[#This Row],[Source Row]]="","",MAX(MIN(N(Salary_Calculation[[#This Row],[Completed Orders]]),Salary_Calculation[[#This Row],[Rider Target Orders]]),0))</f>
        <v/>
      </c>
      <c r="L454" s="164" t="str">
        <f aca="false">IF(Salary_Calculation[[#This Row],[Source Row]]="","",Salary_Calculation[[#This Row],[Orders Counted at Base Rate]]*Salary_Calculation[[#This Row],[Base Order Rate]])</f>
        <v/>
      </c>
      <c r="M454" s="165" t="str">
        <f aca="false">IF(Salary_Calculation[[#This Row],[Source Row]]="","",MAX(Salary_Calculation[[#This Row],[Rider Target Orders]]-N(Salary_Calculation[[#This Row],[Completed Orders]]),0))</f>
        <v/>
      </c>
      <c r="N454" s="164" t="str">
        <f aca="false">IF(Salary_Calculation[[#This Row],[Source Row]]="","",Salary_Calculation[[#This Row],[Missing Orders]]*Missing_Rate)</f>
        <v/>
      </c>
      <c r="O454" s="165" t="str">
        <f aca="false">IF(Salary_Calculation[[#This Row],[Source Row]]="","",MAX(N(Salary_Calculation[[#This Row],[Completed Orders]])-Salary_Calculation[[#This Row],[Rider Target Orders]],0))</f>
        <v/>
      </c>
      <c r="P454" s="164" t="str">
        <f aca="false">IF(Salary_Calculation[[#This Row],[Source Row]]="","",Salary_Calculation[[#This Row],[Extra Orders]]*Extra_Rate)</f>
        <v/>
      </c>
      <c r="Q454" s="164" t="str">
        <f aca="false">IF(Salary_Calculation[[#This Row],[Source Row]]="","",MAX(Salary_Calculation[[#This Row],[Salary Before Other Deductions]],0))</f>
        <v/>
      </c>
      <c r="R454" s="164" t="str">
        <f aca="false">IF(Salary_Calculation[[#This Row],[Source Row]]="","",N(INDEX(Rider_Input[missed_days_penalty],Salary_Calculation[[#This Row],[Source Row]])))</f>
        <v/>
      </c>
      <c r="S454" s="164" t="str">
        <f aca="false">IF(Salary_Calculation[[#This Row],[Source Row]]="","",N(INDEX(Rider_Input[Rider Balance / محفظة المندوب],Salary_Calculation[[#This Row],[Source Row]])))</f>
        <v/>
      </c>
      <c r="T454" s="164" t="str">
        <f aca="false">IF(Salary_Calculation[[#This Row],[Source Row]]="","",N(INDEX(Rider_Input[stacking_deduction / خصم الطلبات المتعددة],Salary_Calculation[[#This Row],[Source Row]])))</f>
        <v/>
      </c>
      <c r="U454" s="164" t="str">
        <f aca="false">IF(Salary_Calculation[[#This Row],[Source Row]]="","",N(INDEX(Rider_Input[Other Deductions],Salary_Calculation[[#This Row],[Source Row]])))</f>
        <v/>
      </c>
      <c r="V454" s="164" t="str">
        <f aca="false">IF(Salary_Calculation[[#This Row],[Source Row]]="","",N(Salary_Calculation[[#This Row],[missed_days_penalty]])+N(Salary_Calculation[[#This Row],[Rider Balance]])+N(Salary_Calculation[[#This Row],[stacking_deduction]])+N(Salary_Calculation[[#This Row],[Other Deductions]]))</f>
        <v/>
      </c>
      <c r="W454" s="167" t="str">
        <f aca="false">IF(Salary_Calculation[[#This Row],[Source Row]]="","",ROUND(MAX(Salary_Calculation[[#This Row],[Gross Salary Before Deductions]]-Salary_Calculation[[#This Row],[Total Deductions]],0),2))</f>
        <v/>
      </c>
      <c r="X454" s="164" t="str">
        <f aca="false">IF(Salary_Calculation[[#This Row],[Source Row]]="","",ROUND(MAX(Salary_Calculation[[#This Row],[Missing-Order Deduction]]-Salary_Calculation[[#This Row],[Earned Salary]],0),2))</f>
        <v/>
      </c>
      <c r="Y45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54" s="163" t="str">
        <f aca="false">IF(Salary_Calculation[[#This Row],[Source Row]]="","",IF(INDEX(Rider_Input[Notes],Salary_Calculation[[#This Row],[Source Row]])="","",INDEX(Rider_Input[Notes],Salary_Calculation[[#This Row],[Source Row]])))</f>
        <v/>
      </c>
      <c r="AA454" s="164" t="str">
        <f aca="false">IF(Salary_Calculation[[#This Row],[Source Row]]="","",Salary_Calculation[[#This Row],[Earned Salary]]-Salary_Calculation[[#This Row],[Missing-Order Deduction]]+Salary_Calculation[[#This Row],[Extra-Order Bonus]])</f>
        <v/>
      </c>
      <c r="AB454" s="164" t="str">
        <f aca="false">IF(Salary_Calculation[[#This Row],[Source Row]]="","",ROUND(Salary_Calculation[[#This Row],[Negative Balance / Amount Due from Rider]]+MAX(Salary_Calculation[[#This Row],[Total Deductions]]-Salary_Calculation[[#This Row],[Gross Salary Before Deductions]],0),2))</f>
        <v/>
      </c>
      <c r="AC45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54" s="164" t="str">
        <f aca="false">IF(Salary_Calculation[[#This Row],[Source Row]]="","",Salary_Calculation[[#This Row],[Rider Target Orders]]*Salary_Calculation[[#This Row],[Base Order Rate]])</f>
        <v/>
      </c>
      <c r="AE454" s="162" t="str">
        <f aca="false">IF(SUMPRODUCT(--(LEN(INDEX(Rider_Input[#Data],ROW()-ROW(Salary_Calculation[#Headers]),0))&gt;0))=0,"",ROW()-ROW(Salary_Calculation[#Headers]))</f>
        <v/>
      </c>
    </row>
    <row r="455" customFormat="false" ht="14.25" hidden="false" customHeight="false" outlineLevel="0" collapsed="false">
      <c r="A455" s="161" t="str">
        <f aca="false">IF(Salary_Calculation[[#This Row],[Source Row]]="","",IF(INDEX(Rider_Input[Salary Month],Salary_Calculation[[#This Row],[Source Row]])="","",INDEX(Rider_Input[Salary Month],Salary_Calculation[[#This Row],[Source Row]])))</f>
        <v/>
      </c>
      <c r="B455" s="162" t="str">
        <f aca="false">IF(Salary_Calculation[[#This Row],[Source Row]]="","",IF(INDEX(Rider_Input[Rider ID],Salary_Calculation[[#This Row],[Source Row]])="","",INDEX(Rider_Input[Rider ID],Salary_Calculation[[#This Row],[Source Row]])))</f>
        <v/>
      </c>
      <c r="C455" s="163" t="str">
        <f aca="false">IF(Salary_Calculation[[#This Row],[Source Row]]="","",IF(INDEX(Rider_Input[Rider Name],Salary_Calculation[[#This Row],[Source Row]])="","",INDEX(Rider_Input[Rider Name],Salary_Calculation[[#This Row],[Source Row]])))</f>
        <v/>
      </c>
      <c r="D455" s="164" t="str">
        <f aca="false">IF(Salary_Calculation[[#This Row],[Source Row]]="","",IF(INDEX(Rider_Input[Basic Payment],Salary_Calculation[[#This Row],[Source Row]])="","",INDEX(Rider_Input[Basic Payment],Salary_Calculation[[#This Row],[Source Row]])))</f>
        <v/>
      </c>
      <c r="E455" s="162" t="str">
        <f aca="false">IF(Salary_Calculation[[#This Row],[Source Row]]="","",IF(INDEX(Rider_Input[Calendar Days in Month],Salary_Calculation[[#This Row],[Source Row]])="","",INDEX(Rider_Input[Calendar Days in Month],Salary_Calculation[[#This Row],[Source Row]])))</f>
        <v/>
      </c>
      <c r="F455" s="162" t="str">
        <f aca="false">IF(Salary_Calculation[[#This Row],[Source Row]]="","",IF(INDEX(Rider_Input[Working Days],Salary_Calculation[[#This Row],[Source Row]])="","",INDEX(Rider_Input[Working Days],Salary_Calculation[[#This Row],[Source Row]])))</f>
        <v/>
      </c>
      <c r="G455" s="165" t="str">
        <f aca="false">IF(Salary_Calculation[[#This Row],[Source Row]]="","",Std_Orders/Std_Days*N(Salary_Calculation[[#This Row],[Calendar Days]]))</f>
        <v/>
      </c>
      <c r="H455" s="165" t="str">
        <f aca="false">IF(Salary_Calculation[[#This Row],[Source Row]]="","",IF(N(Salary_Calculation[[#This Row],[Calendar Days]])&gt;0,Salary_Calculation[[#This Row],[Monthly Target Orders]]/N(Salary_Calculation[[#This Row],[Calendar Days]])*N(Salary_Calculation[[#This Row],[Working Days]]),0))</f>
        <v/>
      </c>
      <c r="I455" s="166" t="str">
        <f aca="false">IF(Salary_Calculation[[#This Row],[Source Row]]="","",IF(INDEX(Rider_Input[Completed Orders],Salary_Calculation[[#This Row],[Source Row]])="","",INDEX(Rider_Input[Completed Orders],Salary_Calculation[[#This Row],[Source Row]])))</f>
        <v/>
      </c>
      <c r="J455" s="165" t="str">
        <f aca="false">IF(Salary_Calculation[[#This Row],[Source Row]]="","",IF(Rate_Method="Fixed rate",Fixed_Rate,IF(N(Salary_Calculation[[#This Row],[Basic Payment]])&gt;0,N(Salary_Calculation[[#This Row],[Basic Payment]])/Std_Orders,0)))</f>
        <v/>
      </c>
      <c r="K455" s="165" t="str">
        <f aca="false">IF(Salary_Calculation[[#This Row],[Source Row]]="","",MAX(MIN(N(Salary_Calculation[[#This Row],[Completed Orders]]),Salary_Calculation[[#This Row],[Rider Target Orders]]),0))</f>
        <v/>
      </c>
      <c r="L455" s="164" t="str">
        <f aca="false">IF(Salary_Calculation[[#This Row],[Source Row]]="","",Salary_Calculation[[#This Row],[Orders Counted at Base Rate]]*Salary_Calculation[[#This Row],[Base Order Rate]])</f>
        <v/>
      </c>
      <c r="M455" s="165" t="str">
        <f aca="false">IF(Salary_Calculation[[#This Row],[Source Row]]="","",MAX(Salary_Calculation[[#This Row],[Rider Target Orders]]-N(Salary_Calculation[[#This Row],[Completed Orders]]),0))</f>
        <v/>
      </c>
      <c r="N455" s="164" t="str">
        <f aca="false">IF(Salary_Calculation[[#This Row],[Source Row]]="","",Salary_Calculation[[#This Row],[Missing Orders]]*Missing_Rate)</f>
        <v/>
      </c>
      <c r="O455" s="165" t="str">
        <f aca="false">IF(Salary_Calculation[[#This Row],[Source Row]]="","",MAX(N(Salary_Calculation[[#This Row],[Completed Orders]])-Salary_Calculation[[#This Row],[Rider Target Orders]],0))</f>
        <v/>
      </c>
      <c r="P455" s="164" t="str">
        <f aca="false">IF(Salary_Calculation[[#This Row],[Source Row]]="","",Salary_Calculation[[#This Row],[Extra Orders]]*Extra_Rate)</f>
        <v/>
      </c>
      <c r="Q455" s="164" t="str">
        <f aca="false">IF(Salary_Calculation[[#This Row],[Source Row]]="","",MAX(Salary_Calculation[[#This Row],[Salary Before Other Deductions]],0))</f>
        <v/>
      </c>
      <c r="R455" s="164" t="str">
        <f aca="false">IF(Salary_Calculation[[#This Row],[Source Row]]="","",N(INDEX(Rider_Input[missed_days_penalty],Salary_Calculation[[#This Row],[Source Row]])))</f>
        <v/>
      </c>
      <c r="S455" s="164" t="str">
        <f aca="false">IF(Salary_Calculation[[#This Row],[Source Row]]="","",N(INDEX(Rider_Input[Rider Balance / محفظة المندوب],Salary_Calculation[[#This Row],[Source Row]])))</f>
        <v/>
      </c>
      <c r="T455" s="164" t="str">
        <f aca="false">IF(Salary_Calculation[[#This Row],[Source Row]]="","",N(INDEX(Rider_Input[stacking_deduction / خصم الطلبات المتعددة],Salary_Calculation[[#This Row],[Source Row]])))</f>
        <v/>
      </c>
      <c r="U455" s="164" t="str">
        <f aca="false">IF(Salary_Calculation[[#This Row],[Source Row]]="","",N(INDEX(Rider_Input[Other Deductions],Salary_Calculation[[#This Row],[Source Row]])))</f>
        <v/>
      </c>
      <c r="V455" s="164" t="str">
        <f aca="false">IF(Salary_Calculation[[#This Row],[Source Row]]="","",N(Salary_Calculation[[#This Row],[missed_days_penalty]])+N(Salary_Calculation[[#This Row],[Rider Balance]])+N(Salary_Calculation[[#This Row],[stacking_deduction]])+N(Salary_Calculation[[#This Row],[Other Deductions]]))</f>
        <v/>
      </c>
      <c r="W455" s="167" t="str">
        <f aca="false">IF(Salary_Calculation[[#This Row],[Source Row]]="","",ROUND(MAX(Salary_Calculation[[#This Row],[Gross Salary Before Deductions]]-Salary_Calculation[[#This Row],[Total Deductions]],0),2))</f>
        <v/>
      </c>
      <c r="X455" s="164" t="str">
        <f aca="false">IF(Salary_Calculation[[#This Row],[Source Row]]="","",ROUND(MAX(Salary_Calculation[[#This Row],[Missing-Order Deduction]]-Salary_Calculation[[#This Row],[Earned Salary]],0),2))</f>
        <v/>
      </c>
      <c r="Y45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55" s="163" t="str">
        <f aca="false">IF(Salary_Calculation[[#This Row],[Source Row]]="","",IF(INDEX(Rider_Input[Notes],Salary_Calculation[[#This Row],[Source Row]])="","",INDEX(Rider_Input[Notes],Salary_Calculation[[#This Row],[Source Row]])))</f>
        <v/>
      </c>
      <c r="AA455" s="164" t="str">
        <f aca="false">IF(Salary_Calculation[[#This Row],[Source Row]]="","",Salary_Calculation[[#This Row],[Earned Salary]]-Salary_Calculation[[#This Row],[Missing-Order Deduction]]+Salary_Calculation[[#This Row],[Extra-Order Bonus]])</f>
        <v/>
      </c>
      <c r="AB455" s="164" t="str">
        <f aca="false">IF(Salary_Calculation[[#This Row],[Source Row]]="","",ROUND(Salary_Calculation[[#This Row],[Negative Balance / Amount Due from Rider]]+MAX(Salary_Calculation[[#This Row],[Total Deductions]]-Salary_Calculation[[#This Row],[Gross Salary Before Deductions]],0),2))</f>
        <v/>
      </c>
      <c r="AC45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55" s="164" t="str">
        <f aca="false">IF(Salary_Calculation[[#This Row],[Source Row]]="","",Salary_Calculation[[#This Row],[Rider Target Orders]]*Salary_Calculation[[#This Row],[Base Order Rate]])</f>
        <v/>
      </c>
      <c r="AE455" s="162" t="str">
        <f aca="false">IF(SUMPRODUCT(--(LEN(INDEX(Rider_Input[#Data],ROW()-ROW(Salary_Calculation[#Headers]),0))&gt;0))=0,"",ROW()-ROW(Salary_Calculation[#Headers]))</f>
        <v/>
      </c>
    </row>
    <row r="456" customFormat="false" ht="14.25" hidden="false" customHeight="false" outlineLevel="0" collapsed="false">
      <c r="A456" s="161" t="str">
        <f aca="false">IF(Salary_Calculation[[#This Row],[Source Row]]="","",IF(INDEX(Rider_Input[Salary Month],Salary_Calculation[[#This Row],[Source Row]])="","",INDEX(Rider_Input[Salary Month],Salary_Calculation[[#This Row],[Source Row]])))</f>
        <v/>
      </c>
      <c r="B456" s="162" t="str">
        <f aca="false">IF(Salary_Calculation[[#This Row],[Source Row]]="","",IF(INDEX(Rider_Input[Rider ID],Salary_Calculation[[#This Row],[Source Row]])="","",INDEX(Rider_Input[Rider ID],Salary_Calculation[[#This Row],[Source Row]])))</f>
        <v/>
      </c>
      <c r="C456" s="163" t="str">
        <f aca="false">IF(Salary_Calculation[[#This Row],[Source Row]]="","",IF(INDEX(Rider_Input[Rider Name],Salary_Calculation[[#This Row],[Source Row]])="","",INDEX(Rider_Input[Rider Name],Salary_Calculation[[#This Row],[Source Row]])))</f>
        <v/>
      </c>
      <c r="D456" s="164" t="str">
        <f aca="false">IF(Salary_Calculation[[#This Row],[Source Row]]="","",IF(INDEX(Rider_Input[Basic Payment],Salary_Calculation[[#This Row],[Source Row]])="","",INDEX(Rider_Input[Basic Payment],Salary_Calculation[[#This Row],[Source Row]])))</f>
        <v/>
      </c>
      <c r="E456" s="162" t="str">
        <f aca="false">IF(Salary_Calculation[[#This Row],[Source Row]]="","",IF(INDEX(Rider_Input[Calendar Days in Month],Salary_Calculation[[#This Row],[Source Row]])="","",INDEX(Rider_Input[Calendar Days in Month],Salary_Calculation[[#This Row],[Source Row]])))</f>
        <v/>
      </c>
      <c r="F456" s="162" t="str">
        <f aca="false">IF(Salary_Calculation[[#This Row],[Source Row]]="","",IF(INDEX(Rider_Input[Working Days],Salary_Calculation[[#This Row],[Source Row]])="","",INDEX(Rider_Input[Working Days],Salary_Calculation[[#This Row],[Source Row]])))</f>
        <v/>
      </c>
      <c r="G456" s="165" t="str">
        <f aca="false">IF(Salary_Calculation[[#This Row],[Source Row]]="","",Std_Orders/Std_Days*N(Salary_Calculation[[#This Row],[Calendar Days]]))</f>
        <v/>
      </c>
      <c r="H456" s="165" t="str">
        <f aca="false">IF(Salary_Calculation[[#This Row],[Source Row]]="","",IF(N(Salary_Calculation[[#This Row],[Calendar Days]])&gt;0,Salary_Calculation[[#This Row],[Monthly Target Orders]]/N(Salary_Calculation[[#This Row],[Calendar Days]])*N(Salary_Calculation[[#This Row],[Working Days]]),0))</f>
        <v/>
      </c>
      <c r="I456" s="166" t="str">
        <f aca="false">IF(Salary_Calculation[[#This Row],[Source Row]]="","",IF(INDEX(Rider_Input[Completed Orders],Salary_Calculation[[#This Row],[Source Row]])="","",INDEX(Rider_Input[Completed Orders],Salary_Calculation[[#This Row],[Source Row]])))</f>
        <v/>
      </c>
      <c r="J456" s="165" t="str">
        <f aca="false">IF(Salary_Calculation[[#This Row],[Source Row]]="","",IF(Rate_Method="Fixed rate",Fixed_Rate,IF(N(Salary_Calculation[[#This Row],[Basic Payment]])&gt;0,N(Salary_Calculation[[#This Row],[Basic Payment]])/Std_Orders,0)))</f>
        <v/>
      </c>
      <c r="K456" s="165" t="str">
        <f aca="false">IF(Salary_Calculation[[#This Row],[Source Row]]="","",MAX(MIN(N(Salary_Calculation[[#This Row],[Completed Orders]]),Salary_Calculation[[#This Row],[Rider Target Orders]]),0))</f>
        <v/>
      </c>
      <c r="L456" s="164" t="str">
        <f aca="false">IF(Salary_Calculation[[#This Row],[Source Row]]="","",Salary_Calculation[[#This Row],[Orders Counted at Base Rate]]*Salary_Calculation[[#This Row],[Base Order Rate]])</f>
        <v/>
      </c>
      <c r="M456" s="165" t="str">
        <f aca="false">IF(Salary_Calculation[[#This Row],[Source Row]]="","",MAX(Salary_Calculation[[#This Row],[Rider Target Orders]]-N(Salary_Calculation[[#This Row],[Completed Orders]]),0))</f>
        <v/>
      </c>
      <c r="N456" s="164" t="str">
        <f aca="false">IF(Salary_Calculation[[#This Row],[Source Row]]="","",Salary_Calculation[[#This Row],[Missing Orders]]*Missing_Rate)</f>
        <v/>
      </c>
      <c r="O456" s="165" t="str">
        <f aca="false">IF(Salary_Calculation[[#This Row],[Source Row]]="","",MAX(N(Salary_Calculation[[#This Row],[Completed Orders]])-Salary_Calculation[[#This Row],[Rider Target Orders]],0))</f>
        <v/>
      </c>
      <c r="P456" s="164" t="str">
        <f aca="false">IF(Salary_Calculation[[#This Row],[Source Row]]="","",Salary_Calculation[[#This Row],[Extra Orders]]*Extra_Rate)</f>
        <v/>
      </c>
      <c r="Q456" s="164" t="str">
        <f aca="false">IF(Salary_Calculation[[#This Row],[Source Row]]="","",MAX(Salary_Calculation[[#This Row],[Salary Before Other Deductions]],0))</f>
        <v/>
      </c>
      <c r="R456" s="164" t="str">
        <f aca="false">IF(Salary_Calculation[[#This Row],[Source Row]]="","",N(INDEX(Rider_Input[missed_days_penalty],Salary_Calculation[[#This Row],[Source Row]])))</f>
        <v/>
      </c>
      <c r="S456" s="164" t="str">
        <f aca="false">IF(Salary_Calculation[[#This Row],[Source Row]]="","",N(INDEX(Rider_Input[Rider Balance / محفظة المندوب],Salary_Calculation[[#This Row],[Source Row]])))</f>
        <v/>
      </c>
      <c r="T456" s="164" t="str">
        <f aca="false">IF(Salary_Calculation[[#This Row],[Source Row]]="","",N(INDEX(Rider_Input[stacking_deduction / خصم الطلبات المتعددة],Salary_Calculation[[#This Row],[Source Row]])))</f>
        <v/>
      </c>
      <c r="U456" s="164" t="str">
        <f aca="false">IF(Salary_Calculation[[#This Row],[Source Row]]="","",N(INDEX(Rider_Input[Other Deductions],Salary_Calculation[[#This Row],[Source Row]])))</f>
        <v/>
      </c>
      <c r="V456" s="164" t="str">
        <f aca="false">IF(Salary_Calculation[[#This Row],[Source Row]]="","",N(Salary_Calculation[[#This Row],[missed_days_penalty]])+N(Salary_Calculation[[#This Row],[Rider Balance]])+N(Salary_Calculation[[#This Row],[stacking_deduction]])+N(Salary_Calculation[[#This Row],[Other Deductions]]))</f>
        <v/>
      </c>
      <c r="W456" s="167" t="str">
        <f aca="false">IF(Salary_Calculation[[#This Row],[Source Row]]="","",ROUND(MAX(Salary_Calculation[[#This Row],[Gross Salary Before Deductions]]-Salary_Calculation[[#This Row],[Total Deductions]],0),2))</f>
        <v/>
      </c>
      <c r="X456" s="164" t="str">
        <f aca="false">IF(Salary_Calculation[[#This Row],[Source Row]]="","",ROUND(MAX(Salary_Calculation[[#This Row],[Missing-Order Deduction]]-Salary_Calculation[[#This Row],[Earned Salary]],0),2))</f>
        <v/>
      </c>
      <c r="Y45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56" s="163" t="str">
        <f aca="false">IF(Salary_Calculation[[#This Row],[Source Row]]="","",IF(INDEX(Rider_Input[Notes],Salary_Calculation[[#This Row],[Source Row]])="","",INDEX(Rider_Input[Notes],Salary_Calculation[[#This Row],[Source Row]])))</f>
        <v/>
      </c>
      <c r="AA456" s="164" t="str">
        <f aca="false">IF(Salary_Calculation[[#This Row],[Source Row]]="","",Salary_Calculation[[#This Row],[Earned Salary]]-Salary_Calculation[[#This Row],[Missing-Order Deduction]]+Salary_Calculation[[#This Row],[Extra-Order Bonus]])</f>
        <v/>
      </c>
      <c r="AB456" s="164" t="str">
        <f aca="false">IF(Salary_Calculation[[#This Row],[Source Row]]="","",ROUND(Salary_Calculation[[#This Row],[Negative Balance / Amount Due from Rider]]+MAX(Salary_Calculation[[#This Row],[Total Deductions]]-Salary_Calculation[[#This Row],[Gross Salary Before Deductions]],0),2))</f>
        <v/>
      </c>
      <c r="AC45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56" s="164" t="str">
        <f aca="false">IF(Salary_Calculation[[#This Row],[Source Row]]="","",Salary_Calculation[[#This Row],[Rider Target Orders]]*Salary_Calculation[[#This Row],[Base Order Rate]])</f>
        <v/>
      </c>
      <c r="AE456" s="162" t="str">
        <f aca="false">IF(SUMPRODUCT(--(LEN(INDEX(Rider_Input[#Data],ROW()-ROW(Salary_Calculation[#Headers]),0))&gt;0))=0,"",ROW()-ROW(Salary_Calculation[#Headers]))</f>
        <v/>
      </c>
    </row>
    <row r="457" customFormat="false" ht="14.25" hidden="false" customHeight="false" outlineLevel="0" collapsed="false">
      <c r="A457" s="161" t="str">
        <f aca="false">IF(Salary_Calculation[[#This Row],[Source Row]]="","",IF(INDEX(Rider_Input[Salary Month],Salary_Calculation[[#This Row],[Source Row]])="","",INDEX(Rider_Input[Salary Month],Salary_Calculation[[#This Row],[Source Row]])))</f>
        <v/>
      </c>
      <c r="B457" s="162" t="str">
        <f aca="false">IF(Salary_Calculation[[#This Row],[Source Row]]="","",IF(INDEX(Rider_Input[Rider ID],Salary_Calculation[[#This Row],[Source Row]])="","",INDEX(Rider_Input[Rider ID],Salary_Calculation[[#This Row],[Source Row]])))</f>
        <v/>
      </c>
      <c r="C457" s="163" t="str">
        <f aca="false">IF(Salary_Calculation[[#This Row],[Source Row]]="","",IF(INDEX(Rider_Input[Rider Name],Salary_Calculation[[#This Row],[Source Row]])="","",INDEX(Rider_Input[Rider Name],Salary_Calculation[[#This Row],[Source Row]])))</f>
        <v/>
      </c>
      <c r="D457" s="164" t="str">
        <f aca="false">IF(Salary_Calculation[[#This Row],[Source Row]]="","",IF(INDEX(Rider_Input[Basic Payment],Salary_Calculation[[#This Row],[Source Row]])="","",INDEX(Rider_Input[Basic Payment],Salary_Calculation[[#This Row],[Source Row]])))</f>
        <v/>
      </c>
      <c r="E457" s="162" t="str">
        <f aca="false">IF(Salary_Calculation[[#This Row],[Source Row]]="","",IF(INDEX(Rider_Input[Calendar Days in Month],Salary_Calculation[[#This Row],[Source Row]])="","",INDEX(Rider_Input[Calendar Days in Month],Salary_Calculation[[#This Row],[Source Row]])))</f>
        <v/>
      </c>
      <c r="F457" s="162" t="str">
        <f aca="false">IF(Salary_Calculation[[#This Row],[Source Row]]="","",IF(INDEX(Rider_Input[Working Days],Salary_Calculation[[#This Row],[Source Row]])="","",INDEX(Rider_Input[Working Days],Salary_Calculation[[#This Row],[Source Row]])))</f>
        <v/>
      </c>
      <c r="G457" s="165" t="str">
        <f aca="false">IF(Salary_Calculation[[#This Row],[Source Row]]="","",Std_Orders/Std_Days*N(Salary_Calculation[[#This Row],[Calendar Days]]))</f>
        <v/>
      </c>
      <c r="H457" s="165" t="str">
        <f aca="false">IF(Salary_Calculation[[#This Row],[Source Row]]="","",IF(N(Salary_Calculation[[#This Row],[Calendar Days]])&gt;0,Salary_Calculation[[#This Row],[Monthly Target Orders]]/N(Salary_Calculation[[#This Row],[Calendar Days]])*N(Salary_Calculation[[#This Row],[Working Days]]),0))</f>
        <v/>
      </c>
      <c r="I457" s="166" t="str">
        <f aca="false">IF(Salary_Calculation[[#This Row],[Source Row]]="","",IF(INDEX(Rider_Input[Completed Orders],Salary_Calculation[[#This Row],[Source Row]])="","",INDEX(Rider_Input[Completed Orders],Salary_Calculation[[#This Row],[Source Row]])))</f>
        <v/>
      </c>
      <c r="J457" s="165" t="str">
        <f aca="false">IF(Salary_Calculation[[#This Row],[Source Row]]="","",IF(Rate_Method="Fixed rate",Fixed_Rate,IF(N(Salary_Calculation[[#This Row],[Basic Payment]])&gt;0,N(Salary_Calculation[[#This Row],[Basic Payment]])/Std_Orders,0)))</f>
        <v/>
      </c>
      <c r="K457" s="165" t="str">
        <f aca="false">IF(Salary_Calculation[[#This Row],[Source Row]]="","",MAX(MIN(N(Salary_Calculation[[#This Row],[Completed Orders]]),Salary_Calculation[[#This Row],[Rider Target Orders]]),0))</f>
        <v/>
      </c>
      <c r="L457" s="164" t="str">
        <f aca="false">IF(Salary_Calculation[[#This Row],[Source Row]]="","",Salary_Calculation[[#This Row],[Orders Counted at Base Rate]]*Salary_Calculation[[#This Row],[Base Order Rate]])</f>
        <v/>
      </c>
      <c r="M457" s="165" t="str">
        <f aca="false">IF(Salary_Calculation[[#This Row],[Source Row]]="","",MAX(Salary_Calculation[[#This Row],[Rider Target Orders]]-N(Salary_Calculation[[#This Row],[Completed Orders]]),0))</f>
        <v/>
      </c>
      <c r="N457" s="164" t="str">
        <f aca="false">IF(Salary_Calculation[[#This Row],[Source Row]]="","",Salary_Calculation[[#This Row],[Missing Orders]]*Missing_Rate)</f>
        <v/>
      </c>
      <c r="O457" s="165" t="str">
        <f aca="false">IF(Salary_Calculation[[#This Row],[Source Row]]="","",MAX(N(Salary_Calculation[[#This Row],[Completed Orders]])-Salary_Calculation[[#This Row],[Rider Target Orders]],0))</f>
        <v/>
      </c>
      <c r="P457" s="164" t="str">
        <f aca="false">IF(Salary_Calculation[[#This Row],[Source Row]]="","",Salary_Calculation[[#This Row],[Extra Orders]]*Extra_Rate)</f>
        <v/>
      </c>
      <c r="Q457" s="164" t="str">
        <f aca="false">IF(Salary_Calculation[[#This Row],[Source Row]]="","",MAX(Salary_Calculation[[#This Row],[Salary Before Other Deductions]],0))</f>
        <v/>
      </c>
      <c r="R457" s="164" t="str">
        <f aca="false">IF(Salary_Calculation[[#This Row],[Source Row]]="","",N(INDEX(Rider_Input[missed_days_penalty],Salary_Calculation[[#This Row],[Source Row]])))</f>
        <v/>
      </c>
      <c r="S457" s="164" t="str">
        <f aca="false">IF(Salary_Calculation[[#This Row],[Source Row]]="","",N(INDEX(Rider_Input[Rider Balance / محفظة المندوب],Salary_Calculation[[#This Row],[Source Row]])))</f>
        <v/>
      </c>
      <c r="T457" s="164" t="str">
        <f aca="false">IF(Salary_Calculation[[#This Row],[Source Row]]="","",N(INDEX(Rider_Input[stacking_deduction / خصم الطلبات المتعددة],Salary_Calculation[[#This Row],[Source Row]])))</f>
        <v/>
      </c>
      <c r="U457" s="164" t="str">
        <f aca="false">IF(Salary_Calculation[[#This Row],[Source Row]]="","",N(INDEX(Rider_Input[Other Deductions],Salary_Calculation[[#This Row],[Source Row]])))</f>
        <v/>
      </c>
      <c r="V457" s="164" t="str">
        <f aca="false">IF(Salary_Calculation[[#This Row],[Source Row]]="","",N(Salary_Calculation[[#This Row],[missed_days_penalty]])+N(Salary_Calculation[[#This Row],[Rider Balance]])+N(Salary_Calculation[[#This Row],[stacking_deduction]])+N(Salary_Calculation[[#This Row],[Other Deductions]]))</f>
        <v/>
      </c>
      <c r="W457" s="167" t="str">
        <f aca="false">IF(Salary_Calculation[[#This Row],[Source Row]]="","",ROUND(MAX(Salary_Calculation[[#This Row],[Gross Salary Before Deductions]]-Salary_Calculation[[#This Row],[Total Deductions]],0),2))</f>
        <v/>
      </c>
      <c r="X457" s="164" t="str">
        <f aca="false">IF(Salary_Calculation[[#This Row],[Source Row]]="","",ROUND(MAX(Salary_Calculation[[#This Row],[Missing-Order Deduction]]-Salary_Calculation[[#This Row],[Earned Salary]],0),2))</f>
        <v/>
      </c>
      <c r="Y45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57" s="163" t="str">
        <f aca="false">IF(Salary_Calculation[[#This Row],[Source Row]]="","",IF(INDEX(Rider_Input[Notes],Salary_Calculation[[#This Row],[Source Row]])="","",INDEX(Rider_Input[Notes],Salary_Calculation[[#This Row],[Source Row]])))</f>
        <v/>
      </c>
      <c r="AA457" s="164" t="str">
        <f aca="false">IF(Salary_Calculation[[#This Row],[Source Row]]="","",Salary_Calculation[[#This Row],[Earned Salary]]-Salary_Calculation[[#This Row],[Missing-Order Deduction]]+Salary_Calculation[[#This Row],[Extra-Order Bonus]])</f>
        <v/>
      </c>
      <c r="AB457" s="164" t="str">
        <f aca="false">IF(Salary_Calculation[[#This Row],[Source Row]]="","",ROUND(Salary_Calculation[[#This Row],[Negative Balance / Amount Due from Rider]]+MAX(Salary_Calculation[[#This Row],[Total Deductions]]-Salary_Calculation[[#This Row],[Gross Salary Before Deductions]],0),2))</f>
        <v/>
      </c>
      <c r="AC45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57" s="164" t="str">
        <f aca="false">IF(Salary_Calculation[[#This Row],[Source Row]]="","",Salary_Calculation[[#This Row],[Rider Target Orders]]*Salary_Calculation[[#This Row],[Base Order Rate]])</f>
        <v/>
      </c>
      <c r="AE457" s="162" t="str">
        <f aca="false">IF(SUMPRODUCT(--(LEN(INDEX(Rider_Input[#Data],ROW()-ROW(Salary_Calculation[#Headers]),0))&gt;0))=0,"",ROW()-ROW(Salary_Calculation[#Headers]))</f>
        <v/>
      </c>
    </row>
    <row r="458" customFormat="false" ht="14.25" hidden="false" customHeight="false" outlineLevel="0" collapsed="false">
      <c r="A458" s="161" t="str">
        <f aca="false">IF(Salary_Calculation[[#This Row],[Source Row]]="","",IF(INDEX(Rider_Input[Salary Month],Salary_Calculation[[#This Row],[Source Row]])="","",INDEX(Rider_Input[Salary Month],Salary_Calculation[[#This Row],[Source Row]])))</f>
        <v/>
      </c>
      <c r="B458" s="162" t="str">
        <f aca="false">IF(Salary_Calculation[[#This Row],[Source Row]]="","",IF(INDEX(Rider_Input[Rider ID],Salary_Calculation[[#This Row],[Source Row]])="","",INDEX(Rider_Input[Rider ID],Salary_Calculation[[#This Row],[Source Row]])))</f>
        <v/>
      </c>
      <c r="C458" s="163" t="str">
        <f aca="false">IF(Salary_Calculation[[#This Row],[Source Row]]="","",IF(INDEX(Rider_Input[Rider Name],Salary_Calculation[[#This Row],[Source Row]])="","",INDEX(Rider_Input[Rider Name],Salary_Calculation[[#This Row],[Source Row]])))</f>
        <v/>
      </c>
      <c r="D458" s="164" t="str">
        <f aca="false">IF(Salary_Calculation[[#This Row],[Source Row]]="","",IF(INDEX(Rider_Input[Basic Payment],Salary_Calculation[[#This Row],[Source Row]])="","",INDEX(Rider_Input[Basic Payment],Salary_Calculation[[#This Row],[Source Row]])))</f>
        <v/>
      </c>
      <c r="E458" s="162" t="str">
        <f aca="false">IF(Salary_Calculation[[#This Row],[Source Row]]="","",IF(INDEX(Rider_Input[Calendar Days in Month],Salary_Calculation[[#This Row],[Source Row]])="","",INDEX(Rider_Input[Calendar Days in Month],Salary_Calculation[[#This Row],[Source Row]])))</f>
        <v/>
      </c>
      <c r="F458" s="162" t="str">
        <f aca="false">IF(Salary_Calculation[[#This Row],[Source Row]]="","",IF(INDEX(Rider_Input[Working Days],Salary_Calculation[[#This Row],[Source Row]])="","",INDEX(Rider_Input[Working Days],Salary_Calculation[[#This Row],[Source Row]])))</f>
        <v/>
      </c>
      <c r="G458" s="165" t="str">
        <f aca="false">IF(Salary_Calculation[[#This Row],[Source Row]]="","",Std_Orders/Std_Days*N(Salary_Calculation[[#This Row],[Calendar Days]]))</f>
        <v/>
      </c>
      <c r="H458" s="165" t="str">
        <f aca="false">IF(Salary_Calculation[[#This Row],[Source Row]]="","",IF(N(Salary_Calculation[[#This Row],[Calendar Days]])&gt;0,Salary_Calculation[[#This Row],[Monthly Target Orders]]/N(Salary_Calculation[[#This Row],[Calendar Days]])*N(Salary_Calculation[[#This Row],[Working Days]]),0))</f>
        <v/>
      </c>
      <c r="I458" s="166" t="str">
        <f aca="false">IF(Salary_Calculation[[#This Row],[Source Row]]="","",IF(INDEX(Rider_Input[Completed Orders],Salary_Calculation[[#This Row],[Source Row]])="","",INDEX(Rider_Input[Completed Orders],Salary_Calculation[[#This Row],[Source Row]])))</f>
        <v/>
      </c>
      <c r="J458" s="165" t="str">
        <f aca="false">IF(Salary_Calculation[[#This Row],[Source Row]]="","",IF(Rate_Method="Fixed rate",Fixed_Rate,IF(N(Salary_Calculation[[#This Row],[Basic Payment]])&gt;0,N(Salary_Calculation[[#This Row],[Basic Payment]])/Std_Orders,0)))</f>
        <v/>
      </c>
      <c r="K458" s="165" t="str">
        <f aca="false">IF(Salary_Calculation[[#This Row],[Source Row]]="","",MAX(MIN(N(Salary_Calculation[[#This Row],[Completed Orders]]),Salary_Calculation[[#This Row],[Rider Target Orders]]),0))</f>
        <v/>
      </c>
      <c r="L458" s="164" t="str">
        <f aca="false">IF(Salary_Calculation[[#This Row],[Source Row]]="","",Salary_Calculation[[#This Row],[Orders Counted at Base Rate]]*Salary_Calculation[[#This Row],[Base Order Rate]])</f>
        <v/>
      </c>
      <c r="M458" s="165" t="str">
        <f aca="false">IF(Salary_Calculation[[#This Row],[Source Row]]="","",MAX(Salary_Calculation[[#This Row],[Rider Target Orders]]-N(Salary_Calculation[[#This Row],[Completed Orders]]),0))</f>
        <v/>
      </c>
      <c r="N458" s="164" t="str">
        <f aca="false">IF(Salary_Calculation[[#This Row],[Source Row]]="","",Salary_Calculation[[#This Row],[Missing Orders]]*Missing_Rate)</f>
        <v/>
      </c>
      <c r="O458" s="165" t="str">
        <f aca="false">IF(Salary_Calculation[[#This Row],[Source Row]]="","",MAX(N(Salary_Calculation[[#This Row],[Completed Orders]])-Salary_Calculation[[#This Row],[Rider Target Orders]],0))</f>
        <v/>
      </c>
      <c r="P458" s="164" t="str">
        <f aca="false">IF(Salary_Calculation[[#This Row],[Source Row]]="","",Salary_Calculation[[#This Row],[Extra Orders]]*Extra_Rate)</f>
        <v/>
      </c>
      <c r="Q458" s="164" t="str">
        <f aca="false">IF(Salary_Calculation[[#This Row],[Source Row]]="","",MAX(Salary_Calculation[[#This Row],[Salary Before Other Deductions]],0))</f>
        <v/>
      </c>
      <c r="R458" s="164" t="str">
        <f aca="false">IF(Salary_Calculation[[#This Row],[Source Row]]="","",N(INDEX(Rider_Input[missed_days_penalty],Salary_Calculation[[#This Row],[Source Row]])))</f>
        <v/>
      </c>
      <c r="S458" s="164" t="str">
        <f aca="false">IF(Salary_Calculation[[#This Row],[Source Row]]="","",N(INDEX(Rider_Input[Rider Balance / محفظة المندوب],Salary_Calculation[[#This Row],[Source Row]])))</f>
        <v/>
      </c>
      <c r="T458" s="164" t="str">
        <f aca="false">IF(Salary_Calculation[[#This Row],[Source Row]]="","",N(INDEX(Rider_Input[stacking_deduction / خصم الطلبات المتعددة],Salary_Calculation[[#This Row],[Source Row]])))</f>
        <v/>
      </c>
      <c r="U458" s="164" t="str">
        <f aca="false">IF(Salary_Calculation[[#This Row],[Source Row]]="","",N(INDEX(Rider_Input[Other Deductions],Salary_Calculation[[#This Row],[Source Row]])))</f>
        <v/>
      </c>
      <c r="V458" s="164" t="str">
        <f aca="false">IF(Salary_Calculation[[#This Row],[Source Row]]="","",N(Salary_Calculation[[#This Row],[missed_days_penalty]])+N(Salary_Calculation[[#This Row],[Rider Balance]])+N(Salary_Calculation[[#This Row],[stacking_deduction]])+N(Salary_Calculation[[#This Row],[Other Deductions]]))</f>
        <v/>
      </c>
      <c r="W458" s="167" t="str">
        <f aca="false">IF(Salary_Calculation[[#This Row],[Source Row]]="","",ROUND(MAX(Salary_Calculation[[#This Row],[Gross Salary Before Deductions]]-Salary_Calculation[[#This Row],[Total Deductions]],0),2))</f>
        <v/>
      </c>
      <c r="X458" s="164" t="str">
        <f aca="false">IF(Salary_Calculation[[#This Row],[Source Row]]="","",ROUND(MAX(Salary_Calculation[[#This Row],[Missing-Order Deduction]]-Salary_Calculation[[#This Row],[Earned Salary]],0),2))</f>
        <v/>
      </c>
      <c r="Y45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58" s="163" t="str">
        <f aca="false">IF(Salary_Calculation[[#This Row],[Source Row]]="","",IF(INDEX(Rider_Input[Notes],Salary_Calculation[[#This Row],[Source Row]])="","",INDEX(Rider_Input[Notes],Salary_Calculation[[#This Row],[Source Row]])))</f>
        <v/>
      </c>
      <c r="AA458" s="164" t="str">
        <f aca="false">IF(Salary_Calculation[[#This Row],[Source Row]]="","",Salary_Calculation[[#This Row],[Earned Salary]]-Salary_Calculation[[#This Row],[Missing-Order Deduction]]+Salary_Calculation[[#This Row],[Extra-Order Bonus]])</f>
        <v/>
      </c>
      <c r="AB458" s="164" t="str">
        <f aca="false">IF(Salary_Calculation[[#This Row],[Source Row]]="","",ROUND(Salary_Calculation[[#This Row],[Negative Balance / Amount Due from Rider]]+MAX(Salary_Calculation[[#This Row],[Total Deductions]]-Salary_Calculation[[#This Row],[Gross Salary Before Deductions]],0),2))</f>
        <v/>
      </c>
      <c r="AC45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58" s="164" t="str">
        <f aca="false">IF(Salary_Calculation[[#This Row],[Source Row]]="","",Salary_Calculation[[#This Row],[Rider Target Orders]]*Salary_Calculation[[#This Row],[Base Order Rate]])</f>
        <v/>
      </c>
      <c r="AE458" s="162" t="str">
        <f aca="false">IF(SUMPRODUCT(--(LEN(INDEX(Rider_Input[#Data],ROW()-ROW(Salary_Calculation[#Headers]),0))&gt;0))=0,"",ROW()-ROW(Salary_Calculation[#Headers]))</f>
        <v/>
      </c>
    </row>
    <row r="459" customFormat="false" ht="14.25" hidden="false" customHeight="false" outlineLevel="0" collapsed="false">
      <c r="A459" s="161" t="str">
        <f aca="false">IF(Salary_Calculation[[#This Row],[Source Row]]="","",IF(INDEX(Rider_Input[Salary Month],Salary_Calculation[[#This Row],[Source Row]])="","",INDEX(Rider_Input[Salary Month],Salary_Calculation[[#This Row],[Source Row]])))</f>
        <v/>
      </c>
      <c r="B459" s="162" t="str">
        <f aca="false">IF(Salary_Calculation[[#This Row],[Source Row]]="","",IF(INDEX(Rider_Input[Rider ID],Salary_Calculation[[#This Row],[Source Row]])="","",INDEX(Rider_Input[Rider ID],Salary_Calculation[[#This Row],[Source Row]])))</f>
        <v/>
      </c>
      <c r="C459" s="163" t="str">
        <f aca="false">IF(Salary_Calculation[[#This Row],[Source Row]]="","",IF(INDEX(Rider_Input[Rider Name],Salary_Calculation[[#This Row],[Source Row]])="","",INDEX(Rider_Input[Rider Name],Salary_Calculation[[#This Row],[Source Row]])))</f>
        <v/>
      </c>
      <c r="D459" s="164" t="str">
        <f aca="false">IF(Salary_Calculation[[#This Row],[Source Row]]="","",IF(INDEX(Rider_Input[Basic Payment],Salary_Calculation[[#This Row],[Source Row]])="","",INDEX(Rider_Input[Basic Payment],Salary_Calculation[[#This Row],[Source Row]])))</f>
        <v/>
      </c>
      <c r="E459" s="162" t="str">
        <f aca="false">IF(Salary_Calculation[[#This Row],[Source Row]]="","",IF(INDEX(Rider_Input[Calendar Days in Month],Salary_Calculation[[#This Row],[Source Row]])="","",INDEX(Rider_Input[Calendar Days in Month],Salary_Calculation[[#This Row],[Source Row]])))</f>
        <v/>
      </c>
      <c r="F459" s="162" t="str">
        <f aca="false">IF(Salary_Calculation[[#This Row],[Source Row]]="","",IF(INDEX(Rider_Input[Working Days],Salary_Calculation[[#This Row],[Source Row]])="","",INDEX(Rider_Input[Working Days],Salary_Calculation[[#This Row],[Source Row]])))</f>
        <v/>
      </c>
      <c r="G459" s="165" t="str">
        <f aca="false">IF(Salary_Calculation[[#This Row],[Source Row]]="","",Std_Orders/Std_Days*N(Salary_Calculation[[#This Row],[Calendar Days]]))</f>
        <v/>
      </c>
      <c r="H459" s="165" t="str">
        <f aca="false">IF(Salary_Calculation[[#This Row],[Source Row]]="","",IF(N(Salary_Calculation[[#This Row],[Calendar Days]])&gt;0,Salary_Calculation[[#This Row],[Monthly Target Orders]]/N(Salary_Calculation[[#This Row],[Calendar Days]])*N(Salary_Calculation[[#This Row],[Working Days]]),0))</f>
        <v/>
      </c>
      <c r="I459" s="166" t="str">
        <f aca="false">IF(Salary_Calculation[[#This Row],[Source Row]]="","",IF(INDEX(Rider_Input[Completed Orders],Salary_Calculation[[#This Row],[Source Row]])="","",INDEX(Rider_Input[Completed Orders],Salary_Calculation[[#This Row],[Source Row]])))</f>
        <v/>
      </c>
      <c r="J459" s="165" t="str">
        <f aca="false">IF(Salary_Calculation[[#This Row],[Source Row]]="","",IF(Rate_Method="Fixed rate",Fixed_Rate,IF(N(Salary_Calculation[[#This Row],[Basic Payment]])&gt;0,N(Salary_Calculation[[#This Row],[Basic Payment]])/Std_Orders,0)))</f>
        <v/>
      </c>
      <c r="K459" s="165" t="str">
        <f aca="false">IF(Salary_Calculation[[#This Row],[Source Row]]="","",MAX(MIN(N(Salary_Calculation[[#This Row],[Completed Orders]]),Salary_Calculation[[#This Row],[Rider Target Orders]]),0))</f>
        <v/>
      </c>
      <c r="L459" s="164" t="str">
        <f aca="false">IF(Salary_Calculation[[#This Row],[Source Row]]="","",Salary_Calculation[[#This Row],[Orders Counted at Base Rate]]*Salary_Calculation[[#This Row],[Base Order Rate]])</f>
        <v/>
      </c>
      <c r="M459" s="165" t="str">
        <f aca="false">IF(Salary_Calculation[[#This Row],[Source Row]]="","",MAX(Salary_Calculation[[#This Row],[Rider Target Orders]]-N(Salary_Calculation[[#This Row],[Completed Orders]]),0))</f>
        <v/>
      </c>
      <c r="N459" s="164" t="str">
        <f aca="false">IF(Salary_Calculation[[#This Row],[Source Row]]="","",Salary_Calculation[[#This Row],[Missing Orders]]*Missing_Rate)</f>
        <v/>
      </c>
      <c r="O459" s="165" t="str">
        <f aca="false">IF(Salary_Calculation[[#This Row],[Source Row]]="","",MAX(N(Salary_Calculation[[#This Row],[Completed Orders]])-Salary_Calculation[[#This Row],[Rider Target Orders]],0))</f>
        <v/>
      </c>
      <c r="P459" s="164" t="str">
        <f aca="false">IF(Salary_Calculation[[#This Row],[Source Row]]="","",Salary_Calculation[[#This Row],[Extra Orders]]*Extra_Rate)</f>
        <v/>
      </c>
      <c r="Q459" s="164" t="str">
        <f aca="false">IF(Salary_Calculation[[#This Row],[Source Row]]="","",MAX(Salary_Calculation[[#This Row],[Salary Before Other Deductions]],0))</f>
        <v/>
      </c>
      <c r="R459" s="164" t="str">
        <f aca="false">IF(Salary_Calculation[[#This Row],[Source Row]]="","",N(INDEX(Rider_Input[missed_days_penalty],Salary_Calculation[[#This Row],[Source Row]])))</f>
        <v/>
      </c>
      <c r="S459" s="164" t="str">
        <f aca="false">IF(Salary_Calculation[[#This Row],[Source Row]]="","",N(INDEX(Rider_Input[Rider Balance / محفظة المندوب],Salary_Calculation[[#This Row],[Source Row]])))</f>
        <v/>
      </c>
      <c r="T459" s="164" t="str">
        <f aca="false">IF(Salary_Calculation[[#This Row],[Source Row]]="","",N(INDEX(Rider_Input[stacking_deduction / خصم الطلبات المتعددة],Salary_Calculation[[#This Row],[Source Row]])))</f>
        <v/>
      </c>
      <c r="U459" s="164" t="str">
        <f aca="false">IF(Salary_Calculation[[#This Row],[Source Row]]="","",N(INDEX(Rider_Input[Other Deductions],Salary_Calculation[[#This Row],[Source Row]])))</f>
        <v/>
      </c>
      <c r="V459" s="164" t="str">
        <f aca="false">IF(Salary_Calculation[[#This Row],[Source Row]]="","",N(Salary_Calculation[[#This Row],[missed_days_penalty]])+N(Salary_Calculation[[#This Row],[Rider Balance]])+N(Salary_Calculation[[#This Row],[stacking_deduction]])+N(Salary_Calculation[[#This Row],[Other Deductions]]))</f>
        <v/>
      </c>
      <c r="W459" s="167" t="str">
        <f aca="false">IF(Salary_Calculation[[#This Row],[Source Row]]="","",ROUND(MAX(Salary_Calculation[[#This Row],[Gross Salary Before Deductions]]-Salary_Calculation[[#This Row],[Total Deductions]],0),2))</f>
        <v/>
      </c>
      <c r="X459" s="164" t="str">
        <f aca="false">IF(Salary_Calculation[[#This Row],[Source Row]]="","",ROUND(MAX(Salary_Calculation[[#This Row],[Missing-Order Deduction]]-Salary_Calculation[[#This Row],[Earned Salary]],0),2))</f>
        <v/>
      </c>
      <c r="Y45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59" s="163" t="str">
        <f aca="false">IF(Salary_Calculation[[#This Row],[Source Row]]="","",IF(INDEX(Rider_Input[Notes],Salary_Calculation[[#This Row],[Source Row]])="","",INDEX(Rider_Input[Notes],Salary_Calculation[[#This Row],[Source Row]])))</f>
        <v/>
      </c>
      <c r="AA459" s="164" t="str">
        <f aca="false">IF(Salary_Calculation[[#This Row],[Source Row]]="","",Salary_Calculation[[#This Row],[Earned Salary]]-Salary_Calculation[[#This Row],[Missing-Order Deduction]]+Salary_Calculation[[#This Row],[Extra-Order Bonus]])</f>
        <v/>
      </c>
      <c r="AB459" s="164" t="str">
        <f aca="false">IF(Salary_Calculation[[#This Row],[Source Row]]="","",ROUND(Salary_Calculation[[#This Row],[Negative Balance / Amount Due from Rider]]+MAX(Salary_Calculation[[#This Row],[Total Deductions]]-Salary_Calculation[[#This Row],[Gross Salary Before Deductions]],0),2))</f>
        <v/>
      </c>
      <c r="AC45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59" s="164" t="str">
        <f aca="false">IF(Salary_Calculation[[#This Row],[Source Row]]="","",Salary_Calculation[[#This Row],[Rider Target Orders]]*Salary_Calculation[[#This Row],[Base Order Rate]])</f>
        <v/>
      </c>
      <c r="AE459" s="162" t="str">
        <f aca="false">IF(SUMPRODUCT(--(LEN(INDEX(Rider_Input[#Data],ROW()-ROW(Salary_Calculation[#Headers]),0))&gt;0))=0,"",ROW()-ROW(Salary_Calculation[#Headers]))</f>
        <v/>
      </c>
    </row>
    <row r="460" customFormat="false" ht="14.25" hidden="false" customHeight="false" outlineLevel="0" collapsed="false">
      <c r="A460" s="161" t="str">
        <f aca="false">IF(Salary_Calculation[[#This Row],[Source Row]]="","",IF(INDEX(Rider_Input[Salary Month],Salary_Calculation[[#This Row],[Source Row]])="","",INDEX(Rider_Input[Salary Month],Salary_Calculation[[#This Row],[Source Row]])))</f>
        <v/>
      </c>
      <c r="B460" s="162" t="str">
        <f aca="false">IF(Salary_Calculation[[#This Row],[Source Row]]="","",IF(INDEX(Rider_Input[Rider ID],Salary_Calculation[[#This Row],[Source Row]])="","",INDEX(Rider_Input[Rider ID],Salary_Calculation[[#This Row],[Source Row]])))</f>
        <v/>
      </c>
      <c r="C460" s="163" t="str">
        <f aca="false">IF(Salary_Calculation[[#This Row],[Source Row]]="","",IF(INDEX(Rider_Input[Rider Name],Salary_Calculation[[#This Row],[Source Row]])="","",INDEX(Rider_Input[Rider Name],Salary_Calculation[[#This Row],[Source Row]])))</f>
        <v/>
      </c>
      <c r="D460" s="164" t="str">
        <f aca="false">IF(Salary_Calculation[[#This Row],[Source Row]]="","",IF(INDEX(Rider_Input[Basic Payment],Salary_Calculation[[#This Row],[Source Row]])="","",INDEX(Rider_Input[Basic Payment],Salary_Calculation[[#This Row],[Source Row]])))</f>
        <v/>
      </c>
      <c r="E460" s="162" t="str">
        <f aca="false">IF(Salary_Calculation[[#This Row],[Source Row]]="","",IF(INDEX(Rider_Input[Calendar Days in Month],Salary_Calculation[[#This Row],[Source Row]])="","",INDEX(Rider_Input[Calendar Days in Month],Salary_Calculation[[#This Row],[Source Row]])))</f>
        <v/>
      </c>
      <c r="F460" s="162" t="str">
        <f aca="false">IF(Salary_Calculation[[#This Row],[Source Row]]="","",IF(INDEX(Rider_Input[Working Days],Salary_Calculation[[#This Row],[Source Row]])="","",INDEX(Rider_Input[Working Days],Salary_Calculation[[#This Row],[Source Row]])))</f>
        <v/>
      </c>
      <c r="G460" s="165" t="str">
        <f aca="false">IF(Salary_Calculation[[#This Row],[Source Row]]="","",Std_Orders/Std_Days*N(Salary_Calculation[[#This Row],[Calendar Days]]))</f>
        <v/>
      </c>
      <c r="H460" s="165" t="str">
        <f aca="false">IF(Salary_Calculation[[#This Row],[Source Row]]="","",IF(N(Salary_Calculation[[#This Row],[Calendar Days]])&gt;0,Salary_Calculation[[#This Row],[Monthly Target Orders]]/N(Salary_Calculation[[#This Row],[Calendar Days]])*N(Salary_Calculation[[#This Row],[Working Days]]),0))</f>
        <v/>
      </c>
      <c r="I460" s="166" t="str">
        <f aca="false">IF(Salary_Calculation[[#This Row],[Source Row]]="","",IF(INDEX(Rider_Input[Completed Orders],Salary_Calculation[[#This Row],[Source Row]])="","",INDEX(Rider_Input[Completed Orders],Salary_Calculation[[#This Row],[Source Row]])))</f>
        <v/>
      </c>
      <c r="J460" s="165" t="str">
        <f aca="false">IF(Salary_Calculation[[#This Row],[Source Row]]="","",IF(Rate_Method="Fixed rate",Fixed_Rate,IF(N(Salary_Calculation[[#This Row],[Basic Payment]])&gt;0,N(Salary_Calculation[[#This Row],[Basic Payment]])/Std_Orders,0)))</f>
        <v/>
      </c>
      <c r="K460" s="165" t="str">
        <f aca="false">IF(Salary_Calculation[[#This Row],[Source Row]]="","",MAX(MIN(N(Salary_Calculation[[#This Row],[Completed Orders]]),Salary_Calculation[[#This Row],[Rider Target Orders]]),0))</f>
        <v/>
      </c>
      <c r="L460" s="164" t="str">
        <f aca="false">IF(Salary_Calculation[[#This Row],[Source Row]]="","",Salary_Calculation[[#This Row],[Orders Counted at Base Rate]]*Salary_Calculation[[#This Row],[Base Order Rate]])</f>
        <v/>
      </c>
      <c r="M460" s="165" t="str">
        <f aca="false">IF(Salary_Calculation[[#This Row],[Source Row]]="","",MAX(Salary_Calculation[[#This Row],[Rider Target Orders]]-N(Salary_Calculation[[#This Row],[Completed Orders]]),0))</f>
        <v/>
      </c>
      <c r="N460" s="164" t="str">
        <f aca="false">IF(Salary_Calculation[[#This Row],[Source Row]]="","",Salary_Calculation[[#This Row],[Missing Orders]]*Missing_Rate)</f>
        <v/>
      </c>
      <c r="O460" s="165" t="str">
        <f aca="false">IF(Salary_Calculation[[#This Row],[Source Row]]="","",MAX(N(Salary_Calculation[[#This Row],[Completed Orders]])-Salary_Calculation[[#This Row],[Rider Target Orders]],0))</f>
        <v/>
      </c>
      <c r="P460" s="164" t="str">
        <f aca="false">IF(Salary_Calculation[[#This Row],[Source Row]]="","",Salary_Calculation[[#This Row],[Extra Orders]]*Extra_Rate)</f>
        <v/>
      </c>
      <c r="Q460" s="164" t="str">
        <f aca="false">IF(Salary_Calculation[[#This Row],[Source Row]]="","",MAX(Salary_Calculation[[#This Row],[Salary Before Other Deductions]],0))</f>
        <v/>
      </c>
      <c r="R460" s="164" t="str">
        <f aca="false">IF(Salary_Calculation[[#This Row],[Source Row]]="","",N(INDEX(Rider_Input[missed_days_penalty],Salary_Calculation[[#This Row],[Source Row]])))</f>
        <v/>
      </c>
      <c r="S460" s="164" t="str">
        <f aca="false">IF(Salary_Calculation[[#This Row],[Source Row]]="","",N(INDEX(Rider_Input[Rider Balance / محفظة المندوب],Salary_Calculation[[#This Row],[Source Row]])))</f>
        <v/>
      </c>
      <c r="T460" s="164" t="str">
        <f aca="false">IF(Salary_Calculation[[#This Row],[Source Row]]="","",N(INDEX(Rider_Input[stacking_deduction / خصم الطلبات المتعددة],Salary_Calculation[[#This Row],[Source Row]])))</f>
        <v/>
      </c>
      <c r="U460" s="164" t="str">
        <f aca="false">IF(Salary_Calculation[[#This Row],[Source Row]]="","",N(INDEX(Rider_Input[Other Deductions],Salary_Calculation[[#This Row],[Source Row]])))</f>
        <v/>
      </c>
      <c r="V460" s="164" t="str">
        <f aca="false">IF(Salary_Calculation[[#This Row],[Source Row]]="","",N(Salary_Calculation[[#This Row],[missed_days_penalty]])+N(Salary_Calculation[[#This Row],[Rider Balance]])+N(Salary_Calculation[[#This Row],[stacking_deduction]])+N(Salary_Calculation[[#This Row],[Other Deductions]]))</f>
        <v/>
      </c>
      <c r="W460" s="167" t="str">
        <f aca="false">IF(Salary_Calculation[[#This Row],[Source Row]]="","",ROUND(MAX(Salary_Calculation[[#This Row],[Gross Salary Before Deductions]]-Salary_Calculation[[#This Row],[Total Deductions]],0),2))</f>
        <v/>
      </c>
      <c r="X460" s="164" t="str">
        <f aca="false">IF(Salary_Calculation[[#This Row],[Source Row]]="","",ROUND(MAX(Salary_Calculation[[#This Row],[Missing-Order Deduction]]-Salary_Calculation[[#This Row],[Earned Salary]],0),2))</f>
        <v/>
      </c>
      <c r="Y46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60" s="163" t="str">
        <f aca="false">IF(Salary_Calculation[[#This Row],[Source Row]]="","",IF(INDEX(Rider_Input[Notes],Salary_Calculation[[#This Row],[Source Row]])="","",INDEX(Rider_Input[Notes],Salary_Calculation[[#This Row],[Source Row]])))</f>
        <v/>
      </c>
      <c r="AA460" s="164" t="str">
        <f aca="false">IF(Salary_Calculation[[#This Row],[Source Row]]="","",Salary_Calculation[[#This Row],[Earned Salary]]-Salary_Calculation[[#This Row],[Missing-Order Deduction]]+Salary_Calculation[[#This Row],[Extra-Order Bonus]])</f>
        <v/>
      </c>
      <c r="AB460" s="164" t="str">
        <f aca="false">IF(Salary_Calculation[[#This Row],[Source Row]]="","",ROUND(Salary_Calculation[[#This Row],[Negative Balance / Amount Due from Rider]]+MAX(Salary_Calculation[[#This Row],[Total Deductions]]-Salary_Calculation[[#This Row],[Gross Salary Before Deductions]],0),2))</f>
        <v/>
      </c>
      <c r="AC46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60" s="164" t="str">
        <f aca="false">IF(Salary_Calculation[[#This Row],[Source Row]]="","",Salary_Calculation[[#This Row],[Rider Target Orders]]*Salary_Calculation[[#This Row],[Base Order Rate]])</f>
        <v/>
      </c>
      <c r="AE460" s="162" t="str">
        <f aca="false">IF(SUMPRODUCT(--(LEN(INDEX(Rider_Input[#Data],ROW()-ROW(Salary_Calculation[#Headers]),0))&gt;0))=0,"",ROW()-ROW(Salary_Calculation[#Headers]))</f>
        <v/>
      </c>
    </row>
    <row r="461" customFormat="false" ht="14.25" hidden="false" customHeight="false" outlineLevel="0" collapsed="false">
      <c r="A461" s="161" t="str">
        <f aca="false">IF(Salary_Calculation[[#This Row],[Source Row]]="","",IF(INDEX(Rider_Input[Salary Month],Salary_Calculation[[#This Row],[Source Row]])="","",INDEX(Rider_Input[Salary Month],Salary_Calculation[[#This Row],[Source Row]])))</f>
        <v/>
      </c>
      <c r="B461" s="162" t="str">
        <f aca="false">IF(Salary_Calculation[[#This Row],[Source Row]]="","",IF(INDEX(Rider_Input[Rider ID],Salary_Calculation[[#This Row],[Source Row]])="","",INDEX(Rider_Input[Rider ID],Salary_Calculation[[#This Row],[Source Row]])))</f>
        <v/>
      </c>
      <c r="C461" s="163" t="str">
        <f aca="false">IF(Salary_Calculation[[#This Row],[Source Row]]="","",IF(INDEX(Rider_Input[Rider Name],Salary_Calculation[[#This Row],[Source Row]])="","",INDEX(Rider_Input[Rider Name],Salary_Calculation[[#This Row],[Source Row]])))</f>
        <v/>
      </c>
      <c r="D461" s="164" t="str">
        <f aca="false">IF(Salary_Calculation[[#This Row],[Source Row]]="","",IF(INDEX(Rider_Input[Basic Payment],Salary_Calculation[[#This Row],[Source Row]])="","",INDEX(Rider_Input[Basic Payment],Salary_Calculation[[#This Row],[Source Row]])))</f>
        <v/>
      </c>
      <c r="E461" s="162" t="str">
        <f aca="false">IF(Salary_Calculation[[#This Row],[Source Row]]="","",IF(INDEX(Rider_Input[Calendar Days in Month],Salary_Calculation[[#This Row],[Source Row]])="","",INDEX(Rider_Input[Calendar Days in Month],Salary_Calculation[[#This Row],[Source Row]])))</f>
        <v/>
      </c>
      <c r="F461" s="162" t="str">
        <f aca="false">IF(Salary_Calculation[[#This Row],[Source Row]]="","",IF(INDEX(Rider_Input[Working Days],Salary_Calculation[[#This Row],[Source Row]])="","",INDEX(Rider_Input[Working Days],Salary_Calculation[[#This Row],[Source Row]])))</f>
        <v/>
      </c>
      <c r="G461" s="165" t="str">
        <f aca="false">IF(Salary_Calculation[[#This Row],[Source Row]]="","",Std_Orders/Std_Days*N(Salary_Calculation[[#This Row],[Calendar Days]]))</f>
        <v/>
      </c>
      <c r="H461" s="165" t="str">
        <f aca="false">IF(Salary_Calculation[[#This Row],[Source Row]]="","",IF(N(Salary_Calculation[[#This Row],[Calendar Days]])&gt;0,Salary_Calculation[[#This Row],[Monthly Target Orders]]/N(Salary_Calculation[[#This Row],[Calendar Days]])*N(Salary_Calculation[[#This Row],[Working Days]]),0))</f>
        <v/>
      </c>
      <c r="I461" s="166" t="str">
        <f aca="false">IF(Salary_Calculation[[#This Row],[Source Row]]="","",IF(INDEX(Rider_Input[Completed Orders],Salary_Calculation[[#This Row],[Source Row]])="","",INDEX(Rider_Input[Completed Orders],Salary_Calculation[[#This Row],[Source Row]])))</f>
        <v/>
      </c>
      <c r="J461" s="165" t="str">
        <f aca="false">IF(Salary_Calculation[[#This Row],[Source Row]]="","",IF(Rate_Method="Fixed rate",Fixed_Rate,IF(N(Salary_Calculation[[#This Row],[Basic Payment]])&gt;0,N(Salary_Calculation[[#This Row],[Basic Payment]])/Std_Orders,0)))</f>
        <v/>
      </c>
      <c r="K461" s="165" t="str">
        <f aca="false">IF(Salary_Calculation[[#This Row],[Source Row]]="","",MAX(MIN(N(Salary_Calculation[[#This Row],[Completed Orders]]),Salary_Calculation[[#This Row],[Rider Target Orders]]),0))</f>
        <v/>
      </c>
      <c r="L461" s="164" t="str">
        <f aca="false">IF(Salary_Calculation[[#This Row],[Source Row]]="","",Salary_Calculation[[#This Row],[Orders Counted at Base Rate]]*Salary_Calculation[[#This Row],[Base Order Rate]])</f>
        <v/>
      </c>
      <c r="M461" s="165" t="str">
        <f aca="false">IF(Salary_Calculation[[#This Row],[Source Row]]="","",MAX(Salary_Calculation[[#This Row],[Rider Target Orders]]-N(Salary_Calculation[[#This Row],[Completed Orders]]),0))</f>
        <v/>
      </c>
      <c r="N461" s="164" t="str">
        <f aca="false">IF(Salary_Calculation[[#This Row],[Source Row]]="","",Salary_Calculation[[#This Row],[Missing Orders]]*Missing_Rate)</f>
        <v/>
      </c>
      <c r="O461" s="165" t="str">
        <f aca="false">IF(Salary_Calculation[[#This Row],[Source Row]]="","",MAX(N(Salary_Calculation[[#This Row],[Completed Orders]])-Salary_Calculation[[#This Row],[Rider Target Orders]],0))</f>
        <v/>
      </c>
      <c r="P461" s="164" t="str">
        <f aca="false">IF(Salary_Calculation[[#This Row],[Source Row]]="","",Salary_Calculation[[#This Row],[Extra Orders]]*Extra_Rate)</f>
        <v/>
      </c>
      <c r="Q461" s="164" t="str">
        <f aca="false">IF(Salary_Calculation[[#This Row],[Source Row]]="","",MAX(Salary_Calculation[[#This Row],[Salary Before Other Deductions]],0))</f>
        <v/>
      </c>
      <c r="R461" s="164" t="str">
        <f aca="false">IF(Salary_Calculation[[#This Row],[Source Row]]="","",N(INDEX(Rider_Input[missed_days_penalty],Salary_Calculation[[#This Row],[Source Row]])))</f>
        <v/>
      </c>
      <c r="S461" s="164" t="str">
        <f aca="false">IF(Salary_Calculation[[#This Row],[Source Row]]="","",N(INDEX(Rider_Input[Rider Balance / محفظة المندوب],Salary_Calculation[[#This Row],[Source Row]])))</f>
        <v/>
      </c>
      <c r="T461" s="164" t="str">
        <f aca="false">IF(Salary_Calculation[[#This Row],[Source Row]]="","",N(INDEX(Rider_Input[stacking_deduction / خصم الطلبات المتعددة],Salary_Calculation[[#This Row],[Source Row]])))</f>
        <v/>
      </c>
      <c r="U461" s="164" t="str">
        <f aca="false">IF(Salary_Calculation[[#This Row],[Source Row]]="","",N(INDEX(Rider_Input[Other Deductions],Salary_Calculation[[#This Row],[Source Row]])))</f>
        <v/>
      </c>
      <c r="V461" s="164" t="str">
        <f aca="false">IF(Salary_Calculation[[#This Row],[Source Row]]="","",N(Salary_Calculation[[#This Row],[missed_days_penalty]])+N(Salary_Calculation[[#This Row],[Rider Balance]])+N(Salary_Calculation[[#This Row],[stacking_deduction]])+N(Salary_Calculation[[#This Row],[Other Deductions]]))</f>
        <v/>
      </c>
      <c r="W461" s="167" t="str">
        <f aca="false">IF(Salary_Calculation[[#This Row],[Source Row]]="","",ROUND(MAX(Salary_Calculation[[#This Row],[Gross Salary Before Deductions]]-Salary_Calculation[[#This Row],[Total Deductions]],0),2))</f>
        <v/>
      </c>
      <c r="X461" s="164" t="str">
        <f aca="false">IF(Salary_Calculation[[#This Row],[Source Row]]="","",ROUND(MAX(Salary_Calculation[[#This Row],[Missing-Order Deduction]]-Salary_Calculation[[#This Row],[Earned Salary]],0),2))</f>
        <v/>
      </c>
      <c r="Y46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61" s="163" t="str">
        <f aca="false">IF(Salary_Calculation[[#This Row],[Source Row]]="","",IF(INDEX(Rider_Input[Notes],Salary_Calculation[[#This Row],[Source Row]])="","",INDEX(Rider_Input[Notes],Salary_Calculation[[#This Row],[Source Row]])))</f>
        <v/>
      </c>
      <c r="AA461" s="164" t="str">
        <f aca="false">IF(Salary_Calculation[[#This Row],[Source Row]]="","",Salary_Calculation[[#This Row],[Earned Salary]]-Salary_Calculation[[#This Row],[Missing-Order Deduction]]+Salary_Calculation[[#This Row],[Extra-Order Bonus]])</f>
        <v/>
      </c>
      <c r="AB461" s="164" t="str">
        <f aca="false">IF(Salary_Calculation[[#This Row],[Source Row]]="","",ROUND(Salary_Calculation[[#This Row],[Negative Balance / Amount Due from Rider]]+MAX(Salary_Calculation[[#This Row],[Total Deductions]]-Salary_Calculation[[#This Row],[Gross Salary Before Deductions]],0),2))</f>
        <v/>
      </c>
      <c r="AC46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61" s="164" t="str">
        <f aca="false">IF(Salary_Calculation[[#This Row],[Source Row]]="","",Salary_Calculation[[#This Row],[Rider Target Orders]]*Salary_Calculation[[#This Row],[Base Order Rate]])</f>
        <v/>
      </c>
      <c r="AE461" s="162" t="str">
        <f aca="false">IF(SUMPRODUCT(--(LEN(INDEX(Rider_Input[#Data],ROW()-ROW(Salary_Calculation[#Headers]),0))&gt;0))=0,"",ROW()-ROW(Salary_Calculation[#Headers]))</f>
        <v/>
      </c>
    </row>
    <row r="462" customFormat="false" ht="14.25" hidden="false" customHeight="false" outlineLevel="0" collapsed="false">
      <c r="A462" s="161" t="str">
        <f aca="false">IF(Salary_Calculation[[#This Row],[Source Row]]="","",IF(INDEX(Rider_Input[Salary Month],Salary_Calculation[[#This Row],[Source Row]])="","",INDEX(Rider_Input[Salary Month],Salary_Calculation[[#This Row],[Source Row]])))</f>
        <v/>
      </c>
      <c r="B462" s="162" t="str">
        <f aca="false">IF(Salary_Calculation[[#This Row],[Source Row]]="","",IF(INDEX(Rider_Input[Rider ID],Salary_Calculation[[#This Row],[Source Row]])="","",INDEX(Rider_Input[Rider ID],Salary_Calculation[[#This Row],[Source Row]])))</f>
        <v/>
      </c>
      <c r="C462" s="163" t="str">
        <f aca="false">IF(Salary_Calculation[[#This Row],[Source Row]]="","",IF(INDEX(Rider_Input[Rider Name],Salary_Calculation[[#This Row],[Source Row]])="","",INDEX(Rider_Input[Rider Name],Salary_Calculation[[#This Row],[Source Row]])))</f>
        <v/>
      </c>
      <c r="D462" s="164" t="str">
        <f aca="false">IF(Salary_Calculation[[#This Row],[Source Row]]="","",IF(INDEX(Rider_Input[Basic Payment],Salary_Calculation[[#This Row],[Source Row]])="","",INDEX(Rider_Input[Basic Payment],Salary_Calculation[[#This Row],[Source Row]])))</f>
        <v/>
      </c>
      <c r="E462" s="162" t="str">
        <f aca="false">IF(Salary_Calculation[[#This Row],[Source Row]]="","",IF(INDEX(Rider_Input[Calendar Days in Month],Salary_Calculation[[#This Row],[Source Row]])="","",INDEX(Rider_Input[Calendar Days in Month],Salary_Calculation[[#This Row],[Source Row]])))</f>
        <v/>
      </c>
      <c r="F462" s="162" t="str">
        <f aca="false">IF(Salary_Calculation[[#This Row],[Source Row]]="","",IF(INDEX(Rider_Input[Working Days],Salary_Calculation[[#This Row],[Source Row]])="","",INDEX(Rider_Input[Working Days],Salary_Calculation[[#This Row],[Source Row]])))</f>
        <v/>
      </c>
      <c r="G462" s="165" t="str">
        <f aca="false">IF(Salary_Calculation[[#This Row],[Source Row]]="","",Std_Orders/Std_Days*N(Salary_Calculation[[#This Row],[Calendar Days]]))</f>
        <v/>
      </c>
      <c r="H462" s="165" t="str">
        <f aca="false">IF(Salary_Calculation[[#This Row],[Source Row]]="","",IF(N(Salary_Calculation[[#This Row],[Calendar Days]])&gt;0,Salary_Calculation[[#This Row],[Monthly Target Orders]]/N(Salary_Calculation[[#This Row],[Calendar Days]])*N(Salary_Calculation[[#This Row],[Working Days]]),0))</f>
        <v/>
      </c>
      <c r="I462" s="166" t="str">
        <f aca="false">IF(Salary_Calculation[[#This Row],[Source Row]]="","",IF(INDEX(Rider_Input[Completed Orders],Salary_Calculation[[#This Row],[Source Row]])="","",INDEX(Rider_Input[Completed Orders],Salary_Calculation[[#This Row],[Source Row]])))</f>
        <v/>
      </c>
      <c r="J462" s="165" t="str">
        <f aca="false">IF(Salary_Calculation[[#This Row],[Source Row]]="","",IF(Rate_Method="Fixed rate",Fixed_Rate,IF(N(Salary_Calculation[[#This Row],[Basic Payment]])&gt;0,N(Salary_Calculation[[#This Row],[Basic Payment]])/Std_Orders,0)))</f>
        <v/>
      </c>
      <c r="K462" s="165" t="str">
        <f aca="false">IF(Salary_Calculation[[#This Row],[Source Row]]="","",MAX(MIN(N(Salary_Calculation[[#This Row],[Completed Orders]]),Salary_Calculation[[#This Row],[Rider Target Orders]]),0))</f>
        <v/>
      </c>
      <c r="L462" s="164" t="str">
        <f aca="false">IF(Salary_Calculation[[#This Row],[Source Row]]="","",Salary_Calculation[[#This Row],[Orders Counted at Base Rate]]*Salary_Calculation[[#This Row],[Base Order Rate]])</f>
        <v/>
      </c>
      <c r="M462" s="165" t="str">
        <f aca="false">IF(Salary_Calculation[[#This Row],[Source Row]]="","",MAX(Salary_Calculation[[#This Row],[Rider Target Orders]]-N(Salary_Calculation[[#This Row],[Completed Orders]]),0))</f>
        <v/>
      </c>
      <c r="N462" s="164" t="str">
        <f aca="false">IF(Salary_Calculation[[#This Row],[Source Row]]="","",Salary_Calculation[[#This Row],[Missing Orders]]*Missing_Rate)</f>
        <v/>
      </c>
      <c r="O462" s="165" t="str">
        <f aca="false">IF(Salary_Calculation[[#This Row],[Source Row]]="","",MAX(N(Salary_Calculation[[#This Row],[Completed Orders]])-Salary_Calculation[[#This Row],[Rider Target Orders]],0))</f>
        <v/>
      </c>
      <c r="P462" s="164" t="str">
        <f aca="false">IF(Salary_Calculation[[#This Row],[Source Row]]="","",Salary_Calculation[[#This Row],[Extra Orders]]*Extra_Rate)</f>
        <v/>
      </c>
      <c r="Q462" s="164" t="str">
        <f aca="false">IF(Salary_Calculation[[#This Row],[Source Row]]="","",MAX(Salary_Calculation[[#This Row],[Salary Before Other Deductions]],0))</f>
        <v/>
      </c>
      <c r="R462" s="164" t="str">
        <f aca="false">IF(Salary_Calculation[[#This Row],[Source Row]]="","",N(INDEX(Rider_Input[missed_days_penalty],Salary_Calculation[[#This Row],[Source Row]])))</f>
        <v/>
      </c>
      <c r="S462" s="164" t="str">
        <f aca="false">IF(Salary_Calculation[[#This Row],[Source Row]]="","",N(INDEX(Rider_Input[Rider Balance / محفظة المندوب],Salary_Calculation[[#This Row],[Source Row]])))</f>
        <v/>
      </c>
      <c r="T462" s="164" t="str">
        <f aca="false">IF(Salary_Calculation[[#This Row],[Source Row]]="","",N(INDEX(Rider_Input[stacking_deduction / خصم الطلبات المتعددة],Salary_Calculation[[#This Row],[Source Row]])))</f>
        <v/>
      </c>
      <c r="U462" s="164" t="str">
        <f aca="false">IF(Salary_Calculation[[#This Row],[Source Row]]="","",N(INDEX(Rider_Input[Other Deductions],Salary_Calculation[[#This Row],[Source Row]])))</f>
        <v/>
      </c>
      <c r="V462" s="164" t="str">
        <f aca="false">IF(Salary_Calculation[[#This Row],[Source Row]]="","",N(Salary_Calculation[[#This Row],[missed_days_penalty]])+N(Salary_Calculation[[#This Row],[Rider Balance]])+N(Salary_Calculation[[#This Row],[stacking_deduction]])+N(Salary_Calculation[[#This Row],[Other Deductions]]))</f>
        <v/>
      </c>
      <c r="W462" s="167" t="str">
        <f aca="false">IF(Salary_Calculation[[#This Row],[Source Row]]="","",ROUND(MAX(Salary_Calculation[[#This Row],[Gross Salary Before Deductions]]-Salary_Calculation[[#This Row],[Total Deductions]],0),2))</f>
        <v/>
      </c>
      <c r="X462" s="164" t="str">
        <f aca="false">IF(Salary_Calculation[[#This Row],[Source Row]]="","",ROUND(MAX(Salary_Calculation[[#This Row],[Missing-Order Deduction]]-Salary_Calculation[[#This Row],[Earned Salary]],0),2))</f>
        <v/>
      </c>
      <c r="Y46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62" s="163" t="str">
        <f aca="false">IF(Salary_Calculation[[#This Row],[Source Row]]="","",IF(INDEX(Rider_Input[Notes],Salary_Calculation[[#This Row],[Source Row]])="","",INDEX(Rider_Input[Notes],Salary_Calculation[[#This Row],[Source Row]])))</f>
        <v/>
      </c>
      <c r="AA462" s="164" t="str">
        <f aca="false">IF(Salary_Calculation[[#This Row],[Source Row]]="","",Salary_Calculation[[#This Row],[Earned Salary]]-Salary_Calculation[[#This Row],[Missing-Order Deduction]]+Salary_Calculation[[#This Row],[Extra-Order Bonus]])</f>
        <v/>
      </c>
      <c r="AB462" s="164" t="str">
        <f aca="false">IF(Salary_Calculation[[#This Row],[Source Row]]="","",ROUND(Salary_Calculation[[#This Row],[Negative Balance / Amount Due from Rider]]+MAX(Salary_Calculation[[#This Row],[Total Deductions]]-Salary_Calculation[[#This Row],[Gross Salary Before Deductions]],0),2))</f>
        <v/>
      </c>
      <c r="AC46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62" s="164" t="str">
        <f aca="false">IF(Salary_Calculation[[#This Row],[Source Row]]="","",Salary_Calculation[[#This Row],[Rider Target Orders]]*Salary_Calculation[[#This Row],[Base Order Rate]])</f>
        <v/>
      </c>
      <c r="AE462" s="162" t="str">
        <f aca="false">IF(SUMPRODUCT(--(LEN(INDEX(Rider_Input[#Data],ROW()-ROW(Salary_Calculation[#Headers]),0))&gt;0))=0,"",ROW()-ROW(Salary_Calculation[#Headers]))</f>
        <v/>
      </c>
    </row>
    <row r="463" customFormat="false" ht="14.25" hidden="false" customHeight="false" outlineLevel="0" collapsed="false">
      <c r="A463" s="161" t="str">
        <f aca="false">IF(Salary_Calculation[[#This Row],[Source Row]]="","",IF(INDEX(Rider_Input[Salary Month],Salary_Calculation[[#This Row],[Source Row]])="","",INDEX(Rider_Input[Salary Month],Salary_Calculation[[#This Row],[Source Row]])))</f>
        <v/>
      </c>
      <c r="B463" s="162" t="str">
        <f aca="false">IF(Salary_Calculation[[#This Row],[Source Row]]="","",IF(INDEX(Rider_Input[Rider ID],Salary_Calculation[[#This Row],[Source Row]])="","",INDEX(Rider_Input[Rider ID],Salary_Calculation[[#This Row],[Source Row]])))</f>
        <v/>
      </c>
      <c r="C463" s="163" t="str">
        <f aca="false">IF(Salary_Calculation[[#This Row],[Source Row]]="","",IF(INDEX(Rider_Input[Rider Name],Salary_Calculation[[#This Row],[Source Row]])="","",INDEX(Rider_Input[Rider Name],Salary_Calculation[[#This Row],[Source Row]])))</f>
        <v/>
      </c>
      <c r="D463" s="164" t="str">
        <f aca="false">IF(Salary_Calculation[[#This Row],[Source Row]]="","",IF(INDEX(Rider_Input[Basic Payment],Salary_Calculation[[#This Row],[Source Row]])="","",INDEX(Rider_Input[Basic Payment],Salary_Calculation[[#This Row],[Source Row]])))</f>
        <v/>
      </c>
      <c r="E463" s="162" t="str">
        <f aca="false">IF(Salary_Calculation[[#This Row],[Source Row]]="","",IF(INDEX(Rider_Input[Calendar Days in Month],Salary_Calculation[[#This Row],[Source Row]])="","",INDEX(Rider_Input[Calendar Days in Month],Salary_Calculation[[#This Row],[Source Row]])))</f>
        <v/>
      </c>
      <c r="F463" s="162" t="str">
        <f aca="false">IF(Salary_Calculation[[#This Row],[Source Row]]="","",IF(INDEX(Rider_Input[Working Days],Salary_Calculation[[#This Row],[Source Row]])="","",INDEX(Rider_Input[Working Days],Salary_Calculation[[#This Row],[Source Row]])))</f>
        <v/>
      </c>
      <c r="G463" s="165" t="str">
        <f aca="false">IF(Salary_Calculation[[#This Row],[Source Row]]="","",Std_Orders/Std_Days*N(Salary_Calculation[[#This Row],[Calendar Days]]))</f>
        <v/>
      </c>
      <c r="H463" s="165" t="str">
        <f aca="false">IF(Salary_Calculation[[#This Row],[Source Row]]="","",IF(N(Salary_Calculation[[#This Row],[Calendar Days]])&gt;0,Salary_Calculation[[#This Row],[Monthly Target Orders]]/N(Salary_Calculation[[#This Row],[Calendar Days]])*N(Salary_Calculation[[#This Row],[Working Days]]),0))</f>
        <v/>
      </c>
      <c r="I463" s="166" t="str">
        <f aca="false">IF(Salary_Calculation[[#This Row],[Source Row]]="","",IF(INDEX(Rider_Input[Completed Orders],Salary_Calculation[[#This Row],[Source Row]])="","",INDEX(Rider_Input[Completed Orders],Salary_Calculation[[#This Row],[Source Row]])))</f>
        <v/>
      </c>
      <c r="J463" s="165" t="str">
        <f aca="false">IF(Salary_Calculation[[#This Row],[Source Row]]="","",IF(Rate_Method="Fixed rate",Fixed_Rate,IF(N(Salary_Calculation[[#This Row],[Basic Payment]])&gt;0,N(Salary_Calculation[[#This Row],[Basic Payment]])/Std_Orders,0)))</f>
        <v/>
      </c>
      <c r="K463" s="165" t="str">
        <f aca="false">IF(Salary_Calculation[[#This Row],[Source Row]]="","",MAX(MIN(N(Salary_Calculation[[#This Row],[Completed Orders]]),Salary_Calculation[[#This Row],[Rider Target Orders]]),0))</f>
        <v/>
      </c>
      <c r="L463" s="164" t="str">
        <f aca="false">IF(Salary_Calculation[[#This Row],[Source Row]]="","",Salary_Calculation[[#This Row],[Orders Counted at Base Rate]]*Salary_Calculation[[#This Row],[Base Order Rate]])</f>
        <v/>
      </c>
      <c r="M463" s="165" t="str">
        <f aca="false">IF(Salary_Calculation[[#This Row],[Source Row]]="","",MAX(Salary_Calculation[[#This Row],[Rider Target Orders]]-N(Salary_Calculation[[#This Row],[Completed Orders]]),0))</f>
        <v/>
      </c>
      <c r="N463" s="164" t="str">
        <f aca="false">IF(Salary_Calculation[[#This Row],[Source Row]]="","",Salary_Calculation[[#This Row],[Missing Orders]]*Missing_Rate)</f>
        <v/>
      </c>
      <c r="O463" s="165" t="str">
        <f aca="false">IF(Salary_Calculation[[#This Row],[Source Row]]="","",MAX(N(Salary_Calculation[[#This Row],[Completed Orders]])-Salary_Calculation[[#This Row],[Rider Target Orders]],0))</f>
        <v/>
      </c>
      <c r="P463" s="164" t="str">
        <f aca="false">IF(Salary_Calculation[[#This Row],[Source Row]]="","",Salary_Calculation[[#This Row],[Extra Orders]]*Extra_Rate)</f>
        <v/>
      </c>
      <c r="Q463" s="164" t="str">
        <f aca="false">IF(Salary_Calculation[[#This Row],[Source Row]]="","",MAX(Salary_Calculation[[#This Row],[Salary Before Other Deductions]],0))</f>
        <v/>
      </c>
      <c r="R463" s="164" t="str">
        <f aca="false">IF(Salary_Calculation[[#This Row],[Source Row]]="","",N(INDEX(Rider_Input[missed_days_penalty],Salary_Calculation[[#This Row],[Source Row]])))</f>
        <v/>
      </c>
      <c r="S463" s="164" t="str">
        <f aca="false">IF(Salary_Calculation[[#This Row],[Source Row]]="","",N(INDEX(Rider_Input[Rider Balance / محفظة المندوب],Salary_Calculation[[#This Row],[Source Row]])))</f>
        <v/>
      </c>
      <c r="T463" s="164" t="str">
        <f aca="false">IF(Salary_Calculation[[#This Row],[Source Row]]="","",N(INDEX(Rider_Input[stacking_deduction / خصم الطلبات المتعددة],Salary_Calculation[[#This Row],[Source Row]])))</f>
        <v/>
      </c>
      <c r="U463" s="164" t="str">
        <f aca="false">IF(Salary_Calculation[[#This Row],[Source Row]]="","",N(INDEX(Rider_Input[Other Deductions],Salary_Calculation[[#This Row],[Source Row]])))</f>
        <v/>
      </c>
      <c r="V463" s="164" t="str">
        <f aca="false">IF(Salary_Calculation[[#This Row],[Source Row]]="","",N(Salary_Calculation[[#This Row],[missed_days_penalty]])+N(Salary_Calculation[[#This Row],[Rider Balance]])+N(Salary_Calculation[[#This Row],[stacking_deduction]])+N(Salary_Calculation[[#This Row],[Other Deductions]]))</f>
        <v/>
      </c>
      <c r="W463" s="167" t="str">
        <f aca="false">IF(Salary_Calculation[[#This Row],[Source Row]]="","",ROUND(MAX(Salary_Calculation[[#This Row],[Gross Salary Before Deductions]]-Salary_Calculation[[#This Row],[Total Deductions]],0),2))</f>
        <v/>
      </c>
      <c r="X463" s="164" t="str">
        <f aca="false">IF(Salary_Calculation[[#This Row],[Source Row]]="","",ROUND(MAX(Salary_Calculation[[#This Row],[Missing-Order Deduction]]-Salary_Calculation[[#This Row],[Earned Salary]],0),2))</f>
        <v/>
      </c>
      <c r="Y46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63" s="163" t="str">
        <f aca="false">IF(Salary_Calculation[[#This Row],[Source Row]]="","",IF(INDEX(Rider_Input[Notes],Salary_Calculation[[#This Row],[Source Row]])="","",INDEX(Rider_Input[Notes],Salary_Calculation[[#This Row],[Source Row]])))</f>
        <v/>
      </c>
      <c r="AA463" s="164" t="str">
        <f aca="false">IF(Salary_Calculation[[#This Row],[Source Row]]="","",Salary_Calculation[[#This Row],[Earned Salary]]-Salary_Calculation[[#This Row],[Missing-Order Deduction]]+Salary_Calculation[[#This Row],[Extra-Order Bonus]])</f>
        <v/>
      </c>
      <c r="AB463" s="164" t="str">
        <f aca="false">IF(Salary_Calculation[[#This Row],[Source Row]]="","",ROUND(Salary_Calculation[[#This Row],[Negative Balance / Amount Due from Rider]]+MAX(Salary_Calculation[[#This Row],[Total Deductions]]-Salary_Calculation[[#This Row],[Gross Salary Before Deductions]],0),2))</f>
        <v/>
      </c>
      <c r="AC46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63" s="164" t="str">
        <f aca="false">IF(Salary_Calculation[[#This Row],[Source Row]]="","",Salary_Calculation[[#This Row],[Rider Target Orders]]*Salary_Calculation[[#This Row],[Base Order Rate]])</f>
        <v/>
      </c>
      <c r="AE463" s="162" t="str">
        <f aca="false">IF(SUMPRODUCT(--(LEN(INDEX(Rider_Input[#Data],ROW()-ROW(Salary_Calculation[#Headers]),0))&gt;0))=0,"",ROW()-ROW(Salary_Calculation[#Headers]))</f>
        <v/>
      </c>
    </row>
    <row r="464" customFormat="false" ht="14.25" hidden="false" customHeight="false" outlineLevel="0" collapsed="false">
      <c r="A464" s="161" t="str">
        <f aca="false">IF(Salary_Calculation[[#This Row],[Source Row]]="","",IF(INDEX(Rider_Input[Salary Month],Salary_Calculation[[#This Row],[Source Row]])="","",INDEX(Rider_Input[Salary Month],Salary_Calculation[[#This Row],[Source Row]])))</f>
        <v/>
      </c>
      <c r="B464" s="162" t="str">
        <f aca="false">IF(Salary_Calculation[[#This Row],[Source Row]]="","",IF(INDEX(Rider_Input[Rider ID],Salary_Calculation[[#This Row],[Source Row]])="","",INDEX(Rider_Input[Rider ID],Salary_Calculation[[#This Row],[Source Row]])))</f>
        <v/>
      </c>
      <c r="C464" s="163" t="str">
        <f aca="false">IF(Salary_Calculation[[#This Row],[Source Row]]="","",IF(INDEX(Rider_Input[Rider Name],Salary_Calculation[[#This Row],[Source Row]])="","",INDEX(Rider_Input[Rider Name],Salary_Calculation[[#This Row],[Source Row]])))</f>
        <v/>
      </c>
      <c r="D464" s="164" t="str">
        <f aca="false">IF(Salary_Calculation[[#This Row],[Source Row]]="","",IF(INDEX(Rider_Input[Basic Payment],Salary_Calculation[[#This Row],[Source Row]])="","",INDEX(Rider_Input[Basic Payment],Salary_Calculation[[#This Row],[Source Row]])))</f>
        <v/>
      </c>
      <c r="E464" s="162" t="str">
        <f aca="false">IF(Salary_Calculation[[#This Row],[Source Row]]="","",IF(INDEX(Rider_Input[Calendar Days in Month],Salary_Calculation[[#This Row],[Source Row]])="","",INDEX(Rider_Input[Calendar Days in Month],Salary_Calculation[[#This Row],[Source Row]])))</f>
        <v/>
      </c>
      <c r="F464" s="162" t="str">
        <f aca="false">IF(Salary_Calculation[[#This Row],[Source Row]]="","",IF(INDEX(Rider_Input[Working Days],Salary_Calculation[[#This Row],[Source Row]])="","",INDEX(Rider_Input[Working Days],Salary_Calculation[[#This Row],[Source Row]])))</f>
        <v/>
      </c>
      <c r="G464" s="165" t="str">
        <f aca="false">IF(Salary_Calculation[[#This Row],[Source Row]]="","",Std_Orders/Std_Days*N(Salary_Calculation[[#This Row],[Calendar Days]]))</f>
        <v/>
      </c>
      <c r="H464" s="165" t="str">
        <f aca="false">IF(Salary_Calculation[[#This Row],[Source Row]]="","",IF(N(Salary_Calculation[[#This Row],[Calendar Days]])&gt;0,Salary_Calculation[[#This Row],[Monthly Target Orders]]/N(Salary_Calculation[[#This Row],[Calendar Days]])*N(Salary_Calculation[[#This Row],[Working Days]]),0))</f>
        <v/>
      </c>
      <c r="I464" s="166" t="str">
        <f aca="false">IF(Salary_Calculation[[#This Row],[Source Row]]="","",IF(INDEX(Rider_Input[Completed Orders],Salary_Calculation[[#This Row],[Source Row]])="","",INDEX(Rider_Input[Completed Orders],Salary_Calculation[[#This Row],[Source Row]])))</f>
        <v/>
      </c>
      <c r="J464" s="165" t="str">
        <f aca="false">IF(Salary_Calculation[[#This Row],[Source Row]]="","",IF(Rate_Method="Fixed rate",Fixed_Rate,IF(N(Salary_Calculation[[#This Row],[Basic Payment]])&gt;0,N(Salary_Calculation[[#This Row],[Basic Payment]])/Std_Orders,0)))</f>
        <v/>
      </c>
      <c r="K464" s="165" t="str">
        <f aca="false">IF(Salary_Calculation[[#This Row],[Source Row]]="","",MAX(MIN(N(Salary_Calculation[[#This Row],[Completed Orders]]),Salary_Calculation[[#This Row],[Rider Target Orders]]),0))</f>
        <v/>
      </c>
      <c r="L464" s="164" t="str">
        <f aca="false">IF(Salary_Calculation[[#This Row],[Source Row]]="","",Salary_Calculation[[#This Row],[Orders Counted at Base Rate]]*Salary_Calculation[[#This Row],[Base Order Rate]])</f>
        <v/>
      </c>
      <c r="M464" s="165" t="str">
        <f aca="false">IF(Salary_Calculation[[#This Row],[Source Row]]="","",MAX(Salary_Calculation[[#This Row],[Rider Target Orders]]-N(Salary_Calculation[[#This Row],[Completed Orders]]),0))</f>
        <v/>
      </c>
      <c r="N464" s="164" t="str">
        <f aca="false">IF(Salary_Calculation[[#This Row],[Source Row]]="","",Salary_Calculation[[#This Row],[Missing Orders]]*Missing_Rate)</f>
        <v/>
      </c>
      <c r="O464" s="165" t="str">
        <f aca="false">IF(Salary_Calculation[[#This Row],[Source Row]]="","",MAX(N(Salary_Calculation[[#This Row],[Completed Orders]])-Salary_Calculation[[#This Row],[Rider Target Orders]],0))</f>
        <v/>
      </c>
      <c r="P464" s="164" t="str">
        <f aca="false">IF(Salary_Calculation[[#This Row],[Source Row]]="","",Salary_Calculation[[#This Row],[Extra Orders]]*Extra_Rate)</f>
        <v/>
      </c>
      <c r="Q464" s="164" t="str">
        <f aca="false">IF(Salary_Calculation[[#This Row],[Source Row]]="","",MAX(Salary_Calculation[[#This Row],[Salary Before Other Deductions]],0))</f>
        <v/>
      </c>
      <c r="R464" s="164" t="str">
        <f aca="false">IF(Salary_Calculation[[#This Row],[Source Row]]="","",N(INDEX(Rider_Input[missed_days_penalty],Salary_Calculation[[#This Row],[Source Row]])))</f>
        <v/>
      </c>
      <c r="S464" s="164" t="str">
        <f aca="false">IF(Salary_Calculation[[#This Row],[Source Row]]="","",N(INDEX(Rider_Input[Rider Balance / محفظة المندوب],Salary_Calculation[[#This Row],[Source Row]])))</f>
        <v/>
      </c>
      <c r="T464" s="164" t="str">
        <f aca="false">IF(Salary_Calculation[[#This Row],[Source Row]]="","",N(INDEX(Rider_Input[stacking_deduction / خصم الطلبات المتعددة],Salary_Calculation[[#This Row],[Source Row]])))</f>
        <v/>
      </c>
      <c r="U464" s="164" t="str">
        <f aca="false">IF(Salary_Calculation[[#This Row],[Source Row]]="","",N(INDEX(Rider_Input[Other Deductions],Salary_Calculation[[#This Row],[Source Row]])))</f>
        <v/>
      </c>
      <c r="V464" s="164" t="str">
        <f aca="false">IF(Salary_Calculation[[#This Row],[Source Row]]="","",N(Salary_Calculation[[#This Row],[missed_days_penalty]])+N(Salary_Calculation[[#This Row],[Rider Balance]])+N(Salary_Calculation[[#This Row],[stacking_deduction]])+N(Salary_Calculation[[#This Row],[Other Deductions]]))</f>
        <v/>
      </c>
      <c r="W464" s="167" t="str">
        <f aca="false">IF(Salary_Calculation[[#This Row],[Source Row]]="","",ROUND(MAX(Salary_Calculation[[#This Row],[Gross Salary Before Deductions]]-Salary_Calculation[[#This Row],[Total Deductions]],0),2))</f>
        <v/>
      </c>
      <c r="X464" s="164" t="str">
        <f aca="false">IF(Salary_Calculation[[#This Row],[Source Row]]="","",ROUND(MAX(Salary_Calculation[[#This Row],[Missing-Order Deduction]]-Salary_Calculation[[#This Row],[Earned Salary]],0),2))</f>
        <v/>
      </c>
      <c r="Y46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64" s="163" t="str">
        <f aca="false">IF(Salary_Calculation[[#This Row],[Source Row]]="","",IF(INDEX(Rider_Input[Notes],Salary_Calculation[[#This Row],[Source Row]])="","",INDEX(Rider_Input[Notes],Salary_Calculation[[#This Row],[Source Row]])))</f>
        <v/>
      </c>
      <c r="AA464" s="164" t="str">
        <f aca="false">IF(Salary_Calculation[[#This Row],[Source Row]]="","",Salary_Calculation[[#This Row],[Earned Salary]]-Salary_Calculation[[#This Row],[Missing-Order Deduction]]+Salary_Calculation[[#This Row],[Extra-Order Bonus]])</f>
        <v/>
      </c>
      <c r="AB464" s="164" t="str">
        <f aca="false">IF(Salary_Calculation[[#This Row],[Source Row]]="","",ROUND(Salary_Calculation[[#This Row],[Negative Balance / Amount Due from Rider]]+MAX(Salary_Calculation[[#This Row],[Total Deductions]]-Salary_Calculation[[#This Row],[Gross Salary Before Deductions]],0),2))</f>
        <v/>
      </c>
      <c r="AC46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64" s="164" t="str">
        <f aca="false">IF(Salary_Calculation[[#This Row],[Source Row]]="","",Salary_Calculation[[#This Row],[Rider Target Orders]]*Salary_Calculation[[#This Row],[Base Order Rate]])</f>
        <v/>
      </c>
      <c r="AE464" s="162" t="str">
        <f aca="false">IF(SUMPRODUCT(--(LEN(INDEX(Rider_Input[#Data],ROW()-ROW(Salary_Calculation[#Headers]),0))&gt;0))=0,"",ROW()-ROW(Salary_Calculation[#Headers]))</f>
        <v/>
      </c>
    </row>
    <row r="465" customFormat="false" ht="14.25" hidden="false" customHeight="false" outlineLevel="0" collapsed="false">
      <c r="A465" s="161" t="str">
        <f aca="false">IF(Salary_Calculation[[#This Row],[Source Row]]="","",IF(INDEX(Rider_Input[Salary Month],Salary_Calculation[[#This Row],[Source Row]])="","",INDEX(Rider_Input[Salary Month],Salary_Calculation[[#This Row],[Source Row]])))</f>
        <v/>
      </c>
      <c r="B465" s="162" t="str">
        <f aca="false">IF(Salary_Calculation[[#This Row],[Source Row]]="","",IF(INDEX(Rider_Input[Rider ID],Salary_Calculation[[#This Row],[Source Row]])="","",INDEX(Rider_Input[Rider ID],Salary_Calculation[[#This Row],[Source Row]])))</f>
        <v/>
      </c>
      <c r="C465" s="163" t="str">
        <f aca="false">IF(Salary_Calculation[[#This Row],[Source Row]]="","",IF(INDEX(Rider_Input[Rider Name],Salary_Calculation[[#This Row],[Source Row]])="","",INDEX(Rider_Input[Rider Name],Salary_Calculation[[#This Row],[Source Row]])))</f>
        <v/>
      </c>
      <c r="D465" s="164" t="str">
        <f aca="false">IF(Salary_Calculation[[#This Row],[Source Row]]="","",IF(INDEX(Rider_Input[Basic Payment],Salary_Calculation[[#This Row],[Source Row]])="","",INDEX(Rider_Input[Basic Payment],Salary_Calculation[[#This Row],[Source Row]])))</f>
        <v/>
      </c>
      <c r="E465" s="162" t="str">
        <f aca="false">IF(Salary_Calculation[[#This Row],[Source Row]]="","",IF(INDEX(Rider_Input[Calendar Days in Month],Salary_Calculation[[#This Row],[Source Row]])="","",INDEX(Rider_Input[Calendar Days in Month],Salary_Calculation[[#This Row],[Source Row]])))</f>
        <v/>
      </c>
      <c r="F465" s="162" t="str">
        <f aca="false">IF(Salary_Calculation[[#This Row],[Source Row]]="","",IF(INDEX(Rider_Input[Working Days],Salary_Calculation[[#This Row],[Source Row]])="","",INDEX(Rider_Input[Working Days],Salary_Calculation[[#This Row],[Source Row]])))</f>
        <v/>
      </c>
      <c r="G465" s="165" t="str">
        <f aca="false">IF(Salary_Calculation[[#This Row],[Source Row]]="","",Std_Orders/Std_Days*N(Salary_Calculation[[#This Row],[Calendar Days]]))</f>
        <v/>
      </c>
      <c r="H465" s="165" t="str">
        <f aca="false">IF(Salary_Calculation[[#This Row],[Source Row]]="","",IF(N(Salary_Calculation[[#This Row],[Calendar Days]])&gt;0,Salary_Calculation[[#This Row],[Monthly Target Orders]]/N(Salary_Calculation[[#This Row],[Calendar Days]])*N(Salary_Calculation[[#This Row],[Working Days]]),0))</f>
        <v/>
      </c>
      <c r="I465" s="166" t="str">
        <f aca="false">IF(Salary_Calculation[[#This Row],[Source Row]]="","",IF(INDEX(Rider_Input[Completed Orders],Salary_Calculation[[#This Row],[Source Row]])="","",INDEX(Rider_Input[Completed Orders],Salary_Calculation[[#This Row],[Source Row]])))</f>
        <v/>
      </c>
      <c r="J465" s="165" t="str">
        <f aca="false">IF(Salary_Calculation[[#This Row],[Source Row]]="","",IF(Rate_Method="Fixed rate",Fixed_Rate,IF(N(Salary_Calculation[[#This Row],[Basic Payment]])&gt;0,N(Salary_Calculation[[#This Row],[Basic Payment]])/Std_Orders,0)))</f>
        <v/>
      </c>
      <c r="K465" s="165" t="str">
        <f aca="false">IF(Salary_Calculation[[#This Row],[Source Row]]="","",MAX(MIN(N(Salary_Calculation[[#This Row],[Completed Orders]]),Salary_Calculation[[#This Row],[Rider Target Orders]]),0))</f>
        <v/>
      </c>
      <c r="L465" s="164" t="str">
        <f aca="false">IF(Salary_Calculation[[#This Row],[Source Row]]="","",Salary_Calculation[[#This Row],[Orders Counted at Base Rate]]*Salary_Calculation[[#This Row],[Base Order Rate]])</f>
        <v/>
      </c>
      <c r="M465" s="165" t="str">
        <f aca="false">IF(Salary_Calculation[[#This Row],[Source Row]]="","",MAX(Salary_Calculation[[#This Row],[Rider Target Orders]]-N(Salary_Calculation[[#This Row],[Completed Orders]]),0))</f>
        <v/>
      </c>
      <c r="N465" s="164" t="str">
        <f aca="false">IF(Salary_Calculation[[#This Row],[Source Row]]="","",Salary_Calculation[[#This Row],[Missing Orders]]*Missing_Rate)</f>
        <v/>
      </c>
      <c r="O465" s="165" t="str">
        <f aca="false">IF(Salary_Calculation[[#This Row],[Source Row]]="","",MAX(N(Salary_Calculation[[#This Row],[Completed Orders]])-Salary_Calculation[[#This Row],[Rider Target Orders]],0))</f>
        <v/>
      </c>
      <c r="P465" s="164" t="str">
        <f aca="false">IF(Salary_Calculation[[#This Row],[Source Row]]="","",Salary_Calculation[[#This Row],[Extra Orders]]*Extra_Rate)</f>
        <v/>
      </c>
      <c r="Q465" s="164" t="str">
        <f aca="false">IF(Salary_Calculation[[#This Row],[Source Row]]="","",MAX(Salary_Calculation[[#This Row],[Salary Before Other Deductions]],0))</f>
        <v/>
      </c>
      <c r="R465" s="164" t="str">
        <f aca="false">IF(Salary_Calculation[[#This Row],[Source Row]]="","",N(INDEX(Rider_Input[missed_days_penalty],Salary_Calculation[[#This Row],[Source Row]])))</f>
        <v/>
      </c>
      <c r="S465" s="164" t="str">
        <f aca="false">IF(Salary_Calculation[[#This Row],[Source Row]]="","",N(INDEX(Rider_Input[Rider Balance / محفظة المندوب],Salary_Calculation[[#This Row],[Source Row]])))</f>
        <v/>
      </c>
      <c r="T465" s="164" t="str">
        <f aca="false">IF(Salary_Calculation[[#This Row],[Source Row]]="","",N(INDEX(Rider_Input[stacking_deduction / خصم الطلبات المتعددة],Salary_Calculation[[#This Row],[Source Row]])))</f>
        <v/>
      </c>
      <c r="U465" s="164" t="str">
        <f aca="false">IF(Salary_Calculation[[#This Row],[Source Row]]="","",N(INDEX(Rider_Input[Other Deductions],Salary_Calculation[[#This Row],[Source Row]])))</f>
        <v/>
      </c>
      <c r="V465" s="164" t="str">
        <f aca="false">IF(Salary_Calculation[[#This Row],[Source Row]]="","",N(Salary_Calculation[[#This Row],[missed_days_penalty]])+N(Salary_Calculation[[#This Row],[Rider Balance]])+N(Salary_Calculation[[#This Row],[stacking_deduction]])+N(Salary_Calculation[[#This Row],[Other Deductions]]))</f>
        <v/>
      </c>
      <c r="W465" s="167" t="str">
        <f aca="false">IF(Salary_Calculation[[#This Row],[Source Row]]="","",ROUND(MAX(Salary_Calculation[[#This Row],[Gross Salary Before Deductions]]-Salary_Calculation[[#This Row],[Total Deductions]],0),2))</f>
        <v/>
      </c>
      <c r="X465" s="164" t="str">
        <f aca="false">IF(Salary_Calculation[[#This Row],[Source Row]]="","",ROUND(MAX(Salary_Calculation[[#This Row],[Missing-Order Deduction]]-Salary_Calculation[[#This Row],[Earned Salary]],0),2))</f>
        <v/>
      </c>
      <c r="Y46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65" s="163" t="str">
        <f aca="false">IF(Salary_Calculation[[#This Row],[Source Row]]="","",IF(INDEX(Rider_Input[Notes],Salary_Calculation[[#This Row],[Source Row]])="","",INDEX(Rider_Input[Notes],Salary_Calculation[[#This Row],[Source Row]])))</f>
        <v/>
      </c>
      <c r="AA465" s="164" t="str">
        <f aca="false">IF(Salary_Calculation[[#This Row],[Source Row]]="","",Salary_Calculation[[#This Row],[Earned Salary]]-Salary_Calculation[[#This Row],[Missing-Order Deduction]]+Salary_Calculation[[#This Row],[Extra-Order Bonus]])</f>
        <v/>
      </c>
      <c r="AB465" s="164" t="str">
        <f aca="false">IF(Salary_Calculation[[#This Row],[Source Row]]="","",ROUND(Salary_Calculation[[#This Row],[Negative Balance / Amount Due from Rider]]+MAX(Salary_Calculation[[#This Row],[Total Deductions]]-Salary_Calculation[[#This Row],[Gross Salary Before Deductions]],0),2))</f>
        <v/>
      </c>
      <c r="AC46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65" s="164" t="str">
        <f aca="false">IF(Salary_Calculation[[#This Row],[Source Row]]="","",Salary_Calculation[[#This Row],[Rider Target Orders]]*Salary_Calculation[[#This Row],[Base Order Rate]])</f>
        <v/>
      </c>
      <c r="AE465" s="162" t="str">
        <f aca="false">IF(SUMPRODUCT(--(LEN(INDEX(Rider_Input[#Data],ROW()-ROW(Salary_Calculation[#Headers]),0))&gt;0))=0,"",ROW()-ROW(Salary_Calculation[#Headers]))</f>
        <v/>
      </c>
    </row>
    <row r="466" customFormat="false" ht="14.25" hidden="false" customHeight="false" outlineLevel="0" collapsed="false">
      <c r="A466" s="161" t="str">
        <f aca="false">IF(Salary_Calculation[[#This Row],[Source Row]]="","",IF(INDEX(Rider_Input[Salary Month],Salary_Calculation[[#This Row],[Source Row]])="","",INDEX(Rider_Input[Salary Month],Salary_Calculation[[#This Row],[Source Row]])))</f>
        <v/>
      </c>
      <c r="B466" s="162" t="str">
        <f aca="false">IF(Salary_Calculation[[#This Row],[Source Row]]="","",IF(INDEX(Rider_Input[Rider ID],Salary_Calculation[[#This Row],[Source Row]])="","",INDEX(Rider_Input[Rider ID],Salary_Calculation[[#This Row],[Source Row]])))</f>
        <v/>
      </c>
      <c r="C466" s="163" t="str">
        <f aca="false">IF(Salary_Calculation[[#This Row],[Source Row]]="","",IF(INDEX(Rider_Input[Rider Name],Salary_Calculation[[#This Row],[Source Row]])="","",INDEX(Rider_Input[Rider Name],Salary_Calculation[[#This Row],[Source Row]])))</f>
        <v/>
      </c>
      <c r="D466" s="164" t="str">
        <f aca="false">IF(Salary_Calculation[[#This Row],[Source Row]]="","",IF(INDEX(Rider_Input[Basic Payment],Salary_Calculation[[#This Row],[Source Row]])="","",INDEX(Rider_Input[Basic Payment],Salary_Calculation[[#This Row],[Source Row]])))</f>
        <v/>
      </c>
      <c r="E466" s="162" t="str">
        <f aca="false">IF(Salary_Calculation[[#This Row],[Source Row]]="","",IF(INDEX(Rider_Input[Calendar Days in Month],Salary_Calculation[[#This Row],[Source Row]])="","",INDEX(Rider_Input[Calendar Days in Month],Salary_Calculation[[#This Row],[Source Row]])))</f>
        <v/>
      </c>
      <c r="F466" s="162" t="str">
        <f aca="false">IF(Salary_Calculation[[#This Row],[Source Row]]="","",IF(INDEX(Rider_Input[Working Days],Salary_Calculation[[#This Row],[Source Row]])="","",INDEX(Rider_Input[Working Days],Salary_Calculation[[#This Row],[Source Row]])))</f>
        <v/>
      </c>
      <c r="G466" s="165" t="str">
        <f aca="false">IF(Salary_Calculation[[#This Row],[Source Row]]="","",Std_Orders/Std_Days*N(Salary_Calculation[[#This Row],[Calendar Days]]))</f>
        <v/>
      </c>
      <c r="H466" s="165" t="str">
        <f aca="false">IF(Salary_Calculation[[#This Row],[Source Row]]="","",IF(N(Salary_Calculation[[#This Row],[Calendar Days]])&gt;0,Salary_Calculation[[#This Row],[Monthly Target Orders]]/N(Salary_Calculation[[#This Row],[Calendar Days]])*N(Salary_Calculation[[#This Row],[Working Days]]),0))</f>
        <v/>
      </c>
      <c r="I466" s="166" t="str">
        <f aca="false">IF(Salary_Calculation[[#This Row],[Source Row]]="","",IF(INDEX(Rider_Input[Completed Orders],Salary_Calculation[[#This Row],[Source Row]])="","",INDEX(Rider_Input[Completed Orders],Salary_Calculation[[#This Row],[Source Row]])))</f>
        <v/>
      </c>
      <c r="J466" s="165" t="str">
        <f aca="false">IF(Salary_Calculation[[#This Row],[Source Row]]="","",IF(Rate_Method="Fixed rate",Fixed_Rate,IF(N(Salary_Calculation[[#This Row],[Basic Payment]])&gt;0,N(Salary_Calculation[[#This Row],[Basic Payment]])/Std_Orders,0)))</f>
        <v/>
      </c>
      <c r="K466" s="165" t="str">
        <f aca="false">IF(Salary_Calculation[[#This Row],[Source Row]]="","",MAX(MIN(N(Salary_Calculation[[#This Row],[Completed Orders]]),Salary_Calculation[[#This Row],[Rider Target Orders]]),0))</f>
        <v/>
      </c>
      <c r="L466" s="164" t="str">
        <f aca="false">IF(Salary_Calculation[[#This Row],[Source Row]]="","",Salary_Calculation[[#This Row],[Orders Counted at Base Rate]]*Salary_Calculation[[#This Row],[Base Order Rate]])</f>
        <v/>
      </c>
      <c r="M466" s="165" t="str">
        <f aca="false">IF(Salary_Calculation[[#This Row],[Source Row]]="","",MAX(Salary_Calculation[[#This Row],[Rider Target Orders]]-N(Salary_Calculation[[#This Row],[Completed Orders]]),0))</f>
        <v/>
      </c>
      <c r="N466" s="164" t="str">
        <f aca="false">IF(Salary_Calculation[[#This Row],[Source Row]]="","",Salary_Calculation[[#This Row],[Missing Orders]]*Missing_Rate)</f>
        <v/>
      </c>
      <c r="O466" s="165" t="str">
        <f aca="false">IF(Salary_Calculation[[#This Row],[Source Row]]="","",MAX(N(Salary_Calculation[[#This Row],[Completed Orders]])-Salary_Calculation[[#This Row],[Rider Target Orders]],0))</f>
        <v/>
      </c>
      <c r="P466" s="164" t="str">
        <f aca="false">IF(Salary_Calculation[[#This Row],[Source Row]]="","",Salary_Calculation[[#This Row],[Extra Orders]]*Extra_Rate)</f>
        <v/>
      </c>
      <c r="Q466" s="164" t="str">
        <f aca="false">IF(Salary_Calculation[[#This Row],[Source Row]]="","",MAX(Salary_Calculation[[#This Row],[Salary Before Other Deductions]],0))</f>
        <v/>
      </c>
      <c r="R466" s="164" t="str">
        <f aca="false">IF(Salary_Calculation[[#This Row],[Source Row]]="","",N(INDEX(Rider_Input[missed_days_penalty],Salary_Calculation[[#This Row],[Source Row]])))</f>
        <v/>
      </c>
      <c r="S466" s="164" t="str">
        <f aca="false">IF(Salary_Calculation[[#This Row],[Source Row]]="","",N(INDEX(Rider_Input[Rider Balance / محفظة المندوب],Salary_Calculation[[#This Row],[Source Row]])))</f>
        <v/>
      </c>
      <c r="T466" s="164" t="str">
        <f aca="false">IF(Salary_Calculation[[#This Row],[Source Row]]="","",N(INDEX(Rider_Input[stacking_deduction / خصم الطلبات المتعددة],Salary_Calculation[[#This Row],[Source Row]])))</f>
        <v/>
      </c>
      <c r="U466" s="164" t="str">
        <f aca="false">IF(Salary_Calculation[[#This Row],[Source Row]]="","",N(INDEX(Rider_Input[Other Deductions],Salary_Calculation[[#This Row],[Source Row]])))</f>
        <v/>
      </c>
      <c r="V466" s="164" t="str">
        <f aca="false">IF(Salary_Calculation[[#This Row],[Source Row]]="","",N(Salary_Calculation[[#This Row],[missed_days_penalty]])+N(Salary_Calculation[[#This Row],[Rider Balance]])+N(Salary_Calculation[[#This Row],[stacking_deduction]])+N(Salary_Calculation[[#This Row],[Other Deductions]]))</f>
        <v/>
      </c>
      <c r="W466" s="167" t="str">
        <f aca="false">IF(Salary_Calculation[[#This Row],[Source Row]]="","",ROUND(MAX(Salary_Calculation[[#This Row],[Gross Salary Before Deductions]]-Salary_Calculation[[#This Row],[Total Deductions]],0),2))</f>
        <v/>
      </c>
      <c r="X466" s="164" t="str">
        <f aca="false">IF(Salary_Calculation[[#This Row],[Source Row]]="","",ROUND(MAX(Salary_Calculation[[#This Row],[Missing-Order Deduction]]-Salary_Calculation[[#This Row],[Earned Salary]],0),2))</f>
        <v/>
      </c>
      <c r="Y46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66" s="163" t="str">
        <f aca="false">IF(Salary_Calculation[[#This Row],[Source Row]]="","",IF(INDEX(Rider_Input[Notes],Salary_Calculation[[#This Row],[Source Row]])="","",INDEX(Rider_Input[Notes],Salary_Calculation[[#This Row],[Source Row]])))</f>
        <v/>
      </c>
      <c r="AA466" s="164" t="str">
        <f aca="false">IF(Salary_Calculation[[#This Row],[Source Row]]="","",Salary_Calculation[[#This Row],[Earned Salary]]-Salary_Calculation[[#This Row],[Missing-Order Deduction]]+Salary_Calculation[[#This Row],[Extra-Order Bonus]])</f>
        <v/>
      </c>
      <c r="AB466" s="164" t="str">
        <f aca="false">IF(Salary_Calculation[[#This Row],[Source Row]]="","",ROUND(Salary_Calculation[[#This Row],[Negative Balance / Amount Due from Rider]]+MAX(Salary_Calculation[[#This Row],[Total Deductions]]-Salary_Calculation[[#This Row],[Gross Salary Before Deductions]],0),2))</f>
        <v/>
      </c>
      <c r="AC46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66" s="164" t="str">
        <f aca="false">IF(Salary_Calculation[[#This Row],[Source Row]]="","",Salary_Calculation[[#This Row],[Rider Target Orders]]*Salary_Calculation[[#This Row],[Base Order Rate]])</f>
        <v/>
      </c>
      <c r="AE466" s="162" t="str">
        <f aca="false">IF(SUMPRODUCT(--(LEN(INDEX(Rider_Input[#Data],ROW()-ROW(Salary_Calculation[#Headers]),0))&gt;0))=0,"",ROW()-ROW(Salary_Calculation[#Headers]))</f>
        <v/>
      </c>
    </row>
    <row r="467" customFormat="false" ht="14.25" hidden="false" customHeight="false" outlineLevel="0" collapsed="false">
      <c r="A467" s="161" t="str">
        <f aca="false">IF(Salary_Calculation[[#This Row],[Source Row]]="","",IF(INDEX(Rider_Input[Salary Month],Salary_Calculation[[#This Row],[Source Row]])="","",INDEX(Rider_Input[Salary Month],Salary_Calculation[[#This Row],[Source Row]])))</f>
        <v/>
      </c>
      <c r="B467" s="162" t="str">
        <f aca="false">IF(Salary_Calculation[[#This Row],[Source Row]]="","",IF(INDEX(Rider_Input[Rider ID],Salary_Calculation[[#This Row],[Source Row]])="","",INDEX(Rider_Input[Rider ID],Salary_Calculation[[#This Row],[Source Row]])))</f>
        <v/>
      </c>
      <c r="C467" s="163" t="str">
        <f aca="false">IF(Salary_Calculation[[#This Row],[Source Row]]="","",IF(INDEX(Rider_Input[Rider Name],Salary_Calculation[[#This Row],[Source Row]])="","",INDEX(Rider_Input[Rider Name],Salary_Calculation[[#This Row],[Source Row]])))</f>
        <v/>
      </c>
      <c r="D467" s="164" t="str">
        <f aca="false">IF(Salary_Calculation[[#This Row],[Source Row]]="","",IF(INDEX(Rider_Input[Basic Payment],Salary_Calculation[[#This Row],[Source Row]])="","",INDEX(Rider_Input[Basic Payment],Salary_Calculation[[#This Row],[Source Row]])))</f>
        <v/>
      </c>
      <c r="E467" s="162" t="str">
        <f aca="false">IF(Salary_Calculation[[#This Row],[Source Row]]="","",IF(INDEX(Rider_Input[Calendar Days in Month],Salary_Calculation[[#This Row],[Source Row]])="","",INDEX(Rider_Input[Calendar Days in Month],Salary_Calculation[[#This Row],[Source Row]])))</f>
        <v/>
      </c>
      <c r="F467" s="162" t="str">
        <f aca="false">IF(Salary_Calculation[[#This Row],[Source Row]]="","",IF(INDEX(Rider_Input[Working Days],Salary_Calculation[[#This Row],[Source Row]])="","",INDEX(Rider_Input[Working Days],Salary_Calculation[[#This Row],[Source Row]])))</f>
        <v/>
      </c>
      <c r="G467" s="165" t="str">
        <f aca="false">IF(Salary_Calculation[[#This Row],[Source Row]]="","",Std_Orders/Std_Days*N(Salary_Calculation[[#This Row],[Calendar Days]]))</f>
        <v/>
      </c>
      <c r="H467" s="165" t="str">
        <f aca="false">IF(Salary_Calculation[[#This Row],[Source Row]]="","",IF(N(Salary_Calculation[[#This Row],[Calendar Days]])&gt;0,Salary_Calculation[[#This Row],[Monthly Target Orders]]/N(Salary_Calculation[[#This Row],[Calendar Days]])*N(Salary_Calculation[[#This Row],[Working Days]]),0))</f>
        <v/>
      </c>
      <c r="I467" s="166" t="str">
        <f aca="false">IF(Salary_Calculation[[#This Row],[Source Row]]="","",IF(INDEX(Rider_Input[Completed Orders],Salary_Calculation[[#This Row],[Source Row]])="","",INDEX(Rider_Input[Completed Orders],Salary_Calculation[[#This Row],[Source Row]])))</f>
        <v/>
      </c>
      <c r="J467" s="165" t="str">
        <f aca="false">IF(Salary_Calculation[[#This Row],[Source Row]]="","",IF(Rate_Method="Fixed rate",Fixed_Rate,IF(N(Salary_Calculation[[#This Row],[Basic Payment]])&gt;0,N(Salary_Calculation[[#This Row],[Basic Payment]])/Std_Orders,0)))</f>
        <v/>
      </c>
      <c r="K467" s="165" t="str">
        <f aca="false">IF(Salary_Calculation[[#This Row],[Source Row]]="","",MAX(MIN(N(Salary_Calculation[[#This Row],[Completed Orders]]),Salary_Calculation[[#This Row],[Rider Target Orders]]),0))</f>
        <v/>
      </c>
      <c r="L467" s="164" t="str">
        <f aca="false">IF(Salary_Calculation[[#This Row],[Source Row]]="","",Salary_Calculation[[#This Row],[Orders Counted at Base Rate]]*Salary_Calculation[[#This Row],[Base Order Rate]])</f>
        <v/>
      </c>
      <c r="M467" s="165" t="str">
        <f aca="false">IF(Salary_Calculation[[#This Row],[Source Row]]="","",MAX(Salary_Calculation[[#This Row],[Rider Target Orders]]-N(Salary_Calculation[[#This Row],[Completed Orders]]),0))</f>
        <v/>
      </c>
      <c r="N467" s="164" t="str">
        <f aca="false">IF(Salary_Calculation[[#This Row],[Source Row]]="","",Salary_Calculation[[#This Row],[Missing Orders]]*Missing_Rate)</f>
        <v/>
      </c>
      <c r="O467" s="165" t="str">
        <f aca="false">IF(Salary_Calculation[[#This Row],[Source Row]]="","",MAX(N(Salary_Calculation[[#This Row],[Completed Orders]])-Salary_Calculation[[#This Row],[Rider Target Orders]],0))</f>
        <v/>
      </c>
      <c r="P467" s="164" t="str">
        <f aca="false">IF(Salary_Calculation[[#This Row],[Source Row]]="","",Salary_Calculation[[#This Row],[Extra Orders]]*Extra_Rate)</f>
        <v/>
      </c>
      <c r="Q467" s="164" t="str">
        <f aca="false">IF(Salary_Calculation[[#This Row],[Source Row]]="","",MAX(Salary_Calculation[[#This Row],[Salary Before Other Deductions]],0))</f>
        <v/>
      </c>
      <c r="R467" s="164" t="str">
        <f aca="false">IF(Salary_Calculation[[#This Row],[Source Row]]="","",N(INDEX(Rider_Input[missed_days_penalty],Salary_Calculation[[#This Row],[Source Row]])))</f>
        <v/>
      </c>
      <c r="S467" s="164" t="str">
        <f aca="false">IF(Salary_Calculation[[#This Row],[Source Row]]="","",N(INDEX(Rider_Input[Rider Balance / محفظة المندوب],Salary_Calculation[[#This Row],[Source Row]])))</f>
        <v/>
      </c>
      <c r="T467" s="164" t="str">
        <f aca="false">IF(Salary_Calculation[[#This Row],[Source Row]]="","",N(INDEX(Rider_Input[stacking_deduction / خصم الطلبات المتعددة],Salary_Calculation[[#This Row],[Source Row]])))</f>
        <v/>
      </c>
      <c r="U467" s="164" t="str">
        <f aca="false">IF(Salary_Calculation[[#This Row],[Source Row]]="","",N(INDEX(Rider_Input[Other Deductions],Salary_Calculation[[#This Row],[Source Row]])))</f>
        <v/>
      </c>
      <c r="V467" s="164" t="str">
        <f aca="false">IF(Salary_Calculation[[#This Row],[Source Row]]="","",N(Salary_Calculation[[#This Row],[missed_days_penalty]])+N(Salary_Calculation[[#This Row],[Rider Balance]])+N(Salary_Calculation[[#This Row],[stacking_deduction]])+N(Salary_Calculation[[#This Row],[Other Deductions]]))</f>
        <v/>
      </c>
      <c r="W467" s="167" t="str">
        <f aca="false">IF(Salary_Calculation[[#This Row],[Source Row]]="","",ROUND(MAX(Salary_Calculation[[#This Row],[Gross Salary Before Deductions]]-Salary_Calculation[[#This Row],[Total Deductions]],0),2))</f>
        <v/>
      </c>
      <c r="X467" s="164" t="str">
        <f aca="false">IF(Salary_Calculation[[#This Row],[Source Row]]="","",ROUND(MAX(Salary_Calculation[[#This Row],[Missing-Order Deduction]]-Salary_Calculation[[#This Row],[Earned Salary]],0),2))</f>
        <v/>
      </c>
      <c r="Y46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67" s="163" t="str">
        <f aca="false">IF(Salary_Calculation[[#This Row],[Source Row]]="","",IF(INDEX(Rider_Input[Notes],Salary_Calculation[[#This Row],[Source Row]])="","",INDEX(Rider_Input[Notes],Salary_Calculation[[#This Row],[Source Row]])))</f>
        <v/>
      </c>
      <c r="AA467" s="164" t="str">
        <f aca="false">IF(Salary_Calculation[[#This Row],[Source Row]]="","",Salary_Calculation[[#This Row],[Earned Salary]]-Salary_Calculation[[#This Row],[Missing-Order Deduction]]+Salary_Calculation[[#This Row],[Extra-Order Bonus]])</f>
        <v/>
      </c>
      <c r="AB467" s="164" t="str">
        <f aca="false">IF(Salary_Calculation[[#This Row],[Source Row]]="","",ROUND(Salary_Calculation[[#This Row],[Negative Balance / Amount Due from Rider]]+MAX(Salary_Calculation[[#This Row],[Total Deductions]]-Salary_Calculation[[#This Row],[Gross Salary Before Deductions]],0),2))</f>
        <v/>
      </c>
      <c r="AC46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67" s="164" t="str">
        <f aca="false">IF(Salary_Calculation[[#This Row],[Source Row]]="","",Salary_Calculation[[#This Row],[Rider Target Orders]]*Salary_Calculation[[#This Row],[Base Order Rate]])</f>
        <v/>
      </c>
      <c r="AE467" s="162" t="str">
        <f aca="false">IF(SUMPRODUCT(--(LEN(INDEX(Rider_Input[#Data],ROW()-ROW(Salary_Calculation[#Headers]),0))&gt;0))=0,"",ROW()-ROW(Salary_Calculation[#Headers]))</f>
        <v/>
      </c>
    </row>
    <row r="468" customFormat="false" ht="14.25" hidden="false" customHeight="false" outlineLevel="0" collapsed="false">
      <c r="A468" s="161" t="str">
        <f aca="false">IF(Salary_Calculation[[#This Row],[Source Row]]="","",IF(INDEX(Rider_Input[Salary Month],Salary_Calculation[[#This Row],[Source Row]])="","",INDEX(Rider_Input[Salary Month],Salary_Calculation[[#This Row],[Source Row]])))</f>
        <v/>
      </c>
      <c r="B468" s="162" t="str">
        <f aca="false">IF(Salary_Calculation[[#This Row],[Source Row]]="","",IF(INDEX(Rider_Input[Rider ID],Salary_Calculation[[#This Row],[Source Row]])="","",INDEX(Rider_Input[Rider ID],Salary_Calculation[[#This Row],[Source Row]])))</f>
        <v/>
      </c>
      <c r="C468" s="163" t="str">
        <f aca="false">IF(Salary_Calculation[[#This Row],[Source Row]]="","",IF(INDEX(Rider_Input[Rider Name],Salary_Calculation[[#This Row],[Source Row]])="","",INDEX(Rider_Input[Rider Name],Salary_Calculation[[#This Row],[Source Row]])))</f>
        <v/>
      </c>
      <c r="D468" s="164" t="str">
        <f aca="false">IF(Salary_Calculation[[#This Row],[Source Row]]="","",IF(INDEX(Rider_Input[Basic Payment],Salary_Calculation[[#This Row],[Source Row]])="","",INDEX(Rider_Input[Basic Payment],Salary_Calculation[[#This Row],[Source Row]])))</f>
        <v/>
      </c>
      <c r="E468" s="162" t="str">
        <f aca="false">IF(Salary_Calculation[[#This Row],[Source Row]]="","",IF(INDEX(Rider_Input[Calendar Days in Month],Salary_Calculation[[#This Row],[Source Row]])="","",INDEX(Rider_Input[Calendar Days in Month],Salary_Calculation[[#This Row],[Source Row]])))</f>
        <v/>
      </c>
      <c r="F468" s="162" t="str">
        <f aca="false">IF(Salary_Calculation[[#This Row],[Source Row]]="","",IF(INDEX(Rider_Input[Working Days],Salary_Calculation[[#This Row],[Source Row]])="","",INDEX(Rider_Input[Working Days],Salary_Calculation[[#This Row],[Source Row]])))</f>
        <v/>
      </c>
      <c r="G468" s="165" t="str">
        <f aca="false">IF(Salary_Calculation[[#This Row],[Source Row]]="","",Std_Orders/Std_Days*N(Salary_Calculation[[#This Row],[Calendar Days]]))</f>
        <v/>
      </c>
      <c r="H468" s="165" t="str">
        <f aca="false">IF(Salary_Calculation[[#This Row],[Source Row]]="","",IF(N(Salary_Calculation[[#This Row],[Calendar Days]])&gt;0,Salary_Calculation[[#This Row],[Monthly Target Orders]]/N(Salary_Calculation[[#This Row],[Calendar Days]])*N(Salary_Calculation[[#This Row],[Working Days]]),0))</f>
        <v/>
      </c>
      <c r="I468" s="166" t="str">
        <f aca="false">IF(Salary_Calculation[[#This Row],[Source Row]]="","",IF(INDEX(Rider_Input[Completed Orders],Salary_Calculation[[#This Row],[Source Row]])="","",INDEX(Rider_Input[Completed Orders],Salary_Calculation[[#This Row],[Source Row]])))</f>
        <v/>
      </c>
      <c r="J468" s="165" t="str">
        <f aca="false">IF(Salary_Calculation[[#This Row],[Source Row]]="","",IF(Rate_Method="Fixed rate",Fixed_Rate,IF(N(Salary_Calculation[[#This Row],[Basic Payment]])&gt;0,N(Salary_Calculation[[#This Row],[Basic Payment]])/Std_Orders,0)))</f>
        <v/>
      </c>
      <c r="K468" s="165" t="str">
        <f aca="false">IF(Salary_Calculation[[#This Row],[Source Row]]="","",MAX(MIN(N(Salary_Calculation[[#This Row],[Completed Orders]]),Salary_Calculation[[#This Row],[Rider Target Orders]]),0))</f>
        <v/>
      </c>
      <c r="L468" s="164" t="str">
        <f aca="false">IF(Salary_Calculation[[#This Row],[Source Row]]="","",Salary_Calculation[[#This Row],[Orders Counted at Base Rate]]*Salary_Calculation[[#This Row],[Base Order Rate]])</f>
        <v/>
      </c>
      <c r="M468" s="165" t="str">
        <f aca="false">IF(Salary_Calculation[[#This Row],[Source Row]]="","",MAX(Salary_Calculation[[#This Row],[Rider Target Orders]]-N(Salary_Calculation[[#This Row],[Completed Orders]]),0))</f>
        <v/>
      </c>
      <c r="N468" s="164" t="str">
        <f aca="false">IF(Salary_Calculation[[#This Row],[Source Row]]="","",Salary_Calculation[[#This Row],[Missing Orders]]*Missing_Rate)</f>
        <v/>
      </c>
      <c r="O468" s="165" t="str">
        <f aca="false">IF(Salary_Calculation[[#This Row],[Source Row]]="","",MAX(N(Salary_Calculation[[#This Row],[Completed Orders]])-Salary_Calculation[[#This Row],[Rider Target Orders]],0))</f>
        <v/>
      </c>
      <c r="P468" s="164" t="str">
        <f aca="false">IF(Salary_Calculation[[#This Row],[Source Row]]="","",Salary_Calculation[[#This Row],[Extra Orders]]*Extra_Rate)</f>
        <v/>
      </c>
      <c r="Q468" s="164" t="str">
        <f aca="false">IF(Salary_Calculation[[#This Row],[Source Row]]="","",MAX(Salary_Calculation[[#This Row],[Salary Before Other Deductions]],0))</f>
        <v/>
      </c>
      <c r="R468" s="164" t="str">
        <f aca="false">IF(Salary_Calculation[[#This Row],[Source Row]]="","",N(INDEX(Rider_Input[missed_days_penalty],Salary_Calculation[[#This Row],[Source Row]])))</f>
        <v/>
      </c>
      <c r="S468" s="164" t="str">
        <f aca="false">IF(Salary_Calculation[[#This Row],[Source Row]]="","",N(INDEX(Rider_Input[Rider Balance / محفظة المندوب],Salary_Calculation[[#This Row],[Source Row]])))</f>
        <v/>
      </c>
      <c r="T468" s="164" t="str">
        <f aca="false">IF(Salary_Calculation[[#This Row],[Source Row]]="","",N(INDEX(Rider_Input[stacking_deduction / خصم الطلبات المتعددة],Salary_Calculation[[#This Row],[Source Row]])))</f>
        <v/>
      </c>
      <c r="U468" s="164" t="str">
        <f aca="false">IF(Salary_Calculation[[#This Row],[Source Row]]="","",N(INDEX(Rider_Input[Other Deductions],Salary_Calculation[[#This Row],[Source Row]])))</f>
        <v/>
      </c>
      <c r="V468" s="164" t="str">
        <f aca="false">IF(Salary_Calculation[[#This Row],[Source Row]]="","",N(Salary_Calculation[[#This Row],[missed_days_penalty]])+N(Salary_Calculation[[#This Row],[Rider Balance]])+N(Salary_Calculation[[#This Row],[stacking_deduction]])+N(Salary_Calculation[[#This Row],[Other Deductions]]))</f>
        <v/>
      </c>
      <c r="W468" s="167" t="str">
        <f aca="false">IF(Salary_Calculation[[#This Row],[Source Row]]="","",ROUND(MAX(Salary_Calculation[[#This Row],[Gross Salary Before Deductions]]-Salary_Calculation[[#This Row],[Total Deductions]],0),2))</f>
        <v/>
      </c>
      <c r="X468" s="164" t="str">
        <f aca="false">IF(Salary_Calculation[[#This Row],[Source Row]]="","",ROUND(MAX(Salary_Calculation[[#This Row],[Missing-Order Deduction]]-Salary_Calculation[[#This Row],[Earned Salary]],0),2))</f>
        <v/>
      </c>
      <c r="Y46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68" s="163" t="str">
        <f aca="false">IF(Salary_Calculation[[#This Row],[Source Row]]="","",IF(INDEX(Rider_Input[Notes],Salary_Calculation[[#This Row],[Source Row]])="","",INDEX(Rider_Input[Notes],Salary_Calculation[[#This Row],[Source Row]])))</f>
        <v/>
      </c>
      <c r="AA468" s="164" t="str">
        <f aca="false">IF(Salary_Calculation[[#This Row],[Source Row]]="","",Salary_Calculation[[#This Row],[Earned Salary]]-Salary_Calculation[[#This Row],[Missing-Order Deduction]]+Salary_Calculation[[#This Row],[Extra-Order Bonus]])</f>
        <v/>
      </c>
      <c r="AB468" s="164" t="str">
        <f aca="false">IF(Salary_Calculation[[#This Row],[Source Row]]="","",ROUND(Salary_Calculation[[#This Row],[Negative Balance / Amount Due from Rider]]+MAX(Salary_Calculation[[#This Row],[Total Deductions]]-Salary_Calculation[[#This Row],[Gross Salary Before Deductions]],0),2))</f>
        <v/>
      </c>
      <c r="AC46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68" s="164" t="str">
        <f aca="false">IF(Salary_Calculation[[#This Row],[Source Row]]="","",Salary_Calculation[[#This Row],[Rider Target Orders]]*Salary_Calculation[[#This Row],[Base Order Rate]])</f>
        <v/>
      </c>
      <c r="AE468" s="162" t="str">
        <f aca="false">IF(SUMPRODUCT(--(LEN(INDEX(Rider_Input[#Data],ROW()-ROW(Salary_Calculation[#Headers]),0))&gt;0))=0,"",ROW()-ROW(Salary_Calculation[#Headers]))</f>
        <v/>
      </c>
    </row>
    <row r="469" customFormat="false" ht="14.25" hidden="false" customHeight="false" outlineLevel="0" collapsed="false">
      <c r="A469" s="161" t="str">
        <f aca="false">IF(Salary_Calculation[[#This Row],[Source Row]]="","",IF(INDEX(Rider_Input[Salary Month],Salary_Calculation[[#This Row],[Source Row]])="","",INDEX(Rider_Input[Salary Month],Salary_Calculation[[#This Row],[Source Row]])))</f>
        <v/>
      </c>
      <c r="B469" s="162" t="str">
        <f aca="false">IF(Salary_Calculation[[#This Row],[Source Row]]="","",IF(INDEX(Rider_Input[Rider ID],Salary_Calculation[[#This Row],[Source Row]])="","",INDEX(Rider_Input[Rider ID],Salary_Calculation[[#This Row],[Source Row]])))</f>
        <v/>
      </c>
      <c r="C469" s="163" t="str">
        <f aca="false">IF(Salary_Calculation[[#This Row],[Source Row]]="","",IF(INDEX(Rider_Input[Rider Name],Salary_Calculation[[#This Row],[Source Row]])="","",INDEX(Rider_Input[Rider Name],Salary_Calculation[[#This Row],[Source Row]])))</f>
        <v/>
      </c>
      <c r="D469" s="164" t="str">
        <f aca="false">IF(Salary_Calculation[[#This Row],[Source Row]]="","",IF(INDEX(Rider_Input[Basic Payment],Salary_Calculation[[#This Row],[Source Row]])="","",INDEX(Rider_Input[Basic Payment],Salary_Calculation[[#This Row],[Source Row]])))</f>
        <v/>
      </c>
      <c r="E469" s="162" t="str">
        <f aca="false">IF(Salary_Calculation[[#This Row],[Source Row]]="","",IF(INDEX(Rider_Input[Calendar Days in Month],Salary_Calculation[[#This Row],[Source Row]])="","",INDEX(Rider_Input[Calendar Days in Month],Salary_Calculation[[#This Row],[Source Row]])))</f>
        <v/>
      </c>
      <c r="F469" s="162" t="str">
        <f aca="false">IF(Salary_Calculation[[#This Row],[Source Row]]="","",IF(INDEX(Rider_Input[Working Days],Salary_Calculation[[#This Row],[Source Row]])="","",INDEX(Rider_Input[Working Days],Salary_Calculation[[#This Row],[Source Row]])))</f>
        <v/>
      </c>
      <c r="G469" s="165" t="str">
        <f aca="false">IF(Salary_Calculation[[#This Row],[Source Row]]="","",Std_Orders/Std_Days*N(Salary_Calculation[[#This Row],[Calendar Days]]))</f>
        <v/>
      </c>
      <c r="H469" s="165" t="str">
        <f aca="false">IF(Salary_Calculation[[#This Row],[Source Row]]="","",IF(N(Salary_Calculation[[#This Row],[Calendar Days]])&gt;0,Salary_Calculation[[#This Row],[Monthly Target Orders]]/N(Salary_Calculation[[#This Row],[Calendar Days]])*N(Salary_Calculation[[#This Row],[Working Days]]),0))</f>
        <v/>
      </c>
      <c r="I469" s="166" t="str">
        <f aca="false">IF(Salary_Calculation[[#This Row],[Source Row]]="","",IF(INDEX(Rider_Input[Completed Orders],Salary_Calculation[[#This Row],[Source Row]])="","",INDEX(Rider_Input[Completed Orders],Salary_Calculation[[#This Row],[Source Row]])))</f>
        <v/>
      </c>
      <c r="J469" s="165" t="str">
        <f aca="false">IF(Salary_Calculation[[#This Row],[Source Row]]="","",IF(Rate_Method="Fixed rate",Fixed_Rate,IF(N(Salary_Calculation[[#This Row],[Basic Payment]])&gt;0,N(Salary_Calculation[[#This Row],[Basic Payment]])/Std_Orders,0)))</f>
        <v/>
      </c>
      <c r="K469" s="165" t="str">
        <f aca="false">IF(Salary_Calculation[[#This Row],[Source Row]]="","",MAX(MIN(N(Salary_Calculation[[#This Row],[Completed Orders]]),Salary_Calculation[[#This Row],[Rider Target Orders]]),0))</f>
        <v/>
      </c>
      <c r="L469" s="164" t="str">
        <f aca="false">IF(Salary_Calculation[[#This Row],[Source Row]]="","",Salary_Calculation[[#This Row],[Orders Counted at Base Rate]]*Salary_Calculation[[#This Row],[Base Order Rate]])</f>
        <v/>
      </c>
      <c r="M469" s="165" t="str">
        <f aca="false">IF(Salary_Calculation[[#This Row],[Source Row]]="","",MAX(Salary_Calculation[[#This Row],[Rider Target Orders]]-N(Salary_Calculation[[#This Row],[Completed Orders]]),0))</f>
        <v/>
      </c>
      <c r="N469" s="164" t="str">
        <f aca="false">IF(Salary_Calculation[[#This Row],[Source Row]]="","",Salary_Calculation[[#This Row],[Missing Orders]]*Missing_Rate)</f>
        <v/>
      </c>
      <c r="O469" s="165" t="str">
        <f aca="false">IF(Salary_Calculation[[#This Row],[Source Row]]="","",MAX(N(Salary_Calculation[[#This Row],[Completed Orders]])-Salary_Calculation[[#This Row],[Rider Target Orders]],0))</f>
        <v/>
      </c>
      <c r="P469" s="164" t="str">
        <f aca="false">IF(Salary_Calculation[[#This Row],[Source Row]]="","",Salary_Calculation[[#This Row],[Extra Orders]]*Extra_Rate)</f>
        <v/>
      </c>
      <c r="Q469" s="164" t="str">
        <f aca="false">IF(Salary_Calculation[[#This Row],[Source Row]]="","",MAX(Salary_Calculation[[#This Row],[Salary Before Other Deductions]],0))</f>
        <v/>
      </c>
      <c r="R469" s="164" t="str">
        <f aca="false">IF(Salary_Calculation[[#This Row],[Source Row]]="","",N(INDEX(Rider_Input[missed_days_penalty],Salary_Calculation[[#This Row],[Source Row]])))</f>
        <v/>
      </c>
      <c r="S469" s="164" t="str">
        <f aca="false">IF(Salary_Calculation[[#This Row],[Source Row]]="","",N(INDEX(Rider_Input[Rider Balance / محفظة المندوب],Salary_Calculation[[#This Row],[Source Row]])))</f>
        <v/>
      </c>
      <c r="T469" s="164" t="str">
        <f aca="false">IF(Salary_Calculation[[#This Row],[Source Row]]="","",N(INDEX(Rider_Input[stacking_deduction / خصم الطلبات المتعددة],Salary_Calculation[[#This Row],[Source Row]])))</f>
        <v/>
      </c>
      <c r="U469" s="164" t="str">
        <f aca="false">IF(Salary_Calculation[[#This Row],[Source Row]]="","",N(INDEX(Rider_Input[Other Deductions],Salary_Calculation[[#This Row],[Source Row]])))</f>
        <v/>
      </c>
      <c r="V469" s="164" t="str">
        <f aca="false">IF(Salary_Calculation[[#This Row],[Source Row]]="","",N(Salary_Calculation[[#This Row],[missed_days_penalty]])+N(Salary_Calculation[[#This Row],[Rider Balance]])+N(Salary_Calculation[[#This Row],[stacking_deduction]])+N(Salary_Calculation[[#This Row],[Other Deductions]]))</f>
        <v/>
      </c>
      <c r="W469" s="167" t="str">
        <f aca="false">IF(Salary_Calculation[[#This Row],[Source Row]]="","",ROUND(MAX(Salary_Calculation[[#This Row],[Gross Salary Before Deductions]]-Salary_Calculation[[#This Row],[Total Deductions]],0),2))</f>
        <v/>
      </c>
      <c r="X469" s="164" t="str">
        <f aca="false">IF(Salary_Calculation[[#This Row],[Source Row]]="","",ROUND(MAX(Salary_Calculation[[#This Row],[Missing-Order Deduction]]-Salary_Calculation[[#This Row],[Earned Salary]],0),2))</f>
        <v/>
      </c>
      <c r="Y46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69" s="163" t="str">
        <f aca="false">IF(Salary_Calculation[[#This Row],[Source Row]]="","",IF(INDEX(Rider_Input[Notes],Salary_Calculation[[#This Row],[Source Row]])="","",INDEX(Rider_Input[Notes],Salary_Calculation[[#This Row],[Source Row]])))</f>
        <v/>
      </c>
      <c r="AA469" s="164" t="str">
        <f aca="false">IF(Salary_Calculation[[#This Row],[Source Row]]="","",Salary_Calculation[[#This Row],[Earned Salary]]-Salary_Calculation[[#This Row],[Missing-Order Deduction]]+Salary_Calculation[[#This Row],[Extra-Order Bonus]])</f>
        <v/>
      </c>
      <c r="AB469" s="164" t="str">
        <f aca="false">IF(Salary_Calculation[[#This Row],[Source Row]]="","",ROUND(Salary_Calculation[[#This Row],[Negative Balance / Amount Due from Rider]]+MAX(Salary_Calculation[[#This Row],[Total Deductions]]-Salary_Calculation[[#This Row],[Gross Salary Before Deductions]],0),2))</f>
        <v/>
      </c>
      <c r="AC46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69" s="164" t="str">
        <f aca="false">IF(Salary_Calculation[[#This Row],[Source Row]]="","",Salary_Calculation[[#This Row],[Rider Target Orders]]*Salary_Calculation[[#This Row],[Base Order Rate]])</f>
        <v/>
      </c>
      <c r="AE469" s="162" t="str">
        <f aca="false">IF(SUMPRODUCT(--(LEN(INDEX(Rider_Input[#Data],ROW()-ROW(Salary_Calculation[#Headers]),0))&gt;0))=0,"",ROW()-ROW(Salary_Calculation[#Headers]))</f>
        <v/>
      </c>
    </row>
    <row r="470" customFormat="false" ht="14.25" hidden="false" customHeight="false" outlineLevel="0" collapsed="false">
      <c r="A470" s="161" t="str">
        <f aca="false">IF(Salary_Calculation[[#This Row],[Source Row]]="","",IF(INDEX(Rider_Input[Salary Month],Salary_Calculation[[#This Row],[Source Row]])="","",INDEX(Rider_Input[Salary Month],Salary_Calculation[[#This Row],[Source Row]])))</f>
        <v/>
      </c>
      <c r="B470" s="162" t="str">
        <f aca="false">IF(Salary_Calculation[[#This Row],[Source Row]]="","",IF(INDEX(Rider_Input[Rider ID],Salary_Calculation[[#This Row],[Source Row]])="","",INDEX(Rider_Input[Rider ID],Salary_Calculation[[#This Row],[Source Row]])))</f>
        <v/>
      </c>
      <c r="C470" s="163" t="str">
        <f aca="false">IF(Salary_Calculation[[#This Row],[Source Row]]="","",IF(INDEX(Rider_Input[Rider Name],Salary_Calculation[[#This Row],[Source Row]])="","",INDEX(Rider_Input[Rider Name],Salary_Calculation[[#This Row],[Source Row]])))</f>
        <v/>
      </c>
      <c r="D470" s="164" t="str">
        <f aca="false">IF(Salary_Calculation[[#This Row],[Source Row]]="","",IF(INDEX(Rider_Input[Basic Payment],Salary_Calculation[[#This Row],[Source Row]])="","",INDEX(Rider_Input[Basic Payment],Salary_Calculation[[#This Row],[Source Row]])))</f>
        <v/>
      </c>
      <c r="E470" s="162" t="str">
        <f aca="false">IF(Salary_Calculation[[#This Row],[Source Row]]="","",IF(INDEX(Rider_Input[Calendar Days in Month],Salary_Calculation[[#This Row],[Source Row]])="","",INDEX(Rider_Input[Calendar Days in Month],Salary_Calculation[[#This Row],[Source Row]])))</f>
        <v/>
      </c>
      <c r="F470" s="162" t="str">
        <f aca="false">IF(Salary_Calculation[[#This Row],[Source Row]]="","",IF(INDEX(Rider_Input[Working Days],Salary_Calculation[[#This Row],[Source Row]])="","",INDEX(Rider_Input[Working Days],Salary_Calculation[[#This Row],[Source Row]])))</f>
        <v/>
      </c>
      <c r="G470" s="165" t="str">
        <f aca="false">IF(Salary_Calculation[[#This Row],[Source Row]]="","",Std_Orders/Std_Days*N(Salary_Calculation[[#This Row],[Calendar Days]]))</f>
        <v/>
      </c>
      <c r="H470" s="165" t="str">
        <f aca="false">IF(Salary_Calculation[[#This Row],[Source Row]]="","",IF(N(Salary_Calculation[[#This Row],[Calendar Days]])&gt;0,Salary_Calculation[[#This Row],[Monthly Target Orders]]/N(Salary_Calculation[[#This Row],[Calendar Days]])*N(Salary_Calculation[[#This Row],[Working Days]]),0))</f>
        <v/>
      </c>
      <c r="I470" s="166" t="str">
        <f aca="false">IF(Salary_Calculation[[#This Row],[Source Row]]="","",IF(INDEX(Rider_Input[Completed Orders],Salary_Calculation[[#This Row],[Source Row]])="","",INDEX(Rider_Input[Completed Orders],Salary_Calculation[[#This Row],[Source Row]])))</f>
        <v/>
      </c>
      <c r="J470" s="165" t="str">
        <f aca="false">IF(Salary_Calculation[[#This Row],[Source Row]]="","",IF(Rate_Method="Fixed rate",Fixed_Rate,IF(N(Salary_Calculation[[#This Row],[Basic Payment]])&gt;0,N(Salary_Calculation[[#This Row],[Basic Payment]])/Std_Orders,0)))</f>
        <v/>
      </c>
      <c r="K470" s="165" t="str">
        <f aca="false">IF(Salary_Calculation[[#This Row],[Source Row]]="","",MAX(MIN(N(Salary_Calculation[[#This Row],[Completed Orders]]),Salary_Calculation[[#This Row],[Rider Target Orders]]),0))</f>
        <v/>
      </c>
      <c r="L470" s="164" t="str">
        <f aca="false">IF(Salary_Calculation[[#This Row],[Source Row]]="","",Salary_Calculation[[#This Row],[Orders Counted at Base Rate]]*Salary_Calculation[[#This Row],[Base Order Rate]])</f>
        <v/>
      </c>
      <c r="M470" s="165" t="str">
        <f aca="false">IF(Salary_Calculation[[#This Row],[Source Row]]="","",MAX(Salary_Calculation[[#This Row],[Rider Target Orders]]-N(Salary_Calculation[[#This Row],[Completed Orders]]),0))</f>
        <v/>
      </c>
      <c r="N470" s="164" t="str">
        <f aca="false">IF(Salary_Calculation[[#This Row],[Source Row]]="","",Salary_Calculation[[#This Row],[Missing Orders]]*Missing_Rate)</f>
        <v/>
      </c>
      <c r="O470" s="165" t="str">
        <f aca="false">IF(Salary_Calculation[[#This Row],[Source Row]]="","",MAX(N(Salary_Calculation[[#This Row],[Completed Orders]])-Salary_Calculation[[#This Row],[Rider Target Orders]],0))</f>
        <v/>
      </c>
      <c r="P470" s="164" t="str">
        <f aca="false">IF(Salary_Calculation[[#This Row],[Source Row]]="","",Salary_Calculation[[#This Row],[Extra Orders]]*Extra_Rate)</f>
        <v/>
      </c>
      <c r="Q470" s="164" t="str">
        <f aca="false">IF(Salary_Calculation[[#This Row],[Source Row]]="","",MAX(Salary_Calculation[[#This Row],[Salary Before Other Deductions]],0))</f>
        <v/>
      </c>
      <c r="R470" s="164" t="str">
        <f aca="false">IF(Salary_Calculation[[#This Row],[Source Row]]="","",N(INDEX(Rider_Input[missed_days_penalty],Salary_Calculation[[#This Row],[Source Row]])))</f>
        <v/>
      </c>
      <c r="S470" s="164" t="str">
        <f aca="false">IF(Salary_Calculation[[#This Row],[Source Row]]="","",N(INDEX(Rider_Input[Rider Balance / محفظة المندوب],Salary_Calculation[[#This Row],[Source Row]])))</f>
        <v/>
      </c>
      <c r="T470" s="164" t="str">
        <f aca="false">IF(Salary_Calculation[[#This Row],[Source Row]]="","",N(INDEX(Rider_Input[stacking_deduction / خصم الطلبات المتعددة],Salary_Calculation[[#This Row],[Source Row]])))</f>
        <v/>
      </c>
      <c r="U470" s="164" t="str">
        <f aca="false">IF(Salary_Calculation[[#This Row],[Source Row]]="","",N(INDEX(Rider_Input[Other Deductions],Salary_Calculation[[#This Row],[Source Row]])))</f>
        <v/>
      </c>
      <c r="V470" s="164" t="str">
        <f aca="false">IF(Salary_Calculation[[#This Row],[Source Row]]="","",N(Salary_Calculation[[#This Row],[missed_days_penalty]])+N(Salary_Calculation[[#This Row],[Rider Balance]])+N(Salary_Calculation[[#This Row],[stacking_deduction]])+N(Salary_Calculation[[#This Row],[Other Deductions]]))</f>
        <v/>
      </c>
      <c r="W470" s="167" t="str">
        <f aca="false">IF(Salary_Calculation[[#This Row],[Source Row]]="","",ROUND(MAX(Salary_Calculation[[#This Row],[Gross Salary Before Deductions]]-Salary_Calculation[[#This Row],[Total Deductions]],0),2))</f>
        <v/>
      </c>
      <c r="X470" s="164" t="str">
        <f aca="false">IF(Salary_Calculation[[#This Row],[Source Row]]="","",ROUND(MAX(Salary_Calculation[[#This Row],[Missing-Order Deduction]]-Salary_Calculation[[#This Row],[Earned Salary]],0),2))</f>
        <v/>
      </c>
      <c r="Y47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70" s="163" t="str">
        <f aca="false">IF(Salary_Calculation[[#This Row],[Source Row]]="","",IF(INDEX(Rider_Input[Notes],Salary_Calculation[[#This Row],[Source Row]])="","",INDEX(Rider_Input[Notes],Salary_Calculation[[#This Row],[Source Row]])))</f>
        <v/>
      </c>
      <c r="AA470" s="164" t="str">
        <f aca="false">IF(Salary_Calculation[[#This Row],[Source Row]]="","",Salary_Calculation[[#This Row],[Earned Salary]]-Salary_Calculation[[#This Row],[Missing-Order Deduction]]+Salary_Calculation[[#This Row],[Extra-Order Bonus]])</f>
        <v/>
      </c>
      <c r="AB470" s="164" t="str">
        <f aca="false">IF(Salary_Calculation[[#This Row],[Source Row]]="","",ROUND(Salary_Calculation[[#This Row],[Negative Balance / Amount Due from Rider]]+MAX(Salary_Calculation[[#This Row],[Total Deductions]]-Salary_Calculation[[#This Row],[Gross Salary Before Deductions]],0),2))</f>
        <v/>
      </c>
      <c r="AC47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70" s="164" t="str">
        <f aca="false">IF(Salary_Calculation[[#This Row],[Source Row]]="","",Salary_Calculation[[#This Row],[Rider Target Orders]]*Salary_Calculation[[#This Row],[Base Order Rate]])</f>
        <v/>
      </c>
      <c r="AE470" s="162" t="str">
        <f aca="false">IF(SUMPRODUCT(--(LEN(INDEX(Rider_Input[#Data],ROW()-ROW(Salary_Calculation[#Headers]),0))&gt;0))=0,"",ROW()-ROW(Salary_Calculation[#Headers]))</f>
        <v/>
      </c>
    </row>
    <row r="471" customFormat="false" ht="14.25" hidden="false" customHeight="false" outlineLevel="0" collapsed="false">
      <c r="A471" s="161" t="str">
        <f aca="false">IF(Salary_Calculation[[#This Row],[Source Row]]="","",IF(INDEX(Rider_Input[Salary Month],Salary_Calculation[[#This Row],[Source Row]])="","",INDEX(Rider_Input[Salary Month],Salary_Calculation[[#This Row],[Source Row]])))</f>
        <v/>
      </c>
      <c r="B471" s="162" t="str">
        <f aca="false">IF(Salary_Calculation[[#This Row],[Source Row]]="","",IF(INDEX(Rider_Input[Rider ID],Salary_Calculation[[#This Row],[Source Row]])="","",INDEX(Rider_Input[Rider ID],Salary_Calculation[[#This Row],[Source Row]])))</f>
        <v/>
      </c>
      <c r="C471" s="163" t="str">
        <f aca="false">IF(Salary_Calculation[[#This Row],[Source Row]]="","",IF(INDEX(Rider_Input[Rider Name],Salary_Calculation[[#This Row],[Source Row]])="","",INDEX(Rider_Input[Rider Name],Salary_Calculation[[#This Row],[Source Row]])))</f>
        <v/>
      </c>
      <c r="D471" s="164" t="str">
        <f aca="false">IF(Salary_Calculation[[#This Row],[Source Row]]="","",IF(INDEX(Rider_Input[Basic Payment],Salary_Calculation[[#This Row],[Source Row]])="","",INDEX(Rider_Input[Basic Payment],Salary_Calculation[[#This Row],[Source Row]])))</f>
        <v/>
      </c>
      <c r="E471" s="162" t="str">
        <f aca="false">IF(Salary_Calculation[[#This Row],[Source Row]]="","",IF(INDEX(Rider_Input[Calendar Days in Month],Salary_Calculation[[#This Row],[Source Row]])="","",INDEX(Rider_Input[Calendar Days in Month],Salary_Calculation[[#This Row],[Source Row]])))</f>
        <v/>
      </c>
      <c r="F471" s="162" t="str">
        <f aca="false">IF(Salary_Calculation[[#This Row],[Source Row]]="","",IF(INDEX(Rider_Input[Working Days],Salary_Calculation[[#This Row],[Source Row]])="","",INDEX(Rider_Input[Working Days],Salary_Calculation[[#This Row],[Source Row]])))</f>
        <v/>
      </c>
      <c r="G471" s="165" t="str">
        <f aca="false">IF(Salary_Calculation[[#This Row],[Source Row]]="","",Std_Orders/Std_Days*N(Salary_Calculation[[#This Row],[Calendar Days]]))</f>
        <v/>
      </c>
      <c r="H471" s="165" t="str">
        <f aca="false">IF(Salary_Calculation[[#This Row],[Source Row]]="","",IF(N(Salary_Calculation[[#This Row],[Calendar Days]])&gt;0,Salary_Calculation[[#This Row],[Monthly Target Orders]]/N(Salary_Calculation[[#This Row],[Calendar Days]])*N(Salary_Calculation[[#This Row],[Working Days]]),0))</f>
        <v/>
      </c>
      <c r="I471" s="166" t="str">
        <f aca="false">IF(Salary_Calculation[[#This Row],[Source Row]]="","",IF(INDEX(Rider_Input[Completed Orders],Salary_Calculation[[#This Row],[Source Row]])="","",INDEX(Rider_Input[Completed Orders],Salary_Calculation[[#This Row],[Source Row]])))</f>
        <v/>
      </c>
      <c r="J471" s="165" t="str">
        <f aca="false">IF(Salary_Calculation[[#This Row],[Source Row]]="","",IF(Rate_Method="Fixed rate",Fixed_Rate,IF(N(Salary_Calculation[[#This Row],[Basic Payment]])&gt;0,N(Salary_Calculation[[#This Row],[Basic Payment]])/Std_Orders,0)))</f>
        <v/>
      </c>
      <c r="K471" s="165" t="str">
        <f aca="false">IF(Salary_Calculation[[#This Row],[Source Row]]="","",MAX(MIN(N(Salary_Calculation[[#This Row],[Completed Orders]]),Salary_Calculation[[#This Row],[Rider Target Orders]]),0))</f>
        <v/>
      </c>
      <c r="L471" s="164" t="str">
        <f aca="false">IF(Salary_Calculation[[#This Row],[Source Row]]="","",Salary_Calculation[[#This Row],[Orders Counted at Base Rate]]*Salary_Calculation[[#This Row],[Base Order Rate]])</f>
        <v/>
      </c>
      <c r="M471" s="165" t="str">
        <f aca="false">IF(Salary_Calculation[[#This Row],[Source Row]]="","",MAX(Salary_Calculation[[#This Row],[Rider Target Orders]]-N(Salary_Calculation[[#This Row],[Completed Orders]]),0))</f>
        <v/>
      </c>
      <c r="N471" s="164" t="str">
        <f aca="false">IF(Salary_Calculation[[#This Row],[Source Row]]="","",Salary_Calculation[[#This Row],[Missing Orders]]*Missing_Rate)</f>
        <v/>
      </c>
      <c r="O471" s="165" t="str">
        <f aca="false">IF(Salary_Calculation[[#This Row],[Source Row]]="","",MAX(N(Salary_Calculation[[#This Row],[Completed Orders]])-Salary_Calculation[[#This Row],[Rider Target Orders]],0))</f>
        <v/>
      </c>
      <c r="P471" s="164" t="str">
        <f aca="false">IF(Salary_Calculation[[#This Row],[Source Row]]="","",Salary_Calculation[[#This Row],[Extra Orders]]*Extra_Rate)</f>
        <v/>
      </c>
      <c r="Q471" s="164" t="str">
        <f aca="false">IF(Salary_Calculation[[#This Row],[Source Row]]="","",MAX(Salary_Calculation[[#This Row],[Salary Before Other Deductions]],0))</f>
        <v/>
      </c>
      <c r="R471" s="164" t="str">
        <f aca="false">IF(Salary_Calculation[[#This Row],[Source Row]]="","",N(INDEX(Rider_Input[missed_days_penalty],Salary_Calculation[[#This Row],[Source Row]])))</f>
        <v/>
      </c>
      <c r="S471" s="164" t="str">
        <f aca="false">IF(Salary_Calculation[[#This Row],[Source Row]]="","",N(INDEX(Rider_Input[Rider Balance / محفظة المندوب],Salary_Calculation[[#This Row],[Source Row]])))</f>
        <v/>
      </c>
      <c r="T471" s="164" t="str">
        <f aca="false">IF(Salary_Calculation[[#This Row],[Source Row]]="","",N(INDEX(Rider_Input[stacking_deduction / خصم الطلبات المتعددة],Salary_Calculation[[#This Row],[Source Row]])))</f>
        <v/>
      </c>
      <c r="U471" s="164" t="str">
        <f aca="false">IF(Salary_Calculation[[#This Row],[Source Row]]="","",N(INDEX(Rider_Input[Other Deductions],Salary_Calculation[[#This Row],[Source Row]])))</f>
        <v/>
      </c>
      <c r="V471" s="164" t="str">
        <f aca="false">IF(Salary_Calculation[[#This Row],[Source Row]]="","",N(Salary_Calculation[[#This Row],[missed_days_penalty]])+N(Salary_Calculation[[#This Row],[Rider Balance]])+N(Salary_Calculation[[#This Row],[stacking_deduction]])+N(Salary_Calculation[[#This Row],[Other Deductions]]))</f>
        <v/>
      </c>
      <c r="W471" s="167" t="str">
        <f aca="false">IF(Salary_Calculation[[#This Row],[Source Row]]="","",ROUND(MAX(Salary_Calculation[[#This Row],[Gross Salary Before Deductions]]-Salary_Calculation[[#This Row],[Total Deductions]],0),2))</f>
        <v/>
      </c>
      <c r="X471" s="164" t="str">
        <f aca="false">IF(Salary_Calculation[[#This Row],[Source Row]]="","",ROUND(MAX(Salary_Calculation[[#This Row],[Missing-Order Deduction]]-Salary_Calculation[[#This Row],[Earned Salary]],0),2))</f>
        <v/>
      </c>
      <c r="Y47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71" s="163" t="str">
        <f aca="false">IF(Salary_Calculation[[#This Row],[Source Row]]="","",IF(INDEX(Rider_Input[Notes],Salary_Calculation[[#This Row],[Source Row]])="","",INDEX(Rider_Input[Notes],Salary_Calculation[[#This Row],[Source Row]])))</f>
        <v/>
      </c>
      <c r="AA471" s="164" t="str">
        <f aca="false">IF(Salary_Calculation[[#This Row],[Source Row]]="","",Salary_Calculation[[#This Row],[Earned Salary]]-Salary_Calculation[[#This Row],[Missing-Order Deduction]]+Salary_Calculation[[#This Row],[Extra-Order Bonus]])</f>
        <v/>
      </c>
      <c r="AB471" s="164" t="str">
        <f aca="false">IF(Salary_Calculation[[#This Row],[Source Row]]="","",ROUND(Salary_Calculation[[#This Row],[Negative Balance / Amount Due from Rider]]+MAX(Salary_Calculation[[#This Row],[Total Deductions]]-Salary_Calculation[[#This Row],[Gross Salary Before Deductions]],0),2))</f>
        <v/>
      </c>
      <c r="AC47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71" s="164" t="str">
        <f aca="false">IF(Salary_Calculation[[#This Row],[Source Row]]="","",Salary_Calculation[[#This Row],[Rider Target Orders]]*Salary_Calculation[[#This Row],[Base Order Rate]])</f>
        <v/>
      </c>
      <c r="AE471" s="162" t="str">
        <f aca="false">IF(SUMPRODUCT(--(LEN(INDEX(Rider_Input[#Data],ROW()-ROW(Salary_Calculation[#Headers]),0))&gt;0))=0,"",ROW()-ROW(Salary_Calculation[#Headers]))</f>
        <v/>
      </c>
    </row>
    <row r="472" customFormat="false" ht="14.25" hidden="false" customHeight="false" outlineLevel="0" collapsed="false">
      <c r="A472" s="161" t="str">
        <f aca="false">IF(Salary_Calculation[[#This Row],[Source Row]]="","",IF(INDEX(Rider_Input[Salary Month],Salary_Calculation[[#This Row],[Source Row]])="","",INDEX(Rider_Input[Salary Month],Salary_Calculation[[#This Row],[Source Row]])))</f>
        <v/>
      </c>
      <c r="B472" s="162" t="str">
        <f aca="false">IF(Salary_Calculation[[#This Row],[Source Row]]="","",IF(INDEX(Rider_Input[Rider ID],Salary_Calculation[[#This Row],[Source Row]])="","",INDEX(Rider_Input[Rider ID],Salary_Calculation[[#This Row],[Source Row]])))</f>
        <v/>
      </c>
      <c r="C472" s="163" t="str">
        <f aca="false">IF(Salary_Calculation[[#This Row],[Source Row]]="","",IF(INDEX(Rider_Input[Rider Name],Salary_Calculation[[#This Row],[Source Row]])="","",INDEX(Rider_Input[Rider Name],Salary_Calculation[[#This Row],[Source Row]])))</f>
        <v/>
      </c>
      <c r="D472" s="164" t="str">
        <f aca="false">IF(Salary_Calculation[[#This Row],[Source Row]]="","",IF(INDEX(Rider_Input[Basic Payment],Salary_Calculation[[#This Row],[Source Row]])="","",INDEX(Rider_Input[Basic Payment],Salary_Calculation[[#This Row],[Source Row]])))</f>
        <v/>
      </c>
      <c r="E472" s="162" t="str">
        <f aca="false">IF(Salary_Calculation[[#This Row],[Source Row]]="","",IF(INDEX(Rider_Input[Calendar Days in Month],Salary_Calculation[[#This Row],[Source Row]])="","",INDEX(Rider_Input[Calendar Days in Month],Salary_Calculation[[#This Row],[Source Row]])))</f>
        <v/>
      </c>
      <c r="F472" s="162" t="str">
        <f aca="false">IF(Salary_Calculation[[#This Row],[Source Row]]="","",IF(INDEX(Rider_Input[Working Days],Salary_Calculation[[#This Row],[Source Row]])="","",INDEX(Rider_Input[Working Days],Salary_Calculation[[#This Row],[Source Row]])))</f>
        <v/>
      </c>
      <c r="G472" s="165" t="str">
        <f aca="false">IF(Salary_Calculation[[#This Row],[Source Row]]="","",Std_Orders/Std_Days*N(Salary_Calculation[[#This Row],[Calendar Days]]))</f>
        <v/>
      </c>
      <c r="H472" s="165" t="str">
        <f aca="false">IF(Salary_Calculation[[#This Row],[Source Row]]="","",IF(N(Salary_Calculation[[#This Row],[Calendar Days]])&gt;0,Salary_Calculation[[#This Row],[Monthly Target Orders]]/N(Salary_Calculation[[#This Row],[Calendar Days]])*N(Salary_Calculation[[#This Row],[Working Days]]),0))</f>
        <v/>
      </c>
      <c r="I472" s="166" t="str">
        <f aca="false">IF(Salary_Calculation[[#This Row],[Source Row]]="","",IF(INDEX(Rider_Input[Completed Orders],Salary_Calculation[[#This Row],[Source Row]])="","",INDEX(Rider_Input[Completed Orders],Salary_Calculation[[#This Row],[Source Row]])))</f>
        <v/>
      </c>
      <c r="J472" s="165" t="str">
        <f aca="false">IF(Salary_Calculation[[#This Row],[Source Row]]="","",IF(Rate_Method="Fixed rate",Fixed_Rate,IF(N(Salary_Calculation[[#This Row],[Basic Payment]])&gt;0,N(Salary_Calculation[[#This Row],[Basic Payment]])/Std_Orders,0)))</f>
        <v/>
      </c>
      <c r="K472" s="165" t="str">
        <f aca="false">IF(Salary_Calculation[[#This Row],[Source Row]]="","",MAX(MIN(N(Salary_Calculation[[#This Row],[Completed Orders]]),Salary_Calculation[[#This Row],[Rider Target Orders]]),0))</f>
        <v/>
      </c>
      <c r="L472" s="164" t="str">
        <f aca="false">IF(Salary_Calculation[[#This Row],[Source Row]]="","",Salary_Calculation[[#This Row],[Orders Counted at Base Rate]]*Salary_Calculation[[#This Row],[Base Order Rate]])</f>
        <v/>
      </c>
      <c r="M472" s="165" t="str">
        <f aca="false">IF(Salary_Calculation[[#This Row],[Source Row]]="","",MAX(Salary_Calculation[[#This Row],[Rider Target Orders]]-N(Salary_Calculation[[#This Row],[Completed Orders]]),0))</f>
        <v/>
      </c>
      <c r="N472" s="164" t="str">
        <f aca="false">IF(Salary_Calculation[[#This Row],[Source Row]]="","",Salary_Calculation[[#This Row],[Missing Orders]]*Missing_Rate)</f>
        <v/>
      </c>
      <c r="O472" s="165" t="str">
        <f aca="false">IF(Salary_Calculation[[#This Row],[Source Row]]="","",MAX(N(Salary_Calculation[[#This Row],[Completed Orders]])-Salary_Calculation[[#This Row],[Rider Target Orders]],0))</f>
        <v/>
      </c>
      <c r="P472" s="164" t="str">
        <f aca="false">IF(Salary_Calculation[[#This Row],[Source Row]]="","",Salary_Calculation[[#This Row],[Extra Orders]]*Extra_Rate)</f>
        <v/>
      </c>
      <c r="Q472" s="164" t="str">
        <f aca="false">IF(Salary_Calculation[[#This Row],[Source Row]]="","",MAX(Salary_Calculation[[#This Row],[Salary Before Other Deductions]],0))</f>
        <v/>
      </c>
      <c r="R472" s="164" t="str">
        <f aca="false">IF(Salary_Calculation[[#This Row],[Source Row]]="","",N(INDEX(Rider_Input[missed_days_penalty],Salary_Calculation[[#This Row],[Source Row]])))</f>
        <v/>
      </c>
      <c r="S472" s="164" t="str">
        <f aca="false">IF(Salary_Calculation[[#This Row],[Source Row]]="","",N(INDEX(Rider_Input[Rider Balance / محفظة المندوب],Salary_Calculation[[#This Row],[Source Row]])))</f>
        <v/>
      </c>
      <c r="T472" s="164" t="str">
        <f aca="false">IF(Salary_Calculation[[#This Row],[Source Row]]="","",N(INDEX(Rider_Input[stacking_deduction / خصم الطلبات المتعددة],Salary_Calculation[[#This Row],[Source Row]])))</f>
        <v/>
      </c>
      <c r="U472" s="164" t="str">
        <f aca="false">IF(Salary_Calculation[[#This Row],[Source Row]]="","",N(INDEX(Rider_Input[Other Deductions],Salary_Calculation[[#This Row],[Source Row]])))</f>
        <v/>
      </c>
      <c r="V472" s="164" t="str">
        <f aca="false">IF(Salary_Calculation[[#This Row],[Source Row]]="","",N(Salary_Calculation[[#This Row],[missed_days_penalty]])+N(Salary_Calculation[[#This Row],[Rider Balance]])+N(Salary_Calculation[[#This Row],[stacking_deduction]])+N(Salary_Calculation[[#This Row],[Other Deductions]]))</f>
        <v/>
      </c>
      <c r="W472" s="167" t="str">
        <f aca="false">IF(Salary_Calculation[[#This Row],[Source Row]]="","",ROUND(MAX(Salary_Calculation[[#This Row],[Gross Salary Before Deductions]]-Salary_Calculation[[#This Row],[Total Deductions]],0),2))</f>
        <v/>
      </c>
      <c r="X472" s="164" t="str">
        <f aca="false">IF(Salary_Calculation[[#This Row],[Source Row]]="","",ROUND(MAX(Salary_Calculation[[#This Row],[Missing-Order Deduction]]-Salary_Calculation[[#This Row],[Earned Salary]],0),2))</f>
        <v/>
      </c>
      <c r="Y47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72" s="163" t="str">
        <f aca="false">IF(Salary_Calculation[[#This Row],[Source Row]]="","",IF(INDEX(Rider_Input[Notes],Salary_Calculation[[#This Row],[Source Row]])="","",INDEX(Rider_Input[Notes],Salary_Calculation[[#This Row],[Source Row]])))</f>
        <v/>
      </c>
      <c r="AA472" s="164" t="str">
        <f aca="false">IF(Salary_Calculation[[#This Row],[Source Row]]="","",Salary_Calculation[[#This Row],[Earned Salary]]-Salary_Calculation[[#This Row],[Missing-Order Deduction]]+Salary_Calculation[[#This Row],[Extra-Order Bonus]])</f>
        <v/>
      </c>
      <c r="AB472" s="164" t="str">
        <f aca="false">IF(Salary_Calculation[[#This Row],[Source Row]]="","",ROUND(Salary_Calculation[[#This Row],[Negative Balance / Amount Due from Rider]]+MAX(Salary_Calculation[[#This Row],[Total Deductions]]-Salary_Calculation[[#This Row],[Gross Salary Before Deductions]],0),2))</f>
        <v/>
      </c>
      <c r="AC47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72" s="164" t="str">
        <f aca="false">IF(Salary_Calculation[[#This Row],[Source Row]]="","",Salary_Calculation[[#This Row],[Rider Target Orders]]*Salary_Calculation[[#This Row],[Base Order Rate]])</f>
        <v/>
      </c>
      <c r="AE472" s="162" t="str">
        <f aca="false">IF(SUMPRODUCT(--(LEN(INDEX(Rider_Input[#Data],ROW()-ROW(Salary_Calculation[#Headers]),0))&gt;0))=0,"",ROW()-ROW(Salary_Calculation[#Headers]))</f>
        <v/>
      </c>
    </row>
    <row r="473" customFormat="false" ht="14.25" hidden="false" customHeight="false" outlineLevel="0" collapsed="false">
      <c r="A473" s="161" t="str">
        <f aca="false">IF(Salary_Calculation[[#This Row],[Source Row]]="","",IF(INDEX(Rider_Input[Salary Month],Salary_Calculation[[#This Row],[Source Row]])="","",INDEX(Rider_Input[Salary Month],Salary_Calculation[[#This Row],[Source Row]])))</f>
        <v/>
      </c>
      <c r="B473" s="162" t="str">
        <f aca="false">IF(Salary_Calculation[[#This Row],[Source Row]]="","",IF(INDEX(Rider_Input[Rider ID],Salary_Calculation[[#This Row],[Source Row]])="","",INDEX(Rider_Input[Rider ID],Salary_Calculation[[#This Row],[Source Row]])))</f>
        <v/>
      </c>
      <c r="C473" s="163" t="str">
        <f aca="false">IF(Salary_Calculation[[#This Row],[Source Row]]="","",IF(INDEX(Rider_Input[Rider Name],Salary_Calculation[[#This Row],[Source Row]])="","",INDEX(Rider_Input[Rider Name],Salary_Calculation[[#This Row],[Source Row]])))</f>
        <v/>
      </c>
      <c r="D473" s="164" t="str">
        <f aca="false">IF(Salary_Calculation[[#This Row],[Source Row]]="","",IF(INDEX(Rider_Input[Basic Payment],Salary_Calculation[[#This Row],[Source Row]])="","",INDEX(Rider_Input[Basic Payment],Salary_Calculation[[#This Row],[Source Row]])))</f>
        <v/>
      </c>
      <c r="E473" s="162" t="str">
        <f aca="false">IF(Salary_Calculation[[#This Row],[Source Row]]="","",IF(INDEX(Rider_Input[Calendar Days in Month],Salary_Calculation[[#This Row],[Source Row]])="","",INDEX(Rider_Input[Calendar Days in Month],Salary_Calculation[[#This Row],[Source Row]])))</f>
        <v/>
      </c>
      <c r="F473" s="162" t="str">
        <f aca="false">IF(Salary_Calculation[[#This Row],[Source Row]]="","",IF(INDEX(Rider_Input[Working Days],Salary_Calculation[[#This Row],[Source Row]])="","",INDEX(Rider_Input[Working Days],Salary_Calculation[[#This Row],[Source Row]])))</f>
        <v/>
      </c>
      <c r="G473" s="165" t="str">
        <f aca="false">IF(Salary_Calculation[[#This Row],[Source Row]]="","",Std_Orders/Std_Days*N(Salary_Calculation[[#This Row],[Calendar Days]]))</f>
        <v/>
      </c>
      <c r="H473" s="165" t="str">
        <f aca="false">IF(Salary_Calculation[[#This Row],[Source Row]]="","",IF(N(Salary_Calculation[[#This Row],[Calendar Days]])&gt;0,Salary_Calculation[[#This Row],[Monthly Target Orders]]/N(Salary_Calculation[[#This Row],[Calendar Days]])*N(Salary_Calculation[[#This Row],[Working Days]]),0))</f>
        <v/>
      </c>
      <c r="I473" s="166" t="str">
        <f aca="false">IF(Salary_Calculation[[#This Row],[Source Row]]="","",IF(INDEX(Rider_Input[Completed Orders],Salary_Calculation[[#This Row],[Source Row]])="","",INDEX(Rider_Input[Completed Orders],Salary_Calculation[[#This Row],[Source Row]])))</f>
        <v/>
      </c>
      <c r="J473" s="165" t="str">
        <f aca="false">IF(Salary_Calculation[[#This Row],[Source Row]]="","",IF(Rate_Method="Fixed rate",Fixed_Rate,IF(N(Salary_Calculation[[#This Row],[Basic Payment]])&gt;0,N(Salary_Calculation[[#This Row],[Basic Payment]])/Std_Orders,0)))</f>
        <v/>
      </c>
      <c r="K473" s="165" t="str">
        <f aca="false">IF(Salary_Calculation[[#This Row],[Source Row]]="","",MAX(MIN(N(Salary_Calculation[[#This Row],[Completed Orders]]),Salary_Calculation[[#This Row],[Rider Target Orders]]),0))</f>
        <v/>
      </c>
      <c r="L473" s="164" t="str">
        <f aca="false">IF(Salary_Calculation[[#This Row],[Source Row]]="","",Salary_Calculation[[#This Row],[Orders Counted at Base Rate]]*Salary_Calculation[[#This Row],[Base Order Rate]])</f>
        <v/>
      </c>
      <c r="M473" s="165" t="str">
        <f aca="false">IF(Salary_Calculation[[#This Row],[Source Row]]="","",MAX(Salary_Calculation[[#This Row],[Rider Target Orders]]-N(Salary_Calculation[[#This Row],[Completed Orders]]),0))</f>
        <v/>
      </c>
      <c r="N473" s="164" t="str">
        <f aca="false">IF(Salary_Calculation[[#This Row],[Source Row]]="","",Salary_Calculation[[#This Row],[Missing Orders]]*Missing_Rate)</f>
        <v/>
      </c>
      <c r="O473" s="165" t="str">
        <f aca="false">IF(Salary_Calculation[[#This Row],[Source Row]]="","",MAX(N(Salary_Calculation[[#This Row],[Completed Orders]])-Salary_Calculation[[#This Row],[Rider Target Orders]],0))</f>
        <v/>
      </c>
      <c r="P473" s="164" t="str">
        <f aca="false">IF(Salary_Calculation[[#This Row],[Source Row]]="","",Salary_Calculation[[#This Row],[Extra Orders]]*Extra_Rate)</f>
        <v/>
      </c>
      <c r="Q473" s="164" t="str">
        <f aca="false">IF(Salary_Calculation[[#This Row],[Source Row]]="","",MAX(Salary_Calculation[[#This Row],[Salary Before Other Deductions]],0))</f>
        <v/>
      </c>
      <c r="R473" s="164" t="str">
        <f aca="false">IF(Salary_Calculation[[#This Row],[Source Row]]="","",N(INDEX(Rider_Input[missed_days_penalty],Salary_Calculation[[#This Row],[Source Row]])))</f>
        <v/>
      </c>
      <c r="S473" s="164" t="str">
        <f aca="false">IF(Salary_Calculation[[#This Row],[Source Row]]="","",N(INDEX(Rider_Input[Rider Balance / محفظة المندوب],Salary_Calculation[[#This Row],[Source Row]])))</f>
        <v/>
      </c>
      <c r="T473" s="164" t="str">
        <f aca="false">IF(Salary_Calculation[[#This Row],[Source Row]]="","",N(INDEX(Rider_Input[stacking_deduction / خصم الطلبات المتعددة],Salary_Calculation[[#This Row],[Source Row]])))</f>
        <v/>
      </c>
      <c r="U473" s="164" t="str">
        <f aca="false">IF(Salary_Calculation[[#This Row],[Source Row]]="","",N(INDEX(Rider_Input[Other Deductions],Salary_Calculation[[#This Row],[Source Row]])))</f>
        <v/>
      </c>
      <c r="V473" s="164" t="str">
        <f aca="false">IF(Salary_Calculation[[#This Row],[Source Row]]="","",N(Salary_Calculation[[#This Row],[missed_days_penalty]])+N(Salary_Calculation[[#This Row],[Rider Balance]])+N(Salary_Calculation[[#This Row],[stacking_deduction]])+N(Salary_Calculation[[#This Row],[Other Deductions]]))</f>
        <v/>
      </c>
      <c r="W473" s="167" t="str">
        <f aca="false">IF(Salary_Calculation[[#This Row],[Source Row]]="","",ROUND(MAX(Salary_Calculation[[#This Row],[Gross Salary Before Deductions]]-Salary_Calculation[[#This Row],[Total Deductions]],0),2))</f>
        <v/>
      </c>
      <c r="X473" s="164" t="str">
        <f aca="false">IF(Salary_Calculation[[#This Row],[Source Row]]="","",ROUND(MAX(Salary_Calculation[[#This Row],[Missing-Order Deduction]]-Salary_Calculation[[#This Row],[Earned Salary]],0),2))</f>
        <v/>
      </c>
      <c r="Y47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73" s="163" t="str">
        <f aca="false">IF(Salary_Calculation[[#This Row],[Source Row]]="","",IF(INDEX(Rider_Input[Notes],Salary_Calculation[[#This Row],[Source Row]])="","",INDEX(Rider_Input[Notes],Salary_Calculation[[#This Row],[Source Row]])))</f>
        <v/>
      </c>
      <c r="AA473" s="164" t="str">
        <f aca="false">IF(Salary_Calculation[[#This Row],[Source Row]]="","",Salary_Calculation[[#This Row],[Earned Salary]]-Salary_Calculation[[#This Row],[Missing-Order Deduction]]+Salary_Calculation[[#This Row],[Extra-Order Bonus]])</f>
        <v/>
      </c>
      <c r="AB473" s="164" t="str">
        <f aca="false">IF(Salary_Calculation[[#This Row],[Source Row]]="","",ROUND(Salary_Calculation[[#This Row],[Negative Balance / Amount Due from Rider]]+MAX(Salary_Calculation[[#This Row],[Total Deductions]]-Salary_Calculation[[#This Row],[Gross Salary Before Deductions]],0),2))</f>
        <v/>
      </c>
      <c r="AC47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73" s="164" t="str">
        <f aca="false">IF(Salary_Calculation[[#This Row],[Source Row]]="","",Salary_Calculation[[#This Row],[Rider Target Orders]]*Salary_Calculation[[#This Row],[Base Order Rate]])</f>
        <v/>
      </c>
      <c r="AE473" s="162" t="str">
        <f aca="false">IF(SUMPRODUCT(--(LEN(INDEX(Rider_Input[#Data],ROW()-ROW(Salary_Calculation[#Headers]),0))&gt;0))=0,"",ROW()-ROW(Salary_Calculation[#Headers]))</f>
        <v/>
      </c>
    </row>
    <row r="474" customFormat="false" ht="14.25" hidden="false" customHeight="false" outlineLevel="0" collapsed="false">
      <c r="A474" s="161" t="str">
        <f aca="false">IF(Salary_Calculation[[#This Row],[Source Row]]="","",IF(INDEX(Rider_Input[Salary Month],Salary_Calculation[[#This Row],[Source Row]])="","",INDEX(Rider_Input[Salary Month],Salary_Calculation[[#This Row],[Source Row]])))</f>
        <v/>
      </c>
      <c r="B474" s="162" t="str">
        <f aca="false">IF(Salary_Calculation[[#This Row],[Source Row]]="","",IF(INDEX(Rider_Input[Rider ID],Salary_Calculation[[#This Row],[Source Row]])="","",INDEX(Rider_Input[Rider ID],Salary_Calculation[[#This Row],[Source Row]])))</f>
        <v/>
      </c>
      <c r="C474" s="163" t="str">
        <f aca="false">IF(Salary_Calculation[[#This Row],[Source Row]]="","",IF(INDEX(Rider_Input[Rider Name],Salary_Calculation[[#This Row],[Source Row]])="","",INDEX(Rider_Input[Rider Name],Salary_Calculation[[#This Row],[Source Row]])))</f>
        <v/>
      </c>
      <c r="D474" s="164" t="str">
        <f aca="false">IF(Salary_Calculation[[#This Row],[Source Row]]="","",IF(INDEX(Rider_Input[Basic Payment],Salary_Calculation[[#This Row],[Source Row]])="","",INDEX(Rider_Input[Basic Payment],Salary_Calculation[[#This Row],[Source Row]])))</f>
        <v/>
      </c>
      <c r="E474" s="162" t="str">
        <f aca="false">IF(Salary_Calculation[[#This Row],[Source Row]]="","",IF(INDEX(Rider_Input[Calendar Days in Month],Salary_Calculation[[#This Row],[Source Row]])="","",INDEX(Rider_Input[Calendar Days in Month],Salary_Calculation[[#This Row],[Source Row]])))</f>
        <v/>
      </c>
      <c r="F474" s="162" t="str">
        <f aca="false">IF(Salary_Calculation[[#This Row],[Source Row]]="","",IF(INDEX(Rider_Input[Working Days],Salary_Calculation[[#This Row],[Source Row]])="","",INDEX(Rider_Input[Working Days],Salary_Calculation[[#This Row],[Source Row]])))</f>
        <v/>
      </c>
      <c r="G474" s="165" t="str">
        <f aca="false">IF(Salary_Calculation[[#This Row],[Source Row]]="","",Std_Orders/Std_Days*N(Salary_Calculation[[#This Row],[Calendar Days]]))</f>
        <v/>
      </c>
      <c r="H474" s="165" t="str">
        <f aca="false">IF(Salary_Calculation[[#This Row],[Source Row]]="","",IF(N(Salary_Calculation[[#This Row],[Calendar Days]])&gt;0,Salary_Calculation[[#This Row],[Monthly Target Orders]]/N(Salary_Calculation[[#This Row],[Calendar Days]])*N(Salary_Calculation[[#This Row],[Working Days]]),0))</f>
        <v/>
      </c>
      <c r="I474" s="166" t="str">
        <f aca="false">IF(Salary_Calculation[[#This Row],[Source Row]]="","",IF(INDEX(Rider_Input[Completed Orders],Salary_Calculation[[#This Row],[Source Row]])="","",INDEX(Rider_Input[Completed Orders],Salary_Calculation[[#This Row],[Source Row]])))</f>
        <v/>
      </c>
      <c r="J474" s="165" t="str">
        <f aca="false">IF(Salary_Calculation[[#This Row],[Source Row]]="","",IF(Rate_Method="Fixed rate",Fixed_Rate,IF(N(Salary_Calculation[[#This Row],[Basic Payment]])&gt;0,N(Salary_Calculation[[#This Row],[Basic Payment]])/Std_Orders,0)))</f>
        <v/>
      </c>
      <c r="K474" s="165" t="str">
        <f aca="false">IF(Salary_Calculation[[#This Row],[Source Row]]="","",MAX(MIN(N(Salary_Calculation[[#This Row],[Completed Orders]]),Salary_Calculation[[#This Row],[Rider Target Orders]]),0))</f>
        <v/>
      </c>
      <c r="L474" s="164" t="str">
        <f aca="false">IF(Salary_Calculation[[#This Row],[Source Row]]="","",Salary_Calculation[[#This Row],[Orders Counted at Base Rate]]*Salary_Calculation[[#This Row],[Base Order Rate]])</f>
        <v/>
      </c>
      <c r="M474" s="165" t="str">
        <f aca="false">IF(Salary_Calculation[[#This Row],[Source Row]]="","",MAX(Salary_Calculation[[#This Row],[Rider Target Orders]]-N(Salary_Calculation[[#This Row],[Completed Orders]]),0))</f>
        <v/>
      </c>
      <c r="N474" s="164" t="str">
        <f aca="false">IF(Salary_Calculation[[#This Row],[Source Row]]="","",Salary_Calculation[[#This Row],[Missing Orders]]*Missing_Rate)</f>
        <v/>
      </c>
      <c r="O474" s="165" t="str">
        <f aca="false">IF(Salary_Calculation[[#This Row],[Source Row]]="","",MAX(N(Salary_Calculation[[#This Row],[Completed Orders]])-Salary_Calculation[[#This Row],[Rider Target Orders]],0))</f>
        <v/>
      </c>
      <c r="P474" s="164" t="str">
        <f aca="false">IF(Salary_Calculation[[#This Row],[Source Row]]="","",Salary_Calculation[[#This Row],[Extra Orders]]*Extra_Rate)</f>
        <v/>
      </c>
      <c r="Q474" s="164" t="str">
        <f aca="false">IF(Salary_Calculation[[#This Row],[Source Row]]="","",MAX(Salary_Calculation[[#This Row],[Salary Before Other Deductions]],0))</f>
        <v/>
      </c>
      <c r="R474" s="164" t="str">
        <f aca="false">IF(Salary_Calculation[[#This Row],[Source Row]]="","",N(INDEX(Rider_Input[missed_days_penalty],Salary_Calculation[[#This Row],[Source Row]])))</f>
        <v/>
      </c>
      <c r="S474" s="164" t="str">
        <f aca="false">IF(Salary_Calculation[[#This Row],[Source Row]]="","",N(INDEX(Rider_Input[Rider Balance / محفظة المندوب],Salary_Calculation[[#This Row],[Source Row]])))</f>
        <v/>
      </c>
      <c r="T474" s="164" t="str">
        <f aca="false">IF(Salary_Calculation[[#This Row],[Source Row]]="","",N(INDEX(Rider_Input[stacking_deduction / خصم الطلبات المتعددة],Salary_Calculation[[#This Row],[Source Row]])))</f>
        <v/>
      </c>
      <c r="U474" s="164" t="str">
        <f aca="false">IF(Salary_Calculation[[#This Row],[Source Row]]="","",N(INDEX(Rider_Input[Other Deductions],Salary_Calculation[[#This Row],[Source Row]])))</f>
        <v/>
      </c>
      <c r="V474" s="164" t="str">
        <f aca="false">IF(Salary_Calculation[[#This Row],[Source Row]]="","",N(Salary_Calculation[[#This Row],[missed_days_penalty]])+N(Salary_Calculation[[#This Row],[Rider Balance]])+N(Salary_Calculation[[#This Row],[stacking_deduction]])+N(Salary_Calculation[[#This Row],[Other Deductions]]))</f>
        <v/>
      </c>
      <c r="W474" s="167" t="str">
        <f aca="false">IF(Salary_Calculation[[#This Row],[Source Row]]="","",ROUND(MAX(Salary_Calculation[[#This Row],[Gross Salary Before Deductions]]-Salary_Calculation[[#This Row],[Total Deductions]],0),2))</f>
        <v/>
      </c>
      <c r="X474" s="164" t="str">
        <f aca="false">IF(Salary_Calculation[[#This Row],[Source Row]]="","",ROUND(MAX(Salary_Calculation[[#This Row],[Missing-Order Deduction]]-Salary_Calculation[[#This Row],[Earned Salary]],0),2))</f>
        <v/>
      </c>
      <c r="Y47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74" s="163" t="str">
        <f aca="false">IF(Salary_Calculation[[#This Row],[Source Row]]="","",IF(INDEX(Rider_Input[Notes],Salary_Calculation[[#This Row],[Source Row]])="","",INDEX(Rider_Input[Notes],Salary_Calculation[[#This Row],[Source Row]])))</f>
        <v/>
      </c>
      <c r="AA474" s="164" t="str">
        <f aca="false">IF(Salary_Calculation[[#This Row],[Source Row]]="","",Salary_Calculation[[#This Row],[Earned Salary]]-Salary_Calculation[[#This Row],[Missing-Order Deduction]]+Salary_Calculation[[#This Row],[Extra-Order Bonus]])</f>
        <v/>
      </c>
      <c r="AB474" s="164" t="str">
        <f aca="false">IF(Salary_Calculation[[#This Row],[Source Row]]="","",ROUND(Salary_Calculation[[#This Row],[Negative Balance / Amount Due from Rider]]+MAX(Salary_Calculation[[#This Row],[Total Deductions]]-Salary_Calculation[[#This Row],[Gross Salary Before Deductions]],0),2))</f>
        <v/>
      </c>
      <c r="AC47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74" s="164" t="str">
        <f aca="false">IF(Salary_Calculation[[#This Row],[Source Row]]="","",Salary_Calculation[[#This Row],[Rider Target Orders]]*Salary_Calculation[[#This Row],[Base Order Rate]])</f>
        <v/>
      </c>
      <c r="AE474" s="162" t="str">
        <f aca="false">IF(SUMPRODUCT(--(LEN(INDEX(Rider_Input[#Data],ROW()-ROW(Salary_Calculation[#Headers]),0))&gt;0))=0,"",ROW()-ROW(Salary_Calculation[#Headers]))</f>
        <v/>
      </c>
    </row>
    <row r="475" customFormat="false" ht="14.25" hidden="false" customHeight="false" outlineLevel="0" collapsed="false">
      <c r="A475" s="161" t="str">
        <f aca="false">IF(Salary_Calculation[[#This Row],[Source Row]]="","",IF(INDEX(Rider_Input[Salary Month],Salary_Calculation[[#This Row],[Source Row]])="","",INDEX(Rider_Input[Salary Month],Salary_Calculation[[#This Row],[Source Row]])))</f>
        <v/>
      </c>
      <c r="B475" s="162" t="str">
        <f aca="false">IF(Salary_Calculation[[#This Row],[Source Row]]="","",IF(INDEX(Rider_Input[Rider ID],Salary_Calculation[[#This Row],[Source Row]])="","",INDEX(Rider_Input[Rider ID],Salary_Calculation[[#This Row],[Source Row]])))</f>
        <v/>
      </c>
      <c r="C475" s="163" t="str">
        <f aca="false">IF(Salary_Calculation[[#This Row],[Source Row]]="","",IF(INDEX(Rider_Input[Rider Name],Salary_Calculation[[#This Row],[Source Row]])="","",INDEX(Rider_Input[Rider Name],Salary_Calculation[[#This Row],[Source Row]])))</f>
        <v/>
      </c>
      <c r="D475" s="164" t="str">
        <f aca="false">IF(Salary_Calculation[[#This Row],[Source Row]]="","",IF(INDEX(Rider_Input[Basic Payment],Salary_Calculation[[#This Row],[Source Row]])="","",INDEX(Rider_Input[Basic Payment],Salary_Calculation[[#This Row],[Source Row]])))</f>
        <v/>
      </c>
      <c r="E475" s="162" t="str">
        <f aca="false">IF(Salary_Calculation[[#This Row],[Source Row]]="","",IF(INDEX(Rider_Input[Calendar Days in Month],Salary_Calculation[[#This Row],[Source Row]])="","",INDEX(Rider_Input[Calendar Days in Month],Salary_Calculation[[#This Row],[Source Row]])))</f>
        <v/>
      </c>
      <c r="F475" s="162" t="str">
        <f aca="false">IF(Salary_Calculation[[#This Row],[Source Row]]="","",IF(INDEX(Rider_Input[Working Days],Salary_Calculation[[#This Row],[Source Row]])="","",INDEX(Rider_Input[Working Days],Salary_Calculation[[#This Row],[Source Row]])))</f>
        <v/>
      </c>
      <c r="G475" s="165" t="str">
        <f aca="false">IF(Salary_Calculation[[#This Row],[Source Row]]="","",Std_Orders/Std_Days*N(Salary_Calculation[[#This Row],[Calendar Days]]))</f>
        <v/>
      </c>
      <c r="H475" s="165" t="str">
        <f aca="false">IF(Salary_Calculation[[#This Row],[Source Row]]="","",IF(N(Salary_Calculation[[#This Row],[Calendar Days]])&gt;0,Salary_Calculation[[#This Row],[Monthly Target Orders]]/N(Salary_Calculation[[#This Row],[Calendar Days]])*N(Salary_Calculation[[#This Row],[Working Days]]),0))</f>
        <v/>
      </c>
      <c r="I475" s="166" t="str">
        <f aca="false">IF(Salary_Calculation[[#This Row],[Source Row]]="","",IF(INDEX(Rider_Input[Completed Orders],Salary_Calculation[[#This Row],[Source Row]])="","",INDEX(Rider_Input[Completed Orders],Salary_Calculation[[#This Row],[Source Row]])))</f>
        <v/>
      </c>
      <c r="J475" s="165" t="str">
        <f aca="false">IF(Salary_Calculation[[#This Row],[Source Row]]="","",IF(Rate_Method="Fixed rate",Fixed_Rate,IF(N(Salary_Calculation[[#This Row],[Basic Payment]])&gt;0,N(Salary_Calculation[[#This Row],[Basic Payment]])/Std_Orders,0)))</f>
        <v/>
      </c>
      <c r="K475" s="165" t="str">
        <f aca="false">IF(Salary_Calculation[[#This Row],[Source Row]]="","",MAX(MIN(N(Salary_Calculation[[#This Row],[Completed Orders]]),Salary_Calculation[[#This Row],[Rider Target Orders]]),0))</f>
        <v/>
      </c>
      <c r="L475" s="164" t="str">
        <f aca="false">IF(Salary_Calculation[[#This Row],[Source Row]]="","",Salary_Calculation[[#This Row],[Orders Counted at Base Rate]]*Salary_Calculation[[#This Row],[Base Order Rate]])</f>
        <v/>
      </c>
      <c r="M475" s="165" t="str">
        <f aca="false">IF(Salary_Calculation[[#This Row],[Source Row]]="","",MAX(Salary_Calculation[[#This Row],[Rider Target Orders]]-N(Salary_Calculation[[#This Row],[Completed Orders]]),0))</f>
        <v/>
      </c>
      <c r="N475" s="164" t="str">
        <f aca="false">IF(Salary_Calculation[[#This Row],[Source Row]]="","",Salary_Calculation[[#This Row],[Missing Orders]]*Missing_Rate)</f>
        <v/>
      </c>
      <c r="O475" s="165" t="str">
        <f aca="false">IF(Salary_Calculation[[#This Row],[Source Row]]="","",MAX(N(Salary_Calculation[[#This Row],[Completed Orders]])-Salary_Calculation[[#This Row],[Rider Target Orders]],0))</f>
        <v/>
      </c>
      <c r="P475" s="164" t="str">
        <f aca="false">IF(Salary_Calculation[[#This Row],[Source Row]]="","",Salary_Calculation[[#This Row],[Extra Orders]]*Extra_Rate)</f>
        <v/>
      </c>
      <c r="Q475" s="164" t="str">
        <f aca="false">IF(Salary_Calculation[[#This Row],[Source Row]]="","",MAX(Salary_Calculation[[#This Row],[Salary Before Other Deductions]],0))</f>
        <v/>
      </c>
      <c r="R475" s="164" t="str">
        <f aca="false">IF(Salary_Calculation[[#This Row],[Source Row]]="","",N(INDEX(Rider_Input[missed_days_penalty],Salary_Calculation[[#This Row],[Source Row]])))</f>
        <v/>
      </c>
      <c r="S475" s="164" t="str">
        <f aca="false">IF(Salary_Calculation[[#This Row],[Source Row]]="","",N(INDEX(Rider_Input[Rider Balance / محفظة المندوب],Salary_Calculation[[#This Row],[Source Row]])))</f>
        <v/>
      </c>
      <c r="T475" s="164" t="str">
        <f aca="false">IF(Salary_Calculation[[#This Row],[Source Row]]="","",N(INDEX(Rider_Input[stacking_deduction / خصم الطلبات المتعددة],Salary_Calculation[[#This Row],[Source Row]])))</f>
        <v/>
      </c>
      <c r="U475" s="164" t="str">
        <f aca="false">IF(Salary_Calculation[[#This Row],[Source Row]]="","",N(INDEX(Rider_Input[Other Deductions],Salary_Calculation[[#This Row],[Source Row]])))</f>
        <v/>
      </c>
      <c r="V475" s="164" t="str">
        <f aca="false">IF(Salary_Calculation[[#This Row],[Source Row]]="","",N(Salary_Calculation[[#This Row],[missed_days_penalty]])+N(Salary_Calculation[[#This Row],[Rider Balance]])+N(Salary_Calculation[[#This Row],[stacking_deduction]])+N(Salary_Calculation[[#This Row],[Other Deductions]]))</f>
        <v/>
      </c>
      <c r="W475" s="167" t="str">
        <f aca="false">IF(Salary_Calculation[[#This Row],[Source Row]]="","",ROUND(MAX(Salary_Calculation[[#This Row],[Gross Salary Before Deductions]]-Salary_Calculation[[#This Row],[Total Deductions]],0),2))</f>
        <v/>
      </c>
      <c r="X475" s="164" t="str">
        <f aca="false">IF(Salary_Calculation[[#This Row],[Source Row]]="","",ROUND(MAX(Salary_Calculation[[#This Row],[Missing-Order Deduction]]-Salary_Calculation[[#This Row],[Earned Salary]],0),2))</f>
        <v/>
      </c>
      <c r="Y47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75" s="163" t="str">
        <f aca="false">IF(Salary_Calculation[[#This Row],[Source Row]]="","",IF(INDEX(Rider_Input[Notes],Salary_Calculation[[#This Row],[Source Row]])="","",INDEX(Rider_Input[Notes],Salary_Calculation[[#This Row],[Source Row]])))</f>
        <v/>
      </c>
      <c r="AA475" s="164" t="str">
        <f aca="false">IF(Salary_Calculation[[#This Row],[Source Row]]="","",Salary_Calculation[[#This Row],[Earned Salary]]-Salary_Calculation[[#This Row],[Missing-Order Deduction]]+Salary_Calculation[[#This Row],[Extra-Order Bonus]])</f>
        <v/>
      </c>
      <c r="AB475" s="164" t="str">
        <f aca="false">IF(Salary_Calculation[[#This Row],[Source Row]]="","",ROUND(Salary_Calculation[[#This Row],[Negative Balance / Amount Due from Rider]]+MAX(Salary_Calculation[[#This Row],[Total Deductions]]-Salary_Calculation[[#This Row],[Gross Salary Before Deductions]],0),2))</f>
        <v/>
      </c>
      <c r="AC47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75" s="164" t="str">
        <f aca="false">IF(Salary_Calculation[[#This Row],[Source Row]]="","",Salary_Calculation[[#This Row],[Rider Target Orders]]*Salary_Calculation[[#This Row],[Base Order Rate]])</f>
        <v/>
      </c>
      <c r="AE475" s="162" t="str">
        <f aca="false">IF(SUMPRODUCT(--(LEN(INDEX(Rider_Input[#Data],ROW()-ROW(Salary_Calculation[#Headers]),0))&gt;0))=0,"",ROW()-ROW(Salary_Calculation[#Headers]))</f>
        <v/>
      </c>
    </row>
    <row r="476" customFormat="false" ht="14.25" hidden="false" customHeight="false" outlineLevel="0" collapsed="false">
      <c r="A476" s="161" t="str">
        <f aca="false">IF(Salary_Calculation[[#This Row],[Source Row]]="","",IF(INDEX(Rider_Input[Salary Month],Salary_Calculation[[#This Row],[Source Row]])="","",INDEX(Rider_Input[Salary Month],Salary_Calculation[[#This Row],[Source Row]])))</f>
        <v/>
      </c>
      <c r="B476" s="162" t="str">
        <f aca="false">IF(Salary_Calculation[[#This Row],[Source Row]]="","",IF(INDEX(Rider_Input[Rider ID],Salary_Calculation[[#This Row],[Source Row]])="","",INDEX(Rider_Input[Rider ID],Salary_Calculation[[#This Row],[Source Row]])))</f>
        <v/>
      </c>
      <c r="C476" s="163" t="str">
        <f aca="false">IF(Salary_Calculation[[#This Row],[Source Row]]="","",IF(INDEX(Rider_Input[Rider Name],Salary_Calculation[[#This Row],[Source Row]])="","",INDEX(Rider_Input[Rider Name],Salary_Calculation[[#This Row],[Source Row]])))</f>
        <v/>
      </c>
      <c r="D476" s="164" t="str">
        <f aca="false">IF(Salary_Calculation[[#This Row],[Source Row]]="","",IF(INDEX(Rider_Input[Basic Payment],Salary_Calculation[[#This Row],[Source Row]])="","",INDEX(Rider_Input[Basic Payment],Salary_Calculation[[#This Row],[Source Row]])))</f>
        <v/>
      </c>
      <c r="E476" s="162" t="str">
        <f aca="false">IF(Salary_Calculation[[#This Row],[Source Row]]="","",IF(INDEX(Rider_Input[Calendar Days in Month],Salary_Calculation[[#This Row],[Source Row]])="","",INDEX(Rider_Input[Calendar Days in Month],Salary_Calculation[[#This Row],[Source Row]])))</f>
        <v/>
      </c>
      <c r="F476" s="162" t="str">
        <f aca="false">IF(Salary_Calculation[[#This Row],[Source Row]]="","",IF(INDEX(Rider_Input[Working Days],Salary_Calculation[[#This Row],[Source Row]])="","",INDEX(Rider_Input[Working Days],Salary_Calculation[[#This Row],[Source Row]])))</f>
        <v/>
      </c>
      <c r="G476" s="165" t="str">
        <f aca="false">IF(Salary_Calculation[[#This Row],[Source Row]]="","",Std_Orders/Std_Days*N(Salary_Calculation[[#This Row],[Calendar Days]]))</f>
        <v/>
      </c>
      <c r="H476" s="165" t="str">
        <f aca="false">IF(Salary_Calculation[[#This Row],[Source Row]]="","",IF(N(Salary_Calculation[[#This Row],[Calendar Days]])&gt;0,Salary_Calculation[[#This Row],[Monthly Target Orders]]/N(Salary_Calculation[[#This Row],[Calendar Days]])*N(Salary_Calculation[[#This Row],[Working Days]]),0))</f>
        <v/>
      </c>
      <c r="I476" s="166" t="str">
        <f aca="false">IF(Salary_Calculation[[#This Row],[Source Row]]="","",IF(INDEX(Rider_Input[Completed Orders],Salary_Calculation[[#This Row],[Source Row]])="","",INDEX(Rider_Input[Completed Orders],Salary_Calculation[[#This Row],[Source Row]])))</f>
        <v/>
      </c>
      <c r="J476" s="165" t="str">
        <f aca="false">IF(Salary_Calculation[[#This Row],[Source Row]]="","",IF(Rate_Method="Fixed rate",Fixed_Rate,IF(N(Salary_Calculation[[#This Row],[Basic Payment]])&gt;0,N(Salary_Calculation[[#This Row],[Basic Payment]])/Std_Orders,0)))</f>
        <v/>
      </c>
      <c r="K476" s="165" t="str">
        <f aca="false">IF(Salary_Calculation[[#This Row],[Source Row]]="","",MAX(MIN(N(Salary_Calculation[[#This Row],[Completed Orders]]),Salary_Calculation[[#This Row],[Rider Target Orders]]),0))</f>
        <v/>
      </c>
      <c r="L476" s="164" t="str">
        <f aca="false">IF(Salary_Calculation[[#This Row],[Source Row]]="","",Salary_Calculation[[#This Row],[Orders Counted at Base Rate]]*Salary_Calculation[[#This Row],[Base Order Rate]])</f>
        <v/>
      </c>
      <c r="M476" s="165" t="str">
        <f aca="false">IF(Salary_Calculation[[#This Row],[Source Row]]="","",MAX(Salary_Calculation[[#This Row],[Rider Target Orders]]-N(Salary_Calculation[[#This Row],[Completed Orders]]),0))</f>
        <v/>
      </c>
      <c r="N476" s="164" t="str">
        <f aca="false">IF(Salary_Calculation[[#This Row],[Source Row]]="","",Salary_Calculation[[#This Row],[Missing Orders]]*Missing_Rate)</f>
        <v/>
      </c>
      <c r="O476" s="165" t="str">
        <f aca="false">IF(Salary_Calculation[[#This Row],[Source Row]]="","",MAX(N(Salary_Calculation[[#This Row],[Completed Orders]])-Salary_Calculation[[#This Row],[Rider Target Orders]],0))</f>
        <v/>
      </c>
      <c r="P476" s="164" t="str">
        <f aca="false">IF(Salary_Calculation[[#This Row],[Source Row]]="","",Salary_Calculation[[#This Row],[Extra Orders]]*Extra_Rate)</f>
        <v/>
      </c>
      <c r="Q476" s="164" t="str">
        <f aca="false">IF(Salary_Calculation[[#This Row],[Source Row]]="","",MAX(Salary_Calculation[[#This Row],[Salary Before Other Deductions]],0))</f>
        <v/>
      </c>
      <c r="R476" s="164" t="str">
        <f aca="false">IF(Salary_Calculation[[#This Row],[Source Row]]="","",N(INDEX(Rider_Input[missed_days_penalty],Salary_Calculation[[#This Row],[Source Row]])))</f>
        <v/>
      </c>
      <c r="S476" s="164" t="str">
        <f aca="false">IF(Salary_Calculation[[#This Row],[Source Row]]="","",N(INDEX(Rider_Input[Rider Balance / محفظة المندوب],Salary_Calculation[[#This Row],[Source Row]])))</f>
        <v/>
      </c>
      <c r="T476" s="164" t="str">
        <f aca="false">IF(Salary_Calculation[[#This Row],[Source Row]]="","",N(INDEX(Rider_Input[stacking_deduction / خصم الطلبات المتعددة],Salary_Calculation[[#This Row],[Source Row]])))</f>
        <v/>
      </c>
      <c r="U476" s="164" t="str">
        <f aca="false">IF(Salary_Calculation[[#This Row],[Source Row]]="","",N(INDEX(Rider_Input[Other Deductions],Salary_Calculation[[#This Row],[Source Row]])))</f>
        <v/>
      </c>
      <c r="V476" s="164" t="str">
        <f aca="false">IF(Salary_Calculation[[#This Row],[Source Row]]="","",N(Salary_Calculation[[#This Row],[missed_days_penalty]])+N(Salary_Calculation[[#This Row],[Rider Balance]])+N(Salary_Calculation[[#This Row],[stacking_deduction]])+N(Salary_Calculation[[#This Row],[Other Deductions]]))</f>
        <v/>
      </c>
      <c r="W476" s="167" t="str">
        <f aca="false">IF(Salary_Calculation[[#This Row],[Source Row]]="","",ROUND(MAX(Salary_Calculation[[#This Row],[Gross Salary Before Deductions]]-Salary_Calculation[[#This Row],[Total Deductions]],0),2))</f>
        <v/>
      </c>
      <c r="X476" s="164" t="str">
        <f aca="false">IF(Salary_Calculation[[#This Row],[Source Row]]="","",ROUND(MAX(Salary_Calculation[[#This Row],[Missing-Order Deduction]]-Salary_Calculation[[#This Row],[Earned Salary]],0),2))</f>
        <v/>
      </c>
      <c r="Y47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76" s="163" t="str">
        <f aca="false">IF(Salary_Calculation[[#This Row],[Source Row]]="","",IF(INDEX(Rider_Input[Notes],Salary_Calculation[[#This Row],[Source Row]])="","",INDEX(Rider_Input[Notes],Salary_Calculation[[#This Row],[Source Row]])))</f>
        <v/>
      </c>
      <c r="AA476" s="164" t="str">
        <f aca="false">IF(Salary_Calculation[[#This Row],[Source Row]]="","",Salary_Calculation[[#This Row],[Earned Salary]]-Salary_Calculation[[#This Row],[Missing-Order Deduction]]+Salary_Calculation[[#This Row],[Extra-Order Bonus]])</f>
        <v/>
      </c>
      <c r="AB476" s="164" t="str">
        <f aca="false">IF(Salary_Calculation[[#This Row],[Source Row]]="","",ROUND(Salary_Calculation[[#This Row],[Negative Balance / Amount Due from Rider]]+MAX(Salary_Calculation[[#This Row],[Total Deductions]]-Salary_Calculation[[#This Row],[Gross Salary Before Deductions]],0),2))</f>
        <v/>
      </c>
      <c r="AC47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76" s="164" t="str">
        <f aca="false">IF(Salary_Calculation[[#This Row],[Source Row]]="","",Salary_Calculation[[#This Row],[Rider Target Orders]]*Salary_Calculation[[#This Row],[Base Order Rate]])</f>
        <v/>
      </c>
      <c r="AE476" s="162" t="str">
        <f aca="false">IF(SUMPRODUCT(--(LEN(INDEX(Rider_Input[#Data],ROW()-ROW(Salary_Calculation[#Headers]),0))&gt;0))=0,"",ROW()-ROW(Salary_Calculation[#Headers]))</f>
        <v/>
      </c>
    </row>
    <row r="477" customFormat="false" ht="14.25" hidden="false" customHeight="false" outlineLevel="0" collapsed="false">
      <c r="A477" s="161" t="str">
        <f aca="false">IF(Salary_Calculation[[#This Row],[Source Row]]="","",IF(INDEX(Rider_Input[Salary Month],Salary_Calculation[[#This Row],[Source Row]])="","",INDEX(Rider_Input[Salary Month],Salary_Calculation[[#This Row],[Source Row]])))</f>
        <v/>
      </c>
      <c r="B477" s="162" t="str">
        <f aca="false">IF(Salary_Calculation[[#This Row],[Source Row]]="","",IF(INDEX(Rider_Input[Rider ID],Salary_Calculation[[#This Row],[Source Row]])="","",INDEX(Rider_Input[Rider ID],Salary_Calculation[[#This Row],[Source Row]])))</f>
        <v/>
      </c>
      <c r="C477" s="163" t="str">
        <f aca="false">IF(Salary_Calculation[[#This Row],[Source Row]]="","",IF(INDEX(Rider_Input[Rider Name],Salary_Calculation[[#This Row],[Source Row]])="","",INDEX(Rider_Input[Rider Name],Salary_Calculation[[#This Row],[Source Row]])))</f>
        <v/>
      </c>
      <c r="D477" s="164" t="str">
        <f aca="false">IF(Salary_Calculation[[#This Row],[Source Row]]="","",IF(INDEX(Rider_Input[Basic Payment],Salary_Calculation[[#This Row],[Source Row]])="","",INDEX(Rider_Input[Basic Payment],Salary_Calculation[[#This Row],[Source Row]])))</f>
        <v/>
      </c>
      <c r="E477" s="162" t="str">
        <f aca="false">IF(Salary_Calculation[[#This Row],[Source Row]]="","",IF(INDEX(Rider_Input[Calendar Days in Month],Salary_Calculation[[#This Row],[Source Row]])="","",INDEX(Rider_Input[Calendar Days in Month],Salary_Calculation[[#This Row],[Source Row]])))</f>
        <v/>
      </c>
      <c r="F477" s="162" t="str">
        <f aca="false">IF(Salary_Calculation[[#This Row],[Source Row]]="","",IF(INDEX(Rider_Input[Working Days],Salary_Calculation[[#This Row],[Source Row]])="","",INDEX(Rider_Input[Working Days],Salary_Calculation[[#This Row],[Source Row]])))</f>
        <v/>
      </c>
      <c r="G477" s="165" t="str">
        <f aca="false">IF(Salary_Calculation[[#This Row],[Source Row]]="","",Std_Orders/Std_Days*N(Salary_Calculation[[#This Row],[Calendar Days]]))</f>
        <v/>
      </c>
      <c r="H477" s="165" t="str">
        <f aca="false">IF(Salary_Calculation[[#This Row],[Source Row]]="","",IF(N(Salary_Calculation[[#This Row],[Calendar Days]])&gt;0,Salary_Calculation[[#This Row],[Monthly Target Orders]]/N(Salary_Calculation[[#This Row],[Calendar Days]])*N(Salary_Calculation[[#This Row],[Working Days]]),0))</f>
        <v/>
      </c>
      <c r="I477" s="166" t="str">
        <f aca="false">IF(Salary_Calculation[[#This Row],[Source Row]]="","",IF(INDEX(Rider_Input[Completed Orders],Salary_Calculation[[#This Row],[Source Row]])="","",INDEX(Rider_Input[Completed Orders],Salary_Calculation[[#This Row],[Source Row]])))</f>
        <v/>
      </c>
      <c r="J477" s="165" t="str">
        <f aca="false">IF(Salary_Calculation[[#This Row],[Source Row]]="","",IF(Rate_Method="Fixed rate",Fixed_Rate,IF(N(Salary_Calculation[[#This Row],[Basic Payment]])&gt;0,N(Salary_Calculation[[#This Row],[Basic Payment]])/Std_Orders,0)))</f>
        <v/>
      </c>
      <c r="K477" s="165" t="str">
        <f aca="false">IF(Salary_Calculation[[#This Row],[Source Row]]="","",MAX(MIN(N(Salary_Calculation[[#This Row],[Completed Orders]]),Salary_Calculation[[#This Row],[Rider Target Orders]]),0))</f>
        <v/>
      </c>
      <c r="L477" s="164" t="str">
        <f aca="false">IF(Salary_Calculation[[#This Row],[Source Row]]="","",Salary_Calculation[[#This Row],[Orders Counted at Base Rate]]*Salary_Calculation[[#This Row],[Base Order Rate]])</f>
        <v/>
      </c>
      <c r="M477" s="165" t="str">
        <f aca="false">IF(Salary_Calculation[[#This Row],[Source Row]]="","",MAX(Salary_Calculation[[#This Row],[Rider Target Orders]]-N(Salary_Calculation[[#This Row],[Completed Orders]]),0))</f>
        <v/>
      </c>
      <c r="N477" s="164" t="str">
        <f aca="false">IF(Salary_Calculation[[#This Row],[Source Row]]="","",Salary_Calculation[[#This Row],[Missing Orders]]*Missing_Rate)</f>
        <v/>
      </c>
      <c r="O477" s="165" t="str">
        <f aca="false">IF(Salary_Calculation[[#This Row],[Source Row]]="","",MAX(N(Salary_Calculation[[#This Row],[Completed Orders]])-Salary_Calculation[[#This Row],[Rider Target Orders]],0))</f>
        <v/>
      </c>
      <c r="P477" s="164" t="str">
        <f aca="false">IF(Salary_Calculation[[#This Row],[Source Row]]="","",Salary_Calculation[[#This Row],[Extra Orders]]*Extra_Rate)</f>
        <v/>
      </c>
      <c r="Q477" s="164" t="str">
        <f aca="false">IF(Salary_Calculation[[#This Row],[Source Row]]="","",MAX(Salary_Calculation[[#This Row],[Salary Before Other Deductions]],0))</f>
        <v/>
      </c>
      <c r="R477" s="164" t="str">
        <f aca="false">IF(Salary_Calculation[[#This Row],[Source Row]]="","",N(INDEX(Rider_Input[missed_days_penalty],Salary_Calculation[[#This Row],[Source Row]])))</f>
        <v/>
      </c>
      <c r="S477" s="164" t="str">
        <f aca="false">IF(Salary_Calculation[[#This Row],[Source Row]]="","",N(INDEX(Rider_Input[Rider Balance / محفظة المندوب],Salary_Calculation[[#This Row],[Source Row]])))</f>
        <v/>
      </c>
      <c r="T477" s="164" t="str">
        <f aca="false">IF(Salary_Calculation[[#This Row],[Source Row]]="","",N(INDEX(Rider_Input[stacking_deduction / خصم الطلبات المتعددة],Salary_Calculation[[#This Row],[Source Row]])))</f>
        <v/>
      </c>
      <c r="U477" s="164" t="str">
        <f aca="false">IF(Salary_Calculation[[#This Row],[Source Row]]="","",N(INDEX(Rider_Input[Other Deductions],Salary_Calculation[[#This Row],[Source Row]])))</f>
        <v/>
      </c>
      <c r="V477" s="164" t="str">
        <f aca="false">IF(Salary_Calculation[[#This Row],[Source Row]]="","",N(Salary_Calculation[[#This Row],[missed_days_penalty]])+N(Salary_Calculation[[#This Row],[Rider Balance]])+N(Salary_Calculation[[#This Row],[stacking_deduction]])+N(Salary_Calculation[[#This Row],[Other Deductions]]))</f>
        <v/>
      </c>
      <c r="W477" s="167" t="str">
        <f aca="false">IF(Salary_Calculation[[#This Row],[Source Row]]="","",ROUND(MAX(Salary_Calculation[[#This Row],[Gross Salary Before Deductions]]-Salary_Calculation[[#This Row],[Total Deductions]],0),2))</f>
        <v/>
      </c>
      <c r="X477" s="164" t="str">
        <f aca="false">IF(Salary_Calculation[[#This Row],[Source Row]]="","",ROUND(MAX(Salary_Calculation[[#This Row],[Missing-Order Deduction]]-Salary_Calculation[[#This Row],[Earned Salary]],0),2))</f>
        <v/>
      </c>
      <c r="Y47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77" s="163" t="str">
        <f aca="false">IF(Salary_Calculation[[#This Row],[Source Row]]="","",IF(INDEX(Rider_Input[Notes],Salary_Calculation[[#This Row],[Source Row]])="","",INDEX(Rider_Input[Notes],Salary_Calculation[[#This Row],[Source Row]])))</f>
        <v/>
      </c>
      <c r="AA477" s="164" t="str">
        <f aca="false">IF(Salary_Calculation[[#This Row],[Source Row]]="","",Salary_Calculation[[#This Row],[Earned Salary]]-Salary_Calculation[[#This Row],[Missing-Order Deduction]]+Salary_Calculation[[#This Row],[Extra-Order Bonus]])</f>
        <v/>
      </c>
      <c r="AB477" s="164" t="str">
        <f aca="false">IF(Salary_Calculation[[#This Row],[Source Row]]="","",ROUND(Salary_Calculation[[#This Row],[Negative Balance / Amount Due from Rider]]+MAX(Salary_Calculation[[#This Row],[Total Deductions]]-Salary_Calculation[[#This Row],[Gross Salary Before Deductions]],0),2))</f>
        <v/>
      </c>
      <c r="AC47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77" s="164" t="str">
        <f aca="false">IF(Salary_Calculation[[#This Row],[Source Row]]="","",Salary_Calculation[[#This Row],[Rider Target Orders]]*Salary_Calculation[[#This Row],[Base Order Rate]])</f>
        <v/>
      </c>
      <c r="AE477" s="162" t="str">
        <f aca="false">IF(SUMPRODUCT(--(LEN(INDEX(Rider_Input[#Data],ROW()-ROW(Salary_Calculation[#Headers]),0))&gt;0))=0,"",ROW()-ROW(Salary_Calculation[#Headers]))</f>
        <v/>
      </c>
    </row>
    <row r="478" customFormat="false" ht="14.25" hidden="false" customHeight="false" outlineLevel="0" collapsed="false">
      <c r="A478" s="161" t="str">
        <f aca="false">IF(Salary_Calculation[[#This Row],[Source Row]]="","",IF(INDEX(Rider_Input[Salary Month],Salary_Calculation[[#This Row],[Source Row]])="","",INDEX(Rider_Input[Salary Month],Salary_Calculation[[#This Row],[Source Row]])))</f>
        <v/>
      </c>
      <c r="B478" s="162" t="str">
        <f aca="false">IF(Salary_Calculation[[#This Row],[Source Row]]="","",IF(INDEX(Rider_Input[Rider ID],Salary_Calculation[[#This Row],[Source Row]])="","",INDEX(Rider_Input[Rider ID],Salary_Calculation[[#This Row],[Source Row]])))</f>
        <v/>
      </c>
      <c r="C478" s="163" t="str">
        <f aca="false">IF(Salary_Calculation[[#This Row],[Source Row]]="","",IF(INDEX(Rider_Input[Rider Name],Salary_Calculation[[#This Row],[Source Row]])="","",INDEX(Rider_Input[Rider Name],Salary_Calculation[[#This Row],[Source Row]])))</f>
        <v/>
      </c>
      <c r="D478" s="164" t="str">
        <f aca="false">IF(Salary_Calculation[[#This Row],[Source Row]]="","",IF(INDEX(Rider_Input[Basic Payment],Salary_Calculation[[#This Row],[Source Row]])="","",INDEX(Rider_Input[Basic Payment],Salary_Calculation[[#This Row],[Source Row]])))</f>
        <v/>
      </c>
      <c r="E478" s="162" t="str">
        <f aca="false">IF(Salary_Calculation[[#This Row],[Source Row]]="","",IF(INDEX(Rider_Input[Calendar Days in Month],Salary_Calculation[[#This Row],[Source Row]])="","",INDEX(Rider_Input[Calendar Days in Month],Salary_Calculation[[#This Row],[Source Row]])))</f>
        <v/>
      </c>
      <c r="F478" s="162" t="str">
        <f aca="false">IF(Salary_Calculation[[#This Row],[Source Row]]="","",IF(INDEX(Rider_Input[Working Days],Salary_Calculation[[#This Row],[Source Row]])="","",INDEX(Rider_Input[Working Days],Salary_Calculation[[#This Row],[Source Row]])))</f>
        <v/>
      </c>
      <c r="G478" s="165" t="str">
        <f aca="false">IF(Salary_Calculation[[#This Row],[Source Row]]="","",Std_Orders/Std_Days*N(Salary_Calculation[[#This Row],[Calendar Days]]))</f>
        <v/>
      </c>
      <c r="H478" s="165" t="str">
        <f aca="false">IF(Salary_Calculation[[#This Row],[Source Row]]="","",IF(N(Salary_Calculation[[#This Row],[Calendar Days]])&gt;0,Salary_Calculation[[#This Row],[Monthly Target Orders]]/N(Salary_Calculation[[#This Row],[Calendar Days]])*N(Salary_Calculation[[#This Row],[Working Days]]),0))</f>
        <v/>
      </c>
      <c r="I478" s="166" t="str">
        <f aca="false">IF(Salary_Calculation[[#This Row],[Source Row]]="","",IF(INDEX(Rider_Input[Completed Orders],Salary_Calculation[[#This Row],[Source Row]])="","",INDEX(Rider_Input[Completed Orders],Salary_Calculation[[#This Row],[Source Row]])))</f>
        <v/>
      </c>
      <c r="J478" s="165" t="str">
        <f aca="false">IF(Salary_Calculation[[#This Row],[Source Row]]="","",IF(Rate_Method="Fixed rate",Fixed_Rate,IF(N(Salary_Calculation[[#This Row],[Basic Payment]])&gt;0,N(Salary_Calculation[[#This Row],[Basic Payment]])/Std_Orders,0)))</f>
        <v/>
      </c>
      <c r="K478" s="165" t="str">
        <f aca="false">IF(Salary_Calculation[[#This Row],[Source Row]]="","",MAX(MIN(N(Salary_Calculation[[#This Row],[Completed Orders]]),Salary_Calculation[[#This Row],[Rider Target Orders]]),0))</f>
        <v/>
      </c>
      <c r="L478" s="164" t="str">
        <f aca="false">IF(Salary_Calculation[[#This Row],[Source Row]]="","",Salary_Calculation[[#This Row],[Orders Counted at Base Rate]]*Salary_Calculation[[#This Row],[Base Order Rate]])</f>
        <v/>
      </c>
      <c r="M478" s="165" t="str">
        <f aca="false">IF(Salary_Calculation[[#This Row],[Source Row]]="","",MAX(Salary_Calculation[[#This Row],[Rider Target Orders]]-N(Salary_Calculation[[#This Row],[Completed Orders]]),0))</f>
        <v/>
      </c>
      <c r="N478" s="164" t="str">
        <f aca="false">IF(Salary_Calculation[[#This Row],[Source Row]]="","",Salary_Calculation[[#This Row],[Missing Orders]]*Missing_Rate)</f>
        <v/>
      </c>
      <c r="O478" s="165" t="str">
        <f aca="false">IF(Salary_Calculation[[#This Row],[Source Row]]="","",MAX(N(Salary_Calculation[[#This Row],[Completed Orders]])-Salary_Calculation[[#This Row],[Rider Target Orders]],0))</f>
        <v/>
      </c>
      <c r="P478" s="164" t="str">
        <f aca="false">IF(Salary_Calculation[[#This Row],[Source Row]]="","",Salary_Calculation[[#This Row],[Extra Orders]]*Extra_Rate)</f>
        <v/>
      </c>
      <c r="Q478" s="164" t="str">
        <f aca="false">IF(Salary_Calculation[[#This Row],[Source Row]]="","",MAX(Salary_Calculation[[#This Row],[Salary Before Other Deductions]],0))</f>
        <v/>
      </c>
      <c r="R478" s="164" t="str">
        <f aca="false">IF(Salary_Calculation[[#This Row],[Source Row]]="","",N(INDEX(Rider_Input[missed_days_penalty],Salary_Calculation[[#This Row],[Source Row]])))</f>
        <v/>
      </c>
      <c r="S478" s="164" t="str">
        <f aca="false">IF(Salary_Calculation[[#This Row],[Source Row]]="","",N(INDEX(Rider_Input[Rider Balance / محفظة المندوب],Salary_Calculation[[#This Row],[Source Row]])))</f>
        <v/>
      </c>
      <c r="T478" s="164" t="str">
        <f aca="false">IF(Salary_Calculation[[#This Row],[Source Row]]="","",N(INDEX(Rider_Input[stacking_deduction / خصم الطلبات المتعددة],Salary_Calculation[[#This Row],[Source Row]])))</f>
        <v/>
      </c>
      <c r="U478" s="164" t="str">
        <f aca="false">IF(Salary_Calculation[[#This Row],[Source Row]]="","",N(INDEX(Rider_Input[Other Deductions],Salary_Calculation[[#This Row],[Source Row]])))</f>
        <v/>
      </c>
      <c r="V478" s="164" t="str">
        <f aca="false">IF(Salary_Calculation[[#This Row],[Source Row]]="","",N(Salary_Calculation[[#This Row],[missed_days_penalty]])+N(Salary_Calculation[[#This Row],[Rider Balance]])+N(Salary_Calculation[[#This Row],[stacking_deduction]])+N(Salary_Calculation[[#This Row],[Other Deductions]]))</f>
        <v/>
      </c>
      <c r="W478" s="167" t="str">
        <f aca="false">IF(Salary_Calculation[[#This Row],[Source Row]]="","",ROUND(MAX(Salary_Calculation[[#This Row],[Gross Salary Before Deductions]]-Salary_Calculation[[#This Row],[Total Deductions]],0),2))</f>
        <v/>
      </c>
      <c r="X478" s="164" t="str">
        <f aca="false">IF(Salary_Calculation[[#This Row],[Source Row]]="","",ROUND(MAX(Salary_Calculation[[#This Row],[Missing-Order Deduction]]-Salary_Calculation[[#This Row],[Earned Salary]],0),2))</f>
        <v/>
      </c>
      <c r="Y47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78" s="163" t="str">
        <f aca="false">IF(Salary_Calculation[[#This Row],[Source Row]]="","",IF(INDEX(Rider_Input[Notes],Salary_Calculation[[#This Row],[Source Row]])="","",INDEX(Rider_Input[Notes],Salary_Calculation[[#This Row],[Source Row]])))</f>
        <v/>
      </c>
      <c r="AA478" s="164" t="str">
        <f aca="false">IF(Salary_Calculation[[#This Row],[Source Row]]="","",Salary_Calculation[[#This Row],[Earned Salary]]-Salary_Calculation[[#This Row],[Missing-Order Deduction]]+Salary_Calculation[[#This Row],[Extra-Order Bonus]])</f>
        <v/>
      </c>
      <c r="AB478" s="164" t="str">
        <f aca="false">IF(Salary_Calculation[[#This Row],[Source Row]]="","",ROUND(Salary_Calculation[[#This Row],[Negative Balance / Amount Due from Rider]]+MAX(Salary_Calculation[[#This Row],[Total Deductions]]-Salary_Calculation[[#This Row],[Gross Salary Before Deductions]],0),2))</f>
        <v/>
      </c>
      <c r="AC47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78" s="164" t="str">
        <f aca="false">IF(Salary_Calculation[[#This Row],[Source Row]]="","",Salary_Calculation[[#This Row],[Rider Target Orders]]*Salary_Calculation[[#This Row],[Base Order Rate]])</f>
        <v/>
      </c>
      <c r="AE478" s="162" t="str">
        <f aca="false">IF(SUMPRODUCT(--(LEN(INDEX(Rider_Input[#Data],ROW()-ROW(Salary_Calculation[#Headers]),0))&gt;0))=0,"",ROW()-ROW(Salary_Calculation[#Headers]))</f>
        <v/>
      </c>
    </row>
    <row r="479" customFormat="false" ht="14.25" hidden="false" customHeight="false" outlineLevel="0" collapsed="false">
      <c r="A479" s="161" t="str">
        <f aca="false">IF(Salary_Calculation[[#This Row],[Source Row]]="","",IF(INDEX(Rider_Input[Salary Month],Salary_Calculation[[#This Row],[Source Row]])="","",INDEX(Rider_Input[Salary Month],Salary_Calculation[[#This Row],[Source Row]])))</f>
        <v/>
      </c>
      <c r="B479" s="162" t="str">
        <f aca="false">IF(Salary_Calculation[[#This Row],[Source Row]]="","",IF(INDEX(Rider_Input[Rider ID],Salary_Calculation[[#This Row],[Source Row]])="","",INDEX(Rider_Input[Rider ID],Salary_Calculation[[#This Row],[Source Row]])))</f>
        <v/>
      </c>
      <c r="C479" s="163" t="str">
        <f aca="false">IF(Salary_Calculation[[#This Row],[Source Row]]="","",IF(INDEX(Rider_Input[Rider Name],Salary_Calculation[[#This Row],[Source Row]])="","",INDEX(Rider_Input[Rider Name],Salary_Calculation[[#This Row],[Source Row]])))</f>
        <v/>
      </c>
      <c r="D479" s="164" t="str">
        <f aca="false">IF(Salary_Calculation[[#This Row],[Source Row]]="","",IF(INDEX(Rider_Input[Basic Payment],Salary_Calculation[[#This Row],[Source Row]])="","",INDEX(Rider_Input[Basic Payment],Salary_Calculation[[#This Row],[Source Row]])))</f>
        <v/>
      </c>
      <c r="E479" s="162" t="str">
        <f aca="false">IF(Salary_Calculation[[#This Row],[Source Row]]="","",IF(INDEX(Rider_Input[Calendar Days in Month],Salary_Calculation[[#This Row],[Source Row]])="","",INDEX(Rider_Input[Calendar Days in Month],Salary_Calculation[[#This Row],[Source Row]])))</f>
        <v/>
      </c>
      <c r="F479" s="162" t="str">
        <f aca="false">IF(Salary_Calculation[[#This Row],[Source Row]]="","",IF(INDEX(Rider_Input[Working Days],Salary_Calculation[[#This Row],[Source Row]])="","",INDEX(Rider_Input[Working Days],Salary_Calculation[[#This Row],[Source Row]])))</f>
        <v/>
      </c>
      <c r="G479" s="165" t="str">
        <f aca="false">IF(Salary_Calculation[[#This Row],[Source Row]]="","",Std_Orders/Std_Days*N(Salary_Calculation[[#This Row],[Calendar Days]]))</f>
        <v/>
      </c>
      <c r="H479" s="165" t="str">
        <f aca="false">IF(Salary_Calculation[[#This Row],[Source Row]]="","",IF(N(Salary_Calculation[[#This Row],[Calendar Days]])&gt;0,Salary_Calculation[[#This Row],[Monthly Target Orders]]/N(Salary_Calculation[[#This Row],[Calendar Days]])*N(Salary_Calculation[[#This Row],[Working Days]]),0))</f>
        <v/>
      </c>
      <c r="I479" s="166" t="str">
        <f aca="false">IF(Salary_Calculation[[#This Row],[Source Row]]="","",IF(INDEX(Rider_Input[Completed Orders],Salary_Calculation[[#This Row],[Source Row]])="","",INDEX(Rider_Input[Completed Orders],Salary_Calculation[[#This Row],[Source Row]])))</f>
        <v/>
      </c>
      <c r="J479" s="165" t="str">
        <f aca="false">IF(Salary_Calculation[[#This Row],[Source Row]]="","",IF(Rate_Method="Fixed rate",Fixed_Rate,IF(N(Salary_Calculation[[#This Row],[Basic Payment]])&gt;0,N(Salary_Calculation[[#This Row],[Basic Payment]])/Std_Orders,0)))</f>
        <v/>
      </c>
      <c r="K479" s="165" t="str">
        <f aca="false">IF(Salary_Calculation[[#This Row],[Source Row]]="","",MAX(MIN(N(Salary_Calculation[[#This Row],[Completed Orders]]),Salary_Calculation[[#This Row],[Rider Target Orders]]),0))</f>
        <v/>
      </c>
      <c r="L479" s="164" t="str">
        <f aca="false">IF(Salary_Calculation[[#This Row],[Source Row]]="","",Salary_Calculation[[#This Row],[Orders Counted at Base Rate]]*Salary_Calculation[[#This Row],[Base Order Rate]])</f>
        <v/>
      </c>
      <c r="M479" s="165" t="str">
        <f aca="false">IF(Salary_Calculation[[#This Row],[Source Row]]="","",MAX(Salary_Calculation[[#This Row],[Rider Target Orders]]-N(Salary_Calculation[[#This Row],[Completed Orders]]),0))</f>
        <v/>
      </c>
      <c r="N479" s="164" t="str">
        <f aca="false">IF(Salary_Calculation[[#This Row],[Source Row]]="","",Salary_Calculation[[#This Row],[Missing Orders]]*Missing_Rate)</f>
        <v/>
      </c>
      <c r="O479" s="165" t="str">
        <f aca="false">IF(Salary_Calculation[[#This Row],[Source Row]]="","",MAX(N(Salary_Calculation[[#This Row],[Completed Orders]])-Salary_Calculation[[#This Row],[Rider Target Orders]],0))</f>
        <v/>
      </c>
      <c r="P479" s="164" t="str">
        <f aca="false">IF(Salary_Calculation[[#This Row],[Source Row]]="","",Salary_Calculation[[#This Row],[Extra Orders]]*Extra_Rate)</f>
        <v/>
      </c>
      <c r="Q479" s="164" t="str">
        <f aca="false">IF(Salary_Calculation[[#This Row],[Source Row]]="","",MAX(Salary_Calculation[[#This Row],[Salary Before Other Deductions]],0))</f>
        <v/>
      </c>
      <c r="R479" s="164" t="str">
        <f aca="false">IF(Salary_Calculation[[#This Row],[Source Row]]="","",N(INDEX(Rider_Input[missed_days_penalty],Salary_Calculation[[#This Row],[Source Row]])))</f>
        <v/>
      </c>
      <c r="S479" s="164" t="str">
        <f aca="false">IF(Salary_Calculation[[#This Row],[Source Row]]="","",N(INDEX(Rider_Input[Rider Balance / محفظة المندوب],Salary_Calculation[[#This Row],[Source Row]])))</f>
        <v/>
      </c>
      <c r="T479" s="164" t="str">
        <f aca="false">IF(Salary_Calculation[[#This Row],[Source Row]]="","",N(INDEX(Rider_Input[stacking_deduction / خصم الطلبات المتعددة],Salary_Calculation[[#This Row],[Source Row]])))</f>
        <v/>
      </c>
      <c r="U479" s="164" t="str">
        <f aca="false">IF(Salary_Calculation[[#This Row],[Source Row]]="","",N(INDEX(Rider_Input[Other Deductions],Salary_Calculation[[#This Row],[Source Row]])))</f>
        <v/>
      </c>
      <c r="V479" s="164" t="str">
        <f aca="false">IF(Salary_Calculation[[#This Row],[Source Row]]="","",N(Salary_Calculation[[#This Row],[missed_days_penalty]])+N(Salary_Calculation[[#This Row],[Rider Balance]])+N(Salary_Calculation[[#This Row],[stacking_deduction]])+N(Salary_Calculation[[#This Row],[Other Deductions]]))</f>
        <v/>
      </c>
      <c r="W479" s="167" t="str">
        <f aca="false">IF(Salary_Calculation[[#This Row],[Source Row]]="","",ROUND(MAX(Salary_Calculation[[#This Row],[Gross Salary Before Deductions]]-Salary_Calculation[[#This Row],[Total Deductions]],0),2))</f>
        <v/>
      </c>
      <c r="X479" s="164" t="str">
        <f aca="false">IF(Salary_Calculation[[#This Row],[Source Row]]="","",ROUND(MAX(Salary_Calculation[[#This Row],[Missing-Order Deduction]]-Salary_Calculation[[#This Row],[Earned Salary]],0),2))</f>
        <v/>
      </c>
      <c r="Y47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79" s="163" t="str">
        <f aca="false">IF(Salary_Calculation[[#This Row],[Source Row]]="","",IF(INDEX(Rider_Input[Notes],Salary_Calculation[[#This Row],[Source Row]])="","",INDEX(Rider_Input[Notes],Salary_Calculation[[#This Row],[Source Row]])))</f>
        <v/>
      </c>
      <c r="AA479" s="164" t="str">
        <f aca="false">IF(Salary_Calculation[[#This Row],[Source Row]]="","",Salary_Calculation[[#This Row],[Earned Salary]]-Salary_Calculation[[#This Row],[Missing-Order Deduction]]+Salary_Calculation[[#This Row],[Extra-Order Bonus]])</f>
        <v/>
      </c>
      <c r="AB479" s="164" t="str">
        <f aca="false">IF(Salary_Calculation[[#This Row],[Source Row]]="","",ROUND(Salary_Calculation[[#This Row],[Negative Balance / Amount Due from Rider]]+MAX(Salary_Calculation[[#This Row],[Total Deductions]]-Salary_Calculation[[#This Row],[Gross Salary Before Deductions]],0),2))</f>
        <v/>
      </c>
      <c r="AC47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79" s="164" t="str">
        <f aca="false">IF(Salary_Calculation[[#This Row],[Source Row]]="","",Salary_Calculation[[#This Row],[Rider Target Orders]]*Salary_Calculation[[#This Row],[Base Order Rate]])</f>
        <v/>
      </c>
      <c r="AE479" s="162" t="str">
        <f aca="false">IF(SUMPRODUCT(--(LEN(INDEX(Rider_Input[#Data],ROW()-ROW(Salary_Calculation[#Headers]),0))&gt;0))=0,"",ROW()-ROW(Salary_Calculation[#Headers]))</f>
        <v/>
      </c>
    </row>
    <row r="480" customFormat="false" ht="14.25" hidden="false" customHeight="false" outlineLevel="0" collapsed="false">
      <c r="A480" s="161" t="str">
        <f aca="false">IF(Salary_Calculation[[#This Row],[Source Row]]="","",IF(INDEX(Rider_Input[Salary Month],Salary_Calculation[[#This Row],[Source Row]])="","",INDEX(Rider_Input[Salary Month],Salary_Calculation[[#This Row],[Source Row]])))</f>
        <v/>
      </c>
      <c r="B480" s="162" t="str">
        <f aca="false">IF(Salary_Calculation[[#This Row],[Source Row]]="","",IF(INDEX(Rider_Input[Rider ID],Salary_Calculation[[#This Row],[Source Row]])="","",INDEX(Rider_Input[Rider ID],Salary_Calculation[[#This Row],[Source Row]])))</f>
        <v/>
      </c>
      <c r="C480" s="163" t="str">
        <f aca="false">IF(Salary_Calculation[[#This Row],[Source Row]]="","",IF(INDEX(Rider_Input[Rider Name],Salary_Calculation[[#This Row],[Source Row]])="","",INDEX(Rider_Input[Rider Name],Salary_Calculation[[#This Row],[Source Row]])))</f>
        <v/>
      </c>
      <c r="D480" s="164" t="str">
        <f aca="false">IF(Salary_Calculation[[#This Row],[Source Row]]="","",IF(INDEX(Rider_Input[Basic Payment],Salary_Calculation[[#This Row],[Source Row]])="","",INDEX(Rider_Input[Basic Payment],Salary_Calculation[[#This Row],[Source Row]])))</f>
        <v/>
      </c>
      <c r="E480" s="162" t="str">
        <f aca="false">IF(Salary_Calculation[[#This Row],[Source Row]]="","",IF(INDEX(Rider_Input[Calendar Days in Month],Salary_Calculation[[#This Row],[Source Row]])="","",INDEX(Rider_Input[Calendar Days in Month],Salary_Calculation[[#This Row],[Source Row]])))</f>
        <v/>
      </c>
      <c r="F480" s="162" t="str">
        <f aca="false">IF(Salary_Calculation[[#This Row],[Source Row]]="","",IF(INDEX(Rider_Input[Working Days],Salary_Calculation[[#This Row],[Source Row]])="","",INDEX(Rider_Input[Working Days],Salary_Calculation[[#This Row],[Source Row]])))</f>
        <v/>
      </c>
      <c r="G480" s="165" t="str">
        <f aca="false">IF(Salary_Calculation[[#This Row],[Source Row]]="","",Std_Orders/Std_Days*N(Salary_Calculation[[#This Row],[Calendar Days]]))</f>
        <v/>
      </c>
      <c r="H480" s="165" t="str">
        <f aca="false">IF(Salary_Calculation[[#This Row],[Source Row]]="","",IF(N(Salary_Calculation[[#This Row],[Calendar Days]])&gt;0,Salary_Calculation[[#This Row],[Monthly Target Orders]]/N(Salary_Calculation[[#This Row],[Calendar Days]])*N(Salary_Calculation[[#This Row],[Working Days]]),0))</f>
        <v/>
      </c>
      <c r="I480" s="166" t="str">
        <f aca="false">IF(Salary_Calculation[[#This Row],[Source Row]]="","",IF(INDEX(Rider_Input[Completed Orders],Salary_Calculation[[#This Row],[Source Row]])="","",INDEX(Rider_Input[Completed Orders],Salary_Calculation[[#This Row],[Source Row]])))</f>
        <v/>
      </c>
      <c r="J480" s="165" t="str">
        <f aca="false">IF(Salary_Calculation[[#This Row],[Source Row]]="","",IF(Rate_Method="Fixed rate",Fixed_Rate,IF(N(Salary_Calculation[[#This Row],[Basic Payment]])&gt;0,N(Salary_Calculation[[#This Row],[Basic Payment]])/Std_Orders,0)))</f>
        <v/>
      </c>
      <c r="K480" s="165" t="str">
        <f aca="false">IF(Salary_Calculation[[#This Row],[Source Row]]="","",MAX(MIN(N(Salary_Calculation[[#This Row],[Completed Orders]]),Salary_Calculation[[#This Row],[Rider Target Orders]]),0))</f>
        <v/>
      </c>
      <c r="L480" s="164" t="str">
        <f aca="false">IF(Salary_Calculation[[#This Row],[Source Row]]="","",Salary_Calculation[[#This Row],[Orders Counted at Base Rate]]*Salary_Calculation[[#This Row],[Base Order Rate]])</f>
        <v/>
      </c>
      <c r="M480" s="165" t="str">
        <f aca="false">IF(Salary_Calculation[[#This Row],[Source Row]]="","",MAX(Salary_Calculation[[#This Row],[Rider Target Orders]]-N(Salary_Calculation[[#This Row],[Completed Orders]]),0))</f>
        <v/>
      </c>
      <c r="N480" s="164" t="str">
        <f aca="false">IF(Salary_Calculation[[#This Row],[Source Row]]="","",Salary_Calculation[[#This Row],[Missing Orders]]*Missing_Rate)</f>
        <v/>
      </c>
      <c r="O480" s="165" t="str">
        <f aca="false">IF(Salary_Calculation[[#This Row],[Source Row]]="","",MAX(N(Salary_Calculation[[#This Row],[Completed Orders]])-Salary_Calculation[[#This Row],[Rider Target Orders]],0))</f>
        <v/>
      </c>
      <c r="P480" s="164" t="str">
        <f aca="false">IF(Salary_Calculation[[#This Row],[Source Row]]="","",Salary_Calculation[[#This Row],[Extra Orders]]*Extra_Rate)</f>
        <v/>
      </c>
      <c r="Q480" s="164" t="str">
        <f aca="false">IF(Salary_Calculation[[#This Row],[Source Row]]="","",MAX(Salary_Calculation[[#This Row],[Salary Before Other Deductions]],0))</f>
        <v/>
      </c>
      <c r="R480" s="164" t="str">
        <f aca="false">IF(Salary_Calculation[[#This Row],[Source Row]]="","",N(INDEX(Rider_Input[missed_days_penalty],Salary_Calculation[[#This Row],[Source Row]])))</f>
        <v/>
      </c>
      <c r="S480" s="164" t="str">
        <f aca="false">IF(Salary_Calculation[[#This Row],[Source Row]]="","",N(INDEX(Rider_Input[Rider Balance / محفظة المندوب],Salary_Calculation[[#This Row],[Source Row]])))</f>
        <v/>
      </c>
      <c r="T480" s="164" t="str">
        <f aca="false">IF(Salary_Calculation[[#This Row],[Source Row]]="","",N(INDEX(Rider_Input[stacking_deduction / خصم الطلبات المتعددة],Salary_Calculation[[#This Row],[Source Row]])))</f>
        <v/>
      </c>
      <c r="U480" s="164" t="str">
        <f aca="false">IF(Salary_Calculation[[#This Row],[Source Row]]="","",N(INDEX(Rider_Input[Other Deductions],Salary_Calculation[[#This Row],[Source Row]])))</f>
        <v/>
      </c>
      <c r="V480" s="164" t="str">
        <f aca="false">IF(Salary_Calculation[[#This Row],[Source Row]]="","",N(Salary_Calculation[[#This Row],[missed_days_penalty]])+N(Salary_Calculation[[#This Row],[Rider Balance]])+N(Salary_Calculation[[#This Row],[stacking_deduction]])+N(Salary_Calculation[[#This Row],[Other Deductions]]))</f>
        <v/>
      </c>
      <c r="W480" s="167" t="str">
        <f aca="false">IF(Salary_Calculation[[#This Row],[Source Row]]="","",ROUND(MAX(Salary_Calculation[[#This Row],[Gross Salary Before Deductions]]-Salary_Calculation[[#This Row],[Total Deductions]],0),2))</f>
        <v/>
      </c>
      <c r="X480" s="164" t="str">
        <f aca="false">IF(Salary_Calculation[[#This Row],[Source Row]]="","",ROUND(MAX(Salary_Calculation[[#This Row],[Missing-Order Deduction]]-Salary_Calculation[[#This Row],[Earned Salary]],0),2))</f>
        <v/>
      </c>
      <c r="Y48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80" s="163" t="str">
        <f aca="false">IF(Salary_Calculation[[#This Row],[Source Row]]="","",IF(INDEX(Rider_Input[Notes],Salary_Calculation[[#This Row],[Source Row]])="","",INDEX(Rider_Input[Notes],Salary_Calculation[[#This Row],[Source Row]])))</f>
        <v/>
      </c>
      <c r="AA480" s="164" t="str">
        <f aca="false">IF(Salary_Calculation[[#This Row],[Source Row]]="","",Salary_Calculation[[#This Row],[Earned Salary]]-Salary_Calculation[[#This Row],[Missing-Order Deduction]]+Salary_Calculation[[#This Row],[Extra-Order Bonus]])</f>
        <v/>
      </c>
      <c r="AB480" s="164" t="str">
        <f aca="false">IF(Salary_Calculation[[#This Row],[Source Row]]="","",ROUND(Salary_Calculation[[#This Row],[Negative Balance / Amount Due from Rider]]+MAX(Salary_Calculation[[#This Row],[Total Deductions]]-Salary_Calculation[[#This Row],[Gross Salary Before Deductions]],0),2))</f>
        <v/>
      </c>
      <c r="AC48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80" s="164" t="str">
        <f aca="false">IF(Salary_Calculation[[#This Row],[Source Row]]="","",Salary_Calculation[[#This Row],[Rider Target Orders]]*Salary_Calculation[[#This Row],[Base Order Rate]])</f>
        <v/>
      </c>
      <c r="AE480" s="162" t="str">
        <f aca="false">IF(SUMPRODUCT(--(LEN(INDEX(Rider_Input[#Data],ROW()-ROW(Salary_Calculation[#Headers]),0))&gt;0))=0,"",ROW()-ROW(Salary_Calculation[#Headers]))</f>
        <v/>
      </c>
    </row>
    <row r="481" customFormat="false" ht="14.25" hidden="false" customHeight="false" outlineLevel="0" collapsed="false">
      <c r="A481" s="161" t="str">
        <f aca="false">IF(Salary_Calculation[[#This Row],[Source Row]]="","",IF(INDEX(Rider_Input[Salary Month],Salary_Calculation[[#This Row],[Source Row]])="","",INDEX(Rider_Input[Salary Month],Salary_Calculation[[#This Row],[Source Row]])))</f>
        <v/>
      </c>
      <c r="B481" s="162" t="str">
        <f aca="false">IF(Salary_Calculation[[#This Row],[Source Row]]="","",IF(INDEX(Rider_Input[Rider ID],Salary_Calculation[[#This Row],[Source Row]])="","",INDEX(Rider_Input[Rider ID],Salary_Calculation[[#This Row],[Source Row]])))</f>
        <v/>
      </c>
      <c r="C481" s="163" t="str">
        <f aca="false">IF(Salary_Calculation[[#This Row],[Source Row]]="","",IF(INDEX(Rider_Input[Rider Name],Salary_Calculation[[#This Row],[Source Row]])="","",INDEX(Rider_Input[Rider Name],Salary_Calculation[[#This Row],[Source Row]])))</f>
        <v/>
      </c>
      <c r="D481" s="164" t="str">
        <f aca="false">IF(Salary_Calculation[[#This Row],[Source Row]]="","",IF(INDEX(Rider_Input[Basic Payment],Salary_Calculation[[#This Row],[Source Row]])="","",INDEX(Rider_Input[Basic Payment],Salary_Calculation[[#This Row],[Source Row]])))</f>
        <v/>
      </c>
      <c r="E481" s="162" t="str">
        <f aca="false">IF(Salary_Calculation[[#This Row],[Source Row]]="","",IF(INDEX(Rider_Input[Calendar Days in Month],Salary_Calculation[[#This Row],[Source Row]])="","",INDEX(Rider_Input[Calendar Days in Month],Salary_Calculation[[#This Row],[Source Row]])))</f>
        <v/>
      </c>
      <c r="F481" s="162" t="str">
        <f aca="false">IF(Salary_Calculation[[#This Row],[Source Row]]="","",IF(INDEX(Rider_Input[Working Days],Salary_Calculation[[#This Row],[Source Row]])="","",INDEX(Rider_Input[Working Days],Salary_Calculation[[#This Row],[Source Row]])))</f>
        <v/>
      </c>
      <c r="G481" s="165" t="str">
        <f aca="false">IF(Salary_Calculation[[#This Row],[Source Row]]="","",Std_Orders/Std_Days*N(Salary_Calculation[[#This Row],[Calendar Days]]))</f>
        <v/>
      </c>
      <c r="H481" s="165" t="str">
        <f aca="false">IF(Salary_Calculation[[#This Row],[Source Row]]="","",IF(N(Salary_Calculation[[#This Row],[Calendar Days]])&gt;0,Salary_Calculation[[#This Row],[Monthly Target Orders]]/N(Salary_Calculation[[#This Row],[Calendar Days]])*N(Salary_Calculation[[#This Row],[Working Days]]),0))</f>
        <v/>
      </c>
      <c r="I481" s="166" t="str">
        <f aca="false">IF(Salary_Calculation[[#This Row],[Source Row]]="","",IF(INDEX(Rider_Input[Completed Orders],Salary_Calculation[[#This Row],[Source Row]])="","",INDEX(Rider_Input[Completed Orders],Salary_Calculation[[#This Row],[Source Row]])))</f>
        <v/>
      </c>
      <c r="J481" s="165" t="str">
        <f aca="false">IF(Salary_Calculation[[#This Row],[Source Row]]="","",IF(Rate_Method="Fixed rate",Fixed_Rate,IF(N(Salary_Calculation[[#This Row],[Basic Payment]])&gt;0,N(Salary_Calculation[[#This Row],[Basic Payment]])/Std_Orders,0)))</f>
        <v/>
      </c>
      <c r="K481" s="165" t="str">
        <f aca="false">IF(Salary_Calculation[[#This Row],[Source Row]]="","",MAX(MIN(N(Salary_Calculation[[#This Row],[Completed Orders]]),Salary_Calculation[[#This Row],[Rider Target Orders]]),0))</f>
        <v/>
      </c>
      <c r="L481" s="164" t="str">
        <f aca="false">IF(Salary_Calculation[[#This Row],[Source Row]]="","",Salary_Calculation[[#This Row],[Orders Counted at Base Rate]]*Salary_Calculation[[#This Row],[Base Order Rate]])</f>
        <v/>
      </c>
      <c r="M481" s="165" t="str">
        <f aca="false">IF(Salary_Calculation[[#This Row],[Source Row]]="","",MAX(Salary_Calculation[[#This Row],[Rider Target Orders]]-N(Salary_Calculation[[#This Row],[Completed Orders]]),0))</f>
        <v/>
      </c>
      <c r="N481" s="164" t="str">
        <f aca="false">IF(Salary_Calculation[[#This Row],[Source Row]]="","",Salary_Calculation[[#This Row],[Missing Orders]]*Missing_Rate)</f>
        <v/>
      </c>
      <c r="O481" s="165" t="str">
        <f aca="false">IF(Salary_Calculation[[#This Row],[Source Row]]="","",MAX(N(Salary_Calculation[[#This Row],[Completed Orders]])-Salary_Calculation[[#This Row],[Rider Target Orders]],0))</f>
        <v/>
      </c>
      <c r="P481" s="164" t="str">
        <f aca="false">IF(Salary_Calculation[[#This Row],[Source Row]]="","",Salary_Calculation[[#This Row],[Extra Orders]]*Extra_Rate)</f>
        <v/>
      </c>
      <c r="Q481" s="164" t="str">
        <f aca="false">IF(Salary_Calculation[[#This Row],[Source Row]]="","",MAX(Salary_Calculation[[#This Row],[Salary Before Other Deductions]],0))</f>
        <v/>
      </c>
      <c r="R481" s="164" t="str">
        <f aca="false">IF(Salary_Calculation[[#This Row],[Source Row]]="","",N(INDEX(Rider_Input[missed_days_penalty],Salary_Calculation[[#This Row],[Source Row]])))</f>
        <v/>
      </c>
      <c r="S481" s="164" t="str">
        <f aca="false">IF(Salary_Calculation[[#This Row],[Source Row]]="","",N(INDEX(Rider_Input[Rider Balance / محفظة المندوب],Salary_Calculation[[#This Row],[Source Row]])))</f>
        <v/>
      </c>
      <c r="T481" s="164" t="str">
        <f aca="false">IF(Salary_Calculation[[#This Row],[Source Row]]="","",N(INDEX(Rider_Input[stacking_deduction / خصم الطلبات المتعددة],Salary_Calculation[[#This Row],[Source Row]])))</f>
        <v/>
      </c>
      <c r="U481" s="164" t="str">
        <f aca="false">IF(Salary_Calculation[[#This Row],[Source Row]]="","",N(INDEX(Rider_Input[Other Deductions],Salary_Calculation[[#This Row],[Source Row]])))</f>
        <v/>
      </c>
      <c r="V481" s="164" t="str">
        <f aca="false">IF(Salary_Calculation[[#This Row],[Source Row]]="","",N(Salary_Calculation[[#This Row],[missed_days_penalty]])+N(Salary_Calculation[[#This Row],[Rider Balance]])+N(Salary_Calculation[[#This Row],[stacking_deduction]])+N(Salary_Calculation[[#This Row],[Other Deductions]]))</f>
        <v/>
      </c>
      <c r="W481" s="167" t="str">
        <f aca="false">IF(Salary_Calculation[[#This Row],[Source Row]]="","",ROUND(MAX(Salary_Calculation[[#This Row],[Gross Salary Before Deductions]]-Salary_Calculation[[#This Row],[Total Deductions]],0),2))</f>
        <v/>
      </c>
      <c r="X481" s="164" t="str">
        <f aca="false">IF(Salary_Calculation[[#This Row],[Source Row]]="","",ROUND(MAX(Salary_Calculation[[#This Row],[Missing-Order Deduction]]-Salary_Calculation[[#This Row],[Earned Salary]],0),2))</f>
        <v/>
      </c>
      <c r="Y48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81" s="163" t="str">
        <f aca="false">IF(Salary_Calculation[[#This Row],[Source Row]]="","",IF(INDEX(Rider_Input[Notes],Salary_Calculation[[#This Row],[Source Row]])="","",INDEX(Rider_Input[Notes],Salary_Calculation[[#This Row],[Source Row]])))</f>
        <v/>
      </c>
      <c r="AA481" s="164" t="str">
        <f aca="false">IF(Salary_Calculation[[#This Row],[Source Row]]="","",Salary_Calculation[[#This Row],[Earned Salary]]-Salary_Calculation[[#This Row],[Missing-Order Deduction]]+Salary_Calculation[[#This Row],[Extra-Order Bonus]])</f>
        <v/>
      </c>
      <c r="AB481" s="164" t="str">
        <f aca="false">IF(Salary_Calculation[[#This Row],[Source Row]]="","",ROUND(Salary_Calculation[[#This Row],[Negative Balance / Amount Due from Rider]]+MAX(Salary_Calculation[[#This Row],[Total Deductions]]-Salary_Calculation[[#This Row],[Gross Salary Before Deductions]],0),2))</f>
        <v/>
      </c>
      <c r="AC48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81" s="164" t="str">
        <f aca="false">IF(Salary_Calculation[[#This Row],[Source Row]]="","",Salary_Calculation[[#This Row],[Rider Target Orders]]*Salary_Calculation[[#This Row],[Base Order Rate]])</f>
        <v/>
      </c>
      <c r="AE481" s="162" t="str">
        <f aca="false">IF(SUMPRODUCT(--(LEN(INDEX(Rider_Input[#Data],ROW()-ROW(Salary_Calculation[#Headers]),0))&gt;0))=0,"",ROW()-ROW(Salary_Calculation[#Headers]))</f>
        <v/>
      </c>
    </row>
    <row r="482" customFormat="false" ht="14.25" hidden="false" customHeight="false" outlineLevel="0" collapsed="false">
      <c r="A482" s="161" t="str">
        <f aca="false">IF(Salary_Calculation[[#This Row],[Source Row]]="","",IF(INDEX(Rider_Input[Salary Month],Salary_Calculation[[#This Row],[Source Row]])="","",INDEX(Rider_Input[Salary Month],Salary_Calculation[[#This Row],[Source Row]])))</f>
        <v/>
      </c>
      <c r="B482" s="162" t="str">
        <f aca="false">IF(Salary_Calculation[[#This Row],[Source Row]]="","",IF(INDEX(Rider_Input[Rider ID],Salary_Calculation[[#This Row],[Source Row]])="","",INDEX(Rider_Input[Rider ID],Salary_Calculation[[#This Row],[Source Row]])))</f>
        <v/>
      </c>
      <c r="C482" s="163" t="str">
        <f aca="false">IF(Salary_Calculation[[#This Row],[Source Row]]="","",IF(INDEX(Rider_Input[Rider Name],Salary_Calculation[[#This Row],[Source Row]])="","",INDEX(Rider_Input[Rider Name],Salary_Calculation[[#This Row],[Source Row]])))</f>
        <v/>
      </c>
      <c r="D482" s="164" t="str">
        <f aca="false">IF(Salary_Calculation[[#This Row],[Source Row]]="","",IF(INDEX(Rider_Input[Basic Payment],Salary_Calculation[[#This Row],[Source Row]])="","",INDEX(Rider_Input[Basic Payment],Salary_Calculation[[#This Row],[Source Row]])))</f>
        <v/>
      </c>
      <c r="E482" s="162" t="str">
        <f aca="false">IF(Salary_Calculation[[#This Row],[Source Row]]="","",IF(INDEX(Rider_Input[Calendar Days in Month],Salary_Calculation[[#This Row],[Source Row]])="","",INDEX(Rider_Input[Calendar Days in Month],Salary_Calculation[[#This Row],[Source Row]])))</f>
        <v/>
      </c>
      <c r="F482" s="162" t="str">
        <f aca="false">IF(Salary_Calculation[[#This Row],[Source Row]]="","",IF(INDEX(Rider_Input[Working Days],Salary_Calculation[[#This Row],[Source Row]])="","",INDEX(Rider_Input[Working Days],Salary_Calculation[[#This Row],[Source Row]])))</f>
        <v/>
      </c>
      <c r="G482" s="165" t="str">
        <f aca="false">IF(Salary_Calculation[[#This Row],[Source Row]]="","",Std_Orders/Std_Days*N(Salary_Calculation[[#This Row],[Calendar Days]]))</f>
        <v/>
      </c>
      <c r="H482" s="165" t="str">
        <f aca="false">IF(Salary_Calculation[[#This Row],[Source Row]]="","",IF(N(Salary_Calculation[[#This Row],[Calendar Days]])&gt;0,Salary_Calculation[[#This Row],[Monthly Target Orders]]/N(Salary_Calculation[[#This Row],[Calendar Days]])*N(Salary_Calculation[[#This Row],[Working Days]]),0))</f>
        <v/>
      </c>
      <c r="I482" s="166" t="str">
        <f aca="false">IF(Salary_Calculation[[#This Row],[Source Row]]="","",IF(INDEX(Rider_Input[Completed Orders],Salary_Calculation[[#This Row],[Source Row]])="","",INDEX(Rider_Input[Completed Orders],Salary_Calculation[[#This Row],[Source Row]])))</f>
        <v/>
      </c>
      <c r="J482" s="165" t="str">
        <f aca="false">IF(Salary_Calculation[[#This Row],[Source Row]]="","",IF(Rate_Method="Fixed rate",Fixed_Rate,IF(N(Salary_Calculation[[#This Row],[Basic Payment]])&gt;0,N(Salary_Calculation[[#This Row],[Basic Payment]])/Std_Orders,0)))</f>
        <v/>
      </c>
      <c r="K482" s="165" t="str">
        <f aca="false">IF(Salary_Calculation[[#This Row],[Source Row]]="","",MAX(MIN(N(Salary_Calculation[[#This Row],[Completed Orders]]),Salary_Calculation[[#This Row],[Rider Target Orders]]),0))</f>
        <v/>
      </c>
      <c r="L482" s="164" t="str">
        <f aca="false">IF(Salary_Calculation[[#This Row],[Source Row]]="","",Salary_Calculation[[#This Row],[Orders Counted at Base Rate]]*Salary_Calculation[[#This Row],[Base Order Rate]])</f>
        <v/>
      </c>
      <c r="M482" s="165" t="str">
        <f aca="false">IF(Salary_Calculation[[#This Row],[Source Row]]="","",MAX(Salary_Calculation[[#This Row],[Rider Target Orders]]-N(Salary_Calculation[[#This Row],[Completed Orders]]),0))</f>
        <v/>
      </c>
      <c r="N482" s="164" t="str">
        <f aca="false">IF(Salary_Calculation[[#This Row],[Source Row]]="","",Salary_Calculation[[#This Row],[Missing Orders]]*Missing_Rate)</f>
        <v/>
      </c>
      <c r="O482" s="165" t="str">
        <f aca="false">IF(Salary_Calculation[[#This Row],[Source Row]]="","",MAX(N(Salary_Calculation[[#This Row],[Completed Orders]])-Salary_Calculation[[#This Row],[Rider Target Orders]],0))</f>
        <v/>
      </c>
      <c r="P482" s="164" t="str">
        <f aca="false">IF(Salary_Calculation[[#This Row],[Source Row]]="","",Salary_Calculation[[#This Row],[Extra Orders]]*Extra_Rate)</f>
        <v/>
      </c>
      <c r="Q482" s="164" t="str">
        <f aca="false">IF(Salary_Calculation[[#This Row],[Source Row]]="","",MAX(Salary_Calculation[[#This Row],[Salary Before Other Deductions]],0))</f>
        <v/>
      </c>
      <c r="R482" s="164" t="str">
        <f aca="false">IF(Salary_Calculation[[#This Row],[Source Row]]="","",N(INDEX(Rider_Input[missed_days_penalty],Salary_Calculation[[#This Row],[Source Row]])))</f>
        <v/>
      </c>
      <c r="S482" s="164" t="str">
        <f aca="false">IF(Salary_Calculation[[#This Row],[Source Row]]="","",N(INDEX(Rider_Input[Rider Balance / محفظة المندوب],Salary_Calculation[[#This Row],[Source Row]])))</f>
        <v/>
      </c>
      <c r="T482" s="164" t="str">
        <f aca="false">IF(Salary_Calculation[[#This Row],[Source Row]]="","",N(INDEX(Rider_Input[stacking_deduction / خصم الطلبات المتعددة],Salary_Calculation[[#This Row],[Source Row]])))</f>
        <v/>
      </c>
      <c r="U482" s="164" t="str">
        <f aca="false">IF(Salary_Calculation[[#This Row],[Source Row]]="","",N(INDEX(Rider_Input[Other Deductions],Salary_Calculation[[#This Row],[Source Row]])))</f>
        <v/>
      </c>
      <c r="V482" s="164" t="str">
        <f aca="false">IF(Salary_Calculation[[#This Row],[Source Row]]="","",N(Salary_Calculation[[#This Row],[missed_days_penalty]])+N(Salary_Calculation[[#This Row],[Rider Balance]])+N(Salary_Calculation[[#This Row],[stacking_deduction]])+N(Salary_Calculation[[#This Row],[Other Deductions]]))</f>
        <v/>
      </c>
      <c r="W482" s="167" t="str">
        <f aca="false">IF(Salary_Calculation[[#This Row],[Source Row]]="","",ROUND(MAX(Salary_Calculation[[#This Row],[Gross Salary Before Deductions]]-Salary_Calculation[[#This Row],[Total Deductions]],0),2))</f>
        <v/>
      </c>
      <c r="X482" s="164" t="str">
        <f aca="false">IF(Salary_Calculation[[#This Row],[Source Row]]="","",ROUND(MAX(Salary_Calculation[[#This Row],[Missing-Order Deduction]]-Salary_Calculation[[#This Row],[Earned Salary]],0),2))</f>
        <v/>
      </c>
      <c r="Y48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82" s="163" t="str">
        <f aca="false">IF(Salary_Calculation[[#This Row],[Source Row]]="","",IF(INDEX(Rider_Input[Notes],Salary_Calculation[[#This Row],[Source Row]])="","",INDEX(Rider_Input[Notes],Salary_Calculation[[#This Row],[Source Row]])))</f>
        <v/>
      </c>
      <c r="AA482" s="164" t="str">
        <f aca="false">IF(Salary_Calculation[[#This Row],[Source Row]]="","",Salary_Calculation[[#This Row],[Earned Salary]]-Salary_Calculation[[#This Row],[Missing-Order Deduction]]+Salary_Calculation[[#This Row],[Extra-Order Bonus]])</f>
        <v/>
      </c>
      <c r="AB482" s="164" t="str">
        <f aca="false">IF(Salary_Calculation[[#This Row],[Source Row]]="","",ROUND(Salary_Calculation[[#This Row],[Negative Balance / Amount Due from Rider]]+MAX(Salary_Calculation[[#This Row],[Total Deductions]]-Salary_Calculation[[#This Row],[Gross Salary Before Deductions]],0),2))</f>
        <v/>
      </c>
      <c r="AC48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82" s="164" t="str">
        <f aca="false">IF(Salary_Calculation[[#This Row],[Source Row]]="","",Salary_Calculation[[#This Row],[Rider Target Orders]]*Salary_Calculation[[#This Row],[Base Order Rate]])</f>
        <v/>
      </c>
      <c r="AE482" s="162" t="str">
        <f aca="false">IF(SUMPRODUCT(--(LEN(INDEX(Rider_Input[#Data],ROW()-ROW(Salary_Calculation[#Headers]),0))&gt;0))=0,"",ROW()-ROW(Salary_Calculation[#Headers]))</f>
        <v/>
      </c>
    </row>
    <row r="483" customFormat="false" ht="14.25" hidden="false" customHeight="false" outlineLevel="0" collapsed="false">
      <c r="A483" s="161" t="str">
        <f aca="false">IF(Salary_Calculation[[#This Row],[Source Row]]="","",IF(INDEX(Rider_Input[Salary Month],Salary_Calculation[[#This Row],[Source Row]])="","",INDEX(Rider_Input[Salary Month],Salary_Calculation[[#This Row],[Source Row]])))</f>
        <v/>
      </c>
      <c r="B483" s="162" t="str">
        <f aca="false">IF(Salary_Calculation[[#This Row],[Source Row]]="","",IF(INDEX(Rider_Input[Rider ID],Salary_Calculation[[#This Row],[Source Row]])="","",INDEX(Rider_Input[Rider ID],Salary_Calculation[[#This Row],[Source Row]])))</f>
        <v/>
      </c>
      <c r="C483" s="163" t="str">
        <f aca="false">IF(Salary_Calculation[[#This Row],[Source Row]]="","",IF(INDEX(Rider_Input[Rider Name],Salary_Calculation[[#This Row],[Source Row]])="","",INDEX(Rider_Input[Rider Name],Salary_Calculation[[#This Row],[Source Row]])))</f>
        <v/>
      </c>
      <c r="D483" s="164" t="str">
        <f aca="false">IF(Salary_Calculation[[#This Row],[Source Row]]="","",IF(INDEX(Rider_Input[Basic Payment],Salary_Calculation[[#This Row],[Source Row]])="","",INDEX(Rider_Input[Basic Payment],Salary_Calculation[[#This Row],[Source Row]])))</f>
        <v/>
      </c>
      <c r="E483" s="162" t="str">
        <f aca="false">IF(Salary_Calculation[[#This Row],[Source Row]]="","",IF(INDEX(Rider_Input[Calendar Days in Month],Salary_Calculation[[#This Row],[Source Row]])="","",INDEX(Rider_Input[Calendar Days in Month],Salary_Calculation[[#This Row],[Source Row]])))</f>
        <v/>
      </c>
      <c r="F483" s="162" t="str">
        <f aca="false">IF(Salary_Calculation[[#This Row],[Source Row]]="","",IF(INDEX(Rider_Input[Working Days],Salary_Calculation[[#This Row],[Source Row]])="","",INDEX(Rider_Input[Working Days],Salary_Calculation[[#This Row],[Source Row]])))</f>
        <v/>
      </c>
      <c r="G483" s="165" t="str">
        <f aca="false">IF(Salary_Calculation[[#This Row],[Source Row]]="","",Std_Orders/Std_Days*N(Salary_Calculation[[#This Row],[Calendar Days]]))</f>
        <v/>
      </c>
      <c r="H483" s="165" t="str">
        <f aca="false">IF(Salary_Calculation[[#This Row],[Source Row]]="","",IF(N(Salary_Calculation[[#This Row],[Calendar Days]])&gt;0,Salary_Calculation[[#This Row],[Monthly Target Orders]]/N(Salary_Calculation[[#This Row],[Calendar Days]])*N(Salary_Calculation[[#This Row],[Working Days]]),0))</f>
        <v/>
      </c>
      <c r="I483" s="166" t="str">
        <f aca="false">IF(Salary_Calculation[[#This Row],[Source Row]]="","",IF(INDEX(Rider_Input[Completed Orders],Salary_Calculation[[#This Row],[Source Row]])="","",INDEX(Rider_Input[Completed Orders],Salary_Calculation[[#This Row],[Source Row]])))</f>
        <v/>
      </c>
      <c r="J483" s="165" t="str">
        <f aca="false">IF(Salary_Calculation[[#This Row],[Source Row]]="","",IF(Rate_Method="Fixed rate",Fixed_Rate,IF(N(Salary_Calculation[[#This Row],[Basic Payment]])&gt;0,N(Salary_Calculation[[#This Row],[Basic Payment]])/Std_Orders,0)))</f>
        <v/>
      </c>
      <c r="K483" s="165" t="str">
        <f aca="false">IF(Salary_Calculation[[#This Row],[Source Row]]="","",MAX(MIN(N(Salary_Calculation[[#This Row],[Completed Orders]]),Salary_Calculation[[#This Row],[Rider Target Orders]]),0))</f>
        <v/>
      </c>
      <c r="L483" s="164" t="str">
        <f aca="false">IF(Salary_Calculation[[#This Row],[Source Row]]="","",Salary_Calculation[[#This Row],[Orders Counted at Base Rate]]*Salary_Calculation[[#This Row],[Base Order Rate]])</f>
        <v/>
      </c>
      <c r="M483" s="165" t="str">
        <f aca="false">IF(Salary_Calculation[[#This Row],[Source Row]]="","",MAX(Salary_Calculation[[#This Row],[Rider Target Orders]]-N(Salary_Calculation[[#This Row],[Completed Orders]]),0))</f>
        <v/>
      </c>
      <c r="N483" s="164" t="str">
        <f aca="false">IF(Salary_Calculation[[#This Row],[Source Row]]="","",Salary_Calculation[[#This Row],[Missing Orders]]*Missing_Rate)</f>
        <v/>
      </c>
      <c r="O483" s="165" t="str">
        <f aca="false">IF(Salary_Calculation[[#This Row],[Source Row]]="","",MAX(N(Salary_Calculation[[#This Row],[Completed Orders]])-Salary_Calculation[[#This Row],[Rider Target Orders]],0))</f>
        <v/>
      </c>
      <c r="P483" s="164" t="str">
        <f aca="false">IF(Salary_Calculation[[#This Row],[Source Row]]="","",Salary_Calculation[[#This Row],[Extra Orders]]*Extra_Rate)</f>
        <v/>
      </c>
      <c r="Q483" s="164" t="str">
        <f aca="false">IF(Salary_Calculation[[#This Row],[Source Row]]="","",MAX(Salary_Calculation[[#This Row],[Salary Before Other Deductions]],0))</f>
        <v/>
      </c>
      <c r="R483" s="164" t="str">
        <f aca="false">IF(Salary_Calculation[[#This Row],[Source Row]]="","",N(INDEX(Rider_Input[missed_days_penalty],Salary_Calculation[[#This Row],[Source Row]])))</f>
        <v/>
      </c>
      <c r="S483" s="164" t="str">
        <f aca="false">IF(Salary_Calculation[[#This Row],[Source Row]]="","",N(INDEX(Rider_Input[Rider Balance / محفظة المندوب],Salary_Calculation[[#This Row],[Source Row]])))</f>
        <v/>
      </c>
      <c r="T483" s="164" t="str">
        <f aca="false">IF(Salary_Calculation[[#This Row],[Source Row]]="","",N(INDEX(Rider_Input[stacking_deduction / خصم الطلبات المتعددة],Salary_Calculation[[#This Row],[Source Row]])))</f>
        <v/>
      </c>
      <c r="U483" s="164" t="str">
        <f aca="false">IF(Salary_Calculation[[#This Row],[Source Row]]="","",N(INDEX(Rider_Input[Other Deductions],Salary_Calculation[[#This Row],[Source Row]])))</f>
        <v/>
      </c>
      <c r="V483" s="164" t="str">
        <f aca="false">IF(Salary_Calculation[[#This Row],[Source Row]]="","",N(Salary_Calculation[[#This Row],[missed_days_penalty]])+N(Salary_Calculation[[#This Row],[Rider Balance]])+N(Salary_Calculation[[#This Row],[stacking_deduction]])+N(Salary_Calculation[[#This Row],[Other Deductions]]))</f>
        <v/>
      </c>
      <c r="W483" s="167" t="str">
        <f aca="false">IF(Salary_Calculation[[#This Row],[Source Row]]="","",ROUND(MAX(Salary_Calculation[[#This Row],[Gross Salary Before Deductions]]-Salary_Calculation[[#This Row],[Total Deductions]],0),2))</f>
        <v/>
      </c>
      <c r="X483" s="164" t="str">
        <f aca="false">IF(Salary_Calculation[[#This Row],[Source Row]]="","",ROUND(MAX(Salary_Calculation[[#This Row],[Missing-Order Deduction]]-Salary_Calculation[[#This Row],[Earned Salary]],0),2))</f>
        <v/>
      </c>
      <c r="Y48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83" s="163" t="str">
        <f aca="false">IF(Salary_Calculation[[#This Row],[Source Row]]="","",IF(INDEX(Rider_Input[Notes],Salary_Calculation[[#This Row],[Source Row]])="","",INDEX(Rider_Input[Notes],Salary_Calculation[[#This Row],[Source Row]])))</f>
        <v/>
      </c>
      <c r="AA483" s="164" t="str">
        <f aca="false">IF(Salary_Calculation[[#This Row],[Source Row]]="","",Salary_Calculation[[#This Row],[Earned Salary]]-Salary_Calculation[[#This Row],[Missing-Order Deduction]]+Salary_Calculation[[#This Row],[Extra-Order Bonus]])</f>
        <v/>
      </c>
      <c r="AB483" s="164" t="str">
        <f aca="false">IF(Salary_Calculation[[#This Row],[Source Row]]="","",ROUND(Salary_Calculation[[#This Row],[Negative Balance / Amount Due from Rider]]+MAX(Salary_Calculation[[#This Row],[Total Deductions]]-Salary_Calculation[[#This Row],[Gross Salary Before Deductions]],0),2))</f>
        <v/>
      </c>
      <c r="AC48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83" s="164" t="str">
        <f aca="false">IF(Salary_Calculation[[#This Row],[Source Row]]="","",Salary_Calculation[[#This Row],[Rider Target Orders]]*Salary_Calculation[[#This Row],[Base Order Rate]])</f>
        <v/>
      </c>
      <c r="AE483" s="162" t="str">
        <f aca="false">IF(SUMPRODUCT(--(LEN(INDEX(Rider_Input[#Data],ROW()-ROW(Salary_Calculation[#Headers]),0))&gt;0))=0,"",ROW()-ROW(Salary_Calculation[#Headers]))</f>
        <v/>
      </c>
    </row>
    <row r="484" customFormat="false" ht="14.25" hidden="false" customHeight="false" outlineLevel="0" collapsed="false">
      <c r="A484" s="161" t="str">
        <f aca="false">IF(Salary_Calculation[[#This Row],[Source Row]]="","",IF(INDEX(Rider_Input[Salary Month],Salary_Calculation[[#This Row],[Source Row]])="","",INDEX(Rider_Input[Salary Month],Salary_Calculation[[#This Row],[Source Row]])))</f>
        <v/>
      </c>
      <c r="B484" s="162" t="str">
        <f aca="false">IF(Salary_Calculation[[#This Row],[Source Row]]="","",IF(INDEX(Rider_Input[Rider ID],Salary_Calculation[[#This Row],[Source Row]])="","",INDEX(Rider_Input[Rider ID],Salary_Calculation[[#This Row],[Source Row]])))</f>
        <v/>
      </c>
      <c r="C484" s="163" t="str">
        <f aca="false">IF(Salary_Calculation[[#This Row],[Source Row]]="","",IF(INDEX(Rider_Input[Rider Name],Salary_Calculation[[#This Row],[Source Row]])="","",INDEX(Rider_Input[Rider Name],Salary_Calculation[[#This Row],[Source Row]])))</f>
        <v/>
      </c>
      <c r="D484" s="164" t="str">
        <f aca="false">IF(Salary_Calculation[[#This Row],[Source Row]]="","",IF(INDEX(Rider_Input[Basic Payment],Salary_Calculation[[#This Row],[Source Row]])="","",INDEX(Rider_Input[Basic Payment],Salary_Calculation[[#This Row],[Source Row]])))</f>
        <v/>
      </c>
      <c r="E484" s="162" t="str">
        <f aca="false">IF(Salary_Calculation[[#This Row],[Source Row]]="","",IF(INDEX(Rider_Input[Calendar Days in Month],Salary_Calculation[[#This Row],[Source Row]])="","",INDEX(Rider_Input[Calendar Days in Month],Salary_Calculation[[#This Row],[Source Row]])))</f>
        <v/>
      </c>
      <c r="F484" s="162" t="str">
        <f aca="false">IF(Salary_Calculation[[#This Row],[Source Row]]="","",IF(INDEX(Rider_Input[Working Days],Salary_Calculation[[#This Row],[Source Row]])="","",INDEX(Rider_Input[Working Days],Salary_Calculation[[#This Row],[Source Row]])))</f>
        <v/>
      </c>
      <c r="G484" s="165" t="str">
        <f aca="false">IF(Salary_Calculation[[#This Row],[Source Row]]="","",Std_Orders/Std_Days*N(Salary_Calculation[[#This Row],[Calendar Days]]))</f>
        <v/>
      </c>
      <c r="H484" s="165" t="str">
        <f aca="false">IF(Salary_Calculation[[#This Row],[Source Row]]="","",IF(N(Salary_Calculation[[#This Row],[Calendar Days]])&gt;0,Salary_Calculation[[#This Row],[Monthly Target Orders]]/N(Salary_Calculation[[#This Row],[Calendar Days]])*N(Salary_Calculation[[#This Row],[Working Days]]),0))</f>
        <v/>
      </c>
      <c r="I484" s="166" t="str">
        <f aca="false">IF(Salary_Calculation[[#This Row],[Source Row]]="","",IF(INDEX(Rider_Input[Completed Orders],Salary_Calculation[[#This Row],[Source Row]])="","",INDEX(Rider_Input[Completed Orders],Salary_Calculation[[#This Row],[Source Row]])))</f>
        <v/>
      </c>
      <c r="J484" s="165" t="str">
        <f aca="false">IF(Salary_Calculation[[#This Row],[Source Row]]="","",IF(Rate_Method="Fixed rate",Fixed_Rate,IF(N(Salary_Calculation[[#This Row],[Basic Payment]])&gt;0,N(Salary_Calculation[[#This Row],[Basic Payment]])/Std_Orders,0)))</f>
        <v/>
      </c>
      <c r="K484" s="165" t="str">
        <f aca="false">IF(Salary_Calculation[[#This Row],[Source Row]]="","",MAX(MIN(N(Salary_Calculation[[#This Row],[Completed Orders]]),Salary_Calculation[[#This Row],[Rider Target Orders]]),0))</f>
        <v/>
      </c>
      <c r="L484" s="164" t="str">
        <f aca="false">IF(Salary_Calculation[[#This Row],[Source Row]]="","",Salary_Calculation[[#This Row],[Orders Counted at Base Rate]]*Salary_Calculation[[#This Row],[Base Order Rate]])</f>
        <v/>
      </c>
      <c r="M484" s="165" t="str">
        <f aca="false">IF(Salary_Calculation[[#This Row],[Source Row]]="","",MAX(Salary_Calculation[[#This Row],[Rider Target Orders]]-N(Salary_Calculation[[#This Row],[Completed Orders]]),0))</f>
        <v/>
      </c>
      <c r="N484" s="164" t="str">
        <f aca="false">IF(Salary_Calculation[[#This Row],[Source Row]]="","",Salary_Calculation[[#This Row],[Missing Orders]]*Missing_Rate)</f>
        <v/>
      </c>
      <c r="O484" s="165" t="str">
        <f aca="false">IF(Salary_Calculation[[#This Row],[Source Row]]="","",MAX(N(Salary_Calculation[[#This Row],[Completed Orders]])-Salary_Calculation[[#This Row],[Rider Target Orders]],0))</f>
        <v/>
      </c>
      <c r="P484" s="164" t="str">
        <f aca="false">IF(Salary_Calculation[[#This Row],[Source Row]]="","",Salary_Calculation[[#This Row],[Extra Orders]]*Extra_Rate)</f>
        <v/>
      </c>
      <c r="Q484" s="164" t="str">
        <f aca="false">IF(Salary_Calculation[[#This Row],[Source Row]]="","",MAX(Salary_Calculation[[#This Row],[Salary Before Other Deductions]],0))</f>
        <v/>
      </c>
      <c r="R484" s="164" t="str">
        <f aca="false">IF(Salary_Calculation[[#This Row],[Source Row]]="","",N(INDEX(Rider_Input[missed_days_penalty],Salary_Calculation[[#This Row],[Source Row]])))</f>
        <v/>
      </c>
      <c r="S484" s="164" t="str">
        <f aca="false">IF(Salary_Calculation[[#This Row],[Source Row]]="","",N(INDEX(Rider_Input[Rider Balance / محفظة المندوب],Salary_Calculation[[#This Row],[Source Row]])))</f>
        <v/>
      </c>
      <c r="T484" s="164" t="str">
        <f aca="false">IF(Salary_Calculation[[#This Row],[Source Row]]="","",N(INDEX(Rider_Input[stacking_deduction / خصم الطلبات المتعددة],Salary_Calculation[[#This Row],[Source Row]])))</f>
        <v/>
      </c>
      <c r="U484" s="164" t="str">
        <f aca="false">IF(Salary_Calculation[[#This Row],[Source Row]]="","",N(INDEX(Rider_Input[Other Deductions],Salary_Calculation[[#This Row],[Source Row]])))</f>
        <v/>
      </c>
      <c r="V484" s="164" t="str">
        <f aca="false">IF(Salary_Calculation[[#This Row],[Source Row]]="","",N(Salary_Calculation[[#This Row],[missed_days_penalty]])+N(Salary_Calculation[[#This Row],[Rider Balance]])+N(Salary_Calculation[[#This Row],[stacking_deduction]])+N(Salary_Calculation[[#This Row],[Other Deductions]]))</f>
        <v/>
      </c>
      <c r="W484" s="167" t="str">
        <f aca="false">IF(Salary_Calculation[[#This Row],[Source Row]]="","",ROUND(MAX(Salary_Calculation[[#This Row],[Gross Salary Before Deductions]]-Salary_Calculation[[#This Row],[Total Deductions]],0),2))</f>
        <v/>
      </c>
      <c r="X484" s="164" t="str">
        <f aca="false">IF(Salary_Calculation[[#This Row],[Source Row]]="","",ROUND(MAX(Salary_Calculation[[#This Row],[Missing-Order Deduction]]-Salary_Calculation[[#This Row],[Earned Salary]],0),2))</f>
        <v/>
      </c>
      <c r="Y48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84" s="163" t="str">
        <f aca="false">IF(Salary_Calculation[[#This Row],[Source Row]]="","",IF(INDEX(Rider_Input[Notes],Salary_Calculation[[#This Row],[Source Row]])="","",INDEX(Rider_Input[Notes],Salary_Calculation[[#This Row],[Source Row]])))</f>
        <v/>
      </c>
      <c r="AA484" s="164" t="str">
        <f aca="false">IF(Salary_Calculation[[#This Row],[Source Row]]="","",Salary_Calculation[[#This Row],[Earned Salary]]-Salary_Calculation[[#This Row],[Missing-Order Deduction]]+Salary_Calculation[[#This Row],[Extra-Order Bonus]])</f>
        <v/>
      </c>
      <c r="AB484" s="164" t="str">
        <f aca="false">IF(Salary_Calculation[[#This Row],[Source Row]]="","",ROUND(Salary_Calculation[[#This Row],[Negative Balance / Amount Due from Rider]]+MAX(Salary_Calculation[[#This Row],[Total Deductions]]-Salary_Calculation[[#This Row],[Gross Salary Before Deductions]],0),2))</f>
        <v/>
      </c>
      <c r="AC48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84" s="164" t="str">
        <f aca="false">IF(Salary_Calculation[[#This Row],[Source Row]]="","",Salary_Calculation[[#This Row],[Rider Target Orders]]*Salary_Calculation[[#This Row],[Base Order Rate]])</f>
        <v/>
      </c>
      <c r="AE484" s="162" t="str">
        <f aca="false">IF(SUMPRODUCT(--(LEN(INDEX(Rider_Input[#Data],ROW()-ROW(Salary_Calculation[#Headers]),0))&gt;0))=0,"",ROW()-ROW(Salary_Calculation[#Headers]))</f>
        <v/>
      </c>
    </row>
    <row r="485" customFormat="false" ht="14.25" hidden="false" customHeight="false" outlineLevel="0" collapsed="false">
      <c r="A485" s="161" t="str">
        <f aca="false">IF(Salary_Calculation[[#This Row],[Source Row]]="","",IF(INDEX(Rider_Input[Salary Month],Salary_Calculation[[#This Row],[Source Row]])="","",INDEX(Rider_Input[Salary Month],Salary_Calculation[[#This Row],[Source Row]])))</f>
        <v/>
      </c>
      <c r="B485" s="162" t="str">
        <f aca="false">IF(Salary_Calculation[[#This Row],[Source Row]]="","",IF(INDEX(Rider_Input[Rider ID],Salary_Calculation[[#This Row],[Source Row]])="","",INDEX(Rider_Input[Rider ID],Salary_Calculation[[#This Row],[Source Row]])))</f>
        <v/>
      </c>
      <c r="C485" s="163" t="str">
        <f aca="false">IF(Salary_Calculation[[#This Row],[Source Row]]="","",IF(INDEX(Rider_Input[Rider Name],Salary_Calculation[[#This Row],[Source Row]])="","",INDEX(Rider_Input[Rider Name],Salary_Calculation[[#This Row],[Source Row]])))</f>
        <v/>
      </c>
      <c r="D485" s="164" t="str">
        <f aca="false">IF(Salary_Calculation[[#This Row],[Source Row]]="","",IF(INDEX(Rider_Input[Basic Payment],Salary_Calculation[[#This Row],[Source Row]])="","",INDEX(Rider_Input[Basic Payment],Salary_Calculation[[#This Row],[Source Row]])))</f>
        <v/>
      </c>
      <c r="E485" s="162" t="str">
        <f aca="false">IF(Salary_Calculation[[#This Row],[Source Row]]="","",IF(INDEX(Rider_Input[Calendar Days in Month],Salary_Calculation[[#This Row],[Source Row]])="","",INDEX(Rider_Input[Calendar Days in Month],Salary_Calculation[[#This Row],[Source Row]])))</f>
        <v/>
      </c>
      <c r="F485" s="162" t="str">
        <f aca="false">IF(Salary_Calculation[[#This Row],[Source Row]]="","",IF(INDEX(Rider_Input[Working Days],Salary_Calculation[[#This Row],[Source Row]])="","",INDEX(Rider_Input[Working Days],Salary_Calculation[[#This Row],[Source Row]])))</f>
        <v/>
      </c>
      <c r="G485" s="165" t="str">
        <f aca="false">IF(Salary_Calculation[[#This Row],[Source Row]]="","",Std_Orders/Std_Days*N(Salary_Calculation[[#This Row],[Calendar Days]]))</f>
        <v/>
      </c>
      <c r="H485" s="165" t="str">
        <f aca="false">IF(Salary_Calculation[[#This Row],[Source Row]]="","",IF(N(Salary_Calculation[[#This Row],[Calendar Days]])&gt;0,Salary_Calculation[[#This Row],[Monthly Target Orders]]/N(Salary_Calculation[[#This Row],[Calendar Days]])*N(Salary_Calculation[[#This Row],[Working Days]]),0))</f>
        <v/>
      </c>
      <c r="I485" s="166" t="str">
        <f aca="false">IF(Salary_Calculation[[#This Row],[Source Row]]="","",IF(INDEX(Rider_Input[Completed Orders],Salary_Calculation[[#This Row],[Source Row]])="","",INDEX(Rider_Input[Completed Orders],Salary_Calculation[[#This Row],[Source Row]])))</f>
        <v/>
      </c>
      <c r="J485" s="165" t="str">
        <f aca="false">IF(Salary_Calculation[[#This Row],[Source Row]]="","",IF(Rate_Method="Fixed rate",Fixed_Rate,IF(N(Salary_Calculation[[#This Row],[Basic Payment]])&gt;0,N(Salary_Calculation[[#This Row],[Basic Payment]])/Std_Orders,0)))</f>
        <v/>
      </c>
      <c r="K485" s="165" t="str">
        <f aca="false">IF(Salary_Calculation[[#This Row],[Source Row]]="","",MAX(MIN(N(Salary_Calculation[[#This Row],[Completed Orders]]),Salary_Calculation[[#This Row],[Rider Target Orders]]),0))</f>
        <v/>
      </c>
      <c r="L485" s="164" t="str">
        <f aca="false">IF(Salary_Calculation[[#This Row],[Source Row]]="","",Salary_Calculation[[#This Row],[Orders Counted at Base Rate]]*Salary_Calculation[[#This Row],[Base Order Rate]])</f>
        <v/>
      </c>
      <c r="M485" s="165" t="str">
        <f aca="false">IF(Salary_Calculation[[#This Row],[Source Row]]="","",MAX(Salary_Calculation[[#This Row],[Rider Target Orders]]-N(Salary_Calculation[[#This Row],[Completed Orders]]),0))</f>
        <v/>
      </c>
      <c r="N485" s="164" t="str">
        <f aca="false">IF(Salary_Calculation[[#This Row],[Source Row]]="","",Salary_Calculation[[#This Row],[Missing Orders]]*Missing_Rate)</f>
        <v/>
      </c>
      <c r="O485" s="165" t="str">
        <f aca="false">IF(Salary_Calculation[[#This Row],[Source Row]]="","",MAX(N(Salary_Calculation[[#This Row],[Completed Orders]])-Salary_Calculation[[#This Row],[Rider Target Orders]],0))</f>
        <v/>
      </c>
      <c r="P485" s="164" t="str">
        <f aca="false">IF(Salary_Calculation[[#This Row],[Source Row]]="","",Salary_Calculation[[#This Row],[Extra Orders]]*Extra_Rate)</f>
        <v/>
      </c>
      <c r="Q485" s="164" t="str">
        <f aca="false">IF(Salary_Calculation[[#This Row],[Source Row]]="","",MAX(Salary_Calculation[[#This Row],[Salary Before Other Deductions]],0))</f>
        <v/>
      </c>
      <c r="R485" s="164" t="str">
        <f aca="false">IF(Salary_Calculation[[#This Row],[Source Row]]="","",N(INDEX(Rider_Input[missed_days_penalty],Salary_Calculation[[#This Row],[Source Row]])))</f>
        <v/>
      </c>
      <c r="S485" s="164" t="str">
        <f aca="false">IF(Salary_Calculation[[#This Row],[Source Row]]="","",N(INDEX(Rider_Input[Rider Balance / محفظة المندوب],Salary_Calculation[[#This Row],[Source Row]])))</f>
        <v/>
      </c>
      <c r="T485" s="164" t="str">
        <f aca="false">IF(Salary_Calculation[[#This Row],[Source Row]]="","",N(INDEX(Rider_Input[stacking_deduction / خصم الطلبات المتعددة],Salary_Calculation[[#This Row],[Source Row]])))</f>
        <v/>
      </c>
      <c r="U485" s="164" t="str">
        <f aca="false">IF(Salary_Calculation[[#This Row],[Source Row]]="","",N(INDEX(Rider_Input[Other Deductions],Salary_Calculation[[#This Row],[Source Row]])))</f>
        <v/>
      </c>
      <c r="V485" s="164" t="str">
        <f aca="false">IF(Salary_Calculation[[#This Row],[Source Row]]="","",N(Salary_Calculation[[#This Row],[missed_days_penalty]])+N(Salary_Calculation[[#This Row],[Rider Balance]])+N(Salary_Calculation[[#This Row],[stacking_deduction]])+N(Salary_Calculation[[#This Row],[Other Deductions]]))</f>
        <v/>
      </c>
      <c r="W485" s="167" t="str">
        <f aca="false">IF(Salary_Calculation[[#This Row],[Source Row]]="","",ROUND(MAX(Salary_Calculation[[#This Row],[Gross Salary Before Deductions]]-Salary_Calculation[[#This Row],[Total Deductions]],0),2))</f>
        <v/>
      </c>
      <c r="X485" s="164" t="str">
        <f aca="false">IF(Salary_Calculation[[#This Row],[Source Row]]="","",ROUND(MAX(Salary_Calculation[[#This Row],[Missing-Order Deduction]]-Salary_Calculation[[#This Row],[Earned Salary]],0),2))</f>
        <v/>
      </c>
      <c r="Y48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85" s="163" t="str">
        <f aca="false">IF(Salary_Calculation[[#This Row],[Source Row]]="","",IF(INDEX(Rider_Input[Notes],Salary_Calculation[[#This Row],[Source Row]])="","",INDEX(Rider_Input[Notes],Salary_Calculation[[#This Row],[Source Row]])))</f>
        <v/>
      </c>
      <c r="AA485" s="164" t="str">
        <f aca="false">IF(Salary_Calculation[[#This Row],[Source Row]]="","",Salary_Calculation[[#This Row],[Earned Salary]]-Salary_Calculation[[#This Row],[Missing-Order Deduction]]+Salary_Calculation[[#This Row],[Extra-Order Bonus]])</f>
        <v/>
      </c>
      <c r="AB485" s="164" t="str">
        <f aca="false">IF(Salary_Calculation[[#This Row],[Source Row]]="","",ROUND(Salary_Calculation[[#This Row],[Negative Balance / Amount Due from Rider]]+MAX(Salary_Calculation[[#This Row],[Total Deductions]]-Salary_Calculation[[#This Row],[Gross Salary Before Deductions]],0),2))</f>
        <v/>
      </c>
      <c r="AC48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85" s="164" t="str">
        <f aca="false">IF(Salary_Calculation[[#This Row],[Source Row]]="","",Salary_Calculation[[#This Row],[Rider Target Orders]]*Salary_Calculation[[#This Row],[Base Order Rate]])</f>
        <v/>
      </c>
      <c r="AE485" s="162" t="str">
        <f aca="false">IF(SUMPRODUCT(--(LEN(INDEX(Rider_Input[#Data],ROW()-ROW(Salary_Calculation[#Headers]),0))&gt;0))=0,"",ROW()-ROW(Salary_Calculation[#Headers]))</f>
        <v/>
      </c>
    </row>
    <row r="486" customFormat="false" ht="14.25" hidden="false" customHeight="false" outlineLevel="0" collapsed="false">
      <c r="A486" s="161" t="str">
        <f aca="false">IF(Salary_Calculation[[#This Row],[Source Row]]="","",IF(INDEX(Rider_Input[Salary Month],Salary_Calculation[[#This Row],[Source Row]])="","",INDEX(Rider_Input[Salary Month],Salary_Calculation[[#This Row],[Source Row]])))</f>
        <v/>
      </c>
      <c r="B486" s="162" t="str">
        <f aca="false">IF(Salary_Calculation[[#This Row],[Source Row]]="","",IF(INDEX(Rider_Input[Rider ID],Salary_Calculation[[#This Row],[Source Row]])="","",INDEX(Rider_Input[Rider ID],Salary_Calculation[[#This Row],[Source Row]])))</f>
        <v/>
      </c>
      <c r="C486" s="163" t="str">
        <f aca="false">IF(Salary_Calculation[[#This Row],[Source Row]]="","",IF(INDEX(Rider_Input[Rider Name],Salary_Calculation[[#This Row],[Source Row]])="","",INDEX(Rider_Input[Rider Name],Salary_Calculation[[#This Row],[Source Row]])))</f>
        <v/>
      </c>
      <c r="D486" s="164" t="str">
        <f aca="false">IF(Salary_Calculation[[#This Row],[Source Row]]="","",IF(INDEX(Rider_Input[Basic Payment],Salary_Calculation[[#This Row],[Source Row]])="","",INDEX(Rider_Input[Basic Payment],Salary_Calculation[[#This Row],[Source Row]])))</f>
        <v/>
      </c>
      <c r="E486" s="162" t="str">
        <f aca="false">IF(Salary_Calculation[[#This Row],[Source Row]]="","",IF(INDEX(Rider_Input[Calendar Days in Month],Salary_Calculation[[#This Row],[Source Row]])="","",INDEX(Rider_Input[Calendar Days in Month],Salary_Calculation[[#This Row],[Source Row]])))</f>
        <v/>
      </c>
      <c r="F486" s="162" t="str">
        <f aca="false">IF(Salary_Calculation[[#This Row],[Source Row]]="","",IF(INDEX(Rider_Input[Working Days],Salary_Calculation[[#This Row],[Source Row]])="","",INDEX(Rider_Input[Working Days],Salary_Calculation[[#This Row],[Source Row]])))</f>
        <v/>
      </c>
      <c r="G486" s="165" t="str">
        <f aca="false">IF(Salary_Calculation[[#This Row],[Source Row]]="","",Std_Orders/Std_Days*N(Salary_Calculation[[#This Row],[Calendar Days]]))</f>
        <v/>
      </c>
      <c r="H486" s="165" t="str">
        <f aca="false">IF(Salary_Calculation[[#This Row],[Source Row]]="","",IF(N(Salary_Calculation[[#This Row],[Calendar Days]])&gt;0,Salary_Calculation[[#This Row],[Monthly Target Orders]]/N(Salary_Calculation[[#This Row],[Calendar Days]])*N(Salary_Calculation[[#This Row],[Working Days]]),0))</f>
        <v/>
      </c>
      <c r="I486" s="166" t="str">
        <f aca="false">IF(Salary_Calculation[[#This Row],[Source Row]]="","",IF(INDEX(Rider_Input[Completed Orders],Salary_Calculation[[#This Row],[Source Row]])="","",INDEX(Rider_Input[Completed Orders],Salary_Calculation[[#This Row],[Source Row]])))</f>
        <v/>
      </c>
      <c r="J486" s="165" t="str">
        <f aca="false">IF(Salary_Calculation[[#This Row],[Source Row]]="","",IF(Rate_Method="Fixed rate",Fixed_Rate,IF(N(Salary_Calculation[[#This Row],[Basic Payment]])&gt;0,N(Salary_Calculation[[#This Row],[Basic Payment]])/Std_Orders,0)))</f>
        <v/>
      </c>
      <c r="K486" s="165" t="str">
        <f aca="false">IF(Salary_Calculation[[#This Row],[Source Row]]="","",MAX(MIN(N(Salary_Calculation[[#This Row],[Completed Orders]]),Salary_Calculation[[#This Row],[Rider Target Orders]]),0))</f>
        <v/>
      </c>
      <c r="L486" s="164" t="str">
        <f aca="false">IF(Salary_Calculation[[#This Row],[Source Row]]="","",Salary_Calculation[[#This Row],[Orders Counted at Base Rate]]*Salary_Calculation[[#This Row],[Base Order Rate]])</f>
        <v/>
      </c>
      <c r="M486" s="165" t="str">
        <f aca="false">IF(Salary_Calculation[[#This Row],[Source Row]]="","",MAX(Salary_Calculation[[#This Row],[Rider Target Orders]]-N(Salary_Calculation[[#This Row],[Completed Orders]]),0))</f>
        <v/>
      </c>
      <c r="N486" s="164" t="str">
        <f aca="false">IF(Salary_Calculation[[#This Row],[Source Row]]="","",Salary_Calculation[[#This Row],[Missing Orders]]*Missing_Rate)</f>
        <v/>
      </c>
      <c r="O486" s="165" t="str">
        <f aca="false">IF(Salary_Calculation[[#This Row],[Source Row]]="","",MAX(N(Salary_Calculation[[#This Row],[Completed Orders]])-Salary_Calculation[[#This Row],[Rider Target Orders]],0))</f>
        <v/>
      </c>
      <c r="P486" s="164" t="str">
        <f aca="false">IF(Salary_Calculation[[#This Row],[Source Row]]="","",Salary_Calculation[[#This Row],[Extra Orders]]*Extra_Rate)</f>
        <v/>
      </c>
      <c r="Q486" s="164" t="str">
        <f aca="false">IF(Salary_Calculation[[#This Row],[Source Row]]="","",MAX(Salary_Calculation[[#This Row],[Salary Before Other Deductions]],0))</f>
        <v/>
      </c>
      <c r="R486" s="164" t="str">
        <f aca="false">IF(Salary_Calculation[[#This Row],[Source Row]]="","",N(INDEX(Rider_Input[missed_days_penalty],Salary_Calculation[[#This Row],[Source Row]])))</f>
        <v/>
      </c>
      <c r="S486" s="164" t="str">
        <f aca="false">IF(Salary_Calculation[[#This Row],[Source Row]]="","",N(INDEX(Rider_Input[Rider Balance / محفظة المندوب],Salary_Calculation[[#This Row],[Source Row]])))</f>
        <v/>
      </c>
      <c r="T486" s="164" t="str">
        <f aca="false">IF(Salary_Calculation[[#This Row],[Source Row]]="","",N(INDEX(Rider_Input[stacking_deduction / خصم الطلبات المتعددة],Salary_Calculation[[#This Row],[Source Row]])))</f>
        <v/>
      </c>
      <c r="U486" s="164" t="str">
        <f aca="false">IF(Salary_Calculation[[#This Row],[Source Row]]="","",N(INDEX(Rider_Input[Other Deductions],Salary_Calculation[[#This Row],[Source Row]])))</f>
        <v/>
      </c>
      <c r="V486" s="164" t="str">
        <f aca="false">IF(Salary_Calculation[[#This Row],[Source Row]]="","",N(Salary_Calculation[[#This Row],[missed_days_penalty]])+N(Salary_Calculation[[#This Row],[Rider Balance]])+N(Salary_Calculation[[#This Row],[stacking_deduction]])+N(Salary_Calculation[[#This Row],[Other Deductions]]))</f>
        <v/>
      </c>
      <c r="W486" s="167" t="str">
        <f aca="false">IF(Salary_Calculation[[#This Row],[Source Row]]="","",ROUND(MAX(Salary_Calculation[[#This Row],[Gross Salary Before Deductions]]-Salary_Calculation[[#This Row],[Total Deductions]],0),2))</f>
        <v/>
      </c>
      <c r="X486" s="164" t="str">
        <f aca="false">IF(Salary_Calculation[[#This Row],[Source Row]]="","",ROUND(MAX(Salary_Calculation[[#This Row],[Missing-Order Deduction]]-Salary_Calculation[[#This Row],[Earned Salary]],0),2))</f>
        <v/>
      </c>
      <c r="Y48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86" s="163" t="str">
        <f aca="false">IF(Salary_Calculation[[#This Row],[Source Row]]="","",IF(INDEX(Rider_Input[Notes],Salary_Calculation[[#This Row],[Source Row]])="","",INDEX(Rider_Input[Notes],Salary_Calculation[[#This Row],[Source Row]])))</f>
        <v/>
      </c>
      <c r="AA486" s="164" t="str">
        <f aca="false">IF(Salary_Calculation[[#This Row],[Source Row]]="","",Salary_Calculation[[#This Row],[Earned Salary]]-Salary_Calculation[[#This Row],[Missing-Order Deduction]]+Salary_Calculation[[#This Row],[Extra-Order Bonus]])</f>
        <v/>
      </c>
      <c r="AB486" s="164" t="str">
        <f aca="false">IF(Salary_Calculation[[#This Row],[Source Row]]="","",ROUND(Salary_Calculation[[#This Row],[Negative Balance / Amount Due from Rider]]+MAX(Salary_Calculation[[#This Row],[Total Deductions]]-Salary_Calculation[[#This Row],[Gross Salary Before Deductions]],0),2))</f>
        <v/>
      </c>
      <c r="AC48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86" s="164" t="str">
        <f aca="false">IF(Salary_Calculation[[#This Row],[Source Row]]="","",Salary_Calculation[[#This Row],[Rider Target Orders]]*Salary_Calculation[[#This Row],[Base Order Rate]])</f>
        <v/>
      </c>
      <c r="AE486" s="162" t="str">
        <f aca="false">IF(SUMPRODUCT(--(LEN(INDEX(Rider_Input[#Data],ROW()-ROW(Salary_Calculation[#Headers]),0))&gt;0))=0,"",ROW()-ROW(Salary_Calculation[#Headers]))</f>
        <v/>
      </c>
    </row>
    <row r="487" customFormat="false" ht="14.25" hidden="false" customHeight="false" outlineLevel="0" collapsed="false">
      <c r="A487" s="161" t="str">
        <f aca="false">IF(Salary_Calculation[[#This Row],[Source Row]]="","",IF(INDEX(Rider_Input[Salary Month],Salary_Calculation[[#This Row],[Source Row]])="","",INDEX(Rider_Input[Salary Month],Salary_Calculation[[#This Row],[Source Row]])))</f>
        <v/>
      </c>
      <c r="B487" s="162" t="str">
        <f aca="false">IF(Salary_Calculation[[#This Row],[Source Row]]="","",IF(INDEX(Rider_Input[Rider ID],Salary_Calculation[[#This Row],[Source Row]])="","",INDEX(Rider_Input[Rider ID],Salary_Calculation[[#This Row],[Source Row]])))</f>
        <v/>
      </c>
      <c r="C487" s="163" t="str">
        <f aca="false">IF(Salary_Calculation[[#This Row],[Source Row]]="","",IF(INDEX(Rider_Input[Rider Name],Salary_Calculation[[#This Row],[Source Row]])="","",INDEX(Rider_Input[Rider Name],Salary_Calculation[[#This Row],[Source Row]])))</f>
        <v/>
      </c>
      <c r="D487" s="164" t="str">
        <f aca="false">IF(Salary_Calculation[[#This Row],[Source Row]]="","",IF(INDEX(Rider_Input[Basic Payment],Salary_Calculation[[#This Row],[Source Row]])="","",INDEX(Rider_Input[Basic Payment],Salary_Calculation[[#This Row],[Source Row]])))</f>
        <v/>
      </c>
      <c r="E487" s="162" t="str">
        <f aca="false">IF(Salary_Calculation[[#This Row],[Source Row]]="","",IF(INDEX(Rider_Input[Calendar Days in Month],Salary_Calculation[[#This Row],[Source Row]])="","",INDEX(Rider_Input[Calendar Days in Month],Salary_Calculation[[#This Row],[Source Row]])))</f>
        <v/>
      </c>
      <c r="F487" s="162" t="str">
        <f aca="false">IF(Salary_Calculation[[#This Row],[Source Row]]="","",IF(INDEX(Rider_Input[Working Days],Salary_Calculation[[#This Row],[Source Row]])="","",INDEX(Rider_Input[Working Days],Salary_Calculation[[#This Row],[Source Row]])))</f>
        <v/>
      </c>
      <c r="G487" s="165" t="str">
        <f aca="false">IF(Salary_Calculation[[#This Row],[Source Row]]="","",Std_Orders/Std_Days*N(Salary_Calculation[[#This Row],[Calendar Days]]))</f>
        <v/>
      </c>
      <c r="H487" s="165" t="str">
        <f aca="false">IF(Salary_Calculation[[#This Row],[Source Row]]="","",IF(N(Salary_Calculation[[#This Row],[Calendar Days]])&gt;0,Salary_Calculation[[#This Row],[Monthly Target Orders]]/N(Salary_Calculation[[#This Row],[Calendar Days]])*N(Salary_Calculation[[#This Row],[Working Days]]),0))</f>
        <v/>
      </c>
      <c r="I487" s="166" t="str">
        <f aca="false">IF(Salary_Calculation[[#This Row],[Source Row]]="","",IF(INDEX(Rider_Input[Completed Orders],Salary_Calculation[[#This Row],[Source Row]])="","",INDEX(Rider_Input[Completed Orders],Salary_Calculation[[#This Row],[Source Row]])))</f>
        <v/>
      </c>
      <c r="J487" s="165" t="str">
        <f aca="false">IF(Salary_Calculation[[#This Row],[Source Row]]="","",IF(Rate_Method="Fixed rate",Fixed_Rate,IF(N(Salary_Calculation[[#This Row],[Basic Payment]])&gt;0,N(Salary_Calculation[[#This Row],[Basic Payment]])/Std_Orders,0)))</f>
        <v/>
      </c>
      <c r="K487" s="165" t="str">
        <f aca="false">IF(Salary_Calculation[[#This Row],[Source Row]]="","",MAX(MIN(N(Salary_Calculation[[#This Row],[Completed Orders]]),Salary_Calculation[[#This Row],[Rider Target Orders]]),0))</f>
        <v/>
      </c>
      <c r="L487" s="164" t="str">
        <f aca="false">IF(Salary_Calculation[[#This Row],[Source Row]]="","",Salary_Calculation[[#This Row],[Orders Counted at Base Rate]]*Salary_Calculation[[#This Row],[Base Order Rate]])</f>
        <v/>
      </c>
      <c r="M487" s="165" t="str">
        <f aca="false">IF(Salary_Calculation[[#This Row],[Source Row]]="","",MAX(Salary_Calculation[[#This Row],[Rider Target Orders]]-N(Salary_Calculation[[#This Row],[Completed Orders]]),0))</f>
        <v/>
      </c>
      <c r="N487" s="164" t="str">
        <f aca="false">IF(Salary_Calculation[[#This Row],[Source Row]]="","",Salary_Calculation[[#This Row],[Missing Orders]]*Missing_Rate)</f>
        <v/>
      </c>
      <c r="O487" s="165" t="str">
        <f aca="false">IF(Salary_Calculation[[#This Row],[Source Row]]="","",MAX(N(Salary_Calculation[[#This Row],[Completed Orders]])-Salary_Calculation[[#This Row],[Rider Target Orders]],0))</f>
        <v/>
      </c>
      <c r="P487" s="164" t="str">
        <f aca="false">IF(Salary_Calculation[[#This Row],[Source Row]]="","",Salary_Calculation[[#This Row],[Extra Orders]]*Extra_Rate)</f>
        <v/>
      </c>
      <c r="Q487" s="164" t="str">
        <f aca="false">IF(Salary_Calculation[[#This Row],[Source Row]]="","",MAX(Salary_Calculation[[#This Row],[Salary Before Other Deductions]],0))</f>
        <v/>
      </c>
      <c r="R487" s="164" t="str">
        <f aca="false">IF(Salary_Calculation[[#This Row],[Source Row]]="","",N(INDEX(Rider_Input[missed_days_penalty],Salary_Calculation[[#This Row],[Source Row]])))</f>
        <v/>
      </c>
      <c r="S487" s="164" t="str">
        <f aca="false">IF(Salary_Calculation[[#This Row],[Source Row]]="","",N(INDEX(Rider_Input[Rider Balance / محفظة المندوب],Salary_Calculation[[#This Row],[Source Row]])))</f>
        <v/>
      </c>
      <c r="T487" s="164" t="str">
        <f aca="false">IF(Salary_Calculation[[#This Row],[Source Row]]="","",N(INDEX(Rider_Input[stacking_deduction / خصم الطلبات المتعددة],Salary_Calculation[[#This Row],[Source Row]])))</f>
        <v/>
      </c>
      <c r="U487" s="164" t="str">
        <f aca="false">IF(Salary_Calculation[[#This Row],[Source Row]]="","",N(INDEX(Rider_Input[Other Deductions],Salary_Calculation[[#This Row],[Source Row]])))</f>
        <v/>
      </c>
      <c r="V487" s="164" t="str">
        <f aca="false">IF(Salary_Calculation[[#This Row],[Source Row]]="","",N(Salary_Calculation[[#This Row],[missed_days_penalty]])+N(Salary_Calculation[[#This Row],[Rider Balance]])+N(Salary_Calculation[[#This Row],[stacking_deduction]])+N(Salary_Calculation[[#This Row],[Other Deductions]]))</f>
        <v/>
      </c>
      <c r="W487" s="167" t="str">
        <f aca="false">IF(Salary_Calculation[[#This Row],[Source Row]]="","",ROUND(MAX(Salary_Calculation[[#This Row],[Gross Salary Before Deductions]]-Salary_Calculation[[#This Row],[Total Deductions]],0),2))</f>
        <v/>
      </c>
      <c r="X487" s="164" t="str">
        <f aca="false">IF(Salary_Calculation[[#This Row],[Source Row]]="","",ROUND(MAX(Salary_Calculation[[#This Row],[Missing-Order Deduction]]-Salary_Calculation[[#This Row],[Earned Salary]],0),2))</f>
        <v/>
      </c>
      <c r="Y48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87" s="163" t="str">
        <f aca="false">IF(Salary_Calculation[[#This Row],[Source Row]]="","",IF(INDEX(Rider_Input[Notes],Salary_Calculation[[#This Row],[Source Row]])="","",INDEX(Rider_Input[Notes],Salary_Calculation[[#This Row],[Source Row]])))</f>
        <v/>
      </c>
      <c r="AA487" s="164" t="str">
        <f aca="false">IF(Salary_Calculation[[#This Row],[Source Row]]="","",Salary_Calculation[[#This Row],[Earned Salary]]-Salary_Calculation[[#This Row],[Missing-Order Deduction]]+Salary_Calculation[[#This Row],[Extra-Order Bonus]])</f>
        <v/>
      </c>
      <c r="AB487" s="164" t="str">
        <f aca="false">IF(Salary_Calculation[[#This Row],[Source Row]]="","",ROUND(Salary_Calculation[[#This Row],[Negative Balance / Amount Due from Rider]]+MAX(Salary_Calculation[[#This Row],[Total Deductions]]-Salary_Calculation[[#This Row],[Gross Salary Before Deductions]],0),2))</f>
        <v/>
      </c>
      <c r="AC48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87" s="164" t="str">
        <f aca="false">IF(Salary_Calculation[[#This Row],[Source Row]]="","",Salary_Calculation[[#This Row],[Rider Target Orders]]*Salary_Calculation[[#This Row],[Base Order Rate]])</f>
        <v/>
      </c>
      <c r="AE487" s="162" t="str">
        <f aca="false">IF(SUMPRODUCT(--(LEN(INDEX(Rider_Input[#Data],ROW()-ROW(Salary_Calculation[#Headers]),0))&gt;0))=0,"",ROW()-ROW(Salary_Calculation[#Headers]))</f>
        <v/>
      </c>
    </row>
    <row r="488" customFormat="false" ht="14.25" hidden="false" customHeight="false" outlineLevel="0" collapsed="false">
      <c r="A488" s="161" t="str">
        <f aca="false">IF(Salary_Calculation[[#This Row],[Source Row]]="","",IF(INDEX(Rider_Input[Salary Month],Salary_Calculation[[#This Row],[Source Row]])="","",INDEX(Rider_Input[Salary Month],Salary_Calculation[[#This Row],[Source Row]])))</f>
        <v/>
      </c>
      <c r="B488" s="162" t="str">
        <f aca="false">IF(Salary_Calculation[[#This Row],[Source Row]]="","",IF(INDEX(Rider_Input[Rider ID],Salary_Calculation[[#This Row],[Source Row]])="","",INDEX(Rider_Input[Rider ID],Salary_Calculation[[#This Row],[Source Row]])))</f>
        <v/>
      </c>
      <c r="C488" s="163" t="str">
        <f aca="false">IF(Salary_Calculation[[#This Row],[Source Row]]="","",IF(INDEX(Rider_Input[Rider Name],Salary_Calculation[[#This Row],[Source Row]])="","",INDEX(Rider_Input[Rider Name],Salary_Calculation[[#This Row],[Source Row]])))</f>
        <v/>
      </c>
      <c r="D488" s="164" t="str">
        <f aca="false">IF(Salary_Calculation[[#This Row],[Source Row]]="","",IF(INDEX(Rider_Input[Basic Payment],Salary_Calculation[[#This Row],[Source Row]])="","",INDEX(Rider_Input[Basic Payment],Salary_Calculation[[#This Row],[Source Row]])))</f>
        <v/>
      </c>
      <c r="E488" s="162" t="str">
        <f aca="false">IF(Salary_Calculation[[#This Row],[Source Row]]="","",IF(INDEX(Rider_Input[Calendar Days in Month],Salary_Calculation[[#This Row],[Source Row]])="","",INDEX(Rider_Input[Calendar Days in Month],Salary_Calculation[[#This Row],[Source Row]])))</f>
        <v/>
      </c>
      <c r="F488" s="162" t="str">
        <f aca="false">IF(Salary_Calculation[[#This Row],[Source Row]]="","",IF(INDEX(Rider_Input[Working Days],Salary_Calculation[[#This Row],[Source Row]])="","",INDEX(Rider_Input[Working Days],Salary_Calculation[[#This Row],[Source Row]])))</f>
        <v/>
      </c>
      <c r="G488" s="165" t="str">
        <f aca="false">IF(Salary_Calculation[[#This Row],[Source Row]]="","",Std_Orders/Std_Days*N(Salary_Calculation[[#This Row],[Calendar Days]]))</f>
        <v/>
      </c>
      <c r="H488" s="165" t="str">
        <f aca="false">IF(Salary_Calculation[[#This Row],[Source Row]]="","",IF(N(Salary_Calculation[[#This Row],[Calendar Days]])&gt;0,Salary_Calculation[[#This Row],[Monthly Target Orders]]/N(Salary_Calculation[[#This Row],[Calendar Days]])*N(Salary_Calculation[[#This Row],[Working Days]]),0))</f>
        <v/>
      </c>
      <c r="I488" s="166" t="str">
        <f aca="false">IF(Salary_Calculation[[#This Row],[Source Row]]="","",IF(INDEX(Rider_Input[Completed Orders],Salary_Calculation[[#This Row],[Source Row]])="","",INDEX(Rider_Input[Completed Orders],Salary_Calculation[[#This Row],[Source Row]])))</f>
        <v/>
      </c>
      <c r="J488" s="165" t="str">
        <f aca="false">IF(Salary_Calculation[[#This Row],[Source Row]]="","",IF(Rate_Method="Fixed rate",Fixed_Rate,IF(N(Salary_Calculation[[#This Row],[Basic Payment]])&gt;0,N(Salary_Calculation[[#This Row],[Basic Payment]])/Std_Orders,0)))</f>
        <v/>
      </c>
      <c r="K488" s="165" t="str">
        <f aca="false">IF(Salary_Calculation[[#This Row],[Source Row]]="","",MAX(MIN(N(Salary_Calculation[[#This Row],[Completed Orders]]),Salary_Calculation[[#This Row],[Rider Target Orders]]),0))</f>
        <v/>
      </c>
      <c r="L488" s="164" t="str">
        <f aca="false">IF(Salary_Calculation[[#This Row],[Source Row]]="","",Salary_Calculation[[#This Row],[Orders Counted at Base Rate]]*Salary_Calculation[[#This Row],[Base Order Rate]])</f>
        <v/>
      </c>
      <c r="M488" s="165" t="str">
        <f aca="false">IF(Salary_Calculation[[#This Row],[Source Row]]="","",MAX(Salary_Calculation[[#This Row],[Rider Target Orders]]-N(Salary_Calculation[[#This Row],[Completed Orders]]),0))</f>
        <v/>
      </c>
      <c r="N488" s="164" t="str">
        <f aca="false">IF(Salary_Calculation[[#This Row],[Source Row]]="","",Salary_Calculation[[#This Row],[Missing Orders]]*Missing_Rate)</f>
        <v/>
      </c>
      <c r="O488" s="165" t="str">
        <f aca="false">IF(Salary_Calculation[[#This Row],[Source Row]]="","",MAX(N(Salary_Calculation[[#This Row],[Completed Orders]])-Salary_Calculation[[#This Row],[Rider Target Orders]],0))</f>
        <v/>
      </c>
      <c r="P488" s="164" t="str">
        <f aca="false">IF(Salary_Calculation[[#This Row],[Source Row]]="","",Salary_Calculation[[#This Row],[Extra Orders]]*Extra_Rate)</f>
        <v/>
      </c>
      <c r="Q488" s="164" t="str">
        <f aca="false">IF(Salary_Calculation[[#This Row],[Source Row]]="","",MAX(Salary_Calculation[[#This Row],[Salary Before Other Deductions]],0))</f>
        <v/>
      </c>
      <c r="R488" s="164" t="str">
        <f aca="false">IF(Salary_Calculation[[#This Row],[Source Row]]="","",N(INDEX(Rider_Input[missed_days_penalty],Salary_Calculation[[#This Row],[Source Row]])))</f>
        <v/>
      </c>
      <c r="S488" s="164" t="str">
        <f aca="false">IF(Salary_Calculation[[#This Row],[Source Row]]="","",N(INDEX(Rider_Input[Rider Balance / محفظة المندوب],Salary_Calculation[[#This Row],[Source Row]])))</f>
        <v/>
      </c>
      <c r="T488" s="164" t="str">
        <f aca="false">IF(Salary_Calculation[[#This Row],[Source Row]]="","",N(INDEX(Rider_Input[stacking_deduction / خصم الطلبات المتعددة],Salary_Calculation[[#This Row],[Source Row]])))</f>
        <v/>
      </c>
      <c r="U488" s="164" t="str">
        <f aca="false">IF(Salary_Calculation[[#This Row],[Source Row]]="","",N(INDEX(Rider_Input[Other Deductions],Salary_Calculation[[#This Row],[Source Row]])))</f>
        <v/>
      </c>
      <c r="V488" s="164" t="str">
        <f aca="false">IF(Salary_Calculation[[#This Row],[Source Row]]="","",N(Salary_Calculation[[#This Row],[missed_days_penalty]])+N(Salary_Calculation[[#This Row],[Rider Balance]])+N(Salary_Calculation[[#This Row],[stacking_deduction]])+N(Salary_Calculation[[#This Row],[Other Deductions]]))</f>
        <v/>
      </c>
      <c r="W488" s="167" t="str">
        <f aca="false">IF(Salary_Calculation[[#This Row],[Source Row]]="","",ROUND(MAX(Salary_Calculation[[#This Row],[Gross Salary Before Deductions]]-Salary_Calculation[[#This Row],[Total Deductions]],0),2))</f>
        <v/>
      </c>
      <c r="X488" s="164" t="str">
        <f aca="false">IF(Salary_Calculation[[#This Row],[Source Row]]="","",ROUND(MAX(Salary_Calculation[[#This Row],[Missing-Order Deduction]]-Salary_Calculation[[#This Row],[Earned Salary]],0),2))</f>
        <v/>
      </c>
      <c r="Y48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88" s="163" t="str">
        <f aca="false">IF(Salary_Calculation[[#This Row],[Source Row]]="","",IF(INDEX(Rider_Input[Notes],Salary_Calculation[[#This Row],[Source Row]])="","",INDEX(Rider_Input[Notes],Salary_Calculation[[#This Row],[Source Row]])))</f>
        <v/>
      </c>
      <c r="AA488" s="164" t="str">
        <f aca="false">IF(Salary_Calculation[[#This Row],[Source Row]]="","",Salary_Calculation[[#This Row],[Earned Salary]]-Salary_Calculation[[#This Row],[Missing-Order Deduction]]+Salary_Calculation[[#This Row],[Extra-Order Bonus]])</f>
        <v/>
      </c>
      <c r="AB488" s="164" t="str">
        <f aca="false">IF(Salary_Calculation[[#This Row],[Source Row]]="","",ROUND(Salary_Calculation[[#This Row],[Negative Balance / Amount Due from Rider]]+MAX(Salary_Calculation[[#This Row],[Total Deductions]]-Salary_Calculation[[#This Row],[Gross Salary Before Deductions]],0),2))</f>
        <v/>
      </c>
      <c r="AC48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88" s="164" t="str">
        <f aca="false">IF(Salary_Calculation[[#This Row],[Source Row]]="","",Salary_Calculation[[#This Row],[Rider Target Orders]]*Salary_Calculation[[#This Row],[Base Order Rate]])</f>
        <v/>
      </c>
      <c r="AE488" s="162" t="str">
        <f aca="false">IF(SUMPRODUCT(--(LEN(INDEX(Rider_Input[#Data],ROW()-ROW(Salary_Calculation[#Headers]),0))&gt;0))=0,"",ROW()-ROW(Salary_Calculation[#Headers]))</f>
        <v/>
      </c>
    </row>
    <row r="489" customFormat="false" ht="14.25" hidden="false" customHeight="false" outlineLevel="0" collapsed="false">
      <c r="A489" s="161" t="str">
        <f aca="false">IF(Salary_Calculation[[#This Row],[Source Row]]="","",IF(INDEX(Rider_Input[Salary Month],Salary_Calculation[[#This Row],[Source Row]])="","",INDEX(Rider_Input[Salary Month],Salary_Calculation[[#This Row],[Source Row]])))</f>
        <v/>
      </c>
      <c r="B489" s="162" t="str">
        <f aca="false">IF(Salary_Calculation[[#This Row],[Source Row]]="","",IF(INDEX(Rider_Input[Rider ID],Salary_Calculation[[#This Row],[Source Row]])="","",INDEX(Rider_Input[Rider ID],Salary_Calculation[[#This Row],[Source Row]])))</f>
        <v/>
      </c>
      <c r="C489" s="163" t="str">
        <f aca="false">IF(Salary_Calculation[[#This Row],[Source Row]]="","",IF(INDEX(Rider_Input[Rider Name],Salary_Calculation[[#This Row],[Source Row]])="","",INDEX(Rider_Input[Rider Name],Salary_Calculation[[#This Row],[Source Row]])))</f>
        <v/>
      </c>
      <c r="D489" s="164" t="str">
        <f aca="false">IF(Salary_Calculation[[#This Row],[Source Row]]="","",IF(INDEX(Rider_Input[Basic Payment],Salary_Calculation[[#This Row],[Source Row]])="","",INDEX(Rider_Input[Basic Payment],Salary_Calculation[[#This Row],[Source Row]])))</f>
        <v/>
      </c>
      <c r="E489" s="162" t="str">
        <f aca="false">IF(Salary_Calculation[[#This Row],[Source Row]]="","",IF(INDEX(Rider_Input[Calendar Days in Month],Salary_Calculation[[#This Row],[Source Row]])="","",INDEX(Rider_Input[Calendar Days in Month],Salary_Calculation[[#This Row],[Source Row]])))</f>
        <v/>
      </c>
      <c r="F489" s="162" t="str">
        <f aca="false">IF(Salary_Calculation[[#This Row],[Source Row]]="","",IF(INDEX(Rider_Input[Working Days],Salary_Calculation[[#This Row],[Source Row]])="","",INDEX(Rider_Input[Working Days],Salary_Calculation[[#This Row],[Source Row]])))</f>
        <v/>
      </c>
      <c r="G489" s="165" t="str">
        <f aca="false">IF(Salary_Calculation[[#This Row],[Source Row]]="","",Std_Orders/Std_Days*N(Salary_Calculation[[#This Row],[Calendar Days]]))</f>
        <v/>
      </c>
      <c r="H489" s="165" t="str">
        <f aca="false">IF(Salary_Calculation[[#This Row],[Source Row]]="","",IF(N(Salary_Calculation[[#This Row],[Calendar Days]])&gt;0,Salary_Calculation[[#This Row],[Monthly Target Orders]]/N(Salary_Calculation[[#This Row],[Calendar Days]])*N(Salary_Calculation[[#This Row],[Working Days]]),0))</f>
        <v/>
      </c>
      <c r="I489" s="166" t="str">
        <f aca="false">IF(Salary_Calculation[[#This Row],[Source Row]]="","",IF(INDEX(Rider_Input[Completed Orders],Salary_Calculation[[#This Row],[Source Row]])="","",INDEX(Rider_Input[Completed Orders],Salary_Calculation[[#This Row],[Source Row]])))</f>
        <v/>
      </c>
      <c r="J489" s="165" t="str">
        <f aca="false">IF(Salary_Calculation[[#This Row],[Source Row]]="","",IF(Rate_Method="Fixed rate",Fixed_Rate,IF(N(Salary_Calculation[[#This Row],[Basic Payment]])&gt;0,N(Salary_Calculation[[#This Row],[Basic Payment]])/Std_Orders,0)))</f>
        <v/>
      </c>
      <c r="K489" s="165" t="str">
        <f aca="false">IF(Salary_Calculation[[#This Row],[Source Row]]="","",MAX(MIN(N(Salary_Calculation[[#This Row],[Completed Orders]]),Salary_Calculation[[#This Row],[Rider Target Orders]]),0))</f>
        <v/>
      </c>
      <c r="L489" s="164" t="str">
        <f aca="false">IF(Salary_Calculation[[#This Row],[Source Row]]="","",Salary_Calculation[[#This Row],[Orders Counted at Base Rate]]*Salary_Calculation[[#This Row],[Base Order Rate]])</f>
        <v/>
      </c>
      <c r="M489" s="165" t="str">
        <f aca="false">IF(Salary_Calculation[[#This Row],[Source Row]]="","",MAX(Salary_Calculation[[#This Row],[Rider Target Orders]]-N(Salary_Calculation[[#This Row],[Completed Orders]]),0))</f>
        <v/>
      </c>
      <c r="N489" s="164" t="str">
        <f aca="false">IF(Salary_Calculation[[#This Row],[Source Row]]="","",Salary_Calculation[[#This Row],[Missing Orders]]*Missing_Rate)</f>
        <v/>
      </c>
      <c r="O489" s="165" t="str">
        <f aca="false">IF(Salary_Calculation[[#This Row],[Source Row]]="","",MAX(N(Salary_Calculation[[#This Row],[Completed Orders]])-Salary_Calculation[[#This Row],[Rider Target Orders]],0))</f>
        <v/>
      </c>
      <c r="P489" s="164" t="str">
        <f aca="false">IF(Salary_Calculation[[#This Row],[Source Row]]="","",Salary_Calculation[[#This Row],[Extra Orders]]*Extra_Rate)</f>
        <v/>
      </c>
      <c r="Q489" s="164" t="str">
        <f aca="false">IF(Salary_Calculation[[#This Row],[Source Row]]="","",MAX(Salary_Calculation[[#This Row],[Salary Before Other Deductions]],0))</f>
        <v/>
      </c>
      <c r="R489" s="164" t="str">
        <f aca="false">IF(Salary_Calculation[[#This Row],[Source Row]]="","",N(INDEX(Rider_Input[missed_days_penalty],Salary_Calculation[[#This Row],[Source Row]])))</f>
        <v/>
      </c>
      <c r="S489" s="164" t="str">
        <f aca="false">IF(Salary_Calculation[[#This Row],[Source Row]]="","",N(INDEX(Rider_Input[Rider Balance / محفظة المندوب],Salary_Calculation[[#This Row],[Source Row]])))</f>
        <v/>
      </c>
      <c r="T489" s="164" t="str">
        <f aca="false">IF(Salary_Calculation[[#This Row],[Source Row]]="","",N(INDEX(Rider_Input[stacking_deduction / خصم الطلبات المتعددة],Salary_Calculation[[#This Row],[Source Row]])))</f>
        <v/>
      </c>
      <c r="U489" s="164" t="str">
        <f aca="false">IF(Salary_Calculation[[#This Row],[Source Row]]="","",N(INDEX(Rider_Input[Other Deductions],Salary_Calculation[[#This Row],[Source Row]])))</f>
        <v/>
      </c>
      <c r="V489" s="164" t="str">
        <f aca="false">IF(Salary_Calculation[[#This Row],[Source Row]]="","",N(Salary_Calculation[[#This Row],[missed_days_penalty]])+N(Salary_Calculation[[#This Row],[Rider Balance]])+N(Salary_Calculation[[#This Row],[stacking_deduction]])+N(Salary_Calculation[[#This Row],[Other Deductions]]))</f>
        <v/>
      </c>
      <c r="W489" s="167" t="str">
        <f aca="false">IF(Salary_Calculation[[#This Row],[Source Row]]="","",ROUND(MAX(Salary_Calculation[[#This Row],[Gross Salary Before Deductions]]-Salary_Calculation[[#This Row],[Total Deductions]],0),2))</f>
        <v/>
      </c>
      <c r="X489" s="164" t="str">
        <f aca="false">IF(Salary_Calculation[[#This Row],[Source Row]]="","",ROUND(MAX(Salary_Calculation[[#This Row],[Missing-Order Deduction]]-Salary_Calculation[[#This Row],[Earned Salary]],0),2))</f>
        <v/>
      </c>
      <c r="Y48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89" s="163" t="str">
        <f aca="false">IF(Salary_Calculation[[#This Row],[Source Row]]="","",IF(INDEX(Rider_Input[Notes],Salary_Calculation[[#This Row],[Source Row]])="","",INDEX(Rider_Input[Notes],Salary_Calculation[[#This Row],[Source Row]])))</f>
        <v/>
      </c>
      <c r="AA489" s="164" t="str">
        <f aca="false">IF(Salary_Calculation[[#This Row],[Source Row]]="","",Salary_Calculation[[#This Row],[Earned Salary]]-Salary_Calculation[[#This Row],[Missing-Order Deduction]]+Salary_Calculation[[#This Row],[Extra-Order Bonus]])</f>
        <v/>
      </c>
      <c r="AB489" s="164" t="str">
        <f aca="false">IF(Salary_Calculation[[#This Row],[Source Row]]="","",ROUND(Salary_Calculation[[#This Row],[Negative Balance / Amount Due from Rider]]+MAX(Salary_Calculation[[#This Row],[Total Deductions]]-Salary_Calculation[[#This Row],[Gross Salary Before Deductions]],0),2))</f>
        <v/>
      </c>
      <c r="AC48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89" s="164" t="str">
        <f aca="false">IF(Salary_Calculation[[#This Row],[Source Row]]="","",Salary_Calculation[[#This Row],[Rider Target Orders]]*Salary_Calculation[[#This Row],[Base Order Rate]])</f>
        <v/>
      </c>
      <c r="AE489" s="162" t="str">
        <f aca="false">IF(SUMPRODUCT(--(LEN(INDEX(Rider_Input[#Data],ROW()-ROW(Salary_Calculation[#Headers]),0))&gt;0))=0,"",ROW()-ROW(Salary_Calculation[#Headers]))</f>
        <v/>
      </c>
    </row>
    <row r="490" customFormat="false" ht="14.25" hidden="false" customHeight="false" outlineLevel="0" collapsed="false">
      <c r="A490" s="161" t="str">
        <f aca="false">IF(Salary_Calculation[[#This Row],[Source Row]]="","",IF(INDEX(Rider_Input[Salary Month],Salary_Calculation[[#This Row],[Source Row]])="","",INDEX(Rider_Input[Salary Month],Salary_Calculation[[#This Row],[Source Row]])))</f>
        <v/>
      </c>
      <c r="B490" s="162" t="str">
        <f aca="false">IF(Salary_Calculation[[#This Row],[Source Row]]="","",IF(INDEX(Rider_Input[Rider ID],Salary_Calculation[[#This Row],[Source Row]])="","",INDEX(Rider_Input[Rider ID],Salary_Calculation[[#This Row],[Source Row]])))</f>
        <v/>
      </c>
      <c r="C490" s="163" t="str">
        <f aca="false">IF(Salary_Calculation[[#This Row],[Source Row]]="","",IF(INDEX(Rider_Input[Rider Name],Salary_Calculation[[#This Row],[Source Row]])="","",INDEX(Rider_Input[Rider Name],Salary_Calculation[[#This Row],[Source Row]])))</f>
        <v/>
      </c>
      <c r="D490" s="164" t="str">
        <f aca="false">IF(Salary_Calculation[[#This Row],[Source Row]]="","",IF(INDEX(Rider_Input[Basic Payment],Salary_Calculation[[#This Row],[Source Row]])="","",INDEX(Rider_Input[Basic Payment],Salary_Calculation[[#This Row],[Source Row]])))</f>
        <v/>
      </c>
      <c r="E490" s="162" t="str">
        <f aca="false">IF(Salary_Calculation[[#This Row],[Source Row]]="","",IF(INDEX(Rider_Input[Calendar Days in Month],Salary_Calculation[[#This Row],[Source Row]])="","",INDEX(Rider_Input[Calendar Days in Month],Salary_Calculation[[#This Row],[Source Row]])))</f>
        <v/>
      </c>
      <c r="F490" s="162" t="str">
        <f aca="false">IF(Salary_Calculation[[#This Row],[Source Row]]="","",IF(INDEX(Rider_Input[Working Days],Salary_Calculation[[#This Row],[Source Row]])="","",INDEX(Rider_Input[Working Days],Salary_Calculation[[#This Row],[Source Row]])))</f>
        <v/>
      </c>
      <c r="G490" s="165" t="str">
        <f aca="false">IF(Salary_Calculation[[#This Row],[Source Row]]="","",Std_Orders/Std_Days*N(Salary_Calculation[[#This Row],[Calendar Days]]))</f>
        <v/>
      </c>
      <c r="H490" s="165" t="str">
        <f aca="false">IF(Salary_Calculation[[#This Row],[Source Row]]="","",IF(N(Salary_Calculation[[#This Row],[Calendar Days]])&gt;0,Salary_Calculation[[#This Row],[Monthly Target Orders]]/N(Salary_Calculation[[#This Row],[Calendar Days]])*N(Salary_Calculation[[#This Row],[Working Days]]),0))</f>
        <v/>
      </c>
      <c r="I490" s="166" t="str">
        <f aca="false">IF(Salary_Calculation[[#This Row],[Source Row]]="","",IF(INDEX(Rider_Input[Completed Orders],Salary_Calculation[[#This Row],[Source Row]])="","",INDEX(Rider_Input[Completed Orders],Salary_Calculation[[#This Row],[Source Row]])))</f>
        <v/>
      </c>
      <c r="J490" s="165" t="str">
        <f aca="false">IF(Salary_Calculation[[#This Row],[Source Row]]="","",IF(Rate_Method="Fixed rate",Fixed_Rate,IF(N(Salary_Calculation[[#This Row],[Basic Payment]])&gt;0,N(Salary_Calculation[[#This Row],[Basic Payment]])/Std_Orders,0)))</f>
        <v/>
      </c>
      <c r="K490" s="165" t="str">
        <f aca="false">IF(Salary_Calculation[[#This Row],[Source Row]]="","",MAX(MIN(N(Salary_Calculation[[#This Row],[Completed Orders]]),Salary_Calculation[[#This Row],[Rider Target Orders]]),0))</f>
        <v/>
      </c>
      <c r="L490" s="164" t="str">
        <f aca="false">IF(Salary_Calculation[[#This Row],[Source Row]]="","",Salary_Calculation[[#This Row],[Orders Counted at Base Rate]]*Salary_Calculation[[#This Row],[Base Order Rate]])</f>
        <v/>
      </c>
      <c r="M490" s="165" t="str">
        <f aca="false">IF(Salary_Calculation[[#This Row],[Source Row]]="","",MAX(Salary_Calculation[[#This Row],[Rider Target Orders]]-N(Salary_Calculation[[#This Row],[Completed Orders]]),0))</f>
        <v/>
      </c>
      <c r="N490" s="164" t="str">
        <f aca="false">IF(Salary_Calculation[[#This Row],[Source Row]]="","",Salary_Calculation[[#This Row],[Missing Orders]]*Missing_Rate)</f>
        <v/>
      </c>
      <c r="O490" s="165" t="str">
        <f aca="false">IF(Salary_Calculation[[#This Row],[Source Row]]="","",MAX(N(Salary_Calculation[[#This Row],[Completed Orders]])-Salary_Calculation[[#This Row],[Rider Target Orders]],0))</f>
        <v/>
      </c>
      <c r="P490" s="164" t="str">
        <f aca="false">IF(Salary_Calculation[[#This Row],[Source Row]]="","",Salary_Calculation[[#This Row],[Extra Orders]]*Extra_Rate)</f>
        <v/>
      </c>
      <c r="Q490" s="164" t="str">
        <f aca="false">IF(Salary_Calculation[[#This Row],[Source Row]]="","",MAX(Salary_Calculation[[#This Row],[Salary Before Other Deductions]],0))</f>
        <v/>
      </c>
      <c r="R490" s="164" t="str">
        <f aca="false">IF(Salary_Calculation[[#This Row],[Source Row]]="","",N(INDEX(Rider_Input[missed_days_penalty],Salary_Calculation[[#This Row],[Source Row]])))</f>
        <v/>
      </c>
      <c r="S490" s="164" t="str">
        <f aca="false">IF(Salary_Calculation[[#This Row],[Source Row]]="","",N(INDEX(Rider_Input[Rider Balance / محفظة المندوب],Salary_Calculation[[#This Row],[Source Row]])))</f>
        <v/>
      </c>
      <c r="T490" s="164" t="str">
        <f aca="false">IF(Salary_Calculation[[#This Row],[Source Row]]="","",N(INDEX(Rider_Input[stacking_deduction / خصم الطلبات المتعددة],Salary_Calculation[[#This Row],[Source Row]])))</f>
        <v/>
      </c>
      <c r="U490" s="164" t="str">
        <f aca="false">IF(Salary_Calculation[[#This Row],[Source Row]]="","",N(INDEX(Rider_Input[Other Deductions],Salary_Calculation[[#This Row],[Source Row]])))</f>
        <v/>
      </c>
      <c r="V490" s="164" t="str">
        <f aca="false">IF(Salary_Calculation[[#This Row],[Source Row]]="","",N(Salary_Calculation[[#This Row],[missed_days_penalty]])+N(Salary_Calculation[[#This Row],[Rider Balance]])+N(Salary_Calculation[[#This Row],[stacking_deduction]])+N(Salary_Calculation[[#This Row],[Other Deductions]]))</f>
        <v/>
      </c>
      <c r="W490" s="167" t="str">
        <f aca="false">IF(Salary_Calculation[[#This Row],[Source Row]]="","",ROUND(MAX(Salary_Calculation[[#This Row],[Gross Salary Before Deductions]]-Salary_Calculation[[#This Row],[Total Deductions]],0),2))</f>
        <v/>
      </c>
      <c r="X490" s="164" t="str">
        <f aca="false">IF(Salary_Calculation[[#This Row],[Source Row]]="","",ROUND(MAX(Salary_Calculation[[#This Row],[Missing-Order Deduction]]-Salary_Calculation[[#This Row],[Earned Salary]],0),2))</f>
        <v/>
      </c>
      <c r="Y49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90" s="163" t="str">
        <f aca="false">IF(Salary_Calculation[[#This Row],[Source Row]]="","",IF(INDEX(Rider_Input[Notes],Salary_Calculation[[#This Row],[Source Row]])="","",INDEX(Rider_Input[Notes],Salary_Calculation[[#This Row],[Source Row]])))</f>
        <v/>
      </c>
      <c r="AA490" s="164" t="str">
        <f aca="false">IF(Salary_Calculation[[#This Row],[Source Row]]="","",Salary_Calculation[[#This Row],[Earned Salary]]-Salary_Calculation[[#This Row],[Missing-Order Deduction]]+Salary_Calculation[[#This Row],[Extra-Order Bonus]])</f>
        <v/>
      </c>
      <c r="AB490" s="164" t="str">
        <f aca="false">IF(Salary_Calculation[[#This Row],[Source Row]]="","",ROUND(Salary_Calculation[[#This Row],[Negative Balance / Amount Due from Rider]]+MAX(Salary_Calculation[[#This Row],[Total Deductions]]-Salary_Calculation[[#This Row],[Gross Salary Before Deductions]],0),2))</f>
        <v/>
      </c>
      <c r="AC49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90" s="164" t="str">
        <f aca="false">IF(Salary_Calculation[[#This Row],[Source Row]]="","",Salary_Calculation[[#This Row],[Rider Target Orders]]*Salary_Calculation[[#This Row],[Base Order Rate]])</f>
        <v/>
      </c>
      <c r="AE490" s="162" t="str">
        <f aca="false">IF(SUMPRODUCT(--(LEN(INDEX(Rider_Input[#Data],ROW()-ROW(Salary_Calculation[#Headers]),0))&gt;0))=0,"",ROW()-ROW(Salary_Calculation[#Headers]))</f>
        <v/>
      </c>
    </row>
    <row r="491" customFormat="false" ht="14.25" hidden="false" customHeight="false" outlineLevel="0" collapsed="false">
      <c r="A491" s="161" t="str">
        <f aca="false">IF(Salary_Calculation[[#This Row],[Source Row]]="","",IF(INDEX(Rider_Input[Salary Month],Salary_Calculation[[#This Row],[Source Row]])="","",INDEX(Rider_Input[Salary Month],Salary_Calculation[[#This Row],[Source Row]])))</f>
        <v/>
      </c>
      <c r="B491" s="162" t="str">
        <f aca="false">IF(Salary_Calculation[[#This Row],[Source Row]]="","",IF(INDEX(Rider_Input[Rider ID],Salary_Calculation[[#This Row],[Source Row]])="","",INDEX(Rider_Input[Rider ID],Salary_Calculation[[#This Row],[Source Row]])))</f>
        <v/>
      </c>
      <c r="C491" s="163" t="str">
        <f aca="false">IF(Salary_Calculation[[#This Row],[Source Row]]="","",IF(INDEX(Rider_Input[Rider Name],Salary_Calculation[[#This Row],[Source Row]])="","",INDEX(Rider_Input[Rider Name],Salary_Calculation[[#This Row],[Source Row]])))</f>
        <v/>
      </c>
      <c r="D491" s="164" t="str">
        <f aca="false">IF(Salary_Calculation[[#This Row],[Source Row]]="","",IF(INDEX(Rider_Input[Basic Payment],Salary_Calculation[[#This Row],[Source Row]])="","",INDEX(Rider_Input[Basic Payment],Salary_Calculation[[#This Row],[Source Row]])))</f>
        <v/>
      </c>
      <c r="E491" s="162" t="str">
        <f aca="false">IF(Salary_Calculation[[#This Row],[Source Row]]="","",IF(INDEX(Rider_Input[Calendar Days in Month],Salary_Calculation[[#This Row],[Source Row]])="","",INDEX(Rider_Input[Calendar Days in Month],Salary_Calculation[[#This Row],[Source Row]])))</f>
        <v/>
      </c>
      <c r="F491" s="162" t="str">
        <f aca="false">IF(Salary_Calculation[[#This Row],[Source Row]]="","",IF(INDEX(Rider_Input[Working Days],Salary_Calculation[[#This Row],[Source Row]])="","",INDEX(Rider_Input[Working Days],Salary_Calculation[[#This Row],[Source Row]])))</f>
        <v/>
      </c>
      <c r="G491" s="165" t="str">
        <f aca="false">IF(Salary_Calculation[[#This Row],[Source Row]]="","",Std_Orders/Std_Days*N(Salary_Calculation[[#This Row],[Calendar Days]]))</f>
        <v/>
      </c>
      <c r="H491" s="165" t="str">
        <f aca="false">IF(Salary_Calculation[[#This Row],[Source Row]]="","",IF(N(Salary_Calculation[[#This Row],[Calendar Days]])&gt;0,Salary_Calculation[[#This Row],[Monthly Target Orders]]/N(Salary_Calculation[[#This Row],[Calendar Days]])*N(Salary_Calculation[[#This Row],[Working Days]]),0))</f>
        <v/>
      </c>
      <c r="I491" s="166" t="str">
        <f aca="false">IF(Salary_Calculation[[#This Row],[Source Row]]="","",IF(INDEX(Rider_Input[Completed Orders],Salary_Calculation[[#This Row],[Source Row]])="","",INDEX(Rider_Input[Completed Orders],Salary_Calculation[[#This Row],[Source Row]])))</f>
        <v/>
      </c>
      <c r="J491" s="165" t="str">
        <f aca="false">IF(Salary_Calculation[[#This Row],[Source Row]]="","",IF(Rate_Method="Fixed rate",Fixed_Rate,IF(N(Salary_Calculation[[#This Row],[Basic Payment]])&gt;0,N(Salary_Calculation[[#This Row],[Basic Payment]])/Std_Orders,0)))</f>
        <v/>
      </c>
      <c r="K491" s="165" t="str">
        <f aca="false">IF(Salary_Calculation[[#This Row],[Source Row]]="","",MAX(MIN(N(Salary_Calculation[[#This Row],[Completed Orders]]),Salary_Calculation[[#This Row],[Rider Target Orders]]),0))</f>
        <v/>
      </c>
      <c r="L491" s="164" t="str">
        <f aca="false">IF(Salary_Calculation[[#This Row],[Source Row]]="","",Salary_Calculation[[#This Row],[Orders Counted at Base Rate]]*Salary_Calculation[[#This Row],[Base Order Rate]])</f>
        <v/>
      </c>
      <c r="M491" s="165" t="str">
        <f aca="false">IF(Salary_Calculation[[#This Row],[Source Row]]="","",MAX(Salary_Calculation[[#This Row],[Rider Target Orders]]-N(Salary_Calculation[[#This Row],[Completed Orders]]),0))</f>
        <v/>
      </c>
      <c r="N491" s="164" t="str">
        <f aca="false">IF(Salary_Calculation[[#This Row],[Source Row]]="","",Salary_Calculation[[#This Row],[Missing Orders]]*Missing_Rate)</f>
        <v/>
      </c>
      <c r="O491" s="165" t="str">
        <f aca="false">IF(Salary_Calculation[[#This Row],[Source Row]]="","",MAX(N(Salary_Calculation[[#This Row],[Completed Orders]])-Salary_Calculation[[#This Row],[Rider Target Orders]],0))</f>
        <v/>
      </c>
      <c r="P491" s="164" t="str">
        <f aca="false">IF(Salary_Calculation[[#This Row],[Source Row]]="","",Salary_Calculation[[#This Row],[Extra Orders]]*Extra_Rate)</f>
        <v/>
      </c>
      <c r="Q491" s="164" t="str">
        <f aca="false">IF(Salary_Calculation[[#This Row],[Source Row]]="","",MAX(Salary_Calculation[[#This Row],[Salary Before Other Deductions]],0))</f>
        <v/>
      </c>
      <c r="R491" s="164" t="str">
        <f aca="false">IF(Salary_Calculation[[#This Row],[Source Row]]="","",N(INDEX(Rider_Input[missed_days_penalty],Salary_Calculation[[#This Row],[Source Row]])))</f>
        <v/>
      </c>
      <c r="S491" s="164" t="str">
        <f aca="false">IF(Salary_Calculation[[#This Row],[Source Row]]="","",N(INDEX(Rider_Input[Rider Balance / محفظة المندوب],Salary_Calculation[[#This Row],[Source Row]])))</f>
        <v/>
      </c>
      <c r="T491" s="164" t="str">
        <f aca="false">IF(Salary_Calculation[[#This Row],[Source Row]]="","",N(INDEX(Rider_Input[stacking_deduction / خصم الطلبات المتعددة],Salary_Calculation[[#This Row],[Source Row]])))</f>
        <v/>
      </c>
      <c r="U491" s="164" t="str">
        <f aca="false">IF(Salary_Calculation[[#This Row],[Source Row]]="","",N(INDEX(Rider_Input[Other Deductions],Salary_Calculation[[#This Row],[Source Row]])))</f>
        <v/>
      </c>
      <c r="V491" s="164" t="str">
        <f aca="false">IF(Salary_Calculation[[#This Row],[Source Row]]="","",N(Salary_Calculation[[#This Row],[missed_days_penalty]])+N(Salary_Calculation[[#This Row],[Rider Balance]])+N(Salary_Calculation[[#This Row],[stacking_deduction]])+N(Salary_Calculation[[#This Row],[Other Deductions]]))</f>
        <v/>
      </c>
      <c r="W491" s="167" t="str">
        <f aca="false">IF(Salary_Calculation[[#This Row],[Source Row]]="","",ROUND(MAX(Salary_Calculation[[#This Row],[Gross Salary Before Deductions]]-Salary_Calculation[[#This Row],[Total Deductions]],0),2))</f>
        <v/>
      </c>
      <c r="X491" s="164" t="str">
        <f aca="false">IF(Salary_Calculation[[#This Row],[Source Row]]="","",ROUND(MAX(Salary_Calculation[[#This Row],[Missing-Order Deduction]]-Salary_Calculation[[#This Row],[Earned Salary]],0),2))</f>
        <v/>
      </c>
      <c r="Y49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91" s="163" t="str">
        <f aca="false">IF(Salary_Calculation[[#This Row],[Source Row]]="","",IF(INDEX(Rider_Input[Notes],Salary_Calculation[[#This Row],[Source Row]])="","",INDEX(Rider_Input[Notes],Salary_Calculation[[#This Row],[Source Row]])))</f>
        <v/>
      </c>
      <c r="AA491" s="164" t="str">
        <f aca="false">IF(Salary_Calculation[[#This Row],[Source Row]]="","",Salary_Calculation[[#This Row],[Earned Salary]]-Salary_Calculation[[#This Row],[Missing-Order Deduction]]+Salary_Calculation[[#This Row],[Extra-Order Bonus]])</f>
        <v/>
      </c>
      <c r="AB491" s="164" t="str">
        <f aca="false">IF(Salary_Calculation[[#This Row],[Source Row]]="","",ROUND(Salary_Calculation[[#This Row],[Negative Balance / Amount Due from Rider]]+MAX(Salary_Calculation[[#This Row],[Total Deductions]]-Salary_Calculation[[#This Row],[Gross Salary Before Deductions]],0),2))</f>
        <v/>
      </c>
      <c r="AC49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91" s="164" t="str">
        <f aca="false">IF(Salary_Calculation[[#This Row],[Source Row]]="","",Salary_Calculation[[#This Row],[Rider Target Orders]]*Salary_Calculation[[#This Row],[Base Order Rate]])</f>
        <v/>
      </c>
      <c r="AE491" s="162" t="str">
        <f aca="false">IF(SUMPRODUCT(--(LEN(INDEX(Rider_Input[#Data],ROW()-ROW(Salary_Calculation[#Headers]),0))&gt;0))=0,"",ROW()-ROW(Salary_Calculation[#Headers]))</f>
        <v/>
      </c>
    </row>
    <row r="492" customFormat="false" ht="14.25" hidden="false" customHeight="false" outlineLevel="0" collapsed="false">
      <c r="A492" s="161" t="str">
        <f aca="false">IF(Salary_Calculation[[#This Row],[Source Row]]="","",IF(INDEX(Rider_Input[Salary Month],Salary_Calculation[[#This Row],[Source Row]])="","",INDEX(Rider_Input[Salary Month],Salary_Calculation[[#This Row],[Source Row]])))</f>
        <v/>
      </c>
      <c r="B492" s="162" t="str">
        <f aca="false">IF(Salary_Calculation[[#This Row],[Source Row]]="","",IF(INDEX(Rider_Input[Rider ID],Salary_Calculation[[#This Row],[Source Row]])="","",INDEX(Rider_Input[Rider ID],Salary_Calculation[[#This Row],[Source Row]])))</f>
        <v/>
      </c>
      <c r="C492" s="163" t="str">
        <f aca="false">IF(Salary_Calculation[[#This Row],[Source Row]]="","",IF(INDEX(Rider_Input[Rider Name],Salary_Calculation[[#This Row],[Source Row]])="","",INDEX(Rider_Input[Rider Name],Salary_Calculation[[#This Row],[Source Row]])))</f>
        <v/>
      </c>
      <c r="D492" s="164" t="str">
        <f aca="false">IF(Salary_Calculation[[#This Row],[Source Row]]="","",IF(INDEX(Rider_Input[Basic Payment],Salary_Calculation[[#This Row],[Source Row]])="","",INDEX(Rider_Input[Basic Payment],Salary_Calculation[[#This Row],[Source Row]])))</f>
        <v/>
      </c>
      <c r="E492" s="162" t="str">
        <f aca="false">IF(Salary_Calculation[[#This Row],[Source Row]]="","",IF(INDEX(Rider_Input[Calendar Days in Month],Salary_Calculation[[#This Row],[Source Row]])="","",INDEX(Rider_Input[Calendar Days in Month],Salary_Calculation[[#This Row],[Source Row]])))</f>
        <v/>
      </c>
      <c r="F492" s="162" t="str">
        <f aca="false">IF(Salary_Calculation[[#This Row],[Source Row]]="","",IF(INDEX(Rider_Input[Working Days],Salary_Calculation[[#This Row],[Source Row]])="","",INDEX(Rider_Input[Working Days],Salary_Calculation[[#This Row],[Source Row]])))</f>
        <v/>
      </c>
      <c r="G492" s="165" t="str">
        <f aca="false">IF(Salary_Calculation[[#This Row],[Source Row]]="","",Std_Orders/Std_Days*N(Salary_Calculation[[#This Row],[Calendar Days]]))</f>
        <v/>
      </c>
      <c r="H492" s="165" t="str">
        <f aca="false">IF(Salary_Calculation[[#This Row],[Source Row]]="","",IF(N(Salary_Calculation[[#This Row],[Calendar Days]])&gt;0,Salary_Calculation[[#This Row],[Monthly Target Orders]]/N(Salary_Calculation[[#This Row],[Calendar Days]])*N(Salary_Calculation[[#This Row],[Working Days]]),0))</f>
        <v/>
      </c>
      <c r="I492" s="166" t="str">
        <f aca="false">IF(Salary_Calculation[[#This Row],[Source Row]]="","",IF(INDEX(Rider_Input[Completed Orders],Salary_Calculation[[#This Row],[Source Row]])="","",INDEX(Rider_Input[Completed Orders],Salary_Calculation[[#This Row],[Source Row]])))</f>
        <v/>
      </c>
      <c r="J492" s="165" t="str">
        <f aca="false">IF(Salary_Calculation[[#This Row],[Source Row]]="","",IF(Rate_Method="Fixed rate",Fixed_Rate,IF(N(Salary_Calculation[[#This Row],[Basic Payment]])&gt;0,N(Salary_Calculation[[#This Row],[Basic Payment]])/Std_Orders,0)))</f>
        <v/>
      </c>
      <c r="K492" s="165" t="str">
        <f aca="false">IF(Salary_Calculation[[#This Row],[Source Row]]="","",MAX(MIN(N(Salary_Calculation[[#This Row],[Completed Orders]]),Salary_Calculation[[#This Row],[Rider Target Orders]]),0))</f>
        <v/>
      </c>
      <c r="L492" s="164" t="str">
        <f aca="false">IF(Salary_Calculation[[#This Row],[Source Row]]="","",Salary_Calculation[[#This Row],[Orders Counted at Base Rate]]*Salary_Calculation[[#This Row],[Base Order Rate]])</f>
        <v/>
      </c>
      <c r="M492" s="165" t="str">
        <f aca="false">IF(Salary_Calculation[[#This Row],[Source Row]]="","",MAX(Salary_Calculation[[#This Row],[Rider Target Orders]]-N(Salary_Calculation[[#This Row],[Completed Orders]]),0))</f>
        <v/>
      </c>
      <c r="N492" s="164" t="str">
        <f aca="false">IF(Salary_Calculation[[#This Row],[Source Row]]="","",Salary_Calculation[[#This Row],[Missing Orders]]*Missing_Rate)</f>
        <v/>
      </c>
      <c r="O492" s="165" t="str">
        <f aca="false">IF(Salary_Calculation[[#This Row],[Source Row]]="","",MAX(N(Salary_Calculation[[#This Row],[Completed Orders]])-Salary_Calculation[[#This Row],[Rider Target Orders]],0))</f>
        <v/>
      </c>
      <c r="P492" s="164" t="str">
        <f aca="false">IF(Salary_Calculation[[#This Row],[Source Row]]="","",Salary_Calculation[[#This Row],[Extra Orders]]*Extra_Rate)</f>
        <v/>
      </c>
      <c r="Q492" s="164" t="str">
        <f aca="false">IF(Salary_Calculation[[#This Row],[Source Row]]="","",MAX(Salary_Calculation[[#This Row],[Salary Before Other Deductions]],0))</f>
        <v/>
      </c>
      <c r="R492" s="164" t="str">
        <f aca="false">IF(Salary_Calculation[[#This Row],[Source Row]]="","",N(INDEX(Rider_Input[missed_days_penalty],Salary_Calculation[[#This Row],[Source Row]])))</f>
        <v/>
      </c>
      <c r="S492" s="164" t="str">
        <f aca="false">IF(Salary_Calculation[[#This Row],[Source Row]]="","",N(INDEX(Rider_Input[Rider Balance / محفظة المندوب],Salary_Calculation[[#This Row],[Source Row]])))</f>
        <v/>
      </c>
      <c r="T492" s="164" t="str">
        <f aca="false">IF(Salary_Calculation[[#This Row],[Source Row]]="","",N(INDEX(Rider_Input[stacking_deduction / خصم الطلبات المتعددة],Salary_Calculation[[#This Row],[Source Row]])))</f>
        <v/>
      </c>
      <c r="U492" s="164" t="str">
        <f aca="false">IF(Salary_Calculation[[#This Row],[Source Row]]="","",N(INDEX(Rider_Input[Other Deductions],Salary_Calculation[[#This Row],[Source Row]])))</f>
        <v/>
      </c>
      <c r="V492" s="164" t="str">
        <f aca="false">IF(Salary_Calculation[[#This Row],[Source Row]]="","",N(Salary_Calculation[[#This Row],[missed_days_penalty]])+N(Salary_Calculation[[#This Row],[Rider Balance]])+N(Salary_Calculation[[#This Row],[stacking_deduction]])+N(Salary_Calculation[[#This Row],[Other Deductions]]))</f>
        <v/>
      </c>
      <c r="W492" s="167" t="str">
        <f aca="false">IF(Salary_Calculation[[#This Row],[Source Row]]="","",ROUND(MAX(Salary_Calculation[[#This Row],[Gross Salary Before Deductions]]-Salary_Calculation[[#This Row],[Total Deductions]],0),2))</f>
        <v/>
      </c>
      <c r="X492" s="164" t="str">
        <f aca="false">IF(Salary_Calculation[[#This Row],[Source Row]]="","",ROUND(MAX(Salary_Calculation[[#This Row],[Missing-Order Deduction]]-Salary_Calculation[[#This Row],[Earned Salary]],0),2))</f>
        <v/>
      </c>
      <c r="Y492"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92" s="163" t="str">
        <f aca="false">IF(Salary_Calculation[[#This Row],[Source Row]]="","",IF(INDEX(Rider_Input[Notes],Salary_Calculation[[#This Row],[Source Row]])="","",INDEX(Rider_Input[Notes],Salary_Calculation[[#This Row],[Source Row]])))</f>
        <v/>
      </c>
      <c r="AA492" s="164" t="str">
        <f aca="false">IF(Salary_Calculation[[#This Row],[Source Row]]="","",Salary_Calculation[[#This Row],[Earned Salary]]-Salary_Calculation[[#This Row],[Missing-Order Deduction]]+Salary_Calculation[[#This Row],[Extra-Order Bonus]])</f>
        <v/>
      </c>
      <c r="AB492" s="164" t="str">
        <f aca="false">IF(Salary_Calculation[[#This Row],[Source Row]]="","",ROUND(Salary_Calculation[[#This Row],[Negative Balance / Amount Due from Rider]]+MAX(Salary_Calculation[[#This Row],[Total Deductions]]-Salary_Calculation[[#This Row],[Gross Salary Before Deductions]],0),2))</f>
        <v/>
      </c>
      <c r="AC492"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92" s="164" t="str">
        <f aca="false">IF(Salary_Calculation[[#This Row],[Source Row]]="","",Salary_Calculation[[#This Row],[Rider Target Orders]]*Salary_Calculation[[#This Row],[Base Order Rate]])</f>
        <v/>
      </c>
      <c r="AE492" s="162" t="str">
        <f aca="false">IF(SUMPRODUCT(--(LEN(INDEX(Rider_Input[#Data],ROW()-ROW(Salary_Calculation[#Headers]),0))&gt;0))=0,"",ROW()-ROW(Salary_Calculation[#Headers]))</f>
        <v/>
      </c>
    </row>
    <row r="493" customFormat="false" ht="14.25" hidden="false" customHeight="false" outlineLevel="0" collapsed="false">
      <c r="A493" s="161" t="str">
        <f aca="false">IF(Salary_Calculation[[#This Row],[Source Row]]="","",IF(INDEX(Rider_Input[Salary Month],Salary_Calculation[[#This Row],[Source Row]])="","",INDEX(Rider_Input[Salary Month],Salary_Calculation[[#This Row],[Source Row]])))</f>
        <v/>
      </c>
      <c r="B493" s="162" t="str">
        <f aca="false">IF(Salary_Calculation[[#This Row],[Source Row]]="","",IF(INDEX(Rider_Input[Rider ID],Salary_Calculation[[#This Row],[Source Row]])="","",INDEX(Rider_Input[Rider ID],Salary_Calculation[[#This Row],[Source Row]])))</f>
        <v/>
      </c>
      <c r="C493" s="163" t="str">
        <f aca="false">IF(Salary_Calculation[[#This Row],[Source Row]]="","",IF(INDEX(Rider_Input[Rider Name],Salary_Calculation[[#This Row],[Source Row]])="","",INDEX(Rider_Input[Rider Name],Salary_Calculation[[#This Row],[Source Row]])))</f>
        <v/>
      </c>
      <c r="D493" s="164" t="str">
        <f aca="false">IF(Salary_Calculation[[#This Row],[Source Row]]="","",IF(INDEX(Rider_Input[Basic Payment],Salary_Calculation[[#This Row],[Source Row]])="","",INDEX(Rider_Input[Basic Payment],Salary_Calculation[[#This Row],[Source Row]])))</f>
        <v/>
      </c>
      <c r="E493" s="162" t="str">
        <f aca="false">IF(Salary_Calculation[[#This Row],[Source Row]]="","",IF(INDEX(Rider_Input[Calendar Days in Month],Salary_Calculation[[#This Row],[Source Row]])="","",INDEX(Rider_Input[Calendar Days in Month],Salary_Calculation[[#This Row],[Source Row]])))</f>
        <v/>
      </c>
      <c r="F493" s="162" t="str">
        <f aca="false">IF(Salary_Calculation[[#This Row],[Source Row]]="","",IF(INDEX(Rider_Input[Working Days],Salary_Calculation[[#This Row],[Source Row]])="","",INDEX(Rider_Input[Working Days],Salary_Calculation[[#This Row],[Source Row]])))</f>
        <v/>
      </c>
      <c r="G493" s="165" t="str">
        <f aca="false">IF(Salary_Calculation[[#This Row],[Source Row]]="","",Std_Orders/Std_Days*N(Salary_Calculation[[#This Row],[Calendar Days]]))</f>
        <v/>
      </c>
      <c r="H493" s="165" t="str">
        <f aca="false">IF(Salary_Calculation[[#This Row],[Source Row]]="","",IF(N(Salary_Calculation[[#This Row],[Calendar Days]])&gt;0,Salary_Calculation[[#This Row],[Monthly Target Orders]]/N(Salary_Calculation[[#This Row],[Calendar Days]])*N(Salary_Calculation[[#This Row],[Working Days]]),0))</f>
        <v/>
      </c>
      <c r="I493" s="166" t="str">
        <f aca="false">IF(Salary_Calculation[[#This Row],[Source Row]]="","",IF(INDEX(Rider_Input[Completed Orders],Salary_Calculation[[#This Row],[Source Row]])="","",INDEX(Rider_Input[Completed Orders],Salary_Calculation[[#This Row],[Source Row]])))</f>
        <v/>
      </c>
      <c r="J493" s="165" t="str">
        <f aca="false">IF(Salary_Calculation[[#This Row],[Source Row]]="","",IF(Rate_Method="Fixed rate",Fixed_Rate,IF(N(Salary_Calculation[[#This Row],[Basic Payment]])&gt;0,N(Salary_Calculation[[#This Row],[Basic Payment]])/Std_Orders,0)))</f>
        <v/>
      </c>
      <c r="K493" s="165" t="str">
        <f aca="false">IF(Salary_Calculation[[#This Row],[Source Row]]="","",MAX(MIN(N(Salary_Calculation[[#This Row],[Completed Orders]]),Salary_Calculation[[#This Row],[Rider Target Orders]]),0))</f>
        <v/>
      </c>
      <c r="L493" s="164" t="str">
        <f aca="false">IF(Salary_Calculation[[#This Row],[Source Row]]="","",Salary_Calculation[[#This Row],[Orders Counted at Base Rate]]*Salary_Calculation[[#This Row],[Base Order Rate]])</f>
        <v/>
      </c>
      <c r="M493" s="165" t="str">
        <f aca="false">IF(Salary_Calculation[[#This Row],[Source Row]]="","",MAX(Salary_Calculation[[#This Row],[Rider Target Orders]]-N(Salary_Calculation[[#This Row],[Completed Orders]]),0))</f>
        <v/>
      </c>
      <c r="N493" s="164" t="str">
        <f aca="false">IF(Salary_Calculation[[#This Row],[Source Row]]="","",Salary_Calculation[[#This Row],[Missing Orders]]*Missing_Rate)</f>
        <v/>
      </c>
      <c r="O493" s="165" t="str">
        <f aca="false">IF(Salary_Calculation[[#This Row],[Source Row]]="","",MAX(N(Salary_Calculation[[#This Row],[Completed Orders]])-Salary_Calculation[[#This Row],[Rider Target Orders]],0))</f>
        <v/>
      </c>
      <c r="P493" s="164" t="str">
        <f aca="false">IF(Salary_Calculation[[#This Row],[Source Row]]="","",Salary_Calculation[[#This Row],[Extra Orders]]*Extra_Rate)</f>
        <v/>
      </c>
      <c r="Q493" s="164" t="str">
        <f aca="false">IF(Salary_Calculation[[#This Row],[Source Row]]="","",MAX(Salary_Calculation[[#This Row],[Salary Before Other Deductions]],0))</f>
        <v/>
      </c>
      <c r="R493" s="164" t="str">
        <f aca="false">IF(Salary_Calculation[[#This Row],[Source Row]]="","",N(INDEX(Rider_Input[missed_days_penalty],Salary_Calculation[[#This Row],[Source Row]])))</f>
        <v/>
      </c>
      <c r="S493" s="164" t="str">
        <f aca="false">IF(Salary_Calculation[[#This Row],[Source Row]]="","",N(INDEX(Rider_Input[Rider Balance / محفظة المندوب],Salary_Calculation[[#This Row],[Source Row]])))</f>
        <v/>
      </c>
      <c r="T493" s="164" t="str">
        <f aca="false">IF(Salary_Calculation[[#This Row],[Source Row]]="","",N(INDEX(Rider_Input[stacking_deduction / خصم الطلبات المتعددة],Salary_Calculation[[#This Row],[Source Row]])))</f>
        <v/>
      </c>
      <c r="U493" s="164" t="str">
        <f aca="false">IF(Salary_Calculation[[#This Row],[Source Row]]="","",N(INDEX(Rider_Input[Other Deductions],Salary_Calculation[[#This Row],[Source Row]])))</f>
        <v/>
      </c>
      <c r="V493" s="164" t="str">
        <f aca="false">IF(Salary_Calculation[[#This Row],[Source Row]]="","",N(Salary_Calculation[[#This Row],[missed_days_penalty]])+N(Salary_Calculation[[#This Row],[Rider Balance]])+N(Salary_Calculation[[#This Row],[stacking_deduction]])+N(Salary_Calculation[[#This Row],[Other Deductions]]))</f>
        <v/>
      </c>
      <c r="W493" s="167" t="str">
        <f aca="false">IF(Salary_Calculation[[#This Row],[Source Row]]="","",ROUND(MAX(Salary_Calculation[[#This Row],[Gross Salary Before Deductions]]-Salary_Calculation[[#This Row],[Total Deductions]],0),2))</f>
        <v/>
      </c>
      <c r="X493" s="164" t="str">
        <f aca="false">IF(Salary_Calculation[[#This Row],[Source Row]]="","",ROUND(MAX(Salary_Calculation[[#This Row],[Missing-Order Deduction]]-Salary_Calculation[[#This Row],[Earned Salary]],0),2))</f>
        <v/>
      </c>
      <c r="Y493"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93" s="163" t="str">
        <f aca="false">IF(Salary_Calculation[[#This Row],[Source Row]]="","",IF(INDEX(Rider_Input[Notes],Salary_Calculation[[#This Row],[Source Row]])="","",INDEX(Rider_Input[Notes],Salary_Calculation[[#This Row],[Source Row]])))</f>
        <v/>
      </c>
      <c r="AA493" s="164" t="str">
        <f aca="false">IF(Salary_Calculation[[#This Row],[Source Row]]="","",Salary_Calculation[[#This Row],[Earned Salary]]-Salary_Calculation[[#This Row],[Missing-Order Deduction]]+Salary_Calculation[[#This Row],[Extra-Order Bonus]])</f>
        <v/>
      </c>
      <c r="AB493" s="164" t="str">
        <f aca="false">IF(Salary_Calculation[[#This Row],[Source Row]]="","",ROUND(Salary_Calculation[[#This Row],[Negative Balance / Amount Due from Rider]]+MAX(Salary_Calculation[[#This Row],[Total Deductions]]-Salary_Calculation[[#This Row],[Gross Salary Before Deductions]],0),2))</f>
        <v/>
      </c>
      <c r="AC493"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93" s="164" t="str">
        <f aca="false">IF(Salary_Calculation[[#This Row],[Source Row]]="","",Salary_Calculation[[#This Row],[Rider Target Orders]]*Salary_Calculation[[#This Row],[Base Order Rate]])</f>
        <v/>
      </c>
      <c r="AE493" s="162" t="str">
        <f aca="false">IF(SUMPRODUCT(--(LEN(INDEX(Rider_Input[#Data],ROW()-ROW(Salary_Calculation[#Headers]),0))&gt;0))=0,"",ROW()-ROW(Salary_Calculation[#Headers]))</f>
        <v/>
      </c>
    </row>
    <row r="494" customFormat="false" ht="14.25" hidden="false" customHeight="false" outlineLevel="0" collapsed="false">
      <c r="A494" s="161" t="str">
        <f aca="false">IF(Salary_Calculation[[#This Row],[Source Row]]="","",IF(INDEX(Rider_Input[Salary Month],Salary_Calculation[[#This Row],[Source Row]])="","",INDEX(Rider_Input[Salary Month],Salary_Calculation[[#This Row],[Source Row]])))</f>
        <v/>
      </c>
      <c r="B494" s="162" t="str">
        <f aca="false">IF(Salary_Calculation[[#This Row],[Source Row]]="","",IF(INDEX(Rider_Input[Rider ID],Salary_Calculation[[#This Row],[Source Row]])="","",INDEX(Rider_Input[Rider ID],Salary_Calculation[[#This Row],[Source Row]])))</f>
        <v/>
      </c>
      <c r="C494" s="163" t="str">
        <f aca="false">IF(Salary_Calculation[[#This Row],[Source Row]]="","",IF(INDEX(Rider_Input[Rider Name],Salary_Calculation[[#This Row],[Source Row]])="","",INDEX(Rider_Input[Rider Name],Salary_Calculation[[#This Row],[Source Row]])))</f>
        <v/>
      </c>
      <c r="D494" s="164" t="str">
        <f aca="false">IF(Salary_Calculation[[#This Row],[Source Row]]="","",IF(INDEX(Rider_Input[Basic Payment],Salary_Calculation[[#This Row],[Source Row]])="","",INDEX(Rider_Input[Basic Payment],Salary_Calculation[[#This Row],[Source Row]])))</f>
        <v/>
      </c>
      <c r="E494" s="162" t="str">
        <f aca="false">IF(Salary_Calculation[[#This Row],[Source Row]]="","",IF(INDEX(Rider_Input[Calendar Days in Month],Salary_Calculation[[#This Row],[Source Row]])="","",INDEX(Rider_Input[Calendar Days in Month],Salary_Calculation[[#This Row],[Source Row]])))</f>
        <v/>
      </c>
      <c r="F494" s="162" t="str">
        <f aca="false">IF(Salary_Calculation[[#This Row],[Source Row]]="","",IF(INDEX(Rider_Input[Working Days],Salary_Calculation[[#This Row],[Source Row]])="","",INDEX(Rider_Input[Working Days],Salary_Calculation[[#This Row],[Source Row]])))</f>
        <v/>
      </c>
      <c r="G494" s="165" t="str">
        <f aca="false">IF(Salary_Calculation[[#This Row],[Source Row]]="","",Std_Orders/Std_Days*N(Salary_Calculation[[#This Row],[Calendar Days]]))</f>
        <v/>
      </c>
      <c r="H494" s="165" t="str">
        <f aca="false">IF(Salary_Calculation[[#This Row],[Source Row]]="","",IF(N(Salary_Calculation[[#This Row],[Calendar Days]])&gt;0,Salary_Calculation[[#This Row],[Monthly Target Orders]]/N(Salary_Calculation[[#This Row],[Calendar Days]])*N(Salary_Calculation[[#This Row],[Working Days]]),0))</f>
        <v/>
      </c>
      <c r="I494" s="166" t="str">
        <f aca="false">IF(Salary_Calculation[[#This Row],[Source Row]]="","",IF(INDEX(Rider_Input[Completed Orders],Salary_Calculation[[#This Row],[Source Row]])="","",INDEX(Rider_Input[Completed Orders],Salary_Calculation[[#This Row],[Source Row]])))</f>
        <v/>
      </c>
      <c r="J494" s="165" t="str">
        <f aca="false">IF(Salary_Calculation[[#This Row],[Source Row]]="","",IF(Rate_Method="Fixed rate",Fixed_Rate,IF(N(Salary_Calculation[[#This Row],[Basic Payment]])&gt;0,N(Salary_Calculation[[#This Row],[Basic Payment]])/Std_Orders,0)))</f>
        <v/>
      </c>
      <c r="K494" s="165" t="str">
        <f aca="false">IF(Salary_Calculation[[#This Row],[Source Row]]="","",MAX(MIN(N(Salary_Calculation[[#This Row],[Completed Orders]]),Salary_Calculation[[#This Row],[Rider Target Orders]]),0))</f>
        <v/>
      </c>
      <c r="L494" s="164" t="str">
        <f aca="false">IF(Salary_Calculation[[#This Row],[Source Row]]="","",Salary_Calculation[[#This Row],[Orders Counted at Base Rate]]*Salary_Calculation[[#This Row],[Base Order Rate]])</f>
        <v/>
      </c>
      <c r="M494" s="165" t="str">
        <f aca="false">IF(Salary_Calculation[[#This Row],[Source Row]]="","",MAX(Salary_Calculation[[#This Row],[Rider Target Orders]]-N(Salary_Calculation[[#This Row],[Completed Orders]]),0))</f>
        <v/>
      </c>
      <c r="N494" s="164" t="str">
        <f aca="false">IF(Salary_Calculation[[#This Row],[Source Row]]="","",Salary_Calculation[[#This Row],[Missing Orders]]*Missing_Rate)</f>
        <v/>
      </c>
      <c r="O494" s="165" t="str">
        <f aca="false">IF(Salary_Calculation[[#This Row],[Source Row]]="","",MAX(N(Salary_Calculation[[#This Row],[Completed Orders]])-Salary_Calculation[[#This Row],[Rider Target Orders]],0))</f>
        <v/>
      </c>
      <c r="P494" s="164" t="str">
        <f aca="false">IF(Salary_Calculation[[#This Row],[Source Row]]="","",Salary_Calculation[[#This Row],[Extra Orders]]*Extra_Rate)</f>
        <v/>
      </c>
      <c r="Q494" s="164" t="str">
        <f aca="false">IF(Salary_Calculation[[#This Row],[Source Row]]="","",MAX(Salary_Calculation[[#This Row],[Salary Before Other Deductions]],0))</f>
        <v/>
      </c>
      <c r="R494" s="164" t="str">
        <f aca="false">IF(Salary_Calculation[[#This Row],[Source Row]]="","",N(INDEX(Rider_Input[missed_days_penalty],Salary_Calculation[[#This Row],[Source Row]])))</f>
        <v/>
      </c>
      <c r="S494" s="164" t="str">
        <f aca="false">IF(Salary_Calculation[[#This Row],[Source Row]]="","",N(INDEX(Rider_Input[Rider Balance / محفظة المندوب],Salary_Calculation[[#This Row],[Source Row]])))</f>
        <v/>
      </c>
      <c r="T494" s="164" t="str">
        <f aca="false">IF(Salary_Calculation[[#This Row],[Source Row]]="","",N(INDEX(Rider_Input[stacking_deduction / خصم الطلبات المتعددة],Salary_Calculation[[#This Row],[Source Row]])))</f>
        <v/>
      </c>
      <c r="U494" s="164" t="str">
        <f aca="false">IF(Salary_Calculation[[#This Row],[Source Row]]="","",N(INDEX(Rider_Input[Other Deductions],Salary_Calculation[[#This Row],[Source Row]])))</f>
        <v/>
      </c>
      <c r="V494" s="164" t="str">
        <f aca="false">IF(Salary_Calculation[[#This Row],[Source Row]]="","",N(Salary_Calculation[[#This Row],[missed_days_penalty]])+N(Salary_Calculation[[#This Row],[Rider Balance]])+N(Salary_Calculation[[#This Row],[stacking_deduction]])+N(Salary_Calculation[[#This Row],[Other Deductions]]))</f>
        <v/>
      </c>
      <c r="W494" s="167" t="str">
        <f aca="false">IF(Salary_Calculation[[#This Row],[Source Row]]="","",ROUND(MAX(Salary_Calculation[[#This Row],[Gross Salary Before Deductions]]-Salary_Calculation[[#This Row],[Total Deductions]],0),2))</f>
        <v/>
      </c>
      <c r="X494" s="164" t="str">
        <f aca="false">IF(Salary_Calculation[[#This Row],[Source Row]]="","",ROUND(MAX(Salary_Calculation[[#This Row],[Missing-Order Deduction]]-Salary_Calculation[[#This Row],[Earned Salary]],0),2))</f>
        <v/>
      </c>
      <c r="Y494"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94" s="163" t="str">
        <f aca="false">IF(Salary_Calculation[[#This Row],[Source Row]]="","",IF(INDEX(Rider_Input[Notes],Salary_Calculation[[#This Row],[Source Row]])="","",INDEX(Rider_Input[Notes],Salary_Calculation[[#This Row],[Source Row]])))</f>
        <v/>
      </c>
      <c r="AA494" s="164" t="str">
        <f aca="false">IF(Salary_Calculation[[#This Row],[Source Row]]="","",Salary_Calculation[[#This Row],[Earned Salary]]-Salary_Calculation[[#This Row],[Missing-Order Deduction]]+Salary_Calculation[[#This Row],[Extra-Order Bonus]])</f>
        <v/>
      </c>
      <c r="AB494" s="164" t="str">
        <f aca="false">IF(Salary_Calculation[[#This Row],[Source Row]]="","",ROUND(Salary_Calculation[[#This Row],[Negative Balance / Amount Due from Rider]]+MAX(Salary_Calculation[[#This Row],[Total Deductions]]-Salary_Calculation[[#This Row],[Gross Salary Before Deductions]],0),2))</f>
        <v/>
      </c>
      <c r="AC494"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94" s="164" t="str">
        <f aca="false">IF(Salary_Calculation[[#This Row],[Source Row]]="","",Salary_Calculation[[#This Row],[Rider Target Orders]]*Salary_Calculation[[#This Row],[Base Order Rate]])</f>
        <v/>
      </c>
      <c r="AE494" s="162" t="str">
        <f aca="false">IF(SUMPRODUCT(--(LEN(INDEX(Rider_Input[#Data],ROW()-ROW(Salary_Calculation[#Headers]),0))&gt;0))=0,"",ROW()-ROW(Salary_Calculation[#Headers]))</f>
        <v/>
      </c>
    </row>
    <row r="495" customFormat="false" ht="14.25" hidden="false" customHeight="false" outlineLevel="0" collapsed="false">
      <c r="A495" s="161" t="str">
        <f aca="false">IF(Salary_Calculation[[#This Row],[Source Row]]="","",IF(INDEX(Rider_Input[Salary Month],Salary_Calculation[[#This Row],[Source Row]])="","",INDEX(Rider_Input[Salary Month],Salary_Calculation[[#This Row],[Source Row]])))</f>
        <v/>
      </c>
      <c r="B495" s="162" t="str">
        <f aca="false">IF(Salary_Calculation[[#This Row],[Source Row]]="","",IF(INDEX(Rider_Input[Rider ID],Salary_Calculation[[#This Row],[Source Row]])="","",INDEX(Rider_Input[Rider ID],Salary_Calculation[[#This Row],[Source Row]])))</f>
        <v/>
      </c>
      <c r="C495" s="163" t="str">
        <f aca="false">IF(Salary_Calculation[[#This Row],[Source Row]]="","",IF(INDEX(Rider_Input[Rider Name],Salary_Calculation[[#This Row],[Source Row]])="","",INDEX(Rider_Input[Rider Name],Salary_Calculation[[#This Row],[Source Row]])))</f>
        <v/>
      </c>
      <c r="D495" s="164" t="str">
        <f aca="false">IF(Salary_Calculation[[#This Row],[Source Row]]="","",IF(INDEX(Rider_Input[Basic Payment],Salary_Calculation[[#This Row],[Source Row]])="","",INDEX(Rider_Input[Basic Payment],Salary_Calculation[[#This Row],[Source Row]])))</f>
        <v/>
      </c>
      <c r="E495" s="162" t="str">
        <f aca="false">IF(Salary_Calculation[[#This Row],[Source Row]]="","",IF(INDEX(Rider_Input[Calendar Days in Month],Salary_Calculation[[#This Row],[Source Row]])="","",INDEX(Rider_Input[Calendar Days in Month],Salary_Calculation[[#This Row],[Source Row]])))</f>
        <v/>
      </c>
      <c r="F495" s="162" t="str">
        <f aca="false">IF(Salary_Calculation[[#This Row],[Source Row]]="","",IF(INDEX(Rider_Input[Working Days],Salary_Calculation[[#This Row],[Source Row]])="","",INDEX(Rider_Input[Working Days],Salary_Calculation[[#This Row],[Source Row]])))</f>
        <v/>
      </c>
      <c r="G495" s="165" t="str">
        <f aca="false">IF(Salary_Calculation[[#This Row],[Source Row]]="","",Std_Orders/Std_Days*N(Salary_Calculation[[#This Row],[Calendar Days]]))</f>
        <v/>
      </c>
      <c r="H495" s="165" t="str">
        <f aca="false">IF(Salary_Calculation[[#This Row],[Source Row]]="","",IF(N(Salary_Calculation[[#This Row],[Calendar Days]])&gt;0,Salary_Calculation[[#This Row],[Monthly Target Orders]]/N(Salary_Calculation[[#This Row],[Calendar Days]])*N(Salary_Calculation[[#This Row],[Working Days]]),0))</f>
        <v/>
      </c>
      <c r="I495" s="166" t="str">
        <f aca="false">IF(Salary_Calculation[[#This Row],[Source Row]]="","",IF(INDEX(Rider_Input[Completed Orders],Salary_Calculation[[#This Row],[Source Row]])="","",INDEX(Rider_Input[Completed Orders],Salary_Calculation[[#This Row],[Source Row]])))</f>
        <v/>
      </c>
      <c r="J495" s="165" t="str">
        <f aca="false">IF(Salary_Calculation[[#This Row],[Source Row]]="","",IF(Rate_Method="Fixed rate",Fixed_Rate,IF(N(Salary_Calculation[[#This Row],[Basic Payment]])&gt;0,N(Salary_Calculation[[#This Row],[Basic Payment]])/Std_Orders,0)))</f>
        <v/>
      </c>
      <c r="K495" s="165" t="str">
        <f aca="false">IF(Salary_Calculation[[#This Row],[Source Row]]="","",MAX(MIN(N(Salary_Calculation[[#This Row],[Completed Orders]]),Salary_Calculation[[#This Row],[Rider Target Orders]]),0))</f>
        <v/>
      </c>
      <c r="L495" s="164" t="str">
        <f aca="false">IF(Salary_Calculation[[#This Row],[Source Row]]="","",Salary_Calculation[[#This Row],[Orders Counted at Base Rate]]*Salary_Calculation[[#This Row],[Base Order Rate]])</f>
        <v/>
      </c>
      <c r="M495" s="165" t="str">
        <f aca="false">IF(Salary_Calculation[[#This Row],[Source Row]]="","",MAX(Salary_Calculation[[#This Row],[Rider Target Orders]]-N(Salary_Calculation[[#This Row],[Completed Orders]]),0))</f>
        <v/>
      </c>
      <c r="N495" s="164" t="str">
        <f aca="false">IF(Salary_Calculation[[#This Row],[Source Row]]="","",Salary_Calculation[[#This Row],[Missing Orders]]*Missing_Rate)</f>
        <v/>
      </c>
      <c r="O495" s="165" t="str">
        <f aca="false">IF(Salary_Calculation[[#This Row],[Source Row]]="","",MAX(N(Salary_Calculation[[#This Row],[Completed Orders]])-Salary_Calculation[[#This Row],[Rider Target Orders]],0))</f>
        <v/>
      </c>
      <c r="P495" s="164" t="str">
        <f aca="false">IF(Salary_Calculation[[#This Row],[Source Row]]="","",Salary_Calculation[[#This Row],[Extra Orders]]*Extra_Rate)</f>
        <v/>
      </c>
      <c r="Q495" s="164" t="str">
        <f aca="false">IF(Salary_Calculation[[#This Row],[Source Row]]="","",MAX(Salary_Calculation[[#This Row],[Salary Before Other Deductions]],0))</f>
        <v/>
      </c>
      <c r="R495" s="164" t="str">
        <f aca="false">IF(Salary_Calculation[[#This Row],[Source Row]]="","",N(INDEX(Rider_Input[missed_days_penalty],Salary_Calculation[[#This Row],[Source Row]])))</f>
        <v/>
      </c>
      <c r="S495" s="164" t="str">
        <f aca="false">IF(Salary_Calculation[[#This Row],[Source Row]]="","",N(INDEX(Rider_Input[Rider Balance / محفظة المندوب],Salary_Calculation[[#This Row],[Source Row]])))</f>
        <v/>
      </c>
      <c r="T495" s="164" t="str">
        <f aca="false">IF(Salary_Calculation[[#This Row],[Source Row]]="","",N(INDEX(Rider_Input[stacking_deduction / خصم الطلبات المتعددة],Salary_Calculation[[#This Row],[Source Row]])))</f>
        <v/>
      </c>
      <c r="U495" s="164" t="str">
        <f aca="false">IF(Salary_Calculation[[#This Row],[Source Row]]="","",N(INDEX(Rider_Input[Other Deductions],Salary_Calculation[[#This Row],[Source Row]])))</f>
        <v/>
      </c>
      <c r="V495" s="164" t="str">
        <f aca="false">IF(Salary_Calculation[[#This Row],[Source Row]]="","",N(Salary_Calculation[[#This Row],[missed_days_penalty]])+N(Salary_Calculation[[#This Row],[Rider Balance]])+N(Salary_Calculation[[#This Row],[stacking_deduction]])+N(Salary_Calculation[[#This Row],[Other Deductions]]))</f>
        <v/>
      </c>
      <c r="W495" s="167" t="str">
        <f aca="false">IF(Salary_Calculation[[#This Row],[Source Row]]="","",ROUND(MAX(Salary_Calculation[[#This Row],[Gross Salary Before Deductions]]-Salary_Calculation[[#This Row],[Total Deductions]],0),2))</f>
        <v/>
      </c>
      <c r="X495" s="164" t="str">
        <f aca="false">IF(Salary_Calculation[[#This Row],[Source Row]]="","",ROUND(MAX(Salary_Calculation[[#This Row],[Missing-Order Deduction]]-Salary_Calculation[[#This Row],[Earned Salary]],0),2))</f>
        <v/>
      </c>
      <c r="Y495"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95" s="163" t="str">
        <f aca="false">IF(Salary_Calculation[[#This Row],[Source Row]]="","",IF(INDEX(Rider_Input[Notes],Salary_Calculation[[#This Row],[Source Row]])="","",INDEX(Rider_Input[Notes],Salary_Calculation[[#This Row],[Source Row]])))</f>
        <v/>
      </c>
      <c r="AA495" s="164" t="str">
        <f aca="false">IF(Salary_Calculation[[#This Row],[Source Row]]="","",Salary_Calculation[[#This Row],[Earned Salary]]-Salary_Calculation[[#This Row],[Missing-Order Deduction]]+Salary_Calculation[[#This Row],[Extra-Order Bonus]])</f>
        <v/>
      </c>
      <c r="AB495" s="164" t="str">
        <f aca="false">IF(Salary_Calculation[[#This Row],[Source Row]]="","",ROUND(Salary_Calculation[[#This Row],[Negative Balance / Amount Due from Rider]]+MAX(Salary_Calculation[[#This Row],[Total Deductions]]-Salary_Calculation[[#This Row],[Gross Salary Before Deductions]],0),2))</f>
        <v/>
      </c>
      <c r="AC495"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95" s="164" t="str">
        <f aca="false">IF(Salary_Calculation[[#This Row],[Source Row]]="","",Salary_Calculation[[#This Row],[Rider Target Orders]]*Salary_Calculation[[#This Row],[Base Order Rate]])</f>
        <v/>
      </c>
      <c r="AE495" s="162" t="str">
        <f aca="false">IF(SUMPRODUCT(--(LEN(INDEX(Rider_Input[#Data],ROW()-ROW(Salary_Calculation[#Headers]),0))&gt;0))=0,"",ROW()-ROW(Salary_Calculation[#Headers]))</f>
        <v/>
      </c>
    </row>
    <row r="496" customFormat="false" ht="14.25" hidden="false" customHeight="false" outlineLevel="0" collapsed="false">
      <c r="A496" s="161" t="str">
        <f aca="false">IF(Salary_Calculation[[#This Row],[Source Row]]="","",IF(INDEX(Rider_Input[Salary Month],Salary_Calculation[[#This Row],[Source Row]])="","",INDEX(Rider_Input[Salary Month],Salary_Calculation[[#This Row],[Source Row]])))</f>
        <v/>
      </c>
      <c r="B496" s="162" t="str">
        <f aca="false">IF(Salary_Calculation[[#This Row],[Source Row]]="","",IF(INDEX(Rider_Input[Rider ID],Salary_Calculation[[#This Row],[Source Row]])="","",INDEX(Rider_Input[Rider ID],Salary_Calculation[[#This Row],[Source Row]])))</f>
        <v/>
      </c>
      <c r="C496" s="163" t="str">
        <f aca="false">IF(Salary_Calculation[[#This Row],[Source Row]]="","",IF(INDEX(Rider_Input[Rider Name],Salary_Calculation[[#This Row],[Source Row]])="","",INDEX(Rider_Input[Rider Name],Salary_Calculation[[#This Row],[Source Row]])))</f>
        <v/>
      </c>
      <c r="D496" s="164" t="str">
        <f aca="false">IF(Salary_Calculation[[#This Row],[Source Row]]="","",IF(INDEX(Rider_Input[Basic Payment],Salary_Calculation[[#This Row],[Source Row]])="","",INDEX(Rider_Input[Basic Payment],Salary_Calculation[[#This Row],[Source Row]])))</f>
        <v/>
      </c>
      <c r="E496" s="162" t="str">
        <f aca="false">IF(Salary_Calculation[[#This Row],[Source Row]]="","",IF(INDEX(Rider_Input[Calendar Days in Month],Salary_Calculation[[#This Row],[Source Row]])="","",INDEX(Rider_Input[Calendar Days in Month],Salary_Calculation[[#This Row],[Source Row]])))</f>
        <v/>
      </c>
      <c r="F496" s="162" t="str">
        <f aca="false">IF(Salary_Calculation[[#This Row],[Source Row]]="","",IF(INDEX(Rider_Input[Working Days],Salary_Calculation[[#This Row],[Source Row]])="","",INDEX(Rider_Input[Working Days],Salary_Calculation[[#This Row],[Source Row]])))</f>
        <v/>
      </c>
      <c r="G496" s="165" t="str">
        <f aca="false">IF(Salary_Calculation[[#This Row],[Source Row]]="","",Std_Orders/Std_Days*N(Salary_Calculation[[#This Row],[Calendar Days]]))</f>
        <v/>
      </c>
      <c r="H496" s="165" t="str">
        <f aca="false">IF(Salary_Calculation[[#This Row],[Source Row]]="","",IF(N(Salary_Calculation[[#This Row],[Calendar Days]])&gt;0,Salary_Calculation[[#This Row],[Monthly Target Orders]]/N(Salary_Calculation[[#This Row],[Calendar Days]])*N(Salary_Calculation[[#This Row],[Working Days]]),0))</f>
        <v/>
      </c>
      <c r="I496" s="166" t="str">
        <f aca="false">IF(Salary_Calculation[[#This Row],[Source Row]]="","",IF(INDEX(Rider_Input[Completed Orders],Salary_Calculation[[#This Row],[Source Row]])="","",INDEX(Rider_Input[Completed Orders],Salary_Calculation[[#This Row],[Source Row]])))</f>
        <v/>
      </c>
      <c r="J496" s="165" t="str">
        <f aca="false">IF(Salary_Calculation[[#This Row],[Source Row]]="","",IF(Rate_Method="Fixed rate",Fixed_Rate,IF(N(Salary_Calculation[[#This Row],[Basic Payment]])&gt;0,N(Salary_Calculation[[#This Row],[Basic Payment]])/Std_Orders,0)))</f>
        <v/>
      </c>
      <c r="K496" s="165" t="str">
        <f aca="false">IF(Salary_Calculation[[#This Row],[Source Row]]="","",MAX(MIN(N(Salary_Calculation[[#This Row],[Completed Orders]]),Salary_Calculation[[#This Row],[Rider Target Orders]]),0))</f>
        <v/>
      </c>
      <c r="L496" s="164" t="str">
        <f aca="false">IF(Salary_Calculation[[#This Row],[Source Row]]="","",Salary_Calculation[[#This Row],[Orders Counted at Base Rate]]*Salary_Calculation[[#This Row],[Base Order Rate]])</f>
        <v/>
      </c>
      <c r="M496" s="165" t="str">
        <f aca="false">IF(Salary_Calculation[[#This Row],[Source Row]]="","",MAX(Salary_Calculation[[#This Row],[Rider Target Orders]]-N(Salary_Calculation[[#This Row],[Completed Orders]]),0))</f>
        <v/>
      </c>
      <c r="N496" s="164" t="str">
        <f aca="false">IF(Salary_Calculation[[#This Row],[Source Row]]="","",Salary_Calculation[[#This Row],[Missing Orders]]*Missing_Rate)</f>
        <v/>
      </c>
      <c r="O496" s="165" t="str">
        <f aca="false">IF(Salary_Calculation[[#This Row],[Source Row]]="","",MAX(N(Salary_Calculation[[#This Row],[Completed Orders]])-Salary_Calculation[[#This Row],[Rider Target Orders]],0))</f>
        <v/>
      </c>
      <c r="P496" s="164" t="str">
        <f aca="false">IF(Salary_Calculation[[#This Row],[Source Row]]="","",Salary_Calculation[[#This Row],[Extra Orders]]*Extra_Rate)</f>
        <v/>
      </c>
      <c r="Q496" s="164" t="str">
        <f aca="false">IF(Salary_Calculation[[#This Row],[Source Row]]="","",MAX(Salary_Calculation[[#This Row],[Salary Before Other Deductions]],0))</f>
        <v/>
      </c>
      <c r="R496" s="164" t="str">
        <f aca="false">IF(Salary_Calculation[[#This Row],[Source Row]]="","",N(INDEX(Rider_Input[missed_days_penalty],Salary_Calculation[[#This Row],[Source Row]])))</f>
        <v/>
      </c>
      <c r="S496" s="164" t="str">
        <f aca="false">IF(Salary_Calculation[[#This Row],[Source Row]]="","",N(INDEX(Rider_Input[Rider Balance / محفظة المندوب],Salary_Calculation[[#This Row],[Source Row]])))</f>
        <v/>
      </c>
      <c r="T496" s="164" t="str">
        <f aca="false">IF(Salary_Calculation[[#This Row],[Source Row]]="","",N(INDEX(Rider_Input[stacking_deduction / خصم الطلبات المتعددة],Salary_Calculation[[#This Row],[Source Row]])))</f>
        <v/>
      </c>
      <c r="U496" s="164" t="str">
        <f aca="false">IF(Salary_Calculation[[#This Row],[Source Row]]="","",N(INDEX(Rider_Input[Other Deductions],Salary_Calculation[[#This Row],[Source Row]])))</f>
        <v/>
      </c>
      <c r="V496" s="164" t="str">
        <f aca="false">IF(Salary_Calculation[[#This Row],[Source Row]]="","",N(Salary_Calculation[[#This Row],[missed_days_penalty]])+N(Salary_Calculation[[#This Row],[Rider Balance]])+N(Salary_Calculation[[#This Row],[stacking_deduction]])+N(Salary_Calculation[[#This Row],[Other Deductions]]))</f>
        <v/>
      </c>
      <c r="W496" s="167" t="str">
        <f aca="false">IF(Salary_Calculation[[#This Row],[Source Row]]="","",ROUND(MAX(Salary_Calculation[[#This Row],[Gross Salary Before Deductions]]-Salary_Calculation[[#This Row],[Total Deductions]],0),2))</f>
        <v/>
      </c>
      <c r="X496" s="164" t="str">
        <f aca="false">IF(Salary_Calculation[[#This Row],[Source Row]]="","",ROUND(MAX(Salary_Calculation[[#This Row],[Missing-Order Deduction]]-Salary_Calculation[[#This Row],[Earned Salary]],0),2))</f>
        <v/>
      </c>
      <c r="Y496"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96" s="163" t="str">
        <f aca="false">IF(Salary_Calculation[[#This Row],[Source Row]]="","",IF(INDEX(Rider_Input[Notes],Salary_Calculation[[#This Row],[Source Row]])="","",INDEX(Rider_Input[Notes],Salary_Calculation[[#This Row],[Source Row]])))</f>
        <v/>
      </c>
      <c r="AA496" s="164" t="str">
        <f aca="false">IF(Salary_Calculation[[#This Row],[Source Row]]="","",Salary_Calculation[[#This Row],[Earned Salary]]-Salary_Calculation[[#This Row],[Missing-Order Deduction]]+Salary_Calculation[[#This Row],[Extra-Order Bonus]])</f>
        <v/>
      </c>
      <c r="AB496" s="164" t="str">
        <f aca="false">IF(Salary_Calculation[[#This Row],[Source Row]]="","",ROUND(Salary_Calculation[[#This Row],[Negative Balance / Amount Due from Rider]]+MAX(Salary_Calculation[[#This Row],[Total Deductions]]-Salary_Calculation[[#This Row],[Gross Salary Before Deductions]],0),2))</f>
        <v/>
      </c>
      <c r="AC496"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96" s="164" t="str">
        <f aca="false">IF(Salary_Calculation[[#This Row],[Source Row]]="","",Salary_Calculation[[#This Row],[Rider Target Orders]]*Salary_Calculation[[#This Row],[Base Order Rate]])</f>
        <v/>
      </c>
      <c r="AE496" s="162" t="str">
        <f aca="false">IF(SUMPRODUCT(--(LEN(INDEX(Rider_Input[#Data],ROW()-ROW(Salary_Calculation[#Headers]),0))&gt;0))=0,"",ROW()-ROW(Salary_Calculation[#Headers]))</f>
        <v/>
      </c>
    </row>
    <row r="497" customFormat="false" ht="14.25" hidden="false" customHeight="false" outlineLevel="0" collapsed="false">
      <c r="A497" s="161" t="str">
        <f aca="false">IF(Salary_Calculation[[#This Row],[Source Row]]="","",IF(INDEX(Rider_Input[Salary Month],Salary_Calculation[[#This Row],[Source Row]])="","",INDEX(Rider_Input[Salary Month],Salary_Calculation[[#This Row],[Source Row]])))</f>
        <v/>
      </c>
      <c r="B497" s="162" t="str">
        <f aca="false">IF(Salary_Calculation[[#This Row],[Source Row]]="","",IF(INDEX(Rider_Input[Rider ID],Salary_Calculation[[#This Row],[Source Row]])="","",INDEX(Rider_Input[Rider ID],Salary_Calculation[[#This Row],[Source Row]])))</f>
        <v/>
      </c>
      <c r="C497" s="163" t="str">
        <f aca="false">IF(Salary_Calculation[[#This Row],[Source Row]]="","",IF(INDEX(Rider_Input[Rider Name],Salary_Calculation[[#This Row],[Source Row]])="","",INDEX(Rider_Input[Rider Name],Salary_Calculation[[#This Row],[Source Row]])))</f>
        <v/>
      </c>
      <c r="D497" s="164" t="str">
        <f aca="false">IF(Salary_Calculation[[#This Row],[Source Row]]="","",IF(INDEX(Rider_Input[Basic Payment],Salary_Calculation[[#This Row],[Source Row]])="","",INDEX(Rider_Input[Basic Payment],Salary_Calculation[[#This Row],[Source Row]])))</f>
        <v/>
      </c>
      <c r="E497" s="162" t="str">
        <f aca="false">IF(Salary_Calculation[[#This Row],[Source Row]]="","",IF(INDEX(Rider_Input[Calendar Days in Month],Salary_Calculation[[#This Row],[Source Row]])="","",INDEX(Rider_Input[Calendar Days in Month],Salary_Calculation[[#This Row],[Source Row]])))</f>
        <v/>
      </c>
      <c r="F497" s="162" t="str">
        <f aca="false">IF(Salary_Calculation[[#This Row],[Source Row]]="","",IF(INDEX(Rider_Input[Working Days],Salary_Calculation[[#This Row],[Source Row]])="","",INDEX(Rider_Input[Working Days],Salary_Calculation[[#This Row],[Source Row]])))</f>
        <v/>
      </c>
      <c r="G497" s="165" t="str">
        <f aca="false">IF(Salary_Calculation[[#This Row],[Source Row]]="","",Std_Orders/Std_Days*N(Salary_Calculation[[#This Row],[Calendar Days]]))</f>
        <v/>
      </c>
      <c r="H497" s="165" t="str">
        <f aca="false">IF(Salary_Calculation[[#This Row],[Source Row]]="","",IF(N(Salary_Calculation[[#This Row],[Calendar Days]])&gt;0,Salary_Calculation[[#This Row],[Monthly Target Orders]]/N(Salary_Calculation[[#This Row],[Calendar Days]])*N(Salary_Calculation[[#This Row],[Working Days]]),0))</f>
        <v/>
      </c>
      <c r="I497" s="166" t="str">
        <f aca="false">IF(Salary_Calculation[[#This Row],[Source Row]]="","",IF(INDEX(Rider_Input[Completed Orders],Salary_Calculation[[#This Row],[Source Row]])="","",INDEX(Rider_Input[Completed Orders],Salary_Calculation[[#This Row],[Source Row]])))</f>
        <v/>
      </c>
      <c r="J497" s="165" t="str">
        <f aca="false">IF(Salary_Calculation[[#This Row],[Source Row]]="","",IF(Rate_Method="Fixed rate",Fixed_Rate,IF(N(Salary_Calculation[[#This Row],[Basic Payment]])&gt;0,N(Salary_Calculation[[#This Row],[Basic Payment]])/Std_Orders,0)))</f>
        <v/>
      </c>
      <c r="K497" s="165" t="str">
        <f aca="false">IF(Salary_Calculation[[#This Row],[Source Row]]="","",MAX(MIN(N(Salary_Calculation[[#This Row],[Completed Orders]]),Salary_Calculation[[#This Row],[Rider Target Orders]]),0))</f>
        <v/>
      </c>
      <c r="L497" s="164" t="str">
        <f aca="false">IF(Salary_Calculation[[#This Row],[Source Row]]="","",Salary_Calculation[[#This Row],[Orders Counted at Base Rate]]*Salary_Calculation[[#This Row],[Base Order Rate]])</f>
        <v/>
      </c>
      <c r="M497" s="165" t="str">
        <f aca="false">IF(Salary_Calculation[[#This Row],[Source Row]]="","",MAX(Salary_Calculation[[#This Row],[Rider Target Orders]]-N(Salary_Calculation[[#This Row],[Completed Orders]]),0))</f>
        <v/>
      </c>
      <c r="N497" s="164" t="str">
        <f aca="false">IF(Salary_Calculation[[#This Row],[Source Row]]="","",Salary_Calculation[[#This Row],[Missing Orders]]*Missing_Rate)</f>
        <v/>
      </c>
      <c r="O497" s="165" t="str">
        <f aca="false">IF(Salary_Calculation[[#This Row],[Source Row]]="","",MAX(N(Salary_Calculation[[#This Row],[Completed Orders]])-Salary_Calculation[[#This Row],[Rider Target Orders]],0))</f>
        <v/>
      </c>
      <c r="P497" s="164" t="str">
        <f aca="false">IF(Salary_Calculation[[#This Row],[Source Row]]="","",Salary_Calculation[[#This Row],[Extra Orders]]*Extra_Rate)</f>
        <v/>
      </c>
      <c r="Q497" s="164" t="str">
        <f aca="false">IF(Salary_Calculation[[#This Row],[Source Row]]="","",MAX(Salary_Calculation[[#This Row],[Salary Before Other Deductions]],0))</f>
        <v/>
      </c>
      <c r="R497" s="164" t="str">
        <f aca="false">IF(Salary_Calculation[[#This Row],[Source Row]]="","",N(INDEX(Rider_Input[missed_days_penalty],Salary_Calculation[[#This Row],[Source Row]])))</f>
        <v/>
      </c>
      <c r="S497" s="164" t="str">
        <f aca="false">IF(Salary_Calculation[[#This Row],[Source Row]]="","",N(INDEX(Rider_Input[Rider Balance / محفظة المندوب],Salary_Calculation[[#This Row],[Source Row]])))</f>
        <v/>
      </c>
      <c r="T497" s="164" t="str">
        <f aca="false">IF(Salary_Calculation[[#This Row],[Source Row]]="","",N(INDEX(Rider_Input[stacking_deduction / خصم الطلبات المتعددة],Salary_Calculation[[#This Row],[Source Row]])))</f>
        <v/>
      </c>
      <c r="U497" s="164" t="str">
        <f aca="false">IF(Salary_Calculation[[#This Row],[Source Row]]="","",N(INDEX(Rider_Input[Other Deductions],Salary_Calculation[[#This Row],[Source Row]])))</f>
        <v/>
      </c>
      <c r="V497" s="164" t="str">
        <f aca="false">IF(Salary_Calculation[[#This Row],[Source Row]]="","",N(Salary_Calculation[[#This Row],[missed_days_penalty]])+N(Salary_Calculation[[#This Row],[Rider Balance]])+N(Salary_Calculation[[#This Row],[stacking_deduction]])+N(Salary_Calculation[[#This Row],[Other Deductions]]))</f>
        <v/>
      </c>
      <c r="W497" s="167" t="str">
        <f aca="false">IF(Salary_Calculation[[#This Row],[Source Row]]="","",ROUND(MAX(Salary_Calculation[[#This Row],[Gross Salary Before Deductions]]-Salary_Calculation[[#This Row],[Total Deductions]],0),2))</f>
        <v/>
      </c>
      <c r="X497" s="164" t="str">
        <f aca="false">IF(Salary_Calculation[[#This Row],[Source Row]]="","",ROUND(MAX(Salary_Calculation[[#This Row],[Missing-Order Deduction]]-Salary_Calculation[[#This Row],[Earned Salary]],0),2))</f>
        <v/>
      </c>
      <c r="Y497"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97" s="163" t="str">
        <f aca="false">IF(Salary_Calculation[[#This Row],[Source Row]]="","",IF(INDEX(Rider_Input[Notes],Salary_Calculation[[#This Row],[Source Row]])="","",INDEX(Rider_Input[Notes],Salary_Calculation[[#This Row],[Source Row]])))</f>
        <v/>
      </c>
      <c r="AA497" s="164" t="str">
        <f aca="false">IF(Salary_Calculation[[#This Row],[Source Row]]="","",Salary_Calculation[[#This Row],[Earned Salary]]-Salary_Calculation[[#This Row],[Missing-Order Deduction]]+Salary_Calculation[[#This Row],[Extra-Order Bonus]])</f>
        <v/>
      </c>
      <c r="AB497" s="164" t="str">
        <f aca="false">IF(Salary_Calculation[[#This Row],[Source Row]]="","",ROUND(Salary_Calculation[[#This Row],[Negative Balance / Amount Due from Rider]]+MAX(Salary_Calculation[[#This Row],[Total Deductions]]-Salary_Calculation[[#This Row],[Gross Salary Before Deductions]],0),2))</f>
        <v/>
      </c>
      <c r="AC497"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97" s="164" t="str">
        <f aca="false">IF(Salary_Calculation[[#This Row],[Source Row]]="","",Salary_Calculation[[#This Row],[Rider Target Orders]]*Salary_Calculation[[#This Row],[Base Order Rate]])</f>
        <v/>
      </c>
      <c r="AE497" s="162" t="str">
        <f aca="false">IF(SUMPRODUCT(--(LEN(INDEX(Rider_Input[#Data],ROW()-ROW(Salary_Calculation[#Headers]),0))&gt;0))=0,"",ROW()-ROW(Salary_Calculation[#Headers]))</f>
        <v/>
      </c>
    </row>
    <row r="498" customFormat="false" ht="14.25" hidden="false" customHeight="false" outlineLevel="0" collapsed="false">
      <c r="A498" s="161" t="str">
        <f aca="false">IF(Salary_Calculation[[#This Row],[Source Row]]="","",IF(INDEX(Rider_Input[Salary Month],Salary_Calculation[[#This Row],[Source Row]])="","",INDEX(Rider_Input[Salary Month],Salary_Calculation[[#This Row],[Source Row]])))</f>
        <v/>
      </c>
      <c r="B498" s="162" t="str">
        <f aca="false">IF(Salary_Calculation[[#This Row],[Source Row]]="","",IF(INDEX(Rider_Input[Rider ID],Salary_Calculation[[#This Row],[Source Row]])="","",INDEX(Rider_Input[Rider ID],Salary_Calculation[[#This Row],[Source Row]])))</f>
        <v/>
      </c>
      <c r="C498" s="163" t="str">
        <f aca="false">IF(Salary_Calculation[[#This Row],[Source Row]]="","",IF(INDEX(Rider_Input[Rider Name],Salary_Calculation[[#This Row],[Source Row]])="","",INDEX(Rider_Input[Rider Name],Salary_Calculation[[#This Row],[Source Row]])))</f>
        <v/>
      </c>
      <c r="D498" s="164" t="str">
        <f aca="false">IF(Salary_Calculation[[#This Row],[Source Row]]="","",IF(INDEX(Rider_Input[Basic Payment],Salary_Calculation[[#This Row],[Source Row]])="","",INDEX(Rider_Input[Basic Payment],Salary_Calculation[[#This Row],[Source Row]])))</f>
        <v/>
      </c>
      <c r="E498" s="162" t="str">
        <f aca="false">IF(Salary_Calculation[[#This Row],[Source Row]]="","",IF(INDEX(Rider_Input[Calendar Days in Month],Salary_Calculation[[#This Row],[Source Row]])="","",INDEX(Rider_Input[Calendar Days in Month],Salary_Calculation[[#This Row],[Source Row]])))</f>
        <v/>
      </c>
      <c r="F498" s="162" t="str">
        <f aca="false">IF(Salary_Calculation[[#This Row],[Source Row]]="","",IF(INDEX(Rider_Input[Working Days],Salary_Calculation[[#This Row],[Source Row]])="","",INDEX(Rider_Input[Working Days],Salary_Calculation[[#This Row],[Source Row]])))</f>
        <v/>
      </c>
      <c r="G498" s="165" t="str">
        <f aca="false">IF(Salary_Calculation[[#This Row],[Source Row]]="","",Std_Orders/Std_Days*N(Salary_Calculation[[#This Row],[Calendar Days]]))</f>
        <v/>
      </c>
      <c r="H498" s="165" t="str">
        <f aca="false">IF(Salary_Calculation[[#This Row],[Source Row]]="","",IF(N(Salary_Calculation[[#This Row],[Calendar Days]])&gt;0,Salary_Calculation[[#This Row],[Monthly Target Orders]]/N(Salary_Calculation[[#This Row],[Calendar Days]])*N(Salary_Calculation[[#This Row],[Working Days]]),0))</f>
        <v/>
      </c>
      <c r="I498" s="166" t="str">
        <f aca="false">IF(Salary_Calculation[[#This Row],[Source Row]]="","",IF(INDEX(Rider_Input[Completed Orders],Salary_Calculation[[#This Row],[Source Row]])="","",INDEX(Rider_Input[Completed Orders],Salary_Calculation[[#This Row],[Source Row]])))</f>
        <v/>
      </c>
      <c r="J498" s="165" t="str">
        <f aca="false">IF(Salary_Calculation[[#This Row],[Source Row]]="","",IF(Rate_Method="Fixed rate",Fixed_Rate,IF(N(Salary_Calculation[[#This Row],[Basic Payment]])&gt;0,N(Salary_Calculation[[#This Row],[Basic Payment]])/Std_Orders,0)))</f>
        <v/>
      </c>
      <c r="K498" s="165" t="str">
        <f aca="false">IF(Salary_Calculation[[#This Row],[Source Row]]="","",MAX(MIN(N(Salary_Calculation[[#This Row],[Completed Orders]]),Salary_Calculation[[#This Row],[Rider Target Orders]]),0))</f>
        <v/>
      </c>
      <c r="L498" s="164" t="str">
        <f aca="false">IF(Salary_Calculation[[#This Row],[Source Row]]="","",Salary_Calculation[[#This Row],[Orders Counted at Base Rate]]*Salary_Calculation[[#This Row],[Base Order Rate]])</f>
        <v/>
      </c>
      <c r="M498" s="165" t="str">
        <f aca="false">IF(Salary_Calculation[[#This Row],[Source Row]]="","",MAX(Salary_Calculation[[#This Row],[Rider Target Orders]]-N(Salary_Calculation[[#This Row],[Completed Orders]]),0))</f>
        <v/>
      </c>
      <c r="N498" s="164" t="str">
        <f aca="false">IF(Salary_Calculation[[#This Row],[Source Row]]="","",Salary_Calculation[[#This Row],[Missing Orders]]*Missing_Rate)</f>
        <v/>
      </c>
      <c r="O498" s="165" t="str">
        <f aca="false">IF(Salary_Calculation[[#This Row],[Source Row]]="","",MAX(N(Salary_Calculation[[#This Row],[Completed Orders]])-Salary_Calculation[[#This Row],[Rider Target Orders]],0))</f>
        <v/>
      </c>
      <c r="P498" s="164" t="str">
        <f aca="false">IF(Salary_Calculation[[#This Row],[Source Row]]="","",Salary_Calculation[[#This Row],[Extra Orders]]*Extra_Rate)</f>
        <v/>
      </c>
      <c r="Q498" s="164" t="str">
        <f aca="false">IF(Salary_Calculation[[#This Row],[Source Row]]="","",MAX(Salary_Calculation[[#This Row],[Salary Before Other Deductions]],0))</f>
        <v/>
      </c>
      <c r="R498" s="164" t="str">
        <f aca="false">IF(Salary_Calculation[[#This Row],[Source Row]]="","",N(INDEX(Rider_Input[missed_days_penalty],Salary_Calculation[[#This Row],[Source Row]])))</f>
        <v/>
      </c>
      <c r="S498" s="164" t="str">
        <f aca="false">IF(Salary_Calculation[[#This Row],[Source Row]]="","",N(INDEX(Rider_Input[Rider Balance / محفظة المندوب],Salary_Calculation[[#This Row],[Source Row]])))</f>
        <v/>
      </c>
      <c r="T498" s="164" t="str">
        <f aca="false">IF(Salary_Calculation[[#This Row],[Source Row]]="","",N(INDEX(Rider_Input[stacking_deduction / خصم الطلبات المتعددة],Salary_Calculation[[#This Row],[Source Row]])))</f>
        <v/>
      </c>
      <c r="U498" s="164" t="str">
        <f aca="false">IF(Salary_Calculation[[#This Row],[Source Row]]="","",N(INDEX(Rider_Input[Other Deductions],Salary_Calculation[[#This Row],[Source Row]])))</f>
        <v/>
      </c>
      <c r="V498" s="164" t="str">
        <f aca="false">IF(Salary_Calculation[[#This Row],[Source Row]]="","",N(Salary_Calculation[[#This Row],[missed_days_penalty]])+N(Salary_Calculation[[#This Row],[Rider Balance]])+N(Salary_Calculation[[#This Row],[stacking_deduction]])+N(Salary_Calculation[[#This Row],[Other Deductions]]))</f>
        <v/>
      </c>
      <c r="W498" s="167" t="str">
        <f aca="false">IF(Salary_Calculation[[#This Row],[Source Row]]="","",ROUND(MAX(Salary_Calculation[[#This Row],[Gross Salary Before Deductions]]-Salary_Calculation[[#This Row],[Total Deductions]],0),2))</f>
        <v/>
      </c>
      <c r="X498" s="164" t="str">
        <f aca="false">IF(Salary_Calculation[[#This Row],[Source Row]]="","",ROUND(MAX(Salary_Calculation[[#This Row],[Missing-Order Deduction]]-Salary_Calculation[[#This Row],[Earned Salary]],0),2))</f>
        <v/>
      </c>
      <c r="Y498"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98" s="163" t="str">
        <f aca="false">IF(Salary_Calculation[[#This Row],[Source Row]]="","",IF(INDEX(Rider_Input[Notes],Salary_Calculation[[#This Row],[Source Row]])="","",INDEX(Rider_Input[Notes],Salary_Calculation[[#This Row],[Source Row]])))</f>
        <v/>
      </c>
      <c r="AA498" s="164" t="str">
        <f aca="false">IF(Salary_Calculation[[#This Row],[Source Row]]="","",Salary_Calculation[[#This Row],[Earned Salary]]-Salary_Calculation[[#This Row],[Missing-Order Deduction]]+Salary_Calculation[[#This Row],[Extra-Order Bonus]])</f>
        <v/>
      </c>
      <c r="AB498" s="164" t="str">
        <f aca="false">IF(Salary_Calculation[[#This Row],[Source Row]]="","",ROUND(Salary_Calculation[[#This Row],[Negative Balance / Amount Due from Rider]]+MAX(Salary_Calculation[[#This Row],[Total Deductions]]-Salary_Calculation[[#This Row],[Gross Salary Before Deductions]],0),2))</f>
        <v/>
      </c>
      <c r="AC498"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98" s="164" t="str">
        <f aca="false">IF(Salary_Calculation[[#This Row],[Source Row]]="","",Salary_Calculation[[#This Row],[Rider Target Orders]]*Salary_Calculation[[#This Row],[Base Order Rate]])</f>
        <v/>
      </c>
      <c r="AE498" s="162" t="str">
        <f aca="false">IF(SUMPRODUCT(--(LEN(INDEX(Rider_Input[#Data],ROW()-ROW(Salary_Calculation[#Headers]),0))&gt;0))=0,"",ROW()-ROW(Salary_Calculation[#Headers]))</f>
        <v/>
      </c>
    </row>
    <row r="499" customFormat="false" ht="14.25" hidden="false" customHeight="false" outlineLevel="0" collapsed="false">
      <c r="A499" s="161" t="str">
        <f aca="false">IF(Salary_Calculation[[#This Row],[Source Row]]="","",IF(INDEX(Rider_Input[Salary Month],Salary_Calculation[[#This Row],[Source Row]])="","",INDEX(Rider_Input[Salary Month],Salary_Calculation[[#This Row],[Source Row]])))</f>
        <v/>
      </c>
      <c r="B499" s="162" t="str">
        <f aca="false">IF(Salary_Calculation[[#This Row],[Source Row]]="","",IF(INDEX(Rider_Input[Rider ID],Salary_Calculation[[#This Row],[Source Row]])="","",INDEX(Rider_Input[Rider ID],Salary_Calculation[[#This Row],[Source Row]])))</f>
        <v/>
      </c>
      <c r="C499" s="163" t="str">
        <f aca="false">IF(Salary_Calculation[[#This Row],[Source Row]]="","",IF(INDEX(Rider_Input[Rider Name],Salary_Calculation[[#This Row],[Source Row]])="","",INDEX(Rider_Input[Rider Name],Salary_Calculation[[#This Row],[Source Row]])))</f>
        <v/>
      </c>
      <c r="D499" s="164" t="str">
        <f aca="false">IF(Salary_Calculation[[#This Row],[Source Row]]="","",IF(INDEX(Rider_Input[Basic Payment],Salary_Calculation[[#This Row],[Source Row]])="","",INDEX(Rider_Input[Basic Payment],Salary_Calculation[[#This Row],[Source Row]])))</f>
        <v/>
      </c>
      <c r="E499" s="162" t="str">
        <f aca="false">IF(Salary_Calculation[[#This Row],[Source Row]]="","",IF(INDEX(Rider_Input[Calendar Days in Month],Salary_Calculation[[#This Row],[Source Row]])="","",INDEX(Rider_Input[Calendar Days in Month],Salary_Calculation[[#This Row],[Source Row]])))</f>
        <v/>
      </c>
      <c r="F499" s="162" t="str">
        <f aca="false">IF(Salary_Calculation[[#This Row],[Source Row]]="","",IF(INDEX(Rider_Input[Working Days],Salary_Calculation[[#This Row],[Source Row]])="","",INDEX(Rider_Input[Working Days],Salary_Calculation[[#This Row],[Source Row]])))</f>
        <v/>
      </c>
      <c r="G499" s="165" t="str">
        <f aca="false">IF(Salary_Calculation[[#This Row],[Source Row]]="","",Std_Orders/Std_Days*N(Salary_Calculation[[#This Row],[Calendar Days]]))</f>
        <v/>
      </c>
      <c r="H499" s="165" t="str">
        <f aca="false">IF(Salary_Calculation[[#This Row],[Source Row]]="","",IF(N(Salary_Calculation[[#This Row],[Calendar Days]])&gt;0,Salary_Calculation[[#This Row],[Monthly Target Orders]]/N(Salary_Calculation[[#This Row],[Calendar Days]])*N(Salary_Calculation[[#This Row],[Working Days]]),0))</f>
        <v/>
      </c>
      <c r="I499" s="166" t="str">
        <f aca="false">IF(Salary_Calculation[[#This Row],[Source Row]]="","",IF(INDEX(Rider_Input[Completed Orders],Salary_Calculation[[#This Row],[Source Row]])="","",INDEX(Rider_Input[Completed Orders],Salary_Calculation[[#This Row],[Source Row]])))</f>
        <v/>
      </c>
      <c r="J499" s="165" t="str">
        <f aca="false">IF(Salary_Calculation[[#This Row],[Source Row]]="","",IF(Rate_Method="Fixed rate",Fixed_Rate,IF(N(Salary_Calculation[[#This Row],[Basic Payment]])&gt;0,N(Salary_Calculation[[#This Row],[Basic Payment]])/Std_Orders,0)))</f>
        <v/>
      </c>
      <c r="K499" s="165" t="str">
        <f aca="false">IF(Salary_Calculation[[#This Row],[Source Row]]="","",MAX(MIN(N(Salary_Calculation[[#This Row],[Completed Orders]]),Salary_Calculation[[#This Row],[Rider Target Orders]]),0))</f>
        <v/>
      </c>
      <c r="L499" s="164" t="str">
        <f aca="false">IF(Salary_Calculation[[#This Row],[Source Row]]="","",Salary_Calculation[[#This Row],[Orders Counted at Base Rate]]*Salary_Calculation[[#This Row],[Base Order Rate]])</f>
        <v/>
      </c>
      <c r="M499" s="165" t="str">
        <f aca="false">IF(Salary_Calculation[[#This Row],[Source Row]]="","",MAX(Salary_Calculation[[#This Row],[Rider Target Orders]]-N(Salary_Calculation[[#This Row],[Completed Orders]]),0))</f>
        <v/>
      </c>
      <c r="N499" s="164" t="str">
        <f aca="false">IF(Salary_Calculation[[#This Row],[Source Row]]="","",Salary_Calculation[[#This Row],[Missing Orders]]*Missing_Rate)</f>
        <v/>
      </c>
      <c r="O499" s="165" t="str">
        <f aca="false">IF(Salary_Calculation[[#This Row],[Source Row]]="","",MAX(N(Salary_Calculation[[#This Row],[Completed Orders]])-Salary_Calculation[[#This Row],[Rider Target Orders]],0))</f>
        <v/>
      </c>
      <c r="P499" s="164" t="str">
        <f aca="false">IF(Salary_Calculation[[#This Row],[Source Row]]="","",Salary_Calculation[[#This Row],[Extra Orders]]*Extra_Rate)</f>
        <v/>
      </c>
      <c r="Q499" s="164" t="str">
        <f aca="false">IF(Salary_Calculation[[#This Row],[Source Row]]="","",MAX(Salary_Calculation[[#This Row],[Salary Before Other Deductions]],0))</f>
        <v/>
      </c>
      <c r="R499" s="164" t="str">
        <f aca="false">IF(Salary_Calculation[[#This Row],[Source Row]]="","",N(INDEX(Rider_Input[missed_days_penalty],Salary_Calculation[[#This Row],[Source Row]])))</f>
        <v/>
      </c>
      <c r="S499" s="164" t="str">
        <f aca="false">IF(Salary_Calculation[[#This Row],[Source Row]]="","",N(INDEX(Rider_Input[Rider Balance / محفظة المندوب],Salary_Calculation[[#This Row],[Source Row]])))</f>
        <v/>
      </c>
      <c r="T499" s="164" t="str">
        <f aca="false">IF(Salary_Calculation[[#This Row],[Source Row]]="","",N(INDEX(Rider_Input[stacking_deduction / خصم الطلبات المتعددة],Salary_Calculation[[#This Row],[Source Row]])))</f>
        <v/>
      </c>
      <c r="U499" s="164" t="str">
        <f aca="false">IF(Salary_Calculation[[#This Row],[Source Row]]="","",N(INDEX(Rider_Input[Other Deductions],Salary_Calculation[[#This Row],[Source Row]])))</f>
        <v/>
      </c>
      <c r="V499" s="164" t="str">
        <f aca="false">IF(Salary_Calculation[[#This Row],[Source Row]]="","",N(Salary_Calculation[[#This Row],[missed_days_penalty]])+N(Salary_Calculation[[#This Row],[Rider Balance]])+N(Salary_Calculation[[#This Row],[stacking_deduction]])+N(Salary_Calculation[[#This Row],[Other Deductions]]))</f>
        <v/>
      </c>
      <c r="W499" s="167" t="str">
        <f aca="false">IF(Salary_Calculation[[#This Row],[Source Row]]="","",ROUND(MAX(Salary_Calculation[[#This Row],[Gross Salary Before Deductions]]-Salary_Calculation[[#This Row],[Total Deductions]],0),2))</f>
        <v/>
      </c>
      <c r="X499" s="164" t="str">
        <f aca="false">IF(Salary_Calculation[[#This Row],[Source Row]]="","",ROUND(MAX(Salary_Calculation[[#This Row],[Missing-Order Deduction]]-Salary_Calculation[[#This Row],[Earned Salary]],0),2))</f>
        <v/>
      </c>
      <c r="Y499"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499" s="163" t="str">
        <f aca="false">IF(Salary_Calculation[[#This Row],[Source Row]]="","",IF(INDEX(Rider_Input[Notes],Salary_Calculation[[#This Row],[Source Row]])="","",INDEX(Rider_Input[Notes],Salary_Calculation[[#This Row],[Source Row]])))</f>
        <v/>
      </c>
      <c r="AA499" s="164" t="str">
        <f aca="false">IF(Salary_Calculation[[#This Row],[Source Row]]="","",Salary_Calculation[[#This Row],[Earned Salary]]-Salary_Calculation[[#This Row],[Missing-Order Deduction]]+Salary_Calculation[[#This Row],[Extra-Order Bonus]])</f>
        <v/>
      </c>
      <c r="AB499" s="164" t="str">
        <f aca="false">IF(Salary_Calculation[[#This Row],[Source Row]]="","",ROUND(Salary_Calculation[[#This Row],[Negative Balance / Amount Due from Rider]]+MAX(Salary_Calculation[[#This Row],[Total Deductions]]-Salary_Calculation[[#This Row],[Gross Salary Before Deductions]],0),2))</f>
        <v/>
      </c>
      <c r="AC499"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499" s="164" t="str">
        <f aca="false">IF(Salary_Calculation[[#This Row],[Source Row]]="","",Salary_Calculation[[#This Row],[Rider Target Orders]]*Salary_Calculation[[#This Row],[Base Order Rate]])</f>
        <v/>
      </c>
      <c r="AE499" s="162" t="str">
        <f aca="false">IF(SUMPRODUCT(--(LEN(INDEX(Rider_Input[#Data],ROW()-ROW(Salary_Calculation[#Headers]),0))&gt;0))=0,"",ROW()-ROW(Salary_Calculation[#Headers]))</f>
        <v/>
      </c>
    </row>
    <row r="500" customFormat="false" ht="14.25" hidden="false" customHeight="false" outlineLevel="0" collapsed="false">
      <c r="A500" s="161" t="str">
        <f aca="false">IF(Salary_Calculation[[#This Row],[Source Row]]="","",IF(INDEX(Rider_Input[Salary Month],Salary_Calculation[[#This Row],[Source Row]])="","",INDEX(Rider_Input[Salary Month],Salary_Calculation[[#This Row],[Source Row]])))</f>
        <v/>
      </c>
      <c r="B500" s="162" t="str">
        <f aca="false">IF(Salary_Calculation[[#This Row],[Source Row]]="","",IF(INDEX(Rider_Input[Rider ID],Salary_Calculation[[#This Row],[Source Row]])="","",INDEX(Rider_Input[Rider ID],Salary_Calculation[[#This Row],[Source Row]])))</f>
        <v/>
      </c>
      <c r="C500" s="163" t="str">
        <f aca="false">IF(Salary_Calculation[[#This Row],[Source Row]]="","",IF(INDEX(Rider_Input[Rider Name],Salary_Calculation[[#This Row],[Source Row]])="","",INDEX(Rider_Input[Rider Name],Salary_Calculation[[#This Row],[Source Row]])))</f>
        <v/>
      </c>
      <c r="D500" s="164" t="str">
        <f aca="false">IF(Salary_Calculation[[#This Row],[Source Row]]="","",IF(INDEX(Rider_Input[Basic Payment],Salary_Calculation[[#This Row],[Source Row]])="","",INDEX(Rider_Input[Basic Payment],Salary_Calculation[[#This Row],[Source Row]])))</f>
        <v/>
      </c>
      <c r="E500" s="162" t="str">
        <f aca="false">IF(Salary_Calculation[[#This Row],[Source Row]]="","",IF(INDEX(Rider_Input[Calendar Days in Month],Salary_Calculation[[#This Row],[Source Row]])="","",INDEX(Rider_Input[Calendar Days in Month],Salary_Calculation[[#This Row],[Source Row]])))</f>
        <v/>
      </c>
      <c r="F500" s="162" t="str">
        <f aca="false">IF(Salary_Calculation[[#This Row],[Source Row]]="","",IF(INDEX(Rider_Input[Working Days],Salary_Calculation[[#This Row],[Source Row]])="","",INDEX(Rider_Input[Working Days],Salary_Calculation[[#This Row],[Source Row]])))</f>
        <v/>
      </c>
      <c r="G500" s="165" t="str">
        <f aca="false">IF(Salary_Calculation[[#This Row],[Source Row]]="","",Std_Orders/Std_Days*N(Salary_Calculation[[#This Row],[Calendar Days]]))</f>
        <v/>
      </c>
      <c r="H500" s="165" t="str">
        <f aca="false">IF(Salary_Calculation[[#This Row],[Source Row]]="","",IF(N(Salary_Calculation[[#This Row],[Calendar Days]])&gt;0,Salary_Calculation[[#This Row],[Monthly Target Orders]]/N(Salary_Calculation[[#This Row],[Calendar Days]])*N(Salary_Calculation[[#This Row],[Working Days]]),0))</f>
        <v/>
      </c>
      <c r="I500" s="166" t="str">
        <f aca="false">IF(Salary_Calculation[[#This Row],[Source Row]]="","",IF(INDEX(Rider_Input[Completed Orders],Salary_Calculation[[#This Row],[Source Row]])="","",INDEX(Rider_Input[Completed Orders],Salary_Calculation[[#This Row],[Source Row]])))</f>
        <v/>
      </c>
      <c r="J500" s="165" t="str">
        <f aca="false">IF(Salary_Calculation[[#This Row],[Source Row]]="","",IF(Rate_Method="Fixed rate",Fixed_Rate,IF(N(Salary_Calculation[[#This Row],[Basic Payment]])&gt;0,N(Salary_Calculation[[#This Row],[Basic Payment]])/Std_Orders,0)))</f>
        <v/>
      </c>
      <c r="K500" s="165" t="str">
        <f aca="false">IF(Salary_Calculation[[#This Row],[Source Row]]="","",MAX(MIN(N(Salary_Calculation[[#This Row],[Completed Orders]]),Salary_Calculation[[#This Row],[Rider Target Orders]]),0))</f>
        <v/>
      </c>
      <c r="L500" s="164" t="str">
        <f aca="false">IF(Salary_Calculation[[#This Row],[Source Row]]="","",Salary_Calculation[[#This Row],[Orders Counted at Base Rate]]*Salary_Calculation[[#This Row],[Base Order Rate]])</f>
        <v/>
      </c>
      <c r="M500" s="165" t="str">
        <f aca="false">IF(Salary_Calculation[[#This Row],[Source Row]]="","",MAX(Salary_Calculation[[#This Row],[Rider Target Orders]]-N(Salary_Calculation[[#This Row],[Completed Orders]]),0))</f>
        <v/>
      </c>
      <c r="N500" s="164" t="str">
        <f aca="false">IF(Salary_Calculation[[#This Row],[Source Row]]="","",Salary_Calculation[[#This Row],[Missing Orders]]*Missing_Rate)</f>
        <v/>
      </c>
      <c r="O500" s="165" t="str">
        <f aca="false">IF(Salary_Calculation[[#This Row],[Source Row]]="","",MAX(N(Salary_Calculation[[#This Row],[Completed Orders]])-Salary_Calculation[[#This Row],[Rider Target Orders]],0))</f>
        <v/>
      </c>
      <c r="P500" s="164" t="str">
        <f aca="false">IF(Salary_Calculation[[#This Row],[Source Row]]="","",Salary_Calculation[[#This Row],[Extra Orders]]*Extra_Rate)</f>
        <v/>
      </c>
      <c r="Q500" s="164" t="str">
        <f aca="false">IF(Salary_Calculation[[#This Row],[Source Row]]="","",MAX(Salary_Calculation[[#This Row],[Salary Before Other Deductions]],0))</f>
        <v/>
      </c>
      <c r="R500" s="164" t="str">
        <f aca="false">IF(Salary_Calculation[[#This Row],[Source Row]]="","",N(INDEX(Rider_Input[missed_days_penalty],Salary_Calculation[[#This Row],[Source Row]])))</f>
        <v/>
      </c>
      <c r="S500" s="164" t="str">
        <f aca="false">IF(Salary_Calculation[[#This Row],[Source Row]]="","",N(INDEX(Rider_Input[Rider Balance / محفظة المندوب],Salary_Calculation[[#This Row],[Source Row]])))</f>
        <v/>
      </c>
      <c r="T500" s="164" t="str">
        <f aca="false">IF(Salary_Calculation[[#This Row],[Source Row]]="","",N(INDEX(Rider_Input[stacking_deduction / خصم الطلبات المتعددة],Salary_Calculation[[#This Row],[Source Row]])))</f>
        <v/>
      </c>
      <c r="U500" s="164" t="str">
        <f aca="false">IF(Salary_Calculation[[#This Row],[Source Row]]="","",N(INDEX(Rider_Input[Other Deductions],Salary_Calculation[[#This Row],[Source Row]])))</f>
        <v/>
      </c>
      <c r="V500" s="164" t="str">
        <f aca="false">IF(Salary_Calculation[[#This Row],[Source Row]]="","",N(Salary_Calculation[[#This Row],[missed_days_penalty]])+N(Salary_Calculation[[#This Row],[Rider Balance]])+N(Salary_Calculation[[#This Row],[stacking_deduction]])+N(Salary_Calculation[[#This Row],[Other Deductions]]))</f>
        <v/>
      </c>
      <c r="W500" s="167" t="str">
        <f aca="false">IF(Salary_Calculation[[#This Row],[Source Row]]="","",ROUND(MAX(Salary_Calculation[[#This Row],[Gross Salary Before Deductions]]-Salary_Calculation[[#This Row],[Total Deductions]],0),2))</f>
        <v/>
      </c>
      <c r="X500" s="164" t="str">
        <f aca="false">IF(Salary_Calculation[[#This Row],[Source Row]]="","",ROUND(MAX(Salary_Calculation[[#This Row],[Missing-Order Deduction]]-Salary_Calculation[[#This Row],[Earned Salary]],0),2))</f>
        <v/>
      </c>
      <c r="Y500"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500" s="163" t="str">
        <f aca="false">IF(Salary_Calculation[[#This Row],[Source Row]]="","",IF(INDEX(Rider_Input[Notes],Salary_Calculation[[#This Row],[Source Row]])="","",INDEX(Rider_Input[Notes],Salary_Calculation[[#This Row],[Source Row]])))</f>
        <v/>
      </c>
      <c r="AA500" s="164" t="str">
        <f aca="false">IF(Salary_Calculation[[#This Row],[Source Row]]="","",Salary_Calculation[[#This Row],[Earned Salary]]-Salary_Calculation[[#This Row],[Missing-Order Deduction]]+Salary_Calculation[[#This Row],[Extra-Order Bonus]])</f>
        <v/>
      </c>
      <c r="AB500" s="164" t="str">
        <f aca="false">IF(Salary_Calculation[[#This Row],[Source Row]]="","",ROUND(Salary_Calculation[[#This Row],[Negative Balance / Amount Due from Rider]]+MAX(Salary_Calculation[[#This Row],[Total Deductions]]-Salary_Calculation[[#This Row],[Gross Salary Before Deductions]],0),2))</f>
        <v/>
      </c>
      <c r="AC500"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500" s="164" t="str">
        <f aca="false">IF(Salary_Calculation[[#This Row],[Source Row]]="","",Salary_Calculation[[#This Row],[Rider Target Orders]]*Salary_Calculation[[#This Row],[Base Order Rate]])</f>
        <v/>
      </c>
      <c r="AE500" s="162" t="str">
        <f aca="false">IF(SUMPRODUCT(--(LEN(INDEX(Rider_Input[#Data],ROW()-ROW(Salary_Calculation[#Headers]),0))&gt;0))=0,"",ROW()-ROW(Salary_Calculation[#Headers]))</f>
        <v/>
      </c>
    </row>
    <row r="501" customFormat="false" ht="14.25" hidden="false" customHeight="false" outlineLevel="0" collapsed="false">
      <c r="A501" s="161" t="str">
        <f aca="false">IF(Salary_Calculation[[#This Row],[Source Row]]="","",IF(INDEX(Rider_Input[Salary Month],Salary_Calculation[[#This Row],[Source Row]])="","",INDEX(Rider_Input[Salary Month],Salary_Calculation[[#This Row],[Source Row]])))</f>
        <v/>
      </c>
      <c r="B501" s="162" t="str">
        <f aca="false">IF(Salary_Calculation[[#This Row],[Source Row]]="","",IF(INDEX(Rider_Input[Rider ID],Salary_Calculation[[#This Row],[Source Row]])="","",INDEX(Rider_Input[Rider ID],Salary_Calculation[[#This Row],[Source Row]])))</f>
        <v/>
      </c>
      <c r="C501" s="163" t="str">
        <f aca="false">IF(Salary_Calculation[[#This Row],[Source Row]]="","",IF(INDEX(Rider_Input[Rider Name],Salary_Calculation[[#This Row],[Source Row]])="","",INDEX(Rider_Input[Rider Name],Salary_Calculation[[#This Row],[Source Row]])))</f>
        <v/>
      </c>
      <c r="D501" s="164" t="str">
        <f aca="false">IF(Salary_Calculation[[#This Row],[Source Row]]="","",IF(INDEX(Rider_Input[Basic Payment],Salary_Calculation[[#This Row],[Source Row]])="","",INDEX(Rider_Input[Basic Payment],Salary_Calculation[[#This Row],[Source Row]])))</f>
        <v/>
      </c>
      <c r="E501" s="162" t="str">
        <f aca="false">IF(Salary_Calculation[[#This Row],[Source Row]]="","",IF(INDEX(Rider_Input[Calendar Days in Month],Salary_Calculation[[#This Row],[Source Row]])="","",INDEX(Rider_Input[Calendar Days in Month],Salary_Calculation[[#This Row],[Source Row]])))</f>
        <v/>
      </c>
      <c r="F501" s="162" t="str">
        <f aca="false">IF(Salary_Calculation[[#This Row],[Source Row]]="","",IF(INDEX(Rider_Input[Working Days],Salary_Calculation[[#This Row],[Source Row]])="","",INDEX(Rider_Input[Working Days],Salary_Calculation[[#This Row],[Source Row]])))</f>
        <v/>
      </c>
      <c r="G501" s="165" t="str">
        <f aca="false">IF(Salary_Calculation[[#This Row],[Source Row]]="","",Std_Orders/Std_Days*N(Salary_Calculation[[#This Row],[Calendar Days]]))</f>
        <v/>
      </c>
      <c r="H501" s="165" t="str">
        <f aca="false">IF(Salary_Calculation[[#This Row],[Source Row]]="","",IF(N(Salary_Calculation[[#This Row],[Calendar Days]])&gt;0,Salary_Calculation[[#This Row],[Monthly Target Orders]]/N(Salary_Calculation[[#This Row],[Calendar Days]])*N(Salary_Calculation[[#This Row],[Working Days]]),0))</f>
        <v/>
      </c>
      <c r="I501" s="166" t="str">
        <f aca="false">IF(Salary_Calculation[[#This Row],[Source Row]]="","",IF(INDEX(Rider_Input[Completed Orders],Salary_Calculation[[#This Row],[Source Row]])="","",INDEX(Rider_Input[Completed Orders],Salary_Calculation[[#This Row],[Source Row]])))</f>
        <v/>
      </c>
      <c r="J501" s="165" t="str">
        <f aca="false">IF(Salary_Calculation[[#This Row],[Source Row]]="","",IF(Rate_Method="Fixed rate",Fixed_Rate,IF(N(Salary_Calculation[[#This Row],[Basic Payment]])&gt;0,N(Salary_Calculation[[#This Row],[Basic Payment]])/Std_Orders,0)))</f>
        <v/>
      </c>
      <c r="K501" s="165" t="str">
        <f aca="false">IF(Salary_Calculation[[#This Row],[Source Row]]="","",MAX(MIN(N(Salary_Calculation[[#This Row],[Completed Orders]]),Salary_Calculation[[#This Row],[Rider Target Orders]]),0))</f>
        <v/>
      </c>
      <c r="L501" s="164" t="str">
        <f aca="false">IF(Salary_Calculation[[#This Row],[Source Row]]="","",Salary_Calculation[[#This Row],[Orders Counted at Base Rate]]*Salary_Calculation[[#This Row],[Base Order Rate]])</f>
        <v/>
      </c>
      <c r="M501" s="165" t="str">
        <f aca="false">IF(Salary_Calculation[[#This Row],[Source Row]]="","",MAX(Salary_Calculation[[#This Row],[Rider Target Orders]]-N(Salary_Calculation[[#This Row],[Completed Orders]]),0))</f>
        <v/>
      </c>
      <c r="N501" s="164" t="str">
        <f aca="false">IF(Salary_Calculation[[#This Row],[Source Row]]="","",Salary_Calculation[[#This Row],[Missing Orders]]*Missing_Rate)</f>
        <v/>
      </c>
      <c r="O501" s="165" t="str">
        <f aca="false">IF(Salary_Calculation[[#This Row],[Source Row]]="","",MAX(N(Salary_Calculation[[#This Row],[Completed Orders]])-Salary_Calculation[[#This Row],[Rider Target Orders]],0))</f>
        <v/>
      </c>
      <c r="P501" s="164" t="str">
        <f aca="false">IF(Salary_Calculation[[#This Row],[Source Row]]="","",Salary_Calculation[[#This Row],[Extra Orders]]*Extra_Rate)</f>
        <v/>
      </c>
      <c r="Q501" s="164" t="str">
        <f aca="false">IF(Salary_Calculation[[#This Row],[Source Row]]="","",MAX(Salary_Calculation[[#This Row],[Salary Before Other Deductions]],0))</f>
        <v/>
      </c>
      <c r="R501" s="164" t="str">
        <f aca="false">IF(Salary_Calculation[[#This Row],[Source Row]]="","",N(INDEX(Rider_Input[missed_days_penalty],Salary_Calculation[[#This Row],[Source Row]])))</f>
        <v/>
      </c>
      <c r="S501" s="164" t="str">
        <f aca="false">IF(Salary_Calculation[[#This Row],[Source Row]]="","",N(INDEX(Rider_Input[Rider Balance / محفظة المندوب],Salary_Calculation[[#This Row],[Source Row]])))</f>
        <v/>
      </c>
      <c r="T501" s="164" t="str">
        <f aca="false">IF(Salary_Calculation[[#This Row],[Source Row]]="","",N(INDEX(Rider_Input[stacking_deduction / خصم الطلبات المتعددة],Salary_Calculation[[#This Row],[Source Row]])))</f>
        <v/>
      </c>
      <c r="U501" s="164" t="str">
        <f aca="false">IF(Salary_Calculation[[#This Row],[Source Row]]="","",N(INDEX(Rider_Input[Other Deductions],Salary_Calculation[[#This Row],[Source Row]])))</f>
        <v/>
      </c>
      <c r="V501" s="164" t="str">
        <f aca="false">IF(Salary_Calculation[[#This Row],[Source Row]]="","",N(Salary_Calculation[[#This Row],[missed_days_penalty]])+N(Salary_Calculation[[#This Row],[Rider Balance]])+N(Salary_Calculation[[#This Row],[stacking_deduction]])+N(Salary_Calculation[[#This Row],[Other Deductions]]))</f>
        <v/>
      </c>
      <c r="W501" s="167" t="str">
        <f aca="false">IF(Salary_Calculation[[#This Row],[Source Row]]="","",ROUND(MAX(Salary_Calculation[[#This Row],[Gross Salary Before Deductions]]-Salary_Calculation[[#This Row],[Total Deductions]],0),2))</f>
        <v/>
      </c>
      <c r="X501" s="164" t="str">
        <f aca="false">IF(Salary_Calculation[[#This Row],[Source Row]]="","",ROUND(MAX(Salary_Calculation[[#This Row],[Missing-Order Deduction]]-Salary_Calculation[[#This Row],[Earned Salary]],0),2))</f>
        <v/>
      </c>
      <c r="Y501" s="163" t="str">
        <f aca="false">IF(Salary_Calculation[[#This Row],[Source Row]]="","",IF(Salary_Calculation[[#This Row],[Exception Reason]]&lt;&gt;"","Review Required",IF(N(Salary_Calculation[[#This Row],[Completed Orders]])=0,"No Orders",IF(AND(Salary_Calculation[[#This Row],[Final Salary]]=0,Salary_Calculation[[#This Row],[Total Amount Due from Rider]]&gt;0),"No Salary – Amount Due from Rider",IF(AND(Salary_Calculation[[#This Row],[Total Deductions]]=0,Salary_Calculation[[#This Row],[Missing-Order Deduction]]=0),"Paid in Full","Paid After Deductions")))))</f>
        <v/>
      </c>
      <c r="Z501" s="163" t="str">
        <f aca="false">IF(Salary_Calculation[[#This Row],[Source Row]]="","",IF(INDEX(Rider_Input[Notes],Salary_Calculation[[#This Row],[Source Row]])="","",INDEX(Rider_Input[Notes],Salary_Calculation[[#This Row],[Source Row]])))</f>
        <v/>
      </c>
      <c r="AA501" s="164" t="str">
        <f aca="false">IF(Salary_Calculation[[#This Row],[Source Row]]="","",Salary_Calculation[[#This Row],[Earned Salary]]-Salary_Calculation[[#This Row],[Missing-Order Deduction]]+Salary_Calculation[[#This Row],[Extra-Order Bonus]])</f>
        <v/>
      </c>
      <c r="AB501" s="164" t="str">
        <f aca="false">IF(Salary_Calculation[[#This Row],[Source Row]]="","",ROUND(Salary_Calculation[[#This Row],[Negative Balance / Amount Due from Rider]]+MAX(Salary_Calculation[[#This Row],[Total Deductions]]-Salary_Calculation[[#This Row],[Gross Salary Before Deductions]],0),2))</f>
        <v/>
      </c>
      <c r="AC501" s="163" t="str">
        <f aca="false">IF(Salary_Calculation[[#This Row],[Source Row]]="","",IF(NOT(ISNUMBER(Salary_Calculation[[#This Row],[Salary Month]])),"Salary month missing; ","")&amp;IF(Salary_Calculation[[#This Row],[Rider ID]]="","Rider ID missing; ","")&amp;IF(Salary_Calculation[[#This Row],[Rider Name]]="","Rider name missing; ","")&amp;IF(NOT(ISNUMBER(Salary_Calculation[[#This Row],[Basic Payment]])),"Basic payment missing; ",IF(Salary_Calculation[[#This Row],[Basic Payment]]&lt;=0,"Basic payment zero or negative; ",""))&amp;IF(NOT(ISNUMBER(Salary_Calculation[[#This Row],[Calendar Days]])),"Calendar days missing; ",IF(OR(Salary_Calculation[[#This Row],[Calendar Days]]&lt;28,Salary_Calculation[[#This Row],[Calendar Days]]&gt;31,Salary_Calculation[[#This Row],[Calendar Days]]&lt;&gt;INT(Salary_Calculation[[#This Row],[Calendar Days]])),"Calendar days not 28/29/30/31; ",IF(ISNUMBER(Salary_Calculation[[#This Row],[Salary Month]]),IF(DAY(EOMONTH(Salary_Calculation[[#This Row],[Salary Month]],0))&lt;&gt;Salary_Calculation[[#This Row],[Calendar Days]],"Calendar days differ from actual days in month; ",""),"")))&amp;IF(NOT(ISNUMBER(Salary_Calculation[[#This Row],[Working Days]])),"Working days missing; ",IF(Salary_Calculation[[#This Row],[Working Days]]&lt;0,"Working days negative; ",IF(AND(ISNUMBER(Salary_Calculation[[#This Row],[Calendar Days]]),Salary_Calculation[[#This Row],[Working Days]]&gt;Salary_Calculation[[#This Row],[Calendar Days]]),"Working days exceed calendar days; ","")))&amp;IF(NOT(ISNUMBER(Salary_Calculation[[#This Row],[Completed Orders]])),"Completed orders missing; ",IF(Salary_Calculation[[#This Row],[Completed Orders]]&lt;0,"Completed orders negative; ",""))&amp;IF(MIN(Salary_Calculation[[#This Row],[missed_days_penalty]],Salary_Calculation[[#This Row],[Rider Balance]],Salary_Calculation[[#This Row],[stacking_deduction]],Salary_Calculation[[#This Row],[Other Deductions]])&lt;0,"Negative deduction entered; ","")&amp;IF(Salary_Calculation[[#This Row],[Rider ID]]="","",IF(COUNTIFS(Rider_Input[Rider ID],Salary_Calculation[[#This Row],[Rider ID]],Rider_Input[Salary Month],Salary_Calculation[[#This Row],[Salary Month]])&gt;1,"Duplicate Rider ID and month; ","")))</f>
        <v/>
      </c>
      <c r="AD501" s="164" t="str">
        <f aca="false">IF(Salary_Calculation[[#This Row],[Source Row]]="","",Salary_Calculation[[#This Row],[Rider Target Orders]]*Salary_Calculation[[#This Row],[Base Order Rate]])</f>
        <v/>
      </c>
      <c r="AE501" s="162" t="str">
        <f aca="false">IF(SUMPRODUCT(--(LEN(INDEX(Rider_Input[#Data],ROW()-ROW(Salary_Calculation[#Headers]),0))&gt;0))=0,"",ROW()-ROW(Salary_Calculation[#Headers]))</f>
        <v/>
      </c>
    </row>
  </sheetData>
  <conditionalFormatting sqref="A2:AE501">
    <cfRule type="expression" priority="2" aboveAverage="0" equalAverage="0" bottom="0" percent="0" rank="0" text="" dxfId="1">
      <formula>$Y2="Review Required"</formula>
    </cfRule>
  </conditionalFormatting>
  <conditionalFormatting sqref="W2:W501">
    <cfRule type="expression" priority="3" aboveAverage="0" equalAverage="0" bottom="0" percent="0" rank="0" text="" dxfId="3">
      <formula>AND($Y2&lt;&gt;"",$W2=0)</formula>
    </cfRule>
    <cfRule type="expression" priority="4" aboveAverage="0" equalAverage="0" bottom="0" percent="0" rank="0" text="" dxfId="12">
      <formula>AND($Y2&lt;&gt;"",$W2&gt;0)</formula>
    </cfRule>
  </conditionalFormatting>
  <conditionalFormatting sqref="X2:X501">
    <cfRule type="expression" priority="5" aboveAverage="0" equalAverage="0" bottom="0" percent="0" rank="0" text="" dxfId="3">
      <formula>AND(ISNUMBER($X2),$X2&gt;0)</formula>
    </cfRule>
  </conditionalFormatting>
  <conditionalFormatting sqref="AB2:AB501">
    <cfRule type="expression" priority="6" aboveAverage="0" equalAverage="0" bottom="0" percent="0" rank="0" text="" dxfId="26">
      <formula>AND(ISNUMBER($AB2),$AB2&gt;0)</formula>
    </cfRule>
  </conditionalFormatting>
  <conditionalFormatting sqref="Y2:Y501">
    <cfRule type="expression" priority="7" aboveAverage="0" equalAverage="0" bottom="0" percent="0" rank="0" text="" dxfId="3">
      <formula>LEFT($Y2,10)="No Salary "</formula>
    </cfRule>
    <cfRule type="expression" priority="8" aboveAverage="0" equalAverage="0" bottom="0" percent="0" rank="0" text="" dxfId="12">
      <formula>OR($Y2="Paid in Full",$Y2="Paid After Deductions")</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8C9B"/>
    <pageSetUpPr fitToPage="false"/>
  </sheetPr>
  <dimension ref="A1:AO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4.25" zeroHeight="false" outlineLevelRow="0" outlineLevelCol="0"/>
  <cols>
    <col collapsed="false" customWidth="true" hidden="false" outlineLevel="0" max="29" min="1" style="0" width="18"/>
    <col collapsed="false" customWidth="true" hidden="false" outlineLevel="0" max="30" min="30" style="0" width="32"/>
    <col collapsed="false" customWidth="true" hidden="false" outlineLevel="0" max="31" min="31" style="0" width="18"/>
    <col collapsed="false" customWidth="true" hidden="false" outlineLevel="0" max="32" min="32" style="0" width="40"/>
    <col collapsed="false" customWidth="true" hidden="false" outlineLevel="0" max="34" min="33" style="0" width="18"/>
    <col collapsed="false" customWidth="true" hidden="false" outlineLevel="0" max="38" min="36" style="0" width="22"/>
    <col collapsed="false" customWidth="true" hidden="false" outlineLevel="0" max="39" min="39" style="0" width="18"/>
  </cols>
  <sheetData>
    <row r="1" customFormat="false" ht="45" hidden="false" customHeight="true" outlineLevel="0" collapsed="false">
      <c r="A1" s="146" t="s">
        <v>282</v>
      </c>
      <c r="B1" s="146" t="s">
        <v>283</v>
      </c>
      <c r="C1" s="146" t="s">
        <v>260</v>
      </c>
      <c r="D1" s="146" t="s">
        <v>27</v>
      </c>
      <c r="E1" s="146" t="s">
        <v>28</v>
      </c>
      <c r="F1" s="146" t="s">
        <v>43</v>
      </c>
      <c r="G1" s="146" t="s">
        <v>42</v>
      </c>
      <c r="H1" s="146" t="s">
        <v>265</v>
      </c>
      <c r="I1" s="146" t="s">
        <v>266</v>
      </c>
      <c r="J1" s="146" t="s">
        <v>44</v>
      </c>
      <c r="K1" s="146" t="s">
        <v>267</v>
      </c>
      <c r="L1" s="146" t="s">
        <v>261</v>
      </c>
      <c r="M1" s="146" t="s">
        <v>47</v>
      </c>
      <c r="N1" s="146" t="s">
        <v>268</v>
      </c>
      <c r="O1" s="146" t="s">
        <v>269</v>
      </c>
      <c r="P1" s="146" t="s">
        <v>48</v>
      </c>
      <c r="Q1" s="146" t="s">
        <v>270</v>
      </c>
      <c r="R1" s="146" t="s">
        <v>49</v>
      </c>
      <c r="S1" s="146" t="s">
        <v>280</v>
      </c>
      <c r="T1" s="146" t="s">
        <v>271</v>
      </c>
      <c r="U1" s="146" t="s">
        <v>222</v>
      </c>
      <c r="V1" s="146" t="s">
        <v>272</v>
      </c>
      <c r="W1" s="146" t="s">
        <v>273</v>
      </c>
      <c r="X1" s="146" t="s">
        <v>51</v>
      </c>
      <c r="Y1" s="146" t="s">
        <v>274</v>
      </c>
      <c r="Z1" s="146" t="s">
        <v>29</v>
      </c>
      <c r="AA1" s="146" t="s">
        <v>275</v>
      </c>
      <c r="AB1" s="146" t="s">
        <v>278</v>
      </c>
      <c r="AC1" s="146" t="s">
        <v>277</v>
      </c>
      <c r="AD1" s="146" t="s">
        <v>276</v>
      </c>
      <c r="AE1" s="146" t="s">
        <v>256</v>
      </c>
      <c r="AF1" s="146" t="s">
        <v>279</v>
      </c>
      <c r="AG1" s="146" t="s">
        <v>284</v>
      </c>
      <c r="AH1" s="146" t="s">
        <v>285</v>
      </c>
      <c r="AJ1" s="168" t="s">
        <v>286</v>
      </c>
      <c r="AK1" s="168" t="s">
        <v>287</v>
      </c>
      <c r="AL1" s="168" t="s">
        <v>288</v>
      </c>
      <c r="AM1" s="169" t="s">
        <v>289</v>
      </c>
      <c r="AN1" s="117"/>
      <c r="AO1" s="170" t="s">
        <v>290</v>
      </c>
    </row>
    <row r="2" customFormat="false" ht="14.25" hidden="false" customHeight="false" outlineLevel="0" collapsed="false">
      <c r="A2" s="171" t="str">
        <f aca="false">IF(Payslip_Lookup[[#This Row],[Rider ID]]="","",Payslip_Lookup[[#This Row],[Rider ID]]&amp;"|"&amp;Payslip_Lookup[[#This Row],[Month Key]])</f>
        <v>4849914|46235</v>
      </c>
      <c r="B2" s="172" t="n">
        <f aca="false">IF(ISNUMBER(Payslip_Lookup[[#This Row],[Salary Month]]),DATE(YEAR(Payslip_Lookup[[#This Row],[Salary Month]]),MONTH(Payslip_Lookup[[#This Row],[Salary Month]]),1),"")</f>
        <v>46235</v>
      </c>
      <c r="C2" s="172" t="n">
        <f aca="false">IF(INDEX(Salary_Calculation[Source Row],ROW()-ROW(Payslip_Lookup[#Headers]))="","",INDEX(Salary_Calculation[Salary Month],ROW()-ROW(Payslip_Lookup[#Headers])))</f>
        <v>46235</v>
      </c>
      <c r="D2" s="173" t="n">
        <f aca="false">IF(INDEX(Salary_Calculation[Source Row],ROW()-ROW(Payslip_Lookup[#Headers]))="","",INDEX(Salary_Calculation[Rider ID],ROW()-ROW(Payslip_Lookup[#Headers])))</f>
        <v>4849914</v>
      </c>
      <c r="E2" s="171" t="str">
        <f aca="false">IF(INDEX(Salary_Calculation[Source Row],ROW()-ROW(Payslip_Lookup[#Headers]))="","",INDEX(Salary_Calculation[Rider Name],ROW()-ROW(Payslip_Lookup[#Headers])))</f>
        <v>Rider 4849914</v>
      </c>
      <c r="F2" s="173" t="n">
        <f aca="false">IF(INDEX(Salary_Calculation[Source Row],ROW()-ROW(Payslip_Lookup[#Headers]))="","",INDEX(Salary_Calculation[Working Days],ROW()-ROW(Payslip_Lookup[#Headers])))</f>
        <v>8</v>
      </c>
      <c r="G2" s="173" t="n">
        <f aca="false">IF(INDEX(Salary_Calculation[Source Row],ROW()-ROW(Payslip_Lookup[#Headers]))="","",INDEX(Salary_Calculation[Calendar Days],ROW()-ROW(Payslip_Lookup[#Headers])))</f>
        <v>31</v>
      </c>
      <c r="H2" s="174" t="n">
        <f aca="false">IF(INDEX(Salary_Calculation[Source Row],ROW()-ROW(Payslip_Lookup[#Headers]))="","",INDEX(Salary_Calculation[Monthly Target Orders],ROW()-ROW(Payslip_Lookup[#Headers])))</f>
        <v>465</v>
      </c>
      <c r="I2" s="174" t="n">
        <f aca="false">IF(INDEX(Salary_Calculation[Source Row],ROW()-ROW(Payslip_Lookup[#Headers]))="","",INDEX(Salary_Calculation[Rider Target Orders],ROW()-ROW(Payslip_Lookup[#Headers])))</f>
        <v>120</v>
      </c>
      <c r="J2" s="175" t="n">
        <f aca="false">IF(INDEX(Salary_Calculation[Source Row],ROW()-ROW(Payslip_Lookup[#Headers]))="","",INDEX(Salary_Calculation[Completed Orders],ROW()-ROW(Payslip_Lookup[#Headers])))</f>
        <v>72</v>
      </c>
      <c r="K2" s="174" t="n">
        <f aca="false">IF(INDEX(Salary_Calculation[Source Row],ROW()-ROW(Payslip_Lookup[#Headers]))="","",INDEX(Salary_Calculation[Base Order Rate],ROW()-ROW(Payslip_Lookup[#Headers])))</f>
        <v>4.44444444444445</v>
      </c>
      <c r="L2" s="176" t="n">
        <f aca="false">IF(INDEX(Salary_Calculation[Source Row],ROW()-ROW(Payslip_Lookup[#Headers]))="","",INDEX(Salary_Calculation[Basic Payment],ROW()-ROW(Payslip_Lookup[#Headers])))</f>
        <v>2000</v>
      </c>
      <c r="M2" s="176" t="n">
        <f aca="false">IF(INDEX(Salary_Calculation[Source Row],ROW()-ROW(Payslip_Lookup[#Headers]))="","",INDEX(Salary_Calculation[Earned Salary],ROW()-ROW(Payslip_Lookup[#Headers])))</f>
        <v>320</v>
      </c>
      <c r="N2" s="174" t="n">
        <f aca="false">IF(INDEX(Salary_Calculation[Source Row],ROW()-ROW(Payslip_Lookup[#Headers]))="","",INDEX(Salary_Calculation[Orders Counted at Base Rate],ROW()-ROW(Payslip_Lookup[#Headers])))</f>
        <v>72</v>
      </c>
      <c r="O2" s="174" t="n">
        <f aca="false">IF(INDEX(Salary_Calculation[Source Row],ROW()-ROW(Payslip_Lookup[#Headers]))="","",INDEX(Salary_Calculation[Missing Orders],ROW()-ROW(Payslip_Lookup[#Headers])))</f>
        <v>48</v>
      </c>
      <c r="P2" s="176" t="n">
        <f aca="false">IF(INDEX(Salary_Calculation[Source Row],ROW()-ROW(Payslip_Lookup[#Headers]))="","",INDEX(Salary_Calculation[Missing-Order Deduction],ROW()-ROW(Payslip_Lookup[#Headers])))</f>
        <v>336</v>
      </c>
      <c r="Q2" s="174" t="n">
        <f aca="false">IF(INDEX(Salary_Calculation[Source Row],ROW()-ROW(Payslip_Lookup[#Headers]))="","",INDEX(Salary_Calculation[Extra Orders],ROW()-ROW(Payslip_Lookup[#Headers])))</f>
        <v>0</v>
      </c>
      <c r="R2" s="176" t="n">
        <f aca="false">IF(INDEX(Salary_Calculation[Source Row],ROW()-ROW(Payslip_Lookup[#Headers]))="","",INDEX(Salary_Calculation[Extra-Order Bonus],ROW()-ROW(Payslip_Lookup[#Headers])))</f>
        <v>0</v>
      </c>
      <c r="S2" s="176" t="n">
        <f aca="false">IF(INDEX(Salary_Calculation[Source Row],ROW()-ROW(Payslip_Lookup[#Headers]))="","",INDEX(Salary_Calculation[Basic Salary for Target],ROW()-ROW(Payslip_Lookup[#Headers])))</f>
        <v>533.333333333333</v>
      </c>
      <c r="T2" s="176" t="n">
        <f aca="false">IF(INDEX(Salary_Calculation[Source Row],ROW()-ROW(Payslip_Lookup[#Headers]))="","",INDEX(Salary_Calculation[Gross Salary Before Deductions],ROW()-ROW(Payslip_Lookup[#Headers])))</f>
        <v>0</v>
      </c>
      <c r="U2" s="176" t="n">
        <f aca="false">IF(INDEX(Salary_Calculation[Source Row],ROW()-ROW(Payslip_Lookup[#Headers]))="","",INDEX(Salary_Calculation[missed_days_penalty],ROW()-ROW(Payslip_Lookup[#Headers])))</f>
        <v>0</v>
      </c>
      <c r="V2" s="176" t="n">
        <f aca="false">IF(INDEX(Salary_Calculation[Source Row],ROW()-ROW(Payslip_Lookup[#Headers]))="","",INDEX(Salary_Calculation[Rider Balance],ROW()-ROW(Payslip_Lookup[#Headers])))</f>
        <v>268.09</v>
      </c>
      <c r="W2" s="176" t="n">
        <f aca="false">IF(INDEX(Salary_Calculation[Source Row],ROW()-ROW(Payslip_Lookup[#Headers]))="","",INDEX(Salary_Calculation[stacking_deduction],ROW()-ROW(Payslip_Lookup[#Headers])))</f>
        <v>32</v>
      </c>
      <c r="X2" s="176" t="n">
        <f aca="false">IF(INDEX(Salary_Calculation[Source Row],ROW()-ROW(Payslip_Lookup[#Headers]))="","",INDEX(Salary_Calculation[Other Deductions],ROW()-ROW(Payslip_Lookup[#Headers])))</f>
        <v>0</v>
      </c>
      <c r="Y2" s="176" t="n">
        <f aca="false">IF(INDEX(Salary_Calculation[Source Row],ROW()-ROW(Payslip_Lookup[#Headers]))="","",INDEX(Salary_Calculation[Total Deductions],ROW()-ROW(Payslip_Lookup[#Headers])))</f>
        <v>300.09</v>
      </c>
      <c r="Z2" s="176" t="n">
        <f aca="false">IF(INDEX(Salary_Calculation[Source Row],ROW()-ROW(Payslip_Lookup[#Headers]))="","",INDEX(Salary_Calculation[Final Salary],ROW()-ROW(Payslip_Lookup[#Headers])))</f>
        <v>0</v>
      </c>
      <c r="AA2" s="176" t="n">
        <f aca="false">IF(INDEX(Salary_Calculation[Source Row],ROW()-ROW(Payslip_Lookup[#Headers]))="","",INDEX(Salary_Calculation[Negative Balance / Amount Due from Rider],ROW()-ROW(Payslip_Lookup[#Headers])))</f>
        <v>16</v>
      </c>
      <c r="AB2" s="176" t="n">
        <f aca="false">IF(INDEX(Salary_Calculation[Source Row],ROW()-ROW(Payslip_Lookup[#Headers]))="","",INDEX(Salary_Calculation[Total Amount Due from Rider],ROW()-ROW(Payslip_Lookup[#Headers])))</f>
        <v>316.09</v>
      </c>
      <c r="AC2" s="176" t="n">
        <f aca="false">IF(INDEX(Salary_Calculation[Source Row],ROW()-ROW(Payslip_Lookup[#Headers]))="","",INDEX(Salary_Calculation[Salary Before Other Deductions],ROW()-ROW(Payslip_Lookup[#Headers])))</f>
        <v>-16</v>
      </c>
      <c r="AD2" s="171" t="str">
        <f aca="false">IF(INDEX(Salary_Calculation[Source Row],ROW()-ROW(Payslip_Lookup[#Headers]))="","",INDEX(Salary_Calculation[Payment Status],ROW()-ROW(Payslip_Lookup[#Headers])))</f>
        <v>No Salary – Amount Due from Rider</v>
      </c>
      <c r="AE2" s="171" t="str">
        <f aca="false">IF(INDEX(Salary_Calculation[Source Row],ROW()-ROW(Payslip_Lookup[#Headers]))="","",INDEX(Salary_Calculation[Notes],ROW()-ROW(Payslip_Lookup[#Headers])))</f>
        <v/>
      </c>
      <c r="AF2" s="171" t="str">
        <f aca="false">IF(INDEX(Salary_Calculation[Source Row],ROW()-ROW(Payslip_Lookup[#Headers]))="","",INDEX(Salary_Calculation[Exception Reason],ROW()-ROW(Payslip_Lookup[#Headers])))</f>
        <v/>
      </c>
      <c r="AG2" s="173" t="str">
        <f aca="false">IF($AD2="Review Required",COUNTIF(AD$2:AD2,"Review Required"),"")</f>
        <v/>
      </c>
      <c r="AH2" s="173" t="n">
        <f aca="false">IF(AND($D2&lt;&gt;"",$B2=Payslip_Print!$C$2),MAX(AH$1:AH1)+1,"")</f>
        <v>1</v>
      </c>
      <c r="AJ2" s="177" t="n">
        <f aca="false">IF(COUNT(Payslip_Lookup[Month Key])=0,"",MIN(Payslip_Lookup[Month Key]))</f>
        <v>46235</v>
      </c>
      <c r="AK2" s="177" t="s">
        <v>2</v>
      </c>
      <c r="AL2" s="178" t="n">
        <f aca="false">IFERROR(INDEX($D$2:$D$501,MATCH(ROW()-1,$AH$2:$AH$501,0)),"")</f>
        <v>4849914</v>
      </c>
      <c r="AM2" s="179" t="n">
        <f aca="false">IF($Z2="","",IF(AND($C2&gt;=Dash_Start,$C2&lt;Dash_End),$Z2+ROW()/10000000,""))</f>
        <v>2E-007</v>
      </c>
    </row>
    <row r="3" customFormat="false" ht="14.25" hidden="false" customHeight="false" outlineLevel="0" collapsed="false">
      <c r="A3" s="171" t="str">
        <f aca="false">IF(Payslip_Lookup[[#This Row],[Rider ID]]="","",Payslip_Lookup[[#This Row],[Rider ID]]&amp;"|"&amp;Payslip_Lookup[[#This Row],[Month Key]])</f>
        <v>4849909|46235</v>
      </c>
      <c r="B3" s="172" t="n">
        <f aca="false">IF(ISNUMBER(Payslip_Lookup[[#This Row],[Salary Month]]),DATE(YEAR(Payslip_Lookup[[#This Row],[Salary Month]]),MONTH(Payslip_Lookup[[#This Row],[Salary Month]]),1),"")</f>
        <v>46235</v>
      </c>
      <c r="C3" s="172" t="n">
        <f aca="false">IF(INDEX(Salary_Calculation[Source Row],ROW()-ROW(Payslip_Lookup[#Headers]))="","",INDEX(Salary_Calculation[Salary Month],ROW()-ROW(Payslip_Lookup[#Headers])))</f>
        <v>46235</v>
      </c>
      <c r="D3" s="173" t="n">
        <f aca="false">IF(INDEX(Salary_Calculation[Source Row],ROW()-ROW(Payslip_Lookup[#Headers]))="","",INDEX(Salary_Calculation[Rider ID],ROW()-ROW(Payslip_Lookup[#Headers])))</f>
        <v>4849909</v>
      </c>
      <c r="E3" s="171" t="str">
        <f aca="false">IF(INDEX(Salary_Calculation[Source Row],ROW()-ROW(Payslip_Lookup[#Headers]))="","",INDEX(Salary_Calculation[Rider Name],ROW()-ROW(Payslip_Lookup[#Headers])))</f>
        <v>Rider 4849909</v>
      </c>
      <c r="F3" s="173" t="n">
        <f aca="false">IF(INDEX(Salary_Calculation[Source Row],ROW()-ROW(Payslip_Lookup[#Headers]))="","",INDEX(Salary_Calculation[Working Days],ROW()-ROW(Payslip_Lookup[#Headers])))</f>
        <v>11</v>
      </c>
      <c r="G3" s="173" t="n">
        <f aca="false">IF(INDEX(Salary_Calculation[Source Row],ROW()-ROW(Payslip_Lookup[#Headers]))="","",INDEX(Salary_Calculation[Calendar Days],ROW()-ROW(Payslip_Lookup[#Headers])))</f>
        <v>31</v>
      </c>
      <c r="H3" s="174" t="n">
        <f aca="false">IF(INDEX(Salary_Calculation[Source Row],ROW()-ROW(Payslip_Lookup[#Headers]))="","",INDEX(Salary_Calculation[Monthly Target Orders],ROW()-ROW(Payslip_Lookup[#Headers])))</f>
        <v>465</v>
      </c>
      <c r="I3" s="174" t="n">
        <f aca="false">IF(INDEX(Salary_Calculation[Source Row],ROW()-ROW(Payslip_Lookup[#Headers]))="","",INDEX(Salary_Calculation[Rider Target Orders],ROW()-ROW(Payslip_Lookup[#Headers])))</f>
        <v>165</v>
      </c>
      <c r="J3" s="175" t="n">
        <f aca="false">IF(INDEX(Salary_Calculation[Source Row],ROW()-ROW(Payslip_Lookup[#Headers]))="","",INDEX(Salary_Calculation[Completed Orders],ROW()-ROW(Payslip_Lookup[#Headers])))</f>
        <v>101</v>
      </c>
      <c r="K3" s="174" t="n">
        <f aca="false">IF(INDEX(Salary_Calculation[Source Row],ROW()-ROW(Payslip_Lookup[#Headers]))="","",INDEX(Salary_Calculation[Base Order Rate],ROW()-ROW(Payslip_Lookup[#Headers])))</f>
        <v>4.44444444444445</v>
      </c>
      <c r="L3" s="176" t="n">
        <f aca="false">IF(INDEX(Salary_Calculation[Source Row],ROW()-ROW(Payslip_Lookup[#Headers]))="","",INDEX(Salary_Calculation[Basic Payment],ROW()-ROW(Payslip_Lookup[#Headers])))</f>
        <v>2000</v>
      </c>
      <c r="M3" s="176" t="n">
        <f aca="false">IF(INDEX(Salary_Calculation[Source Row],ROW()-ROW(Payslip_Lookup[#Headers]))="","",INDEX(Salary_Calculation[Earned Salary],ROW()-ROW(Payslip_Lookup[#Headers])))</f>
        <v>448.888888888889</v>
      </c>
      <c r="N3" s="174" t="n">
        <f aca="false">IF(INDEX(Salary_Calculation[Source Row],ROW()-ROW(Payslip_Lookup[#Headers]))="","",INDEX(Salary_Calculation[Orders Counted at Base Rate],ROW()-ROW(Payslip_Lookup[#Headers])))</f>
        <v>101</v>
      </c>
      <c r="O3" s="174" t="n">
        <f aca="false">IF(INDEX(Salary_Calculation[Source Row],ROW()-ROW(Payslip_Lookup[#Headers]))="","",INDEX(Salary_Calculation[Missing Orders],ROW()-ROW(Payslip_Lookup[#Headers])))</f>
        <v>64</v>
      </c>
      <c r="P3" s="176" t="n">
        <f aca="false">IF(INDEX(Salary_Calculation[Source Row],ROW()-ROW(Payslip_Lookup[#Headers]))="","",INDEX(Salary_Calculation[Missing-Order Deduction],ROW()-ROW(Payslip_Lookup[#Headers])))</f>
        <v>448</v>
      </c>
      <c r="Q3" s="174" t="n">
        <f aca="false">IF(INDEX(Salary_Calculation[Source Row],ROW()-ROW(Payslip_Lookup[#Headers]))="","",INDEX(Salary_Calculation[Extra Orders],ROW()-ROW(Payslip_Lookup[#Headers])))</f>
        <v>0</v>
      </c>
      <c r="R3" s="176" t="n">
        <f aca="false">IF(INDEX(Salary_Calculation[Source Row],ROW()-ROW(Payslip_Lookup[#Headers]))="","",INDEX(Salary_Calculation[Extra-Order Bonus],ROW()-ROW(Payslip_Lookup[#Headers])))</f>
        <v>0</v>
      </c>
      <c r="S3" s="176" t="n">
        <f aca="false">IF(INDEX(Salary_Calculation[Source Row],ROW()-ROW(Payslip_Lookup[#Headers]))="","",INDEX(Salary_Calculation[Basic Salary for Target],ROW()-ROW(Payslip_Lookup[#Headers])))</f>
        <v>733.333333333333</v>
      </c>
      <c r="T3" s="176" t="n">
        <f aca="false">IF(INDEX(Salary_Calculation[Source Row],ROW()-ROW(Payslip_Lookup[#Headers]))="","",INDEX(Salary_Calculation[Gross Salary Before Deductions],ROW()-ROW(Payslip_Lookup[#Headers])))</f>
        <v>0.888888888888914</v>
      </c>
      <c r="U3" s="176" t="n">
        <f aca="false">IF(INDEX(Salary_Calculation[Source Row],ROW()-ROW(Payslip_Lookup[#Headers]))="","",INDEX(Salary_Calculation[missed_days_penalty],ROW()-ROW(Payslip_Lookup[#Headers])))</f>
        <v>0</v>
      </c>
      <c r="V3" s="176" t="n">
        <f aca="false">IF(INDEX(Salary_Calculation[Source Row],ROW()-ROW(Payslip_Lookup[#Headers]))="","",INDEX(Salary_Calculation[Rider Balance],ROW()-ROW(Payslip_Lookup[#Headers])))</f>
        <v>213.56</v>
      </c>
      <c r="W3" s="176" t="n">
        <f aca="false">IF(INDEX(Salary_Calculation[Source Row],ROW()-ROW(Payslip_Lookup[#Headers]))="","",INDEX(Salary_Calculation[stacking_deduction],ROW()-ROW(Payslip_Lookup[#Headers])))</f>
        <v>20</v>
      </c>
      <c r="X3" s="176" t="n">
        <f aca="false">IF(INDEX(Salary_Calculation[Source Row],ROW()-ROW(Payslip_Lookup[#Headers]))="","",INDEX(Salary_Calculation[Other Deductions],ROW()-ROW(Payslip_Lookup[#Headers])))</f>
        <v>0</v>
      </c>
      <c r="Y3" s="176" t="n">
        <f aca="false">IF(INDEX(Salary_Calculation[Source Row],ROW()-ROW(Payslip_Lookup[#Headers]))="","",INDEX(Salary_Calculation[Total Deductions],ROW()-ROW(Payslip_Lookup[#Headers])))</f>
        <v>233.56</v>
      </c>
      <c r="Z3" s="176" t="n">
        <f aca="false">IF(INDEX(Salary_Calculation[Source Row],ROW()-ROW(Payslip_Lookup[#Headers]))="","",INDEX(Salary_Calculation[Final Salary],ROW()-ROW(Payslip_Lookup[#Headers])))</f>
        <v>0</v>
      </c>
      <c r="AA3" s="176" t="n">
        <f aca="false">IF(INDEX(Salary_Calculation[Source Row],ROW()-ROW(Payslip_Lookup[#Headers]))="","",INDEX(Salary_Calculation[Negative Balance / Amount Due from Rider],ROW()-ROW(Payslip_Lookup[#Headers])))</f>
        <v>0</v>
      </c>
      <c r="AB3" s="176" t="n">
        <f aca="false">IF(INDEX(Salary_Calculation[Source Row],ROW()-ROW(Payslip_Lookup[#Headers]))="","",INDEX(Salary_Calculation[Total Amount Due from Rider],ROW()-ROW(Payslip_Lookup[#Headers])))</f>
        <v>232.67</v>
      </c>
      <c r="AC3" s="176" t="n">
        <f aca="false">IF(INDEX(Salary_Calculation[Source Row],ROW()-ROW(Payslip_Lookup[#Headers]))="","",INDEX(Salary_Calculation[Salary Before Other Deductions],ROW()-ROW(Payslip_Lookup[#Headers])))</f>
        <v>0.888888888888914</v>
      </c>
      <c r="AD3" s="171" t="str">
        <f aca="false">IF(INDEX(Salary_Calculation[Source Row],ROW()-ROW(Payslip_Lookup[#Headers]))="","",INDEX(Salary_Calculation[Payment Status],ROW()-ROW(Payslip_Lookup[#Headers])))</f>
        <v>No Salary – Amount Due from Rider</v>
      </c>
      <c r="AE3" s="171" t="str">
        <f aca="false">IF(INDEX(Salary_Calculation[Source Row],ROW()-ROW(Payslip_Lookup[#Headers]))="","",INDEX(Salary_Calculation[Notes],ROW()-ROW(Payslip_Lookup[#Headers])))</f>
        <v/>
      </c>
      <c r="AF3" s="171" t="str">
        <f aca="false">IF(INDEX(Salary_Calculation[Source Row],ROW()-ROW(Payslip_Lookup[#Headers]))="","",INDEX(Salary_Calculation[Exception Reason],ROW()-ROW(Payslip_Lookup[#Headers])))</f>
        <v/>
      </c>
      <c r="AG3" s="173" t="str">
        <f aca="false">IF($AD3="Review Required",COUNTIF(AD$2:AD3,"Review Required"),"")</f>
        <v/>
      </c>
      <c r="AH3" s="173" t="n">
        <f aca="false">IF(AND($D3&lt;&gt;"",$B3=Payslip_Print!$C$2),MAX(AH$1:AH2)+1,"")</f>
        <v>2</v>
      </c>
      <c r="AJ3" s="177" t="str">
        <f aca="false">IF(AJ2="","",IFERROR(SMALL(Payslip_Lookup[Month Key],COUNTIF(Payslip_Lookup[Month Key],"&lt;="&amp;AJ2)+1),""))</f>
        <v/>
      </c>
      <c r="AK3" s="177" t="n">
        <f aca="false">IF(AJ2="","",AJ2)</f>
        <v>46235</v>
      </c>
      <c r="AL3" s="178" t="n">
        <f aca="false">IFERROR(INDEX($D$2:$D$501,MATCH(ROW()-1,$AH$2:$AH$501,0)),"")</f>
        <v>4849909</v>
      </c>
      <c r="AM3" s="179" t="n">
        <f aca="false">IF($Z3="","",IF(AND($C3&gt;=Dash_Start,$C3&lt;Dash_End),$Z3+ROW()/10000000,""))</f>
        <v>3E-007</v>
      </c>
    </row>
    <row r="4" customFormat="false" ht="14.25" hidden="false" customHeight="false" outlineLevel="0" collapsed="false">
      <c r="A4" s="171" t="str">
        <f aca="false">IF(Payslip_Lookup[[#This Row],[Rider ID]]="","",Payslip_Lookup[[#This Row],[Rider ID]]&amp;"|"&amp;Payslip_Lookup[[#This Row],[Month Key]])</f>
        <v>4849222|46235</v>
      </c>
      <c r="B4" s="172" t="n">
        <f aca="false">IF(ISNUMBER(Payslip_Lookup[[#This Row],[Salary Month]]),DATE(YEAR(Payslip_Lookup[[#This Row],[Salary Month]]),MONTH(Payslip_Lookup[[#This Row],[Salary Month]]),1),"")</f>
        <v>46235</v>
      </c>
      <c r="C4" s="172" t="n">
        <f aca="false">IF(INDEX(Salary_Calculation[Source Row],ROW()-ROW(Payslip_Lookup[#Headers]))="","",INDEX(Salary_Calculation[Salary Month],ROW()-ROW(Payslip_Lookup[#Headers])))</f>
        <v>46235</v>
      </c>
      <c r="D4" s="173" t="n">
        <f aca="false">IF(INDEX(Salary_Calculation[Source Row],ROW()-ROW(Payslip_Lookup[#Headers]))="","",INDEX(Salary_Calculation[Rider ID],ROW()-ROW(Payslip_Lookup[#Headers])))</f>
        <v>4849222</v>
      </c>
      <c r="E4" s="171" t="str">
        <f aca="false">IF(INDEX(Salary_Calculation[Source Row],ROW()-ROW(Payslip_Lookup[#Headers]))="","",INDEX(Salary_Calculation[Rider Name],ROW()-ROW(Payslip_Lookup[#Headers])))</f>
        <v>Rider 4849222</v>
      </c>
      <c r="F4" s="173" t="n">
        <f aca="false">IF(INDEX(Salary_Calculation[Source Row],ROW()-ROW(Payslip_Lookup[#Headers]))="","",INDEX(Salary_Calculation[Working Days],ROW()-ROW(Payslip_Lookup[#Headers])))</f>
        <v>11</v>
      </c>
      <c r="G4" s="173" t="n">
        <f aca="false">IF(INDEX(Salary_Calculation[Source Row],ROW()-ROW(Payslip_Lookup[#Headers]))="","",INDEX(Salary_Calculation[Calendar Days],ROW()-ROW(Payslip_Lookup[#Headers])))</f>
        <v>31</v>
      </c>
      <c r="H4" s="174" t="n">
        <f aca="false">IF(INDEX(Salary_Calculation[Source Row],ROW()-ROW(Payslip_Lookup[#Headers]))="","",INDEX(Salary_Calculation[Monthly Target Orders],ROW()-ROW(Payslip_Lookup[#Headers])))</f>
        <v>465</v>
      </c>
      <c r="I4" s="174" t="n">
        <f aca="false">IF(INDEX(Salary_Calculation[Source Row],ROW()-ROW(Payslip_Lookup[#Headers]))="","",INDEX(Salary_Calculation[Rider Target Orders],ROW()-ROW(Payslip_Lookup[#Headers])))</f>
        <v>165</v>
      </c>
      <c r="J4" s="175" t="n">
        <f aca="false">IF(INDEX(Salary_Calculation[Source Row],ROW()-ROW(Payslip_Lookup[#Headers]))="","",INDEX(Salary_Calculation[Completed Orders],ROW()-ROW(Payslip_Lookup[#Headers])))</f>
        <v>105</v>
      </c>
      <c r="K4" s="174" t="n">
        <f aca="false">IF(INDEX(Salary_Calculation[Source Row],ROW()-ROW(Payslip_Lookup[#Headers]))="","",INDEX(Salary_Calculation[Base Order Rate],ROW()-ROW(Payslip_Lookup[#Headers])))</f>
        <v>4.44444444444445</v>
      </c>
      <c r="L4" s="176" t="n">
        <f aca="false">IF(INDEX(Salary_Calculation[Source Row],ROW()-ROW(Payslip_Lookup[#Headers]))="","",INDEX(Salary_Calculation[Basic Payment],ROW()-ROW(Payslip_Lookup[#Headers])))</f>
        <v>2000</v>
      </c>
      <c r="M4" s="176" t="n">
        <f aca="false">IF(INDEX(Salary_Calculation[Source Row],ROW()-ROW(Payslip_Lookup[#Headers]))="","",INDEX(Salary_Calculation[Earned Salary],ROW()-ROW(Payslip_Lookup[#Headers])))</f>
        <v>466.666666666667</v>
      </c>
      <c r="N4" s="174" t="n">
        <f aca="false">IF(INDEX(Salary_Calculation[Source Row],ROW()-ROW(Payslip_Lookup[#Headers]))="","",INDEX(Salary_Calculation[Orders Counted at Base Rate],ROW()-ROW(Payslip_Lookup[#Headers])))</f>
        <v>105</v>
      </c>
      <c r="O4" s="174" t="n">
        <f aca="false">IF(INDEX(Salary_Calculation[Source Row],ROW()-ROW(Payslip_Lookup[#Headers]))="","",INDEX(Salary_Calculation[Missing Orders],ROW()-ROW(Payslip_Lookup[#Headers])))</f>
        <v>60</v>
      </c>
      <c r="P4" s="176" t="n">
        <f aca="false">IF(INDEX(Salary_Calculation[Source Row],ROW()-ROW(Payslip_Lookup[#Headers]))="","",INDEX(Salary_Calculation[Missing-Order Deduction],ROW()-ROW(Payslip_Lookup[#Headers])))</f>
        <v>420</v>
      </c>
      <c r="Q4" s="174" t="n">
        <f aca="false">IF(INDEX(Salary_Calculation[Source Row],ROW()-ROW(Payslip_Lookup[#Headers]))="","",INDEX(Salary_Calculation[Extra Orders],ROW()-ROW(Payslip_Lookup[#Headers])))</f>
        <v>0</v>
      </c>
      <c r="R4" s="176" t="n">
        <f aca="false">IF(INDEX(Salary_Calculation[Source Row],ROW()-ROW(Payslip_Lookup[#Headers]))="","",INDEX(Salary_Calculation[Extra-Order Bonus],ROW()-ROW(Payslip_Lookup[#Headers])))</f>
        <v>0</v>
      </c>
      <c r="S4" s="176" t="n">
        <f aca="false">IF(INDEX(Salary_Calculation[Source Row],ROW()-ROW(Payslip_Lookup[#Headers]))="","",INDEX(Salary_Calculation[Basic Salary for Target],ROW()-ROW(Payslip_Lookup[#Headers])))</f>
        <v>733.333333333333</v>
      </c>
      <c r="T4" s="176" t="n">
        <f aca="false">IF(INDEX(Salary_Calculation[Source Row],ROW()-ROW(Payslip_Lookup[#Headers]))="","",INDEX(Salary_Calculation[Gross Salary Before Deductions],ROW()-ROW(Payslip_Lookup[#Headers])))</f>
        <v>46.6666666666667</v>
      </c>
      <c r="U4" s="176" t="n">
        <f aca="false">IF(INDEX(Salary_Calculation[Source Row],ROW()-ROW(Payslip_Lookup[#Headers]))="","",INDEX(Salary_Calculation[missed_days_penalty],ROW()-ROW(Payslip_Lookup[#Headers])))</f>
        <v>0</v>
      </c>
      <c r="V4" s="176" t="n">
        <f aca="false">IF(INDEX(Salary_Calculation[Source Row],ROW()-ROW(Payslip_Lookup[#Headers]))="","",INDEX(Salary_Calculation[Rider Balance],ROW()-ROW(Payslip_Lookup[#Headers])))</f>
        <v>190.77</v>
      </c>
      <c r="W4" s="176" t="n">
        <f aca="false">IF(INDEX(Salary_Calculation[Source Row],ROW()-ROW(Payslip_Lookup[#Headers]))="","",INDEX(Salary_Calculation[stacking_deduction],ROW()-ROW(Payslip_Lookup[#Headers])))</f>
        <v>20</v>
      </c>
      <c r="X4" s="176" t="n">
        <f aca="false">IF(INDEX(Salary_Calculation[Source Row],ROW()-ROW(Payslip_Lookup[#Headers]))="","",INDEX(Salary_Calculation[Other Deductions],ROW()-ROW(Payslip_Lookup[#Headers])))</f>
        <v>0</v>
      </c>
      <c r="Y4" s="176" t="n">
        <f aca="false">IF(INDEX(Salary_Calculation[Source Row],ROW()-ROW(Payslip_Lookup[#Headers]))="","",INDEX(Salary_Calculation[Total Deductions],ROW()-ROW(Payslip_Lookup[#Headers])))</f>
        <v>210.77</v>
      </c>
      <c r="Z4" s="176" t="n">
        <f aca="false">IF(INDEX(Salary_Calculation[Source Row],ROW()-ROW(Payslip_Lookup[#Headers]))="","",INDEX(Salary_Calculation[Final Salary],ROW()-ROW(Payslip_Lookup[#Headers])))</f>
        <v>0</v>
      </c>
      <c r="AA4" s="176" t="n">
        <f aca="false">IF(INDEX(Salary_Calculation[Source Row],ROW()-ROW(Payslip_Lookup[#Headers]))="","",INDEX(Salary_Calculation[Negative Balance / Amount Due from Rider],ROW()-ROW(Payslip_Lookup[#Headers])))</f>
        <v>0</v>
      </c>
      <c r="AB4" s="176" t="n">
        <f aca="false">IF(INDEX(Salary_Calculation[Source Row],ROW()-ROW(Payslip_Lookup[#Headers]))="","",INDEX(Salary_Calculation[Total Amount Due from Rider],ROW()-ROW(Payslip_Lookup[#Headers])))</f>
        <v>164.1</v>
      </c>
      <c r="AC4" s="176" t="n">
        <f aca="false">IF(INDEX(Salary_Calculation[Source Row],ROW()-ROW(Payslip_Lookup[#Headers]))="","",INDEX(Salary_Calculation[Salary Before Other Deductions],ROW()-ROW(Payslip_Lookup[#Headers])))</f>
        <v>46.6666666666667</v>
      </c>
      <c r="AD4" s="171" t="str">
        <f aca="false">IF(INDEX(Salary_Calculation[Source Row],ROW()-ROW(Payslip_Lookup[#Headers]))="","",INDEX(Salary_Calculation[Payment Status],ROW()-ROW(Payslip_Lookup[#Headers])))</f>
        <v>No Salary – Amount Due from Rider</v>
      </c>
      <c r="AE4" s="171" t="str">
        <f aca="false">IF(INDEX(Salary_Calculation[Source Row],ROW()-ROW(Payslip_Lookup[#Headers]))="","",INDEX(Salary_Calculation[Notes],ROW()-ROW(Payslip_Lookup[#Headers])))</f>
        <v/>
      </c>
      <c r="AF4" s="171" t="str">
        <f aca="false">IF(INDEX(Salary_Calculation[Source Row],ROW()-ROW(Payslip_Lookup[#Headers]))="","",INDEX(Salary_Calculation[Exception Reason],ROW()-ROW(Payslip_Lookup[#Headers])))</f>
        <v/>
      </c>
      <c r="AG4" s="173" t="str">
        <f aca="false">IF($AD4="Review Required",COUNTIF(AD$2:AD4,"Review Required"),"")</f>
        <v/>
      </c>
      <c r="AH4" s="173" t="n">
        <f aca="false">IF(AND($D4&lt;&gt;"",$B4=Payslip_Print!$C$2),MAX(AH$1:AH3)+1,"")</f>
        <v>3</v>
      </c>
      <c r="AJ4" s="177" t="str">
        <f aca="false">IF(AJ3="","",IFERROR(SMALL(Payslip_Lookup[Month Key],COUNTIF(Payslip_Lookup[Month Key],"&lt;="&amp;AJ3)+1),""))</f>
        <v/>
      </c>
      <c r="AK4" s="177" t="str">
        <f aca="false">IF(AJ3="","",AJ3)</f>
        <v/>
      </c>
      <c r="AL4" s="178" t="n">
        <f aca="false">IFERROR(INDEX($D$2:$D$501,MATCH(ROW()-1,$AH$2:$AH$501,0)),"")</f>
        <v>4849222</v>
      </c>
      <c r="AM4" s="179" t="n">
        <f aca="false">IF($Z4="","",IF(AND($C4&gt;=Dash_Start,$C4&lt;Dash_End),$Z4+ROW()/10000000,""))</f>
        <v>4E-007</v>
      </c>
    </row>
    <row r="5" customFormat="false" ht="14.25" hidden="false" customHeight="false" outlineLevel="0" collapsed="false">
      <c r="A5" s="171" t="str">
        <f aca="false">IF(Payslip_Lookup[[#This Row],[Rider ID]]="","",Payslip_Lookup[[#This Row],[Rider ID]]&amp;"|"&amp;Payslip_Lookup[[#This Row],[Month Key]])</f>
        <v>4844480|46235</v>
      </c>
      <c r="B5" s="172" t="n">
        <f aca="false">IF(ISNUMBER(Payslip_Lookup[[#This Row],[Salary Month]]),DATE(YEAR(Payslip_Lookup[[#This Row],[Salary Month]]),MONTH(Payslip_Lookup[[#This Row],[Salary Month]]),1),"")</f>
        <v>46235</v>
      </c>
      <c r="C5" s="172" t="n">
        <f aca="false">IF(INDEX(Salary_Calculation[Source Row],ROW()-ROW(Payslip_Lookup[#Headers]))="","",INDEX(Salary_Calculation[Salary Month],ROW()-ROW(Payslip_Lookup[#Headers])))</f>
        <v>46235</v>
      </c>
      <c r="D5" s="173" t="n">
        <f aca="false">IF(INDEX(Salary_Calculation[Source Row],ROW()-ROW(Payslip_Lookup[#Headers]))="","",INDEX(Salary_Calculation[Rider ID],ROW()-ROW(Payslip_Lookup[#Headers])))</f>
        <v>4844480</v>
      </c>
      <c r="E5" s="171" t="str">
        <f aca="false">IF(INDEX(Salary_Calculation[Source Row],ROW()-ROW(Payslip_Lookup[#Headers]))="","",INDEX(Salary_Calculation[Rider Name],ROW()-ROW(Payslip_Lookup[#Headers])))</f>
        <v>Rider 4844480</v>
      </c>
      <c r="F5" s="173" t="n">
        <f aca="false">IF(INDEX(Salary_Calculation[Source Row],ROW()-ROW(Payslip_Lookup[#Headers]))="","",INDEX(Salary_Calculation[Working Days],ROW()-ROW(Payslip_Lookup[#Headers])))</f>
        <v>12</v>
      </c>
      <c r="G5" s="173" t="n">
        <f aca="false">IF(INDEX(Salary_Calculation[Source Row],ROW()-ROW(Payslip_Lookup[#Headers]))="","",INDEX(Salary_Calculation[Calendar Days],ROW()-ROW(Payslip_Lookup[#Headers])))</f>
        <v>31</v>
      </c>
      <c r="H5" s="174" t="n">
        <f aca="false">IF(INDEX(Salary_Calculation[Source Row],ROW()-ROW(Payslip_Lookup[#Headers]))="","",INDEX(Salary_Calculation[Monthly Target Orders],ROW()-ROW(Payslip_Lookup[#Headers])))</f>
        <v>465</v>
      </c>
      <c r="I5" s="174" t="n">
        <f aca="false">IF(INDEX(Salary_Calculation[Source Row],ROW()-ROW(Payslip_Lookup[#Headers]))="","",INDEX(Salary_Calculation[Rider Target Orders],ROW()-ROW(Payslip_Lookup[#Headers])))</f>
        <v>180</v>
      </c>
      <c r="J5" s="175" t="n">
        <f aca="false">IF(INDEX(Salary_Calculation[Source Row],ROW()-ROW(Payslip_Lookup[#Headers]))="","",INDEX(Salary_Calculation[Completed Orders],ROW()-ROW(Payslip_Lookup[#Headers])))</f>
        <v>150</v>
      </c>
      <c r="K5" s="174" t="n">
        <f aca="false">IF(INDEX(Salary_Calculation[Source Row],ROW()-ROW(Payslip_Lookup[#Headers]))="","",INDEX(Salary_Calculation[Base Order Rate],ROW()-ROW(Payslip_Lookup[#Headers])))</f>
        <v>4.44444444444445</v>
      </c>
      <c r="L5" s="176" t="n">
        <f aca="false">IF(INDEX(Salary_Calculation[Source Row],ROW()-ROW(Payslip_Lookup[#Headers]))="","",INDEX(Salary_Calculation[Basic Payment],ROW()-ROW(Payslip_Lookup[#Headers])))</f>
        <v>2000</v>
      </c>
      <c r="M5" s="176" t="n">
        <f aca="false">IF(INDEX(Salary_Calculation[Source Row],ROW()-ROW(Payslip_Lookup[#Headers]))="","",INDEX(Salary_Calculation[Earned Salary],ROW()-ROW(Payslip_Lookup[#Headers])))</f>
        <v>666.666666666667</v>
      </c>
      <c r="N5" s="174" t="n">
        <f aca="false">IF(INDEX(Salary_Calculation[Source Row],ROW()-ROW(Payslip_Lookup[#Headers]))="","",INDEX(Salary_Calculation[Orders Counted at Base Rate],ROW()-ROW(Payslip_Lookup[#Headers])))</f>
        <v>150</v>
      </c>
      <c r="O5" s="174" t="n">
        <f aca="false">IF(INDEX(Salary_Calculation[Source Row],ROW()-ROW(Payslip_Lookup[#Headers]))="","",INDEX(Salary_Calculation[Missing Orders],ROW()-ROW(Payslip_Lookup[#Headers])))</f>
        <v>30</v>
      </c>
      <c r="P5" s="176" t="n">
        <f aca="false">IF(INDEX(Salary_Calculation[Source Row],ROW()-ROW(Payslip_Lookup[#Headers]))="","",INDEX(Salary_Calculation[Missing-Order Deduction],ROW()-ROW(Payslip_Lookup[#Headers])))</f>
        <v>210</v>
      </c>
      <c r="Q5" s="174" t="n">
        <f aca="false">IF(INDEX(Salary_Calculation[Source Row],ROW()-ROW(Payslip_Lookup[#Headers]))="","",INDEX(Salary_Calculation[Extra Orders],ROW()-ROW(Payslip_Lookup[#Headers])))</f>
        <v>0</v>
      </c>
      <c r="R5" s="176" t="n">
        <f aca="false">IF(INDEX(Salary_Calculation[Source Row],ROW()-ROW(Payslip_Lookup[#Headers]))="","",INDEX(Salary_Calculation[Extra-Order Bonus],ROW()-ROW(Payslip_Lookup[#Headers])))</f>
        <v>0</v>
      </c>
      <c r="S5" s="176" t="n">
        <f aca="false">IF(INDEX(Salary_Calculation[Source Row],ROW()-ROW(Payslip_Lookup[#Headers]))="","",INDEX(Salary_Calculation[Basic Salary for Target],ROW()-ROW(Payslip_Lookup[#Headers])))</f>
        <v>800</v>
      </c>
      <c r="T5" s="176" t="n">
        <f aca="false">IF(INDEX(Salary_Calculation[Source Row],ROW()-ROW(Payslip_Lookup[#Headers]))="","",INDEX(Salary_Calculation[Gross Salary Before Deductions],ROW()-ROW(Payslip_Lookup[#Headers])))</f>
        <v>456.666666666667</v>
      </c>
      <c r="U5" s="176" t="n">
        <f aca="false">IF(INDEX(Salary_Calculation[Source Row],ROW()-ROW(Payslip_Lookup[#Headers]))="","",INDEX(Salary_Calculation[missed_days_penalty],ROW()-ROW(Payslip_Lookup[#Headers])))</f>
        <v>0</v>
      </c>
      <c r="V5" s="176" t="n">
        <f aca="false">IF(INDEX(Salary_Calculation[Source Row],ROW()-ROW(Payslip_Lookup[#Headers]))="","",INDEX(Salary_Calculation[Rider Balance],ROW()-ROW(Payslip_Lookup[#Headers])))</f>
        <v>57.17</v>
      </c>
      <c r="W5" s="176" t="n">
        <f aca="false">IF(INDEX(Salary_Calculation[Source Row],ROW()-ROW(Payslip_Lookup[#Headers]))="","",INDEX(Salary_Calculation[stacking_deduction],ROW()-ROW(Payslip_Lookup[#Headers])))</f>
        <v>36</v>
      </c>
      <c r="X5" s="176" t="n">
        <f aca="false">IF(INDEX(Salary_Calculation[Source Row],ROW()-ROW(Payslip_Lookup[#Headers]))="","",INDEX(Salary_Calculation[Other Deductions],ROW()-ROW(Payslip_Lookup[#Headers])))</f>
        <v>0</v>
      </c>
      <c r="Y5" s="176" t="n">
        <f aca="false">IF(INDEX(Salary_Calculation[Source Row],ROW()-ROW(Payslip_Lookup[#Headers]))="","",INDEX(Salary_Calculation[Total Deductions],ROW()-ROW(Payslip_Lookup[#Headers])))</f>
        <v>93.17</v>
      </c>
      <c r="Z5" s="176" t="n">
        <f aca="false">IF(INDEX(Salary_Calculation[Source Row],ROW()-ROW(Payslip_Lookup[#Headers]))="","",INDEX(Salary_Calculation[Final Salary],ROW()-ROW(Payslip_Lookup[#Headers])))</f>
        <v>363.5</v>
      </c>
      <c r="AA5" s="176" t="n">
        <f aca="false">IF(INDEX(Salary_Calculation[Source Row],ROW()-ROW(Payslip_Lookup[#Headers]))="","",INDEX(Salary_Calculation[Negative Balance / Amount Due from Rider],ROW()-ROW(Payslip_Lookup[#Headers])))</f>
        <v>0</v>
      </c>
      <c r="AB5" s="176" t="n">
        <f aca="false">IF(INDEX(Salary_Calculation[Source Row],ROW()-ROW(Payslip_Lookup[#Headers]))="","",INDEX(Salary_Calculation[Total Amount Due from Rider],ROW()-ROW(Payslip_Lookup[#Headers])))</f>
        <v>0</v>
      </c>
      <c r="AC5" s="176" t="n">
        <f aca="false">IF(INDEX(Salary_Calculation[Source Row],ROW()-ROW(Payslip_Lookup[#Headers]))="","",INDEX(Salary_Calculation[Salary Before Other Deductions],ROW()-ROW(Payslip_Lookup[#Headers])))</f>
        <v>456.666666666667</v>
      </c>
      <c r="AD5" s="171" t="str">
        <f aca="false">IF(INDEX(Salary_Calculation[Source Row],ROW()-ROW(Payslip_Lookup[#Headers]))="","",INDEX(Salary_Calculation[Payment Status],ROW()-ROW(Payslip_Lookup[#Headers])))</f>
        <v>Paid After Deductions</v>
      </c>
      <c r="AE5" s="171" t="str">
        <f aca="false">IF(INDEX(Salary_Calculation[Source Row],ROW()-ROW(Payslip_Lookup[#Headers]))="","",INDEX(Salary_Calculation[Notes],ROW()-ROW(Payslip_Lookup[#Headers])))</f>
        <v/>
      </c>
      <c r="AF5" s="171" t="str">
        <f aca="false">IF(INDEX(Salary_Calculation[Source Row],ROW()-ROW(Payslip_Lookup[#Headers]))="","",INDEX(Salary_Calculation[Exception Reason],ROW()-ROW(Payslip_Lookup[#Headers])))</f>
        <v/>
      </c>
      <c r="AG5" s="173" t="str">
        <f aca="false">IF($AD5="Review Required",COUNTIF(AD$2:AD5,"Review Required"),"")</f>
        <v/>
      </c>
      <c r="AH5" s="173" t="n">
        <f aca="false">IF(AND($D5&lt;&gt;"",$B5=Payslip_Print!$C$2),MAX(AH$1:AH4)+1,"")</f>
        <v>4</v>
      </c>
      <c r="AJ5" s="177" t="str">
        <f aca="false">IF(AJ4="","",IFERROR(SMALL(Payslip_Lookup[Month Key],COUNTIF(Payslip_Lookup[Month Key],"&lt;="&amp;AJ4)+1),""))</f>
        <v/>
      </c>
      <c r="AK5" s="177" t="str">
        <f aca="false">IF(AJ4="","",AJ4)</f>
        <v/>
      </c>
      <c r="AL5" s="178" t="n">
        <f aca="false">IFERROR(INDEX($D$2:$D$501,MATCH(ROW()-1,$AH$2:$AH$501,0)),"")</f>
        <v>4844480</v>
      </c>
      <c r="AM5" s="179" t="n">
        <f aca="false">IF($Z5="","",IF(AND($C5&gt;=Dash_Start,$C5&lt;Dash_End),$Z5+ROW()/10000000,""))</f>
        <v>363.5000005</v>
      </c>
    </row>
    <row r="6" customFormat="false" ht="14.25" hidden="false" customHeight="false" outlineLevel="0" collapsed="false">
      <c r="A6" s="171" t="str">
        <f aca="false">IF(Payslip_Lookup[[#This Row],[Rider ID]]="","",Payslip_Lookup[[#This Row],[Rider ID]]&amp;"|"&amp;Payslip_Lookup[[#This Row],[Month Key]])</f>
        <v>4838478|46235</v>
      </c>
      <c r="B6" s="172" t="n">
        <f aca="false">IF(ISNUMBER(Payslip_Lookup[[#This Row],[Salary Month]]),DATE(YEAR(Payslip_Lookup[[#This Row],[Salary Month]]),MONTH(Payslip_Lookup[[#This Row],[Salary Month]]),1),"")</f>
        <v>46235</v>
      </c>
      <c r="C6" s="172" t="n">
        <f aca="false">IF(INDEX(Salary_Calculation[Source Row],ROW()-ROW(Payslip_Lookup[#Headers]))="","",INDEX(Salary_Calculation[Salary Month],ROW()-ROW(Payslip_Lookup[#Headers])))</f>
        <v>46235</v>
      </c>
      <c r="D6" s="173" t="n">
        <f aca="false">IF(INDEX(Salary_Calculation[Source Row],ROW()-ROW(Payslip_Lookup[#Headers]))="","",INDEX(Salary_Calculation[Rider ID],ROW()-ROW(Payslip_Lookup[#Headers])))</f>
        <v>4838478</v>
      </c>
      <c r="E6" s="171" t="str">
        <f aca="false">IF(INDEX(Salary_Calculation[Source Row],ROW()-ROW(Payslip_Lookup[#Headers]))="","",INDEX(Salary_Calculation[Rider Name],ROW()-ROW(Payslip_Lookup[#Headers])))</f>
        <v>Rider 4838478</v>
      </c>
      <c r="F6" s="173" t="n">
        <f aca="false">IF(INDEX(Salary_Calculation[Source Row],ROW()-ROW(Payslip_Lookup[#Headers]))="","",INDEX(Salary_Calculation[Working Days],ROW()-ROW(Payslip_Lookup[#Headers])))</f>
        <v>14</v>
      </c>
      <c r="G6" s="173" t="n">
        <f aca="false">IF(INDEX(Salary_Calculation[Source Row],ROW()-ROW(Payslip_Lookup[#Headers]))="","",INDEX(Salary_Calculation[Calendar Days],ROW()-ROW(Payslip_Lookup[#Headers])))</f>
        <v>31</v>
      </c>
      <c r="H6" s="174" t="n">
        <f aca="false">IF(INDEX(Salary_Calculation[Source Row],ROW()-ROW(Payslip_Lookup[#Headers]))="","",INDEX(Salary_Calculation[Monthly Target Orders],ROW()-ROW(Payslip_Lookup[#Headers])))</f>
        <v>465</v>
      </c>
      <c r="I6" s="174" t="n">
        <f aca="false">IF(INDEX(Salary_Calculation[Source Row],ROW()-ROW(Payslip_Lookup[#Headers]))="","",INDEX(Salary_Calculation[Rider Target Orders],ROW()-ROW(Payslip_Lookup[#Headers])))</f>
        <v>210</v>
      </c>
      <c r="J6" s="175" t="n">
        <f aca="false">IF(INDEX(Salary_Calculation[Source Row],ROW()-ROW(Payslip_Lookup[#Headers]))="","",INDEX(Salary_Calculation[Completed Orders],ROW()-ROW(Payslip_Lookup[#Headers])))</f>
        <v>171</v>
      </c>
      <c r="K6" s="174" t="n">
        <f aca="false">IF(INDEX(Salary_Calculation[Source Row],ROW()-ROW(Payslip_Lookup[#Headers]))="","",INDEX(Salary_Calculation[Base Order Rate],ROW()-ROW(Payslip_Lookup[#Headers])))</f>
        <v>4.44444444444445</v>
      </c>
      <c r="L6" s="176" t="n">
        <f aca="false">IF(INDEX(Salary_Calculation[Source Row],ROW()-ROW(Payslip_Lookup[#Headers]))="","",INDEX(Salary_Calculation[Basic Payment],ROW()-ROW(Payslip_Lookup[#Headers])))</f>
        <v>2000</v>
      </c>
      <c r="M6" s="176" t="n">
        <f aca="false">IF(INDEX(Salary_Calculation[Source Row],ROW()-ROW(Payslip_Lookup[#Headers]))="","",INDEX(Salary_Calculation[Earned Salary],ROW()-ROW(Payslip_Lookup[#Headers])))</f>
        <v>760</v>
      </c>
      <c r="N6" s="174" t="n">
        <f aca="false">IF(INDEX(Salary_Calculation[Source Row],ROW()-ROW(Payslip_Lookup[#Headers]))="","",INDEX(Salary_Calculation[Orders Counted at Base Rate],ROW()-ROW(Payslip_Lookup[#Headers])))</f>
        <v>171</v>
      </c>
      <c r="O6" s="174" t="n">
        <f aca="false">IF(INDEX(Salary_Calculation[Source Row],ROW()-ROW(Payslip_Lookup[#Headers]))="","",INDEX(Salary_Calculation[Missing Orders],ROW()-ROW(Payslip_Lookup[#Headers])))</f>
        <v>39</v>
      </c>
      <c r="P6" s="176" t="n">
        <f aca="false">IF(INDEX(Salary_Calculation[Source Row],ROW()-ROW(Payslip_Lookup[#Headers]))="","",INDEX(Salary_Calculation[Missing-Order Deduction],ROW()-ROW(Payslip_Lookup[#Headers])))</f>
        <v>273</v>
      </c>
      <c r="Q6" s="174" t="n">
        <f aca="false">IF(INDEX(Salary_Calculation[Source Row],ROW()-ROW(Payslip_Lookup[#Headers]))="","",INDEX(Salary_Calculation[Extra Orders],ROW()-ROW(Payslip_Lookup[#Headers])))</f>
        <v>0</v>
      </c>
      <c r="R6" s="176" t="n">
        <f aca="false">IF(INDEX(Salary_Calculation[Source Row],ROW()-ROW(Payslip_Lookup[#Headers]))="","",INDEX(Salary_Calculation[Extra-Order Bonus],ROW()-ROW(Payslip_Lookup[#Headers])))</f>
        <v>0</v>
      </c>
      <c r="S6" s="176" t="n">
        <f aca="false">IF(INDEX(Salary_Calculation[Source Row],ROW()-ROW(Payslip_Lookup[#Headers]))="","",INDEX(Salary_Calculation[Basic Salary for Target],ROW()-ROW(Payslip_Lookup[#Headers])))</f>
        <v>933.333333333333</v>
      </c>
      <c r="T6" s="176" t="n">
        <f aca="false">IF(INDEX(Salary_Calculation[Source Row],ROW()-ROW(Payslip_Lookup[#Headers]))="","",INDEX(Salary_Calculation[Gross Salary Before Deductions],ROW()-ROW(Payslip_Lookup[#Headers])))</f>
        <v>487</v>
      </c>
      <c r="U6" s="176" t="n">
        <f aca="false">IF(INDEX(Salary_Calculation[Source Row],ROW()-ROW(Payslip_Lookup[#Headers]))="","",INDEX(Salary_Calculation[missed_days_penalty],ROW()-ROW(Payslip_Lookup[#Headers])))</f>
        <v>0</v>
      </c>
      <c r="V6" s="176" t="n">
        <f aca="false">IF(INDEX(Salary_Calculation[Source Row],ROW()-ROW(Payslip_Lookup[#Headers]))="","",INDEX(Salary_Calculation[Rider Balance],ROW()-ROW(Payslip_Lookup[#Headers])))</f>
        <v>200.44</v>
      </c>
      <c r="W6" s="176" t="n">
        <f aca="false">IF(INDEX(Salary_Calculation[Source Row],ROW()-ROW(Payslip_Lookup[#Headers]))="","",INDEX(Salary_Calculation[stacking_deduction],ROW()-ROW(Payslip_Lookup[#Headers])))</f>
        <v>36</v>
      </c>
      <c r="X6" s="176" t="n">
        <f aca="false">IF(INDEX(Salary_Calculation[Source Row],ROW()-ROW(Payslip_Lookup[#Headers]))="","",INDEX(Salary_Calculation[Other Deductions],ROW()-ROW(Payslip_Lookup[#Headers])))</f>
        <v>0</v>
      </c>
      <c r="Y6" s="176" t="n">
        <f aca="false">IF(INDEX(Salary_Calculation[Source Row],ROW()-ROW(Payslip_Lookup[#Headers]))="","",INDEX(Salary_Calculation[Total Deductions],ROW()-ROW(Payslip_Lookup[#Headers])))</f>
        <v>236.44</v>
      </c>
      <c r="Z6" s="176" t="n">
        <f aca="false">IF(INDEX(Salary_Calculation[Source Row],ROW()-ROW(Payslip_Lookup[#Headers]))="","",INDEX(Salary_Calculation[Final Salary],ROW()-ROW(Payslip_Lookup[#Headers])))</f>
        <v>250.56</v>
      </c>
      <c r="AA6" s="176" t="n">
        <f aca="false">IF(INDEX(Salary_Calculation[Source Row],ROW()-ROW(Payslip_Lookup[#Headers]))="","",INDEX(Salary_Calculation[Negative Balance / Amount Due from Rider],ROW()-ROW(Payslip_Lookup[#Headers])))</f>
        <v>0</v>
      </c>
      <c r="AB6" s="176" t="n">
        <f aca="false">IF(INDEX(Salary_Calculation[Source Row],ROW()-ROW(Payslip_Lookup[#Headers]))="","",INDEX(Salary_Calculation[Total Amount Due from Rider],ROW()-ROW(Payslip_Lookup[#Headers])))</f>
        <v>0</v>
      </c>
      <c r="AC6" s="176" t="n">
        <f aca="false">IF(INDEX(Salary_Calculation[Source Row],ROW()-ROW(Payslip_Lookup[#Headers]))="","",INDEX(Salary_Calculation[Salary Before Other Deductions],ROW()-ROW(Payslip_Lookup[#Headers])))</f>
        <v>487</v>
      </c>
      <c r="AD6" s="171" t="str">
        <f aca="false">IF(INDEX(Salary_Calculation[Source Row],ROW()-ROW(Payslip_Lookup[#Headers]))="","",INDEX(Salary_Calculation[Payment Status],ROW()-ROW(Payslip_Lookup[#Headers])))</f>
        <v>Paid After Deductions</v>
      </c>
      <c r="AE6" s="171" t="str">
        <f aca="false">IF(INDEX(Salary_Calculation[Source Row],ROW()-ROW(Payslip_Lookup[#Headers]))="","",INDEX(Salary_Calculation[Notes],ROW()-ROW(Payslip_Lookup[#Headers])))</f>
        <v/>
      </c>
      <c r="AF6" s="171" t="str">
        <f aca="false">IF(INDEX(Salary_Calculation[Source Row],ROW()-ROW(Payslip_Lookup[#Headers]))="","",INDEX(Salary_Calculation[Exception Reason],ROW()-ROW(Payslip_Lookup[#Headers])))</f>
        <v/>
      </c>
      <c r="AG6" s="173" t="str">
        <f aca="false">IF($AD6="Review Required",COUNTIF(AD$2:AD6,"Review Required"),"")</f>
        <v/>
      </c>
      <c r="AH6" s="173" t="n">
        <f aca="false">IF(AND($D6&lt;&gt;"",$B6=Payslip_Print!$C$2),MAX(AH$1:AH5)+1,"")</f>
        <v>5</v>
      </c>
      <c r="AJ6" s="177" t="str">
        <f aca="false">IF(AJ5="","",IFERROR(SMALL(Payslip_Lookup[Month Key],COUNTIF(Payslip_Lookup[Month Key],"&lt;="&amp;AJ5)+1),""))</f>
        <v/>
      </c>
      <c r="AK6" s="177" t="str">
        <f aca="false">IF(AJ5="","",AJ5)</f>
        <v/>
      </c>
      <c r="AL6" s="178" t="n">
        <f aca="false">IFERROR(INDEX($D$2:$D$501,MATCH(ROW()-1,$AH$2:$AH$501,0)),"")</f>
        <v>4838478</v>
      </c>
      <c r="AM6" s="179" t="n">
        <f aca="false">IF($Z6="","",IF(AND($C6&gt;=Dash_Start,$C6&lt;Dash_End),$Z6+ROW()/10000000,""))</f>
        <v>250.5600006</v>
      </c>
    </row>
    <row r="7" customFormat="false" ht="14.25" hidden="false" customHeight="false" outlineLevel="0" collapsed="false">
      <c r="A7" s="171" t="str">
        <f aca="false">IF(Payslip_Lookup[[#This Row],[Rider ID]]="","",Payslip_Lookup[[#This Row],[Rider ID]]&amp;"|"&amp;Payslip_Lookup[[#This Row],[Month Key]])</f>
        <v>4838471|46235</v>
      </c>
      <c r="B7" s="172" t="n">
        <f aca="false">IF(ISNUMBER(Payslip_Lookup[[#This Row],[Salary Month]]),DATE(YEAR(Payslip_Lookup[[#This Row],[Salary Month]]),MONTH(Payslip_Lookup[[#This Row],[Salary Month]]),1),"")</f>
        <v>46235</v>
      </c>
      <c r="C7" s="172" t="n">
        <f aca="false">IF(INDEX(Salary_Calculation[Source Row],ROW()-ROW(Payslip_Lookup[#Headers]))="","",INDEX(Salary_Calculation[Salary Month],ROW()-ROW(Payslip_Lookup[#Headers])))</f>
        <v>46235</v>
      </c>
      <c r="D7" s="173" t="n">
        <f aca="false">IF(INDEX(Salary_Calculation[Source Row],ROW()-ROW(Payslip_Lookup[#Headers]))="","",INDEX(Salary_Calculation[Rider ID],ROW()-ROW(Payslip_Lookup[#Headers])))</f>
        <v>4838471</v>
      </c>
      <c r="E7" s="171" t="str">
        <f aca="false">IF(INDEX(Salary_Calculation[Source Row],ROW()-ROW(Payslip_Lookup[#Headers]))="","",INDEX(Salary_Calculation[Rider Name],ROW()-ROW(Payslip_Lookup[#Headers])))</f>
        <v>Rider 4838471</v>
      </c>
      <c r="F7" s="173" t="n">
        <f aca="false">IF(INDEX(Salary_Calculation[Source Row],ROW()-ROW(Payslip_Lookup[#Headers]))="","",INDEX(Salary_Calculation[Working Days],ROW()-ROW(Payslip_Lookup[#Headers])))</f>
        <v>12</v>
      </c>
      <c r="G7" s="173" t="n">
        <f aca="false">IF(INDEX(Salary_Calculation[Source Row],ROW()-ROW(Payslip_Lookup[#Headers]))="","",INDEX(Salary_Calculation[Calendar Days],ROW()-ROW(Payslip_Lookup[#Headers])))</f>
        <v>31</v>
      </c>
      <c r="H7" s="174" t="n">
        <f aca="false">IF(INDEX(Salary_Calculation[Source Row],ROW()-ROW(Payslip_Lookup[#Headers]))="","",INDEX(Salary_Calculation[Monthly Target Orders],ROW()-ROW(Payslip_Lookup[#Headers])))</f>
        <v>465</v>
      </c>
      <c r="I7" s="174" t="n">
        <f aca="false">IF(INDEX(Salary_Calculation[Source Row],ROW()-ROW(Payslip_Lookup[#Headers]))="","",INDEX(Salary_Calculation[Rider Target Orders],ROW()-ROW(Payslip_Lookup[#Headers])))</f>
        <v>180</v>
      </c>
      <c r="J7" s="175" t="n">
        <f aca="false">IF(INDEX(Salary_Calculation[Source Row],ROW()-ROW(Payslip_Lookup[#Headers]))="","",INDEX(Salary_Calculation[Completed Orders],ROW()-ROW(Payslip_Lookup[#Headers])))</f>
        <v>146</v>
      </c>
      <c r="K7" s="174" t="n">
        <f aca="false">IF(INDEX(Salary_Calculation[Source Row],ROW()-ROW(Payslip_Lookup[#Headers]))="","",INDEX(Salary_Calculation[Base Order Rate],ROW()-ROW(Payslip_Lookup[#Headers])))</f>
        <v>4.44444444444445</v>
      </c>
      <c r="L7" s="176" t="n">
        <f aca="false">IF(INDEX(Salary_Calculation[Source Row],ROW()-ROW(Payslip_Lookup[#Headers]))="","",INDEX(Salary_Calculation[Basic Payment],ROW()-ROW(Payslip_Lookup[#Headers])))</f>
        <v>2000</v>
      </c>
      <c r="M7" s="176" t="n">
        <f aca="false">IF(INDEX(Salary_Calculation[Source Row],ROW()-ROW(Payslip_Lookup[#Headers]))="","",INDEX(Salary_Calculation[Earned Salary],ROW()-ROW(Payslip_Lookup[#Headers])))</f>
        <v>648.888888888889</v>
      </c>
      <c r="N7" s="174" t="n">
        <f aca="false">IF(INDEX(Salary_Calculation[Source Row],ROW()-ROW(Payslip_Lookup[#Headers]))="","",INDEX(Salary_Calculation[Orders Counted at Base Rate],ROW()-ROW(Payslip_Lookup[#Headers])))</f>
        <v>146</v>
      </c>
      <c r="O7" s="174" t="n">
        <f aca="false">IF(INDEX(Salary_Calculation[Source Row],ROW()-ROW(Payslip_Lookup[#Headers]))="","",INDEX(Salary_Calculation[Missing Orders],ROW()-ROW(Payslip_Lookup[#Headers])))</f>
        <v>34</v>
      </c>
      <c r="P7" s="176" t="n">
        <f aca="false">IF(INDEX(Salary_Calculation[Source Row],ROW()-ROW(Payslip_Lookup[#Headers]))="","",INDEX(Salary_Calculation[Missing-Order Deduction],ROW()-ROW(Payslip_Lookup[#Headers])))</f>
        <v>238</v>
      </c>
      <c r="Q7" s="174" t="n">
        <f aca="false">IF(INDEX(Salary_Calculation[Source Row],ROW()-ROW(Payslip_Lookup[#Headers]))="","",INDEX(Salary_Calculation[Extra Orders],ROW()-ROW(Payslip_Lookup[#Headers])))</f>
        <v>0</v>
      </c>
      <c r="R7" s="176" t="n">
        <f aca="false">IF(INDEX(Salary_Calculation[Source Row],ROW()-ROW(Payslip_Lookup[#Headers]))="","",INDEX(Salary_Calculation[Extra-Order Bonus],ROW()-ROW(Payslip_Lookup[#Headers])))</f>
        <v>0</v>
      </c>
      <c r="S7" s="176" t="n">
        <f aca="false">IF(INDEX(Salary_Calculation[Source Row],ROW()-ROW(Payslip_Lookup[#Headers]))="","",INDEX(Salary_Calculation[Basic Salary for Target],ROW()-ROW(Payslip_Lookup[#Headers])))</f>
        <v>800</v>
      </c>
      <c r="T7" s="176" t="n">
        <f aca="false">IF(INDEX(Salary_Calculation[Source Row],ROW()-ROW(Payslip_Lookup[#Headers]))="","",INDEX(Salary_Calculation[Gross Salary Before Deductions],ROW()-ROW(Payslip_Lookup[#Headers])))</f>
        <v>410.888888888889</v>
      </c>
      <c r="U7" s="176" t="n">
        <f aca="false">IF(INDEX(Salary_Calculation[Source Row],ROW()-ROW(Payslip_Lookup[#Headers]))="","",INDEX(Salary_Calculation[missed_days_penalty],ROW()-ROW(Payslip_Lookup[#Headers])))</f>
        <v>500</v>
      </c>
      <c r="V7" s="176" t="n">
        <f aca="false">IF(INDEX(Salary_Calculation[Source Row],ROW()-ROW(Payslip_Lookup[#Headers]))="","",INDEX(Salary_Calculation[Rider Balance],ROW()-ROW(Payslip_Lookup[#Headers])))</f>
        <v>192.89</v>
      </c>
      <c r="W7" s="176" t="n">
        <f aca="false">IF(INDEX(Salary_Calculation[Source Row],ROW()-ROW(Payslip_Lookup[#Headers]))="","",INDEX(Salary_Calculation[stacking_deduction],ROW()-ROW(Payslip_Lookup[#Headers])))</f>
        <v>32</v>
      </c>
      <c r="X7" s="176" t="n">
        <f aca="false">IF(INDEX(Salary_Calculation[Source Row],ROW()-ROW(Payslip_Lookup[#Headers]))="","",INDEX(Salary_Calculation[Other Deductions],ROW()-ROW(Payslip_Lookup[#Headers])))</f>
        <v>0</v>
      </c>
      <c r="Y7" s="176" t="n">
        <f aca="false">IF(INDEX(Salary_Calculation[Source Row],ROW()-ROW(Payslip_Lookup[#Headers]))="","",INDEX(Salary_Calculation[Total Deductions],ROW()-ROW(Payslip_Lookup[#Headers])))</f>
        <v>724.89</v>
      </c>
      <c r="Z7" s="176" t="n">
        <f aca="false">IF(INDEX(Salary_Calculation[Source Row],ROW()-ROW(Payslip_Lookup[#Headers]))="","",INDEX(Salary_Calculation[Final Salary],ROW()-ROW(Payslip_Lookup[#Headers])))</f>
        <v>0</v>
      </c>
      <c r="AA7" s="176" t="n">
        <f aca="false">IF(INDEX(Salary_Calculation[Source Row],ROW()-ROW(Payslip_Lookup[#Headers]))="","",INDEX(Salary_Calculation[Negative Balance / Amount Due from Rider],ROW()-ROW(Payslip_Lookup[#Headers])))</f>
        <v>0</v>
      </c>
      <c r="AB7" s="176" t="n">
        <f aca="false">IF(INDEX(Salary_Calculation[Source Row],ROW()-ROW(Payslip_Lookup[#Headers]))="","",INDEX(Salary_Calculation[Total Amount Due from Rider],ROW()-ROW(Payslip_Lookup[#Headers])))</f>
        <v>314</v>
      </c>
      <c r="AC7" s="176" t="n">
        <f aca="false">IF(INDEX(Salary_Calculation[Source Row],ROW()-ROW(Payslip_Lookup[#Headers]))="","",INDEX(Salary_Calculation[Salary Before Other Deductions],ROW()-ROW(Payslip_Lookup[#Headers])))</f>
        <v>410.888888888889</v>
      </c>
      <c r="AD7" s="171" t="str">
        <f aca="false">IF(INDEX(Salary_Calculation[Source Row],ROW()-ROW(Payslip_Lookup[#Headers]))="","",INDEX(Salary_Calculation[Payment Status],ROW()-ROW(Payslip_Lookup[#Headers])))</f>
        <v>No Salary – Amount Due from Rider</v>
      </c>
      <c r="AE7" s="171" t="str">
        <f aca="false">IF(INDEX(Salary_Calculation[Source Row],ROW()-ROW(Payslip_Lookup[#Headers]))="","",INDEX(Salary_Calculation[Notes],ROW()-ROW(Payslip_Lookup[#Headers])))</f>
        <v/>
      </c>
      <c r="AF7" s="171" t="str">
        <f aca="false">IF(INDEX(Salary_Calculation[Source Row],ROW()-ROW(Payslip_Lookup[#Headers]))="","",INDEX(Salary_Calculation[Exception Reason],ROW()-ROW(Payslip_Lookup[#Headers])))</f>
        <v/>
      </c>
      <c r="AG7" s="173" t="str">
        <f aca="false">IF($AD7="Review Required",COUNTIF(AD$2:AD7,"Review Required"),"")</f>
        <v/>
      </c>
      <c r="AH7" s="173" t="n">
        <f aca="false">IF(AND($D7&lt;&gt;"",$B7=Payslip_Print!$C$2),MAX(AH$1:AH6)+1,"")</f>
        <v>6</v>
      </c>
      <c r="AJ7" s="177" t="str">
        <f aca="false">IF(AJ6="","",IFERROR(SMALL(Payslip_Lookup[Month Key],COUNTIF(Payslip_Lookup[Month Key],"&lt;="&amp;AJ6)+1),""))</f>
        <v/>
      </c>
      <c r="AK7" s="177" t="str">
        <f aca="false">IF(AJ6="","",AJ6)</f>
        <v/>
      </c>
      <c r="AL7" s="178" t="n">
        <f aca="false">IFERROR(INDEX($D$2:$D$501,MATCH(ROW()-1,$AH$2:$AH$501,0)),"")</f>
        <v>4838471</v>
      </c>
      <c r="AM7" s="179" t="n">
        <f aca="false">IF($Z7="","",IF(AND($C7&gt;=Dash_Start,$C7&lt;Dash_End),$Z7+ROW()/10000000,""))</f>
        <v>7E-007</v>
      </c>
    </row>
    <row r="8" customFormat="false" ht="14.25" hidden="false" customHeight="false" outlineLevel="0" collapsed="false">
      <c r="A8" s="171" t="str">
        <f aca="false">IF(Payslip_Lookup[[#This Row],[Rider ID]]="","",Payslip_Lookup[[#This Row],[Rider ID]]&amp;"|"&amp;Payslip_Lookup[[#This Row],[Month Key]])</f>
        <v>4747290|46235</v>
      </c>
      <c r="B8" s="172" t="n">
        <f aca="false">IF(ISNUMBER(Payslip_Lookup[[#This Row],[Salary Month]]),DATE(YEAR(Payslip_Lookup[[#This Row],[Salary Month]]),MONTH(Payslip_Lookup[[#This Row],[Salary Month]]),1),"")</f>
        <v>46235</v>
      </c>
      <c r="C8" s="172" t="n">
        <f aca="false">IF(INDEX(Salary_Calculation[Source Row],ROW()-ROW(Payslip_Lookup[#Headers]))="","",INDEX(Salary_Calculation[Salary Month],ROW()-ROW(Payslip_Lookup[#Headers])))</f>
        <v>46235</v>
      </c>
      <c r="D8" s="173" t="n">
        <f aca="false">IF(INDEX(Salary_Calculation[Source Row],ROW()-ROW(Payslip_Lookup[#Headers]))="","",INDEX(Salary_Calculation[Rider ID],ROW()-ROW(Payslip_Lookup[#Headers])))</f>
        <v>4747290</v>
      </c>
      <c r="E8" s="171" t="str">
        <f aca="false">IF(INDEX(Salary_Calculation[Source Row],ROW()-ROW(Payslip_Lookup[#Headers]))="","",INDEX(Salary_Calculation[Rider Name],ROW()-ROW(Payslip_Lookup[#Headers])))</f>
        <v>Rider 4747290</v>
      </c>
      <c r="F8" s="173" t="n">
        <f aca="false">IF(INDEX(Salary_Calculation[Source Row],ROW()-ROW(Payslip_Lookup[#Headers]))="","",INDEX(Salary_Calculation[Working Days],ROW()-ROW(Payslip_Lookup[#Headers])))</f>
        <v>31</v>
      </c>
      <c r="G8" s="173" t="n">
        <f aca="false">IF(INDEX(Salary_Calculation[Source Row],ROW()-ROW(Payslip_Lookup[#Headers]))="","",INDEX(Salary_Calculation[Calendar Days],ROW()-ROW(Payslip_Lookup[#Headers])))</f>
        <v>31</v>
      </c>
      <c r="H8" s="174" t="n">
        <f aca="false">IF(INDEX(Salary_Calculation[Source Row],ROW()-ROW(Payslip_Lookup[#Headers]))="","",INDEX(Salary_Calculation[Monthly Target Orders],ROW()-ROW(Payslip_Lookup[#Headers])))</f>
        <v>465</v>
      </c>
      <c r="I8" s="174" t="n">
        <f aca="false">IF(INDEX(Salary_Calculation[Source Row],ROW()-ROW(Payslip_Lookup[#Headers]))="","",INDEX(Salary_Calculation[Rider Target Orders],ROW()-ROW(Payslip_Lookup[#Headers])))</f>
        <v>465</v>
      </c>
      <c r="J8" s="175" t="n">
        <f aca="false">IF(INDEX(Salary_Calculation[Source Row],ROW()-ROW(Payslip_Lookup[#Headers]))="","",INDEX(Salary_Calculation[Completed Orders],ROW()-ROW(Payslip_Lookup[#Headers])))</f>
        <v>498</v>
      </c>
      <c r="K8" s="174" t="n">
        <f aca="false">IF(INDEX(Salary_Calculation[Source Row],ROW()-ROW(Payslip_Lookup[#Headers]))="","",INDEX(Salary_Calculation[Base Order Rate],ROW()-ROW(Payslip_Lookup[#Headers])))</f>
        <v>4.44444444444445</v>
      </c>
      <c r="L8" s="176" t="n">
        <f aca="false">IF(INDEX(Salary_Calculation[Source Row],ROW()-ROW(Payslip_Lookup[#Headers]))="","",INDEX(Salary_Calculation[Basic Payment],ROW()-ROW(Payslip_Lookup[#Headers])))</f>
        <v>2000</v>
      </c>
      <c r="M8" s="176" t="n">
        <f aca="false">IF(INDEX(Salary_Calculation[Source Row],ROW()-ROW(Payslip_Lookup[#Headers]))="","",INDEX(Salary_Calculation[Earned Salary],ROW()-ROW(Payslip_Lookup[#Headers])))</f>
        <v>2066.66666666667</v>
      </c>
      <c r="N8" s="174" t="n">
        <f aca="false">IF(INDEX(Salary_Calculation[Source Row],ROW()-ROW(Payslip_Lookup[#Headers]))="","",INDEX(Salary_Calculation[Orders Counted at Base Rate],ROW()-ROW(Payslip_Lookup[#Headers])))</f>
        <v>465</v>
      </c>
      <c r="O8" s="174" t="n">
        <f aca="false">IF(INDEX(Salary_Calculation[Source Row],ROW()-ROW(Payslip_Lookup[#Headers]))="","",INDEX(Salary_Calculation[Missing Orders],ROW()-ROW(Payslip_Lookup[#Headers])))</f>
        <v>0</v>
      </c>
      <c r="P8" s="176" t="n">
        <f aca="false">IF(INDEX(Salary_Calculation[Source Row],ROW()-ROW(Payslip_Lookup[#Headers]))="","",INDEX(Salary_Calculation[Missing-Order Deduction],ROW()-ROW(Payslip_Lookup[#Headers])))</f>
        <v>0</v>
      </c>
      <c r="Q8" s="174" t="n">
        <f aca="false">IF(INDEX(Salary_Calculation[Source Row],ROW()-ROW(Payslip_Lookup[#Headers]))="","",INDEX(Salary_Calculation[Extra Orders],ROW()-ROW(Payslip_Lookup[#Headers])))</f>
        <v>33</v>
      </c>
      <c r="R8" s="176" t="n">
        <f aca="false">IF(INDEX(Salary_Calculation[Source Row],ROW()-ROW(Payslip_Lookup[#Headers]))="","",INDEX(Salary_Calculation[Extra-Order Bonus],ROW()-ROW(Payslip_Lookup[#Headers])))</f>
        <v>330</v>
      </c>
      <c r="S8" s="176" t="n">
        <f aca="false">IF(INDEX(Salary_Calculation[Source Row],ROW()-ROW(Payslip_Lookup[#Headers]))="","",INDEX(Salary_Calculation[Basic Salary for Target],ROW()-ROW(Payslip_Lookup[#Headers])))</f>
        <v>2066.66666666667</v>
      </c>
      <c r="T8" s="176" t="n">
        <f aca="false">IF(INDEX(Salary_Calculation[Source Row],ROW()-ROW(Payslip_Lookup[#Headers]))="","",INDEX(Salary_Calculation[Gross Salary Before Deductions],ROW()-ROW(Payslip_Lookup[#Headers])))</f>
        <v>2396.66666666667</v>
      </c>
      <c r="U8" s="176" t="n">
        <f aca="false">IF(INDEX(Salary_Calculation[Source Row],ROW()-ROW(Payslip_Lookup[#Headers]))="","",INDEX(Salary_Calculation[missed_days_penalty],ROW()-ROW(Payslip_Lookup[#Headers])))</f>
        <v>0</v>
      </c>
      <c r="V8" s="176" t="n">
        <f aca="false">IF(INDEX(Salary_Calculation[Source Row],ROW()-ROW(Payslip_Lookup[#Headers]))="","",INDEX(Salary_Calculation[Rider Balance],ROW()-ROW(Payslip_Lookup[#Headers])))</f>
        <v>104.03</v>
      </c>
      <c r="W8" s="176" t="n">
        <f aca="false">IF(INDEX(Salary_Calculation[Source Row],ROW()-ROW(Payslip_Lookup[#Headers]))="","",INDEX(Salary_Calculation[stacking_deduction],ROW()-ROW(Payslip_Lookup[#Headers])))</f>
        <v>52</v>
      </c>
      <c r="X8" s="176" t="n">
        <f aca="false">IF(INDEX(Salary_Calculation[Source Row],ROW()-ROW(Payslip_Lookup[#Headers]))="","",INDEX(Salary_Calculation[Other Deductions],ROW()-ROW(Payslip_Lookup[#Headers])))</f>
        <v>0</v>
      </c>
      <c r="Y8" s="176" t="n">
        <f aca="false">IF(INDEX(Salary_Calculation[Source Row],ROW()-ROW(Payslip_Lookup[#Headers]))="","",INDEX(Salary_Calculation[Total Deductions],ROW()-ROW(Payslip_Lookup[#Headers])))</f>
        <v>156.03</v>
      </c>
      <c r="Z8" s="176" t="n">
        <f aca="false">IF(INDEX(Salary_Calculation[Source Row],ROW()-ROW(Payslip_Lookup[#Headers]))="","",INDEX(Salary_Calculation[Final Salary],ROW()-ROW(Payslip_Lookup[#Headers])))</f>
        <v>2240.64</v>
      </c>
      <c r="AA8" s="176" t="n">
        <f aca="false">IF(INDEX(Salary_Calculation[Source Row],ROW()-ROW(Payslip_Lookup[#Headers]))="","",INDEX(Salary_Calculation[Negative Balance / Amount Due from Rider],ROW()-ROW(Payslip_Lookup[#Headers])))</f>
        <v>0</v>
      </c>
      <c r="AB8" s="176" t="n">
        <f aca="false">IF(INDEX(Salary_Calculation[Source Row],ROW()-ROW(Payslip_Lookup[#Headers]))="","",INDEX(Salary_Calculation[Total Amount Due from Rider],ROW()-ROW(Payslip_Lookup[#Headers])))</f>
        <v>0</v>
      </c>
      <c r="AC8" s="176" t="n">
        <f aca="false">IF(INDEX(Salary_Calculation[Source Row],ROW()-ROW(Payslip_Lookup[#Headers]))="","",INDEX(Salary_Calculation[Salary Before Other Deductions],ROW()-ROW(Payslip_Lookup[#Headers])))</f>
        <v>2396.66666666667</v>
      </c>
      <c r="AD8" s="171" t="str">
        <f aca="false">IF(INDEX(Salary_Calculation[Source Row],ROW()-ROW(Payslip_Lookup[#Headers]))="","",INDEX(Salary_Calculation[Payment Status],ROW()-ROW(Payslip_Lookup[#Headers])))</f>
        <v>Paid After Deductions</v>
      </c>
      <c r="AE8" s="171" t="str">
        <f aca="false">IF(INDEX(Salary_Calculation[Source Row],ROW()-ROW(Payslip_Lookup[#Headers]))="","",INDEX(Salary_Calculation[Notes],ROW()-ROW(Payslip_Lookup[#Headers])))</f>
        <v/>
      </c>
      <c r="AF8" s="171" t="str">
        <f aca="false">IF(INDEX(Salary_Calculation[Source Row],ROW()-ROW(Payslip_Lookup[#Headers]))="","",INDEX(Salary_Calculation[Exception Reason],ROW()-ROW(Payslip_Lookup[#Headers])))</f>
        <v/>
      </c>
      <c r="AG8" s="173" t="str">
        <f aca="false">IF($AD8="Review Required",COUNTIF(AD$2:AD8,"Review Required"),"")</f>
        <v/>
      </c>
      <c r="AH8" s="173" t="n">
        <f aca="false">IF(AND($D8&lt;&gt;"",$B8=Payslip_Print!$C$2),MAX(AH$1:AH7)+1,"")</f>
        <v>7</v>
      </c>
      <c r="AJ8" s="177" t="str">
        <f aca="false">IF(AJ7="","",IFERROR(SMALL(Payslip_Lookup[Month Key],COUNTIF(Payslip_Lookup[Month Key],"&lt;="&amp;AJ7)+1),""))</f>
        <v/>
      </c>
      <c r="AK8" s="177" t="str">
        <f aca="false">IF(AJ7="","",AJ7)</f>
        <v/>
      </c>
      <c r="AL8" s="178" t="n">
        <f aca="false">IFERROR(INDEX($D$2:$D$501,MATCH(ROW()-1,$AH$2:$AH$501,0)),"")</f>
        <v>4747290</v>
      </c>
      <c r="AM8" s="179" t="n">
        <f aca="false">IF($Z8="","",IF(AND($C8&gt;=Dash_Start,$C8&lt;Dash_End),$Z8+ROW()/10000000,""))</f>
        <v>2240.6400008</v>
      </c>
    </row>
    <row r="9" customFormat="false" ht="14.25" hidden="false" customHeight="false" outlineLevel="0" collapsed="false">
      <c r="A9" s="171" t="str">
        <f aca="false">IF(Payslip_Lookup[[#This Row],[Rider ID]]="","",Payslip_Lookup[[#This Row],[Rider ID]]&amp;"|"&amp;Payslip_Lookup[[#This Row],[Month Key]])</f>
        <v>4652654|46235</v>
      </c>
      <c r="B9" s="172" t="n">
        <f aca="false">IF(ISNUMBER(Payslip_Lookup[[#This Row],[Salary Month]]),DATE(YEAR(Payslip_Lookup[[#This Row],[Salary Month]]),MONTH(Payslip_Lookup[[#This Row],[Salary Month]]),1),"")</f>
        <v>46235</v>
      </c>
      <c r="C9" s="172" t="n">
        <f aca="false">IF(INDEX(Salary_Calculation[Source Row],ROW()-ROW(Payslip_Lookup[#Headers]))="","",INDEX(Salary_Calculation[Salary Month],ROW()-ROW(Payslip_Lookup[#Headers])))</f>
        <v>46235</v>
      </c>
      <c r="D9" s="173" t="n">
        <f aca="false">IF(INDEX(Salary_Calculation[Source Row],ROW()-ROW(Payslip_Lookup[#Headers]))="","",INDEX(Salary_Calculation[Rider ID],ROW()-ROW(Payslip_Lookup[#Headers])))</f>
        <v>4652654</v>
      </c>
      <c r="E9" s="171" t="str">
        <f aca="false">IF(INDEX(Salary_Calculation[Source Row],ROW()-ROW(Payslip_Lookup[#Headers]))="","",INDEX(Salary_Calculation[Rider Name],ROW()-ROW(Payslip_Lookup[#Headers])))</f>
        <v>Rider 4652654</v>
      </c>
      <c r="F9" s="173" t="n">
        <f aca="false">IF(INDEX(Salary_Calculation[Source Row],ROW()-ROW(Payslip_Lookup[#Headers]))="","",INDEX(Salary_Calculation[Working Days],ROW()-ROW(Payslip_Lookup[#Headers])))</f>
        <v>31</v>
      </c>
      <c r="G9" s="173" t="n">
        <f aca="false">IF(INDEX(Salary_Calculation[Source Row],ROW()-ROW(Payslip_Lookup[#Headers]))="","",INDEX(Salary_Calculation[Calendar Days],ROW()-ROW(Payslip_Lookup[#Headers])))</f>
        <v>31</v>
      </c>
      <c r="H9" s="174" t="n">
        <f aca="false">IF(INDEX(Salary_Calculation[Source Row],ROW()-ROW(Payslip_Lookup[#Headers]))="","",INDEX(Salary_Calculation[Monthly Target Orders],ROW()-ROW(Payslip_Lookup[#Headers])))</f>
        <v>465</v>
      </c>
      <c r="I9" s="174" t="n">
        <f aca="false">IF(INDEX(Salary_Calculation[Source Row],ROW()-ROW(Payslip_Lookup[#Headers]))="","",INDEX(Salary_Calculation[Rider Target Orders],ROW()-ROW(Payslip_Lookup[#Headers])))</f>
        <v>465</v>
      </c>
      <c r="J9" s="175" t="n">
        <f aca="false">IF(INDEX(Salary_Calculation[Source Row],ROW()-ROW(Payslip_Lookup[#Headers]))="","",INDEX(Salary_Calculation[Completed Orders],ROW()-ROW(Payslip_Lookup[#Headers])))</f>
        <v>433</v>
      </c>
      <c r="K9" s="174" t="n">
        <f aca="false">IF(INDEX(Salary_Calculation[Source Row],ROW()-ROW(Payslip_Lookup[#Headers]))="","",INDEX(Salary_Calculation[Base Order Rate],ROW()-ROW(Payslip_Lookup[#Headers])))</f>
        <v>4.44444444444445</v>
      </c>
      <c r="L9" s="176" t="n">
        <f aca="false">IF(INDEX(Salary_Calculation[Source Row],ROW()-ROW(Payslip_Lookup[#Headers]))="","",INDEX(Salary_Calculation[Basic Payment],ROW()-ROW(Payslip_Lookup[#Headers])))</f>
        <v>2000</v>
      </c>
      <c r="M9" s="176" t="n">
        <f aca="false">IF(INDEX(Salary_Calculation[Source Row],ROW()-ROW(Payslip_Lookup[#Headers]))="","",INDEX(Salary_Calculation[Earned Salary],ROW()-ROW(Payslip_Lookup[#Headers])))</f>
        <v>1924.44444444444</v>
      </c>
      <c r="N9" s="174" t="n">
        <f aca="false">IF(INDEX(Salary_Calculation[Source Row],ROW()-ROW(Payslip_Lookup[#Headers]))="","",INDEX(Salary_Calculation[Orders Counted at Base Rate],ROW()-ROW(Payslip_Lookup[#Headers])))</f>
        <v>433</v>
      </c>
      <c r="O9" s="174" t="n">
        <f aca="false">IF(INDEX(Salary_Calculation[Source Row],ROW()-ROW(Payslip_Lookup[#Headers]))="","",INDEX(Salary_Calculation[Missing Orders],ROW()-ROW(Payslip_Lookup[#Headers])))</f>
        <v>32</v>
      </c>
      <c r="P9" s="176" t="n">
        <f aca="false">IF(INDEX(Salary_Calculation[Source Row],ROW()-ROW(Payslip_Lookup[#Headers]))="","",INDEX(Salary_Calculation[Missing-Order Deduction],ROW()-ROW(Payslip_Lookup[#Headers])))</f>
        <v>224</v>
      </c>
      <c r="Q9" s="174" t="n">
        <f aca="false">IF(INDEX(Salary_Calculation[Source Row],ROW()-ROW(Payslip_Lookup[#Headers]))="","",INDEX(Salary_Calculation[Extra Orders],ROW()-ROW(Payslip_Lookup[#Headers])))</f>
        <v>0</v>
      </c>
      <c r="R9" s="176" t="n">
        <f aca="false">IF(INDEX(Salary_Calculation[Source Row],ROW()-ROW(Payslip_Lookup[#Headers]))="","",INDEX(Salary_Calculation[Extra-Order Bonus],ROW()-ROW(Payslip_Lookup[#Headers])))</f>
        <v>0</v>
      </c>
      <c r="S9" s="176" t="n">
        <f aca="false">IF(INDEX(Salary_Calculation[Source Row],ROW()-ROW(Payslip_Lookup[#Headers]))="","",INDEX(Salary_Calculation[Basic Salary for Target],ROW()-ROW(Payslip_Lookup[#Headers])))</f>
        <v>2066.66666666667</v>
      </c>
      <c r="T9" s="176" t="n">
        <f aca="false">IF(INDEX(Salary_Calculation[Source Row],ROW()-ROW(Payslip_Lookup[#Headers]))="","",INDEX(Salary_Calculation[Gross Salary Before Deductions],ROW()-ROW(Payslip_Lookup[#Headers])))</f>
        <v>1700.44444444444</v>
      </c>
      <c r="U9" s="176" t="n">
        <f aca="false">IF(INDEX(Salary_Calculation[Source Row],ROW()-ROW(Payslip_Lookup[#Headers]))="","",INDEX(Salary_Calculation[missed_days_penalty],ROW()-ROW(Payslip_Lookup[#Headers])))</f>
        <v>0</v>
      </c>
      <c r="V9" s="176" t="n">
        <f aca="false">IF(INDEX(Salary_Calculation[Source Row],ROW()-ROW(Payslip_Lookup[#Headers]))="","",INDEX(Salary_Calculation[Rider Balance],ROW()-ROW(Payslip_Lookup[#Headers])))</f>
        <v>201.65</v>
      </c>
      <c r="W9" s="176" t="n">
        <f aca="false">IF(INDEX(Salary_Calculation[Source Row],ROW()-ROW(Payslip_Lookup[#Headers]))="","",INDEX(Salary_Calculation[stacking_deduction],ROW()-ROW(Payslip_Lookup[#Headers])))</f>
        <v>44</v>
      </c>
      <c r="X9" s="176" t="n">
        <f aca="false">IF(INDEX(Salary_Calculation[Source Row],ROW()-ROW(Payslip_Lookup[#Headers]))="","",INDEX(Salary_Calculation[Other Deductions],ROW()-ROW(Payslip_Lookup[#Headers])))</f>
        <v>0</v>
      </c>
      <c r="Y9" s="176" t="n">
        <f aca="false">IF(INDEX(Salary_Calculation[Source Row],ROW()-ROW(Payslip_Lookup[#Headers]))="","",INDEX(Salary_Calculation[Total Deductions],ROW()-ROW(Payslip_Lookup[#Headers])))</f>
        <v>245.65</v>
      </c>
      <c r="Z9" s="176" t="n">
        <f aca="false">IF(INDEX(Salary_Calculation[Source Row],ROW()-ROW(Payslip_Lookup[#Headers]))="","",INDEX(Salary_Calculation[Final Salary],ROW()-ROW(Payslip_Lookup[#Headers])))</f>
        <v>1454.79</v>
      </c>
      <c r="AA9" s="176" t="n">
        <f aca="false">IF(INDEX(Salary_Calculation[Source Row],ROW()-ROW(Payslip_Lookup[#Headers]))="","",INDEX(Salary_Calculation[Negative Balance / Amount Due from Rider],ROW()-ROW(Payslip_Lookup[#Headers])))</f>
        <v>0</v>
      </c>
      <c r="AB9" s="176" t="n">
        <f aca="false">IF(INDEX(Salary_Calculation[Source Row],ROW()-ROW(Payslip_Lookup[#Headers]))="","",INDEX(Salary_Calculation[Total Amount Due from Rider],ROW()-ROW(Payslip_Lookup[#Headers])))</f>
        <v>0</v>
      </c>
      <c r="AC9" s="176" t="n">
        <f aca="false">IF(INDEX(Salary_Calculation[Source Row],ROW()-ROW(Payslip_Lookup[#Headers]))="","",INDEX(Salary_Calculation[Salary Before Other Deductions],ROW()-ROW(Payslip_Lookup[#Headers])))</f>
        <v>1700.44444444444</v>
      </c>
      <c r="AD9" s="171" t="str">
        <f aca="false">IF(INDEX(Salary_Calculation[Source Row],ROW()-ROW(Payslip_Lookup[#Headers]))="","",INDEX(Salary_Calculation[Payment Status],ROW()-ROW(Payslip_Lookup[#Headers])))</f>
        <v>Paid After Deductions</v>
      </c>
      <c r="AE9" s="171" t="str">
        <f aca="false">IF(INDEX(Salary_Calculation[Source Row],ROW()-ROW(Payslip_Lookup[#Headers]))="","",INDEX(Salary_Calculation[Notes],ROW()-ROW(Payslip_Lookup[#Headers])))</f>
        <v/>
      </c>
      <c r="AF9" s="171" t="str">
        <f aca="false">IF(INDEX(Salary_Calculation[Source Row],ROW()-ROW(Payslip_Lookup[#Headers]))="","",INDEX(Salary_Calculation[Exception Reason],ROW()-ROW(Payslip_Lookup[#Headers])))</f>
        <v/>
      </c>
      <c r="AG9" s="173" t="str">
        <f aca="false">IF($AD9="Review Required",COUNTIF(AD$2:AD9,"Review Required"),"")</f>
        <v/>
      </c>
      <c r="AH9" s="173" t="n">
        <f aca="false">IF(AND($D9&lt;&gt;"",$B9=Payslip_Print!$C$2),MAX(AH$1:AH8)+1,"")</f>
        <v>8</v>
      </c>
      <c r="AJ9" s="177" t="str">
        <f aca="false">IF(AJ8="","",IFERROR(SMALL(Payslip_Lookup[Month Key],COUNTIF(Payslip_Lookup[Month Key],"&lt;="&amp;AJ8)+1),""))</f>
        <v/>
      </c>
      <c r="AK9" s="177" t="str">
        <f aca="false">IF(AJ8="","",AJ8)</f>
        <v/>
      </c>
      <c r="AL9" s="178" t="n">
        <f aca="false">IFERROR(INDEX($D$2:$D$501,MATCH(ROW()-1,$AH$2:$AH$501,0)),"")</f>
        <v>4652654</v>
      </c>
      <c r="AM9" s="179" t="n">
        <f aca="false">IF($Z9="","",IF(AND($C9&gt;=Dash_Start,$C9&lt;Dash_End),$Z9+ROW()/10000000,""))</f>
        <v>1454.7900009</v>
      </c>
    </row>
    <row r="10" customFormat="false" ht="14.25" hidden="false" customHeight="false" outlineLevel="0" collapsed="false">
      <c r="A10" s="171" t="str">
        <f aca="false">IF(Payslip_Lookup[[#This Row],[Rider ID]]="","",Payslip_Lookup[[#This Row],[Rider ID]]&amp;"|"&amp;Payslip_Lookup[[#This Row],[Month Key]])</f>
        <v>4652587|46235</v>
      </c>
      <c r="B10" s="172" t="n">
        <f aca="false">IF(ISNUMBER(Payslip_Lookup[[#This Row],[Salary Month]]),DATE(YEAR(Payslip_Lookup[[#This Row],[Salary Month]]),MONTH(Payslip_Lookup[[#This Row],[Salary Month]]),1),"")</f>
        <v>46235</v>
      </c>
      <c r="C10" s="172" t="n">
        <f aca="false">IF(INDEX(Salary_Calculation[Source Row],ROW()-ROW(Payslip_Lookup[#Headers]))="","",INDEX(Salary_Calculation[Salary Month],ROW()-ROW(Payslip_Lookup[#Headers])))</f>
        <v>46235</v>
      </c>
      <c r="D10" s="173" t="n">
        <f aca="false">IF(INDEX(Salary_Calculation[Source Row],ROW()-ROW(Payslip_Lookup[#Headers]))="","",INDEX(Salary_Calculation[Rider ID],ROW()-ROW(Payslip_Lookup[#Headers])))</f>
        <v>4652587</v>
      </c>
      <c r="E10" s="171" t="str">
        <f aca="false">IF(INDEX(Salary_Calculation[Source Row],ROW()-ROW(Payslip_Lookup[#Headers]))="","",INDEX(Salary_Calculation[Rider Name],ROW()-ROW(Payslip_Lookup[#Headers])))</f>
        <v>Rider 4652587</v>
      </c>
      <c r="F10" s="173" t="n">
        <f aca="false">IF(INDEX(Salary_Calculation[Source Row],ROW()-ROW(Payslip_Lookup[#Headers]))="","",INDEX(Salary_Calculation[Working Days],ROW()-ROW(Payslip_Lookup[#Headers])))</f>
        <v>30</v>
      </c>
      <c r="G10" s="173" t="n">
        <f aca="false">IF(INDEX(Salary_Calculation[Source Row],ROW()-ROW(Payslip_Lookup[#Headers]))="","",INDEX(Salary_Calculation[Calendar Days],ROW()-ROW(Payslip_Lookup[#Headers])))</f>
        <v>31</v>
      </c>
      <c r="H10" s="174" t="n">
        <f aca="false">IF(INDEX(Salary_Calculation[Source Row],ROW()-ROW(Payslip_Lookup[#Headers]))="","",INDEX(Salary_Calculation[Monthly Target Orders],ROW()-ROW(Payslip_Lookup[#Headers])))</f>
        <v>465</v>
      </c>
      <c r="I10" s="174" t="n">
        <f aca="false">IF(INDEX(Salary_Calculation[Source Row],ROW()-ROW(Payslip_Lookup[#Headers]))="","",INDEX(Salary_Calculation[Rider Target Orders],ROW()-ROW(Payslip_Lookup[#Headers])))</f>
        <v>450</v>
      </c>
      <c r="J10" s="175" t="n">
        <f aca="false">IF(INDEX(Salary_Calculation[Source Row],ROW()-ROW(Payslip_Lookup[#Headers]))="","",INDEX(Salary_Calculation[Completed Orders],ROW()-ROW(Payslip_Lookup[#Headers])))</f>
        <v>382</v>
      </c>
      <c r="K10" s="174" t="n">
        <f aca="false">IF(INDEX(Salary_Calculation[Source Row],ROW()-ROW(Payslip_Lookup[#Headers]))="","",INDEX(Salary_Calculation[Base Order Rate],ROW()-ROW(Payslip_Lookup[#Headers])))</f>
        <v>4.44444444444445</v>
      </c>
      <c r="L10" s="176" t="n">
        <f aca="false">IF(INDEX(Salary_Calculation[Source Row],ROW()-ROW(Payslip_Lookup[#Headers]))="","",INDEX(Salary_Calculation[Basic Payment],ROW()-ROW(Payslip_Lookup[#Headers])))</f>
        <v>2000</v>
      </c>
      <c r="M10" s="176" t="n">
        <f aca="false">IF(INDEX(Salary_Calculation[Source Row],ROW()-ROW(Payslip_Lookup[#Headers]))="","",INDEX(Salary_Calculation[Earned Salary],ROW()-ROW(Payslip_Lookup[#Headers])))</f>
        <v>1697.77777777778</v>
      </c>
      <c r="N10" s="174" t="n">
        <f aca="false">IF(INDEX(Salary_Calculation[Source Row],ROW()-ROW(Payslip_Lookup[#Headers]))="","",INDEX(Salary_Calculation[Orders Counted at Base Rate],ROW()-ROW(Payslip_Lookup[#Headers])))</f>
        <v>382</v>
      </c>
      <c r="O10" s="174" t="n">
        <f aca="false">IF(INDEX(Salary_Calculation[Source Row],ROW()-ROW(Payslip_Lookup[#Headers]))="","",INDEX(Salary_Calculation[Missing Orders],ROW()-ROW(Payslip_Lookup[#Headers])))</f>
        <v>68</v>
      </c>
      <c r="P10" s="176" t="n">
        <f aca="false">IF(INDEX(Salary_Calculation[Source Row],ROW()-ROW(Payslip_Lookup[#Headers]))="","",INDEX(Salary_Calculation[Missing-Order Deduction],ROW()-ROW(Payslip_Lookup[#Headers])))</f>
        <v>476</v>
      </c>
      <c r="Q10" s="174" t="n">
        <f aca="false">IF(INDEX(Salary_Calculation[Source Row],ROW()-ROW(Payslip_Lookup[#Headers]))="","",INDEX(Salary_Calculation[Extra Orders],ROW()-ROW(Payslip_Lookup[#Headers])))</f>
        <v>0</v>
      </c>
      <c r="R10" s="176" t="n">
        <f aca="false">IF(INDEX(Salary_Calculation[Source Row],ROW()-ROW(Payslip_Lookup[#Headers]))="","",INDEX(Salary_Calculation[Extra-Order Bonus],ROW()-ROW(Payslip_Lookup[#Headers])))</f>
        <v>0</v>
      </c>
      <c r="S10" s="176" t="n">
        <f aca="false">IF(INDEX(Salary_Calculation[Source Row],ROW()-ROW(Payslip_Lookup[#Headers]))="","",INDEX(Salary_Calculation[Basic Salary for Target],ROW()-ROW(Payslip_Lookup[#Headers])))</f>
        <v>2000</v>
      </c>
      <c r="T10" s="176" t="n">
        <f aca="false">IF(INDEX(Salary_Calculation[Source Row],ROW()-ROW(Payslip_Lookup[#Headers]))="","",INDEX(Salary_Calculation[Gross Salary Before Deductions],ROW()-ROW(Payslip_Lookup[#Headers])))</f>
        <v>1221.77777777778</v>
      </c>
      <c r="U10" s="176" t="n">
        <f aca="false">IF(INDEX(Salary_Calculation[Source Row],ROW()-ROW(Payslip_Lookup[#Headers]))="","",INDEX(Salary_Calculation[missed_days_penalty],ROW()-ROW(Payslip_Lookup[#Headers])))</f>
        <v>500</v>
      </c>
      <c r="V10" s="176" t="n">
        <f aca="false">IF(INDEX(Salary_Calculation[Source Row],ROW()-ROW(Payslip_Lookup[#Headers]))="","",INDEX(Salary_Calculation[Rider Balance],ROW()-ROW(Payslip_Lookup[#Headers])))</f>
        <v>121.92</v>
      </c>
      <c r="W10" s="176" t="n">
        <f aca="false">IF(INDEX(Salary_Calculation[Source Row],ROW()-ROW(Payslip_Lookup[#Headers]))="","",INDEX(Salary_Calculation[stacking_deduction],ROW()-ROW(Payslip_Lookup[#Headers])))</f>
        <v>44</v>
      </c>
      <c r="X10" s="176" t="n">
        <f aca="false">IF(INDEX(Salary_Calculation[Source Row],ROW()-ROW(Payslip_Lookup[#Headers]))="","",INDEX(Salary_Calculation[Other Deductions],ROW()-ROW(Payslip_Lookup[#Headers])))</f>
        <v>0</v>
      </c>
      <c r="Y10" s="176" t="n">
        <f aca="false">IF(INDEX(Salary_Calculation[Source Row],ROW()-ROW(Payslip_Lookup[#Headers]))="","",INDEX(Salary_Calculation[Total Deductions],ROW()-ROW(Payslip_Lookup[#Headers])))</f>
        <v>665.92</v>
      </c>
      <c r="Z10" s="176" t="n">
        <f aca="false">IF(INDEX(Salary_Calculation[Source Row],ROW()-ROW(Payslip_Lookup[#Headers]))="","",INDEX(Salary_Calculation[Final Salary],ROW()-ROW(Payslip_Lookup[#Headers])))</f>
        <v>555.86</v>
      </c>
      <c r="AA10" s="176" t="n">
        <f aca="false">IF(INDEX(Salary_Calculation[Source Row],ROW()-ROW(Payslip_Lookup[#Headers]))="","",INDEX(Salary_Calculation[Negative Balance / Amount Due from Rider],ROW()-ROW(Payslip_Lookup[#Headers])))</f>
        <v>0</v>
      </c>
      <c r="AB10" s="176" t="n">
        <f aca="false">IF(INDEX(Salary_Calculation[Source Row],ROW()-ROW(Payslip_Lookup[#Headers]))="","",INDEX(Salary_Calculation[Total Amount Due from Rider],ROW()-ROW(Payslip_Lookup[#Headers])))</f>
        <v>0</v>
      </c>
      <c r="AC10" s="176" t="n">
        <f aca="false">IF(INDEX(Salary_Calculation[Source Row],ROW()-ROW(Payslip_Lookup[#Headers]))="","",INDEX(Salary_Calculation[Salary Before Other Deductions],ROW()-ROW(Payslip_Lookup[#Headers])))</f>
        <v>1221.77777777778</v>
      </c>
      <c r="AD10" s="171" t="str">
        <f aca="false">IF(INDEX(Salary_Calculation[Source Row],ROW()-ROW(Payslip_Lookup[#Headers]))="","",INDEX(Salary_Calculation[Payment Status],ROW()-ROW(Payslip_Lookup[#Headers])))</f>
        <v>Paid After Deductions</v>
      </c>
      <c r="AE10" s="171" t="str">
        <f aca="false">IF(INDEX(Salary_Calculation[Source Row],ROW()-ROW(Payslip_Lookup[#Headers]))="","",INDEX(Salary_Calculation[Notes],ROW()-ROW(Payslip_Lookup[#Headers])))</f>
        <v/>
      </c>
      <c r="AF10" s="171" t="str">
        <f aca="false">IF(INDEX(Salary_Calculation[Source Row],ROW()-ROW(Payslip_Lookup[#Headers]))="","",INDEX(Salary_Calculation[Exception Reason],ROW()-ROW(Payslip_Lookup[#Headers])))</f>
        <v/>
      </c>
      <c r="AG10" s="173" t="str">
        <f aca="false">IF($AD10="Review Required",COUNTIF(AD$2:AD10,"Review Required"),"")</f>
        <v/>
      </c>
      <c r="AH10" s="173" t="n">
        <f aca="false">IF(AND($D10&lt;&gt;"",$B10=Payslip_Print!$C$2),MAX(AH$1:AH9)+1,"")</f>
        <v>9</v>
      </c>
      <c r="AJ10" s="177" t="str">
        <f aca="false">IF(AJ9="","",IFERROR(SMALL(Payslip_Lookup[Month Key],COUNTIF(Payslip_Lookup[Month Key],"&lt;="&amp;AJ9)+1),""))</f>
        <v/>
      </c>
      <c r="AK10" s="177" t="str">
        <f aca="false">IF(AJ9="","",AJ9)</f>
        <v/>
      </c>
      <c r="AL10" s="178" t="n">
        <f aca="false">IFERROR(INDEX($D$2:$D$501,MATCH(ROW()-1,$AH$2:$AH$501,0)),"")</f>
        <v>4652587</v>
      </c>
      <c r="AM10" s="179" t="n">
        <f aca="false">IF($Z10="","",IF(AND($C10&gt;=Dash_Start,$C10&lt;Dash_End),$Z10+ROW()/10000000,""))</f>
        <v>555.860001</v>
      </c>
    </row>
    <row r="11" customFormat="false" ht="14.25" hidden="false" customHeight="false" outlineLevel="0" collapsed="false">
      <c r="A11" s="171" t="str">
        <f aca="false">IF(Payslip_Lookup[[#This Row],[Rider ID]]="","",Payslip_Lookup[[#This Row],[Rider ID]]&amp;"|"&amp;Payslip_Lookup[[#This Row],[Month Key]])</f>
        <v>4648709|46235</v>
      </c>
      <c r="B11" s="172" t="n">
        <f aca="false">IF(ISNUMBER(Payslip_Lookup[[#This Row],[Salary Month]]),DATE(YEAR(Payslip_Lookup[[#This Row],[Salary Month]]),MONTH(Payslip_Lookup[[#This Row],[Salary Month]]),1),"")</f>
        <v>46235</v>
      </c>
      <c r="C11" s="172" t="n">
        <f aca="false">IF(INDEX(Salary_Calculation[Source Row],ROW()-ROW(Payslip_Lookup[#Headers]))="","",INDEX(Salary_Calculation[Salary Month],ROW()-ROW(Payslip_Lookup[#Headers])))</f>
        <v>46235</v>
      </c>
      <c r="D11" s="173" t="n">
        <f aca="false">IF(INDEX(Salary_Calculation[Source Row],ROW()-ROW(Payslip_Lookup[#Headers]))="","",INDEX(Salary_Calculation[Rider ID],ROW()-ROW(Payslip_Lookup[#Headers])))</f>
        <v>4648709</v>
      </c>
      <c r="E11" s="171" t="str">
        <f aca="false">IF(INDEX(Salary_Calculation[Source Row],ROW()-ROW(Payslip_Lookup[#Headers]))="","",INDEX(Salary_Calculation[Rider Name],ROW()-ROW(Payslip_Lookup[#Headers])))</f>
        <v>Rider 4648709</v>
      </c>
      <c r="F11" s="173" t="n">
        <f aca="false">IF(INDEX(Salary_Calculation[Source Row],ROW()-ROW(Payslip_Lookup[#Headers]))="","",INDEX(Salary_Calculation[Working Days],ROW()-ROW(Payslip_Lookup[#Headers])))</f>
        <v>31</v>
      </c>
      <c r="G11" s="173" t="n">
        <f aca="false">IF(INDEX(Salary_Calculation[Source Row],ROW()-ROW(Payslip_Lookup[#Headers]))="","",INDEX(Salary_Calculation[Calendar Days],ROW()-ROW(Payslip_Lookup[#Headers])))</f>
        <v>31</v>
      </c>
      <c r="H11" s="174" t="n">
        <f aca="false">IF(INDEX(Salary_Calculation[Source Row],ROW()-ROW(Payslip_Lookup[#Headers]))="","",INDEX(Salary_Calculation[Monthly Target Orders],ROW()-ROW(Payslip_Lookup[#Headers])))</f>
        <v>465</v>
      </c>
      <c r="I11" s="174" t="n">
        <f aca="false">IF(INDEX(Salary_Calculation[Source Row],ROW()-ROW(Payslip_Lookup[#Headers]))="","",INDEX(Salary_Calculation[Rider Target Orders],ROW()-ROW(Payslip_Lookup[#Headers])))</f>
        <v>465</v>
      </c>
      <c r="J11" s="175" t="n">
        <f aca="false">IF(INDEX(Salary_Calculation[Source Row],ROW()-ROW(Payslip_Lookup[#Headers]))="","",INDEX(Salary_Calculation[Completed Orders],ROW()-ROW(Payslip_Lookup[#Headers])))</f>
        <v>391</v>
      </c>
      <c r="K11" s="174" t="n">
        <f aca="false">IF(INDEX(Salary_Calculation[Source Row],ROW()-ROW(Payslip_Lookup[#Headers]))="","",INDEX(Salary_Calculation[Base Order Rate],ROW()-ROW(Payslip_Lookup[#Headers])))</f>
        <v>4.44444444444445</v>
      </c>
      <c r="L11" s="176" t="n">
        <f aca="false">IF(INDEX(Salary_Calculation[Source Row],ROW()-ROW(Payslip_Lookup[#Headers]))="","",INDEX(Salary_Calculation[Basic Payment],ROW()-ROW(Payslip_Lookup[#Headers])))</f>
        <v>2000</v>
      </c>
      <c r="M11" s="176" t="n">
        <f aca="false">IF(INDEX(Salary_Calculation[Source Row],ROW()-ROW(Payslip_Lookup[#Headers]))="","",INDEX(Salary_Calculation[Earned Salary],ROW()-ROW(Payslip_Lookup[#Headers])))</f>
        <v>1737.77777777778</v>
      </c>
      <c r="N11" s="174" t="n">
        <f aca="false">IF(INDEX(Salary_Calculation[Source Row],ROW()-ROW(Payslip_Lookup[#Headers]))="","",INDEX(Salary_Calculation[Orders Counted at Base Rate],ROW()-ROW(Payslip_Lookup[#Headers])))</f>
        <v>391</v>
      </c>
      <c r="O11" s="174" t="n">
        <f aca="false">IF(INDEX(Salary_Calculation[Source Row],ROW()-ROW(Payslip_Lookup[#Headers]))="","",INDEX(Salary_Calculation[Missing Orders],ROW()-ROW(Payslip_Lookup[#Headers])))</f>
        <v>74</v>
      </c>
      <c r="P11" s="176" t="n">
        <f aca="false">IF(INDEX(Salary_Calculation[Source Row],ROW()-ROW(Payslip_Lookup[#Headers]))="","",INDEX(Salary_Calculation[Missing-Order Deduction],ROW()-ROW(Payslip_Lookup[#Headers])))</f>
        <v>518</v>
      </c>
      <c r="Q11" s="174" t="n">
        <f aca="false">IF(INDEX(Salary_Calculation[Source Row],ROW()-ROW(Payslip_Lookup[#Headers]))="","",INDEX(Salary_Calculation[Extra Orders],ROW()-ROW(Payslip_Lookup[#Headers])))</f>
        <v>0</v>
      </c>
      <c r="R11" s="176" t="n">
        <f aca="false">IF(INDEX(Salary_Calculation[Source Row],ROW()-ROW(Payslip_Lookup[#Headers]))="","",INDEX(Salary_Calculation[Extra-Order Bonus],ROW()-ROW(Payslip_Lookup[#Headers])))</f>
        <v>0</v>
      </c>
      <c r="S11" s="176" t="n">
        <f aca="false">IF(INDEX(Salary_Calculation[Source Row],ROW()-ROW(Payslip_Lookup[#Headers]))="","",INDEX(Salary_Calculation[Basic Salary for Target],ROW()-ROW(Payslip_Lookup[#Headers])))</f>
        <v>2066.66666666667</v>
      </c>
      <c r="T11" s="176" t="n">
        <f aca="false">IF(INDEX(Salary_Calculation[Source Row],ROW()-ROW(Payslip_Lookup[#Headers]))="","",INDEX(Salary_Calculation[Gross Salary Before Deductions],ROW()-ROW(Payslip_Lookup[#Headers])))</f>
        <v>1219.77777777778</v>
      </c>
      <c r="U11" s="176" t="n">
        <f aca="false">IF(INDEX(Salary_Calculation[Source Row],ROW()-ROW(Payslip_Lookup[#Headers]))="","",INDEX(Salary_Calculation[missed_days_penalty],ROW()-ROW(Payslip_Lookup[#Headers])))</f>
        <v>0</v>
      </c>
      <c r="V11" s="176" t="n">
        <f aca="false">IF(INDEX(Salary_Calculation[Source Row],ROW()-ROW(Payslip_Lookup[#Headers]))="","",INDEX(Salary_Calculation[Rider Balance],ROW()-ROW(Payslip_Lookup[#Headers])))</f>
        <v>266.18</v>
      </c>
      <c r="W11" s="176" t="n">
        <f aca="false">IF(INDEX(Salary_Calculation[Source Row],ROW()-ROW(Payslip_Lookup[#Headers]))="","",INDEX(Salary_Calculation[stacking_deduction],ROW()-ROW(Payslip_Lookup[#Headers])))</f>
        <v>76</v>
      </c>
      <c r="X11" s="176" t="n">
        <f aca="false">IF(INDEX(Salary_Calculation[Source Row],ROW()-ROW(Payslip_Lookup[#Headers]))="","",INDEX(Salary_Calculation[Other Deductions],ROW()-ROW(Payslip_Lookup[#Headers])))</f>
        <v>0</v>
      </c>
      <c r="Y11" s="176" t="n">
        <f aca="false">IF(INDEX(Salary_Calculation[Source Row],ROW()-ROW(Payslip_Lookup[#Headers]))="","",INDEX(Salary_Calculation[Total Deductions],ROW()-ROW(Payslip_Lookup[#Headers])))</f>
        <v>342.18</v>
      </c>
      <c r="Z11" s="176" t="n">
        <f aca="false">IF(INDEX(Salary_Calculation[Source Row],ROW()-ROW(Payslip_Lookup[#Headers]))="","",INDEX(Salary_Calculation[Final Salary],ROW()-ROW(Payslip_Lookup[#Headers])))</f>
        <v>877.6</v>
      </c>
      <c r="AA11" s="176" t="n">
        <f aca="false">IF(INDEX(Salary_Calculation[Source Row],ROW()-ROW(Payslip_Lookup[#Headers]))="","",INDEX(Salary_Calculation[Negative Balance / Amount Due from Rider],ROW()-ROW(Payslip_Lookup[#Headers])))</f>
        <v>0</v>
      </c>
      <c r="AB11" s="176" t="n">
        <f aca="false">IF(INDEX(Salary_Calculation[Source Row],ROW()-ROW(Payslip_Lookup[#Headers]))="","",INDEX(Salary_Calculation[Total Amount Due from Rider],ROW()-ROW(Payslip_Lookup[#Headers])))</f>
        <v>0</v>
      </c>
      <c r="AC11" s="176" t="n">
        <f aca="false">IF(INDEX(Salary_Calculation[Source Row],ROW()-ROW(Payslip_Lookup[#Headers]))="","",INDEX(Salary_Calculation[Salary Before Other Deductions],ROW()-ROW(Payslip_Lookup[#Headers])))</f>
        <v>1219.77777777778</v>
      </c>
      <c r="AD11" s="171" t="str">
        <f aca="false">IF(INDEX(Salary_Calculation[Source Row],ROW()-ROW(Payslip_Lookup[#Headers]))="","",INDEX(Salary_Calculation[Payment Status],ROW()-ROW(Payslip_Lookup[#Headers])))</f>
        <v>Paid After Deductions</v>
      </c>
      <c r="AE11" s="171" t="str">
        <f aca="false">IF(INDEX(Salary_Calculation[Source Row],ROW()-ROW(Payslip_Lookup[#Headers]))="","",INDEX(Salary_Calculation[Notes],ROW()-ROW(Payslip_Lookup[#Headers])))</f>
        <v/>
      </c>
      <c r="AF11" s="171" t="str">
        <f aca="false">IF(INDEX(Salary_Calculation[Source Row],ROW()-ROW(Payslip_Lookup[#Headers]))="","",INDEX(Salary_Calculation[Exception Reason],ROW()-ROW(Payslip_Lookup[#Headers])))</f>
        <v/>
      </c>
      <c r="AG11" s="173" t="str">
        <f aca="false">IF($AD11="Review Required",COUNTIF(AD$2:AD11,"Review Required"),"")</f>
        <v/>
      </c>
      <c r="AH11" s="173" t="n">
        <f aca="false">IF(AND($D11&lt;&gt;"",$B11=Payslip_Print!$C$2),MAX(AH$1:AH10)+1,"")</f>
        <v>10</v>
      </c>
      <c r="AJ11" s="177" t="str">
        <f aca="false">IF(AJ10="","",IFERROR(SMALL(Payslip_Lookup[Month Key],COUNTIF(Payslip_Lookup[Month Key],"&lt;="&amp;AJ10)+1),""))</f>
        <v/>
      </c>
      <c r="AK11" s="177" t="str">
        <f aca="false">IF(AJ10="","",AJ10)</f>
        <v/>
      </c>
      <c r="AL11" s="178" t="n">
        <f aca="false">IFERROR(INDEX($D$2:$D$501,MATCH(ROW()-1,$AH$2:$AH$501,0)),"")</f>
        <v>4648709</v>
      </c>
      <c r="AM11" s="179" t="n">
        <f aca="false">IF($Z11="","",IF(AND($C11&gt;=Dash_Start,$C11&lt;Dash_End),$Z11+ROW()/10000000,""))</f>
        <v>877.6000011</v>
      </c>
    </row>
    <row r="12" customFormat="false" ht="14.25" hidden="false" customHeight="false" outlineLevel="0" collapsed="false">
      <c r="A12" s="171" t="str">
        <f aca="false">IF(Payslip_Lookup[[#This Row],[Rider ID]]="","",Payslip_Lookup[[#This Row],[Rider ID]]&amp;"|"&amp;Payslip_Lookup[[#This Row],[Month Key]])</f>
        <v>4648308|46235</v>
      </c>
      <c r="B12" s="172" t="n">
        <f aca="false">IF(ISNUMBER(Payslip_Lookup[[#This Row],[Salary Month]]),DATE(YEAR(Payslip_Lookup[[#This Row],[Salary Month]]),MONTH(Payslip_Lookup[[#This Row],[Salary Month]]),1),"")</f>
        <v>46235</v>
      </c>
      <c r="C12" s="172" t="n">
        <f aca="false">IF(INDEX(Salary_Calculation[Source Row],ROW()-ROW(Payslip_Lookup[#Headers]))="","",INDEX(Salary_Calculation[Salary Month],ROW()-ROW(Payslip_Lookup[#Headers])))</f>
        <v>46235</v>
      </c>
      <c r="D12" s="173" t="n">
        <f aca="false">IF(INDEX(Salary_Calculation[Source Row],ROW()-ROW(Payslip_Lookup[#Headers]))="","",INDEX(Salary_Calculation[Rider ID],ROW()-ROW(Payslip_Lookup[#Headers])))</f>
        <v>4648308</v>
      </c>
      <c r="E12" s="171" t="str">
        <f aca="false">IF(INDEX(Salary_Calculation[Source Row],ROW()-ROW(Payslip_Lookup[#Headers]))="","",INDEX(Salary_Calculation[Rider Name],ROW()-ROW(Payslip_Lookup[#Headers])))</f>
        <v>Rider 4648308</v>
      </c>
      <c r="F12" s="173" t="n">
        <f aca="false">IF(INDEX(Salary_Calculation[Source Row],ROW()-ROW(Payslip_Lookup[#Headers]))="","",INDEX(Salary_Calculation[Working Days],ROW()-ROW(Payslip_Lookup[#Headers])))</f>
        <v>31</v>
      </c>
      <c r="G12" s="173" t="n">
        <f aca="false">IF(INDEX(Salary_Calculation[Source Row],ROW()-ROW(Payslip_Lookup[#Headers]))="","",INDEX(Salary_Calculation[Calendar Days],ROW()-ROW(Payslip_Lookup[#Headers])))</f>
        <v>31</v>
      </c>
      <c r="H12" s="174" t="n">
        <f aca="false">IF(INDEX(Salary_Calculation[Source Row],ROW()-ROW(Payslip_Lookup[#Headers]))="","",INDEX(Salary_Calculation[Monthly Target Orders],ROW()-ROW(Payslip_Lookup[#Headers])))</f>
        <v>465</v>
      </c>
      <c r="I12" s="174" t="n">
        <f aca="false">IF(INDEX(Salary_Calculation[Source Row],ROW()-ROW(Payslip_Lookup[#Headers]))="","",INDEX(Salary_Calculation[Rider Target Orders],ROW()-ROW(Payslip_Lookup[#Headers])))</f>
        <v>465</v>
      </c>
      <c r="J12" s="175" t="n">
        <f aca="false">IF(INDEX(Salary_Calculation[Source Row],ROW()-ROW(Payslip_Lookup[#Headers]))="","",INDEX(Salary_Calculation[Completed Orders],ROW()-ROW(Payslip_Lookup[#Headers])))</f>
        <v>551</v>
      </c>
      <c r="K12" s="174" t="n">
        <f aca="false">IF(INDEX(Salary_Calculation[Source Row],ROW()-ROW(Payslip_Lookup[#Headers]))="","",INDEX(Salary_Calculation[Base Order Rate],ROW()-ROW(Payslip_Lookup[#Headers])))</f>
        <v>4.44444444444445</v>
      </c>
      <c r="L12" s="176" t="n">
        <f aca="false">IF(INDEX(Salary_Calculation[Source Row],ROW()-ROW(Payslip_Lookup[#Headers]))="","",INDEX(Salary_Calculation[Basic Payment],ROW()-ROW(Payslip_Lookup[#Headers])))</f>
        <v>2000</v>
      </c>
      <c r="M12" s="176" t="n">
        <f aca="false">IF(INDEX(Salary_Calculation[Source Row],ROW()-ROW(Payslip_Lookup[#Headers]))="","",INDEX(Salary_Calculation[Earned Salary],ROW()-ROW(Payslip_Lookup[#Headers])))</f>
        <v>2066.66666666667</v>
      </c>
      <c r="N12" s="174" t="n">
        <f aca="false">IF(INDEX(Salary_Calculation[Source Row],ROW()-ROW(Payslip_Lookup[#Headers]))="","",INDEX(Salary_Calculation[Orders Counted at Base Rate],ROW()-ROW(Payslip_Lookup[#Headers])))</f>
        <v>465</v>
      </c>
      <c r="O12" s="174" t="n">
        <f aca="false">IF(INDEX(Salary_Calculation[Source Row],ROW()-ROW(Payslip_Lookup[#Headers]))="","",INDEX(Salary_Calculation[Missing Orders],ROW()-ROW(Payslip_Lookup[#Headers])))</f>
        <v>0</v>
      </c>
      <c r="P12" s="176" t="n">
        <f aca="false">IF(INDEX(Salary_Calculation[Source Row],ROW()-ROW(Payslip_Lookup[#Headers]))="","",INDEX(Salary_Calculation[Missing-Order Deduction],ROW()-ROW(Payslip_Lookup[#Headers])))</f>
        <v>0</v>
      </c>
      <c r="Q12" s="174" t="n">
        <f aca="false">IF(INDEX(Salary_Calculation[Source Row],ROW()-ROW(Payslip_Lookup[#Headers]))="","",INDEX(Salary_Calculation[Extra Orders],ROW()-ROW(Payslip_Lookup[#Headers])))</f>
        <v>86</v>
      </c>
      <c r="R12" s="176" t="n">
        <f aca="false">IF(INDEX(Salary_Calculation[Source Row],ROW()-ROW(Payslip_Lookup[#Headers]))="","",INDEX(Salary_Calculation[Extra-Order Bonus],ROW()-ROW(Payslip_Lookup[#Headers])))</f>
        <v>860</v>
      </c>
      <c r="S12" s="176" t="n">
        <f aca="false">IF(INDEX(Salary_Calculation[Source Row],ROW()-ROW(Payslip_Lookup[#Headers]))="","",INDEX(Salary_Calculation[Basic Salary for Target],ROW()-ROW(Payslip_Lookup[#Headers])))</f>
        <v>2066.66666666667</v>
      </c>
      <c r="T12" s="176" t="n">
        <f aca="false">IF(INDEX(Salary_Calculation[Source Row],ROW()-ROW(Payslip_Lookup[#Headers]))="","",INDEX(Salary_Calculation[Gross Salary Before Deductions],ROW()-ROW(Payslip_Lookup[#Headers])))</f>
        <v>2926.66666666667</v>
      </c>
      <c r="U12" s="176" t="n">
        <f aca="false">IF(INDEX(Salary_Calculation[Source Row],ROW()-ROW(Payslip_Lookup[#Headers]))="","",INDEX(Salary_Calculation[missed_days_penalty],ROW()-ROW(Payslip_Lookup[#Headers])))</f>
        <v>0</v>
      </c>
      <c r="V12" s="176" t="n">
        <f aca="false">IF(INDEX(Salary_Calculation[Source Row],ROW()-ROW(Payslip_Lookup[#Headers]))="","",INDEX(Salary_Calculation[Rider Balance],ROW()-ROW(Payslip_Lookup[#Headers])))</f>
        <v>93.12</v>
      </c>
      <c r="W12" s="176" t="n">
        <f aca="false">IF(INDEX(Salary_Calculation[Source Row],ROW()-ROW(Payslip_Lookup[#Headers]))="","",INDEX(Salary_Calculation[stacking_deduction],ROW()-ROW(Payslip_Lookup[#Headers])))</f>
        <v>112</v>
      </c>
      <c r="X12" s="176" t="n">
        <f aca="false">IF(INDEX(Salary_Calculation[Source Row],ROW()-ROW(Payslip_Lookup[#Headers]))="","",INDEX(Salary_Calculation[Other Deductions],ROW()-ROW(Payslip_Lookup[#Headers])))</f>
        <v>0</v>
      </c>
      <c r="Y12" s="176" t="n">
        <f aca="false">IF(INDEX(Salary_Calculation[Source Row],ROW()-ROW(Payslip_Lookup[#Headers]))="","",INDEX(Salary_Calculation[Total Deductions],ROW()-ROW(Payslip_Lookup[#Headers])))</f>
        <v>205.12</v>
      </c>
      <c r="Z12" s="176" t="n">
        <f aca="false">IF(INDEX(Salary_Calculation[Source Row],ROW()-ROW(Payslip_Lookup[#Headers]))="","",INDEX(Salary_Calculation[Final Salary],ROW()-ROW(Payslip_Lookup[#Headers])))</f>
        <v>2721.55</v>
      </c>
      <c r="AA12" s="176" t="n">
        <f aca="false">IF(INDEX(Salary_Calculation[Source Row],ROW()-ROW(Payslip_Lookup[#Headers]))="","",INDEX(Salary_Calculation[Negative Balance / Amount Due from Rider],ROW()-ROW(Payslip_Lookup[#Headers])))</f>
        <v>0</v>
      </c>
      <c r="AB12" s="176" t="n">
        <f aca="false">IF(INDEX(Salary_Calculation[Source Row],ROW()-ROW(Payslip_Lookup[#Headers]))="","",INDEX(Salary_Calculation[Total Amount Due from Rider],ROW()-ROW(Payslip_Lookup[#Headers])))</f>
        <v>0</v>
      </c>
      <c r="AC12" s="176" t="n">
        <f aca="false">IF(INDEX(Salary_Calculation[Source Row],ROW()-ROW(Payslip_Lookup[#Headers]))="","",INDEX(Salary_Calculation[Salary Before Other Deductions],ROW()-ROW(Payslip_Lookup[#Headers])))</f>
        <v>2926.66666666667</v>
      </c>
      <c r="AD12" s="171" t="str">
        <f aca="false">IF(INDEX(Salary_Calculation[Source Row],ROW()-ROW(Payslip_Lookup[#Headers]))="","",INDEX(Salary_Calculation[Payment Status],ROW()-ROW(Payslip_Lookup[#Headers])))</f>
        <v>Paid After Deductions</v>
      </c>
      <c r="AE12" s="171" t="str">
        <f aca="false">IF(INDEX(Salary_Calculation[Source Row],ROW()-ROW(Payslip_Lookup[#Headers]))="","",INDEX(Salary_Calculation[Notes],ROW()-ROW(Payslip_Lookup[#Headers])))</f>
        <v/>
      </c>
      <c r="AF12" s="171" t="str">
        <f aca="false">IF(INDEX(Salary_Calculation[Source Row],ROW()-ROW(Payslip_Lookup[#Headers]))="","",INDEX(Salary_Calculation[Exception Reason],ROW()-ROW(Payslip_Lookup[#Headers])))</f>
        <v/>
      </c>
      <c r="AG12" s="173" t="str">
        <f aca="false">IF($AD12="Review Required",COUNTIF(AD$2:AD12,"Review Required"),"")</f>
        <v/>
      </c>
      <c r="AH12" s="173" t="n">
        <f aca="false">IF(AND($D12&lt;&gt;"",$B12=Payslip_Print!$C$2),MAX(AH$1:AH11)+1,"")</f>
        <v>11</v>
      </c>
      <c r="AJ12" s="177" t="str">
        <f aca="false">IF(AJ11="","",IFERROR(SMALL(Payslip_Lookup[Month Key],COUNTIF(Payslip_Lookup[Month Key],"&lt;="&amp;AJ11)+1),""))</f>
        <v/>
      </c>
      <c r="AK12" s="177" t="str">
        <f aca="false">IF(AJ11="","",AJ11)</f>
        <v/>
      </c>
      <c r="AL12" s="178" t="n">
        <f aca="false">IFERROR(INDEX($D$2:$D$501,MATCH(ROW()-1,$AH$2:$AH$501,0)),"")</f>
        <v>4648308</v>
      </c>
      <c r="AM12" s="179" t="n">
        <f aca="false">IF($Z12="","",IF(AND($C12&gt;=Dash_Start,$C12&lt;Dash_End),$Z12+ROW()/10000000,""))</f>
        <v>2721.5500012</v>
      </c>
    </row>
    <row r="13" customFormat="false" ht="14.25" hidden="false" customHeight="false" outlineLevel="0" collapsed="false">
      <c r="A13" s="171" t="str">
        <f aca="false">IF(Payslip_Lookup[[#This Row],[Rider ID]]="","",Payslip_Lookup[[#This Row],[Rider ID]]&amp;"|"&amp;Payslip_Lookup[[#This Row],[Month Key]])</f>
        <v>4644774|46235</v>
      </c>
      <c r="B13" s="172" t="n">
        <f aca="false">IF(ISNUMBER(Payslip_Lookup[[#This Row],[Salary Month]]),DATE(YEAR(Payslip_Lookup[[#This Row],[Salary Month]]),MONTH(Payslip_Lookup[[#This Row],[Salary Month]]),1),"")</f>
        <v>46235</v>
      </c>
      <c r="C13" s="172" t="n">
        <f aca="false">IF(INDEX(Salary_Calculation[Source Row],ROW()-ROW(Payslip_Lookup[#Headers]))="","",INDEX(Salary_Calculation[Salary Month],ROW()-ROW(Payslip_Lookup[#Headers])))</f>
        <v>46235</v>
      </c>
      <c r="D13" s="173" t="n">
        <f aca="false">IF(INDEX(Salary_Calculation[Source Row],ROW()-ROW(Payslip_Lookup[#Headers]))="","",INDEX(Salary_Calculation[Rider ID],ROW()-ROW(Payslip_Lookup[#Headers])))</f>
        <v>4644774</v>
      </c>
      <c r="E13" s="171" t="str">
        <f aca="false">IF(INDEX(Salary_Calculation[Source Row],ROW()-ROW(Payslip_Lookup[#Headers]))="","",INDEX(Salary_Calculation[Rider Name],ROW()-ROW(Payslip_Lookup[#Headers])))</f>
        <v>Rider 4644774</v>
      </c>
      <c r="F13" s="173" t="n">
        <f aca="false">IF(INDEX(Salary_Calculation[Source Row],ROW()-ROW(Payslip_Lookup[#Headers]))="","",INDEX(Salary_Calculation[Working Days],ROW()-ROW(Payslip_Lookup[#Headers])))</f>
        <v>31</v>
      </c>
      <c r="G13" s="173" t="n">
        <f aca="false">IF(INDEX(Salary_Calculation[Source Row],ROW()-ROW(Payslip_Lookup[#Headers]))="","",INDEX(Salary_Calculation[Calendar Days],ROW()-ROW(Payslip_Lookup[#Headers])))</f>
        <v>31</v>
      </c>
      <c r="H13" s="174" t="n">
        <f aca="false">IF(INDEX(Salary_Calculation[Source Row],ROW()-ROW(Payslip_Lookup[#Headers]))="","",INDEX(Salary_Calculation[Monthly Target Orders],ROW()-ROW(Payslip_Lookup[#Headers])))</f>
        <v>465</v>
      </c>
      <c r="I13" s="174" t="n">
        <f aca="false">IF(INDEX(Salary_Calculation[Source Row],ROW()-ROW(Payslip_Lookup[#Headers]))="","",INDEX(Salary_Calculation[Rider Target Orders],ROW()-ROW(Payslip_Lookup[#Headers])))</f>
        <v>465</v>
      </c>
      <c r="J13" s="175" t="n">
        <f aca="false">IF(INDEX(Salary_Calculation[Source Row],ROW()-ROW(Payslip_Lookup[#Headers]))="","",INDEX(Salary_Calculation[Completed Orders],ROW()-ROW(Payslip_Lookup[#Headers])))</f>
        <v>367</v>
      </c>
      <c r="K13" s="174" t="n">
        <f aca="false">IF(INDEX(Salary_Calculation[Source Row],ROW()-ROW(Payslip_Lookup[#Headers]))="","",INDEX(Salary_Calculation[Base Order Rate],ROW()-ROW(Payslip_Lookup[#Headers])))</f>
        <v>4.44444444444445</v>
      </c>
      <c r="L13" s="176" t="n">
        <f aca="false">IF(INDEX(Salary_Calculation[Source Row],ROW()-ROW(Payslip_Lookup[#Headers]))="","",INDEX(Salary_Calculation[Basic Payment],ROW()-ROW(Payslip_Lookup[#Headers])))</f>
        <v>2000</v>
      </c>
      <c r="M13" s="176" t="n">
        <f aca="false">IF(INDEX(Salary_Calculation[Source Row],ROW()-ROW(Payslip_Lookup[#Headers]))="","",INDEX(Salary_Calculation[Earned Salary],ROW()-ROW(Payslip_Lookup[#Headers])))</f>
        <v>1631.11111111111</v>
      </c>
      <c r="N13" s="174" t="n">
        <f aca="false">IF(INDEX(Salary_Calculation[Source Row],ROW()-ROW(Payslip_Lookup[#Headers]))="","",INDEX(Salary_Calculation[Orders Counted at Base Rate],ROW()-ROW(Payslip_Lookup[#Headers])))</f>
        <v>367</v>
      </c>
      <c r="O13" s="174" t="n">
        <f aca="false">IF(INDEX(Salary_Calculation[Source Row],ROW()-ROW(Payslip_Lookup[#Headers]))="","",INDEX(Salary_Calculation[Missing Orders],ROW()-ROW(Payslip_Lookup[#Headers])))</f>
        <v>98</v>
      </c>
      <c r="P13" s="176" t="n">
        <f aca="false">IF(INDEX(Salary_Calculation[Source Row],ROW()-ROW(Payslip_Lookup[#Headers]))="","",INDEX(Salary_Calculation[Missing-Order Deduction],ROW()-ROW(Payslip_Lookup[#Headers])))</f>
        <v>686</v>
      </c>
      <c r="Q13" s="174" t="n">
        <f aca="false">IF(INDEX(Salary_Calculation[Source Row],ROW()-ROW(Payslip_Lookup[#Headers]))="","",INDEX(Salary_Calculation[Extra Orders],ROW()-ROW(Payslip_Lookup[#Headers])))</f>
        <v>0</v>
      </c>
      <c r="R13" s="176" t="n">
        <f aca="false">IF(INDEX(Salary_Calculation[Source Row],ROW()-ROW(Payslip_Lookup[#Headers]))="","",INDEX(Salary_Calculation[Extra-Order Bonus],ROW()-ROW(Payslip_Lookup[#Headers])))</f>
        <v>0</v>
      </c>
      <c r="S13" s="176" t="n">
        <f aca="false">IF(INDEX(Salary_Calculation[Source Row],ROW()-ROW(Payslip_Lookup[#Headers]))="","",INDEX(Salary_Calculation[Basic Salary for Target],ROW()-ROW(Payslip_Lookup[#Headers])))</f>
        <v>2066.66666666667</v>
      </c>
      <c r="T13" s="176" t="n">
        <f aca="false">IF(INDEX(Salary_Calculation[Source Row],ROW()-ROW(Payslip_Lookup[#Headers]))="","",INDEX(Salary_Calculation[Gross Salary Before Deductions],ROW()-ROW(Payslip_Lookup[#Headers])))</f>
        <v>945.111111111111</v>
      </c>
      <c r="U13" s="176" t="n">
        <f aca="false">IF(INDEX(Salary_Calculation[Source Row],ROW()-ROW(Payslip_Lookup[#Headers]))="","",INDEX(Salary_Calculation[missed_days_penalty],ROW()-ROW(Payslip_Lookup[#Headers])))</f>
        <v>0</v>
      </c>
      <c r="V13" s="176" t="n">
        <f aca="false">IF(INDEX(Salary_Calculation[Source Row],ROW()-ROW(Payslip_Lookup[#Headers]))="","",INDEX(Salary_Calculation[Rider Balance],ROW()-ROW(Payslip_Lookup[#Headers])))</f>
        <v>275.31</v>
      </c>
      <c r="W13" s="176" t="n">
        <f aca="false">IF(INDEX(Salary_Calculation[Source Row],ROW()-ROW(Payslip_Lookup[#Headers]))="","",INDEX(Salary_Calculation[stacking_deduction],ROW()-ROW(Payslip_Lookup[#Headers])))</f>
        <v>52</v>
      </c>
      <c r="X13" s="176" t="n">
        <f aca="false">IF(INDEX(Salary_Calculation[Source Row],ROW()-ROW(Payslip_Lookup[#Headers]))="","",INDEX(Salary_Calculation[Other Deductions],ROW()-ROW(Payslip_Lookup[#Headers])))</f>
        <v>0</v>
      </c>
      <c r="Y13" s="176" t="n">
        <f aca="false">IF(INDEX(Salary_Calculation[Source Row],ROW()-ROW(Payslip_Lookup[#Headers]))="","",INDEX(Salary_Calculation[Total Deductions],ROW()-ROW(Payslip_Lookup[#Headers])))</f>
        <v>327.31</v>
      </c>
      <c r="Z13" s="176" t="n">
        <f aca="false">IF(INDEX(Salary_Calculation[Source Row],ROW()-ROW(Payslip_Lookup[#Headers]))="","",INDEX(Salary_Calculation[Final Salary],ROW()-ROW(Payslip_Lookup[#Headers])))</f>
        <v>617.8</v>
      </c>
      <c r="AA13" s="176" t="n">
        <f aca="false">IF(INDEX(Salary_Calculation[Source Row],ROW()-ROW(Payslip_Lookup[#Headers]))="","",INDEX(Salary_Calculation[Negative Balance / Amount Due from Rider],ROW()-ROW(Payslip_Lookup[#Headers])))</f>
        <v>0</v>
      </c>
      <c r="AB13" s="176" t="n">
        <f aca="false">IF(INDEX(Salary_Calculation[Source Row],ROW()-ROW(Payslip_Lookup[#Headers]))="","",INDEX(Salary_Calculation[Total Amount Due from Rider],ROW()-ROW(Payslip_Lookup[#Headers])))</f>
        <v>0</v>
      </c>
      <c r="AC13" s="176" t="n">
        <f aca="false">IF(INDEX(Salary_Calculation[Source Row],ROW()-ROW(Payslip_Lookup[#Headers]))="","",INDEX(Salary_Calculation[Salary Before Other Deductions],ROW()-ROW(Payslip_Lookup[#Headers])))</f>
        <v>945.111111111111</v>
      </c>
      <c r="AD13" s="171" t="str">
        <f aca="false">IF(INDEX(Salary_Calculation[Source Row],ROW()-ROW(Payslip_Lookup[#Headers]))="","",INDEX(Salary_Calculation[Payment Status],ROW()-ROW(Payslip_Lookup[#Headers])))</f>
        <v>Paid After Deductions</v>
      </c>
      <c r="AE13" s="171" t="str">
        <f aca="false">IF(INDEX(Salary_Calculation[Source Row],ROW()-ROW(Payslip_Lookup[#Headers]))="","",INDEX(Salary_Calculation[Notes],ROW()-ROW(Payslip_Lookup[#Headers])))</f>
        <v/>
      </c>
      <c r="AF13" s="171" t="str">
        <f aca="false">IF(INDEX(Salary_Calculation[Source Row],ROW()-ROW(Payslip_Lookup[#Headers]))="","",INDEX(Salary_Calculation[Exception Reason],ROW()-ROW(Payslip_Lookup[#Headers])))</f>
        <v/>
      </c>
      <c r="AG13" s="173" t="str">
        <f aca="false">IF($AD13="Review Required",COUNTIF(AD$2:AD13,"Review Required"),"")</f>
        <v/>
      </c>
      <c r="AH13" s="173" t="n">
        <f aca="false">IF(AND($D13&lt;&gt;"",$B13=Payslip_Print!$C$2),MAX(AH$1:AH12)+1,"")</f>
        <v>12</v>
      </c>
      <c r="AJ13" s="177" t="str">
        <f aca="false">IF(AJ12="","",IFERROR(SMALL(Payslip_Lookup[Month Key],COUNTIF(Payslip_Lookup[Month Key],"&lt;="&amp;AJ12)+1),""))</f>
        <v/>
      </c>
      <c r="AK13" s="177" t="str">
        <f aca="false">IF(AJ12="","",AJ12)</f>
        <v/>
      </c>
      <c r="AL13" s="178" t="n">
        <f aca="false">IFERROR(INDEX($D$2:$D$501,MATCH(ROW()-1,$AH$2:$AH$501,0)),"")</f>
        <v>4644774</v>
      </c>
      <c r="AM13" s="179" t="n">
        <f aca="false">IF($Z13="","",IF(AND($C13&gt;=Dash_Start,$C13&lt;Dash_End),$Z13+ROW()/10000000,""))</f>
        <v>617.8000013</v>
      </c>
    </row>
    <row r="14" customFormat="false" ht="14.25" hidden="false" customHeight="false" outlineLevel="0" collapsed="false">
      <c r="A14" s="171" t="str">
        <f aca="false">IF(Payslip_Lookup[[#This Row],[Rider ID]]="","",Payslip_Lookup[[#This Row],[Rider ID]]&amp;"|"&amp;Payslip_Lookup[[#This Row],[Month Key]])</f>
        <v>4643856|46235</v>
      </c>
      <c r="B14" s="172" t="n">
        <f aca="false">IF(ISNUMBER(Payslip_Lookup[[#This Row],[Salary Month]]),DATE(YEAR(Payslip_Lookup[[#This Row],[Salary Month]]),MONTH(Payslip_Lookup[[#This Row],[Salary Month]]),1),"")</f>
        <v>46235</v>
      </c>
      <c r="C14" s="172" t="n">
        <f aca="false">IF(INDEX(Salary_Calculation[Source Row],ROW()-ROW(Payslip_Lookup[#Headers]))="","",INDEX(Salary_Calculation[Salary Month],ROW()-ROW(Payslip_Lookup[#Headers])))</f>
        <v>46235</v>
      </c>
      <c r="D14" s="173" t="n">
        <f aca="false">IF(INDEX(Salary_Calculation[Source Row],ROW()-ROW(Payslip_Lookup[#Headers]))="","",INDEX(Salary_Calculation[Rider ID],ROW()-ROW(Payslip_Lookup[#Headers])))</f>
        <v>4643856</v>
      </c>
      <c r="E14" s="171" t="str">
        <f aca="false">IF(INDEX(Salary_Calculation[Source Row],ROW()-ROW(Payslip_Lookup[#Headers]))="","",INDEX(Salary_Calculation[Rider Name],ROW()-ROW(Payslip_Lookup[#Headers])))</f>
        <v>Rider 4643856</v>
      </c>
      <c r="F14" s="173" t="n">
        <f aca="false">IF(INDEX(Salary_Calculation[Source Row],ROW()-ROW(Payslip_Lookup[#Headers]))="","",INDEX(Salary_Calculation[Working Days],ROW()-ROW(Payslip_Lookup[#Headers])))</f>
        <v>31</v>
      </c>
      <c r="G14" s="173" t="n">
        <f aca="false">IF(INDEX(Salary_Calculation[Source Row],ROW()-ROW(Payslip_Lookup[#Headers]))="","",INDEX(Salary_Calculation[Calendar Days],ROW()-ROW(Payslip_Lookup[#Headers])))</f>
        <v>31</v>
      </c>
      <c r="H14" s="174" t="n">
        <f aca="false">IF(INDEX(Salary_Calculation[Source Row],ROW()-ROW(Payslip_Lookup[#Headers]))="","",INDEX(Salary_Calculation[Monthly Target Orders],ROW()-ROW(Payslip_Lookup[#Headers])))</f>
        <v>465</v>
      </c>
      <c r="I14" s="174" t="n">
        <f aca="false">IF(INDEX(Salary_Calculation[Source Row],ROW()-ROW(Payslip_Lookup[#Headers]))="","",INDEX(Salary_Calculation[Rider Target Orders],ROW()-ROW(Payslip_Lookup[#Headers])))</f>
        <v>465</v>
      </c>
      <c r="J14" s="175" t="n">
        <f aca="false">IF(INDEX(Salary_Calculation[Source Row],ROW()-ROW(Payslip_Lookup[#Headers]))="","",INDEX(Salary_Calculation[Completed Orders],ROW()-ROW(Payslip_Lookup[#Headers])))</f>
        <v>449</v>
      </c>
      <c r="K14" s="174" t="n">
        <f aca="false">IF(INDEX(Salary_Calculation[Source Row],ROW()-ROW(Payslip_Lookup[#Headers]))="","",INDEX(Salary_Calculation[Base Order Rate],ROW()-ROW(Payslip_Lookup[#Headers])))</f>
        <v>4.44444444444445</v>
      </c>
      <c r="L14" s="176" t="n">
        <f aca="false">IF(INDEX(Salary_Calculation[Source Row],ROW()-ROW(Payslip_Lookup[#Headers]))="","",INDEX(Salary_Calculation[Basic Payment],ROW()-ROW(Payslip_Lookup[#Headers])))</f>
        <v>2000</v>
      </c>
      <c r="M14" s="176" t="n">
        <f aca="false">IF(INDEX(Salary_Calculation[Source Row],ROW()-ROW(Payslip_Lookup[#Headers]))="","",INDEX(Salary_Calculation[Earned Salary],ROW()-ROW(Payslip_Lookup[#Headers])))</f>
        <v>1995.55555555556</v>
      </c>
      <c r="N14" s="174" t="n">
        <f aca="false">IF(INDEX(Salary_Calculation[Source Row],ROW()-ROW(Payslip_Lookup[#Headers]))="","",INDEX(Salary_Calculation[Orders Counted at Base Rate],ROW()-ROW(Payslip_Lookup[#Headers])))</f>
        <v>449</v>
      </c>
      <c r="O14" s="174" t="n">
        <f aca="false">IF(INDEX(Salary_Calculation[Source Row],ROW()-ROW(Payslip_Lookup[#Headers]))="","",INDEX(Salary_Calculation[Missing Orders],ROW()-ROW(Payslip_Lookup[#Headers])))</f>
        <v>16</v>
      </c>
      <c r="P14" s="176" t="n">
        <f aca="false">IF(INDEX(Salary_Calculation[Source Row],ROW()-ROW(Payslip_Lookup[#Headers]))="","",INDEX(Salary_Calculation[Missing-Order Deduction],ROW()-ROW(Payslip_Lookup[#Headers])))</f>
        <v>112</v>
      </c>
      <c r="Q14" s="174" t="n">
        <f aca="false">IF(INDEX(Salary_Calculation[Source Row],ROW()-ROW(Payslip_Lookup[#Headers]))="","",INDEX(Salary_Calculation[Extra Orders],ROW()-ROW(Payslip_Lookup[#Headers])))</f>
        <v>0</v>
      </c>
      <c r="R14" s="176" t="n">
        <f aca="false">IF(INDEX(Salary_Calculation[Source Row],ROW()-ROW(Payslip_Lookup[#Headers]))="","",INDEX(Salary_Calculation[Extra-Order Bonus],ROW()-ROW(Payslip_Lookup[#Headers])))</f>
        <v>0</v>
      </c>
      <c r="S14" s="176" t="n">
        <f aca="false">IF(INDEX(Salary_Calculation[Source Row],ROW()-ROW(Payslip_Lookup[#Headers]))="","",INDEX(Salary_Calculation[Basic Salary for Target],ROW()-ROW(Payslip_Lookup[#Headers])))</f>
        <v>2066.66666666667</v>
      </c>
      <c r="T14" s="176" t="n">
        <f aca="false">IF(INDEX(Salary_Calculation[Source Row],ROW()-ROW(Payslip_Lookup[#Headers]))="","",INDEX(Salary_Calculation[Gross Salary Before Deductions],ROW()-ROW(Payslip_Lookup[#Headers])))</f>
        <v>1883.55555555556</v>
      </c>
      <c r="U14" s="176" t="n">
        <f aca="false">IF(INDEX(Salary_Calculation[Source Row],ROW()-ROW(Payslip_Lookup[#Headers]))="","",INDEX(Salary_Calculation[missed_days_penalty],ROW()-ROW(Payslip_Lookup[#Headers])))</f>
        <v>0</v>
      </c>
      <c r="V14" s="176" t="n">
        <f aca="false">IF(INDEX(Salary_Calculation[Source Row],ROW()-ROW(Payslip_Lookup[#Headers]))="","",INDEX(Salary_Calculation[Rider Balance],ROW()-ROW(Payslip_Lookup[#Headers])))</f>
        <v>128.27</v>
      </c>
      <c r="W14" s="176" t="n">
        <f aca="false">IF(INDEX(Salary_Calculation[Source Row],ROW()-ROW(Payslip_Lookup[#Headers]))="","",INDEX(Salary_Calculation[stacking_deduction],ROW()-ROW(Payslip_Lookup[#Headers])))</f>
        <v>80</v>
      </c>
      <c r="X14" s="176" t="n">
        <f aca="false">IF(INDEX(Salary_Calculation[Source Row],ROW()-ROW(Payslip_Lookup[#Headers]))="","",INDEX(Salary_Calculation[Other Deductions],ROW()-ROW(Payslip_Lookup[#Headers])))</f>
        <v>0</v>
      </c>
      <c r="Y14" s="176" t="n">
        <f aca="false">IF(INDEX(Salary_Calculation[Source Row],ROW()-ROW(Payslip_Lookup[#Headers]))="","",INDEX(Salary_Calculation[Total Deductions],ROW()-ROW(Payslip_Lookup[#Headers])))</f>
        <v>208.27</v>
      </c>
      <c r="Z14" s="176" t="n">
        <f aca="false">IF(INDEX(Salary_Calculation[Source Row],ROW()-ROW(Payslip_Lookup[#Headers]))="","",INDEX(Salary_Calculation[Final Salary],ROW()-ROW(Payslip_Lookup[#Headers])))</f>
        <v>1675.29</v>
      </c>
      <c r="AA14" s="176" t="n">
        <f aca="false">IF(INDEX(Salary_Calculation[Source Row],ROW()-ROW(Payslip_Lookup[#Headers]))="","",INDEX(Salary_Calculation[Negative Balance / Amount Due from Rider],ROW()-ROW(Payslip_Lookup[#Headers])))</f>
        <v>0</v>
      </c>
      <c r="AB14" s="176" t="n">
        <f aca="false">IF(INDEX(Salary_Calculation[Source Row],ROW()-ROW(Payslip_Lookup[#Headers]))="","",INDEX(Salary_Calculation[Total Amount Due from Rider],ROW()-ROW(Payslip_Lookup[#Headers])))</f>
        <v>0</v>
      </c>
      <c r="AC14" s="176" t="n">
        <f aca="false">IF(INDEX(Salary_Calculation[Source Row],ROW()-ROW(Payslip_Lookup[#Headers]))="","",INDEX(Salary_Calculation[Salary Before Other Deductions],ROW()-ROW(Payslip_Lookup[#Headers])))</f>
        <v>1883.55555555556</v>
      </c>
      <c r="AD14" s="171" t="str">
        <f aca="false">IF(INDEX(Salary_Calculation[Source Row],ROW()-ROW(Payslip_Lookup[#Headers]))="","",INDEX(Salary_Calculation[Payment Status],ROW()-ROW(Payslip_Lookup[#Headers])))</f>
        <v>Paid After Deductions</v>
      </c>
      <c r="AE14" s="171" t="str">
        <f aca="false">IF(INDEX(Salary_Calculation[Source Row],ROW()-ROW(Payslip_Lookup[#Headers]))="","",INDEX(Salary_Calculation[Notes],ROW()-ROW(Payslip_Lookup[#Headers])))</f>
        <v/>
      </c>
      <c r="AF14" s="171" t="str">
        <f aca="false">IF(INDEX(Salary_Calculation[Source Row],ROW()-ROW(Payslip_Lookup[#Headers]))="","",INDEX(Salary_Calculation[Exception Reason],ROW()-ROW(Payslip_Lookup[#Headers])))</f>
        <v/>
      </c>
      <c r="AG14" s="173" t="str">
        <f aca="false">IF($AD14="Review Required",COUNTIF(AD$2:AD14,"Review Required"),"")</f>
        <v/>
      </c>
      <c r="AH14" s="173" t="n">
        <f aca="false">IF(AND($D14&lt;&gt;"",$B14=Payslip_Print!$C$2),MAX(AH$1:AH13)+1,"")</f>
        <v>13</v>
      </c>
      <c r="AJ14" s="177" t="str">
        <f aca="false">IF(AJ13="","",IFERROR(SMALL(Payslip_Lookup[Month Key],COUNTIF(Payslip_Lookup[Month Key],"&lt;="&amp;AJ13)+1),""))</f>
        <v/>
      </c>
      <c r="AK14" s="177" t="str">
        <f aca="false">IF(AJ13="","",AJ13)</f>
        <v/>
      </c>
      <c r="AL14" s="178" t="n">
        <f aca="false">IFERROR(INDEX($D$2:$D$501,MATCH(ROW()-1,$AH$2:$AH$501,0)),"")</f>
        <v>4643856</v>
      </c>
      <c r="AM14" s="179" t="n">
        <f aca="false">IF($Z14="","",IF(AND($C14&gt;=Dash_Start,$C14&lt;Dash_End),$Z14+ROW()/10000000,""))</f>
        <v>1675.2900014</v>
      </c>
    </row>
    <row r="15" customFormat="false" ht="14.25" hidden="false" customHeight="false" outlineLevel="0" collapsed="false">
      <c r="A15" s="171" t="str">
        <f aca="false">IF(Payslip_Lookup[[#This Row],[Rider ID]]="","",Payslip_Lookup[[#This Row],[Rider ID]]&amp;"|"&amp;Payslip_Lookup[[#This Row],[Month Key]])</f>
        <v>4642935|46235</v>
      </c>
      <c r="B15" s="172" t="n">
        <f aca="false">IF(ISNUMBER(Payslip_Lookup[[#This Row],[Salary Month]]),DATE(YEAR(Payslip_Lookup[[#This Row],[Salary Month]]),MONTH(Payslip_Lookup[[#This Row],[Salary Month]]),1),"")</f>
        <v>46235</v>
      </c>
      <c r="C15" s="172" t="n">
        <f aca="false">IF(INDEX(Salary_Calculation[Source Row],ROW()-ROW(Payslip_Lookup[#Headers]))="","",INDEX(Salary_Calculation[Salary Month],ROW()-ROW(Payslip_Lookup[#Headers])))</f>
        <v>46235</v>
      </c>
      <c r="D15" s="173" t="n">
        <f aca="false">IF(INDEX(Salary_Calculation[Source Row],ROW()-ROW(Payslip_Lookup[#Headers]))="","",INDEX(Salary_Calculation[Rider ID],ROW()-ROW(Payslip_Lookup[#Headers])))</f>
        <v>4642935</v>
      </c>
      <c r="E15" s="171" t="str">
        <f aca="false">IF(INDEX(Salary_Calculation[Source Row],ROW()-ROW(Payslip_Lookup[#Headers]))="","",INDEX(Salary_Calculation[Rider Name],ROW()-ROW(Payslip_Lookup[#Headers])))</f>
        <v>Rider 4642935</v>
      </c>
      <c r="F15" s="173" t="n">
        <f aca="false">IF(INDEX(Salary_Calculation[Source Row],ROW()-ROW(Payslip_Lookup[#Headers]))="","",INDEX(Salary_Calculation[Working Days],ROW()-ROW(Payslip_Lookup[#Headers])))</f>
        <v>31</v>
      </c>
      <c r="G15" s="173" t="n">
        <f aca="false">IF(INDEX(Salary_Calculation[Source Row],ROW()-ROW(Payslip_Lookup[#Headers]))="","",INDEX(Salary_Calculation[Calendar Days],ROW()-ROW(Payslip_Lookup[#Headers])))</f>
        <v>31</v>
      </c>
      <c r="H15" s="174" t="n">
        <f aca="false">IF(INDEX(Salary_Calculation[Source Row],ROW()-ROW(Payslip_Lookup[#Headers]))="","",INDEX(Salary_Calculation[Monthly Target Orders],ROW()-ROW(Payslip_Lookup[#Headers])))</f>
        <v>465</v>
      </c>
      <c r="I15" s="174" t="n">
        <f aca="false">IF(INDEX(Salary_Calculation[Source Row],ROW()-ROW(Payslip_Lookup[#Headers]))="","",INDEX(Salary_Calculation[Rider Target Orders],ROW()-ROW(Payslip_Lookup[#Headers])))</f>
        <v>465</v>
      </c>
      <c r="J15" s="175" t="n">
        <f aca="false">IF(INDEX(Salary_Calculation[Source Row],ROW()-ROW(Payslip_Lookup[#Headers]))="","",INDEX(Salary_Calculation[Completed Orders],ROW()-ROW(Payslip_Lookup[#Headers])))</f>
        <v>442</v>
      </c>
      <c r="K15" s="174" t="n">
        <f aca="false">IF(INDEX(Salary_Calculation[Source Row],ROW()-ROW(Payslip_Lookup[#Headers]))="","",INDEX(Salary_Calculation[Base Order Rate],ROW()-ROW(Payslip_Lookup[#Headers])))</f>
        <v>4.44444444444445</v>
      </c>
      <c r="L15" s="176" t="n">
        <f aca="false">IF(INDEX(Salary_Calculation[Source Row],ROW()-ROW(Payslip_Lookup[#Headers]))="","",INDEX(Salary_Calculation[Basic Payment],ROW()-ROW(Payslip_Lookup[#Headers])))</f>
        <v>2000</v>
      </c>
      <c r="M15" s="176" t="n">
        <f aca="false">IF(INDEX(Salary_Calculation[Source Row],ROW()-ROW(Payslip_Lookup[#Headers]))="","",INDEX(Salary_Calculation[Earned Salary],ROW()-ROW(Payslip_Lookup[#Headers])))</f>
        <v>1964.44444444444</v>
      </c>
      <c r="N15" s="174" t="n">
        <f aca="false">IF(INDEX(Salary_Calculation[Source Row],ROW()-ROW(Payslip_Lookup[#Headers]))="","",INDEX(Salary_Calculation[Orders Counted at Base Rate],ROW()-ROW(Payslip_Lookup[#Headers])))</f>
        <v>442</v>
      </c>
      <c r="O15" s="174" t="n">
        <f aca="false">IF(INDEX(Salary_Calculation[Source Row],ROW()-ROW(Payslip_Lookup[#Headers]))="","",INDEX(Salary_Calculation[Missing Orders],ROW()-ROW(Payslip_Lookup[#Headers])))</f>
        <v>23</v>
      </c>
      <c r="P15" s="176" t="n">
        <f aca="false">IF(INDEX(Salary_Calculation[Source Row],ROW()-ROW(Payslip_Lookup[#Headers]))="","",INDEX(Salary_Calculation[Missing-Order Deduction],ROW()-ROW(Payslip_Lookup[#Headers])))</f>
        <v>161</v>
      </c>
      <c r="Q15" s="174" t="n">
        <f aca="false">IF(INDEX(Salary_Calculation[Source Row],ROW()-ROW(Payslip_Lookup[#Headers]))="","",INDEX(Salary_Calculation[Extra Orders],ROW()-ROW(Payslip_Lookup[#Headers])))</f>
        <v>0</v>
      </c>
      <c r="R15" s="176" t="n">
        <f aca="false">IF(INDEX(Salary_Calculation[Source Row],ROW()-ROW(Payslip_Lookup[#Headers]))="","",INDEX(Salary_Calculation[Extra-Order Bonus],ROW()-ROW(Payslip_Lookup[#Headers])))</f>
        <v>0</v>
      </c>
      <c r="S15" s="176" t="n">
        <f aca="false">IF(INDEX(Salary_Calculation[Source Row],ROW()-ROW(Payslip_Lookup[#Headers]))="","",INDEX(Salary_Calculation[Basic Salary for Target],ROW()-ROW(Payslip_Lookup[#Headers])))</f>
        <v>2066.66666666667</v>
      </c>
      <c r="T15" s="176" t="n">
        <f aca="false">IF(INDEX(Salary_Calculation[Source Row],ROW()-ROW(Payslip_Lookup[#Headers]))="","",INDEX(Salary_Calculation[Gross Salary Before Deductions],ROW()-ROW(Payslip_Lookup[#Headers])))</f>
        <v>1803.44444444444</v>
      </c>
      <c r="U15" s="176" t="n">
        <f aca="false">IF(INDEX(Salary_Calculation[Source Row],ROW()-ROW(Payslip_Lookup[#Headers]))="","",INDEX(Salary_Calculation[missed_days_penalty],ROW()-ROW(Payslip_Lookup[#Headers])))</f>
        <v>0</v>
      </c>
      <c r="V15" s="176" t="n">
        <f aca="false">IF(INDEX(Salary_Calculation[Source Row],ROW()-ROW(Payslip_Lookup[#Headers]))="","",INDEX(Salary_Calculation[Rider Balance],ROW()-ROW(Payslip_Lookup[#Headers])))</f>
        <v>116.95</v>
      </c>
      <c r="W15" s="176" t="n">
        <f aca="false">IF(INDEX(Salary_Calculation[Source Row],ROW()-ROW(Payslip_Lookup[#Headers]))="","",INDEX(Salary_Calculation[stacking_deduction],ROW()-ROW(Payslip_Lookup[#Headers])))</f>
        <v>84</v>
      </c>
      <c r="X15" s="176" t="n">
        <f aca="false">IF(INDEX(Salary_Calculation[Source Row],ROW()-ROW(Payslip_Lookup[#Headers]))="","",INDEX(Salary_Calculation[Other Deductions],ROW()-ROW(Payslip_Lookup[#Headers])))</f>
        <v>0</v>
      </c>
      <c r="Y15" s="176" t="n">
        <f aca="false">IF(INDEX(Salary_Calculation[Source Row],ROW()-ROW(Payslip_Lookup[#Headers]))="","",INDEX(Salary_Calculation[Total Deductions],ROW()-ROW(Payslip_Lookup[#Headers])))</f>
        <v>200.95</v>
      </c>
      <c r="Z15" s="176" t="n">
        <f aca="false">IF(INDEX(Salary_Calculation[Source Row],ROW()-ROW(Payslip_Lookup[#Headers]))="","",INDEX(Salary_Calculation[Final Salary],ROW()-ROW(Payslip_Lookup[#Headers])))</f>
        <v>1602.49</v>
      </c>
      <c r="AA15" s="176" t="n">
        <f aca="false">IF(INDEX(Salary_Calculation[Source Row],ROW()-ROW(Payslip_Lookup[#Headers]))="","",INDEX(Salary_Calculation[Negative Balance / Amount Due from Rider],ROW()-ROW(Payslip_Lookup[#Headers])))</f>
        <v>0</v>
      </c>
      <c r="AB15" s="176" t="n">
        <f aca="false">IF(INDEX(Salary_Calculation[Source Row],ROW()-ROW(Payslip_Lookup[#Headers]))="","",INDEX(Salary_Calculation[Total Amount Due from Rider],ROW()-ROW(Payslip_Lookup[#Headers])))</f>
        <v>0</v>
      </c>
      <c r="AC15" s="176" t="n">
        <f aca="false">IF(INDEX(Salary_Calculation[Source Row],ROW()-ROW(Payslip_Lookup[#Headers]))="","",INDEX(Salary_Calculation[Salary Before Other Deductions],ROW()-ROW(Payslip_Lookup[#Headers])))</f>
        <v>1803.44444444444</v>
      </c>
      <c r="AD15" s="171" t="str">
        <f aca="false">IF(INDEX(Salary_Calculation[Source Row],ROW()-ROW(Payslip_Lookup[#Headers]))="","",INDEX(Salary_Calculation[Payment Status],ROW()-ROW(Payslip_Lookup[#Headers])))</f>
        <v>Paid After Deductions</v>
      </c>
      <c r="AE15" s="171" t="str">
        <f aca="false">IF(INDEX(Salary_Calculation[Source Row],ROW()-ROW(Payslip_Lookup[#Headers]))="","",INDEX(Salary_Calculation[Notes],ROW()-ROW(Payslip_Lookup[#Headers])))</f>
        <v/>
      </c>
      <c r="AF15" s="171" t="str">
        <f aca="false">IF(INDEX(Salary_Calculation[Source Row],ROW()-ROW(Payslip_Lookup[#Headers]))="","",INDEX(Salary_Calculation[Exception Reason],ROW()-ROW(Payslip_Lookup[#Headers])))</f>
        <v/>
      </c>
      <c r="AG15" s="173" t="str">
        <f aca="false">IF($AD15="Review Required",COUNTIF(AD$2:AD15,"Review Required"),"")</f>
        <v/>
      </c>
      <c r="AH15" s="173" t="n">
        <f aca="false">IF(AND($D15&lt;&gt;"",$B15=Payslip_Print!$C$2),MAX(AH$1:AH14)+1,"")</f>
        <v>14</v>
      </c>
      <c r="AJ15" s="177" t="str">
        <f aca="false">IF(AJ14="","",IFERROR(SMALL(Payslip_Lookup[Month Key],COUNTIF(Payslip_Lookup[Month Key],"&lt;="&amp;AJ14)+1),""))</f>
        <v/>
      </c>
      <c r="AK15" s="177" t="str">
        <f aca="false">IF(AJ14="","",AJ14)</f>
        <v/>
      </c>
      <c r="AL15" s="178" t="n">
        <f aca="false">IFERROR(INDEX($D$2:$D$501,MATCH(ROW()-1,$AH$2:$AH$501,0)),"")</f>
        <v>4642935</v>
      </c>
      <c r="AM15" s="179" t="n">
        <f aca="false">IF($Z15="","",IF(AND($C15&gt;=Dash_Start,$C15&lt;Dash_End),$Z15+ROW()/10000000,""))</f>
        <v>1602.4900015</v>
      </c>
    </row>
    <row r="16" customFormat="false" ht="14.25" hidden="false" customHeight="false" outlineLevel="0" collapsed="false">
      <c r="A16" s="171" t="str">
        <f aca="false">IF(Payslip_Lookup[[#This Row],[Rider ID]]="","",Payslip_Lookup[[#This Row],[Rider ID]]&amp;"|"&amp;Payslip_Lookup[[#This Row],[Month Key]])</f>
        <v>4611383|46235</v>
      </c>
      <c r="B16" s="172" t="n">
        <f aca="false">IF(ISNUMBER(Payslip_Lookup[[#This Row],[Salary Month]]),DATE(YEAR(Payslip_Lookup[[#This Row],[Salary Month]]),MONTH(Payslip_Lookup[[#This Row],[Salary Month]]),1),"")</f>
        <v>46235</v>
      </c>
      <c r="C16" s="172" t="n">
        <f aca="false">IF(INDEX(Salary_Calculation[Source Row],ROW()-ROW(Payslip_Lookup[#Headers]))="","",INDEX(Salary_Calculation[Salary Month],ROW()-ROW(Payslip_Lookup[#Headers])))</f>
        <v>46235</v>
      </c>
      <c r="D16" s="173" t="n">
        <f aca="false">IF(INDEX(Salary_Calculation[Source Row],ROW()-ROW(Payslip_Lookup[#Headers]))="","",INDEX(Salary_Calculation[Rider ID],ROW()-ROW(Payslip_Lookup[#Headers])))</f>
        <v>4611383</v>
      </c>
      <c r="E16" s="171" t="str">
        <f aca="false">IF(INDEX(Salary_Calculation[Source Row],ROW()-ROW(Payslip_Lookup[#Headers]))="","",INDEX(Salary_Calculation[Rider Name],ROW()-ROW(Payslip_Lookup[#Headers])))</f>
        <v>Rider 4611383</v>
      </c>
      <c r="F16" s="173" t="n">
        <f aca="false">IF(INDEX(Salary_Calculation[Source Row],ROW()-ROW(Payslip_Lookup[#Headers]))="","",INDEX(Salary_Calculation[Working Days],ROW()-ROW(Payslip_Lookup[#Headers])))</f>
        <v>31</v>
      </c>
      <c r="G16" s="173" t="n">
        <f aca="false">IF(INDEX(Salary_Calculation[Source Row],ROW()-ROW(Payslip_Lookup[#Headers]))="","",INDEX(Salary_Calculation[Calendar Days],ROW()-ROW(Payslip_Lookup[#Headers])))</f>
        <v>31</v>
      </c>
      <c r="H16" s="174" t="n">
        <f aca="false">IF(INDEX(Salary_Calculation[Source Row],ROW()-ROW(Payslip_Lookup[#Headers]))="","",INDEX(Salary_Calculation[Monthly Target Orders],ROW()-ROW(Payslip_Lookup[#Headers])))</f>
        <v>465</v>
      </c>
      <c r="I16" s="174" t="n">
        <f aca="false">IF(INDEX(Salary_Calculation[Source Row],ROW()-ROW(Payslip_Lookup[#Headers]))="","",INDEX(Salary_Calculation[Rider Target Orders],ROW()-ROW(Payslip_Lookup[#Headers])))</f>
        <v>465</v>
      </c>
      <c r="J16" s="175" t="n">
        <f aca="false">IF(INDEX(Salary_Calculation[Source Row],ROW()-ROW(Payslip_Lookup[#Headers]))="","",INDEX(Salary_Calculation[Completed Orders],ROW()-ROW(Payslip_Lookup[#Headers])))</f>
        <v>476</v>
      </c>
      <c r="K16" s="174" t="n">
        <f aca="false">IF(INDEX(Salary_Calculation[Source Row],ROW()-ROW(Payslip_Lookup[#Headers]))="","",INDEX(Salary_Calculation[Base Order Rate],ROW()-ROW(Payslip_Lookup[#Headers])))</f>
        <v>4.44444444444445</v>
      </c>
      <c r="L16" s="176" t="n">
        <f aca="false">IF(INDEX(Salary_Calculation[Source Row],ROW()-ROW(Payslip_Lookup[#Headers]))="","",INDEX(Salary_Calculation[Basic Payment],ROW()-ROW(Payslip_Lookup[#Headers])))</f>
        <v>2000</v>
      </c>
      <c r="M16" s="176" t="n">
        <f aca="false">IF(INDEX(Salary_Calculation[Source Row],ROW()-ROW(Payslip_Lookup[#Headers]))="","",INDEX(Salary_Calculation[Earned Salary],ROW()-ROW(Payslip_Lookup[#Headers])))</f>
        <v>2066.66666666667</v>
      </c>
      <c r="N16" s="174" t="n">
        <f aca="false">IF(INDEX(Salary_Calculation[Source Row],ROW()-ROW(Payslip_Lookup[#Headers]))="","",INDEX(Salary_Calculation[Orders Counted at Base Rate],ROW()-ROW(Payslip_Lookup[#Headers])))</f>
        <v>465</v>
      </c>
      <c r="O16" s="174" t="n">
        <f aca="false">IF(INDEX(Salary_Calculation[Source Row],ROW()-ROW(Payslip_Lookup[#Headers]))="","",INDEX(Salary_Calculation[Missing Orders],ROW()-ROW(Payslip_Lookup[#Headers])))</f>
        <v>0</v>
      </c>
      <c r="P16" s="176" t="n">
        <f aca="false">IF(INDEX(Salary_Calculation[Source Row],ROW()-ROW(Payslip_Lookup[#Headers]))="","",INDEX(Salary_Calculation[Missing-Order Deduction],ROW()-ROW(Payslip_Lookup[#Headers])))</f>
        <v>0</v>
      </c>
      <c r="Q16" s="174" t="n">
        <f aca="false">IF(INDEX(Salary_Calculation[Source Row],ROW()-ROW(Payslip_Lookup[#Headers]))="","",INDEX(Salary_Calculation[Extra Orders],ROW()-ROW(Payslip_Lookup[#Headers])))</f>
        <v>11</v>
      </c>
      <c r="R16" s="176" t="n">
        <f aca="false">IF(INDEX(Salary_Calculation[Source Row],ROW()-ROW(Payslip_Lookup[#Headers]))="","",INDEX(Salary_Calculation[Extra-Order Bonus],ROW()-ROW(Payslip_Lookup[#Headers])))</f>
        <v>110</v>
      </c>
      <c r="S16" s="176" t="n">
        <f aca="false">IF(INDEX(Salary_Calculation[Source Row],ROW()-ROW(Payslip_Lookup[#Headers]))="","",INDEX(Salary_Calculation[Basic Salary for Target],ROW()-ROW(Payslip_Lookup[#Headers])))</f>
        <v>2066.66666666667</v>
      </c>
      <c r="T16" s="176" t="n">
        <f aca="false">IF(INDEX(Salary_Calculation[Source Row],ROW()-ROW(Payslip_Lookup[#Headers]))="","",INDEX(Salary_Calculation[Gross Salary Before Deductions],ROW()-ROW(Payslip_Lookup[#Headers])))</f>
        <v>2176.66666666667</v>
      </c>
      <c r="U16" s="176" t="n">
        <f aca="false">IF(INDEX(Salary_Calculation[Source Row],ROW()-ROW(Payslip_Lookup[#Headers]))="","",INDEX(Salary_Calculation[missed_days_penalty],ROW()-ROW(Payslip_Lookup[#Headers])))</f>
        <v>0</v>
      </c>
      <c r="V16" s="176" t="n">
        <f aca="false">IF(INDEX(Salary_Calculation[Source Row],ROW()-ROW(Payslip_Lookup[#Headers]))="","",INDEX(Salary_Calculation[Rider Balance],ROW()-ROW(Payslip_Lookup[#Headers])))</f>
        <v>240.4</v>
      </c>
      <c r="W16" s="176" t="n">
        <f aca="false">IF(INDEX(Salary_Calculation[Source Row],ROW()-ROW(Payslip_Lookup[#Headers]))="","",INDEX(Salary_Calculation[stacking_deduction],ROW()-ROW(Payslip_Lookup[#Headers])))</f>
        <v>88</v>
      </c>
      <c r="X16" s="176" t="n">
        <f aca="false">IF(INDEX(Salary_Calculation[Source Row],ROW()-ROW(Payslip_Lookup[#Headers]))="","",INDEX(Salary_Calculation[Other Deductions],ROW()-ROW(Payslip_Lookup[#Headers])))</f>
        <v>0</v>
      </c>
      <c r="Y16" s="176" t="n">
        <f aca="false">IF(INDEX(Salary_Calculation[Source Row],ROW()-ROW(Payslip_Lookup[#Headers]))="","",INDEX(Salary_Calculation[Total Deductions],ROW()-ROW(Payslip_Lookup[#Headers])))</f>
        <v>328.4</v>
      </c>
      <c r="Z16" s="176" t="n">
        <f aca="false">IF(INDEX(Salary_Calculation[Source Row],ROW()-ROW(Payslip_Lookup[#Headers]))="","",INDEX(Salary_Calculation[Final Salary],ROW()-ROW(Payslip_Lookup[#Headers])))</f>
        <v>1848.27</v>
      </c>
      <c r="AA16" s="176" t="n">
        <f aca="false">IF(INDEX(Salary_Calculation[Source Row],ROW()-ROW(Payslip_Lookup[#Headers]))="","",INDEX(Salary_Calculation[Negative Balance / Amount Due from Rider],ROW()-ROW(Payslip_Lookup[#Headers])))</f>
        <v>0</v>
      </c>
      <c r="AB16" s="176" t="n">
        <f aca="false">IF(INDEX(Salary_Calculation[Source Row],ROW()-ROW(Payslip_Lookup[#Headers]))="","",INDEX(Salary_Calculation[Total Amount Due from Rider],ROW()-ROW(Payslip_Lookup[#Headers])))</f>
        <v>0</v>
      </c>
      <c r="AC16" s="176" t="n">
        <f aca="false">IF(INDEX(Salary_Calculation[Source Row],ROW()-ROW(Payslip_Lookup[#Headers]))="","",INDEX(Salary_Calculation[Salary Before Other Deductions],ROW()-ROW(Payslip_Lookup[#Headers])))</f>
        <v>2176.66666666667</v>
      </c>
      <c r="AD16" s="171" t="str">
        <f aca="false">IF(INDEX(Salary_Calculation[Source Row],ROW()-ROW(Payslip_Lookup[#Headers]))="","",INDEX(Salary_Calculation[Payment Status],ROW()-ROW(Payslip_Lookup[#Headers])))</f>
        <v>Paid After Deductions</v>
      </c>
      <c r="AE16" s="171" t="str">
        <f aca="false">IF(INDEX(Salary_Calculation[Source Row],ROW()-ROW(Payslip_Lookup[#Headers]))="","",INDEX(Salary_Calculation[Notes],ROW()-ROW(Payslip_Lookup[#Headers])))</f>
        <v/>
      </c>
      <c r="AF16" s="171" t="str">
        <f aca="false">IF(INDEX(Salary_Calculation[Source Row],ROW()-ROW(Payslip_Lookup[#Headers]))="","",INDEX(Salary_Calculation[Exception Reason],ROW()-ROW(Payslip_Lookup[#Headers])))</f>
        <v/>
      </c>
      <c r="AG16" s="173" t="str">
        <f aca="false">IF($AD16="Review Required",COUNTIF(AD$2:AD16,"Review Required"),"")</f>
        <v/>
      </c>
      <c r="AH16" s="173" t="n">
        <f aca="false">IF(AND($D16&lt;&gt;"",$B16=Payslip_Print!$C$2),MAX(AH$1:AH15)+1,"")</f>
        <v>15</v>
      </c>
      <c r="AJ16" s="177" t="str">
        <f aca="false">IF(AJ15="","",IFERROR(SMALL(Payslip_Lookup[Month Key],COUNTIF(Payslip_Lookup[Month Key],"&lt;="&amp;AJ15)+1),""))</f>
        <v/>
      </c>
      <c r="AK16" s="177" t="str">
        <f aca="false">IF(AJ15="","",AJ15)</f>
        <v/>
      </c>
      <c r="AL16" s="178" t="n">
        <f aca="false">IFERROR(INDEX($D$2:$D$501,MATCH(ROW()-1,$AH$2:$AH$501,0)),"")</f>
        <v>4611383</v>
      </c>
      <c r="AM16" s="179" t="n">
        <f aca="false">IF($Z16="","",IF(AND($C16&gt;=Dash_Start,$C16&lt;Dash_End),$Z16+ROW()/10000000,""))</f>
        <v>1848.2700016</v>
      </c>
    </row>
    <row r="17" customFormat="false" ht="14.25" hidden="false" customHeight="false" outlineLevel="0" collapsed="false">
      <c r="A17" s="171" t="str">
        <f aca="false">IF(Payslip_Lookup[[#This Row],[Rider ID]]="","",Payslip_Lookup[[#This Row],[Rider ID]]&amp;"|"&amp;Payslip_Lookup[[#This Row],[Month Key]])</f>
        <v/>
      </c>
      <c r="B17" s="172" t="str">
        <f aca="false">IF(ISNUMBER(Payslip_Lookup[[#This Row],[Salary Month]]),DATE(YEAR(Payslip_Lookup[[#This Row],[Salary Month]]),MONTH(Payslip_Lookup[[#This Row],[Salary Month]]),1),"")</f>
        <v/>
      </c>
      <c r="C17" s="172" t="str">
        <f aca="false">IF(INDEX(Salary_Calculation[Source Row],ROW()-ROW(Payslip_Lookup[#Headers]))="","",INDEX(Salary_Calculation[Salary Month],ROW()-ROW(Payslip_Lookup[#Headers])))</f>
        <v/>
      </c>
      <c r="D17" s="173" t="str">
        <f aca="false">IF(INDEX(Salary_Calculation[Source Row],ROW()-ROW(Payslip_Lookup[#Headers]))="","",INDEX(Salary_Calculation[Rider ID],ROW()-ROW(Payslip_Lookup[#Headers])))</f>
        <v/>
      </c>
      <c r="E17" s="171" t="str">
        <f aca="false">IF(INDEX(Salary_Calculation[Source Row],ROW()-ROW(Payslip_Lookup[#Headers]))="","",INDEX(Salary_Calculation[Rider Name],ROW()-ROW(Payslip_Lookup[#Headers])))</f>
        <v/>
      </c>
      <c r="F17" s="173" t="str">
        <f aca="false">IF(INDEX(Salary_Calculation[Source Row],ROW()-ROW(Payslip_Lookup[#Headers]))="","",INDEX(Salary_Calculation[Working Days],ROW()-ROW(Payslip_Lookup[#Headers])))</f>
        <v/>
      </c>
      <c r="G17" s="173" t="str">
        <f aca="false">IF(INDEX(Salary_Calculation[Source Row],ROW()-ROW(Payslip_Lookup[#Headers]))="","",INDEX(Salary_Calculation[Calendar Days],ROW()-ROW(Payslip_Lookup[#Headers])))</f>
        <v/>
      </c>
      <c r="H17" s="174" t="str">
        <f aca="false">IF(INDEX(Salary_Calculation[Source Row],ROW()-ROW(Payslip_Lookup[#Headers]))="","",INDEX(Salary_Calculation[Monthly Target Orders],ROW()-ROW(Payslip_Lookup[#Headers])))</f>
        <v/>
      </c>
      <c r="I17" s="174" t="str">
        <f aca="false">IF(INDEX(Salary_Calculation[Source Row],ROW()-ROW(Payslip_Lookup[#Headers]))="","",INDEX(Salary_Calculation[Rider Target Orders],ROW()-ROW(Payslip_Lookup[#Headers])))</f>
        <v/>
      </c>
      <c r="J17" s="175" t="str">
        <f aca="false">IF(INDEX(Salary_Calculation[Source Row],ROW()-ROW(Payslip_Lookup[#Headers]))="","",INDEX(Salary_Calculation[Completed Orders],ROW()-ROW(Payslip_Lookup[#Headers])))</f>
        <v/>
      </c>
      <c r="K17" s="174" t="str">
        <f aca="false">IF(INDEX(Salary_Calculation[Source Row],ROW()-ROW(Payslip_Lookup[#Headers]))="","",INDEX(Salary_Calculation[Base Order Rate],ROW()-ROW(Payslip_Lookup[#Headers])))</f>
        <v/>
      </c>
      <c r="L17" s="176" t="str">
        <f aca="false">IF(INDEX(Salary_Calculation[Source Row],ROW()-ROW(Payslip_Lookup[#Headers]))="","",INDEX(Salary_Calculation[Basic Payment],ROW()-ROW(Payslip_Lookup[#Headers])))</f>
        <v/>
      </c>
      <c r="M17" s="176" t="str">
        <f aca="false">IF(INDEX(Salary_Calculation[Source Row],ROW()-ROW(Payslip_Lookup[#Headers]))="","",INDEX(Salary_Calculation[Earned Salary],ROW()-ROW(Payslip_Lookup[#Headers])))</f>
        <v/>
      </c>
      <c r="N17" s="174" t="str">
        <f aca="false">IF(INDEX(Salary_Calculation[Source Row],ROW()-ROW(Payslip_Lookup[#Headers]))="","",INDEX(Salary_Calculation[Orders Counted at Base Rate],ROW()-ROW(Payslip_Lookup[#Headers])))</f>
        <v/>
      </c>
      <c r="O17" s="174" t="str">
        <f aca="false">IF(INDEX(Salary_Calculation[Source Row],ROW()-ROW(Payslip_Lookup[#Headers]))="","",INDEX(Salary_Calculation[Missing Orders],ROW()-ROW(Payslip_Lookup[#Headers])))</f>
        <v/>
      </c>
      <c r="P17" s="176" t="str">
        <f aca="false">IF(INDEX(Salary_Calculation[Source Row],ROW()-ROW(Payslip_Lookup[#Headers]))="","",INDEX(Salary_Calculation[Missing-Order Deduction],ROW()-ROW(Payslip_Lookup[#Headers])))</f>
        <v/>
      </c>
      <c r="Q17" s="174" t="str">
        <f aca="false">IF(INDEX(Salary_Calculation[Source Row],ROW()-ROW(Payslip_Lookup[#Headers]))="","",INDEX(Salary_Calculation[Extra Orders],ROW()-ROW(Payslip_Lookup[#Headers])))</f>
        <v/>
      </c>
      <c r="R17" s="176" t="str">
        <f aca="false">IF(INDEX(Salary_Calculation[Source Row],ROW()-ROW(Payslip_Lookup[#Headers]))="","",INDEX(Salary_Calculation[Extra-Order Bonus],ROW()-ROW(Payslip_Lookup[#Headers])))</f>
        <v/>
      </c>
      <c r="S17" s="176" t="str">
        <f aca="false">IF(INDEX(Salary_Calculation[Source Row],ROW()-ROW(Payslip_Lookup[#Headers]))="","",INDEX(Salary_Calculation[Basic Salary for Target],ROW()-ROW(Payslip_Lookup[#Headers])))</f>
        <v/>
      </c>
      <c r="T17" s="176" t="str">
        <f aca="false">IF(INDEX(Salary_Calculation[Source Row],ROW()-ROW(Payslip_Lookup[#Headers]))="","",INDEX(Salary_Calculation[Gross Salary Before Deductions],ROW()-ROW(Payslip_Lookup[#Headers])))</f>
        <v/>
      </c>
      <c r="U17" s="176" t="str">
        <f aca="false">IF(INDEX(Salary_Calculation[Source Row],ROW()-ROW(Payslip_Lookup[#Headers]))="","",INDEX(Salary_Calculation[missed_days_penalty],ROW()-ROW(Payslip_Lookup[#Headers])))</f>
        <v/>
      </c>
      <c r="V17" s="176" t="str">
        <f aca="false">IF(INDEX(Salary_Calculation[Source Row],ROW()-ROW(Payslip_Lookup[#Headers]))="","",INDEX(Salary_Calculation[Rider Balance],ROW()-ROW(Payslip_Lookup[#Headers])))</f>
        <v/>
      </c>
      <c r="W17" s="176" t="str">
        <f aca="false">IF(INDEX(Salary_Calculation[Source Row],ROW()-ROW(Payslip_Lookup[#Headers]))="","",INDEX(Salary_Calculation[stacking_deduction],ROW()-ROW(Payslip_Lookup[#Headers])))</f>
        <v/>
      </c>
      <c r="X17" s="176" t="str">
        <f aca="false">IF(INDEX(Salary_Calculation[Source Row],ROW()-ROW(Payslip_Lookup[#Headers]))="","",INDEX(Salary_Calculation[Other Deductions],ROW()-ROW(Payslip_Lookup[#Headers])))</f>
        <v/>
      </c>
      <c r="Y17" s="176" t="str">
        <f aca="false">IF(INDEX(Salary_Calculation[Source Row],ROW()-ROW(Payslip_Lookup[#Headers]))="","",INDEX(Salary_Calculation[Total Deductions],ROW()-ROW(Payslip_Lookup[#Headers])))</f>
        <v/>
      </c>
      <c r="Z17" s="176" t="str">
        <f aca="false">IF(INDEX(Salary_Calculation[Source Row],ROW()-ROW(Payslip_Lookup[#Headers]))="","",INDEX(Salary_Calculation[Final Salary],ROW()-ROW(Payslip_Lookup[#Headers])))</f>
        <v/>
      </c>
      <c r="AA17" s="176" t="str">
        <f aca="false">IF(INDEX(Salary_Calculation[Source Row],ROW()-ROW(Payslip_Lookup[#Headers]))="","",INDEX(Salary_Calculation[Negative Balance / Amount Due from Rider],ROW()-ROW(Payslip_Lookup[#Headers])))</f>
        <v/>
      </c>
      <c r="AB17" s="176" t="str">
        <f aca="false">IF(INDEX(Salary_Calculation[Source Row],ROW()-ROW(Payslip_Lookup[#Headers]))="","",INDEX(Salary_Calculation[Total Amount Due from Rider],ROW()-ROW(Payslip_Lookup[#Headers])))</f>
        <v/>
      </c>
      <c r="AC17" s="176" t="str">
        <f aca="false">IF(INDEX(Salary_Calculation[Source Row],ROW()-ROW(Payslip_Lookup[#Headers]))="","",INDEX(Salary_Calculation[Salary Before Other Deductions],ROW()-ROW(Payslip_Lookup[#Headers])))</f>
        <v/>
      </c>
      <c r="AD17" s="171" t="str">
        <f aca="false">IF(INDEX(Salary_Calculation[Source Row],ROW()-ROW(Payslip_Lookup[#Headers]))="","",INDEX(Salary_Calculation[Payment Status],ROW()-ROW(Payslip_Lookup[#Headers])))</f>
        <v/>
      </c>
      <c r="AE17" s="171" t="str">
        <f aca="false">IF(INDEX(Salary_Calculation[Source Row],ROW()-ROW(Payslip_Lookup[#Headers]))="","",INDEX(Salary_Calculation[Notes],ROW()-ROW(Payslip_Lookup[#Headers])))</f>
        <v/>
      </c>
      <c r="AF17" s="171" t="str">
        <f aca="false">IF(INDEX(Salary_Calculation[Source Row],ROW()-ROW(Payslip_Lookup[#Headers]))="","",INDEX(Salary_Calculation[Exception Reason],ROW()-ROW(Payslip_Lookup[#Headers])))</f>
        <v/>
      </c>
      <c r="AG17" s="173" t="str">
        <f aca="false">IF($AD17="Review Required",COUNTIF(AD$2:AD17,"Review Required"),"")</f>
        <v/>
      </c>
      <c r="AH17" s="173" t="str">
        <f aca="false">IF(AND($D17&lt;&gt;"",$B17=Payslip_Print!$C$2),MAX(AH$1:AH16)+1,"")</f>
        <v/>
      </c>
      <c r="AJ17" s="177" t="str">
        <f aca="false">IF(AJ16="","",IFERROR(SMALL(Payslip_Lookup[Month Key],COUNTIF(Payslip_Lookup[Month Key],"&lt;="&amp;AJ16)+1),""))</f>
        <v/>
      </c>
      <c r="AK17" s="177" t="str">
        <f aca="false">IF(AJ16="","",AJ16)</f>
        <v/>
      </c>
      <c r="AL17" s="178" t="str">
        <f aca="false">IFERROR(INDEX($D$2:$D$501,MATCH(ROW()-1,$AH$2:$AH$501,0)),"")</f>
        <v/>
      </c>
      <c r="AM17" s="179" t="str">
        <f aca="false">IF($Z17="","",IF(AND($C17&gt;=Dash_Start,$C17&lt;Dash_End),$Z17+ROW()/10000000,""))</f>
        <v/>
      </c>
    </row>
    <row r="18" customFormat="false" ht="14.25" hidden="false" customHeight="false" outlineLevel="0" collapsed="false">
      <c r="A18" s="171" t="str">
        <f aca="false">IF(Payslip_Lookup[[#This Row],[Rider ID]]="","",Payslip_Lookup[[#This Row],[Rider ID]]&amp;"|"&amp;Payslip_Lookup[[#This Row],[Month Key]])</f>
        <v/>
      </c>
      <c r="B18" s="172" t="str">
        <f aca="false">IF(ISNUMBER(Payslip_Lookup[[#This Row],[Salary Month]]),DATE(YEAR(Payslip_Lookup[[#This Row],[Salary Month]]),MONTH(Payslip_Lookup[[#This Row],[Salary Month]]),1),"")</f>
        <v/>
      </c>
      <c r="C18" s="172" t="str">
        <f aca="false">IF(INDEX(Salary_Calculation[Source Row],ROW()-ROW(Payslip_Lookup[#Headers]))="","",INDEX(Salary_Calculation[Salary Month],ROW()-ROW(Payslip_Lookup[#Headers])))</f>
        <v/>
      </c>
      <c r="D18" s="173" t="str">
        <f aca="false">IF(INDEX(Salary_Calculation[Source Row],ROW()-ROW(Payslip_Lookup[#Headers]))="","",INDEX(Salary_Calculation[Rider ID],ROW()-ROW(Payslip_Lookup[#Headers])))</f>
        <v/>
      </c>
      <c r="E18" s="171" t="str">
        <f aca="false">IF(INDEX(Salary_Calculation[Source Row],ROW()-ROW(Payslip_Lookup[#Headers]))="","",INDEX(Salary_Calculation[Rider Name],ROW()-ROW(Payslip_Lookup[#Headers])))</f>
        <v/>
      </c>
      <c r="F18" s="173" t="str">
        <f aca="false">IF(INDEX(Salary_Calculation[Source Row],ROW()-ROW(Payslip_Lookup[#Headers]))="","",INDEX(Salary_Calculation[Working Days],ROW()-ROW(Payslip_Lookup[#Headers])))</f>
        <v/>
      </c>
      <c r="G18" s="173" t="str">
        <f aca="false">IF(INDEX(Salary_Calculation[Source Row],ROW()-ROW(Payslip_Lookup[#Headers]))="","",INDEX(Salary_Calculation[Calendar Days],ROW()-ROW(Payslip_Lookup[#Headers])))</f>
        <v/>
      </c>
      <c r="H18" s="174" t="str">
        <f aca="false">IF(INDEX(Salary_Calculation[Source Row],ROW()-ROW(Payslip_Lookup[#Headers]))="","",INDEX(Salary_Calculation[Monthly Target Orders],ROW()-ROW(Payslip_Lookup[#Headers])))</f>
        <v/>
      </c>
      <c r="I18" s="174" t="str">
        <f aca="false">IF(INDEX(Salary_Calculation[Source Row],ROW()-ROW(Payslip_Lookup[#Headers]))="","",INDEX(Salary_Calculation[Rider Target Orders],ROW()-ROW(Payslip_Lookup[#Headers])))</f>
        <v/>
      </c>
      <c r="J18" s="175" t="str">
        <f aca="false">IF(INDEX(Salary_Calculation[Source Row],ROW()-ROW(Payslip_Lookup[#Headers]))="","",INDEX(Salary_Calculation[Completed Orders],ROW()-ROW(Payslip_Lookup[#Headers])))</f>
        <v/>
      </c>
      <c r="K18" s="174" t="str">
        <f aca="false">IF(INDEX(Salary_Calculation[Source Row],ROW()-ROW(Payslip_Lookup[#Headers]))="","",INDEX(Salary_Calculation[Base Order Rate],ROW()-ROW(Payslip_Lookup[#Headers])))</f>
        <v/>
      </c>
      <c r="L18" s="176" t="str">
        <f aca="false">IF(INDEX(Salary_Calculation[Source Row],ROW()-ROW(Payslip_Lookup[#Headers]))="","",INDEX(Salary_Calculation[Basic Payment],ROW()-ROW(Payslip_Lookup[#Headers])))</f>
        <v/>
      </c>
      <c r="M18" s="176" t="str">
        <f aca="false">IF(INDEX(Salary_Calculation[Source Row],ROW()-ROW(Payslip_Lookup[#Headers]))="","",INDEX(Salary_Calculation[Earned Salary],ROW()-ROW(Payslip_Lookup[#Headers])))</f>
        <v/>
      </c>
      <c r="N18" s="174" t="str">
        <f aca="false">IF(INDEX(Salary_Calculation[Source Row],ROW()-ROW(Payslip_Lookup[#Headers]))="","",INDEX(Salary_Calculation[Orders Counted at Base Rate],ROW()-ROW(Payslip_Lookup[#Headers])))</f>
        <v/>
      </c>
      <c r="O18" s="174" t="str">
        <f aca="false">IF(INDEX(Salary_Calculation[Source Row],ROW()-ROW(Payslip_Lookup[#Headers]))="","",INDEX(Salary_Calculation[Missing Orders],ROW()-ROW(Payslip_Lookup[#Headers])))</f>
        <v/>
      </c>
      <c r="P18" s="176" t="str">
        <f aca="false">IF(INDEX(Salary_Calculation[Source Row],ROW()-ROW(Payslip_Lookup[#Headers]))="","",INDEX(Salary_Calculation[Missing-Order Deduction],ROW()-ROW(Payslip_Lookup[#Headers])))</f>
        <v/>
      </c>
      <c r="Q18" s="174" t="str">
        <f aca="false">IF(INDEX(Salary_Calculation[Source Row],ROW()-ROW(Payslip_Lookup[#Headers]))="","",INDEX(Salary_Calculation[Extra Orders],ROW()-ROW(Payslip_Lookup[#Headers])))</f>
        <v/>
      </c>
      <c r="R18" s="176" t="str">
        <f aca="false">IF(INDEX(Salary_Calculation[Source Row],ROW()-ROW(Payslip_Lookup[#Headers]))="","",INDEX(Salary_Calculation[Extra-Order Bonus],ROW()-ROW(Payslip_Lookup[#Headers])))</f>
        <v/>
      </c>
      <c r="S18" s="176" t="str">
        <f aca="false">IF(INDEX(Salary_Calculation[Source Row],ROW()-ROW(Payslip_Lookup[#Headers]))="","",INDEX(Salary_Calculation[Basic Salary for Target],ROW()-ROW(Payslip_Lookup[#Headers])))</f>
        <v/>
      </c>
      <c r="T18" s="176" t="str">
        <f aca="false">IF(INDEX(Salary_Calculation[Source Row],ROW()-ROW(Payslip_Lookup[#Headers]))="","",INDEX(Salary_Calculation[Gross Salary Before Deductions],ROW()-ROW(Payslip_Lookup[#Headers])))</f>
        <v/>
      </c>
      <c r="U18" s="176" t="str">
        <f aca="false">IF(INDEX(Salary_Calculation[Source Row],ROW()-ROW(Payslip_Lookup[#Headers]))="","",INDEX(Salary_Calculation[missed_days_penalty],ROW()-ROW(Payslip_Lookup[#Headers])))</f>
        <v/>
      </c>
      <c r="V18" s="176" t="str">
        <f aca="false">IF(INDEX(Salary_Calculation[Source Row],ROW()-ROW(Payslip_Lookup[#Headers]))="","",INDEX(Salary_Calculation[Rider Balance],ROW()-ROW(Payslip_Lookup[#Headers])))</f>
        <v/>
      </c>
      <c r="W18" s="176" t="str">
        <f aca="false">IF(INDEX(Salary_Calculation[Source Row],ROW()-ROW(Payslip_Lookup[#Headers]))="","",INDEX(Salary_Calculation[stacking_deduction],ROW()-ROW(Payslip_Lookup[#Headers])))</f>
        <v/>
      </c>
      <c r="X18" s="176" t="str">
        <f aca="false">IF(INDEX(Salary_Calculation[Source Row],ROW()-ROW(Payslip_Lookup[#Headers]))="","",INDEX(Salary_Calculation[Other Deductions],ROW()-ROW(Payslip_Lookup[#Headers])))</f>
        <v/>
      </c>
      <c r="Y18" s="176" t="str">
        <f aca="false">IF(INDEX(Salary_Calculation[Source Row],ROW()-ROW(Payslip_Lookup[#Headers]))="","",INDEX(Salary_Calculation[Total Deductions],ROW()-ROW(Payslip_Lookup[#Headers])))</f>
        <v/>
      </c>
      <c r="Z18" s="176" t="str">
        <f aca="false">IF(INDEX(Salary_Calculation[Source Row],ROW()-ROW(Payslip_Lookup[#Headers]))="","",INDEX(Salary_Calculation[Final Salary],ROW()-ROW(Payslip_Lookup[#Headers])))</f>
        <v/>
      </c>
      <c r="AA18" s="176" t="str">
        <f aca="false">IF(INDEX(Salary_Calculation[Source Row],ROW()-ROW(Payslip_Lookup[#Headers]))="","",INDEX(Salary_Calculation[Negative Balance / Amount Due from Rider],ROW()-ROW(Payslip_Lookup[#Headers])))</f>
        <v/>
      </c>
      <c r="AB18" s="176" t="str">
        <f aca="false">IF(INDEX(Salary_Calculation[Source Row],ROW()-ROW(Payslip_Lookup[#Headers]))="","",INDEX(Salary_Calculation[Total Amount Due from Rider],ROW()-ROW(Payslip_Lookup[#Headers])))</f>
        <v/>
      </c>
      <c r="AC18" s="176" t="str">
        <f aca="false">IF(INDEX(Salary_Calculation[Source Row],ROW()-ROW(Payslip_Lookup[#Headers]))="","",INDEX(Salary_Calculation[Salary Before Other Deductions],ROW()-ROW(Payslip_Lookup[#Headers])))</f>
        <v/>
      </c>
      <c r="AD18" s="171" t="str">
        <f aca="false">IF(INDEX(Salary_Calculation[Source Row],ROW()-ROW(Payslip_Lookup[#Headers]))="","",INDEX(Salary_Calculation[Payment Status],ROW()-ROW(Payslip_Lookup[#Headers])))</f>
        <v/>
      </c>
      <c r="AE18" s="171" t="str">
        <f aca="false">IF(INDEX(Salary_Calculation[Source Row],ROW()-ROW(Payslip_Lookup[#Headers]))="","",INDEX(Salary_Calculation[Notes],ROW()-ROW(Payslip_Lookup[#Headers])))</f>
        <v/>
      </c>
      <c r="AF18" s="171" t="str">
        <f aca="false">IF(INDEX(Salary_Calculation[Source Row],ROW()-ROW(Payslip_Lookup[#Headers]))="","",INDEX(Salary_Calculation[Exception Reason],ROW()-ROW(Payslip_Lookup[#Headers])))</f>
        <v/>
      </c>
      <c r="AG18" s="173" t="str">
        <f aca="false">IF($AD18="Review Required",COUNTIF(AD$2:AD18,"Review Required"),"")</f>
        <v/>
      </c>
      <c r="AH18" s="173" t="str">
        <f aca="false">IF(AND($D18&lt;&gt;"",$B18=Payslip_Print!$C$2),MAX(AH$1:AH17)+1,"")</f>
        <v/>
      </c>
      <c r="AJ18" s="177" t="str">
        <f aca="false">IF(AJ17="","",IFERROR(SMALL(Payslip_Lookup[Month Key],COUNTIF(Payslip_Lookup[Month Key],"&lt;="&amp;AJ17)+1),""))</f>
        <v/>
      </c>
      <c r="AK18" s="177" t="str">
        <f aca="false">IF(AJ17="","",AJ17)</f>
        <v/>
      </c>
      <c r="AL18" s="178" t="str">
        <f aca="false">IFERROR(INDEX($D$2:$D$501,MATCH(ROW()-1,$AH$2:$AH$501,0)),"")</f>
        <v/>
      </c>
      <c r="AM18" s="179" t="str">
        <f aca="false">IF($Z18="","",IF(AND($C18&gt;=Dash_Start,$C18&lt;Dash_End),$Z18+ROW()/10000000,""))</f>
        <v/>
      </c>
    </row>
    <row r="19" customFormat="false" ht="14.25" hidden="false" customHeight="false" outlineLevel="0" collapsed="false">
      <c r="A19" s="171" t="str">
        <f aca="false">IF(Payslip_Lookup[[#This Row],[Rider ID]]="","",Payslip_Lookup[[#This Row],[Rider ID]]&amp;"|"&amp;Payslip_Lookup[[#This Row],[Month Key]])</f>
        <v/>
      </c>
      <c r="B19" s="172" t="str">
        <f aca="false">IF(ISNUMBER(Payslip_Lookup[[#This Row],[Salary Month]]),DATE(YEAR(Payslip_Lookup[[#This Row],[Salary Month]]),MONTH(Payslip_Lookup[[#This Row],[Salary Month]]),1),"")</f>
        <v/>
      </c>
      <c r="C19" s="172" t="str">
        <f aca="false">IF(INDEX(Salary_Calculation[Source Row],ROW()-ROW(Payslip_Lookup[#Headers]))="","",INDEX(Salary_Calculation[Salary Month],ROW()-ROW(Payslip_Lookup[#Headers])))</f>
        <v/>
      </c>
      <c r="D19" s="173" t="str">
        <f aca="false">IF(INDEX(Salary_Calculation[Source Row],ROW()-ROW(Payslip_Lookup[#Headers]))="","",INDEX(Salary_Calculation[Rider ID],ROW()-ROW(Payslip_Lookup[#Headers])))</f>
        <v/>
      </c>
      <c r="E19" s="171" t="str">
        <f aca="false">IF(INDEX(Salary_Calculation[Source Row],ROW()-ROW(Payslip_Lookup[#Headers]))="","",INDEX(Salary_Calculation[Rider Name],ROW()-ROW(Payslip_Lookup[#Headers])))</f>
        <v/>
      </c>
      <c r="F19" s="173" t="str">
        <f aca="false">IF(INDEX(Salary_Calculation[Source Row],ROW()-ROW(Payslip_Lookup[#Headers]))="","",INDEX(Salary_Calculation[Working Days],ROW()-ROW(Payslip_Lookup[#Headers])))</f>
        <v/>
      </c>
      <c r="G19" s="173" t="str">
        <f aca="false">IF(INDEX(Salary_Calculation[Source Row],ROW()-ROW(Payslip_Lookup[#Headers]))="","",INDEX(Salary_Calculation[Calendar Days],ROW()-ROW(Payslip_Lookup[#Headers])))</f>
        <v/>
      </c>
      <c r="H19" s="174" t="str">
        <f aca="false">IF(INDEX(Salary_Calculation[Source Row],ROW()-ROW(Payslip_Lookup[#Headers]))="","",INDEX(Salary_Calculation[Monthly Target Orders],ROW()-ROW(Payslip_Lookup[#Headers])))</f>
        <v/>
      </c>
      <c r="I19" s="174" t="str">
        <f aca="false">IF(INDEX(Salary_Calculation[Source Row],ROW()-ROW(Payslip_Lookup[#Headers]))="","",INDEX(Salary_Calculation[Rider Target Orders],ROW()-ROW(Payslip_Lookup[#Headers])))</f>
        <v/>
      </c>
      <c r="J19" s="175" t="str">
        <f aca="false">IF(INDEX(Salary_Calculation[Source Row],ROW()-ROW(Payslip_Lookup[#Headers]))="","",INDEX(Salary_Calculation[Completed Orders],ROW()-ROW(Payslip_Lookup[#Headers])))</f>
        <v/>
      </c>
      <c r="K19" s="174" t="str">
        <f aca="false">IF(INDEX(Salary_Calculation[Source Row],ROW()-ROW(Payslip_Lookup[#Headers]))="","",INDEX(Salary_Calculation[Base Order Rate],ROW()-ROW(Payslip_Lookup[#Headers])))</f>
        <v/>
      </c>
      <c r="L19" s="176" t="str">
        <f aca="false">IF(INDEX(Salary_Calculation[Source Row],ROW()-ROW(Payslip_Lookup[#Headers]))="","",INDEX(Salary_Calculation[Basic Payment],ROW()-ROW(Payslip_Lookup[#Headers])))</f>
        <v/>
      </c>
      <c r="M19" s="176" t="str">
        <f aca="false">IF(INDEX(Salary_Calculation[Source Row],ROW()-ROW(Payslip_Lookup[#Headers]))="","",INDEX(Salary_Calculation[Earned Salary],ROW()-ROW(Payslip_Lookup[#Headers])))</f>
        <v/>
      </c>
      <c r="N19" s="174" t="str">
        <f aca="false">IF(INDEX(Salary_Calculation[Source Row],ROW()-ROW(Payslip_Lookup[#Headers]))="","",INDEX(Salary_Calculation[Orders Counted at Base Rate],ROW()-ROW(Payslip_Lookup[#Headers])))</f>
        <v/>
      </c>
      <c r="O19" s="174" t="str">
        <f aca="false">IF(INDEX(Salary_Calculation[Source Row],ROW()-ROW(Payslip_Lookup[#Headers]))="","",INDEX(Salary_Calculation[Missing Orders],ROW()-ROW(Payslip_Lookup[#Headers])))</f>
        <v/>
      </c>
      <c r="P19" s="176" t="str">
        <f aca="false">IF(INDEX(Salary_Calculation[Source Row],ROW()-ROW(Payslip_Lookup[#Headers]))="","",INDEX(Salary_Calculation[Missing-Order Deduction],ROW()-ROW(Payslip_Lookup[#Headers])))</f>
        <v/>
      </c>
      <c r="Q19" s="174" t="str">
        <f aca="false">IF(INDEX(Salary_Calculation[Source Row],ROW()-ROW(Payslip_Lookup[#Headers]))="","",INDEX(Salary_Calculation[Extra Orders],ROW()-ROW(Payslip_Lookup[#Headers])))</f>
        <v/>
      </c>
      <c r="R19" s="176" t="str">
        <f aca="false">IF(INDEX(Salary_Calculation[Source Row],ROW()-ROW(Payslip_Lookup[#Headers]))="","",INDEX(Salary_Calculation[Extra-Order Bonus],ROW()-ROW(Payslip_Lookup[#Headers])))</f>
        <v/>
      </c>
      <c r="S19" s="176" t="str">
        <f aca="false">IF(INDEX(Salary_Calculation[Source Row],ROW()-ROW(Payslip_Lookup[#Headers]))="","",INDEX(Salary_Calculation[Basic Salary for Target],ROW()-ROW(Payslip_Lookup[#Headers])))</f>
        <v/>
      </c>
      <c r="T19" s="176" t="str">
        <f aca="false">IF(INDEX(Salary_Calculation[Source Row],ROW()-ROW(Payslip_Lookup[#Headers]))="","",INDEX(Salary_Calculation[Gross Salary Before Deductions],ROW()-ROW(Payslip_Lookup[#Headers])))</f>
        <v/>
      </c>
      <c r="U19" s="176" t="str">
        <f aca="false">IF(INDEX(Salary_Calculation[Source Row],ROW()-ROW(Payslip_Lookup[#Headers]))="","",INDEX(Salary_Calculation[missed_days_penalty],ROW()-ROW(Payslip_Lookup[#Headers])))</f>
        <v/>
      </c>
      <c r="V19" s="176" t="str">
        <f aca="false">IF(INDEX(Salary_Calculation[Source Row],ROW()-ROW(Payslip_Lookup[#Headers]))="","",INDEX(Salary_Calculation[Rider Balance],ROW()-ROW(Payslip_Lookup[#Headers])))</f>
        <v/>
      </c>
      <c r="W19" s="176" t="str">
        <f aca="false">IF(INDEX(Salary_Calculation[Source Row],ROW()-ROW(Payslip_Lookup[#Headers]))="","",INDEX(Salary_Calculation[stacking_deduction],ROW()-ROW(Payslip_Lookup[#Headers])))</f>
        <v/>
      </c>
      <c r="X19" s="176" t="str">
        <f aca="false">IF(INDEX(Salary_Calculation[Source Row],ROW()-ROW(Payslip_Lookup[#Headers]))="","",INDEX(Salary_Calculation[Other Deductions],ROW()-ROW(Payslip_Lookup[#Headers])))</f>
        <v/>
      </c>
      <c r="Y19" s="176" t="str">
        <f aca="false">IF(INDEX(Salary_Calculation[Source Row],ROW()-ROW(Payslip_Lookup[#Headers]))="","",INDEX(Salary_Calculation[Total Deductions],ROW()-ROW(Payslip_Lookup[#Headers])))</f>
        <v/>
      </c>
      <c r="Z19" s="176" t="str">
        <f aca="false">IF(INDEX(Salary_Calculation[Source Row],ROW()-ROW(Payslip_Lookup[#Headers]))="","",INDEX(Salary_Calculation[Final Salary],ROW()-ROW(Payslip_Lookup[#Headers])))</f>
        <v/>
      </c>
      <c r="AA19" s="176" t="str">
        <f aca="false">IF(INDEX(Salary_Calculation[Source Row],ROW()-ROW(Payslip_Lookup[#Headers]))="","",INDEX(Salary_Calculation[Negative Balance / Amount Due from Rider],ROW()-ROW(Payslip_Lookup[#Headers])))</f>
        <v/>
      </c>
      <c r="AB19" s="176" t="str">
        <f aca="false">IF(INDEX(Salary_Calculation[Source Row],ROW()-ROW(Payslip_Lookup[#Headers]))="","",INDEX(Salary_Calculation[Total Amount Due from Rider],ROW()-ROW(Payslip_Lookup[#Headers])))</f>
        <v/>
      </c>
      <c r="AC19" s="176" t="str">
        <f aca="false">IF(INDEX(Salary_Calculation[Source Row],ROW()-ROW(Payslip_Lookup[#Headers]))="","",INDEX(Salary_Calculation[Salary Before Other Deductions],ROW()-ROW(Payslip_Lookup[#Headers])))</f>
        <v/>
      </c>
      <c r="AD19" s="171" t="str">
        <f aca="false">IF(INDEX(Salary_Calculation[Source Row],ROW()-ROW(Payslip_Lookup[#Headers]))="","",INDEX(Salary_Calculation[Payment Status],ROW()-ROW(Payslip_Lookup[#Headers])))</f>
        <v/>
      </c>
      <c r="AE19" s="171" t="str">
        <f aca="false">IF(INDEX(Salary_Calculation[Source Row],ROW()-ROW(Payslip_Lookup[#Headers]))="","",INDEX(Salary_Calculation[Notes],ROW()-ROW(Payslip_Lookup[#Headers])))</f>
        <v/>
      </c>
      <c r="AF19" s="171" t="str">
        <f aca="false">IF(INDEX(Salary_Calculation[Source Row],ROW()-ROW(Payslip_Lookup[#Headers]))="","",INDEX(Salary_Calculation[Exception Reason],ROW()-ROW(Payslip_Lookup[#Headers])))</f>
        <v/>
      </c>
      <c r="AG19" s="173" t="str">
        <f aca="false">IF($AD19="Review Required",COUNTIF(AD$2:AD19,"Review Required"),"")</f>
        <v/>
      </c>
      <c r="AH19" s="173" t="str">
        <f aca="false">IF(AND($D19&lt;&gt;"",$B19=Payslip_Print!$C$2),MAX(AH$1:AH18)+1,"")</f>
        <v/>
      </c>
      <c r="AJ19" s="177" t="str">
        <f aca="false">IF(AJ18="","",IFERROR(SMALL(Payslip_Lookup[Month Key],COUNTIF(Payslip_Lookup[Month Key],"&lt;="&amp;AJ18)+1),""))</f>
        <v/>
      </c>
      <c r="AK19" s="177" t="str">
        <f aca="false">IF(AJ18="","",AJ18)</f>
        <v/>
      </c>
      <c r="AL19" s="178" t="str">
        <f aca="false">IFERROR(INDEX($D$2:$D$501,MATCH(ROW()-1,$AH$2:$AH$501,0)),"")</f>
        <v/>
      </c>
      <c r="AM19" s="179" t="str">
        <f aca="false">IF($Z19="","",IF(AND($C19&gt;=Dash_Start,$C19&lt;Dash_End),$Z19+ROW()/10000000,""))</f>
        <v/>
      </c>
    </row>
    <row r="20" customFormat="false" ht="14.25" hidden="false" customHeight="false" outlineLevel="0" collapsed="false">
      <c r="A20" s="171" t="str">
        <f aca="false">IF(Payslip_Lookup[[#This Row],[Rider ID]]="","",Payslip_Lookup[[#This Row],[Rider ID]]&amp;"|"&amp;Payslip_Lookup[[#This Row],[Month Key]])</f>
        <v/>
      </c>
      <c r="B20" s="172" t="str">
        <f aca="false">IF(ISNUMBER(Payslip_Lookup[[#This Row],[Salary Month]]),DATE(YEAR(Payslip_Lookup[[#This Row],[Salary Month]]),MONTH(Payslip_Lookup[[#This Row],[Salary Month]]),1),"")</f>
        <v/>
      </c>
      <c r="C20" s="172" t="str">
        <f aca="false">IF(INDEX(Salary_Calculation[Source Row],ROW()-ROW(Payslip_Lookup[#Headers]))="","",INDEX(Salary_Calculation[Salary Month],ROW()-ROW(Payslip_Lookup[#Headers])))</f>
        <v/>
      </c>
      <c r="D20" s="173" t="str">
        <f aca="false">IF(INDEX(Salary_Calculation[Source Row],ROW()-ROW(Payslip_Lookup[#Headers]))="","",INDEX(Salary_Calculation[Rider ID],ROW()-ROW(Payslip_Lookup[#Headers])))</f>
        <v/>
      </c>
      <c r="E20" s="171" t="str">
        <f aca="false">IF(INDEX(Salary_Calculation[Source Row],ROW()-ROW(Payslip_Lookup[#Headers]))="","",INDEX(Salary_Calculation[Rider Name],ROW()-ROW(Payslip_Lookup[#Headers])))</f>
        <v/>
      </c>
      <c r="F20" s="173" t="str">
        <f aca="false">IF(INDEX(Salary_Calculation[Source Row],ROW()-ROW(Payslip_Lookup[#Headers]))="","",INDEX(Salary_Calculation[Working Days],ROW()-ROW(Payslip_Lookup[#Headers])))</f>
        <v/>
      </c>
      <c r="G20" s="173" t="str">
        <f aca="false">IF(INDEX(Salary_Calculation[Source Row],ROW()-ROW(Payslip_Lookup[#Headers]))="","",INDEX(Salary_Calculation[Calendar Days],ROW()-ROW(Payslip_Lookup[#Headers])))</f>
        <v/>
      </c>
      <c r="H20" s="174" t="str">
        <f aca="false">IF(INDEX(Salary_Calculation[Source Row],ROW()-ROW(Payslip_Lookup[#Headers]))="","",INDEX(Salary_Calculation[Monthly Target Orders],ROW()-ROW(Payslip_Lookup[#Headers])))</f>
        <v/>
      </c>
      <c r="I20" s="174" t="str">
        <f aca="false">IF(INDEX(Salary_Calculation[Source Row],ROW()-ROW(Payslip_Lookup[#Headers]))="","",INDEX(Salary_Calculation[Rider Target Orders],ROW()-ROW(Payslip_Lookup[#Headers])))</f>
        <v/>
      </c>
      <c r="J20" s="175" t="str">
        <f aca="false">IF(INDEX(Salary_Calculation[Source Row],ROW()-ROW(Payslip_Lookup[#Headers]))="","",INDEX(Salary_Calculation[Completed Orders],ROW()-ROW(Payslip_Lookup[#Headers])))</f>
        <v/>
      </c>
      <c r="K20" s="174" t="str">
        <f aca="false">IF(INDEX(Salary_Calculation[Source Row],ROW()-ROW(Payslip_Lookup[#Headers]))="","",INDEX(Salary_Calculation[Base Order Rate],ROW()-ROW(Payslip_Lookup[#Headers])))</f>
        <v/>
      </c>
      <c r="L20" s="176" t="str">
        <f aca="false">IF(INDEX(Salary_Calculation[Source Row],ROW()-ROW(Payslip_Lookup[#Headers]))="","",INDEX(Salary_Calculation[Basic Payment],ROW()-ROW(Payslip_Lookup[#Headers])))</f>
        <v/>
      </c>
      <c r="M20" s="176" t="str">
        <f aca="false">IF(INDEX(Salary_Calculation[Source Row],ROW()-ROW(Payslip_Lookup[#Headers]))="","",INDEX(Salary_Calculation[Earned Salary],ROW()-ROW(Payslip_Lookup[#Headers])))</f>
        <v/>
      </c>
      <c r="N20" s="174" t="str">
        <f aca="false">IF(INDEX(Salary_Calculation[Source Row],ROW()-ROW(Payslip_Lookup[#Headers]))="","",INDEX(Salary_Calculation[Orders Counted at Base Rate],ROW()-ROW(Payslip_Lookup[#Headers])))</f>
        <v/>
      </c>
      <c r="O20" s="174" t="str">
        <f aca="false">IF(INDEX(Salary_Calculation[Source Row],ROW()-ROW(Payslip_Lookup[#Headers]))="","",INDEX(Salary_Calculation[Missing Orders],ROW()-ROW(Payslip_Lookup[#Headers])))</f>
        <v/>
      </c>
      <c r="P20" s="176" t="str">
        <f aca="false">IF(INDEX(Salary_Calculation[Source Row],ROW()-ROW(Payslip_Lookup[#Headers]))="","",INDEX(Salary_Calculation[Missing-Order Deduction],ROW()-ROW(Payslip_Lookup[#Headers])))</f>
        <v/>
      </c>
      <c r="Q20" s="174" t="str">
        <f aca="false">IF(INDEX(Salary_Calculation[Source Row],ROW()-ROW(Payslip_Lookup[#Headers]))="","",INDEX(Salary_Calculation[Extra Orders],ROW()-ROW(Payslip_Lookup[#Headers])))</f>
        <v/>
      </c>
      <c r="R20" s="176" t="str">
        <f aca="false">IF(INDEX(Salary_Calculation[Source Row],ROW()-ROW(Payslip_Lookup[#Headers]))="","",INDEX(Salary_Calculation[Extra-Order Bonus],ROW()-ROW(Payslip_Lookup[#Headers])))</f>
        <v/>
      </c>
      <c r="S20" s="176" t="str">
        <f aca="false">IF(INDEX(Salary_Calculation[Source Row],ROW()-ROW(Payslip_Lookup[#Headers]))="","",INDEX(Salary_Calculation[Basic Salary for Target],ROW()-ROW(Payslip_Lookup[#Headers])))</f>
        <v/>
      </c>
      <c r="T20" s="176" t="str">
        <f aca="false">IF(INDEX(Salary_Calculation[Source Row],ROW()-ROW(Payslip_Lookup[#Headers]))="","",INDEX(Salary_Calculation[Gross Salary Before Deductions],ROW()-ROW(Payslip_Lookup[#Headers])))</f>
        <v/>
      </c>
      <c r="U20" s="176" t="str">
        <f aca="false">IF(INDEX(Salary_Calculation[Source Row],ROW()-ROW(Payslip_Lookup[#Headers]))="","",INDEX(Salary_Calculation[missed_days_penalty],ROW()-ROW(Payslip_Lookup[#Headers])))</f>
        <v/>
      </c>
      <c r="V20" s="176" t="str">
        <f aca="false">IF(INDEX(Salary_Calculation[Source Row],ROW()-ROW(Payslip_Lookup[#Headers]))="","",INDEX(Salary_Calculation[Rider Balance],ROW()-ROW(Payslip_Lookup[#Headers])))</f>
        <v/>
      </c>
      <c r="W20" s="176" t="str">
        <f aca="false">IF(INDEX(Salary_Calculation[Source Row],ROW()-ROW(Payslip_Lookup[#Headers]))="","",INDEX(Salary_Calculation[stacking_deduction],ROW()-ROW(Payslip_Lookup[#Headers])))</f>
        <v/>
      </c>
      <c r="X20" s="176" t="str">
        <f aca="false">IF(INDEX(Salary_Calculation[Source Row],ROW()-ROW(Payslip_Lookup[#Headers]))="","",INDEX(Salary_Calculation[Other Deductions],ROW()-ROW(Payslip_Lookup[#Headers])))</f>
        <v/>
      </c>
      <c r="Y20" s="176" t="str">
        <f aca="false">IF(INDEX(Salary_Calculation[Source Row],ROW()-ROW(Payslip_Lookup[#Headers]))="","",INDEX(Salary_Calculation[Total Deductions],ROW()-ROW(Payslip_Lookup[#Headers])))</f>
        <v/>
      </c>
      <c r="Z20" s="176" t="str">
        <f aca="false">IF(INDEX(Salary_Calculation[Source Row],ROW()-ROW(Payslip_Lookup[#Headers]))="","",INDEX(Salary_Calculation[Final Salary],ROW()-ROW(Payslip_Lookup[#Headers])))</f>
        <v/>
      </c>
      <c r="AA20" s="176" t="str">
        <f aca="false">IF(INDEX(Salary_Calculation[Source Row],ROW()-ROW(Payslip_Lookup[#Headers]))="","",INDEX(Salary_Calculation[Negative Balance / Amount Due from Rider],ROW()-ROW(Payslip_Lookup[#Headers])))</f>
        <v/>
      </c>
      <c r="AB20" s="176" t="str">
        <f aca="false">IF(INDEX(Salary_Calculation[Source Row],ROW()-ROW(Payslip_Lookup[#Headers]))="","",INDEX(Salary_Calculation[Total Amount Due from Rider],ROW()-ROW(Payslip_Lookup[#Headers])))</f>
        <v/>
      </c>
      <c r="AC20" s="176" t="str">
        <f aca="false">IF(INDEX(Salary_Calculation[Source Row],ROW()-ROW(Payslip_Lookup[#Headers]))="","",INDEX(Salary_Calculation[Salary Before Other Deductions],ROW()-ROW(Payslip_Lookup[#Headers])))</f>
        <v/>
      </c>
      <c r="AD20" s="171" t="str">
        <f aca="false">IF(INDEX(Salary_Calculation[Source Row],ROW()-ROW(Payslip_Lookup[#Headers]))="","",INDEX(Salary_Calculation[Payment Status],ROW()-ROW(Payslip_Lookup[#Headers])))</f>
        <v/>
      </c>
      <c r="AE20" s="171" t="str">
        <f aca="false">IF(INDEX(Salary_Calculation[Source Row],ROW()-ROW(Payslip_Lookup[#Headers]))="","",INDEX(Salary_Calculation[Notes],ROW()-ROW(Payslip_Lookup[#Headers])))</f>
        <v/>
      </c>
      <c r="AF20" s="171" t="str">
        <f aca="false">IF(INDEX(Salary_Calculation[Source Row],ROW()-ROW(Payslip_Lookup[#Headers]))="","",INDEX(Salary_Calculation[Exception Reason],ROW()-ROW(Payslip_Lookup[#Headers])))</f>
        <v/>
      </c>
      <c r="AG20" s="173" t="str">
        <f aca="false">IF($AD20="Review Required",COUNTIF(AD$2:AD20,"Review Required"),"")</f>
        <v/>
      </c>
      <c r="AH20" s="173" t="str">
        <f aca="false">IF(AND($D20&lt;&gt;"",$B20=Payslip_Print!$C$2),MAX(AH$1:AH19)+1,"")</f>
        <v/>
      </c>
      <c r="AJ20" s="177" t="str">
        <f aca="false">IF(AJ19="","",IFERROR(SMALL(Payslip_Lookup[Month Key],COUNTIF(Payslip_Lookup[Month Key],"&lt;="&amp;AJ19)+1),""))</f>
        <v/>
      </c>
      <c r="AK20" s="177" t="str">
        <f aca="false">IF(AJ19="","",AJ19)</f>
        <v/>
      </c>
      <c r="AL20" s="178" t="str">
        <f aca="false">IFERROR(INDEX($D$2:$D$501,MATCH(ROW()-1,$AH$2:$AH$501,0)),"")</f>
        <v/>
      </c>
      <c r="AM20" s="179" t="str">
        <f aca="false">IF($Z20="","",IF(AND($C20&gt;=Dash_Start,$C20&lt;Dash_End),$Z20+ROW()/10000000,""))</f>
        <v/>
      </c>
    </row>
    <row r="21" customFormat="false" ht="14.25" hidden="false" customHeight="false" outlineLevel="0" collapsed="false">
      <c r="A21" s="171" t="str">
        <f aca="false">IF(Payslip_Lookup[[#This Row],[Rider ID]]="","",Payslip_Lookup[[#This Row],[Rider ID]]&amp;"|"&amp;Payslip_Lookup[[#This Row],[Month Key]])</f>
        <v/>
      </c>
      <c r="B21" s="172" t="str">
        <f aca="false">IF(ISNUMBER(Payslip_Lookup[[#This Row],[Salary Month]]),DATE(YEAR(Payslip_Lookup[[#This Row],[Salary Month]]),MONTH(Payslip_Lookup[[#This Row],[Salary Month]]),1),"")</f>
        <v/>
      </c>
      <c r="C21" s="172" t="str">
        <f aca="false">IF(INDEX(Salary_Calculation[Source Row],ROW()-ROW(Payslip_Lookup[#Headers]))="","",INDEX(Salary_Calculation[Salary Month],ROW()-ROW(Payslip_Lookup[#Headers])))</f>
        <v/>
      </c>
      <c r="D21" s="173" t="str">
        <f aca="false">IF(INDEX(Salary_Calculation[Source Row],ROW()-ROW(Payslip_Lookup[#Headers]))="","",INDEX(Salary_Calculation[Rider ID],ROW()-ROW(Payslip_Lookup[#Headers])))</f>
        <v/>
      </c>
      <c r="E21" s="171" t="str">
        <f aca="false">IF(INDEX(Salary_Calculation[Source Row],ROW()-ROW(Payslip_Lookup[#Headers]))="","",INDEX(Salary_Calculation[Rider Name],ROW()-ROW(Payslip_Lookup[#Headers])))</f>
        <v/>
      </c>
      <c r="F21" s="173" t="str">
        <f aca="false">IF(INDEX(Salary_Calculation[Source Row],ROW()-ROW(Payslip_Lookup[#Headers]))="","",INDEX(Salary_Calculation[Working Days],ROW()-ROW(Payslip_Lookup[#Headers])))</f>
        <v/>
      </c>
      <c r="G21" s="173" t="str">
        <f aca="false">IF(INDEX(Salary_Calculation[Source Row],ROW()-ROW(Payslip_Lookup[#Headers]))="","",INDEX(Salary_Calculation[Calendar Days],ROW()-ROW(Payslip_Lookup[#Headers])))</f>
        <v/>
      </c>
      <c r="H21" s="174" t="str">
        <f aca="false">IF(INDEX(Salary_Calculation[Source Row],ROW()-ROW(Payslip_Lookup[#Headers]))="","",INDEX(Salary_Calculation[Monthly Target Orders],ROW()-ROW(Payslip_Lookup[#Headers])))</f>
        <v/>
      </c>
      <c r="I21" s="174" t="str">
        <f aca="false">IF(INDEX(Salary_Calculation[Source Row],ROW()-ROW(Payslip_Lookup[#Headers]))="","",INDEX(Salary_Calculation[Rider Target Orders],ROW()-ROW(Payslip_Lookup[#Headers])))</f>
        <v/>
      </c>
      <c r="J21" s="175" t="str">
        <f aca="false">IF(INDEX(Salary_Calculation[Source Row],ROW()-ROW(Payslip_Lookup[#Headers]))="","",INDEX(Salary_Calculation[Completed Orders],ROW()-ROW(Payslip_Lookup[#Headers])))</f>
        <v/>
      </c>
      <c r="K21" s="174" t="str">
        <f aca="false">IF(INDEX(Salary_Calculation[Source Row],ROW()-ROW(Payslip_Lookup[#Headers]))="","",INDEX(Salary_Calculation[Base Order Rate],ROW()-ROW(Payslip_Lookup[#Headers])))</f>
        <v/>
      </c>
      <c r="L21" s="176" t="str">
        <f aca="false">IF(INDEX(Salary_Calculation[Source Row],ROW()-ROW(Payslip_Lookup[#Headers]))="","",INDEX(Salary_Calculation[Basic Payment],ROW()-ROW(Payslip_Lookup[#Headers])))</f>
        <v/>
      </c>
      <c r="M21" s="176" t="str">
        <f aca="false">IF(INDEX(Salary_Calculation[Source Row],ROW()-ROW(Payslip_Lookup[#Headers]))="","",INDEX(Salary_Calculation[Earned Salary],ROW()-ROW(Payslip_Lookup[#Headers])))</f>
        <v/>
      </c>
      <c r="N21" s="174" t="str">
        <f aca="false">IF(INDEX(Salary_Calculation[Source Row],ROW()-ROW(Payslip_Lookup[#Headers]))="","",INDEX(Salary_Calculation[Orders Counted at Base Rate],ROW()-ROW(Payslip_Lookup[#Headers])))</f>
        <v/>
      </c>
      <c r="O21" s="174" t="str">
        <f aca="false">IF(INDEX(Salary_Calculation[Source Row],ROW()-ROW(Payslip_Lookup[#Headers]))="","",INDEX(Salary_Calculation[Missing Orders],ROW()-ROW(Payslip_Lookup[#Headers])))</f>
        <v/>
      </c>
      <c r="P21" s="176" t="str">
        <f aca="false">IF(INDEX(Salary_Calculation[Source Row],ROW()-ROW(Payslip_Lookup[#Headers]))="","",INDEX(Salary_Calculation[Missing-Order Deduction],ROW()-ROW(Payslip_Lookup[#Headers])))</f>
        <v/>
      </c>
      <c r="Q21" s="174" t="str">
        <f aca="false">IF(INDEX(Salary_Calculation[Source Row],ROW()-ROW(Payslip_Lookup[#Headers]))="","",INDEX(Salary_Calculation[Extra Orders],ROW()-ROW(Payslip_Lookup[#Headers])))</f>
        <v/>
      </c>
      <c r="R21" s="176" t="str">
        <f aca="false">IF(INDEX(Salary_Calculation[Source Row],ROW()-ROW(Payslip_Lookup[#Headers]))="","",INDEX(Salary_Calculation[Extra-Order Bonus],ROW()-ROW(Payslip_Lookup[#Headers])))</f>
        <v/>
      </c>
      <c r="S21" s="176" t="str">
        <f aca="false">IF(INDEX(Salary_Calculation[Source Row],ROW()-ROW(Payslip_Lookup[#Headers]))="","",INDEX(Salary_Calculation[Basic Salary for Target],ROW()-ROW(Payslip_Lookup[#Headers])))</f>
        <v/>
      </c>
      <c r="T21" s="176" t="str">
        <f aca="false">IF(INDEX(Salary_Calculation[Source Row],ROW()-ROW(Payslip_Lookup[#Headers]))="","",INDEX(Salary_Calculation[Gross Salary Before Deductions],ROW()-ROW(Payslip_Lookup[#Headers])))</f>
        <v/>
      </c>
      <c r="U21" s="176" t="str">
        <f aca="false">IF(INDEX(Salary_Calculation[Source Row],ROW()-ROW(Payslip_Lookup[#Headers]))="","",INDEX(Salary_Calculation[missed_days_penalty],ROW()-ROW(Payslip_Lookup[#Headers])))</f>
        <v/>
      </c>
      <c r="V21" s="176" t="str">
        <f aca="false">IF(INDEX(Salary_Calculation[Source Row],ROW()-ROW(Payslip_Lookup[#Headers]))="","",INDEX(Salary_Calculation[Rider Balance],ROW()-ROW(Payslip_Lookup[#Headers])))</f>
        <v/>
      </c>
      <c r="W21" s="176" t="str">
        <f aca="false">IF(INDEX(Salary_Calculation[Source Row],ROW()-ROW(Payslip_Lookup[#Headers]))="","",INDEX(Salary_Calculation[stacking_deduction],ROW()-ROW(Payslip_Lookup[#Headers])))</f>
        <v/>
      </c>
      <c r="X21" s="176" t="str">
        <f aca="false">IF(INDEX(Salary_Calculation[Source Row],ROW()-ROW(Payslip_Lookup[#Headers]))="","",INDEX(Salary_Calculation[Other Deductions],ROW()-ROW(Payslip_Lookup[#Headers])))</f>
        <v/>
      </c>
      <c r="Y21" s="176" t="str">
        <f aca="false">IF(INDEX(Salary_Calculation[Source Row],ROW()-ROW(Payslip_Lookup[#Headers]))="","",INDEX(Salary_Calculation[Total Deductions],ROW()-ROW(Payslip_Lookup[#Headers])))</f>
        <v/>
      </c>
      <c r="Z21" s="176" t="str">
        <f aca="false">IF(INDEX(Salary_Calculation[Source Row],ROW()-ROW(Payslip_Lookup[#Headers]))="","",INDEX(Salary_Calculation[Final Salary],ROW()-ROW(Payslip_Lookup[#Headers])))</f>
        <v/>
      </c>
      <c r="AA21" s="176" t="str">
        <f aca="false">IF(INDEX(Salary_Calculation[Source Row],ROW()-ROW(Payslip_Lookup[#Headers]))="","",INDEX(Salary_Calculation[Negative Balance / Amount Due from Rider],ROW()-ROW(Payslip_Lookup[#Headers])))</f>
        <v/>
      </c>
      <c r="AB21" s="176" t="str">
        <f aca="false">IF(INDEX(Salary_Calculation[Source Row],ROW()-ROW(Payslip_Lookup[#Headers]))="","",INDEX(Salary_Calculation[Total Amount Due from Rider],ROW()-ROW(Payslip_Lookup[#Headers])))</f>
        <v/>
      </c>
      <c r="AC21" s="176" t="str">
        <f aca="false">IF(INDEX(Salary_Calculation[Source Row],ROW()-ROW(Payslip_Lookup[#Headers]))="","",INDEX(Salary_Calculation[Salary Before Other Deductions],ROW()-ROW(Payslip_Lookup[#Headers])))</f>
        <v/>
      </c>
      <c r="AD21" s="171" t="str">
        <f aca="false">IF(INDEX(Salary_Calculation[Source Row],ROW()-ROW(Payslip_Lookup[#Headers]))="","",INDEX(Salary_Calculation[Payment Status],ROW()-ROW(Payslip_Lookup[#Headers])))</f>
        <v/>
      </c>
      <c r="AE21" s="171" t="str">
        <f aca="false">IF(INDEX(Salary_Calculation[Source Row],ROW()-ROW(Payslip_Lookup[#Headers]))="","",INDEX(Salary_Calculation[Notes],ROW()-ROW(Payslip_Lookup[#Headers])))</f>
        <v/>
      </c>
      <c r="AF21" s="171" t="str">
        <f aca="false">IF(INDEX(Salary_Calculation[Source Row],ROW()-ROW(Payslip_Lookup[#Headers]))="","",INDEX(Salary_Calculation[Exception Reason],ROW()-ROW(Payslip_Lookup[#Headers])))</f>
        <v/>
      </c>
      <c r="AG21" s="173" t="str">
        <f aca="false">IF($AD21="Review Required",COUNTIF(AD$2:AD21,"Review Required"),"")</f>
        <v/>
      </c>
      <c r="AH21" s="173" t="str">
        <f aca="false">IF(AND($D21&lt;&gt;"",$B21=Payslip_Print!$C$2),MAX(AH$1:AH20)+1,"")</f>
        <v/>
      </c>
      <c r="AJ21" s="177" t="str">
        <f aca="false">IF(AJ20="","",IFERROR(SMALL(Payslip_Lookup[Month Key],COUNTIF(Payslip_Lookup[Month Key],"&lt;="&amp;AJ20)+1),""))</f>
        <v/>
      </c>
      <c r="AK21" s="177" t="str">
        <f aca="false">IF(AJ20="","",AJ20)</f>
        <v/>
      </c>
      <c r="AL21" s="178" t="str">
        <f aca="false">IFERROR(INDEX($D$2:$D$501,MATCH(ROW()-1,$AH$2:$AH$501,0)),"")</f>
        <v/>
      </c>
      <c r="AM21" s="179" t="str">
        <f aca="false">IF($Z21="","",IF(AND($C21&gt;=Dash_Start,$C21&lt;Dash_End),$Z21+ROW()/10000000,""))</f>
        <v/>
      </c>
    </row>
    <row r="22" customFormat="false" ht="14.25" hidden="false" customHeight="false" outlineLevel="0" collapsed="false">
      <c r="A22" s="171" t="str">
        <f aca="false">IF(Payslip_Lookup[[#This Row],[Rider ID]]="","",Payslip_Lookup[[#This Row],[Rider ID]]&amp;"|"&amp;Payslip_Lookup[[#This Row],[Month Key]])</f>
        <v/>
      </c>
      <c r="B22" s="172" t="str">
        <f aca="false">IF(ISNUMBER(Payslip_Lookup[[#This Row],[Salary Month]]),DATE(YEAR(Payslip_Lookup[[#This Row],[Salary Month]]),MONTH(Payslip_Lookup[[#This Row],[Salary Month]]),1),"")</f>
        <v/>
      </c>
      <c r="C22" s="172" t="str">
        <f aca="false">IF(INDEX(Salary_Calculation[Source Row],ROW()-ROW(Payslip_Lookup[#Headers]))="","",INDEX(Salary_Calculation[Salary Month],ROW()-ROW(Payslip_Lookup[#Headers])))</f>
        <v/>
      </c>
      <c r="D22" s="173" t="str">
        <f aca="false">IF(INDEX(Salary_Calculation[Source Row],ROW()-ROW(Payslip_Lookup[#Headers]))="","",INDEX(Salary_Calculation[Rider ID],ROW()-ROW(Payslip_Lookup[#Headers])))</f>
        <v/>
      </c>
      <c r="E22" s="171" t="str">
        <f aca="false">IF(INDEX(Salary_Calculation[Source Row],ROW()-ROW(Payslip_Lookup[#Headers]))="","",INDEX(Salary_Calculation[Rider Name],ROW()-ROW(Payslip_Lookup[#Headers])))</f>
        <v/>
      </c>
      <c r="F22" s="173" t="str">
        <f aca="false">IF(INDEX(Salary_Calculation[Source Row],ROW()-ROW(Payslip_Lookup[#Headers]))="","",INDEX(Salary_Calculation[Working Days],ROW()-ROW(Payslip_Lookup[#Headers])))</f>
        <v/>
      </c>
      <c r="G22" s="173" t="str">
        <f aca="false">IF(INDEX(Salary_Calculation[Source Row],ROW()-ROW(Payslip_Lookup[#Headers]))="","",INDEX(Salary_Calculation[Calendar Days],ROW()-ROW(Payslip_Lookup[#Headers])))</f>
        <v/>
      </c>
      <c r="H22" s="174" t="str">
        <f aca="false">IF(INDEX(Salary_Calculation[Source Row],ROW()-ROW(Payslip_Lookup[#Headers]))="","",INDEX(Salary_Calculation[Monthly Target Orders],ROW()-ROW(Payslip_Lookup[#Headers])))</f>
        <v/>
      </c>
      <c r="I22" s="174" t="str">
        <f aca="false">IF(INDEX(Salary_Calculation[Source Row],ROW()-ROW(Payslip_Lookup[#Headers]))="","",INDEX(Salary_Calculation[Rider Target Orders],ROW()-ROW(Payslip_Lookup[#Headers])))</f>
        <v/>
      </c>
      <c r="J22" s="175" t="str">
        <f aca="false">IF(INDEX(Salary_Calculation[Source Row],ROW()-ROW(Payslip_Lookup[#Headers]))="","",INDEX(Salary_Calculation[Completed Orders],ROW()-ROW(Payslip_Lookup[#Headers])))</f>
        <v/>
      </c>
      <c r="K22" s="174" t="str">
        <f aca="false">IF(INDEX(Salary_Calculation[Source Row],ROW()-ROW(Payslip_Lookup[#Headers]))="","",INDEX(Salary_Calculation[Base Order Rate],ROW()-ROW(Payslip_Lookup[#Headers])))</f>
        <v/>
      </c>
      <c r="L22" s="176" t="str">
        <f aca="false">IF(INDEX(Salary_Calculation[Source Row],ROW()-ROW(Payslip_Lookup[#Headers]))="","",INDEX(Salary_Calculation[Basic Payment],ROW()-ROW(Payslip_Lookup[#Headers])))</f>
        <v/>
      </c>
      <c r="M22" s="176" t="str">
        <f aca="false">IF(INDEX(Salary_Calculation[Source Row],ROW()-ROW(Payslip_Lookup[#Headers]))="","",INDEX(Salary_Calculation[Earned Salary],ROW()-ROW(Payslip_Lookup[#Headers])))</f>
        <v/>
      </c>
      <c r="N22" s="174" t="str">
        <f aca="false">IF(INDEX(Salary_Calculation[Source Row],ROW()-ROW(Payslip_Lookup[#Headers]))="","",INDEX(Salary_Calculation[Orders Counted at Base Rate],ROW()-ROW(Payslip_Lookup[#Headers])))</f>
        <v/>
      </c>
      <c r="O22" s="174" t="str">
        <f aca="false">IF(INDEX(Salary_Calculation[Source Row],ROW()-ROW(Payslip_Lookup[#Headers]))="","",INDEX(Salary_Calculation[Missing Orders],ROW()-ROW(Payslip_Lookup[#Headers])))</f>
        <v/>
      </c>
      <c r="P22" s="176" t="str">
        <f aca="false">IF(INDEX(Salary_Calculation[Source Row],ROW()-ROW(Payslip_Lookup[#Headers]))="","",INDEX(Salary_Calculation[Missing-Order Deduction],ROW()-ROW(Payslip_Lookup[#Headers])))</f>
        <v/>
      </c>
      <c r="Q22" s="174" t="str">
        <f aca="false">IF(INDEX(Salary_Calculation[Source Row],ROW()-ROW(Payslip_Lookup[#Headers]))="","",INDEX(Salary_Calculation[Extra Orders],ROW()-ROW(Payslip_Lookup[#Headers])))</f>
        <v/>
      </c>
      <c r="R22" s="176" t="str">
        <f aca="false">IF(INDEX(Salary_Calculation[Source Row],ROW()-ROW(Payslip_Lookup[#Headers]))="","",INDEX(Salary_Calculation[Extra-Order Bonus],ROW()-ROW(Payslip_Lookup[#Headers])))</f>
        <v/>
      </c>
      <c r="S22" s="176" t="str">
        <f aca="false">IF(INDEX(Salary_Calculation[Source Row],ROW()-ROW(Payslip_Lookup[#Headers]))="","",INDEX(Salary_Calculation[Basic Salary for Target],ROW()-ROW(Payslip_Lookup[#Headers])))</f>
        <v/>
      </c>
      <c r="T22" s="176" t="str">
        <f aca="false">IF(INDEX(Salary_Calculation[Source Row],ROW()-ROW(Payslip_Lookup[#Headers]))="","",INDEX(Salary_Calculation[Gross Salary Before Deductions],ROW()-ROW(Payslip_Lookup[#Headers])))</f>
        <v/>
      </c>
      <c r="U22" s="176" t="str">
        <f aca="false">IF(INDEX(Salary_Calculation[Source Row],ROW()-ROW(Payslip_Lookup[#Headers]))="","",INDEX(Salary_Calculation[missed_days_penalty],ROW()-ROW(Payslip_Lookup[#Headers])))</f>
        <v/>
      </c>
      <c r="V22" s="176" t="str">
        <f aca="false">IF(INDEX(Salary_Calculation[Source Row],ROW()-ROW(Payslip_Lookup[#Headers]))="","",INDEX(Salary_Calculation[Rider Balance],ROW()-ROW(Payslip_Lookup[#Headers])))</f>
        <v/>
      </c>
      <c r="W22" s="176" t="str">
        <f aca="false">IF(INDEX(Salary_Calculation[Source Row],ROW()-ROW(Payslip_Lookup[#Headers]))="","",INDEX(Salary_Calculation[stacking_deduction],ROW()-ROW(Payslip_Lookup[#Headers])))</f>
        <v/>
      </c>
      <c r="X22" s="176" t="str">
        <f aca="false">IF(INDEX(Salary_Calculation[Source Row],ROW()-ROW(Payslip_Lookup[#Headers]))="","",INDEX(Salary_Calculation[Other Deductions],ROW()-ROW(Payslip_Lookup[#Headers])))</f>
        <v/>
      </c>
      <c r="Y22" s="176" t="str">
        <f aca="false">IF(INDEX(Salary_Calculation[Source Row],ROW()-ROW(Payslip_Lookup[#Headers]))="","",INDEX(Salary_Calculation[Total Deductions],ROW()-ROW(Payslip_Lookup[#Headers])))</f>
        <v/>
      </c>
      <c r="Z22" s="176" t="str">
        <f aca="false">IF(INDEX(Salary_Calculation[Source Row],ROW()-ROW(Payslip_Lookup[#Headers]))="","",INDEX(Salary_Calculation[Final Salary],ROW()-ROW(Payslip_Lookup[#Headers])))</f>
        <v/>
      </c>
      <c r="AA22" s="176" t="str">
        <f aca="false">IF(INDEX(Salary_Calculation[Source Row],ROW()-ROW(Payslip_Lookup[#Headers]))="","",INDEX(Salary_Calculation[Negative Balance / Amount Due from Rider],ROW()-ROW(Payslip_Lookup[#Headers])))</f>
        <v/>
      </c>
      <c r="AB22" s="176" t="str">
        <f aca="false">IF(INDEX(Salary_Calculation[Source Row],ROW()-ROW(Payslip_Lookup[#Headers]))="","",INDEX(Salary_Calculation[Total Amount Due from Rider],ROW()-ROW(Payslip_Lookup[#Headers])))</f>
        <v/>
      </c>
      <c r="AC22" s="176" t="str">
        <f aca="false">IF(INDEX(Salary_Calculation[Source Row],ROW()-ROW(Payslip_Lookup[#Headers]))="","",INDEX(Salary_Calculation[Salary Before Other Deductions],ROW()-ROW(Payslip_Lookup[#Headers])))</f>
        <v/>
      </c>
      <c r="AD22" s="171" t="str">
        <f aca="false">IF(INDEX(Salary_Calculation[Source Row],ROW()-ROW(Payslip_Lookup[#Headers]))="","",INDEX(Salary_Calculation[Payment Status],ROW()-ROW(Payslip_Lookup[#Headers])))</f>
        <v/>
      </c>
      <c r="AE22" s="171" t="str">
        <f aca="false">IF(INDEX(Salary_Calculation[Source Row],ROW()-ROW(Payslip_Lookup[#Headers]))="","",INDEX(Salary_Calculation[Notes],ROW()-ROW(Payslip_Lookup[#Headers])))</f>
        <v/>
      </c>
      <c r="AF22" s="171" t="str">
        <f aca="false">IF(INDEX(Salary_Calculation[Source Row],ROW()-ROW(Payslip_Lookup[#Headers]))="","",INDEX(Salary_Calculation[Exception Reason],ROW()-ROW(Payslip_Lookup[#Headers])))</f>
        <v/>
      </c>
      <c r="AG22" s="173" t="str">
        <f aca="false">IF($AD22="Review Required",COUNTIF(AD$2:AD22,"Review Required"),"")</f>
        <v/>
      </c>
      <c r="AH22" s="173" t="str">
        <f aca="false">IF(AND($D22&lt;&gt;"",$B22=Payslip_Print!$C$2),MAX(AH$1:AH21)+1,"")</f>
        <v/>
      </c>
      <c r="AJ22" s="177" t="str">
        <f aca="false">IF(AJ21="","",IFERROR(SMALL(Payslip_Lookup[Month Key],COUNTIF(Payslip_Lookup[Month Key],"&lt;="&amp;AJ21)+1),""))</f>
        <v/>
      </c>
      <c r="AK22" s="177" t="str">
        <f aca="false">IF(AJ21="","",AJ21)</f>
        <v/>
      </c>
      <c r="AL22" s="178" t="str">
        <f aca="false">IFERROR(INDEX($D$2:$D$501,MATCH(ROW()-1,$AH$2:$AH$501,0)),"")</f>
        <v/>
      </c>
      <c r="AM22" s="179" t="str">
        <f aca="false">IF($Z22="","",IF(AND($C22&gt;=Dash_Start,$C22&lt;Dash_End),$Z22+ROW()/10000000,""))</f>
        <v/>
      </c>
    </row>
    <row r="23" customFormat="false" ht="14.25" hidden="false" customHeight="false" outlineLevel="0" collapsed="false">
      <c r="A23" s="171" t="str">
        <f aca="false">IF(Payslip_Lookup[[#This Row],[Rider ID]]="","",Payslip_Lookup[[#This Row],[Rider ID]]&amp;"|"&amp;Payslip_Lookup[[#This Row],[Month Key]])</f>
        <v/>
      </c>
      <c r="B23" s="172" t="str">
        <f aca="false">IF(ISNUMBER(Payslip_Lookup[[#This Row],[Salary Month]]),DATE(YEAR(Payslip_Lookup[[#This Row],[Salary Month]]),MONTH(Payslip_Lookup[[#This Row],[Salary Month]]),1),"")</f>
        <v/>
      </c>
      <c r="C23" s="172" t="str">
        <f aca="false">IF(INDEX(Salary_Calculation[Source Row],ROW()-ROW(Payslip_Lookup[#Headers]))="","",INDEX(Salary_Calculation[Salary Month],ROW()-ROW(Payslip_Lookup[#Headers])))</f>
        <v/>
      </c>
      <c r="D23" s="173" t="str">
        <f aca="false">IF(INDEX(Salary_Calculation[Source Row],ROW()-ROW(Payslip_Lookup[#Headers]))="","",INDEX(Salary_Calculation[Rider ID],ROW()-ROW(Payslip_Lookup[#Headers])))</f>
        <v/>
      </c>
      <c r="E23" s="171" t="str">
        <f aca="false">IF(INDEX(Salary_Calculation[Source Row],ROW()-ROW(Payslip_Lookup[#Headers]))="","",INDEX(Salary_Calculation[Rider Name],ROW()-ROW(Payslip_Lookup[#Headers])))</f>
        <v/>
      </c>
      <c r="F23" s="173" t="str">
        <f aca="false">IF(INDEX(Salary_Calculation[Source Row],ROW()-ROW(Payslip_Lookup[#Headers]))="","",INDEX(Salary_Calculation[Working Days],ROW()-ROW(Payslip_Lookup[#Headers])))</f>
        <v/>
      </c>
      <c r="G23" s="173" t="str">
        <f aca="false">IF(INDEX(Salary_Calculation[Source Row],ROW()-ROW(Payslip_Lookup[#Headers]))="","",INDEX(Salary_Calculation[Calendar Days],ROW()-ROW(Payslip_Lookup[#Headers])))</f>
        <v/>
      </c>
      <c r="H23" s="174" t="str">
        <f aca="false">IF(INDEX(Salary_Calculation[Source Row],ROW()-ROW(Payslip_Lookup[#Headers]))="","",INDEX(Salary_Calculation[Monthly Target Orders],ROW()-ROW(Payslip_Lookup[#Headers])))</f>
        <v/>
      </c>
      <c r="I23" s="174" t="str">
        <f aca="false">IF(INDEX(Salary_Calculation[Source Row],ROW()-ROW(Payslip_Lookup[#Headers]))="","",INDEX(Salary_Calculation[Rider Target Orders],ROW()-ROW(Payslip_Lookup[#Headers])))</f>
        <v/>
      </c>
      <c r="J23" s="175" t="str">
        <f aca="false">IF(INDEX(Salary_Calculation[Source Row],ROW()-ROW(Payslip_Lookup[#Headers]))="","",INDEX(Salary_Calculation[Completed Orders],ROW()-ROW(Payslip_Lookup[#Headers])))</f>
        <v/>
      </c>
      <c r="K23" s="174" t="str">
        <f aca="false">IF(INDEX(Salary_Calculation[Source Row],ROW()-ROW(Payslip_Lookup[#Headers]))="","",INDEX(Salary_Calculation[Base Order Rate],ROW()-ROW(Payslip_Lookup[#Headers])))</f>
        <v/>
      </c>
      <c r="L23" s="176" t="str">
        <f aca="false">IF(INDEX(Salary_Calculation[Source Row],ROW()-ROW(Payslip_Lookup[#Headers]))="","",INDEX(Salary_Calculation[Basic Payment],ROW()-ROW(Payslip_Lookup[#Headers])))</f>
        <v/>
      </c>
      <c r="M23" s="176" t="str">
        <f aca="false">IF(INDEX(Salary_Calculation[Source Row],ROW()-ROW(Payslip_Lookup[#Headers]))="","",INDEX(Salary_Calculation[Earned Salary],ROW()-ROW(Payslip_Lookup[#Headers])))</f>
        <v/>
      </c>
      <c r="N23" s="174" t="str">
        <f aca="false">IF(INDEX(Salary_Calculation[Source Row],ROW()-ROW(Payslip_Lookup[#Headers]))="","",INDEX(Salary_Calculation[Orders Counted at Base Rate],ROW()-ROW(Payslip_Lookup[#Headers])))</f>
        <v/>
      </c>
      <c r="O23" s="174" t="str">
        <f aca="false">IF(INDEX(Salary_Calculation[Source Row],ROW()-ROW(Payslip_Lookup[#Headers]))="","",INDEX(Salary_Calculation[Missing Orders],ROW()-ROW(Payslip_Lookup[#Headers])))</f>
        <v/>
      </c>
      <c r="P23" s="176" t="str">
        <f aca="false">IF(INDEX(Salary_Calculation[Source Row],ROW()-ROW(Payslip_Lookup[#Headers]))="","",INDEX(Salary_Calculation[Missing-Order Deduction],ROW()-ROW(Payslip_Lookup[#Headers])))</f>
        <v/>
      </c>
      <c r="Q23" s="174" t="str">
        <f aca="false">IF(INDEX(Salary_Calculation[Source Row],ROW()-ROW(Payslip_Lookup[#Headers]))="","",INDEX(Salary_Calculation[Extra Orders],ROW()-ROW(Payslip_Lookup[#Headers])))</f>
        <v/>
      </c>
      <c r="R23" s="176" t="str">
        <f aca="false">IF(INDEX(Salary_Calculation[Source Row],ROW()-ROW(Payslip_Lookup[#Headers]))="","",INDEX(Salary_Calculation[Extra-Order Bonus],ROW()-ROW(Payslip_Lookup[#Headers])))</f>
        <v/>
      </c>
      <c r="S23" s="176" t="str">
        <f aca="false">IF(INDEX(Salary_Calculation[Source Row],ROW()-ROW(Payslip_Lookup[#Headers]))="","",INDEX(Salary_Calculation[Basic Salary for Target],ROW()-ROW(Payslip_Lookup[#Headers])))</f>
        <v/>
      </c>
      <c r="T23" s="176" t="str">
        <f aca="false">IF(INDEX(Salary_Calculation[Source Row],ROW()-ROW(Payslip_Lookup[#Headers]))="","",INDEX(Salary_Calculation[Gross Salary Before Deductions],ROW()-ROW(Payslip_Lookup[#Headers])))</f>
        <v/>
      </c>
      <c r="U23" s="176" t="str">
        <f aca="false">IF(INDEX(Salary_Calculation[Source Row],ROW()-ROW(Payslip_Lookup[#Headers]))="","",INDEX(Salary_Calculation[missed_days_penalty],ROW()-ROW(Payslip_Lookup[#Headers])))</f>
        <v/>
      </c>
      <c r="V23" s="176" t="str">
        <f aca="false">IF(INDEX(Salary_Calculation[Source Row],ROW()-ROW(Payslip_Lookup[#Headers]))="","",INDEX(Salary_Calculation[Rider Balance],ROW()-ROW(Payslip_Lookup[#Headers])))</f>
        <v/>
      </c>
      <c r="W23" s="176" t="str">
        <f aca="false">IF(INDEX(Salary_Calculation[Source Row],ROW()-ROW(Payslip_Lookup[#Headers]))="","",INDEX(Salary_Calculation[stacking_deduction],ROW()-ROW(Payslip_Lookup[#Headers])))</f>
        <v/>
      </c>
      <c r="X23" s="176" t="str">
        <f aca="false">IF(INDEX(Salary_Calculation[Source Row],ROW()-ROW(Payslip_Lookup[#Headers]))="","",INDEX(Salary_Calculation[Other Deductions],ROW()-ROW(Payslip_Lookup[#Headers])))</f>
        <v/>
      </c>
      <c r="Y23" s="176" t="str">
        <f aca="false">IF(INDEX(Salary_Calculation[Source Row],ROW()-ROW(Payslip_Lookup[#Headers]))="","",INDEX(Salary_Calculation[Total Deductions],ROW()-ROW(Payslip_Lookup[#Headers])))</f>
        <v/>
      </c>
      <c r="Z23" s="176" t="str">
        <f aca="false">IF(INDEX(Salary_Calculation[Source Row],ROW()-ROW(Payslip_Lookup[#Headers]))="","",INDEX(Salary_Calculation[Final Salary],ROW()-ROW(Payslip_Lookup[#Headers])))</f>
        <v/>
      </c>
      <c r="AA23" s="176" t="str">
        <f aca="false">IF(INDEX(Salary_Calculation[Source Row],ROW()-ROW(Payslip_Lookup[#Headers]))="","",INDEX(Salary_Calculation[Negative Balance / Amount Due from Rider],ROW()-ROW(Payslip_Lookup[#Headers])))</f>
        <v/>
      </c>
      <c r="AB23" s="176" t="str">
        <f aca="false">IF(INDEX(Salary_Calculation[Source Row],ROW()-ROW(Payslip_Lookup[#Headers]))="","",INDEX(Salary_Calculation[Total Amount Due from Rider],ROW()-ROW(Payslip_Lookup[#Headers])))</f>
        <v/>
      </c>
      <c r="AC23" s="176" t="str">
        <f aca="false">IF(INDEX(Salary_Calculation[Source Row],ROW()-ROW(Payslip_Lookup[#Headers]))="","",INDEX(Salary_Calculation[Salary Before Other Deductions],ROW()-ROW(Payslip_Lookup[#Headers])))</f>
        <v/>
      </c>
      <c r="AD23" s="171" t="str">
        <f aca="false">IF(INDEX(Salary_Calculation[Source Row],ROW()-ROW(Payslip_Lookup[#Headers]))="","",INDEX(Salary_Calculation[Payment Status],ROW()-ROW(Payslip_Lookup[#Headers])))</f>
        <v/>
      </c>
      <c r="AE23" s="171" t="str">
        <f aca="false">IF(INDEX(Salary_Calculation[Source Row],ROW()-ROW(Payslip_Lookup[#Headers]))="","",INDEX(Salary_Calculation[Notes],ROW()-ROW(Payslip_Lookup[#Headers])))</f>
        <v/>
      </c>
      <c r="AF23" s="171" t="str">
        <f aca="false">IF(INDEX(Salary_Calculation[Source Row],ROW()-ROW(Payslip_Lookup[#Headers]))="","",INDEX(Salary_Calculation[Exception Reason],ROW()-ROW(Payslip_Lookup[#Headers])))</f>
        <v/>
      </c>
      <c r="AG23" s="173" t="str">
        <f aca="false">IF($AD23="Review Required",COUNTIF(AD$2:AD23,"Review Required"),"")</f>
        <v/>
      </c>
      <c r="AH23" s="173" t="str">
        <f aca="false">IF(AND($D23&lt;&gt;"",$B23=Payslip_Print!$C$2),MAX(AH$1:AH22)+1,"")</f>
        <v/>
      </c>
      <c r="AJ23" s="177" t="str">
        <f aca="false">IF(AJ22="","",IFERROR(SMALL(Payslip_Lookup[Month Key],COUNTIF(Payslip_Lookup[Month Key],"&lt;="&amp;AJ22)+1),""))</f>
        <v/>
      </c>
      <c r="AK23" s="177" t="str">
        <f aca="false">IF(AJ22="","",AJ22)</f>
        <v/>
      </c>
      <c r="AL23" s="178" t="str">
        <f aca="false">IFERROR(INDEX($D$2:$D$501,MATCH(ROW()-1,$AH$2:$AH$501,0)),"")</f>
        <v/>
      </c>
      <c r="AM23" s="179" t="str">
        <f aca="false">IF($Z23="","",IF(AND($C23&gt;=Dash_Start,$C23&lt;Dash_End),$Z23+ROW()/10000000,""))</f>
        <v/>
      </c>
    </row>
    <row r="24" customFormat="false" ht="14.25" hidden="false" customHeight="false" outlineLevel="0" collapsed="false">
      <c r="A24" s="171" t="str">
        <f aca="false">IF(Payslip_Lookup[[#This Row],[Rider ID]]="","",Payslip_Lookup[[#This Row],[Rider ID]]&amp;"|"&amp;Payslip_Lookup[[#This Row],[Month Key]])</f>
        <v/>
      </c>
      <c r="B24" s="172" t="str">
        <f aca="false">IF(ISNUMBER(Payslip_Lookup[[#This Row],[Salary Month]]),DATE(YEAR(Payslip_Lookup[[#This Row],[Salary Month]]),MONTH(Payslip_Lookup[[#This Row],[Salary Month]]),1),"")</f>
        <v/>
      </c>
      <c r="C24" s="172" t="str">
        <f aca="false">IF(INDEX(Salary_Calculation[Source Row],ROW()-ROW(Payslip_Lookup[#Headers]))="","",INDEX(Salary_Calculation[Salary Month],ROW()-ROW(Payslip_Lookup[#Headers])))</f>
        <v/>
      </c>
      <c r="D24" s="173" t="str">
        <f aca="false">IF(INDEX(Salary_Calculation[Source Row],ROW()-ROW(Payslip_Lookup[#Headers]))="","",INDEX(Salary_Calculation[Rider ID],ROW()-ROW(Payslip_Lookup[#Headers])))</f>
        <v/>
      </c>
      <c r="E24" s="171" t="str">
        <f aca="false">IF(INDEX(Salary_Calculation[Source Row],ROW()-ROW(Payslip_Lookup[#Headers]))="","",INDEX(Salary_Calculation[Rider Name],ROW()-ROW(Payslip_Lookup[#Headers])))</f>
        <v/>
      </c>
      <c r="F24" s="173" t="str">
        <f aca="false">IF(INDEX(Salary_Calculation[Source Row],ROW()-ROW(Payslip_Lookup[#Headers]))="","",INDEX(Salary_Calculation[Working Days],ROW()-ROW(Payslip_Lookup[#Headers])))</f>
        <v/>
      </c>
      <c r="G24" s="173" t="str">
        <f aca="false">IF(INDEX(Salary_Calculation[Source Row],ROW()-ROW(Payslip_Lookup[#Headers]))="","",INDEX(Salary_Calculation[Calendar Days],ROW()-ROW(Payslip_Lookup[#Headers])))</f>
        <v/>
      </c>
      <c r="H24" s="174" t="str">
        <f aca="false">IF(INDEX(Salary_Calculation[Source Row],ROW()-ROW(Payslip_Lookup[#Headers]))="","",INDEX(Salary_Calculation[Monthly Target Orders],ROW()-ROW(Payslip_Lookup[#Headers])))</f>
        <v/>
      </c>
      <c r="I24" s="174" t="str">
        <f aca="false">IF(INDEX(Salary_Calculation[Source Row],ROW()-ROW(Payslip_Lookup[#Headers]))="","",INDEX(Salary_Calculation[Rider Target Orders],ROW()-ROW(Payslip_Lookup[#Headers])))</f>
        <v/>
      </c>
      <c r="J24" s="175" t="str">
        <f aca="false">IF(INDEX(Salary_Calculation[Source Row],ROW()-ROW(Payslip_Lookup[#Headers]))="","",INDEX(Salary_Calculation[Completed Orders],ROW()-ROW(Payslip_Lookup[#Headers])))</f>
        <v/>
      </c>
      <c r="K24" s="174" t="str">
        <f aca="false">IF(INDEX(Salary_Calculation[Source Row],ROW()-ROW(Payslip_Lookup[#Headers]))="","",INDEX(Salary_Calculation[Base Order Rate],ROW()-ROW(Payslip_Lookup[#Headers])))</f>
        <v/>
      </c>
      <c r="L24" s="176" t="str">
        <f aca="false">IF(INDEX(Salary_Calculation[Source Row],ROW()-ROW(Payslip_Lookup[#Headers]))="","",INDEX(Salary_Calculation[Basic Payment],ROW()-ROW(Payslip_Lookup[#Headers])))</f>
        <v/>
      </c>
      <c r="M24" s="176" t="str">
        <f aca="false">IF(INDEX(Salary_Calculation[Source Row],ROW()-ROW(Payslip_Lookup[#Headers]))="","",INDEX(Salary_Calculation[Earned Salary],ROW()-ROW(Payslip_Lookup[#Headers])))</f>
        <v/>
      </c>
      <c r="N24" s="174" t="str">
        <f aca="false">IF(INDEX(Salary_Calculation[Source Row],ROW()-ROW(Payslip_Lookup[#Headers]))="","",INDEX(Salary_Calculation[Orders Counted at Base Rate],ROW()-ROW(Payslip_Lookup[#Headers])))</f>
        <v/>
      </c>
      <c r="O24" s="174" t="str">
        <f aca="false">IF(INDEX(Salary_Calculation[Source Row],ROW()-ROW(Payslip_Lookup[#Headers]))="","",INDEX(Salary_Calculation[Missing Orders],ROW()-ROW(Payslip_Lookup[#Headers])))</f>
        <v/>
      </c>
      <c r="P24" s="176" t="str">
        <f aca="false">IF(INDEX(Salary_Calculation[Source Row],ROW()-ROW(Payslip_Lookup[#Headers]))="","",INDEX(Salary_Calculation[Missing-Order Deduction],ROW()-ROW(Payslip_Lookup[#Headers])))</f>
        <v/>
      </c>
      <c r="Q24" s="174" t="str">
        <f aca="false">IF(INDEX(Salary_Calculation[Source Row],ROW()-ROW(Payslip_Lookup[#Headers]))="","",INDEX(Salary_Calculation[Extra Orders],ROW()-ROW(Payslip_Lookup[#Headers])))</f>
        <v/>
      </c>
      <c r="R24" s="176" t="str">
        <f aca="false">IF(INDEX(Salary_Calculation[Source Row],ROW()-ROW(Payslip_Lookup[#Headers]))="","",INDEX(Salary_Calculation[Extra-Order Bonus],ROW()-ROW(Payslip_Lookup[#Headers])))</f>
        <v/>
      </c>
      <c r="S24" s="176" t="str">
        <f aca="false">IF(INDEX(Salary_Calculation[Source Row],ROW()-ROW(Payslip_Lookup[#Headers]))="","",INDEX(Salary_Calculation[Basic Salary for Target],ROW()-ROW(Payslip_Lookup[#Headers])))</f>
        <v/>
      </c>
      <c r="T24" s="176" t="str">
        <f aca="false">IF(INDEX(Salary_Calculation[Source Row],ROW()-ROW(Payslip_Lookup[#Headers]))="","",INDEX(Salary_Calculation[Gross Salary Before Deductions],ROW()-ROW(Payslip_Lookup[#Headers])))</f>
        <v/>
      </c>
      <c r="U24" s="176" t="str">
        <f aca="false">IF(INDEX(Salary_Calculation[Source Row],ROW()-ROW(Payslip_Lookup[#Headers]))="","",INDEX(Salary_Calculation[missed_days_penalty],ROW()-ROW(Payslip_Lookup[#Headers])))</f>
        <v/>
      </c>
      <c r="V24" s="176" t="str">
        <f aca="false">IF(INDEX(Salary_Calculation[Source Row],ROW()-ROW(Payslip_Lookup[#Headers]))="","",INDEX(Salary_Calculation[Rider Balance],ROW()-ROW(Payslip_Lookup[#Headers])))</f>
        <v/>
      </c>
      <c r="W24" s="176" t="str">
        <f aca="false">IF(INDEX(Salary_Calculation[Source Row],ROW()-ROW(Payslip_Lookup[#Headers]))="","",INDEX(Salary_Calculation[stacking_deduction],ROW()-ROW(Payslip_Lookup[#Headers])))</f>
        <v/>
      </c>
      <c r="X24" s="176" t="str">
        <f aca="false">IF(INDEX(Salary_Calculation[Source Row],ROW()-ROW(Payslip_Lookup[#Headers]))="","",INDEX(Salary_Calculation[Other Deductions],ROW()-ROW(Payslip_Lookup[#Headers])))</f>
        <v/>
      </c>
      <c r="Y24" s="176" t="str">
        <f aca="false">IF(INDEX(Salary_Calculation[Source Row],ROW()-ROW(Payslip_Lookup[#Headers]))="","",INDEX(Salary_Calculation[Total Deductions],ROW()-ROW(Payslip_Lookup[#Headers])))</f>
        <v/>
      </c>
      <c r="Z24" s="176" t="str">
        <f aca="false">IF(INDEX(Salary_Calculation[Source Row],ROW()-ROW(Payslip_Lookup[#Headers]))="","",INDEX(Salary_Calculation[Final Salary],ROW()-ROW(Payslip_Lookup[#Headers])))</f>
        <v/>
      </c>
      <c r="AA24" s="176" t="str">
        <f aca="false">IF(INDEX(Salary_Calculation[Source Row],ROW()-ROW(Payslip_Lookup[#Headers]))="","",INDEX(Salary_Calculation[Negative Balance / Amount Due from Rider],ROW()-ROW(Payslip_Lookup[#Headers])))</f>
        <v/>
      </c>
      <c r="AB24" s="176" t="str">
        <f aca="false">IF(INDEX(Salary_Calculation[Source Row],ROW()-ROW(Payslip_Lookup[#Headers]))="","",INDEX(Salary_Calculation[Total Amount Due from Rider],ROW()-ROW(Payslip_Lookup[#Headers])))</f>
        <v/>
      </c>
      <c r="AC24" s="176" t="str">
        <f aca="false">IF(INDEX(Salary_Calculation[Source Row],ROW()-ROW(Payslip_Lookup[#Headers]))="","",INDEX(Salary_Calculation[Salary Before Other Deductions],ROW()-ROW(Payslip_Lookup[#Headers])))</f>
        <v/>
      </c>
      <c r="AD24" s="171" t="str">
        <f aca="false">IF(INDEX(Salary_Calculation[Source Row],ROW()-ROW(Payslip_Lookup[#Headers]))="","",INDEX(Salary_Calculation[Payment Status],ROW()-ROW(Payslip_Lookup[#Headers])))</f>
        <v/>
      </c>
      <c r="AE24" s="171" t="str">
        <f aca="false">IF(INDEX(Salary_Calculation[Source Row],ROW()-ROW(Payslip_Lookup[#Headers]))="","",INDEX(Salary_Calculation[Notes],ROW()-ROW(Payslip_Lookup[#Headers])))</f>
        <v/>
      </c>
      <c r="AF24" s="171" t="str">
        <f aca="false">IF(INDEX(Salary_Calculation[Source Row],ROW()-ROW(Payslip_Lookup[#Headers]))="","",INDEX(Salary_Calculation[Exception Reason],ROW()-ROW(Payslip_Lookup[#Headers])))</f>
        <v/>
      </c>
      <c r="AG24" s="173" t="str">
        <f aca="false">IF($AD24="Review Required",COUNTIF(AD$2:AD24,"Review Required"),"")</f>
        <v/>
      </c>
      <c r="AH24" s="173" t="str">
        <f aca="false">IF(AND($D24&lt;&gt;"",$B24=Payslip_Print!$C$2),MAX(AH$1:AH23)+1,"")</f>
        <v/>
      </c>
      <c r="AJ24" s="177" t="str">
        <f aca="false">IF(AJ23="","",IFERROR(SMALL(Payslip_Lookup[Month Key],COUNTIF(Payslip_Lookup[Month Key],"&lt;="&amp;AJ23)+1),""))</f>
        <v/>
      </c>
      <c r="AK24" s="177" t="str">
        <f aca="false">IF(AJ23="","",AJ23)</f>
        <v/>
      </c>
      <c r="AL24" s="178" t="str">
        <f aca="false">IFERROR(INDEX($D$2:$D$501,MATCH(ROW()-1,$AH$2:$AH$501,0)),"")</f>
        <v/>
      </c>
      <c r="AM24" s="179" t="str">
        <f aca="false">IF($Z24="","",IF(AND($C24&gt;=Dash_Start,$C24&lt;Dash_End),$Z24+ROW()/10000000,""))</f>
        <v/>
      </c>
    </row>
    <row r="25" customFormat="false" ht="14.25" hidden="false" customHeight="false" outlineLevel="0" collapsed="false">
      <c r="A25" s="171" t="str">
        <f aca="false">IF(Payslip_Lookup[[#This Row],[Rider ID]]="","",Payslip_Lookup[[#This Row],[Rider ID]]&amp;"|"&amp;Payslip_Lookup[[#This Row],[Month Key]])</f>
        <v/>
      </c>
      <c r="B25" s="172" t="str">
        <f aca="false">IF(ISNUMBER(Payslip_Lookup[[#This Row],[Salary Month]]),DATE(YEAR(Payslip_Lookup[[#This Row],[Salary Month]]),MONTH(Payslip_Lookup[[#This Row],[Salary Month]]),1),"")</f>
        <v/>
      </c>
      <c r="C25" s="172" t="str">
        <f aca="false">IF(INDEX(Salary_Calculation[Source Row],ROW()-ROW(Payslip_Lookup[#Headers]))="","",INDEX(Salary_Calculation[Salary Month],ROW()-ROW(Payslip_Lookup[#Headers])))</f>
        <v/>
      </c>
      <c r="D25" s="173" t="str">
        <f aca="false">IF(INDEX(Salary_Calculation[Source Row],ROW()-ROW(Payslip_Lookup[#Headers]))="","",INDEX(Salary_Calculation[Rider ID],ROW()-ROW(Payslip_Lookup[#Headers])))</f>
        <v/>
      </c>
      <c r="E25" s="171" t="str">
        <f aca="false">IF(INDEX(Salary_Calculation[Source Row],ROW()-ROW(Payslip_Lookup[#Headers]))="","",INDEX(Salary_Calculation[Rider Name],ROW()-ROW(Payslip_Lookup[#Headers])))</f>
        <v/>
      </c>
      <c r="F25" s="173" t="str">
        <f aca="false">IF(INDEX(Salary_Calculation[Source Row],ROW()-ROW(Payslip_Lookup[#Headers]))="","",INDEX(Salary_Calculation[Working Days],ROW()-ROW(Payslip_Lookup[#Headers])))</f>
        <v/>
      </c>
      <c r="G25" s="173" t="str">
        <f aca="false">IF(INDEX(Salary_Calculation[Source Row],ROW()-ROW(Payslip_Lookup[#Headers]))="","",INDEX(Salary_Calculation[Calendar Days],ROW()-ROW(Payslip_Lookup[#Headers])))</f>
        <v/>
      </c>
      <c r="H25" s="174" t="str">
        <f aca="false">IF(INDEX(Salary_Calculation[Source Row],ROW()-ROW(Payslip_Lookup[#Headers]))="","",INDEX(Salary_Calculation[Monthly Target Orders],ROW()-ROW(Payslip_Lookup[#Headers])))</f>
        <v/>
      </c>
      <c r="I25" s="174" t="str">
        <f aca="false">IF(INDEX(Salary_Calculation[Source Row],ROW()-ROW(Payslip_Lookup[#Headers]))="","",INDEX(Salary_Calculation[Rider Target Orders],ROW()-ROW(Payslip_Lookup[#Headers])))</f>
        <v/>
      </c>
      <c r="J25" s="175" t="str">
        <f aca="false">IF(INDEX(Salary_Calculation[Source Row],ROW()-ROW(Payslip_Lookup[#Headers]))="","",INDEX(Salary_Calculation[Completed Orders],ROW()-ROW(Payslip_Lookup[#Headers])))</f>
        <v/>
      </c>
      <c r="K25" s="174" t="str">
        <f aca="false">IF(INDEX(Salary_Calculation[Source Row],ROW()-ROW(Payslip_Lookup[#Headers]))="","",INDEX(Salary_Calculation[Base Order Rate],ROW()-ROW(Payslip_Lookup[#Headers])))</f>
        <v/>
      </c>
      <c r="L25" s="176" t="str">
        <f aca="false">IF(INDEX(Salary_Calculation[Source Row],ROW()-ROW(Payslip_Lookup[#Headers]))="","",INDEX(Salary_Calculation[Basic Payment],ROW()-ROW(Payslip_Lookup[#Headers])))</f>
        <v/>
      </c>
      <c r="M25" s="176" t="str">
        <f aca="false">IF(INDEX(Salary_Calculation[Source Row],ROW()-ROW(Payslip_Lookup[#Headers]))="","",INDEX(Salary_Calculation[Earned Salary],ROW()-ROW(Payslip_Lookup[#Headers])))</f>
        <v/>
      </c>
      <c r="N25" s="174" t="str">
        <f aca="false">IF(INDEX(Salary_Calculation[Source Row],ROW()-ROW(Payslip_Lookup[#Headers]))="","",INDEX(Salary_Calculation[Orders Counted at Base Rate],ROW()-ROW(Payslip_Lookup[#Headers])))</f>
        <v/>
      </c>
      <c r="O25" s="174" t="str">
        <f aca="false">IF(INDEX(Salary_Calculation[Source Row],ROW()-ROW(Payslip_Lookup[#Headers]))="","",INDEX(Salary_Calculation[Missing Orders],ROW()-ROW(Payslip_Lookup[#Headers])))</f>
        <v/>
      </c>
      <c r="P25" s="176" t="str">
        <f aca="false">IF(INDEX(Salary_Calculation[Source Row],ROW()-ROW(Payslip_Lookup[#Headers]))="","",INDEX(Salary_Calculation[Missing-Order Deduction],ROW()-ROW(Payslip_Lookup[#Headers])))</f>
        <v/>
      </c>
      <c r="Q25" s="174" t="str">
        <f aca="false">IF(INDEX(Salary_Calculation[Source Row],ROW()-ROW(Payslip_Lookup[#Headers]))="","",INDEX(Salary_Calculation[Extra Orders],ROW()-ROW(Payslip_Lookup[#Headers])))</f>
        <v/>
      </c>
      <c r="R25" s="176" t="str">
        <f aca="false">IF(INDEX(Salary_Calculation[Source Row],ROW()-ROW(Payslip_Lookup[#Headers]))="","",INDEX(Salary_Calculation[Extra-Order Bonus],ROW()-ROW(Payslip_Lookup[#Headers])))</f>
        <v/>
      </c>
      <c r="S25" s="176" t="str">
        <f aca="false">IF(INDEX(Salary_Calculation[Source Row],ROW()-ROW(Payslip_Lookup[#Headers]))="","",INDEX(Salary_Calculation[Basic Salary for Target],ROW()-ROW(Payslip_Lookup[#Headers])))</f>
        <v/>
      </c>
      <c r="T25" s="176" t="str">
        <f aca="false">IF(INDEX(Salary_Calculation[Source Row],ROW()-ROW(Payslip_Lookup[#Headers]))="","",INDEX(Salary_Calculation[Gross Salary Before Deductions],ROW()-ROW(Payslip_Lookup[#Headers])))</f>
        <v/>
      </c>
      <c r="U25" s="176" t="str">
        <f aca="false">IF(INDEX(Salary_Calculation[Source Row],ROW()-ROW(Payslip_Lookup[#Headers]))="","",INDEX(Salary_Calculation[missed_days_penalty],ROW()-ROW(Payslip_Lookup[#Headers])))</f>
        <v/>
      </c>
      <c r="V25" s="176" t="str">
        <f aca="false">IF(INDEX(Salary_Calculation[Source Row],ROW()-ROW(Payslip_Lookup[#Headers]))="","",INDEX(Salary_Calculation[Rider Balance],ROW()-ROW(Payslip_Lookup[#Headers])))</f>
        <v/>
      </c>
      <c r="W25" s="176" t="str">
        <f aca="false">IF(INDEX(Salary_Calculation[Source Row],ROW()-ROW(Payslip_Lookup[#Headers]))="","",INDEX(Salary_Calculation[stacking_deduction],ROW()-ROW(Payslip_Lookup[#Headers])))</f>
        <v/>
      </c>
      <c r="X25" s="176" t="str">
        <f aca="false">IF(INDEX(Salary_Calculation[Source Row],ROW()-ROW(Payslip_Lookup[#Headers]))="","",INDEX(Salary_Calculation[Other Deductions],ROW()-ROW(Payslip_Lookup[#Headers])))</f>
        <v/>
      </c>
      <c r="Y25" s="176" t="str">
        <f aca="false">IF(INDEX(Salary_Calculation[Source Row],ROW()-ROW(Payslip_Lookup[#Headers]))="","",INDEX(Salary_Calculation[Total Deductions],ROW()-ROW(Payslip_Lookup[#Headers])))</f>
        <v/>
      </c>
      <c r="Z25" s="176" t="str">
        <f aca="false">IF(INDEX(Salary_Calculation[Source Row],ROW()-ROW(Payslip_Lookup[#Headers]))="","",INDEX(Salary_Calculation[Final Salary],ROW()-ROW(Payslip_Lookup[#Headers])))</f>
        <v/>
      </c>
      <c r="AA25" s="176" t="str">
        <f aca="false">IF(INDEX(Salary_Calculation[Source Row],ROW()-ROW(Payslip_Lookup[#Headers]))="","",INDEX(Salary_Calculation[Negative Balance / Amount Due from Rider],ROW()-ROW(Payslip_Lookup[#Headers])))</f>
        <v/>
      </c>
      <c r="AB25" s="176" t="str">
        <f aca="false">IF(INDEX(Salary_Calculation[Source Row],ROW()-ROW(Payslip_Lookup[#Headers]))="","",INDEX(Salary_Calculation[Total Amount Due from Rider],ROW()-ROW(Payslip_Lookup[#Headers])))</f>
        <v/>
      </c>
      <c r="AC25" s="176" t="str">
        <f aca="false">IF(INDEX(Salary_Calculation[Source Row],ROW()-ROW(Payslip_Lookup[#Headers]))="","",INDEX(Salary_Calculation[Salary Before Other Deductions],ROW()-ROW(Payslip_Lookup[#Headers])))</f>
        <v/>
      </c>
      <c r="AD25" s="171" t="str">
        <f aca="false">IF(INDEX(Salary_Calculation[Source Row],ROW()-ROW(Payslip_Lookup[#Headers]))="","",INDEX(Salary_Calculation[Payment Status],ROW()-ROW(Payslip_Lookup[#Headers])))</f>
        <v/>
      </c>
      <c r="AE25" s="171" t="str">
        <f aca="false">IF(INDEX(Salary_Calculation[Source Row],ROW()-ROW(Payslip_Lookup[#Headers]))="","",INDEX(Salary_Calculation[Notes],ROW()-ROW(Payslip_Lookup[#Headers])))</f>
        <v/>
      </c>
      <c r="AF25" s="171" t="str">
        <f aca="false">IF(INDEX(Salary_Calculation[Source Row],ROW()-ROW(Payslip_Lookup[#Headers]))="","",INDEX(Salary_Calculation[Exception Reason],ROW()-ROW(Payslip_Lookup[#Headers])))</f>
        <v/>
      </c>
      <c r="AG25" s="173" t="str">
        <f aca="false">IF($AD25="Review Required",COUNTIF(AD$2:AD25,"Review Required"),"")</f>
        <v/>
      </c>
      <c r="AH25" s="173" t="str">
        <f aca="false">IF(AND($D25&lt;&gt;"",$B25=Payslip_Print!$C$2),MAX(AH$1:AH24)+1,"")</f>
        <v/>
      </c>
      <c r="AJ25" s="177" t="str">
        <f aca="false">IF(AJ24="","",IFERROR(SMALL(Payslip_Lookup[Month Key],COUNTIF(Payslip_Lookup[Month Key],"&lt;="&amp;AJ24)+1),""))</f>
        <v/>
      </c>
      <c r="AK25" s="177" t="str">
        <f aca="false">IF(AJ24="","",AJ24)</f>
        <v/>
      </c>
      <c r="AL25" s="178" t="str">
        <f aca="false">IFERROR(INDEX($D$2:$D$501,MATCH(ROW()-1,$AH$2:$AH$501,0)),"")</f>
        <v/>
      </c>
      <c r="AM25" s="179" t="str">
        <f aca="false">IF($Z25="","",IF(AND($C25&gt;=Dash_Start,$C25&lt;Dash_End),$Z25+ROW()/10000000,""))</f>
        <v/>
      </c>
    </row>
    <row r="26" customFormat="false" ht="14.25" hidden="false" customHeight="false" outlineLevel="0" collapsed="false">
      <c r="A26" s="171" t="str">
        <f aca="false">IF(Payslip_Lookup[[#This Row],[Rider ID]]="","",Payslip_Lookup[[#This Row],[Rider ID]]&amp;"|"&amp;Payslip_Lookup[[#This Row],[Month Key]])</f>
        <v/>
      </c>
      <c r="B26" s="172" t="str">
        <f aca="false">IF(ISNUMBER(Payslip_Lookup[[#This Row],[Salary Month]]),DATE(YEAR(Payslip_Lookup[[#This Row],[Salary Month]]),MONTH(Payslip_Lookup[[#This Row],[Salary Month]]),1),"")</f>
        <v/>
      </c>
      <c r="C26" s="172" t="str">
        <f aca="false">IF(INDEX(Salary_Calculation[Source Row],ROW()-ROW(Payslip_Lookup[#Headers]))="","",INDEX(Salary_Calculation[Salary Month],ROW()-ROW(Payslip_Lookup[#Headers])))</f>
        <v/>
      </c>
      <c r="D26" s="173" t="str">
        <f aca="false">IF(INDEX(Salary_Calculation[Source Row],ROW()-ROW(Payslip_Lookup[#Headers]))="","",INDEX(Salary_Calculation[Rider ID],ROW()-ROW(Payslip_Lookup[#Headers])))</f>
        <v/>
      </c>
      <c r="E26" s="171" t="str">
        <f aca="false">IF(INDEX(Salary_Calculation[Source Row],ROW()-ROW(Payslip_Lookup[#Headers]))="","",INDEX(Salary_Calculation[Rider Name],ROW()-ROW(Payslip_Lookup[#Headers])))</f>
        <v/>
      </c>
      <c r="F26" s="173" t="str">
        <f aca="false">IF(INDEX(Salary_Calculation[Source Row],ROW()-ROW(Payslip_Lookup[#Headers]))="","",INDEX(Salary_Calculation[Working Days],ROW()-ROW(Payslip_Lookup[#Headers])))</f>
        <v/>
      </c>
      <c r="G26" s="173" t="str">
        <f aca="false">IF(INDEX(Salary_Calculation[Source Row],ROW()-ROW(Payslip_Lookup[#Headers]))="","",INDEX(Salary_Calculation[Calendar Days],ROW()-ROW(Payslip_Lookup[#Headers])))</f>
        <v/>
      </c>
      <c r="H26" s="174" t="str">
        <f aca="false">IF(INDEX(Salary_Calculation[Source Row],ROW()-ROW(Payslip_Lookup[#Headers]))="","",INDEX(Salary_Calculation[Monthly Target Orders],ROW()-ROW(Payslip_Lookup[#Headers])))</f>
        <v/>
      </c>
      <c r="I26" s="174" t="str">
        <f aca="false">IF(INDEX(Salary_Calculation[Source Row],ROW()-ROW(Payslip_Lookup[#Headers]))="","",INDEX(Salary_Calculation[Rider Target Orders],ROW()-ROW(Payslip_Lookup[#Headers])))</f>
        <v/>
      </c>
      <c r="J26" s="175" t="str">
        <f aca="false">IF(INDEX(Salary_Calculation[Source Row],ROW()-ROW(Payslip_Lookup[#Headers]))="","",INDEX(Salary_Calculation[Completed Orders],ROW()-ROW(Payslip_Lookup[#Headers])))</f>
        <v/>
      </c>
      <c r="K26" s="174" t="str">
        <f aca="false">IF(INDEX(Salary_Calculation[Source Row],ROW()-ROW(Payslip_Lookup[#Headers]))="","",INDEX(Salary_Calculation[Base Order Rate],ROW()-ROW(Payslip_Lookup[#Headers])))</f>
        <v/>
      </c>
      <c r="L26" s="176" t="str">
        <f aca="false">IF(INDEX(Salary_Calculation[Source Row],ROW()-ROW(Payslip_Lookup[#Headers]))="","",INDEX(Salary_Calculation[Basic Payment],ROW()-ROW(Payslip_Lookup[#Headers])))</f>
        <v/>
      </c>
      <c r="M26" s="176" t="str">
        <f aca="false">IF(INDEX(Salary_Calculation[Source Row],ROW()-ROW(Payslip_Lookup[#Headers]))="","",INDEX(Salary_Calculation[Earned Salary],ROW()-ROW(Payslip_Lookup[#Headers])))</f>
        <v/>
      </c>
      <c r="N26" s="174" t="str">
        <f aca="false">IF(INDEX(Salary_Calculation[Source Row],ROW()-ROW(Payslip_Lookup[#Headers]))="","",INDEX(Salary_Calculation[Orders Counted at Base Rate],ROW()-ROW(Payslip_Lookup[#Headers])))</f>
        <v/>
      </c>
      <c r="O26" s="174" t="str">
        <f aca="false">IF(INDEX(Salary_Calculation[Source Row],ROW()-ROW(Payslip_Lookup[#Headers]))="","",INDEX(Salary_Calculation[Missing Orders],ROW()-ROW(Payslip_Lookup[#Headers])))</f>
        <v/>
      </c>
      <c r="P26" s="176" t="str">
        <f aca="false">IF(INDEX(Salary_Calculation[Source Row],ROW()-ROW(Payslip_Lookup[#Headers]))="","",INDEX(Salary_Calculation[Missing-Order Deduction],ROW()-ROW(Payslip_Lookup[#Headers])))</f>
        <v/>
      </c>
      <c r="Q26" s="174" t="str">
        <f aca="false">IF(INDEX(Salary_Calculation[Source Row],ROW()-ROW(Payslip_Lookup[#Headers]))="","",INDEX(Salary_Calculation[Extra Orders],ROW()-ROW(Payslip_Lookup[#Headers])))</f>
        <v/>
      </c>
      <c r="R26" s="176" t="str">
        <f aca="false">IF(INDEX(Salary_Calculation[Source Row],ROW()-ROW(Payslip_Lookup[#Headers]))="","",INDEX(Salary_Calculation[Extra-Order Bonus],ROW()-ROW(Payslip_Lookup[#Headers])))</f>
        <v/>
      </c>
      <c r="S26" s="176" t="str">
        <f aca="false">IF(INDEX(Salary_Calculation[Source Row],ROW()-ROW(Payslip_Lookup[#Headers]))="","",INDEX(Salary_Calculation[Basic Salary for Target],ROW()-ROW(Payslip_Lookup[#Headers])))</f>
        <v/>
      </c>
      <c r="T26" s="176" t="str">
        <f aca="false">IF(INDEX(Salary_Calculation[Source Row],ROW()-ROW(Payslip_Lookup[#Headers]))="","",INDEX(Salary_Calculation[Gross Salary Before Deductions],ROW()-ROW(Payslip_Lookup[#Headers])))</f>
        <v/>
      </c>
      <c r="U26" s="176" t="str">
        <f aca="false">IF(INDEX(Salary_Calculation[Source Row],ROW()-ROW(Payslip_Lookup[#Headers]))="","",INDEX(Salary_Calculation[missed_days_penalty],ROW()-ROW(Payslip_Lookup[#Headers])))</f>
        <v/>
      </c>
      <c r="V26" s="176" t="str">
        <f aca="false">IF(INDEX(Salary_Calculation[Source Row],ROW()-ROW(Payslip_Lookup[#Headers]))="","",INDEX(Salary_Calculation[Rider Balance],ROW()-ROW(Payslip_Lookup[#Headers])))</f>
        <v/>
      </c>
      <c r="W26" s="176" t="str">
        <f aca="false">IF(INDEX(Salary_Calculation[Source Row],ROW()-ROW(Payslip_Lookup[#Headers]))="","",INDEX(Salary_Calculation[stacking_deduction],ROW()-ROW(Payslip_Lookup[#Headers])))</f>
        <v/>
      </c>
      <c r="X26" s="176" t="str">
        <f aca="false">IF(INDEX(Salary_Calculation[Source Row],ROW()-ROW(Payslip_Lookup[#Headers]))="","",INDEX(Salary_Calculation[Other Deductions],ROW()-ROW(Payslip_Lookup[#Headers])))</f>
        <v/>
      </c>
      <c r="Y26" s="176" t="str">
        <f aca="false">IF(INDEX(Salary_Calculation[Source Row],ROW()-ROW(Payslip_Lookup[#Headers]))="","",INDEX(Salary_Calculation[Total Deductions],ROW()-ROW(Payslip_Lookup[#Headers])))</f>
        <v/>
      </c>
      <c r="Z26" s="176" t="str">
        <f aca="false">IF(INDEX(Salary_Calculation[Source Row],ROW()-ROW(Payslip_Lookup[#Headers]))="","",INDEX(Salary_Calculation[Final Salary],ROW()-ROW(Payslip_Lookup[#Headers])))</f>
        <v/>
      </c>
      <c r="AA26" s="176" t="str">
        <f aca="false">IF(INDEX(Salary_Calculation[Source Row],ROW()-ROW(Payslip_Lookup[#Headers]))="","",INDEX(Salary_Calculation[Negative Balance / Amount Due from Rider],ROW()-ROW(Payslip_Lookup[#Headers])))</f>
        <v/>
      </c>
      <c r="AB26" s="176" t="str">
        <f aca="false">IF(INDEX(Salary_Calculation[Source Row],ROW()-ROW(Payslip_Lookup[#Headers]))="","",INDEX(Salary_Calculation[Total Amount Due from Rider],ROW()-ROW(Payslip_Lookup[#Headers])))</f>
        <v/>
      </c>
      <c r="AC26" s="176" t="str">
        <f aca="false">IF(INDEX(Salary_Calculation[Source Row],ROW()-ROW(Payslip_Lookup[#Headers]))="","",INDEX(Salary_Calculation[Salary Before Other Deductions],ROW()-ROW(Payslip_Lookup[#Headers])))</f>
        <v/>
      </c>
      <c r="AD26" s="171" t="str">
        <f aca="false">IF(INDEX(Salary_Calculation[Source Row],ROW()-ROW(Payslip_Lookup[#Headers]))="","",INDEX(Salary_Calculation[Payment Status],ROW()-ROW(Payslip_Lookup[#Headers])))</f>
        <v/>
      </c>
      <c r="AE26" s="171" t="str">
        <f aca="false">IF(INDEX(Salary_Calculation[Source Row],ROW()-ROW(Payslip_Lookup[#Headers]))="","",INDEX(Salary_Calculation[Notes],ROW()-ROW(Payslip_Lookup[#Headers])))</f>
        <v/>
      </c>
      <c r="AF26" s="171" t="str">
        <f aca="false">IF(INDEX(Salary_Calculation[Source Row],ROW()-ROW(Payslip_Lookup[#Headers]))="","",INDEX(Salary_Calculation[Exception Reason],ROW()-ROW(Payslip_Lookup[#Headers])))</f>
        <v/>
      </c>
      <c r="AG26" s="173" t="str">
        <f aca="false">IF($AD26="Review Required",COUNTIF(AD$2:AD26,"Review Required"),"")</f>
        <v/>
      </c>
      <c r="AH26" s="173" t="str">
        <f aca="false">IF(AND($D26&lt;&gt;"",$B26=Payslip_Print!$C$2),MAX(AH$1:AH25)+1,"")</f>
        <v/>
      </c>
      <c r="AK26" s="177" t="str">
        <f aca="false">IF(AJ25="","",AJ25)</f>
        <v/>
      </c>
      <c r="AL26" s="178" t="str">
        <f aca="false">IFERROR(INDEX($D$2:$D$501,MATCH(ROW()-1,$AH$2:$AH$501,0)),"")</f>
        <v/>
      </c>
      <c r="AM26" s="179" t="str">
        <f aca="false">IF($Z26="","",IF(AND($C26&gt;=Dash_Start,$C26&lt;Dash_End),$Z26+ROW()/10000000,""))</f>
        <v/>
      </c>
    </row>
    <row r="27" customFormat="false" ht="14.25" hidden="false" customHeight="false" outlineLevel="0" collapsed="false">
      <c r="A27" s="171" t="str">
        <f aca="false">IF(Payslip_Lookup[[#This Row],[Rider ID]]="","",Payslip_Lookup[[#This Row],[Rider ID]]&amp;"|"&amp;Payslip_Lookup[[#This Row],[Month Key]])</f>
        <v/>
      </c>
      <c r="B27" s="172" t="str">
        <f aca="false">IF(ISNUMBER(Payslip_Lookup[[#This Row],[Salary Month]]),DATE(YEAR(Payslip_Lookup[[#This Row],[Salary Month]]),MONTH(Payslip_Lookup[[#This Row],[Salary Month]]),1),"")</f>
        <v/>
      </c>
      <c r="C27" s="172" t="str">
        <f aca="false">IF(INDEX(Salary_Calculation[Source Row],ROW()-ROW(Payslip_Lookup[#Headers]))="","",INDEX(Salary_Calculation[Salary Month],ROW()-ROW(Payslip_Lookup[#Headers])))</f>
        <v/>
      </c>
      <c r="D27" s="173" t="str">
        <f aca="false">IF(INDEX(Salary_Calculation[Source Row],ROW()-ROW(Payslip_Lookup[#Headers]))="","",INDEX(Salary_Calculation[Rider ID],ROW()-ROW(Payslip_Lookup[#Headers])))</f>
        <v/>
      </c>
      <c r="E27" s="171" t="str">
        <f aca="false">IF(INDEX(Salary_Calculation[Source Row],ROW()-ROW(Payslip_Lookup[#Headers]))="","",INDEX(Salary_Calculation[Rider Name],ROW()-ROW(Payslip_Lookup[#Headers])))</f>
        <v/>
      </c>
      <c r="F27" s="173" t="str">
        <f aca="false">IF(INDEX(Salary_Calculation[Source Row],ROW()-ROW(Payslip_Lookup[#Headers]))="","",INDEX(Salary_Calculation[Working Days],ROW()-ROW(Payslip_Lookup[#Headers])))</f>
        <v/>
      </c>
      <c r="G27" s="173" t="str">
        <f aca="false">IF(INDEX(Salary_Calculation[Source Row],ROW()-ROW(Payslip_Lookup[#Headers]))="","",INDEX(Salary_Calculation[Calendar Days],ROW()-ROW(Payslip_Lookup[#Headers])))</f>
        <v/>
      </c>
      <c r="H27" s="174" t="str">
        <f aca="false">IF(INDEX(Salary_Calculation[Source Row],ROW()-ROW(Payslip_Lookup[#Headers]))="","",INDEX(Salary_Calculation[Monthly Target Orders],ROW()-ROW(Payslip_Lookup[#Headers])))</f>
        <v/>
      </c>
      <c r="I27" s="174" t="str">
        <f aca="false">IF(INDEX(Salary_Calculation[Source Row],ROW()-ROW(Payslip_Lookup[#Headers]))="","",INDEX(Salary_Calculation[Rider Target Orders],ROW()-ROW(Payslip_Lookup[#Headers])))</f>
        <v/>
      </c>
      <c r="J27" s="175" t="str">
        <f aca="false">IF(INDEX(Salary_Calculation[Source Row],ROW()-ROW(Payslip_Lookup[#Headers]))="","",INDEX(Salary_Calculation[Completed Orders],ROW()-ROW(Payslip_Lookup[#Headers])))</f>
        <v/>
      </c>
      <c r="K27" s="174" t="str">
        <f aca="false">IF(INDEX(Salary_Calculation[Source Row],ROW()-ROW(Payslip_Lookup[#Headers]))="","",INDEX(Salary_Calculation[Base Order Rate],ROW()-ROW(Payslip_Lookup[#Headers])))</f>
        <v/>
      </c>
      <c r="L27" s="176" t="str">
        <f aca="false">IF(INDEX(Salary_Calculation[Source Row],ROW()-ROW(Payslip_Lookup[#Headers]))="","",INDEX(Salary_Calculation[Basic Payment],ROW()-ROW(Payslip_Lookup[#Headers])))</f>
        <v/>
      </c>
      <c r="M27" s="176" t="str">
        <f aca="false">IF(INDEX(Salary_Calculation[Source Row],ROW()-ROW(Payslip_Lookup[#Headers]))="","",INDEX(Salary_Calculation[Earned Salary],ROW()-ROW(Payslip_Lookup[#Headers])))</f>
        <v/>
      </c>
      <c r="N27" s="174" t="str">
        <f aca="false">IF(INDEX(Salary_Calculation[Source Row],ROW()-ROW(Payslip_Lookup[#Headers]))="","",INDEX(Salary_Calculation[Orders Counted at Base Rate],ROW()-ROW(Payslip_Lookup[#Headers])))</f>
        <v/>
      </c>
      <c r="O27" s="174" t="str">
        <f aca="false">IF(INDEX(Salary_Calculation[Source Row],ROW()-ROW(Payslip_Lookup[#Headers]))="","",INDEX(Salary_Calculation[Missing Orders],ROW()-ROW(Payslip_Lookup[#Headers])))</f>
        <v/>
      </c>
      <c r="P27" s="176" t="str">
        <f aca="false">IF(INDEX(Salary_Calculation[Source Row],ROW()-ROW(Payslip_Lookup[#Headers]))="","",INDEX(Salary_Calculation[Missing-Order Deduction],ROW()-ROW(Payslip_Lookup[#Headers])))</f>
        <v/>
      </c>
      <c r="Q27" s="174" t="str">
        <f aca="false">IF(INDEX(Salary_Calculation[Source Row],ROW()-ROW(Payslip_Lookup[#Headers]))="","",INDEX(Salary_Calculation[Extra Orders],ROW()-ROW(Payslip_Lookup[#Headers])))</f>
        <v/>
      </c>
      <c r="R27" s="176" t="str">
        <f aca="false">IF(INDEX(Salary_Calculation[Source Row],ROW()-ROW(Payslip_Lookup[#Headers]))="","",INDEX(Salary_Calculation[Extra-Order Bonus],ROW()-ROW(Payslip_Lookup[#Headers])))</f>
        <v/>
      </c>
      <c r="S27" s="176" t="str">
        <f aca="false">IF(INDEX(Salary_Calculation[Source Row],ROW()-ROW(Payslip_Lookup[#Headers]))="","",INDEX(Salary_Calculation[Basic Salary for Target],ROW()-ROW(Payslip_Lookup[#Headers])))</f>
        <v/>
      </c>
      <c r="T27" s="176" t="str">
        <f aca="false">IF(INDEX(Salary_Calculation[Source Row],ROW()-ROW(Payslip_Lookup[#Headers]))="","",INDEX(Salary_Calculation[Gross Salary Before Deductions],ROW()-ROW(Payslip_Lookup[#Headers])))</f>
        <v/>
      </c>
      <c r="U27" s="176" t="str">
        <f aca="false">IF(INDEX(Salary_Calculation[Source Row],ROW()-ROW(Payslip_Lookup[#Headers]))="","",INDEX(Salary_Calculation[missed_days_penalty],ROW()-ROW(Payslip_Lookup[#Headers])))</f>
        <v/>
      </c>
      <c r="V27" s="176" t="str">
        <f aca="false">IF(INDEX(Salary_Calculation[Source Row],ROW()-ROW(Payslip_Lookup[#Headers]))="","",INDEX(Salary_Calculation[Rider Balance],ROW()-ROW(Payslip_Lookup[#Headers])))</f>
        <v/>
      </c>
      <c r="W27" s="176" t="str">
        <f aca="false">IF(INDEX(Salary_Calculation[Source Row],ROW()-ROW(Payslip_Lookup[#Headers]))="","",INDEX(Salary_Calculation[stacking_deduction],ROW()-ROW(Payslip_Lookup[#Headers])))</f>
        <v/>
      </c>
      <c r="X27" s="176" t="str">
        <f aca="false">IF(INDEX(Salary_Calculation[Source Row],ROW()-ROW(Payslip_Lookup[#Headers]))="","",INDEX(Salary_Calculation[Other Deductions],ROW()-ROW(Payslip_Lookup[#Headers])))</f>
        <v/>
      </c>
      <c r="Y27" s="176" t="str">
        <f aca="false">IF(INDEX(Salary_Calculation[Source Row],ROW()-ROW(Payslip_Lookup[#Headers]))="","",INDEX(Salary_Calculation[Total Deductions],ROW()-ROW(Payslip_Lookup[#Headers])))</f>
        <v/>
      </c>
      <c r="Z27" s="176" t="str">
        <f aca="false">IF(INDEX(Salary_Calculation[Source Row],ROW()-ROW(Payslip_Lookup[#Headers]))="","",INDEX(Salary_Calculation[Final Salary],ROW()-ROW(Payslip_Lookup[#Headers])))</f>
        <v/>
      </c>
      <c r="AA27" s="176" t="str">
        <f aca="false">IF(INDEX(Salary_Calculation[Source Row],ROW()-ROW(Payslip_Lookup[#Headers]))="","",INDEX(Salary_Calculation[Negative Balance / Amount Due from Rider],ROW()-ROW(Payslip_Lookup[#Headers])))</f>
        <v/>
      </c>
      <c r="AB27" s="176" t="str">
        <f aca="false">IF(INDEX(Salary_Calculation[Source Row],ROW()-ROW(Payslip_Lookup[#Headers]))="","",INDEX(Salary_Calculation[Total Amount Due from Rider],ROW()-ROW(Payslip_Lookup[#Headers])))</f>
        <v/>
      </c>
      <c r="AC27" s="176" t="str">
        <f aca="false">IF(INDEX(Salary_Calculation[Source Row],ROW()-ROW(Payslip_Lookup[#Headers]))="","",INDEX(Salary_Calculation[Salary Before Other Deductions],ROW()-ROW(Payslip_Lookup[#Headers])))</f>
        <v/>
      </c>
      <c r="AD27" s="171" t="str">
        <f aca="false">IF(INDEX(Salary_Calculation[Source Row],ROW()-ROW(Payslip_Lookup[#Headers]))="","",INDEX(Salary_Calculation[Payment Status],ROW()-ROW(Payslip_Lookup[#Headers])))</f>
        <v/>
      </c>
      <c r="AE27" s="171" t="str">
        <f aca="false">IF(INDEX(Salary_Calculation[Source Row],ROW()-ROW(Payslip_Lookup[#Headers]))="","",INDEX(Salary_Calculation[Notes],ROW()-ROW(Payslip_Lookup[#Headers])))</f>
        <v/>
      </c>
      <c r="AF27" s="171" t="str">
        <f aca="false">IF(INDEX(Salary_Calculation[Source Row],ROW()-ROW(Payslip_Lookup[#Headers]))="","",INDEX(Salary_Calculation[Exception Reason],ROW()-ROW(Payslip_Lookup[#Headers])))</f>
        <v/>
      </c>
      <c r="AG27" s="173" t="str">
        <f aca="false">IF($AD27="Review Required",COUNTIF(AD$2:AD27,"Review Required"),"")</f>
        <v/>
      </c>
      <c r="AH27" s="173" t="str">
        <f aca="false">IF(AND($D27&lt;&gt;"",$B27=Payslip_Print!$C$2),MAX(AH$1:AH26)+1,"")</f>
        <v/>
      </c>
      <c r="AL27" s="178" t="str">
        <f aca="false">IFERROR(INDEX($D$2:$D$501,MATCH(ROW()-1,$AH$2:$AH$501,0)),"")</f>
        <v/>
      </c>
      <c r="AM27" s="179" t="str">
        <f aca="false">IF($Z27="","",IF(AND($C27&gt;=Dash_Start,$C27&lt;Dash_End),$Z27+ROW()/10000000,""))</f>
        <v/>
      </c>
    </row>
    <row r="28" customFormat="false" ht="14.25" hidden="false" customHeight="false" outlineLevel="0" collapsed="false">
      <c r="A28" s="171" t="str">
        <f aca="false">IF(Payslip_Lookup[[#This Row],[Rider ID]]="","",Payslip_Lookup[[#This Row],[Rider ID]]&amp;"|"&amp;Payslip_Lookup[[#This Row],[Month Key]])</f>
        <v/>
      </c>
      <c r="B28" s="172" t="str">
        <f aca="false">IF(ISNUMBER(Payslip_Lookup[[#This Row],[Salary Month]]),DATE(YEAR(Payslip_Lookup[[#This Row],[Salary Month]]),MONTH(Payslip_Lookup[[#This Row],[Salary Month]]),1),"")</f>
        <v/>
      </c>
      <c r="C28" s="172" t="str">
        <f aca="false">IF(INDEX(Salary_Calculation[Source Row],ROW()-ROW(Payslip_Lookup[#Headers]))="","",INDEX(Salary_Calculation[Salary Month],ROW()-ROW(Payslip_Lookup[#Headers])))</f>
        <v/>
      </c>
      <c r="D28" s="173" t="str">
        <f aca="false">IF(INDEX(Salary_Calculation[Source Row],ROW()-ROW(Payslip_Lookup[#Headers]))="","",INDEX(Salary_Calculation[Rider ID],ROW()-ROW(Payslip_Lookup[#Headers])))</f>
        <v/>
      </c>
      <c r="E28" s="171" t="str">
        <f aca="false">IF(INDEX(Salary_Calculation[Source Row],ROW()-ROW(Payslip_Lookup[#Headers]))="","",INDEX(Salary_Calculation[Rider Name],ROW()-ROW(Payslip_Lookup[#Headers])))</f>
        <v/>
      </c>
      <c r="F28" s="173" t="str">
        <f aca="false">IF(INDEX(Salary_Calculation[Source Row],ROW()-ROW(Payslip_Lookup[#Headers]))="","",INDEX(Salary_Calculation[Working Days],ROW()-ROW(Payslip_Lookup[#Headers])))</f>
        <v/>
      </c>
      <c r="G28" s="173" t="str">
        <f aca="false">IF(INDEX(Salary_Calculation[Source Row],ROW()-ROW(Payslip_Lookup[#Headers]))="","",INDEX(Salary_Calculation[Calendar Days],ROW()-ROW(Payslip_Lookup[#Headers])))</f>
        <v/>
      </c>
      <c r="H28" s="174" t="str">
        <f aca="false">IF(INDEX(Salary_Calculation[Source Row],ROW()-ROW(Payslip_Lookup[#Headers]))="","",INDEX(Salary_Calculation[Monthly Target Orders],ROW()-ROW(Payslip_Lookup[#Headers])))</f>
        <v/>
      </c>
      <c r="I28" s="174" t="str">
        <f aca="false">IF(INDEX(Salary_Calculation[Source Row],ROW()-ROW(Payslip_Lookup[#Headers]))="","",INDEX(Salary_Calculation[Rider Target Orders],ROW()-ROW(Payslip_Lookup[#Headers])))</f>
        <v/>
      </c>
      <c r="J28" s="175" t="str">
        <f aca="false">IF(INDEX(Salary_Calculation[Source Row],ROW()-ROW(Payslip_Lookup[#Headers]))="","",INDEX(Salary_Calculation[Completed Orders],ROW()-ROW(Payslip_Lookup[#Headers])))</f>
        <v/>
      </c>
      <c r="K28" s="174" t="str">
        <f aca="false">IF(INDEX(Salary_Calculation[Source Row],ROW()-ROW(Payslip_Lookup[#Headers]))="","",INDEX(Salary_Calculation[Base Order Rate],ROW()-ROW(Payslip_Lookup[#Headers])))</f>
        <v/>
      </c>
      <c r="L28" s="176" t="str">
        <f aca="false">IF(INDEX(Salary_Calculation[Source Row],ROW()-ROW(Payslip_Lookup[#Headers]))="","",INDEX(Salary_Calculation[Basic Payment],ROW()-ROW(Payslip_Lookup[#Headers])))</f>
        <v/>
      </c>
      <c r="M28" s="176" t="str">
        <f aca="false">IF(INDEX(Salary_Calculation[Source Row],ROW()-ROW(Payslip_Lookup[#Headers]))="","",INDEX(Salary_Calculation[Earned Salary],ROW()-ROW(Payslip_Lookup[#Headers])))</f>
        <v/>
      </c>
      <c r="N28" s="174" t="str">
        <f aca="false">IF(INDEX(Salary_Calculation[Source Row],ROW()-ROW(Payslip_Lookup[#Headers]))="","",INDEX(Salary_Calculation[Orders Counted at Base Rate],ROW()-ROW(Payslip_Lookup[#Headers])))</f>
        <v/>
      </c>
      <c r="O28" s="174" t="str">
        <f aca="false">IF(INDEX(Salary_Calculation[Source Row],ROW()-ROW(Payslip_Lookup[#Headers]))="","",INDEX(Salary_Calculation[Missing Orders],ROW()-ROW(Payslip_Lookup[#Headers])))</f>
        <v/>
      </c>
      <c r="P28" s="176" t="str">
        <f aca="false">IF(INDEX(Salary_Calculation[Source Row],ROW()-ROW(Payslip_Lookup[#Headers]))="","",INDEX(Salary_Calculation[Missing-Order Deduction],ROW()-ROW(Payslip_Lookup[#Headers])))</f>
        <v/>
      </c>
      <c r="Q28" s="174" t="str">
        <f aca="false">IF(INDEX(Salary_Calculation[Source Row],ROW()-ROW(Payslip_Lookup[#Headers]))="","",INDEX(Salary_Calculation[Extra Orders],ROW()-ROW(Payslip_Lookup[#Headers])))</f>
        <v/>
      </c>
      <c r="R28" s="176" t="str">
        <f aca="false">IF(INDEX(Salary_Calculation[Source Row],ROW()-ROW(Payslip_Lookup[#Headers]))="","",INDEX(Salary_Calculation[Extra-Order Bonus],ROW()-ROW(Payslip_Lookup[#Headers])))</f>
        <v/>
      </c>
      <c r="S28" s="176" t="str">
        <f aca="false">IF(INDEX(Salary_Calculation[Source Row],ROW()-ROW(Payslip_Lookup[#Headers]))="","",INDEX(Salary_Calculation[Basic Salary for Target],ROW()-ROW(Payslip_Lookup[#Headers])))</f>
        <v/>
      </c>
      <c r="T28" s="176" t="str">
        <f aca="false">IF(INDEX(Salary_Calculation[Source Row],ROW()-ROW(Payslip_Lookup[#Headers]))="","",INDEX(Salary_Calculation[Gross Salary Before Deductions],ROW()-ROW(Payslip_Lookup[#Headers])))</f>
        <v/>
      </c>
      <c r="U28" s="176" t="str">
        <f aca="false">IF(INDEX(Salary_Calculation[Source Row],ROW()-ROW(Payslip_Lookup[#Headers]))="","",INDEX(Salary_Calculation[missed_days_penalty],ROW()-ROW(Payslip_Lookup[#Headers])))</f>
        <v/>
      </c>
      <c r="V28" s="176" t="str">
        <f aca="false">IF(INDEX(Salary_Calculation[Source Row],ROW()-ROW(Payslip_Lookup[#Headers]))="","",INDEX(Salary_Calculation[Rider Balance],ROW()-ROW(Payslip_Lookup[#Headers])))</f>
        <v/>
      </c>
      <c r="W28" s="176" t="str">
        <f aca="false">IF(INDEX(Salary_Calculation[Source Row],ROW()-ROW(Payslip_Lookup[#Headers]))="","",INDEX(Salary_Calculation[stacking_deduction],ROW()-ROW(Payslip_Lookup[#Headers])))</f>
        <v/>
      </c>
      <c r="X28" s="176" t="str">
        <f aca="false">IF(INDEX(Salary_Calculation[Source Row],ROW()-ROW(Payslip_Lookup[#Headers]))="","",INDEX(Salary_Calculation[Other Deductions],ROW()-ROW(Payslip_Lookup[#Headers])))</f>
        <v/>
      </c>
      <c r="Y28" s="176" t="str">
        <f aca="false">IF(INDEX(Salary_Calculation[Source Row],ROW()-ROW(Payslip_Lookup[#Headers]))="","",INDEX(Salary_Calculation[Total Deductions],ROW()-ROW(Payslip_Lookup[#Headers])))</f>
        <v/>
      </c>
      <c r="Z28" s="176" t="str">
        <f aca="false">IF(INDEX(Salary_Calculation[Source Row],ROW()-ROW(Payslip_Lookup[#Headers]))="","",INDEX(Salary_Calculation[Final Salary],ROW()-ROW(Payslip_Lookup[#Headers])))</f>
        <v/>
      </c>
      <c r="AA28" s="176" t="str">
        <f aca="false">IF(INDEX(Salary_Calculation[Source Row],ROW()-ROW(Payslip_Lookup[#Headers]))="","",INDEX(Salary_Calculation[Negative Balance / Amount Due from Rider],ROW()-ROW(Payslip_Lookup[#Headers])))</f>
        <v/>
      </c>
      <c r="AB28" s="176" t="str">
        <f aca="false">IF(INDEX(Salary_Calculation[Source Row],ROW()-ROW(Payslip_Lookup[#Headers]))="","",INDEX(Salary_Calculation[Total Amount Due from Rider],ROW()-ROW(Payslip_Lookup[#Headers])))</f>
        <v/>
      </c>
      <c r="AC28" s="176" t="str">
        <f aca="false">IF(INDEX(Salary_Calculation[Source Row],ROW()-ROW(Payslip_Lookup[#Headers]))="","",INDEX(Salary_Calculation[Salary Before Other Deductions],ROW()-ROW(Payslip_Lookup[#Headers])))</f>
        <v/>
      </c>
      <c r="AD28" s="171" t="str">
        <f aca="false">IF(INDEX(Salary_Calculation[Source Row],ROW()-ROW(Payslip_Lookup[#Headers]))="","",INDEX(Salary_Calculation[Payment Status],ROW()-ROW(Payslip_Lookup[#Headers])))</f>
        <v/>
      </c>
      <c r="AE28" s="171" t="str">
        <f aca="false">IF(INDEX(Salary_Calculation[Source Row],ROW()-ROW(Payslip_Lookup[#Headers]))="","",INDEX(Salary_Calculation[Notes],ROW()-ROW(Payslip_Lookup[#Headers])))</f>
        <v/>
      </c>
      <c r="AF28" s="171" t="str">
        <f aca="false">IF(INDEX(Salary_Calculation[Source Row],ROW()-ROW(Payslip_Lookup[#Headers]))="","",INDEX(Salary_Calculation[Exception Reason],ROW()-ROW(Payslip_Lookup[#Headers])))</f>
        <v/>
      </c>
      <c r="AG28" s="173" t="str">
        <f aca="false">IF($AD28="Review Required",COUNTIF(AD$2:AD28,"Review Required"),"")</f>
        <v/>
      </c>
      <c r="AH28" s="173" t="str">
        <f aca="false">IF(AND($D28&lt;&gt;"",$B28=Payslip_Print!$C$2),MAX(AH$1:AH27)+1,"")</f>
        <v/>
      </c>
      <c r="AL28" s="178" t="str">
        <f aca="false">IFERROR(INDEX($D$2:$D$501,MATCH(ROW()-1,$AH$2:$AH$501,0)),"")</f>
        <v/>
      </c>
      <c r="AM28" s="179" t="str">
        <f aca="false">IF($Z28="","",IF(AND($C28&gt;=Dash_Start,$C28&lt;Dash_End),$Z28+ROW()/10000000,""))</f>
        <v/>
      </c>
    </row>
    <row r="29" customFormat="false" ht="14.25" hidden="false" customHeight="false" outlineLevel="0" collapsed="false">
      <c r="A29" s="171" t="str">
        <f aca="false">IF(Payslip_Lookup[[#This Row],[Rider ID]]="","",Payslip_Lookup[[#This Row],[Rider ID]]&amp;"|"&amp;Payslip_Lookup[[#This Row],[Month Key]])</f>
        <v/>
      </c>
      <c r="B29" s="172" t="str">
        <f aca="false">IF(ISNUMBER(Payslip_Lookup[[#This Row],[Salary Month]]),DATE(YEAR(Payslip_Lookup[[#This Row],[Salary Month]]),MONTH(Payslip_Lookup[[#This Row],[Salary Month]]),1),"")</f>
        <v/>
      </c>
      <c r="C29" s="172" t="str">
        <f aca="false">IF(INDEX(Salary_Calculation[Source Row],ROW()-ROW(Payslip_Lookup[#Headers]))="","",INDEX(Salary_Calculation[Salary Month],ROW()-ROW(Payslip_Lookup[#Headers])))</f>
        <v/>
      </c>
      <c r="D29" s="173" t="str">
        <f aca="false">IF(INDEX(Salary_Calculation[Source Row],ROW()-ROW(Payslip_Lookup[#Headers]))="","",INDEX(Salary_Calculation[Rider ID],ROW()-ROW(Payslip_Lookup[#Headers])))</f>
        <v/>
      </c>
      <c r="E29" s="171" t="str">
        <f aca="false">IF(INDEX(Salary_Calculation[Source Row],ROW()-ROW(Payslip_Lookup[#Headers]))="","",INDEX(Salary_Calculation[Rider Name],ROW()-ROW(Payslip_Lookup[#Headers])))</f>
        <v/>
      </c>
      <c r="F29" s="173" t="str">
        <f aca="false">IF(INDEX(Salary_Calculation[Source Row],ROW()-ROW(Payslip_Lookup[#Headers]))="","",INDEX(Salary_Calculation[Working Days],ROW()-ROW(Payslip_Lookup[#Headers])))</f>
        <v/>
      </c>
      <c r="G29" s="173" t="str">
        <f aca="false">IF(INDEX(Salary_Calculation[Source Row],ROW()-ROW(Payslip_Lookup[#Headers]))="","",INDEX(Salary_Calculation[Calendar Days],ROW()-ROW(Payslip_Lookup[#Headers])))</f>
        <v/>
      </c>
      <c r="H29" s="174" t="str">
        <f aca="false">IF(INDEX(Salary_Calculation[Source Row],ROW()-ROW(Payslip_Lookup[#Headers]))="","",INDEX(Salary_Calculation[Monthly Target Orders],ROW()-ROW(Payslip_Lookup[#Headers])))</f>
        <v/>
      </c>
      <c r="I29" s="174" t="str">
        <f aca="false">IF(INDEX(Salary_Calculation[Source Row],ROW()-ROW(Payslip_Lookup[#Headers]))="","",INDEX(Salary_Calculation[Rider Target Orders],ROW()-ROW(Payslip_Lookup[#Headers])))</f>
        <v/>
      </c>
      <c r="J29" s="175" t="str">
        <f aca="false">IF(INDEX(Salary_Calculation[Source Row],ROW()-ROW(Payslip_Lookup[#Headers]))="","",INDEX(Salary_Calculation[Completed Orders],ROW()-ROW(Payslip_Lookup[#Headers])))</f>
        <v/>
      </c>
      <c r="K29" s="174" t="str">
        <f aca="false">IF(INDEX(Salary_Calculation[Source Row],ROW()-ROW(Payslip_Lookup[#Headers]))="","",INDEX(Salary_Calculation[Base Order Rate],ROW()-ROW(Payslip_Lookup[#Headers])))</f>
        <v/>
      </c>
      <c r="L29" s="176" t="str">
        <f aca="false">IF(INDEX(Salary_Calculation[Source Row],ROW()-ROW(Payslip_Lookup[#Headers]))="","",INDEX(Salary_Calculation[Basic Payment],ROW()-ROW(Payslip_Lookup[#Headers])))</f>
        <v/>
      </c>
      <c r="M29" s="176" t="str">
        <f aca="false">IF(INDEX(Salary_Calculation[Source Row],ROW()-ROW(Payslip_Lookup[#Headers]))="","",INDEX(Salary_Calculation[Earned Salary],ROW()-ROW(Payslip_Lookup[#Headers])))</f>
        <v/>
      </c>
      <c r="N29" s="174" t="str">
        <f aca="false">IF(INDEX(Salary_Calculation[Source Row],ROW()-ROW(Payslip_Lookup[#Headers]))="","",INDEX(Salary_Calculation[Orders Counted at Base Rate],ROW()-ROW(Payslip_Lookup[#Headers])))</f>
        <v/>
      </c>
      <c r="O29" s="174" t="str">
        <f aca="false">IF(INDEX(Salary_Calculation[Source Row],ROW()-ROW(Payslip_Lookup[#Headers]))="","",INDEX(Salary_Calculation[Missing Orders],ROW()-ROW(Payslip_Lookup[#Headers])))</f>
        <v/>
      </c>
      <c r="P29" s="176" t="str">
        <f aca="false">IF(INDEX(Salary_Calculation[Source Row],ROW()-ROW(Payslip_Lookup[#Headers]))="","",INDEX(Salary_Calculation[Missing-Order Deduction],ROW()-ROW(Payslip_Lookup[#Headers])))</f>
        <v/>
      </c>
      <c r="Q29" s="174" t="str">
        <f aca="false">IF(INDEX(Salary_Calculation[Source Row],ROW()-ROW(Payslip_Lookup[#Headers]))="","",INDEX(Salary_Calculation[Extra Orders],ROW()-ROW(Payslip_Lookup[#Headers])))</f>
        <v/>
      </c>
      <c r="R29" s="176" t="str">
        <f aca="false">IF(INDEX(Salary_Calculation[Source Row],ROW()-ROW(Payslip_Lookup[#Headers]))="","",INDEX(Salary_Calculation[Extra-Order Bonus],ROW()-ROW(Payslip_Lookup[#Headers])))</f>
        <v/>
      </c>
      <c r="S29" s="176" t="str">
        <f aca="false">IF(INDEX(Salary_Calculation[Source Row],ROW()-ROW(Payslip_Lookup[#Headers]))="","",INDEX(Salary_Calculation[Basic Salary for Target],ROW()-ROW(Payslip_Lookup[#Headers])))</f>
        <v/>
      </c>
      <c r="T29" s="176" t="str">
        <f aca="false">IF(INDEX(Salary_Calculation[Source Row],ROW()-ROW(Payslip_Lookup[#Headers]))="","",INDEX(Salary_Calculation[Gross Salary Before Deductions],ROW()-ROW(Payslip_Lookup[#Headers])))</f>
        <v/>
      </c>
      <c r="U29" s="176" t="str">
        <f aca="false">IF(INDEX(Salary_Calculation[Source Row],ROW()-ROW(Payslip_Lookup[#Headers]))="","",INDEX(Salary_Calculation[missed_days_penalty],ROW()-ROW(Payslip_Lookup[#Headers])))</f>
        <v/>
      </c>
      <c r="V29" s="176" t="str">
        <f aca="false">IF(INDEX(Salary_Calculation[Source Row],ROW()-ROW(Payslip_Lookup[#Headers]))="","",INDEX(Salary_Calculation[Rider Balance],ROW()-ROW(Payslip_Lookup[#Headers])))</f>
        <v/>
      </c>
      <c r="W29" s="176" t="str">
        <f aca="false">IF(INDEX(Salary_Calculation[Source Row],ROW()-ROW(Payslip_Lookup[#Headers]))="","",INDEX(Salary_Calculation[stacking_deduction],ROW()-ROW(Payslip_Lookup[#Headers])))</f>
        <v/>
      </c>
      <c r="X29" s="176" t="str">
        <f aca="false">IF(INDEX(Salary_Calculation[Source Row],ROW()-ROW(Payslip_Lookup[#Headers]))="","",INDEX(Salary_Calculation[Other Deductions],ROW()-ROW(Payslip_Lookup[#Headers])))</f>
        <v/>
      </c>
      <c r="Y29" s="176" t="str">
        <f aca="false">IF(INDEX(Salary_Calculation[Source Row],ROW()-ROW(Payslip_Lookup[#Headers]))="","",INDEX(Salary_Calculation[Total Deductions],ROW()-ROW(Payslip_Lookup[#Headers])))</f>
        <v/>
      </c>
      <c r="Z29" s="176" t="str">
        <f aca="false">IF(INDEX(Salary_Calculation[Source Row],ROW()-ROW(Payslip_Lookup[#Headers]))="","",INDEX(Salary_Calculation[Final Salary],ROW()-ROW(Payslip_Lookup[#Headers])))</f>
        <v/>
      </c>
      <c r="AA29" s="176" t="str">
        <f aca="false">IF(INDEX(Salary_Calculation[Source Row],ROW()-ROW(Payslip_Lookup[#Headers]))="","",INDEX(Salary_Calculation[Negative Balance / Amount Due from Rider],ROW()-ROW(Payslip_Lookup[#Headers])))</f>
        <v/>
      </c>
      <c r="AB29" s="176" t="str">
        <f aca="false">IF(INDEX(Salary_Calculation[Source Row],ROW()-ROW(Payslip_Lookup[#Headers]))="","",INDEX(Salary_Calculation[Total Amount Due from Rider],ROW()-ROW(Payslip_Lookup[#Headers])))</f>
        <v/>
      </c>
      <c r="AC29" s="176" t="str">
        <f aca="false">IF(INDEX(Salary_Calculation[Source Row],ROW()-ROW(Payslip_Lookup[#Headers]))="","",INDEX(Salary_Calculation[Salary Before Other Deductions],ROW()-ROW(Payslip_Lookup[#Headers])))</f>
        <v/>
      </c>
      <c r="AD29" s="171" t="str">
        <f aca="false">IF(INDEX(Salary_Calculation[Source Row],ROW()-ROW(Payslip_Lookup[#Headers]))="","",INDEX(Salary_Calculation[Payment Status],ROW()-ROW(Payslip_Lookup[#Headers])))</f>
        <v/>
      </c>
      <c r="AE29" s="171" t="str">
        <f aca="false">IF(INDEX(Salary_Calculation[Source Row],ROW()-ROW(Payslip_Lookup[#Headers]))="","",INDEX(Salary_Calculation[Notes],ROW()-ROW(Payslip_Lookup[#Headers])))</f>
        <v/>
      </c>
      <c r="AF29" s="171" t="str">
        <f aca="false">IF(INDEX(Salary_Calculation[Source Row],ROW()-ROW(Payslip_Lookup[#Headers]))="","",INDEX(Salary_Calculation[Exception Reason],ROW()-ROW(Payslip_Lookup[#Headers])))</f>
        <v/>
      </c>
      <c r="AG29" s="173" t="str">
        <f aca="false">IF($AD29="Review Required",COUNTIF(AD$2:AD29,"Review Required"),"")</f>
        <v/>
      </c>
      <c r="AH29" s="173" t="str">
        <f aca="false">IF(AND($D29&lt;&gt;"",$B29=Payslip_Print!$C$2),MAX(AH$1:AH28)+1,"")</f>
        <v/>
      </c>
      <c r="AL29" s="178" t="str">
        <f aca="false">IFERROR(INDEX($D$2:$D$501,MATCH(ROW()-1,$AH$2:$AH$501,0)),"")</f>
        <v/>
      </c>
      <c r="AM29" s="179" t="str">
        <f aca="false">IF($Z29="","",IF(AND($C29&gt;=Dash_Start,$C29&lt;Dash_End),$Z29+ROW()/10000000,""))</f>
        <v/>
      </c>
    </row>
    <row r="30" customFormat="false" ht="14.25" hidden="false" customHeight="false" outlineLevel="0" collapsed="false">
      <c r="A30" s="171" t="str">
        <f aca="false">IF(Payslip_Lookup[[#This Row],[Rider ID]]="","",Payslip_Lookup[[#This Row],[Rider ID]]&amp;"|"&amp;Payslip_Lookup[[#This Row],[Month Key]])</f>
        <v/>
      </c>
      <c r="B30" s="172" t="str">
        <f aca="false">IF(ISNUMBER(Payslip_Lookup[[#This Row],[Salary Month]]),DATE(YEAR(Payslip_Lookup[[#This Row],[Salary Month]]),MONTH(Payslip_Lookup[[#This Row],[Salary Month]]),1),"")</f>
        <v/>
      </c>
      <c r="C30" s="172" t="str">
        <f aca="false">IF(INDEX(Salary_Calculation[Source Row],ROW()-ROW(Payslip_Lookup[#Headers]))="","",INDEX(Salary_Calculation[Salary Month],ROW()-ROW(Payslip_Lookup[#Headers])))</f>
        <v/>
      </c>
      <c r="D30" s="173" t="str">
        <f aca="false">IF(INDEX(Salary_Calculation[Source Row],ROW()-ROW(Payslip_Lookup[#Headers]))="","",INDEX(Salary_Calculation[Rider ID],ROW()-ROW(Payslip_Lookup[#Headers])))</f>
        <v/>
      </c>
      <c r="E30" s="171" t="str">
        <f aca="false">IF(INDEX(Salary_Calculation[Source Row],ROW()-ROW(Payslip_Lookup[#Headers]))="","",INDEX(Salary_Calculation[Rider Name],ROW()-ROW(Payslip_Lookup[#Headers])))</f>
        <v/>
      </c>
      <c r="F30" s="173" t="str">
        <f aca="false">IF(INDEX(Salary_Calculation[Source Row],ROW()-ROW(Payslip_Lookup[#Headers]))="","",INDEX(Salary_Calculation[Working Days],ROW()-ROW(Payslip_Lookup[#Headers])))</f>
        <v/>
      </c>
      <c r="G30" s="173" t="str">
        <f aca="false">IF(INDEX(Salary_Calculation[Source Row],ROW()-ROW(Payslip_Lookup[#Headers]))="","",INDEX(Salary_Calculation[Calendar Days],ROW()-ROW(Payslip_Lookup[#Headers])))</f>
        <v/>
      </c>
      <c r="H30" s="174" t="str">
        <f aca="false">IF(INDEX(Salary_Calculation[Source Row],ROW()-ROW(Payslip_Lookup[#Headers]))="","",INDEX(Salary_Calculation[Monthly Target Orders],ROW()-ROW(Payslip_Lookup[#Headers])))</f>
        <v/>
      </c>
      <c r="I30" s="174" t="str">
        <f aca="false">IF(INDEX(Salary_Calculation[Source Row],ROW()-ROW(Payslip_Lookup[#Headers]))="","",INDEX(Salary_Calculation[Rider Target Orders],ROW()-ROW(Payslip_Lookup[#Headers])))</f>
        <v/>
      </c>
      <c r="J30" s="175" t="str">
        <f aca="false">IF(INDEX(Salary_Calculation[Source Row],ROW()-ROW(Payslip_Lookup[#Headers]))="","",INDEX(Salary_Calculation[Completed Orders],ROW()-ROW(Payslip_Lookup[#Headers])))</f>
        <v/>
      </c>
      <c r="K30" s="174" t="str">
        <f aca="false">IF(INDEX(Salary_Calculation[Source Row],ROW()-ROW(Payslip_Lookup[#Headers]))="","",INDEX(Salary_Calculation[Base Order Rate],ROW()-ROW(Payslip_Lookup[#Headers])))</f>
        <v/>
      </c>
      <c r="L30" s="176" t="str">
        <f aca="false">IF(INDEX(Salary_Calculation[Source Row],ROW()-ROW(Payslip_Lookup[#Headers]))="","",INDEX(Salary_Calculation[Basic Payment],ROW()-ROW(Payslip_Lookup[#Headers])))</f>
        <v/>
      </c>
      <c r="M30" s="176" t="str">
        <f aca="false">IF(INDEX(Salary_Calculation[Source Row],ROW()-ROW(Payslip_Lookup[#Headers]))="","",INDEX(Salary_Calculation[Earned Salary],ROW()-ROW(Payslip_Lookup[#Headers])))</f>
        <v/>
      </c>
      <c r="N30" s="174" t="str">
        <f aca="false">IF(INDEX(Salary_Calculation[Source Row],ROW()-ROW(Payslip_Lookup[#Headers]))="","",INDEX(Salary_Calculation[Orders Counted at Base Rate],ROW()-ROW(Payslip_Lookup[#Headers])))</f>
        <v/>
      </c>
      <c r="O30" s="174" t="str">
        <f aca="false">IF(INDEX(Salary_Calculation[Source Row],ROW()-ROW(Payslip_Lookup[#Headers]))="","",INDEX(Salary_Calculation[Missing Orders],ROW()-ROW(Payslip_Lookup[#Headers])))</f>
        <v/>
      </c>
      <c r="P30" s="176" t="str">
        <f aca="false">IF(INDEX(Salary_Calculation[Source Row],ROW()-ROW(Payslip_Lookup[#Headers]))="","",INDEX(Salary_Calculation[Missing-Order Deduction],ROW()-ROW(Payslip_Lookup[#Headers])))</f>
        <v/>
      </c>
      <c r="Q30" s="174" t="str">
        <f aca="false">IF(INDEX(Salary_Calculation[Source Row],ROW()-ROW(Payslip_Lookup[#Headers]))="","",INDEX(Salary_Calculation[Extra Orders],ROW()-ROW(Payslip_Lookup[#Headers])))</f>
        <v/>
      </c>
      <c r="R30" s="176" t="str">
        <f aca="false">IF(INDEX(Salary_Calculation[Source Row],ROW()-ROW(Payslip_Lookup[#Headers]))="","",INDEX(Salary_Calculation[Extra-Order Bonus],ROW()-ROW(Payslip_Lookup[#Headers])))</f>
        <v/>
      </c>
      <c r="S30" s="176" t="str">
        <f aca="false">IF(INDEX(Salary_Calculation[Source Row],ROW()-ROW(Payslip_Lookup[#Headers]))="","",INDEX(Salary_Calculation[Basic Salary for Target],ROW()-ROW(Payslip_Lookup[#Headers])))</f>
        <v/>
      </c>
      <c r="T30" s="176" t="str">
        <f aca="false">IF(INDEX(Salary_Calculation[Source Row],ROW()-ROW(Payslip_Lookup[#Headers]))="","",INDEX(Salary_Calculation[Gross Salary Before Deductions],ROW()-ROW(Payslip_Lookup[#Headers])))</f>
        <v/>
      </c>
      <c r="U30" s="176" t="str">
        <f aca="false">IF(INDEX(Salary_Calculation[Source Row],ROW()-ROW(Payslip_Lookup[#Headers]))="","",INDEX(Salary_Calculation[missed_days_penalty],ROW()-ROW(Payslip_Lookup[#Headers])))</f>
        <v/>
      </c>
      <c r="V30" s="176" t="str">
        <f aca="false">IF(INDEX(Salary_Calculation[Source Row],ROW()-ROW(Payslip_Lookup[#Headers]))="","",INDEX(Salary_Calculation[Rider Balance],ROW()-ROW(Payslip_Lookup[#Headers])))</f>
        <v/>
      </c>
      <c r="W30" s="176" t="str">
        <f aca="false">IF(INDEX(Salary_Calculation[Source Row],ROW()-ROW(Payslip_Lookup[#Headers]))="","",INDEX(Salary_Calculation[stacking_deduction],ROW()-ROW(Payslip_Lookup[#Headers])))</f>
        <v/>
      </c>
      <c r="X30" s="176" t="str">
        <f aca="false">IF(INDEX(Salary_Calculation[Source Row],ROW()-ROW(Payslip_Lookup[#Headers]))="","",INDEX(Salary_Calculation[Other Deductions],ROW()-ROW(Payslip_Lookup[#Headers])))</f>
        <v/>
      </c>
      <c r="Y30" s="176" t="str">
        <f aca="false">IF(INDEX(Salary_Calculation[Source Row],ROW()-ROW(Payslip_Lookup[#Headers]))="","",INDEX(Salary_Calculation[Total Deductions],ROW()-ROW(Payslip_Lookup[#Headers])))</f>
        <v/>
      </c>
      <c r="Z30" s="176" t="str">
        <f aca="false">IF(INDEX(Salary_Calculation[Source Row],ROW()-ROW(Payslip_Lookup[#Headers]))="","",INDEX(Salary_Calculation[Final Salary],ROW()-ROW(Payslip_Lookup[#Headers])))</f>
        <v/>
      </c>
      <c r="AA30" s="176" t="str">
        <f aca="false">IF(INDEX(Salary_Calculation[Source Row],ROW()-ROW(Payslip_Lookup[#Headers]))="","",INDEX(Salary_Calculation[Negative Balance / Amount Due from Rider],ROW()-ROW(Payslip_Lookup[#Headers])))</f>
        <v/>
      </c>
      <c r="AB30" s="176" t="str">
        <f aca="false">IF(INDEX(Salary_Calculation[Source Row],ROW()-ROW(Payslip_Lookup[#Headers]))="","",INDEX(Salary_Calculation[Total Amount Due from Rider],ROW()-ROW(Payslip_Lookup[#Headers])))</f>
        <v/>
      </c>
      <c r="AC30" s="176" t="str">
        <f aca="false">IF(INDEX(Salary_Calculation[Source Row],ROW()-ROW(Payslip_Lookup[#Headers]))="","",INDEX(Salary_Calculation[Salary Before Other Deductions],ROW()-ROW(Payslip_Lookup[#Headers])))</f>
        <v/>
      </c>
      <c r="AD30" s="171" t="str">
        <f aca="false">IF(INDEX(Salary_Calculation[Source Row],ROW()-ROW(Payslip_Lookup[#Headers]))="","",INDEX(Salary_Calculation[Payment Status],ROW()-ROW(Payslip_Lookup[#Headers])))</f>
        <v/>
      </c>
      <c r="AE30" s="171" t="str">
        <f aca="false">IF(INDEX(Salary_Calculation[Source Row],ROW()-ROW(Payslip_Lookup[#Headers]))="","",INDEX(Salary_Calculation[Notes],ROW()-ROW(Payslip_Lookup[#Headers])))</f>
        <v/>
      </c>
      <c r="AF30" s="171" t="str">
        <f aca="false">IF(INDEX(Salary_Calculation[Source Row],ROW()-ROW(Payslip_Lookup[#Headers]))="","",INDEX(Salary_Calculation[Exception Reason],ROW()-ROW(Payslip_Lookup[#Headers])))</f>
        <v/>
      </c>
      <c r="AG30" s="173" t="str">
        <f aca="false">IF($AD30="Review Required",COUNTIF(AD$2:AD30,"Review Required"),"")</f>
        <v/>
      </c>
      <c r="AH30" s="173" t="str">
        <f aca="false">IF(AND($D30&lt;&gt;"",$B30=Payslip_Print!$C$2),MAX(AH$1:AH29)+1,"")</f>
        <v/>
      </c>
      <c r="AL30" s="178" t="str">
        <f aca="false">IFERROR(INDEX($D$2:$D$501,MATCH(ROW()-1,$AH$2:$AH$501,0)),"")</f>
        <v/>
      </c>
      <c r="AM30" s="179" t="str">
        <f aca="false">IF($Z30="","",IF(AND($C30&gt;=Dash_Start,$C30&lt;Dash_End),$Z30+ROW()/10000000,""))</f>
        <v/>
      </c>
    </row>
    <row r="31" customFormat="false" ht="14.25" hidden="false" customHeight="false" outlineLevel="0" collapsed="false">
      <c r="A31" s="171" t="str">
        <f aca="false">IF(Payslip_Lookup[[#This Row],[Rider ID]]="","",Payslip_Lookup[[#This Row],[Rider ID]]&amp;"|"&amp;Payslip_Lookup[[#This Row],[Month Key]])</f>
        <v/>
      </c>
      <c r="B31" s="172" t="str">
        <f aca="false">IF(ISNUMBER(Payslip_Lookup[[#This Row],[Salary Month]]),DATE(YEAR(Payslip_Lookup[[#This Row],[Salary Month]]),MONTH(Payslip_Lookup[[#This Row],[Salary Month]]),1),"")</f>
        <v/>
      </c>
      <c r="C31" s="172" t="str">
        <f aca="false">IF(INDEX(Salary_Calculation[Source Row],ROW()-ROW(Payslip_Lookup[#Headers]))="","",INDEX(Salary_Calculation[Salary Month],ROW()-ROW(Payslip_Lookup[#Headers])))</f>
        <v/>
      </c>
      <c r="D31" s="173" t="str">
        <f aca="false">IF(INDEX(Salary_Calculation[Source Row],ROW()-ROW(Payslip_Lookup[#Headers]))="","",INDEX(Salary_Calculation[Rider ID],ROW()-ROW(Payslip_Lookup[#Headers])))</f>
        <v/>
      </c>
      <c r="E31" s="171" t="str">
        <f aca="false">IF(INDEX(Salary_Calculation[Source Row],ROW()-ROW(Payslip_Lookup[#Headers]))="","",INDEX(Salary_Calculation[Rider Name],ROW()-ROW(Payslip_Lookup[#Headers])))</f>
        <v/>
      </c>
      <c r="F31" s="173" t="str">
        <f aca="false">IF(INDEX(Salary_Calculation[Source Row],ROW()-ROW(Payslip_Lookup[#Headers]))="","",INDEX(Salary_Calculation[Working Days],ROW()-ROW(Payslip_Lookup[#Headers])))</f>
        <v/>
      </c>
      <c r="G31" s="173" t="str">
        <f aca="false">IF(INDEX(Salary_Calculation[Source Row],ROW()-ROW(Payslip_Lookup[#Headers]))="","",INDEX(Salary_Calculation[Calendar Days],ROW()-ROW(Payslip_Lookup[#Headers])))</f>
        <v/>
      </c>
      <c r="H31" s="174" t="str">
        <f aca="false">IF(INDEX(Salary_Calculation[Source Row],ROW()-ROW(Payslip_Lookup[#Headers]))="","",INDEX(Salary_Calculation[Monthly Target Orders],ROW()-ROW(Payslip_Lookup[#Headers])))</f>
        <v/>
      </c>
      <c r="I31" s="174" t="str">
        <f aca="false">IF(INDEX(Salary_Calculation[Source Row],ROW()-ROW(Payslip_Lookup[#Headers]))="","",INDEX(Salary_Calculation[Rider Target Orders],ROW()-ROW(Payslip_Lookup[#Headers])))</f>
        <v/>
      </c>
      <c r="J31" s="175" t="str">
        <f aca="false">IF(INDEX(Salary_Calculation[Source Row],ROW()-ROW(Payslip_Lookup[#Headers]))="","",INDEX(Salary_Calculation[Completed Orders],ROW()-ROW(Payslip_Lookup[#Headers])))</f>
        <v/>
      </c>
      <c r="K31" s="174" t="str">
        <f aca="false">IF(INDEX(Salary_Calculation[Source Row],ROW()-ROW(Payslip_Lookup[#Headers]))="","",INDEX(Salary_Calculation[Base Order Rate],ROW()-ROW(Payslip_Lookup[#Headers])))</f>
        <v/>
      </c>
      <c r="L31" s="176" t="str">
        <f aca="false">IF(INDEX(Salary_Calculation[Source Row],ROW()-ROW(Payslip_Lookup[#Headers]))="","",INDEX(Salary_Calculation[Basic Payment],ROW()-ROW(Payslip_Lookup[#Headers])))</f>
        <v/>
      </c>
      <c r="M31" s="176" t="str">
        <f aca="false">IF(INDEX(Salary_Calculation[Source Row],ROW()-ROW(Payslip_Lookup[#Headers]))="","",INDEX(Salary_Calculation[Earned Salary],ROW()-ROW(Payslip_Lookup[#Headers])))</f>
        <v/>
      </c>
      <c r="N31" s="174" t="str">
        <f aca="false">IF(INDEX(Salary_Calculation[Source Row],ROW()-ROW(Payslip_Lookup[#Headers]))="","",INDEX(Salary_Calculation[Orders Counted at Base Rate],ROW()-ROW(Payslip_Lookup[#Headers])))</f>
        <v/>
      </c>
      <c r="O31" s="174" t="str">
        <f aca="false">IF(INDEX(Salary_Calculation[Source Row],ROW()-ROW(Payslip_Lookup[#Headers]))="","",INDEX(Salary_Calculation[Missing Orders],ROW()-ROW(Payslip_Lookup[#Headers])))</f>
        <v/>
      </c>
      <c r="P31" s="176" t="str">
        <f aca="false">IF(INDEX(Salary_Calculation[Source Row],ROW()-ROW(Payslip_Lookup[#Headers]))="","",INDEX(Salary_Calculation[Missing-Order Deduction],ROW()-ROW(Payslip_Lookup[#Headers])))</f>
        <v/>
      </c>
      <c r="Q31" s="174" t="str">
        <f aca="false">IF(INDEX(Salary_Calculation[Source Row],ROW()-ROW(Payslip_Lookup[#Headers]))="","",INDEX(Salary_Calculation[Extra Orders],ROW()-ROW(Payslip_Lookup[#Headers])))</f>
        <v/>
      </c>
      <c r="R31" s="176" t="str">
        <f aca="false">IF(INDEX(Salary_Calculation[Source Row],ROW()-ROW(Payslip_Lookup[#Headers]))="","",INDEX(Salary_Calculation[Extra-Order Bonus],ROW()-ROW(Payslip_Lookup[#Headers])))</f>
        <v/>
      </c>
      <c r="S31" s="176" t="str">
        <f aca="false">IF(INDEX(Salary_Calculation[Source Row],ROW()-ROW(Payslip_Lookup[#Headers]))="","",INDEX(Salary_Calculation[Basic Salary for Target],ROW()-ROW(Payslip_Lookup[#Headers])))</f>
        <v/>
      </c>
      <c r="T31" s="176" t="str">
        <f aca="false">IF(INDEX(Salary_Calculation[Source Row],ROW()-ROW(Payslip_Lookup[#Headers]))="","",INDEX(Salary_Calculation[Gross Salary Before Deductions],ROW()-ROW(Payslip_Lookup[#Headers])))</f>
        <v/>
      </c>
      <c r="U31" s="176" t="str">
        <f aca="false">IF(INDEX(Salary_Calculation[Source Row],ROW()-ROW(Payslip_Lookup[#Headers]))="","",INDEX(Salary_Calculation[missed_days_penalty],ROW()-ROW(Payslip_Lookup[#Headers])))</f>
        <v/>
      </c>
      <c r="V31" s="176" t="str">
        <f aca="false">IF(INDEX(Salary_Calculation[Source Row],ROW()-ROW(Payslip_Lookup[#Headers]))="","",INDEX(Salary_Calculation[Rider Balance],ROW()-ROW(Payslip_Lookup[#Headers])))</f>
        <v/>
      </c>
      <c r="W31" s="176" t="str">
        <f aca="false">IF(INDEX(Salary_Calculation[Source Row],ROW()-ROW(Payslip_Lookup[#Headers]))="","",INDEX(Salary_Calculation[stacking_deduction],ROW()-ROW(Payslip_Lookup[#Headers])))</f>
        <v/>
      </c>
      <c r="X31" s="176" t="str">
        <f aca="false">IF(INDEX(Salary_Calculation[Source Row],ROW()-ROW(Payslip_Lookup[#Headers]))="","",INDEX(Salary_Calculation[Other Deductions],ROW()-ROW(Payslip_Lookup[#Headers])))</f>
        <v/>
      </c>
      <c r="Y31" s="176" t="str">
        <f aca="false">IF(INDEX(Salary_Calculation[Source Row],ROW()-ROW(Payslip_Lookup[#Headers]))="","",INDEX(Salary_Calculation[Total Deductions],ROW()-ROW(Payslip_Lookup[#Headers])))</f>
        <v/>
      </c>
      <c r="Z31" s="176" t="str">
        <f aca="false">IF(INDEX(Salary_Calculation[Source Row],ROW()-ROW(Payslip_Lookup[#Headers]))="","",INDEX(Salary_Calculation[Final Salary],ROW()-ROW(Payslip_Lookup[#Headers])))</f>
        <v/>
      </c>
      <c r="AA31" s="176" t="str">
        <f aca="false">IF(INDEX(Salary_Calculation[Source Row],ROW()-ROW(Payslip_Lookup[#Headers]))="","",INDEX(Salary_Calculation[Negative Balance / Amount Due from Rider],ROW()-ROW(Payslip_Lookup[#Headers])))</f>
        <v/>
      </c>
      <c r="AB31" s="176" t="str">
        <f aca="false">IF(INDEX(Salary_Calculation[Source Row],ROW()-ROW(Payslip_Lookup[#Headers]))="","",INDEX(Salary_Calculation[Total Amount Due from Rider],ROW()-ROW(Payslip_Lookup[#Headers])))</f>
        <v/>
      </c>
      <c r="AC31" s="176" t="str">
        <f aca="false">IF(INDEX(Salary_Calculation[Source Row],ROW()-ROW(Payslip_Lookup[#Headers]))="","",INDEX(Salary_Calculation[Salary Before Other Deductions],ROW()-ROW(Payslip_Lookup[#Headers])))</f>
        <v/>
      </c>
      <c r="AD31" s="171" t="str">
        <f aca="false">IF(INDEX(Salary_Calculation[Source Row],ROW()-ROW(Payslip_Lookup[#Headers]))="","",INDEX(Salary_Calculation[Payment Status],ROW()-ROW(Payslip_Lookup[#Headers])))</f>
        <v/>
      </c>
      <c r="AE31" s="171" t="str">
        <f aca="false">IF(INDEX(Salary_Calculation[Source Row],ROW()-ROW(Payslip_Lookup[#Headers]))="","",INDEX(Salary_Calculation[Notes],ROW()-ROW(Payslip_Lookup[#Headers])))</f>
        <v/>
      </c>
      <c r="AF31" s="171" t="str">
        <f aca="false">IF(INDEX(Salary_Calculation[Source Row],ROW()-ROW(Payslip_Lookup[#Headers]))="","",INDEX(Salary_Calculation[Exception Reason],ROW()-ROW(Payslip_Lookup[#Headers])))</f>
        <v/>
      </c>
      <c r="AG31" s="173" t="str">
        <f aca="false">IF($AD31="Review Required",COUNTIF(AD$2:AD31,"Review Required"),"")</f>
        <v/>
      </c>
      <c r="AH31" s="173" t="str">
        <f aca="false">IF(AND($D31&lt;&gt;"",$B31=Payslip_Print!$C$2),MAX(AH$1:AH30)+1,"")</f>
        <v/>
      </c>
      <c r="AL31" s="178" t="str">
        <f aca="false">IFERROR(INDEX($D$2:$D$501,MATCH(ROW()-1,$AH$2:$AH$501,0)),"")</f>
        <v/>
      </c>
      <c r="AM31" s="179" t="str">
        <f aca="false">IF($Z31="","",IF(AND($C31&gt;=Dash_Start,$C31&lt;Dash_End),$Z31+ROW()/10000000,""))</f>
        <v/>
      </c>
    </row>
    <row r="32" customFormat="false" ht="14.25" hidden="false" customHeight="false" outlineLevel="0" collapsed="false">
      <c r="A32" s="171" t="str">
        <f aca="false">IF(Payslip_Lookup[[#This Row],[Rider ID]]="","",Payslip_Lookup[[#This Row],[Rider ID]]&amp;"|"&amp;Payslip_Lookup[[#This Row],[Month Key]])</f>
        <v/>
      </c>
      <c r="B32" s="172" t="str">
        <f aca="false">IF(ISNUMBER(Payslip_Lookup[[#This Row],[Salary Month]]),DATE(YEAR(Payslip_Lookup[[#This Row],[Salary Month]]),MONTH(Payslip_Lookup[[#This Row],[Salary Month]]),1),"")</f>
        <v/>
      </c>
      <c r="C32" s="172" t="str">
        <f aca="false">IF(INDEX(Salary_Calculation[Source Row],ROW()-ROW(Payslip_Lookup[#Headers]))="","",INDEX(Salary_Calculation[Salary Month],ROW()-ROW(Payslip_Lookup[#Headers])))</f>
        <v/>
      </c>
      <c r="D32" s="173" t="str">
        <f aca="false">IF(INDEX(Salary_Calculation[Source Row],ROW()-ROW(Payslip_Lookup[#Headers]))="","",INDEX(Salary_Calculation[Rider ID],ROW()-ROW(Payslip_Lookup[#Headers])))</f>
        <v/>
      </c>
      <c r="E32" s="171" t="str">
        <f aca="false">IF(INDEX(Salary_Calculation[Source Row],ROW()-ROW(Payslip_Lookup[#Headers]))="","",INDEX(Salary_Calculation[Rider Name],ROW()-ROW(Payslip_Lookup[#Headers])))</f>
        <v/>
      </c>
      <c r="F32" s="173" t="str">
        <f aca="false">IF(INDEX(Salary_Calculation[Source Row],ROW()-ROW(Payslip_Lookup[#Headers]))="","",INDEX(Salary_Calculation[Working Days],ROW()-ROW(Payslip_Lookup[#Headers])))</f>
        <v/>
      </c>
      <c r="G32" s="173" t="str">
        <f aca="false">IF(INDEX(Salary_Calculation[Source Row],ROW()-ROW(Payslip_Lookup[#Headers]))="","",INDEX(Salary_Calculation[Calendar Days],ROW()-ROW(Payslip_Lookup[#Headers])))</f>
        <v/>
      </c>
      <c r="H32" s="174" t="str">
        <f aca="false">IF(INDEX(Salary_Calculation[Source Row],ROW()-ROW(Payslip_Lookup[#Headers]))="","",INDEX(Salary_Calculation[Monthly Target Orders],ROW()-ROW(Payslip_Lookup[#Headers])))</f>
        <v/>
      </c>
      <c r="I32" s="174" t="str">
        <f aca="false">IF(INDEX(Salary_Calculation[Source Row],ROW()-ROW(Payslip_Lookup[#Headers]))="","",INDEX(Salary_Calculation[Rider Target Orders],ROW()-ROW(Payslip_Lookup[#Headers])))</f>
        <v/>
      </c>
      <c r="J32" s="175" t="str">
        <f aca="false">IF(INDEX(Salary_Calculation[Source Row],ROW()-ROW(Payslip_Lookup[#Headers]))="","",INDEX(Salary_Calculation[Completed Orders],ROW()-ROW(Payslip_Lookup[#Headers])))</f>
        <v/>
      </c>
      <c r="K32" s="174" t="str">
        <f aca="false">IF(INDEX(Salary_Calculation[Source Row],ROW()-ROW(Payslip_Lookup[#Headers]))="","",INDEX(Salary_Calculation[Base Order Rate],ROW()-ROW(Payslip_Lookup[#Headers])))</f>
        <v/>
      </c>
      <c r="L32" s="176" t="str">
        <f aca="false">IF(INDEX(Salary_Calculation[Source Row],ROW()-ROW(Payslip_Lookup[#Headers]))="","",INDEX(Salary_Calculation[Basic Payment],ROW()-ROW(Payslip_Lookup[#Headers])))</f>
        <v/>
      </c>
      <c r="M32" s="176" t="str">
        <f aca="false">IF(INDEX(Salary_Calculation[Source Row],ROW()-ROW(Payslip_Lookup[#Headers]))="","",INDEX(Salary_Calculation[Earned Salary],ROW()-ROW(Payslip_Lookup[#Headers])))</f>
        <v/>
      </c>
      <c r="N32" s="174" t="str">
        <f aca="false">IF(INDEX(Salary_Calculation[Source Row],ROW()-ROW(Payslip_Lookup[#Headers]))="","",INDEX(Salary_Calculation[Orders Counted at Base Rate],ROW()-ROW(Payslip_Lookup[#Headers])))</f>
        <v/>
      </c>
      <c r="O32" s="174" t="str">
        <f aca="false">IF(INDEX(Salary_Calculation[Source Row],ROW()-ROW(Payslip_Lookup[#Headers]))="","",INDEX(Salary_Calculation[Missing Orders],ROW()-ROW(Payslip_Lookup[#Headers])))</f>
        <v/>
      </c>
      <c r="P32" s="176" t="str">
        <f aca="false">IF(INDEX(Salary_Calculation[Source Row],ROW()-ROW(Payslip_Lookup[#Headers]))="","",INDEX(Salary_Calculation[Missing-Order Deduction],ROW()-ROW(Payslip_Lookup[#Headers])))</f>
        <v/>
      </c>
      <c r="Q32" s="174" t="str">
        <f aca="false">IF(INDEX(Salary_Calculation[Source Row],ROW()-ROW(Payslip_Lookup[#Headers]))="","",INDEX(Salary_Calculation[Extra Orders],ROW()-ROW(Payslip_Lookup[#Headers])))</f>
        <v/>
      </c>
      <c r="R32" s="176" t="str">
        <f aca="false">IF(INDEX(Salary_Calculation[Source Row],ROW()-ROW(Payslip_Lookup[#Headers]))="","",INDEX(Salary_Calculation[Extra-Order Bonus],ROW()-ROW(Payslip_Lookup[#Headers])))</f>
        <v/>
      </c>
      <c r="S32" s="176" t="str">
        <f aca="false">IF(INDEX(Salary_Calculation[Source Row],ROW()-ROW(Payslip_Lookup[#Headers]))="","",INDEX(Salary_Calculation[Basic Salary for Target],ROW()-ROW(Payslip_Lookup[#Headers])))</f>
        <v/>
      </c>
      <c r="T32" s="176" t="str">
        <f aca="false">IF(INDEX(Salary_Calculation[Source Row],ROW()-ROW(Payslip_Lookup[#Headers]))="","",INDEX(Salary_Calculation[Gross Salary Before Deductions],ROW()-ROW(Payslip_Lookup[#Headers])))</f>
        <v/>
      </c>
      <c r="U32" s="176" t="str">
        <f aca="false">IF(INDEX(Salary_Calculation[Source Row],ROW()-ROW(Payslip_Lookup[#Headers]))="","",INDEX(Salary_Calculation[missed_days_penalty],ROW()-ROW(Payslip_Lookup[#Headers])))</f>
        <v/>
      </c>
      <c r="V32" s="176" t="str">
        <f aca="false">IF(INDEX(Salary_Calculation[Source Row],ROW()-ROW(Payslip_Lookup[#Headers]))="","",INDEX(Salary_Calculation[Rider Balance],ROW()-ROW(Payslip_Lookup[#Headers])))</f>
        <v/>
      </c>
      <c r="W32" s="176" t="str">
        <f aca="false">IF(INDEX(Salary_Calculation[Source Row],ROW()-ROW(Payslip_Lookup[#Headers]))="","",INDEX(Salary_Calculation[stacking_deduction],ROW()-ROW(Payslip_Lookup[#Headers])))</f>
        <v/>
      </c>
      <c r="X32" s="176" t="str">
        <f aca="false">IF(INDEX(Salary_Calculation[Source Row],ROW()-ROW(Payslip_Lookup[#Headers]))="","",INDEX(Salary_Calculation[Other Deductions],ROW()-ROW(Payslip_Lookup[#Headers])))</f>
        <v/>
      </c>
      <c r="Y32" s="176" t="str">
        <f aca="false">IF(INDEX(Salary_Calculation[Source Row],ROW()-ROW(Payslip_Lookup[#Headers]))="","",INDEX(Salary_Calculation[Total Deductions],ROW()-ROW(Payslip_Lookup[#Headers])))</f>
        <v/>
      </c>
      <c r="Z32" s="176" t="str">
        <f aca="false">IF(INDEX(Salary_Calculation[Source Row],ROW()-ROW(Payslip_Lookup[#Headers]))="","",INDEX(Salary_Calculation[Final Salary],ROW()-ROW(Payslip_Lookup[#Headers])))</f>
        <v/>
      </c>
      <c r="AA32" s="176" t="str">
        <f aca="false">IF(INDEX(Salary_Calculation[Source Row],ROW()-ROW(Payslip_Lookup[#Headers]))="","",INDEX(Salary_Calculation[Negative Balance / Amount Due from Rider],ROW()-ROW(Payslip_Lookup[#Headers])))</f>
        <v/>
      </c>
      <c r="AB32" s="176" t="str">
        <f aca="false">IF(INDEX(Salary_Calculation[Source Row],ROW()-ROW(Payslip_Lookup[#Headers]))="","",INDEX(Salary_Calculation[Total Amount Due from Rider],ROW()-ROW(Payslip_Lookup[#Headers])))</f>
        <v/>
      </c>
      <c r="AC32" s="176" t="str">
        <f aca="false">IF(INDEX(Salary_Calculation[Source Row],ROW()-ROW(Payslip_Lookup[#Headers]))="","",INDEX(Salary_Calculation[Salary Before Other Deductions],ROW()-ROW(Payslip_Lookup[#Headers])))</f>
        <v/>
      </c>
      <c r="AD32" s="171" t="str">
        <f aca="false">IF(INDEX(Salary_Calculation[Source Row],ROW()-ROW(Payslip_Lookup[#Headers]))="","",INDEX(Salary_Calculation[Payment Status],ROW()-ROW(Payslip_Lookup[#Headers])))</f>
        <v/>
      </c>
      <c r="AE32" s="171" t="str">
        <f aca="false">IF(INDEX(Salary_Calculation[Source Row],ROW()-ROW(Payslip_Lookup[#Headers]))="","",INDEX(Salary_Calculation[Notes],ROW()-ROW(Payslip_Lookup[#Headers])))</f>
        <v/>
      </c>
      <c r="AF32" s="171" t="str">
        <f aca="false">IF(INDEX(Salary_Calculation[Source Row],ROW()-ROW(Payslip_Lookup[#Headers]))="","",INDEX(Salary_Calculation[Exception Reason],ROW()-ROW(Payslip_Lookup[#Headers])))</f>
        <v/>
      </c>
      <c r="AG32" s="173" t="str">
        <f aca="false">IF($AD32="Review Required",COUNTIF(AD$2:AD32,"Review Required"),"")</f>
        <v/>
      </c>
      <c r="AH32" s="173" t="str">
        <f aca="false">IF(AND($D32&lt;&gt;"",$B32=Payslip_Print!$C$2),MAX(AH$1:AH31)+1,"")</f>
        <v/>
      </c>
      <c r="AL32" s="178" t="str">
        <f aca="false">IFERROR(INDEX($D$2:$D$501,MATCH(ROW()-1,$AH$2:$AH$501,0)),"")</f>
        <v/>
      </c>
      <c r="AM32" s="179" t="str">
        <f aca="false">IF($Z32="","",IF(AND($C32&gt;=Dash_Start,$C32&lt;Dash_End),$Z32+ROW()/10000000,""))</f>
        <v/>
      </c>
    </row>
    <row r="33" customFormat="false" ht="14.25" hidden="false" customHeight="false" outlineLevel="0" collapsed="false">
      <c r="A33" s="171" t="str">
        <f aca="false">IF(Payslip_Lookup[[#This Row],[Rider ID]]="","",Payslip_Lookup[[#This Row],[Rider ID]]&amp;"|"&amp;Payslip_Lookup[[#This Row],[Month Key]])</f>
        <v/>
      </c>
      <c r="B33" s="172" t="str">
        <f aca="false">IF(ISNUMBER(Payslip_Lookup[[#This Row],[Salary Month]]),DATE(YEAR(Payslip_Lookup[[#This Row],[Salary Month]]),MONTH(Payslip_Lookup[[#This Row],[Salary Month]]),1),"")</f>
        <v/>
      </c>
      <c r="C33" s="172" t="str">
        <f aca="false">IF(INDEX(Salary_Calculation[Source Row],ROW()-ROW(Payslip_Lookup[#Headers]))="","",INDEX(Salary_Calculation[Salary Month],ROW()-ROW(Payslip_Lookup[#Headers])))</f>
        <v/>
      </c>
      <c r="D33" s="173" t="str">
        <f aca="false">IF(INDEX(Salary_Calculation[Source Row],ROW()-ROW(Payslip_Lookup[#Headers]))="","",INDEX(Salary_Calculation[Rider ID],ROW()-ROW(Payslip_Lookup[#Headers])))</f>
        <v/>
      </c>
      <c r="E33" s="171" t="str">
        <f aca="false">IF(INDEX(Salary_Calculation[Source Row],ROW()-ROW(Payslip_Lookup[#Headers]))="","",INDEX(Salary_Calculation[Rider Name],ROW()-ROW(Payslip_Lookup[#Headers])))</f>
        <v/>
      </c>
      <c r="F33" s="173" t="str">
        <f aca="false">IF(INDEX(Salary_Calculation[Source Row],ROW()-ROW(Payslip_Lookup[#Headers]))="","",INDEX(Salary_Calculation[Working Days],ROW()-ROW(Payslip_Lookup[#Headers])))</f>
        <v/>
      </c>
      <c r="G33" s="173" t="str">
        <f aca="false">IF(INDEX(Salary_Calculation[Source Row],ROW()-ROW(Payslip_Lookup[#Headers]))="","",INDEX(Salary_Calculation[Calendar Days],ROW()-ROW(Payslip_Lookup[#Headers])))</f>
        <v/>
      </c>
      <c r="H33" s="174" t="str">
        <f aca="false">IF(INDEX(Salary_Calculation[Source Row],ROW()-ROW(Payslip_Lookup[#Headers]))="","",INDEX(Salary_Calculation[Monthly Target Orders],ROW()-ROW(Payslip_Lookup[#Headers])))</f>
        <v/>
      </c>
      <c r="I33" s="174" t="str">
        <f aca="false">IF(INDEX(Salary_Calculation[Source Row],ROW()-ROW(Payslip_Lookup[#Headers]))="","",INDEX(Salary_Calculation[Rider Target Orders],ROW()-ROW(Payslip_Lookup[#Headers])))</f>
        <v/>
      </c>
      <c r="J33" s="175" t="str">
        <f aca="false">IF(INDEX(Salary_Calculation[Source Row],ROW()-ROW(Payslip_Lookup[#Headers]))="","",INDEX(Salary_Calculation[Completed Orders],ROW()-ROW(Payslip_Lookup[#Headers])))</f>
        <v/>
      </c>
      <c r="K33" s="174" t="str">
        <f aca="false">IF(INDEX(Salary_Calculation[Source Row],ROW()-ROW(Payslip_Lookup[#Headers]))="","",INDEX(Salary_Calculation[Base Order Rate],ROW()-ROW(Payslip_Lookup[#Headers])))</f>
        <v/>
      </c>
      <c r="L33" s="176" t="str">
        <f aca="false">IF(INDEX(Salary_Calculation[Source Row],ROW()-ROW(Payslip_Lookup[#Headers]))="","",INDEX(Salary_Calculation[Basic Payment],ROW()-ROW(Payslip_Lookup[#Headers])))</f>
        <v/>
      </c>
      <c r="M33" s="176" t="str">
        <f aca="false">IF(INDEX(Salary_Calculation[Source Row],ROW()-ROW(Payslip_Lookup[#Headers]))="","",INDEX(Salary_Calculation[Earned Salary],ROW()-ROW(Payslip_Lookup[#Headers])))</f>
        <v/>
      </c>
      <c r="N33" s="174" t="str">
        <f aca="false">IF(INDEX(Salary_Calculation[Source Row],ROW()-ROW(Payslip_Lookup[#Headers]))="","",INDEX(Salary_Calculation[Orders Counted at Base Rate],ROW()-ROW(Payslip_Lookup[#Headers])))</f>
        <v/>
      </c>
      <c r="O33" s="174" t="str">
        <f aca="false">IF(INDEX(Salary_Calculation[Source Row],ROW()-ROW(Payslip_Lookup[#Headers]))="","",INDEX(Salary_Calculation[Missing Orders],ROW()-ROW(Payslip_Lookup[#Headers])))</f>
        <v/>
      </c>
      <c r="P33" s="176" t="str">
        <f aca="false">IF(INDEX(Salary_Calculation[Source Row],ROW()-ROW(Payslip_Lookup[#Headers]))="","",INDEX(Salary_Calculation[Missing-Order Deduction],ROW()-ROW(Payslip_Lookup[#Headers])))</f>
        <v/>
      </c>
      <c r="Q33" s="174" t="str">
        <f aca="false">IF(INDEX(Salary_Calculation[Source Row],ROW()-ROW(Payslip_Lookup[#Headers]))="","",INDEX(Salary_Calculation[Extra Orders],ROW()-ROW(Payslip_Lookup[#Headers])))</f>
        <v/>
      </c>
      <c r="R33" s="176" t="str">
        <f aca="false">IF(INDEX(Salary_Calculation[Source Row],ROW()-ROW(Payslip_Lookup[#Headers]))="","",INDEX(Salary_Calculation[Extra-Order Bonus],ROW()-ROW(Payslip_Lookup[#Headers])))</f>
        <v/>
      </c>
      <c r="S33" s="176" t="str">
        <f aca="false">IF(INDEX(Salary_Calculation[Source Row],ROW()-ROW(Payslip_Lookup[#Headers]))="","",INDEX(Salary_Calculation[Basic Salary for Target],ROW()-ROW(Payslip_Lookup[#Headers])))</f>
        <v/>
      </c>
      <c r="T33" s="176" t="str">
        <f aca="false">IF(INDEX(Salary_Calculation[Source Row],ROW()-ROW(Payslip_Lookup[#Headers]))="","",INDEX(Salary_Calculation[Gross Salary Before Deductions],ROW()-ROW(Payslip_Lookup[#Headers])))</f>
        <v/>
      </c>
      <c r="U33" s="176" t="str">
        <f aca="false">IF(INDEX(Salary_Calculation[Source Row],ROW()-ROW(Payslip_Lookup[#Headers]))="","",INDEX(Salary_Calculation[missed_days_penalty],ROW()-ROW(Payslip_Lookup[#Headers])))</f>
        <v/>
      </c>
      <c r="V33" s="176" t="str">
        <f aca="false">IF(INDEX(Salary_Calculation[Source Row],ROW()-ROW(Payslip_Lookup[#Headers]))="","",INDEX(Salary_Calculation[Rider Balance],ROW()-ROW(Payslip_Lookup[#Headers])))</f>
        <v/>
      </c>
      <c r="W33" s="176" t="str">
        <f aca="false">IF(INDEX(Salary_Calculation[Source Row],ROW()-ROW(Payslip_Lookup[#Headers]))="","",INDEX(Salary_Calculation[stacking_deduction],ROW()-ROW(Payslip_Lookup[#Headers])))</f>
        <v/>
      </c>
      <c r="X33" s="176" t="str">
        <f aca="false">IF(INDEX(Salary_Calculation[Source Row],ROW()-ROW(Payslip_Lookup[#Headers]))="","",INDEX(Salary_Calculation[Other Deductions],ROW()-ROW(Payslip_Lookup[#Headers])))</f>
        <v/>
      </c>
      <c r="Y33" s="176" t="str">
        <f aca="false">IF(INDEX(Salary_Calculation[Source Row],ROW()-ROW(Payslip_Lookup[#Headers]))="","",INDEX(Salary_Calculation[Total Deductions],ROW()-ROW(Payslip_Lookup[#Headers])))</f>
        <v/>
      </c>
      <c r="Z33" s="176" t="str">
        <f aca="false">IF(INDEX(Salary_Calculation[Source Row],ROW()-ROW(Payslip_Lookup[#Headers]))="","",INDEX(Salary_Calculation[Final Salary],ROW()-ROW(Payslip_Lookup[#Headers])))</f>
        <v/>
      </c>
      <c r="AA33" s="176" t="str">
        <f aca="false">IF(INDEX(Salary_Calculation[Source Row],ROW()-ROW(Payslip_Lookup[#Headers]))="","",INDEX(Salary_Calculation[Negative Balance / Amount Due from Rider],ROW()-ROW(Payslip_Lookup[#Headers])))</f>
        <v/>
      </c>
      <c r="AB33" s="176" t="str">
        <f aca="false">IF(INDEX(Salary_Calculation[Source Row],ROW()-ROW(Payslip_Lookup[#Headers]))="","",INDEX(Salary_Calculation[Total Amount Due from Rider],ROW()-ROW(Payslip_Lookup[#Headers])))</f>
        <v/>
      </c>
      <c r="AC33" s="176" t="str">
        <f aca="false">IF(INDEX(Salary_Calculation[Source Row],ROW()-ROW(Payslip_Lookup[#Headers]))="","",INDEX(Salary_Calculation[Salary Before Other Deductions],ROW()-ROW(Payslip_Lookup[#Headers])))</f>
        <v/>
      </c>
      <c r="AD33" s="171" t="str">
        <f aca="false">IF(INDEX(Salary_Calculation[Source Row],ROW()-ROW(Payslip_Lookup[#Headers]))="","",INDEX(Salary_Calculation[Payment Status],ROW()-ROW(Payslip_Lookup[#Headers])))</f>
        <v/>
      </c>
      <c r="AE33" s="171" t="str">
        <f aca="false">IF(INDEX(Salary_Calculation[Source Row],ROW()-ROW(Payslip_Lookup[#Headers]))="","",INDEX(Salary_Calculation[Notes],ROW()-ROW(Payslip_Lookup[#Headers])))</f>
        <v/>
      </c>
      <c r="AF33" s="171" t="str">
        <f aca="false">IF(INDEX(Salary_Calculation[Source Row],ROW()-ROW(Payslip_Lookup[#Headers]))="","",INDEX(Salary_Calculation[Exception Reason],ROW()-ROW(Payslip_Lookup[#Headers])))</f>
        <v/>
      </c>
      <c r="AG33" s="173" t="str">
        <f aca="false">IF($AD33="Review Required",COUNTIF(AD$2:AD33,"Review Required"),"")</f>
        <v/>
      </c>
      <c r="AH33" s="173" t="str">
        <f aca="false">IF(AND($D33&lt;&gt;"",$B33=Payslip_Print!$C$2),MAX(AH$1:AH32)+1,"")</f>
        <v/>
      </c>
      <c r="AL33" s="178" t="str">
        <f aca="false">IFERROR(INDEX($D$2:$D$501,MATCH(ROW()-1,$AH$2:$AH$501,0)),"")</f>
        <v/>
      </c>
      <c r="AM33" s="179" t="str">
        <f aca="false">IF($Z33="","",IF(AND($C33&gt;=Dash_Start,$C33&lt;Dash_End),$Z33+ROW()/10000000,""))</f>
        <v/>
      </c>
    </row>
    <row r="34" customFormat="false" ht="14.25" hidden="false" customHeight="false" outlineLevel="0" collapsed="false">
      <c r="A34" s="171" t="str">
        <f aca="false">IF(Payslip_Lookup[[#This Row],[Rider ID]]="","",Payslip_Lookup[[#This Row],[Rider ID]]&amp;"|"&amp;Payslip_Lookup[[#This Row],[Month Key]])</f>
        <v/>
      </c>
      <c r="B34" s="172" t="str">
        <f aca="false">IF(ISNUMBER(Payslip_Lookup[[#This Row],[Salary Month]]),DATE(YEAR(Payslip_Lookup[[#This Row],[Salary Month]]),MONTH(Payslip_Lookup[[#This Row],[Salary Month]]),1),"")</f>
        <v/>
      </c>
      <c r="C34" s="172" t="str">
        <f aca="false">IF(INDEX(Salary_Calculation[Source Row],ROW()-ROW(Payslip_Lookup[#Headers]))="","",INDEX(Salary_Calculation[Salary Month],ROW()-ROW(Payslip_Lookup[#Headers])))</f>
        <v/>
      </c>
      <c r="D34" s="173" t="str">
        <f aca="false">IF(INDEX(Salary_Calculation[Source Row],ROW()-ROW(Payslip_Lookup[#Headers]))="","",INDEX(Salary_Calculation[Rider ID],ROW()-ROW(Payslip_Lookup[#Headers])))</f>
        <v/>
      </c>
      <c r="E34" s="171" t="str">
        <f aca="false">IF(INDEX(Salary_Calculation[Source Row],ROW()-ROW(Payslip_Lookup[#Headers]))="","",INDEX(Salary_Calculation[Rider Name],ROW()-ROW(Payslip_Lookup[#Headers])))</f>
        <v/>
      </c>
      <c r="F34" s="173" t="str">
        <f aca="false">IF(INDEX(Salary_Calculation[Source Row],ROW()-ROW(Payslip_Lookup[#Headers]))="","",INDEX(Salary_Calculation[Working Days],ROW()-ROW(Payslip_Lookup[#Headers])))</f>
        <v/>
      </c>
      <c r="G34" s="173" t="str">
        <f aca="false">IF(INDEX(Salary_Calculation[Source Row],ROW()-ROW(Payslip_Lookup[#Headers]))="","",INDEX(Salary_Calculation[Calendar Days],ROW()-ROW(Payslip_Lookup[#Headers])))</f>
        <v/>
      </c>
      <c r="H34" s="174" t="str">
        <f aca="false">IF(INDEX(Salary_Calculation[Source Row],ROW()-ROW(Payslip_Lookup[#Headers]))="","",INDEX(Salary_Calculation[Monthly Target Orders],ROW()-ROW(Payslip_Lookup[#Headers])))</f>
        <v/>
      </c>
      <c r="I34" s="174" t="str">
        <f aca="false">IF(INDEX(Salary_Calculation[Source Row],ROW()-ROW(Payslip_Lookup[#Headers]))="","",INDEX(Salary_Calculation[Rider Target Orders],ROW()-ROW(Payslip_Lookup[#Headers])))</f>
        <v/>
      </c>
      <c r="J34" s="175" t="str">
        <f aca="false">IF(INDEX(Salary_Calculation[Source Row],ROW()-ROW(Payslip_Lookup[#Headers]))="","",INDEX(Salary_Calculation[Completed Orders],ROW()-ROW(Payslip_Lookup[#Headers])))</f>
        <v/>
      </c>
      <c r="K34" s="174" t="str">
        <f aca="false">IF(INDEX(Salary_Calculation[Source Row],ROW()-ROW(Payslip_Lookup[#Headers]))="","",INDEX(Salary_Calculation[Base Order Rate],ROW()-ROW(Payslip_Lookup[#Headers])))</f>
        <v/>
      </c>
      <c r="L34" s="176" t="str">
        <f aca="false">IF(INDEX(Salary_Calculation[Source Row],ROW()-ROW(Payslip_Lookup[#Headers]))="","",INDEX(Salary_Calculation[Basic Payment],ROW()-ROW(Payslip_Lookup[#Headers])))</f>
        <v/>
      </c>
      <c r="M34" s="176" t="str">
        <f aca="false">IF(INDEX(Salary_Calculation[Source Row],ROW()-ROW(Payslip_Lookup[#Headers]))="","",INDEX(Salary_Calculation[Earned Salary],ROW()-ROW(Payslip_Lookup[#Headers])))</f>
        <v/>
      </c>
      <c r="N34" s="174" t="str">
        <f aca="false">IF(INDEX(Salary_Calculation[Source Row],ROW()-ROW(Payslip_Lookup[#Headers]))="","",INDEX(Salary_Calculation[Orders Counted at Base Rate],ROW()-ROW(Payslip_Lookup[#Headers])))</f>
        <v/>
      </c>
      <c r="O34" s="174" t="str">
        <f aca="false">IF(INDEX(Salary_Calculation[Source Row],ROW()-ROW(Payslip_Lookup[#Headers]))="","",INDEX(Salary_Calculation[Missing Orders],ROW()-ROW(Payslip_Lookup[#Headers])))</f>
        <v/>
      </c>
      <c r="P34" s="176" t="str">
        <f aca="false">IF(INDEX(Salary_Calculation[Source Row],ROW()-ROW(Payslip_Lookup[#Headers]))="","",INDEX(Salary_Calculation[Missing-Order Deduction],ROW()-ROW(Payslip_Lookup[#Headers])))</f>
        <v/>
      </c>
      <c r="Q34" s="174" t="str">
        <f aca="false">IF(INDEX(Salary_Calculation[Source Row],ROW()-ROW(Payslip_Lookup[#Headers]))="","",INDEX(Salary_Calculation[Extra Orders],ROW()-ROW(Payslip_Lookup[#Headers])))</f>
        <v/>
      </c>
      <c r="R34" s="176" t="str">
        <f aca="false">IF(INDEX(Salary_Calculation[Source Row],ROW()-ROW(Payslip_Lookup[#Headers]))="","",INDEX(Salary_Calculation[Extra-Order Bonus],ROW()-ROW(Payslip_Lookup[#Headers])))</f>
        <v/>
      </c>
      <c r="S34" s="176" t="str">
        <f aca="false">IF(INDEX(Salary_Calculation[Source Row],ROW()-ROW(Payslip_Lookup[#Headers]))="","",INDEX(Salary_Calculation[Basic Salary for Target],ROW()-ROW(Payslip_Lookup[#Headers])))</f>
        <v/>
      </c>
      <c r="T34" s="176" t="str">
        <f aca="false">IF(INDEX(Salary_Calculation[Source Row],ROW()-ROW(Payslip_Lookup[#Headers]))="","",INDEX(Salary_Calculation[Gross Salary Before Deductions],ROW()-ROW(Payslip_Lookup[#Headers])))</f>
        <v/>
      </c>
      <c r="U34" s="176" t="str">
        <f aca="false">IF(INDEX(Salary_Calculation[Source Row],ROW()-ROW(Payslip_Lookup[#Headers]))="","",INDEX(Salary_Calculation[missed_days_penalty],ROW()-ROW(Payslip_Lookup[#Headers])))</f>
        <v/>
      </c>
      <c r="V34" s="176" t="str">
        <f aca="false">IF(INDEX(Salary_Calculation[Source Row],ROW()-ROW(Payslip_Lookup[#Headers]))="","",INDEX(Salary_Calculation[Rider Balance],ROW()-ROW(Payslip_Lookup[#Headers])))</f>
        <v/>
      </c>
      <c r="W34" s="176" t="str">
        <f aca="false">IF(INDEX(Salary_Calculation[Source Row],ROW()-ROW(Payslip_Lookup[#Headers]))="","",INDEX(Salary_Calculation[stacking_deduction],ROW()-ROW(Payslip_Lookup[#Headers])))</f>
        <v/>
      </c>
      <c r="X34" s="176" t="str">
        <f aca="false">IF(INDEX(Salary_Calculation[Source Row],ROW()-ROW(Payslip_Lookup[#Headers]))="","",INDEX(Salary_Calculation[Other Deductions],ROW()-ROW(Payslip_Lookup[#Headers])))</f>
        <v/>
      </c>
      <c r="Y34" s="176" t="str">
        <f aca="false">IF(INDEX(Salary_Calculation[Source Row],ROW()-ROW(Payslip_Lookup[#Headers]))="","",INDEX(Salary_Calculation[Total Deductions],ROW()-ROW(Payslip_Lookup[#Headers])))</f>
        <v/>
      </c>
      <c r="Z34" s="176" t="str">
        <f aca="false">IF(INDEX(Salary_Calculation[Source Row],ROW()-ROW(Payslip_Lookup[#Headers]))="","",INDEX(Salary_Calculation[Final Salary],ROW()-ROW(Payslip_Lookup[#Headers])))</f>
        <v/>
      </c>
      <c r="AA34" s="176" t="str">
        <f aca="false">IF(INDEX(Salary_Calculation[Source Row],ROW()-ROW(Payslip_Lookup[#Headers]))="","",INDEX(Salary_Calculation[Negative Balance / Amount Due from Rider],ROW()-ROW(Payslip_Lookup[#Headers])))</f>
        <v/>
      </c>
      <c r="AB34" s="176" t="str">
        <f aca="false">IF(INDEX(Salary_Calculation[Source Row],ROW()-ROW(Payslip_Lookup[#Headers]))="","",INDEX(Salary_Calculation[Total Amount Due from Rider],ROW()-ROW(Payslip_Lookup[#Headers])))</f>
        <v/>
      </c>
      <c r="AC34" s="176" t="str">
        <f aca="false">IF(INDEX(Salary_Calculation[Source Row],ROW()-ROW(Payslip_Lookup[#Headers]))="","",INDEX(Salary_Calculation[Salary Before Other Deductions],ROW()-ROW(Payslip_Lookup[#Headers])))</f>
        <v/>
      </c>
      <c r="AD34" s="171" t="str">
        <f aca="false">IF(INDEX(Salary_Calculation[Source Row],ROW()-ROW(Payslip_Lookup[#Headers]))="","",INDEX(Salary_Calculation[Payment Status],ROW()-ROW(Payslip_Lookup[#Headers])))</f>
        <v/>
      </c>
      <c r="AE34" s="171" t="str">
        <f aca="false">IF(INDEX(Salary_Calculation[Source Row],ROW()-ROW(Payslip_Lookup[#Headers]))="","",INDEX(Salary_Calculation[Notes],ROW()-ROW(Payslip_Lookup[#Headers])))</f>
        <v/>
      </c>
      <c r="AF34" s="171" t="str">
        <f aca="false">IF(INDEX(Salary_Calculation[Source Row],ROW()-ROW(Payslip_Lookup[#Headers]))="","",INDEX(Salary_Calculation[Exception Reason],ROW()-ROW(Payslip_Lookup[#Headers])))</f>
        <v/>
      </c>
      <c r="AG34" s="173" t="str">
        <f aca="false">IF($AD34="Review Required",COUNTIF(AD$2:AD34,"Review Required"),"")</f>
        <v/>
      </c>
      <c r="AH34" s="173" t="str">
        <f aca="false">IF(AND($D34&lt;&gt;"",$B34=Payslip_Print!$C$2),MAX(AH$1:AH33)+1,"")</f>
        <v/>
      </c>
      <c r="AL34" s="178" t="str">
        <f aca="false">IFERROR(INDEX($D$2:$D$501,MATCH(ROW()-1,$AH$2:$AH$501,0)),"")</f>
        <v/>
      </c>
      <c r="AM34" s="179" t="str">
        <f aca="false">IF($Z34="","",IF(AND($C34&gt;=Dash_Start,$C34&lt;Dash_End),$Z34+ROW()/10000000,""))</f>
        <v/>
      </c>
    </row>
    <row r="35" customFormat="false" ht="14.25" hidden="false" customHeight="false" outlineLevel="0" collapsed="false">
      <c r="A35" s="171" t="str">
        <f aca="false">IF(Payslip_Lookup[[#This Row],[Rider ID]]="","",Payslip_Lookup[[#This Row],[Rider ID]]&amp;"|"&amp;Payslip_Lookup[[#This Row],[Month Key]])</f>
        <v/>
      </c>
      <c r="B35" s="172" t="str">
        <f aca="false">IF(ISNUMBER(Payslip_Lookup[[#This Row],[Salary Month]]),DATE(YEAR(Payslip_Lookup[[#This Row],[Salary Month]]),MONTH(Payslip_Lookup[[#This Row],[Salary Month]]),1),"")</f>
        <v/>
      </c>
      <c r="C35" s="172" t="str">
        <f aca="false">IF(INDEX(Salary_Calculation[Source Row],ROW()-ROW(Payslip_Lookup[#Headers]))="","",INDEX(Salary_Calculation[Salary Month],ROW()-ROW(Payslip_Lookup[#Headers])))</f>
        <v/>
      </c>
      <c r="D35" s="173" t="str">
        <f aca="false">IF(INDEX(Salary_Calculation[Source Row],ROW()-ROW(Payslip_Lookup[#Headers]))="","",INDEX(Salary_Calculation[Rider ID],ROW()-ROW(Payslip_Lookup[#Headers])))</f>
        <v/>
      </c>
      <c r="E35" s="171" t="str">
        <f aca="false">IF(INDEX(Salary_Calculation[Source Row],ROW()-ROW(Payslip_Lookup[#Headers]))="","",INDEX(Salary_Calculation[Rider Name],ROW()-ROW(Payslip_Lookup[#Headers])))</f>
        <v/>
      </c>
      <c r="F35" s="173" t="str">
        <f aca="false">IF(INDEX(Salary_Calculation[Source Row],ROW()-ROW(Payslip_Lookup[#Headers]))="","",INDEX(Salary_Calculation[Working Days],ROW()-ROW(Payslip_Lookup[#Headers])))</f>
        <v/>
      </c>
      <c r="G35" s="173" t="str">
        <f aca="false">IF(INDEX(Salary_Calculation[Source Row],ROW()-ROW(Payslip_Lookup[#Headers]))="","",INDEX(Salary_Calculation[Calendar Days],ROW()-ROW(Payslip_Lookup[#Headers])))</f>
        <v/>
      </c>
      <c r="H35" s="174" t="str">
        <f aca="false">IF(INDEX(Salary_Calculation[Source Row],ROW()-ROW(Payslip_Lookup[#Headers]))="","",INDEX(Salary_Calculation[Monthly Target Orders],ROW()-ROW(Payslip_Lookup[#Headers])))</f>
        <v/>
      </c>
      <c r="I35" s="174" t="str">
        <f aca="false">IF(INDEX(Salary_Calculation[Source Row],ROW()-ROW(Payslip_Lookup[#Headers]))="","",INDEX(Salary_Calculation[Rider Target Orders],ROW()-ROW(Payslip_Lookup[#Headers])))</f>
        <v/>
      </c>
      <c r="J35" s="175" t="str">
        <f aca="false">IF(INDEX(Salary_Calculation[Source Row],ROW()-ROW(Payslip_Lookup[#Headers]))="","",INDEX(Salary_Calculation[Completed Orders],ROW()-ROW(Payslip_Lookup[#Headers])))</f>
        <v/>
      </c>
      <c r="K35" s="174" t="str">
        <f aca="false">IF(INDEX(Salary_Calculation[Source Row],ROW()-ROW(Payslip_Lookup[#Headers]))="","",INDEX(Salary_Calculation[Base Order Rate],ROW()-ROW(Payslip_Lookup[#Headers])))</f>
        <v/>
      </c>
      <c r="L35" s="176" t="str">
        <f aca="false">IF(INDEX(Salary_Calculation[Source Row],ROW()-ROW(Payslip_Lookup[#Headers]))="","",INDEX(Salary_Calculation[Basic Payment],ROW()-ROW(Payslip_Lookup[#Headers])))</f>
        <v/>
      </c>
      <c r="M35" s="176" t="str">
        <f aca="false">IF(INDEX(Salary_Calculation[Source Row],ROW()-ROW(Payslip_Lookup[#Headers]))="","",INDEX(Salary_Calculation[Earned Salary],ROW()-ROW(Payslip_Lookup[#Headers])))</f>
        <v/>
      </c>
      <c r="N35" s="174" t="str">
        <f aca="false">IF(INDEX(Salary_Calculation[Source Row],ROW()-ROW(Payslip_Lookup[#Headers]))="","",INDEX(Salary_Calculation[Orders Counted at Base Rate],ROW()-ROW(Payslip_Lookup[#Headers])))</f>
        <v/>
      </c>
      <c r="O35" s="174" t="str">
        <f aca="false">IF(INDEX(Salary_Calculation[Source Row],ROW()-ROW(Payslip_Lookup[#Headers]))="","",INDEX(Salary_Calculation[Missing Orders],ROW()-ROW(Payslip_Lookup[#Headers])))</f>
        <v/>
      </c>
      <c r="P35" s="176" t="str">
        <f aca="false">IF(INDEX(Salary_Calculation[Source Row],ROW()-ROW(Payslip_Lookup[#Headers]))="","",INDEX(Salary_Calculation[Missing-Order Deduction],ROW()-ROW(Payslip_Lookup[#Headers])))</f>
        <v/>
      </c>
      <c r="Q35" s="174" t="str">
        <f aca="false">IF(INDEX(Salary_Calculation[Source Row],ROW()-ROW(Payslip_Lookup[#Headers]))="","",INDEX(Salary_Calculation[Extra Orders],ROW()-ROW(Payslip_Lookup[#Headers])))</f>
        <v/>
      </c>
      <c r="R35" s="176" t="str">
        <f aca="false">IF(INDEX(Salary_Calculation[Source Row],ROW()-ROW(Payslip_Lookup[#Headers]))="","",INDEX(Salary_Calculation[Extra-Order Bonus],ROW()-ROW(Payslip_Lookup[#Headers])))</f>
        <v/>
      </c>
      <c r="S35" s="176" t="str">
        <f aca="false">IF(INDEX(Salary_Calculation[Source Row],ROW()-ROW(Payslip_Lookup[#Headers]))="","",INDEX(Salary_Calculation[Basic Salary for Target],ROW()-ROW(Payslip_Lookup[#Headers])))</f>
        <v/>
      </c>
      <c r="T35" s="176" t="str">
        <f aca="false">IF(INDEX(Salary_Calculation[Source Row],ROW()-ROW(Payslip_Lookup[#Headers]))="","",INDEX(Salary_Calculation[Gross Salary Before Deductions],ROW()-ROW(Payslip_Lookup[#Headers])))</f>
        <v/>
      </c>
      <c r="U35" s="176" t="str">
        <f aca="false">IF(INDEX(Salary_Calculation[Source Row],ROW()-ROW(Payslip_Lookup[#Headers]))="","",INDEX(Salary_Calculation[missed_days_penalty],ROW()-ROW(Payslip_Lookup[#Headers])))</f>
        <v/>
      </c>
      <c r="V35" s="176" t="str">
        <f aca="false">IF(INDEX(Salary_Calculation[Source Row],ROW()-ROW(Payslip_Lookup[#Headers]))="","",INDEX(Salary_Calculation[Rider Balance],ROW()-ROW(Payslip_Lookup[#Headers])))</f>
        <v/>
      </c>
      <c r="W35" s="176" t="str">
        <f aca="false">IF(INDEX(Salary_Calculation[Source Row],ROW()-ROW(Payslip_Lookup[#Headers]))="","",INDEX(Salary_Calculation[stacking_deduction],ROW()-ROW(Payslip_Lookup[#Headers])))</f>
        <v/>
      </c>
      <c r="X35" s="176" t="str">
        <f aca="false">IF(INDEX(Salary_Calculation[Source Row],ROW()-ROW(Payslip_Lookup[#Headers]))="","",INDEX(Salary_Calculation[Other Deductions],ROW()-ROW(Payslip_Lookup[#Headers])))</f>
        <v/>
      </c>
      <c r="Y35" s="176" t="str">
        <f aca="false">IF(INDEX(Salary_Calculation[Source Row],ROW()-ROW(Payslip_Lookup[#Headers]))="","",INDEX(Salary_Calculation[Total Deductions],ROW()-ROW(Payslip_Lookup[#Headers])))</f>
        <v/>
      </c>
      <c r="Z35" s="176" t="str">
        <f aca="false">IF(INDEX(Salary_Calculation[Source Row],ROW()-ROW(Payslip_Lookup[#Headers]))="","",INDEX(Salary_Calculation[Final Salary],ROW()-ROW(Payslip_Lookup[#Headers])))</f>
        <v/>
      </c>
      <c r="AA35" s="176" t="str">
        <f aca="false">IF(INDEX(Salary_Calculation[Source Row],ROW()-ROW(Payslip_Lookup[#Headers]))="","",INDEX(Salary_Calculation[Negative Balance / Amount Due from Rider],ROW()-ROW(Payslip_Lookup[#Headers])))</f>
        <v/>
      </c>
      <c r="AB35" s="176" t="str">
        <f aca="false">IF(INDEX(Salary_Calculation[Source Row],ROW()-ROW(Payslip_Lookup[#Headers]))="","",INDEX(Salary_Calculation[Total Amount Due from Rider],ROW()-ROW(Payslip_Lookup[#Headers])))</f>
        <v/>
      </c>
      <c r="AC35" s="176" t="str">
        <f aca="false">IF(INDEX(Salary_Calculation[Source Row],ROW()-ROW(Payslip_Lookup[#Headers]))="","",INDEX(Salary_Calculation[Salary Before Other Deductions],ROW()-ROW(Payslip_Lookup[#Headers])))</f>
        <v/>
      </c>
      <c r="AD35" s="171" t="str">
        <f aca="false">IF(INDEX(Salary_Calculation[Source Row],ROW()-ROW(Payslip_Lookup[#Headers]))="","",INDEX(Salary_Calculation[Payment Status],ROW()-ROW(Payslip_Lookup[#Headers])))</f>
        <v/>
      </c>
      <c r="AE35" s="171" t="str">
        <f aca="false">IF(INDEX(Salary_Calculation[Source Row],ROW()-ROW(Payslip_Lookup[#Headers]))="","",INDEX(Salary_Calculation[Notes],ROW()-ROW(Payslip_Lookup[#Headers])))</f>
        <v/>
      </c>
      <c r="AF35" s="171" t="str">
        <f aca="false">IF(INDEX(Salary_Calculation[Source Row],ROW()-ROW(Payslip_Lookup[#Headers]))="","",INDEX(Salary_Calculation[Exception Reason],ROW()-ROW(Payslip_Lookup[#Headers])))</f>
        <v/>
      </c>
      <c r="AG35" s="173" t="str">
        <f aca="false">IF($AD35="Review Required",COUNTIF(AD$2:AD35,"Review Required"),"")</f>
        <v/>
      </c>
      <c r="AH35" s="173" t="str">
        <f aca="false">IF(AND($D35&lt;&gt;"",$B35=Payslip_Print!$C$2),MAX(AH$1:AH34)+1,"")</f>
        <v/>
      </c>
      <c r="AL35" s="178" t="str">
        <f aca="false">IFERROR(INDEX($D$2:$D$501,MATCH(ROW()-1,$AH$2:$AH$501,0)),"")</f>
        <v/>
      </c>
      <c r="AM35" s="179" t="str">
        <f aca="false">IF($Z35="","",IF(AND($C35&gt;=Dash_Start,$C35&lt;Dash_End),$Z35+ROW()/10000000,""))</f>
        <v/>
      </c>
    </row>
    <row r="36" customFormat="false" ht="14.25" hidden="false" customHeight="false" outlineLevel="0" collapsed="false">
      <c r="A36" s="171" t="str">
        <f aca="false">IF(Payslip_Lookup[[#This Row],[Rider ID]]="","",Payslip_Lookup[[#This Row],[Rider ID]]&amp;"|"&amp;Payslip_Lookup[[#This Row],[Month Key]])</f>
        <v/>
      </c>
      <c r="B36" s="172" t="str">
        <f aca="false">IF(ISNUMBER(Payslip_Lookup[[#This Row],[Salary Month]]),DATE(YEAR(Payslip_Lookup[[#This Row],[Salary Month]]),MONTH(Payslip_Lookup[[#This Row],[Salary Month]]),1),"")</f>
        <v/>
      </c>
      <c r="C36" s="172" t="str">
        <f aca="false">IF(INDEX(Salary_Calculation[Source Row],ROW()-ROW(Payslip_Lookup[#Headers]))="","",INDEX(Salary_Calculation[Salary Month],ROW()-ROW(Payslip_Lookup[#Headers])))</f>
        <v/>
      </c>
      <c r="D36" s="173" t="str">
        <f aca="false">IF(INDEX(Salary_Calculation[Source Row],ROW()-ROW(Payslip_Lookup[#Headers]))="","",INDEX(Salary_Calculation[Rider ID],ROW()-ROW(Payslip_Lookup[#Headers])))</f>
        <v/>
      </c>
      <c r="E36" s="171" t="str">
        <f aca="false">IF(INDEX(Salary_Calculation[Source Row],ROW()-ROW(Payslip_Lookup[#Headers]))="","",INDEX(Salary_Calculation[Rider Name],ROW()-ROW(Payslip_Lookup[#Headers])))</f>
        <v/>
      </c>
      <c r="F36" s="173" t="str">
        <f aca="false">IF(INDEX(Salary_Calculation[Source Row],ROW()-ROW(Payslip_Lookup[#Headers]))="","",INDEX(Salary_Calculation[Working Days],ROW()-ROW(Payslip_Lookup[#Headers])))</f>
        <v/>
      </c>
      <c r="G36" s="173" t="str">
        <f aca="false">IF(INDEX(Salary_Calculation[Source Row],ROW()-ROW(Payslip_Lookup[#Headers]))="","",INDEX(Salary_Calculation[Calendar Days],ROW()-ROW(Payslip_Lookup[#Headers])))</f>
        <v/>
      </c>
      <c r="H36" s="174" t="str">
        <f aca="false">IF(INDEX(Salary_Calculation[Source Row],ROW()-ROW(Payslip_Lookup[#Headers]))="","",INDEX(Salary_Calculation[Monthly Target Orders],ROW()-ROW(Payslip_Lookup[#Headers])))</f>
        <v/>
      </c>
      <c r="I36" s="174" t="str">
        <f aca="false">IF(INDEX(Salary_Calculation[Source Row],ROW()-ROW(Payslip_Lookup[#Headers]))="","",INDEX(Salary_Calculation[Rider Target Orders],ROW()-ROW(Payslip_Lookup[#Headers])))</f>
        <v/>
      </c>
      <c r="J36" s="175" t="str">
        <f aca="false">IF(INDEX(Salary_Calculation[Source Row],ROW()-ROW(Payslip_Lookup[#Headers]))="","",INDEX(Salary_Calculation[Completed Orders],ROW()-ROW(Payslip_Lookup[#Headers])))</f>
        <v/>
      </c>
      <c r="K36" s="174" t="str">
        <f aca="false">IF(INDEX(Salary_Calculation[Source Row],ROW()-ROW(Payslip_Lookup[#Headers]))="","",INDEX(Salary_Calculation[Base Order Rate],ROW()-ROW(Payslip_Lookup[#Headers])))</f>
        <v/>
      </c>
      <c r="L36" s="176" t="str">
        <f aca="false">IF(INDEX(Salary_Calculation[Source Row],ROW()-ROW(Payslip_Lookup[#Headers]))="","",INDEX(Salary_Calculation[Basic Payment],ROW()-ROW(Payslip_Lookup[#Headers])))</f>
        <v/>
      </c>
      <c r="M36" s="176" t="str">
        <f aca="false">IF(INDEX(Salary_Calculation[Source Row],ROW()-ROW(Payslip_Lookup[#Headers]))="","",INDEX(Salary_Calculation[Earned Salary],ROW()-ROW(Payslip_Lookup[#Headers])))</f>
        <v/>
      </c>
      <c r="N36" s="174" t="str">
        <f aca="false">IF(INDEX(Salary_Calculation[Source Row],ROW()-ROW(Payslip_Lookup[#Headers]))="","",INDEX(Salary_Calculation[Orders Counted at Base Rate],ROW()-ROW(Payslip_Lookup[#Headers])))</f>
        <v/>
      </c>
      <c r="O36" s="174" t="str">
        <f aca="false">IF(INDEX(Salary_Calculation[Source Row],ROW()-ROW(Payslip_Lookup[#Headers]))="","",INDEX(Salary_Calculation[Missing Orders],ROW()-ROW(Payslip_Lookup[#Headers])))</f>
        <v/>
      </c>
      <c r="P36" s="176" t="str">
        <f aca="false">IF(INDEX(Salary_Calculation[Source Row],ROW()-ROW(Payslip_Lookup[#Headers]))="","",INDEX(Salary_Calculation[Missing-Order Deduction],ROW()-ROW(Payslip_Lookup[#Headers])))</f>
        <v/>
      </c>
      <c r="Q36" s="174" t="str">
        <f aca="false">IF(INDEX(Salary_Calculation[Source Row],ROW()-ROW(Payslip_Lookup[#Headers]))="","",INDEX(Salary_Calculation[Extra Orders],ROW()-ROW(Payslip_Lookup[#Headers])))</f>
        <v/>
      </c>
      <c r="R36" s="176" t="str">
        <f aca="false">IF(INDEX(Salary_Calculation[Source Row],ROW()-ROW(Payslip_Lookup[#Headers]))="","",INDEX(Salary_Calculation[Extra-Order Bonus],ROW()-ROW(Payslip_Lookup[#Headers])))</f>
        <v/>
      </c>
      <c r="S36" s="176" t="str">
        <f aca="false">IF(INDEX(Salary_Calculation[Source Row],ROW()-ROW(Payslip_Lookup[#Headers]))="","",INDEX(Salary_Calculation[Basic Salary for Target],ROW()-ROW(Payslip_Lookup[#Headers])))</f>
        <v/>
      </c>
      <c r="T36" s="176" t="str">
        <f aca="false">IF(INDEX(Salary_Calculation[Source Row],ROW()-ROW(Payslip_Lookup[#Headers]))="","",INDEX(Salary_Calculation[Gross Salary Before Deductions],ROW()-ROW(Payslip_Lookup[#Headers])))</f>
        <v/>
      </c>
      <c r="U36" s="176" t="str">
        <f aca="false">IF(INDEX(Salary_Calculation[Source Row],ROW()-ROW(Payslip_Lookup[#Headers]))="","",INDEX(Salary_Calculation[missed_days_penalty],ROW()-ROW(Payslip_Lookup[#Headers])))</f>
        <v/>
      </c>
      <c r="V36" s="176" t="str">
        <f aca="false">IF(INDEX(Salary_Calculation[Source Row],ROW()-ROW(Payslip_Lookup[#Headers]))="","",INDEX(Salary_Calculation[Rider Balance],ROW()-ROW(Payslip_Lookup[#Headers])))</f>
        <v/>
      </c>
      <c r="W36" s="176" t="str">
        <f aca="false">IF(INDEX(Salary_Calculation[Source Row],ROW()-ROW(Payslip_Lookup[#Headers]))="","",INDEX(Salary_Calculation[stacking_deduction],ROW()-ROW(Payslip_Lookup[#Headers])))</f>
        <v/>
      </c>
      <c r="X36" s="176" t="str">
        <f aca="false">IF(INDEX(Salary_Calculation[Source Row],ROW()-ROW(Payslip_Lookup[#Headers]))="","",INDEX(Salary_Calculation[Other Deductions],ROW()-ROW(Payslip_Lookup[#Headers])))</f>
        <v/>
      </c>
      <c r="Y36" s="176" t="str">
        <f aca="false">IF(INDEX(Salary_Calculation[Source Row],ROW()-ROW(Payslip_Lookup[#Headers]))="","",INDEX(Salary_Calculation[Total Deductions],ROW()-ROW(Payslip_Lookup[#Headers])))</f>
        <v/>
      </c>
      <c r="Z36" s="176" t="str">
        <f aca="false">IF(INDEX(Salary_Calculation[Source Row],ROW()-ROW(Payslip_Lookup[#Headers]))="","",INDEX(Salary_Calculation[Final Salary],ROW()-ROW(Payslip_Lookup[#Headers])))</f>
        <v/>
      </c>
      <c r="AA36" s="176" t="str">
        <f aca="false">IF(INDEX(Salary_Calculation[Source Row],ROW()-ROW(Payslip_Lookup[#Headers]))="","",INDEX(Salary_Calculation[Negative Balance / Amount Due from Rider],ROW()-ROW(Payslip_Lookup[#Headers])))</f>
        <v/>
      </c>
      <c r="AB36" s="176" t="str">
        <f aca="false">IF(INDEX(Salary_Calculation[Source Row],ROW()-ROW(Payslip_Lookup[#Headers]))="","",INDEX(Salary_Calculation[Total Amount Due from Rider],ROW()-ROW(Payslip_Lookup[#Headers])))</f>
        <v/>
      </c>
      <c r="AC36" s="176" t="str">
        <f aca="false">IF(INDEX(Salary_Calculation[Source Row],ROW()-ROW(Payslip_Lookup[#Headers]))="","",INDEX(Salary_Calculation[Salary Before Other Deductions],ROW()-ROW(Payslip_Lookup[#Headers])))</f>
        <v/>
      </c>
      <c r="AD36" s="171" t="str">
        <f aca="false">IF(INDEX(Salary_Calculation[Source Row],ROW()-ROW(Payslip_Lookup[#Headers]))="","",INDEX(Salary_Calculation[Payment Status],ROW()-ROW(Payslip_Lookup[#Headers])))</f>
        <v/>
      </c>
      <c r="AE36" s="171" t="str">
        <f aca="false">IF(INDEX(Salary_Calculation[Source Row],ROW()-ROW(Payslip_Lookup[#Headers]))="","",INDEX(Salary_Calculation[Notes],ROW()-ROW(Payslip_Lookup[#Headers])))</f>
        <v/>
      </c>
      <c r="AF36" s="171" t="str">
        <f aca="false">IF(INDEX(Salary_Calculation[Source Row],ROW()-ROW(Payslip_Lookup[#Headers]))="","",INDEX(Salary_Calculation[Exception Reason],ROW()-ROW(Payslip_Lookup[#Headers])))</f>
        <v/>
      </c>
      <c r="AG36" s="173" t="str">
        <f aca="false">IF($AD36="Review Required",COUNTIF(AD$2:AD36,"Review Required"),"")</f>
        <v/>
      </c>
      <c r="AH36" s="173" t="str">
        <f aca="false">IF(AND($D36&lt;&gt;"",$B36=Payslip_Print!$C$2),MAX(AH$1:AH35)+1,"")</f>
        <v/>
      </c>
      <c r="AL36" s="178" t="str">
        <f aca="false">IFERROR(INDEX($D$2:$D$501,MATCH(ROW()-1,$AH$2:$AH$501,0)),"")</f>
        <v/>
      </c>
      <c r="AM36" s="179" t="str">
        <f aca="false">IF($Z36="","",IF(AND($C36&gt;=Dash_Start,$C36&lt;Dash_End),$Z36+ROW()/10000000,""))</f>
        <v/>
      </c>
    </row>
    <row r="37" customFormat="false" ht="14.25" hidden="false" customHeight="false" outlineLevel="0" collapsed="false">
      <c r="A37" s="171" t="str">
        <f aca="false">IF(Payslip_Lookup[[#This Row],[Rider ID]]="","",Payslip_Lookup[[#This Row],[Rider ID]]&amp;"|"&amp;Payslip_Lookup[[#This Row],[Month Key]])</f>
        <v/>
      </c>
      <c r="B37" s="172" t="str">
        <f aca="false">IF(ISNUMBER(Payslip_Lookup[[#This Row],[Salary Month]]),DATE(YEAR(Payslip_Lookup[[#This Row],[Salary Month]]),MONTH(Payslip_Lookup[[#This Row],[Salary Month]]),1),"")</f>
        <v/>
      </c>
      <c r="C37" s="172" t="str">
        <f aca="false">IF(INDEX(Salary_Calculation[Source Row],ROW()-ROW(Payslip_Lookup[#Headers]))="","",INDEX(Salary_Calculation[Salary Month],ROW()-ROW(Payslip_Lookup[#Headers])))</f>
        <v/>
      </c>
      <c r="D37" s="173" t="str">
        <f aca="false">IF(INDEX(Salary_Calculation[Source Row],ROW()-ROW(Payslip_Lookup[#Headers]))="","",INDEX(Salary_Calculation[Rider ID],ROW()-ROW(Payslip_Lookup[#Headers])))</f>
        <v/>
      </c>
      <c r="E37" s="171" t="str">
        <f aca="false">IF(INDEX(Salary_Calculation[Source Row],ROW()-ROW(Payslip_Lookup[#Headers]))="","",INDEX(Salary_Calculation[Rider Name],ROW()-ROW(Payslip_Lookup[#Headers])))</f>
        <v/>
      </c>
      <c r="F37" s="173" t="str">
        <f aca="false">IF(INDEX(Salary_Calculation[Source Row],ROW()-ROW(Payslip_Lookup[#Headers]))="","",INDEX(Salary_Calculation[Working Days],ROW()-ROW(Payslip_Lookup[#Headers])))</f>
        <v/>
      </c>
      <c r="G37" s="173" t="str">
        <f aca="false">IF(INDEX(Salary_Calculation[Source Row],ROW()-ROW(Payslip_Lookup[#Headers]))="","",INDEX(Salary_Calculation[Calendar Days],ROW()-ROW(Payslip_Lookup[#Headers])))</f>
        <v/>
      </c>
      <c r="H37" s="174" t="str">
        <f aca="false">IF(INDEX(Salary_Calculation[Source Row],ROW()-ROW(Payslip_Lookup[#Headers]))="","",INDEX(Salary_Calculation[Monthly Target Orders],ROW()-ROW(Payslip_Lookup[#Headers])))</f>
        <v/>
      </c>
      <c r="I37" s="174" t="str">
        <f aca="false">IF(INDEX(Salary_Calculation[Source Row],ROW()-ROW(Payslip_Lookup[#Headers]))="","",INDEX(Salary_Calculation[Rider Target Orders],ROW()-ROW(Payslip_Lookup[#Headers])))</f>
        <v/>
      </c>
      <c r="J37" s="175" t="str">
        <f aca="false">IF(INDEX(Salary_Calculation[Source Row],ROW()-ROW(Payslip_Lookup[#Headers]))="","",INDEX(Salary_Calculation[Completed Orders],ROW()-ROW(Payslip_Lookup[#Headers])))</f>
        <v/>
      </c>
      <c r="K37" s="174" t="str">
        <f aca="false">IF(INDEX(Salary_Calculation[Source Row],ROW()-ROW(Payslip_Lookup[#Headers]))="","",INDEX(Salary_Calculation[Base Order Rate],ROW()-ROW(Payslip_Lookup[#Headers])))</f>
        <v/>
      </c>
      <c r="L37" s="176" t="str">
        <f aca="false">IF(INDEX(Salary_Calculation[Source Row],ROW()-ROW(Payslip_Lookup[#Headers]))="","",INDEX(Salary_Calculation[Basic Payment],ROW()-ROW(Payslip_Lookup[#Headers])))</f>
        <v/>
      </c>
      <c r="M37" s="176" t="str">
        <f aca="false">IF(INDEX(Salary_Calculation[Source Row],ROW()-ROW(Payslip_Lookup[#Headers]))="","",INDEX(Salary_Calculation[Earned Salary],ROW()-ROW(Payslip_Lookup[#Headers])))</f>
        <v/>
      </c>
      <c r="N37" s="174" t="str">
        <f aca="false">IF(INDEX(Salary_Calculation[Source Row],ROW()-ROW(Payslip_Lookup[#Headers]))="","",INDEX(Salary_Calculation[Orders Counted at Base Rate],ROW()-ROW(Payslip_Lookup[#Headers])))</f>
        <v/>
      </c>
      <c r="O37" s="174" t="str">
        <f aca="false">IF(INDEX(Salary_Calculation[Source Row],ROW()-ROW(Payslip_Lookup[#Headers]))="","",INDEX(Salary_Calculation[Missing Orders],ROW()-ROW(Payslip_Lookup[#Headers])))</f>
        <v/>
      </c>
      <c r="P37" s="176" t="str">
        <f aca="false">IF(INDEX(Salary_Calculation[Source Row],ROW()-ROW(Payslip_Lookup[#Headers]))="","",INDEX(Salary_Calculation[Missing-Order Deduction],ROW()-ROW(Payslip_Lookup[#Headers])))</f>
        <v/>
      </c>
      <c r="Q37" s="174" t="str">
        <f aca="false">IF(INDEX(Salary_Calculation[Source Row],ROW()-ROW(Payslip_Lookup[#Headers]))="","",INDEX(Salary_Calculation[Extra Orders],ROW()-ROW(Payslip_Lookup[#Headers])))</f>
        <v/>
      </c>
      <c r="R37" s="176" t="str">
        <f aca="false">IF(INDEX(Salary_Calculation[Source Row],ROW()-ROW(Payslip_Lookup[#Headers]))="","",INDEX(Salary_Calculation[Extra-Order Bonus],ROW()-ROW(Payslip_Lookup[#Headers])))</f>
        <v/>
      </c>
      <c r="S37" s="176" t="str">
        <f aca="false">IF(INDEX(Salary_Calculation[Source Row],ROW()-ROW(Payslip_Lookup[#Headers]))="","",INDEX(Salary_Calculation[Basic Salary for Target],ROW()-ROW(Payslip_Lookup[#Headers])))</f>
        <v/>
      </c>
      <c r="T37" s="176" t="str">
        <f aca="false">IF(INDEX(Salary_Calculation[Source Row],ROW()-ROW(Payslip_Lookup[#Headers]))="","",INDEX(Salary_Calculation[Gross Salary Before Deductions],ROW()-ROW(Payslip_Lookup[#Headers])))</f>
        <v/>
      </c>
      <c r="U37" s="176" t="str">
        <f aca="false">IF(INDEX(Salary_Calculation[Source Row],ROW()-ROW(Payslip_Lookup[#Headers]))="","",INDEX(Salary_Calculation[missed_days_penalty],ROW()-ROW(Payslip_Lookup[#Headers])))</f>
        <v/>
      </c>
      <c r="V37" s="176" t="str">
        <f aca="false">IF(INDEX(Salary_Calculation[Source Row],ROW()-ROW(Payslip_Lookup[#Headers]))="","",INDEX(Salary_Calculation[Rider Balance],ROW()-ROW(Payslip_Lookup[#Headers])))</f>
        <v/>
      </c>
      <c r="W37" s="176" t="str">
        <f aca="false">IF(INDEX(Salary_Calculation[Source Row],ROW()-ROW(Payslip_Lookup[#Headers]))="","",INDEX(Salary_Calculation[stacking_deduction],ROW()-ROW(Payslip_Lookup[#Headers])))</f>
        <v/>
      </c>
      <c r="X37" s="176" t="str">
        <f aca="false">IF(INDEX(Salary_Calculation[Source Row],ROW()-ROW(Payslip_Lookup[#Headers]))="","",INDEX(Salary_Calculation[Other Deductions],ROW()-ROW(Payslip_Lookup[#Headers])))</f>
        <v/>
      </c>
      <c r="Y37" s="176" t="str">
        <f aca="false">IF(INDEX(Salary_Calculation[Source Row],ROW()-ROW(Payslip_Lookup[#Headers]))="","",INDEX(Salary_Calculation[Total Deductions],ROW()-ROW(Payslip_Lookup[#Headers])))</f>
        <v/>
      </c>
      <c r="Z37" s="176" t="str">
        <f aca="false">IF(INDEX(Salary_Calculation[Source Row],ROW()-ROW(Payslip_Lookup[#Headers]))="","",INDEX(Salary_Calculation[Final Salary],ROW()-ROW(Payslip_Lookup[#Headers])))</f>
        <v/>
      </c>
      <c r="AA37" s="176" t="str">
        <f aca="false">IF(INDEX(Salary_Calculation[Source Row],ROW()-ROW(Payslip_Lookup[#Headers]))="","",INDEX(Salary_Calculation[Negative Balance / Amount Due from Rider],ROW()-ROW(Payslip_Lookup[#Headers])))</f>
        <v/>
      </c>
      <c r="AB37" s="176" t="str">
        <f aca="false">IF(INDEX(Salary_Calculation[Source Row],ROW()-ROW(Payslip_Lookup[#Headers]))="","",INDEX(Salary_Calculation[Total Amount Due from Rider],ROW()-ROW(Payslip_Lookup[#Headers])))</f>
        <v/>
      </c>
      <c r="AC37" s="176" t="str">
        <f aca="false">IF(INDEX(Salary_Calculation[Source Row],ROW()-ROW(Payslip_Lookup[#Headers]))="","",INDEX(Salary_Calculation[Salary Before Other Deductions],ROW()-ROW(Payslip_Lookup[#Headers])))</f>
        <v/>
      </c>
      <c r="AD37" s="171" t="str">
        <f aca="false">IF(INDEX(Salary_Calculation[Source Row],ROW()-ROW(Payslip_Lookup[#Headers]))="","",INDEX(Salary_Calculation[Payment Status],ROW()-ROW(Payslip_Lookup[#Headers])))</f>
        <v/>
      </c>
      <c r="AE37" s="171" t="str">
        <f aca="false">IF(INDEX(Salary_Calculation[Source Row],ROW()-ROW(Payslip_Lookup[#Headers]))="","",INDEX(Salary_Calculation[Notes],ROW()-ROW(Payslip_Lookup[#Headers])))</f>
        <v/>
      </c>
      <c r="AF37" s="171" t="str">
        <f aca="false">IF(INDEX(Salary_Calculation[Source Row],ROW()-ROW(Payslip_Lookup[#Headers]))="","",INDEX(Salary_Calculation[Exception Reason],ROW()-ROW(Payslip_Lookup[#Headers])))</f>
        <v/>
      </c>
      <c r="AG37" s="173" t="str">
        <f aca="false">IF($AD37="Review Required",COUNTIF(AD$2:AD37,"Review Required"),"")</f>
        <v/>
      </c>
      <c r="AH37" s="173" t="str">
        <f aca="false">IF(AND($D37&lt;&gt;"",$B37=Payslip_Print!$C$2),MAX(AH$1:AH36)+1,"")</f>
        <v/>
      </c>
      <c r="AL37" s="178" t="str">
        <f aca="false">IFERROR(INDEX($D$2:$D$501,MATCH(ROW()-1,$AH$2:$AH$501,0)),"")</f>
        <v/>
      </c>
      <c r="AM37" s="179" t="str">
        <f aca="false">IF($Z37="","",IF(AND($C37&gt;=Dash_Start,$C37&lt;Dash_End),$Z37+ROW()/10000000,""))</f>
        <v/>
      </c>
    </row>
    <row r="38" customFormat="false" ht="14.25" hidden="false" customHeight="false" outlineLevel="0" collapsed="false">
      <c r="A38" s="171" t="str">
        <f aca="false">IF(Payslip_Lookup[[#This Row],[Rider ID]]="","",Payslip_Lookup[[#This Row],[Rider ID]]&amp;"|"&amp;Payslip_Lookup[[#This Row],[Month Key]])</f>
        <v/>
      </c>
      <c r="B38" s="172" t="str">
        <f aca="false">IF(ISNUMBER(Payslip_Lookup[[#This Row],[Salary Month]]),DATE(YEAR(Payslip_Lookup[[#This Row],[Salary Month]]),MONTH(Payslip_Lookup[[#This Row],[Salary Month]]),1),"")</f>
        <v/>
      </c>
      <c r="C38" s="172" t="str">
        <f aca="false">IF(INDEX(Salary_Calculation[Source Row],ROW()-ROW(Payslip_Lookup[#Headers]))="","",INDEX(Salary_Calculation[Salary Month],ROW()-ROW(Payslip_Lookup[#Headers])))</f>
        <v/>
      </c>
      <c r="D38" s="173" t="str">
        <f aca="false">IF(INDEX(Salary_Calculation[Source Row],ROW()-ROW(Payslip_Lookup[#Headers]))="","",INDEX(Salary_Calculation[Rider ID],ROW()-ROW(Payslip_Lookup[#Headers])))</f>
        <v/>
      </c>
      <c r="E38" s="171" t="str">
        <f aca="false">IF(INDEX(Salary_Calculation[Source Row],ROW()-ROW(Payslip_Lookup[#Headers]))="","",INDEX(Salary_Calculation[Rider Name],ROW()-ROW(Payslip_Lookup[#Headers])))</f>
        <v/>
      </c>
      <c r="F38" s="173" t="str">
        <f aca="false">IF(INDEX(Salary_Calculation[Source Row],ROW()-ROW(Payslip_Lookup[#Headers]))="","",INDEX(Salary_Calculation[Working Days],ROW()-ROW(Payslip_Lookup[#Headers])))</f>
        <v/>
      </c>
      <c r="G38" s="173" t="str">
        <f aca="false">IF(INDEX(Salary_Calculation[Source Row],ROW()-ROW(Payslip_Lookup[#Headers]))="","",INDEX(Salary_Calculation[Calendar Days],ROW()-ROW(Payslip_Lookup[#Headers])))</f>
        <v/>
      </c>
      <c r="H38" s="174" t="str">
        <f aca="false">IF(INDEX(Salary_Calculation[Source Row],ROW()-ROW(Payslip_Lookup[#Headers]))="","",INDEX(Salary_Calculation[Monthly Target Orders],ROW()-ROW(Payslip_Lookup[#Headers])))</f>
        <v/>
      </c>
      <c r="I38" s="174" t="str">
        <f aca="false">IF(INDEX(Salary_Calculation[Source Row],ROW()-ROW(Payslip_Lookup[#Headers]))="","",INDEX(Salary_Calculation[Rider Target Orders],ROW()-ROW(Payslip_Lookup[#Headers])))</f>
        <v/>
      </c>
      <c r="J38" s="175" t="str">
        <f aca="false">IF(INDEX(Salary_Calculation[Source Row],ROW()-ROW(Payslip_Lookup[#Headers]))="","",INDEX(Salary_Calculation[Completed Orders],ROW()-ROW(Payslip_Lookup[#Headers])))</f>
        <v/>
      </c>
      <c r="K38" s="174" t="str">
        <f aca="false">IF(INDEX(Salary_Calculation[Source Row],ROW()-ROW(Payslip_Lookup[#Headers]))="","",INDEX(Salary_Calculation[Base Order Rate],ROW()-ROW(Payslip_Lookup[#Headers])))</f>
        <v/>
      </c>
      <c r="L38" s="176" t="str">
        <f aca="false">IF(INDEX(Salary_Calculation[Source Row],ROW()-ROW(Payslip_Lookup[#Headers]))="","",INDEX(Salary_Calculation[Basic Payment],ROW()-ROW(Payslip_Lookup[#Headers])))</f>
        <v/>
      </c>
      <c r="M38" s="176" t="str">
        <f aca="false">IF(INDEX(Salary_Calculation[Source Row],ROW()-ROW(Payslip_Lookup[#Headers]))="","",INDEX(Salary_Calculation[Earned Salary],ROW()-ROW(Payslip_Lookup[#Headers])))</f>
        <v/>
      </c>
      <c r="N38" s="174" t="str">
        <f aca="false">IF(INDEX(Salary_Calculation[Source Row],ROW()-ROW(Payslip_Lookup[#Headers]))="","",INDEX(Salary_Calculation[Orders Counted at Base Rate],ROW()-ROW(Payslip_Lookup[#Headers])))</f>
        <v/>
      </c>
      <c r="O38" s="174" t="str">
        <f aca="false">IF(INDEX(Salary_Calculation[Source Row],ROW()-ROW(Payslip_Lookup[#Headers]))="","",INDEX(Salary_Calculation[Missing Orders],ROW()-ROW(Payslip_Lookup[#Headers])))</f>
        <v/>
      </c>
      <c r="P38" s="176" t="str">
        <f aca="false">IF(INDEX(Salary_Calculation[Source Row],ROW()-ROW(Payslip_Lookup[#Headers]))="","",INDEX(Salary_Calculation[Missing-Order Deduction],ROW()-ROW(Payslip_Lookup[#Headers])))</f>
        <v/>
      </c>
      <c r="Q38" s="174" t="str">
        <f aca="false">IF(INDEX(Salary_Calculation[Source Row],ROW()-ROW(Payslip_Lookup[#Headers]))="","",INDEX(Salary_Calculation[Extra Orders],ROW()-ROW(Payslip_Lookup[#Headers])))</f>
        <v/>
      </c>
      <c r="R38" s="176" t="str">
        <f aca="false">IF(INDEX(Salary_Calculation[Source Row],ROW()-ROW(Payslip_Lookup[#Headers]))="","",INDEX(Salary_Calculation[Extra-Order Bonus],ROW()-ROW(Payslip_Lookup[#Headers])))</f>
        <v/>
      </c>
      <c r="S38" s="176" t="str">
        <f aca="false">IF(INDEX(Salary_Calculation[Source Row],ROW()-ROW(Payslip_Lookup[#Headers]))="","",INDEX(Salary_Calculation[Basic Salary for Target],ROW()-ROW(Payslip_Lookup[#Headers])))</f>
        <v/>
      </c>
      <c r="T38" s="176" t="str">
        <f aca="false">IF(INDEX(Salary_Calculation[Source Row],ROW()-ROW(Payslip_Lookup[#Headers]))="","",INDEX(Salary_Calculation[Gross Salary Before Deductions],ROW()-ROW(Payslip_Lookup[#Headers])))</f>
        <v/>
      </c>
      <c r="U38" s="176" t="str">
        <f aca="false">IF(INDEX(Salary_Calculation[Source Row],ROW()-ROW(Payslip_Lookup[#Headers]))="","",INDEX(Salary_Calculation[missed_days_penalty],ROW()-ROW(Payslip_Lookup[#Headers])))</f>
        <v/>
      </c>
      <c r="V38" s="176" t="str">
        <f aca="false">IF(INDEX(Salary_Calculation[Source Row],ROW()-ROW(Payslip_Lookup[#Headers]))="","",INDEX(Salary_Calculation[Rider Balance],ROW()-ROW(Payslip_Lookup[#Headers])))</f>
        <v/>
      </c>
      <c r="W38" s="176" t="str">
        <f aca="false">IF(INDEX(Salary_Calculation[Source Row],ROW()-ROW(Payslip_Lookup[#Headers]))="","",INDEX(Salary_Calculation[stacking_deduction],ROW()-ROW(Payslip_Lookup[#Headers])))</f>
        <v/>
      </c>
      <c r="X38" s="176" t="str">
        <f aca="false">IF(INDEX(Salary_Calculation[Source Row],ROW()-ROW(Payslip_Lookup[#Headers]))="","",INDEX(Salary_Calculation[Other Deductions],ROW()-ROW(Payslip_Lookup[#Headers])))</f>
        <v/>
      </c>
      <c r="Y38" s="176" t="str">
        <f aca="false">IF(INDEX(Salary_Calculation[Source Row],ROW()-ROW(Payslip_Lookup[#Headers]))="","",INDEX(Salary_Calculation[Total Deductions],ROW()-ROW(Payslip_Lookup[#Headers])))</f>
        <v/>
      </c>
      <c r="Z38" s="176" t="str">
        <f aca="false">IF(INDEX(Salary_Calculation[Source Row],ROW()-ROW(Payslip_Lookup[#Headers]))="","",INDEX(Salary_Calculation[Final Salary],ROW()-ROW(Payslip_Lookup[#Headers])))</f>
        <v/>
      </c>
      <c r="AA38" s="176" t="str">
        <f aca="false">IF(INDEX(Salary_Calculation[Source Row],ROW()-ROW(Payslip_Lookup[#Headers]))="","",INDEX(Salary_Calculation[Negative Balance / Amount Due from Rider],ROW()-ROW(Payslip_Lookup[#Headers])))</f>
        <v/>
      </c>
      <c r="AB38" s="176" t="str">
        <f aca="false">IF(INDEX(Salary_Calculation[Source Row],ROW()-ROW(Payslip_Lookup[#Headers]))="","",INDEX(Salary_Calculation[Total Amount Due from Rider],ROW()-ROW(Payslip_Lookup[#Headers])))</f>
        <v/>
      </c>
      <c r="AC38" s="176" t="str">
        <f aca="false">IF(INDEX(Salary_Calculation[Source Row],ROW()-ROW(Payslip_Lookup[#Headers]))="","",INDEX(Salary_Calculation[Salary Before Other Deductions],ROW()-ROW(Payslip_Lookup[#Headers])))</f>
        <v/>
      </c>
      <c r="AD38" s="171" t="str">
        <f aca="false">IF(INDEX(Salary_Calculation[Source Row],ROW()-ROW(Payslip_Lookup[#Headers]))="","",INDEX(Salary_Calculation[Payment Status],ROW()-ROW(Payslip_Lookup[#Headers])))</f>
        <v/>
      </c>
      <c r="AE38" s="171" t="str">
        <f aca="false">IF(INDEX(Salary_Calculation[Source Row],ROW()-ROW(Payslip_Lookup[#Headers]))="","",INDEX(Salary_Calculation[Notes],ROW()-ROW(Payslip_Lookup[#Headers])))</f>
        <v/>
      </c>
      <c r="AF38" s="171" t="str">
        <f aca="false">IF(INDEX(Salary_Calculation[Source Row],ROW()-ROW(Payslip_Lookup[#Headers]))="","",INDEX(Salary_Calculation[Exception Reason],ROW()-ROW(Payslip_Lookup[#Headers])))</f>
        <v/>
      </c>
      <c r="AG38" s="173" t="str">
        <f aca="false">IF($AD38="Review Required",COUNTIF(AD$2:AD38,"Review Required"),"")</f>
        <v/>
      </c>
      <c r="AH38" s="173" t="str">
        <f aca="false">IF(AND($D38&lt;&gt;"",$B38=Payslip_Print!$C$2),MAX(AH$1:AH37)+1,"")</f>
        <v/>
      </c>
      <c r="AL38" s="178" t="str">
        <f aca="false">IFERROR(INDEX($D$2:$D$501,MATCH(ROW()-1,$AH$2:$AH$501,0)),"")</f>
        <v/>
      </c>
      <c r="AM38" s="179" t="str">
        <f aca="false">IF($Z38="","",IF(AND($C38&gt;=Dash_Start,$C38&lt;Dash_End),$Z38+ROW()/10000000,""))</f>
        <v/>
      </c>
    </row>
    <row r="39" customFormat="false" ht="14.25" hidden="false" customHeight="false" outlineLevel="0" collapsed="false">
      <c r="A39" s="171" t="str">
        <f aca="false">IF(Payslip_Lookup[[#This Row],[Rider ID]]="","",Payslip_Lookup[[#This Row],[Rider ID]]&amp;"|"&amp;Payslip_Lookup[[#This Row],[Month Key]])</f>
        <v/>
      </c>
      <c r="B39" s="172" t="str">
        <f aca="false">IF(ISNUMBER(Payslip_Lookup[[#This Row],[Salary Month]]),DATE(YEAR(Payslip_Lookup[[#This Row],[Salary Month]]),MONTH(Payslip_Lookup[[#This Row],[Salary Month]]),1),"")</f>
        <v/>
      </c>
      <c r="C39" s="172" t="str">
        <f aca="false">IF(INDEX(Salary_Calculation[Source Row],ROW()-ROW(Payslip_Lookup[#Headers]))="","",INDEX(Salary_Calculation[Salary Month],ROW()-ROW(Payslip_Lookup[#Headers])))</f>
        <v/>
      </c>
      <c r="D39" s="173" t="str">
        <f aca="false">IF(INDEX(Salary_Calculation[Source Row],ROW()-ROW(Payslip_Lookup[#Headers]))="","",INDEX(Salary_Calculation[Rider ID],ROW()-ROW(Payslip_Lookup[#Headers])))</f>
        <v/>
      </c>
      <c r="E39" s="171" t="str">
        <f aca="false">IF(INDEX(Salary_Calculation[Source Row],ROW()-ROW(Payslip_Lookup[#Headers]))="","",INDEX(Salary_Calculation[Rider Name],ROW()-ROW(Payslip_Lookup[#Headers])))</f>
        <v/>
      </c>
      <c r="F39" s="173" t="str">
        <f aca="false">IF(INDEX(Salary_Calculation[Source Row],ROW()-ROW(Payslip_Lookup[#Headers]))="","",INDEX(Salary_Calculation[Working Days],ROW()-ROW(Payslip_Lookup[#Headers])))</f>
        <v/>
      </c>
      <c r="G39" s="173" t="str">
        <f aca="false">IF(INDEX(Salary_Calculation[Source Row],ROW()-ROW(Payslip_Lookup[#Headers]))="","",INDEX(Salary_Calculation[Calendar Days],ROW()-ROW(Payslip_Lookup[#Headers])))</f>
        <v/>
      </c>
      <c r="H39" s="174" t="str">
        <f aca="false">IF(INDEX(Salary_Calculation[Source Row],ROW()-ROW(Payslip_Lookup[#Headers]))="","",INDEX(Salary_Calculation[Monthly Target Orders],ROW()-ROW(Payslip_Lookup[#Headers])))</f>
        <v/>
      </c>
      <c r="I39" s="174" t="str">
        <f aca="false">IF(INDEX(Salary_Calculation[Source Row],ROW()-ROW(Payslip_Lookup[#Headers]))="","",INDEX(Salary_Calculation[Rider Target Orders],ROW()-ROW(Payslip_Lookup[#Headers])))</f>
        <v/>
      </c>
      <c r="J39" s="175" t="str">
        <f aca="false">IF(INDEX(Salary_Calculation[Source Row],ROW()-ROW(Payslip_Lookup[#Headers]))="","",INDEX(Salary_Calculation[Completed Orders],ROW()-ROW(Payslip_Lookup[#Headers])))</f>
        <v/>
      </c>
      <c r="K39" s="174" t="str">
        <f aca="false">IF(INDEX(Salary_Calculation[Source Row],ROW()-ROW(Payslip_Lookup[#Headers]))="","",INDEX(Salary_Calculation[Base Order Rate],ROW()-ROW(Payslip_Lookup[#Headers])))</f>
        <v/>
      </c>
      <c r="L39" s="176" t="str">
        <f aca="false">IF(INDEX(Salary_Calculation[Source Row],ROW()-ROW(Payslip_Lookup[#Headers]))="","",INDEX(Salary_Calculation[Basic Payment],ROW()-ROW(Payslip_Lookup[#Headers])))</f>
        <v/>
      </c>
      <c r="M39" s="176" t="str">
        <f aca="false">IF(INDEX(Salary_Calculation[Source Row],ROW()-ROW(Payslip_Lookup[#Headers]))="","",INDEX(Salary_Calculation[Earned Salary],ROW()-ROW(Payslip_Lookup[#Headers])))</f>
        <v/>
      </c>
      <c r="N39" s="174" t="str">
        <f aca="false">IF(INDEX(Salary_Calculation[Source Row],ROW()-ROW(Payslip_Lookup[#Headers]))="","",INDEX(Salary_Calculation[Orders Counted at Base Rate],ROW()-ROW(Payslip_Lookup[#Headers])))</f>
        <v/>
      </c>
      <c r="O39" s="174" t="str">
        <f aca="false">IF(INDEX(Salary_Calculation[Source Row],ROW()-ROW(Payslip_Lookup[#Headers]))="","",INDEX(Salary_Calculation[Missing Orders],ROW()-ROW(Payslip_Lookup[#Headers])))</f>
        <v/>
      </c>
      <c r="P39" s="176" t="str">
        <f aca="false">IF(INDEX(Salary_Calculation[Source Row],ROW()-ROW(Payslip_Lookup[#Headers]))="","",INDEX(Salary_Calculation[Missing-Order Deduction],ROW()-ROW(Payslip_Lookup[#Headers])))</f>
        <v/>
      </c>
      <c r="Q39" s="174" t="str">
        <f aca="false">IF(INDEX(Salary_Calculation[Source Row],ROW()-ROW(Payslip_Lookup[#Headers]))="","",INDEX(Salary_Calculation[Extra Orders],ROW()-ROW(Payslip_Lookup[#Headers])))</f>
        <v/>
      </c>
      <c r="R39" s="176" t="str">
        <f aca="false">IF(INDEX(Salary_Calculation[Source Row],ROW()-ROW(Payslip_Lookup[#Headers]))="","",INDEX(Salary_Calculation[Extra-Order Bonus],ROW()-ROW(Payslip_Lookup[#Headers])))</f>
        <v/>
      </c>
      <c r="S39" s="176" t="str">
        <f aca="false">IF(INDEX(Salary_Calculation[Source Row],ROW()-ROW(Payslip_Lookup[#Headers]))="","",INDEX(Salary_Calculation[Basic Salary for Target],ROW()-ROW(Payslip_Lookup[#Headers])))</f>
        <v/>
      </c>
      <c r="T39" s="176" t="str">
        <f aca="false">IF(INDEX(Salary_Calculation[Source Row],ROW()-ROW(Payslip_Lookup[#Headers]))="","",INDEX(Salary_Calculation[Gross Salary Before Deductions],ROW()-ROW(Payslip_Lookup[#Headers])))</f>
        <v/>
      </c>
      <c r="U39" s="176" t="str">
        <f aca="false">IF(INDEX(Salary_Calculation[Source Row],ROW()-ROW(Payslip_Lookup[#Headers]))="","",INDEX(Salary_Calculation[missed_days_penalty],ROW()-ROW(Payslip_Lookup[#Headers])))</f>
        <v/>
      </c>
      <c r="V39" s="176" t="str">
        <f aca="false">IF(INDEX(Salary_Calculation[Source Row],ROW()-ROW(Payslip_Lookup[#Headers]))="","",INDEX(Salary_Calculation[Rider Balance],ROW()-ROW(Payslip_Lookup[#Headers])))</f>
        <v/>
      </c>
      <c r="W39" s="176" t="str">
        <f aca="false">IF(INDEX(Salary_Calculation[Source Row],ROW()-ROW(Payslip_Lookup[#Headers]))="","",INDEX(Salary_Calculation[stacking_deduction],ROW()-ROW(Payslip_Lookup[#Headers])))</f>
        <v/>
      </c>
      <c r="X39" s="176" t="str">
        <f aca="false">IF(INDEX(Salary_Calculation[Source Row],ROW()-ROW(Payslip_Lookup[#Headers]))="","",INDEX(Salary_Calculation[Other Deductions],ROW()-ROW(Payslip_Lookup[#Headers])))</f>
        <v/>
      </c>
      <c r="Y39" s="176" t="str">
        <f aca="false">IF(INDEX(Salary_Calculation[Source Row],ROW()-ROW(Payslip_Lookup[#Headers]))="","",INDEX(Salary_Calculation[Total Deductions],ROW()-ROW(Payslip_Lookup[#Headers])))</f>
        <v/>
      </c>
      <c r="Z39" s="176" t="str">
        <f aca="false">IF(INDEX(Salary_Calculation[Source Row],ROW()-ROW(Payslip_Lookup[#Headers]))="","",INDEX(Salary_Calculation[Final Salary],ROW()-ROW(Payslip_Lookup[#Headers])))</f>
        <v/>
      </c>
      <c r="AA39" s="176" t="str">
        <f aca="false">IF(INDEX(Salary_Calculation[Source Row],ROW()-ROW(Payslip_Lookup[#Headers]))="","",INDEX(Salary_Calculation[Negative Balance / Amount Due from Rider],ROW()-ROW(Payslip_Lookup[#Headers])))</f>
        <v/>
      </c>
      <c r="AB39" s="176" t="str">
        <f aca="false">IF(INDEX(Salary_Calculation[Source Row],ROW()-ROW(Payslip_Lookup[#Headers]))="","",INDEX(Salary_Calculation[Total Amount Due from Rider],ROW()-ROW(Payslip_Lookup[#Headers])))</f>
        <v/>
      </c>
      <c r="AC39" s="176" t="str">
        <f aca="false">IF(INDEX(Salary_Calculation[Source Row],ROW()-ROW(Payslip_Lookup[#Headers]))="","",INDEX(Salary_Calculation[Salary Before Other Deductions],ROW()-ROW(Payslip_Lookup[#Headers])))</f>
        <v/>
      </c>
      <c r="AD39" s="171" t="str">
        <f aca="false">IF(INDEX(Salary_Calculation[Source Row],ROW()-ROW(Payslip_Lookup[#Headers]))="","",INDEX(Salary_Calculation[Payment Status],ROW()-ROW(Payslip_Lookup[#Headers])))</f>
        <v/>
      </c>
      <c r="AE39" s="171" t="str">
        <f aca="false">IF(INDEX(Salary_Calculation[Source Row],ROW()-ROW(Payslip_Lookup[#Headers]))="","",INDEX(Salary_Calculation[Notes],ROW()-ROW(Payslip_Lookup[#Headers])))</f>
        <v/>
      </c>
      <c r="AF39" s="171" t="str">
        <f aca="false">IF(INDEX(Salary_Calculation[Source Row],ROW()-ROW(Payslip_Lookup[#Headers]))="","",INDEX(Salary_Calculation[Exception Reason],ROW()-ROW(Payslip_Lookup[#Headers])))</f>
        <v/>
      </c>
      <c r="AG39" s="173" t="str">
        <f aca="false">IF($AD39="Review Required",COUNTIF(AD$2:AD39,"Review Required"),"")</f>
        <v/>
      </c>
      <c r="AH39" s="173" t="str">
        <f aca="false">IF(AND($D39&lt;&gt;"",$B39=Payslip_Print!$C$2),MAX(AH$1:AH38)+1,"")</f>
        <v/>
      </c>
      <c r="AL39" s="178" t="str">
        <f aca="false">IFERROR(INDEX($D$2:$D$501,MATCH(ROW()-1,$AH$2:$AH$501,0)),"")</f>
        <v/>
      </c>
      <c r="AM39" s="179" t="str">
        <f aca="false">IF($Z39="","",IF(AND($C39&gt;=Dash_Start,$C39&lt;Dash_End),$Z39+ROW()/10000000,""))</f>
        <v/>
      </c>
    </row>
    <row r="40" customFormat="false" ht="14.25" hidden="false" customHeight="false" outlineLevel="0" collapsed="false">
      <c r="A40" s="171" t="str">
        <f aca="false">IF(Payslip_Lookup[[#This Row],[Rider ID]]="","",Payslip_Lookup[[#This Row],[Rider ID]]&amp;"|"&amp;Payslip_Lookup[[#This Row],[Month Key]])</f>
        <v/>
      </c>
      <c r="B40" s="172" t="str">
        <f aca="false">IF(ISNUMBER(Payslip_Lookup[[#This Row],[Salary Month]]),DATE(YEAR(Payslip_Lookup[[#This Row],[Salary Month]]),MONTH(Payslip_Lookup[[#This Row],[Salary Month]]),1),"")</f>
        <v/>
      </c>
      <c r="C40" s="172" t="str">
        <f aca="false">IF(INDEX(Salary_Calculation[Source Row],ROW()-ROW(Payslip_Lookup[#Headers]))="","",INDEX(Salary_Calculation[Salary Month],ROW()-ROW(Payslip_Lookup[#Headers])))</f>
        <v/>
      </c>
      <c r="D40" s="173" t="str">
        <f aca="false">IF(INDEX(Salary_Calculation[Source Row],ROW()-ROW(Payslip_Lookup[#Headers]))="","",INDEX(Salary_Calculation[Rider ID],ROW()-ROW(Payslip_Lookup[#Headers])))</f>
        <v/>
      </c>
      <c r="E40" s="171" t="str">
        <f aca="false">IF(INDEX(Salary_Calculation[Source Row],ROW()-ROW(Payslip_Lookup[#Headers]))="","",INDEX(Salary_Calculation[Rider Name],ROW()-ROW(Payslip_Lookup[#Headers])))</f>
        <v/>
      </c>
      <c r="F40" s="173" t="str">
        <f aca="false">IF(INDEX(Salary_Calculation[Source Row],ROW()-ROW(Payslip_Lookup[#Headers]))="","",INDEX(Salary_Calculation[Working Days],ROW()-ROW(Payslip_Lookup[#Headers])))</f>
        <v/>
      </c>
      <c r="G40" s="173" t="str">
        <f aca="false">IF(INDEX(Salary_Calculation[Source Row],ROW()-ROW(Payslip_Lookup[#Headers]))="","",INDEX(Salary_Calculation[Calendar Days],ROW()-ROW(Payslip_Lookup[#Headers])))</f>
        <v/>
      </c>
      <c r="H40" s="174" t="str">
        <f aca="false">IF(INDEX(Salary_Calculation[Source Row],ROW()-ROW(Payslip_Lookup[#Headers]))="","",INDEX(Salary_Calculation[Monthly Target Orders],ROW()-ROW(Payslip_Lookup[#Headers])))</f>
        <v/>
      </c>
      <c r="I40" s="174" t="str">
        <f aca="false">IF(INDEX(Salary_Calculation[Source Row],ROW()-ROW(Payslip_Lookup[#Headers]))="","",INDEX(Salary_Calculation[Rider Target Orders],ROW()-ROW(Payslip_Lookup[#Headers])))</f>
        <v/>
      </c>
      <c r="J40" s="175" t="str">
        <f aca="false">IF(INDEX(Salary_Calculation[Source Row],ROW()-ROW(Payslip_Lookup[#Headers]))="","",INDEX(Salary_Calculation[Completed Orders],ROW()-ROW(Payslip_Lookup[#Headers])))</f>
        <v/>
      </c>
      <c r="K40" s="174" t="str">
        <f aca="false">IF(INDEX(Salary_Calculation[Source Row],ROW()-ROW(Payslip_Lookup[#Headers]))="","",INDEX(Salary_Calculation[Base Order Rate],ROW()-ROW(Payslip_Lookup[#Headers])))</f>
        <v/>
      </c>
      <c r="L40" s="176" t="str">
        <f aca="false">IF(INDEX(Salary_Calculation[Source Row],ROW()-ROW(Payslip_Lookup[#Headers]))="","",INDEX(Salary_Calculation[Basic Payment],ROW()-ROW(Payslip_Lookup[#Headers])))</f>
        <v/>
      </c>
      <c r="M40" s="176" t="str">
        <f aca="false">IF(INDEX(Salary_Calculation[Source Row],ROW()-ROW(Payslip_Lookup[#Headers]))="","",INDEX(Salary_Calculation[Earned Salary],ROW()-ROW(Payslip_Lookup[#Headers])))</f>
        <v/>
      </c>
      <c r="N40" s="174" t="str">
        <f aca="false">IF(INDEX(Salary_Calculation[Source Row],ROW()-ROW(Payslip_Lookup[#Headers]))="","",INDEX(Salary_Calculation[Orders Counted at Base Rate],ROW()-ROW(Payslip_Lookup[#Headers])))</f>
        <v/>
      </c>
      <c r="O40" s="174" t="str">
        <f aca="false">IF(INDEX(Salary_Calculation[Source Row],ROW()-ROW(Payslip_Lookup[#Headers]))="","",INDEX(Salary_Calculation[Missing Orders],ROW()-ROW(Payslip_Lookup[#Headers])))</f>
        <v/>
      </c>
      <c r="P40" s="176" t="str">
        <f aca="false">IF(INDEX(Salary_Calculation[Source Row],ROW()-ROW(Payslip_Lookup[#Headers]))="","",INDEX(Salary_Calculation[Missing-Order Deduction],ROW()-ROW(Payslip_Lookup[#Headers])))</f>
        <v/>
      </c>
      <c r="Q40" s="174" t="str">
        <f aca="false">IF(INDEX(Salary_Calculation[Source Row],ROW()-ROW(Payslip_Lookup[#Headers]))="","",INDEX(Salary_Calculation[Extra Orders],ROW()-ROW(Payslip_Lookup[#Headers])))</f>
        <v/>
      </c>
      <c r="R40" s="176" t="str">
        <f aca="false">IF(INDEX(Salary_Calculation[Source Row],ROW()-ROW(Payslip_Lookup[#Headers]))="","",INDEX(Salary_Calculation[Extra-Order Bonus],ROW()-ROW(Payslip_Lookup[#Headers])))</f>
        <v/>
      </c>
      <c r="S40" s="176" t="str">
        <f aca="false">IF(INDEX(Salary_Calculation[Source Row],ROW()-ROW(Payslip_Lookup[#Headers]))="","",INDEX(Salary_Calculation[Basic Salary for Target],ROW()-ROW(Payslip_Lookup[#Headers])))</f>
        <v/>
      </c>
      <c r="T40" s="176" t="str">
        <f aca="false">IF(INDEX(Salary_Calculation[Source Row],ROW()-ROW(Payslip_Lookup[#Headers]))="","",INDEX(Salary_Calculation[Gross Salary Before Deductions],ROW()-ROW(Payslip_Lookup[#Headers])))</f>
        <v/>
      </c>
      <c r="U40" s="176" t="str">
        <f aca="false">IF(INDEX(Salary_Calculation[Source Row],ROW()-ROW(Payslip_Lookup[#Headers]))="","",INDEX(Salary_Calculation[missed_days_penalty],ROW()-ROW(Payslip_Lookup[#Headers])))</f>
        <v/>
      </c>
      <c r="V40" s="176" t="str">
        <f aca="false">IF(INDEX(Salary_Calculation[Source Row],ROW()-ROW(Payslip_Lookup[#Headers]))="","",INDEX(Salary_Calculation[Rider Balance],ROW()-ROW(Payslip_Lookup[#Headers])))</f>
        <v/>
      </c>
      <c r="W40" s="176" t="str">
        <f aca="false">IF(INDEX(Salary_Calculation[Source Row],ROW()-ROW(Payslip_Lookup[#Headers]))="","",INDEX(Salary_Calculation[stacking_deduction],ROW()-ROW(Payslip_Lookup[#Headers])))</f>
        <v/>
      </c>
      <c r="X40" s="176" t="str">
        <f aca="false">IF(INDEX(Salary_Calculation[Source Row],ROW()-ROW(Payslip_Lookup[#Headers]))="","",INDEX(Salary_Calculation[Other Deductions],ROW()-ROW(Payslip_Lookup[#Headers])))</f>
        <v/>
      </c>
      <c r="Y40" s="176" t="str">
        <f aca="false">IF(INDEX(Salary_Calculation[Source Row],ROW()-ROW(Payslip_Lookup[#Headers]))="","",INDEX(Salary_Calculation[Total Deductions],ROW()-ROW(Payslip_Lookup[#Headers])))</f>
        <v/>
      </c>
      <c r="Z40" s="176" t="str">
        <f aca="false">IF(INDEX(Salary_Calculation[Source Row],ROW()-ROW(Payslip_Lookup[#Headers]))="","",INDEX(Salary_Calculation[Final Salary],ROW()-ROW(Payslip_Lookup[#Headers])))</f>
        <v/>
      </c>
      <c r="AA40" s="176" t="str">
        <f aca="false">IF(INDEX(Salary_Calculation[Source Row],ROW()-ROW(Payslip_Lookup[#Headers]))="","",INDEX(Salary_Calculation[Negative Balance / Amount Due from Rider],ROW()-ROW(Payslip_Lookup[#Headers])))</f>
        <v/>
      </c>
      <c r="AB40" s="176" t="str">
        <f aca="false">IF(INDEX(Salary_Calculation[Source Row],ROW()-ROW(Payslip_Lookup[#Headers]))="","",INDEX(Salary_Calculation[Total Amount Due from Rider],ROW()-ROW(Payslip_Lookup[#Headers])))</f>
        <v/>
      </c>
      <c r="AC40" s="176" t="str">
        <f aca="false">IF(INDEX(Salary_Calculation[Source Row],ROW()-ROW(Payslip_Lookup[#Headers]))="","",INDEX(Salary_Calculation[Salary Before Other Deductions],ROW()-ROW(Payslip_Lookup[#Headers])))</f>
        <v/>
      </c>
      <c r="AD40" s="171" t="str">
        <f aca="false">IF(INDEX(Salary_Calculation[Source Row],ROW()-ROW(Payslip_Lookup[#Headers]))="","",INDEX(Salary_Calculation[Payment Status],ROW()-ROW(Payslip_Lookup[#Headers])))</f>
        <v/>
      </c>
      <c r="AE40" s="171" t="str">
        <f aca="false">IF(INDEX(Salary_Calculation[Source Row],ROW()-ROW(Payslip_Lookup[#Headers]))="","",INDEX(Salary_Calculation[Notes],ROW()-ROW(Payslip_Lookup[#Headers])))</f>
        <v/>
      </c>
      <c r="AF40" s="171" t="str">
        <f aca="false">IF(INDEX(Salary_Calculation[Source Row],ROW()-ROW(Payslip_Lookup[#Headers]))="","",INDEX(Salary_Calculation[Exception Reason],ROW()-ROW(Payslip_Lookup[#Headers])))</f>
        <v/>
      </c>
      <c r="AG40" s="173" t="str">
        <f aca="false">IF($AD40="Review Required",COUNTIF(AD$2:AD40,"Review Required"),"")</f>
        <v/>
      </c>
      <c r="AH40" s="173" t="str">
        <f aca="false">IF(AND($D40&lt;&gt;"",$B40=Payslip_Print!$C$2),MAX(AH$1:AH39)+1,"")</f>
        <v/>
      </c>
      <c r="AL40" s="178" t="str">
        <f aca="false">IFERROR(INDEX($D$2:$D$501,MATCH(ROW()-1,$AH$2:$AH$501,0)),"")</f>
        <v/>
      </c>
      <c r="AM40" s="179" t="str">
        <f aca="false">IF($Z40="","",IF(AND($C40&gt;=Dash_Start,$C40&lt;Dash_End),$Z40+ROW()/10000000,""))</f>
        <v/>
      </c>
    </row>
    <row r="41" customFormat="false" ht="14.25" hidden="false" customHeight="false" outlineLevel="0" collapsed="false">
      <c r="A41" s="171" t="str">
        <f aca="false">IF(Payslip_Lookup[[#This Row],[Rider ID]]="","",Payslip_Lookup[[#This Row],[Rider ID]]&amp;"|"&amp;Payslip_Lookup[[#This Row],[Month Key]])</f>
        <v/>
      </c>
      <c r="B41" s="172" t="str">
        <f aca="false">IF(ISNUMBER(Payslip_Lookup[[#This Row],[Salary Month]]),DATE(YEAR(Payslip_Lookup[[#This Row],[Salary Month]]),MONTH(Payslip_Lookup[[#This Row],[Salary Month]]),1),"")</f>
        <v/>
      </c>
      <c r="C41" s="172" t="str">
        <f aca="false">IF(INDEX(Salary_Calculation[Source Row],ROW()-ROW(Payslip_Lookup[#Headers]))="","",INDEX(Salary_Calculation[Salary Month],ROW()-ROW(Payslip_Lookup[#Headers])))</f>
        <v/>
      </c>
      <c r="D41" s="173" t="str">
        <f aca="false">IF(INDEX(Salary_Calculation[Source Row],ROW()-ROW(Payslip_Lookup[#Headers]))="","",INDEX(Salary_Calculation[Rider ID],ROW()-ROW(Payslip_Lookup[#Headers])))</f>
        <v/>
      </c>
      <c r="E41" s="171" t="str">
        <f aca="false">IF(INDEX(Salary_Calculation[Source Row],ROW()-ROW(Payslip_Lookup[#Headers]))="","",INDEX(Salary_Calculation[Rider Name],ROW()-ROW(Payslip_Lookup[#Headers])))</f>
        <v/>
      </c>
      <c r="F41" s="173" t="str">
        <f aca="false">IF(INDEX(Salary_Calculation[Source Row],ROW()-ROW(Payslip_Lookup[#Headers]))="","",INDEX(Salary_Calculation[Working Days],ROW()-ROW(Payslip_Lookup[#Headers])))</f>
        <v/>
      </c>
      <c r="G41" s="173" t="str">
        <f aca="false">IF(INDEX(Salary_Calculation[Source Row],ROW()-ROW(Payslip_Lookup[#Headers]))="","",INDEX(Salary_Calculation[Calendar Days],ROW()-ROW(Payslip_Lookup[#Headers])))</f>
        <v/>
      </c>
      <c r="H41" s="174" t="str">
        <f aca="false">IF(INDEX(Salary_Calculation[Source Row],ROW()-ROW(Payslip_Lookup[#Headers]))="","",INDEX(Salary_Calculation[Monthly Target Orders],ROW()-ROW(Payslip_Lookup[#Headers])))</f>
        <v/>
      </c>
      <c r="I41" s="174" t="str">
        <f aca="false">IF(INDEX(Salary_Calculation[Source Row],ROW()-ROW(Payslip_Lookup[#Headers]))="","",INDEX(Salary_Calculation[Rider Target Orders],ROW()-ROW(Payslip_Lookup[#Headers])))</f>
        <v/>
      </c>
      <c r="J41" s="175" t="str">
        <f aca="false">IF(INDEX(Salary_Calculation[Source Row],ROW()-ROW(Payslip_Lookup[#Headers]))="","",INDEX(Salary_Calculation[Completed Orders],ROW()-ROW(Payslip_Lookup[#Headers])))</f>
        <v/>
      </c>
      <c r="K41" s="174" t="str">
        <f aca="false">IF(INDEX(Salary_Calculation[Source Row],ROW()-ROW(Payslip_Lookup[#Headers]))="","",INDEX(Salary_Calculation[Base Order Rate],ROW()-ROW(Payslip_Lookup[#Headers])))</f>
        <v/>
      </c>
      <c r="L41" s="176" t="str">
        <f aca="false">IF(INDEX(Salary_Calculation[Source Row],ROW()-ROW(Payslip_Lookup[#Headers]))="","",INDEX(Salary_Calculation[Basic Payment],ROW()-ROW(Payslip_Lookup[#Headers])))</f>
        <v/>
      </c>
      <c r="M41" s="176" t="str">
        <f aca="false">IF(INDEX(Salary_Calculation[Source Row],ROW()-ROW(Payslip_Lookup[#Headers]))="","",INDEX(Salary_Calculation[Earned Salary],ROW()-ROW(Payslip_Lookup[#Headers])))</f>
        <v/>
      </c>
      <c r="N41" s="174" t="str">
        <f aca="false">IF(INDEX(Salary_Calculation[Source Row],ROW()-ROW(Payslip_Lookup[#Headers]))="","",INDEX(Salary_Calculation[Orders Counted at Base Rate],ROW()-ROW(Payslip_Lookup[#Headers])))</f>
        <v/>
      </c>
      <c r="O41" s="174" t="str">
        <f aca="false">IF(INDEX(Salary_Calculation[Source Row],ROW()-ROW(Payslip_Lookup[#Headers]))="","",INDEX(Salary_Calculation[Missing Orders],ROW()-ROW(Payslip_Lookup[#Headers])))</f>
        <v/>
      </c>
      <c r="P41" s="176" t="str">
        <f aca="false">IF(INDEX(Salary_Calculation[Source Row],ROW()-ROW(Payslip_Lookup[#Headers]))="","",INDEX(Salary_Calculation[Missing-Order Deduction],ROW()-ROW(Payslip_Lookup[#Headers])))</f>
        <v/>
      </c>
      <c r="Q41" s="174" t="str">
        <f aca="false">IF(INDEX(Salary_Calculation[Source Row],ROW()-ROW(Payslip_Lookup[#Headers]))="","",INDEX(Salary_Calculation[Extra Orders],ROW()-ROW(Payslip_Lookup[#Headers])))</f>
        <v/>
      </c>
      <c r="R41" s="176" t="str">
        <f aca="false">IF(INDEX(Salary_Calculation[Source Row],ROW()-ROW(Payslip_Lookup[#Headers]))="","",INDEX(Salary_Calculation[Extra-Order Bonus],ROW()-ROW(Payslip_Lookup[#Headers])))</f>
        <v/>
      </c>
      <c r="S41" s="176" t="str">
        <f aca="false">IF(INDEX(Salary_Calculation[Source Row],ROW()-ROW(Payslip_Lookup[#Headers]))="","",INDEX(Salary_Calculation[Basic Salary for Target],ROW()-ROW(Payslip_Lookup[#Headers])))</f>
        <v/>
      </c>
      <c r="T41" s="176" t="str">
        <f aca="false">IF(INDEX(Salary_Calculation[Source Row],ROW()-ROW(Payslip_Lookup[#Headers]))="","",INDEX(Salary_Calculation[Gross Salary Before Deductions],ROW()-ROW(Payslip_Lookup[#Headers])))</f>
        <v/>
      </c>
      <c r="U41" s="176" t="str">
        <f aca="false">IF(INDEX(Salary_Calculation[Source Row],ROW()-ROW(Payslip_Lookup[#Headers]))="","",INDEX(Salary_Calculation[missed_days_penalty],ROW()-ROW(Payslip_Lookup[#Headers])))</f>
        <v/>
      </c>
      <c r="V41" s="176" t="str">
        <f aca="false">IF(INDEX(Salary_Calculation[Source Row],ROW()-ROW(Payslip_Lookup[#Headers]))="","",INDEX(Salary_Calculation[Rider Balance],ROW()-ROW(Payslip_Lookup[#Headers])))</f>
        <v/>
      </c>
      <c r="W41" s="176" t="str">
        <f aca="false">IF(INDEX(Salary_Calculation[Source Row],ROW()-ROW(Payslip_Lookup[#Headers]))="","",INDEX(Salary_Calculation[stacking_deduction],ROW()-ROW(Payslip_Lookup[#Headers])))</f>
        <v/>
      </c>
      <c r="X41" s="176" t="str">
        <f aca="false">IF(INDEX(Salary_Calculation[Source Row],ROW()-ROW(Payslip_Lookup[#Headers]))="","",INDEX(Salary_Calculation[Other Deductions],ROW()-ROW(Payslip_Lookup[#Headers])))</f>
        <v/>
      </c>
      <c r="Y41" s="176" t="str">
        <f aca="false">IF(INDEX(Salary_Calculation[Source Row],ROW()-ROW(Payslip_Lookup[#Headers]))="","",INDEX(Salary_Calculation[Total Deductions],ROW()-ROW(Payslip_Lookup[#Headers])))</f>
        <v/>
      </c>
      <c r="Z41" s="176" t="str">
        <f aca="false">IF(INDEX(Salary_Calculation[Source Row],ROW()-ROW(Payslip_Lookup[#Headers]))="","",INDEX(Salary_Calculation[Final Salary],ROW()-ROW(Payslip_Lookup[#Headers])))</f>
        <v/>
      </c>
      <c r="AA41" s="176" t="str">
        <f aca="false">IF(INDEX(Salary_Calculation[Source Row],ROW()-ROW(Payslip_Lookup[#Headers]))="","",INDEX(Salary_Calculation[Negative Balance / Amount Due from Rider],ROW()-ROW(Payslip_Lookup[#Headers])))</f>
        <v/>
      </c>
      <c r="AB41" s="176" t="str">
        <f aca="false">IF(INDEX(Salary_Calculation[Source Row],ROW()-ROW(Payslip_Lookup[#Headers]))="","",INDEX(Salary_Calculation[Total Amount Due from Rider],ROW()-ROW(Payslip_Lookup[#Headers])))</f>
        <v/>
      </c>
      <c r="AC41" s="176" t="str">
        <f aca="false">IF(INDEX(Salary_Calculation[Source Row],ROW()-ROW(Payslip_Lookup[#Headers]))="","",INDEX(Salary_Calculation[Salary Before Other Deductions],ROW()-ROW(Payslip_Lookup[#Headers])))</f>
        <v/>
      </c>
      <c r="AD41" s="171" t="str">
        <f aca="false">IF(INDEX(Salary_Calculation[Source Row],ROW()-ROW(Payslip_Lookup[#Headers]))="","",INDEX(Salary_Calculation[Payment Status],ROW()-ROW(Payslip_Lookup[#Headers])))</f>
        <v/>
      </c>
      <c r="AE41" s="171" t="str">
        <f aca="false">IF(INDEX(Salary_Calculation[Source Row],ROW()-ROW(Payslip_Lookup[#Headers]))="","",INDEX(Salary_Calculation[Notes],ROW()-ROW(Payslip_Lookup[#Headers])))</f>
        <v/>
      </c>
      <c r="AF41" s="171" t="str">
        <f aca="false">IF(INDEX(Salary_Calculation[Source Row],ROW()-ROW(Payslip_Lookup[#Headers]))="","",INDEX(Salary_Calculation[Exception Reason],ROW()-ROW(Payslip_Lookup[#Headers])))</f>
        <v/>
      </c>
      <c r="AG41" s="173" t="str">
        <f aca="false">IF($AD41="Review Required",COUNTIF(AD$2:AD41,"Review Required"),"")</f>
        <v/>
      </c>
      <c r="AH41" s="173" t="str">
        <f aca="false">IF(AND($D41&lt;&gt;"",$B41=Payslip_Print!$C$2),MAX(AH$1:AH40)+1,"")</f>
        <v/>
      </c>
      <c r="AL41" s="178" t="str">
        <f aca="false">IFERROR(INDEX($D$2:$D$501,MATCH(ROW()-1,$AH$2:$AH$501,0)),"")</f>
        <v/>
      </c>
      <c r="AM41" s="179" t="str">
        <f aca="false">IF($Z41="","",IF(AND($C41&gt;=Dash_Start,$C41&lt;Dash_End),$Z41+ROW()/10000000,""))</f>
        <v/>
      </c>
    </row>
    <row r="42" customFormat="false" ht="14.25" hidden="false" customHeight="false" outlineLevel="0" collapsed="false">
      <c r="A42" s="171" t="str">
        <f aca="false">IF(Payslip_Lookup[[#This Row],[Rider ID]]="","",Payslip_Lookup[[#This Row],[Rider ID]]&amp;"|"&amp;Payslip_Lookup[[#This Row],[Month Key]])</f>
        <v/>
      </c>
      <c r="B42" s="172" t="str">
        <f aca="false">IF(ISNUMBER(Payslip_Lookup[[#This Row],[Salary Month]]),DATE(YEAR(Payslip_Lookup[[#This Row],[Salary Month]]),MONTH(Payslip_Lookup[[#This Row],[Salary Month]]),1),"")</f>
        <v/>
      </c>
      <c r="C42" s="172" t="str">
        <f aca="false">IF(INDEX(Salary_Calculation[Source Row],ROW()-ROW(Payslip_Lookup[#Headers]))="","",INDEX(Salary_Calculation[Salary Month],ROW()-ROW(Payslip_Lookup[#Headers])))</f>
        <v/>
      </c>
      <c r="D42" s="173" t="str">
        <f aca="false">IF(INDEX(Salary_Calculation[Source Row],ROW()-ROW(Payslip_Lookup[#Headers]))="","",INDEX(Salary_Calculation[Rider ID],ROW()-ROW(Payslip_Lookup[#Headers])))</f>
        <v/>
      </c>
      <c r="E42" s="171" t="str">
        <f aca="false">IF(INDEX(Salary_Calculation[Source Row],ROW()-ROW(Payslip_Lookup[#Headers]))="","",INDEX(Salary_Calculation[Rider Name],ROW()-ROW(Payslip_Lookup[#Headers])))</f>
        <v/>
      </c>
      <c r="F42" s="173" t="str">
        <f aca="false">IF(INDEX(Salary_Calculation[Source Row],ROW()-ROW(Payslip_Lookup[#Headers]))="","",INDEX(Salary_Calculation[Working Days],ROW()-ROW(Payslip_Lookup[#Headers])))</f>
        <v/>
      </c>
      <c r="G42" s="173" t="str">
        <f aca="false">IF(INDEX(Salary_Calculation[Source Row],ROW()-ROW(Payslip_Lookup[#Headers]))="","",INDEX(Salary_Calculation[Calendar Days],ROW()-ROW(Payslip_Lookup[#Headers])))</f>
        <v/>
      </c>
      <c r="H42" s="174" t="str">
        <f aca="false">IF(INDEX(Salary_Calculation[Source Row],ROW()-ROW(Payslip_Lookup[#Headers]))="","",INDEX(Salary_Calculation[Monthly Target Orders],ROW()-ROW(Payslip_Lookup[#Headers])))</f>
        <v/>
      </c>
      <c r="I42" s="174" t="str">
        <f aca="false">IF(INDEX(Salary_Calculation[Source Row],ROW()-ROW(Payslip_Lookup[#Headers]))="","",INDEX(Salary_Calculation[Rider Target Orders],ROW()-ROW(Payslip_Lookup[#Headers])))</f>
        <v/>
      </c>
      <c r="J42" s="175" t="str">
        <f aca="false">IF(INDEX(Salary_Calculation[Source Row],ROW()-ROW(Payslip_Lookup[#Headers]))="","",INDEX(Salary_Calculation[Completed Orders],ROW()-ROW(Payslip_Lookup[#Headers])))</f>
        <v/>
      </c>
      <c r="K42" s="174" t="str">
        <f aca="false">IF(INDEX(Salary_Calculation[Source Row],ROW()-ROW(Payslip_Lookup[#Headers]))="","",INDEX(Salary_Calculation[Base Order Rate],ROW()-ROW(Payslip_Lookup[#Headers])))</f>
        <v/>
      </c>
      <c r="L42" s="176" t="str">
        <f aca="false">IF(INDEX(Salary_Calculation[Source Row],ROW()-ROW(Payslip_Lookup[#Headers]))="","",INDEX(Salary_Calculation[Basic Payment],ROW()-ROW(Payslip_Lookup[#Headers])))</f>
        <v/>
      </c>
      <c r="M42" s="176" t="str">
        <f aca="false">IF(INDEX(Salary_Calculation[Source Row],ROW()-ROW(Payslip_Lookup[#Headers]))="","",INDEX(Salary_Calculation[Earned Salary],ROW()-ROW(Payslip_Lookup[#Headers])))</f>
        <v/>
      </c>
      <c r="N42" s="174" t="str">
        <f aca="false">IF(INDEX(Salary_Calculation[Source Row],ROW()-ROW(Payslip_Lookup[#Headers]))="","",INDEX(Salary_Calculation[Orders Counted at Base Rate],ROW()-ROW(Payslip_Lookup[#Headers])))</f>
        <v/>
      </c>
      <c r="O42" s="174" t="str">
        <f aca="false">IF(INDEX(Salary_Calculation[Source Row],ROW()-ROW(Payslip_Lookup[#Headers]))="","",INDEX(Salary_Calculation[Missing Orders],ROW()-ROW(Payslip_Lookup[#Headers])))</f>
        <v/>
      </c>
      <c r="P42" s="176" t="str">
        <f aca="false">IF(INDEX(Salary_Calculation[Source Row],ROW()-ROW(Payslip_Lookup[#Headers]))="","",INDEX(Salary_Calculation[Missing-Order Deduction],ROW()-ROW(Payslip_Lookup[#Headers])))</f>
        <v/>
      </c>
      <c r="Q42" s="174" t="str">
        <f aca="false">IF(INDEX(Salary_Calculation[Source Row],ROW()-ROW(Payslip_Lookup[#Headers]))="","",INDEX(Salary_Calculation[Extra Orders],ROW()-ROW(Payslip_Lookup[#Headers])))</f>
        <v/>
      </c>
      <c r="R42" s="176" t="str">
        <f aca="false">IF(INDEX(Salary_Calculation[Source Row],ROW()-ROW(Payslip_Lookup[#Headers]))="","",INDEX(Salary_Calculation[Extra-Order Bonus],ROW()-ROW(Payslip_Lookup[#Headers])))</f>
        <v/>
      </c>
      <c r="S42" s="176" t="str">
        <f aca="false">IF(INDEX(Salary_Calculation[Source Row],ROW()-ROW(Payslip_Lookup[#Headers]))="","",INDEX(Salary_Calculation[Basic Salary for Target],ROW()-ROW(Payslip_Lookup[#Headers])))</f>
        <v/>
      </c>
      <c r="T42" s="176" t="str">
        <f aca="false">IF(INDEX(Salary_Calculation[Source Row],ROW()-ROW(Payslip_Lookup[#Headers]))="","",INDEX(Salary_Calculation[Gross Salary Before Deductions],ROW()-ROW(Payslip_Lookup[#Headers])))</f>
        <v/>
      </c>
      <c r="U42" s="176" t="str">
        <f aca="false">IF(INDEX(Salary_Calculation[Source Row],ROW()-ROW(Payslip_Lookup[#Headers]))="","",INDEX(Salary_Calculation[missed_days_penalty],ROW()-ROW(Payslip_Lookup[#Headers])))</f>
        <v/>
      </c>
      <c r="V42" s="176" t="str">
        <f aca="false">IF(INDEX(Salary_Calculation[Source Row],ROW()-ROW(Payslip_Lookup[#Headers]))="","",INDEX(Salary_Calculation[Rider Balance],ROW()-ROW(Payslip_Lookup[#Headers])))</f>
        <v/>
      </c>
      <c r="W42" s="176" t="str">
        <f aca="false">IF(INDEX(Salary_Calculation[Source Row],ROW()-ROW(Payslip_Lookup[#Headers]))="","",INDEX(Salary_Calculation[stacking_deduction],ROW()-ROW(Payslip_Lookup[#Headers])))</f>
        <v/>
      </c>
      <c r="X42" s="176" t="str">
        <f aca="false">IF(INDEX(Salary_Calculation[Source Row],ROW()-ROW(Payslip_Lookup[#Headers]))="","",INDEX(Salary_Calculation[Other Deductions],ROW()-ROW(Payslip_Lookup[#Headers])))</f>
        <v/>
      </c>
      <c r="Y42" s="176" t="str">
        <f aca="false">IF(INDEX(Salary_Calculation[Source Row],ROW()-ROW(Payslip_Lookup[#Headers]))="","",INDEX(Salary_Calculation[Total Deductions],ROW()-ROW(Payslip_Lookup[#Headers])))</f>
        <v/>
      </c>
      <c r="Z42" s="176" t="str">
        <f aca="false">IF(INDEX(Salary_Calculation[Source Row],ROW()-ROW(Payslip_Lookup[#Headers]))="","",INDEX(Salary_Calculation[Final Salary],ROW()-ROW(Payslip_Lookup[#Headers])))</f>
        <v/>
      </c>
      <c r="AA42" s="176" t="str">
        <f aca="false">IF(INDEX(Salary_Calculation[Source Row],ROW()-ROW(Payslip_Lookup[#Headers]))="","",INDEX(Salary_Calculation[Negative Balance / Amount Due from Rider],ROW()-ROW(Payslip_Lookup[#Headers])))</f>
        <v/>
      </c>
      <c r="AB42" s="176" t="str">
        <f aca="false">IF(INDEX(Salary_Calculation[Source Row],ROW()-ROW(Payslip_Lookup[#Headers]))="","",INDEX(Salary_Calculation[Total Amount Due from Rider],ROW()-ROW(Payslip_Lookup[#Headers])))</f>
        <v/>
      </c>
      <c r="AC42" s="176" t="str">
        <f aca="false">IF(INDEX(Salary_Calculation[Source Row],ROW()-ROW(Payslip_Lookup[#Headers]))="","",INDEX(Salary_Calculation[Salary Before Other Deductions],ROW()-ROW(Payslip_Lookup[#Headers])))</f>
        <v/>
      </c>
      <c r="AD42" s="171" t="str">
        <f aca="false">IF(INDEX(Salary_Calculation[Source Row],ROW()-ROW(Payslip_Lookup[#Headers]))="","",INDEX(Salary_Calculation[Payment Status],ROW()-ROW(Payslip_Lookup[#Headers])))</f>
        <v/>
      </c>
      <c r="AE42" s="171" t="str">
        <f aca="false">IF(INDEX(Salary_Calculation[Source Row],ROW()-ROW(Payslip_Lookup[#Headers]))="","",INDEX(Salary_Calculation[Notes],ROW()-ROW(Payslip_Lookup[#Headers])))</f>
        <v/>
      </c>
      <c r="AF42" s="171" t="str">
        <f aca="false">IF(INDEX(Salary_Calculation[Source Row],ROW()-ROW(Payslip_Lookup[#Headers]))="","",INDEX(Salary_Calculation[Exception Reason],ROW()-ROW(Payslip_Lookup[#Headers])))</f>
        <v/>
      </c>
      <c r="AG42" s="173" t="str">
        <f aca="false">IF($AD42="Review Required",COUNTIF(AD$2:AD42,"Review Required"),"")</f>
        <v/>
      </c>
      <c r="AH42" s="173" t="str">
        <f aca="false">IF(AND($D42&lt;&gt;"",$B42=Payslip_Print!$C$2),MAX(AH$1:AH41)+1,"")</f>
        <v/>
      </c>
      <c r="AL42" s="178" t="str">
        <f aca="false">IFERROR(INDEX($D$2:$D$501,MATCH(ROW()-1,$AH$2:$AH$501,0)),"")</f>
        <v/>
      </c>
      <c r="AM42" s="179" t="str">
        <f aca="false">IF($Z42="","",IF(AND($C42&gt;=Dash_Start,$C42&lt;Dash_End),$Z42+ROW()/10000000,""))</f>
        <v/>
      </c>
    </row>
    <row r="43" customFormat="false" ht="14.25" hidden="false" customHeight="false" outlineLevel="0" collapsed="false">
      <c r="A43" s="171" t="str">
        <f aca="false">IF(Payslip_Lookup[[#This Row],[Rider ID]]="","",Payslip_Lookup[[#This Row],[Rider ID]]&amp;"|"&amp;Payslip_Lookup[[#This Row],[Month Key]])</f>
        <v/>
      </c>
      <c r="B43" s="172" t="str">
        <f aca="false">IF(ISNUMBER(Payslip_Lookup[[#This Row],[Salary Month]]),DATE(YEAR(Payslip_Lookup[[#This Row],[Salary Month]]),MONTH(Payslip_Lookup[[#This Row],[Salary Month]]),1),"")</f>
        <v/>
      </c>
      <c r="C43" s="172" t="str">
        <f aca="false">IF(INDEX(Salary_Calculation[Source Row],ROW()-ROW(Payslip_Lookup[#Headers]))="","",INDEX(Salary_Calculation[Salary Month],ROW()-ROW(Payslip_Lookup[#Headers])))</f>
        <v/>
      </c>
      <c r="D43" s="173" t="str">
        <f aca="false">IF(INDEX(Salary_Calculation[Source Row],ROW()-ROW(Payslip_Lookup[#Headers]))="","",INDEX(Salary_Calculation[Rider ID],ROW()-ROW(Payslip_Lookup[#Headers])))</f>
        <v/>
      </c>
      <c r="E43" s="171" t="str">
        <f aca="false">IF(INDEX(Salary_Calculation[Source Row],ROW()-ROW(Payslip_Lookup[#Headers]))="","",INDEX(Salary_Calculation[Rider Name],ROW()-ROW(Payslip_Lookup[#Headers])))</f>
        <v/>
      </c>
      <c r="F43" s="173" t="str">
        <f aca="false">IF(INDEX(Salary_Calculation[Source Row],ROW()-ROW(Payslip_Lookup[#Headers]))="","",INDEX(Salary_Calculation[Working Days],ROW()-ROW(Payslip_Lookup[#Headers])))</f>
        <v/>
      </c>
      <c r="G43" s="173" t="str">
        <f aca="false">IF(INDEX(Salary_Calculation[Source Row],ROW()-ROW(Payslip_Lookup[#Headers]))="","",INDEX(Salary_Calculation[Calendar Days],ROW()-ROW(Payslip_Lookup[#Headers])))</f>
        <v/>
      </c>
      <c r="H43" s="174" t="str">
        <f aca="false">IF(INDEX(Salary_Calculation[Source Row],ROW()-ROW(Payslip_Lookup[#Headers]))="","",INDEX(Salary_Calculation[Monthly Target Orders],ROW()-ROW(Payslip_Lookup[#Headers])))</f>
        <v/>
      </c>
      <c r="I43" s="174" t="str">
        <f aca="false">IF(INDEX(Salary_Calculation[Source Row],ROW()-ROW(Payslip_Lookup[#Headers]))="","",INDEX(Salary_Calculation[Rider Target Orders],ROW()-ROW(Payslip_Lookup[#Headers])))</f>
        <v/>
      </c>
      <c r="J43" s="175" t="str">
        <f aca="false">IF(INDEX(Salary_Calculation[Source Row],ROW()-ROW(Payslip_Lookup[#Headers]))="","",INDEX(Salary_Calculation[Completed Orders],ROW()-ROW(Payslip_Lookup[#Headers])))</f>
        <v/>
      </c>
      <c r="K43" s="174" t="str">
        <f aca="false">IF(INDEX(Salary_Calculation[Source Row],ROW()-ROW(Payslip_Lookup[#Headers]))="","",INDEX(Salary_Calculation[Base Order Rate],ROW()-ROW(Payslip_Lookup[#Headers])))</f>
        <v/>
      </c>
      <c r="L43" s="176" t="str">
        <f aca="false">IF(INDEX(Salary_Calculation[Source Row],ROW()-ROW(Payslip_Lookup[#Headers]))="","",INDEX(Salary_Calculation[Basic Payment],ROW()-ROW(Payslip_Lookup[#Headers])))</f>
        <v/>
      </c>
      <c r="M43" s="176" t="str">
        <f aca="false">IF(INDEX(Salary_Calculation[Source Row],ROW()-ROW(Payslip_Lookup[#Headers]))="","",INDEX(Salary_Calculation[Earned Salary],ROW()-ROW(Payslip_Lookup[#Headers])))</f>
        <v/>
      </c>
      <c r="N43" s="174" t="str">
        <f aca="false">IF(INDEX(Salary_Calculation[Source Row],ROW()-ROW(Payslip_Lookup[#Headers]))="","",INDEX(Salary_Calculation[Orders Counted at Base Rate],ROW()-ROW(Payslip_Lookup[#Headers])))</f>
        <v/>
      </c>
      <c r="O43" s="174" t="str">
        <f aca="false">IF(INDEX(Salary_Calculation[Source Row],ROW()-ROW(Payslip_Lookup[#Headers]))="","",INDEX(Salary_Calculation[Missing Orders],ROW()-ROW(Payslip_Lookup[#Headers])))</f>
        <v/>
      </c>
      <c r="P43" s="176" t="str">
        <f aca="false">IF(INDEX(Salary_Calculation[Source Row],ROW()-ROW(Payslip_Lookup[#Headers]))="","",INDEX(Salary_Calculation[Missing-Order Deduction],ROW()-ROW(Payslip_Lookup[#Headers])))</f>
        <v/>
      </c>
      <c r="Q43" s="174" t="str">
        <f aca="false">IF(INDEX(Salary_Calculation[Source Row],ROW()-ROW(Payslip_Lookup[#Headers]))="","",INDEX(Salary_Calculation[Extra Orders],ROW()-ROW(Payslip_Lookup[#Headers])))</f>
        <v/>
      </c>
      <c r="R43" s="176" t="str">
        <f aca="false">IF(INDEX(Salary_Calculation[Source Row],ROW()-ROW(Payslip_Lookup[#Headers]))="","",INDEX(Salary_Calculation[Extra-Order Bonus],ROW()-ROW(Payslip_Lookup[#Headers])))</f>
        <v/>
      </c>
      <c r="S43" s="176" t="str">
        <f aca="false">IF(INDEX(Salary_Calculation[Source Row],ROW()-ROW(Payslip_Lookup[#Headers]))="","",INDEX(Salary_Calculation[Basic Salary for Target],ROW()-ROW(Payslip_Lookup[#Headers])))</f>
        <v/>
      </c>
      <c r="T43" s="176" t="str">
        <f aca="false">IF(INDEX(Salary_Calculation[Source Row],ROW()-ROW(Payslip_Lookup[#Headers]))="","",INDEX(Salary_Calculation[Gross Salary Before Deductions],ROW()-ROW(Payslip_Lookup[#Headers])))</f>
        <v/>
      </c>
      <c r="U43" s="176" t="str">
        <f aca="false">IF(INDEX(Salary_Calculation[Source Row],ROW()-ROW(Payslip_Lookup[#Headers]))="","",INDEX(Salary_Calculation[missed_days_penalty],ROW()-ROW(Payslip_Lookup[#Headers])))</f>
        <v/>
      </c>
      <c r="V43" s="176" t="str">
        <f aca="false">IF(INDEX(Salary_Calculation[Source Row],ROW()-ROW(Payslip_Lookup[#Headers]))="","",INDEX(Salary_Calculation[Rider Balance],ROW()-ROW(Payslip_Lookup[#Headers])))</f>
        <v/>
      </c>
      <c r="W43" s="176" t="str">
        <f aca="false">IF(INDEX(Salary_Calculation[Source Row],ROW()-ROW(Payslip_Lookup[#Headers]))="","",INDEX(Salary_Calculation[stacking_deduction],ROW()-ROW(Payslip_Lookup[#Headers])))</f>
        <v/>
      </c>
      <c r="X43" s="176" t="str">
        <f aca="false">IF(INDEX(Salary_Calculation[Source Row],ROW()-ROW(Payslip_Lookup[#Headers]))="","",INDEX(Salary_Calculation[Other Deductions],ROW()-ROW(Payslip_Lookup[#Headers])))</f>
        <v/>
      </c>
      <c r="Y43" s="176" t="str">
        <f aca="false">IF(INDEX(Salary_Calculation[Source Row],ROW()-ROW(Payslip_Lookup[#Headers]))="","",INDEX(Salary_Calculation[Total Deductions],ROW()-ROW(Payslip_Lookup[#Headers])))</f>
        <v/>
      </c>
      <c r="Z43" s="176" t="str">
        <f aca="false">IF(INDEX(Salary_Calculation[Source Row],ROW()-ROW(Payslip_Lookup[#Headers]))="","",INDEX(Salary_Calculation[Final Salary],ROW()-ROW(Payslip_Lookup[#Headers])))</f>
        <v/>
      </c>
      <c r="AA43" s="176" t="str">
        <f aca="false">IF(INDEX(Salary_Calculation[Source Row],ROW()-ROW(Payslip_Lookup[#Headers]))="","",INDEX(Salary_Calculation[Negative Balance / Amount Due from Rider],ROW()-ROW(Payslip_Lookup[#Headers])))</f>
        <v/>
      </c>
      <c r="AB43" s="176" t="str">
        <f aca="false">IF(INDEX(Salary_Calculation[Source Row],ROW()-ROW(Payslip_Lookup[#Headers]))="","",INDEX(Salary_Calculation[Total Amount Due from Rider],ROW()-ROW(Payslip_Lookup[#Headers])))</f>
        <v/>
      </c>
      <c r="AC43" s="176" t="str">
        <f aca="false">IF(INDEX(Salary_Calculation[Source Row],ROW()-ROW(Payslip_Lookup[#Headers]))="","",INDEX(Salary_Calculation[Salary Before Other Deductions],ROW()-ROW(Payslip_Lookup[#Headers])))</f>
        <v/>
      </c>
      <c r="AD43" s="171" t="str">
        <f aca="false">IF(INDEX(Salary_Calculation[Source Row],ROW()-ROW(Payslip_Lookup[#Headers]))="","",INDEX(Salary_Calculation[Payment Status],ROW()-ROW(Payslip_Lookup[#Headers])))</f>
        <v/>
      </c>
      <c r="AE43" s="171" t="str">
        <f aca="false">IF(INDEX(Salary_Calculation[Source Row],ROW()-ROW(Payslip_Lookup[#Headers]))="","",INDEX(Salary_Calculation[Notes],ROW()-ROW(Payslip_Lookup[#Headers])))</f>
        <v/>
      </c>
      <c r="AF43" s="171" t="str">
        <f aca="false">IF(INDEX(Salary_Calculation[Source Row],ROW()-ROW(Payslip_Lookup[#Headers]))="","",INDEX(Salary_Calculation[Exception Reason],ROW()-ROW(Payslip_Lookup[#Headers])))</f>
        <v/>
      </c>
      <c r="AG43" s="173" t="str">
        <f aca="false">IF($AD43="Review Required",COUNTIF(AD$2:AD43,"Review Required"),"")</f>
        <v/>
      </c>
      <c r="AH43" s="173" t="str">
        <f aca="false">IF(AND($D43&lt;&gt;"",$B43=Payslip_Print!$C$2),MAX(AH$1:AH42)+1,"")</f>
        <v/>
      </c>
      <c r="AL43" s="178" t="str">
        <f aca="false">IFERROR(INDEX($D$2:$D$501,MATCH(ROW()-1,$AH$2:$AH$501,0)),"")</f>
        <v/>
      </c>
      <c r="AM43" s="179" t="str">
        <f aca="false">IF($Z43="","",IF(AND($C43&gt;=Dash_Start,$C43&lt;Dash_End),$Z43+ROW()/10000000,""))</f>
        <v/>
      </c>
    </row>
    <row r="44" customFormat="false" ht="14.25" hidden="false" customHeight="false" outlineLevel="0" collapsed="false">
      <c r="A44" s="171" t="str">
        <f aca="false">IF(Payslip_Lookup[[#This Row],[Rider ID]]="","",Payslip_Lookup[[#This Row],[Rider ID]]&amp;"|"&amp;Payslip_Lookup[[#This Row],[Month Key]])</f>
        <v/>
      </c>
      <c r="B44" s="172" t="str">
        <f aca="false">IF(ISNUMBER(Payslip_Lookup[[#This Row],[Salary Month]]),DATE(YEAR(Payslip_Lookup[[#This Row],[Salary Month]]),MONTH(Payslip_Lookup[[#This Row],[Salary Month]]),1),"")</f>
        <v/>
      </c>
      <c r="C44" s="172" t="str">
        <f aca="false">IF(INDEX(Salary_Calculation[Source Row],ROW()-ROW(Payslip_Lookup[#Headers]))="","",INDEX(Salary_Calculation[Salary Month],ROW()-ROW(Payslip_Lookup[#Headers])))</f>
        <v/>
      </c>
      <c r="D44" s="173" t="str">
        <f aca="false">IF(INDEX(Salary_Calculation[Source Row],ROW()-ROW(Payslip_Lookup[#Headers]))="","",INDEX(Salary_Calculation[Rider ID],ROW()-ROW(Payslip_Lookup[#Headers])))</f>
        <v/>
      </c>
      <c r="E44" s="171" t="str">
        <f aca="false">IF(INDEX(Salary_Calculation[Source Row],ROW()-ROW(Payslip_Lookup[#Headers]))="","",INDEX(Salary_Calculation[Rider Name],ROW()-ROW(Payslip_Lookup[#Headers])))</f>
        <v/>
      </c>
      <c r="F44" s="173" t="str">
        <f aca="false">IF(INDEX(Salary_Calculation[Source Row],ROW()-ROW(Payslip_Lookup[#Headers]))="","",INDEX(Salary_Calculation[Working Days],ROW()-ROW(Payslip_Lookup[#Headers])))</f>
        <v/>
      </c>
      <c r="G44" s="173" t="str">
        <f aca="false">IF(INDEX(Salary_Calculation[Source Row],ROW()-ROW(Payslip_Lookup[#Headers]))="","",INDEX(Salary_Calculation[Calendar Days],ROW()-ROW(Payslip_Lookup[#Headers])))</f>
        <v/>
      </c>
      <c r="H44" s="174" t="str">
        <f aca="false">IF(INDEX(Salary_Calculation[Source Row],ROW()-ROW(Payslip_Lookup[#Headers]))="","",INDEX(Salary_Calculation[Monthly Target Orders],ROW()-ROW(Payslip_Lookup[#Headers])))</f>
        <v/>
      </c>
      <c r="I44" s="174" t="str">
        <f aca="false">IF(INDEX(Salary_Calculation[Source Row],ROW()-ROW(Payslip_Lookup[#Headers]))="","",INDEX(Salary_Calculation[Rider Target Orders],ROW()-ROW(Payslip_Lookup[#Headers])))</f>
        <v/>
      </c>
      <c r="J44" s="175" t="str">
        <f aca="false">IF(INDEX(Salary_Calculation[Source Row],ROW()-ROW(Payslip_Lookup[#Headers]))="","",INDEX(Salary_Calculation[Completed Orders],ROW()-ROW(Payslip_Lookup[#Headers])))</f>
        <v/>
      </c>
      <c r="K44" s="174" t="str">
        <f aca="false">IF(INDEX(Salary_Calculation[Source Row],ROW()-ROW(Payslip_Lookup[#Headers]))="","",INDEX(Salary_Calculation[Base Order Rate],ROW()-ROW(Payslip_Lookup[#Headers])))</f>
        <v/>
      </c>
      <c r="L44" s="176" t="str">
        <f aca="false">IF(INDEX(Salary_Calculation[Source Row],ROW()-ROW(Payslip_Lookup[#Headers]))="","",INDEX(Salary_Calculation[Basic Payment],ROW()-ROW(Payslip_Lookup[#Headers])))</f>
        <v/>
      </c>
      <c r="M44" s="176" t="str">
        <f aca="false">IF(INDEX(Salary_Calculation[Source Row],ROW()-ROW(Payslip_Lookup[#Headers]))="","",INDEX(Salary_Calculation[Earned Salary],ROW()-ROW(Payslip_Lookup[#Headers])))</f>
        <v/>
      </c>
      <c r="N44" s="174" t="str">
        <f aca="false">IF(INDEX(Salary_Calculation[Source Row],ROW()-ROW(Payslip_Lookup[#Headers]))="","",INDEX(Salary_Calculation[Orders Counted at Base Rate],ROW()-ROW(Payslip_Lookup[#Headers])))</f>
        <v/>
      </c>
      <c r="O44" s="174" t="str">
        <f aca="false">IF(INDEX(Salary_Calculation[Source Row],ROW()-ROW(Payslip_Lookup[#Headers]))="","",INDEX(Salary_Calculation[Missing Orders],ROW()-ROW(Payslip_Lookup[#Headers])))</f>
        <v/>
      </c>
      <c r="P44" s="176" t="str">
        <f aca="false">IF(INDEX(Salary_Calculation[Source Row],ROW()-ROW(Payslip_Lookup[#Headers]))="","",INDEX(Salary_Calculation[Missing-Order Deduction],ROW()-ROW(Payslip_Lookup[#Headers])))</f>
        <v/>
      </c>
      <c r="Q44" s="174" t="str">
        <f aca="false">IF(INDEX(Salary_Calculation[Source Row],ROW()-ROW(Payslip_Lookup[#Headers]))="","",INDEX(Salary_Calculation[Extra Orders],ROW()-ROW(Payslip_Lookup[#Headers])))</f>
        <v/>
      </c>
      <c r="R44" s="176" t="str">
        <f aca="false">IF(INDEX(Salary_Calculation[Source Row],ROW()-ROW(Payslip_Lookup[#Headers]))="","",INDEX(Salary_Calculation[Extra-Order Bonus],ROW()-ROW(Payslip_Lookup[#Headers])))</f>
        <v/>
      </c>
      <c r="S44" s="176" t="str">
        <f aca="false">IF(INDEX(Salary_Calculation[Source Row],ROW()-ROW(Payslip_Lookup[#Headers]))="","",INDEX(Salary_Calculation[Basic Salary for Target],ROW()-ROW(Payslip_Lookup[#Headers])))</f>
        <v/>
      </c>
      <c r="T44" s="176" t="str">
        <f aca="false">IF(INDEX(Salary_Calculation[Source Row],ROW()-ROW(Payslip_Lookup[#Headers]))="","",INDEX(Salary_Calculation[Gross Salary Before Deductions],ROW()-ROW(Payslip_Lookup[#Headers])))</f>
        <v/>
      </c>
      <c r="U44" s="176" t="str">
        <f aca="false">IF(INDEX(Salary_Calculation[Source Row],ROW()-ROW(Payslip_Lookup[#Headers]))="","",INDEX(Salary_Calculation[missed_days_penalty],ROW()-ROW(Payslip_Lookup[#Headers])))</f>
        <v/>
      </c>
      <c r="V44" s="176" t="str">
        <f aca="false">IF(INDEX(Salary_Calculation[Source Row],ROW()-ROW(Payslip_Lookup[#Headers]))="","",INDEX(Salary_Calculation[Rider Balance],ROW()-ROW(Payslip_Lookup[#Headers])))</f>
        <v/>
      </c>
      <c r="W44" s="176" t="str">
        <f aca="false">IF(INDEX(Salary_Calculation[Source Row],ROW()-ROW(Payslip_Lookup[#Headers]))="","",INDEX(Salary_Calculation[stacking_deduction],ROW()-ROW(Payslip_Lookup[#Headers])))</f>
        <v/>
      </c>
      <c r="X44" s="176" t="str">
        <f aca="false">IF(INDEX(Salary_Calculation[Source Row],ROW()-ROW(Payslip_Lookup[#Headers]))="","",INDEX(Salary_Calculation[Other Deductions],ROW()-ROW(Payslip_Lookup[#Headers])))</f>
        <v/>
      </c>
      <c r="Y44" s="176" t="str">
        <f aca="false">IF(INDEX(Salary_Calculation[Source Row],ROW()-ROW(Payslip_Lookup[#Headers]))="","",INDEX(Salary_Calculation[Total Deductions],ROW()-ROW(Payslip_Lookup[#Headers])))</f>
        <v/>
      </c>
      <c r="Z44" s="176" t="str">
        <f aca="false">IF(INDEX(Salary_Calculation[Source Row],ROW()-ROW(Payslip_Lookup[#Headers]))="","",INDEX(Salary_Calculation[Final Salary],ROW()-ROW(Payslip_Lookup[#Headers])))</f>
        <v/>
      </c>
      <c r="AA44" s="176" t="str">
        <f aca="false">IF(INDEX(Salary_Calculation[Source Row],ROW()-ROW(Payslip_Lookup[#Headers]))="","",INDEX(Salary_Calculation[Negative Balance / Amount Due from Rider],ROW()-ROW(Payslip_Lookup[#Headers])))</f>
        <v/>
      </c>
      <c r="AB44" s="176" t="str">
        <f aca="false">IF(INDEX(Salary_Calculation[Source Row],ROW()-ROW(Payslip_Lookup[#Headers]))="","",INDEX(Salary_Calculation[Total Amount Due from Rider],ROW()-ROW(Payslip_Lookup[#Headers])))</f>
        <v/>
      </c>
      <c r="AC44" s="176" t="str">
        <f aca="false">IF(INDEX(Salary_Calculation[Source Row],ROW()-ROW(Payslip_Lookup[#Headers]))="","",INDEX(Salary_Calculation[Salary Before Other Deductions],ROW()-ROW(Payslip_Lookup[#Headers])))</f>
        <v/>
      </c>
      <c r="AD44" s="171" t="str">
        <f aca="false">IF(INDEX(Salary_Calculation[Source Row],ROW()-ROW(Payslip_Lookup[#Headers]))="","",INDEX(Salary_Calculation[Payment Status],ROW()-ROW(Payslip_Lookup[#Headers])))</f>
        <v/>
      </c>
      <c r="AE44" s="171" t="str">
        <f aca="false">IF(INDEX(Salary_Calculation[Source Row],ROW()-ROW(Payslip_Lookup[#Headers]))="","",INDEX(Salary_Calculation[Notes],ROW()-ROW(Payslip_Lookup[#Headers])))</f>
        <v/>
      </c>
      <c r="AF44" s="171" t="str">
        <f aca="false">IF(INDEX(Salary_Calculation[Source Row],ROW()-ROW(Payslip_Lookup[#Headers]))="","",INDEX(Salary_Calculation[Exception Reason],ROW()-ROW(Payslip_Lookup[#Headers])))</f>
        <v/>
      </c>
      <c r="AG44" s="173" t="str">
        <f aca="false">IF($AD44="Review Required",COUNTIF(AD$2:AD44,"Review Required"),"")</f>
        <v/>
      </c>
      <c r="AH44" s="173" t="str">
        <f aca="false">IF(AND($D44&lt;&gt;"",$B44=Payslip_Print!$C$2),MAX(AH$1:AH43)+1,"")</f>
        <v/>
      </c>
      <c r="AL44" s="178" t="str">
        <f aca="false">IFERROR(INDEX($D$2:$D$501,MATCH(ROW()-1,$AH$2:$AH$501,0)),"")</f>
        <v/>
      </c>
      <c r="AM44" s="179" t="str">
        <f aca="false">IF($Z44="","",IF(AND($C44&gt;=Dash_Start,$C44&lt;Dash_End),$Z44+ROW()/10000000,""))</f>
        <v/>
      </c>
    </row>
    <row r="45" customFormat="false" ht="14.25" hidden="false" customHeight="false" outlineLevel="0" collapsed="false">
      <c r="A45" s="171" t="str">
        <f aca="false">IF(Payslip_Lookup[[#This Row],[Rider ID]]="","",Payslip_Lookup[[#This Row],[Rider ID]]&amp;"|"&amp;Payslip_Lookup[[#This Row],[Month Key]])</f>
        <v/>
      </c>
      <c r="B45" s="172" t="str">
        <f aca="false">IF(ISNUMBER(Payslip_Lookup[[#This Row],[Salary Month]]),DATE(YEAR(Payslip_Lookup[[#This Row],[Salary Month]]),MONTH(Payslip_Lookup[[#This Row],[Salary Month]]),1),"")</f>
        <v/>
      </c>
      <c r="C45" s="172" t="str">
        <f aca="false">IF(INDEX(Salary_Calculation[Source Row],ROW()-ROW(Payslip_Lookup[#Headers]))="","",INDEX(Salary_Calculation[Salary Month],ROW()-ROW(Payslip_Lookup[#Headers])))</f>
        <v/>
      </c>
      <c r="D45" s="173" t="str">
        <f aca="false">IF(INDEX(Salary_Calculation[Source Row],ROW()-ROW(Payslip_Lookup[#Headers]))="","",INDEX(Salary_Calculation[Rider ID],ROW()-ROW(Payslip_Lookup[#Headers])))</f>
        <v/>
      </c>
      <c r="E45" s="171" t="str">
        <f aca="false">IF(INDEX(Salary_Calculation[Source Row],ROW()-ROW(Payslip_Lookup[#Headers]))="","",INDEX(Salary_Calculation[Rider Name],ROW()-ROW(Payslip_Lookup[#Headers])))</f>
        <v/>
      </c>
      <c r="F45" s="173" t="str">
        <f aca="false">IF(INDEX(Salary_Calculation[Source Row],ROW()-ROW(Payslip_Lookup[#Headers]))="","",INDEX(Salary_Calculation[Working Days],ROW()-ROW(Payslip_Lookup[#Headers])))</f>
        <v/>
      </c>
      <c r="G45" s="173" t="str">
        <f aca="false">IF(INDEX(Salary_Calculation[Source Row],ROW()-ROW(Payslip_Lookup[#Headers]))="","",INDEX(Salary_Calculation[Calendar Days],ROW()-ROW(Payslip_Lookup[#Headers])))</f>
        <v/>
      </c>
      <c r="H45" s="174" t="str">
        <f aca="false">IF(INDEX(Salary_Calculation[Source Row],ROW()-ROW(Payslip_Lookup[#Headers]))="","",INDEX(Salary_Calculation[Monthly Target Orders],ROW()-ROW(Payslip_Lookup[#Headers])))</f>
        <v/>
      </c>
      <c r="I45" s="174" t="str">
        <f aca="false">IF(INDEX(Salary_Calculation[Source Row],ROW()-ROW(Payslip_Lookup[#Headers]))="","",INDEX(Salary_Calculation[Rider Target Orders],ROW()-ROW(Payslip_Lookup[#Headers])))</f>
        <v/>
      </c>
      <c r="J45" s="175" t="str">
        <f aca="false">IF(INDEX(Salary_Calculation[Source Row],ROW()-ROW(Payslip_Lookup[#Headers]))="","",INDEX(Salary_Calculation[Completed Orders],ROW()-ROW(Payslip_Lookup[#Headers])))</f>
        <v/>
      </c>
      <c r="K45" s="174" t="str">
        <f aca="false">IF(INDEX(Salary_Calculation[Source Row],ROW()-ROW(Payslip_Lookup[#Headers]))="","",INDEX(Salary_Calculation[Base Order Rate],ROW()-ROW(Payslip_Lookup[#Headers])))</f>
        <v/>
      </c>
      <c r="L45" s="176" t="str">
        <f aca="false">IF(INDEX(Salary_Calculation[Source Row],ROW()-ROW(Payslip_Lookup[#Headers]))="","",INDEX(Salary_Calculation[Basic Payment],ROW()-ROW(Payslip_Lookup[#Headers])))</f>
        <v/>
      </c>
      <c r="M45" s="176" t="str">
        <f aca="false">IF(INDEX(Salary_Calculation[Source Row],ROW()-ROW(Payslip_Lookup[#Headers]))="","",INDEX(Salary_Calculation[Earned Salary],ROW()-ROW(Payslip_Lookup[#Headers])))</f>
        <v/>
      </c>
      <c r="N45" s="174" t="str">
        <f aca="false">IF(INDEX(Salary_Calculation[Source Row],ROW()-ROW(Payslip_Lookup[#Headers]))="","",INDEX(Salary_Calculation[Orders Counted at Base Rate],ROW()-ROW(Payslip_Lookup[#Headers])))</f>
        <v/>
      </c>
      <c r="O45" s="174" t="str">
        <f aca="false">IF(INDEX(Salary_Calculation[Source Row],ROW()-ROW(Payslip_Lookup[#Headers]))="","",INDEX(Salary_Calculation[Missing Orders],ROW()-ROW(Payslip_Lookup[#Headers])))</f>
        <v/>
      </c>
      <c r="P45" s="176" t="str">
        <f aca="false">IF(INDEX(Salary_Calculation[Source Row],ROW()-ROW(Payslip_Lookup[#Headers]))="","",INDEX(Salary_Calculation[Missing-Order Deduction],ROW()-ROW(Payslip_Lookup[#Headers])))</f>
        <v/>
      </c>
      <c r="Q45" s="174" t="str">
        <f aca="false">IF(INDEX(Salary_Calculation[Source Row],ROW()-ROW(Payslip_Lookup[#Headers]))="","",INDEX(Salary_Calculation[Extra Orders],ROW()-ROW(Payslip_Lookup[#Headers])))</f>
        <v/>
      </c>
      <c r="R45" s="176" t="str">
        <f aca="false">IF(INDEX(Salary_Calculation[Source Row],ROW()-ROW(Payslip_Lookup[#Headers]))="","",INDEX(Salary_Calculation[Extra-Order Bonus],ROW()-ROW(Payslip_Lookup[#Headers])))</f>
        <v/>
      </c>
      <c r="S45" s="176" t="str">
        <f aca="false">IF(INDEX(Salary_Calculation[Source Row],ROW()-ROW(Payslip_Lookup[#Headers]))="","",INDEX(Salary_Calculation[Basic Salary for Target],ROW()-ROW(Payslip_Lookup[#Headers])))</f>
        <v/>
      </c>
      <c r="T45" s="176" t="str">
        <f aca="false">IF(INDEX(Salary_Calculation[Source Row],ROW()-ROW(Payslip_Lookup[#Headers]))="","",INDEX(Salary_Calculation[Gross Salary Before Deductions],ROW()-ROW(Payslip_Lookup[#Headers])))</f>
        <v/>
      </c>
      <c r="U45" s="176" t="str">
        <f aca="false">IF(INDEX(Salary_Calculation[Source Row],ROW()-ROW(Payslip_Lookup[#Headers]))="","",INDEX(Salary_Calculation[missed_days_penalty],ROW()-ROW(Payslip_Lookup[#Headers])))</f>
        <v/>
      </c>
      <c r="V45" s="176" t="str">
        <f aca="false">IF(INDEX(Salary_Calculation[Source Row],ROW()-ROW(Payslip_Lookup[#Headers]))="","",INDEX(Salary_Calculation[Rider Balance],ROW()-ROW(Payslip_Lookup[#Headers])))</f>
        <v/>
      </c>
      <c r="W45" s="176" t="str">
        <f aca="false">IF(INDEX(Salary_Calculation[Source Row],ROW()-ROW(Payslip_Lookup[#Headers]))="","",INDEX(Salary_Calculation[stacking_deduction],ROW()-ROW(Payslip_Lookup[#Headers])))</f>
        <v/>
      </c>
      <c r="X45" s="176" t="str">
        <f aca="false">IF(INDEX(Salary_Calculation[Source Row],ROW()-ROW(Payslip_Lookup[#Headers]))="","",INDEX(Salary_Calculation[Other Deductions],ROW()-ROW(Payslip_Lookup[#Headers])))</f>
        <v/>
      </c>
      <c r="Y45" s="176" t="str">
        <f aca="false">IF(INDEX(Salary_Calculation[Source Row],ROW()-ROW(Payslip_Lookup[#Headers]))="","",INDEX(Salary_Calculation[Total Deductions],ROW()-ROW(Payslip_Lookup[#Headers])))</f>
        <v/>
      </c>
      <c r="Z45" s="176" t="str">
        <f aca="false">IF(INDEX(Salary_Calculation[Source Row],ROW()-ROW(Payslip_Lookup[#Headers]))="","",INDEX(Salary_Calculation[Final Salary],ROW()-ROW(Payslip_Lookup[#Headers])))</f>
        <v/>
      </c>
      <c r="AA45" s="176" t="str">
        <f aca="false">IF(INDEX(Salary_Calculation[Source Row],ROW()-ROW(Payslip_Lookup[#Headers]))="","",INDEX(Salary_Calculation[Negative Balance / Amount Due from Rider],ROW()-ROW(Payslip_Lookup[#Headers])))</f>
        <v/>
      </c>
      <c r="AB45" s="176" t="str">
        <f aca="false">IF(INDEX(Salary_Calculation[Source Row],ROW()-ROW(Payslip_Lookup[#Headers]))="","",INDEX(Salary_Calculation[Total Amount Due from Rider],ROW()-ROW(Payslip_Lookup[#Headers])))</f>
        <v/>
      </c>
      <c r="AC45" s="176" t="str">
        <f aca="false">IF(INDEX(Salary_Calculation[Source Row],ROW()-ROW(Payslip_Lookup[#Headers]))="","",INDEX(Salary_Calculation[Salary Before Other Deductions],ROW()-ROW(Payslip_Lookup[#Headers])))</f>
        <v/>
      </c>
      <c r="AD45" s="171" t="str">
        <f aca="false">IF(INDEX(Salary_Calculation[Source Row],ROW()-ROW(Payslip_Lookup[#Headers]))="","",INDEX(Salary_Calculation[Payment Status],ROW()-ROW(Payslip_Lookup[#Headers])))</f>
        <v/>
      </c>
      <c r="AE45" s="171" t="str">
        <f aca="false">IF(INDEX(Salary_Calculation[Source Row],ROW()-ROW(Payslip_Lookup[#Headers]))="","",INDEX(Salary_Calculation[Notes],ROW()-ROW(Payslip_Lookup[#Headers])))</f>
        <v/>
      </c>
      <c r="AF45" s="171" t="str">
        <f aca="false">IF(INDEX(Salary_Calculation[Source Row],ROW()-ROW(Payslip_Lookup[#Headers]))="","",INDEX(Salary_Calculation[Exception Reason],ROW()-ROW(Payslip_Lookup[#Headers])))</f>
        <v/>
      </c>
      <c r="AG45" s="173" t="str">
        <f aca="false">IF($AD45="Review Required",COUNTIF(AD$2:AD45,"Review Required"),"")</f>
        <v/>
      </c>
      <c r="AH45" s="173" t="str">
        <f aca="false">IF(AND($D45&lt;&gt;"",$B45=Payslip_Print!$C$2),MAX(AH$1:AH44)+1,"")</f>
        <v/>
      </c>
      <c r="AL45" s="178" t="str">
        <f aca="false">IFERROR(INDEX($D$2:$D$501,MATCH(ROW()-1,$AH$2:$AH$501,0)),"")</f>
        <v/>
      </c>
      <c r="AM45" s="179" t="str">
        <f aca="false">IF($Z45="","",IF(AND($C45&gt;=Dash_Start,$C45&lt;Dash_End),$Z45+ROW()/10000000,""))</f>
        <v/>
      </c>
    </row>
    <row r="46" customFormat="false" ht="14.25" hidden="false" customHeight="false" outlineLevel="0" collapsed="false">
      <c r="A46" s="171" t="str">
        <f aca="false">IF(Payslip_Lookup[[#This Row],[Rider ID]]="","",Payslip_Lookup[[#This Row],[Rider ID]]&amp;"|"&amp;Payslip_Lookup[[#This Row],[Month Key]])</f>
        <v/>
      </c>
      <c r="B46" s="172" t="str">
        <f aca="false">IF(ISNUMBER(Payslip_Lookup[[#This Row],[Salary Month]]),DATE(YEAR(Payslip_Lookup[[#This Row],[Salary Month]]),MONTH(Payslip_Lookup[[#This Row],[Salary Month]]),1),"")</f>
        <v/>
      </c>
      <c r="C46" s="172" t="str">
        <f aca="false">IF(INDEX(Salary_Calculation[Source Row],ROW()-ROW(Payslip_Lookup[#Headers]))="","",INDEX(Salary_Calculation[Salary Month],ROW()-ROW(Payslip_Lookup[#Headers])))</f>
        <v/>
      </c>
      <c r="D46" s="173" t="str">
        <f aca="false">IF(INDEX(Salary_Calculation[Source Row],ROW()-ROW(Payslip_Lookup[#Headers]))="","",INDEX(Salary_Calculation[Rider ID],ROW()-ROW(Payslip_Lookup[#Headers])))</f>
        <v/>
      </c>
      <c r="E46" s="171" t="str">
        <f aca="false">IF(INDEX(Salary_Calculation[Source Row],ROW()-ROW(Payslip_Lookup[#Headers]))="","",INDEX(Salary_Calculation[Rider Name],ROW()-ROW(Payslip_Lookup[#Headers])))</f>
        <v/>
      </c>
      <c r="F46" s="173" t="str">
        <f aca="false">IF(INDEX(Salary_Calculation[Source Row],ROW()-ROW(Payslip_Lookup[#Headers]))="","",INDEX(Salary_Calculation[Working Days],ROW()-ROW(Payslip_Lookup[#Headers])))</f>
        <v/>
      </c>
      <c r="G46" s="173" t="str">
        <f aca="false">IF(INDEX(Salary_Calculation[Source Row],ROW()-ROW(Payslip_Lookup[#Headers]))="","",INDEX(Salary_Calculation[Calendar Days],ROW()-ROW(Payslip_Lookup[#Headers])))</f>
        <v/>
      </c>
      <c r="H46" s="174" t="str">
        <f aca="false">IF(INDEX(Salary_Calculation[Source Row],ROW()-ROW(Payslip_Lookup[#Headers]))="","",INDEX(Salary_Calculation[Monthly Target Orders],ROW()-ROW(Payslip_Lookup[#Headers])))</f>
        <v/>
      </c>
      <c r="I46" s="174" t="str">
        <f aca="false">IF(INDEX(Salary_Calculation[Source Row],ROW()-ROW(Payslip_Lookup[#Headers]))="","",INDEX(Salary_Calculation[Rider Target Orders],ROW()-ROW(Payslip_Lookup[#Headers])))</f>
        <v/>
      </c>
      <c r="J46" s="175" t="str">
        <f aca="false">IF(INDEX(Salary_Calculation[Source Row],ROW()-ROW(Payslip_Lookup[#Headers]))="","",INDEX(Salary_Calculation[Completed Orders],ROW()-ROW(Payslip_Lookup[#Headers])))</f>
        <v/>
      </c>
      <c r="K46" s="174" t="str">
        <f aca="false">IF(INDEX(Salary_Calculation[Source Row],ROW()-ROW(Payslip_Lookup[#Headers]))="","",INDEX(Salary_Calculation[Base Order Rate],ROW()-ROW(Payslip_Lookup[#Headers])))</f>
        <v/>
      </c>
      <c r="L46" s="176" t="str">
        <f aca="false">IF(INDEX(Salary_Calculation[Source Row],ROW()-ROW(Payslip_Lookup[#Headers]))="","",INDEX(Salary_Calculation[Basic Payment],ROW()-ROW(Payslip_Lookup[#Headers])))</f>
        <v/>
      </c>
      <c r="M46" s="176" t="str">
        <f aca="false">IF(INDEX(Salary_Calculation[Source Row],ROW()-ROW(Payslip_Lookup[#Headers]))="","",INDEX(Salary_Calculation[Earned Salary],ROW()-ROW(Payslip_Lookup[#Headers])))</f>
        <v/>
      </c>
      <c r="N46" s="174" t="str">
        <f aca="false">IF(INDEX(Salary_Calculation[Source Row],ROW()-ROW(Payslip_Lookup[#Headers]))="","",INDEX(Salary_Calculation[Orders Counted at Base Rate],ROW()-ROW(Payslip_Lookup[#Headers])))</f>
        <v/>
      </c>
      <c r="O46" s="174" t="str">
        <f aca="false">IF(INDEX(Salary_Calculation[Source Row],ROW()-ROW(Payslip_Lookup[#Headers]))="","",INDEX(Salary_Calculation[Missing Orders],ROW()-ROW(Payslip_Lookup[#Headers])))</f>
        <v/>
      </c>
      <c r="P46" s="176" t="str">
        <f aca="false">IF(INDEX(Salary_Calculation[Source Row],ROW()-ROW(Payslip_Lookup[#Headers]))="","",INDEX(Salary_Calculation[Missing-Order Deduction],ROW()-ROW(Payslip_Lookup[#Headers])))</f>
        <v/>
      </c>
      <c r="Q46" s="174" t="str">
        <f aca="false">IF(INDEX(Salary_Calculation[Source Row],ROW()-ROW(Payslip_Lookup[#Headers]))="","",INDEX(Salary_Calculation[Extra Orders],ROW()-ROW(Payslip_Lookup[#Headers])))</f>
        <v/>
      </c>
      <c r="R46" s="176" t="str">
        <f aca="false">IF(INDEX(Salary_Calculation[Source Row],ROW()-ROW(Payslip_Lookup[#Headers]))="","",INDEX(Salary_Calculation[Extra-Order Bonus],ROW()-ROW(Payslip_Lookup[#Headers])))</f>
        <v/>
      </c>
      <c r="S46" s="176" t="str">
        <f aca="false">IF(INDEX(Salary_Calculation[Source Row],ROW()-ROW(Payslip_Lookup[#Headers]))="","",INDEX(Salary_Calculation[Basic Salary for Target],ROW()-ROW(Payslip_Lookup[#Headers])))</f>
        <v/>
      </c>
      <c r="T46" s="176" t="str">
        <f aca="false">IF(INDEX(Salary_Calculation[Source Row],ROW()-ROW(Payslip_Lookup[#Headers]))="","",INDEX(Salary_Calculation[Gross Salary Before Deductions],ROW()-ROW(Payslip_Lookup[#Headers])))</f>
        <v/>
      </c>
      <c r="U46" s="176" t="str">
        <f aca="false">IF(INDEX(Salary_Calculation[Source Row],ROW()-ROW(Payslip_Lookup[#Headers]))="","",INDEX(Salary_Calculation[missed_days_penalty],ROW()-ROW(Payslip_Lookup[#Headers])))</f>
        <v/>
      </c>
      <c r="V46" s="176" t="str">
        <f aca="false">IF(INDEX(Salary_Calculation[Source Row],ROW()-ROW(Payslip_Lookup[#Headers]))="","",INDEX(Salary_Calculation[Rider Balance],ROW()-ROW(Payslip_Lookup[#Headers])))</f>
        <v/>
      </c>
      <c r="W46" s="176" t="str">
        <f aca="false">IF(INDEX(Salary_Calculation[Source Row],ROW()-ROW(Payslip_Lookup[#Headers]))="","",INDEX(Salary_Calculation[stacking_deduction],ROW()-ROW(Payslip_Lookup[#Headers])))</f>
        <v/>
      </c>
      <c r="X46" s="176" t="str">
        <f aca="false">IF(INDEX(Salary_Calculation[Source Row],ROW()-ROW(Payslip_Lookup[#Headers]))="","",INDEX(Salary_Calculation[Other Deductions],ROW()-ROW(Payslip_Lookup[#Headers])))</f>
        <v/>
      </c>
      <c r="Y46" s="176" t="str">
        <f aca="false">IF(INDEX(Salary_Calculation[Source Row],ROW()-ROW(Payslip_Lookup[#Headers]))="","",INDEX(Salary_Calculation[Total Deductions],ROW()-ROW(Payslip_Lookup[#Headers])))</f>
        <v/>
      </c>
      <c r="Z46" s="176" t="str">
        <f aca="false">IF(INDEX(Salary_Calculation[Source Row],ROW()-ROW(Payslip_Lookup[#Headers]))="","",INDEX(Salary_Calculation[Final Salary],ROW()-ROW(Payslip_Lookup[#Headers])))</f>
        <v/>
      </c>
      <c r="AA46" s="176" t="str">
        <f aca="false">IF(INDEX(Salary_Calculation[Source Row],ROW()-ROW(Payslip_Lookup[#Headers]))="","",INDEX(Salary_Calculation[Negative Balance / Amount Due from Rider],ROW()-ROW(Payslip_Lookup[#Headers])))</f>
        <v/>
      </c>
      <c r="AB46" s="176" t="str">
        <f aca="false">IF(INDEX(Salary_Calculation[Source Row],ROW()-ROW(Payslip_Lookup[#Headers]))="","",INDEX(Salary_Calculation[Total Amount Due from Rider],ROW()-ROW(Payslip_Lookup[#Headers])))</f>
        <v/>
      </c>
      <c r="AC46" s="176" t="str">
        <f aca="false">IF(INDEX(Salary_Calculation[Source Row],ROW()-ROW(Payslip_Lookup[#Headers]))="","",INDEX(Salary_Calculation[Salary Before Other Deductions],ROW()-ROW(Payslip_Lookup[#Headers])))</f>
        <v/>
      </c>
      <c r="AD46" s="171" t="str">
        <f aca="false">IF(INDEX(Salary_Calculation[Source Row],ROW()-ROW(Payslip_Lookup[#Headers]))="","",INDEX(Salary_Calculation[Payment Status],ROW()-ROW(Payslip_Lookup[#Headers])))</f>
        <v/>
      </c>
      <c r="AE46" s="171" t="str">
        <f aca="false">IF(INDEX(Salary_Calculation[Source Row],ROW()-ROW(Payslip_Lookup[#Headers]))="","",INDEX(Salary_Calculation[Notes],ROW()-ROW(Payslip_Lookup[#Headers])))</f>
        <v/>
      </c>
      <c r="AF46" s="171" t="str">
        <f aca="false">IF(INDEX(Salary_Calculation[Source Row],ROW()-ROW(Payslip_Lookup[#Headers]))="","",INDEX(Salary_Calculation[Exception Reason],ROW()-ROW(Payslip_Lookup[#Headers])))</f>
        <v/>
      </c>
      <c r="AG46" s="173" t="str">
        <f aca="false">IF($AD46="Review Required",COUNTIF(AD$2:AD46,"Review Required"),"")</f>
        <v/>
      </c>
      <c r="AH46" s="173" t="str">
        <f aca="false">IF(AND($D46&lt;&gt;"",$B46=Payslip_Print!$C$2),MAX(AH$1:AH45)+1,"")</f>
        <v/>
      </c>
      <c r="AL46" s="178" t="str">
        <f aca="false">IFERROR(INDEX($D$2:$D$501,MATCH(ROW()-1,$AH$2:$AH$501,0)),"")</f>
        <v/>
      </c>
      <c r="AM46" s="179" t="str">
        <f aca="false">IF($Z46="","",IF(AND($C46&gt;=Dash_Start,$C46&lt;Dash_End),$Z46+ROW()/10000000,""))</f>
        <v/>
      </c>
    </row>
    <row r="47" customFormat="false" ht="14.25" hidden="false" customHeight="false" outlineLevel="0" collapsed="false">
      <c r="A47" s="171" t="str">
        <f aca="false">IF(Payslip_Lookup[[#This Row],[Rider ID]]="","",Payslip_Lookup[[#This Row],[Rider ID]]&amp;"|"&amp;Payslip_Lookup[[#This Row],[Month Key]])</f>
        <v/>
      </c>
      <c r="B47" s="172" t="str">
        <f aca="false">IF(ISNUMBER(Payslip_Lookup[[#This Row],[Salary Month]]),DATE(YEAR(Payslip_Lookup[[#This Row],[Salary Month]]),MONTH(Payslip_Lookup[[#This Row],[Salary Month]]),1),"")</f>
        <v/>
      </c>
      <c r="C47" s="172" t="str">
        <f aca="false">IF(INDEX(Salary_Calculation[Source Row],ROW()-ROW(Payslip_Lookup[#Headers]))="","",INDEX(Salary_Calculation[Salary Month],ROW()-ROW(Payslip_Lookup[#Headers])))</f>
        <v/>
      </c>
      <c r="D47" s="173" t="str">
        <f aca="false">IF(INDEX(Salary_Calculation[Source Row],ROW()-ROW(Payslip_Lookup[#Headers]))="","",INDEX(Salary_Calculation[Rider ID],ROW()-ROW(Payslip_Lookup[#Headers])))</f>
        <v/>
      </c>
      <c r="E47" s="171" t="str">
        <f aca="false">IF(INDEX(Salary_Calculation[Source Row],ROW()-ROW(Payslip_Lookup[#Headers]))="","",INDEX(Salary_Calculation[Rider Name],ROW()-ROW(Payslip_Lookup[#Headers])))</f>
        <v/>
      </c>
      <c r="F47" s="173" t="str">
        <f aca="false">IF(INDEX(Salary_Calculation[Source Row],ROW()-ROW(Payslip_Lookup[#Headers]))="","",INDEX(Salary_Calculation[Working Days],ROW()-ROW(Payslip_Lookup[#Headers])))</f>
        <v/>
      </c>
      <c r="G47" s="173" t="str">
        <f aca="false">IF(INDEX(Salary_Calculation[Source Row],ROW()-ROW(Payslip_Lookup[#Headers]))="","",INDEX(Salary_Calculation[Calendar Days],ROW()-ROW(Payslip_Lookup[#Headers])))</f>
        <v/>
      </c>
      <c r="H47" s="174" t="str">
        <f aca="false">IF(INDEX(Salary_Calculation[Source Row],ROW()-ROW(Payslip_Lookup[#Headers]))="","",INDEX(Salary_Calculation[Monthly Target Orders],ROW()-ROW(Payslip_Lookup[#Headers])))</f>
        <v/>
      </c>
      <c r="I47" s="174" t="str">
        <f aca="false">IF(INDEX(Salary_Calculation[Source Row],ROW()-ROW(Payslip_Lookup[#Headers]))="","",INDEX(Salary_Calculation[Rider Target Orders],ROW()-ROW(Payslip_Lookup[#Headers])))</f>
        <v/>
      </c>
      <c r="J47" s="175" t="str">
        <f aca="false">IF(INDEX(Salary_Calculation[Source Row],ROW()-ROW(Payslip_Lookup[#Headers]))="","",INDEX(Salary_Calculation[Completed Orders],ROW()-ROW(Payslip_Lookup[#Headers])))</f>
        <v/>
      </c>
      <c r="K47" s="174" t="str">
        <f aca="false">IF(INDEX(Salary_Calculation[Source Row],ROW()-ROW(Payslip_Lookup[#Headers]))="","",INDEX(Salary_Calculation[Base Order Rate],ROW()-ROW(Payslip_Lookup[#Headers])))</f>
        <v/>
      </c>
      <c r="L47" s="176" t="str">
        <f aca="false">IF(INDEX(Salary_Calculation[Source Row],ROW()-ROW(Payslip_Lookup[#Headers]))="","",INDEX(Salary_Calculation[Basic Payment],ROW()-ROW(Payslip_Lookup[#Headers])))</f>
        <v/>
      </c>
      <c r="M47" s="176" t="str">
        <f aca="false">IF(INDEX(Salary_Calculation[Source Row],ROW()-ROW(Payslip_Lookup[#Headers]))="","",INDEX(Salary_Calculation[Earned Salary],ROW()-ROW(Payslip_Lookup[#Headers])))</f>
        <v/>
      </c>
      <c r="N47" s="174" t="str">
        <f aca="false">IF(INDEX(Salary_Calculation[Source Row],ROW()-ROW(Payslip_Lookup[#Headers]))="","",INDEX(Salary_Calculation[Orders Counted at Base Rate],ROW()-ROW(Payslip_Lookup[#Headers])))</f>
        <v/>
      </c>
      <c r="O47" s="174" t="str">
        <f aca="false">IF(INDEX(Salary_Calculation[Source Row],ROW()-ROW(Payslip_Lookup[#Headers]))="","",INDEX(Salary_Calculation[Missing Orders],ROW()-ROW(Payslip_Lookup[#Headers])))</f>
        <v/>
      </c>
      <c r="P47" s="176" t="str">
        <f aca="false">IF(INDEX(Salary_Calculation[Source Row],ROW()-ROW(Payslip_Lookup[#Headers]))="","",INDEX(Salary_Calculation[Missing-Order Deduction],ROW()-ROW(Payslip_Lookup[#Headers])))</f>
        <v/>
      </c>
      <c r="Q47" s="174" t="str">
        <f aca="false">IF(INDEX(Salary_Calculation[Source Row],ROW()-ROW(Payslip_Lookup[#Headers]))="","",INDEX(Salary_Calculation[Extra Orders],ROW()-ROW(Payslip_Lookup[#Headers])))</f>
        <v/>
      </c>
      <c r="R47" s="176" t="str">
        <f aca="false">IF(INDEX(Salary_Calculation[Source Row],ROW()-ROW(Payslip_Lookup[#Headers]))="","",INDEX(Salary_Calculation[Extra-Order Bonus],ROW()-ROW(Payslip_Lookup[#Headers])))</f>
        <v/>
      </c>
      <c r="S47" s="176" t="str">
        <f aca="false">IF(INDEX(Salary_Calculation[Source Row],ROW()-ROW(Payslip_Lookup[#Headers]))="","",INDEX(Salary_Calculation[Basic Salary for Target],ROW()-ROW(Payslip_Lookup[#Headers])))</f>
        <v/>
      </c>
      <c r="T47" s="176" t="str">
        <f aca="false">IF(INDEX(Salary_Calculation[Source Row],ROW()-ROW(Payslip_Lookup[#Headers]))="","",INDEX(Salary_Calculation[Gross Salary Before Deductions],ROW()-ROW(Payslip_Lookup[#Headers])))</f>
        <v/>
      </c>
      <c r="U47" s="176" t="str">
        <f aca="false">IF(INDEX(Salary_Calculation[Source Row],ROW()-ROW(Payslip_Lookup[#Headers]))="","",INDEX(Salary_Calculation[missed_days_penalty],ROW()-ROW(Payslip_Lookup[#Headers])))</f>
        <v/>
      </c>
      <c r="V47" s="176" t="str">
        <f aca="false">IF(INDEX(Salary_Calculation[Source Row],ROW()-ROW(Payslip_Lookup[#Headers]))="","",INDEX(Salary_Calculation[Rider Balance],ROW()-ROW(Payslip_Lookup[#Headers])))</f>
        <v/>
      </c>
      <c r="W47" s="176" t="str">
        <f aca="false">IF(INDEX(Salary_Calculation[Source Row],ROW()-ROW(Payslip_Lookup[#Headers]))="","",INDEX(Salary_Calculation[stacking_deduction],ROW()-ROW(Payslip_Lookup[#Headers])))</f>
        <v/>
      </c>
      <c r="X47" s="176" t="str">
        <f aca="false">IF(INDEX(Salary_Calculation[Source Row],ROW()-ROW(Payslip_Lookup[#Headers]))="","",INDEX(Salary_Calculation[Other Deductions],ROW()-ROW(Payslip_Lookup[#Headers])))</f>
        <v/>
      </c>
      <c r="Y47" s="176" t="str">
        <f aca="false">IF(INDEX(Salary_Calculation[Source Row],ROW()-ROW(Payslip_Lookup[#Headers]))="","",INDEX(Salary_Calculation[Total Deductions],ROW()-ROW(Payslip_Lookup[#Headers])))</f>
        <v/>
      </c>
      <c r="Z47" s="176" t="str">
        <f aca="false">IF(INDEX(Salary_Calculation[Source Row],ROW()-ROW(Payslip_Lookup[#Headers]))="","",INDEX(Salary_Calculation[Final Salary],ROW()-ROW(Payslip_Lookup[#Headers])))</f>
        <v/>
      </c>
      <c r="AA47" s="176" t="str">
        <f aca="false">IF(INDEX(Salary_Calculation[Source Row],ROW()-ROW(Payslip_Lookup[#Headers]))="","",INDEX(Salary_Calculation[Negative Balance / Amount Due from Rider],ROW()-ROW(Payslip_Lookup[#Headers])))</f>
        <v/>
      </c>
      <c r="AB47" s="176" t="str">
        <f aca="false">IF(INDEX(Salary_Calculation[Source Row],ROW()-ROW(Payslip_Lookup[#Headers]))="","",INDEX(Salary_Calculation[Total Amount Due from Rider],ROW()-ROW(Payslip_Lookup[#Headers])))</f>
        <v/>
      </c>
      <c r="AC47" s="176" t="str">
        <f aca="false">IF(INDEX(Salary_Calculation[Source Row],ROW()-ROW(Payslip_Lookup[#Headers]))="","",INDEX(Salary_Calculation[Salary Before Other Deductions],ROW()-ROW(Payslip_Lookup[#Headers])))</f>
        <v/>
      </c>
      <c r="AD47" s="171" t="str">
        <f aca="false">IF(INDEX(Salary_Calculation[Source Row],ROW()-ROW(Payslip_Lookup[#Headers]))="","",INDEX(Salary_Calculation[Payment Status],ROW()-ROW(Payslip_Lookup[#Headers])))</f>
        <v/>
      </c>
      <c r="AE47" s="171" t="str">
        <f aca="false">IF(INDEX(Salary_Calculation[Source Row],ROW()-ROW(Payslip_Lookup[#Headers]))="","",INDEX(Salary_Calculation[Notes],ROW()-ROW(Payslip_Lookup[#Headers])))</f>
        <v/>
      </c>
      <c r="AF47" s="171" t="str">
        <f aca="false">IF(INDEX(Salary_Calculation[Source Row],ROW()-ROW(Payslip_Lookup[#Headers]))="","",INDEX(Salary_Calculation[Exception Reason],ROW()-ROW(Payslip_Lookup[#Headers])))</f>
        <v/>
      </c>
      <c r="AG47" s="173" t="str">
        <f aca="false">IF($AD47="Review Required",COUNTIF(AD$2:AD47,"Review Required"),"")</f>
        <v/>
      </c>
      <c r="AH47" s="173" t="str">
        <f aca="false">IF(AND($D47&lt;&gt;"",$B47=Payslip_Print!$C$2),MAX(AH$1:AH46)+1,"")</f>
        <v/>
      </c>
      <c r="AL47" s="178" t="str">
        <f aca="false">IFERROR(INDEX($D$2:$D$501,MATCH(ROW()-1,$AH$2:$AH$501,0)),"")</f>
        <v/>
      </c>
      <c r="AM47" s="179" t="str">
        <f aca="false">IF($Z47="","",IF(AND($C47&gt;=Dash_Start,$C47&lt;Dash_End),$Z47+ROW()/10000000,""))</f>
        <v/>
      </c>
    </row>
    <row r="48" customFormat="false" ht="14.25" hidden="false" customHeight="false" outlineLevel="0" collapsed="false">
      <c r="A48" s="171" t="str">
        <f aca="false">IF(Payslip_Lookup[[#This Row],[Rider ID]]="","",Payslip_Lookup[[#This Row],[Rider ID]]&amp;"|"&amp;Payslip_Lookup[[#This Row],[Month Key]])</f>
        <v/>
      </c>
      <c r="B48" s="172" t="str">
        <f aca="false">IF(ISNUMBER(Payslip_Lookup[[#This Row],[Salary Month]]),DATE(YEAR(Payslip_Lookup[[#This Row],[Salary Month]]),MONTH(Payslip_Lookup[[#This Row],[Salary Month]]),1),"")</f>
        <v/>
      </c>
      <c r="C48" s="172" t="str">
        <f aca="false">IF(INDEX(Salary_Calculation[Source Row],ROW()-ROW(Payslip_Lookup[#Headers]))="","",INDEX(Salary_Calculation[Salary Month],ROW()-ROW(Payslip_Lookup[#Headers])))</f>
        <v/>
      </c>
      <c r="D48" s="173" t="str">
        <f aca="false">IF(INDEX(Salary_Calculation[Source Row],ROW()-ROW(Payslip_Lookup[#Headers]))="","",INDEX(Salary_Calculation[Rider ID],ROW()-ROW(Payslip_Lookup[#Headers])))</f>
        <v/>
      </c>
      <c r="E48" s="171" t="str">
        <f aca="false">IF(INDEX(Salary_Calculation[Source Row],ROW()-ROW(Payslip_Lookup[#Headers]))="","",INDEX(Salary_Calculation[Rider Name],ROW()-ROW(Payslip_Lookup[#Headers])))</f>
        <v/>
      </c>
      <c r="F48" s="173" t="str">
        <f aca="false">IF(INDEX(Salary_Calculation[Source Row],ROW()-ROW(Payslip_Lookup[#Headers]))="","",INDEX(Salary_Calculation[Working Days],ROW()-ROW(Payslip_Lookup[#Headers])))</f>
        <v/>
      </c>
      <c r="G48" s="173" t="str">
        <f aca="false">IF(INDEX(Salary_Calculation[Source Row],ROW()-ROW(Payslip_Lookup[#Headers]))="","",INDEX(Salary_Calculation[Calendar Days],ROW()-ROW(Payslip_Lookup[#Headers])))</f>
        <v/>
      </c>
      <c r="H48" s="174" t="str">
        <f aca="false">IF(INDEX(Salary_Calculation[Source Row],ROW()-ROW(Payslip_Lookup[#Headers]))="","",INDEX(Salary_Calculation[Monthly Target Orders],ROW()-ROW(Payslip_Lookup[#Headers])))</f>
        <v/>
      </c>
      <c r="I48" s="174" t="str">
        <f aca="false">IF(INDEX(Salary_Calculation[Source Row],ROW()-ROW(Payslip_Lookup[#Headers]))="","",INDEX(Salary_Calculation[Rider Target Orders],ROW()-ROW(Payslip_Lookup[#Headers])))</f>
        <v/>
      </c>
      <c r="J48" s="175" t="str">
        <f aca="false">IF(INDEX(Salary_Calculation[Source Row],ROW()-ROW(Payslip_Lookup[#Headers]))="","",INDEX(Salary_Calculation[Completed Orders],ROW()-ROW(Payslip_Lookup[#Headers])))</f>
        <v/>
      </c>
      <c r="K48" s="174" t="str">
        <f aca="false">IF(INDEX(Salary_Calculation[Source Row],ROW()-ROW(Payslip_Lookup[#Headers]))="","",INDEX(Salary_Calculation[Base Order Rate],ROW()-ROW(Payslip_Lookup[#Headers])))</f>
        <v/>
      </c>
      <c r="L48" s="176" t="str">
        <f aca="false">IF(INDEX(Salary_Calculation[Source Row],ROW()-ROW(Payslip_Lookup[#Headers]))="","",INDEX(Salary_Calculation[Basic Payment],ROW()-ROW(Payslip_Lookup[#Headers])))</f>
        <v/>
      </c>
      <c r="M48" s="176" t="str">
        <f aca="false">IF(INDEX(Salary_Calculation[Source Row],ROW()-ROW(Payslip_Lookup[#Headers]))="","",INDEX(Salary_Calculation[Earned Salary],ROW()-ROW(Payslip_Lookup[#Headers])))</f>
        <v/>
      </c>
      <c r="N48" s="174" t="str">
        <f aca="false">IF(INDEX(Salary_Calculation[Source Row],ROW()-ROW(Payslip_Lookup[#Headers]))="","",INDEX(Salary_Calculation[Orders Counted at Base Rate],ROW()-ROW(Payslip_Lookup[#Headers])))</f>
        <v/>
      </c>
      <c r="O48" s="174" t="str">
        <f aca="false">IF(INDEX(Salary_Calculation[Source Row],ROW()-ROW(Payslip_Lookup[#Headers]))="","",INDEX(Salary_Calculation[Missing Orders],ROW()-ROW(Payslip_Lookup[#Headers])))</f>
        <v/>
      </c>
      <c r="P48" s="176" t="str">
        <f aca="false">IF(INDEX(Salary_Calculation[Source Row],ROW()-ROW(Payslip_Lookup[#Headers]))="","",INDEX(Salary_Calculation[Missing-Order Deduction],ROW()-ROW(Payslip_Lookup[#Headers])))</f>
        <v/>
      </c>
      <c r="Q48" s="174" t="str">
        <f aca="false">IF(INDEX(Salary_Calculation[Source Row],ROW()-ROW(Payslip_Lookup[#Headers]))="","",INDEX(Salary_Calculation[Extra Orders],ROW()-ROW(Payslip_Lookup[#Headers])))</f>
        <v/>
      </c>
      <c r="R48" s="176" t="str">
        <f aca="false">IF(INDEX(Salary_Calculation[Source Row],ROW()-ROW(Payslip_Lookup[#Headers]))="","",INDEX(Salary_Calculation[Extra-Order Bonus],ROW()-ROW(Payslip_Lookup[#Headers])))</f>
        <v/>
      </c>
      <c r="S48" s="176" t="str">
        <f aca="false">IF(INDEX(Salary_Calculation[Source Row],ROW()-ROW(Payslip_Lookup[#Headers]))="","",INDEX(Salary_Calculation[Basic Salary for Target],ROW()-ROW(Payslip_Lookup[#Headers])))</f>
        <v/>
      </c>
      <c r="T48" s="176" t="str">
        <f aca="false">IF(INDEX(Salary_Calculation[Source Row],ROW()-ROW(Payslip_Lookup[#Headers]))="","",INDEX(Salary_Calculation[Gross Salary Before Deductions],ROW()-ROW(Payslip_Lookup[#Headers])))</f>
        <v/>
      </c>
      <c r="U48" s="176" t="str">
        <f aca="false">IF(INDEX(Salary_Calculation[Source Row],ROW()-ROW(Payslip_Lookup[#Headers]))="","",INDEX(Salary_Calculation[missed_days_penalty],ROW()-ROW(Payslip_Lookup[#Headers])))</f>
        <v/>
      </c>
      <c r="V48" s="176" t="str">
        <f aca="false">IF(INDEX(Salary_Calculation[Source Row],ROW()-ROW(Payslip_Lookup[#Headers]))="","",INDEX(Salary_Calculation[Rider Balance],ROW()-ROW(Payslip_Lookup[#Headers])))</f>
        <v/>
      </c>
      <c r="W48" s="176" t="str">
        <f aca="false">IF(INDEX(Salary_Calculation[Source Row],ROW()-ROW(Payslip_Lookup[#Headers]))="","",INDEX(Salary_Calculation[stacking_deduction],ROW()-ROW(Payslip_Lookup[#Headers])))</f>
        <v/>
      </c>
      <c r="X48" s="176" t="str">
        <f aca="false">IF(INDEX(Salary_Calculation[Source Row],ROW()-ROW(Payslip_Lookup[#Headers]))="","",INDEX(Salary_Calculation[Other Deductions],ROW()-ROW(Payslip_Lookup[#Headers])))</f>
        <v/>
      </c>
      <c r="Y48" s="176" t="str">
        <f aca="false">IF(INDEX(Salary_Calculation[Source Row],ROW()-ROW(Payslip_Lookup[#Headers]))="","",INDEX(Salary_Calculation[Total Deductions],ROW()-ROW(Payslip_Lookup[#Headers])))</f>
        <v/>
      </c>
      <c r="Z48" s="176" t="str">
        <f aca="false">IF(INDEX(Salary_Calculation[Source Row],ROW()-ROW(Payslip_Lookup[#Headers]))="","",INDEX(Salary_Calculation[Final Salary],ROW()-ROW(Payslip_Lookup[#Headers])))</f>
        <v/>
      </c>
      <c r="AA48" s="176" t="str">
        <f aca="false">IF(INDEX(Salary_Calculation[Source Row],ROW()-ROW(Payslip_Lookup[#Headers]))="","",INDEX(Salary_Calculation[Negative Balance / Amount Due from Rider],ROW()-ROW(Payslip_Lookup[#Headers])))</f>
        <v/>
      </c>
      <c r="AB48" s="176" t="str">
        <f aca="false">IF(INDEX(Salary_Calculation[Source Row],ROW()-ROW(Payslip_Lookup[#Headers]))="","",INDEX(Salary_Calculation[Total Amount Due from Rider],ROW()-ROW(Payslip_Lookup[#Headers])))</f>
        <v/>
      </c>
      <c r="AC48" s="176" t="str">
        <f aca="false">IF(INDEX(Salary_Calculation[Source Row],ROW()-ROW(Payslip_Lookup[#Headers]))="","",INDEX(Salary_Calculation[Salary Before Other Deductions],ROW()-ROW(Payslip_Lookup[#Headers])))</f>
        <v/>
      </c>
      <c r="AD48" s="171" t="str">
        <f aca="false">IF(INDEX(Salary_Calculation[Source Row],ROW()-ROW(Payslip_Lookup[#Headers]))="","",INDEX(Salary_Calculation[Payment Status],ROW()-ROW(Payslip_Lookup[#Headers])))</f>
        <v/>
      </c>
      <c r="AE48" s="171" t="str">
        <f aca="false">IF(INDEX(Salary_Calculation[Source Row],ROW()-ROW(Payslip_Lookup[#Headers]))="","",INDEX(Salary_Calculation[Notes],ROW()-ROW(Payslip_Lookup[#Headers])))</f>
        <v/>
      </c>
      <c r="AF48" s="171" t="str">
        <f aca="false">IF(INDEX(Salary_Calculation[Source Row],ROW()-ROW(Payslip_Lookup[#Headers]))="","",INDEX(Salary_Calculation[Exception Reason],ROW()-ROW(Payslip_Lookup[#Headers])))</f>
        <v/>
      </c>
      <c r="AG48" s="173" t="str">
        <f aca="false">IF($AD48="Review Required",COUNTIF(AD$2:AD48,"Review Required"),"")</f>
        <v/>
      </c>
      <c r="AH48" s="173" t="str">
        <f aca="false">IF(AND($D48&lt;&gt;"",$B48=Payslip_Print!$C$2),MAX(AH$1:AH47)+1,"")</f>
        <v/>
      </c>
      <c r="AL48" s="178" t="str">
        <f aca="false">IFERROR(INDEX($D$2:$D$501,MATCH(ROW()-1,$AH$2:$AH$501,0)),"")</f>
        <v/>
      </c>
      <c r="AM48" s="179" t="str">
        <f aca="false">IF($Z48="","",IF(AND($C48&gt;=Dash_Start,$C48&lt;Dash_End),$Z48+ROW()/10000000,""))</f>
        <v/>
      </c>
    </row>
    <row r="49" customFormat="false" ht="14.25" hidden="false" customHeight="false" outlineLevel="0" collapsed="false">
      <c r="A49" s="171" t="str">
        <f aca="false">IF(Payslip_Lookup[[#This Row],[Rider ID]]="","",Payslip_Lookup[[#This Row],[Rider ID]]&amp;"|"&amp;Payslip_Lookup[[#This Row],[Month Key]])</f>
        <v/>
      </c>
      <c r="B49" s="172" t="str">
        <f aca="false">IF(ISNUMBER(Payslip_Lookup[[#This Row],[Salary Month]]),DATE(YEAR(Payslip_Lookup[[#This Row],[Salary Month]]),MONTH(Payslip_Lookup[[#This Row],[Salary Month]]),1),"")</f>
        <v/>
      </c>
      <c r="C49" s="172" t="str">
        <f aca="false">IF(INDEX(Salary_Calculation[Source Row],ROW()-ROW(Payslip_Lookup[#Headers]))="","",INDEX(Salary_Calculation[Salary Month],ROW()-ROW(Payslip_Lookup[#Headers])))</f>
        <v/>
      </c>
      <c r="D49" s="173" t="str">
        <f aca="false">IF(INDEX(Salary_Calculation[Source Row],ROW()-ROW(Payslip_Lookup[#Headers]))="","",INDEX(Salary_Calculation[Rider ID],ROW()-ROW(Payslip_Lookup[#Headers])))</f>
        <v/>
      </c>
      <c r="E49" s="171" t="str">
        <f aca="false">IF(INDEX(Salary_Calculation[Source Row],ROW()-ROW(Payslip_Lookup[#Headers]))="","",INDEX(Salary_Calculation[Rider Name],ROW()-ROW(Payslip_Lookup[#Headers])))</f>
        <v/>
      </c>
      <c r="F49" s="173" t="str">
        <f aca="false">IF(INDEX(Salary_Calculation[Source Row],ROW()-ROW(Payslip_Lookup[#Headers]))="","",INDEX(Salary_Calculation[Working Days],ROW()-ROW(Payslip_Lookup[#Headers])))</f>
        <v/>
      </c>
      <c r="G49" s="173" t="str">
        <f aca="false">IF(INDEX(Salary_Calculation[Source Row],ROW()-ROW(Payslip_Lookup[#Headers]))="","",INDEX(Salary_Calculation[Calendar Days],ROW()-ROW(Payslip_Lookup[#Headers])))</f>
        <v/>
      </c>
      <c r="H49" s="174" t="str">
        <f aca="false">IF(INDEX(Salary_Calculation[Source Row],ROW()-ROW(Payslip_Lookup[#Headers]))="","",INDEX(Salary_Calculation[Monthly Target Orders],ROW()-ROW(Payslip_Lookup[#Headers])))</f>
        <v/>
      </c>
      <c r="I49" s="174" t="str">
        <f aca="false">IF(INDEX(Salary_Calculation[Source Row],ROW()-ROW(Payslip_Lookup[#Headers]))="","",INDEX(Salary_Calculation[Rider Target Orders],ROW()-ROW(Payslip_Lookup[#Headers])))</f>
        <v/>
      </c>
      <c r="J49" s="175" t="str">
        <f aca="false">IF(INDEX(Salary_Calculation[Source Row],ROW()-ROW(Payslip_Lookup[#Headers]))="","",INDEX(Salary_Calculation[Completed Orders],ROW()-ROW(Payslip_Lookup[#Headers])))</f>
        <v/>
      </c>
      <c r="K49" s="174" t="str">
        <f aca="false">IF(INDEX(Salary_Calculation[Source Row],ROW()-ROW(Payslip_Lookup[#Headers]))="","",INDEX(Salary_Calculation[Base Order Rate],ROW()-ROW(Payslip_Lookup[#Headers])))</f>
        <v/>
      </c>
      <c r="L49" s="176" t="str">
        <f aca="false">IF(INDEX(Salary_Calculation[Source Row],ROW()-ROW(Payslip_Lookup[#Headers]))="","",INDEX(Salary_Calculation[Basic Payment],ROW()-ROW(Payslip_Lookup[#Headers])))</f>
        <v/>
      </c>
      <c r="M49" s="176" t="str">
        <f aca="false">IF(INDEX(Salary_Calculation[Source Row],ROW()-ROW(Payslip_Lookup[#Headers]))="","",INDEX(Salary_Calculation[Earned Salary],ROW()-ROW(Payslip_Lookup[#Headers])))</f>
        <v/>
      </c>
      <c r="N49" s="174" t="str">
        <f aca="false">IF(INDEX(Salary_Calculation[Source Row],ROW()-ROW(Payslip_Lookup[#Headers]))="","",INDEX(Salary_Calculation[Orders Counted at Base Rate],ROW()-ROW(Payslip_Lookup[#Headers])))</f>
        <v/>
      </c>
      <c r="O49" s="174" t="str">
        <f aca="false">IF(INDEX(Salary_Calculation[Source Row],ROW()-ROW(Payslip_Lookup[#Headers]))="","",INDEX(Salary_Calculation[Missing Orders],ROW()-ROW(Payslip_Lookup[#Headers])))</f>
        <v/>
      </c>
      <c r="P49" s="176" t="str">
        <f aca="false">IF(INDEX(Salary_Calculation[Source Row],ROW()-ROW(Payslip_Lookup[#Headers]))="","",INDEX(Salary_Calculation[Missing-Order Deduction],ROW()-ROW(Payslip_Lookup[#Headers])))</f>
        <v/>
      </c>
      <c r="Q49" s="174" t="str">
        <f aca="false">IF(INDEX(Salary_Calculation[Source Row],ROW()-ROW(Payslip_Lookup[#Headers]))="","",INDEX(Salary_Calculation[Extra Orders],ROW()-ROW(Payslip_Lookup[#Headers])))</f>
        <v/>
      </c>
      <c r="R49" s="176" t="str">
        <f aca="false">IF(INDEX(Salary_Calculation[Source Row],ROW()-ROW(Payslip_Lookup[#Headers]))="","",INDEX(Salary_Calculation[Extra-Order Bonus],ROW()-ROW(Payslip_Lookup[#Headers])))</f>
        <v/>
      </c>
      <c r="S49" s="176" t="str">
        <f aca="false">IF(INDEX(Salary_Calculation[Source Row],ROW()-ROW(Payslip_Lookup[#Headers]))="","",INDEX(Salary_Calculation[Basic Salary for Target],ROW()-ROW(Payslip_Lookup[#Headers])))</f>
        <v/>
      </c>
      <c r="T49" s="176" t="str">
        <f aca="false">IF(INDEX(Salary_Calculation[Source Row],ROW()-ROW(Payslip_Lookup[#Headers]))="","",INDEX(Salary_Calculation[Gross Salary Before Deductions],ROW()-ROW(Payslip_Lookup[#Headers])))</f>
        <v/>
      </c>
      <c r="U49" s="176" t="str">
        <f aca="false">IF(INDEX(Salary_Calculation[Source Row],ROW()-ROW(Payslip_Lookup[#Headers]))="","",INDEX(Salary_Calculation[missed_days_penalty],ROW()-ROW(Payslip_Lookup[#Headers])))</f>
        <v/>
      </c>
      <c r="V49" s="176" t="str">
        <f aca="false">IF(INDEX(Salary_Calculation[Source Row],ROW()-ROW(Payslip_Lookup[#Headers]))="","",INDEX(Salary_Calculation[Rider Balance],ROW()-ROW(Payslip_Lookup[#Headers])))</f>
        <v/>
      </c>
      <c r="W49" s="176" t="str">
        <f aca="false">IF(INDEX(Salary_Calculation[Source Row],ROW()-ROW(Payslip_Lookup[#Headers]))="","",INDEX(Salary_Calculation[stacking_deduction],ROW()-ROW(Payslip_Lookup[#Headers])))</f>
        <v/>
      </c>
      <c r="X49" s="176" t="str">
        <f aca="false">IF(INDEX(Salary_Calculation[Source Row],ROW()-ROW(Payslip_Lookup[#Headers]))="","",INDEX(Salary_Calculation[Other Deductions],ROW()-ROW(Payslip_Lookup[#Headers])))</f>
        <v/>
      </c>
      <c r="Y49" s="176" t="str">
        <f aca="false">IF(INDEX(Salary_Calculation[Source Row],ROW()-ROW(Payslip_Lookup[#Headers]))="","",INDEX(Salary_Calculation[Total Deductions],ROW()-ROW(Payslip_Lookup[#Headers])))</f>
        <v/>
      </c>
      <c r="Z49" s="176" t="str">
        <f aca="false">IF(INDEX(Salary_Calculation[Source Row],ROW()-ROW(Payslip_Lookup[#Headers]))="","",INDEX(Salary_Calculation[Final Salary],ROW()-ROW(Payslip_Lookup[#Headers])))</f>
        <v/>
      </c>
      <c r="AA49" s="176" t="str">
        <f aca="false">IF(INDEX(Salary_Calculation[Source Row],ROW()-ROW(Payslip_Lookup[#Headers]))="","",INDEX(Salary_Calculation[Negative Balance / Amount Due from Rider],ROW()-ROW(Payslip_Lookup[#Headers])))</f>
        <v/>
      </c>
      <c r="AB49" s="176" t="str">
        <f aca="false">IF(INDEX(Salary_Calculation[Source Row],ROW()-ROW(Payslip_Lookup[#Headers]))="","",INDEX(Salary_Calculation[Total Amount Due from Rider],ROW()-ROW(Payslip_Lookup[#Headers])))</f>
        <v/>
      </c>
      <c r="AC49" s="176" t="str">
        <f aca="false">IF(INDEX(Salary_Calculation[Source Row],ROW()-ROW(Payslip_Lookup[#Headers]))="","",INDEX(Salary_Calculation[Salary Before Other Deductions],ROW()-ROW(Payslip_Lookup[#Headers])))</f>
        <v/>
      </c>
      <c r="AD49" s="171" t="str">
        <f aca="false">IF(INDEX(Salary_Calculation[Source Row],ROW()-ROW(Payslip_Lookup[#Headers]))="","",INDEX(Salary_Calculation[Payment Status],ROW()-ROW(Payslip_Lookup[#Headers])))</f>
        <v/>
      </c>
      <c r="AE49" s="171" t="str">
        <f aca="false">IF(INDEX(Salary_Calculation[Source Row],ROW()-ROW(Payslip_Lookup[#Headers]))="","",INDEX(Salary_Calculation[Notes],ROW()-ROW(Payslip_Lookup[#Headers])))</f>
        <v/>
      </c>
      <c r="AF49" s="171" t="str">
        <f aca="false">IF(INDEX(Salary_Calculation[Source Row],ROW()-ROW(Payslip_Lookup[#Headers]))="","",INDEX(Salary_Calculation[Exception Reason],ROW()-ROW(Payslip_Lookup[#Headers])))</f>
        <v/>
      </c>
      <c r="AG49" s="173" t="str">
        <f aca="false">IF($AD49="Review Required",COUNTIF(AD$2:AD49,"Review Required"),"")</f>
        <v/>
      </c>
      <c r="AH49" s="173" t="str">
        <f aca="false">IF(AND($D49&lt;&gt;"",$B49=Payslip_Print!$C$2),MAX(AH$1:AH48)+1,"")</f>
        <v/>
      </c>
      <c r="AL49" s="178" t="str">
        <f aca="false">IFERROR(INDEX($D$2:$D$501,MATCH(ROW()-1,$AH$2:$AH$501,0)),"")</f>
        <v/>
      </c>
      <c r="AM49" s="179" t="str">
        <f aca="false">IF($Z49="","",IF(AND($C49&gt;=Dash_Start,$C49&lt;Dash_End),$Z49+ROW()/10000000,""))</f>
        <v/>
      </c>
    </row>
    <row r="50" customFormat="false" ht="14.25" hidden="false" customHeight="false" outlineLevel="0" collapsed="false">
      <c r="A50" s="171" t="str">
        <f aca="false">IF(Payslip_Lookup[[#This Row],[Rider ID]]="","",Payslip_Lookup[[#This Row],[Rider ID]]&amp;"|"&amp;Payslip_Lookup[[#This Row],[Month Key]])</f>
        <v/>
      </c>
      <c r="B50" s="172" t="str">
        <f aca="false">IF(ISNUMBER(Payslip_Lookup[[#This Row],[Salary Month]]),DATE(YEAR(Payslip_Lookup[[#This Row],[Salary Month]]),MONTH(Payslip_Lookup[[#This Row],[Salary Month]]),1),"")</f>
        <v/>
      </c>
      <c r="C50" s="172" t="str">
        <f aca="false">IF(INDEX(Salary_Calculation[Source Row],ROW()-ROW(Payslip_Lookup[#Headers]))="","",INDEX(Salary_Calculation[Salary Month],ROW()-ROW(Payslip_Lookup[#Headers])))</f>
        <v/>
      </c>
      <c r="D50" s="173" t="str">
        <f aca="false">IF(INDEX(Salary_Calculation[Source Row],ROW()-ROW(Payslip_Lookup[#Headers]))="","",INDEX(Salary_Calculation[Rider ID],ROW()-ROW(Payslip_Lookup[#Headers])))</f>
        <v/>
      </c>
      <c r="E50" s="171" t="str">
        <f aca="false">IF(INDEX(Salary_Calculation[Source Row],ROW()-ROW(Payslip_Lookup[#Headers]))="","",INDEX(Salary_Calculation[Rider Name],ROW()-ROW(Payslip_Lookup[#Headers])))</f>
        <v/>
      </c>
      <c r="F50" s="173" t="str">
        <f aca="false">IF(INDEX(Salary_Calculation[Source Row],ROW()-ROW(Payslip_Lookup[#Headers]))="","",INDEX(Salary_Calculation[Working Days],ROW()-ROW(Payslip_Lookup[#Headers])))</f>
        <v/>
      </c>
      <c r="G50" s="173" t="str">
        <f aca="false">IF(INDEX(Salary_Calculation[Source Row],ROW()-ROW(Payslip_Lookup[#Headers]))="","",INDEX(Salary_Calculation[Calendar Days],ROW()-ROW(Payslip_Lookup[#Headers])))</f>
        <v/>
      </c>
      <c r="H50" s="174" t="str">
        <f aca="false">IF(INDEX(Salary_Calculation[Source Row],ROW()-ROW(Payslip_Lookup[#Headers]))="","",INDEX(Salary_Calculation[Monthly Target Orders],ROW()-ROW(Payslip_Lookup[#Headers])))</f>
        <v/>
      </c>
      <c r="I50" s="174" t="str">
        <f aca="false">IF(INDEX(Salary_Calculation[Source Row],ROW()-ROW(Payslip_Lookup[#Headers]))="","",INDEX(Salary_Calculation[Rider Target Orders],ROW()-ROW(Payslip_Lookup[#Headers])))</f>
        <v/>
      </c>
      <c r="J50" s="175" t="str">
        <f aca="false">IF(INDEX(Salary_Calculation[Source Row],ROW()-ROW(Payslip_Lookup[#Headers]))="","",INDEX(Salary_Calculation[Completed Orders],ROW()-ROW(Payslip_Lookup[#Headers])))</f>
        <v/>
      </c>
      <c r="K50" s="174" t="str">
        <f aca="false">IF(INDEX(Salary_Calculation[Source Row],ROW()-ROW(Payslip_Lookup[#Headers]))="","",INDEX(Salary_Calculation[Base Order Rate],ROW()-ROW(Payslip_Lookup[#Headers])))</f>
        <v/>
      </c>
      <c r="L50" s="176" t="str">
        <f aca="false">IF(INDEX(Salary_Calculation[Source Row],ROW()-ROW(Payslip_Lookup[#Headers]))="","",INDEX(Salary_Calculation[Basic Payment],ROW()-ROW(Payslip_Lookup[#Headers])))</f>
        <v/>
      </c>
      <c r="M50" s="176" t="str">
        <f aca="false">IF(INDEX(Salary_Calculation[Source Row],ROW()-ROW(Payslip_Lookup[#Headers]))="","",INDEX(Salary_Calculation[Earned Salary],ROW()-ROW(Payslip_Lookup[#Headers])))</f>
        <v/>
      </c>
      <c r="N50" s="174" t="str">
        <f aca="false">IF(INDEX(Salary_Calculation[Source Row],ROW()-ROW(Payslip_Lookup[#Headers]))="","",INDEX(Salary_Calculation[Orders Counted at Base Rate],ROW()-ROW(Payslip_Lookup[#Headers])))</f>
        <v/>
      </c>
      <c r="O50" s="174" t="str">
        <f aca="false">IF(INDEX(Salary_Calculation[Source Row],ROW()-ROW(Payslip_Lookup[#Headers]))="","",INDEX(Salary_Calculation[Missing Orders],ROW()-ROW(Payslip_Lookup[#Headers])))</f>
        <v/>
      </c>
      <c r="P50" s="176" t="str">
        <f aca="false">IF(INDEX(Salary_Calculation[Source Row],ROW()-ROW(Payslip_Lookup[#Headers]))="","",INDEX(Salary_Calculation[Missing-Order Deduction],ROW()-ROW(Payslip_Lookup[#Headers])))</f>
        <v/>
      </c>
      <c r="Q50" s="174" t="str">
        <f aca="false">IF(INDEX(Salary_Calculation[Source Row],ROW()-ROW(Payslip_Lookup[#Headers]))="","",INDEX(Salary_Calculation[Extra Orders],ROW()-ROW(Payslip_Lookup[#Headers])))</f>
        <v/>
      </c>
      <c r="R50" s="176" t="str">
        <f aca="false">IF(INDEX(Salary_Calculation[Source Row],ROW()-ROW(Payslip_Lookup[#Headers]))="","",INDEX(Salary_Calculation[Extra-Order Bonus],ROW()-ROW(Payslip_Lookup[#Headers])))</f>
        <v/>
      </c>
      <c r="S50" s="176" t="str">
        <f aca="false">IF(INDEX(Salary_Calculation[Source Row],ROW()-ROW(Payslip_Lookup[#Headers]))="","",INDEX(Salary_Calculation[Basic Salary for Target],ROW()-ROW(Payslip_Lookup[#Headers])))</f>
        <v/>
      </c>
      <c r="T50" s="176" t="str">
        <f aca="false">IF(INDEX(Salary_Calculation[Source Row],ROW()-ROW(Payslip_Lookup[#Headers]))="","",INDEX(Salary_Calculation[Gross Salary Before Deductions],ROW()-ROW(Payslip_Lookup[#Headers])))</f>
        <v/>
      </c>
      <c r="U50" s="176" t="str">
        <f aca="false">IF(INDEX(Salary_Calculation[Source Row],ROW()-ROW(Payslip_Lookup[#Headers]))="","",INDEX(Salary_Calculation[missed_days_penalty],ROW()-ROW(Payslip_Lookup[#Headers])))</f>
        <v/>
      </c>
      <c r="V50" s="176" t="str">
        <f aca="false">IF(INDEX(Salary_Calculation[Source Row],ROW()-ROW(Payslip_Lookup[#Headers]))="","",INDEX(Salary_Calculation[Rider Balance],ROW()-ROW(Payslip_Lookup[#Headers])))</f>
        <v/>
      </c>
      <c r="W50" s="176" t="str">
        <f aca="false">IF(INDEX(Salary_Calculation[Source Row],ROW()-ROW(Payslip_Lookup[#Headers]))="","",INDEX(Salary_Calculation[stacking_deduction],ROW()-ROW(Payslip_Lookup[#Headers])))</f>
        <v/>
      </c>
      <c r="X50" s="176" t="str">
        <f aca="false">IF(INDEX(Salary_Calculation[Source Row],ROW()-ROW(Payslip_Lookup[#Headers]))="","",INDEX(Salary_Calculation[Other Deductions],ROW()-ROW(Payslip_Lookup[#Headers])))</f>
        <v/>
      </c>
      <c r="Y50" s="176" t="str">
        <f aca="false">IF(INDEX(Salary_Calculation[Source Row],ROW()-ROW(Payslip_Lookup[#Headers]))="","",INDEX(Salary_Calculation[Total Deductions],ROW()-ROW(Payslip_Lookup[#Headers])))</f>
        <v/>
      </c>
      <c r="Z50" s="176" t="str">
        <f aca="false">IF(INDEX(Salary_Calculation[Source Row],ROW()-ROW(Payslip_Lookup[#Headers]))="","",INDEX(Salary_Calculation[Final Salary],ROW()-ROW(Payslip_Lookup[#Headers])))</f>
        <v/>
      </c>
      <c r="AA50" s="176" t="str">
        <f aca="false">IF(INDEX(Salary_Calculation[Source Row],ROW()-ROW(Payslip_Lookup[#Headers]))="","",INDEX(Salary_Calculation[Negative Balance / Amount Due from Rider],ROW()-ROW(Payslip_Lookup[#Headers])))</f>
        <v/>
      </c>
      <c r="AB50" s="176" t="str">
        <f aca="false">IF(INDEX(Salary_Calculation[Source Row],ROW()-ROW(Payslip_Lookup[#Headers]))="","",INDEX(Salary_Calculation[Total Amount Due from Rider],ROW()-ROW(Payslip_Lookup[#Headers])))</f>
        <v/>
      </c>
      <c r="AC50" s="176" t="str">
        <f aca="false">IF(INDEX(Salary_Calculation[Source Row],ROW()-ROW(Payslip_Lookup[#Headers]))="","",INDEX(Salary_Calculation[Salary Before Other Deductions],ROW()-ROW(Payslip_Lookup[#Headers])))</f>
        <v/>
      </c>
      <c r="AD50" s="171" t="str">
        <f aca="false">IF(INDEX(Salary_Calculation[Source Row],ROW()-ROW(Payslip_Lookup[#Headers]))="","",INDEX(Salary_Calculation[Payment Status],ROW()-ROW(Payslip_Lookup[#Headers])))</f>
        <v/>
      </c>
      <c r="AE50" s="171" t="str">
        <f aca="false">IF(INDEX(Salary_Calculation[Source Row],ROW()-ROW(Payslip_Lookup[#Headers]))="","",INDEX(Salary_Calculation[Notes],ROW()-ROW(Payslip_Lookup[#Headers])))</f>
        <v/>
      </c>
      <c r="AF50" s="171" t="str">
        <f aca="false">IF(INDEX(Salary_Calculation[Source Row],ROW()-ROW(Payslip_Lookup[#Headers]))="","",INDEX(Salary_Calculation[Exception Reason],ROW()-ROW(Payslip_Lookup[#Headers])))</f>
        <v/>
      </c>
      <c r="AG50" s="173" t="str">
        <f aca="false">IF($AD50="Review Required",COUNTIF(AD$2:AD50,"Review Required"),"")</f>
        <v/>
      </c>
      <c r="AH50" s="173" t="str">
        <f aca="false">IF(AND($D50&lt;&gt;"",$B50=Payslip_Print!$C$2),MAX(AH$1:AH49)+1,"")</f>
        <v/>
      </c>
      <c r="AL50" s="178" t="str">
        <f aca="false">IFERROR(INDEX($D$2:$D$501,MATCH(ROW()-1,$AH$2:$AH$501,0)),"")</f>
        <v/>
      </c>
      <c r="AM50" s="179" t="str">
        <f aca="false">IF($Z50="","",IF(AND($C50&gt;=Dash_Start,$C50&lt;Dash_End),$Z50+ROW()/10000000,""))</f>
        <v/>
      </c>
    </row>
    <row r="51" customFormat="false" ht="14.25" hidden="false" customHeight="false" outlineLevel="0" collapsed="false">
      <c r="A51" s="171" t="str">
        <f aca="false">IF(Payslip_Lookup[[#This Row],[Rider ID]]="","",Payslip_Lookup[[#This Row],[Rider ID]]&amp;"|"&amp;Payslip_Lookup[[#This Row],[Month Key]])</f>
        <v/>
      </c>
      <c r="B51" s="172" t="str">
        <f aca="false">IF(ISNUMBER(Payslip_Lookup[[#This Row],[Salary Month]]),DATE(YEAR(Payslip_Lookup[[#This Row],[Salary Month]]),MONTH(Payslip_Lookup[[#This Row],[Salary Month]]),1),"")</f>
        <v/>
      </c>
      <c r="C51" s="172" t="str">
        <f aca="false">IF(INDEX(Salary_Calculation[Source Row],ROW()-ROW(Payslip_Lookup[#Headers]))="","",INDEX(Salary_Calculation[Salary Month],ROW()-ROW(Payslip_Lookup[#Headers])))</f>
        <v/>
      </c>
      <c r="D51" s="173" t="str">
        <f aca="false">IF(INDEX(Salary_Calculation[Source Row],ROW()-ROW(Payslip_Lookup[#Headers]))="","",INDEX(Salary_Calculation[Rider ID],ROW()-ROW(Payslip_Lookup[#Headers])))</f>
        <v/>
      </c>
      <c r="E51" s="171" t="str">
        <f aca="false">IF(INDEX(Salary_Calculation[Source Row],ROW()-ROW(Payslip_Lookup[#Headers]))="","",INDEX(Salary_Calculation[Rider Name],ROW()-ROW(Payslip_Lookup[#Headers])))</f>
        <v/>
      </c>
      <c r="F51" s="173" t="str">
        <f aca="false">IF(INDEX(Salary_Calculation[Source Row],ROW()-ROW(Payslip_Lookup[#Headers]))="","",INDEX(Salary_Calculation[Working Days],ROW()-ROW(Payslip_Lookup[#Headers])))</f>
        <v/>
      </c>
      <c r="G51" s="173" t="str">
        <f aca="false">IF(INDEX(Salary_Calculation[Source Row],ROW()-ROW(Payslip_Lookup[#Headers]))="","",INDEX(Salary_Calculation[Calendar Days],ROW()-ROW(Payslip_Lookup[#Headers])))</f>
        <v/>
      </c>
      <c r="H51" s="174" t="str">
        <f aca="false">IF(INDEX(Salary_Calculation[Source Row],ROW()-ROW(Payslip_Lookup[#Headers]))="","",INDEX(Salary_Calculation[Monthly Target Orders],ROW()-ROW(Payslip_Lookup[#Headers])))</f>
        <v/>
      </c>
      <c r="I51" s="174" t="str">
        <f aca="false">IF(INDEX(Salary_Calculation[Source Row],ROW()-ROW(Payslip_Lookup[#Headers]))="","",INDEX(Salary_Calculation[Rider Target Orders],ROW()-ROW(Payslip_Lookup[#Headers])))</f>
        <v/>
      </c>
      <c r="J51" s="175" t="str">
        <f aca="false">IF(INDEX(Salary_Calculation[Source Row],ROW()-ROW(Payslip_Lookup[#Headers]))="","",INDEX(Salary_Calculation[Completed Orders],ROW()-ROW(Payslip_Lookup[#Headers])))</f>
        <v/>
      </c>
      <c r="K51" s="174" t="str">
        <f aca="false">IF(INDEX(Salary_Calculation[Source Row],ROW()-ROW(Payslip_Lookup[#Headers]))="","",INDEX(Salary_Calculation[Base Order Rate],ROW()-ROW(Payslip_Lookup[#Headers])))</f>
        <v/>
      </c>
      <c r="L51" s="176" t="str">
        <f aca="false">IF(INDEX(Salary_Calculation[Source Row],ROW()-ROW(Payslip_Lookup[#Headers]))="","",INDEX(Salary_Calculation[Basic Payment],ROW()-ROW(Payslip_Lookup[#Headers])))</f>
        <v/>
      </c>
      <c r="M51" s="176" t="str">
        <f aca="false">IF(INDEX(Salary_Calculation[Source Row],ROW()-ROW(Payslip_Lookup[#Headers]))="","",INDEX(Salary_Calculation[Earned Salary],ROW()-ROW(Payslip_Lookup[#Headers])))</f>
        <v/>
      </c>
      <c r="N51" s="174" t="str">
        <f aca="false">IF(INDEX(Salary_Calculation[Source Row],ROW()-ROW(Payslip_Lookup[#Headers]))="","",INDEX(Salary_Calculation[Orders Counted at Base Rate],ROW()-ROW(Payslip_Lookup[#Headers])))</f>
        <v/>
      </c>
      <c r="O51" s="174" t="str">
        <f aca="false">IF(INDEX(Salary_Calculation[Source Row],ROW()-ROW(Payslip_Lookup[#Headers]))="","",INDEX(Salary_Calculation[Missing Orders],ROW()-ROW(Payslip_Lookup[#Headers])))</f>
        <v/>
      </c>
      <c r="P51" s="176" t="str">
        <f aca="false">IF(INDEX(Salary_Calculation[Source Row],ROW()-ROW(Payslip_Lookup[#Headers]))="","",INDEX(Salary_Calculation[Missing-Order Deduction],ROW()-ROW(Payslip_Lookup[#Headers])))</f>
        <v/>
      </c>
      <c r="Q51" s="174" t="str">
        <f aca="false">IF(INDEX(Salary_Calculation[Source Row],ROW()-ROW(Payslip_Lookup[#Headers]))="","",INDEX(Salary_Calculation[Extra Orders],ROW()-ROW(Payslip_Lookup[#Headers])))</f>
        <v/>
      </c>
      <c r="R51" s="176" t="str">
        <f aca="false">IF(INDEX(Salary_Calculation[Source Row],ROW()-ROW(Payslip_Lookup[#Headers]))="","",INDEX(Salary_Calculation[Extra-Order Bonus],ROW()-ROW(Payslip_Lookup[#Headers])))</f>
        <v/>
      </c>
      <c r="S51" s="176" t="str">
        <f aca="false">IF(INDEX(Salary_Calculation[Source Row],ROW()-ROW(Payslip_Lookup[#Headers]))="","",INDEX(Salary_Calculation[Basic Salary for Target],ROW()-ROW(Payslip_Lookup[#Headers])))</f>
        <v/>
      </c>
      <c r="T51" s="176" t="str">
        <f aca="false">IF(INDEX(Salary_Calculation[Source Row],ROW()-ROW(Payslip_Lookup[#Headers]))="","",INDEX(Salary_Calculation[Gross Salary Before Deductions],ROW()-ROW(Payslip_Lookup[#Headers])))</f>
        <v/>
      </c>
      <c r="U51" s="176" t="str">
        <f aca="false">IF(INDEX(Salary_Calculation[Source Row],ROW()-ROW(Payslip_Lookup[#Headers]))="","",INDEX(Salary_Calculation[missed_days_penalty],ROW()-ROW(Payslip_Lookup[#Headers])))</f>
        <v/>
      </c>
      <c r="V51" s="176" t="str">
        <f aca="false">IF(INDEX(Salary_Calculation[Source Row],ROW()-ROW(Payslip_Lookup[#Headers]))="","",INDEX(Salary_Calculation[Rider Balance],ROW()-ROW(Payslip_Lookup[#Headers])))</f>
        <v/>
      </c>
      <c r="W51" s="176" t="str">
        <f aca="false">IF(INDEX(Salary_Calculation[Source Row],ROW()-ROW(Payslip_Lookup[#Headers]))="","",INDEX(Salary_Calculation[stacking_deduction],ROW()-ROW(Payslip_Lookup[#Headers])))</f>
        <v/>
      </c>
      <c r="X51" s="176" t="str">
        <f aca="false">IF(INDEX(Salary_Calculation[Source Row],ROW()-ROW(Payslip_Lookup[#Headers]))="","",INDEX(Salary_Calculation[Other Deductions],ROW()-ROW(Payslip_Lookup[#Headers])))</f>
        <v/>
      </c>
      <c r="Y51" s="176" t="str">
        <f aca="false">IF(INDEX(Salary_Calculation[Source Row],ROW()-ROW(Payslip_Lookup[#Headers]))="","",INDEX(Salary_Calculation[Total Deductions],ROW()-ROW(Payslip_Lookup[#Headers])))</f>
        <v/>
      </c>
      <c r="Z51" s="176" t="str">
        <f aca="false">IF(INDEX(Salary_Calculation[Source Row],ROW()-ROW(Payslip_Lookup[#Headers]))="","",INDEX(Salary_Calculation[Final Salary],ROW()-ROW(Payslip_Lookup[#Headers])))</f>
        <v/>
      </c>
      <c r="AA51" s="176" t="str">
        <f aca="false">IF(INDEX(Salary_Calculation[Source Row],ROW()-ROW(Payslip_Lookup[#Headers]))="","",INDEX(Salary_Calculation[Negative Balance / Amount Due from Rider],ROW()-ROW(Payslip_Lookup[#Headers])))</f>
        <v/>
      </c>
      <c r="AB51" s="176" t="str">
        <f aca="false">IF(INDEX(Salary_Calculation[Source Row],ROW()-ROW(Payslip_Lookup[#Headers]))="","",INDEX(Salary_Calculation[Total Amount Due from Rider],ROW()-ROW(Payslip_Lookup[#Headers])))</f>
        <v/>
      </c>
      <c r="AC51" s="176" t="str">
        <f aca="false">IF(INDEX(Salary_Calculation[Source Row],ROW()-ROW(Payslip_Lookup[#Headers]))="","",INDEX(Salary_Calculation[Salary Before Other Deductions],ROW()-ROW(Payslip_Lookup[#Headers])))</f>
        <v/>
      </c>
      <c r="AD51" s="171" t="str">
        <f aca="false">IF(INDEX(Salary_Calculation[Source Row],ROW()-ROW(Payslip_Lookup[#Headers]))="","",INDEX(Salary_Calculation[Payment Status],ROW()-ROW(Payslip_Lookup[#Headers])))</f>
        <v/>
      </c>
      <c r="AE51" s="171" t="str">
        <f aca="false">IF(INDEX(Salary_Calculation[Source Row],ROW()-ROW(Payslip_Lookup[#Headers]))="","",INDEX(Salary_Calculation[Notes],ROW()-ROW(Payslip_Lookup[#Headers])))</f>
        <v/>
      </c>
      <c r="AF51" s="171" t="str">
        <f aca="false">IF(INDEX(Salary_Calculation[Source Row],ROW()-ROW(Payslip_Lookup[#Headers]))="","",INDEX(Salary_Calculation[Exception Reason],ROW()-ROW(Payslip_Lookup[#Headers])))</f>
        <v/>
      </c>
      <c r="AG51" s="173" t="str">
        <f aca="false">IF($AD51="Review Required",COUNTIF(AD$2:AD51,"Review Required"),"")</f>
        <v/>
      </c>
      <c r="AH51" s="173" t="str">
        <f aca="false">IF(AND($D51&lt;&gt;"",$B51=Payslip_Print!$C$2),MAX(AH$1:AH50)+1,"")</f>
        <v/>
      </c>
      <c r="AL51" s="178" t="str">
        <f aca="false">IFERROR(INDEX($D$2:$D$501,MATCH(ROW()-1,$AH$2:$AH$501,0)),"")</f>
        <v/>
      </c>
      <c r="AM51" s="179" t="str">
        <f aca="false">IF($Z51="","",IF(AND($C51&gt;=Dash_Start,$C51&lt;Dash_End),$Z51+ROW()/10000000,""))</f>
        <v/>
      </c>
    </row>
    <row r="52" customFormat="false" ht="14.25" hidden="false" customHeight="false" outlineLevel="0" collapsed="false">
      <c r="A52" s="171" t="str">
        <f aca="false">IF(Payslip_Lookup[[#This Row],[Rider ID]]="","",Payslip_Lookup[[#This Row],[Rider ID]]&amp;"|"&amp;Payslip_Lookup[[#This Row],[Month Key]])</f>
        <v/>
      </c>
      <c r="B52" s="172" t="str">
        <f aca="false">IF(ISNUMBER(Payslip_Lookup[[#This Row],[Salary Month]]),DATE(YEAR(Payslip_Lookup[[#This Row],[Salary Month]]),MONTH(Payslip_Lookup[[#This Row],[Salary Month]]),1),"")</f>
        <v/>
      </c>
      <c r="C52" s="172" t="str">
        <f aca="false">IF(INDEX(Salary_Calculation[Source Row],ROW()-ROW(Payslip_Lookup[#Headers]))="","",INDEX(Salary_Calculation[Salary Month],ROW()-ROW(Payslip_Lookup[#Headers])))</f>
        <v/>
      </c>
      <c r="D52" s="173" t="str">
        <f aca="false">IF(INDEX(Salary_Calculation[Source Row],ROW()-ROW(Payslip_Lookup[#Headers]))="","",INDEX(Salary_Calculation[Rider ID],ROW()-ROW(Payslip_Lookup[#Headers])))</f>
        <v/>
      </c>
      <c r="E52" s="171" t="str">
        <f aca="false">IF(INDEX(Salary_Calculation[Source Row],ROW()-ROW(Payslip_Lookup[#Headers]))="","",INDEX(Salary_Calculation[Rider Name],ROW()-ROW(Payslip_Lookup[#Headers])))</f>
        <v/>
      </c>
      <c r="F52" s="173" t="str">
        <f aca="false">IF(INDEX(Salary_Calculation[Source Row],ROW()-ROW(Payslip_Lookup[#Headers]))="","",INDEX(Salary_Calculation[Working Days],ROW()-ROW(Payslip_Lookup[#Headers])))</f>
        <v/>
      </c>
      <c r="G52" s="173" t="str">
        <f aca="false">IF(INDEX(Salary_Calculation[Source Row],ROW()-ROW(Payslip_Lookup[#Headers]))="","",INDEX(Salary_Calculation[Calendar Days],ROW()-ROW(Payslip_Lookup[#Headers])))</f>
        <v/>
      </c>
      <c r="H52" s="174" t="str">
        <f aca="false">IF(INDEX(Salary_Calculation[Source Row],ROW()-ROW(Payslip_Lookup[#Headers]))="","",INDEX(Salary_Calculation[Monthly Target Orders],ROW()-ROW(Payslip_Lookup[#Headers])))</f>
        <v/>
      </c>
      <c r="I52" s="174" t="str">
        <f aca="false">IF(INDEX(Salary_Calculation[Source Row],ROW()-ROW(Payslip_Lookup[#Headers]))="","",INDEX(Salary_Calculation[Rider Target Orders],ROW()-ROW(Payslip_Lookup[#Headers])))</f>
        <v/>
      </c>
      <c r="J52" s="175" t="str">
        <f aca="false">IF(INDEX(Salary_Calculation[Source Row],ROW()-ROW(Payslip_Lookup[#Headers]))="","",INDEX(Salary_Calculation[Completed Orders],ROW()-ROW(Payslip_Lookup[#Headers])))</f>
        <v/>
      </c>
      <c r="K52" s="174" t="str">
        <f aca="false">IF(INDEX(Salary_Calculation[Source Row],ROW()-ROW(Payslip_Lookup[#Headers]))="","",INDEX(Salary_Calculation[Base Order Rate],ROW()-ROW(Payslip_Lookup[#Headers])))</f>
        <v/>
      </c>
      <c r="L52" s="176" t="str">
        <f aca="false">IF(INDEX(Salary_Calculation[Source Row],ROW()-ROW(Payslip_Lookup[#Headers]))="","",INDEX(Salary_Calculation[Basic Payment],ROW()-ROW(Payslip_Lookup[#Headers])))</f>
        <v/>
      </c>
      <c r="M52" s="176" t="str">
        <f aca="false">IF(INDEX(Salary_Calculation[Source Row],ROW()-ROW(Payslip_Lookup[#Headers]))="","",INDEX(Salary_Calculation[Earned Salary],ROW()-ROW(Payslip_Lookup[#Headers])))</f>
        <v/>
      </c>
      <c r="N52" s="174" t="str">
        <f aca="false">IF(INDEX(Salary_Calculation[Source Row],ROW()-ROW(Payslip_Lookup[#Headers]))="","",INDEX(Salary_Calculation[Orders Counted at Base Rate],ROW()-ROW(Payslip_Lookup[#Headers])))</f>
        <v/>
      </c>
      <c r="O52" s="174" t="str">
        <f aca="false">IF(INDEX(Salary_Calculation[Source Row],ROW()-ROW(Payslip_Lookup[#Headers]))="","",INDEX(Salary_Calculation[Missing Orders],ROW()-ROW(Payslip_Lookup[#Headers])))</f>
        <v/>
      </c>
      <c r="P52" s="176" t="str">
        <f aca="false">IF(INDEX(Salary_Calculation[Source Row],ROW()-ROW(Payslip_Lookup[#Headers]))="","",INDEX(Salary_Calculation[Missing-Order Deduction],ROW()-ROW(Payslip_Lookup[#Headers])))</f>
        <v/>
      </c>
      <c r="Q52" s="174" t="str">
        <f aca="false">IF(INDEX(Salary_Calculation[Source Row],ROW()-ROW(Payslip_Lookup[#Headers]))="","",INDEX(Salary_Calculation[Extra Orders],ROW()-ROW(Payslip_Lookup[#Headers])))</f>
        <v/>
      </c>
      <c r="R52" s="176" t="str">
        <f aca="false">IF(INDEX(Salary_Calculation[Source Row],ROW()-ROW(Payslip_Lookup[#Headers]))="","",INDEX(Salary_Calculation[Extra-Order Bonus],ROW()-ROW(Payslip_Lookup[#Headers])))</f>
        <v/>
      </c>
      <c r="S52" s="176" t="str">
        <f aca="false">IF(INDEX(Salary_Calculation[Source Row],ROW()-ROW(Payslip_Lookup[#Headers]))="","",INDEX(Salary_Calculation[Basic Salary for Target],ROW()-ROW(Payslip_Lookup[#Headers])))</f>
        <v/>
      </c>
      <c r="T52" s="176" t="str">
        <f aca="false">IF(INDEX(Salary_Calculation[Source Row],ROW()-ROW(Payslip_Lookup[#Headers]))="","",INDEX(Salary_Calculation[Gross Salary Before Deductions],ROW()-ROW(Payslip_Lookup[#Headers])))</f>
        <v/>
      </c>
      <c r="U52" s="176" t="str">
        <f aca="false">IF(INDEX(Salary_Calculation[Source Row],ROW()-ROW(Payslip_Lookup[#Headers]))="","",INDEX(Salary_Calculation[missed_days_penalty],ROW()-ROW(Payslip_Lookup[#Headers])))</f>
        <v/>
      </c>
      <c r="V52" s="176" t="str">
        <f aca="false">IF(INDEX(Salary_Calculation[Source Row],ROW()-ROW(Payslip_Lookup[#Headers]))="","",INDEX(Salary_Calculation[Rider Balance],ROW()-ROW(Payslip_Lookup[#Headers])))</f>
        <v/>
      </c>
      <c r="W52" s="176" t="str">
        <f aca="false">IF(INDEX(Salary_Calculation[Source Row],ROW()-ROW(Payslip_Lookup[#Headers]))="","",INDEX(Salary_Calculation[stacking_deduction],ROW()-ROW(Payslip_Lookup[#Headers])))</f>
        <v/>
      </c>
      <c r="X52" s="176" t="str">
        <f aca="false">IF(INDEX(Salary_Calculation[Source Row],ROW()-ROW(Payslip_Lookup[#Headers]))="","",INDEX(Salary_Calculation[Other Deductions],ROW()-ROW(Payslip_Lookup[#Headers])))</f>
        <v/>
      </c>
      <c r="Y52" s="176" t="str">
        <f aca="false">IF(INDEX(Salary_Calculation[Source Row],ROW()-ROW(Payslip_Lookup[#Headers]))="","",INDEX(Salary_Calculation[Total Deductions],ROW()-ROW(Payslip_Lookup[#Headers])))</f>
        <v/>
      </c>
      <c r="Z52" s="176" t="str">
        <f aca="false">IF(INDEX(Salary_Calculation[Source Row],ROW()-ROW(Payslip_Lookup[#Headers]))="","",INDEX(Salary_Calculation[Final Salary],ROW()-ROW(Payslip_Lookup[#Headers])))</f>
        <v/>
      </c>
      <c r="AA52" s="176" t="str">
        <f aca="false">IF(INDEX(Salary_Calculation[Source Row],ROW()-ROW(Payslip_Lookup[#Headers]))="","",INDEX(Salary_Calculation[Negative Balance / Amount Due from Rider],ROW()-ROW(Payslip_Lookup[#Headers])))</f>
        <v/>
      </c>
      <c r="AB52" s="176" t="str">
        <f aca="false">IF(INDEX(Salary_Calculation[Source Row],ROW()-ROW(Payslip_Lookup[#Headers]))="","",INDEX(Salary_Calculation[Total Amount Due from Rider],ROW()-ROW(Payslip_Lookup[#Headers])))</f>
        <v/>
      </c>
      <c r="AC52" s="176" t="str">
        <f aca="false">IF(INDEX(Salary_Calculation[Source Row],ROW()-ROW(Payslip_Lookup[#Headers]))="","",INDEX(Salary_Calculation[Salary Before Other Deductions],ROW()-ROW(Payslip_Lookup[#Headers])))</f>
        <v/>
      </c>
      <c r="AD52" s="171" t="str">
        <f aca="false">IF(INDEX(Salary_Calculation[Source Row],ROW()-ROW(Payslip_Lookup[#Headers]))="","",INDEX(Salary_Calculation[Payment Status],ROW()-ROW(Payslip_Lookup[#Headers])))</f>
        <v/>
      </c>
      <c r="AE52" s="171" t="str">
        <f aca="false">IF(INDEX(Salary_Calculation[Source Row],ROW()-ROW(Payslip_Lookup[#Headers]))="","",INDEX(Salary_Calculation[Notes],ROW()-ROW(Payslip_Lookup[#Headers])))</f>
        <v/>
      </c>
      <c r="AF52" s="171" t="str">
        <f aca="false">IF(INDEX(Salary_Calculation[Source Row],ROW()-ROW(Payslip_Lookup[#Headers]))="","",INDEX(Salary_Calculation[Exception Reason],ROW()-ROW(Payslip_Lookup[#Headers])))</f>
        <v/>
      </c>
      <c r="AG52" s="173" t="str">
        <f aca="false">IF($AD52="Review Required",COUNTIF(AD$2:AD52,"Review Required"),"")</f>
        <v/>
      </c>
      <c r="AH52" s="173" t="str">
        <f aca="false">IF(AND($D52&lt;&gt;"",$B52=Payslip_Print!$C$2),MAX(AH$1:AH51)+1,"")</f>
        <v/>
      </c>
      <c r="AL52" s="178" t="str">
        <f aca="false">IFERROR(INDEX($D$2:$D$501,MATCH(ROW()-1,$AH$2:$AH$501,0)),"")</f>
        <v/>
      </c>
      <c r="AM52" s="179" t="str">
        <f aca="false">IF($Z52="","",IF(AND($C52&gt;=Dash_Start,$C52&lt;Dash_End),$Z52+ROW()/10000000,""))</f>
        <v/>
      </c>
    </row>
    <row r="53" customFormat="false" ht="14.25" hidden="false" customHeight="false" outlineLevel="0" collapsed="false">
      <c r="A53" s="171" t="str">
        <f aca="false">IF(Payslip_Lookup[[#This Row],[Rider ID]]="","",Payslip_Lookup[[#This Row],[Rider ID]]&amp;"|"&amp;Payslip_Lookup[[#This Row],[Month Key]])</f>
        <v/>
      </c>
      <c r="B53" s="172" t="str">
        <f aca="false">IF(ISNUMBER(Payslip_Lookup[[#This Row],[Salary Month]]),DATE(YEAR(Payslip_Lookup[[#This Row],[Salary Month]]),MONTH(Payslip_Lookup[[#This Row],[Salary Month]]),1),"")</f>
        <v/>
      </c>
      <c r="C53" s="172" t="str">
        <f aca="false">IF(INDEX(Salary_Calculation[Source Row],ROW()-ROW(Payslip_Lookup[#Headers]))="","",INDEX(Salary_Calculation[Salary Month],ROW()-ROW(Payslip_Lookup[#Headers])))</f>
        <v/>
      </c>
      <c r="D53" s="173" t="str">
        <f aca="false">IF(INDEX(Salary_Calculation[Source Row],ROW()-ROW(Payslip_Lookup[#Headers]))="","",INDEX(Salary_Calculation[Rider ID],ROW()-ROW(Payslip_Lookup[#Headers])))</f>
        <v/>
      </c>
      <c r="E53" s="171" t="str">
        <f aca="false">IF(INDEX(Salary_Calculation[Source Row],ROW()-ROW(Payslip_Lookup[#Headers]))="","",INDEX(Salary_Calculation[Rider Name],ROW()-ROW(Payslip_Lookup[#Headers])))</f>
        <v/>
      </c>
      <c r="F53" s="173" t="str">
        <f aca="false">IF(INDEX(Salary_Calculation[Source Row],ROW()-ROW(Payslip_Lookup[#Headers]))="","",INDEX(Salary_Calculation[Working Days],ROW()-ROW(Payslip_Lookup[#Headers])))</f>
        <v/>
      </c>
      <c r="G53" s="173" t="str">
        <f aca="false">IF(INDEX(Salary_Calculation[Source Row],ROW()-ROW(Payslip_Lookup[#Headers]))="","",INDEX(Salary_Calculation[Calendar Days],ROW()-ROW(Payslip_Lookup[#Headers])))</f>
        <v/>
      </c>
      <c r="H53" s="174" t="str">
        <f aca="false">IF(INDEX(Salary_Calculation[Source Row],ROW()-ROW(Payslip_Lookup[#Headers]))="","",INDEX(Salary_Calculation[Monthly Target Orders],ROW()-ROW(Payslip_Lookup[#Headers])))</f>
        <v/>
      </c>
      <c r="I53" s="174" t="str">
        <f aca="false">IF(INDEX(Salary_Calculation[Source Row],ROW()-ROW(Payslip_Lookup[#Headers]))="","",INDEX(Salary_Calculation[Rider Target Orders],ROW()-ROW(Payslip_Lookup[#Headers])))</f>
        <v/>
      </c>
      <c r="J53" s="175" t="str">
        <f aca="false">IF(INDEX(Salary_Calculation[Source Row],ROW()-ROW(Payslip_Lookup[#Headers]))="","",INDEX(Salary_Calculation[Completed Orders],ROW()-ROW(Payslip_Lookup[#Headers])))</f>
        <v/>
      </c>
      <c r="K53" s="174" t="str">
        <f aca="false">IF(INDEX(Salary_Calculation[Source Row],ROW()-ROW(Payslip_Lookup[#Headers]))="","",INDEX(Salary_Calculation[Base Order Rate],ROW()-ROW(Payslip_Lookup[#Headers])))</f>
        <v/>
      </c>
      <c r="L53" s="176" t="str">
        <f aca="false">IF(INDEX(Salary_Calculation[Source Row],ROW()-ROW(Payslip_Lookup[#Headers]))="","",INDEX(Salary_Calculation[Basic Payment],ROW()-ROW(Payslip_Lookup[#Headers])))</f>
        <v/>
      </c>
      <c r="M53" s="176" t="str">
        <f aca="false">IF(INDEX(Salary_Calculation[Source Row],ROW()-ROW(Payslip_Lookup[#Headers]))="","",INDEX(Salary_Calculation[Earned Salary],ROW()-ROW(Payslip_Lookup[#Headers])))</f>
        <v/>
      </c>
      <c r="N53" s="174" t="str">
        <f aca="false">IF(INDEX(Salary_Calculation[Source Row],ROW()-ROW(Payslip_Lookup[#Headers]))="","",INDEX(Salary_Calculation[Orders Counted at Base Rate],ROW()-ROW(Payslip_Lookup[#Headers])))</f>
        <v/>
      </c>
      <c r="O53" s="174" t="str">
        <f aca="false">IF(INDEX(Salary_Calculation[Source Row],ROW()-ROW(Payslip_Lookup[#Headers]))="","",INDEX(Salary_Calculation[Missing Orders],ROW()-ROW(Payslip_Lookup[#Headers])))</f>
        <v/>
      </c>
      <c r="P53" s="176" t="str">
        <f aca="false">IF(INDEX(Salary_Calculation[Source Row],ROW()-ROW(Payslip_Lookup[#Headers]))="","",INDEX(Salary_Calculation[Missing-Order Deduction],ROW()-ROW(Payslip_Lookup[#Headers])))</f>
        <v/>
      </c>
      <c r="Q53" s="174" t="str">
        <f aca="false">IF(INDEX(Salary_Calculation[Source Row],ROW()-ROW(Payslip_Lookup[#Headers]))="","",INDEX(Salary_Calculation[Extra Orders],ROW()-ROW(Payslip_Lookup[#Headers])))</f>
        <v/>
      </c>
      <c r="R53" s="176" t="str">
        <f aca="false">IF(INDEX(Salary_Calculation[Source Row],ROW()-ROW(Payslip_Lookup[#Headers]))="","",INDEX(Salary_Calculation[Extra-Order Bonus],ROW()-ROW(Payslip_Lookup[#Headers])))</f>
        <v/>
      </c>
      <c r="S53" s="176" t="str">
        <f aca="false">IF(INDEX(Salary_Calculation[Source Row],ROW()-ROW(Payslip_Lookup[#Headers]))="","",INDEX(Salary_Calculation[Basic Salary for Target],ROW()-ROW(Payslip_Lookup[#Headers])))</f>
        <v/>
      </c>
      <c r="T53" s="176" t="str">
        <f aca="false">IF(INDEX(Salary_Calculation[Source Row],ROW()-ROW(Payslip_Lookup[#Headers]))="","",INDEX(Salary_Calculation[Gross Salary Before Deductions],ROW()-ROW(Payslip_Lookup[#Headers])))</f>
        <v/>
      </c>
      <c r="U53" s="176" t="str">
        <f aca="false">IF(INDEX(Salary_Calculation[Source Row],ROW()-ROW(Payslip_Lookup[#Headers]))="","",INDEX(Salary_Calculation[missed_days_penalty],ROW()-ROW(Payslip_Lookup[#Headers])))</f>
        <v/>
      </c>
      <c r="V53" s="176" t="str">
        <f aca="false">IF(INDEX(Salary_Calculation[Source Row],ROW()-ROW(Payslip_Lookup[#Headers]))="","",INDEX(Salary_Calculation[Rider Balance],ROW()-ROW(Payslip_Lookup[#Headers])))</f>
        <v/>
      </c>
      <c r="W53" s="176" t="str">
        <f aca="false">IF(INDEX(Salary_Calculation[Source Row],ROW()-ROW(Payslip_Lookup[#Headers]))="","",INDEX(Salary_Calculation[stacking_deduction],ROW()-ROW(Payslip_Lookup[#Headers])))</f>
        <v/>
      </c>
      <c r="X53" s="176" t="str">
        <f aca="false">IF(INDEX(Salary_Calculation[Source Row],ROW()-ROW(Payslip_Lookup[#Headers]))="","",INDEX(Salary_Calculation[Other Deductions],ROW()-ROW(Payslip_Lookup[#Headers])))</f>
        <v/>
      </c>
      <c r="Y53" s="176" t="str">
        <f aca="false">IF(INDEX(Salary_Calculation[Source Row],ROW()-ROW(Payslip_Lookup[#Headers]))="","",INDEX(Salary_Calculation[Total Deductions],ROW()-ROW(Payslip_Lookup[#Headers])))</f>
        <v/>
      </c>
      <c r="Z53" s="176" t="str">
        <f aca="false">IF(INDEX(Salary_Calculation[Source Row],ROW()-ROW(Payslip_Lookup[#Headers]))="","",INDEX(Salary_Calculation[Final Salary],ROW()-ROW(Payslip_Lookup[#Headers])))</f>
        <v/>
      </c>
      <c r="AA53" s="176" t="str">
        <f aca="false">IF(INDEX(Salary_Calculation[Source Row],ROW()-ROW(Payslip_Lookup[#Headers]))="","",INDEX(Salary_Calculation[Negative Balance / Amount Due from Rider],ROW()-ROW(Payslip_Lookup[#Headers])))</f>
        <v/>
      </c>
      <c r="AB53" s="176" t="str">
        <f aca="false">IF(INDEX(Salary_Calculation[Source Row],ROW()-ROW(Payslip_Lookup[#Headers]))="","",INDEX(Salary_Calculation[Total Amount Due from Rider],ROW()-ROW(Payslip_Lookup[#Headers])))</f>
        <v/>
      </c>
      <c r="AC53" s="176" t="str">
        <f aca="false">IF(INDEX(Salary_Calculation[Source Row],ROW()-ROW(Payslip_Lookup[#Headers]))="","",INDEX(Salary_Calculation[Salary Before Other Deductions],ROW()-ROW(Payslip_Lookup[#Headers])))</f>
        <v/>
      </c>
      <c r="AD53" s="171" t="str">
        <f aca="false">IF(INDEX(Salary_Calculation[Source Row],ROW()-ROW(Payslip_Lookup[#Headers]))="","",INDEX(Salary_Calculation[Payment Status],ROW()-ROW(Payslip_Lookup[#Headers])))</f>
        <v/>
      </c>
      <c r="AE53" s="171" t="str">
        <f aca="false">IF(INDEX(Salary_Calculation[Source Row],ROW()-ROW(Payslip_Lookup[#Headers]))="","",INDEX(Salary_Calculation[Notes],ROW()-ROW(Payslip_Lookup[#Headers])))</f>
        <v/>
      </c>
      <c r="AF53" s="171" t="str">
        <f aca="false">IF(INDEX(Salary_Calculation[Source Row],ROW()-ROW(Payslip_Lookup[#Headers]))="","",INDEX(Salary_Calculation[Exception Reason],ROW()-ROW(Payslip_Lookup[#Headers])))</f>
        <v/>
      </c>
      <c r="AG53" s="173" t="str">
        <f aca="false">IF($AD53="Review Required",COUNTIF(AD$2:AD53,"Review Required"),"")</f>
        <v/>
      </c>
      <c r="AH53" s="173" t="str">
        <f aca="false">IF(AND($D53&lt;&gt;"",$B53=Payslip_Print!$C$2),MAX(AH$1:AH52)+1,"")</f>
        <v/>
      </c>
      <c r="AL53" s="178" t="str">
        <f aca="false">IFERROR(INDEX($D$2:$D$501,MATCH(ROW()-1,$AH$2:$AH$501,0)),"")</f>
        <v/>
      </c>
      <c r="AM53" s="179" t="str">
        <f aca="false">IF($Z53="","",IF(AND($C53&gt;=Dash_Start,$C53&lt;Dash_End),$Z53+ROW()/10000000,""))</f>
        <v/>
      </c>
    </row>
    <row r="54" customFormat="false" ht="14.25" hidden="false" customHeight="false" outlineLevel="0" collapsed="false">
      <c r="A54" s="171" t="str">
        <f aca="false">IF(Payslip_Lookup[[#This Row],[Rider ID]]="","",Payslip_Lookup[[#This Row],[Rider ID]]&amp;"|"&amp;Payslip_Lookup[[#This Row],[Month Key]])</f>
        <v/>
      </c>
      <c r="B54" s="172" t="str">
        <f aca="false">IF(ISNUMBER(Payslip_Lookup[[#This Row],[Salary Month]]),DATE(YEAR(Payslip_Lookup[[#This Row],[Salary Month]]),MONTH(Payslip_Lookup[[#This Row],[Salary Month]]),1),"")</f>
        <v/>
      </c>
      <c r="C54" s="172" t="str">
        <f aca="false">IF(INDEX(Salary_Calculation[Source Row],ROW()-ROW(Payslip_Lookup[#Headers]))="","",INDEX(Salary_Calculation[Salary Month],ROW()-ROW(Payslip_Lookup[#Headers])))</f>
        <v/>
      </c>
      <c r="D54" s="173" t="str">
        <f aca="false">IF(INDEX(Salary_Calculation[Source Row],ROW()-ROW(Payslip_Lookup[#Headers]))="","",INDEX(Salary_Calculation[Rider ID],ROW()-ROW(Payslip_Lookup[#Headers])))</f>
        <v/>
      </c>
      <c r="E54" s="171" t="str">
        <f aca="false">IF(INDEX(Salary_Calculation[Source Row],ROW()-ROW(Payslip_Lookup[#Headers]))="","",INDEX(Salary_Calculation[Rider Name],ROW()-ROW(Payslip_Lookup[#Headers])))</f>
        <v/>
      </c>
      <c r="F54" s="173" t="str">
        <f aca="false">IF(INDEX(Salary_Calculation[Source Row],ROW()-ROW(Payslip_Lookup[#Headers]))="","",INDEX(Salary_Calculation[Working Days],ROW()-ROW(Payslip_Lookup[#Headers])))</f>
        <v/>
      </c>
      <c r="G54" s="173" t="str">
        <f aca="false">IF(INDEX(Salary_Calculation[Source Row],ROW()-ROW(Payslip_Lookup[#Headers]))="","",INDEX(Salary_Calculation[Calendar Days],ROW()-ROW(Payslip_Lookup[#Headers])))</f>
        <v/>
      </c>
      <c r="H54" s="174" t="str">
        <f aca="false">IF(INDEX(Salary_Calculation[Source Row],ROW()-ROW(Payslip_Lookup[#Headers]))="","",INDEX(Salary_Calculation[Monthly Target Orders],ROW()-ROW(Payslip_Lookup[#Headers])))</f>
        <v/>
      </c>
      <c r="I54" s="174" t="str">
        <f aca="false">IF(INDEX(Salary_Calculation[Source Row],ROW()-ROW(Payslip_Lookup[#Headers]))="","",INDEX(Salary_Calculation[Rider Target Orders],ROW()-ROW(Payslip_Lookup[#Headers])))</f>
        <v/>
      </c>
      <c r="J54" s="175" t="str">
        <f aca="false">IF(INDEX(Salary_Calculation[Source Row],ROW()-ROW(Payslip_Lookup[#Headers]))="","",INDEX(Salary_Calculation[Completed Orders],ROW()-ROW(Payslip_Lookup[#Headers])))</f>
        <v/>
      </c>
      <c r="K54" s="174" t="str">
        <f aca="false">IF(INDEX(Salary_Calculation[Source Row],ROW()-ROW(Payslip_Lookup[#Headers]))="","",INDEX(Salary_Calculation[Base Order Rate],ROW()-ROW(Payslip_Lookup[#Headers])))</f>
        <v/>
      </c>
      <c r="L54" s="176" t="str">
        <f aca="false">IF(INDEX(Salary_Calculation[Source Row],ROW()-ROW(Payslip_Lookup[#Headers]))="","",INDEX(Salary_Calculation[Basic Payment],ROW()-ROW(Payslip_Lookup[#Headers])))</f>
        <v/>
      </c>
      <c r="M54" s="176" t="str">
        <f aca="false">IF(INDEX(Salary_Calculation[Source Row],ROW()-ROW(Payslip_Lookup[#Headers]))="","",INDEX(Salary_Calculation[Earned Salary],ROW()-ROW(Payslip_Lookup[#Headers])))</f>
        <v/>
      </c>
      <c r="N54" s="174" t="str">
        <f aca="false">IF(INDEX(Salary_Calculation[Source Row],ROW()-ROW(Payslip_Lookup[#Headers]))="","",INDEX(Salary_Calculation[Orders Counted at Base Rate],ROW()-ROW(Payslip_Lookup[#Headers])))</f>
        <v/>
      </c>
      <c r="O54" s="174" t="str">
        <f aca="false">IF(INDEX(Salary_Calculation[Source Row],ROW()-ROW(Payslip_Lookup[#Headers]))="","",INDEX(Salary_Calculation[Missing Orders],ROW()-ROW(Payslip_Lookup[#Headers])))</f>
        <v/>
      </c>
      <c r="P54" s="176" t="str">
        <f aca="false">IF(INDEX(Salary_Calculation[Source Row],ROW()-ROW(Payslip_Lookup[#Headers]))="","",INDEX(Salary_Calculation[Missing-Order Deduction],ROW()-ROW(Payslip_Lookup[#Headers])))</f>
        <v/>
      </c>
      <c r="Q54" s="174" t="str">
        <f aca="false">IF(INDEX(Salary_Calculation[Source Row],ROW()-ROW(Payslip_Lookup[#Headers]))="","",INDEX(Salary_Calculation[Extra Orders],ROW()-ROW(Payslip_Lookup[#Headers])))</f>
        <v/>
      </c>
      <c r="R54" s="176" t="str">
        <f aca="false">IF(INDEX(Salary_Calculation[Source Row],ROW()-ROW(Payslip_Lookup[#Headers]))="","",INDEX(Salary_Calculation[Extra-Order Bonus],ROW()-ROW(Payslip_Lookup[#Headers])))</f>
        <v/>
      </c>
      <c r="S54" s="176" t="str">
        <f aca="false">IF(INDEX(Salary_Calculation[Source Row],ROW()-ROW(Payslip_Lookup[#Headers]))="","",INDEX(Salary_Calculation[Basic Salary for Target],ROW()-ROW(Payslip_Lookup[#Headers])))</f>
        <v/>
      </c>
      <c r="T54" s="176" t="str">
        <f aca="false">IF(INDEX(Salary_Calculation[Source Row],ROW()-ROW(Payslip_Lookup[#Headers]))="","",INDEX(Salary_Calculation[Gross Salary Before Deductions],ROW()-ROW(Payslip_Lookup[#Headers])))</f>
        <v/>
      </c>
      <c r="U54" s="176" t="str">
        <f aca="false">IF(INDEX(Salary_Calculation[Source Row],ROW()-ROW(Payslip_Lookup[#Headers]))="","",INDEX(Salary_Calculation[missed_days_penalty],ROW()-ROW(Payslip_Lookup[#Headers])))</f>
        <v/>
      </c>
      <c r="V54" s="176" t="str">
        <f aca="false">IF(INDEX(Salary_Calculation[Source Row],ROW()-ROW(Payslip_Lookup[#Headers]))="","",INDEX(Salary_Calculation[Rider Balance],ROW()-ROW(Payslip_Lookup[#Headers])))</f>
        <v/>
      </c>
      <c r="W54" s="176" t="str">
        <f aca="false">IF(INDEX(Salary_Calculation[Source Row],ROW()-ROW(Payslip_Lookup[#Headers]))="","",INDEX(Salary_Calculation[stacking_deduction],ROW()-ROW(Payslip_Lookup[#Headers])))</f>
        <v/>
      </c>
      <c r="X54" s="176" t="str">
        <f aca="false">IF(INDEX(Salary_Calculation[Source Row],ROW()-ROW(Payslip_Lookup[#Headers]))="","",INDEX(Salary_Calculation[Other Deductions],ROW()-ROW(Payslip_Lookup[#Headers])))</f>
        <v/>
      </c>
      <c r="Y54" s="176" t="str">
        <f aca="false">IF(INDEX(Salary_Calculation[Source Row],ROW()-ROW(Payslip_Lookup[#Headers]))="","",INDEX(Salary_Calculation[Total Deductions],ROW()-ROW(Payslip_Lookup[#Headers])))</f>
        <v/>
      </c>
      <c r="Z54" s="176" t="str">
        <f aca="false">IF(INDEX(Salary_Calculation[Source Row],ROW()-ROW(Payslip_Lookup[#Headers]))="","",INDEX(Salary_Calculation[Final Salary],ROW()-ROW(Payslip_Lookup[#Headers])))</f>
        <v/>
      </c>
      <c r="AA54" s="176" t="str">
        <f aca="false">IF(INDEX(Salary_Calculation[Source Row],ROW()-ROW(Payslip_Lookup[#Headers]))="","",INDEX(Salary_Calculation[Negative Balance / Amount Due from Rider],ROW()-ROW(Payslip_Lookup[#Headers])))</f>
        <v/>
      </c>
      <c r="AB54" s="176" t="str">
        <f aca="false">IF(INDEX(Salary_Calculation[Source Row],ROW()-ROW(Payslip_Lookup[#Headers]))="","",INDEX(Salary_Calculation[Total Amount Due from Rider],ROW()-ROW(Payslip_Lookup[#Headers])))</f>
        <v/>
      </c>
      <c r="AC54" s="176" t="str">
        <f aca="false">IF(INDEX(Salary_Calculation[Source Row],ROW()-ROW(Payslip_Lookup[#Headers]))="","",INDEX(Salary_Calculation[Salary Before Other Deductions],ROW()-ROW(Payslip_Lookup[#Headers])))</f>
        <v/>
      </c>
      <c r="AD54" s="171" t="str">
        <f aca="false">IF(INDEX(Salary_Calculation[Source Row],ROW()-ROW(Payslip_Lookup[#Headers]))="","",INDEX(Salary_Calculation[Payment Status],ROW()-ROW(Payslip_Lookup[#Headers])))</f>
        <v/>
      </c>
      <c r="AE54" s="171" t="str">
        <f aca="false">IF(INDEX(Salary_Calculation[Source Row],ROW()-ROW(Payslip_Lookup[#Headers]))="","",INDEX(Salary_Calculation[Notes],ROW()-ROW(Payslip_Lookup[#Headers])))</f>
        <v/>
      </c>
      <c r="AF54" s="171" t="str">
        <f aca="false">IF(INDEX(Salary_Calculation[Source Row],ROW()-ROW(Payslip_Lookup[#Headers]))="","",INDEX(Salary_Calculation[Exception Reason],ROW()-ROW(Payslip_Lookup[#Headers])))</f>
        <v/>
      </c>
      <c r="AG54" s="173" t="str">
        <f aca="false">IF($AD54="Review Required",COUNTIF(AD$2:AD54,"Review Required"),"")</f>
        <v/>
      </c>
      <c r="AH54" s="173" t="str">
        <f aca="false">IF(AND($D54&lt;&gt;"",$B54=Payslip_Print!$C$2),MAX(AH$1:AH53)+1,"")</f>
        <v/>
      </c>
      <c r="AL54" s="178" t="str">
        <f aca="false">IFERROR(INDEX($D$2:$D$501,MATCH(ROW()-1,$AH$2:$AH$501,0)),"")</f>
        <v/>
      </c>
      <c r="AM54" s="179" t="str">
        <f aca="false">IF($Z54="","",IF(AND($C54&gt;=Dash_Start,$C54&lt;Dash_End),$Z54+ROW()/10000000,""))</f>
        <v/>
      </c>
    </row>
    <row r="55" customFormat="false" ht="14.25" hidden="false" customHeight="false" outlineLevel="0" collapsed="false">
      <c r="A55" s="171" t="str">
        <f aca="false">IF(Payslip_Lookup[[#This Row],[Rider ID]]="","",Payslip_Lookup[[#This Row],[Rider ID]]&amp;"|"&amp;Payslip_Lookup[[#This Row],[Month Key]])</f>
        <v/>
      </c>
      <c r="B55" s="172" t="str">
        <f aca="false">IF(ISNUMBER(Payslip_Lookup[[#This Row],[Salary Month]]),DATE(YEAR(Payslip_Lookup[[#This Row],[Salary Month]]),MONTH(Payslip_Lookup[[#This Row],[Salary Month]]),1),"")</f>
        <v/>
      </c>
      <c r="C55" s="172" t="str">
        <f aca="false">IF(INDEX(Salary_Calculation[Source Row],ROW()-ROW(Payslip_Lookup[#Headers]))="","",INDEX(Salary_Calculation[Salary Month],ROW()-ROW(Payslip_Lookup[#Headers])))</f>
        <v/>
      </c>
      <c r="D55" s="173" t="str">
        <f aca="false">IF(INDEX(Salary_Calculation[Source Row],ROW()-ROW(Payslip_Lookup[#Headers]))="","",INDEX(Salary_Calculation[Rider ID],ROW()-ROW(Payslip_Lookup[#Headers])))</f>
        <v/>
      </c>
      <c r="E55" s="171" t="str">
        <f aca="false">IF(INDEX(Salary_Calculation[Source Row],ROW()-ROW(Payslip_Lookup[#Headers]))="","",INDEX(Salary_Calculation[Rider Name],ROW()-ROW(Payslip_Lookup[#Headers])))</f>
        <v/>
      </c>
      <c r="F55" s="173" t="str">
        <f aca="false">IF(INDEX(Salary_Calculation[Source Row],ROW()-ROW(Payslip_Lookup[#Headers]))="","",INDEX(Salary_Calculation[Working Days],ROW()-ROW(Payslip_Lookup[#Headers])))</f>
        <v/>
      </c>
      <c r="G55" s="173" t="str">
        <f aca="false">IF(INDEX(Salary_Calculation[Source Row],ROW()-ROW(Payslip_Lookup[#Headers]))="","",INDEX(Salary_Calculation[Calendar Days],ROW()-ROW(Payslip_Lookup[#Headers])))</f>
        <v/>
      </c>
      <c r="H55" s="174" t="str">
        <f aca="false">IF(INDEX(Salary_Calculation[Source Row],ROW()-ROW(Payslip_Lookup[#Headers]))="","",INDEX(Salary_Calculation[Monthly Target Orders],ROW()-ROW(Payslip_Lookup[#Headers])))</f>
        <v/>
      </c>
      <c r="I55" s="174" t="str">
        <f aca="false">IF(INDEX(Salary_Calculation[Source Row],ROW()-ROW(Payslip_Lookup[#Headers]))="","",INDEX(Salary_Calculation[Rider Target Orders],ROW()-ROW(Payslip_Lookup[#Headers])))</f>
        <v/>
      </c>
      <c r="J55" s="175" t="str">
        <f aca="false">IF(INDEX(Salary_Calculation[Source Row],ROW()-ROW(Payslip_Lookup[#Headers]))="","",INDEX(Salary_Calculation[Completed Orders],ROW()-ROW(Payslip_Lookup[#Headers])))</f>
        <v/>
      </c>
      <c r="K55" s="174" t="str">
        <f aca="false">IF(INDEX(Salary_Calculation[Source Row],ROW()-ROW(Payslip_Lookup[#Headers]))="","",INDEX(Salary_Calculation[Base Order Rate],ROW()-ROW(Payslip_Lookup[#Headers])))</f>
        <v/>
      </c>
      <c r="L55" s="176" t="str">
        <f aca="false">IF(INDEX(Salary_Calculation[Source Row],ROW()-ROW(Payslip_Lookup[#Headers]))="","",INDEX(Salary_Calculation[Basic Payment],ROW()-ROW(Payslip_Lookup[#Headers])))</f>
        <v/>
      </c>
      <c r="M55" s="176" t="str">
        <f aca="false">IF(INDEX(Salary_Calculation[Source Row],ROW()-ROW(Payslip_Lookup[#Headers]))="","",INDEX(Salary_Calculation[Earned Salary],ROW()-ROW(Payslip_Lookup[#Headers])))</f>
        <v/>
      </c>
      <c r="N55" s="174" t="str">
        <f aca="false">IF(INDEX(Salary_Calculation[Source Row],ROW()-ROW(Payslip_Lookup[#Headers]))="","",INDEX(Salary_Calculation[Orders Counted at Base Rate],ROW()-ROW(Payslip_Lookup[#Headers])))</f>
        <v/>
      </c>
      <c r="O55" s="174" t="str">
        <f aca="false">IF(INDEX(Salary_Calculation[Source Row],ROW()-ROW(Payslip_Lookup[#Headers]))="","",INDEX(Salary_Calculation[Missing Orders],ROW()-ROW(Payslip_Lookup[#Headers])))</f>
        <v/>
      </c>
      <c r="P55" s="176" t="str">
        <f aca="false">IF(INDEX(Salary_Calculation[Source Row],ROW()-ROW(Payslip_Lookup[#Headers]))="","",INDEX(Salary_Calculation[Missing-Order Deduction],ROW()-ROW(Payslip_Lookup[#Headers])))</f>
        <v/>
      </c>
      <c r="Q55" s="174" t="str">
        <f aca="false">IF(INDEX(Salary_Calculation[Source Row],ROW()-ROW(Payslip_Lookup[#Headers]))="","",INDEX(Salary_Calculation[Extra Orders],ROW()-ROW(Payslip_Lookup[#Headers])))</f>
        <v/>
      </c>
      <c r="R55" s="176" t="str">
        <f aca="false">IF(INDEX(Salary_Calculation[Source Row],ROW()-ROW(Payslip_Lookup[#Headers]))="","",INDEX(Salary_Calculation[Extra-Order Bonus],ROW()-ROW(Payslip_Lookup[#Headers])))</f>
        <v/>
      </c>
      <c r="S55" s="176" t="str">
        <f aca="false">IF(INDEX(Salary_Calculation[Source Row],ROW()-ROW(Payslip_Lookup[#Headers]))="","",INDEX(Salary_Calculation[Basic Salary for Target],ROW()-ROW(Payslip_Lookup[#Headers])))</f>
        <v/>
      </c>
      <c r="T55" s="176" t="str">
        <f aca="false">IF(INDEX(Salary_Calculation[Source Row],ROW()-ROW(Payslip_Lookup[#Headers]))="","",INDEX(Salary_Calculation[Gross Salary Before Deductions],ROW()-ROW(Payslip_Lookup[#Headers])))</f>
        <v/>
      </c>
      <c r="U55" s="176" t="str">
        <f aca="false">IF(INDEX(Salary_Calculation[Source Row],ROW()-ROW(Payslip_Lookup[#Headers]))="","",INDEX(Salary_Calculation[missed_days_penalty],ROW()-ROW(Payslip_Lookup[#Headers])))</f>
        <v/>
      </c>
      <c r="V55" s="176" t="str">
        <f aca="false">IF(INDEX(Salary_Calculation[Source Row],ROW()-ROW(Payslip_Lookup[#Headers]))="","",INDEX(Salary_Calculation[Rider Balance],ROW()-ROW(Payslip_Lookup[#Headers])))</f>
        <v/>
      </c>
      <c r="W55" s="176" t="str">
        <f aca="false">IF(INDEX(Salary_Calculation[Source Row],ROW()-ROW(Payslip_Lookup[#Headers]))="","",INDEX(Salary_Calculation[stacking_deduction],ROW()-ROW(Payslip_Lookup[#Headers])))</f>
        <v/>
      </c>
      <c r="X55" s="176" t="str">
        <f aca="false">IF(INDEX(Salary_Calculation[Source Row],ROW()-ROW(Payslip_Lookup[#Headers]))="","",INDEX(Salary_Calculation[Other Deductions],ROW()-ROW(Payslip_Lookup[#Headers])))</f>
        <v/>
      </c>
      <c r="Y55" s="176" t="str">
        <f aca="false">IF(INDEX(Salary_Calculation[Source Row],ROW()-ROW(Payslip_Lookup[#Headers]))="","",INDEX(Salary_Calculation[Total Deductions],ROW()-ROW(Payslip_Lookup[#Headers])))</f>
        <v/>
      </c>
      <c r="Z55" s="176" t="str">
        <f aca="false">IF(INDEX(Salary_Calculation[Source Row],ROW()-ROW(Payslip_Lookup[#Headers]))="","",INDEX(Salary_Calculation[Final Salary],ROW()-ROW(Payslip_Lookup[#Headers])))</f>
        <v/>
      </c>
      <c r="AA55" s="176" t="str">
        <f aca="false">IF(INDEX(Salary_Calculation[Source Row],ROW()-ROW(Payslip_Lookup[#Headers]))="","",INDEX(Salary_Calculation[Negative Balance / Amount Due from Rider],ROW()-ROW(Payslip_Lookup[#Headers])))</f>
        <v/>
      </c>
      <c r="AB55" s="176" t="str">
        <f aca="false">IF(INDEX(Salary_Calculation[Source Row],ROW()-ROW(Payslip_Lookup[#Headers]))="","",INDEX(Salary_Calculation[Total Amount Due from Rider],ROW()-ROW(Payslip_Lookup[#Headers])))</f>
        <v/>
      </c>
      <c r="AC55" s="176" t="str">
        <f aca="false">IF(INDEX(Salary_Calculation[Source Row],ROW()-ROW(Payslip_Lookup[#Headers]))="","",INDEX(Salary_Calculation[Salary Before Other Deductions],ROW()-ROW(Payslip_Lookup[#Headers])))</f>
        <v/>
      </c>
      <c r="AD55" s="171" t="str">
        <f aca="false">IF(INDEX(Salary_Calculation[Source Row],ROW()-ROW(Payslip_Lookup[#Headers]))="","",INDEX(Salary_Calculation[Payment Status],ROW()-ROW(Payslip_Lookup[#Headers])))</f>
        <v/>
      </c>
      <c r="AE55" s="171" t="str">
        <f aca="false">IF(INDEX(Salary_Calculation[Source Row],ROW()-ROW(Payslip_Lookup[#Headers]))="","",INDEX(Salary_Calculation[Notes],ROW()-ROW(Payslip_Lookup[#Headers])))</f>
        <v/>
      </c>
      <c r="AF55" s="171" t="str">
        <f aca="false">IF(INDEX(Salary_Calculation[Source Row],ROW()-ROW(Payslip_Lookup[#Headers]))="","",INDEX(Salary_Calculation[Exception Reason],ROW()-ROW(Payslip_Lookup[#Headers])))</f>
        <v/>
      </c>
      <c r="AG55" s="173" t="str">
        <f aca="false">IF($AD55="Review Required",COUNTIF(AD$2:AD55,"Review Required"),"")</f>
        <v/>
      </c>
      <c r="AH55" s="173" t="str">
        <f aca="false">IF(AND($D55&lt;&gt;"",$B55=Payslip_Print!$C$2),MAX(AH$1:AH54)+1,"")</f>
        <v/>
      </c>
      <c r="AL55" s="178" t="str">
        <f aca="false">IFERROR(INDEX($D$2:$D$501,MATCH(ROW()-1,$AH$2:$AH$501,0)),"")</f>
        <v/>
      </c>
      <c r="AM55" s="179" t="str">
        <f aca="false">IF($Z55="","",IF(AND($C55&gt;=Dash_Start,$C55&lt;Dash_End),$Z55+ROW()/10000000,""))</f>
        <v/>
      </c>
    </row>
    <row r="56" customFormat="false" ht="14.25" hidden="false" customHeight="false" outlineLevel="0" collapsed="false">
      <c r="A56" s="171" t="str">
        <f aca="false">IF(Payslip_Lookup[[#This Row],[Rider ID]]="","",Payslip_Lookup[[#This Row],[Rider ID]]&amp;"|"&amp;Payslip_Lookup[[#This Row],[Month Key]])</f>
        <v/>
      </c>
      <c r="B56" s="172" t="str">
        <f aca="false">IF(ISNUMBER(Payslip_Lookup[[#This Row],[Salary Month]]),DATE(YEAR(Payslip_Lookup[[#This Row],[Salary Month]]),MONTH(Payslip_Lookup[[#This Row],[Salary Month]]),1),"")</f>
        <v/>
      </c>
      <c r="C56" s="172" t="str">
        <f aca="false">IF(INDEX(Salary_Calculation[Source Row],ROW()-ROW(Payslip_Lookup[#Headers]))="","",INDEX(Salary_Calculation[Salary Month],ROW()-ROW(Payslip_Lookup[#Headers])))</f>
        <v/>
      </c>
      <c r="D56" s="173" t="str">
        <f aca="false">IF(INDEX(Salary_Calculation[Source Row],ROW()-ROW(Payslip_Lookup[#Headers]))="","",INDEX(Salary_Calculation[Rider ID],ROW()-ROW(Payslip_Lookup[#Headers])))</f>
        <v/>
      </c>
      <c r="E56" s="171" t="str">
        <f aca="false">IF(INDEX(Salary_Calculation[Source Row],ROW()-ROW(Payslip_Lookup[#Headers]))="","",INDEX(Salary_Calculation[Rider Name],ROW()-ROW(Payslip_Lookup[#Headers])))</f>
        <v/>
      </c>
      <c r="F56" s="173" t="str">
        <f aca="false">IF(INDEX(Salary_Calculation[Source Row],ROW()-ROW(Payslip_Lookup[#Headers]))="","",INDEX(Salary_Calculation[Working Days],ROW()-ROW(Payslip_Lookup[#Headers])))</f>
        <v/>
      </c>
      <c r="G56" s="173" t="str">
        <f aca="false">IF(INDEX(Salary_Calculation[Source Row],ROW()-ROW(Payslip_Lookup[#Headers]))="","",INDEX(Salary_Calculation[Calendar Days],ROW()-ROW(Payslip_Lookup[#Headers])))</f>
        <v/>
      </c>
      <c r="H56" s="174" t="str">
        <f aca="false">IF(INDEX(Salary_Calculation[Source Row],ROW()-ROW(Payslip_Lookup[#Headers]))="","",INDEX(Salary_Calculation[Monthly Target Orders],ROW()-ROW(Payslip_Lookup[#Headers])))</f>
        <v/>
      </c>
      <c r="I56" s="174" t="str">
        <f aca="false">IF(INDEX(Salary_Calculation[Source Row],ROW()-ROW(Payslip_Lookup[#Headers]))="","",INDEX(Salary_Calculation[Rider Target Orders],ROW()-ROW(Payslip_Lookup[#Headers])))</f>
        <v/>
      </c>
      <c r="J56" s="175" t="str">
        <f aca="false">IF(INDEX(Salary_Calculation[Source Row],ROW()-ROW(Payslip_Lookup[#Headers]))="","",INDEX(Salary_Calculation[Completed Orders],ROW()-ROW(Payslip_Lookup[#Headers])))</f>
        <v/>
      </c>
      <c r="K56" s="174" t="str">
        <f aca="false">IF(INDEX(Salary_Calculation[Source Row],ROW()-ROW(Payslip_Lookup[#Headers]))="","",INDEX(Salary_Calculation[Base Order Rate],ROW()-ROW(Payslip_Lookup[#Headers])))</f>
        <v/>
      </c>
      <c r="L56" s="176" t="str">
        <f aca="false">IF(INDEX(Salary_Calculation[Source Row],ROW()-ROW(Payslip_Lookup[#Headers]))="","",INDEX(Salary_Calculation[Basic Payment],ROW()-ROW(Payslip_Lookup[#Headers])))</f>
        <v/>
      </c>
      <c r="M56" s="176" t="str">
        <f aca="false">IF(INDEX(Salary_Calculation[Source Row],ROW()-ROW(Payslip_Lookup[#Headers]))="","",INDEX(Salary_Calculation[Earned Salary],ROW()-ROW(Payslip_Lookup[#Headers])))</f>
        <v/>
      </c>
      <c r="N56" s="174" t="str">
        <f aca="false">IF(INDEX(Salary_Calculation[Source Row],ROW()-ROW(Payslip_Lookup[#Headers]))="","",INDEX(Salary_Calculation[Orders Counted at Base Rate],ROW()-ROW(Payslip_Lookup[#Headers])))</f>
        <v/>
      </c>
      <c r="O56" s="174" t="str">
        <f aca="false">IF(INDEX(Salary_Calculation[Source Row],ROW()-ROW(Payslip_Lookup[#Headers]))="","",INDEX(Salary_Calculation[Missing Orders],ROW()-ROW(Payslip_Lookup[#Headers])))</f>
        <v/>
      </c>
      <c r="P56" s="176" t="str">
        <f aca="false">IF(INDEX(Salary_Calculation[Source Row],ROW()-ROW(Payslip_Lookup[#Headers]))="","",INDEX(Salary_Calculation[Missing-Order Deduction],ROW()-ROW(Payslip_Lookup[#Headers])))</f>
        <v/>
      </c>
      <c r="Q56" s="174" t="str">
        <f aca="false">IF(INDEX(Salary_Calculation[Source Row],ROW()-ROW(Payslip_Lookup[#Headers]))="","",INDEX(Salary_Calculation[Extra Orders],ROW()-ROW(Payslip_Lookup[#Headers])))</f>
        <v/>
      </c>
      <c r="R56" s="176" t="str">
        <f aca="false">IF(INDEX(Salary_Calculation[Source Row],ROW()-ROW(Payslip_Lookup[#Headers]))="","",INDEX(Salary_Calculation[Extra-Order Bonus],ROW()-ROW(Payslip_Lookup[#Headers])))</f>
        <v/>
      </c>
      <c r="S56" s="176" t="str">
        <f aca="false">IF(INDEX(Salary_Calculation[Source Row],ROW()-ROW(Payslip_Lookup[#Headers]))="","",INDEX(Salary_Calculation[Basic Salary for Target],ROW()-ROW(Payslip_Lookup[#Headers])))</f>
        <v/>
      </c>
      <c r="T56" s="176" t="str">
        <f aca="false">IF(INDEX(Salary_Calculation[Source Row],ROW()-ROW(Payslip_Lookup[#Headers]))="","",INDEX(Salary_Calculation[Gross Salary Before Deductions],ROW()-ROW(Payslip_Lookup[#Headers])))</f>
        <v/>
      </c>
      <c r="U56" s="176" t="str">
        <f aca="false">IF(INDEX(Salary_Calculation[Source Row],ROW()-ROW(Payslip_Lookup[#Headers]))="","",INDEX(Salary_Calculation[missed_days_penalty],ROW()-ROW(Payslip_Lookup[#Headers])))</f>
        <v/>
      </c>
      <c r="V56" s="176" t="str">
        <f aca="false">IF(INDEX(Salary_Calculation[Source Row],ROW()-ROW(Payslip_Lookup[#Headers]))="","",INDEX(Salary_Calculation[Rider Balance],ROW()-ROW(Payslip_Lookup[#Headers])))</f>
        <v/>
      </c>
      <c r="W56" s="176" t="str">
        <f aca="false">IF(INDEX(Salary_Calculation[Source Row],ROW()-ROW(Payslip_Lookup[#Headers]))="","",INDEX(Salary_Calculation[stacking_deduction],ROW()-ROW(Payslip_Lookup[#Headers])))</f>
        <v/>
      </c>
      <c r="X56" s="176" t="str">
        <f aca="false">IF(INDEX(Salary_Calculation[Source Row],ROW()-ROW(Payslip_Lookup[#Headers]))="","",INDEX(Salary_Calculation[Other Deductions],ROW()-ROW(Payslip_Lookup[#Headers])))</f>
        <v/>
      </c>
      <c r="Y56" s="176" t="str">
        <f aca="false">IF(INDEX(Salary_Calculation[Source Row],ROW()-ROW(Payslip_Lookup[#Headers]))="","",INDEX(Salary_Calculation[Total Deductions],ROW()-ROW(Payslip_Lookup[#Headers])))</f>
        <v/>
      </c>
      <c r="Z56" s="176" t="str">
        <f aca="false">IF(INDEX(Salary_Calculation[Source Row],ROW()-ROW(Payslip_Lookup[#Headers]))="","",INDEX(Salary_Calculation[Final Salary],ROW()-ROW(Payslip_Lookup[#Headers])))</f>
        <v/>
      </c>
      <c r="AA56" s="176" t="str">
        <f aca="false">IF(INDEX(Salary_Calculation[Source Row],ROW()-ROW(Payslip_Lookup[#Headers]))="","",INDEX(Salary_Calculation[Negative Balance / Amount Due from Rider],ROW()-ROW(Payslip_Lookup[#Headers])))</f>
        <v/>
      </c>
      <c r="AB56" s="176" t="str">
        <f aca="false">IF(INDEX(Salary_Calculation[Source Row],ROW()-ROW(Payslip_Lookup[#Headers]))="","",INDEX(Salary_Calculation[Total Amount Due from Rider],ROW()-ROW(Payslip_Lookup[#Headers])))</f>
        <v/>
      </c>
      <c r="AC56" s="176" t="str">
        <f aca="false">IF(INDEX(Salary_Calculation[Source Row],ROW()-ROW(Payslip_Lookup[#Headers]))="","",INDEX(Salary_Calculation[Salary Before Other Deductions],ROW()-ROW(Payslip_Lookup[#Headers])))</f>
        <v/>
      </c>
      <c r="AD56" s="171" t="str">
        <f aca="false">IF(INDEX(Salary_Calculation[Source Row],ROW()-ROW(Payslip_Lookup[#Headers]))="","",INDEX(Salary_Calculation[Payment Status],ROW()-ROW(Payslip_Lookup[#Headers])))</f>
        <v/>
      </c>
      <c r="AE56" s="171" t="str">
        <f aca="false">IF(INDEX(Salary_Calculation[Source Row],ROW()-ROW(Payslip_Lookup[#Headers]))="","",INDEX(Salary_Calculation[Notes],ROW()-ROW(Payslip_Lookup[#Headers])))</f>
        <v/>
      </c>
      <c r="AF56" s="171" t="str">
        <f aca="false">IF(INDEX(Salary_Calculation[Source Row],ROW()-ROW(Payslip_Lookup[#Headers]))="","",INDEX(Salary_Calculation[Exception Reason],ROW()-ROW(Payslip_Lookup[#Headers])))</f>
        <v/>
      </c>
      <c r="AG56" s="173" t="str">
        <f aca="false">IF($AD56="Review Required",COUNTIF(AD$2:AD56,"Review Required"),"")</f>
        <v/>
      </c>
      <c r="AH56" s="173" t="str">
        <f aca="false">IF(AND($D56&lt;&gt;"",$B56=Payslip_Print!$C$2),MAX(AH$1:AH55)+1,"")</f>
        <v/>
      </c>
      <c r="AL56" s="178" t="str">
        <f aca="false">IFERROR(INDEX($D$2:$D$501,MATCH(ROW()-1,$AH$2:$AH$501,0)),"")</f>
        <v/>
      </c>
      <c r="AM56" s="179" t="str">
        <f aca="false">IF($Z56="","",IF(AND($C56&gt;=Dash_Start,$C56&lt;Dash_End),$Z56+ROW()/10000000,""))</f>
        <v/>
      </c>
    </row>
    <row r="57" customFormat="false" ht="14.25" hidden="false" customHeight="false" outlineLevel="0" collapsed="false">
      <c r="A57" s="171" t="str">
        <f aca="false">IF(Payslip_Lookup[[#This Row],[Rider ID]]="","",Payslip_Lookup[[#This Row],[Rider ID]]&amp;"|"&amp;Payslip_Lookup[[#This Row],[Month Key]])</f>
        <v/>
      </c>
      <c r="B57" s="172" t="str">
        <f aca="false">IF(ISNUMBER(Payslip_Lookup[[#This Row],[Salary Month]]),DATE(YEAR(Payslip_Lookup[[#This Row],[Salary Month]]),MONTH(Payslip_Lookup[[#This Row],[Salary Month]]),1),"")</f>
        <v/>
      </c>
      <c r="C57" s="172" t="str">
        <f aca="false">IF(INDEX(Salary_Calculation[Source Row],ROW()-ROW(Payslip_Lookup[#Headers]))="","",INDEX(Salary_Calculation[Salary Month],ROW()-ROW(Payslip_Lookup[#Headers])))</f>
        <v/>
      </c>
      <c r="D57" s="173" t="str">
        <f aca="false">IF(INDEX(Salary_Calculation[Source Row],ROW()-ROW(Payslip_Lookup[#Headers]))="","",INDEX(Salary_Calculation[Rider ID],ROW()-ROW(Payslip_Lookup[#Headers])))</f>
        <v/>
      </c>
      <c r="E57" s="171" t="str">
        <f aca="false">IF(INDEX(Salary_Calculation[Source Row],ROW()-ROW(Payslip_Lookup[#Headers]))="","",INDEX(Salary_Calculation[Rider Name],ROW()-ROW(Payslip_Lookup[#Headers])))</f>
        <v/>
      </c>
      <c r="F57" s="173" t="str">
        <f aca="false">IF(INDEX(Salary_Calculation[Source Row],ROW()-ROW(Payslip_Lookup[#Headers]))="","",INDEX(Salary_Calculation[Working Days],ROW()-ROW(Payslip_Lookup[#Headers])))</f>
        <v/>
      </c>
      <c r="G57" s="173" t="str">
        <f aca="false">IF(INDEX(Salary_Calculation[Source Row],ROW()-ROW(Payslip_Lookup[#Headers]))="","",INDEX(Salary_Calculation[Calendar Days],ROW()-ROW(Payslip_Lookup[#Headers])))</f>
        <v/>
      </c>
      <c r="H57" s="174" t="str">
        <f aca="false">IF(INDEX(Salary_Calculation[Source Row],ROW()-ROW(Payslip_Lookup[#Headers]))="","",INDEX(Salary_Calculation[Monthly Target Orders],ROW()-ROW(Payslip_Lookup[#Headers])))</f>
        <v/>
      </c>
      <c r="I57" s="174" t="str">
        <f aca="false">IF(INDEX(Salary_Calculation[Source Row],ROW()-ROW(Payslip_Lookup[#Headers]))="","",INDEX(Salary_Calculation[Rider Target Orders],ROW()-ROW(Payslip_Lookup[#Headers])))</f>
        <v/>
      </c>
      <c r="J57" s="175" t="str">
        <f aca="false">IF(INDEX(Salary_Calculation[Source Row],ROW()-ROW(Payslip_Lookup[#Headers]))="","",INDEX(Salary_Calculation[Completed Orders],ROW()-ROW(Payslip_Lookup[#Headers])))</f>
        <v/>
      </c>
      <c r="K57" s="174" t="str">
        <f aca="false">IF(INDEX(Salary_Calculation[Source Row],ROW()-ROW(Payslip_Lookup[#Headers]))="","",INDEX(Salary_Calculation[Base Order Rate],ROW()-ROW(Payslip_Lookup[#Headers])))</f>
        <v/>
      </c>
      <c r="L57" s="176" t="str">
        <f aca="false">IF(INDEX(Salary_Calculation[Source Row],ROW()-ROW(Payslip_Lookup[#Headers]))="","",INDEX(Salary_Calculation[Basic Payment],ROW()-ROW(Payslip_Lookup[#Headers])))</f>
        <v/>
      </c>
      <c r="M57" s="176" t="str">
        <f aca="false">IF(INDEX(Salary_Calculation[Source Row],ROW()-ROW(Payslip_Lookup[#Headers]))="","",INDEX(Salary_Calculation[Earned Salary],ROW()-ROW(Payslip_Lookup[#Headers])))</f>
        <v/>
      </c>
      <c r="N57" s="174" t="str">
        <f aca="false">IF(INDEX(Salary_Calculation[Source Row],ROW()-ROW(Payslip_Lookup[#Headers]))="","",INDEX(Salary_Calculation[Orders Counted at Base Rate],ROW()-ROW(Payslip_Lookup[#Headers])))</f>
        <v/>
      </c>
      <c r="O57" s="174" t="str">
        <f aca="false">IF(INDEX(Salary_Calculation[Source Row],ROW()-ROW(Payslip_Lookup[#Headers]))="","",INDEX(Salary_Calculation[Missing Orders],ROW()-ROW(Payslip_Lookup[#Headers])))</f>
        <v/>
      </c>
      <c r="P57" s="176" t="str">
        <f aca="false">IF(INDEX(Salary_Calculation[Source Row],ROW()-ROW(Payslip_Lookup[#Headers]))="","",INDEX(Salary_Calculation[Missing-Order Deduction],ROW()-ROW(Payslip_Lookup[#Headers])))</f>
        <v/>
      </c>
      <c r="Q57" s="174" t="str">
        <f aca="false">IF(INDEX(Salary_Calculation[Source Row],ROW()-ROW(Payslip_Lookup[#Headers]))="","",INDEX(Salary_Calculation[Extra Orders],ROW()-ROW(Payslip_Lookup[#Headers])))</f>
        <v/>
      </c>
      <c r="R57" s="176" t="str">
        <f aca="false">IF(INDEX(Salary_Calculation[Source Row],ROW()-ROW(Payslip_Lookup[#Headers]))="","",INDEX(Salary_Calculation[Extra-Order Bonus],ROW()-ROW(Payslip_Lookup[#Headers])))</f>
        <v/>
      </c>
      <c r="S57" s="176" t="str">
        <f aca="false">IF(INDEX(Salary_Calculation[Source Row],ROW()-ROW(Payslip_Lookup[#Headers]))="","",INDEX(Salary_Calculation[Basic Salary for Target],ROW()-ROW(Payslip_Lookup[#Headers])))</f>
        <v/>
      </c>
      <c r="T57" s="176" t="str">
        <f aca="false">IF(INDEX(Salary_Calculation[Source Row],ROW()-ROW(Payslip_Lookup[#Headers]))="","",INDEX(Salary_Calculation[Gross Salary Before Deductions],ROW()-ROW(Payslip_Lookup[#Headers])))</f>
        <v/>
      </c>
      <c r="U57" s="176" t="str">
        <f aca="false">IF(INDEX(Salary_Calculation[Source Row],ROW()-ROW(Payslip_Lookup[#Headers]))="","",INDEX(Salary_Calculation[missed_days_penalty],ROW()-ROW(Payslip_Lookup[#Headers])))</f>
        <v/>
      </c>
      <c r="V57" s="176" t="str">
        <f aca="false">IF(INDEX(Salary_Calculation[Source Row],ROW()-ROW(Payslip_Lookup[#Headers]))="","",INDEX(Salary_Calculation[Rider Balance],ROW()-ROW(Payslip_Lookup[#Headers])))</f>
        <v/>
      </c>
      <c r="W57" s="176" t="str">
        <f aca="false">IF(INDEX(Salary_Calculation[Source Row],ROW()-ROW(Payslip_Lookup[#Headers]))="","",INDEX(Salary_Calculation[stacking_deduction],ROW()-ROW(Payslip_Lookup[#Headers])))</f>
        <v/>
      </c>
      <c r="X57" s="176" t="str">
        <f aca="false">IF(INDEX(Salary_Calculation[Source Row],ROW()-ROW(Payslip_Lookup[#Headers]))="","",INDEX(Salary_Calculation[Other Deductions],ROW()-ROW(Payslip_Lookup[#Headers])))</f>
        <v/>
      </c>
      <c r="Y57" s="176" t="str">
        <f aca="false">IF(INDEX(Salary_Calculation[Source Row],ROW()-ROW(Payslip_Lookup[#Headers]))="","",INDEX(Salary_Calculation[Total Deductions],ROW()-ROW(Payslip_Lookup[#Headers])))</f>
        <v/>
      </c>
      <c r="Z57" s="176" t="str">
        <f aca="false">IF(INDEX(Salary_Calculation[Source Row],ROW()-ROW(Payslip_Lookup[#Headers]))="","",INDEX(Salary_Calculation[Final Salary],ROW()-ROW(Payslip_Lookup[#Headers])))</f>
        <v/>
      </c>
      <c r="AA57" s="176" t="str">
        <f aca="false">IF(INDEX(Salary_Calculation[Source Row],ROW()-ROW(Payslip_Lookup[#Headers]))="","",INDEX(Salary_Calculation[Negative Balance / Amount Due from Rider],ROW()-ROW(Payslip_Lookup[#Headers])))</f>
        <v/>
      </c>
      <c r="AB57" s="176" t="str">
        <f aca="false">IF(INDEX(Salary_Calculation[Source Row],ROW()-ROW(Payslip_Lookup[#Headers]))="","",INDEX(Salary_Calculation[Total Amount Due from Rider],ROW()-ROW(Payslip_Lookup[#Headers])))</f>
        <v/>
      </c>
      <c r="AC57" s="176" t="str">
        <f aca="false">IF(INDEX(Salary_Calculation[Source Row],ROW()-ROW(Payslip_Lookup[#Headers]))="","",INDEX(Salary_Calculation[Salary Before Other Deductions],ROW()-ROW(Payslip_Lookup[#Headers])))</f>
        <v/>
      </c>
      <c r="AD57" s="171" t="str">
        <f aca="false">IF(INDEX(Salary_Calculation[Source Row],ROW()-ROW(Payslip_Lookup[#Headers]))="","",INDEX(Salary_Calculation[Payment Status],ROW()-ROW(Payslip_Lookup[#Headers])))</f>
        <v/>
      </c>
      <c r="AE57" s="171" t="str">
        <f aca="false">IF(INDEX(Salary_Calculation[Source Row],ROW()-ROW(Payslip_Lookup[#Headers]))="","",INDEX(Salary_Calculation[Notes],ROW()-ROW(Payslip_Lookup[#Headers])))</f>
        <v/>
      </c>
      <c r="AF57" s="171" t="str">
        <f aca="false">IF(INDEX(Salary_Calculation[Source Row],ROW()-ROW(Payslip_Lookup[#Headers]))="","",INDEX(Salary_Calculation[Exception Reason],ROW()-ROW(Payslip_Lookup[#Headers])))</f>
        <v/>
      </c>
      <c r="AG57" s="173" t="str">
        <f aca="false">IF($AD57="Review Required",COUNTIF(AD$2:AD57,"Review Required"),"")</f>
        <v/>
      </c>
      <c r="AH57" s="173" t="str">
        <f aca="false">IF(AND($D57&lt;&gt;"",$B57=Payslip_Print!$C$2),MAX(AH$1:AH56)+1,"")</f>
        <v/>
      </c>
      <c r="AL57" s="178" t="str">
        <f aca="false">IFERROR(INDEX($D$2:$D$501,MATCH(ROW()-1,$AH$2:$AH$501,0)),"")</f>
        <v/>
      </c>
      <c r="AM57" s="179" t="str">
        <f aca="false">IF($Z57="","",IF(AND($C57&gt;=Dash_Start,$C57&lt;Dash_End),$Z57+ROW()/10000000,""))</f>
        <v/>
      </c>
    </row>
    <row r="58" customFormat="false" ht="14.25" hidden="false" customHeight="false" outlineLevel="0" collapsed="false">
      <c r="A58" s="171" t="str">
        <f aca="false">IF(Payslip_Lookup[[#This Row],[Rider ID]]="","",Payslip_Lookup[[#This Row],[Rider ID]]&amp;"|"&amp;Payslip_Lookup[[#This Row],[Month Key]])</f>
        <v/>
      </c>
      <c r="B58" s="172" t="str">
        <f aca="false">IF(ISNUMBER(Payslip_Lookup[[#This Row],[Salary Month]]),DATE(YEAR(Payslip_Lookup[[#This Row],[Salary Month]]),MONTH(Payslip_Lookup[[#This Row],[Salary Month]]),1),"")</f>
        <v/>
      </c>
      <c r="C58" s="172" t="str">
        <f aca="false">IF(INDEX(Salary_Calculation[Source Row],ROW()-ROW(Payslip_Lookup[#Headers]))="","",INDEX(Salary_Calculation[Salary Month],ROW()-ROW(Payslip_Lookup[#Headers])))</f>
        <v/>
      </c>
      <c r="D58" s="173" t="str">
        <f aca="false">IF(INDEX(Salary_Calculation[Source Row],ROW()-ROW(Payslip_Lookup[#Headers]))="","",INDEX(Salary_Calculation[Rider ID],ROW()-ROW(Payslip_Lookup[#Headers])))</f>
        <v/>
      </c>
      <c r="E58" s="171" t="str">
        <f aca="false">IF(INDEX(Salary_Calculation[Source Row],ROW()-ROW(Payslip_Lookup[#Headers]))="","",INDEX(Salary_Calculation[Rider Name],ROW()-ROW(Payslip_Lookup[#Headers])))</f>
        <v/>
      </c>
      <c r="F58" s="173" t="str">
        <f aca="false">IF(INDEX(Salary_Calculation[Source Row],ROW()-ROW(Payslip_Lookup[#Headers]))="","",INDEX(Salary_Calculation[Working Days],ROW()-ROW(Payslip_Lookup[#Headers])))</f>
        <v/>
      </c>
      <c r="G58" s="173" t="str">
        <f aca="false">IF(INDEX(Salary_Calculation[Source Row],ROW()-ROW(Payslip_Lookup[#Headers]))="","",INDEX(Salary_Calculation[Calendar Days],ROW()-ROW(Payslip_Lookup[#Headers])))</f>
        <v/>
      </c>
      <c r="H58" s="174" t="str">
        <f aca="false">IF(INDEX(Salary_Calculation[Source Row],ROW()-ROW(Payslip_Lookup[#Headers]))="","",INDEX(Salary_Calculation[Monthly Target Orders],ROW()-ROW(Payslip_Lookup[#Headers])))</f>
        <v/>
      </c>
      <c r="I58" s="174" t="str">
        <f aca="false">IF(INDEX(Salary_Calculation[Source Row],ROW()-ROW(Payslip_Lookup[#Headers]))="","",INDEX(Salary_Calculation[Rider Target Orders],ROW()-ROW(Payslip_Lookup[#Headers])))</f>
        <v/>
      </c>
      <c r="J58" s="175" t="str">
        <f aca="false">IF(INDEX(Salary_Calculation[Source Row],ROW()-ROW(Payslip_Lookup[#Headers]))="","",INDEX(Salary_Calculation[Completed Orders],ROW()-ROW(Payslip_Lookup[#Headers])))</f>
        <v/>
      </c>
      <c r="K58" s="174" t="str">
        <f aca="false">IF(INDEX(Salary_Calculation[Source Row],ROW()-ROW(Payslip_Lookup[#Headers]))="","",INDEX(Salary_Calculation[Base Order Rate],ROW()-ROW(Payslip_Lookup[#Headers])))</f>
        <v/>
      </c>
      <c r="L58" s="176" t="str">
        <f aca="false">IF(INDEX(Salary_Calculation[Source Row],ROW()-ROW(Payslip_Lookup[#Headers]))="","",INDEX(Salary_Calculation[Basic Payment],ROW()-ROW(Payslip_Lookup[#Headers])))</f>
        <v/>
      </c>
      <c r="M58" s="176" t="str">
        <f aca="false">IF(INDEX(Salary_Calculation[Source Row],ROW()-ROW(Payslip_Lookup[#Headers]))="","",INDEX(Salary_Calculation[Earned Salary],ROW()-ROW(Payslip_Lookup[#Headers])))</f>
        <v/>
      </c>
      <c r="N58" s="174" t="str">
        <f aca="false">IF(INDEX(Salary_Calculation[Source Row],ROW()-ROW(Payslip_Lookup[#Headers]))="","",INDEX(Salary_Calculation[Orders Counted at Base Rate],ROW()-ROW(Payslip_Lookup[#Headers])))</f>
        <v/>
      </c>
      <c r="O58" s="174" t="str">
        <f aca="false">IF(INDEX(Salary_Calculation[Source Row],ROW()-ROW(Payslip_Lookup[#Headers]))="","",INDEX(Salary_Calculation[Missing Orders],ROW()-ROW(Payslip_Lookup[#Headers])))</f>
        <v/>
      </c>
      <c r="P58" s="176" t="str">
        <f aca="false">IF(INDEX(Salary_Calculation[Source Row],ROW()-ROW(Payslip_Lookup[#Headers]))="","",INDEX(Salary_Calculation[Missing-Order Deduction],ROW()-ROW(Payslip_Lookup[#Headers])))</f>
        <v/>
      </c>
      <c r="Q58" s="174" t="str">
        <f aca="false">IF(INDEX(Salary_Calculation[Source Row],ROW()-ROW(Payslip_Lookup[#Headers]))="","",INDEX(Salary_Calculation[Extra Orders],ROW()-ROW(Payslip_Lookup[#Headers])))</f>
        <v/>
      </c>
      <c r="R58" s="176" t="str">
        <f aca="false">IF(INDEX(Salary_Calculation[Source Row],ROW()-ROW(Payslip_Lookup[#Headers]))="","",INDEX(Salary_Calculation[Extra-Order Bonus],ROW()-ROW(Payslip_Lookup[#Headers])))</f>
        <v/>
      </c>
      <c r="S58" s="176" t="str">
        <f aca="false">IF(INDEX(Salary_Calculation[Source Row],ROW()-ROW(Payslip_Lookup[#Headers]))="","",INDEX(Salary_Calculation[Basic Salary for Target],ROW()-ROW(Payslip_Lookup[#Headers])))</f>
        <v/>
      </c>
      <c r="T58" s="176" t="str">
        <f aca="false">IF(INDEX(Salary_Calculation[Source Row],ROW()-ROW(Payslip_Lookup[#Headers]))="","",INDEX(Salary_Calculation[Gross Salary Before Deductions],ROW()-ROW(Payslip_Lookup[#Headers])))</f>
        <v/>
      </c>
      <c r="U58" s="176" t="str">
        <f aca="false">IF(INDEX(Salary_Calculation[Source Row],ROW()-ROW(Payslip_Lookup[#Headers]))="","",INDEX(Salary_Calculation[missed_days_penalty],ROW()-ROW(Payslip_Lookup[#Headers])))</f>
        <v/>
      </c>
      <c r="V58" s="176" t="str">
        <f aca="false">IF(INDEX(Salary_Calculation[Source Row],ROW()-ROW(Payslip_Lookup[#Headers]))="","",INDEX(Salary_Calculation[Rider Balance],ROW()-ROW(Payslip_Lookup[#Headers])))</f>
        <v/>
      </c>
      <c r="W58" s="176" t="str">
        <f aca="false">IF(INDEX(Salary_Calculation[Source Row],ROW()-ROW(Payslip_Lookup[#Headers]))="","",INDEX(Salary_Calculation[stacking_deduction],ROW()-ROW(Payslip_Lookup[#Headers])))</f>
        <v/>
      </c>
      <c r="X58" s="176" t="str">
        <f aca="false">IF(INDEX(Salary_Calculation[Source Row],ROW()-ROW(Payslip_Lookup[#Headers]))="","",INDEX(Salary_Calculation[Other Deductions],ROW()-ROW(Payslip_Lookup[#Headers])))</f>
        <v/>
      </c>
      <c r="Y58" s="176" t="str">
        <f aca="false">IF(INDEX(Salary_Calculation[Source Row],ROW()-ROW(Payslip_Lookup[#Headers]))="","",INDEX(Salary_Calculation[Total Deductions],ROW()-ROW(Payslip_Lookup[#Headers])))</f>
        <v/>
      </c>
      <c r="Z58" s="176" t="str">
        <f aca="false">IF(INDEX(Salary_Calculation[Source Row],ROW()-ROW(Payslip_Lookup[#Headers]))="","",INDEX(Salary_Calculation[Final Salary],ROW()-ROW(Payslip_Lookup[#Headers])))</f>
        <v/>
      </c>
      <c r="AA58" s="176" t="str">
        <f aca="false">IF(INDEX(Salary_Calculation[Source Row],ROW()-ROW(Payslip_Lookup[#Headers]))="","",INDEX(Salary_Calculation[Negative Balance / Amount Due from Rider],ROW()-ROW(Payslip_Lookup[#Headers])))</f>
        <v/>
      </c>
      <c r="AB58" s="176" t="str">
        <f aca="false">IF(INDEX(Salary_Calculation[Source Row],ROW()-ROW(Payslip_Lookup[#Headers]))="","",INDEX(Salary_Calculation[Total Amount Due from Rider],ROW()-ROW(Payslip_Lookup[#Headers])))</f>
        <v/>
      </c>
      <c r="AC58" s="176" t="str">
        <f aca="false">IF(INDEX(Salary_Calculation[Source Row],ROW()-ROW(Payslip_Lookup[#Headers]))="","",INDEX(Salary_Calculation[Salary Before Other Deductions],ROW()-ROW(Payslip_Lookup[#Headers])))</f>
        <v/>
      </c>
      <c r="AD58" s="171" t="str">
        <f aca="false">IF(INDEX(Salary_Calculation[Source Row],ROW()-ROW(Payslip_Lookup[#Headers]))="","",INDEX(Salary_Calculation[Payment Status],ROW()-ROW(Payslip_Lookup[#Headers])))</f>
        <v/>
      </c>
      <c r="AE58" s="171" t="str">
        <f aca="false">IF(INDEX(Salary_Calculation[Source Row],ROW()-ROW(Payslip_Lookup[#Headers]))="","",INDEX(Salary_Calculation[Notes],ROW()-ROW(Payslip_Lookup[#Headers])))</f>
        <v/>
      </c>
      <c r="AF58" s="171" t="str">
        <f aca="false">IF(INDEX(Salary_Calculation[Source Row],ROW()-ROW(Payslip_Lookup[#Headers]))="","",INDEX(Salary_Calculation[Exception Reason],ROW()-ROW(Payslip_Lookup[#Headers])))</f>
        <v/>
      </c>
      <c r="AG58" s="173" t="str">
        <f aca="false">IF($AD58="Review Required",COUNTIF(AD$2:AD58,"Review Required"),"")</f>
        <v/>
      </c>
      <c r="AH58" s="173" t="str">
        <f aca="false">IF(AND($D58&lt;&gt;"",$B58=Payslip_Print!$C$2),MAX(AH$1:AH57)+1,"")</f>
        <v/>
      </c>
      <c r="AL58" s="178" t="str">
        <f aca="false">IFERROR(INDEX($D$2:$D$501,MATCH(ROW()-1,$AH$2:$AH$501,0)),"")</f>
        <v/>
      </c>
      <c r="AM58" s="179" t="str">
        <f aca="false">IF($Z58="","",IF(AND($C58&gt;=Dash_Start,$C58&lt;Dash_End),$Z58+ROW()/10000000,""))</f>
        <v/>
      </c>
    </row>
    <row r="59" customFormat="false" ht="14.25" hidden="false" customHeight="false" outlineLevel="0" collapsed="false">
      <c r="A59" s="171" t="str">
        <f aca="false">IF(Payslip_Lookup[[#This Row],[Rider ID]]="","",Payslip_Lookup[[#This Row],[Rider ID]]&amp;"|"&amp;Payslip_Lookup[[#This Row],[Month Key]])</f>
        <v/>
      </c>
      <c r="B59" s="172" t="str">
        <f aca="false">IF(ISNUMBER(Payslip_Lookup[[#This Row],[Salary Month]]),DATE(YEAR(Payslip_Lookup[[#This Row],[Salary Month]]),MONTH(Payslip_Lookup[[#This Row],[Salary Month]]),1),"")</f>
        <v/>
      </c>
      <c r="C59" s="172" t="str">
        <f aca="false">IF(INDEX(Salary_Calculation[Source Row],ROW()-ROW(Payslip_Lookup[#Headers]))="","",INDEX(Salary_Calculation[Salary Month],ROW()-ROW(Payslip_Lookup[#Headers])))</f>
        <v/>
      </c>
      <c r="D59" s="173" t="str">
        <f aca="false">IF(INDEX(Salary_Calculation[Source Row],ROW()-ROW(Payslip_Lookup[#Headers]))="","",INDEX(Salary_Calculation[Rider ID],ROW()-ROW(Payslip_Lookup[#Headers])))</f>
        <v/>
      </c>
      <c r="E59" s="171" t="str">
        <f aca="false">IF(INDEX(Salary_Calculation[Source Row],ROW()-ROW(Payslip_Lookup[#Headers]))="","",INDEX(Salary_Calculation[Rider Name],ROW()-ROW(Payslip_Lookup[#Headers])))</f>
        <v/>
      </c>
      <c r="F59" s="173" t="str">
        <f aca="false">IF(INDEX(Salary_Calculation[Source Row],ROW()-ROW(Payslip_Lookup[#Headers]))="","",INDEX(Salary_Calculation[Working Days],ROW()-ROW(Payslip_Lookup[#Headers])))</f>
        <v/>
      </c>
      <c r="G59" s="173" t="str">
        <f aca="false">IF(INDEX(Salary_Calculation[Source Row],ROW()-ROW(Payslip_Lookup[#Headers]))="","",INDEX(Salary_Calculation[Calendar Days],ROW()-ROW(Payslip_Lookup[#Headers])))</f>
        <v/>
      </c>
      <c r="H59" s="174" t="str">
        <f aca="false">IF(INDEX(Salary_Calculation[Source Row],ROW()-ROW(Payslip_Lookup[#Headers]))="","",INDEX(Salary_Calculation[Monthly Target Orders],ROW()-ROW(Payslip_Lookup[#Headers])))</f>
        <v/>
      </c>
      <c r="I59" s="174" t="str">
        <f aca="false">IF(INDEX(Salary_Calculation[Source Row],ROW()-ROW(Payslip_Lookup[#Headers]))="","",INDEX(Salary_Calculation[Rider Target Orders],ROW()-ROW(Payslip_Lookup[#Headers])))</f>
        <v/>
      </c>
      <c r="J59" s="175" t="str">
        <f aca="false">IF(INDEX(Salary_Calculation[Source Row],ROW()-ROW(Payslip_Lookup[#Headers]))="","",INDEX(Salary_Calculation[Completed Orders],ROW()-ROW(Payslip_Lookup[#Headers])))</f>
        <v/>
      </c>
      <c r="K59" s="174" t="str">
        <f aca="false">IF(INDEX(Salary_Calculation[Source Row],ROW()-ROW(Payslip_Lookup[#Headers]))="","",INDEX(Salary_Calculation[Base Order Rate],ROW()-ROW(Payslip_Lookup[#Headers])))</f>
        <v/>
      </c>
      <c r="L59" s="176" t="str">
        <f aca="false">IF(INDEX(Salary_Calculation[Source Row],ROW()-ROW(Payslip_Lookup[#Headers]))="","",INDEX(Salary_Calculation[Basic Payment],ROW()-ROW(Payslip_Lookup[#Headers])))</f>
        <v/>
      </c>
      <c r="M59" s="176" t="str">
        <f aca="false">IF(INDEX(Salary_Calculation[Source Row],ROW()-ROW(Payslip_Lookup[#Headers]))="","",INDEX(Salary_Calculation[Earned Salary],ROW()-ROW(Payslip_Lookup[#Headers])))</f>
        <v/>
      </c>
      <c r="N59" s="174" t="str">
        <f aca="false">IF(INDEX(Salary_Calculation[Source Row],ROW()-ROW(Payslip_Lookup[#Headers]))="","",INDEX(Salary_Calculation[Orders Counted at Base Rate],ROW()-ROW(Payslip_Lookup[#Headers])))</f>
        <v/>
      </c>
      <c r="O59" s="174" t="str">
        <f aca="false">IF(INDEX(Salary_Calculation[Source Row],ROW()-ROW(Payslip_Lookup[#Headers]))="","",INDEX(Salary_Calculation[Missing Orders],ROW()-ROW(Payslip_Lookup[#Headers])))</f>
        <v/>
      </c>
      <c r="P59" s="176" t="str">
        <f aca="false">IF(INDEX(Salary_Calculation[Source Row],ROW()-ROW(Payslip_Lookup[#Headers]))="","",INDEX(Salary_Calculation[Missing-Order Deduction],ROW()-ROW(Payslip_Lookup[#Headers])))</f>
        <v/>
      </c>
      <c r="Q59" s="174" t="str">
        <f aca="false">IF(INDEX(Salary_Calculation[Source Row],ROW()-ROW(Payslip_Lookup[#Headers]))="","",INDEX(Salary_Calculation[Extra Orders],ROW()-ROW(Payslip_Lookup[#Headers])))</f>
        <v/>
      </c>
      <c r="R59" s="176" t="str">
        <f aca="false">IF(INDEX(Salary_Calculation[Source Row],ROW()-ROW(Payslip_Lookup[#Headers]))="","",INDEX(Salary_Calculation[Extra-Order Bonus],ROW()-ROW(Payslip_Lookup[#Headers])))</f>
        <v/>
      </c>
      <c r="S59" s="176" t="str">
        <f aca="false">IF(INDEX(Salary_Calculation[Source Row],ROW()-ROW(Payslip_Lookup[#Headers]))="","",INDEX(Salary_Calculation[Basic Salary for Target],ROW()-ROW(Payslip_Lookup[#Headers])))</f>
        <v/>
      </c>
      <c r="T59" s="176" t="str">
        <f aca="false">IF(INDEX(Salary_Calculation[Source Row],ROW()-ROW(Payslip_Lookup[#Headers]))="","",INDEX(Salary_Calculation[Gross Salary Before Deductions],ROW()-ROW(Payslip_Lookup[#Headers])))</f>
        <v/>
      </c>
      <c r="U59" s="176" t="str">
        <f aca="false">IF(INDEX(Salary_Calculation[Source Row],ROW()-ROW(Payslip_Lookup[#Headers]))="","",INDEX(Salary_Calculation[missed_days_penalty],ROW()-ROW(Payslip_Lookup[#Headers])))</f>
        <v/>
      </c>
      <c r="V59" s="176" t="str">
        <f aca="false">IF(INDEX(Salary_Calculation[Source Row],ROW()-ROW(Payslip_Lookup[#Headers]))="","",INDEX(Salary_Calculation[Rider Balance],ROW()-ROW(Payslip_Lookup[#Headers])))</f>
        <v/>
      </c>
      <c r="W59" s="176" t="str">
        <f aca="false">IF(INDEX(Salary_Calculation[Source Row],ROW()-ROW(Payslip_Lookup[#Headers]))="","",INDEX(Salary_Calculation[stacking_deduction],ROW()-ROW(Payslip_Lookup[#Headers])))</f>
        <v/>
      </c>
      <c r="X59" s="176" t="str">
        <f aca="false">IF(INDEX(Salary_Calculation[Source Row],ROW()-ROW(Payslip_Lookup[#Headers]))="","",INDEX(Salary_Calculation[Other Deductions],ROW()-ROW(Payslip_Lookup[#Headers])))</f>
        <v/>
      </c>
      <c r="Y59" s="176" t="str">
        <f aca="false">IF(INDEX(Salary_Calculation[Source Row],ROW()-ROW(Payslip_Lookup[#Headers]))="","",INDEX(Salary_Calculation[Total Deductions],ROW()-ROW(Payslip_Lookup[#Headers])))</f>
        <v/>
      </c>
      <c r="Z59" s="176" t="str">
        <f aca="false">IF(INDEX(Salary_Calculation[Source Row],ROW()-ROW(Payslip_Lookup[#Headers]))="","",INDEX(Salary_Calculation[Final Salary],ROW()-ROW(Payslip_Lookup[#Headers])))</f>
        <v/>
      </c>
      <c r="AA59" s="176" t="str">
        <f aca="false">IF(INDEX(Salary_Calculation[Source Row],ROW()-ROW(Payslip_Lookup[#Headers]))="","",INDEX(Salary_Calculation[Negative Balance / Amount Due from Rider],ROW()-ROW(Payslip_Lookup[#Headers])))</f>
        <v/>
      </c>
      <c r="AB59" s="176" t="str">
        <f aca="false">IF(INDEX(Salary_Calculation[Source Row],ROW()-ROW(Payslip_Lookup[#Headers]))="","",INDEX(Salary_Calculation[Total Amount Due from Rider],ROW()-ROW(Payslip_Lookup[#Headers])))</f>
        <v/>
      </c>
      <c r="AC59" s="176" t="str">
        <f aca="false">IF(INDEX(Salary_Calculation[Source Row],ROW()-ROW(Payslip_Lookup[#Headers]))="","",INDEX(Salary_Calculation[Salary Before Other Deductions],ROW()-ROW(Payslip_Lookup[#Headers])))</f>
        <v/>
      </c>
      <c r="AD59" s="171" t="str">
        <f aca="false">IF(INDEX(Salary_Calculation[Source Row],ROW()-ROW(Payslip_Lookup[#Headers]))="","",INDEX(Salary_Calculation[Payment Status],ROW()-ROW(Payslip_Lookup[#Headers])))</f>
        <v/>
      </c>
      <c r="AE59" s="171" t="str">
        <f aca="false">IF(INDEX(Salary_Calculation[Source Row],ROW()-ROW(Payslip_Lookup[#Headers]))="","",INDEX(Salary_Calculation[Notes],ROW()-ROW(Payslip_Lookup[#Headers])))</f>
        <v/>
      </c>
      <c r="AF59" s="171" t="str">
        <f aca="false">IF(INDEX(Salary_Calculation[Source Row],ROW()-ROW(Payslip_Lookup[#Headers]))="","",INDEX(Salary_Calculation[Exception Reason],ROW()-ROW(Payslip_Lookup[#Headers])))</f>
        <v/>
      </c>
      <c r="AG59" s="173" t="str">
        <f aca="false">IF($AD59="Review Required",COUNTIF(AD$2:AD59,"Review Required"),"")</f>
        <v/>
      </c>
      <c r="AH59" s="173" t="str">
        <f aca="false">IF(AND($D59&lt;&gt;"",$B59=Payslip_Print!$C$2),MAX(AH$1:AH58)+1,"")</f>
        <v/>
      </c>
      <c r="AL59" s="178" t="str">
        <f aca="false">IFERROR(INDEX($D$2:$D$501,MATCH(ROW()-1,$AH$2:$AH$501,0)),"")</f>
        <v/>
      </c>
      <c r="AM59" s="179" t="str">
        <f aca="false">IF($Z59="","",IF(AND($C59&gt;=Dash_Start,$C59&lt;Dash_End),$Z59+ROW()/10000000,""))</f>
        <v/>
      </c>
    </row>
    <row r="60" customFormat="false" ht="14.25" hidden="false" customHeight="false" outlineLevel="0" collapsed="false">
      <c r="A60" s="171" t="str">
        <f aca="false">IF(Payslip_Lookup[[#This Row],[Rider ID]]="","",Payslip_Lookup[[#This Row],[Rider ID]]&amp;"|"&amp;Payslip_Lookup[[#This Row],[Month Key]])</f>
        <v/>
      </c>
      <c r="B60" s="172" t="str">
        <f aca="false">IF(ISNUMBER(Payslip_Lookup[[#This Row],[Salary Month]]),DATE(YEAR(Payslip_Lookup[[#This Row],[Salary Month]]),MONTH(Payslip_Lookup[[#This Row],[Salary Month]]),1),"")</f>
        <v/>
      </c>
      <c r="C60" s="172" t="str">
        <f aca="false">IF(INDEX(Salary_Calculation[Source Row],ROW()-ROW(Payslip_Lookup[#Headers]))="","",INDEX(Salary_Calculation[Salary Month],ROW()-ROW(Payslip_Lookup[#Headers])))</f>
        <v/>
      </c>
      <c r="D60" s="173" t="str">
        <f aca="false">IF(INDEX(Salary_Calculation[Source Row],ROW()-ROW(Payslip_Lookup[#Headers]))="","",INDEX(Salary_Calculation[Rider ID],ROW()-ROW(Payslip_Lookup[#Headers])))</f>
        <v/>
      </c>
      <c r="E60" s="171" t="str">
        <f aca="false">IF(INDEX(Salary_Calculation[Source Row],ROW()-ROW(Payslip_Lookup[#Headers]))="","",INDEX(Salary_Calculation[Rider Name],ROW()-ROW(Payslip_Lookup[#Headers])))</f>
        <v/>
      </c>
      <c r="F60" s="173" t="str">
        <f aca="false">IF(INDEX(Salary_Calculation[Source Row],ROW()-ROW(Payslip_Lookup[#Headers]))="","",INDEX(Salary_Calculation[Working Days],ROW()-ROW(Payslip_Lookup[#Headers])))</f>
        <v/>
      </c>
      <c r="G60" s="173" t="str">
        <f aca="false">IF(INDEX(Salary_Calculation[Source Row],ROW()-ROW(Payslip_Lookup[#Headers]))="","",INDEX(Salary_Calculation[Calendar Days],ROW()-ROW(Payslip_Lookup[#Headers])))</f>
        <v/>
      </c>
      <c r="H60" s="174" t="str">
        <f aca="false">IF(INDEX(Salary_Calculation[Source Row],ROW()-ROW(Payslip_Lookup[#Headers]))="","",INDEX(Salary_Calculation[Monthly Target Orders],ROW()-ROW(Payslip_Lookup[#Headers])))</f>
        <v/>
      </c>
      <c r="I60" s="174" t="str">
        <f aca="false">IF(INDEX(Salary_Calculation[Source Row],ROW()-ROW(Payslip_Lookup[#Headers]))="","",INDEX(Salary_Calculation[Rider Target Orders],ROW()-ROW(Payslip_Lookup[#Headers])))</f>
        <v/>
      </c>
      <c r="J60" s="175" t="str">
        <f aca="false">IF(INDEX(Salary_Calculation[Source Row],ROW()-ROW(Payslip_Lookup[#Headers]))="","",INDEX(Salary_Calculation[Completed Orders],ROW()-ROW(Payslip_Lookup[#Headers])))</f>
        <v/>
      </c>
      <c r="K60" s="174" t="str">
        <f aca="false">IF(INDEX(Salary_Calculation[Source Row],ROW()-ROW(Payslip_Lookup[#Headers]))="","",INDEX(Salary_Calculation[Base Order Rate],ROW()-ROW(Payslip_Lookup[#Headers])))</f>
        <v/>
      </c>
      <c r="L60" s="176" t="str">
        <f aca="false">IF(INDEX(Salary_Calculation[Source Row],ROW()-ROW(Payslip_Lookup[#Headers]))="","",INDEX(Salary_Calculation[Basic Payment],ROW()-ROW(Payslip_Lookup[#Headers])))</f>
        <v/>
      </c>
      <c r="M60" s="176" t="str">
        <f aca="false">IF(INDEX(Salary_Calculation[Source Row],ROW()-ROW(Payslip_Lookup[#Headers]))="","",INDEX(Salary_Calculation[Earned Salary],ROW()-ROW(Payslip_Lookup[#Headers])))</f>
        <v/>
      </c>
      <c r="N60" s="174" t="str">
        <f aca="false">IF(INDEX(Salary_Calculation[Source Row],ROW()-ROW(Payslip_Lookup[#Headers]))="","",INDEX(Salary_Calculation[Orders Counted at Base Rate],ROW()-ROW(Payslip_Lookup[#Headers])))</f>
        <v/>
      </c>
      <c r="O60" s="174" t="str">
        <f aca="false">IF(INDEX(Salary_Calculation[Source Row],ROW()-ROW(Payslip_Lookup[#Headers]))="","",INDEX(Salary_Calculation[Missing Orders],ROW()-ROW(Payslip_Lookup[#Headers])))</f>
        <v/>
      </c>
      <c r="P60" s="176" t="str">
        <f aca="false">IF(INDEX(Salary_Calculation[Source Row],ROW()-ROW(Payslip_Lookup[#Headers]))="","",INDEX(Salary_Calculation[Missing-Order Deduction],ROW()-ROW(Payslip_Lookup[#Headers])))</f>
        <v/>
      </c>
      <c r="Q60" s="174" t="str">
        <f aca="false">IF(INDEX(Salary_Calculation[Source Row],ROW()-ROW(Payslip_Lookup[#Headers]))="","",INDEX(Salary_Calculation[Extra Orders],ROW()-ROW(Payslip_Lookup[#Headers])))</f>
        <v/>
      </c>
      <c r="R60" s="176" t="str">
        <f aca="false">IF(INDEX(Salary_Calculation[Source Row],ROW()-ROW(Payslip_Lookup[#Headers]))="","",INDEX(Salary_Calculation[Extra-Order Bonus],ROW()-ROW(Payslip_Lookup[#Headers])))</f>
        <v/>
      </c>
      <c r="S60" s="176" t="str">
        <f aca="false">IF(INDEX(Salary_Calculation[Source Row],ROW()-ROW(Payslip_Lookup[#Headers]))="","",INDEX(Salary_Calculation[Basic Salary for Target],ROW()-ROW(Payslip_Lookup[#Headers])))</f>
        <v/>
      </c>
      <c r="T60" s="176" t="str">
        <f aca="false">IF(INDEX(Salary_Calculation[Source Row],ROW()-ROW(Payslip_Lookup[#Headers]))="","",INDEX(Salary_Calculation[Gross Salary Before Deductions],ROW()-ROW(Payslip_Lookup[#Headers])))</f>
        <v/>
      </c>
      <c r="U60" s="176" t="str">
        <f aca="false">IF(INDEX(Salary_Calculation[Source Row],ROW()-ROW(Payslip_Lookup[#Headers]))="","",INDEX(Salary_Calculation[missed_days_penalty],ROW()-ROW(Payslip_Lookup[#Headers])))</f>
        <v/>
      </c>
      <c r="V60" s="176" t="str">
        <f aca="false">IF(INDEX(Salary_Calculation[Source Row],ROW()-ROW(Payslip_Lookup[#Headers]))="","",INDEX(Salary_Calculation[Rider Balance],ROW()-ROW(Payslip_Lookup[#Headers])))</f>
        <v/>
      </c>
      <c r="W60" s="176" t="str">
        <f aca="false">IF(INDEX(Salary_Calculation[Source Row],ROW()-ROW(Payslip_Lookup[#Headers]))="","",INDEX(Salary_Calculation[stacking_deduction],ROW()-ROW(Payslip_Lookup[#Headers])))</f>
        <v/>
      </c>
      <c r="X60" s="176" t="str">
        <f aca="false">IF(INDEX(Salary_Calculation[Source Row],ROW()-ROW(Payslip_Lookup[#Headers]))="","",INDEX(Salary_Calculation[Other Deductions],ROW()-ROW(Payslip_Lookup[#Headers])))</f>
        <v/>
      </c>
      <c r="Y60" s="176" t="str">
        <f aca="false">IF(INDEX(Salary_Calculation[Source Row],ROW()-ROW(Payslip_Lookup[#Headers]))="","",INDEX(Salary_Calculation[Total Deductions],ROW()-ROW(Payslip_Lookup[#Headers])))</f>
        <v/>
      </c>
      <c r="Z60" s="176" t="str">
        <f aca="false">IF(INDEX(Salary_Calculation[Source Row],ROW()-ROW(Payslip_Lookup[#Headers]))="","",INDEX(Salary_Calculation[Final Salary],ROW()-ROW(Payslip_Lookup[#Headers])))</f>
        <v/>
      </c>
      <c r="AA60" s="176" t="str">
        <f aca="false">IF(INDEX(Salary_Calculation[Source Row],ROW()-ROW(Payslip_Lookup[#Headers]))="","",INDEX(Salary_Calculation[Negative Balance / Amount Due from Rider],ROW()-ROW(Payslip_Lookup[#Headers])))</f>
        <v/>
      </c>
      <c r="AB60" s="176" t="str">
        <f aca="false">IF(INDEX(Salary_Calculation[Source Row],ROW()-ROW(Payslip_Lookup[#Headers]))="","",INDEX(Salary_Calculation[Total Amount Due from Rider],ROW()-ROW(Payslip_Lookup[#Headers])))</f>
        <v/>
      </c>
      <c r="AC60" s="176" t="str">
        <f aca="false">IF(INDEX(Salary_Calculation[Source Row],ROW()-ROW(Payslip_Lookup[#Headers]))="","",INDEX(Salary_Calculation[Salary Before Other Deductions],ROW()-ROW(Payslip_Lookup[#Headers])))</f>
        <v/>
      </c>
      <c r="AD60" s="171" t="str">
        <f aca="false">IF(INDEX(Salary_Calculation[Source Row],ROW()-ROW(Payslip_Lookup[#Headers]))="","",INDEX(Salary_Calculation[Payment Status],ROW()-ROW(Payslip_Lookup[#Headers])))</f>
        <v/>
      </c>
      <c r="AE60" s="171" t="str">
        <f aca="false">IF(INDEX(Salary_Calculation[Source Row],ROW()-ROW(Payslip_Lookup[#Headers]))="","",INDEX(Salary_Calculation[Notes],ROW()-ROW(Payslip_Lookup[#Headers])))</f>
        <v/>
      </c>
      <c r="AF60" s="171" t="str">
        <f aca="false">IF(INDEX(Salary_Calculation[Source Row],ROW()-ROW(Payslip_Lookup[#Headers]))="","",INDEX(Salary_Calculation[Exception Reason],ROW()-ROW(Payslip_Lookup[#Headers])))</f>
        <v/>
      </c>
      <c r="AG60" s="173" t="str">
        <f aca="false">IF($AD60="Review Required",COUNTIF(AD$2:AD60,"Review Required"),"")</f>
        <v/>
      </c>
      <c r="AH60" s="173" t="str">
        <f aca="false">IF(AND($D60&lt;&gt;"",$B60=Payslip_Print!$C$2),MAX(AH$1:AH59)+1,"")</f>
        <v/>
      </c>
      <c r="AL60" s="178" t="str">
        <f aca="false">IFERROR(INDEX($D$2:$D$501,MATCH(ROW()-1,$AH$2:$AH$501,0)),"")</f>
        <v/>
      </c>
      <c r="AM60" s="179" t="str">
        <f aca="false">IF($Z60="","",IF(AND($C60&gt;=Dash_Start,$C60&lt;Dash_End),$Z60+ROW()/10000000,""))</f>
        <v/>
      </c>
    </row>
    <row r="61" customFormat="false" ht="14.25" hidden="false" customHeight="false" outlineLevel="0" collapsed="false">
      <c r="A61" s="171" t="str">
        <f aca="false">IF(Payslip_Lookup[[#This Row],[Rider ID]]="","",Payslip_Lookup[[#This Row],[Rider ID]]&amp;"|"&amp;Payslip_Lookup[[#This Row],[Month Key]])</f>
        <v/>
      </c>
      <c r="B61" s="172" t="str">
        <f aca="false">IF(ISNUMBER(Payslip_Lookup[[#This Row],[Salary Month]]),DATE(YEAR(Payslip_Lookup[[#This Row],[Salary Month]]),MONTH(Payslip_Lookup[[#This Row],[Salary Month]]),1),"")</f>
        <v/>
      </c>
      <c r="C61" s="172" t="str">
        <f aca="false">IF(INDEX(Salary_Calculation[Source Row],ROW()-ROW(Payslip_Lookup[#Headers]))="","",INDEX(Salary_Calculation[Salary Month],ROW()-ROW(Payslip_Lookup[#Headers])))</f>
        <v/>
      </c>
      <c r="D61" s="173" t="str">
        <f aca="false">IF(INDEX(Salary_Calculation[Source Row],ROW()-ROW(Payslip_Lookup[#Headers]))="","",INDEX(Salary_Calculation[Rider ID],ROW()-ROW(Payslip_Lookup[#Headers])))</f>
        <v/>
      </c>
      <c r="E61" s="171" t="str">
        <f aca="false">IF(INDEX(Salary_Calculation[Source Row],ROW()-ROW(Payslip_Lookup[#Headers]))="","",INDEX(Salary_Calculation[Rider Name],ROW()-ROW(Payslip_Lookup[#Headers])))</f>
        <v/>
      </c>
      <c r="F61" s="173" t="str">
        <f aca="false">IF(INDEX(Salary_Calculation[Source Row],ROW()-ROW(Payslip_Lookup[#Headers]))="","",INDEX(Salary_Calculation[Working Days],ROW()-ROW(Payslip_Lookup[#Headers])))</f>
        <v/>
      </c>
      <c r="G61" s="173" t="str">
        <f aca="false">IF(INDEX(Salary_Calculation[Source Row],ROW()-ROW(Payslip_Lookup[#Headers]))="","",INDEX(Salary_Calculation[Calendar Days],ROW()-ROW(Payslip_Lookup[#Headers])))</f>
        <v/>
      </c>
      <c r="H61" s="174" t="str">
        <f aca="false">IF(INDEX(Salary_Calculation[Source Row],ROW()-ROW(Payslip_Lookup[#Headers]))="","",INDEX(Salary_Calculation[Monthly Target Orders],ROW()-ROW(Payslip_Lookup[#Headers])))</f>
        <v/>
      </c>
      <c r="I61" s="174" t="str">
        <f aca="false">IF(INDEX(Salary_Calculation[Source Row],ROW()-ROW(Payslip_Lookup[#Headers]))="","",INDEX(Salary_Calculation[Rider Target Orders],ROW()-ROW(Payslip_Lookup[#Headers])))</f>
        <v/>
      </c>
      <c r="J61" s="175" t="str">
        <f aca="false">IF(INDEX(Salary_Calculation[Source Row],ROW()-ROW(Payslip_Lookup[#Headers]))="","",INDEX(Salary_Calculation[Completed Orders],ROW()-ROW(Payslip_Lookup[#Headers])))</f>
        <v/>
      </c>
      <c r="K61" s="174" t="str">
        <f aca="false">IF(INDEX(Salary_Calculation[Source Row],ROW()-ROW(Payslip_Lookup[#Headers]))="","",INDEX(Salary_Calculation[Base Order Rate],ROW()-ROW(Payslip_Lookup[#Headers])))</f>
        <v/>
      </c>
      <c r="L61" s="176" t="str">
        <f aca="false">IF(INDEX(Salary_Calculation[Source Row],ROW()-ROW(Payslip_Lookup[#Headers]))="","",INDEX(Salary_Calculation[Basic Payment],ROW()-ROW(Payslip_Lookup[#Headers])))</f>
        <v/>
      </c>
      <c r="M61" s="176" t="str">
        <f aca="false">IF(INDEX(Salary_Calculation[Source Row],ROW()-ROW(Payslip_Lookup[#Headers]))="","",INDEX(Salary_Calculation[Earned Salary],ROW()-ROW(Payslip_Lookup[#Headers])))</f>
        <v/>
      </c>
      <c r="N61" s="174" t="str">
        <f aca="false">IF(INDEX(Salary_Calculation[Source Row],ROW()-ROW(Payslip_Lookup[#Headers]))="","",INDEX(Salary_Calculation[Orders Counted at Base Rate],ROW()-ROW(Payslip_Lookup[#Headers])))</f>
        <v/>
      </c>
      <c r="O61" s="174" t="str">
        <f aca="false">IF(INDEX(Salary_Calculation[Source Row],ROW()-ROW(Payslip_Lookup[#Headers]))="","",INDEX(Salary_Calculation[Missing Orders],ROW()-ROW(Payslip_Lookup[#Headers])))</f>
        <v/>
      </c>
      <c r="P61" s="176" t="str">
        <f aca="false">IF(INDEX(Salary_Calculation[Source Row],ROW()-ROW(Payslip_Lookup[#Headers]))="","",INDEX(Salary_Calculation[Missing-Order Deduction],ROW()-ROW(Payslip_Lookup[#Headers])))</f>
        <v/>
      </c>
      <c r="Q61" s="174" t="str">
        <f aca="false">IF(INDEX(Salary_Calculation[Source Row],ROW()-ROW(Payslip_Lookup[#Headers]))="","",INDEX(Salary_Calculation[Extra Orders],ROW()-ROW(Payslip_Lookup[#Headers])))</f>
        <v/>
      </c>
      <c r="R61" s="176" t="str">
        <f aca="false">IF(INDEX(Salary_Calculation[Source Row],ROW()-ROW(Payslip_Lookup[#Headers]))="","",INDEX(Salary_Calculation[Extra-Order Bonus],ROW()-ROW(Payslip_Lookup[#Headers])))</f>
        <v/>
      </c>
      <c r="S61" s="176" t="str">
        <f aca="false">IF(INDEX(Salary_Calculation[Source Row],ROW()-ROW(Payslip_Lookup[#Headers]))="","",INDEX(Salary_Calculation[Basic Salary for Target],ROW()-ROW(Payslip_Lookup[#Headers])))</f>
        <v/>
      </c>
      <c r="T61" s="176" t="str">
        <f aca="false">IF(INDEX(Salary_Calculation[Source Row],ROW()-ROW(Payslip_Lookup[#Headers]))="","",INDEX(Salary_Calculation[Gross Salary Before Deductions],ROW()-ROW(Payslip_Lookup[#Headers])))</f>
        <v/>
      </c>
      <c r="U61" s="176" t="str">
        <f aca="false">IF(INDEX(Salary_Calculation[Source Row],ROW()-ROW(Payslip_Lookup[#Headers]))="","",INDEX(Salary_Calculation[missed_days_penalty],ROW()-ROW(Payslip_Lookup[#Headers])))</f>
        <v/>
      </c>
      <c r="V61" s="176" t="str">
        <f aca="false">IF(INDEX(Salary_Calculation[Source Row],ROW()-ROW(Payslip_Lookup[#Headers]))="","",INDEX(Salary_Calculation[Rider Balance],ROW()-ROW(Payslip_Lookup[#Headers])))</f>
        <v/>
      </c>
      <c r="W61" s="176" t="str">
        <f aca="false">IF(INDEX(Salary_Calculation[Source Row],ROW()-ROW(Payslip_Lookup[#Headers]))="","",INDEX(Salary_Calculation[stacking_deduction],ROW()-ROW(Payslip_Lookup[#Headers])))</f>
        <v/>
      </c>
      <c r="X61" s="176" t="str">
        <f aca="false">IF(INDEX(Salary_Calculation[Source Row],ROW()-ROW(Payslip_Lookup[#Headers]))="","",INDEX(Salary_Calculation[Other Deductions],ROW()-ROW(Payslip_Lookup[#Headers])))</f>
        <v/>
      </c>
      <c r="Y61" s="176" t="str">
        <f aca="false">IF(INDEX(Salary_Calculation[Source Row],ROW()-ROW(Payslip_Lookup[#Headers]))="","",INDEX(Salary_Calculation[Total Deductions],ROW()-ROW(Payslip_Lookup[#Headers])))</f>
        <v/>
      </c>
      <c r="Z61" s="176" t="str">
        <f aca="false">IF(INDEX(Salary_Calculation[Source Row],ROW()-ROW(Payslip_Lookup[#Headers]))="","",INDEX(Salary_Calculation[Final Salary],ROW()-ROW(Payslip_Lookup[#Headers])))</f>
        <v/>
      </c>
      <c r="AA61" s="176" t="str">
        <f aca="false">IF(INDEX(Salary_Calculation[Source Row],ROW()-ROW(Payslip_Lookup[#Headers]))="","",INDEX(Salary_Calculation[Negative Balance / Amount Due from Rider],ROW()-ROW(Payslip_Lookup[#Headers])))</f>
        <v/>
      </c>
      <c r="AB61" s="176" t="str">
        <f aca="false">IF(INDEX(Salary_Calculation[Source Row],ROW()-ROW(Payslip_Lookup[#Headers]))="","",INDEX(Salary_Calculation[Total Amount Due from Rider],ROW()-ROW(Payslip_Lookup[#Headers])))</f>
        <v/>
      </c>
      <c r="AC61" s="176" t="str">
        <f aca="false">IF(INDEX(Salary_Calculation[Source Row],ROW()-ROW(Payslip_Lookup[#Headers]))="","",INDEX(Salary_Calculation[Salary Before Other Deductions],ROW()-ROW(Payslip_Lookup[#Headers])))</f>
        <v/>
      </c>
      <c r="AD61" s="171" t="str">
        <f aca="false">IF(INDEX(Salary_Calculation[Source Row],ROW()-ROW(Payslip_Lookup[#Headers]))="","",INDEX(Salary_Calculation[Payment Status],ROW()-ROW(Payslip_Lookup[#Headers])))</f>
        <v/>
      </c>
      <c r="AE61" s="171" t="str">
        <f aca="false">IF(INDEX(Salary_Calculation[Source Row],ROW()-ROW(Payslip_Lookup[#Headers]))="","",INDEX(Salary_Calculation[Notes],ROW()-ROW(Payslip_Lookup[#Headers])))</f>
        <v/>
      </c>
      <c r="AF61" s="171" t="str">
        <f aca="false">IF(INDEX(Salary_Calculation[Source Row],ROW()-ROW(Payslip_Lookup[#Headers]))="","",INDEX(Salary_Calculation[Exception Reason],ROW()-ROW(Payslip_Lookup[#Headers])))</f>
        <v/>
      </c>
      <c r="AG61" s="173" t="str">
        <f aca="false">IF($AD61="Review Required",COUNTIF(AD$2:AD61,"Review Required"),"")</f>
        <v/>
      </c>
      <c r="AH61" s="173" t="str">
        <f aca="false">IF(AND($D61&lt;&gt;"",$B61=Payslip_Print!$C$2),MAX(AH$1:AH60)+1,"")</f>
        <v/>
      </c>
      <c r="AL61" s="178" t="str">
        <f aca="false">IFERROR(INDEX($D$2:$D$501,MATCH(ROW()-1,$AH$2:$AH$501,0)),"")</f>
        <v/>
      </c>
      <c r="AM61" s="179" t="str">
        <f aca="false">IF($Z61="","",IF(AND($C61&gt;=Dash_Start,$C61&lt;Dash_End),$Z61+ROW()/10000000,""))</f>
        <v/>
      </c>
    </row>
    <row r="62" customFormat="false" ht="14.25" hidden="false" customHeight="false" outlineLevel="0" collapsed="false">
      <c r="A62" s="171" t="str">
        <f aca="false">IF(Payslip_Lookup[[#This Row],[Rider ID]]="","",Payslip_Lookup[[#This Row],[Rider ID]]&amp;"|"&amp;Payslip_Lookup[[#This Row],[Month Key]])</f>
        <v/>
      </c>
      <c r="B62" s="172" t="str">
        <f aca="false">IF(ISNUMBER(Payslip_Lookup[[#This Row],[Salary Month]]),DATE(YEAR(Payslip_Lookup[[#This Row],[Salary Month]]),MONTH(Payslip_Lookup[[#This Row],[Salary Month]]),1),"")</f>
        <v/>
      </c>
      <c r="C62" s="172" t="str">
        <f aca="false">IF(INDEX(Salary_Calculation[Source Row],ROW()-ROW(Payslip_Lookup[#Headers]))="","",INDEX(Salary_Calculation[Salary Month],ROW()-ROW(Payslip_Lookup[#Headers])))</f>
        <v/>
      </c>
      <c r="D62" s="173" t="str">
        <f aca="false">IF(INDEX(Salary_Calculation[Source Row],ROW()-ROW(Payslip_Lookup[#Headers]))="","",INDEX(Salary_Calculation[Rider ID],ROW()-ROW(Payslip_Lookup[#Headers])))</f>
        <v/>
      </c>
      <c r="E62" s="171" t="str">
        <f aca="false">IF(INDEX(Salary_Calculation[Source Row],ROW()-ROW(Payslip_Lookup[#Headers]))="","",INDEX(Salary_Calculation[Rider Name],ROW()-ROW(Payslip_Lookup[#Headers])))</f>
        <v/>
      </c>
      <c r="F62" s="173" t="str">
        <f aca="false">IF(INDEX(Salary_Calculation[Source Row],ROW()-ROW(Payslip_Lookup[#Headers]))="","",INDEX(Salary_Calculation[Working Days],ROW()-ROW(Payslip_Lookup[#Headers])))</f>
        <v/>
      </c>
      <c r="G62" s="173" t="str">
        <f aca="false">IF(INDEX(Salary_Calculation[Source Row],ROW()-ROW(Payslip_Lookup[#Headers]))="","",INDEX(Salary_Calculation[Calendar Days],ROW()-ROW(Payslip_Lookup[#Headers])))</f>
        <v/>
      </c>
      <c r="H62" s="174" t="str">
        <f aca="false">IF(INDEX(Salary_Calculation[Source Row],ROW()-ROW(Payslip_Lookup[#Headers]))="","",INDEX(Salary_Calculation[Monthly Target Orders],ROW()-ROW(Payslip_Lookup[#Headers])))</f>
        <v/>
      </c>
      <c r="I62" s="174" t="str">
        <f aca="false">IF(INDEX(Salary_Calculation[Source Row],ROW()-ROW(Payslip_Lookup[#Headers]))="","",INDEX(Salary_Calculation[Rider Target Orders],ROW()-ROW(Payslip_Lookup[#Headers])))</f>
        <v/>
      </c>
      <c r="J62" s="175" t="str">
        <f aca="false">IF(INDEX(Salary_Calculation[Source Row],ROW()-ROW(Payslip_Lookup[#Headers]))="","",INDEX(Salary_Calculation[Completed Orders],ROW()-ROW(Payslip_Lookup[#Headers])))</f>
        <v/>
      </c>
      <c r="K62" s="174" t="str">
        <f aca="false">IF(INDEX(Salary_Calculation[Source Row],ROW()-ROW(Payslip_Lookup[#Headers]))="","",INDEX(Salary_Calculation[Base Order Rate],ROW()-ROW(Payslip_Lookup[#Headers])))</f>
        <v/>
      </c>
      <c r="L62" s="176" t="str">
        <f aca="false">IF(INDEX(Salary_Calculation[Source Row],ROW()-ROW(Payslip_Lookup[#Headers]))="","",INDEX(Salary_Calculation[Basic Payment],ROW()-ROW(Payslip_Lookup[#Headers])))</f>
        <v/>
      </c>
      <c r="M62" s="176" t="str">
        <f aca="false">IF(INDEX(Salary_Calculation[Source Row],ROW()-ROW(Payslip_Lookup[#Headers]))="","",INDEX(Salary_Calculation[Earned Salary],ROW()-ROW(Payslip_Lookup[#Headers])))</f>
        <v/>
      </c>
      <c r="N62" s="174" t="str">
        <f aca="false">IF(INDEX(Salary_Calculation[Source Row],ROW()-ROW(Payslip_Lookup[#Headers]))="","",INDEX(Salary_Calculation[Orders Counted at Base Rate],ROW()-ROW(Payslip_Lookup[#Headers])))</f>
        <v/>
      </c>
      <c r="O62" s="174" t="str">
        <f aca="false">IF(INDEX(Salary_Calculation[Source Row],ROW()-ROW(Payslip_Lookup[#Headers]))="","",INDEX(Salary_Calculation[Missing Orders],ROW()-ROW(Payslip_Lookup[#Headers])))</f>
        <v/>
      </c>
      <c r="P62" s="176" t="str">
        <f aca="false">IF(INDEX(Salary_Calculation[Source Row],ROW()-ROW(Payslip_Lookup[#Headers]))="","",INDEX(Salary_Calculation[Missing-Order Deduction],ROW()-ROW(Payslip_Lookup[#Headers])))</f>
        <v/>
      </c>
      <c r="Q62" s="174" t="str">
        <f aca="false">IF(INDEX(Salary_Calculation[Source Row],ROW()-ROW(Payslip_Lookup[#Headers]))="","",INDEX(Salary_Calculation[Extra Orders],ROW()-ROW(Payslip_Lookup[#Headers])))</f>
        <v/>
      </c>
      <c r="R62" s="176" t="str">
        <f aca="false">IF(INDEX(Salary_Calculation[Source Row],ROW()-ROW(Payslip_Lookup[#Headers]))="","",INDEX(Salary_Calculation[Extra-Order Bonus],ROW()-ROW(Payslip_Lookup[#Headers])))</f>
        <v/>
      </c>
      <c r="S62" s="176" t="str">
        <f aca="false">IF(INDEX(Salary_Calculation[Source Row],ROW()-ROW(Payslip_Lookup[#Headers]))="","",INDEX(Salary_Calculation[Basic Salary for Target],ROW()-ROW(Payslip_Lookup[#Headers])))</f>
        <v/>
      </c>
      <c r="T62" s="176" t="str">
        <f aca="false">IF(INDEX(Salary_Calculation[Source Row],ROW()-ROW(Payslip_Lookup[#Headers]))="","",INDEX(Salary_Calculation[Gross Salary Before Deductions],ROW()-ROW(Payslip_Lookup[#Headers])))</f>
        <v/>
      </c>
      <c r="U62" s="176" t="str">
        <f aca="false">IF(INDEX(Salary_Calculation[Source Row],ROW()-ROW(Payslip_Lookup[#Headers]))="","",INDEX(Salary_Calculation[missed_days_penalty],ROW()-ROW(Payslip_Lookup[#Headers])))</f>
        <v/>
      </c>
      <c r="V62" s="176" t="str">
        <f aca="false">IF(INDEX(Salary_Calculation[Source Row],ROW()-ROW(Payslip_Lookup[#Headers]))="","",INDEX(Salary_Calculation[Rider Balance],ROW()-ROW(Payslip_Lookup[#Headers])))</f>
        <v/>
      </c>
      <c r="W62" s="176" t="str">
        <f aca="false">IF(INDEX(Salary_Calculation[Source Row],ROW()-ROW(Payslip_Lookup[#Headers]))="","",INDEX(Salary_Calculation[stacking_deduction],ROW()-ROW(Payslip_Lookup[#Headers])))</f>
        <v/>
      </c>
      <c r="X62" s="176" t="str">
        <f aca="false">IF(INDEX(Salary_Calculation[Source Row],ROW()-ROW(Payslip_Lookup[#Headers]))="","",INDEX(Salary_Calculation[Other Deductions],ROW()-ROW(Payslip_Lookup[#Headers])))</f>
        <v/>
      </c>
      <c r="Y62" s="176" t="str">
        <f aca="false">IF(INDEX(Salary_Calculation[Source Row],ROW()-ROW(Payslip_Lookup[#Headers]))="","",INDEX(Salary_Calculation[Total Deductions],ROW()-ROW(Payslip_Lookup[#Headers])))</f>
        <v/>
      </c>
      <c r="Z62" s="176" t="str">
        <f aca="false">IF(INDEX(Salary_Calculation[Source Row],ROW()-ROW(Payslip_Lookup[#Headers]))="","",INDEX(Salary_Calculation[Final Salary],ROW()-ROW(Payslip_Lookup[#Headers])))</f>
        <v/>
      </c>
      <c r="AA62" s="176" t="str">
        <f aca="false">IF(INDEX(Salary_Calculation[Source Row],ROW()-ROW(Payslip_Lookup[#Headers]))="","",INDEX(Salary_Calculation[Negative Balance / Amount Due from Rider],ROW()-ROW(Payslip_Lookup[#Headers])))</f>
        <v/>
      </c>
      <c r="AB62" s="176" t="str">
        <f aca="false">IF(INDEX(Salary_Calculation[Source Row],ROW()-ROW(Payslip_Lookup[#Headers]))="","",INDEX(Salary_Calculation[Total Amount Due from Rider],ROW()-ROW(Payslip_Lookup[#Headers])))</f>
        <v/>
      </c>
      <c r="AC62" s="176" t="str">
        <f aca="false">IF(INDEX(Salary_Calculation[Source Row],ROW()-ROW(Payslip_Lookup[#Headers]))="","",INDEX(Salary_Calculation[Salary Before Other Deductions],ROW()-ROW(Payslip_Lookup[#Headers])))</f>
        <v/>
      </c>
      <c r="AD62" s="171" t="str">
        <f aca="false">IF(INDEX(Salary_Calculation[Source Row],ROW()-ROW(Payslip_Lookup[#Headers]))="","",INDEX(Salary_Calculation[Payment Status],ROW()-ROW(Payslip_Lookup[#Headers])))</f>
        <v/>
      </c>
      <c r="AE62" s="171" t="str">
        <f aca="false">IF(INDEX(Salary_Calculation[Source Row],ROW()-ROW(Payslip_Lookup[#Headers]))="","",INDEX(Salary_Calculation[Notes],ROW()-ROW(Payslip_Lookup[#Headers])))</f>
        <v/>
      </c>
      <c r="AF62" s="171" t="str">
        <f aca="false">IF(INDEX(Salary_Calculation[Source Row],ROW()-ROW(Payslip_Lookup[#Headers]))="","",INDEX(Salary_Calculation[Exception Reason],ROW()-ROW(Payslip_Lookup[#Headers])))</f>
        <v/>
      </c>
      <c r="AG62" s="173" t="str">
        <f aca="false">IF($AD62="Review Required",COUNTIF(AD$2:AD62,"Review Required"),"")</f>
        <v/>
      </c>
      <c r="AH62" s="173" t="str">
        <f aca="false">IF(AND($D62&lt;&gt;"",$B62=Payslip_Print!$C$2),MAX(AH$1:AH61)+1,"")</f>
        <v/>
      </c>
      <c r="AL62" s="178" t="str">
        <f aca="false">IFERROR(INDEX($D$2:$D$501,MATCH(ROW()-1,$AH$2:$AH$501,0)),"")</f>
        <v/>
      </c>
      <c r="AM62" s="179" t="str">
        <f aca="false">IF($Z62="","",IF(AND($C62&gt;=Dash_Start,$C62&lt;Dash_End),$Z62+ROW()/10000000,""))</f>
        <v/>
      </c>
    </row>
    <row r="63" customFormat="false" ht="14.25" hidden="false" customHeight="false" outlineLevel="0" collapsed="false">
      <c r="A63" s="171" t="str">
        <f aca="false">IF(Payslip_Lookup[[#This Row],[Rider ID]]="","",Payslip_Lookup[[#This Row],[Rider ID]]&amp;"|"&amp;Payslip_Lookup[[#This Row],[Month Key]])</f>
        <v/>
      </c>
      <c r="B63" s="172" t="str">
        <f aca="false">IF(ISNUMBER(Payslip_Lookup[[#This Row],[Salary Month]]),DATE(YEAR(Payslip_Lookup[[#This Row],[Salary Month]]),MONTH(Payslip_Lookup[[#This Row],[Salary Month]]),1),"")</f>
        <v/>
      </c>
      <c r="C63" s="172" t="str">
        <f aca="false">IF(INDEX(Salary_Calculation[Source Row],ROW()-ROW(Payslip_Lookup[#Headers]))="","",INDEX(Salary_Calculation[Salary Month],ROW()-ROW(Payslip_Lookup[#Headers])))</f>
        <v/>
      </c>
      <c r="D63" s="173" t="str">
        <f aca="false">IF(INDEX(Salary_Calculation[Source Row],ROW()-ROW(Payslip_Lookup[#Headers]))="","",INDEX(Salary_Calculation[Rider ID],ROW()-ROW(Payslip_Lookup[#Headers])))</f>
        <v/>
      </c>
      <c r="E63" s="171" t="str">
        <f aca="false">IF(INDEX(Salary_Calculation[Source Row],ROW()-ROW(Payslip_Lookup[#Headers]))="","",INDEX(Salary_Calculation[Rider Name],ROW()-ROW(Payslip_Lookup[#Headers])))</f>
        <v/>
      </c>
      <c r="F63" s="173" t="str">
        <f aca="false">IF(INDEX(Salary_Calculation[Source Row],ROW()-ROW(Payslip_Lookup[#Headers]))="","",INDEX(Salary_Calculation[Working Days],ROW()-ROW(Payslip_Lookup[#Headers])))</f>
        <v/>
      </c>
      <c r="G63" s="173" t="str">
        <f aca="false">IF(INDEX(Salary_Calculation[Source Row],ROW()-ROW(Payslip_Lookup[#Headers]))="","",INDEX(Salary_Calculation[Calendar Days],ROW()-ROW(Payslip_Lookup[#Headers])))</f>
        <v/>
      </c>
      <c r="H63" s="174" t="str">
        <f aca="false">IF(INDEX(Salary_Calculation[Source Row],ROW()-ROW(Payslip_Lookup[#Headers]))="","",INDEX(Salary_Calculation[Monthly Target Orders],ROW()-ROW(Payslip_Lookup[#Headers])))</f>
        <v/>
      </c>
      <c r="I63" s="174" t="str">
        <f aca="false">IF(INDEX(Salary_Calculation[Source Row],ROW()-ROW(Payslip_Lookup[#Headers]))="","",INDEX(Salary_Calculation[Rider Target Orders],ROW()-ROW(Payslip_Lookup[#Headers])))</f>
        <v/>
      </c>
      <c r="J63" s="175" t="str">
        <f aca="false">IF(INDEX(Salary_Calculation[Source Row],ROW()-ROW(Payslip_Lookup[#Headers]))="","",INDEX(Salary_Calculation[Completed Orders],ROW()-ROW(Payslip_Lookup[#Headers])))</f>
        <v/>
      </c>
      <c r="K63" s="174" t="str">
        <f aca="false">IF(INDEX(Salary_Calculation[Source Row],ROW()-ROW(Payslip_Lookup[#Headers]))="","",INDEX(Salary_Calculation[Base Order Rate],ROW()-ROW(Payslip_Lookup[#Headers])))</f>
        <v/>
      </c>
      <c r="L63" s="176" t="str">
        <f aca="false">IF(INDEX(Salary_Calculation[Source Row],ROW()-ROW(Payslip_Lookup[#Headers]))="","",INDEX(Salary_Calculation[Basic Payment],ROW()-ROW(Payslip_Lookup[#Headers])))</f>
        <v/>
      </c>
      <c r="M63" s="176" t="str">
        <f aca="false">IF(INDEX(Salary_Calculation[Source Row],ROW()-ROW(Payslip_Lookup[#Headers]))="","",INDEX(Salary_Calculation[Earned Salary],ROW()-ROW(Payslip_Lookup[#Headers])))</f>
        <v/>
      </c>
      <c r="N63" s="174" t="str">
        <f aca="false">IF(INDEX(Salary_Calculation[Source Row],ROW()-ROW(Payslip_Lookup[#Headers]))="","",INDEX(Salary_Calculation[Orders Counted at Base Rate],ROW()-ROW(Payslip_Lookup[#Headers])))</f>
        <v/>
      </c>
      <c r="O63" s="174" t="str">
        <f aca="false">IF(INDEX(Salary_Calculation[Source Row],ROW()-ROW(Payslip_Lookup[#Headers]))="","",INDEX(Salary_Calculation[Missing Orders],ROW()-ROW(Payslip_Lookup[#Headers])))</f>
        <v/>
      </c>
      <c r="P63" s="176" t="str">
        <f aca="false">IF(INDEX(Salary_Calculation[Source Row],ROW()-ROW(Payslip_Lookup[#Headers]))="","",INDEX(Salary_Calculation[Missing-Order Deduction],ROW()-ROW(Payslip_Lookup[#Headers])))</f>
        <v/>
      </c>
      <c r="Q63" s="174" t="str">
        <f aca="false">IF(INDEX(Salary_Calculation[Source Row],ROW()-ROW(Payslip_Lookup[#Headers]))="","",INDEX(Salary_Calculation[Extra Orders],ROW()-ROW(Payslip_Lookup[#Headers])))</f>
        <v/>
      </c>
      <c r="R63" s="176" t="str">
        <f aca="false">IF(INDEX(Salary_Calculation[Source Row],ROW()-ROW(Payslip_Lookup[#Headers]))="","",INDEX(Salary_Calculation[Extra-Order Bonus],ROW()-ROW(Payslip_Lookup[#Headers])))</f>
        <v/>
      </c>
      <c r="S63" s="176" t="str">
        <f aca="false">IF(INDEX(Salary_Calculation[Source Row],ROW()-ROW(Payslip_Lookup[#Headers]))="","",INDEX(Salary_Calculation[Basic Salary for Target],ROW()-ROW(Payslip_Lookup[#Headers])))</f>
        <v/>
      </c>
      <c r="T63" s="176" t="str">
        <f aca="false">IF(INDEX(Salary_Calculation[Source Row],ROW()-ROW(Payslip_Lookup[#Headers]))="","",INDEX(Salary_Calculation[Gross Salary Before Deductions],ROW()-ROW(Payslip_Lookup[#Headers])))</f>
        <v/>
      </c>
      <c r="U63" s="176" t="str">
        <f aca="false">IF(INDEX(Salary_Calculation[Source Row],ROW()-ROW(Payslip_Lookup[#Headers]))="","",INDEX(Salary_Calculation[missed_days_penalty],ROW()-ROW(Payslip_Lookup[#Headers])))</f>
        <v/>
      </c>
      <c r="V63" s="176" t="str">
        <f aca="false">IF(INDEX(Salary_Calculation[Source Row],ROW()-ROW(Payslip_Lookup[#Headers]))="","",INDEX(Salary_Calculation[Rider Balance],ROW()-ROW(Payslip_Lookup[#Headers])))</f>
        <v/>
      </c>
      <c r="W63" s="176" t="str">
        <f aca="false">IF(INDEX(Salary_Calculation[Source Row],ROW()-ROW(Payslip_Lookup[#Headers]))="","",INDEX(Salary_Calculation[stacking_deduction],ROW()-ROW(Payslip_Lookup[#Headers])))</f>
        <v/>
      </c>
      <c r="X63" s="176" t="str">
        <f aca="false">IF(INDEX(Salary_Calculation[Source Row],ROW()-ROW(Payslip_Lookup[#Headers]))="","",INDEX(Salary_Calculation[Other Deductions],ROW()-ROW(Payslip_Lookup[#Headers])))</f>
        <v/>
      </c>
      <c r="Y63" s="176" t="str">
        <f aca="false">IF(INDEX(Salary_Calculation[Source Row],ROW()-ROW(Payslip_Lookup[#Headers]))="","",INDEX(Salary_Calculation[Total Deductions],ROW()-ROW(Payslip_Lookup[#Headers])))</f>
        <v/>
      </c>
      <c r="Z63" s="176" t="str">
        <f aca="false">IF(INDEX(Salary_Calculation[Source Row],ROW()-ROW(Payslip_Lookup[#Headers]))="","",INDEX(Salary_Calculation[Final Salary],ROW()-ROW(Payslip_Lookup[#Headers])))</f>
        <v/>
      </c>
      <c r="AA63" s="176" t="str">
        <f aca="false">IF(INDEX(Salary_Calculation[Source Row],ROW()-ROW(Payslip_Lookup[#Headers]))="","",INDEX(Salary_Calculation[Negative Balance / Amount Due from Rider],ROW()-ROW(Payslip_Lookup[#Headers])))</f>
        <v/>
      </c>
      <c r="AB63" s="176" t="str">
        <f aca="false">IF(INDEX(Salary_Calculation[Source Row],ROW()-ROW(Payslip_Lookup[#Headers]))="","",INDEX(Salary_Calculation[Total Amount Due from Rider],ROW()-ROW(Payslip_Lookup[#Headers])))</f>
        <v/>
      </c>
      <c r="AC63" s="176" t="str">
        <f aca="false">IF(INDEX(Salary_Calculation[Source Row],ROW()-ROW(Payslip_Lookup[#Headers]))="","",INDEX(Salary_Calculation[Salary Before Other Deductions],ROW()-ROW(Payslip_Lookup[#Headers])))</f>
        <v/>
      </c>
      <c r="AD63" s="171" t="str">
        <f aca="false">IF(INDEX(Salary_Calculation[Source Row],ROW()-ROW(Payslip_Lookup[#Headers]))="","",INDEX(Salary_Calculation[Payment Status],ROW()-ROW(Payslip_Lookup[#Headers])))</f>
        <v/>
      </c>
      <c r="AE63" s="171" t="str">
        <f aca="false">IF(INDEX(Salary_Calculation[Source Row],ROW()-ROW(Payslip_Lookup[#Headers]))="","",INDEX(Salary_Calculation[Notes],ROW()-ROW(Payslip_Lookup[#Headers])))</f>
        <v/>
      </c>
      <c r="AF63" s="171" t="str">
        <f aca="false">IF(INDEX(Salary_Calculation[Source Row],ROW()-ROW(Payslip_Lookup[#Headers]))="","",INDEX(Salary_Calculation[Exception Reason],ROW()-ROW(Payslip_Lookup[#Headers])))</f>
        <v/>
      </c>
      <c r="AG63" s="173" t="str">
        <f aca="false">IF($AD63="Review Required",COUNTIF(AD$2:AD63,"Review Required"),"")</f>
        <v/>
      </c>
      <c r="AH63" s="173" t="str">
        <f aca="false">IF(AND($D63&lt;&gt;"",$B63=Payslip_Print!$C$2),MAX(AH$1:AH62)+1,"")</f>
        <v/>
      </c>
      <c r="AL63" s="178" t="str">
        <f aca="false">IFERROR(INDEX($D$2:$D$501,MATCH(ROW()-1,$AH$2:$AH$501,0)),"")</f>
        <v/>
      </c>
      <c r="AM63" s="179" t="str">
        <f aca="false">IF($Z63="","",IF(AND($C63&gt;=Dash_Start,$C63&lt;Dash_End),$Z63+ROW()/10000000,""))</f>
        <v/>
      </c>
    </row>
    <row r="64" customFormat="false" ht="14.25" hidden="false" customHeight="false" outlineLevel="0" collapsed="false">
      <c r="A64" s="171" t="str">
        <f aca="false">IF(Payslip_Lookup[[#This Row],[Rider ID]]="","",Payslip_Lookup[[#This Row],[Rider ID]]&amp;"|"&amp;Payslip_Lookup[[#This Row],[Month Key]])</f>
        <v/>
      </c>
      <c r="B64" s="172" t="str">
        <f aca="false">IF(ISNUMBER(Payslip_Lookup[[#This Row],[Salary Month]]),DATE(YEAR(Payslip_Lookup[[#This Row],[Salary Month]]),MONTH(Payslip_Lookup[[#This Row],[Salary Month]]),1),"")</f>
        <v/>
      </c>
      <c r="C64" s="172" t="str">
        <f aca="false">IF(INDEX(Salary_Calculation[Source Row],ROW()-ROW(Payslip_Lookup[#Headers]))="","",INDEX(Salary_Calculation[Salary Month],ROW()-ROW(Payslip_Lookup[#Headers])))</f>
        <v/>
      </c>
      <c r="D64" s="173" t="str">
        <f aca="false">IF(INDEX(Salary_Calculation[Source Row],ROW()-ROW(Payslip_Lookup[#Headers]))="","",INDEX(Salary_Calculation[Rider ID],ROW()-ROW(Payslip_Lookup[#Headers])))</f>
        <v/>
      </c>
      <c r="E64" s="171" t="str">
        <f aca="false">IF(INDEX(Salary_Calculation[Source Row],ROW()-ROW(Payslip_Lookup[#Headers]))="","",INDEX(Salary_Calculation[Rider Name],ROW()-ROW(Payslip_Lookup[#Headers])))</f>
        <v/>
      </c>
      <c r="F64" s="173" t="str">
        <f aca="false">IF(INDEX(Salary_Calculation[Source Row],ROW()-ROW(Payslip_Lookup[#Headers]))="","",INDEX(Salary_Calculation[Working Days],ROW()-ROW(Payslip_Lookup[#Headers])))</f>
        <v/>
      </c>
      <c r="G64" s="173" t="str">
        <f aca="false">IF(INDEX(Salary_Calculation[Source Row],ROW()-ROW(Payslip_Lookup[#Headers]))="","",INDEX(Salary_Calculation[Calendar Days],ROW()-ROW(Payslip_Lookup[#Headers])))</f>
        <v/>
      </c>
      <c r="H64" s="174" t="str">
        <f aca="false">IF(INDEX(Salary_Calculation[Source Row],ROW()-ROW(Payslip_Lookup[#Headers]))="","",INDEX(Salary_Calculation[Monthly Target Orders],ROW()-ROW(Payslip_Lookup[#Headers])))</f>
        <v/>
      </c>
      <c r="I64" s="174" t="str">
        <f aca="false">IF(INDEX(Salary_Calculation[Source Row],ROW()-ROW(Payslip_Lookup[#Headers]))="","",INDEX(Salary_Calculation[Rider Target Orders],ROW()-ROW(Payslip_Lookup[#Headers])))</f>
        <v/>
      </c>
      <c r="J64" s="175" t="str">
        <f aca="false">IF(INDEX(Salary_Calculation[Source Row],ROW()-ROW(Payslip_Lookup[#Headers]))="","",INDEX(Salary_Calculation[Completed Orders],ROW()-ROW(Payslip_Lookup[#Headers])))</f>
        <v/>
      </c>
      <c r="K64" s="174" t="str">
        <f aca="false">IF(INDEX(Salary_Calculation[Source Row],ROW()-ROW(Payslip_Lookup[#Headers]))="","",INDEX(Salary_Calculation[Base Order Rate],ROW()-ROW(Payslip_Lookup[#Headers])))</f>
        <v/>
      </c>
      <c r="L64" s="176" t="str">
        <f aca="false">IF(INDEX(Salary_Calculation[Source Row],ROW()-ROW(Payslip_Lookup[#Headers]))="","",INDEX(Salary_Calculation[Basic Payment],ROW()-ROW(Payslip_Lookup[#Headers])))</f>
        <v/>
      </c>
      <c r="M64" s="176" t="str">
        <f aca="false">IF(INDEX(Salary_Calculation[Source Row],ROW()-ROW(Payslip_Lookup[#Headers]))="","",INDEX(Salary_Calculation[Earned Salary],ROW()-ROW(Payslip_Lookup[#Headers])))</f>
        <v/>
      </c>
      <c r="N64" s="174" t="str">
        <f aca="false">IF(INDEX(Salary_Calculation[Source Row],ROW()-ROW(Payslip_Lookup[#Headers]))="","",INDEX(Salary_Calculation[Orders Counted at Base Rate],ROW()-ROW(Payslip_Lookup[#Headers])))</f>
        <v/>
      </c>
      <c r="O64" s="174" t="str">
        <f aca="false">IF(INDEX(Salary_Calculation[Source Row],ROW()-ROW(Payslip_Lookup[#Headers]))="","",INDEX(Salary_Calculation[Missing Orders],ROW()-ROW(Payslip_Lookup[#Headers])))</f>
        <v/>
      </c>
      <c r="P64" s="176" t="str">
        <f aca="false">IF(INDEX(Salary_Calculation[Source Row],ROW()-ROW(Payslip_Lookup[#Headers]))="","",INDEX(Salary_Calculation[Missing-Order Deduction],ROW()-ROW(Payslip_Lookup[#Headers])))</f>
        <v/>
      </c>
      <c r="Q64" s="174" t="str">
        <f aca="false">IF(INDEX(Salary_Calculation[Source Row],ROW()-ROW(Payslip_Lookup[#Headers]))="","",INDEX(Salary_Calculation[Extra Orders],ROW()-ROW(Payslip_Lookup[#Headers])))</f>
        <v/>
      </c>
      <c r="R64" s="176" t="str">
        <f aca="false">IF(INDEX(Salary_Calculation[Source Row],ROW()-ROW(Payslip_Lookup[#Headers]))="","",INDEX(Salary_Calculation[Extra-Order Bonus],ROW()-ROW(Payslip_Lookup[#Headers])))</f>
        <v/>
      </c>
      <c r="S64" s="176" t="str">
        <f aca="false">IF(INDEX(Salary_Calculation[Source Row],ROW()-ROW(Payslip_Lookup[#Headers]))="","",INDEX(Salary_Calculation[Basic Salary for Target],ROW()-ROW(Payslip_Lookup[#Headers])))</f>
        <v/>
      </c>
      <c r="T64" s="176" t="str">
        <f aca="false">IF(INDEX(Salary_Calculation[Source Row],ROW()-ROW(Payslip_Lookup[#Headers]))="","",INDEX(Salary_Calculation[Gross Salary Before Deductions],ROW()-ROW(Payslip_Lookup[#Headers])))</f>
        <v/>
      </c>
      <c r="U64" s="176" t="str">
        <f aca="false">IF(INDEX(Salary_Calculation[Source Row],ROW()-ROW(Payslip_Lookup[#Headers]))="","",INDEX(Salary_Calculation[missed_days_penalty],ROW()-ROW(Payslip_Lookup[#Headers])))</f>
        <v/>
      </c>
      <c r="V64" s="176" t="str">
        <f aca="false">IF(INDEX(Salary_Calculation[Source Row],ROW()-ROW(Payslip_Lookup[#Headers]))="","",INDEX(Salary_Calculation[Rider Balance],ROW()-ROW(Payslip_Lookup[#Headers])))</f>
        <v/>
      </c>
      <c r="W64" s="176" t="str">
        <f aca="false">IF(INDEX(Salary_Calculation[Source Row],ROW()-ROW(Payslip_Lookup[#Headers]))="","",INDEX(Salary_Calculation[stacking_deduction],ROW()-ROW(Payslip_Lookup[#Headers])))</f>
        <v/>
      </c>
      <c r="X64" s="176" t="str">
        <f aca="false">IF(INDEX(Salary_Calculation[Source Row],ROW()-ROW(Payslip_Lookup[#Headers]))="","",INDEX(Salary_Calculation[Other Deductions],ROW()-ROW(Payslip_Lookup[#Headers])))</f>
        <v/>
      </c>
      <c r="Y64" s="176" t="str">
        <f aca="false">IF(INDEX(Salary_Calculation[Source Row],ROW()-ROW(Payslip_Lookup[#Headers]))="","",INDEX(Salary_Calculation[Total Deductions],ROW()-ROW(Payslip_Lookup[#Headers])))</f>
        <v/>
      </c>
      <c r="Z64" s="176" t="str">
        <f aca="false">IF(INDEX(Salary_Calculation[Source Row],ROW()-ROW(Payslip_Lookup[#Headers]))="","",INDEX(Salary_Calculation[Final Salary],ROW()-ROW(Payslip_Lookup[#Headers])))</f>
        <v/>
      </c>
      <c r="AA64" s="176" t="str">
        <f aca="false">IF(INDEX(Salary_Calculation[Source Row],ROW()-ROW(Payslip_Lookup[#Headers]))="","",INDEX(Salary_Calculation[Negative Balance / Amount Due from Rider],ROW()-ROW(Payslip_Lookup[#Headers])))</f>
        <v/>
      </c>
      <c r="AB64" s="176" t="str">
        <f aca="false">IF(INDEX(Salary_Calculation[Source Row],ROW()-ROW(Payslip_Lookup[#Headers]))="","",INDEX(Salary_Calculation[Total Amount Due from Rider],ROW()-ROW(Payslip_Lookup[#Headers])))</f>
        <v/>
      </c>
      <c r="AC64" s="176" t="str">
        <f aca="false">IF(INDEX(Salary_Calculation[Source Row],ROW()-ROW(Payslip_Lookup[#Headers]))="","",INDEX(Salary_Calculation[Salary Before Other Deductions],ROW()-ROW(Payslip_Lookup[#Headers])))</f>
        <v/>
      </c>
      <c r="AD64" s="171" t="str">
        <f aca="false">IF(INDEX(Salary_Calculation[Source Row],ROW()-ROW(Payslip_Lookup[#Headers]))="","",INDEX(Salary_Calculation[Payment Status],ROW()-ROW(Payslip_Lookup[#Headers])))</f>
        <v/>
      </c>
      <c r="AE64" s="171" t="str">
        <f aca="false">IF(INDEX(Salary_Calculation[Source Row],ROW()-ROW(Payslip_Lookup[#Headers]))="","",INDEX(Salary_Calculation[Notes],ROW()-ROW(Payslip_Lookup[#Headers])))</f>
        <v/>
      </c>
      <c r="AF64" s="171" t="str">
        <f aca="false">IF(INDEX(Salary_Calculation[Source Row],ROW()-ROW(Payslip_Lookup[#Headers]))="","",INDEX(Salary_Calculation[Exception Reason],ROW()-ROW(Payslip_Lookup[#Headers])))</f>
        <v/>
      </c>
      <c r="AG64" s="173" t="str">
        <f aca="false">IF($AD64="Review Required",COUNTIF(AD$2:AD64,"Review Required"),"")</f>
        <v/>
      </c>
      <c r="AH64" s="173" t="str">
        <f aca="false">IF(AND($D64&lt;&gt;"",$B64=Payslip_Print!$C$2),MAX(AH$1:AH63)+1,"")</f>
        <v/>
      </c>
      <c r="AL64" s="178" t="str">
        <f aca="false">IFERROR(INDEX($D$2:$D$501,MATCH(ROW()-1,$AH$2:$AH$501,0)),"")</f>
        <v/>
      </c>
      <c r="AM64" s="179" t="str">
        <f aca="false">IF($Z64="","",IF(AND($C64&gt;=Dash_Start,$C64&lt;Dash_End),$Z64+ROW()/10000000,""))</f>
        <v/>
      </c>
    </row>
    <row r="65" customFormat="false" ht="14.25" hidden="false" customHeight="false" outlineLevel="0" collapsed="false">
      <c r="A65" s="171" t="str">
        <f aca="false">IF(Payslip_Lookup[[#This Row],[Rider ID]]="","",Payslip_Lookup[[#This Row],[Rider ID]]&amp;"|"&amp;Payslip_Lookup[[#This Row],[Month Key]])</f>
        <v/>
      </c>
      <c r="B65" s="172" t="str">
        <f aca="false">IF(ISNUMBER(Payslip_Lookup[[#This Row],[Salary Month]]),DATE(YEAR(Payslip_Lookup[[#This Row],[Salary Month]]),MONTH(Payslip_Lookup[[#This Row],[Salary Month]]),1),"")</f>
        <v/>
      </c>
      <c r="C65" s="172" t="str">
        <f aca="false">IF(INDEX(Salary_Calculation[Source Row],ROW()-ROW(Payslip_Lookup[#Headers]))="","",INDEX(Salary_Calculation[Salary Month],ROW()-ROW(Payslip_Lookup[#Headers])))</f>
        <v/>
      </c>
      <c r="D65" s="173" t="str">
        <f aca="false">IF(INDEX(Salary_Calculation[Source Row],ROW()-ROW(Payslip_Lookup[#Headers]))="","",INDEX(Salary_Calculation[Rider ID],ROW()-ROW(Payslip_Lookup[#Headers])))</f>
        <v/>
      </c>
      <c r="E65" s="171" t="str">
        <f aca="false">IF(INDEX(Salary_Calculation[Source Row],ROW()-ROW(Payslip_Lookup[#Headers]))="","",INDEX(Salary_Calculation[Rider Name],ROW()-ROW(Payslip_Lookup[#Headers])))</f>
        <v/>
      </c>
      <c r="F65" s="173" t="str">
        <f aca="false">IF(INDEX(Salary_Calculation[Source Row],ROW()-ROW(Payslip_Lookup[#Headers]))="","",INDEX(Salary_Calculation[Working Days],ROW()-ROW(Payslip_Lookup[#Headers])))</f>
        <v/>
      </c>
      <c r="G65" s="173" t="str">
        <f aca="false">IF(INDEX(Salary_Calculation[Source Row],ROW()-ROW(Payslip_Lookup[#Headers]))="","",INDEX(Salary_Calculation[Calendar Days],ROW()-ROW(Payslip_Lookup[#Headers])))</f>
        <v/>
      </c>
      <c r="H65" s="174" t="str">
        <f aca="false">IF(INDEX(Salary_Calculation[Source Row],ROW()-ROW(Payslip_Lookup[#Headers]))="","",INDEX(Salary_Calculation[Monthly Target Orders],ROW()-ROW(Payslip_Lookup[#Headers])))</f>
        <v/>
      </c>
      <c r="I65" s="174" t="str">
        <f aca="false">IF(INDEX(Salary_Calculation[Source Row],ROW()-ROW(Payslip_Lookup[#Headers]))="","",INDEX(Salary_Calculation[Rider Target Orders],ROW()-ROW(Payslip_Lookup[#Headers])))</f>
        <v/>
      </c>
      <c r="J65" s="175" t="str">
        <f aca="false">IF(INDEX(Salary_Calculation[Source Row],ROW()-ROW(Payslip_Lookup[#Headers]))="","",INDEX(Salary_Calculation[Completed Orders],ROW()-ROW(Payslip_Lookup[#Headers])))</f>
        <v/>
      </c>
      <c r="K65" s="174" t="str">
        <f aca="false">IF(INDEX(Salary_Calculation[Source Row],ROW()-ROW(Payslip_Lookup[#Headers]))="","",INDEX(Salary_Calculation[Base Order Rate],ROW()-ROW(Payslip_Lookup[#Headers])))</f>
        <v/>
      </c>
      <c r="L65" s="176" t="str">
        <f aca="false">IF(INDEX(Salary_Calculation[Source Row],ROW()-ROW(Payslip_Lookup[#Headers]))="","",INDEX(Salary_Calculation[Basic Payment],ROW()-ROW(Payslip_Lookup[#Headers])))</f>
        <v/>
      </c>
      <c r="M65" s="176" t="str">
        <f aca="false">IF(INDEX(Salary_Calculation[Source Row],ROW()-ROW(Payslip_Lookup[#Headers]))="","",INDEX(Salary_Calculation[Earned Salary],ROW()-ROW(Payslip_Lookup[#Headers])))</f>
        <v/>
      </c>
      <c r="N65" s="174" t="str">
        <f aca="false">IF(INDEX(Salary_Calculation[Source Row],ROW()-ROW(Payslip_Lookup[#Headers]))="","",INDEX(Salary_Calculation[Orders Counted at Base Rate],ROW()-ROW(Payslip_Lookup[#Headers])))</f>
        <v/>
      </c>
      <c r="O65" s="174" t="str">
        <f aca="false">IF(INDEX(Salary_Calculation[Source Row],ROW()-ROW(Payslip_Lookup[#Headers]))="","",INDEX(Salary_Calculation[Missing Orders],ROW()-ROW(Payslip_Lookup[#Headers])))</f>
        <v/>
      </c>
      <c r="P65" s="176" t="str">
        <f aca="false">IF(INDEX(Salary_Calculation[Source Row],ROW()-ROW(Payslip_Lookup[#Headers]))="","",INDEX(Salary_Calculation[Missing-Order Deduction],ROW()-ROW(Payslip_Lookup[#Headers])))</f>
        <v/>
      </c>
      <c r="Q65" s="174" t="str">
        <f aca="false">IF(INDEX(Salary_Calculation[Source Row],ROW()-ROW(Payslip_Lookup[#Headers]))="","",INDEX(Salary_Calculation[Extra Orders],ROW()-ROW(Payslip_Lookup[#Headers])))</f>
        <v/>
      </c>
      <c r="R65" s="176" t="str">
        <f aca="false">IF(INDEX(Salary_Calculation[Source Row],ROW()-ROW(Payslip_Lookup[#Headers]))="","",INDEX(Salary_Calculation[Extra-Order Bonus],ROW()-ROW(Payslip_Lookup[#Headers])))</f>
        <v/>
      </c>
      <c r="S65" s="176" t="str">
        <f aca="false">IF(INDEX(Salary_Calculation[Source Row],ROW()-ROW(Payslip_Lookup[#Headers]))="","",INDEX(Salary_Calculation[Basic Salary for Target],ROW()-ROW(Payslip_Lookup[#Headers])))</f>
        <v/>
      </c>
      <c r="T65" s="176" t="str">
        <f aca="false">IF(INDEX(Salary_Calculation[Source Row],ROW()-ROW(Payslip_Lookup[#Headers]))="","",INDEX(Salary_Calculation[Gross Salary Before Deductions],ROW()-ROW(Payslip_Lookup[#Headers])))</f>
        <v/>
      </c>
      <c r="U65" s="176" t="str">
        <f aca="false">IF(INDEX(Salary_Calculation[Source Row],ROW()-ROW(Payslip_Lookup[#Headers]))="","",INDEX(Salary_Calculation[missed_days_penalty],ROW()-ROW(Payslip_Lookup[#Headers])))</f>
        <v/>
      </c>
      <c r="V65" s="176" t="str">
        <f aca="false">IF(INDEX(Salary_Calculation[Source Row],ROW()-ROW(Payslip_Lookup[#Headers]))="","",INDEX(Salary_Calculation[Rider Balance],ROW()-ROW(Payslip_Lookup[#Headers])))</f>
        <v/>
      </c>
      <c r="W65" s="176" t="str">
        <f aca="false">IF(INDEX(Salary_Calculation[Source Row],ROW()-ROW(Payslip_Lookup[#Headers]))="","",INDEX(Salary_Calculation[stacking_deduction],ROW()-ROW(Payslip_Lookup[#Headers])))</f>
        <v/>
      </c>
      <c r="X65" s="176" t="str">
        <f aca="false">IF(INDEX(Salary_Calculation[Source Row],ROW()-ROW(Payslip_Lookup[#Headers]))="","",INDEX(Salary_Calculation[Other Deductions],ROW()-ROW(Payslip_Lookup[#Headers])))</f>
        <v/>
      </c>
      <c r="Y65" s="176" t="str">
        <f aca="false">IF(INDEX(Salary_Calculation[Source Row],ROW()-ROW(Payslip_Lookup[#Headers]))="","",INDEX(Salary_Calculation[Total Deductions],ROW()-ROW(Payslip_Lookup[#Headers])))</f>
        <v/>
      </c>
      <c r="Z65" s="176" t="str">
        <f aca="false">IF(INDEX(Salary_Calculation[Source Row],ROW()-ROW(Payslip_Lookup[#Headers]))="","",INDEX(Salary_Calculation[Final Salary],ROW()-ROW(Payslip_Lookup[#Headers])))</f>
        <v/>
      </c>
      <c r="AA65" s="176" t="str">
        <f aca="false">IF(INDEX(Salary_Calculation[Source Row],ROW()-ROW(Payslip_Lookup[#Headers]))="","",INDEX(Salary_Calculation[Negative Balance / Amount Due from Rider],ROW()-ROW(Payslip_Lookup[#Headers])))</f>
        <v/>
      </c>
      <c r="AB65" s="176" t="str">
        <f aca="false">IF(INDEX(Salary_Calculation[Source Row],ROW()-ROW(Payslip_Lookup[#Headers]))="","",INDEX(Salary_Calculation[Total Amount Due from Rider],ROW()-ROW(Payslip_Lookup[#Headers])))</f>
        <v/>
      </c>
      <c r="AC65" s="176" t="str">
        <f aca="false">IF(INDEX(Salary_Calculation[Source Row],ROW()-ROW(Payslip_Lookup[#Headers]))="","",INDEX(Salary_Calculation[Salary Before Other Deductions],ROW()-ROW(Payslip_Lookup[#Headers])))</f>
        <v/>
      </c>
      <c r="AD65" s="171" t="str">
        <f aca="false">IF(INDEX(Salary_Calculation[Source Row],ROW()-ROW(Payslip_Lookup[#Headers]))="","",INDEX(Salary_Calculation[Payment Status],ROW()-ROW(Payslip_Lookup[#Headers])))</f>
        <v/>
      </c>
      <c r="AE65" s="171" t="str">
        <f aca="false">IF(INDEX(Salary_Calculation[Source Row],ROW()-ROW(Payslip_Lookup[#Headers]))="","",INDEX(Salary_Calculation[Notes],ROW()-ROW(Payslip_Lookup[#Headers])))</f>
        <v/>
      </c>
      <c r="AF65" s="171" t="str">
        <f aca="false">IF(INDEX(Salary_Calculation[Source Row],ROW()-ROW(Payslip_Lookup[#Headers]))="","",INDEX(Salary_Calculation[Exception Reason],ROW()-ROW(Payslip_Lookup[#Headers])))</f>
        <v/>
      </c>
      <c r="AG65" s="173" t="str">
        <f aca="false">IF($AD65="Review Required",COUNTIF(AD$2:AD65,"Review Required"),"")</f>
        <v/>
      </c>
      <c r="AH65" s="173" t="str">
        <f aca="false">IF(AND($D65&lt;&gt;"",$B65=Payslip_Print!$C$2),MAX(AH$1:AH64)+1,"")</f>
        <v/>
      </c>
      <c r="AL65" s="178" t="str">
        <f aca="false">IFERROR(INDEX($D$2:$D$501,MATCH(ROW()-1,$AH$2:$AH$501,0)),"")</f>
        <v/>
      </c>
      <c r="AM65" s="179" t="str">
        <f aca="false">IF($Z65="","",IF(AND($C65&gt;=Dash_Start,$C65&lt;Dash_End),$Z65+ROW()/10000000,""))</f>
        <v/>
      </c>
    </row>
    <row r="66" customFormat="false" ht="14.25" hidden="false" customHeight="false" outlineLevel="0" collapsed="false">
      <c r="A66" s="171" t="str">
        <f aca="false">IF(Payslip_Lookup[[#This Row],[Rider ID]]="","",Payslip_Lookup[[#This Row],[Rider ID]]&amp;"|"&amp;Payslip_Lookup[[#This Row],[Month Key]])</f>
        <v/>
      </c>
      <c r="B66" s="172" t="str">
        <f aca="false">IF(ISNUMBER(Payslip_Lookup[[#This Row],[Salary Month]]),DATE(YEAR(Payslip_Lookup[[#This Row],[Salary Month]]),MONTH(Payslip_Lookup[[#This Row],[Salary Month]]),1),"")</f>
        <v/>
      </c>
      <c r="C66" s="172" t="str">
        <f aca="false">IF(INDEX(Salary_Calculation[Source Row],ROW()-ROW(Payslip_Lookup[#Headers]))="","",INDEX(Salary_Calculation[Salary Month],ROW()-ROW(Payslip_Lookup[#Headers])))</f>
        <v/>
      </c>
      <c r="D66" s="173" t="str">
        <f aca="false">IF(INDEX(Salary_Calculation[Source Row],ROW()-ROW(Payslip_Lookup[#Headers]))="","",INDEX(Salary_Calculation[Rider ID],ROW()-ROW(Payslip_Lookup[#Headers])))</f>
        <v/>
      </c>
      <c r="E66" s="171" t="str">
        <f aca="false">IF(INDEX(Salary_Calculation[Source Row],ROW()-ROW(Payslip_Lookup[#Headers]))="","",INDEX(Salary_Calculation[Rider Name],ROW()-ROW(Payslip_Lookup[#Headers])))</f>
        <v/>
      </c>
      <c r="F66" s="173" t="str">
        <f aca="false">IF(INDEX(Salary_Calculation[Source Row],ROW()-ROW(Payslip_Lookup[#Headers]))="","",INDEX(Salary_Calculation[Working Days],ROW()-ROW(Payslip_Lookup[#Headers])))</f>
        <v/>
      </c>
      <c r="G66" s="173" t="str">
        <f aca="false">IF(INDEX(Salary_Calculation[Source Row],ROW()-ROW(Payslip_Lookup[#Headers]))="","",INDEX(Salary_Calculation[Calendar Days],ROW()-ROW(Payslip_Lookup[#Headers])))</f>
        <v/>
      </c>
      <c r="H66" s="174" t="str">
        <f aca="false">IF(INDEX(Salary_Calculation[Source Row],ROW()-ROW(Payslip_Lookup[#Headers]))="","",INDEX(Salary_Calculation[Monthly Target Orders],ROW()-ROW(Payslip_Lookup[#Headers])))</f>
        <v/>
      </c>
      <c r="I66" s="174" t="str">
        <f aca="false">IF(INDEX(Salary_Calculation[Source Row],ROW()-ROW(Payslip_Lookup[#Headers]))="","",INDEX(Salary_Calculation[Rider Target Orders],ROW()-ROW(Payslip_Lookup[#Headers])))</f>
        <v/>
      </c>
      <c r="J66" s="175" t="str">
        <f aca="false">IF(INDEX(Salary_Calculation[Source Row],ROW()-ROW(Payslip_Lookup[#Headers]))="","",INDEX(Salary_Calculation[Completed Orders],ROW()-ROW(Payslip_Lookup[#Headers])))</f>
        <v/>
      </c>
      <c r="K66" s="174" t="str">
        <f aca="false">IF(INDEX(Salary_Calculation[Source Row],ROW()-ROW(Payslip_Lookup[#Headers]))="","",INDEX(Salary_Calculation[Base Order Rate],ROW()-ROW(Payslip_Lookup[#Headers])))</f>
        <v/>
      </c>
      <c r="L66" s="176" t="str">
        <f aca="false">IF(INDEX(Salary_Calculation[Source Row],ROW()-ROW(Payslip_Lookup[#Headers]))="","",INDEX(Salary_Calculation[Basic Payment],ROW()-ROW(Payslip_Lookup[#Headers])))</f>
        <v/>
      </c>
      <c r="M66" s="176" t="str">
        <f aca="false">IF(INDEX(Salary_Calculation[Source Row],ROW()-ROW(Payslip_Lookup[#Headers]))="","",INDEX(Salary_Calculation[Earned Salary],ROW()-ROW(Payslip_Lookup[#Headers])))</f>
        <v/>
      </c>
      <c r="N66" s="174" t="str">
        <f aca="false">IF(INDEX(Salary_Calculation[Source Row],ROW()-ROW(Payslip_Lookup[#Headers]))="","",INDEX(Salary_Calculation[Orders Counted at Base Rate],ROW()-ROW(Payslip_Lookup[#Headers])))</f>
        <v/>
      </c>
      <c r="O66" s="174" t="str">
        <f aca="false">IF(INDEX(Salary_Calculation[Source Row],ROW()-ROW(Payslip_Lookup[#Headers]))="","",INDEX(Salary_Calculation[Missing Orders],ROW()-ROW(Payslip_Lookup[#Headers])))</f>
        <v/>
      </c>
      <c r="P66" s="176" t="str">
        <f aca="false">IF(INDEX(Salary_Calculation[Source Row],ROW()-ROW(Payslip_Lookup[#Headers]))="","",INDEX(Salary_Calculation[Missing-Order Deduction],ROW()-ROW(Payslip_Lookup[#Headers])))</f>
        <v/>
      </c>
      <c r="Q66" s="174" t="str">
        <f aca="false">IF(INDEX(Salary_Calculation[Source Row],ROW()-ROW(Payslip_Lookup[#Headers]))="","",INDEX(Salary_Calculation[Extra Orders],ROW()-ROW(Payslip_Lookup[#Headers])))</f>
        <v/>
      </c>
      <c r="R66" s="176" t="str">
        <f aca="false">IF(INDEX(Salary_Calculation[Source Row],ROW()-ROW(Payslip_Lookup[#Headers]))="","",INDEX(Salary_Calculation[Extra-Order Bonus],ROW()-ROW(Payslip_Lookup[#Headers])))</f>
        <v/>
      </c>
      <c r="S66" s="176" t="str">
        <f aca="false">IF(INDEX(Salary_Calculation[Source Row],ROW()-ROW(Payslip_Lookup[#Headers]))="","",INDEX(Salary_Calculation[Basic Salary for Target],ROW()-ROW(Payslip_Lookup[#Headers])))</f>
        <v/>
      </c>
      <c r="T66" s="176" t="str">
        <f aca="false">IF(INDEX(Salary_Calculation[Source Row],ROW()-ROW(Payslip_Lookup[#Headers]))="","",INDEX(Salary_Calculation[Gross Salary Before Deductions],ROW()-ROW(Payslip_Lookup[#Headers])))</f>
        <v/>
      </c>
      <c r="U66" s="176" t="str">
        <f aca="false">IF(INDEX(Salary_Calculation[Source Row],ROW()-ROW(Payslip_Lookup[#Headers]))="","",INDEX(Salary_Calculation[missed_days_penalty],ROW()-ROW(Payslip_Lookup[#Headers])))</f>
        <v/>
      </c>
      <c r="V66" s="176" t="str">
        <f aca="false">IF(INDEX(Salary_Calculation[Source Row],ROW()-ROW(Payslip_Lookup[#Headers]))="","",INDEX(Salary_Calculation[Rider Balance],ROW()-ROW(Payslip_Lookup[#Headers])))</f>
        <v/>
      </c>
      <c r="W66" s="176" t="str">
        <f aca="false">IF(INDEX(Salary_Calculation[Source Row],ROW()-ROW(Payslip_Lookup[#Headers]))="","",INDEX(Salary_Calculation[stacking_deduction],ROW()-ROW(Payslip_Lookup[#Headers])))</f>
        <v/>
      </c>
      <c r="X66" s="176" t="str">
        <f aca="false">IF(INDEX(Salary_Calculation[Source Row],ROW()-ROW(Payslip_Lookup[#Headers]))="","",INDEX(Salary_Calculation[Other Deductions],ROW()-ROW(Payslip_Lookup[#Headers])))</f>
        <v/>
      </c>
      <c r="Y66" s="176" t="str">
        <f aca="false">IF(INDEX(Salary_Calculation[Source Row],ROW()-ROW(Payslip_Lookup[#Headers]))="","",INDEX(Salary_Calculation[Total Deductions],ROW()-ROW(Payslip_Lookup[#Headers])))</f>
        <v/>
      </c>
      <c r="Z66" s="176" t="str">
        <f aca="false">IF(INDEX(Salary_Calculation[Source Row],ROW()-ROW(Payslip_Lookup[#Headers]))="","",INDEX(Salary_Calculation[Final Salary],ROW()-ROW(Payslip_Lookup[#Headers])))</f>
        <v/>
      </c>
      <c r="AA66" s="176" t="str">
        <f aca="false">IF(INDEX(Salary_Calculation[Source Row],ROW()-ROW(Payslip_Lookup[#Headers]))="","",INDEX(Salary_Calculation[Negative Balance / Amount Due from Rider],ROW()-ROW(Payslip_Lookup[#Headers])))</f>
        <v/>
      </c>
      <c r="AB66" s="176" t="str">
        <f aca="false">IF(INDEX(Salary_Calculation[Source Row],ROW()-ROW(Payslip_Lookup[#Headers]))="","",INDEX(Salary_Calculation[Total Amount Due from Rider],ROW()-ROW(Payslip_Lookup[#Headers])))</f>
        <v/>
      </c>
      <c r="AC66" s="176" t="str">
        <f aca="false">IF(INDEX(Salary_Calculation[Source Row],ROW()-ROW(Payslip_Lookup[#Headers]))="","",INDEX(Salary_Calculation[Salary Before Other Deductions],ROW()-ROW(Payslip_Lookup[#Headers])))</f>
        <v/>
      </c>
      <c r="AD66" s="171" t="str">
        <f aca="false">IF(INDEX(Salary_Calculation[Source Row],ROW()-ROW(Payslip_Lookup[#Headers]))="","",INDEX(Salary_Calculation[Payment Status],ROW()-ROW(Payslip_Lookup[#Headers])))</f>
        <v/>
      </c>
      <c r="AE66" s="171" t="str">
        <f aca="false">IF(INDEX(Salary_Calculation[Source Row],ROW()-ROW(Payslip_Lookup[#Headers]))="","",INDEX(Salary_Calculation[Notes],ROW()-ROW(Payslip_Lookup[#Headers])))</f>
        <v/>
      </c>
      <c r="AF66" s="171" t="str">
        <f aca="false">IF(INDEX(Salary_Calculation[Source Row],ROW()-ROW(Payslip_Lookup[#Headers]))="","",INDEX(Salary_Calculation[Exception Reason],ROW()-ROW(Payslip_Lookup[#Headers])))</f>
        <v/>
      </c>
      <c r="AG66" s="173" t="str">
        <f aca="false">IF($AD66="Review Required",COUNTIF(AD$2:AD66,"Review Required"),"")</f>
        <v/>
      </c>
      <c r="AH66" s="173" t="str">
        <f aca="false">IF(AND($D66&lt;&gt;"",$B66=Payslip_Print!$C$2),MAX(AH$1:AH65)+1,"")</f>
        <v/>
      </c>
      <c r="AL66" s="178" t="str">
        <f aca="false">IFERROR(INDEX($D$2:$D$501,MATCH(ROW()-1,$AH$2:$AH$501,0)),"")</f>
        <v/>
      </c>
      <c r="AM66" s="179" t="str">
        <f aca="false">IF($Z66="","",IF(AND($C66&gt;=Dash_Start,$C66&lt;Dash_End),$Z66+ROW()/10000000,""))</f>
        <v/>
      </c>
    </row>
    <row r="67" customFormat="false" ht="14.25" hidden="false" customHeight="false" outlineLevel="0" collapsed="false">
      <c r="A67" s="171" t="str">
        <f aca="false">IF(Payslip_Lookup[[#This Row],[Rider ID]]="","",Payslip_Lookup[[#This Row],[Rider ID]]&amp;"|"&amp;Payslip_Lookup[[#This Row],[Month Key]])</f>
        <v/>
      </c>
      <c r="B67" s="172" t="str">
        <f aca="false">IF(ISNUMBER(Payslip_Lookup[[#This Row],[Salary Month]]),DATE(YEAR(Payslip_Lookup[[#This Row],[Salary Month]]),MONTH(Payslip_Lookup[[#This Row],[Salary Month]]),1),"")</f>
        <v/>
      </c>
      <c r="C67" s="172" t="str">
        <f aca="false">IF(INDEX(Salary_Calculation[Source Row],ROW()-ROW(Payslip_Lookup[#Headers]))="","",INDEX(Salary_Calculation[Salary Month],ROW()-ROW(Payslip_Lookup[#Headers])))</f>
        <v/>
      </c>
      <c r="D67" s="173" t="str">
        <f aca="false">IF(INDEX(Salary_Calculation[Source Row],ROW()-ROW(Payslip_Lookup[#Headers]))="","",INDEX(Salary_Calculation[Rider ID],ROW()-ROW(Payslip_Lookup[#Headers])))</f>
        <v/>
      </c>
      <c r="E67" s="171" t="str">
        <f aca="false">IF(INDEX(Salary_Calculation[Source Row],ROW()-ROW(Payslip_Lookup[#Headers]))="","",INDEX(Salary_Calculation[Rider Name],ROW()-ROW(Payslip_Lookup[#Headers])))</f>
        <v/>
      </c>
      <c r="F67" s="173" t="str">
        <f aca="false">IF(INDEX(Salary_Calculation[Source Row],ROW()-ROW(Payslip_Lookup[#Headers]))="","",INDEX(Salary_Calculation[Working Days],ROW()-ROW(Payslip_Lookup[#Headers])))</f>
        <v/>
      </c>
      <c r="G67" s="173" t="str">
        <f aca="false">IF(INDEX(Salary_Calculation[Source Row],ROW()-ROW(Payslip_Lookup[#Headers]))="","",INDEX(Salary_Calculation[Calendar Days],ROW()-ROW(Payslip_Lookup[#Headers])))</f>
        <v/>
      </c>
      <c r="H67" s="174" t="str">
        <f aca="false">IF(INDEX(Salary_Calculation[Source Row],ROW()-ROW(Payslip_Lookup[#Headers]))="","",INDEX(Salary_Calculation[Monthly Target Orders],ROW()-ROW(Payslip_Lookup[#Headers])))</f>
        <v/>
      </c>
      <c r="I67" s="174" t="str">
        <f aca="false">IF(INDEX(Salary_Calculation[Source Row],ROW()-ROW(Payslip_Lookup[#Headers]))="","",INDEX(Salary_Calculation[Rider Target Orders],ROW()-ROW(Payslip_Lookup[#Headers])))</f>
        <v/>
      </c>
      <c r="J67" s="175" t="str">
        <f aca="false">IF(INDEX(Salary_Calculation[Source Row],ROW()-ROW(Payslip_Lookup[#Headers]))="","",INDEX(Salary_Calculation[Completed Orders],ROW()-ROW(Payslip_Lookup[#Headers])))</f>
        <v/>
      </c>
      <c r="K67" s="174" t="str">
        <f aca="false">IF(INDEX(Salary_Calculation[Source Row],ROW()-ROW(Payslip_Lookup[#Headers]))="","",INDEX(Salary_Calculation[Base Order Rate],ROW()-ROW(Payslip_Lookup[#Headers])))</f>
        <v/>
      </c>
      <c r="L67" s="176" t="str">
        <f aca="false">IF(INDEX(Salary_Calculation[Source Row],ROW()-ROW(Payslip_Lookup[#Headers]))="","",INDEX(Salary_Calculation[Basic Payment],ROW()-ROW(Payslip_Lookup[#Headers])))</f>
        <v/>
      </c>
      <c r="M67" s="176" t="str">
        <f aca="false">IF(INDEX(Salary_Calculation[Source Row],ROW()-ROW(Payslip_Lookup[#Headers]))="","",INDEX(Salary_Calculation[Earned Salary],ROW()-ROW(Payslip_Lookup[#Headers])))</f>
        <v/>
      </c>
      <c r="N67" s="174" t="str">
        <f aca="false">IF(INDEX(Salary_Calculation[Source Row],ROW()-ROW(Payslip_Lookup[#Headers]))="","",INDEX(Salary_Calculation[Orders Counted at Base Rate],ROW()-ROW(Payslip_Lookup[#Headers])))</f>
        <v/>
      </c>
      <c r="O67" s="174" t="str">
        <f aca="false">IF(INDEX(Salary_Calculation[Source Row],ROW()-ROW(Payslip_Lookup[#Headers]))="","",INDEX(Salary_Calculation[Missing Orders],ROW()-ROW(Payslip_Lookup[#Headers])))</f>
        <v/>
      </c>
      <c r="P67" s="176" t="str">
        <f aca="false">IF(INDEX(Salary_Calculation[Source Row],ROW()-ROW(Payslip_Lookup[#Headers]))="","",INDEX(Salary_Calculation[Missing-Order Deduction],ROW()-ROW(Payslip_Lookup[#Headers])))</f>
        <v/>
      </c>
      <c r="Q67" s="174" t="str">
        <f aca="false">IF(INDEX(Salary_Calculation[Source Row],ROW()-ROW(Payslip_Lookup[#Headers]))="","",INDEX(Salary_Calculation[Extra Orders],ROW()-ROW(Payslip_Lookup[#Headers])))</f>
        <v/>
      </c>
      <c r="R67" s="176" t="str">
        <f aca="false">IF(INDEX(Salary_Calculation[Source Row],ROW()-ROW(Payslip_Lookup[#Headers]))="","",INDEX(Salary_Calculation[Extra-Order Bonus],ROW()-ROW(Payslip_Lookup[#Headers])))</f>
        <v/>
      </c>
      <c r="S67" s="176" t="str">
        <f aca="false">IF(INDEX(Salary_Calculation[Source Row],ROW()-ROW(Payslip_Lookup[#Headers]))="","",INDEX(Salary_Calculation[Basic Salary for Target],ROW()-ROW(Payslip_Lookup[#Headers])))</f>
        <v/>
      </c>
      <c r="T67" s="176" t="str">
        <f aca="false">IF(INDEX(Salary_Calculation[Source Row],ROW()-ROW(Payslip_Lookup[#Headers]))="","",INDEX(Salary_Calculation[Gross Salary Before Deductions],ROW()-ROW(Payslip_Lookup[#Headers])))</f>
        <v/>
      </c>
      <c r="U67" s="176" t="str">
        <f aca="false">IF(INDEX(Salary_Calculation[Source Row],ROW()-ROW(Payslip_Lookup[#Headers]))="","",INDEX(Salary_Calculation[missed_days_penalty],ROW()-ROW(Payslip_Lookup[#Headers])))</f>
        <v/>
      </c>
      <c r="V67" s="176" t="str">
        <f aca="false">IF(INDEX(Salary_Calculation[Source Row],ROW()-ROW(Payslip_Lookup[#Headers]))="","",INDEX(Salary_Calculation[Rider Balance],ROW()-ROW(Payslip_Lookup[#Headers])))</f>
        <v/>
      </c>
      <c r="W67" s="176" t="str">
        <f aca="false">IF(INDEX(Salary_Calculation[Source Row],ROW()-ROW(Payslip_Lookup[#Headers]))="","",INDEX(Salary_Calculation[stacking_deduction],ROW()-ROW(Payslip_Lookup[#Headers])))</f>
        <v/>
      </c>
      <c r="X67" s="176" t="str">
        <f aca="false">IF(INDEX(Salary_Calculation[Source Row],ROW()-ROW(Payslip_Lookup[#Headers]))="","",INDEX(Salary_Calculation[Other Deductions],ROW()-ROW(Payslip_Lookup[#Headers])))</f>
        <v/>
      </c>
      <c r="Y67" s="176" t="str">
        <f aca="false">IF(INDEX(Salary_Calculation[Source Row],ROW()-ROW(Payslip_Lookup[#Headers]))="","",INDEX(Salary_Calculation[Total Deductions],ROW()-ROW(Payslip_Lookup[#Headers])))</f>
        <v/>
      </c>
      <c r="Z67" s="176" t="str">
        <f aca="false">IF(INDEX(Salary_Calculation[Source Row],ROW()-ROW(Payslip_Lookup[#Headers]))="","",INDEX(Salary_Calculation[Final Salary],ROW()-ROW(Payslip_Lookup[#Headers])))</f>
        <v/>
      </c>
      <c r="AA67" s="176" t="str">
        <f aca="false">IF(INDEX(Salary_Calculation[Source Row],ROW()-ROW(Payslip_Lookup[#Headers]))="","",INDEX(Salary_Calculation[Negative Balance / Amount Due from Rider],ROW()-ROW(Payslip_Lookup[#Headers])))</f>
        <v/>
      </c>
      <c r="AB67" s="176" t="str">
        <f aca="false">IF(INDEX(Salary_Calculation[Source Row],ROW()-ROW(Payslip_Lookup[#Headers]))="","",INDEX(Salary_Calculation[Total Amount Due from Rider],ROW()-ROW(Payslip_Lookup[#Headers])))</f>
        <v/>
      </c>
      <c r="AC67" s="176" t="str">
        <f aca="false">IF(INDEX(Salary_Calculation[Source Row],ROW()-ROW(Payslip_Lookup[#Headers]))="","",INDEX(Salary_Calculation[Salary Before Other Deductions],ROW()-ROW(Payslip_Lookup[#Headers])))</f>
        <v/>
      </c>
      <c r="AD67" s="171" t="str">
        <f aca="false">IF(INDEX(Salary_Calculation[Source Row],ROW()-ROW(Payslip_Lookup[#Headers]))="","",INDEX(Salary_Calculation[Payment Status],ROW()-ROW(Payslip_Lookup[#Headers])))</f>
        <v/>
      </c>
      <c r="AE67" s="171" t="str">
        <f aca="false">IF(INDEX(Salary_Calculation[Source Row],ROW()-ROW(Payslip_Lookup[#Headers]))="","",INDEX(Salary_Calculation[Notes],ROW()-ROW(Payslip_Lookup[#Headers])))</f>
        <v/>
      </c>
      <c r="AF67" s="171" t="str">
        <f aca="false">IF(INDEX(Salary_Calculation[Source Row],ROW()-ROW(Payslip_Lookup[#Headers]))="","",INDEX(Salary_Calculation[Exception Reason],ROW()-ROW(Payslip_Lookup[#Headers])))</f>
        <v/>
      </c>
      <c r="AG67" s="173" t="str">
        <f aca="false">IF($AD67="Review Required",COUNTIF(AD$2:AD67,"Review Required"),"")</f>
        <v/>
      </c>
      <c r="AH67" s="173" t="str">
        <f aca="false">IF(AND($D67&lt;&gt;"",$B67=Payslip_Print!$C$2),MAX(AH$1:AH66)+1,"")</f>
        <v/>
      </c>
      <c r="AL67" s="178" t="str">
        <f aca="false">IFERROR(INDEX($D$2:$D$501,MATCH(ROW()-1,$AH$2:$AH$501,0)),"")</f>
        <v/>
      </c>
      <c r="AM67" s="179" t="str">
        <f aca="false">IF($Z67="","",IF(AND($C67&gt;=Dash_Start,$C67&lt;Dash_End),$Z67+ROW()/10000000,""))</f>
        <v/>
      </c>
    </row>
    <row r="68" customFormat="false" ht="14.25" hidden="false" customHeight="false" outlineLevel="0" collapsed="false">
      <c r="A68" s="171" t="str">
        <f aca="false">IF(Payslip_Lookup[[#This Row],[Rider ID]]="","",Payslip_Lookup[[#This Row],[Rider ID]]&amp;"|"&amp;Payslip_Lookup[[#This Row],[Month Key]])</f>
        <v/>
      </c>
      <c r="B68" s="172" t="str">
        <f aca="false">IF(ISNUMBER(Payslip_Lookup[[#This Row],[Salary Month]]),DATE(YEAR(Payslip_Lookup[[#This Row],[Salary Month]]),MONTH(Payslip_Lookup[[#This Row],[Salary Month]]),1),"")</f>
        <v/>
      </c>
      <c r="C68" s="172" t="str">
        <f aca="false">IF(INDEX(Salary_Calculation[Source Row],ROW()-ROW(Payslip_Lookup[#Headers]))="","",INDEX(Salary_Calculation[Salary Month],ROW()-ROW(Payslip_Lookup[#Headers])))</f>
        <v/>
      </c>
      <c r="D68" s="173" t="str">
        <f aca="false">IF(INDEX(Salary_Calculation[Source Row],ROW()-ROW(Payslip_Lookup[#Headers]))="","",INDEX(Salary_Calculation[Rider ID],ROW()-ROW(Payslip_Lookup[#Headers])))</f>
        <v/>
      </c>
      <c r="E68" s="171" t="str">
        <f aca="false">IF(INDEX(Salary_Calculation[Source Row],ROW()-ROW(Payslip_Lookup[#Headers]))="","",INDEX(Salary_Calculation[Rider Name],ROW()-ROW(Payslip_Lookup[#Headers])))</f>
        <v/>
      </c>
      <c r="F68" s="173" t="str">
        <f aca="false">IF(INDEX(Salary_Calculation[Source Row],ROW()-ROW(Payslip_Lookup[#Headers]))="","",INDEX(Salary_Calculation[Working Days],ROW()-ROW(Payslip_Lookup[#Headers])))</f>
        <v/>
      </c>
      <c r="G68" s="173" t="str">
        <f aca="false">IF(INDEX(Salary_Calculation[Source Row],ROW()-ROW(Payslip_Lookup[#Headers]))="","",INDEX(Salary_Calculation[Calendar Days],ROW()-ROW(Payslip_Lookup[#Headers])))</f>
        <v/>
      </c>
      <c r="H68" s="174" t="str">
        <f aca="false">IF(INDEX(Salary_Calculation[Source Row],ROW()-ROW(Payslip_Lookup[#Headers]))="","",INDEX(Salary_Calculation[Monthly Target Orders],ROW()-ROW(Payslip_Lookup[#Headers])))</f>
        <v/>
      </c>
      <c r="I68" s="174" t="str">
        <f aca="false">IF(INDEX(Salary_Calculation[Source Row],ROW()-ROW(Payslip_Lookup[#Headers]))="","",INDEX(Salary_Calculation[Rider Target Orders],ROW()-ROW(Payslip_Lookup[#Headers])))</f>
        <v/>
      </c>
      <c r="J68" s="175" t="str">
        <f aca="false">IF(INDEX(Salary_Calculation[Source Row],ROW()-ROW(Payslip_Lookup[#Headers]))="","",INDEX(Salary_Calculation[Completed Orders],ROW()-ROW(Payslip_Lookup[#Headers])))</f>
        <v/>
      </c>
      <c r="K68" s="174" t="str">
        <f aca="false">IF(INDEX(Salary_Calculation[Source Row],ROW()-ROW(Payslip_Lookup[#Headers]))="","",INDEX(Salary_Calculation[Base Order Rate],ROW()-ROW(Payslip_Lookup[#Headers])))</f>
        <v/>
      </c>
      <c r="L68" s="176" t="str">
        <f aca="false">IF(INDEX(Salary_Calculation[Source Row],ROW()-ROW(Payslip_Lookup[#Headers]))="","",INDEX(Salary_Calculation[Basic Payment],ROW()-ROW(Payslip_Lookup[#Headers])))</f>
        <v/>
      </c>
      <c r="M68" s="176" t="str">
        <f aca="false">IF(INDEX(Salary_Calculation[Source Row],ROW()-ROW(Payslip_Lookup[#Headers]))="","",INDEX(Salary_Calculation[Earned Salary],ROW()-ROW(Payslip_Lookup[#Headers])))</f>
        <v/>
      </c>
      <c r="N68" s="174" t="str">
        <f aca="false">IF(INDEX(Salary_Calculation[Source Row],ROW()-ROW(Payslip_Lookup[#Headers]))="","",INDEX(Salary_Calculation[Orders Counted at Base Rate],ROW()-ROW(Payslip_Lookup[#Headers])))</f>
        <v/>
      </c>
      <c r="O68" s="174" t="str">
        <f aca="false">IF(INDEX(Salary_Calculation[Source Row],ROW()-ROW(Payslip_Lookup[#Headers]))="","",INDEX(Salary_Calculation[Missing Orders],ROW()-ROW(Payslip_Lookup[#Headers])))</f>
        <v/>
      </c>
      <c r="P68" s="176" t="str">
        <f aca="false">IF(INDEX(Salary_Calculation[Source Row],ROW()-ROW(Payslip_Lookup[#Headers]))="","",INDEX(Salary_Calculation[Missing-Order Deduction],ROW()-ROW(Payslip_Lookup[#Headers])))</f>
        <v/>
      </c>
      <c r="Q68" s="174" t="str">
        <f aca="false">IF(INDEX(Salary_Calculation[Source Row],ROW()-ROW(Payslip_Lookup[#Headers]))="","",INDEX(Salary_Calculation[Extra Orders],ROW()-ROW(Payslip_Lookup[#Headers])))</f>
        <v/>
      </c>
      <c r="R68" s="176" t="str">
        <f aca="false">IF(INDEX(Salary_Calculation[Source Row],ROW()-ROW(Payslip_Lookup[#Headers]))="","",INDEX(Salary_Calculation[Extra-Order Bonus],ROW()-ROW(Payslip_Lookup[#Headers])))</f>
        <v/>
      </c>
      <c r="S68" s="176" t="str">
        <f aca="false">IF(INDEX(Salary_Calculation[Source Row],ROW()-ROW(Payslip_Lookup[#Headers]))="","",INDEX(Salary_Calculation[Basic Salary for Target],ROW()-ROW(Payslip_Lookup[#Headers])))</f>
        <v/>
      </c>
      <c r="T68" s="176" t="str">
        <f aca="false">IF(INDEX(Salary_Calculation[Source Row],ROW()-ROW(Payslip_Lookup[#Headers]))="","",INDEX(Salary_Calculation[Gross Salary Before Deductions],ROW()-ROW(Payslip_Lookup[#Headers])))</f>
        <v/>
      </c>
      <c r="U68" s="176" t="str">
        <f aca="false">IF(INDEX(Salary_Calculation[Source Row],ROW()-ROW(Payslip_Lookup[#Headers]))="","",INDEX(Salary_Calculation[missed_days_penalty],ROW()-ROW(Payslip_Lookup[#Headers])))</f>
        <v/>
      </c>
      <c r="V68" s="176" t="str">
        <f aca="false">IF(INDEX(Salary_Calculation[Source Row],ROW()-ROW(Payslip_Lookup[#Headers]))="","",INDEX(Salary_Calculation[Rider Balance],ROW()-ROW(Payslip_Lookup[#Headers])))</f>
        <v/>
      </c>
      <c r="W68" s="176" t="str">
        <f aca="false">IF(INDEX(Salary_Calculation[Source Row],ROW()-ROW(Payslip_Lookup[#Headers]))="","",INDEX(Salary_Calculation[stacking_deduction],ROW()-ROW(Payslip_Lookup[#Headers])))</f>
        <v/>
      </c>
      <c r="X68" s="176" t="str">
        <f aca="false">IF(INDEX(Salary_Calculation[Source Row],ROW()-ROW(Payslip_Lookup[#Headers]))="","",INDEX(Salary_Calculation[Other Deductions],ROW()-ROW(Payslip_Lookup[#Headers])))</f>
        <v/>
      </c>
      <c r="Y68" s="176" t="str">
        <f aca="false">IF(INDEX(Salary_Calculation[Source Row],ROW()-ROW(Payslip_Lookup[#Headers]))="","",INDEX(Salary_Calculation[Total Deductions],ROW()-ROW(Payslip_Lookup[#Headers])))</f>
        <v/>
      </c>
      <c r="Z68" s="176" t="str">
        <f aca="false">IF(INDEX(Salary_Calculation[Source Row],ROW()-ROW(Payslip_Lookup[#Headers]))="","",INDEX(Salary_Calculation[Final Salary],ROW()-ROW(Payslip_Lookup[#Headers])))</f>
        <v/>
      </c>
      <c r="AA68" s="176" t="str">
        <f aca="false">IF(INDEX(Salary_Calculation[Source Row],ROW()-ROW(Payslip_Lookup[#Headers]))="","",INDEX(Salary_Calculation[Negative Balance / Amount Due from Rider],ROW()-ROW(Payslip_Lookup[#Headers])))</f>
        <v/>
      </c>
      <c r="AB68" s="176" t="str">
        <f aca="false">IF(INDEX(Salary_Calculation[Source Row],ROW()-ROW(Payslip_Lookup[#Headers]))="","",INDEX(Salary_Calculation[Total Amount Due from Rider],ROW()-ROW(Payslip_Lookup[#Headers])))</f>
        <v/>
      </c>
      <c r="AC68" s="176" t="str">
        <f aca="false">IF(INDEX(Salary_Calculation[Source Row],ROW()-ROW(Payslip_Lookup[#Headers]))="","",INDEX(Salary_Calculation[Salary Before Other Deductions],ROW()-ROW(Payslip_Lookup[#Headers])))</f>
        <v/>
      </c>
      <c r="AD68" s="171" t="str">
        <f aca="false">IF(INDEX(Salary_Calculation[Source Row],ROW()-ROW(Payslip_Lookup[#Headers]))="","",INDEX(Salary_Calculation[Payment Status],ROW()-ROW(Payslip_Lookup[#Headers])))</f>
        <v/>
      </c>
      <c r="AE68" s="171" t="str">
        <f aca="false">IF(INDEX(Salary_Calculation[Source Row],ROW()-ROW(Payslip_Lookup[#Headers]))="","",INDEX(Salary_Calculation[Notes],ROW()-ROW(Payslip_Lookup[#Headers])))</f>
        <v/>
      </c>
      <c r="AF68" s="171" t="str">
        <f aca="false">IF(INDEX(Salary_Calculation[Source Row],ROW()-ROW(Payslip_Lookup[#Headers]))="","",INDEX(Salary_Calculation[Exception Reason],ROW()-ROW(Payslip_Lookup[#Headers])))</f>
        <v/>
      </c>
      <c r="AG68" s="173" t="str">
        <f aca="false">IF($AD68="Review Required",COUNTIF(AD$2:AD68,"Review Required"),"")</f>
        <v/>
      </c>
      <c r="AH68" s="173" t="str">
        <f aca="false">IF(AND($D68&lt;&gt;"",$B68=Payslip_Print!$C$2),MAX(AH$1:AH67)+1,"")</f>
        <v/>
      </c>
      <c r="AL68" s="178" t="str">
        <f aca="false">IFERROR(INDEX($D$2:$D$501,MATCH(ROW()-1,$AH$2:$AH$501,0)),"")</f>
        <v/>
      </c>
      <c r="AM68" s="179" t="str">
        <f aca="false">IF($Z68="","",IF(AND($C68&gt;=Dash_Start,$C68&lt;Dash_End),$Z68+ROW()/10000000,""))</f>
        <v/>
      </c>
    </row>
    <row r="69" customFormat="false" ht="14.25" hidden="false" customHeight="false" outlineLevel="0" collapsed="false">
      <c r="A69" s="171" t="str">
        <f aca="false">IF(Payslip_Lookup[[#This Row],[Rider ID]]="","",Payslip_Lookup[[#This Row],[Rider ID]]&amp;"|"&amp;Payslip_Lookup[[#This Row],[Month Key]])</f>
        <v/>
      </c>
      <c r="B69" s="172" t="str">
        <f aca="false">IF(ISNUMBER(Payslip_Lookup[[#This Row],[Salary Month]]),DATE(YEAR(Payslip_Lookup[[#This Row],[Salary Month]]),MONTH(Payslip_Lookup[[#This Row],[Salary Month]]),1),"")</f>
        <v/>
      </c>
      <c r="C69" s="172" t="str">
        <f aca="false">IF(INDEX(Salary_Calculation[Source Row],ROW()-ROW(Payslip_Lookup[#Headers]))="","",INDEX(Salary_Calculation[Salary Month],ROW()-ROW(Payslip_Lookup[#Headers])))</f>
        <v/>
      </c>
      <c r="D69" s="173" t="str">
        <f aca="false">IF(INDEX(Salary_Calculation[Source Row],ROW()-ROW(Payslip_Lookup[#Headers]))="","",INDEX(Salary_Calculation[Rider ID],ROW()-ROW(Payslip_Lookup[#Headers])))</f>
        <v/>
      </c>
      <c r="E69" s="171" t="str">
        <f aca="false">IF(INDEX(Salary_Calculation[Source Row],ROW()-ROW(Payslip_Lookup[#Headers]))="","",INDEX(Salary_Calculation[Rider Name],ROW()-ROW(Payslip_Lookup[#Headers])))</f>
        <v/>
      </c>
      <c r="F69" s="173" t="str">
        <f aca="false">IF(INDEX(Salary_Calculation[Source Row],ROW()-ROW(Payslip_Lookup[#Headers]))="","",INDEX(Salary_Calculation[Working Days],ROW()-ROW(Payslip_Lookup[#Headers])))</f>
        <v/>
      </c>
      <c r="G69" s="173" t="str">
        <f aca="false">IF(INDEX(Salary_Calculation[Source Row],ROW()-ROW(Payslip_Lookup[#Headers]))="","",INDEX(Salary_Calculation[Calendar Days],ROW()-ROW(Payslip_Lookup[#Headers])))</f>
        <v/>
      </c>
      <c r="H69" s="174" t="str">
        <f aca="false">IF(INDEX(Salary_Calculation[Source Row],ROW()-ROW(Payslip_Lookup[#Headers]))="","",INDEX(Salary_Calculation[Monthly Target Orders],ROW()-ROW(Payslip_Lookup[#Headers])))</f>
        <v/>
      </c>
      <c r="I69" s="174" t="str">
        <f aca="false">IF(INDEX(Salary_Calculation[Source Row],ROW()-ROW(Payslip_Lookup[#Headers]))="","",INDEX(Salary_Calculation[Rider Target Orders],ROW()-ROW(Payslip_Lookup[#Headers])))</f>
        <v/>
      </c>
      <c r="J69" s="175" t="str">
        <f aca="false">IF(INDEX(Salary_Calculation[Source Row],ROW()-ROW(Payslip_Lookup[#Headers]))="","",INDEX(Salary_Calculation[Completed Orders],ROW()-ROW(Payslip_Lookup[#Headers])))</f>
        <v/>
      </c>
      <c r="K69" s="174" t="str">
        <f aca="false">IF(INDEX(Salary_Calculation[Source Row],ROW()-ROW(Payslip_Lookup[#Headers]))="","",INDEX(Salary_Calculation[Base Order Rate],ROW()-ROW(Payslip_Lookup[#Headers])))</f>
        <v/>
      </c>
      <c r="L69" s="176" t="str">
        <f aca="false">IF(INDEX(Salary_Calculation[Source Row],ROW()-ROW(Payslip_Lookup[#Headers]))="","",INDEX(Salary_Calculation[Basic Payment],ROW()-ROW(Payslip_Lookup[#Headers])))</f>
        <v/>
      </c>
      <c r="M69" s="176" t="str">
        <f aca="false">IF(INDEX(Salary_Calculation[Source Row],ROW()-ROW(Payslip_Lookup[#Headers]))="","",INDEX(Salary_Calculation[Earned Salary],ROW()-ROW(Payslip_Lookup[#Headers])))</f>
        <v/>
      </c>
      <c r="N69" s="174" t="str">
        <f aca="false">IF(INDEX(Salary_Calculation[Source Row],ROW()-ROW(Payslip_Lookup[#Headers]))="","",INDEX(Salary_Calculation[Orders Counted at Base Rate],ROW()-ROW(Payslip_Lookup[#Headers])))</f>
        <v/>
      </c>
      <c r="O69" s="174" t="str">
        <f aca="false">IF(INDEX(Salary_Calculation[Source Row],ROW()-ROW(Payslip_Lookup[#Headers]))="","",INDEX(Salary_Calculation[Missing Orders],ROW()-ROW(Payslip_Lookup[#Headers])))</f>
        <v/>
      </c>
      <c r="P69" s="176" t="str">
        <f aca="false">IF(INDEX(Salary_Calculation[Source Row],ROW()-ROW(Payslip_Lookup[#Headers]))="","",INDEX(Salary_Calculation[Missing-Order Deduction],ROW()-ROW(Payslip_Lookup[#Headers])))</f>
        <v/>
      </c>
      <c r="Q69" s="174" t="str">
        <f aca="false">IF(INDEX(Salary_Calculation[Source Row],ROW()-ROW(Payslip_Lookup[#Headers]))="","",INDEX(Salary_Calculation[Extra Orders],ROW()-ROW(Payslip_Lookup[#Headers])))</f>
        <v/>
      </c>
      <c r="R69" s="176" t="str">
        <f aca="false">IF(INDEX(Salary_Calculation[Source Row],ROW()-ROW(Payslip_Lookup[#Headers]))="","",INDEX(Salary_Calculation[Extra-Order Bonus],ROW()-ROW(Payslip_Lookup[#Headers])))</f>
        <v/>
      </c>
      <c r="S69" s="176" t="str">
        <f aca="false">IF(INDEX(Salary_Calculation[Source Row],ROW()-ROW(Payslip_Lookup[#Headers]))="","",INDEX(Salary_Calculation[Basic Salary for Target],ROW()-ROW(Payslip_Lookup[#Headers])))</f>
        <v/>
      </c>
      <c r="T69" s="176" t="str">
        <f aca="false">IF(INDEX(Salary_Calculation[Source Row],ROW()-ROW(Payslip_Lookup[#Headers]))="","",INDEX(Salary_Calculation[Gross Salary Before Deductions],ROW()-ROW(Payslip_Lookup[#Headers])))</f>
        <v/>
      </c>
      <c r="U69" s="176" t="str">
        <f aca="false">IF(INDEX(Salary_Calculation[Source Row],ROW()-ROW(Payslip_Lookup[#Headers]))="","",INDEX(Salary_Calculation[missed_days_penalty],ROW()-ROW(Payslip_Lookup[#Headers])))</f>
        <v/>
      </c>
      <c r="V69" s="176" t="str">
        <f aca="false">IF(INDEX(Salary_Calculation[Source Row],ROW()-ROW(Payslip_Lookup[#Headers]))="","",INDEX(Salary_Calculation[Rider Balance],ROW()-ROW(Payslip_Lookup[#Headers])))</f>
        <v/>
      </c>
      <c r="W69" s="176" t="str">
        <f aca="false">IF(INDEX(Salary_Calculation[Source Row],ROW()-ROW(Payslip_Lookup[#Headers]))="","",INDEX(Salary_Calculation[stacking_deduction],ROW()-ROW(Payslip_Lookup[#Headers])))</f>
        <v/>
      </c>
      <c r="X69" s="176" t="str">
        <f aca="false">IF(INDEX(Salary_Calculation[Source Row],ROW()-ROW(Payslip_Lookup[#Headers]))="","",INDEX(Salary_Calculation[Other Deductions],ROW()-ROW(Payslip_Lookup[#Headers])))</f>
        <v/>
      </c>
      <c r="Y69" s="176" t="str">
        <f aca="false">IF(INDEX(Salary_Calculation[Source Row],ROW()-ROW(Payslip_Lookup[#Headers]))="","",INDEX(Salary_Calculation[Total Deductions],ROW()-ROW(Payslip_Lookup[#Headers])))</f>
        <v/>
      </c>
      <c r="Z69" s="176" t="str">
        <f aca="false">IF(INDEX(Salary_Calculation[Source Row],ROW()-ROW(Payslip_Lookup[#Headers]))="","",INDEX(Salary_Calculation[Final Salary],ROW()-ROW(Payslip_Lookup[#Headers])))</f>
        <v/>
      </c>
      <c r="AA69" s="176" t="str">
        <f aca="false">IF(INDEX(Salary_Calculation[Source Row],ROW()-ROW(Payslip_Lookup[#Headers]))="","",INDEX(Salary_Calculation[Negative Balance / Amount Due from Rider],ROW()-ROW(Payslip_Lookup[#Headers])))</f>
        <v/>
      </c>
      <c r="AB69" s="176" t="str">
        <f aca="false">IF(INDEX(Salary_Calculation[Source Row],ROW()-ROW(Payslip_Lookup[#Headers]))="","",INDEX(Salary_Calculation[Total Amount Due from Rider],ROW()-ROW(Payslip_Lookup[#Headers])))</f>
        <v/>
      </c>
      <c r="AC69" s="176" t="str">
        <f aca="false">IF(INDEX(Salary_Calculation[Source Row],ROW()-ROW(Payslip_Lookup[#Headers]))="","",INDEX(Salary_Calculation[Salary Before Other Deductions],ROW()-ROW(Payslip_Lookup[#Headers])))</f>
        <v/>
      </c>
      <c r="AD69" s="171" t="str">
        <f aca="false">IF(INDEX(Salary_Calculation[Source Row],ROW()-ROW(Payslip_Lookup[#Headers]))="","",INDEX(Salary_Calculation[Payment Status],ROW()-ROW(Payslip_Lookup[#Headers])))</f>
        <v/>
      </c>
      <c r="AE69" s="171" t="str">
        <f aca="false">IF(INDEX(Salary_Calculation[Source Row],ROW()-ROW(Payslip_Lookup[#Headers]))="","",INDEX(Salary_Calculation[Notes],ROW()-ROW(Payslip_Lookup[#Headers])))</f>
        <v/>
      </c>
      <c r="AF69" s="171" t="str">
        <f aca="false">IF(INDEX(Salary_Calculation[Source Row],ROW()-ROW(Payslip_Lookup[#Headers]))="","",INDEX(Salary_Calculation[Exception Reason],ROW()-ROW(Payslip_Lookup[#Headers])))</f>
        <v/>
      </c>
      <c r="AG69" s="173" t="str">
        <f aca="false">IF($AD69="Review Required",COUNTIF(AD$2:AD69,"Review Required"),"")</f>
        <v/>
      </c>
      <c r="AH69" s="173" t="str">
        <f aca="false">IF(AND($D69&lt;&gt;"",$B69=Payslip_Print!$C$2),MAX(AH$1:AH68)+1,"")</f>
        <v/>
      </c>
      <c r="AL69" s="178" t="str">
        <f aca="false">IFERROR(INDEX($D$2:$D$501,MATCH(ROW()-1,$AH$2:$AH$501,0)),"")</f>
        <v/>
      </c>
      <c r="AM69" s="179" t="str">
        <f aca="false">IF($Z69="","",IF(AND($C69&gt;=Dash_Start,$C69&lt;Dash_End),$Z69+ROW()/10000000,""))</f>
        <v/>
      </c>
    </row>
    <row r="70" customFormat="false" ht="14.25" hidden="false" customHeight="false" outlineLevel="0" collapsed="false">
      <c r="A70" s="171" t="str">
        <f aca="false">IF(Payslip_Lookup[[#This Row],[Rider ID]]="","",Payslip_Lookup[[#This Row],[Rider ID]]&amp;"|"&amp;Payslip_Lookup[[#This Row],[Month Key]])</f>
        <v/>
      </c>
      <c r="B70" s="172" t="str">
        <f aca="false">IF(ISNUMBER(Payslip_Lookup[[#This Row],[Salary Month]]),DATE(YEAR(Payslip_Lookup[[#This Row],[Salary Month]]),MONTH(Payslip_Lookup[[#This Row],[Salary Month]]),1),"")</f>
        <v/>
      </c>
      <c r="C70" s="172" t="str">
        <f aca="false">IF(INDEX(Salary_Calculation[Source Row],ROW()-ROW(Payslip_Lookup[#Headers]))="","",INDEX(Salary_Calculation[Salary Month],ROW()-ROW(Payslip_Lookup[#Headers])))</f>
        <v/>
      </c>
      <c r="D70" s="173" t="str">
        <f aca="false">IF(INDEX(Salary_Calculation[Source Row],ROW()-ROW(Payslip_Lookup[#Headers]))="","",INDEX(Salary_Calculation[Rider ID],ROW()-ROW(Payslip_Lookup[#Headers])))</f>
        <v/>
      </c>
      <c r="E70" s="171" t="str">
        <f aca="false">IF(INDEX(Salary_Calculation[Source Row],ROW()-ROW(Payslip_Lookup[#Headers]))="","",INDEX(Salary_Calculation[Rider Name],ROW()-ROW(Payslip_Lookup[#Headers])))</f>
        <v/>
      </c>
      <c r="F70" s="173" t="str">
        <f aca="false">IF(INDEX(Salary_Calculation[Source Row],ROW()-ROW(Payslip_Lookup[#Headers]))="","",INDEX(Salary_Calculation[Working Days],ROW()-ROW(Payslip_Lookup[#Headers])))</f>
        <v/>
      </c>
      <c r="G70" s="173" t="str">
        <f aca="false">IF(INDEX(Salary_Calculation[Source Row],ROW()-ROW(Payslip_Lookup[#Headers]))="","",INDEX(Salary_Calculation[Calendar Days],ROW()-ROW(Payslip_Lookup[#Headers])))</f>
        <v/>
      </c>
      <c r="H70" s="174" t="str">
        <f aca="false">IF(INDEX(Salary_Calculation[Source Row],ROW()-ROW(Payslip_Lookup[#Headers]))="","",INDEX(Salary_Calculation[Monthly Target Orders],ROW()-ROW(Payslip_Lookup[#Headers])))</f>
        <v/>
      </c>
      <c r="I70" s="174" t="str">
        <f aca="false">IF(INDEX(Salary_Calculation[Source Row],ROW()-ROW(Payslip_Lookup[#Headers]))="","",INDEX(Salary_Calculation[Rider Target Orders],ROW()-ROW(Payslip_Lookup[#Headers])))</f>
        <v/>
      </c>
      <c r="J70" s="175" t="str">
        <f aca="false">IF(INDEX(Salary_Calculation[Source Row],ROW()-ROW(Payslip_Lookup[#Headers]))="","",INDEX(Salary_Calculation[Completed Orders],ROW()-ROW(Payslip_Lookup[#Headers])))</f>
        <v/>
      </c>
      <c r="K70" s="174" t="str">
        <f aca="false">IF(INDEX(Salary_Calculation[Source Row],ROW()-ROW(Payslip_Lookup[#Headers]))="","",INDEX(Salary_Calculation[Base Order Rate],ROW()-ROW(Payslip_Lookup[#Headers])))</f>
        <v/>
      </c>
      <c r="L70" s="176" t="str">
        <f aca="false">IF(INDEX(Salary_Calculation[Source Row],ROW()-ROW(Payslip_Lookup[#Headers]))="","",INDEX(Salary_Calculation[Basic Payment],ROW()-ROW(Payslip_Lookup[#Headers])))</f>
        <v/>
      </c>
      <c r="M70" s="176" t="str">
        <f aca="false">IF(INDEX(Salary_Calculation[Source Row],ROW()-ROW(Payslip_Lookup[#Headers]))="","",INDEX(Salary_Calculation[Earned Salary],ROW()-ROW(Payslip_Lookup[#Headers])))</f>
        <v/>
      </c>
      <c r="N70" s="174" t="str">
        <f aca="false">IF(INDEX(Salary_Calculation[Source Row],ROW()-ROW(Payslip_Lookup[#Headers]))="","",INDEX(Salary_Calculation[Orders Counted at Base Rate],ROW()-ROW(Payslip_Lookup[#Headers])))</f>
        <v/>
      </c>
      <c r="O70" s="174" t="str">
        <f aca="false">IF(INDEX(Salary_Calculation[Source Row],ROW()-ROW(Payslip_Lookup[#Headers]))="","",INDEX(Salary_Calculation[Missing Orders],ROW()-ROW(Payslip_Lookup[#Headers])))</f>
        <v/>
      </c>
      <c r="P70" s="176" t="str">
        <f aca="false">IF(INDEX(Salary_Calculation[Source Row],ROW()-ROW(Payslip_Lookup[#Headers]))="","",INDEX(Salary_Calculation[Missing-Order Deduction],ROW()-ROW(Payslip_Lookup[#Headers])))</f>
        <v/>
      </c>
      <c r="Q70" s="174" t="str">
        <f aca="false">IF(INDEX(Salary_Calculation[Source Row],ROW()-ROW(Payslip_Lookup[#Headers]))="","",INDEX(Salary_Calculation[Extra Orders],ROW()-ROW(Payslip_Lookup[#Headers])))</f>
        <v/>
      </c>
      <c r="R70" s="176" t="str">
        <f aca="false">IF(INDEX(Salary_Calculation[Source Row],ROW()-ROW(Payslip_Lookup[#Headers]))="","",INDEX(Salary_Calculation[Extra-Order Bonus],ROW()-ROW(Payslip_Lookup[#Headers])))</f>
        <v/>
      </c>
      <c r="S70" s="176" t="str">
        <f aca="false">IF(INDEX(Salary_Calculation[Source Row],ROW()-ROW(Payslip_Lookup[#Headers]))="","",INDEX(Salary_Calculation[Basic Salary for Target],ROW()-ROW(Payslip_Lookup[#Headers])))</f>
        <v/>
      </c>
      <c r="T70" s="176" t="str">
        <f aca="false">IF(INDEX(Salary_Calculation[Source Row],ROW()-ROW(Payslip_Lookup[#Headers]))="","",INDEX(Salary_Calculation[Gross Salary Before Deductions],ROW()-ROW(Payslip_Lookup[#Headers])))</f>
        <v/>
      </c>
      <c r="U70" s="176" t="str">
        <f aca="false">IF(INDEX(Salary_Calculation[Source Row],ROW()-ROW(Payslip_Lookup[#Headers]))="","",INDEX(Salary_Calculation[missed_days_penalty],ROW()-ROW(Payslip_Lookup[#Headers])))</f>
        <v/>
      </c>
      <c r="V70" s="176" t="str">
        <f aca="false">IF(INDEX(Salary_Calculation[Source Row],ROW()-ROW(Payslip_Lookup[#Headers]))="","",INDEX(Salary_Calculation[Rider Balance],ROW()-ROW(Payslip_Lookup[#Headers])))</f>
        <v/>
      </c>
      <c r="W70" s="176" t="str">
        <f aca="false">IF(INDEX(Salary_Calculation[Source Row],ROW()-ROW(Payslip_Lookup[#Headers]))="","",INDEX(Salary_Calculation[stacking_deduction],ROW()-ROW(Payslip_Lookup[#Headers])))</f>
        <v/>
      </c>
      <c r="X70" s="176" t="str">
        <f aca="false">IF(INDEX(Salary_Calculation[Source Row],ROW()-ROW(Payslip_Lookup[#Headers]))="","",INDEX(Salary_Calculation[Other Deductions],ROW()-ROW(Payslip_Lookup[#Headers])))</f>
        <v/>
      </c>
      <c r="Y70" s="176" t="str">
        <f aca="false">IF(INDEX(Salary_Calculation[Source Row],ROW()-ROW(Payslip_Lookup[#Headers]))="","",INDEX(Salary_Calculation[Total Deductions],ROW()-ROW(Payslip_Lookup[#Headers])))</f>
        <v/>
      </c>
      <c r="Z70" s="176" t="str">
        <f aca="false">IF(INDEX(Salary_Calculation[Source Row],ROW()-ROW(Payslip_Lookup[#Headers]))="","",INDEX(Salary_Calculation[Final Salary],ROW()-ROW(Payslip_Lookup[#Headers])))</f>
        <v/>
      </c>
      <c r="AA70" s="176" t="str">
        <f aca="false">IF(INDEX(Salary_Calculation[Source Row],ROW()-ROW(Payslip_Lookup[#Headers]))="","",INDEX(Salary_Calculation[Negative Balance / Amount Due from Rider],ROW()-ROW(Payslip_Lookup[#Headers])))</f>
        <v/>
      </c>
      <c r="AB70" s="176" t="str">
        <f aca="false">IF(INDEX(Salary_Calculation[Source Row],ROW()-ROW(Payslip_Lookup[#Headers]))="","",INDEX(Salary_Calculation[Total Amount Due from Rider],ROW()-ROW(Payslip_Lookup[#Headers])))</f>
        <v/>
      </c>
      <c r="AC70" s="176" t="str">
        <f aca="false">IF(INDEX(Salary_Calculation[Source Row],ROW()-ROW(Payslip_Lookup[#Headers]))="","",INDEX(Salary_Calculation[Salary Before Other Deductions],ROW()-ROW(Payslip_Lookup[#Headers])))</f>
        <v/>
      </c>
      <c r="AD70" s="171" t="str">
        <f aca="false">IF(INDEX(Salary_Calculation[Source Row],ROW()-ROW(Payslip_Lookup[#Headers]))="","",INDEX(Salary_Calculation[Payment Status],ROW()-ROW(Payslip_Lookup[#Headers])))</f>
        <v/>
      </c>
      <c r="AE70" s="171" t="str">
        <f aca="false">IF(INDEX(Salary_Calculation[Source Row],ROW()-ROW(Payslip_Lookup[#Headers]))="","",INDEX(Salary_Calculation[Notes],ROW()-ROW(Payslip_Lookup[#Headers])))</f>
        <v/>
      </c>
      <c r="AF70" s="171" t="str">
        <f aca="false">IF(INDEX(Salary_Calculation[Source Row],ROW()-ROW(Payslip_Lookup[#Headers]))="","",INDEX(Salary_Calculation[Exception Reason],ROW()-ROW(Payslip_Lookup[#Headers])))</f>
        <v/>
      </c>
      <c r="AG70" s="173" t="str">
        <f aca="false">IF($AD70="Review Required",COUNTIF(AD$2:AD70,"Review Required"),"")</f>
        <v/>
      </c>
      <c r="AH70" s="173" t="str">
        <f aca="false">IF(AND($D70&lt;&gt;"",$B70=Payslip_Print!$C$2),MAX(AH$1:AH69)+1,"")</f>
        <v/>
      </c>
      <c r="AL70" s="178" t="str">
        <f aca="false">IFERROR(INDEX($D$2:$D$501,MATCH(ROW()-1,$AH$2:$AH$501,0)),"")</f>
        <v/>
      </c>
      <c r="AM70" s="179" t="str">
        <f aca="false">IF($Z70="","",IF(AND($C70&gt;=Dash_Start,$C70&lt;Dash_End),$Z70+ROW()/10000000,""))</f>
        <v/>
      </c>
    </row>
    <row r="71" customFormat="false" ht="14.25" hidden="false" customHeight="false" outlineLevel="0" collapsed="false">
      <c r="A71" s="171" t="str">
        <f aca="false">IF(Payslip_Lookup[[#This Row],[Rider ID]]="","",Payslip_Lookup[[#This Row],[Rider ID]]&amp;"|"&amp;Payslip_Lookup[[#This Row],[Month Key]])</f>
        <v/>
      </c>
      <c r="B71" s="172" t="str">
        <f aca="false">IF(ISNUMBER(Payslip_Lookup[[#This Row],[Salary Month]]),DATE(YEAR(Payslip_Lookup[[#This Row],[Salary Month]]),MONTH(Payslip_Lookup[[#This Row],[Salary Month]]),1),"")</f>
        <v/>
      </c>
      <c r="C71" s="172" t="str">
        <f aca="false">IF(INDEX(Salary_Calculation[Source Row],ROW()-ROW(Payslip_Lookup[#Headers]))="","",INDEX(Salary_Calculation[Salary Month],ROW()-ROW(Payslip_Lookup[#Headers])))</f>
        <v/>
      </c>
      <c r="D71" s="173" t="str">
        <f aca="false">IF(INDEX(Salary_Calculation[Source Row],ROW()-ROW(Payslip_Lookup[#Headers]))="","",INDEX(Salary_Calculation[Rider ID],ROW()-ROW(Payslip_Lookup[#Headers])))</f>
        <v/>
      </c>
      <c r="E71" s="171" t="str">
        <f aca="false">IF(INDEX(Salary_Calculation[Source Row],ROW()-ROW(Payslip_Lookup[#Headers]))="","",INDEX(Salary_Calculation[Rider Name],ROW()-ROW(Payslip_Lookup[#Headers])))</f>
        <v/>
      </c>
      <c r="F71" s="173" t="str">
        <f aca="false">IF(INDEX(Salary_Calculation[Source Row],ROW()-ROW(Payslip_Lookup[#Headers]))="","",INDEX(Salary_Calculation[Working Days],ROW()-ROW(Payslip_Lookup[#Headers])))</f>
        <v/>
      </c>
      <c r="G71" s="173" t="str">
        <f aca="false">IF(INDEX(Salary_Calculation[Source Row],ROW()-ROW(Payslip_Lookup[#Headers]))="","",INDEX(Salary_Calculation[Calendar Days],ROW()-ROW(Payslip_Lookup[#Headers])))</f>
        <v/>
      </c>
      <c r="H71" s="174" t="str">
        <f aca="false">IF(INDEX(Salary_Calculation[Source Row],ROW()-ROW(Payslip_Lookup[#Headers]))="","",INDEX(Salary_Calculation[Monthly Target Orders],ROW()-ROW(Payslip_Lookup[#Headers])))</f>
        <v/>
      </c>
      <c r="I71" s="174" t="str">
        <f aca="false">IF(INDEX(Salary_Calculation[Source Row],ROW()-ROW(Payslip_Lookup[#Headers]))="","",INDEX(Salary_Calculation[Rider Target Orders],ROW()-ROW(Payslip_Lookup[#Headers])))</f>
        <v/>
      </c>
      <c r="J71" s="175" t="str">
        <f aca="false">IF(INDEX(Salary_Calculation[Source Row],ROW()-ROW(Payslip_Lookup[#Headers]))="","",INDEX(Salary_Calculation[Completed Orders],ROW()-ROW(Payslip_Lookup[#Headers])))</f>
        <v/>
      </c>
      <c r="K71" s="174" t="str">
        <f aca="false">IF(INDEX(Salary_Calculation[Source Row],ROW()-ROW(Payslip_Lookup[#Headers]))="","",INDEX(Salary_Calculation[Base Order Rate],ROW()-ROW(Payslip_Lookup[#Headers])))</f>
        <v/>
      </c>
      <c r="L71" s="176" t="str">
        <f aca="false">IF(INDEX(Salary_Calculation[Source Row],ROW()-ROW(Payslip_Lookup[#Headers]))="","",INDEX(Salary_Calculation[Basic Payment],ROW()-ROW(Payslip_Lookup[#Headers])))</f>
        <v/>
      </c>
      <c r="M71" s="176" t="str">
        <f aca="false">IF(INDEX(Salary_Calculation[Source Row],ROW()-ROW(Payslip_Lookup[#Headers]))="","",INDEX(Salary_Calculation[Earned Salary],ROW()-ROW(Payslip_Lookup[#Headers])))</f>
        <v/>
      </c>
      <c r="N71" s="174" t="str">
        <f aca="false">IF(INDEX(Salary_Calculation[Source Row],ROW()-ROW(Payslip_Lookup[#Headers]))="","",INDEX(Salary_Calculation[Orders Counted at Base Rate],ROW()-ROW(Payslip_Lookup[#Headers])))</f>
        <v/>
      </c>
      <c r="O71" s="174" t="str">
        <f aca="false">IF(INDEX(Salary_Calculation[Source Row],ROW()-ROW(Payslip_Lookup[#Headers]))="","",INDEX(Salary_Calculation[Missing Orders],ROW()-ROW(Payslip_Lookup[#Headers])))</f>
        <v/>
      </c>
      <c r="P71" s="176" t="str">
        <f aca="false">IF(INDEX(Salary_Calculation[Source Row],ROW()-ROW(Payslip_Lookup[#Headers]))="","",INDEX(Salary_Calculation[Missing-Order Deduction],ROW()-ROW(Payslip_Lookup[#Headers])))</f>
        <v/>
      </c>
      <c r="Q71" s="174" t="str">
        <f aca="false">IF(INDEX(Salary_Calculation[Source Row],ROW()-ROW(Payslip_Lookup[#Headers]))="","",INDEX(Salary_Calculation[Extra Orders],ROW()-ROW(Payslip_Lookup[#Headers])))</f>
        <v/>
      </c>
      <c r="R71" s="176" t="str">
        <f aca="false">IF(INDEX(Salary_Calculation[Source Row],ROW()-ROW(Payslip_Lookup[#Headers]))="","",INDEX(Salary_Calculation[Extra-Order Bonus],ROW()-ROW(Payslip_Lookup[#Headers])))</f>
        <v/>
      </c>
      <c r="S71" s="176" t="str">
        <f aca="false">IF(INDEX(Salary_Calculation[Source Row],ROW()-ROW(Payslip_Lookup[#Headers]))="","",INDEX(Salary_Calculation[Basic Salary for Target],ROW()-ROW(Payslip_Lookup[#Headers])))</f>
        <v/>
      </c>
      <c r="T71" s="176" t="str">
        <f aca="false">IF(INDEX(Salary_Calculation[Source Row],ROW()-ROW(Payslip_Lookup[#Headers]))="","",INDEX(Salary_Calculation[Gross Salary Before Deductions],ROW()-ROW(Payslip_Lookup[#Headers])))</f>
        <v/>
      </c>
      <c r="U71" s="176" t="str">
        <f aca="false">IF(INDEX(Salary_Calculation[Source Row],ROW()-ROW(Payslip_Lookup[#Headers]))="","",INDEX(Salary_Calculation[missed_days_penalty],ROW()-ROW(Payslip_Lookup[#Headers])))</f>
        <v/>
      </c>
      <c r="V71" s="176" t="str">
        <f aca="false">IF(INDEX(Salary_Calculation[Source Row],ROW()-ROW(Payslip_Lookup[#Headers]))="","",INDEX(Salary_Calculation[Rider Balance],ROW()-ROW(Payslip_Lookup[#Headers])))</f>
        <v/>
      </c>
      <c r="W71" s="176" t="str">
        <f aca="false">IF(INDEX(Salary_Calculation[Source Row],ROW()-ROW(Payslip_Lookup[#Headers]))="","",INDEX(Salary_Calculation[stacking_deduction],ROW()-ROW(Payslip_Lookup[#Headers])))</f>
        <v/>
      </c>
      <c r="X71" s="176" t="str">
        <f aca="false">IF(INDEX(Salary_Calculation[Source Row],ROW()-ROW(Payslip_Lookup[#Headers]))="","",INDEX(Salary_Calculation[Other Deductions],ROW()-ROW(Payslip_Lookup[#Headers])))</f>
        <v/>
      </c>
      <c r="Y71" s="176" t="str">
        <f aca="false">IF(INDEX(Salary_Calculation[Source Row],ROW()-ROW(Payslip_Lookup[#Headers]))="","",INDEX(Salary_Calculation[Total Deductions],ROW()-ROW(Payslip_Lookup[#Headers])))</f>
        <v/>
      </c>
      <c r="Z71" s="176" t="str">
        <f aca="false">IF(INDEX(Salary_Calculation[Source Row],ROW()-ROW(Payslip_Lookup[#Headers]))="","",INDEX(Salary_Calculation[Final Salary],ROW()-ROW(Payslip_Lookup[#Headers])))</f>
        <v/>
      </c>
      <c r="AA71" s="176" t="str">
        <f aca="false">IF(INDEX(Salary_Calculation[Source Row],ROW()-ROW(Payslip_Lookup[#Headers]))="","",INDEX(Salary_Calculation[Negative Balance / Amount Due from Rider],ROW()-ROW(Payslip_Lookup[#Headers])))</f>
        <v/>
      </c>
      <c r="AB71" s="176" t="str">
        <f aca="false">IF(INDEX(Salary_Calculation[Source Row],ROW()-ROW(Payslip_Lookup[#Headers]))="","",INDEX(Salary_Calculation[Total Amount Due from Rider],ROW()-ROW(Payslip_Lookup[#Headers])))</f>
        <v/>
      </c>
      <c r="AC71" s="176" t="str">
        <f aca="false">IF(INDEX(Salary_Calculation[Source Row],ROW()-ROW(Payslip_Lookup[#Headers]))="","",INDEX(Salary_Calculation[Salary Before Other Deductions],ROW()-ROW(Payslip_Lookup[#Headers])))</f>
        <v/>
      </c>
      <c r="AD71" s="171" t="str">
        <f aca="false">IF(INDEX(Salary_Calculation[Source Row],ROW()-ROW(Payslip_Lookup[#Headers]))="","",INDEX(Salary_Calculation[Payment Status],ROW()-ROW(Payslip_Lookup[#Headers])))</f>
        <v/>
      </c>
      <c r="AE71" s="171" t="str">
        <f aca="false">IF(INDEX(Salary_Calculation[Source Row],ROW()-ROW(Payslip_Lookup[#Headers]))="","",INDEX(Salary_Calculation[Notes],ROW()-ROW(Payslip_Lookup[#Headers])))</f>
        <v/>
      </c>
      <c r="AF71" s="171" t="str">
        <f aca="false">IF(INDEX(Salary_Calculation[Source Row],ROW()-ROW(Payslip_Lookup[#Headers]))="","",INDEX(Salary_Calculation[Exception Reason],ROW()-ROW(Payslip_Lookup[#Headers])))</f>
        <v/>
      </c>
      <c r="AG71" s="173" t="str">
        <f aca="false">IF($AD71="Review Required",COUNTIF(AD$2:AD71,"Review Required"),"")</f>
        <v/>
      </c>
      <c r="AH71" s="173" t="str">
        <f aca="false">IF(AND($D71&lt;&gt;"",$B71=Payslip_Print!$C$2),MAX(AH$1:AH70)+1,"")</f>
        <v/>
      </c>
      <c r="AL71" s="178" t="str">
        <f aca="false">IFERROR(INDEX($D$2:$D$501,MATCH(ROW()-1,$AH$2:$AH$501,0)),"")</f>
        <v/>
      </c>
      <c r="AM71" s="179" t="str">
        <f aca="false">IF($Z71="","",IF(AND($C71&gt;=Dash_Start,$C71&lt;Dash_End),$Z71+ROW()/10000000,""))</f>
        <v/>
      </c>
    </row>
    <row r="72" customFormat="false" ht="14.25" hidden="false" customHeight="false" outlineLevel="0" collapsed="false">
      <c r="A72" s="171" t="str">
        <f aca="false">IF(Payslip_Lookup[[#This Row],[Rider ID]]="","",Payslip_Lookup[[#This Row],[Rider ID]]&amp;"|"&amp;Payslip_Lookup[[#This Row],[Month Key]])</f>
        <v/>
      </c>
      <c r="B72" s="172" t="str">
        <f aca="false">IF(ISNUMBER(Payslip_Lookup[[#This Row],[Salary Month]]),DATE(YEAR(Payslip_Lookup[[#This Row],[Salary Month]]),MONTH(Payslip_Lookup[[#This Row],[Salary Month]]),1),"")</f>
        <v/>
      </c>
      <c r="C72" s="172" t="str">
        <f aca="false">IF(INDEX(Salary_Calculation[Source Row],ROW()-ROW(Payslip_Lookup[#Headers]))="","",INDEX(Salary_Calculation[Salary Month],ROW()-ROW(Payslip_Lookup[#Headers])))</f>
        <v/>
      </c>
      <c r="D72" s="173" t="str">
        <f aca="false">IF(INDEX(Salary_Calculation[Source Row],ROW()-ROW(Payslip_Lookup[#Headers]))="","",INDEX(Salary_Calculation[Rider ID],ROW()-ROW(Payslip_Lookup[#Headers])))</f>
        <v/>
      </c>
      <c r="E72" s="171" t="str">
        <f aca="false">IF(INDEX(Salary_Calculation[Source Row],ROW()-ROW(Payslip_Lookup[#Headers]))="","",INDEX(Salary_Calculation[Rider Name],ROW()-ROW(Payslip_Lookup[#Headers])))</f>
        <v/>
      </c>
      <c r="F72" s="173" t="str">
        <f aca="false">IF(INDEX(Salary_Calculation[Source Row],ROW()-ROW(Payslip_Lookup[#Headers]))="","",INDEX(Salary_Calculation[Working Days],ROW()-ROW(Payslip_Lookup[#Headers])))</f>
        <v/>
      </c>
      <c r="G72" s="173" t="str">
        <f aca="false">IF(INDEX(Salary_Calculation[Source Row],ROW()-ROW(Payslip_Lookup[#Headers]))="","",INDEX(Salary_Calculation[Calendar Days],ROW()-ROW(Payslip_Lookup[#Headers])))</f>
        <v/>
      </c>
      <c r="H72" s="174" t="str">
        <f aca="false">IF(INDEX(Salary_Calculation[Source Row],ROW()-ROW(Payslip_Lookup[#Headers]))="","",INDEX(Salary_Calculation[Monthly Target Orders],ROW()-ROW(Payslip_Lookup[#Headers])))</f>
        <v/>
      </c>
      <c r="I72" s="174" t="str">
        <f aca="false">IF(INDEX(Salary_Calculation[Source Row],ROW()-ROW(Payslip_Lookup[#Headers]))="","",INDEX(Salary_Calculation[Rider Target Orders],ROW()-ROW(Payslip_Lookup[#Headers])))</f>
        <v/>
      </c>
      <c r="J72" s="175" t="str">
        <f aca="false">IF(INDEX(Salary_Calculation[Source Row],ROW()-ROW(Payslip_Lookup[#Headers]))="","",INDEX(Salary_Calculation[Completed Orders],ROW()-ROW(Payslip_Lookup[#Headers])))</f>
        <v/>
      </c>
      <c r="K72" s="174" t="str">
        <f aca="false">IF(INDEX(Salary_Calculation[Source Row],ROW()-ROW(Payslip_Lookup[#Headers]))="","",INDEX(Salary_Calculation[Base Order Rate],ROW()-ROW(Payslip_Lookup[#Headers])))</f>
        <v/>
      </c>
      <c r="L72" s="176" t="str">
        <f aca="false">IF(INDEX(Salary_Calculation[Source Row],ROW()-ROW(Payslip_Lookup[#Headers]))="","",INDEX(Salary_Calculation[Basic Payment],ROW()-ROW(Payslip_Lookup[#Headers])))</f>
        <v/>
      </c>
      <c r="M72" s="176" t="str">
        <f aca="false">IF(INDEX(Salary_Calculation[Source Row],ROW()-ROW(Payslip_Lookup[#Headers]))="","",INDEX(Salary_Calculation[Earned Salary],ROW()-ROW(Payslip_Lookup[#Headers])))</f>
        <v/>
      </c>
      <c r="N72" s="174" t="str">
        <f aca="false">IF(INDEX(Salary_Calculation[Source Row],ROW()-ROW(Payslip_Lookup[#Headers]))="","",INDEX(Salary_Calculation[Orders Counted at Base Rate],ROW()-ROW(Payslip_Lookup[#Headers])))</f>
        <v/>
      </c>
      <c r="O72" s="174" t="str">
        <f aca="false">IF(INDEX(Salary_Calculation[Source Row],ROW()-ROW(Payslip_Lookup[#Headers]))="","",INDEX(Salary_Calculation[Missing Orders],ROW()-ROW(Payslip_Lookup[#Headers])))</f>
        <v/>
      </c>
      <c r="P72" s="176" t="str">
        <f aca="false">IF(INDEX(Salary_Calculation[Source Row],ROW()-ROW(Payslip_Lookup[#Headers]))="","",INDEX(Salary_Calculation[Missing-Order Deduction],ROW()-ROW(Payslip_Lookup[#Headers])))</f>
        <v/>
      </c>
      <c r="Q72" s="174" t="str">
        <f aca="false">IF(INDEX(Salary_Calculation[Source Row],ROW()-ROW(Payslip_Lookup[#Headers]))="","",INDEX(Salary_Calculation[Extra Orders],ROW()-ROW(Payslip_Lookup[#Headers])))</f>
        <v/>
      </c>
      <c r="R72" s="176" t="str">
        <f aca="false">IF(INDEX(Salary_Calculation[Source Row],ROW()-ROW(Payslip_Lookup[#Headers]))="","",INDEX(Salary_Calculation[Extra-Order Bonus],ROW()-ROW(Payslip_Lookup[#Headers])))</f>
        <v/>
      </c>
      <c r="S72" s="176" t="str">
        <f aca="false">IF(INDEX(Salary_Calculation[Source Row],ROW()-ROW(Payslip_Lookup[#Headers]))="","",INDEX(Salary_Calculation[Basic Salary for Target],ROW()-ROW(Payslip_Lookup[#Headers])))</f>
        <v/>
      </c>
      <c r="T72" s="176" t="str">
        <f aca="false">IF(INDEX(Salary_Calculation[Source Row],ROW()-ROW(Payslip_Lookup[#Headers]))="","",INDEX(Salary_Calculation[Gross Salary Before Deductions],ROW()-ROW(Payslip_Lookup[#Headers])))</f>
        <v/>
      </c>
      <c r="U72" s="176" t="str">
        <f aca="false">IF(INDEX(Salary_Calculation[Source Row],ROW()-ROW(Payslip_Lookup[#Headers]))="","",INDEX(Salary_Calculation[missed_days_penalty],ROW()-ROW(Payslip_Lookup[#Headers])))</f>
        <v/>
      </c>
      <c r="V72" s="176" t="str">
        <f aca="false">IF(INDEX(Salary_Calculation[Source Row],ROW()-ROW(Payslip_Lookup[#Headers]))="","",INDEX(Salary_Calculation[Rider Balance],ROW()-ROW(Payslip_Lookup[#Headers])))</f>
        <v/>
      </c>
      <c r="W72" s="176" t="str">
        <f aca="false">IF(INDEX(Salary_Calculation[Source Row],ROW()-ROW(Payslip_Lookup[#Headers]))="","",INDEX(Salary_Calculation[stacking_deduction],ROW()-ROW(Payslip_Lookup[#Headers])))</f>
        <v/>
      </c>
      <c r="X72" s="176" t="str">
        <f aca="false">IF(INDEX(Salary_Calculation[Source Row],ROW()-ROW(Payslip_Lookup[#Headers]))="","",INDEX(Salary_Calculation[Other Deductions],ROW()-ROW(Payslip_Lookup[#Headers])))</f>
        <v/>
      </c>
      <c r="Y72" s="176" t="str">
        <f aca="false">IF(INDEX(Salary_Calculation[Source Row],ROW()-ROW(Payslip_Lookup[#Headers]))="","",INDEX(Salary_Calculation[Total Deductions],ROW()-ROW(Payslip_Lookup[#Headers])))</f>
        <v/>
      </c>
      <c r="Z72" s="176" t="str">
        <f aca="false">IF(INDEX(Salary_Calculation[Source Row],ROW()-ROW(Payslip_Lookup[#Headers]))="","",INDEX(Salary_Calculation[Final Salary],ROW()-ROW(Payslip_Lookup[#Headers])))</f>
        <v/>
      </c>
      <c r="AA72" s="176" t="str">
        <f aca="false">IF(INDEX(Salary_Calculation[Source Row],ROW()-ROW(Payslip_Lookup[#Headers]))="","",INDEX(Salary_Calculation[Negative Balance / Amount Due from Rider],ROW()-ROW(Payslip_Lookup[#Headers])))</f>
        <v/>
      </c>
      <c r="AB72" s="176" t="str">
        <f aca="false">IF(INDEX(Salary_Calculation[Source Row],ROW()-ROW(Payslip_Lookup[#Headers]))="","",INDEX(Salary_Calculation[Total Amount Due from Rider],ROW()-ROW(Payslip_Lookup[#Headers])))</f>
        <v/>
      </c>
      <c r="AC72" s="176" t="str">
        <f aca="false">IF(INDEX(Salary_Calculation[Source Row],ROW()-ROW(Payslip_Lookup[#Headers]))="","",INDEX(Salary_Calculation[Salary Before Other Deductions],ROW()-ROW(Payslip_Lookup[#Headers])))</f>
        <v/>
      </c>
      <c r="AD72" s="171" t="str">
        <f aca="false">IF(INDEX(Salary_Calculation[Source Row],ROW()-ROW(Payslip_Lookup[#Headers]))="","",INDEX(Salary_Calculation[Payment Status],ROW()-ROW(Payslip_Lookup[#Headers])))</f>
        <v/>
      </c>
      <c r="AE72" s="171" t="str">
        <f aca="false">IF(INDEX(Salary_Calculation[Source Row],ROW()-ROW(Payslip_Lookup[#Headers]))="","",INDEX(Salary_Calculation[Notes],ROW()-ROW(Payslip_Lookup[#Headers])))</f>
        <v/>
      </c>
      <c r="AF72" s="171" t="str">
        <f aca="false">IF(INDEX(Salary_Calculation[Source Row],ROW()-ROW(Payslip_Lookup[#Headers]))="","",INDEX(Salary_Calculation[Exception Reason],ROW()-ROW(Payslip_Lookup[#Headers])))</f>
        <v/>
      </c>
      <c r="AG72" s="173" t="str">
        <f aca="false">IF($AD72="Review Required",COUNTIF(AD$2:AD72,"Review Required"),"")</f>
        <v/>
      </c>
      <c r="AH72" s="173" t="str">
        <f aca="false">IF(AND($D72&lt;&gt;"",$B72=Payslip_Print!$C$2),MAX(AH$1:AH71)+1,"")</f>
        <v/>
      </c>
      <c r="AL72" s="178" t="str">
        <f aca="false">IFERROR(INDEX($D$2:$D$501,MATCH(ROW()-1,$AH$2:$AH$501,0)),"")</f>
        <v/>
      </c>
      <c r="AM72" s="179" t="str">
        <f aca="false">IF($Z72="","",IF(AND($C72&gt;=Dash_Start,$C72&lt;Dash_End),$Z72+ROW()/10000000,""))</f>
        <v/>
      </c>
    </row>
    <row r="73" customFormat="false" ht="14.25" hidden="false" customHeight="false" outlineLevel="0" collapsed="false">
      <c r="A73" s="171" t="str">
        <f aca="false">IF(Payslip_Lookup[[#This Row],[Rider ID]]="","",Payslip_Lookup[[#This Row],[Rider ID]]&amp;"|"&amp;Payslip_Lookup[[#This Row],[Month Key]])</f>
        <v/>
      </c>
      <c r="B73" s="172" t="str">
        <f aca="false">IF(ISNUMBER(Payslip_Lookup[[#This Row],[Salary Month]]),DATE(YEAR(Payslip_Lookup[[#This Row],[Salary Month]]),MONTH(Payslip_Lookup[[#This Row],[Salary Month]]),1),"")</f>
        <v/>
      </c>
      <c r="C73" s="172" t="str">
        <f aca="false">IF(INDEX(Salary_Calculation[Source Row],ROW()-ROW(Payslip_Lookup[#Headers]))="","",INDEX(Salary_Calculation[Salary Month],ROW()-ROW(Payslip_Lookup[#Headers])))</f>
        <v/>
      </c>
      <c r="D73" s="173" t="str">
        <f aca="false">IF(INDEX(Salary_Calculation[Source Row],ROW()-ROW(Payslip_Lookup[#Headers]))="","",INDEX(Salary_Calculation[Rider ID],ROW()-ROW(Payslip_Lookup[#Headers])))</f>
        <v/>
      </c>
      <c r="E73" s="171" t="str">
        <f aca="false">IF(INDEX(Salary_Calculation[Source Row],ROW()-ROW(Payslip_Lookup[#Headers]))="","",INDEX(Salary_Calculation[Rider Name],ROW()-ROW(Payslip_Lookup[#Headers])))</f>
        <v/>
      </c>
      <c r="F73" s="173" t="str">
        <f aca="false">IF(INDEX(Salary_Calculation[Source Row],ROW()-ROW(Payslip_Lookup[#Headers]))="","",INDEX(Salary_Calculation[Working Days],ROW()-ROW(Payslip_Lookup[#Headers])))</f>
        <v/>
      </c>
      <c r="G73" s="173" t="str">
        <f aca="false">IF(INDEX(Salary_Calculation[Source Row],ROW()-ROW(Payslip_Lookup[#Headers]))="","",INDEX(Salary_Calculation[Calendar Days],ROW()-ROW(Payslip_Lookup[#Headers])))</f>
        <v/>
      </c>
      <c r="H73" s="174" t="str">
        <f aca="false">IF(INDEX(Salary_Calculation[Source Row],ROW()-ROW(Payslip_Lookup[#Headers]))="","",INDEX(Salary_Calculation[Monthly Target Orders],ROW()-ROW(Payslip_Lookup[#Headers])))</f>
        <v/>
      </c>
      <c r="I73" s="174" t="str">
        <f aca="false">IF(INDEX(Salary_Calculation[Source Row],ROW()-ROW(Payslip_Lookup[#Headers]))="","",INDEX(Salary_Calculation[Rider Target Orders],ROW()-ROW(Payslip_Lookup[#Headers])))</f>
        <v/>
      </c>
      <c r="J73" s="175" t="str">
        <f aca="false">IF(INDEX(Salary_Calculation[Source Row],ROW()-ROW(Payslip_Lookup[#Headers]))="","",INDEX(Salary_Calculation[Completed Orders],ROW()-ROW(Payslip_Lookup[#Headers])))</f>
        <v/>
      </c>
      <c r="K73" s="174" t="str">
        <f aca="false">IF(INDEX(Salary_Calculation[Source Row],ROW()-ROW(Payslip_Lookup[#Headers]))="","",INDEX(Salary_Calculation[Base Order Rate],ROW()-ROW(Payslip_Lookup[#Headers])))</f>
        <v/>
      </c>
      <c r="L73" s="176" t="str">
        <f aca="false">IF(INDEX(Salary_Calculation[Source Row],ROW()-ROW(Payslip_Lookup[#Headers]))="","",INDEX(Salary_Calculation[Basic Payment],ROW()-ROW(Payslip_Lookup[#Headers])))</f>
        <v/>
      </c>
      <c r="M73" s="176" t="str">
        <f aca="false">IF(INDEX(Salary_Calculation[Source Row],ROW()-ROW(Payslip_Lookup[#Headers]))="","",INDEX(Salary_Calculation[Earned Salary],ROW()-ROW(Payslip_Lookup[#Headers])))</f>
        <v/>
      </c>
      <c r="N73" s="174" t="str">
        <f aca="false">IF(INDEX(Salary_Calculation[Source Row],ROW()-ROW(Payslip_Lookup[#Headers]))="","",INDEX(Salary_Calculation[Orders Counted at Base Rate],ROW()-ROW(Payslip_Lookup[#Headers])))</f>
        <v/>
      </c>
      <c r="O73" s="174" t="str">
        <f aca="false">IF(INDEX(Salary_Calculation[Source Row],ROW()-ROW(Payslip_Lookup[#Headers]))="","",INDEX(Salary_Calculation[Missing Orders],ROW()-ROW(Payslip_Lookup[#Headers])))</f>
        <v/>
      </c>
      <c r="P73" s="176" t="str">
        <f aca="false">IF(INDEX(Salary_Calculation[Source Row],ROW()-ROW(Payslip_Lookup[#Headers]))="","",INDEX(Salary_Calculation[Missing-Order Deduction],ROW()-ROW(Payslip_Lookup[#Headers])))</f>
        <v/>
      </c>
      <c r="Q73" s="174" t="str">
        <f aca="false">IF(INDEX(Salary_Calculation[Source Row],ROW()-ROW(Payslip_Lookup[#Headers]))="","",INDEX(Salary_Calculation[Extra Orders],ROW()-ROW(Payslip_Lookup[#Headers])))</f>
        <v/>
      </c>
      <c r="R73" s="176" t="str">
        <f aca="false">IF(INDEX(Salary_Calculation[Source Row],ROW()-ROW(Payslip_Lookup[#Headers]))="","",INDEX(Salary_Calculation[Extra-Order Bonus],ROW()-ROW(Payslip_Lookup[#Headers])))</f>
        <v/>
      </c>
      <c r="S73" s="176" t="str">
        <f aca="false">IF(INDEX(Salary_Calculation[Source Row],ROW()-ROW(Payslip_Lookup[#Headers]))="","",INDEX(Salary_Calculation[Basic Salary for Target],ROW()-ROW(Payslip_Lookup[#Headers])))</f>
        <v/>
      </c>
      <c r="T73" s="176" t="str">
        <f aca="false">IF(INDEX(Salary_Calculation[Source Row],ROW()-ROW(Payslip_Lookup[#Headers]))="","",INDEX(Salary_Calculation[Gross Salary Before Deductions],ROW()-ROW(Payslip_Lookup[#Headers])))</f>
        <v/>
      </c>
      <c r="U73" s="176" t="str">
        <f aca="false">IF(INDEX(Salary_Calculation[Source Row],ROW()-ROW(Payslip_Lookup[#Headers]))="","",INDEX(Salary_Calculation[missed_days_penalty],ROW()-ROW(Payslip_Lookup[#Headers])))</f>
        <v/>
      </c>
      <c r="V73" s="176" t="str">
        <f aca="false">IF(INDEX(Salary_Calculation[Source Row],ROW()-ROW(Payslip_Lookup[#Headers]))="","",INDEX(Salary_Calculation[Rider Balance],ROW()-ROW(Payslip_Lookup[#Headers])))</f>
        <v/>
      </c>
      <c r="W73" s="176" t="str">
        <f aca="false">IF(INDEX(Salary_Calculation[Source Row],ROW()-ROW(Payslip_Lookup[#Headers]))="","",INDEX(Salary_Calculation[stacking_deduction],ROW()-ROW(Payslip_Lookup[#Headers])))</f>
        <v/>
      </c>
      <c r="X73" s="176" t="str">
        <f aca="false">IF(INDEX(Salary_Calculation[Source Row],ROW()-ROW(Payslip_Lookup[#Headers]))="","",INDEX(Salary_Calculation[Other Deductions],ROW()-ROW(Payslip_Lookup[#Headers])))</f>
        <v/>
      </c>
      <c r="Y73" s="176" t="str">
        <f aca="false">IF(INDEX(Salary_Calculation[Source Row],ROW()-ROW(Payslip_Lookup[#Headers]))="","",INDEX(Salary_Calculation[Total Deductions],ROW()-ROW(Payslip_Lookup[#Headers])))</f>
        <v/>
      </c>
      <c r="Z73" s="176" t="str">
        <f aca="false">IF(INDEX(Salary_Calculation[Source Row],ROW()-ROW(Payslip_Lookup[#Headers]))="","",INDEX(Salary_Calculation[Final Salary],ROW()-ROW(Payslip_Lookup[#Headers])))</f>
        <v/>
      </c>
      <c r="AA73" s="176" t="str">
        <f aca="false">IF(INDEX(Salary_Calculation[Source Row],ROW()-ROW(Payslip_Lookup[#Headers]))="","",INDEX(Salary_Calculation[Negative Balance / Amount Due from Rider],ROW()-ROW(Payslip_Lookup[#Headers])))</f>
        <v/>
      </c>
      <c r="AB73" s="176" t="str">
        <f aca="false">IF(INDEX(Salary_Calculation[Source Row],ROW()-ROW(Payslip_Lookup[#Headers]))="","",INDEX(Salary_Calculation[Total Amount Due from Rider],ROW()-ROW(Payslip_Lookup[#Headers])))</f>
        <v/>
      </c>
      <c r="AC73" s="176" t="str">
        <f aca="false">IF(INDEX(Salary_Calculation[Source Row],ROW()-ROW(Payslip_Lookup[#Headers]))="","",INDEX(Salary_Calculation[Salary Before Other Deductions],ROW()-ROW(Payslip_Lookup[#Headers])))</f>
        <v/>
      </c>
      <c r="AD73" s="171" t="str">
        <f aca="false">IF(INDEX(Salary_Calculation[Source Row],ROW()-ROW(Payslip_Lookup[#Headers]))="","",INDEX(Salary_Calculation[Payment Status],ROW()-ROW(Payslip_Lookup[#Headers])))</f>
        <v/>
      </c>
      <c r="AE73" s="171" t="str">
        <f aca="false">IF(INDEX(Salary_Calculation[Source Row],ROW()-ROW(Payslip_Lookup[#Headers]))="","",INDEX(Salary_Calculation[Notes],ROW()-ROW(Payslip_Lookup[#Headers])))</f>
        <v/>
      </c>
      <c r="AF73" s="171" t="str">
        <f aca="false">IF(INDEX(Salary_Calculation[Source Row],ROW()-ROW(Payslip_Lookup[#Headers]))="","",INDEX(Salary_Calculation[Exception Reason],ROW()-ROW(Payslip_Lookup[#Headers])))</f>
        <v/>
      </c>
      <c r="AG73" s="173" t="str">
        <f aca="false">IF($AD73="Review Required",COUNTIF(AD$2:AD73,"Review Required"),"")</f>
        <v/>
      </c>
      <c r="AH73" s="173" t="str">
        <f aca="false">IF(AND($D73&lt;&gt;"",$B73=Payslip_Print!$C$2),MAX(AH$1:AH72)+1,"")</f>
        <v/>
      </c>
      <c r="AL73" s="178" t="str">
        <f aca="false">IFERROR(INDEX($D$2:$D$501,MATCH(ROW()-1,$AH$2:$AH$501,0)),"")</f>
        <v/>
      </c>
      <c r="AM73" s="179" t="str">
        <f aca="false">IF($Z73="","",IF(AND($C73&gt;=Dash_Start,$C73&lt;Dash_End),$Z73+ROW()/10000000,""))</f>
        <v/>
      </c>
    </row>
    <row r="74" customFormat="false" ht="14.25" hidden="false" customHeight="false" outlineLevel="0" collapsed="false">
      <c r="A74" s="171" t="str">
        <f aca="false">IF(Payslip_Lookup[[#This Row],[Rider ID]]="","",Payslip_Lookup[[#This Row],[Rider ID]]&amp;"|"&amp;Payslip_Lookup[[#This Row],[Month Key]])</f>
        <v/>
      </c>
      <c r="B74" s="172" t="str">
        <f aca="false">IF(ISNUMBER(Payslip_Lookup[[#This Row],[Salary Month]]),DATE(YEAR(Payslip_Lookup[[#This Row],[Salary Month]]),MONTH(Payslip_Lookup[[#This Row],[Salary Month]]),1),"")</f>
        <v/>
      </c>
      <c r="C74" s="172" t="str">
        <f aca="false">IF(INDEX(Salary_Calculation[Source Row],ROW()-ROW(Payslip_Lookup[#Headers]))="","",INDEX(Salary_Calculation[Salary Month],ROW()-ROW(Payslip_Lookup[#Headers])))</f>
        <v/>
      </c>
      <c r="D74" s="173" t="str">
        <f aca="false">IF(INDEX(Salary_Calculation[Source Row],ROW()-ROW(Payslip_Lookup[#Headers]))="","",INDEX(Salary_Calculation[Rider ID],ROW()-ROW(Payslip_Lookup[#Headers])))</f>
        <v/>
      </c>
      <c r="E74" s="171" t="str">
        <f aca="false">IF(INDEX(Salary_Calculation[Source Row],ROW()-ROW(Payslip_Lookup[#Headers]))="","",INDEX(Salary_Calculation[Rider Name],ROW()-ROW(Payslip_Lookup[#Headers])))</f>
        <v/>
      </c>
      <c r="F74" s="173" t="str">
        <f aca="false">IF(INDEX(Salary_Calculation[Source Row],ROW()-ROW(Payslip_Lookup[#Headers]))="","",INDEX(Salary_Calculation[Working Days],ROW()-ROW(Payslip_Lookup[#Headers])))</f>
        <v/>
      </c>
      <c r="G74" s="173" t="str">
        <f aca="false">IF(INDEX(Salary_Calculation[Source Row],ROW()-ROW(Payslip_Lookup[#Headers]))="","",INDEX(Salary_Calculation[Calendar Days],ROW()-ROW(Payslip_Lookup[#Headers])))</f>
        <v/>
      </c>
      <c r="H74" s="174" t="str">
        <f aca="false">IF(INDEX(Salary_Calculation[Source Row],ROW()-ROW(Payslip_Lookup[#Headers]))="","",INDEX(Salary_Calculation[Monthly Target Orders],ROW()-ROW(Payslip_Lookup[#Headers])))</f>
        <v/>
      </c>
      <c r="I74" s="174" t="str">
        <f aca="false">IF(INDEX(Salary_Calculation[Source Row],ROW()-ROW(Payslip_Lookup[#Headers]))="","",INDEX(Salary_Calculation[Rider Target Orders],ROW()-ROW(Payslip_Lookup[#Headers])))</f>
        <v/>
      </c>
      <c r="J74" s="175" t="str">
        <f aca="false">IF(INDEX(Salary_Calculation[Source Row],ROW()-ROW(Payslip_Lookup[#Headers]))="","",INDEX(Salary_Calculation[Completed Orders],ROW()-ROW(Payslip_Lookup[#Headers])))</f>
        <v/>
      </c>
      <c r="K74" s="174" t="str">
        <f aca="false">IF(INDEX(Salary_Calculation[Source Row],ROW()-ROW(Payslip_Lookup[#Headers]))="","",INDEX(Salary_Calculation[Base Order Rate],ROW()-ROW(Payslip_Lookup[#Headers])))</f>
        <v/>
      </c>
      <c r="L74" s="176" t="str">
        <f aca="false">IF(INDEX(Salary_Calculation[Source Row],ROW()-ROW(Payslip_Lookup[#Headers]))="","",INDEX(Salary_Calculation[Basic Payment],ROW()-ROW(Payslip_Lookup[#Headers])))</f>
        <v/>
      </c>
      <c r="M74" s="176" t="str">
        <f aca="false">IF(INDEX(Salary_Calculation[Source Row],ROW()-ROW(Payslip_Lookup[#Headers]))="","",INDEX(Salary_Calculation[Earned Salary],ROW()-ROW(Payslip_Lookup[#Headers])))</f>
        <v/>
      </c>
      <c r="N74" s="174" t="str">
        <f aca="false">IF(INDEX(Salary_Calculation[Source Row],ROW()-ROW(Payslip_Lookup[#Headers]))="","",INDEX(Salary_Calculation[Orders Counted at Base Rate],ROW()-ROW(Payslip_Lookup[#Headers])))</f>
        <v/>
      </c>
      <c r="O74" s="174" t="str">
        <f aca="false">IF(INDEX(Salary_Calculation[Source Row],ROW()-ROW(Payslip_Lookup[#Headers]))="","",INDEX(Salary_Calculation[Missing Orders],ROW()-ROW(Payslip_Lookup[#Headers])))</f>
        <v/>
      </c>
      <c r="P74" s="176" t="str">
        <f aca="false">IF(INDEX(Salary_Calculation[Source Row],ROW()-ROW(Payslip_Lookup[#Headers]))="","",INDEX(Salary_Calculation[Missing-Order Deduction],ROW()-ROW(Payslip_Lookup[#Headers])))</f>
        <v/>
      </c>
      <c r="Q74" s="174" t="str">
        <f aca="false">IF(INDEX(Salary_Calculation[Source Row],ROW()-ROW(Payslip_Lookup[#Headers]))="","",INDEX(Salary_Calculation[Extra Orders],ROW()-ROW(Payslip_Lookup[#Headers])))</f>
        <v/>
      </c>
      <c r="R74" s="176" t="str">
        <f aca="false">IF(INDEX(Salary_Calculation[Source Row],ROW()-ROW(Payslip_Lookup[#Headers]))="","",INDEX(Salary_Calculation[Extra-Order Bonus],ROW()-ROW(Payslip_Lookup[#Headers])))</f>
        <v/>
      </c>
      <c r="S74" s="176" t="str">
        <f aca="false">IF(INDEX(Salary_Calculation[Source Row],ROW()-ROW(Payslip_Lookup[#Headers]))="","",INDEX(Salary_Calculation[Basic Salary for Target],ROW()-ROW(Payslip_Lookup[#Headers])))</f>
        <v/>
      </c>
      <c r="T74" s="176" t="str">
        <f aca="false">IF(INDEX(Salary_Calculation[Source Row],ROW()-ROW(Payslip_Lookup[#Headers]))="","",INDEX(Salary_Calculation[Gross Salary Before Deductions],ROW()-ROW(Payslip_Lookup[#Headers])))</f>
        <v/>
      </c>
      <c r="U74" s="176" t="str">
        <f aca="false">IF(INDEX(Salary_Calculation[Source Row],ROW()-ROW(Payslip_Lookup[#Headers]))="","",INDEX(Salary_Calculation[missed_days_penalty],ROW()-ROW(Payslip_Lookup[#Headers])))</f>
        <v/>
      </c>
      <c r="V74" s="176" t="str">
        <f aca="false">IF(INDEX(Salary_Calculation[Source Row],ROW()-ROW(Payslip_Lookup[#Headers]))="","",INDEX(Salary_Calculation[Rider Balance],ROW()-ROW(Payslip_Lookup[#Headers])))</f>
        <v/>
      </c>
      <c r="W74" s="176" t="str">
        <f aca="false">IF(INDEX(Salary_Calculation[Source Row],ROW()-ROW(Payslip_Lookup[#Headers]))="","",INDEX(Salary_Calculation[stacking_deduction],ROW()-ROW(Payslip_Lookup[#Headers])))</f>
        <v/>
      </c>
      <c r="X74" s="176" t="str">
        <f aca="false">IF(INDEX(Salary_Calculation[Source Row],ROW()-ROW(Payslip_Lookup[#Headers]))="","",INDEX(Salary_Calculation[Other Deductions],ROW()-ROW(Payslip_Lookup[#Headers])))</f>
        <v/>
      </c>
      <c r="Y74" s="176" t="str">
        <f aca="false">IF(INDEX(Salary_Calculation[Source Row],ROW()-ROW(Payslip_Lookup[#Headers]))="","",INDEX(Salary_Calculation[Total Deductions],ROW()-ROW(Payslip_Lookup[#Headers])))</f>
        <v/>
      </c>
      <c r="Z74" s="176" t="str">
        <f aca="false">IF(INDEX(Salary_Calculation[Source Row],ROW()-ROW(Payslip_Lookup[#Headers]))="","",INDEX(Salary_Calculation[Final Salary],ROW()-ROW(Payslip_Lookup[#Headers])))</f>
        <v/>
      </c>
      <c r="AA74" s="176" t="str">
        <f aca="false">IF(INDEX(Salary_Calculation[Source Row],ROW()-ROW(Payslip_Lookup[#Headers]))="","",INDEX(Salary_Calculation[Negative Balance / Amount Due from Rider],ROW()-ROW(Payslip_Lookup[#Headers])))</f>
        <v/>
      </c>
      <c r="AB74" s="176" t="str">
        <f aca="false">IF(INDEX(Salary_Calculation[Source Row],ROW()-ROW(Payslip_Lookup[#Headers]))="","",INDEX(Salary_Calculation[Total Amount Due from Rider],ROW()-ROW(Payslip_Lookup[#Headers])))</f>
        <v/>
      </c>
      <c r="AC74" s="176" t="str">
        <f aca="false">IF(INDEX(Salary_Calculation[Source Row],ROW()-ROW(Payslip_Lookup[#Headers]))="","",INDEX(Salary_Calculation[Salary Before Other Deductions],ROW()-ROW(Payslip_Lookup[#Headers])))</f>
        <v/>
      </c>
      <c r="AD74" s="171" t="str">
        <f aca="false">IF(INDEX(Salary_Calculation[Source Row],ROW()-ROW(Payslip_Lookup[#Headers]))="","",INDEX(Salary_Calculation[Payment Status],ROW()-ROW(Payslip_Lookup[#Headers])))</f>
        <v/>
      </c>
      <c r="AE74" s="171" t="str">
        <f aca="false">IF(INDEX(Salary_Calculation[Source Row],ROW()-ROW(Payslip_Lookup[#Headers]))="","",INDEX(Salary_Calculation[Notes],ROW()-ROW(Payslip_Lookup[#Headers])))</f>
        <v/>
      </c>
      <c r="AF74" s="171" t="str">
        <f aca="false">IF(INDEX(Salary_Calculation[Source Row],ROW()-ROW(Payslip_Lookup[#Headers]))="","",INDEX(Salary_Calculation[Exception Reason],ROW()-ROW(Payslip_Lookup[#Headers])))</f>
        <v/>
      </c>
      <c r="AG74" s="173" t="str">
        <f aca="false">IF($AD74="Review Required",COUNTIF(AD$2:AD74,"Review Required"),"")</f>
        <v/>
      </c>
      <c r="AH74" s="173" t="str">
        <f aca="false">IF(AND($D74&lt;&gt;"",$B74=Payslip_Print!$C$2),MAX(AH$1:AH73)+1,"")</f>
        <v/>
      </c>
      <c r="AL74" s="178" t="str">
        <f aca="false">IFERROR(INDEX($D$2:$D$501,MATCH(ROW()-1,$AH$2:$AH$501,0)),"")</f>
        <v/>
      </c>
      <c r="AM74" s="179" t="str">
        <f aca="false">IF($Z74="","",IF(AND($C74&gt;=Dash_Start,$C74&lt;Dash_End),$Z74+ROW()/10000000,""))</f>
        <v/>
      </c>
    </row>
    <row r="75" customFormat="false" ht="14.25" hidden="false" customHeight="false" outlineLevel="0" collapsed="false">
      <c r="A75" s="171" t="str">
        <f aca="false">IF(Payslip_Lookup[[#This Row],[Rider ID]]="","",Payslip_Lookup[[#This Row],[Rider ID]]&amp;"|"&amp;Payslip_Lookup[[#This Row],[Month Key]])</f>
        <v/>
      </c>
      <c r="B75" s="172" t="str">
        <f aca="false">IF(ISNUMBER(Payslip_Lookup[[#This Row],[Salary Month]]),DATE(YEAR(Payslip_Lookup[[#This Row],[Salary Month]]),MONTH(Payslip_Lookup[[#This Row],[Salary Month]]),1),"")</f>
        <v/>
      </c>
      <c r="C75" s="172" t="str">
        <f aca="false">IF(INDEX(Salary_Calculation[Source Row],ROW()-ROW(Payslip_Lookup[#Headers]))="","",INDEX(Salary_Calculation[Salary Month],ROW()-ROW(Payslip_Lookup[#Headers])))</f>
        <v/>
      </c>
      <c r="D75" s="173" t="str">
        <f aca="false">IF(INDEX(Salary_Calculation[Source Row],ROW()-ROW(Payslip_Lookup[#Headers]))="","",INDEX(Salary_Calculation[Rider ID],ROW()-ROW(Payslip_Lookup[#Headers])))</f>
        <v/>
      </c>
      <c r="E75" s="171" t="str">
        <f aca="false">IF(INDEX(Salary_Calculation[Source Row],ROW()-ROW(Payslip_Lookup[#Headers]))="","",INDEX(Salary_Calculation[Rider Name],ROW()-ROW(Payslip_Lookup[#Headers])))</f>
        <v/>
      </c>
      <c r="F75" s="173" t="str">
        <f aca="false">IF(INDEX(Salary_Calculation[Source Row],ROW()-ROW(Payslip_Lookup[#Headers]))="","",INDEX(Salary_Calculation[Working Days],ROW()-ROW(Payslip_Lookup[#Headers])))</f>
        <v/>
      </c>
      <c r="G75" s="173" t="str">
        <f aca="false">IF(INDEX(Salary_Calculation[Source Row],ROW()-ROW(Payslip_Lookup[#Headers]))="","",INDEX(Salary_Calculation[Calendar Days],ROW()-ROW(Payslip_Lookup[#Headers])))</f>
        <v/>
      </c>
      <c r="H75" s="174" t="str">
        <f aca="false">IF(INDEX(Salary_Calculation[Source Row],ROW()-ROW(Payslip_Lookup[#Headers]))="","",INDEX(Salary_Calculation[Monthly Target Orders],ROW()-ROW(Payslip_Lookup[#Headers])))</f>
        <v/>
      </c>
      <c r="I75" s="174" t="str">
        <f aca="false">IF(INDEX(Salary_Calculation[Source Row],ROW()-ROW(Payslip_Lookup[#Headers]))="","",INDEX(Salary_Calculation[Rider Target Orders],ROW()-ROW(Payslip_Lookup[#Headers])))</f>
        <v/>
      </c>
      <c r="J75" s="175" t="str">
        <f aca="false">IF(INDEX(Salary_Calculation[Source Row],ROW()-ROW(Payslip_Lookup[#Headers]))="","",INDEX(Salary_Calculation[Completed Orders],ROW()-ROW(Payslip_Lookup[#Headers])))</f>
        <v/>
      </c>
      <c r="K75" s="174" t="str">
        <f aca="false">IF(INDEX(Salary_Calculation[Source Row],ROW()-ROW(Payslip_Lookup[#Headers]))="","",INDEX(Salary_Calculation[Base Order Rate],ROW()-ROW(Payslip_Lookup[#Headers])))</f>
        <v/>
      </c>
      <c r="L75" s="176" t="str">
        <f aca="false">IF(INDEX(Salary_Calculation[Source Row],ROW()-ROW(Payslip_Lookup[#Headers]))="","",INDEX(Salary_Calculation[Basic Payment],ROW()-ROW(Payslip_Lookup[#Headers])))</f>
        <v/>
      </c>
      <c r="M75" s="176" t="str">
        <f aca="false">IF(INDEX(Salary_Calculation[Source Row],ROW()-ROW(Payslip_Lookup[#Headers]))="","",INDEX(Salary_Calculation[Earned Salary],ROW()-ROW(Payslip_Lookup[#Headers])))</f>
        <v/>
      </c>
      <c r="N75" s="174" t="str">
        <f aca="false">IF(INDEX(Salary_Calculation[Source Row],ROW()-ROW(Payslip_Lookup[#Headers]))="","",INDEX(Salary_Calculation[Orders Counted at Base Rate],ROW()-ROW(Payslip_Lookup[#Headers])))</f>
        <v/>
      </c>
      <c r="O75" s="174" t="str">
        <f aca="false">IF(INDEX(Salary_Calculation[Source Row],ROW()-ROW(Payslip_Lookup[#Headers]))="","",INDEX(Salary_Calculation[Missing Orders],ROW()-ROW(Payslip_Lookup[#Headers])))</f>
        <v/>
      </c>
      <c r="P75" s="176" t="str">
        <f aca="false">IF(INDEX(Salary_Calculation[Source Row],ROW()-ROW(Payslip_Lookup[#Headers]))="","",INDEX(Salary_Calculation[Missing-Order Deduction],ROW()-ROW(Payslip_Lookup[#Headers])))</f>
        <v/>
      </c>
      <c r="Q75" s="174" t="str">
        <f aca="false">IF(INDEX(Salary_Calculation[Source Row],ROW()-ROW(Payslip_Lookup[#Headers]))="","",INDEX(Salary_Calculation[Extra Orders],ROW()-ROW(Payslip_Lookup[#Headers])))</f>
        <v/>
      </c>
      <c r="R75" s="176" t="str">
        <f aca="false">IF(INDEX(Salary_Calculation[Source Row],ROW()-ROW(Payslip_Lookup[#Headers]))="","",INDEX(Salary_Calculation[Extra-Order Bonus],ROW()-ROW(Payslip_Lookup[#Headers])))</f>
        <v/>
      </c>
      <c r="S75" s="176" t="str">
        <f aca="false">IF(INDEX(Salary_Calculation[Source Row],ROW()-ROW(Payslip_Lookup[#Headers]))="","",INDEX(Salary_Calculation[Basic Salary for Target],ROW()-ROW(Payslip_Lookup[#Headers])))</f>
        <v/>
      </c>
      <c r="T75" s="176" t="str">
        <f aca="false">IF(INDEX(Salary_Calculation[Source Row],ROW()-ROW(Payslip_Lookup[#Headers]))="","",INDEX(Salary_Calculation[Gross Salary Before Deductions],ROW()-ROW(Payslip_Lookup[#Headers])))</f>
        <v/>
      </c>
      <c r="U75" s="176" t="str">
        <f aca="false">IF(INDEX(Salary_Calculation[Source Row],ROW()-ROW(Payslip_Lookup[#Headers]))="","",INDEX(Salary_Calculation[missed_days_penalty],ROW()-ROW(Payslip_Lookup[#Headers])))</f>
        <v/>
      </c>
      <c r="V75" s="176" t="str">
        <f aca="false">IF(INDEX(Salary_Calculation[Source Row],ROW()-ROW(Payslip_Lookup[#Headers]))="","",INDEX(Salary_Calculation[Rider Balance],ROW()-ROW(Payslip_Lookup[#Headers])))</f>
        <v/>
      </c>
      <c r="W75" s="176" t="str">
        <f aca="false">IF(INDEX(Salary_Calculation[Source Row],ROW()-ROW(Payslip_Lookup[#Headers]))="","",INDEX(Salary_Calculation[stacking_deduction],ROW()-ROW(Payslip_Lookup[#Headers])))</f>
        <v/>
      </c>
      <c r="X75" s="176" t="str">
        <f aca="false">IF(INDEX(Salary_Calculation[Source Row],ROW()-ROW(Payslip_Lookup[#Headers]))="","",INDEX(Salary_Calculation[Other Deductions],ROW()-ROW(Payslip_Lookup[#Headers])))</f>
        <v/>
      </c>
      <c r="Y75" s="176" t="str">
        <f aca="false">IF(INDEX(Salary_Calculation[Source Row],ROW()-ROW(Payslip_Lookup[#Headers]))="","",INDEX(Salary_Calculation[Total Deductions],ROW()-ROW(Payslip_Lookup[#Headers])))</f>
        <v/>
      </c>
      <c r="Z75" s="176" t="str">
        <f aca="false">IF(INDEX(Salary_Calculation[Source Row],ROW()-ROW(Payslip_Lookup[#Headers]))="","",INDEX(Salary_Calculation[Final Salary],ROW()-ROW(Payslip_Lookup[#Headers])))</f>
        <v/>
      </c>
      <c r="AA75" s="176" t="str">
        <f aca="false">IF(INDEX(Salary_Calculation[Source Row],ROW()-ROW(Payslip_Lookup[#Headers]))="","",INDEX(Salary_Calculation[Negative Balance / Amount Due from Rider],ROW()-ROW(Payslip_Lookup[#Headers])))</f>
        <v/>
      </c>
      <c r="AB75" s="176" t="str">
        <f aca="false">IF(INDEX(Salary_Calculation[Source Row],ROW()-ROW(Payslip_Lookup[#Headers]))="","",INDEX(Salary_Calculation[Total Amount Due from Rider],ROW()-ROW(Payslip_Lookup[#Headers])))</f>
        <v/>
      </c>
      <c r="AC75" s="176" t="str">
        <f aca="false">IF(INDEX(Salary_Calculation[Source Row],ROW()-ROW(Payslip_Lookup[#Headers]))="","",INDEX(Salary_Calculation[Salary Before Other Deductions],ROW()-ROW(Payslip_Lookup[#Headers])))</f>
        <v/>
      </c>
      <c r="AD75" s="171" t="str">
        <f aca="false">IF(INDEX(Salary_Calculation[Source Row],ROW()-ROW(Payslip_Lookup[#Headers]))="","",INDEX(Salary_Calculation[Payment Status],ROW()-ROW(Payslip_Lookup[#Headers])))</f>
        <v/>
      </c>
      <c r="AE75" s="171" t="str">
        <f aca="false">IF(INDEX(Salary_Calculation[Source Row],ROW()-ROW(Payslip_Lookup[#Headers]))="","",INDEX(Salary_Calculation[Notes],ROW()-ROW(Payslip_Lookup[#Headers])))</f>
        <v/>
      </c>
      <c r="AF75" s="171" t="str">
        <f aca="false">IF(INDEX(Salary_Calculation[Source Row],ROW()-ROW(Payslip_Lookup[#Headers]))="","",INDEX(Salary_Calculation[Exception Reason],ROW()-ROW(Payslip_Lookup[#Headers])))</f>
        <v/>
      </c>
      <c r="AG75" s="173" t="str">
        <f aca="false">IF($AD75="Review Required",COUNTIF(AD$2:AD75,"Review Required"),"")</f>
        <v/>
      </c>
      <c r="AH75" s="173" t="str">
        <f aca="false">IF(AND($D75&lt;&gt;"",$B75=Payslip_Print!$C$2),MAX(AH$1:AH74)+1,"")</f>
        <v/>
      </c>
      <c r="AL75" s="178" t="str">
        <f aca="false">IFERROR(INDEX($D$2:$D$501,MATCH(ROW()-1,$AH$2:$AH$501,0)),"")</f>
        <v/>
      </c>
      <c r="AM75" s="179" t="str">
        <f aca="false">IF($Z75="","",IF(AND($C75&gt;=Dash_Start,$C75&lt;Dash_End),$Z75+ROW()/10000000,""))</f>
        <v/>
      </c>
    </row>
    <row r="76" customFormat="false" ht="14.25" hidden="false" customHeight="false" outlineLevel="0" collapsed="false">
      <c r="A76" s="171" t="str">
        <f aca="false">IF(Payslip_Lookup[[#This Row],[Rider ID]]="","",Payslip_Lookup[[#This Row],[Rider ID]]&amp;"|"&amp;Payslip_Lookup[[#This Row],[Month Key]])</f>
        <v/>
      </c>
      <c r="B76" s="172" t="str">
        <f aca="false">IF(ISNUMBER(Payslip_Lookup[[#This Row],[Salary Month]]),DATE(YEAR(Payslip_Lookup[[#This Row],[Salary Month]]),MONTH(Payslip_Lookup[[#This Row],[Salary Month]]),1),"")</f>
        <v/>
      </c>
      <c r="C76" s="172" t="str">
        <f aca="false">IF(INDEX(Salary_Calculation[Source Row],ROW()-ROW(Payslip_Lookup[#Headers]))="","",INDEX(Salary_Calculation[Salary Month],ROW()-ROW(Payslip_Lookup[#Headers])))</f>
        <v/>
      </c>
      <c r="D76" s="173" t="str">
        <f aca="false">IF(INDEX(Salary_Calculation[Source Row],ROW()-ROW(Payslip_Lookup[#Headers]))="","",INDEX(Salary_Calculation[Rider ID],ROW()-ROW(Payslip_Lookup[#Headers])))</f>
        <v/>
      </c>
      <c r="E76" s="171" t="str">
        <f aca="false">IF(INDEX(Salary_Calculation[Source Row],ROW()-ROW(Payslip_Lookup[#Headers]))="","",INDEX(Salary_Calculation[Rider Name],ROW()-ROW(Payslip_Lookup[#Headers])))</f>
        <v/>
      </c>
      <c r="F76" s="173" t="str">
        <f aca="false">IF(INDEX(Salary_Calculation[Source Row],ROW()-ROW(Payslip_Lookup[#Headers]))="","",INDEX(Salary_Calculation[Working Days],ROW()-ROW(Payslip_Lookup[#Headers])))</f>
        <v/>
      </c>
      <c r="G76" s="173" t="str">
        <f aca="false">IF(INDEX(Salary_Calculation[Source Row],ROW()-ROW(Payslip_Lookup[#Headers]))="","",INDEX(Salary_Calculation[Calendar Days],ROW()-ROW(Payslip_Lookup[#Headers])))</f>
        <v/>
      </c>
      <c r="H76" s="174" t="str">
        <f aca="false">IF(INDEX(Salary_Calculation[Source Row],ROW()-ROW(Payslip_Lookup[#Headers]))="","",INDEX(Salary_Calculation[Monthly Target Orders],ROW()-ROW(Payslip_Lookup[#Headers])))</f>
        <v/>
      </c>
      <c r="I76" s="174" t="str">
        <f aca="false">IF(INDEX(Salary_Calculation[Source Row],ROW()-ROW(Payslip_Lookup[#Headers]))="","",INDEX(Salary_Calculation[Rider Target Orders],ROW()-ROW(Payslip_Lookup[#Headers])))</f>
        <v/>
      </c>
      <c r="J76" s="175" t="str">
        <f aca="false">IF(INDEX(Salary_Calculation[Source Row],ROW()-ROW(Payslip_Lookup[#Headers]))="","",INDEX(Salary_Calculation[Completed Orders],ROW()-ROW(Payslip_Lookup[#Headers])))</f>
        <v/>
      </c>
      <c r="K76" s="174" t="str">
        <f aca="false">IF(INDEX(Salary_Calculation[Source Row],ROW()-ROW(Payslip_Lookup[#Headers]))="","",INDEX(Salary_Calculation[Base Order Rate],ROW()-ROW(Payslip_Lookup[#Headers])))</f>
        <v/>
      </c>
      <c r="L76" s="176" t="str">
        <f aca="false">IF(INDEX(Salary_Calculation[Source Row],ROW()-ROW(Payslip_Lookup[#Headers]))="","",INDEX(Salary_Calculation[Basic Payment],ROW()-ROW(Payslip_Lookup[#Headers])))</f>
        <v/>
      </c>
      <c r="M76" s="176" t="str">
        <f aca="false">IF(INDEX(Salary_Calculation[Source Row],ROW()-ROW(Payslip_Lookup[#Headers]))="","",INDEX(Salary_Calculation[Earned Salary],ROW()-ROW(Payslip_Lookup[#Headers])))</f>
        <v/>
      </c>
      <c r="N76" s="174" t="str">
        <f aca="false">IF(INDEX(Salary_Calculation[Source Row],ROW()-ROW(Payslip_Lookup[#Headers]))="","",INDEX(Salary_Calculation[Orders Counted at Base Rate],ROW()-ROW(Payslip_Lookup[#Headers])))</f>
        <v/>
      </c>
      <c r="O76" s="174" t="str">
        <f aca="false">IF(INDEX(Salary_Calculation[Source Row],ROW()-ROW(Payslip_Lookup[#Headers]))="","",INDEX(Salary_Calculation[Missing Orders],ROW()-ROW(Payslip_Lookup[#Headers])))</f>
        <v/>
      </c>
      <c r="P76" s="176" t="str">
        <f aca="false">IF(INDEX(Salary_Calculation[Source Row],ROW()-ROW(Payslip_Lookup[#Headers]))="","",INDEX(Salary_Calculation[Missing-Order Deduction],ROW()-ROW(Payslip_Lookup[#Headers])))</f>
        <v/>
      </c>
      <c r="Q76" s="174" t="str">
        <f aca="false">IF(INDEX(Salary_Calculation[Source Row],ROW()-ROW(Payslip_Lookup[#Headers]))="","",INDEX(Salary_Calculation[Extra Orders],ROW()-ROW(Payslip_Lookup[#Headers])))</f>
        <v/>
      </c>
      <c r="R76" s="176" t="str">
        <f aca="false">IF(INDEX(Salary_Calculation[Source Row],ROW()-ROW(Payslip_Lookup[#Headers]))="","",INDEX(Salary_Calculation[Extra-Order Bonus],ROW()-ROW(Payslip_Lookup[#Headers])))</f>
        <v/>
      </c>
      <c r="S76" s="176" t="str">
        <f aca="false">IF(INDEX(Salary_Calculation[Source Row],ROW()-ROW(Payslip_Lookup[#Headers]))="","",INDEX(Salary_Calculation[Basic Salary for Target],ROW()-ROW(Payslip_Lookup[#Headers])))</f>
        <v/>
      </c>
      <c r="T76" s="176" t="str">
        <f aca="false">IF(INDEX(Salary_Calculation[Source Row],ROW()-ROW(Payslip_Lookup[#Headers]))="","",INDEX(Salary_Calculation[Gross Salary Before Deductions],ROW()-ROW(Payslip_Lookup[#Headers])))</f>
        <v/>
      </c>
      <c r="U76" s="176" t="str">
        <f aca="false">IF(INDEX(Salary_Calculation[Source Row],ROW()-ROW(Payslip_Lookup[#Headers]))="","",INDEX(Salary_Calculation[missed_days_penalty],ROW()-ROW(Payslip_Lookup[#Headers])))</f>
        <v/>
      </c>
      <c r="V76" s="176" t="str">
        <f aca="false">IF(INDEX(Salary_Calculation[Source Row],ROW()-ROW(Payslip_Lookup[#Headers]))="","",INDEX(Salary_Calculation[Rider Balance],ROW()-ROW(Payslip_Lookup[#Headers])))</f>
        <v/>
      </c>
      <c r="W76" s="176" t="str">
        <f aca="false">IF(INDEX(Salary_Calculation[Source Row],ROW()-ROW(Payslip_Lookup[#Headers]))="","",INDEX(Salary_Calculation[stacking_deduction],ROW()-ROW(Payslip_Lookup[#Headers])))</f>
        <v/>
      </c>
      <c r="X76" s="176" t="str">
        <f aca="false">IF(INDEX(Salary_Calculation[Source Row],ROW()-ROW(Payslip_Lookup[#Headers]))="","",INDEX(Salary_Calculation[Other Deductions],ROW()-ROW(Payslip_Lookup[#Headers])))</f>
        <v/>
      </c>
      <c r="Y76" s="176" t="str">
        <f aca="false">IF(INDEX(Salary_Calculation[Source Row],ROW()-ROW(Payslip_Lookup[#Headers]))="","",INDEX(Salary_Calculation[Total Deductions],ROW()-ROW(Payslip_Lookup[#Headers])))</f>
        <v/>
      </c>
      <c r="Z76" s="176" t="str">
        <f aca="false">IF(INDEX(Salary_Calculation[Source Row],ROW()-ROW(Payslip_Lookup[#Headers]))="","",INDEX(Salary_Calculation[Final Salary],ROW()-ROW(Payslip_Lookup[#Headers])))</f>
        <v/>
      </c>
      <c r="AA76" s="176" t="str">
        <f aca="false">IF(INDEX(Salary_Calculation[Source Row],ROW()-ROW(Payslip_Lookup[#Headers]))="","",INDEX(Salary_Calculation[Negative Balance / Amount Due from Rider],ROW()-ROW(Payslip_Lookup[#Headers])))</f>
        <v/>
      </c>
      <c r="AB76" s="176" t="str">
        <f aca="false">IF(INDEX(Salary_Calculation[Source Row],ROW()-ROW(Payslip_Lookup[#Headers]))="","",INDEX(Salary_Calculation[Total Amount Due from Rider],ROW()-ROW(Payslip_Lookup[#Headers])))</f>
        <v/>
      </c>
      <c r="AC76" s="176" t="str">
        <f aca="false">IF(INDEX(Salary_Calculation[Source Row],ROW()-ROW(Payslip_Lookup[#Headers]))="","",INDEX(Salary_Calculation[Salary Before Other Deductions],ROW()-ROW(Payslip_Lookup[#Headers])))</f>
        <v/>
      </c>
      <c r="AD76" s="171" t="str">
        <f aca="false">IF(INDEX(Salary_Calculation[Source Row],ROW()-ROW(Payslip_Lookup[#Headers]))="","",INDEX(Salary_Calculation[Payment Status],ROW()-ROW(Payslip_Lookup[#Headers])))</f>
        <v/>
      </c>
      <c r="AE76" s="171" t="str">
        <f aca="false">IF(INDEX(Salary_Calculation[Source Row],ROW()-ROW(Payslip_Lookup[#Headers]))="","",INDEX(Salary_Calculation[Notes],ROW()-ROW(Payslip_Lookup[#Headers])))</f>
        <v/>
      </c>
      <c r="AF76" s="171" t="str">
        <f aca="false">IF(INDEX(Salary_Calculation[Source Row],ROW()-ROW(Payslip_Lookup[#Headers]))="","",INDEX(Salary_Calculation[Exception Reason],ROW()-ROW(Payslip_Lookup[#Headers])))</f>
        <v/>
      </c>
      <c r="AG76" s="173" t="str">
        <f aca="false">IF($AD76="Review Required",COUNTIF(AD$2:AD76,"Review Required"),"")</f>
        <v/>
      </c>
      <c r="AH76" s="173" t="str">
        <f aca="false">IF(AND($D76&lt;&gt;"",$B76=Payslip_Print!$C$2),MAX(AH$1:AH75)+1,"")</f>
        <v/>
      </c>
      <c r="AL76" s="178" t="str">
        <f aca="false">IFERROR(INDEX($D$2:$D$501,MATCH(ROW()-1,$AH$2:$AH$501,0)),"")</f>
        <v/>
      </c>
      <c r="AM76" s="179" t="str">
        <f aca="false">IF($Z76="","",IF(AND($C76&gt;=Dash_Start,$C76&lt;Dash_End),$Z76+ROW()/10000000,""))</f>
        <v/>
      </c>
    </row>
    <row r="77" customFormat="false" ht="14.25" hidden="false" customHeight="false" outlineLevel="0" collapsed="false">
      <c r="A77" s="171" t="str">
        <f aca="false">IF(Payslip_Lookup[[#This Row],[Rider ID]]="","",Payslip_Lookup[[#This Row],[Rider ID]]&amp;"|"&amp;Payslip_Lookup[[#This Row],[Month Key]])</f>
        <v/>
      </c>
      <c r="B77" s="172" t="str">
        <f aca="false">IF(ISNUMBER(Payslip_Lookup[[#This Row],[Salary Month]]),DATE(YEAR(Payslip_Lookup[[#This Row],[Salary Month]]),MONTH(Payslip_Lookup[[#This Row],[Salary Month]]),1),"")</f>
        <v/>
      </c>
      <c r="C77" s="172" t="str">
        <f aca="false">IF(INDEX(Salary_Calculation[Source Row],ROW()-ROW(Payslip_Lookup[#Headers]))="","",INDEX(Salary_Calculation[Salary Month],ROW()-ROW(Payslip_Lookup[#Headers])))</f>
        <v/>
      </c>
      <c r="D77" s="173" t="str">
        <f aca="false">IF(INDEX(Salary_Calculation[Source Row],ROW()-ROW(Payslip_Lookup[#Headers]))="","",INDEX(Salary_Calculation[Rider ID],ROW()-ROW(Payslip_Lookup[#Headers])))</f>
        <v/>
      </c>
      <c r="E77" s="171" t="str">
        <f aca="false">IF(INDEX(Salary_Calculation[Source Row],ROW()-ROW(Payslip_Lookup[#Headers]))="","",INDEX(Salary_Calculation[Rider Name],ROW()-ROW(Payslip_Lookup[#Headers])))</f>
        <v/>
      </c>
      <c r="F77" s="173" t="str">
        <f aca="false">IF(INDEX(Salary_Calculation[Source Row],ROW()-ROW(Payslip_Lookup[#Headers]))="","",INDEX(Salary_Calculation[Working Days],ROW()-ROW(Payslip_Lookup[#Headers])))</f>
        <v/>
      </c>
      <c r="G77" s="173" t="str">
        <f aca="false">IF(INDEX(Salary_Calculation[Source Row],ROW()-ROW(Payslip_Lookup[#Headers]))="","",INDEX(Salary_Calculation[Calendar Days],ROW()-ROW(Payslip_Lookup[#Headers])))</f>
        <v/>
      </c>
      <c r="H77" s="174" t="str">
        <f aca="false">IF(INDEX(Salary_Calculation[Source Row],ROW()-ROW(Payslip_Lookup[#Headers]))="","",INDEX(Salary_Calculation[Monthly Target Orders],ROW()-ROW(Payslip_Lookup[#Headers])))</f>
        <v/>
      </c>
      <c r="I77" s="174" t="str">
        <f aca="false">IF(INDEX(Salary_Calculation[Source Row],ROW()-ROW(Payslip_Lookup[#Headers]))="","",INDEX(Salary_Calculation[Rider Target Orders],ROW()-ROW(Payslip_Lookup[#Headers])))</f>
        <v/>
      </c>
      <c r="J77" s="175" t="str">
        <f aca="false">IF(INDEX(Salary_Calculation[Source Row],ROW()-ROW(Payslip_Lookup[#Headers]))="","",INDEX(Salary_Calculation[Completed Orders],ROW()-ROW(Payslip_Lookup[#Headers])))</f>
        <v/>
      </c>
      <c r="K77" s="174" t="str">
        <f aca="false">IF(INDEX(Salary_Calculation[Source Row],ROW()-ROW(Payslip_Lookup[#Headers]))="","",INDEX(Salary_Calculation[Base Order Rate],ROW()-ROW(Payslip_Lookup[#Headers])))</f>
        <v/>
      </c>
      <c r="L77" s="176" t="str">
        <f aca="false">IF(INDEX(Salary_Calculation[Source Row],ROW()-ROW(Payslip_Lookup[#Headers]))="","",INDEX(Salary_Calculation[Basic Payment],ROW()-ROW(Payslip_Lookup[#Headers])))</f>
        <v/>
      </c>
      <c r="M77" s="176" t="str">
        <f aca="false">IF(INDEX(Salary_Calculation[Source Row],ROW()-ROW(Payslip_Lookup[#Headers]))="","",INDEX(Salary_Calculation[Earned Salary],ROW()-ROW(Payslip_Lookup[#Headers])))</f>
        <v/>
      </c>
      <c r="N77" s="174" t="str">
        <f aca="false">IF(INDEX(Salary_Calculation[Source Row],ROW()-ROW(Payslip_Lookup[#Headers]))="","",INDEX(Salary_Calculation[Orders Counted at Base Rate],ROW()-ROW(Payslip_Lookup[#Headers])))</f>
        <v/>
      </c>
      <c r="O77" s="174" t="str">
        <f aca="false">IF(INDEX(Salary_Calculation[Source Row],ROW()-ROW(Payslip_Lookup[#Headers]))="","",INDEX(Salary_Calculation[Missing Orders],ROW()-ROW(Payslip_Lookup[#Headers])))</f>
        <v/>
      </c>
      <c r="P77" s="176" t="str">
        <f aca="false">IF(INDEX(Salary_Calculation[Source Row],ROW()-ROW(Payslip_Lookup[#Headers]))="","",INDEX(Salary_Calculation[Missing-Order Deduction],ROW()-ROW(Payslip_Lookup[#Headers])))</f>
        <v/>
      </c>
      <c r="Q77" s="174" t="str">
        <f aca="false">IF(INDEX(Salary_Calculation[Source Row],ROW()-ROW(Payslip_Lookup[#Headers]))="","",INDEX(Salary_Calculation[Extra Orders],ROW()-ROW(Payslip_Lookup[#Headers])))</f>
        <v/>
      </c>
      <c r="R77" s="176" t="str">
        <f aca="false">IF(INDEX(Salary_Calculation[Source Row],ROW()-ROW(Payslip_Lookup[#Headers]))="","",INDEX(Salary_Calculation[Extra-Order Bonus],ROW()-ROW(Payslip_Lookup[#Headers])))</f>
        <v/>
      </c>
      <c r="S77" s="176" t="str">
        <f aca="false">IF(INDEX(Salary_Calculation[Source Row],ROW()-ROW(Payslip_Lookup[#Headers]))="","",INDEX(Salary_Calculation[Basic Salary for Target],ROW()-ROW(Payslip_Lookup[#Headers])))</f>
        <v/>
      </c>
      <c r="T77" s="176" t="str">
        <f aca="false">IF(INDEX(Salary_Calculation[Source Row],ROW()-ROW(Payslip_Lookup[#Headers]))="","",INDEX(Salary_Calculation[Gross Salary Before Deductions],ROW()-ROW(Payslip_Lookup[#Headers])))</f>
        <v/>
      </c>
      <c r="U77" s="176" t="str">
        <f aca="false">IF(INDEX(Salary_Calculation[Source Row],ROW()-ROW(Payslip_Lookup[#Headers]))="","",INDEX(Salary_Calculation[missed_days_penalty],ROW()-ROW(Payslip_Lookup[#Headers])))</f>
        <v/>
      </c>
      <c r="V77" s="176" t="str">
        <f aca="false">IF(INDEX(Salary_Calculation[Source Row],ROW()-ROW(Payslip_Lookup[#Headers]))="","",INDEX(Salary_Calculation[Rider Balance],ROW()-ROW(Payslip_Lookup[#Headers])))</f>
        <v/>
      </c>
      <c r="W77" s="176" t="str">
        <f aca="false">IF(INDEX(Salary_Calculation[Source Row],ROW()-ROW(Payslip_Lookup[#Headers]))="","",INDEX(Salary_Calculation[stacking_deduction],ROW()-ROW(Payslip_Lookup[#Headers])))</f>
        <v/>
      </c>
      <c r="X77" s="176" t="str">
        <f aca="false">IF(INDEX(Salary_Calculation[Source Row],ROW()-ROW(Payslip_Lookup[#Headers]))="","",INDEX(Salary_Calculation[Other Deductions],ROW()-ROW(Payslip_Lookup[#Headers])))</f>
        <v/>
      </c>
      <c r="Y77" s="176" t="str">
        <f aca="false">IF(INDEX(Salary_Calculation[Source Row],ROW()-ROW(Payslip_Lookup[#Headers]))="","",INDEX(Salary_Calculation[Total Deductions],ROW()-ROW(Payslip_Lookup[#Headers])))</f>
        <v/>
      </c>
      <c r="Z77" s="176" t="str">
        <f aca="false">IF(INDEX(Salary_Calculation[Source Row],ROW()-ROW(Payslip_Lookup[#Headers]))="","",INDEX(Salary_Calculation[Final Salary],ROW()-ROW(Payslip_Lookup[#Headers])))</f>
        <v/>
      </c>
      <c r="AA77" s="176" t="str">
        <f aca="false">IF(INDEX(Salary_Calculation[Source Row],ROW()-ROW(Payslip_Lookup[#Headers]))="","",INDEX(Salary_Calculation[Negative Balance / Amount Due from Rider],ROW()-ROW(Payslip_Lookup[#Headers])))</f>
        <v/>
      </c>
      <c r="AB77" s="176" t="str">
        <f aca="false">IF(INDEX(Salary_Calculation[Source Row],ROW()-ROW(Payslip_Lookup[#Headers]))="","",INDEX(Salary_Calculation[Total Amount Due from Rider],ROW()-ROW(Payslip_Lookup[#Headers])))</f>
        <v/>
      </c>
      <c r="AC77" s="176" t="str">
        <f aca="false">IF(INDEX(Salary_Calculation[Source Row],ROW()-ROW(Payslip_Lookup[#Headers]))="","",INDEX(Salary_Calculation[Salary Before Other Deductions],ROW()-ROW(Payslip_Lookup[#Headers])))</f>
        <v/>
      </c>
      <c r="AD77" s="171" t="str">
        <f aca="false">IF(INDEX(Salary_Calculation[Source Row],ROW()-ROW(Payslip_Lookup[#Headers]))="","",INDEX(Salary_Calculation[Payment Status],ROW()-ROW(Payslip_Lookup[#Headers])))</f>
        <v/>
      </c>
      <c r="AE77" s="171" t="str">
        <f aca="false">IF(INDEX(Salary_Calculation[Source Row],ROW()-ROW(Payslip_Lookup[#Headers]))="","",INDEX(Salary_Calculation[Notes],ROW()-ROW(Payslip_Lookup[#Headers])))</f>
        <v/>
      </c>
      <c r="AF77" s="171" t="str">
        <f aca="false">IF(INDEX(Salary_Calculation[Source Row],ROW()-ROW(Payslip_Lookup[#Headers]))="","",INDEX(Salary_Calculation[Exception Reason],ROW()-ROW(Payslip_Lookup[#Headers])))</f>
        <v/>
      </c>
      <c r="AG77" s="173" t="str">
        <f aca="false">IF($AD77="Review Required",COUNTIF(AD$2:AD77,"Review Required"),"")</f>
        <v/>
      </c>
      <c r="AH77" s="173" t="str">
        <f aca="false">IF(AND($D77&lt;&gt;"",$B77=Payslip_Print!$C$2),MAX(AH$1:AH76)+1,"")</f>
        <v/>
      </c>
      <c r="AL77" s="178" t="str">
        <f aca="false">IFERROR(INDEX($D$2:$D$501,MATCH(ROW()-1,$AH$2:$AH$501,0)),"")</f>
        <v/>
      </c>
      <c r="AM77" s="179" t="str">
        <f aca="false">IF($Z77="","",IF(AND($C77&gt;=Dash_Start,$C77&lt;Dash_End),$Z77+ROW()/10000000,""))</f>
        <v/>
      </c>
    </row>
    <row r="78" customFormat="false" ht="14.25" hidden="false" customHeight="false" outlineLevel="0" collapsed="false">
      <c r="A78" s="171" t="str">
        <f aca="false">IF(Payslip_Lookup[[#This Row],[Rider ID]]="","",Payslip_Lookup[[#This Row],[Rider ID]]&amp;"|"&amp;Payslip_Lookup[[#This Row],[Month Key]])</f>
        <v/>
      </c>
      <c r="B78" s="172" t="str">
        <f aca="false">IF(ISNUMBER(Payslip_Lookup[[#This Row],[Salary Month]]),DATE(YEAR(Payslip_Lookup[[#This Row],[Salary Month]]),MONTH(Payslip_Lookup[[#This Row],[Salary Month]]),1),"")</f>
        <v/>
      </c>
      <c r="C78" s="172" t="str">
        <f aca="false">IF(INDEX(Salary_Calculation[Source Row],ROW()-ROW(Payslip_Lookup[#Headers]))="","",INDEX(Salary_Calculation[Salary Month],ROW()-ROW(Payslip_Lookup[#Headers])))</f>
        <v/>
      </c>
      <c r="D78" s="173" t="str">
        <f aca="false">IF(INDEX(Salary_Calculation[Source Row],ROW()-ROW(Payslip_Lookup[#Headers]))="","",INDEX(Salary_Calculation[Rider ID],ROW()-ROW(Payslip_Lookup[#Headers])))</f>
        <v/>
      </c>
      <c r="E78" s="171" t="str">
        <f aca="false">IF(INDEX(Salary_Calculation[Source Row],ROW()-ROW(Payslip_Lookup[#Headers]))="","",INDEX(Salary_Calculation[Rider Name],ROW()-ROW(Payslip_Lookup[#Headers])))</f>
        <v/>
      </c>
      <c r="F78" s="173" t="str">
        <f aca="false">IF(INDEX(Salary_Calculation[Source Row],ROW()-ROW(Payslip_Lookup[#Headers]))="","",INDEX(Salary_Calculation[Working Days],ROW()-ROW(Payslip_Lookup[#Headers])))</f>
        <v/>
      </c>
      <c r="G78" s="173" t="str">
        <f aca="false">IF(INDEX(Salary_Calculation[Source Row],ROW()-ROW(Payslip_Lookup[#Headers]))="","",INDEX(Salary_Calculation[Calendar Days],ROW()-ROW(Payslip_Lookup[#Headers])))</f>
        <v/>
      </c>
      <c r="H78" s="174" t="str">
        <f aca="false">IF(INDEX(Salary_Calculation[Source Row],ROW()-ROW(Payslip_Lookup[#Headers]))="","",INDEX(Salary_Calculation[Monthly Target Orders],ROW()-ROW(Payslip_Lookup[#Headers])))</f>
        <v/>
      </c>
      <c r="I78" s="174" t="str">
        <f aca="false">IF(INDEX(Salary_Calculation[Source Row],ROW()-ROW(Payslip_Lookup[#Headers]))="","",INDEX(Salary_Calculation[Rider Target Orders],ROW()-ROW(Payslip_Lookup[#Headers])))</f>
        <v/>
      </c>
      <c r="J78" s="175" t="str">
        <f aca="false">IF(INDEX(Salary_Calculation[Source Row],ROW()-ROW(Payslip_Lookup[#Headers]))="","",INDEX(Salary_Calculation[Completed Orders],ROW()-ROW(Payslip_Lookup[#Headers])))</f>
        <v/>
      </c>
      <c r="K78" s="174" t="str">
        <f aca="false">IF(INDEX(Salary_Calculation[Source Row],ROW()-ROW(Payslip_Lookup[#Headers]))="","",INDEX(Salary_Calculation[Base Order Rate],ROW()-ROW(Payslip_Lookup[#Headers])))</f>
        <v/>
      </c>
      <c r="L78" s="176" t="str">
        <f aca="false">IF(INDEX(Salary_Calculation[Source Row],ROW()-ROW(Payslip_Lookup[#Headers]))="","",INDEX(Salary_Calculation[Basic Payment],ROW()-ROW(Payslip_Lookup[#Headers])))</f>
        <v/>
      </c>
      <c r="M78" s="176" t="str">
        <f aca="false">IF(INDEX(Salary_Calculation[Source Row],ROW()-ROW(Payslip_Lookup[#Headers]))="","",INDEX(Salary_Calculation[Earned Salary],ROW()-ROW(Payslip_Lookup[#Headers])))</f>
        <v/>
      </c>
      <c r="N78" s="174" t="str">
        <f aca="false">IF(INDEX(Salary_Calculation[Source Row],ROW()-ROW(Payslip_Lookup[#Headers]))="","",INDEX(Salary_Calculation[Orders Counted at Base Rate],ROW()-ROW(Payslip_Lookup[#Headers])))</f>
        <v/>
      </c>
      <c r="O78" s="174" t="str">
        <f aca="false">IF(INDEX(Salary_Calculation[Source Row],ROW()-ROW(Payslip_Lookup[#Headers]))="","",INDEX(Salary_Calculation[Missing Orders],ROW()-ROW(Payslip_Lookup[#Headers])))</f>
        <v/>
      </c>
      <c r="P78" s="176" t="str">
        <f aca="false">IF(INDEX(Salary_Calculation[Source Row],ROW()-ROW(Payslip_Lookup[#Headers]))="","",INDEX(Salary_Calculation[Missing-Order Deduction],ROW()-ROW(Payslip_Lookup[#Headers])))</f>
        <v/>
      </c>
      <c r="Q78" s="174" t="str">
        <f aca="false">IF(INDEX(Salary_Calculation[Source Row],ROW()-ROW(Payslip_Lookup[#Headers]))="","",INDEX(Salary_Calculation[Extra Orders],ROW()-ROW(Payslip_Lookup[#Headers])))</f>
        <v/>
      </c>
      <c r="R78" s="176" t="str">
        <f aca="false">IF(INDEX(Salary_Calculation[Source Row],ROW()-ROW(Payslip_Lookup[#Headers]))="","",INDEX(Salary_Calculation[Extra-Order Bonus],ROW()-ROW(Payslip_Lookup[#Headers])))</f>
        <v/>
      </c>
      <c r="S78" s="176" t="str">
        <f aca="false">IF(INDEX(Salary_Calculation[Source Row],ROW()-ROW(Payslip_Lookup[#Headers]))="","",INDEX(Salary_Calculation[Basic Salary for Target],ROW()-ROW(Payslip_Lookup[#Headers])))</f>
        <v/>
      </c>
      <c r="T78" s="176" t="str">
        <f aca="false">IF(INDEX(Salary_Calculation[Source Row],ROW()-ROW(Payslip_Lookup[#Headers]))="","",INDEX(Salary_Calculation[Gross Salary Before Deductions],ROW()-ROW(Payslip_Lookup[#Headers])))</f>
        <v/>
      </c>
      <c r="U78" s="176" t="str">
        <f aca="false">IF(INDEX(Salary_Calculation[Source Row],ROW()-ROW(Payslip_Lookup[#Headers]))="","",INDEX(Salary_Calculation[missed_days_penalty],ROW()-ROW(Payslip_Lookup[#Headers])))</f>
        <v/>
      </c>
      <c r="V78" s="176" t="str">
        <f aca="false">IF(INDEX(Salary_Calculation[Source Row],ROW()-ROW(Payslip_Lookup[#Headers]))="","",INDEX(Salary_Calculation[Rider Balance],ROW()-ROW(Payslip_Lookup[#Headers])))</f>
        <v/>
      </c>
      <c r="W78" s="176" t="str">
        <f aca="false">IF(INDEX(Salary_Calculation[Source Row],ROW()-ROW(Payslip_Lookup[#Headers]))="","",INDEX(Salary_Calculation[stacking_deduction],ROW()-ROW(Payslip_Lookup[#Headers])))</f>
        <v/>
      </c>
      <c r="X78" s="176" t="str">
        <f aca="false">IF(INDEX(Salary_Calculation[Source Row],ROW()-ROW(Payslip_Lookup[#Headers]))="","",INDEX(Salary_Calculation[Other Deductions],ROW()-ROW(Payslip_Lookup[#Headers])))</f>
        <v/>
      </c>
      <c r="Y78" s="176" t="str">
        <f aca="false">IF(INDEX(Salary_Calculation[Source Row],ROW()-ROW(Payslip_Lookup[#Headers]))="","",INDEX(Salary_Calculation[Total Deductions],ROW()-ROW(Payslip_Lookup[#Headers])))</f>
        <v/>
      </c>
      <c r="Z78" s="176" t="str">
        <f aca="false">IF(INDEX(Salary_Calculation[Source Row],ROW()-ROW(Payslip_Lookup[#Headers]))="","",INDEX(Salary_Calculation[Final Salary],ROW()-ROW(Payslip_Lookup[#Headers])))</f>
        <v/>
      </c>
      <c r="AA78" s="176" t="str">
        <f aca="false">IF(INDEX(Salary_Calculation[Source Row],ROW()-ROW(Payslip_Lookup[#Headers]))="","",INDEX(Salary_Calculation[Negative Balance / Amount Due from Rider],ROW()-ROW(Payslip_Lookup[#Headers])))</f>
        <v/>
      </c>
      <c r="AB78" s="176" t="str">
        <f aca="false">IF(INDEX(Salary_Calculation[Source Row],ROW()-ROW(Payslip_Lookup[#Headers]))="","",INDEX(Salary_Calculation[Total Amount Due from Rider],ROW()-ROW(Payslip_Lookup[#Headers])))</f>
        <v/>
      </c>
      <c r="AC78" s="176" t="str">
        <f aca="false">IF(INDEX(Salary_Calculation[Source Row],ROW()-ROW(Payslip_Lookup[#Headers]))="","",INDEX(Salary_Calculation[Salary Before Other Deductions],ROW()-ROW(Payslip_Lookup[#Headers])))</f>
        <v/>
      </c>
      <c r="AD78" s="171" t="str">
        <f aca="false">IF(INDEX(Salary_Calculation[Source Row],ROW()-ROW(Payslip_Lookup[#Headers]))="","",INDEX(Salary_Calculation[Payment Status],ROW()-ROW(Payslip_Lookup[#Headers])))</f>
        <v/>
      </c>
      <c r="AE78" s="171" t="str">
        <f aca="false">IF(INDEX(Salary_Calculation[Source Row],ROW()-ROW(Payslip_Lookup[#Headers]))="","",INDEX(Salary_Calculation[Notes],ROW()-ROW(Payslip_Lookup[#Headers])))</f>
        <v/>
      </c>
      <c r="AF78" s="171" t="str">
        <f aca="false">IF(INDEX(Salary_Calculation[Source Row],ROW()-ROW(Payslip_Lookup[#Headers]))="","",INDEX(Salary_Calculation[Exception Reason],ROW()-ROW(Payslip_Lookup[#Headers])))</f>
        <v/>
      </c>
      <c r="AG78" s="173" t="str">
        <f aca="false">IF($AD78="Review Required",COUNTIF(AD$2:AD78,"Review Required"),"")</f>
        <v/>
      </c>
      <c r="AH78" s="173" t="str">
        <f aca="false">IF(AND($D78&lt;&gt;"",$B78=Payslip_Print!$C$2),MAX(AH$1:AH77)+1,"")</f>
        <v/>
      </c>
      <c r="AL78" s="178" t="str">
        <f aca="false">IFERROR(INDEX($D$2:$D$501,MATCH(ROW()-1,$AH$2:$AH$501,0)),"")</f>
        <v/>
      </c>
      <c r="AM78" s="179" t="str">
        <f aca="false">IF($Z78="","",IF(AND($C78&gt;=Dash_Start,$C78&lt;Dash_End),$Z78+ROW()/10000000,""))</f>
        <v/>
      </c>
    </row>
    <row r="79" customFormat="false" ht="14.25" hidden="false" customHeight="false" outlineLevel="0" collapsed="false">
      <c r="A79" s="171" t="str">
        <f aca="false">IF(Payslip_Lookup[[#This Row],[Rider ID]]="","",Payslip_Lookup[[#This Row],[Rider ID]]&amp;"|"&amp;Payslip_Lookup[[#This Row],[Month Key]])</f>
        <v/>
      </c>
      <c r="B79" s="172" t="str">
        <f aca="false">IF(ISNUMBER(Payslip_Lookup[[#This Row],[Salary Month]]),DATE(YEAR(Payslip_Lookup[[#This Row],[Salary Month]]),MONTH(Payslip_Lookup[[#This Row],[Salary Month]]),1),"")</f>
        <v/>
      </c>
      <c r="C79" s="172" t="str">
        <f aca="false">IF(INDEX(Salary_Calculation[Source Row],ROW()-ROW(Payslip_Lookup[#Headers]))="","",INDEX(Salary_Calculation[Salary Month],ROW()-ROW(Payslip_Lookup[#Headers])))</f>
        <v/>
      </c>
      <c r="D79" s="173" t="str">
        <f aca="false">IF(INDEX(Salary_Calculation[Source Row],ROW()-ROW(Payslip_Lookup[#Headers]))="","",INDEX(Salary_Calculation[Rider ID],ROW()-ROW(Payslip_Lookup[#Headers])))</f>
        <v/>
      </c>
      <c r="E79" s="171" t="str">
        <f aca="false">IF(INDEX(Salary_Calculation[Source Row],ROW()-ROW(Payslip_Lookup[#Headers]))="","",INDEX(Salary_Calculation[Rider Name],ROW()-ROW(Payslip_Lookup[#Headers])))</f>
        <v/>
      </c>
      <c r="F79" s="173" t="str">
        <f aca="false">IF(INDEX(Salary_Calculation[Source Row],ROW()-ROW(Payslip_Lookup[#Headers]))="","",INDEX(Salary_Calculation[Working Days],ROW()-ROW(Payslip_Lookup[#Headers])))</f>
        <v/>
      </c>
      <c r="G79" s="173" t="str">
        <f aca="false">IF(INDEX(Salary_Calculation[Source Row],ROW()-ROW(Payslip_Lookup[#Headers]))="","",INDEX(Salary_Calculation[Calendar Days],ROW()-ROW(Payslip_Lookup[#Headers])))</f>
        <v/>
      </c>
      <c r="H79" s="174" t="str">
        <f aca="false">IF(INDEX(Salary_Calculation[Source Row],ROW()-ROW(Payslip_Lookup[#Headers]))="","",INDEX(Salary_Calculation[Monthly Target Orders],ROW()-ROW(Payslip_Lookup[#Headers])))</f>
        <v/>
      </c>
      <c r="I79" s="174" t="str">
        <f aca="false">IF(INDEX(Salary_Calculation[Source Row],ROW()-ROW(Payslip_Lookup[#Headers]))="","",INDEX(Salary_Calculation[Rider Target Orders],ROW()-ROW(Payslip_Lookup[#Headers])))</f>
        <v/>
      </c>
      <c r="J79" s="175" t="str">
        <f aca="false">IF(INDEX(Salary_Calculation[Source Row],ROW()-ROW(Payslip_Lookup[#Headers]))="","",INDEX(Salary_Calculation[Completed Orders],ROW()-ROW(Payslip_Lookup[#Headers])))</f>
        <v/>
      </c>
      <c r="K79" s="174" t="str">
        <f aca="false">IF(INDEX(Salary_Calculation[Source Row],ROW()-ROW(Payslip_Lookup[#Headers]))="","",INDEX(Salary_Calculation[Base Order Rate],ROW()-ROW(Payslip_Lookup[#Headers])))</f>
        <v/>
      </c>
      <c r="L79" s="176" t="str">
        <f aca="false">IF(INDEX(Salary_Calculation[Source Row],ROW()-ROW(Payslip_Lookup[#Headers]))="","",INDEX(Salary_Calculation[Basic Payment],ROW()-ROW(Payslip_Lookup[#Headers])))</f>
        <v/>
      </c>
      <c r="M79" s="176" t="str">
        <f aca="false">IF(INDEX(Salary_Calculation[Source Row],ROW()-ROW(Payslip_Lookup[#Headers]))="","",INDEX(Salary_Calculation[Earned Salary],ROW()-ROW(Payslip_Lookup[#Headers])))</f>
        <v/>
      </c>
      <c r="N79" s="174" t="str">
        <f aca="false">IF(INDEX(Salary_Calculation[Source Row],ROW()-ROW(Payslip_Lookup[#Headers]))="","",INDEX(Salary_Calculation[Orders Counted at Base Rate],ROW()-ROW(Payslip_Lookup[#Headers])))</f>
        <v/>
      </c>
      <c r="O79" s="174" t="str">
        <f aca="false">IF(INDEX(Salary_Calculation[Source Row],ROW()-ROW(Payslip_Lookup[#Headers]))="","",INDEX(Salary_Calculation[Missing Orders],ROW()-ROW(Payslip_Lookup[#Headers])))</f>
        <v/>
      </c>
      <c r="P79" s="176" t="str">
        <f aca="false">IF(INDEX(Salary_Calculation[Source Row],ROW()-ROW(Payslip_Lookup[#Headers]))="","",INDEX(Salary_Calculation[Missing-Order Deduction],ROW()-ROW(Payslip_Lookup[#Headers])))</f>
        <v/>
      </c>
      <c r="Q79" s="174" t="str">
        <f aca="false">IF(INDEX(Salary_Calculation[Source Row],ROW()-ROW(Payslip_Lookup[#Headers]))="","",INDEX(Salary_Calculation[Extra Orders],ROW()-ROW(Payslip_Lookup[#Headers])))</f>
        <v/>
      </c>
      <c r="R79" s="176" t="str">
        <f aca="false">IF(INDEX(Salary_Calculation[Source Row],ROW()-ROW(Payslip_Lookup[#Headers]))="","",INDEX(Salary_Calculation[Extra-Order Bonus],ROW()-ROW(Payslip_Lookup[#Headers])))</f>
        <v/>
      </c>
      <c r="S79" s="176" t="str">
        <f aca="false">IF(INDEX(Salary_Calculation[Source Row],ROW()-ROW(Payslip_Lookup[#Headers]))="","",INDEX(Salary_Calculation[Basic Salary for Target],ROW()-ROW(Payslip_Lookup[#Headers])))</f>
        <v/>
      </c>
      <c r="T79" s="176" t="str">
        <f aca="false">IF(INDEX(Salary_Calculation[Source Row],ROW()-ROW(Payslip_Lookup[#Headers]))="","",INDEX(Salary_Calculation[Gross Salary Before Deductions],ROW()-ROW(Payslip_Lookup[#Headers])))</f>
        <v/>
      </c>
      <c r="U79" s="176" t="str">
        <f aca="false">IF(INDEX(Salary_Calculation[Source Row],ROW()-ROW(Payslip_Lookup[#Headers]))="","",INDEX(Salary_Calculation[missed_days_penalty],ROW()-ROW(Payslip_Lookup[#Headers])))</f>
        <v/>
      </c>
      <c r="V79" s="176" t="str">
        <f aca="false">IF(INDEX(Salary_Calculation[Source Row],ROW()-ROW(Payslip_Lookup[#Headers]))="","",INDEX(Salary_Calculation[Rider Balance],ROW()-ROW(Payslip_Lookup[#Headers])))</f>
        <v/>
      </c>
      <c r="W79" s="176" t="str">
        <f aca="false">IF(INDEX(Salary_Calculation[Source Row],ROW()-ROW(Payslip_Lookup[#Headers]))="","",INDEX(Salary_Calculation[stacking_deduction],ROW()-ROW(Payslip_Lookup[#Headers])))</f>
        <v/>
      </c>
      <c r="X79" s="176" t="str">
        <f aca="false">IF(INDEX(Salary_Calculation[Source Row],ROW()-ROW(Payslip_Lookup[#Headers]))="","",INDEX(Salary_Calculation[Other Deductions],ROW()-ROW(Payslip_Lookup[#Headers])))</f>
        <v/>
      </c>
      <c r="Y79" s="176" t="str">
        <f aca="false">IF(INDEX(Salary_Calculation[Source Row],ROW()-ROW(Payslip_Lookup[#Headers]))="","",INDEX(Salary_Calculation[Total Deductions],ROW()-ROW(Payslip_Lookup[#Headers])))</f>
        <v/>
      </c>
      <c r="Z79" s="176" t="str">
        <f aca="false">IF(INDEX(Salary_Calculation[Source Row],ROW()-ROW(Payslip_Lookup[#Headers]))="","",INDEX(Salary_Calculation[Final Salary],ROW()-ROW(Payslip_Lookup[#Headers])))</f>
        <v/>
      </c>
      <c r="AA79" s="176" t="str">
        <f aca="false">IF(INDEX(Salary_Calculation[Source Row],ROW()-ROW(Payslip_Lookup[#Headers]))="","",INDEX(Salary_Calculation[Negative Balance / Amount Due from Rider],ROW()-ROW(Payslip_Lookup[#Headers])))</f>
        <v/>
      </c>
      <c r="AB79" s="176" t="str">
        <f aca="false">IF(INDEX(Salary_Calculation[Source Row],ROW()-ROW(Payslip_Lookup[#Headers]))="","",INDEX(Salary_Calculation[Total Amount Due from Rider],ROW()-ROW(Payslip_Lookup[#Headers])))</f>
        <v/>
      </c>
      <c r="AC79" s="176" t="str">
        <f aca="false">IF(INDEX(Salary_Calculation[Source Row],ROW()-ROW(Payslip_Lookup[#Headers]))="","",INDEX(Salary_Calculation[Salary Before Other Deductions],ROW()-ROW(Payslip_Lookup[#Headers])))</f>
        <v/>
      </c>
      <c r="AD79" s="171" t="str">
        <f aca="false">IF(INDEX(Salary_Calculation[Source Row],ROW()-ROW(Payslip_Lookup[#Headers]))="","",INDEX(Salary_Calculation[Payment Status],ROW()-ROW(Payslip_Lookup[#Headers])))</f>
        <v/>
      </c>
      <c r="AE79" s="171" t="str">
        <f aca="false">IF(INDEX(Salary_Calculation[Source Row],ROW()-ROW(Payslip_Lookup[#Headers]))="","",INDEX(Salary_Calculation[Notes],ROW()-ROW(Payslip_Lookup[#Headers])))</f>
        <v/>
      </c>
      <c r="AF79" s="171" t="str">
        <f aca="false">IF(INDEX(Salary_Calculation[Source Row],ROW()-ROW(Payslip_Lookup[#Headers]))="","",INDEX(Salary_Calculation[Exception Reason],ROW()-ROW(Payslip_Lookup[#Headers])))</f>
        <v/>
      </c>
      <c r="AG79" s="173" t="str">
        <f aca="false">IF($AD79="Review Required",COUNTIF(AD$2:AD79,"Review Required"),"")</f>
        <v/>
      </c>
      <c r="AH79" s="173" t="str">
        <f aca="false">IF(AND($D79&lt;&gt;"",$B79=Payslip_Print!$C$2),MAX(AH$1:AH78)+1,"")</f>
        <v/>
      </c>
      <c r="AL79" s="178" t="str">
        <f aca="false">IFERROR(INDEX($D$2:$D$501,MATCH(ROW()-1,$AH$2:$AH$501,0)),"")</f>
        <v/>
      </c>
      <c r="AM79" s="179" t="str">
        <f aca="false">IF($Z79="","",IF(AND($C79&gt;=Dash_Start,$C79&lt;Dash_End),$Z79+ROW()/10000000,""))</f>
        <v/>
      </c>
    </row>
    <row r="80" customFormat="false" ht="14.25" hidden="false" customHeight="false" outlineLevel="0" collapsed="false">
      <c r="A80" s="171" t="str">
        <f aca="false">IF(Payslip_Lookup[[#This Row],[Rider ID]]="","",Payslip_Lookup[[#This Row],[Rider ID]]&amp;"|"&amp;Payslip_Lookup[[#This Row],[Month Key]])</f>
        <v/>
      </c>
      <c r="B80" s="172" t="str">
        <f aca="false">IF(ISNUMBER(Payslip_Lookup[[#This Row],[Salary Month]]),DATE(YEAR(Payslip_Lookup[[#This Row],[Salary Month]]),MONTH(Payslip_Lookup[[#This Row],[Salary Month]]),1),"")</f>
        <v/>
      </c>
      <c r="C80" s="172" t="str">
        <f aca="false">IF(INDEX(Salary_Calculation[Source Row],ROW()-ROW(Payslip_Lookup[#Headers]))="","",INDEX(Salary_Calculation[Salary Month],ROW()-ROW(Payslip_Lookup[#Headers])))</f>
        <v/>
      </c>
      <c r="D80" s="173" t="str">
        <f aca="false">IF(INDEX(Salary_Calculation[Source Row],ROW()-ROW(Payslip_Lookup[#Headers]))="","",INDEX(Salary_Calculation[Rider ID],ROW()-ROW(Payslip_Lookup[#Headers])))</f>
        <v/>
      </c>
      <c r="E80" s="171" t="str">
        <f aca="false">IF(INDEX(Salary_Calculation[Source Row],ROW()-ROW(Payslip_Lookup[#Headers]))="","",INDEX(Salary_Calculation[Rider Name],ROW()-ROW(Payslip_Lookup[#Headers])))</f>
        <v/>
      </c>
      <c r="F80" s="173" t="str">
        <f aca="false">IF(INDEX(Salary_Calculation[Source Row],ROW()-ROW(Payslip_Lookup[#Headers]))="","",INDEX(Salary_Calculation[Working Days],ROW()-ROW(Payslip_Lookup[#Headers])))</f>
        <v/>
      </c>
      <c r="G80" s="173" t="str">
        <f aca="false">IF(INDEX(Salary_Calculation[Source Row],ROW()-ROW(Payslip_Lookup[#Headers]))="","",INDEX(Salary_Calculation[Calendar Days],ROW()-ROW(Payslip_Lookup[#Headers])))</f>
        <v/>
      </c>
      <c r="H80" s="174" t="str">
        <f aca="false">IF(INDEX(Salary_Calculation[Source Row],ROW()-ROW(Payslip_Lookup[#Headers]))="","",INDEX(Salary_Calculation[Monthly Target Orders],ROW()-ROW(Payslip_Lookup[#Headers])))</f>
        <v/>
      </c>
      <c r="I80" s="174" t="str">
        <f aca="false">IF(INDEX(Salary_Calculation[Source Row],ROW()-ROW(Payslip_Lookup[#Headers]))="","",INDEX(Salary_Calculation[Rider Target Orders],ROW()-ROW(Payslip_Lookup[#Headers])))</f>
        <v/>
      </c>
      <c r="J80" s="175" t="str">
        <f aca="false">IF(INDEX(Salary_Calculation[Source Row],ROW()-ROW(Payslip_Lookup[#Headers]))="","",INDEX(Salary_Calculation[Completed Orders],ROW()-ROW(Payslip_Lookup[#Headers])))</f>
        <v/>
      </c>
      <c r="K80" s="174" t="str">
        <f aca="false">IF(INDEX(Salary_Calculation[Source Row],ROW()-ROW(Payslip_Lookup[#Headers]))="","",INDEX(Salary_Calculation[Base Order Rate],ROW()-ROW(Payslip_Lookup[#Headers])))</f>
        <v/>
      </c>
      <c r="L80" s="176" t="str">
        <f aca="false">IF(INDEX(Salary_Calculation[Source Row],ROW()-ROW(Payslip_Lookup[#Headers]))="","",INDEX(Salary_Calculation[Basic Payment],ROW()-ROW(Payslip_Lookup[#Headers])))</f>
        <v/>
      </c>
      <c r="M80" s="176" t="str">
        <f aca="false">IF(INDEX(Salary_Calculation[Source Row],ROW()-ROW(Payslip_Lookup[#Headers]))="","",INDEX(Salary_Calculation[Earned Salary],ROW()-ROW(Payslip_Lookup[#Headers])))</f>
        <v/>
      </c>
      <c r="N80" s="174" t="str">
        <f aca="false">IF(INDEX(Salary_Calculation[Source Row],ROW()-ROW(Payslip_Lookup[#Headers]))="","",INDEX(Salary_Calculation[Orders Counted at Base Rate],ROW()-ROW(Payslip_Lookup[#Headers])))</f>
        <v/>
      </c>
      <c r="O80" s="174" t="str">
        <f aca="false">IF(INDEX(Salary_Calculation[Source Row],ROW()-ROW(Payslip_Lookup[#Headers]))="","",INDEX(Salary_Calculation[Missing Orders],ROW()-ROW(Payslip_Lookup[#Headers])))</f>
        <v/>
      </c>
      <c r="P80" s="176" t="str">
        <f aca="false">IF(INDEX(Salary_Calculation[Source Row],ROW()-ROW(Payslip_Lookup[#Headers]))="","",INDEX(Salary_Calculation[Missing-Order Deduction],ROW()-ROW(Payslip_Lookup[#Headers])))</f>
        <v/>
      </c>
      <c r="Q80" s="174" t="str">
        <f aca="false">IF(INDEX(Salary_Calculation[Source Row],ROW()-ROW(Payslip_Lookup[#Headers]))="","",INDEX(Salary_Calculation[Extra Orders],ROW()-ROW(Payslip_Lookup[#Headers])))</f>
        <v/>
      </c>
      <c r="R80" s="176" t="str">
        <f aca="false">IF(INDEX(Salary_Calculation[Source Row],ROW()-ROW(Payslip_Lookup[#Headers]))="","",INDEX(Salary_Calculation[Extra-Order Bonus],ROW()-ROW(Payslip_Lookup[#Headers])))</f>
        <v/>
      </c>
      <c r="S80" s="176" t="str">
        <f aca="false">IF(INDEX(Salary_Calculation[Source Row],ROW()-ROW(Payslip_Lookup[#Headers]))="","",INDEX(Salary_Calculation[Basic Salary for Target],ROW()-ROW(Payslip_Lookup[#Headers])))</f>
        <v/>
      </c>
      <c r="T80" s="176" t="str">
        <f aca="false">IF(INDEX(Salary_Calculation[Source Row],ROW()-ROW(Payslip_Lookup[#Headers]))="","",INDEX(Salary_Calculation[Gross Salary Before Deductions],ROW()-ROW(Payslip_Lookup[#Headers])))</f>
        <v/>
      </c>
      <c r="U80" s="176" t="str">
        <f aca="false">IF(INDEX(Salary_Calculation[Source Row],ROW()-ROW(Payslip_Lookup[#Headers]))="","",INDEX(Salary_Calculation[missed_days_penalty],ROW()-ROW(Payslip_Lookup[#Headers])))</f>
        <v/>
      </c>
      <c r="V80" s="176" t="str">
        <f aca="false">IF(INDEX(Salary_Calculation[Source Row],ROW()-ROW(Payslip_Lookup[#Headers]))="","",INDEX(Salary_Calculation[Rider Balance],ROW()-ROW(Payslip_Lookup[#Headers])))</f>
        <v/>
      </c>
      <c r="W80" s="176" t="str">
        <f aca="false">IF(INDEX(Salary_Calculation[Source Row],ROW()-ROW(Payslip_Lookup[#Headers]))="","",INDEX(Salary_Calculation[stacking_deduction],ROW()-ROW(Payslip_Lookup[#Headers])))</f>
        <v/>
      </c>
      <c r="X80" s="176" t="str">
        <f aca="false">IF(INDEX(Salary_Calculation[Source Row],ROW()-ROW(Payslip_Lookup[#Headers]))="","",INDEX(Salary_Calculation[Other Deductions],ROW()-ROW(Payslip_Lookup[#Headers])))</f>
        <v/>
      </c>
      <c r="Y80" s="176" t="str">
        <f aca="false">IF(INDEX(Salary_Calculation[Source Row],ROW()-ROW(Payslip_Lookup[#Headers]))="","",INDEX(Salary_Calculation[Total Deductions],ROW()-ROW(Payslip_Lookup[#Headers])))</f>
        <v/>
      </c>
      <c r="Z80" s="176" t="str">
        <f aca="false">IF(INDEX(Salary_Calculation[Source Row],ROW()-ROW(Payslip_Lookup[#Headers]))="","",INDEX(Salary_Calculation[Final Salary],ROW()-ROW(Payslip_Lookup[#Headers])))</f>
        <v/>
      </c>
      <c r="AA80" s="176" t="str">
        <f aca="false">IF(INDEX(Salary_Calculation[Source Row],ROW()-ROW(Payslip_Lookup[#Headers]))="","",INDEX(Salary_Calculation[Negative Balance / Amount Due from Rider],ROW()-ROW(Payslip_Lookup[#Headers])))</f>
        <v/>
      </c>
      <c r="AB80" s="176" t="str">
        <f aca="false">IF(INDEX(Salary_Calculation[Source Row],ROW()-ROW(Payslip_Lookup[#Headers]))="","",INDEX(Salary_Calculation[Total Amount Due from Rider],ROW()-ROW(Payslip_Lookup[#Headers])))</f>
        <v/>
      </c>
      <c r="AC80" s="176" t="str">
        <f aca="false">IF(INDEX(Salary_Calculation[Source Row],ROW()-ROW(Payslip_Lookup[#Headers]))="","",INDEX(Salary_Calculation[Salary Before Other Deductions],ROW()-ROW(Payslip_Lookup[#Headers])))</f>
        <v/>
      </c>
      <c r="AD80" s="171" t="str">
        <f aca="false">IF(INDEX(Salary_Calculation[Source Row],ROW()-ROW(Payslip_Lookup[#Headers]))="","",INDEX(Salary_Calculation[Payment Status],ROW()-ROW(Payslip_Lookup[#Headers])))</f>
        <v/>
      </c>
      <c r="AE80" s="171" t="str">
        <f aca="false">IF(INDEX(Salary_Calculation[Source Row],ROW()-ROW(Payslip_Lookup[#Headers]))="","",INDEX(Salary_Calculation[Notes],ROW()-ROW(Payslip_Lookup[#Headers])))</f>
        <v/>
      </c>
      <c r="AF80" s="171" t="str">
        <f aca="false">IF(INDEX(Salary_Calculation[Source Row],ROW()-ROW(Payslip_Lookup[#Headers]))="","",INDEX(Salary_Calculation[Exception Reason],ROW()-ROW(Payslip_Lookup[#Headers])))</f>
        <v/>
      </c>
      <c r="AG80" s="173" t="str">
        <f aca="false">IF($AD80="Review Required",COUNTIF(AD$2:AD80,"Review Required"),"")</f>
        <v/>
      </c>
      <c r="AH80" s="173" t="str">
        <f aca="false">IF(AND($D80&lt;&gt;"",$B80=Payslip_Print!$C$2),MAX(AH$1:AH79)+1,"")</f>
        <v/>
      </c>
      <c r="AL80" s="178" t="str">
        <f aca="false">IFERROR(INDEX($D$2:$D$501,MATCH(ROW()-1,$AH$2:$AH$501,0)),"")</f>
        <v/>
      </c>
      <c r="AM80" s="179" t="str">
        <f aca="false">IF($Z80="","",IF(AND($C80&gt;=Dash_Start,$C80&lt;Dash_End),$Z80+ROW()/10000000,""))</f>
        <v/>
      </c>
    </row>
    <row r="81" customFormat="false" ht="14.25" hidden="false" customHeight="false" outlineLevel="0" collapsed="false">
      <c r="A81" s="171" t="str">
        <f aca="false">IF(Payslip_Lookup[[#This Row],[Rider ID]]="","",Payslip_Lookup[[#This Row],[Rider ID]]&amp;"|"&amp;Payslip_Lookup[[#This Row],[Month Key]])</f>
        <v/>
      </c>
      <c r="B81" s="172" t="str">
        <f aca="false">IF(ISNUMBER(Payslip_Lookup[[#This Row],[Salary Month]]),DATE(YEAR(Payslip_Lookup[[#This Row],[Salary Month]]),MONTH(Payslip_Lookup[[#This Row],[Salary Month]]),1),"")</f>
        <v/>
      </c>
      <c r="C81" s="172" t="str">
        <f aca="false">IF(INDEX(Salary_Calculation[Source Row],ROW()-ROW(Payslip_Lookup[#Headers]))="","",INDEX(Salary_Calculation[Salary Month],ROW()-ROW(Payslip_Lookup[#Headers])))</f>
        <v/>
      </c>
      <c r="D81" s="173" t="str">
        <f aca="false">IF(INDEX(Salary_Calculation[Source Row],ROW()-ROW(Payslip_Lookup[#Headers]))="","",INDEX(Salary_Calculation[Rider ID],ROW()-ROW(Payslip_Lookup[#Headers])))</f>
        <v/>
      </c>
      <c r="E81" s="171" t="str">
        <f aca="false">IF(INDEX(Salary_Calculation[Source Row],ROW()-ROW(Payslip_Lookup[#Headers]))="","",INDEX(Salary_Calculation[Rider Name],ROW()-ROW(Payslip_Lookup[#Headers])))</f>
        <v/>
      </c>
      <c r="F81" s="173" t="str">
        <f aca="false">IF(INDEX(Salary_Calculation[Source Row],ROW()-ROW(Payslip_Lookup[#Headers]))="","",INDEX(Salary_Calculation[Working Days],ROW()-ROW(Payslip_Lookup[#Headers])))</f>
        <v/>
      </c>
      <c r="G81" s="173" t="str">
        <f aca="false">IF(INDEX(Salary_Calculation[Source Row],ROW()-ROW(Payslip_Lookup[#Headers]))="","",INDEX(Salary_Calculation[Calendar Days],ROW()-ROW(Payslip_Lookup[#Headers])))</f>
        <v/>
      </c>
      <c r="H81" s="174" t="str">
        <f aca="false">IF(INDEX(Salary_Calculation[Source Row],ROW()-ROW(Payslip_Lookup[#Headers]))="","",INDEX(Salary_Calculation[Monthly Target Orders],ROW()-ROW(Payslip_Lookup[#Headers])))</f>
        <v/>
      </c>
      <c r="I81" s="174" t="str">
        <f aca="false">IF(INDEX(Salary_Calculation[Source Row],ROW()-ROW(Payslip_Lookup[#Headers]))="","",INDEX(Salary_Calculation[Rider Target Orders],ROW()-ROW(Payslip_Lookup[#Headers])))</f>
        <v/>
      </c>
      <c r="J81" s="175" t="str">
        <f aca="false">IF(INDEX(Salary_Calculation[Source Row],ROW()-ROW(Payslip_Lookup[#Headers]))="","",INDEX(Salary_Calculation[Completed Orders],ROW()-ROW(Payslip_Lookup[#Headers])))</f>
        <v/>
      </c>
      <c r="K81" s="174" t="str">
        <f aca="false">IF(INDEX(Salary_Calculation[Source Row],ROW()-ROW(Payslip_Lookup[#Headers]))="","",INDEX(Salary_Calculation[Base Order Rate],ROW()-ROW(Payslip_Lookup[#Headers])))</f>
        <v/>
      </c>
      <c r="L81" s="176" t="str">
        <f aca="false">IF(INDEX(Salary_Calculation[Source Row],ROW()-ROW(Payslip_Lookup[#Headers]))="","",INDEX(Salary_Calculation[Basic Payment],ROW()-ROW(Payslip_Lookup[#Headers])))</f>
        <v/>
      </c>
      <c r="M81" s="176" t="str">
        <f aca="false">IF(INDEX(Salary_Calculation[Source Row],ROW()-ROW(Payslip_Lookup[#Headers]))="","",INDEX(Salary_Calculation[Earned Salary],ROW()-ROW(Payslip_Lookup[#Headers])))</f>
        <v/>
      </c>
      <c r="N81" s="174" t="str">
        <f aca="false">IF(INDEX(Salary_Calculation[Source Row],ROW()-ROW(Payslip_Lookup[#Headers]))="","",INDEX(Salary_Calculation[Orders Counted at Base Rate],ROW()-ROW(Payslip_Lookup[#Headers])))</f>
        <v/>
      </c>
      <c r="O81" s="174" t="str">
        <f aca="false">IF(INDEX(Salary_Calculation[Source Row],ROW()-ROW(Payslip_Lookup[#Headers]))="","",INDEX(Salary_Calculation[Missing Orders],ROW()-ROW(Payslip_Lookup[#Headers])))</f>
        <v/>
      </c>
      <c r="P81" s="176" t="str">
        <f aca="false">IF(INDEX(Salary_Calculation[Source Row],ROW()-ROW(Payslip_Lookup[#Headers]))="","",INDEX(Salary_Calculation[Missing-Order Deduction],ROW()-ROW(Payslip_Lookup[#Headers])))</f>
        <v/>
      </c>
      <c r="Q81" s="174" t="str">
        <f aca="false">IF(INDEX(Salary_Calculation[Source Row],ROW()-ROW(Payslip_Lookup[#Headers]))="","",INDEX(Salary_Calculation[Extra Orders],ROW()-ROW(Payslip_Lookup[#Headers])))</f>
        <v/>
      </c>
      <c r="R81" s="176" t="str">
        <f aca="false">IF(INDEX(Salary_Calculation[Source Row],ROW()-ROW(Payslip_Lookup[#Headers]))="","",INDEX(Salary_Calculation[Extra-Order Bonus],ROW()-ROW(Payslip_Lookup[#Headers])))</f>
        <v/>
      </c>
      <c r="S81" s="176" t="str">
        <f aca="false">IF(INDEX(Salary_Calculation[Source Row],ROW()-ROW(Payslip_Lookup[#Headers]))="","",INDEX(Salary_Calculation[Basic Salary for Target],ROW()-ROW(Payslip_Lookup[#Headers])))</f>
        <v/>
      </c>
      <c r="T81" s="176" t="str">
        <f aca="false">IF(INDEX(Salary_Calculation[Source Row],ROW()-ROW(Payslip_Lookup[#Headers]))="","",INDEX(Salary_Calculation[Gross Salary Before Deductions],ROW()-ROW(Payslip_Lookup[#Headers])))</f>
        <v/>
      </c>
      <c r="U81" s="176" t="str">
        <f aca="false">IF(INDEX(Salary_Calculation[Source Row],ROW()-ROW(Payslip_Lookup[#Headers]))="","",INDEX(Salary_Calculation[missed_days_penalty],ROW()-ROW(Payslip_Lookup[#Headers])))</f>
        <v/>
      </c>
      <c r="V81" s="176" t="str">
        <f aca="false">IF(INDEX(Salary_Calculation[Source Row],ROW()-ROW(Payslip_Lookup[#Headers]))="","",INDEX(Salary_Calculation[Rider Balance],ROW()-ROW(Payslip_Lookup[#Headers])))</f>
        <v/>
      </c>
      <c r="W81" s="176" t="str">
        <f aca="false">IF(INDEX(Salary_Calculation[Source Row],ROW()-ROW(Payslip_Lookup[#Headers]))="","",INDEX(Salary_Calculation[stacking_deduction],ROW()-ROW(Payslip_Lookup[#Headers])))</f>
        <v/>
      </c>
      <c r="X81" s="176" t="str">
        <f aca="false">IF(INDEX(Salary_Calculation[Source Row],ROW()-ROW(Payslip_Lookup[#Headers]))="","",INDEX(Salary_Calculation[Other Deductions],ROW()-ROW(Payslip_Lookup[#Headers])))</f>
        <v/>
      </c>
      <c r="Y81" s="176" t="str">
        <f aca="false">IF(INDEX(Salary_Calculation[Source Row],ROW()-ROW(Payslip_Lookup[#Headers]))="","",INDEX(Salary_Calculation[Total Deductions],ROW()-ROW(Payslip_Lookup[#Headers])))</f>
        <v/>
      </c>
      <c r="Z81" s="176" t="str">
        <f aca="false">IF(INDEX(Salary_Calculation[Source Row],ROW()-ROW(Payslip_Lookup[#Headers]))="","",INDEX(Salary_Calculation[Final Salary],ROW()-ROW(Payslip_Lookup[#Headers])))</f>
        <v/>
      </c>
      <c r="AA81" s="176" t="str">
        <f aca="false">IF(INDEX(Salary_Calculation[Source Row],ROW()-ROW(Payslip_Lookup[#Headers]))="","",INDEX(Salary_Calculation[Negative Balance / Amount Due from Rider],ROW()-ROW(Payslip_Lookup[#Headers])))</f>
        <v/>
      </c>
      <c r="AB81" s="176" t="str">
        <f aca="false">IF(INDEX(Salary_Calculation[Source Row],ROW()-ROW(Payslip_Lookup[#Headers]))="","",INDEX(Salary_Calculation[Total Amount Due from Rider],ROW()-ROW(Payslip_Lookup[#Headers])))</f>
        <v/>
      </c>
      <c r="AC81" s="176" t="str">
        <f aca="false">IF(INDEX(Salary_Calculation[Source Row],ROW()-ROW(Payslip_Lookup[#Headers]))="","",INDEX(Salary_Calculation[Salary Before Other Deductions],ROW()-ROW(Payslip_Lookup[#Headers])))</f>
        <v/>
      </c>
      <c r="AD81" s="171" t="str">
        <f aca="false">IF(INDEX(Salary_Calculation[Source Row],ROW()-ROW(Payslip_Lookup[#Headers]))="","",INDEX(Salary_Calculation[Payment Status],ROW()-ROW(Payslip_Lookup[#Headers])))</f>
        <v/>
      </c>
      <c r="AE81" s="171" t="str">
        <f aca="false">IF(INDEX(Salary_Calculation[Source Row],ROW()-ROW(Payslip_Lookup[#Headers]))="","",INDEX(Salary_Calculation[Notes],ROW()-ROW(Payslip_Lookup[#Headers])))</f>
        <v/>
      </c>
      <c r="AF81" s="171" t="str">
        <f aca="false">IF(INDEX(Salary_Calculation[Source Row],ROW()-ROW(Payslip_Lookup[#Headers]))="","",INDEX(Salary_Calculation[Exception Reason],ROW()-ROW(Payslip_Lookup[#Headers])))</f>
        <v/>
      </c>
      <c r="AG81" s="173" t="str">
        <f aca="false">IF($AD81="Review Required",COUNTIF(AD$2:AD81,"Review Required"),"")</f>
        <v/>
      </c>
      <c r="AH81" s="173" t="str">
        <f aca="false">IF(AND($D81&lt;&gt;"",$B81=Payslip_Print!$C$2),MAX(AH$1:AH80)+1,"")</f>
        <v/>
      </c>
      <c r="AL81" s="178" t="str">
        <f aca="false">IFERROR(INDEX($D$2:$D$501,MATCH(ROW()-1,$AH$2:$AH$501,0)),"")</f>
        <v/>
      </c>
      <c r="AM81" s="179" t="str">
        <f aca="false">IF($Z81="","",IF(AND($C81&gt;=Dash_Start,$C81&lt;Dash_End),$Z81+ROW()/10000000,""))</f>
        <v/>
      </c>
    </row>
    <row r="82" customFormat="false" ht="14.25" hidden="false" customHeight="false" outlineLevel="0" collapsed="false">
      <c r="A82" s="171" t="str">
        <f aca="false">IF(Payslip_Lookup[[#This Row],[Rider ID]]="","",Payslip_Lookup[[#This Row],[Rider ID]]&amp;"|"&amp;Payslip_Lookup[[#This Row],[Month Key]])</f>
        <v/>
      </c>
      <c r="B82" s="172" t="str">
        <f aca="false">IF(ISNUMBER(Payslip_Lookup[[#This Row],[Salary Month]]),DATE(YEAR(Payslip_Lookup[[#This Row],[Salary Month]]),MONTH(Payslip_Lookup[[#This Row],[Salary Month]]),1),"")</f>
        <v/>
      </c>
      <c r="C82" s="172" t="str">
        <f aca="false">IF(INDEX(Salary_Calculation[Source Row],ROW()-ROW(Payslip_Lookup[#Headers]))="","",INDEX(Salary_Calculation[Salary Month],ROW()-ROW(Payslip_Lookup[#Headers])))</f>
        <v/>
      </c>
      <c r="D82" s="173" t="str">
        <f aca="false">IF(INDEX(Salary_Calculation[Source Row],ROW()-ROW(Payslip_Lookup[#Headers]))="","",INDEX(Salary_Calculation[Rider ID],ROW()-ROW(Payslip_Lookup[#Headers])))</f>
        <v/>
      </c>
      <c r="E82" s="171" t="str">
        <f aca="false">IF(INDEX(Salary_Calculation[Source Row],ROW()-ROW(Payslip_Lookup[#Headers]))="","",INDEX(Salary_Calculation[Rider Name],ROW()-ROW(Payslip_Lookup[#Headers])))</f>
        <v/>
      </c>
      <c r="F82" s="173" t="str">
        <f aca="false">IF(INDEX(Salary_Calculation[Source Row],ROW()-ROW(Payslip_Lookup[#Headers]))="","",INDEX(Salary_Calculation[Working Days],ROW()-ROW(Payslip_Lookup[#Headers])))</f>
        <v/>
      </c>
      <c r="G82" s="173" t="str">
        <f aca="false">IF(INDEX(Salary_Calculation[Source Row],ROW()-ROW(Payslip_Lookup[#Headers]))="","",INDEX(Salary_Calculation[Calendar Days],ROW()-ROW(Payslip_Lookup[#Headers])))</f>
        <v/>
      </c>
      <c r="H82" s="174" t="str">
        <f aca="false">IF(INDEX(Salary_Calculation[Source Row],ROW()-ROW(Payslip_Lookup[#Headers]))="","",INDEX(Salary_Calculation[Monthly Target Orders],ROW()-ROW(Payslip_Lookup[#Headers])))</f>
        <v/>
      </c>
      <c r="I82" s="174" t="str">
        <f aca="false">IF(INDEX(Salary_Calculation[Source Row],ROW()-ROW(Payslip_Lookup[#Headers]))="","",INDEX(Salary_Calculation[Rider Target Orders],ROW()-ROW(Payslip_Lookup[#Headers])))</f>
        <v/>
      </c>
      <c r="J82" s="175" t="str">
        <f aca="false">IF(INDEX(Salary_Calculation[Source Row],ROW()-ROW(Payslip_Lookup[#Headers]))="","",INDEX(Salary_Calculation[Completed Orders],ROW()-ROW(Payslip_Lookup[#Headers])))</f>
        <v/>
      </c>
      <c r="K82" s="174" t="str">
        <f aca="false">IF(INDEX(Salary_Calculation[Source Row],ROW()-ROW(Payslip_Lookup[#Headers]))="","",INDEX(Salary_Calculation[Base Order Rate],ROW()-ROW(Payslip_Lookup[#Headers])))</f>
        <v/>
      </c>
      <c r="L82" s="176" t="str">
        <f aca="false">IF(INDEX(Salary_Calculation[Source Row],ROW()-ROW(Payslip_Lookup[#Headers]))="","",INDEX(Salary_Calculation[Basic Payment],ROW()-ROW(Payslip_Lookup[#Headers])))</f>
        <v/>
      </c>
      <c r="M82" s="176" t="str">
        <f aca="false">IF(INDEX(Salary_Calculation[Source Row],ROW()-ROW(Payslip_Lookup[#Headers]))="","",INDEX(Salary_Calculation[Earned Salary],ROW()-ROW(Payslip_Lookup[#Headers])))</f>
        <v/>
      </c>
      <c r="N82" s="174" t="str">
        <f aca="false">IF(INDEX(Salary_Calculation[Source Row],ROW()-ROW(Payslip_Lookup[#Headers]))="","",INDEX(Salary_Calculation[Orders Counted at Base Rate],ROW()-ROW(Payslip_Lookup[#Headers])))</f>
        <v/>
      </c>
      <c r="O82" s="174" t="str">
        <f aca="false">IF(INDEX(Salary_Calculation[Source Row],ROW()-ROW(Payslip_Lookup[#Headers]))="","",INDEX(Salary_Calculation[Missing Orders],ROW()-ROW(Payslip_Lookup[#Headers])))</f>
        <v/>
      </c>
      <c r="P82" s="176" t="str">
        <f aca="false">IF(INDEX(Salary_Calculation[Source Row],ROW()-ROW(Payslip_Lookup[#Headers]))="","",INDEX(Salary_Calculation[Missing-Order Deduction],ROW()-ROW(Payslip_Lookup[#Headers])))</f>
        <v/>
      </c>
      <c r="Q82" s="174" t="str">
        <f aca="false">IF(INDEX(Salary_Calculation[Source Row],ROW()-ROW(Payslip_Lookup[#Headers]))="","",INDEX(Salary_Calculation[Extra Orders],ROW()-ROW(Payslip_Lookup[#Headers])))</f>
        <v/>
      </c>
      <c r="R82" s="176" t="str">
        <f aca="false">IF(INDEX(Salary_Calculation[Source Row],ROW()-ROW(Payslip_Lookup[#Headers]))="","",INDEX(Salary_Calculation[Extra-Order Bonus],ROW()-ROW(Payslip_Lookup[#Headers])))</f>
        <v/>
      </c>
      <c r="S82" s="176" t="str">
        <f aca="false">IF(INDEX(Salary_Calculation[Source Row],ROW()-ROW(Payslip_Lookup[#Headers]))="","",INDEX(Salary_Calculation[Basic Salary for Target],ROW()-ROW(Payslip_Lookup[#Headers])))</f>
        <v/>
      </c>
      <c r="T82" s="176" t="str">
        <f aca="false">IF(INDEX(Salary_Calculation[Source Row],ROW()-ROW(Payslip_Lookup[#Headers]))="","",INDEX(Salary_Calculation[Gross Salary Before Deductions],ROW()-ROW(Payslip_Lookup[#Headers])))</f>
        <v/>
      </c>
      <c r="U82" s="176" t="str">
        <f aca="false">IF(INDEX(Salary_Calculation[Source Row],ROW()-ROW(Payslip_Lookup[#Headers]))="","",INDEX(Salary_Calculation[missed_days_penalty],ROW()-ROW(Payslip_Lookup[#Headers])))</f>
        <v/>
      </c>
      <c r="V82" s="176" t="str">
        <f aca="false">IF(INDEX(Salary_Calculation[Source Row],ROW()-ROW(Payslip_Lookup[#Headers]))="","",INDEX(Salary_Calculation[Rider Balance],ROW()-ROW(Payslip_Lookup[#Headers])))</f>
        <v/>
      </c>
      <c r="W82" s="176" t="str">
        <f aca="false">IF(INDEX(Salary_Calculation[Source Row],ROW()-ROW(Payslip_Lookup[#Headers]))="","",INDEX(Salary_Calculation[stacking_deduction],ROW()-ROW(Payslip_Lookup[#Headers])))</f>
        <v/>
      </c>
      <c r="X82" s="176" t="str">
        <f aca="false">IF(INDEX(Salary_Calculation[Source Row],ROW()-ROW(Payslip_Lookup[#Headers]))="","",INDEX(Salary_Calculation[Other Deductions],ROW()-ROW(Payslip_Lookup[#Headers])))</f>
        <v/>
      </c>
      <c r="Y82" s="176" t="str">
        <f aca="false">IF(INDEX(Salary_Calculation[Source Row],ROW()-ROW(Payslip_Lookup[#Headers]))="","",INDEX(Salary_Calculation[Total Deductions],ROW()-ROW(Payslip_Lookup[#Headers])))</f>
        <v/>
      </c>
      <c r="Z82" s="176" t="str">
        <f aca="false">IF(INDEX(Salary_Calculation[Source Row],ROW()-ROW(Payslip_Lookup[#Headers]))="","",INDEX(Salary_Calculation[Final Salary],ROW()-ROW(Payslip_Lookup[#Headers])))</f>
        <v/>
      </c>
      <c r="AA82" s="176" t="str">
        <f aca="false">IF(INDEX(Salary_Calculation[Source Row],ROW()-ROW(Payslip_Lookup[#Headers]))="","",INDEX(Salary_Calculation[Negative Balance / Amount Due from Rider],ROW()-ROW(Payslip_Lookup[#Headers])))</f>
        <v/>
      </c>
      <c r="AB82" s="176" t="str">
        <f aca="false">IF(INDEX(Salary_Calculation[Source Row],ROW()-ROW(Payslip_Lookup[#Headers]))="","",INDEX(Salary_Calculation[Total Amount Due from Rider],ROW()-ROW(Payslip_Lookup[#Headers])))</f>
        <v/>
      </c>
      <c r="AC82" s="176" t="str">
        <f aca="false">IF(INDEX(Salary_Calculation[Source Row],ROW()-ROW(Payslip_Lookup[#Headers]))="","",INDEX(Salary_Calculation[Salary Before Other Deductions],ROW()-ROW(Payslip_Lookup[#Headers])))</f>
        <v/>
      </c>
      <c r="AD82" s="171" t="str">
        <f aca="false">IF(INDEX(Salary_Calculation[Source Row],ROW()-ROW(Payslip_Lookup[#Headers]))="","",INDEX(Salary_Calculation[Payment Status],ROW()-ROW(Payslip_Lookup[#Headers])))</f>
        <v/>
      </c>
      <c r="AE82" s="171" t="str">
        <f aca="false">IF(INDEX(Salary_Calculation[Source Row],ROW()-ROW(Payslip_Lookup[#Headers]))="","",INDEX(Salary_Calculation[Notes],ROW()-ROW(Payslip_Lookup[#Headers])))</f>
        <v/>
      </c>
      <c r="AF82" s="171" t="str">
        <f aca="false">IF(INDEX(Salary_Calculation[Source Row],ROW()-ROW(Payslip_Lookup[#Headers]))="","",INDEX(Salary_Calculation[Exception Reason],ROW()-ROW(Payslip_Lookup[#Headers])))</f>
        <v/>
      </c>
      <c r="AG82" s="173" t="str">
        <f aca="false">IF($AD82="Review Required",COUNTIF(AD$2:AD82,"Review Required"),"")</f>
        <v/>
      </c>
      <c r="AH82" s="173" t="str">
        <f aca="false">IF(AND($D82&lt;&gt;"",$B82=Payslip_Print!$C$2),MAX(AH$1:AH81)+1,"")</f>
        <v/>
      </c>
      <c r="AL82" s="178" t="str">
        <f aca="false">IFERROR(INDEX($D$2:$D$501,MATCH(ROW()-1,$AH$2:$AH$501,0)),"")</f>
        <v/>
      </c>
      <c r="AM82" s="179" t="str">
        <f aca="false">IF($Z82="","",IF(AND($C82&gt;=Dash_Start,$C82&lt;Dash_End),$Z82+ROW()/10000000,""))</f>
        <v/>
      </c>
    </row>
    <row r="83" customFormat="false" ht="14.25" hidden="false" customHeight="false" outlineLevel="0" collapsed="false">
      <c r="A83" s="171" t="str">
        <f aca="false">IF(Payslip_Lookup[[#This Row],[Rider ID]]="","",Payslip_Lookup[[#This Row],[Rider ID]]&amp;"|"&amp;Payslip_Lookup[[#This Row],[Month Key]])</f>
        <v/>
      </c>
      <c r="B83" s="172" t="str">
        <f aca="false">IF(ISNUMBER(Payslip_Lookup[[#This Row],[Salary Month]]),DATE(YEAR(Payslip_Lookup[[#This Row],[Salary Month]]),MONTH(Payslip_Lookup[[#This Row],[Salary Month]]),1),"")</f>
        <v/>
      </c>
      <c r="C83" s="172" t="str">
        <f aca="false">IF(INDEX(Salary_Calculation[Source Row],ROW()-ROW(Payslip_Lookup[#Headers]))="","",INDEX(Salary_Calculation[Salary Month],ROW()-ROW(Payslip_Lookup[#Headers])))</f>
        <v/>
      </c>
      <c r="D83" s="173" t="str">
        <f aca="false">IF(INDEX(Salary_Calculation[Source Row],ROW()-ROW(Payslip_Lookup[#Headers]))="","",INDEX(Salary_Calculation[Rider ID],ROW()-ROW(Payslip_Lookup[#Headers])))</f>
        <v/>
      </c>
      <c r="E83" s="171" t="str">
        <f aca="false">IF(INDEX(Salary_Calculation[Source Row],ROW()-ROW(Payslip_Lookup[#Headers]))="","",INDEX(Salary_Calculation[Rider Name],ROW()-ROW(Payslip_Lookup[#Headers])))</f>
        <v/>
      </c>
      <c r="F83" s="173" t="str">
        <f aca="false">IF(INDEX(Salary_Calculation[Source Row],ROW()-ROW(Payslip_Lookup[#Headers]))="","",INDEX(Salary_Calculation[Working Days],ROW()-ROW(Payslip_Lookup[#Headers])))</f>
        <v/>
      </c>
      <c r="G83" s="173" t="str">
        <f aca="false">IF(INDEX(Salary_Calculation[Source Row],ROW()-ROW(Payslip_Lookup[#Headers]))="","",INDEX(Salary_Calculation[Calendar Days],ROW()-ROW(Payslip_Lookup[#Headers])))</f>
        <v/>
      </c>
      <c r="H83" s="174" t="str">
        <f aca="false">IF(INDEX(Salary_Calculation[Source Row],ROW()-ROW(Payslip_Lookup[#Headers]))="","",INDEX(Salary_Calculation[Monthly Target Orders],ROW()-ROW(Payslip_Lookup[#Headers])))</f>
        <v/>
      </c>
      <c r="I83" s="174" t="str">
        <f aca="false">IF(INDEX(Salary_Calculation[Source Row],ROW()-ROW(Payslip_Lookup[#Headers]))="","",INDEX(Salary_Calculation[Rider Target Orders],ROW()-ROW(Payslip_Lookup[#Headers])))</f>
        <v/>
      </c>
      <c r="J83" s="175" t="str">
        <f aca="false">IF(INDEX(Salary_Calculation[Source Row],ROW()-ROW(Payslip_Lookup[#Headers]))="","",INDEX(Salary_Calculation[Completed Orders],ROW()-ROW(Payslip_Lookup[#Headers])))</f>
        <v/>
      </c>
      <c r="K83" s="174" t="str">
        <f aca="false">IF(INDEX(Salary_Calculation[Source Row],ROW()-ROW(Payslip_Lookup[#Headers]))="","",INDEX(Salary_Calculation[Base Order Rate],ROW()-ROW(Payslip_Lookup[#Headers])))</f>
        <v/>
      </c>
      <c r="L83" s="176" t="str">
        <f aca="false">IF(INDEX(Salary_Calculation[Source Row],ROW()-ROW(Payslip_Lookup[#Headers]))="","",INDEX(Salary_Calculation[Basic Payment],ROW()-ROW(Payslip_Lookup[#Headers])))</f>
        <v/>
      </c>
      <c r="M83" s="176" t="str">
        <f aca="false">IF(INDEX(Salary_Calculation[Source Row],ROW()-ROW(Payslip_Lookup[#Headers]))="","",INDEX(Salary_Calculation[Earned Salary],ROW()-ROW(Payslip_Lookup[#Headers])))</f>
        <v/>
      </c>
      <c r="N83" s="174" t="str">
        <f aca="false">IF(INDEX(Salary_Calculation[Source Row],ROW()-ROW(Payslip_Lookup[#Headers]))="","",INDEX(Salary_Calculation[Orders Counted at Base Rate],ROW()-ROW(Payslip_Lookup[#Headers])))</f>
        <v/>
      </c>
      <c r="O83" s="174" t="str">
        <f aca="false">IF(INDEX(Salary_Calculation[Source Row],ROW()-ROW(Payslip_Lookup[#Headers]))="","",INDEX(Salary_Calculation[Missing Orders],ROW()-ROW(Payslip_Lookup[#Headers])))</f>
        <v/>
      </c>
      <c r="P83" s="176" t="str">
        <f aca="false">IF(INDEX(Salary_Calculation[Source Row],ROW()-ROW(Payslip_Lookup[#Headers]))="","",INDEX(Salary_Calculation[Missing-Order Deduction],ROW()-ROW(Payslip_Lookup[#Headers])))</f>
        <v/>
      </c>
      <c r="Q83" s="174" t="str">
        <f aca="false">IF(INDEX(Salary_Calculation[Source Row],ROW()-ROW(Payslip_Lookup[#Headers]))="","",INDEX(Salary_Calculation[Extra Orders],ROW()-ROW(Payslip_Lookup[#Headers])))</f>
        <v/>
      </c>
      <c r="R83" s="176" t="str">
        <f aca="false">IF(INDEX(Salary_Calculation[Source Row],ROW()-ROW(Payslip_Lookup[#Headers]))="","",INDEX(Salary_Calculation[Extra-Order Bonus],ROW()-ROW(Payslip_Lookup[#Headers])))</f>
        <v/>
      </c>
      <c r="S83" s="176" t="str">
        <f aca="false">IF(INDEX(Salary_Calculation[Source Row],ROW()-ROW(Payslip_Lookup[#Headers]))="","",INDEX(Salary_Calculation[Basic Salary for Target],ROW()-ROW(Payslip_Lookup[#Headers])))</f>
        <v/>
      </c>
      <c r="T83" s="176" t="str">
        <f aca="false">IF(INDEX(Salary_Calculation[Source Row],ROW()-ROW(Payslip_Lookup[#Headers]))="","",INDEX(Salary_Calculation[Gross Salary Before Deductions],ROW()-ROW(Payslip_Lookup[#Headers])))</f>
        <v/>
      </c>
      <c r="U83" s="176" t="str">
        <f aca="false">IF(INDEX(Salary_Calculation[Source Row],ROW()-ROW(Payslip_Lookup[#Headers]))="","",INDEX(Salary_Calculation[missed_days_penalty],ROW()-ROW(Payslip_Lookup[#Headers])))</f>
        <v/>
      </c>
      <c r="V83" s="176" t="str">
        <f aca="false">IF(INDEX(Salary_Calculation[Source Row],ROW()-ROW(Payslip_Lookup[#Headers]))="","",INDEX(Salary_Calculation[Rider Balance],ROW()-ROW(Payslip_Lookup[#Headers])))</f>
        <v/>
      </c>
      <c r="W83" s="176" t="str">
        <f aca="false">IF(INDEX(Salary_Calculation[Source Row],ROW()-ROW(Payslip_Lookup[#Headers]))="","",INDEX(Salary_Calculation[stacking_deduction],ROW()-ROW(Payslip_Lookup[#Headers])))</f>
        <v/>
      </c>
      <c r="X83" s="176" t="str">
        <f aca="false">IF(INDEX(Salary_Calculation[Source Row],ROW()-ROW(Payslip_Lookup[#Headers]))="","",INDEX(Salary_Calculation[Other Deductions],ROW()-ROW(Payslip_Lookup[#Headers])))</f>
        <v/>
      </c>
      <c r="Y83" s="176" t="str">
        <f aca="false">IF(INDEX(Salary_Calculation[Source Row],ROW()-ROW(Payslip_Lookup[#Headers]))="","",INDEX(Salary_Calculation[Total Deductions],ROW()-ROW(Payslip_Lookup[#Headers])))</f>
        <v/>
      </c>
      <c r="Z83" s="176" t="str">
        <f aca="false">IF(INDEX(Salary_Calculation[Source Row],ROW()-ROW(Payslip_Lookup[#Headers]))="","",INDEX(Salary_Calculation[Final Salary],ROW()-ROW(Payslip_Lookup[#Headers])))</f>
        <v/>
      </c>
      <c r="AA83" s="176" t="str">
        <f aca="false">IF(INDEX(Salary_Calculation[Source Row],ROW()-ROW(Payslip_Lookup[#Headers]))="","",INDEX(Salary_Calculation[Negative Balance / Amount Due from Rider],ROW()-ROW(Payslip_Lookup[#Headers])))</f>
        <v/>
      </c>
      <c r="AB83" s="176" t="str">
        <f aca="false">IF(INDEX(Salary_Calculation[Source Row],ROW()-ROW(Payslip_Lookup[#Headers]))="","",INDEX(Salary_Calculation[Total Amount Due from Rider],ROW()-ROW(Payslip_Lookup[#Headers])))</f>
        <v/>
      </c>
      <c r="AC83" s="176" t="str">
        <f aca="false">IF(INDEX(Salary_Calculation[Source Row],ROW()-ROW(Payslip_Lookup[#Headers]))="","",INDEX(Salary_Calculation[Salary Before Other Deductions],ROW()-ROW(Payslip_Lookup[#Headers])))</f>
        <v/>
      </c>
      <c r="AD83" s="171" t="str">
        <f aca="false">IF(INDEX(Salary_Calculation[Source Row],ROW()-ROW(Payslip_Lookup[#Headers]))="","",INDEX(Salary_Calculation[Payment Status],ROW()-ROW(Payslip_Lookup[#Headers])))</f>
        <v/>
      </c>
      <c r="AE83" s="171" t="str">
        <f aca="false">IF(INDEX(Salary_Calculation[Source Row],ROW()-ROW(Payslip_Lookup[#Headers]))="","",INDEX(Salary_Calculation[Notes],ROW()-ROW(Payslip_Lookup[#Headers])))</f>
        <v/>
      </c>
      <c r="AF83" s="171" t="str">
        <f aca="false">IF(INDEX(Salary_Calculation[Source Row],ROW()-ROW(Payslip_Lookup[#Headers]))="","",INDEX(Salary_Calculation[Exception Reason],ROW()-ROW(Payslip_Lookup[#Headers])))</f>
        <v/>
      </c>
      <c r="AG83" s="173" t="str">
        <f aca="false">IF($AD83="Review Required",COUNTIF(AD$2:AD83,"Review Required"),"")</f>
        <v/>
      </c>
      <c r="AH83" s="173" t="str">
        <f aca="false">IF(AND($D83&lt;&gt;"",$B83=Payslip_Print!$C$2),MAX(AH$1:AH82)+1,"")</f>
        <v/>
      </c>
      <c r="AL83" s="178" t="str">
        <f aca="false">IFERROR(INDEX($D$2:$D$501,MATCH(ROW()-1,$AH$2:$AH$501,0)),"")</f>
        <v/>
      </c>
      <c r="AM83" s="179" t="str">
        <f aca="false">IF($Z83="","",IF(AND($C83&gt;=Dash_Start,$C83&lt;Dash_End),$Z83+ROW()/10000000,""))</f>
        <v/>
      </c>
    </row>
    <row r="84" customFormat="false" ht="14.25" hidden="false" customHeight="false" outlineLevel="0" collapsed="false">
      <c r="A84" s="171" t="str">
        <f aca="false">IF(Payslip_Lookup[[#This Row],[Rider ID]]="","",Payslip_Lookup[[#This Row],[Rider ID]]&amp;"|"&amp;Payslip_Lookup[[#This Row],[Month Key]])</f>
        <v/>
      </c>
      <c r="B84" s="172" t="str">
        <f aca="false">IF(ISNUMBER(Payslip_Lookup[[#This Row],[Salary Month]]),DATE(YEAR(Payslip_Lookup[[#This Row],[Salary Month]]),MONTH(Payslip_Lookup[[#This Row],[Salary Month]]),1),"")</f>
        <v/>
      </c>
      <c r="C84" s="172" t="str">
        <f aca="false">IF(INDEX(Salary_Calculation[Source Row],ROW()-ROW(Payslip_Lookup[#Headers]))="","",INDEX(Salary_Calculation[Salary Month],ROW()-ROW(Payslip_Lookup[#Headers])))</f>
        <v/>
      </c>
      <c r="D84" s="173" t="str">
        <f aca="false">IF(INDEX(Salary_Calculation[Source Row],ROW()-ROW(Payslip_Lookup[#Headers]))="","",INDEX(Salary_Calculation[Rider ID],ROW()-ROW(Payslip_Lookup[#Headers])))</f>
        <v/>
      </c>
      <c r="E84" s="171" t="str">
        <f aca="false">IF(INDEX(Salary_Calculation[Source Row],ROW()-ROW(Payslip_Lookup[#Headers]))="","",INDEX(Salary_Calculation[Rider Name],ROW()-ROW(Payslip_Lookup[#Headers])))</f>
        <v/>
      </c>
      <c r="F84" s="173" t="str">
        <f aca="false">IF(INDEX(Salary_Calculation[Source Row],ROW()-ROW(Payslip_Lookup[#Headers]))="","",INDEX(Salary_Calculation[Working Days],ROW()-ROW(Payslip_Lookup[#Headers])))</f>
        <v/>
      </c>
      <c r="G84" s="173" t="str">
        <f aca="false">IF(INDEX(Salary_Calculation[Source Row],ROW()-ROW(Payslip_Lookup[#Headers]))="","",INDEX(Salary_Calculation[Calendar Days],ROW()-ROW(Payslip_Lookup[#Headers])))</f>
        <v/>
      </c>
      <c r="H84" s="174" t="str">
        <f aca="false">IF(INDEX(Salary_Calculation[Source Row],ROW()-ROW(Payslip_Lookup[#Headers]))="","",INDEX(Salary_Calculation[Monthly Target Orders],ROW()-ROW(Payslip_Lookup[#Headers])))</f>
        <v/>
      </c>
      <c r="I84" s="174" t="str">
        <f aca="false">IF(INDEX(Salary_Calculation[Source Row],ROW()-ROW(Payslip_Lookup[#Headers]))="","",INDEX(Salary_Calculation[Rider Target Orders],ROW()-ROW(Payslip_Lookup[#Headers])))</f>
        <v/>
      </c>
      <c r="J84" s="175" t="str">
        <f aca="false">IF(INDEX(Salary_Calculation[Source Row],ROW()-ROW(Payslip_Lookup[#Headers]))="","",INDEX(Salary_Calculation[Completed Orders],ROW()-ROW(Payslip_Lookup[#Headers])))</f>
        <v/>
      </c>
      <c r="K84" s="174" t="str">
        <f aca="false">IF(INDEX(Salary_Calculation[Source Row],ROW()-ROW(Payslip_Lookup[#Headers]))="","",INDEX(Salary_Calculation[Base Order Rate],ROW()-ROW(Payslip_Lookup[#Headers])))</f>
        <v/>
      </c>
      <c r="L84" s="176" t="str">
        <f aca="false">IF(INDEX(Salary_Calculation[Source Row],ROW()-ROW(Payslip_Lookup[#Headers]))="","",INDEX(Salary_Calculation[Basic Payment],ROW()-ROW(Payslip_Lookup[#Headers])))</f>
        <v/>
      </c>
      <c r="M84" s="176" t="str">
        <f aca="false">IF(INDEX(Salary_Calculation[Source Row],ROW()-ROW(Payslip_Lookup[#Headers]))="","",INDEX(Salary_Calculation[Earned Salary],ROW()-ROW(Payslip_Lookup[#Headers])))</f>
        <v/>
      </c>
      <c r="N84" s="174" t="str">
        <f aca="false">IF(INDEX(Salary_Calculation[Source Row],ROW()-ROW(Payslip_Lookup[#Headers]))="","",INDEX(Salary_Calculation[Orders Counted at Base Rate],ROW()-ROW(Payslip_Lookup[#Headers])))</f>
        <v/>
      </c>
      <c r="O84" s="174" t="str">
        <f aca="false">IF(INDEX(Salary_Calculation[Source Row],ROW()-ROW(Payslip_Lookup[#Headers]))="","",INDEX(Salary_Calculation[Missing Orders],ROW()-ROW(Payslip_Lookup[#Headers])))</f>
        <v/>
      </c>
      <c r="P84" s="176" t="str">
        <f aca="false">IF(INDEX(Salary_Calculation[Source Row],ROW()-ROW(Payslip_Lookup[#Headers]))="","",INDEX(Salary_Calculation[Missing-Order Deduction],ROW()-ROW(Payslip_Lookup[#Headers])))</f>
        <v/>
      </c>
      <c r="Q84" s="174" t="str">
        <f aca="false">IF(INDEX(Salary_Calculation[Source Row],ROW()-ROW(Payslip_Lookup[#Headers]))="","",INDEX(Salary_Calculation[Extra Orders],ROW()-ROW(Payslip_Lookup[#Headers])))</f>
        <v/>
      </c>
      <c r="R84" s="176" t="str">
        <f aca="false">IF(INDEX(Salary_Calculation[Source Row],ROW()-ROW(Payslip_Lookup[#Headers]))="","",INDEX(Salary_Calculation[Extra-Order Bonus],ROW()-ROW(Payslip_Lookup[#Headers])))</f>
        <v/>
      </c>
      <c r="S84" s="176" t="str">
        <f aca="false">IF(INDEX(Salary_Calculation[Source Row],ROW()-ROW(Payslip_Lookup[#Headers]))="","",INDEX(Salary_Calculation[Basic Salary for Target],ROW()-ROW(Payslip_Lookup[#Headers])))</f>
        <v/>
      </c>
      <c r="T84" s="176" t="str">
        <f aca="false">IF(INDEX(Salary_Calculation[Source Row],ROW()-ROW(Payslip_Lookup[#Headers]))="","",INDEX(Salary_Calculation[Gross Salary Before Deductions],ROW()-ROW(Payslip_Lookup[#Headers])))</f>
        <v/>
      </c>
      <c r="U84" s="176" t="str">
        <f aca="false">IF(INDEX(Salary_Calculation[Source Row],ROW()-ROW(Payslip_Lookup[#Headers]))="","",INDEX(Salary_Calculation[missed_days_penalty],ROW()-ROW(Payslip_Lookup[#Headers])))</f>
        <v/>
      </c>
      <c r="V84" s="176" t="str">
        <f aca="false">IF(INDEX(Salary_Calculation[Source Row],ROW()-ROW(Payslip_Lookup[#Headers]))="","",INDEX(Salary_Calculation[Rider Balance],ROW()-ROW(Payslip_Lookup[#Headers])))</f>
        <v/>
      </c>
      <c r="W84" s="176" t="str">
        <f aca="false">IF(INDEX(Salary_Calculation[Source Row],ROW()-ROW(Payslip_Lookup[#Headers]))="","",INDEX(Salary_Calculation[stacking_deduction],ROW()-ROW(Payslip_Lookup[#Headers])))</f>
        <v/>
      </c>
      <c r="X84" s="176" t="str">
        <f aca="false">IF(INDEX(Salary_Calculation[Source Row],ROW()-ROW(Payslip_Lookup[#Headers]))="","",INDEX(Salary_Calculation[Other Deductions],ROW()-ROW(Payslip_Lookup[#Headers])))</f>
        <v/>
      </c>
      <c r="Y84" s="176" t="str">
        <f aca="false">IF(INDEX(Salary_Calculation[Source Row],ROW()-ROW(Payslip_Lookup[#Headers]))="","",INDEX(Salary_Calculation[Total Deductions],ROW()-ROW(Payslip_Lookup[#Headers])))</f>
        <v/>
      </c>
      <c r="Z84" s="176" t="str">
        <f aca="false">IF(INDEX(Salary_Calculation[Source Row],ROW()-ROW(Payslip_Lookup[#Headers]))="","",INDEX(Salary_Calculation[Final Salary],ROW()-ROW(Payslip_Lookup[#Headers])))</f>
        <v/>
      </c>
      <c r="AA84" s="176" t="str">
        <f aca="false">IF(INDEX(Salary_Calculation[Source Row],ROW()-ROW(Payslip_Lookup[#Headers]))="","",INDEX(Salary_Calculation[Negative Balance / Amount Due from Rider],ROW()-ROW(Payslip_Lookup[#Headers])))</f>
        <v/>
      </c>
      <c r="AB84" s="176" t="str">
        <f aca="false">IF(INDEX(Salary_Calculation[Source Row],ROW()-ROW(Payslip_Lookup[#Headers]))="","",INDEX(Salary_Calculation[Total Amount Due from Rider],ROW()-ROW(Payslip_Lookup[#Headers])))</f>
        <v/>
      </c>
      <c r="AC84" s="176" t="str">
        <f aca="false">IF(INDEX(Salary_Calculation[Source Row],ROW()-ROW(Payslip_Lookup[#Headers]))="","",INDEX(Salary_Calculation[Salary Before Other Deductions],ROW()-ROW(Payslip_Lookup[#Headers])))</f>
        <v/>
      </c>
      <c r="AD84" s="171" t="str">
        <f aca="false">IF(INDEX(Salary_Calculation[Source Row],ROW()-ROW(Payslip_Lookup[#Headers]))="","",INDEX(Salary_Calculation[Payment Status],ROW()-ROW(Payslip_Lookup[#Headers])))</f>
        <v/>
      </c>
      <c r="AE84" s="171" t="str">
        <f aca="false">IF(INDEX(Salary_Calculation[Source Row],ROW()-ROW(Payslip_Lookup[#Headers]))="","",INDEX(Salary_Calculation[Notes],ROW()-ROW(Payslip_Lookup[#Headers])))</f>
        <v/>
      </c>
      <c r="AF84" s="171" t="str">
        <f aca="false">IF(INDEX(Salary_Calculation[Source Row],ROW()-ROW(Payslip_Lookup[#Headers]))="","",INDEX(Salary_Calculation[Exception Reason],ROW()-ROW(Payslip_Lookup[#Headers])))</f>
        <v/>
      </c>
      <c r="AG84" s="173" t="str">
        <f aca="false">IF($AD84="Review Required",COUNTIF(AD$2:AD84,"Review Required"),"")</f>
        <v/>
      </c>
      <c r="AH84" s="173" t="str">
        <f aca="false">IF(AND($D84&lt;&gt;"",$B84=Payslip_Print!$C$2),MAX(AH$1:AH83)+1,"")</f>
        <v/>
      </c>
      <c r="AL84" s="178" t="str">
        <f aca="false">IFERROR(INDEX($D$2:$D$501,MATCH(ROW()-1,$AH$2:$AH$501,0)),"")</f>
        <v/>
      </c>
      <c r="AM84" s="179" t="str">
        <f aca="false">IF($Z84="","",IF(AND($C84&gt;=Dash_Start,$C84&lt;Dash_End),$Z84+ROW()/10000000,""))</f>
        <v/>
      </c>
    </row>
    <row r="85" customFormat="false" ht="14.25" hidden="false" customHeight="false" outlineLevel="0" collapsed="false">
      <c r="A85" s="171" t="str">
        <f aca="false">IF(Payslip_Lookup[[#This Row],[Rider ID]]="","",Payslip_Lookup[[#This Row],[Rider ID]]&amp;"|"&amp;Payslip_Lookup[[#This Row],[Month Key]])</f>
        <v/>
      </c>
      <c r="B85" s="172" t="str">
        <f aca="false">IF(ISNUMBER(Payslip_Lookup[[#This Row],[Salary Month]]),DATE(YEAR(Payslip_Lookup[[#This Row],[Salary Month]]),MONTH(Payslip_Lookup[[#This Row],[Salary Month]]),1),"")</f>
        <v/>
      </c>
      <c r="C85" s="172" t="str">
        <f aca="false">IF(INDEX(Salary_Calculation[Source Row],ROW()-ROW(Payslip_Lookup[#Headers]))="","",INDEX(Salary_Calculation[Salary Month],ROW()-ROW(Payslip_Lookup[#Headers])))</f>
        <v/>
      </c>
      <c r="D85" s="173" t="str">
        <f aca="false">IF(INDEX(Salary_Calculation[Source Row],ROW()-ROW(Payslip_Lookup[#Headers]))="","",INDEX(Salary_Calculation[Rider ID],ROW()-ROW(Payslip_Lookup[#Headers])))</f>
        <v/>
      </c>
      <c r="E85" s="171" t="str">
        <f aca="false">IF(INDEX(Salary_Calculation[Source Row],ROW()-ROW(Payslip_Lookup[#Headers]))="","",INDEX(Salary_Calculation[Rider Name],ROW()-ROW(Payslip_Lookup[#Headers])))</f>
        <v/>
      </c>
      <c r="F85" s="173" t="str">
        <f aca="false">IF(INDEX(Salary_Calculation[Source Row],ROW()-ROW(Payslip_Lookup[#Headers]))="","",INDEX(Salary_Calculation[Working Days],ROW()-ROW(Payslip_Lookup[#Headers])))</f>
        <v/>
      </c>
      <c r="G85" s="173" t="str">
        <f aca="false">IF(INDEX(Salary_Calculation[Source Row],ROW()-ROW(Payslip_Lookup[#Headers]))="","",INDEX(Salary_Calculation[Calendar Days],ROW()-ROW(Payslip_Lookup[#Headers])))</f>
        <v/>
      </c>
      <c r="H85" s="174" t="str">
        <f aca="false">IF(INDEX(Salary_Calculation[Source Row],ROW()-ROW(Payslip_Lookup[#Headers]))="","",INDEX(Salary_Calculation[Monthly Target Orders],ROW()-ROW(Payslip_Lookup[#Headers])))</f>
        <v/>
      </c>
      <c r="I85" s="174" t="str">
        <f aca="false">IF(INDEX(Salary_Calculation[Source Row],ROW()-ROW(Payslip_Lookup[#Headers]))="","",INDEX(Salary_Calculation[Rider Target Orders],ROW()-ROW(Payslip_Lookup[#Headers])))</f>
        <v/>
      </c>
      <c r="J85" s="175" t="str">
        <f aca="false">IF(INDEX(Salary_Calculation[Source Row],ROW()-ROW(Payslip_Lookup[#Headers]))="","",INDEX(Salary_Calculation[Completed Orders],ROW()-ROW(Payslip_Lookup[#Headers])))</f>
        <v/>
      </c>
      <c r="K85" s="174" t="str">
        <f aca="false">IF(INDEX(Salary_Calculation[Source Row],ROW()-ROW(Payslip_Lookup[#Headers]))="","",INDEX(Salary_Calculation[Base Order Rate],ROW()-ROW(Payslip_Lookup[#Headers])))</f>
        <v/>
      </c>
      <c r="L85" s="176" t="str">
        <f aca="false">IF(INDEX(Salary_Calculation[Source Row],ROW()-ROW(Payslip_Lookup[#Headers]))="","",INDEX(Salary_Calculation[Basic Payment],ROW()-ROW(Payslip_Lookup[#Headers])))</f>
        <v/>
      </c>
      <c r="M85" s="176" t="str">
        <f aca="false">IF(INDEX(Salary_Calculation[Source Row],ROW()-ROW(Payslip_Lookup[#Headers]))="","",INDEX(Salary_Calculation[Earned Salary],ROW()-ROW(Payslip_Lookup[#Headers])))</f>
        <v/>
      </c>
      <c r="N85" s="174" t="str">
        <f aca="false">IF(INDEX(Salary_Calculation[Source Row],ROW()-ROW(Payslip_Lookup[#Headers]))="","",INDEX(Salary_Calculation[Orders Counted at Base Rate],ROW()-ROW(Payslip_Lookup[#Headers])))</f>
        <v/>
      </c>
      <c r="O85" s="174" t="str">
        <f aca="false">IF(INDEX(Salary_Calculation[Source Row],ROW()-ROW(Payslip_Lookup[#Headers]))="","",INDEX(Salary_Calculation[Missing Orders],ROW()-ROW(Payslip_Lookup[#Headers])))</f>
        <v/>
      </c>
      <c r="P85" s="176" t="str">
        <f aca="false">IF(INDEX(Salary_Calculation[Source Row],ROW()-ROW(Payslip_Lookup[#Headers]))="","",INDEX(Salary_Calculation[Missing-Order Deduction],ROW()-ROW(Payslip_Lookup[#Headers])))</f>
        <v/>
      </c>
      <c r="Q85" s="174" t="str">
        <f aca="false">IF(INDEX(Salary_Calculation[Source Row],ROW()-ROW(Payslip_Lookup[#Headers]))="","",INDEX(Salary_Calculation[Extra Orders],ROW()-ROW(Payslip_Lookup[#Headers])))</f>
        <v/>
      </c>
      <c r="R85" s="176" t="str">
        <f aca="false">IF(INDEX(Salary_Calculation[Source Row],ROW()-ROW(Payslip_Lookup[#Headers]))="","",INDEX(Salary_Calculation[Extra-Order Bonus],ROW()-ROW(Payslip_Lookup[#Headers])))</f>
        <v/>
      </c>
      <c r="S85" s="176" t="str">
        <f aca="false">IF(INDEX(Salary_Calculation[Source Row],ROW()-ROW(Payslip_Lookup[#Headers]))="","",INDEX(Salary_Calculation[Basic Salary for Target],ROW()-ROW(Payslip_Lookup[#Headers])))</f>
        <v/>
      </c>
      <c r="T85" s="176" t="str">
        <f aca="false">IF(INDEX(Salary_Calculation[Source Row],ROW()-ROW(Payslip_Lookup[#Headers]))="","",INDEX(Salary_Calculation[Gross Salary Before Deductions],ROW()-ROW(Payslip_Lookup[#Headers])))</f>
        <v/>
      </c>
      <c r="U85" s="176" t="str">
        <f aca="false">IF(INDEX(Salary_Calculation[Source Row],ROW()-ROW(Payslip_Lookup[#Headers]))="","",INDEX(Salary_Calculation[missed_days_penalty],ROW()-ROW(Payslip_Lookup[#Headers])))</f>
        <v/>
      </c>
      <c r="V85" s="176" t="str">
        <f aca="false">IF(INDEX(Salary_Calculation[Source Row],ROW()-ROW(Payslip_Lookup[#Headers]))="","",INDEX(Salary_Calculation[Rider Balance],ROW()-ROW(Payslip_Lookup[#Headers])))</f>
        <v/>
      </c>
      <c r="W85" s="176" t="str">
        <f aca="false">IF(INDEX(Salary_Calculation[Source Row],ROW()-ROW(Payslip_Lookup[#Headers]))="","",INDEX(Salary_Calculation[stacking_deduction],ROW()-ROW(Payslip_Lookup[#Headers])))</f>
        <v/>
      </c>
      <c r="X85" s="176" t="str">
        <f aca="false">IF(INDEX(Salary_Calculation[Source Row],ROW()-ROW(Payslip_Lookup[#Headers]))="","",INDEX(Salary_Calculation[Other Deductions],ROW()-ROW(Payslip_Lookup[#Headers])))</f>
        <v/>
      </c>
      <c r="Y85" s="176" t="str">
        <f aca="false">IF(INDEX(Salary_Calculation[Source Row],ROW()-ROW(Payslip_Lookup[#Headers]))="","",INDEX(Salary_Calculation[Total Deductions],ROW()-ROW(Payslip_Lookup[#Headers])))</f>
        <v/>
      </c>
      <c r="Z85" s="176" t="str">
        <f aca="false">IF(INDEX(Salary_Calculation[Source Row],ROW()-ROW(Payslip_Lookup[#Headers]))="","",INDEX(Salary_Calculation[Final Salary],ROW()-ROW(Payslip_Lookup[#Headers])))</f>
        <v/>
      </c>
      <c r="AA85" s="176" t="str">
        <f aca="false">IF(INDEX(Salary_Calculation[Source Row],ROW()-ROW(Payslip_Lookup[#Headers]))="","",INDEX(Salary_Calculation[Negative Balance / Amount Due from Rider],ROW()-ROW(Payslip_Lookup[#Headers])))</f>
        <v/>
      </c>
      <c r="AB85" s="176" t="str">
        <f aca="false">IF(INDEX(Salary_Calculation[Source Row],ROW()-ROW(Payslip_Lookup[#Headers]))="","",INDEX(Salary_Calculation[Total Amount Due from Rider],ROW()-ROW(Payslip_Lookup[#Headers])))</f>
        <v/>
      </c>
      <c r="AC85" s="176" t="str">
        <f aca="false">IF(INDEX(Salary_Calculation[Source Row],ROW()-ROW(Payslip_Lookup[#Headers]))="","",INDEX(Salary_Calculation[Salary Before Other Deductions],ROW()-ROW(Payslip_Lookup[#Headers])))</f>
        <v/>
      </c>
      <c r="AD85" s="171" t="str">
        <f aca="false">IF(INDEX(Salary_Calculation[Source Row],ROW()-ROW(Payslip_Lookup[#Headers]))="","",INDEX(Salary_Calculation[Payment Status],ROW()-ROW(Payslip_Lookup[#Headers])))</f>
        <v/>
      </c>
      <c r="AE85" s="171" t="str">
        <f aca="false">IF(INDEX(Salary_Calculation[Source Row],ROW()-ROW(Payslip_Lookup[#Headers]))="","",INDEX(Salary_Calculation[Notes],ROW()-ROW(Payslip_Lookup[#Headers])))</f>
        <v/>
      </c>
      <c r="AF85" s="171" t="str">
        <f aca="false">IF(INDEX(Salary_Calculation[Source Row],ROW()-ROW(Payslip_Lookup[#Headers]))="","",INDEX(Salary_Calculation[Exception Reason],ROW()-ROW(Payslip_Lookup[#Headers])))</f>
        <v/>
      </c>
      <c r="AG85" s="173" t="str">
        <f aca="false">IF($AD85="Review Required",COUNTIF(AD$2:AD85,"Review Required"),"")</f>
        <v/>
      </c>
      <c r="AH85" s="173" t="str">
        <f aca="false">IF(AND($D85&lt;&gt;"",$B85=Payslip_Print!$C$2),MAX(AH$1:AH84)+1,"")</f>
        <v/>
      </c>
      <c r="AL85" s="178" t="str">
        <f aca="false">IFERROR(INDEX($D$2:$D$501,MATCH(ROW()-1,$AH$2:$AH$501,0)),"")</f>
        <v/>
      </c>
      <c r="AM85" s="179" t="str">
        <f aca="false">IF($Z85="","",IF(AND($C85&gt;=Dash_Start,$C85&lt;Dash_End),$Z85+ROW()/10000000,""))</f>
        <v/>
      </c>
    </row>
    <row r="86" customFormat="false" ht="14.25" hidden="false" customHeight="false" outlineLevel="0" collapsed="false">
      <c r="A86" s="171" t="str">
        <f aca="false">IF(Payslip_Lookup[[#This Row],[Rider ID]]="","",Payslip_Lookup[[#This Row],[Rider ID]]&amp;"|"&amp;Payslip_Lookup[[#This Row],[Month Key]])</f>
        <v/>
      </c>
      <c r="B86" s="172" t="str">
        <f aca="false">IF(ISNUMBER(Payslip_Lookup[[#This Row],[Salary Month]]),DATE(YEAR(Payslip_Lookup[[#This Row],[Salary Month]]),MONTH(Payslip_Lookup[[#This Row],[Salary Month]]),1),"")</f>
        <v/>
      </c>
      <c r="C86" s="172" t="str">
        <f aca="false">IF(INDEX(Salary_Calculation[Source Row],ROW()-ROW(Payslip_Lookup[#Headers]))="","",INDEX(Salary_Calculation[Salary Month],ROW()-ROW(Payslip_Lookup[#Headers])))</f>
        <v/>
      </c>
      <c r="D86" s="173" t="str">
        <f aca="false">IF(INDEX(Salary_Calculation[Source Row],ROW()-ROW(Payslip_Lookup[#Headers]))="","",INDEX(Salary_Calculation[Rider ID],ROW()-ROW(Payslip_Lookup[#Headers])))</f>
        <v/>
      </c>
      <c r="E86" s="171" t="str">
        <f aca="false">IF(INDEX(Salary_Calculation[Source Row],ROW()-ROW(Payslip_Lookup[#Headers]))="","",INDEX(Salary_Calculation[Rider Name],ROW()-ROW(Payslip_Lookup[#Headers])))</f>
        <v/>
      </c>
      <c r="F86" s="173" t="str">
        <f aca="false">IF(INDEX(Salary_Calculation[Source Row],ROW()-ROW(Payslip_Lookup[#Headers]))="","",INDEX(Salary_Calculation[Working Days],ROW()-ROW(Payslip_Lookup[#Headers])))</f>
        <v/>
      </c>
      <c r="G86" s="173" t="str">
        <f aca="false">IF(INDEX(Salary_Calculation[Source Row],ROW()-ROW(Payslip_Lookup[#Headers]))="","",INDEX(Salary_Calculation[Calendar Days],ROW()-ROW(Payslip_Lookup[#Headers])))</f>
        <v/>
      </c>
      <c r="H86" s="174" t="str">
        <f aca="false">IF(INDEX(Salary_Calculation[Source Row],ROW()-ROW(Payslip_Lookup[#Headers]))="","",INDEX(Salary_Calculation[Monthly Target Orders],ROW()-ROW(Payslip_Lookup[#Headers])))</f>
        <v/>
      </c>
      <c r="I86" s="174" t="str">
        <f aca="false">IF(INDEX(Salary_Calculation[Source Row],ROW()-ROW(Payslip_Lookup[#Headers]))="","",INDEX(Salary_Calculation[Rider Target Orders],ROW()-ROW(Payslip_Lookup[#Headers])))</f>
        <v/>
      </c>
      <c r="J86" s="175" t="str">
        <f aca="false">IF(INDEX(Salary_Calculation[Source Row],ROW()-ROW(Payslip_Lookup[#Headers]))="","",INDEX(Salary_Calculation[Completed Orders],ROW()-ROW(Payslip_Lookup[#Headers])))</f>
        <v/>
      </c>
      <c r="K86" s="174" t="str">
        <f aca="false">IF(INDEX(Salary_Calculation[Source Row],ROW()-ROW(Payslip_Lookup[#Headers]))="","",INDEX(Salary_Calculation[Base Order Rate],ROW()-ROW(Payslip_Lookup[#Headers])))</f>
        <v/>
      </c>
      <c r="L86" s="176" t="str">
        <f aca="false">IF(INDEX(Salary_Calculation[Source Row],ROW()-ROW(Payslip_Lookup[#Headers]))="","",INDEX(Salary_Calculation[Basic Payment],ROW()-ROW(Payslip_Lookup[#Headers])))</f>
        <v/>
      </c>
      <c r="M86" s="176" t="str">
        <f aca="false">IF(INDEX(Salary_Calculation[Source Row],ROW()-ROW(Payslip_Lookup[#Headers]))="","",INDEX(Salary_Calculation[Earned Salary],ROW()-ROW(Payslip_Lookup[#Headers])))</f>
        <v/>
      </c>
      <c r="N86" s="174" t="str">
        <f aca="false">IF(INDEX(Salary_Calculation[Source Row],ROW()-ROW(Payslip_Lookup[#Headers]))="","",INDEX(Salary_Calculation[Orders Counted at Base Rate],ROW()-ROW(Payslip_Lookup[#Headers])))</f>
        <v/>
      </c>
      <c r="O86" s="174" t="str">
        <f aca="false">IF(INDEX(Salary_Calculation[Source Row],ROW()-ROW(Payslip_Lookup[#Headers]))="","",INDEX(Salary_Calculation[Missing Orders],ROW()-ROW(Payslip_Lookup[#Headers])))</f>
        <v/>
      </c>
      <c r="P86" s="176" t="str">
        <f aca="false">IF(INDEX(Salary_Calculation[Source Row],ROW()-ROW(Payslip_Lookup[#Headers]))="","",INDEX(Salary_Calculation[Missing-Order Deduction],ROW()-ROW(Payslip_Lookup[#Headers])))</f>
        <v/>
      </c>
      <c r="Q86" s="174" t="str">
        <f aca="false">IF(INDEX(Salary_Calculation[Source Row],ROW()-ROW(Payslip_Lookup[#Headers]))="","",INDEX(Salary_Calculation[Extra Orders],ROW()-ROW(Payslip_Lookup[#Headers])))</f>
        <v/>
      </c>
      <c r="R86" s="176" t="str">
        <f aca="false">IF(INDEX(Salary_Calculation[Source Row],ROW()-ROW(Payslip_Lookup[#Headers]))="","",INDEX(Salary_Calculation[Extra-Order Bonus],ROW()-ROW(Payslip_Lookup[#Headers])))</f>
        <v/>
      </c>
      <c r="S86" s="176" t="str">
        <f aca="false">IF(INDEX(Salary_Calculation[Source Row],ROW()-ROW(Payslip_Lookup[#Headers]))="","",INDEX(Salary_Calculation[Basic Salary for Target],ROW()-ROW(Payslip_Lookup[#Headers])))</f>
        <v/>
      </c>
      <c r="T86" s="176" t="str">
        <f aca="false">IF(INDEX(Salary_Calculation[Source Row],ROW()-ROW(Payslip_Lookup[#Headers]))="","",INDEX(Salary_Calculation[Gross Salary Before Deductions],ROW()-ROW(Payslip_Lookup[#Headers])))</f>
        <v/>
      </c>
      <c r="U86" s="176" t="str">
        <f aca="false">IF(INDEX(Salary_Calculation[Source Row],ROW()-ROW(Payslip_Lookup[#Headers]))="","",INDEX(Salary_Calculation[missed_days_penalty],ROW()-ROW(Payslip_Lookup[#Headers])))</f>
        <v/>
      </c>
      <c r="V86" s="176" t="str">
        <f aca="false">IF(INDEX(Salary_Calculation[Source Row],ROW()-ROW(Payslip_Lookup[#Headers]))="","",INDEX(Salary_Calculation[Rider Balance],ROW()-ROW(Payslip_Lookup[#Headers])))</f>
        <v/>
      </c>
      <c r="W86" s="176" t="str">
        <f aca="false">IF(INDEX(Salary_Calculation[Source Row],ROW()-ROW(Payslip_Lookup[#Headers]))="","",INDEX(Salary_Calculation[stacking_deduction],ROW()-ROW(Payslip_Lookup[#Headers])))</f>
        <v/>
      </c>
      <c r="X86" s="176" t="str">
        <f aca="false">IF(INDEX(Salary_Calculation[Source Row],ROW()-ROW(Payslip_Lookup[#Headers]))="","",INDEX(Salary_Calculation[Other Deductions],ROW()-ROW(Payslip_Lookup[#Headers])))</f>
        <v/>
      </c>
      <c r="Y86" s="176" t="str">
        <f aca="false">IF(INDEX(Salary_Calculation[Source Row],ROW()-ROW(Payslip_Lookup[#Headers]))="","",INDEX(Salary_Calculation[Total Deductions],ROW()-ROW(Payslip_Lookup[#Headers])))</f>
        <v/>
      </c>
      <c r="Z86" s="176" t="str">
        <f aca="false">IF(INDEX(Salary_Calculation[Source Row],ROW()-ROW(Payslip_Lookup[#Headers]))="","",INDEX(Salary_Calculation[Final Salary],ROW()-ROW(Payslip_Lookup[#Headers])))</f>
        <v/>
      </c>
      <c r="AA86" s="176" t="str">
        <f aca="false">IF(INDEX(Salary_Calculation[Source Row],ROW()-ROW(Payslip_Lookup[#Headers]))="","",INDEX(Salary_Calculation[Negative Balance / Amount Due from Rider],ROW()-ROW(Payslip_Lookup[#Headers])))</f>
        <v/>
      </c>
      <c r="AB86" s="176" t="str">
        <f aca="false">IF(INDEX(Salary_Calculation[Source Row],ROW()-ROW(Payslip_Lookup[#Headers]))="","",INDEX(Salary_Calculation[Total Amount Due from Rider],ROW()-ROW(Payslip_Lookup[#Headers])))</f>
        <v/>
      </c>
      <c r="AC86" s="176" t="str">
        <f aca="false">IF(INDEX(Salary_Calculation[Source Row],ROW()-ROW(Payslip_Lookup[#Headers]))="","",INDEX(Salary_Calculation[Salary Before Other Deductions],ROW()-ROW(Payslip_Lookup[#Headers])))</f>
        <v/>
      </c>
      <c r="AD86" s="171" t="str">
        <f aca="false">IF(INDEX(Salary_Calculation[Source Row],ROW()-ROW(Payslip_Lookup[#Headers]))="","",INDEX(Salary_Calculation[Payment Status],ROW()-ROW(Payslip_Lookup[#Headers])))</f>
        <v/>
      </c>
      <c r="AE86" s="171" t="str">
        <f aca="false">IF(INDEX(Salary_Calculation[Source Row],ROW()-ROW(Payslip_Lookup[#Headers]))="","",INDEX(Salary_Calculation[Notes],ROW()-ROW(Payslip_Lookup[#Headers])))</f>
        <v/>
      </c>
      <c r="AF86" s="171" t="str">
        <f aca="false">IF(INDEX(Salary_Calculation[Source Row],ROW()-ROW(Payslip_Lookup[#Headers]))="","",INDEX(Salary_Calculation[Exception Reason],ROW()-ROW(Payslip_Lookup[#Headers])))</f>
        <v/>
      </c>
      <c r="AG86" s="173" t="str">
        <f aca="false">IF($AD86="Review Required",COUNTIF(AD$2:AD86,"Review Required"),"")</f>
        <v/>
      </c>
      <c r="AH86" s="173" t="str">
        <f aca="false">IF(AND($D86&lt;&gt;"",$B86=Payslip_Print!$C$2),MAX(AH$1:AH85)+1,"")</f>
        <v/>
      </c>
      <c r="AL86" s="178" t="str">
        <f aca="false">IFERROR(INDEX($D$2:$D$501,MATCH(ROW()-1,$AH$2:$AH$501,0)),"")</f>
        <v/>
      </c>
      <c r="AM86" s="179" t="str">
        <f aca="false">IF($Z86="","",IF(AND($C86&gt;=Dash_Start,$C86&lt;Dash_End),$Z86+ROW()/10000000,""))</f>
        <v/>
      </c>
    </row>
    <row r="87" customFormat="false" ht="14.25" hidden="false" customHeight="false" outlineLevel="0" collapsed="false">
      <c r="A87" s="171" t="str">
        <f aca="false">IF(Payslip_Lookup[[#This Row],[Rider ID]]="","",Payslip_Lookup[[#This Row],[Rider ID]]&amp;"|"&amp;Payslip_Lookup[[#This Row],[Month Key]])</f>
        <v/>
      </c>
      <c r="B87" s="172" t="str">
        <f aca="false">IF(ISNUMBER(Payslip_Lookup[[#This Row],[Salary Month]]),DATE(YEAR(Payslip_Lookup[[#This Row],[Salary Month]]),MONTH(Payslip_Lookup[[#This Row],[Salary Month]]),1),"")</f>
        <v/>
      </c>
      <c r="C87" s="172" t="str">
        <f aca="false">IF(INDEX(Salary_Calculation[Source Row],ROW()-ROW(Payslip_Lookup[#Headers]))="","",INDEX(Salary_Calculation[Salary Month],ROW()-ROW(Payslip_Lookup[#Headers])))</f>
        <v/>
      </c>
      <c r="D87" s="173" t="str">
        <f aca="false">IF(INDEX(Salary_Calculation[Source Row],ROW()-ROW(Payslip_Lookup[#Headers]))="","",INDEX(Salary_Calculation[Rider ID],ROW()-ROW(Payslip_Lookup[#Headers])))</f>
        <v/>
      </c>
      <c r="E87" s="171" t="str">
        <f aca="false">IF(INDEX(Salary_Calculation[Source Row],ROW()-ROW(Payslip_Lookup[#Headers]))="","",INDEX(Salary_Calculation[Rider Name],ROW()-ROW(Payslip_Lookup[#Headers])))</f>
        <v/>
      </c>
      <c r="F87" s="173" t="str">
        <f aca="false">IF(INDEX(Salary_Calculation[Source Row],ROW()-ROW(Payslip_Lookup[#Headers]))="","",INDEX(Salary_Calculation[Working Days],ROW()-ROW(Payslip_Lookup[#Headers])))</f>
        <v/>
      </c>
      <c r="G87" s="173" t="str">
        <f aca="false">IF(INDEX(Salary_Calculation[Source Row],ROW()-ROW(Payslip_Lookup[#Headers]))="","",INDEX(Salary_Calculation[Calendar Days],ROW()-ROW(Payslip_Lookup[#Headers])))</f>
        <v/>
      </c>
      <c r="H87" s="174" t="str">
        <f aca="false">IF(INDEX(Salary_Calculation[Source Row],ROW()-ROW(Payslip_Lookup[#Headers]))="","",INDEX(Salary_Calculation[Monthly Target Orders],ROW()-ROW(Payslip_Lookup[#Headers])))</f>
        <v/>
      </c>
      <c r="I87" s="174" t="str">
        <f aca="false">IF(INDEX(Salary_Calculation[Source Row],ROW()-ROW(Payslip_Lookup[#Headers]))="","",INDEX(Salary_Calculation[Rider Target Orders],ROW()-ROW(Payslip_Lookup[#Headers])))</f>
        <v/>
      </c>
      <c r="J87" s="175" t="str">
        <f aca="false">IF(INDEX(Salary_Calculation[Source Row],ROW()-ROW(Payslip_Lookup[#Headers]))="","",INDEX(Salary_Calculation[Completed Orders],ROW()-ROW(Payslip_Lookup[#Headers])))</f>
        <v/>
      </c>
      <c r="K87" s="174" t="str">
        <f aca="false">IF(INDEX(Salary_Calculation[Source Row],ROW()-ROW(Payslip_Lookup[#Headers]))="","",INDEX(Salary_Calculation[Base Order Rate],ROW()-ROW(Payslip_Lookup[#Headers])))</f>
        <v/>
      </c>
      <c r="L87" s="176" t="str">
        <f aca="false">IF(INDEX(Salary_Calculation[Source Row],ROW()-ROW(Payslip_Lookup[#Headers]))="","",INDEX(Salary_Calculation[Basic Payment],ROW()-ROW(Payslip_Lookup[#Headers])))</f>
        <v/>
      </c>
      <c r="M87" s="176" t="str">
        <f aca="false">IF(INDEX(Salary_Calculation[Source Row],ROW()-ROW(Payslip_Lookup[#Headers]))="","",INDEX(Salary_Calculation[Earned Salary],ROW()-ROW(Payslip_Lookup[#Headers])))</f>
        <v/>
      </c>
      <c r="N87" s="174" t="str">
        <f aca="false">IF(INDEX(Salary_Calculation[Source Row],ROW()-ROW(Payslip_Lookup[#Headers]))="","",INDEX(Salary_Calculation[Orders Counted at Base Rate],ROW()-ROW(Payslip_Lookup[#Headers])))</f>
        <v/>
      </c>
      <c r="O87" s="174" t="str">
        <f aca="false">IF(INDEX(Salary_Calculation[Source Row],ROW()-ROW(Payslip_Lookup[#Headers]))="","",INDEX(Salary_Calculation[Missing Orders],ROW()-ROW(Payslip_Lookup[#Headers])))</f>
        <v/>
      </c>
      <c r="P87" s="176" t="str">
        <f aca="false">IF(INDEX(Salary_Calculation[Source Row],ROW()-ROW(Payslip_Lookup[#Headers]))="","",INDEX(Salary_Calculation[Missing-Order Deduction],ROW()-ROW(Payslip_Lookup[#Headers])))</f>
        <v/>
      </c>
      <c r="Q87" s="174" t="str">
        <f aca="false">IF(INDEX(Salary_Calculation[Source Row],ROW()-ROW(Payslip_Lookup[#Headers]))="","",INDEX(Salary_Calculation[Extra Orders],ROW()-ROW(Payslip_Lookup[#Headers])))</f>
        <v/>
      </c>
      <c r="R87" s="176" t="str">
        <f aca="false">IF(INDEX(Salary_Calculation[Source Row],ROW()-ROW(Payslip_Lookup[#Headers]))="","",INDEX(Salary_Calculation[Extra-Order Bonus],ROW()-ROW(Payslip_Lookup[#Headers])))</f>
        <v/>
      </c>
      <c r="S87" s="176" t="str">
        <f aca="false">IF(INDEX(Salary_Calculation[Source Row],ROW()-ROW(Payslip_Lookup[#Headers]))="","",INDEX(Salary_Calculation[Basic Salary for Target],ROW()-ROW(Payslip_Lookup[#Headers])))</f>
        <v/>
      </c>
      <c r="T87" s="176" t="str">
        <f aca="false">IF(INDEX(Salary_Calculation[Source Row],ROW()-ROW(Payslip_Lookup[#Headers]))="","",INDEX(Salary_Calculation[Gross Salary Before Deductions],ROW()-ROW(Payslip_Lookup[#Headers])))</f>
        <v/>
      </c>
      <c r="U87" s="176" t="str">
        <f aca="false">IF(INDEX(Salary_Calculation[Source Row],ROW()-ROW(Payslip_Lookup[#Headers]))="","",INDEX(Salary_Calculation[missed_days_penalty],ROW()-ROW(Payslip_Lookup[#Headers])))</f>
        <v/>
      </c>
      <c r="V87" s="176" t="str">
        <f aca="false">IF(INDEX(Salary_Calculation[Source Row],ROW()-ROW(Payslip_Lookup[#Headers]))="","",INDEX(Salary_Calculation[Rider Balance],ROW()-ROW(Payslip_Lookup[#Headers])))</f>
        <v/>
      </c>
      <c r="W87" s="176" t="str">
        <f aca="false">IF(INDEX(Salary_Calculation[Source Row],ROW()-ROW(Payslip_Lookup[#Headers]))="","",INDEX(Salary_Calculation[stacking_deduction],ROW()-ROW(Payslip_Lookup[#Headers])))</f>
        <v/>
      </c>
      <c r="X87" s="176" t="str">
        <f aca="false">IF(INDEX(Salary_Calculation[Source Row],ROW()-ROW(Payslip_Lookup[#Headers]))="","",INDEX(Salary_Calculation[Other Deductions],ROW()-ROW(Payslip_Lookup[#Headers])))</f>
        <v/>
      </c>
      <c r="Y87" s="176" t="str">
        <f aca="false">IF(INDEX(Salary_Calculation[Source Row],ROW()-ROW(Payslip_Lookup[#Headers]))="","",INDEX(Salary_Calculation[Total Deductions],ROW()-ROW(Payslip_Lookup[#Headers])))</f>
        <v/>
      </c>
      <c r="Z87" s="176" t="str">
        <f aca="false">IF(INDEX(Salary_Calculation[Source Row],ROW()-ROW(Payslip_Lookup[#Headers]))="","",INDEX(Salary_Calculation[Final Salary],ROW()-ROW(Payslip_Lookup[#Headers])))</f>
        <v/>
      </c>
      <c r="AA87" s="176" t="str">
        <f aca="false">IF(INDEX(Salary_Calculation[Source Row],ROW()-ROW(Payslip_Lookup[#Headers]))="","",INDEX(Salary_Calculation[Negative Balance / Amount Due from Rider],ROW()-ROW(Payslip_Lookup[#Headers])))</f>
        <v/>
      </c>
      <c r="AB87" s="176" t="str">
        <f aca="false">IF(INDEX(Salary_Calculation[Source Row],ROW()-ROW(Payslip_Lookup[#Headers]))="","",INDEX(Salary_Calculation[Total Amount Due from Rider],ROW()-ROW(Payslip_Lookup[#Headers])))</f>
        <v/>
      </c>
      <c r="AC87" s="176" t="str">
        <f aca="false">IF(INDEX(Salary_Calculation[Source Row],ROW()-ROW(Payslip_Lookup[#Headers]))="","",INDEX(Salary_Calculation[Salary Before Other Deductions],ROW()-ROW(Payslip_Lookup[#Headers])))</f>
        <v/>
      </c>
      <c r="AD87" s="171" t="str">
        <f aca="false">IF(INDEX(Salary_Calculation[Source Row],ROW()-ROW(Payslip_Lookup[#Headers]))="","",INDEX(Salary_Calculation[Payment Status],ROW()-ROW(Payslip_Lookup[#Headers])))</f>
        <v/>
      </c>
      <c r="AE87" s="171" t="str">
        <f aca="false">IF(INDEX(Salary_Calculation[Source Row],ROW()-ROW(Payslip_Lookup[#Headers]))="","",INDEX(Salary_Calculation[Notes],ROW()-ROW(Payslip_Lookup[#Headers])))</f>
        <v/>
      </c>
      <c r="AF87" s="171" t="str">
        <f aca="false">IF(INDEX(Salary_Calculation[Source Row],ROW()-ROW(Payslip_Lookup[#Headers]))="","",INDEX(Salary_Calculation[Exception Reason],ROW()-ROW(Payslip_Lookup[#Headers])))</f>
        <v/>
      </c>
      <c r="AG87" s="173" t="str">
        <f aca="false">IF($AD87="Review Required",COUNTIF(AD$2:AD87,"Review Required"),"")</f>
        <v/>
      </c>
      <c r="AH87" s="173" t="str">
        <f aca="false">IF(AND($D87&lt;&gt;"",$B87=Payslip_Print!$C$2),MAX(AH$1:AH86)+1,"")</f>
        <v/>
      </c>
      <c r="AL87" s="178" t="str">
        <f aca="false">IFERROR(INDEX($D$2:$D$501,MATCH(ROW()-1,$AH$2:$AH$501,0)),"")</f>
        <v/>
      </c>
      <c r="AM87" s="179" t="str">
        <f aca="false">IF($Z87="","",IF(AND($C87&gt;=Dash_Start,$C87&lt;Dash_End),$Z87+ROW()/10000000,""))</f>
        <v/>
      </c>
    </row>
    <row r="88" customFormat="false" ht="14.25" hidden="false" customHeight="false" outlineLevel="0" collapsed="false">
      <c r="A88" s="171" t="str">
        <f aca="false">IF(Payslip_Lookup[[#This Row],[Rider ID]]="","",Payslip_Lookup[[#This Row],[Rider ID]]&amp;"|"&amp;Payslip_Lookup[[#This Row],[Month Key]])</f>
        <v/>
      </c>
      <c r="B88" s="172" t="str">
        <f aca="false">IF(ISNUMBER(Payslip_Lookup[[#This Row],[Salary Month]]),DATE(YEAR(Payslip_Lookup[[#This Row],[Salary Month]]),MONTH(Payslip_Lookup[[#This Row],[Salary Month]]),1),"")</f>
        <v/>
      </c>
      <c r="C88" s="172" t="str">
        <f aca="false">IF(INDEX(Salary_Calculation[Source Row],ROW()-ROW(Payslip_Lookup[#Headers]))="","",INDEX(Salary_Calculation[Salary Month],ROW()-ROW(Payslip_Lookup[#Headers])))</f>
        <v/>
      </c>
      <c r="D88" s="173" t="str">
        <f aca="false">IF(INDEX(Salary_Calculation[Source Row],ROW()-ROW(Payslip_Lookup[#Headers]))="","",INDEX(Salary_Calculation[Rider ID],ROW()-ROW(Payslip_Lookup[#Headers])))</f>
        <v/>
      </c>
      <c r="E88" s="171" t="str">
        <f aca="false">IF(INDEX(Salary_Calculation[Source Row],ROW()-ROW(Payslip_Lookup[#Headers]))="","",INDEX(Salary_Calculation[Rider Name],ROW()-ROW(Payslip_Lookup[#Headers])))</f>
        <v/>
      </c>
      <c r="F88" s="173" t="str">
        <f aca="false">IF(INDEX(Salary_Calculation[Source Row],ROW()-ROW(Payslip_Lookup[#Headers]))="","",INDEX(Salary_Calculation[Working Days],ROW()-ROW(Payslip_Lookup[#Headers])))</f>
        <v/>
      </c>
      <c r="G88" s="173" t="str">
        <f aca="false">IF(INDEX(Salary_Calculation[Source Row],ROW()-ROW(Payslip_Lookup[#Headers]))="","",INDEX(Salary_Calculation[Calendar Days],ROW()-ROW(Payslip_Lookup[#Headers])))</f>
        <v/>
      </c>
      <c r="H88" s="174" t="str">
        <f aca="false">IF(INDEX(Salary_Calculation[Source Row],ROW()-ROW(Payslip_Lookup[#Headers]))="","",INDEX(Salary_Calculation[Monthly Target Orders],ROW()-ROW(Payslip_Lookup[#Headers])))</f>
        <v/>
      </c>
      <c r="I88" s="174" t="str">
        <f aca="false">IF(INDEX(Salary_Calculation[Source Row],ROW()-ROW(Payslip_Lookup[#Headers]))="","",INDEX(Salary_Calculation[Rider Target Orders],ROW()-ROW(Payslip_Lookup[#Headers])))</f>
        <v/>
      </c>
      <c r="J88" s="175" t="str">
        <f aca="false">IF(INDEX(Salary_Calculation[Source Row],ROW()-ROW(Payslip_Lookup[#Headers]))="","",INDEX(Salary_Calculation[Completed Orders],ROW()-ROW(Payslip_Lookup[#Headers])))</f>
        <v/>
      </c>
      <c r="K88" s="174" t="str">
        <f aca="false">IF(INDEX(Salary_Calculation[Source Row],ROW()-ROW(Payslip_Lookup[#Headers]))="","",INDEX(Salary_Calculation[Base Order Rate],ROW()-ROW(Payslip_Lookup[#Headers])))</f>
        <v/>
      </c>
      <c r="L88" s="176" t="str">
        <f aca="false">IF(INDEX(Salary_Calculation[Source Row],ROW()-ROW(Payslip_Lookup[#Headers]))="","",INDEX(Salary_Calculation[Basic Payment],ROW()-ROW(Payslip_Lookup[#Headers])))</f>
        <v/>
      </c>
      <c r="M88" s="176" t="str">
        <f aca="false">IF(INDEX(Salary_Calculation[Source Row],ROW()-ROW(Payslip_Lookup[#Headers]))="","",INDEX(Salary_Calculation[Earned Salary],ROW()-ROW(Payslip_Lookup[#Headers])))</f>
        <v/>
      </c>
      <c r="N88" s="174" t="str">
        <f aca="false">IF(INDEX(Salary_Calculation[Source Row],ROW()-ROW(Payslip_Lookup[#Headers]))="","",INDEX(Salary_Calculation[Orders Counted at Base Rate],ROW()-ROW(Payslip_Lookup[#Headers])))</f>
        <v/>
      </c>
      <c r="O88" s="174" t="str">
        <f aca="false">IF(INDEX(Salary_Calculation[Source Row],ROW()-ROW(Payslip_Lookup[#Headers]))="","",INDEX(Salary_Calculation[Missing Orders],ROW()-ROW(Payslip_Lookup[#Headers])))</f>
        <v/>
      </c>
      <c r="P88" s="176" t="str">
        <f aca="false">IF(INDEX(Salary_Calculation[Source Row],ROW()-ROW(Payslip_Lookup[#Headers]))="","",INDEX(Salary_Calculation[Missing-Order Deduction],ROW()-ROW(Payslip_Lookup[#Headers])))</f>
        <v/>
      </c>
      <c r="Q88" s="174" t="str">
        <f aca="false">IF(INDEX(Salary_Calculation[Source Row],ROW()-ROW(Payslip_Lookup[#Headers]))="","",INDEX(Salary_Calculation[Extra Orders],ROW()-ROW(Payslip_Lookup[#Headers])))</f>
        <v/>
      </c>
      <c r="R88" s="176" t="str">
        <f aca="false">IF(INDEX(Salary_Calculation[Source Row],ROW()-ROW(Payslip_Lookup[#Headers]))="","",INDEX(Salary_Calculation[Extra-Order Bonus],ROW()-ROW(Payslip_Lookup[#Headers])))</f>
        <v/>
      </c>
      <c r="S88" s="176" t="str">
        <f aca="false">IF(INDEX(Salary_Calculation[Source Row],ROW()-ROW(Payslip_Lookup[#Headers]))="","",INDEX(Salary_Calculation[Basic Salary for Target],ROW()-ROW(Payslip_Lookup[#Headers])))</f>
        <v/>
      </c>
      <c r="T88" s="176" t="str">
        <f aca="false">IF(INDEX(Salary_Calculation[Source Row],ROW()-ROW(Payslip_Lookup[#Headers]))="","",INDEX(Salary_Calculation[Gross Salary Before Deductions],ROW()-ROW(Payslip_Lookup[#Headers])))</f>
        <v/>
      </c>
      <c r="U88" s="176" t="str">
        <f aca="false">IF(INDEX(Salary_Calculation[Source Row],ROW()-ROW(Payslip_Lookup[#Headers]))="","",INDEX(Salary_Calculation[missed_days_penalty],ROW()-ROW(Payslip_Lookup[#Headers])))</f>
        <v/>
      </c>
      <c r="V88" s="176" t="str">
        <f aca="false">IF(INDEX(Salary_Calculation[Source Row],ROW()-ROW(Payslip_Lookup[#Headers]))="","",INDEX(Salary_Calculation[Rider Balance],ROW()-ROW(Payslip_Lookup[#Headers])))</f>
        <v/>
      </c>
      <c r="W88" s="176" t="str">
        <f aca="false">IF(INDEX(Salary_Calculation[Source Row],ROW()-ROW(Payslip_Lookup[#Headers]))="","",INDEX(Salary_Calculation[stacking_deduction],ROW()-ROW(Payslip_Lookup[#Headers])))</f>
        <v/>
      </c>
      <c r="X88" s="176" t="str">
        <f aca="false">IF(INDEX(Salary_Calculation[Source Row],ROW()-ROW(Payslip_Lookup[#Headers]))="","",INDEX(Salary_Calculation[Other Deductions],ROW()-ROW(Payslip_Lookup[#Headers])))</f>
        <v/>
      </c>
      <c r="Y88" s="176" t="str">
        <f aca="false">IF(INDEX(Salary_Calculation[Source Row],ROW()-ROW(Payslip_Lookup[#Headers]))="","",INDEX(Salary_Calculation[Total Deductions],ROW()-ROW(Payslip_Lookup[#Headers])))</f>
        <v/>
      </c>
      <c r="Z88" s="176" t="str">
        <f aca="false">IF(INDEX(Salary_Calculation[Source Row],ROW()-ROW(Payslip_Lookup[#Headers]))="","",INDEX(Salary_Calculation[Final Salary],ROW()-ROW(Payslip_Lookup[#Headers])))</f>
        <v/>
      </c>
      <c r="AA88" s="176" t="str">
        <f aca="false">IF(INDEX(Salary_Calculation[Source Row],ROW()-ROW(Payslip_Lookup[#Headers]))="","",INDEX(Salary_Calculation[Negative Balance / Amount Due from Rider],ROW()-ROW(Payslip_Lookup[#Headers])))</f>
        <v/>
      </c>
      <c r="AB88" s="176" t="str">
        <f aca="false">IF(INDEX(Salary_Calculation[Source Row],ROW()-ROW(Payslip_Lookup[#Headers]))="","",INDEX(Salary_Calculation[Total Amount Due from Rider],ROW()-ROW(Payslip_Lookup[#Headers])))</f>
        <v/>
      </c>
      <c r="AC88" s="176" t="str">
        <f aca="false">IF(INDEX(Salary_Calculation[Source Row],ROW()-ROW(Payslip_Lookup[#Headers]))="","",INDEX(Salary_Calculation[Salary Before Other Deductions],ROW()-ROW(Payslip_Lookup[#Headers])))</f>
        <v/>
      </c>
      <c r="AD88" s="171" t="str">
        <f aca="false">IF(INDEX(Salary_Calculation[Source Row],ROW()-ROW(Payslip_Lookup[#Headers]))="","",INDEX(Salary_Calculation[Payment Status],ROW()-ROW(Payslip_Lookup[#Headers])))</f>
        <v/>
      </c>
      <c r="AE88" s="171" t="str">
        <f aca="false">IF(INDEX(Salary_Calculation[Source Row],ROW()-ROW(Payslip_Lookup[#Headers]))="","",INDEX(Salary_Calculation[Notes],ROW()-ROW(Payslip_Lookup[#Headers])))</f>
        <v/>
      </c>
      <c r="AF88" s="171" t="str">
        <f aca="false">IF(INDEX(Salary_Calculation[Source Row],ROW()-ROW(Payslip_Lookup[#Headers]))="","",INDEX(Salary_Calculation[Exception Reason],ROW()-ROW(Payslip_Lookup[#Headers])))</f>
        <v/>
      </c>
      <c r="AG88" s="173" t="str">
        <f aca="false">IF($AD88="Review Required",COUNTIF(AD$2:AD88,"Review Required"),"")</f>
        <v/>
      </c>
      <c r="AH88" s="173" t="str">
        <f aca="false">IF(AND($D88&lt;&gt;"",$B88=Payslip_Print!$C$2),MAX(AH$1:AH87)+1,"")</f>
        <v/>
      </c>
      <c r="AL88" s="178" t="str">
        <f aca="false">IFERROR(INDEX($D$2:$D$501,MATCH(ROW()-1,$AH$2:$AH$501,0)),"")</f>
        <v/>
      </c>
      <c r="AM88" s="179" t="str">
        <f aca="false">IF($Z88="","",IF(AND($C88&gt;=Dash_Start,$C88&lt;Dash_End),$Z88+ROW()/10000000,""))</f>
        <v/>
      </c>
    </row>
    <row r="89" customFormat="false" ht="14.25" hidden="false" customHeight="false" outlineLevel="0" collapsed="false">
      <c r="A89" s="171" t="str">
        <f aca="false">IF(Payslip_Lookup[[#This Row],[Rider ID]]="","",Payslip_Lookup[[#This Row],[Rider ID]]&amp;"|"&amp;Payslip_Lookup[[#This Row],[Month Key]])</f>
        <v/>
      </c>
      <c r="B89" s="172" t="str">
        <f aca="false">IF(ISNUMBER(Payslip_Lookup[[#This Row],[Salary Month]]),DATE(YEAR(Payslip_Lookup[[#This Row],[Salary Month]]),MONTH(Payslip_Lookup[[#This Row],[Salary Month]]),1),"")</f>
        <v/>
      </c>
      <c r="C89" s="172" t="str">
        <f aca="false">IF(INDEX(Salary_Calculation[Source Row],ROW()-ROW(Payslip_Lookup[#Headers]))="","",INDEX(Salary_Calculation[Salary Month],ROW()-ROW(Payslip_Lookup[#Headers])))</f>
        <v/>
      </c>
      <c r="D89" s="173" t="str">
        <f aca="false">IF(INDEX(Salary_Calculation[Source Row],ROW()-ROW(Payslip_Lookup[#Headers]))="","",INDEX(Salary_Calculation[Rider ID],ROW()-ROW(Payslip_Lookup[#Headers])))</f>
        <v/>
      </c>
      <c r="E89" s="171" t="str">
        <f aca="false">IF(INDEX(Salary_Calculation[Source Row],ROW()-ROW(Payslip_Lookup[#Headers]))="","",INDEX(Salary_Calculation[Rider Name],ROW()-ROW(Payslip_Lookup[#Headers])))</f>
        <v/>
      </c>
      <c r="F89" s="173" t="str">
        <f aca="false">IF(INDEX(Salary_Calculation[Source Row],ROW()-ROW(Payslip_Lookup[#Headers]))="","",INDEX(Salary_Calculation[Working Days],ROW()-ROW(Payslip_Lookup[#Headers])))</f>
        <v/>
      </c>
      <c r="G89" s="173" t="str">
        <f aca="false">IF(INDEX(Salary_Calculation[Source Row],ROW()-ROW(Payslip_Lookup[#Headers]))="","",INDEX(Salary_Calculation[Calendar Days],ROW()-ROW(Payslip_Lookup[#Headers])))</f>
        <v/>
      </c>
      <c r="H89" s="174" t="str">
        <f aca="false">IF(INDEX(Salary_Calculation[Source Row],ROW()-ROW(Payslip_Lookup[#Headers]))="","",INDEX(Salary_Calculation[Monthly Target Orders],ROW()-ROW(Payslip_Lookup[#Headers])))</f>
        <v/>
      </c>
      <c r="I89" s="174" t="str">
        <f aca="false">IF(INDEX(Salary_Calculation[Source Row],ROW()-ROW(Payslip_Lookup[#Headers]))="","",INDEX(Salary_Calculation[Rider Target Orders],ROW()-ROW(Payslip_Lookup[#Headers])))</f>
        <v/>
      </c>
      <c r="J89" s="175" t="str">
        <f aca="false">IF(INDEX(Salary_Calculation[Source Row],ROW()-ROW(Payslip_Lookup[#Headers]))="","",INDEX(Salary_Calculation[Completed Orders],ROW()-ROW(Payslip_Lookup[#Headers])))</f>
        <v/>
      </c>
      <c r="K89" s="174" t="str">
        <f aca="false">IF(INDEX(Salary_Calculation[Source Row],ROW()-ROW(Payslip_Lookup[#Headers]))="","",INDEX(Salary_Calculation[Base Order Rate],ROW()-ROW(Payslip_Lookup[#Headers])))</f>
        <v/>
      </c>
      <c r="L89" s="176" t="str">
        <f aca="false">IF(INDEX(Salary_Calculation[Source Row],ROW()-ROW(Payslip_Lookup[#Headers]))="","",INDEX(Salary_Calculation[Basic Payment],ROW()-ROW(Payslip_Lookup[#Headers])))</f>
        <v/>
      </c>
      <c r="M89" s="176" t="str">
        <f aca="false">IF(INDEX(Salary_Calculation[Source Row],ROW()-ROW(Payslip_Lookup[#Headers]))="","",INDEX(Salary_Calculation[Earned Salary],ROW()-ROW(Payslip_Lookup[#Headers])))</f>
        <v/>
      </c>
      <c r="N89" s="174" t="str">
        <f aca="false">IF(INDEX(Salary_Calculation[Source Row],ROW()-ROW(Payslip_Lookup[#Headers]))="","",INDEX(Salary_Calculation[Orders Counted at Base Rate],ROW()-ROW(Payslip_Lookup[#Headers])))</f>
        <v/>
      </c>
      <c r="O89" s="174" t="str">
        <f aca="false">IF(INDEX(Salary_Calculation[Source Row],ROW()-ROW(Payslip_Lookup[#Headers]))="","",INDEX(Salary_Calculation[Missing Orders],ROW()-ROW(Payslip_Lookup[#Headers])))</f>
        <v/>
      </c>
      <c r="P89" s="176" t="str">
        <f aca="false">IF(INDEX(Salary_Calculation[Source Row],ROW()-ROW(Payslip_Lookup[#Headers]))="","",INDEX(Salary_Calculation[Missing-Order Deduction],ROW()-ROW(Payslip_Lookup[#Headers])))</f>
        <v/>
      </c>
      <c r="Q89" s="174" t="str">
        <f aca="false">IF(INDEX(Salary_Calculation[Source Row],ROW()-ROW(Payslip_Lookup[#Headers]))="","",INDEX(Salary_Calculation[Extra Orders],ROW()-ROW(Payslip_Lookup[#Headers])))</f>
        <v/>
      </c>
      <c r="R89" s="176" t="str">
        <f aca="false">IF(INDEX(Salary_Calculation[Source Row],ROW()-ROW(Payslip_Lookup[#Headers]))="","",INDEX(Salary_Calculation[Extra-Order Bonus],ROW()-ROW(Payslip_Lookup[#Headers])))</f>
        <v/>
      </c>
      <c r="S89" s="176" t="str">
        <f aca="false">IF(INDEX(Salary_Calculation[Source Row],ROW()-ROW(Payslip_Lookup[#Headers]))="","",INDEX(Salary_Calculation[Basic Salary for Target],ROW()-ROW(Payslip_Lookup[#Headers])))</f>
        <v/>
      </c>
      <c r="T89" s="176" t="str">
        <f aca="false">IF(INDEX(Salary_Calculation[Source Row],ROW()-ROW(Payslip_Lookup[#Headers]))="","",INDEX(Salary_Calculation[Gross Salary Before Deductions],ROW()-ROW(Payslip_Lookup[#Headers])))</f>
        <v/>
      </c>
      <c r="U89" s="176" t="str">
        <f aca="false">IF(INDEX(Salary_Calculation[Source Row],ROW()-ROW(Payslip_Lookup[#Headers]))="","",INDEX(Salary_Calculation[missed_days_penalty],ROW()-ROW(Payslip_Lookup[#Headers])))</f>
        <v/>
      </c>
      <c r="V89" s="176" t="str">
        <f aca="false">IF(INDEX(Salary_Calculation[Source Row],ROW()-ROW(Payslip_Lookup[#Headers]))="","",INDEX(Salary_Calculation[Rider Balance],ROW()-ROW(Payslip_Lookup[#Headers])))</f>
        <v/>
      </c>
      <c r="W89" s="176" t="str">
        <f aca="false">IF(INDEX(Salary_Calculation[Source Row],ROW()-ROW(Payslip_Lookup[#Headers]))="","",INDEX(Salary_Calculation[stacking_deduction],ROW()-ROW(Payslip_Lookup[#Headers])))</f>
        <v/>
      </c>
      <c r="X89" s="176" t="str">
        <f aca="false">IF(INDEX(Salary_Calculation[Source Row],ROW()-ROW(Payslip_Lookup[#Headers]))="","",INDEX(Salary_Calculation[Other Deductions],ROW()-ROW(Payslip_Lookup[#Headers])))</f>
        <v/>
      </c>
      <c r="Y89" s="176" t="str">
        <f aca="false">IF(INDEX(Salary_Calculation[Source Row],ROW()-ROW(Payslip_Lookup[#Headers]))="","",INDEX(Salary_Calculation[Total Deductions],ROW()-ROW(Payslip_Lookup[#Headers])))</f>
        <v/>
      </c>
      <c r="Z89" s="176" t="str">
        <f aca="false">IF(INDEX(Salary_Calculation[Source Row],ROW()-ROW(Payslip_Lookup[#Headers]))="","",INDEX(Salary_Calculation[Final Salary],ROW()-ROW(Payslip_Lookup[#Headers])))</f>
        <v/>
      </c>
      <c r="AA89" s="176" t="str">
        <f aca="false">IF(INDEX(Salary_Calculation[Source Row],ROW()-ROW(Payslip_Lookup[#Headers]))="","",INDEX(Salary_Calculation[Negative Balance / Amount Due from Rider],ROW()-ROW(Payslip_Lookup[#Headers])))</f>
        <v/>
      </c>
      <c r="AB89" s="176" t="str">
        <f aca="false">IF(INDEX(Salary_Calculation[Source Row],ROW()-ROW(Payslip_Lookup[#Headers]))="","",INDEX(Salary_Calculation[Total Amount Due from Rider],ROW()-ROW(Payslip_Lookup[#Headers])))</f>
        <v/>
      </c>
      <c r="AC89" s="176" t="str">
        <f aca="false">IF(INDEX(Salary_Calculation[Source Row],ROW()-ROW(Payslip_Lookup[#Headers]))="","",INDEX(Salary_Calculation[Salary Before Other Deductions],ROW()-ROW(Payslip_Lookup[#Headers])))</f>
        <v/>
      </c>
      <c r="AD89" s="171" t="str">
        <f aca="false">IF(INDEX(Salary_Calculation[Source Row],ROW()-ROW(Payslip_Lookup[#Headers]))="","",INDEX(Salary_Calculation[Payment Status],ROW()-ROW(Payslip_Lookup[#Headers])))</f>
        <v/>
      </c>
      <c r="AE89" s="171" t="str">
        <f aca="false">IF(INDEX(Salary_Calculation[Source Row],ROW()-ROW(Payslip_Lookup[#Headers]))="","",INDEX(Salary_Calculation[Notes],ROW()-ROW(Payslip_Lookup[#Headers])))</f>
        <v/>
      </c>
      <c r="AF89" s="171" t="str">
        <f aca="false">IF(INDEX(Salary_Calculation[Source Row],ROW()-ROW(Payslip_Lookup[#Headers]))="","",INDEX(Salary_Calculation[Exception Reason],ROW()-ROW(Payslip_Lookup[#Headers])))</f>
        <v/>
      </c>
      <c r="AG89" s="173" t="str">
        <f aca="false">IF($AD89="Review Required",COUNTIF(AD$2:AD89,"Review Required"),"")</f>
        <v/>
      </c>
      <c r="AH89" s="173" t="str">
        <f aca="false">IF(AND($D89&lt;&gt;"",$B89=Payslip_Print!$C$2),MAX(AH$1:AH88)+1,"")</f>
        <v/>
      </c>
      <c r="AL89" s="178" t="str">
        <f aca="false">IFERROR(INDEX($D$2:$D$501,MATCH(ROW()-1,$AH$2:$AH$501,0)),"")</f>
        <v/>
      </c>
      <c r="AM89" s="179" t="str">
        <f aca="false">IF($Z89="","",IF(AND($C89&gt;=Dash_Start,$C89&lt;Dash_End),$Z89+ROW()/10000000,""))</f>
        <v/>
      </c>
    </row>
    <row r="90" customFormat="false" ht="14.25" hidden="false" customHeight="false" outlineLevel="0" collapsed="false">
      <c r="A90" s="171" t="str">
        <f aca="false">IF(Payslip_Lookup[[#This Row],[Rider ID]]="","",Payslip_Lookup[[#This Row],[Rider ID]]&amp;"|"&amp;Payslip_Lookup[[#This Row],[Month Key]])</f>
        <v/>
      </c>
      <c r="B90" s="172" t="str">
        <f aca="false">IF(ISNUMBER(Payslip_Lookup[[#This Row],[Salary Month]]),DATE(YEAR(Payslip_Lookup[[#This Row],[Salary Month]]),MONTH(Payslip_Lookup[[#This Row],[Salary Month]]),1),"")</f>
        <v/>
      </c>
      <c r="C90" s="172" t="str">
        <f aca="false">IF(INDEX(Salary_Calculation[Source Row],ROW()-ROW(Payslip_Lookup[#Headers]))="","",INDEX(Salary_Calculation[Salary Month],ROW()-ROW(Payslip_Lookup[#Headers])))</f>
        <v/>
      </c>
      <c r="D90" s="173" t="str">
        <f aca="false">IF(INDEX(Salary_Calculation[Source Row],ROW()-ROW(Payslip_Lookup[#Headers]))="","",INDEX(Salary_Calculation[Rider ID],ROW()-ROW(Payslip_Lookup[#Headers])))</f>
        <v/>
      </c>
      <c r="E90" s="171" t="str">
        <f aca="false">IF(INDEX(Salary_Calculation[Source Row],ROW()-ROW(Payslip_Lookup[#Headers]))="","",INDEX(Salary_Calculation[Rider Name],ROW()-ROW(Payslip_Lookup[#Headers])))</f>
        <v/>
      </c>
      <c r="F90" s="173" t="str">
        <f aca="false">IF(INDEX(Salary_Calculation[Source Row],ROW()-ROW(Payslip_Lookup[#Headers]))="","",INDEX(Salary_Calculation[Working Days],ROW()-ROW(Payslip_Lookup[#Headers])))</f>
        <v/>
      </c>
      <c r="G90" s="173" t="str">
        <f aca="false">IF(INDEX(Salary_Calculation[Source Row],ROW()-ROW(Payslip_Lookup[#Headers]))="","",INDEX(Salary_Calculation[Calendar Days],ROW()-ROW(Payslip_Lookup[#Headers])))</f>
        <v/>
      </c>
      <c r="H90" s="174" t="str">
        <f aca="false">IF(INDEX(Salary_Calculation[Source Row],ROW()-ROW(Payslip_Lookup[#Headers]))="","",INDEX(Salary_Calculation[Monthly Target Orders],ROW()-ROW(Payslip_Lookup[#Headers])))</f>
        <v/>
      </c>
      <c r="I90" s="174" t="str">
        <f aca="false">IF(INDEX(Salary_Calculation[Source Row],ROW()-ROW(Payslip_Lookup[#Headers]))="","",INDEX(Salary_Calculation[Rider Target Orders],ROW()-ROW(Payslip_Lookup[#Headers])))</f>
        <v/>
      </c>
      <c r="J90" s="175" t="str">
        <f aca="false">IF(INDEX(Salary_Calculation[Source Row],ROW()-ROW(Payslip_Lookup[#Headers]))="","",INDEX(Salary_Calculation[Completed Orders],ROW()-ROW(Payslip_Lookup[#Headers])))</f>
        <v/>
      </c>
      <c r="K90" s="174" t="str">
        <f aca="false">IF(INDEX(Salary_Calculation[Source Row],ROW()-ROW(Payslip_Lookup[#Headers]))="","",INDEX(Salary_Calculation[Base Order Rate],ROW()-ROW(Payslip_Lookup[#Headers])))</f>
        <v/>
      </c>
      <c r="L90" s="176" t="str">
        <f aca="false">IF(INDEX(Salary_Calculation[Source Row],ROW()-ROW(Payslip_Lookup[#Headers]))="","",INDEX(Salary_Calculation[Basic Payment],ROW()-ROW(Payslip_Lookup[#Headers])))</f>
        <v/>
      </c>
      <c r="M90" s="176" t="str">
        <f aca="false">IF(INDEX(Salary_Calculation[Source Row],ROW()-ROW(Payslip_Lookup[#Headers]))="","",INDEX(Salary_Calculation[Earned Salary],ROW()-ROW(Payslip_Lookup[#Headers])))</f>
        <v/>
      </c>
      <c r="N90" s="174" t="str">
        <f aca="false">IF(INDEX(Salary_Calculation[Source Row],ROW()-ROW(Payslip_Lookup[#Headers]))="","",INDEX(Salary_Calculation[Orders Counted at Base Rate],ROW()-ROW(Payslip_Lookup[#Headers])))</f>
        <v/>
      </c>
      <c r="O90" s="174" t="str">
        <f aca="false">IF(INDEX(Salary_Calculation[Source Row],ROW()-ROW(Payslip_Lookup[#Headers]))="","",INDEX(Salary_Calculation[Missing Orders],ROW()-ROW(Payslip_Lookup[#Headers])))</f>
        <v/>
      </c>
      <c r="P90" s="176" t="str">
        <f aca="false">IF(INDEX(Salary_Calculation[Source Row],ROW()-ROW(Payslip_Lookup[#Headers]))="","",INDEX(Salary_Calculation[Missing-Order Deduction],ROW()-ROW(Payslip_Lookup[#Headers])))</f>
        <v/>
      </c>
      <c r="Q90" s="174" t="str">
        <f aca="false">IF(INDEX(Salary_Calculation[Source Row],ROW()-ROW(Payslip_Lookup[#Headers]))="","",INDEX(Salary_Calculation[Extra Orders],ROW()-ROW(Payslip_Lookup[#Headers])))</f>
        <v/>
      </c>
      <c r="R90" s="176" t="str">
        <f aca="false">IF(INDEX(Salary_Calculation[Source Row],ROW()-ROW(Payslip_Lookup[#Headers]))="","",INDEX(Salary_Calculation[Extra-Order Bonus],ROW()-ROW(Payslip_Lookup[#Headers])))</f>
        <v/>
      </c>
      <c r="S90" s="176" t="str">
        <f aca="false">IF(INDEX(Salary_Calculation[Source Row],ROW()-ROW(Payslip_Lookup[#Headers]))="","",INDEX(Salary_Calculation[Basic Salary for Target],ROW()-ROW(Payslip_Lookup[#Headers])))</f>
        <v/>
      </c>
      <c r="T90" s="176" t="str">
        <f aca="false">IF(INDEX(Salary_Calculation[Source Row],ROW()-ROW(Payslip_Lookup[#Headers]))="","",INDEX(Salary_Calculation[Gross Salary Before Deductions],ROW()-ROW(Payslip_Lookup[#Headers])))</f>
        <v/>
      </c>
      <c r="U90" s="176" t="str">
        <f aca="false">IF(INDEX(Salary_Calculation[Source Row],ROW()-ROW(Payslip_Lookup[#Headers]))="","",INDEX(Salary_Calculation[missed_days_penalty],ROW()-ROW(Payslip_Lookup[#Headers])))</f>
        <v/>
      </c>
      <c r="V90" s="176" t="str">
        <f aca="false">IF(INDEX(Salary_Calculation[Source Row],ROW()-ROW(Payslip_Lookup[#Headers]))="","",INDEX(Salary_Calculation[Rider Balance],ROW()-ROW(Payslip_Lookup[#Headers])))</f>
        <v/>
      </c>
      <c r="W90" s="176" t="str">
        <f aca="false">IF(INDEX(Salary_Calculation[Source Row],ROW()-ROW(Payslip_Lookup[#Headers]))="","",INDEX(Salary_Calculation[stacking_deduction],ROW()-ROW(Payslip_Lookup[#Headers])))</f>
        <v/>
      </c>
      <c r="X90" s="176" t="str">
        <f aca="false">IF(INDEX(Salary_Calculation[Source Row],ROW()-ROW(Payslip_Lookup[#Headers]))="","",INDEX(Salary_Calculation[Other Deductions],ROW()-ROW(Payslip_Lookup[#Headers])))</f>
        <v/>
      </c>
      <c r="Y90" s="176" t="str">
        <f aca="false">IF(INDEX(Salary_Calculation[Source Row],ROW()-ROW(Payslip_Lookup[#Headers]))="","",INDEX(Salary_Calculation[Total Deductions],ROW()-ROW(Payslip_Lookup[#Headers])))</f>
        <v/>
      </c>
      <c r="Z90" s="176" t="str">
        <f aca="false">IF(INDEX(Salary_Calculation[Source Row],ROW()-ROW(Payslip_Lookup[#Headers]))="","",INDEX(Salary_Calculation[Final Salary],ROW()-ROW(Payslip_Lookup[#Headers])))</f>
        <v/>
      </c>
      <c r="AA90" s="176" t="str">
        <f aca="false">IF(INDEX(Salary_Calculation[Source Row],ROW()-ROW(Payslip_Lookup[#Headers]))="","",INDEX(Salary_Calculation[Negative Balance / Amount Due from Rider],ROW()-ROW(Payslip_Lookup[#Headers])))</f>
        <v/>
      </c>
      <c r="AB90" s="176" t="str">
        <f aca="false">IF(INDEX(Salary_Calculation[Source Row],ROW()-ROW(Payslip_Lookup[#Headers]))="","",INDEX(Salary_Calculation[Total Amount Due from Rider],ROW()-ROW(Payslip_Lookup[#Headers])))</f>
        <v/>
      </c>
      <c r="AC90" s="176" t="str">
        <f aca="false">IF(INDEX(Salary_Calculation[Source Row],ROW()-ROW(Payslip_Lookup[#Headers]))="","",INDEX(Salary_Calculation[Salary Before Other Deductions],ROW()-ROW(Payslip_Lookup[#Headers])))</f>
        <v/>
      </c>
      <c r="AD90" s="171" t="str">
        <f aca="false">IF(INDEX(Salary_Calculation[Source Row],ROW()-ROW(Payslip_Lookup[#Headers]))="","",INDEX(Salary_Calculation[Payment Status],ROW()-ROW(Payslip_Lookup[#Headers])))</f>
        <v/>
      </c>
      <c r="AE90" s="171" t="str">
        <f aca="false">IF(INDEX(Salary_Calculation[Source Row],ROW()-ROW(Payslip_Lookup[#Headers]))="","",INDEX(Salary_Calculation[Notes],ROW()-ROW(Payslip_Lookup[#Headers])))</f>
        <v/>
      </c>
      <c r="AF90" s="171" t="str">
        <f aca="false">IF(INDEX(Salary_Calculation[Source Row],ROW()-ROW(Payslip_Lookup[#Headers]))="","",INDEX(Salary_Calculation[Exception Reason],ROW()-ROW(Payslip_Lookup[#Headers])))</f>
        <v/>
      </c>
      <c r="AG90" s="173" t="str">
        <f aca="false">IF($AD90="Review Required",COUNTIF(AD$2:AD90,"Review Required"),"")</f>
        <v/>
      </c>
      <c r="AH90" s="173" t="str">
        <f aca="false">IF(AND($D90&lt;&gt;"",$B90=Payslip_Print!$C$2),MAX(AH$1:AH89)+1,"")</f>
        <v/>
      </c>
      <c r="AL90" s="178" t="str">
        <f aca="false">IFERROR(INDEX($D$2:$D$501,MATCH(ROW()-1,$AH$2:$AH$501,0)),"")</f>
        <v/>
      </c>
      <c r="AM90" s="179" t="str">
        <f aca="false">IF($Z90="","",IF(AND($C90&gt;=Dash_Start,$C90&lt;Dash_End),$Z90+ROW()/10000000,""))</f>
        <v/>
      </c>
    </row>
    <row r="91" customFormat="false" ht="14.25" hidden="false" customHeight="false" outlineLevel="0" collapsed="false">
      <c r="A91" s="171" t="str">
        <f aca="false">IF(Payslip_Lookup[[#This Row],[Rider ID]]="","",Payslip_Lookup[[#This Row],[Rider ID]]&amp;"|"&amp;Payslip_Lookup[[#This Row],[Month Key]])</f>
        <v/>
      </c>
      <c r="B91" s="172" t="str">
        <f aca="false">IF(ISNUMBER(Payslip_Lookup[[#This Row],[Salary Month]]),DATE(YEAR(Payslip_Lookup[[#This Row],[Salary Month]]),MONTH(Payslip_Lookup[[#This Row],[Salary Month]]),1),"")</f>
        <v/>
      </c>
      <c r="C91" s="172" t="str">
        <f aca="false">IF(INDEX(Salary_Calculation[Source Row],ROW()-ROW(Payslip_Lookup[#Headers]))="","",INDEX(Salary_Calculation[Salary Month],ROW()-ROW(Payslip_Lookup[#Headers])))</f>
        <v/>
      </c>
      <c r="D91" s="173" t="str">
        <f aca="false">IF(INDEX(Salary_Calculation[Source Row],ROW()-ROW(Payslip_Lookup[#Headers]))="","",INDEX(Salary_Calculation[Rider ID],ROW()-ROW(Payslip_Lookup[#Headers])))</f>
        <v/>
      </c>
      <c r="E91" s="171" t="str">
        <f aca="false">IF(INDEX(Salary_Calculation[Source Row],ROW()-ROW(Payslip_Lookup[#Headers]))="","",INDEX(Salary_Calculation[Rider Name],ROW()-ROW(Payslip_Lookup[#Headers])))</f>
        <v/>
      </c>
      <c r="F91" s="173" t="str">
        <f aca="false">IF(INDEX(Salary_Calculation[Source Row],ROW()-ROW(Payslip_Lookup[#Headers]))="","",INDEX(Salary_Calculation[Working Days],ROW()-ROW(Payslip_Lookup[#Headers])))</f>
        <v/>
      </c>
      <c r="G91" s="173" t="str">
        <f aca="false">IF(INDEX(Salary_Calculation[Source Row],ROW()-ROW(Payslip_Lookup[#Headers]))="","",INDEX(Salary_Calculation[Calendar Days],ROW()-ROW(Payslip_Lookup[#Headers])))</f>
        <v/>
      </c>
      <c r="H91" s="174" t="str">
        <f aca="false">IF(INDEX(Salary_Calculation[Source Row],ROW()-ROW(Payslip_Lookup[#Headers]))="","",INDEX(Salary_Calculation[Monthly Target Orders],ROW()-ROW(Payslip_Lookup[#Headers])))</f>
        <v/>
      </c>
      <c r="I91" s="174" t="str">
        <f aca="false">IF(INDEX(Salary_Calculation[Source Row],ROW()-ROW(Payslip_Lookup[#Headers]))="","",INDEX(Salary_Calculation[Rider Target Orders],ROW()-ROW(Payslip_Lookup[#Headers])))</f>
        <v/>
      </c>
      <c r="J91" s="175" t="str">
        <f aca="false">IF(INDEX(Salary_Calculation[Source Row],ROW()-ROW(Payslip_Lookup[#Headers]))="","",INDEX(Salary_Calculation[Completed Orders],ROW()-ROW(Payslip_Lookup[#Headers])))</f>
        <v/>
      </c>
      <c r="K91" s="174" t="str">
        <f aca="false">IF(INDEX(Salary_Calculation[Source Row],ROW()-ROW(Payslip_Lookup[#Headers]))="","",INDEX(Salary_Calculation[Base Order Rate],ROW()-ROW(Payslip_Lookup[#Headers])))</f>
        <v/>
      </c>
      <c r="L91" s="176" t="str">
        <f aca="false">IF(INDEX(Salary_Calculation[Source Row],ROW()-ROW(Payslip_Lookup[#Headers]))="","",INDEX(Salary_Calculation[Basic Payment],ROW()-ROW(Payslip_Lookup[#Headers])))</f>
        <v/>
      </c>
      <c r="M91" s="176" t="str">
        <f aca="false">IF(INDEX(Salary_Calculation[Source Row],ROW()-ROW(Payslip_Lookup[#Headers]))="","",INDEX(Salary_Calculation[Earned Salary],ROW()-ROW(Payslip_Lookup[#Headers])))</f>
        <v/>
      </c>
      <c r="N91" s="174" t="str">
        <f aca="false">IF(INDEX(Salary_Calculation[Source Row],ROW()-ROW(Payslip_Lookup[#Headers]))="","",INDEX(Salary_Calculation[Orders Counted at Base Rate],ROW()-ROW(Payslip_Lookup[#Headers])))</f>
        <v/>
      </c>
      <c r="O91" s="174" t="str">
        <f aca="false">IF(INDEX(Salary_Calculation[Source Row],ROW()-ROW(Payslip_Lookup[#Headers]))="","",INDEX(Salary_Calculation[Missing Orders],ROW()-ROW(Payslip_Lookup[#Headers])))</f>
        <v/>
      </c>
      <c r="P91" s="176" t="str">
        <f aca="false">IF(INDEX(Salary_Calculation[Source Row],ROW()-ROW(Payslip_Lookup[#Headers]))="","",INDEX(Salary_Calculation[Missing-Order Deduction],ROW()-ROW(Payslip_Lookup[#Headers])))</f>
        <v/>
      </c>
      <c r="Q91" s="174" t="str">
        <f aca="false">IF(INDEX(Salary_Calculation[Source Row],ROW()-ROW(Payslip_Lookup[#Headers]))="","",INDEX(Salary_Calculation[Extra Orders],ROW()-ROW(Payslip_Lookup[#Headers])))</f>
        <v/>
      </c>
      <c r="R91" s="176" t="str">
        <f aca="false">IF(INDEX(Salary_Calculation[Source Row],ROW()-ROW(Payslip_Lookup[#Headers]))="","",INDEX(Salary_Calculation[Extra-Order Bonus],ROW()-ROW(Payslip_Lookup[#Headers])))</f>
        <v/>
      </c>
      <c r="S91" s="176" t="str">
        <f aca="false">IF(INDEX(Salary_Calculation[Source Row],ROW()-ROW(Payslip_Lookup[#Headers]))="","",INDEX(Salary_Calculation[Basic Salary for Target],ROW()-ROW(Payslip_Lookup[#Headers])))</f>
        <v/>
      </c>
      <c r="T91" s="176" t="str">
        <f aca="false">IF(INDEX(Salary_Calculation[Source Row],ROW()-ROW(Payslip_Lookup[#Headers]))="","",INDEX(Salary_Calculation[Gross Salary Before Deductions],ROW()-ROW(Payslip_Lookup[#Headers])))</f>
        <v/>
      </c>
      <c r="U91" s="176" t="str">
        <f aca="false">IF(INDEX(Salary_Calculation[Source Row],ROW()-ROW(Payslip_Lookup[#Headers]))="","",INDEX(Salary_Calculation[missed_days_penalty],ROW()-ROW(Payslip_Lookup[#Headers])))</f>
        <v/>
      </c>
      <c r="V91" s="176" t="str">
        <f aca="false">IF(INDEX(Salary_Calculation[Source Row],ROW()-ROW(Payslip_Lookup[#Headers]))="","",INDEX(Salary_Calculation[Rider Balance],ROW()-ROW(Payslip_Lookup[#Headers])))</f>
        <v/>
      </c>
      <c r="W91" s="176" t="str">
        <f aca="false">IF(INDEX(Salary_Calculation[Source Row],ROW()-ROW(Payslip_Lookup[#Headers]))="","",INDEX(Salary_Calculation[stacking_deduction],ROW()-ROW(Payslip_Lookup[#Headers])))</f>
        <v/>
      </c>
      <c r="X91" s="176" t="str">
        <f aca="false">IF(INDEX(Salary_Calculation[Source Row],ROW()-ROW(Payslip_Lookup[#Headers]))="","",INDEX(Salary_Calculation[Other Deductions],ROW()-ROW(Payslip_Lookup[#Headers])))</f>
        <v/>
      </c>
      <c r="Y91" s="176" t="str">
        <f aca="false">IF(INDEX(Salary_Calculation[Source Row],ROW()-ROW(Payslip_Lookup[#Headers]))="","",INDEX(Salary_Calculation[Total Deductions],ROW()-ROW(Payslip_Lookup[#Headers])))</f>
        <v/>
      </c>
      <c r="Z91" s="176" t="str">
        <f aca="false">IF(INDEX(Salary_Calculation[Source Row],ROW()-ROW(Payslip_Lookup[#Headers]))="","",INDEX(Salary_Calculation[Final Salary],ROW()-ROW(Payslip_Lookup[#Headers])))</f>
        <v/>
      </c>
      <c r="AA91" s="176" t="str">
        <f aca="false">IF(INDEX(Salary_Calculation[Source Row],ROW()-ROW(Payslip_Lookup[#Headers]))="","",INDEX(Salary_Calculation[Negative Balance / Amount Due from Rider],ROW()-ROW(Payslip_Lookup[#Headers])))</f>
        <v/>
      </c>
      <c r="AB91" s="176" t="str">
        <f aca="false">IF(INDEX(Salary_Calculation[Source Row],ROW()-ROW(Payslip_Lookup[#Headers]))="","",INDEX(Salary_Calculation[Total Amount Due from Rider],ROW()-ROW(Payslip_Lookup[#Headers])))</f>
        <v/>
      </c>
      <c r="AC91" s="176" t="str">
        <f aca="false">IF(INDEX(Salary_Calculation[Source Row],ROW()-ROW(Payslip_Lookup[#Headers]))="","",INDEX(Salary_Calculation[Salary Before Other Deductions],ROW()-ROW(Payslip_Lookup[#Headers])))</f>
        <v/>
      </c>
      <c r="AD91" s="171" t="str">
        <f aca="false">IF(INDEX(Salary_Calculation[Source Row],ROW()-ROW(Payslip_Lookup[#Headers]))="","",INDEX(Salary_Calculation[Payment Status],ROW()-ROW(Payslip_Lookup[#Headers])))</f>
        <v/>
      </c>
      <c r="AE91" s="171" t="str">
        <f aca="false">IF(INDEX(Salary_Calculation[Source Row],ROW()-ROW(Payslip_Lookup[#Headers]))="","",INDEX(Salary_Calculation[Notes],ROW()-ROW(Payslip_Lookup[#Headers])))</f>
        <v/>
      </c>
      <c r="AF91" s="171" t="str">
        <f aca="false">IF(INDEX(Salary_Calculation[Source Row],ROW()-ROW(Payslip_Lookup[#Headers]))="","",INDEX(Salary_Calculation[Exception Reason],ROW()-ROW(Payslip_Lookup[#Headers])))</f>
        <v/>
      </c>
      <c r="AG91" s="173" t="str">
        <f aca="false">IF($AD91="Review Required",COUNTIF(AD$2:AD91,"Review Required"),"")</f>
        <v/>
      </c>
      <c r="AH91" s="173" t="str">
        <f aca="false">IF(AND($D91&lt;&gt;"",$B91=Payslip_Print!$C$2),MAX(AH$1:AH90)+1,"")</f>
        <v/>
      </c>
      <c r="AL91" s="178" t="str">
        <f aca="false">IFERROR(INDEX($D$2:$D$501,MATCH(ROW()-1,$AH$2:$AH$501,0)),"")</f>
        <v/>
      </c>
      <c r="AM91" s="179" t="str">
        <f aca="false">IF($Z91="","",IF(AND($C91&gt;=Dash_Start,$C91&lt;Dash_End),$Z91+ROW()/10000000,""))</f>
        <v/>
      </c>
    </row>
    <row r="92" customFormat="false" ht="14.25" hidden="false" customHeight="false" outlineLevel="0" collapsed="false">
      <c r="A92" s="171" t="str">
        <f aca="false">IF(Payslip_Lookup[[#This Row],[Rider ID]]="","",Payslip_Lookup[[#This Row],[Rider ID]]&amp;"|"&amp;Payslip_Lookup[[#This Row],[Month Key]])</f>
        <v/>
      </c>
      <c r="B92" s="172" t="str">
        <f aca="false">IF(ISNUMBER(Payslip_Lookup[[#This Row],[Salary Month]]),DATE(YEAR(Payslip_Lookup[[#This Row],[Salary Month]]),MONTH(Payslip_Lookup[[#This Row],[Salary Month]]),1),"")</f>
        <v/>
      </c>
      <c r="C92" s="172" t="str">
        <f aca="false">IF(INDEX(Salary_Calculation[Source Row],ROW()-ROW(Payslip_Lookup[#Headers]))="","",INDEX(Salary_Calculation[Salary Month],ROW()-ROW(Payslip_Lookup[#Headers])))</f>
        <v/>
      </c>
      <c r="D92" s="173" t="str">
        <f aca="false">IF(INDEX(Salary_Calculation[Source Row],ROW()-ROW(Payslip_Lookup[#Headers]))="","",INDEX(Salary_Calculation[Rider ID],ROW()-ROW(Payslip_Lookup[#Headers])))</f>
        <v/>
      </c>
      <c r="E92" s="171" t="str">
        <f aca="false">IF(INDEX(Salary_Calculation[Source Row],ROW()-ROW(Payslip_Lookup[#Headers]))="","",INDEX(Salary_Calculation[Rider Name],ROW()-ROW(Payslip_Lookup[#Headers])))</f>
        <v/>
      </c>
      <c r="F92" s="173" t="str">
        <f aca="false">IF(INDEX(Salary_Calculation[Source Row],ROW()-ROW(Payslip_Lookup[#Headers]))="","",INDEX(Salary_Calculation[Working Days],ROW()-ROW(Payslip_Lookup[#Headers])))</f>
        <v/>
      </c>
      <c r="G92" s="173" t="str">
        <f aca="false">IF(INDEX(Salary_Calculation[Source Row],ROW()-ROW(Payslip_Lookup[#Headers]))="","",INDEX(Salary_Calculation[Calendar Days],ROW()-ROW(Payslip_Lookup[#Headers])))</f>
        <v/>
      </c>
      <c r="H92" s="174" t="str">
        <f aca="false">IF(INDEX(Salary_Calculation[Source Row],ROW()-ROW(Payslip_Lookup[#Headers]))="","",INDEX(Salary_Calculation[Monthly Target Orders],ROW()-ROW(Payslip_Lookup[#Headers])))</f>
        <v/>
      </c>
      <c r="I92" s="174" t="str">
        <f aca="false">IF(INDEX(Salary_Calculation[Source Row],ROW()-ROW(Payslip_Lookup[#Headers]))="","",INDEX(Salary_Calculation[Rider Target Orders],ROW()-ROW(Payslip_Lookup[#Headers])))</f>
        <v/>
      </c>
      <c r="J92" s="175" t="str">
        <f aca="false">IF(INDEX(Salary_Calculation[Source Row],ROW()-ROW(Payslip_Lookup[#Headers]))="","",INDEX(Salary_Calculation[Completed Orders],ROW()-ROW(Payslip_Lookup[#Headers])))</f>
        <v/>
      </c>
      <c r="K92" s="174" t="str">
        <f aca="false">IF(INDEX(Salary_Calculation[Source Row],ROW()-ROW(Payslip_Lookup[#Headers]))="","",INDEX(Salary_Calculation[Base Order Rate],ROW()-ROW(Payslip_Lookup[#Headers])))</f>
        <v/>
      </c>
      <c r="L92" s="176" t="str">
        <f aca="false">IF(INDEX(Salary_Calculation[Source Row],ROW()-ROW(Payslip_Lookup[#Headers]))="","",INDEX(Salary_Calculation[Basic Payment],ROW()-ROW(Payslip_Lookup[#Headers])))</f>
        <v/>
      </c>
      <c r="M92" s="176" t="str">
        <f aca="false">IF(INDEX(Salary_Calculation[Source Row],ROW()-ROW(Payslip_Lookup[#Headers]))="","",INDEX(Salary_Calculation[Earned Salary],ROW()-ROW(Payslip_Lookup[#Headers])))</f>
        <v/>
      </c>
      <c r="N92" s="174" t="str">
        <f aca="false">IF(INDEX(Salary_Calculation[Source Row],ROW()-ROW(Payslip_Lookup[#Headers]))="","",INDEX(Salary_Calculation[Orders Counted at Base Rate],ROW()-ROW(Payslip_Lookup[#Headers])))</f>
        <v/>
      </c>
      <c r="O92" s="174" t="str">
        <f aca="false">IF(INDEX(Salary_Calculation[Source Row],ROW()-ROW(Payslip_Lookup[#Headers]))="","",INDEX(Salary_Calculation[Missing Orders],ROW()-ROW(Payslip_Lookup[#Headers])))</f>
        <v/>
      </c>
      <c r="P92" s="176" t="str">
        <f aca="false">IF(INDEX(Salary_Calculation[Source Row],ROW()-ROW(Payslip_Lookup[#Headers]))="","",INDEX(Salary_Calculation[Missing-Order Deduction],ROW()-ROW(Payslip_Lookup[#Headers])))</f>
        <v/>
      </c>
      <c r="Q92" s="174" t="str">
        <f aca="false">IF(INDEX(Salary_Calculation[Source Row],ROW()-ROW(Payslip_Lookup[#Headers]))="","",INDEX(Salary_Calculation[Extra Orders],ROW()-ROW(Payslip_Lookup[#Headers])))</f>
        <v/>
      </c>
      <c r="R92" s="176" t="str">
        <f aca="false">IF(INDEX(Salary_Calculation[Source Row],ROW()-ROW(Payslip_Lookup[#Headers]))="","",INDEX(Salary_Calculation[Extra-Order Bonus],ROW()-ROW(Payslip_Lookup[#Headers])))</f>
        <v/>
      </c>
      <c r="S92" s="176" t="str">
        <f aca="false">IF(INDEX(Salary_Calculation[Source Row],ROW()-ROW(Payslip_Lookup[#Headers]))="","",INDEX(Salary_Calculation[Basic Salary for Target],ROW()-ROW(Payslip_Lookup[#Headers])))</f>
        <v/>
      </c>
      <c r="T92" s="176" t="str">
        <f aca="false">IF(INDEX(Salary_Calculation[Source Row],ROW()-ROW(Payslip_Lookup[#Headers]))="","",INDEX(Salary_Calculation[Gross Salary Before Deductions],ROW()-ROW(Payslip_Lookup[#Headers])))</f>
        <v/>
      </c>
      <c r="U92" s="176" t="str">
        <f aca="false">IF(INDEX(Salary_Calculation[Source Row],ROW()-ROW(Payslip_Lookup[#Headers]))="","",INDEX(Salary_Calculation[missed_days_penalty],ROW()-ROW(Payslip_Lookup[#Headers])))</f>
        <v/>
      </c>
      <c r="V92" s="176" t="str">
        <f aca="false">IF(INDEX(Salary_Calculation[Source Row],ROW()-ROW(Payslip_Lookup[#Headers]))="","",INDEX(Salary_Calculation[Rider Balance],ROW()-ROW(Payslip_Lookup[#Headers])))</f>
        <v/>
      </c>
      <c r="W92" s="176" t="str">
        <f aca="false">IF(INDEX(Salary_Calculation[Source Row],ROW()-ROW(Payslip_Lookup[#Headers]))="","",INDEX(Salary_Calculation[stacking_deduction],ROW()-ROW(Payslip_Lookup[#Headers])))</f>
        <v/>
      </c>
      <c r="X92" s="176" t="str">
        <f aca="false">IF(INDEX(Salary_Calculation[Source Row],ROW()-ROW(Payslip_Lookup[#Headers]))="","",INDEX(Salary_Calculation[Other Deductions],ROW()-ROW(Payslip_Lookup[#Headers])))</f>
        <v/>
      </c>
      <c r="Y92" s="176" t="str">
        <f aca="false">IF(INDEX(Salary_Calculation[Source Row],ROW()-ROW(Payslip_Lookup[#Headers]))="","",INDEX(Salary_Calculation[Total Deductions],ROW()-ROW(Payslip_Lookup[#Headers])))</f>
        <v/>
      </c>
      <c r="Z92" s="176" t="str">
        <f aca="false">IF(INDEX(Salary_Calculation[Source Row],ROW()-ROW(Payslip_Lookup[#Headers]))="","",INDEX(Salary_Calculation[Final Salary],ROW()-ROW(Payslip_Lookup[#Headers])))</f>
        <v/>
      </c>
      <c r="AA92" s="176" t="str">
        <f aca="false">IF(INDEX(Salary_Calculation[Source Row],ROW()-ROW(Payslip_Lookup[#Headers]))="","",INDEX(Salary_Calculation[Negative Balance / Amount Due from Rider],ROW()-ROW(Payslip_Lookup[#Headers])))</f>
        <v/>
      </c>
      <c r="AB92" s="176" t="str">
        <f aca="false">IF(INDEX(Salary_Calculation[Source Row],ROW()-ROW(Payslip_Lookup[#Headers]))="","",INDEX(Salary_Calculation[Total Amount Due from Rider],ROW()-ROW(Payslip_Lookup[#Headers])))</f>
        <v/>
      </c>
      <c r="AC92" s="176" t="str">
        <f aca="false">IF(INDEX(Salary_Calculation[Source Row],ROW()-ROW(Payslip_Lookup[#Headers]))="","",INDEX(Salary_Calculation[Salary Before Other Deductions],ROW()-ROW(Payslip_Lookup[#Headers])))</f>
        <v/>
      </c>
      <c r="AD92" s="171" t="str">
        <f aca="false">IF(INDEX(Salary_Calculation[Source Row],ROW()-ROW(Payslip_Lookup[#Headers]))="","",INDEX(Salary_Calculation[Payment Status],ROW()-ROW(Payslip_Lookup[#Headers])))</f>
        <v/>
      </c>
      <c r="AE92" s="171" t="str">
        <f aca="false">IF(INDEX(Salary_Calculation[Source Row],ROW()-ROW(Payslip_Lookup[#Headers]))="","",INDEX(Salary_Calculation[Notes],ROW()-ROW(Payslip_Lookup[#Headers])))</f>
        <v/>
      </c>
      <c r="AF92" s="171" t="str">
        <f aca="false">IF(INDEX(Salary_Calculation[Source Row],ROW()-ROW(Payslip_Lookup[#Headers]))="","",INDEX(Salary_Calculation[Exception Reason],ROW()-ROW(Payslip_Lookup[#Headers])))</f>
        <v/>
      </c>
      <c r="AG92" s="173" t="str">
        <f aca="false">IF($AD92="Review Required",COUNTIF(AD$2:AD92,"Review Required"),"")</f>
        <v/>
      </c>
      <c r="AH92" s="173" t="str">
        <f aca="false">IF(AND($D92&lt;&gt;"",$B92=Payslip_Print!$C$2),MAX(AH$1:AH91)+1,"")</f>
        <v/>
      </c>
      <c r="AL92" s="178" t="str">
        <f aca="false">IFERROR(INDEX($D$2:$D$501,MATCH(ROW()-1,$AH$2:$AH$501,0)),"")</f>
        <v/>
      </c>
      <c r="AM92" s="179" t="str">
        <f aca="false">IF($Z92="","",IF(AND($C92&gt;=Dash_Start,$C92&lt;Dash_End),$Z92+ROW()/10000000,""))</f>
        <v/>
      </c>
    </row>
    <row r="93" customFormat="false" ht="14.25" hidden="false" customHeight="false" outlineLevel="0" collapsed="false">
      <c r="A93" s="171" t="str">
        <f aca="false">IF(Payslip_Lookup[[#This Row],[Rider ID]]="","",Payslip_Lookup[[#This Row],[Rider ID]]&amp;"|"&amp;Payslip_Lookup[[#This Row],[Month Key]])</f>
        <v/>
      </c>
      <c r="B93" s="172" t="str">
        <f aca="false">IF(ISNUMBER(Payslip_Lookup[[#This Row],[Salary Month]]),DATE(YEAR(Payslip_Lookup[[#This Row],[Salary Month]]),MONTH(Payslip_Lookup[[#This Row],[Salary Month]]),1),"")</f>
        <v/>
      </c>
      <c r="C93" s="172" t="str">
        <f aca="false">IF(INDEX(Salary_Calculation[Source Row],ROW()-ROW(Payslip_Lookup[#Headers]))="","",INDEX(Salary_Calculation[Salary Month],ROW()-ROW(Payslip_Lookup[#Headers])))</f>
        <v/>
      </c>
      <c r="D93" s="173" t="str">
        <f aca="false">IF(INDEX(Salary_Calculation[Source Row],ROW()-ROW(Payslip_Lookup[#Headers]))="","",INDEX(Salary_Calculation[Rider ID],ROW()-ROW(Payslip_Lookup[#Headers])))</f>
        <v/>
      </c>
      <c r="E93" s="171" t="str">
        <f aca="false">IF(INDEX(Salary_Calculation[Source Row],ROW()-ROW(Payslip_Lookup[#Headers]))="","",INDEX(Salary_Calculation[Rider Name],ROW()-ROW(Payslip_Lookup[#Headers])))</f>
        <v/>
      </c>
      <c r="F93" s="173" t="str">
        <f aca="false">IF(INDEX(Salary_Calculation[Source Row],ROW()-ROW(Payslip_Lookup[#Headers]))="","",INDEX(Salary_Calculation[Working Days],ROW()-ROW(Payslip_Lookup[#Headers])))</f>
        <v/>
      </c>
      <c r="G93" s="173" t="str">
        <f aca="false">IF(INDEX(Salary_Calculation[Source Row],ROW()-ROW(Payslip_Lookup[#Headers]))="","",INDEX(Salary_Calculation[Calendar Days],ROW()-ROW(Payslip_Lookup[#Headers])))</f>
        <v/>
      </c>
      <c r="H93" s="174" t="str">
        <f aca="false">IF(INDEX(Salary_Calculation[Source Row],ROW()-ROW(Payslip_Lookup[#Headers]))="","",INDEX(Salary_Calculation[Monthly Target Orders],ROW()-ROW(Payslip_Lookup[#Headers])))</f>
        <v/>
      </c>
      <c r="I93" s="174" t="str">
        <f aca="false">IF(INDEX(Salary_Calculation[Source Row],ROW()-ROW(Payslip_Lookup[#Headers]))="","",INDEX(Salary_Calculation[Rider Target Orders],ROW()-ROW(Payslip_Lookup[#Headers])))</f>
        <v/>
      </c>
      <c r="J93" s="175" t="str">
        <f aca="false">IF(INDEX(Salary_Calculation[Source Row],ROW()-ROW(Payslip_Lookup[#Headers]))="","",INDEX(Salary_Calculation[Completed Orders],ROW()-ROW(Payslip_Lookup[#Headers])))</f>
        <v/>
      </c>
      <c r="K93" s="174" t="str">
        <f aca="false">IF(INDEX(Salary_Calculation[Source Row],ROW()-ROW(Payslip_Lookup[#Headers]))="","",INDEX(Salary_Calculation[Base Order Rate],ROW()-ROW(Payslip_Lookup[#Headers])))</f>
        <v/>
      </c>
      <c r="L93" s="176" t="str">
        <f aca="false">IF(INDEX(Salary_Calculation[Source Row],ROW()-ROW(Payslip_Lookup[#Headers]))="","",INDEX(Salary_Calculation[Basic Payment],ROW()-ROW(Payslip_Lookup[#Headers])))</f>
        <v/>
      </c>
      <c r="M93" s="176" t="str">
        <f aca="false">IF(INDEX(Salary_Calculation[Source Row],ROW()-ROW(Payslip_Lookup[#Headers]))="","",INDEX(Salary_Calculation[Earned Salary],ROW()-ROW(Payslip_Lookup[#Headers])))</f>
        <v/>
      </c>
      <c r="N93" s="174" t="str">
        <f aca="false">IF(INDEX(Salary_Calculation[Source Row],ROW()-ROW(Payslip_Lookup[#Headers]))="","",INDEX(Salary_Calculation[Orders Counted at Base Rate],ROW()-ROW(Payslip_Lookup[#Headers])))</f>
        <v/>
      </c>
      <c r="O93" s="174" t="str">
        <f aca="false">IF(INDEX(Salary_Calculation[Source Row],ROW()-ROW(Payslip_Lookup[#Headers]))="","",INDEX(Salary_Calculation[Missing Orders],ROW()-ROW(Payslip_Lookup[#Headers])))</f>
        <v/>
      </c>
      <c r="P93" s="176" t="str">
        <f aca="false">IF(INDEX(Salary_Calculation[Source Row],ROW()-ROW(Payslip_Lookup[#Headers]))="","",INDEX(Salary_Calculation[Missing-Order Deduction],ROW()-ROW(Payslip_Lookup[#Headers])))</f>
        <v/>
      </c>
      <c r="Q93" s="174" t="str">
        <f aca="false">IF(INDEX(Salary_Calculation[Source Row],ROW()-ROW(Payslip_Lookup[#Headers]))="","",INDEX(Salary_Calculation[Extra Orders],ROW()-ROW(Payslip_Lookup[#Headers])))</f>
        <v/>
      </c>
      <c r="R93" s="176" t="str">
        <f aca="false">IF(INDEX(Salary_Calculation[Source Row],ROW()-ROW(Payslip_Lookup[#Headers]))="","",INDEX(Salary_Calculation[Extra-Order Bonus],ROW()-ROW(Payslip_Lookup[#Headers])))</f>
        <v/>
      </c>
      <c r="S93" s="176" t="str">
        <f aca="false">IF(INDEX(Salary_Calculation[Source Row],ROW()-ROW(Payslip_Lookup[#Headers]))="","",INDEX(Salary_Calculation[Basic Salary for Target],ROW()-ROW(Payslip_Lookup[#Headers])))</f>
        <v/>
      </c>
      <c r="T93" s="176" t="str">
        <f aca="false">IF(INDEX(Salary_Calculation[Source Row],ROW()-ROW(Payslip_Lookup[#Headers]))="","",INDEX(Salary_Calculation[Gross Salary Before Deductions],ROW()-ROW(Payslip_Lookup[#Headers])))</f>
        <v/>
      </c>
      <c r="U93" s="176" t="str">
        <f aca="false">IF(INDEX(Salary_Calculation[Source Row],ROW()-ROW(Payslip_Lookup[#Headers]))="","",INDEX(Salary_Calculation[missed_days_penalty],ROW()-ROW(Payslip_Lookup[#Headers])))</f>
        <v/>
      </c>
      <c r="V93" s="176" t="str">
        <f aca="false">IF(INDEX(Salary_Calculation[Source Row],ROW()-ROW(Payslip_Lookup[#Headers]))="","",INDEX(Salary_Calculation[Rider Balance],ROW()-ROW(Payslip_Lookup[#Headers])))</f>
        <v/>
      </c>
      <c r="W93" s="176" t="str">
        <f aca="false">IF(INDEX(Salary_Calculation[Source Row],ROW()-ROW(Payslip_Lookup[#Headers]))="","",INDEX(Salary_Calculation[stacking_deduction],ROW()-ROW(Payslip_Lookup[#Headers])))</f>
        <v/>
      </c>
      <c r="X93" s="176" t="str">
        <f aca="false">IF(INDEX(Salary_Calculation[Source Row],ROW()-ROW(Payslip_Lookup[#Headers]))="","",INDEX(Salary_Calculation[Other Deductions],ROW()-ROW(Payslip_Lookup[#Headers])))</f>
        <v/>
      </c>
      <c r="Y93" s="176" t="str">
        <f aca="false">IF(INDEX(Salary_Calculation[Source Row],ROW()-ROW(Payslip_Lookup[#Headers]))="","",INDEX(Salary_Calculation[Total Deductions],ROW()-ROW(Payslip_Lookup[#Headers])))</f>
        <v/>
      </c>
      <c r="Z93" s="176" t="str">
        <f aca="false">IF(INDEX(Salary_Calculation[Source Row],ROW()-ROW(Payslip_Lookup[#Headers]))="","",INDEX(Salary_Calculation[Final Salary],ROW()-ROW(Payslip_Lookup[#Headers])))</f>
        <v/>
      </c>
      <c r="AA93" s="176" t="str">
        <f aca="false">IF(INDEX(Salary_Calculation[Source Row],ROW()-ROW(Payslip_Lookup[#Headers]))="","",INDEX(Salary_Calculation[Negative Balance / Amount Due from Rider],ROW()-ROW(Payslip_Lookup[#Headers])))</f>
        <v/>
      </c>
      <c r="AB93" s="176" t="str">
        <f aca="false">IF(INDEX(Salary_Calculation[Source Row],ROW()-ROW(Payslip_Lookup[#Headers]))="","",INDEX(Salary_Calculation[Total Amount Due from Rider],ROW()-ROW(Payslip_Lookup[#Headers])))</f>
        <v/>
      </c>
      <c r="AC93" s="176" t="str">
        <f aca="false">IF(INDEX(Salary_Calculation[Source Row],ROW()-ROW(Payslip_Lookup[#Headers]))="","",INDEX(Salary_Calculation[Salary Before Other Deductions],ROW()-ROW(Payslip_Lookup[#Headers])))</f>
        <v/>
      </c>
      <c r="AD93" s="171" t="str">
        <f aca="false">IF(INDEX(Salary_Calculation[Source Row],ROW()-ROW(Payslip_Lookup[#Headers]))="","",INDEX(Salary_Calculation[Payment Status],ROW()-ROW(Payslip_Lookup[#Headers])))</f>
        <v/>
      </c>
      <c r="AE93" s="171" t="str">
        <f aca="false">IF(INDEX(Salary_Calculation[Source Row],ROW()-ROW(Payslip_Lookup[#Headers]))="","",INDEX(Salary_Calculation[Notes],ROW()-ROW(Payslip_Lookup[#Headers])))</f>
        <v/>
      </c>
      <c r="AF93" s="171" t="str">
        <f aca="false">IF(INDEX(Salary_Calculation[Source Row],ROW()-ROW(Payslip_Lookup[#Headers]))="","",INDEX(Salary_Calculation[Exception Reason],ROW()-ROW(Payslip_Lookup[#Headers])))</f>
        <v/>
      </c>
      <c r="AG93" s="173" t="str">
        <f aca="false">IF($AD93="Review Required",COUNTIF(AD$2:AD93,"Review Required"),"")</f>
        <v/>
      </c>
      <c r="AH93" s="173" t="str">
        <f aca="false">IF(AND($D93&lt;&gt;"",$B93=Payslip_Print!$C$2),MAX(AH$1:AH92)+1,"")</f>
        <v/>
      </c>
      <c r="AL93" s="178" t="str">
        <f aca="false">IFERROR(INDEX($D$2:$D$501,MATCH(ROW()-1,$AH$2:$AH$501,0)),"")</f>
        <v/>
      </c>
      <c r="AM93" s="179" t="str">
        <f aca="false">IF($Z93="","",IF(AND($C93&gt;=Dash_Start,$C93&lt;Dash_End),$Z93+ROW()/10000000,""))</f>
        <v/>
      </c>
    </row>
    <row r="94" customFormat="false" ht="14.25" hidden="false" customHeight="false" outlineLevel="0" collapsed="false">
      <c r="A94" s="171" t="str">
        <f aca="false">IF(Payslip_Lookup[[#This Row],[Rider ID]]="","",Payslip_Lookup[[#This Row],[Rider ID]]&amp;"|"&amp;Payslip_Lookup[[#This Row],[Month Key]])</f>
        <v/>
      </c>
      <c r="B94" s="172" t="str">
        <f aca="false">IF(ISNUMBER(Payslip_Lookup[[#This Row],[Salary Month]]),DATE(YEAR(Payslip_Lookup[[#This Row],[Salary Month]]),MONTH(Payslip_Lookup[[#This Row],[Salary Month]]),1),"")</f>
        <v/>
      </c>
      <c r="C94" s="172" t="str">
        <f aca="false">IF(INDEX(Salary_Calculation[Source Row],ROW()-ROW(Payslip_Lookup[#Headers]))="","",INDEX(Salary_Calculation[Salary Month],ROW()-ROW(Payslip_Lookup[#Headers])))</f>
        <v/>
      </c>
      <c r="D94" s="173" t="str">
        <f aca="false">IF(INDEX(Salary_Calculation[Source Row],ROW()-ROW(Payslip_Lookup[#Headers]))="","",INDEX(Salary_Calculation[Rider ID],ROW()-ROW(Payslip_Lookup[#Headers])))</f>
        <v/>
      </c>
      <c r="E94" s="171" t="str">
        <f aca="false">IF(INDEX(Salary_Calculation[Source Row],ROW()-ROW(Payslip_Lookup[#Headers]))="","",INDEX(Salary_Calculation[Rider Name],ROW()-ROW(Payslip_Lookup[#Headers])))</f>
        <v/>
      </c>
      <c r="F94" s="173" t="str">
        <f aca="false">IF(INDEX(Salary_Calculation[Source Row],ROW()-ROW(Payslip_Lookup[#Headers]))="","",INDEX(Salary_Calculation[Working Days],ROW()-ROW(Payslip_Lookup[#Headers])))</f>
        <v/>
      </c>
      <c r="G94" s="173" t="str">
        <f aca="false">IF(INDEX(Salary_Calculation[Source Row],ROW()-ROW(Payslip_Lookup[#Headers]))="","",INDEX(Salary_Calculation[Calendar Days],ROW()-ROW(Payslip_Lookup[#Headers])))</f>
        <v/>
      </c>
      <c r="H94" s="174" t="str">
        <f aca="false">IF(INDEX(Salary_Calculation[Source Row],ROW()-ROW(Payslip_Lookup[#Headers]))="","",INDEX(Salary_Calculation[Monthly Target Orders],ROW()-ROW(Payslip_Lookup[#Headers])))</f>
        <v/>
      </c>
      <c r="I94" s="174" t="str">
        <f aca="false">IF(INDEX(Salary_Calculation[Source Row],ROW()-ROW(Payslip_Lookup[#Headers]))="","",INDEX(Salary_Calculation[Rider Target Orders],ROW()-ROW(Payslip_Lookup[#Headers])))</f>
        <v/>
      </c>
      <c r="J94" s="175" t="str">
        <f aca="false">IF(INDEX(Salary_Calculation[Source Row],ROW()-ROW(Payslip_Lookup[#Headers]))="","",INDEX(Salary_Calculation[Completed Orders],ROW()-ROW(Payslip_Lookup[#Headers])))</f>
        <v/>
      </c>
      <c r="K94" s="174" t="str">
        <f aca="false">IF(INDEX(Salary_Calculation[Source Row],ROW()-ROW(Payslip_Lookup[#Headers]))="","",INDEX(Salary_Calculation[Base Order Rate],ROW()-ROW(Payslip_Lookup[#Headers])))</f>
        <v/>
      </c>
      <c r="L94" s="176" t="str">
        <f aca="false">IF(INDEX(Salary_Calculation[Source Row],ROW()-ROW(Payslip_Lookup[#Headers]))="","",INDEX(Salary_Calculation[Basic Payment],ROW()-ROW(Payslip_Lookup[#Headers])))</f>
        <v/>
      </c>
      <c r="M94" s="176" t="str">
        <f aca="false">IF(INDEX(Salary_Calculation[Source Row],ROW()-ROW(Payslip_Lookup[#Headers]))="","",INDEX(Salary_Calculation[Earned Salary],ROW()-ROW(Payslip_Lookup[#Headers])))</f>
        <v/>
      </c>
      <c r="N94" s="174" t="str">
        <f aca="false">IF(INDEX(Salary_Calculation[Source Row],ROW()-ROW(Payslip_Lookup[#Headers]))="","",INDEX(Salary_Calculation[Orders Counted at Base Rate],ROW()-ROW(Payslip_Lookup[#Headers])))</f>
        <v/>
      </c>
      <c r="O94" s="174" t="str">
        <f aca="false">IF(INDEX(Salary_Calculation[Source Row],ROW()-ROW(Payslip_Lookup[#Headers]))="","",INDEX(Salary_Calculation[Missing Orders],ROW()-ROW(Payslip_Lookup[#Headers])))</f>
        <v/>
      </c>
      <c r="P94" s="176" t="str">
        <f aca="false">IF(INDEX(Salary_Calculation[Source Row],ROW()-ROW(Payslip_Lookup[#Headers]))="","",INDEX(Salary_Calculation[Missing-Order Deduction],ROW()-ROW(Payslip_Lookup[#Headers])))</f>
        <v/>
      </c>
      <c r="Q94" s="174" t="str">
        <f aca="false">IF(INDEX(Salary_Calculation[Source Row],ROW()-ROW(Payslip_Lookup[#Headers]))="","",INDEX(Salary_Calculation[Extra Orders],ROW()-ROW(Payslip_Lookup[#Headers])))</f>
        <v/>
      </c>
      <c r="R94" s="176" t="str">
        <f aca="false">IF(INDEX(Salary_Calculation[Source Row],ROW()-ROW(Payslip_Lookup[#Headers]))="","",INDEX(Salary_Calculation[Extra-Order Bonus],ROW()-ROW(Payslip_Lookup[#Headers])))</f>
        <v/>
      </c>
      <c r="S94" s="176" t="str">
        <f aca="false">IF(INDEX(Salary_Calculation[Source Row],ROW()-ROW(Payslip_Lookup[#Headers]))="","",INDEX(Salary_Calculation[Basic Salary for Target],ROW()-ROW(Payslip_Lookup[#Headers])))</f>
        <v/>
      </c>
      <c r="T94" s="176" t="str">
        <f aca="false">IF(INDEX(Salary_Calculation[Source Row],ROW()-ROW(Payslip_Lookup[#Headers]))="","",INDEX(Salary_Calculation[Gross Salary Before Deductions],ROW()-ROW(Payslip_Lookup[#Headers])))</f>
        <v/>
      </c>
      <c r="U94" s="176" t="str">
        <f aca="false">IF(INDEX(Salary_Calculation[Source Row],ROW()-ROW(Payslip_Lookup[#Headers]))="","",INDEX(Salary_Calculation[missed_days_penalty],ROW()-ROW(Payslip_Lookup[#Headers])))</f>
        <v/>
      </c>
      <c r="V94" s="176" t="str">
        <f aca="false">IF(INDEX(Salary_Calculation[Source Row],ROW()-ROW(Payslip_Lookup[#Headers]))="","",INDEX(Salary_Calculation[Rider Balance],ROW()-ROW(Payslip_Lookup[#Headers])))</f>
        <v/>
      </c>
      <c r="W94" s="176" t="str">
        <f aca="false">IF(INDEX(Salary_Calculation[Source Row],ROW()-ROW(Payslip_Lookup[#Headers]))="","",INDEX(Salary_Calculation[stacking_deduction],ROW()-ROW(Payslip_Lookup[#Headers])))</f>
        <v/>
      </c>
      <c r="X94" s="176" t="str">
        <f aca="false">IF(INDEX(Salary_Calculation[Source Row],ROW()-ROW(Payslip_Lookup[#Headers]))="","",INDEX(Salary_Calculation[Other Deductions],ROW()-ROW(Payslip_Lookup[#Headers])))</f>
        <v/>
      </c>
      <c r="Y94" s="176" t="str">
        <f aca="false">IF(INDEX(Salary_Calculation[Source Row],ROW()-ROW(Payslip_Lookup[#Headers]))="","",INDEX(Salary_Calculation[Total Deductions],ROW()-ROW(Payslip_Lookup[#Headers])))</f>
        <v/>
      </c>
      <c r="Z94" s="176" t="str">
        <f aca="false">IF(INDEX(Salary_Calculation[Source Row],ROW()-ROW(Payslip_Lookup[#Headers]))="","",INDEX(Salary_Calculation[Final Salary],ROW()-ROW(Payslip_Lookup[#Headers])))</f>
        <v/>
      </c>
      <c r="AA94" s="176" t="str">
        <f aca="false">IF(INDEX(Salary_Calculation[Source Row],ROW()-ROW(Payslip_Lookup[#Headers]))="","",INDEX(Salary_Calculation[Negative Balance / Amount Due from Rider],ROW()-ROW(Payslip_Lookup[#Headers])))</f>
        <v/>
      </c>
      <c r="AB94" s="176" t="str">
        <f aca="false">IF(INDEX(Salary_Calculation[Source Row],ROW()-ROW(Payslip_Lookup[#Headers]))="","",INDEX(Salary_Calculation[Total Amount Due from Rider],ROW()-ROW(Payslip_Lookup[#Headers])))</f>
        <v/>
      </c>
      <c r="AC94" s="176" t="str">
        <f aca="false">IF(INDEX(Salary_Calculation[Source Row],ROW()-ROW(Payslip_Lookup[#Headers]))="","",INDEX(Salary_Calculation[Salary Before Other Deductions],ROW()-ROW(Payslip_Lookup[#Headers])))</f>
        <v/>
      </c>
      <c r="AD94" s="171" t="str">
        <f aca="false">IF(INDEX(Salary_Calculation[Source Row],ROW()-ROW(Payslip_Lookup[#Headers]))="","",INDEX(Salary_Calculation[Payment Status],ROW()-ROW(Payslip_Lookup[#Headers])))</f>
        <v/>
      </c>
      <c r="AE94" s="171" t="str">
        <f aca="false">IF(INDEX(Salary_Calculation[Source Row],ROW()-ROW(Payslip_Lookup[#Headers]))="","",INDEX(Salary_Calculation[Notes],ROW()-ROW(Payslip_Lookup[#Headers])))</f>
        <v/>
      </c>
      <c r="AF94" s="171" t="str">
        <f aca="false">IF(INDEX(Salary_Calculation[Source Row],ROW()-ROW(Payslip_Lookup[#Headers]))="","",INDEX(Salary_Calculation[Exception Reason],ROW()-ROW(Payslip_Lookup[#Headers])))</f>
        <v/>
      </c>
      <c r="AG94" s="173" t="str">
        <f aca="false">IF($AD94="Review Required",COUNTIF(AD$2:AD94,"Review Required"),"")</f>
        <v/>
      </c>
      <c r="AH94" s="173" t="str">
        <f aca="false">IF(AND($D94&lt;&gt;"",$B94=Payslip_Print!$C$2),MAX(AH$1:AH93)+1,"")</f>
        <v/>
      </c>
      <c r="AL94" s="178" t="str">
        <f aca="false">IFERROR(INDEX($D$2:$D$501,MATCH(ROW()-1,$AH$2:$AH$501,0)),"")</f>
        <v/>
      </c>
      <c r="AM94" s="179" t="str">
        <f aca="false">IF($Z94="","",IF(AND($C94&gt;=Dash_Start,$C94&lt;Dash_End),$Z94+ROW()/10000000,""))</f>
        <v/>
      </c>
    </row>
    <row r="95" customFormat="false" ht="14.25" hidden="false" customHeight="false" outlineLevel="0" collapsed="false">
      <c r="A95" s="171" t="str">
        <f aca="false">IF(Payslip_Lookup[[#This Row],[Rider ID]]="","",Payslip_Lookup[[#This Row],[Rider ID]]&amp;"|"&amp;Payslip_Lookup[[#This Row],[Month Key]])</f>
        <v/>
      </c>
      <c r="B95" s="172" t="str">
        <f aca="false">IF(ISNUMBER(Payslip_Lookup[[#This Row],[Salary Month]]),DATE(YEAR(Payslip_Lookup[[#This Row],[Salary Month]]),MONTH(Payslip_Lookup[[#This Row],[Salary Month]]),1),"")</f>
        <v/>
      </c>
      <c r="C95" s="172" t="str">
        <f aca="false">IF(INDEX(Salary_Calculation[Source Row],ROW()-ROW(Payslip_Lookup[#Headers]))="","",INDEX(Salary_Calculation[Salary Month],ROW()-ROW(Payslip_Lookup[#Headers])))</f>
        <v/>
      </c>
      <c r="D95" s="173" t="str">
        <f aca="false">IF(INDEX(Salary_Calculation[Source Row],ROW()-ROW(Payslip_Lookup[#Headers]))="","",INDEX(Salary_Calculation[Rider ID],ROW()-ROW(Payslip_Lookup[#Headers])))</f>
        <v/>
      </c>
      <c r="E95" s="171" t="str">
        <f aca="false">IF(INDEX(Salary_Calculation[Source Row],ROW()-ROW(Payslip_Lookup[#Headers]))="","",INDEX(Salary_Calculation[Rider Name],ROW()-ROW(Payslip_Lookup[#Headers])))</f>
        <v/>
      </c>
      <c r="F95" s="173" t="str">
        <f aca="false">IF(INDEX(Salary_Calculation[Source Row],ROW()-ROW(Payslip_Lookup[#Headers]))="","",INDEX(Salary_Calculation[Working Days],ROW()-ROW(Payslip_Lookup[#Headers])))</f>
        <v/>
      </c>
      <c r="G95" s="173" t="str">
        <f aca="false">IF(INDEX(Salary_Calculation[Source Row],ROW()-ROW(Payslip_Lookup[#Headers]))="","",INDEX(Salary_Calculation[Calendar Days],ROW()-ROW(Payslip_Lookup[#Headers])))</f>
        <v/>
      </c>
      <c r="H95" s="174" t="str">
        <f aca="false">IF(INDEX(Salary_Calculation[Source Row],ROW()-ROW(Payslip_Lookup[#Headers]))="","",INDEX(Salary_Calculation[Monthly Target Orders],ROW()-ROW(Payslip_Lookup[#Headers])))</f>
        <v/>
      </c>
      <c r="I95" s="174" t="str">
        <f aca="false">IF(INDEX(Salary_Calculation[Source Row],ROW()-ROW(Payslip_Lookup[#Headers]))="","",INDEX(Salary_Calculation[Rider Target Orders],ROW()-ROW(Payslip_Lookup[#Headers])))</f>
        <v/>
      </c>
      <c r="J95" s="175" t="str">
        <f aca="false">IF(INDEX(Salary_Calculation[Source Row],ROW()-ROW(Payslip_Lookup[#Headers]))="","",INDEX(Salary_Calculation[Completed Orders],ROW()-ROW(Payslip_Lookup[#Headers])))</f>
        <v/>
      </c>
      <c r="K95" s="174" t="str">
        <f aca="false">IF(INDEX(Salary_Calculation[Source Row],ROW()-ROW(Payslip_Lookup[#Headers]))="","",INDEX(Salary_Calculation[Base Order Rate],ROW()-ROW(Payslip_Lookup[#Headers])))</f>
        <v/>
      </c>
      <c r="L95" s="176" t="str">
        <f aca="false">IF(INDEX(Salary_Calculation[Source Row],ROW()-ROW(Payslip_Lookup[#Headers]))="","",INDEX(Salary_Calculation[Basic Payment],ROW()-ROW(Payslip_Lookup[#Headers])))</f>
        <v/>
      </c>
      <c r="M95" s="176" t="str">
        <f aca="false">IF(INDEX(Salary_Calculation[Source Row],ROW()-ROW(Payslip_Lookup[#Headers]))="","",INDEX(Salary_Calculation[Earned Salary],ROW()-ROW(Payslip_Lookup[#Headers])))</f>
        <v/>
      </c>
      <c r="N95" s="174" t="str">
        <f aca="false">IF(INDEX(Salary_Calculation[Source Row],ROW()-ROW(Payslip_Lookup[#Headers]))="","",INDEX(Salary_Calculation[Orders Counted at Base Rate],ROW()-ROW(Payslip_Lookup[#Headers])))</f>
        <v/>
      </c>
      <c r="O95" s="174" t="str">
        <f aca="false">IF(INDEX(Salary_Calculation[Source Row],ROW()-ROW(Payslip_Lookup[#Headers]))="","",INDEX(Salary_Calculation[Missing Orders],ROW()-ROW(Payslip_Lookup[#Headers])))</f>
        <v/>
      </c>
      <c r="P95" s="176" t="str">
        <f aca="false">IF(INDEX(Salary_Calculation[Source Row],ROW()-ROW(Payslip_Lookup[#Headers]))="","",INDEX(Salary_Calculation[Missing-Order Deduction],ROW()-ROW(Payslip_Lookup[#Headers])))</f>
        <v/>
      </c>
      <c r="Q95" s="174" t="str">
        <f aca="false">IF(INDEX(Salary_Calculation[Source Row],ROW()-ROW(Payslip_Lookup[#Headers]))="","",INDEX(Salary_Calculation[Extra Orders],ROW()-ROW(Payslip_Lookup[#Headers])))</f>
        <v/>
      </c>
      <c r="R95" s="176" t="str">
        <f aca="false">IF(INDEX(Salary_Calculation[Source Row],ROW()-ROW(Payslip_Lookup[#Headers]))="","",INDEX(Salary_Calculation[Extra-Order Bonus],ROW()-ROW(Payslip_Lookup[#Headers])))</f>
        <v/>
      </c>
      <c r="S95" s="176" t="str">
        <f aca="false">IF(INDEX(Salary_Calculation[Source Row],ROW()-ROW(Payslip_Lookup[#Headers]))="","",INDEX(Salary_Calculation[Basic Salary for Target],ROW()-ROW(Payslip_Lookup[#Headers])))</f>
        <v/>
      </c>
      <c r="T95" s="176" t="str">
        <f aca="false">IF(INDEX(Salary_Calculation[Source Row],ROW()-ROW(Payslip_Lookup[#Headers]))="","",INDEX(Salary_Calculation[Gross Salary Before Deductions],ROW()-ROW(Payslip_Lookup[#Headers])))</f>
        <v/>
      </c>
      <c r="U95" s="176" t="str">
        <f aca="false">IF(INDEX(Salary_Calculation[Source Row],ROW()-ROW(Payslip_Lookup[#Headers]))="","",INDEX(Salary_Calculation[missed_days_penalty],ROW()-ROW(Payslip_Lookup[#Headers])))</f>
        <v/>
      </c>
      <c r="V95" s="176" t="str">
        <f aca="false">IF(INDEX(Salary_Calculation[Source Row],ROW()-ROW(Payslip_Lookup[#Headers]))="","",INDEX(Salary_Calculation[Rider Balance],ROW()-ROW(Payslip_Lookup[#Headers])))</f>
        <v/>
      </c>
      <c r="W95" s="176" t="str">
        <f aca="false">IF(INDEX(Salary_Calculation[Source Row],ROW()-ROW(Payslip_Lookup[#Headers]))="","",INDEX(Salary_Calculation[stacking_deduction],ROW()-ROW(Payslip_Lookup[#Headers])))</f>
        <v/>
      </c>
      <c r="X95" s="176" t="str">
        <f aca="false">IF(INDEX(Salary_Calculation[Source Row],ROW()-ROW(Payslip_Lookup[#Headers]))="","",INDEX(Salary_Calculation[Other Deductions],ROW()-ROW(Payslip_Lookup[#Headers])))</f>
        <v/>
      </c>
      <c r="Y95" s="176" t="str">
        <f aca="false">IF(INDEX(Salary_Calculation[Source Row],ROW()-ROW(Payslip_Lookup[#Headers]))="","",INDEX(Salary_Calculation[Total Deductions],ROW()-ROW(Payslip_Lookup[#Headers])))</f>
        <v/>
      </c>
      <c r="Z95" s="176" t="str">
        <f aca="false">IF(INDEX(Salary_Calculation[Source Row],ROW()-ROW(Payslip_Lookup[#Headers]))="","",INDEX(Salary_Calculation[Final Salary],ROW()-ROW(Payslip_Lookup[#Headers])))</f>
        <v/>
      </c>
      <c r="AA95" s="176" t="str">
        <f aca="false">IF(INDEX(Salary_Calculation[Source Row],ROW()-ROW(Payslip_Lookup[#Headers]))="","",INDEX(Salary_Calculation[Negative Balance / Amount Due from Rider],ROW()-ROW(Payslip_Lookup[#Headers])))</f>
        <v/>
      </c>
      <c r="AB95" s="176" t="str">
        <f aca="false">IF(INDEX(Salary_Calculation[Source Row],ROW()-ROW(Payslip_Lookup[#Headers]))="","",INDEX(Salary_Calculation[Total Amount Due from Rider],ROW()-ROW(Payslip_Lookup[#Headers])))</f>
        <v/>
      </c>
      <c r="AC95" s="176" t="str">
        <f aca="false">IF(INDEX(Salary_Calculation[Source Row],ROW()-ROW(Payslip_Lookup[#Headers]))="","",INDEX(Salary_Calculation[Salary Before Other Deductions],ROW()-ROW(Payslip_Lookup[#Headers])))</f>
        <v/>
      </c>
      <c r="AD95" s="171" t="str">
        <f aca="false">IF(INDEX(Salary_Calculation[Source Row],ROW()-ROW(Payslip_Lookup[#Headers]))="","",INDEX(Salary_Calculation[Payment Status],ROW()-ROW(Payslip_Lookup[#Headers])))</f>
        <v/>
      </c>
      <c r="AE95" s="171" t="str">
        <f aca="false">IF(INDEX(Salary_Calculation[Source Row],ROW()-ROW(Payslip_Lookup[#Headers]))="","",INDEX(Salary_Calculation[Notes],ROW()-ROW(Payslip_Lookup[#Headers])))</f>
        <v/>
      </c>
      <c r="AF95" s="171" t="str">
        <f aca="false">IF(INDEX(Salary_Calculation[Source Row],ROW()-ROW(Payslip_Lookup[#Headers]))="","",INDEX(Salary_Calculation[Exception Reason],ROW()-ROW(Payslip_Lookup[#Headers])))</f>
        <v/>
      </c>
      <c r="AG95" s="173" t="str">
        <f aca="false">IF($AD95="Review Required",COUNTIF(AD$2:AD95,"Review Required"),"")</f>
        <v/>
      </c>
      <c r="AH95" s="173" t="str">
        <f aca="false">IF(AND($D95&lt;&gt;"",$B95=Payslip_Print!$C$2),MAX(AH$1:AH94)+1,"")</f>
        <v/>
      </c>
      <c r="AL95" s="178" t="str">
        <f aca="false">IFERROR(INDEX($D$2:$D$501,MATCH(ROW()-1,$AH$2:$AH$501,0)),"")</f>
        <v/>
      </c>
      <c r="AM95" s="179" t="str">
        <f aca="false">IF($Z95="","",IF(AND($C95&gt;=Dash_Start,$C95&lt;Dash_End),$Z95+ROW()/10000000,""))</f>
        <v/>
      </c>
    </row>
    <row r="96" customFormat="false" ht="14.25" hidden="false" customHeight="false" outlineLevel="0" collapsed="false">
      <c r="A96" s="171" t="str">
        <f aca="false">IF(Payslip_Lookup[[#This Row],[Rider ID]]="","",Payslip_Lookup[[#This Row],[Rider ID]]&amp;"|"&amp;Payslip_Lookup[[#This Row],[Month Key]])</f>
        <v/>
      </c>
      <c r="B96" s="172" t="str">
        <f aca="false">IF(ISNUMBER(Payslip_Lookup[[#This Row],[Salary Month]]),DATE(YEAR(Payslip_Lookup[[#This Row],[Salary Month]]),MONTH(Payslip_Lookup[[#This Row],[Salary Month]]),1),"")</f>
        <v/>
      </c>
      <c r="C96" s="172" t="str">
        <f aca="false">IF(INDEX(Salary_Calculation[Source Row],ROW()-ROW(Payslip_Lookup[#Headers]))="","",INDEX(Salary_Calculation[Salary Month],ROW()-ROW(Payslip_Lookup[#Headers])))</f>
        <v/>
      </c>
      <c r="D96" s="173" t="str">
        <f aca="false">IF(INDEX(Salary_Calculation[Source Row],ROW()-ROW(Payslip_Lookup[#Headers]))="","",INDEX(Salary_Calculation[Rider ID],ROW()-ROW(Payslip_Lookup[#Headers])))</f>
        <v/>
      </c>
      <c r="E96" s="171" t="str">
        <f aca="false">IF(INDEX(Salary_Calculation[Source Row],ROW()-ROW(Payslip_Lookup[#Headers]))="","",INDEX(Salary_Calculation[Rider Name],ROW()-ROW(Payslip_Lookup[#Headers])))</f>
        <v/>
      </c>
      <c r="F96" s="173" t="str">
        <f aca="false">IF(INDEX(Salary_Calculation[Source Row],ROW()-ROW(Payslip_Lookup[#Headers]))="","",INDEX(Salary_Calculation[Working Days],ROW()-ROW(Payslip_Lookup[#Headers])))</f>
        <v/>
      </c>
      <c r="G96" s="173" t="str">
        <f aca="false">IF(INDEX(Salary_Calculation[Source Row],ROW()-ROW(Payslip_Lookup[#Headers]))="","",INDEX(Salary_Calculation[Calendar Days],ROW()-ROW(Payslip_Lookup[#Headers])))</f>
        <v/>
      </c>
      <c r="H96" s="174" t="str">
        <f aca="false">IF(INDEX(Salary_Calculation[Source Row],ROW()-ROW(Payslip_Lookup[#Headers]))="","",INDEX(Salary_Calculation[Monthly Target Orders],ROW()-ROW(Payslip_Lookup[#Headers])))</f>
        <v/>
      </c>
      <c r="I96" s="174" t="str">
        <f aca="false">IF(INDEX(Salary_Calculation[Source Row],ROW()-ROW(Payslip_Lookup[#Headers]))="","",INDEX(Salary_Calculation[Rider Target Orders],ROW()-ROW(Payslip_Lookup[#Headers])))</f>
        <v/>
      </c>
      <c r="J96" s="175" t="str">
        <f aca="false">IF(INDEX(Salary_Calculation[Source Row],ROW()-ROW(Payslip_Lookup[#Headers]))="","",INDEX(Salary_Calculation[Completed Orders],ROW()-ROW(Payslip_Lookup[#Headers])))</f>
        <v/>
      </c>
      <c r="K96" s="174" t="str">
        <f aca="false">IF(INDEX(Salary_Calculation[Source Row],ROW()-ROW(Payslip_Lookup[#Headers]))="","",INDEX(Salary_Calculation[Base Order Rate],ROW()-ROW(Payslip_Lookup[#Headers])))</f>
        <v/>
      </c>
      <c r="L96" s="176" t="str">
        <f aca="false">IF(INDEX(Salary_Calculation[Source Row],ROW()-ROW(Payslip_Lookup[#Headers]))="","",INDEX(Salary_Calculation[Basic Payment],ROW()-ROW(Payslip_Lookup[#Headers])))</f>
        <v/>
      </c>
      <c r="M96" s="176" t="str">
        <f aca="false">IF(INDEX(Salary_Calculation[Source Row],ROW()-ROW(Payslip_Lookup[#Headers]))="","",INDEX(Salary_Calculation[Earned Salary],ROW()-ROW(Payslip_Lookup[#Headers])))</f>
        <v/>
      </c>
      <c r="N96" s="174" t="str">
        <f aca="false">IF(INDEX(Salary_Calculation[Source Row],ROW()-ROW(Payslip_Lookup[#Headers]))="","",INDEX(Salary_Calculation[Orders Counted at Base Rate],ROW()-ROW(Payslip_Lookup[#Headers])))</f>
        <v/>
      </c>
      <c r="O96" s="174" t="str">
        <f aca="false">IF(INDEX(Salary_Calculation[Source Row],ROW()-ROW(Payslip_Lookup[#Headers]))="","",INDEX(Salary_Calculation[Missing Orders],ROW()-ROW(Payslip_Lookup[#Headers])))</f>
        <v/>
      </c>
      <c r="P96" s="176" t="str">
        <f aca="false">IF(INDEX(Salary_Calculation[Source Row],ROW()-ROW(Payslip_Lookup[#Headers]))="","",INDEX(Salary_Calculation[Missing-Order Deduction],ROW()-ROW(Payslip_Lookup[#Headers])))</f>
        <v/>
      </c>
      <c r="Q96" s="174" t="str">
        <f aca="false">IF(INDEX(Salary_Calculation[Source Row],ROW()-ROW(Payslip_Lookup[#Headers]))="","",INDEX(Salary_Calculation[Extra Orders],ROW()-ROW(Payslip_Lookup[#Headers])))</f>
        <v/>
      </c>
      <c r="R96" s="176" t="str">
        <f aca="false">IF(INDEX(Salary_Calculation[Source Row],ROW()-ROW(Payslip_Lookup[#Headers]))="","",INDEX(Salary_Calculation[Extra-Order Bonus],ROW()-ROW(Payslip_Lookup[#Headers])))</f>
        <v/>
      </c>
      <c r="S96" s="176" t="str">
        <f aca="false">IF(INDEX(Salary_Calculation[Source Row],ROW()-ROW(Payslip_Lookup[#Headers]))="","",INDEX(Salary_Calculation[Basic Salary for Target],ROW()-ROW(Payslip_Lookup[#Headers])))</f>
        <v/>
      </c>
      <c r="T96" s="176" t="str">
        <f aca="false">IF(INDEX(Salary_Calculation[Source Row],ROW()-ROW(Payslip_Lookup[#Headers]))="","",INDEX(Salary_Calculation[Gross Salary Before Deductions],ROW()-ROW(Payslip_Lookup[#Headers])))</f>
        <v/>
      </c>
      <c r="U96" s="176" t="str">
        <f aca="false">IF(INDEX(Salary_Calculation[Source Row],ROW()-ROW(Payslip_Lookup[#Headers]))="","",INDEX(Salary_Calculation[missed_days_penalty],ROW()-ROW(Payslip_Lookup[#Headers])))</f>
        <v/>
      </c>
      <c r="V96" s="176" t="str">
        <f aca="false">IF(INDEX(Salary_Calculation[Source Row],ROW()-ROW(Payslip_Lookup[#Headers]))="","",INDEX(Salary_Calculation[Rider Balance],ROW()-ROW(Payslip_Lookup[#Headers])))</f>
        <v/>
      </c>
      <c r="W96" s="176" t="str">
        <f aca="false">IF(INDEX(Salary_Calculation[Source Row],ROW()-ROW(Payslip_Lookup[#Headers]))="","",INDEX(Salary_Calculation[stacking_deduction],ROW()-ROW(Payslip_Lookup[#Headers])))</f>
        <v/>
      </c>
      <c r="X96" s="176" t="str">
        <f aca="false">IF(INDEX(Salary_Calculation[Source Row],ROW()-ROW(Payslip_Lookup[#Headers]))="","",INDEX(Salary_Calculation[Other Deductions],ROW()-ROW(Payslip_Lookup[#Headers])))</f>
        <v/>
      </c>
      <c r="Y96" s="176" t="str">
        <f aca="false">IF(INDEX(Salary_Calculation[Source Row],ROW()-ROW(Payslip_Lookup[#Headers]))="","",INDEX(Salary_Calculation[Total Deductions],ROW()-ROW(Payslip_Lookup[#Headers])))</f>
        <v/>
      </c>
      <c r="Z96" s="176" t="str">
        <f aca="false">IF(INDEX(Salary_Calculation[Source Row],ROW()-ROW(Payslip_Lookup[#Headers]))="","",INDEX(Salary_Calculation[Final Salary],ROW()-ROW(Payslip_Lookup[#Headers])))</f>
        <v/>
      </c>
      <c r="AA96" s="176" t="str">
        <f aca="false">IF(INDEX(Salary_Calculation[Source Row],ROW()-ROW(Payslip_Lookup[#Headers]))="","",INDEX(Salary_Calculation[Negative Balance / Amount Due from Rider],ROW()-ROW(Payslip_Lookup[#Headers])))</f>
        <v/>
      </c>
      <c r="AB96" s="176" t="str">
        <f aca="false">IF(INDEX(Salary_Calculation[Source Row],ROW()-ROW(Payslip_Lookup[#Headers]))="","",INDEX(Salary_Calculation[Total Amount Due from Rider],ROW()-ROW(Payslip_Lookup[#Headers])))</f>
        <v/>
      </c>
      <c r="AC96" s="176" t="str">
        <f aca="false">IF(INDEX(Salary_Calculation[Source Row],ROW()-ROW(Payslip_Lookup[#Headers]))="","",INDEX(Salary_Calculation[Salary Before Other Deductions],ROW()-ROW(Payslip_Lookup[#Headers])))</f>
        <v/>
      </c>
      <c r="AD96" s="171" t="str">
        <f aca="false">IF(INDEX(Salary_Calculation[Source Row],ROW()-ROW(Payslip_Lookup[#Headers]))="","",INDEX(Salary_Calculation[Payment Status],ROW()-ROW(Payslip_Lookup[#Headers])))</f>
        <v/>
      </c>
      <c r="AE96" s="171" t="str">
        <f aca="false">IF(INDEX(Salary_Calculation[Source Row],ROW()-ROW(Payslip_Lookup[#Headers]))="","",INDEX(Salary_Calculation[Notes],ROW()-ROW(Payslip_Lookup[#Headers])))</f>
        <v/>
      </c>
      <c r="AF96" s="171" t="str">
        <f aca="false">IF(INDEX(Salary_Calculation[Source Row],ROW()-ROW(Payslip_Lookup[#Headers]))="","",INDEX(Salary_Calculation[Exception Reason],ROW()-ROW(Payslip_Lookup[#Headers])))</f>
        <v/>
      </c>
      <c r="AG96" s="173" t="str">
        <f aca="false">IF($AD96="Review Required",COUNTIF(AD$2:AD96,"Review Required"),"")</f>
        <v/>
      </c>
      <c r="AH96" s="173" t="str">
        <f aca="false">IF(AND($D96&lt;&gt;"",$B96=Payslip_Print!$C$2),MAX(AH$1:AH95)+1,"")</f>
        <v/>
      </c>
      <c r="AL96" s="178" t="str">
        <f aca="false">IFERROR(INDEX($D$2:$D$501,MATCH(ROW()-1,$AH$2:$AH$501,0)),"")</f>
        <v/>
      </c>
      <c r="AM96" s="179" t="str">
        <f aca="false">IF($Z96="","",IF(AND($C96&gt;=Dash_Start,$C96&lt;Dash_End),$Z96+ROW()/10000000,""))</f>
        <v/>
      </c>
    </row>
    <row r="97" customFormat="false" ht="14.25" hidden="false" customHeight="false" outlineLevel="0" collapsed="false">
      <c r="A97" s="171" t="str">
        <f aca="false">IF(Payslip_Lookup[[#This Row],[Rider ID]]="","",Payslip_Lookup[[#This Row],[Rider ID]]&amp;"|"&amp;Payslip_Lookup[[#This Row],[Month Key]])</f>
        <v/>
      </c>
      <c r="B97" s="172" t="str">
        <f aca="false">IF(ISNUMBER(Payslip_Lookup[[#This Row],[Salary Month]]),DATE(YEAR(Payslip_Lookup[[#This Row],[Salary Month]]),MONTH(Payslip_Lookup[[#This Row],[Salary Month]]),1),"")</f>
        <v/>
      </c>
      <c r="C97" s="172" t="str">
        <f aca="false">IF(INDEX(Salary_Calculation[Source Row],ROW()-ROW(Payslip_Lookup[#Headers]))="","",INDEX(Salary_Calculation[Salary Month],ROW()-ROW(Payslip_Lookup[#Headers])))</f>
        <v/>
      </c>
      <c r="D97" s="173" t="str">
        <f aca="false">IF(INDEX(Salary_Calculation[Source Row],ROW()-ROW(Payslip_Lookup[#Headers]))="","",INDEX(Salary_Calculation[Rider ID],ROW()-ROW(Payslip_Lookup[#Headers])))</f>
        <v/>
      </c>
      <c r="E97" s="171" t="str">
        <f aca="false">IF(INDEX(Salary_Calculation[Source Row],ROW()-ROW(Payslip_Lookup[#Headers]))="","",INDEX(Salary_Calculation[Rider Name],ROW()-ROW(Payslip_Lookup[#Headers])))</f>
        <v/>
      </c>
      <c r="F97" s="173" t="str">
        <f aca="false">IF(INDEX(Salary_Calculation[Source Row],ROW()-ROW(Payslip_Lookup[#Headers]))="","",INDEX(Salary_Calculation[Working Days],ROW()-ROW(Payslip_Lookup[#Headers])))</f>
        <v/>
      </c>
      <c r="G97" s="173" t="str">
        <f aca="false">IF(INDEX(Salary_Calculation[Source Row],ROW()-ROW(Payslip_Lookup[#Headers]))="","",INDEX(Salary_Calculation[Calendar Days],ROW()-ROW(Payslip_Lookup[#Headers])))</f>
        <v/>
      </c>
      <c r="H97" s="174" t="str">
        <f aca="false">IF(INDEX(Salary_Calculation[Source Row],ROW()-ROW(Payslip_Lookup[#Headers]))="","",INDEX(Salary_Calculation[Monthly Target Orders],ROW()-ROW(Payslip_Lookup[#Headers])))</f>
        <v/>
      </c>
      <c r="I97" s="174" t="str">
        <f aca="false">IF(INDEX(Salary_Calculation[Source Row],ROW()-ROW(Payslip_Lookup[#Headers]))="","",INDEX(Salary_Calculation[Rider Target Orders],ROW()-ROW(Payslip_Lookup[#Headers])))</f>
        <v/>
      </c>
      <c r="J97" s="175" t="str">
        <f aca="false">IF(INDEX(Salary_Calculation[Source Row],ROW()-ROW(Payslip_Lookup[#Headers]))="","",INDEX(Salary_Calculation[Completed Orders],ROW()-ROW(Payslip_Lookup[#Headers])))</f>
        <v/>
      </c>
      <c r="K97" s="174" t="str">
        <f aca="false">IF(INDEX(Salary_Calculation[Source Row],ROW()-ROW(Payslip_Lookup[#Headers]))="","",INDEX(Salary_Calculation[Base Order Rate],ROW()-ROW(Payslip_Lookup[#Headers])))</f>
        <v/>
      </c>
      <c r="L97" s="176" t="str">
        <f aca="false">IF(INDEX(Salary_Calculation[Source Row],ROW()-ROW(Payslip_Lookup[#Headers]))="","",INDEX(Salary_Calculation[Basic Payment],ROW()-ROW(Payslip_Lookup[#Headers])))</f>
        <v/>
      </c>
      <c r="M97" s="176" t="str">
        <f aca="false">IF(INDEX(Salary_Calculation[Source Row],ROW()-ROW(Payslip_Lookup[#Headers]))="","",INDEX(Salary_Calculation[Earned Salary],ROW()-ROW(Payslip_Lookup[#Headers])))</f>
        <v/>
      </c>
      <c r="N97" s="174" t="str">
        <f aca="false">IF(INDEX(Salary_Calculation[Source Row],ROW()-ROW(Payslip_Lookup[#Headers]))="","",INDEX(Salary_Calculation[Orders Counted at Base Rate],ROW()-ROW(Payslip_Lookup[#Headers])))</f>
        <v/>
      </c>
      <c r="O97" s="174" t="str">
        <f aca="false">IF(INDEX(Salary_Calculation[Source Row],ROW()-ROW(Payslip_Lookup[#Headers]))="","",INDEX(Salary_Calculation[Missing Orders],ROW()-ROW(Payslip_Lookup[#Headers])))</f>
        <v/>
      </c>
      <c r="P97" s="176" t="str">
        <f aca="false">IF(INDEX(Salary_Calculation[Source Row],ROW()-ROW(Payslip_Lookup[#Headers]))="","",INDEX(Salary_Calculation[Missing-Order Deduction],ROW()-ROW(Payslip_Lookup[#Headers])))</f>
        <v/>
      </c>
      <c r="Q97" s="174" t="str">
        <f aca="false">IF(INDEX(Salary_Calculation[Source Row],ROW()-ROW(Payslip_Lookup[#Headers]))="","",INDEX(Salary_Calculation[Extra Orders],ROW()-ROW(Payslip_Lookup[#Headers])))</f>
        <v/>
      </c>
      <c r="R97" s="176" t="str">
        <f aca="false">IF(INDEX(Salary_Calculation[Source Row],ROW()-ROW(Payslip_Lookup[#Headers]))="","",INDEX(Salary_Calculation[Extra-Order Bonus],ROW()-ROW(Payslip_Lookup[#Headers])))</f>
        <v/>
      </c>
      <c r="S97" s="176" t="str">
        <f aca="false">IF(INDEX(Salary_Calculation[Source Row],ROW()-ROW(Payslip_Lookup[#Headers]))="","",INDEX(Salary_Calculation[Basic Salary for Target],ROW()-ROW(Payslip_Lookup[#Headers])))</f>
        <v/>
      </c>
      <c r="T97" s="176" t="str">
        <f aca="false">IF(INDEX(Salary_Calculation[Source Row],ROW()-ROW(Payslip_Lookup[#Headers]))="","",INDEX(Salary_Calculation[Gross Salary Before Deductions],ROW()-ROW(Payslip_Lookup[#Headers])))</f>
        <v/>
      </c>
      <c r="U97" s="176" t="str">
        <f aca="false">IF(INDEX(Salary_Calculation[Source Row],ROW()-ROW(Payslip_Lookup[#Headers]))="","",INDEX(Salary_Calculation[missed_days_penalty],ROW()-ROW(Payslip_Lookup[#Headers])))</f>
        <v/>
      </c>
      <c r="V97" s="176" t="str">
        <f aca="false">IF(INDEX(Salary_Calculation[Source Row],ROW()-ROW(Payslip_Lookup[#Headers]))="","",INDEX(Salary_Calculation[Rider Balance],ROW()-ROW(Payslip_Lookup[#Headers])))</f>
        <v/>
      </c>
      <c r="W97" s="176" t="str">
        <f aca="false">IF(INDEX(Salary_Calculation[Source Row],ROW()-ROW(Payslip_Lookup[#Headers]))="","",INDEX(Salary_Calculation[stacking_deduction],ROW()-ROW(Payslip_Lookup[#Headers])))</f>
        <v/>
      </c>
      <c r="X97" s="176" t="str">
        <f aca="false">IF(INDEX(Salary_Calculation[Source Row],ROW()-ROW(Payslip_Lookup[#Headers]))="","",INDEX(Salary_Calculation[Other Deductions],ROW()-ROW(Payslip_Lookup[#Headers])))</f>
        <v/>
      </c>
      <c r="Y97" s="176" t="str">
        <f aca="false">IF(INDEX(Salary_Calculation[Source Row],ROW()-ROW(Payslip_Lookup[#Headers]))="","",INDEX(Salary_Calculation[Total Deductions],ROW()-ROW(Payslip_Lookup[#Headers])))</f>
        <v/>
      </c>
      <c r="Z97" s="176" t="str">
        <f aca="false">IF(INDEX(Salary_Calculation[Source Row],ROW()-ROW(Payslip_Lookup[#Headers]))="","",INDEX(Salary_Calculation[Final Salary],ROW()-ROW(Payslip_Lookup[#Headers])))</f>
        <v/>
      </c>
      <c r="AA97" s="176" t="str">
        <f aca="false">IF(INDEX(Salary_Calculation[Source Row],ROW()-ROW(Payslip_Lookup[#Headers]))="","",INDEX(Salary_Calculation[Negative Balance / Amount Due from Rider],ROW()-ROW(Payslip_Lookup[#Headers])))</f>
        <v/>
      </c>
      <c r="AB97" s="176" t="str">
        <f aca="false">IF(INDEX(Salary_Calculation[Source Row],ROW()-ROW(Payslip_Lookup[#Headers]))="","",INDEX(Salary_Calculation[Total Amount Due from Rider],ROW()-ROW(Payslip_Lookup[#Headers])))</f>
        <v/>
      </c>
      <c r="AC97" s="176" t="str">
        <f aca="false">IF(INDEX(Salary_Calculation[Source Row],ROW()-ROW(Payslip_Lookup[#Headers]))="","",INDEX(Salary_Calculation[Salary Before Other Deductions],ROW()-ROW(Payslip_Lookup[#Headers])))</f>
        <v/>
      </c>
      <c r="AD97" s="171" t="str">
        <f aca="false">IF(INDEX(Salary_Calculation[Source Row],ROW()-ROW(Payslip_Lookup[#Headers]))="","",INDEX(Salary_Calculation[Payment Status],ROW()-ROW(Payslip_Lookup[#Headers])))</f>
        <v/>
      </c>
      <c r="AE97" s="171" t="str">
        <f aca="false">IF(INDEX(Salary_Calculation[Source Row],ROW()-ROW(Payslip_Lookup[#Headers]))="","",INDEX(Salary_Calculation[Notes],ROW()-ROW(Payslip_Lookup[#Headers])))</f>
        <v/>
      </c>
      <c r="AF97" s="171" t="str">
        <f aca="false">IF(INDEX(Salary_Calculation[Source Row],ROW()-ROW(Payslip_Lookup[#Headers]))="","",INDEX(Salary_Calculation[Exception Reason],ROW()-ROW(Payslip_Lookup[#Headers])))</f>
        <v/>
      </c>
      <c r="AG97" s="173" t="str">
        <f aca="false">IF($AD97="Review Required",COUNTIF(AD$2:AD97,"Review Required"),"")</f>
        <v/>
      </c>
      <c r="AH97" s="173" t="str">
        <f aca="false">IF(AND($D97&lt;&gt;"",$B97=Payslip_Print!$C$2),MAX(AH$1:AH96)+1,"")</f>
        <v/>
      </c>
      <c r="AL97" s="178" t="str">
        <f aca="false">IFERROR(INDEX($D$2:$D$501,MATCH(ROW()-1,$AH$2:$AH$501,0)),"")</f>
        <v/>
      </c>
      <c r="AM97" s="179" t="str">
        <f aca="false">IF($Z97="","",IF(AND($C97&gt;=Dash_Start,$C97&lt;Dash_End),$Z97+ROW()/10000000,""))</f>
        <v/>
      </c>
    </row>
    <row r="98" customFormat="false" ht="14.25" hidden="false" customHeight="false" outlineLevel="0" collapsed="false">
      <c r="A98" s="171" t="str">
        <f aca="false">IF(Payslip_Lookup[[#This Row],[Rider ID]]="","",Payslip_Lookup[[#This Row],[Rider ID]]&amp;"|"&amp;Payslip_Lookup[[#This Row],[Month Key]])</f>
        <v/>
      </c>
      <c r="B98" s="172" t="str">
        <f aca="false">IF(ISNUMBER(Payslip_Lookup[[#This Row],[Salary Month]]),DATE(YEAR(Payslip_Lookup[[#This Row],[Salary Month]]),MONTH(Payslip_Lookup[[#This Row],[Salary Month]]),1),"")</f>
        <v/>
      </c>
      <c r="C98" s="172" t="str">
        <f aca="false">IF(INDEX(Salary_Calculation[Source Row],ROW()-ROW(Payslip_Lookup[#Headers]))="","",INDEX(Salary_Calculation[Salary Month],ROW()-ROW(Payslip_Lookup[#Headers])))</f>
        <v/>
      </c>
      <c r="D98" s="173" t="str">
        <f aca="false">IF(INDEX(Salary_Calculation[Source Row],ROW()-ROW(Payslip_Lookup[#Headers]))="","",INDEX(Salary_Calculation[Rider ID],ROW()-ROW(Payslip_Lookup[#Headers])))</f>
        <v/>
      </c>
      <c r="E98" s="171" t="str">
        <f aca="false">IF(INDEX(Salary_Calculation[Source Row],ROW()-ROW(Payslip_Lookup[#Headers]))="","",INDEX(Salary_Calculation[Rider Name],ROW()-ROW(Payslip_Lookup[#Headers])))</f>
        <v/>
      </c>
      <c r="F98" s="173" t="str">
        <f aca="false">IF(INDEX(Salary_Calculation[Source Row],ROW()-ROW(Payslip_Lookup[#Headers]))="","",INDEX(Salary_Calculation[Working Days],ROW()-ROW(Payslip_Lookup[#Headers])))</f>
        <v/>
      </c>
      <c r="G98" s="173" t="str">
        <f aca="false">IF(INDEX(Salary_Calculation[Source Row],ROW()-ROW(Payslip_Lookup[#Headers]))="","",INDEX(Salary_Calculation[Calendar Days],ROW()-ROW(Payslip_Lookup[#Headers])))</f>
        <v/>
      </c>
      <c r="H98" s="174" t="str">
        <f aca="false">IF(INDEX(Salary_Calculation[Source Row],ROW()-ROW(Payslip_Lookup[#Headers]))="","",INDEX(Salary_Calculation[Monthly Target Orders],ROW()-ROW(Payslip_Lookup[#Headers])))</f>
        <v/>
      </c>
      <c r="I98" s="174" t="str">
        <f aca="false">IF(INDEX(Salary_Calculation[Source Row],ROW()-ROW(Payslip_Lookup[#Headers]))="","",INDEX(Salary_Calculation[Rider Target Orders],ROW()-ROW(Payslip_Lookup[#Headers])))</f>
        <v/>
      </c>
      <c r="J98" s="175" t="str">
        <f aca="false">IF(INDEX(Salary_Calculation[Source Row],ROW()-ROW(Payslip_Lookup[#Headers]))="","",INDEX(Salary_Calculation[Completed Orders],ROW()-ROW(Payslip_Lookup[#Headers])))</f>
        <v/>
      </c>
      <c r="K98" s="174" t="str">
        <f aca="false">IF(INDEX(Salary_Calculation[Source Row],ROW()-ROW(Payslip_Lookup[#Headers]))="","",INDEX(Salary_Calculation[Base Order Rate],ROW()-ROW(Payslip_Lookup[#Headers])))</f>
        <v/>
      </c>
      <c r="L98" s="176" t="str">
        <f aca="false">IF(INDEX(Salary_Calculation[Source Row],ROW()-ROW(Payslip_Lookup[#Headers]))="","",INDEX(Salary_Calculation[Basic Payment],ROW()-ROW(Payslip_Lookup[#Headers])))</f>
        <v/>
      </c>
      <c r="M98" s="176" t="str">
        <f aca="false">IF(INDEX(Salary_Calculation[Source Row],ROW()-ROW(Payslip_Lookup[#Headers]))="","",INDEX(Salary_Calculation[Earned Salary],ROW()-ROW(Payslip_Lookup[#Headers])))</f>
        <v/>
      </c>
      <c r="N98" s="174" t="str">
        <f aca="false">IF(INDEX(Salary_Calculation[Source Row],ROW()-ROW(Payslip_Lookup[#Headers]))="","",INDEX(Salary_Calculation[Orders Counted at Base Rate],ROW()-ROW(Payslip_Lookup[#Headers])))</f>
        <v/>
      </c>
      <c r="O98" s="174" t="str">
        <f aca="false">IF(INDEX(Salary_Calculation[Source Row],ROW()-ROW(Payslip_Lookup[#Headers]))="","",INDEX(Salary_Calculation[Missing Orders],ROW()-ROW(Payslip_Lookup[#Headers])))</f>
        <v/>
      </c>
      <c r="P98" s="176" t="str">
        <f aca="false">IF(INDEX(Salary_Calculation[Source Row],ROW()-ROW(Payslip_Lookup[#Headers]))="","",INDEX(Salary_Calculation[Missing-Order Deduction],ROW()-ROW(Payslip_Lookup[#Headers])))</f>
        <v/>
      </c>
      <c r="Q98" s="174" t="str">
        <f aca="false">IF(INDEX(Salary_Calculation[Source Row],ROW()-ROW(Payslip_Lookup[#Headers]))="","",INDEX(Salary_Calculation[Extra Orders],ROW()-ROW(Payslip_Lookup[#Headers])))</f>
        <v/>
      </c>
      <c r="R98" s="176" t="str">
        <f aca="false">IF(INDEX(Salary_Calculation[Source Row],ROW()-ROW(Payslip_Lookup[#Headers]))="","",INDEX(Salary_Calculation[Extra-Order Bonus],ROW()-ROW(Payslip_Lookup[#Headers])))</f>
        <v/>
      </c>
      <c r="S98" s="176" t="str">
        <f aca="false">IF(INDEX(Salary_Calculation[Source Row],ROW()-ROW(Payslip_Lookup[#Headers]))="","",INDEX(Salary_Calculation[Basic Salary for Target],ROW()-ROW(Payslip_Lookup[#Headers])))</f>
        <v/>
      </c>
      <c r="T98" s="176" t="str">
        <f aca="false">IF(INDEX(Salary_Calculation[Source Row],ROW()-ROW(Payslip_Lookup[#Headers]))="","",INDEX(Salary_Calculation[Gross Salary Before Deductions],ROW()-ROW(Payslip_Lookup[#Headers])))</f>
        <v/>
      </c>
      <c r="U98" s="176" t="str">
        <f aca="false">IF(INDEX(Salary_Calculation[Source Row],ROW()-ROW(Payslip_Lookup[#Headers]))="","",INDEX(Salary_Calculation[missed_days_penalty],ROW()-ROW(Payslip_Lookup[#Headers])))</f>
        <v/>
      </c>
      <c r="V98" s="176" t="str">
        <f aca="false">IF(INDEX(Salary_Calculation[Source Row],ROW()-ROW(Payslip_Lookup[#Headers]))="","",INDEX(Salary_Calculation[Rider Balance],ROW()-ROW(Payslip_Lookup[#Headers])))</f>
        <v/>
      </c>
      <c r="W98" s="176" t="str">
        <f aca="false">IF(INDEX(Salary_Calculation[Source Row],ROW()-ROW(Payslip_Lookup[#Headers]))="","",INDEX(Salary_Calculation[stacking_deduction],ROW()-ROW(Payslip_Lookup[#Headers])))</f>
        <v/>
      </c>
      <c r="X98" s="176" t="str">
        <f aca="false">IF(INDEX(Salary_Calculation[Source Row],ROW()-ROW(Payslip_Lookup[#Headers]))="","",INDEX(Salary_Calculation[Other Deductions],ROW()-ROW(Payslip_Lookup[#Headers])))</f>
        <v/>
      </c>
      <c r="Y98" s="176" t="str">
        <f aca="false">IF(INDEX(Salary_Calculation[Source Row],ROW()-ROW(Payslip_Lookup[#Headers]))="","",INDEX(Salary_Calculation[Total Deductions],ROW()-ROW(Payslip_Lookup[#Headers])))</f>
        <v/>
      </c>
      <c r="Z98" s="176" t="str">
        <f aca="false">IF(INDEX(Salary_Calculation[Source Row],ROW()-ROW(Payslip_Lookup[#Headers]))="","",INDEX(Salary_Calculation[Final Salary],ROW()-ROW(Payslip_Lookup[#Headers])))</f>
        <v/>
      </c>
      <c r="AA98" s="176" t="str">
        <f aca="false">IF(INDEX(Salary_Calculation[Source Row],ROW()-ROW(Payslip_Lookup[#Headers]))="","",INDEX(Salary_Calculation[Negative Balance / Amount Due from Rider],ROW()-ROW(Payslip_Lookup[#Headers])))</f>
        <v/>
      </c>
      <c r="AB98" s="176" t="str">
        <f aca="false">IF(INDEX(Salary_Calculation[Source Row],ROW()-ROW(Payslip_Lookup[#Headers]))="","",INDEX(Salary_Calculation[Total Amount Due from Rider],ROW()-ROW(Payslip_Lookup[#Headers])))</f>
        <v/>
      </c>
      <c r="AC98" s="176" t="str">
        <f aca="false">IF(INDEX(Salary_Calculation[Source Row],ROW()-ROW(Payslip_Lookup[#Headers]))="","",INDEX(Salary_Calculation[Salary Before Other Deductions],ROW()-ROW(Payslip_Lookup[#Headers])))</f>
        <v/>
      </c>
      <c r="AD98" s="171" t="str">
        <f aca="false">IF(INDEX(Salary_Calculation[Source Row],ROW()-ROW(Payslip_Lookup[#Headers]))="","",INDEX(Salary_Calculation[Payment Status],ROW()-ROW(Payslip_Lookup[#Headers])))</f>
        <v/>
      </c>
      <c r="AE98" s="171" t="str">
        <f aca="false">IF(INDEX(Salary_Calculation[Source Row],ROW()-ROW(Payslip_Lookup[#Headers]))="","",INDEX(Salary_Calculation[Notes],ROW()-ROW(Payslip_Lookup[#Headers])))</f>
        <v/>
      </c>
      <c r="AF98" s="171" t="str">
        <f aca="false">IF(INDEX(Salary_Calculation[Source Row],ROW()-ROW(Payslip_Lookup[#Headers]))="","",INDEX(Salary_Calculation[Exception Reason],ROW()-ROW(Payslip_Lookup[#Headers])))</f>
        <v/>
      </c>
      <c r="AG98" s="173" t="str">
        <f aca="false">IF($AD98="Review Required",COUNTIF(AD$2:AD98,"Review Required"),"")</f>
        <v/>
      </c>
      <c r="AH98" s="173" t="str">
        <f aca="false">IF(AND($D98&lt;&gt;"",$B98=Payslip_Print!$C$2),MAX(AH$1:AH97)+1,"")</f>
        <v/>
      </c>
      <c r="AL98" s="178" t="str">
        <f aca="false">IFERROR(INDEX($D$2:$D$501,MATCH(ROW()-1,$AH$2:$AH$501,0)),"")</f>
        <v/>
      </c>
      <c r="AM98" s="179" t="str">
        <f aca="false">IF($Z98="","",IF(AND($C98&gt;=Dash_Start,$C98&lt;Dash_End),$Z98+ROW()/10000000,""))</f>
        <v/>
      </c>
    </row>
    <row r="99" customFormat="false" ht="14.25" hidden="false" customHeight="false" outlineLevel="0" collapsed="false">
      <c r="A99" s="171" t="str">
        <f aca="false">IF(Payslip_Lookup[[#This Row],[Rider ID]]="","",Payslip_Lookup[[#This Row],[Rider ID]]&amp;"|"&amp;Payslip_Lookup[[#This Row],[Month Key]])</f>
        <v/>
      </c>
      <c r="B99" s="172" t="str">
        <f aca="false">IF(ISNUMBER(Payslip_Lookup[[#This Row],[Salary Month]]),DATE(YEAR(Payslip_Lookup[[#This Row],[Salary Month]]),MONTH(Payslip_Lookup[[#This Row],[Salary Month]]),1),"")</f>
        <v/>
      </c>
      <c r="C99" s="172" t="str">
        <f aca="false">IF(INDEX(Salary_Calculation[Source Row],ROW()-ROW(Payslip_Lookup[#Headers]))="","",INDEX(Salary_Calculation[Salary Month],ROW()-ROW(Payslip_Lookup[#Headers])))</f>
        <v/>
      </c>
      <c r="D99" s="173" t="str">
        <f aca="false">IF(INDEX(Salary_Calculation[Source Row],ROW()-ROW(Payslip_Lookup[#Headers]))="","",INDEX(Salary_Calculation[Rider ID],ROW()-ROW(Payslip_Lookup[#Headers])))</f>
        <v/>
      </c>
      <c r="E99" s="171" t="str">
        <f aca="false">IF(INDEX(Salary_Calculation[Source Row],ROW()-ROW(Payslip_Lookup[#Headers]))="","",INDEX(Salary_Calculation[Rider Name],ROW()-ROW(Payslip_Lookup[#Headers])))</f>
        <v/>
      </c>
      <c r="F99" s="173" t="str">
        <f aca="false">IF(INDEX(Salary_Calculation[Source Row],ROW()-ROW(Payslip_Lookup[#Headers]))="","",INDEX(Salary_Calculation[Working Days],ROW()-ROW(Payslip_Lookup[#Headers])))</f>
        <v/>
      </c>
      <c r="G99" s="173" t="str">
        <f aca="false">IF(INDEX(Salary_Calculation[Source Row],ROW()-ROW(Payslip_Lookup[#Headers]))="","",INDEX(Salary_Calculation[Calendar Days],ROW()-ROW(Payslip_Lookup[#Headers])))</f>
        <v/>
      </c>
      <c r="H99" s="174" t="str">
        <f aca="false">IF(INDEX(Salary_Calculation[Source Row],ROW()-ROW(Payslip_Lookup[#Headers]))="","",INDEX(Salary_Calculation[Monthly Target Orders],ROW()-ROW(Payslip_Lookup[#Headers])))</f>
        <v/>
      </c>
      <c r="I99" s="174" t="str">
        <f aca="false">IF(INDEX(Salary_Calculation[Source Row],ROW()-ROW(Payslip_Lookup[#Headers]))="","",INDEX(Salary_Calculation[Rider Target Orders],ROW()-ROW(Payslip_Lookup[#Headers])))</f>
        <v/>
      </c>
      <c r="J99" s="175" t="str">
        <f aca="false">IF(INDEX(Salary_Calculation[Source Row],ROW()-ROW(Payslip_Lookup[#Headers]))="","",INDEX(Salary_Calculation[Completed Orders],ROW()-ROW(Payslip_Lookup[#Headers])))</f>
        <v/>
      </c>
      <c r="K99" s="174" t="str">
        <f aca="false">IF(INDEX(Salary_Calculation[Source Row],ROW()-ROW(Payslip_Lookup[#Headers]))="","",INDEX(Salary_Calculation[Base Order Rate],ROW()-ROW(Payslip_Lookup[#Headers])))</f>
        <v/>
      </c>
      <c r="L99" s="176" t="str">
        <f aca="false">IF(INDEX(Salary_Calculation[Source Row],ROW()-ROW(Payslip_Lookup[#Headers]))="","",INDEX(Salary_Calculation[Basic Payment],ROW()-ROW(Payslip_Lookup[#Headers])))</f>
        <v/>
      </c>
      <c r="M99" s="176" t="str">
        <f aca="false">IF(INDEX(Salary_Calculation[Source Row],ROW()-ROW(Payslip_Lookup[#Headers]))="","",INDEX(Salary_Calculation[Earned Salary],ROW()-ROW(Payslip_Lookup[#Headers])))</f>
        <v/>
      </c>
      <c r="N99" s="174" t="str">
        <f aca="false">IF(INDEX(Salary_Calculation[Source Row],ROW()-ROW(Payslip_Lookup[#Headers]))="","",INDEX(Salary_Calculation[Orders Counted at Base Rate],ROW()-ROW(Payslip_Lookup[#Headers])))</f>
        <v/>
      </c>
      <c r="O99" s="174" t="str">
        <f aca="false">IF(INDEX(Salary_Calculation[Source Row],ROW()-ROW(Payslip_Lookup[#Headers]))="","",INDEX(Salary_Calculation[Missing Orders],ROW()-ROW(Payslip_Lookup[#Headers])))</f>
        <v/>
      </c>
      <c r="P99" s="176" t="str">
        <f aca="false">IF(INDEX(Salary_Calculation[Source Row],ROW()-ROW(Payslip_Lookup[#Headers]))="","",INDEX(Salary_Calculation[Missing-Order Deduction],ROW()-ROW(Payslip_Lookup[#Headers])))</f>
        <v/>
      </c>
      <c r="Q99" s="174" t="str">
        <f aca="false">IF(INDEX(Salary_Calculation[Source Row],ROW()-ROW(Payslip_Lookup[#Headers]))="","",INDEX(Salary_Calculation[Extra Orders],ROW()-ROW(Payslip_Lookup[#Headers])))</f>
        <v/>
      </c>
      <c r="R99" s="176" t="str">
        <f aca="false">IF(INDEX(Salary_Calculation[Source Row],ROW()-ROW(Payslip_Lookup[#Headers]))="","",INDEX(Salary_Calculation[Extra-Order Bonus],ROW()-ROW(Payslip_Lookup[#Headers])))</f>
        <v/>
      </c>
      <c r="S99" s="176" t="str">
        <f aca="false">IF(INDEX(Salary_Calculation[Source Row],ROW()-ROW(Payslip_Lookup[#Headers]))="","",INDEX(Salary_Calculation[Basic Salary for Target],ROW()-ROW(Payslip_Lookup[#Headers])))</f>
        <v/>
      </c>
      <c r="T99" s="176" t="str">
        <f aca="false">IF(INDEX(Salary_Calculation[Source Row],ROW()-ROW(Payslip_Lookup[#Headers]))="","",INDEX(Salary_Calculation[Gross Salary Before Deductions],ROW()-ROW(Payslip_Lookup[#Headers])))</f>
        <v/>
      </c>
      <c r="U99" s="176" t="str">
        <f aca="false">IF(INDEX(Salary_Calculation[Source Row],ROW()-ROW(Payslip_Lookup[#Headers]))="","",INDEX(Salary_Calculation[missed_days_penalty],ROW()-ROW(Payslip_Lookup[#Headers])))</f>
        <v/>
      </c>
      <c r="V99" s="176" t="str">
        <f aca="false">IF(INDEX(Salary_Calculation[Source Row],ROW()-ROW(Payslip_Lookup[#Headers]))="","",INDEX(Salary_Calculation[Rider Balance],ROW()-ROW(Payslip_Lookup[#Headers])))</f>
        <v/>
      </c>
      <c r="W99" s="176" t="str">
        <f aca="false">IF(INDEX(Salary_Calculation[Source Row],ROW()-ROW(Payslip_Lookup[#Headers]))="","",INDEX(Salary_Calculation[stacking_deduction],ROW()-ROW(Payslip_Lookup[#Headers])))</f>
        <v/>
      </c>
      <c r="X99" s="176" t="str">
        <f aca="false">IF(INDEX(Salary_Calculation[Source Row],ROW()-ROW(Payslip_Lookup[#Headers]))="","",INDEX(Salary_Calculation[Other Deductions],ROW()-ROW(Payslip_Lookup[#Headers])))</f>
        <v/>
      </c>
      <c r="Y99" s="176" t="str">
        <f aca="false">IF(INDEX(Salary_Calculation[Source Row],ROW()-ROW(Payslip_Lookup[#Headers]))="","",INDEX(Salary_Calculation[Total Deductions],ROW()-ROW(Payslip_Lookup[#Headers])))</f>
        <v/>
      </c>
      <c r="Z99" s="176" t="str">
        <f aca="false">IF(INDEX(Salary_Calculation[Source Row],ROW()-ROW(Payslip_Lookup[#Headers]))="","",INDEX(Salary_Calculation[Final Salary],ROW()-ROW(Payslip_Lookup[#Headers])))</f>
        <v/>
      </c>
      <c r="AA99" s="176" t="str">
        <f aca="false">IF(INDEX(Salary_Calculation[Source Row],ROW()-ROW(Payslip_Lookup[#Headers]))="","",INDEX(Salary_Calculation[Negative Balance / Amount Due from Rider],ROW()-ROW(Payslip_Lookup[#Headers])))</f>
        <v/>
      </c>
      <c r="AB99" s="176" t="str">
        <f aca="false">IF(INDEX(Salary_Calculation[Source Row],ROW()-ROW(Payslip_Lookup[#Headers]))="","",INDEX(Salary_Calculation[Total Amount Due from Rider],ROW()-ROW(Payslip_Lookup[#Headers])))</f>
        <v/>
      </c>
      <c r="AC99" s="176" t="str">
        <f aca="false">IF(INDEX(Salary_Calculation[Source Row],ROW()-ROW(Payslip_Lookup[#Headers]))="","",INDEX(Salary_Calculation[Salary Before Other Deductions],ROW()-ROW(Payslip_Lookup[#Headers])))</f>
        <v/>
      </c>
      <c r="AD99" s="171" t="str">
        <f aca="false">IF(INDEX(Salary_Calculation[Source Row],ROW()-ROW(Payslip_Lookup[#Headers]))="","",INDEX(Salary_Calculation[Payment Status],ROW()-ROW(Payslip_Lookup[#Headers])))</f>
        <v/>
      </c>
      <c r="AE99" s="171" t="str">
        <f aca="false">IF(INDEX(Salary_Calculation[Source Row],ROW()-ROW(Payslip_Lookup[#Headers]))="","",INDEX(Salary_Calculation[Notes],ROW()-ROW(Payslip_Lookup[#Headers])))</f>
        <v/>
      </c>
      <c r="AF99" s="171" t="str">
        <f aca="false">IF(INDEX(Salary_Calculation[Source Row],ROW()-ROW(Payslip_Lookup[#Headers]))="","",INDEX(Salary_Calculation[Exception Reason],ROW()-ROW(Payslip_Lookup[#Headers])))</f>
        <v/>
      </c>
      <c r="AG99" s="173" t="str">
        <f aca="false">IF($AD99="Review Required",COUNTIF(AD$2:AD99,"Review Required"),"")</f>
        <v/>
      </c>
      <c r="AH99" s="173" t="str">
        <f aca="false">IF(AND($D99&lt;&gt;"",$B99=Payslip_Print!$C$2),MAX(AH$1:AH98)+1,"")</f>
        <v/>
      </c>
      <c r="AL99" s="178" t="str">
        <f aca="false">IFERROR(INDEX($D$2:$D$501,MATCH(ROW()-1,$AH$2:$AH$501,0)),"")</f>
        <v/>
      </c>
      <c r="AM99" s="179" t="str">
        <f aca="false">IF($Z99="","",IF(AND($C99&gt;=Dash_Start,$C99&lt;Dash_End),$Z99+ROW()/10000000,""))</f>
        <v/>
      </c>
    </row>
    <row r="100" customFormat="false" ht="14.25" hidden="false" customHeight="false" outlineLevel="0" collapsed="false">
      <c r="A100" s="171" t="str">
        <f aca="false">IF(Payslip_Lookup[[#This Row],[Rider ID]]="","",Payslip_Lookup[[#This Row],[Rider ID]]&amp;"|"&amp;Payslip_Lookup[[#This Row],[Month Key]])</f>
        <v/>
      </c>
      <c r="B100" s="172" t="str">
        <f aca="false">IF(ISNUMBER(Payslip_Lookup[[#This Row],[Salary Month]]),DATE(YEAR(Payslip_Lookup[[#This Row],[Salary Month]]),MONTH(Payslip_Lookup[[#This Row],[Salary Month]]),1),"")</f>
        <v/>
      </c>
      <c r="C100" s="172" t="str">
        <f aca="false">IF(INDEX(Salary_Calculation[Source Row],ROW()-ROW(Payslip_Lookup[#Headers]))="","",INDEX(Salary_Calculation[Salary Month],ROW()-ROW(Payslip_Lookup[#Headers])))</f>
        <v/>
      </c>
      <c r="D100" s="173" t="str">
        <f aca="false">IF(INDEX(Salary_Calculation[Source Row],ROW()-ROW(Payslip_Lookup[#Headers]))="","",INDEX(Salary_Calculation[Rider ID],ROW()-ROW(Payslip_Lookup[#Headers])))</f>
        <v/>
      </c>
      <c r="E100" s="171" t="str">
        <f aca="false">IF(INDEX(Salary_Calculation[Source Row],ROW()-ROW(Payslip_Lookup[#Headers]))="","",INDEX(Salary_Calculation[Rider Name],ROW()-ROW(Payslip_Lookup[#Headers])))</f>
        <v/>
      </c>
      <c r="F100" s="173" t="str">
        <f aca="false">IF(INDEX(Salary_Calculation[Source Row],ROW()-ROW(Payslip_Lookup[#Headers]))="","",INDEX(Salary_Calculation[Working Days],ROW()-ROW(Payslip_Lookup[#Headers])))</f>
        <v/>
      </c>
      <c r="G100" s="173" t="str">
        <f aca="false">IF(INDEX(Salary_Calculation[Source Row],ROW()-ROW(Payslip_Lookup[#Headers]))="","",INDEX(Salary_Calculation[Calendar Days],ROW()-ROW(Payslip_Lookup[#Headers])))</f>
        <v/>
      </c>
      <c r="H100" s="174" t="str">
        <f aca="false">IF(INDEX(Salary_Calculation[Source Row],ROW()-ROW(Payslip_Lookup[#Headers]))="","",INDEX(Salary_Calculation[Monthly Target Orders],ROW()-ROW(Payslip_Lookup[#Headers])))</f>
        <v/>
      </c>
      <c r="I100" s="174" t="str">
        <f aca="false">IF(INDEX(Salary_Calculation[Source Row],ROW()-ROW(Payslip_Lookup[#Headers]))="","",INDEX(Salary_Calculation[Rider Target Orders],ROW()-ROW(Payslip_Lookup[#Headers])))</f>
        <v/>
      </c>
      <c r="J100" s="175" t="str">
        <f aca="false">IF(INDEX(Salary_Calculation[Source Row],ROW()-ROW(Payslip_Lookup[#Headers]))="","",INDEX(Salary_Calculation[Completed Orders],ROW()-ROW(Payslip_Lookup[#Headers])))</f>
        <v/>
      </c>
      <c r="K100" s="174" t="str">
        <f aca="false">IF(INDEX(Salary_Calculation[Source Row],ROW()-ROW(Payslip_Lookup[#Headers]))="","",INDEX(Salary_Calculation[Base Order Rate],ROW()-ROW(Payslip_Lookup[#Headers])))</f>
        <v/>
      </c>
      <c r="L100" s="176" t="str">
        <f aca="false">IF(INDEX(Salary_Calculation[Source Row],ROW()-ROW(Payslip_Lookup[#Headers]))="","",INDEX(Salary_Calculation[Basic Payment],ROW()-ROW(Payslip_Lookup[#Headers])))</f>
        <v/>
      </c>
      <c r="M100" s="176" t="str">
        <f aca="false">IF(INDEX(Salary_Calculation[Source Row],ROW()-ROW(Payslip_Lookup[#Headers]))="","",INDEX(Salary_Calculation[Earned Salary],ROW()-ROW(Payslip_Lookup[#Headers])))</f>
        <v/>
      </c>
      <c r="N100" s="174" t="str">
        <f aca="false">IF(INDEX(Salary_Calculation[Source Row],ROW()-ROW(Payslip_Lookup[#Headers]))="","",INDEX(Salary_Calculation[Orders Counted at Base Rate],ROW()-ROW(Payslip_Lookup[#Headers])))</f>
        <v/>
      </c>
      <c r="O100" s="174" t="str">
        <f aca="false">IF(INDEX(Salary_Calculation[Source Row],ROW()-ROW(Payslip_Lookup[#Headers]))="","",INDEX(Salary_Calculation[Missing Orders],ROW()-ROW(Payslip_Lookup[#Headers])))</f>
        <v/>
      </c>
      <c r="P100" s="176" t="str">
        <f aca="false">IF(INDEX(Salary_Calculation[Source Row],ROW()-ROW(Payslip_Lookup[#Headers]))="","",INDEX(Salary_Calculation[Missing-Order Deduction],ROW()-ROW(Payslip_Lookup[#Headers])))</f>
        <v/>
      </c>
      <c r="Q100" s="174" t="str">
        <f aca="false">IF(INDEX(Salary_Calculation[Source Row],ROW()-ROW(Payslip_Lookup[#Headers]))="","",INDEX(Salary_Calculation[Extra Orders],ROW()-ROW(Payslip_Lookup[#Headers])))</f>
        <v/>
      </c>
      <c r="R100" s="176" t="str">
        <f aca="false">IF(INDEX(Salary_Calculation[Source Row],ROW()-ROW(Payslip_Lookup[#Headers]))="","",INDEX(Salary_Calculation[Extra-Order Bonus],ROW()-ROW(Payslip_Lookup[#Headers])))</f>
        <v/>
      </c>
      <c r="S100" s="176" t="str">
        <f aca="false">IF(INDEX(Salary_Calculation[Source Row],ROW()-ROW(Payslip_Lookup[#Headers]))="","",INDEX(Salary_Calculation[Basic Salary for Target],ROW()-ROW(Payslip_Lookup[#Headers])))</f>
        <v/>
      </c>
      <c r="T100" s="176" t="str">
        <f aca="false">IF(INDEX(Salary_Calculation[Source Row],ROW()-ROW(Payslip_Lookup[#Headers]))="","",INDEX(Salary_Calculation[Gross Salary Before Deductions],ROW()-ROW(Payslip_Lookup[#Headers])))</f>
        <v/>
      </c>
      <c r="U100" s="176" t="str">
        <f aca="false">IF(INDEX(Salary_Calculation[Source Row],ROW()-ROW(Payslip_Lookup[#Headers]))="","",INDEX(Salary_Calculation[missed_days_penalty],ROW()-ROW(Payslip_Lookup[#Headers])))</f>
        <v/>
      </c>
      <c r="V100" s="176" t="str">
        <f aca="false">IF(INDEX(Salary_Calculation[Source Row],ROW()-ROW(Payslip_Lookup[#Headers]))="","",INDEX(Salary_Calculation[Rider Balance],ROW()-ROW(Payslip_Lookup[#Headers])))</f>
        <v/>
      </c>
      <c r="W100" s="176" t="str">
        <f aca="false">IF(INDEX(Salary_Calculation[Source Row],ROW()-ROW(Payslip_Lookup[#Headers]))="","",INDEX(Salary_Calculation[stacking_deduction],ROW()-ROW(Payslip_Lookup[#Headers])))</f>
        <v/>
      </c>
      <c r="X100" s="176" t="str">
        <f aca="false">IF(INDEX(Salary_Calculation[Source Row],ROW()-ROW(Payslip_Lookup[#Headers]))="","",INDEX(Salary_Calculation[Other Deductions],ROW()-ROW(Payslip_Lookup[#Headers])))</f>
        <v/>
      </c>
      <c r="Y100" s="176" t="str">
        <f aca="false">IF(INDEX(Salary_Calculation[Source Row],ROW()-ROW(Payslip_Lookup[#Headers]))="","",INDEX(Salary_Calculation[Total Deductions],ROW()-ROW(Payslip_Lookup[#Headers])))</f>
        <v/>
      </c>
      <c r="Z100" s="176" t="str">
        <f aca="false">IF(INDEX(Salary_Calculation[Source Row],ROW()-ROW(Payslip_Lookup[#Headers]))="","",INDEX(Salary_Calculation[Final Salary],ROW()-ROW(Payslip_Lookup[#Headers])))</f>
        <v/>
      </c>
      <c r="AA100" s="176" t="str">
        <f aca="false">IF(INDEX(Salary_Calculation[Source Row],ROW()-ROW(Payslip_Lookup[#Headers]))="","",INDEX(Salary_Calculation[Negative Balance / Amount Due from Rider],ROW()-ROW(Payslip_Lookup[#Headers])))</f>
        <v/>
      </c>
      <c r="AB100" s="176" t="str">
        <f aca="false">IF(INDEX(Salary_Calculation[Source Row],ROW()-ROW(Payslip_Lookup[#Headers]))="","",INDEX(Salary_Calculation[Total Amount Due from Rider],ROW()-ROW(Payslip_Lookup[#Headers])))</f>
        <v/>
      </c>
      <c r="AC100" s="176" t="str">
        <f aca="false">IF(INDEX(Salary_Calculation[Source Row],ROW()-ROW(Payslip_Lookup[#Headers]))="","",INDEX(Salary_Calculation[Salary Before Other Deductions],ROW()-ROW(Payslip_Lookup[#Headers])))</f>
        <v/>
      </c>
      <c r="AD100" s="171" t="str">
        <f aca="false">IF(INDEX(Salary_Calculation[Source Row],ROW()-ROW(Payslip_Lookup[#Headers]))="","",INDEX(Salary_Calculation[Payment Status],ROW()-ROW(Payslip_Lookup[#Headers])))</f>
        <v/>
      </c>
      <c r="AE100" s="171" t="str">
        <f aca="false">IF(INDEX(Salary_Calculation[Source Row],ROW()-ROW(Payslip_Lookup[#Headers]))="","",INDEX(Salary_Calculation[Notes],ROW()-ROW(Payslip_Lookup[#Headers])))</f>
        <v/>
      </c>
      <c r="AF100" s="171" t="str">
        <f aca="false">IF(INDEX(Salary_Calculation[Source Row],ROW()-ROW(Payslip_Lookup[#Headers]))="","",INDEX(Salary_Calculation[Exception Reason],ROW()-ROW(Payslip_Lookup[#Headers])))</f>
        <v/>
      </c>
      <c r="AG100" s="173" t="str">
        <f aca="false">IF($AD100="Review Required",COUNTIF(AD$2:AD100,"Review Required"),"")</f>
        <v/>
      </c>
      <c r="AH100" s="173" t="str">
        <f aca="false">IF(AND($D100&lt;&gt;"",$B100=Payslip_Print!$C$2),MAX(AH$1:AH99)+1,"")</f>
        <v/>
      </c>
      <c r="AL100" s="178" t="str">
        <f aca="false">IFERROR(INDEX($D$2:$D$501,MATCH(ROW()-1,$AH$2:$AH$501,0)),"")</f>
        <v/>
      </c>
      <c r="AM100" s="179" t="str">
        <f aca="false">IF($Z100="","",IF(AND($C100&gt;=Dash_Start,$C100&lt;Dash_End),$Z100+ROW()/10000000,""))</f>
        <v/>
      </c>
    </row>
    <row r="101" customFormat="false" ht="14.25" hidden="false" customHeight="false" outlineLevel="0" collapsed="false">
      <c r="A101" s="171" t="str">
        <f aca="false">IF(Payslip_Lookup[[#This Row],[Rider ID]]="","",Payslip_Lookup[[#This Row],[Rider ID]]&amp;"|"&amp;Payslip_Lookup[[#This Row],[Month Key]])</f>
        <v/>
      </c>
      <c r="B101" s="172" t="str">
        <f aca="false">IF(ISNUMBER(Payslip_Lookup[[#This Row],[Salary Month]]),DATE(YEAR(Payslip_Lookup[[#This Row],[Salary Month]]),MONTH(Payslip_Lookup[[#This Row],[Salary Month]]),1),"")</f>
        <v/>
      </c>
      <c r="C101" s="172" t="str">
        <f aca="false">IF(INDEX(Salary_Calculation[Source Row],ROW()-ROW(Payslip_Lookup[#Headers]))="","",INDEX(Salary_Calculation[Salary Month],ROW()-ROW(Payslip_Lookup[#Headers])))</f>
        <v/>
      </c>
      <c r="D101" s="173" t="str">
        <f aca="false">IF(INDEX(Salary_Calculation[Source Row],ROW()-ROW(Payslip_Lookup[#Headers]))="","",INDEX(Salary_Calculation[Rider ID],ROW()-ROW(Payslip_Lookup[#Headers])))</f>
        <v/>
      </c>
      <c r="E101" s="171" t="str">
        <f aca="false">IF(INDEX(Salary_Calculation[Source Row],ROW()-ROW(Payslip_Lookup[#Headers]))="","",INDEX(Salary_Calculation[Rider Name],ROW()-ROW(Payslip_Lookup[#Headers])))</f>
        <v/>
      </c>
      <c r="F101" s="173" t="str">
        <f aca="false">IF(INDEX(Salary_Calculation[Source Row],ROW()-ROW(Payslip_Lookup[#Headers]))="","",INDEX(Salary_Calculation[Working Days],ROW()-ROW(Payslip_Lookup[#Headers])))</f>
        <v/>
      </c>
      <c r="G101" s="173" t="str">
        <f aca="false">IF(INDEX(Salary_Calculation[Source Row],ROW()-ROW(Payslip_Lookup[#Headers]))="","",INDEX(Salary_Calculation[Calendar Days],ROW()-ROW(Payslip_Lookup[#Headers])))</f>
        <v/>
      </c>
      <c r="H101" s="174" t="str">
        <f aca="false">IF(INDEX(Salary_Calculation[Source Row],ROW()-ROW(Payslip_Lookup[#Headers]))="","",INDEX(Salary_Calculation[Monthly Target Orders],ROW()-ROW(Payslip_Lookup[#Headers])))</f>
        <v/>
      </c>
      <c r="I101" s="174" t="str">
        <f aca="false">IF(INDEX(Salary_Calculation[Source Row],ROW()-ROW(Payslip_Lookup[#Headers]))="","",INDEX(Salary_Calculation[Rider Target Orders],ROW()-ROW(Payslip_Lookup[#Headers])))</f>
        <v/>
      </c>
      <c r="J101" s="175" t="str">
        <f aca="false">IF(INDEX(Salary_Calculation[Source Row],ROW()-ROW(Payslip_Lookup[#Headers]))="","",INDEX(Salary_Calculation[Completed Orders],ROW()-ROW(Payslip_Lookup[#Headers])))</f>
        <v/>
      </c>
      <c r="K101" s="174" t="str">
        <f aca="false">IF(INDEX(Salary_Calculation[Source Row],ROW()-ROW(Payslip_Lookup[#Headers]))="","",INDEX(Salary_Calculation[Base Order Rate],ROW()-ROW(Payslip_Lookup[#Headers])))</f>
        <v/>
      </c>
      <c r="L101" s="176" t="str">
        <f aca="false">IF(INDEX(Salary_Calculation[Source Row],ROW()-ROW(Payslip_Lookup[#Headers]))="","",INDEX(Salary_Calculation[Basic Payment],ROW()-ROW(Payslip_Lookup[#Headers])))</f>
        <v/>
      </c>
      <c r="M101" s="176" t="str">
        <f aca="false">IF(INDEX(Salary_Calculation[Source Row],ROW()-ROW(Payslip_Lookup[#Headers]))="","",INDEX(Salary_Calculation[Earned Salary],ROW()-ROW(Payslip_Lookup[#Headers])))</f>
        <v/>
      </c>
      <c r="N101" s="174" t="str">
        <f aca="false">IF(INDEX(Salary_Calculation[Source Row],ROW()-ROW(Payslip_Lookup[#Headers]))="","",INDEX(Salary_Calculation[Orders Counted at Base Rate],ROW()-ROW(Payslip_Lookup[#Headers])))</f>
        <v/>
      </c>
      <c r="O101" s="174" t="str">
        <f aca="false">IF(INDEX(Salary_Calculation[Source Row],ROW()-ROW(Payslip_Lookup[#Headers]))="","",INDEX(Salary_Calculation[Missing Orders],ROW()-ROW(Payslip_Lookup[#Headers])))</f>
        <v/>
      </c>
      <c r="P101" s="176" t="str">
        <f aca="false">IF(INDEX(Salary_Calculation[Source Row],ROW()-ROW(Payslip_Lookup[#Headers]))="","",INDEX(Salary_Calculation[Missing-Order Deduction],ROW()-ROW(Payslip_Lookup[#Headers])))</f>
        <v/>
      </c>
      <c r="Q101" s="174" t="str">
        <f aca="false">IF(INDEX(Salary_Calculation[Source Row],ROW()-ROW(Payslip_Lookup[#Headers]))="","",INDEX(Salary_Calculation[Extra Orders],ROW()-ROW(Payslip_Lookup[#Headers])))</f>
        <v/>
      </c>
      <c r="R101" s="176" t="str">
        <f aca="false">IF(INDEX(Salary_Calculation[Source Row],ROW()-ROW(Payslip_Lookup[#Headers]))="","",INDEX(Salary_Calculation[Extra-Order Bonus],ROW()-ROW(Payslip_Lookup[#Headers])))</f>
        <v/>
      </c>
      <c r="S101" s="176" t="str">
        <f aca="false">IF(INDEX(Salary_Calculation[Source Row],ROW()-ROW(Payslip_Lookup[#Headers]))="","",INDEX(Salary_Calculation[Basic Salary for Target],ROW()-ROW(Payslip_Lookup[#Headers])))</f>
        <v/>
      </c>
      <c r="T101" s="176" t="str">
        <f aca="false">IF(INDEX(Salary_Calculation[Source Row],ROW()-ROW(Payslip_Lookup[#Headers]))="","",INDEX(Salary_Calculation[Gross Salary Before Deductions],ROW()-ROW(Payslip_Lookup[#Headers])))</f>
        <v/>
      </c>
      <c r="U101" s="176" t="str">
        <f aca="false">IF(INDEX(Salary_Calculation[Source Row],ROW()-ROW(Payslip_Lookup[#Headers]))="","",INDEX(Salary_Calculation[missed_days_penalty],ROW()-ROW(Payslip_Lookup[#Headers])))</f>
        <v/>
      </c>
      <c r="V101" s="176" t="str">
        <f aca="false">IF(INDEX(Salary_Calculation[Source Row],ROW()-ROW(Payslip_Lookup[#Headers]))="","",INDEX(Salary_Calculation[Rider Balance],ROW()-ROW(Payslip_Lookup[#Headers])))</f>
        <v/>
      </c>
      <c r="W101" s="176" t="str">
        <f aca="false">IF(INDEX(Salary_Calculation[Source Row],ROW()-ROW(Payslip_Lookup[#Headers]))="","",INDEX(Salary_Calculation[stacking_deduction],ROW()-ROW(Payslip_Lookup[#Headers])))</f>
        <v/>
      </c>
      <c r="X101" s="176" t="str">
        <f aca="false">IF(INDEX(Salary_Calculation[Source Row],ROW()-ROW(Payslip_Lookup[#Headers]))="","",INDEX(Salary_Calculation[Other Deductions],ROW()-ROW(Payslip_Lookup[#Headers])))</f>
        <v/>
      </c>
      <c r="Y101" s="176" t="str">
        <f aca="false">IF(INDEX(Salary_Calculation[Source Row],ROW()-ROW(Payslip_Lookup[#Headers]))="","",INDEX(Salary_Calculation[Total Deductions],ROW()-ROW(Payslip_Lookup[#Headers])))</f>
        <v/>
      </c>
      <c r="Z101" s="176" t="str">
        <f aca="false">IF(INDEX(Salary_Calculation[Source Row],ROW()-ROW(Payslip_Lookup[#Headers]))="","",INDEX(Salary_Calculation[Final Salary],ROW()-ROW(Payslip_Lookup[#Headers])))</f>
        <v/>
      </c>
      <c r="AA101" s="176" t="str">
        <f aca="false">IF(INDEX(Salary_Calculation[Source Row],ROW()-ROW(Payslip_Lookup[#Headers]))="","",INDEX(Salary_Calculation[Negative Balance / Amount Due from Rider],ROW()-ROW(Payslip_Lookup[#Headers])))</f>
        <v/>
      </c>
      <c r="AB101" s="176" t="str">
        <f aca="false">IF(INDEX(Salary_Calculation[Source Row],ROW()-ROW(Payslip_Lookup[#Headers]))="","",INDEX(Salary_Calculation[Total Amount Due from Rider],ROW()-ROW(Payslip_Lookup[#Headers])))</f>
        <v/>
      </c>
      <c r="AC101" s="176" t="str">
        <f aca="false">IF(INDEX(Salary_Calculation[Source Row],ROW()-ROW(Payslip_Lookup[#Headers]))="","",INDEX(Salary_Calculation[Salary Before Other Deductions],ROW()-ROW(Payslip_Lookup[#Headers])))</f>
        <v/>
      </c>
      <c r="AD101" s="171" t="str">
        <f aca="false">IF(INDEX(Salary_Calculation[Source Row],ROW()-ROW(Payslip_Lookup[#Headers]))="","",INDEX(Salary_Calculation[Payment Status],ROW()-ROW(Payslip_Lookup[#Headers])))</f>
        <v/>
      </c>
      <c r="AE101" s="171" t="str">
        <f aca="false">IF(INDEX(Salary_Calculation[Source Row],ROW()-ROW(Payslip_Lookup[#Headers]))="","",INDEX(Salary_Calculation[Notes],ROW()-ROW(Payslip_Lookup[#Headers])))</f>
        <v/>
      </c>
      <c r="AF101" s="171" t="str">
        <f aca="false">IF(INDEX(Salary_Calculation[Source Row],ROW()-ROW(Payslip_Lookup[#Headers]))="","",INDEX(Salary_Calculation[Exception Reason],ROW()-ROW(Payslip_Lookup[#Headers])))</f>
        <v/>
      </c>
      <c r="AG101" s="173" t="str">
        <f aca="false">IF($AD101="Review Required",COUNTIF(AD$2:AD101,"Review Required"),"")</f>
        <v/>
      </c>
      <c r="AH101" s="173" t="str">
        <f aca="false">IF(AND($D101&lt;&gt;"",$B101=Payslip_Print!$C$2),MAX(AH$1:AH100)+1,"")</f>
        <v/>
      </c>
      <c r="AL101" s="178" t="str">
        <f aca="false">IFERROR(INDEX($D$2:$D$501,MATCH(ROW()-1,$AH$2:$AH$501,0)),"")</f>
        <v/>
      </c>
      <c r="AM101" s="179" t="str">
        <f aca="false">IF($Z101="","",IF(AND($C101&gt;=Dash_Start,$C101&lt;Dash_End),$Z101+ROW()/10000000,""))</f>
        <v/>
      </c>
    </row>
    <row r="102" customFormat="false" ht="14.25" hidden="false" customHeight="false" outlineLevel="0" collapsed="false">
      <c r="A102" s="171" t="str">
        <f aca="false">IF(Payslip_Lookup[[#This Row],[Rider ID]]="","",Payslip_Lookup[[#This Row],[Rider ID]]&amp;"|"&amp;Payslip_Lookup[[#This Row],[Month Key]])</f>
        <v/>
      </c>
      <c r="B102" s="172" t="str">
        <f aca="false">IF(ISNUMBER(Payslip_Lookup[[#This Row],[Salary Month]]),DATE(YEAR(Payslip_Lookup[[#This Row],[Salary Month]]),MONTH(Payslip_Lookup[[#This Row],[Salary Month]]),1),"")</f>
        <v/>
      </c>
      <c r="C102" s="172" t="str">
        <f aca="false">IF(INDEX(Salary_Calculation[Source Row],ROW()-ROW(Payslip_Lookup[#Headers]))="","",INDEX(Salary_Calculation[Salary Month],ROW()-ROW(Payslip_Lookup[#Headers])))</f>
        <v/>
      </c>
      <c r="D102" s="173" t="str">
        <f aca="false">IF(INDEX(Salary_Calculation[Source Row],ROW()-ROW(Payslip_Lookup[#Headers]))="","",INDEX(Salary_Calculation[Rider ID],ROW()-ROW(Payslip_Lookup[#Headers])))</f>
        <v/>
      </c>
      <c r="E102" s="171" t="str">
        <f aca="false">IF(INDEX(Salary_Calculation[Source Row],ROW()-ROW(Payslip_Lookup[#Headers]))="","",INDEX(Salary_Calculation[Rider Name],ROW()-ROW(Payslip_Lookup[#Headers])))</f>
        <v/>
      </c>
      <c r="F102" s="173" t="str">
        <f aca="false">IF(INDEX(Salary_Calculation[Source Row],ROW()-ROW(Payslip_Lookup[#Headers]))="","",INDEX(Salary_Calculation[Working Days],ROW()-ROW(Payslip_Lookup[#Headers])))</f>
        <v/>
      </c>
      <c r="G102" s="173" t="str">
        <f aca="false">IF(INDEX(Salary_Calculation[Source Row],ROW()-ROW(Payslip_Lookup[#Headers]))="","",INDEX(Salary_Calculation[Calendar Days],ROW()-ROW(Payslip_Lookup[#Headers])))</f>
        <v/>
      </c>
      <c r="H102" s="174" t="str">
        <f aca="false">IF(INDEX(Salary_Calculation[Source Row],ROW()-ROW(Payslip_Lookup[#Headers]))="","",INDEX(Salary_Calculation[Monthly Target Orders],ROW()-ROW(Payslip_Lookup[#Headers])))</f>
        <v/>
      </c>
      <c r="I102" s="174" t="str">
        <f aca="false">IF(INDEX(Salary_Calculation[Source Row],ROW()-ROW(Payslip_Lookup[#Headers]))="","",INDEX(Salary_Calculation[Rider Target Orders],ROW()-ROW(Payslip_Lookup[#Headers])))</f>
        <v/>
      </c>
      <c r="J102" s="175" t="str">
        <f aca="false">IF(INDEX(Salary_Calculation[Source Row],ROW()-ROW(Payslip_Lookup[#Headers]))="","",INDEX(Salary_Calculation[Completed Orders],ROW()-ROW(Payslip_Lookup[#Headers])))</f>
        <v/>
      </c>
      <c r="K102" s="174" t="str">
        <f aca="false">IF(INDEX(Salary_Calculation[Source Row],ROW()-ROW(Payslip_Lookup[#Headers]))="","",INDEX(Salary_Calculation[Base Order Rate],ROW()-ROW(Payslip_Lookup[#Headers])))</f>
        <v/>
      </c>
      <c r="L102" s="176" t="str">
        <f aca="false">IF(INDEX(Salary_Calculation[Source Row],ROW()-ROW(Payslip_Lookup[#Headers]))="","",INDEX(Salary_Calculation[Basic Payment],ROW()-ROW(Payslip_Lookup[#Headers])))</f>
        <v/>
      </c>
      <c r="M102" s="176" t="str">
        <f aca="false">IF(INDEX(Salary_Calculation[Source Row],ROW()-ROW(Payslip_Lookup[#Headers]))="","",INDEX(Salary_Calculation[Earned Salary],ROW()-ROW(Payslip_Lookup[#Headers])))</f>
        <v/>
      </c>
      <c r="N102" s="174" t="str">
        <f aca="false">IF(INDEX(Salary_Calculation[Source Row],ROW()-ROW(Payslip_Lookup[#Headers]))="","",INDEX(Salary_Calculation[Orders Counted at Base Rate],ROW()-ROW(Payslip_Lookup[#Headers])))</f>
        <v/>
      </c>
      <c r="O102" s="174" t="str">
        <f aca="false">IF(INDEX(Salary_Calculation[Source Row],ROW()-ROW(Payslip_Lookup[#Headers]))="","",INDEX(Salary_Calculation[Missing Orders],ROW()-ROW(Payslip_Lookup[#Headers])))</f>
        <v/>
      </c>
      <c r="P102" s="176" t="str">
        <f aca="false">IF(INDEX(Salary_Calculation[Source Row],ROW()-ROW(Payslip_Lookup[#Headers]))="","",INDEX(Salary_Calculation[Missing-Order Deduction],ROW()-ROW(Payslip_Lookup[#Headers])))</f>
        <v/>
      </c>
      <c r="Q102" s="174" t="str">
        <f aca="false">IF(INDEX(Salary_Calculation[Source Row],ROW()-ROW(Payslip_Lookup[#Headers]))="","",INDEX(Salary_Calculation[Extra Orders],ROW()-ROW(Payslip_Lookup[#Headers])))</f>
        <v/>
      </c>
      <c r="R102" s="176" t="str">
        <f aca="false">IF(INDEX(Salary_Calculation[Source Row],ROW()-ROW(Payslip_Lookup[#Headers]))="","",INDEX(Salary_Calculation[Extra-Order Bonus],ROW()-ROW(Payslip_Lookup[#Headers])))</f>
        <v/>
      </c>
      <c r="S102" s="176" t="str">
        <f aca="false">IF(INDEX(Salary_Calculation[Source Row],ROW()-ROW(Payslip_Lookup[#Headers]))="","",INDEX(Salary_Calculation[Basic Salary for Target],ROW()-ROW(Payslip_Lookup[#Headers])))</f>
        <v/>
      </c>
      <c r="T102" s="176" t="str">
        <f aca="false">IF(INDEX(Salary_Calculation[Source Row],ROW()-ROW(Payslip_Lookup[#Headers]))="","",INDEX(Salary_Calculation[Gross Salary Before Deductions],ROW()-ROW(Payslip_Lookup[#Headers])))</f>
        <v/>
      </c>
      <c r="U102" s="176" t="str">
        <f aca="false">IF(INDEX(Salary_Calculation[Source Row],ROW()-ROW(Payslip_Lookup[#Headers]))="","",INDEX(Salary_Calculation[missed_days_penalty],ROW()-ROW(Payslip_Lookup[#Headers])))</f>
        <v/>
      </c>
      <c r="V102" s="176" t="str">
        <f aca="false">IF(INDEX(Salary_Calculation[Source Row],ROW()-ROW(Payslip_Lookup[#Headers]))="","",INDEX(Salary_Calculation[Rider Balance],ROW()-ROW(Payslip_Lookup[#Headers])))</f>
        <v/>
      </c>
      <c r="W102" s="176" t="str">
        <f aca="false">IF(INDEX(Salary_Calculation[Source Row],ROW()-ROW(Payslip_Lookup[#Headers]))="","",INDEX(Salary_Calculation[stacking_deduction],ROW()-ROW(Payslip_Lookup[#Headers])))</f>
        <v/>
      </c>
      <c r="X102" s="176" t="str">
        <f aca="false">IF(INDEX(Salary_Calculation[Source Row],ROW()-ROW(Payslip_Lookup[#Headers]))="","",INDEX(Salary_Calculation[Other Deductions],ROW()-ROW(Payslip_Lookup[#Headers])))</f>
        <v/>
      </c>
      <c r="Y102" s="176" t="str">
        <f aca="false">IF(INDEX(Salary_Calculation[Source Row],ROW()-ROW(Payslip_Lookup[#Headers]))="","",INDEX(Salary_Calculation[Total Deductions],ROW()-ROW(Payslip_Lookup[#Headers])))</f>
        <v/>
      </c>
      <c r="Z102" s="176" t="str">
        <f aca="false">IF(INDEX(Salary_Calculation[Source Row],ROW()-ROW(Payslip_Lookup[#Headers]))="","",INDEX(Salary_Calculation[Final Salary],ROW()-ROW(Payslip_Lookup[#Headers])))</f>
        <v/>
      </c>
      <c r="AA102" s="176" t="str">
        <f aca="false">IF(INDEX(Salary_Calculation[Source Row],ROW()-ROW(Payslip_Lookup[#Headers]))="","",INDEX(Salary_Calculation[Negative Balance / Amount Due from Rider],ROW()-ROW(Payslip_Lookup[#Headers])))</f>
        <v/>
      </c>
      <c r="AB102" s="176" t="str">
        <f aca="false">IF(INDEX(Salary_Calculation[Source Row],ROW()-ROW(Payslip_Lookup[#Headers]))="","",INDEX(Salary_Calculation[Total Amount Due from Rider],ROW()-ROW(Payslip_Lookup[#Headers])))</f>
        <v/>
      </c>
      <c r="AC102" s="176" t="str">
        <f aca="false">IF(INDEX(Salary_Calculation[Source Row],ROW()-ROW(Payslip_Lookup[#Headers]))="","",INDEX(Salary_Calculation[Salary Before Other Deductions],ROW()-ROW(Payslip_Lookup[#Headers])))</f>
        <v/>
      </c>
      <c r="AD102" s="171" t="str">
        <f aca="false">IF(INDEX(Salary_Calculation[Source Row],ROW()-ROW(Payslip_Lookup[#Headers]))="","",INDEX(Salary_Calculation[Payment Status],ROW()-ROW(Payslip_Lookup[#Headers])))</f>
        <v/>
      </c>
      <c r="AE102" s="171" t="str">
        <f aca="false">IF(INDEX(Salary_Calculation[Source Row],ROW()-ROW(Payslip_Lookup[#Headers]))="","",INDEX(Salary_Calculation[Notes],ROW()-ROW(Payslip_Lookup[#Headers])))</f>
        <v/>
      </c>
      <c r="AF102" s="171" t="str">
        <f aca="false">IF(INDEX(Salary_Calculation[Source Row],ROW()-ROW(Payslip_Lookup[#Headers]))="","",INDEX(Salary_Calculation[Exception Reason],ROW()-ROW(Payslip_Lookup[#Headers])))</f>
        <v/>
      </c>
      <c r="AG102" s="173" t="str">
        <f aca="false">IF($AD102="Review Required",COUNTIF(AD$2:AD102,"Review Required"),"")</f>
        <v/>
      </c>
      <c r="AH102" s="173" t="str">
        <f aca="false">IF(AND($D102&lt;&gt;"",$B102=Payslip_Print!$C$2),MAX(AH$1:AH101)+1,"")</f>
        <v/>
      </c>
      <c r="AL102" s="178" t="str">
        <f aca="false">IFERROR(INDEX($D$2:$D$501,MATCH(ROW()-1,$AH$2:$AH$501,0)),"")</f>
        <v/>
      </c>
      <c r="AM102" s="179" t="str">
        <f aca="false">IF($Z102="","",IF(AND($C102&gt;=Dash_Start,$C102&lt;Dash_End),$Z102+ROW()/10000000,""))</f>
        <v/>
      </c>
    </row>
    <row r="103" customFormat="false" ht="14.25" hidden="false" customHeight="false" outlineLevel="0" collapsed="false">
      <c r="A103" s="171" t="str">
        <f aca="false">IF(Payslip_Lookup[[#This Row],[Rider ID]]="","",Payslip_Lookup[[#This Row],[Rider ID]]&amp;"|"&amp;Payslip_Lookup[[#This Row],[Month Key]])</f>
        <v/>
      </c>
      <c r="B103" s="172" t="str">
        <f aca="false">IF(ISNUMBER(Payslip_Lookup[[#This Row],[Salary Month]]),DATE(YEAR(Payslip_Lookup[[#This Row],[Salary Month]]),MONTH(Payslip_Lookup[[#This Row],[Salary Month]]),1),"")</f>
        <v/>
      </c>
      <c r="C103" s="172" t="str">
        <f aca="false">IF(INDEX(Salary_Calculation[Source Row],ROW()-ROW(Payslip_Lookup[#Headers]))="","",INDEX(Salary_Calculation[Salary Month],ROW()-ROW(Payslip_Lookup[#Headers])))</f>
        <v/>
      </c>
      <c r="D103" s="173" t="str">
        <f aca="false">IF(INDEX(Salary_Calculation[Source Row],ROW()-ROW(Payslip_Lookup[#Headers]))="","",INDEX(Salary_Calculation[Rider ID],ROW()-ROW(Payslip_Lookup[#Headers])))</f>
        <v/>
      </c>
      <c r="E103" s="171" t="str">
        <f aca="false">IF(INDEX(Salary_Calculation[Source Row],ROW()-ROW(Payslip_Lookup[#Headers]))="","",INDEX(Salary_Calculation[Rider Name],ROW()-ROW(Payslip_Lookup[#Headers])))</f>
        <v/>
      </c>
      <c r="F103" s="173" t="str">
        <f aca="false">IF(INDEX(Salary_Calculation[Source Row],ROW()-ROW(Payslip_Lookup[#Headers]))="","",INDEX(Salary_Calculation[Working Days],ROW()-ROW(Payslip_Lookup[#Headers])))</f>
        <v/>
      </c>
      <c r="G103" s="173" t="str">
        <f aca="false">IF(INDEX(Salary_Calculation[Source Row],ROW()-ROW(Payslip_Lookup[#Headers]))="","",INDEX(Salary_Calculation[Calendar Days],ROW()-ROW(Payslip_Lookup[#Headers])))</f>
        <v/>
      </c>
      <c r="H103" s="174" t="str">
        <f aca="false">IF(INDEX(Salary_Calculation[Source Row],ROW()-ROW(Payslip_Lookup[#Headers]))="","",INDEX(Salary_Calculation[Monthly Target Orders],ROW()-ROW(Payslip_Lookup[#Headers])))</f>
        <v/>
      </c>
      <c r="I103" s="174" t="str">
        <f aca="false">IF(INDEX(Salary_Calculation[Source Row],ROW()-ROW(Payslip_Lookup[#Headers]))="","",INDEX(Salary_Calculation[Rider Target Orders],ROW()-ROW(Payslip_Lookup[#Headers])))</f>
        <v/>
      </c>
      <c r="J103" s="175" t="str">
        <f aca="false">IF(INDEX(Salary_Calculation[Source Row],ROW()-ROW(Payslip_Lookup[#Headers]))="","",INDEX(Salary_Calculation[Completed Orders],ROW()-ROW(Payslip_Lookup[#Headers])))</f>
        <v/>
      </c>
      <c r="K103" s="174" t="str">
        <f aca="false">IF(INDEX(Salary_Calculation[Source Row],ROW()-ROW(Payslip_Lookup[#Headers]))="","",INDEX(Salary_Calculation[Base Order Rate],ROW()-ROW(Payslip_Lookup[#Headers])))</f>
        <v/>
      </c>
      <c r="L103" s="176" t="str">
        <f aca="false">IF(INDEX(Salary_Calculation[Source Row],ROW()-ROW(Payslip_Lookup[#Headers]))="","",INDEX(Salary_Calculation[Basic Payment],ROW()-ROW(Payslip_Lookup[#Headers])))</f>
        <v/>
      </c>
      <c r="M103" s="176" t="str">
        <f aca="false">IF(INDEX(Salary_Calculation[Source Row],ROW()-ROW(Payslip_Lookup[#Headers]))="","",INDEX(Salary_Calculation[Earned Salary],ROW()-ROW(Payslip_Lookup[#Headers])))</f>
        <v/>
      </c>
      <c r="N103" s="174" t="str">
        <f aca="false">IF(INDEX(Salary_Calculation[Source Row],ROW()-ROW(Payslip_Lookup[#Headers]))="","",INDEX(Salary_Calculation[Orders Counted at Base Rate],ROW()-ROW(Payslip_Lookup[#Headers])))</f>
        <v/>
      </c>
      <c r="O103" s="174" t="str">
        <f aca="false">IF(INDEX(Salary_Calculation[Source Row],ROW()-ROW(Payslip_Lookup[#Headers]))="","",INDEX(Salary_Calculation[Missing Orders],ROW()-ROW(Payslip_Lookup[#Headers])))</f>
        <v/>
      </c>
      <c r="P103" s="176" t="str">
        <f aca="false">IF(INDEX(Salary_Calculation[Source Row],ROW()-ROW(Payslip_Lookup[#Headers]))="","",INDEX(Salary_Calculation[Missing-Order Deduction],ROW()-ROW(Payslip_Lookup[#Headers])))</f>
        <v/>
      </c>
      <c r="Q103" s="174" t="str">
        <f aca="false">IF(INDEX(Salary_Calculation[Source Row],ROW()-ROW(Payslip_Lookup[#Headers]))="","",INDEX(Salary_Calculation[Extra Orders],ROW()-ROW(Payslip_Lookup[#Headers])))</f>
        <v/>
      </c>
      <c r="R103" s="176" t="str">
        <f aca="false">IF(INDEX(Salary_Calculation[Source Row],ROW()-ROW(Payslip_Lookup[#Headers]))="","",INDEX(Salary_Calculation[Extra-Order Bonus],ROW()-ROW(Payslip_Lookup[#Headers])))</f>
        <v/>
      </c>
      <c r="S103" s="176" t="str">
        <f aca="false">IF(INDEX(Salary_Calculation[Source Row],ROW()-ROW(Payslip_Lookup[#Headers]))="","",INDEX(Salary_Calculation[Basic Salary for Target],ROW()-ROW(Payslip_Lookup[#Headers])))</f>
        <v/>
      </c>
      <c r="T103" s="176" t="str">
        <f aca="false">IF(INDEX(Salary_Calculation[Source Row],ROW()-ROW(Payslip_Lookup[#Headers]))="","",INDEX(Salary_Calculation[Gross Salary Before Deductions],ROW()-ROW(Payslip_Lookup[#Headers])))</f>
        <v/>
      </c>
      <c r="U103" s="176" t="str">
        <f aca="false">IF(INDEX(Salary_Calculation[Source Row],ROW()-ROW(Payslip_Lookup[#Headers]))="","",INDEX(Salary_Calculation[missed_days_penalty],ROW()-ROW(Payslip_Lookup[#Headers])))</f>
        <v/>
      </c>
      <c r="V103" s="176" t="str">
        <f aca="false">IF(INDEX(Salary_Calculation[Source Row],ROW()-ROW(Payslip_Lookup[#Headers]))="","",INDEX(Salary_Calculation[Rider Balance],ROW()-ROW(Payslip_Lookup[#Headers])))</f>
        <v/>
      </c>
      <c r="W103" s="176" t="str">
        <f aca="false">IF(INDEX(Salary_Calculation[Source Row],ROW()-ROW(Payslip_Lookup[#Headers]))="","",INDEX(Salary_Calculation[stacking_deduction],ROW()-ROW(Payslip_Lookup[#Headers])))</f>
        <v/>
      </c>
      <c r="X103" s="176" t="str">
        <f aca="false">IF(INDEX(Salary_Calculation[Source Row],ROW()-ROW(Payslip_Lookup[#Headers]))="","",INDEX(Salary_Calculation[Other Deductions],ROW()-ROW(Payslip_Lookup[#Headers])))</f>
        <v/>
      </c>
      <c r="Y103" s="176" t="str">
        <f aca="false">IF(INDEX(Salary_Calculation[Source Row],ROW()-ROW(Payslip_Lookup[#Headers]))="","",INDEX(Salary_Calculation[Total Deductions],ROW()-ROW(Payslip_Lookup[#Headers])))</f>
        <v/>
      </c>
      <c r="Z103" s="176" t="str">
        <f aca="false">IF(INDEX(Salary_Calculation[Source Row],ROW()-ROW(Payslip_Lookup[#Headers]))="","",INDEX(Salary_Calculation[Final Salary],ROW()-ROW(Payslip_Lookup[#Headers])))</f>
        <v/>
      </c>
      <c r="AA103" s="176" t="str">
        <f aca="false">IF(INDEX(Salary_Calculation[Source Row],ROW()-ROW(Payslip_Lookup[#Headers]))="","",INDEX(Salary_Calculation[Negative Balance / Amount Due from Rider],ROW()-ROW(Payslip_Lookup[#Headers])))</f>
        <v/>
      </c>
      <c r="AB103" s="176" t="str">
        <f aca="false">IF(INDEX(Salary_Calculation[Source Row],ROW()-ROW(Payslip_Lookup[#Headers]))="","",INDEX(Salary_Calculation[Total Amount Due from Rider],ROW()-ROW(Payslip_Lookup[#Headers])))</f>
        <v/>
      </c>
      <c r="AC103" s="176" t="str">
        <f aca="false">IF(INDEX(Salary_Calculation[Source Row],ROW()-ROW(Payslip_Lookup[#Headers]))="","",INDEX(Salary_Calculation[Salary Before Other Deductions],ROW()-ROW(Payslip_Lookup[#Headers])))</f>
        <v/>
      </c>
      <c r="AD103" s="171" t="str">
        <f aca="false">IF(INDEX(Salary_Calculation[Source Row],ROW()-ROW(Payslip_Lookup[#Headers]))="","",INDEX(Salary_Calculation[Payment Status],ROW()-ROW(Payslip_Lookup[#Headers])))</f>
        <v/>
      </c>
      <c r="AE103" s="171" t="str">
        <f aca="false">IF(INDEX(Salary_Calculation[Source Row],ROW()-ROW(Payslip_Lookup[#Headers]))="","",INDEX(Salary_Calculation[Notes],ROW()-ROW(Payslip_Lookup[#Headers])))</f>
        <v/>
      </c>
      <c r="AF103" s="171" t="str">
        <f aca="false">IF(INDEX(Salary_Calculation[Source Row],ROW()-ROW(Payslip_Lookup[#Headers]))="","",INDEX(Salary_Calculation[Exception Reason],ROW()-ROW(Payslip_Lookup[#Headers])))</f>
        <v/>
      </c>
      <c r="AG103" s="173" t="str">
        <f aca="false">IF($AD103="Review Required",COUNTIF(AD$2:AD103,"Review Required"),"")</f>
        <v/>
      </c>
      <c r="AH103" s="173" t="str">
        <f aca="false">IF(AND($D103&lt;&gt;"",$B103=Payslip_Print!$C$2),MAX(AH$1:AH102)+1,"")</f>
        <v/>
      </c>
      <c r="AL103" s="178" t="str">
        <f aca="false">IFERROR(INDEX($D$2:$D$501,MATCH(ROW()-1,$AH$2:$AH$501,0)),"")</f>
        <v/>
      </c>
      <c r="AM103" s="179" t="str">
        <f aca="false">IF($Z103="","",IF(AND($C103&gt;=Dash_Start,$C103&lt;Dash_End),$Z103+ROW()/10000000,""))</f>
        <v/>
      </c>
    </row>
    <row r="104" customFormat="false" ht="14.25" hidden="false" customHeight="false" outlineLevel="0" collapsed="false">
      <c r="A104" s="171" t="str">
        <f aca="false">IF(Payslip_Lookup[[#This Row],[Rider ID]]="","",Payslip_Lookup[[#This Row],[Rider ID]]&amp;"|"&amp;Payslip_Lookup[[#This Row],[Month Key]])</f>
        <v/>
      </c>
      <c r="B104" s="172" t="str">
        <f aca="false">IF(ISNUMBER(Payslip_Lookup[[#This Row],[Salary Month]]),DATE(YEAR(Payslip_Lookup[[#This Row],[Salary Month]]),MONTH(Payslip_Lookup[[#This Row],[Salary Month]]),1),"")</f>
        <v/>
      </c>
      <c r="C104" s="172" t="str">
        <f aca="false">IF(INDEX(Salary_Calculation[Source Row],ROW()-ROW(Payslip_Lookup[#Headers]))="","",INDEX(Salary_Calculation[Salary Month],ROW()-ROW(Payslip_Lookup[#Headers])))</f>
        <v/>
      </c>
      <c r="D104" s="173" t="str">
        <f aca="false">IF(INDEX(Salary_Calculation[Source Row],ROW()-ROW(Payslip_Lookup[#Headers]))="","",INDEX(Salary_Calculation[Rider ID],ROW()-ROW(Payslip_Lookup[#Headers])))</f>
        <v/>
      </c>
      <c r="E104" s="171" t="str">
        <f aca="false">IF(INDEX(Salary_Calculation[Source Row],ROW()-ROW(Payslip_Lookup[#Headers]))="","",INDEX(Salary_Calculation[Rider Name],ROW()-ROW(Payslip_Lookup[#Headers])))</f>
        <v/>
      </c>
      <c r="F104" s="173" t="str">
        <f aca="false">IF(INDEX(Salary_Calculation[Source Row],ROW()-ROW(Payslip_Lookup[#Headers]))="","",INDEX(Salary_Calculation[Working Days],ROW()-ROW(Payslip_Lookup[#Headers])))</f>
        <v/>
      </c>
      <c r="G104" s="173" t="str">
        <f aca="false">IF(INDEX(Salary_Calculation[Source Row],ROW()-ROW(Payslip_Lookup[#Headers]))="","",INDEX(Salary_Calculation[Calendar Days],ROW()-ROW(Payslip_Lookup[#Headers])))</f>
        <v/>
      </c>
      <c r="H104" s="174" t="str">
        <f aca="false">IF(INDEX(Salary_Calculation[Source Row],ROW()-ROW(Payslip_Lookup[#Headers]))="","",INDEX(Salary_Calculation[Monthly Target Orders],ROW()-ROW(Payslip_Lookup[#Headers])))</f>
        <v/>
      </c>
      <c r="I104" s="174" t="str">
        <f aca="false">IF(INDEX(Salary_Calculation[Source Row],ROW()-ROW(Payslip_Lookup[#Headers]))="","",INDEX(Salary_Calculation[Rider Target Orders],ROW()-ROW(Payslip_Lookup[#Headers])))</f>
        <v/>
      </c>
      <c r="J104" s="175" t="str">
        <f aca="false">IF(INDEX(Salary_Calculation[Source Row],ROW()-ROW(Payslip_Lookup[#Headers]))="","",INDEX(Salary_Calculation[Completed Orders],ROW()-ROW(Payslip_Lookup[#Headers])))</f>
        <v/>
      </c>
      <c r="K104" s="174" t="str">
        <f aca="false">IF(INDEX(Salary_Calculation[Source Row],ROW()-ROW(Payslip_Lookup[#Headers]))="","",INDEX(Salary_Calculation[Base Order Rate],ROW()-ROW(Payslip_Lookup[#Headers])))</f>
        <v/>
      </c>
      <c r="L104" s="176" t="str">
        <f aca="false">IF(INDEX(Salary_Calculation[Source Row],ROW()-ROW(Payslip_Lookup[#Headers]))="","",INDEX(Salary_Calculation[Basic Payment],ROW()-ROW(Payslip_Lookup[#Headers])))</f>
        <v/>
      </c>
      <c r="M104" s="176" t="str">
        <f aca="false">IF(INDEX(Salary_Calculation[Source Row],ROW()-ROW(Payslip_Lookup[#Headers]))="","",INDEX(Salary_Calculation[Earned Salary],ROW()-ROW(Payslip_Lookup[#Headers])))</f>
        <v/>
      </c>
      <c r="N104" s="174" t="str">
        <f aca="false">IF(INDEX(Salary_Calculation[Source Row],ROW()-ROW(Payslip_Lookup[#Headers]))="","",INDEX(Salary_Calculation[Orders Counted at Base Rate],ROW()-ROW(Payslip_Lookup[#Headers])))</f>
        <v/>
      </c>
      <c r="O104" s="174" t="str">
        <f aca="false">IF(INDEX(Salary_Calculation[Source Row],ROW()-ROW(Payslip_Lookup[#Headers]))="","",INDEX(Salary_Calculation[Missing Orders],ROW()-ROW(Payslip_Lookup[#Headers])))</f>
        <v/>
      </c>
      <c r="P104" s="176" t="str">
        <f aca="false">IF(INDEX(Salary_Calculation[Source Row],ROW()-ROW(Payslip_Lookup[#Headers]))="","",INDEX(Salary_Calculation[Missing-Order Deduction],ROW()-ROW(Payslip_Lookup[#Headers])))</f>
        <v/>
      </c>
      <c r="Q104" s="174" t="str">
        <f aca="false">IF(INDEX(Salary_Calculation[Source Row],ROW()-ROW(Payslip_Lookup[#Headers]))="","",INDEX(Salary_Calculation[Extra Orders],ROW()-ROW(Payslip_Lookup[#Headers])))</f>
        <v/>
      </c>
      <c r="R104" s="176" t="str">
        <f aca="false">IF(INDEX(Salary_Calculation[Source Row],ROW()-ROW(Payslip_Lookup[#Headers]))="","",INDEX(Salary_Calculation[Extra-Order Bonus],ROW()-ROW(Payslip_Lookup[#Headers])))</f>
        <v/>
      </c>
      <c r="S104" s="176" t="str">
        <f aca="false">IF(INDEX(Salary_Calculation[Source Row],ROW()-ROW(Payslip_Lookup[#Headers]))="","",INDEX(Salary_Calculation[Basic Salary for Target],ROW()-ROW(Payslip_Lookup[#Headers])))</f>
        <v/>
      </c>
      <c r="T104" s="176" t="str">
        <f aca="false">IF(INDEX(Salary_Calculation[Source Row],ROW()-ROW(Payslip_Lookup[#Headers]))="","",INDEX(Salary_Calculation[Gross Salary Before Deductions],ROW()-ROW(Payslip_Lookup[#Headers])))</f>
        <v/>
      </c>
      <c r="U104" s="176" t="str">
        <f aca="false">IF(INDEX(Salary_Calculation[Source Row],ROW()-ROW(Payslip_Lookup[#Headers]))="","",INDEX(Salary_Calculation[missed_days_penalty],ROW()-ROW(Payslip_Lookup[#Headers])))</f>
        <v/>
      </c>
      <c r="V104" s="176" t="str">
        <f aca="false">IF(INDEX(Salary_Calculation[Source Row],ROW()-ROW(Payslip_Lookup[#Headers]))="","",INDEX(Salary_Calculation[Rider Balance],ROW()-ROW(Payslip_Lookup[#Headers])))</f>
        <v/>
      </c>
      <c r="W104" s="176" t="str">
        <f aca="false">IF(INDEX(Salary_Calculation[Source Row],ROW()-ROW(Payslip_Lookup[#Headers]))="","",INDEX(Salary_Calculation[stacking_deduction],ROW()-ROW(Payslip_Lookup[#Headers])))</f>
        <v/>
      </c>
      <c r="X104" s="176" t="str">
        <f aca="false">IF(INDEX(Salary_Calculation[Source Row],ROW()-ROW(Payslip_Lookup[#Headers]))="","",INDEX(Salary_Calculation[Other Deductions],ROW()-ROW(Payslip_Lookup[#Headers])))</f>
        <v/>
      </c>
      <c r="Y104" s="176" t="str">
        <f aca="false">IF(INDEX(Salary_Calculation[Source Row],ROW()-ROW(Payslip_Lookup[#Headers]))="","",INDEX(Salary_Calculation[Total Deductions],ROW()-ROW(Payslip_Lookup[#Headers])))</f>
        <v/>
      </c>
      <c r="Z104" s="176" t="str">
        <f aca="false">IF(INDEX(Salary_Calculation[Source Row],ROW()-ROW(Payslip_Lookup[#Headers]))="","",INDEX(Salary_Calculation[Final Salary],ROW()-ROW(Payslip_Lookup[#Headers])))</f>
        <v/>
      </c>
      <c r="AA104" s="176" t="str">
        <f aca="false">IF(INDEX(Salary_Calculation[Source Row],ROW()-ROW(Payslip_Lookup[#Headers]))="","",INDEX(Salary_Calculation[Negative Balance / Amount Due from Rider],ROW()-ROW(Payslip_Lookup[#Headers])))</f>
        <v/>
      </c>
      <c r="AB104" s="176" t="str">
        <f aca="false">IF(INDEX(Salary_Calculation[Source Row],ROW()-ROW(Payslip_Lookup[#Headers]))="","",INDEX(Salary_Calculation[Total Amount Due from Rider],ROW()-ROW(Payslip_Lookup[#Headers])))</f>
        <v/>
      </c>
      <c r="AC104" s="176" t="str">
        <f aca="false">IF(INDEX(Salary_Calculation[Source Row],ROW()-ROW(Payslip_Lookup[#Headers]))="","",INDEX(Salary_Calculation[Salary Before Other Deductions],ROW()-ROW(Payslip_Lookup[#Headers])))</f>
        <v/>
      </c>
      <c r="AD104" s="171" t="str">
        <f aca="false">IF(INDEX(Salary_Calculation[Source Row],ROW()-ROW(Payslip_Lookup[#Headers]))="","",INDEX(Salary_Calculation[Payment Status],ROW()-ROW(Payslip_Lookup[#Headers])))</f>
        <v/>
      </c>
      <c r="AE104" s="171" t="str">
        <f aca="false">IF(INDEX(Salary_Calculation[Source Row],ROW()-ROW(Payslip_Lookup[#Headers]))="","",INDEX(Salary_Calculation[Notes],ROW()-ROW(Payslip_Lookup[#Headers])))</f>
        <v/>
      </c>
      <c r="AF104" s="171" t="str">
        <f aca="false">IF(INDEX(Salary_Calculation[Source Row],ROW()-ROW(Payslip_Lookup[#Headers]))="","",INDEX(Salary_Calculation[Exception Reason],ROW()-ROW(Payslip_Lookup[#Headers])))</f>
        <v/>
      </c>
      <c r="AG104" s="173" t="str">
        <f aca="false">IF($AD104="Review Required",COUNTIF(AD$2:AD104,"Review Required"),"")</f>
        <v/>
      </c>
      <c r="AH104" s="173" t="str">
        <f aca="false">IF(AND($D104&lt;&gt;"",$B104=Payslip_Print!$C$2),MAX(AH$1:AH103)+1,"")</f>
        <v/>
      </c>
      <c r="AL104" s="178" t="str">
        <f aca="false">IFERROR(INDEX($D$2:$D$501,MATCH(ROW()-1,$AH$2:$AH$501,0)),"")</f>
        <v/>
      </c>
      <c r="AM104" s="179" t="str">
        <f aca="false">IF($Z104="","",IF(AND($C104&gt;=Dash_Start,$C104&lt;Dash_End),$Z104+ROW()/10000000,""))</f>
        <v/>
      </c>
    </row>
    <row r="105" customFormat="false" ht="14.25" hidden="false" customHeight="false" outlineLevel="0" collapsed="false">
      <c r="A105" s="171" t="str">
        <f aca="false">IF(Payslip_Lookup[[#This Row],[Rider ID]]="","",Payslip_Lookup[[#This Row],[Rider ID]]&amp;"|"&amp;Payslip_Lookup[[#This Row],[Month Key]])</f>
        <v/>
      </c>
      <c r="B105" s="172" t="str">
        <f aca="false">IF(ISNUMBER(Payslip_Lookup[[#This Row],[Salary Month]]),DATE(YEAR(Payslip_Lookup[[#This Row],[Salary Month]]),MONTH(Payslip_Lookup[[#This Row],[Salary Month]]),1),"")</f>
        <v/>
      </c>
      <c r="C105" s="172" t="str">
        <f aca="false">IF(INDEX(Salary_Calculation[Source Row],ROW()-ROW(Payslip_Lookup[#Headers]))="","",INDEX(Salary_Calculation[Salary Month],ROW()-ROW(Payslip_Lookup[#Headers])))</f>
        <v/>
      </c>
      <c r="D105" s="173" t="str">
        <f aca="false">IF(INDEX(Salary_Calculation[Source Row],ROW()-ROW(Payslip_Lookup[#Headers]))="","",INDEX(Salary_Calculation[Rider ID],ROW()-ROW(Payslip_Lookup[#Headers])))</f>
        <v/>
      </c>
      <c r="E105" s="171" t="str">
        <f aca="false">IF(INDEX(Salary_Calculation[Source Row],ROW()-ROW(Payslip_Lookup[#Headers]))="","",INDEX(Salary_Calculation[Rider Name],ROW()-ROW(Payslip_Lookup[#Headers])))</f>
        <v/>
      </c>
      <c r="F105" s="173" t="str">
        <f aca="false">IF(INDEX(Salary_Calculation[Source Row],ROW()-ROW(Payslip_Lookup[#Headers]))="","",INDEX(Salary_Calculation[Working Days],ROW()-ROW(Payslip_Lookup[#Headers])))</f>
        <v/>
      </c>
      <c r="G105" s="173" t="str">
        <f aca="false">IF(INDEX(Salary_Calculation[Source Row],ROW()-ROW(Payslip_Lookup[#Headers]))="","",INDEX(Salary_Calculation[Calendar Days],ROW()-ROW(Payslip_Lookup[#Headers])))</f>
        <v/>
      </c>
      <c r="H105" s="174" t="str">
        <f aca="false">IF(INDEX(Salary_Calculation[Source Row],ROW()-ROW(Payslip_Lookup[#Headers]))="","",INDEX(Salary_Calculation[Monthly Target Orders],ROW()-ROW(Payslip_Lookup[#Headers])))</f>
        <v/>
      </c>
      <c r="I105" s="174" t="str">
        <f aca="false">IF(INDEX(Salary_Calculation[Source Row],ROW()-ROW(Payslip_Lookup[#Headers]))="","",INDEX(Salary_Calculation[Rider Target Orders],ROW()-ROW(Payslip_Lookup[#Headers])))</f>
        <v/>
      </c>
      <c r="J105" s="175" t="str">
        <f aca="false">IF(INDEX(Salary_Calculation[Source Row],ROW()-ROW(Payslip_Lookup[#Headers]))="","",INDEX(Salary_Calculation[Completed Orders],ROW()-ROW(Payslip_Lookup[#Headers])))</f>
        <v/>
      </c>
      <c r="K105" s="174" t="str">
        <f aca="false">IF(INDEX(Salary_Calculation[Source Row],ROW()-ROW(Payslip_Lookup[#Headers]))="","",INDEX(Salary_Calculation[Base Order Rate],ROW()-ROW(Payslip_Lookup[#Headers])))</f>
        <v/>
      </c>
      <c r="L105" s="176" t="str">
        <f aca="false">IF(INDEX(Salary_Calculation[Source Row],ROW()-ROW(Payslip_Lookup[#Headers]))="","",INDEX(Salary_Calculation[Basic Payment],ROW()-ROW(Payslip_Lookup[#Headers])))</f>
        <v/>
      </c>
      <c r="M105" s="176" t="str">
        <f aca="false">IF(INDEX(Salary_Calculation[Source Row],ROW()-ROW(Payslip_Lookup[#Headers]))="","",INDEX(Salary_Calculation[Earned Salary],ROW()-ROW(Payslip_Lookup[#Headers])))</f>
        <v/>
      </c>
      <c r="N105" s="174" t="str">
        <f aca="false">IF(INDEX(Salary_Calculation[Source Row],ROW()-ROW(Payslip_Lookup[#Headers]))="","",INDEX(Salary_Calculation[Orders Counted at Base Rate],ROW()-ROW(Payslip_Lookup[#Headers])))</f>
        <v/>
      </c>
      <c r="O105" s="174" t="str">
        <f aca="false">IF(INDEX(Salary_Calculation[Source Row],ROW()-ROW(Payslip_Lookup[#Headers]))="","",INDEX(Salary_Calculation[Missing Orders],ROW()-ROW(Payslip_Lookup[#Headers])))</f>
        <v/>
      </c>
      <c r="P105" s="176" t="str">
        <f aca="false">IF(INDEX(Salary_Calculation[Source Row],ROW()-ROW(Payslip_Lookup[#Headers]))="","",INDEX(Salary_Calculation[Missing-Order Deduction],ROW()-ROW(Payslip_Lookup[#Headers])))</f>
        <v/>
      </c>
      <c r="Q105" s="174" t="str">
        <f aca="false">IF(INDEX(Salary_Calculation[Source Row],ROW()-ROW(Payslip_Lookup[#Headers]))="","",INDEX(Salary_Calculation[Extra Orders],ROW()-ROW(Payslip_Lookup[#Headers])))</f>
        <v/>
      </c>
      <c r="R105" s="176" t="str">
        <f aca="false">IF(INDEX(Salary_Calculation[Source Row],ROW()-ROW(Payslip_Lookup[#Headers]))="","",INDEX(Salary_Calculation[Extra-Order Bonus],ROW()-ROW(Payslip_Lookup[#Headers])))</f>
        <v/>
      </c>
      <c r="S105" s="176" t="str">
        <f aca="false">IF(INDEX(Salary_Calculation[Source Row],ROW()-ROW(Payslip_Lookup[#Headers]))="","",INDEX(Salary_Calculation[Basic Salary for Target],ROW()-ROW(Payslip_Lookup[#Headers])))</f>
        <v/>
      </c>
      <c r="T105" s="176" t="str">
        <f aca="false">IF(INDEX(Salary_Calculation[Source Row],ROW()-ROW(Payslip_Lookup[#Headers]))="","",INDEX(Salary_Calculation[Gross Salary Before Deductions],ROW()-ROW(Payslip_Lookup[#Headers])))</f>
        <v/>
      </c>
      <c r="U105" s="176" t="str">
        <f aca="false">IF(INDEX(Salary_Calculation[Source Row],ROW()-ROW(Payslip_Lookup[#Headers]))="","",INDEX(Salary_Calculation[missed_days_penalty],ROW()-ROW(Payslip_Lookup[#Headers])))</f>
        <v/>
      </c>
      <c r="V105" s="176" t="str">
        <f aca="false">IF(INDEX(Salary_Calculation[Source Row],ROW()-ROW(Payslip_Lookup[#Headers]))="","",INDEX(Salary_Calculation[Rider Balance],ROW()-ROW(Payslip_Lookup[#Headers])))</f>
        <v/>
      </c>
      <c r="W105" s="176" t="str">
        <f aca="false">IF(INDEX(Salary_Calculation[Source Row],ROW()-ROW(Payslip_Lookup[#Headers]))="","",INDEX(Salary_Calculation[stacking_deduction],ROW()-ROW(Payslip_Lookup[#Headers])))</f>
        <v/>
      </c>
      <c r="X105" s="176" t="str">
        <f aca="false">IF(INDEX(Salary_Calculation[Source Row],ROW()-ROW(Payslip_Lookup[#Headers]))="","",INDEX(Salary_Calculation[Other Deductions],ROW()-ROW(Payslip_Lookup[#Headers])))</f>
        <v/>
      </c>
      <c r="Y105" s="176" t="str">
        <f aca="false">IF(INDEX(Salary_Calculation[Source Row],ROW()-ROW(Payslip_Lookup[#Headers]))="","",INDEX(Salary_Calculation[Total Deductions],ROW()-ROW(Payslip_Lookup[#Headers])))</f>
        <v/>
      </c>
      <c r="Z105" s="176" t="str">
        <f aca="false">IF(INDEX(Salary_Calculation[Source Row],ROW()-ROW(Payslip_Lookup[#Headers]))="","",INDEX(Salary_Calculation[Final Salary],ROW()-ROW(Payslip_Lookup[#Headers])))</f>
        <v/>
      </c>
      <c r="AA105" s="176" t="str">
        <f aca="false">IF(INDEX(Salary_Calculation[Source Row],ROW()-ROW(Payslip_Lookup[#Headers]))="","",INDEX(Salary_Calculation[Negative Balance / Amount Due from Rider],ROW()-ROW(Payslip_Lookup[#Headers])))</f>
        <v/>
      </c>
      <c r="AB105" s="176" t="str">
        <f aca="false">IF(INDEX(Salary_Calculation[Source Row],ROW()-ROW(Payslip_Lookup[#Headers]))="","",INDEX(Salary_Calculation[Total Amount Due from Rider],ROW()-ROW(Payslip_Lookup[#Headers])))</f>
        <v/>
      </c>
      <c r="AC105" s="176" t="str">
        <f aca="false">IF(INDEX(Salary_Calculation[Source Row],ROW()-ROW(Payslip_Lookup[#Headers]))="","",INDEX(Salary_Calculation[Salary Before Other Deductions],ROW()-ROW(Payslip_Lookup[#Headers])))</f>
        <v/>
      </c>
      <c r="AD105" s="171" t="str">
        <f aca="false">IF(INDEX(Salary_Calculation[Source Row],ROW()-ROW(Payslip_Lookup[#Headers]))="","",INDEX(Salary_Calculation[Payment Status],ROW()-ROW(Payslip_Lookup[#Headers])))</f>
        <v/>
      </c>
      <c r="AE105" s="171" t="str">
        <f aca="false">IF(INDEX(Salary_Calculation[Source Row],ROW()-ROW(Payslip_Lookup[#Headers]))="","",INDEX(Salary_Calculation[Notes],ROW()-ROW(Payslip_Lookup[#Headers])))</f>
        <v/>
      </c>
      <c r="AF105" s="171" t="str">
        <f aca="false">IF(INDEX(Salary_Calculation[Source Row],ROW()-ROW(Payslip_Lookup[#Headers]))="","",INDEX(Salary_Calculation[Exception Reason],ROW()-ROW(Payslip_Lookup[#Headers])))</f>
        <v/>
      </c>
      <c r="AG105" s="173" t="str">
        <f aca="false">IF($AD105="Review Required",COUNTIF(AD$2:AD105,"Review Required"),"")</f>
        <v/>
      </c>
      <c r="AH105" s="173" t="str">
        <f aca="false">IF(AND($D105&lt;&gt;"",$B105=Payslip_Print!$C$2),MAX(AH$1:AH104)+1,"")</f>
        <v/>
      </c>
      <c r="AL105" s="178" t="str">
        <f aca="false">IFERROR(INDEX($D$2:$D$501,MATCH(ROW()-1,$AH$2:$AH$501,0)),"")</f>
        <v/>
      </c>
      <c r="AM105" s="179" t="str">
        <f aca="false">IF($Z105="","",IF(AND($C105&gt;=Dash_Start,$C105&lt;Dash_End),$Z105+ROW()/10000000,""))</f>
        <v/>
      </c>
    </row>
    <row r="106" customFormat="false" ht="14.25" hidden="false" customHeight="false" outlineLevel="0" collapsed="false">
      <c r="A106" s="171" t="str">
        <f aca="false">IF(Payslip_Lookup[[#This Row],[Rider ID]]="","",Payslip_Lookup[[#This Row],[Rider ID]]&amp;"|"&amp;Payslip_Lookup[[#This Row],[Month Key]])</f>
        <v/>
      </c>
      <c r="B106" s="172" t="str">
        <f aca="false">IF(ISNUMBER(Payslip_Lookup[[#This Row],[Salary Month]]),DATE(YEAR(Payslip_Lookup[[#This Row],[Salary Month]]),MONTH(Payslip_Lookup[[#This Row],[Salary Month]]),1),"")</f>
        <v/>
      </c>
      <c r="C106" s="172" t="str">
        <f aca="false">IF(INDEX(Salary_Calculation[Source Row],ROW()-ROW(Payslip_Lookup[#Headers]))="","",INDEX(Salary_Calculation[Salary Month],ROW()-ROW(Payslip_Lookup[#Headers])))</f>
        <v/>
      </c>
      <c r="D106" s="173" t="str">
        <f aca="false">IF(INDEX(Salary_Calculation[Source Row],ROW()-ROW(Payslip_Lookup[#Headers]))="","",INDEX(Salary_Calculation[Rider ID],ROW()-ROW(Payslip_Lookup[#Headers])))</f>
        <v/>
      </c>
      <c r="E106" s="171" t="str">
        <f aca="false">IF(INDEX(Salary_Calculation[Source Row],ROW()-ROW(Payslip_Lookup[#Headers]))="","",INDEX(Salary_Calculation[Rider Name],ROW()-ROW(Payslip_Lookup[#Headers])))</f>
        <v/>
      </c>
      <c r="F106" s="173" t="str">
        <f aca="false">IF(INDEX(Salary_Calculation[Source Row],ROW()-ROW(Payslip_Lookup[#Headers]))="","",INDEX(Salary_Calculation[Working Days],ROW()-ROW(Payslip_Lookup[#Headers])))</f>
        <v/>
      </c>
      <c r="G106" s="173" t="str">
        <f aca="false">IF(INDEX(Salary_Calculation[Source Row],ROW()-ROW(Payslip_Lookup[#Headers]))="","",INDEX(Salary_Calculation[Calendar Days],ROW()-ROW(Payslip_Lookup[#Headers])))</f>
        <v/>
      </c>
      <c r="H106" s="174" t="str">
        <f aca="false">IF(INDEX(Salary_Calculation[Source Row],ROW()-ROW(Payslip_Lookup[#Headers]))="","",INDEX(Salary_Calculation[Monthly Target Orders],ROW()-ROW(Payslip_Lookup[#Headers])))</f>
        <v/>
      </c>
      <c r="I106" s="174" t="str">
        <f aca="false">IF(INDEX(Salary_Calculation[Source Row],ROW()-ROW(Payslip_Lookup[#Headers]))="","",INDEX(Salary_Calculation[Rider Target Orders],ROW()-ROW(Payslip_Lookup[#Headers])))</f>
        <v/>
      </c>
      <c r="J106" s="175" t="str">
        <f aca="false">IF(INDEX(Salary_Calculation[Source Row],ROW()-ROW(Payslip_Lookup[#Headers]))="","",INDEX(Salary_Calculation[Completed Orders],ROW()-ROW(Payslip_Lookup[#Headers])))</f>
        <v/>
      </c>
      <c r="K106" s="174" t="str">
        <f aca="false">IF(INDEX(Salary_Calculation[Source Row],ROW()-ROW(Payslip_Lookup[#Headers]))="","",INDEX(Salary_Calculation[Base Order Rate],ROW()-ROW(Payslip_Lookup[#Headers])))</f>
        <v/>
      </c>
      <c r="L106" s="176" t="str">
        <f aca="false">IF(INDEX(Salary_Calculation[Source Row],ROW()-ROW(Payslip_Lookup[#Headers]))="","",INDEX(Salary_Calculation[Basic Payment],ROW()-ROW(Payslip_Lookup[#Headers])))</f>
        <v/>
      </c>
      <c r="M106" s="176" t="str">
        <f aca="false">IF(INDEX(Salary_Calculation[Source Row],ROW()-ROW(Payslip_Lookup[#Headers]))="","",INDEX(Salary_Calculation[Earned Salary],ROW()-ROW(Payslip_Lookup[#Headers])))</f>
        <v/>
      </c>
      <c r="N106" s="174" t="str">
        <f aca="false">IF(INDEX(Salary_Calculation[Source Row],ROW()-ROW(Payslip_Lookup[#Headers]))="","",INDEX(Salary_Calculation[Orders Counted at Base Rate],ROW()-ROW(Payslip_Lookup[#Headers])))</f>
        <v/>
      </c>
      <c r="O106" s="174" t="str">
        <f aca="false">IF(INDEX(Salary_Calculation[Source Row],ROW()-ROW(Payslip_Lookup[#Headers]))="","",INDEX(Salary_Calculation[Missing Orders],ROW()-ROW(Payslip_Lookup[#Headers])))</f>
        <v/>
      </c>
      <c r="P106" s="176" t="str">
        <f aca="false">IF(INDEX(Salary_Calculation[Source Row],ROW()-ROW(Payslip_Lookup[#Headers]))="","",INDEX(Salary_Calculation[Missing-Order Deduction],ROW()-ROW(Payslip_Lookup[#Headers])))</f>
        <v/>
      </c>
      <c r="Q106" s="174" t="str">
        <f aca="false">IF(INDEX(Salary_Calculation[Source Row],ROW()-ROW(Payslip_Lookup[#Headers]))="","",INDEX(Salary_Calculation[Extra Orders],ROW()-ROW(Payslip_Lookup[#Headers])))</f>
        <v/>
      </c>
      <c r="R106" s="176" t="str">
        <f aca="false">IF(INDEX(Salary_Calculation[Source Row],ROW()-ROW(Payslip_Lookup[#Headers]))="","",INDEX(Salary_Calculation[Extra-Order Bonus],ROW()-ROW(Payslip_Lookup[#Headers])))</f>
        <v/>
      </c>
      <c r="S106" s="176" t="str">
        <f aca="false">IF(INDEX(Salary_Calculation[Source Row],ROW()-ROW(Payslip_Lookup[#Headers]))="","",INDEX(Salary_Calculation[Basic Salary for Target],ROW()-ROW(Payslip_Lookup[#Headers])))</f>
        <v/>
      </c>
      <c r="T106" s="176" t="str">
        <f aca="false">IF(INDEX(Salary_Calculation[Source Row],ROW()-ROW(Payslip_Lookup[#Headers]))="","",INDEX(Salary_Calculation[Gross Salary Before Deductions],ROW()-ROW(Payslip_Lookup[#Headers])))</f>
        <v/>
      </c>
      <c r="U106" s="176" t="str">
        <f aca="false">IF(INDEX(Salary_Calculation[Source Row],ROW()-ROW(Payslip_Lookup[#Headers]))="","",INDEX(Salary_Calculation[missed_days_penalty],ROW()-ROW(Payslip_Lookup[#Headers])))</f>
        <v/>
      </c>
      <c r="V106" s="176" t="str">
        <f aca="false">IF(INDEX(Salary_Calculation[Source Row],ROW()-ROW(Payslip_Lookup[#Headers]))="","",INDEX(Salary_Calculation[Rider Balance],ROW()-ROW(Payslip_Lookup[#Headers])))</f>
        <v/>
      </c>
      <c r="W106" s="176" t="str">
        <f aca="false">IF(INDEX(Salary_Calculation[Source Row],ROW()-ROW(Payslip_Lookup[#Headers]))="","",INDEX(Salary_Calculation[stacking_deduction],ROW()-ROW(Payslip_Lookup[#Headers])))</f>
        <v/>
      </c>
      <c r="X106" s="176" t="str">
        <f aca="false">IF(INDEX(Salary_Calculation[Source Row],ROW()-ROW(Payslip_Lookup[#Headers]))="","",INDEX(Salary_Calculation[Other Deductions],ROW()-ROW(Payslip_Lookup[#Headers])))</f>
        <v/>
      </c>
      <c r="Y106" s="176" t="str">
        <f aca="false">IF(INDEX(Salary_Calculation[Source Row],ROW()-ROW(Payslip_Lookup[#Headers]))="","",INDEX(Salary_Calculation[Total Deductions],ROW()-ROW(Payslip_Lookup[#Headers])))</f>
        <v/>
      </c>
      <c r="Z106" s="176" t="str">
        <f aca="false">IF(INDEX(Salary_Calculation[Source Row],ROW()-ROW(Payslip_Lookup[#Headers]))="","",INDEX(Salary_Calculation[Final Salary],ROW()-ROW(Payslip_Lookup[#Headers])))</f>
        <v/>
      </c>
      <c r="AA106" s="176" t="str">
        <f aca="false">IF(INDEX(Salary_Calculation[Source Row],ROW()-ROW(Payslip_Lookup[#Headers]))="","",INDEX(Salary_Calculation[Negative Balance / Amount Due from Rider],ROW()-ROW(Payslip_Lookup[#Headers])))</f>
        <v/>
      </c>
      <c r="AB106" s="176" t="str">
        <f aca="false">IF(INDEX(Salary_Calculation[Source Row],ROW()-ROW(Payslip_Lookup[#Headers]))="","",INDEX(Salary_Calculation[Total Amount Due from Rider],ROW()-ROW(Payslip_Lookup[#Headers])))</f>
        <v/>
      </c>
      <c r="AC106" s="176" t="str">
        <f aca="false">IF(INDEX(Salary_Calculation[Source Row],ROW()-ROW(Payslip_Lookup[#Headers]))="","",INDEX(Salary_Calculation[Salary Before Other Deductions],ROW()-ROW(Payslip_Lookup[#Headers])))</f>
        <v/>
      </c>
      <c r="AD106" s="171" t="str">
        <f aca="false">IF(INDEX(Salary_Calculation[Source Row],ROW()-ROW(Payslip_Lookup[#Headers]))="","",INDEX(Salary_Calculation[Payment Status],ROW()-ROW(Payslip_Lookup[#Headers])))</f>
        <v/>
      </c>
      <c r="AE106" s="171" t="str">
        <f aca="false">IF(INDEX(Salary_Calculation[Source Row],ROW()-ROW(Payslip_Lookup[#Headers]))="","",INDEX(Salary_Calculation[Notes],ROW()-ROW(Payslip_Lookup[#Headers])))</f>
        <v/>
      </c>
      <c r="AF106" s="171" t="str">
        <f aca="false">IF(INDEX(Salary_Calculation[Source Row],ROW()-ROW(Payslip_Lookup[#Headers]))="","",INDEX(Salary_Calculation[Exception Reason],ROW()-ROW(Payslip_Lookup[#Headers])))</f>
        <v/>
      </c>
      <c r="AG106" s="173" t="str">
        <f aca="false">IF($AD106="Review Required",COUNTIF(AD$2:AD106,"Review Required"),"")</f>
        <v/>
      </c>
      <c r="AH106" s="173" t="str">
        <f aca="false">IF(AND($D106&lt;&gt;"",$B106=Payslip_Print!$C$2),MAX(AH$1:AH105)+1,"")</f>
        <v/>
      </c>
      <c r="AL106" s="178" t="str">
        <f aca="false">IFERROR(INDEX($D$2:$D$501,MATCH(ROW()-1,$AH$2:$AH$501,0)),"")</f>
        <v/>
      </c>
      <c r="AM106" s="179" t="str">
        <f aca="false">IF($Z106="","",IF(AND($C106&gt;=Dash_Start,$C106&lt;Dash_End),$Z106+ROW()/10000000,""))</f>
        <v/>
      </c>
    </row>
    <row r="107" customFormat="false" ht="14.25" hidden="false" customHeight="false" outlineLevel="0" collapsed="false">
      <c r="A107" s="171" t="str">
        <f aca="false">IF(Payslip_Lookup[[#This Row],[Rider ID]]="","",Payslip_Lookup[[#This Row],[Rider ID]]&amp;"|"&amp;Payslip_Lookup[[#This Row],[Month Key]])</f>
        <v/>
      </c>
      <c r="B107" s="172" t="str">
        <f aca="false">IF(ISNUMBER(Payslip_Lookup[[#This Row],[Salary Month]]),DATE(YEAR(Payslip_Lookup[[#This Row],[Salary Month]]),MONTH(Payslip_Lookup[[#This Row],[Salary Month]]),1),"")</f>
        <v/>
      </c>
      <c r="C107" s="172" t="str">
        <f aca="false">IF(INDEX(Salary_Calculation[Source Row],ROW()-ROW(Payslip_Lookup[#Headers]))="","",INDEX(Salary_Calculation[Salary Month],ROW()-ROW(Payslip_Lookup[#Headers])))</f>
        <v/>
      </c>
      <c r="D107" s="173" t="str">
        <f aca="false">IF(INDEX(Salary_Calculation[Source Row],ROW()-ROW(Payslip_Lookup[#Headers]))="","",INDEX(Salary_Calculation[Rider ID],ROW()-ROW(Payslip_Lookup[#Headers])))</f>
        <v/>
      </c>
      <c r="E107" s="171" t="str">
        <f aca="false">IF(INDEX(Salary_Calculation[Source Row],ROW()-ROW(Payslip_Lookup[#Headers]))="","",INDEX(Salary_Calculation[Rider Name],ROW()-ROW(Payslip_Lookup[#Headers])))</f>
        <v/>
      </c>
      <c r="F107" s="173" t="str">
        <f aca="false">IF(INDEX(Salary_Calculation[Source Row],ROW()-ROW(Payslip_Lookup[#Headers]))="","",INDEX(Salary_Calculation[Working Days],ROW()-ROW(Payslip_Lookup[#Headers])))</f>
        <v/>
      </c>
      <c r="G107" s="173" t="str">
        <f aca="false">IF(INDEX(Salary_Calculation[Source Row],ROW()-ROW(Payslip_Lookup[#Headers]))="","",INDEX(Salary_Calculation[Calendar Days],ROW()-ROW(Payslip_Lookup[#Headers])))</f>
        <v/>
      </c>
      <c r="H107" s="174" t="str">
        <f aca="false">IF(INDEX(Salary_Calculation[Source Row],ROW()-ROW(Payslip_Lookup[#Headers]))="","",INDEX(Salary_Calculation[Monthly Target Orders],ROW()-ROW(Payslip_Lookup[#Headers])))</f>
        <v/>
      </c>
      <c r="I107" s="174" t="str">
        <f aca="false">IF(INDEX(Salary_Calculation[Source Row],ROW()-ROW(Payslip_Lookup[#Headers]))="","",INDEX(Salary_Calculation[Rider Target Orders],ROW()-ROW(Payslip_Lookup[#Headers])))</f>
        <v/>
      </c>
      <c r="J107" s="175" t="str">
        <f aca="false">IF(INDEX(Salary_Calculation[Source Row],ROW()-ROW(Payslip_Lookup[#Headers]))="","",INDEX(Salary_Calculation[Completed Orders],ROW()-ROW(Payslip_Lookup[#Headers])))</f>
        <v/>
      </c>
      <c r="K107" s="174" t="str">
        <f aca="false">IF(INDEX(Salary_Calculation[Source Row],ROW()-ROW(Payslip_Lookup[#Headers]))="","",INDEX(Salary_Calculation[Base Order Rate],ROW()-ROW(Payslip_Lookup[#Headers])))</f>
        <v/>
      </c>
      <c r="L107" s="176" t="str">
        <f aca="false">IF(INDEX(Salary_Calculation[Source Row],ROW()-ROW(Payslip_Lookup[#Headers]))="","",INDEX(Salary_Calculation[Basic Payment],ROW()-ROW(Payslip_Lookup[#Headers])))</f>
        <v/>
      </c>
      <c r="M107" s="176" t="str">
        <f aca="false">IF(INDEX(Salary_Calculation[Source Row],ROW()-ROW(Payslip_Lookup[#Headers]))="","",INDEX(Salary_Calculation[Earned Salary],ROW()-ROW(Payslip_Lookup[#Headers])))</f>
        <v/>
      </c>
      <c r="N107" s="174" t="str">
        <f aca="false">IF(INDEX(Salary_Calculation[Source Row],ROW()-ROW(Payslip_Lookup[#Headers]))="","",INDEX(Salary_Calculation[Orders Counted at Base Rate],ROW()-ROW(Payslip_Lookup[#Headers])))</f>
        <v/>
      </c>
      <c r="O107" s="174" t="str">
        <f aca="false">IF(INDEX(Salary_Calculation[Source Row],ROW()-ROW(Payslip_Lookup[#Headers]))="","",INDEX(Salary_Calculation[Missing Orders],ROW()-ROW(Payslip_Lookup[#Headers])))</f>
        <v/>
      </c>
      <c r="P107" s="176" t="str">
        <f aca="false">IF(INDEX(Salary_Calculation[Source Row],ROW()-ROW(Payslip_Lookup[#Headers]))="","",INDEX(Salary_Calculation[Missing-Order Deduction],ROW()-ROW(Payslip_Lookup[#Headers])))</f>
        <v/>
      </c>
      <c r="Q107" s="174" t="str">
        <f aca="false">IF(INDEX(Salary_Calculation[Source Row],ROW()-ROW(Payslip_Lookup[#Headers]))="","",INDEX(Salary_Calculation[Extra Orders],ROW()-ROW(Payslip_Lookup[#Headers])))</f>
        <v/>
      </c>
      <c r="R107" s="176" t="str">
        <f aca="false">IF(INDEX(Salary_Calculation[Source Row],ROW()-ROW(Payslip_Lookup[#Headers]))="","",INDEX(Salary_Calculation[Extra-Order Bonus],ROW()-ROW(Payslip_Lookup[#Headers])))</f>
        <v/>
      </c>
      <c r="S107" s="176" t="str">
        <f aca="false">IF(INDEX(Salary_Calculation[Source Row],ROW()-ROW(Payslip_Lookup[#Headers]))="","",INDEX(Salary_Calculation[Basic Salary for Target],ROW()-ROW(Payslip_Lookup[#Headers])))</f>
        <v/>
      </c>
      <c r="T107" s="176" t="str">
        <f aca="false">IF(INDEX(Salary_Calculation[Source Row],ROW()-ROW(Payslip_Lookup[#Headers]))="","",INDEX(Salary_Calculation[Gross Salary Before Deductions],ROW()-ROW(Payslip_Lookup[#Headers])))</f>
        <v/>
      </c>
      <c r="U107" s="176" t="str">
        <f aca="false">IF(INDEX(Salary_Calculation[Source Row],ROW()-ROW(Payslip_Lookup[#Headers]))="","",INDEX(Salary_Calculation[missed_days_penalty],ROW()-ROW(Payslip_Lookup[#Headers])))</f>
        <v/>
      </c>
      <c r="V107" s="176" t="str">
        <f aca="false">IF(INDEX(Salary_Calculation[Source Row],ROW()-ROW(Payslip_Lookup[#Headers]))="","",INDEX(Salary_Calculation[Rider Balance],ROW()-ROW(Payslip_Lookup[#Headers])))</f>
        <v/>
      </c>
      <c r="W107" s="176" t="str">
        <f aca="false">IF(INDEX(Salary_Calculation[Source Row],ROW()-ROW(Payslip_Lookup[#Headers]))="","",INDEX(Salary_Calculation[stacking_deduction],ROW()-ROW(Payslip_Lookup[#Headers])))</f>
        <v/>
      </c>
      <c r="X107" s="176" t="str">
        <f aca="false">IF(INDEX(Salary_Calculation[Source Row],ROW()-ROW(Payslip_Lookup[#Headers]))="","",INDEX(Salary_Calculation[Other Deductions],ROW()-ROW(Payslip_Lookup[#Headers])))</f>
        <v/>
      </c>
      <c r="Y107" s="176" t="str">
        <f aca="false">IF(INDEX(Salary_Calculation[Source Row],ROW()-ROW(Payslip_Lookup[#Headers]))="","",INDEX(Salary_Calculation[Total Deductions],ROW()-ROW(Payslip_Lookup[#Headers])))</f>
        <v/>
      </c>
      <c r="Z107" s="176" t="str">
        <f aca="false">IF(INDEX(Salary_Calculation[Source Row],ROW()-ROW(Payslip_Lookup[#Headers]))="","",INDEX(Salary_Calculation[Final Salary],ROW()-ROW(Payslip_Lookup[#Headers])))</f>
        <v/>
      </c>
      <c r="AA107" s="176" t="str">
        <f aca="false">IF(INDEX(Salary_Calculation[Source Row],ROW()-ROW(Payslip_Lookup[#Headers]))="","",INDEX(Salary_Calculation[Negative Balance / Amount Due from Rider],ROW()-ROW(Payslip_Lookup[#Headers])))</f>
        <v/>
      </c>
      <c r="AB107" s="176" t="str">
        <f aca="false">IF(INDEX(Salary_Calculation[Source Row],ROW()-ROW(Payslip_Lookup[#Headers]))="","",INDEX(Salary_Calculation[Total Amount Due from Rider],ROW()-ROW(Payslip_Lookup[#Headers])))</f>
        <v/>
      </c>
      <c r="AC107" s="176" t="str">
        <f aca="false">IF(INDEX(Salary_Calculation[Source Row],ROW()-ROW(Payslip_Lookup[#Headers]))="","",INDEX(Salary_Calculation[Salary Before Other Deductions],ROW()-ROW(Payslip_Lookup[#Headers])))</f>
        <v/>
      </c>
      <c r="AD107" s="171" t="str">
        <f aca="false">IF(INDEX(Salary_Calculation[Source Row],ROW()-ROW(Payslip_Lookup[#Headers]))="","",INDEX(Salary_Calculation[Payment Status],ROW()-ROW(Payslip_Lookup[#Headers])))</f>
        <v/>
      </c>
      <c r="AE107" s="171" t="str">
        <f aca="false">IF(INDEX(Salary_Calculation[Source Row],ROW()-ROW(Payslip_Lookup[#Headers]))="","",INDEX(Salary_Calculation[Notes],ROW()-ROW(Payslip_Lookup[#Headers])))</f>
        <v/>
      </c>
      <c r="AF107" s="171" t="str">
        <f aca="false">IF(INDEX(Salary_Calculation[Source Row],ROW()-ROW(Payslip_Lookup[#Headers]))="","",INDEX(Salary_Calculation[Exception Reason],ROW()-ROW(Payslip_Lookup[#Headers])))</f>
        <v/>
      </c>
      <c r="AG107" s="173" t="str">
        <f aca="false">IF($AD107="Review Required",COUNTIF(AD$2:AD107,"Review Required"),"")</f>
        <v/>
      </c>
      <c r="AH107" s="173" t="str">
        <f aca="false">IF(AND($D107&lt;&gt;"",$B107=Payslip_Print!$C$2),MAX(AH$1:AH106)+1,"")</f>
        <v/>
      </c>
      <c r="AL107" s="178" t="str">
        <f aca="false">IFERROR(INDEX($D$2:$D$501,MATCH(ROW()-1,$AH$2:$AH$501,0)),"")</f>
        <v/>
      </c>
      <c r="AM107" s="179" t="str">
        <f aca="false">IF($Z107="","",IF(AND($C107&gt;=Dash_Start,$C107&lt;Dash_End),$Z107+ROW()/10000000,""))</f>
        <v/>
      </c>
    </row>
    <row r="108" customFormat="false" ht="14.25" hidden="false" customHeight="false" outlineLevel="0" collapsed="false">
      <c r="A108" s="171" t="str">
        <f aca="false">IF(Payslip_Lookup[[#This Row],[Rider ID]]="","",Payslip_Lookup[[#This Row],[Rider ID]]&amp;"|"&amp;Payslip_Lookup[[#This Row],[Month Key]])</f>
        <v/>
      </c>
      <c r="B108" s="172" t="str">
        <f aca="false">IF(ISNUMBER(Payslip_Lookup[[#This Row],[Salary Month]]),DATE(YEAR(Payslip_Lookup[[#This Row],[Salary Month]]),MONTH(Payslip_Lookup[[#This Row],[Salary Month]]),1),"")</f>
        <v/>
      </c>
      <c r="C108" s="172" t="str">
        <f aca="false">IF(INDEX(Salary_Calculation[Source Row],ROW()-ROW(Payslip_Lookup[#Headers]))="","",INDEX(Salary_Calculation[Salary Month],ROW()-ROW(Payslip_Lookup[#Headers])))</f>
        <v/>
      </c>
      <c r="D108" s="173" t="str">
        <f aca="false">IF(INDEX(Salary_Calculation[Source Row],ROW()-ROW(Payslip_Lookup[#Headers]))="","",INDEX(Salary_Calculation[Rider ID],ROW()-ROW(Payslip_Lookup[#Headers])))</f>
        <v/>
      </c>
      <c r="E108" s="171" t="str">
        <f aca="false">IF(INDEX(Salary_Calculation[Source Row],ROW()-ROW(Payslip_Lookup[#Headers]))="","",INDEX(Salary_Calculation[Rider Name],ROW()-ROW(Payslip_Lookup[#Headers])))</f>
        <v/>
      </c>
      <c r="F108" s="173" t="str">
        <f aca="false">IF(INDEX(Salary_Calculation[Source Row],ROW()-ROW(Payslip_Lookup[#Headers]))="","",INDEX(Salary_Calculation[Working Days],ROW()-ROW(Payslip_Lookup[#Headers])))</f>
        <v/>
      </c>
      <c r="G108" s="173" t="str">
        <f aca="false">IF(INDEX(Salary_Calculation[Source Row],ROW()-ROW(Payslip_Lookup[#Headers]))="","",INDEX(Salary_Calculation[Calendar Days],ROW()-ROW(Payslip_Lookup[#Headers])))</f>
        <v/>
      </c>
      <c r="H108" s="174" t="str">
        <f aca="false">IF(INDEX(Salary_Calculation[Source Row],ROW()-ROW(Payslip_Lookup[#Headers]))="","",INDEX(Salary_Calculation[Monthly Target Orders],ROW()-ROW(Payslip_Lookup[#Headers])))</f>
        <v/>
      </c>
      <c r="I108" s="174" t="str">
        <f aca="false">IF(INDEX(Salary_Calculation[Source Row],ROW()-ROW(Payslip_Lookup[#Headers]))="","",INDEX(Salary_Calculation[Rider Target Orders],ROW()-ROW(Payslip_Lookup[#Headers])))</f>
        <v/>
      </c>
      <c r="J108" s="175" t="str">
        <f aca="false">IF(INDEX(Salary_Calculation[Source Row],ROW()-ROW(Payslip_Lookup[#Headers]))="","",INDEX(Salary_Calculation[Completed Orders],ROW()-ROW(Payslip_Lookup[#Headers])))</f>
        <v/>
      </c>
      <c r="K108" s="174" t="str">
        <f aca="false">IF(INDEX(Salary_Calculation[Source Row],ROW()-ROW(Payslip_Lookup[#Headers]))="","",INDEX(Salary_Calculation[Base Order Rate],ROW()-ROW(Payslip_Lookup[#Headers])))</f>
        <v/>
      </c>
      <c r="L108" s="176" t="str">
        <f aca="false">IF(INDEX(Salary_Calculation[Source Row],ROW()-ROW(Payslip_Lookup[#Headers]))="","",INDEX(Salary_Calculation[Basic Payment],ROW()-ROW(Payslip_Lookup[#Headers])))</f>
        <v/>
      </c>
      <c r="M108" s="176" t="str">
        <f aca="false">IF(INDEX(Salary_Calculation[Source Row],ROW()-ROW(Payslip_Lookup[#Headers]))="","",INDEX(Salary_Calculation[Earned Salary],ROW()-ROW(Payslip_Lookup[#Headers])))</f>
        <v/>
      </c>
      <c r="N108" s="174" t="str">
        <f aca="false">IF(INDEX(Salary_Calculation[Source Row],ROW()-ROW(Payslip_Lookup[#Headers]))="","",INDEX(Salary_Calculation[Orders Counted at Base Rate],ROW()-ROW(Payslip_Lookup[#Headers])))</f>
        <v/>
      </c>
      <c r="O108" s="174" t="str">
        <f aca="false">IF(INDEX(Salary_Calculation[Source Row],ROW()-ROW(Payslip_Lookup[#Headers]))="","",INDEX(Salary_Calculation[Missing Orders],ROW()-ROW(Payslip_Lookup[#Headers])))</f>
        <v/>
      </c>
      <c r="P108" s="176" t="str">
        <f aca="false">IF(INDEX(Salary_Calculation[Source Row],ROW()-ROW(Payslip_Lookup[#Headers]))="","",INDEX(Salary_Calculation[Missing-Order Deduction],ROW()-ROW(Payslip_Lookup[#Headers])))</f>
        <v/>
      </c>
      <c r="Q108" s="174" t="str">
        <f aca="false">IF(INDEX(Salary_Calculation[Source Row],ROW()-ROW(Payslip_Lookup[#Headers]))="","",INDEX(Salary_Calculation[Extra Orders],ROW()-ROW(Payslip_Lookup[#Headers])))</f>
        <v/>
      </c>
      <c r="R108" s="176" t="str">
        <f aca="false">IF(INDEX(Salary_Calculation[Source Row],ROW()-ROW(Payslip_Lookup[#Headers]))="","",INDEX(Salary_Calculation[Extra-Order Bonus],ROW()-ROW(Payslip_Lookup[#Headers])))</f>
        <v/>
      </c>
      <c r="S108" s="176" t="str">
        <f aca="false">IF(INDEX(Salary_Calculation[Source Row],ROW()-ROW(Payslip_Lookup[#Headers]))="","",INDEX(Salary_Calculation[Basic Salary for Target],ROW()-ROW(Payslip_Lookup[#Headers])))</f>
        <v/>
      </c>
      <c r="T108" s="176" t="str">
        <f aca="false">IF(INDEX(Salary_Calculation[Source Row],ROW()-ROW(Payslip_Lookup[#Headers]))="","",INDEX(Salary_Calculation[Gross Salary Before Deductions],ROW()-ROW(Payslip_Lookup[#Headers])))</f>
        <v/>
      </c>
      <c r="U108" s="176" t="str">
        <f aca="false">IF(INDEX(Salary_Calculation[Source Row],ROW()-ROW(Payslip_Lookup[#Headers]))="","",INDEX(Salary_Calculation[missed_days_penalty],ROW()-ROW(Payslip_Lookup[#Headers])))</f>
        <v/>
      </c>
      <c r="V108" s="176" t="str">
        <f aca="false">IF(INDEX(Salary_Calculation[Source Row],ROW()-ROW(Payslip_Lookup[#Headers]))="","",INDEX(Salary_Calculation[Rider Balance],ROW()-ROW(Payslip_Lookup[#Headers])))</f>
        <v/>
      </c>
      <c r="W108" s="176" t="str">
        <f aca="false">IF(INDEX(Salary_Calculation[Source Row],ROW()-ROW(Payslip_Lookup[#Headers]))="","",INDEX(Salary_Calculation[stacking_deduction],ROW()-ROW(Payslip_Lookup[#Headers])))</f>
        <v/>
      </c>
      <c r="X108" s="176" t="str">
        <f aca="false">IF(INDEX(Salary_Calculation[Source Row],ROW()-ROW(Payslip_Lookup[#Headers]))="","",INDEX(Salary_Calculation[Other Deductions],ROW()-ROW(Payslip_Lookup[#Headers])))</f>
        <v/>
      </c>
      <c r="Y108" s="176" t="str">
        <f aca="false">IF(INDEX(Salary_Calculation[Source Row],ROW()-ROW(Payslip_Lookup[#Headers]))="","",INDEX(Salary_Calculation[Total Deductions],ROW()-ROW(Payslip_Lookup[#Headers])))</f>
        <v/>
      </c>
      <c r="Z108" s="176" t="str">
        <f aca="false">IF(INDEX(Salary_Calculation[Source Row],ROW()-ROW(Payslip_Lookup[#Headers]))="","",INDEX(Salary_Calculation[Final Salary],ROW()-ROW(Payslip_Lookup[#Headers])))</f>
        <v/>
      </c>
      <c r="AA108" s="176" t="str">
        <f aca="false">IF(INDEX(Salary_Calculation[Source Row],ROW()-ROW(Payslip_Lookup[#Headers]))="","",INDEX(Salary_Calculation[Negative Balance / Amount Due from Rider],ROW()-ROW(Payslip_Lookup[#Headers])))</f>
        <v/>
      </c>
      <c r="AB108" s="176" t="str">
        <f aca="false">IF(INDEX(Salary_Calculation[Source Row],ROW()-ROW(Payslip_Lookup[#Headers]))="","",INDEX(Salary_Calculation[Total Amount Due from Rider],ROW()-ROW(Payslip_Lookup[#Headers])))</f>
        <v/>
      </c>
      <c r="AC108" s="176" t="str">
        <f aca="false">IF(INDEX(Salary_Calculation[Source Row],ROW()-ROW(Payslip_Lookup[#Headers]))="","",INDEX(Salary_Calculation[Salary Before Other Deductions],ROW()-ROW(Payslip_Lookup[#Headers])))</f>
        <v/>
      </c>
      <c r="AD108" s="171" t="str">
        <f aca="false">IF(INDEX(Salary_Calculation[Source Row],ROW()-ROW(Payslip_Lookup[#Headers]))="","",INDEX(Salary_Calculation[Payment Status],ROW()-ROW(Payslip_Lookup[#Headers])))</f>
        <v/>
      </c>
      <c r="AE108" s="171" t="str">
        <f aca="false">IF(INDEX(Salary_Calculation[Source Row],ROW()-ROW(Payslip_Lookup[#Headers]))="","",INDEX(Salary_Calculation[Notes],ROW()-ROW(Payslip_Lookup[#Headers])))</f>
        <v/>
      </c>
      <c r="AF108" s="171" t="str">
        <f aca="false">IF(INDEX(Salary_Calculation[Source Row],ROW()-ROW(Payslip_Lookup[#Headers]))="","",INDEX(Salary_Calculation[Exception Reason],ROW()-ROW(Payslip_Lookup[#Headers])))</f>
        <v/>
      </c>
      <c r="AG108" s="173" t="str">
        <f aca="false">IF($AD108="Review Required",COUNTIF(AD$2:AD108,"Review Required"),"")</f>
        <v/>
      </c>
      <c r="AH108" s="173" t="str">
        <f aca="false">IF(AND($D108&lt;&gt;"",$B108=Payslip_Print!$C$2),MAX(AH$1:AH107)+1,"")</f>
        <v/>
      </c>
      <c r="AL108" s="178" t="str">
        <f aca="false">IFERROR(INDEX($D$2:$D$501,MATCH(ROW()-1,$AH$2:$AH$501,0)),"")</f>
        <v/>
      </c>
      <c r="AM108" s="179" t="str">
        <f aca="false">IF($Z108="","",IF(AND($C108&gt;=Dash_Start,$C108&lt;Dash_End),$Z108+ROW()/10000000,""))</f>
        <v/>
      </c>
    </row>
    <row r="109" customFormat="false" ht="14.25" hidden="false" customHeight="false" outlineLevel="0" collapsed="false">
      <c r="A109" s="171" t="str">
        <f aca="false">IF(Payslip_Lookup[[#This Row],[Rider ID]]="","",Payslip_Lookup[[#This Row],[Rider ID]]&amp;"|"&amp;Payslip_Lookup[[#This Row],[Month Key]])</f>
        <v/>
      </c>
      <c r="B109" s="172" t="str">
        <f aca="false">IF(ISNUMBER(Payslip_Lookup[[#This Row],[Salary Month]]),DATE(YEAR(Payslip_Lookup[[#This Row],[Salary Month]]),MONTH(Payslip_Lookup[[#This Row],[Salary Month]]),1),"")</f>
        <v/>
      </c>
      <c r="C109" s="172" t="str">
        <f aca="false">IF(INDEX(Salary_Calculation[Source Row],ROW()-ROW(Payslip_Lookup[#Headers]))="","",INDEX(Salary_Calculation[Salary Month],ROW()-ROW(Payslip_Lookup[#Headers])))</f>
        <v/>
      </c>
      <c r="D109" s="173" t="str">
        <f aca="false">IF(INDEX(Salary_Calculation[Source Row],ROW()-ROW(Payslip_Lookup[#Headers]))="","",INDEX(Salary_Calculation[Rider ID],ROW()-ROW(Payslip_Lookup[#Headers])))</f>
        <v/>
      </c>
      <c r="E109" s="171" t="str">
        <f aca="false">IF(INDEX(Salary_Calculation[Source Row],ROW()-ROW(Payslip_Lookup[#Headers]))="","",INDEX(Salary_Calculation[Rider Name],ROW()-ROW(Payslip_Lookup[#Headers])))</f>
        <v/>
      </c>
      <c r="F109" s="173" t="str">
        <f aca="false">IF(INDEX(Salary_Calculation[Source Row],ROW()-ROW(Payslip_Lookup[#Headers]))="","",INDEX(Salary_Calculation[Working Days],ROW()-ROW(Payslip_Lookup[#Headers])))</f>
        <v/>
      </c>
      <c r="G109" s="173" t="str">
        <f aca="false">IF(INDEX(Salary_Calculation[Source Row],ROW()-ROW(Payslip_Lookup[#Headers]))="","",INDEX(Salary_Calculation[Calendar Days],ROW()-ROW(Payslip_Lookup[#Headers])))</f>
        <v/>
      </c>
      <c r="H109" s="174" t="str">
        <f aca="false">IF(INDEX(Salary_Calculation[Source Row],ROW()-ROW(Payslip_Lookup[#Headers]))="","",INDEX(Salary_Calculation[Monthly Target Orders],ROW()-ROW(Payslip_Lookup[#Headers])))</f>
        <v/>
      </c>
      <c r="I109" s="174" t="str">
        <f aca="false">IF(INDEX(Salary_Calculation[Source Row],ROW()-ROW(Payslip_Lookup[#Headers]))="","",INDEX(Salary_Calculation[Rider Target Orders],ROW()-ROW(Payslip_Lookup[#Headers])))</f>
        <v/>
      </c>
      <c r="J109" s="175" t="str">
        <f aca="false">IF(INDEX(Salary_Calculation[Source Row],ROW()-ROW(Payslip_Lookup[#Headers]))="","",INDEX(Salary_Calculation[Completed Orders],ROW()-ROW(Payslip_Lookup[#Headers])))</f>
        <v/>
      </c>
      <c r="K109" s="174" t="str">
        <f aca="false">IF(INDEX(Salary_Calculation[Source Row],ROW()-ROW(Payslip_Lookup[#Headers]))="","",INDEX(Salary_Calculation[Base Order Rate],ROW()-ROW(Payslip_Lookup[#Headers])))</f>
        <v/>
      </c>
      <c r="L109" s="176" t="str">
        <f aca="false">IF(INDEX(Salary_Calculation[Source Row],ROW()-ROW(Payslip_Lookup[#Headers]))="","",INDEX(Salary_Calculation[Basic Payment],ROW()-ROW(Payslip_Lookup[#Headers])))</f>
        <v/>
      </c>
      <c r="M109" s="176" t="str">
        <f aca="false">IF(INDEX(Salary_Calculation[Source Row],ROW()-ROW(Payslip_Lookup[#Headers]))="","",INDEX(Salary_Calculation[Earned Salary],ROW()-ROW(Payslip_Lookup[#Headers])))</f>
        <v/>
      </c>
      <c r="N109" s="174" t="str">
        <f aca="false">IF(INDEX(Salary_Calculation[Source Row],ROW()-ROW(Payslip_Lookup[#Headers]))="","",INDEX(Salary_Calculation[Orders Counted at Base Rate],ROW()-ROW(Payslip_Lookup[#Headers])))</f>
        <v/>
      </c>
      <c r="O109" s="174" t="str">
        <f aca="false">IF(INDEX(Salary_Calculation[Source Row],ROW()-ROW(Payslip_Lookup[#Headers]))="","",INDEX(Salary_Calculation[Missing Orders],ROW()-ROW(Payslip_Lookup[#Headers])))</f>
        <v/>
      </c>
      <c r="P109" s="176" t="str">
        <f aca="false">IF(INDEX(Salary_Calculation[Source Row],ROW()-ROW(Payslip_Lookup[#Headers]))="","",INDEX(Salary_Calculation[Missing-Order Deduction],ROW()-ROW(Payslip_Lookup[#Headers])))</f>
        <v/>
      </c>
      <c r="Q109" s="174" t="str">
        <f aca="false">IF(INDEX(Salary_Calculation[Source Row],ROW()-ROW(Payslip_Lookup[#Headers]))="","",INDEX(Salary_Calculation[Extra Orders],ROW()-ROW(Payslip_Lookup[#Headers])))</f>
        <v/>
      </c>
      <c r="R109" s="176" t="str">
        <f aca="false">IF(INDEX(Salary_Calculation[Source Row],ROW()-ROW(Payslip_Lookup[#Headers]))="","",INDEX(Salary_Calculation[Extra-Order Bonus],ROW()-ROW(Payslip_Lookup[#Headers])))</f>
        <v/>
      </c>
      <c r="S109" s="176" t="str">
        <f aca="false">IF(INDEX(Salary_Calculation[Source Row],ROW()-ROW(Payslip_Lookup[#Headers]))="","",INDEX(Salary_Calculation[Basic Salary for Target],ROW()-ROW(Payslip_Lookup[#Headers])))</f>
        <v/>
      </c>
      <c r="T109" s="176" t="str">
        <f aca="false">IF(INDEX(Salary_Calculation[Source Row],ROW()-ROW(Payslip_Lookup[#Headers]))="","",INDEX(Salary_Calculation[Gross Salary Before Deductions],ROW()-ROW(Payslip_Lookup[#Headers])))</f>
        <v/>
      </c>
      <c r="U109" s="176" t="str">
        <f aca="false">IF(INDEX(Salary_Calculation[Source Row],ROW()-ROW(Payslip_Lookup[#Headers]))="","",INDEX(Salary_Calculation[missed_days_penalty],ROW()-ROW(Payslip_Lookup[#Headers])))</f>
        <v/>
      </c>
      <c r="V109" s="176" t="str">
        <f aca="false">IF(INDEX(Salary_Calculation[Source Row],ROW()-ROW(Payslip_Lookup[#Headers]))="","",INDEX(Salary_Calculation[Rider Balance],ROW()-ROW(Payslip_Lookup[#Headers])))</f>
        <v/>
      </c>
      <c r="W109" s="176" t="str">
        <f aca="false">IF(INDEX(Salary_Calculation[Source Row],ROW()-ROW(Payslip_Lookup[#Headers]))="","",INDEX(Salary_Calculation[stacking_deduction],ROW()-ROW(Payslip_Lookup[#Headers])))</f>
        <v/>
      </c>
      <c r="X109" s="176" t="str">
        <f aca="false">IF(INDEX(Salary_Calculation[Source Row],ROW()-ROW(Payslip_Lookup[#Headers]))="","",INDEX(Salary_Calculation[Other Deductions],ROW()-ROW(Payslip_Lookup[#Headers])))</f>
        <v/>
      </c>
      <c r="Y109" s="176" t="str">
        <f aca="false">IF(INDEX(Salary_Calculation[Source Row],ROW()-ROW(Payslip_Lookup[#Headers]))="","",INDEX(Salary_Calculation[Total Deductions],ROW()-ROW(Payslip_Lookup[#Headers])))</f>
        <v/>
      </c>
      <c r="Z109" s="176" t="str">
        <f aca="false">IF(INDEX(Salary_Calculation[Source Row],ROW()-ROW(Payslip_Lookup[#Headers]))="","",INDEX(Salary_Calculation[Final Salary],ROW()-ROW(Payslip_Lookup[#Headers])))</f>
        <v/>
      </c>
      <c r="AA109" s="176" t="str">
        <f aca="false">IF(INDEX(Salary_Calculation[Source Row],ROW()-ROW(Payslip_Lookup[#Headers]))="","",INDEX(Salary_Calculation[Negative Balance / Amount Due from Rider],ROW()-ROW(Payslip_Lookup[#Headers])))</f>
        <v/>
      </c>
      <c r="AB109" s="176" t="str">
        <f aca="false">IF(INDEX(Salary_Calculation[Source Row],ROW()-ROW(Payslip_Lookup[#Headers]))="","",INDEX(Salary_Calculation[Total Amount Due from Rider],ROW()-ROW(Payslip_Lookup[#Headers])))</f>
        <v/>
      </c>
      <c r="AC109" s="176" t="str">
        <f aca="false">IF(INDEX(Salary_Calculation[Source Row],ROW()-ROW(Payslip_Lookup[#Headers]))="","",INDEX(Salary_Calculation[Salary Before Other Deductions],ROW()-ROW(Payslip_Lookup[#Headers])))</f>
        <v/>
      </c>
      <c r="AD109" s="171" t="str">
        <f aca="false">IF(INDEX(Salary_Calculation[Source Row],ROW()-ROW(Payslip_Lookup[#Headers]))="","",INDEX(Salary_Calculation[Payment Status],ROW()-ROW(Payslip_Lookup[#Headers])))</f>
        <v/>
      </c>
      <c r="AE109" s="171" t="str">
        <f aca="false">IF(INDEX(Salary_Calculation[Source Row],ROW()-ROW(Payslip_Lookup[#Headers]))="","",INDEX(Salary_Calculation[Notes],ROW()-ROW(Payslip_Lookup[#Headers])))</f>
        <v/>
      </c>
      <c r="AF109" s="171" t="str">
        <f aca="false">IF(INDEX(Salary_Calculation[Source Row],ROW()-ROW(Payslip_Lookup[#Headers]))="","",INDEX(Salary_Calculation[Exception Reason],ROW()-ROW(Payslip_Lookup[#Headers])))</f>
        <v/>
      </c>
      <c r="AG109" s="173" t="str">
        <f aca="false">IF($AD109="Review Required",COUNTIF(AD$2:AD109,"Review Required"),"")</f>
        <v/>
      </c>
      <c r="AH109" s="173" t="str">
        <f aca="false">IF(AND($D109&lt;&gt;"",$B109=Payslip_Print!$C$2),MAX(AH$1:AH108)+1,"")</f>
        <v/>
      </c>
      <c r="AL109" s="178" t="str">
        <f aca="false">IFERROR(INDEX($D$2:$D$501,MATCH(ROW()-1,$AH$2:$AH$501,0)),"")</f>
        <v/>
      </c>
      <c r="AM109" s="179" t="str">
        <f aca="false">IF($Z109="","",IF(AND($C109&gt;=Dash_Start,$C109&lt;Dash_End),$Z109+ROW()/10000000,""))</f>
        <v/>
      </c>
    </row>
    <row r="110" customFormat="false" ht="14.25" hidden="false" customHeight="false" outlineLevel="0" collapsed="false">
      <c r="A110" s="171" t="str">
        <f aca="false">IF(Payslip_Lookup[[#This Row],[Rider ID]]="","",Payslip_Lookup[[#This Row],[Rider ID]]&amp;"|"&amp;Payslip_Lookup[[#This Row],[Month Key]])</f>
        <v/>
      </c>
      <c r="B110" s="172" t="str">
        <f aca="false">IF(ISNUMBER(Payslip_Lookup[[#This Row],[Salary Month]]),DATE(YEAR(Payslip_Lookup[[#This Row],[Salary Month]]),MONTH(Payslip_Lookup[[#This Row],[Salary Month]]),1),"")</f>
        <v/>
      </c>
      <c r="C110" s="172" t="str">
        <f aca="false">IF(INDEX(Salary_Calculation[Source Row],ROW()-ROW(Payslip_Lookup[#Headers]))="","",INDEX(Salary_Calculation[Salary Month],ROW()-ROW(Payslip_Lookup[#Headers])))</f>
        <v/>
      </c>
      <c r="D110" s="173" t="str">
        <f aca="false">IF(INDEX(Salary_Calculation[Source Row],ROW()-ROW(Payslip_Lookup[#Headers]))="","",INDEX(Salary_Calculation[Rider ID],ROW()-ROW(Payslip_Lookup[#Headers])))</f>
        <v/>
      </c>
      <c r="E110" s="171" t="str">
        <f aca="false">IF(INDEX(Salary_Calculation[Source Row],ROW()-ROW(Payslip_Lookup[#Headers]))="","",INDEX(Salary_Calculation[Rider Name],ROW()-ROW(Payslip_Lookup[#Headers])))</f>
        <v/>
      </c>
      <c r="F110" s="173" t="str">
        <f aca="false">IF(INDEX(Salary_Calculation[Source Row],ROW()-ROW(Payslip_Lookup[#Headers]))="","",INDEX(Salary_Calculation[Working Days],ROW()-ROW(Payslip_Lookup[#Headers])))</f>
        <v/>
      </c>
      <c r="G110" s="173" t="str">
        <f aca="false">IF(INDEX(Salary_Calculation[Source Row],ROW()-ROW(Payslip_Lookup[#Headers]))="","",INDEX(Salary_Calculation[Calendar Days],ROW()-ROW(Payslip_Lookup[#Headers])))</f>
        <v/>
      </c>
      <c r="H110" s="174" t="str">
        <f aca="false">IF(INDEX(Salary_Calculation[Source Row],ROW()-ROW(Payslip_Lookup[#Headers]))="","",INDEX(Salary_Calculation[Monthly Target Orders],ROW()-ROW(Payslip_Lookup[#Headers])))</f>
        <v/>
      </c>
      <c r="I110" s="174" t="str">
        <f aca="false">IF(INDEX(Salary_Calculation[Source Row],ROW()-ROW(Payslip_Lookup[#Headers]))="","",INDEX(Salary_Calculation[Rider Target Orders],ROW()-ROW(Payslip_Lookup[#Headers])))</f>
        <v/>
      </c>
      <c r="J110" s="175" t="str">
        <f aca="false">IF(INDEX(Salary_Calculation[Source Row],ROW()-ROW(Payslip_Lookup[#Headers]))="","",INDEX(Salary_Calculation[Completed Orders],ROW()-ROW(Payslip_Lookup[#Headers])))</f>
        <v/>
      </c>
      <c r="K110" s="174" t="str">
        <f aca="false">IF(INDEX(Salary_Calculation[Source Row],ROW()-ROW(Payslip_Lookup[#Headers]))="","",INDEX(Salary_Calculation[Base Order Rate],ROW()-ROW(Payslip_Lookup[#Headers])))</f>
        <v/>
      </c>
      <c r="L110" s="176" t="str">
        <f aca="false">IF(INDEX(Salary_Calculation[Source Row],ROW()-ROW(Payslip_Lookup[#Headers]))="","",INDEX(Salary_Calculation[Basic Payment],ROW()-ROW(Payslip_Lookup[#Headers])))</f>
        <v/>
      </c>
      <c r="M110" s="176" t="str">
        <f aca="false">IF(INDEX(Salary_Calculation[Source Row],ROW()-ROW(Payslip_Lookup[#Headers]))="","",INDEX(Salary_Calculation[Earned Salary],ROW()-ROW(Payslip_Lookup[#Headers])))</f>
        <v/>
      </c>
      <c r="N110" s="174" t="str">
        <f aca="false">IF(INDEX(Salary_Calculation[Source Row],ROW()-ROW(Payslip_Lookup[#Headers]))="","",INDEX(Salary_Calculation[Orders Counted at Base Rate],ROW()-ROW(Payslip_Lookup[#Headers])))</f>
        <v/>
      </c>
      <c r="O110" s="174" t="str">
        <f aca="false">IF(INDEX(Salary_Calculation[Source Row],ROW()-ROW(Payslip_Lookup[#Headers]))="","",INDEX(Salary_Calculation[Missing Orders],ROW()-ROW(Payslip_Lookup[#Headers])))</f>
        <v/>
      </c>
      <c r="P110" s="176" t="str">
        <f aca="false">IF(INDEX(Salary_Calculation[Source Row],ROW()-ROW(Payslip_Lookup[#Headers]))="","",INDEX(Salary_Calculation[Missing-Order Deduction],ROW()-ROW(Payslip_Lookup[#Headers])))</f>
        <v/>
      </c>
      <c r="Q110" s="174" t="str">
        <f aca="false">IF(INDEX(Salary_Calculation[Source Row],ROW()-ROW(Payslip_Lookup[#Headers]))="","",INDEX(Salary_Calculation[Extra Orders],ROW()-ROW(Payslip_Lookup[#Headers])))</f>
        <v/>
      </c>
      <c r="R110" s="176" t="str">
        <f aca="false">IF(INDEX(Salary_Calculation[Source Row],ROW()-ROW(Payslip_Lookup[#Headers]))="","",INDEX(Salary_Calculation[Extra-Order Bonus],ROW()-ROW(Payslip_Lookup[#Headers])))</f>
        <v/>
      </c>
      <c r="S110" s="176" t="str">
        <f aca="false">IF(INDEX(Salary_Calculation[Source Row],ROW()-ROW(Payslip_Lookup[#Headers]))="","",INDEX(Salary_Calculation[Basic Salary for Target],ROW()-ROW(Payslip_Lookup[#Headers])))</f>
        <v/>
      </c>
      <c r="T110" s="176" t="str">
        <f aca="false">IF(INDEX(Salary_Calculation[Source Row],ROW()-ROW(Payslip_Lookup[#Headers]))="","",INDEX(Salary_Calculation[Gross Salary Before Deductions],ROW()-ROW(Payslip_Lookup[#Headers])))</f>
        <v/>
      </c>
      <c r="U110" s="176" t="str">
        <f aca="false">IF(INDEX(Salary_Calculation[Source Row],ROW()-ROW(Payslip_Lookup[#Headers]))="","",INDEX(Salary_Calculation[missed_days_penalty],ROW()-ROW(Payslip_Lookup[#Headers])))</f>
        <v/>
      </c>
      <c r="V110" s="176" t="str">
        <f aca="false">IF(INDEX(Salary_Calculation[Source Row],ROW()-ROW(Payslip_Lookup[#Headers]))="","",INDEX(Salary_Calculation[Rider Balance],ROW()-ROW(Payslip_Lookup[#Headers])))</f>
        <v/>
      </c>
      <c r="W110" s="176" t="str">
        <f aca="false">IF(INDEX(Salary_Calculation[Source Row],ROW()-ROW(Payslip_Lookup[#Headers]))="","",INDEX(Salary_Calculation[stacking_deduction],ROW()-ROW(Payslip_Lookup[#Headers])))</f>
        <v/>
      </c>
      <c r="X110" s="176" t="str">
        <f aca="false">IF(INDEX(Salary_Calculation[Source Row],ROW()-ROW(Payslip_Lookup[#Headers]))="","",INDEX(Salary_Calculation[Other Deductions],ROW()-ROW(Payslip_Lookup[#Headers])))</f>
        <v/>
      </c>
      <c r="Y110" s="176" t="str">
        <f aca="false">IF(INDEX(Salary_Calculation[Source Row],ROW()-ROW(Payslip_Lookup[#Headers]))="","",INDEX(Salary_Calculation[Total Deductions],ROW()-ROW(Payslip_Lookup[#Headers])))</f>
        <v/>
      </c>
      <c r="Z110" s="176" t="str">
        <f aca="false">IF(INDEX(Salary_Calculation[Source Row],ROW()-ROW(Payslip_Lookup[#Headers]))="","",INDEX(Salary_Calculation[Final Salary],ROW()-ROW(Payslip_Lookup[#Headers])))</f>
        <v/>
      </c>
      <c r="AA110" s="176" t="str">
        <f aca="false">IF(INDEX(Salary_Calculation[Source Row],ROW()-ROW(Payslip_Lookup[#Headers]))="","",INDEX(Salary_Calculation[Negative Balance / Amount Due from Rider],ROW()-ROW(Payslip_Lookup[#Headers])))</f>
        <v/>
      </c>
      <c r="AB110" s="176" t="str">
        <f aca="false">IF(INDEX(Salary_Calculation[Source Row],ROW()-ROW(Payslip_Lookup[#Headers]))="","",INDEX(Salary_Calculation[Total Amount Due from Rider],ROW()-ROW(Payslip_Lookup[#Headers])))</f>
        <v/>
      </c>
      <c r="AC110" s="176" t="str">
        <f aca="false">IF(INDEX(Salary_Calculation[Source Row],ROW()-ROW(Payslip_Lookup[#Headers]))="","",INDEX(Salary_Calculation[Salary Before Other Deductions],ROW()-ROW(Payslip_Lookup[#Headers])))</f>
        <v/>
      </c>
      <c r="AD110" s="171" t="str">
        <f aca="false">IF(INDEX(Salary_Calculation[Source Row],ROW()-ROW(Payslip_Lookup[#Headers]))="","",INDEX(Salary_Calculation[Payment Status],ROW()-ROW(Payslip_Lookup[#Headers])))</f>
        <v/>
      </c>
      <c r="AE110" s="171" t="str">
        <f aca="false">IF(INDEX(Salary_Calculation[Source Row],ROW()-ROW(Payslip_Lookup[#Headers]))="","",INDEX(Salary_Calculation[Notes],ROW()-ROW(Payslip_Lookup[#Headers])))</f>
        <v/>
      </c>
      <c r="AF110" s="171" t="str">
        <f aca="false">IF(INDEX(Salary_Calculation[Source Row],ROW()-ROW(Payslip_Lookup[#Headers]))="","",INDEX(Salary_Calculation[Exception Reason],ROW()-ROW(Payslip_Lookup[#Headers])))</f>
        <v/>
      </c>
      <c r="AG110" s="173" t="str">
        <f aca="false">IF($AD110="Review Required",COUNTIF(AD$2:AD110,"Review Required"),"")</f>
        <v/>
      </c>
      <c r="AH110" s="173" t="str">
        <f aca="false">IF(AND($D110&lt;&gt;"",$B110=Payslip_Print!$C$2),MAX(AH$1:AH109)+1,"")</f>
        <v/>
      </c>
      <c r="AL110" s="178" t="str">
        <f aca="false">IFERROR(INDEX($D$2:$D$501,MATCH(ROW()-1,$AH$2:$AH$501,0)),"")</f>
        <v/>
      </c>
      <c r="AM110" s="179" t="str">
        <f aca="false">IF($Z110="","",IF(AND($C110&gt;=Dash_Start,$C110&lt;Dash_End),$Z110+ROW()/10000000,""))</f>
        <v/>
      </c>
    </row>
    <row r="111" customFormat="false" ht="14.25" hidden="false" customHeight="false" outlineLevel="0" collapsed="false">
      <c r="A111" s="171" t="str">
        <f aca="false">IF(Payslip_Lookup[[#This Row],[Rider ID]]="","",Payslip_Lookup[[#This Row],[Rider ID]]&amp;"|"&amp;Payslip_Lookup[[#This Row],[Month Key]])</f>
        <v/>
      </c>
      <c r="B111" s="172" t="str">
        <f aca="false">IF(ISNUMBER(Payslip_Lookup[[#This Row],[Salary Month]]),DATE(YEAR(Payslip_Lookup[[#This Row],[Salary Month]]),MONTH(Payslip_Lookup[[#This Row],[Salary Month]]),1),"")</f>
        <v/>
      </c>
      <c r="C111" s="172" t="str">
        <f aca="false">IF(INDEX(Salary_Calculation[Source Row],ROW()-ROW(Payslip_Lookup[#Headers]))="","",INDEX(Salary_Calculation[Salary Month],ROW()-ROW(Payslip_Lookup[#Headers])))</f>
        <v/>
      </c>
      <c r="D111" s="173" t="str">
        <f aca="false">IF(INDEX(Salary_Calculation[Source Row],ROW()-ROW(Payslip_Lookup[#Headers]))="","",INDEX(Salary_Calculation[Rider ID],ROW()-ROW(Payslip_Lookup[#Headers])))</f>
        <v/>
      </c>
      <c r="E111" s="171" t="str">
        <f aca="false">IF(INDEX(Salary_Calculation[Source Row],ROW()-ROW(Payslip_Lookup[#Headers]))="","",INDEX(Salary_Calculation[Rider Name],ROW()-ROW(Payslip_Lookup[#Headers])))</f>
        <v/>
      </c>
      <c r="F111" s="173" t="str">
        <f aca="false">IF(INDEX(Salary_Calculation[Source Row],ROW()-ROW(Payslip_Lookup[#Headers]))="","",INDEX(Salary_Calculation[Working Days],ROW()-ROW(Payslip_Lookup[#Headers])))</f>
        <v/>
      </c>
      <c r="G111" s="173" t="str">
        <f aca="false">IF(INDEX(Salary_Calculation[Source Row],ROW()-ROW(Payslip_Lookup[#Headers]))="","",INDEX(Salary_Calculation[Calendar Days],ROW()-ROW(Payslip_Lookup[#Headers])))</f>
        <v/>
      </c>
      <c r="H111" s="174" t="str">
        <f aca="false">IF(INDEX(Salary_Calculation[Source Row],ROW()-ROW(Payslip_Lookup[#Headers]))="","",INDEX(Salary_Calculation[Monthly Target Orders],ROW()-ROW(Payslip_Lookup[#Headers])))</f>
        <v/>
      </c>
      <c r="I111" s="174" t="str">
        <f aca="false">IF(INDEX(Salary_Calculation[Source Row],ROW()-ROW(Payslip_Lookup[#Headers]))="","",INDEX(Salary_Calculation[Rider Target Orders],ROW()-ROW(Payslip_Lookup[#Headers])))</f>
        <v/>
      </c>
      <c r="J111" s="175" t="str">
        <f aca="false">IF(INDEX(Salary_Calculation[Source Row],ROW()-ROW(Payslip_Lookup[#Headers]))="","",INDEX(Salary_Calculation[Completed Orders],ROW()-ROW(Payslip_Lookup[#Headers])))</f>
        <v/>
      </c>
      <c r="K111" s="174" t="str">
        <f aca="false">IF(INDEX(Salary_Calculation[Source Row],ROW()-ROW(Payslip_Lookup[#Headers]))="","",INDEX(Salary_Calculation[Base Order Rate],ROW()-ROW(Payslip_Lookup[#Headers])))</f>
        <v/>
      </c>
      <c r="L111" s="176" t="str">
        <f aca="false">IF(INDEX(Salary_Calculation[Source Row],ROW()-ROW(Payslip_Lookup[#Headers]))="","",INDEX(Salary_Calculation[Basic Payment],ROW()-ROW(Payslip_Lookup[#Headers])))</f>
        <v/>
      </c>
      <c r="M111" s="176" t="str">
        <f aca="false">IF(INDEX(Salary_Calculation[Source Row],ROW()-ROW(Payslip_Lookup[#Headers]))="","",INDEX(Salary_Calculation[Earned Salary],ROW()-ROW(Payslip_Lookup[#Headers])))</f>
        <v/>
      </c>
      <c r="N111" s="174" t="str">
        <f aca="false">IF(INDEX(Salary_Calculation[Source Row],ROW()-ROW(Payslip_Lookup[#Headers]))="","",INDEX(Salary_Calculation[Orders Counted at Base Rate],ROW()-ROW(Payslip_Lookup[#Headers])))</f>
        <v/>
      </c>
      <c r="O111" s="174" t="str">
        <f aca="false">IF(INDEX(Salary_Calculation[Source Row],ROW()-ROW(Payslip_Lookup[#Headers]))="","",INDEX(Salary_Calculation[Missing Orders],ROW()-ROW(Payslip_Lookup[#Headers])))</f>
        <v/>
      </c>
      <c r="P111" s="176" t="str">
        <f aca="false">IF(INDEX(Salary_Calculation[Source Row],ROW()-ROW(Payslip_Lookup[#Headers]))="","",INDEX(Salary_Calculation[Missing-Order Deduction],ROW()-ROW(Payslip_Lookup[#Headers])))</f>
        <v/>
      </c>
      <c r="Q111" s="174" t="str">
        <f aca="false">IF(INDEX(Salary_Calculation[Source Row],ROW()-ROW(Payslip_Lookup[#Headers]))="","",INDEX(Salary_Calculation[Extra Orders],ROW()-ROW(Payslip_Lookup[#Headers])))</f>
        <v/>
      </c>
      <c r="R111" s="176" t="str">
        <f aca="false">IF(INDEX(Salary_Calculation[Source Row],ROW()-ROW(Payslip_Lookup[#Headers]))="","",INDEX(Salary_Calculation[Extra-Order Bonus],ROW()-ROW(Payslip_Lookup[#Headers])))</f>
        <v/>
      </c>
      <c r="S111" s="176" t="str">
        <f aca="false">IF(INDEX(Salary_Calculation[Source Row],ROW()-ROW(Payslip_Lookup[#Headers]))="","",INDEX(Salary_Calculation[Basic Salary for Target],ROW()-ROW(Payslip_Lookup[#Headers])))</f>
        <v/>
      </c>
      <c r="T111" s="176" t="str">
        <f aca="false">IF(INDEX(Salary_Calculation[Source Row],ROW()-ROW(Payslip_Lookup[#Headers]))="","",INDEX(Salary_Calculation[Gross Salary Before Deductions],ROW()-ROW(Payslip_Lookup[#Headers])))</f>
        <v/>
      </c>
      <c r="U111" s="176" t="str">
        <f aca="false">IF(INDEX(Salary_Calculation[Source Row],ROW()-ROW(Payslip_Lookup[#Headers]))="","",INDEX(Salary_Calculation[missed_days_penalty],ROW()-ROW(Payslip_Lookup[#Headers])))</f>
        <v/>
      </c>
      <c r="V111" s="176" t="str">
        <f aca="false">IF(INDEX(Salary_Calculation[Source Row],ROW()-ROW(Payslip_Lookup[#Headers]))="","",INDEX(Salary_Calculation[Rider Balance],ROW()-ROW(Payslip_Lookup[#Headers])))</f>
        <v/>
      </c>
      <c r="W111" s="176" t="str">
        <f aca="false">IF(INDEX(Salary_Calculation[Source Row],ROW()-ROW(Payslip_Lookup[#Headers]))="","",INDEX(Salary_Calculation[stacking_deduction],ROW()-ROW(Payslip_Lookup[#Headers])))</f>
        <v/>
      </c>
      <c r="X111" s="176" t="str">
        <f aca="false">IF(INDEX(Salary_Calculation[Source Row],ROW()-ROW(Payslip_Lookup[#Headers]))="","",INDEX(Salary_Calculation[Other Deductions],ROW()-ROW(Payslip_Lookup[#Headers])))</f>
        <v/>
      </c>
      <c r="Y111" s="176" t="str">
        <f aca="false">IF(INDEX(Salary_Calculation[Source Row],ROW()-ROW(Payslip_Lookup[#Headers]))="","",INDEX(Salary_Calculation[Total Deductions],ROW()-ROW(Payslip_Lookup[#Headers])))</f>
        <v/>
      </c>
      <c r="Z111" s="176" t="str">
        <f aca="false">IF(INDEX(Salary_Calculation[Source Row],ROW()-ROW(Payslip_Lookup[#Headers]))="","",INDEX(Salary_Calculation[Final Salary],ROW()-ROW(Payslip_Lookup[#Headers])))</f>
        <v/>
      </c>
      <c r="AA111" s="176" t="str">
        <f aca="false">IF(INDEX(Salary_Calculation[Source Row],ROW()-ROW(Payslip_Lookup[#Headers]))="","",INDEX(Salary_Calculation[Negative Balance / Amount Due from Rider],ROW()-ROW(Payslip_Lookup[#Headers])))</f>
        <v/>
      </c>
      <c r="AB111" s="176" t="str">
        <f aca="false">IF(INDEX(Salary_Calculation[Source Row],ROW()-ROW(Payslip_Lookup[#Headers]))="","",INDEX(Salary_Calculation[Total Amount Due from Rider],ROW()-ROW(Payslip_Lookup[#Headers])))</f>
        <v/>
      </c>
      <c r="AC111" s="176" t="str">
        <f aca="false">IF(INDEX(Salary_Calculation[Source Row],ROW()-ROW(Payslip_Lookup[#Headers]))="","",INDEX(Salary_Calculation[Salary Before Other Deductions],ROW()-ROW(Payslip_Lookup[#Headers])))</f>
        <v/>
      </c>
      <c r="AD111" s="171" t="str">
        <f aca="false">IF(INDEX(Salary_Calculation[Source Row],ROW()-ROW(Payslip_Lookup[#Headers]))="","",INDEX(Salary_Calculation[Payment Status],ROW()-ROW(Payslip_Lookup[#Headers])))</f>
        <v/>
      </c>
      <c r="AE111" s="171" t="str">
        <f aca="false">IF(INDEX(Salary_Calculation[Source Row],ROW()-ROW(Payslip_Lookup[#Headers]))="","",INDEX(Salary_Calculation[Notes],ROW()-ROW(Payslip_Lookup[#Headers])))</f>
        <v/>
      </c>
      <c r="AF111" s="171" t="str">
        <f aca="false">IF(INDEX(Salary_Calculation[Source Row],ROW()-ROW(Payslip_Lookup[#Headers]))="","",INDEX(Salary_Calculation[Exception Reason],ROW()-ROW(Payslip_Lookup[#Headers])))</f>
        <v/>
      </c>
      <c r="AG111" s="173" t="str">
        <f aca="false">IF($AD111="Review Required",COUNTIF(AD$2:AD111,"Review Required"),"")</f>
        <v/>
      </c>
      <c r="AH111" s="173" t="str">
        <f aca="false">IF(AND($D111&lt;&gt;"",$B111=Payslip_Print!$C$2),MAX(AH$1:AH110)+1,"")</f>
        <v/>
      </c>
      <c r="AL111" s="178" t="str">
        <f aca="false">IFERROR(INDEX($D$2:$D$501,MATCH(ROW()-1,$AH$2:$AH$501,0)),"")</f>
        <v/>
      </c>
      <c r="AM111" s="179" t="str">
        <f aca="false">IF($Z111="","",IF(AND($C111&gt;=Dash_Start,$C111&lt;Dash_End),$Z111+ROW()/10000000,""))</f>
        <v/>
      </c>
    </row>
    <row r="112" customFormat="false" ht="14.25" hidden="false" customHeight="false" outlineLevel="0" collapsed="false">
      <c r="A112" s="171" t="str">
        <f aca="false">IF(Payslip_Lookup[[#This Row],[Rider ID]]="","",Payslip_Lookup[[#This Row],[Rider ID]]&amp;"|"&amp;Payslip_Lookup[[#This Row],[Month Key]])</f>
        <v/>
      </c>
      <c r="B112" s="172" t="str">
        <f aca="false">IF(ISNUMBER(Payslip_Lookup[[#This Row],[Salary Month]]),DATE(YEAR(Payslip_Lookup[[#This Row],[Salary Month]]),MONTH(Payslip_Lookup[[#This Row],[Salary Month]]),1),"")</f>
        <v/>
      </c>
      <c r="C112" s="172" t="str">
        <f aca="false">IF(INDEX(Salary_Calculation[Source Row],ROW()-ROW(Payslip_Lookup[#Headers]))="","",INDEX(Salary_Calculation[Salary Month],ROW()-ROW(Payslip_Lookup[#Headers])))</f>
        <v/>
      </c>
      <c r="D112" s="173" t="str">
        <f aca="false">IF(INDEX(Salary_Calculation[Source Row],ROW()-ROW(Payslip_Lookup[#Headers]))="","",INDEX(Salary_Calculation[Rider ID],ROW()-ROW(Payslip_Lookup[#Headers])))</f>
        <v/>
      </c>
      <c r="E112" s="171" t="str">
        <f aca="false">IF(INDEX(Salary_Calculation[Source Row],ROW()-ROW(Payslip_Lookup[#Headers]))="","",INDEX(Salary_Calculation[Rider Name],ROW()-ROW(Payslip_Lookup[#Headers])))</f>
        <v/>
      </c>
      <c r="F112" s="173" t="str">
        <f aca="false">IF(INDEX(Salary_Calculation[Source Row],ROW()-ROW(Payslip_Lookup[#Headers]))="","",INDEX(Salary_Calculation[Working Days],ROW()-ROW(Payslip_Lookup[#Headers])))</f>
        <v/>
      </c>
      <c r="G112" s="173" t="str">
        <f aca="false">IF(INDEX(Salary_Calculation[Source Row],ROW()-ROW(Payslip_Lookup[#Headers]))="","",INDEX(Salary_Calculation[Calendar Days],ROW()-ROW(Payslip_Lookup[#Headers])))</f>
        <v/>
      </c>
      <c r="H112" s="174" t="str">
        <f aca="false">IF(INDEX(Salary_Calculation[Source Row],ROW()-ROW(Payslip_Lookup[#Headers]))="","",INDEX(Salary_Calculation[Monthly Target Orders],ROW()-ROW(Payslip_Lookup[#Headers])))</f>
        <v/>
      </c>
      <c r="I112" s="174" t="str">
        <f aca="false">IF(INDEX(Salary_Calculation[Source Row],ROW()-ROW(Payslip_Lookup[#Headers]))="","",INDEX(Salary_Calculation[Rider Target Orders],ROW()-ROW(Payslip_Lookup[#Headers])))</f>
        <v/>
      </c>
      <c r="J112" s="175" t="str">
        <f aca="false">IF(INDEX(Salary_Calculation[Source Row],ROW()-ROW(Payslip_Lookup[#Headers]))="","",INDEX(Salary_Calculation[Completed Orders],ROW()-ROW(Payslip_Lookup[#Headers])))</f>
        <v/>
      </c>
      <c r="K112" s="174" t="str">
        <f aca="false">IF(INDEX(Salary_Calculation[Source Row],ROW()-ROW(Payslip_Lookup[#Headers]))="","",INDEX(Salary_Calculation[Base Order Rate],ROW()-ROW(Payslip_Lookup[#Headers])))</f>
        <v/>
      </c>
      <c r="L112" s="176" t="str">
        <f aca="false">IF(INDEX(Salary_Calculation[Source Row],ROW()-ROW(Payslip_Lookup[#Headers]))="","",INDEX(Salary_Calculation[Basic Payment],ROW()-ROW(Payslip_Lookup[#Headers])))</f>
        <v/>
      </c>
      <c r="M112" s="176" t="str">
        <f aca="false">IF(INDEX(Salary_Calculation[Source Row],ROW()-ROW(Payslip_Lookup[#Headers]))="","",INDEX(Salary_Calculation[Earned Salary],ROW()-ROW(Payslip_Lookup[#Headers])))</f>
        <v/>
      </c>
      <c r="N112" s="174" t="str">
        <f aca="false">IF(INDEX(Salary_Calculation[Source Row],ROW()-ROW(Payslip_Lookup[#Headers]))="","",INDEX(Salary_Calculation[Orders Counted at Base Rate],ROW()-ROW(Payslip_Lookup[#Headers])))</f>
        <v/>
      </c>
      <c r="O112" s="174" t="str">
        <f aca="false">IF(INDEX(Salary_Calculation[Source Row],ROW()-ROW(Payslip_Lookup[#Headers]))="","",INDEX(Salary_Calculation[Missing Orders],ROW()-ROW(Payslip_Lookup[#Headers])))</f>
        <v/>
      </c>
      <c r="P112" s="176" t="str">
        <f aca="false">IF(INDEX(Salary_Calculation[Source Row],ROW()-ROW(Payslip_Lookup[#Headers]))="","",INDEX(Salary_Calculation[Missing-Order Deduction],ROW()-ROW(Payslip_Lookup[#Headers])))</f>
        <v/>
      </c>
      <c r="Q112" s="174" t="str">
        <f aca="false">IF(INDEX(Salary_Calculation[Source Row],ROW()-ROW(Payslip_Lookup[#Headers]))="","",INDEX(Salary_Calculation[Extra Orders],ROW()-ROW(Payslip_Lookup[#Headers])))</f>
        <v/>
      </c>
      <c r="R112" s="176" t="str">
        <f aca="false">IF(INDEX(Salary_Calculation[Source Row],ROW()-ROW(Payslip_Lookup[#Headers]))="","",INDEX(Salary_Calculation[Extra-Order Bonus],ROW()-ROW(Payslip_Lookup[#Headers])))</f>
        <v/>
      </c>
      <c r="S112" s="176" t="str">
        <f aca="false">IF(INDEX(Salary_Calculation[Source Row],ROW()-ROW(Payslip_Lookup[#Headers]))="","",INDEX(Salary_Calculation[Basic Salary for Target],ROW()-ROW(Payslip_Lookup[#Headers])))</f>
        <v/>
      </c>
      <c r="T112" s="176" t="str">
        <f aca="false">IF(INDEX(Salary_Calculation[Source Row],ROW()-ROW(Payslip_Lookup[#Headers]))="","",INDEX(Salary_Calculation[Gross Salary Before Deductions],ROW()-ROW(Payslip_Lookup[#Headers])))</f>
        <v/>
      </c>
      <c r="U112" s="176" t="str">
        <f aca="false">IF(INDEX(Salary_Calculation[Source Row],ROW()-ROW(Payslip_Lookup[#Headers]))="","",INDEX(Salary_Calculation[missed_days_penalty],ROW()-ROW(Payslip_Lookup[#Headers])))</f>
        <v/>
      </c>
      <c r="V112" s="176" t="str">
        <f aca="false">IF(INDEX(Salary_Calculation[Source Row],ROW()-ROW(Payslip_Lookup[#Headers]))="","",INDEX(Salary_Calculation[Rider Balance],ROW()-ROW(Payslip_Lookup[#Headers])))</f>
        <v/>
      </c>
      <c r="W112" s="176" t="str">
        <f aca="false">IF(INDEX(Salary_Calculation[Source Row],ROW()-ROW(Payslip_Lookup[#Headers]))="","",INDEX(Salary_Calculation[stacking_deduction],ROW()-ROW(Payslip_Lookup[#Headers])))</f>
        <v/>
      </c>
      <c r="X112" s="176" t="str">
        <f aca="false">IF(INDEX(Salary_Calculation[Source Row],ROW()-ROW(Payslip_Lookup[#Headers]))="","",INDEX(Salary_Calculation[Other Deductions],ROW()-ROW(Payslip_Lookup[#Headers])))</f>
        <v/>
      </c>
      <c r="Y112" s="176" t="str">
        <f aca="false">IF(INDEX(Salary_Calculation[Source Row],ROW()-ROW(Payslip_Lookup[#Headers]))="","",INDEX(Salary_Calculation[Total Deductions],ROW()-ROW(Payslip_Lookup[#Headers])))</f>
        <v/>
      </c>
      <c r="Z112" s="176" t="str">
        <f aca="false">IF(INDEX(Salary_Calculation[Source Row],ROW()-ROW(Payslip_Lookup[#Headers]))="","",INDEX(Salary_Calculation[Final Salary],ROW()-ROW(Payslip_Lookup[#Headers])))</f>
        <v/>
      </c>
      <c r="AA112" s="176" t="str">
        <f aca="false">IF(INDEX(Salary_Calculation[Source Row],ROW()-ROW(Payslip_Lookup[#Headers]))="","",INDEX(Salary_Calculation[Negative Balance / Amount Due from Rider],ROW()-ROW(Payslip_Lookup[#Headers])))</f>
        <v/>
      </c>
      <c r="AB112" s="176" t="str">
        <f aca="false">IF(INDEX(Salary_Calculation[Source Row],ROW()-ROW(Payslip_Lookup[#Headers]))="","",INDEX(Salary_Calculation[Total Amount Due from Rider],ROW()-ROW(Payslip_Lookup[#Headers])))</f>
        <v/>
      </c>
      <c r="AC112" s="176" t="str">
        <f aca="false">IF(INDEX(Salary_Calculation[Source Row],ROW()-ROW(Payslip_Lookup[#Headers]))="","",INDEX(Salary_Calculation[Salary Before Other Deductions],ROW()-ROW(Payslip_Lookup[#Headers])))</f>
        <v/>
      </c>
      <c r="AD112" s="171" t="str">
        <f aca="false">IF(INDEX(Salary_Calculation[Source Row],ROW()-ROW(Payslip_Lookup[#Headers]))="","",INDEX(Salary_Calculation[Payment Status],ROW()-ROW(Payslip_Lookup[#Headers])))</f>
        <v/>
      </c>
      <c r="AE112" s="171" t="str">
        <f aca="false">IF(INDEX(Salary_Calculation[Source Row],ROW()-ROW(Payslip_Lookup[#Headers]))="","",INDEX(Salary_Calculation[Notes],ROW()-ROW(Payslip_Lookup[#Headers])))</f>
        <v/>
      </c>
      <c r="AF112" s="171" t="str">
        <f aca="false">IF(INDEX(Salary_Calculation[Source Row],ROW()-ROW(Payslip_Lookup[#Headers]))="","",INDEX(Salary_Calculation[Exception Reason],ROW()-ROW(Payslip_Lookup[#Headers])))</f>
        <v/>
      </c>
      <c r="AG112" s="173" t="str">
        <f aca="false">IF($AD112="Review Required",COUNTIF(AD$2:AD112,"Review Required"),"")</f>
        <v/>
      </c>
      <c r="AH112" s="173" t="str">
        <f aca="false">IF(AND($D112&lt;&gt;"",$B112=Payslip_Print!$C$2),MAX(AH$1:AH111)+1,"")</f>
        <v/>
      </c>
      <c r="AL112" s="178" t="str">
        <f aca="false">IFERROR(INDEX($D$2:$D$501,MATCH(ROW()-1,$AH$2:$AH$501,0)),"")</f>
        <v/>
      </c>
      <c r="AM112" s="179" t="str">
        <f aca="false">IF($Z112="","",IF(AND($C112&gt;=Dash_Start,$C112&lt;Dash_End),$Z112+ROW()/10000000,""))</f>
        <v/>
      </c>
    </row>
    <row r="113" customFormat="false" ht="14.25" hidden="false" customHeight="false" outlineLevel="0" collapsed="false">
      <c r="A113" s="171" t="str">
        <f aca="false">IF(Payslip_Lookup[[#This Row],[Rider ID]]="","",Payslip_Lookup[[#This Row],[Rider ID]]&amp;"|"&amp;Payslip_Lookup[[#This Row],[Month Key]])</f>
        <v/>
      </c>
      <c r="B113" s="172" t="str">
        <f aca="false">IF(ISNUMBER(Payslip_Lookup[[#This Row],[Salary Month]]),DATE(YEAR(Payslip_Lookup[[#This Row],[Salary Month]]),MONTH(Payslip_Lookup[[#This Row],[Salary Month]]),1),"")</f>
        <v/>
      </c>
      <c r="C113" s="172" t="str">
        <f aca="false">IF(INDEX(Salary_Calculation[Source Row],ROW()-ROW(Payslip_Lookup[#Headers]))="","",INDEX(Salary_Calculation[Salary Month],ROW()-ROW(Payslip_Lookup[#Headers])))</f>
        <v/>
      </c>
      <c r="D113" s="173" t="str">
        <f aca="false">IF(INDEX(Salary_Calculation[Source Row],ROW()-ROW(Payslip_Lookup[#Headers]))="","",INDEX(Salary_Calculation[Rider ID],ROW()-ROW(Payslip_Lookup[#Headers])))</f>
        <v/>
      </c>
      <c r="E113" s="171" t="str">
        <f aca="false">IF(INDEX(Salary_Calculation[Source Row],ROW()-ROW(Payslip_Lookup[#Headers]))="","",INDEX(Salary_Calculation[Rider Name],ROW()-ROW(Payslip_Lookup[#Headers])))</f>
        <v/>
      </c>
      <c r="F113" s="173" t="str">
        <f aca="false">IF(INDEX(Salary_Calculation[Source Row],ROW()-ROW(Payslip_Lookup[#Headers]))="","",INDEX(Salary_Calculation[Working Days],ROW()-ROW(Payslip_Lookup[#Headers])))</f>
        <v/>
      </c>
      <c r="G113" s="173" t="str">
        <f aca="false">IF(INDEX(Salary_Calculation[Source Row],ROW()-ROW(Payslip_Lookup[#Headers]))="","",INDEX(Salary_Calculation[Calendar Days],ROW()-ROW(Payslip_Lookup[#Headers])))</f>
        <v/>
      </c>
      <c r="H113" s="174" t="str">
        <f aca="false">IF(INDEX(Salary_Calculation[Source Row],ROW()-ROW(Payslip_Lookup[#Headers]))="","",INDEX(Salary_Calculation[Monthly Target Orders],ROW()-ROW(Payslip_Lookup[#Headers])))</f>
        <v/>
      </c>
      <c r="I113" s="174" t="str">
        <f aca="false">IF(INDEX(Salary_Calculation[Source Row],ROW()-ROW(Payslip_Lookup[#Headers]))="","",INDEX(Salary_Calculation[Rider Target Orders],ROW()-ROW(Payslip_Lookup[#Headers])))</f>
        <v/>
      </c>
      <c r="J113" s="175" t="str">
        <f aca="false">IF(INDEX(Salary_Calculation[Source Row],ROW()-ROW(Payslip_Lookup[#Headers]))="","",INDEX(Salary_Calculation[Completed Orders],ROW()-ROW(Payslip_Lookup[#Headers])))</f>
        <v/>
      </c>
      <c r="K113" s="174" t="str">
        <f aca="false">IF(INDEX(Salary_Calculation[Source Row],ROW()-ROW(Payslip_Lookup[#Headers]))="","",INDEX(Salary_Calculation[Base Order Rate],ROW()-ROW(Payslip_Lookup[#Headers])))</f>
        <v/>
      </c>
      <c r="L113" s="176" t="str">
        <f aca="false">IF(INDEX(Salary_Calculation[Source Row],ROW()-ROW(Payslip_Lookup[#Headers]))="","",INDEX(Salary_Calculation[Basic Payment],ROW()-ROW(Payslip_Lookup[#Headers])))</f>
        <v/>
      </c>
      <c r="M113" s="176" t="str">
        <f aca="false">IF(INDEX(Salary_Calculation[Source Row],ROW()-ROW(Payslip_Lookup[#Headers]))="","",INDEX(Salary_Calculation[Earned Salary],ROW()-ROW(Payslip_Lookup[#Headers])))</f>
        <v/>
      </c>
      <c r="N113" s="174" t="str">
        <f aca="false">IF(INDEX(Salary_Calculation[Source Row],ROW()-ROW(Payslip_Lookup[#Headers]))="","",INDEX(Salary_Calculation[Orders Counted at Base Rate],ROW()-ROW(Payslip_Lookup[#Headers])))</f>
        <v/>
      </c>
      <c r="O113" s="174" t="str">
        <f aca="false">IF(INDEX(Salary_Calculation[Source Row],ROW()-ROW(Payslip_Lookup[#Headers]))="","",INDEX(Salary_Calculation[Missing Orders],ROW()-ROW(Payslip_Lookup[#Headers])))</f>
        <v/>
      </c>
      <c r="P113" s="176" t="str">
        <f aca="false">IF(INDEX(Salary_Calculation[Source Row],ROW()-ROW(Payslip_Lookup[#Headers]))="","",INDEX(Salary_Calculation[Missing-Order Deduction],ROW()-ROW(Payslip_Lookup[#Headers])))</f>
        <v/>
      </c>
      <c r="Q113" s="174" t="str">
        <f aca="false">IF(INDEX(Salary_Calculation[Source Row],ROW()-ROW(Payslip_Lookup[#Headers]))="","",INDEX(Salary_Calculation[Extra Orders],ROW()-ROW(Payslip_Lookup[#Headers])))</f>
        <v/>
      </c>
      <c r="R113" s="176" t="str">
        <f aca="false">IF(INDEX(Salary_Calculation[Source Row],ROW()-ROW(Payslip_Lookup[#Headers]))="","",INDEX(Salary_Calculation[Extra-Order Bonus],ROW()-ROW(Payslip_Lookup[#Headers])))</f>
        <v/>
      </c>
      <c r="S113" s="176" t="str">
        <f aca="false">IF(INDEX(Salary_Calculation[Source Row],ROW()-ROW(Payslip_Lookup[#Headers]))="","",INDEX(Salary_Calculation[Basic Salary for Target],ROW()-ROW(Payslip_Lookup[#Headers])))</f>
        <v/>
      </c>
      <c r="T113" s="176" t="str">
        <f aca="false">IF(INDEX(Salary_Calculation[Source Row],ROW()-ROW(Payslip_Lookup[#Headers]))="","",INDEX(Salary_Calculation[Gross Salary Before Deductions],ROW()-ROW(Payslip_Lookup[#Headers])))</f>
        <v/>
      </c>
      <c r="U113" s="176" t="str">
        <f aca="false">IF(INDEX(Salary_Calculation[Source Row],ROW()-ROW(Payslip_Lookup[#Headers]))="","",INDEX(Salary_Calculation[missed_days_penalty],ROW()-ROW(Payslip_Lookup[#Headers])))</f>
        <v/>
      </c>
      <c r="V113" s="176" t="str">
        <f aca="false">IF(INDEX(Salary_Calculation[Source Row],ROW()-ROW(Payslip_Lookup[#Headers]))="","",INDEX(Salary_Calculation[Rider Balance],ROW()-ROW(Payslip_Lookup[#Headers])))</f>
        <v/>
      </c>
      <c r="W113" s="176" t="str">
        <f aca="false">IF(INDEX(Salary_Calculation[Source Row],ROW()-ROW(Payslip_Lookup[#Headers]))="","",INDEX(Salary_Calculation[stacking_deduction],ROW()-ROW(Payslip_Lookup[#Headers])))</f>
        <v/>
      </c>
      <c r="X113" s="176" t="str">
        <f aca="false">IF(INDEX(Salary_Calculation[Source Row],ROW()-ROW(Payslip_Lookup[#Headers]))="","",INDEX(Salary_Calculation[Other Deductions],ROW()-ROW(Payslip_Lookup[#Headers])))</f>
        <v/>
      </c>
      <c r="Y113" s="176" t="str">
        <f aca="false">IF(INDEX(Salary_Calculation[Source Row],ROW()-ROW(Payslip_Lookup[#Headers]))="","",INDEX(Salary_Calculation[Total Deductions],ROW()-ROW(Payslip_Lookup[#Headers])))</f>
        <v/>
      </c>
      <c r="Z113" s="176" t="str">
        <f aca="false">IF(INDEX(Salary_Calculation[Source Row],ROW()-ROW(Payslip_Lookup[#Headers]))="","",INDEX(Salary_Calculation[Final Salary],ROW()-ROW(Payslip_Lookup[#Headers])))</f>
        <v/>
      </c>
      <c r="AA113" s="176" t="str">
        <f aca="false">IF(INDEX(Salary_Calculation[Source Row],ROW()-ROW(Payslip_Lookup[#Headers]))="","",INDEX(Salary_Calculation[Negative Balance / Amount Due from Rider],ROW()-ROW(Payslip_Lookup[#Headers])))</f>
        <v/>
      </c>
      <c r="AB113" s="176" t="str">
        <f aca="false">IF(INDEX(Salary_Calculation[Source Row],ROW()-ROW(Payslip_Lookup[#Headers]))="","",INDEX(Salary_Calculation[Total Amount Due from Rider],ROW()-ROW(Payslip_Lookup[#Headers])))</f>
        <v/>
      </c>
      <c r="AC113" s="176" t="str">
        <f aca="false">IF(INDEX(Salary_Calculation[Source Row],ROW()-ROW(Payslip_Lookup[#Headers]))="","",INDEX(Salary_Calculation[Salary Before Other Deductions],ROW()-ROW(Payslip_Lookup[#Headers])))</f>
        <v/>
      </c>
      <c r="AD113" s="171" t="str">
        <f aca="false">IF(INDEX(Salary_Calculation[Source Row],ROW()-ROW(Payslip_Lookup[#Headers]))="","",INDEX(Salary_Calculation[Payment Status],ROW()-ROW(Payslip_Lookup[#Headers])))</f>
        <v/>
      </c>
      <c r="AE113" s="171" t="str">
        <f aca="false">IF(INDEX(Salary_Calculation[Source Row],ROW()-ROW(Payslip_Lookup[#Headers]))="","",INDEX(Salary_Calculation[Notes],ROW()-ROW(Payslip_Lookup[#Headers])))</f>
        <v/>
      </c>
      <c r="AF113" s="171" t="str">
        <f aca="false">IF(INDEX(Salary_Calculation[Source Row],ROW()-ROW(Payslip_Lookup[#Headers]))="","",INDEX(Salary_Calculation[Exception Reason],ROW()-ROW(Payslip_Lookup[#Headers])))</f>
        <v/>
      </c>
      <c r="AG113" s="173" t="str">
        <f aca="false">IF($AD113="Review Required",COUNTIF(AD$2:AD113,"Review Required"),"")</f>
        <v/>
      </c>
      <c r="AH113" s="173" t="str">
        <f aca="false">IF(AND($D113&lt;&gt;"",$B113=Payslip_Print!$C$2),MAX(AH$1:AH112)+1,"")</f>
        <v/>
      </c>
      <c r="AL113" s="178" t="str">
        <f aca="false">IFERROR(INDEX($D$2:$D$501,MATCH(ROW()-1,$AH$2:$AH$501,0)),"")</f>
        <v/>
      </c>
      <c r="AM113" s="179" t="str">
        <f aca="false">IF($Z113="","",IF(AND($C113&gt;=Dash_Start,$C113&lt;Dash_End),$Z113+ROW()/10000000,""))</f>
        <v/>
      </c>
    </row>
    <row r="114" customFormat="false" ht="14.25" hidden="false" customHeight="false" outlineLevel="0" collapsed="false">
      <c r="A114" s="171" t="str">
        <f aca="false">IF(Payslip_Lookup[[#This Row],[Rider ID]]="","",Payslip_Lookup[[#This Row],[Rider ID]]&amp;"|"&amp;Payslip_Lookup[[#This Row],[Month Key]])</f>
        <v/>
      </c>
      <c r="B114" s="172" t="str">
        <f aca="false">IF(ISNUMBER(Payslip_Lookup[[#This Row],[Salary Month]]),DATE(YEAR(Payslip_Lookup[[#This Row],[Salary Month]]),MONTH(Payslip_Lookup[[#This Row],[Salary Month]]),1),"")</f>
        <v/>
      </c>
      <c r="C114" s="172" t="str">
        <f aca="false">IF(INDEX(Salary_Calculation[Source Row],ROW()-ROW(Payslip_Lookup[#Headers]))="","",INDEX(Salary_Calculation[Salary Month],ROW()-ROW(Payslip_Lookup[#Headers])))</f>
        <v/>
      </c>
      <c r="D114" s="173" t="str">
        <f aca="false">IF(INDEX(Salary_Calculation[Source Row],ROW()-ROW(Payslip_Lookup[#Headers]))="","",INDEX(Salary_Calculation[Rider ID],ROW()-ROW(Payslip_Lookup[#Headers])))</f>
        <v/>
      </c>
      <c r="E114" s="171" t="str">
        <f aca="false">IF(INDEX(Salary_Calculation[Source Row],ROW()-ROW(Payslip_Lookup[#Headers]))="","",INDEX(Salary_Calculation[Rider Name],ROW()-ROW(Payslip_Lookup[#Headers])))</f>
        <v/>
      </c>
      <c r="F114" s="173" t="str">
        <f aca="false">IF(INDEX(Salary_Calculation[Source Row],ROW()-ROW(Payslip_Lookup[#Headers]))="","",INDEX(Salary_Calculation[Working Days],ROW()-ROW(Payslip_Lookup[#Headers])))</f>
        <v/>
      </c>
      <c r="G114" s="173" t="str">
        <f aca="false">IF(INDEX(Salary_Calculation[Source Row],ROW()-ROW(Payslip_Lookup[#Headers]))="","",INDEX(Salary_Calculation[Calendar Days],ROW()-ROW(Payslip_Lookup[#Headers])))</f>
        <v/>
      </c>
      <c r="H114" s="174" t="str">
        <f aca="false">IF(INDEX(Salary_Calculation[Source Row],ROW()-ROW(Payslip_Lookup[#Headers]))="","",INDEX(Salary_Calculation[Monthly Target Orders],ROW()-ROW(Payslip_Lookup[#Headers])))</f>
        <v/>
      </c>
      <c r="I114" s="174" t="str">
        <f aca="false">IF(INDEX(Salary_Calculation[Source Row],ROW()-ROW(Payslip_Lookup[#Headers]))="","",INDEX(Salary_Calculation[Rider Target Orders],ROW()-ROW(Payslip_Lookup[#Headers])))</f>
        <v/>
      </c>
      <c r="J114" s="175" t="str">
        <f aca="false">IF(INDEX(Salary_Calculation[Source Row],ROW()-ROW(Payslip_Lookup[#Headers]))="","",INDEX(Salary_Calculation[Completed Orders],ROW()-ROW(Payslip_Lookup[#Headers])))</f>
        <v/>
      </c>
      <c r="K114" s="174" t="str">
        <f aca="false">IF(INDEX(Salary_Calculation[Source Row],ROW()-ROW(Payslip_Lookup[#Headers]))="","",INDEX(Salary_Calculation[Base Order Rate],ROW()-ROW(Payslip_Lookup[#Headers])))</f>
        <v/>
      </c>
      <c r="L114" s="176" t="str">
        <f aca="false">IF(INDEX(Salary_Calculation[Source Row],ROW()-ROW(Payslip_Lookup[#Headers]))="","",INDEX(Salary_Calculation[Basic Payment],ROW()-ROW(Payslip_Lookup[#Headers])))</f>
        <v/>
      </c>
      <c r="M114" s="176" t="str">
        <f aca="false">IF(INDEX(Salary_Calculation[Source Row],ROW()-ROW(Payslip_Lookup[#Headers]))="","",INDEX(Salary_Calculation[Earned Salary],ROW()-ROW(Payslip_Lookup[#Headers])))</f>
        <v/>
      </c>
      <c r="N114" s="174" t="str">
        <f aca="false">IF(INDEX(Salary_Calculation[Source Row],ROW()-ROW(Payslip_Lookup[#Headers]))="","",INDEX(Salary_Calculation[Orders Counted at Base Rate],ROW()-ROW(Payslip_Lookup[#Headers])))</f>
        <v/>
      </c>
      <c r="O114" s="174" t="str">
        <f aca="false">IF(INDEX(Salary_Calculation[Source Row],ROW()-ROW(Payslip_Lookup[#Headers]))="","",INDEX(Salary_Calculation[Missing Orders],ROW()-ROW(Payslip_Lookup[#Headers])))</f>
        <v/>
      </c>
      <c r="P114" s="176" t="str">
        <f aca="false">IF(INDEX(Salary_Calculation[Source Row],ROW()-ROW(Payslip_Lookup[#Headers]))="","",INDEX(Salary_Calculation[Missing-Order Deduction],ROW()-ROW(Payslip_Lookup[#Headers])))</f>
        <v/>
      </c>
      <c r="Q114" s="174" t="str">
        <f aca="false">IF(INDEX(Salary_Calculation[Source Row],ROW()-ROW(Payslip_Lookup[#Headers]))="","",INDEX(Salary_Calculation[Extra Orders],ROW()-ROW(Payslip_Lookup[#Headers])))</f>
        <v/>
      </c>
      <c r="R114" s="176" t="str">
        <f aca="false">IF(INDEX(Salary_Calculation[Source Row],ROW()-ROW(Payslip_Lookup[#Headers]))="","",INDEX(Salary_Calculation[Extra-Order Bonus],ROW()-ROW(Payslip_Lookup[#Headers])))</f>
        <v/>
      </c>
      <c r="S114" s="176" t="str">
        <f aca="false">IF(INDEX(Salary_Calculation[Source Row],ROW()-ROW(Payslip_Lookup[#Headers]))="","",INDEX(Salary_Calculation[Basic Salary for Target],ROW()-ROW(Payslip_Lookup[#Headers])))</f>
        <v/>
      </c>
      <c r="T114" s="176" t="str">
        <f aca="false">IF(INDEX(Salary_Calculation[Source Row],ROW()-ROW(Payslip_Lookup[#Headers]))="","",INDEX(Salary_Calculation[Gross Salary Before Deductions],ROW()-ROW(Payslip_Lookup[#Headers])))</f>
        <v/>
      </c>
      <c r="U114" s="176" t="str">
        <f aca="false">IF(INDEX(Salary_Calculation[Source Row],ROW()-ROW(Payslip_Lookup[#Headers]))="","",INDEX(Salary_Calculation[missed_days_penalty],ROW()-ROW(Payslip_Lookup[#Headers])))</f>
        <v/>
      </c>
      <c r="V114" s="176" t="str">
        <f aca="false">IF(INDEX(Salary_Calculation[Source Row],ROW()-ROW(Payslip_Lookup[#Headers]))="","",INDEX(Salary_Calculation[Rider Balance],ROW()-ROW(Payslip_Lookup[#Headers])))</f>
        <v/>
      </c>
      <c r="W114" s="176" t="str">
        <f aca="false">IF(INDEX(Salary_Calculation[Source Row],ROW()-ROW(Payslip_Lookup[#Headers]))="","",INDEX(Salary_Calculation[stacking_deduction],ROW()-ROW(Payslip_Lookup[#Headers])))</f>
        <v/>
      </c>
      <c r="X114" s="176" t="str">
        <f aca="false">IF(INDEX(Salary_Calculation[Source Row],ROW()-ROW(Payslip_Lookup[#Headers]))="","",INDEX(Salary_Calculation[Other Deductions],ROW()-ROW(Payslip_Lookup[#Headers])))</f>
        <v/>
      </c>
      <c r="Y114" s="176" t="str">
        <f aca="false">IF(INDEX(Salary_Calculation[Source Row],ROW()-ROW(Payslip_Lookup[#Headers]))="","",INDEX(Salary_Calculation[Total Deductions],ROW()-ROW(Payslip_Lookup[#Headers])))</f>
        <v/>
      </c>
      <c r="Z114" s="176" t="str">
        <f aca="false">IF(INDEX(Salary_Calculation[Source Row],ROW()-ROW(Payslip_Lookup[#Headers]))="","",INDEX(Salary_Calculation[Final Salary],ROW()-ROW(Payslip_Lookup[#Headers])))</f>
        <v/>
      </c>
      <c r="AA114" s="176" t="str">
        <f aca="false">IF(INDEX(Salary_Calculation[Source Row],ROW()-ROW(Payslip_Lookup[#Headers]))="","",INDEX(Salary_Calculation[Negative Balance / Amount Due from Rider],ROW()-ROW(Payslip_Lookup[#Headers])))</f>
        <v/>
      </c>
      <c r="AB114" s="176" t="str">
        <f aca="false">IF(INDEX(Salary_Calculation[Source Row],ROW()-ROW(Payslip_Lookup[#Headers]))="","",INDEX(Salary_Calculation[Total Amount Due from Rider],ROW()-ROW(Payslip_Lookup[#Headers])))</f>
        <v/>
      </c>
      <c r="AC114" s="176" t="str">
        <f aca="false">IF(INDEX(Salary_Calculation[Source Row],ROW()-ROW(Payslip_Lookup[#Headers]))="","",INDEX(Salary_Calculation[Salary Before Other Deductions],ROW()-ROW(Payslip_Lookup[#Headers])))</f>
        <v/>
      </c>
      <c r="AD114" s="171" t="str">
        <f aca="false">IF(INDEX(Salary_Calculation[Source Row],ROW()-ROW(Payslip_Lookup[#Headers]))="","",INDEX(Salary_Calculation[Payment Status],ROW()-ROW(Payslip_Lookup[#Headers])))</f>
        <v/>
      </c>
      <c r="AE114" s="171" t="str">
        <f aca="false">IF(INDEX(Salary_Calculation[Source Row],ROW()-ROW(Payslip_Lookup[#Headers]))="","",INDEX(Salary_Calculation[Notes],ROW()-ROW(Payslip_Lookup[#Headers])))</f>
        <v/>
      </c>
      <c r="AF114" s="171" t="str">
        <f aca="false">IF(INDEX(Salary_Calculation[Source Row],ROW()-ROW(Payslip_Lookup[#Headers]))="","",INDEX(Salary_Calculation[Exception Reason],ROW()-ROW(Payslip_Lookup[#Headers])))</f>
        <v/>
      </c>
      <c r="AG114" s="173" t="str">
        <f aca="false">IF($AD114="Review Required",COUNTIF(AD$2:AD114,"Review Required"),"")</f>
        <v/>
      </c>
      <c r="AH114" s="173" t="str">
        <f aca="false">IF(AND($D114&lt;&gt;"",$B114=Payslip_Print!$C$2),MAX(AH$1:AH113)+1,"")</f>
        <v/>
      </c>
      <c r="AL114" s="178" t="str">
        <f aca="false">IFERROR(INDEX($D$2:$D$501,MATCH(ROW()-1,$AH$2:$AH$501,0)),"")</f>
        <v/>
      </c>
      <c r="AM114" s="179" t="str">
        <f aca="false">IF($Z114="","",IF(AND($C114&gt;=Dash_Start,$C114&lt;Dash_End),$Z114+ROW()/10000000,""))</f>
        <v/>
      </c>
    </row>
    <row r="115" customFormat="false" ht="14.25" hidden="false" customHeight="false" outlineLevel="0" collapsed="false">
      <c r="A115" s="171" t="str">
        <f aca="false">IF(Payslip_Lookup[[#This Row],[Rider ID]]="","",Payslip_Lookup[[#This Row],[Rider ID]]&amp;"|"&amp;Payslip_Lookup[[#This Row],[Month Key]])</f>
        <v/>
      </c>
      <c r="B115" s="172" t="str">
        <f aca="false">IF(ISNUMBER(Payslip_Lookup[[#This Row],[Salary Month]]),DATE(YEAR(Payslip_Lookup[[#This Row],[Salary Month]]),MONTH(Payslip_Lookup[[#This Row],[Salary Month]]),1),"")</f>
        <v/>
      </c>
      <c r="C115" s="172" t="str">
        <f aca="false">IF(INDEX(Salary_Calculation[Source Row],ROW()-ROW(Payslip_Lookup[#Headers]))="","",INDEX(Salary_Calculation[Salary Month],ROW()-ROW(Payslip_Lookup[#Headers])))</f>
        <v/>
      </c>
      <c r="D115" s="173" t="str">
        <f aca="false">IF(INDEX(Salary_Calculation[Source Row],ROW()-ROW(Payslip_Lookup[#Headers]))="","",INDEX(Salary_Calculation[Rider ID],ROW()-ROW(Payslip_Lookup[#Headers])))</f>
        <v/>
      </c>
      <c r="E115" s="171" t="str">
        <f aca="false">IF(INDEX(Salary_Calculation[Source Row],ROW()-ROW(Payslip_Lookup[#Headers]))="","",INDEX(Salary_Calculation[Rider Name],ROW()-ROW(Payslip_Lookup[#Headers])))</f>
        <v/>
      </c>
      <c r="F115" s="173" t="str">
        <f aca="false">IF(INDEX(Salary_Calculation[Source Row],ROW()-ROW(Payslip_Lookup[#Headers]))="","",INDEX(Salary_Calculation[Working Days],ROW()-ROW(Payslip_Lookup[#Headers])))</f>
        <v/>
      </c>
      <c r="G115" s="173" t="str">
        <f aca="false">IF(INDEX(Salary_Calculation[Source Row],ROW()-ROW(Payslip_Lookup[#Headers]))="","",INDEX(Salary_Calculation[Calendar Days],ROW()-ROW(Payslip_Lookup[#Headers])))</f>
        <v/>
      </c>
      <c r="H115" s="174" t="str">
        <f aca="false">IF(INDEX(Salary_Calculation[Source Row],ROW()-ROW(Payslip_Lookup[#Headers]))="","",INDEX(Salary_Calculation[Monthly Target Orders],ROW()-ROW(Payslip_Lookup[#Headers])))</f>
        <v/>
      </c>
      <c r="I115" s="174" t="str">
        <f aca="false">IF(INDEX(Salary_Calculation[Source Row],ROW()-ROW(Payslip_Lookup[#Headers]))="","",INDEX(Salary_Calculation[Rider Target Orders],ROW()-ROW(Payslip_Lookup[#Headers])))</f>
        <v/>
      </c>
      <c r="J115" s="175" t="str">
        <f aca="false">IF(INDEX(Salary_Calculation[Source Row],ROW()-ROW(Payslip_Lookup[#Headers]))="","",INDEX(Salary_Calculation[Completed Orders],ROW()-ROW(Payslip_Lookup[#Headers])))</f>
        <v/>
      </c>
      <c r="K115" s="174" t="str">
        <f aca="false">IF(INDEX(Salary_Calculation[Source Row],ROW()-ROW(Payslip_Lookup[#Headers]))="","",INDEX(Salary_Calculation[Base Order Rate],ROW()-ROW(Payslip_Lookup[#Headers])))</f>
        <v/>
      </c>
      <c r="L115" s="176" t="str">
        <f aca="false">IF(INDEX(Salary_Calculation[Source Row],ROW()-ROW(Payslip_Lookup[#Headers]))="","",INDEX(Salary_Calculation[Basic Payment],ROW()-ROW(Payslip_Lookup[#Headers])))</f>
        <v/>
      </c>
      <c r="M115" s="176" t="str">
        <f aca="false">IF(INDEX(Salary_Calculation[Source Row],ROW()-ROW(Payslip_Lookup[#Headers]))="","",INDEX(Salary_Calculation[Earned Salary],ROW()-ROW(Payslip_Lookup[#Headers])))</f>
        <v/>
      </c>
      <c r="N115" s="174" t="str">
        <f aca="false">IF(INDEX(Salary_Calculation[Source Row],ROW()-ROW(Payslip_Lookup[#Headers]))="","",INDEX(Salary_Calculation[Orders Counted at Base Rate],ROW()-ROW(Payslip_Lookup[#Headers])))</f>
        <v/>
      </c>
      <c r="O115" s="174" t="str">
        <f aca="false">IF(INDEX(Salary_Calculation[Source Row],ROW()-ROW(Payslip_Lookup[#Headers]))="","",INDEX(Salary_Calculation[Missing Orders],ROW()-ROW(Payslip_Lookup[#Headers])))</f>
        <v/>
      </c>
      <c r="P115" s="176" t="str">
        <f aca="false">IF(INDEX(Salary_Calculation[Source Row],ROW()-ROW(Payslip_Lookup[#Headers]))="","",INDEX(Salary_Calculation[Missing-Order Deduction],ROW()-ROW(Payslip_Lookup[#Headers])))</f>
        <v/>
      </c>
      <c r="Q115" s="174" t="str">
        <f aca="false">IF(INDEX(Salary_Calculation[Source Row],ROW()-ROW(Payslip_Lookup[#Headers]))="","",INDEX(Salary_Calculation[Extra Orders],ROW()-ROW(Payslip_Lookup[#Headers])))</f>
        <v/>
      </c>
      <c r="R115" s="176" t="str">
        <f aca="false">IF(INDEX(Salary_Calculation[Source Row],ROW()-ROW(Payslip_Lookup[#Headers]))="","",INDEX(Salary_Calculation[Extra-Order Bonus],ROW()-ROW(Payslip_Lookup[#Headers])))</f>
        <v/>
      </c>
      <c r="S115" s="176" t="str">
        <f aca="false">IF(INDEX(Salary_Calculation[Source Row],ROW()-ROW(Payslip_Lookup[#Headers]))="","",INDEX(Salary_Calculation[Basic Salary for Target],ROW()-ROW(Payslip_Lookup[#Headers])))</f>
        <v/>
      </c>
      <c r="T115" s="176" t="str">
        <f aca="false">IF(INDEX(Salary_Calculation[Source Row],ROW()-ROW(Payslip_Lookup[#Headers]))="","",INDEX(Salary_Calculation[Gross Salary Before Deductions],ROW()-ROW(Payslip_Lookup[#Headers])))</f>
        <v/>
      </c>
      <c r="U115" s="176" t="str">
        <f aca="false">IF(INDEX(Salary_Calculation[Source Row],ROW()-ROW(Payslip_Lookup[#Headers]))="","",INDEX(Salary_Calculation[missed_days_penalty],ROW()-ROW(Payslip_Lookup[#Headers])))</f>
        <v/>
      </c>
      <c r="V115" s="176" t="str">
        <f aca="false">IF(INDEX(Salary_Calculation[Source Row],ROW()-ROW(Payslip_Lookup[#Headers]))="","",INDEX(Salary_Calculation[Rider Balance],ROW()-ROW(Payslip_Lookup[#Headers])))</f>
        <v/>
      </c>
      <c r="W115" s="176" t="str">
        <f aca="false">IF(INDEX(Salary_Calculation[Source Row],ROW()-ROW(Payslip_Lookup[#Headers]))="","",INDEX(Salary_Calculation[stacking_deduction],ROW()-ROW(Payslip_Lookup[#Headers])))</f>
        <v/>
      </c>
      <c r="X115" s="176" t="str">
        <f aca="false">IF(INDEX(Salary_Calculation[Source Row],ROW()-ROW(Payslip_Lookup[#Headers]))="","",INDEX(Salary_Calculation[Other Deductions],ROW()-ROW(Payslip_Lookup[#Headers])))</f>
        <v/>
      </c>
      <c r="Y115" s="176" t="str">
        <f aca="false">IF(INDEX(Salary_Calculation[Source Row],ROW()-ROW(Payslip_Lookup[#Headers]))="","",INDEX(Salary_Calculation[Total Deductions],ROW()-ROW(Payslip_Lookup[#Headers])))</f>
        <v/>
      </c>
      <c r="Z115" s="176" t="str">
        <f aca="false">IF(INDEX(Salary_Calculation[Source Row],ROW()-ROW(Payslip_Lookup[#Headers]))="","",INDEX(Salary_Calculation[Final Salary],ROW()-ROW(Payslip_Lookup[#Headers])))</f>
        <v/>
      </c>
      <c r="AA115" s="176" t="str">
        <f aca="false">IF(INDEX(Salary_Calculation[Source Row],ROW()-ROW(Payslip_Lookup[#Headers]))="","",INDEX(Salary_Calculation[Negative Balance / Amount Due from Rider],ROW()-ROW(Payslip_Lookup[#Headers])))</f>
        <v/>
      </c>
      <c r="AB115" s="176" t="str">
        <f aca="false">IF(INDEX(Salary_Calculation[Source Row],ROW()-ROW(Payslip_Lookup[#Headers]))="","",INDEX(Salary_Calculation[Total Amount Due from Rider],ROW()-ROW(Payslip_Lookup[#Headers])))</f>
        <v/>
      </c>
      <c r="AC115" s="176" t="str">
        <f aca="false">IF(INDEX(Salary_Calculation[Source Row],ROW()-ROW(Payslip_Lookup[#Headers]))="","",INDEX(Salary_Calculation[Salary Before Other Deductions],ROW()-ROW(Payslip_Lookup[#Headers])))</f>
        <v/>
      </c>
      <c r="AD115" s="171" t="str">
        <f aca="false">IF(INDEX(Salary_Calculation[Source Row],ROW()-ROW(Payslip_Lookup[#Headers]))="","",INDEX(Salary_Calculation[Payment Status],ROW()-ROW(Payslip_Lookup[#Headers])))</f>
        <v/>
      </c>
      <c r="AE115" s="171" t="str">
        <f aca="false">IF(INDEX(Salary_Calculation[Source Row],ROW()-ROW(Payslip_Lookup[#Headers]))="","",INDEX(Salary_Calculation[Notes],ROW()-ROW(Payslip_Lookup[#Headers])))</f>
        <v/>
      </c>
      <c r="AF115" s="171" t="str">
        <f aca="false">IF(INDEX(Salary_Calculation[Source Row],ROW()-ROW(Payslip_Lookup[#Headers]))="","",INDEX(Salary_Calculation[Exception Reason],ROW()-ROW(Payslip_Lookup[#Headers])))</f>
        <v/>
      </c>
      <c r="AG115" s="173" t="str">
        <f aca="false">IF($AD115="Review Required",COUNTIF(AD$2:AD115,"Review Required"),"")</f>
        <v/>
      </c>
      <c r="AH115" s="173" t="str">
        <f aca="false">IF(AND($D115&lt;&gt;"",$B115=Payslip_Print!$C$2),MAX(AH$1:AH114)+1,"")</f>
        <v/>
      </c>
      <c r="AL115" s="178" t="str">
        <f aca="false">IFERROR(INDEX($D$2:$D$501,MATCH(ROW()-1,$AH$2:$AH$501,0)),"")</f>
        <v/>
      </c>
      <c r="AM115" s="179" t="str">
        <f aca="false">IF($Z115="","",IF(AND($C115&gt;=Dash_Start,$C115&lt;Dash_End),$Z115+ROW()/10000000,""))</f>
        <v/>
      </c>
    </row>
    <row r="116" customFormat="false" ht="14.25" hidden="false" customHeight="false" outlineLevel="0" collapsed="false">
      <c r="A116" s="171" t="str">
        <f aca="false">IF(Payslip_Lookup[[#This Row],[Rider ID]]="","",Payslip_Lookup[[#This Row],[Rider ID]]&amp;"|"&amp;Payslip_Lookup[[#This Row],[Month Key]])</f>
        <v/>
      </c>
      <c r="B116" s="172" t="str">
        <f aca="false">IF(ISNUMBER(Payslip_Lookup[[#This Row],[Salary Month]]),DATE(YEAR(Payslip_Lookup[[#This Row],[Salary Month]]),MONTH(Payslip_Lookup[[#This Row],[Salary Month]]),1),"")</f>
        <v/>
      </c>
      <c r="C116" s="172" t="str">
        <f aca="false">IF(INDEX(Salary_Calculation[Source Row],ROW()-ROW(Payslip_Lookup[#Headers]))="","",INDEX(Salary_Calculation[Salary Month],ROW()-ROW(Payslip_Lookup[#Headers])))</f>
        <v/>
      </c>
      <c r="D116" s="173" t="str">
        <f aca="false">IF(INDEX(Salary_Calculation[Source Row],ROW()-ROW(Payslip_Lookup[#Headers]))="","",INDEX(Salary_Calculation[Rider ID],ROW()-ROW(Payslip_Lookup[#Headers])))</f>
        <v/>
      </c>
      <c r="E116" s="171" t="str">
        <f aca="false">IF(INDEX(Salary_Calculation[Source Row],ROW()-ROW(Payslip_Lookup[#Headers]))="","",INDEX(Salary_Calculation[Rider Name],ROW()-ROW(Payslip_Lookup[#Headers])))</f>
        <v/>
      </c>
      <c r="F116" s="173" t="str">
        <f aca="false">IF(INDEX(Salary_Calculation[Source Row],ROW()-ROW(Payslip_Lookup[#Headers]))="","",INDEX(Salary_Calculation[Working Days],ROW()-ROW(Payslip_Lookup[#Headers])))</f>
        <v/>
      </c>
      <c r="G116" s="173" t="str">
        <f aca="false">IF(INDEX(Salary_Calculation[Source Row],ROW()-ROW(Payslip_Lookup[#Headers]))="","",INDEX(Salary_Calculation[Calendar Days],ROW()-ROW(Payslip_Lookup[#Headers])))</f>
        <v/>
      </c>
      <c r="H116" s="174" t="str">
        <f aca="false">IF(INDEX(Salary_Calculation[Source Row],ROW()-ROW(Payslip_Lookup[#Headers]))="","",INDEX(Salary_Calculation[Monthly Target Orders],ROW()-ROW(Payslip_Lookup[#Headers])))</f>
        <v/>
      </c>
      <c r="I116" s="174" t="str">
        <f aca="false">IF(INDEX(Salary_Calculation[Source Row],ROW()-ROW(Payslip_Lookup[#Headers]))="","",INDEX(Salary_Calculation[Rider Target Orders],ROW()-ROW(Payslip_Lookup[#Headers])))</f>
        <v/>
      </c>
      <c r="J116" s="175" t="str">
        <f aca="false">IF(INDEX(Salary_Calculation[Source Row],ROW()-ROW(Payslip_Lookup[#Headers]))="","",INDEX(Salary_Calculation[Completed Orders],ROW()-ROW(Payslip_Lookup[#Headers])))</f>
        <v/>
      </c>
      <c r="K116" s="174" t="str">
        <f aca="false">IF(INDEX(Salary_Calculation[Source Row],ROW()-ROW(Payslip_Lookup[#Headers]))="","",INDEX(Salary_Calculation[Base Order Rate],ROW()-ROW(Payslip_Lookup[#Headers])))</f>
        <v/>
      </c>
      <c r="L116" s="176" t="str">
        <f aca="false">IF(INDEX(Salary_Calculation[Source Row],ROW()-ROW(Payslip_Lookup[#Headers]))="","",INDEX(Salary_Calculation[Basic Payment],ROW()-ROW(Payslip_Lookup[#Headers])))</f>
        <v/>
      </c>
      <c r="M116" s="176" t="str">
        <f aca="false">IF(INDEX(Salary_Calculation[Source Row],ROW()-ROW(Payslip_Lookup[#Headers]))="","",INDEX(Salary_Calculation[Earned Salary],ROW()-ROW(Payslip_Lookup[#Headers])))</f>
        <v/>
      </c>
      <c r="N116" s="174" t="str">
        <f aca="false">IF(INDEX(Salary_Calculation[Source Row],ROW()-ROW(Payslip_Lookup[#Headers]))="","",INDEX(Salary_Calculation[Orders Counted at Base Rate],ROW()-ROW(Payslip_Lookup[#Headers])))</f>
        <v/>
      </c>
      <c r="O116" s="174" t="str">
        <f aca="false">IF(INDEX(Salary_Calculation[Source Row],ROW()-ROW(Payslip_Lookup[#Headers]))="","",INDEX(Salary_Calculation[Missing Orders],ROW()-ROW(Payslip_Lookup[#Headers])))</f>
        <v/>
      </c>
      <c r="P116" s="176" t="str">
        <f aca="false">IF(INDEX(Salary_Calculation[Source Row],ROW()-ROW(Payslip_Lookup[#Headers]))="","",INDEX(Salary_Calculation[Missing-Order Deduction],ROW()-ROW(Payslip_Lookup[#Headers])))</f>
        <v/>
      </c>
      <c r="Q116" s="174" t="str">
        <f aca="false">IF(INDEX(Salary_Calculation[Source Row],ROW()-ROW(Payslip_Lookup[#Headers]))="","",INDEX(Salary_Calculation[Extra Orders],ROW()-ROW(Payslip_Lookup[#Headers])))</f>
        <v/>
      </c>
      <c r="R116" s="176" t="str">
        <f aca="false">IF(INDEX(Salary_Calculation[Source Row],ROW()-ROW(Payslip_Lookup[#Headers]))="","",INDEX(Salary_Calculation[Extra-Order Bonus],ROW()-ROW(Payslip_Lookup[#Headers])))</f>
        <v/>
      </c>
      <c r="S116" s="176" t="str">
        <f aca="false">IF(INDEX(Salary_Calculation[Source Row],ROW()-ROW(Payslip_Lookup[#Headers]))="","",INDEX(Salary_Calculation[Basic Salary for Target],ROW()-ROW(Payslip_Lookup[#Headers])))</f>
        <v/>
      </c>
      <c r="T116" s="176" t="str">
        <f aca="false">IF(INDEX(Salary_Calculation[Source Row],ROW()-ROW(Payslip_Lookup[#Headers]))="","",INDEX(Salary_Calculation[Gross Salary Before Deductions],ROW()-ROW(Payslip_Lookup[#Headers])))</f>
        <v/>
      </c>
      <c r="U116" s="176" t="str">
        <f aca="false">IF(INDEX(Salary_Calculation[Source Row],ROW()-ROW(Payslip_Lookup[#Headers]))="","",INDEX(Salary_Calculation[missed_days_penalty],ROW()-ROW(Payslip_Lookup[#Headers])))</f>
        <v/>
      </c>
      <c r="V116" s="176" t="str">
        <f aca="false">IF(INDEX(Salary_Calculation[Source Row],ROW()-ROW(Payslip_Lookup[#Headers]))="","",INDEX(Salary_Calculation[Rider Balance],ROW()-ROW(Payslip_Lookup[#Headers])))</f>
        <v/>
      </c>
      <c r="W116" s="176" t="str">
        <f aca="false">IF(INDEX(Salary_Calculation[Source Row],ROW()-ROW(Payslip_Lookup[#Headers]))="","",INDEX(Salary_Calculation[stacking_deduction],ROW()-ROW(Payslip_Lookup[#Headers])))</f>
        <v/>
      </c>
      <c r="X116" s="176" t="str">
        <f aca="false">IF(INDEX(Salary_Calculation[Source Row],ROW()-ROW(Payslip_Lookup[#Headers]))="","",INDEX(Salary_Calculation[Other Deductions],ROW()-ROW(Payslip_Lookup[#Headers])))</f>
        <v/>
      </c>
      <c r="Y116" s="176" t="str">
        <f aca="false">IF(INDEX(Salary_Calculation[Source Row],ROW()-ROW(Payslip_Lookup[#Headers]))="","",INDEX(Salary_Calculation[Total Deductions],ROW()-ROW(Payslip_Lookup[#Headers])))</f>
        <v/>
      </c>
      <c r="Z116" s="176" t="str">
        <f aca="false">IF(INDEX(Salary_Calculation[Source Row],ROW()-ROW(Payslip_Lookup[#Headers]))="","",INDEX(Salary_Calculation[Final Salary],ROW()-ROW(Payslip_Lookup[#Headers])))</f>
        <v/>
      </c>
      <c r="AA116" s="176" t="str">
        <f aca="false">IF(INDEX(Salary_Calculation[Source Row],ROW()-ROW(Payslip_Lookup[#Headers]))="","",INDEX(Salary_Calculation[Negative Balance / Amount Due from Rider],ROW()-ROW(Payslip_Lookup[#Headers])))</f>
        <v/>
      </c>
      <c r="AB116" s="176" t="str">
        <f aca="false">IF(INDEX(Salary_Calculation[Source Row],ROW()-ROW(Payslip_Lookup[#Headers]))="","",INDEX(Salary_Calculation[Total Amount Due from Rider],ROW()-ROW(Payslip_Lookup[#Headers])))</f>
        <v/>
      </c>
      <c r="AC116" s="176" t="str">
        <f aca="false">IF(INDEX(Salary_Calculation[Source Row],ROW()-ROW(Payslip_Lookup[#Headers]))="","",INDEX(Salary_Calculation[Salary Before Other Deductions],ROW()-ROW(Payslip_Lookup[#Headers])))</f>
        <v/>
      </c>
      <c r="AD116" s="171" t="str">
        <f aca="false">IF(INDEX(Salary_Calculation[Source Row],ROW()-ROW(Payslip_Lookup[#Headers]))="","",INDEX(Salary_Calculation[Payment Status],ROW()-ROW(Payslip_Lookup[#Headers])))</f>
        <v/>
      </c>
      <c r="AE116" s="171" t="str">
        <f aca="false">IF(INDEX(Salary_Calculation[Source Row],ROW()-ROW(Payslip_Lookup[#Headers]))="","",INDEX(Salary_Calculation[Notes],ROW()-ROW(Payslip_Lookup[#Headers])))</f>
        <v/>
      </c>
      <c r="AF116" s="171" t="str">
        <f aca="false">IF(INDEX(Salary_Calculation[Source Row],ROW()-ROW(Payslip_Lookup[#Headers]))="","",INDEX(Salary_Calculation[Exception Reason],ROW()-ROW(Payslip_Lookup[#Headers])))</f>
        <v/>
      </c>
      <c r="AG116" s="173" t="str">
        <f aca="false">IF($AD116="Review Required",COUNTIF(AD$2:AD116,"Review Required"),"")</f>
        <v/>
      </c>
      <c r="AH116" s="173" t="str">
        <f aca="false">IF(AND($D116&lt;&gt;"",$B116=Payslip_Print!$C$2),MAX(AH$1:AH115)+1,"")</f>
        <v/>
      </c>
      <c r="AL116" s="178" t="str">
        <f aca="false">IFERROR(INDEX($D$2:$D$501,MATCH(ROW()-1,$AH$2:$AH$501,0)),"")</f>
        <v/>
      </c>
      <c r="AM116" s="179" t="str">
        <f aca="false">IF($Z116="","",IF(AND($C116&gt;=Dash_Start,$C116&lt;Dash_End),$Z116+ROW()/10000000,""))</f>
        <v/>
      </c>
    </row>
    <row r="117" customFormat="false" ht="14.25" hidden="false" customHeight="false" outlineLevel="0" collapsed="false">
      <c r="A117" s="171" t="str">
        <f aca="false">IF(Payslip_Lookup[[#This Row],[Rider ID]]="","",Payslip_Lookup[[#This Row],[Rider ID]]&amp;"|"&amp;Payslip_Lookup[[#This Row],[Month Key]])</f>
        <v/>
      </c>
      <c r="B117" s="172" t="str">
        <f aca="false">IF(ISNUMBER(Payslip_Lookup[[#This Row],[Salary Month]]),DATE(YEAR(Payslip_Lookup[[#This Row],[Salary Month]]),MONTH(Payslip_Lookup[[#This Row],[Salary Month]]),1),"")</f>
        <v/>
      </c>
      <c r="C117" s="172" t="str">
        <f aca="false">IF(INDEX(Salary_Calculation[Source Row],ROW()-ROW(Payslip_Lookup[#Headers]))="","",INDEX(Salary_Calculation[Salary Month],ROW()-ROW(Payslip_Lookup[#Headers])))</f>
        <v/>
      </c>
      <c r="D117" s="173" t="str">
        <f aca="false">IF(INDEX(Salary_Calculation[Source Row],ROW()-ROW(Payslip_Lookup[#Headers]))="","",INDEX(Salary_Calculation[Rider ID],ROW()-ROW(Payslip_Lookup[#Headers])))</f>
        <v/>
      </c>
      <c r="E117" s="171" t="str">
        <f aca="false">IF(INDEX(Salary_Calculation[Source Row],ROW()-ROW(Payslip_Lookup[#Headers]))="","",INDEX(Salary_Calculation[Rider Name],ROW()-ROW(Payslip_Lookup[#Headers])))</f>
        <v/>
      </c>
      <c r="F117" s="173" t="str">
        <f aca="false">IF(INDEX(Salary_Calculation[Source Row],ROW()-ROW(Payslip_Lookup[#Headers]))="","",INDEX(Salary_Calculation[Working Days],ROW()-ROW(Payslip_Lookup[#Headers])))</f>
        <v/>
      </c>
      <c r="G117" s="173" t="str">
        <f aca="false">IF(INDEX(Salary_Calculation[Source Row],ROW()-ROW(Payslip_Lookup[#Headers]))="","",INDEX(Salary_Calculation[Calendar Days],ROW()-ROW(Payslip_Lookup[#Headers])))</f>
        <v/>
      </c>
      <c r="H117" s="174" t="str">
        <f aca="false">IF(INDEX(Salary_Calculation[Source Row],ROW()-ROW(Payslip_Lookup[#Headers]))="","",INDEX(Salary_Calculation[Monthly Target Orders],ROW()-ROW(Payslip_Lookup[#Headers])))</f>
        <v/>
      </c>
      <c r="I117" s="174" t="str">
        <f aca="false">IF(INDEX(Salary_Calculation[Source Row],ROW()-ROW(Payslip_Lookup[#Headers]))="","",INDEX(Salary_Calculation[Rider Target Orders],ROW()-ROW(Payslip_Lookup[#Headers])))</f>
        <v/>
      </c>
      <c r="J117" s="175" t="str">
        <f aca="false">IF(INDEX(Salary_Calculation[Source Row],ROW()-ROW(Payslip_Lookup[#Headers]))="","",INDEX(Salary_Calculation[Completed Orders],ROW()-ROW(Payslip_Lookup[#Headers])))</f>
        <v/>
      </c>
      <c r="K117" s="174" t="str">
        <f aca="false">IF(INDEX(Salary_Calculation[Source Row],ROW()-ROW(Payslip_Lookup[#Headers]))="","",INDEX(Salary_Calculation[Base Order Rate],ROW()-ROW(Payslip_Lookup[#Headers])))</f>
        <v/>
      </c>
      <c r="L117" s="176" t="str">
        <f aca="false">IF(INDEX(Salary_Calculation[Source Row],ROW()-ROW(Payslip_Lookup[#Headers]))="","",INDEX(Salary_Calculation[Basic Payment],ROW()-ROW(Payslip_Lookup[#Headers])))</f>
        <v/>
      </c>
      <c r="M117" s="176" t="str">
        <f aca="false">IF(INDEX(Salary_Calculation[Source Row],ROW()-ROW(Payslip_Lookup[#Headers]))="","",INDEX(Salary_Calculation[Earned Salary],ROW()-ROW(Payslip_Lookup[#Headers])))</f>
        <v/>
      </c>
      <c r="N117" s="174" t="str">
        <f aca="false">IF(INDEX(Salary_Calculation[Source Row],ROW()-ROW(Payslip_Lookup[#Headers]))="","",INDEX(Salary_Calculation[Orders Counted at Base Rate],ROW()-ROW(Payslip_Lookup[#Headers])))</f>
        <v/>
      </c>
      <c r="O117" s="174" t="str">
        <f aca="false">IF(INDEX(Salary_Calculation[Source Row],ROW()-ROW(Payslip_Lookup[#Headers]))="","",INDEX(Salary_Calculation[Missing Orders],ROW()-ROW(Payslip_Lookup[#Headers])))</f>
        <v/>
      </c>
      <c r="P117" s="176" t="str">
        <f aca="false">IF(INDEX(Salary_Calculation[Source Row],ROW()-ROW(Payslip_Lookup[#Headers]))="","",INDEX(Salary_Calculation[Missing-Order Deduction],ROW()-ROW(Payslip_Lookup[#Headers])))</f>
        <v/>
      </c>
      <c r="Q117" s="174" t="str">
        <f aca="false">IF(INDEX(Salary_Calculation[Source Row],ROW()-ROW(Payslip_Lookup[#Headers]))="","",INDEX(Salary_Calculation[Extra Orders],ROW()-ROW(Payslip_Lookup[#Headers])))</f>
        <v/>
      </c>
      <c r="R117" s="176" t="str">
        <f aca="false">IF(INDEX(Salary_Calculation[Source Row],ROW()-ROW(Payslip_Lookup[#Headers]))="","",INDEX(Salary_Calculation[Extra-Order Bonus],ROW()-ROW(Payslip_Lookup[#Headers])))</f>
        <v/>
      </c>
      <c r="S117" s="176" t="str">
        <f aca="false">IF(INDEX(Salary_Calculation[Source Row],ROW()-ROW(Payslip_Lookup[#Headers]))="","",INDEX(Salary_Calculation[Basic Salary for Target],ROW()-ROW(Payslip_Lookup[#Headers])))</f>
        <v/>
      </c>
      <c r="T117" s="176" t="str">
        <f aca="false">IF(INDEX(Salary_Calculation[Source Row],ROW()-ROW(Payslip_Lookup[#Headers]))="","",INDEX(Salary_Calculation[Gross Salary Before Deductions],ROW()-ROW(Payslip_Lookup[#Headers])))</f>
        <v/>
      </c>
      <c r="U117" s="176" t="str">
        <f aca="false">IF(INDEX(Salary_Calculation[Source Row],ROW()-ROW(Payslip_Lookup[#Headers]))="","",INDEX(Salary_Calculation[missed_days_penalty],ROW()-ROW(Payslip_Lookup[#Headers])))</f>
        <v/>
      </c>
      <c r="V117" s="176" t="str">
        <f aca="false">IF(INDEX(Salary_Calculation[Source Row],ROW()-ROW(Payslip_Lookup[#Headers]))="","",INDEX(Salary_Calculation[Rider Balance],ROW()-ROW(Payslip_Lookup[#Headers])))</f>
        <v/>
      </c>
      <c r="W117" s="176" t="str">
        <f aca="false">IF(INDEX(Salary_Calculation[Source Row],ROW()-ROW(Payslip_Lookup[#Headers]))="","",INDEX(Salary_Calculation[stacking_deduction],ROW()-ROW(Payslip_Lookup[#Headers])))</f>
        <v/>
      </c>
      <c r="X117" s="176" t="str">
        <f aca="false">IF(INDEX(Salary_Calculation[Source Row],ROW()-ROW(Payslip_Lookup[#Headers]))="","",INDEX(Salary_Calculation[Other Deductions],ROW()-ROW(Payslip_Lookup[#Headers])))</f>
        <v/>
      </c>
      <c r="Y117" s="176" t="str">
        <f aca="false">IF(INDEX(Salary_Calculation[Source Row],ROW()-ROW(Payslip_Lookup[#Headers]))="","",INDEX(Salary_Calculation[Total Deductions],ROW()-ROW(Payslip_Lookup[#Headers])))</f>
        <v/>
      </c>
      <c r="Z117" s="176" t="str">
        <f aca="false">IF(INDEX(Salary_Calculation[Source Row],ROW()-ROW(Payslip_Lookup[#Headers]))="","",INDEX(Salary_Calculation[Final Salary],ROW()-ROW(Payslip_Lookup[#Headers])))</f>
        <v/>
      </c>
      <c r="AA117" s="176" t="str">
        <f aca="false">IF(INDEX(Salary_Calculation[Source Row],ROW()-ROW(Payslip_Lookup[#Headers]))="","",INDEX(Salary_Calculation[Negative Balance / Amount Due from Rider],ROW()-ROW(Payslip_Lookup[#Headers])))</f>
        <v/>
      </c>
      <c r="AB117" s="176" t="str">
        <f aca="false">IF(INDEX(Salary_Calculation[Source Row],ROW()-ROW(Payslip_Lookup[#Headers]))="","",INDEX(Salary_Calculation[Total Amount Due from Rider],ROW()-ROW(Payslip_Lookup[#Headers])))</f>
        <v/>
      </c>
      <c r="AC117" s="176" t="str">
        <f aca="false">IF(INDEX(Salary_Calculation[Source Row],ROW()-ROW(Payslip_Lookup[#Headers]))="","",INDEX(Salary_Calculation[Salary Before Other Deductions],ROW()-ROW(Payslip_Lookup[#Headers])))</f>
        <v/>
      </c>
      <c r="AD117" s="171" t="str">
        <f aca="false">IF(INDEX(Salary_Calculation[Source Row],ROW()-ROW(Payslip_Lookup[#Headers]))="","",INDEX(Salary_Calculation[Payment Status],ROW()-ROW(Payslip_Lookup[#Headers])))</f>
        <v/>
      </c>
      <c r="AE117" s="171" t="str">
        <f aca="false">IF(INDEX(Salary_Calculation[Source Row],ROW()-ROW(Payslip_Lookup[#Headers]))="","",INDEX(Salary_Calculation[Notes],ROW()-ROW(Payslip_Lookup[#Headers])))</f>
        <v/>
      </c>
      <c r="AF117" s="171" t="str">
        <f aca="false">IF(INDEX(Salary_Calculation[Source Row],ROW()-ROW(Payslip_Lookup[#Headers]))="","",INDEX(Salary_Calculation[Exception Reason],ROW()-ROW(Payslip_Lookup[#Headers])))</f>
        <v/>
      </c>
      <c r="AG117" s="173" t="str">
        <f aca="false">IF($AD117="Review Required",COUNTIF(AD$2:AD117,"Review Required"),"")</f>
        <v/>
      </c>
      <c r="AH117" s="173" t="str">
        <f aca="false">IF(AND($D117&lt;&gt;"",$B117=Payslip_Print!$C$2),MAX(AH$1:AH116)+1,"")</f>
        <v/>
      </c>
      <c r="AL117" s="178" t="str">
        <f aca="false">IFERROR(INDEX($D$2:$D$501,MATCH(ROW()-1,$AH$2:$AH$501,0)),"")</f>
        <v/>
      </c>
      <c r="AM117" s="179" t="str">
        <f aca="false">IF($Z117="","",IF(AND($C117&gt;=Dash_Start,$C117&lt;Dash_End),$Z117+ROW()/10000000,""))</f>
        <v/>
      </c>
    </row>
    <row r="118" customFormat="false" ht="14.25" hidden="false" customHeight="false" outlineLevel="0" collapsed="false">
      <c r="A118" s="171" t="str">
        <f aca="false">IF(Payslip_Lookup[[#This Row],[Rider ID]]="","",Payslip_Lookup[[#This Row],[Rider ID]]&amp;"|"&amp;Payslip_Lookup[[#This Row],[Month Key]])</f>
        <v/>
      </c>
      <c r="B118" s="172" t="str">
        <f aca="false">IF(ISNUMBER(Payslip_Lookup[[#This Row],[Salary Month]]),DATE(YEAR(Payslip_Lookup[[#This Row],[Salary Month]]),MONTH(Payslip_Lookup[[#This Row],[Salary Month]]),1),"")</f>
        <v/>
      </c>
      <c r="C118" s="172" t="str">
        <f aca="false">IF(INDEX(Salary_Calculation[Source Row],ROW()-ROW(Payslip_Lookup[#Headers]))="","",INDEX(Salary_Calculation[Salary Month],ROW()-ROW(Payslip_Lookup[#Headers])))</f>
        <v/>
      </c>
      <c r="D118" s="173" t="str">
        <f aca="false">IF(INDEX(Salary_Calculation[Source Row],ROW()-ROW(Payslip_Lookup[#Headers]))="","",INDEX(Salary_Calculation[Rider ID],ROW()-ROW(Payslip_Lookup[#Headers])))</f>
        <v/>
      </c>
      <c r="E118" s="171" t="str">
        <f aca="false">IF(INDEX(Salary_Calculation[Source Row],ROW()-ROW(Payslip_Lookup[#Headers]))="","",INDEX(Salary_Calculation[Rider Name],ROW()-ROW(Payslip_Lookup[#Headers])))</f>
        <v/>
      </c>
      <c r="F118" s="173" t="str">
        <f aca="false">IF(INDEX(Salary_Calculation[Source Row],ROW()-ROW(Payslip_Lookup[#Headers]))="","",INDEX(Salary_Calculation[Working Days],ROW()-ROW(Payslip_Lookup[#Headers])))</f>
        <v/>
      </c>
      <c r="G118" s="173" t="str">
        <f aca="false">IF(INDEX(Salary_Calculation[Source Row],ROW()-ROW(Payslip_Lookup[#Headers]))="","",INDEX(Salary_Calculation[Calendar Days],ROW()-ROW(Payslip_Lookup[#Headers])))</f>
        <v/>
      </c>
      <c r="H118" s="174" t="str">
        <f aca="false">IF(INDEX(Salary_Calculation[Source Row],ROW()-ROW(Payslip_Lookup[#Headers]))="","",INDEX(Salary_Calculation[Monthly Target Orders],ROW()-ROW(Payslip_Lookup[#Headers])))</f>
        <v/>
      </c>
      <c r="I118" s="174" t="str">
        <f aca="false">IF(INDEX(Salary_Calculation[Source Row],ROW()-ROW(Payslip_Lookup[#Headers]))="","",INDEX(Salary_Calculation[Rider Target Orders],ROW()-ROW(Payslip_Lookup[#Headers])))</f>
        <v/>
      </c>
      <c r="J118" s="175" t="str">
        <f aca="false">IF(INDEX(Salary_Calculation[Source Row],ROW()-ROW(Payslip_Lookup[#Headers]))="","",INDEX(Salary_Calculation[Completed Orders],ROW()-ROW(Payslip_Lookup[#Headers])))</f>
        <v/>
      </c>
      <c r="K118" s="174" t="str">
        <f aca="false">IF(INDEX(Salary_Calculation[Source Row],ROW()-ROW(Payslip_Lookup[#Headers]))="","",INDEX(Salary_Calculation[Base Order Rate],ROW()-ROW(Payslip_Lookup[#Headers])))</f>
        <v/>
      </c>
      <c r="L118" s="176" t="str">
        <f aca="false">IF(INDEX(Salary_Calculation[Source Row],ROW()-ROW(Payslip_Lookup[#Headers]))="","",INDEX(Salary_Calculation[Basic Payment],ROW()-ROW(Payslip_Lookup[#Headers])))</f>
        <v/>
      </c>
      <c r="M118" s="176" t="str">
        <f aca="false">IF(INDEX(Salary_Calculation[Source Row],ROW()-ROW(Payslip_Lookup[#Headers]))="","",INDEX(Salary_Calculation[Earned Salary],ROW()-ROW(Payslip_Lookup[#Headers])))</f>
        <v/>
      </c>
      <c r="N118" s="174" t="str">
        <f aca="false">IF(INDEX(Salary_Calculation[Source Row],ROW()-ROW(Payslip_Lookup[#Headers]))="","",INDEX(Salary_Calculation[Orders Counted at Base Rate],ROW()-ROW(Payslip_Lookup[#Headers])))</f>
        <v/>
      </c>
      <c r="O118" s="174" t="str">
        <f aca="false">IF(INDEX(Salary_Calculation[Source Row],ROW()-ROW(Payslip_Lookup[#Headers]))="","",INDEX(Salary_Calculation[Missing Orders],ROW()-ROW(Payslip_Lookup[#Headers])))</f>
        <v/>
      </c>
      <c r="P118" s="176" t="str">
        <f aca="false">IF(INDEX(Salary_Calculation[Source Row],ROW()-ROW(Payslip_Lookup[#Headers]))="","",INDEX(Salary_Calculation[Missing-Order Deduction],ROW()-ROW(Payslip_Lookup[#Headers])))</f>
        <v/>
      </c>
      <c r="Q118" s="174" t="str">
        <f aca="false">IF(INDEX(Salary_Calculation[Source Row],ROW()-ROW(Payslip_Lookup[#Headers]))="","",INDEX(Salary_Calculation[Extra Orders],ROW()-ROW(Payslip_Lookup[#Headers])))</f>
        <v/>
      </c>
      <c r="R118" s="176" t="str">
        <f aca="false">IF(INDEX(Salary_Calculation[Source Row],ROW()-ROW(Payslip_Lookup[#Headers]))="","",INDEX(Salary_Calculation[Extra-Order Bonus],ROW()-ROW(Payslip_Lookup[#Headers])))</f>
        <v/>
      </c>
      <c r="S118" s="176" t="str">
        <f aca="false">IF(INDEX(Salary_Calculation[Source Row],ROW()-ROW(Payslip_Lookup[#Headers]))="","",INDEX(Salary_Calculation[Basic Salary for Target],ROW()-ROW(Payslip_Lookup[#Headers])))</f>
        <v/>
      </c>
      <c r="T118" s="176" t="str">
        <f aca="false">IF(INDEX(Salary_Calculation[Source Row],ROW()-ROW(Payslip_Lookup[#Headers]))="","",INDEX(Salary_Calculation[Gross Salary Before Deductions],ROW()-ROW(Payslip_Lookup[#Headers])))</f>
        <v/>
      </c>
      <c r="U118" s="176" t="str">
        <f aca="false">IF(INDEX(Salary_Calculation[Source Row],ROW()-ROW(Payslip_Lookup[#Headers]))="","",INDEX(Salary_Calculation[missed_days_penalty],ROW()-ROW(Payslip_Lookup[#Headers])))</f>
        <v/>
      </c>
      <c r="V118" s="176" t="str">
        <f aca="false">IF(INDEX(Salary_Calculation[Source Row],ROW()-ROW(Payslip_Lookup[#Headers]))="","",INDEX(Salary_Calculation[Rider Balance],ROW()-ROW(Payslip_Lookup[#Headers])))</f>
        <v/>
      </c>
      <c r="W118" s="176" t="str">
        <f aca="false">IF(INDEX(Salary_Calculation[Source Row],ROW()-ROW(Payslip_Lookup[#Headers]))="","",INDEX(Salary_Calculation[stacking_deduction],ROW()-ROW(Payslip_Lookup[#Headers])))</f>
        <v/>
      </c>
      <c r="X118" s="176" t="str">
        <f aca="false">IF(INDEX(Salary_Calculation[Source Row],ROW()-ROW(Payslip_Lookup[#Headers]))="","",INDEX(Salary_Calculation[Other Deductions],ROW()-ROW(Payslip_Lookup[#Headers])))</f>
        <v/>
      </c>
      <c r="Y118" s="176" t="str">
        <f aca="false">IF(INDEX(Salary_Calculation[Source Row],ROW()-ROW(Payslip_Lookup[#Headers]))="","",INDEX(Salary_Calculation[Total Deductions],ROW()-ROW(Payslip_Lookup[#Headers])))</f>
        <v/>
      </c>
      <c r="Z118" s="176" t="str">
        <f aca="false">IF(INDEX(Salary_Calculation[Source Row],ROW()-ROW(Payslip_Lookup[#Headers]))="","",INDEX(Salary_Calculation[Final Salary],ROW()-ROW(Payslip_Lookup[#Headers])))</f>
        <v/>
      </c>
      <c r="AA118" s="176" t="str">
        <f aca="false">IF(INDEX(Salary_Calculation[Source Row],ROW()-ROW(Payslip_Lookup[#Headers]))="","",INDEX(Salary_Calculation[Negative Balance / Amount Due from Rider],ROW()-ROW(Payslip_Lookup[#Headers])))</f>
        <v/>
      </c>
      <c r="AB118" s="176" t="str">
        <f aca="false">IF(INDEX(Salary_Calculation[Source Row],ROW()-ROW(Payslip_Lookup[#Headers]))="","",INDEX(Salary_Calculation[Total Amount Due from Rider],ROW()-ROW(Payslip_Lookup[#Headers])))</f>
        <v/>
      </c>
      <c r="AC118" s="176" t="str">
        <f aca="false">IF(INDEX(Salary_Calculation[Source Row],ROW()-ROW(Payslip_Lookup[#Headers]))="","",INDEX(Salary_Calculation[Salary Before Other Deductions],ROW()-ROW(Payslip_Lookup[#Headers])))</f>
        <v/>
      </c>
      <c r="AD118" s="171" t="str">
        <f aca="false">IF(INDEX(Salary_Calculation[Source Row],ROW()-ROW(Payslip_Lookup[#Headers]))="","",INDEX(Salary_Calculation[Payment Status],ROW()-ROW(Payslip_Lookup[#Headers])))</f>
        <v/>
      </c>
      <c r="AE118" s="171" t="str">
        <f aca="false">IF(INDEX(Salary_Calculation[Source Row],ROW()-ROW(Payslip_Lookup[#Headers]))="","",INDEX(Salary_Calculation[Notes],ROW()-ROW(Payslip_Lookup[#Headers])))</f>
        <v/>
      </c>
      <c r="AF118" s="171" t="str">
        <f aca="false">IF(INDEX(Salary_Calculation[Source Row],ROW()-ROW(Payslip_Lookup[#Headers]))="","",INDEX(Salary_Calculation[Exception Reason],ROW()-ROW(Payslip_Lookup[#Headers])))</f>
        <v/>
      </c>
      <c r="AG118" s="173" t="str">
        <f aca="false">IF($AD118="Review Required",COUNTIF(AD$2:AD118,"Review Required"),"")</f>
        <v/>
      </c>
      <c r="AH118" s="173" t="str">
        <f aca="false">IF(AND($D118&lt;&gt;"",$B118=Payslip_Print!$C$2),MAX(AH$1:AH117)+1,"")</f>
        <v/>
      </c>
      <c r="AL118" s="178" t="str">
        <f aca="false">IFERROR(INDEX($D$2:$D$501,MATCH(ROW()-1,$AH$2:$AH$501,0)),"")</f>
        <v/>
      </c>
      <c r="AM118" s="179" t="str">
        <f aca="false">IF($Z118="","",IF(AND($C118&gt;=Dash_Start,$C118&lt;Dash_End),$Z118+ROW()/10000000,""))</f>
        <v/>
      </c>
    </row>
    <row r="119" customFormat="false" ht="14.25" hidden="false" customHeight="false" outlineLevel="0" collapsed="false">
      <c r="A119" s="171" t="str">
        <f aca="false">IF(Payslip_Lookup[[#This Row],[Rider ID]]="","",Payslip_Lookup[[#This Row],[Rider ID]]&amp;"|"&amp;Payslip_Lookup[[#This Row],[Month Key]])</f>
        <v/>
      </c>
      <c r="B119" s="172" t="str">
        <f aca="false">IF(ISNUMBER(Payslip_Lookup[[#This Row],[Salary Month]]),DATE(YEAR(Payslip_Lookup[[#This Row],[Salary Month]]),MONTH(Payslip_Lookup[[#This Row],[Salary Month]]),1),"")</f>
        <v/>
      </c>
      <c r="C119" s="172" t="str">
        <f aca="false">IF(INDEX(Salary_Calculation[Source Row],ROW()-ROW(Payslip_Lookup[#Headers]))="","",INDEX(Salary_Calculation[Salary Month],ROW()-ROW(Payslip_Lookup[#Headers])))</f>
        <v/>
      </c>
      <c r="D119" s="173" t="str">
        <f aca="false">IF(INDEX(Salary_Calculation[Source Row],ROW()-ROW(Payslip_Lookup[#Headers]))="","",INDEX(Salary_Calculation[Rider ID],ROW()-ROW(Payslip_Lookup[#Headers])))</f>
        <v/>
      </c>
      <c r="E119" s="171" t="str">
        <f aca="false">IF(INDEX(Salary_Calculation[Source Row],ROW()-ROW(Payslip_Lookup[#Headers]))="","",INDEX(Salary_Calculation[Rider Name],ROW()-ROW(Payslip_Lookup[#Headers])))</f>
        <v/>
      </c>
      <c r="F119" s="173" t="str">
        <f aca="false">IF(INDEX(Salary_Calculation[Source Row],ROW()-ROW(Payslip_Lookup[#Headers]))="","",INDEX(Salary_Calculation[Working Days],ROW()-ROW(Payslip_Lookup[#Headers])))</f>
        <v/>
      </c>
      <c r="G119" s="173" t="str">
        <f aca="false">IF(INDEX(Salary_Calculation[Source Row],ROW()-ROW(Payslip_Lookup[#Headers]))="","",INDEX(Salary_Calculation[Calendar Days],ROW()-ROW(Payslip_Lookup[#Headers])))</f>
        <v/>
      </c>
      <c r="H119" s="174" t="str">
        <f aca="false">IF(INDEX(Salary_Calculation[Source Row],ROW()-ROW(Payslip_Lookup[#Headers]))="","",INDEX(Salary_Calculation[Monthly Target Orders],ROW()-ROW(Payslip_Lookup[#Headers])))</f>
        <v/>
      </c>
      <c r="I119" s="174" t="str">
        <f aca="false">IF(INDEX(Salary_Calculation[Source Row],ROW()-ROW(Payslip_Lookup[#Headers]))="","",INDEX(Salary_Calculation[Rider Target Orders],ROW()-ROW(Payslip_Lookup[#Headers])))</f>
        <v/>
      </c>
      <c r="J119" s="175" t="str">
        <f aca="false">IF(INDEX(Salary_Calculation[Source Row],ROW()-ROW(Payslip_Lookup[#Headers]))="","",INDEX(Salary_Calculation[Completed Orders],ROW()-ROW(Payslip_Lookup[#Headers])))</f>
        <v/>
      </c>
      <c r="K119" s="174" t="str">
        <f aca="false">IF(INDEX(Salary_Calculation[Source Row],ROW()-ROW(Payslip_Lookup[#Headers]))="","",INDEX(Salary_Calculation[Base Order Rate],ROW()-ROW(Payslip_Lookup[#Headers])))</f>
        <v/>
      </c>
      <c r="L119" s="176" t="str">
        <f aca="false">IF(INDEX(Salary_Calculation[Source Row],ROW()-ROW(Payslip_Lookup[#Headers]))="","",INDEX(Salary_Calculation[Basic Payment],ROW()-ROW(Payslip_Lookup[#Headers])))</f>
        <v/>
      </c>
      <c r="M119" s="176" t="str">
        <f aca="false">IF(INDEX(Salary_Calculation[Source Row],ROW()-ROW(Payslip_Lookup[#Headers]))="","",INDEX(Salary_Calculation[Earned Salary],ROW()-ROW(Payslip_Lookup[#Headers])))</f>
        <v/>
      </c>
      <c r="N119" s="174" t="str">
        <f aca="false">IF(INDEX(Salary_Calculation[Source Row],ROW()-ROW(Payslip_Lookup[#Headers]))="","",INDEX(Salary_Calculation[Orders Counted at Base Rate],ROW()-ROW(Payslip_Lookup[#Headers])))</f>
        <v/>
      </c>
      <c r="O119" s="174" t="str">
        <f aca="false">IF(INDEX(Salary_Calculation[Source Row],ROW()-ROW(Payslip_Lookup[#Headers]))="","",INDEX(Salary_Calculation[Missing Orders],ROW()-ROW(Payslip_Lookup[#Headers])))</f>
        <v/>
      </c>
      <c r="P119" s="176" t="str">
        <f aca="false">IF(INDEX(Salary_Calculation[Source Row],ROW()-ROW(Payslip_Lookup[#Headers]))="","",INDEX(Salary_Calculation[Missing-Order Deduction],ROW()-ROW(Payslip_Lookup[#Headers])))</f>
        <v/>
      </c>
      <c r="Q119" s="174" t="str">
        <f aca="false">IF(INDEX(Salary_Calculation[Source Row],ROW()-ROW(Payslip_Lookup[#Headers]))="","",INDEX(Salary_Calculation[Extra Orders],ROW()-ROW(Payslip_Lookup[#Headers])))</f>
        <v/>
      </c>
      <c r="R119" s="176" t="str">
        <f aca="false">IF(INDEX(Salary_Calculation[Source Row],ROW()-ROW(Payslip_Lookup[#Headers]))="","",INDEX(Salary_Calculation[Extra-Order Bonus],ROW()-ROW(Payslip_Lookup[#Headers])))</f>
        <v/>
      </c>
      <c r="S119" s="176" t="str">
        <f aca="false">IF(INDEX(Salary_Calculation[Source Row],ROW()-ROW(Payslip_Lookup[#Headers]))="","",INDEX(Salary_Calculation[Basic Salary for Target],ROW()-ROW(Payslip_Lookup[#Headers])))</f>
        <v/>
      </c>
      <c r="T119" s="176" t="str">
        <f aca="false">IF(INDEX(Salary_Calculation[Source Row],ROW()-ROW(Payslip_Lookup[#Headers]))="","",INDEX(Salary_Calculation[Gross Salary Before Deductions],ROW()-ROW(Payslip_Lookup[#Headers])))</f>
        <v/>
      </c>
      <c r="U119" s="176" t="str">
        <f aca="false">IF(INDEX(Salary_Calculation[Source Row],ROW()-ROW(Payslip_Lookup[#Headers]))="","",INDEX(Salary_Calculation[missed_days_penalty],ROW()-ROW(Payslip_Lookup[#Headers])))</f>
        <v/>
      </c>
      <c r="V119" s="176" t="str">
        <f aca="false">IF(INDEX(Salary_Calculation[Source Row],ROW()-ROW(Payslip_Lookup[#Headers]))="","",INDEX(Salary_Calculation[Rider Balance],ROW()-ROW(Payslip_Lookup[#Headers])))</f>
        <v/>
      </c>
      <c r="W119" s="176" t="str">
        <f aca="false">IF(INDEX(Salary_Calculation[Source Row],ROW()-ROW(Payslip_Lookup[#Headers]))="","",INDEX(Salary_Calculation[stacking_deduction],ROW()-ROW(Payslip_Lookup[#Headers])))</f>
        <v/>
      </c>
      <c r="X119" s="176" t="str">
        <f aca="false">IF(INDEX(Salary_Calculation[Source Row],ROW()-ROW(Payslip_Lookup[#Headers]))="","",INDEX(Salary_Calculation[Other Deductions],ROW()-ROW(Payslip_Lookup[#Headers])))</f>
        <v/>
      </c>
      <c r="Y119" s="176" t="str">
        <f aca="false">IF(INDEX(Salary_Calculation[Source Row],ROW()-ROW(Payslip_Lookup[#Headers]))="","",INDEX(Salary_Calculation[Total Deductions],ROW()-ROW(Payslip_Lookup[#Headers])))</f>
        <v/>
      </c>
      <c r="Z119" s="176" t="str">
        <f aca="false">IF(INDEX(Salary_Calculation[Source Row],ROW()-ROW(Payslip_Lookup[#Headers]))="","",INDEX(Salary_Calculation[Final Salary],ROW()-ROW(Payslip_Lookup[#Headers])))</f>
        <v/>
      </c>
      <c r="AA119" s="176" t="str">
        <f aca="false">IF(INDEX(Salary_Calculation[Source Row],ROW()-ROW(Payslip_Lookup[#Headers]))="","",INDEX(Salary_Calculation[Negative Balance / Amount Due from Rider],ROW()-ROW(Payslip_Lookup[#Headers])))</f>
        <v/>
      </c>
      <c r="AB119" s="176" t="str">
        <f aca="false">IF(INDEX(Salary_Calculation[Source Row],ROW()-ROW(Payslip_Lookup[#Headers]))="","",INDEX(Salary_Calculation[Total Amount Due from Rider],ROW()-ROW(Payslip_Lookup[#Headers])))</f>
        <v/>
      </c>
      <c r="AC119" s="176" t="str">
        <f aca="false">IF(INDEX(Salary_Calculation[Source Row],ROW()-ROW(Payslip_Lookup[#Headers]))="","",INDEX(Salary_Calculation[Salary Before Other Deductions],ROW()-ROW(Payslip_Lookup[#Headers])))</f>
        <v/>
      </c>
      <c r="AD119" s="171" t="str">
        <f aca="false">IF(INDEX(Salary_Calculation[Source Row],ROW()-ROW(Payslip_Lookup[#Headers]))="","",INDEX(Salary_Calculation[Payment Status],ROW()-ROW(Payslip_Lookup[#Headers])))</f>
        <v/>
      </c>
      <c r="AE119" s="171" t="str">
        <f aca="false">IF(INDEX(Salary_Calculation[Source Row],ROW()-ROW(Payslip_Lookup[#Headers]))="","",INDEX(Salary_Calculation[Notes],ROW()-ROW(Payslip_Lookup[#Headers])))</f>
        <v/>
      </c>
      <c r="AF119" s="171" t="str">
        <f aca="false">IF(INDEX(Salary_Calculation[Source Row],ROW()-ROW(Payslip_Lookup[#Headers]))="","",INDEX(Salary_Calculation[Exception Reason],ROW()-ROW(Payslip_Lookup[#Headers])))</f>
        <v/>
      </c>
      <c r="AG119" s="173" t="str">
        <f aca="false">IF($AD119="Review Required",COUNTIF(AD$2:AD119,"Review Required"),"")</f>
        <v/>
      </c>
      <c r="AH119" s="173" t="str">
        <f aca="false">IF(AND($D119&lt;&gt;"",$B119=Payslip_Print!$C$2),MAX(AH$1:AH118)+1,"")</f>
        <v/>
      </c>
      <c r="AL119" s="178" t="str">
        <f aca="false">IFERROR(INDEX($D$2:$D$501,MATCH(ROW()-1,$AH$2:$AH$501,0)),"")</f>
        <v/>
      </c>
      <c r="AM119" s="179" t="str">
        <f aca="false">IF($Z119="","",IF(AND($C119&gt;=Dash_Start,$C119&lt;Dash_End),$Z119+ROW()/10000000,""))</f>
        <v/>
      </c>
    </row>
    <row r="120" customFormat="false" ht="14.25" hidden="false" customHeight="false" outlineLevel="0" collapsed="false">
      <c r="A120" s="171" t="str">
        <f aca="false">IF(Payslip_Lookup[[#This Row],[Rider ID]]="","",Payslip_Lookup[[#This Row],[Rider ID]]&amp;"|"&amp;Payslip_Lookup[[#This Row],[Month Key]])</f>
        <v/>
      </c>
      <c r="B120" s="172" t="str">
        <f aca="false">IF(ISNUMBER(Payslip_Lookup[[#This Row],[Salary Month]]),DATE(YEAR(Payslip_Lookup[[#This Row],[Salary Month]]),MONTH(Payslip_Lookup[[#This Row],[Salary Month]]),1),"")</f>
        <v/>
      </c>
      <c r="C120" s="172" t="str">
        <f aca="false">IF(INDEX(Salary_Calculation[Source Row],ROW()-ROW(Payslip_Lookup[#Headers]))="","",INDEX(Salary_Calculation[Salary Month],ROW()-ROW(Payslip_Lookup[#Headers])))</f>
        <v/>
      </c>
      <c r="D120" s="173" t="str">
        <f aca="false">IF(INDEX(Salary_Calculation[Source Row],ROW()-ROW(Payslip_Lookup[#Headers]))="","",INDEX(Salary_Calculation[Rider ID],ROW()-ROW(Payslip_Lookup[#Headers])))</f>
        <v/>
      </c>
      <c r="E120" s="171" t="str">
        <f aca="false">IF(INDEX(Salary_Calculation[Source Row],ROW()-ROW(Payslip_Lookup[#Headers]))="","",INDEX(Salary_Calculation[Rider Name],ROW()-ROW(Payslip_Lookup[#Headers])))</f>
        <v/>
      </c>
      <c r="F120" s="173" t="str">
        <f aca="false">IF(INDEX(Salary_Calculation[Source Row],ROW()-ROW(Payslip_Lookup[#Headers]))="","",INDEX(Salary_Calculation[Working Days],ROW()-ROW(Payslip_Lookup[#Headers])))</f>
        <v/>
      </c>
      <c r="G120" s="173" t="str">
        <f aca="false">IF(INDEX(Salary_Calculation[Source Row],ROW()-ROW(Payslip_Lookup[#Headers]))="","",INDEX(Salary_Calculation[Calendar Days],ROW()-ROW(Payslip_Lookup[#Headers])))</f>
        <v/>
      </c>
      <c r="H120" s="174" t="str">
        <f aca="false">IF(INDEX(Salary_Calculation[Source Row],ROW()-ROW(Payslip_Lookup[#Headers]))="","",INDEX(Salary_Calculation[Monthly Target Orders],ROW()-ROW(Payslip_Lookup[#Headers])))</f>
        <v/>
      </c>
      <c r="I120" s="174" t="str">
        <f aca="false">IF(INDEX(Salary_Calculation[Source Row],ROW()-ROW(Payslip_Lookup[#Headers]))="","",INDEX(Salary_Calculation[Rider Target Orders],ROW()-ROW(Payslip_Lookup[#Headers])))</f>
        <v/>
      </c>
      <c r="J120" s="175" t="str">
        <f aca="false">IF(INDEX(Salary_Calculation[Source Row],ROW()-ROW(Payslip_Lookup[#Headers]))="","",INDEX(Salary_Calculation[Completed Orders],ROW()-ROW(Payslip_Lookup[#Headers])))</f>
        <v/>
      </c>
      <c r="K120" s="174" t="str">
        <f aca="false">IF(INDEX(Salary_Calculation[Source Row],ROW()-ROW(Payslip_Lookup[#Headers]))="","",INDEX(Salary_Calculation[Base Order Rate],ROW()-ROW(Payslip_Lookup[#Headers])))</f>
        <v/>
      </c>
      <c r="L120" s="176" t="str">
        <f aca="false">IF(INDEX(Salary_Calculation[Source Row],ROW()-ROW(Payslip_Lookup[#Headers]))="","",INDEX(Salary_Calculation[Basic Payment],ROW()-ROW(Payslip_Lookup[#Headers])))</f>
        <v/>
      </c>
      <c r="M120" s="176" t="str">
        <f aca="false">IF(INDEX(Salary_Calculation[Source Row],ROW()-ROW(Payslip_Lookup[#Headers]))="","",INDEX(Salary_Calculation[Earned Salary],ROW()-ROW(Payslip_Lookup[#Headers])))</f>
        <v/>
      </c>
      <c r="N120" s="174" t="str">
        <f aca="false">IF(INDEX(Salary_Calculation[Source Row],ROW()-ROW(Payslip_Lookup[#Headers]))="","",INDEX(Salary_Calculation[Orders Counted at Base Rate],ROW()-ROW(Payslip_Lookup[#Headers])))</f>
        <v/>
      </c>
      <c r="O120" s="174" t="str">
        <f aca="false">IF(INDEX(Salary_Calculation[Source Row],ROW()-ROW(Payslip_Lookup[#Headers]))="","",INDEX(Salary_Calculation[Missing Orders],ROW()-ROW(Payslip_Lookup[#Headers])))</f>
        <v/>
      </c>
      <c r="P120" s="176" t="str">
        <f aca="false">IF(INDEX(Salary_Calculation[Source Row],ROW()-ROW(Payslip_Lookup[#Headers]))="","",INDEX(Salary_Calculation[Missing-Order Deduction],ROW()-ROW(Payslip_Lookup[#Headers])))</f>
        <v/>
      </c>
      <c r="Q120" s="174" t="str">
        <f aca="false">IF(INDEX(Salary_Calculation[Source Row],ROW()-ROW(Payslip_Lookup[#Headers]))="","",INDEX(Salary_Calculation[Extra Orders],ROW()-ROW(Payslip_Lookup[#Headers])))</f>
        <v/>
      </c>
      <c r="R120" s="176" t="str">
        <f aca="false">IF(INDEX(Salary_Calculation[Source Row],ROW()-ROW(Payslip_Lookup[#Headers]))="","",INDEX(Salary_Calculation[Extra-Order Bonus],ROW()-ROW(Payslip_Lookup[#Headers])))</f>
        <v/>
      </c>
      <c r="S120" s="176" t="str">
        <f aca="false">IF(INDEX(Salary_Calculation[Source Row],ROW()-ROW(Payslip_Lookup[#Headers]))="","",INDEX(Salary_Calculation[Basic Salary for Target],ROW()-ROW(Payslip_Lookup[#Headers])))</f>
        <v/>
      </c>
      <c r="T120" s="176" t="str">
        <f aca="false">IF(INDEX(Salary_Calculation[Source Row],ROW()-ROW(Payslip_Lookup[#Headers]))="","",INDEX(Salary_Calculation[Gross Salary Before Deductions],ROW()-ROW(Payslip_Lookup[#Headers])))</f>
        <v/>
      </c>
      <c r="U120" s="176" t="str">
        <f aca="false">IF(INDEX(Salary_Calculation[Source Row],ROW()-ROW(Payslip_Lookup[#Headers]))="","",INDEX(Salary_Calculation[missed_days_penalty],ROW()-ROW(Payslip_Lookup[#Headers])))</f>
        <v/>
      </c>
      <c r="V120" s="176" t="str">
        <f aca="false">IF(INDEX(Salary_Calculation[Source Row],ROW()-ROW(Payslip_Lookup[#Headers]))="","",INDEX(Salary_Calculation[Rider Balance],ROW()-ROW(Payslip_Lookup[#Headers])))</f>
        <v/>
      </c>
      <c r="W120" s="176" t="str">
        <f aca="false">IF(INDEX(Salary_Calculation[Source Row],ROW()-ROW(Payslip_Lookup[#Headers]))="","",INDEX(Salary_Calculation[stacking_deduction],ROW()-ROW(Payslip_Lookup[#Headers])))</f>
        <v/>
      </c>
      <c r="X120" s="176" t="str">
        <f aca="false">IF(INDEX(Salary_Calculation[Source Row],ROW()-ROW(Payslip_Lookup[#Headers]))="","",INDEX(Salary_Calculation[Other Deductions],ROW()-ROW(Payslip_Lookup[#Headers])))</f>
        <v/>
      </c>
      <c r="Y120" s="176" t="str">
        <f aca="false">IF(INDEX(Salary_Calculation[Source Row],ROW()-ROW(Payslip_Lookup[#Headers]))="","",INDEX(Salary_Calculation[Total Deductions],ROW()-ROW(Payslip_Lookup[#Headers])))</f>
        <v/>
      </c>
      <c r="Z120" s="176" t="str">
        <f aca="false">IF(INDEX(Salary_Calculation[Source Row],ROW()-ROW(Payslip_Lookup[#Headers]))="","",INDEX(Salary_Calculation[Final Salary],ROW()-ROW(Payslip_Lookup[#Headers])))</f>
        <v/>
      </c>
      <c r="AA120" s="176" t="str">
        <f aca="false">IF(INDEX(Salary_Calculation[Source Row],ROW()-ROW(Payslip_Lookup[#Headers]))="","",INDEX(Salary_Calculation[Negative Balance / Amount Due from Rider],ROW()-ROW(Payslip_Lookup[#Headers])))</f>
        <v/>
      </c>
      <c r="AB120" s="176" t="str">
        <f aca="false">IF(INDEX(Salary_Calculation[Source Row],ROW()-ROW(Payslip_Lookup[#Headers]))="","",INDEX(Salary_Calculation[Total Amount Due from Rider],ROW()-ROW(Payslip_Lookup[#Headers])))</f>
        <v/>
      </c>
      <c r="AC120" s="176" t="str">
        <f aca="false">IF(INDEX(Salary_Calculation[Source Row],ROW()-ROW(Payslip_Lookup[#Headers]))="","",INDEX(Salary_Calculation[Salary Before Other Deductions],ROW()-ROW(Payslip_Lookup[#Headers])))</f>
        <v/>
      </c>
      <c r="AD120" s="171" t="str">
        <f aca="false">IF(INDEX(Salary_Calculation[Source Row],ROW()-ROW(Payslip_Lookup[#Headers]))="","",INDEX(Salary_Calculation[Payment Status],ROW()-ROW(Payslip_Lookup[#Headers])))</f>
        <v/>
      </c>
      <c r="AE120" s="171" t="str">
        <f aca="false">IF(INDEX(Salary_Calculation[Source Row],ROW()-ROW(Payslip_Lookup[#Headers]))="","",INDEX(Salary_Calculation[Notes],ROW()-ROW(Payslip_Lookup[#Headers])))</f>
        <v/>
      </c>
      <c r="AF120" s="171" t="str">
        <f aca="false">IF(INDEX(Salary_Calculation[Source Row],ROW()-ROW(Payslip_Lookup[#Headers]))="","",INDEX(Salary_Calculation[Exception Reason],ROW()-ROW(Payslip_Lookup[#Headers])))</f>
        <v/>
      </c>
      <c r="AG120" s="173" t="str">
        <f aca="false">IF($AD120="Review Required",COUNTIF(AD$2:AD120,"Review Required"),"")</f>
        <v/>
      </c>
      <c r="AH120" s="173" t="str">
        <f aca="false">IF(AND($D120&lt;&gt;"",$B120=Payslip_Print!$C$2),MAX(AH$1:AH119)+1,"")</f>
        <v/>
      </c>
      <c r="AL120" s="178" t="str">
        <f aca="false">IFERROR(INDEX($D$2:$D$501,MATCH(ROW()-1,$AH$2:$AH$501,0)),"")</f>
        <v/>
      </c>
      <c r="AM120" s="179" t="str">
        <f aca="false">IF($Z120="","",IF(AND($C120&gt;=Dash_Start,$C120&lt;Dash_End),$Z120+ROW()/10000000,""))</f>
        <v/>
      </c>
    </row>
    <row r="121" customFormat="false" ht="14.25" hidden="false" customHeight="false" outlineLevel="0" collapsed="false">
      <c r="A121" s="171" t="str">
        <f aca="false">IF(Payslip_Lookup[[#This Row],[Rider ID]]="","",Payslip_Lookup[[#This Row],[Rider ID]]&amp;"|"&amp;Payslip_Lookup[[#This Row],[Month Key]])</f>
        <v/>
      </c>
      <c r="B121" s="172" t="str">
        <f aca="false">IF(ISNUMBER(Payslip_Lookup[[#This Row],[Salary Month]]),DATE(YEAR(Payslip_Lookup[[#This Row],[Salary Month]]),MONTH(Payslip_Lookup[[#This Row],[Salary Month]]),1),"")</f>
        <v/>
      </c>
      <c r="C121" s="172" t="str">
        <f aca="false">IF(INDEX(Salary_Calculation[Source Row],ROW()-ROW(Payslip_Lookup[#Headers]))="","",INDEX(Salary_Calculation[Salary Month],ROW()-ROW(Payslip_Lookup[#Headers])))</f>
        <v/>
      </c>
      <c r="D121" s="173" t="str">
        <f aca="false">IF(INDEX(Salary_Calculation[Source Row],ROW()-ROW(Payslip_Lookup[#Headers]))="","",INDEX(Salary_Calculation[Rider ID],ROW()-ROW(Payslip_Lookup[#Headers])))</f>
        <v/>
      </c>
      <c r="E121" s="171" t="str">
        <f aca="false">IF(INDEX(Salary_Calculation[Source Row],ROW()-ROW(Payslip_Lookup[#Headers]))="","",INDEX(Salary_Calculation[Rider Name],ROW()-ROW(Payslip_Lookup[#Headers])))</f>
        <v/>
      </c>
      <c r="F121" s="173" t="str">
        <f aca="false">IF(INDEX(Salary_Calculation[Source Row],ROW()-ROW(Payslip_Lookup[#Headers]))="","",INDEX(Salary_Calculation[Working Days],ROW()-ROW(Payslip_Lookup[#Headers])))</f>
        <v/>
      </c>
      <c r="G121" s="173" t="str">
        <f aca="false">IF(INDEX(Salary_Calculation[Source Row],ROW()-ROW(Payslip_Lookup[#Headers]))="","",INDEX(Salary_Calculation[Calendar Days],ROW()-ROW(Payslip_Lookup[#Headers])))</f>
        <v/>
      </c>
      <c r="H121" s="174" t="str">
        <f aca="false">IF(INDEX(Salary_Calculation[Source Row],ROW()-ROW(Payslip_Lookup[#Headers]))="","",INDEX(Salary_Calculation[Monthly Target Orders],ROW()-ROW(Payslip_Lookup[#Headers])))</f>
        <v/>
      </c>
      <c r="I121" s="174" t="str">
        <f aca="false">IF(INDEX(Salary_Calculation[Source Row],ROW()-ROW(Payslip_Lookup[#Headers]))="","",INDEX(Salary_Calculation[Rider Target Orders],ROW()-ROW(Payslip_Lookup[#Headers])))</f>
        <v/>
      </c>
      <c r="J121" s="175" t="str">
        <f aca="false">IF(INDEX(Salary_Calculation[Source Row],ROW()-ROW(Payslip_Lookup[#Headers]))="","",INDEX(Salary_Calculation[Completed Orders],ROW()-ROW(Payslip_Lookup[#Headers])))</f>
        <v/>
      </c>
      <c r="K121" s="174" t="str">
        <f aca="false">IF(INDEX(Salary_Calculation[Source Row],ROW()-ROW(Payslip_Lookup[#Headers]))="","",INDEX(Salary_Calculation[Base Order Rate],ROW()-ROW(Payslip_Lookup[#Headers])))</f>
        <v/>
      </c>
      <c r="L121" s="176" t="str">
        <f aca="false">IF(INDEX(Salary_Calculation[Source Row],ROW()-ROW(Payslip_Lookup[#Headers]))="","",INDEX(Salary_Calculation[Basic Payment],ROW()-ROW(Payslip_Lookup[#Headers])))</f>
        <v/>
      </c>
      <c r="M121" s="176" t="str">
        <f aca="false">IF(INDEX(Salary_Calculation[Source Row],ROW()-ROW(Payslip_Lookup[#Headers]))="","",INDEX(Salary_Calculation[Earned Salary],ROW()-ROW(Payslip_Lookup[#Headers])))</f>
        <v/>
      </c>
      <c r="N121" s="174" t="str">
        <f aca="false">IF(INDEX(Salary_Calculation[Source Row],ROW()-ROW(Payslip_Lookup[#Headers]))="","",INDEX(Salary_Calculation[Orders Counted at Base Rate],ROW()-ROW(Payslip_Lookup[#Headers])))</f>
        <v/>
      </c>
      <c r="O121" s="174" t="str">
        <f aca="false">IF(INDEX(Salary_Calculation[Source Row],ROW()-ROW(Payslip_Lookup[#Headers]))="","",INDEX(Salary_Calculation[Missing Orders],ROW()-ROW(Payslip_Lookup[#Headers])))</f>
        <v/>
      </c>
      <c r="P121" s="176" t="str">
        <f aca="false">IF(INDEX(Salary_Calculation[Source Row],ROW()-ROW(Payslip_Lookup[#Headers]))="","",INDEX(Salary_Calculation[Missing-Order Deduction],ROW()-ROW(Payslip_Lookup[#Headers])))</f>
        <v/>
      </c>
      <c r="Q121" s="174" t="str">
        <f aca="false">IF(INDEX(Salary_Calculation[Source Row],ROW()-ROW(Payslip_Lookup[#Headers]))="","",INDEX(Salary_Calculation[Extra Orders],ROW()-ROW(Payslip_Lookup[#Headers])))</f>
        <v/>
      </c>
      <c r="R121" s="176" t="str">
        <f aca="false">IF(INDEX(Salary_Calculation[Source Row],ROW()-ROW(Payslip_Lookup[#Headers]))="","",INDEX(Salary_Calculation[Extra-Order Bonus],ROW()-ROW(Payslip_Lookup[#Headers])))</f>
        <v/>
      </c>
      <c r="S121" s="176" t="str">
        <f aca="false">IF(INDEX(Salary_Calculation[Source Row],ROW()-ROW(Payslip_Lookup[#Headers]))="","",INDEX(Salary_Calculation[Basic Salary for Target],ROW()-ROW(Payslip_Lookup[#Headers])))</f>
        <v/>
      </c>
      <c r="T121" s="176" t="str">
        <f aca="false">IF(INDEX(Salary_Calculation[Source Row],ROW()-ROW(Payslip_Lookup[#Headers]))="","",INDEX(Salary_Calculation[Gross Salary Before Deductions],ROW()-ROW(Payslip_Lookup[#Headers])))</f>
        <v/>
      </c>
      <c r="U121" s="176" t="str">
        <f aca="false">IF(INDEX(Salary_Calculation[Source Row],ROW()-ROW(Payslip_Lookup[#Headers]))="","",INDEX(Salary_Calculation[missed_days_penalty],ROW()-ROW(Payslip_Lookup[#Headers])))</f>
        <v/>
      </c>
      <c r="V121" s="176" t="str">
        <f aca="false">IF(INDEX(Salary_Calculation[Source Row],ROW()-ROW(Payslip_Lookup[#Headers]))="","",INDEX(Salary_Calculation[Rider Balance],ROW()-ROW(Payslip_Lookup[#Headers])))</f>
        <v/>
      </c>
      <c r="W121" s="176" t="str">
        <f aca="false">IF(INDEX(Salary_Calculation[Source Row],ROW()-ROW(Payslip_Lookup[#Headers]))="","",INDEX(Salary_Calculation[stacking_deduction],ROW()-ROW(Payslip_Lookup[#Headers])))</f>
        <v/>
      </c>
      <c r="X121" s="176" t="str">
        <f aca="false">IF(INDEX(Salary_Calculation[Source Row],ROW()-ROW(Payslip_Lookup[#Headers]))="","",INDEX(Salary_Calculation[Other Deductions],ROW()-ROW(Payslip_Lookup[#Headers])))</f>
        <v/>
      </c>
      <c r="Y121" s="176" t="str">
        <f aca="false">IF(INDEX(Salary_Calculation[Source Row],ROW()-ROW(Payslip_Lookup[#Headers]))="","",INDEX(Salary_Calculation[Total Deductions],ROW()-ROW(Payslip_Lookup[#Headers])))</f>
        <v/>
      </c>
      <c r="Z121" s="176" t="str">
        <f aca="false">IF(INDEX(Salary_Calculation[Source Row],ROW()-ROW(Payslip_Lookup[#Headers]))="","",INDEX(Salary_Calculation[Final Salary],ROW()-ROW(Payslip_Lookup[#Headers])))</f>
        <v/>
      </c>
      <c r="AA121" s="176" t="str">
        <f aca="false">IF(INDEX(Salary_Calculation[Source Row],ROW()-ROW(Payslip_Lookup[#Headers]))="","",INDEX(Salary_Calculation[Negative Balance / Amount Due from Rider],ROW()-ROW(Payslip_Lookup[#Headers])))</f>
        <v/>
      </c>
      <c r="AB121" s="176" t="str">
        <f aca="false">IF(INDEX(Salary_Calculation[Source Row],ROW()-ROW(Payslip_Lookup[#Headers]))="","",INDEX(Salary_Calculation[Total Amount Due from Rider],ROW()-ROW(Payslip_Lookup[#Headers])))</f>
        <v/>
      </c>
      <c r="AC121" s="176" t="str">
        <f aca="false">IF(INDEX(Salary_Calculation[Source Row],ROW()-ROW(Payslip_Lookup[#Headers]))="","",INDEX(Salary_Calculation[Salary Before Other Deductions],ROW()-ROW(Payslip_Lookup[#Headers])))</f>
        <v/>
      </c>
      <c r="AD121" s="171" t="str">
        <f aca="false">IF(INDEX(Salary_Calculation[Source Row],ROW()-ROW(Payslip_Lookup[#Headers]))="","",INDEX(Salary_Calculation[Payment Status],ROW()-ROW(Payslip_Lookup[#Headers])))</f>
        <v/>
      </c>
      <c r="AE121" s="171" t="str">
        <f aca="false">IF(INDEX(Salary_Calculation[Source Row],ROW()-ROW(Payslip_Lookup[#Headers]))="","",INDEX(Salary_Calculation[Notes],ROW()-ROW(Payslip_Lookup[#Headers])))</f>
        <v/>
      </c>
      <c r="AF121" s="171" t="str">
        <f aca="false">IF(INDEX(Salary_Calculation[Source Row],ROW()-ROW(Payslip_Lookup[#Headers]))="","",INDEX(Salary_Calculation[Exception Reason],ROW()-ROW(Payslip_Lookup[#Headers])))</f>
        <v/>
      </c>
      <c r="AG121" s="173" t="str">
        <f aca="false">IF($AD121="Review Required",COUNTIF(AD$2:AD121,"Review Required"),"")</f>
        <v/>
      </c>
      <c r="AH121" s="173" t="str">
        <f aca="false">IF(AND($D121&lt;&gt;"",$B121=Payslip_Print!$C$2),MAX(AH$1:AH120)+1,"")</f>
        <v/>
      </c>
      <c r="AL121" s="178" t="str">
        <f aca="false">IFERROR(INDEX($D$2:$D$501,MATCH(ROW()-1,$AH$2:$AH$501,0)),"")</f>
        <v/>
      </c>
      <c r="AM121" s="179" t="str">
        <f aca="false">IF($Z121="","",IF(AND($C121&gt;=Dash_Start,$C121&lt;Dash_End),$Z121+ROW()/10000000,""))</f>
        <v/>
      </c>
    </row>
    <row r="122" customFormat="false" ht="14.25" hidden="false" customHeight="false" outlineLevel="0" collapsed="false">
      <c r="A122" s="171" t="str">
        <f aca="false">IF(Payslip_Lookup[[#This Row],[Rider ID]]="","",Payslip_Lookup[[#This Row],[Rider ID]]&amp;"|"&amp;Payslip_Lookup[[#This Row],[Month Key]])</f>
        <v/>
      </c>
      <c r="B122" s="172" t="str">
        <f aca="false">IF(ISNUMBER(Payslip_Lookup[[#This Row],[Salary Month]]),DATE(YEAR(Payslip_Lookup[[#This Row],[Salary Month]]),MONTH(Payslip_Lookup[[#This Row],[Salary Month]]),1),"")</f>
        <v/>
      </c>
      <c r="C122" s="172" t="str">
        <f aca="false">IF(INDEX(Salary_Calculation[Source Row],ROW()-ROW(Payslip_Lookup[#Headers]))="","",INDEX(Salary_Calculation[Salary Month],ROW()-ROW(Payslip_Lookup[#Headers])))</f>
        <v/>
      </c>
      <c r="D122" s="173" t="str">
        <f aca="false">IF(INDEX(Salary_Calculation[Source Row],ROW()-ROW(Payslip_Lookup[#Headers]))="","",INDEX(Salary_Calculation[Rider ID],ROW()-ROW(Payslip_Lookup[#Headers])))</f>
        <v/>
      </c>
      <c r="E122" s="171" t="str">
        <f aca="false">IF(INDEX(Salary_Calculation[Source Row],ROW()-ROW(Payslip_Lookup[#Headers]))="","",INDEX(Salary_Calculation[Rider Name],ROW()-ROW(Payslip_Lookup[#Headers])))</f>
        <v/>
      </c>
      <c r="F122" s="173" t="str">
        <f aca="false">IF(INDEX(Salary_Calculation[Source Row],ROW()-ROW(Payslip_Lookup[#Headers]))="","",INDEX(Salary_Calculation[Working Days],ROW()-ROW(Payslip_Lookup[#Headers])))</f>
        <v/>
      </c>
      <c r="G122" s="173" t="str">
        <f aca="false">IF(INDEX(Salary_Calculation[Source Row],ROW()-ROW(Payslip_Lookup[#Headers]))="","",INDEX(Salary_Calculation[Calendar Days],ROW()-ROW(Payslip_Lookup[#Headers])))</f>
        <v/>
      </c>
      <c r="H122" s="174" t="str">
        <f aca="false">IF(INDEX(Salary_Calculation[Source Row],ROW()-ROW(Payslip_Lookup[#Headers]))="","",INDEX(Salary_Calculation[Monthly Target Orders],ROW()-ROW(Payslip_Lookup[#Headers])))</f>
        <v/>
      </c>
      <c r="I122" s="174" t="str">
        <f aca="false">IF(INDEX(Salary_Calculation[Source Row],ROW()-ROW(Payslip_Lookup[#Headers]))="","",INDEX(Salary_Calculation[Rider Target Orders],ROW()-ROW(Payslip_Lookup[#Headers])))</f>
        <v/>
      </c>
      <c r="J122" s="175" t="str">
        <f aca="false">IF(INDEX(Salary_Calculation[Source Row],ROW()-ROW(Payslip_Lookup[#Headers]))="","",INDEX(Salary_Calculation[Completed Orders],ROW()-ROW(Payslip_Lookup[#Headers])))</f>
        <v/>
      </c>
      <c r="K122" s="174" t="str">
        <f aca="false">IF(INDEX(Salary_Calculation[Source Row],ROW()-ROW(Payslip_Lookup[#Headers]))="","",INDEX(Salary_Calculation[Base Order Rate],ROW()-ROW(Payslip_Lookup[#Headers])))</f>
        <v/>
      </c>
      <c r="L122" s="176" t="str">
        <f aca="false">IF(INDEX(Salary_Calculation[Source Row],ROW()-ROW(Payslip_Lookup[#Headers]))="","",INDEX(Salary_Calculation[Basic Payment],ROW()-ROW(Payslip_Lookup[#Headers])))</f>
        <v/>
      </c>
      <c r="M122" s="176" t="str">
        <f aca="false">IF(INDEX(Salary_Calculation[Source Row],ROW()-ROW(Payslip_Lookup[#Headers]))="","",INDEX(Salary_Calculation[Earned Salary],ROW()-ROW(Payslip_Lookup[#Headers])))</f>
        <v/>
      </c>
      <c r="N122" s="174" t="str">
        <f aca="false">IF(INDEX(Salary_Calculation[Source Row],ROW()-ROW(Payslip_Lookup[#Headers]))="","",INDEX(Salary_Calculation[Orders Counted at Base Rate],ROW()-ROW(Payslip_Lookup[#Headers])))</f>
        <v/>
      </c>
      <c r="O122" s="174" t="str">
        <f aca="false">IF(INDEX(Salary_Calculation[Source Row],ROW()-ROW(Payslip_Lookup[#Headers]))="","",INDEX(Salary_Calculation[Missing Orders],ROW()-ROW(Payslip_Lookup[#Headers])))</f>
        <v/>
      </c>
      <c r="P122" s="176" t="str">
        <f aca="false">IF(INDEX(Salary_Calculation[Source Row],ROW()-ROW(Payslip_Lookup[#Headers]))="","",INDEX(Salary_Calculation[Missing-Order Deduction],ROW()-ROW(Payslip_Lookup[#Headers])))</f>
        <v/>
      </c>
      <c r="Q122" s="174" t="str">
        <f aca="false">IF(INDEX(Salary_Calculation[Source Row],ROW()-ROW(Payslip_Lookup[#Headers]))="","",INDEX(Salary_Calculation[Extra Orders],ROW()-ROW(Payslip_Lookup[#Headers])))</f>
        <v/>
      </c>
      <c r="R122" s="176" t="str">
        <f aca="false">IF(INDEX(Salary_Calculation[Source Row],ROW()-ROW(Payslip_Lookup[#Headers]))="","",INDEX(Salary_Calculation[Extra-Order Bonus],ROW()-ROW(Payslip_Lookup[#Headers])))</f>
        <v/>
      </c>
      <c r="S122" s="176" t="str">
        <f aca="false">IF(INDEX(Salary_Calculation[Source Row],ROW()-ROW(Payslip_Lookup[#Headers]))="","",INDEX(Salary_Calculation[Basic Salary for Target],ROW()-ROW(Payslip_Lookup[#Headers])))</f>
        <v/>
      </c>
      <c r="T122" s="176" t="str">
        <f aca="false">IF(INDEX(Salary_Calculation[Source Row],ROW()-ROW(Payslip_Lookup[#Headers]))="","",INDEX(Salary_Calculation[Gross Salary Before Deductions],ROW()-ROW(Payslip_Lookup[#Headers])))</f>
        <v/>
      </c>
      <c r="U122" s="176" t="str">
        <f aca="false">IF(INDEX(Salary_Calculation[Source Row],ROW()-ROW(Payslip_Lookup[#Headers]))="","",INDEX(Salary_Calculation[missed_days_penalty],ROW()-ROW(Payslip_Lookup[#Headers])))</f>
        <v/>
      </c>
      <c r="V122" s="176" t="str">
        <f aca="false">IF(INDEX(Salary_Calculation[Source Row],ROW()-ROW(Payslip_Lookup[#Headers]))="","",INDEX(Salary_Calculation[Rider Balance],ROW()-ROW(Payslip_Lookup[#Headers])))</f>
        <v/>
      </c>
      <c r="W122" s="176" t="str">
        <f aca="false">IF(INDEX(Salary_Calculation[Source Row],ROW()-ROW(Payslip_Lookup[#Headers]))="","",INDEX(Salary_Calculation[stacking_deduction],ROW()-ROW(Payslip_Lookup[#Headers])))</f>
        <v/>
      </c>
      <c r="X122" s="176" t="str">
        <f aca="false">IF(INDEX(Salary_Calculation[Source Row],ROW()-ROW(Payslip_Lookup[#Headers]))="","",INDEX(Salary_Calculation[Other Deductions],ROW()-ROW(Payslip_Lookup[#Headers])))</f>
        <v/>
      </c>
      <c r="Y122" s="176" t="str">
        <f aca="false">IF(INDEX(Salary_Calculation[Source Row],ROW()-ROW(Payslip_Lookup[#Headers]))="","",INDEX(Salary_Calculation[Total Deductions],ROW()-ROW(Payslip_Lookup[#Headers])))</f>
        <v/>
      </c>
      <c r="Z122" s="176" t="str">
        <f aca="false">IF(INDEX(Salary_Calculation[Source Row],ROW()-ROW(Payslip_Lookup[#Headers]))="","",INDEX(Salary_Calculation[Final Salary],ROW()-ROW(Payslip_Lookup[#Headers])))</f>
        <v/>
      </c>
      <c r="AA122" s="176" t="str">
        <f aca="false">IF(INDEX(Salary_Calculation[Source Row],ROW()-ROW(Payslip_Lookup[#Headers]))="","",INDEX(Salary_Calculation[Negative Balance / Amount Due from Rider],ROW()-ROW(Payslip_Lookup[#Headers])))</f>
        <v/>
      </c>
      <c r="AB122" s="176" t="str">
        <f aca="false">IF(INDEX(Salary_Calculation[Source Row],ROW()-ROW(Payslip_Lookup[#Headers]))="","",INDEX(Salary_Calculation[Total Amount Due from Rider],ROW()-ROW(Payslip_Lookup[#Headers])))</f>
        <v/>
      </c>
      <c r="AC122" s="176" t="str">
        <f aca="false">IF(INDEX(Salary_Calculation[Source Row],ROW()-ROW(Payslip_Lookup[#Headers]))="","",INDEX(Salary_Calculation[Salary Before Other Deductions],ROW()-ROW(Payslip_Lookup[#Headers])))</f>
        <v/>
      </c>
      <c r="AD122" s="171" t="str">
        <f aca="false">IF(INDEX(Salary_Calculation[Source Row],ROW()-ROW(Payslip_Lookup[#Headers]))="","",INDEX(Salary_Calculation[Payment Status],ROW()-ROW(Payslip_Lookup[#Headers])))</f>
        <v/>
      </c>
      <c r="AE122" s="171" t="str">
        <f aca="false">IF(INDEX(Salary_Calculation[Source Row],ROW()-ROW(Payslip_Lookup[#Headers]))="","",INDEX(Salary_Calculation[Notes],ROW()-ROW(Payslip_Lookup[#Headers])))</f>
        <v/>
      </c>
      <c r="AF122" s="171" t="str">
        <f aca="false">IF(INDEX(Salary_Calculation[Source Row],ROW()-ROW(Payslip_Lookup[#Headers]))="","",INDEX(Salary_Calculation[Exception Reason],ROW()-ROW(Payslip_Lookup[#Headers])))</f>
        <v/>
      </c>
      <c r="AG122" s="173" t="str">
        <f aca="false">IF($AD122="Review Required",COUNTIF(AD$2:AD122,"Review Required"),"")</f>
        <v/>
      </c>
      <c r="AH122" s="173" t="str">
        <f aca="false">IF(AND($D122&lt;&gt;"",$B122=Payslip_Print!$C$2),MAX(AH$1:AH121)+1,"")</f>
        <v/>
      </c>
      <c r="AL122" s="178" t="str">
        <f aca="false">IFERROR(INDEX($D$2:$D$501,MATCH(ROW()-1,$AH$2:$AH$501,0)),"")</f>
        <v/>
      </c>
      <c r="AM122" s="179" t="str">
        <f aca="false">IF($Z122="","",IF(AND($C122&gt;=Dash_Start,$C122&lt;Dash_End),$Z122+ROW()/10000000,""))</f>
        <v/>
      </c>
    </row>
    <row r="123" customFormat="false" ht="14.25" hidden="false" customHeight="false" outlineLevel="0" collapsed="false">
      <c r="A123" s="171" t="str">
        <f aca="false">IF(Payslip_Lookup[[#This Row],[Rider ID]]="","",Payslip_Lookup[[#This Row],[Rider ID]]&amp;"|"&amp;Payslip_Lookup[[#This Row],[Month Key]])</f>
        <v/>
      </c>
      <c r="B123" s="172" t="str">
        <f aca="false">IF(ISNUMBER(Payslip_Lookup[[#This Row],[Salary Month]]),DATE(YEAR(Payslip_Lookup[[#This Row],[Salary Month]]),MONTH(Payslip_Lookup[[#This Row],[Salary Month]]),1),"")</f>
        <v/>
      </c>
      <c r="C123" s="172" t="str">
        <f aca="false">IF(INDEX(Salary_Calculation[Source Row],ROW()-ROW(Payslip_Lookup[#Headers]))="","",INDEX(Salary_Calculation[Salary Month],ROW()-ROW(Payslip_Lookup[#Headers])))</f>
        <v/>
      </c>
      <c r="D123" s="173" t="str">
        <f aca="false">IF(INDEX(Salary_Calculation[Source Row],ROW()-ROW(Payslip_Lookup[#Headers]))="","",INDEX(Salary_Calculation[Rider ID],ROW()-ROW(Payslip_Lookup[#Headers])))</f>
        <v/>
      </c>
      <c r="E123" s="171" t="str">
        <f aca="false">IF(INDEX(Salary_Calculation[Source Row],ROW()-ROW(Payslip_Lookup[#Headers]))="","",INDEX(Salary_Calculation[Rider Name],ROW()-ROW(Payslip_Lookup[#Headers])))</f>
        <v/>
      </c>
      <c r="F123" s="173" t="str">
        <f aca="false">IF(INDEX(Salary_Calculation[Source Row],ROW()-ROW(Payslip_Lookup[#Headers]))="","",INDEX(Salary_Calculation[Working Days],ROW()-ROW(Payslip_Lookup[#Headers])))</f>
        <v/>
      </c>
      <c r="G123" s="173" t="str">
        <f aca="false">IF(INDEX(Salary_Calculation[Source Row],ROW()-ROW(Payslip_Lookup[#Headers]))="","",INDEX(Salary_Calculation[Calendar Days],ROW()-ROW(Payslip_Lookup[#Headers])))</f>
        <v/>
      </c>
      <c r="H123" s="174" t="str">
        <f aca="false">IF(INDEX(Salary_Calculation[Source Row],ROW()-ROW(Payslip_Lookup[#Headers]))="","",INDEX(Salary_Calculation[Monthly Target Orders],ROW()-ROW(Payslip_Lookup[#Headers])))</f>
        <v/>
      </c>
      <c r="I123" s="174" t="str">
        <f aca="false">IF(INDEX(Salary_Calculation[Source Row],ROW()-ROW(Payslip_Lookup[#Headers]))="","",INDEX(Salary_Calculation[Rider Target Orders],ROW()-ROW(Payslip_Lookup[#Headers])))</f>
        <v/>
      </c>
      <c r="J123" s="175" t="str">
        <f aca="false">IF(INDEX(Salary_Calculation[Source Row],ROW()-ROW(Payslip_Lookup[#Headers]))="","",INDEX(Salary_Calculation[Completed Orders],ROW()-ROW(Payslip_Lookup[#Headers])))</f>
        <v/>
      </c>
      <c r="K123" s="174" t="str">
        <f aca="false">IF(INDEX(Salary_Calculation[Source Row],ROW()-ROW(Payslip_Lookup[#Headers]))="","",INDEX(Salary_Calculation[Base Order Rate],ROW()-ROW(Payslip_Lookup[#Headers])))</f>
        <v/>
      </c>
      <c r="L123" s="176" t="str">
        <f aca="false">IF(INDEX(Salary_Calculation[Source Row],ROW()-ROW(Payslip_Lookup[#Headers]))="","",INDEX(Salary_Calculation[Basic Payment],ROW()-ROW(Payslip_Lookup[#Headers])))</f>
        <v/>
      </c>
      <c r="M123" s="176" t="str">
        <f aca="false">IF(INDEX(Salary_Calculation[Source Row],ROW()-ROW(Payslip_Lookup[#Headers]))="","",INDEX(Salary_Calculation[Earned Salary],ROW()-ROW(Payslip_Lookup[#Headers])))</f>
        <v/>
      </c>
      <c r="N123" s="174" t="str">
        <f aca="false">IF(INDEX(Salary_Calculation[Source Row],ROW()-ROW(Payslip_Lookup[#Headers]))="","",INDEX(Salary_Calculation[Orders Counted at Base Rate],ROW()-ROW(Payslip_Lookup[#Headers])))</f>
        <v/>
      </c>
      <c r="O123" s="174" t="str">
        <f aca="false">IF(INDEX(Salary_Calculation[Source Row],ROW()-ROW(Payslip_Lookup[#Headers]))="","",INDEX(Salary_Calculation[Missing Orders],ROW()-ROW(Payslip_Lookup[#Headers])))</f>
        <v/>
      </c>
      <c r="P123" s="176" t="str">
        <f aca="false">IF(INDEX(Salary_Calculation[Source Row],ROW()-ROW(Payslip_Lookup[#Headers]))="","",INDEX(Salary_Calculation[Missing-Order Deduction],ROW()-ROW(Payslip_Lookup[#Headers])))</f>
        <v/>
      </c>
      <c r="Q123" s="174" t="str">
        <f aca="false">IF(INDEX(Salary_Calculation[Source Row],ROW()-ROW(Payslip_Lookup[#Headers]))="","",INDEX(Salary_Calculation[Extra Orders],ROW()-ROW(Payslip_Lookup[#Headers])))</f>
        <v/>
      </c>
      <c r="R123" s="176" t="str">
        <f aca="false">IF(INDEX(Salary_Calculation[Source Row],ROW()-ROW(Payslip_Lookup[#Headers]))="","",INDEX(Salary_Calculation[Extra-Order Bonus],ROW()-ROW(Payslip_Lookup[#Headers])))</f>
        <v/>
      </c>
      <c r="S123" s="176" t="str">
        <f aca="false">IF(INDEX(Salary_Calculation[Source Row],ROW()-ROW(Payslip_Lookup[#Headers]))="","",INDEX(Salary_Calculation[Basic Salary for Target],ROW()-ROW(Payslip_Lookup[#Headers])))</f>
        <v/>
      </c>
      <c r="T123" s="176" t="str">
        <f aca="false">IF(INDEX(Salary_Calculation[Source Row],ROW()-ROW(Payslip_Lookup[#Headers]))="","",INDEX(Salary_Calculation[Gross Salary Before Deductions],ROW()-ROW(Payslip_Lookup[#Headers])))</f>
        <v/>
      </c>
      <c r="U123" s="176" t="str">
        <f aca="false">IF(INDEX(Salary_Calculation[Source Row],ROW()-ROW(Payslip_Lookup[#Headers]))="","",INDEX(Salary_Calculation[missed_days_penalty],ROW()-ROW(Payslip_Lookup[#Headers])))</f>
        <v/>
      </c>
      <c r="V123" s="176" t="str">
        <f aca="false">IF(INDEX(Salary_Calculation[Source Row],ROW()-ROW(Payslip_Lookup[#Headers]))="","",INDEX(Salary_Calculation[Rider Balance],ROW()-ROW(Payslip_Lookup[#Headers])))</f>
        <v/>
      </c>
      <c r="W123" s="176" t="str">
        <f aca="false">IF(INDEX(Salary_Calculation[Source Row],ROW()-ROW(Payslip_Lookup[#Headers]))="","",INDEX(Salary_Calculation[stacking_deduction],ROW()-ROW(Payslip_Lookup[#Headers])))</f>
        <v/>
      </c>
      <c r="X123" s="176" t="str">
        <f aca="false">IF(INDEX(Salary_Calculation[Source Row],ROW()-ROW(Payslip_Lookup[#Headers]))="","",INDEX(Salary_Calculation[Other Deductions],ROW()-ROW(Payslip_Lookup[#Headers])))</f>
        <v/>
      </c>
      <c r="Y123" s="176" t="str">
        <f aca="false">IF(INDEX(Salary_Calculation[Source Row],ROW()-ROW(Payslip_Lookup[#Headers]))="","",INDEX(Salary_Calculation[Total Deductions],ROW()-ROW(Payslip_Lookup[#Headers])))</f>
        <v/>
      </c>
      <c r="Z123" s="176" t="str">
        <f aca="false">IF(INDEX(Salary_Calculation[Source Row],ROW()-ROW(Payslip_Lookup[#Headers]))="","",INDEX(Salary_Calculation[Final Salary],ROW()-ROW(Payslip_Lookup[#Headers])))</f>
        <v/>
      </c>
      <c r="AA123" s="176" t="str">
        <f aca="false">IF(INDEX(Salary_Calculation[Source Row],ROW()-ROW(Payslip_Lookup[#Headers]))="","",INDEX(Salary_Calculation[Negative Balance / Amount Due from Rider],ROW()-ROW(Payslip_Lookup[#Headers])))</f>
        <v/>
      </c>
      <c r="AB123" s="176" t="str">
        <f aca="false">IF(INDEX(Salary_Calculation[Source Row],ROW()-ROW(Payslip_Lookup[#Headers]))="","",INDEX(Salary_Calculation[Total Amount Due from Rider],ROW()-ROW(Payslip_Lookup[#Headers])))</f>
        <v/>
      </c>
      <c r="AC123" s="176" t="str">
        <f aca="false">IF(INDEX(Salary_Calculation[Source Row],ROW()-ROW(Payslip_Lookup[#Headers]))="","",INDEX(Salary_Calculation[Salary Before Other Deductions],ROW()-ROW(Payslip_Lookup[#Headers])))</f>
        <v/>
      </c>
      <c r="AD123" s="171" t="str">
        <f aca="false">IF(INDEX(Salary_Calculation[Source Row],ROW()-ROW(Payslip_Lookup[#Headers]))="","",INDEX(Salary_Calculation[Payment Status],ROW()-ROW(Payslip_Lookup[#Headers])))</f>
        <v/>
      </c>
      <c r="AE123" s="171" t="str">
        <f aca="false">IF(INDEX(Salary_Calculation[Source Row],ROW()-ROW(Payslip_Lookup[#Headers]))="","",INDEX(Salary_Calculation[Notes],ROW()-ROW(Payslip_Lookup[#Headers])))</f>
        <v/>
      </c>
      <c r="AF123" s="171" t="str">
        <f aca="false">IF(INDEX(Salary_Calculation[Source Row],ROW()-ROW(Payslip_Lookup[#Headers]))="","",INDEX(Salary_Calculation[Exception Reason],ROW()-ROW(Payslip_Lookup[#Headers])))</f>
        <v/>
      </c>
      <c r="AG123" s="173" t="str">
        <f aca="false">IF($AD123="Review Required",COUNTIF(AD$2:AD123,"Review Required"),"")</f>
        <v/>
      </c>
      <c r="AH123" s="173" t="str">
        <f aca="false">IF(AND($D123&lt;&gt;"",$B123=Payslip_Print!$C$2),MAX(AH$1:AH122)+1,"")</f>
        <v/>
      </c>
      <c r="AL123" s="178" t="str">
        <f aca="false">IFERROR(INDEX($D$2:$D$501,MATCH(ROW()-1,$AH$2:$AH$501,0)),"")</f>
        <v/>
      </c>
      <c r="AM123" s="179" t="str">
        <f aca="false">IF($Z123="","",IF(AND($C123&gt;=Dash_Start,$C123&lt;Dash_End),$Z123+ROW()/10000000,""))</f>
        <v/>
      </c>
    </row>
    <row r="124" customFormat="false" ht="14.25" hidden="false" customHeight="false" outlineLevel="0" collapsed="false">
      <c r="A124" s="171" t="str">
        <f aca="false">IF(Payslip_Lookup[[#This Row],[Rider ID]]="","",Payslip_Lookup[[#This Row],[Rider ID]]&amp;"|"&amp;Payslip_Lookup[[#This Row],[Month Key]])</f>
        <v/>
      </c>
      <c r="B124" s="172" t="str">
        <f aca="false">IF(ISNUMBER(Payslip_Lookup[[#This Row],[Salary Month]]),DATE(YEAR(Payslip_Lookup[[#This Row],[Salary Month]]),MONTH(Payslip_Lookup[[#This Row],[Salary Month]]),1),"")</f>
        <v/>
      </c>
      <c r="C124" s="172" t="str">
        <f aca="false">IF(INDEX(Salary_Calculation[Source Row],ROW()-ROW(Payslip_Lookup[#Headers]))="","",INDEX(Salary_Calculation[Salary Month],ROW()-ROW(Payslip_Lookup[#Headers])))</f>
        <v/>
      </c>
      <c r="D124" s="173" t="str">
        <f aca="false">IF(INDEX(Salary_Calculation[Source Row],ROW()-ROW(Payslip_Lookup[#Headers]))="","",INDEX(Salary_Calculation[Rider ID],ROW()-ROW(Payslip_Lookup[#Headers])))</f>
        <v/>
      </c>
      <c r="E124" s="171" t="str">
        <f aca="false">IF(INDEX(Salary_Calculation[Source Row],ROW()-ROW(Payslip_Lookup[#Headers]))="","",INDEX(Salary_Calculation[Rider Name],ROW()-ROW(Payslip_Lookup[#Headers])))</f>
        <v/>
      </c>
      <c r="F124" s="173" t="str">
        <f aca="false">IF(INDEX(Salary_Calculation[Source Row],ROW()-ROW(Payslip_Lookup[#Headers]))="","",INDEX(Salary_Calculation[Working Days],ROW()-ROW(Payslip_Lookup[#Headers])))</f>
        <v/>
      </c>
      <c r="G124" s="173" t="str">
        <f aca="false">IF(INDEX(Salary_Calculation[Source Row],ROW()-ROW(Payslip_Lookup[#Headers]))="","",INDEX(Salary_Calculation[Calendar Days],ROW()-ROW(Payslip_Lookup[#Headers])))</f>
        <v/>
      </c>
      <c r="H124" s="174" t="str">
        <f aca="false">IF(INDEX(Salary_Calculation[Source Row],ROW()-ROW(Payslip_Lookup[#Headers]))="","",INDEX(Salary_Calculation[Monthly Target Orders],ROW()-ROW(Payslip_Lookup[#Headers])))</f>
        <v/>
      </c>
      <c r="I124" s="174" t="str">
        <f aca="false">IF(INDEX(Salary_Calculation[Source Row],ROW()-ROW(Payslip_Lookup[#Headers]))="","",INDEX(Salary_Calculation[Rider Target Orders],ROW()-ROW(Payslip_Lookup[#Headers])))</f>
        <v/>
      </c>
      <c r="J124" s="175" t="str">
        <f aca="false">IF(INDEX(Salary_Calculation[Source Row],ROW()-ROW(Payslip_Lookup[#Headers]))="","",INDEX(Salary_Calculation[Completed Orders],ROW()-ROW(Payslip_Lookup[#Headers])))</f>
        <v/>
      </c>
      <c r="K124" s="174" t="str">
        <f aca="false">IF(INDEX(Salary_Calculation[Source Row],ROW()-ROW(Payslip_Lookup[#Headers]))="","",INDEX(Salary_Calculation[Base Order Rate],ROW()-ROW(Payslip_Lookup[#Headers])))</f>
        <v/>
      </c>
      <c r="L124" s="176" t="str">
        <f aca="false">IF(INDEX(Salary_Calculation[Source Row],ROW()-ROW(Payslip_Lookup[#Headers]))="","",INDEX(Salary_Calculation[Basic Payment],ROW()-ROW(Payslip_Lookup[#Headers])))</f>
        <v/>
      </c>
      <c r="M124" s="176" t="str">
        <f aca="false">IF(INDEX(Salary_Calculation[Source Row],ROW()-ROW(Payslip_Lookup[#Headers]))="","",INDEX(Salary_Calculation[Earned Salary],ROW()-ROW(Payslip_Lookup[#Headers])))</f>
        <v/>
      </c>
      <c r="N124" s="174" t="str">
        <f aca="false">IF(INDEX(Salary_Calculation[Source Row],ROW()-ROW(Payslip_Lookup[#Headers]))="","",INDEX(Salary_Calculation[Orders Counted at Base Rate],ROW()-ROW(Payslip_Lookup[#Headers])))</f>
        <v/>
      </c>
      <c r="O124" s="174" t="str">
        <f aca="false">IF(INDEX(Salary_Calculation[Source Row],ROW()-ROW(Payslip_Lookup[#Headers]))="","",INDEX(Salary_Calculation[Missing Orders],ROW()-ROW(Payslip_Lookup[#Headers])))</f>
        <v/>
      </c>
      <c r="P124" s="176" t="str">
        <f aca="false">IF(INDEX(Salary_Calculation[Source Row],ROW()-ROW(Payslip_Lookup[#Headers]))="","",INDEX(Salary_Calculation[Missing-Order Deduction],ROW()-ROW(Payslip_Lookup[#Headers])))</f>
        <v/>
      </c>
      <c r="Q124" s="174" t="str">
        <f aca="false">IF(INDEX(Salary_Calculation[Source Row],ROW()-ROW(Payslip_Lookup[#Headers]))="","",INDEX(Salary_Calculation[Extra Orders],ROW()-ROW(Payslip_Lookup[#Headers])))</f>
        <v/>
      </c>
      <c r="R124" s="176" t="str">
        <f aca="false">IF(INDEX(Salary_Calculation[Source Row],ROW()-ROW(Payslip_Lookup[#Headers]))="","",INDEX(Salary_Calculation[Extra-Order Bonus],ROW()-ROW(Payslip_Lookup[#Headers])))</f>
        <v/>
      </c>
      <c r="S124" s="176" t="str">
        <f aca="false">IF(INDEX(Salary_Calculation[Source Row],ROW()-ROW(Payslip_Lookup[#Headers]))="","",INDEX(Salary_Calculation[Basic Salary for Target],ROW()-ROW(Payslip_Lookup[#Headers])))</f>
        <v/>
      </c>
      <c r="T124" s="176" t="str">
        <f aca="false">IF(INDEX(Salary_Calculation[Source Row],ROW()-ROW(Payslip_Lookup[#Headers]))="","",INDEX(Salary_Calculation[Gross Salary Before Deductions],ROW()-ROW(Payslip_Lookup[#Headers])))</f>
        <v/>
      </c>
      <c r="U124" s="176" t="str">
        <f aca="false">IF(INDEX(Salary_Calculation[Source Row],ROW()-ROW(Payslip_Lookup[#Headers]))="","",INDEX(Salary_Calculation[missed_days_penalty],ROW()-ROW(Payslip_Lookup[#Headers])))</f>
        <v/>
      </c>
      <c r="V124" s="176" t="str">
        <f aca="false">IF(INDEX(Salary_Calculation[Source Row],ROW()-ROW(Payslip_Lookup[#Headers]))="","",INDEX(Salary_Calculation[Rider Balance],ROW()-ROW(Payslip_Lookup[#Headers])))</f>
        <v/>
      </c>
      <c r="W124" s="176" t="str">
        <f aca="false">IF(INDEX(Salary_Calculation[Source Row],ROW()-ROW(Payslip_Lookup[#Headers]))="","",INDEX(Salary_Calculation[stacking_deduction],ROW()-ROW(Payslip_Lookup[#Headers])))</f>
        <v/>
      </c>
      <c r="X124" s="176" t="str">
        <f aca="false">IF(INDEX(Salary_Calculation[Source Row],ROW()-ROW(Payslip_Lookup[#Headers]))="","",INDEX(Salary_Calculation[Other Deductions],ROW()-ROW(Payslip_Lookup[#Headers])))</f>
        <v/>
      </c>
      <c r="Y124" s="176" t="str">
        <f aca="false">IF(INDEX(Salary_Calculation[Source Row],ROW()-ROW(Payslip_Lookup[#Headers]))="","",INDEX(Salary_Calculation[Total Deductions],ROW()-ROW(Payslip_Lookup[#Headers])))</f>
        <v/>
      </c>
      <c r="Z124" s="176" t="str">
        <f aca="false">IF(INDEX(Salary_Calculation[Source Row],ROW()-ROW(Payslip_Lookup[#Headers]))="","",INDEX(Salary_Calculation[Final Salary],ROW()-ROW(Payslip_Lookup[#Headers])))</f>
        <v/>
      </c>
      <c r="AA124" s="176" t="str">
        <f aca="false">IF(INDEX(Salary_Calculation[Source Row],ROW()-ROW(Payslip_Lookup[#Headers]))="","",INDEX(Salary_Calculation[Negative Balance / Amount Due from Rider],ROW()-ROW(Payslip_Lookup[#Headers])))</f>
        <v/>
      </c>
      <c r="AB124" s="176" t="str">
        <f aca="false">IF(INDEX(Salary_Calculation[Source Row],ROW()-ROW(Payslip_Lookup[#Headers]))="","",INDEX(Salary_Calculation[Total Amount Due from Rider],ROW()-ROW(Payslip_Lookup[#Headers])))</f>
        <v/>
      </c>
      <c r="AC124" s="176" t="str">
        <f aca="false">IF(INDEX(Salary_Calculation[Source Row],ROW()-ROW(Payslip_Lookup[#Headers]))="","",INDEX(Salary_Calculation[Salary Before Other Deductions],ROW()-ROW(Payslip_Lookup[#Headers])))</f>
        <v/>
      </c>
      <c r="AD124" s="171" t="str">
        <f aca="false">IF(INDEX(Salary_Calculation[Source Row],ROW()-ROW(Payslip_Lookup[#Headers]))="","",INDEX(Salary_Calculation[Payment Status],ROW()-ROW(Payslip_Lookup[#Headers])))</f>
        <v/>
      </c>
      <c r="AE124" s="171" t="str">
        <f aca="false">IF(INDEX(Salary_Calculation[Source Row],ROW()-ROW(Payslip_Lookup[#Headers]))="","",INDEX(Salary_Calculation[Notes],ROW()-ROW(Payslip_Lookup[#Headers])))</f>
        <v/>
      </c>
      <c r="AF124" s="171" t="str">
        <f aca="false">IF(INDEX(Salary_Calculation[Source Row],ROW()-ROW(Payslip_Lookup[#Headers]))="","",INDEX(Salary_Calculation[Exception Reason],ROW()-ROW(Payslip_Lookup[#Headers])))</f>
        <v/>
      </c>
      <c r="AG124" s="173" t="str">
        <f aca="false">IF($AD124="Review Required",COUNTIF(AD$2:AD124,"Review Required"),"")</f>
        <v/>
      </c>
      <c r="AH124" s="173" t="str">
        <f aca="false">IF(AND($D124&lt;&gt;"",$B124=Payslip_Print!$C$2),MAX(AH$1:AH123)+1,"")</f>
        <v/>
      </c>
      <c r="AL124" s="178" t="str">
        <f aca="false">IFERROR(INDEX($D$2:$D$501,MATCH(ROW()-1,$AH$2:$AH$501,0)),"")</f>
        <v/>
      </c>
      <c r="AM124" s="179" t="str">
        <f aca="false">IF($Z124="","",IF(AND($C124&gt;=Dash_Start,$C124&lt;Dash_End),$Z124+ROW()/10000000,""))</f>
        <v/>
      </c>
    </row>
    <row r="125" customFormat="false" ht="14.25" hidden="false" customHeight="false" outlineLevel="0" collapsed="false">
      <c r="A125" s="171" t="str">
        <f aca="false">IF(Payslip_Lookup[[#This Row],[Rider ID]]="","",Payslip_Lookup[[#This Row],[Rider ID]]&amp;"|"&amp;Payslip_Lookup[[#This Row],[Month Key]])</f>
        <v/>
      </c>
      <c r="B125" s="172" t="str">
        <f aca="false">IF(ISNUMBER(Payslip_Lookup[[#This Row],[Salary Month]]),DATE(YEAR(Payslip_Lookup[[#This Row],[Salary Month]]),MONTH(Payslip_Lookup[[#This Row],[Salary Month]]),1),"")</f>
        <v/>
      </c>
      <c r="C125" s="172" t="str">
        <f aca="false">IF(INDEX(Salary_Calculation[Source Row],ROW()-ROW(Payslip_Lookup[#Headers]))="","",INDEX(Salary_Calculation[Salary Month],ROW()-ROW(Payslip_Lookup[#Headers])))</f>
        <v/>
      </c>
      <c r="D125" s="173" t="str">
        <f aca="false">IF(INDEX(Salary_Calculation[Source Row],ROW()-ROW(Payslip_Lookup[#Headers]))="","",INDEX(Salary_Calculation[Rider ID],ROW()-ROW(Payslip_Lookup[#Headers])))</f>
        <v/>
      </c>
      <c r="E125" s="171" t="str">
        <f aca="false">IF(INDEX(Salary_Calculation[Source Row],ROW()-ROW(Payslip_Lookup[#Headers]))="","",INDEX(Salary_Calculation[Rider Name],ROW()-ROW(Payslip_Lookup[#Headers])))</f>
        <v/>
      </c>
      <c r="F125" s="173" t="str">
        <f aca="false">IF(INDEX(Salary_Calculation[Source Row],ROW()-ROW(Payslip_Lookup[#Headers]))="","",INDEX(Salary_Calculation[Working Days],ROW()-ROW(Payslip_Lookup[#Headers])))</f>
        <v/>
      </c>
      <c r="G125" s="173" t="str">
        <f aca="false">IF(INDEX(Salary_Calculation[Source Row],ROW()-ROW(Payslip_Lookup[#Headers]))="","",INDEX(Salary_Calculation[Calendar Days],ROW()-ROW(Payslip_Lookup[#Headers])))</f>
        <v/>
      </c>
      <c r="H125" s="174" t="str">
        <f aca="false">IF(INDEX(Salary_Calculation[Source Row],ROW()-ROW(Payslip_Lookup[#Headers]))="","",INDEX(Salary_Calculation[Monthly Target Orders],ROW()-ROW(Payslip_Lookup[#Headers])))</f>
        <v/>
      </c>
      <c r="I125" s="174" t="str">
        <f aca="false">IF(INDEX(Salary_Calculation[Source Row],ROW()-ROW(Payslip_Lookup[#Headers]))="","",INDEX(Salary_Calculation[Rider Target Orders],ROW()-ROW(Payslip_Lookup[#Headers])))</f>
        <v/>
      </c>
      <c r="J125" s="175" t="str">
        <f aca="false">IF(INDEX(Salary_Calculation[Source Row],ROW()-ROW(Payslip_Lookup[#Headers]))="","",INDEX(Salary_Calculation[Completed Orders],ROW()-ROW(Payslip_Lookup[#Headers])))</f>
        <v/>
      </c>
      <c r="K125" s="174" t="str">
        <f aca="false">IF(INDEX(Salary_Calculation[Source Row],ROW()-ROW(Payslip_Lookup[#Headers]))="","",INDEX(Salary_Calculation[Base Order Rate],ROW()-ROW(Payslip_Lookup[#Headers])))</f>
        <v/>
      </c>
      <c r="L125" s="176" t="str">
        <f aca="false">IF(INDEX(Salary_Calculation[Source Row],ROW()-ROW(Payslip_Lookup[#Headers]))="","",INDEX(Salary_Calculation[Basic Payment],ROW()-ROW(Payslip_Lookup[#Headers])))</f>
        <v/>
      </c>
      <c r="M125" s="176" t="str">
        <f aca="false">IF(INDEX(Salary_Calculation[Source Row],ROW()-ROW(Payslip_Lookup[#Headers]))="","",INDEX(Salary_Calculation[Earned Salary],ROW()-ROW(Payslip_Lookup[#Headers])))</f>
        <v/>
      </c>
      <c r="N125" s="174" t="str">
        <f aca="false">IF(INDEX(Salary_Calculation[Source Row],ROW()-ROW(Payslip_Lookup[#Headers]))="","",INDEX(Salary_Calculation[Orders Counted at Base Rate],ROW()-ROW(Payslip_Lookup[#Headers])))</f>
        <v/>
      </c>
      <c r="O125" s="174" t="str">
        <f aca="false">IF(INDEX(Salary_Calculation[Source Row],ROW()-ROW(Payslip_Lookup[#Headers]))="","",INDEX(Salary_Calculation[Missing Orders],ROW()-ROW(Payslip_Lookup[#Headers])))</f>
        <v/>
      </c>
      <c r="P125" s="176" t="str">
        <f aca="false">IF(INDEX(Salary_Calculation[Source Row],ROW()-ROW(Payslip_Lookup[#Headers]))="","",INDEX(Salary_Calculation[Missing-Order Deduction],ROW()-ROW(Payslip_Lookup[#Headers])))</f>
        <v/>
      </c>
      <c r="Q125" s="174" t="str">
        <f aca="false">IF(INDEX(Salary_Calculation[Source Row],ROW()-ROW(Payslip_Lookup[#Headers]))="","",INDEX(Salary_Calculation[Extra Orders],ROW()-ROW(Payslip_Lookup[#Headers])))</f>
        <v/>
      </c>
      <c r="R125" s="176" t="str">
        <f aca="false">IF(INDEX(Salary_Calculation[Source Row],ROW()-ROW(Payslip_Lookup[#Headers]))="","",INDEX(Salary_Calculation[Extra-Order Bonus],ROW()-ROW(Payslip_Lookup[#Headers])))</f>
        <v/>
      </c>
      <c r="S125" s="176" t="str">
        <f aca="false">IF(INDEX(Salary_Calculation[Source Row],ROW()-ROW(Payslip_Lookup[#Headers]))="","",INDEX(Salary_Calculation[Basic Salary for Target],ROW()-ROW(Payslip_Lookup[#Headers])))</f>
        <v/>
      </c>
      <c r="T125" s="176" t="str">
        <f aca="false">IF(INDEX(Salary_Calculation[Source Row],ROW()-ROW(Payslip_Lookup[#Headers]))="","",INDEX(Salary_Calculation[Gross Salary Before Deductions],ROW()-ROW(Payslip_Lookup[#Headers])))</f>
        <v/>
      </c>
      <c r="U125" s="176" t="str">
        <f aca="false">IF(INDEX(Salary_Calculation[Source Row],ROW()-ROW(Payslip_Lookup[#Headers]))="","",INDEX(Salary_Calculation[missed_days_penalty],ROW()-ROW(Payslip_Lookup[#Headers])))</f>
        <v/>
      </c>
      <c r="V125" s="176" t="str">
        <f aca="false">IF(INDEX(Salary_Calculation[Source Row],ROW()-ROW(Payslip_Lookup[#Headers]))="","",INDEX(Salary_Calculation[Rider Balance],ROW()-ROW(Payslip_Lookup[#Headers])))</f>
        <v/>
      </c>
      <c r="W125" s="176" t="str">
        <f aca="false">IF(INDEX(Salary_Calculation[Source Row],ROW()-ROW(Payslip_Lookup[#Headers]))="","",INDEX(Salary_Calculation[stacking_deduction],ROW()-ROW(Payslip_Lookup[#Headers])))</f>
        <v/>
      </c>
      <c r="X125" s="176" t="str">
        <f aca="false">IF(INDEX(Salary_Calculation[Source Row],ROW()-ROW(Payslip_Lookup[#Headers]))="","",INDEX(Salary_Calculation[Other Deductions],ROW()-ROW(Payslip_Lookup[#Headers])))</f>
        <v/>
      </c>
      <c r="Y125" s="176" t="str">
        <f aca="false">IF(INDEX(Salary_Calculation[Source Row],ROW()-ROW(Payslip_Lookup[#Headers]))="","",INDEX(Salary_Calculation[Total Deductions],ROW()-ROW(Payslip_Lookup[#Headers])))</f>
        <v/>
      </c>
      <c r="Z125" s="176" t="str">
        <f aca="false">IF(INDEX(Salary_Calculation[Source Row],ROW()-ROW(Payslip_Lookup[#Headers]))="","",INDEX(Salary_Calculation[Final Salary],ROW()-ROW(Payslip_Lookup[#Headers])))</f>
        <v/>
      </c>
      <c r="AA125" s="176" t="str">
        <f aca="false">IF(INDEX(Salary_Calculation[Source Row],ROW()-ROW(Payslip_Lookup[#Headers]))="","",INDEX(Salary_Calculation[Negative Balance / Amount Due from Rider],ROW()-ROW(Payslip_Lookup[#Headers])))</f>
        <v/>
      </c>
      <c r="AB125" s="176" t="str">
        <f aca="false">IF(INDEX(Salary_Calculation[Source Row],ROW()-ROW(Payslip_Lookup[#Headers]))="","",INDEX(Salary_Calculation[Total Amount Due from Rider],ROW()-ROW(Payslip_Lookup[#Headers])))</f>
        <v/>
      </c>
      <c r="AC125" s="176" t="str">
        <f aca="false">IF(INDEX(Salary_Calculation[Source Row],ROW()-ROW(Payslip_Lookup[#Headers]))="","",INDEX(Salary_Calculation[Salary Before Other Deductions],ROW()-ROW(Payslip_Lookup[#Headers])))</f>
        <v/>
      </c>
      <c r="AD125" s="171" t="str">
        <f aca="false">IF(INDEX(Salary_Calculation[Source Row],ROW()-ROW(Payslip_Lookup[#Headers]))="","",INDEX(Salary_Calculation[Payment Status],ROW()-ROW(Payslip_Lookup[#Headers])))</f>
        <v/>
      </c>
      <c r="AE125" s="171" t="str">
        <f aca="false">IF(INDEX(Salary_Calculation[Source Row],ROW()-ROW(Payslip_Lookup[#Headers]))="","",INDEX(Salary_Calculation[Notes],ROW()-ROW(Payslip_Lookup[#Headers])))</f>
        <v/>
      </c>
      <c r="AF125" s="171" t="str">
        <f aca="false">IF(INDEX(Salary_Calculation[Source Row],ROW()-ROW(Payslip_Lookup[#Headers]))="","",INDEX(Salary_Calculation[Exception Reason],ROW()-ROW(Payslip_Lookup[#Headers])))</f>
        <v/>
      </c>
      <c r="AG125" s="173" t="str">
        <f aca="false">IF($AD125="Review Required",COUNTIF(AD$2:AD125,"Review Required"),"")</f>
        <v/>
      </c>
      <c r="AH125" s="173" t="str">
        <f aca="false">IF(AND($D125&lt;&gt;"",$B125=Payslip_Print!$C$2),MAX(AH$1:AH124)+1,"")</f>
        <v/>
      </c>
      <c r="AL125" s="178" t="str">
        <f aca="false">IFERROR(INDEX($D$2:$D$501,MATCH(ROW()-1,$AH$2:$AH$501,0)),"")</f>
        <v/>
      </c>
      <c r="AM125" s="179" t="str">
        <f aca="false">IF($Z125="","",IF(AND($C125&gt;=Dash_Start,$C125&lt;Dash_End),$Z125+ROW()/10000000,""))</f>
        <v/>
      </c>
    </row>
    <row r="126" customFormat="false" ht="14.25" hidden="false" customHeight="false" outlineLevel="0" collapsed="false">
      <c r="A126" s="171" t="str">
        <f aca="false">IF(Payslip_Lookup[[#This Row],[Rider ID]]="","",Payslip_Lookup[[#This Row],[Rider ID]]&amp;"|"&amp;Payslip_Lookup[[#This Row],[Month Key]])</f>
        <v/>
      </c>
      <c r="B126" s="172" t="str">
        <f aca="false">IF(ISNUMBER(Payslip_Lookup[[#This Row],[Salary Month]]),DATE(YEAR(Payslip_Lookup[[#This Row],[Salary Month]]),MONTH(Payslip_Lookup[[#This Row],[Salary Month]]),1),"")</f>
        <v/>
      </c>
      <c r="C126" s="172" t="str">
        <f aca="false">IF(INDEX(Salary_Calculation[Source Row],ROW()-ROW(Payslip_Lookup[#Headers]))="","",INDEX(Salary_Calculation[Salary Month],ROW()-ROW(Payslip_Lookup[#Headers])))</f>
        <v/>
      </c>
      <c r="D126" s="173" t="str">
        <f aca="false">IF(INDEX(Salary_Calculation[Source Row],ROW()-ROW(Payslip_Lookup[#Headers]))="","",INDEX(Salary_Calculation[Rider ID],ROW()-ROW(Payslip_Lookup[#Headers])))</f>
        <v/>
      </c>
      <c r="E126" s="171" t="str">
        <f aca="false">IF(INDEX(Salary_Calculation[Source Row],ROW()-ROW(Payslip_Lookup[#Headers]))="","",INDEX(Salary_Calculation[Rider Name],ROW()-ROW(Payslip_Lookup[#Headers])))</f>
        <v/>
      </c>
      <c r="F126" s="173" t="str">
        <f aca="false">IF(INDEX(Salary_Calculation[Source Row],ROW()-ROW(Payslip_Lookup[#Headers]))="","",INDEX(Salary_Calculation[Working Days],ROW()-ROW(Payslip_Lookup[#Headers])))</f>
        <v/>
      </c>
      <c r="G126" s="173" t="str">
        <f aca="false">IF(INDEX(Salary_Calculation[Source Row],ROW()-ROW(Payslip_Lookup[#Headers]))="","",INDEX(Salary_Calculation[Calendar Days],ROW()-ROW(Payslip_Lookup[#Headers])))</f>
        <v/>
      </c>
      <c r="H126" s="174" t="str">
        <f aca="false">IF(INDEX(Salary_Calculation[Source Row],ROW()-ROW(Payslip_Lookup[#Headers]))="","",INDEX(Salary_Calculation[Monthly Target Orders],ROW()-ROW(Payslip_Lookup[#Headers])))</f>
        <v/>
      </c>
      <c r="I126" s="174" t="str">
        <f aca="false">IF(INDEX(Salary_Calculation[Source Row],ROW()-ROW(Payslip_Lookup[#Headers]))="","",INDEX(Salary_Calculation[Rider Target Orders],ROW()-ROW(Payslip_Lookup[#Headers])))</f>
        <v/>
      </c>
      <c r="J126" s="175" t="str">
        <f aca="false">IF(INDEX(Salary_Calculation[Source Row],ROW()-ROW(Payslip_Lookup[#Headers]))="","",INDEX(Salary_Calculation[Completed Orders],ROW()-ROW(Payslip_Lookup[#Headers])))</f>
        <v/>
      </c>
      <c r="K126" s="174" t="str">
        <f aca="false">IF(INDEX(Salary_Calculation[Source Row],ROW()-ROW(Payslip_Lookup[#Headers]))="","",INDEX(Salary_Calculation[Base Order Rate],ROW()-ROW(Payslip_Lookup[#Headers])))</f>
        <v/>
      </c>
      <c r="L126" s="176" t="str">
        <f aca="false">IF(INDEX(Salary_Calculation[Source Row],ROW()-ROW(Payslip_Lookup[#Headers]))="","",INDEX(Salary_Calculation[Basic Payment],ROW()-ROW(Payslip_Lookup[#Headers])))</f>
        <v/>
      </c>
      <c r="M126" s="176" t="str">
        <f aca="false">IF(INDEX(Salary_Calculation[Source Row],ROW()-ROW(Payslip_Lookup[#Headers]))="","",INDEX(Salary_Calculation[Earned Salary],ROW()-ROW(Payslip_Lookup[#Headers])))</f>
        <v/>
      </c>
      <c r="N126" s="174" t="str">
        <f aca="false">IF(INDEX(Salary_Calculation[Source Row],ROW()-ROW(Payslip_Lookup[#Headers]))="","",INDEX(Salary_Calculation[Orders Counted at Base Rate],ROW()-ROW(Payslip_Lookup[#Headers])))</f>
        <v/>
      </c>
      <c r="O126" s="174" t="str">
        <f aca="false">IF(INDEX(Salary_Calculation[Source Row],ROW()-ROW(Payslip_Lookup[#Headers]))="","",INDEX(Salary_Calculation[Missing Orders],ROW()-ROW(Payslip_Lookup[#Headers])))</f>
        <v/>
      </c>
      <c r="P126" s="176" t="str">
        <f aca="false">IF(INDEX(Salary_Calculation[Source Row],ROW()-ROW(Payslip_Lookup[#Headers]))="","",INDEX(Salary_Calculation[Missing-Order Deduction],ROW()-ROW(Payslip_Lookup[#Headers])))</f>
        <v/>
      </c>
      <c r="Q126" s="174" t="str">
        <f aca="false">IF(INDEX(Salary_Calculation[Source Row],ROW()-ROW(Payslip_Lookup[#Headers]))="","",INDEX(Salary_Calculation[Extra Orders],ROW()-ROW(Payslip_Lookup[#Headers])))</f>
        <v/>
      </c>
      <c r="R126" s="176" t="str">
        <f aca="false">IF(INDEX(Salary_Calculation[Source Row],ROW()-ROW(Payslip_Lookup[#Headers]))="","",INDEX(Salary_Calculation[Extra-Order Bonus],ROW()-ROW(Payslip_Lookup[#Headers])))</f>
        <v/>
      </c>
      <c r="S126" s="176" t="str">
        <f aca="false">IF(INDEX(Salary_Calculation[Source Row],ROW()-ROW(Payslip_Lookup[#Headers]))="","",INDEX(Salary_Calculation[Basic Salary for Target],ROW()-ROW(Payslip_Lookup[#Headers])))</f>
        <v/>
      </c>
      <c r="T126" s="176" t="str">
        <f aca="false">IF(INDEX(Salary_Calculation[Source Row],ROW()-ROW(Payslip_Lookup[#Headers]))="","",INDEX(Salary_Calculation[Gross Salary Before Deductions],ROW()-ROW(Payslip_Lookup[#Headers])))</f>
        <v/>
      </c>
      <c r="U126" s="176" t="str">
        <f aca="false">IF(INDEX(Salary_Calculation[Source Row],ROW()-ROW(Payslip_Lookup[#Headers]))="","",INDEX(Salary_Calculation[missed_days_penalty],ROW()-ROW(Payslip_Lookup[#Headers])))</f>
        <v/>
      </c>
      <c r="V126" s="176" t="str">
        <f aca="false">IF(INDEX(Salary_Calculation[Source Row],ROW()-ROW(Payslip_Lookup[#Headers]))="","",INDEX(Salary_Calculation[Rider Balance],ROW()-ROW(Payslip_Lookup[#Headers])))</f>
        <v/>
      </c>
      <c r="W126" s="176" t="str">
        <f aca="false">IF(INDEX(Salary_Calculation[Source Row],ROW()-ROW(Payslip_Lookup[#Headers]))="","",INDEX(Salary_Calculation[stacking_deduction],ROW()-ROW(Payslip_Lookup[#Headers])))</f>
        <v/>
      </c>
      <c r="X126" s="176" t="str">
        <f aca="false">IF(INDEX(Salary_Calculation[Source Row],ROW()-ROW(Payslip_Lookup[#Headers]))="","",INDEX(Salary_Calculation[Other Deductions],ROW()-ROW(Payslip_Lookup[#Headers])))</f>
        <v/>
      </c>
      <c r="Y126" s="176" t="str">
        <f aca="false">IF(INDEX(Salary_Calculation[Source Row],ROW()-ROW(Payslip_Lookup[#Headers]))="","",INDEX(Salary_Calculation[Total Deductions],ROW()-ROW(Payslip_Lookup[#Headers])))</f>
        <v/>
      </c>
      <c r="Z126" s="176" t="str">
        <f aca="false">IF(INDEX(Salary_Calculation[Source Row],ROW()-ROW(Payslip_Lookup[#Headers]))="","",INDEX(Salary_Calculation[Final Salary],ROW()-ROW(Payslip_Lookup[#Headers])))</f>
        <v/>
      </c>
      <c r="AA126" s="176" t="str">
        <f aca="false">IF(INDEX(Salary_Calculation[Source Row],ROW()-ROW(Payslip_Lookup[#Headers]))="","",INDEX(Salary_Calculation[Negative Balance / Amount Due from Rider],ROW()-ROW(Payslip_Lookup[#Headers])))</f>
        <v/>
      </c>
      <c r="AB126" s="176" t="str">
        <f aca="false">IF(INDEX(Salary_Calculation[Source Row],ROW()-ROW(Payslip_Lookup[#Headers]))="","",INDEX(Salary_Calculation[Total Amount Due from Rider],ROW()-ROW(Payslip_Lookup[#Headers])))</f>
        <v/>
      </c>
      <c r="AC126" s="176" t="str">
        <f aca="false">IF(INDEX(Salary_Calculation[Source Row],ROW()-ROW(Payslip_Lookup[#Headers]))="","",INDEX(Salary_Calculation[Salary Before Other Deductions],ROW()-ROW(Payslip_Lookup[#Headers])))</f>
        <v/>
      </c>
      <c r="AD126" s="171" t="str">
        <f aca="false">IF(INDEX(Salary_Calculation[Source Row],ROW()-ROW(Payslip_Lookup[#Headers]))="","",INDEX(Salary_Calculation[Payment Status],ROW()-ROW(Payslip_Lookup[#Headers])))</f>
        <v/>
      </c>
      <c r="AE126" s="171" t="str">
        <f aca="false">IF(INDEX(Salary_Calculation[Source Row],ROW()-ROW(Payslip_Lookup[#Headers]))="","",INDEX(Salary_Calculation[Notes],ROW()-ROW(Payslip_Lookup[#Headers])))</f>
        <v/>
      </c>
      <c r="AF126" s="171" t="str">
        <f aca="false">IF(INDEX(Salary_Calculation[Source Row],ROW()-ROW(Payslip_Lookup[#Headers]))="","",INDEX(Salary_Calculation[Exception Reason],ROW()-ROW(Payslip_Lookup[#Headers])))</f>
        <v/>
      </c>
      <c r="AG126" s="173" t="str">
        <f aca="false">IF($AD126="Review Required",COUNTIF(AD$2:AD126,"Review Required"),"")</f>
        <v/>
      </c>
      <c r="AH126" s="173" t="str">
        <f aca="false">IF(AND($D126&lt;&gt;"",$B126=Payslip_Print!$C$2),MAX(AH$1:AH125)+1,"")</f>
        <v/>
      </c>
      <c r="AL126" s="178" t="str">
        <f aca="false">IFERROR(INDEX($D$2:$D$501,MATCH(ROW()-1,$AH$2:$AH$501,0)),"")</f>
        <v/>
      </c>
      <c r="AM126" s="179" t="str">
        <f aca="false">IF($Z126="","",IF(AND($C126&gt;=Dash_Start,$C126&lt;Dash_End),$Z126+ROW()/10000000,""))</f>
        <v/>
      </c>
    </row>
    <row r="127" customFormat="false" ht="14.25" hidden="false" customHeight="false" outlineLevel="0" collapsed="false">
      <c r="A127" s="171" t="str">
        <f aca="false">IF(Payslip_Lookup[[#This Row],[Rider ID]]="","",Payslip_Lookup[[#This Row],[Rider ID]]&amp;"|"&amp;Payslip_Lookup[[#This Row],[Month Key]])</f>
        <v/>
      </c>
      <c r="B127" s="172" t="str">
        <f aca="false">IF(ISNUMBER(Payslip_Lookup[[#This Row],[Salary Month]]),DATE(YEAR(Payslip_Lookup[[#This Row],[Salary Month]]),MONTH(Payslip_Lookup[[#This Row],[Salary Month]]),1),"")</f>
        <v/>
      </c>
      <c r="C127" s="172" t="str">
        <f aca="false">IF(INDEX(Salary_Calculation[Source Row],ROW()-ROW(Payslip_Lookup[#Headers]))="","",INDEX(Salary_Calculation[Salary Month],ROW()-ROW(Payslip_Lookup[#Headers])))</f>
        <v/>
      </c>
      <c r="D127" s="173" t="str">
        <f aca="false">IF(INDEX(Salary_Calculation[Source Row],ROW()-ROW(Payslip_Lookup[#Headers]))="","",INDEX(Salary_Calculation[Rider ID],ROW()-ROW(Payslip_Lookup[#Headers])))</f>
        <v/>
      </c>
      <c r="E127" s="171" t="str">
        <f aca="false">IF(INDEX(Salary_Calculation[Source Row],ROW()-ROW(Payslip_Lookup[#Headers]))="","",INDEX(Salary_Calculation[Rider Name],ROW()-ROW(Payslip_Lookup[#Headers])))</f>
        <v/>
      </c>
      <c r="F127" s="173" t="str">
        <f aca="false">IF(INDEX(Salary_Calculation[Source Row],ROW()-ROW(Payslip_Lookup[#Headers]))="","",INDEX(Salary_Calculation[Working Days],ROW()-ROW(Payslip_Lookup[#Headers])))</f>
        <v/>
      </c>
      <c r="G127" s="173" t="str">
        <f aca="false">IF(INDEX(Salary_Calculation[Source Row],ROW()-ROW(Payslip_Lookup[#Headers]))="","",INDEX(Salary_Calculation[Calendar Days],ROW()-ROW(Payslip_Lookup[#Headers])))</f>
        <v/>
      </c>
      <c r="H127" s="174" t="str">
        <f aca="false">IF(INDEX(Salary_Calculation[Source Row],ROW()-ROW(Payslip_Lookup[#Headers]))="","",INDEX(Salary_Calculation[Monthly Target Orders],ROW()-ROW(Payslip_Lookup[#Headers])))</f>
        <v/>
      </c>
      <c r="I127" s="174" t="str">
        <f aca="false">IF(INDEX(Salary_Calculation[Source Row],ROW()-ROW(Payslip_Lookup[#Headers]))="","",INDEX(Salary_Calculation[Rider Target Orders],ROW()-ROW(Payslip_Lookup[#Headers])))</f>
        <v/>
      </c>
      <c r="J127" s="175" t="str">
        <f aca="false">IF(INDEX(Salary_Calculation[Source Row],ROW()-ROW(Payslip_Lookup[#Headers]))="","",INDEX(Salary_Calculation[Completed Orders],ROW()-ROW(Payslip_Lookup[#Headers])))</f>
        <v/>
      </c>
      <c r="K127" s="174" t="str">
        <f aca="false">IF(INDEX(Salary_Calculation[Source Row],ROW()-ROW(Payslip_Lookup[#Headers]))="","",INDEX(Salary_Calculation[Base Order Rate],ROW()-ROW(Payslip_Lookup[#Headers])))</f>
        <v/>
      </c>
      <c r="L127" s="176" t="str">
        <f aca="false">IF(INDEX(Salary_Calculation[Source Row],ROW()-ROW(Payslip_Lookup[#Headers]))="","",INDEX(Salary_Calculation[Basic Payment],ROW()-ROW(Payslip_Lookup[#Headers])))</f>
        <v/>
      </c>
      <c r="M127" s="176" t="str">
        <f aca="false">IF(INDEX(Salary_Calculation[Source Row],ROW()-ROW(Payslip_Lookup[#Headers]))="","",INDEX(Salary_Calculation[Earned Salary],ROW()-ROW(Payslip_Lookup[#Headers])))</f>
        <v/>
      </c>
      <c r="N127" s="174" t="str">
        <f aca="false">IF(INDEX(Salary_Calculation[Source Row],ROW()-ROW(Payslip_Lookup[#Headers]))="","",INDEX(Salary_Calculation[Orders Counted at Base Rate],ROW()-ROW(Payslip_Lookup[#Headers])))</f>
        <v/>
      </c>
      <c r="O127" s="174" t="str">
        <f aca="false">IF(INDEX(Salary_Calculation[Source Row],ROW()-ROW(Payslip_Lookup[#Headers]))="","",INDEX(Salary_Calculation[Missing Orders],ROW()-ROW(Payslip_Lookup[#Headers])))</f>
        <v/>
      </c>
      <c r="P127" s="176" t="str">
        <f aca="false">IF(INDEX(Salary_Calculation[Source Row],ROW()-ROW(Payslip_Lookup[#Headers]))="","",INDEX(Salary_Calculation[Missing-Order Deduction],ROW()-ROW(Payslip_Lookup[#Headers])))</f>
        <v/>
      </c>
      <c r="Q127" s="174" t="str">
        <f aca="false">IF(INDEX(Salary_Calculation[Source Row],ROW()-ROW(Payslip_Lookup[#Headers]))="","",INDEX(Salary_Calculation[Extra Orders],ROW()-ROW(Payslip_Lookup[#Headers])))</f>
        <v/>
      </c>
      <c r="R127" s="176" t="str">
        <f aca="false">IF(INDEX(Salary_Calculation[Source Row],ROW()-ROW(Payslip_Lookup[#Headers]))="","",INDEX(Salary_Calculation[Extra-Order Bonus],ROW()-ROW(Payslip_Lookup[#Headers])))</f>
        <v/>
      </c>
      <c r="S127" s="176" t="str">
        <f aca="false">IF(INDEX(Salary_Calculation[Source Row],ROW()-ROW(Payslip_Lookup[#Headers]))="","",INDEX(Salary_Calculation[Basic Salary for Target],ROW()-ROW(Payslip_Lookup[#Headers])))</f>
        <v/>
      </c>
      <c r="T127" s="176" t="str">
        <f aca="false">IF(INDEX(Salary_Calculation[Source Row],ROW()-ROW(Payslip_Lookup[#Headers]))="","",INDEX(Salary_Calculation[Gross Salary Before Deductions],ROW()-ROW(Payslip_Lookup[#Headers])))</f>
        <v/>
      </c>
      <c r="U127" s="176" t="str">
        <f aca="false">IF(INDEX(Salary_Calculation[Source Row],ROW()-ROW(Payslip_Lookup[#Headers]))="","",INDEX(Salary_Calculation[missed_days_penalty],ROW()-ROW(Payslip_Lookup[#Headers])))</f>
        <v/>
      </c>
      <c r="V127" s="176" t="str">
        <f aca="false">IF(INDEX(Salary_Calculation[Source Row],ROW()-ROW(Payslip_Lookup[#Headers]))="","",INDEX(Salary_Calculation[Rider Balance],ROW()-ROW(Payslip_Lookup[#Headers])))</f>
        <v/>
      </c>
      <c r="W127" s="176" t="str">
        <f aca="false">IF(INDEX(Salary_Calculation[Source Row],ROW()-ROW(Payslip_Lookup[#Headers]))="","",INDEX(Salary_Calculation[stacking_deduction],ROW()-ROW(Payslip_Lookup[#Headers])))</f>
        <v/>
      </c>
      <c r="X127" s="176" t="str">
        <f aca="false">IF(INDEX(Salary_Calculation[Source Row],ROW()-ROW(Payslip_Lookup[#Headers]))="","",INDEX(Salary_Calculation[Other Deductions],ROW()-ROW(Payslip_Lookup[#Headers])))</f>
        <v/>
      </c>
      <c r="Y127" s="176" t="str">
        <f aca="false">IF(INDEX(Salary_Calculation[Source Row],ROW()-ROW(Payslip_Lookup[#Headers]))="","",INDEX(Salary_Calculation[Total Deductions],ROW()-ROW(Payslip_Lookup[#Headers])))</f>
        <v/>
      </c>
      <c r="Z127" s="176" t="str">
        <f aca="false">IF(INDEX(Salary_Calculation[Source Row],ROW()-ROW(Payslip_Lookup[#Headers]))="","",INDEX(Salary_Calculation[Final Salary],ROW()-ROW(Payslip_Lookup[#Headers])))</f>
        <v/>
      </c>
      <c r="AA127" s="176" t="str">
        <f aca="false">IF(INDEX(Salary_Calculation[Source Row],ROW()-ROW(Payslip_Lookup[#Headers]))="","",INDEX(Salary_Calculation[Negative Balance / Amount Due from Rider],ROW()-ROW(Payslip_Lookup[#Headers])))</f>
        <v/>
      </c>
      <c r="AB127" s="176" t="str">
        <f aca="false">IF(INDEX(Salary_Calculation[Source Row],ROW()-ROW(Payslip_Lookup[#Headers]))="","",INDEX(Salary_Calculation[Total Amount Due from Rider],ROW()-ROW(Payslip_Lookup[#Headers])))</f>
        <v/>
      </c>
      <c r="AC127" s="176" t="str">
        <f aca="false">IF(INDEX(Salary_Calculation[Source Row],ROW()-ROW(Payslip_Lookup[#Headers]))="","",INDEX(Salary_Calculation[Salary Before Other Deductions],ROW()-ROW(Payslip_Lookup[#Headers])))</f>
        <v/>
      </c>
      <c r="AD127" s="171" t="str">
        <f aca="false">IF(INDEX(Salary_Calculation[Source Row],ROW()-ROW(Payslip_Lookup[#Headers]))="","",INDEX(Salary_Calculation[Payment Status],ROW()-ROW(Payslip_Lookup[#Headers])))</f>
        <v/>
      </c>
      <c r="AE127" s="171" t="str">
        <f aca="false">IF(INDEX(Salary_Calculation[Source Row],ROW()-ROW(Payslip_Lookup[#Headers]))="","",INDEX(Salary_Calculation[Notes],ROW()-ROW(Payslip_Lookup[#Headers])))</f>
        <v/>
      </c>
      <c r="AF127" s="171" t="str">
        <f aca="false">IF(INDEX(Salary_Calculation[Source Row],ROW()-ROW(Payslip_Lookup[#Headers]))="","",INDEX(Salary_Calculation[Exception Reason],ROW()-ROW(Payslip_Lookup[#Headers])))</f>
        <v/>
      </c>
      <c r="AG127" s="173" t="str">
        <f aca="false">IF($AD127="Review Required",COUNTIF(AD$2:AD127,"Review Required"),"")</f>
        <v/>
      </c>
      <c r="AH127" s="173" t="str">
        <f aca="false">IF(AND($D127&lt;&gt;"",$B127=Payslip_Print!$C$2),MAX(AH$1:AH126)+1,"")</f>
        <v/>
      </c>
      <c r="AL127" s="178" t="str">
        <f aca="false">IFERROR(INDEX($D$2:$D$501,MATCH(ROW()-1,$AH$2:$AH$501,0)),"")</f>
        <v/>
      </c>
      <c r="AM127" s="179" t="str">
        <f aca="false">IF($Z127="","",IF(AND($C127&gt;=Dash_Start,$C127&lt;Dash_End),$Z127+ROW()/10000000,""))</f>
        <v/>
      </c>
    </row>
    <row r="128" customFormat="false" ht="14.25" hidden="false" customHeight="false" outlineLevel="0" collapsed="false">
      <c r="A128" s="171" t="str">
        <f aca="false">IF(Payslip_Lookup[[#This Row],[Rider ID]]="","",Payslip_Lookup[[#This Row],[Rider ID]]&amp;"|"&amp;Payslip_Lookup[[#This Row],[Month Key]])</f>
        <v/>
      </c>
      <c r="B128" s="172" t="str">
        <f aca="false">IF(ISNUMBER(Payslip_Lookup[[#This Row],[Salary Month]]),DATE(YEAR(Payslip_Lookup[[#This Row],[Salary Month]]),MONTH(Payslip_Lookup[[#This Row],[Salary Month]]),1),"")</f>
        <v/>
      </c>
      <c r="C128" s="172" t="str">
        <f aca="false">IF(INDEX(Salary_Calculation[Source Row],ROW()-ROW(Payslip_Lookup[#Headers]))="","",INDEX(Salary_Calculation[Salary Month],ROW()-ROW(Payslip_Lookup[#Headers])))</f>
        <v/>
      </c>
      <c r="D128" s="173" t="str">
        <f aca="false">IF(INDEX(Salary_Calculation[Source Row],ROW()-ROW(Payslip_Lookup[#Headers]))="","",INDEX(Salary_Calculation[Rider ID],ROW()-ROW(Payslip_Lookup[#Headers])))</f>
        <v/>
      </c>
      <c r="E128" s="171" t="str">
        <f aca="false">IF(INDEX(Salary_Calculation[Source Row],ROW()-ROW(Payslip_Lookup[#Headers]))="","",INDEX(Salary_Calculation[Rider Name],ROW()-ROW(Payslip_Lookup[#Headers])))</f>
        <v/>
      </c>
      <c r="F128" s="173" t="str">
        <f aca="false">IF(INDEX(Salary_Calculation[Source Row],ROW()-ROW(Payslip_Lookup[#Headers]))="","",INDEX(Salary_Calculation[Working Days],ROW()-ROW(Payslip_Lookup[#Headers])))</f>
        <v/>
      </c>
      <c r="G128" s="173" t="str">
        <f aca="false">IF(INDEX(Salary_Calculation[Source Row],ROW()-ROW(Payslip_Lookup[#Headers]))="","",INDEX(Salary_Calculation[Calendar Days],ROW()-ROW(Payslip_Lookup[#Headers])))</f>
        <v/>
      </c>
      <c r="H128" s="174" t="str">
        <f aca="false">IF(INDEX(Salary_Calculation[Source Row],ROW()-ROW(Payslip_Lookup[#Headers]))="","",INDEX(Salary_Calculation[Monthly Target Orders],ROW()-ROW(Payslip_Lookup[#Headers])))</f>
        <v/>
      </c>
      <c r="I128" s="174" t="str">
        <f aca="false">IF(INDEX(Salary_Calculation[Source Row],ROW()-ROW(Payslip_Lookup[#Headers]))="","",INDEX(Salary_Calculation[Rider Target Orders],ROW()-ROW(Payslip_Lookup[#Headers])))</f>
        <v/>
      </c>
      <c r="J128" s="175" t="str">
        <f aca="false">IF(INDEX(Salary_Calculation[Source Row],ROW()-ROW(Payslip_Lookup[#Headers]))="","",INDEX(Salary_Calculation[Completed Orders],ROW()-ROW(Payslip_Lookup[#Headers])))</f>
        <v/>
      </c>
      <c r="K128" s="174" t="str">
        <f aca="false">IF(INDEX(Salary_Calculation[Source Row],ROW()-ROW(Payslip_Lookup[#Headers]))="","",INDEX(Salary_Calculation[Base Order Rate],ROW()-ROW(Payslip_Lookup[#Headers])))</f>
        <v/>
      </c>
      <c r="L128" s="176" t="str">
        <f aca="false">IF(INDEX(Salary_Calculation[Source Row],ROW()-ROW(Payslip_Lookup[#Headers]))="","",INDEX(Salary_Calculation[Basic Payment],ROW()-ROW(Payslip_Lookup[#Headers])))</f>
        <v/>
      </c>
      <c r="M128" s="176" t="str">
        <f aca="false">IF(INDEX(Salary_Calculation[Source Row],ROW()-ROW(Payslip_Lookup[#Headers]))="","",INDEX(Salary_Calculation[Earned Salary],ROW()-ROW(Payslip_Lookup[#Headers])))</f>
        <v/>
      </c>
      <c r="N128" s="174" t="str">
        <f aca="false">IF(INDEX(Salary_Calculation[Source Row],ROW()-ROW(Payslip_Lookup[#Headers]))="","",INDEX(Salary_Calculation[Orders Counted at Base Rate],ROW()-ROW(Payslip_Lookup[#Headers])))</f>
        <v/>
      </c>
      <c r="O128" s="174" t="str">
        <f aca="false">IF(INDEX(Salary_Calculation[Source Row],ROW()-ROW(Payslip_Lookup[#Headers]))="","",INDEX(Salary_Calculation[Missing Orders],ROW()-ROW(Payslip_Lookup[#Headers])))</f>
        <v/>
      </c>
      <c r="P128" s="176" t="str">
        <f aca="false">IF(INDEX(Salary_Calculation[Source Row],ROW()-ROW(Payslip_Lookup[#Headers]))="","",INDEX(Salary_Calculation[Missing-Order Deduction],ROW()-ROW(Payslip_Lookup[#Headers])))</f>
        <v/>
      </c>
      <c r="Q128" s="174" t="str">
        <f aca="false">IF(INDEX(Salary_Calculation[Source Row],ROW()-ROW(Payslip_Lookup[#Headers]))="","",INDEX(Salary_Calculation[Extra Orders],ROW()-ROW(Payslip_Lookup[#Headers])))</f>
        <v/>
      </c>
      <c r="R128" s="176" t="str">
        <f aca="false">IF(INDEX(Salary_Calculation[Source Row],ROW()-ROW(Payslip_Lookup[#Headers]))="","",INDEX(Salary_Calculation[Extra-Order Bonus],ROW()-ROW(Payslip_Lookup[#Headers])))</f>
        <v/>
      </c>
      <c r="S128" s="176" t="str">
        <f aca="false">IF(INDEX(Salary_Calculation[Source Row],ROW()-ROW(Payslip_Lookup[#Headers]))="","",INDEX(Salary_Calculation[Basic Salary for Target],ROW()-ROW(Payslip_Lookup[#Headers])))</f>
        <v/>
      </c>
      <c r="T128" s="176" t="str">
        <f aca="false">IF(INDEX(Salary_Calculation[Source Row],ROW()-ROW(Payslip_Lookup[#Headers]))="","",INDEX(Salary_Calculation[Gross Salary Before Deductions],ROW()-ROW(Payslip_Lookup[#Headers])))</f>
        <v/>
      </c>
      <c r="U128" s="176" t="str">
        <f aca="false">IF(INDEX(Salary_Calculation[Source Row],ROW()-ROW(Payslip_Lookup[#Headers]))="","",INDEX(Salary_Calculation[missed_days_penalty],ROW()-ROW(Payslip_Lookup[#Headers])))</f>
        <v/>
      </c>
      <c r="V128" s="176" t="str">
        <f aca="false">IF(INDEX(Salary_Calculation[Source Row],ROW()-ROW(Payslip_Lookup[#Headers]))="","",INDEX(Salary_Calculation[Rider Balance],ROW()-ROW(Payslip_Lookup[#Headers])))</f>
        <v/>
      </c>
      <c r="W128" s="176" t="str">
        <f aca="false">IF(INDEX(Salary_Calculation[Source Row],ROW()-ROW(Payslip_Lookup[#Headers]))="","",INDEX(Salary_Calculation[stacking_deduction],ROW()-ROW(Payslip_Lookup[#Headers])))</f>
        <v/>
      </c>
      <c r="X128" s="176" t="str">
        <f aca="false">IF(INDEX(Salary_Calculation[Source Row],ROW()-ROW(Payslip_Lookup[#Headers]))="","",INDEX(Salary_Calculation[Other Deductions],ROW()-ROW(Payslip_Lookup[#Headers])))</f>
        <v/>
      </c>
      <c r="Y128" s="176" t="str">
        <f aca="false">IF(INDEX(Salary_Calculation[Source Row],ROW()-ROW(Payslip_Lookup[#Headers]))="","",INDEX(Salary_Calculation[Total Deductions],ROW()-ROW(Payslip_Lookup[#Headers])))</f>
        <v/>
      </c>
      <c r="Z128" s="176" t="str">
        <f aca="false">IF(INDEX(Salary_Calculation[Source Row],ROW()-ROW(Payslip_Lookup[#Headers]))="","",INDEX(Salary_Calculation[Final Salary],ROW()-ROW(Payslip_Lookup[#Headers])))</f>
        <v/>
      </c>
      <c r="AA128" s="176" t="str">
        <f aca="false">IF(INDEX(Salary_Calculation[Source Row],ROW()-ROW(Payslip_Lookup[#Headers]))="","",INDEX(Salary_Calculation[Negative Balance / Amount Due from Rider],ROW()-ROW(Payslip_Lookup[#Headers])))</f>
        <v/>
      </c>
      <c r="AB128" s="176" t="str">
        <f aca="false">IF(INDEX(Salary_Calculation[Source Row],ROW()-ROW(Payslip_Lookup[#Headers]))="","",INDEX(Salary_Calculation[Total Amount Due from Rider],ROW()-ROW(Payslip_Lookup[#Headers])))</f>
        <v/>
      </c>
      <c r="AC128" s="176" t="str">
        <f aca="false">IF(INDEX(Salary_Calculation[Source Row],ROW()-ROW(Payslip_Lookup[#Headers]))="","",INDEX(Salary_Calculation[Salary Before Other Deductions],ROW()-ROW(Payslip_Lookup[#Headers])))</f>
        <v/>
      </c>
      <c r="AD128" s="171" t="str">
        <f aca="false">IF(INDEX(Salary_Calculation[Source Row],ROW()-ROW(Payslip_Lookup[#Headers]))="","",INDEX(Salary_Calculation[Payment Status],ROW()-ROW(Payslip_Lookup[#Headers])))</f>
        <v/>
      </c>
      <c r="AE128" s="171" t="str">
        <f aca="false">IF(INDEX(Salary_Calculation[Source Row],ROW()-ROW(Payslip_Lookup[#Headers]))="","",INDEX(Salary_Calculation[Notes],ROW()-ROW(Payslip_Lookup[#Headers])))</f>
        <v/>
      </c>
      <c r="AF128" s="171" t="str">
        <f aca="false">IF(INDEX(Salary_Calculation[Source Row],ROW()-ROW(Payslip_Lookup[#Headers]))="","",INDEX(Salary_Calculation[Exception Reason],ROW()-ROW(Payslip_Lookup[#Headers])))</f>
        <v/>
      </c>
      <c r="AG128" s="173" t="str">
        <f aca="false">IF($AD128="Review Required",COUNTIF(AD$2:AD128,"Review Required"),"")</f>
        <v/>
      </c>
      <c r="AH128" s="173" t="str">
        <f aca="false">IF(AND($D128&lt;&gt;"",$B128=Payslip_Print!$C$2),MAX(AH$1:AH127)+1,"")</f>
        <v/>
      </c>
      <c r="AL128" s="178" t="str">
        <f aca="false">IFERROR(INDEX($D$2:$D$501,MATCH(ROW()-1,$AH$2:$AH$501,0)),"")</f>
        <v/>
      </c>
      <c r="AM128" s="179" t="str">
        <f aca="false">IF($Z128="","",IF(AND($C128&gt;=Dash_Start,$C128&lt;Dash_End),$Z128+ROW()/10000000,""))</f>
        <v/>
      </c>
    </row>
    <row r="129" customFormat="false" ht="14.25" hidden="false" customHeight="false" outlineLevel="0" collapsed="false">
      <c r="A129" s="171" t="str">
        <f aca="false">IF(Payslip_Lookup[[#This Row],[Rider ID]]="","",Payslip_Lookup[[#This Row],[Rider ID]]&amp;"|"&amp;Payslip_Lookup[[#This Row],[Month Key]])</f>
        <v/>
      </c>
      <c r="B129" s="172" t="str">
        <f aca="false">IF(ISNUMBER(Payslip_Lookup[[#This Row],[Salary Month]]),DATE(YEAR(Payslip_Lookup[[#This Row],[Salary Month]]),MONTH(Payslip_Lookup[[#This Row],[Salary Month]]),1),"")</f>
        <v/>
      </c>
      <c r="C129" s="172" t="str">
        <f aca="false">IF(INDEX(Salary_Calculation[Source Row],ROW()-ROW(Payslip_Lookup[#Headers]))="","",INDEX(Salary_Calculation[Salary Month],ROW()-ROW(Payslip_Lookup[#Headers])))</f>
        <v/>
      </c>
      <c r="D129" s="173" t="str">
        <f aca="false">IF(INDEX(Salary_Calculation[Source Row],ROW()-ROW(Payslip_Lookup[#Headers]))="","",INDEX(Salary_Calculation[Rider ID],ROW()-ROW(Payslip_Lookup[#Headers])))</f>
        <v/>
      </c>
      <c r="E129" s="171" t="str">
        <f aca="false">IF(INDEX(Salary_Calculation[Source Row],ROW()-ROW(Payslip_Lookup[#Headers]))="","",INDEX(Salary_Calculation[Rider Name],ROW()-ROW(Payslip_Lookup[#Headers])))</f>
        <v/>
      </c>
      <c r="F129" s="173" t="str">
        <f aca="false">IF(INDEX(Salary_Calculation[Source Row],ROW()-ROW(Payslip_Lookup[#Headers]))="","",INDEX(Salary_Calculation[Working Days],ROW()-ROW(Payslip_Lookup[#Headers])))</f>
        <v/>
      </c>
      <c r="G129" s="173" t="str">
        <f aca="false">IF(INDEX(Salary_Calculation[Source Row],ROW()-ROW(Payslip_Lookup[#Headers]))="","",INDEX(Salary_Calculation[Calendar Days],ROW()-ROW(Payslip_Lookup[#Headers])))</f>
        <v/>
      </c>
      <c r="H129" s="174" t="str">
        <f aca="false">IF(INDEX(Salary_Calculation[Source Row],ROW()-ROW(Payslip_Lookup[#Headers]))="","",INDEX(Salary_Calculation[Monthly Target Orders],ROW()-ROW(Payslip_Lookup[#Headers])))</f>
        <v/>
      </c>
      <c r="I129" s="174" t="str">
        <f aca="false">IF(INDEX(Salary_Calculation[Source Row],ROW()-ROW(Payslip_Lookup[#Headers]))="","",INDEX(Salary_Calculation[Rider Target Orders],ROW()-ROW(Payslip_Lookup[#Headers])))</f>
        <v/>
      </c>
      <c r="J129" s="175" t="str">
        <f aca="false">IF(INDEX(Salary_Calculation[Source Row],ROW()-ROW(Payslip_Lookup[#Headers]))="","",INDEX(Salary_Calculation[Completed Orders],ROW()-ROW(Payslip_Lookup[#Headers])))</f>
        <v/>
      </c>
      <c r="K129" s="174" t="str">
        <f aca="false">IF(INDEX(Salary_Calculation[Source Row],ROW()-ROW(Payslip_Lookup[#Headers]))="","",INDEX(Salary_Calculation[Base Order Rate],ROW()-ROW(Payslip_Lookup[#Headers])))</f>
        <v/>
      </c>
      <c r="L129" s="176" t="str">
        <f aca="false">IF(INDEX(Salary_Calculation[Source Row],ROW()-ROW(Payslip_Lookup[#Headers]))="","",INDEX(Salary_Calculation[Basic Payment],ROW()-ROW(Payslip_Lookup[#Headers])))</f>
        <v/>
      </c>
      <c r="M129" s="176" t="str">
        <f aca="false">IF(INDEX(Salary_Calculation[Source Row],ROW()-ROW(Payslip_Lookup[#Headers]))="","",INDEX(Salary_Calculation[Earned Salary],ROW()-ROW(Payslip_Lookup[#Headers])))</f>
        <v/>
      </c>
      <c r="N129" s="174" t="str">
        <f aca="false">IF(INDEX(Salary_Calculation[Source Row],ROW()-ROW(Payslip_Lookup[#Headers]))="","",INDEX(Salary_Calculation[Orders Counted at Base Rate],ROW()-ROW(Payslip_Lookup[#Headers])))</f>
        <v/>
      </c>
      <c r="O129" s="174" t="str">
        <f aca="false">IF(INDEX(Salary_Calculation[Source Row],ROW()-ROW(Payslip_Lookup[#Headers]))="","",INDEX(Salary_Calculation[Missing Orders],ROW()-ROW(Payslip_Lookup[#Headers])))</f>
        <v/>
      </c>
      <c r="P129" s="176" t="str">
        <f aca="false">IF(INDEX(Salary_Calculation[Source Row],ROW()-ROW(Payslip_Lookup[#Headers]))="","",INDEX(Salary_Calculation[Missing-Order Deduction],ROW()-ROW(Payslip_Lookup[#Headers])))</f>
        <v/>
      </c>
      <c r="Q129" s="174" t="str">
        <f aca="false">IF(INDEX(Salary_Calculation[Source Row],ROW()-ROW(Payslip_Lookup[#Headers]))="","",INDEX(Salary_Calculation[Extra Orders],ROW()-ROW(Payslip_Lookup[#Headers])))</f>
        <v/>
      </c>
      <c r="R129" s="176" t="str">
        <f aca="false">IF(INDEX(Salary_Calculation[Source Row],ROW()-ROW(Payslip_Lookup[#Headers]))="","",INDEX(Salary_Calculation[Extra-Order Bonus],ROW()-ROW(Payslip_Lookup[#Headers])))</f>
        <v/>
      </c>
      <c r="S129" s="176" t="str">
        <f aca="false">IF(INDEX(Salary_Calculation[Source Row],ROW()-ROW(Payslip_Lookup[#Headers]))="","",INDEX(Salary_Calculation[Basic Salary for Target],ROW()-ROW(Payslip_Lookup[#Headers])))</f>
        <v/>
      </c>
      <c r="T129" s="176" t="str">
        <f aca="false">IF(INDEX(Salary_Calculation[Source Row],ROW()-ROW(Payslip_Lookup[#Headers]))="","",INDEX(Salary_Calculation[Gross Salary Before Deductions],ROW()-ROW(Payslip_Lookup[#Headers])))</f>
        <v/>
      </c>
      <c r="U129" s="176" t="str">
        <f aca="false">IF(INDEX(Salary_Calculation[Source Row],ROW()-ROW(Payslip_Lookup[#Headers]))="","",INDEX(Salary_Calculation[missed_days_penalty],ROW()-ROW(Payslip_Lookup[#Headers])))</f>
        <v/>
      </c>
      <c r="V129" s="176" t="str">
        <f aca="false">IF(INDEX(Salary_Calculation[Source Row],ROW()-ROW(Payslip_Lookup[#Headers]))="","",INDEX(Salary_Calculation[Rider Balance],ROW()-ROW(Payslip_Lookup[#Headers])))</f>
        <v/>
      </c>
      <c r="W129" s="176" t="str">
        <f aca="false">IF(INDEX(Salary_Calculation[Source Row],ROW()-ROW(Payslip_Lookup[#Headers]))="","",INDEX(Salary_Calculation[stacking_deduction],ROW()-ROW(Payslip_Lookup[#Headers])))</f>
        <v/>
      </c>
      <c r="X129" s="176" t="str">
        <f aca="false">IF(INDEX(Salary_Calculation[Source Row],ROW()-ROW(Payslip_Lookup[#Headers]))="","",INDEX(Salary_Calculation[Other Deductions],ROW()-ROW(Payslip_Lookup[#Headers])))</f>
        <v/>
      </c>
      <c r="Y129" s="176" t="str">
        <f aca="false">IF(INDEX(Salary_Calculation[Source Row],ROW()-ROW(Payslip_Lookup[#Headers]))="","",INDEX(Salary_Calculation[Total Deductions],ROW()-ROW(Payslip_Lookup[#Headers])))</f>
        <v/>
      </c>
      <c r="Z129" s="176" t="str">
        <f aca="false">IF(INDEX(Salary_Calculation[Source Row],ROW()-ROW(Payslip_Lookup[#Headers]))="","",INDEX(Salary_Calculation[Final Salary],ROW()-ROW(Payslip_Lookup[#Headers])))</f>
        <v/>
      </c>
      <c r="AA129" s="176" t="str">
        <f aca="false">IF(INDEX(Salary_Calculation[Source Row],ROW()-ROW(Payslip_Lookup[#Headers]))="","",INDEX(Salary_Calculation[Negative Balance / Amount Due from Rider],ROW()-ROW(Payslip_Lookup[#Headers])))</f>
        <v/>
      </c>
      <c r="AB129" s="176" t="str">
        <f aca="false">IF(INDEX(Salary_Calculation[Source Row],ROW()-ROW(Payslip_Lookup[#Headers]))="","",INDEX(Salary_Calculation[Total Amount Due from Rider],ROW()-ROW(Payslip_Lookup[#Headers])))</f>
        <v/>
      </c>
      <c r="AC129" s="176" t="str">
        <f aca="false">IF(INDEX(Salary_Calculation[Source Row],ROW()-ROW(Payslip_Lookup[#Headers]))="","",INDEX(Salary_Calculation[Salary Before Other Deductions],ROW()-ROW(Payslip_Lookup[#Headers])))</f>
        <v/>
      </c>
      <c r="AD129" s="171" t="str">
        <f aca="false">IF(INDEX(Salary_Calculation[Source Row],ROW()-ROW(Payslip_Lookup[#Headers]))="","",INDEX(Salary_Calculation[Payment Status],ROW()-ROW(Payslip_Lookup[#Headers])))</f>
        <v/>
      </c>
      <c r="AE129" s="171" t="str">
        <f aca="false">IF(INDEX(Salary_Calculation[Source Row],ROW()-ROW(Payslip_Lookup[#Headers]))="","",INDEX(Salary_Calculation[Notes],ROW()-ROW(Payslip_Lookup[#Headers])))</f>
        <v/>
      </c>
      <c r="AF129" s="171" t="str">
        <f aca="false">IF(INDEX(Salary_Calculation[Source Row],ROW()-ROW(Payslip_Lookup[#Headers]))="","",INDEX(Salary_Calculation[Exception Reason],ROW()-ROW(Payslip_Lookup[#Headers])))</f>
        <v/>
      </c>
      <c r="AG129" s="173" t="str">
        <f aca="false">IF($AD129="Review Required",COUNTIF(AD$2:AD129,"Review Required"),"")</f>
        <v/>
      </c>
      <c r="AH129" s="173" t="str">
        <f aca="false">IF(AND($D129&lt;&gt;"",$B129=Payslip_Print!$C$2),MAX(AH$1:AH128)+1,"")</f>
        <v/>
      </c>
      <c r="AL129" s="178" t="str">
        <f aca="false">IFERROR(INDEX($D$2:$D$501,MATCH(ROW()-1,$AH$2:$AH$501,0)),"")</f>
        <v/>
      </c>
      <c r="AM129" s="179" t="str">
        <f aca="false">IF($Z129="","",IF(AND($C129&gt;=Dash_Start,$C129&lt;Dash_End),$Z129+ROW()/10000000,""))</f>
        <v/>
      </c>
    </row>
    <row r="130" customFormat="false" ht="14.25" hidden="false" customHeight="false" outlineLevel="0" collapsed="false">
      <c r="A130" s="171" t="str">
        <f aca="false">IF(Payslip_Lookup[[#This Row],[Rider ID]]="","",Payslip_Lookup[[#This Row],[Rider ID]]&amp;"|"&amp;Payslip_Lookup[[#This Row],[Month Key]])</f>
        <v/>
      </c>
      <c r="B130" s="172" t="str">
        <f aca="false">IF(ISNUMBER(Payslip_Lookup[[#This Row],[Salary Month]]),DATE(YEAR(Payslip_Lookup[[#This Row],[Salary Month]]),MONTH(Payslip_Lookup[[#This Row],[Salary Month]]),1),"")</f>
        <v/>
      </c>
      <c r="C130" s="172" t="str">
        <f aca="false">IF(INDEX(Salary_Calculation[Source Row],ROW()-ROW(Payslip_Lookup[#Headers]))="","",INDEX(Salary_Calculation[Salary Month],ROW()-ROW(Payslip_Lookup[#Headers])))</f>
        <v/>
      </c>
      <c r="D130" s="173" t="str">
        <f aca="false">IF(INDEX(Salary_Calculation[Source Row],ROW()-ROW(Payslip_Lookup[#Headers]))="","",INDEX(Salary_Calculation[Rider ID],ROW()-ROW(Payslip_Lookup[#Headers])))</f>
        <v/>
      </c>
      <c r="E130" s="171" t="str">
        <f aca="false">IF(INDEX(Salary_Calculation[Source Row],ROW()-ROW(Payslip_Lookup[#Headers]))="","",INDEX(Salary_Calculation[Rider Name],ROW()-ROW(Payslip_Lookup[#Headers])))</f>
        <v/>
      </c>
      <c r="F130" s="173" t="str">
        <f aca="false">IF(INDEX(Salary_Calculation[Source Row],ROW()-ROW(Payslip_Lookup[#Headers]))="","",INDEX(Salary_Calculation[Working Days],ROW()-ROW(Payslip_Lookup[#Headers])))</f>
        <v/>
      </c>
      <c r="G130" s="173" t="str">
        <f aca="false">IF(INDEX(Salary_Calculation[Source Row],ROW()-ROW(Payslip_Lookup[#Headers]))="","",INDEX(Salary_Calculation[Calendar Days],ROW()-ROW(Payslip_Lookup[#Headers])))</f>
        <v/>
      </c>
      <c r="H130" s="174" t="str">
        <f aca="false">IF(INDEX(Salary_Calculation[Source Row],ROW()-ROW(Payslip_Lookup[#Headers]))="","",INDEX(Salary_Calculation[Monthly Target Orders],ROW()-ROW(Payslip_Lookup[#Headers])))</f>
        <v/>
      </c>
      <c r="I130" s="174" t="str">
        <f aca="false">IF(INDEX(Salary_Calculation[Source Row],ROW()-ROW(Payslip_Lookup[#Headers]))="","",INDEX(Salary_Calculation[Rider Target Orders],ROW()-ROW(Payslip_Lookup[#Headers])))</f>
        <v/>
      </c>
      <c r="J130" s="175" t="str">
        <f aca="false">IF(INDEX(Salary_Calculation[Source Row],ROW()-ROW(Payslip_Lookup[#Headers]))="","",INDEX(Salary_Calculation[Completed Orders],ROW()-ROW(Payslip_Lookup[#Headers])))</f>
        <v/>
      </c>
      <c r="K130" s="174" t="str">
        <f aca="false">IF(INDEX(Salary_Calculation[Source Row],ROW()-ROW(Payslip_Lookup[#Headers]))="","",INDEX(Salary_Calculation[Base Order Rate],ROW()-ROW(Payslip_Lookup[#Headers])))</f>
        <v/>
      </c>
      <c r="L130" s="176" t="str">
        <f aca="false">IF(INDEX(Salary_Calculation[Source Row],ROW()-ROW(Payslip_Lookup[#Headers]))="","",INDEX(Salary_Calculation[Basic Payment],ROW()-ROW(Payslip_Lookup[#Headers])))</f>
        <v/>
      </c>
      <c r="M130" s="176" t="str">
        <f aca="false">IF(INDEX(Salary_Calculation[Source Row],ROW()-ROW(Payslip_Lookup[#Headers]))="","",INDEX(Salary_Calculation[Earned Salary],ROW()-ROW(Payslip_Lookup[#Headers])))</f>
        <v/>
      </c>
      <c r="N130" s="174" t="str">
        <f aca="false">IF(INDEX(Salary_Calculation[Source Row],ROW()-ROW(Payslip_Lookup[#Headers]))="","",INDEX(Salary_Calculation[Orders Counted at Base Rate],ROW()-ROW(Payslip_Lookup[#Headers])))</f>
        <v/>
      </c>
      <c r="O130" s="174" t="str">
        <f aca="false">IF(INDEX(Salary_Calculation[Source Row],ROW()-ROW(Payslip_Lookup[#Headers]))="","",INDEX(Salary_Calculation[Missing Orders],ROW()-ROW(Payslip_Lookup[#Headers])))</f>
        <v/>
      </c>
      <c r="P130" s="176" t="str">
        <f aca="false">IF(INDEX(Salary_Calculation[Source Row],ROW()-ROW(Payslip_Lookup[#Headers]))="","",INDEX(Salary_Calculation[Missing-Order Deduction],ROW()-ROW(Payslip_Lookup[#Headers])))</f>
        <v/>
      </c>
      <c r="Q130" s="174" t="str">
        <f aca="false">IF(INDEX(Salary_Calculation[Source Row],ROW()-ROW(Payslip_Lookup[#Headers]))="","",INDEX(Salary_Calculation[Extra Orders],ROW()-ROW(Payslip_Lookup[#Headers])))</f>
        <v/>
      </c>
      <c r="R130" s="176" t="str">
        <f aca="false">IF(INDEX(Salary_Calculation[Source Row],ROW()-ROW(Payslip_Lookup[#Headers]))="","",INDEX(Salary_Calculation[Extra-Order Bonus],ROW()-ROW(Payslip_Lookup[#Headers])))</f>
        <v/>
      </c>
      <c r="S130" s="176" t="str">
        <f aca="false">IF(INDEX(Salary_Calculation[Source Row],ROW()-ROW(Payslip_Lookup[#Headers]))="","",INDEX(Salary_Calculation[Basic Salary for Target],ROW()-ROW(Payslip_Lookup[#Headers])))</f>
        <v/>
      </c>
      <c r="T130" s="176" t="str">
        <f aca="false">IF(INDEX(Salary_Calculation[Source Row],ROW()-ROW(Payslip_Lookup[#Headers]))="","",INDEX(Salary_Calculation[Gross Salary Before Deductions],ROW()-ROW(Payslip_Lookup[#Headers])))</f>
        <v/>
      </c>
      <c r="U130" s="176" t="str">
        <f aca="false">IF(INDEX(Salary_Calculation[Source Row],ROW()-ROW(Payslip_Lookup[#Headers]))="","",INDEX(Salary_Calculation[missed_days_penalty],ROW()-ROW(Payslip_Lookup[#Headers])))</f>
        <v/>
      </c>
      <c r="V130" s="176" t="str">
        <f aca="false">IF(INDEX(Salary_Calculation[Source Row],ROW()-ROW(Payslip_Lookup[#Headers]))="","",INDEX(Salary_Calculation[Rider Balance],ROW()-ROW(Payslip_Lookup[#Headers])))</f>
        <v/>
      </c>
      <c r="W130" s="176" t="str">
        <f aca="false">IF(INDEX(Salary_Calculation[Source Row],ROW()-ROW(Payslip_Lookup[#Headers]))="","",INDEX(Salary_Calculation[stacking_deduction],ROW()-ROW(Payslip_Lookup[#Headers])))</f>
        <v/>
      </c>
      <c r="X130" s="176" t="str">
        <f aca="false">IF(INDEX(Salary_Calculation[Source Row],ROW()-ROW(Payslip_Lookup[#Headers]))="","",INDEX(Salary_Calculation[Other Deductions],ROW()-ROW(Payslip_Lookup[#Headers])))</f>
        <v/>
      </c>
      <c r="Y130" s="176" t="str">
        <f aca="false">IF(INDEX(Salary_Calculation[Source Row],ROW()-ROW(Payslip_Lookup[#Headers]))="","",INDEX(Salary_Calculation[Total Deductions],ROW()-ROW(Payslip_Lookup[#Headers])))</f>
        <v/>
      </c>
      <c r="Z130" s="176" t="str">
        <f aca="false">IF(INDEX(Salary_Calculation[Source Row],ROW()-ROW(Payslip_Lookup[#Headers]))="","",INDEX(Salary_Calculation[Final Salary],ROW()-ROW(Payslip_Lookup[#Headers])))</f>
        <v/>
      </c>
      <c r="AA130" s="176" t="str">
        <f aca="false">IF(INDEX(Salary_Calculation[Source Row],ROW()-ROW(Payslip_Lookup[#Headers]))="","",INDEX(Salary_Calculation[Negative Balance / Amount Due from Rider],ROW()-ROW(Payslip_Lookup[#Headers])))</f>
        <v/>
      </c>
      <c r="AB130" s="176" t="str">
        <f aca="false">IF(INDEX(Salary_Calculation[Source Row],ROW()-ROW(Payslip_Lookup[#Headers]))="","",INDEX(Salary_Calculation[Total Amount Due from Rider],ROW()-ROW(Payslip_Lookup[#Headers])))</f>
        <v/>
      </c>
      <c r="AC130" s="176" t="str">
        <f aca="false">IF(INDEX(Salary_Calculation[Source Row],ROW()-ROW(Payslip_Lookup[#Headers]))="","",INDEX(Salary_Calculation[Salary Before Other Deductions],ROW()-ROW(Payslip_Lookup[#Headers])))</f>
        <v/>
      </c>
      <c r="AD130" s="171" t="str">
        <f aca="false">IF(INDEX(Salary_Calculation[Source Row],ROW()-ROW(Payslip_Lookup[#Headers]))="","",INDEX(Salary_Calculation[Payment Status],ROW()-ROW(Payslip_Lookup[#Headers])))</f>
        <v/>
      </c>
      <c r="AE130" s="171" t="str">
        <f aca="false">IF(INDEX(Salary_Calculation[Source Row],ROW()-ROW(Payslip_Lookup[#Headers]))="","",INDEX(Salary_Calculation[Notes],ROW()-ROW(Payslip_Lookup[#Headers])))</f>
        <v/>
      </c>
      <c r="AF130" s="171" t="str">
        <f aca="false">IF(INDEX(Salary_Calculation[Source Row],ROW()-ROW(Payslip_Lookup[#Headers]))="","",INDEX(Salary_Calculation[Exception Reason],ROW()-ROW(Payslip_Lookup[#Headers])))</f>
        <v/>
      </c>
      <c r="AG130" s="173" t="str">
        <f aca="false">IF($AD130="Review Required",COUNTIF(AD$2:AD130,"Review Required"),"")</f>
        <v/>
      </c>
      <c r="AH130" s="173" t="str">
        <f aca="false">IF(AND($D130&lt;&gt;"",$B130=Payslip_Print!$C$2),MAX(AH$1:AH129)+1,"")</f>
        <v/>
      </c>
      <c r="AL130" s="178" t="str">
        <f aca="false">IFERROR(INDEX($D$2:$D$501,MATCH(ROW()-1,$AH$2:$AH$501,0)),"")</f>
        <v/>
      </c>
      <c r="AM130" s="179" t="str">
        <f aca="false">IF($Z130="","",IF(AND($C130&gt;=Dash_Start,$C130&lt;Dash_End),$Z130+ROW()/10000000,""))</f>
        <v/>
      </c>
    </row>
    <row r="131" customFormat="false" ht="14.25" hidden="false" customHeight="false" outlineLevel="0" collapsed="false">
      <c r="A131" s="171" t="str">
        <f aca="false">IF(Payslip_Lookup[[#This Row],[Rider ID]]="","",Payslip_Lookup[[#This Row],[Rider ID]]&amp;"|"&amp;Payslip_Lookup[[#This Row],[Month Key]])</f>
        <v/>
      </c>
      <c r="B131" s="172" t="str">
        <f aca="false">IF(ISNUMBER(Payslip_Lookup[[#This Row],[Salary Month]]),DATE(YEAR(Payslip_Lookup[[#This Row],[Salary Month]]),MONTH(Payslip_Lookup[[#This Row],[Salary Month]]),1),"")</f>
        <v/>
      </c>
      <c r="C131" s="172" t="str">
        <f aca="false">IF(INDEX(Salary_Calculation[Source Row],ROW()-ROW(Payslip_Lookup[#Headers]))="","",INDEX(Salary_Calculation[Salary Month],ROW()-ROW(Payslip_Lookup[#Headers])))</f>
        <v/>
      </c>
      <c r="D131" s="173" t="str">
        <f aca="false">IF(INDEX(Salary_Calculation[Source Row],ROW()-ROW(Payslip_Lookup[#Headers]))="","",INDEX(Salary_Calculation[Rider ID],ROW()-ROW(Payslip_Lookup[#Headers])))</f>
        <v/>
      </c>
      <c r="E131" s="171" t="str">
        <f aca="false">IF(INDEX(Salary_Calculation[Source Row],ROW()-ROW(Payslip_Lookup[#Headers]))="","",INDEX(Salary_Calculation[Rider Name],ROW()-ROW(Payslip_Lookup[#Headers])))</f>
        <v/>
      </c>
      <c r="F131" s="173" t="str">
        <f aca="false">IF(INDEX(Salary_Calculation[Source Row],ROW()-ROW(Payslip_Lookup[#Headers]))="","",INDEX(Salary_Calculation[Working Days],ROW()-ROW(Payslip_Lookup[#Headers])))</f>
        <v/>
      </c>
      <c r="G131" s="173" t="str">
        <f aca="false">IF(INDEX(Salary_Calculation[Source Row],ROW()-ROW(Payslip_Lookup[#Headers]))="","",INDEX(Salary_Calculation[Calendar Days],ROW()-ROW(Payslip_Lookup[#Headers])))</f>
        <v/>
      </c>
      <c r="H131" s="174" t="str">
        <f aca="false">IF(INDEX(Salary_Calculation[Source Row],ROW()-ROW(Payslip_Lookup[#Headers]))="","",INDEX(Salary_Calculation[Monthly Target Orders],ROW()-ROW(Payslip_Lookup[#Headers])))</f>
        <v/>
      </c>
      <c r="I131" s="174" t="str">
        <f aca="false">IF(INDEX(Salary_Calculation[Source Row],ROW()-ROW(Payslip_Lookup[#Headers]))="","",INDEX(Salary_Calculation[Rider Target Orders],ROW()-ROW(Payslip_Lookup[#Headers])))</f>
        <v/>
      </c>
      <c r="J131" s="175" t="str">
        <f aca="false">IF(INDEX(Salary_Calculation[Source Row],ROW()-ROW(Payslip_Lookup[#Headers]))="","",INDEX(Salary_Calculation[Completed Orders],ROW()-ROW(Payslip_Lookup[#Headers])))</f>
        <v/>
      </c>
      <c r="K131" s="174" t="str">
        <f aca="false">IF(INDEX(Salary_Calculation[Source Row],ROW()-ROW(Payslip_Lookup[#Headers]))="","",INDEX(Salary_Calculation[Base Order Rate],ROW()-ROW(Payslip_Lookup[#Headers])))</f>
        <v/>
      </c>
      <c r="L131" s="176" t="str">
        <f aca="false">IF(INDEX(Salary_Calculation[Source Row],ROW()-ROW(Payslip_Lookup[#Headers]))="","",INDEX(Salary_Calculation[Basic Payment],ROW()-ROW(Payslip_Lookup[#Headers])))</f>
        <v/>
      </c>
      <c r="M131" s="176" t="str">
        <f aca="false">IF(INDEX(Salary_Calculation[Source Row],ROW()-ROW(Payslip_Lookup[#Headers]))="","",INDEX(Salary_Calculation[Earned Salary],ROW()-ROW(Payslip_Lookup[#Headers])))</f>
        <v/>
      </c>
      <c r="N131" s="174" t="str">
        <f aca="false">IF(INDEX(Salary_Calculation[Source Row],ROW()-ROW(Payslip_Lookup[#Headers]))="","",INDEX(Salary_Calculation[Orders Counted at Base Rate],ROW()-ROW(Payslip_Lookup[#Headers])))</f>
        <v/>
      </c>
      <c r="O131" s="174" t="str">
        <f aca="false">IF(INDEX(Salary_Calculation[Source Row],ROW()-ROW(Payslip_Lookup[#Headers]))="","",INDEX(Salary_Calculation[Missing Orders],ROW()-ROW(Payslip_Lookup[#Headers])))</f>
        <v/>
      </c>
      <c r="P131" s="176" t="str">
        <f aca="false">IF(INDEX(Salary_Calculation[Source Row],ROW()-ROW(Payslip_Lookup[#Headers]))="","",INDEX(Salary_Calculation[Missing-Order Deduction],ROW()-ROW(Payslip_Lookup[#Headers])))</f>
        <v/>
      </c>
      <c r="Q131" s="174" t="str">
        <f aca="false">IF(INDEX(Salary_Calculation[Source Row],ROW()-ROW(Payslip_Lookup[#Headers]))="","",INDEX(Salary_Calculation[Extra Orders],ROW()-ROW(Payslip_Lookup[#Headers])))</f>
        <v/>
      </c>
      <c r="R131" s="176" t="str">
        <f aca="false">IF(INDEX(Salary_Calculation[Source Row],ROW()-ROW(Payslip_Lookup[#Headers]))="","",INDEX(Salary_Calculation[Extra-Order Bonus],ROW()-ROW(Payslip_Lookup[#Headers])))</f>
        <v/>
      </c>
      <c r="S131" s="176" t="str">
        <f aca="false">IF(INDEX(Salary_Calculation[Source Row],ROW()-ROW(Payslip_Lookup[#Headers]))="","",INDEX(Salary_Calculation[Basic Salary for Target],ROW()-ROW(Payslip_Lookup[#Headers])))</f>
        <v/>
      </c>
      <c r="T131" s="176" t="str">
        <f aca="false">IF(INDEX(Salary_Calculation[Source Row],ROW()-ROW(Payslip_Lookup[#Headers]))="","",INDEX(Salary_Calculation[Gross Salary Before Deductions],ROW()-ROW(Payslip_Lookup[#Headers])))</f>
        <v/>
      </c>
      <c r="U131" s="176" t="str">
        <f aca="false">IF(INDEX(Salary_Calculation[Source Row],ROW()-ROW(Payslip_Lookup[#Headers]))="","",INDEX(Salary_Calculation[missed_days_penalty],ROW()-ROW(Payslip_Lookup[#Headers])))</f>
        <v/>
      </c>
      <c r="V131" s="176" t="str">
        <f aca="false">IF(INDEX(Salary_Calculation[Source Row],ROW()-ROW(Payslip_Lookup[#Headers]))="","",INDEX(Salary_Calculation[Rider Balance],ROW()-ROW(Payslip_Lookup[#Headers])))</f>
        <v/>
      </c>
      <c r="W131" s="176" t="str">
        <f aca="false">IF(INDEX(Salary_Calculation[Source Row],ROW()-ROW(Payslip_Lookup[#Headers]))="","",INDEX(Salary_Calculation[stacking_deduction],ROW()-ROW(Payslip_Lookup[#Headers])))</f>
        <v/>
      </c>
      <c r="X131" s="176" t="str">
        <f aca="false">IF(INDEX(Salary_Calculation[Source Row],ROW()-ROW(Payslip_Lookup[#Headers]))="","",INDEX(Salary_Calculation[Other Deductions],ROW()-ROW(Payslip_Lookup[#Headers])))</f>
        <v/>
      </c>
      <c r="Y131" s="176" t="str">
        <f aca="false">IF(INDEX(Salary_Calculation[Source Row],ROW()-ROW(Payslip_Lookup[#Headers]))="","",INDEX(Salary_Calculation[Total Deductions],ROW()-ROW(Payslip_Lookup[#Headers])))</f>
        <v/>
      </c>
      <c r="Z131" s="176" t="str">
        <f aca="false">IF(INDEX(Salary_Calculation[Source Row],ROW()-ROW(Payslip_Lookup[#Headers]))="","",INDEX(Salary_Calculation[Final Salary],ROW()-ROW(Payslip_Lookup[#Headers])))</f>
        <v/>
      </c>
      <c r="AA131" s="176" t="str">
        <f aca="false">IF(INDEX(Salary_Calculation[Source Row],ROW()-ROW(Payslip_Lookup[#Headers]))="","",INDEX(Salary_Calculation[Negative Balance / Amount Due from Rider],ROW()-ROW(Payslip_Lookup[#Headers])))</f>
        <v/>
      </c>
      <c r="AB131" s="176" t="str">
        <f aca="false">IF(INDEX(Salary_Calculation[Source Row],ROW()-ROW(Payslip_Lookup[#Headers]))="","",INDEX(Salary_Calculation[Total Amount Due from Rider],ROW()-ROW(Payslip_Lookup[#Headers])))</f>
        <v/>
      </c>
      <c r="AC131" s="176" t="str">
        <f aca="false">IF(INDEX(Salary_Calculation[Source Row],ROW()-ROW(Payslip_Lookup[#Headers]))="","",INDEX(Salary_Calculation[Salary Before Other Deductions],ROW()-ROW(Payslip_Lookup[#Headers])))</f>
        <v/>
      </c>
      <c r="AD131" s="171" t="str">
        <f aca="false">IF(INDEX(Salary_Calculation[Source Row],ROW()-ROW(Payslip_Lookup[#Headers]))="","",INDEX(Salary_Calculation[Payment Status],ROW()-ROW(Payslip_Lookup[#Headers])))</f>
        <v/>
      </c>
      <c r="AE131" s="171" t="str">
        <f aca="false">IF(INDEX(Salary_Calculation[Source Row],ROW()-ROW(Payslip_Lookup[#Headers]))="","",INDEX(Salary_Calculation[Notes],ROW()-ROW(Payslip_Lookup[#Headers])))</f>
        <v/>
      </c>
      <c r="AF131" s="171" t="str">
        <f aca="false">IF(INDEX(Salary_Calculation[Source Row],ROW()-ROW(Payslip_Lookup[#Headers]))="","",INDEX(Salary_Calculation[Exception Reason],ROW()-ROW(Payslip_Lookup[#Headers])))</f>
        <v/>
      </c>
      <c r="AG131" s="173" t="str">
        <f aca="false">IF($AD131="Review Required",COUNTIF(AD$2:AD131,"Review Required"),"")</f>
        <v/>
      </c>
      <c r="AH131" s="173" t="str">
        <f aca="false">IF(AND($D131&lt;&gt;"",$B131=Payslip_Print!$C$2),MAX(AH$1:AH130)+1,"")</f>
        <v/>
      </c>
      <c r="AL131" s="178" t="str">
        <f aca="false">IFERROR(INDEX($D$2:$D$501,MATCH(ROW()-1,$AH$2:$AH$501,0)),"")</f>
        <v/>
      </c>
      <c r="AM131" s="179" t="str">
        <f aca="false">IF($Z131="","",IF(AND($C131&gt;=Dash_Start,$C131&lt;Dash_End),$Z131+ROW()/10000000,""))</f>
        <v/>
      </c>
    </row>
    <row r="132" customFormat="false" ht="14.25" hidden="false" customHeight="false" outlineLevel="0" collapsed="false">
      <c r="A132" s="171" t="str">
        <f aca="false">IF(Payslip_Lookup[[#This Row],[Rider ID]]="","",Payslip_Lookup[[#This Row],[Rider ID]]&amp;"|"&amp;Payslip_Lookup[[#This Row],[Month Key]])</f>
        <v/>
      </c>
      <c r="B132" s="172" t="str">
        <f aca="false">IF(ISNUMBER(Payslip_Lookup[[#This Row],[Salary Month]]),DATE(YEAR(Payslip_Lookup[[#This Row],[Salary Month]]),MONTH(Payslip_Lookup[[#This Row],[Salary Month]]),1),"")</f>
        <v/>
      </c>
      <c r="C132" s="172" t="str">
        <f aca="false">IF(INDEX(Salary_Calculation[Source Row],ROW()-ROW(Payslip_Lookup[#Headers]))="","",INDEX(Salary_Calculation[Salary Month],ROW()-ROW(Payslip_Lookup[#Headers])))</f>
        <v/>
      </c>
      <c r="D132" s="173" t="str">
        <f aca="false">IF(INDEX(Salary_Calculation[Source Row],ROW()-ROW(Payslip_Lookup[#Headers]))="","",INDEX(Salary_Calculation[Rider ID],ROW()-ROW(Payslip_Lookup[#Headers])))</f>
        <v/>
      </c>
      <c r="E132" s="171" t="str">
        <f aca="false">IF(INDEX(Salary_Calculation[Source Row],ROW()-ROW(Payslip_Lookup[#Headers]))="","",INDEX(Salary_Calculation[Rider Name],ROW()-ROW(Payslip_Lookup[#Headers])))</f>
        <v/>
      </c>
      <c r="F132" s="173" t="str">
        <f aca="false">IF(INDEX(Salary_Calculation[Source Row],ROW()-ROW(Payslip_Lookup[#Headers]))="","",INDEX(Salary_Calculation[Working Days],ROW()-ROW(Payslip_Lookup[#Headers])))</f>
        <v/>
      </c>
      <c r="G132" s="173" t="str">
        <f aca="false">IF(INDEX(Salary_Calculation[Source Row],ROW()-ROW(Payslip_Lookup[#Headers]))="","",INDEX(Salary_Calculation[Calendar Days],ROW()-ROW(Payslip_Lookup[#Headers])))</f>
        <v/>
      </c>
      <c r="H132" s="174" t="str">
        <f aca="false">IF(INDEX(Salary_Calculation[Source Row],ROW()-ROW(Payslip_Lookup[#Headers]))="","",INDEX(Salary_Calculation[Monthly Target Orders],ROW()-ROW(Payslip_Lookup[#Headers])))</f>
        <v/>
      </c>
      <c r="I132" s="174" t="str">
        <f aca="false">IF(INDEX(Salary_Calculation[Source Row],ROW()-ROW(Payslip_Lookup[#Headers]))="","",INDEX(Salary_Calculation[Rider Target Orders],ROW()-ROW(Payslip_Lookup[#Headers])))</f>
        <v/>
      </c>
      <c r="J132" s="175" t="str">
        <f aca="false">IF(INDEX(Salary_Calculation[Source Row],ROW()-ROW(Payslip_Lookup[#Headers]))="","",INDEX(Salary_Calculation[Completed Orders],ROW()-ROW(Payslip_Lookup[#Headers])))</f>
        <v/>
      </c>
      <c r="K132" s="174" t="str">
        <f aca="false">IF(INDEX(Salary_Calculation[Source Row],ROW()-ROW(Payslip_Lookup[#Headers]))="","",INDEX(Salary_Calculation[Base Order Rate],ROW()-ROW(Payslip_Lookup[#Headers])))</f>
        <v/>
      </c>
      <c r="L132" s="176" t="str">
        <f aca="false">IF(INDEX(Salary_Calculation[Source Row],ROW()-ROW(Payslip_Lookup[#Headers]))="","",INDEX(Salary_Calculation[Basic Payment],ROW()-ROW(Payslip_Lookup[#Headers])))</f>
        <v/>
      </c>
      <c r="M132" s="176" t="str">
        <f aca="false">IF(INDEX(Salary_Calculation[Source Row],ROW()-ROW(Payslip_Lookup[#Headers]))="","",INDEX(Salary_Calculation[Earned Salary],ROW()-ROW(Payslip_Lookup[#Headers])))</f>
        <v/>
      </c>
      <c r="N132" s="174" t="str">
        <f aca="false">IF(INDEX(Salary_Calculation[Source Row],ROW()-ROW(Payslip_Lookup[#Headers]))="","",INDEX(Salary_Calculation[Orders Counted at Base Rate],ROW()-ROW(Payslip_Lookup[#Headers])))</f>
        <v/>
      </c>
      <c r="O132" s="174" t="str">
        <f aca="false">IF(INDEX(Salary_Calculation[Source Row],ROW()-ROW(Payslip_Lookup[#Headers]))="","",INDEX(Salary_Calculation[Missing Orders],ROW()-ROW(Payslip_Lookup[#Headers])))</f>
        <v/>
      </c>
      <c r="P132" s="176" t="str">
        <f aca="false">IF(INDEX(Salary_Calculation[Source Row],ROW()-ROW(Payslip_Lookup[#Headers]))="","",INDEX(Salary_Calculation[Missing-Order Deduction],ROW()-ROW(Payslip_Lookup[#Headers])))</f>
        <v/>
      </c>
      <c r="Q132" s="174" t="str">
        <f aca="false">IF(INDEX(Salary_Calculation[Source Row],ROW()-ROW(Payslip_Lookup[#Headers]))="","",INDEX(Salary_Calculation[Extra Orders],ROW()-ROW(Payslip_Lookup[#Headers])))</f>
        <v/>
      </c>
      <c r="R132" s="176" t="str">
        <f aca="false">IF(INDEX(Salary_Calculation[Source Row],ROW()-ROW(Payslip_Lookup[#Headers]))="","",INDEX(Salary_Calculation[Extra-Order Bonus],ROW()-ROW(Payslip_Lookup[#Headers])))</f>
        <v/>
      </c>
      <c r="S132" s="176" t="str">
        <f aca="false">IF(INDEX(Salary_Calculation[Source Row],ROW()-ROW(Payslip_Lookup[#Headers]))="","",INDEX(Salary_Calculation[Basic Salary for Target],ROW()-ROW(Payslip_Lookup[#Headers])))</f>
        <v/>
      </c>
      <c r="T132" s="176" t="str">
        <f aca="false">IF(INDEX(Salary_Calculation[Source Row],ROW()-ROW(Payslip_Lookup[#Headers]))="","",INDEX(Salary_Calculation[Gross Salary Before Deductions],ROW()-ROW(Payslip_Lookup[#Headers])))</f>
        <v/>
      </c>
      <c r="U132" s="176" t="str">
        <f aca="false">IF(INDEX(Salary_Calculation[Source Row],ROW()-ROW(Payslip_Lookup[#Headers]))="","",INDEX(Salary_Calculation[missed_days_penalty],ROW()-ROW(Payslip_Lookup[#Headers])))</f>
        <v/>
      </c>
      <c r="V132" s="176" t="str">
        <f aca="false">IF(INDEX(Salary_Calculation[Source Row],ROW()-ROW(Payslip_Lookup[#Headers]))="","",INDEX(Salary_Calculation[Rider Balance],ROW()-ROW(Payslip_Lookup[#Headers])))</f>
        <v/>
      </c>
      <c r="W132" s="176" t="str">
        <f aca="false">IF(INDEX(Salary_Calculation[Source Row],ROW()-ROW(Payslip_Lookup[#Headers]))="","",INDEX(Salary_Calculation[stacking_deduction],ROW()-ROW(Payslip_Lookup[#Headers])))</f>
        <v/>
      </c>
      <c r="X132" s="176" t="str">
        <f aca="false">IF(INDEX(Salary_Calculation[Source Row],ROW()-ROW(Payslip_Lookup[#Headers]))="","",INDEX(Salary_Calculation[Other Deductions],ROW()-ROW(Payslip_Lookup[#Headers])))</f>
        <v/>
      </c>
      <c r="Y132" s="176" t="str">
        <f aca="false">IF(INDEX(Salary_Calculation[Source Row],ROW()-ROW(Payslip_Lookup[#Headers]))="","",INDEX(Salary_Calculation[Total Deductions],ROW()-ROW(Payslip_Lookup[#Headers])))</f>
        <v/>
      </c>
      <c r="Z132" s="176" t="str">
        <f aca="false">IF(INDEX(Salary_Calculation[Source Row],ROW()-ROW(Payslip_Lookup[#Headers]))="","",INDEX(Salary_Calculation[Final Salary],ROW()-ROW(Payslip_Lookup[#Headers])))</f>
        <v/>
      </c>
      <c r="AA132" s="176" t="str">
        <f aca="false">IF(INDEX(Salary_Calculation[Source Row],ROW()-ROW(Payslip_Lookup[#Headers]))="","",INDEX(Salary_Calculation[Negative Balance / Amount Due from Rider],ROW()-ROW(Payslip_Lookup[#Headers])))</f>
        <v/>
      </c>
      <c r="AB132" s="176" t="str">
        <f aca="false">IF(INDEX(Salary_Calculation[Source Row],ROW()-ROW(Payslip_Lookup[#Headers]))="","",INDEX(Salary_Calculation[Total Amount Due from Rider],ROW()-ROW(Payslip_Lookup[#Headers])))</f>
        <v/>
      </c>
      <c r="AC132" s="176" t="str">
        <f aca="false">IF(INDEX(Salary_Calculation[Source Row],ROW()-ROW(Payslip_Lookup[#Headers]))="","",INDEX(Salary_Calculation[Salary Before Other Deductions],ROW()-ROW(Payslip_Lookup[#Headers])))</f>
        <v/>
      </c>
      <c r="AD132" s="171" t="str">
        <f aca="false">IF(INDEX(Salary_Calculation[Source Row],ROW()-ROW(Payslip_Lookup[#Headers]))="","",INDEX(Salary_Calculation[Payment Status],ROW()-ROW(Payslip_Lookup[#Headers])))</f>
        <v/>
      </c>
      <c r="AE132" s="171" t="str">
        <f aca="false">IF(INDEX(Salary_Calculation[Source Row],ROW()-ROW(Payslip_Lookup[#Headers]))="","",INDEX(Salary_Calculation[Notes],ROW()-ROW(Payslip_Lookup[#Headers])))</f>
        <v/>
      </c>
      <c r="AF132" s="171" t="str">
        <f aca="false">IF(INDEX(Salary_Calculation[Source Row],ROW()-ROW(Payslip_Lookup[#Headers]))="","",INDEX(Salary_Calculation[Exception Reason],ROW()-ROW(Payslip_Lookup[#Headers])))</f>
        <v/>
      </c>
      <c r="AG132" s="173" t="str">
        <f aca="false">IF($AD132="Review Required",COUNTIF(AD$2:AD132,"Review Required"),"")</f>
        <v/>
      </c>
      <c r="AH132" s="173" t="str">
        <f aca="false">IF(AND($D132&lt;&gt;"",$B132=Payslip_Print!$C$2),MAX(AH$1:AH131)+1,"")</f>
        <v/>
      </c>
      <c r="AL132" s="178" t="str">
        <f aca="false">IFERROR(INDEX($D$2:$D$501,MATCH(ROW()-1,$AH$2:$AH$501,0)),"")</f>
        <v/>
      </c>
      <c r="AM132" s="179" t="str">
        <f aca="false">IF($Z132="","",IF(AND($C132&gt;=Dash_Start,$C132&lt;Dash_End),$Z132+ROW()/10000000,""))</f>
        <v/>
      </c>
    </row>
    <row r="133" customFormat="false" ht="14.25" hidden="false" customHeight="false" outlineLevel="0" collapsed="false">
      <c r="A133" s="171" t="str">
        <f aca="false">IF(Payslip_Lookup[[#This Row],[Rider ID]]="","",Payslip_Lookup[[#This Row],[Rider ID]]&amp;"|"&amp;Payslip_Lookup[[#This Row],[Month Key]])</f>
        <v/>
      </c>
      <c r="B133" s="172" t="str">
        <f aca="false">IF(ISNUMBER(Payslip_Lookup[[#This Row],[Salary Month]]),DATE(YEAR(Payslip_Lookup[[#This Row],[Salary Month]]),MONTH(Payslip_Lookup[[#This Row],[Salary Month]]),1),"")</f>
        <v/>
      </c>
      <c r="C133" s="172" t="str">
        <f aca="false">IF(INDEX(Salary_Calculation[Source Row],ROW()-ROW(Payslip_Lookup[#Headers]))="","",INDEX(Salary_Calculation[Salary Month],ROW()-ROW(Payslip_Lookup[#Headers])))</f>
        <v/>
      </c>
      <c r="D133" s="173" t="str">
        <f aca="false">IF(INDEX(Salary_Calculation[Source Row],ROW()-ROW(Payslip_Lookup[#Headers]))="","",INDEX(Salary_Calculation[Rider ID],ROW()-ROW(Payslip_Lookup[#Headers])))</f>
        <v/>
      </c>
      <c r="E133" s="171" t="str">
        <f aca="false">IF(INDEX(Salary_Calculation[Source Row],ROW()-ROW(Payslip_Lookup[#Headers]))="","",INDEX(Salary_Calculation[Rider Name],ROW()-ROW(Payslip_Lookup[#Headers])))</f>
        <v/>
      </c>
      <c r="F133" s="173" t="str">
        <f aca="false">IF(INDEX(Salary_Calculation[Source Row],ROW()-ROW(Payslip_Lookup[#Headers]))="","",INDEX(Salary_Calculation[Working Days],ROW()-ROW(Payslip_Lookup[#Headers])))</f>
        <v/>
      </c>
      <c r="G133" s="173" t="str">
        <f aca="false">IF(INDEX(Salary_Calculation[Source Row],ROW()-ROW(Payslip_Lookup[#Headers]))="","",INDEX(Salary_Calculation[Calendar Days],ROW()-ROW(Payslip_Lookup[#Headers])))</f>
        <v/>
      </c>
      <c r="H133" s="174" t="str">
        <f aca="false">IF(INDEX(Salary_Calculation[Source Row],ROW()-ROW(Payslip_Lookup[#Headers]))="","",INDEX(Salary_Calculation[Monthly Target Orders],ROW()-ROW(Payslip_Lookup[#Headers])))</f>
        <v/>
      </c>
      <c r="I133" s="174" t="str">
        <f aca="false">IF(INDEX(Salary_Calculation[Source Row],ROW()-ROW(Payslip_Lookup[#Headers]))="","",INDEX(Salary_Calculation[Rider Target Orders],ROW()-ROW(Payslip_Lookup[#Headers])))</f>
        <v/>
      </c>
      <c r="J133" s="175" t="str">
        <f aca="false">IF(INDEX(Salary_Calculation[Source Row],ROW()-ROW(Payslip_Lookup[#Headers]))="","",INDEX(Salary_Calculation[Completed Orders],ROW()-ROW(Payslip_Lookup[#Headers])))</f>
        <v/>
      </c>
      <c r="K133" s="174" t="str">
        <f aca="false">IF(INDEX(Salary_Calculation[Source Row],ROW()-ROW(Payslip_Lookup[#Headers]))="","",INDEX(Salary_Calculation[Base Order Rate],ROW()-ROW(Payslip_Lookup[#Headers])))</f>
        <v/>
      </c>
      <c r="L133" s="176" t="str">
        <f aca="false">IF(INDEX(Salary_Calculation[Source Row],ROW()-ROW(Payslip_Lookup[#Headers]))="","",INDEX(Salary_Calculation[Basic Payment],ROW()-ROW(Payslip_Lookup[#Headers])))</f>
        <v/>
      </c>
      <c r="M133" s="176" t="str">
        <f aca="false">IF(INDEX(Salary_Calculation[Source Row],ROW()-ROW(Payslip_Lookup[#Headers]))="","",INDEX(Salary_Calculation[Earned Salary],ROW()-ROW(Payslip_Lookup[#Headers])))</f>
        <v/>
      </c>
      <c r="N133" s="174" t="str">
        <f aca="false">IF(INDEX(Salary_Calculation[Source Row],ROW()-ROW(Payslip_Lookup[#Headers]))="","",INDEX(Salary_Calculation[Orders Counted at Base Rate],ROW()-ROW(Payslip_Lookup[#Headers])))</f>
        <v/>
      </c>
      <c r="O133" s="174" t="str">
        <f aca="false">IF(INDEX(Salary_Calculation[Source Row],ROW()-ROW(Payslip_Lookup[#Headers]))="","",INDEX(Salary_Calculation[Missing Orders],ROW()-ROW(Payslip_Lookup[#Headers])))</f>
        <v/>
      </c>
      <c r="P133" s="176" t="str">
        <f aca="false">IF(INDEX(Salary_Calculation[Source Row],ROW()-ROW(Payslip_Lookup[#Headers]))="","",INDEX(Salary_Calculation[Missing-Order Deduction],ROW()-ROW(Payslip_Lookup[#Headers])))</f>
        <v/>
      </c>
      <c r="Q133" s="174" t="str">
        <f aca="false">IF(INDEX(Salary_Calculation[Source Row],ROW()-ROW(Payslip_Lookup[#Headers]))="","",INDEX(Salary_Calculation[Extra Orders],ROW()-ROW(Payslip_Lookup[#Headers])))</f>
        <v/>
      </c>
      <c r="R133" s="176" t="str">
        <f aca="false">IF(INDEX(Salary_Calculation[Source Row],ROW()-ROW(Payslip_Lookup[#Headers]))="","",INDEX(Salary_Calculation[Extra-Order Bonus],ROW()-ROW(Payslip_Lookup[#Headers])))</f>
        <v/>
      </c>
      <c r="S133" s="176" t="str">
        <f aca="false">IF(INDEX(Salary_Calculation[Source Row],ROW()-ROW(Payslip_Lookup[#Headers]))="","",INDEX(Salary_Calculation[Basic Salary for Target],ROW()-ROW(Payslip_Lookup[#Headers])))</f>
        <v/>
      </c>
      <c r="T133" s="176" t="str">
        <f aca="false">IF(INDEX(Salary_Calculation[Source Row],ROW()-ROW(Payslip_Lookup[#Headers]))="","",INDEX(Salary_Calculation[Gross Salary Before Deductions],ROW()-ROW(Payslip_Lookup[#Headers])))</f>
        <v/>
      </c>
      <c r="U133" s="176" t="str">
        <f aca="false">IF(INDEX(Salary_Calculation[Source Row],ROW()-ROW(Payslip_Lookup[#Headers]))="","",INDEX(Salary_Calculation[missed_days_penalty],ROW()-ROW(Payslip_Lookup[#Headers])))</f>
        <v/>
      </c>
      <c r="V133" s="176" t="str">
        <f aca="false">IF(INDEX(Salary_Calculation[Source Row],ROW()-ROW(Payslip_Lookup[#Headers]))="","",INDEX(Salary_Calculation[Rider Balance],ROW()-ROW(Payslip_Lookup[#Headers])))</f>
        <v/>
      </c>
      <c r="W133" s="176" t="str">
        <f aca="false">IF(INDEX(Salary_Calculation[Source Row],ROW()-ROW(Payslip_Lookup[#Headers]))="","",INDEX(Salary_Calculation[stacking_deduction],ROW()-ROW(Payslip_Lookup[#Headers])))</f>
        <v/>
      </c>
      <c r="X133" s="176" t="str">
        <f aca="false">IF(INDEX(Salary_Calculation[Source Row],ROW()-ROW(Payslip_Lookup[#Headers]))="","",INDEX(Salary_Calculation[Other Deductions],ROW()-ROW(Payslip_Lookup[#Headers])))</f>
        <v/>
      </c>
      <c r="Y133" s="176" t="str">
        <f aca="false">IF(INDEX(Salary_Calculation[Source Row],ROW()-ROW(Payslip_Lookup[#Headers]))="","",INDEX(Salary_Calculation[Total Deductions],ROW()-ROW(Payslip_Lookup[#Headers])))</f>
        <v/>
      </c>
      <c r="Z133" s="176" t="str">
        <f aca="false">IF(INDEX(Salary_Calculation[Source Row],ROW()-ROW(Payslip_Lookup[#Headers]))="","",INDEX(Salary_Calculation[Final Salary],ROW()-ROW(Payslip_Lookup[#Headers])))</f>
        <v/>
      </c>
      <c r="AA133" s="176" t="str">
        <f aca="false">IF(INDEX(Salary_Calculation[Source Row],ROW()-ROW(Payslip_Lookup[#Headers]))="","",INDEX(Salary_Calculation[Negative Balance / Amount Due from Rider],ROW()-ROW(Payslip_Lookup[#Headers])))</f>
        <v/>
      </c>
      <c r="AB133" s="176" t="str">
        <f aca="false">IF(INDEX(Salary_Calculation[Source Row],ROW()-ROW(Payslip_Lookup[#Headers]))="","",INDEX(Salary_Calculation[Total Amount Due from Rider],ROW()-ROW(Payslip_Lookup[#Headers])))</f>
        <v/>
      </c>
      <c r="AC133" s="176" t="str">
        <f aca="false">IF(INDEX(Salary_Calculation[Source Row],ROW()-ROW(Payslip_Lookup[#Headers]))="","",INDEX(Salary_Calculation[Salary Before Other Deductions],ROW()-ROW(Payslip_Lookup[#Headers])))</f>
        <v/>
      </c>
      <c r="AD133" s="171" t="str">
        <f aca="false">IF(INDEX(Salary_Calculation[Source Row],ROW()-ROW(Payslip_Lookup[#Headers]))="","",INDEX(Salary_Calculation[Payment Status],ROW()-ROW(Payslip_Lookup[#Headers])))</f>
        <v/>
      </c>
      <c r="AE133" s="171" t="str">
        <f aca="false">IF(INDEX(Salary_Calculation[Source Row],ROW()-ROW(Payslip_Lookup[#Headers]))="","",INDEX(Salary_Calculation[Notes],ROW()-ROW(Payslip_Lookup[#Headers])))</f>
        <v/>
      </c>
      <c r="AF133" s="171" t="str">
        <f aca="false">IF(INDEX(Salary_Calculation[Source Row],ROW()-ROW(Payslip_Lookup[#Headers]))="","",INDEX(Salary_Calculation[Exception Reason],ROW()-ROW(Payslip_Lookup[#Headers])))</f>
        <v/>
      </c>
      <c r="AG133" s="173" t="str">
        <f aca="false">IF($AD133="Review Required",COUNTIF(AD$2:AD133,"Review Required"),"")</f>
        <v/>
      </c>
      <c r="AH133" s="173" t="str">
        <f aca="false">IF(AND($D133&lt;&gt;"",$B133=Payslip_Print!$C$2),MAX(AH$1:AH132)+1,"")</f>
        <v/>
      </c>
      <c r="AL133" s="178" t="str">
        <f aca="false">IFERROR(INDEX($D$2:$D$501,MATCH(ROW()-1,$AH$2:$AH$501,0)),"")</f>
        <v/>
      </c>
      <c r="AM133" s="179" t="str">
        <f aca="false">IF($Z133="","",IF(AND($C133&gt;=Dash_Start,$C133&lt;Dash_End),$Z133+ROW()/10000000,""))</f>
        <v/>
      </c>
    </row>
    <row r="134" customFormat="false" ht="14.25" hidden="false" customHeight="false" outlineLevel="0" collapsed="false">
      <c r="A134" s="171" t="str">
        <f aca="false">IF(Payslip_Lookup[[#This Row],[Rider ID]]="","",Payslip_Lookup[[#This Row],[Rider ID]]&amp;"|"&amp;Payslip_Lookup[[#This Row],[Month Key]])</f>
        <v/>
      </c>
      <c r="B134" s="172" t="str">
        <f aca="false">IF(ISNUMBER(Payslip_Lookup[[#This Row],[Salary Month]]),DATE(YEAR(Payslip_Lookup[[#This Row],[Salary Month]]),MONTH(Payslip_Lookup[[#This Row],[Salary Month]]),1),"")</f>
        <v/>
      </c>
      <c r="C134" s="172" t="str">
        <f aca="false">IF(INDEX(Salary_Calculation[Source Row],ROW()-ROW(Payslip_Lookup[#Headers]))="","",INDEX(Salary_Calculation[Salary Month],ROW()-ROW(Payslip_Lookup[#Headers])))</f>
        <v/>
      </c>
      <c r="D134" s="173" t="str">
        <f aca="false">IF(INDEX(Salary_Calculation[Source Row],ROW()-ROW(Payslip_Lookup[#Headers]))="","",INDEX(Salary_Calculation[Rider ID],ROW()-ROW(Payslip_Lookup[#Headers])))</f>
        <v/>
      </c>
      <c r="E134" s="171" t="str">
        <f aca="false">IF(INDEX(Salary_Calculation[Source Row],ROW()-ROW(Payslip_Lookup[#Headers]))="","",INDEX(Salary_Calculation[Rider Name],ROW()-ROW(Payslip_Lookup[#Headers])))</f>
        <v/>
      </c>
      <c r="F134" s="173" t="str">
        <f aca="false">IF(INDEX(Salary_Calculation[Source Row],ROW()-ROW(Payslip_Lookup[#Headers]))="","",INDEX(Salary_Calculation[Working Days],ROW()-ROW(Payslip_Lookup[#Headers])))</f>
        <v/>
      </c>
      <c r="G134" s="173" t="str">
        <f aca="false">IF(INDEX(Salary_Calculation[Source Row],ROW()-ROW(Payslip_Lookup[#Headers]))="","",INDEX(Salary_Calculation[Calendar Days],ROW()-ROW(Payslip_Lookup[#Headers])))</f>
        <v/>
      </c>
      <c r="H134" s="174" t="str">
        <f aca="false">IF(INDEX(Salary_Calculation[Source Row],ROW()-ROW(Payslip_Lookup[#Headers]))="","",INDEX(Salary_Calculation[Monthly Target Orders],ROW()-ROW(Payslip_Lookup[#Headers])))</f>
        <v/>
      </c>
      <c r="I134" s="174" t="str">
        <f aca="false">IF(INDEX(Salary_Calculation[Source Row],ROW()-ROW(Payslip_Lookup[#Headers]))="","",INDEX(Salary_Calculation[Rider Target Orders],ROW()-ROW(Payslip_Lookup[#Headers])))</f>
        <v/>
      </c>
      <c r="J134" s="175" t="str">
        <f aca="false">IF(INDEX(Salary_Calculation[Source Row],ROW()-ROW(Payslip_Lookup[#Headers]))="","",INDEX(Salary_Calculation[Completed Orders],ROW()-ROW(Payslip_Lookup[#Headers])))</f>
        <v/>
      </c>
      <c r="K134" s="174" t="str">
        <f aca="false">IF(INDEX(Salary_Calculation[Source Row],ROW()-ROW(Payslip_Lookup[#Headers]))="","",INDEX(Salary_Calculation[Base Order Rate],ROW()-ROW(Payslip_Lookup[#Headers])))</f>
        <v/>
      </c>
      <c r="L134" s="176" t="str">
        <f aca="false">IF(INDEX(Salary_Calculation[Source Row],ROW()-ROW(Payslip_Lookup[#Headers]))="","",INDEX(Salary_Calculation[Basic Payment],ROW()-ROW(Payslip_Lookup[#Headers])))</f>
        <v/>
      </c>
      <c r="M134" s="176" t="str">
        <f aca="false">IF(INDEX(Salary_Calculation[Source Row],ROW()-ROW(Payslip_Lookup[#Headers]))="","",INDEX(Salary_Calculation[Earned Salary],ROW()-ROW(Payslip_Lookup[#Headers])))</f>
        <v/>
      </c>
      <c r="N134" s="174" t="str">
        <f aca="false">IF(INDEX(Salary_Calculation[Source Row],ROW()-ROW(Payslip_Lookup[#Headers]))="","",INDEX(Salary_Calculation[Orders Counted at Base Rate],ROW()-ROW(Payslip_Lookup[#Headers])))</f>
        <v/>
      </c>
      <c r="O134" s="174" t="str">
        <f aca="false">IF(INDEX(Salary_Calculation[Source Row],ROW()-ROW(Payslip_Lookup[#Headers]))="","",INDEX(Salary_Calculation[Missing Orders],ROW()-ROW(Payslip_Lookup[#Headers])))</f>
        <v/>
      </c>
      <c r="P134" s="176" t="str">
        <f aca="false">IF(INDEX(Salary_Calculation[Source Row],ROW()-ROW(Payslip_Lookup[#Headers]))="","",INDEX(Salary_Calculation[Missing-Order Deduction],ROW()-ROW(Payslip_Lookup[#Headers])))</f>
        <v/>
      </c>
      <c r="Q134" s="174" t="str">
        <f aca="false">IF(INDEX(Salary_Calculation[Source Row],ROW()-ROW(Payslip_Lookup[#Headers]))="","",INDEX(Salary_Calculation[Extra Orders],ROW()-ROW(Payslip_Lookup[#Headers])))</f>
        <v/>
      </c>
      <c r="R134" s="176" t="str">
        <f aca="false">IF(INDEX(Salary_Calculation[Source Row],ROW()-ROW(Payslip_Lookup[#Headers]))="","",INDEX(Salary_Calculation[Extra-Order Bonus],ROW()-ROW(Payslip_Lookup[#Headers])))</f>
        <v/>
      </c>
      <c r="S134" s="176" t="str">
        <f aca="false">IF(INDEX(Salary_Calculation[Source Row],ROW()-ROW(Payslip_Lookup[#Headers]))="","",INDEX(Salary_Calculation[Basic Salary for Target],ROW()-ROW(Payslip_Lookup[#Headers])))</f>
        <v/>
      </c>
      <c r="T134" s="176" t="str">
        <f aca="false">IF(INDEX(Salary_Calculation[Source Row],ROW()-ROW(Payslip_Lookup[#Headers]))="","",INDEX(Salary_Calculation[Gross Salary Before Deductions],ROW()-ROW(Payslip_Lookup[#Headers])))</f>
        <v/>
      </c>
      <c r="U134" s="176" t="str">
        <f aca="false">IF(INDEX(Salary_Calculation[Source Row],ROW()-ROW(Payslip_Lookup[#Headers]))="","",INDEX(Salary_Calculation[missed_days_penalty],ROW()-ROW(Payslip_Lookup[#Headers])))</f>
        <v/>
      </c>
      <c r="V134" s="176" t="str">
        <f aca="false">IF(INDEX(Salary_Calculation[Source Row],ROW()-ROW(Payslip_Lookup[#Headers]))="","",INDEX(Salary_Calculation[Rider Balance],ROW()-ROW(Payslip_Lookup[#Headers])))</f>
        <v/>
      </c>
      <c r="W134" s="176" t="str">
        <f aca="false">IF(INDEX(Salary_Calculation[Source Row],ROW()-ROW(Payslip_Lookup[#Headers]))="","",INDEX(Salary_Calculation[stacking_deduction],ROW()-ROW(Payslip_Lookup[#Headers])))</f>
        <v/>
      </c>
      <c r="X134" s="176" t="str">
        <f aca="false">IF(INDEX(Salary_Calculation[Source Row],ROW()-ROW(Payslip_Lookup[#Headers]))="","",INDEX(Salary_Calculation[Other Deductions],ROW()-ROW(Payslip_Lookup[#Headers])))</f>
        <v/>
      </c>
      <c r="Y134" s="176" t="str">
        <f aca="false">IF(INDEX(Salary_Calculation[Source Row],ROW()-ROW(Payslip_Lookup[#Headers]))="","",INDEX(Salary_Calculation[Total Deductions],ROW()-ROW(Payslip_Lookup[#Headers])))</f>
        <v/>
      </c>
      <c r="Z134" s="176" t="str">
        <f aca="false">IF(INDEX(Salary_Calculation[Source Row],ROW()-ROW(Payslip_Lookup[#Headers]))="","",INDEX(Salary_Calculation[Final Salary],ROW()-ROW(Payslip_Lookup[#Headers])))</f>
        <v/>
      </c>
      <c r="AA134" s="176" t="str">
        <f aca="false">IF(INDEX(Salary_Calculation[Source Row],ROW()-ROW(Payslip_Lookup[#Headers]))="","",INDEX(Salary_Calculation[Negative Balance / Amount Due from Rider],ROW()-ROW(Payslip_Lookup[#Headers])))</f>
        <v/>
      </c>
      <c r="AB134" s="176" t="str">
        <f aca="false">IF(INDEX(Salary_Calculation[Source Row],ROW()-ROW(Payslip_Lookup[#Headers]))="","",INDEX(Salary_Calculation[Total Amount Due from Rider],ROW()-ROW(Payslip_Lookup[#Headers])))</f>
        <v/>
      </c>
      <c r="AC134" s="176" t="str">
        <f aca="false">IF(INDEX(Salary_Calculation[Source Row],ROW()-ROW(Payslip_Lookup[#Headers]))="","",INDEX(Salary_Calculation[Salary Before Other Deductions],ROW()-ROW(Payslip_Lookup[#Headers])))</f>
        <v/>
      </c>
      <c r="AD134" s="171" t="str">
        <f aca="false">IF(INDEX(Salary_Calculation[Source Row],ROW()-ROW(Payslip_Lookup[#Headers]))="","",INDEX(Salary_Calculation[Payment Status],ROW()-ROW(Payslip_Lookup[#Headers])))</f>
        <v/>
      </c>
      <c r="AE134" s="171" t="str">
        <f aca="false">IF(INDEX(Salary_Calculation[Source Row],ROW()-ROW(Payslip_Lookup[#Headers]))="","",INDEX(Salary_Calculation[Notes],ROW()-ROW(Payslip_Lookup[#Headers])))</f>
        <v/>
      </c>
      <c r="AF134" s="171" t="str">
        <f aca="false">IF(INDEX(Salary_Calculation[Source Row],ROW()-ROW(Payslip_Lookup[#Headers]))="","",INDEX(Salary_Calculation[Exception Reason],ROW()-ROW(Payslip_Lookup[#Headers])))</f>
        <v/>
      </c>
      <c r="AG134" s="173" t="str">
        <f aca="false">IF($AD134="Review Required",COUNTIF(AD$2:AD134,"Review Required"),"")</f>
        <v/>
      </c>
      <c r="AH134" s="173" t="str">
        <f aca="false">IF(AND($D134&lt;&gt;"",$B134=Payslip_Print!$C$2),MAX(AH$1:AH133)+1,"")</f>
        <v/>
      </c>
      <c r="AL134" s="178" t="str">
        <f aca="false">IFERROR(INDEX($D$2:$D$501,MATCH(ROW()-1,$AH$2:$AH$501,0)),"")</f>
        <v/>
      </c>
      <c r="AM134" s="179" t="str">
        <f aca="false">IF($Z134="","",IF(AND($C134&gt;=Dash_Start,$C134&lt;Dash_End),$Z134+ROW()/10000000,""))</f>
        <v/>
      </c>
    </row>
    <row r="135" customFormat="false" ht="14.25" hidden="false" customHeight="false" outlineLevel="0" collapsed="false">
      <c r="A135" s="171" t="str">
        <f aca="false">IF(Payslip_Lookup[[#This Row],[Rider ID]]="","",Payslip_Lookup[[#This Row],[Rider ID]]&amp;"|"&amp;Payslip_Lookup[[#This Row],[Month Key]])</f>
        <v/>
      </c>
      <c r="B135" s="172" t="str">
        <f aca="false">IF(ISNUMBER(Payslip_Lookup[[#This Row],[Salary Month]]),DATE(YEAR(Payslip_Lookup[[#This Row],[Salary Month]]),MONTH(Payslip_Lookup[[#This Row],[Salary Month]]),1),"")</f>
        <v/>
      </c>
      <c r="C135" s="172" t="str">
        <f aca="false">IF(INDEX(Salary_Calculation[Source Row],ROW()-ROW(Payslip_Lookup[#Headers]))="","",INDEX(Salary_Calculation[Salary Month],ROW()-ROW(Payslip_Lookup[#Headers])))</f>
        <v/>
      </c>
      <c r="D135" s="173" t="str">
        <f aca="false">IF(INDEX(Salary_Calculation[Source Row],ROW()-ROW(Payslip_Lookup[#Headers]))="","",INDEX(Salary_Calculation[Rider ID],ROW()-ROW(Payslip_Lookup[#Headers])))</f>
        <v/>
      </c>
      <c r="E135" s="171" t="str">
        <f aca="false">IF(INDEX(Salary_Calculation[Source Row],ROW()-ROW(Payslip_Lookup[#Headers]))="","",INDEX(Salary_Calculation[Rider Name],ROW()-ROW(Payslip_Lookup[#Headers])))</f>
        <v/>
      </c>
      <c r="F135" s="173" t="str">
        <f aca="false">IF(INDEX(Salary_Calculation[Source Row],ROW()-ROW(Payslip_Lookup[#Headers]))="","",INDEX(Salary_Calculation[Working Days],ROW()-ROW(Payslip_Lookup[#Headers])))</f>
        <v/>
      </c>
      <c r="G135" s="173" t="str">
        <f aca="false">IF(INDEX(Salary_Calculation[Source Row],ROW()-ROW(Payslip_Lookup[#Headers]))="","",INDEX(Salary_Calculation[Calendar Days],ROW()-ROW(Payslip_Lookup[#Headers])))</f>
        <v/>
      </c>
      <c r="H135" s="174" t="str">
        <f aca="false">IF(INDEX(Salary_Calculation[Source Row],ROW()-ROW(Payslip_Lookup[#Headers]))="","",INDEX(Salary_Calculation[Monthly Target Orders],ROW()-ROW(Payslip_Lookup[#Headers])))</f>
        <v/>
      </c>
      <c r="I135" s="174" t="str">
        <f aca="false">IF(INDEX(Salary_Calculation[Source Row],ROW()-ROW(Payslip_Lookup[#Headers]))="","",INDEX(Salary_Calculation[Rider Target Orders],ROW()-ROW(Payslip_Lookup[#Headers])))</f>
        <v/>
      </c>
      <c r="J135" s="175" t="str">
        <f aca="false">IF(INDEX(Salary_Calculation[Source Row],ROW()-ROW(Payslip_Lookup[#Headers]))="","",INDEX(Salary_Calculation[Completed Orders],ROW()-ROW(Payslip_Lookup[#Headers])))</f>
        <v/>
      </c>
      <c r="K135" s="174" t="str">
        <f aca="false">IF(INDEX(Salary_Calculation[Source Row],ROW()-ROW(Payslip_Lookup[#Headers]))="","",INDEX(Salary_Calculation[Base Order Rate],ROW()-ROW(Payslip_Lookup[#Headers])))</f>
        <v/>
      </c>
      <c r="L135" s="176" t="str">
        <f aca="false">IF(INDEX(Salary_Calculation[Source Row],ROW()-ROW(Payslip_Lookup[#Headers]))="","",INDEX(Salary_Calculation[Basic Payment],ROW()-ROW(Payslip_Lookup[#Headers])))</f>
        <v/>
      </c>
      <c r="M135" s="176" t="str">
        <f aca="false">IF(INDEX(Salary_Calculation[Source Row],ROW()-ROW(Payslip_Lookup[#Headers]))="","",INDEX(Salary_Calculation[Earned Salary],ROW()-ROW(Payslip_Lookup[#Headers])))</f>
        <v/>
      </c>
      <c r="N135" s="174" t="str">
        <f aca="false">IF(INDEX(Salary_Calculation[Source Row],ROW()-ROW(Payslip_Lookup[#Headers]))="","",INDEX(Salary_Calculation[Orders Counted at Base Rate],ROW()-ROW(Payslip_Lookup[#Headers])))</f>
        <v/>
      </c>
      <c r="O135" s="174" t="str">
        <f aca="false">IF(INDEX(Salary_Calculation[Source Row],ROW()-ROW(Payslip_Lookup[#Headers]))="","",INDEX(Salary_Calculation[Missing Orders],ROW()-ROW(Payslip_Lookup[#Headers])))</f>
        <v/>
      </c>
      <c r="P135" s="176" t="str">
        <f aca="false">IF(INDEX(Salary_Calculation[Source Row],ROW()-ROW(Payslip_Lookup[#Headers]))="","",INDEX(Salary_Calculation[Missing-Order Deduction],ROW()-ROW(Payslip_Lookup[#Headers])))</f>
        <v/>
      </c>
      <c r="Q135" s="174" t="str">
        <f aca="false">IF(INDEX(Salary_Calculation[Source Row],ROW()-ROW(Payslip_Lookup[#Headers]))="","",INDEX(Salary_Calculation[Extra Orders],ROW()-ROW(Payslip_Lookup[#Headers])))</f>
        <v/>
      </c>
      <c r="R135" s="176" t="str">
        <f aca="false">IF(INDEX(Salary_Calculation[Source Row],ROW()-ROW(Payslip_Lookup[#Headers]))="","",INDEX(Salary_Calculation[Extra-Order Bonus],ROW()-ROW(Payslip_Lookup[#Headers])))</f>
        <v/>
      </c>
      <c r="S135" s="176" t="str">
        <f aca="false">IF(INDEX(Salary_Calculation[Source Row],ROW()-ROW(Payslip_Lookup[#Headers]))="","",INDEX(Salary_Calculation[Basic Salary for Target],ROW()-ROW(Payslip_Lookup[#Headers])))</f>
        <v/>
      </c>
      <c r="T135" s="176" t="str">
        <f aca="false">IF(INDEX(Salary_Calculation[Source Row],ROW()-ROW(Payslip_Lookup[#Headers]))="","",INDEX(Salary_Calculation[Gross Salary Before Deductions],ROW()-ROW(Payslip_Lookup[#Headers])))</f>
        <v/>
      </c>
      <c r="U135" s="176" t="str">
        <f aca="false">IF(INDEX(Salary_Calculation[Source Row],ROW()-ROW(Payslip_Lookup[#Headers]))="","",INDEX(Salary_Calculation[missed_days_penalty],ROW()-ROW(Payslip_Lookup[#Headers])))</f>
        <v/>
      </c>
      <c r="V135" s="176" t="str">
        <f aca="false">IF(INDEX(Salary_Calculation[Source Row],ROW()-ROW(Payslip_Lookup[#Headers]))="","",INDEX(Salary_Calculation[Rider Balance],ROW()-ROW(Payslip_Lookup[#Headers])))</f>
        <v/>
      </c>
      <c r="W135" s="176" t="str">
        <f aca="false">IF(INDEX(Salary_Calculation[Source Row],ROW()-ROW(Payslip_Lookup[#Headers]))="","",INDEX(Salary_Calculation[stacking_deduction],ROW()-ROW(Payslip_Lookup[#Headers])))</f>
        <v/>
      </c>
      <c r="X135" s="176" t="str">
        <f aca="false">IF(INDEX(Salary_Calculation[Source Row],ROW()-ROW(Payslip_Lookup[#Headers]))="","",INDEX(Salary_Calculation[Other Deductions],ROW()-ROW(Payslip_Lookup[#Headers])))</f>
        <v/>
      </c>
      <c r="Y135" s="176" t="str">
        <f aca="false">IF(INDEX(Salary_Calculation[Source Row],ROW()-ROW(Payslip_Lookup[#Headers]))="","",INDEX(Salary_Calculation[Total Deductions],ROW()-ROW(Payslip_Lookup[#Headers])))</f>
        <v/>
      </c>
      <c r="Z135" s="176" t="str">
        <f aca="false">IF(INDEX(Salary_Calculation[Source Row],ROW()-ROW(Payslip_Lookup[#Headers]))="","",INDEX(Salary_Calculation[Final Salary],ROW()-ROW(Payslip_Lookup[#Headers])))</f>
        <v/>
      </c>
      <c r="AA135" s="176" t="str">
        <f aca="false">IF(INDEX(Salary_Calculation[Source Row],ROW()-ROW(Payslip_Lookup[#Headers]))="","",INDEX(Salary_Calculation[Negative Balance / Amount Due from Rider],ROW()-ROW(Payslip_Lookup[#Headers])))</f>
        <v/>
      </c>
      <c r="AB135" s="176" t="str">
        <f aca="false">IF(INDEX(Salary_Calculation[Source Row],ROW()-ROW(Payslip_Lookup[#Headers]))="","",INDEX(Salary_Calculation[Total Amount Due from Rider],ROW()-ROW(Payslip_Lookup[#Headers])))</f>
        <v/>
      </c>
      <c r="AC135" s="176" t="str">
        <f aca="false">IF(INDEX(Salary_Calculation[Source Row],ROW()-ROW(Payslip_Lookup[#Headers]))="","",INDEX(Salary_Calculation[Salary Before Other Deductions],ROW()-ROW(Payslip_Lookup[#Headers])))</f>
        <v/>
      </c>
      <c r="AD135" s="171" t="str">
        <f aca="false">IF(INDEX(Salary_Calculation[Source Row],ROW()-ROW(Payslip_Lookup[#Headers]))="","",INDEX(Salary_Calculation[Payment Status],ROW()-ROW(Payslip_Lookup[#Headers])))</f>
        <v/>
      </c>
      <c r="AE135" s="171" t="str">
        <f aca="false">IF(INDEX(Salary_Calculation[Source Row],ROW()-ROW(Payslip_Lookup[#Headers]))="","",INDEX(Salary_Calculation[Notes],ROW()-ROW(Payslip_Lookup[#Headers])))</f>
        <v/>
      </c>
      <c r="AF135" s="171" t="str">
        <f aca="false">IF(INDEX(Salary_Calculation[Source Row],ROW()-ROW(Payslip_Lookup[#Headers]))="","",INDEX(Salary_Calculation[Exception Reason],ROW()-ROW(Payslip_Lookup[#Headers])))</f>
        <v/>
      </c>
      <c r="AG135" s="173" t="str">
        <f aca="false">IF($AD135="Review Required",COUNTIF(AD$2:AD135,"Review Required"),"")</f>
        <v/>
      </c>
      <c r="AH135" s="173" t="str">
        <f aca="false">IF(AND($D135&lt;&gt;"",$B135=Payslip_Print!$C$2),MAX(AH$1:AH134)+1,"")</f>
        <v/>
      </c>
      <c r="AL135" s="178" t="str">
        <f aca="false">IFERROR(INDEX($D$2:$D$501,MATCH(ROW()-1,$AH$2:$AH$501,0)),"")</f>
        <v/>
      </c>
      <c r="AM135" s="179" t="str">
        <f aca="false">IF($Z135="","",IF(AND($C135&gt;=Dash_Start,$C135&lt;Dash_End),$Z135+ROW()/10000000,""))</f>
        <v/>
      </c>
    </row>
    <row r="136" customFormat="false" ht="14.25" hidden="false" customHeight="false" outlineLevel="0" collapsed="false">
      <c r="A136" s="171" t="str">
        <f aca="false">IF(Payslip_Lookup[[#This Row],[Rider ID]]="","",Payslip_Lookup[[#This Row],[Rider ID]]&amp;"|"&amp;Payslip_Lookup[[#This Row],[Month Key]])</f>
        <v/>
      </c>
      <c r="B136" s="172" t="str">
        <f aca="false">IF(ISNUMBER(Payslip_Lookup[[#This Row],[Salary Month]]),DATE(YEAR(Payslip_Lookup[[#This Row],[Salary Month]]),MONTH(Payslip_Lookup[[#This Row],[Salary Month]]),1),"")</f>
        <v/>
      </c>
      <c r="C136" s="172" t="str">
        <f aca="false">IF(INDEX(Salary_Calculation[Source Row],ROW()-ROW(Payslip_Lookup[#Headers]))="","",INDEX(Salary_Calculation[Salary Month],ROW()-ROW(Payslip_Lookup[#Headers])))</f>
        <v/>
      </c>
      <c r="D136" s="173" t="str">
        <f aca="false">IF(INDEX(Salary_Calculation[Source Row],ROW()-ROW(Payslip_Lookup[#Headers]))="","",INDEX(Salary_Calculation[Rider ID],ROW()-ROW(Payslip_Lookup[#Headers])))</f>
        <v/>
      </c>
      <c r="E136" s="171" t="str">
        <f aca="false">IF(INDEX(Salary_Calculation[Source Row],ROW()-ROW(Payslip_Lookup[#Headers]))="","",INDEX(Salary_Calculation[Rider Name],ROW()-ROW(Payslip_Lookup[#Headers])))</f>
        <v/>
      </c>
      <c r="F136" s="173" t="str">
        <f aca="false">IF(INDEX(Salary_Calculation[Source Row],ROW()-ROW(Payslip_Lookup[#Headers]))="","",INDEX(Salary_Calculation[Working Days],ROW()-ROW(Payslip_Lookup[#Headers])))</f>
        <v/>
      </c>
      <c r="G136" s="173" t="str">
        <f aca="false">IF(INDEX(Salary_Calculation[Source Row],ROW()-ROW(Payslip_Lookup[#Headers]))="","",INDEX(Salary_Calculation[Calendar Days],ROW()-ROW(Payslip_Lookup[#Headers])))</f>
        <v/>
      </c>
      <c r="H136" s="174" t="str">
        <f aca="false">IF(INDEX(Salary_Calculation[Source Row],ROW()-ROW(Payslip_Lookup[#Headers]))="","",INDEX(Salary_Calculation[Monthly Target Orders],ROW()-ROW(Payslip_Lookup[#Headers])))</f>
        <v/>
      </c>
      <c r="I136" s="174" t="str">
        <f aca="false">IF(INDEX(Salary_Calculation[Source Row],ROW()-ROW(Payslip_Lookup[#Headers]))="","",INDEX(Salary_Calculation[Rider Target Orders],ROW()-ROW(Payslip_Lookup[#Headers])))</f>
        <v/>
      </c>
      <c r="J136" s="175" t="str">
        <f aca="false">IF(INDEX(Salary_Calculation[Source Row],ROW()-ROW(Payslip_Lookup[#Headers]))="","",INDEX(Salary_Calculation[Completed Orders],ROW()-ROW(Payslip_Lookup[#Headers])))</f>
        <v/>
      </c>
      <c r="K136" s="174" t="str">
        <f aca="false">IF(INDEX(Salary_Calculation[Source Row],ROW()-ROW(Payslip_Lookup[#Headers]))="","",INDEX(Salary_Calculation[Base Order Rate],ROW()-ROW(Payslip_Lookup[#Headers])))</f>
        <v/>
      </c>
      <c r="L136" s="176" t="str">
        <f aca="false">IF(INDEX(Salary_Calculation[Source Row],ROW()-ROW(Payslip_Lookup[#Headers]))="","",INDEX(Salary_Calculation[Basic Payment],ROW()-ROW(Payslip_Lookup[#Headers])))</f>
        <v/>
      </c>
      <c r="M136" s="176" t="str">
        <f aca="false">IF(INDEX(Salary_Calculation[Source Row],ROW()-ROW(Payslip_Lookup[#Headers]))="","",INDEX(Salary_Calculation[Earned Salary],ROW()-ROW(Payslip_Lookup[#Headers])))</f>
        <v/>
      </c>
      <c r="N136" s="174" t="str">
        <f aca="false">IF(INDEX(Salary_Calculation[Source Row],ROW()-ROW(Payslip_Lookup[#Headers]))="","",INDEX(Salary_Calculation[Orders Counted at Base Rate],ROW()-ROW(Payslip_Lookup[#Headers])))</f>
        <v/>
      </c>
      <c r="O136" s="174" t="str">
        <f aca="false">IF(INDEX(Salary_Calculation[Source Row],ROW()-ROW(Payslip_Lookup[#Headers]))="","",INDEX(Salary_Calculation[Missing Orders],ROW()-ROW(Payslip_Lookup[#Headers])))</f>
        <v/>
      </c>
      <c r="P136" s="176" t="str">
        <f aca="false">IF(INDEX(Salary_Calculation[Source Row],ROW()-ROW(Payslip_Lookup[#Headers]))="","",INDEX(Salary_Calculation[Missing-Order Deduction],ROW()-ROW(Payslip_Lookup[#Headers])))</f>
        <v/>
      </c>
      <c r="Q136" s="174" t="str">
        <f aca="false">IF(INDEX(Salary_Calculation[Source Row],ROW()-ROW(Payslip_Lookup[#Headers]))="","",INDEX(Salary_Calculation[Extra Orders],ROW()-ROW(Payslip_Lookup[#Headers])))</f>
        <v/>
      </c>
      <c r="R136" s="176" t="str">
        <f aca="false">IF(INDEX(Salary_Calculation[Source Row],ROW()-ROW(Payslip_Lookup[#Headers]))="","",INDEX(Salary_Calculation[Extra-Order Bonus],ROW()-ROW(Payslip_Lookup[#Headers])))</f>
        <v/>
      </c>
      <c r="S136" s="176" t="str">
        <f aca="false">IF(INDEX(Salary_Calculation[Source Row],ROW()-ROW(Payslip_Lookup[#Headers]))="","",INDEX(Salary_Calculation[Basic Salary for Target],ROW()-ROW(Payslip_Lookup[#Headers])))</f>
        <v/>
      </c>
      <c r="T136" s="176" t="str">
        <f aca="false">IF(INDEX(Salary_Calculation[Source Row],ROW()-ROW(Payslip_Lookup[#Headers]))="","",INDEX(Salary_Calculation[Gross Salary Before Deductions],ROW()-ROW(Payslip_Lookup[#Headers])))</f>
        <v/>
      </c>
      <c r="U136" s="176" t="str">
        <f aca="false">IF(INDEX(Salary_Calculation[Source Row],ROW()-ROW(Payslip_Lookup[#Headers]))="","",INDEX(Salary_Calculation[missed_days_penalty],ROW()-ROW(Payslip_Lookup[#Headers])))</f>
        <v/>
      </c>
      <c r="V136" s="176" t="str">
        <f aca="false">IF(INDEX(Salary_Calculation[Source Row],ROW()-ROW(Payslip_Lookup[#Headers]))="","",INDEX(Salary_Calculation[Rider Balance],ROW()-ROW(Payslip_Lookup[#Headers])))</f>
        <v/>
      </c>
      <c r="W136" s="176" t="str">
        <f aca="false">IF(INDEX(Salary_Calculation[Source Row],ROW()-ROW(Payslip_Lookup[#Headers]))="","",INDEX(Salary_Calculation[stacking_deduction],ROW()-ROW(Payslip_Lookup[#Headers])))</f>
        <v/>
      </c>
      <c r="X136" s="176" t="str">
        <f aca="false">IF(INDEX(Salary_Calculation[Source Row],ROW()-ROW(Payslip_Lookup[#Headers]))="","",INDEX(Salary_Calculation[Other Deductions],ROW()-ROW(Payslip_Lookup[#Headers])))</f>
        <v/>
      </c>
      <c r="Y136" s="176" t="str">
        <f aca="false">IF(INDEX(Salary_Calculation[Source Row],ROW()-ROW(Payslip_Lookup[#Headers]))="","",INDEX(Salary_Calculation[Total Deductions],ROW()-ROW(Payslip_Lookup[#Headers])))</f>
        <v/>
      </c>
      <c r="Z136" s="176" t="str">
        <f aca="false">IF(INDEX(Salary_Calculation[Source Row],ROW()-ROW(Payslip_Lookup[#Headers]))="","",INDEX(Salary_Calculation[Final Salary],ROW()-ROW(Payslip_Lookup[#Headers])))</f>
        <v/>
      </c>
      <c r="AA136" s="176" t="str">
        <f aca="false">IF(INDEX(Salary_Calculation[Source Row],ROW()-ROW(Payslip_Lookup[#Headers]))="","",INDEX(Salary_Calculation[Negative Balance / Amount Due from Rider],ROW()-ROW(Payslip_Lookup[#Headers])))</f>
        <v/>
      </c>
      <c r="AB136" s="176" t="str">
        <f aca="false">IF(INDEX(Salary_Calculation[Source Row],ROW()-ROW(Payslip_Lookup[#Headers]))="","",INDEX(Salary_Calculation[Total Amount Due from Rider],ROW()-ROW(Payslip_Lookup[#Headers])))</f>
        <v/>
      </c>
      <c r="AC136" s="176" t="str">
        <f aca="false">IF(INDEX(Salary_Calculation[Source Row],ROW()-ROW(Payslip_Lookup[#Headers]))="","",INDEX(Salary_Calculation[Salary Before Other Deductions],ROW()-ROW(Payslip_Lookup[#Headers])))</f>
        <v/>
      </c>
      <c r="AD136" s="171" t="str">
        <f aca="false">IF(INDEX(Salary_Calculation[Source Row],ROW()-ROW(Payslip_Lookup[#Headers]))="","",INDEX(Salary_Calculation[Payment Status],ROW()-ROW(Payslip_Lookup[#Headers])))</f>
        <v/>
      </c>
      <c r="AE136" s="171" t="str">
        <f aca="false">IF(INDEX(Salary_Calculation[Source Row],ROW()-ROW(Payslip_Lookup[#Headers]))="","",INDEX(Salary_Calculation[Notes],ROW()-ROW(Payslip_Lookup[#Headers])))</f>
        <v/>
      </c>
      <c r="AF136" s="171" t="str">
        <f aca="false">IF(INDEX(Salary_Calculation[Source Row],ROW()-ROW(Payslip_Lookup[#Headers]))="","",INDEX(Salary_Calculation[Exception Reason],ROW()-ROW(Payslip_Lookup[#Headers])))</f>
        <v/>
      </c>
      <c r="AG136" s="173" t="str">
        <f aca="false">IF($AD136="Review Required",COUNTIF(AD$2:AD136,"Review Required"),"")</f>
        <v/>
      </c>
      <c r="AH136" s="173" t="str">
        <f aca="false">IF(AND($D136&lt;&gt;"",$B136=Payslip_Print!$C$2),MAX(AH$1:AH135)+1,"")</f>
        <v/>
      </c>
      <c r="AL136" s="178" t="str">
        <f aca="false">IFERROR(INDEX($D$2:$D$501,MATCH(ROW()-1,$AH$2:$AH$501,0)),"")</f>
        <v/>
      </c>
      <c r="AM136" s="179" t="str">
        <f aca="false">IF($Z136="","",IF(AND($C136&gt;=Dash_Start,$C136&lt;Dash_End),$Z136+ROW()/10000000,""))</f>
        <v/>
      </c>
    </row>
    <row r="137" customFormat="false" ht="14.25" hidden="false" customHeight="false" outlineLevel="0" collapsed="false">
      <c r="A137" s="171" t="str">
        <f aca="false">IF(Payslip_Lookup[[#This Row],[Rider ID]]="","",Payslip_Lookup[[#This Row],[Rider ID]]&amp;"|"&amp;Payslip_Lookup[[#This Row],[Month Key]])</f>
        <v/>
      </c>
      <c r="B137" s="172" t="str">
        <f aca="false">IF(ISNUMBER(Payslip_Lookup[[#This Row],[Salary Month]]),DATE(YEAR(Payslip_Lookup[[#This Row],[Salary Month]]),MONTH(Payslip_Lookup[[#This Row],[Salary Month]]),1),"")</f>
        <v/>
      </c>
      <c r="C137" s="172" t="str">
        <f aca="false">IF(INDEX(Salary_Calculation[Source Row],ROW()-ROW(Payslip_Lookup[#Headers]))="","",INDEX(Salary_Calculation[Salary Month],ROW()-ROW(Payslip_Lookup[#Headers])))</f>
        <v/>
      </c>
      <c r="D137" s="173" t="str">
        <f aca="false">IF(INDEX(Salary_Calculation[Source Row],ROW()-ROW(Payslip_Lookup[#Headers]))="","",INDEX(Salary_Calculation[Rider ID],ROW()-ROW(Payslip_Lookup[#Headers])))</f>
        <v/>
      </c>
      <c r="E137" s="171" t="str">
        <f aca="false">IF(INDEX(Salary_Calculation[Source Row],ROW()-ROW(Payslip_Lookup[#Headers]))="","",INDEX(Salary_Calculation[Rider Name],ROW()-ROW(Payslip_Lookup[#Headers])))</f>
        <v/>
      </c>
      <c r="F137" s="173" t="str">
        <f aca="false">IF(INDEX(Salary_Calculation[Source Row],ROW()-ROW(Payslip_Lookup[#Headers]))="","",INDEX(Salary_Calculation[Working Days],ROW()-ROW(Payslip_Lookup[#Headers])))</f>
        <v/>
      </c>
      <c r="G137" s="173" t="str">
        <f aca="false">IF(INDEX(Salary_Calculation[Source Row],ROW()-ROW(Payslip_Lookup[#Headers]))="","",INDEX(Salary_Calculation[Calendar Days],ROW()-ROW(Payslip_Lookup[#Headers])))</f>
        <v/>
      </c>
      <c r="H137" s="174" t="str">
        <f aca="false">IF(INDEX(Salary_Calculation[Source Row],ROW()-ROW(Payslip_Lookup[#Headers]))="","",INDEX(Salary_Calculation[Monthly Target Orders],ROW()-ROW(Payslip_Lookup[#Headers])))</f>
        <v/>
      </c>
      <c r="I137" s="174" t="str">
        <f aca="false">IF(INDEX(Salary_Calculation[Source Row],ROW()-ROW(Payslip_Lookup[#Headers]))="","",INDEX(Salary_Calculation[Rider Target Orders],ROW()-ROW(Payslip_Lookup[#Headers])))</f>
        <v/>
      </c>
      <c r="J137" s="175" t="str">
        <f aca="false">IF(INDEX(Salary_Calculation[Source Row],ROW()-ROW(Payslip_Lookup[#Headers]))="","",INDEX(Salary_Calculation[Completed Orders],ROW()-ROW(Payslip_Lookup[#Headers])))</f>
        <v/>
      </c>
      <c r="K137" s="174" t="str">
        <f aca="false">IF(INDEX(Salary_Calculation[Source Row],ROW()-ROW(Payslip_Lookup[#Headers]))="","",INDEX(Salary_Calculation[Base Order Rate],ROW()-ROW(Payslip_Lookup[#Headers])))</f>
        <v/>
      </c>
      <c r="L137" s="176" t="str">
        <f aca="false">IF(INDEX(Salary_Calculation[Source Row],ROW()-ROW(Payslip_Lookup[#Headers]))="","",INDEX(Salary_Calculation[Basic Payment],ROW()-ROW(Payslip_Lookup[#Headers])))</f>
        <v/>
      </c>
      <c r="M137" s="176" t="str">
        <f aca="false">IF(INDEX(Salary_Calculation[Source Row],ROW()-ROW(Payslip_Lookup[#Headers]))="","",INDEX(Salary_Calculation[Earned Salary],ROW()-ROW(Payslip_Lookup[#Headers])))</f>
        <v/>
      </c>
      <c r="N137" s="174" t="str">
        <f aca="false">IF(INDEX(Salary_Calculation[Source Row],ROW()-ROW(Payslip_Lookup[#Headers]))="","",INDEX(Salary_Calculation[Orders Counted at Base Rate],ROW()-ROW(Payslip_Lookup[#Headers])))</f>
        <v/>
      </c>
      <c r="O137" s="174" t="str">
        <f aca="false">IF(INDEX(Salary_Calculation[Source Row],ROW()-ROW(Payslip_Lookup[#Headers]))="","",INDEX(Salary_Calculation[Missing Orders],ROW()-ROW(Payslip_Lookup[#Headers])))</f>
        <v/>
      </c>
      <c r="P137" s="176" t="str">
        <f aca="false">IF(INDEX(Salary_Calculation[Source Row],ROW()-ROW(Payslip_Lookup[#Headers]))="","",INDEX(Salary_Calculation[Missing-Order Deduction],ROW()-ROW(Payslip_Lookup[#Headers])))</f>
        <v/>
      </c>
      <c r="Q137" s="174" t="str">
        <f aca="false">IF(INDEX(Salary_Calculation[Source Row],ROW()-ROW(Payslip_Lookup[#Headers]))="","",INDEX(Salary_Calculation[Extra Orders],ROW()-ROW(Payslip_Lookup[#Headers])))</f>
        <v/>
      </c>
      <c r="R137" s="176" t="str">
        <f aca="false">IF(INDEX(Salary_Calculation[Source Row],ROW()-ROW(Payslip_Lookup[#Headers]))="","",INDEX(Salary_Calculation[Extra-Order Bonus],ROW()-ROW(Payslip_Lookup[#Headers])))</f>
        <v/>
      </c>
      <c r="S137" s="176" t="str">
        <f aca="false">IF(INDEX(Salary_Calculation[Source Row],ROW()-ROW(Payslip_Lookup[#Headers]))="","",INDEX(Salary_Calculation[Basic Salary for Target],ROW()-ROW(Payslip_Lookup[#Headers])))</f>
        <v/>
      </c>
      <c r="T137" s="176" t="str">
        <f aca="false">IF(INDEX(Salary_Calculation[Source Row],ROW()-ROW(Payslip_Lookup[#Headers]))="","",INDEX(Salary_Calculation[Gross Salary Before Deductions],ROW()-ROW(Payslip_Lookup[#Headers])))</f>
        <v/>
      </c>
      <c r="U137" s="176" t="str">
        <f aca="false">IF(INDEX(Salary_Calculation[Source Row],ROW()-ROW(Payslip_Lookup[#Headers]))="","",INDEX(Salary_Calculation[missed_days_penalty],ROW()-ROW(Payslip_Lookup[#Headers])))</f>
        <v/>
      </c>
      <c r="V137" s="176" t="str">
        <f aca="false">IF(INDEX(Salary_Calculation[Source Row],ROW()-ROW(Payslip_Lookup[#Headers]))="","",INDEX(Salary_Calculation[Rider Balance],ROW()-ROW(Payslip_Lookup[#Headers])))</f>
        <v/>
      </c>
      <c r="W137" s="176" t="str">
        <f aca="false">IF(INDEX(Salary_Calculation[Source Row],ROW()-ROW(Payslip_Lookup[#Headers]))="","",INDEX(Salary_Calculation[stacking_deduction],ROW()-ROW(Payslip_Lookup[#Headers])))</f>
        <v/>
      </c>
      <c r="X137" s="176" t="str">
        <f aca="false">IF(INDEX(Salary_Calculation[Source Row],ROW()-ROW(Payslip_Lookup[#Headers]))="","",INDEX(Salary_Calculation[Other Deductions],ROW()-ROW(Payslip_Lookup[#Headers])))</f>
        <v/>
      </c>
      <c r="Y137" s="176" t="str">
        <f aca="false">IF(INDEX(Salary_Calculation[Source Row],ROW()-ROW(Payslip_Lookup[#Headers]))="","",INDEX(Salary_Calculation[Total Deductions],ROW()-ROW(Payslip_Lookup[#Headers])))</f>
        <v/>
      </c>
      <c r="Z137" s="176" t="str">
        <f aca="false">IF(INDEX(Salary_Calculation[Source Row],ROW()-ROW(Payslip_Lookup[#Headers]))="","",INDEX(Salary_Calculation[Final Salary],ROW()-ROW(Payslip_Lookup[#Headers])))</f>
        <v/>
      </c>
      <c r="AA137" s="176" t="str">
        <f aca="false">IF(INDEX(Salary_Calculation[Source Row],ROW()-ROW(Payslip_Lookup[#Headers]))="","",INDEX(Salary_Calculation[Negative Balance / Amount Due from Rider],ROW()-ROW(Payslip_Lookup[#Headers])))</f>
        <v/>
      </c>
      <c r="AB137" s="176" t="str">
        <f aca="false">IF(INDEX(Salary_Calculation[Source Row],ROW()-ROW(Payslip_Lookup[#Headers]))="","",INDEX(Salary_Calculation[Total Amount Due from Rider],ROW()-ROW(Payslip_Lookup[#Headers])))</f>
        <v/>
      </c>
      <c r="AC137" s="176" t="str">
        <f aca="false">IF(INDEX(Salary_Calculation[Source Row],ROW()-ROW(Payslip_Lookup[#Headers]))="","",INDEX(Salary_Calculation[Salary Before Other Deductions],ROW()-ROW(Payslip_Lookup[#Headers])))</f>
        <v/>
      </c>
      <c r="AD137" s="171" t="str">
        <f aca="false">IF(INDEX(Salary_Calculation[Source Row],ROW()-ROW(Payslip_Lookup[#Headers]))="","",INDEX(Salary_Calculation[Payment Status],ROW()-ROW(Payslip_Lookup[#Headers])))</f>
        <v/>
      </c>
      <c r="AE137" s="171" t="str">
        <f aca="false">IF(INDEX(Salary_Calculation[Source Row],ROW()-ROW(Payslip_Lookup[#Headers]))="","",INDEX(Salary_Calculation[Notes],ROW()-ROW(Payslip_Lookup[#Headers])))</f>
        <v/>
      </c>
      <c r="AF137" s="171" t="str">
        <f aca="false">IF(INDEX(Salary_Calculation[Source Row],ROW()-ROW(Payslip_Lookup[#Headers]))="","",INDEX(Salary_Calculation[Exception Reason],ROW()-ROW(Payslip_Lookup[#Headers])))</f>
        <v/>
      </c>
      <c r="AG137" s="173" t="str">
        <f aca="false">IF($AD137="Review Required",COUNTIF(AD$2:AD137,"Review Required"),"")</f>
        <v/>
      </c>
      <c r="AH137" s="173" t="str">
        <f aca="false">IF(AND($D137&lt;&gt;"",$B137=Payslip_Print!$C$2),MAX(AH$1:AH136)+1,"")</f>
        <v/>
      </c>
      <c r="AL137" s="178" t="str">
        <f aca="false">IFERROR(INDEX($D$2:$D$501,MATCH(ROW()-1,$AH$2:$AH$501,0)),"")</f>
        <v/>
      </c>
      <c r="AM137" s="179" t="str">
        <f aca="false">IF($Z137="","",IF(AND($C137&gt;=Dash_Start,$C137&lt;Dash_End),$Z137+ROW()/10000000,""))</f>
        <v/>
      </c>
    </row>
    <row r="138" customFormat="false" ht="14.25" hidden="false" customHeight="false" outlineLevel="0" collapsed="false">
      <c r="A138" s="171" t="str">
        <f aca="false">IF(Payslip_Lookup[[#This Row],[Rider ID]]="","",Payslip_Lookup[[#This Row],[Rider ID]]&amp;"|"&amp;Payslip_Lookup[[#This Row],[Month Key]])</f>
        <v/>
      </c>
      <c r="B138" s="172" t="str">
        <f aca="false">IF(ISNUMBER(Payslip_Lookup[[#This Row],[Salary Month]]),DATE(YEAR(Payslip_Lookup[[#This Row],[Salary Month]]),MONTH(Payslip_Lookup[[#This Row],[Salary Month]]),1),"")</f>
        <v/>
      </c>
      <c r="C138" s="172" t="str">
        <f aca="false">IF(INDEX(Salary_Calculation[Source Row],ROW()-ROW(Payslip_Lookup[#Headers]))="","",INDEX(Salary_Calculation[Salary Month],ROW()-ROW(Payslip_Lookup[#Headers])))</f>
        <v/>
      </c>
      <c r="D138" s="173" t="str">
        <f aca="false">IF(INDEX(Salary_Calculation[Source Row],ROW()-ROW(Payslip_Lookup[#Headers]))="","",INDEX(Salary_Calculation[Rider ID],ROW()-ROW(Payslip_Lookup[#Headers])))</f>
        <v/>
      </c>
      <c r="E138" s="171" t="str">
        <f aca="false">IF(INDEX(Salary_Calculation[Source Row],ROW()-ROW(Payslip_Lookup[#Headers]))="","",INDEX(Salary_Calculation[Rider Name],ROW()-ROW(Payslip_Lookup[#Headers])))</f>
        <v/>
      </c>
      <c r="F138" s="173" t="str">
        <f aca="false">IF(INDEX(Salary_Calculation[Source Row],ROW()-ROW(Payslip_Lookup[#Headers]))="","",INDEX(Salary_Calculation[Working Days],ROW()-ROW(Payslip_Lookup[#Headers])))</f>
        <v/>
      </c>
      <c r="G138" s="173" t="str">
        <f aca="false">IF(INDEX(Salary_Calculation[Source Row],ROW()-ROW(Payslip_Lookup[#Headers]))="","",INDEX(Salary_Calculation[Calendar Days],ROW()-ROW(Payslip_Lookup[#Headers])))</f>
        <v/>
      </c>
      <c r="H138" s="174" t="str">
        <f aca="false">IF(INDEX(Salary_Calculation[Source Row],ROW()-ROW(Payslip_Lookup[#Headers]))="","",INDEX(Salary_Calculation[Monthly Target Orders],ROW()-ROW(Payslip_Lookup[#Headers])))</f>
        <v/>
      </c>
      <c r="I138" s="174" t="str">
        <f aca="false">IF(INDEX(Salary_Calculation[Source Row],ROW()-ROW(Payslip_Lookup[#Headers]))="","",INDEX(Salary_Calculation[Rider Target Orders],ROW()-ROW(Payslip_Lookup[#Headers])))</f>
        <v/>
      </c>
      <c r="J138" s="175" t="str">
        <f aca="false">IF(INDEX(Salary_Calculation[Source Row],ROW()-ROW(Payslip_Lookup[#Headers]))="","",INDEX(Salary_Calculation[Completed Orders],ROW()-ROW(Payslip_Lookup[#Headers])))</f>
        <v/>
      </c>
      <c r="K138" s="174" t="str">
        <f aca="false">IF(INDEX(Salary_Calculation[Source Row],ROW()-ROW(Payslip_Lookup[#Headers]))="","",INDEX(Salary_Calculation[Base Order Rate],ROW()-ROW(Payslip_Lookup[#Headers])))</f>
        <v/>
      </c>
      <c r="L138" s="176" t="str">
        <f aca="false">IF(INDEX(Salary_Calculation[Source Row],ROW()-ROW(Payslip_Lookup[#Headers]))="","",INDEX(Salary_Calculation[Basic Payment],ROW()-ROW(Payslip_Lookup[#Headers])))</f>
        <v/>
      </c>
      <c r="M138" s="176" t="str">
        <f aca="false">IF(INDEX(Salary_Calculation[Source Row],ROW()-ROW(Payslip_Lookup[#Headers]))="","",INDEX(Salary_Calculation[Earned Salary],ROW()-ROW(Payslip_Lookup[#Headers])))</f>
        <v/>
      </c>
      <c r="N138" s="174" t="str">
        <f aca="false">IF(INDEX(Salary_Calculation[Source Row],ROW()-ROW(Payslip_Lookup[#Headers]))="","",INDEX(Salary_Calculation[Orders Counted at Base Rate],ROW()-ROW(Payslip_Lookup[#Headers])))</f>
        <v/>
      </c>
      <c r="O138" s="174" t="str">
        <f aca="false">IF(INDEX(Salary_Calculation[Source Row],ROW()-ROW(Payslip_Lookup[#Headers]))="","",INDEX(Salary_Calculation[Missing Orders],ROW()-ROW(Payslip_Lookup[#Headers])))</f>
        <v/>
      </c>
      <c r="P138" s="176" t="str">
        <f aca="false">IF(INDEX(Salary_Calculation[Source Row],ROW()-ROW(Payslip_Lookup[#Headers]))="","",INDEX(Salary_Calculation[Missing-Order Deduction],ROW()-ROW(Payslip_Lookup[#Headers])))</f>
        <v/>
      </c>
      <c r="Q138" s="174" t="str">
        <f aca="false">IF(INDEX(Salary_Calculation[Source Row],ROW()-ROW(Payslip_Lookup[#Headers]))="","",INDEX(Salary_Calculation[Extra Orders],ROW()-ROW(Payslip_Lookup[#Headers])))</f>
        <v/>
      </c>
      <c r="R138" s="176" t="str">
        <f aca="false">IF(INDEX(Salary_Calculation[Source Row],ROW()-ROW(Payslip_Lookup[#Headers]))="","",INDEX(Salary_Calculation[Extra-Order Bonus],ROW()-ROW(Payslip_Lookup[#Headers])))</f>
        <v/>
      </c>
      <c r="S138" s="176" t="str">
        <f aca="false">IF(INDEX(Salary_Calculation[Source Row],ROW()-ROW(Payslip_Lookup[#Headers]))="","",INDEX(Salary_Calculation[Basic Salary for Target],ROW()-ROW(Payslip_Lookup[#Headers])))</f>
        <v/>
      </c>
      <c r="T138" s="176" t="str">
        <f aca="false">IF(INDEX(Salary_Calculation[Source Row],ROW()-ROW(Payslip_Lookup[#Headers]))="","",INDEX(Salary_Calculation[Gross Salary Before Deductions],ROW()-ROW(Payslip_Lookup[#Headers])))</f>
        <v/>
      </c>
      <c r="U138" s="176" t="str">
        <f aca="false">IF(INDEX(Salary_Calculation[Source Row],ROW()-ROW(Payslip_Lookup[#Headers]))="","",INDEX(Salary_Calculation[missed_days_penalty],ROW()-ROW(Payslip_Lookup[#Headers])))</f>
        <v/>
      </c>
      <c r="V138" s="176" t="str">
        <f aca="false">IF(INDEX(Salary_Calculation[Source Row],ROW()-ROW(Payslip_Lookup[#Headers]))="","",INDEX(Salary_Calculation[Rider Balance],ROW()-ROW(Payslip_Lookup[#Headers])))</f>
        <v/>
      </c>
      <c r="W138" s="176" t="str">
        <f aca="false">IF(INDEX(Salary_Calculation[Source Row],ROW()-ROW(Payslip_Lookup[#Headers]))="","",INDEX(Salary_Calculation[stacking_deduction],ROW()-ROW(Payslip_Lookup[#Headers])))</f>
        <v/>
      </c>
      <c r="X138" s="176" t="str">
        <f aca="false">IF(INDEX(Salary_Calculation[Source Row],ROW()-ROW(Payslip_Lookup[#Headers]))="","",INDEX(Salary_Calculation[Other Deductions],ROW()-ROW(Payslip_Lookup[#Headers])))</f>
        <v/>
      </c>
      <c r="Y138" s="176" t="str">
        <f aca="false">IF(INDEX(Salary_Calculation[Source Row],ROW()-ROW(Payslip_Lookup[#Headers]))="","",INDEX(Salary_Calculation[Total Deductions],ROW()-ROW(Payslip_Lookup[#Headers])))</f>
        <v/>
      </c>
      <c r="Z138" s="176" t="str">
        <f aca="false">IF(INDEX(Salary_Calculation[Source Row],ROW()-ROW(Payslip_Lookup[#Headers]))="","",INDEX(Salary_Calculation[Final Salary],ROW()-ROW(Payslip_Lookup[#Headers])))</f>
        <v/>
      </c>
      <c r="AA138" s="176" t="str">
        <f aca="false">IF(INDEX(Salary_Calculation[Source Row],ROW()-ROW(Payslip_Lookup[#Headers]))="","",INDEX(Salary_Calculation[Negative Balance / Amount Due from Rider],ROW()-ROW(Payslip_Lookup[#Headers])))</f>
        <v/>
      </c>
      <c r="AB138" s="176" t="str">
        <f aca="false">IF(INDEX(Salary_Calculation[Source Row],ROW()-ROW(Payslip_Lookup[#Headers]))="","",INDEX(Salary_Calculation[Total Amount Due from Rider],ROW()-ROW(Payslip_Lookup[#Headers])))</f>
        <v/>
      </c>
      <c r="AC138" s="176" t="str">
        <f aca="false">IF(INDEX(Salary_Calculation[Source Row],ROW()-ROW(Payslip_Lookup[#Headers]))="","",INDEX(Salary_Calculation[Salary Before Other Deductions],ROW()-ROW(Payslip_Lookup[#Headers])))</f>
        <v/>
      </c>
      <c r="AD138" s="171" t="str">
        <f aca="false">IF(INDEX(Salary_Calculation[Source Row],ROW()-ROW(Payslip_Lookup[#Headers]))="","",INDEX(Salary_Calculation[Payment Status],ROW()-ROW(Payslip_Lookup[#Headers])))</f>
        <v/>
      </c>
      <c r="AE138" s="171" t="str">
        <f aca="false">IF(INDEX(Salary_Calculation[Source Row],ROW()-ROW(Payslip_Lookup[#Headers]))="","",INDEX(Salary_Calculation[Notes],ROW()-ROW(Payslip_Lookup[#Headers])))</f>
        <v/>
      </c>
      <c r="AF138" s="171" t="str">
        <f aca="false">IF(INDEX(Salary_Calculation[Source Row],ROW()-ROW(Payslip_Lookup[#Headers]))="","",INDEX(Salary_Calculation[Exception Reason],ROW()-ROW(Payslip_Lookup[#Headers])))</f>
        <v/>
      </c>
      <c r="AG138" s="173" t="str">
        <f aca="false">IF($AD138="Review Required",COUNTIF(AD$2:AD138,"Review Required"),"")</f>
        <v/>
      </c>
      <c r="AH138" s="173" t="str">
        <f aca="false">IF(AND($D138&lt;&gt;"",$B138=Payslip_Print!$C$2),MAX(AH$1:AH137)+1,"")</f>
        <v/>
      </c>
      <c r="AL138" s="178" t="str">
        <f aca="false">IFERROR(INDEX($D$2:$D$501,MATCH(ROW()-1,$AH$2:$AH$501,0)),"")</f>
        <v/>
      </c>
      <c r="AM138" s="179" t="str">
        <f aca="false">IF($Z138="","",IF(AND($C138&gt;=Dash_Start,$C138&lt;Dash_End),$Z138+ROW()/10000000,""))</f>
        <v/>
      </c>
    </row>
    <row r="139" customFormat="false" ht="14.25" hidden="false" customHeight="false" outlineLevel="0" collapsed="false">
      <c r="A139" s="171" t="str">
        <f aca="false">IF(Payslip_Lookup[[#This Row],[Rider ID]]="","",Payslip_Lookup[[#This Row],[Rider ID]]&amp;"|"&amp;Payslip_Lookup[[#This Row],[Month Key]])</f>
        <v/>
      </c>
      <c r="B139" s="172" t="str">
        <f aca="false">IF(ISNUMBER(Payslip_Lookup[[#This Row],[Salary Month]]),DATE(YEAR(Payslip_Lookup[[#This Row],[Salary Month]]),MONTH(Payslip_Lookup[[#This Row],[Salary Month]]),1),"")</f>
        <v/>
      </c>
      <c r="C139" s="172" t="str">
        <f aca="false">IF(INDEX(Salary_Calculation[Source Row],ROW()-ROW(Payslip_Lookup[#Headers]))="","",INDEX(Salary_Calculation[Salary Month],ROW()-ROW(Payslip_Lookup[#Headers])))</f>
        <v/>
      </c>
      <c r="D139" s="173" t="str">
        <f aca="false">IF(INDEX(Salary_Calculation[Source Row],ROW()-ROW(Payslip_Lookup[#Headers]))="","",INDEX(Salary_Calculation[Rider ID],ROW()-ROW(Payslip_Lookup[#Headers])))</f>
        <v/>
      </c>
      <c r="E139" s="171" t="str">
        <f aca="false">IF(INDEX(Salary_Calculation[Source Row],ROW()-ROW(Payslip_Lookup[#Headers]))="","",INDEX(Salary_Calculation[Rider Name],ROW()-ROW(Payslip_Lookup[#Headers])))</f>
        <v/>
      </c>
      <c r="F139" s="173" t="str">
        <f aca="false">IF(INDEX(Salary_Calculation[Source Row],ROW()-ROW(Payslip_Lookup[#Headers]))="","",INDEX(Salary_Calculation[Working Days],ROW()-ROW(Payslip_Lookup[#Headers])))</f>
        <v/>
      </c>
      <c r="G139" s="173" t="str">
        <f aca="false">IF(INDEX(Salary_Calculation[Source Row],ROW()-ROW(Payslip_Lookup[#Headers]))="","",INDEX(Salary_Calculation[Calendar Days],ROW()-ROW(Payslip_Lookup[#Headers])))</f>
        <v/>
      </c>
      <c r="H139" s="174" t="str">
        <f aca="false">IF(INDEX(Salary_Calculation[Source Row],ROW()-ROW(Payslip_Lookup[#Headers]))="","",INDEX(Salary_Calculation[Monthly Target Orders],ROW()-ROW(Payslip_Lookup[#Headers])))</f>
        <v/>
      </c>
      <c r="I139" s="174" t="str">
        <f aca="false">IF(INDEX(Salary_Calculation[Source Row],ROW()-ROW(Payslip_Lookup[#Headers]))="","",INDEX(Salary_Calculation[Rider Target Orders],ROW()-ROW(Payslip_Lookup[#Headers])))</f>
        <v/>
      </c>
      <c r="J139" s="175" t="str">
        <f aca="false">IF(INDEX(Salary_Calculation[Source Row],ROW()-ROW(Payslip_Lookup[#Headers]))="","",INDEX(Salary_Calculation[Completed Orders],ROW()-ROW(Payslip_Lookup[#Headers])))</f>
        <v/>
      </c>
      <c r="K139" s="174" t="str">
        <f aca="false">IF(INDEX(Salary_Calculation[Source Row],ROW()-ROW(Payslip_Lookup[#Headers]))="","",INDEX(Salary_Calculation[Base Order Rate],ROW()-ROW(Payslip_Lookup[#Headers])))</f>
        <v/>
      </c>
      <c r="L139" s="176" t="str">
        <f aca="false">IF(INDEX(Salary_Calculation[Source Row],ROW()-ROW(Payslip_Lookup[#Headers]))="","",INDEX(Salary_Calculation[Basic Payment],ROW()-ROW(Payslip_Lookup[#Headers])))</f>
        <v/>
      </c>
      <c r="M139" s="176" t="str">
        <f aca="false">IF(INDEX(Salary_Calculation[Source Row],ROW()-ROW(Payslip_Lookup[#Headers]))="","",INDEX(Salary_Calculation[Earned Salary],ROW()-ROW(Payslip_Lookup[#Headers])))</f>
        <v/>
      </c>
      <c r="N139" s="174" t="str">
        <f aca="false">IF(INDEX(Salary_Calculation[Source Row],ROW()-ROW(Payslip_Lookup[#Headers]))="","",INDEX(Salary_Calculation[Orders Counted at Base Rate],ROW()-ROW(Payslip_Lookup[#Headers])))</f>
        <v/>
      </c>
      <c r="O139" s="174" t="str">
        <f aca="false">IF(INDEX(Salary_Calculation[Source Row],ROW()-ROW(Payslip_Lookup[#Headers]))="","",INDEX(Salary_Calculation[Missing Orders],ROW()-ROW(Payslip_Lookup[#Headers])))</f>
        <v/>
      </c>
      <c r="P139" s="176" t="str">
        <f aca="false">IF(INDEX(Salary_Calculation[Source Row],ROW()-ROW(Payslip_Lookup[#Headers]))="","",INDEX(Salary_Calculation[Missing-Order Deduction],ROW()-ROW(Payslip_Lookup[#Headers])))</f>
        <v/>
      </c>
      <c r="Q139" s="174" t="str">
        <f aca="false">IF(INDEX(Salary_Calculation[Source Row],ROW()-ROW(Payslip_Lookup[#Headers]))="","",INDEX(Salary_Calculation[Extra Orders],ROW()-ROW(Payslip_Lookup[#Headers])))</f>
        <v/>
      </c>
      <c r="R139" s="176" t="str">
        <f aca="false">IF(INDEX(Salary_Calculation[Source Row],ROW()-ROW(Payslip_Lookup[#Headers]))="","",INDEX(Salary_Calculation[Extra-Order Bonus],ROW()-ROW(Payslip_Lookup[#Headers])))</f>
        <v/>
      </c>
      <c r="S139" s="176" t="str">
        <f aca="false">IF(INDEX(Salary_Calculation[Source Row],ROW()-ROW(Payslip_Lookup[#Headers]))="","",INDEX(Salary_Calculation[Basic Salary for Target],ROW()-ROW(Payslip_Lookup[#Headers])))</f>
        <v/>
      </c>
      <c r="T139" s="176" t="str">
        <f aca="false">IF(INDEX(Salary_Calculation[Source Row],ROW()-ROW(Payslip_Lookup[#Headers]))="","",INDEX(Salary_Calculation[Gross Salary Before Deductions],ROW()-ROW(Payslip_Lookup[#Headers])))</f>
        <v/>
      </c>
      <c r="U139" s="176" t="str">
        <f aca="false">IF(INDEX(Salary_Calculation[Source Row],ROW()-ROW(Payslip_Lookup[#Headers]))="","",INDEX(Salary_Calculation[missed_days_penalty],ROW()-ROW(Payslip_Lookup[#Headers])))</f>
        <v/>
      </c>
      <c r="V139" s="176" t="str">
        <f aca="false">IF(INDEX(Salary_Calculation[Source Row],ROW()-ROW(Payslip_Lookup[#Headers]))="","",INDEX(Salary_Calculation[Rider Balance],ROW()-ROW(Payslip_Lookup[#Headers])))</f>
        <v/>
      </c>
      <c r="W139" s="176" t="str">
        <f aca="false">IF(INDEX(Salary_Calculation[Source Row],ROW()-ROW(Payslip_Lookup[#Headers]))="","",INDEX(Salary_Calculation[stacking_deduction],ROW()-ROW(Payslip_Lookup[#Headers])))</f>
        <v/>
      </c>
      <c r="X139" s="176" t="str">
        <f aca="false">IF(INDEX(Salary_Calculation[Source Row],ROW()-ROW(Payslip_Lookup[#Headers]))="","",INDEX(Salary_Calculation[Other Deductions],ROW()-ROW(Payslip_Lookup[#Headers])))</f>
        <v/>
      </c>
      <c r="Y139" s="176" t="str">
        <f aca="false">IF(INDEX(Salary_Calculation[Source Row],ROW()-ROW(Payslip_Lookup[#Headers]))="","",INDEX(Salary_Calculation[Total Deductions],ROW()-ROW(Payslip_Lookup[#Headers])))</f>
        <v/>
      </c>
      <c r="Z139" s="176" t="str">
        <f aca="false">IF(INDEX(Salary_Calculation[Source Row],ROW()-ROW(Payslip_Lookup[#Headers]))="","",INDEX(Salary_Calculation[Final Salary],ROW()-ROW(Payslip_Lookup[#Headers])))</f>
        <v/>
      </c>
      <c r="AA139" s="176" t="str">
        <f aca="false">IF(INDEX(Salary_Calculation[Source Row],ROW()-ROW(Payslip_Lookup[#Headers]))="","",INDEX(Salary_Calculation[Negative Balance / Amount Due from Rider],ROW()-ROW(Payslip_Lookup[#Headers])))</f>
        <v/>
      </c>
      <c r="AB139" s="176" t="str">
        <f aca="false">IF(INDEX(Salary_Calculation[Source Row],ROW()-ROW(Payslip_Lookup[#Headers]))="","",INDEX(Salary_Calculation[Total Amount Due from Rider],ROW()-ROW(Payslip_Lookup[#Headers])))</f>
        <v/>
      </c>
      <c r="AC139" s="176" t="str">
        <f aca="false">IF(INDEX(Salary_Calculation[Source Row],ROW()-ROW(Payslip_Lookup[#Headers]))="","",INDEX(Salary_Calculation[Salary Before Other Deductions],ROW()-ROW(Payslip_Lookup[#Headers])))</f>
        <v/>
      </c>
      <c r="AD139" s="171" t="str">
        <f aca="false">IF(INDEX(Salary_Calculation[Source Row],ROW()-ROW(Payslip_Lookup[#Headers]))="","",INDEX(Salary_Calculation[Payment Status],ROW()-ROW(Payslip_Lookup[#Headers])))</f>
        <v/>
      </c>
      <c r="AE139" s="171" t="str">
        <f aca="false">IF(INDEX(Salary_Calculation[Source Row],ROW()-ROW(Payslip_Lookup[#Headers]))="","",INDEX(Salary_Calculation[Notes],ROW()-ROW(Payslip_Lookup[#Headers])))</f>
        <v/>
      </c>
      <c r="AF139" s="171" t="str">
        <f aca="false">IF(INDEX(Salary_Calculation[Source Row],ROW()-ROW(Payslip_Lookup[#Headers]))="","",INDEX(Salary_Calculation[Exception Reason],ROW()-ROW(Payslip_Lookup[#Headers])))</f>
        <v/>
      </c>
      <c r="AG139" s="173" t="str">
        <f aca="false">IF($AD139="Review Required",COUNTIF(AD$2:AD139,"Review Required"),"")</f>
        <v/>
      </c>
      <c r="AH139" s="173" t="str">
        <f aca="false">IF(AND($D139&lt;&gt;"",$B139=Payslip_Print!$C$2),MAX(AH$1:AH138)+1,"")</f>
        <v/>
      </c>
      <c r="AL139" s="178" t="str">
        <f aca="false">IFERROR(INDEX($D$2:$D$501,MATCH(ROW()-1,$AH$2:$AH$501,0)),"")</f>
        <v/>
      </c>
      <c r="AM139" s="179" t="str">
        <f aca="false">IF($Z139="","",IF(AND($C139&gt;=Dash_Start,$C139&lt;Dash_End),$Z139+ROW()/10000000,""))</f>
        <v/>
      </c>
    </row>
    <row r="140" customFormat="false" ht="14.25" hidden="false" customHeight="false" outlineLevel="0" collapsed="false">
      <c r="A140" s="171" t="str">
        <f aca="false">IF(Payslip_Lookup[[#This Row],[Rider ID]]="","",Payslip_Lookup[[#This Row],[Rider ID]]&amp;"|"&amp;Payslip_Lookup[[#This Row],[Month Key]])</f>
        <v/>
      </c>
      <c r="B140" s="172" t="str">
        <f aca="false">IF(ISNUMBER(Payslip_Lookup[[#This Row],[Salary Month]]),DATE(YEAR(Payslip_Lookup[[#This Row],[Salary Month]]),MONTH(Payslip_Lookup[[#This Row],[Salary Month]]),1),"")</f>
        <v/>
      </c>
      <c r="C140" s="172" t="str">
        <f aca="false">IF(INDEX(Salary_Calculation[Source Row],ROW()-ROW(Payslip_Lookup[#Headers]))="","",INDEX(Salary_Calculation[Salary Month],ROW()-ROW(Payslip_Lookup[#Headers])))</f>
        <v/>
      </c>
      <c r="D140" s="173" t="str">
        <f aca="false">IF(INDEX(Salary_Calculation[Source Row],ROW()-ROW(Payslip_Lookup[#Headers]))="","",INDEX(Salary_Calculation[Rider ID],ROW()-ROW(Payslip_Lookup[#Headers])))</f>
        <v/>
      </c>
      <c r="E140" s="171" t="str">
        <f aca="false">IF(INDEX(Salary_Calculation[Source Row],ROW()-ROW(Payslip_Lookup[#Headers]))="","",INDEX(Salary_Calculation[Rider Name],ROW()-ROW(Payslip_Lookup[#Headers])))</f>
        <v/>
      </c>
      <c r="F140" s="173" t="str">
        <f aca="false">IF(INDEX(Salary_Calculation[Source Row],ROW()-ROW(Payslip_Lookup[#Headers]))="","",INDEX(Salary_Calculation[Working Days],ROW()-ROW(Payslip_Lookup[#Headers])))</f>
        <v/>
      </c>
      <c r="G140" s="173" t="str">
        <f aca="false">IF(INDEX(Salary_Calculation[Source Row],ROW()-ROW(Payslip_Lookup[#Headers]))="","",INDEX(Salary_Calculation[Calendar Days],ROW()-ROW(Payslip_Lookup[#Headers])))</f>
        <v/>
      </c>
      <c r="H140" s="174" t="str">
        <f aca="false">IF(INDEX(Salary_Calculation[Source Row],ROW()-ROW(Payslip_Lookup[#Headers]))="","",INDEX(Salary_Calculation[Monthly Target Orders],ROW()-ROW(Payslip_Lookup[#Headers])))</f>
        <v/>
      </c>
      <c r="I140" s="174" t="str">
        <f aca="false">IF(INDEX(Salary_Calculation[Source Row],ROW()-ROW(Payslip_Lookup[#Headers]))="","",INDEX(Salary_Calculation[Rider Target Orders],ROW()-ROW(Payslip_Lookup[#Headers])))</f>
        <v/>
      </c>
      <c r="J140" s="175" t="str">
        <f aca="false">IF(INDEX(Salary_Calculation[Source Row],ROW()-ROW(Payslip_Lookup[#Headers]))="","",INDEX(Salary_Calculation[Completed Orders],ROW()-ROW(Payslip_Lookup[#Headers])))</f>
        <v/>
      </c>
      <c r="K140" s="174" t="str">
        <f aca="false">IF(INDEX(Salary_Calculation[Source Row],ROW()-ROW(Payslip_Lookup[#Headers]))="","",INDEX(Salary_Calculation[Base Order Rate],ROW()-ROW(Payslip_Lookup[#Headers])))</f>
        <v/>
      </c>
      <c r="L140" s="176" t="str">
        <f aca="false">IF(INDEX(Salary_Calculation[Source Row],ROW()-ROW(Payslip_Lookup[#Headers]))="","",INDEX(Salary_Calculation[Basic Payment],ROW()-ROW(Payslip_Lookup[#Headers])))</f>
        <v/>
      </c>
      <c r="M140" s="176" t="str">
        <f aca="false">IF(INDEX(Salary_Calculation[Source Row],ROW()-ROW(Payslip_Lookup[#Headers]))="","",INDEX(Salary_Calculation[Earned Salary],ROW()-ROW(Payslip_Lookup[#Headers])))</f>
        <v/>
      </c>
      <c r="N140" s="174" t="str">
        <f aca="false">IF(INDEX(Salary_Calculation[Source Row],ROW()-ROW(Payslip_Lookup[#Headers]))="","",INDEX(Salary_Calculation[Orders Counted at Base Rate],ROW()-ROW(Payslip_Lookup[#Headers])))</f>
        <v/>
      </c>
      <c r="O140" s="174" t="str">
        <f aca="false">IF(INDEX(Salary_Calculation[Source Row],ROW()-ROW(Payslip_Lookup[#Headers]))="","",INDEX(Salary_Calculation[Missing Orders],ROW()-ROW(Payslip_Lookup[#Headers])))</f>
        <v/>
      </c>
      <c r="P140" s="176" t="str">
        <f aca="false">IF(INDEX(Salary_Calculation[Source Row],ROW()-ROW(Payslip_Lookup[#Headers]))="","",INDEX(Salary_Calculation[Missing-Order Deduction],ROW()-ROW(Payslip_Lookup[#Headers])))</f>
        <v/>
      </c>
      <c r="Q140" s="174" t="str">
        <f aca="false">IF(INDEX(Salary_Calculation[Source Row],ROW()-ROW(Payslip_Lookup[#Headers]))="","",INDEX(Salary_Calculation[Extra Orders],ROW()-ROW(Payslip_Lookup[#Headers])))</f>
        <v/>
      </c>
      <c r="R140" s="176" t="str">
        <f aca="false">IF(INDEX(Salary_Calculation[Source Row],ROW()-ROW(Payslip_Lookup[#Headers]))="","",INDEX(Salary_Calculation[Extra-Order Bonus],ROW()-ROW(Payslip_Lookup[#Headers])))</f>
        <v/>
      </c>
      <c r="S140" s="176" t="str">
        <f aca="false">IF(INDEX(Salary_Calculation[Source Row],ROW()-ROW(Payslip_Lookup[#Headers]))="","",INDEX(Salary_Calculation[Basic Salary for Target],ROW()-ROW(Payslip_Lookup[#Headers])))</f>
        <v/>
      </c>
      <c r="T140" s="176" t="str">
        <f aca="false">IF(INDEX(Salary_Calculation[Source Row],ROW()-ROW(Payslip_Lookup[#Headers]))="","",INDEX(Salary_Calculation[Gross Salary Before Deductions],ROW()-ROW(Payslip_Lookup[#Headers])))</f>
        <v/>
      </c>
      <c r="U140" s="176" t="str">
        <f aca="false">IF(INDEX(Salary_Calculation[Source Row],ROW()-ROW(Payslip_Lookup[#Headers]))="","",INDEX(Salary_Calculation[missed_days_penalty],ROW()-ROW(Payslip_Lookup[#Headers])))</f>
        <v/>
      </c>
      <c r="V140" s="176" t="str">
        <f aca="false">IF(INDEX(Salary_Calculation[Source Row],ROW()-ROW(Payslip_Lookup[#Headers]))="","",INDEX(Salary_Calculation[Rider Balance],ROW()-ROW(Payslip_Lookup[#Headers])))</f>
        <v/>
      </c>
      <c r="W140" s="176" t="str">
        <f aca="false">IF(INDEX(Salary_Calculation[Source Row],ROW()-ROW(Payslip_Lookup[#Headers]))="","",INDEX(Salary_Calculation[stacking_deduction],ROW()-ROW(Payslip_Lookup[#Headers])))</f>
        <v/>
      </c>
      <c r="X140" s="176" t="str">
        <f aca="false">IF(INDEX(Salary_Calculation[Source Row],ROW()-ROW(Payslip_Lookup[#Headers]))="","",INDEX(Salary_Calculation[Other Deductions],ROW()-ROW(Payslip_Lookup[#Headers])))</f>
        <v/>
      </c>
      <c r="Y140" s="176" t="str">
        <f aca="false">IF(INDEX(Salary_Calculation[Source Row],ROW()-ROW(Payslip_Lookup[#Headers]))="","",INDEX(Salary_Calculation[Total Deductions],ROW()-ROW(Payslip_Lookup[#Headers])))</f>
        <v/>
      </c>
      <c r="Z140" s="176" t="str">
        <f aca="false">IF(INDEX(Salary_Calculation[Source Row],ROW()-ROW(Payslip_Lookup[#Headers]))="","",INDEX(Salary_Calculation[Final Salary],ROW()-ROW(Payslip_Lookup[#Headers])))</f>
        <v/>
      </c>
      <c r="AA140" s="176" t="str">
        <f aca="false">IF(INDEX(Salary_Calculation[Source Row],ROW()-ROW(Payslip_Lookup[#Headers]))="","",INDEX(Salary_Calculation[Negative Balance / Amount Due from Rider],ROW()-ROW(Payslip_Lookup[#Headers])))</f>
        <v/>
      </c>
      <c r="AB140" s="176" t="str">
        <f aca="false">IF(INDEX(Salary_Calculation[Source Row],ROW()-ROW(Payslip_Lookup[#Headers]))="","",INDEX(Salary_Calculation[Total Amount Due from Rider],ROW()-ROW(Payslip_Lookup[#Headers])))</f>
        <v/>
      </c>
      <c r="AC140" s="176" t="str">
        <f aca="false">IF(INDEX(Salary_Calculation[Source Row],ROW()-ROW(Payslip_Lookup[#Headers]))="","",INDEX(Salary_Calculation[Salary Before Other Deductions],ROW()-ROW(Payslip_Lookup[#Headers])))</f>
        <v/>
      </c>
      <c r="AD140" s="171" t="str">
        <f aca="false">IF(INDEX(Salary_Calculation[Source Row],ROW()-ROW(Payslip_Lookup[#Headers]))="","",INDEX(Salary_Calculation[Payment Status],ROW()-ROW(Payslip_Lookup[#Headers])))</f>
        <v/>
      </c>
      <c r="AE140" s="171" t="str">
        <f aca="false">IF(INDEX(Salary_Calculation[Source Row],ROW()-ROW(Payslip_Lookup[#Headers]))="","",INDEX(Salary_Calculation[Notes],ROW()-ROW(Payslip_Lookup[#Headers])))</f>
        <v/>
      </c>
      <c r="AF140" s="171" t="str">
        <f aca="false">IF(INDEX(Salary_Calculation[Source Row],ROW()-ROW(Payslip_Lookup[#Headers]))="","",INDEX(Salary_Calculation[Exception Reason],ROW()-ROW(Payslip_Lookup[#Headers])))</f>
        <v/>
      </c>
      <c r="AG140" s="173" t="str">
        <f aca="false">IF($AD140="Review Required",COUNTIF(AD$2:AD140,"Review Required"),"")</f>
        <v/>
      </c>
      <c r="AH140" s="173" t="str">
        <f aca="false">IF(AND($D140&lt;&gt;"",$B140=Payslip_Print!$C$2),MAX(AH$1:AH139)+1,"")</f>
        <v/>
      </c>
      <c r="AL140" s="178" t="str">
        <f aca="false">IFERROR(INDEX($D$2:$D$501,MATCH(ROW()-1,$AH$2:$AH$501,0)),"")</f>
        <v/>
      </c>
      <c r="AM140" s="179" t="str">
        <f aca="false">IF($Z140="","",IF(AND($C140&gt;=Dash_Start,$C140&lt;Dash_End),$Z140+ROW()/10000000,""))</f>
        <v/>
      </c>
    </row>
    <row r="141" customFormat="false" ht="14.25" hidden="false" customHeight="false" outlineLevel="0" collapsed="false">
      <c r="A141" s="171" t="str">
        <f aca="false">IF(Payslip_Lookup[[#This Row],[Rider ID]]="","",Payslip_Lookup[[#This Row],[Rider ID]]&amp;"|"&amp;Payslip_Lookup[[#This Row],[Month Key]])</f>
        <v/>
      </c>
      <c r="B141" s="172" t="str">
        <f aca="false">IF(ISNUMBER(Payslip_Lookup[[#This Row],[Salary Month]]),DATE(YEAR(Payslip_Lookup[[#This Row],[Salary Month]]),MONTH(Payslip_Lookup[[#This Row],[Salary Month]]),1),"")</f>
        <v/>
      </c>
      <c r="C141" s="172" t="str">
        <f aca="false">IF(INDEX(Salary_Calculation[Source Row],ROW()-ROW(Payslip_Lookup[#Headers]))="","",INDEX(Salary_Calculation[Salary Month],ROW()-ROW(Payslip_Lookup[#Headers])))</f>
        <v/>
      </c>
      <c r="D141" s="173" t="str">
        <f aca="false">IF(INDEX(Salary_Calculation[Source Row],ROW()-ROW(Payslip_Lookup[#Headers]))="","",INDEX(Salary_Calculation[Rider ID],ROW()-ROW(Payslip_Lookup[#Headers])))</f>
        <v/>
      </c>
      <c r="E141" s="171" t="str">
        <f aca="false">IF(INDEX(Salary_Calculation[Source Row],ROW()-ROW(Payslip_Lookup[#Headers]))="","",INDEX(Salary_Calculation[Rider Name],ROW()-ROW(Payslip_Lookup[#Headers])))</f>
        <v/>
      </c>
      <c r="F141" s="173" t="str">
        <f aca="false">IF(INDEX(Salary_Calculation[Source Row],ROW()-ROW(Payslip_Lookup[#Headers]))="","",INDEX(Salary_Calculation[Working Days],ROW()-ROW(Payslip_Lookup[#Headers])))</f>
        <v/>
      </c>
      <c r="G141" s="173" t="str">
        <f aca="false">IF(INDEX(Salary_Calculation[Source Row],ROW()-ROW(Payslip_Lookup[#Headers]))="","",INDEX(Salary_Calculation[Calendar Days],ROW()-ROW(Payslip_Lookup[#Headers])))</f>
        <v/>
      </c>
      <c r="H141" s="174" t="str">
        <f aca="false">IF(INDEX(Salary_Calculation[Source Row],ROW()-ROW(Payslip_Lookup[#Headers]))="","",INDEX(Salary_Calculation[Monthly Target Orders],ROW()-ROW(Payslip_Lookup[#Headers])))</f>
        <v/>
      </c>
      <c r="I141" s="174" t="str">
        <f aca="false">IF(INDEX(Salary_Calculation[Source Row],ROW()-ROW(Payslip_Lookup[#Headers]))="","",INDEX(Salary_Calculation[Rider Target Orders],ROW()-ROW(Payslip_Lookup[#Headers])))</f>
        <v/>
      </c>
      <c r="J141" s="175" t="str">
        <f aca="false">IF(INDEX(Salary_Calculation[Source Row],ROW()-ROW(Payslip_Lookup[#Headers]))="","",INDEX(Salary_Calculation[Completed Orders],ROW()-ROW(Payslip_Lookup[#Headers])))</f>
        <v/>
      </c>
      <c r="K141" s="174" t="str">
        <f aca="false">IF(INDEX(Salary_Calculation[Source Row],ROW()-ROW(Payslip_Lookup[#Headers]))="","",INDEX(Salary_Calculation[Base Order Rate],ROW()-ROW(Payslip_Lookup[#Headers])))</f>
        <v/>
      </c>
      <c r="L141" s="176" t="str">
        <f aca="false">IF(INDEX(Salary_Calculation[Source Row],ROW()-ROW(Payslip_Lookup[#Headers]))="","",INDEX(Salary_Calculation[Basic Payment],ROW()-ROW(Payslip_Lookup[#Headers])))</f>
        <v/>
      </c>
      <c r="M141" s="176" t="str">
        <f aca="false">IF(INDEX(Salary_Calculation[Source Row],ROW()-ROW(Payslip_Lookup[#Headers]))="","",INDEX(Salary_Calculation[Earned Salary],ROW()-ROW(Payslip_Lookup[#Headers])))</f>
        <v/>
      </c>
      <c r="N141" s="174" t="str">
        <f aca="false">IF(INDEX(Salary_Calculation[Source Row],ROW()-ROW(Payslip_Lookup[#Headers]))="","",INDEX(Salary_Calculation[Orders Counted at Base Rate],ROW()-ROW(Payslip_Lookup[#Headers])))</f>
        <v/>
      </c>
      <c r="O141" s="174" t="str">
        <f aca="false">IF(INDEX(Salary_Calculation[Source Row],ROW()-ROW(Payslip_Lookup[#Headers]))="","",INDEX(Salary_Calculation[Missing Orders],ROW()-ROW(Payslip_Lookup[#Headers])))</f>
        <v/>
      </c>
      <c r="P141" s="176" t="str">
        <f aca="false">IF(INDEX(Salary_Calculation[Source Row],ROW()-ROW(Payslip_Lookup[#Headers]))="","",INDEX(Salary_Calculation[Missing-Order Deduction],ROW()-ROW(Payslip_Lookup[#Headers])))</f>
        <v/>
      </c>
      <c r="Q141" s="174" t="str">
        <f aca="false">IF(INDEX(Salary_Calculation[Source Row],ROW()-ROW(Payslip_Lookup[#Headers]))="","",INDEX(Salary_Calculation[Extra Orders],ROW()-ROW(Payslip_Lookup[#Headers])))</f>
        <v/>
      </c>
      <c r="R141" s="176" t="str">
        <f aca="false">IF(INDEX(Salary_Calculation[Source Row],ROW()-ROW(Payslip_Lookup[#Headers]))="","",INDEX(Salary_Calculation[Extra-Order Bonus],ROW()-ROW(Payslip_Lookup[#Headers])))</f>
        <v/>
      </c>
      <c r="S141" s="176" t="str">
        <f aca="false">IF(INDEX(Salary_Calculation[Source Row],ROW()-ROW(Payslip_Lookup[#Headers]))="","",INDEX(Salary_Calculation[Basic Salary for Target],ROW()-ROW(Payslip_Lookup[#Headers])))</f>
        <v/>
      </c>
      <c r="T141" s="176" t="str">
        <f aca="false">IF(INDEX(Salary_Calculation[Source Row],ROW()-ROW(Payslip_Lookup[#Headers]))="","",INDEX(Salary_Calculation[Gross Salary Before Deductions],ROW()-ROW(Payslip_Lookup[#Headers])))</f>
        <v/>
      </c>
      <c r="U141" s="176" t="str">
        <f aca="false">IF(INDEX(Salary_Calculation[Source Row],ROW()-ROW(Payslip_Lookup[#Headers]))="","",INDEX(Salary_Calculation[missed_days_penalty],ROW()-ROW(Payslip_Lookup[#Headers])))</f>
        <v/>
      </c>
      <c r="V141" s="176" t="str">
        <f aca="false">IF(INDEX(Salary_Calculation[Source Row],ROW()-ROW(Payslip_Lookup[#Headers]))="","",INDEX(Salary_Calculation[Rider Balance],ROW()-ROW(Payslip_Lookup[#Headers])))</f>
        <v/>
      </c>
      <c r="W141" s="176" t="str">
        <f aca="false">IF(INDEX(Salary_Calculation[Source Row],ROW()-ROW(Payslip_Lookup[#Headers]))="","",INDEX(Salary_Calculation[stacking_deduction],ROW()-ROW(Payslip_Lookup[#Headers])))</f>
        <v/>
      </c>
      <c r="X141" s="176" t="str">
        <f aca="false">IF(INDEX(Salary_Calculation[Source Row],ROW()-ROW(Payslip_Lookup[#Headers]))="","",INDEX(Salary_Calculation[Other Deductions],ROW()-ROW(Payslip_Lookup[#Headers])))</f>
        <v/>
      </c>
      <c r="Y141" s="176" t="str">
        <f aca="false">IF(INDEX(Salary_Calculation[Source Row],ROW()-ROW(Payslip_Lookup[#Headers]))="","",INDEX(Salary_Calculation[Total Deductions],ROW()-ROW(Payslip_Lookup[#Headers])))</f>
        <v/>
      </c>
      <c r="Z141" s="176" t="str">
        <f aca="false">IF(INDEX(Salary_Calculation[Source Row],ROW()-ROW(Payslip_Lookup[#Headers]))="","",INDEX(Salary_Calculation[Final Salary],ROW()-ROW(Payslip_Lookup[#Headers])))</f>
        <v/>
      </c>
      <c r="AA141" s="176" t="str">
        <f aca="false">IF(INDEX(Salary_Calculation[Source Row],ROW()-ROW(Payslip_Lookup[#Headers]))="","",INDEX(Salary_Calculation[Negative Balance / Amount Due from Rider],ROW()-ROW(Payslip_Lookup[#Headers])))</f>
        <v/>
      </c>
      <c r="AB141" s="176" t="str">
        <f aca="false">IF(INDEX(Salary_Calculation[Source Row],ROW()-ROW(Payslip_Lookup[#Headers]))="","",INDEX(Salary_Calculation[Total Amount Due from Rider],ROW()-ROW(Payslip_Lookup[#Headers])))</f>
        <v/>
      </c>
      <c r="AC141" s="176" t="str">
        <f aca="false">IF(INDEX(Salary_Calculation[Source Row],ROW()-ROW(Payslip_Lookup[#Headers]))="","",INDEX(Salary_Calculation[Salary Before Other Deductions],ROW()-ROW(Payslip_Lookup[#Headers])))</f>
        <v/>
      </c>
      <c r="AD141" s="171" t="str">
        <f aca="false">IF(INDEX(Salary_Calculation[Source Row],ROW()-ROW(Payslip_Lookup[#Headers]))="","",INDEX(Salary_Calculation[Payment Status],ROW()-ROW(Payslip_Lookup[#Headers])))</f>
        <v/>
      </c>
      <c r="AE141" s="171" t="str">
        <f aca="false">IF(INDEX(Salary_Calculation[Source Row],ROW()-ROW(Payslip_Lookup[#Headers]))="","",INDEX(Salary_Calculation[Notes],ROW()-ROW(Payslip_Lookup[#Headers])))</f>
        <v/>
      </c>
      <c r="AF141" s="171" t="str">
        <f aca="false">IF(INDEX(Salary_Calculation[Source Row],ROW()-ROW(Payslip_Lookup[#Headers]))="","",INDEX(Salary_Calculation[Exception Reason],ROW()-ROW(Payslip_Lookup[#Headers])))</f>
        <v/>
      </c>
      <c r="AG141" s="173" t="str">
        <f aca="false">IF($AD141="Review Required",COUNTIF(AD$2:AD141,"Review Required"),"")</f>
        <v/>
      </c>
      <c r="AH141" s="173" t="str">
        <f aca="false">IF(AND($D141&lt;&gt;"",$B141=Payslip_Print!$C$2),MAX(AH$1:AH140)+1,"")</f>
        <v/>
      </c>
      <c r="AL141" s="178" t="str">
        <f aca="false">IFERROR(INDEX($D$2:$D$501,MATCH(ROW()-1,$AH$2:$AH$501,0)),"")</f>
        <v/>
      </c>
      <c r="AM141" s="179" t="str">
        <f aca="false">IF($Z141="","",IF(AND($C141&gt;=Dash_Start,$C141&lt;Dash_End),$Z141+ROW()/10000000,""))</f>
        <v/>
      </c>
    </row>
    <row r="142" customFormat="false" ht="14.25" hidden="false" customHeight="false" outlineLevel="0" collapsed="false">
      <c r="A142" s="171" t="str">
        <f aca="false">IF(Payslip_Lookup[[#This Row],[Rider ID]]="","",Payslip_Lookup[[#This Row],[Rider ID]]&amp;"|"&amp;Payslip_Lookup[[#This Row],[Month Key]])</f>
        <v/>
      </c>
      <c r="B142" s="172" t="str">
        <f aca="false">IF(ISNUMBER(Payslip_Lookup[[#This Row],[Salary Month]]),DATE(YEAR(Payslip_Lookup[[#This Row],[Salary Month]]),MONTH(Payslip_Lookup[[#This Row],[Salary Month]]),1),"")</f>
        <v/>
      </c>
      <c r="C142" s="172" t="str">
        <f aca="false">IF(INDEX(Salary_Calculation[Source Row],ROW()-ROW(Payslip_Lookup[#Headers]))="","",INDEX(Salary_Calculation[Salary Month],ROW()-ROW(Payslip_Lookup[#Headers])))</f>
        <v/>
      </c>
      <c r="D142" s="173" t="str">
        <f aca="false">IF(INDEX(Salary_Calculation[Source Row],ROW()-ROW(Payslip_Lookup[#Headers]))="","",INDEX(Salary_Calculation[Rider ID],ROW()-ROW(Payslip_Lookup[#Headers])))</f>
        <v/>
      </c>
      <c r="E142" s="171" t="str">
        <f aca="false">IF(INDEX(Salary_Calculation[Source Row],ROW()-ROW(Payslip_Lookup[#Headers]))="","",INDEX(Salary_Calculation[Rider Name],ROW()-ROW(Payslip_Lookup[#Headers])))</f>
        <v/>
      </c>
      <c r="F142" s="173" t="str">
        <f aca="false">IF(INDEX(Salary_Calculation[Source Row],ROW()-ROW(Payslip_Lookup[#Headers]))="","",INDEX(Salary_Calculation[Working Days],ROW()-ROW(Payslip_Lookup[#Headers])))</f>
        <v/>
      </c>
      <c r="G142" s="173" t="str">
        <f aca="false">IF(INDEX(Salary_Calculation[Source Row],ROW()-ROW(Payslip_Lookup[#Headers]))="","",INDEX(Salary_Calculation[Calendar Days],ROW()-ROW(Payslip_Lookup[#Headers])))</f>
        <v/>
      </c>
      <c r="H142" s="174" t="str">
        <f aca="false">IF(INDEX(Salary_Calculation[Source Row],ROW()-ROW(Payslip_Lookup[#Headers]))="","",INDEX(Salary_Calculation[Monthly Target Orders],ROW()-ROW(Payslip_Lookup[#Headers])))</f>
        <v/>
      </c>
      <c r="I142" s="174" t="str">
        <f aca="false">IF(INDEX(Salary_Calculation[Source Row],ROW()-ROW(Payslip_Lookup[#Headers]))="","",INDEX(Salary_Calculation[Rider Target Orders],ROW()-ROW(Payslip_Lookup[#Headers])))</f>
        <v/>
      </c>
      <c r="J142" s="175" t="str">
        <f aca="false">IF(INDEX(Salary_Calculation[Source Row],ROW()-ROW(Payslip_Lookup[#Headers]))="","",INDEX(Salary_Calculation[Completed Orders],ROW()-ROW(Payslip_Lookup[#Headers])))</f>
        <v/>
      </c>
      <c r="K142" s="174" t="str">
        <f aca="false">IF(INDEX(Salary_Calculation[Source Row],ROW()-ROW(Payslip_Lookup[#Headers]))="","",INDEX(Salary_Calculation[Base Order Rate],ROW()-ROW(Payslip_Lookup[#Headers])))</f>
        <v/>
      </c>
      <c r="L142" s="176" t="str">
        <f aca="false">IF(INDEX(Salary_Calculation[Source Row],ROW()-ROW(Payslip_Lookup[#Headers]))="","",INDEX(Salary_Calculation[Basic Payment],ROW()-ROW(Payslip_Lookup[#Headers])))</f>
        <v/>
      </c>
      <c r="M142" s="176" t="str">
        <f aca="false">IF(INDEX(Salary_Calculation[Source Row],ROW()-ROW(Payslip_Lookup[#Headers]))="","",INDEX(Salary_Calculation[Earned Salary],ROW()-ROW(Payslip_Lookup[#Headers])))</f>
        <v/>
      </c>
      <c r="N142" s="174" t="str">
        <f aca="false">IF(INDEX(Salary_Calculation[Source Row],ROW()-ROW(Payslip_Lookup[#Headers]))="","",INDEX(Salary_Calculation[Orders Counted at Base Rate],ROW()-ROW(Payslip_Lookup[#Headers])))</f>
        <v/>
      </c>
      <c r="O142" s="174" t="str">
        <f aca="false">IF(INDEX(Salary_Calculation[Source Row],ROW()-ROW(Payslip_Lookup[#Headers]))="","",INDEX(Salary_Calculation[Missing Orders],ROW()-ROW(Payslip_Lookup[#Headers])))</f>
        <v/>
      </c>
      <c r="P142" s="176" t="str">
        <f aca="false">IF(INDEX(Salary_Calculation[Source Row],ROW()-ROW(Payslip_Lookup[#Headers]))="","",INDEX(Salary_Calculation[Missing-Order Deduction],ROW()-ROW(Payslip_Lookup[#Headers])))</f>
        <v/>
      </c>
      <c r="Q142" s="174" t="str">
        <f aca="false">IF(INDEX(Salary_Calculation[Source Row],ROW()-ROW(Payslip_Lookup[#Headers]))="","",INDEX(Salary_Calculation[Extra Orders],ROW()-ROW(Payslip_Lookup[#Headers])))</f>
        <v/>
      </c>
      <c r="R142" s="176" t="str">
        <f aca="false">IF(INDEX(Salary_Calculation[Source Row],ROW()-ROW(Payslip_Lookup[#Headers]))="","",INDEX(Salary_Calculation[Extra-Order Bonus],ROW()-ROW(Payslip_Lookup[#Headers])))</f>
        <v/>
      </c>
      <c r="S142" s="176" t="str">
        <f aca="false">IF(INDEX(Salary_Calculation[Source Row],ROW()-ROW(Payslip_Lookup[#Headers]))="","",INDEX(Salary_Calculation[Basic Salary for Target],ROW()-ROW(Payslip_Lookup[#Headers])))</f>
        <v/>
      </c>
      <c r="T142" s="176" t="str">
        <f aca="false">IF(INDEX(Salary_Calculation[Source Row],ROW()-ROW(Payslip_Lookup[#Headers]))="","",INDEX(Salary_Calculation[Gross Salary Before Deductions],ROW()-ROW(Payslip_Lookup[#Headers])))</f>
        <v/>
      </c>
      <c r="U142" s="176" t="str">
        <f aca="false">IF(INDEX(Salary_Calculation[Source Row],ROW()-ROW(Payslip_Lookup[#Headers]))="","",INDEX(Salary_Calculation[missed_days_penalty],ROW()-ROW(Payslip_Lookup[#Headers])))</f>
        <v/>
      </c>
      <c r="V142" s="176" t="str">
        <f aca="false">IF(INDEX(Salary_Calculation[Source Row],ROW()-ROW(Payslip_Lookup[#Headers]))="","",INDEX(Salary_Calculation[Rider Balance],ROW()-ROW(Payslip_Lookup[#Headers])))</f>
        <v/>
      </c>
      <c r="W142" s="176" t="str">
        <f aca="false">IF(INDEX(Salary_Calculation[Source Row],ROW()-ROW(Payslip_Lookup[#Headers]))="","",INDEX(Salary_Calculation[stacking_deduction],ROW()-ROW(Payslip_Lookup[#Headers])))</f>
        <v/>
      </c>
      <c r="X142" s="176" t="str">
        <f aca="false">IF(INDEX(Salary_Calculation[Source Row],ROW()-ROW(Payslip_Lookup[#Headers]))="","",INDEX(Salary_Calculation[Other Deductions],ROW()-ROW(Payslip_Lookup[#Headers])))</f>
        <v/>
      </c>
      <c r="Y142" s="176" t="str">
        <f aca="false">IF(INDEX(Salary_Calculation[Source Row],ROW()-ROW(Payslip_Lookup[#Headers]))="","",INDEX(Salary_Calculation[Total Deductions],ROW()-ROW(Payslip_Lookup[#Headers])))</f>
        <v/>
      </c>
      <c r="Z142" s="176" t="str">
        <f aca="false">IF(INDEX(Salary_Calculation[Source Row],ROW()-ROW(Payslip_Lookup[#Headers]))="","",INDEX(Salary_Calculation[Final Salary],ROW()-ROW(Payslip_Lookup[#Headers])))</f>
        <v/>
      </c>
      <c r="AA142" s="176" t="str">
        <f aca="false">IF(INDEX(Salary_Calculation[Source Row],ROW()-ROW(Payslip_Lookup[#Headers]))="","",INDEX(Salary_Calculation[Negative Balance / Amount Due from Rider],ROW()-ROW(Payslip_Lookup[#Headers])))</f>
        <v/>
      </c>
      <c r="AB142" s="176" t="str">
        <f aca="false">IF(INDEX(Salary_Calculation[Source Row],ROW()-ROW(Payslip_Lookup[#Headers]))="","",INDEX(Salary_Calculation[Total Amount Due from Rider],ROW()-ROW(Payslip_Lookup[#Headers])))</f>
        <v/>
      </c>
      <c r="AC142" s="176" t="str">
        <f aca="false">IF(INDEX(Salary_Calculation[Source Row],ROW()-ROW(Payslip_Lookup[#Headers]))="","",INDEX(Salary_Calculation[Salary Before Other Deductions],ROW()-ROW(Payslip_Lookup[#Headers])))</f>
        <v/>
      </c>
      <c r="AD142" s="171" t="str">
        <f aca="false">IF(INDEX(Salary_Calculation[Source Row],ROW()-ROW(Payslip_Lookup[#Headers]))="","",INDEX(Salary_Calculation[Payment Status],ROW()-ROW(Payslip_Lookup[#Headers])))</f>
        <v/>
      </c>
      <c r="AE142" s="171" t="str">
        <f aca="false">IF(INDEX(Salary_Calculation[Source Row],ROW()-ROW(Payslip_Lookup[#Headers]))="","",INDEX(Salary_Calculation[Notes],ROW()-ROW(Payslip_Lookup[#Headers])))</f>
        <v/>
      </c>
      <c r="AF142" s="171" t="str">
        <f aca="false">IF(INDEX(Salary_Calculation[Source Row],ROW()-ROW(Payslip_Lookup[#Headers]))="","",INDEX(Salary_Calculation[Exception Reason],ROW()-ROW(Payslip_Lookup[#Headers])))</f>
        <v/>
      </c>
      <c r="AG142" s="173" t="str">
        <f aca="false">IF($AD142="Review Required",COUNTIF(AD$2:AD142,"Review Required"),"")</f>
        <v/>
      </c>
      <c r="AH142" s="173" t="str">
        <f aca="false">IF(AND($D142&lt;&gt;"",$B142=Payslip_Print!$C$2),MAX(AH$1:AH141)+1,"")</f>
        <v/>
      </c>
      <c r="AL142" s="178" t="str">
        <f aca="false">IFERROR(INDEX($D$2:$D$501,MATCH(ROW()-1,$AH$2:$AH$501,0)),"")</f>
        <v/>
      </c>
      <c r="AM142" s="179" t="str">
        <f aca="false">IF($Z142="","",IF(AND($C142&gt;=Dash_Start,$C142&lt;Dash_End),$Z142+ROW()/10000000,""))</f>
        <v/>
      </c>
    </row>
    <row r="143" customFormat="false" ht="14.25" hidden="false" customHeight="false" outlineLevel="0" collapsed="false">
      <c r="A143" s="171" t="str">
        <f aca="false">IF(Payslip_Lookup[[#This Row],[Rider ID]]="","",Payslip_Lookup[[#This Row],[Rider ID]]&amp;"|"&amp;Payslip_Lookup[[#This Row],[Month Key]])</f>
        <v/>
      </c>
      <c r="B143" s="172" t="str">
        <f aca="false">IF(ISNUMBER(Payslip_Lookup[[#This Row],[Salary Month]]),DATE(YEAR(Payslip_Lookup[[#This Row],[Salary Month]]),MONTH(Payslip_Lookup[[#This Row],[Salary Month]]),1),"")</f>
        <v/>
      </c>
      <c r="C143" s="172" t="str">
        <f aca="false">IF(INDEX(Salary_Calculation[Source Row],ROW()-ROW(Payslip_Lookup[#Headers]))="","",INDEX(Salary_Calculation[Salary Month],ROW()-ROW(Payslip_Lookup[#Headers])))</f>
        <v/>
      </c>
      <c r="D143" s="173" t="str">
        <f aca="false">IF(INDEX(Salary_Calculation[Source Row],ROW()-ROW(Payslip_Lookup[#Headers]))="","",INDEX(Salary_Calculation[Rider ID],ROW()-ROW(Payslip_Lookup[#Headers])))</f>
        <v/>
      </c>
      <c r="E143" s="171" t="str">
        <f aca="false">IF(INDEX(Salary_Calculation[Source Row],ROW()-ROW(Payslip_Lookup[#Headers]))="","",INDEX(Salary_Calculation[Rider Name],ROW()-ROW(Payslip_Lookup[#Headers])))</f>
        <v/>
      </c>
      <c r="F143" s="173" t="str">
        <f aca="false">IF(INDEX(Salary_Calculation[Source Row],ROW()-ROW(Payslip_Lookup[#Headers]))="","",INDEX(Salary_Calculation[Working Days],ROW()-ROW(Payslip_Lookup[#Headers])))</f>
        <v/>
      </c>
      <c r="G143" s="173" t="str">
        <f aca="false">IF(INDEX(Salary_Calculation[Source Row],ROW()-ROW(Payslip_Lookup[#Headers]))="","",INDEX(Salary_Calculation[Calendar Days],ROW()-ROW(Payslip_Lookup[#Headers])))</f>
        <v/>
      </c>
      <c r="H143" s="174" t="str">
        <f aca="false">IF(INDEX(Salary_Calculation[Source Row],ROW()-ROW(Payslip_Lookup[#Headers]))="","",INDEX(Salary_Calculation[Monthly Target Orders],ROW()-ROW(Payslip_Lookup[#Headers])))</f>
        <v/>
      </c>
      <c r="I143" s="174" t="str">
        <f aca="false">IF(INDEX(Salary_Calculation[Source Row],ROW()-ROW(Payslip_Lookup[#Headers]))="","",INDEX(Salary_Calculation[Rider Target Orders],ROW()-ROW(Payslip_Lookup[#Headers])))</f>
        <v/>
      </c>
      <c r="J143" s="175" t="str">
        <f aca="false">IF(INDEX(Salary_Calculation[Source Row],ROW()-ROW(Payslip_Lookup[#Headers]))="","",INDEX(Salary_Calculation[Completed Orders],ROW()-ROW(Payslip_Lookup[#Headers])))</f>
        <v/>
      </c>
      <c r="K143" s="174" t="str">
        <f aca="false">IF(INDEX(Salary_Calculation[Source Row],ROW()-ROW(Payslip_Lookup[#Headers]))="","",INDEX(Salary_Calculation[Base Order Rate],ROW()-ROW(Payslip_Lookup[#Headers])))</f>
        <v/>
      </c>
      <c r="L143" s="176" t="str">
        <f aca="false">IF(INDEX(Salary_Calculation[Source Row],ROW()-ROW(Payslip_Lookup[#Headers]))="","",INDEX(Salary_Calculation[Basic Payment],ROW()-ROW(Payslip_Lookup[#Headers])))</f>
        <v/>
      </c>
      <c r="M143" s="176" t="str">
        <f aca="false">IF(INDEX(Salary_Calculation[Source Row],ROW()-ROW(Payslip_Lookup[#Headers]))="","",INDEX(Salary_Calculation[Earned Salary],ROW()-ROW(Payslip_Lookup[#Headers])))</f>
        <v/>
      </c>
      <c r="N143" s="174" t="str">
        <f aca="false">IF(INDEX(Salary_Calculation[Source Row],ROW()-ROW(Payslip_Lookup[#Headers]))="","",INDEX(Salary_Calculation[Orders Counted at Base Rate],ROW()-ROW(Payslip_Lookup[#Headers])))</f>
        <v/>
      </c>
      <c r="O143" s="174" t="str">
        <f aca="false">IF(INDEX(Salary_Calculation[Source Row],ROW()-ROW(Payslip_Lookup[#Headers]))="","",INDEX(Salary_Calculation[Missing Orders],ROW()-ROW(Payslip_Lookup[#Headers])))</f>
        <v/>
      </c>
      <c r="P143" s="176" t="str">
        <f aca="false">IF(INDEX(Salary_Calculation[Source Row],ROW()-ROW(Payslip_Lookup[#Headers]))="","",INDEX(Salary_Calculation[Missing-Order Deduction],ROW()-ROW(Payslip_Lookup[#Headers])))</f>
        <v/>
      </c>
      <c r="Q143" s="174" t="str">
        <f aca="false">IF(INDEX(Salary_Calculation[Source Row],ROW()-ROW(Payslip_Lookup[#Headers]))="","",INDEX(Salary_Calculation[Extra Orders],ROW()-ROW(Payslip_Lookup[#Headers])))</f>
        <v/>
      </c>
      <c r="R143" s="176" t="str">
        <f aca="false">IF(INDEX(Salary_Calculation[Source Row],ROW()-ROW(Payslip_Lookup[#Headers]))="","",INDEX(Salary_Calculation[Extra-Order Bonus],ROW()-ROW(Payslip_Lookup[#Headers])))</f>
        <v/>
      </c>
      <c r="S143" s="176" t="str">
        <f aca="false">IF(INDEX(Salary_Calculation[Source Row],ROW()-ROW(Payslip_Lookup[#Headers]))="","",INDEX(Salary_Calculation[Basic Salary for Target],ROW()-ROW(Payslip_Lookup[#Headers])))</f>
        <v/>
      </c>
      <c r="T143" s="176" t="str">
        <f aca="false">IF(INDEX(Salary_Calculation[Source Row],ROW()-ROW(Payslip_Lookup[#Headers]))="","",INDEX(Salary_Calculation[Gross Salary Before Deductions],ROW()-ROW(Payslip_Lookup[#Headers])))</f>
        <v/>
      </c>
      <c r="U143" s="176" t="str">
        <f aca="false">IF(INDEX(Salary_Calculation[Source Row],ROW()-ROW(Payslip_Lookup[#Headers]))="","",INDEX(Salary_Calculation[missed_days_penalty],ROW()-ROW(Payslip_Lookup[#Headers])))</f>
        <v/>
      </c>
      <c r="V143" s="176" t="str">
        <f aca="false">IF(INDEX(Salary_Calculation[Source Row],ROW()-ROW(Payslip_Lookup[#Headers]))="","",INDEX(Salary_Calculation[Rider Balance],ROW()-ROW(Payslip_Lookup[#Headers])))</f>
        <v/>
      </c>
      <c r="W143" s="176" t="str">
        <f aca="false">IF(INDEX(Salary_Calculation[Source Row],ROW()-ROW(Payslip_Lookup[#Headers]))="","",INDEX(Salary_Calculation[stacking_deduction],ROW()-ROW(Payslip_Lookup[#Headers])))</f>
        <v/>
      </c>
      <c r="X143" s="176" t="str">
        <f aca="false">IF(INDEX(Salary_Calculation[Source Row],ROW()-ROW(Payslip_Lookup[#Headers]))="","",INDEX(Salary_Calculation[Other Deductions],ROW()-ROW(Payslip_Lookup[#Headers])))</f>
        <v/>
      </c>
      <c r="Y143" s="176" t="str">
        <f aca="false">IF(INDEX(Salary_Calculation[Source Row],ROW()-ROW(Payslip_Lookup[#Headers]))="","",INDEX(Salary_Calculation[Total Deductions],ROW()-ROW(Payslip_Lookup[#Headers])))</f>
        <v/>
      </c>
      <c r="Z143" s="176" t="str">
        <f aca="false">IF(INDEX(Salary_Calculation[Source Row],ROW()-ROW(Payslip_Lookup[#Headers]))="","",INDEX(Salary_Calculation[Final Salary],ROW()-ROW(Payslip_Lookup[#Headers])))</f>
        <v/>
      </c>
      <c r="AA143" s="176" t="str">
        <f aca="false">IF(INDEX(Salary_Calculation[Source Row],ROW()-ROW(Payslip_Lookup[#Headers]))="","",INDEX(Salary_Calculation[Negative Balance / Amount Due from Rider],ROW()-ROW(Payslip_Lookup[#Headers])))</f>
        <v/>
      </c>
      <c r="AB143" s="176" t="str">
        <f aca="false">IF(INDEX(Salary_Calculation[Source Row],ROW()-ROW(Payslip_Lookup[#Headers]))="","",INDEX(Salary_Calculation[Total Amount Due from Rider],ROW()-ROW(Payslip_Lookup[#Headers])))</f>
        <v/>
      </c>
      <c r="AC143" s="176" t="str">
        <f aca="false">IF(INDEX(Salary_Calculation[Source Row],ROW()-ROW(Payslip_Lookup[#Headers]))="","",INDEX(Salary_Calculation[Salary Before Other Deductions],ROW()-ROW(Payslip_Lookup[#Headers])))</f>
        <v/>
      </c>
      <c r="AD143" s="171" t="str">
        <f aca="false">IF(INDEX(Salary_Calculation[Source Row],ROW()-ROW(Payslip_Lookup[#Headers]))="","",INDEX(Salary_Calculation[Payment Status],ROW()-ROW(Payslip_Lookup[#Headers])))</f>
        <v/>
      </c>
      <c r="AE143" s="171" t="str">
        <f aca="false">IF(INDEX(Salary_Calculation[Source Row],ROW()-ROW(Payslip_Lookup[#Headers]))="","",INDEX(Salary_Calculation[Notes],ROW()-ROW(Payslip_Lookup[#Headers])))</f>
        <v/>
      </c>
      <c r="AF143" s="171" t="str">
        <f aca="false">IF(INDEX(Salary_Calculation[Source Row],ROW()-ROW(Payslip_Lookup[#Headers]))="","",INDEX(Salary_Calculation[Exception Reason],ROW()-ROW(Payslip_Lookup[#Headers])))</f>
        <v/>
      </c>
      <c r="AG143" s="173" t="str">
        <f aca="false">IF($AD143="Review Required",COUNTIF(AD$2:AD143,"Review Required"),"")</f>
        <v/>
      </c>
      <c r="AH143" s="173" t="str">
        <f aca="false">IF(AND($D143&lt;&gt;"",$B143=Payslip_Print!$C$2),MAX(AH$1:AH142)+1,"")</f>
        <v/>
      </c>
      <c r="AL143" s="178" t="str">
        <f aca="false">IFERROR(INDEX($D$2:$D$501,MATCH(ROW()-1,$AH$2:$AH$501,0)),"")</f>
        <v/>
      </c>
      <c r="AM143" s="179" t="str">
        <f aca="false">IF($Z143="","",IF(AND($C143&gt;=Dash_Start,$C143&lt;Dash_End),$Z143+ROW()/10000000,""))</f>
        <v/>
      </c>
    </row>
    <row r="144" customFormat="false" ht="14.25" hidden="false" customHeight="false" outlineLevel="0" collapsed="false">
      <c r="A144" s="171" t="str">
        <f aca="false">IF(Payslip_Lookup[[#This Row],[Rider ID]]="","",Payslip_Lookup[[#This Row],[Rider ID]]&amp;"|"&amp;Payslip_Lookup[[#This Row],[Month Key]])</f>
        <v/>
      </c>
      <c r="B144" s="172" t="str">
        <f aca="false">IF(ISNUMBER(Payslip_Lookup[[#This Row],[Salary Month]]),DATE(YEAR(Payslip_Lookup[[#This Row],[Salary Month]]),MONTH(Payslip_Lookup[[#This Row],[Salary Month]]),1),"")</f>
        <v/>
      </c>
      <c r="C144" s="172" t="str">
        <f aca="false">IF(INDEX(Salary_Calculation[Source Row],ROW()-ROW(Payslip_Lookup[#Headers]))="","",INDEX(Salary_Calculation[Salary Month],ROW()-ROW(Payslip_Lookup[#Headers])))</f>
        <v/>
      </c>
      <c r="D144" s="173" t="str">
        <f aca="false">IF(INDEX(Salary_Calculation[Source Row],ROW()-ROW(Payslip_Lookup[#Headers]))="","",INDEX(Salary_Calculation[Rider ID],ROW()-ROW(Payslip_Lookup[#Headers])))</f>
        <v/>
      </c>
      <c r="E144" s="171" t="str">
        <f aca="false">IF(INDEX(Salary_Calculation[Source Row],ROW()-ROW(Payslip_Lookup[#Headers]))="","",INDEX(Salary_Calculation[Rider Name],ROW()-ROW(Payslip_Lookup[#Headers])))</f>
        <v/>
      </c>
      <c r="F144" s="173" t="str">
        <f aca="false">IF(INDEX(Salary_Calculation[Source Row],ROW()-ROW(Payslip_Lookup[#Headers]))="","",INDEX(Salary_Calculation[Working Days],ROW()-ROW(Payslip_Lookup[#Headers])))</f>
        <v/>
      </c>
      <c r="G144" s="173" t="str">
        <f aca="false">IF(INDEX(Salary_Calculation[Source Row],ROW()-ROW(Payslip_Lookup[#Headers]))="","",INDEX(Salary_Calculation[Calendar Days],ROW()-ROW(Payslip_Lookup[#Headers])))</f>
        <v/>
      </c>
      <c r="H144" s="174" t="str">
        <f aca="false">IF(INDEX(Salary_Calculation[Source Row],ROW()-ROW(Payslip_Lookup[#Headers]))="","",INDEX(Salary_Calculation[Monthly Target Orders],ROW()-ROW(Payslip_Lookup[#Headers])))</f>
        <v/>
      </c>
      <c r="I144" s="174" t="str">
        <f aca="false">IF(INDEX(Salary_Calculation[Source Row],ROW()-ROW(Payslip_Lookup[#Headers]))="","",INDEX(Salary_Calculation[Rider Target Orders],ROW()-ROW(Payslip_Lookup[#Headers])))</f>
        <v/>
      </c>
      <c r="J144" s="175" t="str">
        <f aca="false">IF(INDEX(Salary_Calculation[Source Row],ROW()-ROW(Payslip_Lookup[#Headers]))="","",INDEX(Salary_Calculation[Completed Orders],ROW()-ROW(Payslip_Lookup[#Headers])))</f>
        <v/>
      </c>
      <c r="K144" s="174" t="str">
        <f aca="false">IF(INDEX(Salary_Calculation[Source Row],ROW()-ROW(Payslip_Lookup[#Headers]))="","",INDEX(Salary_Calculation[Base Order Rate],ROW()-ROW(Payslip_Lookup[#Headers])))</f>
        <v/>
      </c>
      <c r="L144" s="176" t="str">
        <f aca="false">IF(INDEX(Salary_Calculation[Source Row],ROW()-ROW(Payslip_Lookup[#Headers]))="","",INDEX(Salary_Calculation[Basic Payment],ROW()-ROW(Payslip_Lookup[#Headers])))</f>
        <v/>
      </c>
      <c r="M144" s="176" t="str">
        <f aca="false">IF(INDEX(Salary_Calculation[Source Row],ROW()-ROW(Payslip_Lookup[#Headers]))="","",INDEX(Salary_Calculation[Earned Salary],ROW()-ROW(Payslip_Lookup[#Headers])))</f>
        <v/>
      </c>
      <c r="N144" s="174" t="str">
        <f aca="false">IF(INDEX(Salary_Calculation[Source Row],ROW()-ROW(Payslip_Lookup[#Headers]))="","",INDEX(Salary_Calculation[Orders Counted at Base Rate],ROW()-ROW(Payslip_Lookup[#Headers])))</f>
        <v/>
      </c>
      <c r="O144" s="174" t="str">
        <f aca="false">IF(INDEX(Salary_Calculation[Source Row],ROW()-ROW(Payslip_Lookup[#Headers]))="","",INDEX(Salary_Calculation[Missing Orders],ROW()-ROW(Payslip_Lookup[#Headers])))</f>
        <v/>
      </c>
      <c r="P144" s="176" t="str">
        <f aca="false">IF(INDEX(Salary_Calculation[Source Row],ROW()-ROW(Payslip_Lookup[#Headers]))="","",INDEX(Salary_Calculation[Missing-Order Deduction],ROW()-ROW(Payslip_Lookup[#Headers])))</f>
        <v/>
      </c>
      <c r="Q144" s="174" t="str">
        <f aca="false">IF(INDEX(Salary_Calculation[Source Row],ROW()-ROW(Payslip_Lookup[#Headers]))="","",INDEX(Salary_Calculation[Extra Orders],ROW()-ROW(Payslip_Lookup[#Headers])))</f>
        <v/>
      </c>
      <c r="R144" s="176" t="str">
        <f aca="false">IF(INDEX(Salary_Calculation[Source Row],ROW()-ROW(Payslip_Lookup[#Headers]))="","",INDEX(Salary_Calculation[Extra-Order Bonus],ROW()-ROW(Payslip_Lookup[#Headers])))</f>
        <v/>
      </c>
      <c r="S144" s="176" t="str">
        <f aca="false">IF(INDEX(Salary_Calculation[Source Row],ROW()-ROW(Payslip_Lookup[#Headers]))="","",INDEX(Salary_Calculation[Basic Salary for Target],ROW()-ROW(Payslip_Lookup[#Headers])))</f>
        <v/>
      </c>
      <c r="T144" s="176" t="str">
        <f aca="false">IF(INDEX(Salary_Calculation[Source Row],ROW()-ROW(Payslip_Lookup[#Headers]))="","",INDEX(Salary_Calculation[Gross Salary Before Deductions],ROW()-ROW(Payslip_Lookup[#Headers])))</f>
        <v/>
      </c>
      <c r="U144" s="176" t="str">
        <f aca="false">IF(INDEX(Salary_Calculation[Source Row],ROW()-ROW(Payslip_Lookup[#Headers]))="","",INDEX(Salary_Calculation[missed_days_penalty],ROW()-ROW(Payslip_Lookup[#Headers])))</f>
        <v/>
      </c>
      <c r="V144" s="176" t="str">
        <f aca="false">IF(INDEX(Salary_Calculation[Source Row],ROW()-ROW(Payslip_Lookup[#Headers]))="","",INDEX(Salary_Calculation[Rider Balance],ROW()-ROW(Payslip_Lookup[#Headers])))</f>
        <v/>
      </c>
      <c r="W144" s="176" t="str">
        <f aca="false">IF(INDEX(Salary_Calculation[Source Row],ROW()-ROW(Payslip_Lookup[#Headers]))="","",INDEX(Salary_Calculation[stacking_deduction],ROW()-ROW(Payslip_Lookup[#Headers])))</f>
        <v/>
      </c>
      <c r="X144" s="176" t="str">
        <f aca="false">IF(INDEX(Salary_Calculation[Source Row],ROW()-ROW(Payslip_Lookup[#Headers]))="","",INDEX(Salary_Calculation[Other Deductions],ROW()-ROW(Payslip_Lookup[#Headers])))</f>
        <v/>
      </c>
      <c r="Y144" s="176" t="str">
        <f aca="false">IF(INDEX(Salary_Calculation[Source Row],ROW()-ROW(Payslip_Lookup[#Headers]))="","",INDEX(Salary_Calculation[Total Deductions],ROW()-ROW(Payslip_Lookup[#Headers])))</f>
        <v/>
      </c>
      <c r="Z144" s="176" t="str">
        <f aca="false">IF(INDEX(Salary_Calculation[Source Row],ROW()-ROW(Payslip_Lookup[#Headers]))="","",INDEX(Salary_Calculation[Final Salary],ROW()-ROW(Payslip_Lookup[#Headers])))</f>
        <v/>
      </c>
      <c r="AA144" s="176" t="str">
        <f aca="false">IF(INDEX(Salary_Calculation[Source Row],ROW()-ROW(Payslip_Lookup[#Headers]))="","",INDEX(Salary_Calculation[Negative Balance / Amount Due from Rider],ROW()-ROW(Payslip_Lookup[#Headers])))</f>
        <v/>
      </c>
      <c r="AB144" s="176" t="str">
        <f aca="false">IF(INDEX(Salary_Calculation[Source Row],ROW()-ROW(Payslip_Lookup[#Headers]))="","",INDEX(Salary_Calculation[Total Amount Due from Rider],ROW()-ROW(Payslip_Lookup[#Headers])))</f>
        <v/>
      </c>
      <c r="AC144" s="176" t="str">
        <f aca="false">IF(INDEX(Salary_Calculation[Source Row],ROW()-ROW(Payslip_Lookup[#Headers]))="","",INDEX(Salary_Calculation[Salary Before Other Deductions],ROW()-ROW(Payslip_Lookup[#Headers])))</f>
        <v/>
      </c>
      <c r="AD144" s="171" t="str">
        <f aca="false">IF(INDEX(Salary_Calculation[Source Row],ROW()-ROW(Payslip_Lookup[#Headers]))="","",INDEX(Salary_Calculation[Payment Status],ROW()-ROW(Payslip_Lookup[#Headers])))</f>
        <v/>
      </c>
      <c r="AE144" s="171" t="str">
        <f aca="false">IF(INDEX(Salary_Calculation[Source Row],ROW()-ROW(Payslip_Lookup[#Headers]))="","",INDEX(Salary_Calculation[Notes],ROW()-ROW(Payslip_Lookup[#Headers])))</f>
        <v/>
      </c>
      <c r="AF144" s="171" t="str">
        <f aca="false">IF(INDEX(Salary_Calculation[Source Row],ROW()-ROW(Payslip_Lookup[#Headers]))="","",INDEX(Salary_Calculation[Exception Reason],ROW()-ROW(Payslip_Lookup[#Headers])))</f>
        <v/>
      </c>
      <c r="AG144" s="173" t="str">
        <f aca="false">IF($AD144="Review Required",COUNTIF(AD$2:AD144,"Review Required"),"")</f>
        <v/>
      </c>
      <c r="AH144" s="173" t="str">
        <f aca="false">IF(AND($D144&lt;&gt;"",$B144=Payslip_Print!$C$2),MAX(AH$1:AH143)+1,"")</f>
        <v/>
      </c>
      <c r="AL144" s="178" t="str">
        <f aca="false">IFERROR(INDEX($D$2:$D$501,MATCH(ROW()-1,$AH$2:$AH$501,0)),"")</f>
        <v/>
      </c>
      <c r="AM144" s="179" t="str">
        <f aca="false">IF($Z144="","",IF(AND($C144&gt;=Dash_Start,$C144&lt;Dash_End),$Z144+ROW()/10000000,""))</f>
        <v/>
      </c>
    </row>
    <row r="145" customFormat="false" ht="14.25" hidden="false" customHeight="false" outlineLevel="0" collapsed="false">
      <c r="A145" s="171" t="str">
        <f aca="false">IF(Payslip_Lookup[[#This Row],[Rider ID]]="","",Payslip_Lookup[[#This Row],[Rider ID]]&amp;"|"&amp;Payslip_Lookup[[#This Row],[Month Key]])</f>
        <v/>
      </c>
      <c r="B145" s="172" t="str">
        <f aca="false">IF(ISNUMBER(Payslip_Lookup[[#This Row],[Salary Month]]),DATE(YEAR(Payslip_Lookup[[#This Row],[Salary Month]]),MONTH(Payslip_Lookup[[#This Row],[Salary Month]]),1),"")</f>
        <v/>
      </c>
      <c r="C145" s="172" t="str">
        <f aca="false">IF(INDEX(Salary_Calculation[Source Row],ROW()-ROW(Payslip_Lookup[#Headers]))="","",INDEX(Salary_Calculation[Salary Month],ROW()-ROW(Payslip_Lookup[#Headers])))</f>
        <v/>
      </c>
      <c r="D145" s="173" t="str">
        <f aca="false">IF(INDEX(Salary_Calculation[Source Row],ROW()-ROW(Payslip_Lookup[#Headers]))="","",INDEX(Salary_Calculation[Rider ID],ROW()-ROW(Payslip_Lookup[#Headers])))</f>
        <v/>
      </c>
      <c r="E145" s="171" t="str">
        <f aca="false">IF(INDEX(Salary_Calculation[Source Row],ROW()-ROW(Payslip_Lookup[#Headers]))="","",INDEX(Salary_Calculation[Rider Name],ROW()-ROW(Payslip_Lookup[#Headers])))</f>
        <v/>
      </c>
      <c r="F145" s="173" t="str">
        <f aca="false">IF(INDEX(Salary_Calculation[Source Row],ROW()-ROW(Payslip_Lookup[#Headers]))="","",INDEX(Salary_Calculation[Working Days],ROW()-ROW(Payslip_Lookup[#Headers])))</f>
        <v/>
      </c>
      <c r="G145" s="173" t="str">
        <f aca="false">IF(INDEX(Salary_Calculation[Source Row],ROW()-ROW(Payslip_Lookup[#Headers]))="","",INDEX(Salary_Calculation[Calendar Days],ROW()-ROW(Payslip_Lookup[#Headers])))</f>
        <v/>
      </c>
      <c r="H145" s="174" t="str">
        <f aca="false">IF(INDEX(Salary_Calculation[Source Row],ROW()-ROW(Payslip_Lookup[#Headers]))="","",INDEX(Salary_Calculation[Monthly Target Orders],ROW()-ROW(Payslip_Lookup[#Headers])))</f>
        <v/>
      </c>
      <c r="I145" s="174" t="str">
        <f aca="false">IF(INDEX(Salary_Calculation[Source Row],ROW()-ROW(Payslip_Lookup[#Headers]))="","",INDEX(Salary_Calculation[Rider Target Orders],ROW()-ROW(Payslip_Lookup[#Headers])))</f>
        <v/>
      </c>
      <c r="J145" s="175" t="str">
        <f aca="false">IF(INDEX(Salary_Calculation[Source Row],ROW()-ROW(Payslip_Lookup[#Headers]))="","",INDEX(Salary_Calculation[Completed Orders],ROW()-ROW(Payslip_Lookup[#Headers])))</f>
        <v/>
      </c>
      <c r="K145" s="174" t="str">
        <f aca="false">IF(INDEX(Salary_Calculation[Source Row],ROW()-ROW(Payslip_Lookup[#Headers]))="","",INDEX(Salary_Calculation[Base Order Rate],ROW()-ROW(Payslip_Lookup[#Headers])))</f>
        <v/>
      </c>
      <c r="L145" s="176" t="str">
        <f aca="false">IF(INDEX(Salary_Calculation[Source Row],ROW()-ROW(Payslip_Lookup[#Headers]))="","",INDEX(Salary_Calculation[Basic Payment],ROW()-ROW(Payslip_Lookup[#Headers])))</f>
        <v/>
      </c>
      <c r="M145" s="176" t="str">
        <f aca="false">IF(INDEX(Salary_Calculation[Source Row],ROW()-ROW(Payslip_Lookup[#Headers]))="","",INDEX(Salary_Calculation[Earned Salary],ROW()-ROW(Payslip_Lookup[#Headers])))</f>
        <v/>
      </c>
      <c r="N145" s="174" t="str">
        <f aca="false">IF(INDEX(Salary_Calculation[Source Row],ROW()-ROW(Payslip_Lookup[#Headers]))="","",INDEX(Salary_Calculation[Orders Counted at Base Rate],ROW()-ROW(Payslip_Lookup[#Headers])))</f>
        <v/>
      </c>
      <c r="O145" s="174" t="str">
        <f aca="false">IF(INDEX(Salary_Calculation[Source Row],ROW()-ROW(Payslip_Lookup[#Headers]))="","",INDEX(Salary_Calculation[Missing Orders],ROW()-ROW(Payslip_Lookup[#Headers])))</f>
        <v/>
      </c>
      <c r="P145" s="176" t="str">
        <f aca="false">IF(INDEX(Salary_Calculation[Source Row],ROW()-ROW(Payslip_Lookup[#Headers]))="","",INDEX(Salary_Calculation[Missing-Order Deduction],ROW()-ROW(Payslip_Lookup[#Headers])))</f>
        <v/>
      </c>
      <c r="Q145" s="174" t="str">
        <f aca="false">IF(INDEX(Salary_Calculation[Source Row],ROW()-ROW(Payslip_Lookup[#Headers]))="","",INDEX(Salary_Calculation[Extra Orders],ROW()-ROW(Payslip_Lookup[#Headers])))</f>
        <v/>
      </c>
      <c r="R145" s="176" t="str">
        <f aca="false">IF(INDEX(Salary_Calculation[Source Row],ROW()-ROW(Payslip_Lookup[#Headers]))="","",INDEX(Salary_Calculation[Extra-Order Bonus],ROW()-ROW(Payslip_Lookup[#Headers])))</f>
        <v/>
      </c>
      <c r="S145" s="176" t="str">
        <f aca="false">IF(INDEX(Salary_Calculation[Source Row],ROW()-ROW(Payslip_Lookup[#Headers]))="","",INDEX(Salary_Calculation[Basic Salary for Target],ROW()-ROW(Payslip_Lookup[#Headers])))</f>
        <v/>
      </c>
      <c r="T145" s="176" t="str">
        <f aca="false">IF(INDEX(Salary_Calculation[Source Row],ROW()-ROW(Payslip_Lookup[#Headers]))="","",INDEX(Salary_Calculation[Gross Salary Before Deductions],ROW()-ROW(Payslip_Lookup[#Headers])))</f>
        <v/>
      </c>
      <c r="U145" s="176" t="str">
        <f aca="false">IF(INDEX(Salary_Calculation[Source Row],ROW()-ROW(Payslip_Lookup[#Headers]))="","",INDEX(Salary_Calculation[missed_days_penalty],ROW()-ROW(Payslip_Lookup[#Headers])))</f>
        <v/>
      </c>
      <c r="V145" s="176" t="str">
        <f aca="false">IF(INDEX(Salary_Calculation[Source Row],ROW()-ROW(Payslip_Lookup[#Headers]))="","",INDEX(Salary_Calculation[Rider Balance],ROW()-ROW(Payslip_Lookup[#Headers])))</f>
        <v/>
      </c>
      <c r="W145" s="176" t="str">
        <f aca="false">IF(INDEX(Salary_Calculation[Source Row],ROW()-ROW(Payslip_Lookup[#Headers]))="","",INDEX(Salary_Calculation[stacking_deduction],ROW()-ROW(Payslip_Lookup[#Headers])))</f>
        <v/>
      </c>
      <c r="X145" s="176" t="str">
        <f aca="false">IF(INDEX(Salary_Calculation[Source Row],ROW()-ROW(Payslip_Lookup[#Headers]))="","",INDEX(Salary_Calculation[Other Deductions],ROW()-ROW(Payslip_Lookup[#Headers])))</f>
        <v/>
      </c>
      <c r="Y145" s="176" t="str">
        <f aca="false">IF(INDEX(Salary_Calculation[Source Row],ROW()-ROW(Payslip_Lookup[#Headers]))="","",INDEX(Salary_Calculation[Total Deductions],ROW()-ROW(Payslip_Lookup[#Headers])))</f>
        <v/>
      </c>
      <c r="Z145" s="176" t="str">
        <f aca="false">IF(INDEX(Salary_Calculation[Source Row],ROW()-ROW(Payslip_Lookup[#Headers]))="","",INDEX(Salary_Calculation[Final Salary],ROW()-ROW(Payslip_Lookup[#Headers])))</f>
        <v/>
      </c>
      <c r="AA145" s="176" t="str">
        <f aca="false">IF(INDEX(Salary_Calculation[Source Row],ROW()-ROW(Payslip_Lookup[#Headers]))="","",INDEX(Salary_Calculation[Negative Balance / Amount Due from Rider],ROW()-ROW(Payslip_Lookup[#Headers])))</f>
        <v/>
      </c>
      <c r="AB145" s="176" t="str">
        <f aca="false">IF(INDEX(Salary_Calculation[Source Row],ROW()-ROW(Payslip_Lookup[#Headers]))="","",INDEX(Salary_Calculation[Total Amount Due from Rider],ROW()-ROW(Payslip_Lookup[#Headers])))</f>
        <v/>
      </c>
      <c r="AC145" s="176" t="str">
        <f aca="false">IF(INDEX(Salary_Calculation[Source Row],ROW()-ROW(Payslip_Lookup[#Headers]))="","",INDEX(Salary_Calculation[Salary Before Other Deductions],ROW()-ROW(Payslip_Lookup[#Headers])))</f>
        <v/>
      </c>
      <c r="AD145" s="171" t="str">
        <f aca="false">IF(INDEX(Salary_Calculation[Source Row],ROW()-ROW(Payslip_Lookup[#Headers]))="","",INDEX(Salary_Calculation[Payment Status],ROW()-ROW(Payslip_Lookup[#Headers])))</f>
        <v/>
      </c>
      <c r="AE145" s="171" t="str">
        <f aca="false">IF(INDEX(Salary_Calculation[Source Row],ROW()-ROW(Payslip_Lookup[#Headers]))="","",INDEX(Salary_Calculation[Notes],ROW()-ROW(Payslip_Lookup[#Headers])))</f>
        <v/>
      </c>
      <c r="AF145" s="171" t="str">
        <f aca="false">IF(INDEX(Salary_Calculation[Source Row],ROW()-ROW(Payslip_Lookup[#Headers]))="","",INDEX(Salary_Calculation[Exception Reason],ROW()-ROW(Payslip_Lookup[#Headers])))</f>
        <v/>
      </c>
      <c r="AG145" s="173" t="str">
        <f aca="false">IF($AD145="Review Required",COUNTIF(AD$2:AD145,"Review Required"),"")</f>
        <v/>
      </c>
      <c r="AH145" s="173" t="str">
        <f aca="false">IF(AND($D145&lt;&gt;"",$B145=Payslip_Print!$C$2),MAX(AH$1:AH144)+1,"")</f>
        <v/>
      </c>
      <c r="AL145" s="178" t="str">
        <f aca="false">IFERROR(INDEX($D$2:$D$501,MATCH(ROW()-1,$AH$2:$AH$501,0)),"")</f>
        <v/>
      </c>
      <c r="AM145" s="179" t="str">
        <f aca="false">IF($Z145="","",IF(AND($C145&gt;=Dash_Start,$C145&lt;Dash_End),$Z145+ROW()/10000000,""))</f>
        <v/>
      </c>
    </row>
    <row r="146" customFormat="false" ht="14.25" hidden="false" customHeight="false" outlineLevel="0" collapsed="false">
      <c r="A146" s="171" t="str">
        <f aca="false">IF(Payslip_Lookup[[#This Row],[Rider ID]]="","",Payslip_Lookup[[#This Row],[Rider ID]]&amp;"|"&amp;Payslip_Lookup[[#This Row],[Month Key]])</f>
        <v/>
      </c>
      <c r="B146" s="172" t="str">
        <f aca="false">IF(ISNUMBER(Payslip_Lookup[[#This Row],[Salary Month]]),DATE(YEAR(Payslip_Lookup[[#This Row],[Salary Month]]),MONTH(Payslip_Lookup[[#This Row],[Salary Month]]),1),"")</f>
        <v/>
      </c>
      <c r="C146" s="172" t="str">
        <f aca="false">IF(INDEX(Salary_Calculation[Source Row],ROW()-ROW(Payslip_Lookup[#Headers]))="","",INDEX(Salary_Calculation[Salary Month],ROW()-ROW(Payslip_Lookup[#Headers])))</f>
        <v/>
      </c>
      <c r="D146" s="173" t="str">
        <f aca="false">IF(INDEX(Salary_Calculation[Source Row],ROW()-ROW(Payslip_Lookup[#Headers]))="","",INDEX(Salary_Calculation[Rider ID],ROW()-ROW(Payslip_Lookup[#Headers])))</f>
        <v/>
      </c>
      <c r="E146" s="171" t="str">
        <f aca="false">IF(INDEX(Salary_Calculation[Source Row],ROW()-ROW(Payslip_Lookup[#Headers]))="","",INDEX(Salary_Calculation[Rider Name],ROW()-ROW(Payslip_Lookup[#Headers])))</f>
        <v/>
      </c>
      <c r="F146" s="173" t="str">
        <f aca="false">IF(INDEX(Salary_Calculation[Source Row],ROW()-ROW(Payslip_Lookup[#Headers]))="","",INDEX(Salary_Calculation[Working Days],ROW()-ROW(Payslip_Lookup[#Headers])))</f>
        <v/>
      </c>
      <c r="G146" s="173" t="str">
        <f aca="false">IF(INDEX(Salary_Calculation[Source Row],ROW()-ROW(Payslip_Lookup[#Headers]))="","",INDEX(Salary_Calculation[Calendar Days],ROW()-ROW(Payslip_Lookup[#Headers])))</f>
        <v/>
      </c>
      <c r="H146" s="174" t="str">
        <f aca="false">IF(INDEX(Salary_Calculation[Source Row],ROW()-ROW(Payslip_Lookup[#Headers]))="","",INDEX(Salary_Calculation[Monthly Target Orders],ROW()-ROW(Payslip_Lookup[#Headers])))</f>
        <v/>
      </c>
      <c r="I146" s="174" t="str">
        <f aca="false">IF(INDEX(Salary_Calculation[Source Row],ROW()-ROW(Payslip_Lookup[#Headers]))="","",INDEX(Salary_Calculation[Rider Target Orders],ROW()-ROW(Payslip_Lookup[#Headers])))</f>
        <v/>
      </c>
      <c r="J146" s="175" t="str">
        <f aca="false">IF(INDEX(Salary_Calculation[Source Row],ROW()-ROW(Payslip_Lookup[#Headers]))="","",INDEX(Salary_Calculation[Completed Orders],ROW()-ROW(Payslip_Lookup[#Headers])))</f>
        <v/>
      </c>
      <c r="K146" s="174" t="str">
        <f aca="false">IF(INDEX(Salary_Calculation[Source Row],ROW()-ROW(Payslip_Lookup[#Headers]))="","",INDEX(Salary_Calculation[Base Order Rate],ROW()-ROW(Payslip_Lookup[#Headers])))</f>
        <v/>
      </c>
      <c r="L146" s="176" t="str">
        <f aca="false">IF(INDEX(Salary_Calculation[Source Row],ROW()-ROW(Payslip_Lookup[#Headers]))="","",INDEX(Salary_Calculation[Basic Payment],ROW()-ROW(Payslip_Lookup[#Headers])))</f>
        <v/>
      </c>
      <c r="M146" s="176" t="str">
        <f aca="false">IF(INDEX(Salary_Calculation[Source Row],ROW()-ROW(Payslip_Lookup[#Headers]))="","",INDEX(Salary_Calculation[Earned Salary],ROW()-ROW(Payslip_Lookup[#Headers])))</f>
        <v/>
      </c>
      <c r="N146" s="174" t="str">
        <f aca="false">IF(INDEX(Salary_Calculation[Source Row],ROW()-ROW(Payslip_Lookup[#Headers]))="","",INDEX(Salary_Calculation[Orders Counted at Base Rate],ROW()-ROW(Payslip_Lookup[#Headers])))</f>
        <v/>
      </c>
      <c r="O146" s="174" t="str">
        <f aca="false">IF(INDEX(Salary_Calculation[Source Row],ROW()-ROW(Payslip_Lookup[#Headers]))="","",INDEX(Salary_Calculation[Missing Orders],ROW()-ROW(Payslip_Lookup[#Headers])))</f>
        <v/>
      </c>
      <c r="P146" s="176" t="str">
        <f aca="false">IF(INDEX(Salary_Calculation[Source Row],ROW()-ROW(Payslip_Lookup[#Headers]))="","",INDEX(Salary_Calculation[Missing-Order Deduction],ROW()-ROW(Payslip_Lookup[#Headers])))</f>
        <v/>
      </c>
      <c r="Q146" s="174" t="str">
        <f aca="false">IF(INDEX(Salary_Calculation[Source Row],ROW()-ROW(Payslip_Lookup[#Headers]))="","",INDEX(Salary_Calculation[Extra Orders],ROW()-ROW(Payslip_Lookup[#Headers])))</f>
        <v/>
      </c>
      <c r="R146" s="176" t="str">
        <f aca="false">IF(INDEX(Salary_Calculation[Source Row],ROW()-ROW(Payslip_Lookup[#Headers]))="","",INDEX(Salary_Calculation[Extra-Order Bonus],ROW()-ROW(Payslip_Lookup[#Headers])))</f>
        <v/>
      </c>
      <c r="S146" s="176" t="str">
        <f aca="false">IF(INDEX(Salary_Calculation[Source Row],ROW()-ROW(Payslip_Lookup[#Headers]))="","",INDEX(Salary_Calculation[Basic Salary for Target],ROW()-ROW(Payslip_Lookup[#Headers])))</f>
        <v/>
      </c>
      <c r="T146" s="176" t="str">
        <f aca="false">IF(INDEX(Salary_Calculation[Source Row],ROW()-ROW(Payslip_Lookup[#Headers]))="","",INDEX(Salary_Calculation[Gross Salary Before Deductions],ROW()-ROW(Payslip_Lookup[#Headers])))</f>
        <v/>
      </c>
      <c r="U146" s="176" t="str">
        <f aca="false">IF(INDEX(Salary_Calculation[Source Row],ROW()-ROW(Payslip_Lookup[#Headers]))="","",INDEX(Salary_Calculation[missed_days_penalty],ROW()-ROW(Payslip_Lookup[#Headers])))</f>
        <v/>
      </c>
      <c r="V146" s="176" t="str">
        <f aca="false">IF(INDEX(Salary_Calculation[Source Row],ROW()-ROW(Payslip_Lookup[#Headers]))="","",INDEX(Salary_Calculation[Rider Balance],ROW()-ROW(Payslip_Lookup[#Headers])))</f>
        <v/>
      </c>
      <c r="W146" s="176" t="str">
        <f aca="false">IF(INDEX(Salary_Calculation[Source Row],ROW()-ROW(Payslip_Lookup[#Headers]))="","",INDEX(Salary_Calculation[stacking_deduction],ROW()-ROW(Payslip_Lookup[#Headers])))</f>
        <v/>
      </c>
      <c r="X146" s="176" t="str">
        <f aca="false">IF(INDEX(Salary_Calculation[Source Row],ROW()-ROW(Payslip_Lookup[#Headers]))="","",INDEX(Salary_Calculation[Other Deductions],ROW()-ROW(Payslip_Lookup[#Headers])))</f>
        <v/>
      </c>
      <c r="Y146" s="176" t="str">
        <f aca="false">IF(INDEX(Salary_Calculation[Source Row],ROW()-ROW(Payslip_Lookup[#Headers]))="","",INDEX(Salary_Calculation[Total Deductions],ROW()-ROW(Payslip_Lookup[#Headers])))</f>
        <v/>
      </c>
      <c r="Z146" s="176" t="str">
        <f aca="false">IF(INDEX(Salary_Calculation[Source Row],ROW()-ROW(Payslip_Lookup[#Headers]))="","",INDEX(Salary_Calculation[Final Salary],ROW()-ROW(Payslip_Lookup[#Headers])))</f>
        <v/>
      </c>
      <c r="AA146" s="176" t="str">
        <f aca="false">IF(INDEX(Salary_Calculation[Source Row],ROW()-ROW(Payslip_Lookup[#Headers]))="","",INDEX(Salary_Calculation[Negative Balance / Amount Due from Rider],ROW()-ROW(Payslip_Lookup[#Headers])))</f>
        <v/>
      </c>
      <c r="AB146" s="176" t="str">
        <f aca="false">IF(INDEX(Salary_Calculation[Source Row],ROW()-ROW(Payslip_Lookup[#Headers]))="","",INDEX(Salary_Calculation[Total Amount Due from Rider],ROW()-ROW(Payslip_Lookup[#Headers])))</f>
        <v/>
      </c>
      <c r="AC146" s="176" t="str">
        <f aca="false">IF(INDEX(Salary_Calculation[Source Row],ROW()-ROW(Payslip_Lookup[#Headers]))="","",INDEX(Salary_Calculation[Salary Before Other Deductions],ROW()-ROW(Payslip_Lookup[#Headers])))</f>
        <v/>
      </c>
      <c r="AD146" s="171" t="str">
        <f aca="false">IF(INDEX(Salary_Calculation[Source Row],ROW()-ROW(Payslip_Lookup[#Headers]))="","",INDEX(Salary_Calculation[Payment Status],ROW()-ROW(Payslip_Lookup[#Headers])))</f>
        <v/>
      </c>
      <c r="AE146" s="171" t="str">
        <f aca="false">IF(INDEX(Salary_Calculation[Source Row],ROW()-ROW(Payslip_Lookup[#Headers]))="","",INDEX(Salary_Calculation[Notes],ROW()-ROW(Payslip_Lookup[#Headers])))</f>
        <v/>
      </c>
      <c r="AF146" s="171" t="str">
        <f aca="false">IF(INDEX(Salary_Calculation[Source Row],ROW()-ROW(Payslip_Lookup[#Headers]))="","",INDEX(Salary_Calculation[Exception Reason],ROW()-ROW(Payslip_Lookup[#Headers])))</f>
        <v/>
      </c>
      <c r="AG146" s="173" t="str">
        <f aca="false">IF($AD146="Review Required",COUNTIF(AD$2:AD146,"Review Required"),"")</f>
        <v/>
      </c>
      <c r="AH146" s="173" t="str">
        <f aca="false">IF(AND($D146&lt;&gt;"",$B146=Payslip_Print!$C$2),MAX(AH$1:AH145)+1,"")</f>
        <v/>
      </c>
      <c r="AL146" s="178" t="str">
        <f aca="false">IFERROR(INDEX($D$2:$D$501,MATCH(ROW()-1,$AH$2:$AH$501,0)),"")</f>
        <v/>
      </c>
      <c r="AM146" s="179" t="str">
        <f aca="false">IF($Z146="","",IF(AND($C146&gt;=Dash_Start,$C146&lt;Dash_End),$Z146+ROW()/10000000,""))</f>
        <v/>
      </c>
    </row>
    <row r="147" customFormat="false" ht="14.25" hidden="false" customHeight="false" outlineLevel="0" collapsed="false">
      <c r="A147" s="171" t="str">
        <f aca="false">IF(Payslip_Lookup[[#This Row],[Rider ID]]="","",Payslip_Lookup[[#This Row],[Rider ID]]&amp;"|"&amp;Payslip_Lookup[[#This Row],[Month Key]])</f>
        <v/>
      </c>
      <c r="B147" s="172" t="str">
        <f aca="false">IF(ISNUMBER(Payslip_Lookup[[#This Row],[Salary Month]]),DATE(YEAR(Payslip_Lookup[[#This Row],[Salary Month]]),MONTH(Payslip_Lookup[[#This Row],[Salary Month]]),1),"")</f>
        <v/>
      </c>
      <c r="C147" s="172" t="str">
        <f aca="false">IF(INDEX(Salary_Calculation[Source Row],ROW()-ROW(Payslip_Lookup[#Headers]))="","",INDEX(Salary_Calculation[Salary Month],ROW()-ROW(Payslip_Lookup[#Headers])))</f>
        <v/>
      </c>
      <c r="D147" s="173" t="str">
        <f aca="false">IF(INDEX(Salary_Calculation[Source Row],ROW()-ROW(Payslip_Lookup[#Headers]))="","",INDEX(Salary_Calculation[Rider ID],ROW()-ROW(Payslip_Lookup[#Headers])))</f>
        <v/>
      </c>
      <c r="E147" s="171" t="str">
        <f aca="false">IF(INDEX(Salary_Calculation[Source Row],ROW()-ROW(Payslip_Lookup[#Headers]))="","",INDEX(Salary_Calculation[Rider Name],ROW()-ROW(Payslip_Lookup[#Headers])))</f>
        <v/>
      </c>
      <c r="F147" s="173" t="str">
        <f aca="false">IF(INDEX(Salary_Calculation[Source Row],ROW()-ROW(Payslip_Lookup[#Headers]))="","",INDEX(Salary_Calculation[Working Days],ROW()-ROW(Payslip_Lookup[#Headers])))</f>
        <v/>
      </c>
      <c r="G147" s="173" t="str">
        <f aca="false">IF(INDEX(Salary_Calculation[Source Row],ROW()-ROW(Payslip_Lookup[#Headers]))="","",INDEX(Salary_Calculation[Calendar Days],ROW()-ROW(Payslip_Lookup[#Headers])))</f>
        <v/>
      </c>
      <c r="H147" s="174" t="str">
        <f aca="false">IF(INDEX(Salary_Calculation[Source Row],ROW()-ROW(Payslip_Lookup[#Headers]))="","",INDEX(Salary_Calculation[Monthly Target Orders],ROW()-ROW(Payslip_Lookup[#Headers])))</f>
        <v/>
      </c>
      <c r="I147" s="174" t="str">
        <f aca="false">IF(INDEX(Salary_Calculation[Source Row],ROW()-ROW(Payslip_Lookup[#Headers]))="","",INDEX(Salary_Calculation[Rider Target Orders],ROW()-ROW(Payslip_Lookup[#Headers])))</f>
        <v/>
      </c>
      <c r="J147" s="175" t="str">
        <f aca="false">IF(INDEX(Salary_Calculation[Source Row],ROW()-ROW(Payslip_Lookup[#Headers]))="","",INDEX(Salary_Calculation[Completed Orders],ROW()-ROW(Payslip_Lookup[#Headers])))</f>
        <v/>
      </c>
      <c r="K147" s="174" t="str">
        <f aca="false">IF(INDEX(Salary_Calculation[Source Row],ROW()-ROW(Payslip_Lookup[#Headers]))="","",INDEX(Salary_Calculation[Base Order Rate],ROW()-ROW(Payslip_Lookup[#Headers])))</f>
        <v/>
      </c>
      <c r="L147" s="176" t="str">
        <f aca="false">IF(INDEX(Salary_Calculation[Source Row],ROW()-ROW(Payslip_Lookup[#Headers]))="","",INDEX(Salary_Calculation[Basic Payment],ROW()-ROW(Payslip_Lookup[#Headers])))</f>
        <v/>
      </c>
      <c r="M147" s="176" t="str">
        <f aca="false">IF(INDEX(Salary_Calculation[Source Row],ROW()-ROW(Payslip_Lookup[#Headers]))="","",INDEX(Salary_Calculation[Earned Salary],ROW()-ROW(Payslip_Lookup[#Headers])))</f>
        <v/>
      </c>
      <c r="N147" s="174" t="str">
        <f aca="false">IF(INDEX(Salary_Calculation[Source Row],ROW()-ROW(Payslip_Lookup[#Headers]))="","",INDEX(Salary_Calculation[Orders Counted at Base Rate],ROW()-ROW(Payslip_Lookup[#Headers])))</f>
        <v/>
      </c>
      <c r="O147" s="174" t="str">
        <f aca="false">IF(INDEX(Salary_Calculation[Source Row],ROW()-ROW(Payslip_Lookup[#Headers]))="","",INDEX(Salary_Calculation[Missing Orders],ROW()-ROW(Payslip_Lookup[#Headers])))</f>
        <v/>
      </c>
      <c r="P147" s="176" t="str">
        <f aca="false">IF(INDEX(Salary_Calculation[Source Row],ROW()-ROW(Payslip_Lookup[#Headers]))="","",INDEX(Salary_Calculation[Missing-Order Deduction],ROW()-ROW(Payslip_Lookup[#Headers])))</f>
        <v/>
      </c>
      <c r="Q147" s="174" t="str">
        <f aca="false">IF(INDEX(Salary_Calculation[Source Row],ROW()-ROW(Payslip_Lookup[#Headers]))="","",INDEX(Salary_Calculation[Extra Orders],ROW()-ROW(Payslip_Lookup[#Headers])))</f>
        <v/>
      </c>
      <c r="R147" s="176" t="str">
        <f aca="false">IF(INDEX(Salary_Calculation[Source Row],ROW()-ROW(Payslip_Lookup[#Headers]))="","",INDEX(Salary_Calculation[Extra-Order Bonus],ROW()-ROW(Payslip_Lookup[#Headers])))</f>
        <v/>
      </c>
      <c r="S147" s="176" t="str">
        <f aca="false">IF(INDEX(Salary_Calculation[Source Row],ROW()-ROW(Payslip_Lookup[#Headers]))="","",INDEX(Salary_Calculation[Basic Salary for Target],ROW()-ROW(Payslip_Lookup[#Headers])))</f>
        <v/>
      </c>
      <c r="T147" s="176" t="str">
        <f aca="false">IF(INDEX(Salary_Calculation[Source Row],ROW()-ROW(Payslip_Lookup[#Headers]))="","",INDEX(Salary_Calculation[Gross Salary Before Deductions],ROW()-ROW(Payslip_Lookup[#Headers])))</f>
        <v/>
      </c>
      <c r="U147" s="176" t="str">
        <f aca="false">IF(INDEX(Salary_Calculation[Source Row],ROW()-ROW(Payslip_Lookup[#Headers]))="","",INDEX(Salary_Calculation[missed_days_penalty],ROW()-ROW(Payslip_Lookup[#Headers])))</f>
        <v/>
      </c>
      <c r="V147" s="176" t="str">
        <f aca="false">IF(INDEX(Salary_Calculation[Source Row],ROW()-ROW(Payslip_Lookup[#Headers]))="","",INDEX(Salary_Calculation[Rider Balance],ROW()-ROW(Payslip_Lookup[#Headers])))</f>
        <v/>
      </c>
      <c r="W147" s="176" t="str">
        <f aca="false">IF(INDEX(Salary_Calculation[Source Row],ROW()-ROW(Payslip_Lookup[#Headers]))="","",INDEX(Salary_Calculation[stacking_deduction],ROW()-ROW(Payslip_Lookup[#Headers])))</f>
        <v/>
      </c>
      <c r="X147" s="176" t="str">
        <f aca="false">IF(INDEX(Salary_Calculation[Source Row],ROW()-ROW(Payslip_Lookup[#Headers]))="","",INDEX(Salary_Calculation[Other Deductions],ROW()-ROW(Payslip_Lookup[#Headers])))</f>
        <v/>
      </c>
      <c r="Y147" s="176" t="str">
        <f aca="false">IF(INDEX(Salary_Calculation[Source Row],ROW()-ROW(Payslip_Lookup[#Headers]))="","",INDEX(Salary_Calculation[Total Deductions],ROW()-ROW(Payslip_Lookup[#Headers])))</f>
        <v/>
      </c>
      <c r="Z147" s="176" t="str">
        <f aca="false">IF(INDEX(Salary_Calculation[Source Row],ROW()-ROW(Payslip_Lookup[#Headers]))="","",INDEX(Salary_Calculation[Final Salary],ROW()-ROW(Payslip_Lookup[#Headers])))</f>
        <v/>
      </c>
      <c r="AA147" s="176" t="str">
        <f aca="false">IF(INDEX(Salary_Calculation[Source Row],ROW()-ROW(Payslip_Lookup[#Headers]))="","",INDEX(Salary_Calculation[Negative Balance / Amount Due from Rider],ROW()-ROW(Payslip_Lookup[#Headers])))</f>
        <v/>
      </c>
      <c r="AB147" s="176" t="str">
        <f aca="false">IF(INDEX(Salary_Calculation[Source Row],ROW()-ROW(Payslip_Lookup[#Headers]))="","",INDEX(Salary_Calculation[Total Amount Due from Rider],ROW()-ROW(Payslip_Lookup[#Headers])))</f>
        <v/>
      </c>
      <c r="AC147" s="176" t="str">
        <f aca="false">IF(INDEX(Salary_Calculation[Source Row],ROW()-ROW(Payslip_Lookup[#Headers]))="","",INDEX(Salary_Calculation[Salary Before Other Deductions],ROW()-ROW(Payslip_Lookup[#Headers])))</f>
        <v/>
      </c>
      <c r="AD147" s="171" t="str">
        <f aca="false">IF(INDEX(Salary_Calculation[Source Row],ROW()-ROW(Payslip_Lookup[#Headers]))="","",INDEX(Salary_Calculation[Payment Status],ROW()-ROW(Payslip_Lookup[#Headers])))</f>
        <v/>
      </c>
      <c r="AE147" s="171" t="str">
        <f aca="false">IF(INDEX(Salary_Calculation[Source Row],ROW()-ROW(Payslip_Lookup[#Headers]))="","",INDEX(Salary_Calculation[Notes],ROW()-ROW(Payslip_Lookup[#Headers])))</f>
        <v/>
      </c>
      <c r="AF147" s="171" t="str">
        <f aca="false">IF(INDEX(Salary_Calculation[Source Row],ROW()-ROW(Payslip_Lookup[#Headers]))="","",INDEX(Salary_Calculation[Exception Reason],ROW()-ROW(Payslip_Lookup[#Headers])))</f>
        <v/>
      </c>
      <c r="AG147" s="173" t="str">
        <f aca="false">IF($AD147="Review Required",COUNTIF(AD$2:AD147,"Review Required"),"")</f>
        <v/>
      </c>
      <c r="AH147" s="173" t="str">
        <f aca="false">IF(AND($D147&lt;&gt;"",$B147=Payslip_Print!$C$2),MAX(AH$1:AH146)+1,"")</f>
        <v/>
      </c>
      <c r="AL147" s="178" t="str">
        <f aca="false">IFERROR(INDEX($D$2:$D$501,MATCH(ROW()-1,$AH$2:$AH$501,0)),"")</f>
        <v/>
      </c>
      <c r="AM147" s="179" t="str">
        <f aca="false">IF($Z147="","",IF(AND($C147&gt;=Dash_Start,$C147&lt;Dash_End),$Z147+ROW()/10000000,""))</f>
        <v/>
      </c>
    </row>
    <row r="148" customFormat="false" ht="14.25" hidden="false" customHeight="false" outlineLevel="0" collapsed="false">
      <c r="A148" s="171" t="str">
        <f aca="false">IF(Payslip_Lookup[[#This Row],[Rider ID]]="","",Payslip_Lookup[[#This Row],[Rider ID]]&amp;"|"&amp;Payslip_Lookup[[#This Row],[Month Key]])</f>
        <v/>
      </c>
      <c r="B148" s="172" t="str">
        <f aca="false">IF(ISNUMBER(Payslip_Lookup[[#This Row],[Salary Month]]),DATE(YEAR(Payslip_Lookup[[#This Row],[Salary Month]]),MONTH(Payslip_Lookup[[#This Row],[Salary Month]]),1),"")</f>
        <v/>
      </c>
      <c r="C148" s="172" t="str">
        <f aca="false">IF(INDEX(Salary_Calculation[Source Row],ROW()-ROW(Payslip_Lookup[#Headers]))="","",INDEX(Salary_Calculation[Salary Month],ROW()-ROW(Payslip_Lookup[#Headers])))</f>
        <v/>
      </c>
      <c r="D148" s="173" t="str">
        <f aca="false">IF(INDEX(Salary_Calculation[Source Row],ROW()-ROW(Payslip_Lookup[#Headers]))="","",INDEX(Salary_Calculation[Rider ID],ROW()-ROW(Payslip_Lookup[#Headers])))</f>
        <v/>
      </c>
      <c r="E148" s="171" t="str">
        <f aca="false">IF(INDEX(Salary_Calculation[Source Row],ROW()-ROW(Payslip_Lookup[#Headers]))="","",INDEX(Salary_Calculation[Rider Name],ROW()-ROW(Payslip_Lookup[#Headers])))</f>
        <v/>
      </c>
      <c r="F148" s="173" t="str">
        <f aca="false">IF(INDEX(Salary_Calculation[Source Row],ROW()-ROW(Payslip_Lookup[#Headers]))="","",INDEX(Salary_Calculation[Working Days],ROW()-ROW(Payslip_Lookup[#Headers])))</f>
        <v/>
      </c>
      <c r="G148" s="173" t="str">
        <f aca="false">IF(INDEX(Salary_Calculation[Source Row],ROW()-ROW(Payslip_Lookup[#Headers]))="","",INDEX(Salary_Calculation[Calendar Days],ROW()-ROW(Payslip_Lookup[#Headers])))</f>
        <v/>
      </c>
      <c r="H148" s="174" t="str">
        <f aca="false">IF(INDEX(Salary_Calculation[Source Row],ROW()-ROW(Payslip_Lookup[#Headers]))="","",INDEX(Salary_Calculation[Monthly Target Orders],ROW()-ROW(Payslip_Lookup[#Headers])))</f>
        <v/>
      </c>
      <c r="I148" s="174" t="str">
        <f aca="false">IF(INDEX(Salary_Calculation[Source Row],ROW()-ROW(Payslip_Lookup[#Headers]))="","",INDEX(Salary_Calculation[Rider Target Orders],ROW()-ROW(Payslip_Lookup[#Headers])))</f>
        <v/>
      </c>
      <c r="J148" s="175" t="str">
        <f aca="false">IF(INDEX(Salary_Calculation[Source Row],ROW()-ROW(Payslip_Lookup[#Headers]))="","",INDEX(Salary_Calculation[Completed Orders],ROW()-ROW(Payslip_Lookup[#Headers])))</f>
        <v/>
      </c>
      <c r="K148" s="174" t="str">
        <f aca="false">IF(INDEX(Salary_Calculation[Source Row],ROW()-ROW(Payslip_Lookup[#Headers]))="","",INDEX(Salary_Calculation[Base Order Rate],ROW()-ROW(Payslip_Lookup[#Headers])))</f>
        <v/>
      </c>
      <c r="L148" s="176" t="str">
        <f aca="false">IF(INDEX(Salary_Calculation[Source Row],ROW()-ROW(Payslip_Lookup[#Headers]))="","",INDEX(Salary_Calculation[Basic Payment],ROW()-ROW(Payslip_Lookup[#Headers])))</f>
        <v/>
      </c>
      <c r="M148" s="176" t="str">
        <f aca="false">IF(INDEX(Salary_Calculation[Source Row],ROW()-ROW(Payslip_Lookup[#Headers]))="","",INDEX(Salary_Calculation[Earned Salary],ROW()-ROW(Payslip_Lookup[#Headers])))</f>
        <v/>
      </c>
      <c r="N148" s="174" t="str">
        <f aca="false">IF(INDEX(Salary_Calculation[Source Row],ROW()-ROW(Payslip_Lookup[#Headers]))="","",INDEX(Salary_Calculation[Orders Counted at Base Rate],ROW()-ROW(Payslip_Lookup[#Headers])))</f>
        <v/>
      </c>
      <c r="O148" s="174" t="str">
        <f aca="false">IF(INDEX(Salary_Calculation[Source Row],ROW()-ROW(Payslip_Lookup[#Headers]))="","",INDEX(Salary_Calculation[Missing Orders],ROW()-ROW(Payslip_Lookup[#Headers])))</f>
        <v/>
      </c>
      <c r="P148" s="176" t="str">
        <f aca="false">IF(INDEX(Salary_Calculation[Source Row],ROW()-ROW(Payslip_Lookup[#Headers]))="","",INDEX(Salary_Calculation[Missing-Order Deduction],ROW()-ROW(Payslip_Lookup[#Headers])))</f>
        <v/>
      </c>
      <c r="Q148" s="174" t="str">
        <f aca="false">IF(INDEX(Salary_Calculation[Source Row],ROW()-ROW(Payslip_Lookup[#Headers]))="","",INDEX(Salary_Calculation[Extra Orders],ROW()-ROW(Payslip_Lookup[#Headers])))</f>
        <v/>
      </c>
      <c r="R148" s="176" t="str">
        <f aca="false">IF(INDEX(Salary_Calculation[Source Row],ROW()-ROW(Payslip_Lookup[#Headers]))="","",INDEX(Salary_Calculation[Extra-Order Bonus],ROW()-ROW(Payslip_Lookup[#Headers])))</f>
        <v/>
      </c>
      <c r="S148" s="176" t="str">
        <f aca="false">IF(INDEX(Salary_Calculation[Source Row],ROW()-ROW(Payslip_Lookup[#Headers]))="","",INDEX(Salary_Calculation[Basic Salary for Target],ROW()-ROW(Payslip_Lookup[#Headers])))</f>
        <v/>
      </c>
      <c r="T148" s="176" t="str">
        <f aca="false">IF(INDEX(Salary_Calculation[Source Row],ROW()-ROW(Payslip_Lookup[#Headers]))="","",INDEX(Salary_Calculation[Gross Salary Before Deductions],ROW()-ROW(Payslip_Lookup[#Headers])))</f>
        <v/>
      </c>
      <c r="U148" s="176" t="str">
        <f aca="false">IF(INDEX(Salary_Calculation[Source Row],ROW()-ROW(Payslip_Lookup[#Headers]))="","",INDEX(Salary_Calculation[missed_days_penalty],ROW()-ROW(Payslip_Lookup[#Headers])))</f>
        <v/>
      </c>
      <c r="V148" s="176" t="str">
        <f aca="false">IF(INDEX(Salary_Calculation[Source Row],ROW()-ROW(Payslip_Lookup[#Headers]))="","",INDEX(Salary_Calculation[Rider Balance],ROW()-ROW(Payslip_Lookup[#Headers])))</f>
        <v/>
      </c>
      <c r="W148" s="176" t="str">
        <f aca="false">IF(INDEX(Salary_Calculation[Source Row],ROW()-ROW(Payslip_Lookup[#Headers]))="","",INDEX(Salary_Calculation[stacking_deduction],ROW()-ROW(Payslip_Lookup[#Headers])))</f>
        <v/>
      </c>
      <c r="X148" s="176" t="str">
        <f aca="false">IF(INDEX(Salary_Calculation[Source Row],ROW()-ROW(Payslip_Lookup[#Headers]))="","",INDEX(Salary_Calculation[Other Deductions],ROW()-ROW(Payslip_Lookup[#Headers])))</f>
        <v/>
      </c>
      <c r="Y148" s="176" t="str">
        <f aca="false">IF(INDEX(Salary_Calculation[Source Row],ROW()-ROW(Payslip_Lookup[#Headers]))="","",INDEX(Salary_Calculation[Total Deductions],ROW()-ROW(Payslip_Lookup[#Headers])))</f>
        <v/>
      </c>
      <c r="Z148" s="176" t="str">
        <f aca="false">IF(INDEX(Salary_Calculation[Source Row],ROW()-ROW(Payslip_Lookup[#Headers]))="","",INDEX(Salary_Calculation[Final Salary],ROW()-ROW(Payslip_Lookup[#Headers])))</f>
        <v/>
      </c>
      <c r="AA148" s="176" t="str">
        <f aca="false">IF(INDEX(Salary_Calculation[Source Row],ROW()-ROW(Payslip_Lookup[#Headers]))="","",INDEX(Salary_Calculation[Negative Balance / Amount Due from Rider],ROW()-ROW(Payslip_Lookup[#Headers])))</f>
        <v/>
      </c>
      <c r="AB148" s="176" t="str">
        <f aca="false">IF(INDEX(Salary_Calculation[Source Row],ROW()-ROW(Payslip_Lookup[#Headers]))="","",INDEX(Salary_Calculation[Total Amount Due from Rider],ROW()-ROW(Payslip_Lookup[#Headers])))</f>
        <v/>
      </c>
      <c r="AC148" s="176" t="str">
        <f aca="false">IF(INDEX(Salary_Calculation[Source Row],ROW()-ROW(Payslip_Lookup[#Headers]))="","",INDEX(Salary_Calculation[Salary Before Other Deductions],ROW()-ROW(Payslip_Lookup[#Headers])))</f>
        <v/>
      </c>
      <c r="AD148" s="171" t="str">
        <f aca="false">IF(INDEX(Salary_Calculation[Source Row],ROW()-ROW(Payslip_Lookup[#Headers]))="","",INDEX(Salary_Calculation[Payment Status],ROW()-ROW(Payslip_Lookup[#Headers])))</f>
        <v/>
      </c>
      <c r="AE148" s="171" t="str">
        <f aca="false">IF(INDEX(Salary_Calculation[Source Row],ROW()-ROW(Payslip_Lookup[#Headers]))="","",INDEX(Salary_Calculation[Notes],ROW()-ROW(Payslip_Lookup[#Headers])))</f>
        <v/>
      </c>
      <c r="AF148" s="171" t="str">
        <f aca="false">IF(INDEX(Salary_Calculation[Source Row],ROW()-ROW(Payslip_Lookup[#Headers]))="","",INDEX(Salary_Calculation[Exception Reason],ROW()-ROW(Payslip_Lookup[#Headers])))</f>
        <v/>
      </c>
      <c r="AG148" s="173" t="str">
        <f aca="false">IF($AD148="Review Required",COUNTIF(AD$2:AD148,"Review Required"),"")</f>
        <v/>
      </c>
      <c r="AH148" s="173" t="str">
        <f aca="false">IF(AND($D148&lt;&gt;"",$B148=Payslip_Print!$C$2),MAX(AH$1:AH147)+1,"")</f>
        <v/>
      </c>
      <c r="AL148" s="178" t="str">
        <f aca="false">IFERROR(INDEX($D$2:$D$501,MATCH(ROW()-1,$AH$2:$AH$501,0)),"")</f>
        <v/>
      </c>
      <c r="AM148" s="179" t="str">
        <f aca="false">IF($Z148="","",IF(AND($C148&gt;=Dash_Start,$C148&lt;Dash_End),$Z148+ROW()/10000000,""))</f>
        <v/>
      </c>
    </row>
    <row r="149" customFormat="false" ht="14.25" hidden="false" customHeight="false" outlineLevel="0" collapsed="false">
      <c r="A149" s="171" t="str">
        <f aca="false">IF(Payslip_Lookup[[#This Row],[Rider ID]]="","",Payslip_Lookup[[#This Row],[Rider ID]]&amp;"|"&amp;Payslip_Lookup[[#This Row],[Month Key]])</f>
        <v/>
      </c>
      <c r="B149" s="172" t="str">
        <f aca="false">IF(ISNUMBER(Payslip_Lookup[[#This Row],[Salary Month]]),DATE(YEAR(Payslip_Lookup[[#This Row],[Salary Month]]),MONTH(Payslip_Lookup[[#This Row],[Salary Month]]),1),"")</f>
        <v/>
      </c>
      <c r="C149" s="172" t="str">
        <f aca="false">IF(INDEX(Salary_Calculation[Source Row],ROW()-ROW(Payslip_Lookup[#Headers]))="","",INDEX(Salary_Calculation[Salary Month],ROW()-ROW(Payslip_Lookup[#Headers])))</f>
        <v/>
      </c>
      <c r="D149" s="173" t="str">
        <f aca="false">IF(INDEX(Salary_Calculation[Source Row],ROW()-ROW(Payslip_Lookup[#Headers]))="","",INDEX(Salary_Calculation[Rider ID],ROW()-ROW(Payslip_Lookup[#Headers])))</f>
        <v/>
      </c>
      <c r="E149" s="171" t="str">
        <f aca="false">IF(INDEX(Salary_Calculation[Source Row],ROW()-ROW(Payslip_Lookup[#Headers]))="","",INDEX(Salary_Calculation[Rider Name],ROW()-ROW(Payslip_Lookup[#Headers])))</f>
        <v/>
      </c>
      <c r="F149" s="173" t="str">
        <f aca="false">IF(INDEX(Salary_Calculation[Source Row],ROW()-ROW(Payslip_Lookup[#Headers]))="","",INDEX(Salary_Calculation[Working Days],ROW()-ROW(Payslip_Lookup[#Headers])))</f>
        <v/>
      </c>
      <c r="G149" s="173" t="str">
        <f aca="false">IF(INDEX(Salary_Calculation[Source Row],ROW()-ROW(Payslip_Lookup[#Headers]))="","",INDEX(Salary_Calculation[Calendar Days],ROW()-ROW(Payslip_Lookup[#Headers])))</f>
        <v/>
      </c>
      <c r="H149" s="174" t="str">
        <f aca="false">IF(INDEX(Salary_Calculation[Source Row],ROW()-ROW(Payslip_Lookup[#Headers]))="","",INDEX(Salary_Calculation[Monthly Target Orders],ROW()-ROW(Payslip_Lookup[#Headers])))</f>
        <v/>
      </c>
      <c r="I149" s="174" t="str">
        <f aca="false">IF(INDEX(Salary_Calculation[Source Row],ROW()-ROW(Payslip_Lookup[#Headers]))="","",INDEX(Salary_Calculation[Rider Target Orders],ROW()-ROW(Payslip_Lookup[#Headers])))</f>
        <v/>
      </c>
      <c r="J149" s="175" t="str">
        <f aca="false">IF(INDEX(Salary_Calculation[Source Row],ROW()-ROW(Payslip_Lookup[#Headers]))="","",INDEX(Salary_Calculation[Completed Orders],ROW()-ROW(Payslip_Lookup[#Headers])))</f>
        <v/>
      </c>
      <c r="K149" s="174" t="str">
        <f aca="false">IF(INDEX(Salary_Calculation[Source Row],ROW()-ROW(Payslip_Lookup[#Headers]))="","",INDEX(Salary_Calculation[Base Order Rate],ROW()-ROW(Payslip_Lookup[#Headers])))</f>
        <v/>
      </c>
      <c r="L149" s="176" t="str">
        <f aca="false">IF(INDEX(Salary_Calculation[Source Row],ROW()-ROW(Payslip_Lookup[#Headers]))="","",INDEX(Salary_Calculation[Basic Payment],ROW()-ROW(Payslip_Lookup[#Headers])))</f>
        <v/>
      </c>
      <c r="M149" s="176" t="str">
        <f aca="false">IF(INDEX(Salary_Calculation[Source Row],ROW()-ROW(Payslip_Lookup[#Headers]))="","",INDEX(Salary_Calculation[Earned Salary],ROW()-ROW(Payslip_Lookup[#Headers])))</f>
        <v/>
      </c>
      <c r="N149" s="174" t="str">
        <f aca="false">IF(INDEX(Salary_Calculation[Source Row],ROW()-ROW(Payslip_Lookup[#Headers]))="","",INDEX(Salary_Calculation[Orders Counted at Base Rate],ROW()-ROW(Payslip_Lookup[#Headers])))</f>
        <v/>
      </c>
      <c r="O149" s="174" t="str">
        <f aca="false">IF(INDEX(Salary_Calculation[Source Row],ROW()-ROW(Payslip_Lookup[#Headers]))="","",INDEX(Salary_Calculation[Missing Orders],ROW()-ROW(Payslip_Lookup[#Headers])))</f>
        <v/>
      </c>
      <c r="P149" s="176" t="str">
        <f aca="false">IF(INDEX(Salary_Calculation[Source Row],ROW()-ROW(Payslip_Lookup[#Headers]))="","",INDEX(Salary_Calculation[Missing-Order Deduction],ROW()-ROW(Payslip_Lookup[#Headers])))</f>
        <v/>
      </c>
      <c r="Q149" s="174" t="str">
        <f aca="false">IF(INDEX(Salary_Calculation[Source Row],ROW()-ROW(Payslip_Lookup[#Headers]))="","",INDEX(Salary_Calculation[Extra Orders],ROW()-ROW(Payslip_Lookup[#Headers])))</f>
        <v/>
      </c>
      <c r="R149" s="176" t="str">
        <f aca="false">IF(INDEX(Salary_Calculation[Source Row],ROW()-ROW(Payslip_Lookup[#Headers]))="","",INDEX(Salary_Calculation[Extra-Order Bonus],ROW()-ROW(Payslip_Lookup[#Headers])))</f>
        <v/>
      </c>
      <c r="S149" s="176" t="str">
        <f aca="false">IF(INDEX(Salary_Calculation[Source Row],ROW()-ROW(Payslip_Lookup[#Headers]))="","",INDEX(Salary_Calculation[Basic Salary for Target],ROW()-ROW(Payslip_Lookup[#Headers])))</f>
        <v/>
      </c>
      <c r="T149" s="176" t="str">
        <f aca="false">IF(INDEX(Salary_Calculation[Source Row],ROW()-ROW(Payslip_Lookup[#Headers]))="","",INDEX(Salary_Calculation[Gross Salary Before Deductions],ROW()-ROW(Payslip_Lookup[#Headers])))</f>
        <v/>
      </c>
      <c r="U149" s="176" t="str">
        <f aca="false">IF(INDEX(Salary_Calculation[Source Row],ROW()-ROW(Payslip_Lookup[#Headers]))="","",INDEX(Salary_Calculation[missed_days_penalty],ROW()-ROW(Payslip_Lookup[#Headers])))</f>
        <v/>
      </c>
      <c r="V149" s="176" t="str">
        <f aca="false">IF(INDEX(Salary_Calculation[Source Row],ROW()-ROW(Payslip_Lookup[#Headers]))="","",INDEX(Salary_Calculation[Rider Balance],ROW()-ROW(Payslip_Lookup[#Headers])))</f>
        <v/>
      </c>
      <c r="W149" s="176" t="str">
        <f aca="false">IF(INDEX(Salary_Calculation[Source Row],ROW()-ROW(Payslip_Lookup[#Headers]))="","",INDEX(Salary_Calculation[stacking_deduction],ROW()-ROW(Payslip_Lookup[#Headers])))</f>
        <v/>
      </c>
      <c r="X149" s="176" t="str">
        <f aca="false">IF(INDEX(Salary_Calculation[Source Row],ROW()-ROW(Payslip_Lookup[#Headers]))="","",INDEX(Salary_Calculation[Other Deductions],ROW()-ROW(Payslip_Lookup[#Headers])))</f>
        <v/>
      </c>
      <c r="Y149" s="176" t="str">
        <f aca="false">IF(INDEX(Salary_Calculation[Source Row],ROW()-ROW(Payslip_Lookup[#Headers]))="","",INDEX(Salary_Calculation[Total Deductions],ROW()-ROW(Payslip_Lookup[#Headers])))</f>
        <v/>
      </c>
      <c r="Z149" s="176" t="str">
        <f aca="false">IF(INDEX(Salary_Calculation[Source Row],ROW()-ROW(Payslip_Lookup[#Headers]))="","",INDEX(Salary_Calculation[Final Salary],ROW()-ROW(Payslip_Lookup[#Headers])))</f>
        <v/>
      </c>
      <c r="AA149" s="176" t="str">
        <f aca="false">IF(INDEX(Salary_Calculation[Source Row],ROW()-ROW(Payslip_Lookup[#Headers]))="","",INDEX(Salary_Calculation[Negative Balance / Amount Due from Rider],ROW()-ROW(Payslip_Lookup[#Headers])))</f>
        <v/>
      </c>
      <c r="AB149" s="176" t="str">
        <f aca="false">IF(INDEX(Salary_Calculation[Source Row],ROW()-ROW(Payslip_Lookup[#Headers]))="","",INDEX(Salary_Calculation[Total Amount Due from Rider],ROW()-ROW(Payslip_Lookup[#Headers])))</f>
        <v/>
      </c>
      <c r="AC149" s="176" t="str">
        <f aca="false">IF(INDEX(Salary_Calculation[Source Row],ROW()-ROW(Payslip_Lookup[#Headers]))="","",INDEX(Salary_Calculation[Salary Before Other Deductions],ROW()-ROW(Payslip_Lookup[#Headers])))</f>
        <v/>
      </c>
      <c r="AD149" s="171" t="str">
        <f aca="false">IF(INDEX(Salary_Calculation[Source Row],ROW()-ROW(Payslip_Lookup[#Headers]))="","",INDEX(Salary_Calculation[Payment Status],ROW()-ROW(Payslip_Lookup[#Headers])))</f>
        <v/>
      </c>
      <c r="AE149" s="171" t="str">
        <f aca="false">IF(INDEX(Salary_Calculation[Source Row],ROW()-ROW(Payslip_Lookup[#Headers]))="","",INDEX(Salary_Calculation[Notes],ROW()-ROW(Payslip_Lookup[#Headers])))</f>
        <v/>
      </c>
      <c r="AF149" s="171" t="str">
        <f aca="false">IF(INDEX(Salary_Calculation[Source Row],ROW()-ROW(Payslip_Lookup[#Headers]))="","",INDEX(Salary_Calculation[Exception Reason],ROW()-ROW(Payslip_Lookup[#Headers])))</f>
        <v/>
      </c>
      <c r="AG149" s="173" t="str">
        <f aca="false">IF($AD149="Review Required",COUNTIF(AD$2:AD149,"Review Required"),"")</f>
        <v/>
      </c>
      <c r="AH149" s="173" t="str">
        <f aca="false">IF(AND($D149&lt;&gt;"",$B149=Payslip_Print!$C$2),MAX(AH$1:AH148)+1,"")</f>
        <v/>
      </c>
      <c r="AL149" s="178" t="str">
        <f aca="false">IFERROR(INDEX($D$2:$D$501,MATCH(ROW()-1,$AH$2:$AH$501,0)),"")</f>
        <v/>
      </c>
      <c r="AM149" s="179" t="str">
        <f aca="false">IF($Z149="","",IF(AND($C149&gt;=Dash_Start,$C149&lt;Dash_End),$Z149+ROW()/10000000,""))</f>
        <v/>
      </c>
    </row>
    <row r="150" customFormat="false" ht="14.25" hidden="false" customHeight="false" outlineLevel="0" collapsed="false">
      <c r="A150" s="171" t="str">
        <f aca="false">IF(Payslip_Lookup[[#This Row],[Rider ID]]="","",Payslip_Lookup[[#This Row],[Rider ID]]&amp;"|"&amp;Payslip_Lookup[[#This Row],[Month Key]])</f>
        <v/>
      </c>
      <c r="B150" s="172" t="str">
        <f aca="false">IF(ISNUMBER(Payslip_Lookup[[#This Row],[Salary Month]]),DATE(YEAR(Payslip_Lookup[[#This Row],[Salary Month]]),MONTH(Payslip_Lookup[[#This Row],[Salary Month]]),1),"")</f>
        <v/>
      </c>
      <c r="C150" s="172" t="str">
        <f aca="false">IF(INDEX(Salary_Calculation[Source Row],ROW()-ROW(Payslip_Lookup[#Headers]))="","",INDEX(Salary_Calculation[Salary Month],ROW()-ROW(Payslip_Lookup[#Headers])))</f>
        <v/>
      </c>
      <c r="D150" s="173" t="str">
        <f aca="false">IF(INDEX(Salary_Calculation[Source Row],ROW()-ROW(Payslip_Lookup[#Headers]))="","",INDEX(Salary_Calculation[Rider ID],ROW()-ROW(Payslip_Lookup[#Headers])))</f>
        <v/>
      </c>
      <c r="E150" s="171" t="str">
        <f aca="false">IF(INDEX(Salary_Calculation[Source Row],ROW()-ROW(Payslip_Lookup[#Headers]))="","",INDEX(Salary_Calculation[Rider Name],ROW()-ROW(Payslip_Lookup[#Headers])))</f>
        <v/>
      </c>
      <c r="F150" s="173" t="str">
        <f aca="false">IF(INDEX(Salary_Calculation[Source Row],ROW()-ROW(Payslip_Lookup[#Headers]))="","",INDEX(Salary_Calculation[Working Days],ROW()-ROW(Payslip_Lookup[#Headers])))</f>
        <v/>
      </c>
      <c r="G150" s="173" t="str">
        <f aca="false">IF(INDEX(Salary_Calculation[Source Row],ROW()-ROW(Payslip_Lookup[#Headers]))="","",INDEX(Salary_Calculation[Calendar Days],ROW()-ROW(Payslip_Lookup[#Headers])))</f>
        <v/>
      </c>
      <c r="H150" s="174" t="str">
        <f aca="false">IF(INDEX(Salary_Calculation[Source Row],ROW()-ROW(Payslip_Lookup[#Headers]))="","",INDEX(Salary_Calculation[Monthly Target Orders],ROW()-ROW(Payslip_Lookup[#Headers])))</f>
        <v/>
      </c>
      <c r="I150" s="174" t="str">
        <f aca="false">IF(INDEX(Salary_Calculation[Source Row],ROW()-ROW(Payslip_Lookup[#Headers]))="","",INDEX(Salary_Calculation[Rider Target Orders],ROW()-ROW(Payslip_Lookup[#Headers])))</f>
        <v/>
      </c>
      <c r="J150" s="175" t="str">
        <f aca="false">IF(INDEX(Salary_Calculation[Source Row],ROW()-ROW(Payslip_Lookup[#Headers]))="","",INDEX(Salary_Calculation[Completed Orders],ROW()-ROW(Payslip_Lookup[#Headers])))</f>
        <v/>
      </c>
      <c r="K150" s="174" t="str">
        <f aca="false">IF(INDEX(Salary_Calculation[Source Row],ROW()-ROW(Payslip_Lookup[#Headers]))="","",INDEX(Salary_Calculation[Base Order Rate],ROW()-ROW(Payslip_Lookup[#Headers])))</f>
        <v/>
      </c>
      <c r="L150" s="176" t="str">
        <f aca="false">IF(INDEX(Salary_Calculation[Source Row],ROW()-ROW(Payslip_Lookup[#Headers]))="","",INDEX(Salary_Calculation[Basic Payment],ROW()-ROW(Payslip_Lookup[#Headers])))</f>
        <v/>
      </c>
      <c r="M150" s="176" t="str">
        <f aca="false">IF(INDEX(Salary_Calculation[Source Row],ROW()-ROW(Payslip_Lookup[#Headers]))="","",INDEX(Salary_Calculation[Earned Salary],ROW()-ROW(Payslip_Lookup[#Headers])))</f>
        <v/>
      </c>
      <c r="N150" s="174" t="str">
        <f aca="false">IF(INDEX(Salary_Calculation[Source Row],ROW()-ROW(Payslip_Lookup[#Headers]))="","",INDEX(Salary_Calculation[Orders Counted at Base Rate],ROW()-ROW(Payslip_Lookup[#Headers])))</f>
        <v/>
      </c>
      <c r="O150" s="174" t="str">
        <f aca="false">IF(INDEX(Salary_Calculation[Source Row],ROW()-ROW(Payslip_Lookup[#Headers]))="","",INDEX(Salary_Calculation[Missing Orders],ROW()-ROW(Payslip_Lookup[#Headers])))</f>
        <v/>
      </c>
      <c r="P150" s="176" t="str">
        <f aca="false">IF(INDEX(Salary_Calculation[Source Row],ROW()-ROW(Payslip_Lookup[#Headers]))="","",INDEX(Salary_Calculation[Missing-Order Deduction],ROW()-ROW(Payslip_Lookup[#Headers])))</f>
        <v/>
      </c>
      <c r="Q150" s="174" t="str">
        <f aca="false">IF(INDEX(Salary_Calculation[Source Row],ROW()-ROW(Payslip_Lookup[#Headers]))="","",INDEX(Salary_Calculation[Extra Orders],ROW()-ROW(Payslip_Lookup[#Headers])))</f>
        <v/>
      </c>
      <c r="R150" s="176" t="str">
        <f aca="false">IF(INDEX(Salary_Calculation[Source Row],ROW()-ROW(Payslip_Lookup[#Headers]))="","",INDEX(Salary_Calculation[Extra-Order Bonus],ROW()-ROW(Payslip_Lookup[#Headers])))</f>
        <v/>
      </c>
      <c r="S150" s="176" t="str">
        <f aca="false">IF(INDEX(Salary_Calculation[Source Row],ROW()-ROW(Payslip_Lookup[#Headers]))="","",INDEX(Salary_Calculation[Basic Salary for Target],ROW()-ROW(Payslip_Lookup[#Headers])))</f>
        <v/>
      </c>
      <c r="T150" s="176" t="str">
        <f aca="false">IF(INDEX(Salary_Calculation[Source Row],ROW()-ROW(Payslip_Lookup[#Headers]))="","",INDEX(Salary_Calculation[Gross Salary Before Deductions],ROW()-ROW(Payslip_Lookup[#Headers])))</f>
        <v/>
      </c>
      <c r="U150" s="176" t="str">
        <f aca="false">IF(INDEX(Salary_Calculation[Source Row],ROW()-ROW(Payslip_Lookup[#Headers]))="","",INDEX(Salary_Calculation[missed_days_penalty],ROW()-ROW(Payslip_Lookup[#Headers])))</f>
        <v/>
      </c>
      <c r="V150" s="176" t="str">
        <f aca="false">IF(INDEX(Salary_Calculation[Source Row],ROW()-ROW(Payslip_Lookup[#Headers]))="","",INDEX(Salary_Calculation[Rider Balance],ROW()-ROW(Payslip_Lookup[#Headers])))</f>
        <v/>
      </c>
      <c r="W150" s="176" t="str">
        <f aca="false">IF(INDEX(Salary_Calculation[Source Row],ROW()-ROW(Payslip_Lookup[#Headers]))="","",INDEX(Salary_Calculation[stacking_deduction],ROW()-ROW(Payslip_Lookup[#Headers])))</f>
        <v/>
      </c>
      <c r="X150" s="176" t="str">
        <f aca="false">IF(INDEX(Salary_Calculation[Source Row],ROW()-ROW(Payslip_Lookup[#Headers]))="","",INDEX(Salary_Calculation[Other Deductions],ROW()-ROW(Payslip_Lookup[#Headers])))</f>
        <v/>
      </c>
      <c r="Y150" s="176" t="str">
        <f aca="false">IF(INDEX(Salary_Calculation[Source Row],ROW()-ROW(Payslip_Lookup[#Headers]))="","",INDEX(Salary_Calculation[Total Deductions],ROW()-ROW(Payslip_Lookup[#Headers])))</f>
        <v/>
      </c>
      <c r="Z150" s="176" t="str">
        <f aca="false">IF(INDEX(Salary_Calculation[Source Row],ROW()-ROW(Payslip_Lookup[#Headers]))="","",INDEX(Salary_Calculation[Final Salary],ROW()-ROW(Payslip_Lookup[#Headers])))</f>
        <v/>
      </c>
      <c r="AA150" s="176" t="str">
        <f aca="false">IF(INDEX(Salary_Calculation[Source Row],ROW()-ROW(Payslip_Lookup[#Headers]))="","",INDEX(Salary_Calculation[Negative Balance / Amount Due from Rider],ROW()-ROW(Payslip_Lookup[#Headers])))</f>
        <v/>
      </c>
      <c r="AB150" s="176" t="str">
        <f aca="false">IF(INDEX(Salary_Calculation[Source Row],ROW()-ROW(Payslip_Lookup[#Headers]))="","",INDEX(Salary_Calculation[Total Amount Due from Rider],ROW()-ROW(Payslip_Lookup[#Headers])))</f>
        <v/>
      </c>
      <c r="AC150" s="176" t="str">
        <f aca="false">IF(INDEX(Salary_Calculation[Source Row],ROW()-ROW(Payslip_Lookup[#Headers]))="","",INDEX(Salary_Calculation[Salary Before Other Deductions],ROW()-ROW(Payslip_Lookup[#Headers])))</f>
        <v/>
      </c>
      <c r="AD150" s="171" t="str">
        <f aca="false">IF(INDEX(Salary_Calculation[Source Row],ROW()-ROW(Payslip_Lookup[#Headers]))="","",INDEX(Salary_Calculation[Payment Status],ROW()-ROW(Payslip_Lookup[#Headers])))</f>
        <v/>
      </c>
      <c r="AE150" s="171" t="str">
        <f aca="false">IF(INDEX(Salary_Calculation[Source Row],ROW()-ROW(Payslip_Lookup[#Headers]))="","",INDEX(Salary_Calculation[Notes],ROW()-ROW(Payslip_Lookup[#Headers])))</f>
        <v/>
      </c>
      <c r="AF150" s="171" t="str">
        <f aca="false">IF(INDEX(Salary_Calculation[Source Row],ROW()-ROW(Payslip_Lookup[#Headers]))="","",INDEX(Salary_Calculation[Exception Reason],ROW()-ROW(Payslip_Lookup[#Headers])))</f>
        <v/>
      </c>
      <c r="AG150" s="173" t="str">
        <f aca="false">IF($AD150="Review Required",COUNTIF(AD$2:AD150,"Review Required"),"")</f>
        <v/>
      </c>
      <c r="AH150" s="173" t="str">
        <f aca="false">IF(AND($D150&lt;&gt;"",$B150=Payslip_Print!$C$2),MAX(AH$1:AH149)+1,"")</f>
        <v/>
      </c>
      <c r="AL150" s="178" t="str">
        <f aca="false">IFERROR(INDEX($D$2:$D$501,MATCH(ROW()-1,$AH$2:$AH$501,0)),"")</f>
        <v/>
      </c>
      <c r="AM150" s="179" t="str">
        <f aca="false">IF($Z150="","",IF(AND($C150&gt;=Dash_Start,$C150&lt;Dash_End),$Z150+ROW()/10000000,""))</f>
        <v/>
      </c>
    </row>
    <row r="151" customFormat="false" ht="14.25" hidden="false" customHeight="false" outlineLevel="0" collapsed="false">
      <c r="A151" s="171" t="str">
        <f aca="false">IF(Payslip_Lookup[[#This Row],[Rider ID]]="","",Payslip_Lookup[[#This Row],[Rider ID]]&amp;"|"&amp;Payslip_Lookup[[#This Row],[Month Key]])</f>
        <v/>
      </c>
      <c r="B151" s="172" t="str">
        <f aca="false">IF(ISNUMBER(Payslip_Lookup[[#This Row],[Salary Month]]),DATE(YEAR(Payslip_Lookup[[#This Row],[Salary Month]]),MONTH(Payslip_Lookup[[#This Row],[Salary Month]]),1),"")</f>
        <v/>
      </c>
      <c r="C151" s="172" t="str">
        <f aca="false">IF(INDEX(Salary_Calculation[Source Row],ROW()-ROW(Payslip_Lookup[#Headers]))="","",INDEX(Salary_Calculation[Salary Month],ROW()-ROW(Payslip_Lookup[#Headers])))</f>
        <v/>
      </c>
      <c r="D151" s="173" t="str">
        <f aca="false">IF(INDEX(Salary_Calculation[Source Row],ROW()-ROW(Payslip_Lookup[#Headers]))="","",INDEX(Salary_Calculation[Rider ID],ROW()-ROW(Payslip_Lookup[#Headers])))</f>
        <v/>
      </c>
      <c r="E151" s="171" t="str">
        <f aca="false">IF(INDEX(Salary_Calculation[Source Row],ROW()-ROW(Payslip_Lookup[#Headers]))="","",INDEX(Salary_Calculation[Rider Name],ROW()-ROW(Payslip_Lookup[#Headers])))</f>
        <v/>
      </c>
      <c r="F151" s="173" t="str">
        <f aca="false">IF(INDEX(Salary_Calculation[Source Row],ROW()-ROW(Payslip_Lookup[#Headers]))="","",INDEX(Salary_Calculation[Working Days],ROW()-ROW(Payslip_Lookup[#Headers])))</f>
        <v/>
      </c>
      <c r="G151" s="173" t="str">
        <f aca="false">IF(INDEX(Salary_Calculation[Source Row],ROW()-ROW(Payslip_Lookup[#Headers]))="","",INDEX(Salary_Calculation[Calendar Days],ROW()-ROW(Payslip_Lookup[#Headers])))</f>
        <v/>
      </c>
      <c r="H151" s="174" t="str">
        <f aca="false">IF(INDEX(Salary_Calculation[Source Row],ROW()-ROW(Payslip_Lookup[#Headers]))="","",INDEX(Salary_Calculation[Monthly Target Orders],ROW()-ROW(Payslip_Lookup[#Headers])))</f>
        <v/>
      </c>
      <c r="I151" s="174" t="str">
        <f aca="false">IF(INDEX(Salary_Calculation[Source Row],ROW()-ROW(Payslip_Lookup[#Headers]))="","",INDEX(Salary_Calculation[Rider Target Orders],ROW()-ROW(Payslip_Lookup[#Headers])))</f>
        <v/>
      </c>
      <c r="J151" s="175" t="str">
        <f aca="false">IF(INDEX(Salary_Calculation[Source Row],ROW()-ROW(Payslip_Lookup[#Headers]))="","",INDEX(Salary_Calculation[Completed Orders],ROW()-ROW(Payslip_Lookup[#Headers])))</f>
        <v/>
      </c>
      <c r="K151" s="174" t="str">
        <f aca="false">IF(INDEX(Salary_Calculation[Source Row],ROW()-ROW(Payslip_Lookup[#Headers]))="","",INDEX(Salary_Calculation[Base Order Rate],ROW()-ROW(Payslip_Lookup[#Headers])))</f>
        <v/>
      </c>
      <c r="L151" s="176" t="str">
        <f aca="false">IF(INDEX(Salary_Calculation[Source Row],ROW()-ROW(Payslip_Lookup[#Headers]))="","",INDEX(Salary_Calculation[Basic Payment],ROW()-ROW(Payslip_Lookup[#Headers])))</f>
        <v/>
      </c>
      <c r="M151" s="176" t="str">
        <f aca="false">IF(INDEX(Salary_Calculation[Source Row],ROW()-ROW(Payslip_Lookup[#Headers]))="","",INDEX(Salary_Calculation[Earned Salary],ROW()-ROW(Payslip_Lookup[#Headers])))</f>
        <v/>
      </c>
      <c r="N151" s="174" t="str">
        <f aca="false">IF(INDEX(Salary_Calculation[Source Row],ROW()-ROW(Payslip_Lookup[#Headers]))="","",INDEX(Salary_Calculation[Orders Counted at Base Rate],ROW()-ROW(Payslip_Lookup[#Headers])))</f>
        <v/>
      </c>
      <c r="O151" s="174" t="str">
        <f aca="false">IF(INDEX(Salary_Calculation[Source Row],ROW()-ROW(Payslip_Lookup[#Headers]))="","",INDEX(Salary_Calculation[Missing Orders],ROW()-ROW(Payslip_Lookup[#Headers])))</f>
        <v/>
      </c>
      <c r="P151" s="176" t="str">
        <f aca="false">IF(INDEX(Salary_Calculation[Source Row],ROW()-ROW(Payslip_Lookup[#Headers]))="","",INDEX(Salary_Calculation[Missing-Order Deduction],ROW()-ROW(Payslip_Lookup[#Headers])))</f>
        <v/>
      </c>
      <c r="Q151" s="174" t="str">
        <f aca="false">IF(INDEX(Salary_Calculation[Source Row],ROW()-ROW(Payslip_Lookup[#Headers]))="","",INDEX(Salary_Calculation[Extra Orders],ROW()-ROW(Payslip_Lookup[#Headers])))</f>
        <v/>
      </c>
      <c r="R151" s="176" t="str">
        <f aca="false">IF(INDEX(Salary_Calculation[Source Row],ROW()-ROW(Payslip_Lookup[#Headers]))="","",INDEX(Salary_Calculation[Extra-Order Bonus],ROW()-ROW(Payslip_Lookup[#Headers])))</f>
        <v/>
      </c>
      <c r="S151" s="176" t="str">
        <f aca="false">IF(INDEX(Salary_Calculation[Source Row],ROW()-ROW(Payslip_Lookup[#Headers]))="","",INDEX(Salary_Calculation[Basic Salary for Target],ROW()-ROW(Payslip_Lookup[#Headers])))</f>
        <v/>
      </c>
      <c r="T151" s="176" t="str">
        <f aca="false">IF(INDEX(Salary_Calculation[Source Row],ROW()-ROW(Payslip_Lookup[#Headers]))="","",INDEX(Salary_Calculation[Gross Salary Before Deductions],ROW()-ROW(Payslip_Lookup[#Headers])))</f>
        <v/>
      </c>
      <c r="U151" s="176" t="str">
        <f aca="false">IF(INDEX(Salary_Calculation[Source Row],ROW()-ROW(Payslip_Lookup[#Headers]))="","",INDEX(Salary_Calculation[missed_days_penalty],ROW()-ROW(Payslip_Lookup[#Headers])))</f>
        <v/>
      </c>
      <c r="V151" s="176" t="str">
        <f aca="false">IF(INDEX(Salary_Calculation[Source Row],ROW()-ROW(Payslip_Lookup[#Headers]))="","",INDEX(Salary_Calculation[Rider Balance],ROW()-ROW(Payslip_Lookup[#Headers])))</f>
        <v/>
      </c>
      <c r="W151" s="176" t="str">
        <f aca="false">IF(INDEX(Salary_Calculation[Source Row],ROW()-ROW(Payslip_Lookup[#Headers]))="","",INDEX(Salary_Calculation[stacking_deduction],ROW()-ROW(Payslip_Lookup[#Headers])))</f>
        <v/>
      </c>
      <c r="X151" s="176" t="str">
        <f aca="false">IF(INDEX(Salary_Calculation[Source Row],ROW()-ROW(Payslip_Lookup[#Headers]))="","",INDEX(Salary_Calculation[Other Deductions],ROW()-ROW(Payslip_Lookup[#Headers])))</f>
        <v/>
      </c>
      <c r="Y151" s="176" t="str">
        <f aca="false">IF(INDEX(Salary_Calculation[Source Row],ROW()-ROW(Payslip_Lookup[#Headers]))="","",INDEX(Salary_Calculation[Total Deductions],ROW()-ROW(Payslip_Lookup[#Headers])))</f>
        <v/>
      </c>
      <c r="Z151" s="176" t="str">
        <f aca="false">IF(INDEX(Salary_Calculation[Source Row],ROW()-ROW(Payslip_Lookup[#Headers]))="","",INDEX(Salary_Calculation[Final Salary],ROW()-ROW(Payslip_Lookup[#Headers])))</f>
        <v/>
      </c>
      <c r="AA151" s="176" t="str">
        <f aca="false">IF(INDEX(Salary_Calculation[Source Row],ROW()-ROW(Payslip_Lookup[#Headers]))="","",INDEX(Salary_Calculation[Negative Balance / Amount Due from Rider],ROW()-ROW(Payslip_Lookup[#Headers])))</f>
        <v/>
      </c>
      <c r="AB151" s="176" t="str">
        <f aca="false">IF(INDEX(Salary_Calculation[Source Row],ROW()-ROW(Payslip_Lookup[#Headers]))="","",INDEX(Salary_Calculation[Total Amount Due from Rider],ROW()-ROW(Payslip_Lookup[#Headers])))</f>
        <v/>
      </c>
      <c r="AC151" s="176" t="str">
        <f aca="false">IF(INDEX(Salary_Calculation[Source Row],ROW()-ROW(Payslip_Lookup[#Headers]))="","",INDEX(Salary_Calculation[Salary Before Other Deductions],ROW()-ROW(Payslip_Lookup[#Headers])))</f>
        <v/>
      </c>
      <c r="AD151" s="171" t="str">
        <f aca="false">IF(INDEX(Salary_Calculation[Source Row],ROW()-ROW(Payslip_Lookup[#Headers]))="","",INDEX(Salary_Calculation[Payment Status],ROW()-ROW(Payslip_Lookup[#Headers])))</f>
        <v/>
      </c>
      <c r="AE151" s="171" t="str">
        <f aca="false">IF(INDEX(Salary_Calculation[Source Row],ROW()-ROW(Payslip_Lookup[#Headers]))="","",INDEX(Salary_Calculation[Notes],ROW()-ROW(Payslip_Lookup[#Headers])))</f>
        <v/>
      </c>
      <c r="AF151" s="171" t="str">
        <f aca="false">IF(INDEX(Salary_Calculation[Source Row],ROW()-ROW(Payslip_Lookup[#Headers]))="","",INDEX(Salary_Calculation[Exception Reason],ROW()-ROW(Payslip_Lookup[#Headers])))</f>
        <v/>
      </c>
      <c r="AG151" s="173" t="str">
        <f aca="false">IF($AD151="Review Required",COUNTIF(AD$2:AD151,"Review Required"),"")</f>
        <v/>
      </c>
      <c r="AH151" s="173" t="str">
        <f aca="false">IF(AND($D151&lt;&gt;"",$B151=Payslip_Print!$C$2),MAX(AH$1:AH150)+1,"")</f>
        <v/>
      </c>
      <c r="AL151" s="178" t="str">
        <f aca="false">IFERROR(INDEX($D$2:$D$501,MATCH(ROW()-1,$AH$2:$AH$501,0)),"")</f>
        <v/>
      </c>
      <c r="AM151" s="179" t="str">
        <f aca="false">IF($Z151="","",IF(AND($C151&gt;=Dash_Start,$C151&lt;Dash_End),$Z151+ROW()/10000000,""))</f>
        <v/>
      </c>
    </row>
    <row r="152" customFormat="false" ht="14.25" hidden="false" customHeight="false" outlineLevel="0" collapsed="false">
      <c r="A152" s="171" t="str">
        <f aca="false">IF(Payslip_Lookup[[#This Row],[Rider ID]]="","",Payslip_Lookup[[#This Row],[Rider ID]]&amp;"|"&amp;Payslip_Lookup[[#This Row],[Month Key]])</f>
        <v/>
      </c>
      <c r="B152" s="172" t="str">
        <f aca="false">IF(ISNUMBER(Payslip_Lookup[[#This Row],[Salary Month]]),DATE(YEAR(Payslip_Lookup[[#This Row],[Salary Month]]),MONTH(Payslip_Lookup[[#This Row],[Salary Month]]),1),"")</f>
        <v/>
      </c>
      <c r="C152" s="172" t="str">
        <f aca="false">IF(INDEX(Salary_Calculation[Source Row],ROW()-ROW(Payslip_Lookup[#Headers]))="","",INDEX(Salary_Calculation[Salary Month],ROW()-ROW(Payslip_Lookup[#Headers])))</f>
        <v/>
      </c>
      <c r="D152" s="173" t="str">
        <f aca="false">IF(INDEX(Salary_Calculation[Source Row],ROW()-ROW(Payslip_Lookup[#Headers]))="","",INDEX(Salary_Calculation[Rider ID],ROW()-ROW(Payslip_Lookup[#Headers])))</f>
        <v/>
      </c>
      <c r="E152" s="171" t="str">
        <f aca="false">IF(INDEX(Salary_Calculation[Source Row],ROW()-ROW(Payslip_Lookup[#Headers]))="","",INDEX(Salary_Calculation[Rider Name],ROW()-ROW(Payslip_Lookup[#Headers])))</f>
        <v/>
      </c>
      <c r="F152" s="173" t="str">
        <f aca="false">IF(INDEX(Salary_Calculation[Source Row],ROW()-ROW(Payslip_Lookup[#Headers]))="","",INDEX(Salary_Calculation[Working Days],ROW()-ROW(Payslip_Lookup[#Headers])))</f>
        <v/>
      </c>
      <c r="G152" s="173" t="str">
        <f aca="false">IF(INDEX(Salary_Calculation[Source Row],ROW()-ROW(Payslip_Lookup[#Headers]))="","",INDEX(Salary_Calculation[Calendar Days],ROW()-ROW(Payslip_Lookup[#Headers])))</f>
        <v/>
      </c>
      <c r="H152" s="174" t="str">
        <f aca="false">IF(INDEX(Salary_Calculation[Source Row],ROW()-ROW(Payslip_Lookup[#Headers]))="","",INDEX(Salary_Calculation[Monthly Target Orders],ROW()-ROW(Payslip_Lookup[#Headers])))</f>
        <v/>
      </c>
      <c r="I152" s="174" t="str">
        <f aca="false">IF(INDEX(Salary_Calculation[Source Row],ROW()-ROW(Payslip_Lookup[#Headers]))="","",INDEX(Salary_Calculation[Rider Target Orders],ROW()-ROW(Payslip_Lookup[#Headers])))</f>
        <v/>
      </c>
      <c r="J152" s="175" t="str">
        <f aca="false">IF(INDEX(Salary_Calculation[Source Row],ROW()-ROW(Payslip_Lookup[#Headers]))="","",INDEX(Salary_Calculation[Completed Orders],ROW()-ROW(Payslip_Lookup[#Headers])))</f>
        <v/>
      </c>
      <c r="K152" s="174" t="str">
        <f aca="false">IF(INDEX(Salary_Calculation[Source Row],ROW()-ROW(Payslip_Lookup[#Headers]))="","",INDEX(Salary_Calculation[Base Order Rate],ROW()-ROW(Payslip_Lookup[#Headers])))</f>
        <v/>
      </c>
      <c r="L152" s="176" t="str">
        <f aca="false">IF(INDEX(Salary_Calculation[Source Row],ROW()-ROW(Payslip_Lookup[#Headers]))="","",INDEX(Salary_Calculation[Basic Payment],ROW()-ROW(Payslip_Lookup[#Headers])))</f>
        <v/>
      </c>
      <c r="M152" s="176" t="str">
        <f aca="false">IF(INDEX(Salary_Calculation[Source Row],ROW()-ROW(Payslip_Lookup[#Headers]))="","",INDEX(Salary_Calculation[Earned Salary],ROW()-ROW(Payslip_Lookup[#Headers])))</f>
        <v/>
      </c>
      <c r="N152" s="174" t="str">
        <f aca="false">IF(INDEX(Salary_Calculation[Source Row],ROW()-ROW(Payslip_Lookup[#Headers]))="","",INDEX(Salary_Calculation[Orders Counted at Base Rate],ROW()-ROW(Payslip_Lookup[#Headers])))</f>
        <v/>
      </c>
      <c r="O152" s="174" t="str">
        <f aca="false">IF(INDEX(Salary_Calculation[Source Row],ROW()-ROW(Payslip_Lookup[#Headers]))="","",INDEX(Salary_Calculation[Missing Orders],ROW()-ROW(Payslip_Lookup[#Headers])))</f>
        <v/>
      </c>
      <c r="P152" s="176" t="str">
        <f aca="false">IF(INDEX(Salary_Calculation[Source Row],ROW()-ROW(Payslip_Lookup[#Headers]))="","",INDEX(Salary_Calculation[Missing-Order Deduction],ROW()-ROW(Payslip_Lookup[#Headers])))</f>
        <v/>
      </c>
      <c r="Q152" s="174" t="str">
        <f aca="false">IF(INDEX(Salary_Calculation[Source Row],ROW()-ROW(Payslip_Lookup[#Headers]))="","",INDEX(Salary_Calculation[Extra Orders],ROW()-ROW(Payslip_Lookup[#Headers])))</f>
        <v/>
      </c>
      <c r="R152" s="176" t="str">
        <f aca="false">IF(INDEX(Salary_Calculation[Source Row],ROW()-ROW(Payslip_Lookup[#Headers]))="","",INDEX(Salary_Calculation[Extra-Order Bonus],ROW()-ROW(Payslip_Lookup[#Headers])))</f>
        <v/>
      </c>
      <c r="S152" s="176" t="str">
        <f aca="false">IF(INDEX(Salary_Calculation[Source Row],ROW()-ROW(Payslip_Lookup[#Headers]))="","",INDEX(Salary_Calculation[Basic Salary for Target],ROW()-ROW(Payslip_Lookup[#Headers])))</f>
        <v/>
      </c>
      <c r="T152" s="176" t="str">
        <f aca="false">IF(INDEX(Salary_Calculation[Source Row],ROW()-ROW(Payslip_Lookup[#Headers]))="","",INDEX(Salary_Calculation[Gross Salary Before Deductions],ROW()-ROW(Payslip_Lookup[#Headers])))</f>
        <v/>
      </c>
      <c r="U152" s="176" t="str">
        <f aca="false">IF(INDEX(Salary_Calculation[Source Row],ROW()-ROW(Payslip_Lookup[#Headers]))="","",INDEX(Salary_Calculation[missed_days_penalty],ROW()-ROW(Payslip_Lookup[#Headers])))</f>
        <v/>
      </c>
      <c r="V152" s="176" t="str">
        <f aca="false">IF(INDEX(Salary_Calculation[Source Row],ROW()-ROW(Payslip_Lookup[#Headers]))="","",INDEX(Salary_Calculation[Rider Balance],ROW()-ROW(Payslip_Lookup[#Headers])))</f>
        <v/>
      </c>
      <c r="W152" s="176" t="str">
        <f aca="false">IF(INDEX(Salary_Calculation[Source Row],ROW()-ROW(Payslip_Lookup[#Headers]))="","",INDEX(Salary_Calculation[stacking_deduction],ROW()-ROW(Payslip_Lookup[#Headers])))</f>
        <v/>
      </c>
      <c r="X152" s="176" t="str">
        <f aca="false">IF(INDEX(Salary_Calculation[Source Row],ROW()-ROW(Payslip_Lookup[#Headers]))="","",INDEX(Salary_Calculation[Other Deductions],ROW()-ROW(Payslip_Lookup[#Headers])))</f>
        <v/>
      </c>
      <c r="Y152" s="176" t="str">
        <f aca="false">IF(INDEX(Salary_Calculation[Source Row],ROW()-ROW(Payslip_Lookup[#Headers]))="","",INDEX(Salary_Calculation[Total Deductions],ROW()-ROW(Payslip_Lookup[#Headers])))</f>
        <v/>
      </c>
      <c r="Z152" s="176" t="str">
        <f aca="false">IF(INDEX(Salary_Calculation[Source Row],ROW()-ROW(Payslip_Lookup[#Headers]))="","",INDEX(Salary_Calculation[Final Salary],ROW()-ROW(Payslip_Lookup[#Headers])))</f>
        <v/>
      </c>
      <c r="AA152" s="176" t="str">
        <f aca="false">IF(INDEX(Salary_Calculation[Source Row],ROW()-ROW(Payslip_Lookup[#Headers]))="","",INDEX(Salary_Calculation[Negative Balance / Amount Due from Rider],ROW()-ROW(Payslip_Lookup[#Headers])))</f>
        <v/>
      </c>
      <c r="AB152" s="176" t="str">
        <f aca="false">IF(INDEX(Salary_Calculation[Source Row],ROW()-ROW(Payslip_Lookup[#Headers]))="","",INDEX(Salary_Calculation[Total Amount Due from Rider],ROW()-ROW(Payslip_Lookup[#Headers])))</f>
        <v/>
      </c>
      <c r="AC152" s="176" t="str">
        <f aca="false">IF(INDEX(Salary_Calculation[Source Row],ROW()-ROW(Payslip_Lookup[#Headers]))="","",INDEX(Salary_Calculation[Salary Before Other Deductions],ROW()-ROW(Payslip_Lookup[#Headers])))</f>
        <v/>
      </c>
      <c r="AD152" s="171" t="str">
        <f aca="false">IF(INDEX(Salary_Calculation[Source Row],ROW()-ROW(Payslip_Lookup[#Headers]))="","",INDEX(Salary_Calculation[Payment Status],ROW()-ROW(Payslip_Lookup[#Headers])))</f>
        <v/>
      </c>
      <c r="AE152" s="171" t="str">
        <f aca="false">IF(INDEX(Salary_Calculation[Source Row],ROW()-ROW(Payslip_Lookup[#Headers]))="","",INDEX(Salary_Calculation[Notes],ROW()-ROW(Payslip_Lookup[#Headers])))</f>
        <v/>
      </c>
      <c r="AF152" s="171" t="str">
        <f aca="false">IF(INDEX(Salary_Calculation[Source Row],ROW()-ROW(Payslip_Lookup[#Headers]))="","",INDEX(Salary_Calculation[Exception Reason],ROW()-ROW(Payslip_Lookup[#Headers])))</f>
        <v/>
      </c>
      <c r="AG152" s="173" t="str">
        <f aca="false">IF($AD152="Review Required",COUNTIF(AD$2:AD152,"Review Required"),"")</f>
        <v/>
      </c>
      <c r="AH152" s="173" t="str">
        <f aca="false">IF(AND($D152&lt;&gt;"",$B152=Payslip_Print!$C$2),MAX(AH$1:AH151)+1,"")</f>
        <v/>
      </c>
      <c r="AL152" s="178" t="str">
        <f aca="false">IFERROR(INDEX($D$2:$D$501,MATCH(ROW()-1,$AH$2:$AH$501,0)),"")</f>
        <v/>
      </c>
      <c r="AM152" s="179" t="str">
        <f aca="false">IF($Z152="","",IF(AND($C152&gt;=Dash_Start,$C152&lt;Dash_End),$Z152+ROW()/10000000,""))</f>
        <v/>
      </c>
    </row>
    <row r="153" customFormat="false" ht="14.25" hidden="false" customHeight="false" outlineLevel="0" collapsed="false">
      <c r="A153" s="171" t="str">
        <f aca="false">IF(Payslip_Lookup[[#This Row],[Rider ID]]="","",Payslip_Lookup[[#This Row],[Rider ID]]&amp;"|"&amp;Payslip_Lookup[[#This Row],[Month Key]])</f>
        <v/>
      </c>
      <c r="B153" s="172" t="str">
        <f aca="false">IF(ISNUMBER(Payslip_Lookup[[#This Row],[Salary Month]]),DATE(YEAR(Payslip_Lookup[[#This Row],[Salary Month]]),MONTH(Payslip_Lookup[[#This Row],[Salary Month]]),1),"")</f>
        <v/>
      </c>
      <c r="C153" s="172" t="str">
        <f aca="false">IF(INDEX(Salary_Calculation[Source Row],ROW()-ROW(Payslip_Lookup[#Headers]))="","",INDEX(Salary_Calculation[Salary Month],ROW()-ROW(Payslip_Lookup[#Headers])))</f>
        <v/>
      </c>
      <c r="D153" s="173" t="str">
        <f aca="false">IF(INDEX(Salary_Calculation[Source Row],ROW()-ROW(Payslip_Lookup[#Headers]))="","",INDEX(Salary_Calculation[Rider ID],ROW()-ROW(Payslip_Lookup[#Headers])))</f>
        <v/>
      </c>
      <c r="E153" s="171" t="str">
        <f aca="false">IF(INDEX(Salary_Calculation[Source Row],ROW()-ROW(Payslip_Lookup[#Headers]))="","",INDEX(Salary_Calculation[Rider Name],ROW()-ROW(Payslip_Lookup[#Headers])))</f>
        <v/>
      </c>
      <c r="F153" s="173" t="str">
        <f aca="false">IF(INDEX(Salary_Calculation[Source Row],ROW()-ROW(Payslip_Lookup[#Headers]))="","",INDEX(Salary_Calculation[Working Days],ROW()-ROW(Payslip_Lookup[#Headers])))</f>
        <v/>
      </c>
      <c r="G153" s="173" t="str">
        <f aca="false">IF(INDEX(Salary_Calculation[Source Row],ROW()-ROW(Payslip_Lookup[#Headers]))="","",INDEX(Salary_Calculation[Calendar Days],ROW()-ROW(Payslip_Lookup[#Headers])))</f>
        <v/>
      </c>
      <c r="H153" s="174" t="str">
        <f aca="false">IF(INDEX(Salary_Calculation[Source Row],ROW()-ROW(Payslip_Lookup[#Headers]))="","",INDEX(Salary_Calculation[Monthly Target Orders],ROW()-ROW(Payslip_Lookup[#Headers])))</f>
        <v/>
      </c>
      <c r="I153" s="174" t="str">
        <f aca="false">IF(INDEX(Salary_Calculation[Source Row],ROW()-ROW(Payslip_Lookup[#Headers]))="","",INDEX(Salary_Calculation[Rider Target Orders],ROW()-ROW(Payslip_Lookup[#Headers])))</f>
        <v/>
      </c>
      <c r="J153" s="175" t="str">
        <f aca="false">IF(INDEX(Salary_Calculation[Source Row],ROW()-ROW(Payslip_Lookup[#Headers]))="","",INDEX(Salary_Calculation[Completed Orders],ROW()-ROW(Payslip_Lookup[#Headers])))</f>
        <v/>
      </c>
      <c r="K153" s="174" t="str">
        <f aca="false">IF(INDEX(Salary_Calculation[Source Row],ROW()-ROW(Payslip_Lookup[#Headers]))="","",INDEX(Salary_Calculation[Base Order Rate],ROW()-ROW(Payslip_Lookup[#Headers])))</f>
        <v/>
      </c>
      <c r="L153" s="176" t="str">
        <f aca="false">IF(INDEX(Salary_Calculation[Source Row],ROW()-ROW(Payslip_Lookup[#Headers]))="","",INDEX(Salary_Calculation[Basic Payment],ROW()-ROW(Payslip_Lookup[#Headers])))</f>
        <v/>
      </c>
      <c r="M153" s="176" t="str">
        <f aca="false">IF(INDEX(Salary_Calculation[Source Row],ROW()-ROW(Payslip_Lookup[#Headers]))="","",INDEX(Salary_Calculation[Earned Salary],ROW()-ROW(Payslip_Lookup[#Headers])))</f>
        <v/>
      </c>
      <c r="N153" s="174" t="str">
        <f aca="false">IF(INDEX(Salary_Calculation[Source Row],ROW()-ROW(Payslip_Lookup[#Headers]))="","",INDEX(Salary_Calculation[Orders Counted at Base Rate],ROW()-ROW(Payslip_Lookup[#Headers])))</f>
        <v/>
      </c>
      <c r="O153" s="174" t="str">
        <f aca="false">IF(INDEX(Salary_Calculation[Source Row],ROW()-ROW(Payslip_Lookup[#Headers]))="","",INDEX(Salary_Calculation[Missing Orders],ROW()-ROW(Payslip_Lookup[#Headers])))</f>
        <v/>
      </c>
      <c r="P153" s="176" t="str">
        <f aca="false">IF(INDEX(Salary_Calculation[Source Row],ROW()-ROW(Payslip_Lookup[#Headers]))="","",INDEX(Salary_Calculation[Missing-Order Deduction],ROW()-ROW(Payslip_Lookup[#Headers])))</f>
        <v/>
      </c>
      <c r="Q153" s="174" t="str">
        <f aca="false">IF(INDEX(Salary_Calculation[Source Row],ROW()-ROW(Payslip_Lookup[#Headers]))="","",INDEX(Salary_Calculation[Extra Orders],ROW()-ROW(Payslip_Lookup[#Headers])))</f>
        <v/>
      </c>
      <c r="R153" s="176" t="str">
        <f aca="false">IF(INDEX(Salary_Calculation[Source Row],ROW()-ROW(Payslip_Lookup[#Headers]))="","",INDEX(Salary_Calculation[Extra-Order Bonus],ROW()-ROW(Payslip_Lookup[#Headers])))</f>
        <v/>
      </c>
      <c r="S153" s="176" t="str">
        <f aca="false">IF(INDEX(Salary_Calculation[Source Row],ROW()-ROW(Payslip_Lookup[#Headers]))="","",INDEX(Salary_Calculation[Basic Salary for Target],ROW()-ROW(Payslip_Lookup[#Headers])))</f>
        <v/>
      </c>
      <c r="T153" s="176" t="str">
        <f aca="false">IF(INDEX(Salary_Calculation[Source Row],ROW()-ROW(Payslip_Lookup[#Headers]))="","",INDEX(Salary_Calculation[Gross Salary Before Deductions],ROW()-ROW(Payslip_Lookup[#Headers])))</f>
        <v/>
      </c>
      <c r="U153" s="176" t="str">
        <f aca="false">IF(INDEX(Salary_Calculation[Source Row],ROW()-ROW(Payslip_Lookup[#Headers]))="","",INDEX(Salary_Calculation[missed_days_penalty],ROW()-ROW(Payslip_Lookup[#Headers])))</f>
        <v/>
      </c>
      <c r="V153" s="176" t="str">
        <f aca="false">IF(INDEX(Salary_Calculation[Source Row],ROW()-ROW(Payslip_Lookup[#Headers]))="","",INDEX(Salary_Calculation[Rider Balance],ROW()-ROW(Payslip_Lookup[#Headers])))</f>
        <v/>
      </c>
      <c r="W153" s="176" t="str">
        <f aca="false">IF(INDEX(Salary_Calculation[Source Row],ROW()-ROW(Payslip_Lookup[#Headers]))="","",INDEX(Salary_Calculation[stacking_deduction],ROW()-ROW(Payslip_Lookup[#Headers])))</f>
        <v/>
      </c>
      <c r="X153" s="176" t="str">
        <f aca="false">IF(INDEX(Salary_Calculation[Source Row],ROW()-ROW(Payslip_Lookup[#Headers]))="","",INDEX(Salary_Calculation[Other Deductions],ROW()-ROW(Payslip_Lookup[#Headers])))</f>
        <v/>
      </c>
      <c r="Y153" s="176" t="str">
        <f aca="false">IF(INDEX(Salary_Calculation[Source Row],ROW()-ROW(Payslip_Lookup[#Headers]))="","",INDEX(Salary_Calculation[Total Deductions],ROW()-ROW(Payslip_Lookup[#Headers])))</f>
        <v/>
      </c>
      <c r="Z153" s="176" t="str">
        <f aca="false">IF(INDEX(Salary_Calculation[Source Row],ROW()-ROW(Payslip_Lookup[#Headers]))="","",INDEX(Salary_Calculation[Final Salary],ROW()-ROW(Payslip_Lookup[#Headers])))</f>
        <v/>
      </c>
      <c r="AA153" s="176" t="str">
        <f aca="false">IF(INDEX(Salary_Calculation[Source Row],ROW()-ROW(Payslip_Lookup[#Headers]))="","",INDEX(Salary_Calculation[Negative Balance / Amount Due from Rider],ROW()-ROW(Payslip_Lookup[#Headers])))</f>
        <v/>
      </c>
      <c r="AB153" s="176" t="str">
        <f aca="false">IF(INDEX(Salary_Calculation[Source Row],ROW()-ROW(Payslip_Lookup[#Headers]))="","",INDEX(Salary_Calculation[Total Amount Due from Rider],ROW()-ROW(Payslip_Lookup[#Headers])))</f>
        <v/>
      </c>
      <c r="AC153" s="176" t="str">
        <f aca="false">IF(INDEX(Salary_Calculation[Source Row],ROW()-ROW(Payslip_Lookup[#Headers]))="","",INDEX(Salary_Calculation[Salary Before Other Deductions],ROW()-ROW(Payslip_Lookup[#Headers])))</f>
        <v/>
      </c>
      <c r="AD153" s="171" t="str">
        <f aca="false">IF(INDEX(Salary_Calculation[Source Row],ROW()-ROW(Payslip_Lookup[#Headers]))="","",INDEX(Salary_Calculation[Payment Status],ROW()-ROW(Payslip_Lookup[#Headers])))</f>
        <v/>
      </c>
      <c r="AE153" s="171" t="str">
        <f aca="false">IF(INDEX(Salary_Calculation[Source Row],ROW()-ROW(Payslip_Lookup[#Headers]))="","",INDEX(Salary_Calculation[Notes],ROW()-ROW(Payslip_Lookup[#Headers])))</f>
        <v/>
      </c>
      <c r="AF153" s="171" t="str">
        <f aca="false">IF(INDEX(Salary_Calculation[Source Row],ROW()-ROW(Payslip_Lookup[#Headers]))="","",INDEX(Salary_Calculation[Exception Reason],ROW()-ROW(Payslip_Lookup[#Headers])))</f>
        <v/>
      </c>
      <c r="AG153" s="173" t="str">
        <f aca="false">IF($AD153="Review Required",COUNTIF(AD$2:AD153,"Review Required"),"")</f>
        <v/>
      </c>
      <c r="AH153" s="173" t="str">
        <f aca="false">IF(AND($D153&lt;&gt;"",$B153=Payslip_Print!$C$2),MAX(AH$1:AH152)+1,"")</f>
        <v/>
      </c>
      <c r="AL153" s="178" t="str">
        <f aca="false">IFERROR(INDEX($D$2:$D$501,MATCH(ROW()-1,$AH$2:$AH$501,0)),"")</f>
        <v/>
      </c>
      <c r="AM153" s="179" t="str">
        <f aca="false">IF($Z153="","",IF(AND($C153&gt;=Dash_Start,$C153&lt;Dash_End),$Z153+ROW()/10000000,""))</f>
        <v/>
      </c>
    </row>
    <row r="154" customFormat="false" ht="14.25" hidden="false" customHeight="false" outlineLevel="0" collapsed="false">
      <c r="A154" s="171" t="str">
        <f aca="false">IF(Payslip_Lookup[[#This Row],[Rider ID]]="","",Payslip_Lookup[[#This Row],[Rider ID]]&amp;"|"&amp;Payslip_Lookup[[#This Row],[Month Key]])</f>
        <v/>
      </c>
      <c r="B154" s="172" t="str">
        <f aca="false">IF(ISNUMBER(Payslip_Lookup[[#This Row],[Salary Month]]),DATE(YEAR(Payslip_Lookup[[#This Row],[Salary Month]]),MONTH(Payslip_Lookup[[#This Row],[Salary Month]]),1),"")</f>
        <v/>
      </c>
      <c r="C154" s="172" t="str">
        <f aca="false">IF(INDEX(Salary_Calculation[Source Row],ROW()-ROW(Payslip_Lookup[#Headers]))="","",INDEX(Salary_Calculation[Salary Month],ROW()-ROW(Payslip_Lookup[#Headers])))</f>
        <v/>
      </c>
      <c r="D154" s="173" t="str">
        <f aca="false">IF(INDEX(Salary_Calculation[Source Row],ROW()-ROW(Payslip_Lookup[#Headers]))="","",INDEX(Salary_Calculation[Rider ID],ROW()-ROW(Payslip_Lookup[#Headers])))</f>
        <v/>
      </c>
      <c r="E154" s="171" t="str">
        <f aca="false">IF(INDEX(Salary_Calculation[Source Row],ROW()-ROW(Payslip_Lookup[#Headers]))="","",INDEX(Salary_Calculation[Rider Name],ROW()-ROW(Payslip_Lookup[#Headers])))</f>
        <v/>
      </c>
      <c r="F154" s="173" t="str">
        <f aca="false">IF(INDEX(Salary_Calculation[Source Row],ROW()-ROW(Payslip_Lookup[#Headers]))="","",INDEX(Salary_Calculation[Working Days],ROW()-ROW(Payslip_Lookup[#Headers])))</f>
        <v/>
      </c>
      <c r="G154" s="173" t="str">
        <f aca="false">IF(INDEX(Salary_Calculation[Source Row],ROW()-ROW(Payslip_Lookup[#Headers]))="","",INDEX(Salary_Calculation[Calendar Days],ROW()-ROW(Payslip_Lookup[#Headers])))</f>
        <v/>
      </c>
      <c r="H154" s="174" t="str">
        <f aca="false">IF(INDEX(Salary_Calculation[Source Row],ROW()-ROW(Payslip_Lookup[#Headers]))="","",INDEX(Salary_Calculation[Monthly Target Orders],ROW()-ROW(Payslip_Lookup[#Headers])))</f>
        <v/>
      </c>
      <c r="I154" s="174" t="str">
        <f aca="false">IF(INDEX(Salary_Calculation[Source Row],ROW()-ROW(Payslip_Lookup[#Headers]))="","",INDEX(Salary_Calculation[Rider Target Orders],ROW()-ROW(Payslip_Lookup[#Headers])))</f>
        <v/>
      </c>
      <c r="J154" s="175" t="str">
        <f aca="false">IF(INDEX(Salary_Calculation[Source Row],ROW()-ROW(Payslip_Lookup[#Headers]))="","",INDEX(Salary_Calculation[Completed Orders],ROW()-ROW(Payslip_Lookup[#Headers])))</f>
        <v/>
      </c>
      <c r="K154" s="174" t="str">
        <f aca="false">IF(INDEX(Salary_Calculation[Source Row],ROW()-ROW(Payslip_Lookup[#Headers]))="","",INDEX(Salary_Calculation[Base Order Rate],ROW()-ROW(Payslip_Lookup[#Headers])))</f>
        <v/>
      </c>
      <c r="L154" s="176" t="str">
        <f aca="false">IF(INDEX(Salary_Calculation[Source Row],ROW()-ROW(Payslip_Lookup[#Headers]))="","",INDEX(Salary_Calculation[Basic Payment],ROW()-ROW(Payslip_Lookup[#Headers])))</f>
        <v/>
      </c>
      <c r="M154" s="176" t="str">
        <f aca="false">IF(INDEX(Salary_Calculation[Source Row],ROW()-ROW(Payslip_Lookup[#Headers]))="","",INDEX(Salary_Calculation[Earned Salary],ROW()-ROW(Payslip_Lookup[#Headers])))</f>
        <v/>
      </c>
      <c r="N154" s="174" t="str">
        <f aca="false">IF(INDEX(Salary_Calculation[Source Row],ROW()-ROW(Payslip_Lookup[#Headers]))="","",INDEX(Salary_Calculation[Orders Counted at Base Rate],ROW()-ROW(Payslip_Lookup[#Headers])))</f>
        <v/>
      </c>
      <c r="O154" s="174" t="str">
        <f aca="false">IF(INDEX(Salary_Calculation[Source Row],ROW()-ROW(Payslip_Lookup[#Headers]))="","",INDEX(Salary_Calculation[Missing Orders],ROW()-ROW(Payslip_Lookup[#Headers])))</f>
        <v/>
      </c>
      <c r="P154" s="176" t="str">
        <f aca="false">IF(INDEX(Salary_Calculation[Source Row],ROW()-ROW(Payslip_Lookup[#Headers]))="","",INDEX(Salary_Calculation[Missing-Order Deduction],ROW()-ROW(Payslip_Lookup[#Headers])))</f>
        <v/>
      </c>
      <c r="Q154" s="174" t="str">
        <f aca="false">IF(INDEX(Salary_Calculation[Source Row],ROW()-ROW(Payslip_Lookup[#Headers]))="","",INDEX(Salary_Calculation[Extra Orders],ROW()-ROW(Payslip_Lookup[#Headers])))</f>
        <v/>
      </c>
      <c r="R154" s="176" t="str">
        <f aca="false">IF(INDEX(Salary_Calculation[Source Row],ROW()-ROW(Payslip_Lookup[#Headers]))="","",INDEX(Salary_Calculation[Extra-Order Bonus],ROW()-ROW(Payslip_Lookup[#Headers])))</f>
        <v/>
      </c>
      <c r="S154" s="176" t="str">
        <f aca="false">IF(INDEX(Salary_Calculation[Source Row],ROW()-ROW(Payslip_Lookup[#Headers]))="","",INDEX(Salary_Calculation[Basic Salary for Target],ROW()-ROW(Payslip_Lookup[#Headers])))</f>
        <v/>
      </c>
      <c r="T154" s="176" t="str">
        <f aca="false">IF(INDEX(Salary_Calculation[Source Row],ROW()-ROW(Payslip_Lookup[#Headers]))="","",INDEX(Salary_Calculation[Gross Salary Before Deductions],ROW()-ROW(Payslip_Lookup[#Headers])))</f>
        <v/>
      </c>
      <c r="U154" s="176" t="str">
        <f aca="false">IF(INDEX(Salary_Calculation[Source Row],ROW()-ROW(Payslip_Lookup[#Headers]))="","",INDEX(Salary_Calculation[missed_days_penalty],ROW()-ROW(Payslip_Lookup[#Headers])))</f>
        <v/>
      </c>
      <c r="V154" s="176" t="str">
        <f aca="false">IF(INDEX(Salary_Calculation[Source Row],ROW()-ROW(Payslip_Lookup[#Headers]))="","",INDEX(Salary_Calculation[Rider Balance],ROW()-ROW(Payslip_Lookup[#Headers])))</f>
        <v/>
      </c>
      <c r="W154" s="176" t="str">
        <f aca="false">IF(INDEX(Salary_Calculation[Source Row],ROW()-ROW(Payslip_Lookup[#Headers]))="","",INDEX(Salary_Calculation[stacking_deduction],ROW()-ROW(Payslip_Lookup[#Headers])))</f>
        <v/>
      </c>
      <c r="X154" s="176" t="str">
        <f aca="false">IF(INDEX(Salary_Calculation[Source Row],ROW()-ROW(Payslip_Lookup[#Headers]))="","",INDEX(Salary_Calculation[Other Deductions],ROW()-ROW(Payslip_Lookup[#Headers])))</f>
        <v/>
      </c>
      <c r="Y154" s="176" t="str">
        <f aca="false">IF(INDEX(Salary_Calculation[Source Row],ROW()-ROW(Payslip_Lookup[#Headers]))="","",INDEX(Salary_Calculation[Total Deductions],ROW()-ROW(Payslip_Lookup[#Headers])))</f>
        <v/>
      </c>
      <c r="Z154" s="176" t="str">
        <f aca="false">IF(INDEX(Salary_Calculation[Source Row],ROW()-ROW(Payslip_Lookup[#Headers]))="","",INDEX(Salary_Calculation[Final Salary],ROW()-ROW(Payslip_Lookup[#Headers])))</f>
        <v/>
      </c>
      <c r="AA154" s="176" t="str">
        <f aca="false">IF(INDEX(Salary_Calculation[Source Row],ROW()-ROW(Payslip_Lookup[#Headers]))="","",INDEX(Salary_Calculation[Negative Balance / Amount Due from Rider],ROW()-ROW(Payslip_Lookup[#Headers])))</f>
        <v/>
      </c>
      <c r="AB154" s="176" t="str">
        <f aca="false">IF(INDEX(Salary_Calculation[Source Row],ROW()-ROW(Payslip_Lookup[#Headers]))="","",INDEX(Salary_Calculation[Total Amount Due from Rider],ROW()-ROW(Payslip_Lookup[#Headers])))</f>
        <v/>
      </c>
      <c r="AC154" s="176" t="str">
        <f aca="false">IF(INDEX(Salary_Calculation[Source Row],ROW()-ROW(Payslip_Lookup[#Headers]))="","",INDEX(Salary_Calculation[Salary Before Other Deductions],ROW()-ROW(Payslip_Lookup[#Headers])))</f>
        <v/>
      </c>
      <c r="AD154" s="171" t="str">
        <f aca="false">IF(INDEX(Salary_Calculation[Source Row],ROW()-ROW(Payslip_Lookup[#Headers]))="","",INDEX(Salary_Calculation[Payment Status],ROW()-ROW(Payslip_Lookup[#Headers])))</f>
        <v/>
      </c>
      <c r="AE154" s="171" t="str">
        <f aca="false">IF(INDEX(Salary_Calculation[Source Row],ROW()-ROW(Payslip_Lookup[#Headers]))="","",INDEX(Salary_Calculation[Notes],ROW()-ROW(Payslip_Lookup[#Headers])))</f>
        <v/>
      </c>
      <c r="AF154" s="171" t="str">
        <f aca="false">IF(INDEX(Salary_Calculation[Source Row],ROW()-ROW(Payslip_Lookup[#Headers]))="","",INDEX(Salary_Calculation[Exception Reason],ROW()-ROW(Payslip_Lookup[#Headers])))</f>
        <v/>
      </c>
      <c r="AG154" s="173" t="str">
        <f aca="false">IF($AD154="Review Required",COUNTIF(AD$2:AD154,"Review Required"),"")</f>
        <v/>
      </c>
      <c r="AH154" s="173" t="str">
        <f aca="false">IF(AND($D154&lt;&gt;"",$B154=Payslip_Print!$C$2),MAX(AH$1:AH153)+1,"")</f>
        <v/>
      </c>
      <c r="AL154" s="178" t="str">
        <f aca="false">IFERROR(INDEX($D$2:$D$501,MATCH(ROW()-1,$AH$2:$AH$501,0)),"")</f>
        <v/>
      </c>
      <c r="AM154" s="179" t="str">
        <f aca="false">IF($Z154="","",IF(AND($C154&gt;=Dash_Start,$C154&lt;Dash_End),$Z154+ROW()/10000000,""))</f>
        <v/>
      </c>
    </row>
    <row r="155" customFormat="false" ht="14.25" hidden="false" customHeight="false" outlineLevel="0" collapsed="false">
      <c r="A155" s="171" t="str">
        <f aca="false">IF(Payslip_Lookup[[#This Row],[Rider ID]]="","",Payslip_Lookup[[#This Row],[Rider ID]]&amp;"|"&amp;Payslip_Lookup[[#This Row],[Month Key]])</f>
        <v/>
      </c>
      <c r="B155" s="172" t="str">
        <f aca="false">IF(ISNUMBER(Payslip_Lookup[[#This Row],[Salary Month]]),DATE(YEAR(Payslip_Lookup[[#This Row],[Salary Month]]),MONTH(Payslip_Lookup[[#This Row],[Salary Month]]),1),"")</f>
        <v/>
      </c>
      <c r="C155" s="172" t="str">
        <f aca="false">IF(INDEX(Salary_Calculation[Source Row],ROW()-ROW(Payslip_Lookup[#Headers]))="","",INDEX(Salary_Calculation[Salary Month],ROW()-ROW(Payslip_Lookup[#Headers])))</f>
        <v/>
      </c>
      <c r="D155" s="173" t="str">
        <f aca="false">IF(INDEX(Salary_Calculation[Source Row],ROW()-ROW(Payslip_Lookup[#Headers]))="","",INDEX(Salary_Calculation[Rider ID],ROW()-ROW(Payslip_Lookup[#Headers])))</f>
        <v/>
      </c>
      <c r="E155" s="171" t="str">
        <f aca="false">IF(INDEX(Salary_Calculation[Source Row],ROW()-ROW(Payslip_Lookup[#Headers]))="","",INDEX(Salary_Calculation[Rider Name],ROW()-ROW(Payslip_Lookup[#Headers])))</f>
        <v/>
      </c>
      <c r="F155" s="173" t="str">
        <f aca="false">IF(INDEX(Salary_Calculation[Source Row],ROW()-ROW(Payslip_Lookup[#Headers]))="","",INDEX(Salary_Calculation[Working Days],ROW()-ROW(Payslip_Lookup[#Headers])))</f>
        <v/>
      </c>
      <c r="G155" s="173" t="str">
        <f aca="false">IF(INDEX(Salary_Calculation[Source Row],ROW()-ROW(Payslip_Lookup[#Headers]))="","",INDEX(Salary_Calculation[Calendar Days],ROW()-ROW(Payslip_Lookup[#Headers])))</f>
        <v/>
      </c>
      <c r="H155" s="174" t="str">
        <f aca="false">IF(INDEX(Salary_Calculation[Source Row],ROW()-ROW(Payslip_Lookup[#Headers]))="","",INDEX(Salary_Calculation[Monthly Target Orders],ROW()-ROW(Payslip_Lookup[#Headers])))</f>
        <v/>
      </c>
      <c r="I155" s="174" t="str">
        <f aca="false">IF(INDEX(Salary_Calculation[Source Row],ROW()-ROW(Payslip_Lookup[#Headers]))="","",INDEX(Salary_Calculation[Rider Target Orders],ROW()-ROW(Payslip_Lookup[#Headers])))</f>
        <v/>
      </c>
      <c r="J155" s="175" t="str">
        <f aca="false">IF(INDEX(Salary_Calculation[Source Row],ROW()-ROW(Payslip_Lookup[#Headers]))="","",INDEX(Salary_Calculation[Completed Orders],ROW()-ROW(Payslip_Lookup[#Headers])))</f>
        <v/>
      </c>
      <c r="K155" s="174" t="str">
        <f aca="false">IF(INDEX(Salary_Calculation[Source Row],ROW()-ROW(Payslip_Lookup[#Headers]))="","",INDEX(Salary_Calculation[Base Order Rate],ROW()-ROW(Payslip_Lookup[#Headers])))</f>
        <v/>
      </c>
      <c r="L155" s="176" t="str">
        <f aca="false">IF(INDEX(Salary_Calculation[Source Row],ROW()-ROW(Payslip_Lookup[#Headers]))="","",INDEX(Salary_Calculation[Basic Payment],ROW()-ROW(Payslip_Lookup[#Headers])))</f>
        <v/>
      </c>
      <c r="M155" s="176" t="str">
        <f aca="false">IF(INDEX(Salary_Calculation[Source Row],ROW()-ROW(Payslip_Lookup[#Headers]))="","",INDEX(Salary_Calculation[Earned Salary],ROW()-ROW(Payslip_Lookup[#Headers])))</f>
        <v/>
      </c>
      <c r="N155" s="174" t="str">
        <f aca="false">IF(INDEX(Salary_Calculation[Source Row],ROW()-ROW(Payslip_Lookup[#Headers]))="","",INDEX(Salary_Calculation[Orders Counted at Base Rate],ROW()-ROW(Payslip_Lookup[#Headers])))</f>
        <v/>
      </c>
      <c r="O155" s="174" t="str">
        <f aca="false">IF(INDEX(Salary_Calculation[Source Row],ROW()-ROW(Payslip_Lookup[#Headers]))="","",INDEX(Salary_Calculation[Missing Orders],ROW()-ROW(Payslip_Lookup[#Headers])))</f>
        <v/>
      </c>
      <c r="P155" s="176" t="str">
        <f aca="false">IF(INDEX(Salary_Calculation[Source Row],ROW()-ROW(Payslip_Lookup[#Headers]))="","",INDEX(Salary_Calculation[Missing-Order Deduction],ROW()-ROW(Payslip_Lookup[#Headers])))</f>
        <v/>
      </c>
      <c r="Q155" s="174" t="str">
        <f aca="false">IF(INDEX(Salary_Calculation[Source Row],ROW()-ROW(Payslip_Lookup[#Headers]))="","",INDEX(Salary_Calculation[Extra Orders],ROW()-ROW(Payslip_Lookup[#Headers])))</f>
        <v/>
      </c>
      <c r="R155" s="176" t="str">
        <f aca="false">IF(INDEX(Salary_Calculation[Source Row],ROW()-ROW(Payslip_Lookup[#Headers]))="","",INDEX(Salary_Calculation[Extra-Order Bonus],ROW()-ROW(Payslip_Lookup[#Headers])))</f>
        <v/>
      </c>
      <c r="S155" s="176" t="str">
        <f aca="false">IF(INDEX(Salary_Calculation[Source Row],ROW()-ROW(Payslip_Lookup[#Headers]))="","",INDEX(Salary_Calculation[Basic Salary for Target],ROW()-ROW(Payslip_Lookup[#Headers])))</f>
        <v/>
      </c>
      <c r="T155" s="176" t="str">
        <f aca="false">IF(INDEX(Salary_Calculation[Source Row],ROW()-ROW(Payslip_Lookup[#Headers]))="","",INDEX(Salary_Calculation[Gross Salary Before Deductions],ROW()-ROW(Payslip_Lookup[#Headers])))</f>
        <v/>
      </c>
      <c r="U155" s="176" t="str">
        <f aca="false">IF(INDEX(Salary_Calculation[Source Row],ROW()-ROW(Payslip_Lookup[#Headers]))="","",INDEX(Salary_Calculation[missed_days_penalty],ROW()-ROW(Payslip_Lookup[#Headers])))</f>
        <v/>
      </c>
      <c r="V155" s="176" t="str">
        <f aca="false">IF(INDEX(Salary_Calculation[Source Row],ROW()-ROW(Payslip_Lookup[#Headers]))="","",INDEX(Salary_Calculation[Rider Balance],ROW()-ROW(Payslip_Lookup[#Headers])))</f>
        <v/>
      </c>
      <c r="W155" s="176" t="str">
        <f aca="false">IF(INDEX(Salary_Calculation[Source Row],ROW()-ROW(Payslip_Lookup[#Headers]))="","",INDEX(Salary_Calculation[stacking_deduction],ROW()-ROW(Payslip_Lookup[#Headers])))</f>
        <v/>
      </c>
      <c r="X155" s="176" t="str">
        <f aca="false">IF(INDEX(Salary_Calculation[Source Row],ROW()-ROW(Payslip_Lookup[#Headers]))="","",INDEX(Salary_Calculation[Other Deductions],ROW()-ROW(Payslip_Lookup[#Headers])))</f>
        <v/>
      </c>
      <c r="Y155" s="176" t="str">
        <f aca="false">IF(INDEX(Salary_Calculation[Source Row],ROW()-ROW(Payslip_Lookup[#Headers]))="","",INDEX(Salary_Calculation[Total Deductions],ROW()-ROW(Payslip_Lookup[#Headers])))</f>
        <v/>
      </c>
      <c r="Z155" s="176" t="str">
        <f aca="false">IF(INDEX(Salary_Calculation[Source Row],ROW()-ROW(Payslip_Lookup[#Headers]))="","",INDEX(Salary_Calculation[Final Salary],ROW()-ROW(Payslip_Lookup[#Headers])))</f>
        <v/>
      </c>
      <c r="AA155" s="176" t="str">
        <f aca="false">IF(INDEX(Salary_Calculation[Source Row],ROW()-ROW(Payslip_Lookup[#Headers]))="","",INDEX(Salary_Calculation[Negative Balance / Amount Due from Rider],ROW()-ROW(Payslip_Lookup[#Headers])))</f>
        <v/>
      </c>
      <c r="AB155" s="176" t="str">
        <f aca="false">IF(INDEX(Salary_Calculation[Source Row],ROW()-ROW(Payslip_Lookup[#Headers]))="","",INDEX(Salary_Calculation[Total Amount Due from Rider],ROW()-ROW(Payslip_Lookup[#Headers])))</f>
        <v/>
      </c>
      <c r="AC155" s="176" t="str">
        <f aca="false">IF(INDEX(Salary_Calculation[Source Row],ROW()-ROW(Payslip_Lookup[#Headers]))="","",INDEX(Salary_Calculation[Salary Before Other Deductions],ROW()-ROW(Payslip_Lookup[#Headers])))</f>
        <v/>
      </c>
      <c r="AD155" s="171" t="str">
        <f aca="false">IF(INDEX(Salary_Calculation[Source Row],ROW()-ROW(Payslip_Lookup[#Headers]))="","",INDEX(Salary_Calculation[Payment Status],ROW()-ROW(Payslip_Lookup[#Headers])))</f>
        <v/>
      </c>
      <c r="AE155" s="171" t="str">
        <f aca="false">IF(INDEX(Salary_Calculation[Source Row],ROW()-ROW(Payslip_Lookup[#Headers]))="","",INDEX(Salary_Calculation[Notes],ROW()-ROW(Payslip_Lookup[#Headers])))</f>
        <v/>
      </c>
      <c r="AF155" s="171" t="str">
        <f aca="false">IF(INDEX(Salary_Calculation[Source Row],ROW()-ROW(Payslip_Lookup[#Headers]))="","",INDEX(Salary_Calculation[Exception Reason],ROW()-ROW(Payslip_Lookup[#Headers])))</f>
        <v/>
      </c>
      <c r="AG155" s="173" t="str">
        <f aca="false">IF($AD155="Review Required",COUNTIF(AD$2:AD155,"Review Required"),"")</f>
        <v/>
      </c>
      <c r="AH155" s="173" t="str">
        <f aca="false">IF(AND($D155&lt;&gt;"",$B155=Payslip_Print!$C$2),MAX(AH$1:AH154)+1,"")</f>
        <v/>
      </c>
      <c r="AL155" s="178" t="str">
        <f aca="false">IFERROR(INDEX($D$2:$D$501,MATCH(ROW()-1,$AH$2:$AH$501,0)),"")</f>
        <v/>
      </c>
      <c r="AM155" s="179" t="str">
        <f aca="false">IF($Z155="","",IF(AND($C155&gt;=Dash_Start,$C155&lt;Dash_End),$Z155+ROW()/10000000,""))</f>
        <v/>
      </c>
    </row>
    <row r="156" customFormat="false" ht="14.25" hidden="false" customHeight="false" outlineLevel="0" collapsed="false">
      <c r="A156" s="171" t="str">
        <f aca="false">IF(Payslip_Lookup[[#This Row],[Rider ID]]="","",Payslip_Lookup[[#This Row],[Rider ID]]&amp;"|"&amp;Payslip_Lookup[[#This Row],[Month Key]])</f>
        <v/>
      </c>
      <c r="B156" s="172" t="str">
        <f aca="false">IF(ISNUMBER(Payslip_Lookup[[#This Row],[Salary Month]]),DATE(YEAR(Payslip_Lookup[[#This Row],[Salary Month]]),MONTH(Payslip_Lookup[[#This Row],[Salary Month]]),1),"")</f>
        <v/>
      </c>
      <c r="C156" s="172" t="str">
        <f aca="false">IF(INDEX(Salary_Calculation[Source Row],ROW()-ROW(Payslip_Lookup[#Headers]))="","",INDEX(Salary_Calculation[Salary Month],ROW()-ROW(Payslip_Lookup[#Headers])))</f>
        <v/>
      </c>
      <c r="D156" s="173" t="str">
        <f aca="false">IF(INDEX(Salary_Calculation[Source Row],ROW()-ROW(Payslip_Lookup[#Headers]))="","",INDEX(Salary_Calculation[Rider ID],ROW()-ROW(Payslip_Lookup[#Headers])))</f>
        <v/>
      </c>
      <c r="E156" s="171" t="str">
        <f aca="false">IF(INDEX(Salary_Calculation[Source Row],ROW()-ROW(Payslip_Lookup[#Headers]))="","",INDEX(Salary_Calculation[Rider Name],ROW()-ROW(Payslip_Lookup[#Headers])))</f>
        <v/>
      </c>
      <c r="F156" s="173" t="str">
        <f aca="false">IF(INDEX(Salary_Calculation[Source Row],ROW()-ROW(Payslip_Lookup[#Headers]))="","",INDEX(Salary_Calculation[Working Days],ROW()-ROW(Payslip_Lookup[#Headers])))</f>
        <v/>
      </c>
      <c r="G156" s="173" t="str">
        <f aca="false">IF(INDEX(Salary_Calculation[Source Row],ROW()-ROW(Payslip_Lookup[#Headers]))="","",INDEX(Salary_Calculation[Calendar Days],ROW()-ROW(Payslip_Lookup[#Headers])))</f>
        <v/>
      </c>
      <c r="H156" s="174" t="str">
        <f aca="false">IF(INDEX(Salary_Calculation[Source Row],ROW()-ROW(Payslip_Lookup[#Headers]))="","",INDEX(Salary_Calculation[Monthly Target Orders],ROW()-ROW(Payslip_Lookup[#Headers])))</f>
        <v/>
      </c>
      <c r="I156" s="174" t="str">
        <f aca="false">IF(INDEX(Salary_Calculation[Source Row],ROW()-ROW(Payslip_Lookup[#Headers]))="","",INDEX(Salary_Calculation[Rider Target Orders],ROW()-ROW(Payslip_Lookup[#Headers])))</f>
        <v/>
      </c>
      <c r="J156" s="175" t="str">
        <f aca="false">IF(INDEX(Salary_Calculation[Source Row],ROW()-ROW(Payslip_Lookup[#Headers]))="","",INDEX(Salary_Calculation[Completed Orders],ROW()-ROW(Payslip_Lookup[#Headers])))</f>
        <v/>
      </c>
      <c r="K156" s="174" t="str">
        <f aca="false">IF(INDEX(Salary_Calculation[Source Row],ROW()-ROW(Payslip_Lookup[#Headers]))="","",INDEX(Salary_Calculation[Base Order Rate],ROW()-ROW(Payslip_Lookup[#Headers])))</f>
        <v/>
      </c>
      <c r="L156" s="176" t="str">
        <f aca="false">IF(INDEX(Salary_Calculation[Source Row],ROW()-ROW(Payslip_Lookup[#Headers]))="","",INDEX(Salary_Calculation[Basic Payment],ROW()-ROW(Payslip_Lookup[#Headers])))</f>
        <v/>
      </c>
      <c r="M156" s="176" t="str">
        <f aca="false">IF(INDEX(Salary_Calculation[Source Row],ROW()-ROW(Payslip_Lookup[#Headers]))="","",INDEX(Salary_Calculation[Earned Salary],ROW()-ROW(Payslip_Lookup[#Headers])))</f>
        <v/>
      </c>
      <c r="N156" s="174" t="str">
        <f aca="false">IF(INDEX(Salary_Calculation[Source Row],ROW()-ROW(Payslip_Lookup[#Headers]))="","",INDEX(Salary_Calculation[Orders Counted at Base Rate],ROW()-ROW(Payslip_Lookup[#Headers])))</f>
        <v/>
      </c>
      <c r="O156" s="174" t="str">
        <f aca="false">IF(INDEX(Salary_Calculation[Source Row],ROW()-ROW(Payslip_Lookup[#Headers]))="","",INDEX(Salary_Calculation[Missing Orders],ROW()-ROW(Payslip_Lookup[#Headers])))</f>
        <v/>
      </c>
      <c r="P156" s="176" t="str">
        <f aca="false">IF(INDEX(Salary_Calculation[Source Row],ROW()-ROW(Payslip_Lookup[#Headers]))="","",INDEX(Salary_Calculation[Missing-Order Deduction],ROW()-ROW(Payslip_Lookup[#Headers])))</f>
        <v/>
      </c>
      <c r="Q156" s="174" t="str">
        <f aca="false">IF(INDEX(Salary_Calculation[Source Row],ROW()-ROW(Payslip_Lookup[#Headers]))="","",INDEX(Salary_Calculation[Extra Orders],ROW()-ROW(Payslip_Lookup[#Headers])))</f>
        <v/>
      </c>
      <c r="R156" s="176" t="str">
        <f aca="false">IF(INDEX(Salary_Calculation[Source Row],ROW()-ROW(Payslip_Lookup[#Headers]))="","",INDEX(Salary_Calculation[Extra-Order Bonus],ROW()-ROW(Payslip_Lookup[#Headers])))</f>
        <v/>
      </c>
      <c r="S156" s="176" t="str">
        <f aca="false">IF(INDEX(Salary_Calculation[Source Row],ROW()-ROW(Payslip_Lookup[#Headers]))="","",INDEX(Salary_Calculation[Basic Salary for Target],ROW()-ROW(Payslip_Lookup[#Headers])))</f>
        <v/>
      </c>
      <c r="T156" s="176" t="str">
        <f aca="false">IF(INDEX(Salary_Calculation[Source Row],ROW()-ROW(Payslip_Lookup[#Headers]))="","",INDEX(Salary_Calculation[Gross Salary Before Deductions],ROW()-ROW(Payslip_Lookup[#Headers])))</f>
        <v/>
      </c>
      <c r="U156" s="176" t="str">
        <f aca="false">IF(INDEX(Salary_Calculation[Source Row],ROW()-ROW(Payslip_Lookup[#Headers]))="","",INDEX(Salary_Calculation[missed_days_penalty],ROW()-ROW(Payslip_Lookup[#Headers])))</f>
        <v/>
      </c>
      <c r="V156" s="176" t="str">
        <f aca="false">IF(INDEX(Salary_Calculation[Source Row],ROW()-ROW(Payslip_Lookup[#Headers]))="","",INDEX(Salary_Calculation[Rider Balance],ROW()-ROW(Payslip_Lookup[#Headers])))</f>
        <v/>
      </c>
      <c r="W156" s="176" t="str">
        <f aca="false">IF(INDEX(Salary_Calculation[Source Row],ROW()-ROW(Payslip_Lookup[#Headers]))="","",INDEX(Salary_Calculation[stacking_deduction],ROW()-ROW(Payslip_Lookup[#Headers])))</f>
        <v/>
      </c>
      <c r="X156" s="176" t="str">
        <f aca="false">IF(INDEX(Salary_Calculation[Source Row],ROW()-ROW(Payslip_Lookup[#Headers]))="","",INDEX(Salary_Calculation[Other Deductions],ROW()-ROW(Payslip_Lookup[#Headers])))</f>
        <v/>
      </c>
      <c r="Y156" s="176" t="str">
        <f aca="false">IF(INDEX(Salary_Calculation[Source Row],ROW()-ROW(Payslip_Lookup[#Headers]))="","",INDEX(Salary_Calculation[Total Deductions],ROW()-ROW(Payslip_Lookup[#Headers])))</f>
        <v/>
      </c>
      <c r="Z156" s="176" t="str">
        <f aca="false">IF(INDEX(Salary_Calculation[Source Row],ROW()-ROW(Payslip_Lookup[#Headers]))="","",INDEX(Salary_Calculation[Final Salary],ROW()-ROW(Payslip_Lookup[#Headers])))</f>
        <v/>
      </c>
      <c r="AA156" s="176" t="str">
        <f aca="false">IF(INDEX(Salary_Calculation[Source Row],ROW()-ROW(Payslip_Lookup[#Headers]))="","",INDEX(Salary_Calculation[Negative Balance / Amount Due from Rider],ROW()-ROW(Payslip_Lookup[#Headers])))</f>
        <v/>
      </c>
      <c r="AB156" s="176" t="str">
        <f aca="false">IF(INDEX(Salary_Calculation[Source Row],ROW()-ROW(Payslip_Lookup[#Headers]))="","",INDEX(Salary_Calculation[Total Amount Due from Rider],ROW()-ROW(Payslip_Lookup[#Headers])))</f>
        <v/>
      </c>
      <c r="AC156" s="176" t="str">
        <f aca="false">IF(INDEX(Salary_Calculation[Source Row],ROW()-ROW(Payslip_Lookup[#Headers]))="","",INDEX(Salary_Calculation[Salary Before Other Deductions],ROW()-ROW(Payslip_Lookup[#Headers])))</f>
        <v/>
      </c>
      <c r="AD156" s="171" t="str">
        <f aca="false">IF(INDEX(Salary_Calculation[Source Row],ROW()-ROW(Payslip_Lookup[#Headers]))="","",INDEX(Salary_Calculation[Payment Status],ROW()-ROW(Payslip_Lookup[#Headers])))</f>
        <v/>
      </c>
      <c r="AE156" s="171" t="str">
        <f aca="false">IF(INDEX(Salary_Calculation[Source Row],ROW()-ROW(Payslip_Lookup[#Headers]))="","",INDEX(Salary_Calculation[Notes],ROW()-ROW(Payslip_Lookup[#Headers])))</f>
        <v/>
      </c>
      <c r="AF156" s="171" t="str">
        <f aca="false">IF(INDEX(Salary_Calculation[Source Row],ROW()-ROW(Payslip_Lookup[#Headers]))="","",INDEX(Salary_Calculation[Exception Reason],ROW()-ROW(Payslip_Lookup[#Headers])))</f>
        <v/>
      </c>
      <c r="AG156" s="173" t="str">
        <f aca="false">IF($AD156="Review Required",COUNTIF(AD$2:AD156,"Review Required"),"")</f>
        <v/>
      </c>
      <c r="AH156" s="173" t="str">
        <f aca="false">IF(AND($D156&lt;&gt;"",$B156=Payslip_Print!$C$2),MAX(AH$1:AH155)+1,"")</f>
        <v/>
      </c>
      <c r="AL156" s="178" t="str">
        <f aca="false">IFERROR(INDEX($D$2:$D$501,MATCH(ROW()-1,$AH$2:$AH$501,0)),"")</f>
        <v/>
      </c>
      <c r="AM156" s="179" t="str">
        <f aca="false">IF($Z156="","",IF(AND($C156&gt;=Dash_Start,$C156&lt;Dash_End),$Z156+ROW()/10000000,""))</f>
        <v/>
      </c>
    </row>
    <row r="157" customFormat="false" ht="14.25" hidden="false" customHeight="false" outlineLevel="0" collapsed="false">
      <c r="A157" s="171" t="str">
        <f aca="false">IF(Payslip_Lookup[[#This Row],[Rider ID]]="","",Payslip_Lookup[[#This Row],[Rider ID]]&amp;"|"&amp;Payslip_Lookup[[#This Row],[Month Key]])</f>
        <v/>
      </c>
      <c r="B157" s="172" t="str">
        <f aca="false">IF(ISNUMBER(Payslip_Lookup[[#This Row],[Salary Month]]),DATE(YEAR(Payslip_Lookup[[#This Row],[Salary Month]]),MONTH(Payslip_Lookup[[#This Row],[Salary Month]]),1),"")</f>
        <v/>
      </c>
      <c r="C157" s="172" t="str">
        <f aca="false">IF(INDEX(Salary_Calculation[Source Row],ROW()-ROW(Payslip_Lookup[#Headers]))="","",INDEX(Salary_Calculation[Salary Month],ROW()-ROW(Payslip_Lookup[#Headers])))</f>
        <v/>
      </c>
      <c r="D157" s="173" t="str">
        <f aca="false">IF(INDEX(Salary_Calculation[Source Row],ROW()-ROW(Payslip_Lookup[#Headers]))="","",INDEX(Salary_Calculation[Rider ID],ROW()-ROW(Payslip_Lookup[#Headers])))</f>
        <v/>
      </c>
      <c r="E157" s="171" t="str">
        <f aca="false">IF(INDEX(Salary_Calculation[Source Row],ROW()-ROW(Payslip_Lookup[#Headers]))="","",INDEX(Salary_Calculation[Rider Name],ROW()-ROW(Payslip_Lookup[#Headers])))</f>
        <v/>
      </c>
      <c r="F157" s="173" t="str">
        <f aca="false">IF(INDEX(Salary_Calculation[Source Row],ROW()-ROW(Payslip_Lookup[#Headers]))="","",INDEX(Salary_Calculation[Working Days],ROW()-ROW(Payslip_Lookup[#Headers])))</f>
        <v/>
      </c>
      <c r="G157" s="173" t="str">
        <f aca="false">IF(INDEX(Salary_Calculation[Source Row],ROW()-ROW(Payslip_Lookup[#Headers]))="","",INDEX(Salary_Calculation[Calendar Days],ROW()-ROW(Payslip_Lookup[#Headers])))</f>
        <v/>
      </c>
      <c r="H157" s="174" t="str">
        <f aca="false">IF(INDEX(Salary_Calculation[Source Row],ROW()-ROW(Payslip_Lookup[#Headers]))="","",INDEX(Salary_Calculation[Monthly Target Orders],ROW()-ROW(Payslip_Lookup[#Headers])))</f>
        <v/>
      </c>
      <c r="I157" s="174" t="str">
        <f aca="false">IF(INDEX(Salary_Calculation[Source Row],ROW()-ROW(Payslip_Lookup[#Headers]))="","",INDEX(Salary_Calculation[Rider Target Orders],ROW()-ROW(Payslip_Lookup[#Headers])))</f>
        <v/>
      </c>
      <c r="J157" s="175" t="str">
        <f aca="false">IF(INDEX(Salary_Calculation[Source Row],ROW()-ROW(Payslip_Lookup[#Headers]))="","",INDEX(Salary_Calculation[Completed Orders],ROW()-ROW(Payslip_Lookup[#Headers])))</f>
        <v/>
      </c>
      <c r="K157" s="174" t="str">
        <f aca="false">IF(INDEX(Salary_Calculation[Source Row],ROW()-ROW(Payslip_Lookup[#Headers]))="","",INDEX(Salary_Calculation[Base Order Rate],ROW()-ROW(Payslip_Lookup[#Headers])))</f>
        <v/>
      </c>
      <c r="L157" s="176" t="str">
        <f aca="false">IF(INDEX(Salary_Calculation[Source Row],ROW()-ROW(Payslip_Lookup[#Headers]))="","",INDEX(Salary_Calculation[Basic Payment],ROW()-ROW(Payslip_Lookup[#Headers])))</f>
        <v/>
      </c>
      <c r="M157" s="176" t="str">
        <f aca="false">IF(INDEX(Salary_Calculation[Source Row],ROW()-ROW(Payslip_Lookup[#Headers]))="","",INDEX(Salary_Calculation[Earned Salary],ROW()-ROW(Payslip_Lookup[#Headers])))</f>
        <v/>
      </c>
      <c r="N157" s="174" t="str">
        <f aca="false">IF(INDEX(Salary_Calculation[Source Row],ROW()-ROW(Payslip_Lookup[#Headers]))="","",INDEX(Salary_Calculation[Orders Counted at Base Rate],ROW()-ROW(Payslip_Lookup[#Headers])))</f>
        <v/>
      </c>
      <c r="O157" s="174" t="str">
        <f aca="false">IF(INDEX(Salary_Calculation[Source Row],ROW()-ROW(Payslip_Lookup[#Headers]))="","",INDEX(Salary_Calculation[Missing Orders],ROW()-ROW(Payslip_Lookup[#Headers])))</f>
        <v/>
      </c>
      <c r="P157" s="176" t="str">
        <f aca="false">IF(INDEX(Salary_Calculation[Source Row],ROW()-ROW(Payslip_Lookup[#Headers]))="","",INDEX(Salary_Calculation[Missing-Order Deduction],ROW()-ROW(Payslip_Lookup[#Headers])))</f>
        <v/>
      </c>
      <c r="Q157" s="174" t="str">
        <f aca="false">IF(INDEX(Salary_Calculation[Source Row],ROW()-ROW(Payslip_Lookup[#Headers]))="","",INDEX(Salary_Calculation[Extra Orders],ROW()-ROW(Payslip_Lookup[#Headers])))</f>
        <v/>
      </c>
      <c r="R157" s="176" t="str">
        <f aca="false">IF(INDEX(Salary_Calculation[Source Row],ROW()-ROW(Payslip_Lookup[#Headers]))="","",INDEX(Salary_Calculation[Extra-Order Bonus],ROW()-ROW(Payslip_Lookup[#Headers])))</f>
        <v/>
      </c>
      <c r="S157" s="176" t="str">
        <f aca="false">IF(INDEX(Salary_Calculation[Source Row],ROW()-ROW(Payslip_Lookup[#Headers]))="","",INDEX(Salary_Calculation[Basic Salary for Target],ROW()-ROW(Payslip_Lookup[#Headers])))</f>
        <v/>
      </c>
      <c r="T157" s="176" t="str">
        <f aca="false">IF(INDEX(Salary_Calculation[Source Row],ROW()-ROW(Payslip_Lookup[#Headers]))="","",INDEX(Salary_Calculation[Gross Salary Before Deductions],ROW()-ROW(Payslip_Lookup[#Headers])))</f>
        <v/>
      </c>
      <c r="U157" s="176" t="str">
        <f aca="false">IF(INDEX(Salary_Calculation[Source Row],ROW()-ROW(Payslip_Lookup[#Headers]))="","",INDEX(Salary_Calculation[missed_days_penalty],ROW()-ROW(Payslip_Lookup[#Headers])))</f>
        <v/>
      </c>
      <c r="V157" s="176" t="str">
        <f aca="false">IF(INDEX(Salary_Calculation[Source Row],ROW()-ROW(Payslip_Lookup[#Headers]))="","",INDEX(Salary_Calculation[Rider Balance],ROW()-ROW(Payslip_Lookup[#Headers])))</f>
        <v/>
      </c>
      <c r="W157" s="176" t="str">
        <f aca="false">IF(INDEX(Salary_Calculation[Source Row],ROW()-ROW(Payslip_Lookup[#Headers]))="","",INDEX(Salary_Calculation[stacking_deduction],ROW()-ROW(Payslip_Lookup[#Headers])))</f>
        <v/>
      </c>
      <c r="X157" s="176" t="str">
        <f aca="false">IF(INDEX(Salary_Calculation[Source Row],ROW()-ROW(Payslip_Lookup[#Headers]))="","",INDEX(Salary_Calculation[Other Deductions],ROW()-ROW(Payslip_Lookup[#Headers])))</f>
        <v/>
      </c>
      <c r="Y157" s="176" t="str">
        <f aca="false">IF(INDEX(Salary_Calculation[Source Row],ROW()-ROW(Payslip_Lookup[#Headers]))="","",INDEX(Salary_Calculation[Total Deductions],ROW()-ROW(Payslip_Lookup[#Headers])))</f>
        <v/>
      </c>
      <c r="Z157" s="176" t="str">
        <f aca="false">IF(INDEX(Salary_Calculation[Source Row],ROW()-ROW(Payslip_Lookup[#Headers]))="","",INDEX(Salary_Calculation[Final Salary],ROW()-ROW(Payslip_Lookup[#Headers])))</f>
        <v/>
      </c>
      <c r="AA157" s="176" t="str">
        <f aca="false">IF(INDEX(Salary_Calculation[Source Row],ROW()-ROW(Payslip_Lookup[#Headers]))="","",INDEX(Salary_Calculation[Negative Balance / Amount Due from Rider],ROW()-ROW(Payslip_Lookup[#Headers])))</f>
        <v/>
      </c>
      <c r="AB157" s="176" t="str">
        <f aca="false">IF(INDEX(Salary_Calculation[Source Row],ROW()-ROW(Payslip_Lookup[#Headers]))="","",INDEX(Salary_Calculation[Total Amount Due from Rider],ROW()-ROW(Payslip_Lookup[#Headers])))</f>
        <v/>
      </c>
      <c r="AC157" s="176" t="str">
        <f aca="false">IF(INDEX(Salary_Calculation[Source Row],ROW()-ROW(Payslip_Lookup[#Headers]))="","",INDEX(Salary_Calculation[Salary Before Other Deductions],ROW()-ROW(Payslip_Lookup[#Headers])))</f>
        <v/>
      </c>
      <c r="AD157" s="171" t="str">
        <f aca="false">IF(INDEX(Salary_Calculation[Source Row],ROW()-ROW(Payslip_Lookup[#Headers]))="","",INDEX(Salary_Calculation[Payment Status],ROW()-ROW(Payslip_Lookup[#Headers])))</f>
        <v/>
      </c>
      <c r="AE157" s="171" t="str">
        <f aca="false">IF(INDEX(Salary_Calculation[Source Row],ROW()-ROW(Payslip_Lookup[#Headers]))="","",INDEX(Salary_Calculation[Notes],ROW()-ROW(Payslip_Lookup[#Headers])))</f>
        <v/>
      </c>
      <c r="AF157" s="171" t="str">
        <f aca="false">IF(INDEX(Salary_Calculation[Source Row],ROW()-ROW(Payslip_Lookup[#Headers]))="","",INDEX(Salary_Calculation[Exception Reason],ROW()-ROW(Payslip_Lookup[#Headers])))</f>
        <v/>
      </c>
      <c r="AG157" s="173" t="str">
        <f aca="false">IF($AD157="Review Required",COUNTIF(AD$2:AD157,"Review Required"),"")</f>
        <v/>
      </c>
      <c r="AH157" s="173" t="str">
        <f aca="false">IF(AND($D157&lt;&gt;"",$B157=Payslip_Print!$C$2),MAX(AH$1:AH156)+1,"")</f>
        <v/>
      </c>
      <c r="AL157" s="178" t="str">
        <f aca="false">IFERROR(INDEX($D$2:$D$501,MATCH(ROW()-1,$AH$2:$AH$501,0)),"")</f>
        <v/>
      </c>
      <c r="AM157" s="179" t="str">
        <f aca="false">IF($Z157="","",IF(AND($C157&gt;=Dash_Start,$C157&lt;Dash_End),$Z157+ROW()/10000000,""))</f>
        <v/>
      </c>
    </row>
    <row r="158" customFormat="false" ht="14.25" hidden="false" customHeight="false" outlineLevel="0" collapsed="false">
      <c r="A158" s="171" t="str">
        <f aca="false">IF(Payslip_Lookup[[#This Row],[Rider ID]]="","",Payslip_Lookup[[#This Row],[Rider ID]]&amp;"|"&amp;Payslip_Lookup[[#This Row],[Month Key]])</f>
        <v/>
      </c>
      <c r="B158" s="172" t="str">
        <f aca="false">IF(ISNUMBER(Payslip_Lookup[[#This Row],[Salary Month]]),DATE(YEAR(Payslip_Lookup[[#This Row],[Salary Month]]),MONTH(Payslip_Lookup[[#This Row],[Salary Month]]),1),"")</f>
        <v/>
      </c>
      <c r="C158" s="172" t="str">
        <f aca="false">IF(INDEX(Salary_Calculation[Source Row],ROW()-ROW(Payslip_Lookup[#Headers]))="","",INDEX(Salary_Calculation[Salary Month],ROW()-ROW(Payslip_Lookup[#Headers])))</f>
        <v/>
      </c>
      <c r="D158" s="173" t="str">
        <f aca="false">IF(INDEX(Salary_Calculation[Source Row],ROW()-ROW(Payslip_Lookup[#Headers]))="","",INDEX(Salary_Calculation[Rider ID],ROW()-ROW(Payslip_Lookup[#Headers])))</f>
        <v/>
      </c>
      <c r="E158" s="171" t="str">
        <f aca="false">IF(INDEX(Salary_Calculation[Source Row],ROW()-ROW(Payslip_Lookup[#Headers]))="","",INDEX(Salary_Calculation[Rider Name],ROW()-ROW(Payslip_Lookup[#Headers])))</f>
        <v/>
      </c>
      <c r="F158" s="173" t="str">
        <f aca="false">IF(INDEX(Salary_Calculation[Source Row],ROW()-ROW(Payslip_Lookup[#Headers]))="","",INDEX(Salary_Calculation[Working Days],ROW()-ROW(Payslip_Lookup[#Headers])))</f>
        <v/>
      </c>
      <c r="G158" s="173" t="str">
        <f aca="false">IF(INDEX(Salary_Calculation[Source Row],ROW()-ROW(Payslip_Lookup[#Headers]))="","",INDEX(Salary_Calculation[Calendar Days],ROW()-ROW(Payslip_Lookup[#Headers])))</f>
        <v/>
      </c>
      <c r="H158" s="174" t="str">
        <f aca="false">IF(INDEX(Salary_Calculation[Source Row],ROW()-ROW(Payslip_Lookup[#Headers]))="","",INDEX(Salary_Calculation[Monthly Target Orders],ROW()-ROW(Payslip_Lookup[#Headers])))</f>
        <v/>
      </c>
      <c r="I158" s="174" t="str">
        <f aca="false">IF(INDEX(Salary_Calculation[Source Row],ROW()-ROW(Payslip_Lookup[#Headers]))="","",INDEX(Salary_Calculation[Rider Target Orders],ROW()-ROW(Payslip_Lookup[#Headers])))</f>
        <v/>
      </c>
      <c r="J158" s="175" t="str">
        <f aca="false">IF(INDEX(Salary_Calculation[Source Row],ROW()-ROW(Payslip_Lookup[#Headers]))="","",INDEX(Salary_Calculation[Completed Orders],ROW()-ROW(Payslip_Lookup[#Headers])))</f>
        <v/>
      </c>
      <c r="K158" s="174" t="str">
        <f aca="false">IF(INDEX(Salary_Calculation[Source Row],ROW()-ROW(Payslip_Lookup[#Headers]))="","",INDEX(Salary_Calculation[Base Order Rate],ROW()-ROW(Payslip_Lookup[#Headers])))</f>
        <v/>
      </c>
      <c r="L158" s="176" t="str">
        <f aca="false">IF(INDEX(Salary_Calculation[Source Row],ROW()-ROW(Payslip_Lookup[#Headers]))="","",INDEX(Salary_Calculation[Basic Payment],ROW()-ROW(Payslip_Lookup[#Headers])))</f>
        <v/>
      </c>
      <c r="M158" s="176" t="str">
        <f aca="false">IF(INDEX(Salary_Calculation[Source Row],ROW()-ROW(Payslip_Lookup[#Headers]))="","",INDEX(Salary_Calculation[Earned Salary],ROW()-ROW(Payslip_Lookup[#Headers])))</f>
        <v/>
      </c>
      <c r="N158" s="174" t="str">
        <f aca="false">IF(INDEX(Salary_Calculation[Source Row],ROW()-ROW(Payslip_Lookup[#Headers]))="","",INDEX(Salary_Calculation[Orders Counted at Base Rate],ROW()-ROW(Payslip_Lookup[#Headers])))</f>
        <v/>
      </c>
      <c r="O158" s="174" t="str">
        <f aca="false">IF(INDEX(Salary_Calculation[Source Row],ROW()-ROW(Payslip_Lookup[#Headers]))="","",INDEX(Salary_Calculation[Missing Orders],ROW()-ROW(Payslip_Lookup[#Headers])))</f>
        <v/>
      </c>
      <c r="P158" s="176" t="str">
        <f aca="false">IF(INDEX(Salary_Calculation[Source Row],ROW()-ROW(Payslip_Lookup[#Headers]))="","",INDEX(Salary_Calculation[Missing-Order Deduction],ROW()-ROW(Payslip_Lookup[#Headers])))</f>
        <v/>
      </c>
      <c r="Q158" s="174" t="str">
        <f aca="false">IF(INDEX(Salary_Calculation[Source Row],ROW()-ROW(Payslip_Lookup[#Headers]))="","",INDEX(Salary_Calculation[Extra Orders],ROW()-ROW(Payslip_Lookup[#Headers])))</f>
        <v/>
      </c>
      <c r="R158" s="176" t="str">
        <f aca="false">IF(INDEX(Salary_Calculation[Source Row],ROW()-ROW(Payslip_Lookup[#Headers]))="","",INDEX(Salary_Calculation[Extra-Order Bonus],ROW()-ROW(Payslip_Lookup[#Headers])))</f>
        <v/>
      </c>
      <c r="S158" s="176" t="str">
        <f aca="false">IF(INDEX(Salary_Calculation[Source Row],ROW()-ROW(Payslip_Lookup[#Headers]))="","",INDEX(Salary_Calculation[Basic Salary for Target],ROW()-ROW(Payslip_Lookup[#Headers])))</f>
        <v/>
      </c>
      <c r="T158" s="176" t="str">
        <f aca="false">IF(INDEX(Salary_Calculation[Source Row],ROW()-ROW(Payslip_Lookup[#Headers]))="","",INDEX(Salary_Calculation[Gross Salary Before Deductions],ROW()-ROW(Payslip_Lookup[#Headers])))</f>
        <v/>
      </c>
      <c r="U158" s="176" t="str">
        <f aca="false">IF(INDEX(Salary_Calculation[Source Row],ROW()-ROW(Payslip_Lookup[#Headers]))="","",INDEX(Salary_Calculation[missed_days_penalty],ROW()-ROW(Payslip_Lookup[#Headers])))</f>
        <v/>
      </c>
      <c r="V158" s="176" t="str">
        <f aca="false">IF(INDEX(Salary_Calculation[Source Row],ROW()-ROW(Payslip_Lookup[#Headers]))="","",INDEX(Salary_Calculation[Rider Balance],ROW()-ROW(Payslip_Lookup[#Headers])))</f>
        <v/>
      </c>
      <c r="W158" s="176" t="str">
        <f aca="false">IF(INDEX(Salary_Calculation[Source Row],ROW()-ROW(Payslip_Lookup[#Headers]))="","",INDEX(Salary_Calculation[stacking_deduction],ROW()-ROW(Payslip_Lookup[#Headers])))</f>
        <v/>
      </c>
      <c r="X158" s="176" t="str">
        <f aca="false">IF(INDEX(Salary_Calculation[Source Row],ROW()-ROW(Payslip_Lookup[#Headers]))="","",INDEX(Salary_Calculation[Other Deductions],ROW()-ROW(Payslip_Lookup[#Headers])))</f>
        <v/>
      </c>
      <c r="Y158" s="176" t="str">
        <f aca="false">IF(INDEX(Salary_Calculation[Source Row],ROW()-ROW(Payslip_Lookup[#Headers]))="","",INDEX(Salary_Calculation[Total Deductions],ROW()-ROW(Payslip_Lookup[#Headers])))</f>
        <v/>
      </c>
      <c r="Z158" s="176" t="str">
        <f aca="false">IF(INDEX(Salary_Calculation[Source Row],ROW()-ROW(Payslip_Lookup[#Headers]))="","",INDEX(Salary_Calculation[Final Salary],ROW()-ROW(Payslip_Lookup[#Headers])))</f>
        <v/>
      </c>
      <c r="AA158" s="176" t="str">
        <f aca="false">IF(INDEX(Salary_Calculation[Source Row],ROW()-ROW(Payslip_Lookup[#Headers]))="","",INDEX(Salary_Calculation[Negative Balance / Amount Due from Rider],ROW()-ROW(Payslip_Lookup[#Headers])))</f>
        <v/>
      </c>
      <c r="AB158" s="176" t="str">
        <f aca="false">IF(INDEX(Salary_Calculation[Source Row],ROW()-ROW(Payslip_Lookup[#Headers]))="","",INDEX(Salary_Calculation[Total Amount Due from Rider],ROW()-ROW(Payslip_Lookup[#Headers])))</f>
        <v/>
      </c>
      <c r="AC158" s="176" t="str">
        <f aca="false">IF(INDEX(Salary_Calculation[Source Row],ROW()-ROW(Payslip_Lookup[#Headers]))="","",INDEX(Salary_Calculation[Salary Before Other Deductions],ROW()-ROW(Payslip_Lookup[#Headers])))</f>
        <v/>
      </c>
      <c r="AD158" s="171" t="str">
        <f aca="false">IF(INDEX(Salary_Calculation[Source Row],ROW()-ROW(Payslip_Lookup[#Headers]))="","",INDEX(Salary_Calculation[Payment Status],ROW()-ROW(Payslip_Lookup[#Headers])))</f>
        <v/>
      </c>
      <c r="AE158" s="171" t="str">
        <f aca="false">IF(INDEX(Salary_Calculation[Source Row],ROW()-ROW(Payslip_Lookup[#Headers]))="","",INDEX(Salary_Calculation[Notes],ROW()-ROW(Payslip_Lookup[#Headers])))</f>
        <v/>
      </c>
      <c r="AF158" s="171" t="str">
        <f aca="false">IF(INDEX(Salary_Calculation[Source Row],ROW()-ROW(Payslip_Lookup[#Headers]))="","",INDEX(Salary_Calculation[Exception Reason],ROW()-ROW(Payslip_Lookup[#Headers])))</f>
        <v/>
      </c>
      <c r="AG158" s="173" t="str">
        <f aca="false">IF($AD158="Review Required",COUNTIF(AD$2:AD158,"Review Required"),"")</f>
        <v/>
      </c>
      <c r="AH158" s="173" t="str">
        <f aca="false">IF(AND($D158&lt;&gt;"",$B158=Payslip_Print!$C$2),MAX(AH$1:AH157)+1,"")</f>
        <v/>
      </c>
      <c r="AL158" s="178" t="str">
        <f aca="false">IFERROR(INDEX($D$2:$D$501,MATCH(ROW()-1,$AH$2:$AH$501,0)),"")</f>
        <v/>
      </c>
      <c r="AM158" s="179" t="str">
        <f aca="false">IF($Z158="","",IF(AND($C158&gt;=Dash_Start,$C158&lt;Dash_End),$Z158+ROW()/10000000,""))</f>
        <v/>
      </c>
    </row>
    <row r="159" customFormat="false" ht="14.25" hidden="false" customHeight="false" outlineLevel="0" collapsed="false">
      <c r="A159" s="171" t="str">
        <f aca="false">IF(Payslip_Lookup[[#This Row],[Rider ID]]="","",Payslip_Lookup[[#This Row],[Rider ID]]&amp;"|"&amp;Payslip_Lookup[[#This Row],[Month Key]])</f>
        <v/>
      </c>
      <c r="B159" s="172" t="str">
        <f aca="false">IF(ISNUMBER(Payslip_Lookup[[#This Row],[Salary Month]]),DATE(YEAR(Payslip_Lookup[[#This Row],[Salary Month]]),MONTH(Payslip_Lookup[[#This Row],[Salary Month]]),1),"")</f>
        <v/>
      </c>
      <c r="C159" s="172" t="str">
        <f aca="false">IF(INDEX(Salary_Calculation[Source Row],ROW()-ROW(Payslip_Lookup[#Headers]))="","",INDEX(Salary_Calculation[Salary Month],ROW()-ROW(Payslip_Lookup[#Headers])))</f>
        <v/>
      </c>
      <c r="D159" s="173" t="str">
        <f aca="false">IF(INDEX(Salary_Calculation[Source Row],ROW()-ROW(Payslip_Lookup[#Headers]))="","",INDEX(Salary_Calculation[Rider ID],ROW()-ROW(Payslip_Lookup[#Headers])))</f>
        <v/>
      </c>
      <c r="E159" s="171" t="str">
        <f aca="false">IF(INDEX(Salary_Calculation[Source Row],ROW()-ROW(Payslip_Lookup[#Headers]))="","",INDEX(Salary_Calculation[Rider Name],ROW()-ROW(Payslip_Lookup[#Headers])))</f>
        <v/>
      </c>
      <c r="F159" s="173" t="str">
        <f aca="false">IF(INDEX(Salary_Calculation[Source Row],ROW()-ROW(Payslip_Lookup[#Headers]))="","",INDEX(Salary_Calculation[Working Days],ROW()-ROW(Payslip_Lookup[#Headers])))</f>
        <v/>
      </c>
      <c r="G159" s="173" t="str">
        <f aca="false">IF(INDEX(Salary_Calculation[Source Row],ROW()-ROW(Payslip_Lookup[#Headers]))="","",INDEX(Salary_Calculation[Calendar Days],ROW()-ROW(Payslip_Lookup[#Headers])))</f>
        <v/>
      </c>
      <c r="H159" s="174" t="str">
        <f aca="false">IF(INDEX(Salary_Calculation[Source Row],ROW()-ROW(Payslip_Lookup[#Headers]))="","",INDEX(Salary_Calculation[Monthly Target Orders],ROW()-ROW(Payslip_Lookup[#Headers])))</f>
        <v/>
      </c>
      <c r="I159" s="174" t="str">
        <f aca="false">IF(INDEX(Salary_Calculation[Source Row],ROW()-ROW(Payslip_Lookup[#Headers]))="","",INDEX(Salary_Calculation[Rider Target Orders],ROW()-ROW(Payslip_Lookup[#Headers])))</f>
        <v/>
      </c>
      <c r="J159" s="175" t="str">
        <f aca="false">IF(INDEX(Salary_Calculation[Source Row],ROW()-ROW(Payslip_Lookup[#Headers]))="","",INDEX(Salary_Calculation[Completed Orders],ROW()-ROW(Payslip_Lookup[#Headers])))</f>
        <v/>
      </c>
      <c r="K159" s="174" t="str">
        <f aca="false">IF(INDEX(Salary_Calculation[Source Row],ROW()-ROW(Payslip_Lookup[#Headers]))="","",INDEX(Salary_Calculation[Base Order Rate],ROW()-ROW(Payslip_Lookup[#Headers])))</f>
        <v/>
      </c>
      <c r="L159" s="176" t="str">
        <f aca="false">IF(INDEX(Salary_Calculation[Source Row],ROW()-ROW(Payslip_Lookup[#Headers]))="","",INDEX(Salary_Calculation[Basic Payment],ROW()-ROW(Payslip_Lookup[#Headers])))</f>
        <v/>
      </c>
      <c r="M159" s="176" t="str">
        <f aca="false">IF(INDEX(Salary_Calculation[Source Row],ROW()-ROW(Payslip_Lookup[#Headers]))="","",INDEX(Salary_Calculation[Earned Salary],ROW()-ROW(Payslip_Lookup[#Headers])))</f>
        <v/>
      </c>
      <c r="N159" s="174" t="str">
        <f aca="false">IF(INDEX(Salary_Calculation[Source Row],ROW()-ROW(Payslip_Lookup[#Headers]))="","",INDEX(Salary_Calculation[Orders Counted at Base Rate],ROW()-ROW(Payslip_Lookup[#Headers])))</f>
        <v/>
      </c>
      <c r="O159" s="174" t="str">
        <f aca="false">IF(INDEX(Salary_Calculation[Source Row],ROW()-ROW(Payslip_Lookup[#Headers]))="","",INDEX(Salary_Calculation[Missing Orders],ROW()-ROW(Payslip_Lookup[#Headers])))</f>
        <v/>
      </c>
      <c r="P159" s="176" t="str">
        <f aca="false">IF(INDEX(Salary_Calculation[Source Row],ROW()-ROW(Payslip_Lookup[#Headers]))="","",INDEX(Salary_Calculation[Missing-Order Deduction],ROW()-ROW(Payslip_Lookup[#Headers])))</f>
        <v/>
      </c>
      <c r="Q159" s="174" t="str">
        <f aca="false">IF(INDEX(Salary_Calculation[Source Row],ROW()-ROW(Payslip_Lookup[#Headers]))="","",INDEX(Salary_Calculation[Extra Orders],ROW()-ROW(Payslip_Lookup[#Headers])))</f>
        <v/>
      </c>
      <c r="R159" s="176" t="str">
        <f aca="false">IF(INDEX(Salary_Calculation[Source Row],ROW()-ROW(Payslip_Lookup[#Headers]))="","",INDEX(Salary_Calculation[Extra-Order Bonus],ROW()-ROW(Payslip_Lookup[#Headers])))</f>
        <v/>
      </c>
      <c r="S159" s="176" t="str">
        <f aca="false">IF(INDEX(Salary_Calculation[Source Row],ROW()-ROW(Payslip_Lookup[#Headers]))="","",INDEX(Salary_Calculation[Basic Salary for Target],ROW()-ROW(Payslip_Lookup[#Headers])))</f>
        <v/>
      </c>
      <c r="T159" s="176" t="str">
        <f aca="false">IF(INDEX(Salary_Calculation[Source Row],ROW()-ROW(Payslip_Lookup[#Headers]))="","",INDEX(Salary_Calculation[Gross Salary Before Deductions],ROW()-ROW(Payslip_Lookup[#Headers])))</f>
        <v/>
      </c>
      <c r="U159" s="176" t="str">
        <f aca="false">IF(INDEX(Salary_Calculation[Source Row],ROW()-ROW(Payslip_Lookup[#Headers]))="","",INDEX(Salary_Calculation[missed_days_penalty],ROW()-ROW(Payslip_Lookup[#Headers])))</f>
        <v/>
      </c>
      <c r="V159" s="176" t="str">
        <f aca="false">IF(INDEX(Salary_Calculation[Source Row],ROW()-ROW(Payslip_Lookup[#Headers]))="","",INDEX(Salary_Calculation[Rider Balance],ROW()-ROW(Payslip_Lookup[#Headers])))</f>
        <v/>
      </c>
      <c r="W159" s="176" t="str">
        <f aca="false">IF(INDEX(Salary_Calculation[Source Row],ROW()-ROW(Payslip_Lookup[#Headers]))="","",INDEX(Salary_Calculation[stacking_deduction],ROW()-ROW(Payslip_Lookup[#Headers])))</f>
        <v/>
      </c>
      <c r="X159" s="176" t="str">
        <f aca="false">IF(INDEX(Salary_Calculation[Source Row],ROW()-ROW(Payslip_Lookup[#Headers]))="","",INDEX(Salary_Calculation[Other Deductions],ROW()-ROW(Payslip_Lookup[#Headers])))</f>
        <v/>
      </c>
      <c r="Y159" s="176" t="str">
        <f aca="false">IF(INDEX(Salary_Calculation[Source Row],ROW()-ROW(Payslip_Lookup[#Headers]))="","",INDEX(Salary_Calculation[Total Deductions],ROW()-ROW(Payslip_Lookup[#Headers])))</f>
        <v/>
      </c>
      <c r="Z159" s="176" t="str">
        <f aca="false">IF(INDEX(Salary_Calculation[Source Row],ROW()-ROW(Payslip_Lookup[#Headers]))="","",INDEX(Salary_Calculation[Final Salary],ROW()-ROW(Payslip_Lookup[#Headers])))</f>
        <v/>
      </c>
      <c r="AA159" s="176" t="str">
        <f aca="false">IF(INDEX(Salary_Calculation[Source Row],ROW()-ROW(Payslip_Lookup[#Headers]))="","",INDEX(Salary_Calculation[Negative Balance / Amount Due from Rider],ROW()-ROW(Payslip_Lookup[#Headers])))</f>
        <v/>
      </c>
      <c r="AB159" s="176" t="str">
        <f aca="false">IF(INDEX(Salary_Calculation[Source Row],ROW()-ROW(Payslip_Lookup[#Headers]))="","",INDEX(Salary_Calculation[Total Amount Due from Rider],ROW()-ROW(Payslip_Lookup[#Headers])))</f>
        <v/>
      </c>
      <c r="AC159" s="176" t="str">
        <f aca="false">IF(INDEX(Salary_Calculation[Source Row],ROW()-ROW(Payslip_Lookup[#Headers]))="","",INDEX(Salary_Calculation[Salary Before Other Deductions],ROW()-ROW(Payslip_Lookup[#Headers])))</f>
        <v/>
      </c>
      <c r="AD159" s="171" t="str">
        <f aca="false">IF(INDEX(Salary_Calculation[Source Row],ROW()-ROW(Payslip_Lookup[#Headers]))="","",INDEX(Salary_Calculation[Payment Status],ROW()-ROW(Payslip_Lookup[#Headers])))</f>
        <v/>
      </c>
      <c r="AE159" s="171" t="str">
        <f aca="false">IF(INDEX(Salary_Calculation[Source Row],ROW()-ROW(Payslip_Lookup[#Headers]))="","",INDEX(Salary_Calculation[Notes],ROW()-ROW(Payslip_Lookup[#Headers])))</f>
        <v/>
      </c>
      <c r="AF159" s="171" t="str">
        <f aca="false">IF(INDEX(Salary_Calculation[Source Row],ROW()-ROW(Payslip_Lookup[#Headers]))="","",INDEX(Salary_Calculation[Exception Reason],ROW()-ROW(Payslip_Lookup[#Headers])))</f>
        <v/>
      </c>
      <c r="AG159" s="173" t="str">
        <f aca="false">IF($AD159="Review Required",COUNTIF(AD$2:AD159,"Review Required"),"")</f>
        <v/>
      </c>
      <c r="AH159" s="173" t="str">
        <f aca="false">IF(AND($D159&lt;&gt;"",$B159=Payslip_Print!$C$2),MAX(AH$1:AH158)+1,"")</f>
        <v/>
      </c>
      <c r="AL159" s="178" t="str">
        <f aca="false">IFERROR(INDEX($D$2:$D$501,MATCH(ROW()-1,$AH$2:$AH$501,0)),"")</f>
        <v/>
      </c>
      <c r="AM159" s="179" t="str">
        <f aca="false">IF($Z159="","",IF(AND($C159&gt;=Dash_Start,$C159&lt;Dash_End),$Z159+ROW()/10000000,""))</f>
        <v/>
      </c>
    </row>
    <row r="160" customFormat="false" ht="14.25" hidden="false" customHeight="false" outlineLevel="0" collapsed="false">
      <c r="A160" s="171" t="str">
        <f aca="false">IF(Payslip_Lookup[[#This Row],[Rider ID]]="","",Payslip_Lookup[[#This Row],[Rider ID]]&amp;"|"&amp;Payslip_Lookup[[#This Row],[Month Key]])</f>
        <v/>
      </c>
      <c r="B160" s="172" t="str">
        <f aca="false">IF(ISNUMBER(Payslip_Lookup[[#This Row],[Salary Month]]),DATE(YEAR(Payslip_Lookup[[#This Row],[Salary Month]]),MONTH(Payslip_Lookup[[#This Row],[Salary Month]]),1),"")</f>
        <v/>
      </c>
      <c r="C160" s="172" t="str">
        <f aca="false">IF(INDEX(Salary_Calculation[Source Row],ROW()-ROW(Payslip_Lookup[#Headers]))="","",INDEX(Salary_Calculation[Salary Month],ROW()-ROW(Payslip_Lookup[#Headers])))</f>
        <v/>
      </c>
      <c r="D160" s="173" t="str">
        <f aca="false">IF(INDEX(Salary_Calculation[Source Row],ROW()-ROW(Payslip_Lookup[#Headers]))="","",INDEX(Salary_Calculation[Rider ID],ROW()-ROW(Payslip_Lookup[#Headers])))</f>
        <v/>
      </c>
      <c r="E160" s="171" t="str">
        <f aca="false">IF(INDEX(Salary_Calculation[Source Row],ROW()-ROW(Payslip_Lookup[#Headers]))="","",INDEX(Salary_Calculation[Rider Name],ROW()-ROW(Payslip_Lookup[#Headers])))</f>
        <v/>
      </c>
      <c r="F160" s="173" t="str">
        <f aca="false">IF(INDEX(Salary_Calculation[Source Row],ROW()-ROW(Payslip_Lookup[#Headers]))="","",INDEX(Salary_Calculation[Working Days],ROW()-ROW(Payslip_Lookup[#Headers])))</f>
        <v/>
      </c>
      <c r="G160" s="173" t="str">
        <f aca="false">IF(INDEX(Salary_Calculation[Source Row],ROW()-ROW(Payslip_Lookup[#Headers]))="","",INDEX(Salary_Calculation[Calendar Days],ROW()-ROW(Payslip_Lookup[#Headers])))</f>
        <v/>
      </c>
      <c r="H160" s="174" t="str">
        <f aca="false">IF(INDEX(Salary_Calculation[Source Row],ROW()-ROW(Payslip_Lookup[#Headers]))="","",INDEX(Salary_Calculation[Monthly Target Orders],ROW()-ROW(Payslip_Lookup[#Headers])))</f>
        <v/>
      </c>
      <c r="I160" s="174" t="str">
        <f aca="false">IF(INDEX(Salary_Calculation[Source Row],ROW()-ROW(Payslip_Lookup[#Headers]))="","",INDEX(Salary_Calculation[Rider Target Orders],ROW()-ROW(Payslip_Lookup[#Headers])))</f>
        <v/>
      </c>
      <c r="J160" s="175" t="str">
        <f aca="false">IF(INDEX(Salary_Calculation[Source Row],ROW()-ROW(Payslip_Lookup[#Headers]))="","",INDEX(Salary_Calculation[Completed Orders],ROW()-ROW(Payslip_Lookup[#Headers])))</f>
        <v/>
      </c>
      <c r="K160" s="174" t="str">
        <f aca="false">IF(INDEX(Salary_Calculation[Source Row],ROW()-ROW(Payslip_Lookup[#Headers]))="","",INDEX(Salary_Calculation[Base Order Rate],ROW()-ROW(Payslip_Lookup[#Headers])))</f>
        <v/>
      </c>
      <c r="L160" s="176" t="str">
        <f aca="false">IF(INDEX(Salary_Calculation[Source Row],ROW()-ROW(Payslip_Lookup[#Headers]))="","",INDEX(Salary_Calculation[Basic Payment],ROW()-ROW(Payslip_Lookup[#Headers])))</f>
        <v/>
      </c>
      <c r="M160" s="176" t="str">
        <f aca="false">IF(INDEX(Salary_Calculation[Source Row],ROW()-ROW(Payslip_Lookup[#Headers]))="","",INDEX(Salary_Calculation[Earned Salary],ROW()-ROW(Payslip_Lookup[#Headers])))</f>
        <v/>
      </c>
      <c r="N160" s="174" t="str">
        <f aca="false">IF(INDEX(Salary_Calculation[Source Row],ROW()-ROW(Payslip_Lookup[#Headers]))="","",INDEX(Salary_Calculation[Orders Counted at Base Rate],ROW()-ROW(Payslip_Lookup[#Headers])))</f>
        <v/>
      </c>
      <c r="O160" s="174" t="str">
        <f aca="false">IF(INDEX(Salary_Calculation[Source Row],ROW()-ROW(Payslip_Lookup[#Headers]))="","",INDEX(Salary_Calculation[Missing Orders],ROW()-ROW(Payslip_Lookup[#Headers])))</f>
        <v/>
      </c>
      <c r="P160" s="176" t="str">
        <f aca="false">IF(INDEX(Salary_Calculation[Source Row],ROW()-ROW(Payslip_Lookup[#Headers]))="","",INDEX(Salary_Calculation[Missing-Order Deduction],ROW()-ROW(Payslip_Lookup[#Headers])))</f>
        <v/>
      </c>
      <c r="Q160" s="174" t="str">
        <f aca="false">IF(INDEX(Salary_Calculation[Source Row],ROW()-ROW(Payslip_Lookup[#Headers]))="","",INDEX(Salary_Calculation[Extra Orders],ROW()-ROW(Payslip_Lookup[#Headers])))</f>
        <v/>
      </c>
      <c r="R160" s="176" t="str">
        <f aca="false">IF(INDEX(Salary_Calculation[Source Row],ROW()-ROW(Payslip_Lookup[#Headers]))="","",INDEX(Salary_Calculation[Extra-Order Bonus],ROW()-ROW(Payslip_Lookup[#Headers])))</f>
        <v/>
      </c>
      <c r="S160" s="176" t="str">
        <f aca="false">IF(INDEX(Salary_Calculation[Source Row],ROW()-ROW(Payslip_Lookup[#Headers]))="","",INDEX(Salary_Calculation[Basic Salary for Target],ROW()-ROW(Payslip_Lookup[#Headers])))</f>
        <v/>
      </c>
      <c r="T160" s="176" t="str">
        <f aca="false">IF(INDEX(Salary_Calculation[Source Row],ROW()-ROW(Payslip_Lookup[#Headers]))="","",INDEX(Salary_Calculation[Gross Salary Before Deductions],ROW()-ROW(Payslip_Lookup[#Headers])))</f>
        <v/>
      </c>
      <c r="U160" s="176" t="str">
        <f aca="false">IF(INDEX(Salary_Calculation[Source Row],ROW()-ROW(Payslip_Lookup[#Headers]))="","",INDEX(Salary_Calculation[missed_days_penalty],ROW()-ROW(Payslip_Lookup[#Headers])))</f>
        <v/>
      </c>
      <c r="V160" s="176" t="str">
        <f aca="false">IF(INDEX(Salary_Calculation[Source Row],ROW()-ROW(Payslip_Lookup[#Headers]))="","",INDEX(Salary_Calculation[Rider Balance],ROW()-ROW(Payslip_Lookup[#Headers])))</f>
        <v/>
      </c>
      <c r="W160" s="176" t="str">
        <f aca="false">IF(INDEX(Salary_Calculation[Source Row],ROW()-ROW(Payslip_Lookup[#Headers]))="","",INDEX(Salary_Calculation[stacking_deduction],ROW()-ROW(Payslip_Lookup[#Headers])))</f>
        <v/>
      </c>
      <c r="X160" s="176" t="str">
        <f aca="false">IF(INDEX(Salary_Calculation[Source Row],ROW()-ROW(Payslip_Lookup[#Headers]))="","",INDEX(Salary_Calculation[Other Deductions],ROW()-ROW(Payslip_Lookup[#Headers])))</f>
        <v/>
      </c>
      <c r="Y160" s="176" t="str">
        <f aca="false">IF(INDEX(Salary_Calculation[Source Row],ROW()-ROW(Payslip_Lookup[#Headers]))="","",INDEX(Salary_Calculation[Total Deductions],ROW()-ROW(Payslip_Lookup[#Headers])))</f>
        <v/>
      </c>
      <c r="Z160" s="176" t="str">
        <f aca="false">IF(INDEX(Salary_Calculation[Source Row],ROW()-ROW(Payslip_Lookup[#Headers]))="","",INDEX(Salary_Calculation[Final Salary],ROW()-ROW(Payslip_Lookup[#Headers])))</f>
        <v/>
      </c>
      <c r="AA160" s="176" t="str">
        <f aca="false">IF(INDEX(Salary_Calculation[Source Row],ROW()-ROW(Payslip_Lookup[#Headers]))="","",INDEX(Salary_Calculation[Negative Balance / Amount Due from Rider],ROW()-ROW(Payslip_Lookup[#Headers])))</f>
        <v/>
      </c>
      <c r="AB160" s="176" t="str">
        <f aca="false">IF(INDEX(Salary_Calculation[Source Row],ROW()-ROW(Payslip_Lookup[#Headers]))="","",INDEX(Salary_Calculation[Total Amount Due from Rider],ROW()-ROW(Payslip_Lookup[#Headers])))</f>
        <v/>
      </c>
      <c r="AC160" s="176" t="str">
        <f aca="false">IF(INDEX(Salary_Calculation[Source Row],ROW()-ROW(Payslip_Lookup[#Headers]))="","",INDEX(Salary_Calculation[Salary Before Other Deductions],ROW()-ROW(Payslip_Lookup[#Headers])))</f>
        <v/>
      </c>
      <c r="AD160" s="171" t="str">
        <f aca="false">IF(INDEX(Salary_Calculation[Source Row],ROW()-ROW(Payslip_Lookup[#Headers]))="","",INDEX(Salary_Calculation[Payment Status],ROW()-ROW(Payslip_Lookup[#Headers])))</f>
        <v/>
      </c>
      <c r="AE160" s="171" t="str">
        <f aca="false">IF(INDEX(Salary_Calculation[Source Row],ROW()-ROW(Payslip_Lookup[#Headers]))="","",INDEX(Salary_Calculation[Notes],ROW()-ROW(Payslip_Lookup[#Headers])))</f>
        <v/>
      </c>
      <c r="AF160" s="171" t="str">
        <f aca="false">IF(INDEX(Salary_Calculation[Source Row],ROW()-ROW(Payslip_Lookup[#Headers]))="","",INDEX(Salary_Calculation[Exception Reason],ROW()-ROW(Payslip_Lookup[#Headers])))</f>
        <v/>
      </c>
      <c r="AG160" s="173" t="str">
        <f aca="false">IF($AD160="Review Required",COUNTIF(AD$2:AD160,"Review Required"),"")</f>
        <v/>
      </c>
      <c r="AH160" s="173" t="str">
        <f aca="false">IF(AND($D160&lt;&gt;"",$B160=Payslip_Print!$C$2),MAX(AH$1:AH159)+1,"")</f>
        <v/>
      </c>
      <c r="AL160" s="178" t="str">
        <f aca="false">IFERROR(INDEX($D$2:$D$501,MATCH(ROW()-1,$AH$2:$AH$501,0)),"")</f>
        <v/>
      </c>
      <c r="AM160" s="179" t="str">
        <f aca="false">IF($Z160="","",IF(AND($C160&gt;=Dash_Start,$C160&lt;Dash_End),$Z160+ROW()/10000000,""))</f>
        <v/>
      </c>
    </row>
    <row r="161" customFormat="false" ht="14.25" hidden="false" customHeight="false" outlineLevel="0" collapsed="false">
      <c r="A161" s="171" t="str">
        <f aca="false">IF(Payslip_Lookup[[#This Row],[Rider ID]]="","",Payslip_Lookup[[#This Row],[Rider ID]]&amp;"|"&amp;Payslip_Lookup[[#This Row],[Month Key]])</f>
        <v/>
      </c>
      <c r="B161" s="172" t="str">
        <f aca="false">IF(ISNUMBER(Payslip_Lookup[[#This Row],[Salary Month]]),DATE(YEAR(Payslip_Lookup[[#This Row],[Salary Month]]),MONTH(Payslip_Lookup[[#This Row],[Salary Month]]),1),"")</f>
        <v/>
      </c>
      <c r="C161" s="172" t="str">
        <f aca="false">IF(INDEX(Salary_Calculation[Source Row],ROW()-ROW(Payslip_Lookup[#Headers]))="","",INDEX(Salary_Calculation[Salary Month],ROW()-ROW(Payslip_Lookup[#Headers])))</f>
        <v/>
      </c>
      <c r="D161" s="173" t="str">
        <f aca="false">IF(INDEX(Salary_Calculation[Source Row],ROW()-ROW(Payslip_Lookup[#Headers]))="","",INDEX(Salary_Calculation[Rider ID],ROW()-ROW(Payslip_Lookup[#Headers])))</f>
        <v/>
      </c>
      <c r="E161" s="171" t="str">
        <f aca="false">IF(INDEX(Salary_Calculation[Source Row],ROW()-ROW(Payslip_Lookup[#Headers]))="","",INDEX(Salary_Calculation[Rider Name],ROW()-ROW(Payslip_Lookup[#Headers])))</f>
        <v/>
      </c>
      <c r="F161" s="173" t="str">
        <f aca="false">IF(INDEX(Salary_Calculation[Source Row],ROW()-ROW(Payslip_Lookup[#Headers]))="","",INDEX(Salary_Calculation[Working Days],ROW()-ROW(Payslip_Lookup[#Headers])))</f>
        <v/>
      </c>
      <c r="G161" s="173" t="str">
        <f aca="false">IF(INDEX(Salary_Calculation[Source Row],ROW()-ROW(Payslip_Lookup[#Headers]))="","",INDEX(Salary_Calculation[Calendar Days],ROW()-ROW(Payslip_Lookup[#Headers])))</f>
        <v/>
      </c>
      <c r="H161" s="174" t="str">
        <f aca="false">IF(INDEX(Salary_Calculation[Source Row],ROW()-ROW(Payslip_Lookup[#Headers]))="","",INDEX(Salary_Calculation[Monthly Target Orders],ROW()-ROW(Payslip_Lookup[#Headers])))</f>
        <v/>
      </c>
      <c r="I161" s="174" t="str">
        <f aca="false">IF(INDEX(Salary_Calculation[Source Row],ROW()-ROW(Payslip_Lookup[#Headers]))="","",INDEX(Salary_Calculation[Rider Target Orders],ROW()-ROW(Payslip_Lookup[#Headers])))</f>
        <v/>
      </c>
      <c r="J161" s="175" t="str">
        <f aca="false">IF(INDEX(Salary_Calculation[Source Row],ROW()-ROW(Payslip_Lookup[#Headers]))="","",INDEX(Salary_Calculation[Completed Orders],ROW()-ROW(Payslip_Lookup[#Headers])))</f>
        <v/>
      </c>
      <c r="K161" s="174" t="str">
        <f aca="false">IF(INDEX(Salary_Calculation[Source Row],ROW()-ROW(Payslip_Lookup[#Headers]))="","",INDEX(Salary_Calculation[Base Order Rate],ROW()-ROW(Payslip_Lookup[#Headers])))</f>
        <v/>
      </c>
      <c r="L161" s="176" t="str">
        <f aca="false">IF(INDEX(Salary_Calculation[Source Row],ROW()-ROW(Payslip_Lookup[#Headers]))="","",INDEX(Salary_Calculation[Basic Payment],ROW()-ROW(Payslip_Lookup[#Headers])))</f>
        <v/>
      </c>
      <c r="M161" s="176" t="str">
        <f aca="false">IF(INDEX(Salary_Calculation[Source Row],ROW()-ROW(Payslip_Lookup[#Headers]))="","",INDEX(Salary_Calculation[Earned Salary],ROW()-ROW(Payslip_Lookup[#Headers])))</f>
        <v/>
      </c>
      <c r="N161" s="174" t="str">
        <f aca="false">IF(INDEX(Salary_Calculation[Source Row],ROW()-ROW(Payslip_Lookup[#Headers]))="","",INDEX(Salary_Calculation[Orders Counted at Base Rate],ROW()-ROW(Payslip_Lookup[#Headers])))</f>
        <v/>
      </c>
      <c r="O161" s="174" t="str">
        <f aca="false">IF(INDEX(Salary_Calculation[Source Row],ROW()-ROW(Payslip_Lookup[#Headers]))="","",INDEX(Salary_Calculation[Missing Orders],ROW()-ROW(Payslip_Lookup[#Headers])))</f>
        <v/>
      </c>
      <c r="P161" s="176" t="str">
        <f aca="false">IF(INDEX(Salary_Calculation[Source Row],ROW()-ROW(Payslip_Lookup[#Headers]))="","",INDEX(Salary_Calculation[Missing-Order Deduction],ROW()-ROW(Payslip_Lookup[#Headers])))</f>
        <v/>
      </c>
      <c r="Q161" s="174" t="str">
        <f aca="false">IF(INDEX(Salary_Calculation[Source Row],ROW()-ROW(Payslip_Lookup[#Headers]))="","",INDEX(Salary_Calculation[Extra Orders],ROW()-ROW(Payslip_Lookup[#Headers])))</f>
        <v/>
      </c>
      <c r="R161" s="176" t="str">
        <f aca="false">IF(INDEX(Salary_Calculation[Source Row],ROW()-ROW(Payslip_Lookup[#Headers]))="","",INDEX(Salary_Calculation[Extra-Order Bonus],ROW()-ROW(Payslip_Lookup[#Headers])))</f>
        <v/>
      </c>
      <c r="S161" s="176" t="str">
        <f aca="false">IF(INDEX(Salary_Calculation[Source Row],ROW()-ROW(Payslip_Lookup[#Headers]))="","",INDEX(Salary_Calculation[Basic Salary for Target],ROW()-ROW(Payslip_Lookup[#Headers])))</f>
        <v/>
      </c>
      <c r="T161" s="176" t="str">
        <f aca="false">IF(INDEX(Salary_Calculation[Source Row],ROW()-ROW(Payslip_Lookup[#Headers]))="","",INDEX(Salary_Calculation[Gross Salary Before Deductions],ROW()-ROW(Payslip_Lookup[#Headers])))</f>
        <v/>
      </c>
      <c r="U161" s="176" t="str">
        <f aca="false">IF(INDEX(Salary_Calculation[Source Row],ROW()-ROW(Payslip_Lookup[#Headers]))="","",INDEX(Salary_Calculation[missed_days_penalty],ROW()-ROW(Payslip_Lookup[#Headers])))</f>
        <v/>
      </c>
      <c r="V161" s="176" t="str">
        <f aca="false">IF(INDEX(Salary_Calculation[Source Row],ROW()-ROW(Payslip_Lookup[#Headers]))="","",INDEX(Salary_Calculation[Rider Balance],ROW()-ROW(Payslip_Lookup[#Headers])))</f>
        <v/>
      </c>
      <c r="W161" s="176" t="str">
        <f aca="false">IF(INDEX(Salary_Calculation[Source Row],ROW()-ROW(Payslip_Lookup[#Headers]))="","",INDEX(Salary_Calculation[stacking_deduction],ROW()-ROW(Payslip_Lookup[#Headers])))</f>
        <v/>
      </c>
      <c r="X161" s="176" t="str">
        <f aca="false">IF(INDEX(Salary_Calculation[Source Row],ROW()-ROW(Payslip_Lookup[#Headers]))="","",INDEX(Salary_Calculation[Other Deductions],ROW()-ROW(Payslip_Lookup[#Headers])))</f>
        <v/>
      </c>
      <c r="Y161" s="176" t="str">
        <f aca="false">IF(INDEX(Salary_Calculation[Source Row],ROW()-ROW(Payslip_Lookup[#Headers]))="","",INDEX(Salary_Calculation[Total Deductions],ROW()-ROW(Payslip_Lookup[#Headers])))</f>
        <v/>
      </c>
      <c r="Z161" s="176" t="str">
        <f aca="false">IF(INDEX(Salary_Calculation[Source Row],ROW()-ROW(Payslip_Lookup[#Headers]))="","",INDEX(Salary_Calculation[Final Salary],ROW()-ROW(Payslip_Lookup[#Headers])))</f>
        <v/>
      </c>
      <c r="AA161" s="176" t="str">
        <f aca="false">IF(INDEX(Salary_Calculation[Source Row],ROW()-ROW(Payslip_Lookup[#Headers]))="","",INDEX(Salary_Calculation[Negative Balance / Amount Due from Rider],ROW()-ROW(Payslip_Lookup[#Headers])))</f>
        <v/>
      </c>
      <c r="AB161" s="176" t="str">
        <f aca="false">IF(INDEX(Salary_Calculation[Source Row],ROW()-ROW(Payslip_Lookup[#Headers]))="","",INDEX(Salary_Calculation[Total Amount Due from Rider],ROW()-ROW(Payslip_Lookup[#Headers])))</f>
        <v/>
      </c>
      <c r="AC161" s="176" t="str">
        <f aca="false">IF(INDEX(Salary_Calculation[Source Row],ROW()-ROW(Payslip_Lookup[#Headers]))="","",INDEX(Salary_Calculation[Salary Before Other Deductions],ROW()-ROW(Payslip_Lookup[#Headers])))</f>
        <v/>
      </c>
      <c r="AD161" s="171" t="str">
        <f aca="false">IF(INDEX(Salary_Calculation[Source Row],ROW()-ROW(Payslip_Lookup[#Headers]))="","",INDEX(Salary_Calculation[Payment Status],ROW()-ROW(Payslip_Lookup[#Headers])))</f>
        <v/>
      </c>
      <c r="AE161" s="171" t="str">
        <f aca="false">IF(INDEX(Salary_Calculation[Source Row],ROW()-ROW(Payslip_Lookup[#Headers]))="","",INDEX(Salary_Calculation[Notes],ROW()-ROW(Payslip_Lookup[#Headers])))</f>
        <v/>
      </c>
      <c r="AF161" s="171" t="str">
        <f aca="false">IF(INDEX(Salary_Calculation[Source Row],ROW()-ROW(Payslip_Lookup[#Headers]))="","",INDEX(Salary_Calculation[Exception Reason],ROW()-ROW(Payslip_Lookup[#Headers])))</f>
        <v/>
      </c>
      <c r="AG161" s="173" t="str">
        <f aca="false">IF($AD161="Review Required",COUNTIF(AD$2:AD161,"Review Required"),"")</f>
        <v/>
      </c>
      <c r="AH161" s="173" t="str">
        <f aca="false">IF(AND($D161&lt;&gt;"",$B161=Payslip_Print!$C$2),MAX(AH$1:AH160)+1,"")</f>
        <v/>
      </c>
      <c r="AL161" s="178" t="str">
        <f aca="false">IFERROR(INDEX($D$2:$D$501,MATCH(ROW()-1,$AH$2:$AH$501,0)),"")</f>
        <v/>
      </c>
      <c r="AM161" s="179" t="str">
        <f aca="false">IF($Z161="","",IF(AND($C161&gt;=Dash_Start,$C161&lt;Dash_End),$Z161+ROW()/10000000,""))</f>
        <v/>
      </c>
    </row>
    <row r="162" customFormat="false" ht="14.25" hidden="false" customHeight="false" outlineLevel="0" collapsed="false">
      <c r="A162" s="171" t="str">
        <f aca="false">IF(Payslip_Lookup[[#This Row],[Rider ID]]="","",Payslip_Lookup[[#This Row],[Rider ID]]&amp;"|"&amp;Payslip_Lookup[[#This Row],[Month Key]])</f>
        <v/>
      </c>
      <c r="B162" s="172" t="str">
        <f aca="false">IF(ISNUMBER(Payslip_Lookup[[#This Row],[Salary Month]]),DATE(YEAR(Payslip_Lookup[[#This Row],[Salary Month]]),MONTH(Payslip_Lookup[[#This Row],[Salary Month]]),1),"")</f>
        <v/>
      </c>
      <c r="C162" s="172" t="str">
        <f aca="false">IF(INDEX(Salary_Calculation[Source Row],ROW()-ROW(Payslip_Lookup[#Headers]))="","",INDEX(Salary_Calculation[Salary Month],ROW()-ROW(Payslip_Lookup[#Headers])))</f>
        <v/>
      </c>
      <c r="D162" s="173" t="str">
        <f aca="false">IF(INDEX(Salary_Calculation[Source Row],ROW()-ROW(Payslip_Lookup[#Headers]))="","",INDEX(Salary_Calculation[Rider ID],ROW()-ROW(Payslip_Lookup[#Headers])))</f>
        <v/>
      </c>
      <c r="E162" s="171" t="str">
        <f aca="false">IF(INDEX(Salary_Calculation[Source Row],ROW()-ROW(Payslip_Lookup[#Headers]))="","",INDEX(Salary_Calculation[Rider Name],ROW()-ROW(Payslip_Lookup[#Headers])))</f>
        <v/>
      </c>
      <c r="F162" s="173" t="str">
        <f aca="false">IF(INDEX(Salary_Calculation[Source Row],ROW()-ROW(Payslip_Lookup[#Headers]))="","",INDEX(Salary_Calculation[Working Days],ROW()-ROW(Payslip_Lookup[#Headers])))</f>
        <v/>
      </c>
      <c r="G162" s="173" t="str">
        <f aca="false">IF(INDEX(Salary_Calculation[Source Row],ROW()-ROW(Payslip_Lookup[#Headers]))="","",INDEX(Salary_Calculation[Calendar Days],ROW()-ROW(Payslip_Lookup[#Headers])))</f>
        <v/>
      </c>
      <c r="H162" s="174" t="str">
        <f aca="false">IF(INDEX(Salary_Calculation[Source Row],ROW()-ROW(Payslip_Lookup[#Headers]))="","",INDEX(Salary_Calculation[Monthly Target Orders],ROW()-ROW(Payslip_Lookup[#Headers])))</f>
        <v/>
      </c>
      <c r="I162" s="174" t="str">
        <f aca="false">IF(INDEX(Salary_Calculation[Source Row],ROW()-ROW(Payslip_Lookup[#Headers]))="","",INDEX(Salary_Calculation[Rider Target Orders],ROW()-ROW(Payslip_Lookup[#Headers])))</f>
        <v/>
      </c>
      <c r="J162" s="175" t="str">
        <f aca="false">IF(INDEX(Salary_Calculation[Source Row],ROW()-ROW(Payslip_Lookup[#Headers]))="","",INDEX(Salary_Calculation[Completed Orders],ROW()-ROW(Payslip_Lookup[#Headers])))</f>
        <v/>
      </c>
      <c r="K162" s="174" t="str">
        <f aca="false">IF(INDEX(Salary_Calculation[Source Row],ROW()-ROW(Payslip_Lookup[#Headers]))="","",INDEX(Salary_Calculation[Base Order Rate],ROW()-ROW(Payslip_Lookup[#Headers])))</f>
        <v/>
      </c>
      <c r="L162" s="176" t="str">
        <f aca="false">IF(INDEX(Salary_Calculation[Source Row],ROW()-ROW(Payslip_Lookup[#Headers]))="","",INDEX(Salary_Calculation[Basic Payment],ROW()-ROW(Payslip_Lookup[#Headers])))</f>
        <v/>
      </c>
      <c r="M162" s="176" t="str">
        <f aca="false">IF(INDEX(Salary_Calculation[Source Row],ROW()-ROW(Payslip_Lookup[#Headers]))="","",INDEX(Salary_Calculation[Earned Salary],ROW()-ROW(Payslip_Lookup[#Headers])))</f>
        <v/>
      </c>
      <c r="N162" s="174" t="str">
        <f aca="false">IF(INDEX(Salary_Calculation[Source Row],ROW()-ROW(Payslip_Lookup[#Headers]))="","",INDEX(Salary_Calculation[Orders Counted at Base Rate],ROW()-ROW(Payslip_Lookup[#Headers])))</f>
        <v/>
      </c>
      <c r="O162" s="174" t="str">
        <f aca="false">IF(INDEX(Salary_Calculation[Source Row],ROW()-ROW(Payslip_Lookup[#Headers]))="","",INDEX(Salary_Calculation[Missing Orders],ROW()-ROW(Payslip_Lookup[#Headers])))</f>
        <v/>
      </c>
      <c r="P162" s="176" t="str">
        <f aca="false">IF(INDEX(Salary_Calculation[Source Row],ROW()-ROW(Payslip_Lookup[#Headers]))="","",INDEX(Salary_Calculation[Missing-Order Deduction],ROW()-ROW(Payslip_Lookup[#Headers])))</f>
        <v/>
      </c>
      <c r="Q162" s="174" t="str">
        <f aca="false">IF(INDEX(Salary_Calculation[Source Row],ROW()-ROW(Payslip_Lookup[#Headers]))="","",INDEX(Salary_Calculation[Extra Orders],ROW()-ROW(Payslip_Lookup[#Headers])))</f>
        <v/>
      </c>
      <c r="R162" s="176" t="str">
        <f aca="false">IF(INDEX(Salary_Calculation[Source Row],ROW()-ROW(Payslip_Lookup[#Headers]))="","",INDEX(Salary_Calculation[Extra-Order Bonus],ROW()-ROW(Payslip_Lookup[#Headers])))</f>
        <v/>
      </c>
      <c r="S162" s="176" t="str">
        <f aca="false">IF(INDEX(Salary_Calculation[Source Row],ROW()-ROW(Payslip_Lookup[#Headers]))="","",INDEX(Salary_Calculation[Basic Salary for Target],ROW()-ROW(Payslip_Lookup[#Headers])))</f>
        <v/>
      </c>
      <c r="T162" s="176" t="str">
        <f aca="false">IF(INDEX(Salary_Calculation[Source Row],ROW()-ROW(Payslip_Lookup[#Headers]))="","",INDEX(Salary_Calculation[Gross Salary Before Deductions],ROW()-ROW(Payslip_Lookup[#Headers])))</f>
        <v/>
      </c>
      <c r="U162" s="176" t="str">
        <f aca="false">IF(INDEX(Salary_Calculation[Source Row],ROW()-ROW(Payslip_Lookup[#Headers]))="","",INDEX(Salary_Calculation[missed_days_penalty],ROW()-ROW(Payslip_Lookup[#Headers])))</f>
        <v/>
      </c>
      <c r="V162" s="176" t="str">
        <f aca="false">IF(INDEX(Salary_Calculation[Source Row],ROW()-ROW(Payslip_Lookup[#Headers]))="","",INDEX(Salary_Calculation[Rider Balance],ROW()-ROW(Payslip_Lookup[#Headers])))</f>
        <v/>
      </c>
      <c r="W162" s="176" t="str">
        <f aca="false">IF(INDEX(Salary_Calculation[Source Row],ROW()-ROW(Payslip_Lookup[#Headers]))="","",INDEX(Salary_Calculation[stacking_deduction],ROW()-ROW(Payslip_Lookup[#Headers])))</f>
        <v/>
      </c>
      <c r="X162" s="176" t="str">
        <f aca="false">IF(INDEX(Salary_Calculation[Source Row],ROW()-ROW(Payslip_Lookup[#Headers]))="","",INDEX(Salary_Calculation[Other Deductions],ROW()-ROW(Payslip_Lookup[#Headers])))</f>
        <v/>
      </c>
      <c r="Y162" s="176" t="str">
        <f aca="false">IF(INDEX(Salary_Calculation[Source Row],ROW()-ROW(Payslip_Lookup[#Headers]))="","",INDEX(Salary_Calculation[Total Deductions],ROW()-ROW(Payslip_Lookup[#Headers])))</f>
        <v/>
      </c>
      <c r="Z162" s="176" t="str">
        <f aca="false">IF(INDEX(Salary_Calculation[Source Row],ROW()-ROW(Payslip_Lookup[#Headers]))="","",INDEX(Salary_Calculation[Final Salary],ROW()-ROW(Payslip_Lookup[#Headers])))</f>
        <v/>
      </c>
      <c r="AA162" s="176" t="str">
        <f aca="false">IF(INDEX(Salary_Calculation[Source Row],ROW()-ROW(Payslip_Lookup[#Headers]))="","",INDEX(Salary_Calculation[Negative Balance / Amount Due from Rider],ROW()-ROW(Payslip_Lookup[#Headers])))</f>
        <v/>
      </c>
      <c r="AB162" s="176" t="str">
        <f aca="false">IF(INDEX(Salary_Calculation[Source Row],ROW()-ROW(Payslip_Lookup[#Headers]))="","",INDEX(Salary_Calculation[Total Amount Due from Rider],ROW()-ROW(Payslip_Lookup[#Headers])))</f>
        <v/>
      </c>
      <c r="AC162" s="176" t="str">
        <f aca="false">IF(INDEX(Salary_Calculation[Source Row],ROW()-ROW(Payslip_Lookup[#Headers]))="","",INDEX(Salary_Calculation[Salary Before Other Deductions],ROW()-ROW(Payslip_Lookup[#Headers])))</f>
        <v/>
      </c>
      <c r="AD162" s="171" t="str">
        <f aca="false">IF(INDEX(Salary_Calculation[Source Row],ROW()-ROW(Payslip_Lookup[#Headers]))="","",INDEX(Salary_Calculation[Payment Status],ROW()-ROW(Payslip_Lookup[#Headers])))</f>
        <v/>
      </c>
      <c r="AE162" s="171" t="str">
        <f aca="false">IF(INDEX(Salary_Calculation[Source Row],ROW()-ROW(Payslip_Lookup[#Headers]))="","",INDEX(Salary_Calculation[Notes],ROW()-ROW(Payslip_Lookup[#Headers])))</f>
        <v/>
      </c>
      <c r="AF162" s="171" t="str">
        <f aca="false">IF(INDEX(Salary_Calculation[Source Row],ROW()-ROW(Payslip_Lookup[#Headers]))="","",INDEX(Salary_Calculation[Exception Reason],ROW()-ROW(Payslip_Lookup[#Headers])))</f>
        <v/>
      </c>
      <c r="AG162" s="173" t="str">
        <f aca="false">IF($AD162="Review Required",COUNTIF(AD$2:AD162,"Review Required"),"")</f>
        <v/>
      </c>
      <c r="AH162" s="173" t="str">
        <f aca="false">IF(AND($D162&lt;&gt;"",$B162=Payslip_Print!$C$2),MAX(AH$1:AH161)+1,"")</f>
        <v/>
      </c>
      <c r="AL162" s="178" t="str">
        <f aca="false">IFERROR(INDEX($D$2:$D$501,MATCH(ROW()-1,$AH$2:$AH$501,0)),"")</f>
        <v/>
      </c>
      <c r="AM162" s="179" t="str">
        <f aca="false">IF($Z162="","",IF(AND($C162&gt;=Dash_Start,$C162&lt;Dash_End),$Z162+ROW()/10000000,""))</f>
        <v/>
      </c>
    </row>
    <row r="163" customFormat="false" ht="14.25" hidden="false" customHeight="false" outlineLevel="0" collapsed="false">
      <c r="A163" s="171" t="str">
        <f aca="false">IF(Payslip_Lookup[[#This Row],[Rider ID]]="","",Payslip_Lookup[[#This Row],[Rider ID]]&amp;"|"&amp;Payslip_Lookup[[#This Row],[Month Key]])</f>
        <v/>
      </c>
      <c r="B163" s="172" t="str">
        <f aca="false">IF(ISNUMBER(Payslip_Lookup[[#This Row],[Salary Month]]),DATE(YEAR(Payslip_Lookup[[#This Row],[Salary Month]]),MONTH(Payslip_Lookup[[#This Row],[Salary Month]]),1),"")</f>
        <v/>
      </c>
      <c r="C163" s="172" t="str">
        <f aca="false">IF(INDEX(Salary_Calculation[Source Row],ROW()-ROW(Payslip_Lookup[#Headers]))="","",INDEX(Salary_Calculation[Salary Month],ROW()-ROW(Payslip_Lookup[#Headers])))</f>
        <v/>
      </c>
      <c r="D163" s="173" t="str">
        <f aca="false">IF(INDEX(Salary_Calculation[Source Row],ROW()-ROW(Payslip_Lookup[#Headers]))="","",INDEX(Salary_Calculation[Rider ID],ROW()-ROW(Payslip_Lookup[#Headers])))</f>
        <v/>
      </c>
      <c r="E163" s="171" t="str">
        <f aca="false">IF(INDEX(Salary_Calculation[Source Row],ROW()-ROW(Payslip_Lookup[#Headers]))="","",INDEX(Salary_Calculation[Rider Name],ROW()-ROW(Payslip_Lookup[#Headers])))</f>
        <v/>
      </c>
      <c r="F163" s="173" t="str">
        <f aca="false">IF(INDEX(Salary_Calculation[Source Row],ROW()-ROW(Payslip_Lookup[#Headers]))="","",INDEX(Salary_Calculation[Working Days],ROW()-ROW(Payslip_Lookup[#Headers])))</f>
        <v/>
      </c>
      <c r="G163" s="173" t="str">
        <f aca="false">IF(INDEX(Salary_Calculation[Source Row],ROW()-ROW(Payslip_Lookup[#Headers]))="","",INDEX(Salary_Calculation[Calendar Days],ROW()-ROW(Payslip_Lookup[#Headers])))</f>
        <v/>
      </c>
      <c r="H163" s="174" t="str">
        <f aca="false">IF(INDEX(Salary_Calculation[Source Row],ROW()-ROW(Payslip_Lookup[#Headers]))="","",INDEX(Salary_Calculation[Monthly Target Orders],ROW()-ROW(Payslip_Lookup[#Headers])))</f>
        <v/>
      </c>
      <c r="I163" s="174" t="str">
        <f aca="false">IF(INDEX(Salary_Calculation[Source Row],ROW()-ROW(Payslip_Lookup[#Headers]))="","",INDEX(Salary_Calculation[Rider Target Orders],ROW()-ROW(Payslip_Lookup[#Headers])))</f>
        <v/>
      </c>
      <c r="J163" s="175" t="str">
        <f aca="false">IF(INDEX(Salary_Calculation[Source Row],ROW()-ROW(Payslip_Lookup[#Headers]))="","",INDEX(Salary_Calculation[Completed Orders],ROW()-ROW(Payslip_Lookup[#Headers])))</f>
        <v/>
      </c>
      <c r="K163" s="174" t="str">
        <f aca="false">IF(INDEX(Salary_Calculation[Source Row],ROW()-ROW(Payslip_Lookup[#Headers]))="","",INDEX(Salary_Calculation[Base Order Rate],ROW()-ROW(Payslip_Lookup[#Headers])))</f>
        <v/>
      </c>
      <c r="L163" s="176" t="str">
        <f aca="false">IF(INDEX(Salary_Calculation[Source Row],ROW()-ROW(Payslip_Lookup[#Headers]))="","",INDEX(Salary_Calculation[Basic Payment],ROW()-ROW(Payslip_Lookup[#Headers])))</f>
        <v/>
      </c>
      <c r="M163" s="176" t="str">
        <f aca="false">IF(INDEX(Salary_Calculation[Source Row],ROW()-ROW(Payslip_Lookup[#Headers]))="","",INDEX(Salary_Calculation[Earned Salary],ROW()-ROW(Payslip_Lookup[#Headers])))</f>
        <v/>
      </c>
      <c r="N163" s="174" t="str">
        <f aca="false">IF(INDEX(Salary_Calculation[Source Row],ROW()-ROW(Payslip_Lookup[#Headers]))="","",INDEX(Salary_Calculation[Orders Counted at Base Rate],ROW()-ROW(Payslip_Lookup[#Headers])))</f>
        <v/>
      </c>
      <c r="O163" s="174" t="str">
        <f aca="false">IF(INDEX(Salary_Calculation[Source Row],ROW()-ROW(Payslip_Lookup[#Headers]))="","",INDEX(Salary_Calculation[Missing Orders],ROW()-ROW(Payslip_Lookup[#Headers])))</f>
        <v/>
      </c>
      <c r="P163" s="176" t="str">
        <f aca="false">IF(INDEX(Salary_Calculation[Source Row],ROW()-ROW(Payslip_Lookup[#Headers]))="","",INDEX(Salary_Calculation[Missing-Order Deduction],ROW()-ROW(Payslip_Lookup[#Headers])))</f>
        <v/>
      </c>
      <c r="Q163" s="174" t="str">
        <f aca="false">IF(INDEX(Salary_Calculation[Source Row],ROW()-ROW(Payslip_Lookup[#Headers]))="","",INDEX(Salary_Calculation[Extra Orders],ROW()-ROW(Payslip_Lookup[#Headers])))</f>
        <v/>
      </c>
      <c r="R163" s="176" t="str">
        <f aca="false">IF(INDEX(Salary_Calculation[Source Row],ROW()-ROW(Payslip_Lookup[#Headers]))="","",INDEX(Salary_Calculation[Extra-Order Bonus],ROW()-ROW(Payslip_Lookup[#Headers])))</f>
        <v/>
      </c>
      <c r="S163" s="176" t="str">
        <f aca="false">IF(INDEX(Salary_Calculation[Source Row],ROW()-ROW(Payslip_Lookup[#Headers]))="","",INDEX(Salary_Calculation[Basic Salary for Target],ROW()-ROW(Payslip_Lookup[#Headers])))</f>
        <v/>
      </c>
      <c r="T163" s="176" t="str">
        <f aca="false">IF(INDEX(Salary_Calculation[Source Row],ROW()-ROW(Payslip_Lookup[#Headers]))="","",INDEX(Salary_Calculation[Gross Salary Before Deductions],ROW()-ROW(Payslip_Lookup[#Headers])))</f>
        <v/>
      </c>
      <c r="U163" s="176" t="str">
        <f aca="false">IF(INDEX(Salary_Calculation[Source Row],ROW()-ROW(Payslip_Lookup[#Headers]))="","",INDEX(Salary_Calculation[missed_days_penalty],ROW()-ROW(Payslip_Lookup[#Headers])))</f>
        <v/>
      </c>
      <c r="V163" s="176" t="str">
        <f aca="false">IF(INDEX(Salary_Calculation[Source Row],ROW()-ROW(Payslip_Lookup[#Headers]))="","",INDEX(Salary_Calculation[Rider Balance],ROW()-ROW(Payslip_Lookup[#Headers])))</f>
        <v/>
      </c>
      <c r="W163" s="176" t="str">
        <f aca="false">IF(INDEX(Salary_Calculation[Source Row],ROW()-ROW(Payslip_Lookup[#Headers]))="","",INDEX(Salary_Calculation[stacking_deduction],ROW()-ROW(Payslip_Lookup[#Headers])))</f>
        <v/>
      </c>
      <c r="X163" s="176" t="str">
        <f aca="false">IF(INDEX(Salary_Calculation[Source Row],ROW()-ROW(Payslip_Lookup[#Headers]))="","",INDEX(Salary_Calculation[Other Deductions],ROW()-ROW(Payslip_Lookup[#Headers])))</f>
        <v/>
      </c>
      <c r="Y163" s="176" t="str">
        <f aca="false">IF(INDEX(Salary_Calculation[Source Row],ROW()-ROW(Payslip_Lookup[#Headers]))="","",INDEX(Salary_Calculation[Total Deductions],ROW()-ROW(Payslip_Lookup[#Headers])))</f>
        <v/>
      </c>
      <c r="Z163" s="176" t="str">
        <f aca="false">IF(INDEX(Salary_Calculation[Source Row],ROW()-ROW(Payslip_Lookup[#Headers]))="","",INDEX(Salary_Calculation[Final Salary],ROW()-ROW(Payslip_Lookup[#Headers])))</f>
        <v/>
      </c>
      <c r="AA163" s="176" t="str">
        <f aca="false">IF(INDEX(Salary_Calculation[Source Row],ROW()-ROW(Payslip_Lookup[#Headers]))="","",INDEX(Salary_Calculation[Negative Balance / Amount Due from Rider],ROW()-ROW(Payslip_Lookup[#Headers])))</f>
        <v/>
      </c>
      <c r="AB163" s="176" t="str">
        <f aca="false">IF(INDEX(Salary_Calculation[Source Row],ROW()-ROW(Payslip_Lookup[#Headers]))="","",INDEX(Salary_Calculation[Total Amount Due from Rider],ROW()-ROW(Payslip_Lookup[#Headers])))</f>
        <v/>
      </c>
      <c r="AC163" s="176" t="str">
        <f aca="false">IF(INDEX(Salary_Calculation[Source Row],ROW()-ROW(Payslip_Lookup[#Headers]))="","",INDEX(Salary_Calculation[Salary Before Other Deductions],ROW()-ROW(Payslip_Lookup[#Headers])))</f>
        <v/>
      </c>
      <c r="AD163" s="171" t="str">
        <f aca="false">IF(INDEX(Salary_Calculation[Source Row],ROW()-ROW(Payslip_Lookup[#Headers]))="","",INDEX(Salary_Calculation[Payment Status],ROW()-ROW(Payslip_Lookup[#Headers])))</f>
        <v/>
      </c>
      <c r="AE163" s="171" t="str">
        <f aca="false">IF(INDEX(Salary_Calculation[Source Row],ROW()-ROW(Payslip_Lookup[#Headers]))="","",INDEX(Salary_Calculation[Notes],ROW()-ROW(Payslip_Lookup[#Headers])))</f>
        <v/>
      </c>
      <c r="AF163" s="171" t="str">
        <f aca="false">IF(INDEX(Salary_Calculation[Source Row],ROW()-ROW(Payslip_Lookup[#Headers]))="","",INDEX(Salary_Calculation[Exception Reason],ROW()-ROW(Payslip_Lookup[#Headers])))</f>
        <v/>
      </c>
      <c r="AG163" s="173" t="str">
        <f aca="false">IF($AD163="Review Required",COUNTIF(AD$2:AD163,"Review Required"),"")</f>
        <v/>
      </c>
      <c r="AH163" s="173" t="str">
        <f aca="false">IF(AND($D163&lt;&gt;"",$B163=Payslip_Print!$C$2),MAX(AH$1:AH162)+1,"")</f>
        <v/>
      </c>
      <c r="AL163" s="178" t="str">
        <f aca="false">IFERROR(INDEX($D$2:$D$501,MATCH(ROW()-1,$AH$2:$AH$501,0)),"")</f>
        <v/>
      </c>
      <c r="AM163" s="179" t="str">
        <f aca="false">IF($Z163="","",IF(AND($C163&gt;=Dash_Start,$C163&lt;Dash_End),$Z163+ROW()/10000000,""))</f>
        <v/>
      </c>
    </row>
    <row r="164" customFormat="false" ht="14.25" hidden="false" customHeight="false" outlineLevel="0" collapsed="false">
      <c r="A164" s="171" t="str">
        <f aca="false">IF(Payslip_Lookup[[#This Row],[Rider ID]]="","",Payslip_Lookup[[#This Row],[Rider ID]]&amp;"|"&amp;Payslip_Lookup[[#This Row],[Month Key]])</f>
        <v/>
      </c>
      <c r="B164" s="172" t="str">
        <f aca="false">IF(ISNUMBER(Payslip_Lookup[[#This Row],[Salary Month]]),DATE(YEAR(Payslip_Lookup[[#This Row],[Salary Month]]),MONTH(Payslip_Lookup[[#This Row],[Salary Month]]),1),"")</f>
        <v/>
      </c>
      <c r="C164" s="172" t="str">
        <f aca="false">IF(INDEX(Salary_Calculation[Source Row],ROW()-ROW(Payslip_Lookup[#Headers]))="","",INDEX(Salary_Calculation[Salary Month],ROW()-ROW(Payslip_Lookup[#Headers])))</f>
        <v/>
      </c>
      <c r="D164" s="173" t="str">
        <f aca="false">IF(INDEX(Salary_Calculation[Source Row],ROW()-ROW(Payslip_Lookup[#Headers]))="","",INDEX(Salary_Calculation[Rider ID],ROW()-ROW(Payslip_Lookup[#Headers])))</f>
        <v/>
      </c>
      <c r="E164" s="171" t="str">
        <f aca="false">IF(INDEX(Salary_Calculation[Source Row],ROW()-ROW(Payslip_Lookup[#Headers]))="","",INDEX(Salary_Calculation[Rider Name],ROW()-ROW(Payslip_Lookup[#Headers])))</f>
        <v/>
      </c>
      <c r="F164" s="173" t="str">
        <f aca="false">IF(INDEX(Salary_Calculation[Source Row],ROW()-ROW(Payslip_Lookup[#Headers]))="","",INDEX(Salary_Calculation[Working Days],ROW()-ROW(Payslip_Lookup[#Headers])))</f>
        <v/>
      </c>
      <c r="G164" s="173" t="str">
        <f aca="false">IF(INDEX(Salary_Calculation[Source Row],ROW()-ROW(Payslip_Lookup[#Headers]))="","",INDEX(Salary_Calculation[Calendar Days],ROW()-ROW(Payslip_Lookup[#Headers])))</f>
        <v/>
      </c>
      <c r="H164" s="174" t="str">
        <f aca="false">IF(INDEX(Salary_Calculation[Source Row],ROW()-ROW(Payslip_Lookup[#Headers]))="","",INDEX(Salary_Calculation[Monthly Target Orders],ROW()-ROW(Payslip_Lookup[#Headers])))</f>
        <v/>
      </c>
      <c r="I164" s="174" t="str">
        <f aca="false">IF(INDEX(Salary_Calculation[Source Row],ROW()-ROW(Payslip_Lookup[#Headers]))="","",INDEX(Salary_Calculation[Rider Target Orders],ROW()-ROW(Payslip_Lookup[#Headers])))</f>
        <v/>
      </c>
      <c r="J164" s="175" t="str">
        <f aca="false">IF(INDEX(Salary_Calculation[Source Row],ROW()-ROW(Payslip_Lookup[#Headers]))="","",INDEX(Salary_Calculation[Completed Orders],ROW()-ROW(Payslip_Lookup[#Headers])))</f>
        <v/>
      </c>
      <c r="K164" s="174" t="str">
        <f aca="false">IF(INDEX(Salary_Calculation[Source Row],ROW()-ROW(Payslip_Lookup[#Headers]))="","",INDEX(Salary_Calculation[Base Order Rate],ROW()-ROW(Payslip_Lookup[#Headers])))</f>
        <v/>
      </c>
      <c r="L164" s="176" t="str">
        <f aca="false">IF(INDEX(Salary_Calculation[Source Row],ROW()-ROW(Payslip_Lookup[#Headers]))="","",INDEX(Salary_Calculation[Basic Payment],ROW()-ROW(Payslip_Lookup[#Headers])))</f>
        <v/>
      </c>
      <c r="M164" s="176" t="str">
        <f aca="false">IF(INDEX(Salary_Calculation[Source Row],ROW()-ROW(Payslip_Lookup[#Headers]))="","",INDEX(Salary_Calculation[Earned Salary],ROW()-ROW(Payslip_Lookup[#Headers])))</f>
        <v/>
      </c>
      <c r="N164" s="174" t="str">
        <f aca="false">IF(INDEX(Salary_Calculation[Source Row],ROW()-ROW(Payslip_Lookup[#Headers]))="","",INDEX(Salary_Calculation[Orders Counted at Base Rate],ROW()-ROW(Payslip_Lookup[#Headers])))</f>
        <v/>
      </c>
      <c r="O164" s="174" t="str">
        <f aca="false">IF(INDEX(Salary_Calculation[Source Row],ROW()-ROW(Payslip_Lookup[#Headers]))="","",INDEX(Salary_Calculation[Missing Orders],ROW()-ROW(Payslip_Lookup[#Headers])))</f>
        <v/>
      </c>
      <c r="P164" s="176" t="str">
        <f aca="false">IF(INDEX(Salary_Calculation[Source Row],ROW()-ROW(Payslip_Lookup[#Headers]))="","",INDEX(Salary_Calculation[Missing-Order Deduction],ROW()-ROW(Payslip_Lookup[#Headers])))</f>
        <v/>
      </c>
      <c r="Q164" s="174" t="str">
        <f aca="false">IF(INDEX(Salary_Calculation[Source Row],ROW()-ROW(Payslip_Lookup[#Headers]))="","",INDEX(Salary_Calculation[Extra Orders],ROW()-ROW(Payslip_Lookup[#Headers])))</f>
        <v/>
      </c>
      <c r="R164" s="176" t="str">
        <f aca="false">IF(INDEX(Salary_Calculation[Source Row],ROW()-ROW(Payslip_Lookup[#Headers]))="","",INDEX(Salary_Calculation[Extra-Order Bonus],ROW()-ROW(Payslip_Lookup[#Headers])))</f>
        <v/>
      </c>
      <c r="S164" s="176" t="str">
        <f aca="false">IF(INDEX(Salary_Calculation[Source Row],ROW()-ROW(Payslip_Lookup[#Headers]))="","",INDEX(Salary_Calculation[Basic Salary for Target],ROW()-ROW(Payslip_Lookup[#Headers])))</f>
        <v/>
      </c>
      <c r="T164" s="176" t="str">
        <f aca="false">IF(INDEX(Salary_Calculation[Source Row],ROW()-ROW(Payslip_Lookup[#Headers]))="","",INDEX(Salary_Calculation[Gross Salary Before Deductions],ROW()-ROW(Payslip_Lookup[#Headers])))</f>
        <v/>
      </c>
      <c r="U164" s="176" t="str">
        <f aca="false">IF(INDEX(Salary_Calculation[Source Row],ROW()-ROW(Payslip_Lookup[#Headers]))="","",INDEX(Salary_Calculation[missed_days_penalty],ROW()-ROW(Payslip_Lookup[#Headers])))</f>
        <v/>
      </c>
      <c r="V164" s="176" t="str">
        <f aca="false">IF(INDEX(Salary_Calculation[Source Row],ROW()-ROW(Payslip_Lookup[#Headers]))="","",INDEX(Salary_Calculation[Rider Balance],ROW()-ROW(Payslip_Lookup[#Headers])))</f>
        <v/>
      </c>
      <c r="W164" s="176" t="str">
        <f aca="false">IF(INDEX(Salary_Calculation[Source Row],ROW()-ROW(Payslip_Lookup[#Headers]))="","",INDEX(Salary_Calculation[stacking_deduction],ROW()-ROW(Payslip_Lookup[#Headers])))</f>
        <v/>
      </c>
      <c r="X164" s="176" t="str">
        <f aca="false">IF(INDEX(Salary_Calculation[Source Row],ROW()-ROW(Payslip_Lookup[#Headers]))="","",INDEX(Salary_Calculation[Other Deductions],ROW()-ROW(Payslip_Lookup[#Headers])))</f>
        <v/>
      </c>
      <c r="Y164" s="176" t="str">
        <f aca="false">IF(INDEX(Salary_Calculation[Source Row],ROW()-ROW(Payslip_Lookup[#Headers]))="","",INDEX(Salary_Calculation[Total Deductions],ROW()-ROW(Payslip_Lookup[#Headers])))</f>
        <v/>
      </c>
      <c r="Z164" s="176" t="str">
        <f aca="false">IF(INDEX(Salary_Calculation[Source Row],ROW()-ROW(Payslip_Lookup[#Headers]))="","",INDEX(Salary_Calculation[Final Salary],ROW()-ROW(Payslip_Lookup[#Headers])))</f>
        <v/>
      </c>
      <c r="AA164" s="176" t="str">
        <f aca="false">IF(INDEX(Salary_Calculation[Source Row],ROW()-ROW(Payslip_Lookup[#Headers]))="","",INDEX(Salary_Calculation[Negative Balance / Amount Due from Rider],ROW()-ROW(Payslip_Lookup[#Headers])))</f>
        <v/>
      </c>
      <c r="AB164" s="176" t="str">
        <f aca="false">IF(INDEX(Salary_Calculation[Source Row],ROW()-ROW(Payslip_Lookup[#Headers]))="","",INDEX(Salary_Calculation[Total Amount Due from Rider],ROW()-ROW(Payslip_Lookup[#Headers])))</f>
        <v/>
      </c>
      <c r="AC164" s="176" t="str">
        <f aca="false">IF(INDEX(Salary_Calculation[Source Row],ROW()-ROW(Payslip_Lookup[#Headers]))="","",INDEX(Salary_Calculation[Salary Before Other Deductions],ROW()-ROW(Payslip_Lookup[#Headers])))</f>
        <v/>
      </c>
      <c r="AD164" s="171" t="str">
        <f aca="false">IF(INDEX(Salary_Calculation[Source Row],ROW()-ROW(Payslip_Lookup[#Headers]))="","",INDEX(Salary_Calculation[Payment Status],ROW()-ROW(Payslip_Lookup[#Headers])))</f>
        <v/>
      </c>
      <c r="AE164" s="171" t="str">
        <f aca="false">IF(INDEX(Salary_Calculation[Source Row],ROW()-ROW(Payslip_Lookup[#Headers]))="","",INDEX(Salary_Calculation[Notes],ROW()-ROW(Payslip_Lookup[#Headers])))</f>
        <v/>
      </c>
      <c r="AF164" s="171" t="str">
        <f aca="false">IF(INDEX(Salary_Calculation[Source Row],ROW()-ROW(Payslip_Lookup[#Headers]))="","",INDEX(Salary_Calculation[Exception Reason],ROW()-ROW(Payslip_Lookup[#Headers])))</f>
        <v/>
      </c>
      <c r="AG164" s="173" t="str">
        <f aca="false">IF($AD164="Review Required",COUNTIF(AD$2:AD164,"Review Required"),"")</f>
        <v/>
      </c>
      <c r="AH164" s="173" t="str">
        <f aca="false">IF(AND($D164&lt;&gt;"",$B164=Payslip_Print!$C$2),MAX(AH$1:AH163)+1,"")</f>
        <v/>
      </c>
      <c r="AL164" s="178" t="str">
        <f aca="false">IFERROR(INDEX($D$2:$D$501,MATCH(ROW()-1,$AH$2:$AH$501,0)),"")</f>
        <v/>
      </c>
      <c r="AM164" s="179" t="str">
        <f aca="false">IF($Z164="","",IF(AND($C164&gt;=Dash_Start,$C164&lt;Dash_End),$Z164+ROW()/10000000,""))</f>
        <v/>
      </c>
    </row>
    <row r="165" customFormat="false" ht="14.25" hidden="false" customHeight="false" outlineLevel="0" collapsed="false">
      <c r="A165" s="171" t="str">
        <f aca="false">IF(Payslip_Lookup[[#This Row],[Rider ID]]="","",Payslip_Lookup[[#This Row],[Rider ID]]&amp;"|"&amp;Payslip_Lookup[[#This Row],[Month Key]])</f>
        <v/>
      </c>
      <c r="B165" s="172" t="str">
        <f aca="false">IF(ISNUMBER(Payslip_Lookup[[#This Row],[Salary Month]]),DATE(YEAR(Payslip_Lookup[[#This Row],[Salary Month]]),MONTH(Payslip_Lookup[[#This Row],[Salary Month]]),1),"")</f>
        <v/>
      </c>
      <c r="C165" s="172" t="str">
        <f aca="false">IF(INDEX(Salary_Calculation[Source Row],ROW()-ROW(Payslip_Lookup[#Headers]))="","",INDEX(Salary_Calculation[Salary Month],ROW()-ROW(Payslip_Lookup[#Headers])))</f>
        <v/>
      </c>
      <c r="D165" s="173" t="str">
        <f aca="false">IF(INDEX(Salary_Calculation[Source Row],ROW()-ROW(Payslip_Lookup[#Headers]))="","",INDEX(Salary_Calculation[Rider ID],ROW()-ROW(Payslip_Lookup[#Headers])))</f>
        <v/>
      </c>
      <c r="E165" s="171" t="str">
        <f aca="false">IF(INDEX(Salary_Calculation[Source Row],ROW()-ROW(Payslip_Lookup[#Headers]))="","",INDEX(Salary_Calculation[Rider Name],ROW()-ROW(Payslip_Lookup[#Headers])))</f>
        <v/>
      </c>
      <c r="F165" s="173" t="str">
        <f aca="false">IF(INDEX(Salary_Calculation[Source Row],ROW()-ROW(Payslip_Lookup[#Headers]))="","",INDEX(Salary_Calculation[Working Days],ROW()-ROW(Payslip_Lookup[#Headers])))</f>
        <v/>
      </c>
      <c r="G165" s="173" t="str">
        <f aca="false">IF(INDEX(Salary_Calculation[Source Row],ROW()-ROW(Payslip_Lookup[#Headers]))="","",INDEX(Salary_Calculation[Calendar Days],ROW()-ROW(Payslip_Lookup[#Headers])))</f>
        <v/>
      </c>
      <c r="H165" s="174" t="str">
        <f aca="false">IF(INDEX(Salary_Calculation[Source Row],ROW()-ROW(Payslip_Lookup[#Headers]))="","",INDEX(Salary_Calculation[Monthly Target Orders],ROW()-ROW(Payslip_Lookup[#Headers])))</f>
        <v/>
      </c>
      <c r="I165" s="174" t="str">
        <f aca="false">IF(INDEX(Salary_Calculation[Source Row],ROW()-ROW(Payslip_Lookup[#Headers]))="","",INDEX(Salary_Calculation[Rider Target Orders],ROW()-ROW(Payslip_Lookup[#Headers])))</f>
        <v/>
      </c>
      <c r="J165" s="175" t="str">
        <f aca="false">IF(INDEX(Salary_Calculation[Source Row],ROW()-ROW(Payslip_Lookup[#Headers]))="","",INDEX(Salary_Calculation[Completed Orders],ROW()-ROW(Payslip_Lookup[#Headers])))</f>
        <v/>
      </c>
      <c r="K165" s="174" t="str">
        <f aca="false">IF(INDEX(Salary_Calculation[Source Row],ROW()-ROW(Payslip_Lookup[#Headers]))="","",INDEX(Salary_Calculation[Base Order Rate],ROW()-ROW(Payslip_Lookup[#Headers])))</f>
        <v/>
      </c>
      <c r="L165" s="176" t="str">
        <f aca="false">IF(INDEX(Salary_Calculation[Source Row],ROW()-ROW(Payslip_Lookup[#Headers]))="","",INDEX(Salary_Calculation[Basic Payment],ROW()-ROW(Payslip_Lookup[#Headers])))</f>
        <v/>
      </c>
      <c r="M165" s="176" t="str">
        <f aca="false">IF(INDEX(Salary_Calculation[Source Row],ROW()-ROW(Payslip_Lookup[#Headers]))="","",INDEX(Salary_Calculation[Earned Salary],ROW()-ROW(Payslip_Lookup[#Headers])))</f>
        <v/>
      </c>
      <c r="N165" s="174" t="str">
        <f aca="false">IF(INDEX(Salary_Calculation[Source Row],ROW()-ROW(Payslip_Lookup[#Headers]))="","",INDEX(Salary_Calculation[Orders Counted at Base Rate],ROW()-ROW(Payslip_Lookup[#Headers])))</f>
        <v/>
      </c>
      <c r="O165" s="174" t="str">
        <f aca="false">IF(INDEX(Salary_Calculation[Source Row],ROW()-ROW(Payslip_Lookup[#Headers]))="","",INDEX(Salary_Calculation[Missing Orders],ROW()-ROW(Payslip_Lookup[#Headers])))</f>
        <v/>
      </c>
      <c r="P165" s="176" t="str">
        <f aca="false">IF(INDEX(Salary_Calculation[Source Row],ROW()-ROW(Payslip_Lookup[#Headers]))="","",INDEX(Salary_Calculation[Missing-Order Deduction],ROW()-ROW(Payslip_Lookup[#Headers])))</f>
        <v/>
      </c>
      <c r="Q165" s="174" t="str">
        <f aca="false">IF(INDEX(Salary_Calculation[Source Row],ROW()-ROW(Payslip_Lookup[#Headers]))="","",INDEX(Salary_Calculation[Extra Orders],ROW()-ROW(Payslip_Lookup[#Headers])))</f>
        <v/>
      </c>
      <c r="R165" s="176" t="str">
        <f aca="false">IF(INDEX(Salary_Calculation[Source Row],ROW()-ROW(Payslip_Lookup[#Headers]))="","",INDEX(Salary_Calculation[Extra-Order Bonus],ROW()-ROW(Payslip_Lookup[#Headers])))</f>
        <v/>
      </c>
      <c r="S165" s="176" t="str">
        <f aca="false">IF(INDEX(Salary_Calculation[Source Row],ROW()-ROW(Payslip_Lookup[#Headers]))="","",INDEX(Salary_Calculation[Basic Salary for Target],ROW()-ROW(Payslip_Lookup[#Headers])))</f>
        <v/>
      </c>
      <c r="T165" s="176" t="str">
        <f aca="false">IF(INDEX(Salary_Calculation[Source Row],ROW()-ROW(Payslip_Lookup[#Headers]))="","",INDEX(Salary_Calculation[Gross Salary Before Deductions],ROW()-ROW(Payslip_Lookup[#Headers])))</f>
        <v/>
      </c>
      <c r="U165" s="176" t="str">
        <f aca="false">IF(INDEX(Salary_Calculation[Source Row],ROW()-ROW(Payslip_Lookup[#Headers]))="","",INDEX(Salary_Calculation[missed_days_penalty],ROW()-ROW(Payslip_Lookup[#Headers])))</f>
        <v/>
      </c>
      <c r="V165" s="176" t="str">
        <f aca="false">IF(INDEX(Salary_Calculation[Source Row],ROW()-ROW(Payslip_Lookup[#Headers]))="","",INDEX(Salary_Calculation[Rider Balance],ROW()-ROW(Payslip_Lookup[#Headers])))</f>
        <v/>
      </c>
      <c r="W165" s="176" t="str">
        <f aca="false">IF(INDEX(Salary_Calculation[Source Row],ROW()-ROW(Payslip_Lookup[#Headers]))="","",INDEX(Salary_Calculation[stacking_deduction],ROW()-ROW(Payslip_Lookup[#Headers])))</f>
        <v/>
      </c>
      <c r="X165" s="176" t="str">
        <f aca="false">IF(INDEX(Salary_Calculation[Source Row],ROW()-ROW(Payslip_Lookup[#Headers]))="","",INDEX(Salary_Calculation[Other Deductions],ROW()-ROW(Payslip_Lookup[#Headers])))</f>
        <v/>
      </c>
      <c r="Y165" s="176" t="str">
        <f aca="false">IF(INDEX(Salary_Calculation[Source Row],ROW()-ROW(Payslip_Lookup[#Headers]))="","",INDEX(Salary_Calculation[Total Deductions],ROW()-ROW(Payslip_Lookup[#Headers])))</f>
        <v/>
      </c>
      <c r="Z165" s="176" t="str">
        <f aca="false">IF(INDEX(Salary_Calculation[Source Row],ROW()-ROW(Payslip_Lookup[#Headers]))="","",INDEX(Salary_Calculation[Final Salary],ROW()-ROW(Payslip_Lookup[#Headers])))</f>
        <v/>
      </c>
      <c r="AA165" s="176" t="str">
        <f aca="false">IF(INDEX(Salary_Calculation[Source Row],ROW()-ROW(Payslip_Lookup[#Headers]))="","",INDEX(Salary_Calculation[Negative Balance / Amount Due from Rider],ROW()-ROW(Payslip_Lookup[#Headers])))</f>
        <v/>
      </c>
      <c r="AB165" s="176" t="str">
        <f aca="false">IF(INDEX(Salary_Calculation[Source Row],ROW()-ROW(Payslip_Lookup[#Headers]))="","",INDEX(Salary_Calculation[Total Amount Due from Rider],ROW()-ROW(Payslip_Lookup[#Headers])))</f>
        <v/>
      </c>
      <c r="AC165" s="176" t="str">
        <f aca="false">IF(INDEX(Salary_Calculation[Source Row],ROW()-ROW(Payslip_Lookup[#Headers]))="","",INDEX(Salary_Calculation[Salary Before Other Deductions],ROW()-ROW(Payslip_Lookup[#Headers])))</f>
        <v/>
      </c>
      <c r="AD165" s="171" t="str">
        <f aca="false">IF(INDEX(Salary_Calculation[Source Row],ROW()-ROW(Payslip_Lookup[#Headers]))="","",INDEX(Salary_Calculation[Payment Status],ROW()-ROW(Payslip_Lookup[#Headers])))</f>
        <v/>
      </c>
      <c r="AE165" s="171" t="str">
        <f aca="false">IF(INDEX(Salary_Calculation[Source Row],ROW()-ROW(Payslip_Lookup[#Headers]))="","",INDEX(Salary_Calculation[Notes],ROW()-ROW(Payslip_Lookup[#Headers])))</f>
        <v/>
      </c>
      <c r="AF165" s="171" t="str">
        <f aca="false">IF(INDEX(Salary_Calculation[Source Row],ROW()-ROW(Payslip_Lookup[#Headers]))="","",INDEX(Salary_Calculation[Exception Reason],ROW()-ROW(Payslip_Lookup[#Headers])))</f>
        <v/>
      </c>
      <c r="AG165" s="173" t="str">
        <f aca="false">IF($AD165="Review Required",COUNTIF(AD$2:AD165,"Review Required"),"")</f>
        <v/>
      </c>
      <c r="AH165" s="173" t="str">
        <f aca="false">IF(AND($D165&lt;&gt;"",$B165=Payslip_Print!$C$2),MAX(AH$1:AH164)+1,"")</f>
        <v/>
      </c>
      <c r="AL165" s="178" t="str">
        <f aca="false">IFERROR(INDEX($D$2:$D$501,MATCH(ROW()-1,$AH$2:$AH$501,0)),"")</f>
        <v/>
      </c>
      <c r="AM165" s="179" t="str">
        <f aca="false">IF($Z165="","",IF(AND($C165&gt;=Dash_Start,$C165&lt;Dash_End),$Z165+ROW()/10000000,""))</f>
        <v/>
      </c>
    </row>
    <row r="166" customFormat="false" ht="14.25" hidden="false" customHeight="false" outlineLevel="0" collapsed="false">
      <c r="A166" s="171" t="str">
        <f aca="false">IF(Payslip_Lookup[[#This Row],[Rider ID]]="","",Payslip_Lookup[[#This Row],[Rider ID]]&amp;"|"&amp;Payslip_Lookup[[#This Row],[Month Key]])</f>
        <v/>
      </c>
      <c r="B166" s="172" t="str">
        <f aca="false">IF(ISNUMBER(Payslip_Lookup[[#This Row],[Salary Month]]),DATE(YEAR(Payslip_Lookup[[#This Row],[Salary Month]]),MONTH(Payslip_Lookup[[#This Row],[Salary Month]]),1),"")</f>
        <v/>
      </c>
      <c r="C166" s="172" t="str">
        <f aca="false">IF(INDEX(Salary_Calculation[Source Row],ROW()-ROW(Payslip_Lookup[#Headers]))="","",INDEX(Salary_Calculation[Salary Month],ROW()-ROW(Payslip_Lookup[#Headers])))</f>
        <v/>
      </c>
      <c r="D166" s="173" t="str">
        <f aca="false">IF(INDEX(Salary_Calculation[Source Row],ROW()-ROW(Payslip_Lookup[#Headers]))="","",INDEX(Salary_Calculation[Rider ID],ROW()-ROW(Payslip_Lookup[#Headers])))</f>
        <v/>
      </c>
      <c r="E166" s="171" t="str">
        <f aca="false">IF(INDEX(Salary_Calculation[Source Row],ROW()-ROW(Payslip_Lookup[#Headers]))="","",INDEX(Salary_Calculation[Rider Name],ROW()-ROW(Payslip_Lookup[#Headers])))</f>
        <v/>
      </c>
      <c r="F166" s="173" t="str">
        <f aca="false">IF(INDEX(Salary_Calculation[Source Row],ROW()-ROW(Payslip_Lookup[#Headers]))="","",INDEX(Salary_Calculation[Working Days],ROW()-ROW(Payslip_Lookup[#Headers])))</f>
        <v/>
      </c>
      <c r="G166" s="173" t="str">
        <f aca="false">IF(INDEX(Salary_Calculation[Source Row],ROW()-ROW(Payslip_Lookup[#Headers]))="","",INDEX(Salary_Calculation[Calendar Days],ROW()-ROW(Payslip_Lookup[#Headers])))</f>
        <v/>
      </c>
      <c r="H166" s="174" t="str">
        <f aca="false">IF(INDEX(Salary_Calculation[Source Row],ROW()-ROW(Payslip_Lookup[#Headers]))="","",INDEX(Salary_Calculation[Monthly Target Orders],ROW()-ROW(Payslip_Lookup[#Headers])))</f>
        <v/>
      </c>
      <c r="I166" s="174" t="str">
        <f aca="false">IF(INDEX(Salary_Calculation[Source Row],ROW()-ROW(Payslip_Lookup[#Headers]))="","",INDEX(Salary_Calculation[Rider Target Orders],ROW()-ROW(Payslip_Lookup[#Headers])))</f>
        <v/>
      </c>
      <c r="J166" s="175" t="str">
        <f aca="false">IF(INDEX(Salary_Calculation[Source Row],ROW()-ROW(Payslip_Lookup[#Headers]))="","",INDEX(Salary_Calculation[Completed Orders],ROW()-ROW(Payslip_Lookup[#Headers])))</f>
        <v/>
      </c>
      <c r="K166" s="174" t="str">
        <f aca="false">IF(INDEX(Salary_Calculation[Source Row],ROW()-ROW(Payslip_Lookup[#Headers]))="","",INDEX(Salary_Calculation[Base Order Rate],ROW()-ROW(Payslip_Lookup[#Headers])))</f>
        <v/>
      </c>
      <c r="L166" s="176" t="str">
        <f aca="false">IF(INDEX(Salary_Calculation[Source Row],ROW()-ROW(Payslip_Lookup[#Headers]))="","",INDEX(Salary_Calculation[Basic Payment],ROW()-ROW(Payslip_Lookup[#Headers])))</f>
        <v/>
      </c>
      <c r="M166" s="176" t="str">
        <f aca="false">IF(INDEX(Salary_Calculation[Source Row],ROW()-ROW(Payslip_Lookup[#Headers]))="","",INDEX(Salary_Calculation[Earned Salary],ROW()-ROW(Payslip_Lookup[#Headers])))</f>
        <v/>
      </c>
      <c r="N166" s="174" t="str">
        <f aca="false">IF(INDEX(Salary_Calculation[Source Row],ROW()-ROW(Payslip_Lookup[#Headers]))="","",INDEX(Salary_Calculation[Orders Counted at Base Rate],ROW()-ROW(Payslip_Lookup[#Headers])))</f>
        <v/>
      </c>
      <c r="O166" s="174" t="str">
        <f aca="false">IF(INDEX(Salary_Calculation[Source Row],ROW()-ROW(Payslip_Lookup[#Headers]))="","",INDEX(Salary_Calculation[Missing Orders],ROW()-ROW(Payslip_Lookup[#Headers])))</f>
        <v/>
      </c>
      <c r="P166" s="176" t="str">
        <f aca="false">IF(INDEX(Salary_Calculation[Source Row],ROW()-ROW(Payslip_Lookup[#Headers]))="","",INDEX(Salary_Calculation[Missing-Order Deduction],ROW()-ROW(Payslip_Lookup[#Headers])))</f>
        <v/>
      </c>
      <c r="Q166" s="174" t="str">
        <f aca="false">IF(INDEX(Salary_Calculation[Source Row],ROW()-ROW(Payslip_Lookup[#Headers]))="","",INDEX(Salary_Calculation[Extra Orders],ROW()-ROW(Payslip_Lookup[#Headers])))</f>
        <v/>
      </c>
      <c r="R166" s="176" t="str">
        <f aca="false">IF(INDEX(Salary_Calculation[Source Row],ROW()-ROW(Payslip_Lookup[#Headers]))="","",INDEX(Salary_Calculation[Extra-Order Bonus],ROW()-ROW(Payslip_Lookup[#Headers])))</f>
        <v/>
      </c>
      <c r="S166" s="176" t="str">
        <f aca="false">IF(INDEX(Salary_Calculation[Source Row],ROW()-ROW(Payslip_Lookup[#Headers]))="","",INDEX(Salary_Calculation[Basic Salary for Target],ROW()-ROW(Payslip_Lookup[#Headers])))</f>
        <v/>
      </c>
      <c r="T166" s="176" t="str">
        <f aca="false">IF(INDEX(Salary_Calculation[Source Row],ROW()-ROW(Payslip_Lookup[#Headers]))="","",INDEX(Salary_Calculation[Gross Salary Before Deductions],ROW()-ROW(Payslip_Lookup[#Headers])))</f>
        <v/>
      </c>
      <c r="U166" s="176" t="str">
        <f aca="false">IF(INDEX(Salary_Calculation[Source Row],ROW()-ROW(Payslip_Lookup[#Headers]))="","",INDEX(Salary_Calculation[missed_days_penalty],ROW()-ROW(Payslip_Lookup[#Headers])))</f>
        <v/>
      </c>
      <c r="V166" s="176" t="str">
        <f aca="false">IF(INDEX(Salary_Calculation[Source Row],ROW()-ROW(Payslip_Lookup[#Headers]))="","",INDEX(Salary_Calculation[Rider Balance],ROW()-ROW(Payslip_Lookup[#Headers])))</f>
        <v/>
      </c>
      <c r="W166" s="176" t="str">
        <f aca="false">IF(INDEX(Salary_Calculation[Source Row],ROW()-ROW(Payslip_Lookup[#Headers]))="","",INDEX(Salary_Calculation[stacking_deduction],ROW()-ROW(Payslip_Lookup[#Headers])))</f>
        <v/>
      </c>
      <c r="X166" s="176" t="str">
        <f aca="false">IF(INDEX(Salary_Calculation[Source Row],ROW()-ROW(Payslip_Lookup[#Headers]))="","",INDEX(Salary_Calculation[Other Deductions],ROW()-ROW(Payslip_Lookup[#Headers])))</f>
        <v/>
      </c>
      <c r="Y166" s="176" t="str">
        <f aca="false">IF(INDEX(Salary_Calculation[Source Row],ROW()-ROW(Payslip_Lookup[#Headers]))="","",INDEX(Salary_Calculation[Total Deductions],ROW()-ROW(Payslip_Lookup[#Headers])))</f>
        <v/>
      </c>
      <c r="Z166" s="176" t="str">
        <f aca="false">IF(INDEX(Salary_Calculation[Source Row],ROW()-ROW(Payslip_Lookup[#Headers]))="","",INDEX(Salary_Calculation[Final Salary],ROW()-ROW(Payslip_Lookup[#Headers])))</f>
        <v/>
      </c>
      <c r="AA166" s="176" t="str">
        <f aca="false">IF(INDEX(Salary_Calculation[Source Row],ROW()-ROW(Payslip_Lookup[#Headers]))="","",INDEX(Salary_Calculation[Negative Balance / Amount Due from Rider],ROW()-ROW(Payslip_Lookup[#Headers])))</f>
        <v/>
      </c>
      <c r="AB166" s="176" t="str">
        <f aca="false">IF(INDEX(Salary_Calculation[Source Row],ROW()-ROW(Payslip_Lookup[#Headers]))="","",INDEX(Salary_Calculation[Total Amount Due from Rider],ROW()-ROW(Payslip_Lookup[#Headers])))</f>
        <v/>
      </c>
      <c r="AC166" s="176" t="str">
        <f aca="false">IF(INDEX(Salary_Calculation[Source Row],ROW()-ROW(Payslip_Lookup[#Headers]))="","",INDEX(Salary_Calculation[Salary Before Other Deductions],ROW()-ROW(Payslip_Lookup[#Headers])))</f>
        <v/>
      </c>
      <c r="AD166" s="171" t="str">
        <f aca="false">IF(INDEX(Salary_Calculation[Source Row],ROW()-ROW(Payslip_Lookup[#Headers]))="","",INDEX(Salary_Calculation[Payment Status],ROW()-ROW(Payslip_Lookup[#Headers])))</f>
        <v/>
      </c>
      <c r="AE166" s="171" t="str">
        <f aca="false">IF(INDEX(Salary_Calculation[Source Row],ROW()-ROW(Payslip_Lookup[#Headers]))="","",INDEX(Salary_Calculation[Notes],ROW()-ROW(Payslip_Lookup[#Headers])))</f>
        <v/>
      </c>
      <c r="AF166" s="171" t="str">
        <f aca="false">IF(INDEX(Salary_Calculation[Source Row],ROW()-ROW(Payslip_Lookup[#Headers]))="","",INDEX(Salary_Calculation[Exception Reason],ROW()-ROW(Payslip_Lookup[#Headers])))</f>
        <v/>
      </c>
      <c r="AG166" s="173" t="str">
        <f aca="false">IF($AD166="Review Required",COUNTIF(AD$2:AD166,"Review Required"),"")</f>
        <v/>
      </c>
      <c r="AH166" s="173" t="str">
        <f aca="false">IF(AND($D166&lt;&gt;"",$B166=Payslip_Print!$C$2),MAX(AH$1:AH165)+1,"")</f>
        <v/>
      </c>
      <c r="AL166" s="178" t="str">
        <f aca="false">IFERROR(INDEX($D$2:$D$501,MATCH(ROW()-1,$AH$2:$AH$501,0)),"")</f>
        <v/>
      </c>
      <c r="AM166" s="179" t="str">
        <f aca="false">IF($Z166="","",IF(AND($C166&gt;=Dash_Start,$C166&lt;Dash_End),$Z166+ROW()/10000000,""))</f>
        <v/>
      </c>
    </row>
    <row r="167" customFormat="false" ht="14.25" hidden="false" customHeight="false" outlineLevel="0" collapsed="false">
      <c r="A167" s="171" t="str">
        <f aca="false">IF(Payslip_Lookup[[#This Row],[Rider ID]]="","",Payslip_Lookup[[#This Row],[Rider ID]]&amp;"|"&amp;Payslip_Lookup[[#This Row],[Month Key]])</f>
        <v/>
      </c>
      <c r="B167" s="172" t="str">
        <f aca="false">IF(ISNUMBER(Payslip_Lookup[[#This Row],[Salary Month]]),DATE(YEAR(Payslip_Lookup[[#This Row],[Salary Month]]),MONTH(Payslip_Lookup[[#This Row],[Salary Month]]),1),"")</f>
        <v/>
      </c>
      <c r="C167" s="172" t="str">
        <f aca="false">IF(INDEX(Salary_Calculation[Source Row],ROW()-ROW(Payslip_Lookup[#Headers]))="","",INDEX(Salary_Calculation[Salary Month],ROW()-ROW(Payslip_Lookup[#Headers])))</f>
        <v/>
      </c>
      <c r="D167" s="173" t="str">
        <f aca="false">IF(INDEX(Salary_Calculation[Source Row],ROW()-ROW(Payslip_Lookup[#Headers]))="","",INDEX(Salary_Calculation[Rider ID],ROW()-ROW(Payslip_Lookup[#Headers])))</f>
        <v/>
      </c>
      <c r="E167" s="171" t="str">
        <f aca="false">IF(INDEX(Salary_Calculation[Source Row],ROW()-ROW(Payslip_Lookup[#Headers]))="","",INDEX(Salary_Calculation[Rider Name],ROW()-ROW(Payslip_Lookup[#Headers])))</f>
        <v/>
      </c>
      <c r="F167" s="173" t="str">
        <f aca="false">IF(INDEX(Salary_Calculation[Source Row],ROW()-ROW(Payslip_Lookup[#Headers]))="","",INDEX(Salary_Calculation[Working Days],ROW()-ROW(Payslip_Lookup[#Headers])))</f>
        <v/>
      </c>
      <c r="G167" s="173" t="str">
        <f aca="false">IF(INDEX(Salary_Calculation[Source Row],ROW()-ROW(Payslip_Lookup[#Headers]))="","",INDEX(Salary_Calculation[Calendar Days],ROW()-ROW(Payslip_Lookup[#Headers])))</f>
        <v/>
      </c>
      <c r="H167" s="174" t="str">
        <f aca="false">IF(INDEX(Salary_Calculation[Source Row],ROW()-ROW(Payslip_Lookup[#Headers]))="","",INDEX(Salary_Calculation[Monthly Target Orders],ROW()-ROW(Payslip_Lookup[#Headers])))</f>
        <v/>
      </c>
      <c r="I167" s="174" t="str">
        <f aca="false">IF(INDEX(Salary_Calculation[Source Row],ROW()-ROW(Payslip_Lookup[#Headers]))="","",INDEX(Salary_Calculation[Rider Target Orders],ROW()-ROW(Payslip_Lookup[#Headers])))</f>
        <v/>
      </c>
      <c r="J167" s="175" t="str">
        <f aca="false">IF(INDEX(Salary_Calculation[Source Row],ROW()-ROW(Payslip_Lookup[#Headers]))="","",INDEX(Salary_Calculation[Completed Orders],ROW()-ROW(Payslip_Lookup[#Headers])))</f>
        <v/>
      </c>
      <c r="K167" s="174" t="str">
        <f aca="false">IF(INDEX(Salary_Calculation[Source Row],ROW()-ROW(Payslip_Lookup[#Headers]))="","",INDEX(Salary_Calculation[Base Order Rate],ROW()-ROW(Payslip_Lookup[#Headers])))</f>
        <v/>
      </c>
      <c r="L167" s="176" t="str">
        <f aca="false">IF(INDEX(Salary_Calculation[Source Row],ROW()-ROW(Payslip_Lookup[#Headers]))="","",INDEX(Salary_Calculation[Basic Payment],ROW()-ROW(Payslip_Lookup[#Headers])))</f>
        <v/>
      </c>
      <c r="M167" s="176" t="str">
        <f aca="false">IF(INDEX(Salary_Calculation[Source Row],ROW()-ROW(Payslip_Lookup[#Headers]))="","",INDEX(Salary_Calculation[Earned Salary],ROW()-ROW(Payslip_Lookup[#Headers])))</f>
        <v/>
      </c>
      <c r="N167" s="174" t="str">
        <f aca="false">IF(INDEX(Salary_Calculation[Source Row],ROW()-ROW(Payslip_Lookup[#Headers]))="","",INDEX(Salary_Calculation[Orders Counted at Base Rate],ROW()-ROW(Payslip_Lookup[#Headers])))</f>
        <v/>
      </c>
      <c r="O167" s="174" t="str">
        <f aca="false">IF(INDEX(Salary_Calculation[Source Row],ROW()-ROW(Payslip_Lookup[#Headers]))="","",INDEX(Salary_Calculation[Missing Orders],ROW()-ROW(Payslip_Lookup[#Headers])))</f>
        <v/>
      </c>
      <c r="P167" s="176" t="str">
        <f aca="false">IF(INDEX(Salary_Calculation[Source Row],ROW()-ROW(Payslip_Lookup[#Headers]))="","",INDEX(Salary_Calculation[Missing-Order Deduction],ROW()-ROW(Payslip_Lookup[#Headers])))</f>
        <v/>
      </c>
      <c r="Q167" s="174" t="str">
        <f aca="false">IF(INDEX(Salary_Calculation[Source Row],ROW()-ROW(Payslip_Lookup[#Headers]))="","",INDEX(Salary_Calculation[Extra Orders],ROW()-ROW(Payslip_Lookup[#Headers])))</f>
        <v/>
      </c>
      <c r="R167" s="176" t="str">
        <f aca="false">IF(INDEX(Salary_Calculation[Source Row],ROW()-ROW(Payslip_Lookup[#Headers]))="","",INDEX(Salary_Calculation[Extra-Order Bonus],ROW()-ROW(Payslip_Lookup[#Headers])))</f>
        <v/>
      </c>
      <c r="S167" s="176" t="str">
        <f aca="false">IF(INDEX(Salary_Calculation[Source Row],ROW()-ROW(Payslip_Lookup[#Headers]))="","",INDEX(Salary_Calculation[Basic Salary for Target],ROW()-ROW(Payslip_Lookup[#Headers])))</f>
        <v/>
      </c>
      <c r="T167" s="176" t="str">
        <f aca="false">IF(INDEX(Salary_Calculation[Source Row],ROW()-ROW(Payslip_Lookup[#Headers]))="","",INDEX(Salary_Calculation[Gross Salary Before Deductions],ROW()-ROW(Payslip_Lookup[#Headers])))</f>
        <v/>
      </c>
      <c r="U167" s="176" t="str">
        <f aca="false">IF(INDEX(Salary_Calculation[Source Row],ROW()-ROW(Payslip_Lookup[#Headers]))="","",INDEX(Salary_Calculation[missed_days_penalty],ROW()-ROW(Payslip_Lookup[#Headers])))</f>
        <v/>
      </c>
      <c r="V167" s="176" t="str">
        <f aca="false">IF(INDEX(Salary_Calculation[Source Row],ROW()-ROW(Payslip_Lookup[#Headers]))="","",INDEX(Salary_Calculation[Rider Balance],ROW()-ROW(Payslip_Lookup[#Headers])))</f>
        <v/>
      </c>
      <c r="W167" s="176" t="str">
        <f aca="false">IF(INDEX(Salary_Calculation[Source Row],ROW()-ROW(Payslip_Lookup[#Headers]))="","",INDEX(Salary_Calculation[stacking_deduction],ROW()-ROW(Payslip_Lookup[#Headers])))</f>
        <v/>
      </c>
      <c r="X167" s="176" t="str">
        <f aca="false">IF(INDEX(Salary_Calculation[Source Row],ROW()-ROW(Payslip_Lookup[#Headers]))="","",INDEX(Salary_Calculation[Other Deductions],ROW()-ROW(Payslip_Lookup[#Headers])))</f>
        <v/>
      </c>
      <c r="Y167" s="176" t="str">
        <f aca="false">IF(INDEX(Salary_Calculation[Source Row],ROW()-ROW(Payslip_Lookup[#Headers]))="","",INDEX(Salary_Calculation[Total Deductions],ROW()-ROW(Payslip_Lookup[#Headers])))</f>
        <v/>
      </c>
      <c r="Z167" s="176" t="str">
        <f aca="false">IF(INDEX(Salary_Calculation[Source Row],ROW()-ROW(Payslip_Lookup[#Headers]))="","",INDEX(Salary_Calculation[Final Salary],ROW()-ROW(Payslip_Lookup[#Headers])))</f>
        <v/>
      </c>
      <c r="AA167" s="176" t="str">
        <f aca="false">IF(INDEX(Salary_Calculation[Source Row],ROW()-ROW(Payslip_Lookup[#Headers]))="","",INDEX(Salary_Calculation[Negative Balance / Amount Due from Rider],ROW()-ROW(Payslip_Lookup[#Headers])))</f>
        <v/>
      </c>
      <c r="AB167" s="176" t="str">
        <f aca="false">IF(INDEX(Salary_Calculation[Source Row],ROW()-ROW(Payslip_Lookup[#Headers]))="","",INDEX(Salary_Calculation[Total Amount Due from Rider],ROW()-ROW(Payslip_Lookup[#Headers])))</f>
        <v/>
      </c>
      <c r="AC167" s="176" t="str">
        <f aca="false">IF(INDEX(Salary_Calculation[Source Row],ROW()-ROW(Payslip_Lookup[#Headers]))="","",INDEX(Salary_Calculation[Salary Before Other Deductions],ROW()-ROW(Payslip_Lookup[#Headers])))</f>
        <v/>
      </c>
      <c r="AD167" s="171" t="str">
        <f aca="false">IF(INDEX(Salary_Calculation[Source Row],ROW()-ROW(Payslip_Lookup[#Headers]))="","",INDEX(Salary_Calculation[Payment Status],ROW()-ROW(Payslip_Lookup[#Headers])))</f>
        <v/>
      </c>
      <c r="AE167" s="171" t="str">
        <f aca="false">IF(INDEX(Salary_Calculation[Source Row],ROW()-ROW(Payslip_Lookup[#Headers]))="","",INDEX(Salary_Calculation[Notes],ROW()-ROW(Payslip_Lookup[#Headers])))</f>
        <v/>
      </c>
      <c r="AF167" s="171" t="str">
        <f aca="false">IF(INDEX(Salary_Calculation[Source Row],ROW()-ROW(Payslip_Lookup[#Headers]))="","",INDEX(Salary_Calculation[Exception Reason],ROW()-ROW(Payslip_Lookup[#Headers])))</f>
        <v/>
      </c>
      <c r="AG167" s="173" t="str">
        <f aca="false">IF($AD167="Review Required",COUNTIF(AD$2:AD167,"Review Required"),"")</f>
        <v/>
      </c>
      <c r="AH167" s="173" t="str">
        <f aca="false">IF(AND($D167&lt;&gt;"",$B167=Payslip_Print!$C$2),MAX(AH$1:AH166)+1,"")</f>
        <v/>
      </c>
      <c r="AL167" s="178" t="str">
        <f aca="false">IFERROR(INDEX($D$2:$D$501,MATCH(ROW()-1,$AH$2:$AH$501,0)),"")</f>
        <v/>
      </c>
      <c r="AM167" s="179" t="str">
        <f aca="false">IF($Z167="","",IF(AND($C167&gt;=Dash_Start,$C167&lt;Dash_End),$Z167+ROW()/10000000,""))</f>
        <v/>
      </c>
    </row>
    <row r="168" customFormat="false" ht="14.25" hidden="false" customHeight="false" outlineLevel="0" collapsed="false">
      <c r="A168" s="171" t="str">
        <f aca="false">IF(Payslip_Lookup[[#This Row],[Rider ID]]="","",Payslip_Lookup[[#This Row],[Rider ID]]&amp;"|"&amp;Payslip_Lookup[[#This Row],[Month Key]])</f>
        <v/>
      </c>
      <c r="B168" s="172" t="str">
        <f aca="false">IF(ISNUMBER(Payslip_Lookup[[#This Row],[Salary Month]]),DATE(YEAR(Payslip_Lookup[[#This Row],[Salary Month]]),MONTH(Payslip_Lookup[[#This Row],[Salary Month]]),1),"")</f>
        <v/>
      </c>
      <c r="C168" s="172" t="str">
        <f aca="false">IF(INDEX(Salary_Calculation[Source Row],ROW()-ROW(Payslip_Lookup[#Headers]))="","",INDEX(Salary_Calculation[Salary Month],ROW()-ROW(Payslip_Lookup[#Headers])))</f>
        <v/>
      </c>
      <c r="D168" s="173" t="str">
        <f aca="false">IF(INDEX(Salary_Calculation[Source Row],ROW()-ROW(Payslip_Lookup[#Headers]))="","",INDEX(Salary_Calculation[Rider ID],ROW()-ROW(Payslip_Lookup[#Headers])))</f>
        <v/>
      </c>
      <c r="E168" s="171" t="str">
        <f aca="false">IF(INDEX(Salary_Calculation[Source Row],ROW()-ROW(Payslip_Lookup[#Headers]))="","",INDEX(Salary_Calculation[Rider Name],ROW()-ROW(Payslip_Lookup[#Headers])))</f>
        <v/>
      </c>
      <c r="F168" s="173" t="str">
        <f aca="false">IF(INDEX(Salary_Calculation[Source Row],ROW()-ROW(Payslip_Lookup[#Headers]))="","",INDEX(Salary_Calculation[Working Days],ROW()-ROW(Payslip_Lookup[#Headers])))</f>
        <v/>
      </c>
      <c r="G168" s="173" t="str">
        <f aca="false">IF(INDEX(Salary_Calculation[Source Row],ROW()-ROW(Payslip_Lookup[#Headers]))="","",INDEX(Salary_Calculation[Calendar Days],ROW()-ROW(Payslip_Lookup[#Headers])))</f>
        <v/>
      </c>
      <c r="H168" s="174" t="str">
        <f aca="false">IF(INDEX(Salary_Calculation[Source Row],ROW()-ROW(Payslip_Lookup[#Headers]))="","",INDEX(Salary_Calculation[Monthly Target Orders],ROW()-ROW(Payslip_Lookup[#Headers])))</f>
        <v/>
      </c>
      <c r="I168" s="174" t="str">
        <f aca="false">IF(INDEX(Salary_Calculation[Source Row],ROW()-ROW(Payslip_Lookup[#Headers]))="","",INDEX(Salary_Calculation[Rider Target Orders],ROW()-ROW(Payslip_Lookup[#Headers])))</f>
        <v/>
      </c>
      <c r="J168" s="175" t="str">
        <f aca="false">IF(INDEX(Salary_Calculation[Source Row],ROW()-ROW(Payslip_Lookup[#Headers]))="","",INDEX(Salary_Calculation[Completed Orders],ROW()-ROW(Payslip_Lookup[#Headers])))</f>
        <v/>
      </c>
      <c r="K168" s="174" t="str">
        <f aca="false">IF(INDEX(Salary_Calculation[Source Row],ROW()-ROW(Payslip_Lookup[#Headers]))="","",INDEX(Salary_Calculation[Base Order Rate],ROW()-ROW(Payslip_Lookup[#Headers])))</f>
        <v/>
      </c>
      <c r="L168" s="176" t="str">
        <f aca="false">IF(INDEX(Salary_Calculation[Source Row],ROW()-ROW(Payslip_Lookup[#Headers]))="","",INDEX(Salary_Calculation[Basic Payment],ROW()-ROW(Payslip_Lookup[#Headers])))</f>
        <v/>
      </c>
      <c r="M168" s="176" t="str">
        <f aca="false">IF(INDEX(Salary_Calculation[Source Row],ROW()-ROW(Payslip_Lookup[#Headers]))="","",INDEX(Salary_Calculation[Earned Salary],ROW()-ROW(Payslip_Lookup[#Headers])))</f>
        <v/>
      </c>
      <c r="N168" s="174" t="str">
        <f aca="false">IF(INDEX(Salary_Calculation[Source Row],ROW()-ROW(Payslip_Lookup[#Headers]))="","",INDEX(Salary_Calculation[Orders Counted at Base Rate],ROW()-ROW(Payslip_Lookup[#Headers])))</f>
        <v/>
      </c>
      <c r="O168" s="174" t="str">
        <f aca="false">IF(INDEX(Salary_Calculation[Source Row],ROW()-ROW(Payslip_Lookup[#Headers]))="","",INDEX(Salary_Calculation[Missing Orders],ROW()-ROW(Payslip_Lookup[#Headers])))</f>
        <v/>
      </c>
      <c r="P168" s="176" t="str">
        <f aca="false">IF(INDEX(Salary_Calculation[Source Row],ROW()-ROW(Payslip_Lookup[#Headers]))="","",INDEX(Salary_Calculation[Missing-Order Deduction],ROW()-ROW(Payslip_Lookup[#Headers])))</f>
        <v/>
      </c>
      <c r="Q168" s="174" t="str">
        <f aca="false">IF(INDEX(Salary_Calculation[Source Row],ROW()-ROW(Payslip_Lookup[#Headers]))="","",INDEX(Salary_Calculation[Extra Orders],ROW()-ROW(Payslip_Lookup[#Headers])))</f>
        <v/>
      </c>
      <c r="R168" s="176" t="str">
        <f aca="false">IF(INDEX(Salary_Calculation[Source Row],ROW()-ROW(Payslip_Lookup[#Headers]))="","",INDEX(Salary_Calculation[Extra-Order Bonus],ROW()-ROW(Payslip_Lookup[#Headers])))</f>
        <v/>
      </c>
      <c r="S168" s="176" t="str">
        <f aca="false">IF(INDEX(Salary_Calculation[Source Row],ROW()-ROW(Payslip_Lookup[#Headers]))="","",INDEX(Salary_Calculation[Basic Salary for Target],ROW()-ROW(Payslip_Lookup[#Headers])))</f>
        <v/>
      </c>
      <c r="T168" s="176" t="str">
        <f aca="false">IF(INDEX(Salary_Calculation[Source Row],ROW()-ROW(Payslip_Lookup[#Headers]))="","",INDEX(Salary_Calculation[Gross Salary Before Deductions],ROW()-ROW(Payslip_Lookup[#Headers])))</f>
        <v/>
      </c>
      <c r="U168" s="176" t="str">
        <f aca="false">IF(INDEX(Salary_Calculation[Source Row],ROW()-ROW(Payslip_Lookup[#Headers]))="","",INDEX(Salary_Calculation[missed_days_penalty],ROW()-ROW(Payslip_Lookup[#Headers])))</f>
        <v/>
      </c>
      <c r="V168" s="176" t="str">
        <f aca="false">IF(INDEX(Salary_Calculation[Source Row],ROW()-ROW(Payslip_Lookup[#Headers]))="","",INDEX(Salary_Calculation[Rider Balance],ROW()-ROW(Payslip_Lookup[#Headers])))</f>
        <v/>
      </c>
      <c r="W168" s="176" t="str">
        <f aca="false">IF(INDEX(Salary_Calculation[Source Row],ROW()-ROW(Payslip_Lookup[#Headers]))="","",INDEX(Salary_Calculation[stacking_deduction],ROW()-ROW(Payslip_Lookup[#Headers])))</f>
        <v/>
      </c>
      <c r="X168" s="176" t="str">
        <f aca="false">IF(INDEX(Salary_Calculation[Source Row],ROW()-ROW(Payslip_Lookup[#Headers]))="","",INDEX(Salary_Calculation[Other Deductions],ROW()-ROW(Payslip_Lookup[#Headers])))</f>
        <v/>
      </c>
      <c r="Y168" s="176" t="str">
        <f aca="false">IF(INDEX(Salary_Calculation[Source Row],ROW()-ROW(Payslip_Lookup[#Headers]))="","",INDEX(Salary_Calculation[Total Deductions],ROW()-ROW(Payslip_Lookup[#Headers])))</f>
        <v/>
      </c>
      <c r="Z168" s="176" t="str">
        <f aca="false">IF(INDEX(Salary_Calculation[Source Row],ROW()-ROW(Payslip_Lookup[#Headers]))="","",INDEX(Salary_Calculation[Final Salary],ROW()-ROW(Payslip_Lookup[#Headers])))</f>
        <v/>
      </c>
      <c r="AA168" s="176" t="str">
        <f aca="false">IF(INDEX(Salary_Calculation[Source Row],ROW()-ROW(Payslip_Lookup[#Headers]))="","",INDEX(Salary_Calculation[Negative Balance / Amount Due from Rider],ROW()-ROW(Payslip_Lookup[#Headers])))</f>
        <v/>
      </c>
      <c r="AB168" s="176" t="str">
        <f aca="false">IF(INDEX(Salary_Calculation[Source Row],ROW()-ROW(Payslip_Lookup[#Headers]))="","",INDEX(Salary_Calculation[Total Amount Due from Rider],ROW()-ROW(Payslip_Lookup[#Headers])))</f>
        <v/>
      </c>
      <c r="AC168" s="176" t="str">
        <f aca="false">IF(INDEX(Salary_Calculation[Source Row],ROW()-ROW(Payslip_Lookup[#Headers]))="","",INDEX(Salary_Calculation[Salary Before Other Deductions],ROW()-ROW(Payslip_Lookup[#Headers])))</f>
        <v/>
      </c>
      <c r="AD168" s="171" t="str">
        <f aca="false">IF(INDEX(Salary_Calculation[Source Row],ROW()-ROW(Payslip_Lookup[#Headers]))="","",INDEX(Salary_Calculation[Payment Status],ROW()-ROW(Payslip_Lookup[#Headers])))</f>
        <v/>
      </c>
      <c r="AE168" s="171" t="str">
        <f aca="false">IF(INDEX(Salary_Calculation[Source Row],ROW()-ROW(Payslip_Lookup[#Headers]))="","",INDEX(Salary_Calculation[Notes],ROW()-ROW(Payslip_Lookup[#Headers])))</f>
        <v/>
      </c>
      <c r="AF168" s="171" t="str">
        <f aca="false">IF(INDEX(Salary_Calculation[Source Row],ROW()-ROW(Payslip_Lookup[#Headers]))="","",INDEX(Salary_Calculation[Exception Reason],ROW()-ROW(Payslip_Lookup[#Headers])))</f>
        <v/>
      </c>
      <c r="AG168" s="173" t="str">
        <f aca="false">IF($AD168="Review Required",COUNTIF(AD$2:AD168,"Review Required"),"")</f>
        <v/>
      </c>
      <c r="AH168" s="173" t="str">
        <f aca="false">IF(AND($D168&lt;&gt;"",$B168=Payslip_Print!$C$2),MAX(AH$1:AH167)+1,"")</f>
        <v/>
      </c>
      <c r="AL168" s="178" t="str">
        <f aca="false">IFERROR(INDEX($D$2:$D$501,MATCH(ROW()-1,$AH$2:$AH$501,0)),"")</f>
        <v/>
      </c>
      <c r="AM168" s="179" t="str">
        <f aca="false">IF($Z168="","",IF(AND($C168&gt;=Dash_Start,$C168&lt;Dash_End),$Z168+ROW()/10000000,""))</f>
        <v/>
      </c>
    </row>
    <row r="169" customFormat="false" ht="14.25" hidden="false" customHeight="false" outlineLevel="0" collapsed="false">
      <c r="A169" s="171" t="str">
        <f aca="false">IF(Payslip_Lookup[[#This Row],[Rider ID]]="","",Payslip_Lookup[[#This Row],[Rider ID]]&amp;"|"&amp;Payslip_Lookup[[#This Row],[Month Key]])</f>
        <v/>
      </c>
      <c r="B169" s="172" t="str">
        <f aca="false">IF(ISNUMBER(Payslip_Lookup[[#This Row],[Salary Month]]),DATE(YEAR(Payslip_Lookup[[#This Row],[Salary Month]]),MONTH(Payslip_Lookup[[#This Row],[Salary Month]]),1),"")</f>
        <v/>
      </c>
      <c r="C169" s="172" t="str">
        <f aca="false">IF(INDEX(Salary_Calculation[Source Row],ROW()-ROW(Payslip_Lookup[#Headers]))="","",INDEX(Salary_Calculation[Salary Month],ROW()-ROW(Payslip_Lookup[#Headers])))</f>
        <v/>
      </c>
      <c r="D169" s="173" t="str">
        <f aca="false">IF(INDEX(Salary_Calculation[Source Row],ROW()-ROW(Payslip_Lookup[#Headers]))="","",INDEX(Salary_Calculation[Rider ID],ROW()-ROW(Payslip_Lookup[#Headers])))</f>
        <v/>
      </c>
      <c r="E169" s="171" t="str">
        <f aca="false">IF(INDEX(Salary_Calculation[Source Row],ROW()-ROW(Payslip_Lookup[#Headers]))="","",INDEX(Salary_Calculation[Rider Name],ROW()-ROW(Payslip_Lookup[#Headers])))</f>
        <v/>
      </c>
      <c r="F169" s="173" t="str">
        <f aca="false">IF(INDEX(Salary_Calculation[Source Row],ROW()-ROW(Payslip_Lookup[#Headers]))="","",INDEX(Salary_Calculation[Working Days],ROW()-ROW(Payslip_Lookup[#Headers])))</f>
        <v/>
      </c>
      <c r="G169" s="173" t="str">
        <f aca="false">IF(INDEX(Salary_Calculation[Source Row],ROW()-ROW(Payslip_Lookup[#Headers]))="","",INDEX(Salary_Calculation[Calendar Days],ROW()-ROW(Payslip_Lookup[#Headers])))</f>
        <v/>
      </c>
      <c r="H169" s="174" t="str">
        <f aca="false">IF(INDEX(Salary_Calculation[Source Row],ROW()-ROW(Payslip_Lookup[#Headers]))="","",INDEX(Salary_Calculation[Monthly Target Orders],ROW()-ROW(Payslip_Lookup[#Headers])))</f>
        <v/>
      </c>
      <c r="I169" s="174" t="str">
        <f aca="false">IF(INDEX(Salary_Calculation[Source Row],ROW()-ROW(Payslip_Lookup[#Headers]))="","",INDEX(Salary_Calculation[Rider Target Orders],ROW()-ROW(Payslip_Lookup[#Headers])))</f>
        <v/>
      </c>
      <c r="J169" s="175" t="str">
        <f aca="false">IF(INDEX(Salary_Calculation[Source Row],ROW()-ROW(Payslip_Lookup[#Headers]))="","",INDEX(Salary_Calculation[Completed Orders],ROW()-ROW(Payslip_Lookup[#Headers])))</f>
        <v/>
      </c>
      <c r="K169" s="174" t="str">
        <f aca="false">IF(INDEX(Salary_Calculation[Source Row],ROW()-ROW(Payslip_Lookup[#Headers]))="","",INDEX(Salary_Calculation[Base Order Rate],ROW()-ROW(Payslip_Lookup[#Headers])))</f>
        <v/>
      </c>
      <c r="L169" s="176" t="str">
        <f aca="false">IF(INDEX(Salary_Calculation[Source Row],ROW()-ROW(Payslip_Lookup[#Headers]))="","",INDEX(Salary_Calculation[Basic Payment],ROW()-ROW(Payslip_Lookup[#Headers])))</f>
        <v/>
      </c>
      <c r="M169" s="176" t="str">
        <f aca="false">IF(INDEX(Salary_Calculation[Source Row],ROW()-ROW(Payslip_Lookup[#Headers]))="","",INDEX(Salary_Calculation[Earned Salary],ROW()-ROW(Payslip_Lookup[#Headers])))</f>
        <v/>
      </c>
      <c r="N169" s="174" t="str">
        <f aca="false">IF(INDEX(Salary_Calculation[Source Row],ROW()-ROW(Payslip_Lookup[#Headers]))="","",INDEX(Salary_Calculation[Orders Counted at Base Rate],ROW()-ROW(Payslip_Lookup[#Headers])))</f>
        <v/>
      </c>
      <c r="O169" s="174" t="str">
        <f aca="false">IF(INDEX(Salary_Calculation[Source Row],ROW()-ROW(Payslip_Lookup[#Headers]))="","",INDEX(Salary_Calculation[Missing Orders],ROW()-ROW(Payslip_Lookup[#Headers])))</f>
        <v/>
      </c>
      <c r="P169" s="176" t="str">
        <f aca="false">IF(INDEX(Salary_Calculation[Source Row],ROW()-ROW(Payslip_Lookup[#Headers]))="","",INDEX(Salary_Calculation[Missing-Order Deduction],ROW()-ROW(Payslip_Lookup[#Headers])))</f>
        <v/>
      </c>
      <c r="Q169" s="174" t="str">
        <f aca="false">IF(INDEX(Salary_Calculation[Source Row],ROW()-ROW(Payslip_Lookup[#Headers]))="","",INDEX(Salary_Calculation[Extra Orders],ROW()-ROW(Payslip_Lookup[#Headers])))</f>
        <v/>
      </c>
      <c r="R169" s="176" t="str">
        <f aca="false">IF(INDEX(Salary_Calculation[Source Row],ROW()-ROW(Payslip_Lookup[#Headers]))="","",INDEX(Salary_Calculation[Extra-Order Bonus],ROW()-ROW(Payslip_Lookup[#Headers])))</f>
        <v/>
      </c>
      <c r="S169" s="176" t="str">
        <f aca="false">IF(INDEX(Salary_Calculation[Source Row],ROW()-ROW(Payslip_Lookup[#Headers]))="","",INDEX(Salary_Calculation[Basic Salary for Target],ROW()-ROW(Payslip_Lookup[#Headers])))</f>
        <v/>
      </c>
      <c r="T169" s="176" t="str">
        <f aca="false">IF(INDEX(Salary_Calculation[Source Row],ROW()-ROW(Payslip_Lookup[#Headers]))="","",INDEX(Salary_Calculation[Gross Salary Before Deductions],ROW()-ROW(Payslip_Lookup[#Headers])))</f>
        <v/>
      </c>
      <c r="U169" s="176" t="str">
        <f aca="false">IF(INDEX(Salary_Calculation[Source Row],ROW()-ROW(Payslip_Lookup[#Headers]))="","",INDEX(Salary_Calculation[missed_days_penalty],ROW()-ROW(Payslip_Lookup[#Headers])))</f>
        <v/>
      </c>
      <c r="V169" s="176" t="str">
        <f aca="false">IF(INDEX(Salary_Calculation[Source Row],ROW()-ROW(Payslip_Lookup[#Headers]))="","",INDEX(Salary_Calculation[Rider Balance],ROW()-ROW(Payslip_Lookup[#Headers])))</f>
        <v/>
      </c>
      <c r="W169" s="176" t="str">
        <f aca="false">IF(INDEX(Salary_Calculation[Source Row],ROW()-ROW(Payslip_Lookup[#Headers]))="","",INDEX(Salary_Calculation[stacking_deduction],ROW()-ROW(Payslip_Lookup[#Headers])))</f>
        <v/>
      </c>
      <c r="X169" s="176" t="str">
        <f aca="false">IF(INDEX(Salary_Calculation[Source Row],ROW()-ROW(Payslip_Lookup[#Headers]))="","",INDEX(Salary_Calculation[Other Deductions],ROW()-ROW(Payslip_Lookup[#Headers])))</f>
        <v/>
      </c>
      <c r="Y169" s="176" t="str">
        <f aca="false">IF(INDEX(Salary_Calculation[Source Row],ROW()-ROW(Payslip_Lookup[#Headers]))="","",INDEX(Salary_Calculation[Total Deductions],ROW()-ROW(Payslip_Lookup[#Headers])))</f>
        <v/>
      </c>
      <c r="Z169" s="176" t="str">
        <f aca="false">IF(INDEX(Salary_Calculation[Source Row],ROW()-ROW(Payslip_Lookup[#Headers]))="","",INDEX(Salary_Calculation[Final Salary],ROW()-ROW(Payslip_Lookup[#Headers])))</f>
        <v/>
      </c>
      <c r="AA169" s="176" t="str">
        <f aca="false">IF(INDEX(Salary_Calculation[Source Row],ROW()-ROW(Payslip_Lookup[#Headers]))="","",INDEX(Salary_Calculation[Negative Balance / Amount Due from Rider],ROW()-ROW(Payslip_Lookup[#Headers])))</f>
        <v/>
      </c>
      <c r="AB169" s="176" t="str">
        <f aca="false">IF(INDEX(Salary_Calculation[Source Row],ROW()-ROW(Payslip_Lookup[#Headers]))="","",INDEX(Salary_Calculation[Total Amount Due from Rider],ROW()-ROW(Payslip_Lookup[#Headers])))</f>
        <v/>
      </c>
      <c r="AC169" s="176" t="str">
        <f aca="false">IF(INDEX(Salary_Calculation[Source Row],ROW()-ROW(Payslip_Lookup[#Headers]))="","",INDEX(Salary_Calculation[Salary Before Other Deductions],ROW()-ROW(Payslip_Lookup[#Headers])))</f>
        <v/>
      </c>
      <c r="AD169" s="171" t="str">
        <f aca="false">IF(INDEX(Salary_Calculation[Source Row],ROW()-ROW(Payslip_Lookup[#Headers]))="","",INDEX(Salary_Calculation[Payment Status],ROW()-ROW(Payslip_Lookup[#Headers])))</f>
        <v/>
      </c>
      <c r="AE169" s="171" t="str">
        <f aca="false">IF(INDEX(Salary_Calculation[Source Row],ROW()-ROW(Payslip_Lookup[#Headers]))="","",INDEX(Salary_Calculation[Notes],ROW()-ROW(Payslip_Lookup[#Headers])))</f>
        <v/>
      </c>
      <c r="AF169" s="171" t="str">
        <f aca="false">IF(INDEX(Salary_Calculation[Source Row],ROW()-ROW(Payslip_Lookup[#Headers]))="","",INDEX(Salary_Calculation[Exception Reason],ROW()-ROW(Payslip_Lookup[#Headers])))</f>
        <v/>
      </c>
      <c r="AG169" s="173" t="str">
        <f aca="false">IF($AD169="Review Required",COUNTIF(AD$2:AD169,"Review Required"),"")</f>
        <v/>
      </c>
      <c r="AH169" s="173" t="str">
        <f aca="false">IF(AND($D169&lt;&gt;"",$B169=Payslip_Print!$C$2),MAX(AH$1:AH168)+1,"")</f>
        <v/>
      </c>
      <c r="AL169" s="178" t="str">
        <f aca="false">IFERROR(INDEX($D$2:$D$501,MATCH(ROW()-1,$AH$2:$AH$501,0)),"")</f>
        <v/>
      </c>
      <c r="AM169" s="179" t="str">
        <f aca="false">IF($Z169="","",IF(AND($C169&gt;=Dash_Start,$C169&lt;Dash_End),$Z169+ROW()/10000000,""))</f>
        <v/>
      </c>
    </row>
    <row r="170" customFormat="false" ht="14.25" hidden="false" customHeight="false" outlineLevel="0" collapsed="false">
      <c r="A170" s="171" t="str">
        <f aca="false">IF(Payslip_Lookup[[#This Row],[Rider ID]]="","",Payslip_Lookup[[#This Row],[Rider ID]]&amp;"|"&amp;Payslip_Lookup[[#This Row],[Month Key]])</f>
        <v/>
      </c>
      <c r="B170" s="172" t="str">
        <f aca="false">IF(ISNUMBER(Payslip_Lookup[[#This Row],[Salary Month]]),DATE(YEAR(Payslip_Lookup[[#This Row],[Salary Month]]),MONTH(Payslip_Lookup[[#This Row],[Salary Month]]),1),"")</f>
        <v/>
      </c>
      <c r="C170" s="172" t="str">
        <f aca="false">IF(INDEX(Salary_Calculation[Source Row],ROW()-ROW(Payslip_Lookup[#Headers]))="","",INDEX(Salary_Calculation[Salary Month],ROW()-ROW(Payslip_Lookup[#Headers])))</f>
        <v/>
      </c>
      <c r="D170" s="173" t="str">
        <f aca="false">IF(INDEX(Salary_Calculation[Source Row],ROW()-ROW(Payslip_Lookup[#Headers]))="","",INDEX(Salary_Calculation[Rider ID],ROW()-ROW(Payslip_Lookup[#Headers])))</f>
        <v/>
      </c>
      <c r="E170" s="171" t="str">
        <f aca="false">IF(INDEX(Salary_Calculation[Source Row],ROW()-ROW(Payslip_Lookup[#Headers]))="","",INDEX(Salary_Calculation[Rider Name],ROW()-ROW(Payslip_Lookup[#Headers])))</f>
        <v/>
      </c>
      <c r="F170" s="173" t="str">
        <f aca="false">IF(INDEX(Salary_Calculation[Source Row],ROW()-ROW(Payslip_Lookup[#Headers]))="","",INDEX(Salary_Calculation[Working Days],ROW()-ROW(Payslip_Lookup[#Headers])))</f>
        <v/>
      </c>
      <c r="G170" s="173" t="str">
        <f aca="false">IF(INDEX(Salary_Calculation[Source Row],ROW()-ROW(Payslip_Lookup[#Headers]))="","",INDEX(Salary_Calculation[Calendar Days],ROW()-ROW(Payslip_Lookup[#Headers])))</f>
        <v/>
      </c>
      <c r="H170" s="174" t="str">
        <f aca="false">IF(INDEX(Salary_Calculation[Source Row],ROW()-ROW(Payslip_Lookup[#Headers]))="","",INDEX(Salary_Calculation[Monthly Target Orders],ROW()-ROW(Payslip_Lookup[#Headers])))</f>
        <v/>
      </c>
      <c r="I170" s="174" t="str">
        <f aca="false">IF(INDEX(Salary_Calculation[Source Row],ROW()-ROW(Payslip_Lookup[#Headers]))="","",INDEX(Salary_Calculation[Rider Target Orders],ROW()-ROW(Payslip_Lookup[#Headers])))</f>
        <v/>
      </c>
      <c r="J170" s="175" t="str">
        <f aca="false">IF(INDEX(Salary_Calculation[Source Row],ROW()-ROW(Payslip_Lookup[#Headers]))="","",INDEX(Salary_Calculation[Completed Orders],ROW()-ROW(Payslip_Lookup[#Headers])))</f>
        <v/>
      </c>
      <c r="K170" s="174" t="str">
        <f aca="false">IF(INDEX(Salary_Calculation[Source Row],ROW()-ROW(Payslip_Lookup[#Headers]))="","",INDEX(Salary_Calculation[Base Order Rate],ROW()-ROW(Payslip_Lookup[#Headers])))</f>
        <v/>
      </c>
      <c r="L170" s="176" t="str">
        <f aca="false">IF(INDEX(Salary_Calculation[Source Row],ROW()-ROW(Payslip_Lookup[#Headers]))="","",INDEX(Salary_Calculation[Basic Payment],ROW()-ROW(Payslip_Lookup[#Headers])))</f>
        <v/>
      </c>
      <c r="M170" s="176" t="str">
        <f aca="false">IF(INDEX(Salary_Calculation[Source Row],ROW()-ROW(Payslip_Lookup[#Headers]))="","",INDEX(Salary_Calculation[Earned Salary],ROW()-ROW(Payslip_Lookup[#Headers])))</f>
        <v/>
      </c>
      <c r="N170" s="174" t="str">
        <f aca="false">IF(INDEX(Salary_Calculation[Source Row],ROW()-ROW(Payslip_Lookup[#Headers]))="","",INDEX(Salary_Calculation[Orders Counted at Base Rate],ROW()-ROW(Payslip_Lookup[#Headers])))</f>
        <v/>
      </c>
      <c r="O170" s="174" t="str">
        <f aca="false">IF(INDEX(Salary_Calculation[Source Row],ROW()-ROW(Payslip_Lookup[#Headers]))="","",INDEX(Salary_Calculation[Missing Orders],ROW()-ROW(Payslip_Lookup[#Headers])))</f>
        <v/>
      </c>
      <c r="P170" s="176" t="str">
        <f aca="false">IF(INDEX(Salary_Calculation[Source Row],ROW()-ROW(Payslip_Lookup[#Headers]))="","",INDEX(Salary_Calculation[Missing-Order Deduction],ROW()-ROW(Payslip_Lookup[#Headers])))</f>
        <v/>
      </c>
      <c r="Q170" s="174" t="str">
        <f aca="false">IF(INDEX(Salary_Calculation[Source Row],ROW()-ROW(Payslip_Lookup[#Headers]))="","",INDEX(Salary_Calculation[Extra Orders],ROW()-ROW(Payslip_Lookup[#Headers])))</f>
        <v/>
      </c>
      <c r="R170" s="176" t="str">
        <f aca="false">IF(INDEX(Salary_Calculation[Source Row],ROW()-ROW(Payslip_Lookup[#Headers]))="","",INDEX(Salary_Calculation[Extra-Order Bonus],ROW()-ROW(Payslip_Lookup[#Headers])))</f>
        <v/>
      </c>
      <c r="S170" s="176" t="str">
        <f aca="false">IF(INDEX(Salary_Calculation[Source Row],ROW()-ROW(Payslip_Lookup[#Headers]))="","",INDEX(Salary_Calculation[Basic Salary for Target],ROW()-ROW(Payslip_Lookup[#Headers])))</f>
        <v/>
      </c>
      <c r="T170" s="176" t="str">
        <f aca="false">IF(INDEX(Salary_Calculation[Source Row],ROW()-ROW(Payslip_Lookup[#Headers]))="","",INDEX(Salary_Calculation[Gross Salary Before Deductions],ROW()-ROW(Payslip_Lookup[#Headers])))</f>
        <v/>
      </c>
      <c r="U170" s="176" t="str">
        <f aca="false">IF(INDEX(Salary_Calculation[Source Row],ROW()-ROW(Payslip_Lookup[#Headers]))="","",INDEX(Salary_Calculation[missed_days_penalty],ROW()-ROW(Payslip_Lookup[#Headers])))</f>
        <v/>
      </c>
      <c r="V170" s="176" t="str">
        <f aca="false">IF(INDEX(Salary_Calculation[Source Row],ROW()-ROW(Payslip_Lookup[#Headers]))="","",INDEX(Salary_Calculation[Rider Balance],ROW()-ROW(Payslip_Lookup[#Headers])))</f>
        <v/>
      </c>
      <c r="W170" s="176" t="str">
        <f aca="false">IF(INDEX(Salary_Calculation[Source Row],ROW()-ROW(Payslip_Lookup[#Headers]))="","",INDEX(Salary_Calculation[stacking_deduction],ROW()-ROW(Payslip_Lookup[#Headers])))</f>
        <v/>
      </c>
      <c r="X170" s="176" t="str">
        <f aca="false">IF(INDEX(Salary_Calculation[Source Row],ROW()-ROW(Payslip_Lookup[#Headers]))="","",INDEX(Salary_Calculation[Other Deductions],ROW()-ROW(Payslip_Lookup[#Headers])))</f>
        <v/>
      </c>
      <c r="Y170" s="176" t="str">
        <f aca="false">IF(INDEX(Salary_Calculation[Source Row],ROW()-ROW(Payslip_Lookup[#Headers]))="","",INDEX(Salary_Calculation[Total Deductions],ROW()-ROW(Payslip_Lookup[#Headers])))</f>
        <v/>
      </c>
      <c r="Z170" s="176" t="str">
        <f aca="false">IF(INDEX(Salary_Calculation[Source Row],ROW()-ROW(Payslip_Lookup[#Headers]))="","",INDEX(Salary_Calculation[Final Salary],ROW()-ROW(Payslip_Lookup[#Headers])))</f>
        <v/>
      </c>
      <c r="AA170" s="176" t="str">
        <f aca="false">IF(INDEX(Salary_Calculation[Source Row],ROW()-ROW(Payslip_Lookup[#Headers]))="","",INDEX(Salary_Calculation[Negative Balance / Amount Due from Rider],ROW()-ROW(Payslip_Lookup[#Headers])))</f>
        <v/>
      </c>
      <c r="AB170" s="176" t="str">
        <f aca="false">IF(INDEX(Salary_Calculation[Source Row],ROW()-ROW(Payslip_Lookup[#Headers]))="","",INDEX(Salary_Calculation[Total Amount Due from Rider],ROW()-ROW(Payslip_Lookup[#Headers])))</f>
        <v/>
      </c>
      <c r="AC170" s="176" t="str">
        <f aca="false">IF(INDEX(Salary_Calculation[Source Row],ROW()-ROW(Payslip_Lookup[#Headers]))="","",INDEX(Salary_Calculation[Salary Before Other Deductions],ROW()-ROW(Payslip_Lookup[#Headers])))</f>
        <v/>
      </c>
      <c r="AD170" s="171" t="str">
        <f aca="false">IF(INDEX(Salary_Calculation[Source Row],ROW()-ROW(Payslip_Lookup[#Headers]))="","",INDEX(Salary_Calculation[Payment Status],ROW()-ROW(Payslip_Lookup[#Headers])))</f>
        <v/>
      </c>
      <c r="AE170" s="171" t="str">
        <f aca="false">IF(INDEX(Salary_Calculation[Source Row],ROW()-ROW(Payslip_Lookup[#Headers]))="","",INDEX(Salary_Calculation[Notes],ROW()-ROW(Payslip_Lookup[#Headers])))</f>
        <v/>
      </c>
      <c r="AF170" s="171" t="str">
        <f aca="false">IF(INDEX(Salary_Calculation[Source Row],ROW()-ROW(Payslip_Lookup[#Headers]))="","",INDEX(Salary_Calculation[Exception Reason],ROW()-ROW(Payslip_Lookup[#Headers])))</f>
        <v/>
      </c>
      <c r="AG170" s="173" t="str">
        <f aca="false">IF($AD170="Review Required",COUNTIF(AD$2:AD170,"Review Required"),"")</f>
        <v/>
      </c>
      <c r="AH170" s="173" t="str">
        <f aca="false">IF(AND($D170&lt;&gt;"",$B170=Payslip_Print!$C$2),MAX(AH$1:AH169)+1,"")</f>
        <v/>
      </c>
      <c r="AL170" s="178" t="str">
        <f aca="false">IFERROR(INDEX($D$2:$D$501,MATCH(ROW()-1,$AH$2:$AH$501,0)),"")</f>
        <v/>
      </c>
      <c r="AM170" s="179" t="str">
        <f aca="false">IF($Z170="","",IF(AND($C170&gt;=Dash_Start,$C170&lt;Dash_End),$Z170+ROW()/10000000,""))</f>
        <v/>
      </c>
    </row>
    <row r="171" customFormat="false" ht="14.25" hidden="false" customHeight="false" outlineLevel="0" collapsed="false">
      <c r="A171" s="171" t="str">
        <f aca="false">IF(Payslip_Lookup[[#This Row],[Rider ID]]="","",Payslip_Lookup[[#This Row],[Rider ID]]&amp;"|"&amp;Payslip_Lookup[[#This Row],[Month Key]])</f>
        <v/>
      </c>
      <c r="B171" s="172" t="str">
        <f aca="false">IF(ISNUMBER(Payslip_Lookup[[#This Row],[Salary Month]]),DATE(YEAR(Payslip_Lookup[[#This Row],[Salary Month]]),MONTH(Payslip_Lookup[[#This Row],[Salary Month]]),1),"")</f>
        <v/>
      </c>
      <c r="C171" s="172" t="str">
        <f aca="false">IF(INDEX(Salary_Calculation[Source Row],ROW()-ROW(Payslip_Lookup[#Headers]))="","",INDEX(Salary_Calculation[Salary Month],ROW()-ROW(Payslip_Lookup[#Headers])))</f>
        <v/>
      </c>
      <c r="D171" s="173" t="str">
        <f aca="false">IF(INDEX(Salary_Calculation[Source Row],ROW()-ROW(Payslip_Lookup[#Headers]))="","",INDEX(Salary_Calculation[Rider ID],ROW()-ROW(Payslip_Lookup[#Headers])))</f>
        <v/>
      </c>
      <c r="E171" s="171" t="str">
        <f aca="false">IF(INDEX(Salary_Calculation[Source Row],ROW()-ROW(Payslip_Lookup[#Headers]))="","",INDEX(Salary_Calculation[Rider Name],ROW()-ROW(Payslip_Lookup[#Headers])))</f>
        <v/>
      </c>
      <c r="F171" s="173" t="str">
        <f aca="false">IF(INDEX(Salary_Calculation[Source Row],ROW()-ROW(Payslip_Lookup[#Headers]))="","",INDEX(Salary_Calculation[Working Days],ROW()-ROW(Payslip_Lookup[#Headers])))</f>
        <v/>
      </c>
      <c r="G171" s="173" t="str">
        <f aca="false">IF(INDEX(Salary_Calculation[Source Row],ROW()-ROW(Payslip_Lookup[#Headers]))="","",INDEX(Salary_Calculation[Calendar Days],ROW()-ROW(Payslip_Lookup[#Headers])))</f>
        <v/>
      </c>
      <c r="H171" s="174" t="str">
        <f aca="false">IF(INDEX(Salary_Calculation[Source Row],ROW()-ROW(Payslip_Lookup[#Headers]))="","",INDEX(Salary_Calculation[Monthly Target Orders],ROW()-ROW(Payslip_Lookup[#Headers])))</f>
        <v/>
      </c>
      <c r="I171" s="174" t="str">
        <f aca="false">IF(INDEX(Salary_Calculation[Source Row],ROW()-ROW(Payslip_Lookup[#Headers]))="","",INDEX(Salary_Calculation[Rider Target Orders],ROW()-ROW(Payslip_Lookup[#Headers])))</f>
        <v/>
      </c>
      <c r="J171" s="175" t="str">
        <f aca="false">IF(INDEX(Salary_Calculation[Source Row],ROW()-ROW(Payslip_Lookup[#Headers]))="","",INDEX(Salary_Calculation[Completed Orders],ROW()-ROW(Payslip_Lookup[#Headers])))</f>
        <v/>
      </c>
      <c r="K171" s="174" t="str">
        <f aca="false">IF(INDEX(Salary_Calculation[Source Row],ROW()-ROW(Payslip_Lookup[#Headers]))="","",INDEX(Salary_Calculation[Base Order Rate],ROW()-ROW(Payslip_Lookup[#Headers])))</f>
        <v/>
      </c>
      <c r="L171" s="176" t="str">
        <f aca="false">IF(INDEX(Salary_Calculation[Source Row],ROW()-ROW(Payslip_Lookup[#Headers]))="","",INDEX(Salary_Calculation[Basic Payment],ROW()-ROW(Payslip_Lookup[#Headers])))</f>
        <v/>
      </c>
      <c r="M171" s="176" t="str">
        <f aca="false">IF(INDEX(Salary_Calculation[Source Row],ROW()-ROW(Payslip_Lookup[#Headers]))="","",INDEX(Salary_Calculation[Earned Salary],ROW()-ROW(Payslip_Lookup[#Headers])))</f>
        <v/>
      </c>
      <c r="N171" s="174" t="str">
        <f aca="false">IF(INDEX(Salary_Calculation[Source Row],ROW()-ROW(Payslip_Lookup[#Headers]))="","",INDEX(Salary_Calculation[Orders Counted at Base Rate],ROW()-ROW(Payslip_Lookup[#Headers])))</f>
        <v/>
      </c>
      <c r="O171" s="174" t="str">
        <f aca="false">IF(INDEX(Salary_Calculation[Source Row],ROW()-ROW(Payslip_Lookup[#Headers]))="","",INDEX(Salary_Calculation[Missing Orders],ROW()-ROW(Payslip_Lookup[#Headers])))</f>
        <v/>
      </c>
      <c r="P171" s="176" t="str">
        <f aca="false">IF(INDEX(Salary_Calculation[Source Row],ROW()-ROW(Payslip_Lookup[#Headers]))="","",INDEX(Salary_Calculation[Missing-Order Deduction],ROW()-ROW(Payslip_Lookup[#Headers])))</f>
        <v/>
      </c>
      <c r="Q171" s="174" t="str">
        <f aca="false">IF(INDEX(Salary_Calculation[Source Row],ROW()-ROW(Payslip_Lookup[#Headers]))="","",INDEX(Salary_Calculation[Extra Orders],ROW()-ROW(Payslip_Lookup[#Headers])))</f>
        <v/>
      </c>
      <c r="R171" s="176" t="str">
        <f aca="false">IF(INDEX(Salary_Calculation[Source Row],ROW()-ROW(Payslip_Lookup[#Headers]))="","",INDEX(Salary_Calculation[Extra-Order Bonus],ROW()-ROW(Payslip_Lookup[#Headers])))</f>
        <v/>
      </c>
      <c r="S171" s="176" t="str">
        <f aca="false">IF(INDEX(Salary_Calculation[Source Row],ROW()-ROW(Payslip_Lookup[#Headers]))="","",INDEX(Salary_Calculation[Basic Salary for Target],ROW()-ROW(Payslip_Lookup[#Headers])))</f>
        <v/>
      </c>
      <c r="T171" s="176" t="str">
        <f aca="false">IF(INDEX(Salary_Calculation[Source Row],ROW()-ROW(Payslip_Lookup[#Headers]))="","",INDEX(Salary_Calculation[Gross Salary Before Deductions],ROW()-ROW(Payslip_Lookup[#Headers])))</f>
        <v/>
      </c>
      <c r="U171" s="176" t="str">
        <f aca="false">IF(INDEX(Salary_Calculation[Source Row],ROW()-ROW(Payslip_Lookup[#Headers]))="","",INDEX(Salary_Calculation[missed_days_penalty],ROW()-ROW(Payslip_Lookup[#Headers])))</f>
        <v/>
      </c>
      <c r="V171" s="176" t="str">
        <f aca="false">IF(INDEX(Salary_Calculation[Source Row],ROW()-ROW(Payslip_Lookup[#Headers]))="","",INDEX(Salary_Calculation[Rider Balance],ROW()-ROW(Payslip_Lookup[#Headers])))</f>
        <v/>
      </c>
      <c r="W171" s="176" t="str">
        <f aca="false">IF(INDEX(Salary_Calculation[Source Row],ROW()-ROW(Payslip_Lookup[#Headers]))="","",INDEX(Salary_Calculation[stacking_deduction],ROW()-ROW(Payslip_Lookup[#Headers])))</f>
        <v/>
      </c>
      <c r="X171" s="176" t="str">
        <f aca="false">IF(INDEX(Salary_Calculation[Source Row],ROW()-ROW(Payslip_Lookup[#Headers]))="","",INDEX(Salary_Calculation[Other Deductions],ROW()-ROW(Payslip_Lookup[#Headers])))</f>
        <v/>
      </c>
      <c r="Y171" s="176" t="str">
        <f aca="false">IF(INDEX(Salary_Calculation[Source Row],ROW()-ROW(Payslip_Lookup[#Headers]))="","",INDEX(Salary_Calculation[Total Deductions],ROW()-ROW(Payslip_Lookup[#Headers])))</f>
        <v/>
      </c>
      <c r="Z171" s="176" t="str">
        <f aca="false">IF(INDEX(Salary_Calculation[Source Row],ROW()-ROW(Payslip_Lookup[#Headers]))="","",INDEX(Salary_Calculation[Final Salary],ROW()-ROW(Payslip_Lookup[#Headers])))</f>
        <v/>
      </c>
      <c r="AA171" s="176" t="str">
        <f aca="false">IF(INDEX(Salary_Calculation[Source Row],ROW()-ROW(Payslip_Lookup[#Headers]))="","",INDEX(Salary_Calculation[Negative Balance / Amount Due from Rider],ROW()-ROW(Payslip_Lookup[#Headers])))</f>
        <v/>
      </c>
      <c r="AB171" s="176" t="str">
        <f aca="false">IF(INDEX(Salary_Calculation[Source Row],ROW()-ROW(Payslip_Lookup[#Headers]))="","",INDEX(Salary_Calculation[Total Amount Due from Rider],ROW()-ROW(Payslip_Lookup[#Headers])))</f>
        <v/>
      </c>
      <c r="AC171" s="176" t="str">
        <f aca="false">IF(INDEX(Salary_Calculation[Source Row],ROW()-ROW(Payslip_Lookup[#Headers]))="","",INDEX(Salary_Calculation[Salary Before Other Deductions],ROW()-ROW(Payslip_Lookup[#Headers])))</f>
        <v/>
      </c>
      <c r="AD171" s="171" t="str">
        <f aca="false">IF(INDEX(Salary_Calculation[Source Row],ROW()-ROW(Payslip_Lookup[#Headers]))="","",INDEX(Salary_Calculation[Payment Status],ROW()-ROW(Payslip_Lookup[#Headers])))</f>
        <v/>
      </c>
      <c r="AE171" s="171" t="str">
        <f aca="false">IF(INDEX(Salary_Calculation[Source Row],ROW()-ROW(Payslip_Lookup[#Headers]))="","",INDEX(Salary_Calculation[Notes],ROW()-ROW(Payslip_Lookup[#Headers])))</f>
        <v/>
      </c>
      <c r="AF171" s="171" t="str">
        <f aca="false">IF(INDEX(Salary_Calculation[Source Row],ROW()-ROW(Payslip_Lookup[#Headers]))="","",INDEX(Salary_Calculation[Exception Reason],ROW()-ROW(Payslip_Lookup[#Headers])))</f>
        <v/>
      </c>
      <c r="AG171" s="173" t="str">
        <f aca="false">IF($AD171="Review Required",COUNTIF(AD$2:AD171,"Review Required"),"")</f>
        <v/>
      </c>
      <c r="AH171" s="173" t="str">
        <f aca="false">IF(AND($D171&lt;&gt;"",$B171=Payslip_Print!$C$2),MAX(AH$1:AH170)+1,"")</f>
        <v/>
      </c>
      <c r="AL171" s="178" t="str">
        <f aca="false">IFERROR(INDEX($D$2:$D$501,MATCH(ROW()-1,$AH$2:$AH$501,0)),"")</f>
        <v/>
      </c>
      <c r="AM171" s="179" t="str">
        <f aca="false">IF($Z171="","",IF(AND($C171&gt;=Dash_Start,$C171&lt;Dash_End),$Z171+ROW()/10000000,""))</f>
        <v/>
      </c>
    </row>
    <row r="172" customFormat="false" ht="14.25" hidden="false" customHeight="false" outlineLevel="0" collapsed="false">
      <c r="A172" s="171" t="str">
        <f aca="false">IF(Payslip_Lookup[[#This Row],[Rider ID]]="","",Payslip_Lookup[[#This Row],[Rider ID]]&amp;"|"&amp;Payslip_Lookup[[#This Row],[Month Key]])</f>
        <v/>
      </c>
      <c r="B172" s="172" t="str">
        <f aca="false">IF(ISNUMBER(Payslip_Lookup[[#This Row],[Salary Month]]),DATE(YEAR(Payslip_Lookup[[#This Row],[Salary Month]]),MONTH(Payslip_Lookup[[#This Row],[Salary Month]]),1),"")</f>
        <v/>
      </c>
      <c r="C172" s="172" t="str">
        <f aca="false">IF(INDEX(Salary_Calculation[Source Row],ROW()-ROW(Payslip_Lookup[#Headers]))="","",INDEX(Salary_Calculation[Salary Month],ROW()-ROW(Payslip_Lookup[#Headers])))</f>
        <v/>
      </c>
      <c r="D172" s="173" t="str">
        <f aca="false">IF(INDEX(Salary_Calculation[Source Row],ROW()-ROW(Payslip_Lookup[#Headers]))="","",INDEX(Salary_Calculation[Rider ID],ROW()-ROW(Payslip_Lookup[#Headers])))</f>
        <v/>
      </c>
      <c r="E172" s="171" t="str">
        <f aca="false">IF(INDEX(Salary_Calculation[Source Row],ROW()-ROW(Payslip_Lookup[#Headers]))="","",INDEX(Salary_Calculation[Rider Name],ROW()-ROW(Payslip_Lookup[#Headers])))</f>
        <v/>
      </c>
      <c r="F172" s="173" t="str">
        <f aca="false">IF(INDEX(Salary_Calculation[Source Row],ROW()-ROW(Payslip_Lookup[#Headers]))="","",INDEX(Salary_Calculation[Working Days],ROW()-ROW(Payslip_Lookup[#Headers])))</f>
        <v/>
      </c>
      <c r="G172" s="173" t="str">
        <f aca="false">IF(INDEX(Salary_Calculation[Source Row],ROW()-ROW(Payslip_Lookup[#Headers]))="","",INDEX(Salary_Calculation[Calendar Days],ROW()-ROW(Payslip_Lookup[#Headers])))</f>
        <v/>
      </c>
      <c r="H172" s="174" t="str">
        <f aca="false">IF(INDEX(Salary_Calculation[Source Row],ROW()-ROW(Payslip_Lookup[#Headers]))="","",INDEX(Salary_Calculation[Monthly Target Orders],ROW()-ROW(Payslip_Lookup[#Headers])))</f>
        <v/>
      </c>
      <c r="I172" s="174" t="str">
        <f aca="false">IF(INDEX(Salary_Calculation[Source Row],ROW()-ROW(Payslip_Lookup[#Headers]))="","",INDEX(Salary_Calculation[Rider Target Orders],ROW()-ROW(Payslip_Lookup[#Headers])))</f>
        <v/>
      </c>
      <c r="J172" s="175" t="str">
        <f aca="false">IF(INDEX(Salary_Calculation[Source Row],ROW()-ROW(Payslip_Lookup[#Headers]))="","",INDEX(Salary_Calculation[Completed Orders],ROW()-ROW(Payslip_Lookup[#Headers])))</f>
        <v/>
      </c>
      <c r="K172" s="174" t="str">
        <f aca="false">IF(INDEX(Salary_Calculation[Source Row],ROW()-ROW(Payslip_Lookup[#Headers]))="","",INDEX(Salary_Calculation[Base Order Rate],ROW()-ROW(Payslip_Lookup[#Headers])))</f>
        <v/>
      </c>
      <c r="L172" s="176" t="str">
        <f aca="false">IF(INDEX(Salary_Calculation[Source Row],ROW()-ROW(Payslip_Lookup[#Headers]))="","",INDEX(Salary_Calculation[Basic Payment],ROW()-ROW(Payslip_Lookup[#Headers])))</f>
        <v/>
      </c>
      <c r="M172" s="176" t="str">
        <f aca="false">IF(INDEX(Salary_Calculation[Source Row],ROW()-ROW(Payslip_Lookup[#Headers]))="","",INDEX(Salary_Calculation[Earned Salary],ROW()-ROW(Payslip_Lookup[#Headers])))</f>
        <v/>
      </c>
      <c r="N172" s="174" t="str">
        <f aca="false">IF(INDEX(Salary_Calculation[Source Row],ROW()-ROW(Payslip_Lookup[#Headers]))="","",INDEX(Salary_Calculation[Orders Counted at Base Rate],ROW()-ROW(Payslip_Lookup[#Headers])))</f>
        <v/>
      </c>
      <c r="O172" s="174" t="str">
        <f aca="false">IF(INDEX(Salary_Calculation[Source Row],ROW()-ROW(Payslip_Lookup[#Headers]))="","",INDEX(Salary_Calculation[Missing Orders],ROW()-ROW(Payslip_Lookup[#Headers])))</f>
        <v/>
      </c>
      <c r="P172" s="176" t="str">
        <f aca="false">IF(INDEX(Salary_Calculation[Source Row],ROW()-ROW(Payslip_Lookup[#Headers]))="","",INDEX(Salary_Calculation[Missing-Order Deduction],ROW()-ROW(Payslip_Lookup[#Headers])))</f>
        <v/>
      </c>
      <c r="Q172" s="174" t="str">
        <f aca="false">IF(INDEX(Salary_Calculation[Source Row],ROW()-ROW(Payslip_Lookup[#Headers]))="","",INDEX(Salary_Calculation[Extra Orders],ROW()-ROW(Payslip_Lookup[#Headers])))</f>
        <v/>
      </c>
      <c r="R172" s="176" t="str">
        <f aca="false">IF(INDEX(Salary_Calculation[Source Row],ROW()-ROW(Payslip_Lookup[#Headers]))="","",INDEX(Salary_Calculation[Extra-Order Bonus],ROW()-ROW(Payslip_Lookup[#Headers])))</f>
        <v/>
      </c>
      <c r="S172" s="176" t="str">
        <f aca="false">IF(INDEX(Salary_Calculation[Source Row],ROW()-ROW(Payslip_Lookup[#Headers]))="","",INDEX(Salary_Calculation[Basic Salary for Target],ROW()-ROW(Payslip_Lookup[#Headers])))</f>
        <v/>
      </c>
      <c r="T172" s="176" t="str">
        <f aca="false">IF(INDEX(Salary_Calculation[Source Row],ROW()-ROW(Payslip_Lookup[#Headers]))="","",INDEX(Salary_Calculation[Gross Salary Before Deductions],ROW()-ROW(Payslip_Lookup[#Headers])))</f>
        <v/>
      </c>
      <c r="U172" s="176" t="str">
        <f aca="false">IF(INDEX(Salary_Calculation[Source Row],ROW()-ROW(Payslip_Lookup[#Headers]))="","",INDEX(Salary_Calculation[missed_days_penalty],ROW()-ROW(Payslip_Lookup[#Headers])))</f>
        <v/>
      </c>
      <c r="V172" s="176" t="str">
        <f aca="false">IF(INDEX(Salary_Calculation[Source Row],ROW()-ROW(Payslip_Lookup[#Headers]))="","",INDEX(Salary_Calculation[Rider Balance],ROW()-ROW(Payslip_Lookup[#Headers])))</f>
        <v/>
      </c>
      <c r="W172" s="176" t="str">
        <f aca="false">IF(INDEX(Salary_Calculation[Source Row],ROW()-ROW(Payslip_Lookup[#Headers]))="","",INDEX(Salary_Calculation[stacking_deduction],ROW()-ROW(Payslip_Lookup[#Headers])))</f>
        <v/>
      </c>
      <c r="X172" s="176" t="str">
        <f aca="false">IF(INDEX(Salary_Calculation[Source Row],ROW()-ROW(Payslip_Lookup[#Headers]))="","",INDEX(Salary_Calculation[Other Deductions],ROW()-ROW(Payslip_Lookup[#Headers])))</f>
        <v/>
      </c>
      <c r="Y172" s="176" t="str">
        <f aca="false">IF(INDEX(Salary_Calculation[Source Row],ROW()-ROW(Payslip_Lookup[#Headers]))="","",INDEX(Salary_Calculation[Total Deductions],ROW()-ROW(Payslip_Lookup[#Headers])))</f>
        <v/>
      </c>
      <c r="Z172" s="176" t="str">
        <f aca="false">IF(INDEX(Salary_Calculation[Source Row],ROW()-ROW(Payslip_Lookup[#Headers]))="","",INDEX(Salary_Calculation[Final Salary],ROW()-ROW(Payslip_Lookup[#Headers])))</f>
        <v/>
      </c>
      <c r="AA172" s="176" t="str">
        <f aca="false">IF(INDEX(Salary_Calculation[Source Row],ROW()-ROW(Payslip_Lookup[#Headers]))="","",INDEX(Salary_Calculation[Negative Balance / Amount Due from Rider],ROW()-ROW(Payslip_Lookup[#Headers])))</f>
        <v/>
      </c>
      <c r="AB172" s="176" t="str">
        <f aca="false">IF(INDEX(Salary_Calculation[Source Row],ROW()-ROW(Payslip_Lookup[#Headers]))="","",INDEX(Salary_Calculation[Total Amount Due from Rider],ROW()-ROW(Payslip_Lookup[#Headers])))</f>
        <v/>
      </c>
      <c r="AC172" s="176" t="str">
        <f aca="false">IF(INDEX(Salary_Calculation[Source Row],ROW()-ROW(Payslip_Lookup[#Headers]))="","",INDEX(Salary_Calculation[Salary Before Other Deductions],ROW()-ROW(Payslip_Lookup[#Headers])))</f>
        <v/>
      </c>
      <c r="AD172" s="171" t="str">
        <f aca="false">IF(INDEX(Salary_Calculation[Source Row],ROW()-ROW(Payslip_Lookup[#Headers]))="","",INDEX(Salary_Calculation[Payment Status],ROW()-ROW(Payslip_Lookup[#Headers])))</f>
        <v/>
      </c>
      <c r="AE172" s="171" t="str">
        <f aca="false">IF(INDEX(Salary_Calculation[Source Row],ROW()-ROW(Payslip_Lookup[#Headers]))="","",INDEX(Salary_Calculation[Notes],ROW()-ROW(Payslip_Lookup[#Headers])))</f>
        <v/>
      </c>
      <c r="AF172" s="171" t="str">
        <f aca="false">IF(INDEX(Salary_Calculation[Source Row],ROW()-ROW(Payslip_Lookup[#Headers]))="","",INDEX(Salary_Calculation[Exception Reason],ROW()-ROW(Payslip_Lookup[#Headers])))</f>
        <v/>
      </c>
      <c r="AG172" s="173" t="str">
        <f aca="false">IF($AD172="Review Required",COUNTIF(AD$2:AD172,"Review Required"),"")</f>
        <v/>
      </c>
      <c r="AH172" s="173" t="str">
        <f aca="false">IF(AND($D172&lt;&gt;"",$B172=Payslip_Print!$C$2),MAX(AH$1:AH171)+1,"")</f>
        <v/>
      </c>
      <c r="AL172" s="178" t="str">
        <f aca="false">IFERROR(INDEX($D$2:$D$501,MATCH(ROW()-1,$AH$2:$AH$501,0)),"")</f>
        <v/>
      </c>
      <c r="AM172" s="179" t="str">
        <f aca="false">IF($Z172="","",IF(AND($C172&gt;=Dash_Start,$C172&lt;Dash_End),$Z172+ROW()/10000000,""))</f>
        <v/>
      </c>
    </row>
    <row r="173" customFormat="false" ht="14.25" hidden="false" customHeight="false" outlineLevel="0" collapsed="false">
      <c r="A173" s="171" t="str">
        <f aca="false">IF(Payslip_Lookup[[#This Row],[Rider ID]]="","",Payslip_Lookup[[#This Row],[Rider ID]]&amp;"|"&amp;Payslip_Lookup[[#This Row],[Month Key]])</f>
        <v/>
      </c>
      <c r="B173" s="172" t="str">
        <f aca="false">IF(ISNUMBER(Payslip_Lookup[[#This Row],[Salary Month]]),DATE(YEAR(Payslip_Lookup[[#This Row],[Salary Month]]),MONTH(Payslip_Lookup[[#This Row],[Salary Month]]),1),"")</f>
        <v/>
      </c>
      <c r="C173" s="172" t="str">
        <f aca="false">IF(INDEX(Salary_Calculation[Source Row],ROW()-ROW(Payslip_Lookup[#Headers]))="","",INDEX(Salary_Calculation[Salary Month],ROW()-ROW(Payslip_Lookup[#Headers])))</f>
        <v/>
      </c>
      <c r="D173" s="173" t="str">
        <f aca="false">IF(INDEX(Salary_Calculation[Source Row],ROW()-ROW(Payslip_Lookup[#Headers]))="","",INDEX(Salary_Calculation[Rider ID],ROW()-ROW(Payslip_Lookup[#Headers])))</f>
        <v/>
      </c>
      <c r="E173" s="171" t="str">
        <f aca="false">IF(INDEX(Salary_Calculation[Source Row],ROW()-ROW(Payslip_Lookup[#Headers]))="","",INDEX(Salary_Calculation[Rider Name],ROW()-ROW(Payslip_Lookup[#Headers])))</f>
        <v/>
      </c>
      <c r="F173" s="173" t="str">
        <f aca="false">IF(INDEX(Salary_Calculation[Source Row],ROW()-ROW(Payslip_Lookup[#Headers]))="","",INDEX(Salary_Calculation[Working Days],ROW()-ROW(Payslip_Lookup[#Headers])))</f>
        <v/>
      </c>
      <c r="G173" s="173" t="str">
        <f aca="false">IF(INDEX(Salary_Calculation[Source Row],ROW()-ROW(Payslip_Lookup[#Headers]))="","",INDEX(Salary_Calculation[Calendar Days],ROW()-ROW(Payslip_Lookup[#Headers])))</f>
        <v/>
      </c>
      <c r="H173" s="174" t="str">
        <f aca="false">IF(INDEX(Salary_Calculation[Source Row],ROW()-ROW(Payslip_Lookup[#Headers]))="","",INDEX(Salary_Calculation[Monthly Target Orders],ROW()-ROW(Payslip_Lookup[#Headers])))</f>
        <v/>
      </c>
      <c r="I173" s="174" t="str">
        <f aca="false">IF(INDEX(Salary_Calculation[Source Row],ROW()-ROW(Payslip_Lookup[#Headers]))="","",INDEX(Salary_Calculation[Rider Target Orders],ROW()-ROW(Payslip_Lookup[#Headers])))</f>
        <v/>
      </c>
      <c r="J173" s="175" t="str">
        <f aca="false">IF(INDEX(Salary_Calculation[Source Row],ROW()-ROW(Payslip_Lookup[#Headers]))="","",INDEX(Salary_Calculation[Completed Orders],ROW()-ROW(Payslip_Lookup[#Headers])))</f>
        <v/>
      </c>
      <c r="K173" s="174" t="str">
        <f aca="false">IF(INDEX(Salary_Calculation[Source Row],ROW()-ROW(Payslip_Lookup[#Headers]))="","",INDEX(Salary_Calculation[Base Order Rate],ROW()-ROW(Payslip_Lookup[#Headers])))</f>
        <v/>
      </c>
      <c r="L173" s="176" t="str">
        <f aca="false">IF(INDEX(Salary_Calculation[Source Row],ROW()-ROW(Payslip_Lookup[#Headers]))="","",INDEX(Salary_Calculation[Basic Payment],ROW()-ROW(Payslip_Lookup[#Headers])))</f>
        <v/>
      </c>
      <c r="M173" s="176" t="str">
        <f aca="false">IF(INDEX(Salary_Calculation[Source Row],ROW()-ROW(Payslip_Lookup[#Headers]))="","",INDEX(Salary_Calculation[Earned Salary],ROW()-ROW(Payslip_Lookup[#Headers])))</f>
        <v/>
      </c>
      <c r="N173" s="174" t="str">
        <f aca="false">IF(INDEX(Salary_Calculation[Source Row],ROW()-ROW(Payslip_Lookup[#Headers]))="","",INDEX(Salary_Calculation[Orders Counted at Base Rate],ROW()-ROW(Payslip_Lookup[#Headers])))</f>
        <v/>
      </c>
      <c r="O173" s="174" t="str">
        <f aca="false">IF(INDEX(Salary_Calculation[Source Row],ROW()-ROW(Payslip_Lookup[#Headers]))="","",INDEX(Salary_Calculation[Missing Orders],ROW()-ROW(Payslip_Lookup[#Headers])))</f>
        <v/>
      </c>
      <c r="P173" s="176" t="str">
        <f aca="false">IF(INDEX(Salary_Calculation[Source Row],ROW()-ROW(Payslip_Lookup[#Headers]))="","",INDEX(Salary_Calculation[Missing-Order Deduction],ROW()-ROW(Payslip_Lookup[#Headers])))</f>
        <v/>
      </c>
      <c r="Q173" s="174" t="str">
        <f aca="false">IF(INDEX(Salary_Calculation[Source Row],ROW()-ROW(Payslip_Lookup[#Headers]))="","",INDEX(Salary_Calculation[Extra Orders],ROW()-ROW(Payslip_Lookup[#Headers])))</f>
        <v/>
      </c>
      <c r="R173" s="176" t="str">
        <f aca="false">IF(INDEX(Salary_Calculation[Source Row],ROW()-ROW(Payslip_Lookup[#Headers]))="","",INDEX(Salary_Calculation[Extra-Order Bonus],ROW()-ROW(Payslip_Lookup[#Headers])))</f>
        <v/>
      </c>
      <c r="S173" s="176" t="str">
        <f aca="false">IF(INDEX(Salary_Calculation[Source Row],ROW()-ROW(Payslip_Lookup[#Headers]))="","",INDEX(Salary_Calculation[Basic Salary for Target],ROW()-ROW(Payslip_Lookup[#Headers])))</f>
        <v/>
      </c>
      <c r="T173" s="176" t="str">
        <f aca="false">IF(INDEX(Salary_Calculation[Source Row],ROW()-ROW(Payslip_Lookup[#Headers]))="","",INDEX(Salary_Calculation[Gross Salary Before Deductions],ROW()-ROW(Payslip_Lookup[#Headers])))</f>
        <v/>
      </c>
      <c r="U173" s="176" t="str">
        <f aca="false">IF(INDEX(Salary_Calculation[Source Row],ROW()-ROW(Payslip_Lookup[#Headers]))="","",INDEX(Salary_Calculation[missed_days_penalty],ROW()-ROW(Payslip_Lookup[#Headers])))</f>
        <v/>
      </c>
      <c r="V173" s="176" t="str">
        <f aca="false">IF(INDEX(Salary_Calculation[Source Row],ROW()-ROW(Payslip_Lookup[#Headers]))="","",INDEX(Salary_Calculation[Rider Balance],ROW()-ROW(Payslip_Lookup[#Headers])))</f>
        <v/>
      </c>
      <c r="W173" s="176" t="str">
        <f aca="false">IF(INDEX(Salary_Calculation[Source Row],ROW()-ROW(Payslip_Lookup[#Headers]))="","",INDEX(Salary_Calculation[stacking_deduction],ROW()-ROW(Payslip_Lookup[#Headers])))</f>
        <v/>
      </c>
      <c r="X173" s="176" t="str">
        <f aca="false">IF(INDEX(Salary_Calculation[Source Row],ROW()-ROW(Payslip_Lookup[#Headers]))="","",INDEX(Salary_Calculation[Other Deductions],ROW()-ROW(Payslip_Lookup[#Headers])))</f>
        <v/>
      </c>
      <c r="Y173" s="176" t="str">
        <f aca="false">IF(INDEX(Salary_Calculation[Source Row],ROW()-ROW(Payslip_Lookup[#Headers]))="","",INDEX(Salary_Calculation[Total Deductions],ROW()-ROW(Payslip_Lookup[#Headers])))</f>
        <v/>
      </c>
      <c r="Z173" s="176" t="str">
        <f aca="false">IF(INDEX(Salary_Calculation[Source Row],ROW()-ROW(Payslip_Lookup[#Headers]))="","",INDEX(Salary_Calculation[Final Salary],ROW()-ROW(Payslip_Lookup[#Headers])))</f>
        <v/>
      </c>
      <c r="AA173" s="176" t="str">
        <f aca="false">IF(INDEX(Salary_Calculation[Source Row],ROW()-ROW(Payslip_Lookup[#Headers]))="","",INDEX(Salary_Calculation[Negative Balance / Amount Due from Rider],ROW()-ROW(Payslip_Lookup[#Headers])))</f>
        <v/>
      </c>
      <c r="AB173" s="176" t="str">
        <f aca="false">IF(INDEX(Salary_Calculation[Source Row],ROW()-ROW(Payslip_Lookup[#Headers]))="","",INDEX(Salary_Calculation[Total Amount Due from Rider],ROW()-ROW(Payslip_Lookup[#Headers])))</f>
        <v/>
      </c>
      <c r="AC173" s="176" t="str">
        <f aca="false">IF(INDEX(Salary_Calculation[Source Row],ROW()-ROW(Payslip_Lookup[#Headers]))="","",INDEX(Salary_Calculation[Salary Before Other Deductions],ROW()-ROW(Payslip_Lookup[#Headers])))</f>
        <v/>
      </c>
      <c r="AD173" s="171" t="str">
        <f aca="false">IF(INDEX(Salary_Calculation[Source Row],ROW()-ROW(Payslip_Lookup[#Headers]))="","",INDEX(Salary_Calculation[Payment Status],ROW()-ROW(Payslip_Lookup[#Headers])))</f>
        <v/>
      </c>
      <c r="AE173" s="171" t="str">
        <f aca="false">IF(INDEX(Salary_Calculation[Source Row],ROW()-ROW(Payslip_Lookup[#Headers]))="","",INDEX(Salary_Calculation[Notes],ROW()-ROW(Payslip_Lookup[#Headers])))</f>
        <v/>
      </c>
      <c r="AF173" s="171" t="str">
        <f aca="false">IF(INDEX(Salary_Calculation[Source Row],ROW()-ROW(Payslip_Lookup[#Headers]))="","",INDEX(Salary_Calculation[Exception Reason],ROW()-ROW(Payslip_Lookup[#Headers])))</f>
        <v/>
      </c>
      <c r="AG173" s="173" t="str">
        <f aca="false">IF($AD173="Review Required",COUNTIF(AD$2:AD173,"Review Required"),"")</f>
        <v/>
      </c>
      <c r="AH173" s="173" t="str">
        <f aca="false">IF(AND($D173&lt;&gt;"",$B173=Payslip_Print!$C$2),MAX(AH$1:AH172)+1,"")</f>
        <v/>
      </c>
      <c r="AL173" s="178" t="str">
        <f aca="false">IFERROR(INDEX($D$2:$D$501,MATCH(ROW()-1,$AH$2:$AH$501,0)),"")</f>
        <v/>
      </c>
      <c r="AM173" s="179" t="str">
        <f aca="false">IF($Z173="","",IF(AND($C173&gt;=Dash_Start,$C173&lt;Dash_End),$Z173+ROW()/10000000,""))</f>
        <v/>
      </c>
    </row>
    <row r="174" customFormat="false" ht="14.25" hidden="false" customHeight="false" outlineLevel="0" collapsed="false">
      <c r="A174" s="171" t="str">
        <f aca="false">IF(Payslip_Lookup[[#This Row],[Rider ID]]="","",Payslip_Lookup[[#This Row],[Rider ID]]&amp;"|"&amp;Payslip_Lookup[[#This Row],[Month Key]])</f>
        <v/>
      </c>
      <c r="B174" s="172" t="str">
        <f aca="false">IF(ISNUMBER(Payslip_Lookup[[#This Row],[Salary Month]]),DATE(YEAR(Payslip_Lookup[[#This Row],[Salary Month]]),MONTH(Payslip_Lookup[[#This Row],[Salary Month]]),1),"")</f>
        <v/>
      </c>
      <c r="C174" s="172" t="str">
        <f aca="false">IF(INDEX(Salary_Calculation[Source Row],ROW()-ROW(Payslip_Lookup[#Headers]))="","",INDEX(Salary_Calculation[Salary Month],ROW()-ROW(Payslip_Lookup[#Headers])))</f>
        <v/>
      </c>
      <c r="D174" s="173" t="str">
        <f aca="false">IF(INDEX(Salary_Calculation[Source Row],ROW()-ROW(Payslip_Lookup[#Headers]))="","",INDEX(Salary_Calculation[Rider ID],ROW()-ROW(Payslip_Lookup[#Headers])))</f>
        <v/>
      </c>
      <c r="E174" s="171" t="str">
        <f aca="false">IF(INDEX(Salary_Calculation[Source Row],ROW()-ROW(Payslip_Lookup[#Headers]))="","",INDEX(Salary_Calculation[Rider Name],ROW()-ROW(Payslip_Lookup[#Headers])))</f>
        <v/>
      </c>
      <c r="F174" s="173" t="str">
        <f aca="false">IF(INDEX(Salary_Calculation[Source Row],ROW()-ROW(Payslip_Lookup[#Headers]))="","",INDEX(Salary_Calculation[Working Days],ROW()-ROW(Payslip_Lookup[#Headers])))</f>
        <v/>
      </c>
      <c r="G174" s="173" t="str">
        <f aca="false">IF(INDEX(Salary_Calculation[Source Row],ROW()-ROW(Payslip_Lookup[#Headers]))="","",INDEX(Salary_Calculation[Calendar Days],ROW()-ROW(Payslip_Lookup[#Headers])))</f>
        <v/>
      </c>
      <c r="H174" s="174" t="str">
        <f aca="false">IF(INDEX(Salary_Calculation[Source Row],ROW()-ROW(Payslip_Lookup[#Headers]))="","",INDEX(Salary_Calculation[Monthly Target Orders],ROW()-ROW(Payslip_Lookup[#Headers])))</f>
        <v/>
      </c>
      <c r="I174" s="174" t="str">
        <f aca="false">IF(INDEX(Salary_Calculation[Source Row],ROW()-ROW(Payslip_Lookup[#Headers]))="","",INDEX(Salary_Calculation[Rider Target Orders],ROW()-ROW(Payslip_Lookup[#Headers])))</f>
        <v/>
      </c>
      <c r="J174" s="175" t="str">
        <f aca="false">IF(INDEX(Salary_Calculation[Source Row],ROW()-ROW(Payslip_Lookup[#Headers]))="","",INDEX(Salary_Calculation[Completed Orders],ROW()-ROW(Payslip_Lookup[#Headers])))</f>
        <v/>
      </c>
      <c r="K174" s="174" t="str">
        <f aca="false">IF(INDEX(Salary_Calculation[Source Row],ROW()-ROW(Payslip_Lookup[#Headers]))="","",INDEX(Salary_Calculation[Base Order Rate],ROW()-ROW(Payslip_Lookup[#Headers])))</f>
        <v/>
      </c>
      <c r="L174" s="176" t="str">
        <f aca="false">IF(INDEX(Salary_Calculation[Source Row],ROW()-ROW(Payslip_Lookup[#Headers]))="","",INDEX(Salary_Calculation[Basic Payment],ROW()-ROW(Payslip_Lookup[#Headers])))</f>
        <v/>
      </c>
      <c r="M174" s="176" t="str">
        <f aca="false">IF(INDEX(Salary_Calculation[Source Row],ROW()-ROW(Payslip_Lookup[#Headers]))="","",INDEX(Salary_Calculation[Earned Salary],ROW()-ROW(Payslip_Lookup[#Headers])))</f>
        <v/>
      </c>
      <c r="N174" s="174" t="str">
        <f aca="false">IF(INDEX(Salary_Calculation[Source Row],ROW()-ROW(Payslip_Lookup[#Headers]))="","",INDEX(Salary_Calculation[Orders Counted at Base Rate],ROW()-ROW(Payslip_Lookup[#Headers])))</f>
        <v/>
      </c>
      <c r="O174" s="174" t="str">
        <f aca="false">IF(INDEX(Salary_Calculation[Source Row],ROW()-ROW(Payslip_Lookup[#Headers]))="","",INDEX(Salary_Calculation[Missing Orders],ROW()-ROW(Payslip_Lookup[#Headers])))</f>
        <v/>
      </c>
      <c r="P174" s="176" t="str">
        <f aca="false">IF(INDEX(Salary_Calculation[Source Row],ROW()-ROW(Payslip_Lookup[#Headers]))="","",INDEX(Salary_Calculation[Missing-Order Deduction],ROW()-ROW(Payslip_Lookup[#Headers])))</f>
        <v/>
      </c>
      <c r="Q174" s="174" t="str">
        <f aca="false">IF(INDEX(Salary_Calculation[Source Row],ROW()-ROW(Payslip_Lookup[#Headers]))="","",INDEX(Salary_Calculation[Extra Orders],ROW()-ROW(Payslip_Lookup[#Headers])))</f>
        <v/>
      </c>
      <c r="R174" s="176" t="str">
        <f aca="false">IF(INDEX(Salary_Calculation[Source Row],ROW()-ROW(Payslip_Lookup[#Headers]))="","",INDEX(Salary_Calculation[Extra-Order Bonus],ROW()-ROW(Payslip_Lookup[#Headers])))</f>
        <v/>
      </c>
      <c r="S174" s="176" t="str">
        <f aca="false">IF(INDEX(Salary_Calculation[Source Row],ROW()-ROW(Payslip_Lookup[#Headers]))="","",INDEX(Salary_Calculation[Basic Salary for Target],ROW()-ROW(Payslip_Lookup[#Headers])))</f>
        <v/>
      </c>
      <c r="T174" s="176" t="str">
        <f aca="false">IF(INDEX(Salary_Calculation[Source Row],ROW()-ROW(Payslip_Lookup[#Headers]))="","",INDEX(Salary_Calculation[Gross Salary Before Deductions],ROW()-ROW(Payslip_Lookup[#Headers])))</f>
        <v/>
      </c>
      <c r="U174" s="176" t="str">
        <f aca="false">IF(INDEX(Salary_Calculation[Source Row],ROW()-ROW(Payslip_Lookup[#Headers]))="","",INDEX(Salary_Calculation[missed_days_penalty],ROW()-ROW(Payslip_Lookup[#Headers])))</f>
        <v/>
      </c>
      <c r="V174" s="176" t="str">
        <f aca="false">IF(INDEX(Salary_Calculation[Source Row],ROW()-ROW(Payslip_Lookup[#Headers]))="","",INDEX(Salary_Calculation[Rider Balance],ROW()-ROW(Payslip_Lookup[#Headers])))</f>
        <v/>
      </c>
      <c r="W174" s="176" t="str">
        <f aca="false">IF(INDEX(Salary_Calculation[Source Row],ROW()-ROW(Payslip_Lookup[#Headers]))="","",INDEX(Salary_Calculation[stacking_deduction],ROW()-ROW(Payslip_Lookup[#Headers])))</f>
        <v/>
      </c>
      <c r="X174" s="176" t="str">
        <f aca="false">IF(INDEX(Salary_Calculation[Source Row],ROW()-ROW(Payslip_Lookup[#Headers]))="","",INDEX(Salary_Calculation[Other Deductions],ROW()-ROW(Payslip_Lookup[#Headers])))</f>
        <v/>
      </c>
      <c r="Y174" s="176" t="str">
        <f aca="false">IF(INDEX(Salary_Calculation[Source Row],ROW()-ROW(Payslip_Lookup[#Headers]))="","",INDEX(Salary_Calculation[Total Deductions],ROW()-ROW(Payslip_Lookup[#Headers])))</f>
        <v/>
      </c>
      <c r="Z174" s="176" t="str">
        <f aca="false">IF(INDEX(Salary_Calculation[Source Row],ROW()-ROW(Payslip_Lookup[#Headers]))="","",INDEX(Salary_Calculation[Final Salary],ROW()-ROW(Payslip_Lookup[#Headers])))</f>
        <v/>
      </c>
      <c r="AA174" s="176" t="str">
        <f aca="false">IF(INDEX(Salary_Calculation[Source Row],ROW()-ROW(Payslip_Lookup[#Headers]))="","",INDEX(Salary_Calculation[Negative Balance / Amount Due from Rider],ROW()-ROW(Payslip_Lookup[#Headers])))</f>
        <v/>
      </c>
      <c r="AB174" s="176" t="str">
        <f aca="false">IF(INDEX(Salary_Calculation[Source Row],ROW()-ROW(Payslip_Lookup[#Headers]))="","",INDEX(Salary_Calculation[Total Amount Due from Rider],ROW()-ROW(Payslip_Lookup[#Headers])))</f>
        <v/>
      </c>
      <c r="AC174" s="176" t="str">
        <f aca="false">IF(INDEX(Salary_Calculation[Source Row],ROW()-ROW(Payslip_Lookup[#Headers]))="","",INDEX(Salary_Calculation[Salary Before Other Deductions],ROW()-ROW(Payslip_Lookup[#Headers])))</f>
        <v/>
      </c>
      <c r="AD174" s="171" t="str">
        <f aca="false">IF(INDEX(Salary_Calculation[Source Row],ROW()-ROW(Payslip_Lookup[#Headers]))="","",INDEX(Salary_Calculation[Payment Status],ROW()-ROW(Payslip_Lookup[#Headers])))</f>
        <v/>
      </c>
      <c r="AE174" s="171" t="str">
        <f aca="false">IF(INDEX(Salary_Calculation[Source Row],ROW()-ROW(Payslip_Lookup[#Headers]))="","",INDEX(Salary_Calculation[Notes],ROW()-ROW(Payslip_Lookup[#Headers])))</f>
        <v/>
      </c>
      <c r="AF174" s="171" t="str">
        <f aca="false">IF(INDEX(Salary_Calculation[Source Row],ROW()-ROW(Payslip_Lookup[#Headers]))="","",INDEX(Salary_Calculation[Exception Reason],ROW()-ROW(Payslip_Lookup[#Headers])))</f>
        <v/>
      </c>
      <c r="AG174" s="173" t="str">
        <f aca="false">IF($AD174="Review Required",COUNTIF(AD$2:AD174,"Review Required"),"")</f>
        <v/>
      </c>
      <c r="AH174" s="173" t="str">
        <f aca="false">IF(AND($D174&lt;&gt;"",$B174=Payslip_Print!$C$2),MAX(AH$1:AH173)+1,"")</f>
        <v/>
      </c>
      <c r="AL174" s="178" t="str">
        <f aca="false">IFERROR(INDEX($D$2:$D$501,MATCH(ROW()-1,$AH$2:$AH$501,0)),"")</f>
        <v/>
      </c>
      <c r="AM174" s="179" t="str">
        <f aca="false">IF($Z174="","",IF(AND($C174&gt;=Dash_Start,$C174&lt;Dash_End),$Z174+ROW()/10000000,""))</f>
        <v/>
      </c>
    </row>
    <row r="175" customFormat="false" ht="14.25" hidden="false" customHeight="false" outlineLevel="0" collapsed="false">
      <c r="A175" s="171" t="str">
        <f aca="false">IF(Payslip_Lookup[[#This Row],[Rider ID]]="","",Payslip_Lookup[[#This Row],[Rider ID]]&amp;"|"&amp;Payslip_Lookup[[#This Row],[Month Key]])</f>
        <v/>
      </c>
      <c r="B175" s="172" t="str">
        <f aca="false">IF(ISNUMBER(Payslip_Lookup[[#This Row],[Salary Month]]),DATE(YEAR(Payslip_Lookup[[#This Row],[Salary Month]]),MONTH(Payslip_Lookup[[#This Row],[Salary Month]]),1),"")</f>
        <v/>
      </c>
      <c r="C175" s="172" t="str">
        <f aca="false">IF(INDEX(Salary_Calculation[Source Row],ROW()-ROW(Payslip_Lookup[#Headers]))="","",INDEX(Salary_Calculation[Salary Month],ROW()-ROW(Payslip_Lookup[#Headers])))</f>
        <v/>
      </c>
      <c r="D175" s="173" t="str">
        <f aca="false">IF(INDEX(Salary_Calculation[Source Row],ROW()-ROW(Payslip_Lookup[#Headers]))="","",INDEX(Salary_Calculation[Rider ID],ROW()-ROW(Payslip_Lookup[#Headers])))</f>
        <v/>
      </c>
      <c r="E175" s="171" t="str">
        <f aca="false">IF(INDEX(Salary_Calculation[Source Row],ROW()-ROW(Payslip_Lookup[#Headers]))="","",INDEX(Salary_Calculation[Rider Name],ROW()-ROW(Payslip_Lookup[#Headers])))</f>
        <v/>
      </c>
      <c r="F175" s="173" t="str">
        <f aca="false">IF(INDEX(Salary_Calculation[Source Row],ROW()-ROW(Payslip_Lookup[#Headers]))="","",INDEX(Salary_Calculation[Working Days],ROW()-ROW(Payslip_Lookup[#Headers])))</f>
        <v/>
      </c>
      <c r="G175" s="173" t="str">
        <f aca="false">IF(INDEX(Salary_Calculation[Source Row],ROW()-ROW(Payslip_Lookup[#Headers]))="","",INDEX(Salary_Calculation[Calendar Days],ROW()-ROW(Payslip_Lookup[#Headers])))</f>
        <v/>
      </c>
      <c r="H175" s="174" t="str">
        <f aca="false">IF(INDEX(Salary_Calculation[Source Row],ROW()-ROW(Payslip_Lookup[#Headers]))="","",INDEX(Salary_Calculation[Monthly Target Orders],ROW()-ROW(Payslip_Lookup[#Headers])))</f>
        <v/>
      </c>
      <c r="I175" s="174" t="str">
        <f aca="false">IF(INDEX(Salary_Calculation[Source Row],ROW()-ROW(Payslip_Lookup[#Headers]))="","",INDEX(Salary_Calculation[Rider Target Orders],ROW()-ROW(Payslip_Lookup[#Headers])))</f>
        <v/>
      </c>
      <c r="J175" s="175" t="str">
        <f aca="false">IF(INDEX(Salary_Calculation[Source Row],ROW()-ROW(Payslip_Lookup[#Headers]))="","",INDEX(Salary_Calculation[Completed Orders],ROW()-ROW(Payslip_Lookup[#Headers])))</f>
        <v/>
      </c>
      <c r="K175" s="174" t="str">
        <f aca="false">IF(INDEX(Salary_Calculation[Source Row],ROW()-ROW(Payslip_Lookup[#Headers]))="","",INDEX(Salary_Calculation[Base Order Rate],ROW()-ROW(Payslip_Lookup[#Headers])))</f>
        <v/>
      </c>
      <c r="L175" s="176" t="str">
        <f aca="false">IF(INDEX(Salary_Calculation[Source Row],ROW()-ROW(Payslip_Lookup[#Headers]))="","",INDEX(Salary_Calculation[Basic Payment],ROW()-ROW(Payslip_Lookup[#Headers])))</f>
        <v/>
      </c>
      <c r="M175" s="176" t="str">
        <f aca="false">IF(INDEX(Salary_Calculation[Source Row],ROW()-ROW(Payslip_Lookup[#Headers]))="","",INDEX(Salary_Calculation[Earned Salary],ROW()-ROW(Payslip_Lookup[#Headers])))</f>
        <v/>
      </c>
      <c r="N175" s="174" t="str">
        <f aca="false">IF(INDEX(Salary_Calculation[Source Row],ROW()-ROW(Payslip_Lookup[#Headers]))="","",INDEX(Salary_Calculation[Orders Counted at Base Rate],ROW()-ROW(Payslip_Lookup[#Headers])))</f>
        <v/>
      </c>
      <c r="O175" s="174" t="str">
        <f aca="false">IF(INDEX(Salary_Calculation[Source Row],ROW()-ROW(Payslip_Lookup[#Headers]))="","",INDEX(Salary_Calculation[Missing Orders],ROW()-ROW(Payslip_Lookup[#Headers])))</f>
        <v/>
      </c>
      <c r="P175" s="176" t="str">
        <f aca="false">IF(INDEX(Salary_Calculation[Source Row],ROW()-ROW(Payslip_Lookup[#Headers]))="","",INDEX(Salary_Calculation[Missing-Order Deduction],ROW()-ROW(Payslip_Lookup[#Headers])))</f>
        <v/>
      </c>
      <c r="Q175" s="174" t="str">
        <f aca="false">IF(INDEX(Salary_Calculation[Source Row],ROW()-ROW(Payslip_Lookup[#Headers]))="","",INDEX(Salary_Calculation[Extra Orders],ROW()-ROW(Payslip_Lookup[#Headers])))</f>
        <v/>
      </c>
      <c r="R175" s="176" t="str">
        <f aca="false">IF(INDEX(Salary_Calculation[Source Row],ROW()-ROW(Payslip_Lookup[#Headers]))="","",INDEX(Salary_Calculation[Extra-Order Bonus],ROW()-ROW(Payslip_Lookup[#Headers])))</f>
        <v/>
      </c>
      <c r="S175" s="176" t="str">
        <f aca="false">IF(INDEX(Salary_Calculation[Source Row],ROW()-ROW(Payslip_Lookup[#Headers]))="","",INDEX(Salary_Calculation[Basic Salary for Target],ROW()-ROW(Payslip_Lookup[#Headers])))</f>
        <v/>
      </c>
      <c r="T175" s="176" t="str">
        <f aca="false">IF(INDEX(Salary_Calculation[Source Row],ROW()-ROW(Payslip_Lookup[#Headers]))="","",INDEX(Salary_Calculation[Gross Salary Before Deductions],ROW()-ROW(Payslip_Lookup[#Headers])))</f>
        <v/>
      </c>
      <c r="U175" s="176" t="str">
        <f aca="false">IF(INDEX(Salary_Calculation[Source Row],ROW()-ROW(Payslip_Lookup[#Headers]))="","",INDEX(Salary_Calculation[missed_days_penalty],ROW()-ROW(Payslip_Lookup[#Headers])))</f>
        <v/>
      </c>
      <c r="V175" s="176" t="str">
        <f aca="false">IF(INDEX(Salary_Calculation[Source Row],ROW()-ROW(Payslip_Lookup[#Headers]))="","",INDEX(Salary_Calculation[Rider Balance],ROW()-ROW(Payslip_Lookup[#Headers])))</f>
        <v/>
      </c>
      <c r="W175" s="176" t="str">
        <f aca="false">IF(INDEX(Salary_Calculation[Source Row],ROW()-ROW(Payslip_Lookup[#Headers]))="","",INDEX(Salary_Calculation[stacking_deduction],ROW()-ROW(Payslip_Lookup[#Headers])))</f>
        <v/>
      </c>
      <c r="X175" s="176" t="str">
        <f aca="false">IF(INDEX(Salary_Calculation[Source Row],ROW()-ROW(Payslip_Lookup[#Headers]))="","",INDEX(Salary_Calculation[Other Deductions],ROW()-ROW(Payslip_Lookup[#Headers])))</f>
        <v/>
      </c>
      <c r="Y175" s="176" t="str">
        <f aca="false">IF(INDEX(Salary_Calculation[Source Row],ROW()-ROW(Payslip_Lookup[#Headers]))="","",INDEX(Salary_Calculation[Total Deductions],ROW()-ROW(Payslip_Lookup[#Headers])))</f>
        <v/>
      </c>
      <c r="Z175" s="176" t="str">
        <f aca="false">IF(INDEX(Salary_Calculation[Source Row],ROW()-ROW(Payslip_Lookup[#Headers]))="","",INDEX(Salary_Calculation[Final Salary],ROW()-ROW(Payslip_Lookup[#Headers])))</f>
        <v/>
      </c>
      <c r="AA175" s="176" t="str">
        <f aca="false">IF(INDEX(Salary_Calculation[Source Row],ROW()-ROW(Payslip_Lookup[#Headers]))="","",INDEX(Salary_Calculation[Negative Balance / Amount Due from Rider],ROW()-ROW(Payslip_Lookup[#Headers])))</f>
        <v/>
      </c>
      <c r="AB175" s="176" t="str">
        <f aca="false">IF(INDEX(Salary_Calculation[Source Row],ROW()-ROW(Payslip_Lookup[#Headers]))="","",INDEX(Salary_Calculation[Total Amount Due from Rider],ROW()-ROW(Payslip_Lookup[#Headers])))</f>
        <v/>
      </c>
      <c r="AC175" s="176" t="str">
        <f aca="false">IF(INDEX(Salary_Calculation[Source Row],ROW()-ROW(Payslip_Lookup[#Headers]))="","",INDEX(Salary_Calculation[Salary Before Other Deductions],ROW()-ROW(Payslip_Lookup[#Headers])))</f>
        <v/>
      </c>
      <c r="AD175" s="171" t="str">
        <f aca="false">IF(INDEX(Salary_Calculation[Source Row],ROW()-ROW(Payslip_Lookup[#Headers]))="","",INDEX(Salary_Calculation[Payment Status],ROW()-ROW(Payslip_Lookup[#Headers])))</f>
        <v/>
      </c>
      <c r="AE175" s="171" t="str">
        <f aca="false">IF(INDEX(Salary_Calculation[Source Row],ROW()-ROW(Payslip_Lookup[#Headers]))="","",INDEX(Salary_Calculation[Notes],ROW()-ROW(Payslip_Lookup[#Headers])))</f>
        <v/>
      </c>
      <c r="AF175" s="171" t="str">
        <f aca="false">IF(INDEX(Salary_Calculation[Source Row],ROW()-ROW(Payslip_Lookup[#Headers]))="","",INDEX(Salary_Calculation[Exception Reason],ROW()-ROW(Payslip_Lookup[#Headers])))</f>
        <v/>
      </c>
      <c r="AG175" s="173" t="str">
        <f aca="false">IF($AD175="Review Required",COUNTIF(AD$2:AD175,"Review Required"),"")</f>
        <v/>
      </c>
      <c r="AH175" s="173" t="str">
        <f aca="false">IF(AND($D175&lt;&gt;"",$B175=Payslip_Print!$C$2),MAX(AH$1:AH174)+1,"")</f>
        <v/>
      </c>
      <c r="AL175" s="178" t="str">
        <f aca="false">IFERROR(INDEX($D$2:$D$501,MATCH(ROW()-1,$AH$2:$AH$501,0)),"")</f>
        <v/>
      </c>
      <c r="AM175" s="179" t="str">
        <f aca="false">IF($Z175="","",IF(AND($C175&gt;=Dash_Start,$C175&lt;Dash_End),$Z175+ROW()/10000000,""))</f>
        <v/>
      </c>
    </row>
    <row r="176" customFormat="false" ht="14.25" hidden="false" customHeight="false" outlineLevel="0" collapsed="false">
      <c r="A176" s="171" t="str">
        <f aca="false">IF(Payslip_Lookup[[#This Row],[Rider ID]]="","",Payslip_Lookup[[#This Row],[Rider ID]]&amp;"|"&amp;Payslip_Lookup[[#This Row],[Month Key]])</f>
        <v/>
      </c>
      <c r="B176" s="172" t="str">
        <f aca="false">IF(ISNUMBER(Payslip_Lookup[[#This Row],[Salary Month]]),DATE(YEAR(Payslip_Lookup[[#This Row],[Salary Month]]),MONTH(Payslip_Lookup[[#This Row],[Salary Month]]),1),"")</f>
        <v/>
      </c>
      <c r="C176" s="172" t="str">
        <f aca="false">IF(INDEX(Salary_Calculation[Source Row],ROW()-ROW(Payslip_Lookup[#Headers]))="","",INDEX(Salary_Calculation[Salary Month],ROW()-ROW(Payslip_Lookup[#Headers])))</f>
        <v/>
      </c>
      <c r="D176" s="173" t="str">
        <f aca="false">IF(INDEX(Salary_Calculation[Source Row],ROW()-ROW(Payslip_Lookup[#Headers]))="","",INDEX(Salary_Calculation[Rider ID],ROW()-ROW(Payslip_Lookup[#Headers])))</f>
        <v/>
      </c>
      <c r="E176" s="171" t="str">
        <f aca="false">IF(INDEX(Salary_Calculation[Source Row],ROW()-ROW(Payslip_Lookup[#Headers]))="","",INDEX(Salary_Calculation[Rider Name],ROW()-ROW(Payslip_Lookup[#Headers])))</f>
        <v/>
      </c>
      <c r="F176" s="173" t="str">
        <f aca="false">IF(INDEX(Salary_Calculation[Source Row],ROW()-ROW(Payslip_Lookup[#Headers]))="","",INDEX(Salary_Calculation[Working Days],ROW()-ROW(Payslip_Lookup[#Headers])))</f>
        <v/>
      </c>
      <c r="G176" s="173" t="str">
        <f aca="false">IF(INDEX(Salary_Calculation[Source Row],ROW()-ROW(Payslip_Lookup[#Headers]))="","",INDEX(Salary_Calculation[Calendar Days],ROW()-ROW(Payslip_Lookup[#Headers])))</f>
        <v/>
      </c>
      <c r="H176" s="174" t="str">
        <f aca="false">IF(INDEX(Salary_Calculation[Source Row],ROW()-ROW(Payslip_Lookup[#Headers]))="","",INDEX(Salary_Calculation[Monthly Target Orders],ROW()-ROW(Payslip_Lookup[#Headers])))</f>
        <v/>
      </c>
      <c r="I176" s="174" t="str">
        <f aca="false">IF(INDEX(Salary_Calculation[Source Row],ROW()-ROW(Payslip_Lookup[#Headers]))="","",INDEX(Salary_Calculation[Rider Target Orders],ROW()-ROW(Payslip_Lookup[#Headers])))</f>
        <v/>
      </c>
      <c r="J176" s="175" t="str">
        <f aca="false">IF(INDEX(Salary_Calculation[Source Row],ROW()-ROW(Payslip_Lookup[#Headers]))="","",INDEX(Salary_Calculation[Completed Orders],ROW()-ROW(Payslip_Lookup[#Headers])))</f>
        <v/>
      </c>
      <c r="K176" s="174" t="str">
        <f aca="false">IF(INDEX(Salary_Calculation[Source Row],ROW()-ROW(Payslip_Lookup[#Headers]))="","",INDEX(Salary_Calculation[Base Order Rate],ROW()-ROW(Payslip_Lookup[#Headers])))</f>
        <v/>
      </c>
      <c r="L176" s="176" t="str">
        <f aca="false">IF(INDEX(Salary_Calculation[Source Row],ROW()-ROW(Payslip_Lookup[#Headers]))="","",INDEX(Salary_Calculation[Basic Payment],ROW()-ROW(Payslip_Lookup[#Headers])))</f>
        <v/>
      </c>
      <c r="M176" s="176" t="str">
        <f aca="false">IF(INDEX(Salary_Calculation[Source Row],ROW()-ROW(Payslip_Lookup[#Headers]))="","",INDEX(Salary_Calculation[Earned Salary],ROW()-ROW(Payslip_Lookup[#Headers])))</f>
        <v/>
      </c>
      <c r="N176" s="174" t="str">
        <f aca="false">IF(INDEX(Salary_Calculation[Source Row],ROW()-ROW(Payslip_Lookup[#Headers]))="","",INDEX(Salary_Calculation[Orders Counted at Base Rate],ROW()-ROW(Payslip_Lookup[#Headers])))</f>
        <v/>
      </c>
      <c r="O176" s="174" t="str">
        <f aca="false">IF(INDEX(Salary_Calculation[Source Row],ROW()-ROW(Payslip_Lookup[#Headers]))="","",INDEX(Salary_Calculation[Missing Orders],ROW()-ROW(Payslip_Lookup[#Headers])))</f>
        <v/>
      </c>
      <c r="P176" s="176" t="str">
        <f aca="false">IF(INDEX(Salary_Calculation[Source Row],ROW()-ROW(Payslip_Lookup[#Headers]))="","",INDEX(Salary_Calculation[Missing-Order Deduction],ROW()-ROW(Payslip_Lookup[#Headers])))</f>
        <v/>
      </c>
      <c r="Q176" s="174" t="str">
        <f aca="false">IF(INDEX(Salary_Calculation[Source Row],ROW()-ROW(Payslip_Lookup[#Headers]))="","",INDEX(Salary_Calculation[Extra Orders],ROW()-ROW(Payslip_Lookup[#Headers])))</f>
        <v/>
      </c>
      <c r="R176" s="176" t="str">
        <f aca="false">IF(INDEX(Salary_Calculation[Source Row],ROW()-ROW(Payslip_Lookup[#Headers]))="","",INDEX(Salary_Calculation[Extra-Order Bonus],ROW()-ROW(Payslip_Lookup[#Headers])))</f>
        <v/>
      </c>
      <c r="S176" s="176" t="str">
        <f aca="false">IF(INDEX(Salary_Calculation[Source Row],ROW()-ROW(Payslip_Lookup[#Headers]))="","",INDEX(Salary_Calculation[Basic Salary for Target],ROW()-ROW(Payslip_Lookup[#Headers])))</f>
        <v/>
      </c>
      <c r="T176" s="176" t="str">
        <f aca="false">IF(INDEX(Salary_Calculation[Source Row],ROW()-ROW(Payslip_Lookup[#Headers]))="","",INDEX(Salary_Calculation[Gross Salary Before Deductions],ROW()-ROW(Payslip_Lookup[#Headers])))</f>
        <v/>
      </c>
      <c r="U176" s="176" t="str">
        <f aca="false">IF(INDEX(Salary_Calculation[Source Row],ROW()-ROW(Payslip_Lookup[#Headers]))="","",INDEX(Salary_Calculation[missed_days_penalty],ROW()-ROW(Payslip_Lookup[#Headers])))</f>
        <v/>
      </c>
      <c r="V176" s="176" t="str">
        <f aca="false">IF(INDEX(Salary_Calculation[Source Row],ROW()-ROW(Payslip_Lookup[#Headers]))="","",INDEX(Salary_Calculation[Rider Balance],ROW()-ROW(Payslip_Lookup[#Headers])))</f>
        <v/>
      </c>
      <c r="W176" s="176" t="str">
        <f aca="false">IF(INDEX(Salary_Calculation[Source Row],ROW()-ROW(Payslip_Lookup[#Headers]))="","",INDEX(Salary_Calculation[stacking_deduction],ROW()-ROW(Payslip_Lookup[#Headers])))</f>
        <v/>
      </c>
      <c r="X176" s="176" t="str">
        <f aca="false">IF(INDEX(Salary_Calculation[Source Row],ROW()-ROW(Payslip_Lookup[#Headers]))="","",INDEX(Salary_Calculation[Other Deductions],ROW()-ROW(Payslip_Lookup[#Headers])))</f>
        <v/>
      </c>
      <c r="Y176" s="176" t="str">
        <f aca="false">IF(INDEX(Salary_Calculation[Source Row],ROW()-ROW(Payslip_Lookup[#Headers]))="","",INDEX(Salary_Calculation[Total Deductions],ROW()-ROW(Payslip_Lookup[#Headers])))</f>
        <v/>
      </c>
      <c r="Z176" s="176" t="str">
        <f aca="false">IF(INDEX(Salary_Calculation[Source Row],ROW()-ROW(Payslip_Lookup[#Headers]))="","",INDEX(Salary_Calculation[Final Salary],ROW()-ROW(Payslip_Lookup[#Headers])))</f>
        <v/>
      </c>
      <c r="AA176" s="176" t="str">
        <f aca="false">IF(INDEX(Salary_Calculation[Source Row],ROW()-ROW(Payslip_Lookup[#Headers]))="","",INDEX(Salary_Calculation[Negative Balance / Amount Due from Rider],ROW()-ROW(Payslip_Lookup[#Headers])))</f>
        <v/>
      </c>
      <c r="AB176" s="176" t="str">
        <f aca="false">IF(INDEX(Salary_Calculation[Source Row],ROW()-ROW(Payslip_Lookup[#Headers]))="","",INDEX(Salary_Calculation[Total Amount Due from Rider],ROW()-ROW(Payslip_Lookup[#Headers])))</f>
        <v/>
      </c>
      <c r="AC176" s="176" t="str">
        <f aca="false">IF(INDEX(Salary_Calculation[Source Row],ROW()-ROW(Payslip_Lookup[#Headers]))="","",INDEX(Salary_Calculation[Salary Before Other Deductions],ROW()-ROW(Payslip_Lookup[#Headers])))</f>
        <v/>
      </c>
      <c r="AD176" s="171" t="str">
        <f aca="false">IF(INDEX(Salary_Calculation[Source Row],ROW()-ROW(Payslip_Lookup[#Headers]))="","",INDEX(Salary_Calculation[Payment Status],ROW()-ROW(Payslip_Lookup[#Headers])))</f>
        <v/>
      </c>
      <c r="AE176" s="171" t="str">
        <f aca="false">IF(INDEX(Salary_Calculation[Source Row],ROW()-ROW(Payslip_Lookup[#Headers]))="","",INDEX(Salary_Calculation[Notes],ROW()-ROW(Payslip_Lookup[#Headers])))</f>
        <v/>
      </c>
      <c r="AF176" s="171" t="str">
        <f aca="false">IF(INDEX(Salary_Calculation[Source Row],ROW()-ROW(Payslip_Lookup[#Headers]))="","",INDEX(Salary_Calculation[Exception Reason],ROW()-ROW(Payslip_Lookup[#Headers])))</f>
        <v/>
      </c>
      <c r="AG176" s="173" t="str">
        <f aca="false">IF($AD176="Review Required",COUNTIF(AD$2:AD176,"Review Required"),"")</f>
        <v/>
      </c>
      <c r="AH176" s="173" t="str">
        <f aca="false">IF(AND($D176&lt;&gt;"",$B176=Payslip_Print!$C$2),MAX(AH$1:AH175)+1,"")</f>
        <v/>
      </c>
      <c r="AL176" s="178" t="str">
        <f aca="false">IFERROR(INDEX($D$2:$D$501,MATCH(ROW()-1,$AH$2:$AH$501,0)),"")</f>
        <v/>
      </c>
      <c r="AM176" s="179" t="str">
        <f aca="false">IF($Z176="","",IF(AND($C176&gt;=Dash_Start,$C176&lt;Dash_End),$Z176+ROW()/10000000,""))</f>
        <v/>
      </c>
    </row>
    <row r="177" customFormat="false" ht="14.25" hidden="false" customHeight="false" outlineLevel="0" collapsed="false">
      <c r="A177" s="171" t="str">
        <f aca="false">IF(Payslip_Lookup[[#This Row],[Rider ID]]="","",Payslip_Lookup[[#This Row],[Rider ID]]&amp;"|"&amp;Payslip_Lookup[[#This Row],[Month Key]])</f>
        <v/>
      </c>
      <c r="B177" s="172" t="str">
        <f aca="false">IF(ISNUMBER(Payslip_Lookup[[#This Row],[Salary Month]]),DATE(YEAR(Payslip_Lookup[[#This Row],[Salary Month]]),MONTH(Payslip_Lookup[[#This Row],[Salary Month]]),1),"")</f>
        <v/>
      </c>
      <c r="C177" s="172" t="str">
        <f aca="false">IF(INDEX(Salary_Calculation[Source Row],ROW()-ROW(Payslip_Lookup[#Headers]))="","",INDEX(Salary_Calculation[Salary Month],ROW()-ROW(Payslip_Lookup[#Headers])))</f>
        <v/>
      </c>
      <c r="D177" s="173" t="str">
        <f aca="false">IF(INDEX(Salary_Calculation[Source Row],ROW()-ROW(Payslip_Lookup[#Headers]))="","",INDEX(Salary_Calculation[Rider ID],ROW()-ROW(Payslip_Lookup[#Headers])))</f>
        <v/>
      </c>
      <c r="E177" s="171" t="str">
        <f aca="false">IF(INDEX(Salary_Calculation[Source Row],ROW()-ROW(Payslip_Lookup[#Headers]))="","",INDEX(Salary_Calculation[Rider Name],ROW()-ROW(Payslip_Lookup[#Headers])))</f>
        <v/>
      </c>
      <c r="F177" s="173" t="str">
        <f aca="false">IF(INDEX(Salary_Calculation[Source Row],ROW()-ROW(Payslip_Lookup[#Headers]))="","",INDEX(Salary_Calculation[Working Days],ROW()-ROW(Payslip_Lookup[#Headers])))</f>
        <v/>
      </c>
      <c r="G177" s="173" t="str">
        <f aca="false">IF(INDEX(Salary_Calculation[Source Row],ROW()-ROW(Payslip_Lookup[#Headers]))="","",INDEX(Salary_Calculation[Calendar Days],ROW()-ROW(Payslip_Lookup[#Headers])))</f>
        <v/>
      </c>
      <c r="H177" s="174" t="str">
        <f aca="false">IF(INDEX(Salary_Calculation[Source Row],ROW()-ROW(Payslip_Lookup[#Headers]))="","",INDEX(Salary_Calculation[Monthly Target Orders],ROW()-ROW(Payslip_Lookup[#Headers])))</f>
        <v/>
      </c>
      <c r="I177" s="174" t="str">
        <f aca="false">IF(INDEX(Salary_Calculation[Source Row],ROW()-ROW(Payslip_Lookup[#Headers]))="","",INDEX(Salary_Calculation[Rider Target Orders],ROW()-ROW(Payslip_Lookup[#Headers])))</f>
        <v/>
      </c>
      <c r="J177" s="175" t="str">
        <f aca="false">IF(INDEX(Salary_Calculation[Source Row],ROW()-ROW(Payslip_Lookup[#Headers]))="","",INDEX(Salary_Calculation[Completed Orders],ROW()-ROW(Payslip_Lookup[#Headers])))</f>
        <v/>
      </c>
      <c r="K177" s="174" t="str">
        <f aca="false">IF(INDEX(Salary_Calculation[Source Row],ROW()-ROW(Payslip_Lookup[#Headers]))="","",INDEX(Salary_Calculation[Base Order Rate],ROW()-ROW(Payslip_Lookup[#Headers])))</f>
        <v/>
      </c>
      <c r="L177" s="176" t="str">
        <f aca="false">IF(INDEX(Salary_Calculation[Source Row],ROW()-ROW(Payslip_Lookup[#Headers]))="","",INDEX(Salary_Calculation[Basic Payment],ROW()-ROW(Payslip_Lookup[#Headers])))</f>
        <v/>
      </c>
      <c r="M177" s="176" t="str">
        <f aca="false">IF(INDEX(Salary_Calculation[Source Row],ROW()-ROW(Payslip_Lookup[#Headers]))="","",INDEX(Salary_Calculation[Earned Salary],ROW()-ROW(Payslip_Lookup[#Headers])))</f>
        <v/>
      </c>
      <c r="N177" s="174" t="str">
        <f aca="false">IF(INDEX(Salary_Calculation[Source Row],ROW()-ROW(Payslip_Lookup[#Headers]))="","",INDEX(Salary_Calculation[Orders Counted at Base Rate],ROW()-ROW(Payslip_Lookup[#Headers])))</f>
        <v/>
      </c>
      <c r="O177" s="174" t="str">
        <f aca="false">IF(INDEX(Salary_Calculation[Source Row],ROW()-ROW(Payslip_Lookup[#Headers]))="","",INDEX(Salary_Calculation[Missing Orders],ROW()-ROW(Payslip_Lookup[#Headers])))</f>
        <v/>
      </c>
      <c r="P177" s="176" t="str">
        <f aca="false">IF(INDEX(Salary_Calculation[Source Row],ROW()-ROW(Payslip_Lookup[#Headers]))="","",INDEX(Salary_Calculation[Missing-Order Deduction],ROW()-ROW(Payslip_Lookup[#Headers])))</f>
        <v/>
      </c>
      <c r="Q177" s="174" t="str">
        <f aca="false">IF(INDEX(Salary_Calculation[Source Row],ROW()-ROW(Payslip_Lookup[#Headers]))="","",INDEX(Salary_Calculation[Extra Orders],ROW()-ROW(Payslip_Lookup[#Headers])))</f>
        <v/>
      </c>
      <c r="R177" s="176" t="str">
        <f aca="false">IF(INDEX(Salary_Calculation[Source Row],ROW()-ROW(Payslip_Lookup[#Headers]))="","",INDEX(Salary_Calculation[Extra-Order Bonus],ROW()-ROW(Payslip_Lookup[#Headers])))</f>
        <v/>
      </c>
      <c r="S177" s="176" t="str">
        <f aca="false">IF(INDEX(Salary_Calculation[Source Row],ROW()-ROW(Payslip_Lookup[#Headers]))="","",INDEX(Salary_Calculation[Basic Salary for Target],ROW()-ROW(Payslip_Lookup[#Headers])))</f>
        <v/>
      </c>
      <c r="T177" s="176" t="str">
        <f aca="false">IF(INDEX(Salary_Calculation[Source Row],ROW()-ROW(Payslip_Lookup[#Headers]))="","",INDEX(Salary_Calculation[Gross Salary Before Deductions],ROW()-ROW(Payslip_Lookup[#Headers])))</f>
        <v/>
      </c>
      <c r="U177" s="176" t="str">
        <f aca="false">IF(INDEX(Salary_Calculation[Source Row],ROW()-ROW(Payslip_Lookup[#Headers]))="","",INDEX(Salary_Calculation[missed_days_penalty],ROW()-ROW(Payslip_Lookup[#Headers])))</f>
        <v/>
      </c>
      <c r="V177" s="176" t="str">
        <f aca="false">IF(INDEX(Salary_Calculation[Source Row],ROW()-ROW(Payslip_Lookup[#Headers]))="","",INDEX(Salary_Calculation[Rider Balance],ROW()-ROW(Payslip_Lookup[#Headers])))</f>
        <v/>
      </c>
      <c r="W177" s="176" t="str">
        <f aca="false">IF(INDEX(Salary_Calculation[Source Row],ROW()-ROW(Payslip_Lookup[#Headers]))="","",INDEX(Salary_Calculation[stacking_deduction],ROW()-ROW(Payslip_Lookup[#Headers])))</f>
        <v/>
      </c>
      <c r="X177" s="176" t="str">
        <f aca="false">IF(INDEX(Salary_Calculation[Source Row],ROW()-ROW(Payslip_Lookup[#Headers]))="","",INDEX(Salary_Calculation[Other Deductions],ROW()-ROW(Payslip_Lookup[#Headers])))</f>
        <v/>
      </c>
      <c r="Y177" s="176" t="str">
        <f aca="false">IF(INDEX(Salary_Calculation[Source Row],ROW()-ROW(Payslip_Lookup[#Headers]))="","",INDEX(Salary_Calculation[Total Deductions],ROW()-ROW(Payslip_Lookup[#Headers])))</f>
        <v/>
      </c>
      <c r="Z177" s="176" t="str">
        <f aca="false">IF(INDEX(Salary_Calculation[Source Row],ROW()-ROW(Payslip_Lookup[#Headers]))="","",INDEX(Salary_Calculation[Final Salary],ROW()-ROW(Payslip_Lookup[#Headers])))</f>
        <v/>
      </c>
      <c r="AA177" s="176" t="str">
        <f aca="false">IF(INDEX(Salary_Calculation[Source Row],ROW()-ROW(Payslip_Lookup[#Headers]))="","",INDEX(Salary_Calculation[Negative Balance / Amount Due from Rider],ROW()-ROW(Payslip_Lookup[#Headers])))</f>
        <v/>
      </c>
      <c r="AB177" s="176" t="str">
        <f aca="false">IF(INDEX(Salary_Calculation[Source Row],ROW()-ROW(Payslip_Lookup[#Headers]))="","",INDEX(Salary_Calculation[Total Amount Due from Rider],ROW()-ROW(Payslip_Lookup[#Headers])))</f>
        <v/>
      </c>
      <c r="AC177" s="176" t="str">
        <f aca="false">IF(INDEX(Salary_Calculation[Source Row],ROW()-ROW(Payslip_Lookup[#Headers]))="","",INDEX(Salary_Calculation[Salary Before Other Deductions],ROW()-ROW(Payslip_Lookup[#Headers])))</f>
        <v/>
      </c>
      <c r="AD177" s="171" t="str">
        <f aca="false">IF(INDEX(Salary_Calculation[Source Row],ROW()-ROW(Payslip_Lookup[#Headers]))="","",INDEX(Salary_Calculation[Payment Status],ROW()-ROW(Payslip_Lookup[#Headers])))</f>
        <v/>
      </c>
      <c r="AE177" s="171" t="str">
        <f aca="false">IF(INDEX(Salary_Calculation[Source Row],ROW()-ROW(Payslip_Lookup[#Headers]))="","",INDEX(Salary_Calculation[Notes],ROW()-ROW(Payslip_Lookup[#Headers])))</f>
        <v/>
      </c>
      <c r="AF177" s="171" t="str">
        <f aca="false">IF(INDEX(Salary_Calculation[Source Row],ROW()-ROW(Payslip_Lookup[#Headers]))="","",INDEX(Salary_Calculation[Exception Reason],ROW()-ROW(Payslip_Lookup[#Headers])))</f>
        <v/>
      </c>
      <c r="AG177" s="173" t="str">
        <f aca="false">IF($AD177="Review Required",COUNTIF(AD$2:AD177,"Review Required"),"")</f>
        <v/>
      </c>
      <c r="AH177" s="173" t="str">
        <f aca="false">IF(AND($D177&lt;&gt;"",$B177=Payslip_Print!$C$2),MAX(AH$1:AH176)+1,"")</f>
        <v/>
      </c>
      <c r="AL177" s="178" t="str">
        <f aca="false">IFERROR(INDEX($D$2:$D$501,MATCH(ROW()-1,$AH$2:$AH$501,0)),"")</f>
        <v/>
      </c>
      <c r="AM177" s="179" t="str">
        <f aca="false">IF($Z177="","",IF(AND($C177&gt;=Dash_Start,$C177&lt;Dash_End),$Z177+ROW()/10000000,""))</f>
        <v/>
      </c>
    </row>
    <row r="178" customFormat="false" ht="14.25" hidden="false" customHeight="false" outlineLevel="0" collapsed="false">
      <c r="A178" s="171" t="str">
        <f aca="false">IF(Payslip_Lookup[[#This Row],[Rider ID]]="","",Payslip_Lookup[[#This Row],[Rider ID]]&amp;"|"&amp;Payslip_Lookup[[#This Row],[Month Key]])</f>
        <v/>
      </c>
      <c r="B178" s="172" t="str">
        <f aca="false">IF(ISNUMBER(Payslip_Lookup[[#This Row],[Salary Month]]),DATE(YEAR(Payslip_Lookup[[#This Row],[Salary Month]]),MONTH(Payslip_Lookup[[#This Row],[Salary Month]]),1),"")</f>
        <v/>
      </c>
      <c r="C178" s="172" t="str">
        <f aca="false">IF(INDEX(Salary_Calculation[Source Row],ROW()-ROW(Payslip_Lookup[#Headers]))="","",INDEX(Salary_Calculation[Salary Month],ROW()-ROW(Payslip_Lookup[#Headers])))</f>
        <v/>
      </c>
      <c r="D178" s="173" t="str">
        <f aca="false">IF(INDEX(Salary_Calculation[Source Row],ROW()-ROW(Payslip_Lookup[#Headers]))="","",INDEX(Salary_Calculation[Rider ID],ROW()-ROW(Payslip_Lookup[#Headers])))</f>
        <v/>
      </c>
      <c r="E178" s="171" t="str">
        <f aca="false">IF(INDEX(Salary_Calculation[Source Row],ROW()-ROW(Payslip_Lookup[#Headers]))="","",INDEX(Salary_Calculation[Rider Name],ROW()-ROW(Payslip_Lookup[#Headers])))</f>
        <v/>
      </c>
      <c r="F178" s="173" t="str">
        <f aca="false">IF(INDEX(Salary_Calculation[Source Row],ROW()-ROW(Payslip_Lookup[#Headers]))="","",INDEX(Salary_Calculation[Working Days],ROW()-ROW(Payslip_Lookup[#Headers])))</f>
        <v/>
      </c>
      <c r="G178" s="173" t="str">
        <f aca="false">IF(INDEX(Salary_Calculation[Source Row],ROW()-ROW(Payslip_Lookup[#Headers]))="","",INDEX(Salary_Calculation[Calendar Days],ROW()-ROW(Payslip_Lookup[#Headers])))</f>
        <v/>
      </c>
      <c r="H178" s="174" t="str">
        <f aca="false">IF(INDEX(Salary_Calculation[Source Row],ROW()-ROW(Payslip_Lookup[#Headers]))="","",INDEX(Salary_Calculation[Monthly Target Orders],ROW()-ROW(Payslip_Lookup[#Headers])))</f>
        <v/>
      </c>
      <c r="I178" s="174" t="str">
        <f aca="false">IF(INDEX(Salary_Calculation[Source Row],ROW()-ROW(Payslip_Lookup[#Headers]))="","",INDEX(Salary_Calculation[Rider Target Orders],ROW()-ROW(Payslip_Lookup[#Headers])))</f>
        <v/>
      </c>
      <c r="J178" s="175" t="str">
        <f aca="false">IF(INDEX(Salary_Calculation[Source Row],ROW()-ROW(Payslip_Lookup[#Headers]))="","",INDEX(Salary_Calculation[Completed Orders],ROW()-ROW(Payslip_Lookup[#Headers])))</f>
        <v/>
      </c>
      <c r="K178" s="174" t="str">
        <f aca="false">IF(INDEX(Salary_Calculation[Source Row],ROW()-ROW(Payslip_Lookup[#Headers]))="","",INDEX(Salary_Calculation[Base Order Rate],ROW()-ROW(Payslip_Lookup[#Headers])))</f>
        <v/>
      </c>
      <c r="L178" s="176" t="str">
        <f aca="false">IF(INDEX(Salary_Calculation[Source Row],ROW()-ROW(Payslip_Lookup[#Headers]))="","",INDEX(Salary_Calculation[Basic Payment],ROW()-ROW(Payslip_Lookup[#Headers])))</f>
        <v/>
      </c>
      <c r="M178" s="176" t="str">
        <f aca="false">IF(INDEX(Salary_Calculation[Source Row],ROW()-ROW(Payslip_Lookup[#Headers]))="","",INDEX(Salary_Calculation[Earned Salary],ROW()-ROW(Payslip_Lookup[#Headers])))</f>
        <v/>
      </c>
      <c r="N178" s="174" t="str">
        <f aca="false">IF(INDEX(Salary_Calculation[Source Row],ROW()-ROW(Payslip_Lookup[#Headers]))="","",INDEX(Salary_Calculation[Orders Counted at Base Rate],ROW()-ROW(Payslip_Lookup[#Headers])))</f>
        <v/>
      </c>
      <c r="O178" s="174" t="str">
        <f aca="false">IF(INDEX(Salary_Calculation[Source Row],ROW()-ROW(Payslip_Lookup[#Headers]))="","",INDEX(Salary_Calculation[Missing Orders],ROW()-ROW(Payslip_Lookup[#Headers])))</f>
        <v/>
      </c>
      <c r="P178" s="176" t="str">
        <f aca="false">IF(INDEX(Salary_Calculation[Source Row],ROW()-ROW(Payslip_Lookup[#Headers]))="","",INDEX(Salary_Calculation[Missing-Order Deduction],ROW()-ROW(Payslip_Lookup[#Headers])))</f>
        <v/>
      </c>
      <c r="Q178" s="174" t="str">
        <f aca="false">IF(INDEX(Salary_Calculation[Source Row],ROW()-ROW(Payslip_Lookup[#Headers]))="","",INDEX(Salary_Calculation[Extra Orders],ROW()-ROW(Payslip_Lookup[#Headers])))</f>
        <v/>
      </c>
      <c r="R178" s="176" t="str">
        <f aca="false">IF(INDEX(Salary_Calculation[Source Row],ROW()-ROW(Payslip_Lookup[#Headers]))="","",INDEX(Salary_Calculation[Extra-Order Bonus],ROW()-ROW(Payslip_Lookup[#Headers])))</f>
        <v/>
      </c>
      <c r="S178" s="176" t="str">
        <f aca="false">IF(INDEX(Salary_Calculation[Source Row],ROW()-ROW(Payslip_Lookup[#Headers]))="","",INDEX(Salary_Calculation[Basic Salary for Target],ROW()-ROW(Payslip_Lookup[#Headers])))</f>
        <v/>
      </c>
      <c r="T178" s="176" t="str">
        <f aca="false">IF(INDEX(Salary_Calculation[Source Row],ROW()-ROW(Payslip_Lookup[#Headers]))="","",INDEX(Salary_Calculation[Gross Salary Before Deductions],ROW()-ROW(Payslip_Lookup[#Headers])))</f>
        <v/>
      </c>
      <c r="U178" s="176" t="str">
        <f aca="false">IF(INDEX(Salary_Calculation[Source Row],ROW()-ROW(Payslip_Lookup[#Headers]))="","",INDEX(Salary_Calculation[missed_days_penalty],ROW()-ROW(Payslip_Lookup[#Headers])))</f>
        <v/>
      </c>
      <c r="V178" s="176" t="str">
        <f aca="false">IF(INDEX(Salary_Calculation[Source Row],ROW()-ROW(Payslip_Lookup[#Headers]))="","",INDEX(Salary_Calculation[Rider Balance],ROW()-ROW(Payslip_Lookup[#Headers])))</f>
        <v/>
      </c>
      <c r="W178" s="176" t="str">
        <f aca="false">IF(INDEX(Salary_Calculation[Source Row],ROW()-ROW(Payslip_Lookup[#Headers]))="","",INDEX(Salary_Calculation[stacking_deduction],ROW()-ROW(Payslip_Lookup[#Headers])))</f>
        <v/>
      </c>
      <c r="X178" s="176" t="str">
        <f aca="false">IF(INDEX(Salary_Calculation[Source Row],ROW()-ROW(Payslip_Lookup[#Headers]))="","",INDEX(Salary_Calculation[Other Deductions],ROW()-ROW(Payslip_Lookup[#Headers])))</f>
        <v/>
      </c>
      <c r="Y178" s="176" t="str">
        <f aca="false">IF(INDEX(Salary_Calculation[Source Row],ROW()-ROW(Payslip_Lookup[#Headers]))="","",INDEX(Salary_Calculation[Total Deductions],ROW()-ROW(Payslip_Lookup[#Headers])))</f>
        <v/>
      </c>
      <c r="Z178" s="176" t="str">
        <f aca="false">IF(INDEX(Salary_Calculation[Source Row],ROW()-ROW(Payslip_Lookup[#Headers]))="","",INDEX(Salary_Calculation[Final Salary],ROW()-ROW(Payslip_Lookup[#Headers])))</f>
        <v/>
      </c>
      <c r="AA178" s="176" t="str">
        <f aca="false">IF(INDEX(Salary_Calculation[Source Row],ROW()-ROW(Payslip_Lookup[#Headers]))="","",INDEX(Salary_Calculation[Negative Balance / Amount Due from Rider],ROW()-ROW(Payslip_Lookup[#Headers])))</f>
        <v/>
      </c>
      <c r="AB178" s="176" t="str">
        <f aca="false">IF(INDEX(Salary_Calculation[Source Row],ROW()-ROW(Payslip_Lookup[#Headers]))="","",INDEX(Salary_Calculation[Total Amount Due from Rider],ROW()-ROW(Payslip_Lookup[#Headers])))</f>
        <v/>
      </c>
      <c r="AC178" s="176" t="str">
        <f aca="false">IF(INDEX(Salary_Calculation[Source Row],ROW()-ROW(Payslip_Lookup[#Headers]))="","",INDEX(Salary_Calculation[Salary Before Other Deductions],ROW()-ROW(Payslip_Lookup[#Headers])))</f>
        <v/>
      </c>
      <c r="AD178" s="171" t="str">
        <f aca="false">IF(INDEX(Salary_Calculation[Source Row],ROW()-ROW(Payslip_Lookup[#Headers]))="","",INDEX(Salary_Calculation[Payment Status],ROW()-ROW(Payslip_Lookup[#Headers])))</f>
        <v/>
      </c>
      <c r="AE178" s="171" t="str">
        <f aca="false">IF(INDEX(Salary_Calculation[Source Row],ROW()-ROW(Payslip_Lookup[#Headers]))="","",INDEX(Salary_Calculation[Notes],ROW()-ROW(Payslip_Lookup[#Headers])))</f>
        <v/>
      </c>
      <c r="AF178" s="171" t="str">
        <f aca="false">IF(INDEX(Salary_Calculation[Source Row],ROW()-ROW(Payslip_Lookup[#Headers]))="","",INDEX(Salary_Calculation[Exception Reason],ROW()-ROW(Payslip_Lookup[#Headers])))</f>
        <v/>
      </c>
      <c r="AG178" s="173" t="str">
        <f aca="false">IF($AD178="Review Required",COUNTIF(AD$2:AD178,"Review Required"),"")</f>
        <v/>
      </c>
      <c r="AH178" s="173" t="str">
        <f aca="false">IF(AND($D178&lt;&gt;"",$B178=Payslip_Print!$C$2),MAX(AH$1:AH177)+1,"")</f>
        <v/>
      </c>
      <c r="AL178" s="178" t="str">
        <f aca="false">IFERROR(INDEX($D$2:$D$501,MATCH(ROW()-1,$AH$2:$AH$501,0)),"")</f>
        <v/>
      </c>
      <c r="AM178" s="179" t="str">
        <f aca="false">IF($Z178="","",IF(AND($C178&gt;=Dash_Start,$C178&lt;Dash_End),$Z178+ROW()/10000000,""))</f>
        <v/>
      </c>
    </row>
    <row r="179" customFormat="false" ht="14.25" hidden="false" customHeight="false" outlineLevel="0" collapsed="false">
      <c r="A179" s="171" t="str">
        <f aca="false">IF(Payslip_Lookup[[#This Row],[Rider ID]]="","",Payslip_Lookup[[#This Row],[Rider ID]]&amp;"|"&amp;Payslip_Lookup[[#This Row],[Month Key]])</f>
        <v/>
      </c>
      <c r="B179" s="172" t="str">
        <f aca="false">IF(ISNUMBER(Payslip_Lookup[[#This Row],[Salary Month]]),DATE(YEAR(Payslip_Lookup[[#This Row],[Salary Month]]),MONTH(Payslip_Lookup[[#This Row],[Salary Month]]),1),"")</f>
        <v/>
      </c>
      <c r="C179" s="172" t="str">
        <f aca="false">IF(INDEX(Salary_Calculation[Source Row],ROW()-ROW(Payslip_Lookup[#Headers]))="","",INDEX(Salary_Calculation[Salary Month],ROW()-ROW(Payslip_Lookup[#Headers])))</f>
        <v/>
      </c>
      <c r="D179" s="173" t="str">
        <f aca="false">IF(INDEX(Salary_Calculation[Source Row],ROW()-ROW(Payslip_Lookup[#Headers]))="","",INDEX(Salary_Calculation[Rider ID],ROW()-ROW(Payslip_Lookup[#Headers])))</f>
        <v/>
      </c>
      <c r="E179" s="171" t="str">
        <f aca="false">IF(INDEX(Salary_Calculation[Source Row],ROW()-ROW(Payslip_Lookup[#Headers]))="","",INDEX(Salary_Calculation[Rider Name],ROW()-ROW(Payslip_Lookup[#Headers])))</f>
        <v/>
      </c>
      <c r="F179" s="173" t="str">
        <f aca="false">IF(INDEX(Salary_Calculation[Source Row],ROW()-ROW(Payslip_Lookup[#Headers]))="","",INDEX(Salary_Calculation[Working Days],ROW()-ROW(Payslip_Lookup[#Headers])))</f>
        <v/>
      </c>
      <c r="G179" s="173" t="str">
        <f aca="false">IF(INDEX(Salary_Calculation[Source Row],ROW()-ROW(Payslip_Lookup[#Headers]))="","",INDEX(Salary_Calculation[Calendar Days],ROW()-ROW(Payslip_Lookup[#Headers])))</f>
        <v/>
      </c>
      <c r="H179" s="174" t="str">
        <f aca="false">IF(INDEX(Salary_Calculation[Source Row],ROW()-ROW(Payslip_Lookup[#Headers]))="","",INDEX(Salary_Calculation[Monthly Target Orders],ROW()-ROW(Payslip_Lookup[#Headers])))</f>
        <v/>
      </c>
      <c r="I179" s="174" t="str">
        <f aca="false">IF(INDEX(Salary_Calculation[Source Row],ROW()-ROW(Payslip_Lookup[#Headers]))="","",INDEX(Salary_Calculation[Rider Target Orders],ROW()-ROW(Payslip_Lookup[#Headers])))</f>
        <v/>
      </c>
      <c r="J179" s="175" t="str">
        <f aca="false">IF(INDEX(Salary_Calculation[Source Row],ROW()-ROW(Payslip_Lookup[#Headers]))="","",INDEX(Salary_Calculation[Completed Orders],ROW()-ROW(Payslip_Lookup[#Headers])))</f>
        <v/>
      </c>
      <c r="K179" s="174" t="str">
        <f aca="false">IF(INDEX(Salary_Calculation[Source Row],ROW()-ROW(Payslip_Lookup[#Headers]))="","",INDEX(Salary_Calculation[Base Order Rate],ROW()-ROW(Payslip_Lookup[#Headers])))</f>
        <v/>
      </c>
      <c r="L179" s="176" t="str">
        <f aca="false">IF(INDEX(Salary_Calculation[Source Row],ROW()-ROW(Payslip_Lookup[#Headers]))="","",INDEX(Salary_Calculation[Basic Payment],ROW()-ROW(Payslip_Lookup[#Headers])))</f>
        <v/>
      </c>
      <c r="M179" s="176" t="str">
        <f aca="false">IF(INDEX(Salary_Calculation[Source Row],ROW()-ROW(Payslip_Lookup[#Headers]))="","",INDEX(Salary_Calculation[Earned Salary],ROW()-ROW(Payslip_Lookup[#Headers])))</f>
        <v/>
      </c>
      <c r="N179" s="174" t="str">
        <f aca="false">IF(INDEX(Salary_Calculation[Source Row],ROW()-ROW(Payslip_Lookup[#Headers]))="","",INDEX(Salary_Calculation[Orders Counted at Base Rate],ROW()-ROW(Payslip_Lookup[#Headers])))</f>
        <v/>
      </c>
      <c r="O179" s="174" t="str">
        <f aca="false">IF(INDEX(Salary_Calculation[Source Row],ROW()-ROW(Payslip_Lookup[#Headers]))="","",INDEX(Salary_Calculation[Missing Orders],ROW()-ROW(Payslip_Lookup[#Headers])))</f>
        <v/>
      </c>
      <c r="P179" s="176" t="str">
        <f aca="false">IF(INDEX(Salary_Calculation[Source Row],ROW()-ROW(Payslip_Lookup[#Headers]))="","",INDEX(Salary_Calculation[Missing-Order Deduction],ROW()-ROW(Payslip_Lookup[#Headers])))</f>
        <v/>
      </c>
      <c r="Q179" s="174" t="str">
        <f aca="false">IF(INDEX(Salary_Calculation[Source Row],ROW()-ROW(Payslip_Lookup[#Headers]))="","",INDEX(Salary_Calculation[Extra Orders],ROW()-ROW(Payslip_Lookup[#Headers])))</f>
        <v/>
      </c>
      <c r="R179" s="176" t="str">
        <f aca="false">IF(INDEX(Salary_Calculation[Source Row],ROW()-ROW(Payslip_Lookup[#Headers]))="","",INDEX(Salary_Calculation[Extra-Order Bonus],ROW()-ROW(Payslip_Lookup[#Headers])))</f>
        <v/>
      </c>
      <c r="S179" s="176" t="str">
        <f aca="false">IF(INDEX(Salary_Calculation[Source Row],ROW()-ROW(Payslip_Lookup[#Headers]))="","",INDEX(Salary_Calculation[Basic Salary for Target],ROW()-ROW(Payslip_Lookup[#Headers])))</f>
        <v/>
      </c>
      <c r="T179" s="176" t="str">
        <f aca="false">IF(INDEX(Salary_Calculation[Source Row],ROW()-ROW(Payslip_Lookup[#Headers]))="","",INDEX(Salary_Calculation[Gross Salary Before Deductions],ROW()-ROW(Payslip_Lookup[#Headers])))</f>
        <v/>
      </c>
      <c r="U179" s="176" t="str">
        <f aca="false">IF(INDEX(Salary_Calculation[Source Row],ROW()-ROW(Payslip_Lookup[#Headers]))="","",INDEX(Salary_Calculation[missed_days_penalty],ROW()-ROW(Payslip_Lookup[#Headers])))</f>
        <v/>
      </c>
      <c r="V179" s="176" t="str">
        <f aca="false">IF(INDEX(Salary_Calculation[Source Row],ROW()-ROW(Payslip_Lookup[#Headers]))="","",INDEX(Salary_Calculation[Rider Balance],ROW()-ROW(Payslip_Lookup[#Headers])))</f>
        <v/>
      </c>
      <c r="W179" s="176" t="str">
        <f aca="false">IF(INDEX(Salary_Calculation[Source Row],ROW()-ROW(Payslip_Lookup[#Headers]))="","",INDEX(Salary_Calculation[stacking_deduction],ROW()-ROW(Payslip_Lookup[#Headers])))</f>
        <v/>
      </c>
      <c r="X179" s="176" t="str">
        <f aca="false">IF(INDEX(Salary_Calculation[Source Row],ROW()-ROW(Payslip_Lookup[#Headers]))="","",INDEX(Salary_Calculation[Other Deductions],ROW()-ROW(Payslip_Lookup[#Headers])))</f>
        <v/>
      </c>
      <c r="Y179" s="176" t="str">
        <f aca="false">IF(INDEX(Salary_Calculation[Source Row],ROW()-ROW(Payslip_Lookup[#Headers]))="","",INDEX(Salary_Calculation[Total Deductions],ROW()-ROW(Payslip_Lookup[#Headers])))</f>
        <v/>
      </c>
      <c r="Z179" s="176" t="str">
        <f aca="false">IF(INDEX(Salary_Calculation[Source Row],ROW()-ROW(Payslip_Lookup[#Headers]))="","",INDEX(Salary_Calculation[Final Salary],ROW()-ROW(Payslip_Lookup[#Headers])))</f>
        <v/>
      </c>
      <c r="AA179" s="176" t="str">
        <f aca="false">IF(INDEX(Salary_Calculation[Source Row],ROW()-ROW(Payslip_Lookup[#Headers]))="","",INDEX(Salary_Calculation[Negative Balance / Amount Due from Rider],ROW()-ROW(Payslip_Lookup[#Headers])))</f>
        <v/>
      </c>
      <c r="AB179" s="176" t="str">
        <f aca="false">IF(INDEX(Salary_Calculation[Source Row],ROW()-ROW(Payslip_Lookup[#Headers]))="","",INDEX(Salary_Calculation[Total Amount Due from Rider],ROW()-ROW(Payslip_Lookup[#Headers])))</f>
        <v/>
      </c>
      <c r="AC179" s="176" t="str">
        <f aca="false">IF(INDEX(Salary_Calculation[Source Row],ROW()-ROW(Payslip_Lookup[#Headers]))="","",INDEX(Salary_Calculation[Salary Before Other Deductions],ROW()-ROW(Payslip_Lookup[#Headers])))</f>
        <v/>
      </c>
      <c r="AD179" s="171" t="str">
        <f aca="false">IF(INDEX(Salary_Calculation[Source Row],ROW()-ROW(Payslip_Lookup[#Headers]))="","",INDEX(Salary_Calculation[Payment Status],ROW()-ROW(Payslip_Lookup[#Headers])))</f>
        <v/>
      </c>
      <c r="AE179" s="171" t="str">
        <f aca="false">IF(INDEX(Salary_Calculation[Source Row],ROW()-ROW(Payslip_Lookup[#Headers]))="","",INDEX(Salary_Calculation[Notes],ROW()-ROW(Payslip_Lookup[#Headers])))</f>
        <v/>
      </c>
      <c r="AF179" s="171" t="str">
        <f aca="false">IF(INDEX(Salary_Calculation[Source Row],ROW()-ROW(Payslip_Lookup[#Headers]))="","",INDEX(Salary_Calculation[Exception Reason],ROW()-ROW(Payslip_Lookup[#Headers])))</f>
        <v/>
      </c>
      <c r="AG179" s="173" t="str">
        <f aca="false">IF($AD179="Review Required",COUNTIF(AD$2:AD179,"Review Required"),"")</f>
        <v/>
      </c>
      <c r="AH179" s="173" t="str">
        <f aca="false">IF(AND($D179&lt;&gt;"",$B179=Payslip_Print!$C$2),MAX(AH$1:AH178)+1,"")</f>
        <v/>
      </c>
      <c r="AL179" s="178" t="str">
        <f aca="false">IFERROR(INDEX($D$2:$D$501,MATCH(ROW()-1,$AH$2:$AH$501,0)),"")</f>
        <v/>
      </c>
      <c r="AM179" s="179" t="str">
        <f aca="false">IF($Z179="","",IF(AND($C179&gt;=Dash_Start,$C179&lt;Dash_End),$Z179+ROW()/10000000,""))</f>
        <v/>
      </c>
    </row>
    <row r="180" customFormat="false" ht="14.25" hidden="false" customHeight="false" outlineLevel="0" collapsed="false">
      <c r="A180" s="171" t="str">
        <f aca="false">IF(Payslip_Lookup[[#This Row],[Rider ID]]="","",Payslip_Lookup[[#This Row],[Rider ID]]&amp;"|"&amp;Payslip_Lookup[[#This Row],[Month Key]])</f>
        <v/>
      </c>
      <c r="B180" s="172" t="str">
        <f aca="false">IF(ISNUMBER(Payslip_Lookup[[#This Row],[Salary Month]]),DATE(YEAR(Payslip_Lookup[[#This Row],[Salary Month]]),MONTH(Payslip_Lookup[[#This Row],[Salary Month]]),1),"")</f>
        <v/>
      </c>
      <c r="C180" s="172" t="str">
        <f aca="false">IF(INDEX(Salary_Calculation[Source Row],ROW()-ROW(Payslip_Lookup[#Headers]))="","",INDEX(Salary_Calculation[Salary Month],ROW()-ROW(Payslip_Lookup[#Headers])))</f>
        <v/>
      </c>
      <c r="D180" s="173" t="str">
        <f aca="false">IF(INDEX(Salary_Calculation[Source Row],ROW()-ROW(Payslip_Lookup[#Headers]))="","",INDEX(Salary_Calculation[Rider ID],ROW()-ROW(Payslip_Lookup[#Headers])))</f>
        <v/>
      </c>
      <c r="E180" s="171" t="str">
        <f aca="false">IF(INDEX(Salary_Calculation[Source Row],ROW()-ROW(Payslip_Lookup[#Headers]))="","",INDEX(Salary_Calculation[Rider Name],ROW()-ROW(Payslip_Lookup[#Headers])))</f>
        <v/>
      </c>
      <c r="F180" s="173" t="str">
        <f aca="false">IF(INDEX(Salary_Calculation[Source Row],ROW()-ROW(Payslip_Lookup[#Headers]))="","",INDEX(Salary_Calculation[Working Days],ROW()-ROW(Payslip_Lookup[#Headers])))</f>
        <v/>
      </c>
      <c r="G180" s="173" t="str">
        <f aca="false">IF(INDEX(Salary_Calculation[Source Row],ROW()-ROW(Payslip_Lookup[#Headers]))="","",INDEX(Salary_Calculation[Calendar Days],ROW()-ROW(Payslip_Lookup[#Headers])))</f>
        <v/>
      </c>
      <c r="H180" s="174" t="str">
        <f aca="false">IF(INDEX(Salary_Calculation[Source Row],ROW()-ROW(Payslip_Lookup[#Headers]))="","",INDEX(Salary_Calculation[Monthly Target Orders],ROW()-ROW(Payslip_Lookup[#Headers])))</f>
        <v/>
      </c>
      <c r="I180" s="174" t="str">
        <f aca="false">IF(INDEX(Salary_Calculation[Source Row],ROW()-ROW(Payslip_Lookup[#Headers]))="","",INDEX(Salary_Calculation[Rider Target Orders],ROW()-ROW(Payslip_Lookup[#Headers])))</f>
        <v/>
      </c>
      <c r="J180" s="175" t="str">
        <f aca="false">IF(INDEX(Salary_Calculation[Source Row],ROW()-ROW(Payslip_Lookup[#Headers]))="","",INDEX(Salary_Calculation[Completed Orders],ROW()-ROW(Payslip_Lookup[#Headers])))</f>
        <v/>
      </c>
      <c r="K180" s="174" t="str">
        <f aca="false">IF(INDEX(Salary_Calculation[Source Row],ROW()-ROW(Payslip_Lookup[#Headers]))="","",INDEX(Salary_Calculation[Base Order Rate],ROW()-ROW(Payslip_Lookup[#Headers])))</f>
        <v/>
      </c>
      <c r="L180" s="176" t="str">
        <f aca="false">IF(INDEX(Salary_Calculation[Source Row],ROW()-ROW(Payslip_Lookup[#Headers]))="","",INDEX(Salary_Calculation[Basic Payment],ROW()-ROW(Payslip_Lookup[#Headers])))</f>
        <v/>
      </c>
      <c r="M180" s="176" t="str">
        <f aca="false">IF(INDEX(Salary_Calculation[Source Row],ROW()-ROW(Payslip_Lookup[#Headers]))="","",INDEX(Salary_Calculation[Earned Salary],ROW()-ROW(Payslip_Lookup[#Headers])))</f>
        <v/>
      </c>
      <c r="N180" s="174" t="str">
        <f aca="false">IF(INDEX(Salary_Calculation[Source Row],ROW()-ROW(Payslip_Lookup[#Headers]))="","",INDEX(Salary_Calculation[Orders Counted at Base Rate],ROW()-ROW(Payslip_Lookup[#Headers])))</f>
        <v/>
      </c>
      <c r="O180" s="174" t="str">
        <f aca="false">IF(INDEX(Salary_Calculation[Source Row],ROW()-ROW(Payslip_Lookup[#Headers]))="","",INDEX(Salary_Calculation[Missing Orders],ROW()-ROW(Payslip_Lookup[#Headers])))</f>
        <v/>
      </c>
      <c r="P180" s="176" t="str">
        <f aca="false">IF(INDEX(Salary_Calculation[Source Row],ROW()-ROW(Payslip_Lookup[#Headers]))="","",INDEX(Salary_Calculation[Missing-Order Deduction],ROW()-ROW(Payslip_Lookup[#Headers])))</f>
        <v/>
      </c>
      <c r="Q180" s="174" t="str">
        <f aca="false">IF(INDEX(Salary_Calculation[Source Row],ROW()-ROW(Payslip_Lookup[#Headers]))="","",INDEX(Salary_Calculation[Extra Orders],ROW()-ROW(Payslip_Lookup[#Headers])))</f>
        <v/>
      </c>
      <c r="R180" s="176" t="str">
        <f aca="false">IF(INDEX(Salary_Calculation[Source Row],ROW()-ROW(Payslip_Lookup[#Headers]))="","",INDEX(Salary_Calculation[Extra-Order Bonus],ROW()-ROW(Payslip_Lookup[#Headers])))</f>
        <v/>
      </c>
      <c r="S180" s="176" t="str">
        <f aca="false">IF(INDEX(Salary_Calculation[Source Row],ROW()-ROW(Payslip_Lookup[#Headers]))="","",INDEX(Salary_Calculation[Basic Salary for Target],ROW()-ROW(Payslip_Lookup[#Headers])))</f>
        <v/>
      </c>
      <c r="T180" s="176" t="str">
        <f aca="false">IF(INDEX(Salary_Calculation[Source Row],ROW()-ROW(Payslip_Lookup[#Headers]))="","",INDEX(Salary_Calculation[Gross Salary Before Deductions],ROW()-ROW(Payslip_Lookup[#Headers])))</f>
        <v/>
      </c>
      <c r="U180" s="176" t="str">
        <f aca="false">IF(INDEX(Salary_Calculation[Source Row],ROW()-ROW(Payslip_Lookup[#Headers]))="","",INDEX(Salary_Calculation[missed_days_penalty],ROW()-ROW(Payslip_Lookup[#Headers])))</f>
        <v/>
      </c>
      <c r="V180" s="176" t="str">
        <f aca="false">IF(INDEX(Salary_Calculation[Source Row],ROW()-ROW(Payslip_Lookup[#Headers]))="","",INDEX(Salary_Calculation[Rider Balance],ROW()-ROW(Payslip_Lookup[#Headers])))</f>
        <v/>
      </c>
      <c r="W180" s="176" t="str">
        <f aca="false">IF(INDEX(Salary_Calculation[Source Row],ROW()-ROW(Payslip_Lookup[#Headers]))="","",INDEX(Salary_Calculation[stacking_deduction],ROW()-ROW(Payslip_Lookup[#Headers])))</f>
        <v/>
      </c>
      <c r="X180" s="176" t="str">
        <f aca="false">IF(INDEX(Salary_Calculation[Source Row],ROW()-ROW(Payslip_Lookup[#Headers]))="","",INDEX(Salary_Calculation[Other Deductions],ROW()-ROW(Payslip_Lookup[#Headers])))</f>
        <v/>
      </c>
      <c r="Y180" s="176" t="str">
        <f aca="false">IF(INDEX(Salary_Calculation[Source Row],ROW()-ROW(Payslip_Lookup[#Headers]))="","",INDEX(Salary_Calculation[Total Deductions],ROW()-ROW(Payslip_Lookup[#Headers])))</f>
        <v/>
      </c>
      <c r="Z180" s="176" t="str">
        <f aca="false">IF(INDEX(Salary_Calculation[Source Row],ROW()-ROW(Payslip_Lookup[#Headers]))="","",INDEX(Salary_Calculation[Final Salary],ROW()-ROW(Payslip_Lookup[#Headers])))</f>
        <v/>
      </c>
      <c r="AA180" s="176" t="str">
        <f aca="false">IF(INDEX(Salary_Calculation[Source Row],ROW()-ROW(Payslip_Lookup[#Headers]))="","",INDEX(Salary_Calculation[Negative Balance / Amount Due from Rider],ROW()-ROW(Payslip_Lookup[#Headers])))</f>
        <v/>
      </c>
      <c r="AB180" s="176" t="str">
        <f aca="false">IF(INDEX(Salary_Calculation[Source Row],ROW()-ROW(Payslip_Lookup[#Headers]))="","",INDEX(Salary_Calculation[Total Amount Due from Rider],ROW()-ROW(Payslip_Lookup[#Headers])))</f>
        <v/>
      </c>
      <c r="AC180" s="176" t="str">
        <f aca="false">IF(INDEX(Salary_Calculation[Source Row],ROW()-ROW(Payslip_Lookup[#Headers]))="","",INDEX(Salary_Calculation[Salary Before Other Deductions],ROW()-ROW(Payslip_Lookup[#Headers])))</f>
        <v/>
      </c>
      <c r="AD180" s="171" t="str">
        <f aca="false">IF(INDEX(Salary_Calculation[Source Row],ROW()-ROW(Payslip_Lookup[#Headers]))="","",INDEX(Salary_Calculation[Payment Status],ROW()-ROW(Payslip_Lookup[#Headers])))</f>
        <v/>
      </c>
      <c r="AE180" s="171" t="str">
        <f aca="false">IF(INDEX(Salary_Calculation[Source Row],ROW()-ROW(Payslip_Lookup[#Headers]))="","",INDEX(Salary_Calculation[Notes],ROW()-ROW(Payslip_Lookup[#Headers])))</f>
        <v/>
      </c>
      <c r="AF180" s="171" t="str">
        <f aca="false">IF(INDEX(Salary_Calculation[Source Row],ROW()-ROW(Payslip_Lookup[#Headers]))="","",INDEX(Salary_Calculation[Exception Reason],ROW()-ROW(Payslip_Lookup[#Headers])))</f>
        <v/>
      </c>
      <c r="AG180" s="173" t="str">
        <f aca="false">IF($AD180="Review Required",COUNTIF(AD$2:AD180,"Review Required"),"")</f>
        <v/>
      </c>
      <c r="AH180" s="173" t="str">
        <f aca="false">IF(AND($D180&lt;&gt;"",$B180=Payslip_Print!$C$2),MAX(AH$1:AH179)+1,"")</f>
        <v/>
      </c>
      <c r="AL180" s="178" t="str">
        <f aca="false">IFERROR(INDEX($D$2:$D$501,MATCH(ROW()-1,$AH$2:$AH$501,0)),"")</f>
        <v/>
      </c>
      <c r="AM180" s="179" t="str">
        <f aca="false">IF($Z180="","",IF(AND($C180&gt;=Dash_Start,$C180&lt;Dash_End),$Z180+ROW()/10000000,""))</f>
        <v/>
      </c>
    </row>
    <row r="181" customFormat="false" ht="14.25" hidden="false" customHeight="false" outlineLevel="0" collapsed="false">
      <c r="A181" s="171" t="str">
        <f aca="false">IF(Payslip_Lookup[[#This Row],[Rider ID]]="","",Payslip_Lookup[[#This Row],[Rider ID]]&amp;"|"&amp;Payslip_Lookup[[#This Row],[Month Key]])</f>
        <v/>
      </c>
      <c r="B181" s="172" t="str">
        <f aca="false">IF(ISNUMBER(Payslip_Lookup[[#This Row],[Salary Month]]),DATE(YEAR(Payslip_Lookup[[#This Row],[Salary Month]]),MONTH(Payslip_Lookup[[#This Row],[Salary Month]]),1),"")</f>
        <v/>
      </c>
      <c r="C181" s="172" t="str">
        <f aca="false">IF(INDEX(Salary_Calculation[Source Row],ROW()-ROW(Payslip_Lookup[#Headers]))="","",INDEX(Salary_Calculation[Salary Month],ROW()-ROW(Payslip_Lookup[#Headers])))</f>
        <v/>
      </c>
      <c r="D181" s="173" t="str">
        <f aca="false">IF(INDEX(Salary_Calculation[Source Row],ROW()-ROW(Payslip_Lookup[#Headers]))="","",INDEX(Salary_Calculation[Rider ID],ROW()-ROW(Payslip_Lookup[#Headers])))</f>
        <v/>
      </c>
      <c r="E181" s="171" t="str">
        <f aca="false">IF(INDEX(Salary_Calculation[Source Row],ROW()-ROW(Payslip_Lookup[#Headers]))="","",INDEX(Salary_Calculation[Rider Name],ROW()-ROW(Payslip_Lookup[#Headers])))</f>
        <v/>
      </c>
      <c r="F181" s="173" t="str">
        <f aca="false">IF(INDEX(Salary_Calculation[Source Row],ROW()-ROW(Payslip_Lookup[#Headers]))="","",INDEX(Salary_Calculation[Working Days],ROW()-ROW(Payslip_Lookup[#Headers])))</f>
        <v/>
      </c>
      <c r="G181" s="173" t="str">
        <f aca="false">IF(INDEX(Salary_Calculation[Source Row],ROW()-ROW(Payslip_Lookup[#Headers]))="","",INDEX(Salary_Calculation[Calendar Days],ROW()-ROW(Payslip_Lookup[#Headers])))</f>
        <v/>
      </c>
      <c r="H181" s="174" t="str">
        <f aca="false">IF(INDEX(Salary_Calculation[Source Row],ROW()-ROW(Payslip_Lookup[#Headers]))="","",INDEX(Salary_Calculation[Monthly Target Orders],ROW()-ROW(Payslip_Lookup[#Headers])))</f>
        <v/>
      </c>
      <c r="I181" s="174" t="str">
        <f aca="false">IF(INDEX(Salary_Calculation[Source Row],ROW()-ROW(Payslip_Lookup[#Headers]))="","",INDEX(Salary_Calculation[Rider Target Orders],ROW()-ROW(Payslip_Lookup[#Headers])))</f>
        <v/>
      </c>
      <c r="J181" s="175" t="str">
        <f aca="false">IF(INDEX(Salary_Calculation[Source Row],ROW()-ROW(Payslip_Lookup[#Headers]))="","",INDEX(Salary_Calculation[Completed Orders],ROW()-ROW(Payslip_Lookup[#Headers])))</f>
        <v/>
      </c>
      <c r="K181" s="174" t="str">
        <f aca="false">IF(INDEX(Salary_Calculation[Source Row],ROW()-ROW(Payslip_Lookup[#Headers]))="","",INDEX(Salary_Calculation[Base Order Rate],ROW()-ROW(Payslip_Lookup[#Headers])))</f>
        <v/>
      </c>
      <c r="L181" s="176" t="str">
        <f aca="false">IF(INDEX(Salary_Calculation[Source Row],ROW()-ROW(Payslip_Lookup[#Headers]))="","",INDEX(Salary_Calculation[Basic Payment],ROW()-ROW(Payslip_Lookup[#Headers])))</f>
        <v/>
      </c>
      <c r="M181" s="176" t="str">
        <f aca="false">IF(INDEX(Salary_Calculation[Source Row],ROW()-ROW(Payslip_Lookup[#Headers]))="","",INDEX(Salary_Calculation[Earned Salary],ROW()-ROW(Payslip_Lookup[#Headers])))</f>
        <v/>
      </c>
      <c r="N181" s="174" t="str">
        <f aca="false">IF(INDEX(Salary_Calculation[Source Row],ROW()-ROW(Payslip_Lookup[#Headers]))="","",INDEX(Salary_Calculation[Orders Counted at Base Rate],ROW()-ROW(Payslip_Lookup[#Headers])))</f>
        <v/>
      </c>
      <c r="O181" s="174" t="str">
        <f aca="false">IF(INDEX(Salary_Calculation[Source Row],ROW()-ROW(Payslip_Lookup[#Headers]))="","",INDEX(Salary_Calculation[Missing Orders],ROW()-ROW(Payslip_Lookup[#Headers])))</f>
        <v/>
      </c>
      <c r="P181" s="176" t="str">
        <f aca="false">IF(INDEX(Salary_Calculation[Source Row],ROW()-ROW(Payslip_Lookup[#Headers]))="","",INDEX(Salary_Calculation[Missing-Order Deduction],ROW()-ROW(Payslip_Lookup[#Headers])))</f>
        <v/>
      </c>
      <c r="Q181" s="174" t="str">
        <f aca="false">IF(INDEX(Salary_Calculation[Source Row],ROW()-ROW(Payslip_Lookup[#Headers]))="","",INDEX(Salary_Calculation[Extra Orders],ROW()-ROW(Payslip_Lookup[#Headers])))</f>
        <v/>
      </c>
      <c r="R181" s="176" t="str">
        <f aca="false">IF(INDEX(Salary_Calculation[Source Row],ROW()-ROW(Payslip_Lookup[#Headers]))="","",INDEX(Salary_Calculation[Extra-Order Bonus],ROW()-ROW(Payslip_Lookup[#Headers])))</f>
        <v/>
      </c>
      <c r="S181" s="176" t="str">
        <f aca="false">IF(INDEX(Salary_Calculation[Source Row],ROW()-ROW(Payslip_Lookup[#Headers]))="","",INDEX(Salary_Calculation[Basic Salary for Target],ROW()-ROW(Payslip_Lookup[#Headers])))</f>
        <v/>
      </c>
      <c r="T181" s="176" t="str">
        <f aca="false">IF(INDEX(Salary_Calculation[Source Row],ROW()-ROW(Payslip_Lookup[#Headers]))="","",INDEX(Salary_Calculation[Gross Salary Before Deductions],ROW()-ROW(Payslip_Lookup[#Headers])))</f>
        <v/>
      </c>
      <c r="U181" s="176" t="str">
        <f aca="false">IF(INDEX(Salary_Calculation[Source Row],ROW()-ROW(Payslip_Lookup[#Headers]))="","",INDEX(Salary_Calculation[missed_days_penalty],ROW()-ROW(Payslip_Lookup[#Headers])))</f>
        <v/>
      </c>
      <c r="V181" s="176" t="str">
        <f aca="false">IF(INDEX(Salary_Calculation[Source Row],ROW()-ROW(Payslip_Lookup[#Headers]))="","",INDEX(Salary_Calculation[Rider Balance],ROW()-ROW(Payslip_Lookup[#Headers])))</f>
        <v/>
      </c>
      <c r="W181" s="176" t="str">
        <f aca="false">IF(INDEX(Salary_Calculation[Source Row],ROW()-ROW(Payslip_Lookup[#Headers]))="","",INDEX(Salary_Calculation[stacking_deduction],ROW()-ROW(Payslip_Lookup[#Headers])))</f>
        <v/>
      </c>
      <c r="X181" s="176" t="str">
        <f aca="false">IF(INDEX(Salary_Calculation[Source Row],ROW()-ROW(Payslip_Lookup[#Headers]))="","",INDEX(Salary_Calculation[Other Deductions],ROW()-ROW(Payslip_Lookup[#Headers])))</f>
        <v/>
      </c>
      <c r="Y181" s="176" t="str">
        <f aca="false">IF(INDEX(Salary_Calculation[Source Row],ROW()-ROW(Payslip_Lookup[#Headers]))="","",INDEX(Salary_Calculation[Total Deductions],ROW()-ROW(Payslip_Lookup[#Headers])))</f>
        <v/>
      </c>
      <c r="Z181" s="176" t="str">
        <f aca="false">IF(INDEX(Salary_Calculation[Source Row],ROW()-ROW(Payslip_Lookup[#Headers]))="","",INDEX(Salary_Calculation[Final Salary],ROW()-ROW(Payslip_Lookup[#Headers])))</f>
        <v/>
      </c>
      <c r="AA181" s="176" t="str">
        <f aca="false">IF(INDEX(Salary_Calculation[Source Row],ROW()-ROW(Payslip_Lookup[#Headers]))="","",INDEX(Salary_Calculation[Negative Balance / Amount Due from Rider],ROW()-ROW(Payslip_Lookup[#Headers])))</f>
        <v/>
      </c>
      <c r="AB181" s="176" t="str">
        <f aca="false">IF(INDEX(Salary_Calculation[Source Row],ROW()-ROW(Payslip_Lookup[#Headers]))="","",INDEX(Salary_Calculation[Total Amount Due from Rider],ROW()-ROW(Payslip_Lookup[#Headers])))</f>
        <v/>
      </c>
      <c r="AC181" s="176" t="str">
        <f aca="false">IF(INDEX(Salary_Calculation[Source Row],ROW()-ROW(Payslip_Lookup[#Headers]))="","",INDEX(Salary_Calculation[Salary Before Other Deductions],ROW()-ROW(Payslip_Lookup[#Headers])))</f>
        <v/>
      </c>
      <c r="AD181" s="171" t="str">
        <f aca="false">IF(INDEX(Salary_Calculation[Source Row],ROW()-ROW(Payslip_Lookup[#Headers]))="","",INDEX(Salary_Calculation[Payment Status],ROW()-ROW(Payslip_Lookup[#Headers])))</f>
        <v/>
      </c>
      <c r="AE181" s="171" t="str">
        <f aca="false">IF(INDEX(Salary_Calculation[Source Row],ROW()-ROW(Payslip_Lookup[#Headers]))="","",INDEX(Salary_Calculation[Notes],ROW()-ROW(Payslip_Lookup[#Headers])))</f>
        <v/>
      </c>
      <c r="AF181" s="171" t="str">
        <f aca="false">IF(INDEX(Salary_Calculation[Source Row],ROW()-ROW(Payslip_Lookup[#Headers]))="","",INDEX(Salary_Calculation[Exception Reason],ROW()-ROW(Payslip_Lookup[#Headers])))</f>
        <v/>
      </c>
      <c r="AG181" s="173" t="str">
        <f aca="false">IF($AD181="Review Required",COUNTIF(AD$2:AD181,"Review Required"),"")</f>
        <v/>
      </c>
      <c r="AH181" s="173" t="str">
        <f aca="false">IF(AND($D181&lt;&gt;"",$B181=Payslip_Print!$C$2),MAX(AH$1:AH180)+1,"")</f>
        <v/>
      </c>
      <c r="AL181" s="178" t="str">
        <f aca="false">IFERROR(INDEX($D$2:$D$501,MATCH(ROW()-1,$AH$2:$AH$501,0)),"")</f>
        <v/>
      </c>
      <c r="AM181" s="179" t="str">
        <f aca="false">IF($Z181="","",IF(AND($C181&gt;=Dash_Start,$C181&lt;Dash_End),$Z181+ROW()/10000000,""))</f>
        <v/>
      </c>
    </row>
    <row r="182" customFormat="false" ht="14.25" hidden="false" customHeight="false" outlineLevel="0" collapsed="false">
      <c r="A182" s="171" t="str">
        <f aca="false">IF(Payslip_Lookup[[#This Row],[Rider ID]]="","",Payslip_Lookup[[#This Row],[Rider ID]]&amp;"|"&amp;Payslip_Lookup[[#This Row],[Month Key]])</f>
        <v/>
      </c>
      <c r="B182" s="172" t="str">
        <f aca="false">IF(ISNUMBER(Payslip_Lookup[[#This Row],[Salary Month]]),DATE(YEAR(Payslip_Lookup[[#This Row],[Salary Month]]),MONTH(Payslip_Lookup[[#This Row],[Salary Month]]),1),"")</f>
        <v/>
      </c>
      <c r="C182" s="172" t="str">
        <f aca="false">IF(INDEX(Salary_Calculation[Source Row],ROW()-ROW(Payslip_Lookup[#Headers]))="","",INDEX(Salary_Calculation[Salary Month],ROW()-ROW(Payslip_Lookup[#Headers])))</f>
        <v/>
      </c>
      <c r="D182" s="173" t="str">
        <f aca="false">IF(INDEX(Salary_Calculation[Source Row],ROW()-ROW(Payslip_Lookup[#Headers]))="","",INDEX(Salary_Calculation[Rider ID],ROW()-ROW(Payslip_Lookup[#Headers])))</f>
        <v/>
      </c>
      <c r="E182" s="171" t="str">
        <f aca="false">IF(INDEX(Salary_Calculation[Source Row],ROW()-ROW(Payslip_Lookup[#Headers]))="","",INDEX(Salary_Calculation[Rider Name],ROW()-ROW(Payslip_Lookup[#Headers])))</f>
        <v/>
      </c>
      <c r="F182" s="173" t="str">
        <f aca="false">IF(INDEX(Salary_Calculation[Source Row],ROW()-ROW(Payslip_Lookup[#Headers]))="","",INDEX(Salary_Calculation[Working Days],ROW()-ROW(Payslip_Lookup[#Headers])))</f>
        <v/>
      </c>
      <c r="G182" s="173" t="str">
        <f aca="false">IF(INDEX(Salary_Calculation[Source Row],ROW()-ROW(Payslip_Lookup[#Headers]))="","",INDEX(Salary_Calculation[Calendar Days],ROW()-ROW(Payslip_Lookup[#Headers])))</f>
        <v/>
      </c>
      <c r="H182" s="174" t="str">
        <f aca="false">IF(INDEX(Salary_Calculation[Source Row],ROW()-ROW(Payslip_Lookup[#Headers]))="","",INDEX(Salary_Calculation[Monthly Target Orders],ROW()-ROW(Payslip_Lookup[#Headers])))</f>
        <v/>
      </c>
      <c r="I182" s="174" t="str">
        <f aca="false">IF(INDEX(Salary_Calculation[Source Row],ROW()-ROW(Payslip_Lookup[#Headers]))="","",INDEX(Salary_Calculation[Rider Target Orders],ROW()-ROW(Payslip_Lookup[#Headers])))</f>
        <v/>
      </c>
      <c r="J182" s="175" t="str">
        <f aca="false">IF(INDEX(Salary_Calculation[Source Row],ROW()-ROW(Payslip_Lookup[#Headers]))="","",INDEX(Salary_Calculation[Completed Orders],ROW()-ROW(Payslip_Lookup[#Headers])))</f>
        <v/>
      </c>
      <c r="K182" s="174" t="str">
        <f aca="false">IF(INDEX(Salary_Calculation[Source Row],ROW()-ROW(Payslip_Lookup[#Headers]))="","",INDEX(Salary_Calculation[Base Order Rate],ROW()-ROW(Payslip_Lookup[#Headers])))</f>
        <v/>
      </c>
      <c r="L182" s="176" t="str">
        <f aca="false">IF(INDEX(Salary_Calculation[Source Row],ROW()-ROW(Payslip_Lookup[#Headers]))="","",INDEX(Salary_Calculation[Basic Payment],ROW()-ROW(Payslip_Lookup[#Headers])))</f>
        <v/>
      </c>
      <c r="M182" s="176" t="str">
        <f aca="false">IF(INDEX(Salary_Calculation[Source Row],ROW()-ROW(Payslip_Lookup[#Headers]))="","",INDEX(Salary_Calculation[Earned Salary],ROW()-ROW(Payslip_Lookup[#Headers])))</f>
        <v/>
      </c>
      <c r="N182" s="174" t="str">
        <f aca="false">IF(INDEX(Salary_Calculation[Source Row],ROW()-ROW(Payslip_Lookup[#Headers]))="","",INDEX(Salary_Calculation[Orders Counted at Base Rate],ROW()-ROW(Payslip_Lookup[#Headers])))</f>
        <v/>
      </c>
      <c r="O182" s="174" t="str">
        <f aca="false">IF(INDEX(Salary_Calculation[Source Row],ROW()-ROW(Payslip_Lookup[#Headers]))="","",INDEX(Salary_Calculation[Missing Orders],ROW()-ROW(Payslip_Lookup[#Headers])))</f>
        <v/>
      </c>
      <c r="P182" s="176" t="str">
        <f aca="false">IF(INDEX(Salary_Calculation[Source Row],ROW()-ROW(Payslip_Lookup[#Headers]))="","",INDEX(Salary_Calculation[Missing-Order Deduction],ROW()-ROW(Payslip_Lookup[#Headers])))</f>
        <v/>
      </c>
      <c r="Q182" s="174" t="str">
        <f aca="false">IF(INDEX(Salary_Calculation[Source Row],ROW()-ROW(Payslip_Lookup[#Headers]))="","",INDEX(Salary_Calculation[Extra Orders],ROW()-ROW(Payslip_Lookup[#Headers])))</f>
        <v/>
      </c>
      <c r="R182" s="176" t="str">
        <f aca="false">IF(INDEX(Salary_Calculation[Source Row],ROW()-ROW(Payslip_Lookup[#Headers]))="","",INDEX(Salary_Calculation[Extra-Order Bonus],ROW()-ROW(Payslip_Lookup[#Headers])))</f>
        <v/>
      </c>
      <c r="S182" s="176" t="str">
        <f aca="false">IF(INDEX(Salary_Calculation[Source Row],ROW()-ROW(Payslip_Lookup[#Headers]))="","",INDEX(Salary_Calculation[Basic Salary for Target],ROW()-ROW(Payslip_Lookup[#Headers])))</f>
        <v/>
      </c>
      <c r="T182" s="176" t="str">
        <f aca="false">IF(INDEX(Salary_Calculation[Source Row],ROW()-ROW(Payslip_Lookup[#Headers]))="","",INDEX(Salary_Calculation[Gross Salary Before Deductions],ROW()-ROW(Payslip_Lookup[#Headers])))</f>
        <v/>
      </c>
      <c r="U182" s="176" t="str">
        <f aca="false">IF(INDEX(Salary_Calculation[Source Row],ROW()-ROW(Payslip_Lookup[#Headers]))="","",INDEX(Salary_Calculation[missed_days_penalty],ROW()-ROW(Payslip_Lookup[#Headers])))</f>
        <v/>
      </c>
      <c r="V182" s="176" t="str">
        <f aca="false">IF(INDEX(Salary_Calculation[Source Row],ROW()-ROW(Payslip_Lookup[#Headers]))="","",INDEX(Salary_Calculation[Rider Balance],ROW()-ROW(Payslip_Lookup[#Headers])))</f>
        <v/>
      </c>
      <c r="W182" s="176" t="str">
        <f aca="false">IF(INDEX(Salary_Calculation[Source Row],ROW()-ROW(Payslip_Lookup[#Headers]))="","",INDEX(Salary_Calculation[stacking_deduction],ROW()-ROW(Payslip_Lookup[#Headers])))</f>
        <v/>
      </c>
      <c r="X182" s="176" t="str">
        <f aca="false">IF(INDEX(Salary_Calculation[Source Row],ROW()-ROW(Payslip_Lookup[#Headers]))="","",INDEX(Salary_Calculation[Other Deductions],ROW()-ROW(Payslip_Lookup[#Headers])))</f>
        <v/>
      </c>
      <c r="Y182" s="176" t="str">
        <f aca="false">IF(INDEX(Salary_Calculation[Source Row],ROW()-ROW(Payslip_Lookup[#Headers]))="","",INDEX(Salary_Calculation[Total Deductions],ROW()-ROW(Payslip_Lookup[#Headers])))</f>
        <v/>
      </c>
      <c r="Z182" s="176" t="str">
        <f aca="false">IF(INDEX(Salary_Calculation[Source Row],ROW()-ROW(Payslip_Lookup[#Headers]))="","",INDEX(Salary_Calculation[Final Salary],ROW()-ROW(Payslip_Lookup[#Headers])))</f>
        <v/>
      </c>
      <c r="AA182" s="176" t="str">
        <f aca="false">IF(INDEX(Salary_Calculation[Source Row],ROW()-ROW(Payslip_Lookup[#Headers]))="","",INDEX(Salary_Calculation[Negative Balance / Amount Due from Rider],ROW()-ROW(Payslip_Lookup[#Headers])))</f>
        <v/>
      </c>
      <c r="AB182" s="176" t="str">
        <f aca="false">IF(INDEX(Salary_Calculation[Source Row],ROW()-ROW(Payslip_Lookup[#Headers]))="","",INDEX(Salary_Calculation[Total Amount Due from Rider],ROW()-ROW(Payslip_Lookup[#Headers])))</f>
        <v/>
      </c>
      <c r="AC182" s="176" t="str">
        <f aca="false">IF(INDEX(Salary_Calculation[Source Row],ROW()-ROW(Payslip_Lookup[#Headers]))="","",INDEX(Salary_Calculation[Salary Before Other Deductions],ROW()-ROW(Payslip_Lookup[#Headers])))</f>
        <v/>
      </c>
      <c r="AD182" s="171" t="str">
        <f aca="false">IF(INDEX(Salary_Calculation[Source Row],ROW()-ROW(Payslip_Lookup[#Headers]))="","",INDEX(Salary_Calculation[Payment Status],ROW()-ROW(Payslip_Lookup[#Headers])))</f>
        <v/>
      </c>
      <c r="AE182" s="171" t="str">
        <f aca="false">IF(INDEX(Salary_Calculation[Source Row],ROW()-ROW(Payslip_Lookup[#Headers]))="","",INDEX(Salary_Calculation[Notes],ROW()-ROW(Payslip_Lookup[#Headers])))</f>
        <v/>
      </c>
      <c r="AF182" s="171" t="str">
        <f aca="false">IF(INDEX(Salary_Calculation[Source Row],ROW()-ROW(Payslip_Lookup[#Headers]))="","",INDEX(Salary_Calculation[Exception Reason],ROW()-ROW(Payslip_Lookup[#Headers])))</f>
        <v/>
      </c>
      <c r="AG182" s="173" t="str">
        <f aca="false">IF($AD182="Review Required",COUNTIF(AD$2:AD182,"Review Required"),"")</f>
        <v/>
      </c>
      <c r="AH182" s="173" t="str">
        <f aca="false">IF(AND($D182&lt;&gt;"",$B182=Payslip_Print!$C$2),MAX(AH$1:AH181)+1,"")</f>
        <v/>
      </c>
      <c r="AL182" s="178" t="str">
        <f aca="false">IFERROR(INDEX($D$2:$D$501,MATCH(ROW()-1,$AH$2:$AH$501,0)),"")</f>
        <v/>
      </c>
      <c r="AM182" s="179" t="str">
        <f aca="false">IF($Z182="","",IF(AND($C182&gt;=Dash_Start,$C182&lt;Dash_End),$Z182+ROW()/10000000,""))</f>
        <v/>
      </c>
    </row>
    <row r="183" customFormat="false" ht="14.25" hidden="false" customHeight="false" outlineLevel="0" collapsed="false">
      <c r="A183" s="171" t="str">
        <f aca="false">IF(Payslip_Lookup[[#This Row],[Rider ID]]="","",Payslip_Lookup[[#This Row],[Rider ID]]&amp;"|"&amp;Payslip_Lookup[[#This Row],[Month Key]])</f>
        <v/>
      </c>
      <c r="B183" s="172" t="str">
        <f aca="false">IF(ISNUMBER(Payslip_Lookup[[#This Row],[Salary Month]]),DATE(YEAR(Payslip_Lookup[[#This Row],[Salary Month]]),MONTH(Payslip_Lookup[[#This Row],[Salary Month]]),1),"")</f>
        <v/>
      </c>
      <c r="C183" s="172" t="str">
        <f aca="false">IF(INDEX(Salary_Calculation[Source Row],ROW()-ROW(Payslip_Lookup[#Headers]))="","",INDEX(Salary_Calculation[Salary Month],ROW()-ROW(Payslip_Lookup[#Headers])))</f>
        <v/>
      </c>
      <c r="D183" s="173" t="str">
        <f aca="false">IF(INDEX(Salary_Calculation[Source Row],ROW()-ROW(Payslip_Lookup[#Headers]))="","",INDEX(Salary_Calculation[Rider ID],ROW()-ROW(Payslip_Lookup[#Headers])))</f>
        <v/>
      </c>
      <c r="E183" s="171" t="str">
        <f aca="false">IF(INDEX(Salary_Calculation[Source Row],ROW()-ROW(Payslip_Lookup[#Headers]))="","",INDEX(Salary_Calculation[Rider Name],ROW()-ROW(Payslip_Lookup[#Headers])))</f>
        <v/>
      </c>
      <c r="F183" s="173" t="str">
        <f aca="false">IF(INDEX(Salary_Calculation[Source Row],ROW()-ROW(Payslip_Lookup[#Headers]))="","",INDEX(Salary_Calculation[Working Days],ROW()-ROW(Payslip_Lookup[#Headers])))</f>
        <v/>
      </c>
      <c r="G183" s="173" t="str">
        <f aca="false">IF(INDEX(Salary_Calculation[Source Row],ROW()-ROW(Payslip_Lookup[#Headers]))="","",INDEX(Salary_Calculation[Calendar Days],ROW()-ROW(Payslip_Lookup[#Headers])))</f>
        <v/>
      </c>
      <c r="H183" s="174" t="str">
        <f aca="false">IF(INDEX(Salary_Calculation[Source Row],ROW()-ROW(Payslip_Lookup[#Headers]))="","",INDEX(Salary_Calculation[Monthly Target Orders],ROW()-ROW(Payslip_Lookup[#Headers])))</f>
        <v/>
      </c>
      <c r="I183" s="174" t="str">
        <f aca="false">IF(INDEX(Salary_Calculation[Source Row],ROW()-ROW(Payslip_Lookup[#Headers]))="","",INDEX(Salary_Calculation[Rider Target Orders],ROW()-ROW(Payslip_Lookup[#Headers])))</f>
        <v/>
      </c>
      <c r="J183" s="175" t="str">
        <f aca="false">IF(INDEX(Salary_Calculation[Source Row],ROW()-ROW(Payslip_Lookup[#Headers]))="","",INDEX(Salary_Calculation[Completed Orders],ROW()-ROW(Payslip_Lookup[#Headers])))</f>
        <v/>
      </c>
      <c r="K183" s="174" t="str">
        <f aca="false">IF(INDEX(Salary_Calculation[Source Row],ROW()-ROW(Payslip_Lookup[#Headers]))="","",INDEX(Salary_Calculation[Base Order Rate],ROW()-ROW(Payslip_Lookup[#Headers])))</f>
        <v/>
      </c>
      <c r="L183" s="176" t="str">
        <f aca="false">IF(INDEX(Salary_Calculation[Source Row],ROW()-ROW(Payslip_Lookup[#Headers]))="","",INDEX(Salary_Calculation[Basic Payment],ROW()-ROW(Payslip_Lookup[#Headers])))</f>
        <v/>
      </c>
      <c r="M183" s="176" t="str">
        <f aca="false">IF(INDEX(Salary_Calculation[Source Row],ROW()-ROW(Payslip_Lookup[#Headers]))="","",INDEX(Salary_Calculation[Earned Salary],ROW()-ROW(Payslip_Lookup[#Headers])))</f>
        <v/>
      </c>
      <c r="N183" s="174" t="str">
        <f aca="false">IF(INDEX(Salary_Calculation[Source Row],ROW()-ROW(Payslip_Lookup[#Headers]))="","",INDEX(Salary_Calculation[Orders Counted at Base Rate],ROW()-ROW(Payslip_Lookup[#Headers])))</f>
        <v/>
      </c>
      <c r="O183" s="174" t="str">
        <f aca="false">IF(INDEX(Salary_Calculation[Source Row],ROW()-ROW(Payslip_Lookup[#Headers]))="","",INDEX(Salary_Calculation[Missing Orders],ROW()-ROW(Payslip_Lookup[#Headers])))</f>
        <v/>
      </c>
      <c r="P183" s="176" t="str">
        <f aca="false">IF(INDEX(Salary_Calculation[Source Row],ROW()-ROW(Payslip_Lookup[#Headers]))="","",INDEX(Salary_Calculation[Missing-Order Deduction],ROW()-ROW(Payslip_Lookup[#Headers])))</f>
        <v/>
      </c>
      <c r="Q183" s="174" t="str">
        <f aca="false">IF(INDEX(Salary_Calculation[Source Row],ROW()-ROW(Payslip_Lookup[#Headers]))="","",INDEX(Salary_Calculation[Extra Orders],ROW()-ROW(Payslip_Lookup[#Headers])))</f>
        <v/>
      </c>
      <c r="R183" s="176" t="str">
        <f aca="false">IF(INDEX(Salary_Calculation[Source Row],ROW()-ROW(Payslip_Lookup[#Headers]))="","",INDEX(Salary_Calculation[Extra-Order Bonus],ROW()-ROW(Payslip_Lookup[#Headers])))</f>
        <v/>
      </c>
      <c r="S183" s="176" t="str">
        <f aca="false">IF(INDEX(Salary_Calculation[Source Row],ROW()-ROW(Payslip_Lookup[#Headers]))="","",INDEX(Salary_Calculation[Basic Salary for Target],ROW()-ROW(Payslip_Lookup[#Headers])))</f>
        <v/>
      </c>
      <c r="T183" s="176" t="str">
        <f aca="false">IF(INDEX(Salary_Calculation[Source Row],ROW()-ROW(Payslip_Lookup[#Headers]))="","",INDEX(Salary_Calculation[Gross Salary Before Deductions],ROW()-ROW(Payslip_Lookup[#Headers])))</f>
        <v/>
      </c>
      <c r="U183" s="176" t="str">
        <f aca="false">IF(INDEX(Salary_Calculation[Source Row],ROW()-ROW(Payslip_Lookup[#Headers]))="","",INDEX(Salary_Calculation[missed_days_penalty],ROW()-ROW(Payslip_Lookup[#Headers])))</f>
        <v/>
      </c>
      <c r="V183" s="176" t="str">
        <f aca="false">IF(INDEX(Salary_Calculation[Source Row],ROW()-ROW(Payslip_Lookup[#Headers]))="","",INDEX(Salary_Calculation[Rider Balance],ROW()-ROW(Payslip_Lookup[#Headers])))</f>
        <v/>
      </c>
      <c r="W183" s="176" t="str">
        <f aca="false">IF(INDEX(Salary_Calculation[Source Row],ROW()-ROW(Payslip_Lookup[#Headers]))="","",INDEX(Salary_Calculation[stacking_deduction],ROW()-ROW(Payslip_Lookup[#Headers])))</f>
        <v/>
      </c>
      <c r="X183" s="176" t="str">
        <f aca="false">IF(INDEX(Salary_Calculation[Source Row],ROW()-ROW(Payslip_Lookup[#Headers]))="","",INDEX(Salary_Calculation[Other Deductions],ROW()-ROW(Payslip_Lookup[#Headers])))</f>
        <v/>
      </c>
      <c r="Y183" s="176" t="str">
        <f aca="false">IF(INDEX(Salary_Calculation[Source Row],ROW()-ROW(Payslip_Lookup[#Headers]))="","",INDEX(Salary_Calculation[Total Deductions],ROW()-ROW(Payslip_Lookup[#Headers])))</f>
        <v/>
      </c>
      <c r="Z183" s="176" t="str">
        <f aca="false">IF(INDEX(Salary_Calculation[Source Row],ROW()-ROW(Payslip_Lookup[#Headers]))="","",INDEX(Salary_Calculation[Final Salary],ROW()-ROW(Payslip_Lookup[#Headers])))</f>
        <v/>
      </c>
      <c r="AA183" s="176" t="str">
        <f aca="false">IF(INDEX(Salary_Calculation[Source Row],ROW()-ROW(Payslip_Lookup[#Headers]))="","",INDEX(Salary_Calculation[Negative Balance / Amount Due from Rider],ROW()-ROW(Payslip_Lookup[#Headers])))</f>
        <v/>
      </c>
      <c r="AB183" s="176" t="str">
        <f aca="false">IF(INDEX(Salary_Calculation[Source Row],ROW()-ROW(Payslip_Lookup[#Headers]))="","",INDEX(Salary_Calculation[Total Amount Due from Rider],ROW()-ROW(Payslip_Lookup[#Headers])))</f>
        <v/>
      </c>
      <c r="AC183" s="176" t="str">
        <f aca="false">IF(INDEX(Salary_Calculation[Source Row],ROW()-ROW(Payslip_Lookup[#Headers]))="","",INDEX(Salary_Calculation[Salary Before Other Deductions],ROW()-ROW(Payslip_Lookup[#Headers])))</f>
        <v/>
      </c>
      <c r="AD183" s="171" t="str">
        <f aca="false">IF(INDEX(Salary_Calculation[Source Row],ROW()-ROW(Payslip_Lookup[#Headers]))="","",INDEX(Salary_Calculation[Payment Status],ROW()-ROW(Payslip_Lookup[#Headers])))</f>
        <v/>
      </c>
      <c r="AE183" s="171" t="str">
        <f aca="false">IF(INDEX(Salary_Calculation[Source Row],ROW()-ROW(Payslip_Lookup[#Headers]))="","",INDEX(Salary_Calculation[Notes],ROW()-ROW(Payslip_Lookup[#Headers])))</f>
        <v/>
      </c>
      <c r="AF183" s="171" t="str">
        <f aca="false">IF(INDEX(Salary_Calculation[Source Row],ROW()-ROW(Payslip_Lookup[#Headers]))="","",INDEX(Salary_Calculation[Exception Reason],ROW()-ROW(Payslip_Lookup[#Headers])))</f>
        <v/>
      </c>
      <c r="AG183" s="173" t="str">
        <f aca="false">IF($AD183="Review Required",COUNTIF(AD$2:AD183,"Review Required"),"")</f>
        <v/>
      </c>
      <c r="AH183" s="173" t="str">
        <f aca="false">IF(AND($D183&lt;&gt;"",$B183=Payslip_Print!$C$2),MAX(AH$1:AH182)+1,"")</f>
        <v/>
      </c>
      <c r="AL183" s="178" t="str">
        <f aca="false">IFERROR(INDEX($D$2:$D$501,MATCH(ROW()-1,$AH$2:$AH$501,0)),"")</f>
        <v/>
      </c>
      <c r="AM183" s="179" t="str">
        <f aca="false">IF($Z183="","",IF(AND($C183&gt;=Dash_Start,$C183&lt;Dash_End),$Z183+ROW()/10000000,""))</f>
        <v/>
      </c>
    </row>
    <row r="184" customFormat="false" ht="14.25" hidden="false" customHeight="false" outlineLevel="0" collapsed="false">
      <c r="A184" s="171" t="str">
        <f aca="false">IF(Payslip_Lookup[[#This Row],[Rider ID]]="","",Payslip_Lookup[[#This Row],[Rider ID]]&amp;"|"&amp;Payslip_Lookup[[#This Row],[Month Key]])</f>
        <v/>
      </c>
      <c r="B184" s="172" t="str">
        <f aca="false">IF(ISNUMBER(Payslip_Lookup[[#This Row],[Salary Month]]),DATE(YEAR(Payslip_Lookup[[#This Row],[Salary Month]]),MONTH(Payslip_Lookup[[#This Row],[Salary Month]]),1),"")</f>
        <v/>
      </c>
      <c r="C184" s="172" t="str">
        <f aca="false">IF(INDEX(Salary_Calculation[Source Row],ROW()-ROW(Payslip_Lookup[#Headers]))="","",INDEX(Salary_Calculation[Salary Month],ROW()-ROW(Payslip_Lookup[#Headers])))</f>
        <v/>
      </c>
      <c r="D184" s="173" t="str">
        <f aca="false">IF(INDEX(Salary_Calculation[Source Row],ROW()-ROW(Payslip_Lookup[#Headers]))="","",INDEX(Salary_Calculation[Rider ID],ROW()-ROW(Payslip_Lookup[#Headers])))</f>
        <v/>
      </c>
      <c r="E184" s="171" t="str">
        <f aca="false">IF(INDEX(Salary_Calculation[Source Row],ROW()-ROW(Payslip_Lookup[#Headers]))="","",INDEX(Salary_Calculation[Rider Name],ROW()-ROW(Payslip_Lookup[#Headers])))</f>
        <v/>
      </c>
      <c r="F184" s="173" t="str">
        <f aca="false">IF(INDEX(Salary_Calculation[Source Row],ROW()-ROW(Payslip_Lookup[#Headers]))="","",INDEX(Salary_Calculation[Working Days],ROW()-ROW(Payslip_Lookup[#Headers])))</f>
        <v/>
      </c>
      <c r="G184" s="173" t="str">
        <f aca="false">IF(INDEX(Salary_Calculation[Source Row],ROW()-ROW(Payslip_Lookup[#Headers]))="","",INDEX(Salary_Calculation[Calendar Days],ROW()-ROW(Payslip_Lookup[#Headers])))</f>
        <v/>
      </c>
      <c r="H184" s="174" t="str">
        <f aca="false">IF(INDEX(Salary_Calculation[Source Row],ROW()-ROW(Payslip_Lookup[#Headers]))="","",INDEX(Salary_Calculation[Monthly Target Orders],ROW()-ROW(Payslip_Lookup[#Headers])))</f>
        <v/>
      </c>
      <c r="I184" s="174" t="str">
        <f aca="false">IF(INDEX(Salary_Calculation[Source Row],ROW()-ROW(Payslip_Lookup[#Headers]))="","",INDEX(Salary_Calculation[Rider Target Orders],ROW()-ROW(Payslip_Lookup[#Headers])))</f>
        <v/>
      </c>
      <c r="J184" s="175" t="str">
        <f aca="false">IF(INDEX(Salary_Calculation[Source Row],ROW()-ROW(Payslip_Lookup[#Headers]))="","",INDEX(Salary_Calculation[Completed Orders],ROW()-ROW(Payslip_Lookup[#Headers])))</f>
        <v/>
      </c>
      <c r="K184" s="174" t="str">
        <f aca="false">IF(INDEX(Salary_Calculation[Source Row],ROW()-ROW(Payslip_Lookup[#Headers]))="","",INDEX(Salary_Calculation[Base Order Rate],ROW()-ROW(Payslip_Lookup[#Headers])))</f>
        <v/>
      </c>
      <c r="L184" s="176" t="str">
        <f aca="false">IF(INDEX(Salary_Calculation[Source Row],ROW()-ROW(Payslip_Lookup[#Headers]))="","",INDEX(Salary_Calculation[Basic Payment],ROW()-ROW(Payslip_Lookup[#Headers])))</f>
        <v/>
      </c>
      <c r="M184" s="176" t="str">
        <f aca="false">IF(INDEX(Salary_Calculation[Source Row],ROW()-ROW(Payslip_Lookup[#Headers]))="","",INDEX(Salary_Calculation[Earned Salary],ROW()-ROW(Payslip_Lookup[#Headers])))</f>
        <v/>
      </c>
      <c r="N184" s="174" t="str">
        <f aca="false">IF(INDEX(Salary_Calculation[Source Row],ROW()-ROW(Payslip_Lookup[#Headers]))="","",INDEX(Salary_Calculation[Orders Counted at Base Rate],ROW()-ROW(Payslip_Lookup[#Headers])))</f>
        <v/>
      </c>
      <c r="O184" s="174" t="str">
        <f aca="false">IF(INDEX(Salary_Calculation[Source Row],ROW()-ROW(Payslip_Lookup[#Headers]))="","",INDEX(Salary_Calculation[Missing Orders],ROW()-ROW(Payslip_Lookup[#Headers])))</f>
        <v/>
      </c>
      <c r="P184" s="176" t="str">
        <f aca="false">IF(INDEX(Salary_Calculation[Source Row],ROW()-ROW(Payslip_Lookup[#Headers]))="","",INDEX(Salary_Calculation[Missing-Order Deduction],ROW()-ROW(Payslip_Lookup[#Headers])))</f>
        <v/>
      </c>
      <c r="Q184" s="174" t="str">
        <f aca="false">IF(INDEX(Salary_Calculation[Source Row],ROW()-ROW(Payslip_Lookup[#Headers]))="","",INDEX(Salary_Calculation[Extra Orders],ROW()-ROW(Payslip_Lookup[#Headers])))</f>
        <v/>
      </c>
      <c r="R184" s="176" t="str">
        <f aca="false">IF(INDEX(Salary_Calculation[Source Row],ROW()-ROW(Payslip_Lookup[#Headers]))="","",INDEX(Salary_Calculation[Extra-Order Bonus],ROW()-ROW(Payslip_Lookup[#Headers])))</f>
        <v/>
      </c>
      <c r="S184" s="176" t="str">
        <f aca="false">IF(INDEX(Salary_Calculation[Source Row],ROW()-ROW(Payslip_Lookup[#Headers]))="","",INDEX(Salary_Calculation[Basic Salary for Target],ROW()-ROW(Payslip_Lookup[#Headers])))</f>
        <v/>
      </c>
      <c r="T184" s="176" t="str">
        <f aca="false">IF(INDEX(Salary_Calculation[Source Row],ROW()-ROW(Payslip_Lookup[#Headers]))="","",INDEX(Salary_Calculation[Gross Salary Before Deductions],ROW()-ROW(Payslip_Lookup[#Headers])))</f>
        <v/>
      </c>
      <c r="U184" s="176" t="str">
        <f aca="false">IF(INDEX(Salary_Calculation[Source Row],ROW()-ROW(Payslip_Lookup[#Headers]))="","",INDEX(Salary_Calculation[missed_days_penalty],ROW()-ROW(Payslip_Lookup[#Headers])))</f>
        <v/>
      </c>
      <c r="V184" s="176" t="str">
        <f aca="false">IF(INDEX(Salary_Calculation[Source Row],ROW()-ROW(Payslip_Lookup[#Headers]))="","",INDEX(Salary_Calculation[Rider Balance],ROW()-ROW(Payslip_Lookup[#Headers])))</f>
        <v/>
      </c>
      <c r="W184" s="176" t="str">
        <f aca="false">IF(INDEX(Salary_Calculation[Source Row],ROW()-ROW(Payslip_Lookup[#Headers]))="","",INDEX(Salary_Calculation[stacking_deduction],ROW()-ROW(Payslip_Lookup[#Headers])))</f>
        <v/>
      </c>
      <c r="X184" s="176" t="str">
        <f aca="false">IF(INDEX(Salary_Calculation[Source Row],ROW()-ROW(Payslip_Lookup[#Headers]))="","",INDEX(Salary_Calculation[Other Deductions],ROW()-ROW(Payslip_Lookup[#Headers])))</f>
        <v/>
      </c>
      <c r="Y184" s="176" t="str">
        <f aca="false">IF(INDEX(Salary_Calculation[Source Row],ROW()-ROW(Payslip_Lookup[#Headers]))="","",INDEX(Salary_Calculation[Total Deductions],ROW()-ROW(Payslip_Lookup[#Headers])))</f>
        <v/>
      </c>
      <c r="Z184" s="176" t="str">
        <f aca="false">IF(INDEX(Salary_Calculation[Source Row],ROW()-ROW(Payslip_Lookup[#Headers]))="","",INDEX(Salary_Calculation[Final Salary],ROW()-ROW(Payslip_Lookup[#Headers])))</f>
        <v/>
      </c>
      <c r="AA184" s="176" t="str">
        <f aca="false">IF(INDEX(Salary_Calculation[Source Row],ROW()-ROW(Payslip_Lookup[#Headers]))="","",INDEX(Salary_Calculation[Negative Balance / Amount Due from Rider],ROW()-ROW(Payslip_Lookup[#Headers])))</f>
        <v/>
      </c>
      <c r="AB184" s="176" t="str">
        <f aca="false">IF(INDEX(Salary_Calculation[Source Row],ROW()-ROW(Payslip_Lookup[#Headers]))="","",INDEX(Salary_Calculation[Total Amount Due from Rider],ROW()-ROW(Payslip_Lookup[#Headers])))</f>
        <v/>
      </c>
      <c r="AC184" s="176" t="str">
        <f aca="false">IF(INDEX(Salary_Calculation[Source Row],ROW()-ROW(Payslip_Lookup[#Headers]))="","",INDEX(Salary_Calculation[Salary Before Other Deductions],ROW()-ROW(Payslip_Lookup[#Headers])))</f>
        <v/>
      </c>
      <c r="AD184" s="171" t="str">
        <f aca="false">IF(INDEX(Salary_Calculation[Source Row],ROW()-ROW(Payslip_Lookup[#Headers]))="","",INDEX(Salary_Calculation[Payment Status],ROW()-ROW(Payslip_Lookup[#Headers])))</f>
        <v/>
      </c>
      <c r="AE184" s="171" t="str">
        <f aca="false">IF(INDEX(Salary_Calculation[Source Row],ROW()-ROW(Payslip_Lookup[#Headers]))="","",INDEX(Salary_Calculation[Notes],ROW()-ROW(Payslip_Lookup[#Headers])))</f>
        <v/>
      </c>
      <c r="AF184" s="171" t="str">
        <f aca="false">IF(INDEX(Salary_Calculation[Source Row],ROW()-ROW(Payslip_Lookup[#Headers]))="","",INDEX(Salary_Calculation[Exception Reason],ROW()-ROW(Payslip_Lookup[#Headers])))</f>
        <v/>
      </c>
      <c r="AG184" s="173" t="str">
        <f aca="false">IF($AD184="Review Required",COUNTIF(AD$2:AD184,"Review Required"),"")</f>
        <v/>
      </c>
      <c r="AH184" s="173" t="str">
        <f aca="false">IF(AND($D184&lt;&gt;"",$B184=Payslip_Print!$C$2),MAX(AH$1:AH183)+1,"")</f>
        <v/>
      </c>
      <c r="AL184" s="178" t="str">
        <f aca="false">IFERROR(INDEX($D$2:$D$501,MATCH(ROW()-1,$AH$2:$AH$501,0)),"")</f>
        <v/>
      </c>
      <c r="AM184" s="179" t="str">
        <f aca="false">IF($Z184="","",IF(AND($C184&gt;=Dash_Start,$C184&lt;Dash_End),$Z184+ROW()/10000000,""))</f>
        <v/>
      </c>
    </row>
    <row r="185" customFormat="false" ht="14.25" hidden="false" customHeight="false" outlineLevel="0" collapsed="false">
      <c r="A185" s="171" t="str">
        <f aca="false">IF(Payslip_Lookup[[#This Row],[Rider ID]]="","",Payslip_Lookup[[#This Row],[Rider ID]]&amp;"|"&amp;Payslip_Lookup[[#This Row],[Month Key]])</f>
        <v/>
      </c>
      <c r="B185" s="172" t="str">
        <f aca="false">IF(ISNUMBER(Payslip_Lookup[[#This Row],[Salary Month]]),DATE(YEAR(Payslip_Lookup[[#This Row],[Salary Month]]),MONTH(Payslip_Lookup[[#This Row],[Salary Month]]),1),"")</f>
        <v/>
      </c>
      <c r="C185" s="172" t="str">
        <f aca="false">IF(INDEX(Salary_Calculation[Source Row],ROW()-ROW(Payslip_Lookup[#Headers]))="","",INDEX(Salary_Calculation[Salary Month],ROW()-ROW(Payslip_Lookup[#Headers])))</f>
        <v/>
      </c>
      <c r="D185" s="173" t="str">
        <f aca="false">IF(INDEX(Salary_Calculation[Source Row],ROW()-ROW(Payslip_Lookup[#Headers]))="","",INDEX(Salary_Calculation[Rider ID],ROW()-ROW(Payslip_Lookup[#Headers])))</f>
        <v/>
      </c>
      <c r="E185" s="171" t="str">
        <f aca="false">IF(INDEX(Salary_Calculation[Source Row],ROW()-ROW(Payslip_Lookup[#Headers]))="","",INDEX(Salary_Calculation[Rider Name],ROW()-ROW(Payslip_Lookup[#Headers])))</f>
        <v/>
      </c>
      <c r="F185" s="173" t="str">
        <f aca="false">IF(INDEX(Salary_Calculation[Source Row],ROW()-ROW(Payslip_Lookup[#Headers]))="","",INDEX(Salary_Calculation[Working Days],ROW()-ROW(Payslip_Lookup[#Headers])))</f>
        <v/>
      </c>
      <c r="G185" s="173" t="str">
        <f aca="false">IF(INDEX(Salary_Calculation[Source Row],ROW()-ROW(Payslip_Lookup[#Headers]))="","",INDEX(Salary_Calculation[Calendar Days],ROW()-ROW(Payslip_Lookup[#Headers])))</f>
        <v/>
      </c>
      <c r="H185" s="174" t="str">
        <f aca="false">IF(INDEX(Salary_Calculation[Source Row],ROW()-ROW(Payslip_Lookup[#Headers]))="","",INDEX(Salary_Calculation[Monthly Target Orders],ROW()-ROW(Payslip_Lookup[#Headers])))</f>
        <v/>
      </c>
      <c r="I185" s="174" t="str">
        <f aca="false">IF(INDEX(Salary_Calculation[Source Row],ROW()-ROW(Payslip_Lookup[#Headers]))="","",INDEX(Salary_Calculation[Rider Target Orders],ROW()-ROW(Payslip_Lookup[#Headers])))</f>
        <v/>
      </c>
      <c r="J185" s="175" t="str">
        <f aca="false">IF(INDEX(Salary_Calculation[Source Row],ROW()-ROW(Payslip_Lookup[#Headers]))="","",INDEX(Salary_Calculation[Completed Orders],ROW()-ROW(Payslip_Lookup[#Headers])))</f>
        <v/>
      </c>
      <c r="K185" s="174" t="str">
        <f aca="false">IF(INDEX(Salary_Calculation[Source Row],ROW()-ROW(Payslip_Lookup[#Headers]))="","",INDEX(Salary_Calculation[Base Order Rate],ROW()-ROW(Payslip_Lookup[#Headers])))</f>
        <v/>
      </c>
      <c r="L185" s="176" t="str">
        <f aca="false">IF(INDEX(Salary_Calculation[Source Row],ROW()-ROW(Payslip_Lookup[#Headers]))="","",INDEX(Salary_Calculation[Basic Payment],ROW()-ROW(Payslip_Lookup[#Headers])))</f>
        <v/>
      </c>
      <c r="M185" s="176" t="str">
        <f aca="false">IF(INDEX(Salary_Calculation[Source Row],ROW()-ROW(Payslip_Lookup[#Headers]))="","",INDEX(Salary_Calculation[Earned Salary],ROW()-ROW(Payslip_Lookup[#Headers])))</f>
        <v/>
      </c>
      <c r="N185" s="174" t="str">
        <f aca="false">IF(INDEX(Salary_Calculation[Source Row],ROW()-ROW(Payslip_Lookup[#Headers]))="","",INDEX(Salary_Calculation[Orders Counted at Base Rate],ROW()-ROW(Payslip_Lookup[#Headers])))</f>
        <v/>
      </c>
      <c r="O185" s="174" t="str">
        <f aca="false">IF(INDEX(Salary_Calculation[Source Row],ROW()-ROW(Payslip_Lookup[#Headers]))="","",INDEX(Salary_Calculation[Missing Orders],ROW()-ROW(Payslip_Lookup[#Headers])))</f>
        <v/>
      </c>
      <c r="P185" s="176" t="str">
        <f aca="false">IF(INDEX(Salary_Calculation[Source Row],ROW()-ROW(Payslip_Lookup[#Headers]))="","",INDEX(Salary_Calculation[Missing-Order Deduction],ROW()-ROW(Payslip_Lookup[#Headers])))</f>
        <v/>
      </c>
      <c r="Q185" s="174" t="str">
        <f aca="false">IF(INDEX(Salary_Calculation[Source Row],ROW()-ROW(Payslip_Lookup[#Headers]))="","",INDEX(Salary_Calculation[Extra Orders],ROW()-ROW(Payslip_Lookup[#Headers])))</f>
        <v/>
      </c>
      <c r="R185" s="176" t="str">
        <f aca="false">IF(INDEX(Salary_Calculation[Source Row],ROW()-ROW(Payslip_Lookup[#Headers]))="","",INDEX(Salary_Calculation[Extra-Order Bonus],ROW()-ROW(Payslip_Lookup[#Headers])))</f>
        <v/>
      </c>
      <c r="S185" s="176" t="str">
        <f aca="false">IF(INDEX(Salary_Calculation[Source Row],ROW()-ROW(Payslip_Lookup[#Headers]))="","",INDEX(Salary_Calculation[Basic Salary for Target],ROW()-ROW(Payslip_Lookup[#Headers])))</f>
        <v/>
      </c>
      <c r="T185" s="176" t="str">
        <f aca="false">IF(INDEX(Salary_Calculation[Source Row],ROW()-ROW(Payslip_Lookup[#Headers]))="","",INDEX(Salary_Calculation[Gross Salary Before Deductions],ROW()-ROW(Payslip_Lookup[#Headers])))</f>
        <v/>
      </c>
      <c r="U185" s="176" t="str">
        <f aca="false">IF(INDEX(Salary_Calculation[Source Row],ROW()-ROW(Payslip_Lookup[#Headers]))="","",INDEX(Salary_Calculation[missed_days_penalty],ROW()-ROW(Payslip_Lookup[#Headers])))</f>
        <v/>
      </c>
      <c r="V185" s="176" t="str">
        <f aca="false">IF(INDEX(Salary_Calculation[Source Row],ROW()-ROW(Payslip_Lookup[#Headers]))="","",INDEX(Salary_Calculation[Rider Balance],ROW()-ROW(Payslip_Lookup[#Headers])))</f>
        <v/>
      </c>
      <c r="W185" s="176" t="str">
        <f aca="false">IF(INDEX(Salary_Calculation[Source Row],ROW()-ROW(Payslip_Lookup[#Headers]))="","",INDEX(Salary_Calculation[stacking_deduction],ROW()-ROW(Payslip_Lookup[#Headers])))</f>
        <v/>
      </c>
      <c r="X185" s="176" t="str">
        <f aca="false">IF(INDEX(Salary_Calculation[Source Row],ROW()-ROW(Payslip_Lookup[#Headers]))="","",INDEX(Salary_Calculation[Other Deductions],ROW()-ROW(Payslip_Lookup[#Headers])))</f>
        <v/>
      </c>
      <c r="Y185" s="176" t="str">
        <f aca="false">IF(INDEX(Salary_Calculation[Source Row],ROW()-ROW(Payslip_Lookup[#Headers]))="","",INDEX(Salary_Calculation[Total Deductions],ROW()-ROW(Payslip_Lookup[#Headers])))</f>
        <v/>
      </c>
      <c r="Z185" s="176" t="str">
        <f aca="false">IF(INDEX(Salary_Calculation[Source Row],ROW()-ROW(Payslip_Lookup[#Headers]))="","",INDEX(Salary_Calculation[Final Salary],ROW()-ROW(Payslip_Lookup[#Headers])))</f>
        <v/>
      </c>
      <c r="AA185" s="176" t="str">
        <f aca="false">IF(INDEX(Salary_Calculation[Source Row],ROW()-ROW(Payslip_Lookup[#Headers]))="","",INDEX(Salary_Calculation[Negative Balance / Amount Due from Rider],ROW()-ROW(Payslip_Lookup[#Headers])))</f>
        <v/>
      </c>
      <c r="AB185" s="176" t="str">
        <f aca="false">IF(INDEX(Salary_Calculation[Source Row],ROW()-ROW(Payslip_Lookup[#Headers]))="","",INDEX(Salary_Calculation[Total Amount Due from Rider],ROW()-ROW(Payslip_Lookup[#Headers])))</f>
        <v/>
      </c>
      <c r="AC185" s="176" t="str">
        <f aca="false">IF(INDEX(Salary_Calculation[Source Row],ROW()-ROW(Payslip_Lookup[#Headers]))="","",INDEX(Salary_Calculation[Salary Before Other Deductions],ROW()-ROW(Payslip_Lookup[#Headers])))</f>
        <v/>
      </c>
      <c r="AD185" s="171" t="str">
        <f aca="false">IF(INDEX(Salary_Calculation[Source Row],ROW()-ROW(Payslip_Lookup[#Headers]))="","",INDEX(Salary_Calculation[Payment Status],ROW()-ROW(Payslip_Lookup[#Headers])))</f>
        <v/>
      </c>
      <c r="AE185" s="171" t="str">
        <f aca="false">IF(INDEX(Salary_Calculation[Source Row],ROW()-ROW(Payslip_Lookup[#Headers]))="","",INDEX(Salary_Calculation[Notes],ROW()-ROW(Payslip_Lookup[#Headers])))</f>
        <v/>
      </c>
      <c r="AF185" s="171" t="str">
        <f aca="false">IF(INDEX(Salary_Calculation[Source Row],ROW()-ROW(Payslip_Lookup[#Headers]))="","",INDEX(Salary_Calculation[Exception Reason],ROW()-ROW(Payslip_Lookup[#Headers])))</f>
        <v/>
      </c>
      <c r="AG185" s="173" t="str">
        <f aca="false">IF($AD185="Review Required",COUNTIF(AD$2:AD185,"Review Required"),"")</f>
        <v/>
      </c>
      <c r="AH185" s="173" t="str">
        <f aca="false">IF(AND($D185&lt;&gt;"",$B185=Payslip_Print!$C$2),MAX(AH$1:AH184)+1,"")</f>
        <v/>
      </c>
      <c r="AL185" s="178" t="str">
        <f aca="false">IFERROR(INDEX($D$2:$D$501,MATCH(ROW()-1,$AH$2:$AH$501,0)),"")</f>
        <v/>
      </c>
      <c r="AM185" s="179" t="str">
        <f aca="false">IF($Z185="","",IF(AND($C185&gt;=Dash_Start,$C185&lt;Dash_End),$Z185+ROW()/10000000,""))</f>
        <v/>
      </c>
    </row>
    <row r="186" customFormat="false" ht="14.25" hidden="false" customHeight="false" outlineLevel="0" collapsed="false">
      <c r="A186" s="171" t="str">
        <f aca="false">IF(Payslip_Lookup[[#This Row],[Rider ID]]="","",Payslip_Lookup[[#This Row],[Rider ID]]&amp;"|"&amp;Payslip_Lookup[[#This Row],[Month Key]])</f>
        <v/>
      </c>
      <c r="B186" s="172" t="str">
        <f aca="false">IF(ISNUMBER(Payslip_Lookup[[#This Row],[Salary Month]]),DATE(YEAR(Payslip_Lookup[[#This Row],[Salary Month]]),MONTH(Payslip_Lookup[[#This Row],[Salary Month]]),1),"")</f>
        <v/>
      </c>
      <c r="C186" s="172" t="str">
        <f aca="false">IF(INDEX(Salary_Calculation[Source Row],ROW()-ROW(Payslip_Lookup[#Headers]))="","",INDEX(Salary_Calculation[Salary Month],ROW()-ROW(Payslip_Lookup[#Headers])))</f>
        <v/>
      </c>
      <c r="D186" s="173" t="str">
        <f aca="false">IF(INDEX(Salary_Calculation[Source Row],ROW()-ROW(Payslip_Lookup[#Headers]))="","",INDEX(Salary_Calculation[Rider ID],ROW()-ROW(Payslip_Lookup[#Headers])))</f>
        <v/>
      </c>
      <c r="E186" s="171" t="str">
        <f aca="false">IF(INDEX(Salary_Calculation[Source Row],ROW()-ROW(Payslip_Lookup[#Headers]))="","",INDEX(Salary_Calculation[Rider Name],ROW()-ROW(Payslip_Lookup[#Headers])))</f>
        <v/>
      </c>
      <c r="F186" s="173" t="str">
        <f aca="false">IF(INDEX(Salary_Calculation[Source Row],ROW()-ROW(Payslip_Lookup[#Headers]))="","",INDEX(Salary_Calculation[Working Days],ROW()-ROW(Payslip_Lookup[#Headers])))</f>
        <v/>
      </c>
      <c r="G186" s="173" t="str">
        <f aca="false">IF(INDEX(Salary_Calculation[Source Row],ROW()-ROW(Payslip_Lookup[#Headers]))="","",INDEX(Salary_Calculation[Calendar Days],ROW()-ROW(Payslip_Lookup[#Headers])))</f>
        <v/>
      </c>
      <c r="H186" s="174" t="str">
        <f aca="false">IF(INDEX(Salary_Calculation[Source Row],ROW()-ROW(Payslip_Lookup[#Headers]))="","",INDEX(Salary_Calculation[Monthly Target Orders],ROW()-ROW(Payslip_Lookup[#Headers])))</f>
        <v/>
      </c>
      <c r="I186" s="174" t="str">
        <f aca="false">IF(INDEX(Salary_Calculation[Source Row],ROW()-ROW(Payslip_Lookup[#Headers]))="","",INDEX(Salary_Calculation[Rider Target Orders],ROW()-ROW(Payslip_Lookup[#Headers])))</f>
        <v/>
      </c>
      <c r="J186" s="175" t="str">
        <f aca="false">IF(INDEX(Salary_Calculation[Source Row],ROW()-ROW(Payslip_Lookup[#Headers]))="","",INDEX(Salary_Calculation[Completed Orders],ROW()-ROW(Payslip_Lookup[#Headers])))</f>
        <v/>
      </c>
      <c r="K186" s="174" t="str">
        <f aca="false">IF(INDEX(Salary_Calculation[Source Row],ROW()-ROW(Payslip_Lookup[#Headers]))="","",INDEX(Salary_Calculation[Base Order Rate],ROW()-ROW(Payslip_Lookup[#Headers])))</f>
        <v/>
      </c>
      <c r="L186" s="176" t="str">
        <f aca="false">IF(INDEX(Salary_Calculation[Source Row],ROW()-ROW(Payslip_Lookup[#Headers]))="","",INDEX(Salary_Calculation[Basic Payment],ROW()-ROW(Payslip_Lookup[#Headers])))</f>
        <v/>
      </c>
      <c r="M186" s="176" t="str">
        <f aca="false">IF(INDEX(Salary_Calculation[Source Row],ROW()-ROW(Payslip_Lookup[#Headers]))="","",INDEX(Salary_Calculation[Earned Salary],ROW()-ROW(Payslip_Lookup[#Headers])))</f>
        <v/>
      </c>
      <c r="N186" s="174" t="str">
        <f aca="false">IF(INDEX(Salary_Calculation[Source Row],ROW()-ROW(Payslip_Lookup[#Headers]))="","",INDEX(Salary_Calculation[Orders Counted at Base Rate],ROW()-ROW(Payslip_Lookup[#Headers])))</f>
        <v/>
      </c>
      <c r="O186" s="174" t="str">
        <f aca="false">IF(INDEX(Salary_Calculation[Source Row],ROW()-ROW(Payslip_Lookup[#Headers]))="","",INDEX(Salary_Calculation[Missing Orders],ROW()-ROW(Payslip_Lookup[#Headers])))</f>
        <v/>
      </c>
      <c r="P186" s="176" t="str">
        <f aca="false">IF(INDEX(Salary_Calculation[Source Row],ROW()-ROW(Payslip_Lookup[#Headers]))="","",INDEX(Salary_Calculation[Missing-Order Deduction],ROW()-ROW(Payslip_Lookup[#Headers])))</f>
        <v/>
      </c>
      <c r="Q186" s="174" t="str">
        <f aca="false">IF(INDEX(Salary_Calculation[Source Row],ROW()-ROW(Payslip_Lookup[#Headers]))="","",INDEX(Salary_Calculation[Extra Orders],ROW()-ROW(Payslip_Lookup[#Headers])))</f>
        <v/>
      </c>
      <c r="R186" s="176" t="str">
        <f aca="false">IF(INDEX(Salary_Calculation[Source Row],ROW()-ROW(Payslip_Lookup[#Headers]))="","",INDEX(Salary_Calculation[Extra-Order Bonus],ROW()-ROW(Payslip_Lookup[#Headers])))</f>
        <v/>
      </c>
      <c r="S186" s="176" t="str">
        <f aca="false">IF(INDEX(Salary_Calculation[Source Row],ROW()-ROW(Payslip_Lookup[#Headers]))="","",INDEX(Salary_Calculation[Basic Salary for Target],ROW()-ROW(Payslip_Lookup[#Headers])))</f>
        <v/>
      </c>
      <c r="T186" s="176" t="str">
        <f aca="false">IF(INDEX(Salary_Calculation[Source Row],ROW()-ROW(Payslip_Lookup[#Headers]))="","",INDEX(Salary_Calculation[Gross Salary Before Deductions],ROW()-ROW(Payslip_Lookup[#Headers])))</f>
        <v/>
      </c>
      <c r="U186" s="176" t="str">
        <f aca="false">IF(INDEX(Salary_Calculation[Source Row],ROW()-ROW(Payslip_Lookup[#Headers]))="","",INDEX(Salary_Calculation[missed_days_penalty],ROW()-ROW(Payslip_Lookup[#Headers])))</f>
        <v/>
      </c>
      <c r="V186" s="176" t="str">
        <f aca="false">IF(INDEX(Salary_Calculation[Source Row],ROW()-ROW(Payslip_Lookup[#Headers]))="","",INDEX(Salary_Calculation[Rider Balance],ROW()-ROW(Payslip_Lookup[#Headers])))</f>
        <v/>
      </c>
      <c r="W186" s="176" t="str">
        <f aca="false">IF(INDEX(Salary_Calculation[Source Row],ROW()-ROW(Payslip_Lookup[#Headers]))="","",INDEX(Salary_Calculation[stacking_deduction],ROW()-ROW(Payslip_Lookup[#Headers])))</f>
        <v/>
      </c>
      <c r="X186" s="176" t="str">
        <f aca="false">IF(INDEX(Salary_Calculation[Source Row],ROW()-ROW(Payslip_Lookup[#Headers]))="","",INDEX(Salary_Calculation[Other Deductions],ROW()-ROW(Payslip_Lookup[#Headers])))</f>
        <v/>
      </c>
      <c r="Y186" s="176" t="str">
        <f aca="false">IF(INDEX(Salary_Calculation[Source Row],ROW()-ROW(Payslip_Lookup[#Headers]))="","",INDEX(Salary_Calculation[Total Deductions],ROW()-ROW(Payslip_Lookup[#Headers])))</f>
        <v/>
      </c>
      <c r="Z186" s="176" t="str">
        <f aca="false">IF(INDEX(Salary_Calculation[Source Row],ROW()-ROW(Payslip_Lookup[#Headers]))="","",INDEX(Salary_Calculation[Final Salary],ROW()-ROW(Payslip_Lookup[#Headers])))</f>
        <v/>
      </c>
      <c r="AA186" s="176" t="str">
        <f aca="false">IF(INDEX(Salary_Calculation[Source Row],ROW()-ROW(Payslip_Lookup[#Headers]))="","",INDEX(Salary_Calculation[Negative Balance / Amount Due from Rider],ROW()-ROW(Payslip_Lookup[#Headers])))</f>
        <v/>
      </c>
      <c r="AB186" s="176" t="str">
        <f aca="false">IF(INDEX(Salary_Calculation[Source Row],ROW()-ROW(Payslip_Lookup[#Headers]))="","",INDEX(Salary_Calculation[Total Amount Due from Rider],ROW()-ROW(Payslip_Lookup[#Headers])))</f>
        <v/>
      </c>
      <c r="AC186" s="176" t="str">
        <f aca="false">IF(INDEX(Salary_Calculation[Source Row],ROW()-ROW(Payslip_Lookup[#Headers]))="","",INDEX(Salary_Calculation[Salary Before Other Deductions],ROW()-ROW(Payslip_Lookup[#Headers])))</f>
        <v/>
      </c>
      <c r="AD186" s="171" t="str">
        <f aca="false">IF(INDEX(Salary_Calculation[Source Row],ROW()-ROW(Payslip_Lookup[#Headers]))="","",INDEX(Salary_Calculation[Payment Status],ROW()-ROW(Payslip_Lookup[#Headers])))</f>
        <v/>
      </c>
      <c r="AE186" s="171" t="str">
        <f aca="false">IF(INDEX(Salary_Calculation[Source Row],ROW()-ROW(Payslip_Lookup[#Headers]))="","",INDEX(Salary_Calculation[Notes],ROW()-ROW(Payslip_Lookup[#Headers])))</f>
        <v/>
      </c>
      <c r="AF186" s="171" t="str">
        <f aca="false">IF(INDEX(Salary_Calculation[Source Row],ROW()-ROW(Payslip_Lookup[#Headers]))="","",INDEX(Salary_Calculation[Exception Reason],ROW()-ROW(Payslip_Lookup[#Headers])))</f>
        <v/>
      </c>
      <c r="AG186" s="173" t="str">
        <f aca="false">IF($AD186="Review Required",COUNTIF(AD$2:AD186,"Review Required"),"")</f>
        <v/>
      </c>
      <c r="AH186" s="173" t="str">
        <f aca="false">IF(AND($D186&lt;&gt;"",$B186=Payslip_Print!$C$2),MAX(AH$1:AH185)+1,"")</f>
        <v/>
      </c>
      <c r="AL186" s="178" t="str">
        <f aca="false">IFERROR(INDEX($D$2:$D$501,MATCH(ROW()-1,$AH$2:$AH$501,0)),"")</f>
        <v/>
      </c>
      <c r="AM186" s="179" t="str">
        <f aca="false">IF($Z186="","",IF(AND($C186&gt;=Dash_Start,$C186&lt;Dash_End),$Z186+ROW()/10000000,""))</f>
        <v/>
      </c>
    </row>
    <row r="187" customFormat="false" ht="14.25" hidden="false" customHeight="false" outlineLevel="0" collapsed="false">
      <c r="A187" s="171" t="str">
        <f aca="false">IF(Payslip_Lookup[[#This Row],[Rider ID]]="","",Payslip_Lookup[[#This Row],[Rider ID]]&amp;"|"&amp;Payslip_Lookup[[#This Row],[Month Key]])</f>
        <v/>
      </c>
      <c r="B187" s="172" t="str">
        <f aca="false">IF(ISNUMBER(Payslip_Lookup[[#This Row],[Salary Month]]),DATE(YEAR(Payslip_Lookup[[#This Row],[Salary Month]]),MONTH(Payslip_Lookup[[#This Row],[Salary Month]]),1),"")</f>
        <v/>
      </c>
      <c r="C187" s="172" t="str">
        <f aca="false">IF(INDEX(Salary_Calculation[Source Row],ROW()-ROW(Payslip_Lookup[#Headers]))="","",INDEX(Salary_Calculation[Salary Month],ROW()-ROW(Payslip_Lookup[#Headers])))</f>
        <v/>
      </c>
      <c r="D187" s="173" t="str">
        <f aca="false">IF(INDEX(Salary_Calculation[Source Row],ROW()-ROW(Payslip_Lookup[#Headers]))="","",INDEX(Salary_Calculation[Rider ID],ROW()-ROW(Payslip_Lookup[#Headers])))</f>
        <v/>
      </c>
      <c r="E187" s="171" t="str">
        <f aca="false">IF(INDEX(Salary_Calculation[Source Row],ROW()-ROW(Payslip_Lookup[#Headers]))="","",INDEX(Salary_Calculation[Rider Name],ROW()-ROW(Payslip_Lookup[#Headers])))</f>
        <v/>
      </c>
      <c r="F187" s="173" t="str">
        <f aca="false">IF(INDEX(Salary_Calculation[Source Row],ROW()-ROW(Payslip_Lookup[#Headers]))="","",INDEX(Salary_Calculation[Working Days],ROW()-ROW(Payslip_Lookup[#Headers])))</f>
        <v/>
      </c>
      <c r="G187" s="173" t="str">
        <f aca="false">IF(INDEX(Salary_Calculation[Source Row],ROW()-ROW(Payslip_Lookup[#Headers]))="","",INDEX(Salary_Calculation[Calendar Days],ROW()-ROW(Payslip_Lookup[#Headers])))</f>
        <v/>
      </c>
      <c r="H187" s="174" t="str">
        <f aca="false">IF(INDEX(Salary_Calculation[Source Row],ROW()-ROW(Payslip_Lookup[#Headers]))="","",INDEX(Salary_Calculation[Monthly Target Orders],ROW()-ROW(Payslip_Lookup[#Headers])))</f>
        <v/>
      </c>
      <c r="I187" s="174" t="str">
        <f aca="false">IF(INDEX(Salary_Calculation[Source Row],ROW()-ROW(Payslip_Lookup[#Headers]))="","",INDEX(Salary_Calculation[Rider Target Orders],ROW()-ROW(Payslip_Lookup[#Headers])))</f>
        <v/>
      </c>
      <c r="J187" s="175" t="str">
        <f aca="false">IF(INDEX(Salary_Calculation[Source Row],ROW()-ROW(Payslip_Lookup[#Headers]))="","",INDEX(Salary_Calculation[Completed Orders],ROW()-ROW(Payslip_Lookup[#Headers])))</f>
        <v/>
      </c>
      <c r="K187" s="174" t="str">
        <f aca="false">IF(INDEX(Salary_Calculation[Source Row],ROW()-ROW(Payslip_Lookup[#Headers]))="","",INDEX(Salary_Calculation[Base Order Rate],ROW()-ROW(Payslip_Lookup[#Headers])))</f>
        <v/>
      </c>
      <c r="L187" s="176" t="str">
        <f aca="false">IF(INDEX(Salary_Calculation[Source Row],ROW()-ROW(Payslip_Lookup[#Headers]))="","",INDEX(Salary_Calculation[Basic Payment],ROW()-ROW(Payslip_Lookup[#Headers])))</f>
        <v/>
      </c>
      <c r="M187" s="176" t="str">
        <f aca="false">IF(INDEX(Salary_Calculation[Source Row],ROW()-ROW(Payslip_Lookup[#Headers]))="","",INDEX(Salary_Calculation[Earned Salary],ROW()-ROW(Payslip_Lookup[#Headers])))</f>
        <v/>
      </c>
      <c r="N187" s="174" t="str">
        <f aca="false">IF(INDEX(Salary_Calculation[Source Row],ROW()-ROW(Payslip_Lookup[#Headers]))="","",INDEX(Salary_Calculation[Orders Counted at Base Rate],ROW()-ROW(Payslip_Lookup[#Headers])))</f>
        <v/>
      </c>
      <c r="O187" s="174" t="str">
        <f aca="false">IF(INDEX(Salary_Calculation[Source Row],ROW()-ROW(Payslip_Lookup[#Headers]))="","",INDEX(Salary_Calculation[Missing Orders],ROW()-ROW(Payslip_Lookup[#Headers])))</f>
        <v/>
      </c>
      <c r="P187" s="176" t="str">
        <f aca="false">IF(INDEX(Salary_Calculation[Source Row],ROW()-ROW(Payslip_Lookup[#Headers]))="","",INDEX(Salary_Calculation[Missing-Order Deduction],ROW()-ROW(Payslip_Lookup[#Headers])))</f>
        <v/>
      </c>
      <c r="Q187" s="174" t="str">
        <f aca="false">IF(INDEX(Salary_Calculation[Source Row],ROW()-ROW(Payslip_Lookup[#Headers]))="","",INDEX(Salary_Calculation[Extra Orders],ROW()-ROW(Payslip_Lookup[#Headers])))</f>
        <v/>
      </c>
      <c r="R187" s="176" t="str">
        <f aca="false">IF(INDEX(Salary_Calculation[Source Row],ROW()-ROW(Payslip_Lookup[#Headers]))="","",INDEX(Salary_Calculation[Extra-Order Bonus],ROW()-ROW(Payslip_Lookup[#Headers])))</f>
        <v/>
      </c>
      <c r="S187" s="176" t="str">
        <f aca="false">IF(INDEX(Salary_Calculation[Source Row],ROW()-ROW(Payslip_Lookup[#Headers]))="","",INDEX(Salary_Calculation[Basic Salary for Target],ROW()-ROW(Payslip_Lookup[#Headers])))</f>
        <v/>
      </c>
      <c r="T187" s="176" t="str">
        <f aca="false">IF(INDEX(Salary_Calculation[Source Row],ROW()-ROW(Payslip_Lookup[#Headers]))="","",INDEX(Salary_Calculation[Gross Salary Before Deductions],ROW()-ROW(Payslip_Lookup[#Headers])))</f>
        <v/>
      </c>
      <c r="U187" s="176" t="str">
        <f aca="false">IF(INDEX(Salary_Calculation[Source Row],ROW()-ROW(Payslip_Lookup[#Headers]))="","",INDEX(Salary_Calculation[missed_days_penalty],ROW()-ROW(Payslip_Lookup[#Headers])))</f>
        <v/>
      </c>
      <c r="V187" s="176" t="str">
        <f aca="false">IF(INDEX(Salary_Calculation[Source Row],ROW()-ROW(Payslip_Lookup[#Headers]))="","",INDEX(Salary_Calculation[Rider Balance],ROW()-ROW(Payslip_Lookup[#Headers])))</f>
        <v/>
      </c>
      <c r="W187" s="176" t="str">
        <f aca="false">IF(INDEX(Salary_Calculation[Source Row],ROW()-ROW(Payslip_Lookup[#Headers]))="","",INDEX(Salary_Calculation[stacking_deduction],ROW()-ROW(Payslip_Lookup[#Headers])))</f>
        <v/>
      </c>
      <c r="X187" s="176" t="str">
        <f aca="false">IF(INDEX(Salary_Calculation[Source Row],ROW()-ROW(Payslip_Lookup[#Headers]))="","",INDEX(Salary_Calculation[Other Deductions],ROW()-ROW(Payslip_Lookup[#Headers])))</f>
        <v/>
      </c>
      <c r="Y187" s="176" t="str">
        <f aca="false">IF(INDEX(Salary_Calculation[Source Row],ROW()-ROW(Payslip_Lookup[#Headers]))="","",INDEX(Salary_Calculation[Total Deductions],ROW()-ROW(Payslip_Lookup[#Headers])))</f>
        <v/>
      </c>
      <c r="Z187" s="176" t="str">
        <f aca="false">IF(INDEX(Salary_Calculation[Source Row],ROW()-ROW(Payslip_Lookup[#Headers]))="","",INDEX(Salary_Calculation[Final Salary],ROW()-ROW(Payslip_Lookup[#Headers])))</f>
        <v/>
      </c>
      <c r="AA187" s="176" t="str">
        <f aca="false">IF(INDEX(Salary_Calculation[Source Row],ROW()-ROW(Payslip_Lookup[#Headers]))="","",INDEX(Salary_Calculation[Negative Balance / Amount Due from Rider],ROW()-ROW(Payslip_Lookup[#Headers])))</f>
        <v/>
      </c>
      <c r="AB187" s="176" t="str">
        <f aca="false">IF(INDEX(Salary_Calculation[Source Row],ROW()-ROW(Payslip_Lookup[#Headers]))="","",INDEX(Salary_Calculation[Total Amount Due from Rider],ROW()-ROW(Payslip_Lookup[#Headers])))</f>
        <v/>
      </c>
      <c r="AC187" s="176" t="str">
        <f aca="false">IF(INDEX(Salary_Calculation[Source Row],ROW()-ROW(Payslip_Lookup[#Headers]))="","",INDEX(Salary_Calculation[Salary Before Other Deductions],ROW()-ROW(Payslip_Lookup[#Headers])))</f>
        <v/>
      </c>
      <c r="AD187" s="171" t="str">
        <f aca="false">IF(INDEX(Salary_Calculation[Source Row],ROW()-ROW(Payslip_Lookup[#Headers]))="","",INDEX(Salary_Calculation[Payment Status],ROW()-ROW(Payslip_Lookup[#Headers])))</f>
        <v/>
      </c>
      <c r="AE187" s="171" t="str">
        <f aca="false">IF(INDEX(Salary_Calculation[Source Row],ROW()-ROW(Payslip_Lookup[#Headers]))="","",INDEX(Salary_Calculation[Notes],ROW()-ROW(Payslip_Lookup[#Headers])))</f>
        <v/>
      </c>
      <c r="AF187" s="171" t="str">
        <f aca="false">IF(INDEX(Salary_Calculation[Source Row],ROW()-ROW(Payslip_Lookup[#Headers]))="","",INDEX(Salary_Calculation[Exception Reason],ROW()-ROW(Payslip_Lookup[#Headers])))</f>
        <v/>
      </c>
      <c r="AG187" s="173" t="str">
        <f aca="false">IF($AD187="Review Required",COUNTIF(AD$2:AD187,"Review Required"),"")</f>
        <v/>
      </c>
      <c r="AH187" s="173" t="str">
        <f aca="false">IF(AND($D187&lt;&gt;"",$B187=Payslip_Print!$C$2),MAX(AH$1:AH186)+1,"")</f>
        <v/>
      </c>
      <c r="AL187" s="178" t="str">
        <f aca="false">IFERROR(INDEX($D$2:$D$501,MATCH(ROW()-1,$AH$2:$AH$501,0)),"")</f>
        <v/>
      </c>
      <c r="AM187" s="179" t="str">
        <f aca="false">IF($Z187="","",IF(AND($C187&gt;=Dash_Start,$C187&lt;Dash_End),$Z187+ROW()/10000000,""))</f>
        <v/>
      </c>
    </row>
    <row r="188" customFormat="false" ht="14.25" hidden="false" customHeight="false" outlineLevel="0" collapsed="false">
      <c r="A188" s="171" t="str">
        <f aca="false">IF(Payslip_Lookup[[#This Row],[Rider ID]]="","",Payslip_Lookup[[#This Row],[Rider ID]]&amp;"|"&amp;Payslip_Lookup[[#This Row],[Month Key]])</f>
        <v/>
      </c>
      <c r="B188" s="172" t="str">
        <f aca="false">IF(ISNUMBER(Payslip_Lookup[[#This Row],[Salary Month]]),DATE(YEAR(Payslip_Lookup[[#This Row],[Salary Month]]),MONTH(Payslip_Lookup[[#This Row],[Salary Month]]),1),"")</f>
        <v/>
      </c>
      <c r="C188" s="172" t="str">
        <f aca="false">IF(INDEX(Salary_Calculation[Source Row],ROW()-ROW(Payslip_Lookup[#Headers]))="","",INDEX(Salary_Calculation[Salary Month],ROW()-ROW(Payslip_Lookup[#Headers])))</f>
        <v/>
      </c>
      <c r="D188" s="173" t="str">
        <f aca="false">IF(INDEX(Salary_Calculation[Source Row],ROW()-ROW(Payslip_Lookup[#Headers]))="","",INDEX(Salary_Calculation[Rider ID],ROW()-ROW(Payslip_Lookup[#Headers])))</f>
        <v/>
      </c>
      <c r="E188" s="171" t="str">
        <f aca="false">IF(INDEX(Salary_Calculation[Source Row],ROW()-ROW(Payslip_Lookup[#Headers]))="","",INDEX(Salary_Calculation[Rider Name],ROW()-ROW(Payslip_Lookup[#Headers])))</f>
        <v/>
      </c>
      <c r="F188" s="173" t="str">
        <f aca="false">IF(INDEX(Salary_Calculation[Source Row],ROW()-ROW(Payslip_Lookup[#Headers]))="","",INDEX(Salary_Calculation[Working Days],ROW()-ROW(Payslip_Lookup[#Headers])))</f>
        <v/>
      </c>
      <c r="G188" s="173" t="str">
        <f aca="false">IF(INDEX(Salary_Calculation[Source Row],ROW()-ROW(Payslip_Lookup[#Headers]))="","",INDEX(Salary_Calculation[Calendar Days],ROW()-ROW(Payslip_Lookup[#Headers])))</f>
        <v/>
      </c>
      <c r="H188" s="174" t="str">
        <f aca="false">IF(INDEX(Salary_Calculation[Source Row],ROW()-ROW(Payslip_Lookup[#Headers]))="","",INDEX(Salary_Calculation[Monthly Target Orders],ROW()-ROW(Payslip_Lookup[#Headers])))</f>
        <v/>
      </c>
      <c r="I188" s="174" t="str">
        <f aca="false">IF(INDEX(Salary_Calculation[Source Row],ROW()-ROW(Payslip_Lookup[#Headers]))="","",INDEX(Salary_Calculation[Rider Target Orders],ROW()-ROW(Payslip_Lookup[#Headers])))</f>
        <v/>
      </c>
      <c r="J188" s="175" t="str">
        <f aca="false">IF(INDEX(Salary_Calculation[Source Row],ROW()-ROW(Payslip_Lookup[#Headers]))="","",INDEX(Salary_Calculation[Completed Orders],ROW()-ROW(Payslip_Lookup[#Headers])))</f>
        <v/>
      </c>
      <c r="K188" s="174" t="str">
        <f aca="false">IF(INDEX(Salary_Calculation[Source Row],ROW()-ROW(Payslip_Lookup[#Headers]))="","",INDEX(Salary_Calculation[Base Order Rate],ROW()-ROW(Payslip_Lookup[#Headers])))</f>
        <v/>
      </c>
      <c r="L188" s="176" t="str">
        <f aca="false">IF(INDEX(Salary_Calculation[Source Row],ROW()-ROW(Payslip_Lookup[#Headers]))="","",INDEX(Salary_Calculation[Basic Payment],ROW()-ROW(Payslip_Lookup[#Headers])))</f>
        <v/>
      </c>
      <c r="M188" s="176" t="str">
        <f aca="false">IF(INDEX(Salary_Calculation[Source Row],ROW()-ROW(Payslip_Lookup[#Headers]))="","",INDEX(Salary_Calculation[Earned Salary],ROW()-ROW(Payslip_Lookup[#Headers])))</f>
        <v/>
      </c>
      <c r="N188" s="174" t="str">
        <f aca="false">IF(INDEX(Salary_Calculation[Source Row],ROW()-ROW(Payslip_Lookup[#Headers]))="","",INDEX(Salary_Calculation[Orders Counted at Base Rate],ROW()-ROW(Payslip_Lookup[#Headers])))</f>
        <v/>
      </c>
      <c r="O188" s="174" t="str">
        <f aca="false">IF(INDEX(Salary_Calculation[Source Row],ROW()-ROW(Payslip_Lookup[#Headers]))="","",INDEX(Salary_Calculation[Missing Orders],ROW()-ROW(Payslip_Lookup[#Headers])))</f>
        <v/>
      </c>
      <c r="P188" s="176" t="str">
        <f aca="false">IF(INDEX(Salary_Calculation[Source Row],ROW()-ROW(Payslip_Lookup[#Headers]))="","",INDEX(Salary_Calculation[Missing-Order Deduction],ROW()-ROW(Payslip_Lookup[#Headers])))</f>
        <v/>
      </c>
      <c r="Q188" s="174" t="str">
        <f aca="false">IF(INDEX(Salary_Calculation[Source Row],ROW()-ROW(Payslip_Lookup[#Headers]))="","",INDEX(Salary_Calculation[Extra Orders],ROW()-ROW(Payslip_Lookup[#Headers])))</f>
        <v/>
      </c>
      <c r="R188" s="176" t="str">
        <f aca="false">IF(INDEX(Salary_Calculation[Source Row],ROW()-ROW(Payslip_Lookup[#Headers]))="","",INDEX(Salary_Calculation[Extra-Order Bonus],ROW()-ROW(Payslip_Lookup[#Headers])))</f>
        <v/>
      </c>
      <c r="S188" s="176" t="str">
        <f aca="false">IF(INDEX(Salary_Calculation[Source Row],ROW()-ROW(Payslip_Lookup[#Headers]))="","",INDEX(Salary_Calculation[Basic Salary for Target],ROW()-ROW(Payslip_Lookup[#Headers])))</f>
        <v/>
      </c>
      <c r="T188" s="176" t="str">
        <f aca="false">IF(INDEX(Salary_Calculation[Source Row],ROW()-ROW(Payslip_Lookup[#Headers]))="","",INDEX(Salary_Calculation[Gross Salary Before Deductions],ROW()-ROW(Payslip_Lookup[#Headers])))</f>
        <v/>
      </c>
      <c r="U188" s="176" t="str">
        <f aca="false">IF(INDEX(Salary_Calculation[Source Row],ROW()-ROW(Payslip_Lookup[#Headers]))="","",INDEX(Salary_Calculation[missed_days_penalty],ROW()-ROW(Payslip_Lookup[#Headers])))</f>
        <v/>
      </c>
      <c r="V188" s="176" t="str">
        <f aca="false">IF(INDEX(Salary_Calculation[Source Row],ROW()-ROW(Payslip_Lookup[#Headers]))="","",INDEX(Salary_Calculation[Rider Balance],ROW()-ROW(Payslip_Lookup[#Headers])))</f>
        <v/>
      </c>
      <c r="W188" s="176" t="str">
        <f aca="false">IF(INDEX(Salary_Calculation[Source Row],ROW()-ROW(Payslip_Lookup[#Headers]))="","",INDEX(Salary_Calculation[stacking_deduction],ROW()-ROW(Payslip_Lookup[#Headers])))</f>
        <v/>
      </c>
      <c r="X188" s="176" t="str">
        <f aca="false">IF(INDEX(Salary_Calculation[Source Row],ROW()-ROW(Payslip_Lookup[#Headers]))="","",INDEX(Salary_Calculation[Other Deductions],ROW()-ROW(Payslip_Lookup[#Headers])))</f>
        <v/>
      </c>
      <c r="Y188" s="176" t="str">
        <f aca="false">IF(INDEX(Salary_Calculation[Source Row],ROW()-ROW(Payslip_Lookup[#Headers]))="","",INDEX(Salary_Calculation[Total Deductions],ROW()-ROW(Payslip_Lookup[#Headers])))</f>
        <v/>
      </c>
      <c r="Z188" s="176" t="str">
        <f aca="false">IF(INDEX(Salary_Calculation[Source Row],ROW()-ROW(Payslip_Lookup[#Headers]))="","",INDEX(Salary_Calculation[Final Salary],ROW()-ROW(Payslip_Lookup[#Headers])))</f>
        <v/>
      </c>
      <c r="AA188" s="176" t="str">
        <f aca="false">IF(INDEX(Salary_Calculation[Source Row],ROW()-ROW(Payslip_Lookup[#Headers]))="","",INDEX(Salary_Calculation[Negative Balance / Amount Due from Rider],ROW()-ROW(Payslip_Lookup[#Headers])))</f>
        <v/>
      </c>
      <c r="AB188" s="176" t="str">
        <f aca="false">IF(INDEX(Salary_Calculation[Source Row],ROW()-ROW(Payslip_Lookup[#Headers]))="","",INDEX(Salary_Calculation[Total Amount Due from Rider],ROW()-ROW(Payslip_Lookup[#Headers])))</f>
        <v/>
      </c>
      <c r="AC188" s="176" t="str">
        <f aca="false">IF(INDEX(Salary_Calculation[Source Row],ROW()-ROW(Payslip_Lookup[#Headers]))="","",INDEX(Salary_Calculation[Salary Before Other Deductions],ROW()-ROW(Payslip_Lookup[#Headers])))</f>
        <v/>
      </c>
      <c r="AD188" s="171" t="str">
        <f aca="false">IF(INDEX(Salary_Calculation[Source Row],ROW()-ROW(Payslip_Lookup[#Headers]))="","",INDEX(Salary_Calculation[Payment Status],ROW()-ROW(Payslip_Lookup[#Headers])))</f>
        <v/>
      </c>
      <c r="AE188" s="171" t="str">
        <f aca="false">IF(INDEX(Salary_Calculation[Source Row],ROW()-ROW(Payslip_Lookup[#Headers]))="","",INDEX(Salary_Calculation[Notes],ROW()-ROW(Payslip_Lookup[#Headers])))</f>
        <v/>
      </c>
      <c r="AF188" s="171" t="str">
        <f aca="false">IF(INDEX(Salary_Calculation[Source Row],ROW()-ROW(Payslip_Lookup[#Headers]))="","",INDEX(Salary_Calculation[Exception Reason],ROW()-ROW(Payslip_Lookup[#Headers])))</f>
        <v/>
      </c>
      <c r="AG188" s="173" t="str">
        <f aca="false">IF($AD188="Review Required",COUNTIF(AD$2:AD188,"Review Required"),"")</f>
        <v/>
      </c>
      <c r="AH188" s="173" t="str">
        <f aca="false">IF(AND($D188&lt;&gt;"",$B188=Payslip_Print!$C$2),MAX(AH$1:AH187)+1,"")</f>
        <v/>
      </c>
      <c r="AL188" s="178" t="str">
        <f aca="false">IFERROR(INDEX($D$2:$D$501,MATCH(ROW()-1,$AH$2:$AH$501,0)),"")</f>
        <v/>
      </c>
      <c r="AM188" s="179" t="str">
        <f aca="false">IF($Z188="","",IF(AND($C188&gt;=Dash_Start,$C188&lt;Dash_End),$Z188+ROW()/10000000,""))</f>
        <v/>
      </c>
    </row>
    <row r="189" customFormat="false" ht="14.25" hidden="false" customHeight="false" outlineLevel="0" collapsed="false">
      <c r="A189" s="171" t="str">
        <f aca="false">IF(Payslip_Lookup[[#This Row],[Rider ID]]="","",Payslip_Lookup[[#This Row],[Rider ID]]&amp;"|"&amp;Payslip_Lookup[[#This Row],[Month Key]])</f>
        <v/>
      </c>
      <c r="B189" s="172" t="str">
        <f aca="false">IF(ISNUMBER(Payslip_Lookup[[#This Row],[Salary Month]]),DATE(YEAR(Payslip_Lookup[[#This Row],[Salary Month]]),MONTH(Payslip_Lookup[[#This Row],[Salary Month]]),1),"")</f>
        <v/>
      </c>
      <c r="C189" s="172" t="str">
        <f aca="false">IF(INDEX(Salary_Calculation[Source Row],ROW()-ROW(Payslip_Lookup[#Headers]))="","",INDEX(Salary_Calculation[Salary Month],ROW()-ROW(Payslip_Lookup[#Headers])))</f>
        <v/>
      </c>
      <c r="D189" s="173" t="str">
        <f aca="false">IF(INDEX(Salary_Calculation[Source Row],ROW()-ROW(Payslip_Lookup[#Headers]))="","",INDEX(Salary_Calculation[Rider ID],ROW()-ROW(Payslip_Lookup[#Headers])))</f>
        <v/>
      </c>
      <c r="E189" s="171" t="str">
        <f aca="false">IF(INDEX(Salary_Calculation[Source Row],ROW()-ROW(Payslip_Lookup[#Headers]))="","",INDEX(Salary_Calculation[Rider Name],ROW()-ROW(Payslip_Lookup[#Headers])))</f>
        <v/>
      </c>
      <c r="F189" s="173" t="str">
        <f aca="false">IF(INDEX(Salary_Calculation[Source Row],ROW()-ROW(Payslip_Lookup[#Headers]))="","",INDEX(Salary_Calculation[Working Days],ROW()-ROW(Payslip_Lookup[#Headers])))</f>
        <v/>
      </c>
      <c r="G189" s="173" t="str">
        <f aca="false">IF(INDEX(Salary_Calculation[Source Row],ROW()-ROW(Payslip_Lookup[#Headers]))="","",INDEX(Salary_Calculation[Calendar Days],ROW()-ROW(Payslip_Lookup[#Headers])))</f>
        <v/>
      </c>
      <c r="H189" s="174" t="str">
        <f aca="false">IF(INDEX(Salary_Calculation[Source Row],ROW()-ROW(Payslip_Lookup[#Headers]))="","",INDEX(Salary_Calculation[Monthly Target Orders],ROW()-ROW(Payslip_Lookup[#Headers])))</f>
        <v/>
      </c>
      <c r="I189" s="174" t="str">
        <f aca="false">IF(INDEX(Salary_Calculation[Source Row],ROW()-ROW(Payslip_Lookup[#Headers]))="","",INDEX(Salary_Calculation[Rider Target Orders],ROW()-ROW(Payslip_Lookup[#Headers])))</f>
        <v/>
      </c>
      <c r="J189" s="175" t="str">
        <f aca="false">IF(INDEX(Salary_Calculation[Source Row],ROW()-ROW(Payslip_Lookup[#Headers]))="","",INDEX(Salary_Calculation[Completed Orders],ROW()-ROW(Payslip_Lookup[#Headers])))</f>
        <v/>
      </c>
      <c r="K189" s="174" t="str">
        <f aca="false">IF(INDEX(Salary_Calculation[Source Row],ROW()-ROW(Payslip_Lookup[#Headers]))="","",INDEX(Salary_Calculation[Base Order Rate],ROW()-ROW(Payslip_Lookup[#Headers])))</f>
        <v/>
      </c>
      <c r="L189" s="176" t="str">
        <f aca="false">IF(INDEX(Salary_Calculation[Source Row],ROW()-ROW(Payslip_Lookup[#Headers]))="","",INDEX(Salary_Calculation[Basic Payment],ROW()-ROW(Payslip_Lookup[#Headers])))</f>
        <v/>
      </c>
      <c r="M189" s="176" t="str">
        <f aca="false">IF(INDEX(Salary_Calculation[Source Row],ROW()-ROW(Payslip_Lookup[#Headers]))="","",INDEX(Salary_Calculation[Earned Salary],ROW()-ROW(Payslip_Lookup[#Headers])))</f>
        <v/>
      </c>
      <c r="N189" s="174" t="str">
        <f aca="false">IF(INDEX(Salary_Calculation[Source Row],ROW()-ROW(Payslip_Lookup[#Headers]))="","",INDEX(Salary_Calculation[Orders Counted at Base Rate],ROW()-ROW(Payslip_Lookup[#Headers])))</f>
        <v/>
      </c>
      <c r="O189" s="174" t="str">
        <f aca="false">IF(INDEX(Salary_Calculation[Source Row],ROW()-ROW(Payslip_Lookup[#Headers]))="","",INDEX(Salary_Calculation[Missing Orders],ROW()-ROW(Payslip_Lookup[#Headers])))</f>
        <v/>
      </c>
      <c r="P189" s="176" t="str">
        <f aca="false">IF(INDEX(Salary_Calculation[Source Row],ROW()-ROW(Payslip_Lookup[#Headers]))="","",INDEX(Salary_Calculation[Missing-Order Deduction],ROW()-ROW(Payslip_Lookup[#Headers])))</f>
        <v/>
      </c>
      <c r="Q189" s="174" t="str">
        <f aca="false">IF(INDEX(Salary_Calculation[Source Row],ROW()-ROW(Payslip_Lookup[#Headers]))="","",INDEX(Salary_Calculation[Extra Orders],ROW()-ROW(Payslip_Lookup[#Headers])))</f>
        <v/>
      </c>
      <c r="R189" s="176" t="str">
        <f aca="false">IF(INDEX(Salary_Calculation[Source Row],ROW()-ROW(Payslip_Lookup[#Headers]))="","",INDEX(Salary_Calculation[Extra-Order Bonus],ROW()-ROW(Payslip_Lookup[#Headers])))</f>
        <v/>
      </c>
      <c r="S189" s="176" t="str">
        <f aca="false">IF(INDEX(Salary_Calculation[Source Row],ROW()-ROW(Payslip_Lookup[#Headers]))="","",INDEX(Salary_Calculation[Basic Salary for Target],ROW()-ROW(Payslip_Lookup[#Headers])))</f>
        <v/>
      </c>
      <c r="T189" s="176" t="str">
        <f aca="false">IF(INDEX(Salary_Calculation[Source Row],ROW()-ROW(Payslip_Lookup[#Headers]))="","",INDEX(Salary_Calculation[Gross Salary Before Deductions],ROW()-ROW(Payslip_Lookup[#Headers])))</f>
        <v/>
      </c>
      <c r="U189" s="176" t="str">
        <f aca="false">IF(INDEX(Salary_Calculation[Source Row],ROW()-ROW(Payslip_Lookup[#Headers]))="","",INDEX(Salary_Calculation[missed_days_penalty],ROW()-ROW(Payslip_Lookup[#Headers])))</f>
        <v/>
      </c>
      <c r="V189" s="176" t="str">
        <f aca="false">IF(INDEX(Salary_Calculation[Source Row],ROW()-ROW(Payslip_Lookup[#Headers]))="","",INDEX(Salary_Calculation[Rider Balance],ROW()-ROW(Payslip_Lookup[#Headers])))</f>
        <v/>
      </c>
      <c r="W189" s="176" t="str">
        <f aca="false">IF(INDEX(Salary_Calculation[Source Row],ROW()-ROW(Payslip_Lookup[#Headers]))="","",INDEX(Salary_Calculation[stacking_deduction],ROW()-ROW(Payslip_Lookup[#Headers])))</f>
        <v/>
      </c>
      <c r="X189" s="176" t="str">
        <f aca="false">IF(INDEX(Salary_Calculation[Source Row],ROW()-ROW(Payslip_Lookup[#Headers]))="","",INDEX(Salary_Calculation[Other Deductions],ROW()-ROW(Payslip_Lookup[#Headers])))</f>
        <v/>
      </c>
      <c r="Y189" s="176" t="str">
        <f aca="false">IF(INDEX(Salary_Calculation[Source Row],ROW()-ROW(Payslip_Lookup[#Headers]))="","",INDEX(Salary_Calculation[Total Deductions],ROW()-ROW(Payslip_Lookup[#Headers])))</f>
        <v/>
      </c>
      <c r="Z189" s="176" t="str">
        <f aca="false">IF(INDEX(Salary_Calculation[Source Row],ROW()-ROW(Payslip_Lookup[#Headers]))="","",INDEX(Salary_Calculation[Final Salary],ROW()-ROW(Payslip_Lookup[#Headers])))</f>
        <v/>
      </c>
      <c r="AA189" s="176" t="str">
        <f aca="false">IF(INDEX(Salary_Calculation[Source Row],ROW()-ROW(Payslip_Lookup[#Headers]))="","",INDEX(Salary_Calculation[Negative Balance / Amount Due from Rider],ROW()-ROW(Payslip_Lookup[#Headers])))</f>
        <v/>
      </c>
      <c r="AB189" s="176" t="str">
        <f aca="false">IF(INDEX(Salary_Calculation[Source Row],ROW()-ROW(Payslip_Lookup[#Headers]))="","",INDEX(Salary_Calculation[Total Amount Due from Rider],ROW()-ROW(Payslip_Lookup[#Headers])))</f>
        <v/>
      </c>
      <c r="AC189" s="176" t="str">
        <f aca="false">IF(INDEX(Salary_Calculation[Source Row],ROW()-ROW(Payslip_Lookup[#Headers]))="","",INDEX(Salary_Calculation[Salary Before Other Deductions],ROW()-ROW(Payslip_Lookup[#Headers])))</f>
        <v/>
      </c>
      <c r="AD189" s="171" t="str">
        <f aca="false">IF(INDEX(Salary_Calculation[Source Row],ROW()-ROW(Payslip_Lookup[#Headers]))="","",INDEX(Salary_Calculation[Payment Status],ROW()-ROW(Payslip_Lookup[#Headers])))</f>
        <v/>
      </c>
      <c r="AE189" s="171" t="str">
        <f aca="false">IF(INDEX(Salary_Calculation[Source Row],ROW()-ROW(Payslip_Lookup[#Headers]))="","",INDEX(Salary_Calculation[Notes],ROW()-ROW(Payslip_Lookup[#Headers])))</f>
        <v/>
      </c>
      <c r="AF189" s="171" t="str">
        <f aca="false">IF(INDEX(Salary_Calculation[Source Row],ROW()-ROW(Payslip_Lookup[#Headers]))="","",INDEX(Salary_Calculation[Exception Reason],ROW()-ROW(Payslip_Lookup[#Headers])))</f>
        <v/>
      </c>
      <c r="AG189" s="173" t="str">
        <f aca="false">IF($AD189="Review Required",COUNTIF(AD$2:AD189,"Review Required"),"")</f>
        <v/>
      </c>
      <c r="AH189" s="173" t="str">
        <f aca="false">IF(AND($D189&lt;&gt;"",$B189=Payslip_Print!$C$2),MAX(AH$1:AH188)+1,"")</f>
        <v/>
      </c>
      <c r="AL189" s="178" t="str">
        <f aca="false">IFERROR(INDEX($D$2:$D$501,MATCH(ROW()-1,$AH$2:$AH$501,0)),"")</f>
        <v/>
      </c>
      <c r="AM189" s="179" t="str">
        <f aca="false">IF($Z189="","",IF(AND($C189&gt;=Dash_Start,$C189&lt;Dash_End),$Z189+ROW()/10000000,""))</f>
        <v/>
      </c>
    </row>
    <row r="190" customFormat="false" ht="14.25" hidden="false" customHeight="false" outlineLevel="0" collapsed="false">
      <c r="A190" s="171" t="str">
        <f aca="false">IF(Payslip_Lookup[[#This Row],[Rider ID]]="","",Payslip_Lookup[[#This Row],[Rider ID]]&amp;"|"&amp;Payslip_Lookup[[#This Row],[Month Key]])</f>
        <v/>
      </c>
      <c r="B190" s="172" t="str">
        <f aca="false">IF(ISNUMBER(Payslip_Lookup[[#This Row],[Salary Month]]),DATE(YEAR(Payslip_Lookup[[#This Row],[Salary Month]]),MONTH(Payslip_Lookup[[#This Row],[Salary Month]]),1),"")</f>
        <v/>
      </c>
      <c r="C190" s="172" t="str">
        <f aca="false">IF(INDEX(Salary_Calculation[Source Row],ROW()-ROW(Payslip_Lookup[#Headers]))="","",INDEX(Salary_Calculation[Salary Month],ROW()-ROW(Payslip_Lookup[#Headers])))</f>
        <v/>
      </c>
      <c r="D190" s="173" t="str">
        <f aca="false">IF(INDEX(Salary_Calculation[Source Row],ROW()-ROW(Payslip_Lookup[#Headers]))="","",INDEX(Salary_Calculation[Rider ID],ROW()-ROW(Payslip_Lookup[#Headers])))</f>
        <v/>
      </c>
      <c r="E190" s="171" t="str">
        <f aca="false">IF(INDEX(Salary_Calculation[Source Row],ROW()-ROW(Payslip_Lookup[#Headers]))="","",INDEX(Salary_Calculation[Rider Name],ROW()-ROW(Payslip_Lookup[#Headers])))</f>
        <v/>
      </c>
      <c r="F190" s="173" t="str">
        <f aca="false">IF(INDEX(Salary_Calculation[Source Row],ROW()-ROW(Payslip_Lookup[#Headers]))="","",INDEX(Salary_Calculation[Working Days],ROW()-ROW(Payslip_Lookup[#Headers])))</f>
        <v/>
      </c>
      <c r="G190" s="173" t="str">
        <f aca="false">IF(INDEX(Salary_Calculation[Source Row],ROW()-ROW(Payslip_Lookup[#Headers]))="","",INDEX(Salary_Calculation[Calendar Days],ROW()-ROW(Payslip_Lookup[#Headers])))</f>
        <v/>
      </c>
      <c r="H190" s="174" t="str">
        <f aca="false">IF(INDEX(Salary_Calculation[Source Row],ROW()-ROW(Payslip_Lookup[#Headers]))="","",INDEX(Salary_Calculation[Monthly Target Orders],ROW()-ROW(Payslip_Lookup[#Headers])))</f>
        <v/>
      </c>
      <c r="I190" s="174" t="str">
        <f aca="false">IF(INDEX(Salary_Calculation[Source Row],ROW()-ROW(Payslip_Lookup[#Headers]))="","",INDEX(Salary_Calculation[Rider Target Orders],ROW()-ROW(Payslip_Lookup[#Headers])))</f>
        <v/>
      </c>
      <c r="J190" s="175" t="str">
        <f aca="false">IF(INDEX(Salary_Calculation[Source Row],ROW()-ROW(Payslip_Lookup[#Headers]))="","",INDEX(Salary_Calculation[Completed Orders],ROW()-ROW(Payslip_Lookup[#Headers])))</f>
        <v/>
      </c>
      <c r="K190" s="174" t="str">
        <f aca="false">IF(INDEX(Salary_Calculation[Source Row],ROW()-ROW(Payslip_Lookup[#Headers]))="","",INDEX(Salary_Calculation[Base Order Rate],ROW()-ROW(Payslip_Lookup[#Headers])))</f>
        <v/>
      </c>
      <c r="L190" s="176" t="str">
        <f aca="false">IF(INDEX(Salary_Calculation[Source Row],ROW()-ROW(Payslip_Lookup[#Headers]))="","",INDEX(Salary_Calculation[Basic Payment],ROW()-ROW(Payslip_Lookup[#Headers])))</f>
        <v/>
      </c>
      <c r="M190" s="176" t="str">
        <f aca="false">IF(INDEX(Salary_Calculation[Source Row],ROW()-ROW(Payslip_Lookup[#Headers]))="","",INDEX(Salary_Calculation[Earned Salary],ROW()-ROW(Payslip_Lookup[#Headers])))</f>
        <v/>
      </c>
      <c r="N190" s="174" t="str">
        <f aca="false">IF(INDEX(Salary_Calculation[Source Row],ROW()-ROW(Payslip_Lookup[#Headers]))="","",INDEX(Salary_Calculation[Orders Counted at Base Rate],ROW()-ROW(Payslip_Lookup[#Headers])))</f>
        <v/>
      </c>
      <c r="O190" s="174" t="str">
        <f aca="false">IF(INDEX(Salary_Calculation[Source Row],ROW()-ROW(Payslip_Lookup[#Headers]))="","",INDEX(Salary_Calculation[Missing Orders],ROW()-ROW(Payslip_Lookup[#Headers])))</f>
        <v/>
      </c>
      <c r="P190" s="176" t="str">
        <f aca="false">IF(INDEX(Salary_Calculation[Source Row],ROW()-ROW(Payslip_Lookup[#Headers]))="","",INDEX(Salary_Calculation[Missing-Order Deduction],ROW()-ROW(Payslip_Lookup[#Headers])))</f>
        <v/>
      </c>
      <c r="Q190" s="174" t="str">
        <f aca="false">IF(INDEX(Salary_Calculation[Source Row],ROW()-ROW(Payslip_Lookup[#Headers]))="","",INDEX(Salary_Calculation[Extra Orders],ROW()-ROW(Payslip_Lookup[#Headers])))</f>
        <v/>
      </c>
      <c r="R190" s="176" t="str">
        <f aca="false">IF(INDEX(Salary_Calculation[Source Row],ROW()-ROW(Payslip_Lookup[#Headers]))="","",INDEX(Salary_Calculation[Extra-Order Bonus],ROW()-ROW(Payslip_Lookup[#Headers])))</f>
        <v/>
      </c>
      <c r="S190" s="176" t="str">
        <f aca="false">IF(INDEX(Salary_Calculation[Source Row],ROW()-ROW(Payslip_Lookup[#Headers]))="","",INDEX(Salary_Calculation[Basic Salary for Target],ROW()-ROW(Payslip_Lookup[#Headers])))</f>
        <v/>
      </c>
      <c r="T190" s="176" t="str">
        <f aca="false">IF(INDEX(Salary_Calculation[Source Row],ROW()-ROW(Payslip_Lookup[#Headers]))="","",INDEX(Salary_Calculation[Gross Salary Before Deductions],ROW()-ROW(Payslip_Lookup[#Headers])))</f>
        <v/>
      </c>
      <c r="U190" s="176" t="str">
        <f aca="false">IF(INDEX(Salary_Calculation[Source Row],ROW()-ROW(Payslip_Lookup[#Headers]))="","",INDEX(Salary_Calculation[missed_days_penalty],ROW()-ROW(Payslip_Lookup[#Headers])))</f>
        <v/>
      </c>
      <c r="V190" s="176" t="str">
        <f aca="false">IF(INDEX(Salary_Calculation[Source Row],ROW()-ROW(Payslip_Lookup[#Headers]))="","",INDEX(Salary_Calculation[Rider Balance],ROW()-ROW(Payslip_Lookup[#Headers])))</f>
        <v/>
      </c>
      <c r="W190" s="176" t="str">
        <f aca="false">IF(INDEX(Salary_Calculation[Source Row],ROW()-ROW(Payslip_Lookup[#Headers]))="","",INDEX(Salary_Calculation[stacking_deduction],ROW()-ROW(Payslip_Lookup[#Headers])))</f>
        <v/>
      </c>
      <c r="X190" s="176" t="str">
        <f aca="false">IF(INDEX(Salary_Calculation[Source Row],ROW()-ROW(Payslip_Lookup[#Headers]))="","",INDEX(Salary_Calculation[Other Deductions],ROW()-ROW(Payslip_Lookup[#Headers])))</f>
        <v/>
      </c>
      <c r="Y190" s="176" t="str">
        <f aca="false">IF(INDEX(Salary_Calculation[Source Row],ROW()-ROW(Payslip_Lookup[#Headers]))="","",INDEX(Salary_Calculation[Total Deductions],ROW()-ROW(Payslip_Lookup[#Headers])))</f>
        <v/>
      </c>
      <c r="Z190" s="176" t="str">
        <f aca="false">IF(INDEX(Salary_Calculation[Source Row],ROW()-ROW(Payslip_Lookup[#Headers]))="","",INDEX(Salary_Calculation[Final Salary],ROW()-ROW(Payslip_Lookup[#Headers])))</f>
        <v/>
      </c>
      <c r="AA190" s="176" t="str">
        <f aca="false">IF(INDEX(Salary_Calculation[Source Row],ROW()-ROW(Payslip_Lookup[#Headers]))="","",INDEX(Salary_Calculation[Negative Balance / Amount Due from Rider],ROW()-ROW(Payslip_Lookup[#Headers])))</f>
        <v/>
      </c>
      <c r="AB190" s="176" t="str">
        <f aca="false">IF(INDEX(Salary_Calculation[Source Row],ROW()-ROW(Payslip_Lookup[#Headers]))="","",INDEX(Salary_Calculation[Total Amount Due from Rider],ROW()-ROW(Payslip_Lookup[#Headers])))</f>
        <v/>
      </c>
      <c r="AC190" s="176" t="str">
        <f aca="false">IF(INDEX(Salary_Calculation[Source Row],ROW()-ROW(Payslip_Lookup[#Headers]))="","",INDEX(Salary_Calculation[Salary Before Other Deductions],ROW()-ROW(Payslip_Lookup[#Headers])))</f>
        <v/>
      </c>
      <c r="AD190" s="171" t="str">
        <f aca="false">IF(INDEX(Salary_Calculation[Source Row],ROW()-ROW(Payslip_Lookup[#Headers]))="","",INDEX(Salary_Calculation[Payment Status],ROW()-ROW(Payslip_Lookup[#Headers])))</f>
        <v/>
      </c>
      <c r="AE190" s="171" t="str">
        <f aca="false">IF(INDEX(Salary_Calculation[Source Row],ROW()-ROW(Payslip_Lookup[#Headers]))="","",INDEX(Salary_Calculation[Notes],ROW()-ROW(Payslip_Lookup[#Headers])))</f>
        <v/>
      </c>
      <c r="AF190" s="171" t="str">
        <f aca="false">IF(INDEX(Salary_Calculation[Source Row],ROW()-ROW(Payslip_Lookup[#Headers]))="","",INDEX(Salary_Calculation[Exception Reason],ROW()-ROW(Payslip_Lookup[#Headers])))</f>
        <v/>
      </c>
      <c r="AG190" s="173" t="str">
        <f aca="false">IF($AD190="Review Required",COUNTIF(AD$2:AD190,"Review Required"),"")</f>
        <v/>
      </c>
      <c r="AH190" s="173" t="str">
        <f aca="false">IF(AND($D190&lt;&gt;"",$B190=Payslip_Print!$C$2),MAX(AH$1:AH189)+1,"")</f>
        <v/>
      </c>
      <c r="AL190" s="178" t="str">
        <f aca="false">IFERROR(INDEX($D$2:$D$501,MATCH(ROW()-1,$AH$2:$AH$501,0)),"")</f>
        <v/>
      </c>
      <c r="AM190" s="179" t="str">
        <f aca="false">IF($Z190="","",IF(AND($C190&gt;=Dash_Start,$C190&lt;Dash_End),$Z190+ROW()/10000000,""))</f>
        <v/>
      </c>
    </row>
    <row r="191" customFormat="false" ht="14.25" hidden="false" customHeight="false" outlineLevel="0" collapsed="false">
      <c r="A191" s="171" t="str">
        <f aca="false">IF(Payslip_Lookup[[#This Row],[Rider ID]]="","",Payslip_Lookup[[#This Row],[Rider ID]]&amp;"|"&amp;Payslip_Lookup[[#This Row],[Month Key]])</f>
        <v/>
      </c>
      <c r="B191" s="172" t="str">
        <f aca="false">IF(ISNUMBER(Payslip_Lookup[[#This Row],[Salary Month]]),DATE(YEAR(Payslip_Lookup[[#This Row],[Salary Month]]),MONTH(Payslip_Lookup[[#This Row],[Salary Month]]),1),"")</f>
        <v/>
      </c>
      <c r="C191" s="172" t="str">
        <f aca="false">IF(INDEX(Salary_Calculation[Source Row],ROW()-ROW(Payslip_Lookup[#Headers]))="","",INDEX(Salary_Calculation[Salary Month],ROW()-ROW(Payslip_Lookup[#Headers])))</f>
        <v/>
      </c>
      <c r="D191" s="173" t="str">
        <f aca="false">IF(INDEX(Salary_Calculation[Source Row],ROW()-ROW(Payslip_Lookup[#Headers]))="","",INDEX(Salary_Calculation[Rider ID],ROW()-ROW(Payslip_Lookup[#Headers])))</f>
        <v/>
      </c>
      <c r="E191" s="171" t="str">
        <f aca="false">IF(INDEX(Salary_Calculation[Source Row],ROW()-ROW(Payslip_Lookup[#Headers]))="","",INDEX(Salary_Calculation[Rider Name],ROW()-ROW(Payslip_Lookup[#Headers])))</f>
        <v/>
      </c>
      <c r="F191" s="173" t="str">
        <f aca="false">IF(INDEX(Salary_Calculation[Source Row],ROW()-ROW(Payslip_Lookup[#Headers]))="","",INDEX(Salary_Calculation[Working Days],ROW()-ROW(Payslip_Lookup[#Headers])))</f>
        <v/>
      </c>
      <c r="G191" s="173" t="str">
        <f aca="false">IF(INDEX(Salary_Calculation[Source Row],ROW()-ROW(Payslip_Lookup[#Headers]))="","",INDEX(Salary_Calculation[Calendar Days],ROW()-ROW(Payslip_Lookup[#Headers])))</f>
        <v/>
      </c>
      <c r="H191" s="174" t="str">
        <f aca="false">IF(INDEX(Salary_Calculation[Source Row],ROW()-ROW(Payslip_Lookup[#Headers]))="","",INDEX(Salary_Calculation[Monthly Target Orders],ROW()-ROW(Payslip_Lookup[#Headers])))</f>
        <v/>
      </c>
      <c r="I191" s="174" t="str">
        <f aca="false">IF(INDEX(Salary_Calculation[Source Row],ROW()-ROW(Payslip_Lookup[#Headers]))="","",INDEX(Salary_Calculation[Rider Target Orders],ROW()-ROW(Payslip_Lookup[#Headers])))</f>
        <v/>
      </c>
      <c r="J191" s="175" t="str">
        <f aca="false">IF(INDEX(Salary_Calculation[Source Row],ROW()-ROW(Payslip_Lookup[#Headers]))="","",INDEX(Salary_Calculation[Completed Orders],ROW()-ROW(Payslip_Lookup[#Headers])))</f>
        <v/>
      </c>
      <c r="K191" s="174" t="str">
        <f aca="false">IF(INDEX(Salary_Calculation[Source Row],ROW()-ROW(Payslip_Lookup[#Headers]))="","",INDEX(Salary_Calculation[Base Order Rate],ROW()-ROW(Payslip_Lookup[#Headers])))</f>
        <v/>
      </c>
      <c r="L191" s="176" t="str">
        <f aca="false">IF(INDEX(Salary_Calculation[Source Row],ROW()-ROW(Payslip_Lookup[#Headers]))="","",INDEX(Salary_Calculation[Basic Payment],ROW()-ROW(Payslip_Lookup[#Headers])))</f>
        <v/>
      </c>
      <c r="M191" s="176" t="str">
        <f aca="false">IF(INDEX(Salary_Calculation[Source Row],ROW()-ROW(Payslip_Lookup[#Headers]))="","",INDEX(Salary_Calculation[Earned Salary],ROW()-ROW(Payslip_Lookup[#Headers])))</f>
        <v/>
      </c>
      <c r="N191" s="174" t="str">
        <f aca="false">IF(INDEX(Salary_Calculation[Source Row],ROW()-ROW(Payslip_Lookup[#Headers]))="","",INDEX(Salary_Calculation[Orders Counted at Base Rate],ROW()-ROW(Payslip_Lookup[#Headers])))</f>
        <v/>
      </c>
      <c r="O191" s="174" t="str">
        <f aca="false">IF(INDEX(Salary_Calculation[Source Row],ROW()-ROW(Payslip_Lookup[#Headers]))="","",INDEX(Salary_Calculation[Missing Orders],ROW()-ROW(Payslip_Lookup[#Headers])))</f>
        <v/>
      </c>
      <c r="P191" s="176" t="str">
        <f aca="false">IF(INDEX(Salary_Calculation[Source Row],ROW()-ROW(Payslip_Lookup[#Headers]))="","",INDEX(Salary_Calculation[Missing-Order Deduction],ROW()-ROW(Payslip_Lookup[#Headers])))</f>
        <v/>
      </c>
      <c r="Q191" s="174" t="str">
        <f aca="false">IF(INDEX(Salary_Calculation[Source Row],ROW()-ROW(Payslip_Lookup[#Headers]))="","",INDEX(Salary_Calculation[Extra Orders],ROW()-ROW(Payslip_Lookup[#Headers])))</f>
        <v/>
      </c>
      <c r="R191" s="176" t="str">
        <f aca="false">IF(INDEX(Salary_Calculation[Source Row],ROW()-ROW(Payslip_Lookup[#Headers]))="","",INDEX(Salary_Calculation[Extra-Order Bonus],ROW()-ROW(Payslip_Lookup[#Headers])))</f>
        <v/>
      </c>
      <c r="S191" s="176" t="str">
        <f aca="false">IF(INDEX(Salary_Calculation[Source Row],ROW()-ROW(Payslip_Lookup[#Headers]))="","",INDEX(Salary_Calculation[Basic Salary for Target],ROW()-ROW(Payslip_Lookup[#Headers])))</f>
        <v/>
      </c>
      <c r="T191" s="176" t="str">
        <f aca="false">IF(INDEX(Salary_Calculation[Source Row],ROW()-ROW(Payslip_Lookup[#Headers]))="","",INDEX(Salary_Calculation[Gross Salary Before Deductions],ROW()-ROW(Payslip_Lookup[#Headers])))</f>
        <v/>
      </c>
      <c r="U191" s="176" t="str">
        <f aca="false">IF(INDEX(Salary_Calculation[Source Row],ROW()-ROW(Payslip_Lookup[#Headers]))="","",INDEX(Salary_Calculation[missed_days_penalty],ROW()-ROW(Payslip_Lookup[#Headers])))</f>
        <v/>
      </c>
      <c r="V191" s="176" t="str">
        <f aca="false">IF(INDEX(Salary_Calculation[Source Row],ROW()-ROW(Payslip_Lookup[#Headers]))="","",INDEX(Salary_Calculation[Rider Balance],ROW()-ROW(Payslip_Lookup[#Headers])))</f>
        <v/>
      </c>
      <c r="W191" s="176" t="str">
        <f aca="false">IF(INDEX(Salary_Calculation[Source Row],ROW()-ROW(Payslip_Lookup[#Headers]))="","",INDEX(Salary_Calculation[stacking_deduction],ROW()-ROW(Payslip_Lookup[#Headers])))</f>
        <v/>
      </c>
      <c r="X191" s="176" t="str">
        <f aca="false">IF(INDEX(Salary_Calculation[Source Row],ROW()-ROW(Payslip_Lookup[#Headers]))="","",INDEX(Salary_Calculation[Other Deductions],ROW()-ROW(Payslip_Lookup[#Headers])))</f>
        <v/>
      </c>
      <c r="Y191" s="176" t="str">
        <f aca="false">IF(INDEX(Salary_Calculation[Source Row],ROW()-ROW(Payslip_Lookup[#Headers]))="","",INDEX(Salary_Calculation[Total Deductions],ROW()-ROW(Payslip_Lookup[#Headers])))</f>
        <v/>
      </c>
      <c r="Z191" s="176" t="str">
        <f aca="false">IF(INDEX(Salary_Calculation[Source Row],ROW()-ROW(Payslip_Lookup[#Headers]))="","",INDEX(Salary_Calculation[Final Salary],ROW()-ROW(Payslip_Lookup[#Headers])))</f>
        <v/>
      </c>
      <c r="AA191" s="176" t="str">
        <f aca="false">IF(INDEX(Salary_Calculation[Source Row],ROW()-ROW(Payslip_Lookup[#Headers]))="","",INDEX(Salary_Calculation[Negative Balance / Amount Due from Rider],ROW()-ROW(Payslip_Lookup[#Headers])))</f>
        <v/>
      </c>
      <c r="AB191" s="176" t="str">
        <f aca="false">IF(INDEX(Salary_Calculation[Source Row],ROW()-ROW(Payslip_Lookup[#Headers]))="","",INDEX(Salary_Calculation[Total Amount Due from Rider],ROW()-ROW(Payslip_Lookup[#Headers])))</f>
        <v/>
      </c>
      <c r="AC191" s="176" t="str">
        <f aca="false">IF(INDEX(Salary_Calculation[Source Row],ROW()-ROW(Payslip_Lookup[#Headers]))="","",INDEX(Salary_Calculation[Salary Before Other Deductions],ROW()-ROW(Payslip_Lookup[#Headers])))</f>
        <v/>
      </c>
      <c r="AD191" s="171" t="str">
        <f aca="false">IF(INDEX(Salary_Calculation[Source Row],ROW()-ROW(Payslip_Lookup[#Headers]))="","",INDEX(Salary_Calculation[Payment Status],ROW()-ROW(Payslip_Lookup[#Headers])))</f>
        <v/>
      </c>
      <c r="AE191" s="171" t="str">
        <f aca="false">IF(INDEX(Salary_Calculation[Source Row],ROW()-ROW(Payslip_Lookup[#Headers]))="","",INDEX(Salary_Calculation[Notes],ROW()-ROW(Payslip_Lookup[#Headers])))</f>
        <v/>
      </c>
      <c r="AF191" s="171" t="str">
        <f aca="false">IF(INDEX(Salary_Calculation[Source Row],ROW()-ROW(Payslip_Lookup[#Headers]))="","",INDEX(Salary_Calculation[Exception Reason],ROW()-ROW(Payslip_Lookup[#Headers])))</f>
        <v/>
      </c>
      <c r="AG191" s="173" t="str">
        <f aca="false">IF($AD191="Review Required",COUNTIF(AD$2:AD191,"Review Required"),"")</f>
        <v/>
      </c>
      <c r="AH191" s="173" t="str">
        <f aca="false">IF(AND($D191&lt;&gt;"",$B191=Payslip_Print!$C$2),MAX(AH$1:AH190)+1,"")</f>
        <v/>
      </c>
      <c r="AL191" s="178" t="str">
        <f aca="false">IFERROR(INDEX($D$2:$D$501,MATCH(ROW()-1,$AH$2:$AH$501,0)),"")</f>
        <v/>
      </c>
      <c r="AM191" s="179" t="str">
        <f aca="false">IF($Z191="","",IF(AND($C191&gt;=Dash_Start,$C191&lt;Dash_End),$Z191+ROW()/10000000,""))</f>
        <v/>
      </c>
    </row>
    <row r="192" customFormat="false" ht="14.25" hidden="false" customHeight="false" outlineLevel="0" collapsed="false">
      <c r="A192" s="171" t="str">
        <f aca="false">IF(Payslip_Lookup[[#This Row],[Rider ID]]="","",Payslip_Lookup[[#This Row],[Rider ID]]&amp;"|"&amp;Payslip_Lookup[[#This Row],[Month Key]])</f>
        <v/>
      </c>
      <c r="B192" s="172" t="str">
        <f aca="false">IF(ISNUMBER(Payslip_Lookup[[#This Row],[Salary Month]]),DATE(YEAR(Payslip_Lookup[[#This Row],[Salary Month]]),MONTH(Payslip_Lookup[[#This Row],[Salary Month]]),1),"")</f>
        <v/>
      </c>
      <c r="C192" s="172" t="str">
        <f aca="false">IF(INDEX(Salary_Calculation[Source Row],ROW()-ROW(Payslip_Lookup[#Headers]))="","",INDEX(Salary_Calculation[Salary Month],ROW()-ROW(Payslip_Lookup[#Headers])))</f>
        <v/>
      </c>
      <c r="D192" s="173" t="str">
        <f aca="false">IF(INDEX(Salary_Calculation[Source Row],ROW()-ROW(Payslip_Lookup[#Headers]))="","",INDEX(Salary_Calculation[Rider ID],ROW()-ROW(Payslip_Lookup[#Headers])))</f>
        <v/>
      </c>
      <c r="E192" s="171" t="str">
        <f aca="false">IF(INDEX(Salary_Calculation[Source Row],ROW()-ROW(Payslip_Lookup[#Headers]))="","",INDEX(Salary_Calculation[Rider Name],ROW()-ROW(Payslip_Lookup[#Headers])))</f>
        <v/>
      </c>
      <c r="F192" s="173" t="str">
        <f aca="false">IF(INDEX(Salary_Calculation[Source Row],ROW()-ROW(Payslip_Lookup[#Headers]))="","",INDEX(Salary_Calculation[Working Days],ROW()-ROW(Payslip_Lookup[#Headers])))</f>
        <v/>
      </c>
      <c r="G192" s="173" t="str">
        <f aca="false">IF(INDEX(Salary_Calculation[Source Row],ROW()-ROW(Payslip_Lookup[#Headers]))="","",INDEX(Salary_Calculation[Calendar Days],ROW()-ROW(Payslip_Lookup[#Headers])))</f>
        <v/>
      </c>
      <c r="H192" s="174" t="str">
        <f aca="false">IF(INDEX(Salary_Calculation[Source Row],ROW()-ROW(Payslip_Lookup[#Headers]))="","",INDEX(Salary_Calculation[Monthly Target Orders],ROW()-ROW(Payslip_Lookup[#Headers])))</f>
        <v/>
      </c>
      <c r="I192" s="174" t="str">
        <f aca="false">IF(INDEX(Salary_Calculation[Source Row],ROW()-ROW(Payslip_Lookup[#Headers]))="","",INDEX(Salary_Calculation[Rider Target Orders],ROW()-ROW(Payslip_Lookup[#Headers])))</f>
        <v/>
      </c>
      <c r="J192" s="175" t="str">
        <f aca="false">IF(INDEX(Salary_Calculation[Source Row],ROW()-ROW(Payslip_Lookup[#Headers]))="","",INDEX(Salary_Calculation[Completed Orders],ROW()-ROW(Payslip_Lookup[#Headers])))</f>
        <v/>
      </c>
      <c r="K192" s="174" t="str">
        <f aca="false">IF(INDEX(Salary_Calculation[Source Row],ROW()-ROW(Payslip_Lookup[#Headers]))="","",INDEX(Salary_Calculation[Base Order Rate],ROW()-ROW(Payslip_Lookup[#Headers])))</f>
        <v/>
      </c>
      <c r="L192" s="176" t="str">
        <f aca="false">IF(INDEX(Salary_Calculation[Source Row],ROW()-ROW(Payslip_Lookup[#Headers]))="","",INDEX(Salary_Calculation[Basic Payment],ROW()-ROW(Payslip_Lookup[#Headers])))</f>
        <v/>
      </c>
      <c r="M192" s="176" t="str">
        <f aca="false">IF(INDEX(Salary_Calculation[Source Row],ROW()-ROW(Payslip_Lookup[#Headers]))="","",INDEX(Salary_Calculation[Earned Salary],ROW()-ROW(Payslip_Lookup[#Headers])))</f>
        <v/>
      </c>
      <c r="N192" s="174" t="str">
        <f aca="false">IF(INDEX(Salary_Calculation[Source Row],ROW()-ROW(Payslip_Lookup[#Headers]))="","",INDEX(Salary_Calculation[Orders Counted at Base Rate],ROW()-ROW(Payslip_Lookup[#Headers])))</f>
        <v/>
      </c>
      <c r="O192" s="174" t="str">
        <f aca="false">IF(INDEX(Salary_Calculation[Source Row],ROW()-ROW(Payslip_Lookup[#Headers]))="","",INDEX(Salary_Calculation[Missing Orders],ROW()-ROW(Payslip_Lookup[#Headers])))</f>
        <v/>
      </c>
      <c r="P192" s="176" t="str">
        <f aca="false">IF(INDEX(Salary_Calculation[Source Row],ROW()-ROW(Payslip_Lookup[#Headers]))="","",INDEX(Salary_Calculation[Missing-Order Deduction],ROW()-ROW(Payslip_Lookup[#Headers])))</f>
        <v/>
      </c>
      <c r="Q192" s="174" t="str">
        <f aca="false">IF(INDEX(Salary_Calculation[Source Row],ROW()-ROW(Payslip_Lookup[#Headers]))="","",INDEX(Salary_Calculation[Extra Orders],ROW()-ROW(Payslip_Lookup[#Headers])))</f>
        <v/>
      </c>
      <c r="R192" s="176" t="str">
        <f aca="false">IF(INDEX(Salary_Calculation[Source Row],ROW()-ROW(Payslip_Lookup[#Headers]))="","",INDEX(Salary_Calculation[Extra-Order Bonus],ROW()-ROW(Payslip_Lookup[#Headers])))</f>
        <v/>
      </c>
      <c r="S192" s="176" t="str">
        <f aca="false">IF(INDEX(Salary_Calculation[Source Row],ROW()-ROW(Payslip_Lookup[#Headers]))="","",INDEX(Salary_Calculation[Basic Salary for Target],ROW()-ROW(Payslip_Lookup[#Headers])))</f>
        <v/>
      </c>
      <c r="T192" s="176" t="str">
        <f aca="false">IF(INDEX(Salary_Calculation[Source Row],ROW()-ROW(Payslip_Lookup[#Headers]))="","",INDEX(Salary_Calculation[Gross Salary Before Deductions],ROW()-ROW(Payslip_Lookup[#Headers])))</f>
        <v/>
      </c>
      <c r="U192" s="176" t="str">
        <f aca="false">IF(INDEX(Salary_Calculation[Source Row],ROW()-ROW(Payslip_Lookup[#Headers]))="","",INDEX(Salary_Calculation[missed_days_penalty],ROW()-ROW(Payslip_Lookup[#Headers])))</f>
        <v/>
      </c>
      <c r="V192" s="176" t="str">
        <f aca="false">IF(INDEX(Salary_Calculation[Source Row],ROW()-ROW(Payslip_Lookup[#Headers]))="","",INDEX(Salary_Calculation[Rider Balance],ROW()-ROW(Payslip_Lookup[#Headers])))</f>
        <v/>
      </c>
      <c r="W192" s="176" t="str">
        <f aca="false">IF(INDEX(Salary_Calculation[Source Row],ROW()-ROW(Payslip_Lookup[#Headers]))="","",INDEX(Salary_Calculation[stacking_deduction],ROW()-ROW(Payslip_Lookup[#Headers])))</f>
        <v/>
      </c>
      <c r="X192" s="176" t="str">
        <f aca="false">IF(INDEX(Salary_Calculation[Source Row],ROW()-ROW(Payslip_Lookup[#Headers]))="","",INDEX(Salary_Calculation[Other Deductions],ROW()-ROW(Payslip_Lookup[#Headers])))</f>
        <v/>
      </c>
      <c r="Y192" s="176" t="str">
        <f aca="false">IF(INDEX(Salary_Calculation[Source Row],ROW()-ROW(Payslip_Lookup[#Headers]))="","",INDEX(Salary_Calculation[Total Deductions],ROW()-ROW(Payslip_Lookup[#Headers])))</f>
        <v/>
      </c>
      <c r="Z192" s="176" t="str">
        <f aca="false">IF(INDEX(Salary_Calculation[Source Row],ROW()-ROW(Payslip_Lookup[#Headers]))="","",INDEX(Salary_Calculation[Final Salary],ROW()-ROW(Payslip_Lookup[#Headers])))</f>
        <v/>
      </c>
      <c r="AA192" s="176" t="str">
        <f aca="false">IF(INDEX(Salary_Calculation[Source Row],ROW()-ROW(Payslip_Lookup[#Headers]))="","",INDEX(Salary_Calculation[Negative Balance / Amount Due from Rider],ROW()-ROW(Payslip_Lookup[#Headers])))</f>
        <v/>
      </c>
      <c r="AB192" s="176" t="str">
        <f aca="false">IF(INDEX(Salary_Calculation[Source Row],ROW()-ROW(Payslip_Lookup[#Headers]))="","",INDEX(Salary_Calculation[Total Amount Due from Rider],ROW()-ROW(Payslip_Lookup[#Headers])))</f>
        <v/>
      </c>
      <c r="AC192" s="176" t="str">
        <f aca="false">IF(INDEX(Salary_Calculation[Source Row],ROW()-ROW(Payslip_Lookup[#Headers]))="","",INDEX(Salary_Calculation[Salary Before Other Deductions],ROW()-ROW(Payslip_Lookup[#Headers])))</f>
        <v/>
      </c>
      <c r="AD192" s="171" t="str">
        <f aca="false">IF(INDEX(Salary_Calculation[Source Row],ROW()-ROW(Payslip_Lookup[#Headers]))="","",INDEX(Salary_Calculation[Payment Status],ROW()-ROW(Payslip_Lookup[#Headers])))</f>
        <v/>
      </c>
      <c r="AE192" s="171" t="str">
        <f aca="false">IF(INDEX(Salary_Calculation[Source Row],ROW()-ROW(Payslip_Lookup[#Headers]))="","",INDEX(Salary_Calculation[Notes],ROW()-ROW(Payslip_Lookup[#Headers])))</f>
        <v/>
      </c>
      <c r="AF192" s="171" t="str">
        <f aca="false">IF(INDEX(Salary_Calculation[Source Row],ROW()-ROW(Payslip_Lookup[#Headers]))="","",INDEX(Salary_Calculation[Exception Reason],ROW()-ROW(Payslip_Lookup[#Headers])))</f>
        <v/>
      </c>
      <c r="AG192" s="173" t="str">
        <f aca="false">IF($AD192="Review Required",COUNTIF(AD$2:AD192,"Review Required"),"")</f>
        <v/>
      </c>
      <c r="AH192" s="173" t="str">
        <f aca="false">IF(AND($D192&lt;&gt;"",$B192=Payslip_Print!$C$2),MAX(AH$1:AH191)+1,"")</f>
        <v/>
      </c>
      <c r="AL192" s="178" t="str">
        <f aca="false">IFERROR(INDEX($D$2:$D$501,MATCH(ROW()-1,$AH$2:$AH$501,0)),"")</f>
        <v/>
      </c>
      <c r="AM192" s="179" t="str">
        <f aca="false">IF($Z192="","",IF(AND($C192&gt;=Dash_Start,$C192&lt;Dash_End),$Z192+ROW()/10000000,""))</f>
        <v/>
      </c>
    </row>
    <row r="193" customFormat="false" ht="14.25" hidden="false" customHeight="false" outlineLevel="0" collapsed="false">
      <c r="A193" s="171" t="str">
        <f aca="false">IF(Payslip_Lookup[[#This Row],[Rider ID]]="","",Payslip_Lookup[[#This Row],[Rider ID]]&amp;"|"&amp;Payslip_Lookup[[#This Row],[Month Key]])</f>
        <v/>
      </c>
      <c r="B193" s="172" t="str">
        <f aca="false">IF(ISNUMBER(Payslip_Lookup[[#This Row],[Salary Month]]),DATE(YEAR(Payslip_Lookup[[#This Row],[Salary Month]]),MONTH(Payslip_Lookup[[#This Row],[Salary Month]]),1),"")</f>
        <v/>
      </c>
      <c r="C193" s="172" t="str">
        <f aca="false">IF(INDEX(Salary_Calculation[Source Row],ROW()-ROW(Payslip_Lookup[#Headers]))="","",INDEX(Salary_Calculation[Salary Month],ROW()-ROW(Payslip_Lookup[#Headers])))</f>
        <v/>
      </c>
      <c r="D193" s="173" t="str">
        <f aca="false">IF(INDEX(Salary_Calculation[Source Row],ROW()-ROW(Payslip_Lookup[#Headers]))="","",INDEX(Salary_Calculation[Rider ID],ROW()-ROW(Payslip_Lookup[#Headers])))</f>
        <v/>
      </c>
      <c r="E193" s="171" t="str">
        <f aca="false">IF(INDEX(Salary_Calculation[Source Row],ROW()-ROW(Payslip_Lookup[#Headers]))="","",INDEX(Salary_Calculation[Rider Name],ROW()-ROW(Payslip_Lookup[#Headers])))</f>
        <v/>
      </c>
      <c r="F193" s="173" t="str">
        <f aca="false">IF(INDEX(Salary_Calculation[Source Row],ROW()-ROW(Payslip_Lookup[#Headers]))="","",INDEX(Salary_Calculation[Working Days],ROW()-ROW(Payslip_Lookup[#Headers])))</f>
        <v/>
      </c>
      <c r="G193" s="173" t="str">
        <f aca="false">IF(INDEX(Salary_Calculation[Source Row],ROW()-ROW(Payslip_Lookup[#Headers]))="","",INDEX(Salary_Calculation[Calendar Days],ROW()-ROW(Payslip_Lookup[#Headers])))</f>
        <v/>
      </c>
      <c r="H193" s="174" t="str">
        <f aca="false">IF(INDEX(Salary_Calculation[Source Row],ROW()-ROW(Payslip_Lookup[#Headers]))="","",INDEX(Salary_Calculation[Monthly Target Orders],ROW()-ROW(Payslip_Lookup[#Headers])))</f>
        <v/>
      </c>
      <c r="I193" s="174" t="str">
        <f aca="false">IF(INDEX(Salary_Calculation[Source Row],ROW()-ROW(Payslip_Lookup[#Headers]))="","",INDEX(Salary_Calculation[Rider Target Orders],ROW()-ROW(Payslip_Lookup[#Headers])))</f>
        <v/>
      </c>
      <c r="J193" s="175" t="str">
        <f aca="false">IF(INDEX(Salary_Calculation[Source Row],ROW()-ROW(Payslip_Lookup[#Headers]))="","",INDEX(Salary_Calculation[Completed Orders],ROW()-ROW(Payslip_Lookup[#Headers])))</f>
        <v/>
      </c>
      <c r="K193" s="174" t="str">
        <f aca="false">IF(INDEX(Salary_Calculation[Source Row],ROW()-ROW(Payslip_Lookup[#Headers]))="","",INDEX(Salary_Calculation[Base Order Rate],ROW()-ROW(Payslip_Lookup[#Headers])))</f>
        <v/>
      </c>
      <c r="L193" s="176" t="str">
        <f aca="false">IF(INDEX(Salary_Calculation[Source Row],ROW()-ROW(Payslip_Lookup[#Headers]))="","",INDEX(Salary_Calculation[Basic Payment],ROW()-ROW(Payslip_Lookup[#Headers])))</f>
        <v/>
      </c>
      <c r="M193" s="176" t="str">
        <f aca="false">IF(INDEX(Salary_Calculation[Source Row],ROW()-ROW(Payslip_Lookup[#Headers]))="","",INDEX(Salary_Calculation[Earned Salary],ROW()-ROW(Payslip_Lookup[#Headers])))</f>
        <v/>
      </c>
      <c r="N193" s="174" t="str">
        <f aca="false">IF(INDEX(Salary_Calculation[Source Row],ROW()-ROW(Payslip_Lookup[#Headers]))="","",INDEX(Salary_Calculation[Orders Counted at Base Rate],ROW()-ROW(Payslip_Lookup[#Headers])))</f>
        <v/>
      </c>
      <c r="O193" s="174" t="str">
        <f aca="false">IF(INDEX(Salary_Calculation[Source Row],ROW()-ROW(Payslip_Lookup[#Headers]))="","",INDEX(Salary_Calculation[Missing Orders],ROW()-ROW(Payslip_Lookup[#Headers])))</f>
        <v/>
      </c>
      <c r="P193" s="176" t="str">
        <f aca="false">IF(INDEX(Salary_Calculation[Source Row],ROW()-ROW(Payslip_Lookup[#Headers]))="","",INDEX(Salary_Calculation[Missing-Order Deduction],ROW()-ROW(Payslip_Lookup[#Headers])))</f>
        <v/>
      </c>
      <c r="Q193" s="174" t="str">
        <f aca="false">IF(INDEX(Salary_Calculation[Source Row],ROW()-ROW(Payslip_Lookup[#Headers]))="","",INDEX(Salary_Calculation[Extra Orders],ROW()-ROW(Payslip_Lookup[#Headers])))</f>
        <v/>
      </c>
      <c r="R193" s="176" t="str">
        <f aca="false">IF(INDEX(Salary_Calculation[Source Row],ROW()-ROW(Payslip_Lookup[#Headers]))="","",INDEX(Salary_Calculation[Extra-Order Bonus],ROW()-ROW(Payslip_Lookup[#Headers])))</f>
        <v/>
      </c>
      <c r="S193" s="176" t="str">
        <f aca="false">IF(INDEX(Salary_Calculation[Source Row],ROW()-ROW(Payslip_Lookup[#Headers]))="","",INDEX(Salary_Calculation[Basic Salary for Target],ROW()-ROW(Payslip_Lookup[#Headers])))</f>
        <v/>
      </c>
      <c r="T193" s="176" t="str">
        <f aca="false">IF(INDEX(Salary_Calculation[Source Row],ROW()-ROW(Payslip_Lookup[#Headers]))="","",INDEX(Salary_Calculation[Gross Salary Before Deductions],ROW()-ROW(Payslip_Lookup[#Headers])))</f>
        <v/>
      </c>
      <c r="U193" s="176" t="str">
        <f aca="false">IF(INDEX(Salary_Calculation[Source Row],ROW()-ROW(Payslip_Lookup[#Headers]))="","",INDEX(Salary_Calculation[missed_days_penalty],ROW()-ROW(Payslip_Lookup[#Headers])))</f>
        <v/>
      </c>
      <c r="V193" s="176" t="str">
        <f aca="false">IF(INDEX(Salary_Calculation[Source Row],ROW()-ROW(Payslip_Lookup[#Headers]))="","",INDEX(Salary_Calculation[Rider Balance],ROW()-ROW(Payslip_Lookup[#Headers])))</f>
        <v/>
      </c>
      <c r="W193" s="176" t="str">
        <f aca="false">IF(INDEX(Salary_Calculation[Source Row],ROW()-ROW(Payslip_Lookup[#Headers]))="","",INDEX(Salary_Calculation[stacking_deduction],ROW()-ROW(Payslip_Lookup[#Headers])))</f>
        <v/>
      </c>
      <c r="X193" s="176" t="str">
        <f aca="false">IF(INDEX(Salary_Calculation[Source Row],ROW()-ROW(Payslip_Lookup[#Headers]))="","",INDEX(Salary_Calculation[Other Deductions],ROW()-ROW(Payslip_Lookup[#Headers])))</f>
        <v/>
      </c>
      <c r="Y193" s="176" t="str">
        <f aca="false">IF(INDEX(Salary_Calculation[Source Row],ROW()-ROW(Payslip_Lookup[#Headers]))="","",INDEX(Salary_Calculation[Total Deductions],ROW()-ROW(Payslip_Lookup[#Headers])))</f>
        <v/>
      </c>
      <c r="Z193" s="176" t="str">
        <f aca="false">IF(INDEX(Salary_Calculation[Source Row],ROW()-ROW(Payslip_Lookup[#Headers]))="","",INDEX(Salary_Calculation[Final Salary],ROW()-ROW(Payslip_Lookup[#Headers])))</f>
        <v/>
      </c>
      <c r="AA193" s="176" t="str">
        <f aca="false">IF(INDEX(Salary_Calculation[Source Row],ROW()-ROW(Payslip_Lookup[#Headers]))="","",INDEX(Salary_Calculation[Negative Balance / Amount Due from Rider],ROW()-ROW(Payslip_Lookup[#Headers])))</f>
        <v/>
      </c>
      <c r="AB193" s="176" t="str">
        <f aca="false">IF(INDEX(Salary_Calculation[Source Row],ROW()-ROW(Payslip_Lookup[#Headers]))="","",INDEX(Salary_Calculation[Total Amount Due from Rider],ROW()-ROW(Payslip_Lookup[#Headers])))</f>
        <v/>
      </c>
      <c r="AC193" s="176" t="str">
        <f aca="false">IF(INDEX(Salary_Calculation[Source Row],ROW()-ROW(Payslip_Lookup[#Headers]))="","",INDEX(Salary_Calculation[Salary Before Other Deductions],ROW()-ROW(Payslip_Lookup[#Headers])))</f>
        <v/>
      </c>
      <c r="AD193" s="171" t="str">
        <f aca="false">IF(INDEX(Salary_Calculation[Source Row],ROW()-ROW(Payslip_Lookup[#Headers]))="","",INDEX(Salary_Calculation[Payment Status],ROW()-ROW(Payslip_Lookup[#Headers])))</f>
        <v/>
      </c>
      <c r="AE193" s="171" t="str">
        <f aca="false">IF(INDEX(Salary_Calculation[Source Row],ROW()-ROW(Payslip_Lookup[#Headers]))="","",INDEX(Salary_Calculation[Notes],ROW()-ROW(Payslip_Lookup[#Headers])))</f>
        <v/>
      </c>
      <c r="AF193" s="171" t="str">
        <f aca="false">IF(INDEX(Salary_Calculation[Source Row],ROW()-ROW(Payslip_Lookup[#Headers]))="","",INDEX(Salary_Calculation[Exception Reason],ROW()-ROW(Payslip_Lookup[#Headers])))</f>
        <v/>
      </c>
      <c r="AG193" s="173" t="str">
        <f aca="false">IF($AD193="Review Required",COUNTIF(AD$2:AD193,"Review Required"),"")</f>
        <v/>
      </c>
      <c r="AH193" s="173" t="str">
        <f aca="false">IF(AND($D193&lt;&gt;"",$B193=Payslip_Print!$C$2),MAX(AH$1:AH192)+1,"")</f>
        <v/>
      </c>
      <c r="AL193" s="178" t="str">
        <f aca="false">IFERROR(INDEX($D$2:$D$501,MATCH(ROW()-1,$AH$2:$AH$501,0)),"")</f>
        <v/>
      </c>
      <c r="AM193" s="179" t="str">
        <f aca="false">IF($Z193="","",IF(AND($C193&gt;=Dash_Start,$C193&lt;Dash_End),$Z193+ROW()/10000000,""))</f>
        <v/>
      </c>
    </row>
    <row r="194" customFormat="false" ht="14.25" hidden="false" customHeight="false" outlineLevel="0" collapsed="false">
      <c r="A194" s="171" t="str">
        <f aca="false">IF(Payslip_Lookup[[#This Row],[Rider ID]]="","",Payslip_Lookup[[#This Row],[Rider ID]]&amp;"|"&amp;Payslip_Lookup[[#This Row],[Month Key]])</f>
        <v/>
      </c>
      <c r="B194" s="172" t="str">
        <f aca="false">IF(ISNUMBER(Payslip_Lookup[[#This Row],[Salary Month]]),DATE(YEAR(Payslip_Lookup[[#This Row],[Salary Month]]),MONTH(Payslip_Lookup[[#This Row],[Salary Month]]),1),"")</f>
        <v/>
      </c>
      <c r="C194" s="172" t="str">
        <f aca="false">IF(INDEX(Salary_Calculation[Source Row],ROW()-ROW(Payslip_Lookup[#Headers]))="","",INDEX(Salary_Calculation[Salary Month],ROW()-ROW(Payslip_Lookup[#Headers])))</f>
        <v/>
      </c>
      <c r="D194" s="173" t="str">
        <f aca="false">IF(INDEX(Salary_Calculation[Source Row],ROW()-ROW(Payslip_Lookup[#Headers]))="","",INDEX(Salary_Calculation[Rider ID],ROW()-ROW(Payslip_Lookup[#Headers])))</f>
        <v/>
      </c>
      <c r="E194" s="171" t="str">
        <f aca="false">IF(INDEX(Salary_Calculation[Source Row],ROW()-ROW(Payslip_Lookup[#Headers]))="","",INDEX(Salary_Calculation[Rider Name],ROW()-ROW(Payslip_Lookup[#Headers])))</f>
        <v/>
      </c>
      <c r="F194" s="173" t="str">
        <f aca="false">IF(INDEX(Salary_Calculation[Source Row],ROW()-ROW(Payslip_Lookup[#Headers]))="","",INDEX(Salary_Calculation[Working Days],ROW()-ROW(Payslip_Lookup[#Headers])))</f>
        <v/>
      </c>
      <c r="G194" s="173" t="str">
        <f aca="false">IF(INDEX(Salary_Calculation[Source Row],ROW()-ROW(Payslip_Lookup[#Headers]))="","",INDEX(Salary_Calculation[Calendar Days],ROW()-ROW(Payslip_Lookup[#Headers])))</f>
        <v/>
      </c>
      <c r="H194" s="174" t="str">
        <f aca="false">IF(INDEX(Salary_Calculation[Source Row],ROW()-ROW(Payslip_Lookup[#Headers]))="","",INDEX(Salary_Calculation[Monthly Target Orders],ROW()-ROW(Payslip_Lookup[#Headers])))</f>
        <v/>
      </c>
      <c r="I194" s="174" t="str">
        <f aca="false">IF(INDEX(Salary_Calculation[Source Row],ROW()-ROW(Payslip_Lookup[#Headers]))="","",INDEX(Salary_Calculation[Rider Target Orders],ROW()-ROW(Payslip_Lookup[#Headers])))</f>
        <v/>
      </c>
      <c r="J194" s="175" t="str">
        <f aca="false">IF(INDEX(Salary_Calculation[Source Row],ROW()-ROW(Payslip_Lookup[#Headers]))="","",INDEX(Salary_Calculation[Completed Orders],ROW()-ROW(Payslip_Lookup[#Headers])))</f>
        <v/>
      </c>
      <c r="K194" s="174" t="str">
        <f aca="false">IF(INDEX(Salary_Calculation[Source Row],ROW()-ROW(Payslip_Lookup[#Headers]))="","",INDEX(Salary_Calculation[Base Order Rate],ROW()-ROW(Payslip_Lookup[#Headers])))</f>
        <v/>
      </c>
      <c r="L194" s="176" t="str">
        <f aca="false">IF(INDEX(Salary_Calculation[Source Row],ROW()-ROW(Payslip_Lookup[#Headers]))="","",INDEX(Salary_Calculation[Basic Payment],ROW()-ROW(Payslip_Lookup[#Headers])))</f>
        <v/>
      </c>
      <c r="M194" s="176" t="str">
        <f aca="false">IF(INDEX(Salary_Calculation[Source Row],ROW()-ROW(Payslip_Lookup[#Headers]))="","",INDEX(Salary_Calculation[Earned Salary],ROW()-ROW(Payslip_Lookup[#Headers])))</f>
        <v/>
      </c>
      <c r="N194" s="174" t="str">
        <f aca="false">IF(INDEX(Salary_Calculation[Source Row],ROW()-ROW(Payslip_Lookup[#Headers]))="","",INDEX(Salary_Calculation[Orders Counted at Base Rate],ROW()-ROW(Payslip_Lookup[#Headers])))</f>
        <v/>
      </c>
      <c r="O194" s="174" t="str">
        <f aca="false">IF(INDEX(Salary_Calculation[Source Row],ROW()-ROW(Payslip_Lookup[#Headers]))="","",INDEX(Salary_Calculation[Missing Orders],ROW()-ROW(Payslip_Lookup[#Headers])))</f>
        <v/>
      </c>
      <c r="P194" s="176" t="str">
        <f aca="false">IF(INDEX(Salary_Calculation[Source Row],ROW()-ROW(Payslip_Lookup[#Headers]))="","",INDEX(Salary_Calculation[Missing-Order Deduction],ROW()-ROW(Payslip_Lookup[#Headers])))</f>
        <v/>
      </c>
      <c r="Q194" s="174" t="str">
        <f aca="false">IF(INDEX(Salary_Calculation[Source Row],ROW()-ROW(Payslip_Lookup[#Headers]))="","",INDEX(Salary_Calculation[Extra Orders],ROW()-ROW(Payslip_Lookup[#Headers])))</f>
        <v/>
      </c>
      <c r="R194" s="176" t="str">
        <f aca="false">IF(INDEX(Salary_Calculation[Source Row],ROW()-ROW(Payslip_Lookup[#Headers]))="","",INDEX(Salary_Calculation[Extra-Order Bonus],ROW()-ROW(Payslip_Lookup[#Headers])))</f>
        <v/>
      </c>
      <c r="S194" s="176" t="str">
        <f aca="false">IF(INDEX(Salary_Calculation[Source Row],ROW()-ROW(Payslip_Lookup[#Headers]))="","",INDEX(Salary_Calculation[Basic Salary for Target],ROW()-ROW(Payslip_Lookup[#Headers])))</f>
        <v/>
      </c>
      <c r="T194" s="176" t="str">
        <f aca="false">IF(INDEX(Salary_Calculation[Source Row],ROW()-ROW(Payslip_Lookup[#Headers]))="","",INDEX(Salary_Calculation[Gross Salary Before Deductions],ROW()-ROW(Payslip_Lookup[#Headers])))</f>
        <v/>
      </c>
      <c r="U194" s="176" t="str">
        <f aca="false">IF(INDEX(Salary_Calculation[Source Row],ROW()-ROW(Payslip_Lookup[#Headers]))="","",INDEX(Salary_Calculation[missed_days_penalty],ROW()-ROW(Payslip_Lookup[#Headers])))</f>
        <v/>
      </c>
      <c r="V194" s="176" t="str">
        <f aca="false">IF(INDEX(Salary_Calculation[Source Row],ROW()-ROW(Payslip_Lookup[#Headers]))="","",INDEX(Salary_Calculation[Rider Balance],ROW()-ROW(Payslip_Lookup[#Headers])))</f>
        <v/>
      </c>
      <c r="W194" s="176" t="str">
        <f aca="false">IF(INDEX(Salary_Calculation[Source Row],ROW()-ROW(Payslip_Lookup[#Headers]))="","",INDEX(Salary_Calculation[stacking_deduction],ROW()-ROW(Payslip_Lookup[#Headers])))</f>
        <v/>
      </c>
      <c r="X194" s="176" t="str">
        <f aca="false">IF(INDEX(Salary_Calculation[Source Row],ROW()-ROW(Payslip_Lookup[#Headers]))="","",INDEX(Salary_Calculation[Other Deductions],ROW()-ROW(Payslip_Lookup[#Headers])))</f>
        <v/>
      </c>
      <c r="Y194" s="176" t="str">
        <f aca="false">IF(INDEX(Salary_Calculation[Source Row],ROW()-ROW(Payslip_Lookup[#Headers]))="","",INDEX(Salary_Calculation[Total Deductions],ROW()-ROW(Payslip_Lookup[#Headers])))</f>
        <v/>
      </c>
      <c r="Z194" s="176" t="str">
        <f aca="false">IF(INDEX(Salary_Calculation[Source Row],ROW()-ROW(Payslip_Lookup[#Headers]))="","",INDEX(Salary_Calculation[Final Salary],ROW()-ROW(Payslip_Lookup[#Headers])))</f>
        <v/>
      </c>
      <c r="AA194" s="176" t="str">
        <f aca="false">IF(INDEX(Salary_Calculation[Source Row],ROW()-ROW(Payslip_Lookup[#Headers]))="","",INDEX(Salary_Calculation[Negative Balance / Amount Due from Rider],ROW()-ROW(Payslip_Lookup[#Headers])))</f>
        <v/>
      </c>
      <c r="AB194" s="176" t="str">
        <f aca="false">IF(INDEX(Salary_Calculation[Source Row],ROW()-ROW(Payslip_Lookup[#Headers]))="","",INDEX(Salary_Calculation[Total Amount Due from Rider],ROW()-ROW(Payslip_Lookup[#Headers])))</f>
        <v/>
      </c>
      <c r="AC194" s="176" t="str">
        <f aca="false">IF(INDEX(Salary_Calculation[Source Row],ROW()-ROW(Payslip_Lookup[#Headers]))="","",INDEX(Salary_Calculation[Salary Before Other Deductions],ROW()-ROW(Payslip_Lookup[#Headers])))</f>
        <v/>
      </c>
      <c r="AD194" s="171" t="str">
        <f aca="false">IF(INDEX(Salary_Calculation[Source Row],ROW()-ROW(Payslip_Lookup[#Headers]))="","",INDEX(Salary_Calculation[Payment Status],ROW()-ROW(Payslip_Lookup[#Headers])))</f>
        <v/>
      </c>
      <c r="AE194" s="171" t="str">
        <f aca="false">IF(INDEX(Salary_Calculation[Source Row],ROW()-ROW(Payslip_Lookup[#Headers]))="","",INDEX(Salary_Calculation[Notes],ROW()-ROW(Payslip_Lookup[#Headers])))</f>
        <v/>
      </c>
      <c r="AF194" s="171" t="str">
        <f aca="false">IF(INDEX(Salary_Calculation[Source Row],ROW()-ROW(Payslip_Lookup[#Headers]))="","",INDEX(Salary_Calculation[Exception Reason],ROW()-ROW(Payslip_Lookup[#Headers])))</f>
        <v/>
      </c>
      <c r="AG194" s="173" t="str">
        <f aca="false">IF($AD194="Review Required",COUNTIF(AD$2:AD194,"Review Required"),"")</f>
        <v/>
      </c>
      <c r="AH194" s="173" t="str">
        <f aca="false">IF(AND($D194&lt;&gt;"",$B194=Payslip_Print!$C$2),MAX(AH$1:AH193)+1,"")</f>
        <v/>
      </c>
      <c r="AL194" s="178" t="str">
        <f aca="false">IFERROR(INDEX($D$2:$D$501,MATCH(ROW()-1,$AH$2:$AH$501,0)),"")</f>
        <v/>
      </c>
      <c r="AM194" s="179" t="str">
        <f aca="false">IF($Z194="","",IF(AND($C194&gt;=Dash_Start,$C194&lt;Dash_End),$Z194+ROW()/10000000,""))</f>
        <v/>
      </c>
    </row>
    <row r="195" customFormat="false" ht="14.25" hidden="false" customHeight="false" outlineLevel="0" collapsed="false">
      <c r="A195" s="171" t="str">
        <f aca="false">IF(Payslip_Lookup[[#This Row],[Rider ID]]="","",Payslip_Lookup[[#This Row],[Rider ID]]&amp;"|"&amp;Payslip_Lookup[[#This Row],[Month Key]])</f>
        <v/>
      </c>
      <c r="B195" s="172" t="str">
        <f aca="false">IF(ISNUMBER(Payslip_Lookup[[#This Row],[Salary Month]]),DATE(YEAR(Payslip_Lookup[[#This Row],[Salary Month]]),MONTH(Payslip_Lookup[[#This Row],[Salary Month]]),1),"")</f>
        <v/>
      </c>
      <c r="C195" s="172" t="str">
        <f aca="false">IF(INDEX(Salary_Calculation[Source Row],ROW()-ROW(Payslip_Lookup[#Headers]))="","",INDEX(Salary_Calculation[Salary Month],ROW()-ROW(Payslip_Lookup[#Headers])))</f>
        <v/>
      </c>
      <c r="D195" s="173" t="str">
        <f aca="false">IF(INDEX(Salary_Calculation[Source Row],ROW()-ROW(Payslip_Lookup[#Headers]))="","",INDEX(Salary_Calculation[Rider ID],ROW()-ROW(Payslip_Lookup[#Headers])))</f>
        <v/>
      </c>
      <c r="E195" s="171" t="str">
        <f aca="false">IF(INDEX(Salary_Calculation[Source Row],ROW()-ROW(Payslip_Lookup[#Headers]))="","",INDEX(Salary_Calculation[Rider Name],ROW()-ROW(Payslip_Lookup[#Headers])))</f>
        <v/>
      </c>
      <c r="F195" s="173" t="str">
        <f aca="false">IF(INDEX(Salary_Calculation[Source Row],ROW()-ROW(Payslip_Lookup[#Headers]))="","",INDEX(Salary_Calculation[Working Days],ROW()-ROW(Payslip_Lookup[#Headers])))</f>
        <v/>
      </c>
      <c r="G195" s="173" t="str">
        <f aca="false">IF(INDEX(Salary_Calculation[Source Row],ROW()-ROW(Payslip_Lookup[#Headers]))="","",INDEX(Salary_Calculation[Calendar Days],ROW()-ROW(Payslip_Lookup[#Headers])))</f>
        <v/>
      </c>
      <c r="H195" s="174" t="str">
        <f aca="false">IF(INDEX(Salary_Calculation[Source Row],ROW()-ROW(Payslip_Lookup[#Headers]))="","",INDEX(Salary_Calculation[Monthly Target Orders],ROW()-ROW(Payslip_Lookup[#Headers])))</f>
        <v/>
      </c>
      <c r="I195" s="174" t="str">
        <f aca="false">IF(INDEX(Salary_Calculation[Source Row],ROW()-ROW(Payslip_Lookup[#Headers]))="","",INDEX(Salary_Calculation[Rider Target Orders],ROW()-ROW(Payslip_Lookup[#Headers])))</f>
        <v/>
      </c>
      <c r="J195" s="175" t="str">
        <f aca="false">IF(INDEX(Salary_Calculation[Source Row],ROW()-ROW(Payslip_Lookup[#Headers]))="","",INDEX(Salary_Calculation[Completed Orders],ROW()-ROW(Payslip_Lookup[#Headers])))</f>
        <v/>
      </c>
      <c r="K195" s="174" t="str">
        <f aca="false">IF(INDEX(Salary_Calculation[Source Row],ROW()-ROW(Payslip_Lookup[#Headers]))="","",INDEX(Salary_Calculation[Base Order Rate],ROW()-ROW(Payslip_Lookup[#Headers])))</f>
        <v/>
      </c>
      <c r="L195" s="176" t="str">
        <f aca="false">IF(INDEX(Salary_Calculation[Source Row],ROW()-ROW(Payslip_Lookup[#Headers]))="","",INDEX(Salary_Calculation[Basic Payment],ROW()-ROW(Payslip_Lookup[#Headers])))</f>
        <v/>
      </c>
      <c r="M195" s="176" t="str">
        <f aca="false">IF(INDEX(Salary_Calculation[Source Row],ROW()-ROW(Payslip_Lookup[#Headers]))="","",INDEX(Salary_Calculation[Earned Salary],ROW()-ROW(Payslip_Lookup[#Headers])))</f>
        <v/>
      </c>
      <c r="N195" s="174" t="str">
        <f aca="false">IF(INDEX(Salary_Calculation[Source Row],ROW()-ROW(Payslip_Lookup[#Headers]))="","",INDEX(Salary_Calculation[Orders Counted at Base Rate],ROW()-ROW(Payslip_Lookup[#Headers])))</f>
        <v/>
      </c>
      <c r="O195" s="174" t="str">
        <f aca="false">IF(INDEX(Salary_Calculation[Source Row],ROW()-ROW(Payslip_Lookup[#Headers]))="","",INDEX(Salary_Calculation[Missing Orders],ROW()-ROW(Payslip_Lookup[#Headers])))</f>
        <v/>
      </c>
      <c r="P195" s="176" t="str">
        <f aca="false">IF(INDEX(Salary_Calculation[Source Row],ROW()-ROW(Payslip_Lookup[#Headers]))="","",INDEX(Salary_Calculation[Missing-Order Deduction],ROW()-ROW(Payslip_Lookup[#Headers])))</f>
        <v/>
      </c>
      <c r="Q195" s="174" t="str">
        <f aca="false">IF(INDEX(Salary_Calculation[Source Row],ROW()-ROW(Payslip_Lookup[#Headers]))="","",INDEX(Salary_Calculation[Extra Orders],ROW()-ROW(Payslip_Lookup[#Headers])))</f>
        <v/>
      </c>
      <c r="R195" s="176" t="str">
        <f aca="false">IF(INDEX(Salary_Calculation[Source Row],ROW()-ROW(Payslip_Lookup[#Headers]))="","",INDEX(Salary_Calculation[Extra-Order Bonus],ROW()-ROW(Payslip_Lookup[#Headers])))</f>
        <v/>
      </c>
      <c r="S195" s="176" t="str">
        <f aca="false">IF(INDEX(Salary_Calculation[Source Row],ROW()-ROW(Payslip_Lookup[#Headers]))="","",INDEX(Salary_Calculation[Basic Salary for Target],ROW()-ROW(Payslip_Lookup[#Headers])))</f>
        <v/>
      </c>
      <c r="T195" s="176" t="str">
        <f aca="false">IF(INDEX(Salary_Calculation[Source Row],ROW()-ROW(Payslip_Lookup[#Headers]))="","",INDEX(Salary_Calculation[Gross Salary Before Deductions],ROW()-ROW(Payslip_Lookup[#Headers])))</f>
        <v/>
      </c>
      <c r="U195" s="176" t="str">
        <f aca="false">IF(INDEX(Salary_Calculation[Source Row],ROW()-ROW(Payslip_Lookup[#Headers]))="","",INDEX(Salary_Calculation[missed_days_penalty],ROW()-ROW(Payslip_Lookup[#Headers])))</f>
        <v/>
      </c>
      <c r="V195" s="176" t="str">
        <f aca="false">IF(INDEX(Salary_Calculation[Source Row],ROW()-ROW(Payslip_Lookup[#Headers]))="","",INDEX(Salary_Calculation[Rider Balance],ROW()-ROW(Payslip_Lookup[#Headers])))</f>
        <v/>
      </c>
      <c r="W195" s="176" t="str">
        <f aca="false">IF(INDEX(Salary_Calculation[Source Row],ROW()-ROW(Payslip_Lookup[#Headers]))="","",INDEX(Salary_Calculation[stacking_deduction],ROW()-ROW(Payslip_Lookup[#Headers])))</f>
        <v/>
      </c>
      <c r="X195" s="176" t="str">
        <f aca="false">IF(INDEX(Salary_Calculation[Source Row],ROW()-ROW(Payslip_Lookup[#Headers]))="","",INDEX(Salary_Calculation[Other Deductions],ROW()-ROW(Payslip_Lookup[#Headers])))</f>
        <v/>
      </c>
      <c r="Y195" s="176" t="str">
        <f aca="false">IF(INDEX(Salary_Calculation[Source Row],ROW()-ROW(Payslip_Lookup[#Headers]))="","",INDEX(Salary_Calculation[Total Deductions],ROW()-ROW(Payslip_Lookup[#Headers])))</f>
        <v/>
      </c>
      <c r="Z195" s="176" t="str">
        <f aca="false">IF(INDEX(Salary_Calculation[Source Row],ROW()-ROW(Payslip_Lookup[#Headers]))="","",INDEX(Salary_Calculation[Final Salary],ROW()-ROW(Payslip_Lookup[#Headers])))</f>
        <v/>
      </c>
      <c r="AA195" s="176" t="str">
        <f aca="false">IF(INDEX(Salary_Calculation[Source Row],ROW()-ROW(Payslip_Lookup[#Headers]))="","",INDEX(Salary_Calculation[Negative Balance / Amount Due from Rider],ROW()-ROW(Payslip_Lookup[#Headers])))</f>
        <v/>
      </c>
      <c r="AB195" s="176" t="str">
        <f aca="false">IF(INDEX(Salary_Calculation[Source Row],ROW()-ROW(Payslip_Lookup[#Headers]))="","",INDEX(Salary_Calculation[Total Amount Due from Rider],ROW()-ROW(Payslip_Lookup[#Headers])))</f>
        <v/>
      </c>
      <c r="AC195" s="176" t="str">
        <f aca="false">IF(INDEX(Salary_Calculation[Source Row],ROW()-ROW(Payslip_Lookup[#Headers]))="","",INDEX(Salary_Calculation[Salary Before Other Deductions],ROW()-ROW(Payslip_Lookup[#Headers])))</f>
        <v/>
      </c>
      <c r="AD195" s="171" t="str">
        <f aca="false">IF(INDEX(Salary_Calculation[Source Row],ROW()-ROW(Payslip_Lookup[#Headers]))="","",INDEX(Salary_Calculation[Payment Status],ROW()-ROW(Payslip_Lookup[#Headers])))</f>
        <v/>
      </c>
      <c r="AE195" s="171" t="str">
        <f aca="false">IF(INDEX(Salary_Calculation[Source Row],ROW()-ROW(Payslip_Lookup[#Headers]))="","",INDEX(Salary_Calculation[Notes],ROW()-ROW(Payslip_Lookup[#Headers])))</f>
        <v/>
      </c>
      <c r="AF195" s="171" t="str">
        <f aca="false">IF(INDEX(Salary_Calculation[Source Row],ROW()-ROW(Payslip_Lookup[#Headers]))="","",INDEX(Salary_Calculation[Exception Reason],ROW()-ROW(Payslip_Lookup[#Headers])))</f>
        <v/>
      </c>
      <c r="AG195" s="173" t="str">
        <f aca="false">IF($AD195="Review Required",COUNTIF(AD$2:AD195,"Review Required"),"")</f>
        <v/>
      </c>
      <c r="AH195" s="173" t="str">
        <f aca="false">IF(AND($D195&lt;&gt;"",$B195=Payslip_Print!$C$2),MAX(AH$1:AH194)+1,"")</f>
        <v/>
      </c>
      <c r="AL195" s="178" t="str">
        <f aca="false">IFERROR(INDEX($D$2:$D$501,MATCH(ROW()-1,$AH$2:$AH$501,0)),"")</f>
        <v/>
      </c>
      <c r="AM195" s="179" t="str">
        <f aca="false">IF($Z195="","",IF(AND($C195&gt;=Dash_Start,$C195&lt;Dash_End),$Z195+ROW()/10000000,""))</f>
        <v/>
      </c>
    </row>
    <row r="196" customFormat="false" ht="14.25" hidden="false" customHeight="false" outlineLevel="0" collapsed="false">
      <c r="A196" s="171" t="str">
        <f aca="false">IF(Payslip_Lookup[[#This Row],[Rider ID]]="","",Payslip_Lookup[[#This Row],[Rider ID]]&amp;"|"&amp;Payslip_Lookup[[#This Row],[Month Key]])</f>
        <v/>
      </c>
      <c r="B196" s="172" t="str">
        <f aca="false">IF(ISNUMBER(Payslip_Lookup[[#This Row],[Salary Month]]),DATE(YEAR(Payslip_Lookup[[#This Row],[Salary Month]]),MONTH(Payslip_Lookup[[#This Row],[Salary Month]]),1),"")</f>
        <v/>
      </c>
      <c r="C196" s="172" t="str">
        <f aca="false">IF(INDEX(Salary_Calculation[Source Row],ROW()-ROW(Payslip_Lookup[#Headers]))="","",INDEX(Salary_Calculation[Salary Month],ROW()-ROW(Payslip_Lookup[#Headers])))</f>
        <v/>
      </c>
      <c r="D196" s="173" t="str">
        <f aca="false">IF(INDEX(Salary_Calculation[Source Row],ROW()-ROW(Payslip_Lookup[#Headers]))="","",INDEX(Salary_Calculation[Rider ID],ROW()-ROW(Payslip_Lookup[#Headers])))</f>
        <v/>
      </c>
      <c r="E196" s="171" t="str">
        <f aca="false">IF(INDEX(Salary_Calculation[Source Row],ROW()-ROW(Payslip_Lookup[#Headers]))="","",INDEX(Salary_Calculation[Rider Name],ROW()-ROW(Payslip_Lookup[#Headers])))</f>
        <v/>
      </c>
      <c r="F196" s="173" t="str">
        <f aca="false">IF(INDEX(Salary_Calculation[Source Row],ROW()-ROW(Payslip_Lookup[#Headers]))="","",INDEX(Salary_Calculation[Working Days],ROW()-ROW(Payslip_Lookup[#Headers])))</f>
        <v/>
      </c>
      <c r="G196" s="173" t="str">
        <f aca="false">IF(INDEX(Salary_Calculation[Source Row],ROW()-ROW(Payslip_Lookup[#Headers]))="","",INDEX(Salary_Calculation[Calendar Days],ROW()-ROW(Payslip_Lookup[#Headers])))</f>
        <v/>
      </c>
      <c r="H196" s="174" t="str">
        <f aca="false">IF(INDEX(Salary_Calculation[Source Row],ROW()-ROW(Payslip_Lookup[#Headers]))="","",INDEX(Salary_Calculation[Monthly Target Orders],ROW()-ROW(Payslip_Lookup[#Headers])))</f>
        <v/>
      </c>
      <c r="I196" s="174" t="str">
        <f aca="false">IF(INDEX(Salary_Calculation[Source Row],ROW()-ROW(Payslip_Lookup[#Headers]))="","",INDEX(Salary_Calculation[Rider Target Orders],ROW()-ROW(Payslip_Lookup[#Headers])))</f>
        <v/>
      </c>
      <c r="J196" s="175" t="str">
        <f aca="false">IF(INDEX(Salary_Calculation[Source Row],ROW()-ROW(Payslip_Lookup[#Headers]))="","",INDEX(Salary_Calculation[Completed Orders],ROW()-ROW(Payslip_Lookup[#Headers])))</f>
        <v/>
      </c>
      <c r="K196" s="174" t="str">
        <f aca="false">IF(INDEX(Salary_Calculation[Source Row],ROW()-ROW(Payslip_Lookup[#Headers]))="","",INDEX(Salary_Calculation[Base Order Rate],ROW()-ROW(Payslip_Lookup[#Headers])))</f>
        <v/>
      </c>
      <c r="L196" s="176" t="str">
        <f aca="false">IF(INDEX(Salary_Calculation[Source Row],ROW()-ROW(Payslip_Lookup[#Headers]))="","",INDEX(Salary_Calculation[Basic Payment],ROW()-ROW(Payslip_Lookup[#Headers])))</f>
        <v/>
      </c>
      <c r="M196" s="176" t="str">
        <f aca="false">IF(INDEX(Salary_Calculation[Source Row],ROW()-ROW(Payslip_Lookup[#Headers]))="","",INDEX(Salary_Calculation[Earned Salary],ROW()-ROW(Payslip_Lookup[#Headers])))</f>
        <v/>
      </c>
      <c r="N196" s="174" t="str">
        <f aca="false">IF(INDEX(Salary_Calculation[Source Row],ROW()-ROW(Payslip_Lookup[#Headers]))="","",INDEX(Salary_Calculation[Orders Counted at Base Rate],ROW()-ROW(Payslip_Lookup[#Headers])))</f>
        <v/>
      </c>
      <c r="O196" s="174" t="str">
        <f aca="false">IF(INDEX(Salary_Calculation[Source Row],ROW()-ROW(Payslip_Lookup[#Headers]))="","",INDEX(Salary_Calculation[Missing Orders],ROW()-ROW(Payslip_Lookup[#Headers])))</f>
        <v/>
      </c>
      <c r="P196" s="176" t="str">
        <f aca="false">IF(INDEX(Salary_Calculation[Source Row],ROW()-ROW(Payslip_Lookup[#Headers]))="","",INDEX(Salary_Calculation[Missing-Order Deduction],ROW()-ROW(Payslip_Lookup[#Headers])))</f>
        <v/>
      </c>
      <c r="Q196" s="174" t="str">
        <f aca="false">IF(INDEX(Salary_Calculation[Source Row],ROW()-ROW(Payslip_Lookup[#Headers]))="","",INDEX(Salary_Calculation[Extra Orders],ROW()-ROW(Payslip_Lookup[#Headers])))</f>
        <v/>
      </c>
      <c r="R196" s="176" t="str">
        <f aca="false">IF(INDEX(Salary_Calculation[Source Row],ROW()-ROW(Payslip_Lookup[#Headers]))="","",INDEX(Salary_Calculation[Extra-Order Bonus],ROW()-ROW(Payslip_Lookup[#Headers])))</f>
        <v/>
      </c>
      <c r="S196" s="176" t="str">
        <f aca="false">IF(INDEX(Salary_Calculation[Source Row],ROW()-ROW(Payslip_Lookup[#Headers]))="","",INDEX(Salary_Calculation[Basic Salary for Target],ROW()-ROW(Payslip_Lookup[#Headers])))</f>
        <v/>
      </c>
      <c r="T196" s="176" t="str">
        <f aca="false">IF(INDEX(Salary_Calculation[Source Row],ROW()-ROW(Payslip_Lookup[#Headers]))="","",INDEX(Salary_Calculation[Gross Salary Before Deductions],ROW()-ROW(Payslip_Lookup[#Headers])))</f>
        <v/>
      </c>
      <c r="U196" s="176" t="str">
        <f aca="false">IF(INDEX(Salary_Calculation[Source Row],ROW()-ROW(Payslip_Lookup[#Headers]))="","",INDEX(Salary_Calculation[missed_days_penalty],ROW()-ROW(Payslip_Lookup[#Headers])))</f>
        <v/>
      </c>
      <c r="V196" s="176" t="str">
        <f aca="false">IF(INDEX(Salary_Calculation[Source Row],ROW()-ROW(Payslip_Lookup[#Headers]))="","",INDEX(Salary_Calculation[Rider Balance],ROW()-ROW(Payslip_Lookup[#Headers])))</f>
        <v/>
      </c>
      <c r="W196" s="176" t="str">
        <f aca="false">IF(INDEX(Salary_Calculation[Source Row],ROW()-ROW(Payslip_Lookup[#Headers]))="","",INDEX(Salary_Calculation[stacking_deduction],ROW()-ROW(Payslip_Lookup[#Headers])))</f>
        <v/>
      </c>
      <c r="X196" s="176" t="str">
        <f aca="false">IF(INDEX(Salary_Calculation[Source Row],ROW()-ROW(Payslip_Lookup[#Headers]))="","",INDEX(Salary_Calculation[Other Deductions],ROW()-ROW(Payslip_Lookup[#Headers])))</f>
        <v/>
      </c>
      <c r="Y196" s="176" t="str">
        <f aca="false">IF(INDEX(Salary_Calculation[Source Row],ROW()-ROW(Payslip_Lookup[#Headers]))="","",INDEX(Salary_Calculation[Total Deductions],ROW()-ROW(Payslip_Lookup[#Headers])))</f>
        <v/>
      </c>
      <c r="Z196" s="176" t="str">
        <f aca="false">IF(INDEX(Salary_Calculation[Source Row],ROW()-ROW(Payslip_Lookup[#Headers]))="","",INDEX(Salary_Calculation[Final Salary],ROW()-ROW(Payslip_Lookup[#Headers])))</f>
        <v/>
      </c>
      <c r="AA196" s="176" t="str">
        <f aca="false">IF(INDEX(Salary_Calculation[Source Row],ROW()-ROW(Payslip_Lookup[#Headers]))="","",INDEX(Salary_Calculation[Negative Balance / Amount Due from Rider],ROW()-ROW(Payslip_Lookup[#Headers])))</f>
        <v/>
      </c>
      <c r="AB196" s="176" t="str">
        <f aca="false">IF(INDEX(Salary_Calculation[Source Row],ROW()-ROW(Payslip_Lookup[#Headers]))="","",INDEX(Salary_Calculation[Total Amount Due from Rider],ROW()-ROW(Payslip_Lookup[#Headers])))</f>
        <v/>
      </c>
      <c r="AC196" s="176" t="str">
        <f aca="false">IF(INDEX(Salary_Calculation[Source Row],ROW()-ROW(Payslip_Lookup[#Headers]))="","",INDEX(Salary_Calculation[Salary Before Other Deductions],ROW()-ROW(Payslip_Lookup[#Headers])))</f>
        <v/>
      </c>
      <c r="AD196" s="171" t="str">
        <f aca="false">IF(INDEX(Salary_Calculation[Source Row],ROW()-ROW(Payslip_Lookup[#Headers]))="","",INDEX(Salary_Calculation[Payment Status],ROW()-ROW(Payslip_Lookup[#Headers])))</f>
        <v/>
      </c>
      <c r="AE196" s="171" t="str">
        <f aca="false">IF(INDEX(Salary_Calculation[Source Row],ROW()-ROW(Payslip_Lookup[#Headers]))="","",INDEX(Salary_Calculation[Notes],ROW()-ROW(Payslip_Lookup[#Headers])))</f>
        <v/>
      </c>
      <c r="AF196" s="171" t="str">
        <f aca="false">IF(INDEX(Salary_Calculation[Source Row],ROW()-ROW(Payslip_Lookup[#Headers]))="","",INDEX(Salary_Calculation[Exception Reason],ROW()-ROW(Payslip_Lookup[#Headers])))</f>
        <v/>
      </c>
      <c r="AG196" s="173" t="str">
        <f aca="false">IF($AD196="Review Required",COUNTIF(AD$2:AD196,"Review Required"),"")</f>
        <v/>
      </c>
      <c r="AH196" s="173" t="str">
        <f aca="false">IF(AND($D196&lt;&gt;"",$B196=Payslip_Print!$C$2),MAX(AH$1:AH195)+1,"")</f>
        <v/>
      </c>
      <c r="AL196" s="178" t="str">
        <f aca="false">IFERROR(INDEX($D$2:$D$501,MATCH(ROW()-1,$AH$2:$AH$501,0)),"")</f>
        <v/>
      </c>
      <c r="AM196" s="179" t="str">
        <f aca="false">IF($Z196="","",IF(AND($C196&gt;=Dash_Start,$C196&lt;Dash_End),$Z196+ROW()/10000000,""))</f>
        <v/>
      </c>
    </row>
    <row r="197" customFormat="false" ht="14.25" hidden="false" customHeight="false" outlineLevel="0" collapsed="false">
      <c r="A197" s="171" t="str">
        <f aca="false">IF(Payslip_Lookup[[#This Row],[Rider ID]]="","",Payslip_Lookup[[#This Row],[Rider ID]]&amp;"|"&amp;Payslip_Lookup[[#This Row],[Month Key]])</f>
        <v/>
      </c>
      <c r="B197" s="172" t="str">
        <f aca="false">IF(ISNUMBER(Payslip_Lookup[[#This Row],[Salary Month]]),DATE(YEAR(Payslip_Lookup[[#This Row],[Salary Month]]),MONTH(Payslip_Lookup[[#This Row],[Salary Month]]),1),"")</f>
        <v/>
      </c>
      <c r="C197" s="172" t="str">
        <f aca="false">IF(INDEX(Salary_Calculation[Source Row],ROW()-ROW(Payslip_Lookup[#Headers]))="","",INDEX(Salary_Calculation[Salary Month],ROW()-ROW(Payslip_Lookup[#Headers])))</f>
        <v/>
      </c>
      <c r="D197" s="173" t="str">
        <f aca="false">IF(INDEX(Salary_Calculation[Source Row],ROW()-ROW(Payslip_Lookup[#Headers]))="","",INDEX(Salary_Calculation[Rider ID],ROW()-ROW(Payslip_Lookup[#Headers])))</f>
        <v/>
      </c>
      <c r="E197" s="171" t="str">
        <f aca="false">IF(INDEX(Salary_Calculation[Source Row],ROW()-ROW(Payslip_Lookup[#Headers]))="","",INDEX(Salary_Calculation[Rider Name],ROW()-ROW(Payslip_Lookup[#Headers])))</f>
        <v/>
      </c>
      <c r="F197" s="173" t="str">
        <f aca="false">IF(INDEX(Salary_Calculation[Source Row],ROW()-ROW(Payslip_Lookup[#Headers]))="","",INDEX(Salary_Calculation[Working Days],ROW()-ROW(Payslip_Lookup[#Headers])))</f>
        <v/>
      </c>
      <c r="G197" s="173" t="str">
        <f aca="false">IF(INDEX(Salary_Calculation[Source Row],ROW()-ROW(Payslip_Lookup[#Headers]))="","",INDEX(Salary_Calculation[Calendar Days],ROW()-ROW(Payslip_Lookup[#Headers])))</f>
        <v/>
      </c>
      <c r="H197" s="174" t="str">
        <f aca="false">IF(INDEX(Salary_Calculation[Source Row],ROW()-ROW(Payslip_Lookup[#Headers]))="","",INDEX(Salary_Calculation[Monthly Target Orders],ROW()-ROW(Payslip_Lookup[#Headers])))</f>
        <v/>
      </c>
      <c r="I197" s="174" t="str">
        <f aca="false">IF(INDEX(Salary_Calculation[Source Row],ROW()-ROW(Payslip_Lookup[#Headers]))="","",INDEX(Salary_Calculation[Rider Target Orders],ROW()-ROW(Payslip_Lookup[#Headers])))</f>
        <v/>
      </c>
      <c r="J197" s="175" t="str">
        <f aca="false">IF(INDEX(Salary_Calculation[Source Row],ROW()-ROW(Payslip_Lookup[#Headers]))="","",INDEX(Salary_Calculation[Completed Orders],ROW()-ROW(Payslip_Lookup[#Headers])))</f>
        <v/>
      </c>
      <c r="K197" s="174" t="str">
        <f aca="false">IF(INDEX(Salary_Calculation[Source Row],ROW()-ROW(Payslip_Lookup[#Headers]))="","",INDEX(Salary_Calculation[Base Order Rate],ROW()-ROW(Payslip_Lookup[#Headers])))</f>
        <v/>
      </c>
      <c r="L197" s="176" t="str">
        <f aca="false">IF(INDEX(Salary_Calculation[Source Row],ROW()-ROW(Payslip_Lookup[#Headers]))="","",INDEX(Salary_Calculation[Basic Payment],ROW()-ROW(Payslip_Lookup[#Headers])))</f>
        <v/>
      </c>
      <c r="M197" s="176" t="str">
        <f aca="false">IF(INDEX(Salary_Calculation[Source Row],ROW()-ROW(Payslip_Lookup[#Headers]))="","",INDEX(Salary_Calculation[Earned Salary],ROW()-ROW(Payslip_Lookup[#Headers])))</f>
        <v/>
      </c>
      <c r="N197" s="174" t="str">
        <f aca="false">IF(INDEX(Salary_Calculation[Source Row],ROW()-ROW(Payslip_Lookup[#Headers]))="","",INDEX(Salary_Calculation[Orders Counted at Base Rate],ROW()-ROW(Payslip_Lookup[#Headers])))</f>
        <v/>
      </c>
      <c r="O197" s="174" t="str">
        <f aca="false">IF(INDEX(Salary_Calculation[Source Row],ROW()-ROW(Payslip_Lookup[#Headers]))="","",INDEX(Salary_Calculation[Missing Orders],ROW()-ROW(Payslip_Lookup[#Headers])))</f>
        <v/>
      </c>
      <c r="P197" s="176" t="str">
        <f aca="false">IF(INDEX(Salary_Calculation[Source Row],ROW()-ROW(Payslip_Lookup[#Headers]))="","",INDEX(Salary_Calculation[Missing-Order Deduction],ROW()-ROW(Payslip_Lookup[#Headers])))</f>
        <v/>
      </c>
      <c r="Q197" s="174" t="str">
        <f aca="false">IF(INDEX(Salary_Calculation[Source Row],ROW()-ROW(Payslip_Lookup[#Headers]))="","",INDEX(Salary_Calculation[Extra Orders],ROW()-ROW(Payslip_Lookup[#Headers])))</f>
        <v/>
      </c>
      <c r="R197" s="176" t="str">
        <f aca="false">IF(INDEX(Salary_Calculation[Source Row],ROW()-ROW(Payslip_Lookup[#Headers]))="","",INDEX(Salary_Calculation[Extra-Order Bonus],ROW()-ROW(Payslip_Lookup[#Headers])))</f>
        <v/>
      </c>
      <c r="S197" s="176" t="str">
        <f aca="false">IF(INDEX(Salary_Calculation[Source Row],ROW()-ROW(Payslip_Lookup[#Headers]))="","",INDEX(Salary_Calculation[Basic Salary for Target],ROW()-ROW(Payslip_Lookup[#Headers])))</f>
        <v/>
      </c>
      <c r="T197" s="176" t="str">
        <f aca="false">IF(INDEX(Salary_Calculation[Source Row],ROW()-ROW(Payslip_Lookup[#Headers]))="","",INDEX(Salary_Calculation[Gross Salary Before Deductions],ROW()-ROW(Payslip_Lookup[#Headers])))</f>
        <v/>
      </c>
      <c r="U197" s="176" t="str">
        <f aca="false">IF(INDEX(Salary_Calculation[Source Row],ROW()-ROW(Payslip_Lookup[#Headers]))="","",INDEX(Salary_Calculation[missed_days_penalty],ROW()-ROW(Payslip_Lookup[#Headers])))</f>
        <v/>
      </c>
      <c r="V197" s="176" t="str">
        <f aca="false">IF(INDEX(Salary_Calculation[Source Row],ROW()-ROW(Payslip_Lookup[#Headers]))="","",INDEX(Salary_Calculation[Rider Balance],ROW()-ROW(Payslip_Lookup[#Headers])))</f>
        <v/>
      </c>
      <c r="W197" s="176" t="str">
        <f aca="false">IF(INDEX(Salary_Calculation[Source Row],ROW()-ROW(Payslip_Lookup[#Headers]))="","",INDEX(Salary_Calculation[stacking_deduction],ROW()-ROW(Payslip_Lookup[#Headers])))</f>
        <v/>
      </c>
      <c r="X197" s="176" t="str">
        <f aca="false">IF(INDEX(Salary_Calculation[Source Row],ROW()-ROW(Payslip_Lookup[#Headers]))="","",INDEX(Salary_Calculation[Other Deductions],ROW()-ROW(Payslip_Lookup[#Headers])))</f>
        <v/>
      </c>
      <c r="Y197" s="176" t="str">
        <f aca="false">IF(INDEX(Salary_Calculation[Source Row],ROW()-ROW(Payslip_Lookup[#Headers]))="","",INDEX(Salary_Calculation[Total Deductions],ROW()-ROW(Payslip_Lookup[#Headers])))</f>
        <v/>
      </c>
      <c r="Z197" s="176" t="str">
        <f aca="false">IF(INDEX(Salary_Calculation[Source Row],ROW()-ROW(Payslip_Lookup[#Headers]))="","",INDEX(Salary_Calculation[Final Salary],ROW()-ROW(Payslip_Lookup[#Headers])))</f>
        <v/>
      </c>
      <c r="AA197" s="176" t="str">
        <f aca="false">IF(INDEX(Salary_Calculation[Source Row],ROW()-ROW(Payslip_Lookup[#Headers]))="","",INDEX(Salary_Calculation[Negative Balance / Amount Due from Rider],ROW()-ROW(Payslip_Lookup[#Headers])))</f>
        <v/>
      </c>
      <c r="AB197" s="176" t="str">
        <f aca="false">IF(INDEX(Salary_Calculation[Source Row],ROW()-ROW(Payslip_Lookup[#Headers]))="","",INDEX(Salary_Calculation[Total Amount Due from Rider],ROW()-ROW(Payslip_Lookup[#Headers])))</f>
        <v/>
      </c>
      <c r="AC197" s="176" t="str">
        <f aca="false">IF(INDEX(Salary_Calculation[Source Row],ROW()-ROW(Payslip_Lookup[#Headers]))="","",INDEX(Salary_Calculation[Salary Before Other Deductions],ROW()-ROW(Payslip_Lookup[#Headers])))</f>
        <v/>
      </c>
      <c r="AD197" s="171" t="str">
        <f aca="false">IF(INDEX(Salary_Calculation[Source Row],ROW()-ROW(Payslip_Lookup[#Headers]))="","",INDEX(Salary_Calculation[Payment Status],ROW()-ROW(Payslip_Lookup[#Headers])))</f>
        <v/>
      </c>
      <c r="AE197" s="171" t="str">
        <f aca="false">IF(INDEX(Salary_Calculation[Source Row],ROW()-ROW(Payslip_Lookup[#Headers]))="","",INDEX(Salary_Calculation[Notes],ROW()-ROW(Payslip_Lookup[#Headers])))</f>
        <v/>
      </c>
      <c r="AF197" s="171" t="str">
        <f aca="false">IF(INDEX(Salary_Calculation[Source Row],ROW()-ROW(Payslip_Lookup[#Headers]))="","",INDEX(Salary_Calculation[Exception Reason],ROW()-ROW(Payslip_Lookup[#Headers])))</f>
        <v/>
      </c>
      <c r="AG197" s="173" t="str">
        <f aca="false">IF($AD197="Review Required",COUNTIF(AD$2:AD197,"Review Required"),"")</f>
        <v/>
      </c>
      <c r="AH197" s="173" t="str">
        <f aca="false">IF(AND($D197&lt;&gt;"",$B197=Payslip_Print!$C$2),MAX(AH$1:AH196)+1,"")</f>
        <v/>
      </c>
      <c r="AL197" s="178" t="str">
        <f aca="false">IFERROR(INDEX($D$2:$D$501,MATCH(ROW()-1,$AH$2:$AH$501,0)),"")</f>
        <v/>
      </c>
      <c r="AM197" s="179" t="str">
        <f aca="false">IF($Z197="","",IF(AND($C197&gt;=Dash_Start,$C197&lt;Dash_End),$Z197+ROW()/10000000,""))</f>
        <v/>
      </c>
    </row>
    <row r="198" customFormat="false" ht="14.25" hidden="false" customHeight="false" outlineLevel="0" collapsed="false">
      <c r="A198" s="171" t="str">
        <f aca="false">IF(Payslip_Lookup[[#This Row],[Rider ID]]="","",Payslip_Lookup[[#This Row],[Rider ID]]&amp;"|"&amp;Payslip_Lookup[[#This Row],[Month Key]])</f>
        <v/>
      </c>
      <c r="B198" s="172" t="str">
        <f aca="false">IF(ISNUMBER(Payslip_Lookup[[#This Row],[Salary Month]]),DATE(YEAR(Payslip_Lookup[[#This Row],[Salary Month]]),MONTH(Payslip_Lookup[[#This Row],[Salary Month]]),1),"")</f>
        <v/>
      </c>
      <c r="C198" s="172" t="str">
        <f aca="false">IF(INDEX(Salary_Calculation[Source Row],ROW()-ROW(Payslip_Lookup[#Headers]))="","",INDEX(Salary_Calculation[Salary Month],ROW()-ROW(Payslip_Lookup[#Headers])))</f>
        <v/>
      </c>
      <c r="D198" s="173" t="str">
        <f aca="false">IF(INDEX(Salary_Calculation[Source Row],ROW()-ROW(Payslip_Lookup[#Headers]))="","",INDEX(Salary_Calculation[Rider ID],ROW()-ROW(Payslip_Lookup[#Headers])))</f>
        <v/>
      </c>
      <c r="E198" s="171" t="str">
        <f aca="false">IF(INDEX(Salary_Calculation[Source Row],ROW()-ROW(Payslip_Lookup[#Headers]))="","",INDEX(Salary_Calculation[Rider Name],ROW()-ROW(Payslip_Lookup[#Headers])))</f>
        <v/>
      </c>
      <c r="F198" s="173" t="str">
        <f aca="false">IF(INDEX(Salary_Calculation[Source Row],ROW()-ROW(Payslip_Lookup[#Headers]))="","",INDEX(Salary_Calculation[Working Days],ROW()-ROW(Payslip_Lookup[#Headers])))</f>
        <v/>
      </c>
      <c r="G198" s="173" t="str">
        <f aca="false">IF(INDEX(Salary_Calculation[Source Row],ROW()-ROW(Payslip_Lookup[#Headers]))="","",INDEX(Salary_Calculation[Calendar Days],ROW()-ROW(Payslip_Lookup[#Headers])))</f>
        <v/>
      </c>
      <c r="H198" s="174" t="str">
        <f aca="false">IF(INDEX(Salary_Calculation[Source Row],ROW()-ROW(Payslip_Lookup[#Headers]))="","",INDEX(Salary_Calculation[Monthly Target Orders],ROW()-ROW(Payslip_Lookup[#Headers])))</f>
        <v/>
      </c>
      <c r="I198" s="174" t="str">
        <f aca="false">IF(INDEX(Salary_Calculation[Source Row],ROW()-ROW(Payslip_Lookup[#Headers]))="","",INDEX(Salary_Calculation[Rider Target Orders],ROW()-ROW(Payslip_Lookup[#Headers])))</f>
        <v/>
      </c>
      <c r="J198" s="175" t="str">
        <f aca="false">IF(INDEX(Salary_Calculation[Source Row],ROW()-ROW(Payslip_Lookup[#Headers]))="","",INDEX(Salary_Calculation[Completed Orders],ROW()-ROW(Payslip_Lookup[#Headers])))</f>
        <v/>
      </c>
      <c r="K198" s="174" t="str">
        <f aca="false">IF(INDEX(Salary_Calculation[Source Row],ROW()-ROW(Payslip_Lookup[#Headers]))="","",INDEX(Salary_Calculation[Base Order Rate],ROW()-ROW(Payslip_Lookup[#Headers])))</f>
        <v/>
      </c>
      <c r="L198" s="176" t="str">
        <f aca="false">IF(INDEX(Salary_Calculation[Source Row],ROW()-ROW(Payslip_Lookup[#Headers]))="","",INDEX(Salary_Calculation[Basic Payment],ROW()-ROW(Payslip_Lookup[#Headers])))</f>
        <v/>
      </c>
      <c r="M198" s="176" t="str">
        <f aca="false">IF(INDEX(Salary_Calculation[Source Row],ROW()-ROW(Payslip_Lookup[#Headers]))="","",INDEX(Salary_Calculation[Earned Salary],ROW()-ROW(Payslip_Lookup[#Headers])))</f>
        <v/>
      </c>
      <c r="N198" s="174" t="str">
        <f aca="false">IF(INDEX(Salary_Calculation[Source Row],ROW()-ROW(Payslip_Lookup[#Headers]))="","",INDEX(Salary_Calculation[Orders Counted at Base Rate],ROW()-ROW(Payslip_Lookup[#Headers])))</f>
        <v/>
      </c>
      <c r="O198" s="174" t="str">
        <f aca="false">IF(INDEX(Salary_Calculation[Source Row],ROW()-ROW(Payslip_Lookup[#Headers]))="","",INDEX(Salary_Calculation[Missing Orders],ROW()-ROW(Payslip_Lookup[#Headers])))</f>
        <v/>
      </c>
      <c r="P198" s="176" t="str">
        <f aca="false">IF(INDEX(Salary_Calculation[Source Row],ROW()-ROW(Payslip_Lookup[#Headers]))="","",INDEX(Salary_Calculation[Missing-Order Deduction],ROW()-ROW(Payslip_Lookup[#Headers])))</f>
        <v/>
      </c>
      <c r="Q198" s="174" t="str">
        <f aca="false">IF(INDEX(Salary_Calculation[Source Row],ROW()-ROW(Payslip_Lookup[#Headers]))="","",INDEX(Salary_Calculation[Extra Orders],ROW()-ROW(Payslip_Lookup[#Headers])))</f>
        <v/>
      </c>
      <c r="R198" s="176" t="str">
        <f aca="false">IF(INDEX(Salary_Calculation[Source Row],ROW()-ROW(Payslip_Lookup[#Headers]))="","",INDEX(Salary_Calculation[Extra-Order Bonus],ROW()-ROW(Payslip_Lookup[#Headers])))</f>
        <v/>
      </c>
      <c r="S198" s="176" t="str">
        <f aca="false">IF(INDEX(Salary_Calculation[Source Row],ROW()-ROW(Payslip_Lookup[#Headers]))="","",INDEX(Salary_Calculation[Basic Salary for Target],ROW()-ROW(Payslip_Lookup[#Headers])))</f>
        <v/>
      </c>
      <c r="T198" s="176" t="str">
        <f aca="false">IF(INDEX(Salary_Calculation[Source Row],ROW()-ROW(Payslip_Lookup[#Headers]))="","",INDEX(Salary_Calculation[Gross Salary Before Deductions],ROW()-ROW(Payslip_Lookup[#Headers])))</f>
        <v/>
      </c>
      <c r="U198" s="176" t="str">
        <f aca="false">IF(INDEX(Salary_Calculation[Source Row],ROW()-ROW(Payslip_Lookup[#Headers]))="","",INDEX(Salary_Calculation[missed_days_penalty],ROW()-ROW(Payslip_Lookup[#Headers])))</f>
        <v/>
      </c>
      <c r="V198" s="176" t="str">
        <f aca="false">IF(INDEX(Salary_Calculation[Source Row],ROW()-ROW(Payslip_Lookup[#Headers]))="","",INDEX(Salary_Calculation[Rider Balance],ROW()-ROW(Payslip_Lookup[#Headers])))</f>
        <v/>
      </c>
      <c r="W198" s="176" t="str">
        <f aca="false">IF(INDEX(Salary_Calculation[Source Row],ROW()-ROW(Payslip_Lookup[#Headers]))="","",INDEX(Salary_Calculation[stacking_deduction],ROW()-ROW(Payslip_Lookup[#Headers])))</f>
        <v/>
      </c>
      <c r="X198" s="176" t="str">
        <f aca="false">IF(INDEX(Salary_Calculation[Source Row],ROW()-ROW(Payslip_Lookup[#Headers]))="","",INDEX(Salary_Calculation[Other Deductions],ROW()-ROW(Payslip_Lookup[#Headers])))</f>
        <v/>
      </c>
      <c r="Y198" s="176" t="str">
        <f aca="false">IF(INDEX(Salary_Calculation[Source Row],ROW()-ROW(Payslip_Lookup[#Headers]))="","",INDEX(Salary_Calculation[Total Deductions],ROW()-ROW(Payslip_Lookup[#Headers])))</f>
        <v/>
      </c>
      <c r="Z198" s="176" t="str">
        <f aca="false">IF(INDEX(Salary_Calculation[Source Row],ROW()-ROW(Payslip_Lookup[#Headers]))="","",INDEX(Salary_Calculation[Final Salary],ROW()-ROW(Payslip_Lookup[#Headers])))</f>
        <v/>
      </c>
      <c r="AA198" s="176" t="str">
        <f aca="false">IF(INDEX(Salary_Calculation[Source Row],ROW()-ROW(Payslip_Lookup[#Headers]))="","",INDEX(Salary_Calculation[Negative Balance / Amount Due from Rider],ROW()-ROW(Payslip_Lookup[#Headers])))</f>
        <v/>
      </c>
      <c r="AB198" s="176" t="str">
        <f aca="false">IF(INDEX(Salary_Calculation[Source Row],ROW()-ROW(Payslip_Lookup[#Headers]))="","",INDEX(Salary_Calculation[Total Amount Due from Rider],ROW()-ROW(Payslip_Lookup[#Headers])))</f>
        <v/>
      </c>
      <c r="AC198" s="176" t="str">
        <f aca="false">IF(INDEX(Salary_Calculation[Source Row],ROW()-ROW(Payslip_Lookup[#Headers]))="","",INDEX(Salary_Calculation[Salary Before Other Deductions],ROW()-ROW(Payslip_Lookup[#Headers])))</f>
        <v/>
      </c>
      <c r="AD198" s="171" t="str">
        <f aca="false">IF(INDEX(Salary_Calculation[Source Row],ROW()-ROW(Payslip_Lookup[#Headers]))="","",INDEX(Salary_Calculation[Payment Status],ROW()-ROW(Payslip_Lookup[#Headers])))</f>
        <v/>
      </c>
      <c r="AE198" s="171" t="str">
        <f aca="false">IF(INDEX(Salary_Calculation[Source Row],ROW()-ROW(Payslip_Lookup[#Headers]))="","",INDEX(Salary_Calculation[Notes],ROW()-ROW(Payslip_Lookup[#Headers])))</f>
        <v/>
      </c>
      <c r="AF198" s="171" t="str">
        <f aca="false">IF(INDEX(Salary_Calculation[Source Row],ROW()-ROW(Payslip_Lookup[#Headers]))="","",INDEX(Salary_Calculation[Exception Reason],ROW()-ROW(Payslip_Lookup[#Headers])))</f>
        <v/>
      </c>
      <c r="AG198" s="173" t="str">
        <f aca="false">IF($AD198="Review Required",COUNTIF(AD$2:AD198,"Review Required"),"")</f>
        <v/>
      </c>
      <c r="AH198" s="173" t="str">
        <f aca="false">IF(AND($D198&lt;&gt;"",$B198=Payslip_Print!$C$2),MAX(AH$1:AH197)+1,"")</f>
        <v/>
      </c>
      <c r="AL198" s="178" t="str">
        <f aca="false">IFERROR(INDEX($D$2:$D$501,MATCH(ROW()-1,$AH$2:$AH$501,0)),"")</f>
        <v/>
      </c>
      <c r="AM198" s="179" t="str">
        <f aca="false">IF($Z198="","",IF(AND($C198&gt;=Dash_Start,$C198&lt;Dash_End),$Z198+ROW()/10000000,""))</f>
        <v/>
      </c>
    </row>
    <row r="199" customFormat="false" ht="14.25" hidden="false" customHeight="false" outlineLevel="0" collapsed="false">
      <c r="A199" s="171" t="str">
        <f aca="false">IF(Payslip_Lookup[[#This Row],[Rider ID]]="","",Payslip_Lookup[[#This Row],[Rider ID]]&amp;"|"&amp;Payslip_Lookup[[#This Row],[Month Key]])</f>
        <v/>
      </c>
      <c r="B199" s="172" t="str">
        <f aca="false">IF(ISNUMBER(Payslip_Lookup[[#This Row],[Salary Month]]),DATE(YEAR(Payslip_Lookup[[#This Row],[Salary Month]]),MONTH(Payslip_Lookup[[#This Row],[Salary Month]]),1),"")</f>
        <v/>
      </c>
      <c r="C199" s="172" t="str">
        <f aca="false">IF(INDEX(Salary_Calculation[Source Row],ROW()-ROW(Payslip_Lookup[#Headers]))="","",INDEX(Salary_Calculation[Salary Month],ROW()-ROW(Payslip_Lookup[#Headers])))</f>
        <v/>
      </c>
      <c r="D199" s="173" t="str">
        <f aca="false">IF(INDEX(Salary_Calculation[Source Row],ROW()-ROW(Payslip_Lookup[#Headers]))="","",INDEX(Salary_Calculation[Rider ID],ROW()-ROW(Payslip_Lookup[#Headers])))</f>
        <v/>
      </c>
      <c r="E199" s="171" t="str">
        <f aca="false">IF(INDEX(Salary_Calculation[Source Row],ROW()-ROW(Payslip_Lookup[#Headers]))="","",INDEX(Salary_Calculation[Rider Name],ROW()-ROW(Payslip_Lookup[#Headers])))</f>
        <v/>
      </c>
      <c r="F199" s="173" t="str">
        <f aca="false">IF(INDEX(Salary_Calculation[Source Row],ROW()-ROW(Payslip_Lookup[#Headers]))="","",INDEX(Salary_Calculation[Working Days],ROW()-ROW(Payslip_Lookup[#Headers])))</f>
        <v/>
      </c>
      <c r="G199" s="173" t="str">
        <f aca="false">IF(INDEX(Salary_Calculation[Source Row],ROW()-ROW(Payslip_Lookup[#Headers]))="","",INDEX(Salary_Calculation[Calendar Days],ROW()-ROW(Payslip_Lookup[#Headers])))</f>
        <v/>
      </c>
      <c r="H199" s="174" t="str">
        <f aca="false">IF(INDEX(Salary_Calculation[Source Row],ROW()-ROW(Payslip_Lookup[#Headers]))="","",INDEX(Salary_Calculation[Monthly Target Orders],ROW()-ROW(Payslip_Lookup[#Headers])))</f>
        <v/>
      </c>
      <c r="I199" s="174" t="str">
        <f aca="false">IF(INDEX(Salary_Calculation[Source Row],ROW()-ROW(Payslip_Lookup[#Headers]))="","",INDEX(Salary_Calculation[Rider Target Orders],ROW()-ROW(Payslip_Lookup[#Headers])))</f>
        <v/>
      </c>
      <c r="J199" s="175" t="str">
        <f aca="false">IF(INDEX(Salary_Calculation[Source Row],ROW()-ROW(Payslip_Lookup[#Headers]))="","",INDEX(Salary_Calculation[Completed Orders],ROW()-ROW(Payslip_Lookup[#Headers])))</f>
        <v/>
      </c>
      <c r="K199" s="174" t="str">
        <f aca="false">IF(INDEX(Salary_Calculation[Source Row],ROW()-ROW(Payslip_Lookup[#Headers]))="","",INDEX(Salary_Calculation[Base Order Rate],ROW()-ROW(Payslip_Lookup[#Headers])))</f>
        <v/>
      </c>
      <c r="L199" s="176" t="str">
        <f aca="false">IF(INDEX(Salary_Calculation[Source Row],ROW()-ROW(Payslip_Lookup[#Headers]))="","",INDEX(Salary_Calculation[Basic Payment],ROW()-ROW(Payslip_Lookup[#Headers])))</f>
        <v/>
      </c>
      <c r="M199" s="176" t="str">
        <f aca="false">IF(INDEX(Salary_Calculation[Source Row],ROW()-ROW(Payslip_Lookup[#Headers]))="","",INDEX(Salary_Calculation[Earned Salary],ROW()-ROW(Payslip_Lookup[#Headers])))</f>
        <v/>
      </c>
      <c r="N199" s="174" t="str">
        <f aca="false">IF(INDEX(Salary_Calculation[Source Row],ROW()-ROW(Payslip_Lookup[#Headers]))="","",INDEX(Salary_Calculation[Orders Counted at Base Rate],ROW()-ROW(Payslip_Lookup[#Headers])))</f>
        <v/>
      </c>
      <c r="O199" s="174" t="str">
        <f aca="false">IF(INDEX(Salary_Calculation[Source Row],ROW()-ROW(Payslip_Lookup[#Headers]))="","",INDEX(Salary_Calculation[Missing Orders],ROW()-ROW(Payslip_Lookup[#Headers])))</f>
        <v/>
      </c>
      <c r="P199" s="176" t="str">
        <f aca="false">IF(INDEX(Salary_Calculation[Source Row],ROW()-ROW(Payslip_Lookup[#Headers]))="","",INDEX(Salary_Calculation[Missing-Order Deduction],ROW()-ROW(Payslip_Lookup[#Headers])))</f>
        <v/>
      </c>
      <c r="Q199" s="174" t="str">
        <f aca="false">IF(INDEX(Salary_Calculation[Source Row],ROW()-ROW(Payslip_Lookup[#Headers]))="","",INDEX(Salary_Calculation[Extra Orders],ROW()-ROW(Payslip_Lookup[#Headers])))</f>
        <v/>
      </c>
      <c r="R199" s="176" t="str">
        <f aca="false">IF(INDEX(Salary_Calculation[Source Row],ROW()-ROW(Payslip_Lookup[#Headers]))="","",INDEX(Salary_Calculation[Extra-Order Bonus],ROW()-ROW(Payslip_Lookup[#Headers])))</f>
        <v/>
      </c>
      <c r="S199" s="176" t="str">
        <f aca="false">IF(INDEX(Salary_Calculation[Source Row],ROW()-ROW(Payslip_Lookup[#Headers]))="","",INDEX(Salary_Calculation[Basic Salary for Target],ROW()-ROW(Payslip_Lookup[#Headers])))</f>
        <v/>
      </c>
      <c r="T199" s="176" t="str">
        <f aca="false">IF(INDEX(Salary_Calculation[Source Row],ROW()-ROW(Payslip_Lookup[#Headers]))="","",INDEX(Salary_Calculation[Gross Salary Before Deductions],ROW()-ROW(Payslip_Lookup[#Headers])))</f>
        <v/>
      </c>
      <c r="U199" s="176" t="str">
        <f aca="false">IF(INDEX(Salary_Calculation[Source Row],ROW()-ROW(Payslip_Lookup[#Headers]))="","",INDEX(Salary_Calculation[missed_days_penalty],ROW()-ROW(Payslip_Lookup[#Headers])))</f>
        <v/>
      </c>
      <c r="V199" s="176" t="str">
        <f aca="false">IF(INDEX(Salary_Calculation[Source Row],ROW()-ROW(Payslip_Lookup[#Headers]))="","",INDEX(Salary_Calculation[Rider Balance],ROW()-ROW(Payslip_Lookup[#Headers])))</f>
        <v/>
      </c>
      <c r="W199" s="176" t="str">
        <f aca="false">IF(INDEX(Salary_Calculation[Source Row],ROW()-ROW(Payslip_Lookup[#Headers]))="","",INDEX(Salary_Calculation[stacking_deduction],ROW()-ROW(Payslip_Lookup[#Headers])))</f>
        <v/>
      </c>
      <c r="X199" s="176" t="str">
        <f aca="false">IF(INDEX(Salary_Calculation[Source Row],ROW()-ROW(Payslip_Lookup[#Headers]))="","",INDEX(Salary_Calculation[Other Deductions],ROW()-ROW(Payslip_Lookup[#Headers])))</f>
        <v/>
      </c>
      <c r="Y199" s="176" t="str">
        <f aca="false">IF(INDEX(Salary_Calculation[Source Row],ROW()-ROW(Payslip_Lookup[#Headers]))="","",INDEX(Salary_Calculation[Total Deductions],ROW()-ROW(Payslip_Lookup[#Headers])))</f>
        <v/>
      </c>
      <c r="Z199" s="176" t="str">
        <f aca="false">IF(INDEX(Salary_Calculation[Source Row],ROW()-ROW(Payslip_Lookup[#Headers]))="","",INDEX(Salary_Calculation[Final Salary],ROW()-ROW(Payslip_Lookup[#Headers])))</f>
        <v/>
      </c>
      <c r="AA199" s="176" t="str">
        <f aca="false">IF(INDEX(Salary_Calculation[Source Row],ROW()-ROW(Payslip_Lookup[#Headers]))="","",INDEX(Salary_Calculation[Negative Balance / Amount Due from Rider],ROW()-ROW(Payslip_Lookup[#Headers])))</f>
        <v/>
      </c>
      <c r="AB199" s="176" t="str">
        <f aca="false">IF(INDEX(Salary_Calculation[Source Row],ROW()-ROW(Payslip_Lookup[#Headers]))="","",INDEX(Salary_Calculation[Total Amount Due from Rider],ROW()-ROW(Payslip_Lookup[#Headers])))</f>
        <v/>
      </c>
      <c r="AC199" s="176" t="str">
        <f aca="false">IF(INDEX(Salary_Calculation[Source Row],ROW()-ROW(Payslip_Lookup[#Headers]))="","",INDEX(Salary_Calculation[Salary Before Other Deductions],ROW()-ROW(Payslip_Lookup[#Headers])))</f>
        <v/>
      </c>
      <c r="AD199" s="171" t="str">
        <f aca="false">IF(INDEX(Salary_Calculation[Source Row],ROW()-ROW(Payslip_Lookup[#Headers]))="","",INDEX(Salary_Calculation[Payment Status],ROW()-ROW(Payslip_Lookup[#Headers])))</f>
        <v/>
      </c>
      <c r="AE199" s="171" t="str">
        <f aca="false">IF(INDEX(Salary_Calculation[Source Row],ROW()-ROW(Payslip_Lookup[#Headers]))="","",INDEX(Salary_Calculation[Notes],ROW()-ROW(Payslip_Lookup[#Headers])))</f>
        <v/>
      </c>
      <c r="AF199" s="171" t="str">
        <f aca="false">IF(INDEX(Salary_Calculation[Source Row],ROW()-ROW(Payslip_Lookup[#Headers]))="","",INDEX(Salary_Calculation[Exception Reason],ROW()-ROW(Payslip_Lookup[#Headers])))</f>
        <v/>
      </c>
      <c r="AG199" s="173" t="str">
        <f aca="false">IF($AD199="Review Required",COUNTIF(AD$2:AD199,"Review Required"),"")</f>
        <v/>
      </c>
      <c r="AH199" s="173" t="str">
        <f aca="false">IF(AND($D199&lt;&gt;"",$B199=Payslip_Print!$C$2),MAX(AH$1:AH198)+1,"")</f>
        <v/>
      </c>
      <c r="AL199" s="178" t="str">
        <f aca="false">IFERROR(INDEX($D$2:$D$501,MATCH(ROW()-1,$AH$2:$AH$501,0)),"")</f>
        <v/>
      </c>
      <c r="AM199" s="179" t="str">
        <f aca="false">IF($Z199="","",IF(AND($C199&gt;=Dash_Start,$C199&lt;Dash_End),$Z199+ROW()/10000000,""))</f>
        <v/>
      </c>
    </row>
    <row r="200" customFormat="false" ht="14.25" hidden="false" customHeight="false" outlineLevel="0" collapsed="false">
      <c r="A200" s="171" t="str">
        <f aca="false">IF(Payslip_Lookup[[#This Row],[Rider ID]]="","",Payslip_Lookup[[#This Row],[Rider ID]]&amp;"|"&amp;Payslip_Lookup[[#This Row],[Month Key]])</f>
        <v/>
      </c>
      <c r="B200" s="172" t="str">
        <f aca="false">IF(ISNUMBER(Payslip_Lookup[[#This Row],[Salary Month]]),DATE(YEAR(Payslip_Lookup[[#This Row],[Salary Month]]),MONTH(Payslip_Lookup[[#This Row],[Salary Month]]),1),"")</f>
        <v/>
      </c>
      <c r="C200" s="172" t="str">
        <f aca="false">IF(INDEX(Salary_Calculation[Source Row],ROW()-ROW(Payslip_Lookup[#Headers]))="","",INDEX(Salary_Calculation[Salary Month],ROW()-ROW(Payslip_Lookup[#Headers])))</f>
        <v/>
      </c>
      <c r="D200" s="173" t="str">
        <f aca="false">IF(INDEX(Salary_Calculation[Source Row],ROW()-ROW(Payslip_Lookup[#Headers]))="","",INDEX(Salary_Calculation[Rider ID],ROW()-ROW(Payslip_Lookup[#Headers])))</f>
        <v/>
      </c>
      <c r="E200" s="171" t="str">
        <f aca="false">IF(INDEX(Salary_Calculation[Source Row],ROW()-ROW(Payslip_Lookup[#Headers]))="","",INDEX(Salary_Calculation[Rider Name],ROW()-ROW(Payslip_Lookup[#Headers])))</f>
        <v/>
      </c>
      <c r="F200" s="173" t="str">
        <f aca="false">IF(INDEX(Salary_Calculation[Source Row],ROW()-ROW(Payslip_Lookup[#Headers]))="","",INDEX(Salary_Calculation[Working Days],ROW()-ROW(Payslip_Lookup[#Headers])))</f>
        <v/>
      </c>
      <c r="G200" s="173" t="str">
        <f aca="false">IF(INDEX(Salary_Calculation[Source Row],ROW()-ROW(Payslip_Lookup[#Headers]))="","",INDEX(Salary_Calculation[Calendar Days],ROW()-ROW(Payslip_Lookup[#Headers])))</f>
        <v/>
      </c>
      <c r="H200" s="174" t="str">
        <f aca="false">IF(INDEX(Salary_Calculation[Source Row],ROW()-ROW(Payslip_Lookup[#Headers]))="","",INDEX(Salary_Calculation[Monthly Target Orders],ROW()-ROW(Payslip_Lookup[#Headers])))</f>
        <v/>
      </c>
      <c r="I200" s="174" t="str">
        <f aca="false">IF(INDEX(Salary_Calculation[Source Row],ROW()-ROW(Payslip_Lookup[#Headers]))="","",INDEX(Salary_Calculation[Rider Target Orders],ROW()-ROW(Payslip_Lookup[#Headers])))</f>
        <v/>
      </c>
      <c r="J200" s="175" t="str">
        <f aca="false">IF(INDEX(Salary_Calculation[Source Row],ROW()-ROW(Payslip_Lookup[#Headers]))="","",INDEX(Salary_Calculation[Completed Orders],ROW()-ROW(Payslip_Lookup[#Headers])))</f>
        <v/>
      </c>
      <c r="K200" s="174" t="str">
        <f aca="false">IF(INDEX(Salary_Calculation[Source Row],ROW()-ROW(Payslip_Lookup[#Headers]))="","",INDEX(Salary_Calculation[Base Order Rate],ROW()-ROW(Payslip_Lookup[#Headers])))</f>
        <v/>
      </c>
      <c r="L200" s="176" t="str">
        <f aca="false">IF(INDEX(Salary_Calculation[Source Row],ROW()-ROW(Payslip_Lookup[#Headers]))="","",INDEX(Salary_Calculation[Basic Payment],ROW()-ROW(Payslip_Lookup[#Headers])))</f>
        <v/>
      </c>
      <c r="M200" s="176" t="str">
        <f aca="false">IF(INDEX(Salary_Calculation[Source Row],ROW()-ROW(Payslip_Lookup[#Headers]))="","",INDEX(Salary_Calculation[Earned Salary],ROW()-ROW(Payslip_Lookup[#Headers])))</f>
        <v/>
      </c>
      <c r="N200" s="174" t="str">
        <f aca="false">IF(INDEX(Salary_Calculation[Source Row],ROW()-ROW(Payslip_Lookup[#Headers]))="","",INDEX(Salary_Calculation[Orders Counted at Base Rate],ROW()-ROW(Payslip_Lookup[#Headers])))</f>
        <v/>
      </c>
      <c r="O200" s="174" t="str">
        <f aca="false">IF(INDEX(Salary_Calculation[Source Row],ROW()-ROW(Payslip_Lookup[#Headers]))="","",INDEX(Salary_Calculation[Missing Orders],ROW()-ROW(Payslip_Lookup[#Headers])))</f>
        <v/>
      </c>
      <c r="P200" s="176" t="str">
        <f aca="false">IF(INDEX(Salary_Calculation[Source Row],ROW()-ROW(Payslip_Lookup[#Headers]))="","",INDEX(Salary_Calculation[Missing-Order Deduction],ROW()-ROW(Payslip_Lookup[#Headers])))</f>
        <v/>
      </c>
      <c r="Q200" s="174" t="str">
        <f aca="false">IF(INDEX(Salary_Calculation[Source Row],ROW()-ROW(Payslip_Lookup[#Headers]))="","",INDEX(Salary_Calculation[Extra Orders],ROW()-ROW(Payslip_Lookup[#Headers])))</f>
        <v/>
      </c>
      <c r="R200" s="176" t="str">
        <f aca="false">IF(INDEX(Salary_Calculation[Source Row],ROW()-ROW(Payslip_Lookup[#Headers]))="","",INDEX(Salary_Calculation[Extra-Order Bonus],ROW()-ROW(Payslip_Lookup[#Headers])))</f>
        <v/>
      </c>
      <c r="S200" s="176" t="str">
        <f aca="false">IF(INDEX(Salary_Calculation[Source Row],ROW()-ROW(Payslip_Lookup[#Headers]))="","",INDEX(Salary_Calculation[Basic Salary for Target],ROW()-ROW(Payslip_Lookup[#Headers])))</f>
        <v/>
      </c>
      <c r="T200" s="176" t="str">
        <f aca="false">IF(INDEX(Salary_Calculation[Source Row],ROW()-ROW(Payslip_Lookup[#Headers]))="","",INDEX(Salary_Calculation[Gross Salary Before Deductions],ROW()-ROW(Payslip_Lookup[#Headers])))</f>
        <v/>
      </c>
      <c r="U200" s="176" t="str">
        <f aca="false">IF(INDEX(Salary_Calculation[Source Row],ROW()-ROW(Payslip_Lookup[#Headers]))="","",INDEX(Salary_Calculation[missed_days_penalty],ROW()-ROW(Payslip_Lookup[#Headers])))</f>
        <v/>
      </c>
      <c r="V200" s="176" t="str">
        <f aca="false">IF(INDEX(Salary_Calculation[Source Row],ROW()-ROW(Payslip_Lookup[#Headers]))="","",INDEX(Salary_Calculation[Rider Balance],ROW()-ROW(Payslip_Lookup[#Headers])))</f>
        <v/>
      </c>
      <c r="W200" s="176" t="str">
        <f aca="false">IF(INDEX(Salary_Calculation[Source Row],ROW()-ROW(Payslip_Lookup[#Headers]))="","",INDEX(Salary_Calculation[stacking_deduction],ROW()-ROW(Payslip_Lookup[#Headers])))</f>
        <v/>
      </c>
      <c r="X200" s="176" t="str">
        <f aca="false">IF(INDEX(Salary_Calculation[Source Row],ROW()-ROW(Payslip_Lookup[#Headers]))="","",INDEX(Salary_Calculation[Other Deductions],ROW()-ROW(Payslip_Lookup[#Headers])))</f>
        <v/>
      </c>
      <c r="Y200" s="176" t="str">
        <f aca="false">IF(INDEX(Salary_Calculation[Source Row],ROW()-ROW(Payslip_Lookup[#Headers]))="","",INDEX(Salary_Calculation[Total Deductions],ROW()-ROW(Payslip_Lookup[#Headers])))</f>
        <v/>
      </c>
      <c r="Z200" s="176" t="str">
        <f aca="false">IF(INDEX(Salary_Calculation[Source Row],ROW()-ROW(Payslip_Lookup[#Headers]))="","",INDEX(Salary_Calculation[Final Salary],ROW()-ROW(Payslip_Lookup[#Headers])))</f>
        <v/>
      </c>
      <c r="AA200" s="176" t="str">
        <f aca="false">IF(INDEX(Salary_Calculation[Source Row],ROW()-ROW(Payslip_Lookup[#Headers]))="","",INDEX(Salary_Calculation[Negative Balance / Amount Due from Rider],ROW()-ROW(Payslip_Lookup[#Headers])))</f>
        <v/>
      </c>
      <c r="AB200" s="176" t="str">
        <f aca="false">IF(INDEX(Salary_Calculation[Source Row],ROW()-ROW(Payslip_Lookup[#Headers]))="","",INDEX(Salary_Calculation[Total Amount Due from Rider],ROW()-ROW(Payslip_Lookup[#Headers])))</f>
        <v/>
      </c>
      <c r="AC200" s="176" t="str">
        <f aca="false">IF(INDEX(Salary_Calculation[Source Row],ROW()-ROW(Payslip_Lookup[#Headers]))="","",INDEX(Salary_Calculation[Salary Before Other Deductions],ROW()-ROW(Payslip_Lookup[#Headers])))</f>
        <v/>
      </c>
      <c r="AD200" s="171" t="str">
        <f aca="false">IF(INDEX(Salary_Calculation[Source Row],ROW()-ROW(Payslip_Lookup[#Headers]))="","",INDEX(Salary_Calculation[Payment Status],ROW()-ROW(Payslip_Lookup[#Headers])))</f>
        <v/>
      </c>
      <c r="AE200" s="171" t="str">
        <f aca="false">IF(INDEX(Salary_Calculation[Source Row],ROW()-ROW(Payslip_Lookup[#Headers]))="","",INDEX(Salary_Calculation[Notes],ROW()-ROW(Payslip_Lookup[#Headers])))</f>
        <v/>
      </c>
      <c r="AF200" s="171" t="str">
        <f aca="false">IF(INDEX(Salary_Calculation[Source Row],ROW()-ROW(Payslip_Lookup[#Headers]))="","",INDEX(Salary_Calculation[Exception Reason],ROW()-ROW(Payslip_Lookup[#Headers])))</f>
        <v/>
      </c>
      <c r="AG200" s="173" t="str">
        <f aca="false">IF($AD200="Review Required",COUNTIF(AD$2:AD200,"Review Required"),"")</f>
        <v/>
      </c>
      <c r="AH200" s="173" t="str">
        <f aca="false">IF(AND($D200&lt;&gt;"",$B200=Payslip_Print!$C$2),MAX(AH$1:AH199)+1,"")</f>
        <v/>
      </c>
      <c r="AL200" s="178" t="str">
        <f aca="false">IFERROR(INDEX($D$2:$D$501,MATCH(ROW()-1,$AH$2:$AH$501,0)),"")</f>
        <v/>
      </c>
      <c r="AM200" s="179" t="str">
        <f aca="false">IF($Z200="","",IF(AND($C200&gt;=Dash_Start,$C200&lt;Dash_End),$Z200+ROW()/10000000,""))</f>
        <v/>
      </c>
    </row>
    <row r="201" customFormat="false" ht="14.25" hidden="false" customHeight="false" outlineLevel="0" collapsed="false">
      <c r="A201" s="171" t="str">
        <f aca="false">IF(Payslip_Lookup[[#This Row],[Rider ID]]="","",Payslip_Lookup[[#This Row],[Rider ID]]&amp;"|"&amp;Payslip_Lookup[[#This Row],[Month Key]])</f>
        <v/>
      </c>
      <c r="B201" s="172" t="str">
        <f aca="false">IF(ISNUMBER(Payslip_Lookup[[#This Row],[Salary Month]]),DATE(YEAR(Payslip_Lookup[[#This Row],[Salary Month]]),MONTH(Payslip_Lookup[[#This Row],[Salary Month]]),1),"")</f>
        <v/>
      </c>
      <c r="C201" s="172" t="str">
        <f aca="false">IF(INDEX(Salary_Calculation[Source Row],ROW()-ROW(Payslip_Lookup[#Headers]))="","",INDEX(Salary_Calculation[Salary Month],ROW()-ROW(Payslip_Lookup[#Headers])))</f>
        <v/>
      </c>
      <c r="D201" s="173" t="str">
        <f aca="false">IF(INDEX(Salary_Calculation[Source Row],ROW()-ROW(Payslip_Lookup[#Headers]))="","",INDEX(Salary_Calculation[Rider ID],ROW()-ROW(Payslip_Lookup[#Headers])))</f>
        <v/>
      </c>
      <c r="E201" s="171" t="str">
        <f aca="false">IF(INDEX(Salary_Calculation[Source Row],ROW()-ROW(Payslip_Lookup[#Headers]))="","",INDEX(Salary_Calculation[Rider Name],ROW()-ROW(Payslip_Lookup[#Headers])))</f>
        <v/>
      </c>
      <c r="F201" s="173" t="str">
        <f aca="false">IF(INDEX(Salary_Calculation[Source Row],ROW()-ROW(Payslip_Lookup[#Headers]))="","",INDEX(Salary_Calculation[Working Days],ROW()-ROW(Payslip_Lookup[#Headers])))</f>
        <v/>
      </c>
      <c r="G201" s="173" t="str">
        <f aca="false">IF(INDEX(Salary_Calculation[Source Row],ROW()-ROW(Payslip_Lookup[#Headers]))="","",INDEX(Salary_Calculation[Calendar Days],ROW()-ROW(Payslip_Lookup[#Headers])))</f>
        <v/>
      </c>
      <c r="H201" s="174" t="str">
        <f aca="false">IF(INDEX(Salary_Calculation[Source Row],ROW()-ROW(Payslip_Lookup[#Headers]))="","",INDEX(Salary_Calculation[Monthly Target Orders],ROW()-ROW(Payslip_Lookup[#Headers])))</f>
        <v/>
      </c>
      <c r="I201" s="174" t="str">
        <f aca="false">IF(INDEX(Salary_Calculation[Source Row],ROW()-ROW(Payslip_Lookup[#Headers]))="","",INDEX(Salary_Calculation[Rider Target Orders],ROW()-ROW(Payslip_Lookup[#Headers])))</f>
        <v/>
      </c>
      <c r="J201" s="175" t="str">
        <f aca="false">IF(INDEX(Salary_Calculation[Source Row],ROW()-ROW(Payslip_Lookup[#Headers]))="","",INDEX(Salary_Calculation[Completed Orders],ROW()-ROW(Payslip_Lookup[#Headers])))</f>
        <v/>
      </c>
      <c r="K201" s="174" t="str">
        <f aca="false">IF(INDEX(Salary_Calculation[Source Row],ROW()-ROW(Payslip_Lookup[#Headers]))="","",INDEX(Salary_Calculation[Base Order Rate],ROW()-ROW(Payslip_Lookup[#Headers])))</f>
        <v/>
      </c>
      <c r="L201" s="176" t="str">
        <f aca="false">IF(INDEX(Salary_Calculation[Source Row],ROW()-ROW(Payslip_Lookup[#Headers]))="","",INDEX(Salary_Calculation[Basic Payment],ROW()-ROW(Payslip_Lookup[#Headers])))</f>
        <v/>
      </c>
      <c r="M201" s="176" t="str">
        <f aca="false">IF(INDEX(Salary_Calculation[Source Row],ROW()-ROW(Payslip_Lookup[#Headers]))="","",INDEX(Salary_Calculation[Earned Salary],ROW()-ROW(Payslip_Lookup[#Headers])))</f>
        <v/>
      </c>
      <c r="N201" s="174" t="str">
        <f aca="false">IF(INDEX(Salary_Calculation[Source Row],ROW()-ROW(Payslip_Lookup[#Headers]))="","",INDEX(Salary_Calculation[Orders Counted at Base Rate],ROW()-ROW(Payslip_Lookup[#Headers])))</f>
        <v/>
      </c>
      <c r="O201" s="174" t="str">
        <f aca="false">IF(INDEX(Salary_Calculation[Source Row],ROW()-ROW(Payslip_Lookup[#Headers]))="","",INDEX(Salary_Calculation[Missing Orders],ROW()-ROW(Payslip_Lookup[#Headers])))</f>
        <v/>
      </c>
      <c r="P201" s="176" t="str">
        <f aca="false">IF(INDEX(Salary_Calculation[Source Row],ROW()-ROW(Payslip_Lookup[#Headers]))="","",INDEX(Salary_Calculation[Missing-Order Deduction],ROW()-ROW(Payslip_Lookup[#Headers])))</f>
        <v/>
      </c>
      <c r="Q201" s="174" t="str">
        <f aca="false">IF(INDEX(Salary_Calculation[Source Row],ROW()-ROW(Payslip_Lookup[#Headers]))="","",INDEX(Salary_Calculation[Extra Orders],ROW()-ROW(Payslip_Lookup[#Headers])))</f>
        <v/>
      </c>
      <c r="R201" s="176" t="str">
        <f aca="false">IF(INDEX(Salary_Calculation[Source Row],ROW()-ROW(Payslip_Lookup[#Headers]))="","",INDEX(Salary_Calculation[Extra-Order Bonus],ROW()-ROW(Payslip_Lookup[#Headers])))</f>
        <v/>
      </c>
      <c r="S201" s="176" t="str">
        <f aca="false">IF(INDEX(Salary_Calculation[Source Row],ROW()-ROW(Payslip_Lookup[#Headers]))="","",INDEX(Salary_Calculation[Basic Salary for Target],ROW()-ROW(Payslip_Lookup[#Headers])))</f>
        <v/>
      </c>
      <c r="T201" s="176" t="str">
        <f aca="false">IF(INDEX(Salary_Calculation[Source Row],ROW()-ROW(Payslip_Lookup[#Headers]))="","",INDEX(Salary_Calculation[Gross Salary Before Deductions],ROW()-ROW(Payslip_Lookup[#Headers])))</f>
        <v/>
      </c>
      <c r="U201" s="176" t="str">
        <f aca="false">IF(INDEX(Salary_Calculation[Source Row],ROW()-ROW(Payslip_Lookup[#Headers]))="","",INDEX(Salary_Calculation[missed_days_penalty],ROW()-ROW(Payslip_Lookup[#Headers])))</f>
        <v/>
      </c>
      <c r="V201" s="176" t="str">
        <f aca="false">IF(INDEX(Salary_Calculation[Source Row],ROW()-ROW(Payslip_Lookup[#Headers]))="","",INDEX(Salary_Calculation[Rider Balance],ROW()-ROW(Payslip_Lookup[#Headers])))</f>
        <v/>
      </c>
      <c r="W201" s="176" t="str">
        <f aca="false">IF(INDEX(Salary_Calculation[Source Row],ROW()-ROW(Payslip_Lookup[#Headers]))="","",INDEX(Salary_Calculation[stacking_deduction],ROW()-ROW(Payslip_Lookup[#Headers])))</f>
        <v/>
      </c>
      <c r="X201" s="176" t="str">
        <f aca="false">IF(INDEX(Salary_Calculation[Source Row],ROW()-ROW(Payslip_Lookup[#Headers]))="","",INDEX(Salary_Calculation[Other Deductions],ROW()-ROW(Payslip_Lookup[#Headers])))</f>
        <v/>
      </c>
      <c r="Y201" s="176" t="str">
        <f aca="false">IF(INDEX(Salary_Calculation[Source Row],ROW()-ROW(Payslip_Lookup[#Headers]))="","",INDEX(Salary_Calculation[Total Deductions],ROW()-ROW(Payslip_Lookup[#Headers])))</f>
        <v/>
      </c>
      <c r="Z201" s="176" t="str">
        <f aca="false">IF(INDEX(Salary_Calculation[Source Row],ROW()-ROW(Payslip_Lookup[#Headers]))="","",INDEX(Salary_Calculation[Final Salary],ROW()-ROW(Payslip_Lookup[#Headers])))</f>
        <v/>
      </c>
      <c r="AA201" s="176" t="str">
        <f aca="false">IF(INDEX(Salary_Calculation[Source Row],ROW()-ROW(Payslip_Lookup[#Headers]))="","",INDEX(Salary_Calculation[Negative Balance / Amount Due from Rider],ROW()-ROW(Payslip_Lookup[#Headers])))</f>
        <v/>
      </c>
      <c r="AB201" s="176" t="str">
        <f aca="false">IF(INDEX(Salary_Calculation[Source Row],ROW()-ROW(Payslip_Lookup[#Headers]))="","",INDEX(Salary_Calculation[Total Amount Due from Rider],ROW()-ROW(Payslip_Lookup[#Headers])))</f>
        <v/>
      </c>
      <c r="AC201" s="176" t="str">
        <f aca="false">IF(INDEX(Salary_Calculation[Source Row],ROW()-ROW(Payslip_Lookup[#Headers]))="","",INDEX(Salary_Calculation[Salary Before Other Deductions],ROW()-ROW(Payslip_Lookup[#Headers])))</f>
        <v/>
      </c>
      <c r="AD201" s="171" t="str">
        <f aca="false">IF(INDEX(Salary_Calculation[Source Row],ROW()-ROW(Payslip_Lookup[#Headers]))="","",INDEX(Salary_Calculation[Payment Status],ROW()-ROW(Payslip_Lookup[#Headers])))</f>
        <v/>
      </c>
      <c r="AE201" s="171" t="str">
        <f aca="false">IF(INDEX(Salary_Calculation[Source Row],ROW()-ROW(Payslip_Lookup[#Headers]))="","",INDEX(Salary_Calculation[Notes],ROW()-ROW(Payslip_Lookup[#Headers])))</f>
        <v/>
      </c>
      <c r="AF201" s="171" t="str">
        <f aca="false">IF(INDEX(Salary_Calculation[Source Row],ROW()-ROW(Payslip_Lookup[#Headers]))="","",INDEX(Salary_Calculation[Exception Reason],ROW()-ROW(Payslip_Lookup[#Headers])))</f>
        <v/>
      </c>
      <c r="AG201" s="173" t="str">
        <f aca="false">IF($AD201="Review Required",COUNTIF(AD$2:AD201,"Review Required"),"")</f>
        <v/>
      </c>
      <c r="AH201" s="173" t="str">
        <f aca="false">IF(AND($D201&lt;&gt;"",$B201=Payslip_Print!$C$2),MAX(AH$1:AH200)+1,"")</f>
        <v/>
      </c>
      <c r="AL201" s="178" t="str">
        <f aca="false">IFERROR(INDEX($D$2:$D$501,MATCH(ROW()-1,$AH$2:$AH$501,0)),"")</f>
        <v/>
      </c>
      <c r="AM201" s="179" t="str">
        <f aca="false">IF($Z201="","",IF(AND($C201&gt;=Dash_Start,$C201&lt;Dash_End),$Z201+ROW()/10000000,""))</f>
        <v/>
      </c>
    </row>
    <row r="202" customFormat="false" ht="14.25" hidden="false" customHeight="false" outlineLevel="0" collapsed="false">
      <c r="A202" s="171" t="str">
        <f aca="false">IF(Payslip_Lookup[[#This Row],[Rider ID]]="","",Payslip_Lookup[[#This Row],[Rider ID]]&amp;"|"&amp;Payslip_Lookup[[#This Row],[Month Key]])</f>
        <v/>
      </c>
      <c r="B202" s="172" t="str">
        <f aca="false">IF(ISNUMBER(Payslip_Lookup[[#This Row],[Salary Month]]),DATE(YEAR(Payslip_Lookup[[#This Row],[Salary Month]]),MONTH(Payslip_Lookup[[#This Row],[Salary Month]]),1),"")</f>
        <v/>
      </c>
      <c r="C202" s="172" t="str">
        <f aca="false">IF(INDEX(Salary_Calculation[Source Row],ROW()-ROW(Payslip_Lookup[#Headers]))="","",INDEX(Salary_Calculation[Salary Month],ROW()-ROW(Payslip_Lookup[#Headers])))</f>
        <v/>
      </c>
      <c r="D202" s="173" t="str">
        <f aca="false">IF(INDEX(Salary_Calculation[Source Row],ROW()-ROW(Payslip_Lookup[#Headers]))="","",INDEX(Salary_Calculation[Rider ID],ROW()-ROW(Payslip_Lookup[#Headers])))</f>
        <v/>
      </c>
      <c r="E202" s="171" t="str">
        <f aca="false">IF(INDEX(Salary_Calculation[Source Row],ROW()-ROW(Payslip_Lookup[#Headers]))="","",INDEX(Salary_Calculation[Rider Name],ROW()-ROW(Payslip_Lookup[#Headers])))</f>
        <v/>
      </c>
      <c r="F202" s="173" t="str">
        <f aca="false">IF(INDEX(Salary_Calculation[Source Row],ROW()-ROW(Payslip_Lookup[#Headers]))="","",INDEX(Salary_Calculation[Working Days],ROW()-ROW(Payslip_Lookup[#Headers])))</f>
        <v/>
      </c>
      <c r="G202" s="173" t="str">
        <f aca="false">IF(INDEX(Salary_Calculation[Source Row],ROW()-ROW(Payslip_Lookup[#Headers]))="","",INDEX(Salary_Calculation[Calendar Days],ROW()-ROW(Payslip_Lookup[#Headers])))</f>
        <v/>
      </c>
      <c r="H202" s="174" t="str">
        <f aca="false">IF(INDEX(Salary_Calculation[Source Row],ROW()-ROW(Payslip_Lookup[#Headers]))="","",INDEX(Salary_Calculation[Monthly Target Orders],ROW()-ROW(Payslip_Lookup[#Headers])))</f>
        <v/>
      </c>
      <c r="I202" s="174" t="str">
        <f aca="false">IF(INDEX(Salary_Calculation[Source Row],ROW()-ROW(Payslip_Lookup[#Headers]))="","",INDEX(Salary_Calculation[Rider Target Orders],ROW()-ROW(Payslip_Lookup[#Headers])))</f>
        <v/>
      </c>
      <c r="J202" s="175" t="str">
        <f aca="false">IF(INDEX(Salary_Calculation[Source Row],ROW()-ROW(Payslip_Lookup[#Headers]))="","",INDEX(Salary_Calculation[Completed Orders],ROW()-ROW(Payslip_Lookup[#Headers])))</f>
        <v/>
      </c>
      <c r="K202" s="174" t="str">
        <f aca="false">IF(INDEX(Salary_Calculation[Source Row],ROW()-ROW(Payslip_Lookup[#Headers]))="","",INDEX(Salary_Calculation[Base Order Rate],ROW()-ROW(Payslip_Lookup[#Headers])))</f>
        <v/>
      </c>
      <c r="L202" s="176" t="str">
        <f aca="false">IF(INDEX(Salary_Calculation[Source Row],ROW()-ROW(Payslip_Lookup[#Headers]))="","",INDEX(Salary_Calculation[Basic Payment],ROW()-ROW(Payslip_Lookup[#Headers])))</f>
        <v/>
      </c>
      <c r="M202" s="176" t="str">
        <f aca="false">IF(INDEX(Salary_Calculation[Source Row],ROW()-ROW(Payslip_Lookup[#Headers]))="","",INDEX(Salary_Calculation[Earned Salary],ROW()-ROW(Payslip_Lookup[#Headers])))</f>
        <v/>
      </c>
      <c r="N202" s="174" t="str">
        <f aca="false">IF(INDEX(Salary_Calculation[Source Row],ROW()-ROW(Payslip_Lookup[#Headers]))="","",INDEX(Salary_Calculation[Orders Counted at Base Rate],ROW()-ROW(Payslip_Lookup[#Headers])))</f>
        <v/>
      </c>
      <c r="O202" s="174" t="str">
        <f aca="false">IF(INDEX(Salary_Calculation[Source Row],ROW()-ROW(Payslip_Lookup[#Headers]))="","",INDEX(Salary_Calculation[Missing Orders],ROW()-ROW(Payslip_Lookup[#Headers])))</f>
        <v/>
      </c>
      <c r="P202" s="176" t="str">
        <f aca="false">IF(INDEX(Salary_Calculation[Source Row],ROW()-ROW(Payslip_Lookup[#Headers]))="","",INDEX(Salary_Calculation[Missing-Order Deduction],ROW()-ROW(Payslip_Lookup[#Headers])))</f>
        <v/>
      </c>
      <c r="Q202" s="174" t="str">
        <f aca="false">IF(INDEX(Salary_Calculation[Source Row],ROW()-ROW(Payslip_Lookup[#Headers]))="","",INDEX(Salary_Calculation[Extra Orders],ROW()-ROW(Payslip_Lookup[#Headers])))</f>
        <v/>
      </c>
      <c r="R202" s="176" t="str">
        <f aca="false">IF(INDEX(Salary_Calculation[Source Row],ROW()-ROW(Payslip_Lookup[#Headers]))="","",INDEX(Salary_Calculation[Extra-Order Bonus],ROW()-ROW(Payslip_Lookup[#Headers])))</f>
        <v/>
      </c>
      <c r="S202" s="176" t="str">
        <f aca="false">IF(INDEX(Salary_Calculation[Source Row],ROW()-ROW(Payslip_Lookup[#Headers]))="","",INDEX(Salary_Calculation[Basic Salary for Target],ROW()-ROW(Payslip_Lookup[#Headers])))</f>
        <v/>
      </c>
      <c r="T202" s="176" t="str">
        <f aca="false">IF(INDEX(Salary_Calculation[Source Row],ROW()-ROW(Payslip_Lookup[#Headers]))="","",INDEX(Salary_Calculation[Gross Salary Before Deductions],ROW()-ROW(Payslip_Lookup[#Headers])))</f>
        <v/>
      </c>
      <c r="U202" s="176" t="str">
        <f aca="false">IF(INDEX(Salary_Calculation[Source Row],ROW()-ROW(Payslip_Lookup[#Headers]))="","",INDEX(Salary_Calculation[missed_days_penalty],ROW()-ROW(Payslip_Lookup[#Headers])))</f>
        <v/>
      </c>
      <c r="V202" s="176" t="str">
        <f aca="false">IF(INDEX(Salary_Calculation[Source Row],ROW()-ROW(Payslip_Lookup[#Headers]))="","",INDEX(Salary_Calculation[Rider Balance],ROW()-ROW(Payslip_Lookup[#Headers])))</f>
        <v/>
      </c>
      <c r="W202" s="176" t="str">
        <f aca="false">IF(INDEX(Salary_Calculation[Source Row],ROW()-ROW(Payslip_Lookup[#Headers]))="","",INDEX(Salary_Calculation[stacking_deduction],ROW()-ROW(Payslip_Lookup[#Headers])))</f>
        <v/>
      </c>
      <c r="X202" s="176" t="str">
        <f aca="false">IF(INDEX(Salary_Calculation[Source Row],ROW()-ROW(Payslip_Lookup[#Headers]))="","",INDEX(Salary_Calculation[Other Deductions],ROW()-ROW(Payslip_Lookup[#Headers])))</f>
        <v/>
      </c>
      <c r="Y202" s="176" t="str">
        <f aca="false">IF(INDEX(Salary_Calculation[Source Row],ROW()-ROW(Payslip_Lookup[#Headers]))="","",INDEX(Salary_Calculation[Total Deductions],ROW()-ROW(Payslip_Lookup[#Headers])))</f>
        <v/>
      </c>
      <c r="Z202" s="176" t="str">
        <f aca="false">IF(INDEX(Salary_Calculation[Source Row],ROW()-ROW(Payslip_Lookup[#Headers]))="","",INDEX(Salary_Calculation[Final Salary],ROW()-ROW(Payslip_Lookup[#Headers])))</f>
        <v/>
      </c>
      <c r="AA202" s="176" t="str">
        <f aca="false">IF(INDEX(Salary_Calculation[Source Row],ROW()-ROW(Payslip_Lookup[#Headers]))="","",INDEX(Salary_Calculation[Negative Balance / Amount Due from Rider],ROW()-ROW(Payslip_Lookup[#Headers])))</f>
        <v/>
      </c>
      <c r="AB202" s="176" t="str">
        <f aca="false">IF(INDEX(Salary_Calculation[Source Row],ROW()-ROW(Payslip_Lookup[#Headers]))="","",INDEX(Salary_Calculation[Total Amount Due from Rider],ROW()-ROW(Payslip_Lookup[#Headers])))</f>
        <v/>
      </c>
      <c r="AC202" s="176" t="str">
        <f aca="false">IF(INDEX(Salary_Calculation[Source Row],ROW()-ROW(Payslip_Lookup[#Headers]))="","",INDEX(Salary_Calculation[Salary Before Other Deductions],ROW()-ROW(Payslip_Lookup[#Headers])))</f>
        <v/>
      </c>
      <c r="AD202" s="171" t="str">
        <f aca="false">IF(INDEX(Salary_Calculation[Source Row],ROW()-ROW(Payslip_Lookup[#Headers]))="","",INDEX(Salary_Calculation[Payment Status],ROW()-ROW(Payslip_Lookup[#Headers])))</f>
        <v/>
      </c>
      <c r="AE202" s="171" t="str">
        <f aca="false">IF(INDEX(Salary_Calculation[Source Row],ROW()-ROW(Payslip_Lookup[#Headers]))="","",INDEX(Salary_Calculation[Notes],ROW()-ROW(Payslip_Lookup[#Headers])))</f>
        <v/>
      </c>
      <c r="AF202" s="171" t="str">
        <f aca="false">IF(INDEX(Salary_Calculation[Source Row],ROW()-ROW(Payslip_Lookup[#Headers]))="","",INDEX(Salary_Calculation[Exception Reason],ROW()-ROW(Payslip_Lookup[#Headers])))</f>
        <v/>
      </c>
      <c r="AG202" s="173" t="str">
        <f aca="false">IF($AD202="Review Required",COUNTIF(AD$2:AD202,"Review Required"),"")</f>
        <v/>
      </c>
      <c r="AH202" s="173" t="str">
        <f aca="false">IF(AND($D202&lt;&gt;"",$B202=Payslip_Print!$C$2),MAX(AH$1:AH201)+1,"")</f>
        <v/>
      </c>
      <c r="AL202" s="178" t="str">
        <f aca="false">IFERROR(INDEX($D$2:$D$501,MATCH(ROW()-1,$AH$2:$AH$501,0)),"")</f>
        <v/>
      </c>
      <c r="AM202" s="179" t="str">
        <f aca="false">IF($Z202="","",IF(AND($C202&gt;=Dash_Start,$C202&lt;Dash_End),$Z202+ROW()/10000000,""))</f>
        <v/>
      </c>
    </row>
    <row r="203" customFormat="false" ht="14.25" hidden="false" customHeight="false" outlineLevel="0" collapsed="false">
      <c r="A203" s="171" t="str">
        <f aca="false">IF(Payslip_Lookup[[#This Row],[Rider ID]]="","",Payslip_Lookup[[#This Row],[Rider ID]]&amp;"|"&amp;Payslip_Lookup[[#This Row],[Month Key]])</f>
        <v/>
      </c>
      <c r="B203" s="172" t="str">
        <f aca="false">IF(ISNUMBER(Payslip_Lookup[[#This Row],[Salary Month]]),DATE(YEAR(Payslip_Lookup[[#This Row],[Salary Month]]),MONTH(Payslip_Lookup[[#This Row],[Salary Month]]),1),"")</f>
        <v/>
      </c>
      <c r="C203" s="172" t="str">
        <f aca="false">IF(INDEX(Salary_Calculation[Source Row],ROW()-ROW(Payslip_Lookup[#Headers]))="","",INDEX(Salary_Calculation[Salary Month],ROW()-ROW(Payslip_Lookup[#Headers])))</f>
        <v/>
      </c>
      <c r="D203" s="173" t="str">
        <f aca="false">IF(INDEX(Salary_Calculation[Source Row],ROW()-ROW(Payslip_Lookup[#Headers]))="","",INDEX(Salary_Calculation[Rider ID],ROW()-ROW(Payslip_Lookup[#Headers])))</f>
        <v/>
      </c>
      <c r="E203" s="171" t="str">
        <f aca="false">IF(INDEX(Salary_Calculation[Source Row],ROW()-ROW(Payslip_Lookup[#Headers]))="","",INDEX(Salary_Calculation[Rider Name],ROW()-ROW(Payslip_Lookup[#Headers])))</f>
        <v/>
      </c>
      <c r="F203" s="173" t="str">
        <f aca="false">IF(INDEX(Salary_Calculation[Source Row],ROW()-ROW(Payslip_Lookup[#Headers]))="","",INDEX(Salary_Calculation[Working Days],ROW()-ROW(Payslip_Lookup[#Headers])))</f>
        <v/>
      </c>
      <c r="G203" s="173" t="str">
        <f aca="false">IF(INDEX(Salary_Calculation[Source Row],ROW()-ROW(Payslip_Lookup[#Headers]))="","",INDEX(Salary_Calculation[Calendar Days],ROW()-ROW(Payslip_Lookup[#Headers])))</f>
        <v/>
      </c>
      <c r="H203" s="174" t="str">
        <f aca="false">IF(INDEX(Salary_Calculation[Source Row],ROW()-ROW(Payslip_Lookup[#Headers]))="","",INDEX(Salary_Calculation[Monthly Target Orders],ROW()-ROW(Payslip_Lookup[#Headers])))</f>
        <v/>
      </c>
      <c r="I203" s="174" t="str">
        <f aca="false">IF(INDEX(Salary_Calculation[Source Row],ROW()-ROW(Payslip_Lookup[#Headers]))="","",INDEX(Salary_Calculation[Rider Target Orders],ROW()-ROW(Payslip_Lookup[#Headers])))</f>
        <v/>
      </c>
      <c r="J203" s="175" t="str">
        <f aca="false">IF(INDEX(Salary_Calculation[Source Row],ROW()-ROW(Payslip_Lookup[#Headers]))="","",INDEX(Salary_Calculation[Completed Orders],ROW()-ROW(Payslip_Lookup[#Headers])))</f>
        <v/>
      </c>
      <c r="K203" s="174" t="str">
        <f aca="false">IF(INDEX(Salary_Calculation[Source Row],ROW()-ROW(Payslip_Lookup[#Headers]))="","",INDEX(Salary_Calculation[Base Order Rate],ROW()-ROW(Payslip_Lookup[#Headers])))</f>
        <v/>
      </c>
      <c r="L203" s="176" t="str">
        <f aca="false">IF(INDEX(Salary_Calculation[Source Row],ROW()-ROW(Payslip_Lookup[#Headers]))="","",INDEX(Salary_Calculation[Basic Payment],ROW()-ROW(Payslip_Lookup[#Headers])))</f>
        <v/>
      </c>
      <c r="M203" s="176" t="str">
        <f aca="false">IF(INDEX(Salary_Calculation[Source Row],ROW()-ROW(Payslip_Lookup[#Headers]))="","",INDEX(Salary_Calculation[Earned Salary],ROW()-ROW(Payslip_Lookup[#Headers])))</f>
        <v/>
      </c>
      <c r="N203" s="174" t="str">
        <f aca="false">IF(INDEX(Salary_Calculation[Source Row],ROW()-ROW(Payslip_Lookup[#Headers]))="","",INDEX(Salary_Calculation[Orders Counted at Base Rate],ROW()-ROW(Payslip_Lookup[#Headers])))</f>
        <v/>
      </c>
      <c r="O203" s="174" t="str">
        <f aca="false">IF(INDEX(Salary_Calculation[Source Row],ROW()-ROW(Payslip_Lookup[#Headers]))="","",INDEX(Salary_Calculation[Missing Orders],ROW()-ROW(Payslip_Lookup[#Headers])))</f>
        <v/>
      </c>
      <c r="P203" s="176" t="str">
        <f aca="false">IF(INDEX(Salary_Calculation[Source Row],ROW()-ROW(Payslip_Lookup[#Headers]))="","",INDEX(Salary_Calculation[Missing-Order Deduction],ROW()-ROW(Payslip_Lookup[#Headers])))</f>
        <v/>
      </c>
      <c r="Q203" s="174" t="str">
        <f aca="false">IF(INDEX(Salary_Calculation[Source Row],ROW()-ROW(Payslip_Lookup[#Headers]))="","",INDEX(Salary_Calculation[Extra Orders],ROW()-ROW(Payslip_Lookup[#Headers])))</f>
        <v/>
      </c>
      <c r="R203" s="176" t="str">
        <f aca="false">IF(INDEX(Salary_Calculation[Source Row],ROW()-ROW(Payslip_Lookup[#Headers]))="","",INDEX(Salary_Calculation[Extra-Order Bonus],ROW()-ROW(Payslip_Lookup[#Headers])))</f>
        <v/>
      </c>
      <c r="S203" s="176" t="str">
        <f aca="false">IF(INDEX(Salary_Calculation[Source Row],ROW()-ROW(Payslip_Lookup[#Headers]))="","",INDEX(Salary_Calculation[Basic Salary for Target],ROW()-ROW(Payslip_Lookup[#Headers])))</f>
        <v/>
      </c>
      <c r="T203" s="176" t="str">
        <f aca="false">IF(INDEX(Salary_Calculation[Source Row],ROW()-ROW(Payslip_Lookup[#Headers]))="","",INDEX(Salary_Calculation[Gross Salary Before Deductions],ROW()-ROW(Payslip_Lookup[#Headers])))</f>
        <v/>
      </c>
      <c r="U203" s="176" t="str">
        <f aca="false">IF(INDEX(Salary_Calculation[Source Row],ROW()-ROW(Payslip_Lookup[#Headers]))="","",INDEX(Salary_Calculation[missed_days_penalty],ROW()-ROW(Payslip_Lookup[#Headers])))</f>
        <v/>
      </c>
      <c r="V203" s="176" t="str">
        <f aca="false">IF(INDEX(Salary_Calculation[Source Row],ROW()-ROW(Payslip_Lookup[#Headers]))="","",INDEX(Salary_Calculation[Rider Balance],ROW()-ROW(Payslip_Lookup[#Headers])))</f>
        <v/>
      </c>
      <c r="W203" s="176" t="str">
        <f aca="false">IF(INDEX(Salary_Calculation[Source Row],ROW()-ROW(Payslip_Lookup[#Headers]))="","",INDEX(Salary_Calculation[stacking_deduction],ROW()-ROW(Payslip_Lookup[#Headers])))</f>
        <v/>
      </c>
      <c r="X203" s="176" t="str">
        <f aca="false">IF(INDEX(Salary_Calculation[Source Row],ROW()-ROW(Payslip_Lookup[#Headers]))="","",INDEX(Salary_Calculation[Other Deductions],ROW()-ROW(Payslip_Lookup[#Headers])))</f>
        <v/>
      </c>
      <c r="Y203" s="176" t="str">
        <f aca="false">IF(INDEX(Salary_Calculation[Source Row],ROW()-ROW(Payslip_Lookup[#Headers]))="","",INDEX(Salary_Calculation[Total Deductions],ROW()-ROW(Payslip_Lookup[#Headers])))</f>
        <v/>
      </c>
      <c r="Z203" s="176" t="str">
        <f aca="false">IF(INDEX(Salary_Calculation[Source Row],ROW()-ROW(Payslip_Lookup[#Headers]))="","",INDEX(Salary_Calculation[Final Salary],ROW()-ROW(Payslip_Lookup[#Headers])))</f>
        <v/>
      </c>
      <c r="AA203" s="176" t="str">
        <f aca="false">IF(INDEX(Salary_Calculation[Source Row],ROW()-ROW(Payslip_Lookup[#Headers]))="","",INDEX(Salary_Calculation[Negative Balance / Amount Due from Rider],ROW()-ROW(Payslip_Lookup[#Headers])))</f>
        <v/>
      </c>
      <c r="AB203" s="176" t="str">
        <f aca="false">IF(INDEX(Salary_Calculation[Source Row],ROW()-ROW(Payslip_Lookup[#Headers]))="","",INDEX(Salary_Calculation[Total Amount Due from Rider],ROW()-ROW(Payslip_Lookup[#Headers])))</f>
        <v/>
      </c>
      <c r="AC203" s="176" t="str">
        <f aca="false">IF(INDEX(Salary_Calculation[Source Row],ROW()-ROW(Payslip_Lookup[#Headers]))="","",INDEX(Salary_Calculation[Salary Before Other Deductions],ROW()-ROW(Payslip_Lookup[#Headers])))</f>
        <v/>
      </c>
      <c r="AD203" s="171" t="str">
        <f aca="false">IF(INDEX(Salary_Calculation[Source Row],ROW()-ROW(Payslip_Lookup[#Headers]))="","",INDEX(Salary_Calculation[Payment Status],ROW()-ROW(Payslip_Lookup[#Headers])))</f>
        <v/>
      </c>
      <c r="AE203" s="171" t="str">
        <f aca="false">IF(INDEX(Salary_Calculation[Source Row],ROW()-ROW(Payslip_Lookup[#Headers]))="","",INDEX(Salary_Calculation[Notes],ROW()-ROW(Payslip_Lookup[#Headers])))</f>
        <v/>
      </c>
      <c r="AF203" s="171" t="str">
        <f aca="false">IF(INDEX(Salary_Calculation[Source Row],ROW()-ROW(Payslip_Lookup[#Headers]))="","",INDEX(Salary_Calculation[Exception Reason],ROW()-ROW(Payslip_Lookup[#Headers])))</f>
        <v/>
      </c>
      <c r="AG203" s="173" t="str">
        <f aca="false">IF($AD203="Review Required",COUNTIF(AD$2:AD203,"Review Required"),"")</f>
        <v/>
      </c>
      <c r="AH203" s="173" t="str">
        <f aca="false">IF(AND($D203&lt;&gt;"",$B203=Payslip_Print!$C$2),MAX(AH$1:AH202)+1,"")</f>
        <v/>
      </c>
      <c r="AL203" s="178" t="str">
        <f aca="false">IFERROR(INDEX($D$2:$D$501,MATCH(ROW()-1,$AH$2:$AH$501,0)),"")</f>
        <v/>
      </c>
      <c r="AM203" s="179" t="str">
        <f aca="false">IF($Z203="","",IF(AND($C203&gt;=Dash_Start,$C203&lt;Dash_End),$Z203+ROW()/10000000,""))</f>
        <v/>
      </c>
    </row>
    <row r="204" customFormat="false" ht="14.25" hidden="false" customHeight="false" outlineLevel="0" collapsed="false">
      <c r="A204" s="171" t="str">
        <f aca="false">IF(Payslip_Lookup[[#This Row],[Rider ID]]="","",Payslip_Lookup[[#This Row],[Rider ID]]&amp;"|"&amp;Payslip_Lookup[[#This Row],[Month Key]])</f>
        <v/>
      </c>
      <c r="B204" s="172" t="str">
        <f aca="false">IF(ISNUMBER(Payslip_Lookup[[#This Row],[Salary Month]]),DATE(YEAR(Payslip_Lookup[[#This Row],[Salary Month]]),MONTH(Payslip_Lookup[[#This Row],[Salary Month]]),1),"")</f>
        <v/>
      </c>
      <c r="C204" s="172" t="str">
        <f aca="false">IF(INDEX(Salary_Calculation[Source Row],ROW()-ROW(Payslip_Lookup[#Headers]))="","",INDEX(Salary_Calculation[Salary Month],ROW()-ROW(Payslip_Lookup[#Headers])))</f>
        <v/>
      </c>
      <c r="D204" s="173" t="str">
        <f aca="false">IF(INDEX(Salary_Calculation[Source Row],ROW()-ROW(Payslip_Lookup[#Headers]))="","",INDEX(Salary_Calculation[Rider ID],ROW()-ROW(Payslip_Lookup[#Headers])))</f>
        <v/>
      </c>
      <c r="E204" s="171" t="str">
        <f aca="false">IF(INDEX(Salary_Calculation[Source Row],ROW()-ROW(Payslip_Lookup[#Headers]))="","",INDEX(Salary_Calculation[Rider Name],ROW()-ROW(Payslip_Lookup[#Headers])))</f>
        <v/>
      </c>
      <c r="F204" s="173" t="str">
        <f aca="false">IF(INDEX(Salary_Calculation[Source Row],ROW()-ROW(Payslip_Lookup[#Headers]))="","",INDEX(Salary_Calculation[Working Days],ROW()-ROW(Payslip_Lookup[#Headers])))</f>
        <v/>
      </c>
      <c r="G204" s="173" t="str">
        <f aca="false">IF(INDEX(Salary_Calculation[Source Row],ROW()-ROW(Payslip_Lookup[#Headers]))="","",INDEX(Salary_Calculation[Calendar Days],ROW()-ROW(Payslip_Lookup[#Headers])))</f>
        <v/>
      </c>
      <c r="H204" s="174" t="str">
        <f aca="false">IF(INDEX(Salary_Calculation[Source Row],ROW()-ROW(Payslip_Lookup[#Headers]))="","",INDEX(Salary_Calculation[Monthly Target Orders],ROW()-ROW(Payslip_Lookup[#Headers])))</f>
        <v/>
      </c>
      <c r="I204" s="174" t="str">
        <f aca="false">IF(INDEX(Salary_Calculation[Source Row],ROW()-ROW(Payslip_Lookup[#Headers]))="","",INDEX(Salary_Calculation[Rider Target Orders],ROW()-ROW(Payslip_Lookup[#Headers])))</f>
        <v/>
      </c>
      <c r="J204" s="175" t="str">
        <f aca="false">IF(INDEX(Salary_Calculation[Source Row],ROW()-ROW(Payslip_Lookup[#Headers]))="","",INDEX(Salary_Calculation[Completed Orders],ROW()-ROW(Payslip_Lookup[#Headers])))</f>
        <v/>
      </c>
      <c r="K204" s="174" t="str">
        <f aca="false">IF(INDEX(Salary_Calculation[Source Row],ROW()-ROW(Payslip_Lookup[#Headers]))="","",INDEX(Salary_Calculation[Base Order Rate],ROW()-ROW(Payslip_Lookup[#Headers])))</f>
        <v/>
      </c>
      <c r="L204" s="176" t="str">
        <f aca="false">IF(INDEX(Salary_Calculation[Source Row],ROW()-ROW(Payslip_Lookup[#Headers]))="","",INDEX(Salary_Calculation[Basic Payment],ROW()-ROW(Payslip_Lookup[#Headers])))</f>
        <v/>
      </c>
      <c r="M204" s="176" t="str">
        <f aca="false">IF(INDEX(Salary_Calculation[Source Row],ROW()-ROW(Payslip_Lookup[#Headers]))="","",INDEX(Salary_Calculation[Earned Salary],ROW()-ROW(Payslip_Lookup[#Headers])))</f>
        <v/>
      </c>
      <c r="N204" s="174" t="str">
        <f aca="false">IF(INDEX(Salary_Calculation[Source Row],ROW()-ROW(Payslip_Lookup[#Headers]))="","",INDEX(Salary_Calculation[Orders Counted at Base Rate],ROW()-ROW(Payslip_Lookup[#Headers])))</f>
        <v/>
      </c>
      <c r="O204" s="174" t="str">
        <f aca="false">IF(INDEX(Salary_Calculation[Source Row],ROW()-ROW(Payslip_Lookup[#Headers]))="","",INDEX(Salary_Calculation[Missing Orders],ROW()-ROW(Payslip_Lookup[#Headers])))</f>
        <v/>
      </c>
      <c r="P204" s="176" t="str">
        <f aca="false">IF(INDEX(Salary_Calculation[Source Row],ROW()-ROW(Payslip_Lookup[#Headers]))="","",INDEX(Salary_Calculation[Missing-Order Deduction],ROW()-ROW(Payslip_Lookup[#Headers])))</f>
        <v/>
      </c>
      <c r="Q204" s="174" t="str">
        <f aca="false">IF(INDEX(Salary_Calculation[Source Row],ROW()-ROW(Payslip_Lookup[#Headers]))="","",INDEX(Salary_Calculation[Extra Orders],ROW()-ROW(Payslip_Lookup[#Headers])))</f>
        <v/>
      </c>
      <c r="R204" s="176" t="str">
        <f aca="false">IF(INDEX(Salary_Calculation[Source Row],ROW()-ROW(Payslip_Lookup[#Headers]))="","",INDEX(Salary_Calculation[Extra-Order Bonus],ROW()-ROW(Payslip_Lookup[#Headers])))</f>
        <v/>
      </c>
      <c r="S204" s="176" t="str">
        <f aca="false">IF(INDEX(Salary_Calculation[Source Row],ROW()-ROW(Payslip_Lookup[#Headers]))="","",INDEX(Salary_Calculation[Basic Salary for Target],ROW()-ROW(Payslip_Lookup[#Headers])))</f>
        <v/>
      </c>
      <c r="T204" s="176" t="str">
        <f aca="false">IF(INDEX(Salary_Calculation[Source Row],ROW()-ROW(Payslip_Lookup[#Headers]))="","",INDEX(Salary_Calculation[Gross Salary Before Deductions],ROW()-ROW(Payslip_Lookup[#Headers])))</f>
        <v/>
      </c>
      <c r="U204" s="176" t="str">
        <f aca="false">IF(INDEX(Salary_Calculation[Source Row],ROW()-ROW(Payslip_Lookup[#Headers]))="","",INDEX(Salary_Calculation[missed_days_penalty],ROW()-ROW(Payslip_Lookup[#Headers])))</f>
        <v/>
      </c>
      <c r="V204" s="176" t="str">
        <f aca="false">IF(INDEX(Salary_Calculation[Source Row],ROW()-ROW(Payslip_Lookup[#Headers]))="","",INDEX(Salary_Calculation[Rider Balance],ROW()-ROW(Payslip_Lookup[#Headers])))</f>
        <v/>
      </c>
      <c r="W204" s="176" t="str">
        <f aca="false">IF(INDEX(Salary_Calculation[Source Row],ROW()-ROW(Payslip_Lookup[#Headers]))="","",INDEX(Salary_Calculation[stacking_deduction],ROW()-ROW(Payslip_Lookup[#Headers])))</f>
        <v/>
      </c>
      <c r="X204" s="176" t="str">
        <f aca="false">IF(INDEX(Salary_Calculation[Source Row],ROW()-ROW(Payslip_Lookup[#Headers]))="","",INDEX(Salary_Calculation[Other Deductions],ROW()-ROW(Payslip_Lookup[#Headers])))</f>
        <v/>
      </c>
      <c r="Y204" s="176" t="str">
        <f aca="false">IF(INDEX(Salary_Calculation[Source Row],ROW()-ROW(Payslip_Lookup[#Headers]))="","",INDEX(Salary_Calculation[Total Deductions],ROW()-ROW(Payslip_Lookup[#Headers])))</f>
        <v/>
      </c>
      <c r="Z204" s="176" t="str">
        <f aca="false">IF(INDEX(Salary_Calculation[Source Row],ROW()-ROW(Payslip_Lookup[#Headers]))="","",INDEX(Salary_Calculation[Final Salary],ROW()-ROW(Payslip_Lookup[#Headers])))</f>
        <v/>
      </c>
      <c r="AA204" s="176" t="str">
        <f aca="false">IF(INDEX(Salary_Calculation[Source Row],ROW()-ROW(Payslip_Lookup[#Headers]))="","",INDEX(Salary_Calculation[Negative Balance / Amount Due from Rider],ROW()-ROW(Payslip_Lookup[#Headers])))</f>
        <v/>
      </c>
      <c r="AB204" s="176" t="str">
        <f aca="false">IF(INDEX(Salary_Calculation[Source Row],ROW()-ROW(Payslip_Lookup[#Headers]))="","",INDEX(Salary_Calculation[Total Amount Due from Rider],ROW()-ROW(Payslip_Lookup[#Headers])))</f>
        <v/>
      </c>
      <c r="AC204" s="176" t="str">
        <f aca="false">IF(INDEX(Salary_Calculation[Source Row],ROW()-ROW(Payslip_Lookup[#Headers]))="","",INDEX(Salary_Calculation[Salary Before Other Deductions],ROW()-ROW(Payslip_Lookup[#Headers])))</f>
        <v/>
      </c>
      <c r="AD204" s="171" t="str">
        <f aca="false">IF(INDEX(Salary_Calculation[Source Row],ROW()-ROW(Payslip_Lookup[#Headers]))="","",INDEX(Salary_Calculation[Payment Status],ROW()-ROW(Payslip_Lookup[#Headers])))</f>
        <v/>
      </c>
      <c r="AE204" s="171" t="str">
        <f aca="false">IF(INDEX(Salary_Calculation[Source Row],ROW()-ROW(Payslip_Lookup[#Headers]))="","",INDEX(Salary_Calculation[Notes],ROW()-ROW(Payslip_Lookup[#Headers])))</f>
        <v/>
      </c>
      <c r="AF204" s="171" t="str">
        <f aca="false">IF(INDEX(Salary_Calculation[Source Row],ROW()-ROW(Payslip_Lookup[#Headers]))="","",INDEX(Salary_Calculation[Exception Reason],ROW()-ROW(Payslip_Lookup[#Headers])))</f>
        <v/>
      </c>
      <c r="AG204" s="173" t="str">
        <f aca="false">IF($AD204="Review Required",COUNTIF(AD$2:AD204,"Review Required"),"")</f>
        <v/>
      </c>
      <c r="AH204" s="173" t="str">
        <f aca="false">IF(AND($D204&lt;&gt;"",$B204=Payslip_Print!$C$2),MAX(AH$1:AH203)+1,"")</f>
        <v/>
      </c>
      <c r="AL204" s="178" t="str">
        <f aca="false">IFERROR(INDEX($D$2:$D$501,MATCH(ROW()-1,$AH$2:$AH$501,0)),"")</f>
        <v/>
      </c>
      <c r="AM204" s="179" t="str">
        <f aca="false">IF($Z204="","",IF(AND($C204&gt;=Dash_Start,$C204&lt;Dash_End),$Z204+ROW()/10000000,""))</f>
        <v/>
      </c>
    </row>
    <row r="205" customFormat="false" ht="14.25" hidden="false" customHeight="false" outlineLevel="0" collapsed="false">
      <c r="A205" s="171" t="str">
        <f aca="false">IF(Payslip_Lookup[[#This Row],[Rider ID]]="","",Payslip_Lookup[[#This Row],[Rider ID]]&amp;"|"&amp;Payslip_Lookup[[#This Row],[Month Key]])</f>
        <v/>
      </c>
      <c r="B205" s="172" t="str">
        <f aca="false">IF(ISNUMBER(Payslip_Lookup[[#This Row],[Salary Month]]),DATE(YEAR(Payslip_Lookup[[#This Row],[Salary Month]]),MONTH(Payslip_Lookup[[#This Row],[Salary Month]]),1),"")</f>
        <v/>
      </c>
      <c r="C205" s="172" t="str">
        <f aca="false">IF(INDEX(Salary_Calculation[Source Row],ROW()-ROW(Payslip_Lookup[#Headers]))="","",INDEX(Salary_Calculation[Salary Month],ROW()-ROW(Payslip_Lookup[#Headers])))</f>
        <v/>
      </c>
      <c r="D205" s="173" t="str">
        <f aca="false">IF(INDEX(Salary_Calculation[Source Row],ROW()-ROW(Payslip_Lookup[#Headers]))="","",INDEX(Salary_Calculation[Rider ID],ROW()-ROW(Payslip_Lookup[#Headers])))</f>
        <v/>
      </c>
      <c r="E205" s="171" t="str">
        <f aca="false">IF(INDEX(Salary_Calculation[Source Row],ROW()-ROW(Payslip_Lookup[#Headers]))="","",INDEX(Salary_Calculation[Rider Name],ROW()-ROW(Payslip_Lookup[#Headers])))</f>
        <v/>
      </c>
      <c r="F205" s="173" t="str">
        <f aca="false">IF(INDEX(Salary_Calculation[Source Row],ROW()-ROW(Payslip_Lookup[#Headers]))="","",INDEX(Salary_Calculation[Working Days],ROW()-ROW(Payslip_Lookup[#Headers])))</f>
        <v/>
      </c>
      <c r="G205" s="173" t="str">
        <f aca="false">IF(INDEX(Salary_Calculation[Source Row],ROW()-ROW(Payslip_Lookup[#Headers]))="","",INDEX(Salary_Calculation[Calendar Days],ROW()-ROW(Payslip_Lookup[#Headers])))</f>
        <v/>
      </c>
      <c r="H205" s="174" t="str">
        <f aca="false">IF(INDEX(Salary_Calculation[Source Row],ROW()-ROW(Payslip_Lookup[#Headers]))="","",INDEX(Salary_Calculation[Monthly Target Orders],ROW()-ROW(Payslip_Lookup[#Headers])))</f>
        <v/>
      </c>
      <c r="I205" s="174" t="str">
        <f aca="false">IF(INDEX(Salary_Calculation[Source Row],ROW()-ROW(Payslip_Lookup[#Headers]))="","",INDEX(Salary_Calculation[Rider Target Orders],ROW()-ROW(Payslip_Lookup[#Headers])))</f>
        <v/>
      </c>
      <c r="J205" s="175" t="str">
        <f aca="false">IF(INDEX(Salary_Calculation[Source Row],ROW()-ROW(Payslip_Lookup[#Headers]))="","",INDEX(Salary_Calculation[Completed Orders],ROW()-ROW(Payslip_Lookup[#Headers])))</f>
        <v/>
      </c>
      <c r="K205" s="174" t="str">
        <f aca="false">IF(INDEX(Salary_Calculation[Source Row],ROW()-ROW(Payslip_Lookup[#Headers]))="","",INDEX(Salary_Calculation[Base Order Rate],ROW()-ROW(Payslip_Lookup[#Headers])))</f>
        <v/>
      </c>
      <c r="L205" s="176" t="str">
        <f aca="false">IF(INDEX(Salary_Calculation[Source Row],ROW()-ROW(Payslip_Lookup[#Headers]))="","",INDEX(Salary_Calculation[Basic Payment],ROW()-ROW(Payslip_Lookup[#Headers])))</f>
        <v/>
      </c>
      <c r="M205" s="176" t="str">
        <f aca="false">IF(INDEX(Salary_Calculation[Source Row],ROW()-ROW(Payslip_Lookup[#Headers]))="","",INDEX(Salary_Calculation[Earned Salary],ROW()-ROW(Payslip_Lookup[#Headers])))</f>
        <v/>
      </c>
      <c r="N205" s="174" t="str">
        <f aca="false">IF(INDEX(Salary_Calculation[Source Row],ROW()-ROW(Payslip_Lookup[#Headers]))="","",INDEX(Salary_Calculation[Orders Counted at Base Rate],ROW()-ROW(Payslip_Lookup[#Headers])))</f>
        <v/>
      </c>
      <c r="O205" s="174" t="str">
        <f aca="false">IF(INDEX(Salary_Calculation[Source Row],ROW()-ROW(Payslip_Lookup[#Headers]))="","",INDEX(Salary_Calculation[Missing Orders],ROW()-ROW(Payslip_Lookup[#Headers])))</f>
        <v/>
      </c>
      <c r="P205" s="176" t="str">
        <f aca="false">IF(INDEX(Salary_Calculation[Source Row],ROW()-ROW(Payslip_Lookup[#Headers]))="","",INDEX(Salary_Calculation[Missing-Order Deduction],ROW()-ROW(Payslip_Lookup[#Headers])))</f>
        <v/>
      </c>
      <c r="Q205" s="174" t="str">
        <f aca="false">IF(INDEX(Salary_Calculation[Source Row],ROW()-ROW(Payslip_Lookup[#Headers]))="","",INDEX(Salary_Calculation[Extra Orders],ROW()-ROW(Payslip_Lookup[#Headers])))</f>
        <v/>
      </c>
      <c r="R205" s="176" t="str">
        <f aca="false">IF(INDEX(Salary_Calculation[Source Row],ROW()-ROW(Payslip_Lookup[#Headers]))="","",INDEX(Salary_Calculation[Extra-Order Bonus],ROW()-ROW(Payslip_Lookup[#Headers])))</f>
        <v/>
      </c>
      <c r="S205" s="176" t="str">
        <f aca="false">IF(INDEX(Salary_Calculation[Source Row],ROW()-ROW(Payslip_Lookup[#Headers]))="","",INDEX(Salary_Calculation[Basic Salary for Target],ROW()-ROW(Payslip_Lookup[#Headers])))</f>
        <v/>
      </c>
      <c r="T205" s="176" t="str">
        <f aca="false">IF(INDEX(Salary_Calculation[Source Row],ROW()-ROW(Payslip_Lookup[#Headers]))="","",INDEX(Salary_Calculation[Gross Salary Before Deductions],ROW()-ROW(Payslip_Lookup[#Headers])))</f>
        <v/>
      </c>
      <c r="U205" s="176" t="str">
        <f aca="false">IF(INDEX(Salary_Calculation[Source Row],ROW()-ROW(Payslip_Lookup[#Headers]))="","",INDEX(Salary_Calculation[missed_days_penalty],ROW()-ROW(Payslip_Lookup[#Headers])))</f>
        <v/>
      </c>
      <c r="V205" s="176" t="str">
        <f aca="false">IF(INDEX(Salary_Calculation[Source Row],ROW()-ROW(Payslip_Lookup[#Headers]))="","",INDEX(Salary_Calculation[Rider Balance],ROW()-ROW(Payslip_Lookup[#Headers])))</f>
        <v/>
      </c>
      <c r="W205" s="176" t="str">
        <f aca="false">IF(INDEX(Salary_Calculation[Source Row],ROW()-ROW(Payslip_Lookup[#Headers]))="","",INDEX(Salary_Calculation[stacking_deduction],ROW()-ROW(Payslip_Lookup[#Headers])))</f>
        <v/>
      </c>
      <c r="X205" s="176" t="str">
        <f aca="false">IF(INDEX(Salary_Calculation[Source Row],ROW()-ROW(Payslip_Lookup[#Headers]))="","",INDEX(Salary_Calculation[Other Deductions],ROW()-ROW(Payslip_Lookup[#Headers])))</f>
        <v/>
      </c>
      <c r="Y205" s="176" t="str">
        <f aca="false">IF(INDEX(Salary_Calculation[Source Row],ROW()-ROW(Payslip_Lookup[#Headers]))="","",INDEX(Salary_Calculation[Total Deductions],ROW()-ROW(Payslip_Lookup[#Headers])))</f>
        <v/>
      </c>
      <c r="Z205" s="176" t="str">
        <f aca="false">IF(INDEX(Salary_Calculation[Source Row],ROW()-ROW(Payslip_Lookup[#Headers]))="","",INDEX(Salary_Calculation[Final Salary],ROW()-ROW(Payslip_Lookup[#Headers])))</f>
        <v/>
      </c>
      <c r="AA205" s="176" t="str">
        <f aca="false">IF(INDEX(Salary_Calculation[Source Row],ROW()-ROW(Payslip_Lookup[#Headers]))="","",INDEX(Salary_Calculation[Negative Balance / Amount Due from Rider],ROW()-ROW(Payslip_Lookup[#Headers])))</f>
        <v/>
      </c>
      <c r="AB205" s="176" t="str">
        <f aca="false">IF(INDEX(Salary_Calculation[Source Row],ROW()-ROW(Payslip_Lookup[#Headers]))="","",INDEX(Salary_Calculation[Total Amount Due from Rider],ROW()-ROW(Payslip_Lookup[#Headers])))</f>
        <v/>
      </c>
      <c r="AC205" s="176" t="str">
        <f aca="false">IF(INDEX(Salary_Calculation[Source Row],ROW()-ROW(Payslip_Lookup[#Headers]))="","",INDEX(Salary_Calculation[Salary Before Other Deductions],ROW()-ROW(Payslip_Lookup[#Headers])))</f>
        <v/>
      </c>
      <c r="AD205" s="171" t="str">
        <f aca="false">IF(INDEX(Salary_Calculation[Source Row],ROW()-ROW(Payslip_Lookup[#Headers]))="","",INDEX(Salary_Calculation[Payment Status],ROW()-ROW(Payslip_Lookup[#Headers])))</f>
        <v/>
      </c>
      <c r="AE205" s="171" t="str">
        <f aca="false">IF(INDEX(Salary_Calculation[Source Row],ROW()-ROW(Payslip_Lookup[#Headers]))="","",INDEX(Salary_Calculation[Notes],ROW()-ROW(Payslip_Lookup[#Headers])))</f>
        <v/>
      </c>
      <c r="AF205" s="171" t="str">
        <f aca="false">IF(INDEX(Salary_Calculation[Source Row],ROW()-ROW(Payslip_Lookup[#Headers]))="","",INDEX(Salary_Calculation[Exception Reason],ROW()-ROW(Payslip_Lookup[#Headers])))</f>
        <v/>
      </c>
      <c r="AG205" s="173" t="str">
        <f aca="false">IF($AD205="Review Required",COUNTIF(AD$2:AD205,"Review Required"),"")</f>
        <v/>
      </c>
      <c r="AH205" s="173" t="str">
        <f aca="false">IF(AND($D205&lt;&gt;"",$B205=Payslip_Print!$C$2),MAX(AH$1:AH204)+1,"")</f>
        <v/>
      </c>
      <c r="AL205" s="178" t="str">
        <f aca="false">IFERROR(INDEX($D$2:$D$501,MATCH(ROW()-1,$AH$2:$AH$501,0)),"")</f>
        <v/>
      </c>
      <c r="AM205" s="179" t="str">
        <f aca="false">IF($Z205="","",IF(AND($C205&gt;=Dash_Start,$C205&lt;Dash_End),$Z205+ROW()/10000000,""))</f>
        <v/>
      </c>
    </row>
    <row r="206" customFormat="false" ht="14.25" hidden="false" customHeight="false" outlineLevel="0" collapsed="false">
      <c r="A206" s="171" t="str">
        <f aca="false">IF(Payslip_Lookup[[#This Row],[Rider ID]]="","",Payslip_Lookup[[#This Row],[Rider ID]]&amp;"|"&amp;Payslip_Lookup[[#This Row],[Month Key]])</f>
        <v/>
      </c>
      <c r="B206" s="172" t="str">
        <f aca="false">IF(ISNUMBER(Payslip_Lookup[[#This Row],[Salary Month]]),DATE(YEAR(Payslip_Lookup[[#This Row],[Salary Month]]),MONTH(Payslip_Lookup[[#This Row],[Salary Month]]),1),"")</f>
        <v/>
      </c>
      <c r="C206" s="172" t="str">
        <f aca="false">IF(INDEX(Salary_Calculation[Source Row],ROW()-ROW(Payslip_Lookup[#Headers]))="","",INDEX(Salary_Calculation[Salary Month],ROW()-ROW(Payslip_Lookup[#Headers])))</f>
        <v/>
      </c>
      <c r="D206" s="173" t="str">
        <f aca="false">IF(INDEX(Salary_Calculation[Source Row],ROW()-ROW(Payslip_Lookup[#Headers]))="","",INDEX(Salary_Calculation[Rider ID],ROW()-ROW(Payslip_Lookup[#Headers])))</f>
        <v/>
      </c>
      <c r="E206" s="171" t="str">
        <f aca="false">IF(INDEX(Salary_Calculation[Source Row],ROW()-ROW(Payslip_Lookup[#Headers]))="","",INDEX(Salary_Calculation[Rider Name],ROW()-ROW(Payslip_Lookup[#Headers])))</f>
        <v/>
      </c>
      <c r="F206" s="173" t="str">
        <f aca="false">IF(INDEX(Salary_Calculation[Source Row],ROW()-ROW(Payslip_Lookup[#Headers]))="","",INDEX(Salary_Calculation[Working Days],ROW()-ROW(Payslip_Lookup[#Headers])))</f>
        <v/>
      </c>
      <c r="G206" s="173" t="str">
        <f aca="false">IF(INDEX(Salary_Calculation[Source Row],ROW()-ROW(Payslip_Lookup[#Headers]))="","",INDEX(Salary_Calculation[Calendar Days],ROW()-ROW(Payslip_Lookup[#Headers])))</f>
        <v/>
      </c>
      <c r="H206" s="174" t="str">
        <f aca="false">IF(INDEX(Salary_Calculation[Source Row],ROW()-ROW(Payslip_Lookup[#Headers]))="","",INDEX(Salary_Calculation[Monthly Target Orders],ROW()-ROW(Payslip_Lookup[#Headers])))</f>
        <v/>
      </c>
      <c r="I206" s="174" t="str">
        <f aca="false">IF(INDEX(Salary_Calculation[Source Row],ROW()-ROW(Payslip_Lookup[#Headers]))="","",INDEX(Salary_Calculation[Rider Target Orders],ROW()-ROW(Payslip_Lookup[#Headers])))</f>
        <v/>
      </c>
      <c r="J206" s="175" t="str">
        <f aca="false">IF(INDEX(Salary_Calculation[Source Row],ROW()-ROW(Payslip_Lookup[#Headers]))="","",INDEX(Salary_Calculation[Completed Orders],ROW()-ROW(Payslip_Lookup[#Headers])))</f>
        <v/>
      </c>
      <c r="K206" s="174" t="str">
        <f aca="false">IF(INDEX(Salary_Calculation[Source Row],ROW()-ROW(Payslip_Lookup[#Headers]))="","",INDEX(Salary_Calculation[Base Order Rate],ROW()-ROW(Payslip_Lookup[#Headers])))</f>
        <v/>
      </c>
      <c r="L206" s="176" t="str">
        <f aca="false">IF(INDEX(Salary_Calculation[Source Row],ROW()-ROW(Payslip_Lookup[#Headers]))="","",INDEX(Salary_Calculation[Basic Payment],ROW()-ROW(Payslip_Lookup[#Headers])))</f>
        <v/>
      </c>
      <c r="M206" s="176" t="str">
        <f aca="false">IF(INDEX(Salary_Calculation[Source Row],ROW()-ROW(Payslip_Lookup[#Headers]))="","",INDEX(Salary_Calculation[Earned Salary],ROW()-ROW(Payslip_Lookup[#Headers])))</f>
        <v/>
      </c>
      <c r="N206" s="174" t="str">
        <f aca="false">IF(INDEX(Salary_Calculation[Source Row],ROW()-ROW(Payslip_Lookup[#Headers]))="","",INDEX(Salary_Calculation[Orders Counted at Base Rate],ROW()-ROW(Payslip_Lookup[#Headers])))</f>
        <v/>
      </c>
      <c r="O206" s="174" t="str">
        <f aca="false">IF(INDEX(Salary_Calculation[Source Row],ROW()-ROW(Payslip_Lookup[#Headers]))="","",INDEX(Salary_Calculation[Missing Orders],ROW()-ROW(Payslip_Lookup[#Headers])))</f>
        <v/>
      </c>
      <c r="P206" s="176" t="str">
        <f aca="false">IF(INDEX(Salary_Calculation[Source Row],ROW()-ROW(Payslip_Lookup[#Headers]))="","",INDEX(Salary_Calculation[Missing-Order Deduction],ROW()-ROW(Payslip_Lookup[#Headers])))</f>
        <v/>
      </c>
      <c r="Q206" s="174" t="str">
        <f aca="false">IF(INDEX(Salary_Calculation[Source Row],ROW()-ROW(Payslip_Lookup[#Headers]))="","",INDEX(Salary_Calculation[Extra Orders],ROW()-ROW(Payslip_Lookup[#Headers])))</f>
        <v/>
      </c>
      <c r="R206" s="176" t="str">
        <f aca="false">IF(INDEX(Salary_Calculation[Source Row],ROW()-ROW(Payslip_Lookup[#Headers]))="","",INDEX(Salary_Calculation[Extra-Order Bonus],ROW()-ROW(Payslip_Lookup[#Headers])))</f>
        <v/>
      </c>
      <c r="S206" s="176" t="str">
        <f aca="false">IF(INDEX(Salary_Calculation[Source Row],ROW()-ROW(Payslip_Lookup[#Headers]))="","",INDEX(Salary_Calculation[Basic Salary for Target],ROW()-ROW(Payslip_Lookup[#Headers])))</f>
        <v/>
      </c>
      <c r="T206" s="176" t="str">
        <f aca="false">IF(INDEX(Salary_Calculation[Source Row],ROW()-ROW(Payslip_Lookup[#Headers]))="","",INDEX(Salary_Calculation[Gross Salary Before Deductions],ROW()-ROW(Payslip_Lookup[#Headers])))</f>
        <v/>
      </c>
      <c r="U206" s="176" t="str">
        <f aca="false">IF(INDEX(Salary_Calculation[Source Row],ROW()-ROW(Payslip_Lookup[#Headers]))="","",INDEX(Salary_Calculation[missed_days_penalty],ROW()-ROW(Payslip_Lookup[#Headers])))</f>
        <v/>
      </c>
      <c r="V206" s="176" t="str">
        <f aca="false">IF(INDEX(Salary_Calculation[Source Row],ROW()-ROW(Payslip_Lookup[#Headers]))="","",INDEX(Salary_Calculation[Rider Balance],ROW()-ROW(Payslip_Lookup[#Headers])))</f>
        <v/>
      </c>
      <c r="W206" s="176" t="str">
        <f aca="false">IF(INDEX(Salary_Calculation[Source Row],ROW()-ROW(Payslip_Lookup[#Headers]))="","",INDEX(Salary_Calculation[stacking_deduction],ROW()-ROW(Payslip_Lookup[#Headers])))</f>
        <v/>
      </c>
      <c r="X206" s="176" t="str">
        <f aca="false">IF(INDEX(Salary_Calculation[Source Row],ROW()-ROW(Payslip_Lookup[#Headers]))="","",INDEX(Salary_Calculation[Other Deductions],ROW()-ROW(Payslip_Lookup[#Headers])))</f>
        <v/>
      </c>
      <c r="Y206" s="176" t="str">
        <f aca="false">IF(INDEX(Salary_Calculation[Source Row],ROW()-ROW(Payslip_Lookup[#Headers]))="","",INDEX(Salary_Calculation[Total Deductions],ROW()-ROW(Payslip_Lookup[#Headers])))</f>
        <v/>
      </c>
      <c r="Z206" s="176" t="str">
        <f aca="false">IF(INDEX(Salary_Calculation[Source Row],ROW()-ROW(Payslip_Lookup[#Headers]))="","",INDEX(Salary_Calculation[Final Salary],ROW()-ROW(Payslip_Lookup[#Headers])))</f>
        <v/>
      </c>
      <c r="AA206" s="176" t="str">
        <f aca="false">IF(INDEX(Salary_Calculation[Source Row],ROW()-ROW(Payslip_Lookup[#Headers]))="","",INDEX(Salary_Calculation[Negative Balance / Amount Due from Rider],ROW()-ROW(Payslip_Lookup[#Headers])))</f>
        <v/>
      </c>
      <c r="AB206" s="176" t="str">
        <f aca="false">IF(INDEX(Salary_Calculation[Source Row],ROW()-ROW(Payslip_Lookup[#Headers]))="","",INDEX(Salary_Calculation[Total Amount Due from Rider],ROW()-ROW(Payslip_Lookup[#Headers])))</f>
        <v/>
      </c>
      <c r="AC206" s="176" t="str">
        <f aca="false">IF(INDEX(Salary_Calculation[Source Row],ROW()-ROW(Payslip_Lookup[#Headers]))="","",INDEX(Salary_Calculation[Salary Before Other Deductions],ROW()-ROW(Payslip_Lookup[#Headers])))</f>
        <v/>
      </c>
      <c r="AD206" s="171" t="str">
        <f aca="false">IF(INDEX(Salary_Calculation[Source Row],ROW()-ROW(Payslip_Lookup[#Headers]))="","",INDEX(Salary_Calculation[Payment Status],ROW()-ROW(Payslip_Lookup[#Headers])))</f>
        <v/>
      </c>
      <c r="AE206" s="171" t="str">
        <f aca="false">IF(INDEX(Salary_Calculation[Source Row],ROW()-ROW(Payslip_Lookup[#Headers]))="","",INDEX(Salary_Calculation[Notes],ROW()-ROW(Payslip_Lookup[#Headers])))</f>
        <v/>
      </c>
      <c r="AF206" s="171" t="str">
        <f aca="false">IF(INDEX(Salary_Calculation[Source Row],ROW()-ROW(Payslip_Lookup[#Headers]))="","",INDEX(Salary_Calculation[Exception Reason],ROW()-ROW(Payslip_Lookup[#Headers])))</f>
        <v/>
      </c>
      <c r="AG206" s="173" t="str">
        <f aca="false">IF($AD206="Review Required",COUNTIF(AD$2:AD206,"Review Required"),"")</f>
        <v/>
      </c>
      <c r="AH206" s="173" t="str">
        <f aca="false">IF(AND($D206&lt;&gt;"",$B206=Payslip_Print!$C$2),MAX(AH$1:AH205)+1,"")</f>
        <v/>
      </c>
      <c r="AL206" s="178" t="str">
        <f aca="false">IFERROR(INDEX($D$2:$D$501,MATCH(ROW()-1,$AH$2:$AH$501,0)),"")</f>
        <v/>
      </c>
      <c r="AM206" s="179" t="str">
        <f aca="false">IF($Z206="","",IF(AND($C206&gt;=Dash_Start,$C206&lt;Dash_End),$Z206+ROW()/10000000,""))</f>
        <v/>
      </c>
    </row>
    <row r="207" customFormat="false" ht="14.25" hidden="false" customHeight="false" outlineLevel="0" collapsed="false">
      <c r="A207" s="171" t="str">
        <f aca="false">IF(Payslip_Lookup[[#This Row],[Rider ID]]="","",Payslip_Lookup[[#This Row],[Rider ID]]&amp;"|"&amp;Payslip_Lookup[[#This Row],[Month Key]])</f>
        <v/>
      </c>
      <c r="B207" s="172" t="str">
        <f aca="false">IF(ISNUMBER(Payslip_Lookup[[#This Row],[Salary Month]]),DATE(YEAR(Payslip_Lookup[[#This Row],[Salary Month]]),MONTH(Payslip_Lookup[[#This Row],[Salary Month]]),1),"")</f>
        <v/>
      </c>
      <c r="C207" s="172" t="str">
        <f aca="false">IF(INDEX(Salary_Calculation[Source Row],ROW()-ROW(Payslip_Lookup[#Headers]))="","",INDEX(Salary_Calculation[Salary Month],ROW()-ROW(Payslip_Lookup[#Headers])))</f>
        <v/>
      </c>
      <c r="D207" s="173" t="str">
        <f aca="false">IF(INDEX(Salary_Calculation[Source Row],ROW()-ROW(Payslip_Lookup[#Headers]))="","",INDEX(Salary_Calculation[Rider ID],ROW()-ROW(Payslip_Lookup[#Headers])))</f>
        <v/>
      </c>
      <c r="E207" s="171" t="str">
        <f aca="false">IF(INDEX(Salary_Calculation[Source Row],ROW()-ROW(Payslip_Lookup[#Headers]))="","",INDEX(Salary_Calculation[Rider Name],ROW()-ROW(Payslip_Lookup[#Headers])))</f>
        <v/>
      </c>
      <c r="F207" s="173" t="str">
        <f aca="false">IF(INDEX(Salary_Calculation[Source Row],ROW()-ROW(Payslip_Lookup[#Headers]))="","",INDEX(Salary_Calculation[Working Days],ROW()-ROW(Payslip_Lookup[#Headers])))</f>
        <v/>
      </c>
      <c r="G207" s="173" t="str">
        <f aca="false">IF(INDEX(Salary_Calculation[Source Row],ROW()-ROW(Payslip_Lookup[#Headers]))="","",INDEX(Salary_Calculation[Calendar Days],ROW()-ROW(Payslip_Lookup[#Headers])))</f>
        <v/>
      </c>
      <c r="H207" s="174" t="str">
        <f aca="false">IF(INDEX(Salary_Calculation[Source Row],ROW()-ROW(Payslip_Lookup[#Headers]))="","",INDEX(Salary_Calculation[Monthly Target Orders],ROW()-ROW(Payslip_Lookup[#Headers])))</f>
        <v/>
      </c>
      <c r="I207" s="174" t="str">
        <f aca="false">IF(INDEX(Salary_Calculation[Source Row],ROW()-ROW(Payslip_Lookup[#Headers]))="","",INDEX(Salary_Calculation[Rider Target Orders],ROW()-ROW(Payslip_Lookup[#Headers])))</f>
        <v/>
      </c>
      <c r="J207" s="175" t="str">
        <f aca="false">IF(INDEX(Salary_Calculation[Source Row],ROW()-ROW(Payslip_Lookup[#Headers]))="","",INDEX(Salary_Calculation[Completed Orders],ROW()-ROW(Payslip_Lookup[#Headers])))</f>
        <v/>
      </c>
      <c r="K207" s="174" t="str">
        <f aca="false">IF(INDEX(Salary_Calculation[Source Row],ROW()-ROW(Payslip_Lookup[#Headers]))="","",INDEX(Salary_Calculation[Base Order Rate],ROW()-ROW(Payslip_Lookup[#Headers])))</f>
        <v/>
      </c>
      <c r="L207" s="176" t="str">
        <f aca="false">IF(INDEX(Salary_Calculation[Source Row],ROW()-ROW(Payslip_Lookup[#Headers]))="","",INDEX(Salary_Calculation[Basic Payment],ROW()-ROW(Payslip_Lookup[#Headers])))</f>
        <v/>
      </c>
      <c r="M207" s="176" t="str">
        <f aca="false">IF(INDEX(Salary_Calculation[Source Row],ROW()-ROW(Payslip_Lookup[#Headers]))="","",INDEX(Salary_Calculation[Earned Salary],ROW()-ROW(Payslip_Lookup[#Headers])))</f>
        <v/>
      </c>
      <c r="N207" s="174" t="str">
        <f aca="false">IF(INDEX(Salary_Calculation[Source Row],ROW()-ROW(Payslip_Lookup[#Headers]))="","",INDEX(Salary_Calculation[Orders Counted at Base Rate],ROW()-ROW(Payslip_Lookup[#Headers])))</f>
        <v/>
      </c>
      <c r="O207" s="174" t="str">
        <f aca="false">IF(INDEX(Salary_Calculation[Source Row],ROW()-ROW(Payslip_Lookup[#Headers]))="","",INDEX(Salary_Calculation[Missing Orders],ROW()-ROW(Payslip_Lookup[#Headers])))</f>
        <v/>
      </c>
      <c r="P207" s="176" t="str">
        <f aca="false">IF(INDEX(Salary_Calculation[Source Row],ROW()-ROW(Payslip_Lookup[#Headers]))="","",INDEX(Salary_Calculation[Missing-Order Deduction],ROW()-ROW(Payslip_Lookup[#Headers])))</f>
        <v/>
      </c>
      <c r="Q207" s="174" t="str">
        <f aca="false">IF(INDEX(Salary_Calculation[Source Row],ROW()-ROW(Payslip_Lookup[#Headers]))="","",INDEX(Salary_Calculation[Extra Orders],ROW()-ROW(Payslip_Lookup[#Headers])))</f>
        <v/>
      </c>
      <c r="R207" s="176" t="str">
        <f aca="false">IF(INDEX(Salary_Calculation[Source Row],ROW()-ROW(Payslip_Lookup[#Headers]))="","",INDEX(Salary_Calculation[Extra-Order Bonus],ROW()-ROW(Payslip_Lookup[#Headers])))</f>
        <v/>
      </c>
      <c r="S207" s="176" t="str">
        <f aca="false">IF(INDEX(Salary_Calculation[Source Row],ROW()-ROW(Payslip_Lookup[#Headers]))="","",INDEX(Salary_Calculation[Basic Salary for Target],ROW()-ROW(Payslip_Lookup[#Headers])))</f>
        <v/>
      </c>
      <c r="T207" s="176" t="str">
        <f aca="false">IF(INDEX(Salary_Calculation[Source Row],ROW()-ROW(Payslip_Lookup[#Headers]))="","",INDEX(Salary_Calculation[Gross Salary Before Deductions],ROW()-ROW(Payslip_Lookup[#Headers])))</f>
        <v/>
      </c>
      <c r="U207" s="176" t="str">
        <f aca="false">IF(INDEX(Salary_Calculation[Source Row],ROW()-ROW(Payslip_Lookup[#Headers]))="","",INDEX(Salary_Calculation[missed_days_penalty],ROW()-ROW(Payslip_Lookup[#Headers])))</f>
        <v/>
      </c>
      <c r="V207" s="176" t="str">
        <f aca="false">IF(INDEX(Salary_Calculation[Source Row],ROW()-ROW(Payslip_Lookup[#Headers]))="","",INDEX(Salary_Calculation[Rider Balance],ROW()-ROW(Payslip_Lookup[#Headers])))</f>
        <v/>
      </c>
      <c r="W207" s="176" t="str">
        <f aca="false">IF(INDEX(Salary_Calculation[Source Row],ROW()-ROW(Payslip_Lookup[#Headers]))="","",INDEX(Salary_Calculation[stacking_deduction],ROW()-ROW(Payslip_Lookup[#Headers])))</f>
        <v/>
      </c>
      <c r="X207" s="176" t="str">
        <f aca="false">IF(INDEX(Salary_Calculation[Source Row],ROW()-ROW(Payslip_Lookup[#Headers]))="","",INDEX(Salary_Calculation[Other Deductions],ROW()-ROW(Payslip_Lookup[#Headers])))</f>
        <v/>
      </c>
      <c r="Y207" s="176" t="str">
        <f aca="false">IF(INDEX(Salary_Calculation[Source Row],ROW()-ROW(Payslip_Lookup[#Headers]))="","",INDEX(Salary_Calculation[Total Deductions],ROW()-ROW(Payslip_Lookup[#Headers])))</f>
        <v/>
      </c>
      <c r="Z207" s="176" t="str">
        <f aca="false">IF(INDEX(Salary_Calculation[Source Row],ROW()-ROW(Payslip_Lookup[#Headers]))="","",INDEX(Salary_Calculation[Final Salary],ROW()-ROW(Payslip_Lookup[#Headers])))</f>
        <v/>
      </c>
      <c r="AA207" s="176" t="str">
        <f aca="false">IF(INDEX(Salary_Calculation[Source Row],ROW()-ROW(Payslip_Lookup[#Headers]))="","",INDEX(Salary_Calculation[Negative Balance / Amount Due from Rider],ROW()-ROW(Payslip_Lookup[#Headers])))</f>
        <v/>
      </c>
      <c r="AB207" s="176" t="str">
        <f aca="false">IF(INDEX(Salary_Calculation[Source Row],ROW()-ROW(Payslip_Lookup[#Headers]))="","",INDEX(Salary_Calculation[Total Amount Due from Rider],ROW()-ROW(Payslip_Lookup[#Headers])))</f>
        <v/>
      </c>
      <c r="AC207" s="176" t="str">
        <f aca="false">IF(INDEX(Salary_Calculation[Source Row],ROW()-ROW(Payslip_Lookup[#Headers]))="","",INDEX(Salary_Calculation[Salary Before Other Deductions],ROW()-ROW(Payslip_Lookup[#Headers])))</f>
        <v/>
      </c>
      <c r="AD207" s="171" t="str">
        <f aca="false">IF(INDEX(Salary_Calculation[Source Row],ROW()-ROW(Payslip_Lookup[#Headers]))="","",INDEX(Salary_Calculation[Payment Status],ROW()-ROW(Payslip_Lookup[#Headers])))</f>
        <v/>
      </c>
      <c r="AE207" s="171" t="str">
        <f aca="false">IF(INDEX(Salary_Calculation[Source Row],ROW()-ROW(Payslip_Lookup[#Headers]))="","",INDEX(Salary_Calculation[Notes],ROW()-ROW(Payslip_Lookup[#Headers])))</f>
        <v/>
      </c>
      <c r="AF207" s="171" t="str">
        <f aca="false">IF(INDEX(Salary_Calculation[Source Row],ROW()-ROW(Payslip_Lookup[#Headers]))="","",INDEX(Salary_Calculation[Exception Reason],ROW()-ROW(Payslip_Lookup[#Headers])))</f>
        <v/>
      </c>
      <c r="AG207" s="173" t="str">
        <f aca="false">IF($AD207="Review Required",COUNTIF(AD$2:AD207,"Review Required"),"")</f>
        <v/>
      </c>
      <c r="AH207" s="173" t="str">
        <f aca="false">IF(AND($D207&lt;&gt;"",$B207=Payslip_Print!$C$2),MAX(AH$1:AH206)+1,"")</f>
        <v/>
      </c>
      <c r="AL207" s="178" t="str">
        <f aca="false">IFERROR(INDEX($D$2:$D$501,MATCH(ROW()-1,$AH$2:$AH$501,0)),"")</f>
        <v/>
      </c>
      <c r="AM207" s="179" t="str">
        <f aca="false">IF($Z207="","",IF(AND($C207&gt;=Dash_Start,$C207&lt;Dash_End),$Z207+ROW()/10000000,""))</f>
        <v/>
      </c>
    </row>
    <row r="208" customFormat="false" ht="14.25" hidden="false" customHeight="false" outlineLevel="0" collapsed="false">
      <c r="A208" s="171" t="str">
        <f aca="false">IF(Payslip_Lookup[[#This Row],[Rider ID]]="","",Payslip_Lookup[[#This Row],[Rider ID]]&amp;"|"&amp;Payslip_Lookup[[#This Row],[Month Key]])</f>
        <v/>
      </c>
      <c r="B208" s="172" t="str">
        <f aca="false">IF(ISNUMBER(Payslip_Lookup[[#This Row],[Salary Month]]),DATE(YEAR(Payslip_Lookup[[#This Row],[Salary Month]]),MONTH(Payslip_Lookup[[#This Row],[Salary Month]]),1),"")</f>
        <v/>
      </c>
      <c r="C208" s="172" t="str">
        <f aca="false">IF(INDEX(Salary_Calculation[Source Row],ROW()-ROW(Payslip_Lookup[#Headers]))="","",INDEX(Salary_Calculation[Salary Month],ROW()-ROW(Payslip_Lookup[#Headers])))</f>
        <v/>
      </c>
      <c r="D208" s="173" t="str">
        <f aca="false">IF(INDEX(Salary_Calculation[Source Row],ROW()-ROW(Payslip_Lookup[#Headers]))="","",INDEX(Salary_Calculation[Rider ID],ROW()-ROW(Payslip_Lookup[#Headers])))</f>
        <v/>
      </c>
      <c r="E208" s="171" t="str">
        <f aca="false">IF(INDEX(Salary_Calculation[Source Row],ROW()-ROW(Payslip_Lookup[#Headers]))="","",INDEX(Salary_Calculation[Rider Name],ROW()-ROW(Payslip_Lookup[#Headers])))</f>
        <v/>
      </c>
      <c r="F208" s="173" t="str">
        <f aca="false">IF(INDEX(Salary_Calculation[Source Row],ROW()-ROW(Payslip_Lookup[#Headers]))="","",INDEX(Salary_Calculation[Working Days],ROW()-ROW(Payslip_Lookup[#Headers])))</f>
        <v/>
      </c>
      <c r="G208" s="173" t="str">
        <f aca="false">IF(INDEX(Salary_Calculation[Source Row],ROW()-ROW(Payslip_Lookup[#Headers]))="","",INDEX(Salary_Calculation[Calendar Days],ROW()-ROW(Payslip_Lookup[#Headers])))</f>
        <v/>
      </c>
      <c r="H208" s="174" t="str">
        <f aca="false">IF(INDEX(Salary_Calculation[Source Row],ROW()-ROW(Payslip_Lookup[#Headers]))="","",INDEX(Salary_Calculation[Monthly Target Orders],ROW()-ROW(Payslip_Lookup[#Headers])))</f>
        <v/>
      </c>
      <c r="I208" s="174" t="str">
        <f aca="false">IF(INDEX(Salary_Calculation[Source Row],ROW()-ROW(Payslip_Lookup[#Headers]))="","",INDEX(Salary_Calculation[Rider Target Orders],ROW()-ROW(Payslip_Lookup[#Headers])))</f>
        <v/>
      </c>
      <c r="J208" s="175" t="str">
        <f aca="false">IF(INDEX(Salary_Calculation[Source Row],ROW()-ROW(Payslip_Lookup[#Headers]))="","",INDEX(Salary_Calculation[Completed Orders],ROW()-ROW(Payslip_Lookup[#Headers])))</f>
        <v/>
      </c>
      <c r="K208" s="174" t="str">
        <f aca="false">IF(INDEX(Salary_Calculation[Source Row],ROW()-ROW(Payslip_Lookup[#Headers]))="","",INDEX(Salary_Calculation[Base Order Rate],ROW()-ROW(Payslip_Lookup[#Headers])))</f>
        <v/>
      </c>
      <c r="L208" s="176" t="str">
        <f aca="false">IF(INDEX(Salary_Calculation[Source Row],ROW()-ROW(Payslip_Lookup[#Headers]))="","",INDEX(Salary_Calculation[Basic Payment],ROW()-ROW(Payslip_Lookup[#Headers])))</f>
        <v/>
      </c>
      <c r="M208" s="176" t="str">
        <f aca="false">IF(INDEX(Salary_Calculation[Source Row],ROW()-ROW(Payslip_Lookup[#Headers]))="","",INDEX(Salary_Calculation[Earned Salary],ROW()-ROW(Payslip_Lookup[#Headers])))</f>
        <v/>
      </c>
      <c r="N208" s="174" t="str">
        <f aca="false">IF(INDEX(Salary_Calculation[Source Row],ROW()-ROW(Payslip_Lookup[#Headers]))="","",INDEX(Salary_Calculation[Orders Counted at Base Rate],ROW()-ROW(Payslip_Lookup[#Headers])))</f>
        <v/>
      </c>
      <c r="O208" s="174" t="str">
        <f aca="false">IF(INDEX(Salary_Calculation[Source Row],ROW()-ROW(Payslip_Lookup[#Headers]))="","",INDEX(Salary_Calculation[Missing Orders],ROW()-ROW(Payslip_Lookup[#Headers])))</f>
        <v/>
      </c>
      <c r="P208" s="176" t="str">
        <f aca="false">IF(INDEX(Salary_Calculation[Source Row],ROW()-ROW(Payslip_Lookup[#Headers]))="","",INDEX(Salary_Calculation[Missing-Order Deduction],ROW()-ROW(Payslip_Lookup[#Headers])))</f>
        <v/>
      </c>
      <c r="Q208" s="174" t="str">
        <f aca="false">IF(INDEX(Salary_Calculation[Source Row],ROW()-ROW(Payslip_Lookup[#Headers]))="","",INDEX(Salary_Calculation[Extra Orders],ROW()-ROW(Payslip_Lookup[#Headers])))</f>
        <v/>
      </c>
      <c r="R208" s="176" t="str">
        <f aca="false">IF(INDEX(Salary_Calculation[Source Row],ROW()-ROW(Payslip_Lookup[#Headers]))="","",INDEX(Salary_Calculation[Extra-Order Bonus],ROW()-ROW(Payslip_Lookup[#Headers])))</f>
        <v/>
      </c>
      <c r="S208" s="176" t="str">
        <f aca="false">IF(INDEX(Salary_Calculation[Source Row],ROW()-ROW(Payslip_Lookup[#Headers]))="","",INDEX(Salary_Calculation[Basic Salary for Target],ROW()-ROW(Payslip_Lookup[#Headers])))</f>
        <v/>
      </c>
      <c r="T208" s="176" t="str">
        <f aca="false">IF(INDEX(Salary_Calculation[Source Row],ROW()-ROW(Payslip_Lookup[#Headers]))="","",INDEX(Salary_Calculation[Gross Salary Before Deductions],ROW()-ROW(Payslip_Lookup[#Headers])))</f>
        <v/>
      </c>
      <c r="U208" s="176" t="str">
        <f aca="false">IF(INDEX(Salary_Calculation[Source Row],ROW()-ROW(Payslip_Lookup[#Headers]))="","",INDEX(Salary_Calculation[missed_days_penalty],ROW()-ROW(Payslip_Lookup[#Headers])))</f>
        <v/>
      </c>
      <c r="V208" s="176" t="str">
        <f aca="false">IF(INDEX(Salary_Calculation[Source Row],ROW()-ROW(Payslip_Lookup[#Headers]))="","",INDEX(Salary_Calculation[Rider Balance],ROW()-ROW(Payslip_Lookup[#Headers])))</f>
        <v/>
      </c>
      <c r="W208" s="176" t="str">
        <f aca="false">IF(INDEX(Salary_Calculation[Source Row],ROW()-ROW(Payslip_Lookup[#Headers]))="","",INDEX(Salary_Calculation[stacking_deduction],ROW()-ROW(Payslip_Lookup[#Headers])))</f>
        <v/>
      </c>
      <c r="X208" s="176" t="str">
        <f aca="false">IF(INDEX(Salary_Calculation[Source Row],ROW()-ROW(Payslip_Lookup[#Headers]))="","",INDEX(Salary_Calculation[Other Deductions],ROW()-ROW(Payslip_Lookup[#Headers])))</f>
        <v/>
      </c>
      <c r="Y208" s="176" t="str">
        <f aca="false">IF(INDEX(Salary_Calculation[Source Row],ROW()-ROW(Payslip_Lookup[#Headers]))="","",INDEX(Salary_Calculation[Total Deductions],ROW()-ROW(Payslip_Lookup[#Headers])))</f>
        <v/>
      </c>
      <c r="Z208" s="176" t="str">
        <f aca="false">IF(INDEX(Salary_Calculation[Source Row],ROW()-ROW(Payslip_Lookup[#Headers]))="","",INDEX(Salary_Calculation[Final Salary],ROW()-ROW(Payslip_Lookup[#Headers])))</f>
        <v/>
      </c>
      <c r="AA208" s="176" t="str">
        <f aca="false">IF(INDEX(Salary_Calculation[Source Row],ROW()-ROW(Payslip_Lookup[#Headers]))="","",INDEX(Salary_Calculation[Negative Balance / Amount Due from Rider],ROW()-ROW(Payslip_Lookup[#Headers])))</f>
        <v/>
      </c>
      <c r="AB208" s="176" t="str">
        <f aca="false">IF(INDEX(Salary_Calculation[Source Row],ROW()-ROW(Payslip_Lookup[#Headers]))="","",INDEX(Salary_Calculation[Total Amount Due from Rider],ROW()-ROW(Payslip_Lookup[#Headers])))</f>
        <v/>
      </c>
      <c r="AC208" s="176" t="str">
        <f aca="false">IF(INDEX(Salary_Calculation[Source Row],ROW()-ROW(Payslip_Lookup[#Headers]))="","",INDEX(Salary_Calculation[Salary Before Other Deductions],ROW()-ROW(Payslip_Lookup[#Headers])))</f>
        <v/>
      </c>
      <c r="AD208" s="171" t="str">
        <f aca="false">IF(INDEX(Salary_Calculation[Source Row],ROW()-ROW(Payslip_Lookup[#Headers]))="","",INDEX(Salary_Calculation[Payment Status],ROW()-ROW(Payslip_Lookup[#Headers])))</f>
        <v/>
      </c>
      <c r="AE208" s="171" t="str">
        <f aca="false">IF(INDEX(Salary_Calculation[Source Row],ROW()-ROW(Payslip_Lookup[#Headers]))="","",INDEX(Salary_Calculation[Notes],ROW()-ROW(Payslip_Lookup[#Headers])))</f>
        <v/>
      </c>
      <c r="AF208" s="171" t="str">
        <f aca="false">IF(INDEX(Salary_Calculation[Source Row],ROW()-ROW(Payslip_Lookup[#Headers]))="","",INDEX(Salary_Calculation[Exception Reason],ROW()-ROW(Payslip_Lookup[#Headers])))</f>
        <v/>
      </c>
      <c r="AG208" s="173" t="str">
        <f aca="false">IF($AD208="Review Required",COUNTIF(AD$2:AD208,"Review Required"),"")</f>
        <v/>
      </c>
      <c r="AH208" s="173" t="str">
        <f aca="false">IF(AND($D208&lt;&gt;"",$B208=Payslip_Print!$C$2),MAX(AH$1:AH207)+1,"")</f>
        <v/>
      </c>
      <c r="AL208" s="178" t="str">
        <f aca="false">IFERROR(INDEX($D$2:$D$501,MATCH(ROW()-1,$AH$2:$AH$501,0)),"")</f>
        <v/>
      </c>
      <c r="AM208" s="179" t="str">
        <f aca="false">IF($Z208="","",IF(AND($C208&gt;=Dash_Start,$C208&lt;Dash_End),$Z208+ROW()/10000000,""))</f>
        <v/>
      </c>
    </row>
    <row r="209" customFormat="false" ht="14.25" hidden="false" customHeight="false" outlineLevel="0" collapsed="false">
      <c r="A209" s="171" t="str">
        <f aca="false">IF(Payslip_Lookup[[#This Row],[Rider ID]]="","",Payslip_Lookup[[#This Row],[Rider ID]]&amp;"|"&amp;Payslip_Lookup[[#This Row],[Month Key]])</f>
        <v/>
      </c>
      <c r="B209" s="172" t="str">
        <f aca="false">IF(ISNUMBER(Payslip_Lookup[[#This Row],[Salary Month]]),DATE(YEAR(Payslip_Lookup[[#This Row],[Salary Month]]),MONTH(Payslip_Lookup[[#This Row],[Salary Month]]),1),"")</f>
        <v/>
      </c>
      <c r="C209" s="172" t="str">
        <f aca="false">IF(INDEX(Salary_Calculation[Source Row],ROW()-ROW(Payslip_Lookup[#Headers]))="","",INDEX(Salary_Calculation[Salary Month],ROW()-ROW(Payslip_Lookup[#Headers])))</f>
        <v/>
      </c>
      <c r="D209" s="173" t="str">
        <f aca="false">IF(INDEX(Salary_Calculation[Source Row],ROW()-ROW(Payslip_Lookup[#Headers]))="","",INDEX(Salary_Calculation[Rider ID],ROW()-ROW(Payslip_Lookup[#Headers])))</f>
        <v/>
      </c>
      <c r="E209" s="171" t="str">
        <f aca="false">IF(INDEX(Salary_Calculation[Source Row],ROW()-ROW(Payslip_Lookup[#Headers]))="","",INDEX(Salary_Calculation[Rider Name],ROW()-ROW(Payslip_Lookup[#Headers])))</f>
        <v/>
      </c>
      <c r="F209" s="173" t="str">
        <f aca="false">IF(INDEX(Salary_Calculation[Source Row],ROW()-ROW(Payslip_Lookup[#Headers]))="","",INDEX(Salary_Calculation[Working Days],ROW()-ROW(Payslip_Lookup[#Headers])))</f>
        <v/>
      </c>
      <c r="G209" s="173" t="str">
        <f aca="false">IF(INDEX(Salary_Calculation[Source Row],ROW()-ROW(Payslip_Lookup[#Headers]))="","",INDEX(Salary_Calculation[Calendar Days],ROW()-ROW(Payslip_Lookup[#Headers])))</f>
        <v/>
      </c>
      <c r="H209" s="174" t="str">
        <f aca="false">IF(INDEX(Salary_Calculation[Source Row],ROW()-ROW(Payslip_Lookup[#Headers]))="","",INDEX(Salary_Calculation[Monthly Target Orders],ROW()-ROW(Payslip_Lookup[#Headers])))</f>
        <v/>
      </c>
      <c r="I209" s="174" t="str">
        <f aca="false">IF(INDEX(Salary_Calculation[Source Row],ROW()-ROW(Payslip_Lookup[#Headers]))="","",INDEX(Salary_Calculation[Rider Target Orders],ROW()-ROW(Payslip_Lookup[#Headers])))</f>
        <v/>
      </c>
      <c r="J209" s="175" t="str">
        <f aca="false">IF(INDEX(Salary_Calculation[Source Row],ROW()-ROW(Payslip_Lookup[#Headers]))="","",INDEX(Salary_Calculation[Completed Orders],ROW()-ROW(Payslip_Lookup[#Headers])))</f>
        <v/>
      </c>
      <c r="K209" s="174" t="str">
        <f aca="false">IF(INDEX(Salary_Calculation[Source Row],ROW()-ROW(Payslip_Lookup[#Headers]))="","",INDEX(Salary_Calculation[Base Order Rate],ROW()-ROW(Payslip_Lookup[#Headers])))</f>
        <v/>
      </c>
      <c r="L209" s="176" t="str">
        <f aca="false">IF(INDEX(Salary_Calculation[Source Row],ROW()-ROW(Payslip_Lookup[#Headers]))="","",INDEX(Salary_Calculation[Basic Payment],ROW()-ROW(Payslip_Lookup[#Headers])))</f>
        <v/>
      </c>
      <c r="M209" s="176" t="str">
        <f aca="false">IF(INDEX(Salary_Calculation[Source Row],ROW()-ROW(Payslip_Lookup[#Headers]))="","",INDEX(Salary_Calculation[Earned Salary],ROW()-ROW(Payslip_Lookup[#Headers])))</f>
        <v/>
      </c>
      <c r="N209" s="174" t="str">
        <f aca="false">IF(INDEX(Salary_Calculation[Source Row],ROW()-ROW(Payslip_Lookup[#Headers]))="","",INDEX(Salary_Calculation[Orders Counted at Base Rate],ROW()-ROW(Payslip_Lookup[#Headers])))</f>
        <v/>
      </c>
      <c r="O209" s="174" t="str">
        <f aca="false">IF(INDEX(Salary_Calculation[Source Row],ROW()-ROW(Payslip_Lookup[#Headers]))="","",INDEX(Salary_Calculation[Missing Orders],ROW()-ROW(Payslip_Lookup[#Headers])))</f>
        <v/>
      </c>
      <c r="P209" s="176" t="str">
        <f aca="false">IF(INDEX(Salary_Calculation[Source Row],ROW()-ROW(Payslip_Lookup[#Headers]))="","",INDEX(Salary_Calculation[Missing-Order Deduction],ROW()-ROW(Payslip_Lookup[#Headers])))</f>
        <v/>
      </c>
      <c r="Q209" s="174" t="str">
        <f aca="false">IF(INDEX(Salary_Calculation[Source Row],ROW()-ROW(Payslip_Lookup[#Headers]))="","",INDEX(Salary_Calculation[Extra Orders],ROW()-ROW(Payslip_Lookup[#Headers])))</f>
        <v/>
      </c>
      <c r="R209" s="176" t="str">
        <f aca="false">IF(INDEX(Salary_Calculation[Source Row],ROW()-ROW(Payslip_Lookup[#Headers]))="","",INDEX(Salary_Calculation[Extra-Order Bonus],ROW()-ROW(Payslip_Lookup[#Headers])))</f>
        <v/>
      </c>
      <c r="S209" s="176" t="str">
        <f aca="false">IF(INDEX(Salary_Calculation[Source Row],ROW()-ROW(Payslip_Lookup[#Headers]))="","",INDEX(Salary_Calculation[Basic Salary for Target],ROW()-ROW(Payslip_Lookup[#Headers])))</f>
        <v/>
      </c>
      <c r="T209" s="176" t="str">
        <f aca="false">IF(INDEX(Salary_Calculation[Source Row],ROW()-ROW(Payslip_Lookup[#Headers]))="","",INDEX(Salary_Calculation[Gross Salary Before Deductions],ROW()-ROW(Payslip_Lookup[#Headers])))</f>
        <v/>
      </c>
      <c r="U209" s="176" t="str">
        <f aca="false">IF(INDEX(Salary_Calculation[Source Row],ROW()-ROW(Payslip_Lookup[#Headers]))="","",INDEX(Salary_Calculation[missed_days_penalty],ROW()-ROW(Payslip_Lookup[#Headers])))</f>
        <v/>
      </c>
      <c r="V209" s="176" t="str">
        <f aca="false">IF(INDEX(Salary_Calculation[Source Row],ROW()-ROW(Payslip_Lookup[#Headers]))="","",INDEX(Salary_Calculation[Rider Balance],ROW()-ROW(Payslip_Lookup[#Headers])))</f>
        <v/>
      </c>
      <c r="W209" s="176" t="str">
        <f aca="false">IF(INDEX(Salary_Calculation[Source Row],ROW()-ROW(Payslip_Lookup[#Headers]))="","",INDEX(Salary_Calculation[stacking_deduction],ROW()-ROW(Payslip_Lookup[#Headers])))</f>
        <v/>
      </c>
      <c r="X209" s="176" t="str">
        <f aca="false">IF(INDEX(Salary_Calculation[Source Row],ROW()-ROW(Payslip_Lookup[#Headers]))="","",INDEX(Salary_Calculation[Other Deductions],ROW()-ROW(Payslip_Lookup[#Headers])))</f>
        <v/>
      </c>
      <c r="Y209" s="176" t="str">
        <f aca="false">IF(INDEX(Salary_Calculation[Source Row],ROW()-ROW(Payslip_Lookup[#Headers]))="","",INDEX(Salary_Calculation[Total Deductions],ROW()-ROW(Payslip_Lookup[#Headers])))</f>
        <v/>
      </c>
      <c r="Z209" s="176" t="str">
        <f aca="false">IF(INDEX(Salary_Calculation[Source Row],ROW()-ROW(Payslip_Lookup[#Headers]))="","",INDEX(Salary_Calculation[Final Salary],ROW()-ROW(Payslip_Lookup[#Headers])))</f>
        <v/>
      </c>
      <c r="AA209" s="176" t="str">
        <f aca="false">IF(INDEX(Salary_Calculation[Source Row],ROW()-ROW(Payslip_Lookup[#Headers]))="","",INDEX(Salary_Calculation[Negative Balance / Amount Due from Rider],ROW()-ROW(Payslip_Lookup[#Headers])))</f>
        <v/>
      </c>
      <c r="AB209" s="176" t="str">
        <f aca="false">IF(INDEX(Salary_Calculation[Source Row],ROW()-ROW(Payslip_Lookup[#Headers]))="","",INDEX(Salary_Calculation[Total Amount Due from Rider],ROW()-ROW(Payslip_Lookup[#Headers])))</f>
        <v/>
      </c>
      <c r="AC209" s="176" t="str">
        <f aca="false">IF(INDEX(Salary_Calculation[Source Row],ROW()-ROW(Payslip_Lookup[#Headers]))="","",INDEX(Salary_Calculation[Salary Before Other Deductions],ROW()-ROW(Payslip_Lookup[#Headers])))</f>
        <v/>
      </c>
      <c r="AD209" s="171" t="str">
        <f aca="false">IF(INDEX(Salary_Calculation[Source Row],ROW()-ROW(Payslip_Lookup[#Headers]))="","",INDEX(Salary_Calculation[Payment Status],ROW()-ROW(Payslip_Lookup[#Headers])))</f>
        <v/>
      </c>
      <c r="AE209" s="171" t="str">
        <f aca="false">IF(INDEX(Salary_Calculation[Source Row],ROW()-ROW(Payslip_Lookup[#Headers]))="","",INDEX(Salary_Calculation[Notes],ROW()-ROW(Payslip_Lookup[#Headers])))</f>
        <v/>
      </c>
      <c r="AF209" s="171" t="str">
        <f aca="false">IF(INDEX(Salary_Calculation[Source Row],ROW()-ROW(Payslip_Lookup[#Headers]))="","",INDEX(Salary_Calculation[Exception Reason],ROW()-ROW(Payslip_Lookup[#Headers])))</f>
        <v/>
      </c>
      <c r="AG209" s="173" t="str">
        <f aca="false">IF($AD209="Review Required",COUNTIF(AD$2:AD209,"Review Required"),"")</f>
        <v/>
      </c>
      <c r="AH209" s="173" t="str">
        <f aca="false">IF(AND($D209&lt;&gt;"",$B209=Payslip_Print!$C$2),MAX(AH$1:AH208)+1,"")</f>
        <v/>
      </c>
      <c r="AL209" s="178" t="str">
        <f aca="false">IFERROR(INDEX($D$2:$D$501,MATCH(ROW()-1,$AH$2:$AH$501,0)),"")</f>
        <v/>
      </c>
      <c r="AM209" s="179" t="str">
        <f aca="false">IF($Z209="","",IF(AND($C209&gt;=Dash_Start,$C209&lt;Dash_End),$Z209+ROW()/10000000,""))</f>
        <v/>
      </c>
    </row>
    <row r="210" customFormat="false" ht="14.25" hidden="false" customHeight="false" outlineLevel="0" collapsed="false">
      <c r="A210" s="171" t="str">
        <f aca="false">IF(Payslip_Lookup[[#This Row],[Rider ID]]="","",Payslip_Lookup[[#This Row],[Rider ID]]&amp;"|"&amp;Payslip_Lookup[[#This Row],[Month Key]])</f>
        <v/>
      </c>
      <c r="B210" s="172" t="str">
        <f aca="false">IF(ISNUMBER(Payslip_Lookup[[#This Row],[Salary Month]]),DATE(YEAR(Payslip_Lookup[[#This Row],[Salary Month]]),MONTH(Payslip_Lookup[[#This Row],[Salary Month]]),1),"")</f>
        <v/>
      </c>
      <c r="C210" s="172" t="str">
        <f aca="false">IF(INDEX(Salary_Calculation[Source Row],ROW()-ROW(Payslip_Lookup[#Headers]))="","",INDEX(Salary_Calculation[Salary Month],ROW()-ROW(Payslip_Lookup[#Headers])))</f>
        <v/>
      </c>
      <c r="D210" s="173" t="str">
        <f aca="false">IF(INDEX(Salary_Calculation[Source Row],ROW()-ROW(Payslip_Lookup[#Headers]))="","",INDEX(Salary_Calculation[Rider ID],ROW()-ROW(Payslip_Lookup[#Headers])))</f>
        <v/>
      </c>
      <c r="E210" s="171" t="str">
        <f aca="false">IF(INDEX(Salary_Calculation[Source Row],ROW()-ROW(Payslip_Lookup[#Headers]))="","",INDEX(Salary_Calculation[Rider Name],ROW()-ROW(Payslip_Lookup[#Headers])))</f>
        <v/>
      </c>
      <c r="F210" s="173" t="str">
        <f aca="false">IF(INDEX(Salary_Calculation[Source Row],ROW()-ROW(Payslip_Lookup[#Headers]))="","",INDEX(Salary_Calculation[Working Days],ROW()-ROW(Payslip_Lookup[#Headers])))</f>
        <v/>
      </c>
      <c r="G210" s="173" t="str">
        <f aca="false">IF(INDEX(Salary_Calculation[Source Row],ROW()-ROW(Payslip_Lookup[#Headers]))="","",INDEX(Salary_Calculation[Calendar Days],ROW()-ROW(Payslip_Lookup[#Headers])))</f>
        <v/>
      </c>
      <c r="H210" s="174" t="str">
        <f aca="false">IF(INDEX(Salary_Calculation[Source Row],ROW()-ROW(Payslip_Lookup[#Headers]))="","",INDEX(Salary_Calculation[Monthly Target Orders],ROW()-ROW(Payslip_Lookup[#Headers])))</f>
        <v/>
      </c>
      <c r="I210" s="174" t="str">
        <f aca="false">IF(INDEX(Salary_Calculation[Source Row],ROW()-ROW(Payslip_Lookup[#Headers]))="","",INDEX(Salary_Calculation[Rider Target Orders],ROW()-ROW(Payslip_Lookup[#Headers])))</f>
        <v/>
      </c>
      <c r="J210" s="175" t="str">
        <f aca="false">IF(INDEX(Salary_Calculation[Source Row],ROW()-ROW(Payslip_Lookup[#Headers]))="","",INDEX(Salary_Calculation[Completed Orders],ROW()-ROW(Payslip_Lookup[#Headers])))</f>
        <v/>
      </c>
      <c r="K210" s="174" t="str">
        <f aca="false">IF(INDEX(Salary_Calculation[Source Row],ROW()-ROW(Payslip_Lookup[#Headers]))="","",INDEX(Salary_Calculation[Base Order Rate],ROW()-ROW(Payslip_Lookup[#Headers])))</f>
        <v/>
      </c>
      <c r="L210" s="176" t="str">
        <f aca="false">IF(INDEX(Salary_Calculation[Source Row],ROW()-ROW(Payslip_Lookup[#Headers]))="","",INDEX(Salary_Calculation[Basic Payment],ROW()-ROW(Payslip_Lookup[#Headers])))</f>
        <v/>
      </c>
      <c r="M210" s="176" t="str">
        <f aca="false">IF(INDEX(Salary_Calculation[Source Row],ROW()-ROW(Payslip_Lookup[#Headers]))="","",INDEX(Salary_Calculation[Earned Salary],ROW()-ROW(Payslip_Lookup[#Headers])))</f>
        <v/>
      </c>
      <c r="N210" s="174" t="str">
        <f aca="false">IF(INDEX(Salary_Calculation[Source Row],ROW()-ROW(Payslip_Lookup[#Headers]))="","",INDEX(Salary_Calculation[Orders Counted at Base Rate],ROW()-ROW(Payslip_Lookup[#Headers])))</f>
        <v/>
      </c>
      <c r="O210" s="174" t="str">
        <f aca="false">IF(INDEX(Salary_Calculation[Source Row],ROW()-ROW(Payslip_Lookup[#Headers]))="","",INDEX(Salary_Calculation[Missing Orders],ROW()-ROW(Payslip_Lookup[#Headers])))</f>
        <v/>
      </c>
      <c r="P210" s="176" t="str">
        <f aca="false">IF(INDEX(Salary_Calculation[Source Row],ROW()-ROW(Payslip_Lookup[#Headers]))="","",INDEX(Salary_Calculation[Missing-Order Deduction],ROW()-ROW(Payslip_Lookup[#Headers])))</f>
        <v/>
      </c>
      <c r="Q210" s="174" t="str">
        <f aca="false">IF(INDEX(Salary_Calculation[Source Row],ROW()-ROW(Payslip_Lookup[#Headers]))="","",INDEX(Salary_Calculation[Extra Orders],ROW()-ROW(Payslip_Lookup[#Headers])))</f>
        <v/>
      </c>
      <c r="R210" s="176" t="str">
        <f aca="false">IF(INDEX(Salary_Calculation[Source Row],ROW()-ROW(Payslip_Lookup[#Headers]))="","",INDEX(Salary_Calculation[Extra-Order Bonus],ROW()-ROW(Payslip_Lookup[#Headers])))</f>
        <v/>
      </c>
      <c r="S210" s="176" t="str">
        <f aca="false">IF(INDEX(Salary_Calculation[Source Row],ROW()-ROW(Payslip_Lookup[#Headers]))="","",INDEX(Salary_Calculation[Basic Salary for Target],ROW()-ROW(Payslip_Lookup[#Headers])))</f>
        <v/>
      </c>
      <c r="T210" s="176" t="str">
        <f aca="false">IF(INDEX(Salary_Calculation[Source Row],ROW()-ROW(Payslip_Lookup[#Headers]))="","",INDEX(Salary_Calculation[Gross Salary Before Deductions],ROW()-ROW(Payslip_Lookup[#Headers])))</f>
        <v/>
      </c>
      <c r="U210" s="176" t="str">
        <f aca="false">IF(INDEX(Salary_Calculation[Source Row],ROW()-ROW(Payslip_Lookup[#Headers]))="","",INDEX(Salary_Calculation[missed_days_penalty],ROW()-ROW(Payslip_Lookup[#Headers])))</f>
        <v/>
      </c>
      <c r="V210" s="176" t="str">
        <f aca="false">IF(INDEX(Salary_Calculation[Source Row],ROW()-ROW(Payslip_Lookup[#Headers]))="","",INDEX(Salary_Calculation[Rider Balance],ROW()-ROW(Payslip_Lookup[#Headers])))</f>
        <v/>
      </c>
      <c r="W210" s="176" t="str">
        <f aca="false">IF(INDEX(Salary_Calculation[Source Row],ROW()-ROW(Payslip_Lookup[#Headers]))="","",INDEX(Salary_Calculation[stacking_deduction],ROW()-ROW(Payslip_Lookup[#Headers])))</f>
        <v/>
      </c>
      <c r="X210" s="176" t="str">
        <f aca="false">IF(INDEX(Salary_Calculation[Source Row],ROW()-ROW(Payslip_Lookup[#Headers]))="","",INDEX(Salary_Calculation[Other Deductions],ROW()-ROW(Payslip_Lookup[#Headers])))</f>
        <v/>
      </c>
      <c r="Y210" s="176" t="str">
        <f aca="false">IF(INDEX(Salary_Calculation[Source Row],ROW()-ROW(Payslip_Lookup[#Headers]))="","",INDEX(Salary_Calculation[Total Deductions],ROW()-ROW(Payslip_Lookup[#Headers])))</f>
        <v/>
      </c>
      <c r="Z210" s="176" t="str">
        <f aca="false">IF(INDEX(Salary_Calculation[Source Row],ROW()-ROW(Payslip_Lookup[#Headers]))="","",INDEX(Salary_Calculation[Final Salary],ROW()-ROW(Payslip_Lookup[#Headers])))</f>
        <v/>
      </c>
      <c r="AA210" s="176" t="str">
        <f aca="false">IF(INDEX(Salary_Calculation[Source Row],ROW()-ROW(Payslip_Lookup[#Headers]))="","",INDEX(Salary_Calculation[Negative Balance / Amount Due from Rider],ROW()-ROW(Payslip_Lookup[#Headers])))</f>
        <v/>
      </c>
      <c r="AB210" s="176" t="str">
        <f aca="false">IF(INDEX(Salary_Calculation[Source Row],ROW()-ROW(Payslip_Lookup[#Headers]))="","",INDEX(Salary_Calculation[Total Amount Due from Rider],ROW()-ROW(Payslip_Lookup[#Headers])))</f>
        <v/>
      </c>
      <c r="AC210" s="176" t="str">
        <f aca="false">IF(INDEX(Salary_Calculation[Source Row],ROW()-ROW(Payslip_Lookup[#Headers]))="","",INDEX(Salary_Calculation[Salary Before Other Deductions],ROW()-ROW(Payslip_Lookup[#Headers])))</f>
        <v/>
      </c>
      <c r="AD210" s="171" t="str">
        <f aca="false">IF(INDEX(Salary_Calculation[Source Row],ROW()-ROW(Payslip_Lookup[#Headers]))="","",INDEX(Salary_Calculation[Payment Status],ROW()-ROW(Payslip_Lookup[#Headers])))</f>
        <v/>
      </c>
      <c r="AE210" s="171" t="str">
        <f aca="false">IF(INDEX(Salary_Calculation[Source Row],ROW()-ROW(Payslip_Lookup[#Headers]))="","",INDEX(Salary_Calculation[Notes],ROW()-ROW(Payslip_Lookup[#Headers])))</f>
        <v/>
      </c>
      <c r="AF210" s="171" t="str">
        <f aca="false">IF(INDEX(Salary_Calculation[Source Row],ROW()-ROW(Payslip_Lookup[#Headers]))="","",INDEX(Salary_Calculation[Exception Reason],ROW()-ROW(Payslip_Lookup[#Headers])))</f>
        <v/>
      </c>
      <c r="AG210" s="173" t="str">
        <f aca="false">IF($AD210="Review Required",COUNTIF(AD$2:AD210,"Review Required"),"")</f>
        <v/>
      </c>
      <c r="AH210" s="173" t="str">
        <f aca="false">IF(AND($D210&lt;&gt;"",$B210=Payslip_Print!$C$2),MAX(AH$1:AH209)+1,"")</f>
        <v/>
      </c>
      <c r="AL210" s="178" t="str">
        <f aca="false">IFERROR(INDEX($D$2:$D$501,MATCH(ROW()-1,$AH$2:$AH$501,0)),"")</f>
        <v/>
      </c>
      <c r="AM210" s="179" t="str">
        <f aca="false">IF($Z210="","",IF(AND($C210&gt;=Dash_Start,$C210&lt;Dash_End),$Z210+ROW()/10000000,""))</f>
        <v/>
      </c>
    </row>
    <row r="211" customFormat="false" ht="14.25" hidden="false" customHeight="false" outlineLevel="0" collapsed="false">
      <c r="A211" s="171" t="str">
        <f aca="false">IF(Payslip_Lookup[[#This Row],[Rider ID]]="","",Payslip_Lookup[[#This Row],[Rider ID]]&amp;"|"&amp;Payslip_Lookup[[#This Row],[Month Key]])</f>
        <v/>
      </c>
      <c r="B211" s="172" t="str">
        <f aca="false">IF(ISNUMBER(Payslip_Lookup[[#This Row],[Salary Month]]),DATE(YEAR(Payslip_Lookup[[#This Row],[Salary Month]]),MONTH(Payslip_Lookup[[#This Row],[Salary Month]]),1),"")</f>
        <v/>
      </c>
      <c r="C211" s="172" t="str">
        <f aca="false">IF(INDEX(Salary_Calculation[Source Row],ROW()-ROW(Payslip_Lookup[#Headers]))="","",INDEX(Salary_Calculation[Salary Month],ROW()-ROW(Payslip_Lookup[#Headers])))</f>
        <v/>
      </c>
      <c r="D211" s="173" t="str">
        <f aca="false">IF(INDEX(Salary_Calculation[Source Row],ROW()-ROW(Payslip_Lookup[#Headers]))="","",INDEX(Salary_Calculation[Rider ID],ROW()-ROW(Payslip_Lookup[#Headers])))</f>
        <v/>
      </c>
      <c r="E211" s="171" t="str">
        <f aca="false">IF(INDEX(Salary_Calculation[Source Row],ROW()-ROW(Payslip_Lookup[#Headers]))="","",INDEX(Salary_Calculation[Rider Name],ROW()-ROW(Payslip_Lookup[#Headers])))</f>
        <v/>
      </c>
      <c r="F211" s="173" t="str">
        <f aca="false">IF(INDEX(Salary_Calculation[Source Row],ROW()-ROW(Payslip_Lookup[#Headers]))="","",INDEX(Salary_Calculation[Working Days],ROW()-ROW(Payslip_Lookup[#Headers])))</f>
        <v/>
      </c>
      <c r="G211" s="173" t="str">
        <f aca="false">IF(INDEX(Salary_Calculation[Source Row],ROW()-ROW(Payslip_Lookup[#Headers]))="","",INDEX(Salary_Calculation[Calendar Days],ROW()-ROW(Payslip_Lookup[#Headers])))</f>
        <v/>
      </c>
      <c r="H211" s="174" t="str">
        <f aca="false">IF(INDEX(Salary_Calculation[Source Row],ROW()-ROW(Payslip_Lookup[#Headers]))="","",INDEX(Salary_Calculation[Monthly Target Orders],ROW()-ROW(Payslip_Lookup[#Headers])))</f>
        <v/>
      </c>
      <c r="I211" s="174" t="str">
        <f aca="false">IF(INDEX(Salary_Calculation[Source Row],ROW()-ROW(Payslip_Lookup[#Headers]))="","",INDEX(Salary_Calculation[Rider Target Orders],ROW()-ROW(Payslip_Lookup[#Headers])))</f>
        <v/>
      </c>
      <c r="J211" s="175" t="str">
        <f aca="false">IF(INDEX(Salary_Calculation[Source Row],ROW()-ROW(Payslip_Lookup[#Headers]))="","",INDEX(Salary_Calculation[Completed Orders],ROW()-ROW(Payslip_Lookup[#Headers])))</f>
        <v/>
      </c>
      <c r="K211" s="174" t="str">
        <f aca="false">IF(INDEX(Salary_Calculation[Source Row],ROW()-ROW(Payslip_Lookup[#Headers]))="","",INDEX(Salary_Calculation[Base Order Rate],ROW()-ROW(Payslip_Lookup[#Headers])))</f>
        <v/>
      </c>
      <c r="L211" s="176" t="str">
        <f aca="false">IF(INDEX(Salary_Calculation[Source Row],ROW()-ROW(Payslip_Lookup[#Headers]))="","",INDEX(Salary_Calculation[Basic Payment],ROW()-ROW(Payslip_Lookup[#Headers])))</f>
        <v/>
      </c>
      <c r="M211" s="176" t="str">
        <f aca="false">IF(INDEX(Salary_Calculation[Source Row],ROW()-ROW(Payslip_Lookup[#Headers]))="","",INDEX(Salary_Calculation[Earned Salary],ROW()-ROW(Payslip_Lookup[#Headers])))</f>
        <v/>
      </c>
      <c r="N211" s="174" t="str">
        <f aca="false">IF(INDEX(Salary_Calculation[Source Row],ROW()-ROW(Payslip_Lookup[#Headers]))="","",INDEX(Salary_Calculation[Orders Counted at Base Rate],ROW()-ROW(Payslip_Lookup[#Headers])))</f>
        <v/>
      </c>
      <c r="O211" s="174" t="str">
        <f aca="false">IF(INDEX(Salary_Calculation[Source Row],ROW()-ROW(Payslip_Lookup[#Headers]))="","",INDEX(Salary_Calculation[Missing Orders],ROW()-ROW(Payslip_Lookup[#Headers])))</f>
        <v/>
      </c>
      <c r="P211" s="176" t="str">
        <f aca="false">IF(INDEX(Salary_Calculation[Source Row],ROW()-ROW(Payslip_Lookup[#Headers]))="","",INDEX(Salary_Calculation[Missing-Order Deduction],ROW()-ROW(Payslip_Lookup[#Headers])))</f>
        <v/>
      </c>
      <c r="Q211" s="174" t="str">
        <f aca="false">IF(INDEX(Salary_Calculation[Source Row],ROW()-ROW(Payslip_Lookup[#Headers]))="","",INDEX(Salary_Calculation[Extra Orders],ROW()-ROW(Payslip_Lookup[#Headers])))</f>
        <v/>
      </c>
      <c r="R211" s="176" t="str">
        <f aca="false">IF(INDEX(Salary_Calculation[Source Row],ROW()-ROW(Payslip_Lookup[#Headers]))="","",INDEX(Salary_Calculation[Extra-Order Bonus],ROW()-ROW(Payslip_Lookup[#Headers])))</f>
        <v/>
      </c>
      <c r="S211" s="176" t="str">
        <f aca="false">IF(INDEX(Salary_Calculation[Source Row],ROW()-ROW(Payslip_Lookup[#Headers]))="","",INDEX(Salary_Calculation[Basic Salary for Target],ROW()-ROW(Payslip_Lookup[#Headers])))</f>
        <v/>
      </c>
      <c r="T211" s="176" t="str">
        <f aca="false">IF(INDEX(Salary_Calculation[Source Row],ROW()-ROW(Payslip_Lookup[#Headers]))="","",INDEX(Salary_Calculation[Gross Salary Before Deductions],ROW()-ROW(Payslip_Lookup[#Headers])))</f>
        <v/>
      </c>
      <c r="U211" s="176" t="str">
        <f aca="false">IF(INDEX(Salary_Calculation[Source Row],ROW()-ROW(Payslip_Lookup[#Headers]))="","",INDEX(Salary_Calculation[missed_days_penalty],ROW()-ROW(Payslip_Lookup[#Headers])))</f>
        <v/>
      </c>
      <c r="V211" s="176" t="str">
        <f aca="false">IF(INDEX(Salary_Calculation[Source Row],ROW()-ROW(Payslip_Lookup[#Headers]))="","",INDEX(Salary_Calculation[Rider Balance],ROW()-ROW(Payslip_Lookup[#Headers])))</f>
        <v/>
      </c>
      <c r="W211" s="176" t="str">
        <f aca="false">IF(INDEX(Salary_Calculation[Source Row],ROW()-ROW(Payslip_Lookup[#Headers]))="","",INDEX(Salary_Calculation[stacking_deduction],ROW()-ROW(Payslip_Lookup[#Headers])))</f>
        <v/>
      </c>
      <c r="X211" s="176" t="str">
        <f aca="false">IF(INDEX(Salary_Calculation[Source Row],ROW()-ROW(Payslip_Lookup[#Headers]))="","",INDEX(Salary_Calculation[Other Deductions],ROW()-ROW(Payslip_Lookup[#Headers])))</f>
        <v/>
      </c>
      <c r="Y211" s="176" t="str">
        <f aca="false">IF(INDEX(Salary_Calculation[Source Row],ROW()-ROW(Payslip_Lookup[#Headers]))="","",INDEX(Salary_Calculation[Total Deductions],ROW()-ROW(Payslip_Lookup[#Headers])))</f>
        <v/>
      </c>
      <c r="Z211" s="176" t="str">
        <f aca="false">IF(INDEX(Salary_Calculation[Source Row],ROW()-ROW(Payslip_Lookup[#Headers]))="","",INDEX(Salary_Calculation[Final Salary],ROW()-ROW(Payslip_Lookup[#Headers])))</f>
        <v/>
      </c>
      <c r="AA211" s="176" t="str">
        <f aca="false">IF(INDEX(Salary_Calculation[Source Row],ROW()-ROW(Payslip_Lookup[#Headers]))="","",INDEX(Salary_Calculation[Negative Balance / Amount Due from Rider],ROW()-ROW(Payslip_Lookup[#Headers])))</f>
        <v/>
      </c>
      <c r="AB211" s="176" t="str">
        <f aca="false">IF(INDEX(Salary_Calculation[Source Row],ROW()-ROW(Payslip_Lookup[#Headers]))="","",INDEX(Salary_Calculation[Total Amount Due from Rider],ROW()-ROW(Payslip_Lookup[#Headers])))</f>
        <v/>
      </c>
      <c r="AC211" s="176" t="str">
        <f aca="false">IF(INDEX(Salary_Calculation[Source Row],ROW()-ROW(Payslip_Lookup[#Headers]))="","",INDEX(Salary_Calculation[Salary Before Other Deductions],ROW()-ROW(Payslip_Lookup[#Headers])))</f>
        <v/>
      </c>
      <c r="AD211" s="171" t="str">
        <f aca="false">IF(INDEX(Salary_Calculation[Source Row],ROW()-ROW(Payslip_Lookup[#Headers]))="","",INDEX(Salary_Calculation[Payment Status],ROW()-ROW(Payslip_Lookup[#Headers])))</f>
        <v/>
      </c>
      <c r="AE211" s="171" t="str">
        <f aca="false">IF(INDEX(Salary_Calculation[Source Row],ROW()-ROW(Payslip_Lookup[#Headers]))="","",INDEX(Salary_Calculation[Notes],ROW()-ROW(Payslip_Lookup[#Headers])))</f>
        <v/>
      </c>
      <c r="AF211" s="171" t="str">
        <f aca="false">IF(INDEX(Salary_Calculation[Source Row],ROW()-ROW(Payslip_Lookup[#Headers]))="","",INDEX(Salary_Calculation[Exception Reason],ROW()-ROW(Payslip_Lookup[#Headers])))</f>
        <v/>
      </c>
      <c r="AG211" s="173" t="str">
        <f aca="false">IF($AD211="Review Required",COUNTIF(AD$2:AD211,"Review Required"),"")</f>
        <v/>
      </c>
      <c r="AH211" s="173" t="str">
        <f aca="false">IF(AND($D211&lt;&gt;"",$B211=Payslip_Print!$C$2),MAX(AH$1:AH210)+1,"")</f>
        <v/>
      </c>
      <c r="AL211" s="178" t="str">
        <f aca="false">IFERROR(INDEX($D$2:$D$501,MATCH(ROW()-1,$AH$2:$AH$501,0)),"")</f>
        <v/>
      </c>
      <c r="AM211" s="179" t="str">
        <f aca="false">IF($Z211="","",IF(AND($C211&gt;=Dash_Start,$C211&lt;Dash_End),$Z211+ROW()/10000000,""))</f>
        <v/>
      </c>
    </row>
    <row r="212" customFormat="false" ht="14.25" hidden="false" customHeight="false" outlineLevel="0" collapsed="false">
      <c r="A212" s="171" t="str">
        <f aca="false">IF(Payslip_Lookup[[#This Row],[Rider ID]]="","",Payslip_Lookup[[#This Row],[Rider ID]]&amp;"|"&amp;Payslip_Lookup[[#This Row],[Month Key]])</f>
        <v/>
      </c>
      <c r="B212" s="172" t="str">
        <f aca="false">IF(ISNUMBER(Payslip_Lookup[[#This Row],[Salary Month]]),DATE(YEAR(Payslip_Lookup[[#This Row],[Salary Month]]),MONTH(Payslip_Lookup[[#This Row],[Salary Month]]),1),"")</f>
        <v/>
      </c>
      <c r="C212" s="172" t="str">
        <f aca="false">IF(INDEX(Salary_Calculation[Source Row],ROW()-ROW(Payslip_Lookup[#Headers]))="","",INDEX(Salary_Calculation[Salary Month],ROW()-ROW(Payslip_Lookup[#Headers])))</f>
        <v/>
      </c>
      <c r="D212" s="173" t="str">
        <f aca="false">IF(INDEX(Salary_Calculation[Source Row],ROW()-ROW(Payslip_Lookup[#Headers]))="","",INDEX(Salary_Calculation[Rider ID],ROW()-ROW(Payslip_Lookup[#Headers])))</f>
        <v/>
      </c>
      <c r="E212" s="171" t="str">
        <f aca="false">IF(INDEX(Salary_Calculation[Source Row],ROW()-ROW(Payslip_Lookup[#Headers]))="","",INDEX(Salary_Calculation[Rider Name],ROW()-ROW(Payslip_Lookup[#Headers])))</f>
        <v/>
      </c>
      <c r="F212" s="173" t="str">
        <f aca="false">IF(INDEX(Salary_Calculation[Source Row],ROW()-ROW(Payslip_Lookup[#Headers]))="","",INDEX(Salary_Calculation[Working Days],ROW()-ROW(Payslip_Lookup[#Headers])))</f>
        <v/>
      </c>
      <c r="G212" s="173" t="str">
        <f aca="false">IF(INDEX(Salary_Calculation[Source Row],ROW()-ROW(Payslip_Lookup[#Headers]))="","",INDEX(Salary_Calculation[Calendar Days],ROW()-ROW(Payslip_Lookup[#Headers])))</f>
        <v/>
      </c>
      <c r="H212" s="174" t="str">
        <f aca="false">IF(INDEX(Salary_Calculation[Source Row],ROW()-ROW(Payslip_Lookup[#Headers]))="","",INDEX(Salary_Calculation[Monthly Target Orders],ROW()-ROW(Payslip_Lookup[#Headers])))</f>
        <v/>
      </c>
      <c r="I212" s="174" t="str">
        <f aca="false">IF(INDEX(Salary_Calculation[Source Row],ROW()-ROW(Payslip_Lookup[#Headers]))="","",INDEX(Salary_Calculation[Rider Target Orders],ROW()-ROW(Payslip_Lookup[#Headers])))</f>
        <v/>
      </c>
      <c r="J212" s="175" t="str">
        <f aca="false">IF(INDEX(Salary_Calculation[Source Row],ROW()-ROW(Payslip_Lookup[#Headers]))="","",INDEX(Salary_Calculation[Completed Orders],ROW()-ROW(Payslip_Lookup[#Headers])))</f>
        <v/>
      </c>
      <c r="K212" s="174" t="str">
        <f aca="false">IF(INDEX(Salary_Calculation[Source Row],ROW()-ROW(Payslip_Lookup[#Headers]))="","",INDEX(Salary_Calculation[Base Order Rate],ROW()-ROW(Payslip_Lookup[#Headers])))</f>
        <v/>
      </c>
      <c r="L212" s="176" t="str">
        <f aca="false">IF(INDEX(Salary_Calculation[Source Row],ROW()-ROW(Payslip_Lookup[#Headers]))="","",INDEX(Salary_Calculation[Basic Payment],ROW()-ROW(Payslip_Lookup[#Headers])))</f>
        <v/>
      </c>
      <c r="M212" s="176" t="str">
        <f aca="false">IF(INDEX(Salary_Calculation[Source Row],ROW()-ROW(Payslip_Lookup[#Headers]))="","",INDEX(Salary_Calculation[Earned Salary],ROW()-ROW(Payslip_Lookup[#Headers])))</f>
        <v/>
      </c>
      <c r="N212" s="174" t="str">
        <f aca="false">IF(INDEX(Salary_Calculation[Source Row],ROW()-ROW(Payslip_Lookup[#Headers]))="","",INDEX(Salary_Calculation[Orders Counted at Base Rate],ROW()-ROW(Payslip_Lookup[#Headers])))</f>
        <v/>
      </c>
      <c r="O212" s="174" t="str">
        <f aca="false">IF(INDEX(Salary_Calculation[Source Row],ROW()-ROW(Payslip_Lookup[#Headers]))="","",INDEX(Salary_Calculation[Missing Orders],ROW()-ROW(Payslip_Lookup[#Headers])))</f>
        <v/>
      </c>
      <c r="P212" s="176" t="str">
        <f aca="false">IF(INDEX(Salary_Calculation[Source Row],ROW()-ROW(Payslip_Lookup[#Headers]))="","",INDEX(Salary_Calculation[Missing-Order Deduction],ROW()-ROW(Payslip_Lookup[#Headers])))</f>
        <v/>
      </c>
      <c r="Q212" s="174" t="str">
        <f aca="false">IF(INDEX(Salary_Calculation[Source Row],ROW()-ROW(Payslip_Lookup[#Headers]))="","",INDEX(Salary_Calculation[Extra Orders],ROW()-ROW(Payslip_Lookup[#Headers])))</f>
        <v/>
      </c>
      <c r="R212" s="176" t="str">
        <f aca="false">IF(INDEX(Salary_Calculation[Source Row],ROW()-ROW(Payslip_Lookup[#Headers]))="","",INDEX(Salary_Calculation[Extra-Order Bonus],ROW()-ROW(Payslip_Lookup[#Headers])))</f>
        <v/>
      </c>
      <c r="S212" s="176" t="str">
        <f aca="false">IF(INDEX(Salary_Calculation[Source Row],ROW()-ROW(Payslip_Lookup[#Headers]))="","",INDEX(Salary_Calculation[Basic Salary for Target],ROW()-ROW(Payslip_Lookup[#Headers])))</f>
        <v/>
      </c>
      <c r="T212" s="176" t="str">
        <f aca="false">IF(INDEX(Salary_Calculation[Source Row],ROW()-ROW(Payslip_Lookup[#Headers]))="","",INDEX(Salary_Calculation[Gross Salary Before Deductions],ROW()-ROW(Payslip_Lookup[#Headers])))</f>
        <v/>
      </c>
      <c r="U212" s="176" t="str">
        <f aca="false">IF(INDEX(Salary_Calculation[Source Row],ROW()-ROW(Payslip_Lookup[#Headers]))="","",INDEX(Salary_Calculation[missed_days_penalty],ROW()-ROW(Payslip_Lookup[#Headers])))</f>
        <v/>
      </c>
      <c r="V212" s="176" t="str">
        <f aca="false">IF(INDEX(Salary_Calculation[Source Row],ROW()-ROW(Payslip_Lookup[#Headers]))="","",INDEX(Salary_Calculation[Rider Balance],ROW()-ROW(Payslip_Lookup[#Headers])))</f>
        <v/>
      </c>
      <c r="W212" s="176" t="str">
        <f aca="false">IF(INDEX(Salary_Calculation[Source Row],ROW()-ROW(Payslip_Lookup[#Headers]))="","",INDEX(Salary_Calculation[stacking_deduction],ROW()-ROW(Payslip_Lookup[#Headers])))</f>
        <v/>
      </c>
      <c r="X212" s="176" t="str">
        <f aca="false">IF(INDEX(Salary_Calculation[Source Row],ROW()-ROW(Payslip_Lookup[#Headers]))="","",INDEX(Salary_Calculation[Other Deductions],ROW()-ROW(Payslip_Lookup[#Headers])))</f>
        <v/>
      </c>
      <c r="Y212" s="176" t="str">
        <f aca="false">IF(INDEX(Salary_Calculation[Source Row],ROW()-ROW(Payslip_Lookup[#Headers]))="","",INDEX(Salary_Calculation[Total Deductions],ROW()-ROW(Payslip_Lookup[#Headers])))</f>
        <v/>
      </c>
      <c r="Z212" s="176" t="str">
        <f aca="false">IF(INDEX(Salary_Calculation[Source Row],ROW()-ROW(Payslip_Lookup[#Headers]))="","",INDEX(Salary_Calculation[Final Salary],ROW()-ROW(Payslip_Lookup[#Headers])))</f>
        <v/>
      </c>
      <c r="AA212" s="176" t="str">
        <f aca="false">IF(INDEX(Salary_Calculation[Source Row],ROW()-ROW(Payslip_Lookup[#Headers]))="","",INDEX(Salary_Calculation[Negative Balance / Amount Due from Rider],ROW()-ROW(Payslip_Lookup[#Headers])))</f>
        <v/>
      </c>
      <c r="AB212" s="176" t="str">
        <f aca="false">IF(INDEX(Salary_Calculation[Source Row],ROW()-ROW(Payslip_Lookup[#Headers]))="","",INDEX(Salary_Calculation[Total Amount Due from Rider],ROW()-ROW(Payslip_Lookup[#Headers])))</f>
        <v/>
      </c>
      <c r="AC212" s="176" t="str">
        <f aca="false">IF(INDEX(Salary_Calculation[Source Row],ROW()-ROW(Payslip_Lookup[#Headers]))="","",INDEX(Salary_Calculation[Salary Before Other Deductions],ROW()-ROW(Payslip_Lookup[#Headers])))</f>
        <v/>
      </c>
      <c r="AD212" s="171" t="str">
        <f aca="false">IF(INDEX(Salary_Calculation[Source Row],ROW()-ROW(Payslip_Lookup[#Headers]))="","",INDEX(Salary_Calculation[Payment Status],ROW()-ROW(Payslip_Lookup[#Headers])))</f>
        <v/>
      </c>
      <c r="AE212" s="171" t="str">
        <f aca="false">IF(INDEX(Salary_Calculation[Source Row],ROW()-ROW(Payslip_Lookup[#Headers]))="","",INDEX(Salary_Calculation[Notes],ROW()-ROW(Payslip_Lookup[#Headers])))</f>
        <v/>
      </c>
      <c r="AF212" s="171" t="str">
        <f aca="false">IF(INDEX(Salary_Calculation[Source Row],ROW()-ROW(Payslip_Lookup[#Headers]))="","",INDEX(Salary_Calculation[Exception Reason],ROW()-ROW(Payslip_Lookup[#Headers])))</f>
        <v/>
      </c>
      <c r="AG212" s="173" t="str">
        <f aca="false">IF($AD212="Review Required",COUNTIF(AD$2:AD212,"Review Required"),"")</f>
        <v/>
      </c>
      <c r="AH212" s="173" t="str">
        <f aca="false">IF(AND($D212&lt;&gt;"",$B212=Payslip_Print!$C$2),MAX(AH$1:AH211)+1,"")</f>
        <v/>
      </c>
      <c r="AL212" s="178" t="str">
        <f aca="false">IFERROR(INDEX($D$2:$D$501,MATCH(ROW()-1,$AH$2:$AH$501,0)),"")</f>
        <v/>
      </c>
      <c r="AM212" s="179" t="str">
        <f aca="false">IF($Z212="","",IF(AND($C212&gt;=Dash_Start,$C212&lt;Dash_End),$Z212+ROW()/10000000,""))</f>
        <v/>
      </c>
    </row>
    <row r="213" customFormat="false" ht="14.25" hidden="false" customHeight="false" outlineLevel="0" collapsed="false">
      <c r="A213" s="171" t="str">
        <f aca="false">IF(Payslip_Lookup[[#This Row],[Rider ID]]="","",Payslip_Lookup[[#This Row],[Rider ID]]&amp;"|"&amp;Payslip_Lookup[[#This Row],[Month Key]])</f>
        <v/>
      </c>
      <c r="B213" s="172" t="str">
        <f aca="false">IF(ISNUMBER(Payslip_Lookup[[#This Row],[Salary Month]]),DATE(YEAR(Payslip_Lookup[[#This Row],[Salary Month]]),MONTH(Payslip_Lookup[[#This Row],[Salary Month]]),1),"")</f>
        <v/>
      </c>
      <c r="C213" s="172" t="str">
        <f aca="false">IF(INDEX(Salary_Calculation[Source Row],ROW()-ROW(Payslip_Lookup[#Headers]))="","",INDEX(Salary_Calculation[Salary Month],ROW()-ROW(Payslip_Lookup[#Headers])))</f>
        <v/>
      </c>
      <c r="D213" s="173" t="str">
        <f aca="false">IF(INDEX(Salary_Calculation[Source Row],ROW()-ROW(Payslip_Lookup[#Headers]))="","",INDEX(Salary_Calculation[Rider ID],ROW()-ROW(Payslip_Lookup[#Headers])))</f>
        <v/>
      </c>
      <c r="E213" s="171" t="str">
        <f aca="false">IF(INDEX(Salary_Calculation[Source Row],ROW()-ROW(Payslip_Lookup[#Headers]))="","",INDEX(Salary_Calculation[Rider Name],ROW()-ROW(Payslip_Lookup[#Headers])))</f>
        <v/>
      </c>
      <c r="F213" s="173" t="str">
        <f aca="false">IF(INDEX(Salary_Calculation[Source Row],ROW()-ROW(Payslip_Lookup[#Headers]))="","",INDEX(Salary_Calculation[Working Days],ROW()-ROW(Payslip_Lookup[#Headers])))</f>
        <v/>
      </c>
      <c r="G213" s="173" t="str">
        <f aca="false">IF(INDEX(Salary_Calculation[Source Row],ROW()-ROW(Payslip_Lookup[#Headers]))="","",INDEX(Salary_Calculation[Calendar Days],ROW()-ROW(Payslip_Lookup[#Headers])))</f>
        <v/>
      </c>
      <c r="H213" s="174" t="str">
        <f aca="false">IF(INDEX(Salary_Calculation[Source Row],ROW()-ROW(Payslip_Lookup[#Headers]))="","",INDEX(Salary_Calculation[Monthly Target Orders],ROW()-ROW(Payslip_Lookup[#Headers])))</f>
        <v/>
      </c>
      <c r="I213" s="174" t="str">
        <f aca="false">IF(INDEX(Salary_Calculation[Source Row],ROW()-ROW(Payslip_Lookup[#Headers]))="","",INDEX(Salary_Calculation[Rider Target Orders],ROW()-ROW(Payslip_Lookup[#Headers])))</f>
        <v/>
      </c>
      <c r="J213" s="175" t="str">
        <f aca="false">IF(INDEX(Salary_Calculation[Source Row],ROW()-ROW(Payslip_Lookup[#Headers]))="","",INDEX(Salary_Calculation[Completed Orders],ROW()-ROW(Payslip_Lookup[#Headers])))</f>
        <v/>
      </c>
      <c r="K213" s="174" t="str">
        <f aca="false">IF(INDEX(Salary_Calculation[Source Row],ROW()-ROW(Payslip_Lookup[#Headers]))="","",INDEX(Salary_Calculation[Base Order Rate],ROW()-ROW(Payslip_Lookup[#Headers])))</f>
        <v/>
      </c>
      <c r="L213" s="176" t="str">
        <f aca="false">IF(INDEX(Salary_Calculation[Source Row],ROW()-ROW(Payslip_Lookup[#Headers]))="","",INDEX(Salary_Calculation[Basic Payment],ROW()-ROW(Payslip_Lookup[#Headers])))</f>
        <v/>
      </c>
      <c r="M213" s="176" t="str">
        <f aca="false">IF(INDEX(Salary_Calculation[Source Row],ROW()-ROW(Payslip_Lookup[#Headers]))="","",INDEX(Salary_Calculation[Earned Salary],ROW()-ROW(Payslip_Lookup[#Headers])))</f>
        <v/>
      </c>
      <c r="N213" s="174" t="str">
        <f aca="false">IF(INDEX(Salary_Calculation[Source Row],ROW()-ROW(Payslip_Lookup[#Headers]))="","",INDEX(Salary_Calculation[Orders Counted at Base Rate],ROW()-ROW(Payslip_Lookup[#Headers])))</f>
        <v/>
      </c>
      <c r="O213" s="174" t="str">
        <f aca="false">IF(INDEX(Salary_Calculation[Source Row],ROW()-ROW(Payslip_Lookup[#Headers]))="","",INDEX(Salary_Calculation[Missing Orders],ROW()-ROW(Payslip_Lookup[#Headers])))</f>
        <v/>
      </c>
      <c r="P213" s="176" t="str">
        <f aca="false">IF(INDEX(Salary_Calculation[Source Row],ROW()-ROW(Payslip_Lookup[#Headers]))="","",INDEX(Salary_Calculation[Missing-Order Deduction],ROW()-ROW(Payslip_Lookup[#Headers])))</f>
        <v/>
      </c>
      <c r="Q213" s="174" t="str">
        <f aca="false">IF(INDEX(Salary_Calculation[Source Row],ROW()-ROW(Payslip_Lookup[#Headers]))="","",INDEX(Salary_Calculation[Extra Orders],ROW()-ROW(Payslip_Lookup[#Headers])))</f>
        <v/>
      </c>
      <c r="R213" s="176" t="str">
        <f aca="false">IF(INDEX(Salary_Calculation[Source Row],ROW()-ROW(Payslip_Lookup[#Headers]))="","",INDEX(Salary_Calculation[Extra-Order Bonus],ROW()-ROW(Payslip_Lookup[#Headers])))</f>
        <v/>
      </c>
      <c r="S213" s="176" t="str">
        <f aca="false">IF(INDEX(Salary_Calculation[Source Row],ROW()-ROW(Payslip_Lookup[#Headers]))="","",INDEX(Salary_Calculation[Basic Salary for Target],ROW()-ROW(Payslip_Lookup[#Headers])))</f>
        <v/>
      </c>
      <c r="T213" s="176" t="str">
        <f aca="false">IF(INDEX(Salary_Calculation[Source Row],ROW()-ROW(Payslip_Lookup[#Headers]))="","",INDEX(Salary_Calculation[Gross Salary Before Deductions],ROW()-ROW(Payslip_Lookup[#Headers])))</f>
        <v/>
      </c>
      <c r="U213" s="176" t="str">
        <f aca="false">IF(INDEX(Salary_Calculation[Source Row],ROW()-ROW(Payslip_Lookup[#Headers]))="","",INDEX(Salary_Calculation[missed_days_penalty],ROW()-ROW(Payslip_Lookup[#Headers])))</f>
        <v/>
      </c>
      <c r="V213" s="176" t="str">
        <f aca="false">IF(INDEX(Salary_Calculation[Source Row],ROW()-ROW(Payslip_Lookup[#Headers]))="","",INDEX(Salary_Calculation[Rider Balance],ROW()-ROW(Payslip_Lookup[#Headers])))</f>
        <v/>
      </c>
      <c r="W213" s="176" t="str">
        <f aca="false">IF(INDEX(Salary_Calculation[Source Row],ROW()-ROW(Payslip_Lookup[#Headers]))="","",INDEX(Salary_Calculation[stacking_deduction],ROW()-ROW(Payslip_Lookup[#Headers])))</f>
        <v/>
      </c>
      <c r="X213" s="176" t="str">
        <f aca="false">IF(INDEX(Salary_Calculation[Source Row],ROW()-ROW(Payslip_Lookup[#Headers]))="","",INDEX(Salary_Calculation[Other Deductions],ROW()-ROW(Payslip_Lookup[#Headers])))</f>
        <v/>
      </c>
      <c r="Y213" s="176" t="str">
        <f aca="false">IF(INDEX(Salary_Calculation[Source Row],ROW()-ROW(Payslip_Lookup[#Headers]))="","",INDEX(Salary_Calculation[Total Deductions],ROW()-ROW(Payslip_Lookup[#Headers])))</f>
        <v/>
      </c>
      <c r="Z213" s="176" t="str">
        <f aca="false">IF(INDEX(Salary_Calculation[Source Row],ROW()-ROW(Payslip_Lookup[#Headers]))="","",INDEX(Salary_Calculation[Final Salary],ROW()-ROW(Payslip_Lookup[#Headers])))</f>
        <v/>
      </c>
      <c r="AA213" s="176" t="str">
        <f aca="false">IF(INDEX(Salary_Calculation[Source Row],ROW()-ROW(Payslip_Lookup[#Headers]))="","",INDEX(Salary_Calculation[Negative Balance / Amount Due from Rider],ROW()-ROW(Payslip_Lookup[#Headers])))</f>
        <v/>
      </c>
      <c r="AB213" s="176" t="str">
        <f aca="false">IF(INDEX(Salary_Calculation[Source Row],ROW()-ROW(Payslip_Lookup[#Headers]))="","",INDEX(Salary_Calculation[Total Amount Due from Rider],ROW()-ROW(Payslip_Lookup[#Headers])))</f>
        <v/>
      </c>
      <c r="AC213" s="176" t="str">
        <f aca="false">IF(INDEX(Salary_Calculation[Source Row],ROW()-ROW(Payslip_Lookup[#Headers]))="","",INDEX(Salary_Calculation[Salary Before Other Deductions],ROW()-ROW(Payslip_Lookup[#Headers])))</f>
        <v/>
      </c>
      <c r="AD213" s="171" t="str">
        <f aca="false">IF(INDEX(Salary_Calculation[Source Row],ROW()-ROW(Payslip_Lookup[#Headers]))="","",INDEX(Salary_Calculation[Payment Status],ROW()-ROW(Payslip_Lookup[#Headers])))</f>
        <v/>
      </c>
      <c r="AE213" s="171" t="str">
        <f aca="false">IF(INDEX(Salary_Calculation[Source Row],ROW()-ROW(Payslip_Lookup[#Headers]))="","",INDEX(Salary_Calculation[Notes],ROW()-ROW(Payslip_Lookup[#Headers])))</f>
        <v/>
      </c>
      <c r="AF213" s="171" t="str">
        <f aca="false">IF(INDEX(Salary_Calculation[Source Row],ROW()-ROW(Payslip_Lookup[#Headers]))="","",INDEX(Salary_Calculation[Exception Reason],ROW()-ROW(Payslip_Lookup[#Headers])))</f>
        <v/>
      </c>
      <c r="AG213" s="173" t="str">
        <f aca="false">IF($AD213="Review Required",COUNTIF(AD$2:AD213,"Review Required"),"")</f>
        <v/>
      </c>
      <c r="AH213" s="173" t="str">
        <f aca="false">IF(AND($D213&lt;&gt;"",$B213=Payslip_Print!$C$2),MAX(AH$1:AH212)+1,"")</f>
        <v/>
      </c>
      <c r="AL213" s="178" t="str">
        <f aca="false">IFERROR(INDEX($D$2:$D$501,MATCH(ROW()-1,$AH$2:$AH$501,0)),"")</f>
        <v/>
      </c>
      <c r="AM213" s="179" t="str">
        <f aca="false">IF($Z213="","",IF(AND($C213&gt;=Dash_Start,$C213&lt;Dash_End),$Z213+ROW()/10000000,""))</f>
        <v/>
      </c>
    </row>
    <row r="214" customFormat="false" ht="14.25" hidden="false" customHeight="false" outlineLevel="0" collapsed="false">
      <c r="A214" s="171" t="str">
        <f aca="false">IF(Payslip_Lookup[[#This Row],[Rider ID]]="","",Payslip_Lookup[[#This Row],[Rider ID]]&amp;"|"&amp;Payslip_Lookup[[#This Row],[Month Key]])</f>
        <v/>
      </c>
      <c r="B214" s="172" t="str">
        <f aca="false">IF(ISNUMBER(Payslip_Lookup[[#This Row],[Salary Month]]),DATE(YEAR(Payslip_Lookup[[#This Row],[Salary Month]]),MONTH(Payslip_Lookup[[#This Row],[Salary Month]]),1),"")</f>
        <v/>
      </c>
      <c r="C214" s="172" t="str">
        <f aca="false">IF(INDEX(Salary_Calculation[Source Row],ROW()-ROW(Payslip_Lookup[#Headers]))="","",INDEX(Salary_Calculation[Salary Month],ROW()-ROW(Payslip_Lookup[#Headers])))</f>
        <v/>
      </c>
      <c r="D214" s="173" t="str">
        <f aca="false">IF(INDEX(Salary_Calculation[Source Row],ROW()-ROW(Payslip_Lookup[#Headers]))="","",INDEX(Salary_Calculation[Rider ID],ROW()-ROW(Payslip_Lookup[#Headers])))</f>
        <v/>
      </c>
      <c r="E214" s="171" t="str">
        <f aca="false">IF(INDEX(Salary_Calculation[Source Row],ROW()-ROW(Payslip_Lookup[#Headers]))="","",INDEX(Salary_Calculation[Rider Name],ROW()-ROW(Payslip_Lookup[#Headers])))</f>
        <v/>
      </c>
      <c r="F214" s="173" t="str">
        <f aca="false">IF(INDEX(Salary_Calculation[Source Row],ROW()-ROW(Payslip_Lookup[#Headers]))="","",INDEX(Salary_Calculation[Working Days],ROW()-ROW(Payslip_Lookup[#Headers])))</f>
        <v/>
      </c>
      <c r="G214" s="173" t="str">
        <f aca="false">IF(INDEX(Salary_Calculation[Source Row],ROW()-ROW(Payslip_Lookup[#Headers]))="","",INDEX(Salary_Calculation[Calendar Days],ROW()-ROW(Payslip_Lookup[#Headers])))</f>
        <v/>
      </c>
      <c r="H214" s="174" t="str">
        <f aca="false">IF(INDEX(Salary_Calculation[Source Row],ROW()-ROW(Payslip_Lookup[#Headers]))="","",INDEX(Salary_Calculation[Monthly Target Orders],ROW()-ROW(Payslip_Lookup[#Headers])))</f>
        <v/>
      </c>
      <c r="I214" s="174" t="str">
        <f aca="false">IF(INDEX(Salary_Calculation[Source Row],ROW()-ROW(Payslip_Lookup[#Headers]))="","",INDEX(Salary_Calculation[Rider Target Orders],ROW()-ROW(Payslip_Lookup[#Headers])))</f>
        <v/>
      </c>
      <c r="J214" s="175" t="str">
        <f aca="false">IF(INDEX(Salary_Calculation[Source Row],ROW()-ROW(Payslip_Lookup[#Headers]))="","",INDEX(Salary_Calculation[Completed Orders],ROW()-ROW(Payslip_Lookup[#Headers])))</f>
        <v/>
      </c>
      <c r="K214" s="174" t="str">
        <f aca="false">IF(INDEX(Salary_Calculation[Source Row],ROW()-ROW(Payslip_Lookup[#Headers]))="","",INDEX(Salary_Calculation[Base Order Rate],ROW()-ROW(Payslip_Lookup[#Headers])))</f>
        <v/>
      </c>
      <c r="L214" s="176" t="str">
        <f aca="false">IF(INDEX(Salary_Calculation[Source Row],ROW()-ROW(Payslip_Lookup[#Headers]))="","",INDEX(Salary_Calculation[Basic Payment],ROW()-ROW(Payslip_Lookup[#Headers])))</f>
        <v/>
      </c>
      <c r="M214" s="176" t="str">
        <f aca="false">IF(INDEX(Salary_Calculation[Source Row],ROW()-ROW(Payslip_Lookup[#Headers]))="","",INDEX(Salary_Calculation[Earned Salary],ROW()-ROW(Payslip_Lookup[#Headers])))</f>
        <v/>
      </c>
      <c r="N214" s="174" t="str">
        <f aca="false">IF(INDEX(Salary_Calculation[Source Row],ROW()-ROW(Payslip_Lookup[#Headers]))="","",INDEX(Salary_Calculation[Orders Counted at Base Rate],ROW()-ROW(Payslip_Lookup[#Headers])))</f>
        <v/>
      </c>
      <c r="O214" s="174" t="str">
        <f aca="false">IF(INDEX(Salary_Calculation[Source Row],ROW()-ROW(Payslip_Lookup[#Headers]))="","",INDEX(Salary_Calculation[Missing Orders],ROW()-ROW(Payslip_Lookup[#Headers])))</f>
        <v/>
      </c>
      <c r="P214" s="176" t="str">
        <f aca="false">IF(INDEX(Salary_Calculation[Source Row],ROW()-ROW(Payslip_Lookup[#Headers]))="","",INDEX(Salary_Calculation[Missing-Order Deduction],ROW()-ROW(Payslip_Lookup[#Headers])))</f>
        <v/>
      </c>
      <c r="Q214" s="174" t="str">
        <f aca="false">IF(INDEX(Salary_Calculation[Source Row],ROW()-ROW(Payslip_Lookup[#Headers]))="","",INDEX(Salary_Calculation[Extra Orders],ROW()-ROW(Payslip_Lookup[#Headers])))</f>
        <v/>
      </c>
      <c r="R214" s="176" t="str">
        <f aca="false">IF(INDEX(Salary_Calculation[Source Row],ROW()-ROW(Payslip_Lookup[#Headers]))="","",INDEX(Salary_Calculation[Extra-Order Bonus],ROW()-ROW(Payslip_Lookup[#Headers])))</f>
        <v/>
      </c>
      <c r="S214" s="176" t="str">
        <f aca="false">IF(INDEX(Salary_Calculation[Source Row],ROW()-ROW(Payslip_Lookup[#Headers]))="","",INDEX(Salary_Calculation[Basic Salary for Target],ROW()-ROW(Payslip_Lookup[#Headers])))</f>
        <v/>
      </c>
      <c r="T214" s="176" t="str">
        <f aca="false">IF(INDEX(Salary_Calculation[Source Row],ROW()-ROW(Payslip_Lookup[#Headers]))="","",INDEX(Salary_Calculation[Gross Salary Before Deductions],ROW()-ROW(Payslip_Lookup[#Headers])))</f>
        <v/>
      </c>
      <c r="U214" s="176" t="str">
        <f aca="false">IF(INDEX(Salary_Calculation[Source Row],ROW()-ROW(Payslip_Lookup[#Headers]))="","",INDEX(Salary_Calculation[missed_days_penalty],ROW()-ROW(Payslip_Lookup[#Headers])))</f>
        <v/>
      </c>
      <c r="V214" s="176" t="str">
        <f aca="false">IF(INDEX(Salary_Calculation[Source Row],ROW()-ROW(Payslip_Lookup[#Headers]))="","",INDEX(Salary_Calculation[Rider Balance],ROW()-ROW(Payslip_Lookup[#Headers])))</f>
        <v/>
      </c>
      <c r="W214" s="176" t="str">
        <f aca="false">IF(INDEX(Salary_Calculation[Source Row],ROW()-ROW(Payslip_Lookup[#Headers]))="","",INDEX(Salary_Calculation[stacking_deduction],ROW()-ROW(Payslip_Lookup[#Headers])))</f>
        <v/>
      </c>
      <c r="X214" s="176" t="str">
        <f aca="false">IF(INDEX(Salary_Calculation[Source Row],ROW()-ROW(Payslip_Lookup[#Headers]))="","",INDEX(Salary_Calculation[Other Deductions],ROW()-ROW(Payslip_Lookup[#Headers])))</f>
        <v/>
      </c>
      <c r="Y214" s="176" t="str">
        <f aca="false">IF(INDEX(Salary_Calculation[Source Row],ROW()-ROW(Payslip_Lookup[#Headers]))="","",INDEX(Salary_Calculation[Total Deductions],ROW()-ROW(Payslip_Lookup[#Headers])))</f>
        <v/>
      </c>
      <c r="Z214" s="176" t="str">
        <f aca="false">IF(INDEX(Salary_Calculation[Source Row],ROW()-ROW(Payslip_Lookup[#Headers]))="","",INDEX(Salary_Calculation[Final Salary],ROW()-ROW(Payslip_Lookup[#Headers])))</f>
        <v/>
      </c>
      <c r="AA214" s="176" t="str">
        <f aca="false">IF(INDEX(Salary_Calculation[Source Row],ROW()-ROW(Payslip_Lookup[#Headers]))="","",INDEX(Salary_Calculation[Negative Balance / Amount Due from Rider],ROW()-ROW(Payslip_Lookup[#Headers])))</f>
        <v/>
      </c>
      <c r="AB214" s="176" t="str">
        <f aca="false">IF(INDEX(Salary_Calculation[Source Row],ROW()-ROW(Payslip_Lookup[#Headers]))="","",INDEX(Salary_Calculation[Total Amount Due from Rider],ROW()-ROW(Payslip_Lookup[#Headers])))</f>
        <v/>
      </c>
      <c r="AC214" s="176" t="str">
        <f aca="false">IF(INDEX(Salary_Calculation[Source Row],ROW()-ROW(Payslip_Lookup[#Headers]))="","",INDEX(Salary_Calculation[Salary Before Other Deductions],ROW()-ROW(Payslip_Lookup[#Headers])))</f>
        <v/>
      </c>
      <c r="AD214" s="171" t="str">
        <f aca="false">IF(INDEX(Salary_Calculation[Source Row],ROW()-ROW(Payslip_Lookup[#Headers]))="","",INDEX(Salary_Calculation[Payment Status],ROW()-ROW(Payslip_Lookup[#Headers])))</f>
        <v/>
      </c>
      <c r="AE214" s="171" t="str">
        <f aca="false">IF(INDEX(Salary_Calculation[Source Row],ROW()-ROW(Payslip_Lookup[#Headers]))="","",INDEX(Salary_Calculation[Notes],ROW()-ROW(Payslip_Lookup[#Headers])))</f>
        <v/>
      </c>
      <c r="AF214" s="171" t="str">
        <f aca="false">IF(INDEX(Salary_Calculation[Source Row],ROW()-ROW(Payslip_Lookup[#Headers]))="","",INDEX(Salary_Calculation[Exception Reason],ROW()-ROW(Payslip_Lookup[#Headers])))</f>
        <v/>
      </c>
      <c r="AG214" s="173" t="str">
        <f aca="false">IF($AD214="Review Required",COUNTIF(AD$2:AD214,"Review Required"),"")</f>
        <v/>
      </c>
      <c r="AH214" s="173" t="str">
        <f aca="false">IF(AND($D214&lt;&gt;"",$B214=Payslip_Print!$C$2),MAX(AH$1:AH213)+1,"")</f>
        <v/>
      </c>
      <c r="AL214" s="178" t="str">
        <f aca="false">IFERROR(INDEX($D$2:$D$501,MATCH(ROW()-1,$AH$2:$AH$501,0)),"")</f>
        <v/>
      </c>
      <c r="AM214" s="179" t="str">
        <f aca="false">IF($Z214="","",IF(AND($C214&gt;=Dash_Start,$C214&lt;Dash_End),$Z214+ROW()/10000000,""))</f>
        <v/>
      </c>
    </row>
    <row r="215" customFormat="false" ht="14.25" hidden="false" customHeight="false" outlineLevel="0" collapsed="false">
      <c r="A215" s="171" t="str">
        <f aca="false">IF(Payslip_Lookup[[#This Row],[Rider ID]]="","",Payslip_Lookup[[#This Row],[Rider ID]]&amp;"|"&amp;Payslip_Lookup[[#This Row],[Month Key]])</f>
        <v/>
      </c>
      <c r="B215" s="172" t="str">
        <f aca="false">IF(ISNUMBER(Payslip_Lookup[[#This Row],[Salary Month]]),DATE(YEAR(Payslip_Lookup[[#This Row],[Salary Month]]),MONTH(Payslip_Lookup[[#This Row],[Salary Month]]),1),"")</f>
        <v/>
      </c>
      <c r="C215" s="172" t="str">
        <f aca="false">IF(INDEX(Salary_Calculation[Source Row],ROW()-ROW(Payslip_Lookup[#Headers]))="","",INDEX(Salary_Calculation[Salary Month],ROW()-ROW(Payslip_Lookup[#Headers])))</f>
        <v/>
      </c>
      <c r="D215" s="173" t="str">
        <f aca="false">IF(INDEX(Salary_Calculation[Source Row],ROW()-ROW(Payslip_Lookup[#Headers]))="","",INDEX(Salary_Calculation[Rider ID],ROW()-ROW(Payslip_Lookup[#Headers])))</f>
        <v/>
      </c>
      <c r="E215" s="171" t="str">
        <f aca="false">IF(INDEX(Salary_Calculation[Source Row],ROW()-ROW(Payslip_Lookup[#Headers]))="","",INDEX(Salary_Calculation[Rider Name],ROW()-ROW(Payslip_Lookup[#Headers])))</f>
        <v/>
      </c>
      <c r="F215" s="173" t="str">
        <f aca="false">IF(INDEX(Salary_Calculation[Source Row],ROW()-ROW(Payslip_Lookup[#Headers]))="","",INDEX(Salary_Calculation[Working Days],ROW()-ROW(Payslip_Lookup[#Headers])))</f>
        <v/>
      </c>
      <c r="G215" s="173" t="str">
        <f aca="false">IF(INDEX(Salary_Calculation[Source Row],ROW()-ROW(Payslip_Lookup[#Headers]))="","",INDEX(Salary_Calculation[Calendar Days],ROW()-ROW(Payslip_Lookup[#Headers])))</f>
        <v/>
      </c>
      <c r="H215" s="174" t="str">
        <f aca="false">IF(INDEX(Salary_Calculation[Source Row],ROW()-ROW(Payslip_Lookup[#Headers]))="","",INDEX(Salary_Calculation[Monthly Target Orders],ROW()-ROW(Payslip_Lookup[#Headers])))</f>
        <v/>
      </c>
      <c r="I215" s="174" t="str">
        <f aca="false">IF(INDEX(Salary_Calculation[Source Row],ROW()-ROW(Payslip_Lookup[#Headers]))="","",INDEX(Salary_Calculation[Rider Target Orders],ROW()-ROW(Payslip_Lookup[#Headers])))</f>
        <v/>
      </c>
      <c r="J215" s="175" t="str">
        <f aca="false">IF(INDEX(Salary_Calculation[Source Row],ROW()-ROW(Payslip_Lookup[#Headers]))="","",INDEX(Salary_Calculation[Completed Orders],ROW()-ROW(Payslip_Lookup[#Headers])))</f>
        <v/>
      </c>
      <c r="K215" s="174" t="str">
        <f aca="false">IF(INDEX(Salary_Calculation[Source Row],ROW()-ROW(Payslip_Lookup[#Headers]))="","",INDEX(Salary_Calculation[Base Order Rate],ROW()-ROW(Payslip_Lookup[#Headers])))</f>
        <v/>
      </c>
      <c r="L215" s="176" t="str">
        <f aca="false">IF(INDEX(Salary_Calculation[Source Row],ROW()-ROW(Payslip_Lookup[#Headers]))="","",INDEX(Salary_Calculation[Basic Payment],ROW()-ROW(Payslip_Lookup[#Headers])))</f>
        <v/>
      </c>
      <c r="M215" s="176" t="str">
        <f aca="false">IF(INDEX(Salary_Calculation[Source Row],ROW()-ROW(Payslip_Lookup[#Headers]))="","",INDEX(Salary_Calculation[Earned Salary],ROW()-ROW(Payslip_Lookup[#Headers])))</f>
        <v/>
      </c>
      <c r="N215" s="174" t="str">
        <f aca="false">IF(INDEX(Salary_Calculation[Source Row],ROW()-ROW(Payslip_Lookup[#Headers]))="","",INDEX(Salary_Calculation[Orders Counted at Base Rate],ROW()-ROW(Payslip_Lookup[#Headers])))</f>
        <v/>
      </c>
      <c r="O215" s="174" t="str">
        <f aca="false">IF(INDEX(Salary_Calculation[Source Row],ROW()-ROW(Payslip_Lookup[#Headers]))="","",INDEX(Salary_Calculation[Missing Orders],ROW()-ROW(Payslip_Lookup[#Headers])))</f>
        <v/>
      </c>
      <c r="P215" s="176" t="str">
        <f aca="false">IF(INDEX(Salary_Calculation[Source Row],ROW()-ROW(Payslip_Lookup[#Headers]))="","",INDEX(Salary_Calculation[Missing-Order Deduction],ROW()-ROW(Payslip_Lookup[#Headers])))</f>
        <v/>
      </c>
      <c r="Q215" s="174" t="str">
        <f aca="false">IF(INDEX(Salary_Calculation[Source Row],ROW()-ROW(Payslip_Lookup[#Headers]))="","",INDEX(Salary_Calculation[Extra Orders],ROW()-ROW(Payslip_Lookup[#Headers])))</f>
        <v/>
      </c>
      <c r="R215" s="176" t="str">
        <f aca="false">IF(INDEX(Salary_Calculation[Source Row],ROW()-ROW(Payslip_Lookup[#Headers]))="","",INDEX(Salary_Calculation[Extra-Order Bonus],ROW()-ROW(Payslip_Lookup[#Headers])))</f>
        <v/>
      </c>
      <c r="S215" s="176" t="str">
        <f aca="false">IF(INDEX(Salary_Calculation[Source Row],ROW()-ROW(Payslip_Lookup[#Headers]))="","",INDEX(Salary_Calculation[Basic Salary for Target],ROW()-ROW(Payslip_Lookup[#Headers])))</f>
        <v/>
      </c>
      <c r="T215" s="176" t="str">
        <f aca="false">IF(INDEX(Salary_Calculation[Source Row],ROW()-ROW(Payslip_Lookup[#Headers]))="","",INDEX(Salary_Calculation[Gross Salary Before Deductions],ROW()-ROW(Payslip_Lookup[#Headers])))</f>
        <v/>
      </c>
      <c r="U215" s="176" t="str">
        <f aca="false">IF(INDEX(Salary_Calculation[Source Row],ROW()-ROW(Payslip_Lookup[#Headers]))="","",INDEX(Salary_Calculation[missed_days_penalty],ROW()-ROW(Payslip_Lookup[#Headers])))</f>
        <v/>
      </c>
      <c r="V215" s="176" t="str">
        <f aca="false">IF(INDEX(Salary_Calculation[Source Row],ROW()-ROW(Payslip_Lookup[#Headers]))="","",INDEX(Salary_Calculation[Rider Balance],ROW()-ROW(Payslip_Lookup[#Headers])))</f>
        <v/>
      </c>
      <c r="W215" s="176" t="str">
        <f aca="false">IF(INDEX(Salary_Calculation[Source Row],ROW()-ROW(Payslip_Lookup[#Headers]))="","",INDEX(Salary_Calculation[stacking_deduction],ROW()-ROW(Payslip_Lookup[#Headers])))</f>
        <v/>
      </c>
      <c r="X215" s="176" t="str">
        <f aca="false">IF(INDEX(Salary_Calculation[Source Row],ROW()-ROW(Payslip_Lookup[#Headers]))="","",INDEX(Salary_Calculation[Other Deductions],ROW()-ROW(Payslip_Lookup[#Headers])))</f>
        <v/>
      </c>
      <c r="Y215" s="176" t="str">
        <f aca="false">IF(INDEX(Salary_Calculation[Source Row],ROW()-ROW(Payslip_Lookup[#Headers]))="","",INDEX(Salary_Calculation[Total Deductions],ROW()-ROW(Payslip_Lookup[#Headers])))</f>
        <v/>
      </c>
      <c r="Z215" s="176" t="str">
        <f aca="false">IF(INDEX(Salary_Calculation[Source Row],ROW()-ROW(Payslip_Lookup[#Headers]))="","",INDEX(Salary_Calculation[Final Salary],ROW()-ROW(Payslip_Lookup[#Headers])))</f>
        <v/>
      </c>
      <c r="AA215" s="176" t="str">
        <f aca="false">IF(INDEX(Salary_Calculation[Source Row],ROW()-ROW(Payslip_Lookup[#Headers]))="","",INDEX(Salary_Calculation[Negative Balance / Amount Due from Rider],ROW()-ROW(Payslip_Lookup[#Headers])))</f>
        <v/>
      </c>
      <c r="AB215" s="176" t="str">
        <f aca="false">IF(INDEX(Salary_Calculation[Source Row],ROW()-ROW(Payslip_Lookup[#Headers]))="","",INDEX(Salary_Calculation[Total Amount Due from Rider],ROW()-ROW(Payslip_Lookup[#Headers])))</f>
        <v/>
      </c>
      <c r="AC215" s="176" t="str">
        <f aca="false">IF(INDEX(Salary_Calculation[Source Row],ROW()-ROW(Payslip_Lookup[#Headers]))="","",INDEX(Salary_Calculation[Salary Before Other Deductions],ROW()-ROW(Payslip_Lookup[#Headers])))</f>
        <v/>
      </c>
      <c r="AD215" s="171" t="str">
        <f aca="false">IF(INDEX(Salary_Calculation[Source Row],ROW()-ROW(Payslip_Lookup[#Headers]))="","",INDEX(Salary_Calculation[Payment Status],ROW()-ROW(Payslip_Lookup[#Headers])))</f>
        <v/>
      </c>
      <c r="AE215" s="171" t="str">
        <f aca="false">IF(INDEX(Salary_Calculation[Source Row],ROW()-ROW(Payslip_Lookup[#Headers]))="","",INDEX(Salary_Calculation[Notes],ROW()-ROW(Payslip_Lookup[#Headers])))</f>
        <v/>
      </c>
      <c r="AF215" s="171" t="str">
        <f aca="false">IF(INDEX(Salary_Calculation[Source Row],ROW()-ROW(Payslip_Lookup[#Headers]))="","",INDEX(Salary_Calculation[Exception Reason],ROW()-ROW(Payslip_Lookup[#Headers])))</f>
        <v/>
      </c>
      <c r="AG215" s="173" t="str">
        <f aca="false">IF($AD215="Review Required",COUNTIF(AD$2:AD215,"Review Required"),"")</f>
        <v/>
      </c>
      <c r="AH215" s="173" t="str">
        <f aca="false">IF(AND($D215&lt;&gt;"",$B215=Payslip_Print!$C$2),MAX(AH$1:AH214)+1,"")</f>
        <v/>
      </c>
      <c r="AL215" s="178" t="str">
        <f aca="false">IFERROR(INDEX($D$2:$D$501,MATCH(ROW()-1,$AH$2:$AH$501,0)),"")</f>
        <v/>
      </c>
      <c r="AM215" s="179" t="str">
        <f aca="false">IF($Z215="","",IF(AND($C215&gt;=Dash_Start,$C215&lt;Dash_End),$Z215+ROW()/10000000,""))</f>
        <v/>
      </c>
    </row>
    <row r="216" customFormat="false" ht="14.25" hidden="false" customHeight="false" outlineLevel="0" collapsed="false">
      <c r="A216" s="171" t="str">
        <f aca="false">IF(Payslip_Lookup[[#This Row],[Rider ID]]="","",Payslip_Lookup[[#This Row],[Rider ID]]&amp;"|"&amp;Payslip_Lookup[[#This Row],[Month Key]])</f>
        <v/>
      </c>
      <c r="B216" s="172" t="str">
        <f aca="false">IF(ISNUMBER(Payslip_Lookup[[#This Row],[Salary Month]]),DATE(YEAR(Payslip_Lookup[[#This Row],[Salary Month]]),MONTH(Payslip_Lookup[[#This Row],[Salary Month]]),1),"")</f>
        <v/>
      </c>
      <c r="C216" s="172" t="str">
        <f aca="false">IF(INDEX(Salary_Calculation[Source Row],ROW()-ROW(Payslip_Lookup[#Headers]))="","",INDEX(Salary_Calculation[Salary Month],ROW()-ROW(Payslip_Lookup[#Headers])))</f>
        <v/>
      </c>
      <c r="D216" s="173" t="str">
        <f aca="false">IF(INDEX(Salary_Calculation[Source Row],ROW()-ROW(Payslip_Lookup[#Headers]))="","",INDEX(Salary_Calculation[Rider ID],ROW()-ROW(Payslip_Lookup[#Headers])))</f>
        <v/>
      </c>
      <c r="E216" s="171" t="str">
        <f aca="false">IF(INDEX(Salary_Calculation[Source Row],ROW()-ROW(Payslip_Lookup[#Headers]))="","",INDEX(Salary_Calculation[Rider Name],ROW()-ROW(Payslip_Lookup[#Headers])))</f>
        <v/>
      </c>
      <c r="F216" s="173" t="str">
        <f aca="false">IF(INDEX(Salary_Calculation[Source Row],ROW()-ROW(Payslip_Lookup[#Headers]))="","",INDEX(Salary_Calculation[Working Days],ROW()-ROW(Payslip_Lookup[#Headers])))</f>
        <v/>
      </c>
      <c r="G216" s="173" t="str">
        <f aca="false">IF(INDEX(Salary_Calculation[Source Row],ROW()-ROW(Payslip_Lookup[#Headers]))="","",INDEX(Salary_Calculation[Calendar Days],ROW()-ROW(Payslip_Lookup[#Headers])))</f>
        <v/>
      </c>
      <c r="H216" s="174" t="str">
        <f aca="false">IF(INDEX(Salary_Calculation[Source Row],ROW()-ROW(Payslip_Lookup[#Headers]))="","",INDEX(Salary_Calculation[Monthly Target Orders],ROW()-ROW(Payslip_Lookup[#Headers])))</f>
        <v/>
      </c>
      <c r="I216" s="174" t="str">
        <f aca="false">IF(INDEX(Salary_Calculation[Source Row],ROW()-ROW(Payslip_Lookup[#Headers]))="","",INDEX(Salary_Calculation[Rider Target Orders],ROW()-ROW(Payslip_Lookup[#Headers])))</f>
        <v/>
      </c>
      <c r="J216" s="175" t="str">
        <f aca="false">IF(INDEX(Salary_Calculation[Source Row],ROW()-ROW(Payslip_Lookup[#Headers]))="","",INDEX(Salary_Calculation[Completed Orders],ROW()-ROW(Payslip_Lookup[#Headers])))</f>
        <v/>
      </c>
      <c r="K216" s="174" t="str">
        <f aca="false">IF(INDEX(Salary_Calculation[Source Row],ROW()-ROW(Payslip_Lookup[#Headers]))="","",INDEX(Salary_Calculation[Base Order Rate],ROW()-ROW(Payslip_Lookup[#Headers])))</f>
        <v/>
      </c>
      <c r="L216" s="176" t="str">
        <f aca="false">IF(INDEX(Salary_Calculation[Source Row],ROW()-ROW(Payslip_Lookup[#Headers]))="","",INDEX(Salary_Calculation[Basic Payment],ROW()-ROW(Payslip_Lookup[#Headers])))</f>
        <v/>
      </c>
      <c r="M216" s="176" t="str">
        <f aca="false">IF(INDEX(Salary_Calculation[Source Row],ROW()-ROW(Payslip_Lookup[#Headers]))="","",INDEX(Salary_Calculation[Earned Salary],ROW()-ROW(Payslip_Lookup[#Headers])))</f>
        <v/>
      </c>
      <c r="N216" s="174" t="str">
        <f aca="false">IF(INDEX(Salary_Calculation[Source Row],ROW()-ROW(Payslip_Lookup[#Headers]))="","",INDEX(Salary_Calculation[Orders Counted at Base Rate],ROW()-ROW(Payslip_Lookup[#Headers])))</f>
        <v/>
      </c>
      <c r="O216" s="174" t="str">
        <f aca="false">IF(INDEX(Salary_Calculation[Source Row],ROW()-ROW(Payslip_Lookup[#Headers]))="","",INDEX(Salary_Calculation[Missing Orders],ROW()-ROW(Payslip_Lookup[#Headers])))</f>
        <v/>
      </c>
      <c r="P216" s="176" t="str">
        <f aca="false">IF(INDEX(Salary_Calculation[Source Row],ROW()-ROW(Payslip_Lookup[#Headers]))="","",INDEX(Salary_Calculation[Missing-Order Deduction],ROW()-ROW(Payslip_Lookup[#Headers])))</f>
        <v/>
      </c>
      <c r="Q216" s="174" t="str">
        <f aca="false">IF(INDEX(Salary_Calculation[Source Row],ROW()-ROW(Payslip_Lookup[#Headers]))="","",INDEX(Salary_Calculation[Extra Orders],ROW()-ROW(Payslip_Lookup[#Headers])))</f>
        <v/>
      </c>
      <c r="R216" s="176" t="str">
        <f aca="false">IF(INDEX(Salary_Calculation[Source Row],ROW()-ROW(Payslip_Lookup[#Headers]))="","",INDEX(Salary_Calculation[Extra-Order Bonus],ROW()-ROW(Payslip_Lookup[#Headers])))</f>
        <v/>
      </c>
      <c r="S216" s="176" t="str">
        <f aca="false">IF(INDEX(Salary_Calculation[Source Row],ROW()-ROW(Payslip_Lookup[#Headers]))="","",INDEX(Salary_Calculation[Basic Salary for Target],ROW()-ROW(Payslip_Lookup[#Headers])))</f>
        <v/>
      </c>
      <c r="T216" s="176" t="str">
        <f aca="false">IF(INDEX(Salary_Calculation[Source Row],ROW()-ROW(Payslip_Lookup[#Headers]))="","",INDEX(Salary_Calculation[Gross Salary Before Deductions],ROW()-ROW(Payslip_Lookup[#Headers])))</f>
        <v/>
      </c>
      <c r="U216" s="176" t="str">
        <f aca="false">IF(INDEX(Salary_Calculation[Source Row],ROW()-ROW(Payslip_Lookup[#Headers]))="","",INDEX(Salary_Calculation[missed_days_penalty],ROW()-ROW(Payslip_Lookup[#Headers])))</f>
        <v/>
      </c>
      <c r="V216" s="176" t="str">
        <f aca="false">IF(INDEX(Salary_Calculation[Source Row],ROW()-ROW(Payslip_Lookup[#Headers]))="","",INDEX(Salary_Calculation[Rider Balance],ROW()-ROW(Payslip_Lookup[#Headers])))</f>
        <v/>
      </c>
      <c r="W216" s="176" t="str">
        <f aca="false">IF(INDEX(Salary_Calculation[Source Row],ROW()-ROW(Payslip_Lookup[#Headers]))="","",INDEX(Salary_Calculation[stacking_deduction],ROW()-ROW(Payslip_Lookup[#Headers])))</f>
        <v/>
      </c>
      <c r="X216" s="176" t="str">
        <f aca="false">IF(INDEX(Salary_Calculation[Source Row],ROW()-ROW(Payslip_Lookup[#Headers]))="","",INDEX(Salary_Calculation[Other Deductions],ROW()-ROW(Payslip_Lookup[#Headers])))</f>
        <v/>
      </c>
      <c r="Y216" s="176" t="str">
        <f aca="false">IF(INDEX(Salary_Calculation[Source Row],ROW()-ROW(Payslip_Lookup[#Headers]))="","",INDEX(Salary_Calculation[Total Deductions],ROW()-ROW(Payslip_Lookup[#Headers])))</f>
        <v/>
      </c>
      <c r="Z216" s="176" t="str">
        <f aca="false">IF(INDEX(Salary_Calculation[Source Row],ROW()-ROW(Payslip_Lookup[#Headers]))="","",INDEX(Salary_Calculation[Final Salary],ROW()-ROW(Payslip_Lookup[#Headers])))</f>
        <v/>
      </c>
      <c r="AA216" s="176" t="str">
        <f aca="false">IF(INDEX(Salary_Calculation[Source Row],ROW()-ROW(Payslip_Lookup[#Headers]))="","",INDEX(Salary_Calculation[Negative Balance / Amount Due from Rider],ROW()-ROW(Payslip_Lookup[#Headers])))</f>
        <v/>
      </c>
      <c r="AB216" s="176" t="str">
        <f aca="false">IF(INDEX(Salary_Calculation[Source Row],ROW()-ROW(Payslip_Lookup[#Headers]))="","",INDEX(Salary_Calculation[Total Amount Due from Rider],ROW()-ROW(Payslip_Lookup[#Headers])))</f>
        <v/>
      </c>
      <c r="AC216" s="176" t="str">
        <f aca="false">IF(INDEX(Salary_Calculation[Source Row],ROW()-ROW(Payslip_Lookup[#Headers]))="","",INDEX(Salary_Calculation[Salary Before Other Deductions],ROW()-ROW(Payslip_Lookup[#Headers])))</f>
        <v/>
      </c>
      <c r="AD216" s="171" t="str">
        <f aca="false">IF(INDEX(Salary_Calculation[Source Row],ROW()-ROW(Payslip_Lookup[#Headers]))="","",INDEX(Salary_Calculation[Payment Status],ROW()-ROW(Payslip_Lookup[#Headers])))</f>
        <v/>
      </c>
      <c r="AE216" s="171" t="str">
        <f aca="false">IF(INDEX(Salary_Calculation[Source Row],ROW()-ROW(Payslip_Lookup[#Headers]))="","",INDEX(Salary_Calculation[Notes],ROW()-ROW(Payslip_Lookup[#Headers])))</f>
        <v/>
      </c>
      <c r="AF216" s="171" t="str">
        <f aca="false">IF(INDEX(Salary_Calculation[Source Row],ROW()-ROW(Payslip_Lookup[#Headers]))="","",INDEX(Salary_Calculation[Exception Reason],ROW()-ROW(Payslip_Lookup[#Headers])))</f>
        <v/>
      </c>
      <c r="AG216" s="173" t="str">
        <f aca="false">IF($AD216="Review Required",COUNTIF(AD$2:AD216,"Review Required"),"")</f>
        <v/>
      </c>
      <c r="AH216" s="173" t="str">
        <f aca="false">IF(AND($D216&lt;&gt;"",$B216=Payslip_Print!$C$2),MAX(AH$1:AH215)+1,"")</f>
        <v/>
      </c>
      <c r="AL216" s="178" t="str">
        <f aca="false">IFERROR(INDEX($D$2:$D$501,MATCH(ROW()-1,$AH$2:$AH$501,0)),"")</f>
        <v/>
      </c>
      <c r="AM216" s="179" t="str">
        <f aca="false">IF($Z216="","",IF(AND($C216&gt;=Dash_Start,$C216&lt;Dash_End),$Z216+ROW()/10000000,""))</f>
        <v/>
      </c>
    </row>
    <row r="217" customFormat="false" ht="14.25" hidden="false" customHeight="false" outlineLevel="0" collapsed="false">
      <c r="A217" s="171" t="str">
        <f aca="false">IF(Payslip_Lookup[[#This Row],[Rider ID]]="","",Payslip_Lookup[[#This Row],[Rider ID]]&amp;"|"&amp;Payslip_Lookup[[#This Row],[Month Key]])</f>
        <v/>
      </c>
      <c r="B217" s="172" t="str">
        <f aca="false">IF(ISNUMBER(Payslip_Lookup[[#This Row],[Salary Month]]),DATE(YEAR(Payslip_Lookup[[#This Row],[Salary Month]]),MONTH(Payslip_Lookup[[#This Row],[Salary Month]]),1),"")</f>
        <v/>
      </c>
      <c r="C217" s="172" t="str">
        <f aca="false">IF(INDEX(Salary_Calculation[Source Row],ROW()-ROW(Payslip_Lookup[#Headers]))="","",INDEX(Salary_Calculation[Salary Month],ROW()-ROW(Payslip_Lookup[#Headers])))</f>
        <v/>
      </c>
      <c r="D217" s="173" t="str">
        <f aca="false">IF(INDEX(Salary_Calculation[Source Row],ROW()-ROW(Payslip_Lookup[#Headers]))="","",INDEX(Salary_Calculation[Rider ID],ROW()-ROW(Payslip_Lookup[#Headers])))</f>
        <v/>
      </c>
      <c r="E217" s="171" t="str">
        <f aca="false">IF(INDEX(Salary_Calculation[Source Row],ROW()-ROW(Payslip_Lookup[#Headers]))="","",INDEX(Salary_Calculation[Rider Name],ROW()-ROW(Payslip_Lookup[#Headers])))</f>
        <v/>
      </c>
      <c r="F217" s="173" t="str">
        <f aca="false">IF(INDEX(Salary_Calculation[Source Row],ROW()-ROW(Payslip_Lookup[#Headers]))="","",INDEX(Salary_Calculation[Working Days],ROW()-ROW(Payslip_Lookup[#Headers])))</f>
        <v/>
      </c>
      <c r="G217" s="173" t="str">
        <f aca="false">IF(INDEX(Salary_Calculation[Source Row],ROW()-ROW(Payslip_Lookup[#Headers]))="","",INDEX(Salary_Calculation[Calendar Days],ROW()-ROW(Payslip_Lookup[#Headers])))</f>
        <v/>
      </c>
      <c r="H217" s="174" t="str">
        <f aca="false">IF(INDEX(Salary_Calculation[Source Row],ROW()-ROW(Payslip_Lookup[#Headers]))="","",INDEX(Salary_Calculation[Monthly Target Orders],ROW()-ROW(Payslip_Lookup[#Headers])))</f>
        <v/>
      </c>
      <c r="I217" s="174" t="str">
        <f aca="false">IF(INDEX(Salary_Calculation[Source Row],ROW()-ROW(Payslip_Lookup[#Headers]))="","",INDEX(Salary_Calculation[Rider Target Orders],ROW()-ROW(Payslip_Lookup[#Headers])))</f>
        <v/>
      </c>
      <c r="J217" s="175" t="str">
        <f aca="false">IF(INDEX(Salary_Calculation[Source Row],ROW()-ROW(Payslip_Lookup[#Headers]))="","",INDEX(Salary_Calculation[Completed Orders],ROW()-ROW(Payslip_Lookup[#Headers])))</f>
        <v/>
      </c>
      <c r="K217" s="174" t="str">
        <f aca="false">IF(INDEX(Salary_Calculation[Source Row],ROW()-ROW(Payslip_Lookup[#Headers]))="","",INDEX(Salary_Calculation[Base Order Rate],ROW()-ROW(Payslip_Lookup[#Headers])))</f>
        <v/>
      </c>
      <c r="L217" s="176" t="str">
        <f aca="false">IF(INDEX(Salary_Calculation[Source Row],ROW()-ROW(Payslip_Lookup[#Headers]))="","",INDEX(Salary_Calculation[Basic Payment],ROW()-ROW(Payslip_Lookup[#Headers])))</f>
        <v/>
      </c>
      <c r="M217" s="176" t="str">
        <f aca="false">IF(INDEX(Salary_Calculation[Source Row],ROW()-ROW(Payslip_Lookup[#Headers]))="","",INDEX(Salary_Calculation[Earned Salary],ROW()-ROW(Payslip_Lookup[#Headers])))</f>
        <v/>
      </c>
      <c r="N217" s="174" t="str">
        <f aca="false">IF(INDEX(Salary_Calculation[Source Row],ROW()-ROW(Payslip_Lookup[#Headers]))="","",INDEX(Salary_Calculation[Orders Counted at Base Rate],ROW()-ROW(Payslip_Lookup[#Headers])))</f>
        <v/>
      </c>
      <c r="O217" s="174" t="str">
        <f aca="false">IF(INDEX(Salary_Calculation[Source Row],ROW()-ROW(Payslip_Lookup[#Headers]))="","",INDEX(Salary_Calculation[Missing Orders],ROW()-ROW(Payslip_Lookup[#Headers])))</f>
        <v/>
      </c>
      <c r="P217" s="176" t="str">
        <f aca="false">IF(INDEX(Salary_Calculation[Source Row],ROW()-ROW(Payslip_Lookup[#Headers]))="","",INDEX(Salary_Calculation[Missing-Order Deduction],ROW()-ROW(Payslip_Lookup[#Headers])))</f>
        <v/>
      </c>
      <c r="Q217" s="174" t="str">
        <f aca="false">IF(INDEX(Salary_Calculation[Source Row],ROW()-ROW(Payslip_Lookup[#Headers]))="","",INDEX(Salary_Calculation[Extra Orders],ROW()-ROW(Payslip_Lookup[#Headers])))</f>
        <v/>
      </c>
      <c r="R217" s="176" t="str">
        <f aca="false">IF(INDEX(Salary_Calculation[Source Row],ROW()-ROW(Payslip_Lookup[#Headers]))="","",INDEX(Salary_Calculation[Extra-Order Bonus],ROW()-ROW(Payslip_Lookup[#Headers])))</f>
        <v/>
      </c>
      <c r="S217" s="176" t="str">
        <f aca="false">IF(INDEX(Salary_Calculation[Source Row],ROW()-ROW(Payslip_Lookup[#Headers]))="","",INDEX(Salary_Calculation[Basic Salary for Target],ROW()-ROW(Payslip_Lookup[#Headers])))</f>
        <v/>
      </c>
      <c r="T217" s="176" t="str">
        <f aca="false">IF(INDEX(Salary_Calculation[Source Row],ROW()-ROW(Payslip_Lookup[#Headers]))="","",INDEX(Salary_Calculation[Gross Salary Before Deductions],ROW()-ROW(Payslip_Lookup[#Headers])))</f>
        <v/>
      </c>
      <c r="U217" s="176" t="str">
        <f aca="false">IF(INDEX(Salary_Calculation[Source Row],ROW()-ROW(Payslip_Lookup[#Headers]))="","",INDEX(Salary_Calculation[missed_days_penalty],ROW()-ROW(Payslip_Lookup[#Headers])))</f>
        <v/>
      </c>
      <c r="V217" s="176" t="str">
        <f aca="false">IF(INDEX(Salary_Calculation[Source Row],ROW()-ROW(Payslip_Lookup[#Headers]))="","",INDEX(Salary_Calculation[Rider Balance],ROW()-ROW(Payslip_Lookup[#Headers])))</f>
        <v/>
      </c>
      <c r="W217" s="176" t="str">
        <f aca="false">IF(INDEX(Salary_Calculation[Source Row],ROW()-ROW(Payslip_Lookup[#Headers]))="","",INDEX(Salary_Calculation[stacking_deduction],ROW()-ROW(Payslip_Lookup[#Headers])))</f>
        <v/>
      </c>
      <c r="X217" s="176" t="str">
        <f aca="false">IF(INDEX(Salary_Calculation[Source Row],ROW()-ROW(Payslip_Lookup[#Headers]))="","",INDEX(Salary_Calculation[Other Deductions],ROW()-ROW(Payslip_Lookup[#Headers])))</f>
        <v/>
      </c>
      <c r="Y217" s="176" t="str">
        <f aca="false">IF(INDEX(Salary_Calculation[Source Row],ROW()-ROW(Payslip_Lookup[#Headers]))="","",INDEX(Salary_Calculation[Total Deductions],ROW()-ROW(Payslip_Lookup[#Headers])))</f>
        <v/>
      </c>
      <c r="Z217" s="176" t="str">
        <f aca="false">IF(INDEX(Salary_Calculation[Source Row],ROW()-ROW(Payslip_Lookup[#Headers]))="","",INDEX(Salary_Calculation[Final Salary],ROW()-ROW(Payslip_Lookup[#Headers])))</f>
        <v/>
      </c>
      <c r="AA217" s="176" t="str">
        <f aca="false">IF(INDEX(Salary_Calculation[Source Row],ROW()-ROW(Payslip_Lookup[#Headers]))="","",INDEX(Salary_Calculation[Negative Balance / Amount Due from Rider],ROW()-ROW(Payslip_Lookup[#Headers])))</f>
        <v/>
      </c>
      <c r="AB217" s="176" t="str">
        <f aca="false">IF(INDEX(Salary_Calculation[Source Row],ROW()-ROW(Payslip_Lookup[#Headers]))="","",INDEX(Salary_Calculation[Total Amount Due from Rider],ROW()-ROW(Payslip_Lookup[#Headers])))</f>
        <v/>
      </c>
      <c r="AC217" s="176" t="str">
        <f aca="false">IF(INDEX(Salary_Calculation[Source Row],ROW()-ROW(Payslip_Lookup[#Headers]))="","",INDEX(Salary_Calculation[Salary Before Other Deductions],ROW()-ROW(Payslip_Lookup[#Headers])))</f>
        <v/>
      </c>
      <c r="AD217" s="171" t="str">
        <f aca="false">IF(INDEX(Salary_Calculation[Source Row],ROW()-ROW(Payslip_Lookup[#Headers]))="","",INDEX(Salary_Calculation[Payment Status],ROW()-ROW(Payslip_Lookup[#Headers])))</f>
        <v/>
      </c>
      <c r="AE217" s="171" t="str">
        <f aca="false">IF(INDEX(Salary_Calculation[Source Row],ROW()-ROW(Payslip_Lookup[#Headers]))="","",INDEX(Salary_Calculation[Notes],ROW()-ROW(Payslip_Lookup[#Headers])))</f>
        <v/>
      </c>
      <c r="AF217" s="171" t="str">
        <f aca="false">IF(INDEX(Salary_Calculation[Source Row],ROW()-ROW(Payslip_Lookup[#Headers]))="","",INDEX(Salary_Calculation[Exception Reason],ROW()-ROW(Payslip_Lookup[#Headers])))</f>
        <v/>
      </c>
      <c r="AG217" s="173" t="str">
        <f aca="false">IF($AD217="Review Required",COUNTIF(AD$2:AD217,"Review Required"),"")</f>
        <v/>
      </c>
      <c r="AH217" s="173" t="str">
        <f aca="false">IF(AND($D217&lt;&gt;"",$B217=Payslip_Print!$C$2),MAX(AH$1:AH216)+1,"")</f>
        <v/>
      </c>
      <c r="AL217" s="178" t="str">
        <f aca="false">IFERROR(INDEX($D$2:$D$501,MATCH(ROW()-1,$AH$2:$AH$501,0)),"")</f>
        <v/>
      </c>
      <c r="AM217" s="179" t="str">
        <f aca="false">IF($Z217="","",IF(AND($C217&gt;=Dash_Start,$C217&lt;Dash_End),$Z217+ROW()/10000000,""))</f>
        <v/>
      </c>
    </row>
    <row r="218" customFormat="false" ht="14.25" hidden="false" customHeight="false" outlineLevel="0" collapsed="false">
      <c r="A218" s="171" t="str">
        <f aca="false">IF(Payslip_Lookup[[#This Row],[Rider ID]]="","",Payslip_Lookup[[#This Row],[Rider ID]]&amp;"|"&amp;Payslip_Lookup[[#This Row],[Month Key]])</f>
        <v/>
      </c>
      <c r="B218" s="172" t="str">
        <f aca="false">IF(ISNUMBER(Payslip_Lookup[[#This Row],[Salary Month]]),DATE(YEAR(Payslip_Lookup[[#This Row],[Salary Month]]),MONTH(Payslip_Lookup[[#This Row],[Salary Month]]),1),"")</f>
        <v/>
      </c>
      <c r="C218" s="172" t="str">
        <f aca="false">IF(INDEX(Salary_Calculation[Source Row],ROW()-ROW(Payslip_Lookup[#Headers]))="","",INDEX(Salary_Calculation[Salary Month],ROW()-ROW(Payslip_Lookup[#Headers])))</f>
        <v/>
      </c>
      <c r="D218" s="173" t="str">
        <f aca="false">IF(INDEX(Salary_Calculation[Source Row],ROW()-ROW(Payslip_Lookup[#Headers]))="","",INDEX(Salary_Calculation[Rider ID],ROW()-ROW(Payslip_Lookup[#Headers])))</f>
        <v/>
      </c>
      <c r="E218" s="171" t="str">
        <f aca="false">IF(INDEX(Salary_Calculation[Source Row],ROW()-ROW(Payslip_Lookup[#Headers]))="","",INDEX(Salary_Calculation[Rider Name],ROW()-ROW(Payslip_Lookup[#Headers])))</f>
        <v/>
      </c>
      <c r="F218" s="173" t="str">
        <f aca="false">IF(INDEX(Salary_Calculation[Source Row],ROW()-ROW(Payslip_Lookup[#Headers]))="","",INDEX(Salary_Calculation[Working Days],ROW()-ROW(Payslip_Lookup[#Headers])))</f>
        <v/>
      </c>
      <c r="G218" s="173" t="str">
        <f aca="false">IF(INDEX(Salary_Calculation[Source Row],ROW()-ROW(Payslip_Lookup[#Headers]))="","",INDEX(Salary_Calculation[Calendar Days],ROW()-ROW(Payslip_Lookup[#Headers])))</f>
        <v/>
      </c>
      <c r="H218" s="174" t="str">
        <f aca="false">IF(INDEX(Salary_Calculation[Source Row],ROW()-ROW(Payslip_Lookup[#Headers]))="","",INDEX(Salary_Calculation[Monthly Target Orders],ROW()-ROW(Payslip_Lookup[#Headers])))</f>
        <v/>
      </c>
      <c r="I218" s="174" t="str">
        <f aca="false">IF(INDEX(Salary_Calculation[Source Row],ROW()-ROW(Payslip_Lookup[#Headers]))="","",INDEX(Salary_Calculation[Rider Target Orders],ROW()-ROW(Payslip_Lookup[#Headers])))</f>
        <v/>
      </c>
      <c r="J218" s="175" t="str">
        <f aca="false">IF(INDEX(Salary_Calculation[Source Row],ROW()-ROW(Payslip_Lookup[#Headers]))="","",INDEX(Salary_Calculation[Completed Orders],ROW()-ROW(Payslip_Lookup[#Headers])))</f>
        <v/>
      </c>
      <c r="K218" s="174" t="str">
        <f aca="false">IF(INDEX(Salary_Calculation[Source Row],ROW()-ROW(Payslip_Lookup[#Headers]))="","",INDEX(Salary_Calculation[Base Order Rate],ROW()-ROW(Payslip_Lookup[#Headers])))</f>
        <v/>
      </c>
      <c r="L218" s="176" t="str">
        <f aca="false">IF(INDEX(Salary_Calculation[Source Row],ROW()-ROW(Payslip_Lookup[#Headers]))="","",INDEX(Salary_Calculation[Basic Payment],ROW()-ROW(Payslip_Lookup[#Headers])))</f>
        <v/>
      </c>
      <c r="M218" s="176" t="str">
        <f aca="false">IF(INDEX(Salary_Calculation[Source Row],ROW()-ROW(Payslip_Lookup[#Headers]))="","",INDEX(Salary_Calculation[Earned Salary],ROW()-ROW(Payslip_Lookup[#Headers])))</f>
        <v/>
      </c>
      <c r="N218" s="174" t="str">
        <f aca="false">IF(INDEX(Salary_Calculation[Source Row],ROW()-ROW(Payslip_Lookup[#Headers]))="","",INDEX(Salary_Calculation[Orders Counted at Base Rate],ROW()-ROW(Payslip_Lookup[#Headers])))</f>
        <v/>
      </c>
      <c r="O218" s="174" t="str">
        <f aca="false">IF(INDEX(Salary_Calculation[Source Row],ROW()-ROW(Payslip_Lookup[#Headers]))="","",INDEX(Salary_Calculation[Missing Orders],ROW()-ROW(Payslip_Lookup[#Headers])))</f>
        <v/>
      </c>
      <c r="P218" s="176" t="str">
        <f aca="false">IF(INDEX(Salary_Calculation[Source Row],ROW()-ROW(Payslip_Lookup[#Headers]))="","",INDEX(Salary_Calculation[Missing-Order Deduction],ROW()-ROW(Payslip_Lookup[#Headers])))</f>
        <v/>
      </c>
      <c r="Q218" s="174" t="str">
        <f aca="false">IF(INDEX(Salary_Calculation[Source Row],ROW()-ROW(Payslip_Lookup[#Headers]))="","",INDEX(Salary_Calculation[Extra Orders],ROW()-ROW(Payslip_Lookup[#Headers])))</f>
        <v/>
      </c>
      <c r="R218" s="176" t="str">
        <f aca="false">IF(INDEX(Salary_Calculation[Source Row],ROW()-ROW(Payslip_Lookup[#Headers]))="","",INDEX(Salary_Calculation[Extra-Order Bonus],ROW()-ROW(Payslip_Lookup[#Headers])))</f>
        <v/>
      </c>
      <c r="S218" s="176" t="str">
        <f aca="false">IF(INDEX(Salary_Calculation[Source Row],ROW()-ROW(Payslip_Lookup[#Headers]))="","",INDEX(Salary_Calculation[Basic Salary for Target],ROW()-ROW(Payslip_Lookup[#Headers])))</f>
        <v/>
      </c>
      <c r="T218" s="176" t="str">
        <f aca="false">IF(INDEX(Salary_Calculation[Source Row],ROW()-ROW(Payslip_Lookup[#Headers]))="","",INDEX(Salary_Calculation[Gross Salary Before Deductions],ROW()-ROW(Payslip_Lookup[#Headers])))</f>
        <v/>
      </c>
      <c r="U218" s="176" t="str">
        <f aca="false">IF(INDEX(Salary_Calculation[Source Row],ROW()-ROW(Payslip_Lookup[#Headers]))="","",INDEX(Salary_Calculation[missed_days_penalty],ROW()-ROW(Payslip_Lookup[#Headers])))</f>
        <v/>
      </c>
      <c r="V218" s="176" t="str">
        <f aca="false">IF(INDEX(Salary_Calculation[Source Row],ROW()-ROW(Payslip_Lookup[#Headers]))="","",INDEX(Salary_Calculation[Rider Balance],ROW()-ROW(Payslip_Lookup[#Headers])))</f>
        <v/>
      </c>
      <c r="W218" s="176" t="str">
        <f aca="false">IF(INDEX(Salary_Calculation[Source Row],ROW()-ROW(Payslip_Lookup[#Headers]))="","",INDEX(Salary_Calculation[stacking_deduction],ROW()-ROW(Payslip_Lookup[#Headers])))</f>
        <v/>
      </c>
      <c r="X218" s="176" t="str">
        <f aca="false">IF(INDEX(Salary_Calculation[Source Row],ROW()-ROW(Payslip_Lookup[#Headers]))="","",INDEX(Salary_Calculation[Other Deductions],ROW()-ROW(Payslip_Lookup[#Headers])))</f>
        <v/>
      </c>
      <c r="Y218" s="176" t="str">
        <f aca="false">IF(INDEX(Salary_Calculation[Source Row],ROW()-ROW(Payslip_Lookup[#Headers]))="","",INDEX(Salary_Calculation[Total Deductions],ROW()-ROW(Payslip_Lookup[#Headers])))</f>
        <v/>
      </c>
      <c r="Z218" s="176" t="str">
        <f aca="false">IF(INDEX(Salary_Calculation[Source Row],ROW()-ROW(Payslip_Lookup[#Headers]))="","",INDEX(Salary_Calculation[Final Salary],ROW()-ROW(Payslip_Lookup[#Headers])))</f>
        <v/>
      </c>
      <c r="AA218" s="176" t="str">
        <f aca="false">IF(INDEX(Salary_Calculation[Source Row],ROW()-ROW(Payslip_Lookup[#Headers]))="","",INDEX(Salary_Calculation[Negative Balance / Amount Due from Rider],ROW()-ROW(Payslip_Lookup[#Headers])))</f>
        <v/>
      </c>
      <c r="AB218" s="176" t="str">
        <f aca="false">IF(INDEX(Salary_Calculation[Source Row],ROW()-ROW(Payslip_Lookup[#Headers]))="","",INDEX(Salary_Calculation[Total Amount Due from Rider],ROW()-ROW(Payslip_Lookup[#Headers])))</f>
        <v/>
      </c>
      <c r="AC218" s="176" t="str">
        <f aca="false">IF(INDEX(Salary_Calculation[Source Row],ROW()-ROW(Payslip_Lookup[#Headers]))="","",INDEX(Salary_Calculation[Salary Before Other Deductions],ROW()-ROW(Payslip_Lookup[#Headers])))</f>
        <v/>
      </c>
      <c r="AD218" s="171" t="str">
        <f aca="false">IF(INDEX(Salary_Calculation[Source Row],ROW()-ROW(Payslip_Lookup[#Headers]))="","",INDEX(Salary_Calculation[Payment Status],ROW()-ROW(Payslip_Lookup[#Headers])))</f>
        <v/>
      </c>
      <c r="AE218" s="171" t="str">
        <f aca="false">IF(INDEX(Salary_Calculation[Source Row],ROW()-ROW(Payslip_Lookup[#Headers]))="","",INDEX(Salary_Calculation[Notes],ROW()-ROW(Payslip_Lookup[#Headers])))</f>
        <v/>
      </c>
      <c r="AF218" s="171" t="str">
        <f aca="false">IF(INDEX(Salary_Calculation[Source Row],ROW()-ROW(Payslip_Lookup[#Headers]))="","",INDEX(Salary_Calculation[Exception Reason],ROW()-ROW(Payslip_Lookup[#Headers])))</f>
        <v/>
      </c>
      <c r="AG218" s="173" t="str">
        <f aca="false">IF($AD218="Review Required",COUNTIF(AD$2:AD218,"Review Required"),"")</f>
        <v/>
      </c>
      <c r="AH218" s="173" t="str">
        <f aca="false">IF(AND($D218&lt;&gt;"",$B218=Payslip_Print!$C$2),MAX(AH$1:AH217)+1,"")</f>
        <v/>
      </c>
      <c r="AL218" s="178" t="str">
        <f aca="false">IFERROR(INDEX($D$2:$D$501,MATCH(ROW()-1,$AH$2:$AH$501,0)),"")</f>
        <v/>
      </c>
      <c r="AM218" s="179" t="str">
        <f aca="false">IF($Z218="","",IF(AND($C218&gt;=Dash_Start,$C218&lt;Dash_End),$Z218+ROW()/10000000,""))</f>
        <v/>
      </c>
    </row>
    <row r="219" customFormat="false" ht="14.25" hidden="false" customHeight="false" outlineLevel="0" collapsed="false">
      <c r="A219" s="171" t="str">
        <f aca="false">IF(Payslip_Lookup[[#This Row],[Rider ID]]="","",Payslip_Lookup[[#This Row],[Rider ID]]&amp;"|"&amp;Payslip_Lookup[[#This Row],[Month Key]])</f>
        <v/>
      </c>
      <c r="B219" s="172" t="str">
        <f aca="false">IF(ISNUMBER(Payslip_Lookup[[#This Row],[Salary Month]]),DATE(YEAR(Payslip_Lookup[[#This Row],[Salary Month]]),MONTH(Payslip_Lookup[[#This Row],[Salary Month]]),1),"")</f>
        <v/>
      </c>
      <c r="C219" s="172" t="str">
        <f aca="false">IF(INDEX(Salary_Calculation[Source Row],ROW()-ROW(Payslip_Lookup[#Headers]))="","",INDEX(Salary_Calculation[Salary Month],ROW()-ROW(Payslip_Lookup[#Headers])))</f>
        <v/>
      </c>
      <c r="D219" s="173" t="str">
        <f aca="false">IF(INDEX(Salary_Calculation[Source Row],ROW()-ROW(Payslip_Lookup[#Headers]))="","",INDEX(Salary_Calculation[Rider ID],ROW()-ROW(Payslip_Lookup[#Headers])))</f>
        <v/>
      </c>
      <c r="E219" s="171" t="str">
        <f aca="false">IF(INDEX(Salary_Calculation[Source Row],ROW()-ROW(Payslip_Lookup[#Headers]))="","",INDEX(Salary_Calculation[Rider Name],ROW()-ROW(Payslip_Lookup[#Headers])))</f>
        <v/>
      </c>
      <c r="F219" s="173" t="str">
        <f aca="false">IF(INDEX(Salary_Calculation[Source Row],ROW()-ROW(Payslip_Lookup[#Headers]))="","",INDEX(Salary_Calculation[Working Days],ROW()-ROW(Payslip_Lookup[#Headers])))</f>
        <v/>
      </c>
      <c r="G219" s="173" t="str">
        <f aca="false">IF(INDEX(Salary_Calculation[Source Row],ROW()-ROW(Payslip_Lookup[#Headers]))="","",INDEX(Salary_Calculation[Calendar Days],ROW()-ROW(Payslip_Lookup[#Headers])))</f>
        <v/>
      </c>
      <c r="H219" s="174" t="str">
        <f aca="false">IF(INDEX(Salary_Calculation[Source Row],ROW()-ROW(Payslip_Lookup[#Headers]))="","",INDEX(Salary_Calculation[Monthly Target Orders],ROW()-ROW(Payslip_Lookup[#Headers])))</f>
        <v/>
      </c>
      <c r="I219" s="174" t="str">
        <f aca="false">IF(INDEX(Salary_Calculation[Source Row],ROW()-ROW(Payslip_Lookup[#Headers]))="","",INDEX(Salary_Calculation[Rider Target Orders],ROW()-ROW(Payslip_Lookup[#Headers])))</f>
        <v/>
      </c>
      <c r="J219" s="175" t="str">
        <f aca="false">IF(INDEX(Salary_Calculation[Source Row],ROW()-ROW(Payslip_Lookup[#Headers]))="","",INDEX(Salary_Calculation[Completed Orders],ROW()-ROW(Payslip_Lookup[#Headers])))</f>
        <v/>
      </c>
      <c r="K219" s="174" t="str">
        <f aca="false">IF(INDEX(Salary_Calculation[Source Row],ROW()-ROW(Payslip_Lookup[#Headers]))="","",INDEX(Salary_Calculation[Base Order Rate],ROW()-ROW(Payslip_Lookup[#Headers])))</f>
        <v/>
      </c>
      <c r="L219" s="176" t="str">
        <f aca="false">IF(INDEX(Salary_Calculation[Source Row],ROW()-ROW(Payslip_Lookup[#Headers]))="","",INDEX(Salary_Calculation[Basic Payment],ROW()-ROW(Payslip_Lookup[#Headers])))</f>
        <v/>
      </c>
      <c r="M219" s="176" t="str">
        <f aca="false">IF(INDEX(Salary_Calculation[Source Row],ROW()-ROW(Payslip_Lookup[#Headers]))="","",INDEX(Salary_Calculation[Earned Salary],ROW()-ROW(Payslip_Lookup[#Headers])))</f>
        <v/>
      </c>
      <c r="N219" s="174" t="str">
        <f aca="false">IF(INDEX(Salary_Calculation[Source Row],ROW()-ROW(Payslip_Lookup[#Headers]))="","",INDEX(Salary_Calculation[Orders Counted at Base Rate],ROW()-ROW(Payslip_Lookup[#Headers])))</f>
        <v/>
      </c>
      <c r="O219" s="174" t="str">
        <f aca="false">IF(INDEX(Salary_Calculation[Source Row],ROW()-ROW(Payslip_Lookup[#Headers]))="","",INDEX(Salary_Calculation[Missing Orders],ROW()-ROW(Payslip_Lookup[#Headers])))</f>
        <v/>
      </c>
      <c r="P219" s="176" t="str">
        <f aca="false">IF(INDEX(Salary_Calculation[Source Row],ROW()-ROW(Payslip_Lookup[#Headers]))="","",INDEX(Salary_Calculation[Missing-Order Deduction],ROW()-ROW(Payslip_Lookup[#Headers])))</f>
        <v/>
      </c>
      <c r="Q219" s="174" t="str">
        <f aca="false">IF(INDEX(Salary_Calculation[Source Row],ROW()-ROW(Payslip_Lookup[#Headers]))="","",INDEX(Salary_Calculation[Extra Orders],ROW()-ROW(Payslip_Lookup[#Headers])))</f>
        <v/>
      </c>
      <c r="R219" s="176" t="str">
        <f aca="false">IF(INDEX(Salary_Calculation[Source Row],ROW()-ROW(Payslip_Lookup[#Headers]))="","",INDEX(Salary_Calculation[Extra-Order Bonus],ROW()-ROW(Payslip_Lookup[#Headers])))</f>
        <v/>
      </c>
      <c r="S219" s="176" t="str">
        <f aca="false">IF(INDEX(Salary_Calculation[Source Row],ROW()-ROW(Payslip_Lookup[#Headers]))="","",INDEX(Salary_Calculation[Basic Salary for Target],ROW()-ROW(Payslip_Lookup[#Headers])))</f>
        <v/>
      </c>
      <c r="T219" s="176" t="str">
        <f aca="false">IF(INDEX(Salary_Calculation[Source Row],ROW()-ROW(Payslip_Lookup[#Headers]))="","",INDEX(Salary_Calculation[Gross Salary Before Deductions],ROW()-ROW(Payslip_Lookup[#Headers])))</f>
        <v/>
      </c>
      <c r="U219" s="176" t="str">
        <f aca="false">IF(INDEX(Salary_Calculation[Source Row],ROW()-ROW(Payslip_Lookup[#Headers]))="","",INDEX(Salary_Calculation[missed_days_penalty],ROW()-ROW(Payslip_Lookup[#Headers])))</f>
        <v/>
      </c>
      <c r="V219" s="176" t="str">
        <f aca="false">IF(INDEX(Salary_Calculation[Source Row],ROW()-ROW(Payslip_Lookup[#Headers]))="","",INDEX(Salary_Calculation[Rider Balance],ROW()-ROW(Payslip_Lookup[#Headers])))</f>
        <v/>
      </c>
      <c r="W219" s="176" t="str">
        <f aca="false">IF(INDEX(Salary_Calculation[Source Row],ROW()-ROW(Payslip_Lookup[#Headers]))="","",INDEX(Salary_Calculation[stacking_deduction],ROW()-ROW(Payslip_Lookup[#Headers])))</f>
        <v/>
      </c>
      <c r="X219" s="176" t="str">
        <f aca="false">IF(INDEX(Salary_Calculation[Source Row],ROW()-ROW(Payslip_Lookup[#Headers]))="","",INDEX(Salary_Calculation[Other Deductions],ROW()-ROW(Payslip_Lookup[#Headers])))</f>
        <v/>
      </c>
      <c r="Y219" s="176" t="str">
        <f aca="false">IF(INDEX(Salary_Calculation[Source Row],ROW()-ROW(Payslip_Lookup[#Headers]))="","",INDEX(Salary_Calculation[Total Deductions],ROW()-ROW(Payslip_Lookup[#Headers])))</f>
        <v/>
      </c>
      <c r="Z219" s="176" t="str">
        <f aca="false">IF(INDEX(Salary_Calculation[Source Row],ROW()-ROW(Payslip_Lookup[#Headers]))="","",INDEX(Salary_Calculation[Final Salary],ROW()-ROW(Payslip_Lookup[#Headers])))</f>
        <v/>
      </c>
      <c r="AA219" s="176" t="str">
        <f aca="false">IF(INDEX(Salary_Calculation[Source Row],ROW()-ROW(Payslip_Lookup[#Headers]))="","",INDEX(Salary_Calculation[Negative Balance / Amount Due from Rider],ROW()-ROW(Payslip_Lookup[#Headers])))</f>
        <v/>
      </c>
      <c r="AB219" s="176" t="str">
        <f aca="false">IF(INDEX(Salary_Calculation[Source Row],ROW()-ROW(Payslip_Lookup[#Headers]))="","",INDEX(Salary_Calculation[Total Amount Due from Rider],ROW()-ROW(Payslip_Lookup[#Headers])))</f>
        <v/>
      </c>
      <c r="AC219" s="176" t="str">
        <f aca="false">IF(INDEX(Salary_Calculation[Source Row],ROW()-ROW(Payslip_Lookup[#Headers]))="","",INDEX(Salary_Calculation[Salary Before Other Deductions],ROW()-ROW(Payslip_Lookup[#Headers])))</f>
        <v/>
      </c>
      <c r="AD219" s="171" t="str">
        <f aca="false">IF(INDEX(Salary_Calculation[Source Row],ROW()-ROW(Payslip_Lookup[#Headers]))="","",INDEX(Salary_Calculation[Payment Status],ROW()-ROW(Payslip_Lookup[#Headers])))</f>
        <v/>
      </c>
      <c r="AE219" s="171" t="str">
        <f aca="false">IF(INDEX(Salary_Calculation[Source Row],ROW()-ROW(Payslip_Lookup[#Headers]))="","",INDEX(Salary_Calculation[Notes],ROW()-ROW(Payslip_Lookup[#Headers])))</f>
        <v/>
      </c>
      <c r="AF219" s="171" t="str">
        <f aca="false">IF(INDEX(Salary_Calculation[Source Row],ROW()-ROW(Payslip_Lookup[#Headers]))="","",INDEX(Salary_Calculation[Exception Reason],ROW()-ROW(Payslip_Lookup[#Headers])))</f>
        <v/>
      </c>
      <c r="AG219" s="173" t="str">
        <f aca="false">IF($AD219="Review Required",COUNTIF(AD$2:AD219,"Review Required"),"")</f>
        <v/>
      </c>
      <c r="AH219" s="173" t="str">
        <f aca="false">IF(AND($D219&lt;&gt;"",$B219=Payslip_Print!$C$2),MAX(AH$1:AH218)+1,"")</f>
        <v/>
      </c>
      <c r="AL219" s="178" t="str">
        <f aca="false">IFERROR(INDEX($D$2:$D$501,MATCH(ROW()-1,$AH$2:$AH$501,0)),"")</f>
        <v/>
      </c>
      <c r="AM219" s="179" t="str">
        <f aca="false">IF($Z219="","",IF(AND($C219&gt;=Dash_Start,$C219&lt;Dash_End),$Z219+ROW()/10000000,""))</f>
        <v/>
      </c>
    </row>
    <row r="220" customFormat="false" ht="14.25" hidden="false" customHeight="false" outlineLevel="0" collapsed="false">
      <c r="A220" s="171" t="str">
        <f aca="false">IF(Payslip_Lookup[[#This Row],[Rider ID]]="","",Payslip_Lookup[[#This Row],[Rider ID]]&amp;"|"&amp;Payslip_Lookup[[#This Row],[Month Key]])</f>
        <v/>
      </c>
      <c r="B220" s="172" t="str">
        <f aca="false">IF(ISNUMBER(Payslip_Lookup[[#This Row],[Salary Month]]),DATE(YEAR(Payslip_Lookup[[#This Row],[Salary Month]]),MONTH(Payslip_Lookup[[#This Row],[Salary Month]]),1),"")</f>
        <v/>
      </c>
      <c r="C220" s="172" t="str">
        <f aca="false">IF(INDEX(Salary_Calculation[Source Row],ROW()-ROW(Payslip_Lookup[#Headers]))="","",INDEX(Salary_Calculation[Salary Month],ROW()-ROW(Payslip_Lookup[#Headers])))</f>
        <v/>
      </c>
      <c r="D220" s="173" t="str">
        <f aca="false">IF(INDEX(Salary_Calculation[Source Row],ROW()-ROW(Payslip_Lookup[#Headers]))="","",INDEX(Salary_Calculation[Rider ID],ROW()-ROW(Payslip_Lookup[#Headers])))</f>
        <v/>
      </c>
      <c r="E220" s="171" t="str">
        <f aca="false">IF(INDEX(Salary_Calculation[Source Row],ROW()-ROW(Payslip_Lookup[#Headers]))="","",INDEX(Salary_Calculation[Rider Name],ROW()-ROW(Payslip_Lookup[#Headers])))</f>
        <v/>
      </c>
      <c r="F220" s="173" t="str">
        <f aca="false">IF(INDEX(Salary_Calculation[Source Row],ROW()-ROW(Payslip_Lookup[#Headers]))="","",INDEX(Salary_Calculation[Working Days],ROW()-ROW(Payslip_Lookup[#Headers])))</f>
        <v/>
      </c>
      <c r="G220" s="173" t="str">
        <f aca="false">IF(INDEX(Salary_Calculation[Source Row],ROW()-ROW(Payslip_Lookup[#Headers]))="","",INDEX(Salary_Calculation[Calendar Days],ROW()-ROW(Payslip_Lookup[#Headers])))</f>
        <v/>
      </c>
      <c r="H220" s="174" t="str">
        <f aca="false">IF(INDEX(Salary_Calculation[Source Row],ROW()-ROW(Payslip_Lookup[#Headers]))="","",INDEX(Salary_Calculation[Monthly Target Orders],ROW()-ROW(Payslip_Lookup[#Headers])))</f>
        <v/>
      </c>
      <c r="I220" s="174" t="str">
        <f aca="false">IF(INDEX(Salary_Calculation[Source Row],ROW()-ROW(Payslip_Lookup[#Headers]))="","",INDEX(Salary_Calculation[Rider Target Orders],ROW()-ROW(Payslip_Lookup[#Headers])))</f>
        <v/>
      </c>
      <c r="J220" s="175" t="str">
        <f aca="false">IF(INDEX(Salary_Calculation[Source Row],ROW()-ROW(Payslip_Lookup[#Headers]))="","",INDEX(Salary_Calculation[Completed Orders],ROW()-ROW(Payslip_Lookup[#Headers])))</f>
        <v/>
      </c>
      <c r="K220" s="174" t="str">
        <f aca="false">IF(INDEX(Salary_Calculation[Source Row],ROW()-ROW(Payslip_Lookup[#Headers]))="","",INDEX(Salary_Calculation[Base Order Rate],ROW()-ROW(Payslip_Lookup[#Headers])))</f>
        <v/>
      </c>
      <c r="L220" s="176" t="str">
        <f aca="false">IF(INDEX(Salary_Calculation[Source Row],ROW()-ROW(Payslip_Lookup[#Headers]))="","",INDEX(Salary_Calculation[Basic Payment],ROW()-ROW(Payslip_Lookup[#Headers])))</f>
        <v/>
      </c>
      <c r="M220" s="176" t="str">
        <f aca="false">IF(INDEX(Salary_Calculation[Source Row],ROW()-ROW(Payslip_Lookup[#Headers]))="","",INDEX(Salary_Calculation[Earned Salary],ROW()-ROW(Payslip_Lookup[#Headers])))</f>
        <v/>
      </c>
      <c r="N220" s="174" t="str">
        <f aca="false">IF(INDEX(Salary_Calculation[Source Row],ROW()-ROW(Payslip_Lookup[#Headers]))="","",INDEX(Salary_Calculation[Orders Counted at Base Rate],ROW()-ROW(Payslip_Lookup[#Headers])))</f>
        <v/>
      </c>
      <c r="O220" s="174" t="str">
        <f aca="false">IF(INDEX(Salary_Calculation[Source Row],ROW()-ROW(Payslip_Lookup[#Headers]))="","",INDEX(Salary_Calculation[Missing Orders],ROW()-ROW(Payslip_Lookup[#Headers])))</f>
        <v/>
      </c>
      <c r="P220" s="176" t="str">
        <f aca="false">IF(INDEX(Salary_Calculation[Source Row],ROW()-ROW(Payslip_Lookup[#Headers]))="","",INDEX(Salary_Calculation[Missing-Order Deduction],ROW()-ROW(Payslip_Lookup[#Headers])))</f>
        <v/>
      </c>
      <c r="Q220" s="174" t="str">
        <f aca="false">IF(INDEX(Salary_Calculation[Source Row],ROW()-ROW(Payslip_Lookup[#Headers]))="","",INDEX(Salary_Calculation[Extra Orders],ROW()-ROW(Payslip_Lookup[#Headers])))</f>
        <v/>
      </c>
      <c r="R220" s="176" t="str">
        <f aca="false">IF(INDEX(Salary_Calculation[Source Row],ROW()-ROW(Payslip_Lookup[#Headers]))="","",INDEX(Salary_Calculation[Extra-Order Bonus],ROW()-ROW(Payslip_Lookup[#Headers])))</f>
        <v/>
      </c>
      <c r="S220" s="176" t="str">
        <f aca="false">IF(INDEX(Salary_Calculation[Source Row],ROW()-ROW(Payslip_Lookup[#Headers]))="","",INDEX(Salary_Calculation[Basic Salary for Target],ROW()-ROW(Payslip_Lookup[#Headers])))</f>
        <v/>
      </c>
      <c r="T220" s="176" t="str">
        <f aca="false">IF(INDEX(Salary_Calculation[Source Row],ROW()-ROW(Payslip_Lookup[#Headers]))="","",INDEX(Salary_Calculation[Gross Salary Before Deductions],ROW()-ROW(Payslip_Lookup[#Headers])))</f>
        <v/>
      </c>
      <c r="U220" s="176" t="str">
        <f aca="false">IF(INDEX(Salary_Calculation[Source Row],ROW()-ROW(Payslip_Lookup[#Headers]))="","",INDEX(Salary_Calculation[missed_days_penalty],ROW()-ROW(Payslip_Lookup[#Headers])))</f>
        <v/>
      </c>
      <c r="V220" s="176" t="str">
        <f aca="false">IF(INDEX(Salary_Calculation[Source Row],ROW()-ROW(Payslip_Lookup[#Headers]))="","",INDEX(Salary_Calculation[Rider Balance],ROW()-ROW(Payslip_Lookup[#Headers])))</f>
        <v/>
      </c>
      <c r="W220" s="176" t="str">
        <f aca="false">IF(INDEX(Salary_Calculation[Source Row],ROW()-ROW(Payslip_Lookup[#Headers]))="","",INDEX(Salary_Calculation[stacking_deduction],ROW()-ROW(Payslip_Lookup[#Headers])))</f>
        <v/>
      </c>
      <c r="X220" s="176" t="str">
        <f aca="false">IF(INDEX(Salary_Calculation[Source Row],ROW()-ROW(Payslip_Lookup[#Headers]))="","",INDEX(Salary_Calculation[Other Deductions],ROW()-ROW(Payslip_Lookup[#Headers])))</f>
        <v/>
      </c>
      <c r="Y220" s="176" t="str">
        <f aca="false">IF(INDEX(Salary_Calculation[Source Row],ROW()-ROW(Payslip_Lookup[#Headers]))="","",INDEX(Salary_Calculation[Total Deductions],ROW()-ROW(Payslip_Lookup[#Headers])))</f>
        <v/>
      </c>
      <c r="Z220" s="176" t="str">
        <f aca="false">IF(INDEX(Salary_Calculation[Source Row],ROW()-ROW(Payslip_Lookup[#Headers]))="","",INDEX(Salary_Calculation[Final Salary],ROW()-ROW(Payslip_Lookup[#Headers])))</f>
        <v/>
      </c>
      <c r="AA220" s="176" t="str">
        <f aca="false">IF(INDEX(Salary_Calculation[Source Row],ROW()-ROW(Payslip_Lookup[#Headers]))="","",INDEX(Salary_Calculation[Negative Balance / Amount Due from Rider],ROW()-ROW(Payslip_Lookup[#Headers])))</f>
        <v/>
      </c>
      <c r="AB220" s="176" t="str">
        <f aca="false">IF(INDEX(Salary_Calculation[Source Row],ROW()-ROW(Payslip_Lookup[#Headers]))="","",INDEX(Salary_Calculation[Total Amount Due from Rider],ROW()-ROW(Payslip_Lookup[#Headers])))</f>
        <v/>
      </c>
      <c r="AC220" s="176" t="str">
        <f aca="false">IF(INDEX(Salary_Calculation[Source Row],ROW()-ROW(Payslip_Lookup[#Headers]))="","",INDEX(Salary_Calculation[Salary Before Other Deductions],ROW()-ROW(Payslip_Lookup[#Headers])))</f>
        <v/>
      </c>
      <c r="AD220" s="171" t="str">
        <f aca="false">IF(INDEX(Salary_Calculation[Source Row],ROW()-ROW(Payslip_Lookup[#Headers]))="","",INDEX(Salary_Calculation[Payment Status],ROW()-ROW(Payslip_Lookup[#Headers])))</f>
        <v/>
      </c>
      <c r="AE220" s="171" t="str">
        <f aca="false">IF(INDEX(Salary_Calculation[Source Row],ROW()-ROW(Payslip_Lookup[#Headers]))="","",INDEX(Salary_Calculation[Notes],ROW()-ROW(Payslip_Lookup[#Headers])))</f>
        <v/>
      </c>
      <c r="AF220" s="171" t="str">
        <f aca="false">IF(INDEX(Salary_Calculation[Source Row],ROW()-ROW(Payslip_Lookup[#Headers]))="","",INDEX(Salary_Calculation[Exception Reason],ROW()-ROW(Payslip_Lookup[#Headers])))</f>
        <v/>
      </c>
      <c r="AG220" s="173" t="str">
        <f aca="false">IF($AD220="Review Required",COUNTIF(AD$2:AD220,"Review Required"),"")</f>
        <v/>
      </c>
      <c r="AH220" s="173" t="str">
        <f aca="false">IF(AND($D220&lt;&gt;"",$B220=Payslip_Print!$C$2),MAX(AH$1:AH219)+1,"")</f>
        <v/>
      </c>
      <c r="AL220" s="178" t="str">
        <f aca="false">IFERROR(INDEX($D$2:$D$501,MATCH(ROW()-1,$AH$2:$AH$501,0)),"")</f>
        <v/>
      </c>
      <c r="AM220" s="179" t="str">
        <f aca="false">IF($Z220="","",IF(AND($C220&gt;=Dash_Start,$C220&lt;Dash_End),$Z220+ROW()/10000000,""))</f>
        <v/>
      </c>
    </row>
    <row r="221" customFormat="false" ht="14.25" hidden="false" customHeight="false" outlineLevel="0" collapsed="false">
      <c r="A221" s="171" t="str">
        <f aca="false">IF(Payslip_Lookup[[#This Row],[Rider ID]]="","",Payslip_Lookup[[#This Row],[Rider ID]]&amp;"|"&amp;Payslip_Lookup[[#This Row],[Month Key]])</f>
        <v/>
      </c>
      <c r="B221" s="172" t="str">
        <f aca="false">IF(ISNUMBER(Payslip_Lookup[[#This Row],[Salary Month]]),DATE(YEAR(Payslip_Lookup[[#This Row],[Salary Month]]),MONTH(Payslip_Lookup[[#This Row],[Salary Month]]),1),"")</f>
        <v/>
      </c>
      <c r="C221" s="172" t="str">
        <f aca="false">IF(INDEX(Salary_Calculation[Source Row],ROW()-ROW(Payslip_Lookup[#Headers]))="","",INDEX(Salary_Calculation[Salary Month],ROW()-ROW(Payslip_Lookup[#Headers])))</f>
        <v/>
      </c>
      <c r="D221" s="173" t="str">
        <f aca="false">IF(INDEX(Salary_Calculation[Source Row],ROW()-ROW(Payslip_Lookup[#Headers]))="","",INDEX(Salary_Calculation[Rider ID],ROW()-ROW(Payslip_Lookup[#Headers])))</f>
        <v/>
      </c>
      <c r="E221" s="171" t="str">
        <f aca="false">IF(INDEX(Salary_Calculation[Source Row],ROW()-ROW(Payslip_Lookup[#Headers]))="","",INDEX(Salary_Calculation[Rider Name],ROW()-ROW(Payslip_Lookup[#Headers])))</f>
        <v/>
      </c>
      <c r="F221" s="173" t="str">
        <f aca="false">IF(INDEX(Salary_Calculation[Source Row],ROW()-ROW(Payslip_Lookup[#Headers]))="","",INDEX(Salary_Calculation[Working Days],ROW()-ROW(Payslip_Lookup[#Headers])))</f>
        <v/>
      </c>
      <c r="G221" s="173" t="str">
        <f aca="false">IF(INDEX(Salary_Calculation[Source Row],ROW()-ROW(Payslip_Lookup[#Headers]))="","",INDEX(Salary_Calculation[Calendar Days],ROW()-ROW(Payslip_Lookup[#Headers])))</f>
        <v/>
      </c>
      <c r="H221" s="174" t="str">
        <f aca="false">IF(INDEX(Salary_Calculation[Source Row],ROW()-ROW(Payslip_Lookup[#Headers]))="","",INDEX(Salary_Calculation[Monthly Target Orders],ROW()-ROW(Payslip_Lookup[#Headers])))</f>
        <v/>
      </c>
      <c r="I221" s="174" t="str">
        <f aca="false">IF(INDEX(Salary_Calculation[Source Row],ROW()-ROW(Payslip_Lookup[#Headers]))="","",INDEX(Salary_Calculation[Rider Target Orders],ROW()-ROW(Payslip_Lookup[#Headers])))</f>
        <v/>
      </c>
      <c r="J221" s="175" t="str">
        <f aca="false">IF(INDEX(Salary_Calculation[Source Row],ROW()-ROW(Payslip_Lookup[#Headers]))="","",INDEX(Salary_Calculation[Completed Orders],ROW()-ROW(Payslip_Lookup[#Headers])))</f>
        <v/>
      </c>
      <c r="K221" s="174" t="str">
        <f aca="false">IF(INDEX(Salary_Calculation[Source Row],ROW()-ROW(Payslip_Lookup[#Headers]))="","",INDEX(Salary_Calculation[Base Order Rate],ROW()-ROW(Payslip_Lookup[#Headers])))</f>
        <v/>
      </c>
      <c r="L221" s="176" t="str">
        <f aca="false">IF(INDEX(Salary_Calculation[Source Row],ROW()-ROW(Payslip_Lookup[#Headers]))="","",INDEX(Salary_Calculation[Basic Payment],ROW()-ROW(Payslip_Lookup[#Headers])))</f>
        <v/>
      </c>
      <c r="M221" s="176" t="str">
        <f aca="false">IF(INDEX(Salary_Calculation[Source Row],ROW()-ROW(Payslip_Lookup[#Headers]))="","",INDEX(Salary_Calculation[Earned Salary],ROW()-ROW(Payslip_Lookup[#Headers])))</f>
        <v/>
      </c>
      <c r="N221" s="174" t="str">
        <f aca="false">IF(INDEX(Salary_Calculation[Source Row],ROW()-ROW(Payslip_Lookup[#Headers]))="","",INDEX(Salary_Calculation[Orders Counted at Base Rate],ROW()-ROW(Payslip_Lookup[#Headers])))</f>
        <v/>
      </c>
      <c r="O221" s="174" t="str">
        <f aca="false">IF(INDEX(Salary_Calculation[Source Row],ROW()-ROW(Payslip_Lookup[#Headers]))="","",INDEX(Salary_Calculation[Missing Orders],ROW()-ROW(Payslip_Lookup[#Headers])))</f>
        <v/>
      </c>
      <c r="P221" s="176" t="str">
        <f aca="false">IF(INDEX(Salary_Calculation[Source Row],ROW()-ROW(Payslip_Lookup[#Headers]))="","",INDEX(Salary_Calculation[Missing-Order Deduction],ROW()-ROW(Payslip_Lookup[#Headers])))</f>
        <v/>
      </c>
      <c r="Q221" s="174" t="str">
        <f aca="false">IF(INDEX(Salary_Calculation[Source Row],ROW()-ROW(Payslip_Lookup[#Headers]))="","",INDEX(Salary_Calculation[Extra Orders],ROW()-ROW(Payslip_Lookup[#Headers])))</f>
        <v/>
      </c>
      <c r="R221" s="176" t="str">
        <f aca="false">IF(INDEX(Salary_Calculation[Source Row],ROW()-ROW(Payslip_Lookup[#Headers]))="","",INDEX(Salary_Calculation[Extra-Order Bonus],ROW()-ROW(Payslip_Lookup[#Headers])))</f>
        <v/>
      </c>
      <c r="S221" s="176" t="str">
        <f aca="false">IF(INDEX(Salary_Calculation[Source Row],ROW()-ROW(Payslip_Lookup[#Headers]))="","",INDEX(Salary_Calculation[Basic Salary for Target],ROW()-ROW(Payslip_Lookup[#Headers])))</f>
        <v/>
      </c>
      <c r="T221" s="176" t="str">
        <f aca="false">IF(INDEX(Salary_Calculation[Source Row],ROW()-ROW(Payslip_Lookup[#Headers]))="","",INDEX(Salary_Calculation[Gross Salary Before Deductions],ROW()-ROW(Payslip_Lookup[#Headers])))</f>
        <v/>
      </c>
      <c r="U221" s="176" t="str">
        <f aca="false">IF(INDEX(Salary_Calculation[Source Row],ROW()-ROW(Payslip_Lookup[#Headers]))="","",INDEX(Salary_Calculation[missed_days_penalty],ROW()-ROW(Payslip_Lookup[#Headers])))</f>
        <v/>
      </c>
      <c r="V221" s="176" t="str">
        <f aca="false">IF(INDEX(Salary_Calculation[Source Row],ROW()-ROW(Payslip_Lookup[#Headers]))="","",INDEX(Salary_Calculation[Rider Balance],ROW()-ROW(Payslip_Lookup[#Headers])))</f>
        <v/>
      </c>
      <c r="W221" s="176" t="str">
        <f aca="false">IF(INDEX(Salary_Calculation[Source Row],ROW()-ROW(Payslip_Lookup[#Headers]))="","",INDEX(Salary_Calculation[stacking_deduction],ROW()-ROW(Payslip_Lookup[#Headers])))</f>
        <v/>
      </c>
      <c r="X221" s="176" t="str">
        <f aca="false">IF(INDEX(Salary_Calculation[Source Row],ROW()-ROW(Payslip_Lookup[#Headers]))="","",INDEX(Salary_Calculation[Other Deductions],ROW()-ROW(Payslip_Lookup[#Headers])))</f>
        <v/>
      </c>
      <c r="Y221" s="176" t="str">
        <f aca="false">IF(INDEX(Salary_Calculation[Source Row],ROW()-ROW(Payslip_Lookup[#Headers]))="","",INDEX(Salary_Calculation[Total Deductions],ROW()-ROW(Payslip_Lookup[#Headers])))</f>
        <v/>
      </c>
      <c r="Z221" s="176" t="str">
        <f aca="false">IF(INDEX(Salary_Calculation[Source Row],ROW()-ROW(Payslip_Lookup[#Headers]))="","",INDEX(Salary_Calculation[Final Salary],ROW()-ROW(Payslip_Lookup[#Headers])))</f>
        <v/>
      </c>
      <c r="AA221" s="176" t="str">
        <f aca="false">IF(INDEX(Salary_Calculation[Source Row],ROW()-ROW(Payslip_Lookup[#Headers]))="","",INDEX(Salary_Calculation[Negative Balance / Amount Due from Rider],ROW()-ROW(Payslip_Lookup[#Headers])))</f>
        <v/>
      </c>
      <c r="AB221" s="176" t="str">
        <f aca="false">IF(INDEX(Salary_Calculation[Source Row],ROW()-ROW(Payslip_Lookup[#Headers]))="","",INDEX(Salary_Calculation[Total Amount Due from Rider],ROW()-ROW(Payslip_Lookup[#Headers])))</f>
        <v/>
      </c>
      <c r="AC221" s="176" t="str">
        <f aca="false">IF(INDEX(Salary_Calculation[Source Row],ROW()-ROW(Payslip_Lookup[#Headers]))="","",INDEX(Salary_Calculation[Salary Before Other Deductions],ROW()-ROW(Payslip_Lookup[#Headers])))</f>
        <v/>
      </c>
      <c r="AD221" s="171" t="str">
        <f aca="false">IF(INDEX(Salary_Calculation[Source Row],ROW()-ROW(Payslip_Lookup[#Headers]))="","",INDEX(Salary_Calculation[Payment Status],ROW()-ROW(Payslip_Lookup[#Headers])))</f>
        <v/>
      </c>
      <c r="AE221" s="171" t="str">
        <f aca="false">IF(INDEX(Salary_Calculation[Source Row],ROW()-ROW(Payslip_Lookup[#Headers]))="","",INDEX(Salary_Calculation[Notes],ROW()-ROW(Payslip_Lookup[#Headers])))</f>
        <v/>
      </c>
      <c r="AF221" s="171" t="str">
        <f aca="false">IF(INDEX(Salary_Calculation[Source Row],ROW()-ROW(Payslip_Lookup[#Headers]))="","",INDEX(Salary_Calculation[Exception Reason],ROW()-ROW(Payslip_Lookup[#Headers])))</f>
        <v/>
      </c>
      <c r="AG221" s="173" t="str">
        <f aca="false">IF($AD221="Review Required",COUNTIF(AD$2:AD221,"Review Required"),"")</f>
        <v/>
      </c>
      <c r="AH221" s="173" t="str">
        <f aca="false">IF(AND($D221&lt;&gt;"",$B221=Payslip_Print!$C$2),MAX(AH$1:AH220)+1,"")</f>
        <v/>
      </c>
      <c r="AL221" s="178" t="str">
        <f aca="false">IFERROR(INDEX($D$2:$D$501,MATCH(ROW()-1,$AH$2:$AH$501,0)),"")</f>
        <v/>
      </c>
      <c r="AM221" s="179" t="str">
        <f aca="false">IF($Z221="","",IF(AND($C221&gt;=Dash_Start,$C221&lt;Dash_End),$Z221+ROW()/10000000,""))</f>
        <v/>
      </c>
    </row>
    <row r="222" customFormat="false" ht="14.25" hidden="false" customHeight="false" outlineLevel="0" collapsed="false">
      <c r="A222" s="171" t="str">
        <f aca="false">IF(Payslip_Lookup[[#This Row],[Rider ID]]="","",Payslip_Lookup[[#This Row],[Rider ID]]&amp;"|"&amp;Payslip_Lookup[[#This Row],[Month Key]])</f>
        <v/>
      </c>
      <c r="B222" s="172" t="str">
        <f aca="false">IF(ISNUMBER(Payslip_Lookup[[#This Row],[Salary Month]]),DATE(YEAR(Payslip_Lookup[[#This Row],[Salary Month]]),MONTH(Payslip_Lookup[[#This Row],[Salary Month]]),1),"")</f>
        <v/>
      </c>
      <c r="C222" s="172" t="str">
        <f aca="false">IF(INDEX(Salary_Calculation[Source Row],ROW()-ROW(Payslip_Lookup[#Headers]))="","",INDEX(Salary_Calculation[Salary Month],ROW()-ROW(Payslip_Lookup[#Headers])))</f>
        <v/>
      </c>
      <c r="D222" s="173" t="str">
        <f aca="false">IF(INDEX(Salary_Calculation[Source Row],ROW()-ROW(Payslip_Lookup[#Headers]))="","",INDEX(Salary_Calculation[Rider ID],ROW()-ROW(Payslip_Lookup[#Headers])))</f>
        <v/>
      </c>
      <c r="E222" s="171" t="str">
        <f aca="false">IF(INDEX(Salary_Calculation[Source Row],ROW()-ROW(Payslip_Lookup[#Headers]))="","",INDEX(Salary_Calculation[Rider Name],ROW()-ROW(Payslip_Lookup[#Headers])))</f>
        <v/>
      </c>
      <c r="F222" s="173" t="str">
        <f aca="false">IF(INDEX(Salary_Calculation[Source Row],ROW()-ROW(Payslip_Lookup[#Headers]))="","",INDEX(Salary_Calculation[Working Days],ROW()-ROW(Payslip_Lookup[#Headers])))</f>
        <v/>
      </c>
      <c r="G222" s="173" t="str">
        <f aca="false">IF(INDEX(Salary_Calculation[Source Row],ROW()-ROW(Payslip_Lookup[#Headers]))="","",INDEX(Salary_Calculation[Calendar Days],ROW()-ROW(Payslip_Lookup[#Headers])))</f>
        <v/>
      </c>
      <c r="H222" s="174" t="str">
        <f aca="false">IF(INDEX(Salary_Calculation[Source Row],ROW()-ROW(Payslip_Lookup[#Headers]))="","",INDEX(Salary_Calculation[Monthly Target Orders],ROW()-ROW(Payslip_Lookup[#Headers])))</f>
        <v/>
      </c>
      <c r="I222" s="174" t="str">
        <f aca="false">IF(INDEX(Salary_Calculation[Source Row],ROW()-ROW(Payslip_Lookup[#Headers]))="","",INDEX(Salary_Calculation[Rider Target Orders],ROW()-ROW(Payslip_Lookup[#Headers])))</f>
        <v/>
      </c>
      <c r="J222" s="175" t="str">
        <f aca="false">IF(INDEX(Salary_Calculation[Source Row],ROW()-ROW(Payslip_Lookup[#Headers]))="","",INDEX(Salary_Calculation[Completed Orders],ROW()-ROW(Payslip_Lookup[#Headers])))</f>
        <v/>
      </c>
      <c r="K222" s="174" t="str">
        <f aca="false">IF(INDEX(Salary_Calculation[Source Row],ROW()-ROW(Payslip_Lookup[#Headers]))="","",INDEX(Salary_Calculation[Base Order Rate],ROW()-ROW(Payslip_Lookup[#Headers])))</f>
        <v/>
      </c>
      <c r="L222" s="176" t="str">
        <f aca="false">IF(INDEX(Salary_Calculation[Source Row],ROW()-ROW(Payslip_Lookup[#Headers]))="","",INDEX(Salary_Calculation[Basic Payment],ROW()-ROW(Payslip_Lookup[#Headers])))</f>
        <v/>
      </c>
      <c r="M222" s="176" t="str">
        <f aca="false">IF(INDEX(Salary_Calculation[Source Row],ROW()-ROW(Payslip_Lookup[#Headers]))="","",INDEX(Salary_Calculation[Earned Salary],ROW()-ROW(Payslip_Lookup[#Headers])))</f>
        <v/>
      </c>
      <c r="N222" s="174" t="str">
        <f aca="false">IF(INDEX(Salary_Calculation[Source Row],ROW()-ROW(Payslip_Lookup[#Headers]))="","",INDEX(Salary_Calculation[Orders Counted at Base Rate],ROW()-ROW(Payslip_Lookup[#Headers])))</f>
        <v/>
      </c>
      <c r="O222" s="174" t="str">
        <f aca="false">IF(INDEX(Salary_Calculation[Source Row],ROW()-ROW(Payslip_Lookup[#Headers]))="","",INDEX(Salary_Calculation[Missing Orders],ROW()-ROW(Payslip_Lookup[#Headers])))</f>
        <v/>
      </c>
      <c r="P222" s="176" t="str">
        <f aca="false">IF(INDEX(Salary_Calculation[Source Row],ROW()-ROW(Payslip_Lookup[#Headers]))="","",INDEX(Salary_Calculation[Missing-Order Deduction],ROW()-ROW(Payslip_Lookup[#Headers])))</f>
        <v/>
      </c>
      <c r="Q222" s="174" t="str">
        <f aca="false">IF(INDEX(Salary_Calculation[Source Row],ROW()-ROW(Payslip_Lookup[#Headers]))="","",INDEX(Salary_Calculation[Extra Orders],ROW()-ROW(Payslip_Lookup[#Headers])))</f>
        <v/>
      </c>
      <c r="R222" s="176" t="str">
        <f aca="false">IF(INDEX(Salary_Calculation[Source Row],ROW()-ROW(Payslip_Lookup[#Headers]))="","",INDEX(Salary_Calculation[Extra-Order Bonus],ROW()-ROW(Payslip_Lookup[#Headers])))</f>
        <v/>
      </c>
      <c r="S222" s="176" t="str">
        <f aca="false">IF(INDEX(Salary_Calculation[Source Row],ROW()-ROW(Payslip_Lookup[#Headers]))="","",INDEX(Salary_Calculation[Basic Salary for Target],ROW()-ROW(Payslip_Lookup[#Headers])))</f>
        <v/>
      </c>
      <c r="T222" s="176" t="str">
        <f aca="false">IF(INDEX(Salary_Calculation[Source Row],ROW()-ROW(Payslip_Lookup[#Headers]))="","",INDEX(Salary_Calculation[Gross Salary Before Deductions],ROW()-ROW(Payslip_Lookup[#Headers])))</f>
        <v/>
      </c>
      <c r="U222" s="176" t="str">
        <f aca="false">IF(INDEX(Salary_Calculation[Source Row],ROW()-ROW(Payslip_Lookup[#Headers]))="","",INDEX(Salary_Calculation[missed_days_penalty],ROW()-ROW(Payslip_Lookup[#Headers])))</f>
        <v/>
      </c>
      <c r="V222" s="176" t="str">
        <f aca="false">IF(INDEX(Salary_Calculation[Source Row],ROW()-ROW(Payslip_Lookup[#Headers]))="","",INDEX(Salary_Calculation[Rider Balance],ROW()-ROW(Payslip_Lookup[#Headers])))</f>
        <v/>
      </c>
      <c r="W222" s="176" t="str">
        <f aca="false">IF(INDEX(Salary_Calculation[Source Row],ROW()-ROW(Payslip_Lookup[#Headers]))="","",INDEX(Salary_Calculation[stacking_deduction],ROW()-ROW(Payslip_Lookup[#Headers])))</f>
        <v/>
      </c>
      <c r="X222" s="176" t="str">
        <f aca="false">IF(INDEX(Salary_Calculation[Source Row],ROW()-ROW(Payslip_Lookup[#Headers]))="","",INDEX(Salary_Calculation[Other Deductions],ROW()-ROW(Payslip_Lookup[#Headers])))</f>
        <v/>
      </c>
      <c r="Y222" s="176" t="str">
        <f aca="false">IF(INDEX(Salary_Calculation[Source Row],ROW()-ROW(Payslip_Lookup[#Headers]))="","",INDEX(Salary_Calculation[Total Deductions],ROW()-ROW(Payslip_Lookup[#Headers])))</f>
        <v/>
      </c>
      <c r="Z222" s="176" t="str">
        <f aca="false">IF(INDEX(Salary_Calculation[Source Row],ROW()-ROW(Payslip_Lookup[#Headers]))="","",INDEX(Salary_Calculation[Final Salary],ROW()-ROW(Payslip_Lookup[#Headers])))</f>
        <v/>
      </c>
      <c r="AA222" s="176" t="str">
        <f aca="false">IF(INDEX(Salary_Calculation[Source Row],ROW()-ROW(Payslip_Lookup[#Headers]))="","",INDEX(Salary_Calculation[Negative Balance / Amount Due from Rider],ROW()-ROW(Payslip_Lookup[#Headers])))</f>
        <v/>
      </c>
      <c r="AB222" s="176" t="str">
        <f aca="false">IF(INDEX(Salary_Calculation[Source Row],ROW()-ROW(Payslip_Lookup[#Headers]))="","",INDEX(Salary_Calculation[Total Amount Due from Rider],ROW()-ROW(Payslip_Lookup[#Headers])))</f>
        <v/>
      </c>
      <c r="AC222" s="176" t="str">
        <f aca="false">IF(INDEX(Salary_Calculation[Source Row],ROW()-ROW(Payslip_Lookup[#Headers]))="","",INDEX(Salary_Calculation[Salary Before Other Deductions],ROW()-ROW(Payslip_Lookup[#Headers])))</f>
        <v/>
      </c>
      <c r="AD222" s="171" t="str">
        <f aca="false">IF(INDEX(Salary_Calculation[Source Row],ROW()-ROW(Payslip_Lookup[#Headers]))="","",INDEX(Salary_Calculation[Payment Status],ROW()-ROW(Payslip_Lookup[#Headers])))</f>
        <v/>
      </c>
      <c r="AE222" s="171" t="str">
        <f aca="false">IF(INDEX(Salary_Calculation[Source Row],ROW()-ROW(Payslip_Lookup[#Headers]))="","",INDEX(Salary_Calculation[Notes],ROW()-ROW(Payslip_Lookup[#Headers])))</f>
        <v/>
      </c>
      <c r="AF222" s="171" t="str">
        <f aca="false">IF(INDEX(Salary_Calculation[Source Row],ROW()-ROW(Payslip_Lookup[#Headers]))="","",INDEX(Salary_Calculation[Exception Reason],ROW()-ROW(Payslip_Lookup[#Headers])))</f>
        <v/>
      </c>
      <c r="AG222" s="173" t="str">
        <f aca="false">IF($AD222="Review Required",COUNTIF(AD$2:AD222,"Review Required"),"")</f>
        <v/>
      </c>
      <c r="AH222" s="173" t="str">
        <f aca="false">IF(AND($D222&lt;&gt;"",$B222=Payslip_Print!$C$2),MAX(AH$1:AH221)+1,"")</f>
        <v/>
      </c>
      <c r="AL222" s="178" t="str">
        <f aca="false">IFERROR(INDEX($D$2:$D$501,MATCH(ROW()-1,$AH$2:$AH$501,0)),"")</f>
        <v/>
      </c>
      <c r="AM222" s="179" t="str">
        <f aca="false">IF($Z222="","",IF(AND($C222&gt;=Dash_Start,$C222&lt;Dash_End),$Z222+ROW()/10000000,""))</f>
        <v/>
      </c>
    </row>
    <row r="223" customFormat="false" ht="14.25" hidden="false" customHeight="false" outlineLevel="0" collapsed="false">
      <c r="A223" s="171" t="str">
        <f aca="false">IF(Payslip_Lookup[[#This Row],[Rider ID]]="","",Payslip_Lookup[[#This Row],[Rider ID]]&amp;"|"&amp;Payslip_Lookup[[#This Row],[Month Key]])</f>
        <v/>
      </c>
      <c r="B223" s="172" t="str">
        <f aca="false">IF(ISNUMBER(Payslip_Lookup[[#This Row],[Salary Month]]),DATE(YEAR(Payslip_Lookup[[#This Row],[Salary Month]]),MONTH(Payslip_Lookup[[#This Row],[Salary Month]]),1),"")</f>
        <v/>
      </c>
      <c r="C223" s="172" t="str">
        <f aca="false">IF(INDEX(Salary_Calculation[Source Row],ROW()-ROW(Payslip_Lookup[#Headers]))="","",INDEX(Salary_Calculation[Salary Month],ROW()-ROW(Payslip_Lookup[#Headers])))</f>
        <v/>
      </c>
      <c r="D223" s="173" t="str">
        <f aca="false">IF(INDEX(Salary_Calculation[Source Row],ROW()-ROW(Payslip_Lookup[#Headers]))="","",INDEX(Salary_Calculation[Rider ID],ROW()-ROW(Payslip_Lookup[#Headers])))</f>
        <v/>
      </c>
      <c r="E223" s="171" t="str">
        <f aca="false">IF(INDEX(Salary_Calculation[Source Row],ROW()-ROW(Payslip_Lookup[#Headers]))="","",INDEX(Salary_Calculation[Rider Name],ROW()-ROW(Payslip_Lookup[#Headers])))</f>
        <v/>
      </c>
      <c r="F223" s="173" t="str">
        <f aca="false">IF(INDEX(Salary_Calculation[Source Row],ROW()-ROW(Payslip_Lookup[#Headers]))="","",INDEX(Salary_Calculation[Working Days],ROW()-ROW(Payslip_Lookup[#Headers])))</f>
        <v/>
      </c>
      <c r="G223" s="173" t="str">
        <f aca="false">IF(INDEX(Salary_Calculation[Source Row],ROW()-ROW(Payslip_Lookup[#Headers]))="","",INDEX(Salary_Calculation[Calendar Days],ROW()-ROW(Payslip_Lookup[#Headers])))</f>
        <v/>
      </c>
      <c r="H223" s="174" t="str">
        <f aca="false">IF(INDEX(Salary_Calculation[Source Row],ROW()-ROW(Payslip_Lookup[#Headers]))="","",INDEX(Salary_Calculation[Monthly Target Orders],ROW()-ROW(Payslip_Lookup[#Headers])))</f>
        <v/>
      </c>
      <c r="I223" s="174" t="str">
        <f aca="false">IF(INDEX(Salary_Calculation[Source Row],ROW()-ROW(Payslip_Lookup[#Headers]))="","",INDEX(Salary_Calculation[Rider Target Orders],ROW()-ROW(Payslip_Lookup[#Headers])))</f>
        <v/>
      </c>
      <c r="J223" s="175" t="str">
        <f aca="false">IF(INDEX(Salary_Calculation[Source Row],ROW()-ROW(Payslip_Lookup[#Headers]))="","",INDEX(Salary_Calculation[Completed Orders],ROW()-ROW(Payslip_Lookup[#Headers])))</f>
        <v/>
      </c>
      <c r="K223" s="174" t="str">
        <f aca="false">IF(INDEX(Salary_Calculation[Source Row],ROW()-ROW(Payslip_Lookup[#Headers]))="","",INDEX(Salary_Calculation[Base Order Rate],ROW()-ROW(Payslip_Lookup[#Headers])))</f>
        <v/>
      </c>
      <c r="L223" s="176" t="str">
        <f aca="false">IF(INDEX(Salary_Calculation[Source Row],ROW()-ROW(Payslip_Lookup[#Headers]))="","",INDEX(Salary_Calculation[Basic Payment],ROW()-ROW(Payslip_Lookup[#Headers])))</f>
        <v/>
      </c>
      <c r="M223" s="176" t="str">
        <f aca="false">IF(INDEX(Salary_Calculation[Source Row],ROW()-ROW(Payslip_Lookup[#Headers]))="","",INDEX(Salary_Calculation[Earned Salary],ROW()-ROW(Payslip_Lookup[#Headers])))</f>
        <v/>
      </c>
      <c r="N223" s="174" t="str">
        <f aca="false">IF(INDEX(Salary_Calculation[Source Row],ROW()-ROW(Payslip_Lookup[#Headers]))="","",INDEX(Salary_Calculation[Orders Counted at Base Rate],ROW()-ROW(Payslip_Lookup[#Headers])))</f>
        <v/>
      </c>
      <c r="O223" s="174" t="str">
        <f aca="false">IF(INDEX(Salary_Calculation[Source Row],ROW()-ROW(Payslip_Lookup[#Headers]))="","",INDEX(Salary_Calculation[Missing Orders],ROW()-ROW(Payslip_Lookup[#Headers])))</f>
        <v/>
      </c>
      <c r="P223" s="176" t="str">
        <f aca="false">IF(INDEX(Salary_Calculation[Source Row],ROW()-ROW(Payslip_Lookup[#Headers]))="","",INDEX(Salary_Calculation[Missing-Order Deduction],ROW()-ROW(Payslip_Lookup[#Headers])))</f>
        <v/>
      </c>
      <c r="Q223" s="174" t="str">
        <f aca="false">IF(INDEX(Salary_Calculation[Source Row],ROW()-ROW(Payslip_Lookup[#Headers]))="","",INDEX(Salary_Calculation[Extra Orders],ROW()-ROW(Payslip_Lookup[#Headers])))</f>
        <v/>
      </c>
      <c r="R223" s="176" t="str">
        <f aca="false">IF(INDEX(Salary_Calculation[Source Row],ROW()-ROW(Payslip_Lookup[#Headers]))="","",INDEX(Salary_Calculation[Extra-Order Bonus],ROW()-ROW(Payslip_Lookup[#Headers])))</f>
        <v/>
      </c>
      <c r="S223" s="176" t="str">
        <f aca="false">IF(INDEX(Salary_Calculation[Source Row],ROW()-ROW(Payslip_Lookup[#Headers]))="","",INDEX(Salary_Calculation[Basic Salary for Target],ROW()-ROW(Payslip_Lookup[#Headers])))</f>
        <v/>
      </c>
      <c r="T223" s="176" t="str">
        <f aca="false">IF(INDEX(Salary_Calculation[Source Row],ROW()-ROW(Payslip_Lookup[#Headers]))="","",INDEX(Salary_Calculation[Gross Salary Before Deductions],ROW()-ROW(Payslip_Lookup[#Headers])))</f>
        <v/>
      </c>
      <c r="U223" s="176" t="str">
        <f aca="false">IF(INDEX(Salary_Calculation[Source Row],ROW()-ROW(Payslip_Lookup[#Headers]))="","",INDEX(Salary_Calculation[missed_days_penalty],ROW()-ROW(Payslip_Lookup[#Headers])))</f>
        <v/>
      </c>
      <c r="V223" s="176" t="str">
        <f aca="false">IF(INDEX(Salary_Calculation[Source Row],ROW()-ROW(Payslip_Lookup[#Headers]))="","",INDEX(Salary_Calculation[Rider Balance],ROW()-ROW(Payslip_Lookup[#Headers])))</f>
        <v/>
      </c>
      <c r="W223" s="176" t="str">
        <f aca="false">IF(INDEX(Salary_Calculation[Source Row],ROW()-ROW(Payslip_Lookup[#Headers]))="","",INDEX(Salary_Calculation[stacking_deduction],ROW()-ROW(Payslip_Lookup[#Headers])))</f>
        <v/>
      </c>
      <c r="X223" s="176" t="str">
        <f aca="false">IF(INDEX(Salary_Calculation[Source Row],ROW()-ROW(Payslip_Lookup[#Headers]))="","",INDEX(Salary_Calculation[Other Deductions],ROW()-ROW(Payslip_Lookup[#Headers])))</f>
        <v/>
      </c>
      <c r="Y223" s="176" t="str">
        <f aca="false">IF(INDEX(Salary_Calculation[Source Row],ROW()-ROW(Payslip_Lookup[#Headers]))="","",INDEX(Salary_Calculation[Total Deductions],ROW()-ROW(Payslip_Lookup[#Headers])))</f>
        <v/>
      </c>
      <c r="Z223" s="176" t="str">
        <f aca="false">IF(INDEX(Salary_Calculation[Source Row],ROW()-ROW(Payslip_Lookup[#Headers]))="","",INDEX(Salary_Calculation[Final Salary],ROW()-ROW(Payslip_Lookup[#Headers])))</f>
        <v/>
      </c>
      <c r="AA223" s="176" t="str">
        <f aca="false">IF(INDEX(Salary_Calculation[Source Row],ROW()-ROW(Payslip_Lookup[#Headers]))="","",INDEX(Salary_Calculation[Negative Balance / Amount Due from Rider],ROW()-ROW(Payslip_Lookup[#Headers])))</f>
        <v/>
      </c>
      <c r="AB223" s="176" t="str">
        <f aca="false">IF(INDEX(Salary_Calculation[Source Row],ROW()-ROW(Payslip_Lookup[#Headers]))="","",INDEX(Salary_Calculation[Total Amount Due from Rider],ROW()-ROW(Payslip_Lookup[#Headers])))</f>
        <v/>
      </c>
      <c r="AC223" s="176" t="str">
        <f aca="false">IF(INDEX(Salary_Calculation[Source Row],ROW()-ROW(Payslip_Lookup[#Headers]))="","",INDEX(Salary_Calculation[Salary Before Other Deductions],ROW()-ROW(Payslip_Lookup[#Headers])))</f>
        <v/>
      </c>
      <c r="AD223" s="171" t="str">
        <f aca="false">IF(INDEX(Salary_Calculation[Source Row],ROW()-ROW(Payslip_Lookup[#Headers]))="","",INDEX(Salary_Calculation[Payment Status],ROW()-ROW(Payslip_Lookup[#Headers])))</f>
        <v/>
      </c>
      <c r="AE223" s="171" t="str">
        <f aca="false">IF(INDEX(Salary_Calculation[Source Row],ROW()-ROW(Payslip_Lookup[#Headers]))="","",INDEX(Salary_Calculation[Notes],ROW()-ROW(Payslip_Lookup[#Headers])))</f>
        <v/>
      </c>
      <c r="AF223" s="171" t="str">
        <f aca="false">IF(INDEX(Salary_Calculation[Source Row],ROW()-ROW(Payslip_Lookup[#Headers]))="","",INDEX(Salary_Calculation[Exception Reason],ROW()-ROW(Payslip_Lookup[#Headers])))</f>
        <v/>
      </c>
      <c r="AG223" s="173" t="str">
        <f aca="false">IF($AD223="Review Required",COUNTIF(AD$2:AD223,"Review Required"),"")</f>
        <v/>
      </c>
      <c r="AH223" s="173" t="str">
        <f aca="false">IF(AND($D223&lt;&gt;"",$B223=Payslip_Print!$C$2),MAX(AH$1:AH222)+1,"")</f>
        <v/>
      </c>
      <c r="AL223" s="178" t="str">
        <f aca="false">IFERROR(INDEX($D$2:$D$501,MATCH(ROW()-1,$AH$2:$AH$501,0)),"")</f>
        <v/>
      </c>
      <c r="AM223" s="179" t="str">
        <f aca="false">IF($Z223="","",IF(AND($C223&gt;=Dash_Start,$C223&lt;Dash_End),$Z223+ROW()/10000000,""))</f>
        <v/>
      </c>
    </row>
    <row r="224" customFormat="false" ht="14.25" hidden="false" customHeight="false" outlineLevel="0" collapsed="false">
      <c r="A224" s="171" t="str">
        <f aca="false">IF(Payslip_Lookup[[#This Row],[Rider ID]]="","",Payslip_Lookup[[#This Row],[Rider ID]]&amp;"|"&amp;Payslip_Lookup[[#This Row],[Month Key]])</f>
        <v/>
      </c>
      <c r="B224" s="172" t="str">
        <f aca="false">IF(ISNUMBER(Payslip_Lookup[[#This Row],[Salary Month]]),DATE(YEAR(Payslip_Lookup[[#This Row],[Salary Month]]),MONTH(Payslip_Lookup[[#This Row],[Salary Month]]),1),"")</f>
        <v/>
      </c>
      <c r="C224" s="172" t="str">
        <f aca="false">IF(INDEX(Salary_Calculation[Source Row],ROW()-ROW(Payslip_Lookup[#Headers]))="","",INDEX(Salary_Calculation[Salary Month],ROW()-ROW(Payslip_Lookup[#Headers])))</f>
        <v/>
      </c>
      <c r="D224" s="173" t="str">
        <f aca="false">IF(INDEX(Salary_Calculation[Source Row],ROW()-ROW(Payslip_Lookup[#Headers]))="","",INDEX(Salary_Calculation[Rider ID],ROW()-ROW(Payslip_Lookup[#Headers])))</f>
        <v/>
      </c>
      <c r="E224" s="171" t="str">
        <f aca="false">IF(INDEX(Salary_Calculation[Source Row],ROW()-ROW(Payslip_Lookup[#Headers]))="","",INDEX(Salary_Calculation[Rider Name],ROW()-ROW(Payslip_Lookup[#Headers])))</f>
        <v/>
      </c>
      <c r="F224" s="173" t="str">
        <f aca="false">IF(INDEX(Salary_Calculation[Source Row],ROW()-ROW(Payslip_Lookup[#Headers]))="","",INDEX(Salary_Calculation[Working Days],ROW()-ROW(Payslip_Lookup[#Headers])))</f>
        <v/>
      </c>
      <c r="G224" s="173" t="str">
        <f aca="false">IF(INDEX(Salary_Calculation[Source Row],ROW()-ROW(Payslip_Lookup[#Headers]))="","",INDEX(Salary_Calculation[Calendar Days],ROW()-ROW(Payslip_Lookup[#Headers])))</f>
        <v/>
      </c>
      <c r="H224" s="174" t="str">
        <f aca="false">IF(INDEX(Salary_Calculation[Source Row],ROW()-ROW(Payslip_Lookup[#Headers]))="","",INDEX(Salary_Calculation[Monthly Target Orders],ROW()-ROW(Payslip_Lookup[#Headers])))</f>
        <v/>
      </c>
      <c r="I224" s="174" t="str">
        <f aca="false">IF(INDEX(Salary_Calculation[Source Row],ROW()-ROW(Payslip_Lookup[#Headers]))="","",INDEX(Salary_Calculation[Rider Target Orders],ROW()-ROW(Payslip_Lookup[#Headers])))</f>
        <v/>
      </c>
      <c r="J224" s="175" t="str">
        <f aca="false">IF(INDEX(Salary_Calculation[Source Row],ROW()-ROW(Payslip_Lookup[#Headers]))="","",INDEX(Salary_Calculation[Completed Orders],ROW()-ROW(Payslip_Lookup[#Headers])))</f>
        <v/>
      </c>
      <c r="K224" s="174" t="str">
        <f aca="false">IF(INDEX(Salary_Calculation[Source Row],ROW()-ROW(Payslip_Lookup[#Headers]))="","",INDEX(Salary_Calculation[Base Order Rate],ROW()-ROW(Payslip_Lookup[#Headers])))</f>
        <v/>
      </c>
      <c r="L224" s="176" t="str">
        <f aca="false">IF(INDEX(Salary_Calculation[Source Row],ROW()-ROW(Payslip_Lookup[#Headers]))="","",INDEX(Salary_Calculation[Basic Payment],ROW()-ROW(Payslip_Lookup[#Headers])))</f>
        <v/>
      </c>
      <c r="M224" s="176" t="str">
        <f aca="false">IF(INDEX(Salary_Calculation[Source Row],ROW()-ROW(Payslip_Lookup[#Headers]))="","",INDEX(Salary_Calculation[Earned Salary],ROW()-ROW(Payslip_Lookup[#Headers])))</f>
        <v/>
      </c>
      <c r="N224" s="174" t="str">
        <f aca="false">IF(INDEX(Salary_Calculation[Source Row],ROW()-ROW(Payslip_Lookup[#Headers]))="","",INDEX(Salary_Calculation[Orders Counted at Base Rate],ROW()-ROW(Payslip_Lookup[#Headers])))</f>
        <v/>
      </c>
      <c r="O224" s="174" t="str">
        <f aca="false">IF(INDEX(Salary_Calculation[Source Row],ROW()-ROW(Payslip_Lookup[#Headers]))="","",INDEX(Salary_Calculation[Missing Orders],ROW()-ROW(Payslip_Lookup[#Headers])))</f>
        <v/>
      </c>
      <c r="P224" s="176" t="str">
        <f aca="false">IF(INDEX(Salary_Calculation[Source Row],ROW()-ROW(Payslip_Lookup[#Headers]))="","",INDEX(Salary_Calculation[Missing-Order Deduction],ROW()-ROW(Payslip_Lookup[#Headers])))</f>
        <v/>
      </c>
      <c r="Q224" s="174" t="str">
        <f aca="false">IF(INDEX(Salary_Calculation[Source Row],ROW()-ROW(Payslip_Lookup[#Headers]))="","",INDEX(Salary_Calculation[Extra Orders],ROW()-ROW(Payslip_Lookup[#Headers])))</f>
        <v/>
      </c>
      <c r="R224" s="176" t="str">
        <f aca="false">IF(INDEX(Salary_Calculation[Source Row],ROW()-ROW(Payslip_Lookup[#Headers]))="","",INDEX(Salary_Calculation[Extra-Order Bonus],ROW()-ROW(Payslip_Lookup[#Headers])))</f>
        <v/>
      </c>
      <c r="S224" s="176" t="str">
        <f aca="false">IF(INDEX(Salary_Calculation[Source Row],ROW()-ROW(Payslip_Lookup[#Headers]))="","",INDEX(Salary_Calculation[Basic Salary for Target],ROW()-ROW(Payslip_Lookup[#Headers])))</f>
        <v/>
      </c>
      <c r="T224" s="176" t="str">
        <f aca="false">IF(INDEX(Salary_Calculation[Source Row],ROW()-ROW(Payslip_Lookup[#Headers]))="","",INDEX(Salary_Calculation[Gross Salary Before Deductions],ROW()-ROW(Payslip_Lookup[#Headers])))</f>
        <v/>
      </c>
      <c r="U224" s="176" t="str">
        <f aca="false">IF(INDEX(Salary_Calculation[Source Row],ROW()-ROW(Payslip_Lookup[#Headers]))="","",INDEX(Salary_Calculation[missed_days_penalty],ROW()-ROW(Payslip_Lookup[#Headers])))</f>
        <v/>
      </c>
      <c r="V224" s="176" t="str">
        <f aca="false">IF(INDEX(Salary_Calculation[Source Row],ROW()-ROW(Payslip_Lookup[#Headers]))="","",INDEX(Salary_Calculation[Rider Balance],ROW()-ROW(Payslip_Lookup[#Headers])))</f>
        <v/>
      </c>
      <c r="W224" s="176" t="str">
        <f aca="false">IF(INDEX(Salary_Calculation[Source Row],ROW()-ROW(Payslip_Lookup[#Headers]))="","",INDEX(Salary_Calculation[stacking_deduction],ROW()-ROW(Payslip_Lookup[#Headers])))</f>
        <v/>
      </c>
      <c r="X224" s="176" t="str">
        <f aca="false">IF(INDEX(Salary_Calculation[Source Row],ROW()-ROW(Payslip_Lookup[#Headers]))="","",INDEX(Salary_Calculation[Other Deductions],ROW()-ROW(Payslip_Lookup[#Headers])))</f>
        <v/>
      </c>
      <c r="Y224" s="176" t="str">
        <f aca="false">IF(INDEX(Salary_Calculation[Source Row],ROW()-ROW(Payslip_Lookup[#Headers]))="","",INDEX(Salary_Calculation[Total Deductions],ROW()-ROW(Payslip_Lookup[#Headers])))</f>
        <v/>
      </c>
      <c r="Z224" s="176" t="str">
        <f aca="false">IF(INDEX(Salary_Calculation[Source Row],ROW()-ROW(Payslip_Lookup[#Headers]))="","",INDEX(Salary_Calculation[Final Salary],ROW()-ROW(Payslip_Lookup[#Headers])))</f>
        <v/>
      </c>
      <c r="AA224" s="176" t="str">
        <f aca="false">IF(INDEX(Salary_Calculation[Source Row],ROW()-ROW(Payslip_Lookup[#Headers]))="","",INDEX(Salary_Calculation[Negative Balance / Amount Due from Rider],ROW()-ROW(Payslip_Lookup[#Headers])))</f>
        <v/>
      </c>
      <c r="AB224" s="176" t="str">
        <f aca="false">IF(INDEX(Salary_Calculation[Source Row],ROW()-ROW(Payslip_Lookup[#Headers]))="","",INDEX(Salary_Calculation[Total Amount Due from Rider],ROW()-ROW(Payslip_Lookup[#Headers])))</f>
        <v/>
      </c>
      <c r="AC224" s="176" t="str">
        <f aca="false">IF(INDEX(Salary_Calculation[Source Row],ROW()-ROW(Payslip_Lookup[#Headers]))="","",INDEX(Salary_Calculation[Salary Before Other Deductions],ROW()-ROW(Payslip_Lookup[#Headers])))</f>
        <v/>
      </c>
      <c r="AD224" s="171" t="str">
        <f aca="false">IF(INDEX(Salary_Calculation[Source Row],ROW()-ROW(Payslip_Lookup[#Headers]))="","",INDEX(Salary_Calculation[Payment Status],ROW()-ROW(Payslip_Lookup[#Headers])))</f>
        <v/>
      </c>
      <c r="AE224" s="171" t="str">
        <f aca="false">IF(INDEX(Salary_Calculation[Source Row],ROW()-ROW(Payslip_Lookup[#Headers]))="","",INDEX(Salary_Calculation[Notes],ROW()-ROW(Payslip_Lookup[#Headers])))</f>
        <v/>
      </c>
      <c r="AF224" s="171" t="str">
        <f aca="false">IF(INDEX(Salary_Calculation[Source Row],ROW()-ROW(Payslip_Lookup[#Headers]))="","",INDEX(Salary_Calculation[Exception Reason],ROW()-ROW(Payslip_Lookup[#Headers])))</f>
        <v/>
      </c>
      <c r="AG224" s="173" t="str">
        <f aca="false">IF($AD224="Review Required",COUNTIF(AD$2:AD224,"Review Required"),"")</f>
        <v/>
      </c>
      <c r="AH224" s="173" t="str">
        <f aca="false">IF(AND($D224&lt;&gt;"",$B224=Payslip_Print!$C$2),MAX(AH$1:AH223)+1,"")</f>
        <v/>
      </c>
      <c r="AL224" s="178" t="str">
        <f aca="false">IFERROR(INDEX($D$2:$D$501,MATCH(ROW()-1,$AH$2:$AH$501,0)),"")</f>
        <v/>
      </c>
      <c r="AM224" s="179" t="str">
        <f aca="false">IF($Z224="","",IF(AND($C224&gt;=Dash_Start,$C224&lt;Dash_End),$Z224+ROW()/10000000,""))</f>
        <v/>
      </c>
    </row>
    <row r="225" customFormat="false" ht="14.25" hidden="false" customHeight="false" outlineLevel="0" collapsed="false">
      <c r="A225" s="171" t="str">
        <f aca="false">IF(Payslip_Lookup[[#This Row],[Rider ID]]="","",Payslip_Lookup[[#This Row],[Rider ID]]&amp;"|"&amp;Payslip_Lookup[[#This Row],[Month Key]])</f>
        <v/>
      </c>
      <c r="B225" s="172" t="str">
        <f aca="false">IF(ISNUMBER(Payslip_Lookup[[#This Row],[Salary Month]]),DATE(YEAR(Payslip_Lookup[[#This Row],[Salary Month]]),MONTH(Payslip_Lookup[[#This Row],[Salary Month]]),1),"")</f>
        <v/>
      </c>
      <c r="C225" s="172" t="str">
        <f aca="false">IF(INDEX(Salary_Calculation[Source Row],ROW()-ROW(Payslip_Lookup[#Headers]))="","",INDEX(Salary_Calculation[Salary Month],ROW()-ROW(Payslip_Lookup[#Headers])))</f>
        <v/>
      </c>
      <c r="D225" s="173" t="str">
        <f aca="false">IF(INDEX(Salary_Calculation[Source Row],ROW()-ROW(Payslip_Lookup[#Headers]))="","",INDEX(Salary_Calculation[Rider ID],ROW()-ROW(Payslip_Lookup[#Headers])))</f>
        <v/>
      </c>
      <c r="E225" s="171" t="str">
        <f aca="false">IF(INDEX(Salary_Calculation[Source Row],ROW()-ROW(Payslip_Lookup[#Headers]))="","",INDEX(Salary_Calculation[Rider Name],ROW()-ROW(Payslip_Lookup[#Headers])))</f>
        <v/>
      </c>
      <c r="F225" s="173" t="str">
        <f aca="false">IF(INDEX(Salary_Calculation[Source Row],ROW()-ROW(Payslip_Lookup[#Headers]))="","",INDEX(Salary_Calculation[Working Days],ROW()-ROW(Payslip_Lookup[#Headers])))</f>
        <v/>
      </c>
      <c r="G225" s="173" t="str">
        <f aca="false">IF(INDEX(Salary_Calculation[Source Row],ROW()-ROW(Payslip_Lookup[#Headers]))="","",INDEX(Salary_Calculation[Calendar Days],ROW()-ROW(Payslip_Lookup[#Headers])))</f>
        <v/>
      </c>
      <c r="H225" s="174" t="str">
        <f aca="false">IF(INDEX(Salary_Calculation[Source Row],ROW()-ROW(Payslip_Lookup[#Headers]))="","",INDEX(Salary_Calculation[Monthly Target Orders],ROW()-ROW(Payslip_Lookup[#Headers])))</f>
        <v/>
      </c>
      <c r="I225" s="174" t="str">
        <f aca="false">IF(INDEX(Salary_Calculation[Source Row],ROW()-ROW(Payslip_Lookup[#Headers]))="","",INDEX(Salary_Calculation[Rider Target Orders],ROW()-ROW(Payslip_Lookup[#Headers])))</f>
        <v/>
      </c>
      <c r="J225" s="175" t="str">
        <f aca="false">IF(INDEX(Salary_Calculation[Source Row],ROW()-ROW(Payslip_Lookup[#Headers]))="","",INDEX(Salary_Calculation[Completed Orders],ROW()-ROW(Payslip_Lookup[#Headers])))</f>
        <v/>
      </c>
      <c r="K225" s="174" t="str">
        <f aca="false">IF(INDEX(Salary_Calculation[Source Row],ROW()-ROW(Payslip_Lookup[#Headers]))="","",INDEX(Salary_Calculation[Base Order Rate],ROW()-ROW(Payslip_Lookup[#Headers])))</f>
        <v/>
      </c>
      <c r="L225" s="176" t="str">
        <f aca="false">IF(INDEX(Salary_Calculation[Source Row],ROW()-ROW(Payslip_Lookup[#Headers]))="","",INDEX(Salary_Calculation[Basic Payment],ROW()-ROW(Payslip_Lookup[#Headers])))</f>
        <v/>
      </c>
      <c r="M225" s="176" t="str">
        <f aca="false">IF(INDEX(Salary_Calculation[Source Row],ROW()-ROW(Payslip_Lookup[#Headers]))="","",INDEX(Salary_Calculation[Earned Salary],ROW()-ROW(Payslip_Lookup[#Headers])))</f>
        <v/>
      </c>
      <c r="N225" s="174" t="str">
        <f aca="false">IF(INDEX(Salary_Calculation[Source Row],ROW()-ROW(Payslip_Lookup[#Headers]))="","",INDEX(Salary_Calculation[Orders Counted at Base Rate],ROW()-ROW(Payslip_Lookup[#Headers])))</f>
        <v/>
      </c>
      <c r="O225" s="174" t="str">
        <f aca="false">IF(INDEX(Salary_Calculation[Source Row],ROW()-ROW(Payslip_Lookup[#Headers]))="","",INDEX(Salary_Calculation[Missing Orders],ROW()-ROW(Payslip_Lookup[#Headers])))</f>
        <v/>
      </c>
      <c r="P225" s="176" t="str">
        <f aca="false">IF(INDEX(Salary_Calculation[Source Row],ROW()-ROW(Payslip_Lookup[#Headers]))="","",INDEX(Salary_Calculation[Missing-Order Deduction],ROW()-ROW(Payslip_Lookup[#Headers])))</f>
        <v/>
      </c>
      <c r="Q225" s="174" t="str">
        <f aca="false">IF(INDEX(Salary_Calculation[Source Row],ROW()-ROW(Payslip_Lookup[#Headers]))="","",INDEX(Salary_Calculation[Extra Orders],ROW()-ROW(Payslip_Lookup[#Headers])))</f>
        <v/>
      </c>
      <c r="R225" s="176" t="str">
        <f aca="false">IF(INDEX(Salary_Calculation[Source Row],ROW()-ROW(Payslip_Lookup[#Headers]))="","",INDEX(Salary_Calculation[Extra-Order Bonus],ROW()-ROW(Payslip_Lookup[#Headers])))</f>
        <v/>
      </c>
      <c r="S225" s="176" t="str">
        <f aca="false">IF(INDEX(Salary_Calculation[Source Row],ROW()-ROW(Payslip_Lookup[#Headers]))="","",INDEX(Salary_Calculation[Basic Salary for Target],ROW()-ROW(Payslip_Lookup[#Headers])))</f>
        <v/>
      </c>
      <c r="T225" s="176" t="str">
        <f aca="false">IF(INDEX(Salary_Calculation[Source Row],ROW()-ROW(Payslip_Lookup[#Headers]))="","",INDEX(Salary_Calculation[Gross Salary Before Deductions],ROW()-ROW(Payslip_Lookup[#Headers])))</f>
        <v/>
      </c>
      <c r="U225" s="176" t="str">
        <f aca="false">IF(INDEX(Salary_Calculation[Source Row],ROW()-ROW(Payslip_Lookup[#Headers]))="","",INDEX(Salary_Calculation[missed_days_penalty],ROW()-ROW(Payslip_Lookup[#Headers])))</f>
        <v/>
      </c>
      <c r="V225" s="176" t="str">
        <f aca="false">IF(INDEX(Salary_Calculation[Source Row],ROW()-ROW(Payslip_Lookup[#Headers]))="","",INDEX(Salary_Calculation[Rider Balance],ROW()-ROW(Payslip_Lookup[#Headers])))</f>
        <v/>
      </c>
      <c r="W225" s="176" t="str">
        <f aca="false">IF(INDEX(Salary_Calculation[Source Row],ROW()-ROW(Payslip_Lookup[#Headers]))="","",INDEX(Salary_Calculation[stacking_deduction],ROW()-ROW(Payslip_Lookup[#Headers])))</f>
        <v/>
      </c>
      <c r="X225" s="176" t="str">
        <f aca="false">IF(INDEX(Salary_Calculation[Source Row],ROW()-ROW(Payslip_Lookup[#Headers]))="","",INDEX(Salary_Calculation[Other Deductions],ROW()-ROW(Payslip_Lookup[#Headers])))</f>
        <v/>
      </c>
      <c r="Y225" s="176" t="str">
        <f aca="false">IF(INDEX(Salary_Calculation[Source Row],ROW()-ROW(Payslip_Lookup[#Headers]))="","",INDEX(Salary_Calculation[Total Deductions],ROW()-ROW(Payslip_Lookup[#Headers])))</f>
        <v/>
      </c>
      <c r="Z225" s="176" t="str">
        <f aca="false">IF(INDEX(Salary_Calculation[Source Row],ROW()-ROW(Payslip_Lookup[#Headers]))="","",INDEX(Salary_Calculation[Final Salary],ROW()-ROW(Payslip_Lookup[#Headers])))</f>
        <v/>
      </c>
      <c r="AA225" s="176" t="str">
        <f aca="false">IF(INDEX(Salary_Calculation[Source Row],ROW()-ROW(Payslip_Lookup[#Headers]))="","",INDEX(Salary_Calculation[Negative Balance / Amount Due from Rider],ROW()-ROW(Payslip_Lookup[#Headers])))</f>
        <v/>
      </c>
      <c r="AB225" s="176" t="str">
        <f aca="false">IF(INDEX(Salary_Calculation[Source Row],ROW()-ROW(Payslip_Lookup[#Headers]))="","",INDEX(Salary_Calculation[Total Amount Due from Rider],ROW()-ROW(Payslip_Lookup[#Headers])))</f>
        <v/>
      </c>
      <c r="AC225" s="176" t="str">
        <f aca="false">IF(INDEX(Salary_Calculation[Source Row],ROW()-ROW(Payslip_Lookup[#Headers]))="","",INDEX(Salary_Calculation[Salary Before Other Deductions],ROW()-ROW(Payslip_Lookup[#Headers])))</f>
        <v/>
      </c>
      <c r="AD225" s="171" t="str">
        <f aca="false">IF(INDEX(Salary_Calculation[Source Row],ROW()-ROW(Payslip_Lookup[#Headers]))="","",INDEX(Salary_Calculation[Payment Status],ROW()-ROW(Payslip_Lookup[#Headers])))</f>
        <v/>
      </c>
      <c r="AE225" s="171" t="str">
        <f aca="false">IF(INDEX(Salary_Calculation[Source Row],ROW()-ROW(Payslip_Lookup[#Headers]))="","",INDEX(Salary_Calculation[Notes],ROW()-ROW(Payslip_Lookup[#Headers])))</f>
        <v/>
      </c>
      <c r="AF225" s="171" t="str">
        <f aca="false">IF(INDEX(Salary_Calculation[Source Row],ROW()-ROW(Payslip_Lookup[#Headers]))="","",INDEX(Salary_Calculation[Exception Reason],ROW()-ROW(Payslip_Lookup[#Headers])))</f>
        <v/>
      </c>
      <c r="AG225" s="173" t="str">
        <f aca="false">IF($AD225="Review Required",COUNTIF(AD$2:AD225,"Review Required"),"")</f>
        <v/>
      </c>
      <c r="AH225" s="173" t="str">
        <f aca="false">IF(AND($D225&lt;&gt;"",$B225=Payslip_Print!$C$2),MAX(AH$1:AH224)+1,"")</f>
        <v/>
      </c>
      <c r="AL225" s="178" t="str">
        <f aca="false">IFERROR(INDEX($D$2:$D$501,MATCH(ROW()-1,$AH$2:$AH$501,0)),"")</f>
        <v/>
      </c>
      <c r="AM225" s="179" t="str">
        <f aca="false">IF($Z225="","",IF(AND($C225&gt;=Dash_Start,$C225&lt;Dash_End),$Z225+ROW()/10000000,""))</f>
        <v/>
      </c>
    </row>
    <row r="226" customFormat="false" ht="14.25" hidden="false" customHeight="false" outlineLevel="0" collapsed="false">
      <c r="A226" s="171" t="str">
        <f aca="false">IF(Payslip_Lookup[[#This Row],[Rider ID]]="","",Payslip_Lookup[[#This Row],[Rider ID]]&amp;"|"&amp;Payslip_Lookup[[#This Row],[Month Key]])</f>
        <v/>
      </c>
      <c r="B226" s="172" t="str">
        <f aca="false">IF(ISNUMBER(Payslip_Lookup[[#This Row],[Salary Month]]),DATE(YEAR(Payslip_Lookup[[#This Row],[Salary Month]]),MONTH(Payslip_Lookup[[#This Row],[Salary Month]]),1),"")</f>
        <v/>
      </c>
      <c r="C226" s="172" t="str">
        <f aca="false">IF(INDEX(Salary_Calculation[Source Row],ROW()-ROW(Payslip_Lookup[#Headers]))="","",INDEX(Salary_Calculation[Salary Month],ROW()-ROW(Payslip_Lookup[#Headers])))</f>
        <v/>
      </c>
      <c r="D226" s="173" t="str">
        <f aca="false">IF(INDEX(Salary_Calculation[Source Row],ROW()-ROW(Payslip_Lookup[#Headers]))="","",INDEX(Salary_Calculation[Rider ID],ROW()-ROW(Payslip_Lookup[#Headers])))</f>
        <v/>
      </c>
      <c r="E226" s="171" t="str">
        <f aca="false">IF(INDEX(Salary_Calculation[Source Row],ROW()-ROW(Payslip_Lookup[#Headers]))="","",INDEX(Salary_Calculation[Rider Name],ROW()-ROW(Payslip_Lookup[#Headers])))</f>
        <v/>
      </c>
      <c r="F226" s="173" t="str">
        <f aca="false">IF(INDEX(Salary_Calculation[Source Row],ROW()-ROW(Payslip_Lookup[#Headers]))="","",INDEX(Salary_Calculation[Working Days],ROW()-ROW(Payslip_Lookup[#Headers])))</f>
        <v/>
      </c>
      <c r="G226" s="173" t="str">
        <f aca="false">IF(INDEX(Salary_Calculation[Source Row],ROW()-ROW(Payslip_Lookup[#Headers]))="","",INDEX(Salary_Calculation[Calendar Days],ROW()-ROW(Payslip_Lookup[#Headers])))</f>
        <v/>
      </c>
      <c r="H226" s="174" t="str">
        <f aca="false">IF(INDEX(Salary_Calculation[Source Row],ROW()-ROW(Payslip_Lookup[#Headers]))="","",INDEX(Salary_Calculation[Monthly Target Orders],ROW()-ROW(Payslip_Lookup[#Headers])))</f>
        <v/>
      </c>
      <c r="I226" s="174" t="str">
        <f aca="false">IF(INDEX(Salary_Calculation[Source Row],ROW()-ROW(Payslip_Lookup[#Headers]))="","",INDEX(Salary_Calculation[Rider Target Orders],ROW()-ROW(Payslip_Lookup[#Headers])))</f>
        <v/>
      </c>
      <c r="J226" s="175" t="str">
        <f aca="false">IF(INDEX(Salary_Calculation[Source Row],ROW()-ROW(Payslip_Lookup[#Headers]))="","",INDEX(Salary_Calculation[Completed Orders],ROW()-ROW(Payslip_Lookup[#Headers])))</f>
        <v/>
      </c>
      <c r="K226" s="174" t="str">
        <f aca="false">IF(INDEX(Salary_Calculation[Source Row],ROW()-ROW(Payslip_Lookup[#Headers]))="","",INDEX(Salary_Calculation[Base Order Rate],ROW()-ROW(Payslip_Lookup[#Headers])))</f>
        <v/>
      </c>
      <c r="L226" s="176" t="str">
        <f aca="false">IF(INDEX(Salary_Calculation[Source Row],ROW()-ROW(Payslip_Lookup[#Headers]))="","",INDEX(Salary_Calculation[Basic Payment],ROW()-ROW(Payslip_Lookup[#Headers])))</f>
        <v/>
      </c>
      <c r="M226" s="176" t="str">
        <f aca="false">IF(INDEX(Salary_Calculation[Source Row],ROW()-ROW(Payslip_Lookup[#Headers]))="","",INDEX(Salary_Calculation[Earned Salary],ROW()-ROW(Payslip_Lookup[#Headers])))</f>
        <v/>
      </c>
      <c r="N226" s="174" t="str">
        <f aca="false">IF(INDEX(Salary_Calculation[Source Row],ROW()-ROW(Payslip_Lookup[#Headers]))="","",INDEX(Salary_Calculation[Orders Counted at Base Rate],ROW()-ROW(Payslip_Lookup[#Headers])))</f>
        <v/>
      </c>
      <c r="O226" s="174" t="str">
        <f aca="false">IF(INDEX(Salary_Calculation[Source Row],ROW()-ROW(Payslip_Lookup[#Headers]))="","",INDEX(Salary_Calculation[Missing Orders],ROW()-ROW(Payslip_Lookup[#Headers])))</f>
        <v/>
      </c>
      <c r="P226" s="176" t="str">
        <f aca="false">IF(INDEX(Salary_Calculation[Source Row],ROW()-ROW(Payslip_Lookup[#Headers]))="","",INDEX(Salary_Calculation[Missing-Order Deduction],ROW()-ROW(Payslip_Lookup[#Headers])))</f>
        <v/>
      </c>
      <c r="Q226" s="174" t="str">
        <f aca="false">IF(INDEX(Salary_Calculation[Source Row],ROW()-ROW(Payslip_Lookup[#Headers]))="","",INDEX(Salary_Calculation[Extra Orders],ROW()-ROW(Payslip_Lookup[#Headers])))</f>
        <v/>
      </c>
      <c r="R226" s="176" t="str">
        <f aca="false">IF(INDEX(Salary_Calculation[Source Row],ROW()-ROW(Payslip_Lookup[#Headers]))="","",INDEX(Salary_Calculation[Extra-Order Bonus],ROW()-ROW(Payslip_Lookup[#Headers])))</f>
        <v/>
      </c>
      <c r="S226" s="176" t="str">
        <f aca="false">IF(INDEX(Salary_Calculation[Source Row],ROW()-ROW(Payslip_Lookup[#Headers]))="","",INDEX(Salary_Calculation[Basic Salary for Target],ROW()-ROW(Payslip_Lookup[#Headers])))</f>
        <v/>
      </c>
      <c r="T226" s="176" t="str">
        <f aca="false">IF(INDEX(Salary_Calculation[Source Row],ROW()-ROW(Payslip_Lookup[#Headers]))="","",INDEX(Salary_Calculation[Gross Salary Before Deductions],ROW()-ROW(Payslip_Lookup[#Headers])))</f>
        <v/>
      </c>
      <c r="U226" s="176" t="str">
        <f aca="false">IF(INDEX(Salary_Calculation[Source Row],ROW()-ROW(Payslip_Lookup[#Headers]))="","",INDEX(Salary_Calculation[missed_days_penalty],ROW()-ROW(Payslip_Lookup[#Headers])))</f>
        <v/>
      </c>
      <c r="V226" s="176" t="str">
        <f aca="false">IF(INDEX(Salary_Calculation[Source Row],ROW()-ROW(Payslip_Lookup[#Headers]))="","",INDEX(Salary_Calculation[Rider Balance],ROW()-ROW(Payslip_Lookup[#Headers])))</f>
        <v/>
      </c>
      <c r="W226" s="176" t="str">
        <f aca="false">IF(INDEX(Salary_Calculation[Source Row],ROW()-ROW(Payslip_Lookup[#Headers]))="","",INDEX(Salary_Calculation[stacking_deduction],ROW()-ROW(Payslip_Lookup[#Headers])))</f>
        <v/>
      </c>
      <c r="X226" s="176" t="str">
        <f aca="false">IF(INDEX(Salary_Calculation[Source Row],ROW()-ROW(Payslip_Lookup[#Headers]))="","",INDEX(Salary_Calculation[Other Deductions],ROW()-ROW(Payslip_Lookup[#Headers])))</f>
        <v/>
      </c>
      <c r="Y226" s="176" t="str">
        <f aca="false">IF(INDEX(Salary_Calculation[Source Row],ROW()-ROW(Payslip_Lookup[#Headers]))="","",INDEX(Salary_Calculation[Total Deductions],ROW()-ROW(Payslip_Lookup[#Headers])))</f>
        <v/>
      </c>
      <c r="Z226" s="176" t="str">
        <f aca="false">IF(INDEX(Salary_Calculation[Source Row],ROW()-ROW(Payslip_Lookup[#Headers]))="","",INDEX(Salary_Calculation[Final Salary],ROW()-ROW(Payslip_Lookup[#Headers])))</f>
        <v/>
      </c>
      <c r="AA226" s="176" t="str">
        <f aca="false">IF(INDEX(Salary_Calculation[Source Row],ROW()-ROW(Payslip_Lookup[#Headers]))="","",INDEX(Salary_Calculation[Negative Balance / Amount Due from Rider],ROW()-ROW(Payslip_Lookup[#Headers])))</f>
        <v/>
      </c>
      <c r="AB226" s="176" t="str">
        <f aca="false">IF(INDEX(Salary_Calculation[Source Row],ROW()-ROW(Payslip_Lookup[#Headers]))="","",INDEX(Salary_Calculation[Total Amount Due from Rider],ROW()-ROW(Payslip_Lookup[#Headers])))</f>
        <v/>
      </c>
      <c r="AC226" s="176" t="str">
        <f aca="false">IF(INDEX(Salary_Calculation[Source Row],ROW()-ROW(Payslip_Lookup[#Headers]))="","",INDEX(Salary_Calculation[Salary Before Other Deductions],ROW()-ROW(Payslip_Lookup[#Headers])))</f>
        <v/>
      </c>
      <c r="AD226" s="171" t="str">
        <f aca="false">IF(INDEX(Salary_Calculation[Source Row],ROW()-ROW(Payslip_Lookup[#Headers]))="","",INDEX(Salary_Calculation[Payment Status],ROW()-ROW(Payslip_Lookup[#Headers])))</f>
        <v/>
      </c>
      <c r="AE226" s="171" t="str">
        <f aca="false">IF(INDEX(Salary_Calculation[Source Row],ROW()-ROW(Payslip_Lookup[#Headers]))="","",INDEX(Salary_Calculation[Notes],ROW()-ROW(Payslip_Lookup[#Headers])))</f>
        <v/>
      </c>
      <c r="AF226" s="171" t="str">
        <f aca="false">IF(INDEX(Salary_Calculation[Source Row],ROW()-ROW(Payslip_Lookup[#Headers]))="","",INDEX(Salary_Calculation[Exception Reason],ROW()-ROW(Payslip_Lookup[#Headers])))</f>
        <v/>
      </c>
      <c r="AG226" s="173" t="str">
        <f aca="false">IF($AD226="Review Required",COUNTIF(AD$2:AD226,"Review Required"),"")</f>
        <v/>
      </c>
      <c r="AH226" s="173" t="str">
        <f aca="false">IF(AND($D226&lt;&gt;"",$B226=Payslip_Print!$C$2),MAX(AH$1:AH225)+1,"")</f>
        <v/>
      </c>
      <c r="AL226" s="178" t="str">
        <f aca="false">IFERROR(INDEX($D$2:$D$501,MATCH(ROW()-1,$AH$2:$AH$501,0)),"")</f>
        <v/>
      </c>
      <c r="AM226" s="179" t="str">
        <f aca="false">IF($Z226="","",IF(AND($C226&gt;=Dash_Start,$C226&lt;Dash_End),$Z226+ROW()/10000000,""))</f>
        <v/>
      </c>
    </row>
    <row r="227" customFormat="false" ht="14.25" hidden="false" customHeight="false" outlineLevel="0" collapsed="false">
      <c r="A227" s="171" t="str">
        <f aca="false">IF(Payslip_Lookup[[#This Row],[Rider ID]]="","",Payslip_Lookup[[#This Row],[Rider ID]]&amp;"|"&amp;Payslip_Lookup[[#This Row],[Month Key]])</f>
        <v/>
      </c>
      <c r="B227" s="172" t="str">
        <f aca="false">IF(ISNUMBER(Payslip_Lookup[[#This Row],[Salary Month]]),DATE(YEAR(Payslip_Lookup[[#This Row],[Salary Month]]),MONTH(Payslip_Lookup[[#This Row],[Salary Month]]),1),"")</f>
        <v/>
      </c>
      <c r="C227" s="172" t="str">
        <f aca="false">IF(INDEX(Salary_Calculation[Source Row],ROW()-ROW(Payslip_Lookup[#Headers]))="","",INDEX(Salary_Calculation[Salary Month],ROW()-ROW(Payslip_Lookup[#Headers])))</f>
        <v/>
      </c>
      <c r="D227" s="173" t="str">
        <f aca="false">IF(INDEX(Salary_Calculation[Source Row],ROW()-ROW(Payslip_Lookup[#Headers]))="","",INDEX(Salary_Calculation[Rider ID],ROW()-ROW(Payslip_Lookup[#Headers])))</f>
        <v/>
      </c>
      <c r="E227" s="171" t="str">
        <f aca="false">IF(INDEX(Salary_Calculation[Source Row],ROW()-ROW(Payslip_Lookup[#Headers]))="","",INDEX(Salary_Calculation[Rider Name],ROW()-ROW(Payslip_Lookup[#Headers])))</f>
        <v/>
      </c>
      <c r="F227" s="173" t="str">
        <f aca="false">IF(INDEX(Salary_Calculation[Source Row],ROW()-ROW(Payslip_Lookup[#Headers]))="","",INDEX(Salary_Calculation[Working Days],ROW()-ROW(Payslip_Lookup[#Headers])))</f>
        <v/>
      </c>
      <c r="G227" s="173" t="str">
        <f aca="false">IF(INDEX(Salary_Calculation[Source Row],ROW()-ROW(Payslip_Lookup[#Headers]))="","",INDEX(Salary_Calculation[Calendar Days],ROW()-ROW(Payslip_Lookup[#Headers])))</f>
        <v/>
      </c>
      <c r="H227" s="174" t="str">
        <f aca="false">IF(INDEX(Salary_Calculation[Source Row],ROW()-ROW(Payslip_Lookup[#Headers]))="","",INDEX(Salary_Calculation[Monthly Target Orders],ROW()-ROW(Payslip_Lookup[#Headers])))</f>
        <v/>
      </c>
      <c r="I227" s="174" t="str">
        <f aca="false">IF(INDEX(Salary_Calculation[Source Row],ROW()-ROW(Payslip_Lookup[#Headers]))="","",INDEX(Salary_Calculation[Rider Target Orders],ROW()-ROW(Payslip_Lookup[#Headers])))</f>
        <v/>
      </c>
      <c r="J227" s="175" t="str">
        <f aca="false">IF(INDEX(Salary_Calculation[Source Row],ROW()-ROW(Payslip_Lookup[#Headers]))="","",INDEX(Salary_Calculation[Completed Orders],ROW()-ROW(Payslip_Lookup[#Headers])))</f>
        <v/>
      </c>
      <c r="K227" s="174" t="str">
        <f aca="false">IF(INDEX(Salary_Calculation[Source Row],ROW()-ROW(Payslip_Lookup[#Headers]))="","",INDEX(Salary_Calculation[Base Order Rate],ROW()-ROW(Payslip_Lookup[#Headers])))</f>
        <v/>
      </c>
      <c r="L227" s="176" t="str">
        <f aca="false">IF(INDEX(Salary_Calculation[Source Row],ROW()-ROW(Payslip_Lookup[#Headers]))="","",INDEX(Salary_Calculation[Basic Payment],ROW()-ROW(Payslip_Lookup[#Headers])))</f>
        <v/>
      </c>
      <c r="M227" s="176" t="str">
        <f aca="false">IF(INDEX(Salary_Calculation[Source Row],ROW()-ROW(Payslip_Lookup[#Headers]))="","",INDEX(Salary_Calculation[Earned Salary],ROW()-ROW(Payslip_Lookup[#Headers])))</f>
        <v/>
      </c>
      <c r="N227" s="174" t="str">
        <f aca="false">IF(INDEX(Salary_Calculation[Source Row],ROW()-ROW(Payslip_Lookup[#Headers]))="","",INDEX(Salary_Calculation[Orders Counted at Base Rate],ROW()-ROW(Payslip_Lookup[#Headers])))</f>
        <v/>
      </c>
      <c r="O227" s="174" t="str">
        <f aca="false">IF(INDEX(Salary_Calculation[Source Row],ROW()-ROW(Payslip_Lookup[#Headers]))="","",INDEX(Salary_Calculation[Missing Orders],ROW()-ROW(Payslip_Lookup[#Headers])))</f>
        <v/>
      </c>
      <c r="P227" s="176" t="str">
        <f aca="false">IF(INDEX(Salary_Calculation[Source Row],ROW()-ROW(Payslip_Lookup[#Headers]))="","",INDEX(Salary_Calculation[Missing-Order Deduction],ROW()-ROW(Payslip_Lookup[#Headers])))</f>
        <v/>
      </c>
      <c r="Q227" s="174" t="str">
        <f aca="false">IF(INDEX(Salary_Calculation[Source Row],ROW()-ROW(Payslip_Lookup[#Headers]))="","",INDEX(Salary_Calculation[Extra Orders],ROW()-ROW(Payslip_Lookup[#Headers])))</f>
        <v/>
      </c>
      <c r="R227" s="176" t="str">
        <f aca="false">IF(INDEX(Salary_Calculation[Source Row],ROW()-ROW(Payslip_Lookup[#Headers]))="","",INDEX(Salary_Calculation[Extra-Order Bonus],ROW()-ROW(Payslip_Lookup[#Headers])))</f>
        <v/>
      </c>
      <c r="S227" s="176" t="str">
        <f aca="false">IF(INDEX(Salary_Calculation[Source Row],ROW()-ROW(Payslip_Lookup[#Headers]))="","",INDEX(Salary_Calculation[Basic Salary for Target],ROW()-ROW(Payslip_Lookup[#Headers])))</f>
        <v/>
      </c>
      <c r="T227" s="176" t="str">
        <f aca="false">IF(INDEX(Salary_Calculation[Source Row],ROW()-ROW(Payslip_Lookup[#Headers]))="","",INDEX(Salary_Calculation[Gross Salary Before Deductions],ROW()-ROW(Payslip_Lookup[#Headers])))</f>
        <v/>
      </c>
      <c r="U227" s="176" t="str">
        <f aca="false">IF(INDEX(Salary_Calculation[Source Row],ROW()-ROW(Payslip_Lookup[#Headers]))="","",INDEX(Salary_Calculation[missed_days_penalty],ROW()-ROW(Payslip_Lookup[#Headers])))</f>
        <v/>
      </c>
      <c r="V227" s="176" t="str">
        <f aca="false">IF(INDEX(Salary_Calculation[Source Row],ROW()-ROW(Payslip_Lookup[#Headers]))="","",INDEX(Salary_Calculation[Rider Balance],ROW()-ROW(Payslip_Lookup[#Headers])))</f>
        <v/>
      </c>
      <c r="W227" s="176" t="str">
        <f aca="false">IF(INDEX(Salary_Calculation[Source Row],ROW()-ROW(Payslip_Lookup[#Headers]))="","",INDEX(Salary_Calculation[stacking_deduction],ROW()-ROW(Payslip_Lookup[#Headers])))</f>
        <v/>
      </c>
      <c r="X227" s="176" t="str">
        <f aca="false">IF(INDEX(Salary_Calculation[Source Row],ROW()-ROW(Payslip_Lookup[#Headers]))="","",INDEX(Salary_Calculation[Other Deductions],ROW()-ROW(Payslip_Lookup[#Headers])))</f>
        <v/>
      </c>
      <c r="Y227" s="176" t="str">
        <f aca="false">IF(INDEX(Salary_Calculation[Source Row],ROW()-ROW(Payslip_Lookup[#Headers]))="","",INDEX(Salary_Calculation[Total Deductions],ROW()-ROW(Payslip_Lookup[#Headers])))</f>
        <v/>
      </c>
      <c r="Z227" s="176" t="str">
        <f aca="false">IF(INDEX(Salary_Calculation[Source Row],ROW()-ROW(Payslip_Lookup[#Headers]))="","",INDEX(Salary_Calculation[Final Salary],ROW()-ROW(Payslip_Lookup[#Headers])))</f>
        <v/>
      </c>
      <c r="AA227" s="176" t="str">
        <f aca="false">IF(INDEX(Salary_Calculation[Source Row],ROW()-ROW(Payslip_Lookup[#Headers]))="","",INDEX(Salary_Calculation[Negative Balance / Amount Due from Rider],ROW()-ROW(Payslip_Lookup[#Headers])))</f>
        <v/>
      </c>
      <c r="AB227" s="176" t="str">
        <f aca="false">IF(INDEX(Salary_Calculation[Source Row],ROW()-ROW(Payslip_Lookup[#Headers]))="","",INDEX(Salary_Calculation[Total Amount Due from Rider],ROW()-ROW(Payslip_Lookup[#Headers])))</f>
        <v/>
      </c>
      <c r="AC227" s="176" t="str">
        <f aca="false">IF(INDEX(Salary_Calculation[Source Row],ROW()-ROW(Payslip_Lookup[#Headers]))="","",INDEX(Salary_Calculation[Salary Before Other Deductions],ROW()-ROW(Payslip_Lookup[#Headers])))</f>
        <v/>
      </c>
      <c r="AD227" s="171" t="str">
        <f aca="false">IF(INDEX(Salary_Calculation[Source Row],ROW()-ROW(Payslip_Lookup[#Headers]))="","",INDEX(Salary_Calculation[Payment Status],ROW()-ROW(Payslip_Lookup[#Headers])))</f>
        <v/>
      </c>
      <c r="AE227" s="171" t="str">
        <f aca="false">IF(INDEX(Salary_Calculation[Source Row],ROW()-ROW(Payslip_Lookup[#Headers]))="","",INDEX(Salary_Calculation[Notes],ROW()-ROW(Payslip_Lookup[#Headers])))</f>
        <v/>
      </c>
      <c r="AF227" s="171" t="str">
        <f aca="false">IF(INDEX(Salary_Calculation[Source Row],ROW()-ROW(Payslip_Lookup[#Headers]))="","",INDEX(Salary_Calculation[Exception Reason],ROW()-ROW(Payslip_Lookup[#Headers])))</f>
        <v/>
      </c>
      <c r="AG227" s="173" t="str">
        <f aca="false">IF($AD227="Review Required",COUNTIF(AD$2:AD227,"Review Required"),"")</f>
        <v/>
      </c>
      <c r="AH227" s="173" t="str">
        <f aca="false">IF(AND($D227&lt;&gt;"",$B227=Payslip_Print!$C$2),MAX(AH$1:AH226)+1,"")</f>
        <v/>
      </c>
      <c r="AL227" s="178" t="str">
        <f aca="false">IFERROR(INDEX($D$2:$D$501,MATCH(ROW()-1,$AH$2:$AH$501,0)),"")</f>
        <v/>
      </c>
      <c r="AM227" s="179" t="str">
        <f aca="false">IF($Z227="","",IF(AND($C227&gt;=Dash_Start,$C227&lt;Dash_End),$Z227+ROW()/10000000,""))</f>
        <v/>
      </c>
    </row>
    <row r="228" customFormat="false" ht="14.25" hidden="false" customHeight="false" outlineLevel="0" collapsed="false">
      <c r="A228" s="171" t="str">
        <f aca="false">IF(Payslip_Lookup[[#This Row],[Rider ID]]="","",Payslip_Lookup[[#This Row],[Rider ID]]&amp;"|"&amp;Payslip_Lookup[[#This Row],[Month Key]])</f>
        <v/>
      </c>
      <c r="B228" s="172" t="str">
        <f aca="false">IF(ISNUMBER(Payslip_Lookup[[#This Row],[Salary Month]]),DATE(YEAR(Payslip_Lookup[[#This Row],[Salary Month]]),MONTH(Payslip_Lookup[[#This Row],[Salary Month]]),1),"")</f>
        <v/>
      </c>
      <c r="C228" s="172" t="str">
        <f aca="false">IF(INDEX(Salary_Calculation[Source Row],ROW()-ROW(Payslip_Lookup[#Headers]))="","",INDEX(Salary_Calculation[Salary Month],ROW()-ROW(Payslip_Lookup[#Headers])))</f>
        <v/>
      </c>
      <c r="D228" s="173" t="str">
        <f aca="false">IF(INDEX(Salary_Calculation[Source Row],ROW()-ROW(Payslip_Lookup[#Headers]))="","",INDEX(Salary_Calculation[Rider ID],ROW()-ROW(Payslip_Lookup[#Headers])))</f>
        <v/>
      </c>
      <c r="E228" s="171" t="str">
        <f aca="false">IF(INDEX(Salary_Calculation[Source Row],ROW()-ROW(Payslip_Lookup[#Headers]))="","",INDEX(Salary_Calculation[Rider Name],ROW()-ROW(Payslip_Lookup[#Headers])))</f>
        <v/>
      </c>
      <c r="F228" s="173" t="str">
        <f aca="false">IF(INDEX(Salary_Calculation[Source Row],ROW()-ROW(Payslip_Lookup[#Headers]))="","",INDEX(Salary_Calculation[Working Days],ROW()-ROW(Payslip_Lookup[#Headers])))</f>
        <v/>
      </c>
      <c r="G228" s="173" t="str">
        <f aca="false">IF(INDEX(Salary_Calculation[Source Row],ROW()-ROW(Payslip_Lookup[#Headers]))="","",INDEX(Salary_Calculation[Calendar Days],ROW()-ROW(Payslip_Lookup[#Headers])))</f>
        <v/>
      </c>
      <c r="H228" s="174" t="str">
        <f aca="false">IF(INDEX(Salary_Calculation[Source Row],ROW()-ROW(Payslip_Lookup[#Headers]))="","",INDEX(Salary_Calculation[Monthly Target Orders],ROW()-ROW(Payslip_Lookup[#Headers])))</f>
        <v/>
      </c>
      <c r="I228" s="174" t="str">
        <f aca="false">IF(INDEX(Salary_Calculation[Source Row],ROW()-ROW(Payslip_Lookup[#Headers]))="","",INDEX(Salary_Calculation[Rider Target Orders],ROW()-ROW(Payslip_Lookup[#Headers])))</f>
        <v/>
      </c>
      <c r="J228" s="175" t="str">
        <f aca="false">IF(INDEX(Salary_Calculation[Source Row],ROW()-ROW(Payslip_Lookup[#Headers]))="","",INDEX(Salary_Calculation[Completed Orders],ROW()-ROW(Payslip_Lookup[#Headers])))</f>
        <v/>
      </c>
      <c r="K228" s="174" t="str">
        <f aca="false">IF(INDEX(Salary_Calculation[Source Row],ROW()-ROW(Payslip_Lookup[#Headers]))="","",INDEX(Salary_Calculation[Base Order Rate],ROW()-ROW(Payslip_Lookup[#Headers])))</f>
        <v/>
      </c>
      <c r="L228" s="176" t="str">
        <f aca="false">IF(INDEX(Salary_Calculation[Source Row],ROW()-ROW(Payslip_Lookup[#Headers]))="","",INDEX(Salary_Calculation[Basic Payment],ROW()-ROW(Payslip_Lookup[#Headers])))</f>
        <v/>
      </c>
      <c r="M228" s="176" t="str">
        <f aca="false">IF(INDEX(Salary_Calculation[Source Row],ROW()-ROW(Payslip_Lookup[#Headers]))="","",INDEX(Salary_Calculation[Earned Salary],ROW()-ROW(Payslip_Lookup[#Headers])))</f>
        <v/>
      </c>
      <c r="N228" s="174" t="str">
        <f aca="false">IF(INDEX(Salary_Calculation[Source Row],ROW()-ROW(Payslip_Lookup[#Headers]))="","",INDEX(Salary_Calculation[Orders Counted at Base Rate],ROW()-ROW(Payslip_Lookup[#Headers])))</f>
        <v/>
      </c>
      <c r="O228" s="174" t="str">
        <f aca="false">IF(INDEX(Salary_Calculation[Source Row],ROW()-ROW(Payslip_Lookup[#Headers]))="","",INDEX(Salary_Calculation[Missing Orders],ROW()-ROW(Payslip_Lookup[#Headers])))</f>
        <v/>
      </c>
      <c r="P228" s="176" t="str">
        <f aca="false">IF(INDEX(Salary_Calculation[Source Row],ROW()-ROW(Payslip_Lookup[#Headers]))="","",INDEX(Salary_Calculation[Missing-Order Deduction],ROW()-ROW(Payslip_Lookup[#Headers])))</f>
        <v/>
      </c>
      <c r="Q228" s="174" t="str">
        <f aca="false">IF(INDEX(Salary_Calculation[Source Row],ROW()-ROW(Payslip_Lookup[#Headers]))="","",INDEX(Salary_Calculation[Extra Orders],ROW()-ROW(Payslip_Lookup[#Headers])))</f>
        <v/>
      </c>
      <c r="R228" s="176" t="str">
        <f aca="false">IF(INDEX(Salary_Calculation[Source Row],ROW()-ROW(Payslip_Lookup[#Headers]))="","",INDEX(Salary_Calculation[Extra-Order Bonus],ROW()-ROW(Payslip_Lookup[#Headers])))</f>
        <v/>
      </c>
      <c r="S228" s="176" t="str">
        <f aca="false">IF(INDEX(Salary_Calculation[Source Row],ROW()-ROW(Payslip_Lookup[#Headers]))="","",INDEX(Salary_Calculation[Basic Salary for Target],ROW()-ROW(Payslip_Lookup[#Headers])))</f>
        <v/>
      </c>
      <c r="T228" s="176" t="str">
        <f aca="false">IF(INDEX(Salary_Calculation[Source Row],ROW()-ROW(Payslip_Lookup[#Headers]))="","",INDEX(Salary_Calculation[Gross Salary Before Deductions],ROW()-ROW(Payslip_Lookup[#Headers])))</f>
        <v/>
      </c>
      <c r="U228" s="176" t="str">
        <f aca="false">IF(INDEX(Salary_Calculation[Source Row],ROW()-ROW(Payslip_Lookup[#Headers]))="","",INDEX(Salary_Calculation[missed_days_penalty],ROW()-ROW(Payslip_Lookup[#Headers])))</f>
        <v/>
      </c>
      <c r="V228" s="176" t="str">
        <f aca="false">IF(INDEX(Salary_Calculation[Source Row],ROW()-ROW(Payslip_Lookup[#Headers]))="","",INDEX(Salary_Calculation[Rider Balance],ROW()-ROW(Payslip_Lookup[#Headers])))</f>
        <v/>
      </c>
      <c r="W228" s="176" t="str">
        <f aca="false">IF(INDEX(Salary_Calculation[Source Row],ROW()-ROW(Payslip_Lookup[#Headers]))="","",INDEX(Salary_Calculation[stacking_deduction],ROW()-ROW(Payslip_Lookup[#Headers])))</f>
        <v/>
      </c>
      <c r="X228" s="176" t="str">
        <f aca="false">IF(INDEX(Salary_Calculation[Source Row],ROW()-ROW(Payslip_Lookup[#Headers]))="","",INDEX(Salary_Calculation[Other Deductions],ROW()-ROW(Payslip_Lookup[#Headers])))</f>
        <v/>
      </c>
      <c r="Y228" s="176" t="str">
        <f aca="false">IF(INDEX(Salary_Calculation[Source Row],ROW()-ROW(Payslip_Lookup[#Headers]))="","",INDEX(Salary_Calculation[Total Deductions],ROW()-ROW(Payslip_Lookup[#Headers])))</f>
        <v/>
      </c>
      <c r="Z228" s="176" t="str">
        <f aca="false">IF(INDEX(Salary_Calculation[Source Row],ROW()-ROW(Payslip_Lookup[#Headers]))="","",INDEX(Salary_Calculation[Final Salary],ROW()-ROW(Payslip_Lookup[#Headers])))</f>
        <v/>
      </c>
      <c r="AA228" s="176" t="str">
        <f aca="false">IF(INDEX(Salary_Calculation[Source Row],ROW()-ROW(Payslip_Lookup[#Headers]))="","",INDEX(Salary_Calculation[Negative Balance / Amount Due from Rider],ROW()-ROW(Payslip_Lookup[#Headers])))</f>
        <v/>
      </c>
      <c r="AB228" s="176" t="str">
        <f aca="false">IF(INDEX(Salary_Calculation[Source Row],ROW()-ROW(Payslip_Lookup[#Headers]))="","",INDEX(Salary_Calculation[Total Amount Due from Rider],ROW()-ROW(Payslip_Lookup[#Headers])))</f>
        <v/>
      </c>
      <c r="AC228" s="176" t="str">
        <f aca="false">IF(INDEX(Salary_Calculation[Source Row],ROW()-ROW(Payslip_Lookup[#Headers]))="","",INDEX(Salary_Calculation[Salary Before Other Deductions],ROW()-ROW(Payslip_Lookup[#Headers])))</f>
        <v/>
      </c>
      <c r="AD228" s="171" t="str">
        <f aca="false">IF(INDEX(Salary_Calculation[Source Row],ROW()-ROW(Payslip_Lookup[#Headers]))="","",INDEX(Salary_Calculation[Payment Status],ROW()-ROW(Payslip_Lookup[#Headers])))</f>
        <v/>
      </c>
      <c r="AE228" s="171" t="str">
        <f aca="false">IF(INDEX(Salary_Calculation[Source Row],ROW()-ROW(Payslip_Lookup[#Headers]))="","",INDEX(Salary_Calculation[Notes],ROW()-ROW(Payslip_Lookup[#Headers])))</f>
        <v/>
      </c>
      <c r="AF228" s="171" t="str">
        <f aca="false">IF(INDEX(Salary_Calculation[Source Row],ROW()-ROW(Payslip_Lookup[#Headers]))="","",INDEX(Salary_Calculation[Exception Reason],ROW()-ROW(Payslip_Lookup[#Headers])))</f>
        <v/>
      </c>
      <c r="AG228" s="173" t="str">
        <f aca="false">IF($AD228="Review Required",COUNTIF(AD$2:AD228,"Review Required"),"")</f>
        <v/>
      </c>
      <c r="AH228" s="173" t="str">
        <f aca="false">IF(AND($D228&lt;&gt;"",$B228=Payslip_Print!$C$2),MAX(AH$1:AH227)+1,"")</f>
        <v/>
      </c>
      <c r="AL228" s="178" t="str">
        <f aca="false">IFERROR(INDEX($D$2:$D$501,MATCH(ROW()-1,$AH$2:$AH$501,0)),"")</f>
        <v/>
      </c>
      <c r="AM228" s="179" t="str">
        <f aca="false">IF($Z228="","",IF(AND($C228&gt;=Dash_Start,$C228&lt;Dash_End),$Z228+ROW()/10000000,""))</f>
        <v/>
      </c>
    </row>
    <row r="229" customFormat="false" ht="14.25" hidden="false" customHeight="false" outlineLevel="0" collapsed="false">
      <c r="A229" s="171" t="str">
        <f aca="false">IF(Payslip_Lookup[[#This Row],[Rider ID]]="","",Payslip_Lookup[[#This Row],[Rider ID]]&amp;"|"&amp;Payslip_Lookup[[#This Row],[Month Key]])</f>
        <v/>
      </c>
      <c r="B229" s="172" t="str">
        <f aca="false">IF(ISNUMBER(Payslip_Lookup[[#This Row],[Salary Month]]),DATE(YEAR(Payslip_Lookup[[#This Row],[Salary Month]]),MONTH(Payslip_Lookup[[#This Row],[Salary Month]]),1),"")</f>
        <v/>
      </c>
      <c r="C229" s="172" t="str">
        <f aca="false">IF(INDEX(Salary_Calculation[Source Row],ROW()-ROW(Payslip_Lookup[#Headers]))="","",INDEX(Salary_Calculation[Salary Month],ROW()-ROW(Payslip_Lookup[#Headers])))</f>
        <v/>
      </c>
      <c r="D229" s="173" t="str">
        <f aca="false">IF(INDEX(Salary_Calculation[Source Row],ROW()-ROW(Payslip_Lookup[#Headers]))="","",INDEX(Salary_Calculation[Rider ID],ROW()-ROW(Payslip_Lookup[#Headers])))</f>
        <v/>
      </c>
      <c r="E229" s="171" t="str">
        <f aca="false">IF(INDEX(Salary_Calculation[Source Row],ROW()-ROW(Payslip_Lookup[#Headers]))="","",INDEX(Salary_Calculation[Rider Name],ROW()-ROW(Payslip_Lookup[#Headers])))</f>
        <v/>
      </c>
      <c r="F229" s="173" t="str">
        <f aca="false">IF(INDEX(Salary_Calculation[Source Row],ROW()-ROW(Payslip_Lookup[#Headers]))="","",INDEX(Salary_Calculation[Working Days],ROW()-ROW(Payslip_Lookup[#Headers])))</f>
        <v/>
      </c>
      <c r="G229" s="173" t="str">
        <f aca="false">IF(INDEX(Salary_Calculation[Source Row],ROW()-ROW(Payslip_Lookup[#Headers]))="","",INDEX(Salary_Calculation[Calendar Days],ROW()-ROW(Payslip_Lookup[#Headers])))</f>
        <v/>
      </c>
      <c r="H229" s="174" t="str">
        <f aca="false">IF(INDEX(Salary_Calculation[Source Row],ROW()-ROW(Payslip_Lookup[#Headers]))="","",INDEX(Salary_Calculation[Monthly Target Orders],ROW()-ROW(Payslip_Lookup[#Headers])))</f>
        <v/>
      </c>
      <c r="I229" s="174" t="str">
        <f aca="false">IF(INDEX(Salary_Calculation[Source Row],ROW()-ROW(Payslip_Lookup[#Headers]))="","",INDEX(Salary_Calculation[Rider Target Orders],ROW()-ROW(Payslip_Lookup[#Headers])))</f>
        <v/>
      </c>
      <c r="J229" s="175" t="str">
        <f aca="false">IF(INDEX(Salary_Calculation[Source Row],ROW()-ROW(Payslip_Lookup[#Headers]))="","",INDEX(Salary_Calculation[Completed Orders],ROW()-ROW(Payslip_Lookup[#Headers])))</f>
        <v/>
      </c>
      <c r="K229" s="174" t="str">
        <f aca="false">IF(INDEX(Salary_Calculation[Source Row],ROW()-ROW(Payslip_Lookup[#Headers]))="","",INDEX(Salary_Calculation[Base Order Rate],ROW()-ROW(Payslip_Lookup[#Headers])))</f>
        <v/>
      </c>
      <c r="L229" s="176" t="str">
        <f aca="false">IF(INDEX(Salary_Calculation[Source Row],ROW()-ROW(Payslip_Lookup[#Headers]))="","",INDEX(Salary_Calculation[Basic Payment],ROW()-ROW(Payslip_Lookup[#Headers])))</f>
        <v/>
      </c>
      <c r="M229" s="176" t="str">
        <f aca="false">IF(INDEX(Salary_Calculation[Source Row],ROW()-ROW(Payslip_Lookup[#Headers]))="","",INDEX(Salary_Calculation[Earned Salary],ROW()-ROW(Payslip_Lookup[#Headers])))</f>
        <v/>
      </c>
      <c r="N229" s="174" t="str">
        <f aca="false">IF(INDEX(Salary_Calculation[Source Row],ROW()-ROW(Payslip_Lookup[#Headers]))="","",INDEX(Salary_Calculation[Orders Counted at Base Rate],ROW()-ROW(Payslip_Lookup[#Headers])))</f>
        <v/>
      </c>
      <c r="O229" s="174" t="str">
        <f aca="false">IF(INDEX(Salary_Calculation[Source Row],ROW()-ROW(Payslip_Lookup[#Headers]))="","",INDEX(Salary_Calculation[Missing Orders],ROW()-ROW(Payslip_Lookup[#Headers])))</f>
        <v/>
      </c>
      <c r="P229" s="176" t="str">
        <f aca="false">IF(INDEX(Salary_Calculation[Source Row],ROW()-ROW(Payslip_Lookup[#Headers]))="","",INDEX(Salary_Calculation[Missing-Order Deduction],ROW()-ROW(Payslip_Lookup[#Headers])))</f>
        <v/>
      </c>
      <c r="Q229" s="174" t="str">
        <f aca="false">IF(INDEX(Salary_Calculation[Source Row],ROW()-ROW(Payslip_Lookup[#Headers]))="","",INDEX(Salary_Calculation[Extra Orders],ROW()-ROW(Payslip_Lookup[#Headers])))</f>
        <v/>
      </c>
      <c r="R229" s="176" t="str">
        <f aca="false">IF(INDEX(Salary_Calculation[Source Row],ROW()-ROW(Payslip_Lookup[#Headers]))="","",INDEX(Salary_Calculation[Extra-Order Bonus],ROW()-ROW(Payslip_Lookup[#Headers])))</f>
        <v/>
      </c>
      <c r="S229" s="176" t="str">
        <f aca="false">IF(INDEX(Salary_Calculation[Source Row],ROW()-ROW(Payslip_Lookup[#Headers]))="","",INDEX(Salary_Calculation[Basic Salary for Target],ROW()-ROW(Payslip_Lookup[#Headers])))</f>
        <v/>
      </c>
      <c r="T229" s="176" t="str">
        <f aca="false">IF(INDEX(Salary_Calculation[Source Row],ROW()-ROW(Payslip_Lookup[#Headers]))="","",INDEX(Salary_Calculation[Gross Salary Before Deductions],ROW()-ROW(Payslip_Lookup[#Headers])))</f>
        <v/>
      </c>
      <c r="U229" s="176" t="str">
        <f aca="false">IF(INDEX(Salary_Calculation[Source Row],ROW()-ROW(Payslip_Lookup[#Headers]))="","",INDEX(Salary_Calculation[missed_days_penalty],ROW()-ROW(Payslip_Lookup[#Headers])))</f>
        <v/>
      </c>
      <c r="V229" s="176" t="str">
        <f aca="false">IF(INDEX(Salary_Calculation[Source Row],ROW()-ROW(Payslip_Lookup[#Headers]))="","",INDEX(Salary_Calculation[Rider Balance],ROW()-ROW(Payslip_Lookup[#Headers])))</f>
        <v/>
      </c>
      <c r="W229" s="176" t="str">
        <f aca="false">IF(INDEX(Salary_Calculation[Source Row],ROW()-ROW(Payslip_Lookup[#Headers]))="","",INDEX(Salary_Calculation[stacking_deduction],ROW()-ROW(Payslip_Lookup[#Headers])))</f>
        <v/>
      </c>
      <c r="X229" s="176" t="str">
        <f aca="false">IF(INDEX(Salary_Calculation[Source Row],ROW()-ROW(Payslip_Lookup[#Headers]))="","",INDEX(Salary_Calculation[Other Deductions],ROW()-ROW(Payslip_Lookup[#Headers])))</f>
        <v/>
      </c>
      <c r="Y229" s="176" t="str">
        <f aca="false">IF(INDEX(Salary_Calculation[Source Row],ROW()-ROW(Payslip_Lookup[#Headers]))="","",INDEX(Salary_Calculation[Total Deductions],ROW()-ROW(Payslip_Lookup[#Headers])))</f>
        <v/>
      </c>
      <c r="Z229" s="176" t="str">
        <f aca="false">IF(INDEX(Salary_Calculation[Source Row],ROW()-ROW(Payslip_Lookup[#Headers]))="","",INDEX(Salary_Calculation[Final Salary],ROW()-ROW(Payslip_Lookup[#Headers])))</f>
        <v/>
      </c>
      <c r="AA229" s="176" t="str">
        <f aca="false">IF(INDEX(Salary_Calculation[Source Row],ROW()-ROW(Payslip_Lookup[#Headers]))="","",INDEX(Salary_Calculation[Negative Balance / Amount Due from Rider],ROW()-ROW(Payslip_Lookup[#Headers])))</f>
        <v/>
      </c>
      <c r="AB229" s="176" t="str">
        <f aca="false">IF(INDEX(Salary_Calculation[Source Row],ROW()-ROW(Payslip_Lookup[#Headers]))="","",INDEX(Salary_Calculation[Total Amount Due from Rider],ROW()-ROW(Payslip_Lookup[#Headers])))</f>
        <v/>
      </c>
      <c r="AC229" s="176" t="str">
        <f aca="false">IF(INDEX(Salary_Calculation[Source Row],ROW()-ROW(Payslip_Lookup[#Headers]))="","",INDEX(Salary_Calculation[Salary Before Other Deductions],ROW()-ROW(Payslip_Lookup[#Headers])))</f>
        <v/>
      </c>
      <c r="AD229" s="171" t="str">
        <f aca="false">IF(INDEX(Salary_Calculation[Source Row],ROW()-ROW(Payslip_Lookup[#Headers]))="","",INDEX(Salary_Calculation[Payment Status],ROW()-ROW(Payslip_Lookup[#Headers])))</f>
        <v/>
      </c>
      <c r="AE229" s="171" t="str">
        <f aca="false">IF(INDEX(Salary_Calculation[Source Row],ROW()-ROW(Payslip_Lookup[#Headers]))="","",INDEX(Salary_Calculation[Notes],ROW()-ROW(Payslip_Lookup[#Headers])))</f>
        <v/>
      </c>
      <c r="AF229" s="171" t="str">
        <f aca="false">IF(INDEX(Salary_Calculation[Source Row],ROW()-ROW(Payslip_Lookup[#Headers]))="","",INDEX(Salary_Calculation[Exception Reason],ROW()-ROW(Payslip_Lookup[#Headers])))</f>
        <v/>
      </c>
      <c r="AG229" s="173" t="str">
        <f aca="false">IF($AD229="Review Required",COUNTIF(AD$2:AD229,"Review Required"),"")</f>
        <v/>
      </c>
      <c r="AH229" s="173" t="str">
        <f aca="false">IF(AND($D229&lt;&gt;"",$B229=Payslip_Print!$C$2),MAX(AH$1:AH228)+1,"")</f>
        <v/>
      </c>
      <c r="AL229" s="178" t="str">
        <f aca="false">IFERROR(INDEX($D$2:$D$501,MATCH(ROW()-1,$AH$2:$AH$501,0)),"")</f>
        <v/>
      </c>
      <c r="AM229" s="179" t="str">
        <f aca="false">IF($Z229="","",IF(AND($C229&gt;=Dash_Start,$C229&lt;Dash_End),$Z229+ROW()/10000000,""))</f>
        <v/>
      </c>
    </row>
    <row r="230" customFormat="false" ht="14.25" hidden="false" customHeight="false" outlineLevel="0" collapsed="false">
      <c r="A230" s="171" t="str">
        <f aca="false">IF(Payslip_Lookup[[#This Row],[Rider ID]]="","",Payslip_Lookup[[#This Row],[Rider ID]]&amp;"|"&amp;Payslip_Lookup[[#This Row],[Month Key]])</f>
        <v/>
      </c>
      <c r="B230" s="172" t="str">
        <f aca="false">IF(ISNUMBER(Payslip_Lookup[[#This Row],[Salary Month]]),DATE(YEAR(Payslip_Lookup[[#This Row],[Salary Month]]),MONTH(Payslip_Lookup[[#This Row],[Salary Month]]),1),"")</f>
        <v/>
      </c>
      <c r="C230" s="172" t="str">
        <f aca="false">IF(INDEX(Salary_Calculation[Source Row],ROW()-ROW(Payslip_Lookup[#Headers]))="","",INDEX(Salary_Calculation[Salary Month],ROW()-ROW(Payslip_Lookup[#Headers])))</f>
        <v/>
      </c>
      <c r="D230" s="173" t="str">
        <f aca="false">IF(INDEX(Salary_Calculation[Source Row],ROW()-ROW(Payslip_Lookup[#Headers]))="","",INDEX(Salary_Calculation[Rider ID],ROW()-ROW(Payslip_Lookup[#Headers])))</f>
        <v/>
      </c>
      <c r="E230" s="171" t="str">
        <f aca="false">IF(INDEX(Salary_Calculation[Source Row],ROW()-ROW(Payslip_Lookup[#Headers]))="","",INDEX(Salary_Calculation[Rider Name],ROW()-ROW(Payslip_Lookup[#Headers])))</f>
        <v/>
      </c>
      <c r="F230" s="173" t="str">
        <f aca="false">IF(INDEX(Salary_Calculation[Source Row],ROW()-ROW(Payslip_Lookup[#Headers]))="","",INDEX(Salary_Calculation[Working Days],ROW()-ROW(Payslip_Lookup[#Headers])))</f>
        <v/>
      </c>
      <c r="G230" s="173" t="str">
        <f aca="false">IF(INDEX(Salary_Calculation[Source Row],ROW()-ROW(Payslip_Lookup[#Headers]))="","",INDEX(Salary_Calculation[Calendar Days],ROW()-ROW(Payslip_Lookup[#Headers])))</f>
        <v/>
      </c>
      <c r="H230" s="174" t="str">
        <f aca="false">IF(INDEX(Salary_Calculation[Source Row],ROW()-ROW(Payslip_Lookup[#Headers]))="","",INDEX(Salary_Calculation[Monthly Target Orders],ROW()-ROW(Payslip_Lookup[#Headers])))</f>
        <v/>
      </c>
      <c r="I230" s="174" t="str">
        <f aca="false">IF(INDEX(Salary_Calculation[Source Row],ROW()-ROW(Payslip_Lookup[#Headers]))="","",INDEX(Salary_Calculation[Rider Target Orders],ROW()-ROW(Payslip_Lookup[#Headers])))</f>
        <v/>
      </c>
      <c r="J230" s="175" t="str">
        <f aca="false">IF(INDEX(Salary_Calculation[Source Row],ROW()-ROW(Payslip_Lookup[#Headers]))="","",INDEX(Salary_Calculation[Completed Orders],ROW()-ROW(Payslip_Lookup[#Headers])))</f>
        <v/>
      </c>
      <c r="K230" s="174" t="str">
        <f aca="false">IF(INDEX(Salary_Calculation[Source Row],ROW()-ROW(Payslip_Lookup[#Headers]))="","",INDEX(Salary_Calculation[Base Order Rate],ROW()-ROW(Payslip_Lookup[#Headers])))</f>
        <v/>
      </c>
      <c r="L230" s="176" t="str">
        <f aca="false">IF(INDEX(Salary_Calculation[Source Row],ROW()-ROW(Payslip_Lookup[#Headers]))="","",INDEX(Salary_Calculation[Basic Payment],ROW()-ROW(Payslip_Lookup[#Headers])))</f>
        <v/>
      </c>
      <c r="M230" s="176" t="str">
        <f aca="false">IF(INDEX(Salary_Calculation[Source Row],ROW()-ROW(Payslip_Lookup[#Headers]))="","",INDEX(Salary_Calculation[Earned Salary],ROW()-ROW(Payslip_Lookup[#Headers])))</f>
        <v/>
      </c>
      <c r="N230" s="174" t="str">
        <f aca="false">IF(INDEX(Salary_Calculation[Source Row],ROW()-ROW(Payslip_Lookup[#Headers]))="","",INDEX(Salary_Calculation[Orders Counted at Base Rate],ROW()-ROW(Payslip_Lookup[#Headers])))</f>
        <v/>
      </c>
      <c r="O230" s="174" t="str">
        <f aca="false">IF(INDEX(Salary_Calculation[Source Row],ROW()-ROW(Payslip_Lookup[#Headers]))="","",INDEX(Salary_Calculation[Missing Orders],ROW()-ROW(Payslip_Lookup[#Headers])))</f>
        <v/>
      </c>
      <c r="P230" s="176" t="str">
        <f aca="false">IF(INDEX(Salary_Calculation[Source Row],ROW()-ROW(Payslip_Lookup[#Headers]))="","",INDEX(Salary_Calculation[Missing-Order Deduction],ROW()-ROW(Payslip_Lookup[#Headers])))</f>
        <v/>
      </c>
      <c r="Q230" s="174" t="str">
        <f aca="false">IF(INDEX(Salary_Calculation[Source Row],ROW()-ROW(Payslip_Lookup[#Headers]))="","",INDEX(Salary_Calculation[Extra Orders],ROW()-ROW(Payslip_Lookup[#Headers])))</f>
        <v/>
      </c>
      <c r="R230" s="176" t="str">
        <f aca="false">IF(INDEX(Salary_Calculation[Source Row],ROW()-ROW(Payslip_Lookup[#Headers]))="","",INDEX(Salary_Calculation[Extra-Order Bonus],ROW()-ROW(Payslip_Lookup[#Headers])))</f>
        <v/>
      </c>
      <c r="S230" s="176" t="str">
        <f aca="false">IF(INDEX(Salary_Calculation[Source Row],ROW()-ROW(Payslip_Lookup[#Headers]))="","",INDEX(Salary_Calculation[Basic Salary for Target],ROW()-ROW(Payslip_Lookup[#Headers])))</f>
        <v/>
      </c>
      <c r="T230" s="176" t="str">
        <f aca="false">IF(INDEX(Salary_Calculation[Source Row],ROW()-ROW(Payslip_Lookup[#Headers]))="","",INDEX(Salary_Calculation[Gross Salary Before Deductions],ROW()-ROW(Payslip_Lookup[#Headers])))</f>
        <v/>
      </c>
      <c r="U230" s="176" t="str">
        <f aca="false">IF(INDEX(Salary_Calculation[Source Row],ROW()-ROW(Payslip_Lookup[#Headers]))="","",INDEX(Salary_Calculation[missed_days_penalty],ROW()-ROW(Payslip_Lookup[#Headers])))</f>
        <v/>
      </c>
      <c r="V230" s="176" t="str">
        <f aca="false">IF(INDEX(Salary_Calculation[Source Row],ROW()-ROW(Payslip_Lookup[#Headers]))="","",INDEX(Salary_Calculation[Rider Balance],ROW()-ROW(Payslip_Lookup[#Headers])))</f>
        <v/>
      </c>
      <c r="W230" s="176" t="str">
        <f aca="false">IF(INDEX(Salary_Calculation[Source Row],ROW()-ROW(Payslip_Lookup[#Headers]))="","",INDEX(Salary_Calculation[stacking_deduction],ROW()-ROW(Payslip_Lookup[#Headers])))</f>
        <v/>
      </c>
      <c r="X230" s="176" t="str">
        <f aca="false">IF(INDEX(Salary_Calculation[Source Row],ROW()-ROW(Payslip_Lookup[#Headers]))="","",INDEX(Salary_Calculation[Other Deductions],ROW()-ROW(Payslip_Lookup[#Headers])))</f>
        <v/>
      </c>
      <c r="Y230" s="176" t="str">
        <f aca="false">IF(INDEX(Salary_Calculation[Source Row],ROW()-ROW(Payslip_Lookup[#Headers]))="","",INDEX(Salary_Calculation[Total Deductions],ROW()-ROW(Payslip_Lookup[#Headers])))</f>
        <v/>
      </c>
      <c r="Z230" s="176" t="str">
        <f aca="false">IF(INDEX(Salary_Calculation[Source Row],ROW()-ROW(Payslip_Lookup[#Headers]))="","",INDEX(Salary_Calculation[Final Salary],ROW()-ROW(Payslip_Lookup[#Headers])))</f>
        <v/>
      </c>
      <c r="AA230" s="176" t="str">
        <f aca="false">IF(INDEX(Salary_Calculation[Source Row],ROW()-ROW(Payslip_Lookup[#Headers]))="","",INDEX(Salary_Calculation[Negative Balance / Amount Due from Rider],ROW()-ROW(Payslip_Lookup[#Headers])))</f>
        <v/>
      </c>
      <c r="AB230" s="176" t="str">
        <f aca="false">IF(INDEX(Salary_Calculation[Source Row],ROW()-ROW(Payslip_Lookup[#Headers]))="","",INDEX(Salary_Calculation[Total Amount Due from Rider],ROW()-ROW(Payslip_Lookup[#Headers])))</f>
        <v/>
      </c>
      <c r="AC230" s="176" t="str">
        <f aca="false">IF(INDEX(Salary_Calculation[Source Row],ROW()-ROW(Payslip_Lookup[#Headers]))="","",INDEX(Salary_Calculation[Salary Before Other Deductions],ROW()-ROW(Payslip_Lookup[#Headers])))</f>
        <v/>
      </c>
      <c r="AD230" s="171" t="str">
        <f aca="false">IF(INDEX(Salary_Calculation[Source Row],ROW()-ROW(Payslip_Lookup[#Headers]))="","",INDEX(Salary_Calculation[Payment Status],ROW()-ROW(Payslip_Lookup[#Headers])))</f>
        <v/>
      </c>
      <c r="AE230" s="171" t="str">
        <f aca="false">IF(INDEX(Salary_Calculation[Source Row],ROW()-ROW(Payslip_Lookup[#Headers]))="","",INDEX(Salary_Calculation[Notes],ROW()-ROW(Payslip_Lookup[#Headers])))</f>
        <v/>
      </c>
      <c r="AF230" s="171" t="str">
        <f aca="false">IF(INDEX(Salary_Calculation[Source Row],ROW()-ROW(Payslip_Lookup[#Headers]))="","",INDEX(Salary_Calculation[Exception Reason],ROW()-ROW(Payslip_Lookup[#Headers])))</f>
        <v/>
      </c>
      <c r="AG230" s="173" t="str">
        <f aca="false">IF($AD230="Review Required",COUNTIF(AD$2:AD230,"Review Required"),"")</f>
        <v/>
      </c>
      <c r="AH230" s="173" t="str">
        <f aca="false">IF(AND($D230&lt;&gt;"",$B230=Payslip_Print!$C$2),MAX(AH$1:AH229)+1,"")</f>
        <v/>
      </c>
      <c r="AL230" s="178" t="str">
        <f aca="false">IFERROR(INDEX($D$2:$D$501,MATCH(ROW()-1,$AH$2:$AH$501,0)),"")</f>
        <v/>
      </c>
      <c r="AM230" s="179" t="str">
        <f aca="false">IF($Z230="","",IF(AND($C230&gt;=Dash_Start,$C230&lt;Dash_End),$Z230+ROW()/10000000,""))</f>
        <v/>
      </c>
    </row>
    <row r="231" customFormat="false" ht="14.25" hidden="false" customHeight="false" outlineLevel="0" collapsed="false">
      <c r="A231" s="171" t="str">
        <f aca="false">IF(Payslip_Lookup[[#This Row],[Rider ID]]="","",Payslip_Lookup[[#This Row],[Rider ID]]&amp;"|"&amp;Payslip_Lookup[[#This Row],[Month Key]])</f>
        <v/>
      </c>
      <c r="B231" s="172" t="str">
        <f aca="false">IF(ISNUMBER(Payslip_Lookup[[#This Row],[Salary Month]]),DATE(YEAR(Payslip_Lookup[[#This Row],[Salary Month]]),MONTH(Payslip_Lookup[[#This Row],[Salary Month]]),1),"")</f>
        <v/>
      </c>
      <c r="C231" s="172" t="str">
        <f aca="false">IF(INDEX(Salary_Calculation[Source Row],ROW()-ROW(Payslip_Lookup[#Headers]))="","",INDEX(Salary_Calculation[Salary Month],ROW()-ROW(Payslip_Lookup[#Headers])))</f>
        <v/>
      </c>
      <c r="D231" s="173" t="str">
        <f aca="false">IF(INDEX(Salary_Calculation[Source Row],ROW()-ROW(Payslip_Lookup[#Headers]))="","",INDEX(Salary_Calculation[Rider ID],ROW()-ROW(Payslip_Lookup[#Headers])))</f>
        <v/>
      </c>
      <c r="E231" s="171" t="str">
        <f aca="false">IF(INDEX(Salary_Calculation[Source Row],ROW()-ROW(Payslip_Lookup[#Headers]))="","",INDEX(Salary_Calculation[Rider Name],ROW()-ROW(Payslip_Lookup[#Headers])))</f>
        <v/>
      </c>
      <c r="F231" s="173" t="str">
        <f aca="false">IF(INDEX(Salary_Calculation[Source Row],ROW()-ROW(Payslip_Lookup[#Headers]))="","",INDEX(Salary_Calculation[Working Days],ROW()-ROW(Payslip_Lookup[#Headers])))</f>
        <v/>
      </c>
      <c r="G231" s="173" t="str">
        <f aca="false">IF(INDEX(Salary_Calculation[Source Row],ROW()-ROW(Payslip_Lookup[#Headers]))="","",INDEX(Salary_Calculation[Calendar Days],ROW()-ROW(Payslip_Lookup[#Headers])))</f>
        <v/>
      </c>
      <c r="H231" s="174" t="str">
        <f aca="false">IF(INDEX(Salary_Calculation[Source Row],ROW()-ROW(Payslip_Lookup[#Headers]))="","",INDEX(Salary_Calculation[Monthly Target Orders],ROW()-ROW(Payslip_Lookup[#Headers])))</f>
        <v/>
      </c>
      <c r="I231" s="174" t="str">
        <f aca="false">IF(INDEX(Salary_Calculation[Source Row],ROW()-ROW(Payslip_Lookup[#Headers]))="","",INDEX(Salary_Calculation[Rider Target Orders],ROW()-ROW(Payslip_Lookup[#Headers])))</f>
        <v/>
      </c>
      <c r="J231" s="175" t="str">
        <f aca="false">IF(INDEX(Salary_Calculation[Source Row],ROW()-ROW(Payslip_Lookup[#Headers]))="","",INDEX(Salary_Calculation[Completed Orders],ROW()-ROW(Payslip_Lookup[#Headers])))</f>
        <v/>
      </c>
      <c r="K231" s="174" t="str">
        <f aca="false">IF(INDEX(Salary_Calculation[Source Row],ROW()-ROW(Payslip_Lookup[#Headers]))="","",INDEX(Salary_Calculation[Base Order Rate],ROW()-ROW(Payslip_Lookup[#Headers])))</f>
        <v/>
      </c>
      <c r="L231" s="176" t="str">
        <f aca="false">IF(INDEX(Salary_Calculation[Source Row],ROW()-ROW(Payslip_Lookup[#Headers]))="","",INDEX(Salary_Calculation[Basic Payment],ROW()-ROW(Payslip_Lookup[#Headers])))</f>
        <v/>
      </c>
      <c r="M231" s="176" t="str">
        <f aca="false">IF(INDEX(Salary_Calculation[Source Row],ROW()-ROW(Payslip_Lookup[#Headers]))="","",INDEX(Salary_Calculation[Earned Salary],ROW()-ROW(Payslip_Lookup[#Headers])))</f>
        <v/>
      </c>
      <c r="N231" s="174" t="str">
        <f aca="false">IF(INDEX(Salary_Calculation[Source Row],ROW()-ROW(Payslip_Lookup[#Headers]))="","",INDEX(Salary_Calculation[Orders Counted at Base Rate],ROW()-ROW(Payslip_Lookup[#Headers])))</f>
        <v/>
      </c>
      <c r="O231" s="174" t="str">
        <f aca="false">IF(INDEX(Salary_Calculation[Source Row],ROW()-ROW(Payslip_Lookup[#Headers]))="","",INDEX(Salary_Calculation[Missing Orders],ROW()-ROW(Payslip_Lookup[#Headers])))</f>
        <v/>
      </c>
      <c r="P231" s="176" t="str">
        <f aca="false">IF(INDEX(Salary_Calculation[Source Row],ROW()-ROW(Payslip_Lookup[#Headers]))="","",INDEX(Salary_Calculation[Missing-Order Deduction],ROW()-ROW(Payslip_Lookup[#Headers])))</f>
        <v/>
      </c>
      <c r="Q231" s="174" t="str">
        <f aca="false">IF(INDEX(Salary_Calculation[Source Row],ROW()-ROW(Payslip_Lookup[#Headers]))="","",INDEX(Salary_Calculation[Extra Orders],ROW()-ROW(Payslip_Lookup[#Headers])))</f>
        <v/>
      </c>
      <c r="R231" s="176" t="str">
        <f aca="false">IF(INDEX(Salary_Calculation[Source Row],ROW()-ROW(Payslip_Lookup[#Headers]))="","",INDEX(Salary_Calculation[Extra-Order Bonus],ROW()-ROW(Payslip_Lookup[#Headers])))</f>
        <v/>
      </c>
      <c r="S231" s="176" t="str">
        <f aca="false">IF(INDEX(Salary_Calculation[Source Row],ROW()-ROW(Payslip_Lookup[#Headers]))="","",INDEX(Salary_Calculation[Basic Salary for Target],ROW()-ROW(Payslip_Lookup[#Headers])))</f>
        <v/>
      </c>
      <c r="T231" s="176" t="str">
        <f aca="false">IF(INDEX(Salary_Calculation[Source Row],ROW()-ROW(Payslip_Lookup[#Headers]))="","",INDEX(Salary_Calculation[Gross Salary Before Deductions],ROW()-ROW(Payslip_Lookup[#Headers])))</f>
        <v/>
      </c>
      <c r="U231" s="176" t="str">
        <f aca="false">IF(INDEX(Salary_Calculation[Source Row],ROW()-ROW(Payslip_Lookup[#Headers]))="","",INDEX(Salary_Calculation[missed_days_penalty],ROW()-ROW(Payslip_Lookup[#Headers])))</f>
        <v/>
      </c>
      <c r="V231" s="176" t="str">
        <f aca="false">IF(INDEX(Salary_Calculation[Source Row],ROW()-ROW(Payslip_Lookup[#Headers]))="","",INDEX(Salary_Calculation[Rider Balance],ROW()-ROW(Payslip_Lookup[#Headers])))</f>
        <v/>
      </c>
      <c r="W231" s="176" t="str">
        <f aca="false">IF(INDEX(Salary_Calculation[Source Row],ROW()-ROW(Payslip_Lookup[#Headers]))="","",INDEX(Salary_Calculation[stacking_deduction],ROW()-ROW(Payslip_Lookup[#Headers])))</f>
        <v/>
      </c>
      <c r="X231" s="176" t="str">
        <f aca="false">IF(INDEX(Salary_Calculation[Source Row],ROW()-ROW(Payslip_Lookup[#Headers]))="","",INDEX(Salary_Calculation[Other Deductions],ROW()-ROW(Payslip_Lookup[#Headers])))</f>
        <v/>
      </c>
      <c r="Y231" s="176" t="str">
        <f aca="false">IF(INDEX(Salary_Calculation[Source Row],ROW()-ROW(Payslip_Lookup[#Headers]))="","",INDEX(Salary_Calculation[Total Deductions],ROW()-ROW(Payslip_Lookup[#Headers])))</f>
        <v/>
      </c>
      <c r="Z231" s="176" t="str">
        <f aca="false">IF(INDEX(Salary_Calculation[Source Row],ROW()-ROW(Payslip_Lookup[#Headers]))="","",INDEX(Salary_Calculation[Final Salary],ROW()-ROW(Payslip_Lookup[#Headers])))</f>
        <v/>
      </c>
      <c r="AA231" s="176" t="str">
        <f aca="false">IF(INDEX(Salary_Calculation[Source Row],ROW()-ROW(Payslip_Lookup[#Headers]))="","",INDEX(Salary_Calculation[Negative Balance / Amount Due from Rider],ROW()-ROW(Payslip_Lookup[#Headers])))</f>
        <v/>
      </c>
      <c r="AB231" s="176" t="str">
        <f aca="false">IF(INDEX(Salary_Calculation[Source Row],ROW()-ROW(Payslip_Lookup[#Headers]))="","",INDEX(Salary_Calculation[Total Amount Due from Rider],ROW()-ROW(Payslip_Lookup[#Headers])))</f>
        <v/>
      </c>
      <c r="AC231" s="176" t="str">
        <f aca="false">IF(INDEX(Salary_Calculation[Source Row],ROW()-ROW(Payslip_Lookup[#Headers]))="","",INDEX(Salary_Calculation[Salary Before Other Deductions],ROW()-ROW(Payslip_Lookup[#Headers])))</f>
        <v/>
      </c>
      <c r="AD231" s="171" t="str">
        <f aca="false">IF(INDEX(Salary_Calculation[Source Row],ROW()-ROW(Payslip_Lookup[#Headers]))="","",INDEX(Salary_Calculation[Payment Status],ROW()-ROW(Payslip_Lookup[#Headers])))</f>
        <v/>
      </c>
      <c r="AE231" s="171" t="str">
        <f aca="false">IF(INDEX(Salary_Calculation[Source Row],ROW()-ROW(Payslip_Lookup[#Headers]))="","",INDEX(Salary_Calculation[Notes],ROW()-ROW(Payslip_Lookup[#Headers])))</f>
        <v/>
      </c>
      <c r="AF231" s="171" t="str">
        <f aca="false">IF(INDEX(Salary_Calculation[Source Row],ROW()-ROW(Payslip_Lookup[#Headers]))="","",INDEX(Salary_Calculation[Exception Reason],ROW()-ROW(Payslip_Lookup[#Headers])))</f>
        <v/>
      </c>
      <c r="AG231" s="173" t="str">
        <f aca="false">IF($AD231="Review Required",COUNTIF(AD$2:AD231,"Review Required"),"")</f>
        <v/>
      </c>
      <c r="AH231" s="173" t="str">
        <f aca="false">IF(AND($D231&lt;&gt;"",$B231=Payslip_Print!$C$2),MAX(AH$1:AH230)+1,"")</f>
        <v/>
      </c>
      <c r="AL231" s="178" t="str">
        <f aca="false">IFERROR(INDEX($D$2:$D$501,MATCH(ROW()-1,$AH$2:$AH$501,0)),"")</f>
        <v/>
      </c>
      <c r="AM231" s="179" t="str">
        <f aca="false">IF($Z231="","",IF(AND($C231&gt;=Dash_Start,$C231&lt;Dash_End),$Z231+ROW()/10000000,""))</f>
        <v/>
      </c>
    </row>
    <row r="232" customFormat="false" ht="14.25" hidden="false" customHeight="false" outlineLevel="0" collapsed="false">
      <c r="A232" s="171" t="str">
        <f aca="false">IF(Payslip_Lookup[[#This Row],[Rider ID]]="","",Payslip_Lookup[[#This Row],[Rider ID]]&amp;"|"&amp;Payslip_Lookup[[#This Row],[Month Key]])</f>
        <v/>
      </c>
      <c r="B232" s="172" t="str">
        <f aca="false">IF(ISNUMBER(Payslip_Lookup[[#This Row],[Salary Month]]),DATE(YEAR(Payslip_Lookup[[#This Row],[Salary Month]]),MONTH(Payslip_Lookup[[#This Row],[Salary Month]]),1),"")</f>
        <v/>
      </c>
      <c r="C232" s="172" t="str">
        <f aca="false">IF(INDEX(Salary_Calculation[Source Row],ROW()-ROW(Payslip_Lookup[#Headers]))="","",INDEX(Salary_Calculation[Salary Month],ROW()-ROW(Payslip_Lookup[#Headers])))</f>
        <v/>
      </c>
      <c r="D232" s="173" t="str">
        <f aca="false">IF(INDEX(Salary_Calculation[Source Row],ROW()-ROW(Payslip_Lookup[#Headers]))="","",INDEX(Salary_Calculation[Rider ID],ROW()-ROW(Payslip_Lookup[#Headers])))</f>
        <v/>
      </c>
      <c r="E232" s="171" t="str">
        <f aca="false">IF(INDEX(Salary_Calculation[Source Row],ROW()-ROW(Payslip_Lookup[#Headers]))="","",INDEX(Salary_Calculation[Rider Name],ROW()-ROW(Payslip_Lookup[#Headers])))</f>
        <v/>
      </c>
      <c r="F232" s="173" t="str">
        <f aca="false">IF(INDEX(Salary_Calculation[Source Row],ROW()-ROW(Payslip_Lookup[#Headers]))="","",INDEX(Salary_Calculation[Working Days],ROW()-ROW(Payslip_Lookup[#Headers])))</f>
        <v/>
      </c>
      <c r="G232" s="173" t="str">
        <f aca="false">IF(INDEX(Salary_Calculation[Source Row],ROW()-ROW(Payslip_Lookup[#Headers]))="","",INDEX(Salary_Calculation[Calendar Days],ROW()-ROW(Payslip_Lookup[#Headers])))</f>
        <v/>
      </c>
      <c r="H232" s="174" t="str">
        <f aca="false">IF(INDEX(Salary_Calculation[Source Row],ROW()-ROW(Payslip_Lookup[#Headers]))="","",INDEX(Salary_Calculation[Monthly Target Orders],ROW()-ROW(Payslip_Lookup[#Headers])))</f>
        <v/>
      </c>
      <c r="I232" s="174" t="str">
        <f aca="false">IF(INDEX(Salary_Calculation[Source Row],ROW()-ROW(Payslip_Lookup[#Headers]))="","",INDEX(Salary_Calculation[Rider Target Orders],ROW()-ROW(Payslip_Lookup[#Headers])))</f>
        <v/>
      </c>
      <c r="J232" s="175" t="str">
        <f aca="false">IF(INDEX(Salary_Calculation[Source Row],ROW()-ROW(Payslip_Lookup[#Headers]))="","",INDEX(Salary_Calculation[Completed Orders],ROW()-ROW(Payslip_Lookup[#Headers])))</f>
        <v/>
      </c>
      <c r="K232" s="174" t="str">
        <f aca="false">IF(INDEX(Salary_Calculation[Source Row],ROW()-ROW(Payslip_Lookup[#Headers]))="","",INDEX(Salary_Calculation[Base Order Rate],ROW()-ROW(Payslip_Lookup[#Headers])))</f>
        <v/>
      </c>
      <c r="L232" s="176" t="str">
        <f aca="false">IF(INDEX(Salary_Calculation[Source Row],ROW()-ROW(Payslip_Lookup[#Headers]))="","",INDEX(Salary_Calculation[Basic Payment],ROW()-ROW(Payslip_Lookup[#Headers])))</f>
        <v/>
      </c>
      <c r="M232" s="176" t="str">
        <f aca="false">IF(INDEX(Salary_Calculation[Source Row],ROW()-ROW(Payslip_Lookup[#Headers]))="","",INDEX(Salary_Calculation[Earned Salary],ROW()-ROW(Payslip_Lookup[#Headers])))</f>
        <v/>
      </c>
      <c r="N232" s="174" t="str">
        <f aca="false">IF(INDEX(Salary_Calculation[Source Row],ROW()-ROW(Payslip_Lookup[#Headers]))="","",INDEX(Salary_Calculation[Orders Counted at Base Rate],ROW()-ROW(Payslip_Lookup[#Headers])))</f>
        <v/>
      </c>
      <c r="O232" s="174" t="str">
        <f aca="false">IF(INDEX(Salary_Calculation[Source Row],ROW()-ROW(Payslip_Lookup[#Headers]))="","",INDEX(Salary_Calculation[Missing Orders],ROW()-ROW(Payslip_Lookup[#Headers])))</f>
        <v/>
      </c>
      <c r="P232" s="176" t="str">
        <f aca="false">IF(INDEX(Salary_Calculation[Source Row],ROW()-ROW(Payslip_Lookup[#Headers]))="","",INDEX(Salary_Calculation[Missing-Order Deduction],ROW()-ROW(Payslip_Lookup[#Headers])))</f>
        <v/>
      </c>
      <c r="Q232" s="174" t="str">
        <f aca="false">IF(INDEX(Salary_Calculation[Source Row],ROW()-ROW(Payslip_Lookup[#Headers]))="","",INDEX(Salary_Calculation[Extra Orders],ROW()-ROW(Payslip_Lookup[#Headers])))</f>
        <v/>
      </c>
      <c r="R232" s="176" t="str">
        <f aca="false">IF(INDEX(Salary_Calculation[Source Row],ROW()-ROW(Payslip_Lookup[#Headers]))="","",INDEX(Salary_Calculation[Extra-Order Bonus],ROW()-ROW(Payslip_Lookup[#Headers])))</f>
        <v/>
      </c>
      <c r="S232" s="176" t="str">
        <f aca="false">IF(INDEX(Salary_Calculation[Source Row],ROW()-ROW(Payslip_Lookup[#Headers]))="","",INDEX(Salary_Calculation[Basic Salary for Target],ROW()-ROW(Payslip_Lookup[#Headers])))</f>
        <v/>
      </c>
      <c r="T232" s="176" t="str">
        <f aca="false">IF(INDEX(Salary_Calculation[Source Row],ROW()-ROW(Payslip_Lookup[#Headers]))="","",INDEX(Salary_Calculation[Gross Salary Before Deductions],ROW()-ROW(Payslip_Lookup[#Headers])))</f>
        <v/>
      </c>
      <c r="U232" s="176" t="str">
        <f aca="false">IF(INDEX(Salary_Calculation[Source Row],ROW()-ROW(Payslip_Lookup[#Headers]))="","",INDEX(Salary_Calculation[missed_days_penalty],ROW()-ROW(Payslip_Lookup[#Headers])))</f>
        <v/>
      </c>
      <c r="V232" s="176" t="str">
        <f aca="false">IF(INDEX(Salary_Calculation[Source Row],ROW()-ROW(Payslip_Lookup[#Headers]))="","",INDEX(Salary_Calculation[Rider Balance],ROW()-ROW(Payslip_Lookup[#Headers])))</f>
        <v/>
      </c>
      <c r="W232" s="176" t="str">
        <f aca="false">IF(INDEX(Salary_Calculation[Source Row],ROW()-ROW(Payslip_Lookup[#Headers]))="","",INDEX(Salary_Calculation[stacking_deduction],ROW()-ROW(Payslip_Lookup[#Headers])))</f>
        <v/>
      </c>
      <c r="X232" s="176" t="str">
        <f aca="false">IF(INDEX(Salary_Calculation[Source Row],ROW()-ROW(Payslip_Lookup[#Headers]))="","",INDEX(Salary_Calculation[Other Deductions],ROW()-ROW(Payslip_Lookup[#Headers])))</f>
        <v/>
      </c>
      <c r="Y232" s="176" t="str">
        <f aca="false">IF(INDEX(Salary_Calculation[Source Row],ROW()-ROW(Payslip_Lookup[#Headers]))="","",INDEX(Salary_Calculation[Total Deductions],ROW()-ROW(Payslip_Lookup[#Headers])))</f>
        <v/>
      </c>
      <c r="Z232" s="176" t="str">
        <f aca="false">IF(INDEX(Salary_Calculation[Source Row],ROW()-ROW(Payslip_Lookup[#Headers]))="","",INDEX(Salary_Calculation[Final Salary],ROW()-ROW(Payslip_Lookup[#Headers])))</f>
        <v/>
      </c>
      <c r="AA232" s="176" t="str">
        <f aca="false">IF(INDEX(Salary_Calculation[Source Row],ROW()-ROW(Payslip_Lookup[#Headers]))="","",INDEX(Salary_Calculation[Negative Balance / Amount Due from Rider],ROW()-ROW(Payslip_Lookup[#Headers])))</f>
        <v/>
      </c>
      <c r="AB232" s="176" t="str">
        <f aca="false">IF(INDEX(Salary_Calculation[Source Row],ROW()-ROW(Payslip_Lookup[#Headers]))="","",INDEX(Salary_Calculation[Total Amount Due from Rider],ROW()-ROW(Payslip_Lookup[#Headers])))</f>
        <v/>
      </c>
      <c r="AC232" s="176" t="str">
        <f aca="false">IF(INDEX(Salary_Calculation[Source Row],ROW()-ROW(Payslip_Lookup[#Headers]))="","",INDEX(Salary_Calculation[Salary Before Other Deductions],ROW()-ROW(Payslip_Lookup[#Headers])))</f>
        <v/>
      </c>
      <c r="AD232" s="171" t="str">
        <f aca="false">IF(INDEX(Salary_Calculation[Source Row],ROW()-ROW(Payslip_Lookup[#Headers]))="","",INDEX(Salary_Calculation[Payment Status],ROW()-ROW(Payslip_Lookup[#Headers])))</f>
        <v/>
      </c>
      <c r="AE232" s="171" t="str">
        <f aca="false">IF(INDEX(Salary_Calculation[Source Row],ROW()-ROW(Payslip_Lookup[#Headers]))="","",INDEX(Salary_Calculation[Notes],ROW()-ROW(Payslip_Lookup[#Headers])))</f>
        <v/>
      </c>
      <c r="AF232" s="171" t="str">
        <f aca="false">IF(INDEX(Salary_Calculation[Source Row],ROW()-ROW(Payslip_Lookup[#Headers]))="","",INDEX(Salary_Calculation[Exception Reason],ROW()-ROW(Payslip_Lookup[#Headers])))</f>
        <v/>
      </c>
      <c r="AG232" s="173" t="str">
        <f aca="false">IF($AD232="Review Required",COUNTIF(AD$2:AD232,"Review Required"),"")</f>
        <v/>
      </c>
      <c r="AH232" s="173" t="str">
        <f aca="false">IF(AND($D232&lt;&gt;"",$B232=Payslip_Print!$C$2),MAX(AH$1:AH231)+1,"")</f>
        <v/>
      </c>
      <c r="AL232" s="178" t="str">
        <f aca="false">IFERROR(INDEX($D$2:$D$501,MATCH(ROW()-1,$AH$2:$AH$501,0)),"")</f>
        <v/>
      </c>
      <c r="AM232" s="179" t="str">
        <f aca="false">IF($Z232="","",IF(AND($C232&gt;=Dash_Start,$C232&lt;Dash_End),$Z232+ROW()/10000000,""))</f>
        <v/>
      </c>
    </row>
    <row r="233" customFormat="false" ht="14.25" hidden="false" customHeight="false" outlineLevel="0" collapsed="false">
      <c r="A233" s="171" t="str">
        <f aca="false">IF(Payslip_Lookup[[#This Row],[Rider ID]]="","",Payslip_Lookup[[#This Row],[Rider ID]]&amp;"|"&amp;Payslip_Lookup[[#This Row],[Month Key]])</f>
        <v/>
      </c>
      <c r="B233" s="172" t="str">
        <f aca="false">IF(ISNUMBER(Payslip_Lookup[[#This Row],[Salary Month]]),DATE(YEAR(Payslip_Lookup[[#This Row],[Salary Month]]),MONTH(Payslip_Lookup[[#This Row],[Salary Month]]),1),"")</f>
        <v/>
      </c>
      <c r="C233" s="172" t="str">
        <f aca="false">IF(INDEX(Salary_Calculation[Source Row],ROW()-ROW(Payslip_Lookup[#Headers]))="","",INDEX(Salary_Calculation[Salary Month],ROW()-ROW(Payslip_Lookup[#Headers])))</f>
        <v/>
      </c>
      <c r="D233" s="173" t="str">
        <f aca="false">IF(INDEX(Salary_Calculation[Source Row],ROW()-ROW(Payslip_Lookup[#Headers]))="","",INDEX(Salary_Calculation[Rider ID],ROW()-ROW(Payslip_Lookup[#Headers])))</f>
        <v/>
      </c>
      <c r="E233" s="171" t="str">
        <f aca="false">IF(INDEX(Salary_Calculation[Source Row],ROW()-ROW(Payslip_Lookup[#Headers]))="","",INDEX(Salary_Calculation[Rider Name],ROW()-ROW(Payslip_Lookup[#Headers])))</f>
        <v/>
      </c>
      <c r="F233" s="173" t="str">
        <f aca="false">IF(INDEX(Salary_Calculation[Source Row],ROW()-ROW(Payslip_Lookup[#Headers]))="","",INDEX(Salary_Calculation[Working Days],ROW()-ROW(Payslip_Lookup[#Headers])))</f>
        <v/>
      </c>
      <c r="G233" s="173" t="str">
        <f aca="false">IF(INDEX(Salary_Calculation[Source Row],ROW()-ROW(Payslip_Lookup[#Headers]))="","",INDEX(Salary_Calculation[Calendar Days],ROW()-ROW(Payslip_Lookup[#Headers])))</f>
        <v/>
      </c>
      <c r="H233" s="174" t="str">
        <f aca="false">IF(INDEX(Salary_Calculation[Source Row],ROW()-ROW(Payslip_Lookup[#Headers]))="","",INDEX(Salary_Calculation[Monthly Target Orders],ROW()-ROW(Payslip_Lookup[#Headers])))</f>
        <v/>
      </c>
      <c r="I233" s="174" t="str">
        <f aca="false">IF(INDEX(Salary_Calculation[Source Row],ROW()-ROW(Payslip_Lookup[#Headers]))="","",INDEX(Salary_Calculation[Rider Target Orders],ROW()-ROW(Payslip_Lookup[#Headers])))</f>
        <v/>
      </c>
      <c r="J233" s="175" t="str">
        <f aca="false">IF(INDEX(Salary_Calculation[Source Row],ROW()-ROW(Payslip_Lookup[#Headers]))="","",INDEX(Salary_Calculation[Completed Orders],ROW()-ROW(Payslip_Lookup[#Headers])))</f>
        <v/>
      </c>
      <c r="K233" s="174" t="str">
        <f aca="false">IF(INDEX(Salary_Calculation[Source Row],ROW()-ROW(Payslip_Lookup[#Headers]))="","",INDEX(Salary_Calculation[Base Order Rate],ROW()-ROW(Payslip_Lookup[#Headers])))</f>
        <v/>
      </c>
      <c r="L233" s="176" t="str">
        <f aca="false">IF(INDEX(Salary_Calculation[Source Row],ROW()-ROW(Payslip_Lookup[#Headers]))="","",INDEX(Salary_Calculation[Basic Payment],ROW()-ROW(Payslip_Lookup[#Headers])))</f>
        <v/>
      </c>
      <c r="M233" s="176" t="str">
        <f aca="false">IF(INDEX(Salary_Calculation[Source Row],ROW()-ROW(Payslip_Lookup[#Headers]))="","",INDEX(Salary_Calculation[Earned Salary],ROW()-ROW(Payslip_Lookup[#Headers])))</f>
        <v/>
      </c>
      <c r="N233" s="174" t="str">
        <f aca="false">IF(INDEX(Salary_Calculation[Source Row],ROW()-ROW(Payslip_Lookup[#Headers]))="","",INDEX(Salary_Calculation[Orders Counted at Base Rate],ROW()-ROW(Payslip_Lookup[#Headers])))</f>
        <v/>
      </c>
      <c r="O233" s="174" t="str">
        <f aca="false">IF(INDEX(Salary_Calculation[Source Row],ROW()-ROW(Payslip_Lookup[#Headers]))="","",INDEX(Salary_Calculation[Missing Orders],ROW()-ROW(Payslip_Lookup[#Headers])))</f>
        <v/>
      </c>
      <c r="P233" s="176" t="str">
        <f aca="false">IF(INDEX(Salary_Calculation[Source Row],ROW()-ROW(Payslip_Lookup[#Headers]))="","",INDEX(Salary_Calculation[Missing-Order Deduction],ROW()-ROW(Payslip_Lookup[#Headers])))</f>
        <v/>
      </c>
      <c r="Q233" s="174" t="str">
        <f aca="false">IF(INDEX(Salary_Calculation[Source Row],ROW()-ROW(Payslip_Lookup[#Headers]))="","",INDEX(Salary_Calculation[Extra Orders],ROW()-ROW(Payslip_Lookup[#Headers])))</f>
        <v/>
      </c>
      <c r="R233" s="176" t="str">
        <f aca="false">IF(INDEX(Salary_Calculation[Source Row],ROW()-ROW(Payslip_Lookup[#Headers]))="","",INDEX(Salary_Calculation[Extra-Order Bonus],ROW()-ROW(Payslip_Lookup[#Headers])))</f>
        <v/>
      </c>
      <c r="S233" s="176" t="str">
        <f aca="false">IF(INDEX(Salary_Calculation[Source Row],ROW()-ROW(Payslip_Lookup[#Headers]))="","",INDEX(Salary_Calculation[Basic Salary for Target],ROW()-ROW(Payslip_Lookup[#Headers])))</f>
        <v/>
      </c>
      <c r="T233" s="176" t="str">
        <f aca="false">IF(INDEX(Salary_Calculation[Source Row],ROW()-ROW(Payslip_Lookup[#Headers]))="","",INDEX(Salary_Calculation[Gross Salary Before Deductions],ROW()-ROW(Payslip_Lookup[#Headers])))</f>
        <v/>
      </c>
      <c r="U233" s="176" t="str">
        <f aca="false">IF(INDEX(Salary_Calculation[Source Row],ROW()-ROW(Payslip_Lookup[#Headers]))="","",INDEX(Salary_Calculation[missed_days_penalty],ROW()-ROW(Payslip_Lookup[#Headers])))</f>
        <v/>
      </c>
      <c r="V233" s="176" t="str">
        <f aca="false">IF(INDEX(Salary_Calculation[Source Row],ROW()-ROW(Payslip_Lookup[#Headers]))="","",INDEX(Salary_Calculation[Rider Balance],ROW()-ROW(Payslip_Lookup[#Headers])))</f>
        <v/>
      </c>
      <c r="W233" s="176" t="str">
        <f aca="false">IF(INDEX(Salary_Calculation[Source Row],ROW()-ROW(Payslip_Lookup[#Headers]))="","",INDEX(Salary_Calculation[stacking_deduction],ROW()-ROW(Payslip_Lookup[#Headers])))</f>
        <v/>
      </c>
      <c r="X233" s="176" t="str">
        <f aca="false">IF(INDEX(Salary_Calculation[Source Row],ROW()-ROW(Payslip_Lookup[#Headers]))="","",INDEX(Salary_Calculation[Other Deductions],ROW()-ROW(Payslip_Lookup[#Headers])))</f>
        <v/>
      </c>
      <c r="Y233" s="176" t="str">
        <f aca="false">IF(INDEX(Salary_Calculation[Source Row],ROW()-ROW(Payslip_Lookup[#Headers]))="","",INDEX(Salary_Calculation[Total Deductions],ROW()-ROW(Payslip_Lookup[#Headers])))</f>
        <v/>
      </c>
      <c r="Z233" s="176" t="str">
        <f aca="false">IF(INDEX(Salary_Calculation[Source Row],ROW()-ROW(Payslip_Lookup[#Headers]))="","",INDEX(Salary_Calculation[Final Salary],ROW()-ROW(Payslip_Lookup[#Headers])))</f>
        <v/>
      </c>
      <c r="AA233" s="176" t="str">
        <f aca="false">IF(INDEX(Salary_Calculation[Source Row],ROW()-ROW(Payslip_Lookup[#Headers]))="","",INDEX(Salary_Calculation[Negative Balance / Amount Due from Rider],ROW()-ROW(Payslip_Lookup[#Headers])))</f>
        <v/>
      </c>
      <c r="AB233" s="176" t="str">
        <f aca="false">IF(INDEX(Salary_Calculation[Source Row],ROW()-ROW(Payslip_Lookup[#Headers]))="","",INDEX(Salary_Calculation[Total Amount Due from Rider],ROW()-ROW(Payslip_Lookup[#Headers])))</f>
        <v/>
      </c>
      <c r="AC233" s="176" t="str">
        <f aca="false">IF(INDEX(Salary_Calculation[Source Row],ROW()-ROW(Payslip_Lookup[#Headers]))="","",INDEX(Salary_Calculation[Salary Before Other Deductions],ROW()-ROW(Payslip_Lookup[#Headers])))</f>
        <v/>
      </c>
      <c r="AD233" s="171" t="str">
        <f aca="false">IF(INDEX(Salary_Calculation[Source Row],ROW()-ROW(Payslip_Lookup[#Headers]))="","",INDEX(Salary_Calculation[Payment Status],ROW()-ROW(Payslip_Lookup[#Headers])))</f>
        <v/>
      </c>
      <c r="AE233" s="171" t="str">
        <f aca="false">IF(INDEX(Salary_Calculation[Source Row],ROW()-ROW(Payslip_Lookup[#Headers]))="","",INDEX(Salary_Calculation[Notes],ROW()-ROW(Payslip_Lookup[#Headers])))</f>
        <v/>
      </c>
      <c r="AF233" s="171" t="str">
        <f aca="false">IF(INDEX(Salary_Calculation[Source Row],ROW()-ROW(Payslip_Lookup[#Headers]))="","",INDEX(Salary_Calculation[Exception Reason],ROW()-ROW(Payslip_Lookup[#Headers])))</f>
        <v/>
      </c>
      <c r="AG233" s="173" t="str">
        <f aca="false">IF($AD233="Review Required",COUNTIF(AD$2:AD233,"Review Required"),"")</f>
        <v/>
      </c>
      <c r="AH233" s="173" t="str">
        <f aca="false">IF(AND($D233&lt;&gt;"",$B233=Payslip_Print!$C$2),MAX(AH$1:AH232)+1,"")</f>
        <v/>
      </c>
      <c r="AL233" s="178" t="str">
        <f aca="false">IFERROR(INDEX($D$2:$D$501,MATCH(ROW()-1,$AH$2:$AH$501,0)),"")</f>
        <v/>
      </c>
      <c r="AM233" s="179" t="str">
        <f aca="false">IF($Z233="","",IF(AND($C233&gt;=Dash_Start,$C233&lt;Dash_End),$Z233+ROW()/10000000,""))</f>
        <v/>
      </c>
    </row>
    <row r="234" customFormat="false" ht="14.25" hidden="false" customHeight="false" outlineLevel="0" collapsed="false">
      <c r="A234" s="171" t="str">
        <f aca="false">IF(Payslip_Lookup[[#This Row],[Rider ID]]="","",Payslip_Lookup[[#This Row],[Rider ID]]&amp;"|"&amp;Payslip_Lookup[[#This Row],[Month Key]])</f>
        <v/>
      </c>
      <c r="B234" s="172" t="str">
        <f aca="false">IF(ISNUMBER(Payslip_Lookup[[#This Row],[Salary Month]]),DATE(YEAR(Payslip_Lookup[[#This Row],[Salary Month]]),MONTH(Payslip_Lookup[[#This Row],[Salary Month]]),1),"")</f>
        <v/>
      </c>
      <c r="C234" s="172" t="str">
        <f aca="false">IF(INDEX(Salary_Calculation[Source Row],ROW()-ROW(Payslip_Lookup[#Headers]))="","",INDEX(Salary_Calculation[Salary Month],ROW()-ROW(Payslip_Lookup[#Headers])))</f>
        <v/>
      </c>
      <c r="D234" s="173" t="str">
        <f aca="false">IF(INDEX(Salary_Calculation[Source Row],ROW()-ROW(Payslip_Lookup[#Headers]))="","",INDEX(Salary_Calculation[Rider ID],ROW()-ROW(Payslip_Lookup[#Headers])))</f>
        <v/>
      </c>
      <c r="E234" s="171" t="str">
        <f aca="false">IF(INDEX(Salary_Calculation[Source Row],ROW()-ROW(Payslip_Lookup[#Headers]))="","",INDEX(Salary_Calculation[Rider Name],ROW()-ROW(Payslip_Lookup[#Headers])))</f>
        <v/>
      </c>
      <c r="F234" s="173" t="str">
        <f aca="false">IF(INDEX(Salary_Calculation[Source Row],ROW()-ROW(Payslip_Lookup[#Headers]))="","",INDEX(Salary_Calculation[Working Days],ROW()-ROW(Payslip_Lookup[#Headers])))</f>
        <v/>
      </c>
      <c r="G234" s="173" t="str">
        <f aca="false">IF(INDEX(Salary_Calculation[Source Row],ROW()-ROW(Payslip_Lookup[#Headers]))="","",INDEX(Salary_Calculation[Calendar Days],ROW()-ROW(Payslip_Lookup[#Headers])))</f>
        <v/>
      </c>
      <c r="H234" s="174" t="str">
        <f aca="false">IF(INDEX(Salary_Calculation[Source Row],ROW()-ROW(Payslip_Lookup[#Headers]))="","",INDEX(Salary_Calculation[Monthly Target Orders],ROW()-ROW(Payslip_Lookup[#Headers])))</f>
        <v/>
      </c>
      <c r="I234" s="174" t="str">
        <f aca="false">IF(INDEX(Salary_Calculation[Source Row],ROW()-ROW(Payslip_Lookup[#Headers]))="","",INDEX(Salary_Calculation[Rider Target Orders],ROW()-ROW(Payslip_Lookup[#Headers])))</f>
        <v/>
      </c>
      <c r="J234" s="175" t="str">
        <f aca="false">IF(INDEX(Salary_Calculation[Source Row],ROW()-ROW(Payslip_Lookup[#Headers]))="","",INDEX(Salary_Calculation[Completed Orders],ROW()-ROW(Payslip_Lookup[#Headers])))</f>
        <v/>
      </c>
      <c r="K234" s="174" t="str">
        <f aca="false">IF(INDEX(Salary_Calculation[Source Row],ROW()-ROW(Payslip_Lookup[#Headers]))="","",INDEX(Salary_Calculation[Base Order Rate],ROW()-ROW(Payslip_Lookup[#Headers])))</f>
        <v/>
      </c>
      <c r="L234" s="176" t="str">
        <f aca="false">IF(INDEX(Salary_Calculation[Source Row],ROW()-ROW(Payslip_Lookup[#Headers]))="","",INDEX(Salary_Calculation[Basic Payment],ROW()-ROW(Payslip_Lookup[#Headers])))</f>
        <v/>
      </c>
      <c r="M234" s="176" t="str">
        <f aca="false">IF(INDEX(Salary_Calculation[Source Row],ROW()-ROW(Payslip_Lookup[#Headers]))="","",INDEX(Salary_Calculation[Earned Salary],ROW()-ROW(Payslip_Lookup[#Headers])))</f>
        <v/>
      </c>
      <c r="N234" s="174" t="str">
        <f aca="false">IF(INDEX(Salary_Calculation[Source Row],ROW()-ROW(Payslip_Lookup[#Headers]))="","",INDEX(Salary_Calculation[Orders Counted at Base Rate],ROW()-ROW(Payslip_Lookup[#Headers])))</f>
        <v/>
      </c>
      <c r="O234" s="174" t="str">
        <f aca="false">IF(INDEX(Salary_Calculation[Source Row],ROW()-ROW(Payslip_Lookup[#Headers]))="","",INDEX(Salary_Calculation[Missing Orders],ROW()-ROW(Payslip_Lookup[#Headers])))</f>
        <v/>
      </c>
      <c r="P234" s="176" t="str">
        <f aca="false">IF(INDEX(Salary_Calculation[Source Row],ROW()-ROW(Payslip_Lookup[#Headers]))="","",INDEX(Salary_Calculation[Missing-Order Deduction],ROW()-ROW(Payslip_Lookup[#Headers])))</f>
        <v/>
      </c>
      <c r="Q234" s="174" t="str">
        <f aca="false">IF(INDEX(Salary_Calculation[Source Row],ROW()-ROW(Payslip_Lookup[#Headers]))="","",INDEX(Salary_Calculation[Extra Orders],ROW()-ROW(Payslip_Lookup[#Headers])))</f>
        <v/>
      </c>
      <c r="R234" s="176" t="str">
        <f aca="false">IF(INDEX(Salary_Calculation[Source Row],ROW()-ROW(Payslip_Lookup[#Headers]))="","",INDEX(Salary_Calculation[Extra-Order Bonus],ROW()-ROW(Payslip_Lookup[#Headers])))</f>
        <v/>
      </c>
      <c r="S234" s="176" t="str">
        <f aca="false">IF(INDEX(Salary_Calculation[Source Row],ROW()-ROW(Payslip_Lookup[#Headers]))="","",INDEX(Salary_Calculation[Basic Salary for Target],ROW()-ROW(Payslip_Lookup[#Headers])))</f>
        <v/>
      </c>
      <c r="T234" s="176" t="str">
        <f aca="false">IF(INDEX(Salary_Calculation[Source Row],ROW()-ROW(Payslip_Lookup[#Headers]))="","",INDEX(Salary_Calculation[Gross Salary Before Deductions],ROW()-ROW(Payslip_Lookup[#Headers])))</f>
        <v/>
      </c>
      <c r="U234" s="176" t="str">
        <f aca="false">IF(INDEX(Salary_Calculation[Source Row],ROW()-ROW(Payslip_Lookup[#Headers]))="","",INDEX(Salary_Calculation[missed_days_penalty],ROW()-ROW(Payslip_Lookup[#Headers])))</f>
        <v/>
      </c>
      <c r="V234" s="176" t="str">
        <f aca="false">IF(INDEX(Salary_Calculation[Source Row],ROW()-ROW(Payslip_Lookup[#Headers]))="","",INDEX(Salary_Calculation[Rider Balance],ROW()-ROW(Payslip_Lookup[#Headers])))</f>
        <v/>
      </c>
      <c r="W234" s="176" t="str">
        <f aca="false">IF(INDEX(Salary_Calculation[Source Row],ROW()-ROW(Payslip_Lookup[#Headers]))="","",INDEX(Salary_Calculation[stacking_deduction],ROW()-ROW(Payslip_Lookup[#Headers])))</f>
        <v/>
      </c>
      <c r="X234" s="176" t="str">
        <f aca="false">IF(INDEX(Salary_Calculation[Source Row],ROW()-ROW(Payslip_Lookup[#Headers]))="","",INDEX(Salary_Calculation[Other Deductions],ROW()-ROW(Payslip_Lookup[#Headers])))</f>
        <v/>
      </c>
      <c r="Y234" s="176" t="str">
        <f aca="false">IF(INDEX(Salary_Calculation[Source Row],ROW()-ROW(Payslip_Lookup[#Headers]))="","",INDEX(Salary_Calculation[Total Deductions],ROW()-ROW(Payslip_Lookup[#Headers])))</f>
        <v/>
      </c>
      <c r="Z234" s="176" t="str">
        <f aca="false">IF(INDEX(Salary_Calculation[Source Row],ROW()-ROW(Payslip_Lookup[#Headers]))="","",INDEX(Salary_Calculation[Final Salary],ROW()-ROW(Payslip_Lookup[#Headers])))</f>
        <v/>
      </c>
      <c r="AA234" s="176" t="str">
        <f aca="false">IF(INDEX(Salary_Calculation[Source Row],ROW()-ROW(Payslip_Lookup[#Headers]))="","",INDEX(Salary_Calculation[Negative Balance / Amount Due from Rider],ROW()-ROW(Payslip_Lookup[#Headers])))</f>
        <v/>
      </c>
      <c r="AB234" s="176" t="str">
        <f aca="false">IF(INDEX(Salary_Calculation[Source Row],ROW()-ROW(Payslip_Lookup[#Headers]))="","",INDEX(Salary_Calculation[Total Amount Due from Rider],ROW()-ROW(Payslip_Lookup[#Headers])))</f>
        <v/>
      </c>
      <c r="AC234" s="176" t="str">
        <f aca="false">IF(INDEX(Salary_Calculation[Source Row],ROW()-ROW(Payslip_Lookup[#Headers]))="","",INDEX(Salary_Calculation[Salary Before Other Deductions],ROW()-ROW(Payslip_Lookup[#Headers])))</f>
        <v/>
      </c>
      <c r="AD234" s="171" t="str">
        <f aca="false">IF(INDEX(Salary_Calculation[Source Row],ROW()-ROW(Payslip_Lookup[#Headers]))="","",INDEX(Salary_Calculation[Payment Status],ROW()-ROW(Payslip_Lookup[#Headers])))</f>
        <v/>
      </c>
      <c r="AE234" s="171" t="str">
        <f aca="false">IF(INDEX(Salary_Calculation[Source Row],ROW()-ROW(Payslip_Lookup[#Headers]))="","",INDEX(Salary_Calculation[Notes],ROW()-ROW(Payslip_Lookup[#Headers])))</f>
        <v/>
      </c>
      <c r="AF234" s="171" t="str">
        <f aca="false">IF(INDEX(Salary_Calculation[Source Row],ROW()-ROW(Payslip_Lookup[#Headers]))="","",INDEX(Salary_Calculation[Exception Reason],ROW()-ROW(Payslip_Lookup[#Headers])))</f>
        <v/>
      </c>
      <c r="AG234" s="173" t="str">
        <f aca="false">IF($AD234="Review Required",COUNTIF(AD$2:AD234,"Review Required"),"")</f>
        <v/>
      </c>
      <c r="AH234" s="173" t="str">
        <f aca="false">IF(AND($D234&lt;&gt;"",$B234=Payslip_Print!$C$2),MAX(AH$1:AH233)+1,"")</f>
        <v/>
      </c>
      <c r="AL234" s="178" t="str">
        <f aca="false">IFERROR(INDEX($D$2:$D$501,MATCH(ROW()-1,$AH$2:$AH$501,0)),"")</f>
        <v/>
      </c>
      <c r="AM234" s="179" t="str">
        <f aca="false">IF($Z234="","",IF(AND($C234&gt;=Dash_Start,$C234&lt;Dash_End),$Z234+ROW()/10000000,""))</f>
        <v/>
      </c>
    </row>
    <row r="235" customFormat="false" ht="14.25" hidden="false" customHeight="false" outlineLevel="0" collapsed="false">
      <c r="A235" s="171" t="str">
        <f aca="false">IF(Payslip_Lookup[[#This Row],[Rider ID]]="","",Payslip_Lookup[[#This Row],[Rider ID]]&amp;"|"&amp;Payslip_Lookup[[#This Row],[Month Key]])</f>
        <v/>
      </c>
      <c r="B235" s="172" t="str">
        <f aca="false">IF(ISNUMBER(Payslip_Lookup[[#This Row],[Salary Month]]),DATE(YEAR(Payslip_Lookup[[#This Row],[Salary Month]]),MONTH(Payslip_Lookup[[#This Row],[Salary Month]]),1),"")</f>
        <v/>
      </c>
      <c r="C235" s="172" t="str">
        <f aca="false">IF(INDEX(Salary_Calculation[Source Row],ROW()-ROW(Payslip_Lookup[#Headers]))="","",INDEX(Salary_Calculation[Salary Month],ROW()-ROW(Payslip_Lookup[#Headers])))</f>
        <v/>
      </c>
      <c r="D235" s="173" t="str">
        <f aca="false">IF(INDEX(Salary_Calculation[Source Row],ROW()-ROW(Payslip_Lookup[#Headers]))="","",INDEX(Salary_Calculation[Rider ID],ROW()-ROW(Payslip_Lookup[#Headers])))</f>
        <v/>
      </c>
      <c r="E235" s="171" t="str">
        <f aca="false">IF(INDEX(Salary_Calculation[Source Row],ROW()-ROW(Payslip_Lookup[#Headers]))="","",INDEX(Salary_Calculation[Rider Name],ROW()-ROW(Payslip_Lookup[#Headers])))</f>
        <v/>
      </c>
      <c r="F235" s="173" t="str">
        <f aca="false">IF(INDEX(Salary_Calculation[Source Row],ROW()-ROW(Payslip_Lookup[#Headers]))="","",INDEX(Salary_Calculation[Working Days],ROW()-ROW(Payslip_Lookup[#Headers])))</f>
        <v/>
      </c>
      <c r="G235" s="173" t="str">
        <f aca="false">IF(INDEX(Salary_Calculation[Source Row],ROW()-ROW(Payslip_Lookup[#Headers]))="","",INDEX(Salary_Calculation[Calendar Days],ROW()-ROW(Payslip_Lookup[#Headers])))</f>
        <v/>
      </c>
      <c r="H235" s="174" t="str">
        <f aca="false">IF(INDEX(Salary_Calculation[Source Row],ROW()-ROW(Payslip_Lookup[#Headers]))="","",INDEX(Salary_Calculation[Monthly Target Orders],ROW()-ROW(Payslip_Lookup[#Headers])))</f>
        <v/>
      </c>
      <c r="I235" s="174" t="str">
        <f aca="false">IF(INDEX(Salary_Calculation[Source Row],ROW()-ROW(Payslip_Lookup[#Headers]))="","",INDEX(Salary_Calculation[Rider Target Orders],ROW()-ROW(Payslip_Lookup[#Headers])))</f>
        <v/>
      </c>
      <c r="J235" s="175" t="str">
        <f aca="false">IF(INDEX(Salary_Calculation[Source Row],ROW()-ROW(Payslip_Lookup[#Headers]))="","",INDEX(Salary_Calculation[Completed Orders],ROW()-ROW(Payslip_Lookup[#Headers])))</f>
        <v/>
      </c>
      <c r="K235" s="174" t="str">
        <f aca="false">IF(INDEX(Salary_Calculation[Source Row],ROW()-ROW(Payslip_Lookup[#Headers]))="","",INDEX(Salary_Calculation[Base Order Rate],ROW()-ROW(Payslip_Lookup[#Headers])))</f>
        <v/>
      </c>
      <c r="L235" s="176" t="str">
        <f aca="false">IF(INDEX(Salary_Calculation[Source Row],ROW()-ROW(Payslip_Lookup[#Headers]))="","",INDEX(Salary_Calculation[Basic Payment],ROW()-ROW(Payslip_Lookup[#Headers])))</f>
        <v/>
      </c>
      <c r="M235" s="176" t="str">
        <f aca="false">IF(INDEX(Salary_Calculation[Source Row],ROW()-ROW(Payslip_Lookup[#Headers]))="","",INDEX(Salary_Calculation[Earned Salary],ROW()-ROW(Payslip_Lookup[#Headers])))</f>
        <v/>
      </c>
      <c r="N235" s="174" t="str">
        <f aca="false">IF(INDEX(Salary_Calculation[Source Row],ROW()-ROW(Payslip_Lookup[#Headers]))="","",INDEX(Salary_Calculation[Orders Counted at Base Rate],ROW()-ROW(Payslip_Lookup[#Headers])))</f>
        <v/>
      </c>
      <c r="O235" s="174" t="str">
        <f aca="false">IF(INDEX(Salary_Calculation[Source Row],ROW()-ROW(Payslip_Lookup[#Headers]))="","",INDEX(Salary_Calculation[Missing Orders],ROW()-ROW(Payslip_Lookup[#Headers])))</f>
        <v/>
      </c>
      <c r="P235" s="176" t="str">
        <f aca="false">IF(INDEX(Salary_Calculation[Source Row],ROW()-ROW(Payslip_Lookup[#Headers]))="","",INDEX(Salary_Calculation[Missing-Order Deduction],ROW()-ROW(Payslip_Lookup[#Headers])))</f>
        <v/>
      </c>
      <c r="Q235" s="174" t="str">
        <f aca="false">IF(INDEX(Salary_Calculation[Source Row],ROW()-ROW(Payslip_Lookup[#Headers]))="","",INDEX(Salary_Calculation[Extra Orders],ROW()-ROW(Payslip_Lookup[#Headers])))</f>
        <v/>
      </c>
      <c r="R235" s="176" t="str">
        <f aca="false">IF(INDEX(Salary_Calculation[Source Row],ROW()-ROW(Payslip_Lookup[#Headers]))="","",INDEX(Salary_Calculation[Extra-Order Bonus],ROW()-ROW(Payslip_Lookup[#Headers])))</f>
        <v/>
      </c>
      <c r="S235" s="176" t="str">
        <f aca="false">IF(INDEX(Salary_Calculation[Source Row],ROW()-ROW(Payslip_Lookup[#Headers]))="","",INDEX(Salary_Calculation[Basic Salary for Target],ROW()-ROW(Payslip_Lookup[#Headers])))</f>
        <v/>
      </c>
      <c r="T235" s="176" t="str">
        <f aca="false">IF(INDEX(Salary_Calculation[Source Row],ROW()-ROW(Payslip_Lookup[#Headers]))="","",INDEX(Salary_Calculation[Gross Salary Before Deductions],ROW()-ROW(Payslip_Lookup[#Headers])))</f>
        <v/>
      </c>
      <c r="U235" s="176" t="str">
        <f aca="false">IF(INDEX(Salary_Calculation[Source Row],ROW()-ROW(Payslip_Lookup[#Headers]))="","",INDEX(Salary_Calculation[missed_days_penalty],ROW()-ROW(Payslip_Lookup[#Headers])))</f>
        <v/>
      </c>
      <c r="V235" s="176" t="str">
        <f aca="false">IF(INDEX(Salary_Calculation[Source Row],ROW()-ROW(Payslip_Lookup[#Headers]))="","",INDEX(Salary_Calculation[Rider Balance],ROW()-ROW(Payslip_Lookup[#Headers])))</f>
        <v/>
      </c>
      <c r="W235" s="176" t="str">
        <f aca="false">IF(INDEX(Salary_Calculation[Source Row],ROW()-ROW(Payslip_Lookup[#Headers]))="","",INDEX(Salary_Calculation[stacking_deduction],ROW()-ROW(Payslip_Lookup[#Headers])))</f>
        <v/>
      </c>
      <c r="X235" s="176" t="str">
        <f aca="false">IF(INDEX(Salary_Calculation[Source Row],ROW()-ROW(Payslip_Lookup[#Headers]))="","",INDEX(Salary_Calculation[Other Deductions],ROW()-ROW(Payslip_Lookup[#Headers])))</f>
        <v/>
      </c>
      <c r="Y235" s="176" t="str">
        <f aca="false">IF(INDEX(Salary_Calculation[Source Row],ROW()-ROW(Payslip_Lookup[#Headers]))="","",INDEX(Salary_Calculation[Total Deductions],ROW()-ROW(Payslip_Lookup[#Headers])))</f>
        <v/>
      </c>
      <c r="Z235" s="176" t="str">
        <f aca="false">IF(INDEX(Salary_Calculation[Source Row],ROW()-ROW(Payslip_Lookup[#Headers]))="","",INDEX(Salary_Calculation[Final Salary],ROW()-ROW(Payslip_Lookup[#Headers])))</f>
        <v/>
      </c>
      <c r="AA235" s="176" t="str">
        <f aca="false">IF(INDEX(Salary_Calculation[Source Row],ROW()-ROW(Payslip_Lookup[#Headers]))="","",INDEX(Salary_Calculation[Negative Balance / Amount Due from Rider],ROW()-ROW(Payslip_Lookup[#Headers])))</f>
        <v/>
      </c>
      <c r="AB235" s="176" t="str">
        <f aca="false">IF(INDEX(Salary_Calculation[Source Row],ROW()-ROW(Payslip_Lookup[#Headers]))="","",INDEX(Salary_Calculation[Total Amount Due from Rider],ROW()-ROW(Payslip_Lookup[#Headers])))</f>
        <v/>
      </c>
      <c r="AC235" s="176" t="str">
        <f aca="false">IF(INDEX(Salary_Calculation[Source Row],ROW()-ROW(Payslip_Lookup[#Headers]))="","",INDEX(Salary_Calculation[Salary Before Other Deductions],ROW()-ROW(Payslip_Lookup[#Headers])))</f>
        <v/>
      </c>
      <c r="AD235" s="171" t="str">
        <f aca="false">IF(INDEX(Salary_Calculation[Source Row],ROW()-ROW(Payslip_Lookup[#Headers]))="","",INDEX(Salary_Calculation[Payment Status],ROW()-ROW(Payslip_Lookup[#Headers])))</f>
        <v/>
      </c>
      <c r="AE235" s="171" t="str">
        <f aca="false">IF(INDEX(Salary_Calculation[Source Row],ROW()-ROW(Payslip_Lookup[#Headers]))="","",INDEX(Salary_Calculation[Notes],ROW()-ROW(Payslip_Lookup[#Headers])))</f>
        <v/>
      </c>
      <c r="AF235" s="171" t="str">
        <f aca="false">IF(INDEX(Salary_Calculation[Source Row],ROW()-ROW(Payslip_Lookup[#Headers]))="","",INDEX(Salary_Calculation[Exception Reason],ROW()-ROW(Payslip_Lookup[#Headers])))</f>
        <v/>
      </c>
      <c r="AG235" s="173" t="str">
        <f aca="false">IF($AD235="Review Required",COUNTIF(AD$2:AD235,"Review Required"),"")</f>
        <v/>
      </c>
      <c r="AH235" s="173" t="str">
        <f aca="false">IF(AND($D235&lt;&gt;"",$B235=Payslip_Print!$C$2),MAX(AH$1:AH234)+1,"")</f>
        <v/>
      </c>
      <c r="AL235" s="178" t="str">
        <f aca="false">IFERROR(INDEX($D$2:$D$501,MATCH(ROW()-1,$AH$2:$AH$501,0)),"")</f>
        <v/>
      </c>
      <c r="AM235" s="179" t="str">
        <f aca="false">IF($Z235="","",IF(AND($C235&gt;=Dash_Start,$C235&lt;Dash_End),$Z235+ROW()/10000000,""))</f>
        <v/>
      </c>
    </row>
    <row r="236" customFormat="false" ht="14.25" hidden="false" customHeight="false" outlineLevel="0" collapsed="false">
      <c r="A236" s="171" t="str">
        <f aca="false">IF(Payslip_Lookup[[#This Row],[Rider ID]]="","",Payslip_Lookup[[#This Row],[Rider ID]]&amp;"|"&amp;Payslip_Lookup[[#This Row],[Month Key]])</f>
        <v/>
      </c>
      <c r="B236" s="172" t="str">
        <f aca="false">IF(ISNUMBER(Payslip_Lookup[[#This Row],[Salary Month]]),DATE(YEAR(Payslip_Lookup[[#This Row],[Salary Month]]),MONTH(Payslip_Lookup[[#This Row],[Salary Month]]),1),"")</f>
        <v/>
      </c>
      <c r="C236" s="172" t="str">
        <f aca="false">IF(INDEX(Salary_Calculation[Source Row],ROW()-ROW(Payslip_Lookup[#Headers]))="","",INDEX(Salary_Calculation[Salary Month],ROW()-ROW(Payslip_Lookup[#Headers])))</f>
        <v/>
      </c>
      <c r="D236" s="173" t="str">
        <f aca="false">IF(INDEX(Salary_Calculation[Source Row],ROW()-ROW(Payslip_Lookup[#Headers]))="","",INDEX(Salary_Calculation[Rider ID],ROW()-ROW(Payslip_Lookup[#Headers])))</f>
        <v/>
      </c>
      <c r="E236" s="171" t="str">
        <f aca="false">IF(INDEX(Salary_Calculation[Source Row],ROW()-ROW(Payslip_Lookup[#Headers]))="","",INDEX(Salary_Calculation[Rider Name],ROW()-ROW(Payslip_Lookup[#Headers])))</f>
        <v/>
      </c>
      <c r="F236" s="173" t="str">
        <f aca="false">IF(INDEX(Salary_Calculation[Source Row],ROW()-ROW(Payslip_Lookup[#Headers]))="","",INDEX(Salary_Calculation[Working Days],ROW()-ROW(Payslip_Lookup[#Headers])))</f>
        <v/>
      </c>
      <c r="G236" s="173" t="str">
        <f aca="false">IF(INDEX(Salary_Calculation[Source Row],ROW()-ROW(Payslip_Lookup[#Headers]))="","",INDEX(Salary_Calculation[Calendar Days],ROW()-ROW(Payslip_Lookup[#Headers])))</f>
        <v/>
      </c>
      <c r="H236" s="174" t="str">
        <f aca="false">IF(INDEX(Salary_Calculation[Source Row],ROW()-ROW(Payslip_Lookup[#Headers]))="","",INDEX(Salary_Calculation[Monthly Target Orders],ROW()-ROW(Payslip_Lookup[#Headers])))</f>
        <v/>
      </c>
      <c r="I236" s="174" t="str">
        <f aca="false">IF(INDEX(Salary_Calculation[Source Row],ROW()-ROW(Payslip_Lookup[#Headers]))="","",INDEX(Salary_Calculation[Rider Target Orders],ROW()-ROW(Payslip_Lookup[#Headers])))</f>
        <v/>
      </c>
      <c r="J236" s="175" t="str">
        <f aca="false">IF(INDEX(Salary_Calculation[Source Row],ROW()-ROW(Payslip_Lookup[#Headers]))="","",INDEX(Salary_Calculation[Completed Orders],ROW()-ROW(Payslip_Lookup[#Headers])))</f>
        <v/>
      </c>
      <c r="K236" s="174" t="str">
        <f aca="false">IF(INDEX(Salary_Calculation[Source Row],ROW()-ROW(Payslip_Lookup[#Headers]))="","",INDEX(Salary_Calculation[Base Order Rate],ROW()-ROW(Payslip_Lookup[#Headers])))</f>
        <v/>
      </c>
      <c r="L236" s="176" t="str">
        <f aca="false">IF(INDEX(Salary_Calculation[Source Row],ROW()-ROW(Payslip_Lookup[#Headers]))="","",INDEX(Salary_Calculation[Basic Payment],ROW()-ROW(Payslip_Lookup[#Headers])))</f>
        <v/>
      </c>
      <c r="M236" s="176" t="str">
        <f aca="false">IF(INDEX(Salary_Calculation[Source Row],ROW()-ROW(Payslip_Lookup[#Headers]))="","",INDEX(Salary_Calculation[Earned Salary],ROW()-ROW(Payslip_Lookup[#Headers])))</f>
        <v/>
      </c>
      <c r="N236" s="174" t="str">
        <f aca="false">IF(INDEX(Salary_Calculation[Source Row],ROW()-ROW(Payslip_Lookup[#Headers]))="","",INDEX(Salary_Calculation[Orders Counted at Base Rate],ROW()-ROW(Payslip_Lookup[#Headers])))</f>
        <v/>
      </c>
      <c r="O236" s="174" t="str">
        <f aca="false">IF(INDEX(Salary_Calculation[Source Row],ROW()-ROW(Payslip_Lookup[#Headers]))="","",INDEX(Salary_Calculation[Missing Orders],ROW()-ROW(Payslip_Lookup[#Headers])))</f>
        <v/>
      </c>
      <c r="P236" s="176" t="str">
        <f aca="false">IF(INDEX(Salary_Calculation[Source Row],ROW()-ROW(Payslip_Lookup[#Headers]))="","",INDEX(Salary_Calculation[Missing-Order Deduction],ROW()-ROW(Payslip_Lookup[#Headers])))</f>
        <v/>
      </c>
      <c r="Q236" s="174" t="str">
        <f aca="false">IF(INDEX(Salary_Calculation[Source Row],ROW()-ROW(Payslip_Lookup[#Headers]))="","",INDEX(Salary_Calculation[Extra Orders],ROW()-ROW(Payslip_Lookup[#Headers])))</f>
        <v/>
      </c>
      <c r="R236" s="176" t="str">
        <f aca="false">IF(INDEX(Salary_Calculation[Source Row],ROW()-ROW(Payslip_Lookup[#Headers]))="","",INDEX(Salary_Calculation[Extra-Order Bonus],ROW()-ROW(Payslip_Lookup[#Headers])))</f>
        <v/>
      </c>
      <c r="S236" s="176" t="str">
        <f aca="false">IF(INDEX(Salary_Calculation[Source Row],ROW()-ROW(Payslip_Lookup[#Headers]))="","",INDEX(Salary_Calculation[Basic Salary for Target],ROW()-ROW(Payslip_Lookup[#Headers])))</f>
        <v/>
      </c>
      <c r="T236" s="176" t="str">
        <f aca="false">IF(INDEX(Salary_Calculation[Source Row],ROW()-ROW(Payslip_Lookup[#Headers]))="","",INDEX(Salary_Calculation[Gross Salary Before Deductions],ROW()-ROW(Payslip_Lookup[#Headers])))</f>
        <v/>
      </c>
      <c r="U236" s="176" t="str">
        <f aca="false">IF(INDEX(Salary_Calculation[Source Row],ROW()-ROW(Payslip_Lookup[#Headers]))="","",INDEX(Salary_Calculation[missed_days_penalty],ROW()-ROW(Payslip_Lookup[#Headers])))</f>
        <v/>
      </c>
      <c r="V236" s="176" t="str">
        <f aca="false">IF(INDEX(Salary_Calculation[Source Row],ROW()-ROW(Payslip_Lookup[#Headers]))="","",INDEX(Salary_Calculation[Rider Balance],ROW()-ROW(Payslip_Lookup[#Headers])))</f>
        <v/>
      </c>
      <c r="W236" s="176" t="str">
        <f aca="false">IF(INDEX(Salary_Calculation[Source Row],ROW()-ROW(Payslip_Lookup[#Headers]))="","",INDEX(Salary_Calculation[stacking_deduction],ROW()-ROW(Payslip_Lookup[#Headers])))</f>
        <v/>
      </c>
      <c r="X236" s="176" t="str">
        <f aca="false">IF(INDEX(Salary_Calculation[Source Row],ROW()-ROW(Payslip_Lookup[#Headers]))="","",INDEX(Salary_Calculation[Other Deductions],ROW()-ROW(Payslip_Lookup[#Headers])))</f>
        <v/>
      </c>
      <c r="Y236" s="176" t="str">
        <f aca="false">IF(INDEX(Salary_Calculation[Source Row],ROW()-ROW(Payslip_Lookup[#Headers]))="","",INDEX(Salary_Calculation[Total Deductions],ROW()-ROW(Payslip_Lookup[#Headers])))</f>
        <v/>
      </c>
      <c r="Z236" s="176" t="str">
        <f aca="false">IF(INDEX(Salary_Calculation[Source Row],ROW()-ROW(Payslip_Lookup[#Headers]))="","",INDEX(Salary_Calculation[Final Salary],ROW()-ROW(Payslip_Lookup[#Headers])))</f>
        <v/>
      </c>
      <c r="AA236" s="176" t="str">
        <f aca="false">IF(INDEX(Salary_Calculation[Source Row],ROW()-ROW(Payslip_Lookup[#Headers]))="","",INDEX(Salary_Calculation[Negative Balance / Amount Due from Rider],ROW()-ROW(Payslip_Lookup[#Headers])))</f>
        <v/>
      </c>
      <c r="AB236" s="176" t="str">
        <f aca="false">IF(INDEX(Salary_Calculation[Source Row],ROW()-ROW(Payslip_Lookup[#Headers]))="","",INDEX(Salary_Calculation[Total Amount Due from Rider],ROW()-ROW(Payslip_Lookup[#Headers])))</f>
        <v/>
      </c>
      <c r="AC236" s="176" t="str">
        <f aca="false">IF(INDEX(Salary_Calculation[Source Row],ROW()-ROW(Payslip_Lookup[#Headers]))="","",INDEX(Salary_Calculation[Salary Before Other Deductions],ROW()-ROW(Payslip_Lookup[#Headers])))</f>
        <v/>
      </c>
      <c r="AD236" s="171" t="str">
        <f aca="false">IF(INDEX(Salary_Calculation[Source Row],ROW()-ROW(Payslip_Lookup[#Headers]))="","",INDEX(Salary_Calculation[Payment Status],ROW()-ROW(Payslip_Lookup[#Headers])))</f>
        <v/>
      </c>
      <c r="AE236" s="171" t="str">
        <f aca="false">IF(INDEX(Salary_Calculation[Source Row],ROW()-ROW(Payslip_Lookup[#Headers]))="","",INDEX(Salary_Calculation[Notes],ROW()-ROW(Payslip_Lookup[#Headers])))</f>
        <v/>
      </c>
      <c r="AF236" s="171" t="str">
        <f aca="false">IF(INDEX(Salary_Calculation[Source Row],ROW()-ROW(Payslip_Lookup[#Headers]))="","",INDEX(Salary_Calculation[Exception Reason],ROW()-ROW(Payslip_Lookup[#Headers])))</f>
        <v/>
      </c>
      <c r="AG236" s="173" t="str">
        <f aca="false">IF($AD236="Review Required",COUNTIF(AD$2:AD236,"Review Required"),"")</f>
        <v/>
      </c>
      <c r="AH236" s="173" t="str">
        <f aca="false">IF(AND($D236&lt;&gt;"",$B236=Payslip_Print!$C$2),MAX(AH$1:AH235)+1,"")</f>
        <v/>
      </c>
      <c r="AL236" s="178" t="str">
        <f aca="false">IFERROR(INDEX($D$2:$D$501,MATCH(ROW()-1,$AH$2:$AH$501,0)),"")</f>
        <v/>
      </c>
      <c r="AM236" s="179" t="str">
        <f aca="false">IF($Z236="","",IF(AND($C236&gt;=Dash_Start,$C236&lt;Dash_End),$Z236+ROW()/10000000,""))</f>
        <v/>
      </c>
    </row>
    <row r="237" customFormat="false" ht="14.25" hidden="false" customHeight="false" outlineLevel="0" collapsed="false">
      <c r="A237" s="171" t="str">
        <f aca="false">IF(Payslip_Lookup[[#This Row],[Rider ID]]="","",Payslip_Lookup[[#This Row],[Rider ID]]&amp;"|"&amp;Payslip_Lookup[[#This Row],[Month Key]])</f>
        <v/>
      </c>
      <c r="B237" s="172" t="str">
        <f aca="false">IF(ISNUMBER(Payslip_Lookup[[#This Row],[Salary Month]]),DATE(YEAR(Payslip_Lookup[[#This Row],[Salary Month]]),MONTH(Payslip_Lookup[[#This Row],[Salary Month]]),1),"")</f>
        <v/>
      </c>
      <c r="C237" s="172" t="str">
        <f aca="false">IF(INDEX(Salary_Calculation[Source Row],ROW()-ROW(Payslip_Lookup[#Headers]))="","",INDEX(Salary_Calculation[Salary Month],ROW()-ROW(Payslip_Lookup[#Headers])))</f>
        <v/>
      </c>
      <c r="D237" s="173" t="str">
        <f aca="false">IF(INDEX(Salary_Calculation[Source Row],ROW()-ROW(Payslip_Lookup[#Headers]))="","",INDEX(Salary_Calculation[Rider ID],ROW()-ROW(Payslip_Lookup[#Headers])))</f>
        <v/>
      </c>
      <c r="E237" s="171" t="str">
        <f aca="false">IF(INDEX(Salary_Calculation[Source Row],ROW()-ROW(Payslip_Lookup[#Headers]))="","",INDEX(Salary_Calculation[Rider Name],ROW()-ROW(Payslip_Lookup[#Headers])))</f>
        <v/>
      </c>
      <c r="F237" s="173" t="str">
        <f aca="false">IF(INDEX(Salary_Calculation[Source Row],ROW()-ROW(Payslip_Lookup[#Headers]))="","",INDEX(Salary_Calculation[Working Days],ROW()-ROW(Payslip_Lookup[#Headers])))</f>
        <v/>
      </c>
      <c r="G237" s="173" t="str">
        <f aca="false">IF(INDEX(Salary_Calculation[Source Row],ROW()-ROW(Payslip_Lookup[#Headers]))="","",INDEX(Salary_Calculation[Calendar Days],ROW()-ROW(Payslip_Lookup[#Headers])))</f>
        <v/>
      </c>
      <c r="H237" s="174" t="str">
        <f aca="false">IF(INDEX(Salary_Calculation[Source Row],ROW()-ROW(Payslip_Lookup[#Headers]))="","",INDEX(Salary_Calculation[Monthly Target Orders],ROW()-ROW(Payslip_Lookup[#Headers])))</f>
        <v/>
      </c>
      <c r="I237" s="174" t="str">
        <f aca="false">IF(INDEX(Salary_Calculation[Source Row],ROW()-ROW(Payslip_Lookup[#Headers]))="","",INDEX(Salary_Calculation[Rider Target Orders],ROW()-ROW(Payslip_Lookup[#Headers])))</f>
        <v/>
      </c>
      <c r="J237" s="175" t="str">
        <f aca="false">IF(INDEX(Salary_Calculation[Source Row],ROW()-ROW(Payslip_Lookup[#Headers]))="","",INDEX(Salary_Calculation[Completed Orders],ROW()-ROW(Payslip_Lookup[#Headers])))</f>
        <v/>
      </c>
      <c r="K237" s="174" t="str">
        <f aca="false">IF(INDEX(Salary_Calculation[Source Row],ROW()-ROW(Payslip_Lookup[#Headers]))="","",INDEX(Salary_Calculation[Base Order Rate],ROW()-ROW(Payslip_Lookup[#Headers])))</f>
        <v/>
      </c>
      <c r="L237" s="176" t="str">
        <f aca="false">IF(INDEX(Salary_Calculation[Source Row],ROW()-ROW(Payslip_Lookup[#Headers]))="","",INDEX(Salary_Calculation[Basic Payment],ROW()-ROW(Payslip_Lookup[#Headers])))</f>
        <v/>
      </c>
      <c r="M237" s="176" t="str">
        <f aca="false">IF(INDEX(Salary_Calculation[Source Row],ROW()-ROW(Payslip_Lookup[#Headers]))="","",INDEX(Salary_Calculation[Earned Salary],ROW()-ROW(Payslip_Lookup[#Headers])))</f>
        <v/>
      </c>
      <c r="N237" s="174" t="str">
        <f aca="false">IF(INDEX(Salary_Calculation[Source Row],ROW()-ROW(Payslip_Lookup[#Headers]))="","",INDEX(Salary_Calculation[Orders Counted at Base Rate],ROW()-ROW(Payslip_Lookup[#Headers])))</f>
        <v/>
      </c>
      <c r="O237" s="174" t="str">
        <f aca="false">IF(INDEX(Salary_Calculation[Source Row],ROW()-ROW(Payslip_Lookup[#Headers]))="","",INDEX(Salary_Calculation[Missing Orders],ROW()-ROW(Payslip_Lookup[#Headers])))</f>
        <v/>
      </c>
      <c r="P237" s="176" t="str">
        <f aca="false">IF(INDEX(Salary_Calculation[Source Row],ROW()-ROW(Payslip_Lookup[#Headers]))="","",INDEX(Salary_Calculation[Missing-Order Deduction],ROW()-ROW(Payslip_Lookup[#Headers])))</f>
        <v/>
      </c>
      <c r="Q237" s="174" t="str">
        <f aca="false">IF(INDEX(Salary_Calculation[Source Row],ROW()-ROW(Payslip_Lookup[#Headers]))="","",INDEX(Salary_Calculation[Extra Orders],ROW()-ROW(Payslip_Lookup[#Headers])))</f>
        <v/>
      </c>
      <c r="R237" s="176" t="str">
        <f aca="false">IF(INDEX(Salary_Calculation[Source Row],ROW()-ROW(Payslip_Lookup[#Headers]))="","",INDEX(Salary_Calculation[Extra-Order Bonus],ROW()-ROW(Payslip_Lookup[#Headers])))</f>
        <v/>
      </c>
      <c r="S237" s="176" t="str">
        <f aca="false">IF(INDEX(Salary_Calculation[Source Row],ROW()-ROW(Payslip_Lookup[#Headers]))="","",INDEX(Salary_Calculation[Basic Salary for Target],ROW()-ROW(Payslip_Lookup[#Headers])))</f>
        <v/>
      </c>
      <c r="T237" s="176" t="str">
        <f aca="false">IF(INDEX(Salary_Calculation[Source Row],ROW()-ROW(Payslip_Lookup[#Headers]))="","",INDEX(Salary_Calculation[Gross Salary Before Deductions],ROW()-ROW(Payslip_Lookup[#Headers])))</f>
        <v/>
      </c>
      <c r="U237" s="176" t="str">
        <f aca="false">IF(INDEX(Salary_Calculation[Source Row],ROW()-ROW(Payslip_Lookup[#Headers]))="","",INDEX(Salary_Calculation[missed_days_penalty],ROW()-ROW(Payslip_Lookup[#Headers])))</f>
        <v/>
      </c>
      <c r="V237" s="176" t="str">
        <f aca="false">IF(INDEX(Salary_Calculation[Source Row],ROW()-ROW(Payslip_Lookup[#Headers]))="","",INDEX(Salary_Calculation[Rider Balance],ROW()-ROW(Payslip_Lookup[#Headers])))</f>
        <v/>
      </c>
      <c r="W237" s="176" t="str">
        <f aca="false">IF(INDEX(Salary_Calculation[Source Row],ROW()-ROW(Payslip_Lookup[#Headers]))="","",INDEX(Salary_Calculation[stacking_deduction],ROW()-ROW(Payslip_Lookup[#Headers])))</f>
        <v/>
      </c>
      <c r="X237" s="176" t="str">
        <f aca="false">IF(INDEX(Salary_Calculation[Source Row],ROW()-ROW(Payslip_Lookup[#Headers]))="","",INDEX(Salary_Calculation[Other Deductions],ROW()-ROW(Payslip_Lookup[#Headers])))</f>
        <v/>
      </c>
      <c r="Y237" s="176" t="str">
        <f aca="false">IF(INDEX(Salary_Calculation[Source Row],ROW()-ROW(Payslip_Lookup[#Headers]))="","",INDEX(Salary_Calculation[Total Deductions],ROW()-ROW(Payslip_Lookup[#Headers])))</f>
        <v/>
      </c>
      <c r="Z237" s="176" t="str">
        <f aca="false">IF(INDEX(Salary_Calculation[Source Row],ROW()-ROW(Payslip_Lookup[#Headers]))="","",INDEX(Salary_Calculation[Final Salary],ROW()-ROW(Payslip_Lookup[#Headers])))</f>
        <v/>
      </c>
      <c r="AA237" s="176" t="str">
        <f aca="false">IF(INDEX(Salary_Calculation[Source Row],ROW()-ROW(Payslip_Lookup[#Headers]))="","",INDEX(Salary_Calculation[Negative Balance / Amount Due from Rider],ROW()-ROW(Payslip_Lookup[#Headers])))</f>
        <v/>
      </c>
      <c r="AB237" s="176" t="str">
        <f aca="false">IF(INDEX(Salary_Calculation[Source Row],ROW()-ROW(Payslip_Lookup[#Headers]))="","",INDEX(Salary_Calculation[Total Amount Due from Rider],ROW()-ROW(Payslip_Lookup[#Headers])))</f>
        <v/>
      </c>
      <c r="AC237" s="176" t="str">
        <f aca="false">IF(INDEX(Salary_Calculation[Source Row],ROW()-ROW(Payslip_Lookup[#Headers]))="","",INDEX(Salary_Calculation[Salary Before Other Deductions],ROW()-ROW(Payslip_Lookup[#Headers])))</f>
        <v/>
      </c>
      <c r="AD237" s="171" t="str">
        <f aca="false">IF(INDEX(Salary_Calculation[Source Row],ROW()-ROW(Payslip_Lookup[#Headers]))="","",INDEX(Salary_Calculation[Payment Status],ROW()-ROW(Payslip_Lookup[#Headers])))</f>
        <v/>
      </c>
      <c r="AE237" s="171" t="str">
        <f aca="false">IF(INDEX(Salary_Calculation[Source Row],ROW()-ROW(Payslip_Lookup[#Headers]))="","",INDEX(Salary_Calculation[Notes],ROW()-ROW(Payslip_Lookup[#Headers])))</f>
        <v/>
      </c>
      <c r="AF237" s="171" t="str">
        <f aca="false">IF(INDEX(Salary_Calculation[Source Row],ROW()-ROW(Payslip_Lookup[#Headers]))="","",INDEX(Salary_Calculation[Exception Reason],ROW()-ROW(Payslip_Lookup[#Headers])))</f>
        <v/>
      </c>
      <c r="AG237" s="173" t="str">
        <f aca="false">IF($AD237="Review Required",COUNTIF(AD$2:AD237,"Review Required"),"")</f>
        <v/>
      </c>
      <c r="AH237" s="173" t="str">
        <f aca="false">IF(AND($D237&lt;&gt;"",$B237=Payslip_Print!$C$2),MAX(AH$1:AH236)+1,"")</f>
        <v/>
      </c>
      <c r="AL237" s="178" t="str">
        <f aca="false">IFERROR(INDEX($D$2:$D$501,MATCH(ROW()-1,$AH$2:$AH$501,0)),"")</f>
        <v/>
      </c>
      <c r="AM237" s="179" t="str">
        <f aca="false">IF($Z237="","",IF(AND($C237&gt;=Dash_Start,$C237&lt;Dash_End),$Z237+ROW()/10000000,""))</f>
        <v/>
      </c>
    </row>
    <row r="238" customFormat="false" ht="14.25" hidden="false" customHeight="false" outlineLevel="0" collapsed="false">
      <c r="A238" s="171" t="str">
        <f aca="false">IF(Payslip_Lookup[[#This Row],[Rider ID]]="","",Payslip_Lookup[[#This Row],[Rider ID]]&amp;"|"&amp;Payslip_Lookup[[#This Row],[Month Key]])</f>
        <v/>
      </c>
      <c r="B238" s="172" t="str">
        <f aca="false">IF(ISNUMBER(Payslip_Lookup[[#This Row],[Salary Month]]),DATE(YEAR(Payslip_Lookup[[#This Row],[Salary Month]]),MONTH(Payslip_Lookup[[#This Row],[Salary Month]]),1),"")</f>
        <v/>
      </c>
      <c r="C238" s="172" t="str">
        <f aca="false">IF(INDEX(Salary_Calculation[Source Row],ROW()-ROW(Payslip_Lookup[#Headers]))="","",INDEX(Salary_Calculation[Salary Month],ROW()-ROW(Payslip_Lookup[#Headers])))</f>
        <v/>
      </c>
      <c r="D238" s="173" t="str">
        <f aca="false">IF(INDEX(Salary_Calculation[Source Row],ROW()-ROW(Payslip_Lookup[#Headers]))="","",INDEX(Salary_Calculation[Rider ID],ROW()-ROW(Payslip_Lookup[#Headers])))</f>
        <v/>
      </c>
      <c r="E238" s="171" t="str">
        <f aca="false">IF(INDEX(Salary_Calculation[Source Row],ROW()-ROW(Payslip_Lookup[#Headers]))="","",INDEX(Salary_Calculation[Rider Name],ROW()-ROW(Payslip_Lookup[#Headers])))</f>
        <v/>
      </c>
      <c r="F238" s="173" t="str">
        <f aca="false">IF(INDEX(Salary_Calculation[Source Row],ROW()-ROW(Payslip_Lookup[#Headers]))="","",INDEX(Salary_Calculation[Working Days],ROW()-ROW(Payslip_Lookup[#Headers])))</f>
        <v/>
      </c>
      <c r="G238" s="173" t="str">
        <f aca="false">IF(INDEX(Salary_Calculation[Source Row],ROW()-ROW(Payslip_Lookup[#Headers]))="","",INDEX(Salary_Calculation[Calendar Days],ROW()-ROW(Payslip_Lookup[#Headers])))</f>
        <v/>
      </c>
      <c r="H238" s="174" t="str">
        <f aca="false">IF(INDEX(Salary_Calculation[Source Row],ROW()-ROW(Payslip_Lookup[#Headers]))="","",INDEX(Salary_Calculation[Monthly Target Orders],ROW()-ROW(Payslip_Lookup[#Headers])))</f>
        <v/>
      </c>
      <c r="I238" s="174" t="str">
        <f aca="false">IF(INDEX(Salary_Calculation[Source Row],ROW()-ROW(Payslip_Lookup[#Headers]))="","",INDEX(Salary_Calculation[Rider Target Orders],ROW()-ROW(Payslip_Lookup[#Headers])))</f>
        <v/>
      </c>
      <c r="J238" s="175" t="str">
        <f aca="false">IF(INDEX(Salary_Calculation[Source Row],ROW()-ROW(Payslip_Lookup[#Headers]))="","",INDEX(Salary_Calculation[Completed Orders],ROW()-ROW(Payslip_Lookup[#Headers])))</f>
        <v/>
      </c>
      <c r="K238" s="174" t="str">
        <f aca="false">IF(INDEX(Salary_Calculation[Source Row],ROW()-ROW(Payslip_Lookup[#Headers]))="","",INDEX(Salary_Calculation[Base Order Rate],ROW()-ROW(Payslip_Lookup[#Headers])))</f>
        <v/>
      </c>
      <c r="L238" s="176" t="str">
        <f aca="false">IF(INDEX(Salary_Calculation[Source Row],ROW()-ROW(Payslip_Lookup[#Headers]))="","",INDEX(Salary_Calculation[Basic Payment],ROW()-ROW(Payslip_Lookup[#Headers])))</f>
        <v/>
      </c>
      <c r="M238" s="176" t="str">
        <f aca="false">IF(INDEX(Salary_Calculation[Source Row],ROW()-ROW(Payslip_Lookup[#Headers]))="","",INDEX(Salary_Calculation[Earned Salary],ROW()-ROW(Payslip_Lookup[#Headers])))</f>
        <v/>
      </c>
      <c r="N238" s="174" t="str">
        <f aca="false">IF(INDEX(Salary_Calculation[Source Row],ROW()-ROW(Payslip_Lookup[#Headers]))="","",INDEX(Salary_Calculation[Orders Counted at Base Rate],ROW()-ROW(Payslip_Lookup[#Headers])))</f>
        <v/>
      </c>
      <c r="O238" s="174" t="str">
        <f aca="false">IF(INDEX(Salary_Calculation[Source Row],ROW()-ROW(Payslip_Lookup[#Headers]))="","",INDEX(Salary_Calculation[Missing Orders],ROW()-ROW(Payslip_Lookup[#Headers])))</f>
        <v/>
      </c>
      <c r="P238" s="176" t="str">
        <f aca="false">IF(INDEX(Salary_Calculation[Source Row],ROW()-ROW(Payslip_Lookup[#Headers]))="","",INDEX(Salary_Calculation[Missing-Order Deduction],ROW()-ROW(Payslip_Lookup[#Headers])))</f>
        <v/>
      </c>
      <c r="Q238" s="174" t="str">
        <f aca="false">IF(INDEX(Salary_Calculation[Source Row],ROW()-ROW(Payslip_Lookup[#Headers]))="","",INDEX(Salary_Calculation[Extra Orders],ROW()-ROW(Payslip_Lookup[#Headers])))</f>
        <v/>
      </c>
      <c r="R238" s="176" t="str">
        <f aca="false">IF(INDEX(Salary_Calculation[Source Row],ROW()-ROW(Payslip_Lookup[#Headers]))="","",INDEX(Salary_Calculation[Extra-Order Bonus],ROW()-ROW(Payslip_Lookup[#Headers])))</f>
        <v/>
      </c>
      <c r="S238" s="176" t="str">
        <f aca="false">IF(INDEX(Salary_Calculation[Source Row],ROW()-ROW(Payslip_Lookup[#Headers]))="","",INDEX(Salary_Calculation[Basic Salary for Target],ROW()-ROW(Payslip_Lookup[#Headers])))</f>
        <v/>
      </c>
      <c r="T238" s="176" t="str">
        <f aca="false">IF(INDEX(Salary_Calculation[Source Row],ROW()-ROW(Payslip_Lookup[#Headers]))="","",INDEX(Salary_Calculation[Gross Salary Before Deductions],ROW()-ROW(Payslip_Lookup[#Headers])))</f>
        <v/>
      </c>
      <c r="U238" s="176" t="str">
        <f aca="false">IF(INDEX(Salary_Calculation[Source Row],ROW()-ROW(Payslip_Lookup[#Headers]))="","",INDEX(Salary_Calculation[missed_days_penalty],ROW()-ROW(Payslip_Lookup[#Headers])))</f>
        <v/>
      </c>
      <c r="V238" s="176" t="str">
        <f aca="false">IF(INDEX(Salary_Calculation[Source Row],ROW()-ROW(Payslip_Lookup[#Headers]))="","",INDEX(Salary_Calculation[Rider Balance],ROW()-ROW(Payslip_Lookup[#Headers])))</f>
        <v/>
      </c>
      <c r="W238" s="176" t="str">
        <f aca="false">IF(INDEX(Salary_Calculation[Source Row],ROW()-ROW(Payslip_Lookup[#Headers]))="","",INDEX(Salary_Calculation[stacking_deduction],ROW()-ROW(Payslip_Lookup[#Headers])))</f>
        <v/>
      </c>
      <c r="X238" s="176" t="str">
        <f aca="false">IF(INDEX(Salary_Calculation[Source Row],ROW()-ROW(Payslip_Lookup[#Headers]))="","",INDEX(Salary_Calculation[Other Deductions],ROW()-ROW(Payslip_Lookup[#Headers])))</f>
        <v/>
      </c>
      <c r="Y238" s="176" t="str">
        <f aca="false">IF(INDEX(Salary_Calculation[Source Row],ROW()-ROW(Payslip_Lookup[#Headers]))="","",INDEX(Salary_Calculation[Total Deductions],ROW()-ROW(Payslip_Lookup[#Headers])))</f>
        <v/>
      </c>
      <c r="Z238" s="176" t="str">
        <f aca="false">IF(INDEX(Salary_Calculation[Source Row],ROW()-ROW(Payslip_Lookup[#Headers]))="","",INDEX(Salary_Calculation[Final Salary],ROW()-ROW(Payslip_Lookup[#Headers])))</f>
        <v/>
      </c>
      <c r="AA238" s="176" t="str">
        <f aca="false">IF(INDEX(Salary_Calculation[Source Row],ROW()-ROW(Payslip_Lookup[#Headers]))="","",INDEX(Salary_Calculation[Negative Balance / Amount Due from Rider],ROW()-ROW(Payslip_Lookup[#Headers])))</f>
        <v/>
      </c>
      <c r="AB238" s="176" t="str">
        <f aca="false">IF(INDEX(Salary_Calculation[Source Row],ROW()-ROW(Payslip_Lookup[#Headers]))="","",INDEX(Salary_Calculation[Total Amount Due from Rider],ROW()-ROW(Payslip_Lookup[#Headers])))</f>
        <v/>
      </c>
      <c r="AC238" s="176" t="str">
        <f aca="false">IF(INDEX(Salary_Calculation[Source Row],ROW()-ROW(Payslip_Lookup[#Headers]))="","",INDEX(Salary_Calculation[Salary Before Other Deductions],ROW()-ROW(Payslip_Lookup[#Headers])))</f>
        <v/>
      </c>
      <c r="AD238" s="171" t="str">
        <f aca="false">IF(INDEX(Salary_Calculation[Source Row],ROW()-ROW(Payslip_Lookup[#Headers]))="","",INDEX(Salary_Calculation[Payment Status],ROW()-ROW(Payslip_Lookup[#Headers])))</f>
        <v/>
      </c>
      <c r="AE238" s="171" t="str">
        <f aca="false">IF(INDEX(Salary_Calculation[Source Row],ROW()-ROW(Payslip_Lookup[#Headers]))="","",INDEX(Salary_Calculation[Notes],ROW()-ROW(Payslip_Lookup[#Headers])))</f>
        <v/>
      </c>
      <c r="AF238" s="171" t="str">
        <f aca="false">IF(INDEX(Salary_Calculation[Source Row],ROW()-ROW(Payslip_Lookup[#Headers]))="","",INDEX(Salary_Calculation[Exception Reason],ROW()-ROW(Payslip_Lookup[#Headers])))</f>
        <v/>
      </c>
      <c r="AG238" s="173" t="str">
        <f aca="false">IF($AD238="Review Required",COUNTIF(AD$2:AD238,"Review Required"),"")</f>
        <v/>
      </c>
      <c r="AH238" s="173" t="str">
        <f aca="false">IF(AND($D238&lt;&gt;"",$B238=Payslip_Print!$C$2),MAX(AH$1:AH237)+1,"")</f>
        <v/>
      </c>
      <c r="AL238" s="178" t="str">
        <f aca="false">IFERROR(INDEX($D$2:$D$501,MATCH(ROW()-1,$AH$2:$AH$501,0)),"")</f>
        <v/>
      </c>
      <c r="AM238" s="179" t="str">
        <f aca="false">IF($Z238="","",IF(AND($C238&gt;=Dash_Start,$C238&lt;Dash_End),$Z238+ROW()/10000000,""))</f>
        <v/>
      </c>
    </row>
    <row r="239" customFormat="false" ht="14.25" hidden="false" customHeight="false" outlineLevel="0" collapsed="false">
      <c r="A239" s="171" t="str">
        <f aca="false">IF(Payslip_Lookup[[#This Row],[Rider ID]]="","",Payslip_Lookup[[#This Row],[Rider ID]]&amp;"|"&amp;Payslip_Lookup[[#This Row],[Month Key]])</f>
        <v/>
      </c>
      <c r="B239" s="172" t="str">
        <f aca="false">IF(ISNUMBER(Payslip_Lookup[[#This Row],[Salary Month]]),DATE(YEAR(Payslip_Lookup[[#This Row],[Salary Month]]),MONTH(Payslip_Lookup[[#This Row],[Salary Month]]),1),"")</f>
        <v/>
      </c>
      <c r="C239" s="172" t="str">
        <f aca="false">IF(INDEX(Salary_Calculation[Source Row],ROW()-ROW(Payslip_Lookup[#Headers]))="","",INDEX(Salary_Calculation[Salary Month],ROW()-ROW(Payslip_Lookup[#Headers])))</f>
        <v/>
      </c>
      <c r="D239" s="173" t="str">
        <f aca="false">IF(INDEX(Salary_Calculation[Source Row],ROW()-ROW(Payslip_Lookup[#Headers]))="","",INDEX(Salary_Calculation[Rider ID],ROW()-ROW(Payslip_Lookup[#Headers])))</f>
        <v/>
      </c>
      <c r="E239" s="171" t="str">
        <f aca="false">IF(INDEX(Salary_Calculation[Source Row],ROW()-ROW(Payslip_Lookup[#Headers]))="","",INDEX(Salary_Calculation[Rider Name],ROW()-ROW(Payslip_Lookup[#Headers])))</f>
        <v/>
      </c>
      <c r="F239" s="173" t="str">
        <f aca="false">IF(INDEX(Salary_Calculation[Source Row],ROW()-ROW(Payslip_Lookup[#Headers]))="","",INDEX(Salary_Calculation[Working Days],ROW()-ROW(Payslip_Lookup[#Headers])))</f>
        <v/>
      </c>
      <c r="G239" s="173" t="str">
        <f aca="false">IF(INDEX(Salary_Calculation[Source Row],ROW()-ROW(Payslip_Lookup[#Headers]))="","",INDEX(Salary_Calculation[Calendar Days],ROW()-ROW(Payslip_Lookup[#Headers])))</f>
        <v/>
      </c>
      <c r="H239" s="174" t="str">
        <f aca="false">IF(INDEX(Salary_Calculation[Source Row],ROW()-ROW(Payslip_Lookup[#Headers]))="","",INDEX(Salary_Calculation[Monthly Target Orders],ROW()-ROW(Payslip_Lookup[#Headers])))</f>
        <v/>
      </c>
      <c r="I239" s="174" t="str">
        <f aca="false">IF(INDEX(Salary_Calculation[Source Row],ROW()-ROW(Payslip_Lookup[#Headers]))="","",INDEX(Salary_Calculation[Rider Target Orders],ROW()-ROW(Payslip_Lookup[#Headers])))</f>
        <v/>
      </c>
      <c r="J239" s="175" t="str">
        <f aca="false">IF(INDEX(Salary_Calculation[Source Row],ROW()-ROW(Payslip_Lookup[#Headers]))="","",INDEX(Salary_Calculation[Completed Orders],ROW()-ROW(Payslip_Lookup[#Headers])))</f>
        <v/>
      </c>
      <c r="K239" s="174" t="str">
        <f aca="false">IF(INDEX(Salary_Calculation[Source Row],ROW()-ROW(Payslip_Lookup[#Headers]))="","",INDEX(Salary_Calculation[Base Order Rate],ROW()-ROW(Payslip_Lookup[#Headers])))</f>
        <v/>
      </c>
      <c r="L239" s="176" t="str">
        <f aca="false">IF(INDEX(Salary_Calculation[Source Row],ROW()-ROW(Payslip_Lookup[#Headers]))="","",INDEX(Salary_Calculation[Basic Payment],ROW()-ROW(Payslip_Lookup[#Headers])))</f>
        <v/>
      </c>
      <c r="M239" s="176" t="str">
        <f aca="false">IF(INDEX(Salary_Calculation[Source Row],ROW()-ROW(Payslip_Lookup[#Headers]))="","",INDEX(Salary_Calculation[Earned Salary],ROW()-ROW(Payslip_Lookup[#Headers])))</f>
        <v/>
      </c>
      <c r="N239" s="174" t="str">
        <f aca="false">IF(INDEX(Salary_Calculation[Source Row],ROW()-ROW(Payslip_Lookup[#Headers]))="","",INDEX(Salary_Calculation[Orders Counted at Base Rate],ROW()-ROW(Payslip_Lookup[#Headers])))</f>
        <v/>
      </c>
      <c r="O239" s="174" t="str">
        <f aca="false">IF(INDEX(Salary_Calculation[Source Row],ROW()-ROW(Payslip_Lookup[#Headers]))="","",INDEX(Salary_Calculation[Missing Orders],ROW()-ROW(Payslip_Lookup[#Headers])))</f>
        <v/>
      </c>
      <c r="P239" s="176" t="str">
        <f aca="false">IF(INDEX(Salary_Calculation[Source Row],ROW()-ROW(Payslip_Lookup[#Headers]))="","",INDEX(Salary_Calculation[Missing-Order Deduction],ROW()-ROW(Payslip_Lookup[#Headers])))</f>
        <v/>
      </c>
      <c r="Q239" s="174" t="str">
        <f aca="false">IF(INDEX(Salary_Calculation[Source Row],ROW()-ROW(Payslip_Lookup[#Headers]))="","",INDEX(Salary_Calculation[Extra Orders],ROW()-ROW(Payslip_Lookup[#Headers])))</f>
        <v/>
      </c>
      <c r="R239" s="176" t="str">
        <f aca="false">IF(INDEX(Salary_Calculation[Source Row],ROW()-ROW(Payslip_Lookup[#Headers]))="","",INDEX(Salary_Calculation[Extra-Order Bonus],ROW()-ROW(Payslip_Lookup[#Headers])))</f>
        <v/>
      </c>
      <c r="S239" s="176" t="str">
        <f aca="false">IF(INDEX(Salary_Calculation[Source Row],ROW()-ROW(Payslip_Lookup[#Headers]))="","",INDEX(Salary_Calculation[Basic Salary for Target],ROW()-ROW(Payslip_Lookup[#Headers])))</f>
        <v/>
      </c>
      <c r="T239" s="176" t="str">
        <f aca="false">IF(INDEX(Salary_Calculation[Source Row],ROW()-ROW(Payslip_Lookup[#Headers]))="","",INDEX(Salary_Calculation[Gross Salary Before Deductions],ROW()-ROW(Payslip_Lookup[#Headers])))</f>
        <v/>
      </c>
      <c r="U239" s="176" t="str">
        <f aca="false">IF(INDEX(Salary_Calculation[Source Row],ROW()-ROW(Payslip_Lookup[#Headers]))="","",INDEX(Salary_Calculation[missed_days_penalty],ROW()-ROW(Payslip_Lookup[#Headers])))</f>
        <v/>
      </c>
      <c r="V239" s="176" t="str">
        <f aca="false">IF(INDEX(Salary_Calculation[Source Row],ROW()-ROW(Payslip_Lookup[#Headers]))="","",INDEX(Salary_Calculation[Rider Balance],ROW()-ROW(Payslip_Lookup[#Headers])))</f>
        <v/>
      </c>
      <c r="W239" s="176" t="str">
        <f aca="false">IF(INDEX(Salary_Calculation[Source Row],ROW()-ROW(Payslip_Lookup[#Headers]))="","",INDEX(Salary_Calculation[stacking_deduction],ROW()-ROW(Payslip_Lookup[#Headers])))</f>
        <v/>
      </c>
      <c r="X239" s="176" t="str">
        <f aca="false">IF(INDEX(Salary_Calculation[Source Row],ROW()-ROW(Payslip_Lookup[#Headers]))="","",INDEX(Salary_Calculation[Other Deductions],ROW()-ROW(Payslip_Lookup[#Headers])))</f>
        <v/>
      </c>
      <c r="Y239" s="176" t="str">
        <f aca="false">IF(INDEX(Salary_Calculation[Source Row],ROW()-ROW(Payslip_Lookup[#Headers]))="","",INDEX(Salary_Calculation[Total Deductions],ROW()-ROW(Payslip_Lookup[#Headers])))</f>
        <v/>
      </c>
      <c r="Z239" s="176" t="str">
        <f aca="false">IF(INDEX(Salary_Calculation[Source Row],ROW()-ROW(Payslip_Lookup[#Headers]))="","",INDEX(Salary_Calculation[Final Salary],ROW()-ROW(Payslip_Lookup[#Headers])))</f>
        <v/>
      </c>
      <c r="AA239" s="176" t="str">
        <f aca="false">IF(INDEX(Salary_Calculation[Source Row],ROW()-ROW(Payslip_Lookup[#Headers]))="","",INDEX(Salary_Calculation[Negative Balance / Amount Due from Rider],ROW()-ROW(Payslip_Lookup[#Headers])))</f>
        <v/>
      </c>
      <c r="AB239" s="176" t="str">
        <f aca="false">IF(INDEX(Salary_Calculation[Source Row],ROW()-ROW(Payslip_Lookup[#Headers]))="","",INDEX(Salary_Calculation[Total Amount Due from Rider],ROW()-ROW(Payslip_Lookup[#Headers])))</f>
        <v/>
      </c>
      <c r="AC239" s="176" t="str">
        <f aca="false">IF(INDEX(Salary_Calculation[Source Row],ROW()-ROW(Payslip_Lookup[#Headers]))="","",INDEX(Salary_Calculation[Salary Before Other Deductions],ROW()-ROW(Payslip_Lookup[#Headers])))</f>
        <v/>
      </c>
      <c r="AD239" s="171" t="str">
        <f aca="false">IF(INDEX(Salary_Calculation[Source Row],ROW()-ROW(Payslip_Lookup[#Headers]))="","",INDEX(Salary_Calculation[Payment Status],ROW()-ROW(Payslip_Lookup[#Headers])))</f>
        <v/>
      </c>
      <c r="AE239" s="171" t="str">
        <f aca="false">IF(INDEX(Salary_Calculation[Source Row],ROW()-ROW(Payslip_Lookup[#Headers]))="","",INDEX(Salary_Calculation[Notes],ROW()-ROW(Payslip_Lookup[#Headers])))</f>
        <v/>
      </c>
      <c r="AF239" s="171" t="str">
        <f aca="false">IF(INDEX(Salary_Calculation[Source Row],ROW()-ROW(Payslip_Lookup[#Headers]))="","",INDEX(Salary_Calculation[Exception Reason],ROW()-ROW(Payslip_Lookup[#Headers])))</f>
        <v/>
      </c>
      <c r="AG239" s="173" t="str">
        <f aca="false">IF($AD239="Review Required",COUNTIF(AD$2:AD239,"Review Required"),"")</f>
        <v/>
      </c>
      <c r="AH239" s="173" t="str">
        <f aca="false">IF(AND($D239&lt;&gt;"",$B239=Payslip_Print!$C$2),MAX(AH$1:AH238)+1,"")</f>
        <v/>
      </c>
      <c r="AL239" s="178" t="str">
        <f aca="false">IFERROR(INDEX($D$2:$D$501,MATCH(ROW()-1,$AH$2:$AH$501,0)),"")</f>
        <v/>
      </c>
      <c r="AM239" s="179" t="str">
        <f aca="false">IF($Z239="","",IF(AND($C239&gt;=Dash_Start,$C239&lt;Dash_End),$Z239+ROW()/10000000,""))</f>
        <v/>
      </c>
    </row>
    <row r="240" customFormat="false" ht="14.25" hidden="false" customHeight="false" outlineLevel="0" collapsed="false">
      <c r="A240" s="171" t="str">
        <f aca="false">IF(Payslip_Lookup[[#This Row],[Rider ID]]="","",Payslip_Lookup[[#This Row],[Rider ID]]&amp;"|"&amp;Payslip_Lookup[[#This Row],[Month Key]])</f>
        <v/>
      </c>
      <c r="B240" s="172" t="str">
        <f aca="false">IF(ISNUMBER(Payslip_Lookup[[#This Row],[Salary Month]]),DATE(YEAR(Payslip_Lookup[[#This Row],[Salary Month]]),MONTH(Payslip_Lookup[[#This Row],[Salary Month]]),1),"")</f>
        <v/>
      </c>
      <c r="C240" s="172" t="str">
        <f aca="false">IF(INDEX(Salary_Calculation[Source Row],ROW()-ROW(Payslip_Lookup[#Headers]))="","",INDEX(Salary_Calculation[Salary Month],ROW()-ROW(Payslip_Lookup[#Headers])))</f>
        <v/>
      </c>
      <c r="D240" s="173" t="str">
        <f aca="false">IF(INDEX(Salary_Calculation[Source Row],ROW()-ROW(Payslip_Lookup[#Headers]))="","",INDEX(Salary_Calculation[Rider ID],ROW()-ROW(Payslip_Lookup[#Headers])))</f>
        <v/>
      </c>
      <c r="E240" s="171" t="str">
        <f aca="false">IF(INDEX(Salary_Calculation[Source Row],ROW()-ROW(Payslip_Lookup[#Headers]))="","",INDEX(Salary_Calculation[Rider Name],ROW()-ROW(Payslip_Lookup[#Headers])))</f>
        <v/>
      </c>
      <c r="F240" s="173" t="str">
        <f aca="false">IF(INDEX(Salary_Calculation[Source Row],ROW()-ROW(Payslip_Lookup[#Headers]))="","",INDEX(Salary_Calculation[Working Days],ROW()-ROW(Payslip_Lookup[#Headers])))</f>
        <v/>
      </c>
      <c r="G240" s="173" t="str">
        <f aca="false">IF(INDEX(Salary_Calculation[Source Row],ROW()-ROW(Payslip_Lookup[#Headers]))="","",INDEX(Salary_Calculation[Calendar Days],ROW()-ROW(Payslip_Lookup[#Headers])))</f>
        <v/>
      </c>
      <c r="H240" s="174" t="str">
        <f aca="false">IF(INDEX(Salary_Calculation[Source Row],ROW()-ROW(Payslip_Lookup[#Headers]))="","",INDEX(Salary_Calculation[Monthly Target Orders],ROW()-ROW(Payslip_Lookup[#Headers])))</f>
        <v/>
      </c>
      <c r="I240" s="174" t="str">
        <f aca="false">IF(INDEX(Salary_Calculation[Source Row],ROW()-ROW(Payslip_Lookup[#Headers]))="","",INDEX(Salary_Calculation[Rider Target Orders],ROW()-ROW(Payslip_Lookup[#Headers])))</f>
        <v/>
      </c>
      <c r="J240" s="175" t="str">
        <f aca="false">IF(INDEX(Salary_Calculation[Source Row],ROW()-ROW(Payslip_Lookup[#Headers]))="","",INDEX(Salary_Calculation[Completed Orders],ROW()-ROW(Payslip_Lookup[#Headers])))</f>
        <v/>
      </c>
      <c r="K240" s="174" t="str">
        <f aca="false">IF(INDEX(Salary_Calculation[Source Row],ROW()-ROW(Payslip_Lookup[#Headers]))="","",INDEX(Salary_Calculation[Base Order Rate],ROW()-ROW(Payslip_Lookup[#Headers])))</f>
        <v/>
      </c>
      <c r="L240" s="176" t="str">
        <f aca="false">IF(INDEX(Salary_Calculation[Source Row],ROW()-ROW(Payslip_Lookup[#Headers]))="","",INDEX(Salary_Calculation[Basic Payment],ROW()-ROW(Payslip_Lookup[#Headers])))</f>
        <v/>
      </c>
      <c r="M240" s="176" t="str">
        <f aca="false">IF(INDEX(Salary_Calculation[Source Row],ROW()-ROW(Payslip_Lookup[#Headers]))="","",INDEX(Salary_Calculation[Earned Salary],ROW()-ROW(Payslip_Lookup[#Headers])))</f>
        <v/>
      </c>
      <c r="N240" s="174" t="str">
        <f aca="false">IF(INDEX(Salary_Calculation[Source Row],ROW()-ROW(Payslip_Lookup[#Headers]))="","",INDEX(Salary_Calculation[Orders Counted at Base Rate],ROW()-ROW(Payslip_Lookup[#Headers])))</f>
        <v/>
      </c>
      <c r="O240" s="174" t="str">
        <f aca="false">IF(INDEX(Salary_Calculation[Source Row],ROW()-ROW(Payslip_Lookup[#Headers]))="","",INDEX(Salary_Calculation[Missing Orders],ROW()-ROW(Payslip_Lookup[#Headers])))</f>
        <v/>
      </c>
      <c r="P240" s="176" t="str">
        <f aca="false">IF(INDEX(Salary_Calculation[Source Row],ROW()-ROW(Payslip_Lookup[#Headers]))="","",INDEX(Salary_Calculation[Missing-Order Deduction],ROW()-ROW(Payslip_Lookup[#Headers])))</f>
        <v/>
      </c>
      <c r="Q240" s="174" t="str">
        <f aca="false">IF(INDEX(Salary_Calculation[Source Row],ROW()-ROW(Payslip_Lookup[#Headers]))="","",INDEX(Salary_Calculation[Extra Orders],ROW()-ROW(Payslip_Lookup[#Headers])))</f>
        <v/>
      </c>
      <c r="R240" s="176" t="str">
        <f aca="false">IF(INDEX(Salary_Calculation[Source Row],ROW()-ROW(Payslip_Lookup[#Headers]))="","",INDEX(Salary_Calculation[Extra-Order Bonus],ROW()-ROW(Payslip_Lookup[#Headers])))</f>
        <v/>
      </c>
      <c r="S240" s="176" t="str">
        <f aca="false">IF(INDEX(Salary_Calculation[Source Row],ROW()-ROW(Payslip_Lookup[#Headers]))="","",INDEX(Salary_Calculation[Basic Salary for Target],ROW()-ROW(Payslip_Lookup[#Headers])))</f>
        <v/>
      </c>
      <c r="T240" s="176" t="str">
        <f aca="false">IF(INDEX(Salary_Calculation[Source Row],ROW()-ROW(Payslip_Lookup[#Headers]))="","",INDEX(Salary_Calculation[Gross Salary Before Deductions],ROW()-ROW(Payslip_Lookup[#Headers])))</f>
        <v/>
      </c>
      <c r="U240" s="176" t="str">
        <f aca="false">IF(INDEX(Salary_Calculation[Source Row],ROW()-ROW(Payslip_Lookup[#Headers]))="","",INDEX(Salary_Calculation[missed_days_penalty],ROW()-ROW(Payslip_Lookup[#Headers])))</f>
        <v/>
      </c>
      <c r="V240" s="176" t="str">
        <f aca="false">IF(INDEX(Salary_Calculation[Source Row],ROW()-ROW(Payslip_Lookup[#Headers]))="","",INDEX(Salary_Calculation[Rider Balance],ROW()-ROW(Payslip_Lookup[#Headers])))</f>
        <v/>
      </c>
      <c r="W240" s="176" t="str">
        <f aca="false">IF(INDEX(Salary_Calculation[Source Row],ROW()-ROW(Payslip_Lookup[#Headers]))="","",INDEX(Salary_Calculation[stacking_deduction],ROW()-ROW(Payslip_Lookup[#Headers])))</f>
        <v/>
      </c>
      <c r="X240" s="176" t="str">
        <f aca="false">IF(INDEX(Salary_Calculation[Source Row],ROW()-ROW(Payslip_Lookup[#Headers]))="","",INDEX(Salary_Calculation[Other Deductions],ROW()-ROW(Payslip_Lookup[#Headers])))</f>
        <v/>
      </c>
      <c r="Y240" s="176" t="str">
        <f aca="false">IF(INDEX(Salary_Calculation[Source Row],ROW()-ROW(Payslip_Lookup[#Headers]))="","",INDEX(Salary_Calculation[Total Deductions],ROW()-ROW(Payslip_Lookup[#Headers])))</f>
        <v/>
      </c>
      <c r="Z240" s="176" t="str">
        <f aca="false">IF(INDEX(Salary_Calculation[Source Row],ROW()-ROW(Payslip_Lookup[#Headers]))="","",INDEX(Salary_Calculation[Final Salary],ROW()-ROW(Payslip_Lookup[#Headers])))</f>
        <v/>
      </c>
      <c r="AA240" s="176" t="str">
        <f aca="false">IF(INDEX(Salary_Calculation[Source Row],ROW()-ROW(Payslip_Lookup[#Headers]))="","",INDEX(Salary_Calculation[Negative Balance / Amount Due from Rider],ROW()-ROW(Payslip_Lookup[#Headers])))</f>
        <v/>
      </c>
      <c r="AB240" s="176" t="str">
        <f aca="false">IF(INDEX(Salary_Calculation[Source Row],ROW()-ROW(Payslip_Lookup[#Headers]))="","",INDEX(Salary_Calculation[Total Amount Due from Rider],ROW()-ROW(Payslip_Lookup[#Headers])))</f>
        <v/>
      </c>
      <c r="AC240" s="176" t="str">
        <f aca="false">IF(INDEX(Salary_Calculation[Source Row],ROW()-ROW(Payslip_Lookup[#Headers]))="","",INDEX(Salary_Calculation[Salary Before Other Deductions],ROW()-ROW(Payslip_Lookup[#Headers])))</f>
        <v/>
      </c>
      <c r="AD240" s="171" t="str">
        <f aca="false">IF(INDEX(Salary_Calculation[Source Row],ROW()-ROW(Payslip_Lookup[#Headers]))="","",INDEX(Salary_Calculation[Payment Status],ROW()-ROW(Payslip_Lookup[#Headers])))</f>
        <v/>
      </c>
      <c r="AE240" s="171" t="str">
        <f aca="false">IF(INDEX(Salary_Calculation[Source Row],ROW()-ROW(Payslip_Lookup[#Headers]))="","",INDEX(Salary_Calculation[Notes],ROW()-ROW(Payslip_Lookup[#Headers])))</f>
        <v/>
      </c>
      <c r="AF240" s="171" t="str">
        <f aca="false">IF(INDEX(Salary_Calculation[Source Row],ROW()-ROW(Payslip_Lookup[#Headers]))="","",INDEX(Salary_Calculation[Exception Reason],ROW()-ROW(Payslip_Lookup[#Headers])))</f>
        <v/>
      </c>
      <c r="AG240" s="173" t="str">
        <f aca="false">IF($AD240="Review Required",COUNTIF(AD$2:AD240,"Review Required"),"")</f>
        <v/>
      </c>
      <c r="AH240" s="173" t="str">
        <f aca="false">IF(AND($D240&lt;&gt;"",$B240=Payslip_Print!$C$2),MAX(AH$1:AH239)+1,"")</f>
        <v/>
      </c>
      <c r="AL240" s="178" t="str">
        <f aca="false">IFERROR(INDEX($D$2:$D$501,MATCH(ROW()-1,$AH$2:$AH$501,0)),"")</f>
        <v/>
      </c>
      <c r="AM240" s="179" t="str">
        <f aca="false">IF($Z240="","",IF(AND($C240&gt;=Dash_Start,$C240&lt;Dash_End),$Z240+ROW()/10000000,""))</f>
        <v/>
      </c>
    </row>
    <row r="241" customFormat="false" ht="14.25" hidden="false" customHeight="false" outlineLevel="0" collapsed="false">
      <c r="A241" s="171" t="str">
        <f aca="false">IF(Payslip_Lookup[[#This Row],[Rider ID]]="","",Payslip_Lookup[[#This Row],[Rider ID]]&amp;"|"&amp;Payslip_Lookup[[#This Row],[Month Key]])</f>
        <v/>
      </c>
      <c r="B241" s="172" t="str">
        <f aca="false">IF(ISNUMBER(Payslip_Lookup[[#This Row],[Salary Month]]),DATE(YEAR(Payslip_Lookup[[#This Row],[Salary Month]]),MONTH(Payslip_Lookup[[#This Row],[Salary Month]]),1),"")</f>
        <v/>
      </c>
      <c r="C241" s="172" t="str">
        <f aca="false">IF(INDEX(Salary_Calculation[Source Row],ROW()-ROW(Payslip_Lookup[#Headers]))="","",INDEX(Salary_Calculation[Salary Month],ROW()-ROW(Payslip_Lookup[#Headers])))</f>
        <v/>
      </c>
      <c r="D241" s="173" t="str">
        <f aca="false">IF(INDEX(Salary_Calculation[Source Row],ROW()-ROW(Payslip_Lookup[#Headers]))="","",INDEX(Salary_Calculation[Rider ID],ROW()-ROW(Payslip_Lookup[#Headers])))</f>
        <v/>
      </c>
      <c r="E241" s="171" t="str">
        <f aca="false">IF(INDEX(Salary_Calculation[Source Row],ROW()-ROW(Payslip_Lookup[#Headers]))="","",INDEX(Salary_Calculation[Rider Name],ROW()-ROW(Payslip_Lookup[#Headers])))</f>
        <v/>
      </c>
      <c r="F241" s="173" t="str">
        <f aca="false">IF(INDEX(Salary_Calculation[Source Row],ROW()-ROW(Payslip_Lookup[#Headers]))="","",INDEX(Salary_Calculation[Working Days],ROW()-ROW(Payslip_Lookup[#Headers])))</f>
        <v/>
      </c>
      <c r="G241" s="173" t="str">
        <f aca="false">IF(INDEX(Salary_Calculation[Source Row],ROW()-ROW(Payslip_Lookup[#Headers]))="","",INDEX(Salary_Calculation[Calendar Days],ROW()-ROW(Payslip_Lookup[#Headers])))</f>
        <v/>
      </c>
      <c r="H241" s="174" t="str">
        <f aca="false">IF(INDEX(Salary_Calculation[Source Row],ROW()-ROW(Payslip_Lookup[#Headers]))="","",INDEX(Salary_Calculation[Monthly Target Orders],ROW()-ROW(Payslip_Lookup[#Headers])))</f>
        <v/>
      </c>
      <c r="I241" s="174" t="str">
        <f aca="false">IF(INDEX(Salary_Calculation[Source Row],ROW()-ROW(Payslip_Lookup[#Headers]))="","",INDEX(Salary_Calculation[Rider Target Orders],ROW()-ROW(Payslip_Lookup[#Headers])))</f>
        <v/>
      </c>
      <c r="J241" s="175" t="str">
        <f aca="false">IF(INDEX(Salary_Calculation[Source Row],ROW()-ROW(Payslip_Lookup[#Headers]))="","",INDEX(Salary_Calculation[Completed Orders],ROW()-ROW(Payslip_Lookup[#Headers])))</f>
        <v/>
      </c>
      <c r="K241" s="174" t="str">
        <f aca="false">IF(INDEX(Salary_Calculation[Source Row],ROW()-ROW(Payslip_Lookup[#Headers]))="","",INDEX(Salary_Calculation[Base Order Rate],ROW()-ROW(Payslip_Lookup[#Headers])))</f>
        <v/>
      </c>
      <c r="L241" s="176" t="str">
        <f aca="false">IF(INDEX(Salary_Calculation[Source Row],ROW()-ROW(Payslip_Lookup[#Headers]))="","",INDEX(Salary_Calculation[Basic Payment],ROW()-ROW(Payslip_Lookup[#Headers])))</f>
        <v/>
      </c>
      <c r="M241" s="176" t="str">
        <f aca="false">IF(INDEX(Salary_Calculation[Source Row],ROW()-ROW(Payslip_Lookup[#Headers]))="","",INDEX(Salary_Calculation[Earned Salary],ROW()-ROW(Payslip_Lookup[#Headers])))</f>
        <v/>
      </c>
      <c r="N241" s="174" t="str">
        <f aca="false">IF(INDEX(Salary_Calculation[Source Row],ROW()-ROW(Payslip_Lookup[#Headers]))="","",INDEX(Salary_Calculation[Orders Counted at Base Rate],ROW()-ROW(Payslip_Lookup[#Headers])))</f>
        <v/>
      </c>
      <c r="O241" s="174" t="str">
        <f aca="false">IF(INDEX(Salary_Calculation[Source Row],ROW()-ROW(Payslip_Lookup[#Headers]))="","",INDEX(Salary_Calculation[Missing Orders],ROW()-ROW(Payslip_Lookup[#Headers])))</f>
        <v/>
      </c>
      <c r="P241" s="176" t="str">
        <f aca="false">IF(INDEX(Salary_Calculation[Source Row],ROW()-ROW(Payslip_Lookup[#Headers]))="","",INDEX(Salary_Calculation[Missing-Order Deduction],ROW()-ROW(Payslip_Lookup[#Headers])))</f>
        <v/>
      </c>
      <c r="Q241" s="174" t="str">
        <f aca="false">IF(INDEX(Salary_Calculation[Source Row],ROW()-ROW(Payslip_Lookup[#Headers]))="","",INDEX(Salary_Calculation[Extra Orders],ROW()-ROW(Payslip_Lookup[#Headers])))</f>
        <v/>
      </c>
      <c r="R241" s="176" t="str">
        <f aca="false">IF(INDEX(Salary_Calculation[Source Row],ROW()-ROW(Payslip_Lookup[#Headers]))="","",INDEX(Salary_Calculation[Extra-Order Bonus],ROW()-ROW(Payslip_Lookup[#Headers])))</f>
        <v/>
      </c>
      <c r="S241" s="176" t="str">
        <f aca="false">IF(INDEX(Salary_Calculation[Source Row],ROW()-ROW(Payslip_Lookup[#Headers]))="","",INDEX(Salary_Calculation[Basic Salary for Target],ROW()-ROW(Payslip_Lookup[#Headers])))</f>
        <v/>
      </c>
      <c r="T241" s="176" t="str">
        <f aca="false">IF(INDEX(Salary_Calculation[Source Row],ROW()-ROW(Payslip_Lookup[#Headers]))="","",INDEX(Salary_Calculation[Gross Salary Before Deductions],ROW()-ROW(Payslip_Lookup[#Headers])))</f>
        <v/>
      </c>
      <c r="U241" s="176" t="str">
        <f aca="false">IF(INDEX(Salary_Calculation[Source Row],ROW()-ROW(Payslip_Lookup[#Headers]))="","",INDEX(Salary_Calculation[missed_days_penalty],ROW()-ROW(Payslip_Lookup[#Headers])))</f>
        <v/>
      </c>
      <c r="V241" s="176" t="str">
        <f aca="false">IF(INDEX(Salary_Calculation[Source Row],ROW()-ROW(Payslip_Lookup[#Headers]))="","",INDEX(Salary_Calculation[Rider Balance],ROW()-ROW(Payslip_Lookup[#Headers])))</f>
        <v/>
      </c>
      <c r="W241" s="176" t="str">
        <f aca="false">IF(INDEX(Salary_Calculation[Source Row],ROW()-ROW(Payslip_Lookup[#Headers]))="","",INDEX(Salary_Calculation[stacking_deduction],ROW()-ROW(Payslip_Lookup[#Headers])))</f>
        <v/>
      </c>
      <c r="X241" s="176" t="str">
        <f aca="false">IF(INDEX(Salary_Calculation[Source Row],ROW()-ROW(Payslip_Lookup[#Headers]))="","",INDEX(Salary_Calculation[Other Deductions],ROW()-ROW(Payslip_Lookup[#Headers])))</f>
        <v/>
      </c>
      <c r="Y241" s="176" t="str">
        <f aca="false">IF(INDEX(Salary_Calculation[Source Row],ROW()-ROW(Payslip_Lookup[#Headers]))="","",INDEX(Salary_Calculation[Total Deductions],ROW()-ROW(Payslip_Lookup[#Headers])))</f>
        <v/>
      </c>
      <c r="Z241" s="176" t="str">
        <f aca="false">IF(INDEX(Salary_Calculation[Source Row],ROW()-ROW(Payslip_Lookup[#Headers]))="","",INDEX(Salary_Calculation[Final Salary],ROW()-ROW(Payslip_Lookup[#Headers])))</f>
        <v/>
      </c>
      <c r="AA241" s="176" t="str">
        <f aca="false">IF(INDEX(Salary_Calculation[Source Row],ROW()-ROW(Payslip_Lookup[#Headers]))="","",INDEX(Salary_Calculation[Negative Balance / Amount Due from Rider],ROW()-ROW(Payslip_Lookup[#Headers])))</f>
        <v/>
      </c>
      <c r="AB241" s="176" t="str">
        <f aca="false">IF(INDEX(Salary_Calculation[Source Row],ROW()-ROW(Payslip_Lookup[#Headers]))="","",INDEX(Salary_Calculation[Total Amount Due from Rider],ROW()-ROW(Payslip_Lookup[#Headers])))</f>
        <v/>
      </c>
      <c r="AC241" s="176" t="str">
        <f aca="false">IF(INDEX(Salary_Calculation[Source Row],ROW()-ROW(Payslip_Lookup[#Headers]))="","",INDEX(Salary_Calculation[Salary Before Other Deductions],ROW()-ROW(Payslip_Lookup[#Headers])))</f>
        <v/>
      </c>
      <c r="AD241" s="171" t="str">
        <f aca="false">IF(INDEX(Salary_Calculation[Source Row],ROW()-ROW(Payslip_Lookup[#Headers]))="","",INDEX(Salary_Calculation[Payment Status],ROW()-ROW(Payslip_Lookup[#Headers])))</f>
        <v/>
      </c>
      <c r="AE241" s="171" t="str">
        <f aca="false">IF(INDEX(Salary_Calculation[Source Row],ROW()-ROW(Payslip_Lookup[#Headers]))="","",INDEX(Salary_Calculation[Notes],ROW()-ROW(Payslip_Lookup[#Headers])))</f>
        <v/>
      </c>
      <c r="AF241" s="171" t="str">
        <f aca="false">IF(INDEX(Salary_Calculation[Source Row],ROW()-ROW(Payslip_Lookup[#Headers]))="","",INDEX(Salary_Calculation[Exception Reason],ROW()-ROW(Payslip_Lookup[#Headers])))</f>
        <v/>
      </c>
      <c r="AG241" s="173" t="str">
        <f aca="false">IF($AD241="Review Required",COUNTIF(AD$2:AD241,"Review Required"),"")</f>
        <v/>
      </c>
      <c r="AH241" s="173" t="str">
        <f aca="false">IF(AND($D241&lt;&gt;"",$B241=Payslip_Print!$C$2),MAX(AH$1:AH240)+1,"")</f>
        <v/>
      </c>
      <c r="AL241" s="178" t="str">
        <f aca="false">IFERROR(INDEX($D$2:$D$501,MATCH(ROW()-1,$AH$2:$AH$501,0)),"")</f>
        <v/>
      </c>
      <c r="AM241" s="179" t="str">
        <f aca="false">IF($Z241="","",IF(AND($C241&gt;=Dash_Start,$C241&lt;Dash_End),$Z241+ROW()/10000000,""))</f>
        <v/>
      </c>
    </row>
    <row r="242" customFormat="false" ht="14.25" hidden="false" customHeight="false" outlineLevel="0" collapsed="false">
      <c r="A242" s="171" t="str">
        <f aca="false">IF(Payslip_Lookup[[#This Row],[Rider ID]]="","",Payslip_Lookup[[#This Row],[Rider ID]]&amp;"|"&amp;Payslip_Lookup[[#This Row],[Month Key]])</f>
        <v/>
      </c>
      <c r="B242" s="172" t="str">
        <f aca="false">IF(ISNUMBER(Payslip_Lookup[[#This Row],[Salary Month]]),DATE(YEAR(Payslip_Lookup[[#This Row],[Salary Month]]),MONTH(Payslip_Lookup[[#This Row],[Salary Month]]),1),"")</f>
        <v/>
      </c>
      <c r="C242" s="172" t="str">
        <f aca="false">IF(INDEX(Salary_Calculation[Source Row],ROW()-ROW(Payslip_Lookup[#Headers]))="","",INDEX(Salary_Calculation[Salary Month],ROW()-ROW(Payslip_Lookup[#Headers])))</f>
        <v/>
      </c>
      <c r="D242" s="173" t="str">
        <f aca="false">IF(INDEX(Salary_Calculation[Source Row],ROW()-ROW(Payslip_Lookup[#Headers]))="","",INDEX(Salary_Calculation[Rider ID],ROW()-ROW(Payslip_Lookup[#Headers])))</f>
        <v/>
      </c>
      <c r="E242" s="171" t="str">
        <f aca="false">IF(INDEX(Salary_Calculation[Source Row],ROW()-ROW(Payslip_Lookup[#Headers]))="","",INDEX(Salary_Calculation[Rider Name],ROW()-ROW(Payslip_Lookup[#Headers])))</f>
        <v/>
      </c>
      <c r="F242" s="173" t="str">
        <f aca="false">IF(INDEX(Salary_Calculation[Source Row],ROW()-ROW(Payslip_Lookup[#Headers]))="","",INDEX(Salary_Calculation[Working Days],ROW()-ROW(Payslip_Lookup[#Headers])))</f>
        <v/>
      </c>
      <c r="G242" s="173" t="str">
        <f aca="false">IF(INDEX(Salary_Calculation[Source Row],ROW()-ROW(Payslip_Lookup[#Headers]))="","",INDEX(Salary_Calculation[Calendar Days],ROW()-ROW(Payslip_Lookup[#Headers])))</f>
        <v/>
      </c>
      <c r="H242" s="174" t="str">
        <f aca="false">IF(INDEX(Salary_Calculation[Source Row],ROW()-ROW(Payslip_Lookup[#Headers]))="","",INDEX(Salary_Calculation[Monthly Target Orders],ROW()-ROW(Payslip_Lookup[#Headers])))</f>
        <v/>
      </c>
      <c r="I242" s="174" t="str">
        <f aca="false">IF(INDEX(Salary_Calculation[Source Row],ROW()-ROW(Payslip_Lookup[#Headers]))="","",INDEX(Salary_Calculation[Rider Target Orders],ROW()-ROW(Payslip_Lookup[#Headers])))</f>
        <v/>
      </c>
      <c r="J242" s="175" t="str">
        <f aca="false">IF(INDEX(Salary_Calculation[Source Row],ROW()-ROW(Payslip_Lookup[#Headers]))="","",INDEX(Salary_Calculation[Completed Orders],ROW()-ROW(Payslip_Lookup[#Headers])))</f>
        <v/>
      </c>
      <c r="K242" s="174" t="str">
        <f aca="false">IF(INDEX(Salary_Calculation[Source Row],ROW()-ROW(Payslip_Lookup[#Headers]))="","",INDEX(Salary_Calculation[Base Order Rate],ROW()-ROW(Payslip_Lookup[#Headers])))</f>
        <v/>
      </c>
      <c r="L242" s="176" t="str">
        <f aca="false">IF(INDEX(Salary_Calculation[Source Row],ROW()-ROW(Payslip_Lookup[#Headers]))="","",INDEX(Salary_Calculation[Basic Payment],ROW()-ROW(Payslip_Lookup[#Headers])))</f>
        <v/>
      </c>
      <c r="M242" s="176" t="str">
        <f aca="false">IF(INDEX(Salary_Calculation[Source Row],ROW()-ROW(Payslip_Lookup[#Headers]))="","",INDEX(Salary_Calculation[Earned Salary],ROW()-ROW(Payslip_Lookup[#Headers])))</f>
        <v/>
      </c>
      <c r="N242" s="174" t="str">
        <f aca="false">IF(INDEX(Salary_Calculation[Source Row],ROW()-ROW(Payslip_Lookup[#Headers]))="","",INDEX(Salary_Calculation[Orders Counted at Base Rate],ROW()-ROW(Payslip_Lookup[#Headers])))</f>
        <v/>
      </c>
      <c r="O242" s="174" t="str">
        <f aca="false">IF(INDEX(Salary_Calculation[Source Row],ROW()-ROW(Payslip_Lookup[#Headers]))="","",INDEX(Salary_Calculation[Missing Orders],ROW()-ROW(Payslip_Lookup[#Headers])))</f>
        <v/>
      </c>
      <c r="P242" s="176" t="str">
        <f aca="false">IF(INDEX(Salary_Calculation[Source Row],ROW()-ROW(Payslip_Lookup[#Headers]))="","",INDEX(Salary_Calculation[Missing-Order Deduction],ROW()-ROW(Payslip_Lookup[#Headers])))</f>
        <v/>
      </c>
      <c r="Q242" s="174" t="str">
        <f aca="false">IF(INDEX(Salary_Calculation[Source Row],ROW()-ROW(Payslip_Lookup[#Headers]))="","",INDEX(Salary_Calculation[Extra Orders],ROW()-ROW(Payslip_Lookup[#Headers])))</f>
        <v/>
      </c>
      <c r="R242" s="176" t="str">
        <f aca="false">IF(INDEX(Salary_Calculation[Source Row],ROW()-ROW(Payslip_Lookup[#Headers]))="","",INDEX(Salary_Calculation[Extra-Order Bonus],ROW()-ROW(Payslip_Lookup[#Headers])))</f>
        <v/>
      </c>
      <c r="S242" s="176" t="str">
        <f aca="false">IF(INDEX(Salary_Calculation[Source Row],ROW()-ROW(Payslip_Lookup[#Headers]))="","",INDEX(Salary_Calculation[Basic Salary for Target],ROW()-ROW(Payslip_Lookup[#Headers])))</f>
        <v/>
      </c>
      <c r="T242" s="176" t="str">
        <f aca="false">IF(INDEX(Salary_Calculation[Source Row],ROW()-ROW(Payslip_Lookup[#Headers]))="","",INDEX(Salary_Calculation[Gross Salary Before Deductions],ROW()-ROW(Payslip_Lookup[#Headers])))</f>
        <v/>
      </c>
      <c r="U242" s="176" t="str">
        <f aca="false">IF(INDEX(Salary_Calculation[Source Row],ROW()-ROW(Payslip_Lookup[#Headers]))="","",INDEX(Salary_Calculation[missed_days_penalty],ROW()-ROW(Payslip_Lookup[#Headers])))</f>
        <v/>
      </c>
      <c r="V242" s="176" t="str">
        <f aca="false">IF(INDEX(Salary_Calculation[Source Row],ROW()-ROW(Payslip_Lookup[#Headers]))="","",INDEX(Salary_Calculation[Rider Balance],ROW()-ROW(Payslip_Lookup[#Headers])))</f>
        <v/>
      </c>
      <c r="W242" s="176" t="str">
        <f aca="false">IF(INDEX(Salary_Calculation[Source Row],ROW()-ROW(Payslip_Lookup[#Headers]))="","",INDEX(Salary_Calculation[stacking_deduction],ROW()-ROW(Payslip_Lookup[#Headers])))</f>
        <v/>
      </c>
      <c r="X242" s="176" t="str">
        <f aca="false">IF(INDEX(Salary_Calculation[Source Row],ROW()-ROW(Payslip_Lookup[#Headers]))="","",INDEX(Salary_Calculation[Other Deductions],ROW()-ROW(Payslip_Lookup[#Headers])))</f>
        <v/>
      </c>
      <c r="Y242" s="176" t="str">
        <f aca="false">IF(INDEX(Salary_Calculation[Source Row],ROW()-ROW(Payslip_Lookup[#Headers]))="","",INDEX(Salary_Calculation[Total Deductions],ROW()-ROW(Payslip_Lookup[#Headers])))</f>
        <v/>
      </c>
      <c r="Z242" s="176" t="str">
        <f aca="false">IF(INDEX(Salary_Calculation[Source Row],ROW()-ROW(Payslip_Lookup[#Headers]))="","",INDEX(Salary_Calculation[Final Salary],ROW()-ROW(Payslip_Lookup[#Headers])))</f>
        <v/>
      </c>
      <c r="AA242" s="176" t="str">
        <f aca="false">IF(INDEX(Salary_Calculation[Source Row],ROW()-ROW(Payslip_Lookup[#Headers]))="","",INDEX(Salary_Calculation[Negative Balance / Amount Due from Rider],ROW()-ROW(Payslip_Lookup[#Headers])))</f>
        <v/>
      </c>
      <c r="AB242" s="176" t="str">
        <f aca="false">IF(INDEX(Salary_Calculation[Source Row],ROW()-ROW(Payslip_Lookup[#Headers]))="","",INDEX(Salary_Calculation[Total Amount Due from Rider],ROW()-ROW(Payslip_Lookup[#Headers])))</f>
        <v/>
      </c>
      <c r="AC242" s="176" t="str">
        <f aca="false">IF(INDEX(Salary_Calculation[Source Row],ROW()-ROW(Payslip_Lookup[#Headers]))="","",INDEX(Salary_Calculation[Salary Before Other Deductions],ROW()-ROW(Payslip_Lookup[#Headers])))</f>
        <v/>
      </c>
      <c r="AD242" s="171" t="str">
        <f aca="false">IF(INDEX(Salary_Calculation[Source Row],ROW()-ROW(Payslip_Lookup[#Headers]))="","",INDEX(Salary_Calculation[Payment Status],ROW()-ROW(Payslip_Lookup[#Headers])))</f>
        <v/>
      </c>
      <c r="AE242" s="171" t="str">
        <f aca="false">IF(INDEX(Salary_Calculation[Source Row],ROW()-ROW(Payslip_Lookup[#Headers]))="","",INDEX(Salary_Calculation[Notes],ROW()-ROW(Payslip_Lookup[#Headers])))</f>
        <v/>
      </c>
      <c r="AF242" s="171" t="str">
        <f aca="false">IF(INDEX(Salary_Calculation[Source Row],ROW()-ROW(Payslip_Lookup[#Headers]))="","",INDEX(Salary_Calculation[Exception Reason],ROW()-ROW(Payslip_Lookup[#Headers])))</f>
        <v/>
      </c>
      <c r="AG242" s="173" t="str">
        <f aca="false">IF($AD242="Review Required",COUNTIF(AD$2:AD242,"Review Required"),"")</f>
        <v/>
      </c>
      <c r="AH242" s="173" t="str">
        <f aca="false">IF(AND($D242&lt;&gt;"",$B242=Payslip_Print!$C$2),MAX(AH$1:AH241)+1,"")</f>
        <v/>
      </c>
      <c r="AL242" s="178" t="str">
        <f aca="false">IFERROR(INDEX($D$2:$D$501,MATCH(ROW()-1,$AH$2:$AH$501,0)),"")</f>
        <v/>
      </c>
      <c r="AM242" s="179" t="str">
        <f aca="false">IF($Z242="","",IF(AND($C242&gt;=Dash_Start,$C242&lt;Dash_End),$Z242+ROW()/10000000,""))</f>
        <v/>
      </c>
    </row>
    <row r="243" customFormat="false" ht="14.25" hidden="false" customHeight="false" outlineLevel="0" collapsed="false">
      <c r="A243" s="171" t="str">
        <f aca="false">IF(Payslip_Lookup[[#This Row],[Rider ID]]="","",Payslip_Lookup[[#This Row],[Rider ID]]&amp;"|"&amp;Payslip_Lookup[[#This Row],[Month Key]])</f>
        <v/>
      </c>
      <c r="B243" s="172" t="str">
        <f aca="false">IF(ISNUMBER(Payslip_Lookup[[#This Row],[Salary Month]]),DATE(YEAR(Payslip_Lookup[[#This Row],[Salary Month]]),MONTH(Payslip_Lookup[[#This Row],[Salary Month]]),1),"")</f>
        <v/>
      </c>
      <c r="C243" s="172" t="str">
        <f aca="false">IF(INDEX(Salary_Calculation[Source Row],ROW()-ROW(Payslip_Lookup[#Headers]))="","",INDEX(Salary_Calculation[Salary Month],ROW()-ROW(Payslip_Lookup[#Headers])))</f>
        <v/>
      </c>
      <c r="D243" s="173" t="str">
        <f aca="false">IF(INDEX(Salary_Calculation[Source Row],ROW()-ROW(Payslip_Lookup[#Headers]))="","",INDEX(Salary_Calculation[Rider ID],ROW()-ROW(Payslip_Lookup[#Headers])))</f>
        <v/>
      </c>
      <c r="E243" s="171" t="str">
        <f aca="false">IF(INDEX(Salary_Calculation[Source Row],ROW()-ROW(Payslip_Lookup[#Headers]))="","",INDEX(Salary_Calculation[Rider Name],ROW()-ROW(Payslip_Lookup[#Headers])))</f>
        <v/>
      </c>
      <c r="F243" s="173" t="str">
        <f aca="false">IF(INDEX(Salary_Calculation[Source Row],ROW()-ROW(Payslip_Lookup[#Headers]))="","",INDEX(Salary_Calculation[Working Days],ROW()-ROW(Payslip_Lookup[#Headers])))</f>
        <v/>
      </c>
      <c r="G243" s="173" t="str">
        <f aca="false">IF(INDEX(Salary_Calculation[Source Row],ROW()-ROW(Payslip_Lookup[#Headers]))="","",INDEX(Salary_Calculation[Calendar Days],ROW()-ROW(Payslip_Lookup[#Headers])))</f>
        <v/>
      </c>
      <c r="H243" s="174" t="str">
        <f aca="false">IF(INDEX(Salary_Calculation[Source Row],ROW()-ROW(Payslip_Lookup[#Headers]))="","",INDEX(Salary_Calculation[Monthly Target Orders],ROW()-ROW(Payslip_Lookup[#Headers])))</f>
        <v/>
      </c>
      <c r="I243" s="174" t="str">
        <f aca="false">IF(INDEX(Salary_Calculation[Source Row],ROW()-ROW(Payslip_Lookup[#Headers]))="","",INDEX(Salary_Calculation[Rider Target Orders],ROW()-ROW(Payslip_Lookup[#Headers])))</f>
        <v/>
      </c>
      <c r="J243" s="175" t="str">
        <f aca="false">IF(INDEX(Salary_Calculation[Source Row],ROW()-ROW(Payslip_Lookup[#Headers]))="","",INDEX(Salary_Calculation[Completed Orders],ROW()-ROW(Payslip_Lookup[#Headers])))</f>
        <v/>
      </c>
      <c r="K243" s="174" t="str">
        <f aca="false">IF(INDEX(Salary_Calculation[Source Row],ROW()-ROW(Payslip_Lookup[#Headers]))="","",INDEX(Salary_Calculation[Base Order Rate],ROW()-ROW(Payslip_Lookup[#Headers])))</f>
        <v/>
      </c>
      <c r="L243" s="176" t="str">
        <f aca="false">IF(INDEX(Salary_Calculation[Source Row],ROW()-ROW(Payslip_Lookup[#Headers]))="","",INDEX(Salary_Calculation[Basic Payment],ROW()-ROW(Payslip_Lookup[#Headers])))</f>
        <v/>
      </c>
      <c r="M243" s="176" t="str">
        <f aca="false">IF(INDEX(Salary_Calculation[Source Row],ROW()-ROW(Payslip_Lookup[#Headers]))="","",INDEX(Salary_Calculation[Earned Salary],ROW()-ROW(Payslip_Lookup[#Headers])))</f>
        <v/>
      </c>
      <c r="N243" s="174" t="str">
        <f aca="false">IF(INDEX(Salary_Calculation[Source Row],ROW()-ROW(Payslip_Lookup[#Headers]))="","",INDEX(Salary_Calculation[Orders Counted at Base Rate],ROW()-ROW(Payslip_Lookup[#Headers])))</f>
        <v/>
      </c>
      <c r="O243" s="174" t="str">
        <f aca="false">IF(INDEX(Salary_Calculation[Source Row],ROW()-ROW(Payslip_Lookup[#Headers]))="","",INDEX(Salary_Calculation[Missing Orders],ROW()-ROW(Payslip_Lookup[#Headers])))</f>
        <v/>
      </c>
      <c r="P243" s="176" t="str">
        <f aca="false">IF(INDEX(Salary_Calculation[Source Row],ROW()-ROW(Payslip_Lookup[#Headers]))="","",INDEX(Salary_Calculation[Missing-Order Deduction],ROW()-ROW(Payslip_Lookup[#Headers])))</f>
        <v/>
      </c>
      <c r="Q243" s="174" t="str">
        <f aca="false">IF(INDEX(Salary_Calculation[Source Row],ROW()-ROW(Payslip_Lookup[#Headers]))="","",INDEX(Salary_Calculation[Extra Orders],ROW()-ROW(Payslip_Lookup[#Headers])))</f>
        <v/>
      </c>
      <c r="R243" s="176" t="str">
        <f aca="false">IF(INDEX(Salary_Calculation[Source Row],ROW()-ROW(Payslip_Lookup[#Headers]))="","",INDEX(Salary_Calculation[Extra-Order Bonus],ROW()-ROW(Payslip_Lookup[#Headers])))</f>
        <v/>
      </c>
      <c r="S243" s="176" t="str">
        <f aca="false">IF(INDEX(Salary_Calculation[Source Row],ROW()-ROW(Payslip_Lookup[#Headers]))="","",INDEX(Salary_Calculation[Basic Salary for Target],ROW()-ROW(Payslip_Lookup[#Headers])))</f>
        <v/>
      </c>
      <c r="T243" s="176" t="str">
        <f aca="false">IF(INDEX(Salary_Calculation[Source Row],ROW()-ROW(Payslip_Lookup[#Headers]))="","",INDEX(Salary_Calculation[Gross Salary Before Deductions],ROW()-ROW(Payslip_Lookup[#Headers])))</f>
        <v/>
      </c>
      <c r="U243" s="176" t="str">
        <f aca="false">IF(INDEX(Salary_Calculation[Source Row],ROW()-ROW(Payslip_Lookup[#Headers]))="","",INDEX(Salary_Calculation[missed_days_penalty],ROW()-ROW(Payslip_Lookup[#Headers])))</f>
        <v/>
      </c>
      <c r="V243" s="176" t="str">
        <f aca="false">IF(INDEX(Salary_Calculation[Source Row],ROW()-ROW(Payslip_Lookup[#Headers]))="","",INDEX(Salary_Calculation[Rider Balance],ROW()-ROW(Payslip_Lookup[#Headers])))</f>
        <v/>
      </c>
      <c r="W243" s="176" t="str">
        <f aca="false">IF(INDEX(Salary_Calculation[Source Row],ROW()-ROW(Payslip_Lookup[#Headers]))="","",INDEX(Salary_Calculation[stacking_deduction],ROW()-ROW(Payslip_Lookup[#Headers])))</f>
        <v/>
      </c>
      <c r="X243" s="176" t="str">
        <f aca="false">IF(INDEX(Salary_Calculation[Source Row],ROW()-ROW(Payslip_Lookup[#Headers]))="","",INDEX(Salary_Calculation[Other Deductions],ROW()-ROW(Payslip_Lookup[#Headers])))</f>
        <v/>
      </c>
      <c r="Y243" s="176" t="str">
        <f aca="false">IF(INDEX(Salary_Calculation[Source Row],ROW()-ROW(Payslip_Lookup[#Headers]))="","",INDEX(Salary_Calculation[Total Deductions],ROW()-ROW(Payslip_Lookup[#Headers])))</f>
        <v/>
      </c>
      <c r="Z243" s="176" t="str">
        <f aca="false">IF(INDEX(Salary_Calculation[Source Row],ROW()-ROW(Payslip_Lookup[#Headers]))="","",INDEX(Salary_Calculation[Final Salary],ROW()-ROW(Payslip_Lookup[#Headers])))</f>
        <v/>
      </c>
      <c r="AA243" s="176" t="str">
        <f aca="false">IF(INDEX(Salary_Calculation[Source Row],ROW()-ROW(Payslip_Lookup[#Headers]))="","",INDEX(Salary_Calculation[Negative Balance / Amount Due from Rider],ROW()-ROW(Payslip_Lookup[#Headers])))</f>
        <v/>
      </c>
      <c r="AB243" s="176" t="str">
        <f aca="false">IF(INDEX(Salary_Calculation[Source Row],ROW()-ROW(Payslip_Lookup[#Headers]))="","",INDEX(Salary_Calculation[Total Amount Due from Rider],ROW()-ROW(Payslip_Lookup[#Headers])))</f>
        <v/>
      </c>
      <c r="AC243" s="176" t="str">
        <f aca="false">IF(INDEX(Salary_Calculation[Source Row],ROW()-ROW(Payslip_Lookup[#Headers]))="","",INDEX(Salary_Calculation[Salary Before Other Deductions],ROW()-ROW(Payslip_Lookup[#Headers])))</f>
        <v/>
      </c>
      <c r="AD243" s="171" t="str">
        <f aca="false">IF(INDEX(Salary_Calculation[Source Row],ROW()-ROW(Payslip_Lookup[#Headers]))="","",INDEX(Salary_Calculation[Payment Status],ROW()-ROW(Payslip_Lookup[#Headers])))</f>
        <v/>
      </c>
      <c r="AE243" s="171" t="str">
        <f aca="false">IF(INDEX(Salary_Calculation[Source Row],ROW()-ROW(Payslip_Lookup[#Headers]))="","",INDEX(Salary_Calculation[Notes],ROW()-ROW(Payslip_Lookup[#Headers])))</f>
        <v/>
      </c>
      <c r="AF243" s="171" t="str">
        <f aca="false">IF(INDEX(Salary_Calculation[Source Row],ROW()-ROW(Payslip_Lookup[#Headers]))="","",INDEX(Salary_Calculation[Exception Reason],ROW()-ROW(Payslip_Lookup[#Headers])))</f>
        <v/>
      </c>
      <c r="AG243" s="173" t="str">
        <f aca="false">IF($AD243="Review Required",COUNTIF(AD$2:AD243,"Review Required"),"")</f>
        <v/>
      </c>
      <c r="AH243" s="173" t="str">
        <f aca="false">IF(AND($D243&lt;&gt;"",$B243=Payslip_Print!$C$2),MAX(AH$1:AH242)+1,"")</f>
        <v/>
      </c>
      <c r="AL243" s="178" t="str">
        <f aca="false">IFERROR(INDEX($D$2:$D$501,MATCH(ROW()-1,$AH$2:$AH$501,0)),"")</f>
        <v/>
      </c>
      <c r="AM243" s="179" t="str">
        <f aca="false">IF($Z243="","",IF(AND($C243&gt;=Dash_Start,$C243&lt;Dash_End),$Z243+ROW()/10000000,""))</f>
        <v/>
      </c>
    </row>
    <row r="244" customFormat="false" ht="14.25" hidden="false" customHeight="false" outlineLevel="0" collapsed="false">
      <c r="A244" s="171" t="str">
        <f aca="false">IF(Payslip_Lookup[[#This Row],[Rider ID]]="","",Payslip_Lookup[[#This Row],[Rider ID]]&amp;"|"&amp;Payslip_Lookup[[#This Row],[Month Key]])</f>
        <v/>
      </c>
      <c r="B244" s="172" t="str">
        <f aca="false">IF(ISNUMBER(Payslip_Lookup[[#This Row],[Salary Month]]),DATE(YEAR(Payslip_Lookup[[#This Row],[Salary Month]]),MONTH(Payslip_Lookup[[#This Row],[Salary Month]]),1),"")</f>
        <v/>
      </c>
      <c r="C244" s="172" t="str">
        <f aca="false">IF(INDEX(Salary_Calculation[Source Row],ROW()-ROW(Payslip_Lookup[#Headers]))="","",INDEX(Salary_Calculation[Salary Month],ROW()-ROW(Payslip_Lookup[#Headers])))</f>
        <v/>
      </c>
      <c r="D244" s="173" t="str">
        <f aca="false">IF(INDEX(Salary_Calculation[Source Row],ROW()-ROW(Payslip_Lookup[#Headers]))="","",INDEX(Salary_Calculation[Rider ID],ROW()-ROW(Payslip_Lookup[#Headers])))</f>
        <v/>
      </c>
      <c r="E244" s="171" t="str">
        <f aca="false">IF(INDEX(Salary_Calculation[Source Row],ROW()-ROW(Payslip_Lookup[#Headers]))="","",INDEX(Salary_Calculation[Rider Name],ROW()-ROW(Payslip_Lookup[#Headers])))</f>
        <v/>
      </c>
      <c r="F244" s="173" t="str">
        <f aca="false">IF(INDEX(Salary_Calculation[Source Row],ROW()-ROW(Payslip_Lookup[#Headers]))="","",INDEX(Salary_Calculation[Working Days],ROW()-ROW(Payslip_Lookup[#Headers])))</f>
        <v/>
      </c>
      <c r="G244" s="173" t="str">
        <f aca="false">IF(INDEX(Salary_Calculation[Source Row],ROW()-ROW(Payslip_Lookup[#Headers]))="","",INDEX(Salary_Calculation[Calendar Days],ROW()-ROW(Payslip_Lookup[#Headers])))</f>
        <v/>
      </c>
      <c r="H244" s="174" t="str">
        <f aca="false">IF(INDEX(Salary_Calculation[Source Row],ROW()-ROW(Payslip_Lookup[#Headers]))="","",INDEX(Salary_Calculation[Monthly Target Orders],ROW()-ROW(Payslip_Lookup[#Headers])))</f>
        <v/>
      </c>
      <c r="I244" s="174" t="str">
        <f aca="false">IF(INDEX(Salary_Calculation[Source Row],ROW()-ROW(Payslip_Lookup[#Headers]))="","",INDEX(Salary_Calculation[Rider Target Orders],ROW()-ROW(Payslip_Lookup[#Headers])))</f>
        <v/>
      </c>
      <c r="J244" s="175" t="str">
        <f aca="false">IF(INDEX(Salary_Calculation[Source Row],ROW()-ROW(Payslip_Lookup[#Headers]))="","",INDEX(Salary_Calculation[Completed Orders],ROW()-ROW(Payslip_Lookup[#Headers])))</f>
        <v/>
      </c>
      <c r="K244" s="174" t="str">
        <f aca="false">IF(INDEX(Salary_Calculation[Source Row],ROW()-ROW(Payslip_Lookup[#Headers]))="","",INDEX(Salary_Calculation[Base Order Rate],ROW()-ROW(Payslip_Lookup[#Headers])))</f>
        <v/>
      </c>
      <c r="L244" s="176" t="str">
        <f aca="false">IF(INDEX(Salary_Calculation[Source Row],ROW()-ROW(Payslip_Lookup[#Headers]))="","",INDEX(Salary_Calculation[Basic Payment],ROW()-ROW(Payslip_Lookup[#Headers])))</f>
        <v/>
      </c>
      <c r="M244" s="176" t="str">
        <f aca="false">IF(INDEX(Salary_Calculation[Source Row],ROW()-ROW(Payslip_Lookup[#Headers]))="","",INDEX(Salary_Calculation[Earned Salary],ROW()-ROW(Payslip_Lookup[#Headers])))</f>
        <v/>
      </c>
      <c r="N244" s="174" t="str">
        <f aca="false">IF(INDEX(Salary_Calculation[Source Row],ROW()-ROW(Payslip_Lookup[#Headers]))="","",INDEX(Salary_Calculation[Orders Counted at Base Rate],ROW()-ROW(Payslip_Lookup[#Headers])))</f>
        <v/>
      </c>
      <c r="O244" s="174" t="str">
        <f aca="false">IF(INDEX(Salary_Calculation[Source Row],ROW()-ROW(Payslip_Lookup[#Headers]))="","",INDEX(Salary_Calculation[Missing Orders],ROW()-ROW(Payslip_Lookup[#Headers])))</f>
        <v/>
      </c>
      <c r="P244" s="176" t="str">
        <f aca="false">IF(INDEX(Salary_Calculation[Source Row],ROW()-ROW(Payslip_Lookup[#Headers]))="","",INDEX(Salary_Calculation[Missing-Order Deduction],ROW()-ROW(Payslip_Lookup[#Headers])))</f>
        <v/>
      </c>
      <c r="Q244" s="174" t="str">
        <f aca="false">IF(INDEX(Salary_Calculation[Source Row],ROW()-ROW(Payslip_Lookup[#Headers]))="","",INDEX(Salary_Calculation[Extra Orders],ROW()-ROW(Payslip_Lookup[#Headers])))</f>
        <v/>
      </c>
      <c r="R244" s="176" t="str">
        <f aca="false">IF(INDEX(Salary_Calculation[Source Row],ROW()-ROW(Payslip_Lookup[#Headers]))="","",INDEX(Salary_Calculation[Extra-Order Bonus],ROW()-ROW(Payslip_Lookup[#Headers])))</f>
        <v/>
      </c>
      <c r="S244" s="176" t="str">
        <f aca="false">IF(INDEX(Salary_Calculation[Source Row],ROW()-ROW(Payslip_Lookup[#Headers]))="","",INDEX(Salary_Calculation[Basic Salary for Target],ROW()-ROW(Payslip_Lookup[#Headers])))</f>
        <v/>
      </c>
      <c r="T244" s="176" t="str">
        <f aca="false">IF(INDEX(Salary_Calculation[Source Row],ROW()-ROW(Payslip_Lookup[#Headers]))="","",INDEX(Salary_Calculation[Gross Salary Before Deductions],ROW()-ROW(Payslip_Lookup[#Headers])))</f>
        <v/>
      </c>
      <c r="U244" s="176" t="str">
        <f aca="false">IF(INDEX(Salary_Calculation[Source Row],ROW()-ROW(Payslip_Lookup[#Headers]))="","",INDEX(Salary_Calculation[missed_days_penalty],ROW()-ROW(Payslip_Lookup[#Headers])))</f>
        <v/>
      </c>
      <c r="V244" s="176" t="str">
        <f aca="false">IF(INDEX(Salary_Calculation[Source Row],ROW()-ROW(Payslip_Lookup[#Headers]))="","",INDEX(Salary_Calculation[Rider Balance],ROW()-ROW(Payslip_Lookup[#Headers])))</f>
        <v/>
      </c>
      <c r="W244" s="176" t="str">
        <f aca="false">IF(INDEX(Salary_Calculation[Source Row],ROW()-ROW(Payslip_Lookup[#Headers]))="","",INDEX(Salary_Calculation[stacking_deduction],ROW()-ROW(Payslip_Lookup[#Headers])))</f>
        <v/>
      </c>
      <c r="X244" s="176" t="str">
        <f aca="false">IF(INDEX(Salary_Calculation[Source Row],ROW()-ROW(Payslip_Lookup[#Headers]))="","",INDEX(Salary_Calculation[Other Deductions],ROW()-ROW(Payslip_Lookup[#Headers])))</f>
        <v/>
      </c>
      <c r="Y244" s="176" t="str">
        <f aca="false">IF(INDEX(Salary_Calculation[Source Row],ROW()-ROW(Payslip_Lookup[#Headers]))="","",INDEX(Salary_Calculation[Total Deductions],ROW()-ROW(Payslip_Lookup[#Headers])))</f>
        <v/>
      </c>
      <c r="Z244" s="176" t="str">
        <f aca="false">IF(INDEX(Salary_Calculation[Source Row],ROW()-ROW(Payslip_Lookup[#Headers]))="","",INDEX(Salary_Calculation[Final Salary],ROW()-ROW(Payslip_Lookup[#Headers])))</f>
        <v/>
      </c>
      <c r="AA244" s="176" t="str">
        <f aca="false">IF(INDEX(Salary_Calculation[Source Row],ROW()-ROW(Payslip_Lookup[#Headers]))="","",INDEX(Salary_Calculation[Negative Balance / Amount Due from Rider],ROW()-ROW(Payslip_Lookup[#Headers])))</f>
        <v/>
      </c>
      <c r="AB244" s="176" t="str">
        <f aca="false">IF(INDEX(Salary_Calculation[Source Row],ROW()-ROW(Payslip_Lookup[#Headers]))="","",INDEX(Salary_Calculation[Total Amount Due from Rider],ROW()-ROW(Payslip_Lookup[#Headers])))</f>
        <v/>
      </c>
      <c r="AC244" s="176" t="str">
        <f aca="false">IF(INDEX(Salary_Calculation[Source Row],ROW()-ROW(Payslip_Lookup[#Headers]))="","",INDEX(Salary_Calculation[Salary Before Other Deductions],ROW()-ROW(Payslip_Lookup[#Headers])))</f>
        <v/>
      </c>
      <c r="AD244" s="171" t="str">
        <f aca="false">IF(INDEX(Salary_Calculation[Source Row],ROW()-ROW(Payslip_Lookup[#Headers]))="","",INDEX(Salary_Calculation[Payment Status],ROW()-ROW(Payslip_Lookup[#Headers])))</f>
        <v/>
      </c>
      <c r="AE244" s="171" t="str">
        <f aca="false">IF(INDEX(Salary_Calculation[Source Row],ROW()-ROW(Payslip_Lookup[#Headers]))="","",INDEX(Salary_Calculation[Notes],ROW()-ROW(Payslip_Lookup[#Headers])))</f>
        <v/>
      </c>
      <c r="AF244" s="171" t="str">
        <f aca="false">IF(INDEX(Salary_Calculation[Source Row],ROW()-ROW(Payslip_Lookup[#Headers]))="","",INDEX(Salary_Calculation[Exception Reason],ROW()-ROW(Payslip_Lookup[#Headers])))</f>
        <v/>
      </c>
      <c r="AG244" s="173" t="str">
        <f aca="false">IF($AD244="Review Required",COUNTIF(AD$2:AD244,"Review Required"),"")</f>
        <v/>
      </c>
      <c r="AH244" s="173" t="str">
        <f aca="false">IF(AND($D244&lt;&gt;"",$B244=Payslip_Print!$C$2),MAX(AH$1:AH243)+1,"")</f>
        <v/>
      </c>
      <c r="AL244" s="178" t="str">
        <f aca="false">IFERROR(INDEX($D$2:$D$501,MATCH(ROW()-1,$AH$2:$AH$501,0)),"")</f>
        <v/>
      </c>
      <c r="AM244" s="179" t="str">
        <f aca="false">IF($Z244="","",IF(AND($C244&gt;=Dash_Start,$C244&lt;Dash_End),$Z244+ROW()/10000000,""))</f>
        <v/>
      </c>
    </row>
    <row r="245" customFormat="false" ht="14.25" hidden="false" customHeight="false" outlineLevel="0" collapsed="false">
      <c r="A245" s="171" t="str">
        <f aca="false">IF(Payslip_Lookup[[#This Row],[Rider ID]]="","",Payslip_Lookup[[#This Row],[Rider ID]]&amp;"|"&amp;Payslip_Lookup[[#This Row],[Month Key]])</f>
        <v/>
      </c>
      <c r="B245" s="172" t="str">
        <f aca="false">IF(ISNUMBER(Payslip_Lookup[[#This Row],[Salary Month]]),DATE(YEAR(Payslip_Lookup[[#This Row],[Salary Month]]),MONTH(Payslip_Lookup[[#This Row],[Salary Month]]),1),"")</f>
        <v/>
      </c>
      <c r="C245" s="172" t="str">
        <f aca="false">IF(INDEX(Salary_Calculation[Source Row],ROW()-ROW(Payslip_Lookup[#Headers]))="","",INDEX(Salary_Calculation[Salary Month],ROW()-ROW(Payslip_Lookup[#Headers])))</f>
        <v/>
      </c>
      <c r="D245" s="173" t="str">
        <f aca="false">IF(INDEX(Salary_Calculation[Source Row],ROW()-ROW(Payslip_Lookup[#Headers]))="","",INDEX(Salary_Calculation[Rider ID],ROW()-ROW(Payslip_Lookup[#Headers])))</f>
        <v/>
      </c>
      <c r="E245" s="171" t="str">
        <f aca="false">IF(INDEX(Salary_Calculation[Source Row],ROW()-ROW(Payslip_Lookup[#Headers]))="","",INDEX(Salary_Calculation[Rider Name],ROW()-ROW(Payslip_Lookup[#Headers])))</f>
        <v/>
      </c>
      <c r="F245" s="173" t="str">
        <f aca="false">IF(INDEX(Salary_Calculation[Source Row],ROW()-ROW(Payslip_Lookup[#Headers]))="","",INDEX(Salary_Calculation[Working Days],ROW()-ROW(Payslip_Lookup[#Headers])))</f>
        <v/>
      </c>
      <c r="G245" s="173" t="str">
        <f aca="false">IF(INDEX(Salary_Calculation[Source Row],ROW()-ROW(Payslip_Lookup[#Headers]))="","",INDEX(Salary_Calculation[Calendar Days],ROW()-ROW(Payslip_Lookup[#Headers])))</f>
        <v/>
      </c>
      <c r="H245" s="174" t="str">
        <f aca="false">IF(INDEX(Salary_Calculation[Source Row],ROW()-ROW(Payslip_Lookup[#Headers]))="","",INDEX(Salary_Calculation[Monthly Target Orders],ROW()-ROW(Payslip_Lookup[#Headers])))</f>
        <v/>
      </c>
      <c r="I245" s="174" t="str">
        <f aca="false">IF(INDEX(Salary_Calculation[Source Row],ROW()-ROW(Payslip_Lookup[#Headers]))="","",INDEX(Salary_Calculation[Rider Target Orders],ROW()-ROW(Payslip_Lookup[#Headers])))</f>
        <v/>
      </c>
      <c r="J245" s="175" t="str">
        <f aca="false">IF(INDEX(Salary_Calculation[Source Row],ROW()-ROW(Payslip_Lookup[#Headers]))="","",INDEX(Salary_Calculation[Completed Orders],ROW()-ROW(Payslip_Lookup[#Headers])))</f>
        <v/>
      </c>
      <c r="K245" s="174" t="str">
        <f aca="false">IF(INDEX(Salary_Calculation[Source Row],ROW()-ROW(Payslip_Lookup[#Headers]))="","",INDEX(Salary_Calculation[Base Order Rate],ROW()-ROW(Payslip_Lookup[#Headers])))</f>
        <v/>
      </c>
      <c r="L245" s="176" t="str">
        <f aca="false">IF(INDEX(Salary_Calculation[Source Row],ROW()-ROW(Payslip_Lookup[#Headers]))="","",INDEX(Salary_Calculation[Basic Payment],ROW()-ROW(Payslip_Lookup[#Headers])))</f>
        <v/>
      </c>
      <c r="M245" s="176" t="str">
        <f aca="false">IF(INDEX(Salary_Calculation[Source Row],ROW()-ROW(Payslip_Lookup[#Headers]))="","",INDEX(Salary_Calculation[Earned Salary],ROW()-ROW(Payslip_Lookup[#Headers])))</f>
        <v/>
      </c>
      <c r="N245" s="174" t="str">
        <f aca="false">IF(INDEX(Salary_Calculation[Source Row],ROW()-ROW(Payslip_Lookup[#Headers]))="","",INDEX(Salary_Calculation[Orders Counted at Base Rate],ROW()-ROW(Payslip_Lookup[#Headers])))</f>
        <v/>
      </c>
      <c r="O245" s="174" t="str">
        <f aca="false">IF(INDEX(Salary_Calculation[Source Row],ROW()-ROW(Payslip_Lookup[#Headers]))="","",INDEX(Salary_Calculation[Missing Orders],ROW()-ROW(Payslip_Lookup[#Headers])))</f>
        <v/>
      </c>
      <c r="P245" s="176" t="str">
        <f aca="false">IF(INDEX(Salary_Calculation[Source Row],ROW()-ROW(Payslip_Lookup[#Headers]))="","",INDEX(Salary_Calculation[Missing-Order Deduction],ROW()-ROW(Payslip_Lookup[#Headers])))</f>
        <v/>
      </c>
      <c r="Q245" s="174" t="str">
        <f aca="false">IF(INDEX(Salary_Calculation[Source Row],ROW()-ROW(Payslip_Lookup[#Headers]))="","",INDEX(Salary_Calculation[Extra Orders],ROW()-ROW(Payslip_Lookup[#Headers])))</f>
        <v/>
      </c>
      <c r="R245" s="176" t="str">
        <f aca="false">IF(INDEX(Salary_Calculation[Source Row],ROW()-ROW(Payslip_Lookup[#Headers]))="","",INDEX(Salary_Calculation[Extra-Order Bonus],ROW()-ROW(Payslip_Lookup[#Headers])))</f>
        <v/>
      </c>
      <c r="S245" s="176" t="str">
        <f aca="false">IF(INDEX(Salary_Calculation[Source Row],ROW()-ROW(Payslip_Lookup[#Headers]))="","",INDEX(Salary_Calculation[Basic Salary for Target],ROW()-ROW(Payslip_Lookup[#Headers])))</f>
        <v/>
      </c>
      <c r="T245" s="176" t="str">
        <f aca="false">IF(INDEX(Salary_Calculation[Source Row],ROW()-ROW(Payslip_Lookup[#Headers]))="","",INDEX(Salary_Calculation[Gross Salary Before Deductions],ROW()-ROW(Payslip_Lookup[#Headers])))</f>
        <v/>
      </c>
      <c r="U245" s="176" t="str">
        <f aca="false">IF(INDEX(Salary_Calculation[Source Row],ROW()-ROW(Payslip_Lookup[#Headers]))="","",INDEX(Salary_Calculation[missed_days_penalty],ROW()-ROW(Payslip_Lookup[#Headers])))</f>
        <v/>
      </c>
      <c r="V245" s="176" t="str">
        <f aca="false">IF(INDEX(Salary_Calculation[Source Row],ROW()-ROW(Payslip_Lookup[#Headers]))="","",INDEX(Salary_Calculation[Rider Balance],ROW()-ROW(Payslip_Lookup[#Headers])))</f>
        <v/>
      </c>
      <c r="W245" s="176" t="str">
        <f aca="false">IF(INDEX(Salary_Calculation[Source Row],ROW()-ROW(Payslip_Lookup[#Headers]))="","",INDEX(Salary_Calculation[stacking_deduction],ROW()-ROW(Payslip_Lookup[#Headers])))</f>
        <v/>
      </c>
      <c r="X245" s="176" t="str">
        <f aca="false">IF(INDEX(Salary_Calculation[Source Row],ROW()-ROW(Payslip_Lookup[#Headers]))="","",INDEX(Salary_Calculation[Other Deductions],ROW()-ROW(Payslip_Lookup[#Headers])))</f>
        <v/>
      </c>
      <c r="Y245" s="176" t="str">
        <f aca="false">IF(INDEX(Salary_Calculation[Source Row],ROW()-ROW(Payslip_Lookup[#Headers]))="","",INDEX(Salary_Calculation[Total Deductions],ROW()-ROW(Payslip_Lookup[#Headers])))</f>
        <v/>
      </c>
      <c r="Z245" s="176" t="str">
        <f aca="false">IF(INDEX(Salary_Calculation[Source Row],ROW()-ROW(Payslip_Lookup[#Headers]))="","",INDEX(Salary_Calculation[Final Salary],ROW()-ROW(Payslip_Lookup[#Headers])))</f>
        <v/>
      </c>
      <c r="AA245" s="176" t="str">
        <f aca="false">IF(INDEX(Salary_Calculation[Source Row],ROW()-ROW(Payslip_Lookup[#Headers]))="","",INDEX(Salary_Calculation[Negative Balance / Amount Due from Rider],ROW()-ROW(Payslip_Lookup[#Headers])))</f>
        <v/>
      </c>
      <c r="AB245" s="176" t="str">
        <f aca="false">IF(INDEX(Salary_Calculation[Source Row],ROW()-ROW(Payslip_Lookup[#Headers]))="","",INDEX(Salary_Calculation[Total Amount Due from Rider],ROW()-ROW(Payslip_Lookup[#Headers])))</f>
        <v/>
      </c>
      <c r="AC245" s="176" t="str">
        <f aca="false">IF(INDEX(Salary_Calculation[Source Row],ROW()-ROW(Payslip_Lookup[#Headers]))="","",INDEX(Salary_Calculation[Salary Before Other Deductions],ROW()-ROW(Payslip_Lookup[#Headers])))</f>
        <v/>
      </c>
      <c r="AD245" s="171" t="str">
        <f aca="false">IF(INDEX(Salary_Calculation[Source Row],ROW()-ROW(Payslip_Lookup[#Headers]))="","",INDEX(Salary_Calculation[Payment Status],ROW()-ROW(Payslip_Lookup[#Headers])))</f>
        <v/>
      </c>
      <c r="AE245" s="171" t="str">
        <f aca="false">IF(INDEX(Salary_Calculation[Source Row],ROW()-ROW(Payslip_Lookup[#Headers]))="","",INDEX(Salary_Calculation[Notes],ROW()-ROW(Payslip_Lookup[#Headers])))</f>
        <v/>
      </c>
      <c r="AF245" s="171" t="str">
        <f aca="false">IF(INDEX(Salary_Calculation[Source Row],ROW()-ROW(Payslip_Lookup[#Headers]))="","",INDEX(Salary_Calculation[Exception Reason],ROW()-ROW(Payslip_Lookup[#Headers])))</f>
        <v/>
      </c>
      <c r="AG245" s="173" t="str">
        <f aca="false">IF($AD245="Review Required",COUNTIF(AD$2:AD245,"Review Required"),"")</f>
        <v/>
      </c>
      <c r="AH245" s="173" t="str">
        <f aca="false">IF(AND($D245&lt;&gt;"",$B245=Payslip_Print!$C$2),MAX(AH$1:AH244)+1,"")</f>
        <v/>
      </c>
      <c r="AL245" s="178" t="str">
        <f aca="false">IFERROR(INDEX($D$2:$D$501,MATCH(ROW()-1,$AH$2:$AH$501,0)),"")</f>
        <v/>
      </c>
      <c r="AM245" s="179" t="str">
        <f aca="false">IF($Z245="","",IF(AND($C245&gt;=Dash_Start,$C245&lt;Dash_End),$Z245+ROW()/10000000,""))</f>
        <v/>
      </c>
    </row>
    <row r="246" customFormat="false" ht="14.25" hidden="false" customHeight="false" outlineLevel="0" collapsed="false">
      <c r="A246" s="171" t="str">
        <f aca="false">IF(Payslip_Lookup[[#This Row],[Rider ID]]="","",Payslip_Lookup[[#This Row],[Rider ID]]&amp;"|"&amp;Payslip_Lookup[[#This Row],[Month Key]])</f>
        <v/>
      </c>
      <c r="B246" s="172" t="str">
        <f aca="false">IF(ISNUMBER(Payslip_Lookup[[#This Row],[Salary Month]]),DATE(YEAR(Payslip_Lookup[[#This Row],[Salary Month]]),MONTH(Payslip_Lookup[[#This Row],[Salary Month]]),1),"")</f>
        <v/>
      </c>
      <c r="C246" s="172" t="str">
        <f aca="false">IF(INDEX(Salary_Calculation[Source Row],ROW()-ROW(Payslip_Lookup[#Headers]))="","",INDEX(Salary_Calculation[Salary Month],ROW()-ROW(Payslip_Lookup[#Headers])))</f>
        <v/>
      </c>
      <c r="D246" s="173" t="str">
        <f aca="false">IF(INDEX(Salary_Calculation[Source Row],ROW()-ROW(Payslip_Lookup[#Headers]))="","",INDEX(Salary_Calculation[Rider ID],ROW()-ROW(Payslip_Lookup[#Headers])))</f>
        <v/>
      </c>
      <c r="E246" s="171" t="str">
        <f aca="false">IF(INDEX(Salary_Calculation[Source Row],ROW()-ROW(Payslip_Lookup[#Headers]))="","",INDEX(Salary_Calculation[Rider Name],ROW()-ROW(Payslip_Lookup[#Headers])))</f>
        <v/>
      </c>
      <c r="F246" s="173" t="str">
        <f aca="false">IF(INDEX(Salary_Calculation[Source Row],ROW()-ROW(Payslip_Lookup[#Headers]))="","",INDEX(Salary_Calculation[Working Days],ROW()-ROW(Payslip_Lookup[#Headers])))</f>
        <v/>
      </c>
      <c r="G246" s="173" t="str">
        <f aca="false">IF(INDEX(Salary_Calculation[Source Row],ROW()-ROW(Payslip_Lookup[#Headers]))="","",INDEX(Salary_Calculation[Calendar Days],ROW()-ROW(Payslip_Lookup[#Headers])))</f>
        <v/>
      </c>
      <c r="H246" s="174" t="str">
        <f aca="false">IF(INDEX(Salary_Calculation[Source Row],ROW()-ROW(Payslip_Lookup[#Headers]))="","",INDEX(Salary_Calculation[Monthly Target Orders],ROW()-ROW(Payslip_Lookup[#Headers])))</f>
        <v/>
      </c>
      <c r="I246" s="174" t="str">
        <f aca="false">IF(INDEX(Salary_Calculation[Source Row],ROW()-ROW(Payslip_Lookup[#Headers]))="","",INDEX(Salary_Calculation[Rider Target Orders],ROW()-ROW(Payslip_Lookup[#Headers])))</f>
        <v/>
      </c>
      <c r="J246" s="175" t="str">
        <f aca="false">IF(INDEX(Salary_Calculation[Source Row],ROW()-ROW(Payslip_Lookup[#Headers]))="","",INDEX(Salary_Calculation[Completed Orders],ROW()-ROW(Payslip_Lookup[#Headers])))</f>
        <v/>
      </c>
      <c r="K246" s="174" t="str">
        <f aca="false">IF(INDEX(Salary_Calculation[Source Row],ROW()-ROW(Payslip_Lookup[#Headers]))="","",INDEX(Salary_Calculation[Base Order Rate],ROW()-ROW(Payslip_Lookup[#Headers])))</f>
        <v/>
      </c>
      <c r="L246" s="176" t="str">
        <f aca="false">IF(INDEX(Salary_Calculation[Source Row],ROW()-ROW(Payslip_Lookup[#Headers]))="","",INDEX(Salary_Calculation[Basic Payment],ROW()-ROW(Payslip_Lookup[#Headers])))</f>
        <v/>
      </c>
      <c r="M246" s="176" t="str">
        <f aca="false">IF(INDEX(Salary_Calculation[Source Row],ROW()-ROW(Payslip_Lookup[#Headers]))="","",INDEX(Salary_Calculation[Earned Salary],ROW()-ROW(Payslip_Lookup[#Headers])))</f>
        <v/>
      </c>
      <c r="N246" s="174" t="str">
        <f aca="false">IF(INDEX(Salary_Calculation[Source Row],ROW()-ROW(Payslip_Lookup[#Headers]))="","",INDEX(Salary_Calculation[Orders Counted at Base Rate],ROW()-ROW(Payslip_Lookup[#Headers])))</f>
        <v/>
      </c>
      <c r="O246" s="174" t="str">
        <f aca="false">IF(INDEX(Salary_Calculation[Source Row],ROW()-ROW(Payslip_Lookup[#Headers]))="","",INDEX(Salary_Calculation[Missing Orders],ROW()-ROW(Payslip_Lookup[#Headers])))</f>
        <v/>
      </c>
      <c r="P246" s="176" t="str">
        <f aca="false">IF(INDEX(Salary_Calculation[Source Row],ROW()-ROW(Payslip_Lookup[#Headers]))="","",INDEX(Salary_Calculation[Missing-Order Deduction],ROW()-ROW(Payslip_Lookup[#Headers])))</f>
        <v/>
      </c>
      <c r="Q246" s="174" t="str">
        <f aca="false">IF(INDEX(Salary_Calculation[Source Row],ROW()-ROW(Payslip_Lookup[#Headers]))="","",INDEX(Salary_Calculation[Extra Orders],ROW()-ROW(Payslip_Lookup[#Headers])))</f>
        <v/>
      </c>
      <c r="R246" s="176" t="str">
        <f aca="false">IF(INDEX(Salary_Calculation[Source Row],ROW()-ROW(Payslip_Lookup[#Headers]))="","",INDEX(Salary_Calculation[Extra-Order Bonus],ROW()-ROW(Payslip_Lookup[#Headers])))</f>
        <v/>
      </c>
      <c r="S246" s="176" t="str">
        <f aca="false">IF(INDEX(Salary_Calculation[Source Row],ROW()-ROW(Payslip_Lookup[#Headers]))="","",INDEX(Salary_Calculation[Basic Salary for Target],ROW()-ROW(Payslip_Lookup[#Headers])))</f>
        <v/>
      </c>
      <c r="T246" s="176" t="str">
        <f aca="false">IF(INDEX(Salary_Calculation[Source Row],ROW()-ROW(Payslip_Lookup[#Headers]))="","",INDEX(Salary_Calculation[Gross Salary Before Deductions],ROW()-ROW(Payslip_Lookup[#Headers])))</f>
        <v/>
      </c>
      <c r="U246" s="176" t="str">
        <f aca="false">IF(INDEX(Salary_Calculation[Source Row],ROW()-ROW(Payslip_Lookup[#Headers]))="","",INDEX(Salary_Calculation[missed_days_penalty],ROW()-ROW(Payslip_Lookup[#Headers])))</f>
        <v/>
      </c>
      <c r="V246" s="176" t="str">
        <f aca="false">IF(INDEX(Salary_Calculation[Source Row],ROW()-ROW(Payslip_Lookup[#Headers]))="","",INDEX(Salary_Calculation[Rider Balance],ROW()-ROW(Payslip_Lookup[#Headers])))</f>
        <v/>
      </c>
      <c r="W246" s="176" t="str">
        <f aca="false">IF(INDEX(Salary_Calculation[Source Row],ROW()-ROW(Payslip_Lookup[#Headers]))="","",INDEX(Salary_Calculation[stacking_deduction],ROW()-ROW(Payslip_Lookup[#Headers])))</f>
        <v/>
      </c>
      <c r="X246" s="176" t="str">
        <f aca="false">IF(INDEX(Salary_Calculation[Source Row],ROW()-ROW(Payslip_Lookup[#Headers]))="","",INDEX(Salary_Calculation[Other Deductions],ROW()-ROW(Payslip_Lookup[#Headers])))</f>
        <v/>
      </c>
      <c r="Y246" s="176" t="str">
        <f aca="false">IF(INDEX(Salary_Calculation[Source Row],ROW()-ROW(Payslip_Lookup[#Headers]))="","",INDEX(Salary_Calculation[Total Deductions],ROW()-ROW(Payslip_Lookup[#Headers])))</f>
        <v/>
      </c>
      <c r="Z246" s="176" t="str">
        <f aca="false">IF(INDEX(Salary_Calculation[Source Row],ROW()-ROW(Payslip_Lookup[#Headers]))="","",INDEX(Salary_Calculation[Final Salary],ROW()-ROW(Payslip_Lookup[#Headers])))</f>
        <v/>
      </c>
      <c r="AA246" s="176" t="str">
        <f aca="false">IF(INDEX(Salary_Calculation[Source Row],ROW()-ROW(Payslip_Lookup[#Headers]))="","",INDEX(Salary_Calculation[Negative Balance / Amount Due from Rider],ROW()-ROW(Payslip_Lookup[#Headers])))</f>
        <v/>
      </c>
      <c r="AB246" s="176" t="str">
        <f aca="false">IF(INDEX(Salary_Calculation[Source Row],ROW()-ROW(Payslip_Lookup[#Headers]))="","",INDEX(Salary_Calculation[Total Amount Due from Rider],ROW()-ROW(Payslip_Lookup[#Headers])))</f>
        <v/>
      </c>
      <c r="AC246" s="176" t="str">
        <f aca="false">IF(INDEX(Salary_Calculation[Source Row],ROW()-ROW(Payslip_Lookup[#Headers]))="","",INDEX(Salary_Calculation[Salary Before Other Deductions],ROW()-ROW(Payslip_Lookup[#Headers])))</f>
        <v/>
      </c>
      <c r="AD246" s="171" t="str">
        <f aca="false">IF(INDEX(Salary_Calculation[Source Row],ROW()-ROW(Payslip_Lookup[#Headers]))="","",INDEX(Salary_Calculation[Payment Status],ROW()-ROW(Payslip_Lookup[#Headers])))</f>
        <v/>
      </c>
      <c r="AE246" s="171" t="str">
        <f aca="false">IF(INDEX(Salary_Calculation[Source Row],ROW()-ROW(Payslip_Lookup[#Headers]))="","",INDEX(Salary_Calculation[Notes],ROW()-ROW(Payslip_Lookup[#Headers])))</f>
        <v/>
      </c>
      <c r="AF246" s="171" t="str">
        <f aca="false">IF(INDEX(Salary_Calculation[Source Row],ROW()-ROW(Payslip_Lookup[#Headers]))="","",INDEX(Salary_Calculation[Exception Reason],ROW()-ROW(Payslip_Lookup[#Headers])))</f>
        <v/>
      </c>
      <c r="AG246" s="173" t="str">
        <f aca="false">IF($AD246="Review Required",COUNTIF(AD$2:AD246,"Review Required"),"")</f>
        <v/>
      </c>
      <c r="AH246" s="173" t="str">
        <f aca="false">IF(AND($D246&lt;&gt;"",$B246=Payslip_Print!$C$2),MAX(AH$1:AH245)+1,"")</f>
        <v/>
      </c>
      <c r="AL246" s="178" t="str">
        <f aca="false">IFERROR(INDEX($D$2:$D$501,MATCH(ROW()-1,$AH$2:$AH$501,0)),"")</f>
        <v/>
      </c>
      <c r="AM246" s="179" t="str">
        <f aca="false">IF($Z246="","",IF(AND($C246&gt;=Dash_Start,$C246&lt;Dash_End),$Z246+ROW()/10000000,""))</f>
        <v/>
      </c>
    </row>
    <row r="247" customFormat="false" ht="14.25" hidden="false" customHeight="false" outlineLevel="0" collapsed="false">
      <c r="A247" s="171" t="str">
        <f aca="false">IF(Payslip_Lookup[[#This Row],[Rider ID]]="","",Payslip_Lookup[[#This Row],[Rider ID]]&amp;"|"&amp;Payslip_Lookup[[#This Row],[Month Key]])</f>
        <v/>
      </c>
      <c r="B247" s="172" t="str">
        <f aca="false">IF(ISNUMBER(Payslip_Lookup[[#This Row],[Salary Month]]),DATE(YEAR(Payslip_Lookup[[#This Row],[Salary Month]]),MONTH(Payslip_Lookup[[#This Row],[Salary Month]]),1),"")</f>
        <v/>
      </c>
      <c r="C247" s="172" t="str">
        <f aca="false">IF(INDEX(Salary_Calculation[Source Row],ROW()-ROW(Payslip_Lookup[#Headers]))="","",INDEX(Salary_Calculation[Salary Month],ROW()-ROW(Payslip_Lookup[#Headers])))</f>
        <v/>
      </c>
      <c r="D247" s="173" t="str">
        <f aca="false">IF(INDEX(Salary_Calculation[Source Row],ROW()-ROW(Payslip_Lookup[#Headers]))="","",INDEX(Salary_Calculation[Rider ID],ROW()-ROW(Payslip_Lookup[#Headers])))</f>
        <v/>
      </c>
      <c r="E247" s="171" t="str">
        <f aca="false">IF(INDEX(Salary_Calculation[Source Row],ROW()-ROW(Payslip_Lookup[#Headers]))="","",INDEX(Salary_Calculation[Rider Name],ROW()-ROW(Payslip_Lookup[#Headers])))</f>
        <v/>
      </c>
      <c r="F247" s="173" t="str">
        <f aca="false">IF(INDEX(Salary_Calculation[Source Row],ROW()-ROW(Payslip_Lookup[#Headers]))="","",INDEX(Salary_Calculation[Working Days],ROW()-ROW(Payslip_Lookup[#Headers])))</f>
        <v/>
      </c>
      <c r="G247" s="173" t="str">
        <f aca="false">IF(INDEX(Salary_Calculation[Source Row],ROW()-ROW(Payslip_Lookup[#Headers]))="","",INDEX(Salary_Calculation[Calendar Days],ROW()-ROW(Payslip_Lookup[#Headers])))</f>
        <v/>
      </c>
      <c r="H247" s="174" t="str">
        <f aca="false">IF(INDEX(Salary_Calculation[Source Row],ROW()-ROW(Payslip_Lookup[#Headers]))="","",INDEX(Salary_Calculation[Monthly Target Orders],ROW()-ROW(Payslip_Lookup[#Headers])))</f>
        <v/>
      </c>
      <c r="I247" s="174" t="str">
        <f aca="false">IF(INDEX(Salary_Calculation[Source Row],ROW()-ROW(Payslip_Lookup[#Headers]))="","",INDEX(Salary_Calculation[Rider Target Orders],ROW()-ROW(Payslip_Lookup[#Headers])))</f>
        <v/>
      </c>
      <c r="J247" s="175" t="str">
        <f aca="false">IF(INDEX(Salary_Calculation[Source Row],ROW()-ROW(Payslip_Lookup[#Headers]))="","",INDEX(Salary_Calculation[Completed Orders],ROW()-ROW(Payslip_Lookup[#Headers])))</f>
        <v/>
      </c>
      <c r="K247" s="174" t="str">
        <f aca="false">IF(INDEX(Salary_Calculation[Source Row],ROW()-ROW(Payslip_Lookup[#Headers]))="","",INDEX(Salary_Calculation[Base Order Rate],ROW()-ROW(Payslip_Lookup[#Headers])))</f>
        <v/>
      </c>
      <c r="L247" s="176" t="str">
        <f aca="false">IF(INDEX(Salary_Calculation[Source Row],ROW()-ROW(Payslip_Lookup[#Headers]))="","",INDEX(Salary_Calculation[Basic Payment],ROW()-ROW(Payslip_Lookup[#Headers])))</f>
        <v/>
      </c>
      <c r="M247" s="176" t="str">
        <f aca="false">IF(INDEX(Salary_Calculation[Source Row],ROW()-ROW(Payslip_Lookup[#Headers]))="","",INDEX(Salary_Calculation[Earned Salary],ROW()-ROW(Payslip_Lookup[#Headers])))</f>
        <v/>
      </c>
      <c r="N247" s="174" t="str">
        <f aca="false">IF(INDEX(Salary_Calculation[Source Row],ROW()-ROW(Payslip_Lookup[#Headers]))="","",INDEX(Salary_Calculation[Orders Counted at Base Rate],ROW()-ROW(Payslip_Lookup[#Headers])))</f>
        <v/>
      </c>
      <c r="O247" s="174" t="str">
        <f aca="false">IF(INDEX(Salary_Calculation[Source Row],ROW()-ROW(Payslip_Lookup[#Headers]))="","",INDEX(Salary_Calculation[Missing Orders],ROW()-ROW(Payslip_Lookup[#Headers])))</f>
        <v/>
      </c>
      <c r="P247" s="176" t="str">
        <f aca="false">IF(INDEX(Salary_Calculation[Source Row],ROW()-ROW(Payslip_Lookup[#Headers]))="","",INDEX(Salary_Calculation[Missing-Order Deduction],ROW()-ROW(Payslip_Lookup[#Headers])))</f>
        <v/>
      </c>
      <c r="Q247" s="174" t="str">
        <f aca="false">IF(INDEX(Salary_Calculation[Source Row],ROW()-ROW(Payslip_Lookup[#Headers]))="","",INDEX(Salary_Calculation[Extra Orders],ROW()-ROW(Payslip_Lookup[#Headers])))</f>
        <v/>
      </c>
      <c r="R247" s="176" t="str">
        <f aca="false">IF(INDEX(Salary_Calculation[Source Row],ROW()-ROW(Payslip_Lookup[#Headers]))="","",INDEX(Salary_Calculation[Extra-Order Bonus],ROW()-ROW(Payslip_Lookup[#Headers])))</f>
        <v/>
      </c>
      <c r="S247" s="176" t="str">
        <f aca="false">IF(INDEX(Salary_Calculation[Source Row],ROW()-ROW(Payslip_Lookup[#Headers]))="","",INDEX(Salary_Calculation[Basic Salary for Target],ROW()-ROW(Payslip_Lookup[#Headers])))</f>
        <v/>
      </c>
      <c r="T247" s="176" t="str">
        <f aca="false">IF(INDEX(Salary_Calculation[Source Row],ROW()-ROW(Payslip_Lookup[#Headers]))="","",INDEX(Salary_Calculation[Gross Salary Before Deductions],ROW()-ROW(Payslip_Lookup[#Headers])))</f>
        <v/>
      </c>
      <c r="U247" s="176" t="str">
        <f aca="false">IF(INDEX(Salary_Calculation[Source Row],ROW()-ROW(Payslip_Lookup[#Headers]))="","",INDEX(Salary_Calculation[missed_days_penalty],ROW()-ROW(Payslip_Lookup[#Headers])))</f>
        <v/>
      </c>
      <c r="V247" s="176" t="str">
        <f aca="false">IF(INDEX(Salary_Calculation[Source Row],ROW()-ROW(Payslip_Lookup[#Headers]))="","",INDEX(Salary_Calculation[Rider Balance],ROW()-ROW(Payslip_Lookup[#Headers])))</f>
        <v/>
      </c>
      <c r="W247" s="176" t="str">
        <f aca="false">IF(INDEX(Salary_Calculation[Source Row],ROW()-ROW(Payslip_Lookup[#Headers]))="","",INDEX(Salary_Calculation[stacking_deduction],ROW()-ROW(Payslip_Lookup[#Headers])))</f>
        <v/>
      </c>
      <c r="X247" s="176" t="str">
        <f aca="false">IF(INDEX(Salary_Calculation[Source Row],ROW()-ROW(Payslip_Lookup[#Headers]))="","",INDEX(Salary_Calculation[Other Deductions],ROW()-ROW(Payslip_Lookup[#Headers])))</f>
        <v/>
      </c>
      <c r="Y247" s="176" t="str">
        <f aca="false">IF(INDEX(Salary_Calculation[Source Row],ROW()-ROW(Payslip_Lookup[#Headers]))="","",INDEX(Salary_Calculation[Total Deductions],ROW()-ROW(Payslip_Lookup[#Headers])))</f>
        <v/>
      </c>
      <c r="Z247" s="176" t="str">
        <f aca="false">IF(INDEX(Salary_Calculation[Source Row],ROW()-ROW(Payslip_Lookup[#Headers]))="","",INDEX(Salary_Calculation[Final Salary],ROW()-ROW(Payslip_Lookup[#Headers])))</f>
        <v/>
      </c>
      <c r="AA247" s="176" t="str">
        <f aca="false">IF(INDEX(Salary_Calculation[Source Row],ROW()-ROW(Payslip_Lookup[#Headers]))="","",INDEX(Salary_Calculation[Negative Balance / Amount Due from Rider],ROW()-ROW(Payslip_Lookup[#Headers])))</f>
        <v/>
      </c>
      <c r="AB247" s="176" t="str">
        <f aca="false">IF(INDEX(Salary_Calculation[Source Row],ROW()-ROW(Payslip_Lookup[#Headers]))="","",INDEX(Salary_Calculation[Total Amount Due from Rider],ROW()-ROW(Payslip_Lookup[#Headers])))</f>
        <v/>
      </c>
      <c r="AC247" s="176" t="str">
        <f aca="false">IF(INDEX(Salary_Calculation[Source Row],ROW()-ROW(Payslip_Lookup[#Headers]))="","",INDEX(Salary_Calculation[Salary Before Other Deductions],ROW()-ROW(Payslip_Lookup[#Headers])))</f>
        <v/>
      </c>
      <c r="AD247" s="171" t="str">
        <f aca="false">IF(INDEX(Salary_Calculation[Source Row],ROW()-ROW(Payslip_Lookup[#Headers]))="","",INDEX(Salary_Calculation[Payment Status],ROW()-ROW(Payslip_Lookup[#Headers])))</f>
        <v/>
      </c>
      <c r="AE247" s="171" t="str">
        <f aca="false">IF(INDEX(Salary_Calculation[Source Row],ROW()-ROW(Payslip_Lookup[#Headers]))="","",INDEX(Salary_Calculation[Notes],ROW()-ROW(Payslip_Lookup[#Headers])))</f>
        <v/>
      </c>
      <c r="AF247" s="171" t="str">
        <f aca="false">IF(INDEX(Salary_Calculation[Source Row],ROW()-ROW(Payslip_Lookup[#Headers]))="","",INDEX(Salary_Calculation[Exception Reason],ROW()-ROW(Payslip_Lookup[#Headers])))</f>
        <v/>
      </c>
      <c r="AG247" s="173" t="str">
        <f aca="false">IF($AD247="Review Required",COUNTIF(AD$2:AD247,"Review Required"),"")</f>
        <v/>
      </c>
      <c r="AH247" s="173" t="str">
        <f aca="false">IF(AND($D247&lt;&gt;"",$B247=Payslip_Print!$C$2),MAX(AH$1:AH246)+1,"")</f>
        <v/>
      </c>
      <c r="AL247" s="178" t="str">
        <f aca="false">IFERROR(INDEX($D$2:$D$501,MATCH(ROW()-1,$AH$2:$AH$501,0)),"")</f>
        <v/>
      </c>
      <c r="AM247" s="179" t="str">
        <f aca="false">IF($Z247="","",IF(AND($C247&gt;=Dash_Start,$C247&lt;Dash_End),$Z247+ROW()/10000000,""))</f>
        <v/>
      </c>
    </row>
    <row r="248" customFormat="false" ht="14.25" hidden="false" customHeight="false" outlineLevel="0" collapsed="false">
      <c r="A248" s="171" t="str">
        <f aca="false">IF(Payslip_Lookup[[#This Row],[Rider ID]]="","",Payslip_Lookup[[#This Row],[Rider ID]]&amp;"|"&amp;Payslip_Lookup[[#This Row],[Month Key]])</f>
        <v/>
      </c>
      <c r="B248" s="172" t="str">
        <f aca="false">IF(ISNUMBER(Payslip_Lookup[[#This Row],[Salary Month]]),DATE(YEAR(Payslip_Lookup[[#This Row],[Salary Month]]),MONTH(Payslip_Lookup[[#This Row],[Salary Month]]),1),"")</f>
        <v/>
      </c>
      <c r="C248" s="172" t="str">
        <f aca="false">IF(INDEX(Salary_Calculation[Source Row],ROW()-ROW(Payslip_Lookup[#Headers]))="","",INDEX(Salary_Calculation[Salary Month],ROW()-ROW(Payslip_Lookup[#Headers])))</f>
        <v/>
      </c>
      <c r="D248" s="173" t="str">
        <f aca="false">IF(INDEX(Salary_Calculation[Source Row],ROW()-ROW(Payslip_Lookup[#Headers]))="","",INDEX(Salary_Calculation[Rider ID],ROW()-ROW(Payslip_Lookup[#Headers])))</f>
        <v/>
      </c>
      <c r="E248" s="171" t="str">
        <f aca="false">IF(INDEX(Salary_Calculation[Source Row],ROW()-ROW(Payslip_Lookup[#Headers]))="","",INDEX(Salary_Calculation[Rider Name],ROW()-ROW(Payslip_Lookup[#Headers])))</f>
        <v/>
      </c>
      <c r="F248" s="173" t="str">
        <f aca="false">IF(INDEX(Salary_Calculation[Source Row],ROW()-ROW(Payslip_Lookup[#Headers]))="","",INDEX(Salary_Calculation[Working Days],ROW()-ROW(Payslip_Lookup[#Headers])))</f>
        <v/>
      </c>
      <c r="G248" s="173" t="str">
        <f aca="false">IF(INDEX(Salary_Calculation[Source Row],ROW()-ROW(Payslip_Lookup[#Headers]))="","",INDEX(Salary_Calculation[Calendar Days],ROW()-ROW(Payslip_Lookup[#Headers])))</f>
        <v/>
      </c>
      <c r="H248" s="174" t="str">
        <f aca="false">IF(INDEX(Salary_Calculation[Source Row],ROW()-ROW(Payslip_Lookup[#Headers]))="","",INDEX(Salary_Calculation[Monthly Target Orders],ROW()-ROW(Payslip_Lookup[#Headers])))</f>
        <v/>
      </c>
      <c r="I248" s="174" t="str">
        <f aca="false">IF(INDEX(Salary_Calculation[Source Row],ROW()-ROW(Payslip_Lookup[#Headers]))="","",INDEX(Salary_Calculation[Rider Target Orders],ROW()-ROW(Payslip_Lookup[#Headers])))</f>
        <v/>
      </c>
      <c r="J248" s="175" t="str">
        <f aca="false">IF(INDEX(Salary_Calculation[Source Row],ROW()-ROW(Payslip_Lookup[#Headers]))="","",INDEX(Salary_Calculation[Completed Orders],ROW()-ROW(Payslip_Lookup[#Headers])))</f>
        <v/>
      </c>
      <c r="K248" s="174" t="str">
        <f aca="false">IF(INDEX(Salary_Calculation[Source Row],ROW()-ROW(Payslip_Lookup[#Headers]))="","",INDEX(Salary_Calculation[Base Order Rate],ROW()-ROW(Payslip_Lookup[#Headers])))</f>
        <v/>
      </c>
      <c r="L248" s="176" t="str">
        <f aca="false">IF(INDEX(Salary_Calculation[Source Row],ROW()-ROW(Payslip_Lookup[#Headers]))="","",INDEX(Salary_Calculation[Basic Payment],ROW()-ROW(Payslip_Lookup[#Headers])))</f>
        <v/>
      </c>
      <c r="M248" s="176" t="str">
        <f aca="false">IF(INDEX(Salary_Calculation[Source Row],ROW()-ROW(Payslip_Lookup[#Headers]))="","",INDEX(Salary_Calculation[Earned Salary],ROW()-ROW(Payslip_Lookup[#Headers])))</f>
        <v/>
      </c>
      <c r="N248" s="174" t="str">
        <f aca="false">IF(INDEX(Salary_Calculation[Source Row],ROW()-ROW(Payslip_Lookup[#Headers]))="","",INDEX(Salary_Calculation[Orders Counted at Base Rate],ROW()-ROW(Payslip_Lookup[#Headers])))</f>
        <v/>
      </c>
      <c r="O248" s="174" t="str">
        <f aca="false">IF(INDEX(Salary_Calculation[Source Row],ROW()-ROW(Payslip_Lookup[#Headers]))="","",INDEX(Salary_Calculation[Missing Orders],ROW()-ROW(Payslip_Lookup[#Headers])))</f>
        <v/>
      </c>
      <c r="P248" s="176" t="str">
        <f aca="false">IF(INDEX(Salary_Calculation[Source Row],ROW()-ROW(Payslip_Lookup[#Headers]))="","",INDEX(Salary_Calculation[Missing-Order Deduction],ROW()-ROW(Payslip_Lookup[#Headers])))</f>
        <v/>
      </c>
      <c r="Q248" s="174" t="str">
        <f aca="false">IF(INDEX(Salary_Calculation[Source Row],ROW()-ROW(Payslip_Lookup[#Headers]))="","",INDEX(Salary_Calculation[Extra Orders],ROW()-ROW(Payslip_Lookup[#Headers])))</f>
        <v/>
      </c>
      <c r="R248" s="176" t="str">
        <f aca="false">IF(INDEX(Salary_Calculation[Source Row],ROW()-ROW(Payslip_Lookup[#Headers]))="","",INDEX(Salary_Calculation[Extra-Order Bonus],ROW()-ROW(Payslip_Lookup[#Headers])))</f>
        <v/>
      </c>
      <c r="S248" s="176" t="str">
        <f aca="false">IF(INDEX(Salary_Calculation[Source Row],ROW()-ROW(Payslip_Lookup[#Headers]))="","",INDEX(Salary_Calculation[Basic Salary for Target],ROW()-ROW(Payslip_Lookup[#Headers])))</f>
        <v/>
      </c>
      <c r="T248" s="176" t="str">
        <f aca="false">IF(INDEX(Salary_Calculation[Source Row],ROW()-ROW(Payslip_Lookup[#Headers]))="","",INDEX(Salary_Calculation[Gross Salary Before Deductions],ROW()-ROW(Payslip_Lookup[#Headers])))</f>
        <v/>
      </c>
      <c r="U248" s="176" t="str">
        <f aca="false">IF(INDEX(Salary_Calculation[Source Row],ROW()-ROW(Payslip_Lookup[#Headers]))="","",INDEX(Salary_Calculation[missed_days_penalty],ROW()-ROW(Payslip_Lookup[#Headers])))</f>
        <v/>
      </c>
      <c r="V248" s="176" t="str">
        <f aca="false">IF(INDEX(Salary_Calculation[Source Row],ROW()-ROW(Payslip_Lookup[#Headers]))="","",INDEX(Salary_Calculation[Rider Balance],ROW()-ROW(Payslip_Lookup[#Headers])))</f>
        <v/>
      </c>
      <c r="W248" s="176" t="str">
        <f aca="false">IF(INDEX(Salary_Calculation[Source Row],ROW()-ROW(Payslip_Lookup[#Headers]))="","",INDEX(Salary_Calculation[stacking_deduction],ROW()-ROW(Payslip_Lookup[#Headers])))</f>
        <v/>
      </c>
      <c r="X248" s="176" t="str">
        <f aca="false">IF(INDEX(Salary_Calculation[Source Row],ROW()-ROW(Payslip_Lookup[#Headers]))="","",INDEX(Salary_Calculation[Other Deductions],ROW()-ROW(Payslip_Lookup[#Headers])))</f>
        <v/>
      </c>
      <c r="Y248" s="176" t="str">
        <f aca="false">IF(INDEX(Salary_Calculation[Source Row],ROW()-ROW(Payslip_Lookup[#Headers]))="","",INDEX(Salary_Calculation[Total Deductions],ROW()-ROW(Payslip_Lookup[#Headers])))</f>
        <v/>
      </c>
      <c r="Z248" s="176" t="str">
        <f aca="false">IF(INDEX(Salary_Calculation[Source Row],ROW()-ROW(Payslip_Lookup[#Headers]))="","",INDEX(Salary_Calculation[Final Salary],ROW()-ROW(Payslip_Lookup[#Headers])))</f>
        <v/>
      </c>
      <c r="AA248" s="176" t="str">
        <f aca="false">IF(INDEX(Salary_Calculation[Source Row],ROW()-ROW(Payslip_Lookup[#Headers]))="","",INDEX(Salary_Calculation[Negative Balance / Amount Due from Rider],ROW()-ROW(Payslip_Lookup[#Headers])))</f>
        <v/>
      </c>
      <c r="AB248" s="176" t="str">
        <f aca="false">IF(INDEX(Salary_Calculation[Source Row],ROW()-ROW(Payslip_Lookup[#Headers]))="","",INDEX(Salary_Calculation[Total Amount Due from Rider],ROW()-ROW(Payslip_Lookup[#Headers])))</f>
        <v/>
      </c>
      <c r="AC248" s="176" t="str">
        <f aca="false">IF(INDEX(Salary_Calculation[Source Row],ROW()-ROW(Payslip_Lookup[#Headers]))="","",INDEX(Salary_Calculation[Salary Before Other Deductions],ROW()-ROW(Payslip_Lookup[#Headers])))</f>
        <v/>
      </c>
      <c r="AD248" s="171" t="str">
        <f aca="false">IF(INDEX(Salary_Calculation[Source Row],ROW()-ROW(Payslip_Lookup[#Headers]))="","",INDEX(Salary_Calculation[Payment Status],ROW()-ROW(Payslip_Lookup[#Headers])))</f>
        <v/>
      </c>
      <c r="AE248" s="171" t="str">
        <f aca="false">IF(INDEX(Salary_Calculation[Source Row],ROW()-ROW(Payslip_Lookup[#Headers]))="","",INDEX(Salary_Calculation[Notes],ROW()-ROW(Payslip_Lookup[#Headers])))</f>
        <v/>
      </c>
      <c r="AF248" s="171" t="str">
        <f aca="false">IF(INDEX(Salary_Calculation[Source Row],ROW()-ROW(Payslip_Lookup[#Headers]))="","",INDEX(Salary_Calculation[Exception Reason],ROW()-ROW(Payslip_Lookup[#Headers])))</f>
        <v/>
      </c>
      <c r="AG248" s="173" t="str">
        <f aca="false">IF($AD248="Review Required",COUNTIF(AD$2:AD248,"Review Required"),"")</f>
        <v/>
      </c>
      <c r="AH248" s="173" t="str">
        <f aca="false">IF(AND($D248&lt;&gt;"",$B248=Payslip_Print!$C$2),MAX(AH$1:AH247)+1,"")</f>
        <v/>
      </c>
      <c r="AL248" s="178" t="str">
        <f aca="false">IFERROR(INDEX($D$2:$D$501,MATCH(ROW()-1,$AH$2:$AH$501,0)),"")</f>
        <v/>
      </c>
      <c r="AM248" s="179" t="str">
        <f aca="false">IF($Z248="","",IF(AND($C248&gt;=Dash_Start,$C248&lt;Dash_End),$Z248+ROW()/10000000,""))</f>
        <v/>
      </c>
    </row>
    <row r="249" customFormat="false" ht="14.25" hidden="false" customHeight="false" outlineLevel="0" collapsed="false">
      <c r="A249" s="171" t="str">
        <f aca="false">IF(Payslip_Lookup[[#This Row],[Rider ID]]="","",Payslip_Lookup[[#This Row],[Rider ID]]&amp;"|"&amp;Payslip_Lookup[[#This Row],[Month Key]])</f>
        <v/>
      </c>
      <c r="B249" s="172" t="str">
        <f aca="false">IF(ISNUMBER(Payslip_Lookup[[#This Row],[Salary Month]]),DATE(YEAR(Payslip_Lookup[[#This Row],[Salary Month]]),MONTH(Payslip_Lookup[[#This Row],[Salary Month]]),1),"")</f>
        <v/>
      </c>
      <c r="C249" s="172" t="str">
        <f aca="false">IF(INDEX(Salary_Calculation[Source Row],ROW()-ROW(Payslip_Lookup[#Headers]))="","",INDEX(Salary_Calculation[Salary Month],ROW()-ROW(Payslip_Lookup[#Headers])))</f>
        <v/>
      </c>
      <c r="D249" s="173" t="str">
        <f aca="false">IF(INDEX(Salary_Calculation[Source Row],ROW()-ROW(Payslip_Lookup[#Headers]))="","",INDEX(Salary_Calculation[Rider ID],ROW()-ROW(Payslip_Lookup[#Headers])))</f>
        <v/>
      </c>
      <c r="E249" s="171" t="str">
        <f aca="false">IF(INDEX(Salary_Calculation[Source Row],ROW()-ROW(Payslip_Lookup[#Headers]))="","",INDEX(Salary_Calculation[Rider Name],ROW()-ROW(Payslip_Lookup[#Headers])))</f>
        <v/>
      </c>
      <c r="F249" s="173" t="str">
        <f aca="false">IF(INDEX(Salary_Calculation[Source Row],ROW()-ROW(Payslip_Lookup[#Headers]))="","",INDEX(Salary_Calculation[Working Days],ROW()-ROW(Payslip_Lookup[#Headers])))</f>
        <v/>
      </c>
      <c r="G249" s="173" t="str">
        <f aca="false">IF(INDEX(Salary_Calculation[Source Row],ROW()-ROW(Payslip_Lookup[#Headers]))="","",INDEX(Salary_Calculation[Calendar Days],ROW()-ROW(Payslip_Lookup[#Headers])))</f>
        <v/>
      </c>
      <c r="H249" s="174" t="str">
        <f aca="false">IF(INDEX(Salary_Calculation[Source Row],ROW()-ROW(Payslip_Lookup[#Headers]))="","",INDEX(Salary_Calculation[Monthly Target Orders],ROW()-ROW(Payslip_Lookup[#Headers])))</f>
        <v/>
      </c>
      <c r="I249" s="174" t="str">
        <f aca="false">IF(INDEX(Salary_Calculation[Source Row],ROW()-ROW(Payslip_Lookup[#Headers]))="","",INDEX(Salary_Calculation[Rider Target Orders],ROW()-ROW(Payslip_Lookup[#Headers])))</f>
        <v/>
      </c>
      <c r="J249" s="175" t="str">
        <f aca="false">IF(INDEX(Salary_Calculation[Source Row],ROW()-ROW(Payslip_Lookup[#Headers]))="","",INDEX(Salary_Calculation[Completed Orders],ROW()-ROW(Payslip_Lookup[#Headers])))</f>
        <v/>
      </c>
      <c r="K249" s="174" t="str">
        <f aca="false">IF(INDEX(Salary_Calculation[Source Row],ROW()-ROW(Payslip_Lookup[#Headers]))="","",INDEX(Salary_Calculation[Base Order Rate],ROW()-ROW(Payslip_Lookup[#Headers])))</f>
        <v/>
      </c>
      <c r="L249" s="176" t="str">
        <f aca="false">IF(INDEX(Salary_Calculation[Source Row],ROW()-ROW(Payslip_Lookup[#Headers]))="","",INDEX(Salary_Calculation[Basic Payment],ROW()-ROW(Payslip_Lookup[#Headers])))</f>
        <v/>
      </c>
      <c r="M249" s="176" t="str">
        <f aca="false">IF(INDEX(Salary_Calculation[Source Row],ROW()-ROW(Payslip_Lookup[#Headers]))="","",INDEX(Salary_Calculation[Earned Salary],ROW()-ROW(Payslip_Lookup[#Headers])))</f>
        <v/>
      </c>
      <c r="N249" s="174" t="str">
        <f aca="false">IF(INDEX(Salary_Calculation[Source Row],ROW()-ROW(Payslip_Lookup[#Headers]))="","",INDEX(Salary_Calculation[Orders Counted at Base Rate],ROW()-ROW(Payslip_Lookup[#Headers])))</f>
        <v/>
      </c>
      <c r="O249" s="174" t="str">
        <f aca="false">IF(INDEX(Salary_Calculation[Source Row],ROW()-ROW(Payslip_Lookup[#Headers]))="","",INDEX(Salary_Calculation[Missing Orders],ROW()-ROW(Payslip_Lookup[#Headers])))</f>
        <v/>
      </c>
      <c r="P249" s="176" t="str">
        <f aca="false">IF(INDEX(Salary_Calculation[Source Row],ROW()-ROW(Payslip_Lookup[#Headers]))="","",INDEX(Salary_Calculation[Missing-Order Deduction],ROW()-ROW(Payslip_Lookup[#Headers])))</f>
        <v/>
      </c>
      <c r="Q249" s="174" t="str">
        <f aca="false">IF(INDEX(Salary_Calculation[Source Row],ROW()-ROW(Payslip_Lookup[#Headers]))="","",INDEX(Salary_Calculation[Extra Orders],ROW()-ROW(Payslip_Lookup[#Headers])))</f>
        <v/>
      </c>
      <c r="R249" s="176" t="str">
        <f aca="false">IF(INDEX(Salary_Calculation[Source Row],ROW()-ROW(Payslip_Lookup[#Headers]))="","",INDEX(Salary_Calculation[Extra-Order Bonus],ROW()-ROW(Payslip_Lookup[#Headers])))</f>
        <v/>
      </c>
      <c r="S249" s="176" t="str">
        <f aca="false">IF(INDEX(Salary_Calculation[Source Row],ROW()-ROW(Payslip_Lookup[#Headers]))="","",INDEX(Salary_Calculation[Basic Salary for Target],ROW()-ROW(Payslip_Lookup[#Headers])))</f>
        <v/>
      </c>
      <c r="T249" s="176" t="str">
        <f aca="false">IF(INDEX(Salary_Calculation[Source Row],ROW()-ROW(Payslip_Lookup[#Headers]))="","",INDEX(Salary_Calculation[Gross Salary Before Deductions],ROW()-ROW(Payslip_Lookup[#Headers])))</f>
        <v/>
      </c>
      <c r="U249" s="176" t="str">
        <f aca="false">IF(INDEX(Salary_Calculation[Source Row],ROW()-ROW(Payslip_Lookup[#Headers]))="","",INDEX(Salary_Calculation[missed_days_penalty],ROW()-ROW(Payslip_Lookup[#Headers])))</f>
        <v/>
      </c>
      <c r="V249" s="176" t="str">
        <f aca="false">IF(INDEX(Salary_Calculation[Source Row],ROW()-ROW(Payslip_Lookup[#Headers]))="","",INDEX(Salary_Calculation[Rider Balance],ROW()-ROW(Payslip_Lookup[#Headers])))</f>
        <v/>
      </c>
      <c r="W249" s="176" t="str">
        <f aca="false">IF(INDEX(Salary_Calculation[Source Row],ROW()-ROW(Payslip_Lookup[#Headers]))="","",INDEX(Salary_Calculation[stacking_deduction],ROW()-ROW(Payslip_Lookup[#Headers])))</f>
        <v/>
      </c>
      <c r="X249" s="176" t="str">
        <f aca="false">IF(INDEX(Salary_Calculation[Source Row],ROW()-ROW(Payslip_Lookup[#Headers]))="","",INDEX(Salary_Calculation[Other Deductions],ROW()-ROW(Payslip_Lookup[#Headers])))</f>
        <v/>
      </c>
      <c r="Y249" s="176" t="str">
        <f aca="false">IF(INDEX(Salary_Calculation[Source Row],ROW()-ROW(Payslip_Lookup[#Headers]))="","",INDEX(Salary_Calculation[Total Deductions],ROW()-ROW(Payslip_Lookup[#Headers])))</f>
        <v/>
      </c>
      <c r="Z249" s="176" t="str">
        <f aca="false">IF(INDEX(Salary_Calculation[Source Row],ROW()-ROW(Payslip_Lookup[#Headers]))="","",INDEX(Salary_Calculation[Final Salary],ROW()-ROW(Payslip_Lookup[#Headers])))</f>
        <v/>
      </c>
      <c r="AA249" s="176" t="str">
        <f aca="false">IF(INDEX(Salary_Calculation[Source Row],ROW()-ROW(Payslip_Lookup[#Headers]))="","",INDEX(Salary_Calculation[Negative Balance / Amount Due from Rider],ROW()-ROW(Payslip_Lookup[#Headers])))</f>
        <v/>
      </c>
      <c r="AB249" s="176" t="str">
        <f aca="false">IF(INDEX(Salary_Calculation[Source Row],ROW()-ROW(Payslip_Lookup[#Headers]))="","",INDEX(Salary_Calculation[Total Amount Due from Rider],ROW()-ROW(Payslip_Lookup[#Headers])))</f>
        <v/>
      </c>
      <c r="AC249" s="176" t="str">
        <f aca="false">IF(INDEX(Salary_Calculation[Source Row],ROW()-ROW(Payslip_Lookup[#Headers]))="","",INDEX(Salary_Calculation[Salary Before Other Deductions],ROW()-ROW(Payslip_Lookup[#Headers])))</f>
        <v/>
      </c>
      <c r="AD249" s="171" t="str">
        <f aca="false">IF(INDEX(Salary_Calculation[Source Row],ROW()-ROW(Payslip_Lookup[#Headers]))="","",INDEX(Salary_Calculation[Payment Status],ROW()-ROW(Payslip_Lookup[#Headers])))</f>
        <v/>
      </c>
      <c r="AE249" s="171" t="str">
        <f aca="false">IF(INDEX(Salary_Calculation[Source Row],ROW()-ROW(Payslip_Lookup[#Headers]))="","",INDEX(Salary_Calculation[Notes],ROW()-ROW(Payslip_Lookup[#Headers])))</f>
        <v/>
      </c>
      <c r="AF249" s="171" t="str">
        <f aca="false">IF(INDEX(Salary_Calculation[Source Row],ROW()-ROW(Payslip_Lookup[#Headers]))="","",INDEX(Salary_Calculation[Exception Reason],ROW()-ROW(Payslip_Lookup[#Headers])))</f>
        <v/>
      </c>
      <c r="AG249" s="173" t="str">
        <f aca="false">IF($AD249="Review Required",COUNTIF(AD$2:AD249,"Review Required"),"")</f>
        <v/>
      </c>
      <c r="AH249" s="173" t="str">
        <f aca="false">IF(AND($D249&lt;&gt;"",$B249=Payslip_Print!$C$2),MAX(AH$1:AH248)+1,"")</f>
        <v/>
      </c>
      <c r="AL249" s="178" t="str">
        <f aca="false">IFERROR(INDEX($D$2:$D$501,MATCH(ROW()-1,$AH$2:$AH$501,0)),"")</f>
        <v/>
      </c>
      <c r="AM249" s="179" t="str">
        <f aca="false">IF($Z249="","",IF(AND($C249&gt;=Dash_Start,$C249&lt;Dash_End),$Z249+ROW()/10000000,""))</f>
        <v/>
      </c>
    </row>
    <row r="250" customFormat="false" ht="14.25" hidden="false" customHeight="false" outlineLevel="0" collapsed="false">
      <c r="A250" s="171" t="str">
        <f aca="false">IF(Payslip_Lookup[[#This Row],[Rider ID]]="","",Payslip_Lookup[[#This Row],[Rider ID]]&amp;"|"&amp;Payslip_Lookup[[#This Row],[Month Key]])</f>
        <v/>
      </c>
      <c r="B250" s="172" t="str">
        <f aca="false">IF(ISNUMBER(Payslip_Lookup[[#This Row],[Salary Month]]),DATE(YEAR(Payslip_Lookup[[#This Row],[Salary Month]]),MONTH(Payslip_Lookup[[#This Row],[Salary Month]]),1),"")</f>
        <v/>
      </c>
      <c r="C250" s="172" t="str">
        <f aca="false">IF(INDEX(Salary_Calculation[Source Row],ROW()-ROW(Payslip_Lookup[#Headers]))="","",INDEX(Salary_Calculation[Salary Month],ROW()-ROW(Payslip_Lookup[#Headers])))</f>
        <v/>
      </c>
      <c r="D250" s="173" t="str">
        <f aca="false">IF(INDEX(Salary_Calculation[Source Row],ROW()-ROW(Payslip_Lookup[#Headers]))="","",INDEX(Salary_Calculation[Rider ID],ROW()-ROW(Payslip_Lookup[#Headers])))</f>
        <v/>
      </c>
      <c r="E250" s="171" t="str">
        <f aca="false">IF(INDEX(Salary_Calculation[Source Row],ROW()-ROW(Payslip_Lookup[#Headers]))="","",INDEX(Salary_Calculation[Rider Name],ROW()-ROW(Payslip_Lookup[#Headers])))</f>
        <v/>
      </c>
      <c r="F250" s="173" t="str">
        <f aca="false">IF(INDEX(Salary_Calculation[Source Row],ROW()-ROW(Payslip_Lookup[#Headers]))="","",INDEX(Salary_Calculation[Working Days],ROW()-ROW(Payslip_Lookup[#Headers])))</f>
        <v/>
      </c>
      <c r="G250" s="173" t="str">
        <f aca="false">IF(INDEX(Salary_Calculation[Source Row],ROW()-ROW(Payslip_Lookup[#Headers]))="","",INDEX(Salary_Calculation[Calendar Days],ROW()-ROW(Payslip_Lookup[#Headers])))</f>
        <v/>
      </c>
      <c r="H250" s="174" t="str">
        <f aca="false">IF(INDEX(Salary_Calculation[Source Row],ROW()-ROW(Payslip_Lookup[#Headers]))="","",INDEX(Salary_Calculation[Monthly Target Orders],ROW()-ROW(Payslip_Lookup[#Headers])))</f>
        <v/>
      </c>
      <c r="I250" s="174" t="str">
        <f aca="false">IF(INDEX(Salary_Calculation[Source Row],ROW()-ROW(Payslip_Lookup[#Headers]))="","",INDEX(Salary_Calculation[Rider Target Orders],ROW()-ROW(Payslip_Lookup[#Headers])))</f>
        <v/>
      </c>
      <c r="J250" s="175" t="str">
        <f aca="false">IF(INDEX(Salary_Calculation[Source Row],ROW()-ROW(Payslip_Lookup[#Headers]))="","",INDEX(Salary_Calculation[Completed Orders],ROW()-ROW(Payslip_Lookup[#Headers])))</f>
        <v/>
      </c>
      <c r="K250" s="174" t="str">
        <f aca="false">IF(INDEX(Salary_Calculation[Source Row],ROW()-ROW(Payslip_Lookup[#Headers]))="","",INDEX(Salary_Calculation[Base Order Rate],ROW()-ROW(Payslip_Lookup[#Headers])))</f>
        <v/>
      </c>
      <c r="L250" s="176" t="str">
        <f aca="false">IF(INDEX(Salary_Calculation[Source Row],ROW()-ROW(Payslip_Lookup[#Headers]))="","",INDEX(Salary_Calculation[Basic Payment],ROW()-ROW(Payslip_Lookup[#Headers])))</f>
        <v/>
      </c>
      <c r="M250" s="176" t="str">
        <f aca="false">IF(INDEX(Salary_Calculation[Source Row],ROW()-ROW(Payslip_Lookup[#Headers]))="","",INDEX(Salary_Calculation[Earned Salary],ROW()-ROW(Payslip_Lookup[#Headers])))</f>
        <v/>
      </c>
      <c r="N250" s="174" t="str">
        <f aca="false">IF(INDEX(Salary_Calculation[Source Row],ROW()-ROW(Payslip_Lookup[#Headers]))="","",INDEX(Salary_Calculation[Orders Counted at Base Rate],ROW()-ROW(Payslip_Lookup[#Headers])))</f>
        <v/>
      </c>
      <c r="O250" s="174" t="str">
        <f aca="false">IF(INDEX(Salary_Calculation[Source Row],ROW()-ROW(Payslip_Lookup[#Headers]))="","",INDEX(Salary_Calculation[Missing Orders],ROW()-ROW(Payslip_Lookup[#Headers])))</f>
        <v/>
      </c>
      <c r="P250" s="176" t="str">
        <f aca="false">IF(INDEX(Salary_Calculation[Source Row],ROW()-ROW(Payslip_Lookup[#Headers]))="","",INDEX(Salary_Calculation[Missing-Order Deduction],ROW()-ROW(Payslip_Lookup[#Headers])))</f>
        <v/>
      </c>
      <c r="Q250" s="174" t="str">
        <f aca="false">IF(INDEX(Salary_Calculation[Source Row],ROW()-ROW(Payslip_Lookup[#Headers]))="","",INDEX(Salary_Calculation[Extra Orders],ROW()-ROW(Payslip_Lookup[#Headers])))</f>
        <v/>
      </c>
      <c r="R250" s="176" t="str">
        <f aca="false">IF(INDEX(Salary_Calculation[Source Row],ROW()-ROW(Payslip_Lookup[#Headers]))="","",INDEX(Salary_Calculation[Extra-Order Bonus],ROW()-ROW(Payslip_Lookup[#Headers])))</f>
        <v/>
      </c>
      <c r="S250" s="176" t="str">
        <f aca="false">IF(INDEX(Salary_Calculation[Source Row],ROW()-ROW(Payslip_Lookup[#Headers]))="","",INDEX(Salary_Calculation[Basic Salary for Target],ROW()-ROW(Payslip_Lookup[#Headers])))</f>
        <v/>
      </c>
      <c r="T250" s="176" t="str">
        <f aca="false">IF(INDEX(Salary_Calculation[Source Row],ROW()-ROW(Payslip_Lookup[#Headers]))="","",INDEX(Salary_Calculation[Gross Salary Before Deductions],ROW()-ROW(Payslip_Lookup[#Headers])))</f>
        <v/>
      </c>
      <c r="U250" s="176" t="str">
        <f aca="false">IF(INDEX(Salary_Calculation[Source Row],ROW()-ROW(Payslip_Lookup[#Headers]))="","",INDEX(Salary_Calculation[missed_days_penalty],ROW()-ROW(Payslip_Lookup[#Headers])))</f>
        <v/>
      </c>
      <c r="V250" s="176" t="str">
        <f aca="false">IF(INDEX(Salary_Calculation[Source Row],ROW()-ROW(Payslip_Lookup[#Headers]))="","",INDEX(Salary_Calculation[Rider Balance],ROW()-ROW(Payslip_Lookup[#Headers])))</f>
        <v/>
      </c>
      <c r="W250" s="176" t="str">
        <f aca="false">IF(INDEX(Salary_Calculation[Source Row],ROW()-ROW(Payslip_Lookup[#Headers]))="","",INDEX(Salary_Calculation[stacking_deduction],ROW()-ROW(Payslip_Lookup[#Headers])))</f>
        <v/>
      </c>
      <c r="X250" s="176" t="str">
        <f aca="false">IF(INDEX(Salary_Calculation[Source Row],ROW()-ROW(Payslip_Lookup[#Headers]))="","",INDEX(Salary_Calculation[Other Deductions],ROW()-ROW(Payslip_Lookup[#Headers])))</f>
        <v/>
      </c>
      <c r="Y250" s="176" t="str">
        <f aca="false">IF(INDEX(Salary_Calculation[Source Row],ROW()-ROW(Payslip_Lookup[#Headers]))="","",INDEX(Salary_Calculation[Total Deductions],ROW()-ROW(Payslip_Lookup[#Headers])))</f>
        <v/>
      </c>
      <c r="Z250" s="176" t="str">
        <f aca="false">IF(INDEX(Salary_Calculation[Source Row],ROW()-ROW(Payslip_Lookup[#Headers]))="","",INDEX(Salary_Calculation[Final Salary],ROW()-ROW(Payslip_Lookup[#Headers])))</f>
        <v/>
      </c>
      <c r="AA250" s="176" t="str">
        <f aca="false">IF(INDEX(Salary_Calculation[Source Row],ROW()-ROW(Payslip_Lookup[#Headers]))="","",INDEX(Salary_Calculation[Negative Balance / Amount Due from Rider],ROW()-ROW(Payslip_Lookup[#Headers])))</f>
        <v/>
      </c>
      <c r="AB250" s="176" t="str">
        <f aca="false">IF(INDEX(Salary_Calculation[Source Row],ROW()-ROW(Payslip_Lookup[#Headers]))="","",INDEX(Salary_Calculation[Total Amount Due from Rider],ROW()-ROW(Payslip_Lookup[#Headers])))</f>
        <v/>
      </c>
      <c r="AC250" s="176" t="str">
        <f aca="false">IF(INDEX(Salary_Calculation[Source Row],ROW()-ROW(Payslip_Lookup[#Headers]))="","",INDEX(Salary_Calculation[Salary Before Other Deductions],ROW()-ROW(Payslip_Lookup[#Headers])))</f>
        <v/>
      </c>
      <c r="AD250" s="171" t="str">
        <f aca="false">IF(INDEX(Salary_Calculation[Source Row],ROW()-ROW(Payslip_Lookup[#Headers]))="","",INDEX(Salary_Calculation[Payment Status],ROW()-ROW(Payslip_Lookup[#Headers])))</f>
        <v/>
      </c>
      <c r="AE250" s="171" t="str">
        <f aca="false">IF(INDEX(Salary_Calculation[Source Row],ROW()-ROW(Payslip_Lookup[#Headers]))="","",INDEX(Salary_Calculation[Notes],ROW()-ROW(Payslip_Lookup[#Headers])))</f>
        <v/>
      </c>
      <c r="AF250" s="171" t="str">
        <f aca="false">IF(INDEX(Salary_Calculation[Source Row],ROW()-ROW(Payslip_Lookup[#Headers]))="","",INDEX(Salary_Calculation[Exception Reason],ROW()-ROW(Payslip_Lookup[#Headers])))</f>
        <v/>
      </c>
      <c r="AG250" s="173" t="str">
        <f aca="false">IF($AD250="Review Required",COUNTIF(AD$2:AD250,"Review Required"),"")</f>
        <v/>
      </c>
      <c r="AH250" s="173" t="str">
        <f aca="false">IF(AND($D250&lt;&gt;"",$B250=Payslip_Print!$C$2),MAX(AH$1:AH249)+1,"")</f>
        <v/>
      </c>
      <c r="AL250" s="178" t="str">
        <f aca="false">IFERROR(INDEX($D$2:$D$501,MATCH(ROW()-1,$AH$2:$AH$501,0)),"")</f>
        <v/>
      </c>
      <c r="AM250" s="179" t="str">
        <f aca="false">IF($Z250="","",IF(AND($C250&gt;=Dash_Start,$C250&lt;Dash_End),$Z250+ROW()/10000000,""))</f>
        <v/>
      </c>
    </row>
    <row r="251" customFormat="false" ht="14.25" hidden="false" customHeight="false" outlineLevel="0" collapsed="false">
      <c r="A251" s="171" t="str">
        <f aca="false">IF(Payslip_Lookup[[#This Row],[Rider ID]]="","",Payslip_Lookup[[#This Row],[Rider ID]]&amp;"|"&amp;Payslip_Lookup[[#This Row],[Month Key]])</f>
        <v/>
      </c>
      <c r="B251" s="172" t="str">
        <f aca="false">IF(ISNUMBER(Payslip_Lookup[[#This Row],[Salary Month]]),DATE(YEAR(Payslip_Lookup[[#This Row],[Salary Month]]),MONTH(Payslip_Lookup[[#This Row],[Salary Month]]),1),"")</f>
        <v/>
      </c>
      <c r="C251" s="172" t="str">
        <f aca="false">IF(INDEX(Salary_Calculation[Source Row],ROW()-ROW(Payslip_Lookup[#Headers]))="","",INDEX(Salary_Calculation[Salary Month],ROW()-ROW(Payslip_Lookup[#Headers])))</f>
        <v/>
      </c>
      <c r="D251" s="173" t="str">
        <f aca="false">IF(INDEX(Salary_Calculation[Source Row],ROW()-ROW(Payslip_Lookup[#Headers]))="","",INDEX(Salary_Calculation[Rider ID],ROW()-ROW(Payslip_Lookup[#Headers])))</f>
        <v/>
      </c>
      <c r="E251" s="171" t="str">
        <f aca="false">IF(INDEX(Salary_Calculation[Source Row],ROW()-ROW(Payslip_Lookup[#Headers]))="","",INDEX(Salary_Calculation[Rider Name],ROW()-ROW(Payslip_Lookup[#Headers])))</f>
        <v/>
      </c>
      <c r="F251" s="173" t="str">
        <f aca="false">IF(INDEX(Salary_Calculation[Source Row],ROW()-ROW(Payslip_Lookup[#Headers]))="","",INDEX(Salary_Calculation[Working Days],ROW()-ROW(Payslip_Lookup[#Headers])))</f>
        <v/>
      </c>
      <c r="G251" s="173" t="str">
        <f aca="false">IF(INDEX(Salary_Calculation[Source Row],ROW()-ROW(Payslip_Lookup[#Headers]))="","",INDEX(Salary_Calculation[Calendar Days],ROW()-ROW(Payslip_Lookup[#Headers])))</f>
        <v/>
      </c>
      <c r="H251" s="174" t="str">
        <f aca="false">IF(INDEX(Salary_Calculation[Source Row],ROW()-ROW(Payslip_Lookup[#Headers]))="","",INDEX(Salary_Calculation[Monthly Target Orders],ROW()-ROW(Payslip_Lookup[#Headers])))</f>
        <v/>
      </c>
      <c r="I251" s="174" t="str">
        <f aca="false">IF(INDEX(Salary_Calculation[Source Row],ROW()-ROW(Payslip_Lookup[#Headers]))="","",INDEX(Salary_Calculation[Rider Target Orders],ROW()-ROW(Payslip_Lookup[#Headers])))</f>
        <v/>
      </c>
      <c r="J251" s="175" t="str">
        <f aca="false">IF(INDEX(Salary_Calculation[Source Row],ROW()-ROW(Payslip_Lookup[#Headers]))="","",INDEX(Salary_Calculation[Completed Orders],ROW()-ROW(Payslip_Lookup[#Headers])))</f>
        <v/>
      </c>
      <c r="K251" s="174" t="str">
        <f aca="false">IF(INDEX(Salary_Calculation[Source Row],ROW()-ROW(Payslip_Lookup[#Headers]))="","",INDEX(Salary_Calculation[Base Order Rate],ROW()-ROW(Payslip_Lookup[#Headers])))</f>
        <v/>
      </c>
      <c r="L251" s="176" t="str">
        <f aca="false">IF(INDEX(Salary_Calculation[Source Row],ROW()-ROW(Payslip_Lookup[#Headers]))="","",INDEX(Salary_Calculation[Basic Payment],ROW()-ROW(Payslip_Lookup[#Headers])))</f>
        <v/>
      </c>
      <c r="M251" s="176" t="str">
        <f aca="false">IF(INDEX(Salary_Calculation[Source Row],ROW()-ROW(Payslip_Lookup[#Headers]))="","",INDEX(Salary_Calculation[Earned Salary],ROW()-ROW(Payslip_Lookup[#Headers])))</f>
        <v/>
      </c>
      <c r="N251" s="174" t="str">
        <f aca="false">IF(INDEX(Salary_Calculation[Source Row],ROW()-ROW(Payslip_Lookup[#Headers]))="","",INDEX(Salary_Calculation[Orders Counted at Base Rate],ROW()-ROW(Payslip_Lookup[#Headers])))</f>
        <v/>
      </c>
      <c r="O251" s="174" t="str">
        <f aca="false">IF(INDEX(Salary_Calculation[Source Row],ROW()-ROW(Payslip_Lookup[#Headers]))="","",INDEX(Salary_Calculation[Missing Orders],ROW()-ROW(Payslip_Lookup[#Headers])))</f>
        <v/>
      </c>
      <c r="P251" s="176" t="str">
        <f aca="false">IF(INDEX(Salary_Calculation[Source Row],ROW()-ROW(Payslip_Lookup[#Headers]))="","",INDEX(Salary_Calculation[Missing-Order Deduction],ROW()-ROW(Payslip_Lookup[#Headers])))</f>
        <v/>
      </c>
      <c r="Q251" s="174" t="str">
        <f aca="false">IF(INDEX(Salary_Calculation[Source Row],ROW()-ROW(Payslip_Lookup[#Headers]))="","",INDEX(Salary_Calculation[Extra Orders],ROW()-ROW(Payslip_Lookup[#Headers])))</f>
        <v/>
      </c>
      <c r="R251" s="176" t="str">
        <f aca="false">IF(INDEX(Salary_Calculation[Source Row],ROW()-ROW(Payslip_Lookup[#Headers]))="","",INDEX(Salary_Calculation[Extra-Order Bonus],ROW()-ROW(Payslip_Lookup[#Headers])))</f>
        <v/>
      </c>
      <c r="S251" s="176" t="str">
        <f aca="false">IF(INDEX(Salary_Calculation[Source Row],ROW()-ROW(Payslip_Lookup[#Headers]))="","",INDEX(Salary_Calculation[Basic Salary for Target],ROW()-ROW(Payslip_Lookup[#Headers])))</f>
        <v/>
      </c>
      <c r="T251" s="176" t="str">
        <f aca="false">IF(INDEX(Salary_Calculation[Source Row],ROW()-ROW(Payslip_Lookup[#Headers]))="","",INDEX(Salary_Calculation[Gross Salary Before Deductions],ROW()-ROW(Payslip_Lookup[#Headers])))</f>
        <v/>
      </c>
      <c r="U251" s="176" t="str">
        <f aca="false">IF(INDEX(Salary_Calculation[Source Row],ROW()-ROW(Payslip_Lookup[#Headers]))="","",INDEX(Salary_Calculation[missed_days_penalty],ROW()-ROW(Payslip_Lookup[#Headers])))</f>
        <v/>
      </c>
      <c r="V251" s="176" t="str">
        <f aca="false">IF(INDEX(Salary_Calculation[Source Row],ROW()-ROW(Payslip_Lookup[#Headers]))="","",INDEX(Salary_Calculation[Rider Balance],ROW()-ROW(Payslip_Lookup[#Headers])))</f>
        <v/>
      </c>
      <c r="W251" s="176" t="str">
        <f aca="false">IF(INDEX(Salary_Calculation[Source Row],ROW()-ROW(Payslip_Lookup[#Headers]))="","",INDEX(Salary_Calculation[stacking_deduction],ROW()-ROW(Payslip_Lookup[#Headers])))</f>
        <v/>
      </c>
      <c r="X251" s="176" t="str">
        <f aca="false">IF(INDEX(Salary_Calculation[Source Row],ROW()-ROW(Payslip_Lookup[#Headers]))="","",INDEX(Salary_Calculation[Other Deductions],ROW()-ROW(Payslip_Lookup[#Headers])))</f>
        <v/>
      </c>
      <c r="Y251" s="176" t="str">
        <f aca="false">IF(INDEX(Salary_Calculation[Source Row],ROW()-ROW(Payslip_Lookup[#Headers]))="","",INDEX(Salary_Calculation[Total Deductions],ROW()-ROW(Payslip_Lookup[#Headers])))</f>
        <v/>
      </c>
      <c r="Z251" s="176" t="str">
        <f aca="false">IF(INDEX(Salary_Calculation[Source Row],ROW()-ROW(Payslip_Lookup[#Headers]))="","",INDEX(Salary_Calculation[Final Salary],ROW()-ROW(Payslip_Lookup[#Headers])))</f>
        <v/>
      </c>
      <c r="AA251" s="176" t="str">
        <f aca="false">IF(INDEX(Salary_Calculation[Source Row],ROW()-ROW(Payslip_Lookup[#Headers]))="","",INDEX(Salary_Calculation[Negative Balance / Amount Due from Rider],ROW()-ROW(Payslip_Lookup[#Headers])))</f>
        <v/>
      </c>
      <c r="AB251" s="176" t="str">
        <f aca="false">IF(INDEX(Salary_Calculation[Source Row],ROW()-ROW(Payslip_Lookup[#Headers]))="","",INDEX(Salary_Calculation[Total Amount Due from Rider],ROW()-ROW(Payslip_Lookup[#Headers])))</f>
        <v/>
      </c>
      <c r="AC251" s="176" t="str">
        <f aca="false">IF(INDEX(Salary_Calculation[Source Row],ROW()-ROW(Payslip_Lookup[#Headers]))="","",INDEX(Salary_Calculation[Salary Before Other Deductions],ROW()-ROW(Payslip_Lookup[#Headers])))</f>
        <v/>
      </c>
      <c r="AD251" s="171" t="str">
        <f aca="false">IF(INDEX(Salary_Calculation[Source Row],ROW()-ROW(Payslip_Lookup[#Headers]))="","",INDEX(Salary_Calculation[Payment Status],ROW()-ROW(Payslip_Lookup[#Headers])))</f>
        <v/>
      </c>
      <c r="AE251" s="171" t="str">
        <f aca="false">IF(INDEX(Salary_Calculation[Source Row],ROW()-ROW(Payslip_Lookup[#Headers]))="","",INDEX(Salary_Calculation[Notes],ROW()-ROW(Payslip_Lookup[#Headers])))</f>
        <v/>
      </c>
      <c r="AF251" s="171" t="str">
        <f aca="false">IF(INDEX(Salary_Calculation[Source Row],ROW()-ROW(Payslip_Lookup[#Headers]))="","",INDEX(Salary_Calculation[Exception Reason],ROW()-ROW(Payslip_Lookup[#Headers])))</f>
        <v/>
      </c>
      <c r="AG251" s="173" t="str">
        <f aca="false">IF($AD251="Review Required",COUNTIF(AD$2:AD251,"Review Required"),"")</f>
        <v/>
      </c>
      <c r="AH251" s="173" t="str">
        <f aca="false">IF(AND($D251&lt;&gt;"",$B251=Payslip_Print!$C$2),MAX(AH$1:AH250)+1,"")</f>
        <v/>
      </c>
      <c r="AL251" s="178" t="str">
        <f aca="false">IFERROR(INDEX($D$2:$D$501,MATCH(ROW()-1,$AH$2:$AH$501,0)),"")</f>
        <v/>
      </c>
      <c r="AM251" s="179" t="str">
        <f aca="false">IF($Z251="","",IF(AND($C251&gt;=Dash_Start,$C251&lt;Dash_End),$Z251+ROW()/10000000,""))</f>
        <v/>
      </c>
    </row>
    <row r="252" customFormat="false" ht="14.25" hidden="false" customHeight="false" outlineLevel="0" collapsed="false">
      <c r="A252" s="171" t="str">
        <f aca="false">IF(Payslip_Lookup[[#This Row],[Rider ID]]="","",Payslip_Lookup[[#This Row],[Rider ID]]&amp;"|"&amp;Payslip_Lookup[[#This Row],[Month Key]])</f>
        <v/>
      </c>
      <c r="B252" s="172" t="str">
        <f aca="false">IF(ISNUMBER(Payslip_Lookup[[#This Row],[Salary Month]]),DATE(YEAR(Payslip_Lookup[[#This Row],[Salary Month]]),MONTH(Payslip_Lookup[[#This Row],[Salary Month]]),1),"")</f>
        <v/>
      </c>
      <c r="C252" s="172" t="str">
        <f aca="false">IF(INDEX(Salary_Calculation[Source Row],ROW()-ROW(Payslip_Lookup[#Headers]))="","",INDEX(Salary_Calculation[Salary Month],ROW()-ROW(Payslip_Lookup[#Headers])))</f>
        <v/>
      </c>
      <c r="D252" s="173" t="str">
        <f aca="false">IF(INDEX(Salary_Calculation[Source Row],ROW()-ROW(Payslip_Lookup[#Headers]))="","",INDEX(Salary_Calculation[Rider ID],ROW()-ROW(Payslip_Lookup[#Headers])))</f>
        <v/>
      </c>
      <c r="E252" s="171" t="str">
        <f aca="false">IF(INDEX(Salary_Calculation[Source Row],ROW()-ROW(Payslip_Lookup[#Headers]))="","",INDEX(Salary_Calculation[Rider Name],ROW()-ROW(Payslip_Lookup[#Headers])))</f>
        <v/>
      </c>
      <c r="F252" s="173" t="str">
        <f aca="false">IF(INDEX(Salary_Calculation[Source Row],ROW()-ROW(Payslip_Lookup[#Headers]))="","",INDEX(Salary_Calculation[Working Days],ROW()-ROW(Payslip_Lookup[#Headers])))</f>
        <v/>
      </c>
      <c r="G252" s="173" t="str">
        <f aca="false">IF(INDEX(Salary_Calculation[Source Row],ROW()-ROW(Payslip_Lookup[#Headers]))="","",INDEX(Salary_Calculation[Calendar Days],ROW()-ROW(Payslip_Lookup[#Headers])))</f>
        <v/>
      </c>
      <c r="H252" s="174" t="str">
        <f aca="false">IF(INDEX(Salary_Calculation[Source Row],ROW()-ROW(Payslip_Lookup[#Headers]))="","",INDEX(Salary_Calculation[Monthly Target Orders],ROW()-ROW(Payslip_Lookup[#Headers])))</f>
        <v/>
      </c>
      <c r="I252" s="174" t="str">
        <f aca="false">IF(INDEX(Salary_Calculation[Source Row],ROW()-ROW(Payslip_Lookup[#Headers]))="","",INDEX(Salary_Calculation[Rider Target Orders],ROW()-ROW(Payslip_Lookup[#Headers])))</f>
        <v/>
      </c>
      <c r="J252" s="175" t="str">
        <f aca="false">IF(INDEX(Salary_Calculation[Source Row],ROW()-ROW(Payslip_Lookup[#Headers]))="","",INDEX(Salary_Calculation[Completed Orders],ROW()-ROW(Payslip_Lookup[#Headers])))</f>
        <v/>
      </c>
      <c r="K252" s="174" t="str">
        <f aca="false">IF(INDEX(Salary_Calculation[Source Row],ROW()-ROW(Payslip_Lookup[#Headers]))="","",INDEX(Salary_Calculation[Base Order Rate],ROW()-ROW(Payslip_Lookup[#Headers])))</f>
        <v/>
      </c>
      <c r="L252" s="176" t="str">
        <f aca="false">IF(INDEX(Salary_Calculation[Source Row],ROW()-ROW(Payslip_Lookup[#Headers]))="","",INDEX(Salary_Calculation[Basic Payment],ROW()-ROW(Payslip_Lookup[#Headers])))</f>
        <v/>
      </c>
      <c r="M252" s="176" t="str">
        <f aca="false">IF(INDEX(Salary_Calculation[Source Row],ROW()-ROW(Payslip_Lookup[#Headers]))="","",INDEX(Salary_Calculation[Earned Salary],ROW()-ROW(Payslip_Lookup[#Headers])))</f>
        <v/>
      </c>
      <c r="N252" s="174" t="str">
        <f aca="false">IF(INDEX(Salary_Calculation[Source Row],ROW()-ROW(Payslip_Lookup[#Headers]))="","",INDEX(Salary_Calculation[Orders Counted at Base Rate],ROW()-ROW(Payslip_Lookup[#Headers])))</f>
        <v/>
      </c>
      <c r="O252" s="174" t="str">
        <f aca="false">IF(INDEX(Salary_Calculation[Source Row],ROW()-ROW(Payslip_Lookup[#Headers]))="","",INDEX(Salary_Calculation[Missing Orders],ROW()-ROW(Payslip_Lookup[#Headers])))</f>
        <v/>
      </c>
      <c r="P252" s="176" t="str">
        <f aca="false">IF(INDEX(Salary_Calculation[Source Row],ROW()-ROW(Payslip_Lookup[#Headers]))="","",INDEX(Salary_Calculation[Missing-Order Deduction],ROW()-ROW(Payslip_Lookup[#Headers])))</f>
        <v/>
      </c>
      <c r="Q252" s="174" t="str">
        <f aca="false">IF(INDEX(Salary_Calculation[Source Row],ROW()-ROW(Payslip_Lookup[#Headers]))="","",INDEX(Salary_Calculation[Extra Orders],ROW()-ROW(Payslip_Lookup[#Headers])))</f>
        <v/>
      </c>
      <c r="R252" s="176" t="str">
        <f aca="false">IF(INDEX(Salary_Calculation[Source Row],ROW()-ROW(Payslip_Lookup[#Headers]))="","",INDEX(Salary_Calculation[Extra-Order Bonus],ROW()-ROW(Payslip_Lookup[#Headers])))</f>
        <v/>
      </c>
      <c r="S252" s="176" t="str">
        <f aca="false">IF(INDEX(Salary_Calculation[Source Row],ROW()-ROW(Payslip_Lookup[#Headers]))="","",INDEX(Salary_Calculation[Basic Salary for Target],ROW()-ROW(Payslip_Lookup[#Headers])))</f>
        <v/>
      </c>
      <c r="T252" s="176" t="str">
        <f aca="false">IF(INDEX(Salary_Calculation[Source Row],ROW()-ROW(Payslip_Lookup[#Headers]))="","",INDEX(Salary_Calculation[Gross Salary Before Deductions],ROW()-ROW(Payslip_Lookup[#Headers])))</f>
        <v/>
      </c>
      <c r="U252" s="176" t="str">
        <f aca="false">IF(INDEX(Salary_Calculation[Source Row],ROW()-ROW(Payslip_Lookup[#Headers]))="","",INDEX(Salary_Calculation[missed_days_penalty],ROW()-ROW(Payslip_Lookup[#Headers])))</f>
        <v/>
      </c>
      <c r="V252" s="176" t="str">
        <f aca="false">IF(INDEX(Salary_Calculation[Source Row],ROW()-ROW(Payslip_Lookup[#Headers]))="","",INDEX(Salary_Calculation[Rider Balance],ROW()-ROW(Payslip_Lookup[#Headers])))</f>
        <v/>
      </c>
      <c r="W252" s="176" t="str">
        <f aca="false">IF(INDEX(Salary_Calculation[Source Row],ROW()-ROW(Payslip_Lookup[#Headers]))="","",INDEX(Salary_Calculation[stacking_deduction],ROW()-ROW(Payslip_Lookup[#Headers])))</f>
        <v/>
      </c>
      <c r="X252" s="176" t="str">
        <f aca="false">IF(INDEX(Salary_Calculation[Source Row],ROW()-ROW(Payslip_Lookup[#Headers]))="","",INDEX(Salary_Calculation[Other Deductions],ROW()-ROW(Payslip_Lookup[#Headers])))</f>
        <v/>
      </c>
      <c r="Y252" s="176" t="str">
        <f aca="false">IF(INDEX(Salary_Calculation[Source Row],ROW()-ROW(Payslip_Lookup[#Headers]))="","",INDEX(Salary_Calculation[Total Deductions],ROW()-ROW(Payslip_Lookup[#Headers])))</f>
        <v/>
      </c>
      <c r="Z252" s="176" t="str">
        <f aca="false">IF(INDEX(Salary_Calculation[Source Row],ROW()-ROW(Payslip_Lookup[#Headers]))="","",INDEX(Salary_Calculation[Final Salary],ROW()-ROW(Payslip_Lookup[#Headers])))</f>
        <v/>
      </c>
      <c r="AA252" s="176" t="str">
        <f aca="false">IF(INDEX(Salary_Calculation[Source Row],ROW()-ROW(Payslip_Lookup[#Headers]))="","",INDEX(Salary_Calculation[Negative Balance / Amount Due from Rider],ROW()-ROW(Payslip_Lookup[#Headers])))</f>
        <v/>
      </c>
      <c r="AB252" s="176" t="str">
        <f aca="false">IF(INDEX(Salary_Calculation[Source Row],ROW()-ROW(Payslip_Lookup[#Headers]))="","",INDEX(Salary_Calculation[Total Amount Due from Rider],ROW()-ROW(Payslip_Lookup[#Headers])))</f>
        <v/>
      </c>
      <c r="AC252" s="176" t="str">
        <f aca="false">IF(INDEX(Salary_Calculation[Source Row],ROW()-ROW(Payslip_Lookup[#Headers]))="","",INDEX(Salary_Calculation[Salary Before Other Deductions],ROW()-ROW(Payslip_Lookup[#Headers])))</f>
        <v/>
      </c>
      <c r="AD252" s="171" t="str">
        <f aca="false">IF(INDEX(Salary_Calculation[Source Row],ROW()-ROW(Payslip_Lookup[#Headers]))="","",INDEX(Salary_Calculation[Payment Status],ROW()-ROW(Payslip_Lookup[#Headers])))</f>
        <v/>
      </c>
      <c r="AE252" s="171" t="str">
        <f aca="false">IF(INDEX(Salary_Calculation[Source Row],ROW()-ROW(Payslip_Lookup[#Headers]))="","",INDEX(Salary_Calculation[Notes],ROW()-ROW(Payslip_Lookup[#Headers])))</f>
        <v/>
      </c>
      <c r="AF252" s="171" t="str">
        <f aca="false">IF(INDEX(Salary_Calculation[Source Row],ROW()-ROW(Payslip_Lookup[#Headers]))="","",INDEX(Salary_Calculation[Exception Reason],ROW()-ROW(Payslip_Lookup[#Headers])))</f>
        <v/>
      </c>
      <c r="AG252" s="173" t="str">
        <f aca="false">IF($AD252="Review Required",COUNTIF(AD$2:AD252,"Review Required"),"")</f>
        <v/>
      </c>
      <c r="AH252" s="173" t="str">
        <f aca="false">IF(AND($D252&lt;&gt;"",$B252=Payslip_Print!$C$2),MAX(AH$1:AH251)+1,"")</f>
        <v/>
      </c>
      <c r="AL252" s="178" t="str">
        <f aca="false">IFERROR(INDEX($D$2:$D$501,MATCH(ROW()-1,$AH$2:$AH$501,0)),"")</f>
        <v/>
      </c>
      <c r="AM252" s="179" t="str">
        <f aca="false">IF($Z252="","",IF(AND($C252&gt;=Dash_Start,$C252&lt;Dash_End),$Z252+ROW()/10000000,""))</f>
        <v/>
      </c>
    </row>
    <row r="253" customFormat="false" ht="14.25" hidden="false" customHeight="false" outlineLevel="0" collapsed="false">
      <c r="A253" s="171" t="str">
        <f aca="false">IF(Payslip_Lookup[[#This Row],[Rider ID]]="","",Payslip_Lookup[[#This Row],[Rider ID]]&amp;"|"&amp;Payslip_Lookup[[#This Row],[Month Key]])</f>
        <v/>
      </c>
      <c r="B253" s="172" t="str">
        <f aca="false">IF(ISNUMBER(Payslip_Lookup[[#This Row],[Salary Month]]),DATE(YEAR(Payslip_Lookup[[#This Row],[Salary Month]]),MONTH(Payslip_Lookup[[#This Row],[Salary Month]]),1),"")</f>
        <v/>
      </c>
      <c r="C253" s="172" t="str">
        <f aca="false">IF(INDEX(Salary_Calculation[Source Row],ROW()-ROW(Payslip_Lookup[#Headers]))="","",INDEX(Salary_Calculation[Salary Month],ROW()-ROW(Payslip_Lookup[#Headers])))</f>
        <v/>
      </c>
      <c r="D253" s="173" t="str">
        <f aca="false">IF(INDEX(Salary_Calculation[Source Row],ROW()-ROW(Payslip_Lookup[#Headers]))="","",INDEX(Salary_Calculation[Rider ID],ROW()-ROW(Payslip_Lookup[#Headers])))</f>
        <v/>
      </c>
      <c r="E253" s="171" t="str">
        <f aca="false">IF(INDEX(Salary_Calculation[Source Row],ROW()-ROW(Payslip_Lookup[#Headers]))="","",INDEX(Salary_Calculation[Rider Name],ROW()-ROW(Payslip_Lookup[#Headers])))</f>
        <v/>
      </c>
      <c r="F253" s="173" t="str">
        <f aca="false">IF(INDEX(Salary_Calculation[Source Row],ROW()-ROW(Payslip_Lookup[#Headers]))="","",INDEX(Salary_Calculation[Working Days],ROW()-ROW(Payslip_Lookup[#Headers])))</f>
        <v/>
      </c>
      <c r="G253" s="173" t="str">
        <f aca="false">IF(INDEX(Salary_Calculation[Source Row],ROW()-ROW(Payslip_Lookup[#Headers]))="","",INDEX(Salary_Calculation[Calendar Days],ROW()-ROW(Payslip_Lookup[#Headers])))</f>
        <v/>
      </c>
      <c r="H253" s="174" t="str">
        <f aca="false">IF(INDEX(Salary_Calculation[Source Row],ROW()-ROW(Payslip_Lookup[#Headers]))="","",INDEX(Salary_Calculation[Monthly Target Orders],ROW()-ROW(Payslip_Lookup[#Headers])))</f>
        <v/>
      </c>
      <c r="I253" s="174" t="str">
        <f aca="false">IF(INDEX(Salary_Calculation[Source Row],ROW()-ROW(Payslip_Lookup[#Headers]))="","",INDEX(Salary_Calculation[Rider Target Orders],ROW()-ROW(Payslip_Lookup[#Headers])))</f>
        <v/>
      </c>
      <c r="J253" s="175" t="str">
        <f aca="false">IF(INDEX(Salary_Calculation[Source Row],ROW()-ROW(Payslip_Lookup[#Headers]))="","",INDEX(Salary_Calculation[Completed Orders],ROW()-ROW(Payslip_Lookup[#Headers])))</f>
        <v/>
      </c>
      <c r="K253" s="174" t="str">
        <f aca="false">IF(INDEX(Salary_Calculation[Source Row],ROW()-ROW(Payslip_Lookup[#Headers]))="","",INDEX(Salary_Calculation[Base Order Rate],ROW()-ROW(Payslip_Lookup[#Headers])))</f>
        <v/>
      </c>
      <c r="L253" s="176" t="str">
        <f aca="false">IF(INDEX(Salary_Calculation[Source Row],ROW()-ROW(Payslip_Lookup[#Headers]))="","",INDEX(Salary_Calculation[Basic Payment],ROW()-ROW(Payslip_Lookup[#Headers])))</f>
        <v/>
      </c>
      <c r="M253" s="176" t="str">
        <f aca="false">IF(INDEX(Salary_Calculation[Source Row],ROW()-ROW(Payslip_Lookup[#Headers]))="","",INDEX(Salary_Calculation[Earned Salary],ROW()-ROW(Payslip_Lookup[#Headers])))</f>
        <v/>
      </c>
      <c r="N253" s="174" t="str">
        <f aca="false">IF(INDEX(Salary_Calculation[Source Row],ROW()-ROW(Payslip_Lookup[#Headers]))="","",INDEX(Salary_Calculation[Orders Counted at Base Rate],ROW()-ROW(Payslip_Lookup[#Headers])))</f>
        <v/>
      </c>
      <c r="O253" s="174" t="str">
        <f aca="false">IF(INDEX(Salary_Calculation[Source Row],ROW()-ROW(Payslip_Lookup[#Headers]))="","",INDEX(Salary_Calculation[Missing Orders],ROW()-ROW(Payslip_Lookup[#Headers])))</f>
        <v/>
      </c>
      <c r="P253" s="176" t="str">
        <f aca="false">IF(INDEX(Salary_Calculation[Source Row],ROW()-ROW(Payslip_Lookup[#Headers]))="","",INDEX(Salary_Calculation[Missing-Order Deduction],ROW()-ROW(Payslip_Lookup[#Headers])))</f>
        <v/>
      </c>
      <c r="Q253" s="174" t="str">
        <f aca="false">IF(INDEX(Salary_Calculation[Source Row],ROW()-ROW(Payslip_Lookup[#Headers]))="","",INDEX(Salary_Calculation[Extra Orders],ROW()-ROW(Payslip_Lookup[#Headers])))</f>
        <v/>
      </c>
      <c r="R253" s="176" t="str">
        <f aca="false">IF(INDEX(Salary_Calculation[Source Row],ROW()-ROW(Payslip_Lookup[#Headers]))="","",INDEX(Salary_Calculation[Extra-Order Bonus],ROW()-ROW(Payslip_Lookup[#Headers])))</f>
        <v/>
      </c>
      <c r="S253" s="176" t="str">
        <f aca="false">IF(INDEX(Salary_Calculation[Source Row],ROW()-ROW(Payslip_Lookup[#Headers]))="","",INDEX(Salary_Calculation[Basic Salary for Target],ROW()-ROW(Payslip_Lookup[#Headers])))</f>
        <v/>
      </c>
      <c r="T253" s="176" t="str">
        <f aca="false">IF(INDEX(Salary_Calculation[Source Row],ROW()-ROW(Payslip_Lookup[#Headers]))="","",INDEX(Salary_Calculation[Gross Salary Before Deductions],ROW()-ROW(Payslip_Lookup[#Headers])))</f>
        <v/>
      </c>
      <c r="U253" s="176" t="str">
        <f aca="false">IF(INDEX(Salary_Calculation[Source Row],ROW()-ROW(Payslip_Lookup[#Headers]))="","",INDEX(Salary_Calculation[missed_days_penalty],ROW()-ROW(Payslip_Lookup[#Headers])))</f>
        <v/>
      </c>
      <c r="V253" s="176" t="str">
        <f aca="false">IF(INDEX(Salary_Calculation[Source Row],ROW()-ROW(Payslip_Lookup[#Headers]))="","",INDEX(Salary_Calculation[Rider Balance],ROW()-ROW(Payslip_Lookup[#Headers])))</f>
        <v/>
      </c>
      <c r="W253" s="176" t="str">
        <f aca="false">IF(INDEX(Salary_Calculation[Source Row],ROW()-ROW(Payslip_Lookup[#Headers]))="","",INDEX(Salary_Calculation[stacking_deduction],ROW()-ROW(Payslip_Lookup[#Headers])))</f>
        <v/>
      </c>
      <c r="X253" s="176" t="str">
        <f aca="false">IF(INDEX(Salary_Calculation[Source Row],ROW()-ROW(Payslip_Lookup[#Headers]))="","",INDEX(Salary_Calculation[Other Deductions],ROW()-ROW(Payslip_Lookup[#Headers])))</f>
        <v/>
      </c>
      <c r="Y253" s="176" t="str">
        <f aca="false">IF(INDEX(Salary_Calculation[Source Row],ROW()-ROW(Payslip_Lookup[#Headers]))="","",INDEX(Salary_Calculation[Total Deductions],ROW()-ROW(Payslip_Lookup[#Headers])))</f>
        <v/>
      </c>
      <c r="Z253" s="176" t="str">
        <f aca="false">IF(INDEX(Salary_Calculation[Source Row],ROW()-ROW(Payslip_Lookup[#Headers]))="","",INDEX(Salary_Calculation[Final Salary],ROW()-ROW(Payslip_Lookup[#Headers])))</f>
        <v/>
      </c>
      <c r="AA253" s="176" t="str">
        <f aca="false">IF(INDEX(Salary_Calculation[Source Row],ROW()-ROW(Payslip_Lookup[#Headers]))="","",INDEX(Salary_Calculation[Negative Balance / Amount Due from Rider],ROW()-ROW(Payslip_Lookup[#Headers])))</f>
        <v/>
      </c>
      <c r="AB253" s="176" t="str">
        <f aca="false">IF(INDEX(Salary_Calculation[Source Row],ROW()-ROW(Payslip_Lookup[#Headers]))="","",INDEX(Salary_Calculation[Total Amount Due from Rider],ROW()-ROW(Payslip_Lookup[#Headers])))</f>
        <v/>
      </c>
      <c r="AC253" s="176" t="str">
        <f aca="false">IF(INDEX(Salary_Calculation[Source Row],ROW()-ROW(Payslip_Lookup[#Headers]))="","",INDEX(Salary_Calculation[Salary Before Other Deductions],ROW()-ROW(Payslip_Lookup[#Headers])))</f>
        <v/>
      </c>
      <c r="AD253" s="171" t="str">
        <f aca="false">IF(INDEX(Salary_Calculation[Source Row],ROW()-ROW(Payslip_Lookup[#Headers]))="","",INDEX(Salary_Calculation[Payment Status],ROW()-ROW(Payslip_Lookup[#Headers])))</f>
        <v/>
      </c>
      <c r="AE253" s="171" t="str">
        <f aca="false">IF(INDEX(Salary_Calculation[Source Row],ROW()-ROW(Payslip_Lookup[#Headers]))="","",INDEX(Salary_Calculation[Notes],ROW()-ROW(Payslip_Lookup[#Headers])))</f>
        <v/>
      </c>
      <c r="AF253" s="171" t="str">
        <f aca="false">IF(INDEX(Salary_Calculation[Source Row],ROW()-ROW(Payslip_Lookup[#Headers]))="","",INDEX(Salary_Calculation[Exception Reason],ROW()-ROW(Payslip_Lookup[#Headers])))</f>
        <v/>
      </c>
      <c r="AG253" s="173" t="str">
        <f aca="false">IF($AD253="Review Required",COUNTIF(AD$2:AD253,"Review Required"),"")</f>
        <v/>
      </c>
      <c r="AH253" s="173" t="str">
        <f aca="false">IF(AND($D253&lt;&gt;"",$B253=Payslip_Print!$C$2),MAX(AH$1:AH252)+1,"")</f>
        <v/>
      </c>
      <c r="AL253" s="178" t="str">
        <f aca="false">IFERROR(INDEX($D$2:$D$501,MATCH(ROW()-1,$AH$2:$AH$501,0)),"")</f>
        <v/>
      </c>
      <c r="AM253" s="179" t="str">
        <f aca="false">IF($Z253="","",IF(AND($C253&gt;=Dash_Start,$C253&lt;Dash_End),$Z253+ROW()/10000000,""))</f>
        <v/>
      </c>
    </row>
    <row r="254" customFormat="false" ht="14.25" hidden="false" customHeight="false" outlineLevel="0" collapsed="false">
      <c r="A254" s="171" t="str">
        <f aca="false">IF(Payslip_Lookup[[#This Row],[Rider ID]]="","",Payslip_Lookup[[#This Row],[Rider ID]]&amp;"|"&amp;Payslip_Lookup[[#This Row],[Month Key]])</f>
        <v/>
      </c>
      <c r="B254" s="172" t="str">
        <f aca="false">IF(ISNUMBER(Payslip_Lookup[[#This Row],[Salary Month]]),DATE(YEAR(Payslip_Lookup[[#This Row],[Salary Month]]),MONTH(Payslip_Lookup[[#This Row],[Salary Month]]),1),"")</f>
        <v/>
      </c>
      <c r="C254" s="172" t="str">
        <f aca="false">IF(INDEX(Salary_Calculation[Source Row],ROW()-ROW(Payslip_Lookup[#Headers]))="","",INDEX(Salary_Calculation[Salary Month],ROW()-ROW(Payslip_Lookup[#Headers])))</f>
        <v/>
      </c>
      <c r="D254" s="173" t="str">
        <f aca="false">IF(INDEX(Salary_Calculation[Source Row],ROW()-ROW(Payslip_Lookup[#Headers]))="","",INDEX(Salary_Calculation[Rider ID],ROW()-ROW(Payslip_Lookup[#Headers])))</f>
        <v/>
      </c>
      <c r="E254" s="171" t="str">
        <f aca="false">IF(INDEX(Salary_Calculation[Source Row],ROW()-ROW(Payslip_Lookup[#Headers]))="","",INDEX(Salary_Calculation[Rider Name],ROW()-ROW(Payslip_Lookup[#Headers])))</f>
        <v/>
      </c>
      <c r="F254" s="173" t="str">
        <f aca="false">IF(INDEX(Salary_Calculation[Source Row],ROW()-ROW(Payslip_Lookup[#Headers]))="","",INDEX(Salary_Calculation[Working Days],ROW()-ROW(Payslip_Lookup[#Headers])))</f>
        <v/>
      </c>
      <c r="G254" s="173" t="str">
        <f aca="false">IF(INDEX(Salary_Calculation[Source Row],ROW()-ROW(Payslip_Lookup[#Headers]))="","",INDEX(Salary_Calculation[Calendar Days],ROW()-ROW(Payslip_Lookup[#Headers])))</f>
        <v/>
      </c>
      <c r="H254" s="174" t="str">
        <f aca="false">IF(INDEX(Salary_Calculation[Source Row],ROW()-ROW(Payslip_Lookup[#Headers]))="","",INDEX(Salary_Calculation[Monthly Target Orders],ROW()-ROW(Payslip_Lookup[#Headers])))</f>
        <v/>
      </c>
      <c r="I254" s="174" t="str">
        <f aca="false">IF(INDEX(Salary_Calculation[Source Row],ROW()-ROW(Payslip_Lookup[#Headers]))="","",INDEX(Salary_Calculation[Rider Target Orders],ROW()-ROW(Payslip_Lookup[#Headers])))</f>
        <v/>
      </c>
      <c r="J254" s="175" t="str">
        <f aca="false">IF(INDEX(Salary_Calculation[Source Row],ROW()-ROW(Payslip_Lookup[#Headers]))="","",INDEX(Salary_Calculation[Completed Orders],ROW()-ROW(Payslip_Lookup[#Headers])))</f>
        <v/>
      </c>
      <c r="K254" s="174" t="str">
        <f aca="false">IF(INDEX(Salary_Calculation[Source Row],ROW()-ROW(Payslip_Lookup[#Headers]))="","",INDEX(Salary_Calculation[Base Order Rate],ROW()-ROW(Payslip_Lookup[#Headers])))</f>
        <v/>
      </c>
      <c r="L254" s="176" t="str">
        <f aca="false">IF(INDEX(Salary_Calculation[Source Row],ROW()-ROW(Payslip_Lookup[#Headers]))="","",INDEX(Salary_Calculation[Basic Payment],ROW()-ROW(Payslip_Lookup[#Headers])))</f>
        <v/>
      </c>
      <c r="M254" s="176" t="str">
        <f aca="false">IF(INDEX(Salary_Calculation[Source Row],ROW()-ROW(Payslip_Lookup[#Headers]))="","",INDEX(Salary_Calculation[Earned Salary],ROW()-ROW(Payslip_Lookup[#Headers])))</f>
        <v/>
      </c>
      <c r="N254" s="174" t="str">
        <f aca="false">IF(INDEX(Salary_Calculation[Source Row],ROW()-ROW(Payslip_Lookup[#Headers]))="","",INDEX(Salary_Calculation[Orders Counted at Base Rate],ROW()-ROW(Payslip_Lookup[#Headers])))</f>
        <v/>
      </c>
      <c r="O254" s="174" t="str">
        <f aca="false">IF(INDEX(Salary_Calculation[Source Row],ROW()-ROW(Payslip_Lookup[#Headers]))="","",INDEX(Salary_Calculation[Missing Orders],ROW()-ROW(Payslip_Lookup[#Headers])))</f>
        <v/>
      </c>
      <c r="P254" s="176" t="str">
        <f aca="false">IF(INDEX(Salary_Calculation[Source Row],ROW()-ROW(Payslip_Lookup[#Headers]))="","",INDEX(Salary_Calculation[Missing-Order Deduction],ROW()-ROW(Payslip_Lookup[#Headers])))</f>
        <v/>
      </c>
      <c r="Q254" s="174" t="str">
        <f aca="false">IF(INDEX(Salary_Calculation[Source Row],ROW()-ROW(Payslip_Lookup[#Headers]))="","",INDEX(Salary_Calculation[Extra Orders],ROW()-ROW(Payslip_Lookup[#Headers])))</f>
        <v/>
      </c>
      <c r="R254" s="176" t="str">
        <f aca="false">IF(INDEX(Salary_Calculation[Source Row],ROW()-ROW(Payslip_Lookup[#Headers]))="","",INDEX(Salary_Calculation[Extra-Order Bonus],ROW()-ROW(Payslip_Lookup[#Headers])))</f>
        <v/>
      </c>
      <c r="S254" s="176" t="str">
        <f aca="false">IF(INDEX(Salary_Calculation[Source Row],ROW()-ROW(Payslip_Lookup[#Headers]))="","",INDEX(Salary_Calculation[Basic Salary for Target],ROW()-ROW(Payslip_Lookup[#Headers])))</f>
        <v/>
      </c>
      <c r="T254" s="176" t="str">
        <f aca="false">IF(INDEX(Salary_Calculation[Source Row],ROW()-ROW(Payslip_Lookup[#Headers]))="","",INDEX(Salary_Calculation[Gross Salary Before Deductions],ROW()-ROW(Payslip_Lookup[#Headers])))</f>
        <v/>
      </c>
      <c r="U254" s="176" t="str">
        <f aca="false">IF(INDEX(Salary_Calculation[Source Row],ROW()-ROW(Payslip_Lookup[#Headers]))="","",INDEX(Salary_Calculation[missed_days_penalty],ROW()-ROW(Payslip_Lookup[#Headers])))</f>
        <v/>
      </c>
      <c r="V254" s="176" t="str">
        <f aca="false">IF(INDEX(Salary_Calculation[Source Row],ROW()-ROW(Payslip_Lookup[#Headers]))="","",INDEX(Salary_Calculation[Rider Balance],ROW()-ROW(Payslip_Lookup[#Headers])))</f>
        <v/>
      </c>
      <c r="W254" s="176" t="str">
        <f aca="false">IF(INDEX(Salary_Calculation[Source Row],ROW()-ROW(Payslip_Lookup[#Headers]))="","",INDEX(Salary_Calculation[stacking_deduction],ROW()-ROW(Payslip_Lookup[#Headers])))</f>
        <v/>
      </c>
      <c r="X254" s="176" t="str">
        <f aca="false">IF(INDEX(Salary_Calculation[Source Row],ROW()-ROW(Payslip_Lookup[#Headers]))="","",INDEX(Salary_Calculation[Other Deductions],ROW()-ROW(Payslip_Lookup[#Headers])))</f>
        <v/>
      </c>
      <c r="Y254" s="176" t="str">
        <f aca="false">IF(INDEX(Salary_Calculation[Source Row],ROW()-ROW(Payslip_Lookup[#Headers]))="","",INDEX(Salary_Calculation[Total Deductions],ROW()-ROW(Payslip_Lookup[#Headers])))</f>
        <v/>
      </c>
      <c r="Z254" s="176" t="str">
        <f aca="false">IF(INDEX(Salary_Calculation[Source Row],ROW()-ROW(Payslip_Lookup[#Headers]))="","",INDEX(Salary_Calculation[Final Salary],ROW()-ROW(Payslip_Lookup[#Headers])))</f>
        <v/>
      </c>
      <c r="AA254" s="176" t="str">
        <f aca="false">IF(INDEX(Salary_Calculation[Source Row],ROW()-ROW(Payslip_Lookup[#Headers]))="","",INDEX(Salary_Calculation[Negative Balance / Amount Due from Rider],ROW()-ROW(Payslip_Lookup[#Headers])))</f>
        <v/>
      </c>
      <c r="AB254" s="176" t="str">
        <f aca="false">IF(INDEX(Salary_Calculation[Source Row],ROW()-ROW(Payslip_Lookup[#Headers]))="","",INDEX(Salary_Calculation[Total Amount Due from Rider],ROW()-ROW(Payslip_Lookup[#Headers])))</f>
        <v/>
      </c>
      <c r="AC254" s="176" t="str">
        <f aca="false">IF(INDEX(Salary_Calculation[Source Row],ROW()-ROW(Payslip_Lookup[#Headers]))="","",INDEX(Salary_Calculation[Salary Before Other Deductions],ROW()-ROW(Payslip_Lookup[#Headers])))</f>
        <v/>
      </c>
      <c r="AD254" s="171" t="str">
        <f aca="false">IF(INDEX(Salary_Calculation[Source Row],ROW()-ROW(Payslip_Lookup[#Headers]))="","",INDEX(Salary_Calculation[Payment Status],ROW()-ROW(Payslip_Lookup[#Headers])))</f>
        <v/>
      </c>
      <c r="AE254" s="171" t="str">
        <f aca="false">IF(INDEX(Salary_Calculation[Source Row],ROW()-ROW(Payslip_Lookup[#Headers]))="","",INDEX(Salary_Calculation[Notes],ROW()-ROW(Payslip_Lookup[#Headers])))</f>
        <v/>
      </c>
      <c r="AF254" s="171" t="str">
        <f aca="false">IF(INDEX(Salary_Calculation[Source Row],ROW()-ROW(Payslip_Lookup[#Headers]))="","",INDEX(Salary_Calculation[Exception Reason],ROW()-ROW(Payslip_Lookup[#Headers])))</f>
        <v/>
      </c>
      <c r="AG254" s="173" t="str">
        <f aca="false">IF($AD254="Review Required",COUNTIF(AD$2:AD254,"Review Required"),"")</f>
        <v/>
      </c>
      <c r="AH254" s="173" t="str">
        <f aca="false">IF(AND($D254&lt;&gt;"",$B254=Payslip_Print!$C$2),MAX(AH$1:AH253)+1,"")</f>
        <v/>
      </c>
      <c r="AL254" s="178" t="str">
        <f aca="false">IFERROR(INDEX($D$2:$D$501,MATCH(ROW()-1,$AH$2:$AH$501,0)),"")</f>
        <v/>
      </c>
      <c r="AM254" s="179" t="str">
        <f aca="false">IF($Z254="","",IF(AND($C254&gt;=Dash_Start,$C254&lt;Dash_End),$Z254+ROW()/10000000,""))</f>
        <v/>
      </c>
    </row>
    <row r="255" customFormat="false" ht="14.25" hidden="false" customHeight="false" outlineLevel="0" collapsed="false">
      <c r="A255" s="171" t="str">
        <f aca="false">IF(Payslip_Lookup[[#This Row],[Rider ID]]="","",Payslip_Lookup[[#This Row],[Rider ID]]&amp;"|"&amp;Payslip_Lookup[[#This Row],[Month Key]])</f>
        <v/>
      </c>
      <c r="B255" s="172" t="str">
        <f aca="false">IF(ISNUMBER(Payslip_Lookup[[#This Row],[Salary Month]]),DATE(YEAR(Payslip_Lookup[[#This Row],[Salary Month]]),MONTH(Payslip_Lookup[[#This Row],[Salary Month]]),1),"")</f>
        <v/>
      </c>
      <c r="C255" s="172" t="str">
        <f aca="false">IF(INDEX(Salary_Calculation[Source Row],ROW()-ROW(Payslip_Lookup[#Headers]))="","",INDEX(Salary_Calculation[Salary Month],ROW()-ROW(Payslip_Lookup[#Headers])))</f>
        <v/>
      </c>
      <c r="D255" s="173" t="str">
        <f aca="false">IF(INDEX(Salary_Calculation[Source Row],ROW()-ROW(Payslip_Lookup[#Headers]))="","",INDEX(Salary_Calculation[Rider ID],ROW()-ROW(Payslip_Lookup[#Headers])))</f>
        <v/>
      </c>
      <c r="E255" s="171" t="str">
        <f aca="false">IF(INDEX(Salary_Calculation[Source Row],ROW()-ROW(Payslip_Lookup[#Headers]))="","",INDEX(Salary_Calculation[Rider Name],ROW()-ROW(Payslip_Lookup[#Headers])))</f>
        <v/>
      </c>
      <c r="F255" s="173" t="str">
        <f aca="false">IF(INDEX(Salary_Calculation[Source Row],ROW()-ROW(Payslip_Lookup[#Headers]))="","",INDEX(Salary_Calculation[Working Days],ROW()-ROW(Payslip_Lookup[#Headers])))</f>
        <v/>
      </c>
      <c r="G255" s="173" t="str">
        <f aca="false">IF(INDEX(Salary_Calculation[Source Row],ROW()-ROW(Payslip_Lookup[#Headers]))="","",INDEX(Salary_Calculation[Calendar Days],ROW()-ROW(Payslip_Lookup[#Headers])))</f>
        <v/>
      </c>
      <c r="H255" s="174" t="str">
        <f aca="false">IF(INDEX(Salary_Calculation[Source Row],ROW()-ROW(Payslip_Lookup[#Headers]))="","",INDEX(Salary_Calculation[Monthly Target Orders],ROW()-ROW(Payslip_Lookup[#Headers])))</f>
        <v/>
      </c>
      <c r="I255" s="174" t="str">
        <f aca="false">IF(INDEX(Salary_Calculation[Source Row],ROW()-ROW(Payslip_Lookup[#Headers]))="","",INDEX(Salary_Calculation[Rider Target Orders],ROW()-ROW(Payslip_Lookup[#Headers])))</f>
        <v/>
      </c>
      <c r="J255" s="175" t="str">
        <f aca="false">IF(INDEX(Salary_Calculation[Source Row],ROW()-ROW(Payslip_Lookup[#Headers]))="","",INDEX(Salary_Calculation[Completed Orders],ROW()-ROW(Payslip_Lookup[#Headers])))</f>
        <v/>
      </c>
      <c r="K255" s="174" t="str">
        <f aca="false">IF(INDEX(Salary_Calculation[Source Row],ROW()-ROW(Payslip_Lookup[#Headers]))="","",INDEX(Salary_Calculation[Base Order Rate],ROW()-ROW(Payslip_Lookup[#Headers])))</f>
        <v/>
      </c>
      <c r="L255" s="176" t="str">
        <f aca="false">IF(INDEX(Salary_Calculation[Source Row],ROW()-ROW(Payslip_Lookup[#Headers]))="","",INDEX(Salary_Calculation[Basic Payment],ROW()-ROW(Payslip_Lookup[#Headers])))</f>
        <v/>
      </c>
      <c r="M255" s="176" t="str">
        <f aca="false">IF(INDEX(Salary_Calculation[Source Row],ROW()-ROW(Payslip_Lookup[#Headers]))="","",INDEX(Salary_Calculation[Earned Salary],ROW()-ROW(Payslip_Lookup[#Headers])))</f>
        <v/>
      </c>
      <c r="N255" s="174" t="str">
        <f aca="false">IF(INDEX(Salary_Calculation[Source Row],ROW()-ROW(Payslip_Lookup[#Headers]))="","",INDEX(Salary_Calculation[Orders Counted at Base Rate],ROW()-ROW(Payslip_Lookup[#Headers])))</f>
        <v/>
      </c>
      <c r="O255" s="174" t="str">
        <f aca="false">IF(INDEX(Salary_Calculation[Source Row],ROW()-ROW(Payslip_Lookup[#Headers]))="","",INDEX(Salary_Calculation[Missing Orders],ROW()-ROW(Payslip_Lookup[#Headers])))</f>
        <v/>
      </c>
      <c r="P255" s="176" t="str">
        <f aca="false">IF(INDEX(Salary_Calculation[Source Row],ROW()-ROW(Payslip_Lookup[#Headers]))="","",INDEX(Salary_Calculation[Missing-Order Deduction],ROW()-ROW(Payslip_Lookup[#Headers])))</f>
        <v/>
      </c>
      <c r="Q255" s="174" t="str">
        <f aca="false">IF(INDEX(Salary_Calculation[Source Row],ROW()-ROW(Payslip_Lookup[#Headers]))="","",INDEX(Salary_Calculation[Extra Orders],ROW()-ROW(Payslip_Lookup[#Headers])))</f>
        <v/>
      </c>
      <c r="R255" s="176" t="str">
        <f aca="false">IF(INDEX(Salary_Calculation[Source Row],ROW()-ROW(Payslip_Lookup[#Headers]))="","",INDEX(Salary_Calculation[Extra-Order Bonus],ROW()-ROW(Payslip_Lookup[#Headers])))</f>
        <v/>
      </c>
      <c r="S255" s="176" t="str">
        <f aca="false">IF(INDEX(Salary_Calculation[Source Row],ROW()-ROW(Payslip_Lookup[#Headers]))="","",INDEX(Salary_Calculation[Basic Salary for Target],ROW()-ROW(Payslip_Lookup[#Headers])))</f>
        <v/>
      </c>
      <c r="T255" s="176" t="str">
        <f aca="false">IF(INDEX(Salary_Calculation[Source Row],ROW()-ROW(Payslip_Lookup[#Headers]))="","",INDEX(Salary_Calculation[Gross Salary Before Deductions],ROW()-ROW(Payslip_Lookup[#Headers])))</f>
        <v/>
      </c>
      <c r="U255" s="176" t="str">
        <f aca="false">IF(INDEX(Salary_Calculation[Source Row],ROW()-ROW(Payslip_Lookup[#Headers]))="","",INDEX(Salary_Calculation[missed_days_penalty],ROW()-ROW(Payslip_Lookup[#Headers])))</f>
        <v/>
      </c>
      <c r="V255" s="176" t="str">
        <f aca="false">IF(INDEX(Salary_Calculation[Source Row],ROW()-ROW(Payslip_Lookup[#Headers]))="","",INDEX(Salary_Calculation[Rider Balance],ROW()-ROW(Payslip_Lookup[#Headers])))</f>
        <v/>
      </c>
      <c r="W255" s="176" t="str">
        <f aca="false">IF(INDEX(Salary_Calculation[Source Row],ROW()-ROW(Payslip_Lookup[#Headers]))="","",INDEX(Salary_Calculation[stacking_deduction],ROW()-ROW(Payslip_Lookup[#Headers])))</f>
        <v/>
      </c>
      <c r="X255" s="176" t="str">
        <f aca="false">IF(INDEX(Salary_Calculation[Source Row],ROW()-ROW(Payslip_Lookup[#Headers]))="","",INDEX(Salary_Calculation[Other Deductions],ROW()-ROW(Payslip_Lookup[#Headers])))</f>
        <v/>
      </c>
      <c r="Y255" s="176" t="str">
        <f aca="false">IF(INDEX(Salary_Calculation[Source Row],ROW()-ROW(Payslip_Lookup[#Headers]))="","",INDEX(Salary_Calculation[Total Deductions],ROW()-ROW(Payslip_Lookup[#Headers])))</f>
        <v/>
      </c>
      <c r="Z255" s="176" t="str">
        <f aca="false">IF(INDEX(Salary_Calculation[Source Row],ROW()-ROW(Payslip_Lookup[#Headers]))="","",INDEX(Salary_Calculation[Final Salary],ROW()-ROW(Payslip_Lookup[#Headers])))</f>
        <v/>
      </c>
      <c r="AA255" s="176" t="str">
        <f aca="false">IF(INDEX(Salary_Calculation[Source Row],ROW()-ROW(Payslip_Lookup[#Headers]))="","",INDEX(Salary_Calculation[Negative Balance / Amount Due from Rider],ROW()-ROW(Payslip_Lookup[#Headers])))</f>
        <v/>
      </c>
      <c r="AB255" s="176" t="str">
        <f aca="false">IF(INDEX(Salary_Calculation[Source Row],ROW()-ROW(Payslip_Lookup[#Headers]))="","",INDEX(Salary_Calculation[Total Amount Due from Rider],ROW()-ROW(Payslip_Lookup[#Headers])))</f>
        <v/>
      </c>
      <c r="AC255" s="176" t="str">
        <f aca="false">IF(INDEX(Salary_Calculation[Source Row],ROW()-ROW(Payslip_Lookup[#Headers]))="","",INDEX(Salary_Calculation[Salary Before Other Deductions],ROW()-ROW(Payslip_Lookup[#Headers])))</f>
        <v/>
      </c>
      <c r="AD255" s="171" t="str">
        <f aca="false">IF(INDEX(Salary_Calculation[Source Row],ROW()-ROW(Payslip_Lookup[#Headers]))="","",INDEX(Salary_Calculation[Payment Status],ROW()-ROW(Payslip_Lookup[#Headers])))</f>
        <v/>
      </c>
      <c r="AE255" s="171" t="str">
        <f aca="false">IF(INDEX(Salary_Calculation[Source Row],ROW()-ROW(Payslip_Lookup[#Headers]))="","",INDEX(Salary_Calculation[Notes],ROW()-ROW(Payslip_Lookup[#Headers])))</f>
        <v/>
      </c>
      <c r="AF255" s="171" t="str">
        <f aca="false">IF(INDEX(Salary_Calculation[Source Row],ROW()-ROW(Payslip_Lookup[#Headers]))="","",INDEX(Salary_Calculation[Exception Reason],ROW()-ROW(Payslip_Lookup[#Headers])))</f>
        <v/>
      </c>
      <c r="AG255" s="173" t="str">
        <f aca="false">IF($AD255="Review Required",COUNTIF(AD$2:AD255,"Review Required"),"")</f>
        <v/>
      </c>
      <c r="AH255" s="173" t="str">
        <f aca="false">IF(AND($D255&lt;&gt;"",$B255=Payslip_Print!$C$2),MAX(AH$1:AH254)+1,"")</f>
        <v/>
      </c>
      <c r="AL255" s="178" t="str">
        <f aca="false">IFERROR(INDEX($D$2:$D$501,MATCH(ROW()-1,$AH$2:$AH$501,0)),"")</f>
        <v/>
      </c>
      <c r="AM255" s="179" t="str">
        <f aca="false">IF($Z255="","",IF(AND($C255&gt;=Dash_Start,$C255&lt;Dash_End),$Z255+ROW()/10000000,""))</f>
        <v/>
      </c>
    </row>
    <row r="256" customFormat="false" ht="14.25" hidden="false" customHeight="false" outlineLevel="0" collapsed="false">
      <c r="A256" s="171" t="str">
        <f aca="false">IF(Payslip_Lookup[[#This Row],[Rider ID]]="","",Payslip_Lookup[[#This Row],[Rider ID]]&amp;"|"&amp;Payslip_Lookup[[#This Row],[Month Key]])</f>
        <v/>
      </c>
      <c r="B256" s="172" t="str">
        <f aca="false">IF(ISNUMBER(Payslip_Lookup[[#This Row],[Salary Month]]),DATE(YEAR(Payslip_Lookup[[#This Row],[Salary Month]]),MONTH(Payslip_Lookup[[#This Row],[Salary Month]]),1),"")</f>
        <v/>
      </c>
      <c r="C256" s="172" t="str">
        <f aca="false">IF(INDEX(Salary_Calculation[Source Row],ROW()-ROW(Payslip_Lookup[#Headers]))="","",INDEX(Salary_Calculation[Salary Month],ROW()-ROW(Payslip_Lookup[#Headers])))</f>
        <v/>
      </c>
      <c r="D256" s="173" t="str">
        <f aca="false">IF(INDEX(Salary_Calculation[Source Row],ROW()-ROW(Payslip_Lookup[#Headers]))="","",INDEX(Salary_Calculation[Rider ID],ROW()-ROW(Payslip_Lookup[#Headers])))</f>
        <v/>
      </c>
      <c r="E256" s="171" t="str">
        <f aca="false">IF(INDEX(Salary_Calculation[Source Row],ROW()-ROW(Payslip_Lookup[#Headers]))="","",INDEX(Salary_Calculation[Rider Name],ROW()-ROW(Payslip_Lookup[#Headers])))</f>
        <v/>
      </c>
      <c r="F256" s="173" t="str">
        <f aca="false">IF(INDEX(Salary_Calculation[Source Row],ROW()-ROW(Payslip_Lookup[#Headers]))="","",INDEX(Salary_Calculation[Working Days],ROW()-ROW(Payslip_Lookup[#Headers])))</f>
        <v/>
      </c>
      <c r="G256" s="173" t="str">
        <f aca="false">IF(INDEX(Salary_Calculation[Source Row],ROW()-ROW(Payslip_Lookup[#Headers]))="","",INDEX(Salary_Calculation[Calendar Days],ROW()-ROW(Payslip_Lookup[#Headers])))</f>
        <v/>
      </c>
      <c r="H256" s="174" t="str">
        <f aca="false">IF(INDEX(Salary_Calculation[Source Row],ROW()-ROW(Payslip_Lookup[#Headers]))="","",INDEX(Salary_Calculation[Monthly Target Orders],ROW()-ROW(Payslip_Lookup[#Headers])))</f>
        <v/>
      </c>
      <c r="I256" s="174" t="str">
        <f aca="false">IF(INDEX(Salary_Calculation[Source Row],ROW()-ROW(Payslip_Lookup[#Headers]))="","",INDEX(Salary_Calculation[Rider Target Orders],ROW()-ROW(Payslip_Lookup[#Headers])))</f>
        <v/>
      </c>
      <c r="J256" s="175" t="str">
        <f aca="false">IF(INDEX(Salary_Calculation[Source Row],ROW()-ROW(Payslip_Lookup[#Headers]))="","",INDEX(Salary_Calculation[Completed Orders],ROW()-ROW(Payslip_Lookup[#Headers])))</f>
        <v/>
      </c>
      <c r="K256" s="174" t="str">
        <f aca="false">IF(INDEX(Salary_Calculation[Source Row],ROW()-ROW(Payslip_Lookup[#Headers]))="","",INDEX(Salary_Calculation[Base Order Rate],ROW()-ROW(Payslip_Lookup[#Headers])))</f>
        <v/>
      </c>
      <c r="L256" s="176" t="str">
        <f aca="false">IF(INDEX(Salary_Calculation[Source Row],ROW()-ROW(Payslip_Lookup[#Headers]))="","",INDEX(Salary_Calculation[Basic Payment],ROW()-ROW(Payslip_Lookup[#Headers])))</f>
        <v/>
      </c>
      <c r="M256" s="176" t="str">
        <f aca="false">IF(INDEX(Salary_Calculation[Source Row],ROW()-ROW(Payslip_Lookup[#Headers]))="","",INDEX(Salary_Calculation[Earned Salary],ROW()-ROW(Payslip_Lookup[#Headers])))</f>
        <v/>
      </c>
      <c r="N256" s="174" t="str">
        <f aca="false">IF(INDEX(Salary_Calculation[Source Row],ROW()-ROW(Payslip_Lookup[#Headers]))="","",INDEX(Salary_Calculation[Orders Counted at Base Rate],ROW()-ROW(Payslip_Lookup[#Headers])))</f>
        <v/>
      </c>
      <c r="O256" s="174" t="str">
        <f aca="false">IF(INDEX(Salary_Calculation[Source Row],ROW()-ROW(Payslip_Lookup[#Headers]))="","",INDEX(Salary_Calculation[Missing Orders],ROW()-ROW(Payslip_Lookup[#Headers])))</f>
        <v/>
      </c>
      <c r="P256" s="176" t="str">
        <f aca="false">IF(INDEX(Salary_Calculation[Source Row],ROW()-ROW(Payslip_Lookup[#Headers]))="","",INDEX(Salary_Calculation[Missing-Order Deduction],ROW()-ROW(Payslip_Lookup[#Headers])))</f>
        <v/>
      </c>
      <c r="Q256" s="174" t="str">
        <f aca="false">IF(INDEX(Salary_Calculation[Source Row],ROW()-ROW(Payslip_Lookup[#Headers]))="","",INDEX(Salary_Calculation[Extra Orders],ROW()-ROW(Payslip_Lookup[#Headers])))</f>
        <v/>
      </c>
      <c r="R256" s="176" t="str">
        <f aca="false">IF(INDEX(Salary_Calculation[Source Row],ROW()-ROW(Payslip_Lookup[#Headers]))="","",INDEX(Salary_Calculation[Extra-Order Bonus],ROW()-ROW(Payslip_Lookup[#Headers])))</f>
        <v/>
      </c>
      <c r="S256" s="176" t="str">
        <f aca="false">IF(INDEX(Salary_Calculation[Source Row],ROW()-ROW(Payslip_Lookup[#Headers]))="","",INDEX(Salary_Calculation[Basic Salary for Target],ROW()-ROW(Payslip_Lookup[#Headers])))</f>
        <v/>
      </c>
      <c r="T256" s="176" t="str">
        <f aca="false">IF(INDEX(Salary_Calculation[Source Row],ROW()-ROW(Payslip_Lookup[#Headers]))="","",INDEX(Salary_Calculation[Gross Salary Before Deductions],ROW()-ROW(Payslip_Lookup[#Headers])))</f>
        <v/>
      </c>
      <c r="U256" s="176" t="str">
        <f aca="false">IF(INDEX(Salary_Calculation[Source Row],ROW()-ROW(Payslip_Lookup[#Headers]))="","",INDEX(Salary_Calculation[missed_days_penalty],ROW()-ROW(Payslip_Lookup[#Headers])))</f>
        <v/>
      </c>
      <c r="V256" s="176" t="str">
        <f aca="false">IF(INDEX(Salary_Calculation[Source Row],ROW()-ROW(Payslip_Lookup[#Headers]))="","",INDEX(Salary_Calculation[Rider Balance],ROW()-ROW(Payslip_Lookup[#Headers])))</f>
        <v/>
      </c>
      <c r="W256" s="176" t="str">
        <f aca="false">IF(INDEX(Salary_Calculation[Source Row],ROW()-ROW(Payslip_Lookup[#Headers]))="","",INDEX(Salary_Calculation[stacking_deduction],ROW()-ROW(Payslip_Lookup[#Headers])))</f>
        <v/>
      </c>
      <c r="X256" s="176" t="str">
        <f aca="false">IF(INDEX(Salary_Calculation[Source Row],ROW()-ROW(Payslip_Lookup[#Headers]))="","",INDEX(Salary_Calculation[Other Deductions],ROW()-ROW(Payslip_Lookup[#Headers])))</f>
        <v/>
      </c>
      <c r="Y256" s="176" t="str">
        <f aca="false">IF(INDEX(Salary_Calculation[Source Row],ROW()-ROW(Payslip_Lookup[#Headers]))="","",INDEX(Salary_Calculation[Total Deductions],ROW()-ROW(Payslip_Lookup[#Headers])))</f>
        <v/>
      </c>
      <c r="Z256" s="176" t="str">
        <f aca="false">IF(INDEX(Salary_Calculation[Source Row],ROW()-ROW(Payslip_Lookup[#Headers]))="","",INDEX(Salary_Calculation[Final Salary],ROW()-ROW(Payslip_Lookup[#Headers])))</f>
        <v/>
      </c>
      <c r="AA256" s="176" t="str">
        <f aca="false">IF(INDEX(Salary_Calculation[Source Row],ROW()-ROW(Payslip_Lookup[#Headers]))="","",INDEX(Salary_Calculation[Negative Balance / Amount Due from Rider],ROW()-ROW(Payslip_Lookup[#Headers])))</f>
        <v/>
      </c>
      <c r="AB256" s="176" t="str">
        <f aca="false">IF(INDEX(Salary_Calculation[Source Row],ROW()-ROW(Payslip_Lookup[#Headers]))="","",INDEX(Salary_Calculation[Total Amount Due from Rider],ROW()-ROW(Payslip_Lookup[#Headers])))</f>
        <v/>
      </c>
      <c r="AC256" s="176" t="str">
        <f aca="false">IF(INDEX(Salary_Calculation[Source Row],ROW()-ROW(Payslip_Lookup[#Headers]))="","",INDEX(Salary_Calculation[Salary Before Other Deductions],ROW()-ROW(Payslip_Lookup[#Headers])))</f>
        <v/>
      </c>
      <c r="AD256" s="171" t="str">
        <f aca="false">IF(INDEX(Salary_Calculation[Source Row],ROW()-ROW(Payslip_Lookup[#Headers]))="","",INDEX(Salary_Calculation[Payment Status],ROW()-ROW(Payslip_Lookup[#Headers])))</f>
        <v/>
      </c>
      <c r="AE256" s="171" t="str">
        <f aca="false">IF(INDEX(Salary_Calculation[Source Row],ROW()-ROW(Payslip_Lookup[#Headers]))="","",INDEX(Salary_Calculation[Notes],ROW()-ROW(Payslip_Lookup[#Headers])))</f>
        <v/>
      </c>
      <c r="AF256" s="171" t="str">
        <f aca="false">IF(INDEX(Salary_Calculation[Source Row],ROW()-ROW(Payslip_Lookup[#Headers]))="","",INDEX(Salary_Calculation[Exception Reason],ROW()-ROW(Payslip_Lookup[#Headers])))</f>
        <v/>
      </c>
      <c r="AG256" s="173" t="str">
        <f aca="false">IF($AD256="Review Required",COUNTIF(AD$2:AD256,"Review Required"),"")</f>
        <v/>
      </c>
      <c r="AH256" s="173" t="str">
        <f aca="false">IF(AND($D256&lt;&gt;"",$B256=Payslip_Print!$C$2),MAX(AH$1:AH255)+1,"")</f>
        <v/>
      </c>
      <c r="AL256" s="178" t="str">
        <f aca="false">IFERROR(INDEX($D$2:$D$501,MATCH(ROW()-1,$AH$2:$AH$501,0)),"")</f>
        <v/>
      </c>
      <c r="AM256" s="179" t="str">
        <f aca="false">IF($Z256="","",IF(AND($C256&gt;=Dash_Start,$C256&lt;Dash_End),$Z256+ROW()/10000000,""))</f>
        <v/>
      </c>
    </row>
    <row r="257" customFormat="false" ht="14.25" hidden="false" customHeight="false" outlineLevel="0" collapsed="false">
      <c r="A257" s="171" t="str">
        <f aca="false">IF(Payslip_Lookup[[#This Row],[Rider ID]]="","",Payslip_Lookup[[#This Row],[Rider ID]]&amp;"|"&amp;Payslip_Lookup[[#This Row],[Month Key]])</f>
        <v/>
      </c>
      <c r="B257" s="172" t="str">
        <f aca="false">IF(ISNUMBER(Payslip_Lookup[[#This Row],[Salary Month]]),DATE(YEAR(Payslip_Lookup[[#This Row],[Salary Month]]),MONTH(Payslip_Lookup[[#This Row],[Salary Month]]),1),"")</f>
        <v/>
      </c>
      <c r="C257" s="172" t="str">
        <f aca="false">IF(INDEX(Salary_Calculation[Source Row],ROW()-ROW(Payslip_Lookup[#Headers]))="","",INDEX(Salary_Calculation[Salary Month],ROW()-ROW(Payslip_Lookup[#Headers])))</f>
        <v/>
      </c>
      <c r="D257" s="173" t="str">
        <f aca="false">IF(INDEX(Salary_Calculation[Source Row],ROW()-ROW(Payslip_Lookup[#Headers]))="","",INDEX(Salary_Calculation[Rider ID],ROW()-ROW(Payslip_Lookup[#Headers])))</f>
        <v/>
      </c>
      <c r="E257" s="171" t="str">
        <f aca="false">IF(INDEX(Salary_Calculation[Source Row],ROW()-ROW(Payslip_Lookup[#Headers]))="","",INDEX(Salary_Calculation[Rider Name],ROW()-ROW(Payslip_Lookup[#Headers])))</f>
        <v/>
      </c>
      <c r="F257" s="173" t="str">
        <f aca="false">IF(INDEX(Salary_Calculation[Source Row],ROW()-ROW(Payslip_Lookup[#Headers]))="","",INDEX(Salary_Calculation[Working Days],ROW()-ROW(Payslip_Lookup[#Headers])))</f>
        <v/>
      </c>
      <c r="G257" s="173" t="str">
        <f aca="false">IF(INDEX(Salary_Calculation[Source Row],ROW()-ROW(Payslip_Lookup[#Headers]))="","",INDEX(Salary_Calculation[Calendar Days],ROW()-ROW(Payslip_Lookup[#Headers])))</f>
        <v/>
      </c>
      <c r="H257" s="174" t="str">
        <f aca="false">IF(INDEX(Salary_Calculation[Source Row],ROW()-ROW(Payslip_Lookup[#Headers]))="","",INDEX(Salary_Calculation[Monthly Target Orders],ROW()-ROW(Payslip_Lookup[#Headers])))</f>
        <v/>
      </c>
      <c r="I257" s="174" t="str">
        <f aca="false">IF(INDEX(Salary_Calculation[Source Row],ROW()-ROW(Payslip_Lookup[#Headers]))="","",INDEX(Salary_Calculation[Rider Target Orders],ROW()-ROW(Payslip_Lookup[#Headers])))</f>
        <v/>
      </c>
      <c r="J257" s="175" t="str">
        <f aca="false">IF(INDEX(Salary_Calculation[Source Row],ROW()-ROW(Payslip_Lookup[#Headers]))="","",INDEX(Salary_Calculation[Completed Orders],ROW()-ROW(Payslip_Lookup[#Headers])))</f>
        <v/>
      </c>
      <c r="K257" s="174" t="str">
        <f aca="false">IF(INDEX(Salary_Calculation[Source Row],ROW()-ROW(Payslip_Lookup[#Headers]))="","",INDEX(Salary_Calculation[Base Order Rate],ROW()-ROW(Payslip_Lookup[#Headers])))</f>
        <v/>
      </c>
      <c r="L257" s="176" t="str">
        <f aca="false">IF(INDEX(Salary_Calculation[Source Row],ROW()-ROW(Payslip_Lookup[#Headers]))="","",INDEX(Salary_Calculation[Basic Payment],ROW()-ROW(Payslip_Lookup[#Headers])))</f>
        <v/>
      </c>
      <c r="M257" s="176" t="str">
        <f aca="false">IF(INDEX(Salary_Calculation[Source Row],ROW()-ROW(Payslip_Lookup[#Headers]))="","",INDEX(Salary_Calculation[Earned Salary],ROW()-ROW(Payslip_Lookup[#Headers])))</f>
        <v/>
      </c>
      <c r="N257" s="174" t="str">
        <f aca="false">IF(INDEX(Salary_Calculation[Source Row],ROW()-ROW(Payslip_Lookup[#Headers]))="","",INDEX(Salary_Calculation[Orders Counted at Base Rate],ROW()-ROW(Payslip_Lookup[#Headers])))</f>
        <v/>
      </c>
      <c r="O257" s="174" t="str">
        <f aca="false">IF(INDEX(Salary_Calculation[Source Row],ROW()-ROW(Payslip_Lookup[#Headers]))="","",INDEX(Salary_Calculation[Missing Orders],ROW()-ROW(Payslip_Lookup[#Headers])))</f>
        <v/>
      </c>
      <c r="P257" s="176" t="str">
        <f aca="false">IF(INDEX(Salary_Calculation[Source Row],ROW()-ROW(Payslip_Lookup[#Headers]))="","",INDEX(Salary_Calculation[Missing-Order Deduction],ROW()-ROW(Payslip_Lookup[#Headers])))</f>
        <v/>
      </c>
      <c r="Q257" s="174" t="str">
        <f aca="false">IF(INDEX(Salary_Calculation[Source Row],ROW()-ROW(Payslip_Lookup[#Headers]))="","",INDEX(Salary_Calculation[Extra Orders],ROW()-ROW(Payslip_Lookup[#Headers])))</f>
        <v/>
      </c>
      <c r="R257" s="176" t="str">
        <f aca="false">IF(INDEX(Salary_Calculation[Source Row],ROW()-ROW(Payslip_Lookup[#Headers]))="","",INDEX(Salary_Calculation[Extra-Order Bonus],ROW()-ROW(Payslip_Lookup[#Headers])))</f>
        <v/>
      </c>
      <c r="S257" s="176" t="str">
        <f aca="false">IF(INDEX(Salary_Calculation[Source Row],ROW()-ROW(Payslip_Lookup[#Headers]))="","",INDEX(Salary_Calculation[Basic Salary for Target],ROW()-ROW(Payslip_Lookup[#Headers])))</f>
        <v/>
      </c>
      <c r="T257" s="176" t="str">
        <f aca="false">IF(INDEX(Salary_Calculation[Source Row],ROW()-ROW(Payslip_Lookup[#Headers]))="","",INDEX(Salary_Calculation[Gross Salary Before Deductions],ROW()-ROW(Payslip_Lookup[#Headers])))</f>
        <v/>
      </c>
      <c r="U257" s="176" t="str">
        <f aca="false">IF(INDEX(Salary_Calculation[Source Row],ROW()-ROW(Payslip_Lookup[#Headers]))="","",INDEX(Salary_Calculation[missed_days_penalty],ROW()-ROW(Payslip_Lookup[#Headers])))</f>
        <v/>
      </c>
      <c r="V257" s="176" t="str">
        <f aca="false">IF(INDEX(Salary_Calculation[Source Row],ROW()-ROW(Payslip_Lookup[#Headers]))="","",INDEX(Salary_Calculation[Rider Balance],ROW()-ROW(Payslip_Lookup[#Headers])))</f>
        <v/>
      </c>
      <c r="W257" s="176" t="str">
        <f aca="false">IF(INDEX(Salary_Calculation[Source Row],ROW()-ROW(Payslip_Lookup[#Headers]))="","",INDEX(Salary_Calculation[stacking_deduction],ROW()-ROW(Payslip_Lookup[#Headers])))</f>
        <v/>
      </c>
      <c r="X257" s="176" t="str">
        <f aca="false">IF(INDEX(Salary_Calculation[Source Row],ROW()-ROW(Payslip_Lookup[#Headers]))="","",INDEX(Salary_Calculation[Other Deductions],ROW()-ROW(Payslip_Lookup[#Headers])))</f>
        <v/>
      </c>
      <c r="Y257" s="176" t="str">
        <f aca="false">IF(INDEX(Salary_Calculation[Source Row],ROW()-ROW(Payslip_Lookup[#Headers]))="","",INDEX(Salary_Calculation[Total Deductions],ROW()-ROW(Payslip_Lookup[#Headers])))</f>
        <v/>
      </c>
      <c r="Z257" s="176" t="str">
        <f aca="false">IF(INDEX(Salary_Calculation[Source Row],ROW()-ROW(Payslip_Lookup[#Headers]))="","",INDEX(Salary_Calculation[Final Salary],ROW()-ROW(Payslip_Lookup[#Headers])))</f>
        <v/>
      </c>
      <c r="AA257" s="176" t="str">
        <f aca="false">IF(INDEX(Salary_Calculation[Source Row],ROW()-ROW(Payslip_Lookup[#Headers]))="","",INDEX(Salary_Calculation[Negative Balance / Amount Due from Rider],ROW()-ROW(Payslip_Lookup[#Headers])))</f>
        <v/>
      </c>
      <c r="AB257" s="176" t="str">
        <f aca="false">IF(INDEX(Salary_Calculation[Source Row],ROW()-ROW(Payslip_Lookup[#Headers]))="","",INDEX(Salary_Calculation[Total Amount Due from Rider],ROW()-ROW(Payslip_Lookup[#Headers])))</f>
        <v/>
      </c>
      <c r="AC257" s="176" t="str">
        <f aca="false">IF(INDEX(Salary_Calculation[Source Row],ROW()-ROW(Payslip_Lookup[#Headers]))="","",INDEX(Salary_Calculation[Salary Before Other Deductions],ROW()-ROW(Payslip_Lookup[#Headers])))</f>
        <v/>
      </c>
      <c r="AD257" s="171" t="str">
        <f aca="false">IF(INDEX(Salary_Calculation[Source Row],ROW()-ROW(Payslip_Lookup[#Headers]))="","",INDEX(Salary_Calculation[Payment Status],ROW()-ROW(Payslip_Lookup[#Headers])))</f>
        <v/>
      </c>
      <c r="AE257" s="171" t="str">
        <f aca="false">IF(INDEX(Salary_Calculation[Source Row],ROW()-ROW(Payslip_Lookup[#Headers]))="","",INDEX(Salary_Calculation[Notes],ROW()-ROW(Payslip_Lookup[#Headers])))</f>
        <v/>
      </c>
      <c r="AF257" s="171" t="str">
        <f aca="false">IF(INDEX(Salary_Calculation[Source Row],ROW()-ROW(Payslip_Lookup[#Headers]))="","",INDEX(Salary_Calculation[Exception Reason],ROW()-ROW(Payslip_Lookup[#Headers])))</f>
        <v/>
      </c>
      <c r="AG257" s="173" t="str">
        <f aca="false">IF($AD257="Review Required",COUNTIF(AD$2:AD257,"Review Required"),"")</f>
        <v/>
      </c>
      <c r="AH257" s="173" t="str">
        <f aca="false">IF(AND($D257&lt;&gt;"",$B257=Payslip_Print!$C$2),MAX(AH$1:AH256)+1,"")</f>
        <v/>
      </c>
      <c r="AL257" s="178" t="str">
        <f aca="false">IFERROR(INDEX($D$2:$D$501,MATCH(ROW()-1,$AH$2:$AH$501,0)),"")</f>
        <v/>
      </c>
      <c r="AM257" s="179" t="str">
        <f aca="false">IF($Z257="","",IF(AND($C257&gt;=Dash_Start,$C257&lt;Dash_End),$Z257+ROW()/10000000,""))</f>
        <v/>
      </c>
    </row>
    <row r="258" customFormat="false" ht="14.25" hidden="false" customHeight="false" outlineLevel="0" collapsed="false">
      <c r="A258" s="171" t="str">
        <f aca="false">IF(Payslip_Lookup[[#This Row],[Rider ID]]="","",Payslip_Lookup[[#This Row],[Rider ID]]&amp;"|"&amp;Payslip_Lookup[[#This Row],[Month Key]])</f>
        <v/>
      </c>
      <c r="B258" s="172" t="str">
        <f aca="false">IF(ISNUMBER(Payslip_Lookup[[#This Row],[Salary Month]]),DATE(YEAR(Payslip_Lookup[[#This Row],[Salary Month]]),MONTH(Payslip_Lookup[[#This Row],[Salary Month]]),1),"")</f>
        <v/>
      </c>
      <c r="C258" s="172" t="str">
        <f aca="false">IF(INDEX(Salary_Calculation[Source Row],ROW()-ROW(Payslip_Lookup[#Headers]))="","",INDEX(Salary_Calculation[Salary Month],ROW()-ROW(Payslip_Lookup[#Headers])))</f>
        <v/>
      </c>
      <c r="D258" s="173" t="str">
        <f aca="false">IF(INDEX(Salary_Calculation[Source Row],ROW()-ROW(Payslip_Lookup[#Headers]))="","",INDEX(Salary_Calculation[Rider ID],ROW()-ROW(Payslip_Lookup[#Headers])))</f>
        <v/>
      </c>
      <c r="E258" s="171" t="str">
        <f aca="false">IF(INDEX(Salary_Calculation[Source Row],ROW()-ROW(Payslip_Lookup[#Headers]))="","",INDEX(Salary_Calculation[Rider Name],ROW()-ROW(Payslip_Lookup[#Headers])))</f>
        <v/>
      </c>
      <c r="F258" s="173" t="str">
        <f aca="false">IF(INDEX(Salary_Calculation[Source Row],ROW()-ROW(Payslip_Lookup[#Headers]))="","",INDEX(Salary_Calculation[Working Days],ROW()-ROW(Payslip_Lookup[#Headers])))</f>
        <v/>
      </c>
      <c r="G258" s="173" t="str">
        <f aca="false">IF(INDEX(Salary_Calculation[Source Row],ROW()-ROW(Payslip_Lookup[#Headers]))="","",INDEX(Salary_Calculation[Calendar Days],ROW()-ROW(Payslip_Lookup[#Headers])))</f>
        <v/>
      </c>
      <c r="H258" s="174" t="str">
        <f aca="false">IF(INDEX(Salary_Calculation[Source Row],ROW()-ROW(Payslip_Lookup[#Headers]))="","",INDEX(Salary_Calculation[Monthly Target Orders],ROW()-ROW(Payslip_Lookup[#Headers])))</f>
        <v/>
      </c>
      <c r="I258" s="174" t="str">
        <f aca="false">IF(INDEX(Salary_Calculation[Source Row],ROW()-ROW(Payslip_Lookup[#Headers]))="","",INDEX(Salary_Calculation[Rider Target Orders],ROW()-ROW(Payslip_Lookup[#Headers])))</f>
        <v/>
      </c>
      <c r="J258" s="175" t="str">
        <f aca="false">IF(INDEX(Salary_Calculation[Source Row],ROW()-ROW(Payslip_Lookup[#Headers]))="","",INDEX(Salary_Calculation[Completed Orders],ROW()-ROW(Payslip_Lookup[#Headers])))</f>
        <v/>
      </c>
      <c r="K258" s="174" t="str">
        <f aca="false">IF(INDEX(Salary_Calculation[Source Row],ROW()-ROW(Payslip_Lookup[#Headers]))="","",INDEX(Salary_Calculation[Base Order Rate],ROW()-ROW(Payslip_Lookup[#Headers])))</f>
        <v/>
      </c>
      <c r="L258" s="176" t="str">
        <f aca="false">IF(INDEX(Salary_Calculation[Source Row],ROW()-ROW(Payslip_Lookup[#Headers]))="","",INDEX(Salary_Calculation[Basic Payment],ROW()-ROW(Payslip_Lookup[#Headers])))</f>
        <v/>
      </c>
      <c r="M258" s="176" t="str">
        <f aca="false">IF(INDEX(Salary_Calculation[Source Row],ROW()-ROW(Payslip_Lookup[#Headers]))="","",INDEX(Salary_Calculation[Earned Salary],ROW()-ROW(Payslip_Lookup[#Headers])))</f>
        <v/>
      </c>
      <c r="N258" s="174" t="str">
        <f aca="false">IF(INDEX(Salary_Calculation[Source Row],ROW()-ROW(Payslip_Lookup[#Headers]))="","",INDEX(Salary_Calculation[Orders Counted at Base Rate],ROW()-ROW(Payslip_Lookup[#Headers])))</f>
        <v/>
      </c>
      <c r="O258" s="174" t="str">
        <f aca="false">IF(INDEX(Salary_Calculation[Source Row],ROW()-ROW(Payslip_Lookup[#Headers]))="","",INDEX(Salary_Calculation[Missing Orders],ROW()-ROW(Payslip_Lookup[#Headers])))</f>
        <v/>
      </c>
      <c r="P258" s="176" t="str">
        <f aca="false">IF(INDEX(Salary_Calculation[Source Row],ROW()-ROW(Payslip_Lookup[#Headers]))="","",INDEX(Salary_Calculation[Missing-Order Deduction],ROW()-ROW(Payslip_Lookup[#Headers])))</f>
        <v/>
      </c>
      <c r="Q258" s="174" t="str">
        <f aca="false">IF(INDEX(Salary_Calculation[Source Row],ROW()-ROW(Payslip_Lookup[#Headers]))="","",INDEX(Salary_Calculation[Extra Orders],ROW()-ROW(Payslip_Lookup[#Headers])))</f>
        <v/>
      </c>
      <c r="R258" s="176" t="str">
        <f aca="false">IF(INDEX(Salary_Calculation[Source Row],ROW()-ROW(Payslip_Lookup[#Headers]))="","",INDEX(Salary_Calculation[Extra-Order Bonus],ROW()-ROW(Payslip_Lookup[#Headers])))</f>
        <v/>
      </c>
      <c r="S258" s="176" t="str">
        <f aca="false">IF(INDEX(Salary_Calculation[Source Row],ROW()-ROW(Payslip_Lookup[#Headers]))="","",INDEX(Salary_Calculation[Basic Salary for Target],ROW()-ROW(Payslip_Lookup[#Headers])))</f>
        <v/>
      </c>
      <c r="T258" s="176" t="str">
        <f aca="false">IF(INDEX(Salary_Calculation[Source Row],ROW()-ROW(Payslip_Lookup[#Headers]))="","",INDEX(Salary_Calculation[Gross Salary Before Deductions],ROW()-ROW(Payslip_Lookup[#Headers])))</f>
        <v/>
      </c>
      <c r="U258" s="176" t="str">
        <f aca="false">IF(INDEX(Salary_Calculation[Source Row],ROW()-ROW(Payslip_Lookup[#Headers]))="","",INDEX(Salary_Calculation[missed_days_penalty],ROW()-ROW(Payslip_Lookup[#Headers])))</f>
        <v/>
      </c>
      <c r="V258" s="176" t="str">
        <f aca="false">IF(INDEX(Salary_Calculation[Source Row],ROW()-ROW(Payslip_Lookup[#Headers]))="","",INDEX(Salary_Calculation[Rider Balance],ROW()-ROW(Payslip_Lookup[#Headers])))</f>
        <v/>
      </c>
      <c r="W258" s="176" t="str">
        <f aca="false">IF(INDEX(Salary_Calculation[Source Row],ROW()-ROW(Payslip_Lookup[#Headers]))="","",INDEX(Salary_Calculation[stacking_deduction],ROW()-ROW(Payslip_Lookup[#Headers])))</f>
        <v/>
      </c>
      <c r="X258" s="176" t="str">
        <f aca="false">IF(INDEX(Salary_Calculation[Source Row],ROW()-ROW(Payslip_Lookup[#Headers]))="","",INDEX(Salary_Calculation[Other Deductions],ROW()-ROW(Payslip_Lookup[#Headers])))</f>
        <v/>
      </c>
      <c r="Y258" s="176" t="str">
        <f aca="false">IF(INDEX(Salary_Calculation[Source Row],ROW()-ROW(Payslip_Lookup[#Headers]))="","",INDEX(Salary_Calculation[Total Deductions],ROW()-ROW(Payslip_Lookup[#Headers])))</f>
        <v/>
      </c>
      <c r="Z258" s="176" t="str">
        <f aca="false">IF(INDEX(Salary_Calculation[Source Row],ROW()-ROW(Payslip_Lookup[#Headers]))="","",INDEX(Salary_Calculation[Final Salary],ROW()-ROW(Payslip_Lookup[#Headers])))</f>
        <v/>
      </c>
      <c r="AA258" s="176" t="str">
        <f aca="false">IF(INDEX(Salary_Calculation[Source Row],ROW()-ROW(Payslip_Lookup[#Headers]))="","",INDEX(Salary_Calculation[Negative Balance / Amount Due from Rider],ROW()-ROW(Payslip_Lookup[#Headers])))</f>
        <v/>
      </c>
      <c r="AB258" s="176" t="str">
        <f aca="false">IF(INDEX(Salary_Calculation[Source Row],ROW()-ROW(Payslip_Lookup[#Headers]))="","",INDEX(Salary_Calculation[Total Amount Due from Rider],ROW()-ROW(Payslip_Lookup[#Headers])))</f>
        <v/>
      </c>
      <c r="AC258" s="176" t="str">
        <f aca="false">IF(INDEX(Salary_Calculation[Source Row],ROW()-ROW(Payslip_Lookup[#Headers]))="","",INDEX(Salary_Calculation[Salary Before Other Deductions],ROW()-ROW(Payslip_Lookup[#Headers])))</f>
        <v/>
      </c>
      <c r="AD258" s="171" t="str">
        <f aca="false">IF(INDEX(Salary_Calculation[Source Row],ROW()-ROW(Payslip_Lookup[#Headers]))="","",INDEX(Salary_Calculation[Payment Status],ROW()-ROW(Payslip_Lookup[#Headers])))</f>
        <v/>
      </c>
      <c r="AE258" s="171" t="str">
        <f aca="false">IF(INDEX(Salary_Calculation[Source Row],ROW()-ROW(Payslip_Lookup[#Headers]))="","",INDEX(Salary_Calculation[Notes],ROW()-ROW(Payslip_Lookup[#Headers])))</f>
        <v/>
      </c>
      <c r="AF258" s="171" t="str">
        <f aca="false">IF(INDEX(Salary_Calculation[Source Row],ROW()-ROW(Payslip_Lookup[#Headers]))="","",INDEX(Salary_Calculation[Exception Reason],ROW()-ROW(Payslip_Lookup[#Headers])))</f>
        <v/>
      </c>
      <c r="AG258" s="173" t="str">
        <f aca="false">IF($AD258="Review Required",COUNTIF(AD$2:AD258,"Review Required"),"")</f>
        <v/>
      </c>
      <c r="AH258" s="173" t="str">
        <f aca="false">IF(AND($D258&lt;&gt;"",$B258=Payslip_Print!$C$2),MAX(AH$1:AH257)+1,"")</f>
        <v/>
      </c>
      <c r="AL258" s="178" t="str">
        <f aca="false">IFERROR(INDEX($D$2:$D$501,MATCH(ROW()-1,$AH$2:$AH$501,0)),"")</f>
        <v/>
      </c>
      <c r="AM258" s="179" t="str">
        <f aca="false">IF($Z258="","",IF(AND($C258&gt;=Dash_Start,$C258&lt;Dash_End),$Z258+ROW()/10000000,""))</f>
        <v/>
      </c>
    </row>
    <row r="259" customFormat="false" ht="14.25" hidden="false" customHeight="false" outlineLevel="0" collapsed="false">
      <c r="A259" s="171" t="str">
        <f aca="false">IF(Payslip_Lookup[[#This Row],[Rider ID]]="","",Payslip_Lookup[[#This Row],[Rider ID]]&amp;"|"&amp;Payslip_Lookup[[#This Row],[Month Key]])</f>
        <v/>
      </c>
      <c r="B259" s="172" t="str">
        <f aca="false">IF(ISNUMBER(Payslip_Lookup[[#This Row],[Salary Month]]),DATE(YEAR(Payslip_Lookup[[#This Row],[Salary Month]]),MONTH(Payslip_Lookup[[#This Row],[Salary Month]]),1),"")</f>
        <v/>
      </c>
      <c r="C259" s="172" t="str">
        <f aca="false">IF(INDEX(Salary_Calculation[Source Row],ROW()-ROW(Payslip_Lookup[#Headers]))="","",INDEX(Salary_Calculation[Salary Month],ROW()-ROW(Payslip_Lookup[#Headers])))</f>
        <v/>
      </c>
      <c r="D259" s="173" t="str">
        <f aca="false">IF(INDEX(Salary_Calculation[Source Row],ROW()-ROW(Payslip_Lookup[#Headers]))="","",INDEX(Salary_Calculation[Rider ID],ROW()-ROW(Payslip_Lookup[#Headers])))</f>
        <v/>
      </c>
      <c r="E259" s="171" t="str">
        <f aca="false">IF(INDEX(Salary_Calculation[Source Row],ROW()-ROW(Payslip_Lookup[#Headers]))="","",INDEX(Salary_Calculation[Rider Name],ROW()-ROW(Payslip_Lookup[#Headers])))</f>
        <v/>
      </c>
      <c r="F259" s="173" t="str">
        <f aca="false">IF(INDEX(Salary_Calculation[Source Row],ROW()-ROW(Payslip_Lookup[#Headers]))="","",INDEX(Salary_Calculation[Working Days],ROW()-ROW(Payslip_Lookup[#Headers])))</f>
        <v/>
      </c>
      <c r="G259" s="173" t="str">
        <f aca="false">IF(INDEX(Salary_Calculation[Source Row],ROW()-ROW(Payslip_Lookup[#Headers]))="","",INDEX(Salary_Calculation[Calendar Days],ROW()-ROW(Payslip_Lookup[#Headers])))</f>
        <v/>
      </c>
      <c r="H259" s="174" t="str">
        <f aca="false">IF(INDEX(Salary_Calculation[Source Row],ROW()-ROW(Payslip_Lookup[#Headers]))="","",INDEX(Salary_Calculation[Monthly Target Orders],ROW()-ROW(Payslip_Lookup[#Headers])))</f>
        <v/>
      </c>
      <c r="I259" s="174" t="str">
        <f aca="false">IF(INDEX(Salary_Calculation[Source Row],ROW()-ROW(Payslip_Lookup[#Headers]))="","",INDEX(Salary_Calculation[Rider Target Orders],ROW()-ROW(Payslip_Lookup[#Headers])))</f>
        <v/>
      </c>
      <c r="J259" s="175" t="str">
        <f aca="false">IF(INDEX(Salary_Calculation[Source Row],ROW()-ROW(Payslip_Lookup[#Headers]))="","",INDEX(Salary_Calculation[Completed Orders],ROW()-ROW(Payslip_Lookup[#Headers])))</f>
        <v/>
      </c>
      <c r="K259" s="174" t="str">
        <f aca="false">IF(INDEX(Salary_Calculation[Source Row],ROW()-ROW(Payslip_Lookup[#Headers]))="","",INDEX(Salary_Calculation[Base Order Rate],ROW()-ROW(Payslip_Lookup[#Headers])))</f>
        <v/>
      </c>
      <c r="L259" s="176" t="str">
        <f aca="false">IF(INDEX(Salary_Calculation[Source Row],ROW()-ROW(Payslip_Lookup[#Headers]))="","",INDEX(Salary_Calculation[Basic Payment],ROW()-ROW(Payslip_Lookup[#Headers])))</f>
        <v/>
      </c>
      <c r="M259" s="176" t="str">
        <f aca="false">IF(INDEX(Salary_Calculation[Source Row],ROW()-ROW(Payslip_Lookup[#Headers]))="","",INDEX(Salary_Calculation[Earned Salary],ROW()-ROW(Payslip_Lookup[#Headers])))</f>
        <v/>
      </c>
      <c r="N259" s="174" t="str">
        <f aca="false">IF(INDEX(Salary_Calculation[Source Row],ROW()-ROW(Payslip_Lookup[#Headers]))="","",INDEX(Salary_Calculation[Orders Counted at Base Rate],ROW()-ROW(Payslip_Lookup[#Headers])))</f>
        <v/>
      </c>
      <c r="O259" s="174" t="str">
        <f aca="false">IF(INDEX(Salary_Calculation[Source Row],ROW()-ROW(Payslip_Lookup[#Headers]))="","",INDEX(Salary_Calculation[Missing Orders],ROW()-ROW(Payslip_Lookup[#Headers])))</f>
        <v/>
      </c>
      <c r="P259" s="176" t="str">
        <f aca="false">IF(INDEX(Salary_Calculation[Source Row],ROW()-ROW(Payslip_Lookup[#Headers]))="","",INDEX(Salary_Calculation[Missing-Order Deduction],ROW()-ROW(Payslip_Lookup[#Headers])))</f>
        <v/>
      </c>
      <c r="Q259" s="174" t="str">
        <f aca="false">IF(INDEX(Salary_Calculation[Source Row],ROW()-ROW(Payslip_Lookup[#Headers]))="","",INDEX(Salary_Calculation[Extra Orders],ROW()-ROW(Payslip_Lookup[#Headers])))</f>
        <v/>
      </c>
      <c r="R259" s="176" t="str">
        <f aca="false">IF(INDEX(Salary_Calculation[Source Row],ROW()-ROW(Payslip_Lookup[#Headers]))="","",INDEX(Salary_Calculation[Extra-Order Bonus],ROW()-ROW(Payslip_Lookup[#Headers])))</f>
        <v/>
      </c>
      <c r="S259" s="176" t="str">
        <f aca="false">IF(INDEX(Salary_Calculation[Source Row],ROW()-ROW(Payslip_Lookup[#Headers]))="","",INDEX(Salary_Calculation[Basic Salary for Target],ROW()-ROW(Payslip_Lookup[#Headers])))</f>
        <v/>
      </c>
      <c r="T259" s="176" t="str">
        <f aca="false">IF(INDEX(Salary_Calculation[Source Row],ROW()-ROW(Payslip_Lookup[#Headers]))="","",INDEX(Salary_Calculation[Gross Salary Before Deductions],ROW()-ROW(Payslip_Lookup[#Headers])))</f>
        <v/>
      </c>
      <c r="U259" s="176" t="str">
        <f aca="false">IF(INDEX(Salary_Calculation[Source Row],ROW()-ROW(Payslip_Lookup[#Headers]))="","",INDEX(Salary_Calculation[missed_days_penalty],ROW()-ROW(Payslip_Lookup[#Headers])))</f>
        <v/>
      </c>
      <c r="V259" s="176" t="str">
        <f aca="false">IF(INDEX(Salary_Calculation[Source Row],ROW()-ROW(Payslip_Lookup[#Headers]))="","",INDEX(Salary_Calculation[Rider Balance],ROW()-ROW(Payslip_Lookup[#Headers])))</f>
        <v/>
      </c>
      <c r="W259" s="176" t="str">
        <f aca="false">IF(INDEX(Salary_Calculation[Source Row],ROW()-ROW(Payslip_Lookup[#Headers]))="","",INDEX(Salary_Calculation[stacking_deduction],ROW()-ROW(Payslip_Lookup[#Headers])))</f>
        <v/>
      </c>
      <c r="X259" s="176" t="str">
        <f aca="false">IF(INDEX(Salary_Calculation[Source Row],ROW()-ROW(Payslip_Lookup[#Headers]))="","",INDEX(Salary_Calculation[Other Deductions],ROW()-ROW(Payslip_Lookup[#Headers])))</f>
        <v/>
      </c>
      <c r="Y259" s="176" t="str">
        <f aca="false">IF(INDEX(Salary_Calculation[Source Row],ROW()-ROW(Payslip_Lookup[#Headers]))="","",INDEX(Salary_Calculation[Total Deductions],ROW()-ROW(Payslip_Lookup[#Headers])))</f>
        <v/>
      </c>
      <c r="Z259" s="176" t="str">
        <f aca="false">IF(INDEX(Salary_Calculation[Source Row],ROW()-ROW(Payslip_Lookup[#Headers]))="","",INDEX(Salary_Calculation[Final Salary],ROW()-ROW(Payslip_Lookup[#Headers])))</f>
        <v/>
      </c>
      <c r="AA259" s="176" t="str">
        <f aca="false">IF(INDEX(Salary_Calculation[Source Row],ROW()-ROW(Payslip_Lookup[#Headers]))="","",INDEX(Salary_Calculation[Negative Balance / Amount Due from Rider],ROW()-ROW(Payslip_Lookup[#Headers])))</f>
        <v/>
      </c>
      <c r="AB259" s="176" t="str">
        <f aca="false">IF(INDEX(Salary_Calculation[Source Row],ROW()-ROW(Payslip_Lookup[#Headers]))="","",INDEX(Salary_Calculation[Total Amount Due from Rider],ROW()-ROW(Payslip_Lookup[#Headers])))</f>
        <v/>
      </c>
      <c r="AC259" s="176" t="str">
        <f aca="false">IF(INDEX(Salary_Calculation[Source Row],ROW()-ROW(Payslip_Lookup[#Headers]))="","",INDEX(Salary_Calculation[Salary Before Other Deductions],ROW()-ROW(Payslip_Lookup[#Headers])))</f>
        <v/>
      </c>
      <c r="AD259" s="171" t="str">
        <f aca="false">IF(INDEX(Salary_Calculation[Source Row],ROW()-ROW(Payslip_Lookup[#Headers]))="","",INDEX(Salary_Calculation[Payment Status],ROW()-ROW(Payslip_Lookup[#Headers])))</f>
        <v/>
      </c>
      <c r="AE259" s="171" t="str">
        <f aca="false">IF(INDEX(Salary_Calculation[Source Row],ROW()-ROW(Payslip_Lookup[#Headers]))="","",INDEX(Salary_Calculation[Notes],ROW()-ROW(Payslip_Lookup[#Headers])))</f>
        <v/>
      </c>
      <c r="AF259" s="171" t="str">
        <f aca="false">IF(INDEX(Salary_Calculation[Source Row],ROW()-ROW(Payslip_Lookup[#Headers]))="","",INDEX(Salary_Calculation[Exception Reason],ROW()-ROW(Payslip_Lookup[#Headers])))</f>
        <v/>
      </c>
      <c r="AG259" s="173" t="str">
        <f aca="false">IF($AD259="Review Required",COUNTIF(AD$2:AD259,"Review Required"),"")</f>
        <v/>
      </c>
      <c r="AH259" s="173" t="str">
        <f aca="false">IF(AND($D259&lt;&gt;"",$B259=Payslip_Print!$C$2),MAX(AH$1:AH258)+1,"")</f>
        <v/>
      </c>
      <c r="AL259" s="178" t="str">
        <f aca="false">IFERROR(INDEX($D$2:$D$501,MATCH(ROW()-1,$AH$2:$AH$501,0)),"")</f>
        <v/>
      </c>
      <c r="AM259" s="179" t="str">
        <f aca="false">IF($Z259="","",IF(AND($C259&gt;=Dash_Start,$C259&lt;Dash_End),$Z259+ROW()/10000000,""))</f>
        <v/>
      </c>
    </row>
    <row r="260" customFormat="false" ht="14.25" hidden="false" customHeight="false" outlineLevel="0" collapsed="false">
      <c r="A260" s="171" t="str">
        <f aca="false">IF(Payslip_Lookup[[#This Row],[Rider ID]]="","",Payslip_Lookup[[#This Row],[Rider ID]]&amp;"|"&amp;Payslip_Lookup[[#This Row],[Month Key]])</f>
        <v/>
      </c>
      <c r="B260" s="172" t="str">
        <f aca="false">IF(ISNUMBER(Payslip_Lookup[[#This Row],[Salary Month]]),DATE(YEAR(Payslip_Lookup[[#This Row],[Salary Month]]),MONTH(Payslip_Lookup[[#This Row],[Salary Month]]),1),"")</f>
        <v/>
      </c>
      <c r="C260" s="172" t="str">
        <f aca="false">IF(INDEX(Salary_Calculation[Source Row],ROW()-ROW(Payslip_Lookup[#Headers]))="","",INDEX(Salary_Calculation[Salary Month],ROW()-ROW(Payslip_Lookup[#Headers])))</f>
        <v/>
      </c>
      <c r="D260" s="173" t="str">
        <f aca="false">IF(INDEX(Salary_Calculation[Source Row],ROW()-ROW(Payslip_Lookup[#Headers]))="","",INDEX(Salary_Calculation[Rider ID],ROW()-ROW(Payslip_Lookup[#Headers])))</f>
        <v/>
      </c>
      <c r="E260" s="171" t="str">
        <f aca="false">IF(INDEX(Salary_Calculation[Source Row],ROW()-ROW(Payslip_Lookup[#Headers]))="","",INDEX(Salary_Calculation[Rider Name],ROW()-ROW(Payslip_Lookup[#Headers])))</f>
        <v/>
      </c>
      <c r="F260" s="173" t="str">
        <f aca="false">IF(INDEX(Salary_Calculation[Source Row],ROW()-ROW(Payslip_Lookup[#Headers]))="","",INDEX(Salary_Calculation[Working Days],ROW()-ROW(Payslip_Lookup[#Headers])))</f>
        <v/>
      </c>
      <c r="G260" s="173" t="str">
        <f aca="false">IF(INDEX(Salary_Calculation[Source Row],ROW()-ROW(Payslip_Lookup[#Headers]))="","",INDEX(Salary_Calculation[Calendar Days],ROW()-ROW(Payslip_Lookup[#Headers])))</f>
        <v/>
      </c>
      <c r="H260" s="174" t="str">
        <f aca="false">IF(INDEX(Salary_Calculation[Source Row],ROW()-ROW(Payslip_Lookup[#Headers]))="","",INDEX(Salary_Calculation[Monthly Target Orders],ROW()-ROW(Payslip_Lookup[#Headers])))</f>
        <v/>
      </c>
      <c r="I260" s="174" t="str">
        <f aca="false">IF(INDEX(Salary_Calculation[Source Row],ROW()-ROW(Payslip_Lookup[#Headers]))="","",INDEX(Salary_Calculation[Rider Target Orders],ROW()-ROW(Payslip_Lookup[#Headers])))</f>
        <v/>
      </c>
      <c r="J260" s="175" t="str">
        <f aca="false">IF(INDEX(Salary_Calculation[Source Row],ROW()-ROW(Payslip_Lookup[#Headers]))="","",INDEX(Salary_Calculation[Completed Orders],ROW()-ROW(Payslip_Lookup[#Headers])))</f>
        <v/>
      </c>
      <c r="K260" s="174" t="str">
        <f aca="false">IF(INDEX(Salary_Calculation[Source Row],ROW()-ROW(Payslip_Lookup[#Headers]))="","",INDEX(Salary_Calculation[Base Order Rate],ROW()-ROW(Payslip_Lookup[#Headers])))</f>
        <v/>
      </c>
      <c r="L260" s="176" t="str">
        <f aca="false">IF(INDEX(Salary_Calculation[Source Row],ROW()-ROW(Payslip_Lookup[#Headers]))="","",INDEX(Salary_Calculation[Basic Payment],ROW()-ROW(Payslip_Lookup[#Headers])))</f>
        <v/>
      </c>
      <c r="M260" s="176" t="str">
        <f aca="false">IF(INDEX(Salary_Calculation[Source Row],ROW()-ROW(Payslip_Lookup[#Headers]))="","",INDEX(Salary_Calculation[Earned Salary],ROW()-ROW(Payslip_Lookup[#Headers])))</f>
        <v/>
      </c>
      <c r="N260" s="174" t="str">
        <f aca="false">IF(INDEX(Salary_Calculation[Source Row],ROW()-ROW(Payslip_Lookup[#Headers]))="","",INDEX(Salary_Calculation[Orders Counted at Base Rate],ROW()-ROW(Payslip_Lookup[#Headers])))</f>
        <v/>
      </c>
      <c r="O260" s="174" t="str">
        <f aca="false">IF(INDEX(Salary_Calculation[Source Row],ROW()-ROW(Payslip_Lookup[#Headers]))="","",INDEX(Salary_Calculation[Missing Orders],ROW()-ROW(Payslip_Lookup[#Headers])))</f>
        <v/>
      </c>
      <c r="P260" s="176" t="str">
        <f aca="false">IF(INDEX(Salary_Calculation[Source Row],ROW()-ROW(Payslip_Lookup[#Headers]))="","",INDEX(Salary_Calculation[Missing-Order Deduction],ROW()-ROW(Payslip_Lookup[#Headers])))</f>
        <v/>
      </c>
      <c r="Q260" s="174" t="str">
        <f aca="false">IF(INDEX(Salary_Calculation[Source Row],ROW()-ROW(Payslip_Lookup[#Headers]))="","",INDEX(Salary_Calculation[Extra Orders],ROW()-ROW(Payslip_Lookup[#Headers])))</f>
        <v/>
      </c>
      <c r="R260" s="176" t="str">
        <f aca="false">IF(INDEX(Salary_Calculation[Source Row],ROW()-ROW(Payslip_Lookup[#Headers]))="","",INDEX(Salary_Calculation[Extra-Order Bonus],ROW()-ROW(Payslip_Lookup[#Headers])))</f>
        <v/>
      </c>
      <c r="S260" s="176" t="str">
        <f aca="false">IF(INDEX(Salary_Calculation[Source Row],ROW()-ROW(Payslip_Lookup[#Headers]))="","",INDEX(Salary_Calculation[Basic Salary for Target],ROW()-ROW(Payslip_Lookup[#Headers])))</f>
        <v/>
      </c>
      <c r="T260" s="176" t="str">
        <f aca="false">IF(INDEX(Salary_Calculation[Source Row],ROW()-ROW(Payslip_Lookup[#Headers]))="","",INDEX(Salary_Calculation[Gross Salary Before Deductions],ROW()-ROW(Payslip_Lookup[#Headers])))</f>
        <v/>
      </c>
      <c r="U260" s="176" t="str">
        <f aca="false">IF(INDEX(Salary_Calculation[Source Row],ROW()-ROW(Payslip_Lookup[#Headers]))="","",INDEX(Salary_Calculation[missed_days_penalty],ROW()-ROW(Payslip_Lookup[#Headers])))</f>
        <v/>
      </c>
      <c r="V260" s="176" t="str">
        <f aca="false">IF(INDEX(Salary_Calculation[Source Row],ROW()-ROW(Payslip_Lookup[#Headers]))="","",INDEX(Salary_Calculation[Rider Balance],ROW()-ROW(Payslip_Lookup[#Headers])))</f>
        <v/>
      </c>
      <c r="W260" s="176" t="str">
        <f aca="false">IF(INDEX(Salary_Calculation[Source Row],ROW()-ROW(Payslip_Lookup[#Headers]))="","",INDEX(Salary_Calculation[stacking_deduction],ROW()-ROW(Payslip_Lookup[#Headers])))</f>
        <v/>
      </c>
      <c r="X260" s="176" t="str">
        <f aca="false">IF(INDEX(Salary_Calculation[Source Row],ROW()-ROW(Payslip_Lookup[#Headers]))="","",INDEX(Salary_Calculation[Other Deductions],ROW()-ROW(Payslip_Lookup[#Headers])))</f>
        <v/>
      </c>
      <c r="Y260" s="176" t="str">
        <f aca="false">IF(INDEX(Salary_Calculation[Source Row],ROW()-ROW(Payslip_Lookup[#Headers]))="","",INDEX(Salary_Calculation[Total Deductions],ROW()-ROW(Payslip_Lookup[#Headers])))</f>
        <v/>
      </c>
      <c r="Z260" s="176" t="str">
        <f aca="false">IF(INDEX(Salary_Calculation[Source Row],ROW()-ROW(Payslip_Lookup[#Headers]))="","",INDEX(Salary_Calculation[Final Salary],ROW()-ROW(Payslip_Lookup[#Headers])))</f>
        <v/>
      </c>
      <c r="AA260" s="176" t="str">
        <f aca="false">IF(INDEX(Salary_Calculation[Source Row],ROW()-ROW(Payslip_Lookup[#Headers]))="","",INDEX(Salary_Calculation[Negative Balance / Amount Due from Rider],ROW()-ROW(Payslip_Lookup[#Headers])))</f>
        <v/>
      </c>
      <c r="AB260" s="176" t="str">
        <f aca="false">IF(INDEX(Salary_Calculation[Source Row],ROW()-ROW(Payslip_Lookup[#Headers]))="","",INDEX(Salary_Calculation[Total Amount Due from Rider],ROW()-ROW(Payslip_Lookup[#Headers])))</f>
        <v/>
      </c>
      <c r="AC260" s="176" t="str">
        <f aca="false">IF(INDEX(Salary_Calculation[Source Row],ROW()-ROW(Payslip_Lookup[#Headers]))="","",INDEX(Salary_Calculation[Salary Before Other Deductions],ROW()-ROW(Payslip_Lookup[#Headers])))</f>
        <v/>
      </c>
      <c r="AD260" s="171" t="str">
        <f aca="false">IF(INDEX(Salary_Calculation[Source Row],ROW()-ROW(Payslip_Lookup[#Headers]))="","",INDEX(Salary_Calculation[Payment Status],ROW()-ROW(Payslip_Lookup[#Headers])))</f>
        <v/>
      </c>
      <c r="AE260" s="171" t="str">
        <f aca="false">IF(INDEX(Salary_Calculation[Source Row],ROW()-ROW(Payslip_Lookup[#Headers]))="","",INDEX(Salary_Calculation[Notes],ROW()-ROW(Payslip_Lookup[#Headers])))</f>
        <v/>
      </c>
      <c r="AF260" s="171" t="str">
        <f aca="false">IF(INDEX(Salary_Calculation[Source Row],ROW()-ROW(Payslip_Lookup[#Headers]))="","",INDEX(Salary_Calculation[Exception Reason],ROW()-ROW(Payslip_Lookup[#Headers])))</f>
        <v/>
      </c>
      <c r="AG260" s="173" t="str">
        <f aca="false">IF($AD260="Review Required",COUNTIF(AD$2:AD260,"Review Required"),"")</f>
        <v/>
      </c>
      <c r="AH260" s="173" t="str">
        <f aca="false">IF(AND($D260&lt;&gt;"",$B260=Payslip_Print!$C$2),MAX(AH$1:AH259)+1,"")</f>
        <v/>
      </c>
      <c r="AL260" s="178" t="str">
        <f aca="false">IFERROR(INDEX($D$2:$D$501,MATCH(ROW()-1,$AH$2:$AH$501,0)),"")</f>
        <v/>
      </c>
      <c r="AM260" s="179" t="str">
        <f aca="false">IF($Z260="","",IF(AND($C260&gt;=Dash_Start,$C260&lt;Dash_End),$Z260+ROW()/10000000,""))</f>
        <v/>
      </c>
    </row>
    <row r="261" customFormat="false" ht="14.25" hidden="false" customHeight="false" outlineLevel="0" collapsed="false">
      <c r="A261" s="171" t="str">
        <f aca="false">IF(Payslip_Lookup[[#This Row],[Rider ID]]="","",Payslip_Lookup[[#This Row],[Rider ID]]&amp;"|"&amp;Payslip_Lookup[[#This Row],[Month Key]])</f>
        <v/>
      </c>
      <c r="B261" s="172" t="str">
        <f aca="false">IF(ISNUMBER(Payslip_Lookup[[#This Row],[Salary Month]]),DATE(YEAR(Payslip_Lookup[[#This Row],[Salary Month]]),MONTH(Payslip_Lookup[[#This Row],[Salary Month]]),1),"")</f>
        <v/>
      </c>
      <c r="C261" s="172" t="str">
        <f aca="false">IF(INDEX(Salary_Calculation[Source Row],ROW()-ROW(Payslip_Lookup[#Headers]))="","",INDEX(Salary_Calculation[Salary Month],ROW()-ROW(Payslip_Lookup[#Headers])))</f>
        <v/>
      </c>
      <c r="D261" s="173" t="str">
        <f aca="false">IF(INDEX(Salary_Calculation[Source Row],ROW()-ROW(Payslip_Lookup[#Headers]))="","",INDEX(Salary_Calculation[Rider ID],ROW()-ROW(Payslip_Lookup[#Headers])))</f>
        <v/>
      </c>
      <c r="E261" s="171" t="str">
        <f aca="false">IF(INDEX(Salary_Calculation[Source Row],ROW()-ROW(Payslip_Lookup[#Headers]))="","",INDEX(Salary_Calculation[Rider Name],ROW()-ROW(Payslip_Lookup[#Headers])))</f>
        <v/>
      </c>
      <c r="F261" s="173" t="str">
        <f aca="false">IF(INDEX(Salary_Calculation[Source Row],ROW()-ROW(Payslip_Lookup[#Headers]))="","",INDEX(Salary_Calculation[Working Days],ROW()-ROW(Payslip_Lookup[#Headers])))</f>
        <v/>
      </c>
      <c r="G261" s="173" t="str">
        <f aca="false">IF(INDEX(Salary_Calculation[Source Row],ROW()-ROW(Payslip_Lookup[#Headers]))="","",INDEX(Salary_Calculation[Calendar Days],ROW()-ROW(Payslip_Lookup[#Headers])))</f>
        <v/>
      </c>
      <c r="H261" s="174" t="str">
        <f aca="false">IF(INDEX(Salary_Calculation[Source Row],ROW()-ROW(Payslip_Lookup[#Headers]))="","",INDEX(Salary_Calculation[Monthly Target Orders],ROW()-ROW(Payslip_Lookup[#Headers])))</f>
        <v/>
      </c>
      <c r="I261" s="174" t="str">
        <f aca="false">IF(INDEX(Salary_Calculation[Source Row],ROW()-ROW(Payslip_Lookup[#Headers]))="","",INDEX(Salary_Calculation[Rider Target Orders],ROW()-ROW(Payslip_Lookup[#Headers])))</f>
        <v/>
      </c>
      <c r="J261" s="175" t="str">
        <f aca="false">IF(INDEX(Salary_Calculation[Source Row],ROW()-ROW(Payslip_Lookup[#Headers]))="","",INDEX(Salary_Calculation[Completed Orders],ROW()-ROW(Payslip_Lookup[#Headers])))</f>
        <v/>
      </c>
      <c r="K261" s="174" t="str">
        <f aca="false">IF(INDEX(Salary_Calculation[Source Row],ROW()-ROW(Payslip_Lookup[#Headers]))="","",INDEX(Salary_Calculation[Base Order Rate],ROW()-ROW(Payslip_Lookup[#Headers])))</f>
        <v/>
      </c>
      <c r="L261" s="176" t="str">
        <f aca="false">IF(INDEX(Salary_Calculation[Source Row],ROW()-ROW(Payslip_Lookup[#Headers]))="","",INDEX(Salary_Calculation[Basic Payment],ROW()-ROW(Payslip_Lookup[#Headers])))</f>
        <v/>
      </c>
      <c r="M261" s="176" t="str">
        <f aca="false">IF(INDEX(Salary_Calculation[Source Row],ROW()-ROW(Payslip_Lookup[#Headers]))="","",INDEX(Salary_Calculation[Earned Salary],ROW()-ROW(Payslip_Lookup[#Headers])))</f>
        <v/>
      </c>
      <c r="N261" s="174" t="str">
        <f aca="false">IF(INDEX(Salary_Calculation[Source Row],ROW()-ROW(Payslip_Lookup[#Headers]))="","",INDEX(Salary_Calculation[Orders Counted at Base Rate],ROW()-ROW(Payslip_Lookup[#Headers])))</f>
        <v/>
      </c>
      <c r="O261" s="174" t="str">
        <f aca="false">IF(INDEX(Salary_Calculation[Source Row],ROW()-ROW(Payslip_Lookup[#Headers]))="","",INDEX(Salary_Calculation[Missing Orders],ROW()-ROW(Payslip_Lookup[#Headers])))</f>
        <v/>
      </c>
      <c r="P261" s="176" t="str">
        <f aca="false">IF(INDEX(Salary_Calculation[Source Row],ROW()-ROW(Payslip_Lookup[#Headers]))="","",INDEX(Salary_Calculation[Missing-Order Deduction],ROW()-ROW(Payslip_Lookup[#Headers])))</f>
        <v/>
      </c>
      <c r="Q261" s="174" t="str">
        <f aca="false">IF(INDEX(Salary_Calculation[Source Row],ROW()-ROW(Payslip_Lookup[#Headers]))="","",INDEX(Salary_Calculation[Extra Orders],ROW()-ROW(Payslip_Lookup[#Headers])))</f>
        <v/>
      </c>
      <c r="R261" s="176" t="str">
        <f aca="false">IF(INDEX(Salary_Calculation[Source Row],ROW()-ROW(Payslip_Lookup[#Headers]))="","",INDEX(Salary_Calculation[Extra-Order Bonus],ROW()-ROW(Payslip_Lookup[#Headers])))</f>
        <v/>
      </c>
      <c r="S261" s="176" t="str">
        <f aca="false">IF(INDEX(Salary_Calculation[Source Row],ROW()-ROW(Payslip_Lookup[#Headers]))="","",INDEX(Salary_Calculation[Basic Salary for Target],ROW()-ROW(Payslip_Lookup[#Headers])))</f>
        <v/>
      </c>
      <c r="T261" s="176" t="str">
        <f aca="false">IF(INDEX(Salary_Calculation[Source Row],ROW()-ROW(Payslip_Lookup[#Headers]))="","",INDEX(Salary_Calculation[Gross Salary Before Deductions],ROW()-ROW(Payslip_Lookup[#Headers])))</f>
        <v/>
      </c>
      <c r="U261" s="176" t="str">
        <f aca="false">IF(INDEX(Salary_Calculation[Source Row],ROW()-ROW(Payslip_Lookup[#Headers]))="","",INDEX(Salary_Calculation[missed_days_penalty],ROW()-ROW(Payslip_Lookup[#Headers])))</f>
        <v/>
      </c>
      <c r="V261" s="176" t="str">
        <f aca="false">IF(INDEX(Salary_Calculation[Source Row],ROW()-ROW(Payslip_Lookup[#Headers]))="","",INDEX(Salary_Calculation[Rider Balance],ROW()-ROW(Payslip_Lookup[#Headers])))</f>
        <v/>
      </c>
      <c r="W261" s="176" t="str">
        <f aca="false">IF(INDEX(Salary_Calculation[Source Row],ROW()-ROW(Payslip_Lookup[#Headers]))="","",INDEX(Salary_Calculation[stacking_deduction],ROW()-ROW(Payslip_Lookup[#Headers])))</f>
        <v/>
      </c>
      <c r="X261" s="176" t="str">
        <f aca="false">IF(INDEX(Salary_Calculation[Source Row],ROW()-ROW(Payslip_Lookup[#Headers]))="","",INDEX(Salary_Calculation[Other Deductions],ROW()-ROW(Payslip_Lookup[#Headers])))</f>
        <v/>
      </c>
      <c r="Y261" s="176" t="str">
        <f aca="false">IF(INDEX(Salary_Calculation[Source Row],ROW()-ROW(Payslip_Lookup[#Headers]))="","",INDEX(Salary_Calculation[Total Deductions],ROW()-ROW(Payslip_Lookup[#Headers])))</f>
        <v/>
      </c>
      <c r="Z261" s="176" t="str">
        <f aca="false">IF(INDEX(Salary_Calculation[Source Row],ROW()-ROW(Payslip_Lookup[#Headers]))="","",INDEX(Salary_Calculation[Final Salary],ROW()-ROW(Payslip_Lookup[#Headers])))</f>
        <v/>
      </c>
      <c r="AA261" s="176" t="str">
        <f aca="false">IF(INDEX(Salary_Calculation[Source Row],ROW()-ROW(Payslip_Lookup[#Headers]))="","",INDEX(Salary_Calculation[Negative Balance / Amount Due from Rider],ROW()-ROW(Payslip_Lookup[#Headers])))</f>
        <v/>
      </c>
      <c r="AB261" s="176" t="str">
        <f aca="false">IF(INDEX(Salary_Calculation[Source Row],ROW()-ROW(Payslip_Lookup[#Headers]))="","",INDEX(Salary_Calculation[Total Amount Due from Rider],ROW()-ROW(Payslip_Lookup[#Headers])))</f>
        <v/>
      </c>
      <c r="AC261" s="176" t="str">
        <f aca="false">IF(INDEX(Salary_Calculation[Source Row],ROW()-ROW(Payslip_Lookup[#Headers]))="","",INDEX(Salary_Calculation[Salary Before Other Deductions],ROW()-ROW(Payslip_Lookup[#Headers])))</f>
        <v/>
      </c>
      <c r="AD261" s="171" t="str">
        <f aca="false">IF(INDEX(Salary_Calculation[Source Row],ROW()-ROW(Payslip_Lookup[#Headers]))="","",INDEX(Salary_Calculation[Payment Status],ROW()-ROW(Payslip_Lookup[#Headers])))</f>
        <v/>
      </c>
      <c r="AE261" s="171" t="str">
        <f aca="false">IF(INDEX(Salary_Calculation[Source Row],ROW()-ROW(Payslip_Lookup[#Headers]))="","",INDEX(Salary_Calculation[Notes],ROW()-ROW(Payslip_Lookup[#Headers])))</f>
        <v/>
      </c>
      <c r="AF261" s="171" t="str">
        <f aca="false">IF(INDEX(Salary_Calculation[Source Row],ROW()-ROW(Payslip_Lookup[#Headers]))="","",INDEX(Salary_Calculation[Exception Reason],ROW()-ROW(Payslip_Lookup[#Headers])))</f>
        <v/>
      </c>
      <c r="AG261" s="173" t="str">
        <f aca="false">IF($AD261="Review Required",COUNTIF(AD$2:AD261,"Review Required"),"")</f>
        <v/>
      </c>
      <c r="AH261" s="173" t="str">
        <f aca="false">IF(AND($D261&lt;&gt;"",$B261=Payslip_Print!$C$2),MAX(AH$1:AH260)+1,"")</f>
        <v/>
      </c>
      <c r="AL261" s="178" t="str">
        <f aca="false">IFERROR(INDEX($D$2:$D$501,MATCH(ROW()-1,$AH$2:$AH$501,0)),"")</f>
        <v/>
      </c>
      <c r="AM261" s="179" t="str">
        <f aca="false">IF($Z261="","",IF(AND($C261&gt;=Dash_Start,$C261&lt;Dash_End),$Z261+ROW()/10000000,""))</f>
        <v/>
      </c>
    </row>
    <row r="262" customFormat="false" ht="14.25" hidden="false" customHeight="false" outlineLevel="0" collapsed="false">
      <c r="A262" s="171" t="str">
        <f aca="false">IF(Payslip_Lookup[[#This Row],[Rider ID]]="","",Payslip_Lookup[[#This Row],[Rider ID]]&amp;"|"&amp;Payslip_Lookup[[#This Row],[Month Key]])</f>
        <v/>
      </c>
      <c r="B262" s="172" t="str">
        <f aca="false">IF(ISNUMBER(Payslip_Lookup[[#This Row],[Salary Month]]),DATE(YEAR(Payslip_Lookup[[#This Row],[Salary Month]]),MONTH(Payslip_Lookup[[#This Row],[Salary Month]]),1),"")</f>
        <v/>
      </c>
      <c r="C262" s="172" t="str">
        <f aca="false">IF(INDEX(Salary_Calculation[Source Row],ROW()-ROW(Payslip_Lookup[#Headers]))="","",INDEX(Salary_Calculation[Salary Month],ROW()-ROW(Payslip_Lookup[#Headers])))</f>
        <v/>
      </c>
      <c r="D262" s="173" t="str">
        <f aca="false">IF(INDEX(Salary_Calculation[Source Row],ROW()-ROW(Payslip_Lookup[#Headers]))="","",INDEX(Salary_Calculation[Rider ID],ROW()-ROW(Payslip_Lookup[#Headers])))</f>
        <v/>
      </c>
      <c r="E262" s="171" t="str">
        <f aca="false">IF(INDEX(Salary_Calculation[Source Row],ROW()-ROW(Payslip_Lookup[#Headers]))="","",INDEX(Salary_Calculation[Rider Name],ROW()-ROW(Payslip_Lookup[#Headers])))</f>
        <v/>
      </c>
      <c r="F262" s="173" t="str">
        <f aca="false">IF(INDEX(Salary_Calculation[Source Row],ROW()-ROW(Payslip_Lookup[#Headers]))="","",INDEX(Salary_Calculation[Working Days],ROW()-ROW(Payslip_Lookup[#Headers])))</f>
        <v/>
      </c>
      <c r="G262" s="173" t="str">
        <f aca="false">IF(INDEX(Salary_Calculation[Source Row],ROW()-ROW(Payslip_Lookup[#Headers]))="","",INDEX(Salary_Calculation[Calendar Days],ROW()-ROW(Payslip_Lookup[#Headers])))</f>
        <v/>
      </c>
      <c r="H262" s="174" t="str">
        <f aca="false">IF(INDEX(Salary_Calculation[Source Row],ROW()-ROW(Payslip_Lookup[#Headers]))="","",INDEX(Salary_Calculation[Monthly Target Orders],ROW()-ROW(Payslip_Lookup[#Headers])))</f>
        <v/>
      </c>
      <c r="I262" s="174" t="str">
        <f aca="false">IF(INDEX(Salary_Calculation[Source Row],ROW()-ROW(Payslip_Lookup[#Headers]))="","",INDEX(Salary_Calculation[Rider Target Orders],ROW()-ROW(Payslip_Lookup[#Headers])))</f>
        <v/>
      </c>
      <c r="J262" s="175" t="str">
        <f aca="false">IF(INDEX(Salary_Calculation[Source Row],ROW()-ROW(Payslip_Lookup[#Headers]))="","",INDEX(Salary_Calculation[Completed Orders],ROW()-ROW(Payslip_Lookup[#Headers])))</f>
        <v/>
      </c>
      <c r="K262" s="174" t="str">
        <f aca="false">IF(INDEX(Salary_Calculation[Source Row],ROW()-ROW(Payslip_Lookup[#Headers]))="","",INDEX(Salary_Calculation[Base Order Rate],ROW()-ROW(Payslip_Lookup[#Headers])))</f>
        <v/>
      </c>
      <c r="L262" s="176" t="str">
        <f aca="false">IF(INDEX(Salary_Calculation[Source Row],ROW()-ROW(Payslip_Lookup[#Headers]))="","",INDEX(Salary_Calculation[Basic Payment],ROW()-ROW(Payslip_Lookup[#Headers])))</f>
        <v/>
      </c>
      <c r="M262" s="176" t="str">
        <f aca="false">IF(INDEX(Salary_Calculation[Source Row],ROW()-ROW(Payslip_Lookup[#Headers]))="","",INDEX(Salary_Calculation[Earned Salary],ROW()-ROW(Payslip_Lookup[#Headers])))</f>
        <v/>
      </c>
      <c r="N262" s="174" t="str">
        <f aca="false">IF(INDEX(Salary_Calculation[Source Row],ROW()-ROW(Payslip_Lookup[#Headers]))="","",INDEX(Salary_Calculation[Orders Counted at Base Rate],ROW()-ROW(Payslip_Lookup[#Headers])))</f>
        <v/>
      </c>
      <c r="O262" s="174" t="str">
        <f aca="false">IF(INDEX(Salary_Calculation[Source Row],ROW()-ROW(Payslip_Lookup[#Headers]))="","",INDEX(Salary_Calculation[Missing Orders],ROW()-ROW(Payslip_Lookup[#Headers])))</f>
        <v/>
      </c>
      <c r="P262" s="176" t="str">
        <f aca="false">IF(INDEX(Salary_Calculation[Source Row],ROW()-ROW(Payslip_Lookup[#Headers]))="","",INDEX(Salary_Calculation[Missing-Order Deduction],ROW()-ROW(Payslip_Lookup[#Headers])))</f>
        <v/>
      </c>
      <c r="Q262" s="174" t="str">
        <f aca="false">IF(INDEX(Salary_Calculation[Source Row],ROW()-ROW(Payslip_Lookup[#Headers]))="","",INDEX(Salary_Calculation[Extra Orders],ROW()-ROW(Payslip_Lookup[#Headers])))</f>
        <v/>
      </c>
      <c r="R262" s="176" t="str">
        <f aca="false">IF(INDEX(Salary_Calculation[Source Row],ROW()-ROW(Payslip_Lookup[#Headers]))="","",INDEX(Salary_Calculation[Extra-Order Bonus],ROW()-ROW(Payslip_Lookup[#Headers])))</f>
        <v/>
      </c>
      <c r="S262" s="176" t="str">
        <f aca="false">IF(INDEX(Salary_Calculation[Source Row],ROW()-ROW(Payslip_Lookup[#Headers]))="","",INDEX(Salary_Calculation[Basic Salary for Target],ROW()-ROW(Payslip_Lookup[#Headers])))</f>
        <v/>
      </c>
      <c r="T262" s="176" t="str">
        <f aca="false">IF(INDEX(Salary_Calculation[Source Row],ROW()-ROW(Payslip_Lookup[#Headers]))="","",INDEX(Salary_Calculation[Gross Salary Before Deductions],ROW()-ROW(Payslip_Lookup[#Headers])))</f>
        <v/>
      </c>
      <c r="U262" s="176" t="str">
        <f aca="false">IF(INDEX(Salary_Calculation[Source Row],ROW()-ROW(Payslip_Lookup[#Headers]))="","",INDEX(Salary_Calculation[missed_days_penalty],ROW()-ROW(Payslip_Lookup[#Headers])))</f>
        <v/>
      </c>
      <c r="V262" s="176" t="str">
        <f aca="false">IF(INDEX(Salary_Calculation[Source Row],ROW()-ROW(Payslip_Lookup[#Headers]))="","",INDEX(Salary_Calculation[Rider Balance],ROW()-ROW(Payslip_Lookup[#Headers])))</f>
        <v/>
      </c>
      <c r="W262" s="176" t="str">
        <f aca="false">IF(INDEX(Salary_Calculation[Source Row],ROW()-ROW(Payslip_Lookup[#Headers]))="","",INDEX(Salary_Calculation[stacking_deduction],ROW()-ROW(Payslip_Lookup[#Headers])))</f>
        <v/>
      </c>
      <c r="X262" s="176" t="str">
        <f aca="false">IF(INDEX(Salary_Calculation[Source Row],ROW()-ROW(Payslip_Lookup[#Headers]))="","",INDEX(Salary_Calculation[Other Deductions],ROW()-ROW(Payslip_Lookup[#Headers])))</f>
        <v/>
      </c>
      <c r="Y262" s="176" t="str">
        <f aca="false">IF(INDEX(Salary_Calculation[Source Row],ROW()-ROW(Payslip_Lookup[#Headers]))="","",INDEX(Salary_Calculation[Total Deductions],ROW()-ROW(Payslip_Lookup[#Headers])))</f>
        <v/>
      </c>
      <c r="Z262" s="176" t="str">
        <f aca="false">IF(INDEX(Salary_Calculation[Source Row],ROW()-ROW(Payslip_Lookup[#Headers]))="","",INDEX(Salary_Calculation[Final Salary],ROW()-ROW(Payslip_Lookup[#Headers])))</f>
        <v/>
      </c>
      <c r="AA262" s="176" t="str">
        <f aca="false">IF(INDEX(Salary_Calculation[Source Row],ROW()-ROW(Payslip_Lookup[#Headers]))="","",INDEX(Salary_Calculation[Negative Balance / Amount Due from Rider],ROW()-ROW(Payslip_Lookup[#Headers])))</f>
        <v/>
      </c>
      <c r="AB262" s="176" t="str">
        <f aca="false">IF(INDEX(Salary_Calculation[Source Row],ROW()-ROW(Payslip_Lookup[#Headers]))="","",INDEX(Salary_Calculation[Total Amount Due from Rider],ROW()-ROW(Payslip_Lookup[#Headers])))</f>
        <v/>
      </c>
      <c r="AC262" s="176" t="str">
        <f aca="false">IF(INDEX(Salary_Calculation[Source Row],ROW()-ROW(Payslip_Lookup[#Headers]))="","",INDEX(Salary_Calculation[Salary Before Other Deductions],ROW()-ROW(Payslip_Lookup[#Headers])))</f>
        <v/>
      </c>
      <c r="AD262" s="171" t="str">
        <f aca="false">IF(INDEX(Salary_Calculation[Source Row],ROW()-ROW(Payslip_Lookup[#Headers]))="","",INDEX(Salary_Calculation[Payment Status],ROW()-ROW(Payslip_Lookup[#Headers])))</f>
        <v/>
      </c>
      <c r="AE262" s="171" t="str">
        <f aca="false">IF(INDEX(Salary_Calculation[Source Row],ROW()-ROW(Payslip_Lookup[#Headers]))="","",INDEX(Salary_Calculation[Notes],ROW()-ROW(Payslip_Lookup[#Headers])))</f>
        <v/>
      </c>
      <c r="AF262" s="171" t="str">
        <f aca="false">IF(INDEX(Salary_Calculation[Source Row],ROW()-ROW(Payslip_Lookup[#Headers]))="","",INDEX(Salary_Calculation[Exception Reason],ROW()-ROW(Payslip_Lookup[#Headers])))</f>
        <v/>
      </c>
      <c r="AG262" s="173" t="str">
        <f aca="false">IF($AD262="Review Required",COUNTIF(AD$2:AD262,"Review Required"),"")</f>
        <v/>
      </c>
      <c r="AH262" s="173" t="str">
        <f aca="false">IF(AND($D262&lt;&gt;"",$B262=Payslip_Print!$C$2),MAX(AH$1:AH261)+1,"")</f>
        <v/>
      </c>
      <c r="AL262" s="178" t="str">
        <f aca="false">IFERROR(INDEX($D$2:$D$501,MATCH(ROW()-1,$AH$2:$AH$501,0)),"")</f>
        <v/>
      </c>
      <c r="AM262" s="179" t="str">
        <f aca="false">IF($Z262="","",IF(AND($C262&gt;=Dash_Start,$C262&lt;Dash_End),$Z262+ROW()/10000000,""))</f>
        <v/>
      </c>
    </row>
    <row r="263" customFormat="false" ht="14.25" hidden="false" customHeight="false" outlineLevel="0" collapsed="false">
      <c r="A263" s="171" t="str">
        <f aca="false">IF(Payslip_Lookup[[#This Row],[Rider ID]]="","",Payslip_Lookup[[#This Row],[Rider ID]]&amp;"|"&amp;Payslip_Lookup[[#This Row],[Month Key]])</f>
        <v/>
      </c>
      <c r="B263" s="172" t="str">
        <f aca="false">IF(ISNUMBER(Payslip_Lookup[[#This Row],[Salary Month]]),DATE(YEAR(Payslip_Lookup[[#This Row],[Salary Month]]),MONTH(Payslip_Lookup[[#This Row],[Salary Month]]),1),"")</f>
        <v/>
      </c>
      <c r="C263" s="172" t="str">
        <f aca="false">IF(INDEX(Salary_Calculation[Source Row],ROW()-ROW(Payslip_Lookup[#Headers]))="","",INDEX(Salary_Calculation[Salary Month],ROW()-ROW(Payslip_Lookup[#Headers])))</f>
        <v/>
      </c>
      <c r="D263" s="173" t="str">
        <f aca="false">IF(INDEX(Salary_Calculation[Source Row],ROW()-ROW(Payslip_Lookup[#Headers]))="","",INDEX(Salary_Calculation[Rider ID],ROW()-ROW(Payslip_Lookup[#Headers])))</f>
        <v/>
      </c>
      <c r="E263" s="171" t="str">
        <f aca="false">IF(INDEX(Salary_Calculation[Source Row],ROW()-ROW(Payslip_Lookup[#Headers]))="","",INDEX(Salary_Calculation[Rider Name],ROW()-ROW(Payslip_Lookup[#Headers])))</f>
        <v/>
      </c>
      <c r="F263" s="173" t="str">
        <f aca="false">IF(INDEX(Salary_Calculation[Source Row],ROW()-ROW(Payslip_Lookup[#Headers]))="","",INDEX(Salary_Calculation[Working Days],ROW()-ROW(Payslip_Lookup[#Headers])))</f>
        <v/>
      </c>
      <c r="G263" s="173" t="str">
        <f aca="false">IF(INDEX(Salary_Calculation[Source Row],ROW()-ROW(Payslip_Lookup[#Headers]))="","",INDEX(Salary_Calculation[Calendar Days],ROW()-ROW(Payslip_Lookup[#Headers])))</f>
        <v/>
      </c>
      <c r="H263" s="174" t="str">
        <f aca="false">IF(INDEX(Salary_Calculation[Source Row],ROW()-ROW(Payslip_Lookup[#Headers]))="","",INDEX(Salary_Calculation[Monthly Target Orders],ROW()-ROW(Payslip_Lookup[#Headers])))</f>
        <v/>
      </c>
      <c r="I263" s="174" t="str">
        <f aca="false">IF(INDEX(Salary_Calculation[Source Row],ROW()-ROW(Payslip_Lookup[#Headers]))="","",INDEX(Salary_Calculation[Rider Target Orders],ROW()-ROW(Payslip_Lookup[#Headers])))</f>
        <v/>
      </c>
      <c r="J263" s="175" t="str">
        <f aca="false">IF(INDEX(Salary_Calculation[Source Row],ROW()-ROW(Payslip_Lookup[#Headers]))="","",INDEX(Salary_Calculation[Completed Orders],ROW()-ROW(Payslip_Lookup[#Headers])))</f>
        <v/>
      </c>
      <c r="K263" s="174" t="str">
        <f aca="false">IF(INDEX(Salary_Calculation[Source Row],ROW()-ROW(Payslip_Lookup[#Headers]))="","",INDEX(Salary_Calculation[Base Order Rate],ROW()-ROW(Payslip_Lookup[#Headers])))</f>
        <v/>
      </c>
      <c r="L263" s="176" t="str">
        <f aca="false">IF(INDEX(Salary_Calculation[Source Row],ROW()-ROW(Payslip_Lookup[#Headers]))="","",INDEX(Salary_Calculation[Basic Payment],ROW()-ROW(Payslip_Lookup[#Headers])))</f>
        <v/>
      </c>
      <c r="M263" s="176" t="str">
        <f aca="false">IF(INDEX(Salary_Calculation[Source Row],ROW()-ROW(Payslip_Lookup[#Headers]))="","",INDEX(Salary_Calculation[Earned Salary],ROW()-ROW(Payslip_Lookup[#Headers])))</f>
        <v/>
      </c>
      <c r="N263" s="174" t="str">
        <f aca="false">IF(INDEX(Salary_Calculation[Source Row],ROW()-ROW(Payslip_Lookup[#Headers]))="","",INDEX(Salary_Calculation[Orders Counted at Base Rate],ROW()-ROW(Payslip_Lookup[#Headers])))</f>
        <v/>
      </c>
      <c r="O263" s="174" t="str">
        <f aca="false">IF(INDEX(Salary_Calculation[Source Row],ROW()-ROW(Payslip_Lookup[#Headers]))="","",INDEX(Salary_Calculation[Missing Orders],ROW()-ROW(Payslip_Lookup[#Headers])))</f>
        <v/>
      </c>
      <c r="P263" s="176" t="str">
        <f aca="false">IF(INDEX(Salary_Calculation[Source Row],ROW()-ROW(Payslip_Lookup[#Headers]))="","",INDEX(Salary_Calculation[Missing-Order Deduction],ROW()-ROW(Payslip_Lookup[#Headers])))</f>
        <v/>
      </c>
      <c r="Q263" s="174" t="str">
        <f aca="false">IF(INDEX(Salary_Calculation[Source Row],ROW()-ROW(Payslip_Lookup[#Headers]))="","",INDEX(Salary_Calculation[Extra Orders],ROW()-ROW(Payslip_Lookup[#Headers])))</f>
        <v/>
      </c>
      <c r="R263" s="176" t="str">
        <f aca="false">IF(INDEX(Salary_Calculation[Source Row],ROW()-ROW(Payslip_Lookup[#Headers]))="","",INDEX(Salary_Calculation[Extra-Order Bonus],ROW()-ROW(Payslip_Lookup[#Headers])))</f>
        <v/>
      </c>
      <c r="S263" s="176" t="str">
        <f aca="false">IF(INDEX(Salary_Calculation[Source Row],ROW()-ROW(Payslip_Lookup[#Headers]))="","",INDEX(Salary_Calculation[Basic Salary for Target],ROW()-ROW(Payslip_Lookup[#Headers])))</f>
        <v/>
      </c>
      <c r="T263" s="176" t="str">
        <f aca="false">IF(INDEX(Salary_Calculation[Source Row],ROW()-ROW(Payslip_Lookup[#Headers]))="","",INDEX(Salary_Calculation[Gross Salary Before Deductions],ROW()-ROW(Payslip_Lookup[#Headers])))</f>
        <v/>
      </c>
      <c r="U263" s="176" t="str">
        <f aca="false">IF(INDEX(Salary_Calculation[Source Row],ROW()-ROW(Payslip_Lookup[#Headers]))="","",INDEX(Salary_Calculation[missed_days_penalty],ROW()-ROW(Payslip_Lookup[#Headers])))</f>
        <v/>
      </c>
      <c r="V263" s="176" t="str">
        <f aca="false">IF(INDEX(Salary_Calculation[Source Row],ROW()-ROW(Payslip_Lookup[#Headers]))="","",INDEX(Salary_Calculation[Rider Balance],ROW()-ROW(Payslip_Lookup[#Headers])))</f>
        <v/>
      </c>
      <c r="W263" s="176" t="str">
        <f aca="false">IF(INDEX(Salary_Calculation[Source Row],ROW()-ROW(Payslip_Lookup[#Headers]))="","",INDEX(Salary_Calculation[stacking_deduction],ROW()-ROW(Payslip_Lookup[#Headers])))</f>
        <v/>
      </c>
      <c r="X263" s="176" t="str">
        <f aca="false">IF(INDEX(Salary_Calculation[Source Row],ROW()-ROW(Payslip_Lookup[#Headers]))="","",INDEX(Salary_Calculation[Other Deductions],ROW()-ROW(Payslip_Lookup[#Headers])))</f>
        <v/>
      </c>
      <c r="Y263" s="176" t="str">
        <f aca="false">IF(INDEX(Salary_Calculation[Source Row],ROW()-ROW(Payslip_Lookup[#Headers]))="","",INDEX(Salary_Calculation[Total Deductions],ROW()-ROW(Payslip_Lookup[#Headers])))</f>
        <v/>
      </c>
      <c r="Z263" s="176" t="str">
        <f aca="false">IF(INDEX(Salary_Calculation[Source Row],ROW()-ROW(Payslip_Lookup[#Headers]))="","",INDEX(Salary_Calculation[Final Salary],ROW()-ROW(Payslip_Lookup[#Headers])))</f>
        <v/>
      </c>
      <c r="AA263" s="176" t="str">
        <f aca="false">IF(INDEX(Salary_Calculation[Source Row],ROW()-ROW(Payslip_Lookup[#Headers]))="","",INDEX(Salary_Calculation[Negative Balance / Amount Due from Rider],ROW()-ROW(Payslip_Lookup[#Headers])))</f>
        <v/>
      </c>
      <c r="AB263" s="176" t="str">
        <f aca="false">IF(INDEX(Salary_Calculation[Source Row],ROW()-ROW(Payslip_Lookup[#Headers]))="","",INDEX(Salary_Calculation[Total Amount Due from Rider],ROW()-ROW(Payslip_Lookup[#Headers])))</f>
        <v/>
      </c>
      <c r="AC263" s="176" t="str">
        <f aca="false">IF(INDEX(Salary_Calculation[Source Row],ROW()-ROW(Payslip_Lookup[#Headers]))="","",INDEX(Salary_Calculation[Salary Before Other Deductions],ROW()-ROW(Payslip_Lookup[#Headers])))</f>
        <v/>
      </c>
      <c r="AD263" s="171" t="str">
        <f aca="false">IF(INDEX(Salary_Calculation[Source Row],ROW()-ROW(Payslip_Lookup[#Headers]))="","",INDEX(Salary_Calculation[Payment Status],ROW()-ROW(Payslip_Lookup[#Headers])))</f>
        <v/>
      </c>
      <c r="AE263" s="171" t="str">
        <f aca="false">IF(INDEX(Salary_Calculation[Source Row],ROW()-ROW(Payslip_Lookup[#Headers]))="","",INDEX(Salary_Calculation[Notes],ROW()-ROW(Payslip_Lookup[#Headers])))</f>
        <v/>
      </c>
      <c r="AF263" s="171" t="str">
        <f aca="false">IF(INDEX(Salary_Calculation[Source Row],ROW()-ROW(Payslip_Lookup[#Headers]))="","",INDEX(Salary_Calculation[Exception Reason],ROW()-ROW(Payslip_Lookup[#Headers])))</f>
        <v/>
      </c>
      <c r="AG263" s="173" t="str">
        <f aca="false">IF($AD263="Review Required",COUNTIF(AD$2:AD263,"Review Required"),"")</f>
        <v/>
      </c>
      <c r="AH263" s="173" t="str">
        <f aca="false">IF(AND($D263&lt;&gt;"",$B263=Payslip_Print!$C$2),MAX(AH$1:AH262)+1,"")</f>
        <v/>
      </c>
      <c r="AL263" s="178" t="str">
        <f aca="false">IFERROR(INDEX($D$2:$D$501,MATCH(ROW()-1,$AH$2:$AH$501,0)),"")</f>
        <v/>
      </c>
      <c r="AM263" s="179" t="str">
        <f aca="false">IF($Z263="","",IF(AND($C263&gt;=Dash_Start,$C263&lt;Dash_End),$Z263+ROW()/10000000,""))</f>
        <v/>
      </c>
    </row>
    <row r="264" customFormat="false" ht="14.25" hidden="false" customHeight="false" outlineLevel="0" collapsed="false">
      <c r="A264" s="171" t="str">
        <f aca="false">IF(Payslip_Lookup[[#This Row],[Rider ID]]="","",Payslip_Lookup[[#This Row],[Rider ID]]&amp;"|"&amp;Payslip_Lookup[[#This Row],[Month Key]])</f>
        <v/>
      </c>
      <c r="B264" s="172" t="str">
        <f aca="false">IF(ISNUMBER(Payslip_Lookup[[#This Row],[Salary Month]]),DATE(YEAR(Payslip_Lookup[[#This Row],[Salary Month]]),MONTH(Payslip_Lookup[[#This Row],[Salary Month]]),1),"")</f>
        <v/>
      </c>
      <c r="C264" s="172" t="str">
        <f aca="false">IF(INDEX(Salary_Calculation[Source Row],ROW()-ROW(Payslip_Lookup[#Headers]))="","",INDEX(Salary_Calculation[Salary Month],ROW()-ROW(Payslip_Lookup[#Headers])))</f>
        <v/>
      </c>
      <c r="D264" s="173" t="str">
        <f aca="false">IF(INDEX(Salary_Calculation[Source Row],ROW()-ROW(Payslip_Lookup[#Headers]))="","",INDEX(Salary_Calculation[Rider ID],ROW()-ROW(Payslip_Lookup[#Headers])))</f>
        <v/>
      </c>
      <c r="E264" s="171" t="str">
        <f aca="false">IF(INDEX(Salary_Calculation[Source Row],ROW()-ROW(Payslip_Lookup[#Headers]))="","",INDEX(Salary_Calculation[Rider Name],ROW()-ROW(Payslip_Lookup[#Headers])))</f>
        <v/>
      </c>
      <c r="F264" s="173" t="str">
        <f aca="false">IF(INDEX(Salary_Calculation[Source Row],ROW()-ROW(Payslip_Lookup[#Headers]))="","",INDEX(Salary_Calculation[Working Days],ROW()-ROW(Payslip_Lookup[#Headers])))</f>
        <v/>
      </c>
      <c r="G264" s="173" t="str">
        <f aca="false">IF(INDEX(Salary_Calculation[Source Row],ROW()-ROW(Payslip_Lookup[#Headers]))="","",INDEX(Salary_Calculation[Calendar Days],ROW()-ROW(Payslip_Lookup[#Headers])))</f>
        <v/>
      </c>
      <c r="H264" s="174" t="str">
        <f aca="false">IF(INDEX(Salary_Calculation[Source Row],ROW()-ROW(Payslip_Lookup[#Headers]))="","",INDEX(Salary_Calculation[Monthly Target Orders],ROW()-ROW(Payslip_Lookup[#Headers])))</f>
        <v/>
      </c>
      <c r="I264" s="174" t="str">
        <f aca="false">IF(INDEX(Salary_Calculation[Source Row],ROW()-ROW(Payslip_Lookup[#Headers]))="","",INDEX(Salary_Calculation[Rider Target Orders],ROW()-ROW(Payslip_Lookup[#Headers])))</f>
        <v/>
      </c>
      <c r="J264" s="175" t="str">
        <f aca="false">IF(INDEX(Salary_Calculation[Source Row],ROW()-ROW(Payslip_Lookup[#Headers]))="","",INDEX(Salary_Calculation[Completed Orders],ROW()-ROW(Payslip_Lookup[#Headers])))</f>
        <v/>
      </c>
      <c r="K264" s="174" t="str">
        <f aca="false">IF(INDEX(Salary_Calculation[Source Row],ROW()-ROW(Payslip_Lookup[#Headers]))="","",INDEX(Salary_Calculation[Base Order Rate],ROW()-ROW(Payslip_Lookup[#Headers])))</f>
        <v/>
      </c>
      <c r="L264" s="176" t="str">
        <f aca="false">IF(INDEX(Salary_Calculation[Source Row],ROW()-ROW(Payslip_Lookup[#Headers]))="","",INDEX(Salary_Calculation[Basic Payment],ROW()-ROW(Payslip_Lookup[#Headers])))</f>
        <v/>
      </c>
      <c r="M264" s="176" t="str">
        <f aca="false">IF(INDEX(Salary_Calculation[Source Row],ROW()-ROW(Payslip_Lookup[#Headers]))="","",INDEX(Salary_Calculation[Earned Salary],ROW()-ROW(Payslip_Lookup[#Headers])))</f>
        <v/>
      </c>
      <c r="N264" s="174" t="str">
        <f aca="false">IF(INDEX(Salary_Calculation[Source Row],ROW()-ROW(Payslip_Lookup[#Headers]))="","",INDEX(Salary_Calculation[Orders Counted at Base Rate],ROW()-ROW(Payslip_Lookup[#Headers])))</f>
        <v/>
      </c>
      <c r="O264" s="174" t="str">
        <f aca="false">IF(INDEX(Salary_Calculation[Source Row],ROW()-ROW(Payslip_Lookup[#Headers]))="","",INDEX(Salary_Calculation[Missing Orders],ROW()-ROW(Payslip_Lookup[#Headers])))</f>
        <v/>
      </c>
      <c r="P264" s="176" t="str">
        <f aca="false">IF(INDEX(Salary_Calculation[Source Row],ROW()-ROW(Payslip_Lookup[#Headers]))="","",INDEX(Salary_Calculation[Missing-Order Deduction],ROW()-ROW(Payslip_Lookup[#Headers])))</f>
        <v/>
      </c>
      <c r="Q264" s="174" t="str">
        <f aca="false">IF(INDEX(Salary_Calculation[Source Row],ROW()-ROW(Payslip_Lookup[#Headers]))="","",INDEX(Salary_Calculation[Extra Orders],ROW()-ROW(Payslip_Lookup[#Headers])))</f>
        <v/>
      </c>
      <c r="R264" s="176" t="str">
        <f aca="false">IF(INDEX(Salary_Calculation[Source Row],ROW()-ROW(Payslip_Lookup[#Headers]))="","",INDEX(Salary_Calculation[Extra-Order Bonus],ROW()-ROW(Payslip_Lookup[#Headers])))</f>
        <v/>
      </c>
      <c r="S264" s="176" t="str">
        <f aca="false">IF(INDEX(Salary_Calculation[Source Row],ROW()-ROW(Payslip_Lookup[#Headers]))="","",INDEX(Salary_Calculation[Basic Salary for Target],ROW()-ROW(Payslip_Lookup[#Headers])))</f>
        <v/>
      </c>
      <c r="T264" s="176" t="str">
        <f aca="false">IF(INDEX(Salary_Calculation[Source Row],ROW()-ROW(Payslip_Lookup[#Headers]))="","",INDEX(Salary_Calculation[Gross Salary Before Deductions],ROW()-ROW(Payslip_Lookup[#Headers])))</f>
        <v/>
      </c>
      <c r="U264" s="176" t="str">
        <f aca="false">IF(INDEX(Salary_Calculation[Source Row],ROW()-ROW(Payslip_Lookup[#Headers]))="","",INDEX(Salary_Calculation[missed_days_penalty],ROW()-ROW(Payslip_Lookup[#Headers])))</f>
        <v/>
      </c>
      <c r="V264" s="176" t="str">
        <f aca="false">IF(INDEX(Salary_Calculation[Source Row],ROW()-ROW(Payslip_Lookup[#Headers]))="","",INDEX(Salary_Calculation[Rider Balance],ROW()-ROW(Payslip_Lookup[#Headers])))</f>
        <v/>
      </c>
      <c r="W264" s="176" t="str">
        <f aca="false">IF(INDEX(Salary_Calculation[Source Row],ROW()-ROW(Payslip_Lookup[#Headers]))="","",INDEX(Salary_Calculation[stacking_deduction],ROW()-ROW(Payslip_Lookup[#Headers])))</f>
        <v/>
      </c>
      <c r="X264" s="176" t="str">
        <f aca="false">IF(INDEX(Salary_Calculation[Source Row],ROW()-ROW(Payslip_Lookup[#Headers]))="","",INDEX(Salary_Calculation[Other Deductions],ROW()-ROW(Payslip_Lookup[#Headers])))</f>
        <v/>
      </c>
      <c r="Y264" s="176" t="str">
        <f aca="false">IF(INDEX(Salary_Calculation[Source Row],ROW()-ROW(Payslip_Lookup[#Headers]))="","",INDEX(Salary_Calculation[Total Deductions],ROW()-ROW(Payslip_Lookup[#Headers])))</f>
        <v/>
      </c>
      <c r="Z264" s="176" t="str">
        <f aca="false">IF(INDEX(Salary_Calculation[Source Row],ROW()-ROW(Payslip_Lookup[#Headers]))="","",INDEX(Salary_Calculation[Final Salary],ROW()-ROW(Payslip_Lookup[#Headers])))</f>
        <v/>
      </c>
      <c r="AA264" s="176" t="str">
        <f aca="false">IF(INDEX(Salary_Calculation[Source Row],ROW()-ROW(Payslip_Lookup[#Headers]))="","",INDEX(Salary_Calculation[Negative Balance / Amount Due from Rider],ROW()-ROW(Payslip_Lookup[#Headers])))</f>
        <v/>
      </c>
      <c r="AB264" s="176" t="str">
        <f aca="false">IF(INDEX(Salary_Calculation[Source Row],ROW()-ROW(Payslip_Lookup[#Headers]))="","",INDEX(Salary_Calculation[Total Amount Due from Rider],ROW()-ROW(Payslip_Lookup[#Headers])))</f>
        <v/>
      </c>
      <c r="AC264" s="176" t="str">
        <f aca="false">IF(INDEX(Salary_Calculation[Source Row],ROW()-ROW(Payslip_Lookup[#Headers]))="","",INDEX(Salary_Calculation[Salary Before Other Deductions],ROW()-ROW(Payslip_Lookup[#Headers])))</f>
        <v/>
      </c>
      <c r="AD264" s="171" t="str">
        <f aca="false">IF(INDEX(Salary_Calculation[Source Row],ROW()-ROW(Payslip_Lookup[#Headers]))="","",INDEX(Salary_Calculation[Payment Status],ROW()-ROW(Payslip_Lookup[#Headers])))</f>
        <v/>
      </c>
      <c r="AE264" s="171" t="str">
        <f aca="false">IF(INDEX(Salary_Calculation[Source Row],ROW()-ROW(Payslip_Lookup[#Headers]))="","",INDEX(Salary_Calculation[Notes],ROW()-ROW(Payslip_Lookup[#Headers])))</f>
        <v/>
      </c>
      <c r="AF264" s="171" t="str">
        <f aca="false">IF(INDEX(Salary_Calculation[Source Row],ROW()-ROW(Payslip_Lookup[#Headers]))="","",INDEX(Salary_Calculation[Exception Reason],ROW()-ROW(Payslip_Lookup[#Headers])))</f>
        <v/>
      </c>
      <c r="AG264" s="173" t="str">
        <f aca="false">IF($AD264="Review Required",COUNTIF(AD$2:AD264,"Review Required"),"")</f>
        <v/>
      </c>
      <c r="AH264" s="173" t="str">
        <f aca="false">IF(AND($D264&lt;&gt;"",$B264=Payslip_Print!$C$2),MAX(AH$1:AH263)+1,"")</f>
        <v/>
      </c>
      <c r="AL264" s="178" t="str">
        <f aca="false">IFERROR(INDEX($D$2:$D$501,MATCH(ROW()-1,$AH$2:$AH$501,0)),"")</f>
        <v/>
      </c>
      <c r="AM264" s="179" t="str">
        <f aca="false">IF($Z264="","",IF(AND($C264&gt;=Dash_Start,$C264&lt;Dash_End),$Z264+ROW()/10000000,""))</f>
        <v/>
      </c>
    </row>
    <row r="265" customFormat="false" ht="14.25" hidden="false" customHeight="false" outlineLevel="0" collapsed="false">
      <c r="A265" s="171" t="str">
        <f aca="false">IF(Payslip_Lookup[[#This Row],[Rider ID]]="","",Payslip_Lookup[[#This Row],[Rider ID]]&amp;"|"&amp;Payslip_Lookup[[#This Row],[Month Key]])</f>
        <v/>
      </c>
      <c r="B265" s="172" t="str">
        <f aca="false">IF(ISNUMBER(Payslip_Lookup[[#This Row],[Salary Month]]),DATE(YEAR(Payslip_Lookup[[#This Row],[Salary Month]]),MONTH(Payslip_Lookup[[#This Row],[Salary Month]]),1),"")</f>
        <v/>
      </c>
      <c r="C265" s="172" t="str">
        <f aca="false">IF(INDEX(Salary_Calculation[Source Row],ROW()-ROW(Payslip_Lookup[#Headers]))="","",INDEX(Salary_Calculation[Salary Month],ROW()-ROW(Payslip_Lookup[#Headers])))</f>
        <v/>
      </c>
      <c r="D265" s="173" t="str">
        <f aca="false">IF(INDEX(Salary_Calculation[Source Row],ROW()-ROW(Payslip_Lookup[#Headers]))="","",INDEX(Salary_Calculation[Rider ID],ROW()-ROW(Payslip_Lookup[#Headers])))</f>
        <v/>
      </c>
      <c r="E265" s="171" t="str">
        <f aca="false">IF(INDEX(Salary_Calculation[Source Row],ROW()-ROW(Payslip_Lookup[#Headers]))="","",INDEX(Salary_Calculation[Rider Name],ROW()-ROW(Payslip_Lookup[#Headers])))</f>
        <v/>
      </c>
      <c r="F265" s="173" t="str">
        <f aca="false">IF(INDEX(Salary_Calculation[Source Row],ROW()-ROW(Payslip_Lookup[#Headers]))="","",INDEX(Salary_Calculation[Working Days],ROW()-ROW(Payslip_Lookup[#Headers])))</f>
        <v/>
      </c>
      <c r="G265" s="173" t="str">
        <f aca="false">IF(INDEX(Salary_Calculation[Source Row],ROW()-ROW(Payslip_Lookup[#Headers]))="","",INDEX(Salary_Calculation[Calendar Days],ROW()-ROW(Payslip_Lookup[#Headers])))</f>
        <v/>
      </c>
      <c r="H265" s="174" t="str">
        <f aca="false">IF(INDEX(Salary_Calculation[Source Row],ROW()-ROW(Payslip_Lookup[#Headers]))="","",INDEX(Salary_Calculation[Monthly Target Orders],ROW()-ROW(Payslip_Lookup[#Headers])))</f>
        <v/>
      </c>
      <c r="I265" s="174" t="str">
        <f aca="false">IF(INDEX(Salary_Calculation[Source Row],ROW()-ROW(Payslip_Lookup[#Headers]))="","",INDEX(Salary_Calculation[Rider Target Orders],ROW()-ROW(Payslip_Lookup[#Headers])))</f>
        <v/>
      </c>
      <c r="J265" s="175" t="str">
        <f aca="false">IF(INDEX(Salary_Calculation[Source Row],ROW()-ROW(Payslip_Lookup[#Headers]))="","",INDEX(Salary_Calculation[Completed Orders],ROW()-ROW(Payslip_Lookup[#Headers])))</f>
        <v/>
      </c>
      <c r="K265" s="174" t="str">
        <f aca="false">IF(INDEX(Salary_Calculation[Source Row],ROW()-ROW(Payslip_Lookup[#Headers]))="","",INDEX(Salary_Calculation[Base Order Rate],ROW()-ROW(Payslip_Lookup[#Headers])))</f>
        <v/>
      </c>
      <c r="L265" s="176" t="str">
        <f aca="false">IF(INDEX(Salary_Calculation[Source Row],ROW()-ROW(Payslip_Lookup[#Headers]))="","",INDEX(Salary_Calculation[Basic Payment],ROW()-ROW(Payslip_Lookup[#Headers])))</f>
        <v/>
      </c>
      <c r="M265" s="176" t="str">
        <f aca="false">IF(INDEX(Salary_Calculation[Source Row],ROW()-ROW(Payslip_Lookup[#Headers]))="","",INDEX(Salary_Calculation[Earned Salary],ROW()-ROW(Payslip_Lookup[#Headers])))</f>
        <v/>
      </c>
      <c r="N265" s="174" t="str">
        <f aca="false">IF(INDEX(Salary_Calculation[Source Row],ROW()-ROW(Payslip_Lookup[#Headers]))="","",INDEX(Salary_Calculation[Orders Counted at Base Rate],ROW()-ROW(Payslip_Lookup[#Headers])))</f>
        <v/>
      </c>
      <c r="O265" s="174" t="str">
        <f aca="false">IF(INDEX(Salary_Calculation[Source Row],ROW()-ROW(Payslip_Lookup[#Headers]))="","",INDEX(Salary_Calculation[Missing Orders],ROW()-ROW(Payslip_Lookup[#Headers])))</f>
        <v/>
      </c>
      <c r="P265" s="176" t="str">
        <f aca="false">IF(INDEX(Salary_Calculation[Source Row],ROW()-ROW(Payslip_Lookup[#Headers]))="","",INDEX(Salary_Calculation[Missing-Order Deduction],ROW()-ROW(Payslip_Lookup[#Headers])))</f>
        <v/>
      </c>
      <c r="Q265" s="174" t="str">
        <f aca="false">IF(INDEX(Salary_Calculation[Source Row],ROW()-ROW(Payslip_Lookup[#Headers]))="","",INDEX(Salary_Calculation[Extra Orders],ROW()-ROW(Payslip_Lookup[#Headers])))</f>
        <v/>
      </c>
      <c r="R265" s="176" t="str">
        <f aca="false">IF(INDEX(Salary_Calculation[Source Row],ROW()-ROW(Payslip_Lookup[#Headers]))="","",INDEX(Salary_Calculation[Extra-Order Bonus],ROW()-ROW(Payslip_Lookup[#Headers])))</f>
        <v/>
      </c>
      <c r="S265" s="176" t="str">
        <f aca="false">IF(INDEX(Salary_Calculation[Source Row],ROW()-ROW(Payslip_Lookup[#Headers]))="","",INDEX(Salary_Calculation[Basic Salary for Target],ROW()-ROW(Payslip_Lookup[#Headers])))</f>
        <v/>
      </c>
      <c r="T265" s="176" t="str">
        <f aca="false">IF(INDEX(Salary_Calculation[Source Row],ROW()-ROW(Payslip_Lookup[#Headers]))="","",INDEX(Salary_Calculation[Gross Salary Before Deductions],ROW()-ROW(Payslip_Lookup[#Headers])))</f>
        <v/>
      </c>
      <c r="U265" s="176" t="str">
        <f aca="false">IF(INDEX(Salary_Calculation[Source Row],ROW()-ROW(Payslip_Lookup[#Headers]))="","",INDEX(Salary_Calculation[missed_days_penalty],ROW()-ROW(Payslip_Lookup[#Headers])))</f>
        <v/>
      </c>
      <c r="V265" s="176" t="str">
        <f aca="false">IF(INDEX(Salary_Calculation[Source Row],ROW()-ROW(Payslip_Lookup[#Headers]))="","",INDEX(Salary_Calculation[Rider Balance],ROW()-ROW(Payslip_Lookup[#Headers])))</f>
        <v/>
      </c>
      <c r="W265" s="176" t="str">
        <f aca="false">IF(INDEX(Salary_Calculation[Source Row],ROW()-ROW(Payslip_Lookup[#Headers]))="","",INDEX(Salary_Calculation[stacking_deduction],ROW()-ROW(Payslip_Lookup[#Headers])))</f>
        <v/>
      </c>
      <c r="X265" s="176" t="str">
        <f aca="false">IF(INDEX(Salary_Calculation[Source Row],ROW()-ROW(Payslip_Lookup[#Headers]))="","",INDEX(Salary_Calculation[Other Deductions],ROW()-ROW(Payslip_Lookup[#Headers])))</f>
        <v/>
      </c>
      <c r="Y265" s="176" t="str">
        <f aca="false">IF(INDEX(Salary_Calculation[Source Row],ROW()-ROW(Payslip_Lookup[#Headers]))="","",INDEX(Salary_Calculation[Total Deductions],ROW()-ROW(Payslip_Lookup[#Headers])))</f>
        <v/>
      </c>
      <c r="Z265" s="176" t="str">
        <f aca="false">IF(INDEX(Salary_Calculation[Source Row],ROW()-ROW(Payslip_Lookup[#Headers]))="","",INDEX(Salary_Calculation[Final Salary],ROW()-ROW(Payslip_Lookup[#Headers])))</f>
        <v/>
      </c>
      <c r="AA265" s="176" t="str">
        <f aca="false">IF(INDEX(Salary_Calculation[Source Row],ROW()-ROW(Payslip_Lookup[#Headers]))="","",INDEX(Salary_Calculation[Negative Balance / Amount Due from Rider],ROW()-ROW(Payslip_Lookup[#Headers])))</f>
        <v/>
      </c>
      <c r="AB265" s="176" t="str">
        <f aca="false">IF(INDEX(Salary_Calculation[Source Row],ROW()-ROW(Payslip_Lookup[#Headers]))="","",INDEX(Salary_Calculation[Total Amount Due from Rider],ROW()-ROW(Payslip_Lookup[#Headers])))</f>
        <v/>
      </c>
      <c r="AC265" s="176" t="str">
        <f aca="false">IF(INDEX(Salary_Calculation[Source Row],ROW()-ROW(Payslip_Lookup[#Headers]))="","",INDEX(Salary_Calculation[Salary Before Other Deductions],ROW()-ROW(Payslip_Lookup[#Headers])))</f>
        <v/>
      </c>
      <c r="AD265" s="171" t="str">
        <f aca="false">IF(INDEX(Salary_Calculation[Source Row],ROW()-ROW(Payslip_Lookup[#Headers]))="","",INDEX(Salary_Calculation[Payment Status],ROW()-ROW(Payslip_Lookup[#Headers])))</f>
        <v/>
      </c>
      <c r="AE265" s="171" t="str">
        <f aca="false">IF(INDEX(Salary_Calculation[Source Row],ROW()-ROW(Payslip_Lookup[#Headers]))="","",INDEX(Salary_Calculation[Notes],ROW()-ROW(Payslip_Lookup[#Headers])))</f>
        <v/>
      </c>
      <c r="AF265" s="171" t="str">
        <f aca="false">IF(INDEX(Salary_Calculation[Source Row],ROW()-ROW(Payslip_Lookup[#Headers]))="","",INDEX(Salary_Calculation[Exception Reason],ROW()-ROW(Payslip_Lookup[#Headers])))</f>
        <v/>
      </c>
      <c r="AG265" s="173" t="str">
        <f aca="false">IF($AD265="Review Required",COUNTIF(AD$2:AD265,"Review Required"),"")</f>
        <v/>
      </c>
      <c r="AH265" s="173" t="str">
        <f aca="false">IF(AND($D265&lt;&gt;"",$B265=Payslip_Print!$C$2),MAX(AH$1:AH264)+1,"")</f>
        <v/>
      </c>
      <c r="AL265" s="178" t="str">
        <f aca="false">IFERROR(INDEX($D$2:$D$501,MATCH(ROW()-1,$AH$2:$AH$501,0)),"")</f>
        <v/>
      </c>
      <c r="AM265" s="179" t="str">
        <f aca="false">IF($Z265="","",IF(AND($C265&gt;=Dash_Start,$C265&lt;Dash_End),$Z265+ROW()/10000000,""))</f>
        <v/>
      </c>
    </row>
    <row r="266" customFormat="false" ht="14.25" hidden="false" customHeight="false" outlineLevel="0" collapsed="false">
      <c r="A266" s="171" t="str">
        <f aca="false">IF(Payslip_Lookup[[#This Row],[Rider ID]]="","",Payslip_Lookup[[#This Row],[Rider ID]]&amp;"|"&amp;Payslip_Lookup[[#This Row],[Month Key]])</f>
        <v/>
      </c>
      <c r="B266" s="172" t="str">
        <f aca="false">IF(ISNUMBER(Payslip_Lookup[[#This Row],[Salary Month]]),DATE(YEAR(Payslip_Lookup[[#This Row],[Salary Month]]),MONTH(Payslip_Lookup[[#This Row],[Salary Month]]),1),"")</f>
        <v/>
      </c>
      <c r="C266" s="172" t="str">
        <f aca="false">IF(INDEX(Salary_Calculation[Source Row],ROW()-ROW(Payslip_Lookup[#Headers]))="","",INDEX(Salary_Calculation[Salary Month],ROW()-ROW(Payslip_Lookup[#Headers])))</f>
        <v/>
      </c>
      <c r="D266" s="173" t="str">
        <f aca="false">IF(INDEX(Salary_Calculation[Source Row],ROW()-ROW(Payslip_Lookup[#Headers]))="","",INDEX(Salary_Calculation[Rider ID],ROW()-ROW(Payslip_Lookup[#Headers])))</f>
        <v/>
      </c>
      <c r="E266" s="171" t="str">
        <f aca="false">IF(INDEX(Salary_Calculation[Source Row],ROW()-ROW(Payslip_Lookup[#Headers]))="","",INDEX(Salary_Calculation[Rider Name],ROW()-ROW(Payslip_Lookup[#Headers])))</f>
        <v/>
      </c>
      <c r="F266" s="173" t="str">
        <f aca="false">IF(INDEX(Salary_Calculation[Source Row],ROW()-ROW(Payslip_Lookup[#Headers]))="","",INDEX(Salary_Calculation[Working Days],ROW()-ROW(Payslip_Lookup[#Headers])))</f>
        <v/>
      </c>
      <c r="G266" s="173" t="str">
        <f aca="false">IF(INDEX(Salary_Calculation[Source Row],ROW()-ROW(Payslip_Lookup[#Headers]))="","",INDEX(Salary_Calculation[Calendar Days],ROW()-ROW(Payslip_Lookup[#Headers])))</f>
        <v/>
      </c>
      <c r="H266" s="174" t="str">
        <f aca="false">IF(INDEX(Salary_Calculation[Source Row],ROW()-ROW(Payslip_Lookup[#Headers]))="","",INDEX(Salary_Calculation[Monthly Target Orders],ROW()-ROW(Payslip_Lookup[#Headers])))</f>
        <v/>
      </c>
      <c r="I266" s="174" t="str">
        <f aca="false">IF(INDEX(Salary_Calculation[Source Row],ROW()-ROW(Payslip_Lookup[#Headers]))="","",INDEX(Salary_Calculation[Rider Target Orders],ROW()-ROW(Payslip_Lookup[#Headers])))</f>
        <v/>
      </c>
      <c r="J266" s="175" t="str">
        <f aca="false">IF(INDEX(Salary_Calculation[Source Row],ROW()-ROW(Payslip_Lookup[#Headers]))="","",INDEX(Salary_Calculation[Completed Orders],ROW()-ROW(Payslip_Lookup[#Headers])))</f>
        <v/>
      </c>
      <c r="K266" s="174" t="str">
        <f aca="false">IF(INDEX(Salary_Calculation[Source Row],ROW()-ROW(Payslip_Lookup[#Headers]))="","",INDEX(Salary_Calculation[Base Order Rate],ROW()-ROW(Payslip_Lookup[#Headers])))</f>
        <v/>
      </c>
      <c r="L266" s="176" t="str">
        <f aca="false">IF(INDEX(Salary_Calculation[Source Row],ROW()-ROW(Payslip_Lookup[#Headers]))="","",INDEX(Salary_Calculation[Basic Payment],ROW()-ROW(Payslip_Lookup[#Headers])))</f>
        <v/>
      </c>
      <c r="M266" s="176" t="str">
        <f aca="false">IF(INDEX(Salary_Calculation[Source Row],ROW()-ROW(Payslip_Lookup[#Headers]))="","",INDEX(Salary_Calculation[Earned Salary],ROW()-ROW(Payslip_Lookup[#Headers])))</f>
        <v/>
      </c>
      <c r="N266" s="174" t="str">
        <f aca="false">IF(INDEX(Salary_Calculation[Source Row],ROW()-ROW(Payslip_Lookup[#Headers]))="","",INDEX(Salary_Calculation[Orders Counted at Base Rate],ROW()-ROW(Payslip_Lookup[#Headers])))</f>
        <v/>
      </c>
      <c r="O266" s="174" t="str">
        <f aca="false">IF(INDEX(Salary_Calculation[Source Row],ROW()-ROW(Payslip_Lookup[#Headers]))="","",INDEX(Salary_Calculation[Missing Orders],ROW()-ROW(Payslip_Lookup[#Headers])))</f>
        <v/>
      </c>
      <c r="P266" s="176" t="str">
        <f aca="false">IF(INDEX(Salary_Calculation[Source Row],ROW()-ROW(Payslip_Lookup[#Headers]))="","",INDEX(Salary_Calculation[Missing-Order Deduction],ROW()-ROW(Payslip_Lookup[#Headers])))</f>
        <v/>
      </c>
      <c r="Q266" s="174" t="str">
        <f aca="false">IF(INDEX(Salary_Calculation[Source Row],ROW()-ROW(Payslip_Lookup[#Headers]))="","",INDEX(Salary_Calculation[Extra Orders],ROW()-ROW(Payslip_Lookup[#Headers])))</f>
        <v/>
      </c>
      <c r="R266" s="176" t="str">
        <f aca="false">IF(INDEX(Salary_Calculation[Source Row],ROW()-ROW(Payslip_Lookup[#Headers]))="","",INDEX(Salary_Calculation[Extra-Order Bonus],ROW()-ROW(Payslip_Lookup[#Headers])))</f>
        <v/>
      </c>
      <c r="S266" s="176" t="str">
        <f aca="false">IF(INDEX(Salary_Calculation[Source Row],ROW()-ROW(Payslip_Lookup[#Headers]))="","",INDEX(Salary_Calculation[Basic Salary for Target],ROW()-ROW(Payslip_Lookup[#Headers])))</f>
        <v/>
      </c>
      <c r="T266" s="176" t="str">
        <f aca="false">IF(INDEX(Salary_Calculation[Source Row],ROW()-ROW(Payslip_Lookup[#Headers]))="","",INDEX(Salary_Calculation[Gross Salary Before Deductions],ROW()-ROW(Payslip_Lookup[#Headers])))</f>
        <v/>
      </c>
      <c r="U266" s="176" t="str">
        <f aca="false">IF(INDEX(Salary_Calculation[Source Row],ROW()-ROW(Payslip_Lookup[#Headers]))="","",INDEX(Salary_Calculation[missed_days_penalty],ROW()-ROW(Payslip_Lookup[#Headers])))</f>
        <v/>
      </c>
      <c r="V266" s="176" t="str">
        <f aca="false">IF(INDEX(Salary_Calculation[Source Row],ROW()-ROW(Payslip_Lookup[#Headers]))="","",INDEX(Salary_Calculation[Rider Balance],ROW()-ROW(Payslip_Lookup[#Headers])))</f>
        <v/>
      </c>
      <c r="W266" s="176" t="str">
        <f aca="false">IF(INDEX(Salary_Calculation[Source Row],ROW()-ROW(Payslip_Lookup[#Headers]))="","",INDEX(Salary_Calculation[stacking_deduction],ROW()-ROW(Payslip_Lookup[#Headers])))</f>
        <v/>
      </c>
      <c r="X266" s="176" t="str">
        <f aca="false">IF(INDEX(Salary_Calculation[Source Row],ROW()-ROW(Payslip_Lookup[#Headers]))="","",INDEX(Salary_Calculation[Other Deductions],ROW()-ROW(Payslip_Lookup[#Headers])))</f>
        <v/>
      </c>
      <c r="Y266" s="176" t="str">
        <f aca="false">IF(INDEX(Salary_Calculation[Source Row],ROW()-ROW(Payslip_Lookup[#Headers]))="","",INDEX(Salary_Calculation[Total Deductions],ROW()-ROW(Payslip_Lookup[#Headers])))</f>
        <v/>
      </c>
      <c r="Z266" s="176" t="str">
        <f aca="false">IF(INDEX(Salary_Calculation[Source Row],ROW()-ROW(Payslip_Lookup[#Headers]))="","",INDEX(Salary_Calculation[Final Salary],ROW()-ROW(Payslip_Lookup[#Headers])))</f>
        <v/>
      </c>
      <c r="AA266" s="176" t="str">
        <f aca="false">IF(INDEX(Salary_Calculation[Source Row],ROW()-ROW(Payslip_Lookup[#Headers]))="","",INDEX(Salary_Calculation[Negative Balance / Amount Due from Rider],ROW()-ROW(Payslip_Lookup[#Headers])))</f>
        <v/>
      </c>
      <c r="AB266" s="176" t="str">
        <f aca="false">IF(INDEX(Salary_Calculation[Source Row],ROW()-ROW(Payslip_Lookup[#Headers]))="","",INDEX(Salary_Calculation[Total Amount Due from Rider],ROW()-ROW(Payslip_Lookup[#Headers])))</f>
        <v/>
      </c>
      <c r="AC266" s="176" t="str">
        <f aca="false">IF(INDEX(Salary_Calculation[Source Row],ROW()-ROW(Payslip_Lookup[#Headers]))="","",INDEX(Salary_Calculation[Salary Before Other Deductions],ROW()-ROW(Payslip_Lookup[#Headers])))</f>
        <v/>
      </c>
      <c r="AD266" s="171" t="str">
        <f aca="false">IF(INDEX(Salary_Calculation[Source Row],ROW()-ROW(Payslip_Lookup[#Headers]))="","",INDEX(Salary_Calculation[Payment Status],ROW()-ROW(Payslip_Lookup[#Headers])))</f>
        <v/>
      </c>
      <c r="AE266" s="171" t="str">
        <f aca="false">IF(INDEX(Salary_Calculation[Source Row],ROW()-ROW(Payslip_Lookup[#Headers]))="","",INDEX(Salary_Calculation[Notes],ROW()-ROW(Payslip_Lookup[#Headers])))</f>
        <v/>
      </c>
      <c r="AF266" s="171" t="str">
        <f aca="false">IF(INDEX(Salary_Calculation[Source Row],ROW()-ROW(Payslip_Lookup[#Headers]))="","",INDEX(Salary_Calculation[Exception Reason],ROW()-ROW(Payslip_Lookup[#Headers])))</f>
        <v/>
      </c>
      <c r="AG266" s="173" t="str">
        <f aca="false">IF($AD266="Review Required",COUNTIF(AD$2:AD266,"Review Required"),"")</f>
        <v/>
      </c>
      <c r="AH266" s="173" t="str">
        <f aca="false">IF(AND($D266&lt;&gt;"",$B266=Payslip_Print!$C$2),MAX(AH$1:AH265)+1,"")</f>
        <v/>
      </c>
      <c r="AL266" s="178" t="str">
        <f aca="false">IFERROR(INDEX($D$2:$D$501,MATCH(ROW()-1,$AH$2:$AH$501,0)),"")</f>
        <v/>
      </c>
      <c r="AM266" s="179" t="str">
        <f aca="false">IF($Z266="","",IF(AND($C266&gt;=Dash_Start,$C266&lt;Dash_End),$Z266+ROW()/10000000,""))</f>
        <v/>
      </c>
    </row>
    <row r="267" customFormat="false" ht="14.25" hidden="false" customHeight="false" outlineLevel="0" collapsed="false">
      <c r="A267" s="171" t="str">
        <f aca="false">IF(Payslip_Lookup[[#This Row],[Rider ID]]="","",Payslip_Lookup[[#This Row],[Rider ID]]&amp;"|"&amp;Payslip_Lookup[[#This Row],[Month Key]])</f>
        <v/>
      </c>
      <c r="B267" s="172" t="str">
        <f aca="false">IF(ISNUMBER(Payslip_Lookup[[#This Row],[Salary Month]]),DATE(YEAR(Payslip_Lookup[[#This Row],[Salary Month]]),MONTH(Payslip_Lookup[[#This Row],[Salary Month]]),1),"")</f>
        <v/>
      </c>
      <c r="C267" s="172" t="str">
        <f aca="false">IF(INDEX(Salary_Calculation[Source Row],ROW()-ROW(Payslip_Lookup[#Headers]))="","",INDEX(Salary_Calculation[Salary Month],ROW()-ROW(Payslip_Lookup[#Headers])))</f>
        <v/>
      </c>
      <c r="D267" s="173" t="str">
        <f aca="false">IF(INDEX(Salary_Calculation[Source Row],ROW()-ROW(Payslip_Lookup[#Headers]))="","",INDEX(Salary_Calculation[Rider ID],ROW()-ROW(Payslip_Lookup[#Headers])))</f>
        <v/>
      </c>
      <c r="E267" s="171" t="str">
        <f aca="false">IF(INDEX(Salary_Calculation[Source Row],ROW()-ROW(Payslip_Lookup[#Headers]))="","",INDEX(Salary_Calculation[Rider Name],ROW()-ROW(Payslip_Lookup[#Headers])))</f>
        <v/>
      </c>
      <c r="F267" s="173" t="str">
        <f aca="false">IF(INDEX(Salary_Calculation[Source Row],ROW()-ROW(Payslip_Lookup[#Headers]))="","",INDEX(Salary_Calculation[Working Days],ROW()-ROW(Payslip_Lookup[#Headers])))</f>
        <v/>
      </c>
      <c r="G267" s="173" t="str">
        <f aca="false">IF(INDEX(Salary_Calculation[Source Row],ROW()-ROW(Payslip_Lookup[#Headers]))="","",INDEX(Salary_Calculation[Calendar Days],ROW()-ROW(Payslip_Lookup[#Headers])))</f>
        <v/>
      </c>
      <c r="H267" s="174" t="str">
        <f aca="false">IF(INDEX(Salary_Calculation[Source Row],ROW()-ROW(Payslip_Lookup[#Headers]))="","",INDEX(Salary_Calculation[Monthly Target Orders],ROW()-ROW(Payslip_Lookup[#Headers])))</f>
        <v/>
      </c>
      <c r="I267" s="174" t="str">
        <f aca="false">IF(INDEX(Salary_Calculation[Source Row],ROW()-ROW(Payslip_Lookup[#Headers]))="","",INDEX(Salary_Calculation[Rider Target Orders],ROW()-ROW(Payslip_Lookup[#Headers])))</f>
        <v/>
      </c>
      <c r="J267" s="175" t="str">
        <f aca="false">IF(INDEX(Salary_Calculation[Source Row],ROW()-ROW(Payslip_Lookup[#Headers]))="","",INDEX(Salary_Calculation[Completed Orders],ROW()-ROW(Payslip_Lookup[#Headers])))</f>
        <v/>
      </c>
      <c r="K267" s="174" t="str">
        <f aca="false">IF(INDEX(Salary_Calculation[Source Row],ROW()-ROW(Payslip_Lookup[#Headers]))="","",INDEX(Salary_Calculation[Base Order Rate],ROW()-ROW(Payslip_Lookup[#Headers])))</f>
        <v/>
      </c>
      <c r="L267" s="176" t="str">
        <f aca="false">IF(INDEX(Salary_Calculation[Source Row],ROW()-ROW(Payslip_Lookup[#Headers]))="","",INDEX(Salary_Calculation[Basic Payment],ROW()-ROW(Payslip_Lookup[#Headers])))</f>
        <v/>
      </c>
      <c r="M267" s="176" t="str">
        <f aca="false">IF(INDEX(Salary_Calculation[Source Row],ROW()-ROW(Payslip_Lookup[#Headers]))="","",INDEX(Salary_Calculation[Earned Salary],ROW()-ROW(Payslip_Lookup[#Headers])))</f>
        <v/>
      </c>
      <c r="N267" s="174" t="str">
        <f aca="false">IF(INDEX(Salary_Calculation[Source Row],ROW()-ROW(Payslip_Lookup[#Headers]))="","",INDEX(Salary_Calculation[Orders Counted at Base Rate],ROW()-ROW(Payslip_Lookup[#Headers])))</f>
        <v/>
      </c>
      <c r="O267" s="174" t="str">
        <f aca="false">IF(INDEX(Salary_Calculation[Source Row],ROW()-ROW(Payslip_Lookup[#Headers]))="","",INDEX(Salary_Calculation[Missing Orders],ROW()-ROW(Payslip_Lookup[#Headers])))</f>
        <v/>
      </c>
      <c r="P267" s="176" t="str">
        <f aca="false">IF(INDEX(Salary_Calculation[Source Row],ROW()-ROW(Payslip_Lookup[#Headers]))="","",INDEX(Salary_Calculation[Missing-Order Deduction],ROW()-ROW(Payslip_Lookup[#Headers])))</f>
        <v/>
      </c>
      <c r="Q267" s="174" t="str">
        <f aca="false">IF(INDEX(Salary_Calculation[Source Row],ROW()-ROW(Payslip_Lookup[#Headers]))="","",INDEX(Salary_Calculation[Extra Orders],ROW()-ROW(Payslip_Lookup[#Headers])))</f>
        <v/>
      </c>
      <c r="R267" s="176" t="str">
        <f aca="false">IF(INDEX(Salary_Calculation[Source Row],ROW()-ROW(Payslip_Lookup[#Headers]))="","",INDEX(Salary_Calculation[Extra-Order Bonus],ROW()-ROW(Payslip_Lookup[#Headers])))</f>
        <v/>
      </c>
      <c r="S267" s="176" t="str">
        <f aca="false">IF(INDEX(Salary_Calculation[Source Row],ROW()-ROW(Payslip_Lookup[#Headers]))="","",INDEX(Salary_Calculation[Basic Salary for Target],ROW()-ROW(Payslip_Lookup[#Headers])))</f>
        <v/>
      </c>
      <c r="T267" s="176" t="str">
        <f aca="false">IF(INDEX(Salary_Calculation[Source Row],ROW()-ROW(Payslip_Lookup[#Headers]))="","",INDEX(Salary_Calculation[Gross Salary Before Deductions],ROW()-ROW(Payslip_Lookup[#Headers])))</f>
        <v/>
      </c>
      <c r="U267" s="176" t="str">
        <f aca="false">IF(INDEX(Salary_Calculation[Source Row],ROW()-ROW(Payslip_Lookup[#Headers]))="","",INDEX(Salary_Calculation[missed_days_penalty],ROW()-ROW(Payslip_Lookup[#Headers])))</f>
        <v/>
      </c>
      <c r="V267" s="176" t="str">
        <f aca="false">IF(INDEX(Salary_Calculation[Source Row],ROW()-ROW(Payslip_Lookup[#Headers]))="","",INDEX(Salary_Calculation[Rider Balance],ROW()-ROW(Payslip_Lookup[#Headers])))</f>
        <v/>
      </c>
      <c r="W267" s="176" t="str">
        <f aca="false">IF(INDEX(Salary_Calculation[Source Row],ROW()-ROW(Payslip_Lookup[#Headers]))="","",INDEX(Salary_Calculation[stacking_deduction],ROW()-ROW(Payslip_Lookup[#Headers])))</f>
        <v/>
      </c>
      <c r="X267" s="176" t="str">
        <f aca="false">IF(INDEX(Salary_Calculation[Source Row],ROW()-ROW(Payslip_Lookup[#Headers]))="","",INDEX(Salary_Calculation[Other Deductions],ROW()-ROW(Payslip_Lookup[#Headers])))</f>
        <v/>
      </c>
      <c r="Y267" s="176" t="str">
        <f aca="false">IF(INDEX(Salary_Calculation[Source Row],ROW()-ROW(Payslip_Lookup[#Headers]))="","",INDEX(Salary_Calculation[Total Deductions],ROW()-ROW(Payslip_Lookup[#Headers])))</f>
        <v/>
      </c>
      <c r="Z267" s="176" t="str">
        <f aca="false">IF(INDEX(Salary_Calculation[Source Row],ROW()-ROW(Payslip_Lookup[#Headers]))="","",INDEX(Salary_Calculation[Final Salary],ROW()-ROW(Payslip_Lookup[#Headers])))</f>
        <v/>
      </c>
      <c r="AA267" s="176" t="str">
        <f aca="false">IF(INDEX(Salary_Calculation[Source Row],ROW()-ROW(Payslip_Lookup[#Headers]))="","",INDEX(Salary_Calculation[Negative Balance / Amount Due from Rider],ROW()-ROW(Payslip_Lookup[#Headers])))</f>
        <v/>
      </c>
      <c r="AB267" s="176" t="str">
        <f aca="false">IF(INDEX(Salary_Calculation[Source Row],ROW()-ROW(Payslip_Lookup[#Headers]))="","",INDEX(Salary_Calculation[Total Amount Due from Rider],ROW()-ROW(Payslip_Lookup[#Headers])))</f>
        <v/>
      </c>
      <c r="AC267" s="176" t="str">
        <f aca="false">IF(INDEX(Salary_Calculation[Source Row],ROW()-ROW(Payslip_Lookup[#Headers]))="","",INDEX(Salary_Calculation[Salary Before Other Deductions],ROW()-ROW(Payslip_Lookup[#Headers])))</f>
        <v/>
      </c>
      <c r="AD267" s="171" t="str">
        <f aca="false">IF(INDEX(Salary_Calculation[Source Row],ROW()-ROW(Payslip_Lookup[#Headers]))="","",INDEX(Salary_Calculation[Payment Status],ROW()-ROW(Payslip_Lookup[#Headers])))</f>
        <v/>
      </c>
      <c r="AE267" s="171" t="str">
        <f aca="false">IF(INDEX(Salary_Calculation[Source Row],ROW()-ROW(Payslip_Lookup[#Headers]))="","",INDEX(Salary_Calculation[Notes],ROW()-ROW(Payslip_Lookup[#Headers])))</f>
        <v/>
      </c>
      <c r="AF267" s="171" t="str">
        <f aca="false">IF(INDEX(Salary_Calculation[Source Row],ROW()-ROW(Payslip_Lookup[#Headers]))="","",INDEX(Salary_Calculation[Exception Reason],ROW()-ROW(Payslip_Lookup[#Headers])))</f>
        <v/>
      </c>
      <c r="AG267" s="173" t="str">
        <f aca="false">IF($AD267="Review Required",COUNTIF(AD$2:AD267,"Review Required"),"")</f>
        <v/>
      </c>
      <c r="AH267" s="173" t="str">
        <f aca="false">IF(AND($D267&lt;&gt;"",$B267=Payslip_Print!$C$2),MAX(AH$1:AH266)+1,"")</f>
        <v/>
      </c>
      <c r="AL267" s="178" t="str">
        <f aca="false">IFERROR(INDEX($D$2:$D$501,MATCH(ROW()-1,$AH$2:$AH$501,0)),"")</f>
        <v/>
      </c>
      <c r="AM267" s="179" t="str">
        <f aca="false">IF($Z267="","",IF(AND($C267&gt;=Dash_Start,$C267&lt;Dash_End),$Z267+ROW()/10000000,""))</f>
        <v/>
      </c>
    </row>
    <row r="268" customFormat="false" ht="14.25" hidden="false" customHeight="false" outlineLevel="0" collapsed="false">
      <c r="A268" s="171" t="str">
        <f aca="false">IF(Payslip_Lookup[[#This Row],[Rider ID]]="","",Payslip_Lookup[[#This Row],[Rider ID]]&amp;"|"&amp;Payslip_Lookup[[#This Row],[Month Key]])</f>
        <v/>
      </c>
      <c r="B268" s="172" t="str">
        <f aca="false">IF(ISNUMBER(Payslip_Lookup[[#This Row],[Salary Month]]),DATE(YEAR(Payslip_Lookup[[#This Row],[Salary Month]]),MONTH(Payslip_Lookup[[#This Row],[Salary Month]]),1),"")</f>
        <v/>
      </c>
      <c r="C268" s="172" t="str">
        <f aca="false">IF(INDEX(Salary_Calculation[Source Row],ROW()-ROW(Payslip_Lookup[#Headers]))="","",INDEX(Salary_Calculation[Salary Month],ROW()-ROW(Payslip_Lookup[#Headers])))</f>
        <v/>
      </c>
      <c r="D268" s="173" t="str">
        <f aca="false">IF(INDEX(Salary_Calculation[Source Row],ROW()-ROW(Payslip_Lookup[#Headers]))="","",INDEX(Salary_Calculation[Rider ID],ROW()-ROW(Payslip_Lookup[#Headers])))</f>
        <v/>
      </c>
      <c r="E268" s="171" t="str">
        <f aca="false">IF(INDEX(Salary_Calculation[Source Row],ROW()-ROW(Payslip_Lookup[#Headers]))="","",INDEX(Salary_Calculation[Rider Name],ROW()-ROW(Payslip_Lookup[#Headers])))</f>
        <v/>
      </c>
      <c r="F268" s="173" t="str">
        <f aca="false">IF(INDEX(Salary_Calculation[Source Row],ROW()-ROW(Payslip_Lookup[#Headers]))="","",INDEX(Salary_Calculation[Working Days],ROW()-ROW(Payslip_Lookup[#Headers])))</f>
        <v/>
      </c>
      <c r="G268" s="173" t="str">
        <f aca="false">IF(INDEX(Salary_Calculation[Source Row],ROW()-ROW(Payslip_Lookup[#Headers]))="","",INDEX(Salary_Calculation[Calendar Days],ROW()-ROW(Payslip_Lookup[#Headers])))</f>
        <v/>
      </c>
      <c r="H268" s="174" t="str">
        <f aca="false">IF(INDEX(Salary_Calculation[Source Row],ROW()-ROW(Payslip_Lookup[#Headers]))="","",INDEX(Salary_Calculation[Monthly Target Orders],ROW()-ROW(Payslip_Lookup[#Headers])))</f>
        <v/>
      </c>
      <c r="I268" s="174" t="str">
        <f aca="false">IF(INDEX(Salary_Calculation[Source Row],ROW()-ROW(Payslip_Lookup[#Headers]))="","",INDEX(Salary_Calculation[Rider Target Orders],ROW()-ROW(Payslip_Lookup[#Headers])))</f>
        <v/>
      </c>
      <c r="J268" s="175" t="str">
        <f aca="false">IF(INDEX(Salary_Calculation[Source Row],ROW()-ROW(Payslip_Lookup[#Headers]))="","",INDEX(Salary_Calculation[Completed Orders],ROW()-ROW(Payslip_Lookup[#Headers])))</f>
        <v/>
      </c>
      <c r="K268" s="174" t="str">
        <f aca="false">IF(INDEX(Salary_Calculation[Source Row],ROW()-ROW(Payslip_Lookup[#Headers]))="","",INDEX(Salary_Calculation[Base Order Rate],ROW()-ROW(Payslip_Lookup[#Headers])))</f>
        <v/>
      </c>
      <c r="L268" s="176" t="str">
        <f aca="false">IF(INDEX(Salary_Calculation[Source Row],ROW()-ROW(Payslip_Lookup[#Headers]))="","",INDEX(Salary_Calculation[Basic Payment],ROW()-ROW(Payslip_Lookup[#Headers])))</f>
        <v/>
      </c>
      <c r="M268" s="176" t="str">
        <f aca="false">IF(INDEX(Salary_Calculation[Source Row],ROW()-ROW(Payslip_Lookup[#Headers]))="","",INDEX(Salary_Calculation[Earned Salary],ROW()-ROW(Payslip_Lookup[#Headers])))</f>
        <v/>
      </c>
      <c r="N268" s="174" t="str">
        <f aca="false">IF(INDEX(Salary_Calculation[Source Row],ROW()-ROW(Payslip_Lookup[#Headers]))="","",INDEX(Salary_Calculation[Orders Counted at Base Rate],ROW()-ROW(Payslip_Lookup[#Headers])))</f>
        <v/>
      </c>
      <c r="O268" s="174" t="str">
        <f aca="false">IF(INDEX(Salary_Calculation[Source Row],ROW()-ROW(Payslip_Lookup[#Headers]))="","",INDEX(Salary_Calculation[Missing Orders],ROW()-ROW(Payslip_Lookup[#Headers])))</f>
        <v/>
      </c>
      <c r="P268" s="176" t="str">
        <f aca="false">IF(INDEX(Salary_Calculation[Source Row],ROW()-ROW(Payslip_Lookup[#Headers]))="","",INDEX(Salary_Calculation[Missing-Order Deduction],ROW()-ROW(Payslip_Lookup[#Headers])))</f>
        <v/>
      </c>
      <c r="Q268" s="174" t="str">
        <f aca="false">IF(INDEX(Salary_Calculation[Source Row],ROW()-ROW(Payslip_Lookup[#Headers]))="","",INDEX(Salary_Calculation[Extra Orders],ROW()-ROW(Payslip_Lookup[#Headers])))</f>
        <v/>
      </c>
      <c r="R268" s="176" t="str">
        <f aca="false">IF(INDEX(Salary_Calculation[Source Row],ROW()-ROW(Payslip_Lookup[#Headers]))="","",INDEX(Salary_Calculation[Extra-Order Bonus],ROW()-ROW(Payslip_Lookup[#Headers])))</f>
        <v/>
      </c>
      <c r="S268" s="176" t="str">
        <f aca="false">IF(INDEX(Salary_Calculation[Source Row],ROW()-ROW(Payslip_Lookup[#Headers]))="","",INDEX(Salary_Calculation[Basic Salary for Target],ROW()-ROW(Payslip_Lookup[#Headers])))</f>
        <v/>
      </c>
      <c r="T268" s="176" t="str">
        <f aca="false">IF(INDEX(Salary_Calculation[Source Row],ROW()-ROW(Payslip_Lookup[#Headers]))="","",INDEX(Salary_Calculation[Gross Salary Before Deductions],ROW()-ROW(Payslip_Lookup[#Headers])))</f>
        <v/>
      </c>
      <c r="U268" s="176" t="str">
        <f aca="false">IF(INDEX(Salary_Calculation[Source Row],ROW()-ROW(Payslip_Lookup[#Headers]))="","",INDEX(Salary_Calculation[missed_days_penalty],ROW()-ROW(Payslip_Lookup[#Headers])))</f>
        <v/>
      </c>
      <c r="V268" s="176" t="str">
        <f aca="false">IF(INDEX(Salary_Calculation[Source Row],ROW()-ROW(Payslip_Lookup[#Headers]))="","",INDEX(Salary_Calculation[Rider Balance],ROW()-ROW(Payslip_Lookup[#Headers])))</f>
        <v/>
      </c>
      <c r="W268" s="176" t="str">
        <f aca="false">IF(INDEX(Salary_Calculation[Source Row],ROW()-ROW(Payslip_Lookup[#Headers]))="","",INDEX(Salary_Calculation[stacking_deduction],ROW()-ROW(Payslip_Lookup[#Headers])))</f>
        <v/>
      </c>
      <c r="X268" s="176" t="str">
        <f aca="false">IF(INDEX(Salary_Calculation[Source Row],ROW()-ROW(Payslip_Lookup[#Headers]))="","",INDEX(Salary_Calculation[Other Deductions],ROW()-ROW(Payslip_Lookup[#Headers])))</f>
        <v/>
      </c>
      <c r="Y268" s="176" t="str">
        <f aca="false">IF(INDEX(Salary_Calculation[Source Row],ROW()-ROW(Payslip_Lookup[#Headers]))="","",INDEX(Salary_Calculation[Total Deductions],ROW()-ROW(Payslip_Lookup[#Headers])))</f>
        <v/>
      </c>
      <c r="Z268" s="176" t="str">
        <f aca="false">IF(INDEX(Salary_Calculation[Source Row],ROW()-ROW(Payslip_Lookup[#Headers]))="","",INDEX(Salary_Calculation[Final Salary],ROW()-ROW(Payslip_Lookup[#Headers])))</f>
        <v/>
      </c>
      <c r="AA268" s="176" t="str">
        <f aca="false">IF(INDEX(Salary_Calculation[Source Row],ROW()-ROW(Payslip_Lookup[#Headers]))="","",INDEX(Salary_Calculation[Negative Balance / Amount Due from Rider],ROW()-ROW(Payslip_Lookup[#Headers])))</f>
        <v/>
      </c>
      <c r="AB268" s="176" t="str">
        <f aca="false">IF(INDEX(Salary_Calculation[Source Row],ROW()-ROW(Payslip_Lookup[#Headers]))="","",INDEX(Salary_Calculation[Total Amount Due from Rider],ROW()-ROW(Payslip_Lookup[#Headers])))</f>
        <v/>
      </c>
      <c r="AC268" s="176" t="str">
        <f aca="false">IF(INDEX(Salary_Calculation[Source Row],ROW()-ROW(Payslip_Lookup[#Headers]))="","",INDEX(Salary_Calculation[Salary Before Other Deductions],ROW()-ROW(Payslip_Lookup[#Headers])))</f>
        <v/>
      </c>
      <c r="AD268" s="171" t="str">
        <f aca="false">IF(INDEX(Salary_Calculation[Source Row],ROW()-ROW(Payslip_Lookup[#Headers]))="","",INDEX(Salary_Calculation[Payment Status],ROW()-ROW(Payslip_Lookup[#Headers])))</f>
        <v/>
      </c>
      <c r="AE268" s="171" t="str">
        <f aca="false">IF(INDEX(Salary_Calculation[Source Row],ROW()-ROW(Payslip_Lookup[#Headers]))="","",INDEX(Salary_Calculation[Notes],ROW()-ROW(Payslip_Lookup[#Headers])))</f>
        <v/>
      </c>
      <c r="AF268" s="171" t="str">
        <f aca="false">IF(INDEX(Salary_Calculation[Source Row],ROW()-ROW(Payslip_Lookup[#Headers]))="","",INDEX(Salary_Calculation[Exception Reason],ROW()-ROW(Payslip_Lookup[#Headers])))</f>
        <v/>
      </c>
      <c r="AG268" s="173" t="str">
        <f aca="false">IF($AD268="Review Required",COUNTIF(AD$2:AD268,"Review Required"),"")</f>
        <v/>
      </c>
      <c r="AH268" s="173" t="str">
        <f aca="false">IF(AND($D268&lt;&gt;"",$B268=Payslip_Print!$C$2),MAX(AH$1:AH267)+1,"")</f>
        <v/>
      </c>
      <c r="AL268" s="178" t="str">
        <f aca="false">IFERROR(INDEX($D$2:$D$501,MATCH(ROW()-1,$AH$2:$AH$501,0)),"")</f>
        <v/>
      </c>
      <c r="AM268" s="179" t="str">
        <f aca="false">IF($Z268="","",IF(AND($C268&gt;=Dash_Start,$C268&lt;Dash_End),$Z268+ROW()/10000000,""))</f>
        <v/>
      </c>
    </row>
    <row r="269" customFormat="false" ht="14.25" hidden="false" customHeight="false" outlineLevel="0" collapsed="false">
      <c r="A269" s="171" t="str">
        <f aca="false">IF(Payslip_Lookup[[#This Row],[Rider ID]]="","",Payslip_Lookup[[#This Row],[Rider ID]]&amp;"|"&amp;Payslip_Lookup[[#This Row],[Month Key]])</f>
        <v/>
      </c>
      <c r="B269" s="172" t="str">
        <f aca="false">IF(ISNUMBER(Payslip_Lookup[[#This Row],[Salary Month]]),DATE(YEAR(Payslip_Lookup[[#This Row],[Salary Month]]),MONTH(Payslip_Lookup[[#This Row],[Salary Month]]),1),"")</f>
        <v/>
      </c>
      <c r="C269" s="172" t="str">
        <f aca="false">IF(INDEX(Salary_Calculation[Source Row],ROW()-ROW(Payslip_Lookup[#Headers]))="","",INDEX(Salary_Calculation[Salary Month],ROW()-ROW(Payslip_Lookup[#Headers])))</f>
        <v/>
      </c>
      <c r="D269" s="173" t="str">
        <f aca="false">IF(INDEX(Salary_Calculation[Source Row],ROW()-ROW(Payslip_Lookup[#Headers]))="","",INDEX(Salary_Calculation[Rider ID],ROW()-ROW(Payslip_Lookup[#Headers])))</f>
        <v/>
      </c>
      <c r="E269" s="171" t="str">
        <f aca="false">IF(INDEX(Salary_Calculation[Source Row],ROW()-ROW(Payslip_Lookup[#Headers]))="","",INDEX(Salary_Calculation[Rider Name],ROW()-ROW(Payslip_Lookup[#Headers])))</f>
        <v/>
      </c>
      <c r="F269" s="173" t="str">
        <f aca="false">IF(INDEX(Salary_Calculation[Source Row],ROW()-ROW(Payslip_Lookup[#Headers]))="","",INDEX(Salary_Calculation[Working Days],ROW()-ROW(Payslip_Lookup[#Headers])))</f>
        <v/>
      </c>
      <c r="G269" s="173" t="str">
        <f aca="false">IF(INDEX(Salary_Calculation[Source Row],ROW()-ROW(Payslip_Lookup[#Headers]))="","",INDEX(Salary_Calculation[Calendar Days],ROW()-ROW(Payslip_Lookup[#Headers])))</f>
        <v/>
      </c>
      <c r="H269" s="174" t="str">
        <f aca="false">IF(INDEX(Salary_Calculation[Source Row],ROW()-ROW(Payslip_Lookup[#Headers]))="","",INDEX(Salary_Calculation[Monthly Target Orders],ROW()-ROW(Payslip_Lookup[#Headers])))</f>
        <v/>
      </c>
      <c r="I269" s="174" t="str">
        <f aca="false">IF(INDEX(Salary_Calculation[Source Row],ROW()-ROW(Payslip_Lookup[#Headers]))="","",INDEX(Salary_Calculation[Rider Target Orders],ROW()-ROW(Payslip_Lookup[#Headers])))</f>
        <v/>
      </c>
      <c r="J269" s="175" t="str">
        <f aca="false">IF(INDEX(Salary_Calculation[Source Row],ROW()-ROW(Payslip_Lookup[#Headers]))="","",INDEX(Salary_Calculation[Completed Orders],ROW()-ROW(Payslip_Lookup[#Headers])))</f>
        <v/>
      </c>
      <c r="K269" s="174" t="str">
        <f aca="false">IF(INDEX(Salary_Calculation[Source Row],ROW()-ROW(Payslip_Lookup[#Headers]))="","",INDEX(Salary_Calculation[Base Order Rate],ROW()-ROW(Payslip_Lookup[#Headers])))</f>
        <v/>
      </c>
      <c r="L269" s="176" t="str">
        <f aca="false">IF(INDEX(Salary_Calculation[Source Row],ROW()-ROW(Payslip_Lookup[#Headers]))="","",INDEX(Salary_Calculation[Basic Payment],ROW()-ROW(Payslip_Lookup[#Headers])))</f>
        <v/>
      </c>
      <c r="M269" s="176" t="str">
        <f aca="false">IF(INDEX(Salary_Calculation[Source Row],ROW()-ROW(Payslip_Lookup[#Headers]))="","",INDEX(Salary_Calculation[Earned Salary],ROW()-ROW(Payslip_Lookup[#Headers])))</f>
        <v/>
      </c>
      <c r="N269" s="174" t="str">
        <f aca="false">IF(INDEX(Salary_Calculation[Source Row],ROW()-ROW(Payslip_Lookup[#Headers]))="","",INDEX(Salary_Calculation[Orders Counted at Base Rate],ROW()-ROW(Payslip_Lookup[#Headers])))</f>
        <v/>
      </c>
      <c r="O269" s="174" t="str">
        <f aca="false">IF(INDEX(Salary_Calculation[Source Row],ROW()-ROW(Payslip_Lookup[#Headers]))="","",INDEX(Salary_Calculation[Missing Orders],ROW()-ROW(Payslip_Lookup[#Headers])))</f>
        <v/>
      </c>
      <c r="P269" s="176" t="str">
        <f aca="false">IF(INDEX(Salary_Calculation[Source Row],ROW()-ROW(Payslip_Lookup[#Headers]))="","",INDEX(Salary_Calculation[Missing-Order Deduction],ROW()-ROW(Payslip_Lookup[#Headers])))</f>
        <v/>
      </c>
      <c r="Q269" s="174" t="str">
        <f aca="false">IF(INDEX(Salary_Calculation[Source Row],ROW()-ROW(Payslip_Lookup[#Headers]))="","",INDEX(Salary_Calculation[Extra Orders],ROW()-ROW(Payslip_Lookup[#Headers])))</f>
        <v/>
      </c>
      <c r="R269" s="176" t="str">
        <f aca="false">IF(INDEX(Salary_Calculation[Source Row],ROW()-ROW(Payslip_Lookup[#Headers]))="","",INDEX(Salary_Calculation[Extra-Order Bonus],ROW()-ROW(Payslip_Lookup[#Headers])))</f>
        <v/>
      </c>
      <c r="S269" s="176" t="str">
        <f aca="false">IF(INDEX(Salary_Calculation[Source Row],ROW()-ROW(Payslip_Lookup[#Headers]))="","",INDEX(Salary_Calculation[Basic Salary for Target],ROW()-ROW(Payslip_Lookup[#Headers])))</f>
        <v/>
      </c>
      <c r="T269" s="176" t="str">
        <f aca="false">IF(INDEX(Salary_Calculation[Source Row],ROW()-ROW(Payslip_Lookup[#Headers]))="","",INDEX(Salary_Calculation[Gross Salary Before Deductions],ROW()-ROW(Payslip_Lookup[#Headers])))</f>
        <v/>
      </c>
      <c r="U269" s="176" t="str">
        <f aca="false">IF(INDEX(Salary_Calculation[Source Row],ROW()-ROW(Payslip_Lookup[#Headers]))="","",INDEX(Salary_Calculation[missed_days_penalty],ROW()-ROW(Payslip_Lookup[#Headers])))</f>
        <v/>
      </c>
      <c r="V269" s="176" t="str">
        <f aca="false">IF(INDEX(Salary_Calculation[Source Row],ROW()-ROW(Payslip_Lookup[#Headers]))="","",INDEX(Salary_Calculation[Rider Balance],ROW()-ROW(Payslip_Lookup[#Headers])))</f>
        <v/>
      </c>
      <c r="W269" s="176" t="str">
        <f aca="false">IF(INDEX(Salary_Calculation[Source Row],ROW()-ROW(Payslip_Lookup[#Headers]))="","",INDEX(Salary_Calculation[stacking_deduction],ROW()-ROW(Payslip_Lookup[#Headers])))</f>
        <v/>
      </c>
      <c r="X269" s="176" t="str">
        <f aca="false">IF(INDEX(Salary_Calculation[Source Row],ROW()-ROW(Payslip_Lookup[#Headers]))="","",INDEX(Salary_Calculation[Other Deductions],ROW()-ROW(Payslip_Lookup[#Headers])))</f>
        <v/>
      </c>
      <c r="Y269" s="176" t="str">
        <f aca="false">IF(INDEX(Salary_Calculation[Source Row],ROW()-ROW(Payslip_Lookup[#Headers]))="","",INDEX(Salary_Calculation[Total Deductions],ROW()-ROW(Payslip_Lookup[#Headers])))</f>
        <v/>
      </c>
      <c r="Z269" s="176" t="str">
        <f aca="false">IF(INDEX(Salary_Calculation[Source Row],ROW()-ROW(Payslip_Lookup[#Headers]))="","",INDEX(Salary_Calculation[Final Salary],ROW()-ROW(Payslip_Lookup[#Headers])))</f>
        <v/>
      </c>
      <c r="AA269" s="176" t="str">
        <f aca="false">IF(INDEX(Salary_Calculation[Source Row],ROW()-ROW(Payslip_Lookup[#Headers]))="","",INDEX(Salary_Calculation[Negative Balance / Amount Due from Rider],ROW()-ROW(Payslip_Lookup[#Headers])))</f>
        <v/>
      </c>
      <c r="AB269" s="176" t="str">
        <f aca="false">IF(INDEX(Salary_Calculation[Source Row],ROW()-ROW(Payslip_Lookup[#Headers]))="","",INDEX(Salary_Calculation[Total Amount Due from Rider],ROW()-ROW(Payslip_Lookup[#Headers])))</f>
        <v/>
      </c>
      <c r="AC269" s="176" t="str">
        <f aca="false">IF(INDEX(Salary_Calculation[Source Row],ROW()-ROW(Payslip_Lookup[#Headers]))="","",INDEX(Salary_Calculation[Salary Before Other Deductions],ROW()-ROW(Payslip_Lookup[#Headers])))</f>
        <v/>
      </c>
      <c r="AD269" s="171" t="str">
        <f aca="false">IF(INDEX(Salary_Calculation[Source Row],ROW()-ROW(Payslip_Lookup[#Headers]))="","",INDEX(Salary_Calculation[Payment Status],ROW()-ROW(Payslip_Lookup[#Headers])))</f>
        <v/>
      </c>
      <c r="AE269" s="171" t="str">
        <f aca="false">IF(INDEX(Salary_Calculation[Source Row],ROW()-ROW(Payslip_Lookup[#Headers]))="","",INDEX(Salary_Calculation[Notes],ROW()-ROW(Payslip_Lookup[#Headers])))</f>
        <v/>
      </c>
      <c r="AF269" s="171" t="str">
        <f aca="false">IF(INDEX(Salary_Calculation[Source Row],ROW()-ROW(Payslip_Lookup[#Headers]))="","",INDEX(Salary_Calculation[Exception Reason],ROW()-ROW(Payslip_Lookup[#Headers])))</f>
        <v/>
      </c>
      <c r="AG269" s="173" t="str">
        <f aca="false">IF($AD269="Review Required",COUNTIF(AD$2:AD269,"Review Required"),"")</f>
        <v/>
      </c>
      <c r="AH269" s="173" t="str">
        <f aca="false">IF(AND($D269&lt;&gt;"",$B269=Payslip_Print!$C$2),MAX(AH$1:AH268)+1,"")</f>
        <v/>
      </c>
      <c r="AL269" s="178" t="str">
        <f aca="false">IFERROR(INDEX($D$2:$D$501,MATCH(ROW()-1,$AH$2:$AH$501,0)),"")</f>
        <v/>
      </c>
      <c r="AM269" s="179" t="str">
        <f aca="false">IF($Z269="","",IF(AND($C269&gt;=Dash_Start,$C269&lt;Dash_End),$Z269+ROW()/10000000,""))</f>
        <v/>
      </c>
    </row>
    <row r="270" customFormat="false" ht="14.25" hidden="false" customHeight="false" outlineLevel="0" collapsed="false">
      <c r="A270" s="171" t="str">
        <f aca="false">IF(Payslip_Lookup[[#This Row],[Rider ID]]="","",Payslip_Lookup[[#This Row],[Rider ID]]&amp;"|"&amp;Payslip_Lookup[[#This Row],[Month Key]])</f>
        <v/>
      </c>
      <c r="B270" s="172" t="str">
        <f aca="false">IF(ISNUMBER(Payslip_Lookup[[#This Row],[Salary Month]]),DATE(YEAR(Payslip_Lookup[[#This Row],[Salary Month]]),MONTH(Payslip_Lookup[[#This Row],[Salary Month]]),1),"")</f>
        <v/>
      </c>
      <c r="C270" s="172" t="str">
        <f aca="false">IF(INDEX(Salary_Calculation[Source Row],ROW()-ROW(Payslip_Lookup[#Headers]))="","",INDEX(Salary_Calculation[Salary Month],ROW()-ROW(Payslip_Lookup[#Headers])))</f>
        <v/>
      </c>
      <c r="D270" s="173" t="str">
        <f aca="false">IF(INDEX(Salary_Calculation[Source Row],ROW()-ROW(Payslip_Lookup[#Headers]))="","",INDEX(Salary_Calculation[Rider ID],ROW()-ROW(Payslip_Lookup[#Headers])))</f>
        <v/>
      </c>
      <c r="E270" s="171" t="str">
        <f aca="false">IF(INDEX(Salary_Calculation[Source Row],ROW()-ROW(Payslip_Lookup[#Headers]))="","",INDEX(Salary_Calculation[Rider Name],ROW()-ROW(Payslip_Lookup[#Headers])))</f>
        <v/>
      </c>
      <c r="F270" s="173" t="str">
        <f aca="false">IF(INDEX(Salary_Calculation[Source Row],ROW()-ROW(Payslip_Lookup[#Headers]))="","",INDEX(Salary_Calculation[Working Days],ROW()-ROW(Payslip_Lookup[#Headers])))</f>
        <v/>
      </c>
      <c r="G270" s="173" t="str">
        <f aca="false">IF(INDEX(Salary_Calculation[Source Row],ROW()-ROW(Payslip_Lookup[#Headers]))="","",INDEX(Salary_Calculation[Calendar Days],ROW()-ROW(Payslip_Lookup[#Headers])))</f>
        <v/>
      </c>
      <c r="H270" s="174" t="str">
        <f aca="false">IF(INDEX(Salary_Calculation[Source Row],ROW()-ROW(Payslip_Lookup[#Headers]))="","",INDEX(Salary_Calculation[Monthly Target Orders],ROW()-ROW(Payslip_Lookup[#Headers])))</f>
        <v/>
      </c>
      <c r="I270" s="174" t="str">
        <f aca="false">IF(INDEX(Salary_Calculation[Source Row],ROW()-ROW(Payslip_Lookup[#Headers]))="","",INDEX(Salary_Calculation[Rider Target Orders],ROW()-ROW(Payslip_Lookup[#Headers])))</f>
        <v/>
      </c>
      <c r="J270" s="175" t="str">
        <f aca="false">IF(INDEX(Salary_Calculation[Source Row],ROW()-ROW(Payslip_Lookup[#Headers]))="","",INDEX(Salary_Calculation[Completed Orders],ROW()-ROW(Payslip_Lookup[#Headers])))</f>
        <v/>
      </c>
      <c r="K270" s="174" t="str">
        <f aca="false">IF(INDEX(Salary_Calculation[Source Row],ROW()-ROW(Payslip_Lookup[#Headers]))="","",INDEX(Salary_Calculation[Base Order Rate],ROW()-ROW(Payslip_Lookup[#Headers])))</f>
        <v/>
      </c>
      <c r="L270" s="176" t="str">
        <f aca="false">IF(INDEX(Salary_Calculation[Source Row],ROW()-ROW(Payslip_Lookup[#Headers]))="","",INDEX(Salary_Calculation[Basic Payment],ROW()-ROW(Payslip_Lookup[#Headers])))</f>
        <v/>
      </c>
      <c r="M270" s="176" t="str">
        <f aca="false">IF(INDEX(Salary_Calculation[Source Row],ROW()-ROW(Payslip_Lookup[#Headers]))="","",INDEX(Salary_Calculation[Earned Salary],ROW()-ROW(Payslip_Lookup[#Headers])))</f>
        <v/>
      </c>
      <c r="N270" s="174" t="str">
        <f aca="false">IF(INDEX(Salary_Calculation[Source Row],ROW()-ROW(Payslip_Lookup[#Headers]))="","",INDEX(Salary_Calculation[Orders Counted at Base Rate],ROW()-ROW(Payslip_Lookup[#Headers])))</f>
        <v/>
      </c>
      <c r="O270" s="174" t="str">
        <f aca="false">IF(INDEX(Salary_Calculation[Source Row],ROW()-ROW(Payslip_Lookup[#Headers]))="","",INDEX(Salary_Calculation[Missing Orders],ROW()-ROW(Payslip_Lookup[#Headers])))</f>
        <v/>
      </c>
      <c r="P270" s="176" t="str">
        <f aca="false">IF(INDEX(Salary_Calculation[Source Row],ROW()-ROW(Payslip_Lookup[#Headers]))="","",INDEX(Salary_Calculation[Missing-Order Deduction],ROW()-ROW(Payslip_Lookup[#Headers])))</f>
        <v/>
      </c>
      <c r="Q270" s="174" t="str">
        <f aca="false">IF(INDEX(Salary_Calculation[Source Row],ROW()-ROW(Payslip_Lookup[#Headers]))="","",INDEX(Salary_Calculation[Extra Orders],ROW()-ROW(Payslip_Lookup[#Headers])))</f>
        <v/>
      </c>
      <c r="R270" s="176" t="str">
        <f aca="false">IF(INDEX(Salary_Calculation[Source Row],ROW()-ROW(Payslip_Lookup[#Headers]))="","",INDEX(Salary_Calculation[Extra-Order Bonus],ROW()-ROW(Payslip_Lookup[#Headers])))</f>
        <v/>
      </c>
      <c r="S270" s="176" t="str">
        <f aca="false">IF(INDEX(Salary_Calculation[Source Row],ROW()-ROW(Payslip_Lookup[#Headers]))="","",INDEX(Salary_Calculation[Basic Salary for Target],ROW()-ROW(Payslip_Lookup[#Headers])))</f>
        <v/>
      </c>
      <c r="T270" s="176" t="str">
        <f aca="false">IF(INDEX(Salary_Calculation[Source Row],ROW()-ROW(Payslip_Lookup[#Headers]))="","",INDEX(Salary_Calculation[Gross Salary Before Deductions],ROW()-ROW(Payslip_Lookup[#Headers])))</f>
        <v/>
      </c>
      <c r="U270" s="176" t="str">
        <f aca="false">IF(INDEX(Salary_Calculation[Source Row],ROW()-ROW(Payslip_Lookup[#Headers]))="","",INDEX(Salary_Calculation[missed_days_penalty],ROW()-ROW(Payslip_Lookup[#Headers])))</f>
        <v/>
      </c>
      <c r="V270" s="176" t="str">
        <f aca="false">IF(INDEX(Salary_Calculation[Source Row],ROW()-ROW(Payslip_Lookup[#Headers]))="","",INDEX(Salary_Calculation[Rider Balance],ROW()-ROW(Payslip_Lookup[#Headers])))</f>
        <v/>
      </c>
      <c r="W270" s="176" t="str">
        <f aca="false">IF(INDEX(Salary_Calculation[Source Row],ROW()-ROW(Payslip_Lookup[#Headers]))="","",INDEX(Salary_Calculation[stacking_deduction],ROW()-ROW(Payslip_Lookup[#Headers])))</f>
        <v/>
      </c>
      <c r="X270" s="176" t="str">
        <f aca="false">IF(INDEX(Salary_Calculation[Source Row],ROW()-ROW(Payslip_Lookup[#Headers]))="","",INDEX(Salary_Calculation[Other Deductions],ROW()-ROW(Payslip_Lookup[#Headers])))</f>
        <v/>
      </c>
      <c r="Y270" s="176" t="str">
        <f aca="false">IF(INDEX(Salary_Calculation[Source Row],ROW()-ROW(Payslip_Lookup[#Headers]))="","",INDEX(Salary_Calculation[Total Deductions],ROW()-ROW(Payslip_Lookup[#Headers])))</f>
        <v/>
      </c>
      <c r="Z270" s="176" t="str">
        <f aca="false">IF(INDEX(Salary_Calculation[Source Row],ROW()-ROW(Payslip_Lookup[#Headers]))="","",INDEX(Salary_Calculation[Final Salary],ROW()-ROW(Payslip_Lookup[#Headers])))</f>
        <v/>
      </c>
      <c r="AA270" s="176" t="str">
        <f aca="false">IF(INDEX(Salary_Calculation[Source Row],ROW()-ROW(Payslip_Lookup[#Headers]))="","",INDEX(Salary_Calculation[Negative Balance / Amount Due from Rider],ROW()-ROW(Payslip_Lookup[#Headers])))</f>
        <v/>
      </c>
      <c r="AB270" s="176" t="str">
        <f aca="false">IF(INDEX(Salary_Calculation[Source Row],ROW()-ROW(Payslip_Lookup[#Headers]))="","",INDEX(Salary_Calculation[Total Amount Due from Rider],ROW()-ROW(Payslip_Lookup[#Headers])))</f>
        <v/>
      </c>
      <c r="AC270" s="176" t="str">
        <f aca="false">IF(INDEX(Salary_Calculation[Source Row],ROW()-ROW(Payslip_Lookup[#Headers]))="","",INDEX(Salary_Calculation[Salary Before Other Deductions],ROW()-ROW(Payslip_Lookup[#Headers])))</f>
        <v/>
      </c>
      <c r="AD270" s="171" t="str">
        <f aca="false">IF(INDEX(Salary_Calculation[Source Row],ROW()-ROW(Payslip_Lookup[#Headers]))="","",INDEX(Salary_Calculation[Payment Status],ROW()-ROW(Payslip_Lookup[#Headers])))</f>
        <v/>
      </c>
      <c r="AE270" s="171" t="str">
        <f aca="false">IF(INDEX(Salary_Calculation[Source Row],ROW()-ROW(Payslip_Lookup[#Headers]))="","",INDEX(Salary_Calculation[Notes],ROW()-ROW(Payslip_Lookup[#Headers])))</f>
        <v/>
      </c>
      <c r="AF270" s="171" t="str">
        <f aca="false">IF(INDEX(Salary_Calculation[Source Row],ROW()-ROW(Payslip_Lookup[#Headers]))="","",INDEX(Salary_Calculation[Exception Reason],ROW()-ROW(Payslip_Lookup[#Headers])))</f>
        <v/>
      </c>
      <c r="AG270" s="173" t="str">
        <f aca="false">IF($AD270="Review Required",COUNTIF(AD$2:AD270,"Review Required"),"")</f>
        <v/>
      </c>
      <c r="AH270" s="173" t="str">
        <f aca="false">IF(AND($D270&lt;&gt;"",$B270=Payslip_Print!$C$2),MAX(AH$1:AH269)+1,"")</f>
        <v/>
      </c>
      <c r="AL270" s="178" t="str">
        <f aca="false">IFERROR(INDEX($D$2:$D$501,MATCH(ROW()-1,$AH$2:$AH$501,0)),"")</f>
        <v/>
      </c>
      <c r="AM270" s="179" t="str">
        <f aca="false">IF($Z270="","",IF(AND($C270&gt;=Dash_Start,$C270&lt;Dash_End),$Z270+ROW()/10000000,""))</f>
        <v/>
      </c>
    </row>
    <row r="271" customFormat="false" ht="14.25" hidden="false" customHeight="false" outlineLevel="0" collapsed="false">
      <c r="A271" s="171" t="str">
        <f aca="false">IF(Payslip_Lookup[[#This Row],[Rider ID]]="","",Payslip_Lookup[[#This Row],[Rider ID]]&amp;"|"&amp;Payslip_Lookup[[#This Row],[Month Key]])</f>
        <v/>
      </c>
      <c r="B271" s="172" t="str">
        <f aca="false">IF(ISNUMBER(Payslip_Lookup[[#This Row],[Salary Month]]),DATE(YEAR(Payslip_Lookup[[#This Row],[Salary Month]]),MONTH(Payslip_Lookup[[#This Row],[Salary Month]]),1),"")</f>
        <v/>
      </c>
      <c r="C271" s="172" t="str">
        <f aca="false">IF(INDEX(Salary_Calculation[Source Row],ROW()-ROW(Payslip_Lookup[#Headers]))="","",INDEX(Salary_Calculation[Salary Month],ROW()-ROW(Payslip_Lookup[#Headers])))</f>
        <v/>
      </c>
      <c r="D271" s="173" t="str">
        <f aca="false">IF(INDEX(Salary_Calculation[Source Row],ROW()-ROW(Payslip_Lookup[#Headers]))="","",INDEX(Salary_Calculation[Rider ID],ROW()-ROW(Payslip_Lookup[#Headers])))</f>
        <v/>
      </c>
      <c r="E271" s="171" t="str">
        <f aca="false">IF(INDEX(Salary_Calculation[Source Row],ROW()-ROW(Payslip_Lookup[#Headers]))="","",INDEX(Salary_Calculation[Rider Name],ROW()-ROW(Payslip_Lookup[#Headers])))</f>
        <v/>
      </c>
      <c r="F271" s="173" t="str">
        <f aca="false">IF(INDEX(Salary_Calculation[Source Row],ROW()-ROW(Payslip_Lookup[#Headers]))="","",INDEX(Salary_Calculation[Working Days],ROW()-ROW(Payslip_Lookup[#Headers])))</f>
        <v/>
      </c>
      <c r="G271" s="173" t="str">
        <f aca="false">IF(INDEX(Salary_Calculation[Source Row],ROW()-ROW(Payslip_Lookup[#Headers]))="","",INDEX(Salary_Calculation[Calendar Days],ROW()-ROW(Payslip_Lookup[#Headers])))</f>
        <v/>
      </c>
      <c r="H271" s="174" t="str">
        <f aca="false">IF(INDEX(Salary_Calculation[Source Row],ROW()-ROW(Payslip_Lookup[#Headers]))="","",INDEX(Salary_Calculation[Monthly Target Orders],ROW()-ROW(Payslip_Lookup[#Headers])))</f>
        <v/>
      </c>
      <c r="I271" s="174" t="str">
        <f aca="false">IF(INDEX(Salary_Calculation[Source Row],ROW()-ROW(Payslip_Lookup[#Headers]))="","",INDEX(Salary_Calculation[Rider Target Orders],ROW()-ROW(Payslip_Lookup[#Headers])))</f>
        <v/>
      </c>
      <c r="J271" s="175" t="str">
        <f aca="false">IF(INDEX(Salary_Calculation[Source Row],ROW()-ROW(Payslip_Lookup[#Headers]))="","",INDEX(Salary_Calculation[Completed Orders],ROW()-ROW(Payslip_Lookup[#Headers])))</f>
        <v/>
      </c>
      <c r="K271" s="174" t="str">
        <f aca="false">IF(INDEX(Salary_Calculation[Source Row],ROW()-ROW(Payslip_Lookup[#Headers]))="","",INDEX(Salary_Calculation[Base Order Rate],ROW()-ROW(Payslip_Lookup[#Headers])))</f>
        <v/>
      </c>
      <c r="L271" s="176" t="str">
        <f aca="false">IF(INDEX(Salary_Calculation[Source Row],ROW()-ROW(Payslip_Lookup[#Headers]))="","",INDEX(Salary_Calculation[Basic Payment],ROW()-ROW(Payslip_Lookup[#Headers])))</f>
        <v/>
      </c>
      <c r="M271" s="176" t="str">
        <f aca="false">IF(INDEX(Salary_Calculation[Source Row],ROW()-ROW(Payslip_Lookup[#Headers]))="","",INDEX(Salary_Calculation[Earned Salary],ROW()-ROW(Payslip_Lookup[#Headers])))</f>
        <v/>
      </c>
      <c r="N271" s="174" t="str">
        <f aca="false">IF(INDEX(Salary_Calculation[Source Row],ROW()-ROW(Payslip_Lookup[#Headers]))="","",INDEX(Salary_Calculation[Orders Counted at Base Rate],ROW()-ROW(Payslip_Lookup[#Headers])))</f>
        <v/>
      </c>
      <c r="O271" s="174" t="str">
        <f aca="false">IF(INDEX(Salary_Calculation[Source Row],ROW()-ROW(Payslip_Lookup[#Headers]))="","",INDEX(Salary_Calculation[Missing Orders],ROW()-ROW(Payslip_Lookup[#Headers])))</f>
        <v/>
      </c>
      <c r="P271" s="176" t="str">
        <f aca="false">IF(INDEX(Salary_Calculation[Source Row],ROW()-ROW(Payslip_Lookup[#Headers]))="","",INDEX(Salary_Calculation[Missing-Order Deduction],ROW()-ROW(Payslip_Lookup[#Headers])))</f>
        <v/>
      </c>
      <c r="Q271" s="174" t="str">
        <f aca="false">IF(INDEX(Salary_Calculation[Source Row],ROW()-ROW(Payslip_Lookup[#Headers]))="","",INDEX(Salary_Calculation[Extra Orders],ROW()-ROW(Payslip_Lookup[#Headers])))</f>
        <v/>
      </c>
      <c r="R271" s="176" t="str">
        <f aca="false">IF(INDEX(Salary_Calculation[Source Row],ROW()-ROW(Payslip_Lookup[#Headers]))="","",INDEX(Salary_Calculation[Extra-Order Bonus],ROW()-ROW(Payslip_Lookup[#Headers])))</f>
        <v/>
      </c>
      <c r="S271" s="176" t="str">
        <f aca="false">IF(INDEX(Salary_Calculation[Source Row],ROW()-ROW(Payslip_Lookup[#Headers]))="","",INDEX(Salary_Calculation[Basic Salary for Target],ROW()-ROW(Payslip_Lookup[#Headers])))</f>
        <v/>
      </c>
      <c r="T271" s="176" t="str">
        <f aca="false">IF(INDEX(Salary_Calculation[Source Row],ROW()-ROW(Payslip_Lookup[#Headers]))="","",INDEX(Salary_Calculation[Gross Salary Before Deductions],ROW()-ROW(Payslip_Lookup[#Headers])))</f>
        <v/>
      </c>
      <c r="U271" s="176" t="str">
        <f aca="false">IF(INDEX(Salary_Calculation[Source Row],ROW()-ROW(Payslip_Lookup[#Headers]))="","",INDEX(Salary_Calculation[missed_days_penalty],ROW()-ROW(Payslip_Lookup[#Headers])))</f>
        <v/>
      </c>
      <c r="V271" s="176" t="str">
        <f aca="false">IF(INDEX(Salary_Calculation[Source Row],ROW()-ROW(Payslip_Lookup[#Headers]))="","",INDEX(Salary_Calculation[Rider Balance],ROW()-ROW(Payslip_Lookup[#Headers])))</f>
        <v/>
      </c>
      <c r="W271" s="176" t="str">
        <f aca="false">IF(INDEX(Salary_Calculation[Source Row],ROW()-ROW(Payslip_Lookup[#Headers]))="","",INDEX(Salary_Calculation[stacking_deduction],ROW()-ROW(Payslip_Lookup[#Headers])))</f>
        <v/>
      </c>
      <c r="X271" s="176" t="str">
        <f aca="false">IF(INDEX(Salary_Calculation[Source Row],ROW()-ROW(Payslip_Lookup[#Headers]))="","",INDEX(Salary_Calculation[Other Deductions],ROW()-ROW(Payslip_Lookup[#Headers])))</f>
        <v/>
      </c>
      <c r="Y271" s="176" t="str">
        <f aca="false">IF(INDEX(Salary_Calculation[Source Row],ROW()-ROW(Payslip_Lookup[#Headers]))="","",INDEX(Salary_Calculation[Total Deductions],ROW()-ROW(Payslip_Lookup[#Headers])))</f>
        <v/>
      </c>
      <c r="Z271" s="176" t="str">
        <f aca="false">IF(INDEX(Salary_Calculation[Source Row],ROW()-ROW(Payslip_Lookup[#Headers]))="","",INDEX(Salary_Calculation[Final Salary],ROW()-ROW(Payslip_Lookup[#Headers])))</f>
        <v/>
      </c>
      <c r="AA271" s="176" t="str">
        <f aca="false">IF(INDEX(Salary_Calculation[Source Row],ROW()-ROW(Payslip_Lookup[#Headers]))="","",INDEX(Salary_Calculation[Negative Balance / Amount Due from Rider],ROW()-ROW(Payslip_Lookup[#Headers])))</f>
        <v/>
      </c>
      <c r="AB271" s="176" t="str">
        <f aca="false">IF(INDEX(Salary_Calculation[Source Row],ROW()-ROW(Payslip_Lookup[#Headers]))="","",INDEX(Salary_Calculation[Total Amount Due from Rider],ROW()-ROW(Payslip_Lookup[#Headers])))</f>
        <v/>
      </c>
      <c r="AC271" s="176" t="str">
        <f aca="false">IF(INDEX(Salary_Calculation[Source Row],ROW()-ROW(Payslip_Lookup[#Headers]))="","",INDEX(Salary_Calculation[Salary Before Other Deductions],ROW()-ROW(Payslip_Lookup[#Headers])))</f>
        <v/>
      </c>
      <c r="AD271" s="171" t="str">
        <f aca="false">IF(INDEX(Salary_Calculation[Source Row],ROW()-ROW(Payslip_Lookup[#Headers]))="","",INDEX(Salary_Calculation[Payment Status],ROW()-ROW(Payslip_Lookup[#Headers])))</f>
        <v/>
      </c>
      <c r="AE271" s="171" t="str">
        <f aca="false">IF(INDEX(Salary_Calculation[Source Row],ROW()-ROW(Payslip_Lookup[#Headers]))="","",INDEX(Salary_Calculation[Notes],ROW()-ROW(Payslip_Lookup[#Headers])))</f>
        <v/>
      </c>
      <c r="AF271" s="171" t="str">
        <f aca="false">IF(INDEX(Salary_Calculation[Source Row],ROW()-ROW(Payslip_Lookup[#Headers]))="","",INDEX(Salary_Calculation[Exception Reason],ROW()-ROW(Payslip_Lookup[#Headers])))</f>
        <v/>
      </c>
      <c r="AG271" s="173" t="str">
        <f aca="false">IF($AD271="Review Required",COUNTIF(AD$2:AD271,"Review Required"),"")</f>
        <v/>
      </c>
      <c r="AH271" s="173" t="str">
        <f aca="false">IF(AND($D271&lt;&gt;"",$B271=Payslip_Print!$C$2),MAX(AH$1:AH270)+1,"")</f>
        <v/>
      </c>
      <c r="AL271" s="178" t="str">
        <f aca="false">IFERROR(INDEX($D$2:$D$501,MATCH(ROW()-1,$AH$2:$AH$501,0)),"")</f>
        <v/>
      </c>
      <c r="AM271" s="179" t="str">
        <f aca="false">IF($Z271="","",IF(AND($C271&gt;=Dash_Start,$C271&lt;Dash_End),$Z271+ROW()/10000000,""))</f>
        <v/>
      </c>
    </row>
    <row r="272" customFormat="false" ht="14.25" hidden="false" customHeight="false" outlineLevel="0" collapsed="false">
      <c r="A272" s="171" t="str">
        <f aca="false">IF(Payslip_Lookup[[#This Row],[Rider ID]]="","",Payslip_Lookup[[#This Row],[Rider ID]]&amp;"|"&amp;Payslip_Lookup[[#This Row],[Month Key]])</f>
        <v/>
      </c>
      <c r="B272" s="172" t="str">
        <f aca="false">IF(ISNUMBER(Payslip_Lookup[[#This Row],[Salary Month]]),DATE(YEAR(Payslip_Lookup[[#This Row],[Salary Month]]),MONTH(Payslip_Lookup[[#This Row],[Salary Month]]),1),"")</f>
        <v/>
      </c>
      <c r="C272" s="172" t="str">
        <f aca="false">IF(INDEX(Salary_Calculation[Source Row],ROW()-ROW(Payslip_Lookup[#Headers]))="","",INDEX(Salary_Calculation[Salary Month],ROW()-ROW(Payslip_Lookup[#Headers])))</f>
        <v/>
      </c>
      <c r="D272" s="173" t="str">
        <f aca="false">IF(INDEX(Salary_Calculation[Source Row],ROW()-ROW(Payslip_Lookup[#Headers]))="","",INDEX(Salary_Calculation[Rider ID],ROW()-ROW(Payslip_Lookup[#Headers])))</f>
        <v/>
      </c>
      <c r="E272" s="171" t="str">
        <f aca="false">IF(INDEX(Salary_Calculation[Source Row],ROW()-ROW(Payslip_Lookup[#Headers]))="","",INDEX(Salary_Calculation[Rider Name],ROW()-ROW(Payslip_Lookup[#Headers])))</f>
        <v/>
      </c>
      <c r="F272" s="173" t="str">
        <f aca="false">IF(INDEX(Salary_Calculation[Source Row],ROW()-ROW(Payslip_Lookup[#Headers]))="","",INDEX(Salary_Calculation[Working Days],ROW()-ROW(Payslip_Lookup[#Headers])))</f>
        <v/>
      </c>
      <c r="G272" s="173" t="str">
        <f aca="false">IF(INDEX(Salary_Calculation[Source Row],ROW()-ROW(Payslip_Lookup[#Headers]))="","",INDEX(Salary_Calculation[Calendar Days],ROW()-ROW(Payslip_Lookup[#Headers])))</f>
        <v/>
      </c>
      <c r="H272" s="174" t="str">
        <f aca="false">IF(INDEX(Salary_Calculation[Source Row],ROW()-ROW(Payslip_Lookup[#Headers]))="","",INDEX(Salary_Calculation[Monthly Target Orders],ROW()-ROW(Payslip_Lookup[#Headers])))</f>
        <v/>
      </c>
      <c r="I272" s="174" t="str">
        <f aca="false">IF(INDEX(Salary_Calculation[Source Row],ROW()-ROW(Payslip_Lookup[#Headers]))="","",INDEX(Salary_Calculation[Rider Target Orders],ROW()-ROW(Payslip_Lookup[#Headers])))</f>
        <v/>
      </c>
      <c r="J272" s="175" t="str">
        <f aca="false">IF(INDEX(Salary_Calculation[Source Row],ROW()-ROW(Payslip_Lookup[#Headers]))="","",INDEX(Salary_Calculation[Completed Orders],ROW()-ROW(Payslip_Lookup[#Headers])))</f>
        <v/>
      </c>
      <c r="K272" s="174" t="str">
        <f aca="false">IF(INDEX(Salary_Calculation[Source Row],ROW()-ROW(Payslip_Lookup[#Headers]))="","",INDEX(Salary_Calculation[Base Order Rate],ROW()-ROW(Payslip_Lookup[#Headers])))</f>
        <v/>
      </c>
      <c r="L272" s="176" t="str">
        <f aca="false">IF(INDEX(Salary_Calculation[Source Row],ROW()-ROW(Payslip_Lookup[#Headers]))="","",INDEX(Salary_Calculation[Basic Payment],ROW()-ROW(Payslip_Lookup[#Headers])))</f>
        <v/>
      </c>
      <c r="M272" s="176" t="str">
        <f aca="false">IF(INDEX(Salary_Calculation[Source Row],ROW()-ROW(Payslip_Lookup[#Headers]))="","",INDEX(Salary_Calculation[Earned Salary],ROW()-ROW(Payslip_Lookup[#Headers])))</f>
        <v/>
      </c>
      <c r="N272" s="174" t="str">
        <f aca="false">IF(INDEX(Salary_Calculation[Source Row],ROW()-ROW(Payslip_Lookup[#Headers]))="","",INDEX(Salary_Calculation[Orders Counted at Base Rate],ROW()-ROW(Payslip_Lookup[#Headers])))</f>
        <v/>
      </c>
      <c r="O272" s="174" t="str">
        <f aca="false">IF(INDEX(Salary_Calculation[Source Row],ROW()-ROW(Payslip_Lookup[#Headers]))="","",INDEX(Salary_Calculation[Missing Orders],ROW()-ROW(Payslip_Lookup[#Headers])))</f>
        <v/>
      </c>
      <c r="P272" s="176" t="str">
        <f aca="false">IF(INDEX(Salary_Calculation[Source Row],ROW()-ROW(Payslip_Lookup[#Headers]))="","",INDEX(Salary_Calculation[Missing-Order Deduction],ROW()-ROW(Payslip_Lookup[#Headers])))</f>
        <v/>
      </c>
      <c r="Q272" s="174" t="str">
        <f aca="false">IF(INDEX(Salary_Calculation[Source Row],ROW()-ROW(Payslip_Lookup[#Headers]))="","",INDEX(Salary_Calculation[Extra Orders],ROW()-ROW(Payslip_Lookup[#Headers])))</f>
        <v/>
      </c>
      <c r="R272" s="176" t="str">
        <f aca="false">IF(INDEX(Salary_Calculation[Source Row],ROW()-ROW(Payslip_Lookup[#Headers]))="","",INDEX(Salary_Calculation[Extra-Order Bonus],ROW()-ROW(Payslip_Lookup[#Headers])))</f>
        <v/>
      </c>
      <c r="S272" s="176" t="str">
        <f aca="false">IF(INDEX(Salary_Calculation[Source Row],ROW()-ROW(Payslip_Lookup[#Headers]))="","",INDEX(Salary_Calculation[Basic Salary for Target],ROW()-ROW(Payslip_Lookup[#Headers])))</f>
        <v/>
      </c>
      <c r="T272" s="176" t="str">
        <f aca="false">IF(INDEX(Salary_Calculation[Source Row],ROW()-ROW(Payslip_Lookup[#Headers]))="","",INDEX(Salary_Calculation[Gross Salary Before Deductions],ROW()-ROW(Payslip_Lookup[#Headers])))</f>
        <v/>
      </c>
      <c r="U272" s="176" t="str">
        <f aca="false">IF(INDEX(Salary_Calculation[Source Row],ROW()-ROW(Payslip_Lookup[#Headers]))="","",INDEX(Salary_Calculation[missed_days_penalty],ROW()-ROW(Payslip_Lookup[#Headers])))</f>
        <v/>
      </c>
      <c r="V272" s="176" t="str">
        <f aca="false">IF(INDEX(Salary_Calculation[Source Row],ROW()-ROW(Payslip_Lookup[#Headers]))="","",INDEX(Salary_Calculation[Rider Balance],ROW()-ROW(Payslip_Lookup[#Headers])))</f>
        <v/>
      </c>
      <c r="W272" s="176" t="str">
        <f aca="false">IF(INDEX(Salary_Calculation[Source Row],ROW()-ROW(Payslip_Lookup[#Headers]))="","",INDEX(Salary_Calculation[stacking_deduction],ROW()-ROW(Payslip_Lookup[#Headers])))</f>
        <v/>
      </c>
      <c r="X272" s="176" t="str">
        <f aca="false">IF(INDEX(Salary_Calculation[Source Row],ROW()-ROW(Payslip_Lookup[#Headers]))="","",INDEX(Salary_Calculation[Other Deductions],ROW()-ROW(Payslip_Lookup[#Headers])))</f>
        <v/>
      </c>
      <c r="Y272" s="176" t="str">
        <f aca="false">IF(INDEX(Salary_Calculation[Source Row],ROW()-ROW(Payslip_Lookup[#Headers]))="","",INDEX(Salary_Calculation[Total Deductions],ROW()-ROW(Payslip_Lookup[#Headers])))</f>
        <v/>
      </c>
      <c r="Z272" s="176" t="str">
        <f aca="false">IF(INDEX(Salary_Calculation[Source Row],ROW()-ROW(Payslip_Lookup[#Headers]))="","",INDEX(Salary_Calculation[Final Salary],ROW()-ROW(Payslip_Lookup[#Headers])))</f>
        <v/>
      </c>
      <c r="AA272" s="176" t="str">
        <f aca="false">IF(INDEX(Salary_Calculation[Source Row],ROW()-ROW(Payslip_Lookup[#Headers]))="","",INDEX(Salary_Calculation[Negative Balance / Amount Due from Rider],ROW()-ROW(Payslip_Lookup[#Headers])))</f>
        <v/>
      </c>
      <c r="AB272" s="176" t="str">
        <f aca="false">IF(INDEX(Salary_Calculation[Source Row],ROW()-ROW(Payslip_Lookup[#Headers]))="","",INDEX(Salary_Calculation[Total Amount Due from Rider],ROW()-ROW(Payslip_Lookup[#Headers])))</f>
        <v/>
      </c>
      <c r="AC272" s="176" t="str">
        <f aca="false">IF(INDEX(Salary_Calculation[Source Row],ROW()-ROW(Payslip_Lookup[#Headers]))="","",INDEX(Salary_Calculation[Salary Before Other Deductions],ROW()-ROW(Payslip_Lookup[#Headers])))</f>
        <v/>
      </c>
      <c r="AD272" s="171" t="str">
        <f aca="false">IF(INDEX(Salary_Calculation[Source Row],ROW()-ROW(Payslip_Lookup[#Headers]))="","",INDEX(Salary_Calculation[Payment Status],ROW()-ROW(Payslip_Lookup[#Headers])))</f>
        <v/>
      </c>
      <c r="AE272" s="171" t="str">
        <f aca="false">IF(INDEX(Salary_Calculation[Source Row],ROW()-ROW(Payslip_Lookup[#Headers]))="","",INDEX(Salary_Calculation[Notes],ROW()-ROW(Payslip_Lookup[#Headers])))</f>
        <v/>
      </c>
      <c r="AF272" s="171" t="str">
        <f aca="false">IF(INDEX(Salary_Calculation[Source Row],ROW()-ROW(Payslip_Lookup[#Headers]))="","",INDEX(Salary_Calculation[Exception Reason],ROW()-ROW(Payslip_Lookup[#Headers])))</f>
        <v/>
      </c>
      <c r="AG272" s="173" t="str">
        <f aca="false">IF($AD272="Review Required",COUNTIF(AD$2:AD272,"Review Required"),"")</f>
        <v/>
      </c>
      <c r="AH272" s="173" t="str">
        <f aca="false">IF(AND($D272&lt;&gt;"",$B272=Payslip_Print!$C$2),MAX(AH$1:AH271)+1,"")</f>
        <v/>
      </c>
      <c r="AL272" s="178" t="str">
        <f aca="false">IFERROR(INDEX($D$2:$D$501,MATCH(ROW()-1,$AH$2:$AH$501,0)),"")</f>
        <v/>
      </c>
      <c r="AM272" s="179" t="str">
        <f aca="false">IF($Z272="","",IF(AND($C272&gt;=Dash_Start,$C272&lt;Dash_End),$Z272+ROW()/10000000,""))</f>
        <v/>
      </c>
    </row>
    <row r="273" customFormat="false" ht="14.25" hidden="false" customHeight="false" outlineLevel="0" collapsed="false">
      <c r="A273" s="171" t="str">
        <f aca="false">IF(Payslip_Lookup[[#This Row],[Rider ID]]="","",Payslip_Lookup[[#This Row],[Rider ID]]&amp;"|"&amp;Payslip_Lookup[[#This Row],[Month Key]])</f>
        <v/>
      </c>
      <c r="B273" s="172" t="str">
        <f aca="false">IF(ISNUMBER(Payslip_Lookup[[#This Row],[Salary Month]]),DATE(YEAR(Payslip_Lookup[[#This Row],[Salary Month]]),MONTH(Payslip_Lookup[[#This Row],[Salary Month]]),1),"")</f>
        <v/>
      </c>
      <c r="C273" s="172" t="str">
        <f aca="false">IF(INDEX(Salary_Calculation[Source Row],ROW()-ROW(Payslip_Lookup[#Headers]))="","",INDEX(Salary_Calculation[Salary Month],ROW()-ROW(Payslip_Lookup[#Headers])))</f>
        <v/>
      </c>
      <c r="D273" s="173" t="str">
        <f aca="false">IF(INDEX(Salary_Calculation[Source Row],ROW()-ROW(Payslip_Lookup[#Headers]))="","",INDEX(Salary_Calculation[Rider ID],ROW()-ROW(Payslip_Lookup[#Headers])))</f>
        <v/>
      </c>
      <c r="E273" s="171" t="str">
        <f aca="false">IF(INDEX(Salary_Calculation[Source Row],ROW()-ROW(Payslip_Lookup[#Headers]))="","",INDEX(Salary_Calculation[Rider Name],ROW()-ROW(Payslip_Lookup[#Headers])))</f>
        <v/>
      </c>
      <c r="F273" s="173" t="str">
        <f aca="false">IF(INDEX(Salary_Calculation[Source Row],ROW()-ROW(Payslip_Lookup[#Headers]))="","",INDEX(Salary_Calculation[Working Days],ROW()-ROW(Payslip_Lookup[#Headers])))</f>
        <v/>
      </c>
      <c r="G273" s="173" t="str">
        <f aca="false">IF(INDEX(Salary_Calculation[Source Row],ROW()-ROW(Payslip_Lookup[#Headers]))="","",INDEX(Salary_Calculation[Calendar Days],ROW()-ROW(Payslip_Lookup[#Headers])))</f>
        <v/>
      </c>
      <c r="H273" s="174" t="str">
        <f aca="false">IF(INDEX(Salary_Calculation[Source Row],ROW()-ROW(Payslip_Lookup[#Headers]))="","",INDEX(Salary_Calculation[Monthly Target Orders],ROW()-ROW(Payslip_Lookup[#Headers])))</f>
        <v/>
      </c>
      <c r="I273" s="174" t="str">
        <f aca="false">IF(INDEX(Salary_Calculation[Source Row],ROW()-ROW(Payslip_Lookup[#Headers]))="","",INDEX(Salary_Calculation[Rider Target Orders],ROW()-ROW(Payslip_Lookup[#Headers])))</f>
        <v/>
      </c>
      <c r="J273" s="175" t="str">
        <f aca="false">IF(INDEX(Salary_Calculation[Source Row],ROW()-ROW(Payslip_Lookup[#Headers]))="","",INDEX(Salary_Calculation[Completed Orders],ROW()-ROW(Payslip_Lookup[#Headers])))</f>
        <v/>
      </c>
      <c r="K273" s="174" t="str">
        <f aca="false">IF(INDEX(Salary_Calculation[Source Row],ROW()-ROW(Payslip_Lookup[#Headers]))="","",INDEX(Salary_Calculation[Base Order Rate],ROW()-ROW(Payslip_Lookup[#Headers])))</f>
        <v/>
      </c>
      <c r="L273" s="176" t="str">
        <f aca="false">IF(INDEX(Salary_Calculation[Source Row],ROW()-ROW(Payslip_Lookup[#Headers]))="","",INDEX(Salary_Calculation[Basic Payment],ROW()-ROW(Payslip_Lookup[#Headers])))</f>
        <v/>
      </c>
      <c r="M273" s="176" t="str">
        <f aca="false">IF(INDEX(Salary_Calculation[Source Row],ROW()-ROW(Payslip_Lookup[#Headers]))="","",INDEX(Salary_Calculation[Earned Salary],ROW()-ROW(Payslip_Lookup[#Headers])))</f>
        <v/>
      </c>
      <c r="N273" s="174" t="str">
        <f aca="false">IF(INDEX(Salary_Calculation[Source Row],ROW()-ROW(Payslip_Lookup[#Headers]))="","",INDEX(Salary_Calculation[Orders Counted at Base Rate],ROW()-ROW(Payslip_Lookup[#Headers])))</f>
        <v/>
      </c>
      <c r="O273" s="174" t="str">
        <f aca="false">IF(INDEX(Salary_Calculation[Source Row],ROW()-ROW(Payslip_Lookup[#Headers]))="","",INDEX(Salary_Calculation[Missing Orders],ROW()-ROW(Payslip_Lookup[#Headers])))</f>
        <v/>
      </c>
      <c r="P273" s="176" t="str">
        <f aca="false">IF(INDEX(Salary_Calculation[Source Row],ROW()-ROW(Payslip_Lookup[#Headers]))="","",INDEX(Salary_Calculation[Missing-Order Deduction],ROW()-ROW(Payslip_Lookup[#Headers])))</f>
        <v/>
      </c>
      <c r="Q273" s="174" t="str">
        <f aca="false">IF(INDEX(Salary_Calculation[Source Row],ROW()-ROW(Payslip_Lookup[#Headers]))="","",INDEX(Salary_Calculation[Extra Orders],ROW()-ROW(Payslip_Lookup[#Headers])))</f>
        <v/>
      </c>
      <c r="R273" s="176" t="str">
        <f aca="false">IF(INDEX(Salary_Calculation[Source Row],ROW()-ROW(Payslip_Lookup[#Headers]))="","",INDEX(Salary_Calculation[Extra-Order Bonus],ROW()-ROW(Payslip_Lookup[#Headers])))</f>
        <v/>
      </c>
      <c r="S273" s="176" t="str">
        <f aca="false">IF(INDEX(Salary_Calculation[Source Row],ROW()-ROW(Payslip_Lookup[#Headers]))="","",INDEX(Salary_Calculation[Basic Salary for Target],ROW()-ROW(Payslip_Lookup[#Headers])))</f>
        <v/>
      </c>
      <c r="T273" s="176" t="str">
        <f aca="false">IF(INDEX(Salary_Calculation[Source Row],ROW()-ROW(Payslip_Lookup[#Headers]))="","",INDEX(Salary_Calculation[Gross Salary Before Deductions],ROW()-ROW(Payslip_Lookup[#Headers])))</f>
        <v/>
      </c>
      <c r="U273" s="176" t="str">
        <f aca="false">IF(INDEX(Salary_Calculation[Source Row],ROW()-ROW(Payslip_Lookup[#Headers]))="","",INDEX(Salary_Calculation[missed_days_penalty],ROW()-ROW(Payslip_Lookup[#Headers])))</f>
        <v/>
      </c>
      <c r="V273" s="176" t="str">
        <f aca="false">IF(INDEX(Salary_Calculation[Source Row],ROW()-ROW(Payslip_Lookup[#Headers]))="","",INDEX(Salary_Calculation[Rider Balance],ROW()-ROW(Payslip_Lookup[#Headers])))</f>
        <v/>
      </c>
      <c r="W273" s="176" t="str">
        <f aca="false">IF(INDEX(Salary_Calculation[Source Row],ROW()-ROW(Payslip_Lookup[#Headers]))="","",INDEX(Salary_Calculation[stacking_deduction],ROW()-ROW(Payslip_Lookup[#Headers])))</f>
        <v/>
      </c>
      <c r="X273" s="176" t="str">
        <f aca="false">IF(INDEX(Salary_Calculation[Source Row],ROW()-ROW(Payslip_Lookup[#Headers]))="","",INDEX(Salary_Calculation[Other Deductions],ROW()-ROW(Payslip_Lookup[#Headers])))</f>
        <v/>
      </c>
      <c r="Y273" s="176" t="str">
        <f aca="false">IF(INDEX(Salary_Calculation[Source Row],ROW()-ROW(Payslip_Lookup[#Headers]))="","",INDEX(Salary_Calculation[Total Deductions],ROW()-ROW(Payslip_Lookup[#Headers])))</f>
        <v/>
      </c>
      <c r="Z273" s="176" t="str">
        <f aca="false">IF(INDEX(Salary_Calculation[Source Row],ROW()-ROW(Payslip_Lookup[#Headers]))="","",INDEX(Salary_Calculation[Final Salary],ROW()-ROW(Payslip_Lookup[#Headers])))</f>
        <v/>
      </c>
      <c r="AA273" s="176" t="str">
        <f aca="false">IF(INDEX(Salary_Calculation[Source Row],ROW()-ROW(Payslip_Lookup[#Headers]))="","",INDEX(Salary_Calculation[Negative Balance / Amount Due from Rider],ROW()-ROW(Payslip_Lookup[#Headers])))</f>
        <v/>
      </c>
      <c r="AB273" s="176" t="str">
        <f aca="false">IF(INDEX(Salary_Calculation[Source Row],ROW()-ROW(Payslip_Lookup[#Headers]))="","",INDEX(Salary_Calculation[Total Amount Due from Rider],ROW()-ROW(Payslip_Lookup[#Headers])))</f>
        <v/>
      </c>
      <c r="AC273" s="176" t="str">
        <f aca="false">IF(INDEX(Salary_Calculation[Source Row],ROW()-ROW(Payslip_Lookup[#Headers]))="","",INDEX(Salary_Calculation[Salary Before Other Deductions],ROW()-ROW(Payslip_Lookup[#Headers])))</f>
        <v/>
      </c>
      <c r="AD273" s="171" t="str">
        <f aca="false">IF(INDEX(Salary_Calculation[Source Row],ROW()-ROW(Payslip_Lookup[#Headers]))="","",INDEX(Salary_Calculation[Payment Status],ROW()-ROW(Payslip_Lookup[#Headers])))</f>
        <v/>
      </c>
      <c r="AE273" s="171" t="str">
        <f aca="false">IF(INDEX(Salary_Calculation[Source Row],ROW()-ROW(Payslip_Lookup[#Headers]))="","",INDEX(Salary_Calculation[Notes],ROW()-ROW(Payslip_Lookup[#Headers])))</f>
        <v/>
      </c>
      <c r="AF273" s="171" t="str">
        <f aca="false">IF(INDEX(Salary_Calculation[Source Row],ROW()-ROW(Payslip_Lookup[#Headers]))="","",INDEX(Salary_Calculation[Exception Reason],ROW()-ROW(Payslip_Lookup[#Headers])))</f>
        <v/>
      </c>
      <c r="AG273" s="173" t="str">
        <f aca="false">IF($AD273="Review Required",COUNTIF(AD$2:AD273,"Review Required"),"")</f>
        <v/>
      </c>
      <c r="AH273" s="173" t="str">
        <f aca="false">IF(AND($D273&lt;&gt;"",$B273=Payslip_Print!$C$2),MAX(AH$1:AH272)+1,"")</f>
        <v/>
      </c>
      <c r="AL273" s="178" t="str">
        <f aca="false">IFERROR(INDEX($D$2:$D$501,MATCH(ROW()-1,$AH$2:$AH$501,0)),"")</f>
        <v/>
      </c>
      <c r="AM273" s="179" t="str">
        <f aca="false">IF($Z273="","",IF(AND($C273&gt;=Dash_Start,$C273&lt;Dash_End),$Z273+ROW()/10000000,""))</f>
        <v/>
      </c>
    </row>
    <row r="274" customFormat="false" ht="14.25" hidden="false" customHeight="false" outlineLevel="0" collapsed="false">
      <c r="A274" s="171" t="str">
        <f aca="false">IF(Payslip_Lookup[[#This Row],[Rider ID]]="","",Payslip_Lookup[[#This Row],[Rider ID]]&amp;"|"&amp;Payslip_Lookup[[#This Row],[Month Key]])</f>
        <v/>
      </c>
      <c r="B274" s="172" t="str">
        <f aca="false">IF(ISNUMBER(Payslip_Lookup[[#This Row],[Salary Month]]),DATE(YEAR(Payslip_Lookup[[#This Row],[Salary Month]]),MONTH(Payslip_Lookup[[#This Row],[Salary Month]]),1),"")</f>
        <v/>
      </c>
      <c r="C274" s="172" t="str">
        <f aca="false">IF(INDEX(Salary_Calculation[Source Row],ROW()-ROW(Payslip_Lookup[#Headers]))="","",INDEX(Salary_Calculation[Salary Month],ROW()-ROW(Payslip_Lookup[#Headers])))</f>
        <v/>
      </c>
      <c r="D274" s="173" t="str">
        <f aca="false">IF(INDEX(Salary_Calculation[Source Row],ROW()-ROW(Payslip_Lookup[#Headers]))="","",INDEX(Salary_Calculation[Rider ID],ROW()-ROW(Payslip_Lookup[#Headers])))</f>
        <v/>
      </c>
      <c r="E274" s="171" t="str">
        <f aca="false">IF(INDEX(Salary_Calculation[Source Row],ROW()-ROW(Payslip_Lookup[#Headers]))="","",INDEX(Salary_Calculation[Rider Name],ROW()-ROW(Payslip_Lookup[#Headers])))</f>
        <v/>
      </c>
      <c r="F274" s="173" t="str">
        <f aca="false">IF(INDEX(Salary_Calculation[Source Row],ROW()-ROW(Payslip_Lookup[#Headers]))="","",INDEX(Salary_Calculation[Working Days],ROW()-ROW(Payslip_Lookup[#Headers])))</f>
        <v/>
      </c>
      <c r="G274" s="173" t="str">
        <f aca="false">IF(INDEX(Salary_Calculation[Source Row],ROW()-ROW(Payslip_Lookup[#Headers]))="","",INDEX(Salary_Calculation[Calendar Days],ROW()-ROW(Payslip_Lookup[#Headers])))</f>
        <v/>
      </c>
      <c r="H274" s="174" t="str">
        <f aca="false">IF(INDEX(Salary_Calculation[Source Row],ROW()-ROW(Payslip_Lookup[#Headers]))="","",INDEX(Salary_Calculation[Monthly Target Orders],ROW()-ROW(Payslip_Lookup[#Headers])))</f>
        <v/>
      </c>
      <c r="I274" s="174" t="str">
        <f aca="false">IF(INDEX(Salary_Calculation[Source Row],ROW()-ROW(Payslip_Lookup[#Headers]))="","",INDEX(Salary_Calculation[Rider Target Orders],ROW()-ROW(Payslip_Lookup[#Headers])))</f>
        <v/>
      </c>
      <c r="J274" s="175" t="str">
        <f aca="false">IF(INDEX(Salary_Calculation[Source Row],ROW()-ROW(Payslip_Lookup[#Headers]))="","",INDEX(Salary_Calculation[Completed Orders],ROW()-ROW(Payslip_Lookup[#Headers])))</f>
        <v/>
      </c>
      <c r="K274" s="174" t="str">
        <f aca="false">IF(INDEX(Salary_Calculation[Source Row],ROW()-ROW(Payslip_Lookup[#Headers]))="","",INDEX(Salary_Calculation[Base Order Rate],ROW()-ROW(Payslip_Lookup[#Headers])))</f>
        <v/>
      </c>
      <c r="L274" s="176" t="str">
        <f aca="false">IF(INDEX(Salary_Calculation[Source Row],ROW()-ROW(Payslip_Lookup[#Headers]))="","",INDEX(Salary_Calculation[Basic Payment],ROW()-ROW(Payslip_Lookup[#Headers])))</f>
        <v/>
      </c>
      <c r="M274" s="176" t="str">
        <f aca="false">IF(INDEX(Salary_Calculation[Source Row],ROW()-ROW(Payslip_Lookup[#Headers]))="","",INDEX(Salary_Calculation[Earned Salary],ROW()-ROW(Payslip_Lookup[#Headers])))</f>
        <v/>
      </c>
      <c r="N274" s="174" t="str">
        <f aca="false">IF(INDEX(Salary_Calculation[Source Row],ROW()-ROW(Payslip_Lookup[#Headers]))="","",INDEX(Salary_Calculation[Orders Counted at Base Rate],ROW()-ROW(Payslip_Lookup[#Headers])))</f>
        <v/>
      </c>
      <c r="O274" s="174" t="str">
        <f aca="false">IF(INDEX(Salary_Calculation[Source Row],ROW()-ROW(Payslip_Lookup[#Headers]))="","",INDEX(Salary_Calculation[Missing Orders],ROW()-ROW(Payslip_Lookup[#Headers])))</f>
        <v/>
      </c>
      <c r="P274" s="176" t="str">
        <f aca="false">IF(INDEX(Salary_Calculation[Source Row],ROW()-ROW(Payslip_Lookup[#Headers]))="","",INDEX(Salary_Calculation[Missing-Order Deduction],ROW()-ROW(Payslip_Lookup[#Headers])))</f>
        <v/>
      </c>
      <c r="Q274" s="174" t="str">
        <f aca="false">IF(INDEX(Salary_Calculation[Source Row],ROW()-ROW(Payslip_Lookup[#Headers]))="","",INDEX(Salary_Calculation[Extra Orders],ROW()-ROW(Payslip_Lookup[#Headers])))</f>
        <v/>
      </c>
      <c r="R274" s="176" t="str">
        <f aca="false">IF(INDEX(Salary_Calculation[Source Row],ROW()-ROW(Payslip_Lookup[#Headers]))="","",INDEX(Salary_Calculation[Extra-Order Bonus],ROW()-ROW(Payslip_Lookup[#Headers])))</f>
        <v/>
      </c>
      <c r="S274" s="176" t="str">
        <f aca="false">IF(INDEX(Salary_Calculation[Source Row],ROW()-ROW(Payslip_Lookup[#Headers]))="","",INDEX(Salary_Calculation[Basic Salary for Target],ROW()-ROW(Payslip_Lookup[#Headers])))</f>
        <v/>
      </c>
      <c r="T274" s="176" t="str">
        <f aca="false">IF(INDEX(Salary_Calculation[Source Row],ROW()-ROW(Payslip_Lookup[#Headers]))="","",INDEX(Salary_Calculation[Gross Salary Before Deductions],ROW()-ROW(Payslip_Lookup[#Headers])))</f>
        <v/>
      </c>
      <c r="U274" s="176" t="str">
        <f aca="false">IF(INDEX(Salary_Calculation[Source Row],ROW()-ROW(Payslip_Lookup[#Headers]))="","",INDEX(Salary_Calculation[missed_days_penalty],ROW()-ROW(Payslip_Lookup[#Headers])))</f>
        <v/>
      </c>
      <c r="V274" s="176" t="str">
        <f aca="false">IF(INDEX(Salary_Calculation[Source Row],ROW()-ROW(Payslip_Lookup[#Headers]))="","",INDEX(Salary_Calculation[Rider Balance],ROW()-ROW(Payslip_Lookup[#Headers])))</f>
        <v/>
      </c>
      <c r="W274" s="176" t="str">
        <f aca="false">IF(INDEX(Salary_Calculation[Source Row],ROW()-ROW(Payslip_Lookup[#Headers]))="","",INDEX(Salary_Calculation[stacking_deduction],ROW()-ROW(Payslip_Lookup[#Headers])))</f>
        <v/>
      </c>
      <c r="X274" s="176" t="str">
        <f aca="false">IF(INDEX(Salary_Calculation[Source Row],ROW()-ROW(Payslip_Lookup[#Headers]))="","",INDEX(Salary_Calculation[Other Deductions],ROW()-ROW(Payslip_Lookup[#Headers])))</f>
        <v/>
      </c>
      <c r="Y274" s="176" t="str">
        <f aca="false">IF(INDEX(Salary_Calculation[Source Row],ROW()-ROW(Payslip_Lookup[#Headers]))="","",INDEX(Salary_Calculation[Total Deductions],ROW()-ROW(Payslip_Lookup[#Headers])))</f>
        <v/>
      </c>
      <c r="Z274" s="176" t="str">
        <f aca="false">IF(INDEX(Salary_Calculation[Source Row],ROW()-ROW(Payslip_Lookup[#Headers]))="","",INDEX(Salary_Calculation[Final Salary],ROW()-ROW(Payslip_Lookup[#Headers])))</f>
        <v/>
      </c>
      <c r="AA274" s="176" t="str">
        <f aca="false">IF(INDEX(Salary_Calculation[Source Row],ROW()-ROW(Payslip_Lookup[#Headers]))="","",INDEX(Salary_Calculation[Negative Balance / Amount Due from Rider],ROW()-ROW(Payslip_Lookup[#Headers])))</f>
        <v/>
      </c>
      <c r="AB274" s="176" t="str">
        <f aca="false">IF(INDEX(Salary_Calculation[Source Row],ROW()-ROW(Payslip_Lookup[#Headers]))="","",INDEX(Salary_Calculation[Total Amount Due from Rider],ROW()-ROW(Payslip_Lookup[#Headers])))</f>
        <v/>
      </c>
      <c r="AC274" s="176" t="str">
        <f aca="false">IF(INDEX(Salary_Calculation[Source Row],ROW()-ROW(Payslip_Lookup[#Headers]))="","",INDEX(Salary_Calculation[Salary Before Other Deductions],ROW()-ROW(Payslip_Lookup[#Headers])))</f>
        <v/>
      </c>
      <c r="AD274" s="171" t="str">
        <f aca="false">IF(INDEX(Salary_Calculation[Source Row],ROW()-ROW(Payslip_Lookup[#Headers]))="","",INDEX(Salary_Calculation[Payment Status],ROW()-ROW(Payslip_Lookup[#Headers])))</f>
        <v/>
      </c>
      <c r="AE274" s="171" t="str">
        <f aca="false">IF(INDEX(Salary_Calculation[Source Row],ROW()-ROW(Payslip_Lookup[#Headers]))="","",INDEX(Salary_Calculation[Notes],ROW()-ROW(Payslip_Lookup[#Headers])))</f>
        <v/>
      </c>
      <c r="AF274" s="171" t="str">
        <f aca="false">IF(INDEX(Salary_Calculation[Source Row],ROW()-ROW(Payslip_Lookup[#Headers]))="","",INDEX(Salary_Calculation[Exception Reason],ROW()-ROW(Payslip_Lookup[#Headers])))</f>
        <v/>
      </c>
      <c r="AG274" s="173" t="str">
        <f aca="false">IF($AD274="Review Required",COUNTIF(AD$2:AD274,"Review Required"),"")</f>
        <v/>
      </c>
      <c r="AH274" s="173" t="str">
        <f aca="false">IF(AND($D274&lt;&gt;"",$B274=Payslip_Print!$C$2),MAX(AH$1:AH273)+1,"")</f>
        <v/>
      </c>
      <c r="AL274" s="178" t="str">
        <f aca="false">IFERROR(INDEX($D$2:$D$501,MATCH(ROW()-1,$AH$2:$AH$501,0)),"")</f>
        <v/>
      </c>
      <c r="AM274" s="179" t="str">
        <f aca="false">IF($Z274="","",IF(AND($C274&gt;=Dash_Start,$C274&lt;Dash_End),$Z274+ROW()/10000000,""))</f>
        <v/>
      </c>
    </row>
    <row r="275" customFormat="false" ht="14.25" hidden="false" customHeight="false" outlineLevel="0" collapsed="false">
      <c r="A275" s="171" t="str">
        <f aca="false">IF(Payslip_Lookup[[#This Row],[Rider ID]]="","",Payslip_Lookup[[#This Row],[Rider ID]]&amp;"|"&amp;Payslip_Lookup[[#This Row],[Month Key]])</f>
        <v/>
      </c>
      <c r="B275" s="172" t="str">
        <f aca="false">IF(ISNUMBER(Payslip_Lookup[[#This Row],[Salary Month]]),DATE(YEAR(Payslip_Lookup[[#This Row],[Salary Month]]),MONTH(Payslip_Lookup[[#This Row],[Salary Month]]),1),"")</f>
        <v/>
      </c>
      <c r="C275" s="172" t="str">
        <f aca="false">IF(INDEX(Salary_Calculation[Source Row],ROW()-ROW(Payslip_Lookup[#Headers]))="","",INDEX(Salary_Calculation[Salary Month],ROW()-ROW(Payslip_Lookup[#Headers])))</f>
        <v/>
      </c>
      <c r="D275" s="173" t="str">
        <f aca="false">IF(INDEX(Salary_Calculation[Source Row],ROW()-ROW(Payslip_Lookup[#Headers]))="","",INDEX(Salary_Calculation[Rider ID],ROW()-ROW(Payslip_Lookup[#Headers])))</f>
        <v/>
      </c>
      <c r="E275" s="171" t="str">
        <f aca="false">IF(INDEX(Salary_Calculation[Source Row],ROW()-ROW(Payslip_Lookup[#Headers]))="","",INDEX(Salary_Calculation[Rider Name],ROW()-ROW(Payslip_Lookup[#Headers])))</f>
        <v/>
      </c>
      <c r="F275" s="173" t="str">
        <f aca="false">IF(INDEX(Salary_Calculation[Source Row],ROW()-ROW(Payslip_Lookup[#Headers]))="","",INDEX(Salary_Calculation[Working Days],ROW()-ROW(Payslip_Lookup[#Headers])))</f>
        <v/>
      </c>
      <c r="G275" s="173" t="str">
        <f aca="false">IF(INDEX(Salary_Calculation[Source Row],ROW()-ROW(Payslip_Lookup[#Headers]))="","",INDEX(Salary_Calculation[Calendar Days],ROW()-ROW(Payslip_Lookup[#Headers])))</f>
        <v/>
      </c>
      <c r="H275" s="174" t="str">
        <f aca="false">IF(INDEX(Salary_Calculation[Source Row],ROW()-ROW(Payslip_Lookup[#Headers]))="","",INDEX(Salary_Calculation[Monthly Target Orders],ROW()-ROW(Payslip_Lookup[#Headers])))</f>
        <v/>
      </c>
      <c r="I275" s="174" t="str">
        <f aca="false">IF(INDEX(Salary_Calculation[Source Row],ROW()-ROW(Payslip_Lookup[#Headers]))="","",INDEX(Salary_Calculation[Rider Target Orders],ROW()-ROW(Payslip_Lookup[#Headers])))</f>
        <v/>
      </c>
      <c r="J275" s="175" t="str">
        <f aca="false">IF(INDEX(Salary_Calculation[Source Row],ROW()-ROW(Payslip_Lookup[#Headers]))="","",INDEX(Salary_Calculation[Completed Orders],ROW()-ROW(Payslip_Lookup[#Headers])))</f>
        <v/>
      </c>
      <c r="K275" s="174" t="str">
        <f aca="false">IF(INDEX(Salary_Calculation[Source Row],ROW()-ROW(Payslip_Lookup[#Headers]))="","",INDEX(Salary_Calculation[Base Order Rate],ROW()-ROW(Payslip_Lookup[#Headers])))</f>
        <v/>
      </c>
      <c r="L275" s="176" t="str">
        <f aca="false">IF(INDEX(Salary_Calculation[Source Row],ROW()-ROW(Payslip_Lookup[#Headers]))="","",INDEX(Salary_Calculation[Basic Payment],ROW()-ROW(Payslip_Lookup[#Headers])))</f>
        <v/>
      </c>
      <c r="M275" s="176" t="str">
        <f aca="false">IF(INDEX(Salary_Calculation[Source Row],ROW()-ROW(Payslip_Lookup[#Headers]))="","",INDEX(Salary_Calculation[Earned Salary],ROW()-ROW(Payslip_Lookup[#Headers])))</f>
        <v/>
      </c>
      <c r="N275" s="174" t="str">
        <f aca="false">IF(INDEX(Salary_Calculation[Source Row],ROW()-ROW(Payslip_Lookup[#Headers]))="","",INDEX(Salary_Calculation[Orders Counted at Base Rate],ROW()-ROW(Payslip_Lookup[#Headers])))</f>
        <v/>
      </c>
      <c r="O275" s="174" t="str">
        <f aca="false">IF(INDEX(Salary_Calculation[Source Row],ROW()-ROW(Payslip_Lookup[#Headers]))="","",INDEX(Salary_Calculation[Missing Orders],ROW()-ROW(Payslip_Lookup[#Headers])))</f>
        <v/>
      </c>
      <c r="P275" s="176" t="str">
        <f aca="false">IF(INDEX(Salary_Calculation[Source Row],ROW()-ROW(Payslip_Lookup[#Headers]))="","",INDEX(Salary_Calculation[Missing-Order Deduction],ROW()-ROW(Payslip_Lookup[#Headers])))</f>
        <v/>
      </c>
      <c r="Q275" s="174" t="str">
        <f aca="false">IF(INDEX(Salary_Calculation[Source Row],ROW()-ROW(Payslip_Lookup[#Headers]))="","",INDEX(Salary_Calculation[Extra Orders],ROW()-ROW(Payslip_Lookup[#Headers])))</f>
        <v/>
      </c>
      <c r="R275" s="176" t="str">
        <f aca="false">IF(INDEX(Salary_Calculation[Source Row],ROW()-ROW(Payslip_Lookup[#Headers]))="","",INDEX(Salary_Calculation[Extra-Order Bonus],ROW()-ROW(Payslip_Lookup[#Headers])))</f>
        <v/>
      </c>
      <c r="S275" s="176" t="str">
        <f aca="false">IF(INDEX(Salary_Calculation[Source Row],ROW()-ROW(Payslip_Lookup[#Headers]))="","",INDEX(Salary_Calculation[Basic Salary for Target],ROW()-ROW(Payslip_Lookup[#Headers])))</f>
        <v/>
      </c>
      <c r="T275" s="176" t="str">
        <f aca="false">IF(INDEX(Salary_Calculation[Source Row],ROW()-ROW(Payslip_Lookup[#Headers]))="","",INDEX(Salary_Calculation[Gross Salary Before Deductions],ROW()-ROW(Payslip_Lookup[#Headers])))</f>
        <v/>
      </c>
      <c r="U275" s="176" t="str">
        <f aca="false">IF(INDEX(Salary_Calculation[Source Row],ROW()-ROW(Payslip_Lookup[#Headers]))="","",INDEX(Salary_Calculation[missed_days_penalty],ROW()-ROW(Payslip_Lookup[#Headers])))</f>
        <v/>
      </c>
      <c r="V275" s="176" t="str">
        <f aca="false">IF(INDEX(Salary_Calculation[Source Row],ROW()-ROW(Payslip_Lookup[#Headers]))="","",INDEX(Salary_Calculation[Rider Balance],ROW()-ROW(Payslip_Lookup[#Headers])))</f>
        <v/>
      </c>
      <c r="W275" s="176" t="str">
        <f aca="false">IF(INDEX(Salary_Calculation[Source Row],ROW()-ROW(Payslip_Lookup[#Headers]))="","",INDEX(Salary_Calculation[stacking_deduction],ROW()-ROW(Payslip_Lookup[#Headers])))</f>
        <v/>
      </c>
      <c r="X275" s="176" t="str">
        <f aca="false">IF(INDEX(Salary_Calculation[Source Row],ROW()-ROW(Payslip_Lookup[#Headers]))="","",INDEX(Salary_Calculation[Other Deductions],ROW()-ROW(Payslip_Lookup[#Headers])))</f>
        <v/>
      </c>
      <c r="Y275" s="176" t="str">
        <f aca="false">IF(INDEX(Salary_Calculation[Source Row],ROW()-ROW(Payslip_Lookup[#Headers]))="","",INDEX(Salary_Calculation[Total Deductions],ROW()-ROW(Payslip_Lookup[#Headers])))</f>
        <v/>
      </c>
      <c r="Z275" s="176" t="str">
        <f aca="false">IF(INDEX(Salary_Calculation[Source Row],ROW()-ROW(Payslip_Lookup[#Headers]))="","",INDEX(Salary_Calculation[Final Salary],ROW()-ROW(Payslip_Lookup[#Headers])))</f>
        <v/>
      </c>
      <c r="AA275" s="176" t="str">
        <f aca="false">IF(INDEX(Salary_Calculation[Source Row],ROW()-ROW(Payslip_Lookup[#Headers]))="","",INDEX(Salary_Calculation[Negative Balance / Amount Due from Rider],ROW()-ROW(Payslip_Lookup[#Headers])))</f>
        <v/>
      </c>
      <c r="AB275" s="176" t="str">
        <f aca="false">IF(INDEX(Salary_Calculation[Source Row],ROW()-ROW(Payslip_Lookup[#Headers]))="","",INDEX(Salary_Calculation[Total Amount Due from Rider],ROW()-ROW(Payslip_Lookup[#Headers])))</f>
        <v/>
      </c>
      <c r="AC275" s="176" t="str">
        <f aca="false">IF(INDEX(Salary_Calculation[Source Row],ROW()-ROW(Payslip_Lookup[#Headers]))="","",INDEX(Salary_Calculation[Salary Before Other Deductions],ROW()-ROW(Payslip_Lookup[#Headers])))</f>
        <v/>
      </c>
      <c r="AD275" s="171" t="str">
        <f aca="false">IF(INDEX(Salary_Calculation[Source Row],ROW()-ROW(Payslip_Lookup[#Headers]))="","",INDEX(Salary_Calculation[Payment Status],ROW()-ROW(Payslip_Lookup[#Headers])))</f>
        <v/>
      </c>
      <c r="AE275" s="171" t="str">
        <f aca="false">IF(INDEX(Salary_Calculation[Source Row],ROW()-ROW(Payslip_Lookup[#Headers]))="","",INDEX(Salary_Calculation[Notes],ROW()-ROW(Payslip_Lookup[#Headers])))</f>
        <v/>
      </c>
      <c r="AF275" s="171" t="str">
        <f aca="false">IF(INDEX(Salary_Calculation[Source Row],ROW()-ROW(Payslip_Lookup[#Headers]))="","",INDEX(Salary_Calculation[Exception Reason],ROW()-ROW(Payslip_Lookup[#Headers])))</f>
        <v/>
      </c>
      <c r="AG275" s="173" t="str">
        <f aca="false">IF($AD275="Review Required",COUNTIF(AD$2:AD275,"Review Required"),"")</f>
        <v/>
      </c>
      <c r="AH275" s="173" t="str">
        <f aca="false">IF(AND($D275&lt;&gt;"",$B275=Payslip_Print!$C$2),MAX(AH$1:AH274)+1,"")</f>
        <v/>
      </c>
      <c r="AL275" s="178" t="str">
        <f aca="false">IFERROR(INDEX($D$2:$D$501,MATCH(ROW()-1,$AH$2:$AH$501,0)),"")</f>
        <v/>
      </c>
      <c r="AM275" s="179" t="str">
        <f aca="false">IF($Z275="","",IF(AND($C275&gt;=Dash_Start,$C275&lt;Dash_End),$Z275+ROW()/10000000,""))</f>
        <v/>
      </c>
    </row>
    <row r="276" customFormat="false" ht="14.25" hidden="false" customHeight="false" outlineLevel="0" collapsed="false">
      <c r="A276" s="171" t="str">
        <f aca="false">IF(Payslip_Lookup[[#This Row],[Rider ID]]="","",Payslip_Lookup[[#This Row],[Rider ID]]&amp;"|"&amp;Payslip_Lookup[[#This Row],[Month Key]])</f>
        <v/>
      </c>
      <c r="B276" s="172" t="str">
        <f aca="false">IF(ISNUMBER(Payslip_Lookup[[#This Row],[Salary Month]]),DATE(YEAR(Payslip_Lookup[[#This Row],[Salary Month]]),MONTH(Payslip_Lookup[[#This Row],[Salary Month]]),1),"")</f>
        <v/>
      </c>
      <c r="C276" s="172" t="str">
        <f aca="false">IF(INDEX(Salary_Calculation[Source Row],ROW()-ROW(Payslip_Lookup[#Headers]))="","",INDEX(Salary_Calculation[Salary Month],ROW()-ROW(Payslip_Lookup[#Headers])))</f>
        <v/>
      </c>
      <c r="D276" s="173" t="str">
        <f aca="false">IF(INDEX(Salary_Calculation[Source Row],ROW()-ROW(Payslip_Lookup[#Headers]))="","",INDEX(Salary_Calculation[Rider ID],ROW()-ROW(Payslip_Lookup[#Headers])))</f>
        <v/>
      </c>
      <c r="E276" s="171" t="str">
        <f aca="false">IF(INDEX(Salary_Calculation[Source Row],ROW()-ROW(Payslip_Lookup[#Headers]))="","",INDEX(Salary_Calculation[Rider Name],ROW()-ROW(Payslip_Lookup[#Headers])))</f>
        <v/>
      </c>
      <c r="F276" s="173" t="str">
        <f aca="false">IF(INDEX(Salary_Calculation[Source Row],ROW()-ROW(Payslip_Lookup[#Headers]))="","",INDEX(Salary_Calculation[Working Days],ROW()-ROW(Payslip_Lookup[#Headers])))</f>
        <v/>
      </c>
      <c r="G276" s="173" t="str">
        <f aca="false">IF(INDEX(Salary_Calculation[Source Row],ROW()-ROW(Payslip_Lookup[#Headers]))="","",INDEX(Salary_Calculation[Calendar Days],ROW()-ROW(Payslip_Lookup[#Headers])))</f>
        <v/>
      </c>
      <c r="H276" s="174" t="str">
        <f aca="false">IF(INDEX(Salary_Calculation[Source Row],ROW()-ROW(Payslip_Lookup[#Headers]))="","",INDEX(Salary_Calculation[Monthly Target Orders],ROW()-ROW(Payslip_Lookup[#Headers])))</f>
        <v/>
      </c>
      <c r="I276" s="174" t="str">
        <f aca="false">IF(INDEX(Salary_Calculation[Source Row],ROW()-ROW(Payslip_Lookup[#Headers]))="","",INDEX(Salary_Calculation[Rider Target Orders],ROW()-ROW(Payslip_Lookup[#Headers])))</f>
        <v/>
      </c>
      <c r="J276" s="175" t="str">
        <f aca="false">IF(INDEX(Salary_Calculation[Source Row],ROW()-ROW(Payslip_Lookup[#Headers]))="","",INDEX(Salary_Calculation[Completed Orders],ROW()-ROW(Payslip_Lookup[#Headers])))</f>
        <v/>
      </c>
      <c r="K276" s="174" t="str">
        <f aca="false">IF(INDEX(Salary_Calculation[Source Row],ROW()-ROW(Payslip_Lookup[#Headers]))="","",INDEX(Salary_Calculation[Base Order Rate],ROW()-ROW(Payslip_Lookup[#Headers])))</f>
        <v/>
      </c>
      <c r="L276" s="176" t="str">
        <f aca="false">IF(INDEX(Salary_Calculation[Source Row],ROW()-ROW(Payslip_Lookup[#Headers]))="","",INDEX(Salary_Calculation[Basic Payment],ROW()-ROW(Payslip_Lookup[#Headers])))</f>
        <v/>
      </c>
      <c r="M276" s="176" t="str">
        <f aca="false">IF(INDEX(Salary_Calculation[Source Row],ROW()-ROW(Payslip_Lookup[#Headers]))="","",INDEX(Salary_Calculation[Earned Salary],ROW()-ROW(Payslip_Lookup[#Headers])))</f>
        <v/>
      </c>
      <c r="N276" s="174" t="str">
        <f aca="false">IF(INDEX(Salary_Calculation[Source Row],ROW()-ROW(Payslip_Lookup[#Headers]))="","",INDEX(Salary_Calculation[Orders Counted at Base Rate],ROW()-ROW(Payslip_Lookup[#Headers])))</f>
        <v/>
      </c>
      <c r="O276" s="174" t="str">
        <f aca="false">IF(INDEX(Salary_Calculation[Source Row],ROW()-ROW(Payslip_Lookup[#Headers]))="","",INDEX(Salary_Calculation[Missing Orders],ROW()-ROW(Payslip_Lookup[#Headers])))</f>
        <v/>
      </c>
      <c r="P276" s="176" t="str">
        <f aca="false">IF(INDEX(Salary_Calculation[Source Row],ROW()-ROW(Payslip_Lookup[#Headers]))="","",INDEX(Salary_Calculation[Missing-Order Deduction],ROW()-ROW(Payslip_Lookup[#Headers])))</f>
        <v/>
      </c>
      <c r="Q276" s="174" t="str">
        <f aca="false">IF(INDEX(Salary_Calculation[Source Row],ROW()-ROW(Payslip_Lookup[#Headers]))="","",INDEX(Salary_Calculation[Extra Orders],ROW()-ROW(Payslip_Lookup[#Headers])))</f>
        <v/>
      </c>
      <c r="R276" s="176" t="str">
        <f aca="false">IF(INDEX(Salary_Calculation[Source Row],ROW()-ROW(Payslip_Lookup[#Headers]))="","",INDEX(Salary_Calculation[Extra-Order Bonus],ROW()-ROW(Payslip_Lookup[#Headers])))</f>
        <v/>
      </c>
      <c r="S276" s="176" t="str">
        <f aca="false">IF(INDEX(Salary_Calculation[Source Row],ROW()-ROW(Payslip_Lookup[#Headers]))="","",INDEX(Salary_Calculation[Basic Salary for Target],ROW()-ROW(Payslip_Lookup[#Headers])))</f>
        <v/>
      </c>
      <c r="T276" s="176" t="str">
        <f aca="false">IF(INDEX(Salary_Calculation[Source Row],ROW()-ROW(Payslip_Lookup[#Headers]))="","",INDEX(Salary_Calculation[Gross Salary Before Deductions],ROW()-ROW(Payslip_Lookup[#Headers])))</f>
        <v/>
      </c>
      <c r="U276" s="176" t="str">
        <f aca="false">IF(INDEX(Salary_Calculation[Source Row],ROW()-ROW(Payslip_Lookup[#Headers]))="","",INDEX(Salary_Calculation[missed_days_penalty],ROW()-ROW(Payslip_Lookup[#Headers])))</f>
        <v/>
      </c>
      <c r="V276" s="176" t="str">
        <f aca="false">IF(INDEX(Salary_Calculation[Source Row],ROW()-ROW(Payslip_Lookup[#Headers]))="","",INDEX(Salary_Calculation[Rider Balance],ROW()-ROW(Payslip_Lookup[#Headers])))</f>
        <v/>
      </c>
      <c r="W276" s="176" t="str">
        <f aca="false">IF(INDEX(Salary_Calculation[Source Row],ROW()-ROW(Payslip_Lookup[#Headers]))="","",INDEX(Salary_Calculation[stacking_deduction],ROW()-ROW(Payslip_Lookup[#Headers])))</f>
        <v/>
      </c>
      <c r="X276" s="176" t="str">
        <f aca="false">IF(INDEX(Salary_Calculation[Source Row],ROW()-ROW(Payslip_Lookup[#Headers]))="","",INDEX(Salary_Calculation[Other Deductions],ROW()-ROW(Payslip_Lookup[#Headers])))</f>
        <v/>
      </c>
      <c r="Y276" s="176" t="str">
        <f aca="false">IF(INDEX(Salary_Calculation[Source Row],ROW()-ROW(Payslip_Lookup[#Headers]))="","",INDEX(Salary_Calculation[Total Deductions],ROW()-ROW(Payslip_Lookup[#Headers])))</f>
        <v/>
      </c>
      <c r="Z276" s="176" t="str">
        <f aca="false">IF(INDEX(Salary_Calculation[Source Row],ROW()-ROW(Payslip_Lookup[#Headers]))="","",INDEX(Salary_Calculation[Final Salary],ROW()-ROW(Payslip_Lookup[#Headers])))</f>
        <v/>
      </c>
      <c r="AA276" s="176" t="str">
        <f aca="false">IF(INDEX(Salary_Calculation[Source Row],ROW()-ROW(Payslip_Lookup[#Headers]))="","",INDEX(Salary_Calculation[Negative Balance / Amount Due from Rider],ROW()-ROW(Payslip_Lookup[#Headers])))</f>
        <v/>
      </c>
      <c r="AB276" s="176" t="str">
        <f aca="false">IF(INDEX(Salary_Calculation[Source Row],ROW()-ROW(Payslip_Lookup[#Headers]))="","",INDEX(Salary_Calculation[Total Amount Due from Rider],ROW()-ROW(Payslip_Lookup[#Headers])))</f>
        <v/>
      </c>
      <c r="AC276" s="176" t="str">
        <f aca="false">IF(INDEX(Salary_Calculation[Source Row],ROW()-ROW(Payslip_Lookup[#Headers]))="","",INDEX(Salary_Calculation[Salary Before Other Deductions],ROW()-ROW(Payslip_Lookup[#Headers])))</f>
        <v/>
      </c>
      <c r="AD276" s="171" t="str">
        <f aca="false">IF(INDEX(Salary_Calculation[Source Row],ROW()-ROW(Payslip_Lookup[#Headers]))="","",INDEX(Salary_Calculation[Payment Status],ROW()-ROW(Payslip_Lookup[#Headers])))</f>
        <v/>
      </c>
      <c r="AE276" s="171" t="str">
        <f aca="false">IF(INDEX(Salary_Calculation[Source Row],ROW()-ROW(Payslip_Lookup[#Headers]))="","",INDEX(Salary_Calculation[Notes],ROW()-ROW(Payslip_Lookup[#Headers])))</f>
        <v/>
      </c>
      <c r="AF276" s="171" t="str">
        <f aca="false">IF(INDEX(Salary_Calculation[Source Row],ROW()-ROW(Payslip_Lookup[#Headers]))="","",INDEX(Salary_Calculation[Exception Reason],ROW()-ROW(Payslip_Lookup[#Headers])))</f>
        <v/>
      </c>
      <c r="AG276" s="173" t="str">
        <f aca="false">IF($AD276="Review Required",COUNTIF(AD$2:AD276,"Review Required"),"")</f>
        <v/>
      </c>
      <c r="AH276" s="173" t="str">
        <f aca="false">IF(AND($D276&lt;&gt;"",$B276=Payslip_Print!$C$2),MAX(AH$1:AH275)+1,"")</f>
        <v/>
      </c>
      <c r="AL276" s="178" t="str">
        <f aca="false">IFERROR(INDEX($D$2:$D$501,MATCH(ROW()-1,$AH$2:$AH$501,0)),"")</f>
        <v/>
      </c>
      <c r="AM276" s="179" t="str">
        <f aca="false">IF($Z276="","",IF(AND($C276&gt;=Dash_Start,$C276&lt;Dash_End),$Z276+ROW()/10000000,""))</f>
        <v/>
      </c>
    </row>
    <row r="277" customFormat="false" ht="14.25" hidden="false" customHeight="false" outlineLevel="0" collapsed="false">
      <c r="A277" s="171" t="str">
        <f aca="false">IF(Payslip_Lookup[[#This Row],[Rider ID]]="","",Payslip_Lookup[[#This Row],[Rider ID]]&amp;"|"&amp;Payslip_Lookup[[#This Row],[Month Key]])</f>
        <v/>
      </c>
      <c r="B277" s="172" t="str">
        <f aca="false">IF(ISNUMBER(Payslip_Lookup[[#This Row],[Salary Month]]),DATE(YEAR(Payslip_Lookup[[#This Row],[Salary Month]]),MONTH(Payslip_Lookup[[#This Row],[Salary Month]]),1),"")</f>
        <v/>
      </c>
      <c r="C277" s="172" t="str">
        <f aca="false">IF(INDEX(Salary_Calculation[Source Row],ROW()-ROW(Payslip_Lookup[#Headers]))="","",INDEX(Salary_Calculation[Salary Month],ROW()-ROW(Payslip_Lookup[#Headers])))</f>
        <v/>
      </c>
      <c r="D277" s="173" t="str">
        <f aca="false">IF(INDEX(Salary_Calculation[Source Row],ROW()-ROW(Payslip_Lookup[#Headers]))="","",INDEX(Salary_Calculation[Rider ID],ROW()-ROW(Payslip_Lookup[#Headers])))</f>
        <v/>
      </c>
      <c r="E277" s="171" t="str">
        <f aca="false">IF(INDEX(Salary_Calculation[Source Row],ROW()-ROW(Payslip_Lookup[#Headers]))="","",INDEX(Salary_Calculation[Rider Name],ROW()-ROW(Payslip_Lookup[#Headers])))</f>
        <v/>
      </c>
      <c r="F277" s="173" t="str">
        <f aca="false">IF(INDEX(Salary_Calculation[Source Row],ROW()-ROW(Payslip_Lookup[#Headers]))="","",INDEX(Salary_Calculation[Working Days],ROW()-ROW(Payslip_Lookup[#Headers])))</f>
        <v/>
      </c>
      <c r="G277" s="173" t="str">
        <f aca="false">IF(INDEX(Salary_Calculation[Source Row],ROW()-ROW(Payslip_Lookup[#Headers]))="","",INDEX(Salary_Calculation[Calendar Days],ROW()-ROW(Payslip_Lookup[#Headers])))</f>
        <v/>
      </c>
      <c r="H277" s="174" t="str">
        <f aca="false">IF(INDEX(Salary_Calculation[Source Row],ROW()-ROW(Payslip_Lookup[#Headers]))="","",INDEX(Salary_Calculation[Monthly Target Orders],ROW()-ROW(Payslip_Lookup[#Headers])))</f>
        <v/>
      </c>
      <c r="I277" s="174" t="str">
        <f aca="false">IF(INDEX(Salary_Calculation[Source Row],ROW()-ROW(Payslip_Lookup[#Headers]))="","",INDEX(Salary_Calculation[Rider Target Orders],ROW()-ROW(Payslip_Lookup[#Headers])))</f>
        <v/>
      </c>
      <c r="J277" s="175" t="str">
        <f aca="false">IF(INDEX(Salary_Calculation[Source Row],ROW()-ROW(Payslip_Lookup[#Headers]))="","",INDEX(Salary_Calculation[Completed Orders],ROW()-ROW(Payslip_Lookup[#Headers])))</f>
        <v/>
      </c>
      <c r="K277" s="174" t="str">
        <f aca="false">IF(INDEX(Salary_Calculation[Source Row],ROW()-ROW(Payslip_Lookup[#Headers]))="","",INDEX(Salary_Calculation[Base Order Rate],ROW()-ROW(Payslip_Lookup[#Headers])))</f>
        <v/>
      </c>
      <c r="L277" s="176" t="str">
        <f aca="false">IF(INDEX(Salary_Calculation[Source Row],ROW()-ROW(Payslip_Lookup[#Headers]))="","",INDEX(Salary_Calculation[Basic Payment],ROW()-ROW(Payslip_Lookup[#Headers])))</f>
        <v/>
      </c>
      <c r="M277" s="176" t="str">
        <f aca="false">IF(INDEX(Salary_Calculation[Source Row],ROW()-ROW(Payslip_Lookup[#Headers]))="","",INDEX(Salary_Calculation[Earned Salary],ROW()-ROW(Payslip_Lookup[#Headers])))</f>
        <v/>
      </c>
      <c r="N277" s="174" t="str">
        <f aca="false">IF(INDEX(Salary_Calculation[Source Row],ROW()-ROW(Payslip_Lookup[#Headers]))="","",INDEX(Salary_Calculation[Orders Counted at Base Rate],ROW()-ROW(Payslip_Lookup[#Headers])))</f>
        <v/>
      </c>
      <c r="O277" s="174" t="str">
        <f aca="false">IF(INDEX(Salary_Calculation[Source Row],ROW()-ROW(Payslip_Lookup[#Headers]))="","",INDEX(Salary_Calculation[Missing Orders],ROW()-ROW(Payslip_Lookup[#Headers])))</f>
        <v/>
      </c>
      <c r="P277" s="176" t="str">
        <f aca="false">IF(INDEX(Salary_Calculation[Source Row],ROW()-ROW(Payslip_Lookup[#Headers]))="","",INDEX(Salary_Calculation[Missing-Order Deduction],ROW()-ROW(Payslip_Lookup[#Headers])))</f>
        <v/>
      </c>
      <c r="Q277" s="174" t="str">
        <f aca="false">IF(INDEX(Salary_Calculation[Source Row],ROW()-ROW(Payslip_Lookup[#Headers]))="","",INDEX(Salary_Calculation[Extra Orders],ROW()-ROW(Payslip_Lookup[#Headers])))</f>
        <v/>
      </c>
      <c r="R277" s="176" t="str">
        <f aca="false">IF(INDEX(Salary_Calculation[Source Row],ROW()-ROW(Payslip_Lookup[#Headers]))="","",INDEX(Salary_Calculation[Extra-Order Bonus],ROW()-ROW(Payslip_Lookup[#Headers])))</f>
        <v/>
      </c>
      <c r="S277" s="176" t="str">
        <f aca="false">IF(INDEX(Salary_Calculation[Source Row],ROW()-ROW(Payslip_Lookup[#Headers]))="","",INDEX(Salary_Calculation[Basic Salary for Target],ROW()-ROW(Payslip_Lookup[#Headers])))</f>
        <v/>
      </c>
      <c r="T277" s="176" t="str">
        <f aca="false">IF(INDEX(Salary_Calculation[Source Row],ROW()-ROW(Payslip_Lookup[#Headers]))="","",INDEX(Salary_Calculation[Gross Salary Before Deductions],ROW()-ROW(Payslip_Lookup[#Headers])))</f>
        <v/>
      </c>
      <c r="U277" s="176" t="str">
        <f aca="false">IF(INDEX(Salary_Calculation[Source Row],ROW()-ROW(Payslip_Lookup[#Headers]))="","",INDEX(Salary_Calculation[missed_days_penalty],ROW()-ROW(Payslip_Lookup[#Headers])))</f>
        <v/>
      </c>
      <c r="V277" s="176" t="str">
        <f aca="false">IF(INDEX(Salary_Calculation[Source Row],ROW()-ROW(Payslip_Lookup[#Headers]))="","",INDEX(Salary_Calculation[Rider Balance],ROW()-ROW(Payslip_Lookup[#Headers])))</f>
        <v/>
      </c>
      <c r="W277" s="176" t="str">
        <f aca="false">IF(INDEX(Salary_Calculation[Source Row],ROW()-ROW(Payslip_Lookup[#Headers]))="","",INDEX(Salary_Calculation[stacking_deduction],ROW()-ROW(Payslip_Lookup[#Headers])))</f>
        <v/>
      </c>
      <c r="X277" s="176" t="str">
        <f aca="false">IF(INDEX(Salary_Calculation[Source Row],ROW()-ROW(Payslip_Lookup[#Headers]))="","",INDEX(Salary_Calculation[Other Deductions],ROW()-ROW(Payslip_Lookup[#Headers])))</f>
        <v/>
      </c>
      <c r="Y277" s="176" t="str">
        <f aca="false">IF(INDEX(Salary_Calculation[Source Row],ROW()-ROW(Payslip_Lookup[#Headers]))="","",INDEX(Salary_Calculation[Total Deductions],ROW()-ROW(Payslip_Lookup[#Headers])))</f>
        <v/>
      </c>
      <c r="Z277" s="176" t="str">
        <f aca="false">IF(INDEX(Salary_Calculation[Source Row],ROW()-ROW(Payslip_Lookup[#Headers]))="","",INDEX(Salary_Calculation[Final Salary],ROW()-ROW(Payslip_Lookup[#Headers])))</f>
        <v/>
      </c>
      <c r="AA277" s="176" t="str">
        <f aca="false">IF(INDEX(Salary_Calculation[Source Row],ROW()-ROW(Payslip_Lookup[#Headers]))="","",INDEX(Salary_Calculation[Negative Balance / Amount Due from Rider],ROW()-ROW(Payslip_Lookup[#Headers])))</f>
        <v/>
      </c>
      <c r="AB277" s="176" t="str">
        <f aca="false">IF(INDEX(Salary_Calculation[Source Row],ROW()-ROW(Payslip_Lookup[#Headers]))="","",INDEX(Salary_Calculation[Total Amount Due from Rider],ROW()-ROW(Payslip_Lookup[#Headers])))</f>
        <v/>
      </c>
      <c r="AC277" s="176" t="str">
        <f aca="false">IF(INDEX(Salary_Calculation[Source Row],ROW()-ROW(Payslip_Lookup[#Headers]))="","",INDEX(Salary_Calculation[Salary Before Other Deductions],ROW()-ROW(Payslip_Lookup[#Headers])))</f>
        <v/>
      </c>
      <c r="AD277" s="171" t="str">
        <f aca="false">IF(INDEX(Salary_Calculation[Source Row],ROW()-ROW(Payslip_Lookup[#Headers]))="","",INDEX(Salary_Calculation[Payment Status],ROW()-ROW(Payslip_Lookup[#Headers])))</f>
        <v/>
      </c>
      <c r="AE277" s="171" t="str">
        <f aca="false">IF(INDEX(Salary_Calculation[Source Row],ROW()-ROW(Payslip_Lookup[#Headers]))="","",INDEX(Salary_Calculation[Notes],ROW()-ROW(Payslip_Lookup[#Headers])))</f>
        <v/>
      </c>
      <c r="AF277" s="171" t="str">
        <f aca="false">IF(INDEX(Salary_Calculation[Source Row],ROW()-ROW(Payslip_Lookup[#Headers]))="","",INDEX(Salary_Calculation[Exception Reason],ROW()-ROW(Payslip_Lookup[#Headers])))</f>
        <v/>
      </c>
      <c r="AG277" s="173" t="str">
        <f aca="false">IF($AD277="Review Required",COUNTIF(AD$2:AD277,"Review Required"),"")</f>
        <v/>
      </c>
      <c r="AH277" s="173" t="str">
        <f aca="false">IF(AND($D277&lt;&gt;"",$B277=Payslip_Print!$C$2),MAX(AH$1:AH276)+1,"")</f>
        <v/>
      </c>
      <c r="AL277" s="178" t="str">
        <f aca="false">IFERROR(INDEX($D$2:$D$501,MATCH(ROW()-1,$AH$2:$AH$501,0)),"")</f>
        <v/>
      </c>
      <c r="AM277" s="179" t="str">
        <f aca="false">IF($Z277="","",IF(AND($C277&gt;=Dash_Start,$C277&lt;Dash_End),$Z277+ROW()/10000000,""))</f>
        <v/>
      </c>
    </row>
    <row r="278" customFormat="false" ht="14.25" hidden="false" customHeight="false" outlineLevel="0" collapsed="false">
      <c r="A278" s="171" t="str">
        <f aca="false">IF(Payslip_Lookup[[#This Row],[Rider ID]]="","",Payslip_Lookup[[#This Row],[Rider ID]]&amp;"|"&amp;Payslip_Lookup[[#This Row],[Month Key]])</f>
        <v/>
      </c>
      <c r="B278" s="172" t="str">
        <f aca="false">IF(ISNUMBER(Payslip_Lookup[[#This Row],[Salary Month]]),DATE(YEAR(Payslip_Lookup[[#This Row],[Salary Month]]),MONTH(Payslip_Lookup[[#This Row],[Salary Month]]),1),"")</f>
        <v/>
      </c>
      <c r="C278" s="172" t="str">
        <f aca="false">IF(INDEX(Salary_Calculation[Source Row],ROW()-ROW(Payslip_Lookup[#Headers]))="","",INDEX(Salary_Calculation[Salary Month],ROW()-ROW(Payslip_Lookup[#Headers])))</f>
        <v/>
      </c>
      <c r="D278" s="173" t="str">
        <f aca="false">IF(INDEX(Salary_Calculation[Source Row],ROW()-ROW(Payslip_Lookup[#Headers]))="","",INDEX(Salary_Calculation[Rider ID],ROW()-ROW(Payslip_Lookup[#Headers])))</f>
        <v/>
      </c>
      <c r="E278" s="171" t="str">
        <f aca="false">IF(INDEX(Salary_Calculation[Source Row],ROW()-ROW(Payslip_Lookup[#Headers]))="","",INDEX(Salary_Calculation[Rider Name],ROW()-ROW(Payslip_Lookup[#Headers])))</f>
        <v/>
      </c>
      <c r="F278" s="173" t="str">
        <f aca="false">IF(INDEX(Salary_Calculation[Source Row],ROW()-ROW(Payslip_Lookup[#Headers]))="","",INDEX(Salary_Calculation[Working Days],ROW()-ROW(Payslip_Lookup[#Headers])))</f>
        <v/>
      </c>
      <c r="G278" s="173" t="str">
        <f aca="false">IF(INDEX(Salary_Calculation[Source Row],ROW()-ROW(Payslip_Lookup[#Headers]))="","",INDEX(Salary_Calculation[Calendar Days],ROW()-ROW(Payslip_Lookup[#Headers])))</f>
        <v/>
      </c>
      <c r="H278" s="174" t="str">
        <f aca="false">IF(INDEX(Salary_Calculation[Source Row],ROW()-ROW(Payslip_Lookup[#Headers]))="","",INDEX(Salary_Calculation[Monthly Target Orders],ROW()-ROW(Payslip_Lookup[#Headers])))</f>
        <v/>
      </c>
      <c r="I278" s="174" t="str">
        <f aca="false">IF(INDEX(Salary_Calculation[Source Row],ROW()-ROW(Payslip_Lookup[#Headers]))="","",INDEX(Salary_Calculation[Rider Target Orders],ROW()-ROW(Payslip_Lookup[#Headers])))</f>
        <v/>
      </c>
      <c r="J278" s="175" t="str">
        <f aca="false">IF(INDEX(Salary_Calculation[Source Row],ROW()-ROW(Payslip_Lookup[#Headers]))="","",INDEX(Salary_Calculation[Completed Orders],ROW()-ROW(Payslip_Lookup[#Headers])))</f>
        <v/>
      </c>
      <c r="K278" s="174" t="str">
        <f aca="false">IF(INDEX(Salary_Calculation[Source Row],ROW()-ROW(Payslip_Lookup[#Headers]))="","",INDEX(Salary_Calculation[Base Order Rate],ROW()-ROW(Payslip_Lookup[#Headers])))</f>
        <v/>
      </c>
      <c r="L278" s="176" t="str">
        <f aca="false">IF(INDEX(Salary_Calculation[Source Row],ROW()-ROW(Payslip_Lookup[#Headers]))="","",INDEX(Salary_Calculation[Basic Payment],ROW()-ROW(Payslip_Lookup[#Headers])))</f>
        <v/>
      </c>
      <c r="M278" s="176" t="str">
        <f aca="false">IF(INDEX(Salary_Calculation[Source Row],ROW()-ROW(Payslip_Lookup[#Headers]))="","",INDEX(Salary_Calculation[Earned Salary],ROW()-ROW(Payslip_Lookup[#Headers])))</f>
        <v/>
      </c>
      <c r="N278" s="174" t="str">
        <f aca="false">IF(INDEX(Salary_Calculation[Source Row],ROW()-ROW(Payslip_Lookup[#Headers]))="","",INDEX(Salary_Calculation[Orders Counted at Base Rate],ROW()-ROW(Payslip_Lookup[#Headers])))</f>
        <v/>
      </c>
      <c r="O278" s="174" t="str">
        <f aca="false">IF(INDEX(Salary_Calculation[Source Row],ROW()-ROW(Payslip_Lookup[#Headers]))="","",INDEX(Salary_Calculation[Missing Orders],ROW()-ROW(Payslip_Lookup[#Headers])))</f>
        <v/>
      </c>
      <c r="P278" s="176" t="str">
        <f aca="false">IF(INDEX(Salary_Calculation[Source Row],ROW()-ROW(Payslip_Lookup[#Headers]))="","",INDEX(Salary_Calculation[Missing-Order Deduction],ROW()-ROW(Payslip_Lookup[#Headers])))</f>
        <v/>
      </c>
      <c r="Q278" s="174" t="str">
        <f aca="false">IF(INDEX(Salary_Calculation[Source Row],ROW()-ROW(Payslip_Lookup[#Headers]))="","",INDEX(Salary_Calculation[Extra Orders],ROW()-ROW(Payslip_Lookup[#Headers])))</f>
        <v/>
      </c>
      <c r="R278" s="176" t="str">
        <f aca="false">IF(INDEX(Salary_Calculation[Source Row],ROW()-ROW(Payslip_Lookup[#Headers]))="","",INDEX(Salary_Calculation[Extra-Order Bonus],ROW()-ROW(Payslip_Lookup[#Headers])))</f>
        <v/>
      </c>
      <c r="S278" s="176" t="str">
        <f aca="false">IF(INDEX(Salary_Calculation[Source Row],ROW()-ROW(Payslip_Lookup[#Headers]))="","",INDEX(Salary_Calculation[Basic Salary for Target],ROW()-ROW(Payslip_Lookup[#Headers])))</f>
        <v/>
      </c>
      <c r="T278" s="176" t="str">
        <f aca="false">IF(INDEX(Salary_Calculation[Source Row],ROW()-ROW(Payslip_Lookup[#Headers]))="","",INDEX(Salary_Calculation[Gross Salary Before Deductions],ROW()-ROW(Payslip_Lookup[#Headers])))</f>
        <v/>
      </c>
      <c r="U278" s="176" t="str">
        <f aca="false">IF(INDEX(Salary_Calculation[Source Row],ROW()-ROW(Payslip_Lookup[#Headers]))="","",INDEX(Salary_Calculation[missed_days_penalty],ROW()-ROW(Payslip_Lookup[#Headers])))</f>
        <v/>
      </c>
      <c r="V278" s="176" t="str">
        <f aca="false">IF(INDEX(Salary_Calculation[Source Row],ROW()-ROW(Payslip_Lookup[#Headers]))="","",INDEX(Salary_Calculation[Rider Balance],ROW()-ROW(Payslip_Lookup[#Headers])))</f>
        <v/>
      </c>
      <c r="W278" s="176" t="str">
        <f aca="false">IF(INDEX(Salary_Calculation[Source Row],ROW()-ROW(Payslip_Lookup[#Headers]))="","",INDEX(Salary_Calculation[stacking_deduction],ROW()-ROW(Payslip_Lookup[#Headers])))</f>
        <v/>
      </c>
      <c r="X278" s="176" t="str">
        <f aca="false">IF(INDEX(Salary_Calculation[Source Row],ROW()-ROW(Payslip_Lookup[#Headers]))="","",INDEX(Salary_Calculation[Other Deductions],ROW()-ROW(Payslip_Lookup[#Headers])))</f>
        <v/>
      </c>
      <c r="Y278" s="176" t="str">
        <f aca="false">IF(INDEX(Salary_Calculation[Source Row],ROW()-ROW(Payslip_Lookup[#Headers]))="","",INDEX(Salary_Calculation[Total Deductions],ROW()-ROW(Payslip_Lookup[#Headers])))</f>
        <v/>
      </c>
      <c r="Z278" s="176" t="str">
        <f aca="false">IF(INDEX(Salary_Calculation[Source Row],ROW()-ROW(Payslip_Lookup[#Headers]))="","",INDEX(Salary_Calculation[Final Salary],ROW()-ROW(Payslip_Lookup[#Headers])))</f>
        <v/>
      </c>
      <c r="AA278" s="176" t="str">
        <f aca="false">IF(INDEX(Salary_Calculation[Source Row],ROW()-ROW(Payslip_Lookup[#Headers]))="","",INDEX(Salary_Calculation[Negative Balance / Amount Due from Rider],ROW()-ROW(Payslip_Lookup[#Headers])))</f>
        <v/>
      </c>
      <c r="AB278" s="176" t="str">
        <f aca="false">IF(INDEX(Salary_Calculation[Source Row],ROW()-ROW(Payslip_Lookup[#Headers]))="","",INDEX(Salary_Calculation[Total Amount Due from Rider],ROW()-ROW(Payslip_Lookup[#Headers])))</f>
        <v/>
      </c>
      <c r="AC278" s="176" t="str">
        <f aca="false">IF(INDEX(Salary_Calculation[Source Row],ROW()-ROW(Payslip_Lookup[#Headers]))="","",INDEX(Salary_Calculation[Salary Before Other Deductions],ROW()-ROW(Payslip_Lookup[#Headers])))</f>
        <v/>
      </c>
      <c r="AD278" s="171" t="str">
        <f aca="false">IF(INDEX(Salary_Calculation[Source Row],ROW()-ROW(Payslip_Lookup[#Headers]))="","",INDEX(Salary_Calculation[Payment Status],ROW()-ROW(Payslip_Lookup[#Headers])))</f>
        <v/>
      </c>
      <c r="AE278" s="171" t="str">
        <f aca="false">IF(INDEX(Salary_Calculation[Source Row],ROW()-ROW(Payslip_Lookup[#Headers]))="","",INDEX(Salary_Calculation[Notes],ROW()-ROW(Payslip_Lookup[#Headers])))</f>
        <v/>
      </c>
      <c r="AF278" s="171" t="str">
        <f aca="false">IF(INDEX(Salary_Calculation[Source Row],ROW()-ROW(Payslip_Lookup[#Headers]))="","",INDEX(Salary_Calculation[Exception Reason],ROW()-ROW(Payslip_Lookup[#Headers])))</f>
        <v/>
      </c>
      <c r="AG278" s="173" t="str">
        <f aca="false">IF($AD278="Review Required",COUNTIF(AD$2:AD278,"Review Required"),"")</f>
        <v/>
      </c>
      <c r="AH278" s="173" t="str">
        <f aca="false">IF(AND($D278&lt;&gt;"",$B278=Payslip_Print!$C$2),MAX(AH$1:AH277)+1,"")</f>
        <v/>
      </c>
      <c r="AL278" s="178" t="str">
        <f aca="false">IFERROR(INDEX($D$2:$D$501,MATCH(ROW()-1,$AH$2:$AH$501,0)),"")</f>
        <v/>
      </c>
      <c r="AM278" s="179" t="str">
        <f aca="false">IF($Z278="","",IF(AND($C278&gt;=Dash_Start,$C278&lt;Dash_End),$Z278+ROW()/10000000,""))</f>
        <v/>
      </c>
    </row>
    <row r="279" customFormat="false" ht="14.25" hidden="false" customHeight="false" outlineLevel="0" collapsed="false">
      <c r="A279" s="171" t="str">
        <f aca="false">IF(Payslip_Lookup[[#This Row],[Rider ID]]="","",Payslip_Lookup[[#This Row],[Rider ID]]&amp;"|"&amp;Payslip_Lookup[[#This Row],[Month Key]])</f>
        <v/>
      </c>
      <c r="B279" s="172" t="str">
        <f aca="false">IF(ISNUMBER(Payslip_Lookup[[#This Row],[Salary Month]]),DATE(YEAR(Payslip_Lookup[[#This Row],[Salary Month]]),MONTH(Payslip_Lookup[[#This Row],[Salary Month]]),1),"")</f>
        <v/>
      </c>
      <c r="C279" s="172" t="str">
        <f aca="false">IF(INDEX(Salary_Calculation[Source Row],ROW()-ROW(Payslip_Lookup[#Headers]))="","",INDEX(Salary_Calculation[Salary Month],ROW()-ROW(Payslip_Lookup[#Headers])))</f>
        <v/>
      </c>
      <c r="D279" s="173" t="str">
        <f aca="false">IF(INDEX(Salary_Calculation[Source Row],ROW()-ROW(Payslip_Lookup[#Headers]))="","",INDEX(Salary_Calculation[Rider ID],ROW()-ROW(Payslip_Lookup[#Headers])))</f>
        <v/>
      </c>
      <c r="E279" s="171" t="str">
        <f aca="false">IF(INDEX(Salary_Calculation[Source Row],ROW()-ROW(Payslip_Lookup[#Headers]))="","",INDEX(Salary_Calculation[Rider Name],ROW()-ROW(Payslip_Lookup[#Headers])))</f>
        <v/>
      </c>
      <c r="F279" s="173" t="str">
        <f aca="false">IF(INDEX(Salary_Calculation[Source Row],ROW()-ROW(Payslip_Lookup[#Headers]))="","",INDEX(Salary_Calculation[Working Days],ROW()-ROW(Payslip_Lookup[#Headers])))</f>
        <v/>
      </c>
      <c r="G279" s="173" t="str">
        <f aca="false">IF(INDEX(Salary_Calculation[Source Row],ROW()-ROW(Payslip_Lookup[#Headers]))="","",INDEX(Salary_Calculation[Calendar Days],ROW()-ROW(Payslip_Lookup[#Headers])))</f>
        <v/>
      </c>
      <c r="H279" s="174" t="str">
        <f aca="false">IF(INDEX(Salary_Calculation[Source Row],ROW()-ROW(Payslip_Lookup[#Headers]))="","",INDEX(Salary_Calculation[Monthly Target Orders],ROW()-ROW(Payslip_Lookup[#Headers])))</f>
        <v/>
      </c>
      <c r="I279" s="174" t="str">
        <f aca="false">IF(INDEX(Salary_Calculation[Source Row],ROW()-ROW(Payslip_Lookup[#Headers]))="","",INDEX(Salary_Calculation[Rider Target Orders],ROW()-ROW(Payslip_Lookup[#Headers])))</f>
        <v/>
      </c>
      <c r="J279" s="175" t="str">
        <f aca="false">IF(INDEX(Salary_Calculation[Source Row],ROW()-ROW(Payslip_Lookup[#Headers]))="","",INDEX(Salary_Calculation[Completed Orders],ROW()-ROW(Payslip_Lookup[#Headers])))</f>
        <v/>
      </c>
      <c r="K279" s="174" t="str">
        <f aca="false">IF(INDEX(Salary_Calculation[Source Row],ROW()-ROW(Payslip_Lookup[#Headers]))="","",INDEX(Salary_Calculation[Base Order Rate],ROW()-ROW(Payslip_Lookup[#Headers])))</f>
        <v/>
      </c>
      <c r="L279" s="176" t="str">
        <f aca="false">IF(INDEX(Salary_Calculation[Source Row],ROW()-ROW(Payslip_Lookup[#Headers]))="","",INDEX(Salary_Calculation[Basic Payment],ROW()-ROW(Payslip_Lookup[#Headers])))</f>
        <v/>
      </c>
      <c r="M279" s="176" t="str">
        <f aca="false">IF(INDEX(Salary_Calculation[Source Row],ROW()-ROW(Payslip_Lookup[#Headers]))="","",INDEX(Salary_Calculation[Earned Salary],ROW()-ROW(Payslip_Lookup[#Headers])))</f>
        <v/>
      </c>
      <c r="N279" s="174" t="str">
        <f aca="false">IF(INDEX(Salary_Calculation[Source Row],ROW()-ROW(Payslip_Lookup[#Headers]))="","",INDEX(Salary_Calculation[Orders Counted at Base Rate],ROW()-ROW(Payslip_Lookup[#Headers])))</f>
        <v/>
      </c>
      <c r="O279" s="174" t="str">
        <f aca="false">IF(INDEX(Salary_Calculation[Source Row],ROW()-ROW(Payslip_Lookup[#Headers]))="","",INDEX(Salary_Calculation[Missing Orders],ROW()-ROW(Payslip_Lookup[#Headers])))</f>
        <v/>
      </c>
      <c r="P279" s="176" t="str">
        <f aca="false">IF(INDEX(Salary_Calculation[Source Row],ROW()-ROW(Payslip_Lookup[#Headers]))="","",INDEX(Salary_Calculation[Missing-Order Deduction],ROW()-ROW(Payslip_Lookup[#Headers])))</f>
        <v/>
      </c>
      <c r="Q279" s="174" t="str">
        <f aca="false">IF(INDEX(Salary_Calculation[Source Row],ROW()-ROW(Payslip_Lookup[#Headers]))="","",INDEX(Salary_Calculation[Extra Orders],ROW()-ROW(Payslip_Lookup[#Headers])))</f>
        <v/>
      </c>
      <c r="R279" s="176" t="str">
        <f aca="false">IF(INDEX(Salary_Calculation[Source Row],ROW()-ROW(Payslip_Lookup[#Headers]))="","",INDEX(Salary_Calculation[Extra-Order Bonus],ROW()-ROW(Payslip_Lookup[#Headers])))</f>
        <v/>
      </c>
      <c r="S279" s="176" t="str">
        <f aca="false">IF(INDEX(Salary_Calculation[Source Row],ROW()-ROW(Payslip_Lookup[#Headers]))="","",INDEX(Salary_Calculation[Basic Salary for Target],ROW()-ROW(Payslip_Lookup[#Headers])))</f>
        <v/>
      </c>
      <c r="T279" s="176" t="str">
        <f aca="false">IF(INDEX(Salary_Calculation[Source Row],ROW()-ROW(Payslip_Lookup[#Headers]))="","",INDEX(Salary_Calculation[Gross Salary Before Deductions],ROW()-ROW(Payslip_Lookup[#Headers])))</f>
        <v/>
      </c>
      <c r="U279" s="176" t="str">
        <f aca="false">IF(INDEX(Salary_Calculation[Source Row],ROW()-ROW(Payslip_Lookup[#Headers]))="","",INDEX(Salary_Calculation[missed_days_penalty],ROW()-ROW(Payslip_Lookup[#Headers])))</f>
        <v/>
      </c>
      <c r="V279" s="176" t="str">
        <f aca="false">IF(INDEX(Salary_Calculation[Source Row],ROW()-ROW(Payslip_Lookup[#Headers]))="","",INDEX(Salary_Calculation[Rider Balance],ROW()-ROW(Payslip_Lookup[#Headers])))</f>
        <v/>
      </c>
      <c r="W279" s="176" t="str">
        <f aca="false">IF(INDEX(Salary_Calculation[Source Row],ROW()-ROW(Payslip_Lookup[#Headers]))="","",INDEX(Salary_Calculation[stacking_deduction],ROW()-ROW(Payslip_Lookup[#Headers])))</f>
        <v/>
      </c>
      <c r="X279" s="176" t="str">
        <f aca="false">IF(INDEX(Salary_Calculation[Source Row],ROW()-ROW(Payslip_Lookup[#Headers]))="","",INDEX(Salary_Calculation[Other Deductions],ROW()-ROW(Payslip_Lookup[#Headers])))</f>
        <v/>
      </c>
      <c r="Y279" s="176" t="str">
        <f aca="false">IF(INDEX(Salary_Calculation[Source Row],ROW()-ROW(Payslip_Lookup[#Headers]))="","",INDEX(Salary_Calculation[Total Deductions],ROW()-ROW(Payslip_Lookup[#Headers])))</f>
        <v/>
      </c>
      <c r="Z279" s="176" t="str">
        <f aca="false">IF(INDEX(Salary_Calculation[Source Row],ROW()-ROW(Payslip_Lookup[#Headers]))="","",INDEX(Salary_Calculation[Final Salary],ROW()-ROW(Payslip_Lookup[#Headers])))</f>
        <v/>
      </c>
      <c r="AA279" s="176" t="str">
        <f aca="false">IF(INDEX(Salary_Calculation[Source Row],ROW()-ROW(Payslip_Lookup[#Headers]))="","",INDEX(Salary_Calculation[Negative Balance / Amount Due from Rider],ROW()-ROW(Payslip_Lookup[#Headers])))</f>
        <v/>
      </c>
      <c r="AB279" s="176" t="str">
        <f aca="false">IF(INDEX(Salary_Calculation[Source Row],ROW()-ROW(Payslip_Lookup[#Headers]))="","",INDEX(Salary_Calculation[Total Amount Due from Rider],ROW()-ROW(Payslip_Lookup[#Headers])))</f>
        <v/>
      </c>
      <c r="AC279" s="176" t="str">
        <f aca="false">IF(INDEX(Salary_Calculation[Source Row],ROW()-ROW(Payslip_Lookup[#Headers]))="","",INDEX(Salary_Calculation[Salary Before Other Deductions],ROW()-ROW(Payslip_Lookup[#Headers])))</f>
        <v/>
      </c>
      <c r="AD279" s="171" t="str">
        <f aca="false">IF(INDEX(Salary_Calculation[Source Row],ROW()-ROW(Payslip_Lookup[#Headers]))="","",INDEX(Salary_Calculation[Payment Status],ROW()-ROW(Payslip_Lookup[#Headers])))</f>
        <v/>
      </c>
      <c r="AE279" s="171" t="str">
        <f aca="false">IF(INDEX(Salary_Calculation[Source Row],ROW()-ROW(Payslip_Lookup[#Headers]))="","",INDEX(Salary_Calculation[Notes],ROW()-ROW(Payslip_Lookup[#Headers])))</f>
        <v/>
      </c>
      <c r="AF279" s="171" t="str">
        <f aca="false">IF(INDEX(Salary_Calculation[Source Row],ROW()-ROW(Payslip_Lookup[#Headers]))="","",INDEX(Salary_Calculation[Exception Reason],ROW()-ROW(Payslip_Lookup[#Headers])))</f>
        <v/>
      </c>
      <c r="AG279" s="173" t="str">
        <f aca="false">IF($AD279="Review Required",COUNTIF(AD$2:AD279,"Review Required"),"")</f>
        <v/>
      </c>
      <c r="AH279" s="173" t="str">
        <f aca="false">IF(AND($D279&lt;&gt;"",$B279=Payslip_Print!$C$2),MAX(AH$1:AH278)+1,"")</f>
        <v/>
      </c>
      <c r="AL279" s="178" t="str">
        <f aca="false">IFERROR(INDEX($D$2:$D$501,MATCH(ROW()-1,$AH$2:$AH$501,0)),"")</f>
        <v/>
      </c>
      <c r="AM279" s="179" t="str">
        <f aca="false">IF($Z279="","",IF(AND($C279&gt;=Dash_Start,$C279&lt;Dash_End),$Z279+ROW()/10000000,""))</f>
        <v/>
      </c>
    </row>
    <row r="280" customFormat="false" ht="14.25" hidden="false" customHeight="false" outlineLevel="0" collapsed="false">
      <c r="A280" s="171" t="str">
        <f aca="false">IF(Payslip_Lookup[[#This Row],[Rider ID]]="","",Payslip_Lookup[[#This Row],[Rider ID]]&amp;"|"&amp;Payslip_Lookup[[#This Row],[Month Key]])</f>
        <v/>
      </c>
      <c r="B280" s="172" t="str">
        <f aca="false">IF(ISNUMBER(Payslip_Lookup[[#This Row],[Salary Month]]),DATE(YEAR(Payslip_Lookup[[#This Row],[Salary Month]]),MONTH(Payslip_Lookup[[#This Row],[Salary Month]]),1),"")</f>
        <v/>
      </c>
      <c r="C280" s="172" t="str">
        <f aca="false">IF(INDEX(Salary_Calculation[Source Row],ROW()-ROW(Payslip_Lookup[#Headers]))="","",INDEX(Salary_Calculation[Salary Month],ROW()-ROW(Payslip_Lookup[#Headers])))</f>
        <v/>
      </c>
      <c r="D280" s="173" t="str">
        <f aca="false">IF(INDEX(Salary_Calculation[Source Row],ROW()-ROW(Payslip_Lookup[#Headers]))="","",INDEX(Salary_Calculation[Rider ID],ROW()-ROW(Payslip_Lookup[#Headers])))</f>
        <v/>
      </c>
      <c r="E280" s="171" t="str">
        <f aca="false">IF(INDEX(Salary_Calculation[Source Row],ROW()-ROW(Payslip_Lookup[#Headers]))="","",INDEX(Salary_Calculation[Rider Name],ROW()-ROW(Payslip_Lookup[#Headers])))</f>
        <v/>
      </c>
      <c r="F280" s="173" t="str">
        <f aca="false">IF(INDEX(Salary_Calculation[Source Row],ROW()-ROW(Payslip_Lookup[#Headers]))="","",INDEX(Salary_Calculation[Working Days],ROW()-ROW(Payslip_Lookup[#Headers])))</f>
        <v/>
      </c>
      <c r="G280" s="173" t="str">
        <f aca="false">IF(INDEX(Salary_Calculation[Source Row],ROW()-ROW(Payslip_Lookup[#Headers]))="","",INDEX(Salary_Calculation[Calendar Days],ROW()-ROW(Payslip_Lookup[#Headers])))</f>
        <v/>
      </c>
      <c r="H280" s="174" t="str">
        <f aca="false">IF(INDEX(Salary_Calculation[Source Row],ROW()-ROW(Payslip_Lookup[#Headers]))="","",INDEX(Salary_Calculation[Monthly Target Orders],ROW()-ROW(Payslip_Lookup[#Headers])))</f>
        <v/>
      </c>
      <c r="I280" s="174" t="str">
        <f aca="false">IF(INDEX(Salary_Calculation[Source Row],ROW()-ROW(Payslip_Lookup[#Headers]))="","",INDEX(Salary_Calculation[Rider Target Orders],ROW()-ROW(Payslip_Lookup[#Headers])))</f>
        <v/>
      </c>
      <c r="J280" s="175" t="str">
        <f aca="false">IF(INDEX(Salary_Calculation[Source Row],ROW()-ROW(Payslip_Lookup[#Headers]))="","",INDEX(Salary_Calculation[Completed Orders],ROW()-ROW(Payslip_Lookup[#Headers])))</f>
        <v/>
      </c>
      <c r="K280" s="174" t="str">
        <f aca="false">IF(INDEX(Salary_Calculation[Source Row],ROW()-ROW(Payslip_Lookup[#Headers]))="","",INDEX(Salary_Calculation[Base Order Rate],ROW()-ROW(Payslip_Lookup[#Headers])))</f>
        <v/>
      </c>
      <c r="L280" s="176" t="str">
        <f aca="false">IF(INDEX(Salary_Calculation[Source Row],ROW()-ROW(Payslip_Lookup[#Headers]))="","",INDEX(Salary_Calculation[Basic Payment],ROW()-ROW(Payslip_Lookup[#Headers])))</f>
        <v/>
      </c>
      <c r="M280" s="176" t="str">
        <f aca="false">IF(INDEX(Salary_Calculation[Source Row],ROW()-ROW(Payslip_Lookup[#Headers]))="","",INDEX(Salary_Calculation[Earned Salary],ROW()-ROW(Payslip_Lookup[#Headers])))</f>
        <v/>
      </c>
      <c r="N280" s="174" t="str">
        <f aca="false">IF(INDEX(Salary_Calculation[Source Row],ROW()-ROW(Payslip_Lookup[#Headers]))="","",INDEX(Salary_Calculation[Orders Counted at Base Rate],ROW()-ROW(Payslip_Lookup[#Headers])))</f>
        <v/>
      </c>
      <c r="O280" s="174" t="str">
        <f aca="false">IF(INDEX(Salary_Calculation[Source Row],ROW()-ROW(Payslip_Lookup[#Headers]))="","",INDEX(Salary_Calculation[Missing Orders],ROW()-ROW(Payslip_Lookup[#Headers])))</f>
        <v/>
      </c>
      <c r="P280" s="176" t="str">
        <f aca="false">IF(INDEX(Salary_Calculation[Source Row],ROW()-ROW(Payslip_Lookup[#Headers]))="","",INDEX(Salary_Calculation[Missing-Order Deduction],ROW()-ROW(Payslip_Lookup[#Headers])))</f>
        <v/>
      </c>
      <c r="Q280" s="174" t="str">
        <f aca="false">IF(INDEX(Salary_Calculation[Source Row],ROW()-ROW(Payslip_Lookup[#Headers]))="","",INDEX(Salary_Calculation[Extra Orders],ROW()-ROW(Payslip_Lookup[#Headers])))</f>
        <v/>
      </c>
      <c r="R280" s="176" t="str">
        <f aca="false">IF(INDEX(Salary_Calculation[Source Row],ROW()-ROW(Payslip_Lookup[#Headers]))="","",INDEX(Salary_Calculation[Extra-Order Bonus],ROW()-ROW(Payslip_Lookup[#Headers])))</f>
        <v/>
      </c>
      <c r="S280" s="176" t="str">
        <f aca="false">IF(INDEX(Salary_Calculation[Source Row],ROW()-ROW(Payslip_Lookup[#Headers]))="","",INDEX(Salary_Calculation[Basic Salary for Target],ROW()-ROW(Payslip_Lookup[#Headers])))</f>
        <v/>
      </c>
      <c r="T280" s="176" t="str">
        <f aca="false">IF(INDEX(Salary_Calculation[Source Row],ROW()-ROW(Payslip_Lookup[#Headers]))="","",INDEX(Salary_Calculation[Gross Salary Before Deductions],ROW()-ROW(Payslip_Lookup[#Headers])))</f>
        <v/>
      </c>
      <c r="U280" s="176" t="str">
        <f aca="false">IF(INDEX(Salary_Calculation[Source Row],ROW()-ROW(Payslip_Lookup[#Headers]))="","",INDEX(Salary_Calculation[missed_days_penalty],ROW()-ROW(Payslip_Lookup[#Headers])))</f>
        <v/>
      </c>
      <c r="V280" s="176" t="str">
        <f aca="false">IF(INDEX(Salary_Calculation[Source Row],ROW()-ROW(Payslip_Lookup[#Headers]))="","",INDEX(Salary_Calculation[Rider Balance],ROW()-ROW(Payslip_Lookup[#Headers])))</f>
        <v/>
      </c>
      <c r="W280" s="176" t="str">
        <f aca="false">IF(INDEX(Salary_Calculation[Source Row],ROW()-ROW(Payslip_Lookup[#Headers]))="","",INDEX(Salary_Calculation[stacking_deduction],ROW()-ROW(Payslip_Lookup[#Headers])))</f>
        <v/>
      </c>
      <c r="X280" s="176" t="str">
        <f aca="false">IF(INDEX(Salary_Calculation[Source Row],ROW()-ROW(Payslip_Lookup[#Headers]))="","",INDEX(Salary_Calculation[Other Deductions],ROW()-ROW(Payslip_Lookup[#Headers])))</f>
        <v/>
      </c>
      <c r="Y280" s="176" t="str">
        <f aca="false">IF(INDEX(Salary_Calculation[Source Row],ROW()-ROW(Payslip_Lookup[#Headers]))="","",INDEX(Salary_Calculation[Total Deductions],ROW()-ROW(Payslip_Lookup[#Headers])))</f>
        <v/>
      </c>
      <c r="Z280" s="176" t="str">
        <f aca="false">IF(INDEX(Salary_Calculation[Source Row],ROW()-ROW(Payslip_Lookup[#Headers]))="","",INDEX(Salary_Calculation[Final Salary],ROW()-ROW(Payslip_Lookup[#Headers])))</f>
        <v/>
      </c>
      <c r="AA280" s="176" t="str">
        <f aca="false">IF(INDEX(Salary_Calculation[Source Row],ROW()-ROW(Payslip_Lookup[#Headers]))="","",INDEX(Salary_Calculation[Negative Balance / Amount Due from Rider],ROW()-ROW(Payslip_Lookup[#Headers])))</f>
        <v/>
      </c>
      <c r="AB280" s="176" t="str">
        <f aca="false">IF(INDEX(Salary_Calculation[Source Row],ROW()-ROW(Payslip_Lookup[#Headers]))="","",INDEX(Salary_Calculation[Total Amount Due from Rider],ROW()-ROW(Payslip_Lookup[#Headers])))</f>
        <v/>
      </c>
      <c r="AC280" s="176" t="str">
        <f aca="false">IF(INDEX(Salary_Calculation[Source Row],ROW()-ROW(Payslip_Lookup[#Headers]))="","",INDEX(Salary_Calculation[Salary Before Other Deductions],ROW()-ROW(Payslip_Lookup[#Headers])))</f>
        <v/>
      </c>
      <c r="AD280" s="171" t="str">
        <f aca="false">IF(INDEX(Salary_Calculation[Source Row],ROW()-ROW(Payslip_Lookup[#Headers]))="","",INDEX(Salary_Calculation[Payment Status],ROW()-ROW(Payslip_Lookup[#Headers])))</f>
        <v/>
      </c>
      <c r="AE280" s="171" t="str">
        <f aca="false">IF(INDEX(Salary_Calculation[Source Row],ROW()-ROW(Payslip_Lookup[#Headers]))="","",INDEX(Salary_Calculation[Notes],ROW()-ROW(Payslip_Lookup[#Headers])))</f>
        <v/>
      </c>
      <c r="AF280" s="171" t="str">
        <f aca="false">IF(INDEX(Salary_Calculation[Source Row],ROW()-ROW(Payslip_Lookup[#Headers]))="","",INDEX(Salary_Calculation[Exception Reason],ROW()-ROW(Payslip_Lookup[#Headers])))</f>
        <v/>
      </c>
      <c r="AG280" s="173" t="str">
        <f aca="false">IF($AD280="Review Required",COUNTIF(AD$2:AD280,"Review Required"),"")</f>
        <v/>
      </c>
      <c r="AH280" s="173" t="str">
        <f aca="false">IF(AND($D280&lt;&gt;"",$B280=Payslip_Print!$C$2),MAX(AH$1:AH279)+1,"")</f>
        <v/>
      </c>
      <c r="AL280" s="178" t="str">
        <f aca="false">IFERROR(INDEX($D$2:$D$501,MATCH(ROW()-1,$AH$2:$AH$501,0)),"")</f>
        <v/>
      </c>
      <c r="AM280" s="179" t="str">
        <f aca="false">IF($Z280="","",IF(AND($C280&gt;=Dash_Start,$C280&lt;Dash_End),$Z280+ROW()/10000000,""))</f>
        <v/>
      </c>
    </row>
    <row r="281" customFormat="false" ht="14.25" hidden="false" customHeight="false" outlineLevel="0" collapsed="false">
      <c r="A281" s="171" t="str">
        <f aca="false">IF(Payslip_Lookup[[#This Row],[Rider ID]]="","",Payslip_Lookup[[#This Row],[Rider ID]]&amp;"|"&amp;Payslip_Lookup[[#This Row],[Month Key]])</f>
        <v/>
      </c>
      <c r="B281" s="172" t="str">
        <f aca="false">IF(ISNUMBER(Payslip_Lookup[[#This Row],[Salary Month]]),DATE(YEAR(Payslip_Lookup[[#This Row],[Salary Month]]),MONTH(Payslip_Lookup[[#This Row],[Salary Month]]),1),"")</f>
        <v/>
      </c>
      <c r="C281" s="172" t="str">
        <f aca="false">IF(INDEX(Salary_Calculation[Source Row],ROW()-ROW(Payslip_Lookup[#Headers]))="","",INDEX(Salary_Calculation[Salary Month],ROW()-ROW(Payslip_Lookup[#Headers])))</f>
        <v/>
      </c>
      <c r="D281" s="173" t="str">
        <f aca="false">IF(INDEX(Salary_Calculation[Source Row],ROW()-ROW(Payslip_Lookup[#Headers]))="","",INDEX(Salary_Calculation[Rider ID],ROW()-ROW(Payslip_Lookup[#Headers])))</f>
        <v/>
      </c>
      <c r="E281" s="171" t="str">
        <f aca="false">IF(INDEX(Salary_Calculation[Source Row],ROW()-ROW(Payslip_Lookup[#Headers]))="","",INDEX(Salary_Calculation[Rider Name],ROW()-ROW(Payslip_Lookup[#Headers])))</f>
        <v/>
      </c>
      <c r="F281" s="173" t="str">
        <f aca="false">IF(INDEX(Salary_Calculation[Source Row],ROW()-ROW(Payslip_Lookup[#Headers]))="","",INDEX(Salary_Calculation[Working Days],ROW()-ROW(Payslip_Lookup[#Headers])))</f>
        <v/>
      </c>
      <c r="G281" s="173" t="str">
        <f aca="false">IF(INDEX(Salary_Calculation[Source Row],ROW()-ROW(Payslip_Lookup[#Headers]))="","",INDEX(Salary_Calculation[Calendar Days],ROW()-ROW(Payslip_Lookup[#Headers])))</f>
        <v/>
      </c>
      <c r="H281" s="174" t="str">
        <f aca="false">IF(INDEX(Salary_Calculation[Source Row],ROW()-ROW(Payslip_Lookup[#Headers]))="","",INDEX(Salary_Calculation[Monthly Target Orders],ROW()-ROW(Payslip_Lookup[#Headers])))</f>
        <v/>
      </c>
      <c r="I281" s="174" t="str">
        <f aca="false">IF(INDEX(Salary_Calculation[Source Row],ROW()-ROW(Payslip_Lookup[#Headers]))="","",INDEX(Salary_Calculation[Rider Target Orders],ROW()-ROW(Payslip_Lookup[#Headers])))</f>
        <v/>
      </c>
      <c r="J281" s="175" t="str">
        <f aca="false">IF(INDEX(Salary_Calculation[Source Row],ROW()-ROW(Payslip_Lookup[#Headers]))="","",INDEX(Salary_Calculation[Completed Orders],ROW()-ROW(Payslip_Lookup[#Headers])))</f>
        <v/>
      </c>
      <c r="K281" s="174" t="str">
        <f aca="false">IF(INDEX(Salary_Calculation[Source Row],ROW()-ROW(Payslip_Lookup[#Headers]))="","",INDEX(Salary_Calculation[Base Order Rate],ROW()-ROW(Payslip_Lookup[#Headers])))</f>
        <v/>
      </c>
      <c r="L281" s="176" t="str">
        <f aca="false">IF(INDEX(Salary_Calculation[Source Row],ROW()-ROW(Payslip_Lookup[#Headers]))="","",INDEX(Salary_Calculation[Basic Payment],ROW()-ROW(Payslip_Lookup[#Headers])))</f>
        <v/>
      </c>
      <c r="M281" s="176" t="str">
        <f aca="false">IF(INDEX(Salary_Calculation[Source Row],ROW()-ROW(Payslip_Lookup[#Headers]))="","",INDEX(Salary_Calculation[Earned Salary],ROW()-ROW(Payslip_Lookup[#Headers])))</f>
        <v/>
      </c>
      <c r="N281" s="174" t="str">
        <f aca="false">IF(INDEX(Salary_Calculation[Source Row],ROW()-ROW(Payslip_Lookup[#Headers]))="","",INDEX(Salary_Calculation[Orders Counted at Base Rate],ROW()-ROW(Payslip_Lookup[#Headers])))</f>
        <v/>
      </c>
      <c r="O281" s="174" t="str">
        <f aca="false">IF(INDEX(Salary_Calculation[Source Row],ROW()-ROW(Payslip_Lookup[#Headers]))="","",INDEX(Salary_Calculation[Missing Orders],ROW()-ROW(Payslip_Lookup[#Headers])))</f>
        <v/>
      </c>
      <c r="P281" s="176" t="str">
        <f aca="false">IF(INDEX(Salary_Calculation[Source Row],ROW()-ROW(Payslip_Lookup[#Headers]))="","",INDEX(Salary_Calculation[Missing-Order Deduction],ROW()-ROW(Payslip_Lookup[#Headers])))</f>
        <v/>
      </c>
      <c r="Q281" s="174" t="str">
        <f aca="false">IF(INDEX(Salary_Calculation[Source Row],ROW()-ROW(Payslip_Lookup[#Headers]))="","",INDEX(Salary_Calculation[Extra Orders],ROW()-ROW(Payslip_Lookup[#Headers])))</f>
        <v/>
      </c>
      <c r="R281" s="176" t="str">
        <f aca="false">IF(INDEX(Salary_Calculation[Source Row],ROW()-ROW(Payslip_Lookup[#Headers]))="","",INDEX(Salary_Calculation[Extra-Order Bonus],ROW()-ROW(Payslip_Lookup[#Headers])))</f>
        <v/>
      </c>
      <c r="S281" s="176" t="str">
        <f aca="false">IF(INDEX(Salary_Calculation[Source Row],ROW()-ROW(Payslip_Lookup[#Headers]))="","",INDEX(Salary_Calculation[Basic Salary for Target],ROW()-ROW(Payslip_Lookup[#Headers])))</f>
        <v/>
      </c>
      <c r="T281" s="176" t="str">
        <f aca="false">IF(INDEX(Salary_Calculation[Source Row],ROW()-ROW(Payslip_Lookup[#Headers]))="","",INDEX(Salary_Calculation[Gross Salary Before Deductions],ROW()-ROW(Payslip_Lookup[#Headers])))</f>
        <v/>
      </c>
      <c r="U281" s="176" t="str">
        <f aca="false">IF(INDEX(Salary_Calculation[Source Row],ROW()-ROW(Payslip_Lookup[#Headers]))="","",INDEX(Salary_Calculation[missed_days_penalty],ROW()-ROW(Payslip_Lookup[#Headers])))</f>
        <v/>
      </c>
      <c r="V281" s="176" t="str">
        <f aca="false">IF(INDEX(Salary_Calculation[Source Row],ROW()-ROW(Payslip_Lookup[#Headers]))="","",INDEX(Salary_Calculation[Rider Balance],ROW()-ROW(Payslip_Lookup[#Headers])))</f>
        <v/>
      </c>
      <c r="W281" s="176" t="str">
        <f aca="false">IF(INDEX(Salary_Calculation[Source Row],ROW()-ROW(Payslip_Lookup[#Headers]))="","",INDEX(Salary_Calculation[stacking_deduction],ROW()-ROW(Payslip_Lookup[#Headers])))</f>
        <v/>
      </c>
      <c r="X281" s="176" t="str">
        <f aca="false">IF(INDEX(Salary_Calculation[Source Row],ROW()-ROW(Payslip_Lookup[#Headers]))="","",INDEX(Salary_Calculation[Other Deductions],ROW()-ROW(Payslip_Lookup[#Headers])))</f>
        <v/>
      </c>
      <c r="Y281" s="176" t="str">
        <f aca="false">IF(INDEX(Salary_Calculation[Source Row],ROW()-ROW(Payslip_Lookup[#Headers]))="","",INDEX(Salary_Calculation[Total Deductions],ROW()-ROW(Payslip_Lookup[#Headers])))</f>
        <v/>
      </c>
      <c r="Z281" s="176" t="str">
        <f aca="false">IF(INDEX(Salary_Calculation[Source Row],ROW()-ROW(Payslip_Lookup[#Headers]))="","",INDEX(Salary_Calculation[Final Salary],ROW()-ROW(Payslip_Lookup[#Headers])))</f>
        <v/>
      </c>
      <c r="AA281" s="176" t="str">
        <f aca="false">IF(INDEX(Salary_Calculation[Source Row],ROW()-ROW(Payslip_Lookup[#Headers]))="","",INDEX(Salary_Calculation[Negative Balance / Amount Due from Rider],ROW()-ROW(Payslip_Lookup[#Headers])))</f>
        <v/>
      </c>
      <c r="AB281" s="176" t="str">
        <f aca="false">IF(INDEX(Salary_Calculation[Source Row],ROW()-ROW(Payslip_Lookup[#Headers]))="","",INDEX(Salary_Calculation[Total Amount Due from Rider],ROW()-ROW(Payslip_Lookup[#Headers])))</f>
        <v/>
      </c>
      <c r="AC281" s="176" t="str">
        <f aca="false">IF(INDEX(Salary_Calculation[Source Row],ROW()-ROW(Payslip_Lookup[#Headers]))="","",INDEX(Salary_Calculation[Salary Before Other Deductions],ROW()-ROW(Payslip_Lookup[#Headers])))</f>
        <v/>
      </c>
      <c r="AD281" s="171" t="str">
        <f aca="false">IF(INDEX(Salary_Calculation[Source Row],ROW()-ROW(Payslip_Lookup[#Headers]))="","",INDEX(Salary_Calculation[Payment Status],ROW()-ROW(Payslip_Lookup[#Headers])))</f>
        <v/>
      </c>
      <c r="AE281" s="171" t="str">
        <f aca="false">IF(INDEX(Salary_Calculation[Source Row],ROW()-ROW(Payslip_Lookup[#Headers]))="","",INDEX(Salary_Calculation[Notes],ROW()-ROW(Payslip_Lookup[#Headers])))</f>
        <v/>
      </c>
      <c r="AF281" s="171" t="str">
        <f aca="false">IF(INDEX(Salary_Calculation[Source Row],ROW()-ROW(Payslip_Lookup[#Headers]))="","",INDEX(Salary_Calculation[Exception Reason],ROW()-ROW(Payslip_Lookup[#Headers])))</f>
        <v/>
      </c>
      <c r="AG281" s="173" t="str">
        <f aca="false">IF($AD281="Review Required",COUNTIF(AD$2:AD281,"Review Required"),"")</f>
        <v/>
      </c>
      <c r="AH281" s="173" t="str">
        <f aca="false">IF(AND($D281&lt;&gt;"",$B281=Payslip_Print!$C$2),MAX(AH$1:AH280)+1,"")</f>
        <v/>
      </c>
      <c r="AL281" s="178" t="str">
        <f aca="false">IFERROR(INDEX($D$2:$D$501,MATCH(ROW()-1,$AH$2:$AH$501,0)),"")</f>
        <v/>
      </c>
      <c r="AM281" s="179" t="str">
        <f aca="false">IF($Z281="","",IF(AND($C281&gt;=Dash_Start,$C281&lt;Dash_End),$Z281+ROW()/10000000,""))</f>
        <v/>
      </c>
    </row>
    <row r="282" customFormat="false" ht="14.25" hidden="false" customHeight="false" outlineLevel="0" collapsed="false">
      <c r="A282" s="171" t="str">
        <f aca="false">IF(Payslip_Lookup[[#This Row],[Rider ID]]="","",Payslip_Lookup[[#This Row],[Rider ID]]&amp;"|"&amp;Payslip_Lookup[[#This Row],[Month Key]])</f>
        <v/>
      </c>
      <c r="B282" s="172" t="str">
        <f aca="false">IF(ISNUMBER(Payslip_Lookup[[#This Row],[Salary Month]]),DATE(YEAR(Payslip_Lookup[[#This Row],[Salary Month]]),MONTH(Payslip_Lookup[[#This Row],[Salary Month]]),1),"")</f>
        <v/>
      </c>
      <c r="C282" s="172" t="str">
        <f aca="false">IF(INDEX(Salary_Calculation[Source Row],ROW()-ROW(Payslip_Lookup[#Headers]))="","",INDEX(Salary_Calculation[Salary Month],ROW()-ROW(Payslip_Lookup[#Headers])))</f>
        <v/>
      </c>
      <c r="D282" s="173" t="str">
        <f aca="false">IF(INDEX(Salary_Calculation[Source Row],ROW()-ROW(Payslip_Lookup[#Headers]))="","",INDEX(Salary_Calculation[Rider ID],ROW()-ROW(Payslip_Lookup[#Headers])))</f>
        <v/>
      </c>
      <c r="E282" s="171" t="str">
        <f aca="false">IF(INDEX(Salary_Calculation[Source Row],ROW()-ROW(Payslip_Lookup[#Headers]))="","",INDEX(Salary_Calculation[Rider Name],ROW()-ROW(Payslip_Lookup[#Headers])))</f>
        <v/>
      </c>
      <c r="F282" s="173" t="str">
        <f aca="false">IF(INDEX(Salary_Calculation[Source Row],ROW()-ROW(Payslip_Lookup[#Headers]))="","",INDEX(Salary_Calculation[Working Days],ROW()-ROW(Payslip_Lookup[#Headers])))</f>
        <v/>
      </c>
      <c r="G282" s="173" t="str">
        <f aca="false">IF(INDEX(Salary_Calculation[Source Row],ROW()-ROW(Payslip_Lookup[#Headers]))="","",INDEX(Salary_Calculation[Calendar Days],ROW()-ROW(Payslip_Lookup[#Headers])))</f>
        <v/>
      </c>
      <c r="H282" s="174" t="str">
        <f aca="false">IF(INDEX(Salary_Calculation[Source Row],ROW()-ROW(Payslip_Lookup[#Headers]))="","",INDEX(Salary_Calculation[Monthly Target Orders],ROW()-ROW(Payslip_Lookup[#Headers])))</f>
        <v/>
      </c>
      <c r="I282" s="174" t="str">
        <f aca="false">IF(INDEX(Salary_Calculation[Source Row],ROW()-ROW(Payslip_Lookup[#Headers]))="","",INDEX(Salary_Calculation[Rider Target Orders],ROW()-ROW(Payslip_Lookup[#Headers])))</f>
        <v/>
      </c>
      <c r="J282" s="175" t="str">
        <f aca="false">IF(INDEX(Salary_Calculation[Source Row],ROW()-ROW(Payslip_Lookup[#Headers]))="","",INDEX(Salary_Calculation[Completed Orders],ROW()-ROW(Payslip_Lookup[#Headers])))</f>
        <v/>
      </c>
      <c r="K282" s="174" t="str">
        <f aca="false">IF(INDEX(Salary_Calculation[Source Row],ROW()-ROW(Payslip_Lookup[#Headers]))="","",INDEX(Salary_Calculation[Base Order Rate],ROW()-ROW(Payslip_Lookup[#Headers])))</f>
        <v/>
      </c>
      <c r="L282" s="176" t="str">
        <f aca="false">IF(INDEX(Salary_Calculation[Source Row],ROW()-ROW(Payslip_Lookup[#Headers]))="","",INDEX(Salary_Calculation[Basic Payment],ROW()-ROW(Payslip_Lookup[#Headers])))</f>
        <v/>
      </c>
      <c r="M282" s="176" t="str">
        <f aca="false">IF(INDEX(Salary_Calculation[Source Row],ROW()-ROW(Payslip_Lookup[#Headers]))="","",INDEX(Salary_Calculation[Earned Salary],ROW()-ROW(Payslip_Lookup[#Headers])))</f>
        <v/>
      </c>
      <c r="N282" s="174" t="str">
        <f aca="false">IF(INDEX(Salary_Calculation[Source Row],ROW()-ROW(Payslip_Lookup[#Headers]))="","",INDEX(Salary_Calculation[Orders Counted at Base Rate],ROW()-ROW(Payslip_Lookup[#Headers])))</f>
        <v/>
      </c>
      <c r="O282" s="174" t="str">
        <f aca="false">IF(INDEX(Salary_Calculation[Source Row],ROW()-ROW(Payslip_Lookup[#Headers]))="","",INDEX(Salary_Calculation[Missing Orders],ROW()-ROW(Payslip_Lookup[#Headers])))</f>
        <v/>
      </c>
      <c r="P282" s="176" t="str">
        <f aca="false">IF(INDEX(Salary_Calculation[Source Row],ROW()-ROW(Payslip_Lookup[#Headers]))="","",INDEX(Salary_Calculation[Missing-Order Deduction],ROW()-ROW(Payslip_Lookup[#Headers])))</f>
        <v/>
      </c>
      <c r="Q282" s="174" t="str">
        <f aca="false">IF(INDEX(Salary_Calculation[Source Row],ROW()-ROW(Payslip_Lookup[#Headers]))="","",INDEX(Salary_Calculation[Extra Orders],ROW()-ROW(Payslip_Lookup[#Headers])))</f>
        <v/>
      </c>
      <c r="R282" s="176" t="str">
        <f aca="false">IF(INDEX(Salary_Calculation[Source Row],ROW()-ROW(Payslip_Lookup[#Headers]))="","",INDEX(Salary_Calculation[Extra-Order Bonus],ROW()-ROW(Payslip_Lookup[#Headers])))</f>
        <v/>
      </c>
      <c r="S282" s="176" t="str">
        <f aca="false">IF(INDEX(Salary_Calculation[Source Row],ROW()-ROW(Payslip_Lookup[#Headers]))="","",INDEX(Salary_Calculation[Basic Salary for Target],ROW()-ROW(Payslip_Lookup[#Headers])))</f>
        <v/>
      </c>
      <c r="T282" s="176" t="str">
        <f aca="false">IF(INDEX(Salary_Calculation[Source Row],ROW()-ROW(Payslip_Lookup[#Headers]))="","",INDEX(Salary_Calculation[Gross Salary Before Deductions],ROW()-ROW(Payslip_Lookup[#Headers])))</f>
        <v/>
      </c>
      <c r="U282" s="176" t="str">
        <f aca="false">IF(INDEX(Salary_Calculation[Source Row],ROW()-ROW(Payslip_Lookup[#Headers]))="","",INDEX(Salary_Calculation[missed_days_penalty],ROW()-ROW(Payslip_Lookup[#Headers])))</f>
        <v/>
      </c>
      <c r="V282" s="176" t="str">
        <f aca="false">IF(INDEX(Salary_Calculation[Source Row],ROW()-ROW(Payslip_Lookup[#Headers]))="","",INDEX(Salary_Calculation[Rider Balance],ROW()-ROW(Payslip_Lookup[#Headers])))</f>
        <v/>
      </c>
      <c r="W282" s="176" t="str">
        <f aca="false">IF(INDEX(Salary_Calculation[Source Row],ROW()-ROW(Payslip_Lookup[#Headers]))="","",INDEX(Salary_Calculation[stacking_deduction],ROW()-ROW(Payslip_Lookup[#Headers])))</f>
        <v/>
      </c>
      <c r="X282" s="176" t="str">
        <f aca="false">IF(INDEX(Salary_Calculation[Source Row],ROW()-ROW(Payslip_Lookup[#Headers]))="","",INDEX(Salary_Calculation[Other Deductions],ROW()-ROW(Payslip_Lookup[#Headers])))</f>
        <v/>
      </c>
      <c r="Y282" s="176" t="str">
        <f aca="false">IF(INDEX(Salary_Calculation[Source Row],ROW()-ROW(Payslip_Lookup[#Headers]))="","",INDEX(Salary_Calculation[Total Deductions],ROW()-ROW(Payslip_Lookup[#Headers])))</f>
        <v/>
      </c>
      <c r="Z282" s="176" t="str">
        <f aca="false">IF(INDEX(Salary_Calculation[Source Row],ROW()-ROW(Payslip_Lookup[#Headers]))="","",INDEX(Salary_Calculation[Final Salary],ROW()-ROW(Payslip_Lookup[#Headers])))</f>
        <v/>
      </c>
      <c r="AA282" s="176" t="str">
        <f aca="false">IF(INDEX(Salary_Calculation[Source Row],ROW()-ROW(Payslip_Lookup[#Headers]))="","",INDEX(Salary_Calculation[Negative Balance / Amount Due from Rider],ROW()-ROW(Payslip_Lookup[#Headers])))</f>
        <v/>
      </c>
      <c r="AB282" s="176" t="str">
        <f aca="false">IF(INDEX(Salary_Calculation[Source Row],ROW()-ROW(Payslip_Lookup[#Headers]))="","",INDEX(Salary_Calculation[Total Amount Due from Rider],ROW()-ROW(Payslip_Lookup[#Headers])))</f>
        <v/>
      </c>
      <c r="AC282" s="176" t="str">
        <f aca="false">IF(INDEX(Salary_Calculation[Source Row],ROW()-ROW(Payslip_Lookup[#Headers]))="","",INDEX(Salary_Calculation[Salary Before Other Deductions],ROW()-ROW(Payslip_Lookup[#Headers])))</f>
        <v/>
      </c>
      <c r="AD282" s="171" t="str">
        <f aca="false">IF(INDEX(Salary_Calculation[Source Row],ROW()-ROW(Payslip_Lookup[#Headers]))="","",INDEX(Salary_Calculation[Payment Status],ROW()-ROW(Payslip_Lookup[#Headers])))</f>
        <v/>
      </c>
      <c r="AE282" s="171" t="str">
        <f aca="false">IF(INDEX(Salary_Calculation[Source Row],ROW()-ROW(Payslip_Lookup[#Headers]))="","",INDEX(Salary_Calculation[Notes],ROW()-ROW(Payslip_Lookup[#Headers])))</f>
        <v/>
      </c>
      <c r="AF282" s="171" t="str">
        <f aca="false">IF(INDEX(Salary_Calculation[Source Row],ROW()-ROW(Payslip_Lookup[#Headers]))="","",INDEX(Salary_Calculation[Exception Reason],ROW()-ROW(Payslip_Lookup[#Headers])))</f>
        <v/>
      </c>
      <c r="AG282" s="173" t="str">
        <f aca="false">IF($AD282="Review Required",COUNTIF(AD$2:AD282,"Review Required"),"")</f>
        <v/>
      </c>
      <c r="AH282" s="173" t="str">
        <f aca="false">IF(AND($D282&lt;&gt;"",$B282=Payslip_Print!$C$2),MAX(AH$1:AH281)+1,"")</f>
        <v/>
      </c>
      <c r="AL282" s="178" t="str">
        <f aca="false">IFERROR(INDEX($D$2:$D$501,MATCH(ROW()-1,$AH$2:$AH$501,0)),"")</f>
        <v/>
      </c>
      <c r="AM282" s="179" t="str">
        <f aca="false">IF($Z282="","",IF(AND($C282&gt;=Dash_Start,$C282&lt;Dash_End),$Z282+ROW()/10000000,""))</f>
        <v/>
      </c>
    </row>
    <row r="283" customFormat="false" ht="14.25" hidden="false" customHeight="false" outlineLevel="0" collapsed="false">
      <c r="A283" s="171" t="str">
        <f aca="false">IF(Payslip_Lookup[[#This Row],[Rider ID]]="","",Payslip_Lookup[[#This Row],[Rider ID]]&amp;"|"&amp;Payslip_Lookup[[#This Row],[Month Key]])</f>
        <v/>
      </c>
      <c r="B283" s="172" t="str">
        <f aca="false">IF(ISNUMBER(Payslip_Lookup[[#This Row],[Salary Month]]),DATE(YEAR(Payslip_Lookup[[#This Row],[Salary Month]]),MONTH(Payslip_Lookup[[#This Row],[Salary Month]]),1),"")</f>
        <v/>
      </c>
      <c r="C283" s="172" t="str">
        <f aca="false">IF(INDEX(Salary_Calculation[Source Row],ROW()-ROW(Payslip_Lookup[#Headers]))="","",INDEX(Salary_Calculation[Salary Month],ROW()-ROW(Payslip_Lookup[#Headers])))</f>
        <v/>
      </c>
      <c r="D283" s="173" t="str">
        <f aca="false">IF(INDEX(Salary_Calculation[Source Row],ROW()-ROW(Payslip_Lookup[#Headers]))="","",INDEX(Salary_Calculation[Rider ID],ROW()-ROW(Payslip_Lookup[#Headers])))</f>
        <v/>
      </c>
      <c r="E283" s="171" t="str">
        <f aca="false">IF(INDEX(Salary_Calculation[Source Row],ROW()-ROW(Payslip_Lookup[#Headers]))="","",INDEX(Salary_Calculation[Rider Name],ROW()-ROW(Payslip_Lookup[#Headers])))</f>
        <v/>
      </c>
      <c r="F283" s="173" t="str">
        <f aca="false">IF(INDEX(Salary_Calculation[Source Row],ROW()-ROW(Payslip_Lookup[#Headers]))="","",INDEX(Salary_Calculation[Working Days],ROW()-ROW(Payslip_Lookup[#Headers])))</f>
        <v/>
      </c>
      <c r="G283" s="173" t="str">
        <f aca="false">IF(INDEX(Salary_Calculation[Source Row],ROW()-ROW(Payslip_Lookup[#Headers]))="","",INDEX(Salary_Calculation[Calendar Days],ROW()-ROW(Payslip_Lookup[#Headers])))</f>
        <v/>
      </c>
      <c r="H283" s="174" t="str">
        <f aca="false">IF(INDEX(Salary_Calculation[Source Row],ROW()-ROW(Payslip_Lookup[#Headers]))="","",INDEX(Salary_Calculation[Monthly Target Orders],ROW()-ROW(Payslip_Lookup[#Headers])))</f>
        <v/>
      </c>
      <c r="I283" s="174" t="str">
        <f aca="false">IF(INDEX(Salary_Calculation[Source Row],ROW()-ROW(Payslip_Lookup[#Headers]))="","",INDEX(Salary_Calculation[Rider Target Orders],ROW()-ROW(Payslip_Lookup[#Headers])))</f>
        <v/>
      </c>
      <c r="J283" s="175" t="str">
        <f aca="false">IF(INDEX(Salary_Calculation[Source Row],ROW()-ROW(Payslip_Lookup[#Headers]))="","",INDEX(Salary_Calculation[Completed Orders],ROW()-ROW(Payslip_Lookup[#Headers])))</f>
        <v/>
      </c>
      <c r="K283" s="174" t="str">
        <f aca="false">IF(INDEX(Salary_Calculation[Source Row],ROW()-ROW(Payslip_Lookup[#Headers]))="","",INDEX(Salary_Calculation[Base Order Rate],ROW()-ROW(Payslip_Lookup[#Headers])))</f>
        <v/>
      </c>
      <c r="L283" s="176" t="str">
        <f aca="false">IF(INDEX(Salary_Calculation[Source Row],ROW()-ROW(Payslip_Lookup[#Headers]))="","",INDEX(Salary_Calculation[Basic Payment],ROW()-ROW(Payslip_Lookup[#Headers])))</f>
        <v/>
      </c>
      <c r="M283" s="176" t="str">
        <f aca="false">IF(INDEX(Salary_Calculation[Source Row],ROW()-ROW(Payslip_Lookup[#Headers]))="","",INDEX(Salary_Calculation[Earned Salary],ROW()-ROW(Payslip_Lookup[#Headers])))</f>
        <v/>
      </c>
      <c r="N283" s="174" t="str">
        <f aca="false">IF(INDEX(Salary_Calculation[Source Row],ROW()-ROW(Payslip_Lookup[#Headers]))="","",INDEX(Salary_Calculation[Orders Counted at Base Rate],ROW()-ROW(Payslip_Lookup[#Headers])))</f>
        <v/>
      </c>
      <c r="O283" s="174" t="str">
        <f aca="false">IF(INDEX(Salary_Calculation[Source Row],ROW()-ROW(Payslip_Lookup[#Headers]))="","",INDEX(Salary_Calculation[Missing Orders],ROW()-ROW(Payslip_Lookup[#Headers])))</f>
        <v/>
      </c>
      <c r="P283" s="176" t="str">
        <f aca="false">IF(INDEX(Salary_Calculation[Source Row],ROW()-ROW(Payslip_Lookup[#Headers]))="","",INDEX(Salary_Calculation[Missing-Order Deduction],ROW()-ROW(Payslip_Lookup[#Headers])))</f>
        <v/>
      </c>
      <c r="Q283" s="174" t="str">
        <f aca="false">IF(INDEX(Salary_Calculation[Source Row],ROW()-ROW(Payslip_Lookup[#Headers]))="","",INDEX(Salary_Calculation[Extra Orders],ROW()-ROW(Payslip_Lookup[#Headers])))</f>
        <v/>
      </c>
      <c r="R283" s="176" t="str">
        <f aca="false">IF(INDEX(Salary_Calculation[Source Row],ROW()-ROW(Payslip_Lookup[#Headers]))="","",INDEX(Salary_Calculation[Extra-Order Bonus],ROW()-ROW(Payslip_Lookup[#Headers])))</f>
        <v/>
      </c>
      <c r="S283" s="176" t="str">
        <f aca="false">IF(INDEX(Salary_Calculation[Source Row],ROW()-ROW(Payslip_Lookup[#Headers]))="","",INDEX(Salary_Calculation[Basic Salary for Target],ROW()-ROW(Payslip_Lookup[#Headers])))</f>
        <v/>
      </c>
      <c r="T283" s="176" t="str">
        <f aca="false">IF(INDEX(Salary_Calculation[Source Row],ROW()-ROW(Payslip_Lookup[#Headers]))="","",INDEX(Salary_Calculation[Gross Salary Before Deductions],ROW()-ROW(Payslip_Lookup[#Headers])))</f>
        <v/>
      </c>
      <c r="U283" s="176" t="str">
        <f aca="false">IF(INDEX(Salary_Calculation[Source Row],ROW()-ROW(Payslip_Lookup[#Headers]))="","",INDEX(Salary_Calculation[missed_days_penalty],ROW()-ROW(Payslip_Lookup[#Headers])))</f>
        <v/>
      </c>
      <c r="V283" s="176" t="str">
        <f aca="false">IF(INDEX(Salary_Calculation[Source Row],ROW()-ROW(Payslip_Lookup[#Headers]))="","",INDEX(Salary_Calculation[Rider Balance],ROW()-ROW(Payslip_Lookup[#Headers])))</f>
        <v/>
      </c>
      <c r="W283" s="176" t="str">
        <f aca="false">IF(INDEX(Salary_Calculation[Source Row],ROW()-ROW(Payslip_Lookup[#Headers]))="","",INDEX(Salary_Calculation[stacking_deduction],ROW()-ROW(Payslip_Lookup[#Headers])))</f>
        <v/>
      </c>
      <c r="X283" s="176" t="str">
        <f aca="false">IF(INDEX(Salary_Calculation[Source Row],ROW()-ROW(Payslip_Lookup[#Headers]))="","",INDEX(Salary_Calculation[Other Deductions],ROW()-ROW(Payslip_Lookup[#Headers])))</f>
        <v/>
      </c>
      <c r="Y283" s="176" t="str">
        <f aca="false">IF(INDEX(Salary_Calculation[Source Row],ROW()-ROW(Payslip_Lookup[#Headers]))="","",INDEX(Salary_Calculation[Total Deductions],ROW()-ROW(Payslip_Lookup[#Headers])))</f>
        <v/>
      </c>
      <c r="Z283" s="176" t="str">
        <f aca="false">IF(INDEX(Salary_Calculation[Source Row],ROW()-ROW(Payslip_Lookup[#Headers]))="","",INDEX(Salary_Calculation[Final Salary],ROW()-ROW(Payslip_Lookup[#Headers])))</f>
        <v/>
      </c>
      <c r="AA283" s="176" t="str">
        <f aca="false">IF(INDEX(Salary_Calculation[Source Row],ROW()-ROW(Payslip_Lookup[#Headers]))="","",INDEX(Salary_Calculation[Negative Balance / Amount Due from Rider],ROW()-ROW(Payslip_Lookup[#Headers])))</f>
        <v/>
      </c>
      <c r="AB283" s="176" t="str">
        <f aca="false">IF(INDEX(Salary_Calculation[Source Row],ROW()-ROW(Payslip_Lookup[#Headers]))="","",INDEX(Salary_Calculation[Total Amount Due from Rider],ROW()-ROW(Payslip_Lookup[#Headers])))</f>
        <v/>
      </c>
      <c r="AC283" s="176" t="str">
        <f aca="false">IF(INDEX(Salary_Calculation[Source Row],ROW()-ROW(Payslip_Lookup[#Headers]))="","",INDEX(Salary_Calculation[Salary Before Other Deductions],ROW()-ROW(Payslip_Lookup[#Headers])))</f>
        <v/>
      </c>
      <c r="AD283" s="171" t="str">
        <f aca="false">IF(INDEX(Salary_Calculation[Source Row],ROW()-ROW(Payslip_Lookup[#Headers]))="","",INDEX(Salary_Calculation[Payment Status],ROW()-ROW(Payslip_Lookup[#Headers])))</f>
        <v/>
      </c>
      <c r="AE283" s="171" t="str">
        <f aca="false">IF(INDEX(Salary_Calculation[Source Row],ROW()-ROW(Payslip_Lookup[#Headers]))="","",INDEX(Salary_Calculation[Notes],ROW()-ROW(Payslip_Lookup[#Headers])))</f>
        <v/>
      </c>
      <c r="AF283" s="171" t="str">
        <f aca="false">IF(INDEX(Salary_Calculation[Source Row],ROW()-ROW(Payslip_Lookup[#Headers]))="","",INDEX(Salary_Calculation[Exception Reason],ROW()-ROW(Payslip_Lookup[#Headers])))</f>
        <v/>
      </c>
      <c r="AG283" s="173" t="str">
        <f aca="false">IF($AD283="Review Required",COUNTIF(AD$2:AD283,"Review Required"),"")</f>
        <v/>
      </c>
      <c r="AH283" s="173" t="str">
        <f aca="false">IF(AND($D283&lt;&gt;"",$B283=Payslip_Print!$C$2),MAX(AH$1:AH282)+1,"")</f>
        <v/>
      </c>
      <c r="AL283" s="178" t="str">
        <f aca="false">IFERROR(INDEX($D$2:$D$501,MATCH(ROW()-1,$AH$2:$AH$501,0)),"")</f>
        <v/>
      </c>
      <c r="AM283" s="179" t="str">
        <f aca="false">IF($Z283="","",IF(AND($C283&gt;=Dash_Start,$C283&lt;Dash_End),$Z283+ROW()/10000000,""))</f>
        <v/>
      </c>
    </row>
    <row r="284" customFormat="false" ht="14.25" hidden="false" customHeight="false" outlineLevel="0" collapsed="false">
      <c r="A284" s="171" t="str">
        <f aca="false">IF(Payslip_Lookup[[#This Row],[Rider ID]]="","",Payslip_Lookup[[#This Row],[Rider ID]]&amp;"|"&amp;Payslip_Lookup[[#This Row],[Month Key]])</f>
        <v/>
      </c>
      <c r="B284" s="172" t="str">
        <f aca="false">IF(ISNUMBER(Payslip_Lookup[[#This Row],[Salary Month]]),DATE(YEAR(Payslip_Lookup[[#This Row],[Salary Month]]),MONTH(Payslip_Lookup[[#This Row],[Salary Month]]),1),"")</f>
        <v/>
      </c>
      <c r="C284" s="172" t="str">
        <f aca="false">IF(INDEX(Salary_Calculation[Source Row],ROW()-ROW(Payslip_Lookup[#Headers]))="","",INDEX(Salary_Calculation[Salary Month],ROW()-ROW(Payslip_Lookup[#Headers])))</f>
        <v/>
      </c>
      <c r="D284" s="173" t="str">
        <f aca="false">IF(INDEX(Salary_Calculation[Source Row],ROW()-ROW(Payslip_Lookup[#Headers]))="","",INDEX(Salary_Calculation[Rider ID],ROW()-ROW(Payslip_Lookup[#Headers])))</f>
        <v/>
      </c>
      <c r="E284" s="171" t="str">
        <f aca="false">IF(INDEX(Salary_Calculation[Source Row],ROW()-ROW(Payslip_Lookup[#Headers]))="","",INDEX(Salary_Calculation[Rider Name],ROW()-ROW(Payslip_Lookup[#Headers])))</f>
        <v/>
      </c>
      <c r="F284" s="173" t="str">
        <f aca="false">IF(INDEX(Salary_Calculation[Source Row],ROW()-ROW(Payslip_Lookup[#Headers]))="","",INDEX(Salary_Calculation[Working Days],ROW()-ROW(Payslip_Lookup[#Headers])))</f>
        <v/>
      </c>
      <c r="G284" s="173" t="str">
        <f aca="false">IF(INDEX(Salary_Calculation[Source Row],ROW()-ROW(Payslip_Lookup[#Headers]))="","",INDEX(Salary_Calculation[Calendar Days],ROW()-ROW(Payslip_Lookup[#Headers])))</f>
        <v/>
      </c>
      <c r="H284" s="174" t="str">
        <f aca="false">IF(INDEX(Salary_Calculation[Source Row],ROW()-ROW(Payslip_Lookup[#Headers]))="","",INDEX(Salary_Calculation[Monthly Target Orders],ROW()-ROW(Payslip_Lookup[#Headers])))</f>
        <v/>
      </c>
      <c r="I284" s="174" t="str">
        <f aca="false">IF(INDEX(Salary_Calculation[Source Row],ROW()-ROW(Payslip_Lookup[#Headers]))="","",INDEX(Salary_Calculation[Rider Target Orders],ROW()-ROW(Payslip_Lookup[#Headers])))</f>
        <v/>
      </c>
      <c r="J284" s="175" t="str">
        <f aca="false">IF(INDEX(Salary_Calculation[Source Row],ROW()-ROW(Payslip_Lookup[#Headers]))="","",INDEX(Salary_Calculation[Completed Orders],ROW()-ROW(Payslip_Lookup[#Headers])))</f>
        <v/>
      </c>
      <c r="K284" s="174" t="str">
        <f aca="false">IF(INDEX(Salary_Calculation[Source Row],ROW()-ROW(Payslip_Lookup[#Headers]))="","",INDEX(Salary_Calculation[Base Order Rate],ROW()-ROW(Payslip_Lookup[#Headers])))</f>
        <v/>
      </c>
      <c r="L284" s="176" t="str">
        <f aca="false">IF(INDEX(Salary_Calculation[Source Row],ROW()-ROW(Payslip_Lookup[#Headers]))="","",INDEX(Salary_Calculation[Basic Payment],ROW()-ROW(Payslip_Lookup[#Headers])))</f>
        <v/>
      </c>
      <c r="M284" s="176" t="str">
        <f aca="false">IF(INDEX(Salary_Calculation[Source Row],ROW()-ROW(Payslip_Lookup[#Headers]))="","",INDEX(Salary_Calculation[Earned Salary],ROW()-ROW(Payslip_Lookup[#Headers])))</f>
        <v/>
      </c>
      <c r="N284" s="174" t="str">
        <f aca="false">IF(INDEX(Salary_Calculation[Source Row],ROW()-ROW(Payslip_Lookup[#Headers]))="","",INDEX(Salary_Calculation[Orders Counted at Base Rate],ROW()-ROW(Payslip_Lookup[#Headers])))</f>
        <v/>
      </c>
      <c r="O284" s="174" t="str">
        <f aca="false">IF(INDEX(Salary_Calculation[Source Row],ROW()-ROW(Payslip_Lookup[#Headers]))="","",INDEX(Salary_Calculation[Missing Orders],ROW()-ROW(Payslip_Lookup[#Headers])))</f>
        <v/>
      </c>
      <c r="P284" s="176" t="str">
        <f aca="false">IF(INDEX(Salary_Calculation[Source Row],ROW()-ROW(Payslip_Lookup[#Headers]))="","",INDEX(Salary_Calculation[Missing-Order Deduction],ROW()-ROW(Payslip_Lookup[#Headers])))</f>
        <v/>
      </c>
      <c r="Q284" s="174" t="str">
        <f aca="false">IF(INDEX(Salary_Calculation[Source Row],ROW()-ROW(Payslip_Lookup[#Headers]))="","",INDEX(Salary_Calculation[Extra Orders],ROW()-ROW(Payslip_Lookup[#Headers])))</f>
        <v/>
      </c>
      <c r="R284" s="176" t="str">
        <f aca="false">IF(INDEX(Salary_Calculation[Source Row],ROW()-ROW(Payslip_Lookup[#Headers]))="","",INDEX(Salary_Calculation[Extra-Order Bonus],ROW()-ROW(Payslip_Lookup[#Headers])))</f>
        <v/>
      </c>
      <c r="S284" s="176" t="str">
        <f aca="false">IF(INDEX(Salary_Calculation[Source Row],ROW()-ROW(Payslip_Lookup[#Headers]))="","",INDEX(Salary_Calculation[Basic Salary for Target],ROW()-ROW(Payslip_Lookup[#Headers])))</f>
        <v/>
      </c>
      <c r="T284" s="176" t="str">
        <f aca="false">IF(INDEX(Salary_Calculation[Source Row],ROW()-ROW(Payslip_Lookup[#Headers]))="","",INDEX(Salary_Calculation[Gross Salary Before Deductions],ROW()-ROW(Payslip_Lookup[#Headers])))</f>
        <v/>
      </c>
      <c r="U284" s="176" t="str">
        <f aca="false">IF(INDEX(Salary_Calculation[Source Row],ROW()-ROW(Payslip_Lookup[#Headers]))="","",INDEX(Salary_Calculation[missed_days_penalty],ROW()-ROW(Payslip_Lookup[#Headers])))</f>
        <v/>
      </c>
      <c r="V284" s="176" t="str">
        <f aca="false">IF(INDEX(Salary_Calculation[Source Row],ROW()-ROW(Payslip_Lookup[#Headers]))="","",INDEX(Salary_Calculation[Rider Balance],ROW()-ROW(Payslip_Lookup[#Headers])))</f>
        <v/>
      </c>
      <c r="W284" s="176" t="str">
        <f aca="false">IF(INDEX(Salary_Calculation[Source Row],ROW()-ROW(Payslip_Lookup[#Headers]))="","",INDEX(Salary_Calculation[stacking_deduction],ROW()-ROW(Payslip_Lookup[#Headers])))</f>
        <v/>
      </c>
      <c r="X284" s="176" t="str">
        <f aca="false">IF(INDEX(Salary_Calculation[Source Row],ROW()-ROW(Payslip_Lookup[#Headers]))="","",INDEX(Salary_Calculation[Other Deductions],ROW()-ROW(Payslip_Lookup[#Headers])))</f>
        <v/>
      </c>
      <c r="Y284" s="176" t="str">
        <f aca="false">IF(INDEX(Salary_Calculation[Source Row],ROW()-ROW(Payslip_Lookup[#Headers]))="","",INDEX(Salary_Calculation[Total Deductions],ROW()-ROW(Payslip_Lookup[#Headers])))</f>
        <v/>
      </c>
      <c r="Z284" s="176" t="str">
        <f aca="false">IF(INDEX(Salary_Calculation[Source Row],ROW()-ROW(Payslip_Lookup[#Headers]))="","",INDEX(Salary_Calculation[Final Salary],ROW()-ROW(Payslip_Lookup[#Headers])))</f>
        <v/>
      </c>
      <c r="AA284" s="176" t="str">
        <f aca="false">IF(INDEX(Salary_Calculation[Source Row],ROW()-ROW(Payslip_Lookup[#Headers]))="","",INDEX(Salary_Calculation[Negative Balance / Amount Due from Rider],ROW()-ROW(Payslip_Lookup[#Headers])))</f>
        <v/>
      </c>
      <c r="AB284" s="176" t="str">
        <f aca="false">IF(INDEX(Salary_Calculation[Source Row],ROW()-ROW(Payslip_Lookup[#Headers]))="","",INDEX(Salary_Calculation[Total Amount Due from Rider],ROW()-ROW(Payslip_Lookup[#Headers])))</f>
        <v/>
      </c>
      <c r="AC284" s="176" t="str">
        <f aca="false">IF(INDEX(Salary_Calculation[Source Row],ROW()-ROW(Payslip_Lookup[#Headers]))="","",INDEX(Salary_Calculation[Salary Before Other Deductions],ROW()-ROW(Payslip_Lookup[#Headers])))</f>
        <v/>
      </c>
      <c r="AD284" s="171" t="str">
        <f aca="false">IF(INDEX(Salary_Calculation[Source Row],ROW()-ROW(Payslip_Lookup[#Headers]))="","",INDEX(Salary_Calculation[Payment Status],ROW()-ROW(Payslip_Lookup[#Headers])))</f>
        <v/>
      </c>
      <c r="AE284" s="171" t="str">
        <f aca="false">IF(INDEX(Salary_Calculation[Source Row],ROW()-ROW(Payslip_Lookup[#Headers]))="","",INDEX(Salary_Calculation[Notes],ROW()-ROW(Payslip_Lookup[#Headers])))</f>
        <v/>
      </c>
      <c r="AF284" s="171" t="str">
        <f aca="false">IF(INDEX(Salary_Calculation[Source Row],ROW()-ROW(Payslip_Lookup[#Headers]))="","",INDEX(Salary_Calculation[Exception Reason],ROW()-ROW(Payslip_Lookup[#Headers])))</f>
        <v/>
      </c>
      <c r="AG284" s="173" t="str">
        <f aca="false">IF($AD284="Review Required",COUNTIF(AD$2:AD284,"Review Required"),"")</f>
        <v/>
      </c>
      <c r="AH284" s="173" t="str">
        <f aca="false">IF(AND($D284&lt;&gt;"",$B284=Payslip_Print!$C$2),MAX(AH$1:AH283)+1,"")</f>
        <v/>
      </c>
      <c r="AL284" s="178" t="str">
        <f aca="false">IFERROR(INDEX($D$2:$D$501,MATCH(ROW()-1,$AH$2:$AH$501,0)),"")</f>
        <v/>
      </c>
      <c r="AM284" s="179" t="str">
        <f aca="false">IF($Z284="","",IF(AND($C284&gt;=Dash_Start,$C284&lt;Dash_End),$Z284+ROW()/10000000,""))</f>
        <v/>
      </c>
    </row>
    <row r="285" customFormat="false" ht="14.25" hidden="false" customHeight="false" outlineLevel="0" collapsed="false">
      <c r="A285" s="171" t="str">
        <f aca="false">IF(Payslip_Lookup[[#This Row],[Rider ID]]="","",Payslip_Lookup[[#This Row],[Rider ID]]&amp;"|"&amp;Payslip_Lookup[[#This Row],[Month Key]])</f>
        <v/>
      </c>
      <c r="B285" s="172" t="str">
        <f aca="false">IF(ISNUMBER(Payslip_Lookup[[#This Row],[Salary Month]]),DATE(YEAR(Payslip_Lookup[[#This Row],[Salary Month]]),MONTH(Payslip_Lookup[[#This Row],[Salary Month]]),1),"")</f>
        <v/>
      </c>
      <c r="C285" s="172" t="str">
        <f aca="false">IF(INDEX(Salary_Calculation[Source Row],ROW()-ROW(Payslip_Lookup[#Headers]))="","",INDEX(Salary_Calculation[Salary Month],ROW()-ROW(Payslip_Lookup[#Headers])))</f>
        <v/>
      </c>
      <c r="D285" s="173" t="str">
        <f aca="false">IF(INDEX(Salary_Calculation[Source Row],ROW()-ROW(Payslip_Lookup[#Headers]))="","",INDEX(Salary_Calculation[Rider ID],ROW()-ROW(Payslip_Lookup[#Headers])))</f>
        <v/>
      </c>
      <c r="E285" s="171" t="str">
        <f aca="false">IF(INDEX(Salary_Calculation[Source Row],ROW()-ROW(Payslip_Lookup[#Headers]))="","",INDEX(Salary_Calculation[Rider Name],ROW()-ROW(Payslip_Lookup[#Headers])))</f>
        <v/>
      </c>
      <c r="F285" s="173" t="str">
        <f aca="false">IF(INDEX(Salary_Calculation[Source Row],ROW()-ROW(Payslip_Lookup[#Headers]))="","",INDEX(Salary_Calculation[Working Days],ROW()-ROW(Payslip_Lookup[#Headers])))</f>
        <v/>
      </c>
      <c r="G285" s="173" t="str">
        <f aca="false">IF(INDEX(Salary_Calculation[Source Row],ROW()-ROW(Payslip_Lookup[#Headers]))="","",INDEX(Salary_Calculation[Calendar Days],ROW()-ROW(Payslip_Lookup[#Headers])))</f>
        <v/>
      </c>
      <c r="H285" s="174" t="str">
        <f aca="false">IF(INDEX(Salary_Calculation[Source Row],ROW()-ROW(Payslip_Lookup[#Headers]))="","",INDEX(Salary_Calculation[Monthly Target Orders],ROW()-ROW(Payslip_Lookup[#Headers])))</f>
        <v/>
      </c>
      <c r="I285" s="174" t="str">
        <f aca="false">IF(INDEX(Salary_Calculation[Source Row],ROW()-ROW(Payslip_Lookup[#Headers]))="","",INDEX(Salary_Calculation[Rider Target Orders],ROW()-ROW(Payslip_Lookup[#Headers])))</f>
        <v/>
      </c>
      <c r="J285" s="175" t="str">
        <f aca="false">IF(INDEX(Salary_Calculation[Source Row],ROW()-ROW(Payslip_Lookup[#Headers]))="","",INDEX(Salary_Calculation[Completed Orders],ROW()-ROW(Payslip_Lookup[#Headers])))</f>
        <v/>
      </c>
      <c r="K285" s="174" t="str">
        <f aca="false">IF(INDEX(Salary_Calculation[Source Row],ROW()-ROW(Payslip_Lookup[#Headers]))="","",INDEX(Salary_Calculation[Base Order Rate],ROW()-ROW(Payslip_Lookup[#Headers])))</f>
        <v/>
      </c>
      <c r="L285" s="176" t="str">
        <f aca="false">IF(INDEX(Salary_Calculation[Source Row],ROW()-ROW(Payslip_Lookup[#Headers]))="","",INDEX(Salary_Calculation[Basic Payment],ROW()-ROW(Payslip_Lookup[#Headers])))</f>
        <v/>
      </c>
      <c r="M285" s="176" t="str">
        <f aca="false">IF(INDEX(Salary_Calculation[Source Row],ROW()-ROW(Payslip_Lookup[#Headers]))="","",INDEX(Salary_Calculation[Earned Salary],ROW()-ROW(Payslip_Lookup[#Headers])))</f>
        <v/>
      </c>
      <c r="N285" s="174" t="str">
        <f aca="false">IF(INDEX(Salary_Calculation[Source Row],ROW()-ROW(Payslip_Lookup[#Headers]))="","",INDEX(Salary_Calculation[Orders Counted at Base Rate],ROW()-ROW(Payslip_Lookup[#Headers])))</f>
        <v/>
      </c>
      <c r="O285" s="174" t="str">
        <f aca="false">IF(INDEX(Salary_Calculation[Source Row],ROW()-ROW(Payslip_Lookup[#Headers]))="","",INDEX(Salary_Calculation[Missing Orders],ROW()-ROW(Payslip_Lookup[#Headers])))</f>
        <v/>
      </c>
      <c r="P285" s="176" t="str">
        <f aca="false">IF(INDEX(Salary_Calculation[Source Row],ROW()-ROW(Payslip_Lookup[#Headers]))="","",INDEX(Salary_Calculation[Missing-Order Deduction],ROW()-ROW(Payslip_Lookup[#Headers])))</f>
        <v/>
      </c>
      <c r="Q285" s="174" t="str">
        <f aca="false">IF(INDEX(Salary_Calculation[Source Row],ROW()-ROW(Payslip_Lookup[#Headers]))="","",INDEX(Salary_Calculation[Extra Orders],ROW()-ROW(Payslip_Lookup[#Headers])))</f>
        <v/>
      </c>
      <c r="R285" s="176" t="str">
        <f aca="false">IF(INDEX(Salary_Calculation[Source Row],ROW()-ROW(Payslip_Lookup[#Headers]))="","",INDEX(Salary_Calculation[Extra-Order Bonus],ROW()-ROW(Payslip_Lookup[#Headers])))</f>
        <v/>
      </c>
      <c r="S285" s="176" t="str">
        <f aca="false">IF(INDEX(Salary_Calculation[Source Row],ROW()-ROW(Payslip_Lookup[#Headers]))="","",INDEX(Salary_Calculation[Basic Salary for Target],ROW()-ROW(Payslip_Lookup[#Headers])))</f>
        <v/>
      </c>
      <c r="T285" s="176" t="str">
        <f aca="false">IF(INDEX(Salary_Calculation[Source Row],ROW()-ROW(Payslip_Lookup[#Headers]))="","",INDEX(Salary_Calculation[Gross Salary Before Deductions],ROW()-ROW(Payslip_Lookup[#Headers])))</f>
        <v/>
      </c>
      <c r="U285" s="176" t="str">
        <f aca="false">IF(INDEX(Salary_Calculation[Source Row],ROW()-ROW(Payslip_Lookup[#Headers]))="","",INDEX(Salary_Calculation[missed_days_penalty],ROW()-ROW(Payslip_Lookup[#Headers])))</f>
        <v/>
      </c>
      <c r="V285" s="176" t="str">
        <f aca="false">IF(INDEX(Salary_Calculation[Source Row],ROW()-ROW(Payslip_Lookup[#Headers]))="","",INDEX(Salary_Calculation[Rider Balance],ROW()-ROW(Payslip_Lookup[#Headers])))</f>
        <v/>
      </c>
      <c r="W285" s="176" t="str">
        <f aca="false">IF(INDEX(Salary_Calculation[Source Row],ROW()-ROW(Payslip_Lookup[#Headers]))="","",INDEX(Salary_Calculation[stacking_deduction],ROW()-ROW(Payslip_Lookup[#Headers])))</f>
        <v/>
      </c>
      <c r="X285" s="176" t="str">
        <f aca="false">IF(INDEX(Salary_Calculation[Source Row],ROW()-ROW(Payslip_Lookup[#Headers]))="","",INDEX(Salary_Calculation[Other Deductions],ROW()-ROW(Payslip_Lookup[#Headers])))</f>
        <v/>
      </c>
      <c r="Y285" s="176" t="str">
        <f aca="false">IF(INDEX(Salary_Calculation[Source Row],ROW()-ROW(Payslip_Lookup[#Headers]))="","",INDEX(Salary_Calculation[Total Deductions],ROW()-ROW(Payslip_Lookup[#Headers])))</f>
        <v/>
      </c>
      <c r="Z285" s="176" t="str">
        <f aca="false">IF(INDEX(Salary_Calculation[Source Row],ROW()-ROW(Payslip_Lookup[#Headers]))="","",INDEX(Salary_Calculation[Final Salary],ROW()-ROW(Payslip_Lookup[#Headers])))</f>
        <v/>
      </c>
      <c r="AA285" s="176" t="str">
        <f aca="false">IF(INDEX(Salary_Calculation[Source Row],ROW()-ROW(Payslip_Lookup[#Headers]))="","",INDEX(Salary_Calculation[Negative Balance / Amount Due from Rider],ROW()-ROW(Payslip_Lookup[#Headers])))</f>
        <v/>
      </c>
      <c r="AB285" s="176" t="str">
        <f aca="false">IF(INDEX(Salary_Calculation[Source Row],ROW()-ROW(Payslip_Lookup[#Headers]))="","",INDEX(Salary_Calculation[Total Amount Due from Rider],ROW()-ROW(Payslip_Lookup[#Headers])))</f>
        <v/>
      </c>
      <c r="AC285" s="176" t="str">
        <f aca="false">IF(INDEX(Salary_Calculation[Source Row],ROW()-ROW(Payslip_Lookup[#Headers]))="","",INDEX(Salary_Calculation[Salary Before Other Deductions],ROW()-ROW(Payslip_Lookup[#Headers])))</f>
        <v/>
      </c>
      <c r="AD285" s="171" t="str">
        <f aca="false">IF(INDEX(Salary_Calculation[Source Row],ROW()-ROW(Payslip_Lookup[#Headers]))="","",INDEX(Salary_Calculation[Payment Status],ROW()-ROW(Payslip_Lookup[#Headers])))</f>
        <v/>
      </c>
      <c r="AE285" s="171" t="str">
        <f aca="false">IF(INDEX(Salary_Calculation[Source Row],ROW()-ROW(Payslip_Lookup[#Headers]))="","",INDEX(Salary_Calculation[Notes],ROW()-ROW(Payslip_Lookup[#Headers])))</f>
        <v/>
      </c>
      <c r="AF285" s="171" t="str">
        <f aca="false">IF(INDEX(Salary_Calculation[Source Row],ROW()-ROW(Payslip_Lookup[#Headers]))="","",INDEX(Salary_Calculation[Exception Reason],ROW()-ROW(Payslip_Lookup[#Headers])))</f>
        <v/>
      </c>
      <c r="AG285" s="173" t="str">
        <f aca="false">IF($AD285="Review Required",COUNTIF(AD$2:AD285,"Review Required"),"")</f>
        <v/>
      </c>
      <c r="AH285" s="173" t="str">
        <f aca="false">IF(AND($D285&lt;&gt;"",$B285=Payslip_Print!$C$2),MAX(AH$1:AH284)+1,"")</f>
        <v/>
      </c>
      <c r="AL285" s="178" t="str">
        <f aca="false">IFERROR(INDEX($D$2:$D$501,MATCH(ROW()-1,$AH$2:$AH$501,0)),"")</f>
        <v/>
      </c>
      <c r="AM285" s="179" t="str">
        <f aca="false">IF($Z285="","",IF(AND($C285&gt;=Dash_Start,$C285&lt;Dash_End),$Z285+ROW()/10000000,""))</f>
        <v/>
      </c>
    </row>
    <row r="286" customFormat="false" ht="14.25" hidden="false" customHeight="false" outlineLevel="0" collapsed="false">
      <c r="A286" s="171" t="str">
        <f aca="false">IF(Payslip_Lookup[[#This Row],[Rider ID]]="","",Payslip_Lookup[[#This Row],[Rider ID]]&amp;"|"&amp;Payslip_Lookup[[#This Row],[Month Key]])</f>
        <v/>
      </c>
      <c r="B286" s="172" t="str">
        <f aca="false">IF(ISNUMBER(Payslip_Lookup[[#This Row],[Salary Month]]),DATE(YEAR(Payslip_Lookup[[#This Row],[Salary Month]]),MONTH(Payslip_Lookup[[#This Row],[Salary Month]]),1),"")</f>
        <v/>
      </c>
      <c r="C286" s="172" t="str">
        <f aca="false">IF(INDEX(Salary_Calculation[Source Row],ROW()-ROW(Payslip_Lookup[#Headers]))="","",INDEX(Salary_Calculation[Salary Month],ROW()-ROW(Payslip_Lookup[#Headers])))</f>
        <v/>
      </c>
      <c r="D286" s="173" t="str">
        <f aca="false">IF(INDEX(Salary_Calculation[Source Row],ROW()-ROW(Payslip_Lookup[#Headers]))="","",INDEX(Salary_Calculation[Rider ID],ROW()-ROW(Payslip_Lookup[#Headers])))</f>
        <v/>
      </c>
      <c r="E286" s="171" t="str">
        <f aca="false">IF(INDEX(Salary_Calculation[Source Row],ROW()-ROW(Payslip_Lookup[#Headers]))="","",INDEX(Salary_Calculation[Rider Name],ROW()-ROW(Payslip_Lookup[#Headers])))</f>
        <v/>
      </c>
      <c r="F286" s="173" t="str">
        <f aca="false">IF(INDEX(Salary_Calculation[Source Row],ROW()-ROW(Payslip_Lookup[#Headers]))="","",INDEX(Salary_Calculation[Working Days],ROW()-ROW(Payslip_Lookup[#Headers])))</f>
        <v/>
      </c>
      <c r="G286" s="173" t="str">
        <f aca="false">IF(INDEX(Salary_Calculation[Source Row],ROW()-ROW(Payslip_Lookup[#Headers]))="","",INDEX(Salary_Calculation[Calendar Days],ROW()-ROW(Payslip_Lookup[#Headers])))</f>
        <v/>
      </c>
      <c r="H286" s="174" t="str">
        <f aca="false">IF(INDEX(Salary_Calculation[Source Row],ROW()-ROW(Payslip_Lookup[#Headers]))="","",INDEX(Salary_Calculation[Monthly Target Orders],ROW()-ROW(Payslip_Lookup[#Headers])))</f>
        <v/>
      </c>
      <c r="I286" s="174" t="str">
        <f aca="false">IF(INDEX(Salary_Calculation[Source Row],ROW()-ROW(Payslip_Lookup[#Headers]))="","",INDEX(Salary_Calculation[Rider Target Orders],ROW()-ROW(Payslip_Lookup[#Headers])))</f>
        <v/>
      </c>
      <c r="J286" s="175" t="str">
        <f aca="false">IF(INDEX(Salary_Calculation[Source Row],ROW()-ROW(Payslip_Lookup[#Headers]))="","",INDEX(Salary_Calculation[Completed Orders],ROW()-ROW(Payslip_Lookup[#Headers])))</f>
        <v/>
      </c>
      <c r="K286" s="174" t="str">
        <f aca="false">IF(INDEX(Salary_Calculation[Source Row],ROW()-ROW(Payslip_Lookup[#Headers]))="","",INDEX(Salary_Calculation[Base Order Rate],ROW()-ROW(Payslip_Lookup[#Headers])))</f>
        <v/>
      </c>
      <c r="L286" s="176" t="str">
        <f aca="false">IF(INDEX(Salary_Calculation[Source Row],ROW()-ROW(Payslip_Lookup[#Headers]))="","",INDEX(Salary_Calculation[Basic Payment],ROW()-ROW(Payslip_Lookup[#Headers])))</f>
        <v/>
      </c>
      <c r="M286" s="176" t="str">
        <f aca="false">IF(INDEX(Salary_Calculation[Source Row],ROW()-ROW(Payslip_Lookup[#Headers]))="","",INDEX(Salary_Calculation[Earned Salary],ROW()-ROW(Payslip_Lookup[#Headers])))</f>
        <v/>
      </c>
      <c r="N286" s="174" t="str">
        <f aca="false">IF(INDEX(Salary_Calculation[Source Row],ROW()-ROW(Payslip_Lookup[#Headers]))="","",INDEX(Salary_Calculation[Orders Counted at Base Rate],ROW()-ROW(Payslip_Lookup[#Headers])))</f>
        <v/>
      </c>
      <c r="O286" s="174" t="str">
        <f aca="false">IF(INDEX(Salary_Calculation[Source Row],ROW()-ROW(Payslip_Lookup[#Headers]))="","",INDEX(Salary_Calculation[Missing Orders],ROW()-ROW(Payslip_Lookup[#Headers])))</f>
        <v/>
      </c>
      <c r="P286" s="176" t="str">
        <f aca="false">IF(INDEX(Salary_Calculation[Source Row],ROW()-ROW(Payslip_Lookup[#Headers]))="","",INDEX(Salary_Calculation[Missing-Order Deduction],ROW()-ROW(Payslip_Lookup[#Headers])))</f>
        <v/>
      </c>
      <c r="Q286" s="174" t="str">
        <f aca="false">IF(INDEX(Salary_Calculation[Source Row],ROW()-ROW(Payslip_Lookup[#Headers]))="","",INDEX(Salary_Calculation[Extra Orders],ROW()-ROW(Payslip_Lookup[#Headers])))</f>
        <v/>
      </c>
      <c r="R286" s="176" t="str">
        <f aca="false">IF(INDEX(Salary_Calculation[Source Row],ROW()-ROW(Payslip_Lookup[#Headers]))="","",INDEX(Salary_Calculation[Extra-Order Bonus],ROW()-ROW(Payslip_Lookup[#Headers])))</f>
        <v/>
      </c>
      <c r="S286" s="176" t="str">
        <f aca="false">IF(INDEX(Salary_Calculation[Source Row],ROW()-ROW(Payslip_Lookup[#Headers]))="","",INDEX(Salary_Calculation[Basic Salary for Target],ROW()-ROW(Payslip_Lookup[#Headers])))</f>
        <v/>
      </c>
      <c r="T286" s="176" t="str">
        <f aca="false">IF(INDEX(Salary_Calculation[Source Row],ROW()-ROW(Payslip_Lookup[#Headers]))="","",INDEX(Salary_Calculation[Gross Salary Before Deductions],ROW()-ROW(Payslip_Lookup[#Headers])))</f>
        <v/>
      </c>
      <c r="U286" s="176" t="str">
        <f aca="false">IF(INDEX(Salary_Calculation[Source Row],ROW()-ROW(Payslip_Lookup[#Headers]))="","",INDEX(Salary_Calculation[missed_days_penalty],ROW()-ROW(Payslip_Lookup[#Headers])))</f>
        <v/>
      </c>
      <c r="V286" s="176" t="str">
        <f aca="false">IF(INDEX(Salary_Calculation[Source Row],ROW()-ROW(Payslip_Lookup[#Headers]))="","",INDEX(Salary_Calculation[Rider Balance],ROW()-ROW(Payslip_Lookup[#Headers])))</f>
        <v/>
      </c>
      <c r="W286" s="176" t="str">
        <f aca="false">IF(INDEX(Salary_Calculation[Source Row],ROW()-ROW(Payslip_Lookup[#Headers]))="","",INDEX(Salary_Calculation[stacking_deduction],ROW()-ROW(Payslip_Lookup[#Headers])))</f>
        <v/>
      </c>
      <c r="X286" s="176" t="str">
        <f aca="false">IF(INDEX(Salary_Calculation[Source Row],ROW()-ROW(Payslip_Lookup[#Headers]))="","",INDEX(Salary_Calculation[Other Deductions],ROW()-ROW(Payslip_Lookup[#Headers])))</f>
        <v/>
      </c>
      <c r="Y286" s="176" t="str">
        <f aca="false">IF(INDEX(Salary_Calculation[Source Row],ROW()-ROW(Payslip_Lookup[#Headers]))="","",INDEX(Salary_Calculation[Total Deductions],ROW()-ROW(Payslip_Lookup[#Headers])))</f>
        <v/>
      </c>
      <c r="Z286" s="176" t="str">
        <f aca="false">IF(INDEX(Salary_Calculation[Source Row],ROW()-ROW(Payslip_Lookup[#Headers]))="","",INDEX(Salary_Calculation[Final Salary],ROW()-ROW(Payslip_Lookup[#Headers])))</f>
        <v/>
      </c>
      <c r="AA286" s="176" t="str">
        <f aca="false">IF(INDEX(Salary_Calculation[Source Row],ROW()-ROW(Payslip_Lookup[#Headers]))="","",INDEX(Salary_Calculation[Negative Balance / Amount Due from Rider],ROW()-ROW(Payslip_Lookup[#Headers])))</f>
        <v/>
      </c>
      <c r="AB286" s="176" t="str">
        <f aca="false">IF(INDEX(Salary_Calculation[Source Row],ROW()-ROW(Payslip_Lookup[#Headers]))="","",INDEX(Salary_Calculation[Total Amount Due from Rider],ROW()-ROW(Payslip_Lookup[#Headers])))</f>
        <v/>
      </c>
      <c r="AC286" s="176" t="str">
        <f aca="false">IF(INDEX(Salary_Calculation[Source Row],ROW()-ROW(Payslip_Lookup[#Headers]))="","",INDEX(Salary_Calculation[Salary Before Other Deductions],ROW()-ROW(Payslip_Lookup[#Headers])))</f>
        <v/>
      </c>
      <c r="AD286" s="171" t="str">
        <f aca="false">IF(INDEX(Salary_Calculation[Source Row],ROW()-ROW(Payslip_Lookup[#Headers]))="","",INDEX(Salary_Calculation[Payment Status],ROW()-ROW(Payslip_Lookup[#Headers])))</f>
        <v/>
      </c>
      <c r="AE286" s="171" t="str">
        <f aca="false">IF(INDEX(Salary_Calculation[Source Row],ROW()-ROW(Payslip_Lookup[#Headers]))="","",INDEX(Salary_Calculation[Notes],ROW()-ROW(Payslip_Lookup[#Headers])))</f>
        <v/>
      </c>
      <c r="AF286" s="171" t="str">
        <f aca="false">IF(INDEX(Salary_Calculation[Source Row],ROW()-ROW(Payslip_Lookup[#Headers]))="","",INDEX(Salary_Calculation[Exception Reason],ROW()-ROW(Payslip_Lookup[#Headers])))</f>
        <v/>
      </c>
      <c r="AG286" s="173" t="str">
        <f aca="false">IF($AD286="Review Required",COUNTIF(AD$2:AD286,"Review Required"),"")</f>
        <v/>
      </c>
      <c r="AH286" s="173" t="str">
        <f aca="false">IF(AND($D286&lt;&gt;"",$B286=Payslip_Print!$C$2),MAX(AH$1:AH285)+1,"")</f>
        <v/>
      </c>
      <c r="AL286" s="178" t="str">
        <f aca="false">IFERROR(INDEX($D$2:$D$501,MATCH(ROW()-1,$AH$2:$AH$501,0)),"")</f>
        <v/>
      </c>
      <c r="AM286" s="179" t="str">
        <f aca="false">IF($Z286="","",IF(AND($C286&gt;=Dash_Start,$C286&lt;Dash_End),$Z286+ROW()/10000000,""))</f>
        <v/>
      </c>
    </row>
    <row r="287" customFormat="false" ht="14.25" hidden="false" customHeight="false" outlineLevel="0" collapsed="false">
      <c r="A287" s="171" t="str">
        <f aca="false">IF(Payslip_Lookup[[#This Row],[Rider ID]]="","",Payslip_Lookup[[#This Row],[Rider ID]]&amp;"|"&amp;Payslip_Lookup[[#This Row],[Month Key]])</f>
        <v/>
      </c>
      <c r="B287" s="172" t="str">
        <f aca="false">IF(ISNUMBER(Payslip_Lookup[[#This Row],[Salary Month]]),DATE(YEAR(Payslip_Lookup[[#This Row],[Salary Month]]),MONTH(Payslip_Lookup[[#This Row],[Salary Month]]),1),"")</f>
        <v/>
      </c>
      <c r="C287" s="172" t="str">
        <f aca="false">IF(INDEX(Salary_Calculation[Source Row],ROW()-ROW(Payslip_Lookup[#Headers]))="","",INDEX(Salary_Calculation[Salary Month],ROW()-ROW(Payslip_Lookup[#Headers])))</f>
        <v/>
      </c>
      <c r="D287" s="173" t="str">
        <f aca="false">IF(INDEX(Salary_Calculation[Source Row],ROW()-ROW(Payslip_Lookup[#Headers]))="","",INDEX(Salary_Calculation[Rider ID],ROW()-ROW(Payslip_Lookup[#Headers])))</f>
        <v/>
      </c>
      <c r="E287" s="171" t="str">
        <f aca="false">IF(INDEX(Salary_Calculation[Source Row],ROW()-ROW(Payslip_Lookup[#Headers]))="","",INDEX(Salary_Calculation[Rider Name],ROW()-ROW(Payslip_Lookup[#Headers])))</f>
        <v/>
      </c>
      <c r="F287" s="173" t="str">
        <f aca="false">IF(INDEX(Salary_Calculation[Source Row],ROW()-ROW(Payslip_Lookup[#Headers]))="","",INDEX(Salary_Calculation[Working Days],ROW()-ROW(Payslip_Lookup[#Headers])))</f>
        <v/>
      </c>
      <c r="G287" s="173" t="str">
        <f aca="false">IF(INDEX(Salary_Calculation[Source Row],ROW()-ROW(Payslip_Lookup[#Headers]))="","",INDEX(Salary_Calculation[Calendar Days],ROW()-ROW(Payslip_Lookup[#Headers])))</f>
        <v/>
      </c>
      <c r="H287" s="174" t="str">
        <f aca="false">IF(INDEX(Salary_Calculation[Source Row],ROW()-ROW(Payslip_Lookup[#Headers]))="","",INDEX(Salary_Calculation[Monthly Target Orders],ROW()-ROW(Payslip_Lookup[#Headers])))</f>
        <v/>
      </c>
      <c r="I287" s="174" t="str">
        <f aca="false">IF(INDEX(Salary_Calculation[Source Row],ROW()-ROW(Payslip_Lookup[#Headers]))="","",INDEX(Salary_Calculation[Rider Target Orders],ROW()-ROW(Payslip_Lookup[#Headers])))</f>
        <v/>
      </c>
      <c r="J287" s="175" t="str">
        <f aca="false">IF(INDEX(Salary_Calculation[Source Row],ROW()-ROW(Payslip_Lookup[#Headers]))="","",INDEX(Salary_Calculation[Completed Orders],ROW()-ROW(Payslip_Lookup[#Headers])))</f>
        <v/>
      </c>
      <c r="K287" s="174" t="str">
        <f aca="false">IF(INDEX(Salary_Calculation[Source Row],ROW()-ROW(Payslip_Lookup[#Headers]))="","",INDEX(Salary_Calculation[Base Order Rate],ROW()-ROW(Payslip_Lookup[#Headers])))</f>
        <v/>
      </c>
      <c r="L287" s="176" t="str">
        <f aca="false">IF(INDEX(Salary_Calculation[Source Row],ROW()-ROW(Payslip_Lookup[#Headers]))="","",INDEX(Salary_Calculation[Basic Payment],ROW()-ROW(Payslip_Lookup[#Headers])))</f>
        <v/>
      </c>
      <c r="M287" s="176" t="str">
        <f aca="false">IF(INDEX(Salary_Calculation[Source Row],ROW()-ROW(Payslip_Lookup[#Headers]))="","",INDEX(Salary_Calculation[Earned Salary],ROW()-ROW(Payslip_Lookup[#Headers])))</f>
        <v/>
      </c>
      <c r="N287" s="174" t="str">
        <f aca="false">IF(INDEX(Salary_Calculation[Source Row],ROW()-ROW(Payslip_Lookup[#Headers]))="","",INDEX(Salary_Calculation[Orders Counted at Base Rate],ROW()-ROW(Payslip_Lookup[#Headers])))</f>
        <v/>
      </c>
      <c r="O287" s="174" t="str">
        <f aca="false">IF(INDEX(Salary_Calculation[Source Row],ROW()-ROW(Payslip_Lookup[#Headers]))="","",INDEX(Salary_Calculation[Missing Orders],ROW()-ROW(Payslip_Lookup[#Headers])))</f>
        <v/>
      </c>
      <c r="P287" s="176" t="str">
        <f aca="false">IF(INDEX(Salary_Calculation[Source Row],ROW()-ROW(Payslip_Lookup[#Headers]))="","",INDEX(Salary_Calculation[Missing-Order Deduction],ROW()-ROW(Payslip_Lookup[#Headers])))</f>
        <v/>
      </c>
      <c r="Q287" s="174" t="str">
        <f aca="false">IF(INDEX(Salary_Calculation[Source Row],ROW()-ROW(Payslip_Lookup[#Headers]))="","",INDEX(Salary_Calculation[Extra Orders],ROW()-ROW(Payslip_Lookup[#Headers])))</f>
        <v/>
      </c>
      <c r="R287" s="176" t="str">
        <f aca="false">IF(INDEX(Salary_Calculation[Source Row],ROW()-ROW(Payslip_Lookup[#Headers]))="","",INDEX(Salary_Calculation[Extra-Order Bonus],ROW()-ROW(Payslip_Lookup[#Headers])))</f>
        <v/>
      </c>
      <c r="S287" s="176" t="str">
        <f aca="false">IF(INDEX(Salary_Calculation[Source Row],ROW()-ROW(Payslip_Lookup[#Headers]))="","",INDEX(Salary_Calculation[Basic Salary for Target],ROW()-ROW(Payslip_Lookup[#Headers])))</f>
        <v/>
      </c>
      <c r="T287" s="176" t="str">
        <f aca="false">IF(INDEX(Salary_Calculation[Source Row],ROW()-ROW(Payslip_Lookup[#Headers]))="","",INDEX(Salary_Calculation[Gross Salary Before Deductions],ROW()-ROW(Payslip_Lookup[#Headers])))</f>
        <v/>
      </c>
      <c r="U287" s="176" t="str">
        <f aca="false">IF(INDEX(Salary_Calculation[Source Row],ROW()-ROW(Payslip_Lookup[#Headers]))="","",INDEX(Salary_Calculation[missed_days_penalty],ROW()-ROW(Payslip_Lookup[#Headers])))</f>
        <v/>
      </c>
      <c r="V287" s="176" t="str">
        <f aca="false">IF(INDEX(Salary_Calculation[Source Row],ROW()-ROW(Payslip_Lookup[#Headers]))="","",INDEX(Salary_Calculation[Rider Balance],ROW()-ROW(Payslip_Lookup[#Headers])))</f>
        <v/>
      </c>
      <c r="W287" s="176" t="str">
        <f aca="false">IF(INDEX(Salary_Calculation[Source Row],ROW()-ROW(Payslip_Lookup[#Headers]))="","",INDEX(Salary_Calculation[stacking_deduction],ROW()-ROW(Payslip_Lookup[#Headers])))</f>
        <v/>
      </c>
      <c r="X287" s="176" t="str">
        <f aca="false">IF(INDEX(Salary_Calculation[Source Row],ROW()-ROW(Payslip_Lookup[#Headers]))="","",INDEX(Salary_Calculation[Other Deductions],ROW()-ROW(Payslip_Lookup[#Headers])))</f>
        <v/>
      </c>
      <c r="Y287" s="176" t="str">
        <f aca="false">IF(INDEX(Salary_Calculation[Source Row],ROW()-ROW(Payslip_Lookup[#Headers]))="","",INDEX(Salary_Calculation[Total Deductions],ROW()-ROW(Payslip_Lookup[#Headers])))</f>
        <v/>
      </c>
      <c r="Z287" s="176" t="str">
        <f aca="false">IF(INDEX(Salary_Calculation[Source Row],ROW()-ROW(Payslip_Lookup[#Headers]))="","",INDEX(Salary_Calculation[Final Salary],ROW()-ROW(Payslip_Lookup[#Headers])))</f>
        <v/>
      </c>
      <c r="AA287" s="176" t="str">
        <f aca="false">IF(INDEX(Salary_Calculation[Source Row],ROW()-ROW(Payslip_Lookup[#Headers]))="","",INDEX(Salary_Calculation[Negative Balance / Amount Due from Rider],ROW()-ROW(Payslip_Lookup[#Headers])))</f>
        <v/>
      </c>
      <c r="AB287" s="176" t="str">
        <f aca="false">IF(INDEX(Salary_Calculation[Source Row],ROW()-ROW(Payslip_Lookup[#Headers]))="","",INDEX(Salary_Calculation[Total Amount Due from Rider],ROW()-ROW(Payslip_Lookup[#Headers])))</f>
        <v/>
      </c>
      <c r="AC287" s="176" t="str">
        <f aca="false">IF(INDEX(Salary_Calculation[Source Row],ROW()-ROW(Payslip_Lookup[#Headers]))="","",INDEX(Salary_Calculation[Salary Before Other Deductions],ROW()-ROW(Payslip_Lookup[#Headers])))</f>
        <v/>
      </c>
      <c r="AD287" s="171" t="str">
        <f aca="false">IF(INDEX(Salary_Calculation[Source Row],ROW()-ROW(Payslip_Lookup[#Headers]))="","",INDEX(Salary_Calculation[Payment Status],ROW()-ROW(Payslip_Lookup[#Headers])))</f>
        <v/>
      </c>
      <c r="AE287" s="171" t="str">
        <f aca="false">IF(INDEX(Salary_Calculation[Source Row],ROW()-ROW(Payslip_Lookup[#Headers]))="","",INDEX(Salary_Calculation[Notes],ROW()-ROW(Payslip_Lookup[#Headers])))</f>
        <v/>
      </c>
      <c r="AF287" s="171" t="str">
        <f aca="false">IF(INDEX(Salary_Calculation[Source Row],ROW()-ROW(Payslip_Lookup[#Headers]))="","",INDEX(Salary_Calculation[Exception Reason],ROW()-ROW(Payslip_Lookup[#Headers])))</f>
        <v/>
      </c>
      <c r="AG287" s="173" t="str">
        <f aca="false">IF($AD287="Review Required",COUNTIF(AD$2:AD287,"Review Required"),"")</f>
        <v/>
      </c>
      <c r="AH287" s="173" t="str">
        <f aca="false">IF(AND($D287&lt;&gt;"",$B287=Payslip_Print!$C$2),MAX(AH$1:AH286)+1,"")</f>
        <v/>
      </c>
      <c r="AL287" s="178" t="str">
        <f aca="false">IFERROR(INDEX($D$2:$D$501,MATCH(ROW()-1,$AH$2:$AH$501,0)),"")</f>
        <v/>
      </c>
      <c r="AM287" s="179" t="str">
        <f aca="false">IF($Z287="","",IF(AND($C287&gt;=Dash_Start,$C287&lt;Dash_End),$Z287+ROW()/10000000,""))</f>
        <v/>
      </c>
    </row>
    <row r="288" customFormat="false" ht="14.25" hidden="false" customHeight="false" outlineLevel="0" collapsed="false">
      <c r="A288" s="171" t="str">
        <f aca="false">IF(Payslip_Lookup[[#This Row],[Rider ID]]="","",Payslip_Lookup[[#This Row],[Rider ID]]&amp;"|"&amp;Payslip_Lookup[[#This Row],[Month Key]])</f>
        <v/>
      </c>
      <c r="B288" s="172" t="str">
        <f aca="false">IF(ISNUMBER(Payslip_Lookup[[#This Row],[Salary Month]]),DATE(YEAR(Payslip_Lookup[[#This Row],[Salary Month]]),MONTH(Payslip_Lookup[[#This Row],[Salary Month]]),1),"")</f>
        <v/>
      </c>
      <c r="C288" s="172" t="str">
        <f aca="false">IF(INDEX(Salary_Calculation[Source Row],ROW()-ROW(Payslip_Lookup[#Headers]))="","",INDEX(Salary_Calculation[Salary Month],ROW()-ROW(Payslip_Lookup[#Headers])))</f>
        <v/>
      </c>
      <c r="D288" s="173" t="str">
        <f aca="false">IF(INDEX(Salary_Calculation[Source Row],ROW()-ROW(Payslip_Lookup[#Headers]))="","",INDEX(Salary_Calculation[Rider ID],ROW()-ROW(Payslip_Lookup[#Headers])))</f>
        <v/>
      </c>
      <c r="E288" s="171" t="str">
        <f aca="false">IF(INDEX(Salary_Calculation[Source Row],ROW()-ROW(Payslip_Lookup[#Headers]))="","",INDEX(Salary_Calculation[Rider Name],ROW()-ROW(Payslip_Lookup[#Headers])))</f>
        <v/>
      </c>
      <c r="F288" s="173" t="str">
        <f aca="false">IF(INDEX(Salary_Calculation[Source Row],ROW()-ROW(Payslip_Lookup[#Headers]))="","",INDEX(Salary_Calculation[Working Days],ROW()-ROW(Payslip_Lookup[#Headers])))</f>
        <v/>
      </c>
      <c r="G288" s="173" t="str">
        <f aca="false">IF(INDEX(Salary_Calculation[Source Row],ROW()-ROW(Payslip_Lookup[#Headers]))="","",INDEX(Salary_Calculation[Calendar Days],ROW()-ROW(Payslip_Lookup[#Headers])))</f>
        <v/>
      </c>
      <c r="H288" s="174" t="str">
        <f aca="false">IF(INDEX(Salary_Calculation[Source Row],ROW()-ROW(Payslip_Lookup[#Headers]))="","",INDEX(Salary_Calculation[Monthly Target Orders],ROW()-ROW(Payslip_Lookup[#Headers])))</f>
        <v/>
      </c>
      <c r="I288" s="174" t="str">
        <f aca="false">IF(INDEX(Salary_Calculation[Source Row],ROW()-ROW(Payslip_Lookup[#Headers]))="","",INDEX(Salary_Calculation[Rider Target Orders],ROW()-ROW(Payslip_Lookup[#Headers])))</f>
        <v/>
      </c>
      <c r="J288" s="175" t="str">
        <f aca="false">IF(INDEX(Salary_Calculation[Source Row],ROW()-ROW(Payslip_Lookup[#Headers]))="","",INDEX(Salary_Calculation[Completed Orders],ROW()-ROW(Payslip_Lookup[#Headers])))</f>
        <v/>
      </c>
      <c r="K288" s="174" t="str">
        <f aca="false">IF(INDEX(Salary_Calculation[Source Row],ROW()-ROW(Payslip_Lookup[#Headers]))="","",INDEX(Salary_Calculation[Base Order Rate],ROW()-ROW(Payslip_Lookup[#Headers])))</f>
        <v/>
      </c>
      <c r="L288" s="176" t="str">
        <f aca="false">IF(INDEX(Salary_Calculation[Source Row],ROW()-ROW(Payslip_Lookup[#Headers]))="","",INDEX(Salary_Calculation[Basic Payment],ROW()-ROW(Payslip_Lookup[#Headers])))</f>
        <v/>
      </c>
      <c r="M288" s="176" t="str">
        <f aca="false">IF(INDEX(Salary_Calculation[Source Row],ROW()-ROW(Payslip_Lookup[#Headers]))="","",INDEX(Salary_Calculation[Earned Salary],ROW()-ROW(Payslip_Lookup[#Headers])))</f>
        <v/>
      </c>
      <c r="N288" s="174" t="str">
        <f aca="false">IF(INDEX(Salary_Calculation[Source Row],ROW()-ROW(Payslip_Lookup[#Headers]))="","",INDEX(Salary_Calculation[Orders Counted at Base Rate],ROW()-ROW(Payslip_Lookup[#Headers])))</f>
        <v/>
      </c>
      <c r="O288" s="174" t="str">
        <f aca="false">IF(INDEX(Salary_Calculation[Source Row],ROW()-ROW(Payslip_Lookup[#Headers]))="","",INDEX(Salary_Calculation[Missing Orders],ROW()-ROW(Payslip_Lookup[#Headers])))</f>
        <v/>
      </c>
      <c r="P288" s="176" t="str">
        <f aca="false">IF(INDEX(Salary_Calculation[Source Row],ROW()-ROW(Payslip_Lookup[#Headers]))="","",INDEX(Salary_Calculation[Missing-Order Deduction],ROW()-ROW(Payslip_Lookup[#Headers])))</f>
        <v/>
      </c>
      <c r="Q288" s="174" t="str">
        <f aca="false">IF(INDEX(Salary_Calculation[Source Row],ROW()-ROW(Payslip_Lookup[#Headers]))="","",INDEX(Salary_Calculation[Extra Orders],ROW()-ROW(Payslip_Lookup[#Headers])))</f>
        <v/>
      </c>
      <c r="R288" s="176" t="str">
        <f aca="false">IF(INDEX(Salary_Calculation[Source Row],ROW()-ROW(Payslip_Lookup[#Headers]))="","",INDEX(Salary_Calculation[Extra-Order Bonus],ROW()-ROW(Payslip_Lookup[#Headers])))</f>
        <v/>
      </c>
      <c r="S288" s="176" t="str">
        <f aca="false">IF(INDEX(Salary_Calculation[Source Row],ROW()-ROW(Payslip_Lookup[#Headers]))="","",INDEX(Salary_Calculation[Basic Salary for Target],ROW()-ROW(Payslip_Lookup[#Headers])))</f>
        <v/>
      </c>
      <c r="T288" s="176" t="str">
        <f aca="false">IF(INDEX(Salary_Calculation[Source Row],ROW()-ROW(Payslip_Lookup[#Headers]))="","",INDEX(Salary_Calculation[Gross Salary Before Deductions],ROW()-ROW(Payslip_Lookup[#Headers])))</f>
        <v/>
      </c>
      <c r="U288" s="176" t="str">
        <f aca="false">IF(INDEX(Salary_Calculation[Source Row],ROW()-ROW(Payslip_Lookup[#Headers]))="","",INDEX(Salary_Calculation[missed_days_penalty],ROW()-ROW(Payslip_Lookup[#Headers])))</f>
        <v/>
      </c>
      <c r="V288" s="176" t="str">
        <f aca="false">IF(INDEX(Salary_Calculation[Source Row],ROW()-ROW(Payslip_Lookup[#Headers]))="","",INDEX(Salary_Calculation[Rider Balance],ROW()-ROW(Payslip_Lookup[#Headers])))</f>
        <v/>
      </c>
      <c r="W288" s="176" t="str">
        <f aca="false">IF(INDEX(Salary_Calculation[Source Row],ROW()-ROW(Payslip_Lookup[#Headers]))="","",INDEX(Salary_Calculation[stacking_deduction],ROW()-ROW(Payslip_Lookup[#Headers])))</f>
        <v/>
      </c>
      <c r="X288" s="176" t="str">
        <f aca="false">IF(INDEX(Salary_Calculation[Source Row],ROW()-ROW(Payslip_Lookup[#Headers]))="","",INDEX(Salary_Calculation[Other Deductions],ROW()-ROW(Payslip_Lookup[#Headers])))</f>
        <v/>
      </c>
      <c r="Y288" s="176" t="str">
        <f aca="false">IF(INDEX(Salary_Calculation[Source Row],ROW()-ROW(Payslip_Lookup[#Headers]))="","",INDEX(Salary_Calculation[Total Deductions],ROW()-ROW(Payslip_Lookup[#Headers])))</f>
        <v/>
      </c>
      <c r="Z288" s="176" t="str">
        <f aca="false">IF(INDEX(Salary_Calculation[Source Row],ROW()-ROW(Payslip_Lookup[#Headers]))="","",INDEX(Salary_Calculation[Final Salary],ROW()-ROW(Payslip_Lookup[#Headers])))</f>
        <v/>
      </c>
      <c r="AA288" s="176" t="str">
        <f aca="false">IF(INDEX(Salary_Calculation[Source Row],ROW()-ROW(Payslip_Lookup[#Headers]))="","",INDEX(Salary_Calculation[Negative Balance / Amount Due from Rider],ROW()-ROW(Payslip_Lookup[#Headers])))</f>
        <v/>
      </c>
      <c r="AB288" s="176" t="str">
        <f aca="false">IF(INDEX(Salary_Calculation[Source Row],ROW()-ROW(Payslip_Lookup[#Headers]))="","",INDEX(Salary_Calculation[Total Amount Due from Rider],ROW()-ROW(Payslip_Lookup[#Headers])))</f>
        <v/>
      </c>
      <c r="AC288" s="176" t="str">
        <f aca="false">IF(INDEX(Salary_Calculation[Source Row],ROW()-ROW(Payslip_Lookup[#Headers]))="","",INDEX(Salary_Calculation[Salary Before Other Deductions],ROW()-ROW(Payslip_Lookup[#Headers])))</f>
        <v/>
      </c>
      <c r="AD288" s="171" t="str">
        <f aca="false">IF(INDEX(Salary_Calculation[Source Row],ROW()-ROW(Payslip_Lookup[#Headers]))="","",INDEX(Salary_Calculation[Payment Status],ROW()-ROW(Payslip_Lookup[#Headers])))</f>
        <v/>
      </c>
      <c r="AE288" s="171" t="str">
        <f aca="false">IF(INDEX(Salary_Calculation[Source Row],ROW()-ROW(Payslip_Lookup[#Headers]))="","",INDEX(Salary_Calculation[Notes],ROW()-ROW(Payslip_Lookup[#Headers])))</f>
        <v/>
      </c>
      <c r="AF288" s="171" t="str">
        <f aca="false">IF(INDEX(Salary_Calculation[Source Row],ROW()-ROW(Payslip_Lookup[#Headers]))="","",INDEX(Salary_Calculation[Exception Reason],ROW()-ROW(Payslip_Lookup[#Headers])))</f>
        <v/>
      </c>
      <c r="AG288" s="173" t="str">
        <f aca="false">IF($AD288="Review Required",COUNTIF(AD$2:AD288,"Review Required"),"")</f>
        <v/>
      </c>
      <c r="AH288" s="173" t="str">
        <f aca="false">IF(AND($D288&lt;&gt;"",$B288=Payslip_Print!$C$2),MAX(AH$1:AH287)+1,"")</f>
        <v/>
      </c>
      <c r="AL288" s="178" t="str">
        <f aca="false">IFERROR(INDEX($D$2:$D$501,MATCH(ROW()-1,$AH$2:$AH$501,0)),"")</f>
        <v/>
      </c>
      <c r="AM288" s="179" t="str">
        <f aca="false">IF($Z288="","",IF(AND($C288&gt;=Dash_Start,$C288&lt;Dash_End),$Z288+ROW()/10000000,""))</f>
        <v/>
      </c>
    </row>
    <row r="289" customFormat="false" ht="14.25" hidden="false" customHeight="false" outlineLevel="0" collapsed="false">
      <c r="A289" s="171" t="str">
        <f aca="false">IF(Payslip_Lookup[[#This Row],[Rider ID]]="","",Payslip_Lookup[[#This Row],[Rider ID]]&amp;"|"&amp;Payslip_Lookup[[#This Row],[Month Key]])</f>
        <v/>
      </c>
      <c r="B289" s="172" t="str">
        <f aca="false">IF(ISNUMBER(Payslip_Lookup[[#This Row],[Salary Month]]),DATE(YEAR(Payslip_Lookup[[#This Row],[Salary Month]]),MONTH(Payslip_Lookup[[#This Row],[Salary Month]]),1),"")</f>
        <v/>
      </c>
      <c r="C289" s="172" t="str">
        <f aca="false">IF(INDEX(Salary_Calculation[Source Row],ROW()-ROW(Payslip_Lookup[#Headers]))="","",INDEX(Salary_Calculation[Salary Month],ROW()-ROW(Payslip_Lookup[#Headers])))</f>
        <v/>
      </c>
      <c r="D289" s="173" t="str">
        <f aca="false">IF(INDEX(Salary_Calculation[Source Row],ROW()-ROW(Payslip_Lookup[#Headers]))="","",INDEX(Salary_Calculation[Rider ID],ROW()-ROW(Payslip_Lookup[#Headers])))</f>
        <v/>
      </c>
      <c r="E289" s="171" t="str">
        <f aca="false">IF(INDEX(Salary_Calculation[Source Row],ROW()-ROW(Payslip_Lookup[#Headers]))="","",INDEX(Salary_Calculation[Rider Name],ROW()-ROW(Payslip_Lookup[#Headers])))</f>
        <v/>
      </c>
      <c r="F289" s="173" t="str">
        <f aca="false">IF(INDEX(Salary_Calculation[Source Row],ROW()-ROW(Payslip_Lookup[#Headers]))="","",INDEX(Salary_Calculation[Working Days],ROW()-ROW(Payslip_Lookup[#Headers])))</f>
        <v/>
      </c>
      <c r="G289" s="173" t="str">
        <f aca="false">IF(INDEX(Salary_Calculation[Source Row],ROW()-ROW(Payslip_Lookup[#Headers]))="","",INDEX(Salary_Calculation[Calendar Days],ROW()-ROW(Payslip_Lookup[#Headers])))</f>
        <v/>
      </c>
      <c r="H289" s="174" t="str">
        <f aca="false">IF(INDEX(Salary_Calculation[Source Row],ROW()-ROW(Payslip_Lookup[#Headers]))="","",INDEX(Salary_Calculation[Monthly Target Orders],ROW()-ROW(Payslip_Lookup[#Headers])))</f>
        <v/>
      </c>
      <c r="I289" s="174" t="str">
        <f aca="false">IF(INDEX(Salary_Calculation[Source Row],ROW()-ROW(Payslip_Lookup[#Headers]))="","",INDEX(Salary_Calculation[Rider Target Orders],ROW()-ROW(Payslip_Lookup[#Headers])))</f>
        <v/>
      </c>
      <c r="J289" s="175" t="str">
        <f aca="false">IF(INDEX(Salary_Calculation[Source Row],ROW()-ROW(Payslip_Lookup[#Headers]))="","",INDEX(Salary_Calculation[Completed Orders],ROW()-ROW(Payslip_Lookup[#Headers])))</f>
        <v/>
      </c>
      <c r="K289" s="174" t="str">
        <f aca="false">IF(INDEX(Salary_Calculation[Source Row],ROW()-ROW(Payslip_Lookup[#Headers]))="","",INDEX(Salary_Calculation[Base Order Rate],ROW()-ROW(Payslip_Lookup[#Headers])))</f>
        <v/>
      </c>
      <c r="L289" s="176" t="str">
        <f aca="false">IF(INDEX(Salary_Calculation[Source Row],ROW()-ROW(Payslip_Lookup[#Headers]))="","",INDEX(Salary_Calculation[Basic Payment],ROW()-ROW(Payslip_Lookup[#Headers])))</f>
        <v/>
      </c>
      <c r="M289" s="176" t="str">
        <f aca="false">IF(INDEX(Salary_Calculation[Source Row],ROW()-ROW(Payslip_Lookup[#Headers]))="","",INDEX(Salary_Calculation[Earned Salary],ROW()-ROW(Payslip_Lookup[#Headers])))</f>
        <v/>
      </c>
      <c r="N289" s="174" t="str">
        <f aca="false">IF(INDEX(Salary_Calculation[Source Row],ROW()-ROW(Payslip_Lookup[#Headers]))="","",INDEX(Salary_Calculation[Orders Counted at Base Rate],ROW()-ROW(Payslip_Lookup[#Headers])))</f>
        <v/>
      </c>
      <c r="O289" s="174" t="str">
        <f aca="false">IF(INDEX(Salary_Calculation[Source Row],ROW()-ROW(Payslip_Lookup[#Headers]))="","",INDEX(Salary_Calculation[Missing Orders],ROW()-ROW(Payslip_Lookup[#Headers])))</f>
        <v/>
      </c>
      <c r="P289" s="176" t="str">
        <f aca="false">IF(INDEX(Salary_Calculation[Source Row],ROW()-ROW(Payslip_Lookup[#Headers]))="","",INDEX(Salary_Calculation[Missing-Order Deduction],ROW()-ROW(Payslip_Lookup[#Headers])))</f>
        <v/>
      </c>
      <c r="Q289" s="174" t="str">
        <f aca="false">IF(INDEX(Salary_Calculation[Source Row],ROW()-ROW(Payslip_Lookup[#Headers]))="","",INDEX(Salary_Calculation[Extra Orders],ROW()-ROW(Payslip_Lookup[#Headers])))</f>
        <v/>
      </c>
      <c r="R289" s="176" t="str">
        <f aca="false">IF(INDEX(Salary_Calculation[Source Row],ROW()-ROW(Payslip_Lookup[#Headers]))="","",INDEX(Salary_Calculation[Extra-Order Bonus],ROW()-ROW(Payslip_Lookup[#Headers])))</f>
        <v/>
      </c>
      <c r="S289" s="176" t="str">
        <f aca="false">IF(INDEX(Salary_Calculation[Source Row],ROW()-ROW(Payslip_Lookup[#Headers]))="","",INDEX(Salary_Calculation[Basic Salary for Target],ROW()-ROW(Payslip_Lookup[#Headers])))</f>
        <v/>
      </c>
      <c r="T289" s="176" t="str">
        <f aca="false">IF(INDEX(Salary_Calculation[Source Row],ROW()-ROW(Payslip_Lookup[#Headers]))="","",INDEX(Salary_Calculation[Gross Salary Before Deductions],ROW()-ROW(Payslip_Lookup[#Headers])))</f>
        <v/>
      </c>
      <c r="U289" s="176" t="str">
        <f aca="false">IF(INDEX(Salary_Calculation[Source Row],ROW()-ROW(Payslip_Lookup[#Headers]))="","",INDEX(Salary_Calculation[missed_days_penalty],ROW()-ROW(Payslip_Lookup[#Headers])))</f>
        <v/>
      </c>
      <c r="V289" s="176" t="str">
        <f aca="false">IF(INDEX(Salary_Calculation[Source Row],ROW()-ROW(Payslip_Lookup[#Headers]))="","",INDEX(Salary_Calculation[Rider Balance],ROW()-ROW(Payslip_Lookup[#Headers])))</f>
        <v/>
      </c>
      <c r="W289" s="176" t="str">
        <f aca="false">IF(INDEX(Salary_Calculation[Source Row],ROW()-ROW(Payslip_Lookup[#Headers]))="","",INDEX(Salary_Calculation[stacking_deduction],ROW()-ROW(Payslip_Lookup[#Headers])))</f>
        <v/>
      </c>
      <c r="X289" s="176" t="str">
        <f aca="false">IF(INDEX(Salary_Calculation[Source Row],ROW()-ROW(Payslip_Lookup[#Headers]))="","",INDEX(Salary_Calculation[Other Deductions],ROW()-ROW(Payslip_Lookup[#Headers])))</f>
        <v/>
      </c>
      <c r="Y289" s="176" t="str">
        <f aca="false">IF(INDEX(Salary_Calculation[Source Row],ROW()-ROW(Payslip_Lookup[#Headers]))="","",INDEX(Salary_Calculation[Total Deductions],ROW()-ROW(Payslip_Lookup[#Headers])))</f>
        <v/>
      </c>
      <c r="Z289" s="176" t="str">
        <f aca="false">IF(INDEX(Salary_Calculation[Source Row],ROW()-ROW(Payslip_Lookup[#Headers]))="","",INDEX(Salary_Calculation[Final Salary],ROW()-ROW(Payslip_Lookup[#Headers])))</f>
        <v/>
      </c>
      <c r="AA289" s="176" t="str">
        <f aca="false">IF(INDEX(Salary_Calculation[Source Row],ROW()-ROW(Payslip_Lookup[#Headers]))="","",INDEX(Salary_Calculation[Negative Balance / Amount Due from Rider],ROW()-ROW(Payslip_Lookup[#Headers])))</f>
        <v/>
      </c>
      <c r="AB289" s="176" t="str">
        <f aca="false">IF(INDEX(Salary_Calculation[Source Row],ROW()-ROW(Payslip_Lookup[#Headers]))="","",INDEX(Salary_Calculation[Total Amount Due from Rider],ROW()-ROW(Payslip_Lookup[#Headers])))</f>
        <v/>
      </c>
      <c r="AC289" s="176" t="str">
        <f aca="false">IF(INDEX(Salary_Calculation[Source Row],ROW()-ROW(Payslip_Lookup[#Headers]))="","",INDEX(Salary_Calculation[Salary Before Other Deductions],ROW()-ROW(Payslip_Lookup[#Headers])))</f>
        <v/>
      </c>
      <c r="AD289" s="171" t="str">
        <f aca="false">IF(INDEX(Salary_Calculation[Source Row],ROW()-ROW(Payslip_Lookup[#Headers]))="","",INDEX(Salary_Calculation[Payment Status],ROW()-ROW(Payslip_Lookup[#Headers])))</f>
        <v/>
      </c>
      <c r="AE289" s="171" t="str">
        <f aca="false">IF(INDEX(Salary_Calculation[Source Row],ROW()-ROW(Payslip_Lookup[#Headers]))="","",INDEX(Salary_Calculation[Notes],ROW()-ROW(Payslip_Lookup[#Headers])))</f>
        <v/>
      </c>
      <c r="AF289" s="171" t="str">
        <f aca="false">IF(INDEX(Salary_Calculation[Source Row],ROW()-ROW(Payslip_Lookup[#Headers]))="","",INDEX(Salary_Calculation[Exception Reason],ROW()-ROW(Payslip_Lookup[#Headers])))</f>
        <v/>
      </c>
      <c r="AG289" s="173" t="str">
        <f aca="false">IF($AD289="Review Required",COUNTIF(AD$2:AD289,"Review Required"),"")</f>
        <v/>
      </c>
      <c r="AH289" s="173" t="str">
        <f aca="false">IF(AND($D289&lt;&gt;"",$B289=Payslip_Print!$C$2),MAX(AH$1:AH288)+1,"")</f>
        <v/>
      </c>
      <c r="AL289" s="178" t="str">
        <f aca="false">IFERROR(INDEX($D$2:$D$501,MATCH(ROW()-1,$AH$2:$AH$501,0)),"")</f>
        <v/>
      </c>
      <c r="AM289" s="179" t="str">
        <f aca="false">IF($Z289="","",IF(AND($C289&gt;=Dash_Start,$C289&lt;Dash_End),$Z289+ROW()/10000000,""))</f>
        <v/>
      </c>
    </row>
    <row r="290" customFormat="false" ht="14.25" hidden="false" customHeight="false" outlineLevel="0" collapsed="false">
      <c r="A290" s="171" t="str">
        <f aca="false">IF(Payslip_Lookup[[#This Row],[Rider ID]]="","",Payslip_Lookup[[#This Row],[Rider ID]]&amp;"|"&amp;Payslip_Lookup[[#This Row],[Month Key]])</f>
        <v/>
      </c>
      <c r="B290" s="172" t="str">
        <f aca="false">IF(ISNUMBER(Payslip_Lookup[[#This Row],[Salary Month]]),DATE(YEAR(Payslip_Lookup[[#This Row],[Salary Month]]),MONTH(Payslip_Lookup[[#This Row],[Salary Month]]),1),"")</f>
        <v/>
      </c>
      <c r="C290" s="172" t="str">
        <f aca="false">IF(INDEX(Salary_Calculation[Source Row],ROW()-ROW(Payslip_Lookup[#Headers]))="","",INDEX(Salary_Calculation[Salary Month],ROW()-ROW(Payslip_Lookup[#Headers])))</f>
        <v/>
      </c>
      <c r="D290" s="173" t="str">
        <f aca="false">IF(INDEX(Salary_Calculation[Source Row],ROW()-ROW(Payslip_Lookup[#Headers]))="","",INDEX(Salary_Calculation[Rider ID],ROW()-ROW(Payslip_Lookup[#Headers])))</f>
        <v/>
      </c>
      <c r="E290" s="171" t="str">
        <f aca="false">IF(INDEX(Salary_Calculation[Source Row],ROW()-ROW(Payslip_Lookup[#Headers]))="","",INDEX(Salary_Calculation[Rider Name],ROW()-ROW(Payslip_Lookup[#Headers])))</f>
        <v/>
      </c>
      <c r="F290" s="173" t="str">
        <f aca="false">IF(INDEX(Salary_Calculation[Source Row],ROW()-ROW(Payslip_Lookup[#Headers]))="","",INDEX(Salary_Calculation[Working Days],ROW()-ROW(Payslip_Lookup[#Headers])))</f>
        <v/>
      </c>
      <c r="G290" s="173" t="str">
        <f aca="false">IF(INDEX(Salary_Calculation[Source Row],ROW()-ROW(Payslip_Lookup[#Headers]))="","",INDEX(Salary_Calculation[Calendar Days],ROW()-ROW(Payslip_Lookup[#Headers])))</f>
        <v/>
      </c>
      <c r="H290" s="174" t="str">
        <f aca="false">IF(INDEX(Salary_Calculation[Source Row],ROW()-ROW(Payslip_Lookup[#Headers]))="","",INDEX(Salary_Calculation[Monthly Target Orders],ROW()-ROW(Payslip_Lookup[#Headers])))</f>
        <v/>
      </c>
      <c r="I290" s="174" t="str">
        <f aca="false">IF(INDEX(Salary_Calculation[Source Row],ROW()-ROW(Payslip_Lookup[#Headers]))="","",INDEX(Salary_Calculation[Rider Target Orders],ROW()-ROW(Payslip_Lookup[#Headers])))</f>
        <v/>
      </c>
      <c r="J290" s="175" t="str">
        <f aca="false">IF(INDEX(Salary_Calculation[Source Row],ROW()-ROW(Payslip_Lookup[#Headers]))="","",INDEX(Salary_Calculation[Completed Orders],ROW()-ROW(Payslip_Lookup[#Headers])))</f>
        <v/>
      </c>
      <c r="K290" s="174" t="str">
        <f aca="false">IF(INDEX(Salary_Calculation[Source Row],ROW()-ROW(Payslip_Lookup[#Headers]))="","",INDEX(Salary_Calculation[Base Order Rate],ROW()-ROW(Payslip_Lookup[#Headers])))</f>
        <v/>
      </c>
      <c r="L290" s="176" t="str">
        <f aca="false">IF(INDEX(Salary_Calculation[Source Row],ROW()-ROW(Payslip_Lookup[#Headers]))="","",INDEX(Salary_Calculation[Basic Payment],ROW()-ROW(Payslip_Lookup[#Headers])))</f>
        <v/>
      </c>
      <c r="M290" s="176" t="str">
        <f aca="false">IF(INDEX(Salary_Calculation[Source Row],ROW()-ROW(Payslip_Lookup[#Headers]))="","",INDEX(Salary_Calculation[Earned Salary],ROW()-ROW(Payslip_Lookup[#Headers])))</f>
        <v/>
      </c>
      <c r="N290" s="174" t="str">
        <f aca="false">IF(INDEX(Salary_Calculation[Source Row],ROW()-ROW(Payslip_Lookup[#Headers]))="","",INDEX(Salary_Calculation[Orders Counted at Base Rate],ROW()-ROW(Payslip_Lookup[#Headers])))</f>
        <v/>
      </c>
      <c r="O290" s="174" t="str">
        <f aca="false">IF(INDEX(Salary_Calculation[Source Row],ROW()-ROW(Payslip_Lookup[#Headers]))="","",INDEX(Salary_Calculation[Missing Orders],ROW()-ROW(Payslip_Lookup[#Headers])))</f>
        <v/>
      </c>
      <c r="P290" s="176" t="str">
        <f aca="false">IF(INDEX(Salary_Calculation[Source Row],ROW()-ROW(Payslip_Lookup[#Headers]))="","",INDEX(Salary_Calculation[Missing-Order Deduction],ROW()-ROW(Payslip_Lookup[#Headers])))</f>
        <v/>
      </c>
      <c r="Q290" s="174" t="str">
        <f aca="false">IF(INDEX(Salary_Calculation[Source Row],ROW()-ROW(Payslip_Lookup[#Headers]))="","",INDEX(Salary_Calculation[Extra Orders],ROW()-ROW(Payslip_Lookup[#Headers])))</f>
        <v/>
      </c>
      <c r="R290" s="176" t="str">
        <f aca="false">IF(INDEX(Salary_Calculation[Source Row],ROW()-ROW(Payslip_Lookup[#Headers]))="","",INDEX(Salary_Calculation[Extra-Order Bonus],ROW()-ROW(Payslip_Lookup[#Headers])))</f>
        <v/>
      </c>
      <c r="S290" s="176" t="str">
        <f aca="false">IF(INDEX(Salary_Calculation[Source Row],ROW()-ROW(Payslip_Lookup[#Headers]))="","",INDEX(Salary_Calculation[Basic Salary for Target],ROW()-ROW(Payslip_Lookup[#Headers])))</f>
        <v/>
      </c>
      <c r="T290" s="176" t="str">
        <f aca="false">IF(INDEX(Salary_Calculation[Source Row],ROW()-ROW(Payslip_Lookup[#Headers]))="","",INDEX(Salary_Calculation[Gross Salary Before Deductions],ROW()-ROW(Payslip_Lookup[#Headers])))</f>
        <v/>
      </c>
      <c r="U290" s="176" t="str">
        <f aca="false">IF(INDEX(Salary_Calculation[Source Row],ROW()-ROW(Payslip_Lookup[#Headers]))="","",INDEX(Salary_Calculation[missed_days_penalty],ROW()-ROW(Payslip_Lookup[#Headers])))</f>
        <v/>
      </c>
      <c r="V290" s="176" t="str">
        <f aca="false">IF(INDEX(Salary_Calculation[Source Row],ROW()-ROW(Payslip_Lookup[#Headers]))="","",INDEX(Salary_Calculation[Rider Balance],ROW()-ROW(Payslip_Lookup[#Headers])))</f>
        <v/>
      </c>
      <c r="W290" s="176" t="str">
        <f aca="false">IF(INDEX(Salary_Calculation[Source Row],ROW()-ROW(Payslip_Lookup[#Headers]))="","",INDEX(Salary_Calculation[stacking_deduction],ROW()-ROW(Payslip_Lookup[#Headers])))</f>
        <v/>
      </c>
      <c r="X290" s="176" t="str">
        <f aca="false">IF(INDEX(Salary_Calculation[Source Row],ROW()-ROW(Payslip_Lookup[#Headers]))="","",INDEX(Salary_Calculation[Other Deductions],ROW()-ROW(Payslip_Lookup[#Headers])))</f>
        <v/>
      </c>
      <c r="Y290" s="176" t="str">
        <f aca="false">IF(INDEX(Salary_Calculation[Source Row],ROW()-ROW(Payslip_Lookup[#Headers]))="","",INDEX(Salary_Calculation[Total Deductions],ROW()-ROW(Payslip_Lookup[#Headers])))</f>
        <v/>
      </c>
      <c r="Z290" s="176" t="str">
        <f aca="false">IF(INDEX(Salary_Calculation[Source Row],ROW()-ROW(Payslip_Lookup[#Headers]))="","",INDEX(Salary_Calculation[Final Salary],ROW()-ROW(Payslip_Lookup[#Headers])))</f>
        <v/>
      </c>
      <c r="AA290" s="176" t="str">
        <f aca="false">IF(INDEX(Salary_Calculation[Source Row],ROW()-ROW(Payslip_Lookup[#Headers]))="","",INDEX(Salary_Calculation[Negative Balance / Amount Due from Rider],ROW()-ROW(Payslip_Lookup[#Headers])))</f>
        <v/>
      </c>
      <c r="AB290" s="176" t="str">
        <f aca="false">IF(INDEX(Salary_Calculation[Source Row],ROW()-ROW(Payslip_Lookup[#Headers]))="","",INDEX(Salary_Calculation[Total Amount Due from Rider],ROW()-ROW(Payslip_Lookup[#Headers])))</f>
        <v/>
      </c>
      <c r="AC290" s="176" t="str">
        <f aca="false">IF(INDEX(Salary_Calculation[Source Row],ROW()-ROW(Payslip_Lookup[#Headers]))="","",INDEX(Salary_Calculation[Salary Before Other Deductions],ROW()-ROW(Payslip_Lookup[#Headers])))</f>
        <v/>
      </c>
      <c r="AD290" s="171" t="str">
        <f aca="false">IF(INDEX(Salary_Calculation[Source Row],ROW()-ROW(Payslip_Lookup[#Headers]))="","",INDEX(Salary_Calculation[Payment Status],ROW()-ROW(Payslip_Lookup[#Headers])))</f>
        <v/>
      </c>
      <c r="AE290" s="171" t="str">
        <f aca="false">IF(INDEX(Salary_Calculation[Source Row],ROW()-ROW(Payslip_Lookup[#Headers]))="","",INDEX(Salary_Calculation[Notes],ROW()-ROW(Payslip_Lookup[#Headers])))</f>
        <v/>
      </c>
      <c r="AF290" s="171" t="str">
        <f aca="false">IF(INDEX(Salary_Calculation[Source Row],ROW()-ROW(Payslip_Lookup[#Headers]))="","",INDEX(Salary_Calculation[Exception Reason],ROW()-ROW(Payslip_Lookup[#Headers])))</f>
        <v/>
      </c>
      <c r="AG290" s="173" t="str">
        <f aca="false">IF($AD290="Review Required",COUNTIF(AD$2:AD290,"Review Required"),"")</f>
        <v/>
      </c>
      <c r="AH290" s="173" t="str">
        <f aca="false">IF(AND($D290&lt;&gt;"",$B290=Payslip_Print!$C$2),MAX(AH$1:AH289)+1,"")</f>
        <v/>
      </c>
      <c r="AL290" s="178" t="str">
        <f aca="false">IFERROR(INDEX($D$2:$D$501,MATCH(ROW()-1,$AH$2:$AH$501,0)),"")</f>
        <v/>
      </c>
      <c r="AM290" s="179" t="str">
        <f aca="false">IF($Z290="","",IF(AND($C290&gt;=Dash_Start,$C290&lt;Dash_End),$Z290+ROW()/10000000,""))</f>
        <v/>
      </c>
    </row>
    <row r="291" customFormat="false" ht="14.25" hidden="false" customHeight="false" outlineLevel="0" collapsed="false">
      <c r="A291" s="171" t="str">
        <f aca="false">IF(Payslip_Lookup[[#This Row],[Rider ID]]="","",Payslip_Lookup[[#This Row],[Rider ID]]&amp;"|"&amp;Payslip_Lookup[[#This Row],[Month Key]])</f>
        <v/>
      </c>
      <c r="B291" s="172" t="str">
        <f aca="false">IF(ISNUMBER(Payslip_Lookup[[#This Row],[Salary Month]]),DATE(YEAR(Payslip_Lookup[[#This Row],[Salary Month]]),MONTH(Payslip_Lookup[[#This Row],[Salary Month]]),1),"")</f>
        <v/>
      </c>
      <c r="C291" s="172" t="str">
        <f aca="false">IF(INDEX(Salary_Calculation[Source Row],ROW()-ROW(Payslip_Lookup[#Headers]))="","",INDEX(Salary_Calculation[Salary Month],ROW()-ROW(Payslip_Lookup[#Headers])))</f>
        <v/>
      </c>
      <c r="D291" s="173" t="str">
        <f aca="false">IF(INDEX(Salary_Calculation[Source Row],ROW()-ROW(Payslip_Lookup[#Headers]))="","",INDEX(Salary_Calculation[Rider ID],ROW()-ROW(Payslip_Lookup[#Headers])))</f>
        <v/>
      </c>
      <c r="E291" s="171" t="str">
        <f aca="false">IF(INDEX(Salary_Calculation[Source Row],ROW()-ROW(Payslip_Lookup[#Headers]))="","",INDEX(Salary_Calculation[Rider Name],ROW()-ROW(Payslip_Lookup[#Headers])))</f>
        <v/>
      </c>
      <c r="F291" s="173" t="str">
        <f aca="false">IF(INDEX(Salary_Calculation[Source Row],ROW()-ROW(Payslip_Lookup[#Headers]))="","",INDEX(Salary_Calculation[Working Days],ROW()-ROW(Payslip_Lookup[#Headers])))</f>
        <v/>
      </c>
      <c r="G291" s="173" t="str">
        <f aca="false">IF(INDEX(Salary_Calculation[Source Row],ROW()-ROW(Payslip_Lookup[#Headers]))="","",INDEX(Salary_Calculation[Calendar Days],ROW()-ROW(Payslip_Lookup[#Headers])))</f>
        <v/>
      </c>
      <c r="H291" s="174" t="str">
        <f aca="false">IF(INDEX(Salary_Calculation[Source Row],ROW()-ROW(Payslip_Lookup[#Headers]))="","",INDEX(Salary_Calculation[Monthly Target Orders],ROW()-ROW(Payslip_Lookup[#Headers])))</f>
        <v/>
      </c>
      <c r="I291" s="174" t="str">
        <f aca="false">IF(INDEX(Salary_Calculation[Source Row],ROW()-ROW(Payslip_Lookup[#Headers]))="","",INDEX(Salary_Calculation[Rider Target Orders],ROW()-ROW(Payslip_Lookup[#Headers])))</f>
        <v/>
      </c>
      <c r="J291" s="175" t="str">
        <f aca="false">IF(INDEX(Salary_Calculation[Source Row],ROW()-ROW(Payslip_Lookup[#Headers]))="","",INDEX(Salary_Calculation[Completed Orders],ROW()-ROW(Payslip_Lookup[#Headers])))</f>
        <v/>
      </c>
      <c r="K291" s="174" t="str">
        <f aca="false">IF(INDEX(Salary_Calculation[Source Row],ROW()-ROW(Payslip_Lookup[#Headers]))="","",INDEX(Salary_Calculation[Base Order Rate],ROW()-ROW(Payslip_Lookup[#Headers])))</f>
        <v/>
      </c>
      <c r="L291" s="176" t="str">
        <f aca="false">IF(INDEX(Salary_Calculation[Source Row],ROW()-ROW(Payslip_Lookup[#Headers]))="","",INDEX(Salary_Calculation[Basic Payment],ROW()-ROW(Payslip_Lookup[#Headers])))</f>
        <v/>
      </c>
      <c r="M291" s="176" t="str">
        <f aca="false">IF(INDEX(Salary_Calculation[Source Row],ROW()-ROW(Payslip_Lookup[#Headers]))="","",INDEX(Salary_Calculation[Earned Salary],ROW()-ROW(Payslip_Lookup[#Headers])))</f>
        <v/>
      </c>
      <c r="N291" s="174" t="str">
        <f aca="false">IF(INDEX(Salary_Calculation[Source Row],ROW()-ROW(Payslip_Lookup[#Headers]))="","",INDEX(Salary_Calculation[Orders Counted at Base Rate],ROW()-ROW(Payslip_Lookup[#Headers])))</f>
        <v/>
      </c>
      <c r="O291" s="174" t="str">
        <f aca="false">IF(INDEX(Salary_Calculation[Source Row],ROW()-ROW(Payslip_Lookup[#Headers]))="","",INDEX(Salary_Calculation[Missing Orders],ROW()-ROW(Payslip_Lookup[#Headers])))</f>
        <v/>
      </c>
      <c r="P291" s="176" t="str">
        <f aca="false">IF(INDEX(Salary_Calculation[Source Row],ROW()-ROW(Payslip_Lookup[#Headers]))="","",INDEX(Salary_Calculation[Missing-Order Deduction],ROW()-ROW(Payslip_Lookup[#Headers])))</f>
        <v/>
      </c>
      <c r="Q291" s="174" t="str">
        <f aca="false">IF(INDEX(Salary_Calculation[Source Row],ROW()-ROW(Payslip_Lookup[#Headers]))="","",INDEX(Salary_Calculation[Extra Orders],ROW()-ROW(Payslip_Lookup[#Headers])))</f>
        <v/>
      </c>
      <c r="R291" s="176" t="str">
        <f aca="false">IF(INDEX(Salary_Calculation[Source Row],ROW()-ROW(Payslip_Lookup[#Headers]))="","",INDEX(Salary_Calculation[Extra-Order Bonus],ROW()-ROW(Payslip_Lookup[#Headers])))</f>
        <v/>
      </c>
      <c r="S291" s="176" t="str">
        <f aca="false">IF(INDEX(Salary_Calculation[Source Row],ROW()-ROW(Payslip_Lookup[#Headers]))="","",INDEX(Salary_Calculation[Basic Salary for Target],ROW()-ROW(Payslip_Lookup[#Headers])))</f>
        <v/>
      </c>
      <c r="T291" s="176" t="str">
        <f aca="false">IF(INDEX(Salary_Calculation[Source Row],ROW()-ROW(Payslip_Lookup[#Headers]))="","",INDEX(Salary_Calculation[Gross Salary Before Deductions],ROW()-ROW(Payslip_Lookup[#Headers])))</f>
        <v/>
      </c>
      <c r="U291" s="176" t="str">
        <f aca="false">IF(INDEX(Salary_Calculation[Source Row],ROW()-ROW(Payslip_Lookup[#Headers]))="","",INDEX(Salary_Calculation[missed_days_penalty],ROW()-ROW(Payslip_Lookup[#Headers])))</f>
        <v/>
      </c>
      <c r="V291" s="176" t="str">
        <f aca="false">IF(INDEX(Salary_Calculation[Source Row],ROW()-ROW(Payslip_Lookup[#Headers]))="","",INDEX(Salary_Calculation[Rider Balance],ROW()-ROW(Payslip_Lookup[#Headers])))</f>
        <v/>
      </c>
      <c r="W291" s="176" t="str">
        <f aca="false">IF(INDEX(Salary_Calculation[Source Row],ROW()-ROW(Payslip_Lookup[#Headers]))="","",INDEX(Salary_Calculation[stacking_deduction],ROW()-ROW(Payslip_Lookup[#Headers])))</f>
        <v/>
      </c>
      <c r="X291" s="176" t="str">
        <f aca="false">IF(INDEX(Salary_Calculation[Source Row],ROW()-ROW(Payslip_Lookup[#Headers]))="","",INDEX(Salary_Calculation[Other Deductions],ROW()-ROW(Payslip_Lookup[#Headers])))</f>
        <v/>
      </c>
      <c r="Y291" s="176" t="str">
        <f aca="false">IF(INDEX(Salary_Calculation[Source Row],ROW()-ROW(Payslip_Lookup[#Headers]))="","",INDEX(Salary_Calculation[Total Deductions],ROW()-ROW(Payslip_Lookup[#Headers])))</f>
        <v/>
      </c>
      <c r="Z291" s="176" t="str">
        <f aca="false">IF(INDEX(Salary_Calculation[Source Row],ROW()-ROW(Payslip_Lookup[#Headers]))="","",INDEX(Salary_Calculation[Final Salary],ROW()-ROW(Payslip_Lookup[#Headers])))</f>
        <v/>
      </c>
      <c r="AA291" s="176" t="str">
        <f aca="false">IF(INDEX(Salary_Calculation[Source Row],ROW()-ROW(Payslip_Lookup[#Headers]))="","",INDEX(Salary_Calculation[Negative Balance / Amount Due from Rider],ROW()-ROW(Payslip_Lookup[#Headers])))</f>
        <v/>
      </c>
      <c r="AB291" s="176" t="str">
        <f aca="false">IF(INDEX(Salary_Calculation[Source Row],ROW()-ROW(Payslip_Lookup[#Headers]))="","",INDEX(Salary_Calculation[Total Amount Due from Rider],ROW()-ROW(Payslip_Lookup[#Headers])))</f>
        <v/>
      </c>
      <c r="AC291" s="176" t="str">
        <f aca="false">IF(INDEX(Salary_Calculation[Source Row],ROW()-ROW(Payslip_Lookup[#Headers]))="","",INDEX(Salary_Calculation[Salary Before Other Deductions],ROW()-ROW(Payslip_Lookup[#Headers])))</f>
        <v/>
      </c>
      <c r="AD291" s="171" t="str">
        <f aca="false">IF(INDEX(Salary_Calculation[Source Row],ROW()-ROW(Payslip_Lookup[#Headers]))="","",INDEX(Salary_Calculation[Payment Status],ROW()-ROW(Payslip_Lookup[#Headers])))</f>
        <v/>
      </c>
      <c r="AE291" s="171" t="str">
        <f aca="false">IF(INDEX(Salary_Calculation[Source Row],ROW()-ROW(Payslip_Lookup[#Headers]))="","",INDEX(Salary_Calculation[Notes],ROW()-ROW(Payslip_Lookup[#Headers])))</f>
        <v/>
      </c>
      <c r="AF291" s="171" t="str">
        <f aca="false">IF(INDEX(Salary_Calculation[Source Row],ROW()-ROW(Payslip_Lookup[#Headers]))="","",INDEX(Salary_Calculation[Exception Reason],ROW()-ROW(Payslip_Lookup[#Headers])))</f>
        <v/>
      </c>
      <c r="AG291" s="173" t="str">
        <f aca="false">IF($AD291="Review Required",COUNTIF(AD$2:AD291,"Review Required"),"")</f>
        <v/>
      </c>
      <c r="AH291" s="173" t="str">
        <f aca="false">IF(AND($D291&lt;&gt;"",$B291=Payslip_Print!$C$2),MAX(AH$1:AH290)+1,"")</f>
        <v/>
      </c>
      <c r="AL291" s="178" t="str">
        <f aca="false">IFERROR(INDEX($D$2:$D$501,MATCH(ROW()-1,$AH$2:$AH$501,0)),"")</f>
        <v/>
      </c>
      <c r="AM291" s="179" t="str">
        <f aca="false">IF($Z291="","",IF(AND($C291&gt;=Dash_Start,$C291&lt;Dash_End),$Z291+ROW()/10000000,""))</f>
        <v/>
      </c>
    </row>
    <row r="292" customFormat="false" ht="14.25" hidden="false" customHeight="false" outlineLevel="0" collapsed="false">
      <c r="A292" s="171" t="str">
        <f aca="false">IF(Payslip_Lookup[[#This Row],[Rider ID]]="","",Payslip_Lookup[[#This Row],[Rider ID]]&amp;"|"&amp;Payslip_Lookup[[#This Row],[Month Key]])</f>
        <v/>
      </c>
      <c r="B292" s="172" t="str">
        <f aca="false">IF(ISNUMBER(Payslip_Lookup[[#This Row],[Salary Month]]),DATE(YEAR(Payslip_Lookup[[#This Row],[Salary Month]]),MONTH(Payslip_Lookup[[#This Row],[Salary Month]]),1),"")</f>
        <v/>
      </c>
      <c r="C292" s="172" t="str">
        <f aca="false">IF(INDEX(Salary_Calculation[Source Row],ROW()-ROW(Payslip_Lookup[#Headers]))="","",INDEX(Salary_Calculation[Salary Month],ROW()-ROW(Payslip_Lookup[#Headers])))</f>
        <v/>
      </c>
      <c r="D292" s="173" t="str">
        <f aca="false">IF(INDEX(Salary_Calculation[Source Row],ROW()-ROW(Payslip_Lookup[#Headers]))="","",INDEX(Salary_Calculation[Rider ID],ROW()-ROW(Payslip_Lookup[#Headers])))</f>
        <v/>
      </c>
      <c r="E292" s="171" t="str">
        <f aca="false">IF(INDEX(Salary_Calculation[Source Row],ROW()-ROW(Payslip_Lookup[#Headers]))="","",INDEX(Salary_Calculation[Rider Name],ROW()-ROW(Payslip_Lookup[#Headers])))</f>
        <v/>
      </c>
      <c r="F292" s="173" t="str">
        <f aca="false">IF(INDEX(Salary_Calculation[Source Row],ROW()-ROW(Payslip_Lookup[#Headers]))="","",INDEX(Salary_Calculation[Working Days],ROW()-ROW(Payslip_Lookup[#Headers])))</f>
        <v/>
      </c>
      <c r="G292" s="173" t="str">
        <f aca="false">IF(INDEX(Salary_Calculation[Source Row],ROW()-ROW(Payslip_Lookup[#Headers]))="","",INDEX(Salary_Calculation[Calendar Days],ROW()-ROW(Payslip_Lookup[#Headers])))</f>
        <v/>
      </c>
      <c r="H292" s="174" t="str">
        <f aca="false">IF(INDEX(Salary_Calculation[Source Row],ROW()-ROW(Payslip_Lookup[#Headers]))="","",INDEX(Salary_Calculation[Monthly Target Orders],ROW()-ROW(Payslip_Lookup[#Headers])))</f>
        <v/>
      </c>
      <c r="I292" s="174" t="str">
        <f aca="false">IF(INDEX(Salary_Calculation[Source Row],ROW()-ROW(Payslip_Lookup[#Headers]))="","",INDEX(Salary_Calculation[Rider Target Orders],ROW()-ROW(Payslip_Lookup[#Headers])))</f>
        <v/>
      </c>
      <c r="J292" s="175" t="str">
        <f aca="false">IF(INDEX(Salary_Calculation[Source Row],ROW()-ROW(Payslip_Lookup[#Headers]))="","",INDEX(Salary_Calculation[Completed Orders],ROW()-ROW(Payslip_Lookup[#Headers])))</f>
        <v/>
      </c>
      <c r="K292" s="174" t="str">
        <f aca="false">IF(INDEX(Salary_Calculation[Source Row],ROW()-ROW(Payslip_Lookup[#Headers]))="","",INDEX(Salary_Calculation[Base Order Rate],ROW()-ROW(Payslip_Lookup[#Headers])))</f>
        <v/>
      </c>
      <c r="L292" s="176" t="str">
        <f aca="false">IF(INDEX(Salary_Calculation[Source Row],ROW()-ROW(Payslip_Lookup[#Headers]))="","",INDEX(Salary_Calculation[Basic Payment],ROW()-ROW(Payslip_Lookup[#Headers])))</f>
        <v/>
      </c>
      <c r="M292" s="176" t="str">
        <f aca="false">IF(INDEX(Salary_Calculation[Source Row],ROW()-ROW(Payslip_Lookup[#Headers]))="","",INDEX(Salary_Calculation[Earned Salary],ROW()-ROW(Payslip_Lookup[#Headers])))</f>
        <v/>
      </c>
      <c r="N292" s="174" t="str">
        <f aca="false">IF(INDEX(Salary_Calculation[Source Row],ROW()-ROW(Payslip_Lookup[#Headers]))="","",INDEX(Salary_Calculation[Orders Counted at Base Rate],ROW()-ROW(Payslip_Lookup[#Headers])))</f>
        <v/>
      </c>
      <c r="O292" s="174" t="str">
        <f aca="false">IF(INDEX(Salary_Calculation[Source Row],ROW()-ROW(Payslip_Lookup[#Headers]))="","",INDEX(Salary_Calculation[Missing Orders],ROW()-ROW(Payslip_Lookup[#Headers])))</f>
        <v/>
      </c>
      <c r="P292" s="176" t="str">
        <f aca="false">IF(INDEX(Salary_Calculation[Source Row],ROW()-ROW(Payslip_Lookup[#Headers]))="","",INDEX(Salary_Calculation[Missing-Order Deduction],ROW()-ROW(Payslip_Lookup[#Headers])))</f>
        <v/>
      </c>
      <c r="Q292" s="174" t="str">
        <f aca="false">IF(INDEX(Salary_Calculation[Source Row],ROW()-ROW(Payslip_Lookup[#Headers]))="","",INDEX(Salary_Calculation[Extra Orders],ROW()-ROW(Payslip_Lookup[#Headers])))</f>
        <v/>
      </c>
      <c r="R292" s="176" t="str">
        <f aca="false">IF(INDEX(Salary_Calculation[Source Row],ROW()-ROW(Payslip_Lookup[#Headers]))="","",INDEX(Salary_Calculation[Extra-Order Bonus],ROW()-ROW(Payslip_Lookup[#Headers])))</f>
        <v/>
      </c>
      <c r="S292" s="176" t="str">
        <f aca="false">IF(INDEX(Salary_Calculation[Source Row],ROW()-ROW(Payslip_Lookup[#Headers]))="","",INDEX(Salary_Calculation[Basic Salary for Target],ROW()-ROW(Payslip_Lookup[#Headers])))</f>
        <v/>
      </c>
      <c r="T292" s="176" t="str">
        <f aca="false">IF(INDEX(Salary_Calculation[Source Row],ROW()-ROW(Payslip_Lookup[#Headers]))="","",INDEX(Salary_Calculation[Gross Salary Before Deductions],ROW()-ROW(Payslip_Lookup[#Headers])))</f>
        <v/>
      </c>
      <c r="U292" s="176" t="str">
        <f aca="false">IF(INDEX(Salary_Calculation[Source Row],ROW()-ROW(Payslip_Lookup[#Headers]))="","",INDEX(Salary_Calculation[missed_days_penalty],ROW()-ROW(Payslip_Lookup[#Headers])))</f>
        <v/>
      </c>
      <c r="V292" s="176" t="str">
        <f aca="false">IF(INDEX(Salary_Calculation[Source Row],ROW()-ROW(Payslip_Lookup[#Headers]))="","",INDEX(Salary_Calculation[Rider Balance],ROW()-ROW(Payslip_Lookup[#Headers])))</f>
        <v/>
      </c>
      <c r="W292" s="176" t="str">
        <f aca="false">IF(INDEX(Salary_Calculation[Source Row],ROW()-ROW(Payslip_Lookup[#Headers]))="","",INDEX(Salary_Calculation[stacking_deduction],ROW()-ROW(Payslip_Lookup[#Headers])))</f>
        <v/>
      </c>
      <c r="X292" s="176" t="str">
        <f aca="false">IF(INDEX(Salary_Calculation[Source Row],ROW()-ROW(Payslip_Lookup[#Headers]))="","",INDEX(Salary_Calculation[Other Deductions],ROW()-ROW(Payslip_Lookup[#Headers])))</f>
        <v/>
      </c>
      <c r="Y292" s="176" t="str">
        <f aca="false">IF(INDEX(Salary_Calculation[Source Row],ROW()-ROW(Payslip_Lookup[#Headers]))="","",INDEX(Salary_Calculation[Total Deductions],ROW()-ROW(Payslip_Lookup[#Headers])))</f>
        <v/>
      </c>
      <c r="Z292" s="176" t="str">
        <f aca="false">IF(INDEX(Salary_Calculation[Source Row],ROW()-ROW(Payslip_Lookup[#Headers]))="","",INDEX(Salary_Calculation[Final Salary],ROW()-ROW(Payslip_Lookup[#Headers])))</f>
        <v/>
      </c>
      <c r="AA292" s="176" t="str">
        <f aca="false">IF(INDEX(Salary_Calculation[Source Row],ROW()-ROW(Payslip_Lookup[#Headers]))="","",INDEX(Salary_Calculation[Negative Balance / Amount Due from Rider],ROW()-ROW(Payslip_Lookup[#Headers])))</f>
        <v/>
      </c>
      <c r="AB292" s="176" t="str">
        <f aca="false">IF(INDEX(Salary_Calculation[Source Row],ROW()-ROW(Payslip_Lookup[#Headers]))="","",INDEX(Salary_Calculation[Total Amount Due from Rider],ROW()-ROW(Payslip_Lookup[#Headers])))</f>
        <v/>
      </c>
      <c r="AC292" s="176" t="str">
        <f aca="false">IF(INDEX(Salary_Calculation[Source Row],ROW()-ROW(Payslip_Lookup[#Headers]))="","",INDEX(Salary_Calculation[Salary Before Other Deductions],ROW()-ROW(Payslip_Lookup[#Headers])))</f>
        <v/>
      </c>
      <c r="AD292" s="171" t="str">
        <f aca="false">IF(INDEX(Salary_Calculation[Source Row],ROW()-ROW(Payslip_Lookup[#Headers]))="","",INDEX(Salary_Calculation[Payment Status],ROW()-ROW(Payslip_Lookup[#Headers])))</f>
        <v/>
      </c>
      <c r="AE292" s="171" t="str">
        <f aca="false">IF(INDEX(Salary_Calculation[Source Row],ROW()-ROW(Payslip_Lookup[#Headers]))="","",INDEX(Salary_Calculation[Notes],ROW()-ROW(Payslip_Lookup[#Headers])))</f>
        <v/>
      </c>
      <c r="AF292" s="171" t="str">
        <f aca="false">IF(INDEX(Salary_Calculation[Source Row],ROW()-ROW(Payslip_Lookup[#Headers]))="","",INDEX(Salary_Calculation[Exception Reason],ROW()-ROW(Payslip_Lookup[#Headers])))</f>
        <v/>
      </c>
      <c r="AG292" s="173" t="str">
        <f aca="false">IF($AD292="Review Required",COUNTIF(AD$2:AD292,"Review Required"),"")</f>
        <v/>
      </c>
      <c r="AH292" s="173" t="str">
        <f aca="false">IF(AND($D292&lt;&gt;"",$B292=Payslip_Print!$C$2),MAX(AH$1:AH291)+1,"")</f>
        <v/>
      </c>
      <c r="AL292" s="178" t="str">
        <f aca="false">IFERROR(INDEX($D$2:$D$501,MATCH(ROW()-1,$AH$2:$AH$501,0)),"")</f>
        <v/>
      </c>
      <c r="AM292" s="179" t="str">
        <f aca="false">IF($Z292="","",IF(AND($C292&gt;=Dash_Start,$C292&lt;Dash_End),$Z292+ROW()/10000000,""))</f>
        <v/>
      </c>
    </row>
    <row r="293" customFormat="false" ht="14.25" hidden="false" customHeight="false" outlineLevel="0" collapsed="false">
      <c r="A293" s="171" t="str">
        <f aca="false">IF(Payslip_Lookup[[#This Row],[Rider ID]]="","",Payslip_Lookup[[#This Row],[Rider ID]]&amp;"|"&amp;Payslip_Lookup[[#This Row],[Month Key]])</f>
        <v/>
      </c>
      <c r="B293" s="172" t="str">
        <f aca="false">IF(ISNUMBER(Payslip_Lookup[[#This Row],[Salary Month]]),DATE(YEAR(Payslip_Lookup[[#This Row],[Salary Month]]),MONTH(Payslip_Lookup[[#This Row],[Salary Month]]),1),"")</f>
        <v/>
      </c>
      <c r="C293" s="172" t="str">
        <f aca="false">IF(INDEX(Salary_Calculation[Source Row],ROW()-ROW(Payslip_Lookup[#Headers]))="","",INDEX(Salary_Calculation[Salary Month],ROW()-ROW(Payslip_Lookup[#Headers])))</f>
        <v/>
      </c>
      <c r="D293" s="173" t="str">
        <f aca="false">IF(INDEX(Salary_Calculation[Source Row],ROW()-ROW(Payslip_Lookup[#Headers]))="","",INDEX(Salary_Calculation[Rider ID],ROW()-ROW(Payslip_Lookup[#Headers])))</f>
        <v/>
      </c>
      <c r="E293" s="171" t="str">
        <f aca="false">IF(INDEX(Salary_Calculation[Source Row],ROW()-ROW(Payslip_Lookup[#Headers]))="","",INDEX(Salary_Calculation[Rider Name],ROW()-ROW(Payslip_Lookup[#Headers])))</f>
        <v/>
      </c>
      <c r="F293" s="173" t="str">
        <f aca="false">IF(INDEX(Salary_Calculation[Source Row],ROW()-ROW(Payslip_Lookup[#Headers]))="","",INDEX(Salary_Calculation[Working Days],ROW()-ROW(Payslip_Lookup[#Headers])))</f>
        <v/>
      </c>
      <c r="G293" s="173" t="str">
        <f aca="false">IF(INDEX(Salary_Calculation[Source Row],ROW()-ROW(Payslip_Lookup[#Headers]))="","",INDEX(Salary_Calculation[Calendar Days],ROW()-ROW(Payslip_Lookup[#Headers])))</f>
        <v/>
      </c>
      <c r="H293" s="174" t="str">
        <f aca="false">IF(INDEX(Salary_Calculation[Source Row],ROW()-ROW(Payslip_Lookup[#Headers]))="","",INDEX(Salary_Calculation[Monthly Target Orders],ROW()-ROW(Payslip_Lookup[#Headers])))</f>
        <v/>
      </c>
      <c r="I293" s="174" t="str">
        <f aca="false">IF(INDEX(Salary_Calculation[Source Row],ROW()-ROW(Payslip_Lookup[#Headers]))="","",INDEX(Salary_Calculation[Rider Target Orders],ROW()-ROW(Payslip_Lookup[#Headers])))</f>
        <v/>
      </c>
      <c r="J293" s="175" t="str">
        <f aca="false">IF(INDEX(Salary_Calculation[Source Row],ROW()-ROW(Payslip_Lookup[#Headers]))="","",INDEX(Salary_Calculation[Completed Orders],ROW()-ROW(Payslip_Lookup[#Headers])))</f>
        <v/>
      </c>
      <c r="K293" s="174" t="str">
        <f aca="false">IF(INDEX(Salary_Calculation[Source Row],ROW()-ROW(Payslip_Lookup[#Headers]))="","",INDEX(Salary_Calculation[Base Order Rate],ROW()-ROW(Payslip_Lookup[#Headers])))</f>
        <v/>
      </c>
      <c r="L293" s="176" t="str">
        <f aca="false">IF(INDEX(Salary_Calculation[Source Row],ROW()-ROW(Payslip_Lookup[#Headers]))="","",INDEX(Salary_Calculation[Basic Payment],ROW()-ROW(Payslip_Lookup[#Headers])))</f>
        <v/>
      </c>
      <c r="M293" s="176" t="str">
        <f aca="false">IF(INDEX(Salary_Calculation[Source Row],ROW()-ROW(Payslip_Lookup[#Headers]))="","",INDEX(Salary_Calculation[Earned Salary],ROW()-ROW(Payslip_Lookup[#Headers])))</f>
        <v/>
      </c>
      <c r="N293" s="174" t="str">
        <f aca="false">IF(INDEX(Salary_Calculation[Source Row],ROW()-ROW(Payslip_Lookup[#Headers]))="","",INDEX(Salary_Calculation[Orders Counted at Base Rate],ROW()-ROW(Payslip_Lookup[#Headers])))</f>
        <v/>
      </c>
      <c r="O293" s="174" t="str">
        <f aca="false">IF(INDEX(Salary_Calculation[Source Row],ROW()-ROW(Payslip_Lookup[#Headers]))="","",INDEX(Salary_Calculation[Missing Orders],ROW()-ROW(Payslip_Lookup[#Headers])))</f>
        <v/>
      </c>
      <c r="P293" s="176" t="str">
        <f aca="false">IF(INDEX(Salary_Calculation[Source Row],ROW()-ROW(Payslip_Lookup[#Headers]))="","",INDEX(Salary_Calculation[Missing-Order Deduction],ROW()-ROW(Payslip_Lookup[#Headers])))</f>
        <v/>
      </c>
      <c r="Q293" s="174" t="str">
        <f aca="false">IF(INDEX(Salary_Calculation[Source Row],ROW()-ROW(Payslip_Lookup[#Headers]))="","",INDEX(Salary_Calculation[Extra Orders],ROW()-ROW(Payslip_Lookup[#Headers])))</f>
        <v/>
      </c>
      <c r="R293" s="176" t="str">
        <f aca="false">IF(INDEX(Salary_Calculation[Source Row],ROW()-ROW(Payslip_Lookup[#Headers]))="","",INDEX(Salary_Calculation[Extra-Order Bonus],ROW()-ROW(Payslip_Lookup[#Headers])))</f>
        <v/>
      </c>
      <c r="S293" s="176" t="str">
        <f aca="false">IF(INDEX(Salary_Calculation[Source Row],ROW()-ROW(Payslip_Lookup[#Headers]))="","",INDEX(Salary_Calculation[Basic Salary for Target],ROW()-ROW(Payslip_Lookup[#Headers])))</f>
        <v/>
      </c>
      <c r="T293" s="176" t="str">
        <f aca="false">IF(INDEX(Salary_Calculation[Source Row],ROW()-ROW(Payslip_Lookup[#Headers]))="","",INDEX(Salary_Calculation[Gross Salary Before Deductions],ROW()-ROW(Payslip_Lookup[#Headers])))</f>
        <v/>
      </c>
      <c r="U293" s="176" t="str">
        <f aca="false">IF(INDEX(Salary_Calculation[Source Row],ROW()-ROW(Payslip_Lookup[#Headers]))="","",INDEX(Salary_Calculation[missed_days_penalty],ROW()-ROW(Payslip_Lookup[#Headers])))</f>
        <v/>
      </c>
      <c r="V293" s="176" t="str">
        <f aca="false">IF(INDEX(Salary_Calculation[Source Row],ROW()-ROW(Payslip_Lookup[#Headers]))="","",INDEX(Salary_Calculation[Rider Balance],ROW()-ROW(Payslip_Lookup[#Headers])))</f>
        <v/>
      </c>
      <c r="W293" s="176" t="str">
        <f aca="false">IF(INDEX(Salary_Calculation[Source Row],ROW()-ROW(Payslip_Lookup[#Headers]))="","",INDEX(Salary_Calculation[stacking_deduction],ROW()-ROW(Payslip_Lookup[#Headers])))</f>
        <v/>
      </c>
      <c r="X293" s="176" t="str">
        <f aca="false">IF(INDEX(Salary_Calculation[Source Row],ROW()-ROW(Payslip_Lookup[#Headers]))="","",INDEX(Salary_Calculation[Other Deductions],ROW()-ROW(Payslip_Lookup[#Headers])))</f>
        <v/>
      </c>
      <c r="Y293" s="176" t="str">
        <f aca="false">IF(INDEX(Salary_Calculation[Source Row],ROW()-ROW(Payslip_Lookup[#Headers]))="","",INDEX(Salary_Calculation[Total Deductions],ROW()-ROW(Payslip_Lookup[#Headers])))</f>
        <v/>
      </c>
      <c r="Z293" s="176" t="str">
        <f aca="false">IF(INDEX(Salary_Calculation[Source Row],ROW()-ROW(Payslip_Lookup[#Headers]))="","",INDEX(Salary_Calculation[Final Salary],ROW()-ROW(Payslip_Lookup[#Headers])))</f>
        <v/>
      </c>
      <c r="AA293" s="176" t="str">
        <f aca="false">IF(INDEX(Salary_Calculation[Source Row],ROW()-ROW(Payslip_Lookup[#Headers]))="","",INDEX(Salary_Calculation[Negative Balance / Amount Due from Rider],ROW()-ROW(Payslip_Lookup[#Headers])))</f>
        <v/>
      </c>
      <c r="AB293" s="176" t="str">
        <f aca="false">IF(INDEX(Salary_Calculation[Source Row],ROW()-ROW(Payslip_Lookup[#Headers]))="","",INDEX(Salary_Calculation[Total Amount Due from Rider],ROW()-ROW(Payslip_Lookup[#Headers])))</f>
        <v/>
      </c>
      <c r="AC293" s="176" t="str">
        <f aca="false">IF(INDEX(Salary_Calculation[Source Row],ROW()-ROW(Payslip_Lookup[#Headers]))="","",INDEX(Salary_Calculation[Salary Before Other Deductions],ROW()-ROW(Payslip_Lookup[#Headers])))</f>
        <v/>
      </c>
      <c r="AD293" s="171" t="str">
        <f aca="false">IF(INDEX(Salary_Calculation[Source Row],ROW()-ROW(Payslip_Lookup[#Headers]))="","",INDEX(Salary_Calculation[Payment Status],ROW()-ROW(Payslip_Lookup[#Headers])))</f>
        <v/>
      </c>
      <c r="AE293" s="171" t="str">
        <f aca="false">IF(INDEX(Salary_Calculation[Source Row],ROW()-ROW(Payslip_Lookup[#Headers]))="","",INDEX(Salary_Calculation[Notes],ROW()-ROW(Payslip_Lookup[#Headers])))</f>
        <v/>
      </c>
      <c r="AF293" s="171" t="str">
        <f aca="false">IF(INDEX(Salary_Calculation[Source Row],ROW()-ROW(Payslip_Lookup[#Headers]))="","",INDEX(Salary_Calculation[Exception Reason],ROW()-ROW(Payslip_Lookup[#Headers])))</f>
        <v/>
      </c>
      <c r="AG293" s="173" t="str">
        <f aca="false">IF($AD293="Review Required",COUNTIF(AD$2:AD293,"Review Required"),"")</f>
        <v/>
      </c>
      <c r="AH293" s="173" t="str">
        <f aca="false">IF(AND($D293&lt;&gt;"",$B293=Payslip_Print!$C$2),MAX(AH$1:AH292)+1,"")</f>
        <v/>
      </c>
      <c r="AL293" s="178" t="str">
        <f aca="false">IFERROR(INDEX($D$2:$D$501,MATCH(ROW()-1,$AH$2:$AH$501,0)),"")</f>
        <v/>
      </c>
      <c r="AM293" s="179" t="str">
        <f aca="false">IF($Z293="","",IF(AND($C293&gt;=Dash_Start,$C293&lt;Dash_End),$Z293+ROW()/10000000,""))</f>
        <v/>
      </c>
    </row>
    <row r="294" customFormat="false" ht="14.25" hidden="false" customHeight="false" outlineLevel="0" collapsed="false">
      <c r="A294" s="171" t="str">
        <f aca="false">IF(Payslip_Lookup[[#This Row],[Rider ID]]="","",Payslip_Lookup[[#This Row],[Rider ID]]&amp;"|"&amp;Payslip_Lookup[[#This Row],[Month Key]])</f>
        <v/>
      </c>
      <c r="B294" s="172" t="str">
        <f aca="false">IF(ISNUMBER(Payslip_Lookup[[#This Row],[Salary Month]]),DATE(YEAR(Payslip_Lookup[[#This Row],[Salary Month]]),MONTH(Payslip_Lookup[[#This Row],[Salary Month]]),1),"")</f>
        <v/>
      </c>
      <c r="C294" s="172" t="str">
        <f aca="false">IF(INDEX(Salary_Calculation[Source Row],ROW()-ROW(Payslip_Lookup[#Headers]))="","",INDEX(Salary_Calculation[Salary Month],ROW()-ROW(Payslip_Lookup[#Headers])))</f>
        <v/>
      </c>
      <c r="D294" s="173" t="str">
        <f aca="false">IF(INDEX(Salary_Calculation[Source Row],ROW()-ROW(Payslip_Lookup[#Headers]))="","",INDEX(Salary_Calculation[Rider ID],ROW()-ROW(Payslip_Lookup[#Headers])))</f>
        <v/>
      </c>
      <c r="E294" s="171" t="str">
        <f aca="false">IF(INDEX(Salary_Calculation[Source Row],ROW()-ROW(Payslip_Lookup[#Headers]))="","",INDEX(Salary_Calculation[Rider Name],ROW()-ROW(Payslip_Lookup[#Headers])))</f>
        <v/>
      </c>
      <c r="F294" s="173" t="str">
        <f aca="false">IF(INDEX(Salary_Calculation[Source Row],ROW()-ROW(Payslip_Lookup[#Headers]))="","",INDEX(Salary_Calculation[Working Days],ROW()-ROW(Payslip_Lookup[#Headers])))</f>
        <v/>
      </c>
      <c r="G294" s="173" t="str">
        <f aca="false">IF(INDEX(Salary_Calculation[Source Row],ROW()-ROW(Payslip_Lookup[#Headers]))="","",INDEX(Salary_Calculation[Calendar Days],ROW()-ROW(Payslip_Lookup[#Headers])))</f>
        <v/>
      </c>
      <c r="H294" s="174" t="str">
        <f aca="false">IF(INDEX(Salary_Calculation[Source Row],ROW()-ROW(Payslip_Lookup[#Headers]))="","",INDEX(Salary_Calculation[Monthly Target Orders],ROW()-ROW(Payslip_Lookup[#Headers])))</f>
        <v/>
      </c>
      <c r="I294" s="174" t="str">
        <f aca="false">IF(INDEX(Salary_Calculation[Source Row],ROW()-ROW(Payslip_Lookup[#Headers]))="","",INDEX(Salary_Calculation[Rider Target Orders],ROW()-ROW(Payslip_Lookup[#Headers])))</f>
        <v/>
      </c>
      <c r="J294" s="175" t="str">
        <f aca="false">IF(INDEX(Salary_Calculation[Source Row],ROW()-ROW(Payslip_Lookup[#Headers]))="","",INDEX(Salary_Calculation[Completed Orders],ROW()-ROW(Payslip_Lookup[#Headers])))</f>
        <v/>
      </c>
      <c r="K294" s="174" t="str">
        <f aca="false">IF(INDEX(Salary_Calculation[Source Row],ROW()-ROW(Payslip_Lookup[#Headers]))="","",INDEX(Salary_Calculation[Base Order Rate],ROW()-ROW(Payslip_Lookup[#Headers])))</f>
        <v/>
      </c>
      <c r="L294" s="176" t="str">
        <f aca="false">IF(INDEX(Salary_Calculation[Source Row],ROW()-ROW(Payslip_Lookup[#Headers]))="","",INDEX(Salary_Calculation[Basic Payment],ROW()-ROW(Payslip_Lookup[#Headers])))</f>
        <v/>
      </c>
      <c r="M294" s="176" t="str">
        <f aca="false">IF(INDEX(Salary_Calculation[Source Row],ROW()-ROW(Payslip_Lookup[#Headers]))="","",INDEX(Salary_Calculation[Earned Salary],ROW()-ROW(Payslip_Lookup[#Headers])))</f>
        <v/>
      </c>
      <c r="N294" s="174" t="str">
        <f aca="false">IF(INDEX(Salary_Calculation[Source Row],ROW()-ROW(Payslip_Lookup[#Headers]))="","",INDEX(Salary_Calculation[Orders Counted at Base Rate],ROW()-ROW(Payslip_Lookup[#Headers])))</f>
        <v/>
      </c>
      <c r="O294" s="174" t="str">
        <f aca="false">IF(INDEX(Salary_Calculation[Source Row],ROW()-ROW(Payslip_Lookup[#Headers]))="","",INDEX(Salary_Calculation[Missing Orders],ROW()-ROW(Payslip_Lookup[#Headers])))</f>
        <v/>
      </c>
      <c r="P294" s="176" t="str">
        <f aca="false">IF(INDEX(Salary_Calculation[Source Row],ROW()-ROW(Payslip_Lookup[#Headers]))="","",INDEX(Salary_Calculation[Missing-Order Deduction],ROW()-ROW(Payslip_Lookup[#Headers])))</f>
        <v/>
      </c>
      <c r="Q294" s="174" t="str">
        <f aca="false">IF(INDEX(Salary_Calculation[Source Row],ROW()-ROW(Payslip_Lookup[#Headers]))="","",INDEX(Salary_Calculation[Extra Orders],ROW()-ROW(Payslip_Lookup[#Headers])))</f>
        <v/>
      </c>
      <c r="R294" s="176" t="str">
        <f aca="false">IF(INDEX(Salary_Calculation[Source Row],ROW()-ROW(Payslip_Lookup[#Headers]))="","",INDEX(Salary_Calculation[Extra-Order Bonus],ROW()-ROW(Payslip_Lookup[#Headers])))</f>
        <v/>
      </c>
      <c r="S294" s="176" t="str">
        <f aca="false">IF(INDEX(Salary_Calculation[Source Row],ROW()-ROW(Payslip_Lookup[#Headers]))="","",INDEX(Salary_Calculation[Basic Salary for Target],ROW()-ROW(Payslip_Lookup[#Headers])))</f>
        <v/>
      </c>
      <c r="T294" s="176" t="str">
        <f aca="false">IF(INDEX(Salary_Calculation[Source Row],ROW()-ROW(Payslip_Lookup[#Headers]))="","",INDEX(Salary_Calculation[Gross Salary Before Deductions],ROW()-ROW(Payslip_Lookup[#Headers])))</f>
        <v/>
      </c>
      <c r="U294" s="176" t="str">
        <f aca="false">IF(INDEX(Salary_Calculation[Source Row],ROW()-ROW(Payslip_Lookup[#Headers]))="","",INDEX(Salary_Calculation[missed_days_penalty],ROW()-ROW(Payslip_Lookup[#Headers])))</f>
        <v/>
      </c>
      <c r="V294" s="176" t="str">
        <f aca="false">IF(INDEX(Salary_Calculation[Source Row],ROW()-ROW(Payslip_Lookup[#Headers]))="","",INDEX(Salary_Calculation[Rider Balance],ROW()-ROW(Payslip_Lookup[#Headers])))</f>
        <v/>
      </c>
      <c r="W294" s="176" t="str">
        <f aca="false">IF(INDEX(Salary_Calculation[Source Row],ROW()-ROW(Payslip_Lookup[#Headers]))="","",INDEX(Salary_Calculation[stacking_deduction],ROW()-ROW(Payslip_Lookup[#Headers])))</f>
        <v/>
      </c>
      <c r="X294" s="176" t="str">
        <f aca="false">IF(INDEX(Salary_Calculation[Source Row],ROW()-ROW(Payslip_Lookup[#Headers]))="","",INDEX(Salary_Calculation[Other Deductions],ROW()-ROW(Payslip_Lookup[#Headers])))</f>
        <v/>
      </c>
      <c r="Y294" s="176" t="str">
        <f aca="false">IF(INDEX(Salary_Calculation[Source Row],ROW()-ROW(Payslip_Lookup[#Headers]))="","",INDEX(Salary_Calculation[Total Deductions],ROW()-ROW(Payslip_Lookup[#Headers])))</f>
        <v/>
      </c>
      <c r="Z294" s="176" t="str">
        <f aca="false">IF(INDEX(Salary_Calculation[Source Row],ROW()-ROW(Payslip_Lookup[#Headers]))="","",INDEX(Salary_Calculation[Final Salary],ROW()-ROW(Payslip_Lookup[#Headers])))</f>
        <v/>
      </c>
      <c r="AA294" s="176" t="str">
        <f aca="false">IF(INDEX(Salary_Calculation[Source Row],ROW()-ROW(Payslip_Lookup[#Headers]))="","",INDEX(Salary_Calculation[Negative Balance / Amount Due from Rider],ROW()-ROW(Payslip_Lookup[#Headers])))</f>
        <v/>
      </c>
      <c r="AB294" s="176" t="str">
        <f aca="false">IF(INDEX(Salary_Calculation[Source Row],ROW()-ROW(Payslip_Lookup[#Headers]))="","",INDEX(Salary_Calculation[Total Amount Due from Rider],ROW()-ROW(Payslip_Lookup[#Headers])))</f>
        <v/>
      </c>
      <c r="AC294" s="176" t="str">
        <f aca="false">IF(INDEX(Salary_Calculation[Source Row],ROW()-ROW(Payslip_Lookup[#Headers]))="","",INDEX(Salary_Calculation[Salary Before Other Deductions],ROW()-ROW(Payslip_Lookup[#Headers])))</f>
        <v/>
      </c>
      <c r="AD294" s="171" t="str">
        <f aca="false">IF(INDEX(Salary_Calculation[Source Row],ROW()-ROW(Payslip_Lookup[#Headers]))="","",INDEX(Salary_Calculation[Payment Status],ROW()-ROW(Payslip_Lookup[#Headers])))</f>
        <v/>
      </c>
      <c r="AE294" s="171" t="str">
        <f aca="false">IF(INDEX(Salary_Calculation[Source Row],ROW()-ROW(Payslip_Lookup[#Headers]))="","",INDEX(Salary_Calculation[Notes],ROW()-ROW(Payslip_Lookup[#Headers])))</f>
        <v/>
      </c>
      <c r="AF294" s="171" t="str">
        <f aca="false">IF(INDEX(Salary_Calculation[Source Row],ROW()-ROW(Payslip_Lookup[#Headers]))="","",INDEX(Salary_Calculation[Exception Reason],ROW()-ROW(Payslip_Lookup[#Headers])))</f>
        <v/>
      </c>
      <c r="AG294" s="173" t="str">
        <f aca="false">IF($AD294="Review Required",COUNTIF(AD$2:AD294,"Review Required"),"")</f>
        <v/>
      </c>
      <c r="AH294" s="173" t="str">
        <f aca="false">IF(AND($D294&lt;&gt;"",$B294=Payslip_Print!$C$2),MAX(AH$1:AH293)+1,"")</f>
        <v/>
      </c>
      <c r="AL294" s="178" t="str">
        <f aca="false">IFERROR(INDEX($D$2:$D$501,MATCH(ROW()-1,$AH$2:$AH$501,0)),"")</f>
        <v/>
      </c>
      <c r="AM294" s="179" t="str">
        <f aca="false">IF($Z294="","",IF(AND($C294&gt;=Dash_Start,$C294&lt;Dash_End),$Z294+ROW()/10000000,""))</f>
        <v/>
      </c>
    </row>
    <row r="295" customFormat="false" ht="14.25" hidden="false" customHeight="false" outlineLevel="0" collapsed="false">
      <c r="A295" s="171" t="str">
        <f aca="false">IF(Payslip_Lookup[[#This Row],[Rider ID]]="","",Payslip_Lookup[[#This Row],[Rider ID]]&amp;"|"&amp;Payslip_Lookup[[#This Row],[Month Key]])</f>
        <v/>
      </c>
      <c r="B295" s="172" t="str">
        <f aca="false">IF(ISNUMBER(Payslip_Lookup[[#This Row],[Salary Month]]),DATE(YEAR(Payslip_Lookup[[#This Row],[Salary Month]]),MONTH(Payslip_Lookup[[#This Row],[Salary Month]]),1),"")</f>
        <v/>
      </c>
      <c r="C295" s="172" t="str">
        <f aca="false">IF(INDEX(Salary_Calculation[Source Row],ROW()-ROW(Payslip_Lookup[#Headers]))="","",INDEX(Salary_Calculation[Salary Month],ROW()-ROW(Payslip_Lookup[#Headers])))</f>
        <v/>
      </c>
      <c r="D295" s="173" t="str">
        <f aca="false">IF(INDEX(Salary_Calculation[Source Row],ROW()-ROW(Payslip_Lookup[#Headers]))="","",INDEX(Salary_Calculation[Rider ID],ROW()-ROW(Payslip_Lookup[#Headers])))</f>
        <v/>
      </c>
      <c r="E295" s="171" t="str">
        <f aca="false">IF(INDEX(Salary_Calculation[Source Row],ROW()-ROW(Payslip_Lookup[#Headers]))="","",INDEX(Salary_Calculation[Rider Name],ROW()-ROW(Payslip_Lookup[#Headers])))</f>
        <v/>
      </c>
      <c r="F295" s="173" t="str">
        <f aca="false">IF(INDEX(Salary_Calculation[Source Row],ROW()-ROW(Payslip_Lookup[#Headers]))="","",INDEX(Salary_Calculation[Working Days],ROW()-ROW(Payslip_Lookup[#Headers])))</f>
        <v/>
      </c>
      <c r="G295" s="173" t="str">
        <f aca="false">IF(INDEX(Salary_Calculation[Source Row],ROW()-ROW(Payslip_Lookup[#Headers]))="","",INDEX(Salary_Calculation[Calendar Days],ROW()-ROW(Payslip_Lookup[#Headers])))</f>
        <v/>
      </c>
      <c r="H295" s="174" t="str">
        <f aca="false">IF(INDEX(Salary_Calculation[Source Row],ROW()-ROW(Payslip_Lookup[#Headers]))="","",INDEX(Salary_Calculation[Monthly Target Orders],ROW()-ROW(Payslip_Lookup[#Headers])))</f>
        <v/>
      </c>
      <c r="I295" s="174" t="str">
        <f aca="false">IF(INDEX(Salary_Calculation[Source Row],ROW()-ROW(Payslip_Lookup[#Headers]))="","",INDEX(Salary_Calculation[Rider Target Orders],ROW()-ROW(Payslip_Lookup[#Headers])))</f>
        <v/>
      </c>
      <c r="J295" s="175" t="str">
        <f aca="false">IF(INDEX(Salary_Calculation[Source Row],ROW()-ROW(Payslip_Lookup[#Headers]))="","",INDEX(Salary_Calculation[Completed Orders],ROW()-ROW(Payslip_Lookup[#Headers])))</f>
        <v/>
      </c>
      <c r="K295" s="174" t="str">
        <f aca="false">IF(INDEX(Salary_Calculation[Source Row],ROW()-ROW(Payslip_Lookup[#Headers]))="","",INDEX(Salary_Calculation[Base Order Rate],ROW()-ROW(Payslip_Lookup[#Headers])))</f>
        <v/>
      </c>
      <c r="L295" s="176" t="str">
        <f aca="false">IF(INDEX(Salary_Calculation[Source Row],ROW()-ROW(Payslip_Lookup[#Headers]))="","",INDEX(Salary_Calculation[Basic Payment],ROW()-ROW(Payslip_Lookup[#Headers])))</f>
        <v/>
      </c>
      <c r="M295" s="176" t="str">
        <f aca="false">IF(INDEX(Salary_Calculation[Source Row],ROW()-ROW(Payslip_Lookup[#Headers]))="","",INDEX(Salary_Calculation[Earned Salary],ROW()-ROW(Payslip_Lookup[#Headers])))</f>
        <v/>
      </c>
      <c r="N295" s="174" t="str">
        <f aca="false">IF(INDEX(Salary_Calculation[Source Row],ROW()-ROW(Payslip_Lookup[#Headers]))="","",INDEX(Salary_Calculation[Orders Counted at Base Rate],ROW()-ROW(Payslip_Lookup[#Headers])))</f>
        <v/>
      </c>
      <c r="O295" s="174" t="str">
        <f aca="false">IF(INDEX(Salary_Calculation[Source Row],ROW()-ROW(Payslip_Lookup[#Headers]))="","",INDEX(Salary_Calculation[Missing Orders],ROW()-ROW(Payslip_Lookup[#Headers])))</f>
        <v/>
      </c>
      <c r="P295" s="176" t="str">
        <f aca="false">IF(INDEX(Salary_Calculation[Source Row],ROW()-ROW(Payslip_Lookup[#Headers]))="","",INDEX(Salary_Calculation[Missing-Order Deduction],ROW()-ROW(Payslip_Lookup[#Headers])))</f>
        <v/>
      </c>
      <c r="Q295" s="174" t="str">
        <f aca="false">IF(INDEX(Salary_Calculation[Source Row],ROW()-ROW(Payslip_Lookup[#Headers]))="","",INDEX(Salary_Calculation[Extra Orders],ROW()-ROW(Payslip_Lookup[#Headers])))</f>
        <v/>
      </c>
      <c r="R295" s="176" t="str">
        <f aca="false">IF(INDEX(Salary_Calculation[Source Row],ROW()-ROW(Payslip_Lookup[#Headers]))="","",INDEX(Salary_Calculation[Extra-Order Bonus],ROW()-ROW(Payslip_Lookup[#Headers])))</f>
        <v/>
      </c>
      <c r="S295" s="176" t="str">
        <f aca="false">IF(INDEX(Salary_Calculation[Source Row],ROW()-ROW(Payslip_Lookup[#Headers]))="","",INDEX(Salary_Calculation[Basic Salary for Target],ROW()-ROW(Payslip_Lookup[#Headers])))</f>
        <v/>
      </c>
      <c r="T295" s="176" t="str">
        <f aca="false">IF(INDEX(Salary_Calculation[Source Row],ROW()-ROW(Payslip_Lookup[#Headers]))="","",INDEX(Salary_Calculation[Gross Salary Before Deductions],ROW()-ROW(Payslip_Lookup[#Headers])))</f>
        <v/>
      </c>
      <c r="U295" s="176" t="str">
        <f aca="false">IF(INDEX(Salary_Calculation[Source Row],ROW()-ROW(Payslip_Lookup[#Headers]))="","",INDEX(Salary_Calculation[missed_days_penalty],ROW()-ROW(Payslip_Lookup[#Headers])))</f>
        <v/>
      </c>
      <c r="V295" s="176" t="str">
        <f aca="false">IF(INDEX(Salary_Calculation[Source Row],ROW()-ROW(Payslip_Lookup[#Headers]))="","",INDEX(Salary_Calculation[Rider Balance],ROW()-ROW(Payslip_Lookup[#Headers])))</f>
        <v/>
      </c>
      <c r="W295" s="176" t="str">
        <f aca="false">IF(INDEX(Salary_Calculation[Source Row],ROW()-ROW(Payslip_Lookup[#Headers]))="","",INDEX(Salary_Calculation[stacking_deduction],ROW()-ROW(Payslip_Lookup[#Headers])))</f>
        <v/>
      </c>
      <c r="X295" s="176" t="str">
        <f aca="false">IF(INDEX(Salary_Calculation[Source Row],ROW()-ROW(Payslip_Lookup[#Headers]))="","",INDEX(Salary_Calculation[Other Deductions],ROW()-ROW(Payslip_Lookup[#Headers])))</f>
        <v/>
      </c>
      <c r="Y295" s="176" t="str">
        <f aca="false">IF(INDEX(Salary_Calculation[Source Row],ROW()-ROW(Payslip_Lookup[#Headers]))="","",INDEX(Salary_Calculation[Total Deductions],ROW()-ROW(Payslip_Lookup[#Headers])))</f>
        <v/>
      </c>
      <c r="Z295" s="176" t="str">
        <f aca="false">IF(INDEX(Salary_Calculation[Source Row],ROW()-ROW(Payslip_Lookup[#Headers]))="","",INDEX(Salary_Calculation[Final Salary],ROW()-ROW(Payslip_Lookup[#Headers])))</f>
        <v/>
      </c>
      <c r="AA295" s="176" t="str">
        <f aca="false">IF(INDEX(Salary_Calculation[Source Row],ROW()-ROW(Payslip_Lookup[#Headers]))="","",INDEX(Salary_Calculation[Negative Balance / Amount Due from Rider],ROW()-ROW(Payslip_Lookup[#Headers])))</f>
        <v/>
      </c>
      <c r="AB295" s="176" t="str">
        <f aca="false">IF(INDEX(Salary_Calculation[Source Row],ROW()-ROW(Payslip_Lookup[#Headers]))="","",INDEX(Salary_Calculation[Total Amount Due from Rider],ROW()-ROW(Payslip_Lookup[#Headers])))</f>
        <v/>
      </c>
      <c r="AC295" s="176" t="str">
        <f aca="false">IF(INDEX(Salary_Calculation[Source Row],ROW()-ROW(Payslip_Lookup[#Headers]))="","",INDEX(Salary_Calculation[Salary Before Other Deductions],ROW()-ROW(Payslip_Lookup[#Headers])))</f>
        <v/>
      </c>
      <c r="AD295" s="171" t="str">
        <f aca="false">IF(INDEX(Salary_Calculation[Source Row],ROW()-ROW(Payslip_Lookup[#Headers]))="","",INDEX(Salary_Calculation[Payment Status],ROW()-ROW(Payslip_Lookup[#Headers])))</f>
        <v/>
      </c>
      <c r="AE295" s="171" t="str">
        <f aca="false">IF(INDEX(Salary_Calculation[Source Row],ROW()-ROW(Payslip_Lookup[#Headers]))="","",INDEX(Salary_Calculation[Notes],ROW()-ROW(Payslip_Lookup[#Headers])))</f>
        <v/>
      </c>
      <c r="AF295" s="171" t="str">
        <f aca="false">IF(INDEX(Salary_Calculation[Source Row],ROW()-ROW(Payslip_Lookup[#Headers]))="","",INDEX(Salary_Calculation[Exception Reason],ROW()-ROW(Payslip_Lookup[#Headers])))</f>
        <v/>
      </c>
      <c r="AG295" s="173" t="str">
        <f aca="false">IF($AD295="Review Required",COUNTIF(AD$2:AD295,"Review Required"),"")</f>
        <v/>
      </c>
      <c r="AH295" s="173" t="str">
        <f aca="false">IF(AND($D295&lt;&gt;"",$B295=Payslip_Print!$C$2),MAX(AH$1:AH294)+1,"")</f>
        <v/>
      </c>
      <c r="AL295" s="178" t="str">
        <f aca="false">IFERROR(INDEX($D$2:$D$501,MATCH(ROW()-1,$AH$2:$AH$501,0)),"")</f>
        <v/>
      </c>
      <c r="AM295" s="179" t="str">
        <f aca="false">IF($Z295="","",IF(AND($C295&gt;=Dash_Start,$C295&lt;Dash_End),$Z295+ROW()/10000000,""))</f>
        <v/>
      </c>
    </row>
    <row r="296" customFormat="false" ht="14.25" hidden="false" customHeight="false" outlineLevel="0" collapsed="false">
      <c r="A296" s="171" t="str">
        <f aca="false">IF(Payslip_Lookup[[#This Row],[Rider ID]]="","",Payslip_Lookup[[#This Row],[Rider ID]]&amp;"|"&amp;Payslip_Lookup[[#This Row],[Month Key]])</f>
        <v/>
      </c>
      <c r="B296" s="172" t="str">
        <f aca="false">IF(ISNUMBER(Payslip_Lookup[[#This Row],[Salary Month]]),DATE(YEAR(Payslip_Lookup[[#This Row],[Salary Month]]),MONTH(Payslip_Lookup[[#This Row],[Salary Month]]),1),"")</f>
        <v/>
      </c>
      <c r="C296" s="172" t="str">
        <f aca="false">IF(INDEX(Salary_Calculation[Source Row],ROW()-ROW(Payslip_Lookup[#Headers]))="","",INDEX(Salary_Calculation[Salary Month],ROW()-ROW(Payslip_Lookup[#Headers])))</f>
        <v/>
      </c>
      <c r="D296" s="173" t="str">
        <f aca="false">IF(INDEX(Salary_Calculation[Source Row],ROW()-ROW(Payslip_Lookup[#Headers]))="","",INDEX(Salary_Calculation[Rider ID],ROW()-ROW(Payslip_Lookup[#Headers])))</f>
        <v/>
      </c>
      <c r="E296" s="171" t="str">
        <f aca="false">IF(INDEX(Salary_Calculation[Source Row],ROW()-ROW(Payslip_Lookup[#Headers]))="","",INDEX(Salary_Calculation[Rider Name],ROW()-ROW(Payslip_Lookup[#Headers])))</f>
        <v/>
      </c>
      <c r="F296" s="173" t="str">
        <f aca="false">IF(INDEX(Salary_Calculation[Source Row],ROW()-ROW(Payslip_Lookup[#Headers]))="","",INDEX(Salary_Calculation[Working Days],ROW()-ROW(Payslip_Lookup[#Headers])))</f>
        <v/>
      </c>
      <c r="G296" s="173" t="str">
        <f aca="false">IF(INDEX(Salary_Calculation[Source Row],ROW()-ROW(Payslip_Lookup[#Headers]))="","",INDEX(Salary_Calculation[Calendar Days],ROW()-ROW(Payslip_Lookup[#Headers])))</f>
        <v/>
      </c>
      <c r="H296" s="174" t="str">
        <f aca="false">IF(INDEX(Salary_Calculation[Source Row],ROW()-ROW(Payslip_Lookup[#Headers]))="","",INDEX(Salary_Calculation[Monthly Target Orders],ROW()-ROW(Payslip_Lookup[#Headers])))</f>
        <v/>
      </c>
      <c r="I296" s="174" t="str">
        <f aca="false">IF(INDEX(Salary_Calculation[Source Row],ROW()-ROW(Payslip_Lookup[#Headers]))="","",INDEX(Salary_Calculation[Rider Target Orders],ROW()-ROW(Payslip_Lookup[#Headers])))</f>
        <v/>
      </c>
      <c r="J296" s="175" t="str">
        <f aca="false">IF(INDEX(Salary_Calculation[Source Row],ROW()-ROW(Payslip_Lookup[#Headers]))="","",INDEX(Salary_Calculation[Completed Orders],ROW()-ROW(Payslip_Lookup[#Headers])))</f>
        <v/>
      </c>
      <c r="K296" s="174" t="str">
        <f aca="false">IF(INDEX(Salary_Calculation[Source Row],ROW()-ROW(Payslip_Lookup[#Headers]))="","",INDEX(Salary_Calculation[Base Order Rate],ROW()-ROW(Payslip_Lookup[#Headers])))</f>
        <v/>
      </c>
      <c r="L296" s="176" t="str">
        <f aca="false">IF(INDEX(Salary_Calculation[Source Row],ROW()-ROW(Payslip_Lookup[#Headers]))="","",INDEX(Salary_Calculation[Basic Payment],ROW()-ROW(Payslip_Lookup[#Headers])))</f>
        <v/>
      </c>
      <c r="M296" s="176" t="str">
        <f aca="false">IF(INDEX(Salary_Calculation[Source Row],ROW()-ROW(Payslip_Lookup[#Headers]))="","",INDEX(Salary_Calculation[Earned Salary],ROW()-ROW(Payslip_Lookup[#Headers])))</f>
        <v/>
      </c>
      <c r="N296" s="174" t="str">
        <f aca="false">IF(INDEX(Salary_Calculation[Source Row],ROW()-ROW(Payslip_Lookup[#Headers]))="","",INDEX(Salary_Calculation[Orders Counted at Base Rate],ROW()-ROW(Payslip_Lookup[#Headers])))</f>
        <v/>
      </c>
      <c r="O296" s="174" t="str">
        <f aca="false">IF(INDEX(Salary_Calculation[Source Row],ROW()-ROW(Payslip_Lookup[#Headers]))="","",INDEX(Salary_Calculation[Missing Orders],ROW()-ROW(Payslip_Lookup[#Headers])))</f>
        <v/>
      </c>
      <c r="P296" s="176" t="str">
        <f aca="false">IF(INDEX(Salary_Calculation[Source Row],ROW()-ROW(Payslip_Lookup[#Headers]))="","",INDEX(Salary_Calculation[Missing-Order Deduction],ROW()-ROW(Payslip_Lookup[#Headers])))</f>
        <v/>
      </c>
      <c r="Q296" s="174" t="str">
        <f aca="false">IF(INDEX(Salary_Calculation[Source Row],ROW()-ROW(Payslip_Lookup[#Headers]))="","",INDEX(Salary_Calculation[Extra Orders],ROW()-ROW(Payslip_Lookup[#Headers])))</f>
        <v/>
      </c>
      <c r="R296" s="176" t="str">
        <f aca="false">IF(INDEX(Salary_Calculation[Source Row],ROW()-ROW(Payslip_Lookup[#Headers]))="","",INDEX(Salary_Calculation[Extra-Order Bonus],ROW()-ROW(Payslip_Lookup[#Headers])))</f>
        <v/>
      </c>
      <c r="S296" s="176" t="str">
        <f aca="false">IF(INDEX(Salary_Calculation[Source Row],ROW()-ROW(Payslip_Lookup[#Headers]))="","",INDEX(Salary_Calculation[Basic Salary for Target],ROW()-ROW(Payslip_Lookup[#Headers])))</f>
        <v/>
      </c>
      <c r="T296" s="176" t="str">
        <f aca="false">IF(INDEX(Salary_Calculation[Source Row],ROW()-ROW(Payslip_Lookup[#Headers]))="","",INDEX(Salary_Calculation[Gross Salary Before Deductions],ROW()-ROW(Payslip_Lookup[#Headers])))</f>
        <v/>
      </c>
      <c r="U296" s="176" t="str">
        <f aca="false">IF(INDEX(Salary_Calculation[Source Row],ROW()-ROW(Payslip_Lookup[#Headers]))="","",INDEX(Salary_Calculation[missed_days_penalty],ROW()-ROW(Payslip_Lookup[#Headers])))</f>
        <v/>
      </c>
      <c r="V296" s="176" t="str">
        <f aca="false">IF(INDEX(Salary_Calculation[Source Row],ROW()-ROW(Payslip_Lookup[#Headers]))="","",INDEX(Salary_Calculation[Rider Balance],ROW()-ROW(Payslip_Lookup[#Headers])))</f>
        <v/>
      </c>
      <c r="W296" s="176" t="str">
        <f aca="false">IF(INDEX(Salary_Calculation[Source Row],ROW()-ROW(Payslip_Lookup[#Headers]))="","",INDEX(Salary_Calculation[stacking_deduction],ROW()-ROW(Payslip_Lookup[#Headers])))</f>
        <v/>
      </c>
      <c r="X296" s="176" t="str">
        <f aca="false">IF(INDEX(Salary_Calculation[Source Row],ROW()-ROW(Payslip_Lookup[#Headers]))="","",INDEX(Salary_Calculation[Other Deductions],ROW()-ROW(Payslip_Lookup[#Headers])))</f>
        <v/>
      </c>
      <c r="Y296" s="176" t="str">
        <f aca="false">IF(INDEX(Salary_Calculation[Source Row],ROW()-ROW(Payslip_Lookup[#Headers]))="","",INDEX(Salary_Calculation[Total Deductions],ROW()-ROW(Payslip_Lookup[#Headers])))</f>
        <v/>
      </c>
      <c r="Z296" s="176" t="str">
        <f aca="false">IF(INDEX(Salary_Calculation[Source Row],ROW()-ROW(Payslip_Lookup[#Headers]))="","",INDEX(Salary_Calculation[Final Salary],ROW()-ROW(Payslip_Lookup[#Headers])))</f>
        <v/>
      </c>
      <c r="AA296" s="176" t="str">
        <f aca="false">IF(INDEX(Salary_Calculation[Source Row],ROW()-ROW(Payslip_Lookup[#Headers]))="","",INDEX(Salary_Calculation[Negative Balance / Amount Due from Rider],ROW()-ROW(Payslip_Lookup[#Headers])))</f>
        <v/>
      </c>
      <c r="AB296" s="176" t="str">
        <f aca="false">IF(INDEX(Salary_Calculation[Source Row],ROW()-ROW(Payslip_Lookup[#Headers]))="","",INDEX(Salary_Calculation[Total Amount Due from Rider],ROW()-ROW(Payslip_Lookup[#Headers])))</f>
        <v/>
      </c>
      <c r="AC296" s="176" t="str">
        <f aca="false">IF(INDEX(Salary_Calculation[Source Row],ROW()-ROW(Payslip_Lookup[#Headers]))="","",INDEX(Salary_Calculation[Salary Before Other Deductions],ROW()-ROW(Payslip_Lookup[#Headers])))</f>
        <v/>
      </c>
      <c r="AD296" s="171" t="str">
        <f aca="false">IF(INDEX(Salary_Calculation[Source Row],ROW()-ROW(Payslip_Lookup[#Headers]))="","",INDEX(Salary_Calculation[Payment Status],ROW()-ROW(Payslip_Lookup[#Headers])))</f>
        <v/>
      </c>
      <c r="AE296" s="171" t="str">
        <f aca="false">IF(INDEX(Salary_Calculation[Source Row],ROW()-ROW(Payslip_Lookup[#Headers]))="","",INDEX(Salary_Calculation[Notes],ROW()-ROW(Payslip_Lookup[#Headers])))</f>
        <v/>
      </c>
      <c r="AF296" s="171" t="str">
        <f aca="false">IF(INDEX(Salary_Calculation[Source Row],ROW()-ROW(Payslip_Lookup[#Headers]))="","",INDEX(Salary_Calculation[Exception Reason],ROW()-ROW(Payslip_Lookup[#Headers])))</f>
        <v/>
      </c>
      <c r="AG296" s="173" t="str">
        <f aca="false">IF($AD296="Review Required",COUNTIF(AD$2:AD296,"Review Required"),"")</f>
        <v/>
      </c>
      <c r="AH296" s="173" t="str">
        <f aca="false">IF(AND($D296&lt;&gt;"",$B296=Payslip_Print!$C$2),MAX(AH$1:AH295)+1,"")</f>
        <v/>
      </c>
      <c r="AL296" s="178" t="str">
        <f aca="false">IFERROR(INDEX($D$2:$D$501,MATCH(ROW()-1,$AH$2:$AH$501,0)),"")</f>
        <v/>
      </c>
      <c r="AM296" s="179" t="str">
        <f aca="false">IF($Z296="","",IF(AND($C296&gt;=Dash_Start,$C296&lt;Dash_End),$Z296+ROW()/10000000,""))</f>
        <v/>
      </c>
    </row>
    <row r="297" customFormat="false" ht="14.25" hidden="false" customHeight="false" outlineLevel="0" collapsed="false">
      <c r="A297" s="171" t="str">
        <f aca="false">IF(Payslip_Lookup[[#This Row],[Rider ID]]="","",Payslip_Lookup[[#This Row],[Rider ID]]&amp;"|"&amp;Payslip_Lookup[[#This Row],[Month Key]])</f>
        <v/>
      </c>
      <c r="B297" s="172" t="str">
        <f aca="false">IF(ISNUMBER(Payslip_Lookup[[#This Row],[Salary Month]]),DATE(YEAR(Payslip_Lookup[[#This Row],[Salary Month]]),MONTH(Payslip_Lookup[[#This Row],[Salary Month]]),1),"")</f>
        <v/>
      </c>
      <c r="C297" s="172" t="str">
        <f aca="false">IF(INDEX(Salary_Calculation[Source Row],ROW()-ROW(Payslip_Lookup[#Headers]))="","",INDEX(Salary_Calculation[Salary Month],ROW()-ROW(Payslip_Lookup[#Headers])))</f>
        <v/>
      </c>
      <c r="D297" s="173" t="str">
        <f aca="false">IF(INDEX(Salary_Calculation[Source Row],ROW()-ROW(Payslip_Lookup[#Headers]))="","",INDEX(Salary_Calculation[Rider ID],ROW()-ROW(Payslip_Lookup[#Headers])))</f>
        <v/>
      </c>
      <c r="E297" s="171" t="str">
        <f aca="false">IF(INDEX(Salary_Calculation[Source Row],ROW()-ROW(Payslip_Lookup[#Headers]))="","",INDEX(Salary_Calculation[Rider Name],ROW()-ROW(Payslip_Lookup[#Headers])))</f>
        <v/>
      </c>
      <c r="F297" s="173" t="str">
        <f aca="false">IF(INDEX(Salary_Calculation[Source Row],ROW()-ROW(Payslip_Lookup[#Headers]))="","",INDEX(Salary_Calculation[Working Days],ROW()-ROW(Payslip_Lookup[#Headers])))</f>
        <v/>
      </c>
      <c r="G297" s="173" t="str">
        <f aca="false">IF(INDEX(Salary_Calculation[Source Row],ROW()-ROW(Payslip_Lookup[#Headers]))="","",INDEX(Salary_Calculation[Calendar Days],ROW()-ROW(Payslip_Lookup[#Headers])))</f>
        <v/>
      </c>
      <c r="H297" s="174" t="str">
        <f aca="false">IF(INDEX(Salary_Calculation[Source Row],ROW()-ROW(Payslip_Lookup[#Headers]))="","",INDEX(Salary_Calculation[Monthly Target Orders],ROW()-ROW(Payslip_Lookup[#Headers])))</f>
        <v/>
      </c>
      <c r="I297" s="174" t="str">
        <f aca="false">IF(INDEX(Salary_Calculation[Source Row],ROW()-ROW(Payslip_Lookup[#Headers]))="","",INDEX(Salary_Calculation[Rider Target Orders],ROW()-ROW(Payslip_Lookup[#Headers])))</f>
        <v/>
      </c>
      <c r="J297" s="175" t="str">
        <f aca="false">IF(INDEX(Salary_Calculation[Source Row],ROW()-ROW(Payslip_Lookup[#Headers]))="","",INDEX(Salary_Calculation[Completed Orders],ROW()-ROW(Payslip_Lookup[#Headers])))</f>
        <v/>
      </c>
      <c r="K297" s="174" t="str">
        <f aca="false">IF(INDEX(Salary_Calculation[Source Row],ROW()-ROW(Payslip_Lookup[#Headers]))="","",INDEX(Salary_Calculation[Base Order Rate],ROW()-ROW(Payslip_Lookup[#Headers])))</f>
        <v/>
      </c>
      <c r="L297" s="176" t="str">
        <f aca="false">IF(INDEX(Salary_Calculation[Source Row],ROW()-ROW(Payslip_Lookup[#Headers]))="","",INDEX(Salary_Calculation[Basic Payment],ROW()-ROW(Payslip_Lookup[#Headers])))</f>
        <v/>
      </c>
      <c r="M297" s="176" t="str">
        <f aca="false">IF(INDEX(Salary_Calculation[Source Row],ROW()-ROW(Payslip_Lookup[#Headers]))="","",INDEX(Salary_Calculation[Earned Salary],ROW()-ROW(Payslip_Lookup[#Headers])))</f>
        <v/>
      </c>
      <c r="N297" s="174" t="str">
        <f aca="false">IF(INDEX(Salary_Calculation[Source Row],ROW()-ROW(Payslip_Lookup[#Headers]))="","",INDEX(Salary_Calculation[Orders Counted at Base Rate],ROW()-ROW(Payslip_Lookup[#Headers])))</f>
        <v/>
      </c>
      <c r="O297" s="174" t="str">
        <f aca="false">IF(INDEX(Salary_Calculation[Source Row],ROW()-ROW(Payslip_Lookup[#Headers]))="","",INDEX(Salary_Calculation[Missing Orders],ROW()-ROW(Payslip_Lookup[#Headers])))</f>
        <v/>
      </c>
      <c r="P297" s="176" t="str">
        <f aca="false">IF(INDEX(Salary_Calculation[Source Row],ROW()-ROW(Payslip_Lookup[#Headers]))="","",INDEX(Salary_Calculation[Missing-Order Deduction],ROW()-ROW(Payslip_Lookup[#Headers])))</f>
        <v/>
      </c>
      <c r="Q297" s="174" t="str">
        <f aca="false">IF(INDEX(Salary_Calculation[Source Row],ROW()-ROW(Payslip_Lookup[#Headers]))="","",INDEX(Salary_Calculation[Extra Orders],ROW()-ROW(Payslip_Lookup[#Headers])))</f>
        <v/>
      </c>
      <c r="R297" s="176" t="str">
        <f aca="false">IF(INDEX(Salary_Calculation[Source Row],ROW()-ROW(Payslip_Lookup[#Headers]))="","",INDEX(Salary_Calculation[Extra-Order Bonus],ROW()-ROW(Payslip_Lookup[#Headers])))</f>
        <v/>
      </c>
      <c r="S297" s="176" t="str">
        <f aca="false">IF(INDEX(Salary_Calculation[Source Row],ROW()-ROW(Payslip_Lookup[#Headers]))="","",INDEX(Salary_Calculation[Basic Salary for Target],ROW()-ROW(Payslip_Lookup[#Headers])))</f>
        <v/>
      </c>
      <c r="T297" s="176" t="str">
        <f aca="false">IF(INDEX(Salary_Calculation[Source Row],ROW()-ROW(Payslip_Lookup[#Headers]))="","",INDEX(Salary_Calculation[Gross Salary Before Deductions],ROW()-ROW(Payslip_Lookup[#Headers])))</f>
        <v/>
      </c>
      <c r="U297" s="176" t="str">
        <f aca="false">IF(INDEX(Salary_Calculation[Source Row],ROW()-ROW(Payslip_Lookup[#Headers]))="","",INDEX(Salary_Calculation[missed_days_penalty],ROW()-ROW(Payslip_Lookup[#Headers])))</f>
        <v/>
      </c>
      <c r="V297" s="176" t="str">
        <f aca="false">IF(INDEX(Salary_Calculation[Source Row],ROW()-ROW(Payslip_Lookup[#Headers]))="","",INDEX(Salary_Calculation[Rider Balance],ROW()-ROW(Payslip_Lookup[#Headers])))</f>
        <v/>
      </c>
      <c r="W297" s="176" t="str">
        <f aca="false">IF(INDEX(Salary_Calculation[Source Row],ROW()-ROW(Payslip_Lookup[#Headers]))="","",INDEX(Salary_Calculation[stacking_deduction],ROW()-ROW(Payslip_Lookup[#Headers])))</f>
        <v/>
      </c>
      <c r="X297" s="176" t="str">
        <f aca="false">IF(INDEX(Salary_Calculation[Source Row],ROW()-ROW(Payslip_Lookup[#Headers]))="","",INDEX(Salary_Calculation[Other Deductions],ROW()-ROW(Payslip_Lookup[#Headers])))</f>
        <v/>
      </c>
      <c r="Y297" s="176" t="str">
        <f aca="false">IF(INDEX(Salary_Calculation[Source Row],ROW()-ROW(Payslip_Lookup[#Headers]))="","",INDEX(Salary_Calculation[Total Deductions],ROW()-ROW(Payslip_Lookup[#Headers])))</f>
        <v/>
      </c>
      <c r="Z297" s="176" t="str">
        <f aca="false">IF(INDEX(Salary_Calculation[Source Row],ROW()-ROW(Payslip_Lookup[#Headers]))="","",INDEX(Salary_Calculation[Final Salary],ROW()-ROW(Payslip_Lookup[#Headers])))</f>
        <v/>
      </c>
      <c r="AA297" s="176" t="str">
        <f aca="false">IF(INDEX(Salary_Calculation[Source Row],ROW()-ROW(Payslip_Lookup[#Headers]))="","",INDEX(Salary_Calculation[Negative Balance / Amount Due from Rider],ROW()-ROW(Payslip_Lookup[#Headers])))</f>
        <v/>
      </c>
      <c r="AB297" s="176" t="str">
        <f aca="false">IF(INDEX(Salary_Calculation[Source Row],ROW()-ROW(Payslip_Lookup[#Headers]))="","",INDEX(Salary_Calculation[Total Amount Due from Rider],ROW()-ROW(Payslip_Lookup[#Headers])))</f>
        <v/>
      </c>
      <c r="AC297" s="176" t="str">
        <f aca="false">IF(INDEX(Salary_Calculation[Source Row],ROW()-ROW(Payslip_Lookup[#Headers]))="","",INDEX(Salary_Calculation[Salary Before Other Deductions],ROW()-ROW(Payslip_Lookup[#Headers])))</f>
        <v/>
      </c>
      <c r="AD297" s="171" t="str">
        <f aca="false">IF(INDEX(Salary_Calculation[Source Row],ROW()-ROW(Payslip_Lookup[#Headers]))="","",INDEX(Salary_Calculation[Payment Status],ROW()-ROW(Payslip_Lookup[#Headers])))</f>
        <v/>
      </c>
      <c r="AE297" s="171" t="str">
        <f aca="false">IF(INDEX(Salary_Calculation[Source Row],ROW()-ROW(Payslip_Lookup[#Headers]))="","",INDEX(Salary_Calculation[Notes],ROW()-ROW(Payslip_Lookup[#Headers])))</f>
        <v/>
      </c>
      <c r="AF297" s="171" t="str">
        <f aca="false">IF(INDEX(Salary_Calculation[Source Row],ROW()-ROW(Payslip_Lookup[#Headers]))="","",INDEX(Salary_Calculation[Exception Reason],ROW()-ROW(Payslip_Lookup[#Headers])))</f>
        <v/>
      </c>
      <c r="AG297" s="173" t="str">
        <f aca="false">IF($AD297="Review Required",COUNTIF(AD$2:AD297,"Review Required"),"")</f>
        <v/>
      </c>
      <c r="AH297" s="173" t="str">
        <f aca="false">IF(AND($D297&lt;&gt;"",$B297=Payslip_Print!$C$2),MAX(AH$1:AH296)+1,"")</f>
        <v/>
      </c>
      <c r="AL297" s="178" t="str">
        <f aca="false">IFERROR(INDEX($D$2:$D$501,MATCH(ROW()-1,$AH$2:$AH$501,0)),"")</f>
        <v/>
      </c>
      <c r="AM297" s="179" t="str">
        <f aca="false">IF($Z297="","",IF(AND($C297&gt;=Dash_Start,$C297&lt;Dash_End),$Z297+ROW()/10000000,""))</f>
        <v/>
      </c>
    </row>
    <row r="298" customFormat="false" ht="14.25" hidden="false" customHeight="false" outlineLevel="0" collapsed="false">
      <c r="A298" s="171" t="str">
        <f aca="false">IF(Payslip_Lookup[[#This Row],[Rider ID]]="","",Payslip_Lookup[[#This Row],[Rider ID]]&amp;"|"&amp;Payslip_Lookup[[#This Row],[Month Key]])</f>
        <v/>
      </c>
      <c r="B298" s="172" t="str">
        <f aca="false">IF(ISNUMBER(Payslip_Lookup[[#This Row],[Salary Month]]),DATE(YEAR(Payslip_Lookup[[#This Row],[Salary Month]]),MONTH(Payslip_Lookup[[#This Row],[Salary Month]]),1),"")</f>
        <v/>
      </c>
      <c r="C298" s="172" t="str">
        <f aca="false">IF(INDEX(Salary_Calculation[Source Row],ROW()-ROW(Payslip_Lookup[#Headers]))="","",INDEX(Salary_Calculation[Salary Month],ROW()-ROW(Payslip_Lookup[#Headers])))</f>
        <v/>
      </c>
      <c r="D298" s="173" t="str">
        <f aca="false">IF(INDEX(Salary_Calculation[Source Row],ROW()-ROW(Payslip_Lookup[#Headers]))="","",INDEX(Salary_Calculation[Rider ID],ROW()-ROW(Payslip_Lookup[#Headers])))</f>
        <v/>
      </c>
      <c r="E298" s="171" t="str">
        <f aca="false">IF(INDEX(Salary_Calculation[Source Row],ROW()-ROW(Payslip_Lookup[#Headers]))="","",INDEX(Salary_Calculation[Rider Name],ROW()-ROW(Payslip_Lookup[#Headers])))</f>
        <v/>
      </c>
      <c r="F298" s="173" t="str">
        <f aca="false">IF(INDEX(Salary_Calculation[Source Row],ROW()-ROW(Payslip_Lookup[#Headers]))="","",INDEX(Salary_Calculation[Working Days],ROW()-ROW(Payslip_Lookup[#Headers])))</f>
        <v/>
      </c>
      <c r="G298" s="173" t="str">
        <f aca="false">IF(INDEX(Salary_Calculation[Source Row],ROW()-ROW(Payslip_Lookup[#Headers]))="","",INDEX(Salary_Calculation[Calendar Days],ROW()-ROW(Payslip_Lookup[#Headers])))</f>
        <v/>
      </c>
      <c r="H298" s="174" t="str">
        <f aca="false">IF(INDEX(Salary_Calculation[Source Row],ROW()-ROW(Payslip_Lookup[#Headers]))="","",INDEX(Salary_Calculation[Monthly Target Orders],ROW()-ROW(Payslip_Lookup[#Headers])))</f>
        <v/>
      </c>
      <c r="I298" s="174" t="str">
        <f aca="false">IF(INDEX(Salary_Calculation[Source Row],ROW()-ROW(Payslip_Lookup[#Headers]))="","",INDEX(Salary_Calculation[Rider Target Orders],ROW()-ROW(Payslip_Lookup[#Headers])))</f>
        <v/>
      </c>
      <c r="J298" s="175" t="str">
        <f aca="false">IF(INDEX(Salary_Calculation[Source Row],ROW()-ROW(Payslip_Lookup[#Headers]))="","",INDEX(Salary_Calculation[Completed Orders],ROW()-ROW(Payslip_Lookup[#Headers])))</f>
        <v/>
      </c>
      <c r="K298" s="174" t="str">
        <f aca="false">IF(INDEX(Salary_Calculation[Source Row],ROW()-ROW(Payslip_Lookup[#Headers]))="","",INDEX(Salary_Calculation[Base Order Rate],ROW()-ROW(Payslip_Lookup[#Headers])))</f>
        <v/>
      </c>
      <c r="L298" s="176" t="str">
        <f aca="false">IF(INDEX(Salary_Calculation[Source Row],ROW()-ROW(Payslip_Lookup[#Headers]))="","",INDEX(Salary_Calculation[Basic Payment],ROW()-ROW(Payslip_Lookup[#Headers])))</f>
        <v/>
      </c>
      <c r="M298" s="176" t="str">
        <f aca="false">IF(INDEX(Salary_Calculation[Source Row],ROW()-ROW(Payslip_Lookup[#Headers]))="","",INDEX(Salary_Calculation[Earned Salary],ROW()-ROW(Payslip_Lookup[#Headers])))</f>
        <v/>
      </c>
      <c r="N298" s="174" t="str">
        <f aca="false">IF(INDEX(Salary_Calculation[Source Row],ROW()-ROW(Payslip_Lookup[#Headers]))="","",INDEX(Salary_Calculation[Orders Counted at Base Rate],ROW()-ROW(Payslip_Lookup[#Headers])))</f>
        <v/>
      </c>
      <c r="O298" s="174" t="str">
        <f aca="false">IF(INDEX(Salary_Calculation[Source Row],ROW()-ROW(Payslip_Lookup[#Headers]))="","",INDEX(Salary_Calculation[Missing Orders],ROW()-ROW(Payslip_Lookup[#Headers])))</f>
        <v/>
      </c>
      <c r="P298" s="176" t="str">
        <f aca="false">IF(INDEX(Salary_Calculation[Source Row],ROW()-ROW(Payslip_Lookup[#Headers]))="","",INDEX(Salary_Calculation[Missing-Order Deduction],ROW()-ROW(Payslip_Lookup[#Headers])))</f>
        <v/>
      </c>
      <c r="Q298" s="174" t="str">
        <f aca="false">IF(INDEX(Salary_Calculation[Source Row],ROW()-ROW(Payslip_Lookup[#Headers]))="","",INDEX(Salary_Calculation[Extra Orders],ROW()-ROW(Payslip_Lookup[#Headers])))</f>
        <v/>
      </c>
      <c r="R298" s="176" t="str">
        <f aca="false">IF(INDEX(Salary_Calculation[Source Row],ROW()-ROW(Payslip_Lookup[#Headers]))="","",INDEX(Salary_Calculation[Extra-Order Bonus],ROW()-ROW(Payslip_Lookup[#Headers])))</f>
        <v/>
      </c>
      <c r="S298" s="176" t="str">
        <f aca="false">IF(INDEX(Salary_Calculation[Source Row],ROW()-ROW(Payslip_Lookup[#Headers]))="","",INDEX(Salary_Calculation[Basic Salary for Target],ROW()-ROW(Payslip_Lookup[#Headers])))</f>
        <v/>
      </c>
      <c r="T298" s="176" t="str">
        <f aca="false">IF(INDEX(Salary_Calculation[Source Row],ROW()-ROW(Payslip_Lookup[#Headers]))="","",INDEX(Salary_Calculation[Gross Salary Before Deductions],ROW()-ROW(Payslip_Lookup[#Headers])))</f>
        <v/>
      </c>
      <c r="U298" s="176" t="str">
        <f aca="false">IF(INDEX(Salary_Calculation[Source Row],ROW()-ROW(Payslip_Lookup[#Headers]))="","",INDEX(Salary_Calculation[missed_days_penalty],ROW()-ROW(Payslip_Lookup[#Headers])))</f>
        <v/>
      </c>
      <c r="V298" s="176" t="str">
        <f aca="false">IF(INDEX(Salary_Calculation[Source Row],ROW()-ROW(Payslip_Lookup[#Headers]))="","",INDEX(Salary_Calculation[Rider Balance],ROW()-ROW(Payslip_Lookup[#Headers])))</f>
        <v/>
      </c>
      <c r="W298" s="176" t="str">
        <f aca="false">IF(INDEX(Salary_Calculation[Source Row],ROW()-ROW(Payslip_Lookup[#Headers]))="","",INDEX(Salary_Calculation[stacking_deduction],ROW()-ROW(Payslip_Lookup[#Headers])))</f>
        <v/>
      </c>
      <c r="X298" s="176" t="str">
        <f aca="false">IF(INDEX(Salary_Calculation[Source Row],ROW()-ROW(Payslip_Lookup[#Headers]))="","",INDEX(Salary_Calculation[Other Deductions],ROW()-ROW(Payslip_Lookup[#Headers])))</f>
        <v/>
      </c>
      <c r="Y298" s="176" t="str">
        <f aca="false">IF(INDEX(Salary_Calculation[Source Row],ROW()-ROW(Payslip_Lookup[#Headers]))="","",INDEX(Salary_Calculation[Total Deductions],ROW()-ROW(Payslip_Lookup[#Headers])))</f>
        <v/>
      </c>
      <c r="Z298" s="176" t="str">
        <f aca="false">IF(INDEX(Salary_Calculation[Source Row],ROW()-ROW(Payslip_Lookup[#Headers]))="","",INDEX(Salary_Calculation[Final Salary],ROW()-ROW(Payslip_Lookup[#Headers])))</f>
        <v/>
      </c>
      <c r="AA298" s="176" t="str">
        <f aca="false">IF(INDEX(Salary_Calculation[Source Row],ROW()-ROW(Payslip_Lookup[#Headers]))="","",INDEX(Salary_Calculation[Negative Balance / Amount Due from Rider],ROW()-ROW(Payslip_Lookup[#Headers])))</f>
        <v/>
      </c>
      <c r="AB298" s="176" t="str">
        <f aca="false">IF(INDEX(Salary_Calculation[Source Row],ROW()-ROW(Payslip_Lookup[#Headers]))="","",INDEX(Salary_Calculation[Total Amount Due from Rider],ROW()-ROW(Payslip_Lookup[#Headers])))</f>
        <v/>
      </c>
      <c r="AC298" s="176" t="str">
        <f aca="false">IF(INDEX(Salary_Calculation[Source Row],ROW()-ROW(Payslip_Lookup[#Headers]))="","",INDEX(Salary_Calculation[Salary Before Other Deductions],ROW()-ROW(Payslip_Lookup[#Headers])))</f>
        <v/>
      </c>
      <c r="AD298" s="171" t="str">
        <f aca="false">IF(INDEX(Salary_Calculation[Source Row],ROW()-ROW(Payslip_Lookup[#Headers]))="","",INDEX(Salary_Calculation[Payment Status],ROW()-ROW(Payslip_Lookup[#Headers])))</f>
        <v/>
      </c>
      <c r="AE298" s="171" t="str">
        <f aca="false">IF(INDEX(Salary_Calculation[Source Row],ROW()-ROW(Payslip_Lookup[#Headers]))="","",INDEX(Salary_Calculation[Notes],ROW()-ROW(Payslip_Lookup[#Headers])))</f>
        <v/>
      </c>
      <c r="AF298" s="171" t="str">
        <f aca="false">IF(INDEX(Salary_Calculation[Source Row],ROW()-ROW(Payslip_Lookup[#Headers]))="","",INDEX(Salary_Calculation[Exception Reason],ROW()-ROW(Payslip_Lookup[#Headers])))</f>
        <v/>
      </c>
      <c r="AG298" s="173" t="str">
        <f aca="false">IF($AD298="Review Required",COUNTIF(AD$2:AD298,"Review Required"),"")</f>
        <v/>
      </c>
      <c r="AH298" s="173" t="str">
        <f aca="false">IF(AND($D298&lt;&gt;"",$B298=Payslip_Print!$C$2),MAX(AH$1:AH297)+1,"")</f>
        <v/>
      </c>
      <c r="AL298" s="178" t="str">
        <f aca="false">IFERROR(INDEX($D$2:$D$501,MATCH(ROW()-1,$AH$2:$AH$501,0)),"")</f>
        <v/>
      </c>
      <c r="AM298" s="179" t="str">
        <f aca="false">IF($Z298="","",IF(AND($C298&gt;=Dash_Start,$C298&lt;Dash_End),$Z298+ROW()/10000000,""))</f>
        <v/>
      </c>
    </row>
    <row r="299" customFormat="false" ht="14.25" hidden="false" customHeight="false" outlineLevel="0" collapsed="false">
      <c r="A299" s="171" t="str">
        <f aca="false">IF(Payslip_Lookup[[#This Row],[Rider ID]]="","",Payslip_Lookup[[#This Row],[Rider ID]]&amp;"|"&amp;Payslip_Lookup[[#This Row],[Month Key]])</f>
        <v/>
      </c>
      <c r="B299" s="172" t="str">
        <f aca="false">IF(ISNUMBER(Payslip_Lookup[[#This Row],[Salary Month]]),DATE(YEAR(Payslip_Lookup[[#This Row],[Salary Month]]),MONTH(Payslip_Lookup[[#This Row],[Salary Month]]),1),"")</f>
        <v/>
      </c>
      <c r="C299" s="172" t="str">
        <f aca="false">IF(INDEX(Salary_Calculation[Source Row],ROW()-ROW(Payslip_Lookup[#Headers]))="","",INDEX(Salary_Calculation[Salary Month],ROW()-ROW(Payslip_Lookup[#Headers])))</f>
        <v/>
      </c>
      <c r="D299" s="173" t="str">
        <f aca="false">IF(INDEX(Salary_Calculation[Source Row],ROW()-ROW(Payslip_Lookup[#Headers]))="","",INDEX(Salary_Calculation[Rider ID],ROW()-ROW(Payslip_Lookup[#Headers])))</f>
        <v/>
      </c>
      <c r="E299" s="171" t="str">
        <f aca="false">IF(INDEX(Salary_Calculation[Source Row],ROW()-ROW(Payslip_Lookup[#Headers]))="","",INDEX(Salary_Calculation[Rider Name],ROW()-ROW(Payslip_Lookup[#Headers])))</f>
        <v/>
      </c>
      <c r="F299" s="173" t="str">
        <f aca="false">IF(INDEX(Salary_Calculation[Source Row],ROW()-ROW(Payslip_Lookup[#Headers]))="","",INDEX(Salary_Calculation[Working Days],ROW()-ROW(Payslip_Lookup[#Headers])))</f>
        <v/>
      </c>
      <c r="G299" s="173" t="str">
        <f aca="false">IF(INDEX(Salary_Calculation[Source Row],ROW()-ROW(Payslip_Lookup[#Headers]))="","",INDEX(Salary_Calculation[Calendar Days],ROW()-ROW(Payslip_Lookup[#Headers])))</f>
        <v/>
      </c>
      <c r="H299" s="174" t="str">
        <f aca="false">IF(INDEX(Salary_Calculation[Source Row],ROW()-ROW(Payslip_Lookup[#Headers]))="","",INDEX(Salary_Calculation[Monthly Target Orders],ROW()-ROW(Payslip_Lookup[#Headers])))</f>
        <v/>
      </c>
      <c r="I299" s="174" t="str">
        <f aca="false">IF(INDEX(Salary_Calculation[Source Row],ROW()-ROW(Payslip_Lookup[#Headers]))="","",INDEX(Salary_Calculation[Rider Target Orders],ROW()-ROW(Payslip_Lookup[#Headers])))</f>
        <v/>
      </c>
      <c r="J299" s="175" t="str">
        <f aca="false">IF(INDEX(Salary_Calculation[Source Row],ROW()-ROW(Payslip_Lookup[#Headers]))="","",INDEX(Salary_Calculation[Completed Orders],ROW()-ROW(Payslip_Lookup[#Headers])))</f>
        <v/>
      </c>
      <c r="K299" s="174" t="str">
        <f aca="false">IF(INDEX(Salary_Calculation[Source Row],ROW()-ROW(Payslip_Lookup[#Headers]))="","",INDEX(Salary_Calculation[Base Order Rate],ROW()-ROW(Payslip_Lookup[#Headers])))</f>
        <v/>
      </c>
      <c r="L299" s="176" t="str">
        <f aca="false">IF(INDEX(Salary_Calculation[Source Row],ROW()-ROW(Payslip_Lookup[#Headers]))="","",INDEX(Salary_Calculation[Basic Payment],ROW()-ROW(Payslip_Lookup[#Headers])))</f>
        <v/>
      </c>
      <c r="M299" s="176" t="str">
        <f aca="false">IF(INDEX(Salary_Calculation[Source Row],ROW()-ROW(Payslip_Lookup[#Headers]))="","",INDEX(Salary_Calculation[Earned Salary],ROW()-ROW(Payslip_Lookup[#Headers])))</f>
        <v/>
      </c>
      <c r="N299" s="174" t="str">
        <f aca="false">IF(INDEX(Salary_Calculation[Source Row],ROW()-ROW(Payslip_Lookup[#Headers]))="","",INDEX(Salary_Calculation[Orders Counted at Base Rate],ROW()-ROW(Payslip_Lookup[#Headers])))</f>
        <v/>
      </c>
      <c r="O299" s="174" t="str">
        <f aca="false">IF(INDEX(Salary_Calculation[Source Row],ROW()-ROW(Payslip_Lookup[#Headers]))="","",INDEX(Salary_Calculation[Missing Orders],ROW()-ROW(Payslip_Lookup[#Headers])))</f>
        <v/>
      </c>
      <c r="P299" s="176" t="str">
        <f aca="false">IF(INDEX(Salary_Calculation[Source Row],ROW()-ROW(Payslip_Lookup[#Headers]))="","",INDEX(Salary_Calculation[Missing-Order Deduction],ROW()-ROW(Payslip_Lookup[#Headers])))</f>
        <v/>
      </c>
      <c r="Q299" s="174" t="str">
        <f aca="false">IF(INDEX(Salary_Calculation[Source Row],ROW()-ROW(Payslip_Lookup[#Headers]))="","",INDEX(Salary_Calculation[Extra Orders],ROW()-ROW(Payslip_Lookup[#Headers])))</f>
        <v/>
      </c>
      <c r="R299" s="176" t="str">
        <f aca="false">IF(INDEX(Salary_Calculation[Source Row],ROW()-ROW(Payslip_Lookup[#Headers]))="","",INDEX(Salary_Calculation[Extra-Order Bonus],ROW()-ROW(Payslip_Lookup[#Headers])))</f>
        <v/>
      </c>
      <c r="S299" s="176" t="str">
        <f aca="false">IF(INDEX(Salary_Calculation[Source Row],ROW()-ROW(Payslip_Lookup[#Headers]))="","",INDEX(Salary_Calculation[Basic Salary for Target],ROW()-ROW(Payslip_Lookup[#Headers])))</f>
        <v/>
      </c>
      <c r="T299" s="176" t="str">
        <f aca="false">IF(INDEX(Salary_Calculation[Source Row],ROW()-ROW(Payslip_Lookup[#Headers]))="","",INDEX(Salary_Calculation[Gross Salary Before Deductions],ROW()-ROW(Payslip_Lookup[#Headers])))</f>
        <v/>
      </c>
      <c r="U299" s="176" t="str">
        <f aca="false">IF(INDEX(Salary_Calculation[Source Row],ROW()-ROW(Payslip_Lookup[#Headers]))="","",INDEX(Salary_Calculation[missed_days_penalty],ROW()-ROW(Payslip_Lookup[#Headers])))</f>
        <v/>
      </c>
      <c r="V299" s="176" t="str">
        <f aca="false">IF(INDEX(Salary_Calculation[Source Row],ROW()-ROW(Payslip_Lookup[#Headers]))="","",INDEX(Salary_Calculation[Rider Balance],ROW()-ROW(Payslip_Lookup[#Headers])))</f>
        <v/>
      </c>
      <c r="W299" s="176" t="str">
        <f aca="false">IF(INDEX(Salary_Calculation[Source Row],ROW()-ROW(Payslip_Lookup[#Headers]))="","",INDEX(Salary_Calculation[stacking_deduction],ROW()-ROW(Payslip_Lookup[#Headers])))</f>
        <v/>
      </c>
      <c r="X299" s="176" t="str">
        <f aca="false">IF(INDEX(Salary_Calculation[Source Row],ROW()-ROW(Payslip_Lookup[#Headers]))="","",INDEX(Salary_Calculation[Other Deductions],ROW()-ROW(Payslip_Lookup[#Headers])))</f>
        <v/>
      </c>
      <c r="Y299" s="176" t="str">
        <f aca="false">IF(INDEX(Salary_Calculation[Source Row],ROW()-ROW(Payslip_Lookup[#Headers]))="","",INDEX(Salary_Calculation[Total Deductions],ROW()-ROW(Payslip_Lookup[#Headers])))</f>
        <v/>
      </c>
      <c r="Z299" s="176" t="str">
        <f aca="false">IF(INDEX(Salary_Calculation[Source Row],ROW()-ROW(Payslip_Lookup[#Headers]))="","",INDEX(Salary_Calculation[Final Salary],ROW()-ROW(Payslip_Lookup[#Headers])))</f>
        <v/>
      </c>
      <c r="AA299" s="176" t="str">
        <f aca="false">IF(INDEX(Salary_Calculation[Source Row],ROW()-ROW(Payslip_Lookup[#Headers]))="","",INDEX(Salary_Calculation[Negative Balance / Amount Due from Rider],ROW()-ROW(Payslip_Lookup[#Headers])))</f>
        <v/>
      </c>
      <c r="AB299" s="176" t="str">
        <f aca="false">IF(INDEX(Salary_Calculation[Source Row],ROW()-ROW(Payslip_Lookup[#Headers]))="","",INDEX(Salary_Calculation[Total Amount Due from Rider],ROW()-ROW(Payslip_Lookup[#Headers])))</f>
        <v/>
      </c>
      <c r="AC299" s="176" t="str">
        <f aca="false">IF(INDEX(Salary_Calculation[Source Row],ROW()-ROW(Payslip_Lookup[#Headers]))="","",INDEX(Salary_Calculation[Salary Before Other Deductions],ROW()-ROW(Payslip_Lookup[#Headers])))</f>
        <v/>
      </c>
      <c r="AD299" s="171" t="str">
        <f aca="false">IF(INDEX(Salary_Calculation[Source Row],ROW()-ROW(Payslip_Lookup[#Headers]))="","",INDEX(Salary_Calculation[Payment Status],ROW()-ROW(Payslip_Lookup[#Headers])))</f>
        <v/>
      </c>
      <c r="AE299" s="171" t="str">
        <f aca="false">IF(INDEX(Salary_Calculation[Source Row],ROW()-ROW(Payslip_Lookup[#Headers]))="","",INDEX(Salary_Calculation[Notes],ROW()-ROW(Payslip_Lookup[#Headers])))</f>
        <v/>
      </c>
      <c r="AF299" s="171" t="str">
        <f aca="false">IF(INDEX(Salary_Calculation[Source Row],ROW()-ROW(Payslip_Lookup[#Headers]))="","",INDEX(Salary_Calculation[Exception Reason],ROW()-ROW(Payslip_Lookup[#Headers])))</f>
        <v/>
      </c>
      <c r="AG299" s="173" t="str">
        <f aca="false">IF($AD299="Review Required",COUNTIF(AD$2:AD299,"Review Required"),"")</f>
        <v/>
      </c>
      <c r="AH299" s="173" t="str">
        <f aca="false">IF(AND($D299&lt;&gt;"",$B299=Payslip_Print!$C$2),MAX(AH$1:AH298)+1,"")</f>
        <v/>
      </c>
      <c r="AL299" s="178" t="str">
        <f aca="false">IFERROR(INDEX($D$2:$D$501,MATCH(ROW()-1,$AH$2:$AH$501,0)),"")</f>
        <v/>
      </c>
      <c r="AM299" s="179" t="str">
        <f aca="false">IF($Z299="","",IF(AND($C299&gt;=Dash_Start,$C299&lt;Dash_End),$Z299+ROW()/10000000,""))</f>
        <v/>
      </c>
    </row>
    <row r="300" customFormat="false" ht="14.25" hidden="false" customHeight="false" outlineLevel="0" collapsed="false">
      <c r="A300" s="171" t="str">
        <f aca="false">IF(Payslip_Lookup[[#This Row],[Rider ID]]="","",Payslip_Lookup[[#This Row],[Rider ID]]&amp;"|"&amp;Payslip_Lookup[[#This Row],[Month Key]])</f>
        <v/>
      </c>
      <c r="B300" s="172" t="str">
        <f aca="false">IF(ISNUMBER(Payslip_Lookup[[#This Row],[Salary Month]]),DATE(YEAR(Payslip_Lookup[[#This Row],[Salary Month]]),MONTH(Payslip_Lookup[[#This Row],[Salary Month]]),1),"")</f>
        <v/>
      </c>
      <c r="C300" s="172" t="str">
        <f aca="false">IF(INDEX(Salary_Calculation[Source Row],ROW()-ROW(Payslip_Lookup[#Headers]))="","",INDEX(Salary_Calculation[Salary Month],ROW()-ROW(Payslip_Lookup[#Headers])))</f>
        <v/>
      </c>
      <c r="D300" s="173" t="str">
        <f aca="false">IF(INDEX(Salary_Calculation[Source Row],ROW()-ROW(Payslip_Lookup[#Headers]))="","",INDEX(Salary_Calculation[Rider ID],ROW()-ROW(Payslip_Lookup[#Headers])))</f>
        <v/>
      </c>
      <c r="E300" s="171" t="str">
        <f aca="false">IF(INDEX(Salary_Calculation[Source Row],ROW()-ROW(Payslip_Lookup[#Headers]))="","",INDEX(Salary_Calculation[Rider Name],ROW()-ROW(Payslip_Lookup[#Headers])))</f>
        <v/>
      </c>
      <c r="F300" s="173" t="str">
        <f aca="false">IF(INDEX(Salary_Calculation[Source Row],ROW()-ROW(Payslip_Lookup[#Headers]))="","",INDEX(Salary_Calculation[Working Days],ROW()-ROW(Payslip_Lookup[#Headers])))</f>
        <v/>
      </c>
      <c r="G300" s="173" t="str">
        <f aca="false">IF(INDEX(Salary_Calculation[Source Row],ROW()-ROW(Payslip_Lookup[#Headers]))="","",INDEX(Salary_Calculation[Calendar Days],ROW()-ROW(Payslip_Lookup[#Headers])))</f>
        <v/>
      </c>
      <c r="H300" s="174" t="str">
        <f aca="false">IF(INDEX(Salary_Calculation[Source Row],ROW()-ROW(Payslip_Lookup[#Headers]))="","",INDEX(Salary_Calculation[Monthly Target Orders],ROW()-ROW(Payslip_Lookup[#Headers])))</f>
        <v/>
      </c>
      <c r="I300" s="174" t="str">
        <f aca="false">IF(INDEX(Salary_Calculation[Source Row],ROW()-ROW(Payslip_Lookup[#Headers]))="","",INDEX(Salary_Calculation[Rider Target Orders],ROW()-ROW(Payslip_Lookup[#Headers])))</f>
        <v/>
      </c>
      <c r="J300" s="175" t="str">
        <f aca="false">IF(INDEX(Salary_Calculation[Source Row],ROW()-ROW(Payslip_Lookup[#Headers]))="","",INDEX(Salary_Calculation[Completed Orders],ROW()-ROW(Payslip_Lookup[#Headers])))</f>
        <v/>
      </c>
      <c r="K300" s="174" t="str">
        <f aca="false">IF(INDEX(Salary_Calculation[Source Row],ROW()-ROW(Payslip_Lookup[#Headers]))="","",INDEX(Salary_Calculation[Base Order Rate],ROW()-ROW(Payslip_Lookup[#Headers])))</f>
        <v/>
      </c>
      <c r="L300" s="176" t="str">
        <f aca="false">IF(INDEX(Salary_Calculation[Source Row],ROW()-ROW(Payslip_Lookup[#Headers]))="","",INDEX(Salary_Calculation[Basic Payment],ROW()-ROW(Payslip_Lookup[#Headers])))</f>
        <v/>
      </c>
      <c r="M300" s="176" t="str">
        <f aca="false">IF(INDEX(Salary_Calculation[Source Row],ROW()-ROW(Payslip_Lookup[#Headers]))="","",INDEX(Salary_Calculation[Earned Salary],ROW()-ROW(Payslip_Lookup[#Headers])))</f>
        <v/>
      </c>
      <c r="N300" s="174" t="str">
        <f aca="false">IF(INDEX(Salary_Calculation[Source Row],ROW()-ROW(Payslip_Lookup[#Headers]))="","",INDEX(Salary_Calculation[Orders Counted at Base Rate],ROW()-ROW(Payslip_Lookup[#Headers])))</f>
        <v/>
      </c>
      <c r="O300" s="174" t="str">
        <f aca="false">IF(INDEX(Salary_Calculation[Source Row],ROW()-ROW(Payslip_Lookup[#Headers]))="","",INDEX(Salary_Calculation[Missing Orders],ROW()-ROW(Payslip_Lookup[#Headers])))</f>
        <v/>
      </c>
      <c r="P300" s="176" t="str">
        <f aca="false">IF(INDEX(Salary_Calculation[Source Row],ROW()-ROW(Payslip_Lookup[#Headers]))="","",INDEX(Salary_Calculation[Missing-Order Deduction],ROW()-ROW(Payslip_Lookup[#Headers])))</f>
        <v/>
      </c>
      <c r="Q300" s="174" t="str">
        <f aca="false">IF(INDEX(Salary_Calculation[Source Row],ROW()-ROW(Payslip_Lookup[#Headers]))="","",INDEX(Salary_Calculation[Extra Orders],ROW()-ROW(Payslip_Lookup[#Headers])))</f>
        <v/>
      </c>
      <c r="R300" s="176" t="str">
        <f aca="false">IF(INDEX(Salary_Calculation[Source Row],ROW()-ROW(Payslip_Lookup[#Headers]))="","",INDEX(Salary_Calculation[Extra-Order Bonus],ROW()-ROW(Payslip_Lookup[#Headers])))</f>
        <v/>
      </c>
      <c r="S300" s="176" t="str">
        <f aca="false">IF(INDEX(Salary_Calculation[Source Row],ROW()-ROW(Payslip_Lookup[#Headers]))="","",INDEX(Salary_Calculation[Basic Salary for Target],ROW()-ROW(Payslip_Lookup[#Headers])))</f>
        <v/>
      </c>
      <c r="T300" s="176" t="str">
        <f aca="false">IF(INDEX(Salary_Calculation[Source Row],ROW()-ROW(Payslip_Lookup[#Headers]))="","",INDEX(Salary_Calculation[Gross Salary Before Deductions],ROW()-ROW(Payslip_Lookup[#Headers])))</f>
        <v/>
      </c>
      <c r="U300" s="176" t="str">
        <f aca="false">IF(INDEX(Salary_Calculation[Source Row],ROW()-ROW(Payslip_Lookup[#Headers]))="","",INDEX(Salary_Calculation[missed_days_penalty],ROW()-ROW(Payslip_Lookup[#Headers])))</f>
        <v/>
      </c>
      <c r="V300" s="176" t="str">
        <f aca="false">IF(INDEX(Salary_Calculation[Source Row],ROW()-ROW(Payslip_Lookup[#Headers]))="","",INDEX(Salary_Calculation[Rider Balance],ROW()-ROW(Payslip_Lookup[#Headers])))</f>
        <v/>
      </c>
      <c r="W300" s="176" t="str">
        <f aca="false">IF(INDEX(Salary_Calculation[Source Row],ROW()-ROW(Payslip_Lookup[#Headers]))="","",INDEX(Salary_Calculation[stacking_deduction],ROW()-ROW(Payslip_Lookup[#Headers])))</f>
        <v/>
      </c>
      <c r="X300" s="176" t="str">
        <f aca="false">IF(INDEX(Salary_Calculation[Source Row],ROW()-ROW(Payslip_Lookup[#Headers]))="","",INDEX(Salary_Calculation[Other Deductions],ROW()-ROW(Payslip_Lookup[#Headers])))</f>
        <v/>
      </c>
      <c r="Y300" s="176" t="str">
        <f aca="false">IF(INDEX(Salary_Calculation[Source Row],ROW()-ROW(Payslip_Lookup[#Headers]))="","",INDEX(Salary_Calculation[Total Deductions],ROW()-ROW(Payslip_Lookup[#Headers])))</f>
        <v/>
      </c>
      <c r="Z300" s="176" t="str">
        <f aca="false">IF(INDEX(Salary_Calculation[Source Row],ROW()-ROW(Payslip_Lookup[#Headers]))="","",INDEX(Salary_Calculation[Final Salary],ROW()-ROW(Payslip_Lookup[#Headers])))</f>
        <v/>
      </c>
      <c r="AA300" s="176" t="str">
        <f aca="false">IF(INDEX(Salary_Calculation[Source Row],ROW()-ROW(Payslip_Lookup[#Headers]))="","",INDEX(Salary_Calculation[Negative Balance / Amount Due from Rider],ROW()-ROW(Payslip_Lookup[#Headers])))</f>
        <v/>
      </c>
      <c r="AB300" s="176" t="str">
        <f aca="false">IF(INDEX(Salary_Calculation[Source Row],ROW()-ROW(Payslip_Lookup[#Headers]))="","",INDEX(Salary_Calculation[Total Amount Due from Rider],ROW()-ROW(Payslip_Lookup[#Headers])))</f>
        <v/>
      </c>
      <c r="AC300" s="176" t="str">
        <f aca="false">IF(INDEX(Salary_Calculation[Source Row],ROW()-ROW(Payslip_Lookup[#Headers]))="","",INDEX(Salary_Calculation[Salary Before Other Deductions],ROW()-ROW(Payslip_Lookup[#Headers])))</f>
        <v/>
      </c>
      <c r="AD300" s="171" t="str">
        <f aca="false">IF(INDEX(Salary_Calculation[Source Row],ROW()-ROW(Payslip_Lookup[#Headers]))="","",INDEX(Salary_Calculation[Payment Status],ROW()-ROW(Payslip_Lookup[#Headers])))</f>
        <v/>
      </c>
      <c r="AE300" s="171" t="str">
        <f aca="false">IF(INDEX(Salary_Calculation[Source Row],ROW()-ROW(Payslip_Lookup[#Headers]))="","",INDEX(Salary_Calculation[Notes],ROW()-ROW(Payslip_Lookup[#Headers])))</f>
        <v/>
      </c>
      <c r="AF300" s="171" t="str">
        <f aca="false">IF(INDEX(Salary_Calculation[Source Row],ROW()-ROW(Payslip_Lookup[#Headers]))="","",INDEX(Salary_Calculation[Exception Reason],ROW()-ROW(Payslip_Lookup[#Headers])))</f>
        <v/>
      </c>
      <c r="AG300" s="173" t="str">
        <f aca="false">IF($AD300="Review Required",COUNTIF(AD$2:AD300,"Review Required"),"")</f>
        <v/>
      </c>
      <c r="AH300" s="173" t="str">
        <f aca="false">IF(AND($D300&lt;&gt;"",$B300=Payslip_Print!$C$2),MAX(AH$1:AH299)+1,"")</f>
        <v/>
      </c>
      <c r="AL300" s="178" t="str">
        <f aca="false">IFERROR(INDEX($D$2:$D$501,MATCH(ROW()-1,$AH$2:$AH$501,0)),"")</f>
        <v/>
      </c>
      <c r="AM300" s="179" t="str">
        <f aca="false">IF($Z300="","",IF(AND($C300&gt;=Dash_Start,$C300&lt;Dash_End),$Z300+ROW()/10000000,""))</f>
        <v/>
      </c>
    </row>
    <row r="301" customFormat="false" ht="14.25" hidden="false" customHeight="false" outlineLevel="0" collapsed="false">
      <c r="A301" s="171" t="str">
        <f aca="false">IF(Payslip_Lookup[[#This Row],[Rider ID]]="","",Payslip_Lookup[[#This Row],[Rider ID]]&amp;"|"&amp;Payslip_Lookup[[#This Row],[Month Key]])</f>
        <v/>
      </c>
      <c r="B301" s="172" t="str">
        <f aca="false">IF(ISNUMBER(Payslip_Lookup[[#This Row],[Salary Month]]),DATE(YEAR(Payslip_Lookup[[#This Row],[Salary Month]]),MONTH(Payslip_Lookup[[#This Row],[Salary Month]]),1),"")</f>
        <v/>
      </c>
      <c r="C301" s="172" t="str">
        <f aca="false">IF(INDEX(Salary_Calculation[Source Row],ROW()-ROW(Payslip_Lookup[#Headers]))="","",INDEX(Salary_Calculation[Salary Month],ROW()-ROW(Payslip_Lookup[#Headers])))</f>
        <v/>
      </c>
      <c r="D301" s="173" t="str">
        <f aca="false">IF(INDEX(Salary_Calculation[Source Row],ROW()-ROW(Payslip_Lookup[#Headers]))="","",INDEX(Salary_Calculation[Rider ID],ROW()-ROW(Payslip_Lookup[#Headers])))</f>
        <v/>
      </c>
      <c r="E301" s="171" t="str">
        <f aca="false">IF(INDEX(Salary_Calculation[Source Row],ROW()-ROW(Payslip_Lookup[#Headers]))="","",INDEX(Salary_Calculation[Rider Name],ROW()-ROW(Payslip_Lookup[#Headers])))</f>
        <v/>
      </c>
      <c r="F301" s="173" t="str">
        <f aca="false">IF(INDEX(Salary_Calculation[Source Row],ROW()-ROW(Payslip_Lookup[#Headers]))="","",INDEX(Salary_Calculation[Working Days],ROW()-ROW(Payslip_Lookup[#Headers])))</f>
        <v/>
      </c>
      <c r="G301" s="173" t="str">
        <f aca="false">IF(INDEX(Salary_Calculation[Source Row],ROW()-ROW(Payslip_Lookup[#Headers]))="","",INDEX(Salary_Calculation[Calendar Days],ROW()-ROW(Payslip_Lookup[#Headers])))</f>
        <v/>
      </c>
      <c r="H301" s="174" t="str">
        <f aca="false">IF(INDEX(Salary_Calculation[Source Row],ROW()-ROW(Payslip_Lookup[#Headers]))="","",INDEX(Salary_Calculation[Monthly Target Orders],ROW()-ROW(Payslip_Lookup[#Headers])))</f>
        <v/>
      </c>
      <c r="I301" s="174" t="str">
        <f aca="false">IF(INDEX(Salary_Calculation[Source Row],ROW()-ROW(Payslip_Lookup[#Headers]))="","",INDEX(Salary_Calculation[Rider Target Orders],ROW()-ROW(Payslip_Lookup[#Headers])))</f>
        <v/>
      </c>
      <c r="J301" s="175" t="str">
        <f aca="false">IF(INDEX(Salary_Calculation[Source Row],ROW()-ROW(Payslip_Lookup[#Headers]))="","",INDEX(Salary_Calculation[Completed Orders],ROW()-ROW(Payslip_Lookup[#Headers])))</f>
        <v/>
      </c>
      <c r="K301" s="174" t="str">
        <f aca="false">IF(INDEX(Salary_Calculation[Source Row],ROW()-ROW(Payslip_Lookup[#Headers]))="","",INDEX(Salary_Calculation[Base Order Rate],ROW()-ROW(Payslip_Lookup[#Headers])))</f>
        <v/>
      </c>
      <c r="L301" s="176" t="str">
        <f aca="false">IF(INDEX(Salary_Calculation[Source Row],ROW()-ROW(Payslip_Lookup[#Headers]))="","",INDEX(Salary_Calculation[Basic Payment],ROW()-ROW(Payslip_Lookup[#Headers])))</f>
        <v/>
      </c>
      <c r="M301" s="176" t="str">
        <f aca="false">IF(INDEX(Salary_Calculation[Source Row],ROW()-ROW(Payslip_Lookup[#Headers]))="","",INDEX(Salary_Calculation[Earned Salary],ROW()-ROW(Payslip_Lookup[#Headers])))</f>
        <v/>
      </c>
      <c r="N301" s="174" t="str">
        <f aca="false">IF(INDEX(Salary_Calculation[Source Row],ROW()-ROW(Payslip_Lookup[#Headers]))="","",INDEX(Salary_Calculation[Orders Counted at Base Rate],ROW()-ROW(Payslip_Lookup[#Headers])))</f>
        <v/>
      </c>
      <c r="O301" s="174" t="str">
        <f aca="false">IF(INDEX(Salary_Calculation[Source Row],ROW()-ROW(Payslip_Lookup[#Headers]))="","",INDEX(Salary_Calculation[Missing Orders],ROW()-ROW(Payslip_Lookup[#Headers])))</f>
        <v/>
      </c>
      <c r="P301" s="176" t="str">
        <f aca="false">IF(INDEX(Salary_Calculation[Source Row],ROW()-ROW(Payslip_Lookup[#Headers]))="","",INDEX(Salary_Calculation[Missing-Order Deduction],ROW()-ROW(Payslip_Lookup[#Headers])))</f>
        <v/>
      </c>
      <c r="Q301" s="174" t="str">
        <f aca="false">IF(INDEX(Salary_Calculation[Source Row],ROW()-ROW(Payslip_Lookup[#Headers]))="","",INDEX(Salary_Calculation[Extra Orders],ROW()-ROW(Payslip_Lookup[#Headers])))</f>
        <v/>
      </c>
      <c r="R301" s="176" t="str">
        <f aca="false">IF(INDEX(Salary_Calculation[Source Row],ROW()-ROW(Payslip_Lookup[#Headers]))="","",INDEX(Salary_Calculation[Extra-Order Bonus],ROW()-ROW(Payslip_Lookup[#Headers])))</f>
        <v/>
      </c>
      <c r="S301" s="176" t="str">
        <f aca="false">IF(INDEX(Salary_Calculation[Source Row],ROW()-ROW(Payslip_Lookup[#Headers]))="","",INDEX(Salary_Calculation[Basic Salary for Target],ROW()-ROW(Payslip_Lookup[#Headers])))</f>
        <v/>
      </c>
      <c r="T301" s="176" t="str">
        <f aca="false">IF(INDEX(Salary_Calculation[Source Row],ROW()-ROW(Payslip_Lookup[#Headers]))="","",INDEX(Salary_Calculation[Gross Salary Before Deductions],ROW()-ROW(Payslip_Lookup[#Headers])))</f>
        <v/>
      </c>
      <c r="U301" s="176" t="str">
        <f aca="false">IF(INDEX(Salary_Calculation[Source Row],ROW()-ROW(Payslip_Lookup[#Headers]))="","",INDEX(Salary_Calculation[missed_days_penalty],ROW()-ROW(Payslip_Lookup[#Headers])))</f>
        <v/>
      </c>
      <c r="V301" s="176" t="str">
        <f aca="false">IF(INDEX(Salary_Calculation[Source Row],ROW()-ROW(Payslip_Lookup[#Headers]))="","",INDEX(Salary_Calculation[Rider Balance],ROW()-ROW(Payslip_Lookup[#Headers])))</f>
        <v/>
      </c>
      <c r="W301" s="176" t="str">
        <f aca="false">IF(INDEX(Salary_Calculation[Source Row],ROW()-ROW(Payslip_Lookup[#Headers]))="","",INDEX(Salary_Calculation[stacking_deduction],ROW()-ROW(Payslip_Lookup[#Headers])))</f>
        <v/>
      </c>
      <c r="X301" s="176" t="str">
        <f aca="false">IF(INDEX(Salary_Calculation[Source Row],ROW()-ROW(Payslip_Lookup[#Headers]))="","",INDEX(Salary_Calculation[Other Deductions],ROW()-ROW(Payslip_Lookup[#Headers])))</f>
        <v/>
      </c>
      <c r="Y301" s="176" t="str">
        <f aca="false">IF(INDEX(Salary_Calculation[Source Row],ROW()-ROW(Payslip_Lookup[#Headers]))="","",INDEX(Salary_Calculation[Total Deductions],ROW()-ROW(Payslip_Lookup[#Headers])))</f>
        <v/>
      </c>
      <c r="Z301" s="176" t="str">
        <f aca="false">IF(INDEX(Salary_Calculation[Source Row],ROW()-ROW(Payslip_Lookup[#Headers]))="","",INDEX(Salary_Calculation[Final Salary],ROW()-ROW(Payslip_Lookup[#Headers])))</f>
        <v/>
      </c>
      <c r="AA301" s="176" t="str">
        <f aca="false">IF(INDEX(Salary_Calculation[Source Row],ROW()-ROW(Payslip_Lookup[#Headers]))="","",INDEX(Salary_Calculation[Negative Balance / Amount Due from Rider],ROW()-ROW(Payslip_Lookup[#Headers])))</f>
        <v/>
      </c>
      <c r="AB301" s="176" t="str">
        <f aca="false">IF(INDEX(Salary_Calculation[Source Row],ROW()-ROW(Payslip_Lookup[#Headers]))="","",INDEX(Salary_Calculation[Total Amount Due from Rider],ROW()-ROW(Payslip_Lookup[#Headers])))</f>
        <v/>
      </c>
      <c r="AC301" s="176" t="str">
        <f aca="false">IF(INDEX(Salary_Calculation[Source Row],ROW()-ROW(Payslip_Lookup[#Headers]))="","",INDEX(Salary_Calculation[Salary Before Other Deductions],ROW()-ROW(Payslip_Lookup[#Headers])))</f>
        <v/>
      </c>
      <c r="AD301" s="171" t="str">
        <f aca="false">IF(INDEX(Salary_Calculation[Source Row],ROW()-ROW(Payslip_Lookup[#Headers]))="","",INDEX(Salary_Calculation[Payment Status],ROW()-ROW(Payslip_Lookup[#Headers])))</f>
        <v/>
      </c>
      <c r="AE301" s="171" t="str">
        <f aca="false">IF(INDEX(Salary_Calculation[Source Row],ROW()-ROW(Payslip_Lookup[#Headers]))="","",INDEX(Salary_Calculation[Notes],ROW()-ROW(Payslip_Lookup[#Headers])))</f>
        <v/>
      </c>
      <c r="AF301" s="171" t="str">
        <f aca="false">IF(INDEX(Salary_Calculation[Source Row],ROW()-ROW(Payslip_Lookup[#Headers]))="","",INDEX(Salary_Calculation[Exception Reason],ROW()-ROW(Payslip_Lookup[#Headers])))</f>
        <v/>
      </c>
      <c r="AG301" s="173" t="str">
        <f aca="false">IF($AD301="Review Required",COUNTIF(AD$2:AD301,"Review Required"),"")</f>
        <v/>
      </c>
      <c r="AH301" s="173" t="str">
        <f aca="false">IF(AND($D301&lt;&gt;"",$B301=Payslip_Print!$C$2),MAX(AH$1:AH300)+1,"")</f>
        <v/>
      </c>
      <c r="AL301" s="178" t="str">
        <f aca="false">IFERROR(INDEX($D$2:$D$501,MATCH(ROW()-1,$AH$2:$AH$501,0)),"")</f>
        <v/>
      </c>
      <c r="AM301" s="179" t="str">
        <f aca="false">IF($Z301="","",IF(AND($C301&gt;=Dash_Start,$C301&lt;Dash_End),$Z301+ROW()/10000000,""))</f>
        <v/>
      </c>
    </row>
    <row r="302" customFormat="false" ht="14.25" hidden="false" customHeight="false" outlineLevel="0" collapsed="false">
      <c r="A302" s="171" t="str">
        <f aca="false">IF(Payslip_Lookup[[#This Row],[Rider ID]]="","",Payslip_Lookup[[#This Row],[Rider ID]]&amp;"|"&amp;Payslip_Lookup[[#This Row],[Month Key]])</f>
        <v/>
      </c>
      <c r="B302" s="172" t="str">
        <f aca="false">IF(ISNUMBER(Payslip_Lookup[[#This Row],[Salary Month]]),DATE(YEAR(Payslip_Lookup[[#This Row],[Salary Month]]),MONTH(Payslip_Lookup[[#This Row],[Salary Month]]),1),"")</f>
        <v/>
      </c>
      <c r="C302" s="172" t="str">
        <f aca="false">IF(INDEX(Salary_Calculation[Source Row],ROW()-ROW(Payslip_Lookup[#Headers]))="","",INDEX(Salary_Calculation[Salary Month],ROW()-ROW(Payslip_Lookup[#Headers])))</f>
        <v/>
      </c>
      <c r="D302" s="173" t="str">
        <f aca="false">IF(INDEX(Salary_Calculation[Source Row],ROW()-ROW(Payslip_Lookup[#Headers]))="","",INDEX(Salary_Calculation[Rider ID],ROW()-ROW(Payslip_Lookup[#Headers])))</f>
        <v/>
      </c>
      <c r="E302" s="171" t="str">
        <f aca="false">IF(INDEX(Salary_Calculation[Source Row],ROW()-ROW(Payslip_Lookup[#Headers]))="","",INDEX(Salary_Calculation[Rider Name],ROW()-ROW(Payslip_Lookup[#Headers])))</f>
        <v/>
      </c>
      <c r="F302" s="173" t="str">
        <f aca="false">IF(INDEX(Salary_Calculation[Source Row],ROW()-ROW(Payslip_Lookup[#Headers]))="","",INDEX(Salary_Calculation[Working Days],ROW()-ROW(Payslip_Lookup[#Headers])))</f>
        <v/>
      </c>
      <c r="G302" s="173" t="str">
        <f aca="false">IF(INDEX(Salary_Calculation[Source Row],ROW()-ROW(Payslip_Lookup[#Headers]))="","",INDEX(Salary_Calculation[Calendar Days],ROW()-ROW(Payslip_Lookup[#Headers])))</f>
        <v/>
      </c>
      <c r="H302" s="174" t="str">
        <f aca="false">IF(INDEX(Salary_Calculation[Source Row],ROW()-ROW(Payslip_Lookup[#Headers]))="","",INDEX(Salary_Calculation[Monthly Target Orders],ROW()-ROW(Payslip_Lookup[#Headers])))</f>
        <v/>
      </c>
      <c r="I302" s="174" t="str">
        <f aca="false">IF(INDEX(Salary_Calculation[Source Row],ROW()-ROW(Payslip_Lookup[#Headers]))="","",INDEX(Salary_Calculation[Rider Target Orders],ROW()-ROW(Payslip_Lookup[#Headers])))</f>
        <v/>
      </c>
      <c r="J302" s="175" t="str">
        <f aca="false">IF(INDEX(Salary_Calculation[Source Row],ROW()-ROW(Payslip_Lookup[#Headers]))="","",INDEX(Salary_Calculation[Completed Orders],ROW()-ROW(Payslip_Lookup[#Headers])))</f>
        <v/>
      </c>
      <c r="K302" s="174" t="str">
        <f aca="false">IF(INDEX(Salary_Calculation[Source Row],ROW()-ROW(Payslip_Lookup[#Headers]))="","",INDEX(Salary_Calculation[Base Order Rate],ROW()-ROW(Payslip_Lookup[#Headers])))</f>
        <v/>
      </c>
      <c r="L302" s="176" t="str">
        <f aca="false">IF(INDEX(Salary_Calculation[Source Row],ROW()-ROW(Payslip_Lookup[#Headers]))="","",INDEX(Salary_Calculation[Basic Payment],ROW()-ROW(Payslip_Lookup[#Headers])))</f>
        <v/>
      </c>
      <c r="M302" s="176" t="str">
        <f aca="false">IF(INDEX(Salary_Calculation[Source Row],ROW()-ROW(Payslip_Lookup[#Headers]))="","",INDEX(Salary_Calculation[Earned Salary],ROW()-ROW(Payslip_Lookup[#Headers])))</f>
        <v/>
      </c>
      <c r="N302" s="174" t="str">
        <f aca="false">IF(INDEX(Salary_Calculation[Source Row],ROW()-ROW(Payslip_Lookup[#Headers]))="","",INDEX(Salary_Calculation[Orders Counted at Base Rate],ROW()-ROW(Payslip_Lookup[#Headers])))</f>
        <v/>
      </c>
      <c r="O302" s="174" t="str">
        <f aca="false">IF(INDEX(Salary_Calculation[Source Row],ROW()-ROW(Payslip_Lookup[#Headers]))="","",INDEX(Salary_Calculation[Missing Orders],ROW()-ROW(Payslip_Lookup[#Headers])))</f>
        <v/>
      </c>
      <c r="P302" s="176" t="str">
        <f aca="false">IF(INDEX(Salary_Calculation[Source Row],ROW()-ROW(Payslip_Lookup[#Headers]))="","",INDEX(Salary_Calculation[Missing-Order Deduction],ROW()-ROW(Payslip_Lookup[#Headers])))</f>
        <v/>
      </c>
      <c r="Q302" s="174" t="str">
        <f aca="false">IF(INDEX(Salary_Calculation[Source Row],ROW()-ROW(Payslip_Lookup[#Headers]))="","",INDEX(Salary_Calculation[Extra Orders],ROW()-ROW(Payslip_Lookup[#Headers])))</f>
        <v/>
      </c>
      <c r="R302" s="176" t="str">
        <f aca="false">IF(INDEX(Salary_Calculation[Source Row],ROW()-ROW(Payslip_Lookup[#Headers]))="","",INDEX(Salary_Calculation[Extra-Order Bonus],ROW()-ROW(Payslip_Lookup[#Headers])))</f>
        <v/>
      </c>
      <c r="S302" s="176" t="str">
        <f aca="false">IF(INDEX(Salary_Calculation[Source Row],ROW()-ROW(Payslip_Lookup[#Headers]))="","",INDEX(Salary_Calculation[Basic Salary for Target],ROW()-ROW(Payslip_Lookup[#Headers])))</f>
        <v/>
      </c>
      <c r="T302" s="176" t="str">
        <f aca="false">IF(INDEX(Salary_Calculation[Source Row],ROW()-ROW(Payslip_Lookup[#Headers]))="","",INDEX(Salary_Calculation[Gross Salary Before Deductions],ROW()-ROW(Payslip_Lookup[#Headers])))</f>
        <v/>
      </c>
      <c r="U302" s="176" t="str">
        <f aca="false">IF(INDEX(Salary_Calculation[Source Row],ROW()-ROW(Payslip_Lookup[#Headers]))="","",INDEX(Salary_Calculation[missed_days_penalty],ROW()-ROW(Payslip_Lookup[#Headers])))</f>
        <v/>
      </c>
      <c r="V302" s="176" t="str">
        <f aca="false">IF(INDEX(Salary_Calculation[Source Row],ROW()-ROW(Payslip_Lookup[#Headers]))="","",INDEX(Salary_Calculation[Rider Balance],ROW()-ROW(Payslip_Lookup[#Headers])))</f>
        <v/>
      </c>
      <c r="W302" s="176" t="str">
        <f aca="false">IF(INDEX(Salary_Calculation[Source Row],ROW()-ROW(Payslip_Lookup[#Headers]))="","",INDEX(Salary_Calculation[stacking_deduction],ROW()-ROW(Payslip_Lookup[#Headers])))</f>
        <v/>
      </c>
      <c r="X302" s="176" t="str">
        <f aca="false">IF(INDEX(Salary_Calculation[Source Row],ROW()-ROW(Payslip_Lookup[#Headers]))="","",INDEX(Salary_Calculation[Other Deductions],ROW()-ROW(Payslip_Lookup[#Headers])))</f>
        <v/>
      </c>
      <c r="Y302" s="176" t="str">
        <f aca="false">IF(INDEX(Salary_Calculation[Source Row],ROW()-ROW(Payslip_Lookup[#Headers]))="","",INDEX(Salary_Calculation[Total Deductions],ROW()-ROW(Payslip_Lookup[#Headers])))</f>
        <v/>
      </c>
      <c r="Z302" s="176" t="str">
        <f aca="false">IF(INDEX(Salary_Calculation[Source Row],ROW()-ROW(Payslip_Lookup[#Headers]))="","",INDEX(Salary_Calculation[Final Salary],ROW()-ROW(Payslip_Lookup[#Headers])))</f>
        <v/>
      </c>
      <c r="AA302" s="176" t="str">
        <f aca="false">IF(INDEX(Salary_Calculation[Source Row],ROW()-ROW(Payslip_Lookup[#Headers]))="","",INDEX(Salary_Calculation[Negative Balance / Amount Due from Rider],ROW()-ROW(Payslip_Lookup[#Headers])))</f>
        <v/>
      </c>
      <c r="AB302" s="176" t="str">
        <f aca="false">IF(INDEX(Salary_Calculation[Source Row],ROW()-ROW(Payslip_Lookup[#Headers]))="","",INDEX(Salary_Calculation[Total Amount Due from Rider],ROW()-ROW(Payslip_Lookup[#Headers])))</f>
        <v/>
      </c>
      <c r="AC302" s="176" t="str">
        <f aca="false">IF(INDEX(Salary_Calculation[Source Row],ROW()-ROW(Payslip_Lookup[#Headers]))="","",INDEX(Salary_Calculation[Salary Before Other Deductions],ROW()-ROW(Payslip_Lookup[#Headers])))</f>
        <v/>
      </c>
      <c r="AD302" s="171" t="str">
        <f aca="false">IF(INDEX(Salary_Calculation[Source Row],ROW()-ROW(Payslip_Lookup[#Headers]))="","",INDEX(Salary_Calculation[Payment Status],ROW()-ROW(Payslip_Lookup[#Headers])))</f>
        <v/>
      </c>
      <c r="AE302" s="171" t="str">
        <f aca="false">IF(INDEX(Salary_Calculation[Source Row],ROW()-ROW(Payslip_Lookup[#Headers]))="","",INDEX(Salary_Calculation[Notes],ROW()-ROW(Payslip_Lookup[#Headers])))</f>
        <v/>
      </c>
      <c r="AF302" s="171" t="str">
        <f aca="false">IF(INDEX(Salary_Calculation[Source Row],ROW()-ROW(Payslip_Lookup[#Headers]))="","",INDEX(Salary_Calculation[Exception Reason],ROW()-ROW(Payslip_Lookup[#Headers])))</f>
        <v/>
      </c>
      <c r="AG302" s="173" t="str">
        <f aca="false">IF($AD302="Review Required",COUNTIF(AD$2:AD302,"Review Required"),"")</f>
        <v/>
      </c>
      <c r="AH302" s="173" t="str">
        <f aca="false">IF(AND($D302&lt;&gt;"",$B302=Payslip_Print!$C$2),MAX(AH$1:AH301)+1,"")</f>
        <v/>
      </c>
      <c r="AL302" s="178" t="str">
        <f aca="false">IFERROR(INDEX($D$2:$D$501,MATCH(ROW()-1,$AH$2:$AH$501,0)),"")</f>
        <v/>
      </c>
      <c r="AM302" s="179" t="str">
        <f aca="false">IF($Z302="","",IF(AND($C302&gt;=Dash_Start,$C302&lt;Dash_End),$Z302+ROW()/10000000,""))</f>
        <v/>
      </c>
    </row>
    <row r="303" customFormat="false" ht="14.25" hidden="false" customHeight="false" outlineLevel="0" collapsed="false">
      <c r="A303" s="171" t="str">
        <f aca="false">IF(Payslip_Lookup[[#This Row],[Rider ID]]="","",Payslip_Lookup[[#This Row],[Rider ID]]&amp;"|"&amp;Payslip_Lookup[[#This Row],[Month Key]])</f>
        <v/>
      </c>
      <c r="B303" s="172" t="str">
        <f aca="false">IF(ISNUMBER(Payslip_Lookup[[#This Row],[Salary Month]]),DATE(YEAR(Payslip_Lookup[[#This Row],[Salary Month]]),MONTH(Payslip_Lookup[[#This Row],[Salary Month]]),1),"")</f>
        <v/>
      </c>
      <c r="C303" s="172" t="str">
        <f aca="false">IF(INDEX(Salary_Calculation[Source Row],ROW()-ROW(Payslip_Lookup[#Headers]))="","",INDEX(Salary_Calculation[Salary Month],ROW()-ROW(Payslip_Lookup[#Headers])))</f>
        <v/>
      </c>
      <c r="D303" s="173" t="str">
        <f aca="false">IF(INDEX(Salary_Calculation[Source Row],ROW()-ROW(Payslip_Lookup[#Headers]))="","",INDEX(Salary_Calculation[Rider ID],ROW()-ROW(Payslip_Lookup[#Headers])))</f>
        <v/>
      </c>
      <c r="E303" s="171" t="str">
        <f aca="false">IF(INDEX(Salary_Calculation[Source Row],ROW()-ROW(Payslip_Lookup[#Headers]))="","",INDEX(Salary_Calculation[Rider Name],ROW()-ROW(Payslip_Lookup[#Headers])))</f>
        <v/>
      </c>
      <c r="F303" s="173" t="str">
        <f aca="false">IF(INDEX(Salary_Calculation[Source Row],ROW()-ROW(Payslip_Lookup[#Headers]))="","",INDEX(Salary_Calculation[Working Days],ROW()-ROW(Payslip_Lookup[#Headers])))</f>
        <v/>
      </c>
      <c r="G303" s="173" t="str">
        <f aca="false">IF(INDEX(Salary_Calculation[Source Row],ROW()-ROW(Payslip_Lookup[#Headers]))="","",INDEX(Salary_Calculation[Calendar Days],ROW()-ROW(Payslip_Lookup[#Headers])))</f>
        <v/>
      </c>
      <c r="H303" s="174" t="str">
        <f aca="false">IF(INDEX(Salary_Calculation[Source Row],ROW()-ROW(Payslip_Lookup[#Headers]))="","",INDEX(Salary_Calculation[Monthly Target Orders],ROW()-ROW(Payslip_Lookup[#Headers])))</f>
        <v/>
      </c>
      <c r="I303" s="174" t="str">
        <f aca="false">IF(INDEX(Salary_Calculation[Source Row],ROW()-ROW(Payslip_Lookup[#Headers]))="","",INDEX(Salary_Calculation[Rider Target Orders],ROW()-ROW(Payslip_Lookup[#Headers])))</f>
        <v/>
      </c>
      <c r="J303" s="175" t="str">
        <f aca="false">IF(INDEX(Salary_Calculation[Source Row],ROW()-ROW(Payslip_Lookup[#Headers]))="","",INDEX(Salary_Calculation[Completed Orders],ROW()-ROW(Payslip_Lookup[#Headers])))</f>
        <v/>
      </c>
      <c r="K303" s="174" t="str">
        <f aca="false">IF(INDEX(Salary_Calculation[Source Row],ROW()-ROW(Payslip_Lookup[#Headers]))="","",INDEX(Salary_Calculation[Base Order Rate],ROW()-ROW(Payslip_Lookup[#Headers])))</f>
        <v/>
      </c>
      <c r="L303" s="176" t="str">
        <f aca="false">IF(INDEX(Salary_Calculation[Source Row],ROW()-ROW(Payslip_Lookup[#Headers]))="","",INDEX(Salary_Calculation[Basic Payment],ROW()-ROW(Payslip_Lookup[#Headers])))</f>
        <v/>
      </c>
      <c r="M303" s="176" t="str">
        <f aca="false">IF(INDEX(Salary_Calculation[Source Row],ROW()-ROW(Payslip_Lookup[#Headers]))="","",INDEX(Salary_Calculation[Earned Salary],ROW()-ROW(Payslip_Lookup[#Headers])))</f>
        <v/>
      </c>
      <c r="N303" s="174" t="str">
        <f aca="false">IF(INDEX(Salary_Calculation[Source Row],ROW()-ROW(Payslip_Lookup[#Headers]))="","",INDEX(Salary_Calculation[Orders Counted at Base Rate],ROW()-ROW(Payslip_Lookup[#Headers])))</f>
        <v/>
      </c>
      <c r="O303" s="174" t="str">
        <f aca="false">IF(INDEX(Salary_Calculation[Source Row],ROW()-ROW(Payslip_Lookup[#Headers]))="","",INDEX(Salary_Calculation[Missing Orders],ROW()-ROW(Payslip_Lookup[#Headers])))</f>
        <v/>
      </c>
      <c r="P303" s="176" t="str">
        <f aca="false">IF(INDEX(Salary_Calculation[Source Row],ROW()-ROW(Payslip_Lookup[#Headers]))="","",INDEX(Salary_Calculation[Missing-Order Deduction],ROW()-ROW(Payslip_Lookup[#Headers])))</f>
        <v/>
      </c>
      <c r="Q303" s="174" t="str">
        <f aca="false">IF(INDEX(Salary_Calculation[Source Row],ROW()-ROW(Payslip_Lookup[#Headers]))="","",INDEX(Salary_Calculation[Extra Orders],ROW()-ROW(Payslip_Lookup[#Headers])))</f>
        <v/>
      </c>
      <c r="R303" s="176" t="str">
        <f aca="false">IF(INDEX(Salary_Calculation[Source Row],ROW()-ROW(Payslip_Lookup[#Headers]))="","",INDEX(Salary_Calculation[Extra-Order Bonus],ROW()-ROW(Payslip_Lookup[#Headers])))</f>
        <v/>
      </c>
      <c r="S303" s="176" t="str">
        <f aca="false">IF(INDEX(Salary_Calculation[Source Row],ROW()-ROW(Payslip_Lookup[#Headers]))="","",INDEX(Salary_Calculation[Basic Salary for Target],ROW()-ROW(Payslip_Lookup[#Headers])))</f>
        <v/>
      </c>
      <c r="T303" s="176" t="str">
        <f aca="false">IF(INDEX(Salary_Calculation[Source Row],ROW()-ROW(Payslip_Lookup[#Headers]))="","",INDEX(Salary_Calculation[Gross Salary Before Deductions],ROW()-ROW(Payslip_Lookup[#Headers])))</f>
        <v/>
      </c>
      <c r="U303" s="176" t="str">
        <f aca="false">IF(INDEX(Salary_Calculation[Source Row],ROW()-ROW(Payslip_Lookup[#Headers]))="","",INDEX(Salary_Calculation[missed_days_penalty],ROW()-ROW(Payslip_Lookup[#Headers])))</f>
        <v/>
      </c>
      <c r="V303" s="176" t="str">
        <f aca="false">IF(INDEX(Salary_Calculation[Source Row],ROW()-ROW(Payslip_Lookup[#Headers]))="","",INDEX(Salary_Calculation[Rider Balance],ROW()-ROW(Payslip_Lookup[#Headers])))</f>
        <v/>
      </c>
      <c r="W303" s="176" t="str">
        <f aca="false">IF(INDEX(Salary_Calculation[Source Row],ROW()-ROW(Payslip_Lookup[#Headers]))="","",INDEX(Salary_Calculation[stacking_deduction],ROW()-ROW(Payslip_Lookup[#Headers])))</f>
        <v/>
      </c>
      <c r="X303" s="176" t="str">
        <f aca="false">IF(INDEX(Salary_Calculation[Source Row],ROW()-ROW(Payslip_Lookup[#Headers]))="","",INDEX(Salary_Calculation[Other Deductions],ROW()-ROW(Payslip_Lookup[#Headers])))</f>
        <v/>
      </c>
      <c r="Y303" s="176" t="str">
        <f aca="false">IF(INDEX(Salary_Calculation[Source Row],ROW()-ROW(Payslip_Lookup[#Headers]))="","",INDEX(Salary_Calculation[Total Deductions],ROW()-ROW(Payslip_Lookup[#Headers])))</f>
        <v/>
      </c>
      <c r="Z303" s="176" t="str">
        <f aca="false">IF(INDEX(Salary_Calculation[Source Row],ROW()-ROW(Payslip_Lookup[#Headers]))="","",INDEX(Salary_Calculation[Final Salary],ROW()-ROW(Payslip_Lookup[#Headers])))</f>
        <v/>
      </c>
      <c r="AA303" s="176" t="str">
        <f aca="false">IF(INDEX(Salary_Calculation[Source Row],ROW()-ROW(Payslip_Lookup[#Headers]))="","",INDEX(Salary_Calculation[Negative Balance / Amount Due from Rider],ROW()-ROW(Payslip_Lookup[#Headers])))</f>
        <v/>
      </c>
      <c r="AB303" s="176" t="str">
        <f aca="false">IF(INDEX(Salary_Calculation[Source Row],ROW()-ROW(Payslip_Lookup[#Headers]))="","",INDEX(Salary_Calculation[Total Amount Due from Rider],ROW()-ROW(Payslip_Lookup[#Headers])))</f>
        <v/>
      </c>
      <c r="AC303" s="176" t="str">
        <f aca="false">IF(INDEX(Salary_Calculation[Source Row],ROW()-ROW(Payslip_Lookup[#Headers]))="","",INDEX(Salary_Calculation[Salary Before Other Deductions],ROW()-ROW(Payslip_Lookup[#Headers])))</f>
        <v/>
      </c>
      <c r="AD303" s="171" t="str">
        <f aca="false">IF(INDEX(Salary_Calculation[Source Row],ROW()-ROW(Payslip_Lookup[#Headers]))="","",INDEX(Salary_Calculation[Payment Status],ROW()-ROW(Payslip_Lookup[#Headers])))</f>
        <v/>
      </c>
      <c r="AE303" s="171" t="str">
        <f aca="false">IF(INDEX(Salary_Calculation[Source Row],ROW()-ROW(Payslip_Lookup[#Headers]))="","",INDEX(Salary_Calculation[Notes],ROW()-ROW(Payslip_Lookup[#Headers])))</f>
        <v/>
      </c>
      <c r="AF303" s="171" t="str">
        <f aca="false">IF(INDEX(Salary_Calculation[Source Row],ROW()-ROW(Payslip_Lookup[#Headers]))="","",INDEX(Salary_Calculation[Exception Reason],ROW()-ROW(Payslip_Lookup[#Headers])))</f>
        <v/>
      </c>
      <c r="AG303" s="173" t="str">
        <f aca="false">IF($AD303="Review Required",COUNTIF(AD$2:AD303,"Review Required"),"")</f>
        <v/>
      </c>
      <c r="AH303" s="173" t="str">
        <f aca="false">IF(AND($D303&lt;&gt;"",$B303=Payslip_Print!$C$2),MAX(AH$1:AH302)+1,"")</f>
        <v/>
      </c>
      <c r="AL303" s="178" t="str">
        <f aca="false">IFERROR(INDEX($D$2:$D$501,MATCH(ROW()-1,$AH$2:$AH$501,0)),"")</f>
        <v/>
      </c>
      <c r="AM303" s="179" t="str">
        <f aca="false">IF($Z303="","",IF(AND($C303&gt;=Dash_Start,$C303&lt;Dash_End),$Z303+ROW()/10000000,""))</f>
        <v/>
      </c>
    </row>
    <row r="304" customFormat="false" ht="14.25" hidden="false" customHeight="false" outlineLevel="0" collapsed="false">
      <c r="A304" s="171" t="str">
        <f aca="false">IF(Payslip_Lookup[[#This Row],[Rider ID]]="","",Payslip_Lookup[[#This Row],[Rider ID]]&amp;"|"&amp;Payslip_Lookup[[#This Row],[Month Key]])</f>
        <v/>
      </c>
      <c r="B304" s="172" t="str">
        <f aca="false">IF(ISNUMBER(Payslip_Lookup[[#This Row],[Salary Month]]),DATE(YEAR(Payslip_Lookup[[#This Row],[Salary Month]]),MONTH(Payslip_Lookup[[#This Row],[Salary Month]]),1),"")</f>
        <v/>
      </c>
      <c r="C304" s="172" t="str">
        <f aca="false">IF(INDEX(Salary_Calculation[Source Row],ROW()-ROW(Payslip_Lookup[#Headers]))="","",INDEX(Salary_Calculation[Salary Month],ROW()-ROW(Payslip_Lookup[#Headers])))</f>
        <v/>
      </c>
      <c r="D304" s="173" t="str">
        <f aca="false">IF(INDEX(Salary_Calculation[Source Row],ROW()-ROW(Payslip_Lookup[#Headers]))="","",INDEX(Salary_Calculation[Rider ID],ROW()-ROW(Payslip_Lookup[#Headers])))</f>
        <v/>
      </c>
      <c r="E304" s="171" t="str">
        <f aca="false">IF(INDEX(Salary_Calculation[Source Row],ROW()-ROW(Payslip_Lookup[#Headers]))="","",INDEX(Salary_Calculation[Rider Name],ROW()-ROW(Payslip_Lookup[#Headers])))</f>
        <v/>
      </c>
      <c r="F304" s="173" t="str">
        <f aca="false">IF(INDEX(Salary_Calculation[Source Row],ROW()-ROW(Payslip_Lookup[#Headers]))="","",INDEX(Salary_Calculation[Working Days],ROW()-ROW(Payslip_Lookup[#Headers])))</f>
        <v/>
      </c>
      <c r="G304" s="173" t="str">
        <f aca="false">IF(INDEX(Salary_Calculation[Source Row],ROW()-ROW(Payslip_Lookup[#Headers]))="","",INDEX(Salary_Calculation[Calendar Days],ROW()-ROW(Payslip_Lookup[#Headers])))</f>
        <v/>
      </c>
      <c r="H304" s="174" t="str">
        <f aca="false">IF(INDEX(Salary_Calculation[Source Row],ROW()-ROW(Payslip_Lookup[#Headers]))="","",INDEX(Salary_Calculation[Monthly Target Orders],ROW()-ROW(Payslip_Lookup[#Headers])))</f>
        <v/>
      </c>
      <c r="I304" s="174" t="str">
        <f aca="false">IF(INDEX(Salary_Calculation[Source Row],ROW()-ROW(Payslip_Lookup[#Headers]))="","",INDEX(Salary_Calculation[Rider Target Orders],ROW()-ROW(Payslip_Lookup[#Headers])))</f>
        <v/>
      </c>
      <c r="J304" s="175" t="str">
        <f aca="false">IF(INDEX(Salary_Calculation[Source Row],ROW()-ROW(Payslip_Lookup[#Headers]))="","",INDEX(Salary_Calculation[Completed Orders],ROW()-ROW(Payslip_Lookup[#Headers])))</f>
        <v/>
      </c>
      <c r="K304" s="174" t="str">
        <f aca="false">IF(INDEX(Salary_Calculation[Source Row],ROW()-ROW(Payslip_Lookup[#Headers]))="","",INDEX(Salary_Calculation[Base Order Rate],ROW()-ROW(Payslip_Lookup[#Headers])))</f>
        <v/>
      </c>
      <c r="L304" s="176" t="str">
        <f aca="false">IF(INDEX(Salary_Calculation[Source Row],ROW()-ROW(Payslip_Lookup[#Headers]))="","",INDEX(Salary_Calculation[Basic Payment],ROW()-ROW(Payslip_Lookup[#Headers])))</f>
        <v/>
      </c>
      <c r="M304" s="176" t="str">
        <f aca="false">IF(INDEX(Salary_Calculation[Source Row],ROW()-ROW(Payslip_Lookup[#Headers]))="","",INDEX(Salary_Calculation[Earned Salary],ROW()-ROW(Payslip_Lookup[#Headers])))</f>
        <v/>
      </c>
      <c r="N304" s="174" t="str">
        <f aca="false">IF(INDEX(Salary_Calculation[Source Row],ROW()-ROW(Payslip_Lookup[#Headers]))="","",INDEX(Salary_Calculation[Orders Counted at Base Rate],ROW()-ROW(Payslip_Lookup[#Headers])))</f>
        <v/>
      </c>
      <c r="O304" s="174" t="str">
        <f aca="false">IF(INDEX(Salary_Calculation[Source Row],ROW()-ROW(Payslip_Lookup[#Headers]))="","",INDEX(Salary_Calculation[Missing Orders],ROW()-ROW(Payslip_Lookup[#Headers])))</f>
        <v/>
      </c>
      <c r="P304" s="176" t="str">
        <f aca="false">IF(INDEX(Salary_Calculation[Source Row],ROW()-ROW(Payslip_Lookup[#Headers]))="","",INDEX(Salary_Calculation[Missing-Order Deduction],ROW()-ROW(Payslip_Lookup[#Headers])))</f>
        <v/>
      </c>
      <c r="Q304" s="174" t="str">
        <f aca="false">IF(INDEX(Salary_Calculation[Source Row],ROW()-ROW(Payslip_Lookup[#Headers]))="","",INDEX(Salary_Calculation[Extra Orders],ROW()-ROW(Payslip_Lookup[#Headers])))</f>
        <v/>
      </c>
      <c r="R304" s="176" t="str">
        <f aca="false">IF(INDEX(Salary_Calculation[Source Row],ROW()-ROW(Payslip_Lookup[#Headers]))="","",INDEX(Salary_Calculation[Extra-Order Bonus],ROW()-ROW(Payslip_Lookup[#Headers])))</f>
        <v/>
      </c>
      <c r="S304" s="176" t="str">
        <f aca="false">IF(INDEX(Salary_Calculation[Source Row],ROW()-ROW(Payslip_Lookup[#Headers]))="","",INDEX(Salary_Calculation[Basic Salary for Target],ROW()-ROW(Payslip_Lookup[#Headers])))</f>
        <v/>
      </c>
      <c r="T304" s="176" t="str">
        <f aca="false">IF(INDEX(Salary_Calculation[Source Row],ROW()-ROW(Payslip_Lookup[#Headers]))="","",INDEX(Salary_Calculation[Gross Salary Before Deductions],ROW()-ROW(Payslip_Lookup[#Headers])))</f>
        <v/>
      </c>
      <c r="U304" s="176" t="str">
        <f aca="false">IF(INDEX(Salary_Calculation[Source Row],ROW()-ROW(Payslip_Lookup[#Headers]))="","",INDEX(Salary_Calculation[missed_days_penalty],ROW()-ROW(Payslip_Lookup[#Headers])))</f>
        <v/>
      </c>
      <c r="V304" s="176" t="str">
        <f aca="false">IF(INDEX(Salary_Calculation[Source Row],ROW()-ROW(Payslip_Lookup[#Headers]))="","",INDEX(Salary_Calculation[Rider Balance],ROW()-ROW(Payslip_Lookup[#Headers])))</f>
        <v/>
      </c>
      <c r="W304" s="176" t="str">
        <f aca="false">IF(INDEX(Salary_Calculation[Source Row],ROW()-ROW(Payslip_Lookup[#Headers]))="","",INDEX(Salary_Calculation[stacking_deduction],ROW()-ROW(Payslip_Lookup[#Headers])))</f>
        <v/>
      </c>
      <c r="X304" s="176" t="str">
        <f aca="false">IF(INDEX(Salary_Calculation[Source Row],ROW()-ROW(Payslip_Lookup[#Headers]))="","",INDEX(Salary_Calculation[Other Deductions],ROW()-ROW(Payslip_Lookup[#Headers])))</f>
        <v/>
      </c>
      <c r="Y304" s="176" t="str">
        <f aca="false">IF(INDEX(Salary_Calculation[Source Row],ROW()-ROW(Payslip_Lookup[#Headers]))="","",INDEX(Salary_Calculation[Total Deductions],ROW()-ROW(Payslip_Lookup[#Headers])))</f>
        <v/>
      </c>
      <c r="Z304" s="176" t="str">
        <f aca="false">IF(INDEX(Salary_Calculation[Source Row],ROW()-ROW(Payslip_Lookup[#Headers]))="","",INDEX(Salary_Calculation[Final Salary],ROW()-ROW(Payslip_Lookup[#Headers])))</f>
        <v/>
      </c>
      <c r="AA304" s="176" t="str">
        <f aca="false">IF(INDEX(Salary_Calculation[Source Row],ROW()-ROW(Payslip_Lookup[#Headers]))="","",INDEX(Salary_Calculation[Negative Balance / Amount Due from Rider],ROW()-ROW(Payslip_Lookup[#Headers])))</f>
        <v/>
      </c>
      <c r="AB304" s="176" t="str">
        <f aca="false">IF(INDEX(Salary_Calculation[Source Row],ROW()-ROW(Payslip_Lookup[#Headers]))="","",INDEX(Salary_Calculation[Total Amount Due from Rider],ROW()-ROW(Payslip_Lookup[#Headers])))</f>
        <v/>
      </c>
      <c r="AC304" s="176" t="str">
        <f aca="false">IF(INDEX(Salary_Calculation[Source Row],ROW()-ROW(Payslip_Lookup[#Headers]))="","",INDEX(Salary_Calculation[Salary Before Other Deductions],ROW()-ROW(Payslip_Lookup[#Headers])))</f>
        <v/>
      </c>
      <c r="AD304" s="171" t="str">
        <f aca="false">IF(INDEX(Salary_Calculation[Source Row],ROW()-ROW(Payslip_Lookup[#Headers]))="","",INDEX(Salary_Calculation[Payment Status],ROW()-ROW(Payslip_Lookup[#Headers])))</f>
        <v/>
      </c>
      <c r="AE304" s="171" t="str">
        <f aca="false">IF(INDEX(Salary_Calculation[Source Row],ROW()-ROW(Payslip_Lookup[#Headers]))="","",INDEX(Salary_Calculation[Notes],ROW()-ROW(Payslip_Lookup[#Headers])))</f>
        <v/>
      </c>
      <c r="AF304" s="171" t="str">
        <f aca="false">IF(INDEX(Salary_Calculation[Source Row],ROW()-ROW(Payslip_Lookup[#Headers]))="","",INDEX(Salary_Calculation[Exception Reason],ROW()-ROW(Payslip_Lookup[#Headers])))</f>
        <v/>
      </c>
      <c r="AG304" s="173" t="str">
        <f aca="false">IF($AD304="Review Required",COUNTIF(AD$2:AD304,"Review Required"),"")</f>
        <v/>
      </c>
      <c r="AH304" s="173" t="str">
        <f aca="false">IF(AND($D304&lt;&gt;"",$B304=Payslip_Print!$C$2),MAX(AH$1:AH303)+1,"")</f>
        <v/>
      </c>
      <c r="AL304" s="178" t="str">
        <f aca="false">IFERROR(INDEX($D$2:$D$501,MATCH(ROW()-1,$AH$2:$AH$501,0)),"")</f>
        <v/>
      </c>
      <c r="AM304" s="179" t="str">
        <f aca="false">IF($Z304="","",IF(AND($C304&gt;=Dash_Start,$C304&lt;Dash_End),$Z304+ROW()/10000000,""))</f>
        <v/>
      </c>
    </row>
    <row r="305" customFormat="false" ht="14.25" hidden="false" customHeight="false" outlineLevel="0" collapsed="false">
      <c r="A305" s="171" t="str">
        <f aca="false">IF(Payslip_Lookup[[#This Row],[Rider ID]]="","",Payslip_Lookup[[#This Row],[Rider ID]]&amp;"|"&amp;Payslip_Lookup[[#This Row],[Month Key]])</f>
        <v/>
      </c>
      <c r="B305" s="172" t="str">
        <f aca="false">IF(ISNUMBER(Payslip_Lookup[[#This Row],[Salary Month]]),DATE(YEAR(Payslip_Lookup[[#This Row],[Salary Month]]),MONTH(Payslip_Lookup[[#This Row],[Salary Month]]),1),"")</f>
        <v/>
      </c>
      <c r="C305" s="172" t="str">
        <f aca="false">IF(INDEX(Salary_Calculation[Source Row],ROW()-ROW(Payslip_Lookup[#Headers]))="","",INDEX(Salary_Calculation[Salary Month],ROW()-ROW(Payslip_Lookup[#Headers])))</f>
        <v/>
      </c>
      <c r="D305" s="173" t="str">
        <f aca="false">IF(INDEX(Salary_Calculation[Source Row],ROW()-ROW(Payslip_Lookup[#Headers]))="","",INDEX(Salary_Calculation[Rider ID],ROW()-ROW(Payslip_Lookup[#Headers])))</f>
        <v/>
      </c>
      <c r="E305" s="171" t="str">
        <f aca="false">IF(INDEX(Salary_Calculation[Source Row],ROW()-ROW(Payslip_Lookup[#Headers]))="","",INDEX(Salary_Calculation[Rider Name],ROW()-ROW(Payslip_Lookup[#Headers])))</f>
        <v/>
      </c>
      <c r="F305" s="173" t="str">
        <f aca="false">IF(INDEX(Salary_Calculation[Source Row],ROW()-ROW(Payslip_Lookup[#Headers]))="","",INDEX(Salary_Calculation[Working Days],ROW()-ROW(Payslip_Lookup[#Headers])))</f>
        <v/>
      </c>
      <c r="G305" s="173" t="str">
        <f aca="false">IF(INDEX(Salary_Calculation[Source Row],ROW()-ROW(Payslip_Lookup[#Headers]))="","",INDEX(Salary_Calculation[Calendar Days],ROW()-ROW(Payslip_Lookup[#Headers])))</f>
        <v/>
      </c>
      <c r="H305" s="174" t="str">
        <f aca="false">IF(INDEX(Salary_Calculation[Source Row],ROW()-ROW(Payslip_Lookup[#Headers]))="","",INDEX(Salary_Calculation[Monthly Target Orders],ROW()-ROW(Payslip_Lookup[#Headers])))</f>
        <v/>
      </c>
      <c r="I305" s="174" t="str">
        <f aca="false">IF(INDEX(Salary_Calculation[Source Row],ROW()-ROW(Payslip_Lookup[#Headers]))="","",INDEX(Salary_Calculation[Rider Target Orders],ROW()-ROW(Payslip_Lookup[#Headers])))</f>
        <v/>
      </c>
      <c r="J305" s="175" t="str">
        <f aca="false">IF(INDEX(Salary_Calculation[Source Row],ROW()-ROW(Payslip_Lookup[#Headers]))="","",INDEX(Salary_Calculation[Completed Orders],ROW()-ROW(Payslip_Lookup[#Headers])))</f>
        <v/>
      </c>
      <c r="K305" s="174" t="str">
        <f aca="false">IF(INDEX(Salary_Calculation[Source Row],ROW()-ROW(Payslip_Lookup[#Headers]))="","",INDEX(Salary_Calculation[Base Order Rate],ROW()-ROW(Payslip_Lookup[#Headers])))</f>
        <v/>
      </c>
      <c r="L305" s="176" t="str">
        <f aca="false">IF(INDEX(Salary_Calculation[Source Row],ROW()-ROW(Payslip_Lookup[#Headers]))="","",INDEX(Salary_Calculation[Basic Payment],ROW()-ROW(Payslip_Lookup[#Headers])))</f>
        <v/>
      </c>
      <c r="M305" s="176" t="str">
        <f aca="false">IF(INDEX(Salary_Calculation[Source Row],ROW()-ROW(Payslip_Lookup[#Headers]))="","",INDEX(Salary_Calculation[Earned Salary],ROW()-ROW(Payslip_Lookup[#Headers])))</f>
        <v/>
      </c>
      <c r="N305" s="174" t="str">
        <f aca="false">IF(INDEX(Salary_Calculation[Source Row],ROW()-ROW(Payslip_Lookup[#Headers]))="","",INDEX(Salary_Calculation[Orders Counted at Base Rate],ROW()-ROW(Payslip_Lookup[#Headers])))</f>
        <v/>
      </c>
      <c r="O305" s="174" t="str">
        <f aca="false">IF(INDEX(Salary_Calculation[Source Row],ROW()-ROW(Payslip_Lookup[#Headers]))="","",INDEX(Salary_Calculation[Missing Orders],ROW()-ROW(Payslip_Lookup[#Headers])))</f>
        <v/>
      </c>
      <c r="P305" s="176" t="str">
        <f aca="false">IF(INDEX(Salary_Calculation[Source Row],ROW()-ROW(Payslip_Lookup[#Headers]))="","",INDEX(Salary_Calculation[Missing-Order Deduction],ROW()-ROW(Payslip_Lookup[#Headers])))</f>
        <v/>
      </c>
      <c r="Q305" s="174" t="str">
        <f aca="false">IF(INDEX(Salary_Calculation[Source Row],ROW()-ROW(Payslip_Lookup[#Headers]))="","",INDEX(Salary_Calculation[Extra Orders],ROW()-ROW(Payslip_Lookup[#Headers])))</f>
        <v/>
      </c>
      <c r="R305" s="176" t="str">
        <f aca="false">IF(INDEX(Salary_Calculation[Source Row],ROW()-ROW(Payslip_Lookup[#Headers]))="","",INDEX(Salary_Calculation[Extra-Order Bonus],ROW()-ROW(Payslip_Lookup[#Headers])))</f>
        <v/>
      </c>
      <c r="S305" s="176" t="str">
        <f aca="false">IF(INDEX(Salary_Calculation[Source Row],ROW()-ROW(Payslip_Lookup[#Headers]))="","",INDEX(Salary_Calculation[Basic Salary for Target],ROW()-ROW(Payslip_Lookup[#Headers])))</f>
        <v/>
      </c>
      <c r="T305" s="176" t="str">
        <f aca="false">IF(INDEX(Salary_Calculation[Source Row],ROW()-ROW(Payslip_Lookup[#Headers]))="","",INDEX(Salary_Calculation[Gross Salary Before Deductions],ROW()-ROW(Payslip_Lookup[#Headers])))</f>
        <v/>
      </c>
      <c r="U305" s="176" t="str">
        <f aca="false">IF(INDEX(Salary_Calculation[Source Row],ROW()-ROW(Payslip_Lookup[#Headers]))="","",INDEX(Salary_Calculation[missed_days_penalty],ROW()-ROW(Payslip_Lookup[#Headers])))</f>
        <v/>
      </c>
      <c r="V305" s="176" t="str">
        <f aca="false">IF(INDEX(Salary_Calculation[Source Row],ROW()-ROW(Payslip_Lookup[#Headers]))="","",INDEX(Salary_Calculation[Rider Balance],ROW()-ROW(Payslip_Lookup[#Headers])))</f>
        <v/>
      </c>
      <c r="W305" s="176" t="str">
        <f aca="false">IF(INDEX(Salary_Calculation[Source Row],ROW()-ROW(Payslip_Lookup[#Headers]))="","",INDEX(Salary_Calculation[stacking_deduction],ROW()-ROW(Payslip_Lookup[#Headers])))</f>
        <v/>
      </c>
      <c r="X305" s="176" t="str">
        <f aca="false">IF(INDEX(Salary_Calculation[Source Row],ROW()-ROW(Payslip_Lookup[#Headers]))="","",INDEX(Salary_Calculation[Other Deductions],ROW()-ROW(Payslip_Lookup[#Headers])))</f>
        <v/>
      </c>
      <c r="Y305" s="176" t="str">
        <f aca="false">IF(INDEX(Salary_Calculation[Source Row],ROW()-ROW(Payslip_Lookup[#Headers]))="","",INDEX(Salary_Calculation[Total Deductions],ROW()-ROW(Payslip_Lookup[#Headers])))</f>
        <v/>
      </c>
      <c r="Z305" s="176" t="str">
        <f aca="false">IF(INDEX(Salary_Calculation[Source Row],ROW()-ROW(Payslip_Lookup[#Headers]))="","",INDEX(Salary_Calculation[Final Salary],ROW()-ROW(Payslip_Lookup[#Headers])))</f>
        <v/>
      </c>
      <c r="AA305" s="176" t="str">
        <f aca="false">IF(INDEX(Salary_Calculation[Source Row],ROW()-ROW(Payslip_Lookup[#Headers]))="","",INDEX(Salary_Calculation[Negative Balance / Amount Due from Rider],ROW()-ROW(Payslip_Lookup[#Headers])))</f>
        <v/>
      </c>
      <c r="AB305" s="176" t="str">
        <f aca="false">IF(INDEX(Salary_Calculation[Source Row],ROW()-ROW(Payslip_Lookup[#Headers]))="","",INDEX(Salary_Calculation[Total Amount Due from Rider],ROW()-ROW(Payslip_Lookup[#Headers])))</f>
        <v/>
      </c>
      <c r="AC305" s="176" t="str">
        <f aca="false">IF(INDEX(Salary_Calculation[Source Row],ROW()-ROW(Payslip_Lookup[#Headers]))="","",INDEX(Salary_Calculation[Salary Before Other Deductions],ROW()-ROW(Payslip_Lookup[#Headers])))</f>
        <v/>
      </c>
      <c r="AD305" s="171" t="str">
        <f aca="false">IF(INDEX(Salary_Calculation[Source Row],ROW()-ROW(Payslip_Lookup[#Headers]))="","",INDEX(Salary_Calculation[Payment Status],ROW()-ROW(Payslip_Lookup[#Headers])))</f>
        <v/>
      </c>
      <c r="AE305" s="171" t="str">
        <f aca="false">IF(INDEX(Salary_Calculation[Source Row],ROW()-ROW(Payslip_Lookup[#Headers]))="","",INDEX(Salary_Calculation[Notes],ROW()-ROW(Payslip_Lookup[#Headers])))</f>
        <v/>
      </c>
      <c r="AF305" s="171" t="str">
        <f aca="false">IF(INDEX(Salary_Calculation[Source Row],ROW()-ROW(Payslip_Lookup[#Headers]))="","",INDEX(Salary_Calculation[Exception Reason],ROW()-ROW(Payslip_Lookup[#Headers])))</f>
        <v/>
      </c>
      <c r="AG305" s="173" t="str">
        <f aca="false">IF($AD305="Review Required",COUNTIF(AD$2:AD305,"Review Required"),"")</f>
        <v/>
      </c>
      <c r="AH305" s="173" t="str">
        <f aca="false">IF(AND($D305&lt;&gt;"",$B305=Payslip_Print!$C$2),MAX(AH$1:AH304)+1,"")</f>
        <v/>
      </c>
      <c r="AL305" s="178" t="str">
        <f aca="false">IFERROR(INDEX($D$2:$D$501,MATCH(ROW()-1,$AH$2:$AH$501,0)),"")</f>
        <v/>
      </c>
      <c r="AM305" s="179" t="str">
        <f aca="false">IF($Z305="","",IF(AND($C305&gt;=Dash_Start,$C305&lt;Dash_End),$Z305+ROW()/10000000,""))</f>
        <v/>
      </c>
    </row>
    <row r="306" customFormat="false" ht="14.25" hidden="false" customHeight="false" outlineLevel="0" collapsed="false">
      <c r="A306" s="171" t="str">
        <f aca="false">IF(Payslip_Lookup[[#This Row],[Rider ID]]="","",Payslip_Lookup[[#This Row],[Rider ID]]&amp;"|"&amp;Payslip_Lookup[[#This Row],[Month Key]])</f>
        <v/>
      </c>
      <c r="B306" s="172" t="str">
        <f aca="false">IF(ISNUMBER(Payslip_Lookup[[#This Row],[Salary Month]]),DATE(YEAR(Payslip_Lookup[[#This Row],[Salary Month]]),MONTH(Payslip_Lookup[[#This Row],[Salary Month]]),1),"")</f>
        <v/>
      </c>
      <c r="C306" s="172" t="str">
        <f aca="false">IF(INDEX(Salary_Calculation[Source Row],ROW()-ROW(Payslip_Lookup[#Headers]))="","",INDEX(Salary_Calculation[Salary Month],ROW()-ROW(Payslip_Lookup[#Headers])))</f>
        <v/>
      </c>
      <c r="D306" s="173" t="str">
        <f aca="false">IF(INDEX(Salary_Calculation[Source Row],ROW()-ROW(Payslip_Lookup[#Headers]))="","",INDEX(Salary_Calculation[Rider ID],ROW()-ROW(Payslip_Lookup[#Headers])))</f>
        <v/>
      </c>
      <c r="E306" s="171" t="str">
        <f aca="false">IF(INDEX(Salary_Calculation[Source Row],ROW()-ROW(Payslip_Lookup[#Headers]))="","",INDEX(Salary_Calculation[Rider Name],ROW()-ROW(Payslip_Lookup[#Headers])))</f>
        <v/>
      </c>
      <c r="F306" s="173" t="str">
        <f aca="false">IF(INDEX(Salary_Calculation[Source Row],ROW()-ROW(Payslip_Lookup[#Headers]))="","",INDEX(Salary_Calculation[Working Days],ROW()-ROW(Payslip_Lookup[#Headers])))</f>
        <v/>
      </c>
      <c r="G306" s="173" t="str">
        <f aca="false">IF(INDEX(Salary_Calculation[Source Row],ROW()-ROW(Payslip_Lookup[#Headers]))="","",INDEX(Salary_Calculation[Calendar Days],ROW()-ROW(Payslip_Lookup[#Headers])))</f>
        <v/>
      </c>
      <c r="H306" s="174" t="str">
        <f aca="false">IF(INDEX(Salary_Calculation[Source Row],ROW()-ROW(Payslip_Lookup[#Headers]))="","",INDEX(Salary_Calculation[Monthly Target Orders],ROW()-ROW(Payslip_Lookup[#Headers])))</f>
        <v/>
      </c>
      <c r="I306" s="174" t="str">
        <f aca="false">IF(INDEX(Salary_Calculation[Source Row],ROW()-ROW(Payslip_Lookup[#Headers]))="","",INDEX(Salary_Calculation[Rider Target Orders],ROW()-ROW(Payslip_Lookup[#Headers])))</f>
        <v/>
      </c>
      <c r="J306" s="175" t="str">
        <f aca="false">IF(INDEX(Salary_Calculation[Source Row],ROW()-ROW(Payslip_Lookup[#Headers]))="","",INDEX(Salary_Calculation[Completed Orders],ROW()-ROW(Payslip_Lookup[#Headers])))</f>
        <v/>
      </c>
      <c r="K306" s="174" t="str">
        <f aca="false">IF(INDEX(Salary_Calculation[Source Row],ROW()-ROW(Payslip_Lookup[#Headers]))="","",INDEX(Salary_Calculation[Base Order Rate],ROW()-ROW(Payslip_Lookup[#Headers])))</f>
        <v/>
      </c>
      <c r="L306" s="176" t="str">
        <f aca="false">IF(INDEX(Salary_Calculation[Source Row],ROW()-ROW(Payslip_Lookup[#Headers]))="","",INDEX(Salary_Calculation[Basic Payment],ROW()-ROW(Payslip_Lookup[#Headers])))</f>
        <v/>
      </c>
      <c r="M306" s="176" t="str">
        <f aca="false">IF(INDEX(Salary_Calculation[Source Row],ROW()-ROW(Payslip_Lookup[#Headers]))="","",INDEX(Salary_Calculation[Earned Salary],ROW()-ROW(Payslip_Lookup[#Headers])))</f>
        <v/>
      </c>
      <c r="N306" s="174" t="str">
        <f aca="false">IF(INDEX(Salary_Calculation[Source Row],ROW()-ROW(Payslip_Lookup[#Headers]))="","",INDEX(Salary_Calculation[Orders Counted at Base Rate],ROW()-ROW(Payslip_Lookup[#Headers])))</f>
        <v/>
      </c>
      <c r="O306" s="174" t="str">
        <f aca="false">IF(INDEX(Salary_Calculation[Source Row],ROW()-ROW(Payslip_Lookup[#Headers]))="","",INDEX(Salary_Calculation[Missing Orders],ROW()-ROW(Payslip_Lookup[#Headers])))</f>
        <v/>
      </c>
      <c r="P306" s="176" t="str">
        <f aca="false">IF(INDEX(Salary_Calculation[Source Row],ROW()-ROW(Payslip_Lookup[#Headers]))="","",INDEX(Salary_Calculation[Missing-Order Deduction],ROW()-ROW(Payslip_Lookup[#Headers])))</f>
        <v/>
      </c>
      <c r="Q306" s="174" t="str">
        <f aca="false">IF(INDEX(Salary_Calculation[Source Row],ROW()-ROW(Payslip_Lookup[#Headers]))="","",INDEX(Salary_Calculation[Extra Orders],ROW()-ROW(Payslip_Lookup[#Headers])))</f>
        <v/>
      </c>
      <c r="R306" s="176" t="str">
        <f aca="false">IF(INDEX(Salary_Calculation[Source Row],ROW()-ROW(Payslip_Lookup[#Headers]))="","",INDEX(Salary_Calculation[Extra-Order Bonus],ROW()-ROW(Payslip_Lookup[#Headers])))</f>
        <v/>
      </c>
      <c r="S306" s="176" t="str">
        <f aca="false">IF(INDEX(Salary_Calculation[Source Row],ROW()-ROW(Payslip_Lookup[#Headers]))="","",INDEX(Salary_Calculation[Basic Salary for Target],ROW()-ROW(Payslip_Lookup[#Headers])))</f>
        <v/>
      </c>
      <c r="T306" s="176" t="str">
        <f aca="false">IF(INDEX(Salary_Calculation[Source Row],ROW()-ROW(Payslip_Lookup[#Headers]))="","",INDEX(Salary_Calculation[Gross Salary Before Deductions],ROW()-ROW(Payslip_Lookup[#Headers])))</f>
        <v/>
      </c>
      <c r="U306" s="176" t="str">
        <f aca="false">IF(INDEX(Salary_Calculation[Source Row],ROW()-ROW(Payslip_Lookup[#Headers]))="","",INDEX(Salary_Calculation[missed_days_penalty],ROW()-ROW(Payslip_Lookup[#Headers])))</f>
        <v/>
      </c>
      <c r="V306" s="176" t="str">
        <f aca="false">IF(INDEX(Salary_Calculation[Source Row],ROW()-ROW(Payslip_Lookup[#Headers]))="","",INDEX(Salary_Calculation[Rider Balance],ROW()-ROW(Payslip_Lookup[#Headers])))</f>
        <v/>
      </c>
      <c r="W306" s="176" t="str">
        <f aca="false">IF(INDEX(Salary_Calculation[Source Row],ROW()-ROW(Payslip_Lookup[#Headers]))="","",INDEX(Salary_Calculation[stacking_deduction],ROW()-ROW(Payslip_Lookup[#Headers])))</f>
        <v/>
      </c>
      <c r="X306" s="176" t="str">
        <f aca="false">IF(INDEX(Salary_Calculation[Source Row],ROW()-ROW(Payslip_Lookup[#Headers]))="","",INDEX(Salary_Calculation[Other Deductions],ROW()-ROW(Payslip_Lookup[#Headers])))</f>
        <v/>
      </c>
      <c r="Y306" s="176" t="str">
        <f aca="false">IF(INDEX(Salary_Calculation[Source Row],ROW()-ROW(Payslip_Lookup[#Headers]))="","",INDEX(Salary_Calculation[Total Deductions],ROW()-ROW(Payslip_Lookup[#Headers])))</f>
        <v/>
      </c>
      <c r="Z306" s="176" t="str">
        <f aca="false">IF(INDEX(Salary_Calculation[Source Row],ROW()-ROW(Payslip_Lookup[#Headers]))="","",INDEX(Salary_Calculation[Final Salary],ROW()-ROW(Payslip_Lookup[#Headers])))</f>
        <v/>
      </c>
      <c r="AA306" s="176" t="str">
        <f aca="false">IF(INDEX(Salary_Calculation[Source Row],ROW()-ROW(Payslip_Lookup[#Headers]))="","",INDEX(Salary_Calculation[Negative Balance / Amount Due from Rider],ROW()-ROW(Payslip_Lookup[#Headers])))</f>
        <v/>
      </c>
      <c r="AB306" s="176" t="str">
        <f aca="false">IF(INDEX(Salary_Calculation[Source Row],ROW()-ROW(Payslip_Lookup[#Headers]))="","",INDEX(Salary_Calculation[Total Amount Due from Rider],ROW()-ROW(Payslip_Lookup[#Headers])))</f>
        <v/>
      </c>
      <c r="AC306" s="176" t="str">
        <f aca="false">IF(INDEX(Salary_Calculation[Source Row],ROW()-ROW(Payslip_Lookup[#Headers]))="","",INDEX(Salary_Calculation[Salary Before Other Deductions],ROW()-ROW(Payslip_Lookup[#Headers])))</f>
        <v/>
      </c>
      <c r="AD306" s="171" t="str">
        <f aca="false">IF(INDEX(Salary_Calculation[Source Row],ROW()-ROW(Payslip_Lookup[#Headers]))="","",INDEX(Salary_Calculation[Payment Status],ROW()-ROW(Payslip_Lookup[#Headers])))</f>
        <v/>
      </c>
      <c r="AE306" s="171" t="str">
        <f aca="false">IF(INDEX(Salary_Calculation[Source Row],ROW()-ROW(Payslip_Lookup[#Headers]))="","",INDEX(Salary_Calculation[Notes],ROW()-ROW(Payslip_Lookup[#Headers])))</f>
        <v/>
      </c>
      <c r="AF306" s="171" t="str">
        <f aca="false">IF(INDEX(Salary_Calculation[Source Row],ROW()-ROW(Payslip_Lookup[#Headers]))="","",INDEX(Salary_Calculation[Exception Reason],ROW()-ROW(Payslip_Lookup[#Headers])))</f>
        <v/>
      </c>
      <c r="AG306" s="173" t="str">
        <f aca="false">IF($AD306="Review Required",COUNTIF(AD$2:AD306,"Review Required"),"")</f>
        <v/>
      </c>
      <c r="AH306" s="173" t="str">
        <f aca="false">IF(AND($D306&lt;&gt;"",$B306=Payslip_Print!$C$2),MAX(AH$1:AH305)+1,"")</f>
        <v/>
      </c>
      <c r="AL306" s="178" t="str">
        <f aca="false">IFERROR(INDEX($D$2:$D$501,MATCH(ROW()-1,$AH$2:$AH$501,0)),"")</f>
        <v/>
      </c>
      <c r="AM306" s="179" t="str">
        <f aca="false">IF($Z306="","",IF(AND($C306&gt;=Dash_Start,$C306&lt;Dash_End),$Z306+ROW()/10000000,""))</f>
        <v/>
      </c>
    </row>
    <row r="307" customFormat="false" ht="14.25" hidden="false" customHeight="false" outlineLevel="0" collapsed="false">
      <c r="A307" s="171" t="str">
        <f aca="false">IF(Payslip_Lookup[[#This Row],[Rider ID]]="","",Payslip_Lookup[[#This Row],[Rider ID]]&amp;"|"&amp;Payslip_Lookup[[#This Row],[Month Key]])</f>
        <v/>
      </c>
      <c r="B307" s="172" t="str">
        <f aca="false">IF(ISNUMBER(Payslip_Lookup[[#This Row],[Salary Month]]),DATE(YEAR(Payslip_Lookup[[#This Row],[Salary Month]]),MONTH(Payslip_Lookup[[#This Row],[Salary Month]]),1),"")</f>
        <v/>
      </c>
      <c r="C307" s="172" t="str">
        <f aca="false">IF(INDEX(Salary_Calculation[Source Row],ROW()-ROW(Payslip_Lookup[#Headers]))="","",INDEX(Salary_Calculation[Salary Month],ROW()-ROW(Payslip_Lookup[#Headers])))</f>
        <v/>
      </c>
      <c r="D307" s="173" t="str">
        <f aca="false">IF(INDEX(Salary_Calculation[Source Row],ROW()-ROW(Payslip_Lookup[#Headers]))="","",INDEX(Salary_Calculation[Rider ID],ROW()-ROW(Payslip_Lookup[#Headers])))</f>
        <v/>
      </c>
      <c r="E307" s="171" t="str">
        <f aca="false">IF(INDEX(Salary_Calculation[Source Row],ROW()-ROW(Payslip_Lookup[#Headers]))="","",INDEX(Salary_Calculation[Rider Name],ROW()-ROW(Payslip_Lookup[#Headers])))</f>
        <v/>
      </c>
      <c r="F307" s="173" t="str">
        <f aca="false">IF(INDEX(Salary_Calculation[Source Row],ROW()-ROW(Payslip_Lookup[#Headers]))="","",INDEX(Salary_Calculation[Working Days],ROW()-ROW(Payslip_Lookup[#Headers])))</f>
        <v/>
      </c>
      <c r="G307" s="173" t="str">
        <f aca="false">IF(INDEX(Salary_Calculation[Source Row],ROW()-ROW(Payslip_Lookup[#Headers]))="","",INDEX(Salary_Calculation[Calendar Days],ROW()-ROW(Payslip_Lookup[#Headers])))</f>
        <v/>
      </c>
      <c r="H307" s="174" t="str">
        <f aca="false">IF(INDEX(Salary_Calculation[Source Row],ROW()-ROW(Payslip_Lookup[#Headers]))="","",INDEX(Salary_Calculation[Monthly Target Orders],ROW()-ROW(Payslip_Lookup[#Headers])))</f>
        <v/>
      </c>
      <c r="I307" s="174" t="str">
        <f aca="false">IF(INDEX(Salary_Calculation[Source Row],ROW()-ROW(Payslip_Lookup[#Headers]))="","",INDEX(Salary_Calculation[Rider Target Orders],ROW()-ROW(Payslip_Lookup[#Headers])))</f>
        <v/>
      </c>
      <c r="J307" s="175" t="str">
        <f aca="false">IF(INDEX(Salary_Calculation[Source Row],ROW()-ROW(Payslip_Lookup[#Headers]))="","",INDEX(Salary_Calculation[Completed Orders],ROW()-ROW(Payslip_Lookup[#Headers])))</f>
        <v/>
      </c>
      <c r="K307" s="174" t="str">
        <f aca="false">IF(INDEX(Salary_Calculation[Source Row],ROW()-ROW(Payslip_Lookup[#Headers]))="","",INDEX(Salary_Calculation[Base Order Rate],ROW()-ROW(Payslip_Lookup[#Headers])))</f>
        <v/>
      </c>
      <c r="L307" s="176" t="str">
        <f aca="false">IF(INDEX(Salary_Calculation[Source Row],ROW()-ROW(Payslip_Lookup[#Headers]))="","",INDEX(Salary_Calculation[Basic Payment],ROW()-ROW(Payslip_Lookup[#Headers])))</f>
        <v/>
      </c>
      <c r="M307" s="176" t="str">
        <f aca="false">IF(INDEX(Salary_Calculation[Source Row],ROW()-ROW(Payslip_Lookup[#Headers]))="","",INDEX(Salary_Calculation[Earned Salary],ROW()-ROW(Payslip_Lookup[#Headers])))</f>
        <v/>
      </c>
      <c r="N307" s="174" t="str">
        <f aca="false">IF(INDEX(Salary_Calculation[Source Row],ROW()-ROW(Payslip_Lookup[#Headers]))="","",INDEX(Salary_Calculation[Orders Counted at Base Rate],ROW()-ROW(Payslip_Lookup[#Headers])))</f>
        <v/>
      </c>
      <c r="O307" s="174" t="str">
        <f aca="false">IF(INDEX(Salary_Calculation[Source Row],ROW()-ROW(Payslip_Lookup[#Headers]))="","",INDEX(Salary_Calculation[Missing Orders],ROW()-ROW(Payslip_Lookup[#Headers])))</f>
        <v/>
      </c>
      <c r="P307" s="176" t="str">
        <f aca="false">IF(INDEX(Salary_Calculation[Source Row],ROW()-ROW(Payslip_Lookup[#Headers]))="","",INDEX(Salary_Calculation[Missing-Order Deduction],ROW()-ROW(Payslip_Lookup[#Headers])))</f>
        <v/>
      </c>
      <c r="Q307" s="174" t="str">
        <f aca="false">IF(INDEX(Salary_Calculation[Source Row],ROW()-ROW(Payslip_Lookup[#Headers]))="","",INDEX(Salary_Calculation[Extra Orders],ROW()-ROW(Payslip_Lookup[#Headers])))</f>
        <v/>
      </c>
      <c r="R307" s="176" t="str">
        <f aca="false">IF(INDEX(Salary_Calculation[Source Row],ROW()-ROW(Payslip_Lookup[#Headers]))="","",INDEX(Salary_Calculation[Extra-Order Bonus],ROW()-ROW(Payslip_Lookup[#Headers])))</f>
        <v/>
      </c>
      <c r="S307" s="176" t="str">
        <f aca="false">IF(INDEX(Salary_Calculation[Source Row],ROW()-ROW(Payslip_Lookup[#Headers]))="","",INDEX(Salary_Calculation[Basic Salary for Target],ROW()-ROW(Payslip_Lookup[#Headers])))</f>
        <v/>
      </c>
      <c r="T307" s="176" t="str">
        <f aca="false">IF(INDEX(Salary_Calculation[Source Row],ROW()-ROW(Payslip_Lookup[#Headers]))="","",INDEX(Salary_Calculation[Gross Salary Before Deductions],ROW()-ROW(Payslip_Lookup[#Headers])))</f>
        <v/>
      </c>
      <c r="U307" s="176" t="str">
        <f aca="false">IF(INDEX(Salary_Calculation[Source Row],ROW()-ROW(Payslip_Lookup[#Headers]))="","",INDEX(Salary_Calculation[missed_days_penalty],ROW()-ROW(Payslip_Lookup[#Headers])))</f>
        <v/>
      </c>
      <c r="V307" s="176" t="str">
        <f aca="false">IF(INDEX(Salary_Calculation[Source Row],ROW()-ROW(Payslip_Lookup[#Headers]))="","",INDEX(Salary_Calculation[Rider Balance],ROW()-ROW(Payslip_Lookup[#Headers])))</f>
        <v/>
      </c>
      <c r="W307" s="176" t="str">
        <f aca="false">IF(INDEX(Salary_Calculation[Source Row],ROW()-ROW(Payslip_Lookup[#Headers]))="","",INDEX(Salary_Calculation[stacking_deduction],ROW()-ROW(Payslip_Lookup[#Headers])))</f>
        <v/>
      </c>
      <c r="X307" s="176" t="str">
        <f aca="false">IF(INDEX(Salary_Calculation[Source Row],ROW()-ROW(Payslip_Lookup[#Headers]))="","",INDEX(Salary_Calculation[Other Deductions],ROW()-ROW(Payslip_Lookup[#Headers])))</f>
        <v/>
      </c>
      <c r="Y307" s="176" t="str">
        <f aca="false">IF(INDEX(Salary_Calculation[Source Row],ROW()-ROW(Payslip_Lookup[#Headers]))="","",INDEX(Salary_Calculation[Total Deductions],ROW()-ROW(Payslip_Lookup[#Headers])))</f>
        <v/>
      </c>
      <c r="Z307" s="176" t="str">
        <f aca="false">IF(INDEX(Salary_Calculation[Source Row],ROW()-ROW(Payslip_Lookup[#Headers]))="","",INDEX(Salary_Calculation[Final Salary],ROW()-ROW(Payslip_Lookup[#Headers])))</f>
        <v/>
      </c>
      <c r="AA307" s="176" t="str">
        <f aca="false">IF(INDEX(Salary_Calculation[Source Row],ROW()-ROW(Payslip_Lookup[#Headers]))="","",INDEX(Salary_Calculation[Negative Balance / Amount Due from Rider],ROW()-ROW(Payslip_Lookup[#Headers])))</f>
        <v/>
      </c>
      <c r="AB307" s="176" t="str">
        <f aca="false">IF(INDEX(Salary_Calculation[Source Row],ROW()-ROW(Payslip_Lookup[#Headers]))="","",INDEX(Salary_Calculation[Total Amount Due from Rider],ROW()-ROW(Payslip_Lookup[#Headers])))</f>
        <v/>
      </c>
      <c r="AC307" s="176" t="str">
        <f aca="false">IF(INDEX(Salary_Calculation[Source Row],ROW()-ROW(Payslip_Lookup[#Headers]))="","",INDEX(Salary_Calculation[Salary Before Other Deductions],ROW()-ROW(Payslip_Lookup[#Headers])))</f>
        <v/>
      </c>
      <c r="AD307" s="171" t="str">
        <f aca="false">IF(INDEX(Salary_Calculation[Source Row],ROW()-ROW(Payslip_Lookup[#Headers]))="","",INDEX(Salary_Calculation[Payment Status],ROW()-ROW(Payslip_Lookup[#Headers])))</f>
        <v/>
      </c>
      <c r="AE307" s="171" t="str">
        <f aca="false">IF(INDEX(Salary_Calculation[Source Row],ROW()-ROW(Payslip_Lookup[#Headers]))="","",INDEX(Salary_Calculation[Notes],ROW()-ROW(Payslip_Lookup[#Headers])))</f>
        <v/>
      </c>
      <c r="AF307" s="171" t="str">
        <f aca="false">IF(INDEX(Salary_Calculation[Source Row],ROW()-ROW(Payslip_Lookup[#Headers]))="","",INDEX(Salary_Calculation[Exception Reason],ROW()-ROW(Payslip_Lookup[#Headers])))</f>
        <v/>
      </c>
      <c r="AG307" s="173" t="str">
        <f aca="false">IF($AD307="Review Required",COUNTIF(AD$2:AD307,"Review Required"),"")</f>
        <v/>
      </c>
      <c r="AH307" s="173" t="str">
        <f aca="false">IF(AND($D307&lt;&gt;"",$B307=Payslip_Print!$C$2),MAX(AH$1:AH306)+1,"")</f>
        <v/>
      </c>
      <c r="AL307" s="178" t="str">
        <f aca="false">IFERROR(INDEX($D$2:$D$501,MATCH(ROW()-1,$AH$2:$AH$501,0)),"")</f>
        <v/>
      </c>
      <c r="AM307" s="179" t="str">
        <f aca="false">IF($Z307="","",IF(AND($C307&gt;=Dash_Start,$C307&lt;Dash_End),$Z307+ROW()/10000000,""))</f>
        <v/>
      </c>
    </row>
    <row r="308" customFormat="false" ht="14.25" hidden="false" customHeight="false" outlineLevel="0" collapsed="false">
      <c r="A308" s="171" t="str">
        <f aca="false">IF(Payslip_Lookup[[#This Row],[Rider ID]]="","",Payslip_Lookup[[#This Row],[Rider ID]]&amp;"|"&amp;Payslip_Lookup[[#This Row],[Month Key]])</f>
        <v/>
      </c>
      <c r="B308" s="172" t="str">
        <f aca="false">IF(ISNUMBER(Payslip_Lookup[[#This Row],[Salary Month]]),DATE(YEAR(Payslip_Lookup[[#This Row],[Salary Month]]),MONTH(Payslip_Lookup[[#This Row],[Salary Month]]),1),"")</f>
        <v/>
      </c>
      <c r="C308" s="172" t="str">
        <f aca="false">IF(INDEX(Salary_Calculation[Source Row],ROW()-ROW(Payslip_Lookup[#Headers]))="","",INDEX(Salary_Calculation[Salary Month],ROW()-ROW(Payslip_Lookup[#Headers])))</f>
        <v/>
      </c>
      <c r="D308" s="173" t="str">
        <f aca="false">IF(INDEX(Salary_Calculation[Source Row],ROW()-ROW(Payslip_Lookup[#Headers]))="","",INDEX(Salary_Calculation[Rider ID],ROW()-ROW(Payslip_Lookup[#Headers])))</f>
        <v/>
      </c>
      <c r="E308" s="171" t="str">
        <f aca="false">IF(INDEX(Salary_Calculation[Source Row],ROW()-ROW(Payslip_Lookup[#Headers]))="","",INDEX(Salary_Calculation[Rider Name],ROW()-ROW(Payslip_Lookup[#Headers])))</f>
        <v/>
      </c>
      <c r="F308" s="173" t="str">
        <f aca="false">IF(INDEX(Salary_Calculation[Source Row],ROW()-ROW(Payslip_Lookup[#Headers]))="","",INDEX(Salary_Calculation[Working Days],ROW()-ROW(Payslip_Lookup[#Headers])))</f>
        <v/>
      </c>
      <c r="G308" s="173" t="str">
        <f aca="false">IF(INDEX(Salary_Calculation[Source Row],ROW()-ROW(Payslip_Lookup[#Headers]))="","",INDEX(Salary_Calculation[Calendar Days],ROW()-ROW(Payslip_Lookup[#Headers])))</f>
        <v/>
      </c>
      <c r="H308" s="174" t="str">
        <f aca="false">IF(INDEX(Salary_Calculation[Source Row],ROW()-ROW(Payslip_Lookup[#Headers]))="","",INDEX(Salary_Calculation[Monthly Target Orders],ROW()-ROW(Payslip_Lookup[#Headers])))</f>
        <v/>
      </c>
      <c r="I308" s="174" t="str">
        <f aca="false">IF(INDEX(Salary_Calculation[Source Row],ROW()-ROW(Payslip_Lookup[#Headers]))="","",INDEX(Salary_Calculation[Rider Target Orders],ROW()-ROW(Payslip_Lookup[#Headers])))</f>
        <v/>
      </c>
      <c r="J308" s="175" t="str">
        <f aca="false">IF(INDEX(Salary_Calculation[Source Row],ROW()-ROW(Payslip_Lookup[#Headers]))="","",INDEX(Salary_Calculation[Completed Orders],ROW()-ROW(Payslip_Lookup[#Headers])))</f>
        <v/>
      </c>
      <c r="K308" s="174" t="str">
        <f aca="false">IF(INDEX(Salary_Calculation[Source Row],ROW()-ROW(Payslip_Lookup[#Headers]))="","",INDEX(Salary_Calculation[Base Order Rate],ROW()-ROW(Payslip_Lookup[#Headers])))</f>
        <v/>
      </c>
      <c r="L308" s="176" t="str">
        <f aca="false">IF(INDEX(Salary_Calculation[Source Row],ROW()-ROW(Payslip_Lookup[#Headers]))="","",INDEX(Salary_Calculation[Basic Payment],ROW()-ROW(Payslip_Lookup[#Headers])))</f>
        <v/>
      </c>
      <c r="M308" s="176" t="str">
        <f aca="false">IF(INDEX(Salary_Calculation[Source Row],ROW()-ROW(Payslip_Lookup[#Headers]))="","",INDEX(Salary_Calculation[Earned Salary],ROW()-ROW(Payslip_Lookup[#Headers])))</f>
        <v/>
      </c>
      <c r="N308" s="174" t="str">
        <f aca="false">IF(INDEX(Salary_Calculation[Source Row],ROW()-ROW(Payslip_Lookup[#Headers]))="","",INDEX(Salary_Calculation[Orders Counted at Base Rate],ROW()-ROW(Payslip_Lookup[#Headers])))</f>
        <v/>
      </c>
      <c r="O308" s="174" t="str">
        <f aca="false">IF(INDEX(Salary_Calculation[Source Row],ROW()-ROW(Payslip_Lookup[#Headers]))="","",INDEX(Salary_Calculation[Missing Orders],ROW()-ROW(Payslip_Lookup[#Headers])))</f>
        <v/>
      </c>
      <c r="P308" s="176" t="str">
        <f aca="false">IF(INDEX(Salary_Calculation[Source Row],ROW()-ROW(Payslip_Lookup[#Headers]))="","",INDEX(Salary_Calculation[Missing-Order Deduction],ROW()-ROW(Payslip_Lookup[#Headers])))</f>
        <v/>
      </c>
      <c r="Q308" s="174" t="str">
        <f aca="false">IF(INDEX(Salary_Calculation[Source Row],ROW()-ROW(Payslip_Lookup[#Headers]))="","",INDEX(Salary_Calculation[Extra Orders],ROW()-ROW(Payslip_Lookup[#Headers])))</f>
        <v/>
      </c>
      <c r="R308" s="176" t="str">
        <f aca="false">IF(INDEX(Salary_Calculation[Source Row],ROW()-ROW(Payslip_Lookup[#Headers]))="","",INDEX(Salary_Calculation[Extra-Order Bonus],ROW()-ROW(Payslip_Lookup[#Headers])))</f>
        <v/>
      </c>
      <c r="S308" s="176" t="str">
        <f aca="false">IF(INDEX(Salary_Calculation[Source Row],ROW()-ROW(Payslip_Lookup[#Headers]))="","",INDEX(Salary_Calculation[Basic Salary for Target],ROW()-ROW(Payslip_Lookup[#Headers])))</f>
        <v/>
      </c>
      <c r="T308" s="176" t="str">
        <f aca="false">IF(INDEX(Salary_Calculation[Source Row],ROW()-ROW(Payslip_Lookup[#Headers]))="","",INDEX(Salary_Calculation[Gross Salary Before Deductions],ROW()-ROW(Payslip_Lookup[#Headers])))</f>
        <v/>
      </c>
      <c r="U308" s="176" t="str">
        <f aca="false">IF(INDEX(Salary_Calculation[Source Row],ROW()-ROW(Payslip_Lookup[#Headers]))="","",INDEX(Salary_Calculation[missed_days_penalty],ROW()-ROW(Payslip_Lookup[#Headers])))</f>
        <v/>
      </c>
      <c r="V308" s="176" t="str">
        <f aca="false">IF(INDEX(Salary_Calculation[Source Row],ROW()-ROW(Payslip_Lookup[#Headers]))="","",INDEX(Salary_Calculation[Rider Balance],ROW()-ROW(Payslip_Lookup[#Headers])))</f>
        <v/>
      </c>
      <c r="W308" s="176" t="str">
        <f aca="false">IF(INDEX(Salary_Calculation[Source Row],ROW()-ROW(Payslip_Lookup[#Headers]))="","",INDEX(Salary_Calculation[stacking_deduction],ROW()-ROW(Payslip_Lookup[#Headers])))</f>
        <v/>
      </c>
      <c r="X308" s="176" t="str">
        <f aca="false">IF(INDEX(Salary_Calculation[Source Row],ROW()-ROW(Payslip_Lookup[#Headers]))="","",INDEX(Salary_Calculation[Other Deductions],ROW()-ROW(Payslip_Lookup[#Headers])))</f>
        <v/>
      </c>
      <c r="Y308" s="176" t="str">
        <f aca="false">IF(INDEX(Salary_Calculation[Source Row],ROW()-ROW(Payslip_Lookup[#Headers]))="","",INDEX(Salary_Calculation[Total Deductions],ROW()-ROW(Payslip_Lookup[#Headers])))</f>
        <v/>
      </c>
      <c r="Z308" s="176" t="str">
        <f aca="false">IF(INDEX(Salary_Calculation[Source Row],ROW()-ROW(Payslip_Lookup[#Headers]))="","",INDEX(Salary_Calculation[Final Salary],ROW()-ROW(Payslip_Lookup[#Headers])))</f>
        <v/>
      </c>
      <c r="AA308" s="176" t="str">
        <f aca="false">IF(INDEX(Salary_Calculation[Source Row],ROW()-ROW(Payslip_Lookup[#Headers]))="","",INDEX(Salary_Calculation[Negative Balance / Amount Due from Rider],ROW()-ROW(Payslip_Lookup[#Headers])))</f>
        <v/>
      </c>
      <c r="AB308" s="176" t="str">
        <f aca="false">IF(INDEX(Salary_Calculation[Source Row],ROW()-ROW(Payslip_Lookup[#Headers]))="","",INDEX(Salary_Calculation[Total Amount Due from Rider],ROW()-ROW(Payslip_Lookup[#Headers])))</f>
        <v/>
      </c>
      <c r="AC308" s="176" t="str">
        <f aca="false">IF(INDEX(Salary_Calculation[Source Row],ROW()-ROW(Payslip_Lookup[#Headers]))="","",INDEX(Salary_Calculation[Salary Before Other Deductions],ROW()-ROW(Payslip_Lookup[#Headers])))</f>
        <v/>
      </c>
      <c r="AD308" s="171" t="str">
        <f aca="false">IF(INDEX(Salary_Calculation[Source Row],ROW()-ROW(Payslip_Lookup[#Headers]))="","",INDEX(Salary_Calculation[Payment Status],ROW()-ROW(Payslip_Lookup[#Headers])))</f>
        <v/>
      </c>
      <c r="AE308" s="171" t="str">
        <f aca="false">IF(INDEX(Salary_Calculation[Source Row],ROW()-ROW(Payslip_Lookup[#Headers]))="","",INDEX(Salary_Calculation[Notes],ROW()-ROW(Payslip_Lookup[#Headers])))</f>
        <v/>
      </c>
      <c r="AF308" s="171" t="str">
        <f aca="false">IF(INDEX(Salary_Calculation[Source Row],ROW()-ROW(Payslip_Lookup[#Headers]))="","",INDEX(Salary_Calculation[Exception Reason],ROW()-ROW(Payslip_Lookup[#Headers])))</f>
        <v/>
      </c>
      <c r="AG308" s="173" t="str">
        <f aca="false">IF($AD308="Review Required",COUNTIF(AD$2:AD308,"Review Required"),"")</f>
        <v/>
      </c>
      <c r="AH308" s="173" t="str">
        <f aca="false">IF(AND($D308&lt;&gt;"",$B308=Payslip_Print!$C$2),MAX(AH$1:AH307)+1,"")</f>
        <v/>
      </c>
      <c r="AL308" s="178" t="str">
        <f aca="false">IFERROR(INDEX($D$2:$D$501,MATCH(ROW()-1,$AH$2:$AH$501,0)),"")</f>
        <v/>
      </c>
      <c r="AM308" s="179" t="str">
        <f aca="false">IF($Z308="","",IF(AND($C308&gt;=Dash_Start,$C308&lt;Dash_End),$Z308+ROW()/10000000,""))</f>
        <v/>
      </c>
    </row>
    <row r="309" customFormat="false" ht="14.25" hidden="false" customHeight="false" outlineLevel="0" collapsed="false">
      <c r="A309" s="171" t="str">
        <f aca="false">IF(Payslip_Lookup[[#This Row],[Rider ID]]="","",Payslip_Lookup[[#This Row],[Rider ID]]&amp;"|"&amp;Payslip_Lookup[[#This Row],[Month Key]])</f>
        <v/>
      </c>
      <c r="B309" s="172" t="str">
        <f aca="false">IF(ISNUMBER(Payslip_Lookup[[#This Row],[Salary Month]]),DATE(YEAR(Payslip_Lookup[[#This Row],[Salary Month]]),MONTH(Payslip_Lookup[[#This Row],[Salary Month]]),1),"")</f>
        <v/>
      </c>
      <c r="C309" s="172" t="str">
        <f aca="false">IF(INDEX(Salary_Calculation[Source Row],ROW()-ROW(Payslip_Lookup[#Headers]))="","",INDEX(Salary_Calculation[Salary Month],ROW()-ROW(Payslip_Lookup[#Headers])))</f>
        <v/>
      </c>
      <c r="D309" s="173" t="str">
        <f aca="false">IF(INDEX(Salary_Calculation[Source Row],ROW()-ROW(Payslip_Lookup[#Headers]))="","",INDEX(Salary_Calculation[Rider ID],ROW()-ROW(Payslip_Lookup[#Headers])))</f>
        <v/>
      </c>
      <c r="E309" s="171" t="str">
        <f aca="false">IF(INDEX(Salary_Calculation[Source Row],ROW()-ROW(Payslip_Lookup[#Headers]))="","",INDEX(Salary_Calculation[Rider Name],ROW()-ROW(Payslip_Lookup[#Headers])))</f>
        <v/>
      </c>
      <c r="F309" s="173" t="str">
        <f aca="false">IF(INDEX(Salary_Calculation[Source Row],ROW()-ROW(Payslip_Lookup[#Headers]))="","",INDEX(Salary_Calculation[Working Days],ROW()-ROW(Payslip_Lookup[#Headers])))</f>
        <v/>
      </c>
      <c r="G309" s="173" t="str">
        <f aca="false">IF(INDEX(Salary_Calculation[Source Row],ROW()-ROW(Payslip_Lookup[#Headers]))="","",INDEX(Salary_Calculation[Calendar Days],ROW()-ROW(Payslip_Lookup[#Headers])))</f>
        <v/>
      </c>
      <c r="H309" s="174" t="str">
        <f aca="false">IF(INDEX(Salary_Calculation[Source Row],ROW()-ROW(Payslip_Lookup[#Headers]))="","",INDEX(Salary_Calculation[Monthly Target Orders],ROW()-ROW(Payslip_Lookup[#Headers])))</f>
        <v/>
      </c>
      <c r="I309" s="174" t="str">
        <f aca="false">IF(INDEX(Salary_Calculation[Source Row],ROW()-ROW(Payslip_Lookup[#Headers]))="","",INDEX(Salary_Calculation[Rider Target Orders],ROW()-ROW(Payslip_Lookup[#Headers])))</f>
        <v/>
      </c>
      <c r="J309" s="175" t="str">
        <f aca="false">IF(INDEX(Salary_Calculation[Source Row],ROW()-ROW(Payslip_Lookup[#Headers]))="","",INDEX(Salary_Calculation[Completed Orders],ROW()-ROW(Payslip_Lookup[#Headers])))</f>
        <v/>
      </c>
      <c r="K309" s="174" t="str">
        <f aca="false">IF(INDEX(Salary_Calculation[Source Row],ROW()-ROW(Payslip_Lookup[#Headers]))="","",INDEX(Salary_Calculation[Base Order Rate],ROW()-ROW(Payslip_Lookup[#Headers])))</f>
        <v/>
      </c>
      <c r="L309" s="176" t="str">
        <f aca="false">IF(INDEX(Salary_Calculation[Source Row],ROW()-ROW(Payslip_Lookup[#Headers]))="","",INDEX(Salary_Calculation[Basic Payment],ROW()-ROW(Payslip_Lookup[#Headers])))</f>
        <v/>
      </c>
      <c r="M309" s="176" t="str">
        <f aca="false">IF(INDEX(Salary_Calculation[Source Row],ROW()-ROW(Payslip_Lookup[#Headers]))="","",INDEX(Salary_Calculation[Earned Salary],ROW()-ROW(Payslip_Lookup[#Headers])))</f>
        <v/>
      </c>
      <c r="N309" s="174" t="str">
        <f aca="false">IF(INDEX(Salary_Calculation[Source Row],ROW()-ROW(Payslip_Lookup[#Headers]))="","",INDEX(Salary_Calculation[Orders Counted at Base Rate],ROW()-ROW(Payslip_Lookup[#Headers])))</f>
        <v/>
      </c>
      <c r="O309" s="174" t="str">
        <f aca="false">IF(INDEX(Salary_Calculation[Source Row],ROW()-ROW(Payslip_Lookup[#Headers]))="","",INDEX(Salary_Calculation[Missing Orders],ROW()-ROW(Payslip_Lookup[#Headers])))</f>
        <v/>
      </c>
      <c r="P309" s="176" t="str">
        <f aca="false">IF(INDEX(Salary_Calculation[Source Row],ROW()-ROW(Payslip_Lookup[#Headers]))="","",INDEX(Salary_Calculation[Missing-Order Deduction],ROW()-ROW(Payslip_Lookup[#Headers])))</f>
        <v/>
      </c>
      <c r="Q309" s="174" t="str">
        <f aca="false">IF(INDEX(Salary_Calculation[Source Row],ROW()-ROW(Payslip_Lookup[#Headers]))="","",INDEX(Salary_Calculation[Extra Orders],ROW()-ROW(Payslip_Lookup[#Headers])))</f>
        <v/>
      </c>
      <c r="R309" s="176" t="str">
        <f aca="false">IF(INDEX(Salary_Calculation[Source Row],ROW()-ROW(Payslip_Lookup[#Headers]))="","",INDEX(Salary_Calculation[Extra-Order Bonus],ROW()-ROW(Payslip_Lookup[#Headers])))</f>
        <v/>
      </c>
      <c r="S309" s="176" t="str">
        <f aca="false">IF(INDEX(Salary_Calculation[Source Row],ROW()-ROW(Payslip_Lookup[#Headers]))="","",INDEX(Salary_Calculation[Basic Salary for Target],ROW()-ROW(Payslip_Lookup[#Headers])))</f>
        <v/>
      </c>
      <c r="T309" s="176" t="str">
        <f aca="false">IF(INDEX(Salary_Calculation[Source Row],ROW()-ROW(Payslip_Lookup[#Headers]))="","",INDEX(Salary_Calculation[Gross Salary Before Deductions],ROW()-ROW(Payslip_Lookup[#Headers])))</f>
        <v/>
      </c>
      <c r="U309" s="176" t="str">
        <f aca="false">IF(INDEX(Salary_Calculation[Source Row],ROW()-ROW(Payslip_Lookup[#Headers]))="","",INDEX(Salary_Calculation[missed_days_penalty],ROW()-ROW(Payslip_Lookup[#Headers])))</f>
        <v/>
      </c>
      <c r="V309" s="176" t="str">
        <f aca="false">IF(INDEX(Salary_Calculation[Source Row],ROW()-ROW(Payslip_Lookup[#Headers]))="","",INDEX(Salary_Calculation[Rider Balance],ROW()-ROW(Payslip_Lookup[#Headers])))</f>
        <v/>
      </c>
      <c r="W309" s="176" t="str">
        <f aca="false">IF(INDEX(Salary_Calculation[Source Row],ROW()-ROW(Payslip_Lookup[#Headers]))="","",INDEX(Salary_Calculation[stacking_deduction],ROW()-ROW(Payslip_Lookup[#Headers])))</f>
        <v/>
      </c>
      <c r="X309" s="176" t="str">
        <f aca="false">IF(INDEX(Salary_Calculation[Source Row],ROW()-ROW(Payslip_Lookup[#Headers]))="","",INDEX(Salary_Calculation[Other Deductions],ROW()-ROW(Payslip_Lookup[#Headers])))</f>
        <v/>
      </c>
      <c r="Y309" s="176" t="str">
        <f aca="false">IF(INDEX(Salary_Calculation[Source Row],ROW()-ROW(Payslip_Lookup[#Headers]))="","",INDEX(Salary_Calculation[Total Deductions],ROW()-ROW(Payslip_Lookup[#Headers])))</f>
        <v/>
      </c>
      <c r="Z309" s="176" t="str">
        <f aca="false">IF(INDEX(Salary_Calculation[Source Row],ROW()-ROW(Payslip_Lookup[#Headers]))="","",INDEX(Salary_Calculation[Final Salary],ROW()-ROW(Payslip_Lookup[#Headers])))</f>
        <v/>
      </c>
      <c r="AA309" s="176" t="str">
        <f aca="false">IF(INDEX(Salary_Calculation[Source Row],ROW()-ROW(Payslip_Lookup[#Headers]))="","",INDEX(Salary_Calculation[Negative Balance / Amount Due from Rider],ROW()-ROW(Payslip_Lookup[#Headers])))</f>
        <v/>
      </c>
      <c r="AB309" s="176" t="str">
        <f aca="false">IF(INDEX(Salary_Calculation[Source Row],ROW()-ROW(Payslip_Lookup[#Headers]))="","",INDEX(Salary_Calculation[Total Amount Due from Rider],ROW()-ROW(Payslip_Lookup[#Headers])))</f>
        <v/>
      </c>
      <c r="AC309" s="176" t="str">
        <f aca="false">IF(INDEX(Salary_Calculation[Source Row],ROW()-ROW(Payslip_Lookup[#Headers]))="","",INDEX(Salary_Calculation[Salary Before Other Deductions],ROW()-ROW(Payslip_Lookup[#Headers])))</f>
        <v/>
      </c>
      <c r="AD309" s="171" t="str">
        <f aca="false">IF(INDEX(Salary_Calculation[Source Row],ROW()-ROW(Payslip_Lookup[#Headers]))="","",INDEX(Salary_Calculation[Payment Status],ROW()-ROW(Payslip_Lookup[#Headers])))</f>
        <v/>
      </c>
      <c r="AE309" s="171" t="str">
        <f aca="false">IF(INDEX(Salary_Calculation[Source Row],ROW()-ROW(Payslip_Lookup[#Headers]))="","",INDEX(Salary_Calculation[Notes],ROW()-ROW(Payslip_Lookup[#Headers])))</f>
        <v/>
      </c>
      <c r="AF309" s="171" t="str">
        <f aca="false">IF(INDEX(Salary_Calculation[Source Row],ROW()-ROW(Payslip_Lookup[#Headers]))="","",INDEX(Salary_Calculation[Exception Reason],ROW()-ROW(Payslip_Lookup[#Headers])))</f>
        <v/>
      </c>
      <c r="AG309" s="173" t="str">
        <f aca="false">IF($AD309="Review Required",COUNTIF(AD$2:AD309,"Review Required"),"")</f>
        <v/>
      </c>
      <c r="AH309" s="173" t="str">
        <f aca="false">IF(AND($D309&lt;&gt;"",$B309=Payslip_Print!$C$2),MAX(AH$1:AH308)+1,"")</f>
        <v/>
      </c>
      <c r="AL309" s="178" t="str">
        <f aca="false">IFERROR(INDEX($D$2:$D$501,MATCH(ROW()-1,$AH$2:$AH$501,0)),"")</f>
        <v/>
      </c>
      <c r="AM309" s="179" t="str">
        <f aca="false">IF($Z309="","",IF(AND($C309&gt;=Dash_Start,$C309&lt;Dash_End),$Z309+ROW()/10000000,""))</f>
        <v/>
      </c>
    </row>
    <row r="310" customFormat="false" ht="14.25" hidden="false" customHeight="false" outlineLevel="0" collapsed="false">
      <c r="A310" s="171" t="str">
        <f aca="false">IF(Payslip_Lookup[[#This Row],[Rider ID]]="","",Payslip_Lookup[[#This Row],[Rider ID]]&amp;"|"&amp;Payslip_Lookup[[#This Row],[Month Key]])</f>
        <v/>
      </c>
      <c r="B310" s="172" t="str">
        <f aca="false">IF(ISNUMBER(Payslip_Lookup[[#This Row],[Salary Month]]),DATE(YEAR(Payslip_Lookup[[#This Row],[Salary Month]]),MONTH(Payslip_Lookup[[#This Row],[Salary Month]]),1),"")</f>
        <v/>
      </c>
      <c r="C310" s="172" t="str">
        <f aca="false">IF(INDEX(Salary_Calculation[Source Row],ROW()-ROW(Payslip_Lookup[#Headers]))="","",INDEX(Salary_Calculation[Salary Month],ROW()-ROW(Payslip_Lookup[#Headers])))</f>
        <v/>
      </c>
      <c r="D310" s="173" t="str">
        <f aca="false">IF(INDEX(Salary_Calculation[Source Row],ROW()-ROW(Payslip_Lookup[#Headers]))="","",INDEX(Salary_Calculation[Rider ID],ROW()-ROW(Payslip_Lookup[#Headers])))</f>
        <v/>
      </c>
      <c r="E310" s="171" t="str">
        <f aca="false">IF(INDEX(Salary_Calculation[Source Row],ROW()-ROW(Payslip_Lookup[#Headers]))="","",INDEX(Salary_Calculation[Rider Name],ROW()-ROW(Payslip_Lookup[#Headers])))</f>
        <v/>
      </c>
      <c r="F310" s="173" t="str">
        <f aca="false">IF(INDEX(Salary_Calculation[Source Row],ROW()-ROW(Payslip_Lookup[#Headers]))="","",INDEX(Salary_Calculation[Working Days],ROW()-ROW(Payslip_Lookup[#Headers])))</f>
        <v/>
      </c>
      <c r="G310" s="173" t="str">
        <f aca="false">IF(INDEX(Salary_Calculation[Source Row],ROW()-ROW(Payslip_Lookup[#Headers]))="","",INDEX(Salary_Calculation[Calendar Days],ROW()-ROW(Payslip_Lookup[#Headers])))</f>
        <v/>
      </c>
      <c r="H310" s="174" t="str">
        <f aca="false">IF(INDEX(Salary_Calculation[Source Row],ROW()-ROW(Payslip_Lookup[#Headers]))="","",INDEX(Salary_Calculation[Monthly Target Orders],ROW()-ROW(Payslip_Lookup[#Headers])))</f>
        <v/>
      </c>
      <c r="I310" s="174" t="str">
        <f aca="false">IF(INDEX(Salary_Calculation[Source Row],ROW()-ROW(Payslip_Lookup[#Headers]))="","",INDEX(Salary_Calculation[Rider Target Orders],ROW()-ROW(Payslip_Lookup[#Headers])))</f>
        <v/>
      </c>
      <c r="J310" s="175" t="str">
        <f aca="false">IF(INDEX(Salary_Calculation[Source Row],ROW()-ROW(Payslip_Lookup[#Headers]))="","",INDEX(Salary_Calculation[Completed Orders],ROW()-ROW(Payslip_Lookup[#Headers])))</f>
        <v/>
      </c>
      <c r="K310" s="174" t="str">
        <f aca="false">IF(INDEX(Salary_Calculation[Source Row],ROW()-ROW(Payslip_Lookup[#Headers]))="","",INDEX(Salary_Calculation[Base Order Rate],ROW()-ROW(Payslip_Lookup[#Headers])))</f>
        <v/>
      </c>
      <c r="L310" s="176" t="str">
        <f aca="false">IF(INDEX(Salary_Calculation[Source Row],ROW()-ROW(Payslip_Lookup[#Headers]))="","",INDEX(Salary_Calculation[Basic Payment],ROW()-ROW(Payslip_Lookup[#Headers])))</f>
        <v/>
      </c>
      <c r="M310" s="176" t="str">
        <f aca="false">IF(INDEX(Salary_Calculation[Source Row],ROW()-ROW(Payslip_Lookup[#Headers]))="","",INDEX(Salary_Calculation[Earned Salary],ROW()-ROW(Payslip_Lookup[#Headers])))</f>
        <v/>
      </c>
      <c r="N310" s="174" t="str">
        <f aca="false">IF(INDEX(Salary_Calculation[Source Row],ROW()-ROW(Payslip_Lookup[#Headers]))="","",INDEX(Salary_Calculation[Orders Counted at Base Rate],ROW()-ROW(Payslip_Lookup[#Headers])))</f>
        <v/>
      </c>
      <c r="O310" s="174" t="str">
        <f aca="false">IF(INDEX(Salary_Calculation[Source Row],ROW()-ROW(Payslip_Lookup[#Headers]))="","",INDEX(Salary_Calculation[Missing Orders],ROW()-ROW(Payslip_Lookup[#Headers])))</f>
        <v/>
      </c>
      <c r="P310" s="176" t="str">
        <f aca="false">IF(INDEX(Salary_Calculation[Source Row],ROW()-ROW(Payslip_Lookup[#Headers]))="","",INDEX(Salary_Calculation[Missing-Order Deduction],ROW()-ROW(Payslip_Lookup[#Headers])))</f>
        <v/>
      </c>
      <c r="Q310" s="174" t="str">
        <f aca="false">IF(INDEX(Salary_Calculation[Source Row],ROW()-ROW(Payslip_Lookup[#Headers]))="","",INDEX(Salary_Calculation[Extra Orders],ROW()-ROW(Payslip_Lookup[#Headers])))</f>
        <v/>
      </c>
      <c r="R310" s="176" t="str">
        <f aca="false">IF(INDEX(Salary_Calculation[Source Row],ROW()-ROW(Payslip_Lookup[#Headers]))="","",INDEX(Salary_Calculation[Extra-Order Bonus],ROW()-ROW(Payslip_Lookup[#Headers])))</f>
        <v/>
      </c>
      <c r="S310" s="176" t="str">
        <f aca="false">IF(INDEX(Salary_Calculation[Source Row],ROW()-ROW(Payslip_Lookup[#Headers]))="","",INDEX(Salary_Calculation[Basic Salary for Target],ROW()-ROW(Payslip_Lookup[#Headers])))</f>
        <v/>
      </c>
      <c r="T310" s="176" t="str">
        <f aca="false">IF(INDEX(Salary_Calculation[Source Row],ROW()-ROW(Payslip_Lookup[#Headers]))="","",INDEX(Salary_Calculation[Gross Salary Before Deductions],ROW()-ROW(Payslip_Lookup[#Headers])))</f>
        <v/>
      </c>
      <c r="U310" s="176" t="str">
        <f aca="false">IF(INDEX(Salary_Calculation[Source Row],ROW()-ROW(Payslip_Lookup[#Headers]))="","",INDEX(Salary_Calculation[missed_days_penalty],ROW()-ROW(Payslip_Lookup[#Headers])))</f>
        <v/>
      </c>
      <c r="V310" s="176" t="str">
        <f aca="false">IF(INDEX(Salary_Calculation[Source Row],ROW()-ROW(Payslip_Lookup[#Headers]))="","",INDEX(Salary_Calculation[Rider Balance],ROW()-ROW(Payslip_Lookup[#Headers])))</f>
        <v/>
      </c>
      <c r="W310" s="176" t="str">
        <f aca="false">IF(INDEX(Salary_Calculation[Source Row],ROW()-ROW(Payslip_Lookup[#Headers]))="","",INDEX(Salary_Calculation[stacking_deduction],ROW()-ROW(Payslip_Lookup[#Headers])))</f>
        <v/>
      </c>
      <c r="X310" s="176" t="str">
        <f aca="false">IF(INDEX(Salary_Calculation[Source Row],ROW()-ROW(Payslip_Lookup[#Headers]))="","",INDEX(Salary_Calculation[Other Deductions],ROW()-ROW(Payslip_Lookup[#Headers])))</f>
        <v/>
      </c>
      <c r="Y310" s="176" t="str">
        <f aca="false">IF(INDEX(Salary_Calculation[Source Row],ROW()-ROW(Payslip_Lookup[#Headers]))="","",INDEX(Salary_Calculation[Total Deductions],ROW()-ROW(Payslip_Lookup[#Headers])))</f>
        <v/>
      </c>
      <c r="Z310" s="176" t="str">
        <f aca="false">IF(INDEX(Salary_Calculation[Source Row],ROW()-ROW(Payslip_Lookup[#Headers]))="","",INDEX(Salary_Calculation[Final Salary],ROW()-ROW(Payslip_Lookup[#Headers])))</f>
        <v/>
      </c>
      <c r="AA310" s="176" t="str">
        <f aca="false">IF(INDEX(Salary_Calculation[Source Row],ROW()-ROW(Payslip_Lookup[#Headers]))="","",INDEX(Salary_Calculation[Negative Balance / Amount Due from Rider],ROW()-ROW(Payslip_Lookup[#Headers])))</f>
        <v/>
      </c>
      <c r="AB310" s="176" t="str">
        <f aca="false">IF(INDEX(Salary_Calculation[Source Row],ROW()-ROW(Payslip_Lookup[#Headers]))="","",INDEX(Salary_Calculation[Total Amount Due from Rider],ROW()-ROW(Payslip_Lookup[#Headers])))</f>
        <v/>
      </c>
      <c r="AC310" s="176" t="str">
        <f aca="false">IF(INDEX(Salary_Calculation[Source Row],ROW()-ROW(Payslip_Lookup[#Headers]))="","",INDEX(Salary_Calculation[Salary Before Other Deductions],ROW()-ROW(Payslip_Lookup[#Headers])))</f>
        <v/>
      </c>
      <c r="AD310" s="171" t="str">
        <f aca="false">IF(INDEX(Salary_Calculation[Source Row],ROW()-ROW(Payslip_Lookup[#Headers]))="","",INDEX(Salary_Calculation[Payment Status],ROW()-ROW(Payslip_Lookup[#Headers])))</f>
        <v/>
      </c>
      <c r="AE310" s="171" t="str">
        <f aca="false">IF(INDEX(Salary_Calculation[Source Row],ROW()-ROW(Payslip_Lookup[#Headers]))="","",INDEX(Salary_Calculation[Notes],ROW()-ROW(Payslip_Lookup[#Headers])))</f>
        <v/>
      </c>
      <c r="AF310" s="171" t="str">
        <f aca="false">IF(INDEX(Salary_Calculation[Source Row],ROW()-ROW(Payslip_Lookup[#Headers]))="","",INDEX(Salary_Calculation[Exception Reason],ROW()-ROW(Payslip_Lookup[#Headers])))</f>
        <v/>
      </c>
      <c r="AG310" s="173" t="str">
        <f aca="false">IF($AD310="Review Required",COUNTIF(AD$2:AD310,"Review Required"),"")</f>
        <v/>
      </c>
      <c r="AH310" s="173" t="str">
        <f aca="false">IF(AND($D310&lt;&gt;"",$B310=Payslip_Print!$C$2),MAX(AH$1:AH309)+1,"")</f>
        <v/>
      </c>
      <c r="AL310" s="178" t="str">
        <f aca="false">IFERROR(INDEX($D$2:$D$501,MATCH(ROW()-1,$AH$2:$AH$501,0)),"")</f>
        <v/>
      </c>
      <c r="AM310" s="179" t="str">
        <f aca="false">IF($Z310="","",IF(AND($C310&gt;=Dash_Start,$C310&lt;Dash_End),$Z310+ROW()/10000000,""))</f>
        <v/>
      </c>
    </row>
    <row r="311" customFormat="false" ht="14.25" hidden="false" customHeight="false" outlineLevel="0" collapsed="false">
      <c r="A311" s="171" t="str">
        <f aca="false">IF(Payslip_Lookup[[#This Row],[Rider ID]]="","",Payslip_Lookup[[#This Row],[Rider ID]]&amp;"|"&amp;Payslip_Lookup[[#This Row],[Month Key]])</f>
        <v/>
      </c>
      <c r="B311" s="172" t="str">
        <f aca="false">IF(ISNUMBER(Payslip_Lookup[[#This Row],[Salary Month]]),DATE(YEAR(Payslip_Lookup[[#This Row],[Salary Month]]),MONTH(Payslip_Lookup[[#This Row],[Salary Month]]),1),"")</f>
        <v/>
      </c>
      <c r="C311" s="172" t="str">
        <f aca="false">IF(INDEX(Salary_Calculation[Source Row],ROW()-ROW(Payslip_Lookup[#Headers]))="","",INDEX(Salary_Calculation[Salary Month],ROW()-ROW(Payslip_Lookup[#Headers])))</f>
        <v/>
      </c>
      <c r="D311" s="173" t="str">
        <f aca="false">IF(INDEX(Salary_Calculation[Source Row],ROW()-ROW(Payslip_Lookup[#Headers]))="","",INDEX(Salary_Calculation[Rider ID],ROW()-ROW(Payslip_Lookup[#Headers])))</f>
        <v/>
      </c>
      <c r="E311" s="171" t="str">
        <f aca="false">IF(INDEX(Salary_Calculation[Source Row],ROW()-ROW(Payslip_Lookup[#Headers]))="","",INDEX(Salary_Calculation[Rider Name],ROW()-ROW(Payslip_Lookup[#Headers])))</f>
        <v/>
      </c>
      <c r="F311" s="173" t="str">
        <f aca="false">IF(INDEX(Salary_Calculation[Source Row],ROW()-ROW(Payslip_Lookup[#Headers]))="","",INDEX(Salary_Calculation[Working Days],ROW()-ROW(Payslip_Lookup[#Headers])))</f>
        <v/>
      </c>
      <c r="G311" s="173" t="str">
        <f aca="false">IF(INDEX(Salary_Calculation[Source Row],ROW()-ROW(Payslip_Lookup[#Headers]))="","",INDEX(Salary_Calculation[Calendar Days],ROW()-ROW(Payslip_Lookup[#Headers])))</f>
        <v/>
      </c>
      <c r="H311" s="174" t="str">
        <f aca="false">IF(INDEX(Salary_Calculation[Source Row],ROW()-ROW(Payslip_Lookup[#Headers]))="","",INDEX(Salary_Calculation[Monthly Target Orders],ROW()-ROW(Payslip_Lookup[#Headers])))</f>
        <v/>
      </c>
      <c r="I311" s="174" t="str">
        <f aca="false">IF(INDEX(Salary_Calculation[Source Row],ROW()-ROW(Payslip_Lookup[#Headers]))="","",INDEX(Salary_Calculation[Rider Target Orders],ROW()-ROW(Payslip_Lookup[#Headers])))</f>
        <v/>
      </c>
      <c r="J311" s="175" t="str">
        <f aca="false">IF(INDEX(Salary_Calculation[Source Row],ROW()-ROW(Payslip_Lookup[#Headers]))="","",INDEX(Salary_Calculation[Completed Orders],ROW()-ROW(Payslip_Lookup[#Headers])))</f>
        <v/>
      </c>
      <c r="K311" s="174" t="str">
        <f aca="false">IF(INDEX(Salary_Calculation[Source Row],ROW()-ROW(Payslip_Lookup[#Headers]))="","",INDEX(Salary_Calculation[Base Order Rate],ROW()-ROW(Payslip_Lookup[#Headers])))</f>
        <v/>
      </c>
      <c r="L311" s="176" t="str">
        <f aca="false">IF(INDEX(Salary_Calculation[Source Row],ROW()-ROW(Payslip_Lookup[#Headers]))="","",INDEX(Salary_Calculation[Basic Payment],ROW()-ROW(Payslip_Lookup[#Headers])))</f>
        <v/>
      </c>
      <c r="M311" s="176" t="str">
        <f aca="false">IF(INDEX(Salary_Calculation[Source Row],ROW()-ROW(Payslip_Lookup[#Headers]))="","",INDEX(Salary_Calculation[Earned Salary],ROW()-ROW(Payslip_Lookup[#Headers])))</f>
        <v/>
      </c>
      <c r="N311" s="174" t="str">
        <f aca="false">IF(INDEX(Salary_Calculation[Source Row],ROW()-ROW(Payslip_Lookup[#Headers]))="","",INDEX(Salary_Calculation[Orders Counted at Base Rate],ROW()-ROW(Payslip_Lookup[#Headers])))</f>
        <v/>
      </c>
      <c r="O311" s="174" t="str">
        <f aca="false">IF(INDEX(Salary_Calculation[Source Row],ROW()-ROW(Payslip_Lookup[#Headers]))="","",INDEX(Salary_Calculation[Missing Orders],ROW()-ROW(Payslip_Lookup[#Headers])))</f>
        <v/>
      </c>
      <c r="P311" s="176" t="str">
        <f aca="false">IF(INDEX(Salary_Calculation[Source Row],ROW()-ROW(Payslip_Lookup[#Headers]))="","",INDEX(Salary_Calculation[Missing-Order Deduction],ROW()-ROW(Payslip_Lookup[#Headers])))</f>
        <v/>
      </c>
      <c r="Q311" s="174" t="str">
        <f aca="false">IF(INDEX(Salary_Calculation[Source Row],ROW()-ROW(Payslip_Lookup[#Headers]))="","",INDEX(Salary_Calculation[Extra Orders],ROW()-ROW(Payslip_Lookup[#Headers])))</f>
        <v/>
      </c>
      <c r="R311" s="176" t="str">
        <f aca="false">IF(INDEX(Salary_Calculation[Source Row],ROW()-ROW(Payslip_Lookup[#Headers]))="","",INDEX(Salary_Calculation[Extra-Order Bonus],ROW()-ROW(Payslip_Lookup[#Headers])))</f>
        <v/>
      </c>
      <c r="S311" s="176" t="str">
        <f aca="false">IF(INDEX(Salary_Calculation[Source Row],ROW()-ROW(Payslip_Lookup[#Headers]))="","",INDEX(Salary_Calculation[Basic Salary for Target],ROW()-ROW(Payslip_Lookup[#Headers])))</f>
        <v/>
      </c>
      <c r="T311" s="176" t="str">
        <f aca="false">IF(INDEX(Salary_Calculation[Source Row],ROW()-ROW(Payslip_Lookup[#Headers]))="","",INDEX(Salary_Calculation[Gross Salary Before Deductions],ROW()-ROW(Payslip_Lookup[#Headers])))</f>
        <v/>
      </c>
      <c r="U311" s="176" t="str">
        <f aca="false">IF(INDEX(Salary_Calculation[Source Row],ROW()-ROW(Payslip_Lookup[#Headers]))="","",INDEX(Salary_Calculation[missed_days_penalty],ROW()-ROW(Payslip_Lookup[#Headers])))</f>
        <v/>
      </c>
      <c r="V311" s="176" t="str">
        <f aca="false">IF(INDEX(Salary_Calculation[Source Row],ROW()-ROW(Payslip_Lookup[#Headers]))="","",INDEX(Salary_Calculation[Rider Balance],ROW()-ROW(Payslip_Lookup[#Headers])))</f>
        <v/>
      </c>
      <c r="W311" s="176" t="str">
        <f aca="false">IF(INDEX(Salary_Calculation[Source Row],ROW()-ROW(Payslip_Lookup[#Headers]))="","",INDEX(Salary_Calculation[stacking_deduction],ROW()-ROW(Payslip_Lookup[#Headers])))</f>
        <v/>
      </c>
      <c r="X311" s="176" t="str">
        <f aca="false">IF(INDEX(Salary_Calculation[Source Row],ROW()-ROW(Payslip_Lookup[#Headers]))="","",INDEX(Salary_Calculation[Other Deductions],ROW()-ROW(Payslip_Lookup[#Headers])))</f>
        <v/>
      </c>
      <c r="Y311" s="176" t="str">
        <f aca="false">IF(INDEX(Salary_Calculation[Source Row],ROW()-ROW(Payslip_Lookup[#Headers]))="","",INDEX(Salary_Calculation[Total Deductions],ROW()-ROW(Payslip_Lookup[#Headers])))</f>
        <v/>
      </c>
      <c r="Z311" s="176" t="str">
        <f aca="false">IF(INDEX(Salary_Calculation[Source Row],ROW()-ROW(Payslip_Lookup[#Headers]))="","",INDEX(Salary_Calculation[Final Salary],ROW()-ROW(Payslip_Lookup[#Headers])))</f>
        <v/>
      </c>
      <c r="AA311" s="176" t="str">
        <f aca="false">IF(INDEX(Salary_Calculation[Source Row],ROW()-ROW(Payslip_Lookup[#Headers]))="","",INDEX(Salary_Calculation[Negative Balance / Amount Due from Rider],ROW()-ROW(Payslip_Lookup[#Headers])))</f>
        <v/>
      </c>
      <c r="AB311" s="176" t="str">
        <f aca="false">IF(INDEX(Salary_Calculation[Source Row],ROW()-ROW(Payslip_Lookup[#Headers]))="","",INDEX(Salary_Calculation[Total Amount Due from Rider],ROW()-ROW(Payslip_Lookup[#Headers])))</f>
        <v/>
      </c>
      <c r="AC311" s="176" t="str">
        <f aca="false">IF(INDEX(Salary_Calculation[Source Row],ROW()-ROW(Payslip_Lookup[#Headers]))="","",INDEX(Salary_Calculation[Salary Before Other Deductions],ROW()-ROW(Payslip_Lookup[#Headers])))</f>
        <v/>
      </c>
      <c r="AD311" s="171" t="str">
        <f aca="false">IF(INDEX(Salary_Calculation[Source Row],ROW()-ROW(Payslip_Lookup[#Headers]))="","",INDEX(Salary_Calculation[Payment Status],ROW()-ROW(Payslip_Lookup[#Headers])))</f>
        <v/>
      </c>
      <c r="AE311" s="171" t="str">
        <f aca="false">IF(INDEX(Salary_Calculation[Source Row],ROW()-ROW(Payslip_Lookup[#Headers]))="","",INDEX(Salary_Calculation[Notes],ROW()-ROW(Payslip_Lookup[#Headers])))</f>
        <v/>
      </c>
      <c r="AF311" s="171" t="str">
        <f aca="false">IF(INDEX(Salary_Calculation[Source Row],ROW()-ROW(Payslip_Lookup[#Headers]))="","",INDEX(Salary_Calculation[Exception Reason],ROW()-ROW(Payslip_Lookup[#Headers])))</f>
        <v/>
      </c>
      <c r="AG311" s="173" t="str">
        <f aca="false">IF($AD311="Review Required",COUNTIF(AD$2:AD311,"Review Required"),"")</f>
        <v/>
      </c>
      <c r="AH311" s="173" t="str">
        <f aca="false">IF(AND($D311&lt;&gt;"",$B311=Payslip_Print!$C$2),MAX(AH$1:AH310)+1,"")</f>
        <v/>
      </c>
      <c r="AL311" s="178" t="str">
        <f aca="false">IFERROR(INDEX($D$2:$D$501,MATCH(ROW()-1,$AH$2:$AH$501,0)),"")</f>
        <v/>
      </c>
      <c r="AM311" s="179" t="str">
        <f aca="false">IF($Z311="","",IF(AND($C311&gt;=Dash_Start,$C311&lt;Dash_End),$Z311+ROW()/10000000,""))</f>
        <v/>
      </c>
    </row>
    <row r="312" customFormat="false" ht="14.25" hidden="false" customHeight="false" outlineLevel="0" collapsed="false">
      <c r="A312" s="171" t="str">
        <f aca="false">IF(Payslip_Lookup[[#This Row],[Rider ID]]="","",Payslip_Lookup[[#This Row],[Rider ID]]&amp;"|"&amp;Payslip_Lookup[[#This Row],[Month Key]])</f>
        <v/>
      </c>
      <c r="B312" s="172" t="str">
        <f aca="false">IF(ISNUMBER(Payslip_Lookup[[#This Row],[Salary Month]]),DATE(YEAR(Payslip_Lookup[[#This Row],[Salary Month]]),MONTH(Payslip_Lookup[[#This Row],[Salary Month]]),1),"")</f>
        <v/>
      </c>
      <c r="C312" s="172" t="str">
        <f aca="false">IF(INDEX(Salary_Calculation[Source Row],ROW()-ROW(Payslip_Lookup[#Headers]))="","",INDEX(Salary_Calculation[Salary Month],ROW()-ROW(Payslip_Lookup[#Headers])))</f>
        <v/>
      </c>
      <c r="D312" s="173" t="str">
        <f aca="false">IF(INDEX(Salary_Calculation[Source Row],ROW()-ROW(Payslip_Lookup[#Headers]))="","",INDEX(Salary_Calculation[Rider ID],ROW()-ROW(Payslip_Lookup[#Headers])))</f>
        <v/>
      </c>
      <c r="E312" s="171" t="str">
        <f aca="false">IF(INDEX(Salary_Calculation[Source Row],ROW()-ROW(Payslip_Lookup[#Headers]))="","",INDEX(Salary_Calculation[Rider Name],ROW()-ROW(Payslip_Lookup[#Headers])))</f>
        <v/>
      </c>
      <c r="F312" s="173" t="str">
        <f aca="false">IF(INDEX(Salary_Calculation[Source Row],ROW()-ROW(Payslip_Lookup[#Headers]))="","",INDEX(Salary_Calculation[Working Days],ROW()-ROW(Payslip_Lookup[#Headers])))</f>
        <v/>
      </c>
      <c r="G312" s="173" t="str">
        <f aca="false">IF(INDEX(Salary_Calculation[Source Row],ROW()-ROW(Payslip_Lookup[#Headers]))="","",INDEX(Salary_Calculation[Calendar Days],ROW()-ROW(Payslip_Lookup[#Headers])))</f>
        <v/>
      </c>
      <c r="H312" s="174" t="str">
        <f aca="false">IF(INDEX(Salary_Calculation[Source Row],ROW()-ROW(Payslip_Lookup[#Headers]))="","",INDEX(Salary_Calculation[Monthly Target Orders],ROW()-ROW(Payslip_Lookup[#Headers])))</f>
        <v/>
      </c>
      <c r="I312" s="174" t="str">
        <f aca="false">IF(INDEX(Salary_Calculation[Source Row],ROW()-ROW(Payslip_Lookup[#Headers]))="","",INDEX(Salary_Calculation[Rider Target Orders],ROW()-ROW(Payslip_Lookup[#Headers])))</f>
        <v/>
      </c>
      <c r="J312" s="175" t="str">
        <f aca="false">IF(INDEX(Salary_Calculation[Source Row],ROW()-ROW(Payslip_Lookup[#Headers]))="","",INDEX(Salary_Calculation[Completed Orders],ROW()-ROW(Payslip_Lookup[#Headers])))</f>
        <v/>
      </c>
      <c r="K312" s="174" t="str">
        <f aca="false">IF(INDEX(Salary_Calculation[Source Row],ROW()-ROW(Payslip_Lookup[#Headers]))="","",INDEX(Salary_Calculation[Base Order Rate],ROW()-ROW(Payslip_Lookup[#Headers])))</f>
        <v/>
      </c>
      <c r="L312" s="176" t="str">
        <f aca="false">IF(INDEX(Salary_Calculation[Source Row],ROW()-ROW(Payslip_Lookup[#Headers]))="","",INDEX(Salary_Calculation[Basic Payment],ROW()-ROW(Payslip_Lookup[#Headers])))</f>
        <v/>
      </c>
      <c r="M312" s="176" t="str">
        <f aca="false">IF(INDEX(Salary_Calculation[Source Row],ROW()-ROW(Payslip_Lookup[#Headers]))="","",INDEX(Salary_Calculation[Earned Salary],ROW()-ROW(Payslip_Lookup[#Headers])))</f>
        <v/>
      </c>
      <c r="N312" s="174" t="str">
        <f aca="false">IF(INDEX(Salary_Calculation[Source Row],ROW()-ROW(Payslip_Lookup[#Headers]))="","",INDEX(Salary_Calculation[Orders Counted at Base Rate],ROW()-ROW(Payslip_Lookup[#Headers])))</f>
        <v/>
      </c>
      <c r="O312" s="174" t="str">
        <f aca="false">IF(INDEX(Salary_Calculation[Source Row],ROW()-ROW(Payslip_Lookup[#Headers]))="","",INDEX(Salary_Calculation[Missing Orders],ROW()-ROW(Payslip_Lookup[#Headers])))</f>
        <v/>
      </c>
      <c r="P312" s="176" t="str">
        <f aca="false">IF(INDEX(Salary_Calculation[Source Row],ROW()-ROW(Payslip_Lookup[#Headers]))="","",INDEX(Salary_Calculation[Missing-Order Deduction],ROW()-ROW(Payslip_Lookup[#Headers])))</f>
        <v/>
      </c>
      <c r="Q312" s="174" t="str">
        <f aca="false">IF(INDEX(Salary_Calculation[Source Row],ROW()-ROW(Payslip_Lookup[#Headers]))="","",INDEX(Salary_Calculation[Extra Orders],ROW()-ROW(Payslip_Lookup[#Headers])))</f>
        <v/>
      </c>
      <c r="R312" s="176" t="str">
        <f aca="false">IF(INDEX(Salary_Calculation[Source Row],ROW()-ROW(Payslip_Lookup[#Headers]))="","",INDEX(Salary_Calculation[Extra-Order Bonus],ROW()-ROW(Payslip_Lookup[#Headers])))</f>
        <v/>
      </c>
      <c r="S312" s="176" t="str">
        <f aca="false">IF(INDEX(Salary_Calculation[Source Row],ROW()-ROW(Payslip_Lookup[#Headers]))="","",INDEX(Salary_Calculation[Basic Salary for Target],ROW()-ROW(Payslip_Lookup[#Headers])))</f>
        <v/>
      </c>
      <c r="T312" s="176" t="str">
        <f aca="false">IF(INDEX(Salary_Calculation[Source Row],ROW()-ROW(Payslip_Lookup[#Headers]))="","",INDEX(Salary_Calculation[Gross Salary Before Deductions],ROW()-ROW(Payslip_Lookup[#Headers])))</f>
        <v/>
      </c>
      <c r="U312" s="176" t="str">
        <f aca="false">IF(INDEX(Salary_Calculation[Source Row],ROW()-ROW(Payslip_Lookup[#Headers]))="","",INDEX(Salary_Calculation[missed_days_penalty],ROW()-ROW(Payslip_Lookup[#Headers])))</f>
        <v/>
      </c>
      <c r="V312" s="176" t="str">
        <f aca="false">IF(INDEX(Salary_Calculation[Source Row],ROW()-ROW(Payslip_Lookup[#Headers]))="","",INDEX(Salary_Calculation[Rider Balance],ROW()-ROW(Payslip_Lookup[#Headers])))</f>
        <v/>
      </c>
      <c r="W312" s="176" t="str">
        <f aca="false">IF(INDEX(Salary_Calculation[Source Row],ROW()-ROW(Payslip_Lookup[#Headers]))="","",INDEX(Salary_Calculation[stacking_deduction],ROW()-ROW(Payslip_Lookup[#Headers])))</f>
        <v/>
      </c>
      <c r="X312" s="176" t="str">
        <f aca="false">IF(INDEX(Salary_Calculation[Source Row],ROW()-ROW(Payslip_Lookup[#Headers]))="","",INDEX(Salary_Calculation[Other Deductions],ROW()-ROW(Payslip_Lookup[#Headers])))</f>
        <v/>
      </c>
      <c r="Y312" s="176" t="str">
        <f aca="false">IF(INDEX(Salary_Calculation[Source Row],ROW()-ROW(Payslip_Lookup[#Headers]))="","",INDEX(Salary_Calculation[Total Deductions],ROW()-ROW(Payslip_Lookup[#Headers])))</f>
        <v/>
      </c>
      <c r="Z312" s="176" t="str">
        <f aca="false">IF(INDEX(Salary_Calculation[Source Row],ROW()-ROW(Payslip_Lookup[#Headers]))="","",INDEX(Salary_Calculation[Final Salary],ROW()-ROW(Payslip_Lookup[#Headers])))</f>
        <v/>
      </c>
      <c r="AA312" s="176" t="str">
        <f aca="false">IF(INDEX(Salary_Calculation[Source Row],ROW()-ROW(Payslip_Lookup[#Headers]))="","",INDEX(Salary_Calculation[Negative Balance / Amount Due from Rider],ROW()-ROW(Payslip_Lookup[#Headers])))</f>
        <v/>
      </c>
      <c r="AB312" s="176" t="str">
        <f aca="false">IF(INDEX(Salary_Calculation[Source Row],ROW()-ROW(Payslip_Lookup[#Headers]))="","",INDEX(Salary_Calculation[Total Amount Due from Rider],ROW()-ROW(Payslip_Lookup[#Headers])))</f>
        <v/>
      </c>
      <c r="AC312" s="176" t="str">
        <f aca="false">IF(INDEX(Salary_Calculation[Source Row],ROW()-ROW(Payslip_Lookup[#Headers]))="","",INDEX(Salary_Calculation[Salary Before Other Deductions],ROW()-ROW(Payslip_Lookup[#Headers])))</f>
        <v/>
      </c>
      <c r="AD312" s="171" t="str">
        <f aca="false">IF(INDEX(Salary_Calculation[Source Row],ROW()-ROW(Payslip_Lookup[#Headers]))="","",INDEX(Salary_Calculation[Payment Status],ROW()-ROW(Payslip_Lookup[#Headers])))</f>
        <v/>
      </c>
      <c r="AE312" s="171" t="str">
        <f aca="false">IF(INDEX(Salary_Calculation[Source Row],ROW()-ROW(Payslip_Lookup[#Headers]))="","",INDEX(Salary_Calculation[Notes],ROW()-ROW(Payslip_Lookup[#Headers])))</f>
        <v/>
      </c>
      <c r="AF312" s="171" t="str">
        <f aca="false">IF(INDEX(Salary_Calculation[Source Row],ROW()-ROW(Payslip_Lookup[#Headers]))="","",INDEX(Salary_Calculation[Exception Reason],ROW()-ROW(Payslip_Lookup[#Headers])))</f>
        <v/>
      </c>
      <c r="AG312" s="173" t="str">
        <f aca="false">IF($AD312="Review Required",COUNTIF(AD$2:AD312,"Review Required"),"")</f>
        <v/>
      </c>
      <c r="AH312" s="173" t="str">
        <f aca="false">IF(AND($D312&lt;&gt;"",$B312=Payslip_Print!$C$2),MAX(AH$1:AH311)+1,"")</f>
        <v/>
      </c>
      <c r="AL312" s="178" t="str">
        <f aca="false">IFERROR(INDEX($D$2:$D$501,MATCH(ROW()-1,$AH$2:$AH$501,0)),"")</f>
        <v/>
      </c>
      <c r="AM312" s="179" t="str">
        <f aca="false">IF($Z312="","",IF(AND($C312&gt;=Dash_Start,$C312&lt;Dash_End),$Z312+ROW()/10000000,""))</f>
        <v/>
      </c>
    </row>
    <row r="313" customFormat="false" ht="14.25" hidden="false" customHeight="false" outlineLevel="0" collapsed="false">
      <c r="A313" s="171" t="str">
        <f aca="false">IF(Payslip_Lookup[[#This Row],[Rider ID]]="","",Payslip_Lookup[[#This Row],[Rider ID]]&amp;"|"&amp;Payslip_Lookup[[#This Row],[Month Key]])</f>
        <v/>
      </c>
      <c r="B313" s="172" t="str">
        <f aca="false">IF(ISNUMBER(Payslip_Lookup[[#This Row],[Salary Month]]),DATE(YEAR(Payslip_Lookup[[#This Row],[Salary Month]]),MONTH(Payslip_Lookup[[#This Row],[Salary Month]]),1),"")</f>
        <v/>
      </c>
      <c r="C313" s="172" t="str">
        <f aca="false">IF(INDEX(Salary_Calculation[Source Row],ROW()-ROW(Payslip_Lookup[#Headers]))="","",INDEX(Salary_Calculation[Salary Month],ROW()-ROW(Payslip_Lookup[#Headers])))</f>
        <v/>
      </c>
      <c r="D313" s="173" t="str">
        <f aca="false">IF(INDEX(Salary_Calculation[Source Row],ROW()-ROW(Payslip_Lookup[#Headers]))="","",INDEX(Salary_Calculation[Rider ID],ROW()-ROW(Payslip_Lookup[#Headers])))</f>
        <v/>
      </c>
      <c r="E313" s="171" t="str">
        <f aca="false">IF(INDEX(Salary_Calculation[Source Row],ROW()-ROW(Payslip_Lookup[#Headers]))="","",INDEX(Salary_Calculation[Rider Name],ROW()-ROW(Payslip_Lookup[#Headers])))</f>
        <v/>
      </c>
      <c r="F313" s="173" t="str">
        <f aca="false">IF(INDEX(Salary_Calculation[Source Row],ROW()-ROW(Payslip_Lookup[#Headers]))="","",INDEX(Salary_Calculation[Working Days],ROW()-ROW(Payslip_Lookup[#Headers])))</f>
        <v/>
      </c>
      <c r="G313" s="173" t="str">
        <f aca="false">IF(INDEX(Salary_Calculation[Source Row],ROW()-ROW(Payslip_Lookup[#Headers]))="","",INDEX(Salary_Calculation[Calendar Days],ROW()-ROW(Payslip_Lookup[#Headers])))</f>
        <v/>
      </c>
      <c r="H313" s="174" t="str">
        <f aca="false">IF(INDEX(Salary_Calculation[Source Row],ROW()-ROW(Payslip_Lookup[#Headers]))="","",INDEX(Salary_Calculation[Monthly Target Orders],ROW()-ROW(Payslip_Lookup[#Headers])))</f>
        <v/>
      </c>
      <c r="I313" s="174" t="str">
        <f aca="false">IF(INDEX(Salary_Calculation[Source Row],ROW()-ROW(Payslip_Lookup[#Headers]))="","",INDEX(Salary_Calculation[Rider Target Orders],ROW()-ROW(Payslip_Lookup[#Headers])))</f>
        <v/>
      </c>
      <c r="J313" s="175" t="str">
        <f aca="false">IF(INDEX(Salary_Calculation[Source Row],ROW()-ROW(Payslip_Lookup[#Headers]))="","",INDEX(Salary_Calculation[Completed Orders],ROW()-ROW(Payslip_Lookup[#Headers])))</f>
        <v/>
      </c>
      <c r="K313" s="174" t="str">
        <f aca="false">IF(INDEX(Salary_Calculation[Source Row],ROW()-ROW(Payslip_Lookup[#Headers]))="","",INDEX(Salary_Calculation[Base Order Rate],ROW()-ROW(Payslip_Lookup[#Headers])))</f>
        <v/>
      </c>
      <c r="L313" s="176" t="str">
        <f aca="false">IF(INDEX(Salary_Calculation[Source Row],ROW()-ROW(Payslip_Lookup[#Headers]))="","",INDEX(Salary_Calculation[Basic Payment],ROW()-ROW(Payslip_Lookup[#Headers])))</f>
        <v/>
      </c>
      <c r="M313" s="176" t="str">
        <f aca="false">IF(INDEX(Salary_Calculation[Source Row],ROW()-ROW(Payslip_Lookup[#Headers]))="","",INDEX(Salary_Calculation[Earned Salary],ROW()-ROW(Payslip_Lookup[#Headers])))</f>
        <v/>
      </c>
      <c r="N313" s="174" t="str">
        <f aca="false">IF(INDEX(Salary_Calculation[Source Row],ROW()-ROW(Payslip_Lookup[#Headers]))="","",INDEX(Salary_Calculation[Orders Counted at Base Rate],ROW()-ROW(Payslip_Lookup[#Headers])))</f>
        <v/>
      </c>
      <c r="O313" s="174" t="str">
        <f aca="false">IF(INDEX(Salary_Calculation[Source Row],ROW()-ROW(Payslip_Lookup[#Headers]))="","",INDEX(Salary_Calculation[Missing Orders],ROW()-ROW(Payslip_Lookup[#Headers])))</f>
        <v/>
      </c>
      <c r="P313" s="176" t="str">
        <f aca="false">IF(INDEX(Salary_Calculation[Source Row],ROW()-ROW(Payslip_Lookup[#Headers]))="","",INDEX(Salary_Calculation[Missing-Order Deduction],ROW()-ROW(Payslip_Lookup[#Headers])))</f>
        <v/>
      </c>
      <c r="Q313" s="174" t="str">
        <f aca="false">IF(INDEX(Salary_Calculation[Source Row],ROW()-ROW(Payslip_Lookup[#Headers]))="","",INDEX(Salary_Calculation[Extra Orders],ROW()-ROW(Payslip_Lookup[#Headers])))</f>
        <v/>
      </c>
      <c r="R313" s="176" t="str">
        <f aca="false">IF(INDEX(Salary_Calculation[Source Row],ROW()-ROW(Payslip_Lookup[#Headers]))="","",INDEX(Salary_Calculation[Extra-Order Bonus],ROW()-ROW(Payslip_Lookup[#Headers])))</f>
        <v/>
      </c>
      <c r="S313" s="176" t="str">
        <f aca="false">IF(INDEX(Salary_Calculation[Source Row],ROW()-ROW(Payslip_Lookup[#Headers]))="","",INDEX(Salary_Calculation[Basic Salary for Target],ROW()-ROW(Payslip_Lookup[#Headers])))</f>
        <v/>
      </c>
      <c r="T313" s="176" t="str">
        <f aca="false">IF(INDEX(Salary_Calculation[Source Row],ROW()-ROW(Payslip_Lookup[#Headers]))="","",INDEX(Salary_Calculation[Gross Salary Before Deductions],ROW()-ROW(Payslip_Lookup[#Headers])))</f>
        <v/>
      </c>
      <c r="U313" s="176" t="str">
        <f aca="false">IF(INDEX(Salary_Calculation[Source Row],ROW()-ROW(Payslip_Lookup[#Headers]))="","",INDEX(Salary_Calculation[missed_days_penalty],ROW()-ROW(Payslip_Lookup[#Headers])))</f>
        <v/>
      </c>
      <c r="V313" s="176" t="str">
        <f aca="false">IF(INDEX(Salary_Calculation[Source Row],ROW()-ROW(Payslip_Lookup[#Headers]))="","",INDEX(Salary_Calculation[Rider Balance],ROW()-ROW(Payslip_Lookup[#Headers])))</f>
        <v/>
      </c>
      <c r="W313" s="176" t="str">
        <f aca="false">IF(INDEX(Salary_Calculation[Source Row],ROW()-ROW(Payslip_Lookup[#Headers]))="","",INDEX(Salary_Calculation[stacking_deduction],ROW()-ROW(Payslip_Lookup[#Headers])))</f>
        <v/>
      </c>
      <c r="X313" s="176" t="str">
        <f aca="false">IF(INDEX(Salary_Calculation[Source Row],ROW()-ROW(Payslip_Lookup[#Headers]))="","",INDEX(Salary_Calculation[Other Deductions],ROW()-ROW(Payslip_Lookup[#Headers])))</f>
        <v/>
      </c>
      <c r="Y313" s="176" t="str">
        <f aca="false">IF(INDEX(Salary_Calculation[Source Row],ROW()-ROW(Payslip_Lookup[#Headers]))="","",INDEX(Salary_Calculation[Total Deductions],ROW()-ROW(Payslip_Lookup[#Headers])))</f>
        <v/>
      </c>
      <c r="Z313" s="176" t="str">
        <f aca="false">IF(INDEX(Salary_Calculation[Source Row],ROW()-ROW(Payslip_Lookup[#Headers]))="","",INDEX(Salary_Calculation[Final Salary],ROW()-ROW(Payslip_Lookup[#Headers])))</f>
        <v/>
      </c>
      <c r="AA313" s="176" t="str">
        <f aca="false">IF(INDEX(Salary_Calculation[Source Row],ROW()-ROW(Payslip_Lookup[#Headers]))="","",INDEX(Salary_Calculation[Negative Balance / Amount Due from Rider],ROW()-ROW(Payslip_Lookup[#Headers])))</f>
        <v/>
      </c>
      <c r="AB313" s="176" t="str">
        <f aca="false">IF(INDEX(Salary_Calculation[Source Row],ROW()-ROW(Payslip_Lookup[#Headers]))="","",INDEX(Salary_Calculation[Total Amount Due from Rider],ROW()-ROW(Payslip_Lookup[#Headers])))</f>
        <v/>
      </c>
      <c r="AC313" s="176" t="str">
        <f aca="false">IF(INDEX(Salary_Calculation[Source Row],ROW()-ROW(Payslip_Lookup[#Headers]))="","",INDEX(Salary_Calculation[Salary Before Other Deductions],ROW()-ROW(Payslip_Lookup[#Headers])))</f>
        <v/>
      </c>
      <c r="AD313" s="171" t="str">
        <f aca="false">IF(INDEX(Salary_Calculation[Source Row],ROW()-ROW(Payslip_Lookup[#Headers]))="","",INDEX(Salary_Calculation[Payment Status],ROW()-ROW(Payslip_Lookup[#Headers])))</f>
        <v/>
      </c>
      <c r="AE313" s="171" t="str">
        <f aca="false">IF(INDEX(Salary_Calculation[Source Row],ROW()-ROW(Payslip_Lookup[#Headers]))="","",INDEX(Salary_Calculation[Notes],ROW()-ROW(Payslip_Lookup[#Headers])))</f>
        <v/>
      </c>
      <c r="AF313" s="171" t="str">
        <f aca="false">IF(INDEX(Salary_Calculation[Source Row],ROW()-ROW(Payslip_Lookup[#Headers]))="","",INDEX(Salary_Calculation[Exception Reason],ROW()-ROW(Payslip_Lookup[#Headers])))</f>
        <v/>
      </c>
      <c r="AG313" s="173" t="str">
        <f aca="false">IF($AD313="Review Required",COUNTIF(AD$2:AD313,"Review Required"),"")</f>
        <v/>
      </c>
      <c r="AH313" s="173" t="str">
        <f aca="false">IF(AND($D313&lt;&gt;"",$B313=Payslip_Print!$C$2),MAX(AH$1:AH312)+1,"")</f>
        <v/>
      </c>
      <c r="AL313" s="178" t="str">
        <f aca="false">IFERROR(INDEX($D$2:$D$501,MATCH(ROW()-1,$AH$2:$AH$501,0)),"")</f>
        <v/>
      </c>
      <c r="AM313" s="179" t="str">
        <f aca="false">IF($Z313="","",IF(AND($C313&gt;=Dash_Start,$C313&lt;Dash_End),$Z313+ROW()/10000000,""))</f>
        <v/>
      </c>
    </row>
    <row r="314" customFormat="false" ht="14.25" hidden="false" customHeight="false" outlineLevel="0" collapsed="false">
      <c r="A314" s="171" t="str">
        <f aca="false">IF(Payslip_Lookup[[#This Row],[Rider ID]]="","",Payslip_Lookup[[#This Row],[Rider ID]]&amp;"|"&amp;Payslip_Lookup[[#This Row],[Month Key]])</f>
        <v/>
      </c>
      <c r="B314" s="172" t="str">
        <f aca="false">IF(ISNUMBER(Payslip_Lookup[[#This Row],[Salary Month]]),DATE(YEAR(Payslip_Lookup[[#This Row],[Salary Month]]),MONTH(Payslip_Lookup[[#This Row],[Salary Month]]),1),"")</f>
        <v/>
      </c>
      <c r="C314" s="172" t="str">
        <f aca="false">IF(INDEX(Salary_Calculation[Source Row],ROW()-ROW(Payslip_Lookup[#Headers]))="","",INDEX(Salary_Calculation[Salary Month],ROW()-ROW(Payslip_Lookup[#Headers])))</f>
        <v/>
      </c>
      <c r="D314" s="173" t="str">
        <f aca="false">IF(INDEX(Salary_Calculation[Source Row],ROW()-ROW(Payslip_Lookup[#Headers]))="","",INDEX(Salary_Calculation[Rider ID],ROW()-ROW(Payslip_Lookup[#Headers])))</f>
        <v/>
      </c>
      <c r="E314" s="171" t="str">
        <f aca="false">IF(INDEX(Salary_Calculation[Source Row],ROW()-ROW(Payslip_Lookup[#Headers]))="","",INDEX(Salary_Calculation[Rider Name],ROW()-ROW(Payslip_Lookup[#Headers])))</f>
        <v/>
      </c>
      <c r="F314" s="173" t="str">
        <f aca="false">IF(INDEX(Salary_Calculation[Source Row],ROW()-ROW(Payslip_Lookup[#Headers]))="","",INDEX(Salary_Calculation[Working Days],ROW()-ROW(Payslip_Lookup[#Headers])))</f>
        <v/>
      </c>
      <c r="G314" s="173" t="str">
        <f aca="false">IF(INDEX(Salary_Calculation[Source Row],ROW()-ROW(Payslip_Lookup[#Headers]))="","",INDEX(Salary_Calculation[Calendar Days],ROW()-ROW(Payslip_Lookup[#Headers])))</f>
        <v/>
      </c>
      <c r="H314" s="174" t="str">
        <f aca="false">IF(INDEX(Salary_Calculation[Source Row],ROW()-ROW(Payslip_Lookup[#Headers]))="","",INDEX(Salary_Calculation[Monthly Target Orders],ROW()-ROW(Payslip_Lookup[#Headers])))</f>
        <v/>
      </c>
      <c r="I314" s="174" t="str">
        <f aca="false">IF(INDEX(Salary_Calculation[Source Row],ROW()-ROW(Payslip_Lookup[#Headers]))="","",INDEX(Salary_Calculation[Rider Target Orders],ROW()-ROW(Payslip_Lookup[#Headers])))</f>
        <v/>
      </c>
      <c r="J314" s="175" t="str">
        <f aca="false">IF(INDEX(Salary_Calculation[Source Row],ROW()-ROW(Payslip_Lookup[#Headers]))="","",INDEX(Salary_Calculation[Completed Orders],ROW()-ROW(Payslip_Lookup[#Headers])))</f>
        <v/>
      </c>
      <c r="K314" s="174" t="str">
        <f aca="false">IF(INDEX(Salary_Calculation[Source Row],ROW()-ROW(Payslip_Lookup[#Headers]))="","",INDEX(Salary_Calculation[Base Order Rate],ROW()-ROW(Payslip_Lookup[#Headers])))</f>
        <v/>
      </c>
      <c r="L314" s="176" t="str">
        <f aca="false">IF(INDEX(Salary_Calculation[Source Row],ROW()-ROW(Payslip_Lookup[#Headers]))="","",INDEX(Salary_Calculation[Basic Payment],ROW()-ROW(Payslip_Lookup[#Headers])))</f>
        <v/>
      </c>
      <c r="M314" s="176" t="str">
        <f aca="false">IF(INDEX(Salary_Calculation[Source Row],ROW()-ROW(Payslip_Lookup[#Headers]))="","",INDEX(Salary_Calculation[Earned Salary],ROW()-ROW(Payslip_Lookup[#Headers])))</f>
        <v/>
      </c>
      <c r="N314" s="174" t="str">
        <f aca="false">IF(INDEX(Salary_Calculation[Source Row],ROW()-ROW(Payslip_Lookup[#Headers]))="","",INDEX(Salary_Calculation[Orders Counted at Base Rate],ROW()-ROW(Payslip_Lookup[#Headers])))</f>
        <v/>
      </c>
      <c r="O314" s="174" t="str">
        <f aca="false">IF(INDEX(Salary_Calculation[Source Row],ROW()-ROW(Payslip_Lookup[#Headers]))="","",INDEX(Salary_Calculation[Missing Orders],ROW()-ROW(Payslip_Lookup[#Headers])))</f>
        <v/>
      </c>
      <c r="P314" s="176" t="str">
        <f aca="false">IF(INDEX(Salary_Calculation[Source Row],ROW()-ROW(Payslip_Lookup[#Headers]))="","",INDEX(Salary_Calculation[Missing-Order Deduction],ROW()-ROW(Payslip_Lookup[#Headers])))</f>
        <v/>
      </c>
      <c r="Q314" s="174" t="str">
        <f aca="false">IF(INDEX(Salary_Calculation[Source Row],ROW()-ROW(Payslip_Lookup[#Headers]))="","",INDEX(Salary_Calculation[Extra Orders],ROW()-ROW(Payslip_Lookup[#Headers])))</f>
        <v/>
      </c>
      <c r="R314" s="176" t="str">
        <f aca="false">IF(INDEX(Salary_Calculation[Source Row],ROW()-ROW(Payslip_Lookup[#Headers]))="","",INDEX(Salary_Calculation[Extra-Order Bonus],ROW()-ROW(Payslip_Lookup[#Headers])))</f>
        <v/>
      </c>
      <c r="S314" s="176" t="str">
        <f aca="false">IF(INDEX(Salary_Calculation[Source Row],ROW()-ROW(Payslip_Lookup[#Headers]))="","",INDEX(Salary_Calculation[Basic Salary for Target],ROW()-ROW(Payslip_Lookup[#Headers])))</f>
        <v/>
      </c>
      <c r="T314" s="176" t="str">
        <f aca="false">IF(INDEX(Salary_Calculation[Source Row],ROW()-ROW(Payslip_Lookup[#Headers]))="","",INDEX(Salary_Calculation[Gross Salary Before Deductions],ROW()-ROW(Payslip_Lookup[#Headers])))</f>
        <v/>
      </c>
      <c r="U314" s="176" t="str">
        <f aca="false">IF(INDEX(Salary_Calculation[Source Row],ROW()-ROW(Payslip_Lookup[#Headers]))="","",INDEX(Salary_Calculation[missed_days_penalty],ROW()-ROW(Payslip_Lookup[#Headers])))</f>
        <v/>
      </c>
      <c r="V314" s="176" t="str">
        <f aca="false">IF(INDEX(Salary_Calculation[Source Row],ROW()-ROW(Payslip_Lookup[#Headers]))="","",INDEX(Salary_Calculation[Rider Balance],ROW()-ROW(Payslip_Lookup[#Headers])))</f>
        <v/>
      </c>
      <c r="W314" s="176" t="str">
        <f aca="false">IF(INDEX(Salary_Calculation[Source Row],ROW()-ROW(Payslip_Lookup[#Headers]))="","",INDEX(Salary_Calculation[stacking_deduction],ROW()-ROW(Payslip_Lookup[#Headers])))</f>
        <v/>
      </c>
      <c r="X314" s="176" t="str">
        <f aca="false">IF(INDEX(Salary_Calculation[Source Row],ROW()-ROW(Payslip_Lookup[#Headers]))="","",INDEX(Salary_Calculation[Other Deductions],ROW()-ROW(Payslip_Lookup[#Headers])))</f>
        <v/>
      </c>
      <c r="Y314" s="176" t="str">
        <f aca="false">IF(INDEX(Salary_Calculation[Source Row],ROW()-ROW(Payslip_Lookup[#Headers]))="","",INDEX(Salary_Calculation[Total Deductions],ROW()-ROW(Payslip_Lookup[#Headers])))</f>
        <v/>
      </c>
      <c r="Z314" s="176" t="str">
        <f aca="false">IF(INDEX(Salary_Calculation[Source Row],ROW()-ROW(Payslip_Lookup[#Headers]))="","",INDEX(Salary_Calculation[Final Salary],ROW()-ROW(Payslip_Lookup[#Headers])))</f>
        <v/>
      </c>
      <c r="AA314" s="176" t="str">
        <f aca="false">IF(INDEX(Salary_Calculation[Source Row],ROW()-ROW(Payslip_Lookup[#Headers]))="","",INDEX(Salary_Calculation[Negative Balance / Amount Due from Rider],ROW()-ROW(Payslip_Lookup[#Headers])))</f>
        <v/>
      </c>
      <c r="AB314" s="176" t="str">
        <f aca="false">IF(INDEX(Salary_Calculation[Source Row],ROW()-ROW(Payslip_Lookup[#Headers]))="","",INDEX(Salary_Calculation[Total Amount Due from Rider],ROW()-ROW(Payslip_Lookup[#Headers])))</f>
        <v/>
      </c>
      <c r="AC314" s="176" t="str">
        <f aca="false">IF(INDEX(Salary_Calculation[Source Row],ROW()-ROW(Payslip_Lookup[#Headers]))="","",INDEX(Salary_Calculation[Salary Before Other Deductions],ROW()-ROW(Payslip_Lookup[#Headers])))</f>
        <v/>
      </c>
      <c r="AD314" s="171" t="str">
        <f aca="false">IF(INDEX(Salary_Calculation[Source Row],ROW()-ROW(Payslip_Lookup[#Headers]))="","",INDEX(Salary_Calculation[Payment Status],ROW()-ROW(Payslip_Lookup[#Headers])))</f>
        <v/>
      </c>
      <c r="AE314" s="171" t="str">
        <f aca="false">IF(INDEX(Salary_Calculation[Source Row],ROW()-ROW(Payslip_Lookup[#Headers]))="","",INDEX(Salary_Calculation[Notes],ROW()-ROW(Payslip_Lookup[#Headers])))</f>
        <v/>
      </c>
      <c r="AF314" s="171" t="str">
        <f aca="false">IF(INDEX(Salary_Calculation[Source Row],ROW()-ROW(Payslip_Lookup[#Headers]))="","",INDEX(Salary_Calculation[Exception Reason],ROW()-ROW(Payslip_Lookup[#Headers])))</f>
        <v/>
      </c>
      <c r="AG314" s="173" t="str">
        <f aca="false">IF($AD314="Review Required",COUNTIF(AD$2:AD314,"Review Required"),"")</f>
        <v/>
      </c>
      <c r="AH314" s="173" t="str">
        <f aca="false">IF(AND($D314&lt;&gt;"",$B314=Payslip_Print!$C$2),MAX(AH$1:AH313)+1,"")</f>
        <v/>
      </c>
      <c r="AL314" s="178" t="str">
        <f aca="false">IFERROR(INDEX($D$2:$D$501,MATCH(ROW()-1,$AH$2:$AH$501,0)),"")</f>
        <v/>
      </c>
      <c r="AM314" s="179" t="str">
        <f aca="false">IF($Z314="","",IF(AND($C314&gt;=Dash_Start,$C314&lt;Dash_End),$Z314+ROW()/10000000,""))</f>
        <v/>
      </c>
    </row>
    <row r="315" customFormat="false" ht="14.25" hidden="false" customHeight="false" outlineLevel="0" collapsed="false">
      <c r="A315" s="171" t="str">
        <f aca="false">IF(Payslip_Lookup[[#This Row],[Rider ID]]="","",Payslip_Lookup[[#This Row],[Rider ID]]&amp;"|"&amp;Payslip_Lookup[[#This Row],[Month Key]])</f>
        <v/>
      </c>
      <c r="B315" s="172" t="str">
        <f aca="false">IF(ISNUMBER(Payslip_Lookup[[#This Row],[Salary Month]]),DATE(YEAR(Payslip_Lookup[[#This Row],[Salary Month]]),MONTH(Payslip_Lookup[[#This Row],[Salary Month]]),1),"")</f>
        <v/>
      </c>
      <c r="C315" s="172" t="str">
        <f aca="false">IF(INDEX(Salary_Calculation[Source Row],ROW()-ROW(Payslip_Lookup[#Headers]))="","",INDEX(Salary_Calculation[Salary Month],ROW()-ROW(Payslip_Lookup[#Headers])))</f>
        <v/>
      </c>
      <c r="D315" s="173" t="str">
        <f aca="false">IF(INDEX(Salary_Calculation[Source Row],ROW()-ROW(Payslip_Lookup[#Headers]))="","",INDEX(Salary_Calculation[Rider ID],ROW()-ROW(Payslip_Lookup[#Headers])))</f>
        <v/>
      </c>
      <c r="E315" s="171" t="str">
        <f aca="false">IF(INDEX(Salary_Calculation[Source Row],ROW()-ROW(Payslip_Lookup[#Headers]))="","",INDEX(Salary_Calculation[Rider Name],ROW()-ROW(Payslip_Lookup[#Headers])))</f>
        <v/>
      </c>
      <c r="F315" s="173" t="str">
        <f aca="false">IF(INDEX(Salary_Calculation[Source Row],ROW()-ROW(Payslip_Lookup[#Headers]))="","",INDEX(Salary_Calculation[Working Days],ROW()-ROW(Payslip_Lookup[#Headers])))</f>
        <v/>
      </c>
      <c r="G315" s="173" t="str">
        <f aca="false">IF(INDEX(Salary_Calculation[Source Row],ROW()-ROW(Payslip_Lookup[#Headers]))="","",INDEX(Salary_Calculation[Calendar Days],ROW()-ROW(Payslip_Lookup[#Headers])))</f>
        <v/>
      </c>
      <c r="H315" s="174" t="str">
        <f aca="false">IF(INDEX(Salary_Calculation[Source Row],ROW()-ROW(Payslip_Lookup[#Headers]))="","",INDEX(Salary_Calculation[Monthly Target Orders],ROW()-ROW(Payslip_Lookup[#Headers])))</f>
        <v/>
      </c>
      <c r="I315" s="174" t="str">
        <f aca="false">IF(INDEX(Salary_Calculation[Source Row],ROW()-ROW(Payslip_Lookup[#Headers]))="","",INDEX(Salary_Calculation[Rider Target Orders],ROW()-ROW(Payslip_Lookup[#Headers])))</f>
        <v/>
      </c>
      <c r="J315" s="175" t="str">
        <f aca="false">IF(INDEX(Salary_Calculation[Source Row],ROW()-ROW(Payslip_Lookup[#Headers]))="","",INDEX(Salary_Calculation[Completed Orders],ROW()-ROW(Payslip_Lookup[#Headers])))</f>
        <v/>
      </c>
      <c r="K315" s="174" t="str">
        <f aca="false">IF(INDEX(Salary_Calculation[Source Row],ROW()-ROW(Payslip_Lookup[#Headers]))="","",INDEX(Salary_Calculation[Base Order Rate],ROW()-ROW(Payslip_Lookup[#Headers])))</f>
        <v/>
      </c>
      <c r="L315" s="176" t="str">
        <f aca="false">IF(INDEX(Salary_Calculation[Source Row],ROW()-ROW(Payslip_Lookup[#Headers]))="","",INDEX(Salary_Calculation[Basic Payment],ROW()-ROW(Payslip_Lookup[#Headers])))</f>
        <v/>
      </c>
      <c r="M315" s="176" t="str">
        <f aca="false">IF(INDEX(Salary_Calculation[Source Row],ROW()-ROW(Payslip_Lookup[#Headers]))="","",INDEX(Salary_Calculation[Earned Salary],ROW()-ROW(Payslip_Lookup[#Headers])))</f>
        <v/>
      </c>
      <c r="N315" s="174" t="str">
        <f aca="false">IF(INDEX(Salary_Calculation[Source Row],ROW()-ROW(Payslip_Lookup[#Headers]))="","",INDEX(Salary_Calculation[Orders Counted at Base Rate],ROW()-ROW(Payslip_Lookup[#Headers])))</f>
        <v/>
      </c>
      <c r="O315" s="174" t="str">
        <f aca="false">IF(INDEX(Salary_Calculation[Source Row],ROW()-ROW(Payslip_Lookup[#Headers]))="","",INDEX(Salary_Calculation[Missing Orders],ROW()-ROW(Payslip_Lookup[#Headers])))</f>
        <v/>
      </c>
      <c r="P315" s="176" t="str">
        <f aca="false">IF(INDEX(Salary_Calculation[Source Row],ROW()-ROW(Payslip_Lookup[#Headers]))="","",INDEX(Salary_Calculation[Missing-Order Deduction],ROW()-ROW(Payslip_Lookup[#Headers])))</f>
        <v/>
      </c>
      <c r="Q315" s="174" t="str">
        <f aca="false">IF(INDEX(Salary_Calculation[Source Row],ROW()-ROW(Payslip_Lookup[#Headers]))="","",INDEX(Salary_Calculation[Extra Orders],ROW()-ROW(Payslip_Lookup[#Headers])))</f>
        <v/>
      </c>
      <c r="R315" s="176" t="str">
        <f aca="false">IF(INDEX(Salary_Calculation[Source Row],ROW()-ROW(Payslip_Lookup[#Headers]))="","",INDEX(Salary_Calculation[Extra-Order Bonus],ROW()-ROW(Payslip_Lookup[#Headers])))</f>
        <v/>
      </c>
      <c r="S315" s="176" t="str">
        <f aca="false">IF(INDEX(Salary_Calculation[Source Row],ROW()-ROW(Payslip_Lookup[#Headers]))="","",INDEX(Salary_Calculation[Basic Salary for Target],ROW()-ROW(Payslip_Lookup[#Headers])))</f>
        <v/>
      </c>
      <c r="T315" s="176" t="str">
        <f aca="false">IF(INDEX(Salary_Calculation[Source Row],ROW()-ROW(Payslip_Lookup[#Headers]))="","",INDEX(Salary_Calculation[Gross Salary Before Deductions],ROW()-ROW(Payslip_Lookup[#Headers])))</f>
        <v/>
      </c>
      <c r="U315" s="176" t="str">
        <f aca="false">IF(INDEX(Salary_Calculation[Source Row],ROW()-ROW(Payslip_Lookup[#Headers]))="","",INDEX(Salary_Calculation[missed_days_penalty],ROW()-ROW(Payslip_Lookup[#Headers])))</f>
        <v/>
      </c>
      <c r="V315" s="176" t="str">
        <f aca="false">IF(INDEX(Salary_Calculation[Source Row],ROW()-ROW(Payslip_Lookup[#Headers]))="","",INDEX(Salary_Calculation[Rider Balance],ROW()-ROW(Payslip_Lookup[#Headers])))</f>
        <v/>
      </c>
      <c r="W315" s="176" t="str">
        <f aca="false">IF(INDEX(Salary_Calculation[Source Row],ROW()-ROW(Payslip_Lookup[#Headers]))="","",INDEX(Salary_Calculation[stacking_deduction],ROW()-ROW(Payslip_Lookup[#Headers])))</f>
        <v/>
      </c>
      <c r="X315" s="176" t="str">
        <f aca="false">IF(INDEX(Salary_Calculation[Source Row],ROW()-ROW(Payslip_Lookup[#Headers]))="","",INDEX(Salary_Calculation[Other Deductions],ROW()-ROW(Payslip_Lookup[#Headers])))</f>
        <v/>
      </c>
      <c r="Y315" s="176" t="str">
        <f aca="false">IF(INDEX(Salary_Calculation[Source Row],ROW()-ROW(Payslip_Lookup[#Headers]))="","",INDEX(Salary_Calculation[Total Deductions],ROW()-ROW(Payslip_Lookup[#Headers])))</f>
        <v/>
      </c>
      <c r="Z315" s="176" t="str">
        <f aca="false">IF(INDEX(Salary_Calculation[Source Row],ROW()-ROW(Payslip_Lookup[#Headers]))="","",INDEX(Salary_Calculation[Final Salary],ROW()-ROW(Payslip_Lookup[#Headers])))</f>
        <v/>
      </c>
      <c r="AA315" s="176" t="str">
        <f aca="false">IF(INDEX(Salary_Calculation[Source Row],ROW()-ROW(Payslip_Lookup[#Headers]))="","",INDEX(Salary_Calculation[Negative Balance / Amount Due from Rider],ROW()-ROW(Payslip_Lookup[#Headers])))</f>
        <v/>
      </c>
      <c r="AB315" s="176" t="str">
        <f aca="false">IF(INDEX(Salary_Calculation[Source Row],ROW()-ROW(Payslip_Lookup[#Headers]))="","",INDEX(Salary_Calculation[Total Amount Due from Rider],ROW()-ROW(Payslip_Lookup[#Headers])))</f>
        <v/>
      </c>
      <c r="AC315" s="176" t="str">
        <f aca="false">IF(INDEX(Salary_Calculation[Source Row],ROW()-ROW(Payslip_Lookup[#Headers]))="","",INDEX(Salary_Calculation[Salary Before Other Deductions],ROW()-ROW(Payslip_Lookup[#Headers])))</f>
        <v/>
      </c>
      <c r="AD315" s="171" t="str">
        <f aca="false">IF(INDEX(Salary_Calculation[Source Row],ROW()-ROW(Payslip_Lookup[#Headers]))="","",INDEX(Salary_Calculation[Payment Status],ROW()-ROW(Payslip_Lookup[#Headers])))</f>
        <v/>
      </c>
      <c r="AE315" s="171" t="str">
        <f aca="false">IF(INDEX(Salary_Calculation[Source Row],ROW()-ROW(Payslip_Lookup[#Headers]))="","",INDEX(Salary_Calculation[Notes],ROW()-ROW(Payslip_Lookup[#Headers])))</f>
        <v/>
      </c>
      <c r="AF315" s="171" t="str">
        <f aca="false">IF(INDEX(Salary_Calculation[Source Row],ROW()-ROW(Payslip_Lookup[#Headers]))="","",INDEX(Salary_Calculation[Exception Reason],ROW()-ROW(Payslip_Lookup[#Headers])))</f>
        <v/>
      </c>
      <c r="AG315" s="173" t="str">
        <f aca="false">IF($AD315="Review Required",COUNTIF(AD$2:AD315,"Review Required"),"")</f>
        <v/>
      </c>
      <c r="AH315" s="173" t="str">
        <f aca="false">IF(AND($D315&lt;&gt;"",$B315=Payslip_Print!$C$2),MAX(AH$1:AH314)+1,"")</f>
        <v/>
      </c>
      <c r="AL315" s="178" t="str">
        <f aca="false">IFERROR(INDEX($D$2:$D$501,MATCH(ROW()-1,$AH$2:$AH$501,0)),"")</f>
        <v/>
      </c>
      <c r="AM315" s="179" t="str">
        <f aca="false">IF($Z315="","",IF(AND($C315&gt;=Dash_Start,$C315&lt;Dash_End),$Z315+ROW()/10000000,""))</f>
        <v/>
      </c>
    </row>
    <row r="316" customFormat="false" ht="14.25" hidden="false" customHeight="false" outlineLevel="0" collapsed="false">
      <c r="A316" s="171" t="str">
        <f aca="false">IF(Payslip_Lookup[[#This Row],[Rider ID]]="","",Payslip_Lookup[[#This Row],[Rider ID]]&amp;"|"&amp;Payslip_Lookup[[#This Row],[Month Key]])</f>
        <v/>
      </c>
      <c r="B316" s="172" t="str">
        <f aca="false">IF(ISNUMBER(Payslip_Lookup[[#This Row],[Salary Month]]),DATE(YEAR(Payslip_Lookup[[#This Row],[Salary Month]]),MONTH(Payslip_Lookup[[#This Row],[Salary Month]]),1),"")</f>
        <v/>
      </c>
      <c r="C316" s="172" t="str">
        <f aca="false">IF(INDEX(Salary_Calculation[Source Row],ROW()-ROW(Payslip_Lookup[#Headers]))="","",INDEX(Salary_Calculation[Salary Month],ROW()-ROW(Payslip_Lookup[#Headers])))</f>
        <v/>
      </c>
      <c r="D316" s="173" t="str">
        <f aca="false">IF(INDEX(Salary_Calculation[Source Row],ROW()-ROW(Payslip_Lookup[#Headers]))="","",INDEX(Salary_Calculation[Rider ID],ROW()-ROW(Payslip_Lookup[#Headers])))</f>
        <v/>
      </c>
      <c r="E316" s="171" t="str">
        <f aca="false">IF(INDEX(Salary_Calculation[Source Row],ROW()-ROW(Payslip_Lookup[#Headers]))="","",INDEX(Salary_Calculation[Rider Name],ROW()-ROW(Payslip_Lookup[#Headers])))</f>
        <v/>
      </c>
      <c r="F316" s="173" t="str">
        <f aca="false">IF(INDEX(Salary_Calculation[Source Row],ROW()-ROW(Payslip_Lookup[#Headers]))="","",INDEX(Salary_Calculation[Working Days],ROW()-ROW(Payslip_Lookup[#Headers])))</f>
        <v/>
      </c>
      <c r="G316" s="173" t="str">
        <f aca="false">IF(INDEX(Salary_Calculation[Source Row],ROW()-ROW(Payslip_Lookup[#Headers]))="","",INDEX(Salary_Calculation[Calendar Days],ROW()-ROW(Payslip_Lookup[#Headers])))</f>
        <v/>
      </c>
      <c r="H316" s="174" t="str">
        <f aca="false">IF(INDEX(Salary_Calculation[Source Row],ROW()-ROW(Payslip_Lookup[#Headers]))="","",INDEX(Salary_Calculation[Monthly Target Orders],ROW()-ROW(Payslip_Lookup[#Headers])))</f>
        <v/>
      </c>
      <c r="I316" s="174" t="str">
        <f aca="false">IF(INDEX(Salary_Calculation[Source Row],ROW()-ROW(Payslip_Lookup[#Headers]))="","",INDEX(Salary_Calculation[Rider Target Orders],ROW()-ROW(Payslip_Lookup[#Headers])))</f>
        <v/>
      </c>
      <c r="J316" s="175" t="str">
        <f aca="false">IF(INDEX(Salary_Calculation[Source Row],ROW()-ROW(Payslip_Lookup[#Headers]))="","",INDEX(Salary_Calculation[Completed Orders],ROW()-ROW(Payslip_Lookup[#Headers])))</f>
        <v/>
      </c>
      <c r="K316" s="174" t="str">
        <f aca="false">IF(INDEX(Salary_Calculation[Source Row],ROW()-ROW(Payslip_Lookup[#Headers]))="","",INDEX(Salary_Calculation[Base Order Rate],ROW()-ROW(Payslip_Lookup[#Headers])))</f>
        <v/>
      </c>
      <c r="L316" s="176" t="str">
        <f aca="false">IF(INDEX(Salary_Calculation[Source Row],ROW()-ROW(Payslip_Lookup[#Headers]))="","",INDEX(Salary_Calculation[Basic Payment],ROW()-ROW(Payslip_Lookup[#Headers])))</f>
        <v/>
      </c>
      <c r="M316" s="176" t="str">
        <f aca="false">IF(INDEX(Salary_Calculation[Source Row],ROW()-ROW(Payslip_Lookup[#Headers]))="","",INDEX(Salary_Calculation[Earned Salary],ROW()-ROW(Payslip_Lookup[#Headers])))</f>
        <v/>
      </c>
      <c r="N316" s="174" t="str">
        <f aca="false">IF(INDEX(Salary_Calculation[Source Row],ROW()-ROW(Payslip_Lookup[#Headers]))="","",INDEX(Salary_Calculation[Orders Counted at Base Rate],ROW()-ROW(Payslip_Lookup[#Headers])))</f>
        <v/>
      </c>
      <c r="O316" s="174" t="str">
        <f aca="false">IF(INDEX(Salary_Calculation[Source Row],ROW()-ROW(Payslip_Lookup[#Headers]))="","",INDEX(Salary_Calculation[Missing Orders],ROW()-ROW(Payslip_Lookup[#Headers])))</f>
        <v/>
      </c>
      <c r="P316" s="176" t="str">
        <f aca="false">IF(INDEX(Salary_Calculation[Source Row],ROW()-ROW(Payslip_Lookup[#Headers]))="","",INDEX(Salary_Calculation[Missing-Order Deduction],ROW()-ROW(Payslip_Lookup[#Headers])))</f>
        <v/>
      </c>
      <c r="Q316" s="174" t="str">
        <f aca="false">IF(INDEX(Salary_Calculation[Source Row],ROW()-ROW(Payslip_Lookup[#Headers]))="","",INDEX(Salary_Calculation[Extra Orders],ROW()-ROW(Payslip_Lookup[#Headers])))</f>
        <v/>
      </c>
      <c r="R316" s="176" t="str">
        <f aca="false">IF(INDEX(Salary_Calculation[Source Row],ROW()-ROW(Payslip_Lookup[#Headers]))="","",INDEX(Salary_Calculation[Extra-Order Bonus],ROW()-ROW(Payslip_Lookup[#Headers])))</f>
        <v/>
      </c>
      <c r="S316" s="176" t="str">
        <f aca="false">IF(INDEX(Salary_Calculation[Source Row],ROW()-ROW(Payslip_Lookup[#Headers]))="","",INDEX(Salary_Calculation[Basic Salary for Target],ROW()-ROW(Payslip_Lookup[#Headers])))</f>
        <v/>
      </c>
      <c r="T316" s="176" t="str">
        <f aca="false">IF(INDEX(Salary_Calculation[Source Row],ROW()-ROW(Payslip_Lookup[#Headers]))="","",INDEX(Salary_Calculation[Gross Salary Before Deductions],ROW()-ROW(Payslip_Lookup[#Headers])))</f>
        <v/>
      </c>
      <c r="U316" s="176" t="str">
        <f aca="false">IF(INDEX(Salary_Calculation[Source Row],ROW()-ROW(Payslip_Lookup[#Headers]))="","",INDEX(Salary_Calculation[missed_days_penalty],ROW()-ROW(Payslip_Lookup[#Headers])))</f>
        <v/>
      </c>
      <c r="V316" s="176" t="str">
        <f aca="false">IF(INDEX(Salary_Calculation[Source Row],ROW()-ROW(Payslip_Lookup[#Headers]))="","",INDEX(Salary_Calculation[Rider Balance],ROW()-ROW(Payslip_Lookup[#Headers])))</f>
        <v/>
      </c>
      <c r="W316" s="176" t="str">
        <f aca="false">IF(INDEX(Salary_Calculation[Source Row],ROW()-ROW(Payslip_Lookup[#Headers]))="","",INDEX(Salary_Calculation[stacking_deduction],ROW()-ROW(Payslip_Lookup[#Headers])))</f>
        <v/>
      </c>
      <c r="X316" s="176" t="str">
        <f aca="false">IF(INDEX(Salary_Calculation[Source Row],ROW()-ROW(Payslip_Lookup[#Headers]))="","",INDEX(Salary_Calculation[Other Deductions],ROW()-ROW(Payslip_Lookup[#Headers])))</f>
        <v/>
      </c>
      <c r="Y316" s="176" t="str">
        <f aca="false">IF(INDEX(Salary_Calculation[Source Row],ROW()-ROW(Payslip_Lookup[#Headers]))="","",INDEX(Salary_Calculation[Total Deductions],ROW()-ROW(Payslip_Lookup[#Headers])))</f>
        <v/>
      </c>
      <c r="Z316" s="176" t="str">
        <f aca="false">IF(INDEX(Salary_Calculation[Source Row],ROW()-ROW(Payslip_Lookup[#Headers]))="","",INDEX(Salary_Calculation[Final Salary],ROW()-ROW(Payslip_Lookup[#Headers])))</f>
        <v/>
      </c>
      <c r="AA316" s="176" t="str">
        <f aca="false">IF(INDEX(Salary_Calculation[Source Row],ROW()-ROW(Payslip_Lookup[#Headers]))="","",INDEX(Salary_Calculation[Negative Balance / Amount Due from Rider],ROW()-ROW(Payslip_Lookup[#Headers])))</f>
        <v/>
      </c>
      <c r="AB316" s="176" t="str">
        <f aca="false">IF(INDEX(Salary_Calculation[Source Row],ROW()-ROW(Payslip_Lookup[#Headers]))="","",INDEX(Salary_Calculation[Total Amount Due from Rider],ROW()-ROW(Payslip_Lookup[#Headers])))</f>
        <v/>
      </c>
      <c r="AC316" s="176" t="str">
        <f aca="false">IF(INDEX(Salary_Calculation[Source Row],ROW()-ROW(Payslip_Lookup[#Headers]))="","",INDEX(Salary_Calculation[Salary Before Other Deductions],ROW()-ROW(Payslip_Lookup[#Headers])))</f>
        <v/>
      </c>
      <c r="AD316" s="171" t="str">
        <f aca="false">IF(INDEX(Salary_Calculation[Source Row],ROW()-ROW(Payslip_Lookup[#Headers]))="","",INDEX(Salary_Calculation[Payment Status],ROW()-ROW(Payslip_Lookup[#Headers])))</f>
        <v/>
      </c>
      <c r="AE316" s="171" t="str">
        <f aca="false">IF(INDEX(Salary_Calculation[Source Row],ROW()-ROW(Payslip_Lookup[#Headers]))="","",INDEX(Salary_Calculation[Notes],ROW()-ROW(Payslip_Lookup[#Headers])))</f>
        <v/>
      </c>
      <c r="AF316" s="171" t="str">
        <f aca="false">IF(INDEX(Salary_Calculation[Source Row],ROW()-ROW(Payslip_Lookup[#Headers]))="","",INDEX(Salary_Calculation[Exception Reason],ROW()-ROW(Payslip_Lookup[#Headers])))</f>
        <v/>
      </c>
      <c r="AG316" s="173" t="str">
        <f aca="false">IF($AD316="Review Required",COUNTIF(AD$2:AD316,"Review Required"),"")</f>
        <v/>
      </c>
      <c r="AH316" s="173" t="str">
        <f aca="false">IF(AND($D316&lt;&gt;"",$B316=Payslip_Print!$C$2),MAX(AH$1:AH315)+1,"")</f>
        <v/>
      </c>
      <c r="AL316" s="178" t="str">
        <f aca="false">IFERROR(INDEX($D$2:$D$501,MATCH(ROW()-1,$AH$2:$AH$501,0)),"")</f>
        <v/>
      </c>
      <c r="AM316" s="179" t="str">
        <f aca="false">IF($Z316="","",IF(AND($C316&gt;=Dash_Start,$C316&lt;Dash_End),$Z316+ROW()/10000000,""))</f>
        <v/>
      </c>
    </row>
    <row r="317" customFormat="false" ht="14.25" hidden="false" customHeight="false" outlineLevel="0" collapsed="false">
      <c r="A317" s="171" t="str">
        <f aca="false">IF(Payslip_Lookup[[#This Row],[Rider ID]]="","",Payslip_Lookup[[#This Row],[Rider ID]]&amp;"|"&amp;Payslip_Lookup[[#This Row],[Month Key]])</f>
        <v/>
      </c>
      <c r="B317" s="172" t="str">
        <f aca="false">IF(ISNUMBER(Payslip_Lookup[[#This Row],[Salary Month]]),DATE(YEAR(Payslip_Lookup[[#This Row],[Salary Month]]),MONTH(Payslip_Lookup[[#This Row],[Salary Month]]),1),"")</f>
        <v/>
      </c>
      <c r="C317" s="172" t="str">
        <f aca="false">IF(INDEX(Salary_Calculation[Source Row],ROW()-ROW(Payslip_Lookup[#Headers]))="","",INDEX(Salary_Calculation[Salary Month],ROW()-ROW(Payslip_Lookup[#Headers])))</f>
        <v/>
      </c>
      <c r="D317" s="173" t="str">
        <f aca="false">IF(INDEX(Salary_Calculation[Source Row],ROW()-ROW(Payslip_Lookup[#Headers]))="","",INDEX(Salary_Calculation[Rider ID],ROW()-ROW(Payslip_Lookup[#Headers])))</f>
        <v/>
      </c>
      <c r="E317" s="171" t="str">
        <f aca="false">IF(INDEX(Salary_Calculation[Source Row],ROW()-ROW(Payslip_Lookup[#Headers]))="","",INDEX(Salary_Calculation[Rider Name],ROW()-ROW(Payslip_Lookup[#Headers])))</f>
        <v/>
      </c>
      <c r="F317" s="173" t="str">
        <f aca="false">IF(INDEX(Salary_Calculation[Source Row],ROW()-ROW(Payslip_Lookup[#Headers]))="","",INDEX(Salary_Calculation[Working Days],ROW()-ROW(Payslip_Lookup[#Headers])))</f>
        <v/>
      </c>
      <c r="G317" s="173" t="str">
        <f aca="false">IF(INDEX(Salary_Calculation[Source Row],ROW()-ROW(Payslip_Lookup[#Headers]))="","",INDEX(Salary_Calculation[Calendar Days],ROW()-ROW(Payslip_Lookup[#Headers])))</f>
        <v/>
      </c>
      <c r="H317" s="174" t="str">
        <f aca="false">IF(INDEX(Salary_Calculation[Source Row],ROW()-ROW(Payslip_Lookup[#Headers]))="","",INDEX(Salary_Calculation[Monthly Target Orders],ROW()-ROW(Payslip_Lookup[#Headers])))</f>
        <v/>
      </c>
      <c r="I317" s="174" t="str">
        <f aca="false">IF(INDEX(Salary_Calculation[Source Row],ROW()-ROW(Payslip_Lookup[#Headers]))="","",INDEX(Salary_Calculation[Rider Target Orders],ROW()-ROW(Payslip_Lookup[#Headers])))</f>
        <v/>
      </c>
      <c r="J317" s="175" t="str">
        <f aca="false">IF(INDEX(Salary_Calculation[Source Row],ROW()-ROW(Payslip_Lookup[#Headers]))="","",INDEX(Salary_Calculation[Completed Orders],ROW()-ROW(Payslip_Lookup[#Headers])))</f>
        <v/>
      </c>
      <c r="K317" s="174" t="str">
        <f aca="false">IF(INDEX(Salary_Calculation[Source Row],ROW()-ROW(Payslip_Lookup[#Headers]))="","",INDEX(Salary_Calculation[Base Order Rate],ROW()-ROW(Payslip_Lookup[#Headers])))</f>
        <v/>
      </c>
      <c r="L317" s="176" t="str">
        <f aca="false">IF(INDEX(Salary_Calculation[Source Row],ROW()-ROW(Payslip_Lookup[#Headers]))="","",INDEX(Salary_Calculation[Basic Payment],ROW()-ROW(Payslip_Lookup[#Headers])))</f>
        <v/>
      </c>
      <c r="M317" s="176" t="str">
        <f aca="false">IF(INDEX(Salary_Calculation[Source Row],ROW()-ROW(Payslip_Lookup[#Headers]))="","",INDEX(Salary_Calculation[Earned Salary],ROW()-ROW(Payslip_Lookup[#Headers])))</f>
        <v/>
      </c>
      <c r="N317" s="174" t="str">
        <f aca="false">IF(INDEX(Salary_Calculation[Source Row],ROW()-ROW(Payslip_Lookup[#Headers]))="","",INDEX(Salary_Calculation[Orders Counted at Base Rate],ROW()-ROW(Payslip_Lookup[#Headers])))</f>
        <v/>
      </c>
      <c r="O317" s="174" t="str">
        <f aca="false">IF(INDEX(Salary_Calculation[Source Row],ROW()-ROW(Payslip_Lookup[#Headers]))="","",INDEX(Salary_Calculation[Missing Orders],ROW()-ROW(Payslip_Lookup[#Headers])))</f>
        <v/>
      </c>
      <c r="P317" s="176" t="str">
        <f aca="false">IF(INDEX(Salary_Calculation[Source Row],ROW()-ROW(Payslip_Lookup[#Headers]))="","",INDEX(Salary_Calculation[Missing-Order Deduction],ROW()-ROW(Payslip_Lookup[#Headers])))</f>
        <v/>
      </c>
      <c r="Q317" s="174" t="str">
        <f aca="false">IF(INDEX(Salary_Calculation[Source Row],ROW()-ROW(Payslip_Lookup[#Headers]))="","",INDEX(Salary_Calculation[Extra Orders],ROW()-ROW(Payslip_Lookup[#Headers])))</f>
        <v/>
      </c>
      <c r="R317" s="176" t="str">
        <f aca="false">IF(INDEX(Salary_Calculation[Source Row],ROW()-ROW(Payslip_Lookup[#Headers]))="","",INDEX(Salary_Calculation[Extra-Order Bonus],ROW()-ROW(Payslip_Lookup[#Headers])))</f>
        <v/>
      </c>
      <c r="S317" s="176" t="str">
        <f aca="false">IF(INDEX(Salary_Calculation[Source Row],ROW()-ROW(Payslip_Lookup[#Headers]))="","",INDEX(Salary_Calculation[Basic Salary for Target],ROW()-ROW(Payslip_Lookup[#Headers])))</f>
        <v/>
      </c>
      <c r="T317" s="176" t="str">
        <f aca="false">IF(INDEX(Salary_Calculation[Source Row],ROW()-ROW(Payslip_Lookup[#Headers]))="","",INDEX(Salary_Calculation[Gross Salary Before Deductions],ROW()-ROW(Payslip_Lookup[#Headers])))</f>
        <v/>
      </c>
      <c r="U317" s="176" t="str">
        <f aca="false">IF(INDEX(Salary_Calculation[Source Row],ROW()-ROW(Payslip_Lookup[#Headers]))="","",INDEX(Salary_Calculation[missed_days_penalty],ROW()-ROW(Payslip_Lookup[#Headers])))</f>
        <v/>
      </c>
      <c r="V317" s="176" t="str">
        <f aca="false">IF(INDEX(Salary_Calculation[Source Row],ROW()-ROW(Payslip_Lookup[#Headers]))="","",INDEX(Salary_Calculation[Rider Balance],ROW()-ROW(Payslip_Lookup[#Headers])))</f>
        <v/>
      </c>
      <c r="W317" s="176" t="str">
        <f aca="false">IF(INDEX(Salary_Calculation[Source Row],ROW()-ROW(Payslip_Lookup[#Headers]))="","",INDEX(Salary_Calculation[stacking_deduction],ROW()-ROW(Payslip_Lookup[#Headers])))</f>
        <v/>
      </c>
      <c r="X317" s="176" t="str">
        <f aca="false">IF(INDEX(Salary_Calculation[Source Row],ROW()-ROW(Payslip_Lookup[#Headers]))="","",INDEX(Salary_Calculation[Other Deductions],ROW()-ROW(Payslip_Lookup[#Headers])))</f>
        <v/>
      </c>
      <c r="Y317" s="176" t="str">
        <f aca="false">IF(INDEX(Salary_Calculation[Source Row],ROW()-ROW(Payslip_Lookup[#Headers]))="","",INDEX(Salary_Calculation[Total Deductions],ROW()-ROW(Payslip_Lookup[#Headers])))</f>
        <v/>
      </c>
      <c r="Z317" s="176" t="str">
        <f aca="false">IF(INDEX(Salary_Calculation[Source Row],ROW()-ROW(Payslip_Lookup[#Headers]))="","",INDEX(Salary_Calculation[Final Salary],ROW()-ROW(Payslip_Lookup[#Headers])))</f>
        <v/>
      </c>
      <c r="AA317" s="176" t="str">
        <f aca="false">IF(INDEX(Salary_Calculation[Source Row],ROW()-ROW(Payslip_Lookup[#Headers]))="","",INDEX(Salary_Calculation[Negative Balance / Amount Due from Rider],ROW()-ROW(Payslip_Lookup[#Headers])))</f>
        <v/>
      </c>
      <c r="AB317" s="176" t="str">
        <f aca="false">IF(INDEX(Salary_Calculation[Source Row],ROW()-ROW(Payslip_Lookup[#Headers]))="","",INDEX(Salary_Calculation[Total Amount Due from Rider],ROW()-ROW(Payslip_Lookup[#Headers])))</f>
        <v/>
      </c>
      <c r="AC317" s="176" t="str">
        <f aca="false">IF(INDEX(Salary_Calculation[Source Row],ROW()-ROW(Payslip_Lookup[#Headers]))="","",INDEX(Salary_Calculation[Salary Before Other Deductions],ROW()-ROW(Payslip_Lookup[#Headers])))</f>
        <v/>
      </c>
      <c r="AD317" s="171" t="str">
        <f aca="false">IF(INDEX(Salary_Calculation[Source Row],ROW()-ROW(Payslip_Lookup[#Headers]))="","",INDEX(Salary_Calculation[Payment Status],ROW()-ROW(Payslip_Lookup[#Headers])))</f>
        <v/>
      </c>
      <c r="AE317" s="171" t="str">
        <f aca="false">IF(INDEX(Salary_Calculation[Source Row],ROW()-ROW(Payslip_Lookup[#Headers]))="","",INDEX(Salary_Calculation[Notes],ROW()-ROW(Payslip_Lookup[#Headers])))</f>
        <v/>
      </c>
      <c r="AF317" s="171" t="str">
        <f aca="false">IF(INDEX(Salary_Calculation[Source Row],ROW()-ROW(Payslip_Lookup[#Headers]))="","",INDEX(Salary_Calculation[Exception Reason],ROW()-ROW(Payslip_Lookup[#Headers])))</f>
        <v/>
      </c>
      <c r="AG317" s="173" t="str">
        <f aca="false">IF($AD317="Review Required",COUNTIF(AD$2:AD317,"Review Required"),"")</f>
        <v/>
      </c>
      <c r="AH317" s="173" t="str">
        <f aca="false">IF(AND($D317&lt;&gt;"",$B317=Payslip_Print!$C$2),MAX(AH$1:AH316)+1,"")</f>
        <v/>
      </c>
      <c r="AL317" s="178" t="str">
        <f aca="false">IFERROR(INDEX($D$2:$D$501,MATCH(ROW()-1,$AH$2:$AH$501,0)),"")</f>
        <v/>
      </c>
      <c r="AM317" s="179" t="str">
        <f aca="false">IF($Z317="","",IF(AND($C317&gt;=Dash_Start,$C317&lt;Dash_End),$Z317+ROW()/10000000,""))</f>
        <v/>
      </c>
    </row>
    <row r="318" customFormat="false" ht="14.25" hidden="false" customHeight="false" outlineLevel="0" collapsed="false">
      <c r="A318" s="171" t="str">
        <f aca="false">IF(Payslip_Lookup[[#This Row],[Rider ID]]="","",Payslip_Lookup[[#This Row],[Rider ID]]&amp;"|"&amp;Payslip_Lookup[[#This Row],[Month Key]])</f>
        <v/>
      </c>
      <c r="B318" s="172" t="str">
        <f aca="false">IF(ISNUMBER(Payslip_Lookup[[#This Row],[Salary Month]]),DATE(YEAR(Payslip_Lookup[[#This Row],[Salary Month]]),MONTH(Payslip_Lookup[[#This Row],[Salary Month]]),1),"")</f>
        <v/>
      </c>
      <c r="C318" s="172" t="str">
        <f aca="false">IF(INDEX(Salary_Calculation[Source Row],ROW()-ROW(Payslip_Lookup[#Headers]))="","",INDEX(Salary_Calculation[Salary Month],ROW()-ROW(Payslip_Lookup[#Headers])))</f>
        <v/>
      </c>
      <c r="D318" s="173" t="str">
        <f aca="false">IF(INDEX(Salary_Calculation[Source Row],ROW()-ROW(Payslip_Lookup[#Headers]))="","",INDEX(Salary_Calculation[Rider ID],ROW()-ROW(Payslip_Lookup[#Headers])))</f>
        <v/>
      </c>
      <c r="E318" s="171" t="str">
        <f aca="false">IF(INDEX(Salary_Calculation[Source Row],ROW()-ROW(Payslip_Lookup[#Headers]))="","",INDEX(Salary_Calculation[Rider Name],ROW()-ROW(Payslip_Lookup[#Headers])))</f>
        <v/>
      </c>
      <c r="F318" s="173" t="str">
        <f aca="false">IF(INDEX(Salary_Calculation[Source Row],ROW()-ROW(Payslip_Lookup[#Headers]))="","",INDEX(Salary_Calculation[Working Days],ROW()-ROW(Payslip_Lookup[#Headers])))</f>
        <v/>
      </c>
      <c r="G318" s="173" t="str">
        <f aca="false">IF(INDEX(Salary_Calculation[Source Row],ROW()-ROW(Payslip_Lookup[#Headers]))="","",INDEX(Salary_Calculation[Calendar Days],ROW()-ROW(Payslip_Lookup[#Headers])))</f>
        <v/>
      </c>
      <c r="H318" s="174" t="str">
        <f aca="false">IF(INDEX(Salary_Calculation[Source Row],ROW()-ROW(Payslip_Lookup[#Headers]))="","",INDEX(Salary_Calculation[Monthly Target Orders],ROW()-ROW(Payslip_Lookup[#Headers])))</f>
        <v/>
      </c>
      <c r="I318" s="174" t="str">
        <f aca="false">IF(INDEX(Salary_Calculation[Source Row],ROW()-ROW(Payslip_Lookup[#Headers]))="","",INDEX(Salary_Calculation[Rider Target Orders],ROW()-ROW(Payslip_Lookup[#Headers])))</f>
        <v/>
      </c>
      <c r="J318" s="175" t="str">
        <f aca="false">IF(INDEX(Salary_Calculation[Source Row],ROW()-ROW(Payslip_Lookup[#Headers]))="","",INDEX(Salary_Calculation[Completed Orders],ROW()-ROW(Payslip_Lookup[#Headers])))</f>
        <v/>
      </c>
      <c r="K318" s="174" t="str">
        <f aca="false">IF(INDEX(Salary_Calculation[Source Row],ROW()-ROW(Payslip_Lookup[#Headers]))="","",INDEX(Salary_Calculation[Base Order Rate],ROW()-ROW(Payslip_Lookup[#Headers])))</f>
        <v/>
      </c>
      <c r="L318" s="176" t="str">
        <f aca="false">IF(INDEX(Salary_Calculation[Source Row],ROW()-ROW(Payslip_Lookup[#Headers]))="","",INDEX(Salary_Calculation[Basic Payment],ROW()-ROW(Payslip_Lookup[#Headers])))</f>
        <v/>
      </c>
      <c r="M318" s="176" t="str">
        <f aca="false">IF(INDEX(Salary_Calculation[Source Row],ROW()-ROW(Payslip_Lookup[#Headers]))="","",INDEX(Salary_Calculation[Earned Salary],ROW()-ROW(Payslip_Lookup[#Headers])))</f>
        <v/>
      </c>
      <c r="N318" s="174" t="str">
        <f aca="false">IF(INDEX(Salary_Calculation[Source Row],ROW()-ROW(Payslip_Lookup[#Headers]))="","",INDEX(Salary_Calculation[Orders Counted at Base Rate],ROW()-ROW(Payslip_Lookup[#Headers])))</f>
        <v/>
      </c>
      <c r="O318" s="174" t="str">
        <f aca="false">IF(INDEX(Salary_Calculation[Source Row],ROW()-ROW(Payslip_Lookup[#Headers]))="","",INDEX(Salary_Calculation[Missing Orders],ROW()-ROW(Payslip_Lookup[#Headers])))</f>
        <v/>
      </c>
      <c r="P318" s="176" t="str">
        <f aca="false">IF(INDEX(Salary_Calculation[Source Row],ROW()-ROW(Payslip_Lookup[#Headers]))="","",INDEX(Salary_Calculation[Missing-Order Deduction],ROW()-ROW(Payslip_Lookup[#Headers])))</f>
        <v/>
      </c>
      <c r="Q318" s="174" t="str">
        <f aca="false">IF(INDEX(Salary_Calculation[Source Row],ROW()-ROW(Payslip_Lookup[#Headers]))="","",INDEX(Salary_Calculation[Extra Orders],ROW()-ROW(Payslip_Lookup[#Headers])))</f>
        <v/>
      </c>
      <c r="R318" s="176" t="str">
        <f aca="false">IF(INDEX(Salary_Calculation[Source Row],ROW()-ROW(Payslip_Lookup[#Headers]))="","",INDEX(Salary_Calculation[Extra-Order Bonus],ROW()-ROW(Payslip_Lookup[#Headers])))</f>
        <v/>
      </c>
      <c r="S318" s="176" t="str">
        <f aca="false">IF(INDEX(Salary_Calculation[Source Row],ROW()-ROW(Payslip_Lookup[#Headers]))="","",INDEX(Salary_Calculation[Basic Salary for Target],ROW()-ROW(Payslip_Lookup[#Headers])))</f>
        <v/>
      </c>
      <c r="T318" s="176" t="str">
        <f aca="false">IF(INDEX(Salary_Calculation[Source Row],ROW()-ROW(Payslip_Lookup[#Headers]))="","",INDEX(Salary_Calculation[Gross Salary Before Deductions],ROW()-ROW(Payslip_Lookup[#Headers])))</f>
        <v/>
      </c>
      <c r="U318" s="176" t="str">
        <f aca="false">IF(INDEX(Salary_Calculation[Source Row],ROW()-ROW(Payslip_Lookup[#Headers]))="","",INDEX(Salary_Calculation[missed_days_penalty],ROW()-ROW(Payslip_Lookup[#Headers])))</f>
        <v/>
      </c>
      <c r="V318" s="176" t="str">
        <f aca="false">IF(INDEX(Salary_Calculation[Source Row],ROW()-ROW(Payslip_Lookup[#Headers]))="","",INDEX(Salary_Calculation[Rider Balance],ROW()-ROW(Payslip_Lookup[#Headers])))</f>
        <v/>
      </c>
      <c r="W318" s="176" t="str">
        <f aca="false">IF(INDEX(Salary_Calculation[Source Row],ROW()-ROW(Payslip_Lookup[#Headers]))="","",INDEX(Salary_Calculation[stacking_deduction],ROW()-ROW(Payslip_Lookup[#Headers])))</f>
        <v/>
      </c>
      <c r="X318" s="176" t="str">
        <f aca="false">IF(INDEX(Salary_Calculation[Source Row],ROW()-ROW(Payslip_Lookup[#Headers]))="","",INDEX(Salary_Calculation[Other Deductions],ROW()-ROW(Payslip_Lookup[#Headers])))</f>
        <v/>
      </c>
      <c r="Y318" s="176" t="str">
        <f aca="false">IF(INDEX(Salary_Calculation[Source Row],ROW()-ROW(Payslip_Lookup[#Headers]))="","",INDEX(Salary_Calculation[Total Deductions],ROW()-ROW(Payslip_Lookup[#Headers])))</f>
        <v/>
      </c>
      <c r="Z318" s="176" t="str">
        <f aca="false">IF(INDEX(Salary_Calculation[Source Row],ROW()-ROW(Payslip_Lookup[#Headers]))="","",INDEX(Salary_Calculation[Final Salary],ROW()-ROW(Payslip_Lookup[#Headers])))</f>
        <v/>
      </c>
      <c r="AA318" s="176" t="str">
        <f aca="false">IF(INDEX(Salary_Calculation[Source Row],ROW()-ROW(Payslip_Lookup[#Headers]))="","",INDEX(Salary_Calculation[Negative Balance / Amount Due from Rider],ROW()-ROW(Payslip_Lookup[#Headers])))</f>
        <v/>
      </c>
      <c r="AB318" s="176" t="str">
        <f aca="false">IF(INDEX(Salary_Calculation[Source Row],ROW()-ROW(Payslip_Lookup[#Headers]))="","",INDEX(Salary_Calculation[Total Amount Due from Rider],ROW()-ROW(Payslip_Lookup[#Headers])))</f>
        <v/>
      </c>
      <c r="AC318" s="176" t="str">
        <f aca="false">IF(INDEX(Salary_Calculation[Source Row],ROW()-ROW(Payslip_Lookup[#Headers]))="","",INDEX(Salary_Calculation[Salary Before Other Deductions],ROW()-ROW(Payslip_Lookup[#Headers])))</f>
        <v/>
      </c>
      <c r="AD318" s="171" t="str">
        <f aca="false">IF(INDEX(Salary_Calculation[Source Row],ROW()-ROW(Payslip_Lookup[#Headers]))="","",INDEX(Salary_Calculation[Payment Status],ROW()-ROW(Payslip_Lookup[#Headers])))</f>
        <v/>
      </c>
      <c r="AE318" s="171" t="str">
        <f aca="false">IF(INDEX(Salary_Calculation[Source Row],ROW()-ROW(Payslip_Lookup[#Headers]))="","",INDEX(Salary_Calculation[Notes],ROW()-ROW(Payslip_Lookup[#Headers])))</f>
        <v/>
      </c>
      <c r="AF318" s="171" t="str">
        <f aca="false">IF(INDEX(Salary_Calculation[Source Row],ROW()-ROW(Payslip_Lookup[#Headers]))="","",INDEX(Salary_Calculation[Exception Reason],ROW()-ROW(Payslip_Lookup[#Headers])))</f>
        <v/>
      </c>
      <c r="AG318" s="173" t="str">
        <f aca="false">IF($AD318="Review Required",COUNTIF(AD$2:AD318,"Review Required"),"")</f>
        <v/>
      </c>
      <c r="AH318" s="173" t="str">
        <f aca="false">IF(AND($D318&lt;&gt;"",$B318=Payslip_Print!$C$2),MAX(AH$1:AH317)+1,"")</f>
        <v/>
      </c>
      <c r="AL318" s="178" t="str">
        <f aca="false">IFERROR(INDEX($D$2:$D$501,MATCH(ROW()-1,$AH$2:$AH$501,0)),"")</f>
        <v/>
      </c>
      <c r="AM318" s="179" t="str">
        <f aca="false">IF($Z318="","",IF(AND($C318&gt;=Dash_Start,$C318&lt;Dash_End),$Z318+ROW()/10000000,""))</f>
        <v/>
      </c>
    </row>
    <row r="319" customFormat="false" ht="14.25" hidden="false" customHeight="false" outlineLevel="0" collapsed="false">
      <c r="A319" s="171" t="str">
        <f aca="false">IF(Payslip_Lookup[[#This Row],[Rider ID]]="","",Payslip_Lookup[[#This Row],[Rider ID]]&amp;"|"&amp;Payslip_Lookup[[#This Row],[Month Key]])</f>
        <v/>
      </c>
      <c r="B319" s="172" t="str">
        <f aca="false">IF(ISNUMBER(Payslip_Lookup[[#This Row],[Salary Month]]),DATE(YEAR(Payslip_Lookup[[#This Row],[Salary Month]]),MONTH(Payslip_Lookup[[#This Row],[Salary Month]]),1),"")</f>
        <v/>
      </c>
      <c r="C319" s="172" t="str">
        <f aca="false">IF(INDEX(Salary_Calculation[Source Row],ROW()-ROW(Payslip_Lookup[#Headers]))="","",INDEX(Salary_Calculation[Salary Month],ROW()-ROW(Payslip_Lookup[#Headers])))</f>
        <v/>
      </c>
      <c r="D319" s="173" t="str">
        <f aca="false">IF(INDEX(Salary_Calculation[Source Row],ROW()-ROW(Payslip_Lookup[#Headers]))="","",INDEX(Salary_Calculation[Rider ID],ROW()-ROW(Payslip_Lookup[#Headers])))</f>
        <v/>
      </c>
      <c r="E319" s="171" t="str">
        <f aca="false">IF(INDEX(Salary_Calculation[Source Row],ROW()-ROW(Payslip_Lookup[#Headers]))="","",INDEX(Salary_Calculation[Rider Name],ROW()-ROW(Payslip_Lookup[#Headers])))</f>
        <v/>
      </c>
      <c r="F319" s="173" t="str">
        <f aca="false">IF(INDEX(Salary_Calculation[Source Row],ROW()-ROW(Payslip_Lookup[#Headers]))="","",INDEX(Salary_Calculation[Working Days],ROW()-ROW(Payslip_Lookup[#Headers])))</f>
        <v/>
      </c>
      <c r="G319" s="173" t="str">
        <f aca="false">IF(INDEX(Salary_Calculation[Source Row],ROW()-ROW(Payslip_Lookup[#Headers]))="","",INDEX(Salary_Calculation[Calendar Days],ROW()-ROW(Payslip_Lookup[#Headers])))</f>
        <v/>
      </c>
      <c r="H319" s="174" t="str">
        <f aca="false">IF(INDEX(Salary_Calculation[Source Row],ROW()-ROW(Payslip_Lookup[#Headers]))="","",INDEX(Salary_Calculation[Monthly Target Orders],ROW()-ROW(Payslip_Lookup[#Headers])))</f>
        <v/>
      </c>
      <c r="I319" s="174" t="str">
        <f aca="false">IF(INDEX(Salary_Calculation[Source Row],ROW()-ROW(Payslip_Lookup[#Headers]))="","",INDEX(Salary_Calculation[Rider Target Orders],ROW()-ROW(Payslip_Lookup[#Headers])))</f>
        <v/>
      </c>
      <c r="J319" s="175" t="str">
        <f aca="false">IF(INDEX(Salary_Calculation[Source Row],ROW()-ROW(Payslip_Lookup[#Headers]))="","",INDEX(Salary_Calculation[Completed Orders],ROW()-ROW(Payslip_Lookup[#Headers])))</f>
        <v/>
      </c>
      <c r="K319" s="174" t="str">
        <f aca="false">IF(INDEX(Salary_Calculation[Source Row],ROW()-ROW(Payslip_Lookup[#Headers]))="","",INDEX(Salary_Calculation[Base Order Rate],ROW()-ROW(Payslip_Lookup[#Headers])))</f>
        <v/>
      </c>
      <c r="L319" s="176" t="str">
        <f aca="false">IF(INDEX(Salary_Calculation[Source Row],ROW()-ROW(Payslip_Lookup[#Headers]))="","",INDEX(Salary_Calculation[Basic Payment],ROW()-ROW(Payslip_Lookup[#Headers])))</f>
        <v/>
      </c>
      <c r="M319" s="176" t="str">
        <f aca="false">IF(INDEX(Salary_Calculation[Source Row],ROW()-ROW(Payslip_Lookup[#Headers]))="","",INDEX(Salary_Calculation[Earned Salary],ROW()-ROW(Payslip_Lookup[#Headers])))</f>
        <v/>
      </c>
      <c r="N319" s="174" t="str">
        <f aca="false">IF(INDEX(Salary_Calculation[Source Row],ROW()-ROW(Payslip_Lookup[#Headers]))="","",INDEX(Salary_Calculation[Orders Counted at Base Rate],ROW()-ROW(Payslip_Lookup[#Headers])))</f>
        <v/>
      </c>
      <c r="O319" s="174" t="str">
        <f aca="false">IF(INDEX(Salary_Calculation[Source Row],ROW()-ROW(Payslip_Lookup[#Headers]))="","",INDEX(Salary_Calculation[Missing Orders],ROW()-ROW(Payslip_Lookup[#Headers])))</f>
        <v/>
      </c>
      <c r="P319" s="176" t="str">
        <f aca="false">IF(INDEX(Salary_Calculation[Source Row],ROW()-ROW(Payslip_Lookup[#Headers]))="","",INDEX(Salary_Calculation[Missing-Order Deduction],ROW()-ROW(Payslip_Lookup[#Headers])))</f>
        <v/>
      </c>
      <c r="Q319" s="174" t="str">
        <f aca="false">IF(INDEX(Salary_Calculation[Source Row],ROW()-ROW(Payslip_Lookup[#Headers]))="","",INDEX(Salary_Calculation[Extra Orders],ROW()-ROW(Payslip_Lookup[#Headers])))</f>
        <v/>
      </c>
      <c r="R319" s="176" t="str">
        <f aca="false">IF(INDEX(Salary_Calculation[Source Row],ROW()-ROW(Payslip_Lookup[#Headers]))="","",INDEX(Salary_Calculation[Extra-Order Bonus],ROW()-ROW(Payslip_Lookup[#Headers])))</f>
        <v/>
      </c>
      <c r="S319" s="176" t="str">
        <f aca="false">IF(INDEX(Salary_Calculation[Source Row],ROW()-ROW(Payslip_Lookup[#Headers]))="","",INDEX(Salary_Calculation[Basic Salary for Target],ROW()-ROW(Payslip_Lookup[#Headers])))</f>
        <v/>
      </c>
      <c r="T319" s="176" t="str">
        <f aca="false">IF(INDEX(Salary_Calculation[Source Row],ROW()-ROW(Payslip_Lookup[#Headers]))="","",INDEX(Salary_Calculation[Gross Salary Before Deductions],ROW()-ROW(Payslip_Lookup[#Headers])))</f>
        <v/>
      </c>
      <c r="U319" s="176" t="str">
        <f aca="false">IF(INDEX(Salary_Calculation[Source Row],ROW()-ROW(Payslip_Lookup[#Headers]))="","",INDEX(Salary_Calculation[missed_days_penalty],ROW()-ROW(Payslip_Lookup[#Headers])))</f>
        <v/>
      </c>
      <c r="V319" s="176" t="str">
        <f aca="false">IF(INDEX(Salary_Calculation[Source Row],ROW()-ROW(Payslip_Lookup[#Headers]))="","",INDEX(Salary_Calculation[Rider Balance],ROW()-ROW(Payslip_Lookup[#Headers])))</f>
        <v/>
      </c>
      <c r="W319" s="176" t="str">
        <f aca="false">IF(INDEX(Salary_Calculation[Source Row],ROW()-ROW(Payslip_Lookup[#Headers]))="","",INDEX(Salary_Calculation[stacking_deduction],ROW()-ROW(Payslip_Lookup[#Headers])))</f>
        <v/>
      </c>
      <c r="X319" s="176" t="str">
        <f aca="false">IF(INDEX(Salary_Calculation[Source Row],ROW()-ROW(Payslip_Lookup[#Headers]))="","",INDEX(Salary_Calculation[Other Deductions],ROW()-ROW(Payslip_Lookup[#Headers])))</f>
        <v/>
      </c>
      <c r="Y319" s="176" t="str">
        <f aca="false">IF(INDEX(Salary_Calculation[Source Row],ROW()-ROW(Payslip_Lookup[#Headers]))="","",INDEX(Salary_Calculation[Total Deductions],ROW()-ROW(Payslip_Lookup[#Headers])))</f>
        <v/>
      </c>
      <c r="Z319" s="176" t="str">
        <f aca="false">IF(INDEX(Salary_Calculation[Source Row],ROW()-ROW(Payslip_Lookup[#Headers]))="","",INDEX(Salary_Calculation[Final Salary],ROW()-ROW(Payslip_Lookup[#Headers])))</f>
        <v/>
      </c>
      <c r="AA319" s="176" t="str">
        <f aca="false">IF(INDEX(Salary_Calculation[Source Row],ROW()-ROW(Payslip_Lookup[#Headers]))="","",INDEX(Salary_Calculation[Negative Balance / Amount Due from Rider],ROW()-ROW(Payslip_Lookup[#Headers])))</f>
        <v/>
      </c>
      <c r="AB319" s="176" t="str">
        <f aca="false">IF(INDEX(Salary_Calculation[Source Row],ROW()-ROW(Payslip_Lookup[#Headers]))="","",INDEX(Salary_Calculation[Total Amount Due from Rider],ROW()-ROW(Payslip_Lookup[#Headers])))</f>
        <v/>
      </c>
      <c r="AC319" s="176" t="str">
        <f aca="false">IF(INDEX(Salary_Calculation[Source Row],ROW()-ROW(Payslip_Lookup[#Headers]))="","",INDEX(Salary_Calculation[Salary Before Other Deductions],ROW()-ROW(Payslip_Lookup[#Headers])))</f>
        <v/>
      </c>
      <c r="AD319" s="171" t="str">
        <f aca="false">IF(INDEX(Salary_Calculation[Source Row],ROW()-ROW(Payslip_Lookup[#Headers]))="","",INDEX(Salary_Calculation[Payment Status],ROW()-ROW(Payslip_Lookup[#Headers])))</f>
        <v/>
      </c>
      <c r="AE319" s="171" t="str">
        <f aca="false">IF(INDEX(Salary_Calculation[Source Row],ROW()-ROW(Payslip_Lookup[#Headers]))="","",INDEX(Salary_Calculation[Notes],ROW()-ROW(Payslip_Lookup[#Headers])))</f>
        <v/>
      </c>
      <c r="AF319" s="171" t="str">
        <f aca="false">IF(INDEX(Salary_Calculation[Source Row],ROW()-ROW(Payslip_Lookup[#Headers]))="","",INDEX(Salary_Calculation[Exception Reason],ROW()-ROW(Payslip_Lookup[#Headers])))</f>
        <v/>
      </c>
      <c r="AG319" s="173" t="str">
        <f aca="false">IF($AD319="Review Required",COUNTIF(AD$2:AD319,"Review Required"),"")</f>
        <v/>
      </c>
      <c r="AH319" s="173" t="str">
        <f aca="false">IF(AND($D319&lt;&gt;"",$B319=Payslip_Print!$C$2),MAX(AH$1:AH318)+1,"")</f>
        <v/>
      </c>
      <c r="AL319" s="178" t="str">
        <f aca="false">IFERROR(INDEX($D$2:$D$501,MATCH(ROW()-1,$AH$2:$AH$501,0)),"")</f>
        <v/>
      </c>
      <c r="AM319" s="179" t="str">
        <f aca="false">IF($Z319="","",IF(AND($C319&gt;=Dash_Start,$C319&lt;Dash_End),$Z319+ROW()/10000000,""))</f>
        <v/>
      </c>
    </row>
    <row r="320" customFormat="false" ht="14.25" hidden="false" customHeight="false" outlineLevel="0" collapsed="false">
      <c r="A320" s="171" t="str">
        <f aca="false">IF(Payslip_Lookup[[#This Row],[Rider ID]]="","",Payslip_Lookup[[#This Row],[Rider ID]]&amp;"|"&amp;Payslip_Lookup[[#This Row],[Month Key]])</f>
        <v/>
      </c>
      <c r="B320" s="172" t="str">
        <f aca="false">IF(ISNUMBER(Payslip_Lookup[[#This Row],[Salary Month]]),DATE(YEAR(Payslip_Lookup[[#This Row],[Salary Month]]),MONTH(Payslip_Lookup[[#This Row],[Salary Month]]),1),"")</f>
        <v/>
      </c>
      <c r="C320" s="172" t="str">
        <f aca="false">IF(INDEX(Salary_Calculation[Source Row],ROW()-ROW(Payslip_Lookup[#Headers]))="","",INDEX(Salary_Calculation[Salary Month],ROW()-ROW(Payslip_Lookup[#Headers])))</f>
        <v/>
      </c>
      <c r="D320" s="173" t="str">
        <f aca="false">IF(INDEX(Salary_Calculation[Source Row],ROW()-ROW(Payslip_Lookup[#Headers]))="","",INDEX(Salary_Calculation[Rider ID],ROW()-ROW(Payslip_Lookup[#Headers])))</f>
        <v/>
      </c>
      <c r="E320" s="171" t="str">
        <f aca="false">IF(INDEX(Salary_Calculation[Source Row],ROW()-ROW(Payslip_Lookup[#Headers]))="","",INDEX(Salary_Calculation[Rider Name],ROW()-ROW(Payslip_Lookup[#Headers])))</f>
        <v/>
      </c>
      <c r="F320" s="173" t="str">
        <f aca="false">IF(INDEX(Salary_Calculation[Source Row],ROW()-ROW(Payslip_Lookup[#Headers]))="","",INDEX(Salary_Calculation[Working Days],ROW()-ROW(Payslip_Lookup[#Headers])))</f>
        <v/>
      </c>
      <c r="G320" s="173" t="str">
        <f aca="false">IF(INDEX(Salary_Calculation[Source Row],ROW()-ROW(Payslip_Lookup[#Headers]))="","",INDEX(Salary_Calculation[Calendar Days],ROW()-ROW(Payslip_Lookup[#Headers])))</f>
        <v/>
      </c>
      <c r="H320" s="174" t="str">
        <f aca="false">IF(INDEX(Salary_Calculation[Source Row],ROW()-ROW(Payslip_Lookup[#Headers]))="","",INDEX(Salary_Calculation[Monthly Target Orders],ROW()-ROW(Payslip_Lookup[#Headers])))</f>
        <v/>
      </c>
      <c r="I320" s="174" t="str">
        <f aca="false">IF(INDEX(Salary_Calculation[Source Row],ROW()-ROW(Payslip_Lookup[#Headers]))="","",INDEX(Salary_Calculation[Rider Target Orders],ROW()-ROW(Payslip_Lookup[#Headers])))</f>
        <v/>
      </c>
      <c r="J320" s="175" t="str">
        <f aca="false">IF(INDEX(Salary_Calculation[Source Row],ROW()-ROW(Payslip_Lookup[#Headers]))="","",INDEX(Salary_Calculation[Completed Orders],ROW()-ROW(Payslip_Lookup[#Headers])))</f>
        <v/>
      </c>
      <c r="K320" s="174" t="str">
        <f aca="false">IF(INDEX(Salary_Calculation[Source Row],ROW()-ROW(Payslip_Lookup[#Headers]))="","",INDEX(Salary_Calculation[Base Order Rate],ROW()-ROW(Payslip_Lookup[#Headers])))</f>
        <v/>
      </c>
      <c r="L320" s="176" t="str">
        <f aca="false">IF(INDEX(Salary_Calculation[Source Row],ROW()-ROW(Payslip_Lookup[#Headers]))="","",INDEX(Salary_Calculation[Basic Payment],ROW()-ROW(Payslip_Lookup[#Headers])))</f>
        <v/>
      </c>
      <c r="M320" s="176" t="str">
        <f aca="false">IF(INDEX(Salary_Calculation[Source Row],ROW()-ROW(Payslip_Lookup[#Headers]))="","",INDEX(Salary_Calculation[Earned Salary],ROW()-ROW(Payslip_Lookup[#Headers])))</f>
        <v/>
      </c>
      <c r="N320" s="174" t="str">
        <f aca="false">IF(INDEX(Salary_Calculation[Source Row],ROW()-ROW(Payslip_Lookup[#Headers]))="","",INDEX(Salary_Calculation[Orders Counted at Base Rate],ROW()-ROW(Payslip_Lookup[#Headers])))</f>
        <v/>
      </c>
      <c r="O320" s="174" t="str">
        <f aca="false">IF(INDEX(Salary_Calculation[Source Row],ROW()-ROW(Payslip_Lookup[#Headers]))="","",INDEX(Salary_Calculation[Missing Orders],ROW()-ROW(Payslip_Lookup[#Headers])))</f>
        <v/>
      </c>
      <c r="P320" s="176" t="str">
        <f aca="false">IF(INDEX(Salary_Calculation[Source Row],ROW()-ROW(Payslip_Lookup[#Headers]))="","",INDEX(Salary_Calculation[Missing-Order Deduction],ROW()-ROW(Payslip_Lookup[#Headers])))</f>
        <v/>
      </c>
      <c r="Q320" s="174" t="str">
        <f aca="false">IF(INDEX(Salary_Calculation[Source Row],ROW()-ROW(Payslip_Lookup[#Headers]))="","",INDEX(Salary_Calculation[Extra Orders],ROW()-ROW(Payslip_Lookup[#Headers])))</f>
        <v/>
      </c>
      <c r="R320" s="176" t="str">
        <f aca="false">IF(INDEX(Salary_Calculation[Source Row],ROW()-ROW(Payslip_Lookup[#Headers]))="","",INDEX(Salary_Calculation[Extra-Order Bonus],ROW()-ROW(Payslip_Lookup[#Headers])))</f>
        <v/>
      </c>
      <c r="S320" s="176" t="str">
        <f aca="false">IF(INDEX(Salary_Calculation[Source Row],ROW()-ROW(Payslip_Lookup[#Headers]))="","",INDEX(Salary_Calculation[Basic Salary for Target],ROW()-ROW(Payslip_Lookup[#Headers])))</f>
        <v/>
      </c>
      <c r="T320" s="176" t="str">
        <f aca="false">IF(INDEX(Salary_Calculation[Source Row],ROW()-ROW(Payslip_Lookup[#Headers]))="","",INDEX(Salary_Calculation[Gross Salary Before Deductions],ROW()-ROW(Payslip_Lookup[#Headers])))</f>
        <v/>
      </c>
      <c r="U320" s="176" t="str">
        <f aca="false">IF(INDEX(Salary_Calculation[Source Row],ROW()-ROW(Payslip_Lookup[#Headers]))="","",INDEX(Salary_Calculation[missed_days_penalty],ROW()-ROW(Payslip_Lookup[#Headers])))</f>
        <v/>
      </c>
      <c r="V320" s="176" t="str">
        <f aca="false">IF(INDEX(Salary_Calculation[Source Row],ROW()-ROW(Payslip_Lookup[#Headers]))="","",INDEX(Salary_Calculation[Rider Balance],ROW()-ROW(Payslip_Lookup[#Headers])))</f>
        <v/>
      </c>
      <c r="W320" s="176" t="str">
        <f aca="false">IF(INDEX(Salary_Calculation[Source Row],ROW()-ROW(Payslip_Lookup[#Headers]))="","",INDEX(Salary_Calculation[stacking_deduction],ROW()-ROW(Payslip_Lookup[#Headers])))</f>
        <v/>
      </c>
      <c r="X320" s="176" t="str">
        <f aca="false">IF(INDEX(Salary_Calculation[Source Row],ROW()-ROW(Payslip_Lookup[#Headers]))="","",INDEX(Salary_Calculation[Other Deductions],ROW()-ROW(Payslip_Lookup[#Headers])))</f>
        <v/>
      </c>
      <c r="Y320" s="176" t="str">
        <f aca="false">IF(INDEX(Salary_Calculation[Source Row],ROW()-ROW(Payslip_Lookup[#Headers]))="","",INDEX(Salary_Calculation[Total Deductions],ROW()-ROW(Payslip_Lookup[#Headers])))</f>
        <v/>
      </c>
      <c r="Z320" s="176" t="str">
        <f aca="false">IF(INDEX(Salary_Calculation[Source Row],ROW()-ROW(Payslip_Lookup[#Headers]))="","",INDEX(Salary_Calculation[Final Salary],ROW()-ROW(Payslip_Lookup[#Headers])))</f>
        <v/>
      </c>
      <c r="AA320" s="176" t="str">
        <f aca="false">IF(INDEX(Salary_Calculation[Source Row],ROW()-ROW(Payslip_Lookup[#Headers]))="","",INDEX(Salary_Calculation[Negative Balance / Amount Due from Rider],ROW()-ROW(Payslip_Lookup[#Headers])))</f>
        <v/>
      </c>
      <c r="AB320" s="176" t="str">
        <f aca="false">IF(INDEX(Salary_Calculation[Source Row],ROW()-ROW(Payslip_Lookup[#Headers]))="","",INDEX(Salary_Calculation[Total Amount Due from Rider],ROW()-ROW(Payslip_Lookup[#Headers])))</f>
        <v/>
      </c>
      <c r="AC320" s="176" t="str">
        <f aca="false">IF(INDEX(Salary_Calculation[Source Row],ROW()-ROW(Payslip_Lookup[#Headers]))="","",INDEX(Salary_Calculation[Salary Before Other Deductions],ROW()-ROW(Payslip_Lookup[#Headers])))</f>
        <v/>
      </c>
      <c r="AD320" s="171" t="str">
        <f aca="false">IF(INDEX(Salary_Calculation[Source Row],ROW()-ROW(Payslip_Lookup[#Headers]))="","",INDEX(Salary_Calculation[Payment Status],ROW()-ROW(Payslip_Lookup[#Headers])))</f>
        <v/>
      </c>
      <c r="AE320" s="171" t="str">
        <f aca="false">IF(INDEX(Salary_Calculation[Source Row],ROW()-ROW(Payslip_Lookup[#Headers]))="","",INDEX(Salary_Calculation[Notes],ROW()-ROW(Payslip_Lookup[#Headers])))</f>
        <v/>
      </c>
      <c r="AF320" s="171" t="str">
        <f aca="false">IF(INDEX(Salary_Calculation[Source Row],ROW()-ROW(Payslip_Lookup[#Headers]))="","",INDEX(Salary_Calculation[Exception Reason],ROW()-ROW(Payslip_Lookup[#Headers])))</f>
        <v/>
      </c>
      <c r="AG320" s="173" t="str">
        <f aca="false">IF($AD320="Review Required",COUNTIF(AD$2:AD320,"Review Required"),"")</f>
        <v/>
      </c>
      <c r="AH320" s="173" t="str">
        <f aca="false">IF(AND($D320&lt;&gt;"",$B320=Payslip_Print!$C$2),MAX(AH$1:AH319)+1,"")</f>
        <v/>
      </c>
      <c r="AL320" s="178" t="str">
        <f aca="false">IFERROR(INDEX($D$2:$D$501,MATCH(ROW()-1,$AH$2:$AH$501,0)),"")</f>
        <v/>
      </c>
      <c r="AM320" s="179" t="str">
        <f aca="false">IF($Z320="","",IF(AND($C320&gt;=Dash_Start,$C320&lt;Dash_End),$Z320+ROW()/10000000,""))</f>
        <v/>
      </c>
    </row>
    <row r="321" customFormat="false" ht="14.25" hidden="false" customHeight="false" outlineLevel="0" collapsed="false">
      <c r="A321" s="171" t="str">
        <f aca="false">IF(Payslip_Lookup[[#This Row],[Rider ID]]="","",Payslip_Lookup[[#This Row],[Rider ID]]&amp;"|"&amp;Payslip_Lookup[[#This Row],[Month Key]])</f>
        <v/>
      </c>
      <c r="B321" s="172" t="str">
        <f aca="false">IF(ISNUMBER(Payslip_Lookup[[#This Row],[Salary Month]]),DATE(YEAR(Payslip_Lookup[[#This Row],[Salary Month]]),MONTH(Payslip_Lookup[[#This Row],[Salary Month]]),1),"")</f>
        <v/>
      </c>
      <c r="C321" s="172" t="str">
        <f aca="false">IF(INDEX(Salary_Calculation[Source Row],ROW()-ROW(Payslip_Lookup[#Headers]))="","",INDEX(Salary_Calculation[Salary Month],ROW()-ROW(Payslip_Lookup[#Headers])))</f>
        <v/>
      </c>
      <c r="D321" s="173" t="str">
        <f aca="false">IF(INDEX(Salary_Calculation[Source Row],ROW()-ROW(Payslip_Lookup[#Headers]))="","",INDEX(Salary_Calculation[Rider ID],ROW()-ROW(Payslip_Lookup[#Headers])))</f>
        <v/>
      </c>
      <c r="E321" s="171" t="str">
        <f aca="false">IF(INDEX(Salary_Calculation[Source Row],ROW()-ROW(Payslip_Lookup[#Headers]))="","",INDEX(Salary_Calculation[Rider Name],ROW()-ROW(Payslip_Lookup[#Headers])))</f>
        <v/>
      </c>
      <c r="F321" s="173" t="str">
        <f aca="false">IF(INDEX(Salary_Calculation[Source Row],ROW()-ROW(Payslip_Lookup[#Headers]))="","",INDEX(Salary_Calculation[Working Days],ROW()-ROW(Payslip_Lookup[#Headers])))</f>
        <v/>
      </c>
      <c r="G321" s="173" t="str">
        <f aca="false">IF(INDEX(Salary_Calculation[Source Row],ROW()-ROW(Payslip_Lookup[#Headers]))="","",INDEX(Salary_Calculation[Calendar Days],ROW()-ROW(Payslip_Lookup[#Headers])))</f>
        <v/>
      </c>
      <c r="H321" s="174" t="str">
        <f aca="false">IF(INDEX(Salary_Calculation[Source Row],ROW()-ROW(Payslip_Lookup[#Headers]))="","",INDEX(Salary_Calculation[Monthly Target Orders],ROW()-ROW(Payslip_Lookup[#Headers])))</f>
        <v/>
      </c>
      <c r="I321" s="174" t="str">
        <f aca="false">IF(INDEX(Salary_Calculation[Source Row],ROW()-ROW(Payslip_Lookup[#Headers]))="","",INDEX(Salary_Calculation[Rider Target Orders],ROW()-ROW(Payslip_Lookup[#Headers])))</f>
        <v/>
      </c>
      <c r="J321" s="175" t="str">
        <f aca="false">IF(INDEX(Salary_Calculation[Source Row],ROW()-ROW(Payslip_Lookup[#Headers]))="","",INDEX(Salary_Calculation[Completed Orders],ROW()-ROW(Payslip_Lookup[#Headers])))</f>
        <v/>
      </c>
      <c r="K321" s="174" t="str">
        <f aca="false">IF(INDEX(Salary_Calculation[Source Row],ROW()-ROW(Payslip_Lookup[#Headers]))="","",INDEX(Salary_Calculation[Base Order Rate],ROW()-ROW(Payslip_Lookup[#Headers])))</f>
        <v/>
      </c>
      <c r="L321" s="176" t="str">
        <f aca="false">IF(INDEX(Salary_Calculation[Source Row],ROW()-ROW(Payslip_Lookup[#Headers]))="","",INDEX(Salary_Calculation[Basic Payment],ROW()-ROW(Payslip_Lookup[#Headers])))</f>
        <v/>
      </c>
      <c r="M321" s="176" t="str">
        <f aca="false">IF(INDEX(Salary_Calculation[Source Row],ROW()-ROW(Payslip_Lookup[#Headers]))="","",INDEX(Salary_Calculation[Earned Salary],ROW()-ROW(Payslip_Lookup[#Headers])))</f>
        <v/>
      </c>
      <c r="N321" s="174" t="str">
        <f aca="false">IF(INDEX(Salary_Calculation[Source Row],ROW()-ROW(Payslip_Lookup[#Headers]))="","",INDEX(Salary_Calculation[Orders Counted at Base Rate],ROW()-ROW(Payslip_Lookup[#Headers])))</f>
        <v/>
      </c>
      <c r="O321" s="174" t="str">
        <f aca="false">IF(INDEX(Salary_Calculation[Source Row],ROW()-ROW(Payslip_Lookup[#Headers]))="","",INDEX(Salary_Calculation[Missing Orders],ROW()-ROW(Payslip_Lookup[#Headers])))</f>
        <v/>
      </c>
      <c r="P321" s="176" t="str">
        <f aca="false">IF(INDEX(Salary_Calculation[Source Row],ROW()-ROW(Payslip_Lookup[#Headers]))="","",INDEX(Salary_Calculation[Missing-Order Deduction],ROW()-ROW(Payslip_Lookup[#Headers])))</f>
        <v/>
      </c>
      <c r="Q321" s="174" t="str">
        <f aca="false">IF(INDEX(Salary_Calculation[Source Row],ROW()-ROW(Payslip_Lookup[#Headers]))="","",INDEX(Salary_Calculation[Extra Orders],ROW()-ROW(Payslip_Lookup[#Headers])))</f>
        <v/>
      </c>
      <c r="R321" s="176" t="str">
        <f aca="false">IF(INDEX(Salary_Calculation[Source Row],ROW()-ROW(Payslip_Lookup[#Headers]))="","",INDEX(Salary_Calculation[Extra-Order Bonus],ROW()-ROW(Payslip_Lookup[#Headers])))</f>
        <v/>
      </c>
      <c r="S321" s="176" t="str">
        <f aca="false">IF(INDEX(Salary_Calculation[Source Row],ROW()-ROW(Payslip_Lookup[#Headers]))="","",INDEX(Salary_Calculation[Basic Salary for Target],ROW()-ROW(Payslip_Lookup[#Headers])))</f>
        <v/>
      </c>
      <c r="T321" s="176" t="str">
        <f aca="false">IF(INDEX(Salary_Calculation[Source Row],ROW()-ROW(Payslip_Lookup[#Headers]))="","",INDEX(Salary_Calculation[Gross Salary Before Deductions],ROW()-ROW(Payslip_Lookup[#Headers])))</f>
        <v/>
      </c>
      <c r="U321" s="176" t="str">
        <f aca="false">IF(INDEX(Salary_Calculation[Source Row],ROW()-ROW(Payslip_Lookup[#Headers]))="","",INDEX(Salary_Calculation[missed_days_penalty],ROW()-ROW(Payslip_Lookup[#Headers])))</f>
        <v/>
      </c>
      <c r="V321" s="176" t="str">
        <f aca="false">IF(INDEX(Salary_Calculation[Source Row],ROW()-ROW(Payslip_Lookup[#Headers]))="","",INDEX(Salary_Calculation[Rider Balance],ROW()-ROW(Payslip_Lookup[#Headers])))</f>
        <v/>
      </c>
      <c r="W321" s="176" t="str">
        <f aca="false">IF(INDEX(Salary_Calculation[Source Row],ROW()-ROW(Payslip_Lookup[#Headers]))="","",INDEX(Salary_Calculation[stacking_deduction],ROW()-ROW(Payslip_Lookup[#Headers])))</f>
        <v/>
      </c>
      <c r="X321" s="176" t="str">
        <f aca="false">IF(INDEX(Salary_Calculation[Source Row],ROW()-ROW(Payslip_Lookup[#Headers]))="","",INDEX(Salary_Calculation[Other Deductions],ROW()-ROW(Payslip_Lookup[#Headers])))</f>
        <v/>
      </c>
      <c r="Y321" s="176" t="str">
        <f aca="false">IF(INDEX(Salary_Calculation[Source Row],ROW()-ROW(Payslip_Lookup[#Headers]))="","",INDEX(Salary_Calculation[Total Deductions],ROW()-ROW(Payslip_Lookup[#Headers])))</f>
        <v/>
      </c>
      <c r="Z321" s="176" t="str">
        <f aca="false">IF(INDEX(Salary_Calculation[Source Row],ROW()-ROW(Payslip_Lookup[#Headers]))="","",INDEX(Salary_Calculation[Final Salary],ROW()-ROW(Payslip_Lookup[#Headers])))</f>
        <v/>
      </c>
      <c r="AA321" s="176" t="str">
        <f aca="false">IF(INDEX(Salary_Calculation[Source Row],ROW()-ROW(Payslip_Lookup[#Headers]))="","",INDEX(Salary_Calculation[Negative Balance / Amount Due from Rider],ROW()-ROW(Payslip_Lookup[#Headers])))</f>
        <v/>
      </c>
      <c r="AB321" s="176" t="str">
        <f aca="false">IF(INDEX(Salary_Calculation[Source Row],ROW()-ROW(Payslip_Lookup[#Headers]))="","",INDEX(Salary_Calculation[Total Amount Due from Rider],ROW()-ROW(Payslip_Lookup[#Headers])))</f>
        <v/>
      </c>
      <c r="AC321" s="176" t="str">
        <f aca="false">IF(INDEX(Salary_Calculation[Source Row],ROW()-ROW(Payslip_Lookup[#Headers]))="","",INDEX(Salary_Calculation[Salary Before Other Deductions],ROW()-ROW(Payslip_Lookup[#Headers])))</f>
        <v/>
      </c>
      <c r="AD321" s="171" t="str">
        <f aca="false">IF(INDEX(Salary_Calculation[Source Row],ROW()-ROW(Payslip_Lookup[#Headers]))="","",INDEX(Salary_Calculation[Payment Status],ROW()-ROW(Payslip_Lookup[#Headers])))</f>
        <v/>
      </c>
      <c r="AE321" s="171" t="str">
        <f aca="false">IF(INDEX(Salary_Calculation[Source Row],ROW()-ROW(Payslip_Lookup[#Headers]))="","",INDEX(Salary_Calculation[Notes],ROW()-ROW(Payslip_Lookup[#Headers])))</f>
        <v/>
      </c>
      <c r="AF321" s="171" t="str">
        <f aca="false">IF(INDEX(Salary_Calculation[Source Row],ROW()-ROW(Payslip_Lookup[#Headers]))="","",INDEX(Salary_Calculation[Exception Reason],ROW()-ROW(Payslip_Lookup[#Headers])))</f>
        <v/>
      </c>
      <c r="AG321" s="173" t="str">
        <f aca="false">IF($AD321="Review Required",COUNTIF(AD$2:AD321,"Review Required"),"")</f>
        <v/>
      </c>
      <c r="AH321" s="173" t="str">
        <f aca="false">IF(AND($D321&lt;&gt;"",$B321=Payslip_Print!$C$2),MAX(AH$1:AH320)+1,"")</f>
        <v/>
      </c>
      <c r="AL321" s="178" t="str">
        <f aca="false">IFERROR(INDEX($D$2:$D$501,MATCH(ROW()-1,$AH$2:$AH$501,0)),"")</f>
        <v/>
      </c>
      <c r="AM321" s="179" t="str">
        <f aca="false">IF($Z321="","",IF(AND($C321&gt;=Dash_Start,$C321&lt;Dash_End),$Z321+ROW()/10000000,""))</f>
        <v/>
      </c>
    </row>
    <row r="322" customFormat="false" ht="14.25" hidden="false" customHeight="false" outlineLevel="0" collapsed="false">
      <c r="A322" s="171" t="str">
        <f aca="false">IF(Payslip_Lookup[[#This Row],[Rider ID]]="","",Payslip_Lookup[[#This Row],[Rider ID]]&amp;"|"&amp;Payslip_Lookup[[#This Row],[Month Key]])</f>
        <v/>
      </c>
      <c r="B322" s="172" t="str">
        <f aca="false">IF(ISNUMBER(Payslip_Lookup[[#This Row],[Salary Month]]),DATE(YEAR(Payslip_Lookup[[#This Row],[Salary Month]]),MONTH(Payslip_Lookup[[#This Row],[Salary Month]]),1),"")</f>
        <v/>
      </c>
      <c r="C322" s="172" t="str">
        <f aca="false">IF(INDEX(Salary_Calculation[Source Row],ROW()-ROW(Payslip_Lookup[#Headers]))="","",INDEX(Salary_Calculation[Salary Month],ROW()-ROW(Payslip_Lookup[#Headers])))</f>
        <v/>
      </c>
      <c r="D322" s="173" t="str">
        <f aca="false">IF(INDEX(Salary_Calculation[Source Row],ROW()-ROW(Payslip_Lookup[#Headers]))="","",INDEX(Salary_Calculation[Rider ID],ROW()-ROW(Payslip_Lookup[#Headers])))</f>
        <v/>
      </c>
      <c r="E322" s="171" t="str">
        <f aca="false">IF(INDEX(Salary_Calculation[Source Row],ROW()-ROW(Payslip_Lookup[#Headers]))="","",INDEX(Salary_Calculation[Rider Name],ROW()-ROW(Payslip_Lookup[#Headers])))</f>
        <v/>
      </c>
      <c r="F322" s="173" t="str">
        <f aca="false">IF(INDEX(Salary_Calculation[Source Row],ROW()-ROW(Payslip_Lookup[#Headers]))="","",INDEX(Salary_Calculation[Working Days],ROW()-ROW(Payslip_Lookup[#Headers])))</f>
        <v/>
      </c>
      <c r="G322" s="173" t="str">
        <f aca="false">IF(INDEX(Salary_Calculation[Source Row],ROW()-ROW(Payslip_Lookup[#Headers]))="","",INDEX(Salary_Calculation[Calendar Days],ROW()-ROW(Payslip_Lookup[#Headers])))</f>
        <v/>
      </c>
      <c r="H322" s="174" t="str">
        <f aca="false">IF(INDEX(Salary_Calculation[Source Row],ROW()-ROW(Payslip_Lookup[#Headers]))="","",INDEX(Salary_Calculation[Monthly Target Orders],ROW()-ROW(Payslip_Lookup[#Headers])))</f>
        <v/>
      </c>
      <c r="I322" s="174" t="str">
        <f aca="false">IF(INDEX(Salary_Calculation[Source Row],ROW()-ROW(Payslip_Lookup[#Headers]))="","",INDEX(Salary_Calculation[Rider Target Orders],ROW()-ROW(Payslip_Lookup[#Headers])))</f>
        <v/>
      </c>
      <c r="J322" s="175" t="str">
        <f aca="false">IF(INDEX(Salary_Calculation[Source Row],ROW()-ROW(Payslip_Lookup[#Headers]))="","",INDEX(Salary_Calculation[Completed Orders],ROW()-ROW(Payslip_Lookup[#Headers])))</f>
        <v/>
      </c>
      <c r="K322" s="174" t="str">
        <f aca="false">IF(INDEX(Salary_Calculation[Source Row],ROW()-ROW(Payslip_Lookup[#Headers]))="","",INDEX(Salary_Calculation[Base Order Rate],ROW()-ROW(Payslip_Lookup[#Headers])))</f>
        <v/>
      </c>
      <c r="L322" s="176" t="str">
        <f aca="false">IF(INDEX(Salary_Calculation[Source Row],ROW()-ROW(Payslip_Lookup[#Headers]))="","",INDEX(Salary_Calculation[Basic Payment],ROW()-ROW(Payslip_Lookup[#Headers])))</f>
        <v/>
      </c>
      <c r="M322" s="176" t="str">
        <f aca="false">IF(INDEX(Salary_Calculation[Source Row],ROW()-ROW(Payslip_Lookup[#Headers]))="","",INDEX(Salary_Calculation[Earned Salary],ROW()-ROW(Payslip_Lookup[#Headers])))</f>
        <v/>
      </c>
      <c r="N322" s="174" t="str">
        <f aca="false">IF(INDEX(Salary_Calculation[Source Row],ROW()-ROW(Payslip_Lookup[#Headers]))="","",INDEX(Salary_Calculation[Orders Counted at Base Rate],ROW()-ROW(Payslip_Lookup[#Headers])))</f>
        <v/>
      </c>
      <c r="O322" s="174" t="str">
        <f aca="false">IF(INDEX(Salary_Calculation[Source Row],ROW()-ROW(Payslip_Lookup[#Headers]))="","",INDEX(Salary_Calculation[Missing Orders],ROW()-ROW(Payslip_Lookup[#Headers])))</f>
        <v/>
      </c>
      <c r="P322" s="176" t="str">
        <f aca="false">IF(INDEX(Salary_Calculation[Source Row],ROW()-ROW(Payslip_Lookup[#Headers]))="","",INDEX(Salary_Calculation[Missing-Order Deduction],ROW()-ROW(Payslip_Lookup[#Headers])))</f>
        <v/>
      </c>
      <c r="Q322" s="174" t="str">
        <f aca="false">IF(INDEX(Salary_Calculation[Source Row],ROW()-ROW(Payslip_Lookup[#Headers]))="","",INDEX(Salary_Calculation[Extra Orders],ROW()-ROW(Payslip_Lookup[#Headers])))</f>
        <v/>
      </c>
      <c r="R322" s="176" t="str">
        <f aca="false">IF(INDEX(Salary_Calculation[Source Row],ROW()-ROW(Payslip_Lookup[#Headers]))="","",INDEX(Salary_Calculation[Extra-Order Bonus],ROW()-ROW(Payslip_Lookup[#Headers])))</f>
        <v/>
      </c>
      <c r="S322" s="176" t="str">
        <f aca="false">IF(INDEX(Salary_Calculation[Source Row],ROW()-ROW(Payslip_Lookup[#Headers]))="","",INDEX(Salary_Calculation[Basic Salary for Target],ROW()-ROW(Payslip_Lookup[#Headers])))</f>
        <v/>
      </c>
      <c r="T322" s="176" t="str">
        <f aca="false">IF(INDEX(Salary_Calculation[Source Row],ROW()-ROW(Payslip_Lookup[#Headers]))="","",INDEX(Salary_Calculation[Gross Salary Before Deductions],ROW()-ROW(Payslip_Lookup[#Headers])))</f>
        <v/>
      </c>
      <c r="U322" s="176" t="str">
        <f aca="false">IF(INDEX(Salary_Calculation[Source Row],ROW()-ROW(Payslip_Lookup[#Headers]))="","",INDEX(Salary_Calculation[missed_days_penalty],ROW()-ROW(Payslip_Lookup[#Headers])))</f>
        <v/>
      </c>
      <c r="V322" s="176" t="str">
        <f aca="false">IF(INDEX(Salary_Calculation[Source Row],ROW()-ROW(Payslip_Lookup[#Headers]))="","",INDEX(Salary_Calculation[Rider Balance],ROW()-ROW(Payslip_Lookup[#Headers])))</f>
        <v/>
      </c>
      <c r="W322" s="176" t="str">
        <f aca="false">IF(INDEX(Salary_Calculation[Source Row],ROW()-ROW(Payslip_Lookup[#Headers]))="","",INDEX(Salary_Calculation[stacking_deduction],ROW()-ROW(Payslip_Lookup[#Headers])))</f>
        <v/>
      </c>
      <c r="X322" s="176" t="str">
        <f aca="false">IF(INDEX(Salary_Calculation[Source Row],ROW()-ROW(Payslip_Lookup[#Headers]))="","",INDEX(Salary_Calculation[Other Deductions],ROW()-ROW(Payslip_Lookup[#Headers])))</f>
        <v/>
      </c>
      <c r="Y322" s="176" t="str">
        <f aca="false">IF(INDEX(Salary_Calculation[Source Row],ROW()-ROW(Payslip_Lookup[#Headers]))="","",INDEX(Salary_Calculation[Total Deductions],ROW()-ROW(Payslip_Lookup[#Headers])))</f>
        <v/>
      </c>
      <c r="Z322" s="176" t="str">
        <f aca="false">IF(INDEX(Salary_Calculation[Source Row],ROW()-ROW(Payslip_Lookup[#Headers]))="","",INDEX(Salary_Calculation[Final Salary],ROW()-ROW(Payslip_Lookup[#Headers])))</f>
        <v/>
      </c>
      <c r="AA322" s="176" t="str">
        <f aca="false">IF(INDEX(Salary_Calculation[Source Row],ROW()-ROW(Payslip_Lookup[#Headers]))="","",INDEX(Salary_Calculation[Negative Balance / Amount Due from Rider],ROW()-ROW(Payslip_Lookup[#Headers])))</f>
        <v/>
      </c>
      <c r="AB322" s="176" t="str">
        <f aca="false">IF(INDEX(Salary_Calculation[Source Row],ROW()-ROW(Payslip_Lookup[#Headers]))="","",INDEX(Salary_Calculation[Total Amount Due from Rider],ROW()-ROW(Payslip_Lookup[#Headers])))</f>
        <v/>
      </c>
      <c r="AC322" s="176" t="str">
        <f aca="false">IF(INDEX(Salary_Calculation[Source Row],ROW()-ROW(Payslip_Lookup[#Headers]))="","",INDEX(Salary_Calculation[Salary Before Other Deductions],ROW()-ROW(Payslip_Lookup[#Headers])))</f>
        <v/>
      </c>
      <c r="AD322" s="171" t="str">
        <f aca="false">IF(INDEX(Salary_Calculation[Source Row],ROW()-ROW(Payslip_Lookup[#Headers]))="","",INDEX(Salary_Calculation[Payment Status],ROW()-ROW(Payslip_Lookup[#Headers])))</f>
        <v/>
      </c>
      <c r="AE322" s="171" t="str">
        <f aca="false">IF(INDEX(Salary_Calculation[Source Row],ROW()-ROW(Payslip_Lookup[#Headers]))="","",INDEX(Salary_Calculation[Notes],ROW()-ROW(Payslip_Lookup[#Headers])))</f>
        <v/>
      </c>
      <c r="AF322" s="171" t="str">
        <f aca="false">IF(INDEX(Salary_Calculation[Source Row],ROW()-ROW(Payslip_Lookup[#Headers]))="","",INDEX(Salary_Calculation[Exception Reason],ROW()-ROW(Payslip_Lookup[#Headers])))</f>
        <v/>
      </c>
      <c r="AG322" s="173" t="str">
        <f aca="false">IF($AD322="Review Required",COUNTIF(AD$2:AD322,"Review Required"),"")</f>
        <v/>
      </c>
      <c r="AH322" s="173" t="str">
        <f aca="false">IF(AND($D322&lt;&gt;"",$B322=Payslip_Print!$C$2),MAX(AH$1:AH321)+1,"")</f>
        <v/>
      </c>
      <c r="AL322" s="178" t="str">
        <f aca="false">IFERROR(INDEX($D$2:$D$501,MATCH(ROW()-1,$AH$2:$AH$501,0)),"")</f>
        <v/>
      </c>
      <c r="AM322" s="179" t="str">
        <f aca="false">IF($Z322="","",IF(AND($C322&gt;=Dash_Start,$C322&lt;Dash_End),$Z322+ROW()/10000000,""))</f>
        <v/>
      </c>
    </row>
    <row r="323" customFormat="false" ht="14.25" hidden="false" customHeight="false" outlineLevel="0" collapsed="false">
      <c r="A323" s="171" t="str">
        <f aca="false">IF(Payslip_Lookup[[#This Row],[Rider ID]]="","",Payslip_Lookup[[#This Row],[Rider ID]]&amp;"|"&amp;Payslip_Lookup[[#This Row],[Month Key]])</f>
        <v/>
      </c>
      <c r="B323" s="172" t="str">
        <f aca="false">IF(ISNUMBER(Payslip_Lookup[[#This Row],[Salary Month]]),DATE(YEAR(Payslip_Lookup[[#This Row],[Salary Month]]),MONTH(Payslip_Lookup[[#This Row],[Salary Month]]),1),"")</f>
        <v/>
      </c>
      <c r="C323" s="172" t="str">
        <f aca="false">IF(INDEX(Salary_Calculation[Source Row],ROW()-ROW(Payslip_Lookup[#Headers]))="","",INDEX(Salary_Calculation[Salary Month],ROW()-ROW(Payslip_Lookup[#Headers])))</f>
        <v/>
      </c>
      <c r="D323" s="173" t="str">
        <f aca="false">IF(INDEX(Salary_Calculation[Source Row],ROW()-ROW(Payslip_Lookup[#Headers]))="","",INDEX(Salary_Calculation[Rider ID],ROW()-ROW(Payslip_Lookup[#Headers])))</f>
        <v/>
      </c>
      <c r="E323" s="171" t="str">
        <f aca="false">IF(INDEX(Salary_Calculation[Source Row],ROW()-ROW(Payslip_Lookup[#Headers]))="","",INDEX(Salary_Calculation[Rider Name],ROW()-ROW(Payslip_Lookup[#Headers])))</f>
        <v/>
      </c>
      <c r="F323" s="173" t="str">
        <f aca="false">IF(INDEX(Salary_Calculation[Source Row],ROW()-ROW(Payslip_Lookup[#Headers]))="","",INDEX(Salary_Calculation[Working Days],ROW()-ROW(Payslip_Lookup[#Headers])))</f>
        <v/>
      </c>
      <c r="G323" s="173" t="str">
        <f aca="false">IF(INDEX(Salary_Calculation[Source Row],ROW()-ROW(Payslip_Lookup[#Headers]))="","",INDEX(Salary_Calculation[Calendar Days],ROW()-ROW(Payslip_Lookup[#Headers])))</f>
        <v/>
      </c>
      <c r="H323" s="174" t="str">
        <f aca="false">IF(INDEX(Salary_Calculation[Source Row],ROW()-ROW(Payslip_Lookup[#Headers]))="","",INDEX(Salary_Calculation[Monthly Target Orders],ROW()-ROW(Payslip_Lookup[#Headers])))</f>
        <v/>
      </c>
      <c r="I323" s="174" t="str">
        <f aca="false">IF(INDEX(Salary_Calculation[Source Row],ROW()-ROW(Payslip_Lookup[#Headers]))="","",INDEX(Salary_Calculation[Rider Target Orders],ROW()-ROW(Payslip_Lookup[#Headers])))</f>
        <v/>
      </c>
      <c r="J323" s="175" t="str">
        <f aca="false">IF(INDEX(Salary_Calculation[Source Row],ROW()-ROW(Payslip_Lookup[#Headers]))="","",INDEX(Salary_Calculation[Completed Orders],ROW()-ROW(Payslip_Lookup[#Headers])))</f>
        <v/>
      </c>
      <c r="K323" s="174" t="str">
        <f aca="false">IF(INDEX(Salary_Calculation[Source Row],ROW()-ROW(Payslip_Lookup[#Headers]))="","",INDEX(Salary_Calculation[Base Order Rate],ROW()-ROW(Payslip_Lookup[#Headers])))</f>
        <v/>
      </c>
      <c r="L323" s="176" t="str">
        <f aca="false">IF(INDEX(Salary_Calculation[Source Row],ROW()-ROW(Payslip_Lookup[#Headers]))="","",INDEX(Salary_Calculation[Basic Payment],ROW()-ROW(Payslip_Lookup[#Headers])))</f>
        <v/>
      </c>
      <c r="M323" s="176" t="str">
        <f aca="false">IF(INDEX(Salary_Calculation[Source Row],ROW()-ROW(Payslip_Lookup[#Headers]))="","",INDEX(Salary_Calculation[Earned Salary],ROW()-ROW(Payslip_Lookup[#Headers])))</f>
        <v/>
      </c>
      <c r="N323" s="174" t="str">
        <f aca="false">IF(INDEX(Salary_Calculation[Source Row],ROW()-ROW(Payslip_Lookup[#Headers]))="","",INDEX(Salary_Calculation[Orders Counted at Base Rate],ROW()-ROW(Payslip_Lookup[#Headers])))</f>
        <v/>
      </c>
      <c r="O323" s="174" t="str">
        <f aca="false">IF(INDEX(Salary_Calculation[Source Row],ROW()-ROW(Payslip_Lookup[#Headers]))="","",INDEX(Salary_Calculation[Missing Orders],ROW()-ROW(Payslip_Lookup[#Headers])))</f>
        <v/>
      </c>
      <c r="P323" s="176" t="str">
        <f aca="false">IF(INDEX(Salary_Calculation[Source Row],ROW()-ROW(Payslip_Lookup[#Headers]))="","",INDEX(Salary_Calculation[Missing-Order Deduction],ROW()-ROW(Payslip_Lookup[#Headers])))</f>
        <v/>
      </c>
      <c r="Q323" s="174" t="str">
        <f aca="false">IF(INDEX(Salary_Calculation[Source Row],ROW()-ROW(Payslip_Lookup[#Headers]))="","",INDEX(Salary_Calculation[Extra Orders],ROW()-ROW(Payslip_Lookup[#Headers])))</f>
        <v/>
      </c>
      <c r="R323" s="176" t="str">
        <f aca="false">IF(INDEX(Salary_Calculation[Source Row],ROW()-ROW(Payslip_Lookup[#Headers]))="","",INDEX(Salary_Calculation[Extra-Order Bonus],ROW()-ROW(Payslip_Lookup[#Headers])))</f>
        <v/>
      </c>
      <c r="S323" s="176" t="str">
        <f aca="false">IF(INDEX(Salary_Calculation[Source Row],ROW()-ROW(Payslip_Lookup[#Headers]))="","",INDEX(Salary_Calculation[Basic Salary for Target],ROW()-ROW(Payslip_Lookup[#Headers])))</f>
        <v/>
      </c>
      <c r="T323" s="176" t="str">
        <f aca="false">IF(INDEX(Salary_Calculation[Source Row],ROW()-ROW(Payslip_Lookup[#Headers]))="","",INDEX(Salary_Calculation[Gross Salary Before Deductions],ROW()-ROW(Payslip_Lookup[#Headers])))</f>
        <v/>
      </c>
      <c r="U323" s="176" t="str">
        <f aca="false">IF(INDEX(Salary_Calculation[Source Row],ROW()-ROW(Payslip_Lookup[#Headers]))="","",INDEX(Salary_Calculation[missed_days_penalty],ROW()-ROW(Payslip_Lookup[#Headers])))</f>
        <v/>
      </c>
      <c r="V323" s="176" t="str">
        <f aca="false">IF(INDEX(Salary_Calculation[Source Row],ROW()-ROW(Payslip_Lookup[#Headers]))="","",INDEX(Salary_Calculation[Rider Balance],ROW()-ROW(Payslip_Lookup[#Headers])))</f>
        <v/>
      </c>
      <c r="W323" s="176" t="str">
        <f aca="false">IF(INDEX(Salary_Calculation[Source Row],ROW()-ROW(Payslip_Lookup[#Headers]))="","",INDEX(Salary_Calculation[stacking_deduction],ROW()-ROW(Payslip_Lookup[#Headers])))</f>
        <v/>
      </c>
      <c r="X323" s="176" t="str">
        <f aca="false">IF(INDEX(Salary_Calculation[Source Row],ROW()-ROW(Payslip_Lookup[#Headers]))="","",INDEX(Salary_Calculation[Other Deductions],ROW()-ROW(Payslip_Lookup[#Headers])))</f>
        <v/>
      </c>
      <c r="Y323" s="176" t="str">
        <f aca="false">IF(INDEX(Salary_Calculation[Source Row],ROW()-ROW(Payslip_Lookup[#Headers]))="","",INDEX(Salary_Calculation[Total Deductions],ROW()-ROW(Payslip_Lookup[#Headers])))</f>
        <v/>
      </c>
      <c r="Z323" s="176" t="str">
        <f aca="false">IF(INDEX(Salary_Calculation[Source Row],ROW()-ROW(Payslip_Lookup[#Headers]))="","",INDEX(Salary_Calculation[Final Salary],ROW()-ROW(Payslip_Lookup[#Headers])))</f>
        <v/>
      </c>
      <c r="AA323" s="176" t="str">
        <f aca="false">IF(INDEX(Salary_Calculation[Source Row],ROW()-ROW(Payslip_Lookup[#Headers]))="","",INDEX(Salary_Calculation[Negative Balance / Amount Due from Rider],ROW()-ROW(Payslip_Lookup[#Headers])))</f>
        <v/>
      </c>
      <c r="AB323" s="176" t="str">
        <f aca="false">IF(INDEX(Salary_Calculation[Source Row],ROW()-ROW(Payslip_Lookup[#Headers]))="","",INDEX(Salary_Calculation[Total Amount Due from Rider],ROW()-ROW(Payslip_Lookup[#Headers])))</f>
        <v/>
      </c>
      <c r="AC323" s="176" t="str">
        <f aca="false">IF(INDEX(Salary_Calculation[Source Row],ROW()-ROW(Payslip_Lookup[#Headers]))="","",INDEX(Salary_Calculation[Salary Before Other Deductions],ROW()-ROW(Payslip_Lookup[#Headers])))</f>
        <v/>
      </c>
      <c r="AD323" s="171" t="str">
        <f aca="false">IF(INDEX(Salary_Calculation[Source Row],ROW()-ROW(Payslip_Lookup[#Headers]))="","",INDEX(Salary_Calculation[Payment Status],ROW()-ROW(Payslip_Lookup[#Headers])))</f>
        <v/>
      </c>
      <c r="AE323" s="171" t="str">
        <f aca="false">IF(INDEX(Salary_Calculation[Source Row],ROW()-ROW(Payslip_Lookup[#Headers]))="","",INDEX(Salary_Calculation[Notes],ROW()-ROW(Payslip_Lookup[#Headers])))</f>
        <v/>
      </c>
      <c r="AF323" s="171" t="str">
        <f aca="false">IF(INDEX(Salary_Calculation[Source Row],ROW()-ROW(Payslip_Lookup[#Headers]))="","",INDEX(Salary_Calculation[Exception Reason],ROW()-ROW(Payslip_Lookup[#Headers])))</f>
        <v/>
      </c>
      <c r="AG323" s="173" t="str">
        <f aca="false">IF($AD323="Review Required",COUNTIF(AD$2:AD323,"Review Required"),"")</f>
        <v/>
      </c>
      <c r="AH323" s="173" t="str">
        <f aca="false">IF(AND($D323&lt;&gt;"",$B323=Payslip_Print!$C$2),MAX(AH$1:AH322)+1,"")</f>
        <v/>
      </c>
      <c r="AL323" s="178" t="str">
        <f aca="false">IFERROR(INDEX($D$2:$D$501,MATCH(ROW()-1,$AH$2:$AH$501,0)),"")</f>
        <v/>
      </c>
      <c r="AM323" s="179" t="str">
        <f aca="false">IF($Z323="","",IF(AND($C323&gt;=Dash_Start,$C323&lt;Dash_End),$Z323+ROW()/10000000,""))</f>
        <v/>
      </c>
    </row>
    <row r="324" customFormat="false" ht="14.25" hidden="false" customHeight="false" outlineLevel="0" collapsed="false">
      <c r="A324" s="171" t="str">
        <f aca="false">IF(Payslip_Lookup[[#This Row],[Rider ID]]="","",Payslip_Lookup[[#This Row],[Rider ID]]&amp;"|"&amp;Payslip_Lookup[[#This Row],[Month Key]])</f>
        <v/>
      </c>
      <c r="B324" s="172" t="str">
        <f aca="false">IF(ISNUMBER(Payslip_Lookup[[#This Row],[Salary Month]]),DATE(YEAR(Payslip_Lookup[[#This Row],[Salary Month]]),MONTH(Payslip_Lookup[[#This Row],[Salary Month]]),1),"")</f>
        <v/>
      </c>
      <c r="C324" s="172" t="str">
        <f aca="false">IF(INDEX(Salary_Calculation[Source Row],ROW()-ROW(Payslip_Lookup[#Headers]))="","",INDEX(Salary_Calculation[Salary Month],ROW()-ROW(Payslip_Lookup[#Headers])))</f>
        <v/>
      </c>
      <c r="D324" s="173" t="str">
        <f aca="false">IF(INDEX(Salary_Calculation[Source Row],ROW()-ROW(Payslip_Lookup[#Headers]))="","",INDEX(Salary_Calculation[Rider ID],ROW()-ROW(Payslip_Lookup[#Headers])))</f>
        <v/>
      </c>
      <c r="E324" s="171" t="str">
        <f aca="false">IF(INDEX(Salary_Calculation[Source Row],ROW()-ROW(Payslip_Lookup[#Headers]))="","",INDEX(Salary_Calculation[Rider Name],ROW()-ROW(Payslip_Lookup[#Headers])))</f>
        <v/>
      </c>
      <c r="F324" s="173" t="str">
        <f aca="false">IF(INDEX(Salary_Calculation[Source Row],ROW()-ROW(Payslip_Lookup[#Headers]))="","",INDEX(Salary_Calculation[Working Days],ROW()-ROW(Payslip_Lookup[#Headers])))</f>
        <v/>
      </c>
      <c r="G324" s="173" t="str">
        <f aca="false">IF(INDEX(Salary_Calculation[Source Row],ROW()-ROW(Payslip_Lookup[#Headers]))="","",INDEX(Salary_Calculation[Calendar Days],ROW()-ROW(Payslip_Lookup[#Headers])))</f>
        <v/>
      </c>
      <c r="H324" s="174" t="str">
        <f aca="false">IF(INDEX(Salary_Calculation[Source Row],ROW()-ROW(Payslip_Lookup[#Headers]))="","",INDEX(Salary_Calculation[Monthly Target Orders],ROW()-ROW(Payslip_Lookup[#Headers])))</f>
        <v/>
      </c>
      <c r="I324" s="174" t="str">
        <f aca="false">IF(INDEX(Salary_Calculation[Source Row],ROW()-ROW(Payslip_Lookup[#Headers]))="","",INDEX(Salary_Calculation[Rider Target Orders],ROW()-ROW(Payslip_Lookup[#Headers])))</f>
        <v/>
      </c>
      <c r="J324" s="175" t="str">
        <f aca="false">IF(INDEX(Salary_Calculation[Source Row],ROW()-ROW(Payslip_Lookup[#Headers]))="","",INDEX(Salary_Calculation[Completed Orders],ROW()-ROW(Payslip_Lookup[#Headers])))</f>
        <v/>
      </c>
      <c r="K324" s="174" t="str">
        <f aca="false">IF(INDEX(Salary_Calculation[Source Row],ROW()-ROW(Payslip_Lookup[#Headers]))="","",INDEX(Salary_Calculation[Base Order Rate],ROW()-ROW(Payslip_Lookup[#Headers])))</f>
        <v/>
      </c>
      <c r="L324" s="176" t="str">
        <f aca="false">IF(INDEX(Salary_Calculation[Source Row],ROW()-ROW(Payslip_Lookup[#Headers]))="","",INDEX(Salary_Calculation[Basic Payment],ROW()-ROW(Payslip_Lookup[#Headers])))</f>
        <v/>
      </c>
      <c r="M324" s="176" t="str">
        <f aca="false">IF(INDEX(Salary_Calculation[Source Row],ROW()-ROW(Payslip_Lookup[#Headers]))="","",INDEX(Salary_Calculation[Earned Salary],ROW()-ROW(Payslip_Lookup[#Headers])))</f>
        <v/>
      </c>
      <c r="N324" s="174" t="str">
        <f aca="false">IF(INDEX(Salary_Calculation[Source Row],ROW()-ROW(Payslip_Lookup[#Headers]))="","",INDEX(Salary_Calculation[Orders Counted at Base Rate],ROW()-ROW(Payslip_Lookup[#Headers])))</f>
        <v/>
      </c>
      <c r="O324" s="174" t="str">
        <f aca="false">IF(INDEX(Salary_Calculation[Source Row],ROW()-ROW(Payslip_Lookup[#Headers]))="","",INDEX(Salary_Calculation[Missing Orders],ROW()-ROW(Payslip_Lookup[#Headers])))</f>
        <v/>
      </c>
      <c r="P324" s="176" t="str">
        <f aca="false">IF(INDEX(Salary_Calculation[Source Row],ROW()-ROW(Payslip_Lookup[#Headers]))="","",INDEX(Salary_Calculation[Missing-Order Deduction],ROW()-ROW(Payslip_Lookup[#Headers])))</f>
        <v/>
      </c>
      <c r="Q324" s="174" t="str">
        <f aca="false">IF(INDEX(Salary_Calculation[Source Row],ROW()-ROW(Payslip_Lookup[#Headers]))="","",INDEX(Salary_Calculation[Extra Orders],ROW()-ROW(Payslip_Lookup[#Headers])))</f>
        <v/>
      </c>
      <c r="R324" s="176" t="str">
        <f aca="false">IF(INDEX(Salary_Calculation[Source Row],ROW()-ROW(Payslip_Lookup[#Headers]))="","",INDEX(Salary_Calculation[Extra-Order Bonus],ROW()-ROW(Payslip_Lookup[#Headers])))</f>
        <v/>
      </c>
      <c r="S324" s="176" t="str">
        <f aca="false">IF(INDEX(Salary_Calculation[Source Row],ROW()-ROW(Payslip_Lookup[#Headers]))="","",INDEX(Salary_Calculation[Basic Salary for Target],ROW()-ROW(Payslip_Lookup[#Headers])))</f>
        <v/>
      </c>
      <c r="T324" s="176" t="str">
        <f aca="false">IF(INDEX(Salary_Calculation[Source Row],ROW()-ROW(Payslip_Lookup[#Headers]))="","",INDEX(Salary_Calculation[Gross Salary Before Deductions],ROW()-ROW(Payslip_Lookup[#Headers])))</f>
        <v/>
      </c>
      <c r="U324" s="176" t="str">
        <f aca="false">IF(INDEX(Salary_Calculation[Source Row],ROW()-ROW(Payslip_Lookup[#Headers]))="","",INDEX(Salary_Calculation[missed_days_penalty],ROW()-ROW(Payslip_Lookup[#Headers])))</f>
        <v/>
      </c>
      <c r="V324" s="176" t="str">
        <f aca="false">IF(INDEX(Salary_Calculation[Source Row],ROW()-ROW(Payslip_Lookup[#Headers]))="","",INDEX(Salary_Calculation[Rider Balance],ROW()-ROW(Payslip_Lookup[#Headers])))</f>
        <v/>
      </c>
      <c r="W324" s="176" t="str">
        <f aca="false">IF(INDEX(Salary_Calculation[Source Row],ROW()-ROW(Payslip_Lookup[#Headers]))="","",INDEX(Salary_Calculation[stacking_deduction],ROW()-ROW(Payslip_Lookup[#Headers])))</f>
        <v/>
      </c>
      <c r="X324" s="176" t="str">
        <f aca="false">IF(INDEX(Salary_Calculation[Source Row],ROW()-ROW(Payslip_Lookup[#Headers]))="","",INDEX(Salary_Calculation[Other Deductions],ROW()-ROW(Payslip_Lookup[#Headers])))</f>
        <v/>
      </c>
      <c r="Y324" s="176" t="str">
        <f aca="false">IF(INDEX(Salary_Calculation[Source Row],ROW()-ROW(Payslip_Lookup[#Headers]))="","",INDEX(Salary_Calculation[Total Deductions],ROW()-ROW(Payslip_Lookup[#Headers])))</f>
        <v/>
      </c>
      <c r="Z324" s="176" t="str">
        <f aca="false">IF(INDEX(Salary_Calculation[Source Row],ROW()-ROW(Payslip_Lookup[#Headers]))="","",INDEX(Salary_Calculation[Final Salary],ROW()-ROW(Payslip_Lookup[#Headers])))</f>
        <v/>
      </c>
      <c r="AA324" s="176" t="str">
        <f aca="false">IF(INDEX(Salary_Calculation[Source Row],ROW()-ROW(Payslip_Lookup[#Headers]))="","",INDEX(Salary_Calculation[Negative Balance / Amount Due from Rider],ROW()-ROW(Payslip_Lookup[#Headers])))</f>
        <v/>
      </c>
      <c r="AB324" s="176" t="str">
        <f aca="false">IF(INDEX(Salary_Calculation[Source Row],ROW()-ROW(Payslip_Lookup[#Headers]))="","",INDEX(Salary_Calculation[Total Amount Due from Rider],ROW()-ROW(Payslip_Lookup[#Headers])))</f>
        <v/>
      </c>
      <c r="AC324" s="176" t="str">
        <f aca="false">IF(INDEX(Salary_Calculation[Source Row],ROW()-ROW(Payslip_Lookup[#Headers]))="","",INDEX(Salary_Calculation[Salary Before Other Deductions],ROW()-ROW(Payslip_Lookup[#Headers])))</f>
        <v/>
      </c>
      <c r="AD324" s="171" t="str">
        <f aca="false">IF(INDEX(Salary_Calculation[Source Row],ROW()-ROW(Payslip_Lookup[#Headers]))="","",INDEX(Salary_Calculation[Payment Status],ROW()-ROW(Payslip_Lookup[#Headers])))</f>
        <v/>
      </c>
      <c r="AE324" s="171" t="str">
        <f aca="false">IF(INDEX(Salary_Calculation[Source Row],ROW()-ROW(Payslip_Lookup[#Headers]))="","",INDEX(Salary_Calculation[Notes],ROW()-ROW(Payslip_Lookup[#Headers])))</f>
        <v/>
      </c>
      <c r="AF324" s="171" t="str">
        <f aca="false">IF(INDEX(Salary_Calculation[Source Row],ROW()-ROW(Payslip_Lookup[#Headers]))="","",INDEX(Salary_Calculation[Exception Reason],ROW()-ROW(Payslip_Lookup[#Headers])))</f>
        <v/>
      </c>
      <c r="AG324" s="173" t="str">
        <f aca="false">IF($AD324="Review Required",COUNTIF(AD$2:AD324,"Review Required"),"")</f>
        <v/>
      </c>
      <c r="AH324" s="173" t="str">
        <f aca="false">IF(AND($D324&lt;&gt;"",$B324=Payslip_Print!$C$2),MAX(AH$1:AH323)+1,"")</f>
        <v/>
      </c>
      <c r="AL324" s="178" t="str">
        <f aca="false">IFERROR(INDEX($D$2:$D$501,MATCH(ROW()-1,$AH$2:$AH$501,0)),"")</f>
        <v/>
      </c>
      <c r="AM324" s="179" t="str">
        <f aca="false">IF($Z324="","",IF(AND($C324&gt;=Dash_Start,$C324&lt;Dash_End),$Z324+ROW()/10000000,""))</f>
        <v/>
      </c>
    </row>
    <row r="325" customFormat="false" ht="14.25" hidden="false" customHeight="false" outlineLevel="0" collapsed="false">
      <c r="A325" s="171" t="str">
        <f aca="false">IF(Payslip_Lookup[[#This Row],[Rider ID]]="","",Payslip_Lookup[[#This Row],[Rider ID]]&amp;"|"&amp;Payslip_Lookup[[#This Row],[Month Key]])</f>
        <v/>
      </c>
      <c r="B325" s="172" t="str">
        <f aca="false">IF(ISNUMBER(Payslip_Lookup[[#This Row],[Salary Month]]),DATE(YEAR(Payslip_Lookup[[#This Row],[Salary Month]]),MONTH(Payslip_Lookup[[#This Row],[Salary Month]]),1),"")</f>
        <v/>
      </c>
      <c r="C325" s="172" t="str">
        <f aca="false">IF(INDEX(Salary_Calculation[Source Row],ROW()-ROW(Payslip_Lookup[#Headers]))="","",INDEX(Salary_Calculation[Salary Month],ROW()-ROW(Payslip_Lookup[#Headers])))</f>
        <v/>
      </c>
      <c r="D325" s="173" t="str">
        <f aca="false">IF(INDEX(Salary_Calculation[Source Row],ROW()-ROW(Payslip_Lookup[#Headers]))="","",INDEX(Salary_Calculation[Rider ID],ROW()-ROW(Payslip_Lookup[#Headers])))</f>
        <v/>
      </c>
      <c r="E325" s="171" t="str">
        <f aca="false">IF(INDEX(Salary_Calculation[Source Row],ROW()-ROW(Payslip_Lookup[#Headers]))="","",INDEX(Salary_Calculation[Rider Name],ROW()-ROW(Payslip_Lookup[#Headers])))</f>
        <v/>
      </c>
      <c r="F325" s="173" t="str">
        <f aca="false">IF(INDEX(Salary_Calculation[Source Row],ROW()-ROW(Payslip_Lookup[#Headers]))="","",INDEX(Salary_Calculation[Working Days],ROW()-ROW(Payslip_Lookup[#Headers])))</f>
        <v/>
      </c>
      <c r="G325" s="173" t="str">
        <f aca="false">IF(INDEX(Salary_Calculation[Source Row],ROW()-ROW(Payslip_Lookup[#Headers]))="","",INDEX(Salary_Calculation[Calendar Days],ROW()-ROW(Payslip_Lookup[#Headers])))</f>
        <v/>
      </c>
      <c r="H325" s="174" t="str">
        <f aca="false">IF(INDEX(Salary_Calculation[Source Row],ROW()-ROW(Payslip_Lookup[#Headers]))="","",INDEX(Salary_Calculation[Monthly Target Orders],ROW()-ROW(Payslip_Lookup[#Headers])))</f>
        <v/>
      </c>
      <c r="I325" s="174" t="str">
        <f aca="false">IF(INDEX(Salary_Calculation[Source Row],ROW()-ROW(Payslip_Lookup[#Headers]))="","",INDEX(Salary_Calculation[Rider Target Orders],ROW()-ROW(Payslip_Lookup[#Headers])))</f>
        <v/>
      </c>
      <c r="J325" s="175" t="str">
        <f aca="false">IF(INDEX(Salary_Calculation[Source Row],ROW()-ROW(Payslip_Lookup[#Headers]))="","",INDEX(Salary_Calculation[Completed Orders],ROW()-ROW(Payslip_Lookup[#Headers])))</f>
        <v/>
      </c>
      <c r="K325" s="174" t="str">
        <f aca="false">IF(INDEX(Salary_Calculation[Source Row],ROW()-ROW(Payslip_Lookup[#Headers]))="","",INDEX(Salary_Calculation[Base Order Rate],ROW()-ROW(Payslip_Lookup[#Headers])))</f>
        <v/>
      </c>
      <c r="L325" s="176" t="str">
        <f aca="false">IF(INDEX(Salary_Calculation[Source Row],ROW()-ROW(Payslip_Lookup[#Headers]))="","",INDEX(Salary_Calculation[Basic Payment],ROW()-ROW(Payslip_Lookup[#Headers])))</f>
        <v/>
      </c>
      <c r="M325" s="176" t="str">
        <f aca="false">IF(INDEX(Salary_Calculation[Source Row],ROW()-ROW(Payslip_Lookup[#Headers]))="","",INDEX(Salary_Calculation[Earned Salary],ROW()-ROW(Payslip_Lookup[#Headers])))</f>
        <v/>
      </c>
      <c r="N325" s="174" t="str">
        <f aca="false">IF(INDEX(Salary_Calculation[Source Row],ROW()-ROW(Payslip_Lookup[#Headers]))="","",INDEX(Salary_Calculation[Orders Counted at Base Rate],ROW()-ROW(Payslip_Lookup[#Headers])))</f>
        <v/>
      </c>
      <c r="O325" s="174" t="str">
        <f aca="false">IF(INDEX(Salary_Calculation[Source Row],ROW()-ROW(Payslip_Lookup[#Headers]))="","",INDEX(Salary_Calculation[Missing Orders],ROW()-ROW(Payslip_Lookup[#Headers])))</f>
        <v/>
      </c>
      <c r="P325" s="176" t="str">
        <f aca="false">IF(INDEX(Salary_Calculation[Source Row],ROW()-ROW(Payslip_Lookup[#Headers]))="","",INDEX(Salary_Calculation[Missing-Order Deduction],ROW()-ROW(Payslip_Lookup[#Headers])))</f>
        <v/>
      </c>
      <c r="Q325" s="174" t="str">
        <f aca="false">IF(INDEX(Salary_Calculation[Source Row],ROW()-ROW(Payslip_Lookup[#Headers]))="","",INDEX(Salary_Calculation[Extra Orders],ROW()-ROW(Payslip_Lookup[#Headers])))</f>
        <v/>
      </c>
      <c r="R325" s="176" t="str">
        <f aca="false">IF(INDEX(Salary_Calculation[Source Row],ROW()-ROW(Payslip_Lookup[#Headers]))="","",INDEX(Salary_Calculation[Extra-Order Bonus],ROW()-ROW(Payslip_Lookup[#Headers])))</f>
        <v/>
      </c>
      <c r="S325" s="176" t="str">
        <f aca="false">IF(INDEX(Salary_Calculation[Source Row],ROW()-ROW(Payslip_Lookup[#Headers]))="","",INDEX(Salary_Calculation[Basic Salary for Target],ROW()-ROW(Payslip_Lookup[#Headers])))</f>
        <v/>
      </c>
      <c r="T325" s="176" t="str">
        <f aca="false">IF(INDEX(Salary_Calculation[Source Row],ROW()-ROW(Payslip_Lookup[#Headers]))="","",INDEX(Salary_Calculation[Gross Salary Before Deductions],ROW()-ROW(Payslip_Lookup[#Headers])))</f>
        <v/>
      </c>
      <c r="U325" s="176" t="str">
        <f aca="false">IF(INDEX(Salary_Calculation[Source Row],ROW()-ROW(Payslip_Lookup[#Headers]))="","",INDEX(Salary_Calculation[missed_days_penalty],ROW()-ROW(Payslip_Lookup[#Headers])))</f>
        <v/>
      </c>
      <c r="V325" s="176" t="str">
        <f aca="false">IF(INDEX(Salary_Calculation[Source Row],ROW()-ROW(Payslip_Lookup[#Headers]))="","",INDEX(Salary_Calculation[Rider Balance],ROW()-ROW(Payslip_Lookup[#Headers])))</f>
        <v/>
      </c>
      <c r="W325" s="176" t="str">
        <f aca="false">IF(INDEX(Salary_Calculation[Source Row],ROW()-ROW(Payslip_Lookup[#Headers]))="","",INDEX(Salary_Calculation[stacking_deduction],ROW()-ROW(Payslip_Lookup[#Headers])))</f>
        <v/>
      </c>
      <c r="X325" s="176" t="str">
        <f aca="false">IF(INDEX(Salary_Calculation[Source Row],ROW()-ROW(Payslip_Lookup[#Headers]))="","",INDEX(Salary_Calculation[Other Deductions],ROW()-ROW(Payslip_Lookup[#Headers])))</f>
        <v/>
      </c>
      <c r="Y325" s="176" t="str">
        <f aca="false">IF(INDEX(Salary_Calculation[Source Row],ROW()-ROW(Payslip_Lookup[#Headers]))="","",INDEX(Salary_Calculation[Total Deductions],ROW()-ROW(Payslip_Lookup[#Headers])))</f>
        <v/>
      </c>
      <c r="Z325" s="176" t="str">
        <f aca="false">IF(INDEX(Salary_Calculation[Source Row],ROW()-ROW(Payslip_Lookup[#Headers]))="","",INDEX(Salary_Calculation[Final Salary],ROW()-ROW(Payslip_Lookup[#Headers])))</f>
        <v/>
      </c>
      <c r="AA325" s="176" t="str">
        <f aca="false">IF(INDEX(Salary_Calculation[Source Row],ROW()-ROW(Payslip_Lookup[#Headers]))="","",INDEX(Salary_Calculation[Negative Balance / Amount Due from Rider],ROW()-ROW(Payslip_Lookup[#Headers])))</f>
        <v/>
      </c>
      <c r="AB325" s="176" t="str">
        <f aca="false">IF(INDEX(Salary_Calculation[Source Row],ROW()-ROW(Payslip_Lookup[#Headers]))="","",INDEX(Salary_Calculation[Total Amount Due from Rider],ROW()-ROW(Payslip_Lookup[#Headers])))</f>
        <v/>
      </c>
      <c r="AC325" s="176" t="str">
        <f aca="false">IF(INDEX(Salary_Calculation[Source Row],ROW()-ROW(Payslip_Lookup[#Headers]))="","",INDEX(Salary_Calculation[Salary Before Other Deductions],ROW()-ROW(Payslip_Lookup[#Headers])))</f>
        <v/>
      </c>
      <c r="AD325" s="171" t="str">
        <f aca="false">IF(INDEX(Salary_Calculation[Source Row],ROW()-ROW(Payslip_Lookup[#Headers]))="","",INDEX(Salary_Calculation[Payment Status],ROW()-ROW(Payslip_Lookup[#Headers])))</f>
        <v/>
      </c>
      <c r="AE325" s="171" t="str">
        <f aca="false">IF(INDEX(Salary_Calculation[Source Row],ROW()-ROW(Payslip_Lookup[#Headers]))="","",INDEX(Salary_Calculation[Notes],ROW()-ROW(Payslip_Lookup[#Headers])))</f>
        <v/>
      </c>
      <c r="AF325" s="171" t="str">
        <f aca="false">IF(INDEX(Salary_Calculation[Source Row],ROW()-ROW(Payslip_Lookup[#Headers]))="","",INDEX(Salary_Calculation[Exception Reason],ROW()-ROW(Payslip_Lookup[#Headers])))</f>
        <v/>
      </c>
      <c r="AG325" s="173" t="str">
        <f aca="false">IF($AD325="Review Required",COUNTIF(AD$2:AD325,"Review Required"),"")</f>
        <v/>
      </c>
      <c r="AH325" s="173" t="str">
        <f aca="false">IF(AND($D325&lt;&gt;"",$B325=Payslip_Print!$C$2),MAX(AH$1:AH324)+1,"")</f>
        <v/>
      </c>
      <c r="AL325" s="178" t="str">
        <f aca="false">IFERROR(INDEX($D$2:$D$501,MATCH(ROW()-1,$AH$2:$AH$501,0)),"")</f>
        <v/>
      </c>
      <c r="AM325" s="179" t="str">
        <f aca="false">IF($Z325="","",IF(AND($C325&gt;=Dash_Start,$C325&lt;Dash_End),$Z325+ROW()/10000000,""))</f>
        <v/>
      </c>
    </row>
    <row r="326" customFormat="false" ht="14.25" hidden="false" customHeight="false" outlineLevel="0" collapsed="false">
      <c r="A326" s="171" t="str">
        <f aca="false">IF(Payslip_Lookup[[#This Row],[Rider ID]]="","",Payslip_Lookup[[#This Row],[Rider ID]]&amp;"|"&amp;Payslip_Lookup[[#This Row],[Month Key]])</f>
        <v/>
      </c>
      <c r="B326" s="172" t="str">
        <f aca="false">IF(ISNUMBER(Payslip_Lookup[[#This Row],[Salary Month]]),DATE(YEAR(Payslip_Lookup[[#This Row],[Salary Month]]),MONTH(Payslip_Lookup[[#This Row],[Salary Month]]),1),"")</f>
        <v/>
      </c>
      <c r="C326" s="172" t="str">
        <f aca="false">IF(INDEX(Salary_Calculation[Source Row],ROW()-ROW(Payslip_Lookup[#Headers]))="","",INDEX(Salary_Calculation[Salary Month],ROW()-ROW(Payslip_Lookup[#Headers])))</f>
        <v/>
      </c>
      <c r="D326" s="173" t="str">
        <f aca="false">IF(INDEX(Salary_Calculation[Source Row],ROW()-ROW(Payslip_Lookup[#Headers]))="","",INDEX(Salary_Calculation[Rider ID],ROW()-ROW(Payslip_Lookup[#Headers])))</f>
        <v/>
      </c>
      <c r="E326" s="171" t="str">
        <f aca="false">IF(INDEX(Salary_Calculation[Source Row],ROW()-ROW(Payslip_Lookup[#Headers]))="","",INDEX(Salary_Calculation[Rider Name],ROW()-ROW(Payslip_Lookup[#Headers])))</f>
        <v/>
      </c>
      <c r="F326" s="173" t="str">
        <f aca="false">IF(INDEX(Salary_Calculation[Source Row],ROW()-ROW(Payslip_Lookup[#Headers]))="","",INDEX(Salary_Calculation[Working Days],ROW()-ROW(Payslip_Lookup[#Headers])))</f>
        <v/>
      </c>
      <c r="G326" s="173" t="str">
        <f aca="false">IF(INDEX(Salary_Calculation[Source Row],ROW()-ROW(Payslip_Lookup[#Headers]))="","",INDEX(Salary_Calculation[Calendar Days],ROW()-ROW(Payslip_Lookup[#Headers])))</f>
        <v/>
      </c>
      <c r="H326" s="174" t="str">
        <f aca="false">IF(INDEX(Salary_Calculation[Source Row],ROW()-ROW(Payslip_Lookup[#Headers]))="","",INDEX(Salary_Calculation[Monthly Target Orders],ROW()-ROW(Payslip_Lookup[#Headers])))</f>
        <v/>
      </c>
      <c r="I326" s="174" t="str">
        <f aca="false">IF(INDEX(Salary_Calculation[Source Row],ROW()-ROW(Payslip_Lookup[#Headers]))="","",INDEX(Salary_Calculation[Rider Target Orders],ROW()-ROW(Payslip_Lookup[#Headers])))</f>
        <v/>
      </c>
      <c r="J326" s="175" t="str">
        <f aca="false">IF(INDEX(Salary_Calculation[Source Row],ROW()-ROW(Payslip_Lookup[#Headers]))="","",INDEX(Salary_Calculation[Completed Orders],ROW()-ROW(Payslip_Lookup[#Headers])))</f>
        <v/>
      </c>
      <c r="K326" s="174" t="str">
        <f aca="false">IF(INDEX(Salary_Calculation[Source Row],ROW()-ROW(Payslip_Lookup[#Headers]))="","",INDEX(Salary_Calculation[Base Order Rate],ROW()-ROW(Payslip_Lookup[#Headers])))</f>
        <v/>
      </c>
      <c r="L326" s="176" t="str">
        <f aca="false">IF(INDEX(Salary_Calculation[Source Row],ROW()-ROW(Payslip_Lookup[#Headers]))="","",INDEX(Salary_Calculation[Basic Payment],ROW()-ROW(Payslip_Lookup[#Headers])))</f>
        <v/>
      </c>
      <c r="M326" s="176" t="str">
        <f aca="false">IF(INDEX(Salary_Calculation[Source Row],ROW()-ROW(Payslip_Lookup[#Headers]))="","",INDEX(Salary_Calculation[Earned Salary],ROW()-ROW(Payslip_Lookup[#Headers])))</f>
        <v/>
      </c>
      <c r="N326" s="174" t="str">
        <f aca="false">IF(INDEX(Salary_Calculation[Source Row],ROW()-ROW(Payslip_Lookup[#Headers]))="","",INDEX(Salary_Calculation[Orders Counted at Base Rate],ROW()-ROW(Payslip_Lookup[#Headers])))</f>
        <v/>
      </c>
      <c r="O326" s="174" t="str">
        <f aca="false">IF(INDEX(Salary_Calculation[Source Row],ROW()-ROW(Payslip_Lookup[#Headers]))="","",INDEX(Salary_Calculation[Missing Orders],ROW()-ROW(Payslip_Lookup[#Headers])))</f>
        <v/>
      </c>
      <c r="P326" s="176" t="str">
        <f aca="false">IF(INDEX(Salary_Calculation[Source Row],ROW()-ROW(Payslip_Lookup[#Headers]))="","",INDEX(Salary_Calculation[Missing-Order Deduction],ROW()-ROW(Payslip_Lookup[#Headers])))</f>
        <v/>
      </c>
      <c r="Q326" s="174" t="str">
        <f aca="false">IF(INDEX(Salary_Calculation[Source Row],ROW()-ROW(Payslip_Lookup[#Headers]))="","",INDEX(Salary_Calculation[Extra Orders],ROW()-ROW(Payslip_Lookup[#Headers])))</f>
        <v/>
      </c>
      <c r="R326" s="176" t="str">
        <f aca="false">IF(INDEX(Salary_Calculation[Source Row],ROW()-ROW(Payslip_Lookup[#Headers]))="","",INDEX(Salary_Calculation[Extra-Order Bonus],ROW()-ROW(Payslip_Lookup[#Headers])))</f>
        <v/>
      </c>
      <c r="S326" s="176" t="str">
        <f aca="false">IF(INDEX(Salary_Calculation[Source Row],ROW()-ROW(Payslip_Lookup[#Headers]))="","",INDEX(Salary_Calculation[Basic Salary for Target],ROW()-ROW(Payslip_Lookup[#Headers])))</f>
        <v/>
      </c>
      <c r="T326" s="176" t="str">
        <f aca="false">IF(INDEX(Salary_Calculation[Source Row],ROW()-ROW(Payslip_Lookup[#Headers]))="","",INDEX(Salary_Calculation[Gross Salary Before Deductions],ROW()-ROW(Payslip_Lookup[#Headers])))</f>
        <v/>
      </c>
      <c r="U326" s="176" t="str">
        <f aca="false">IF(INDEX(Salary_Calculation[Source Row],ROW()-ROW(Payslip_Lookup[#Headers]))="","",INDEX(Salary_Calculation[missed_days_penalty],ROW()-ROW(Payslip_Lookup[#Headers])))</f>
        <v/>
      </c>
      <c r="V326" s="176" t="str">
        <f aca="false">IF(INDEX(Salary_Calculation[Source Row],ROW()-ROW(Payslip_Lookup[#Headers]))="","",INDEX(Salary_Calculation[Rider Balance],ROW()-ROW(Payslip_Lookup[#Headers])))</f>
        <v/>
      </c>
      <c r="W326" s="176" t="str">
        <f aca="false">IF(INDEX(Salary_Calculation[Source Row],ROW()-ROW(Payslip_Lookup[#Headers]))="","",INDEX(Salary_Calculation[stacking_deduction],ROW()-ROW(Payslip_Lookup[#Headers])))</f>
        <v/>
      </c>
      <c r="X326" s="176" t="str">
        <f aca="false">IF(INDEX(Salary_Calculation[Source Row],ROW()-ROW(Payslip_Lookup[#Headers]))="","",INDEX(Salary_Calculation[Other Deductions],ROW()-ROW(Payslip_Lookup[#Headers])))</f>
        <v/>
      </c>
      <c r="Y326" s="176" t="str">
        <f aca="false">IF(INDEX(Salary_Calculation[Source Row],ROW()-ROW(Payslip_Lookup[#Headers]))="","",INDEX(Salary_Calculation[Total Deductions],ROW()-ROW(Payslip_Lookup[#Headers])))</f>
        <v/>
      </c>
      <c r="Z326" s="176" t="str">
        <f aca="false">IF(INDEX(Salary_Calculation[Source Row],ROW()-ROW(Payslip_Lookup[#Headers]))="","",INDEX(Salary_Calculation[Final Salary],ROW()-ROW(Payslip_Lookup[#Headers])))</f>
        <v/>
      </c>
      <c r="AA326" s="176" t="str">
        <f aca="false">IF(INDEX(Salary_Calculation[Source Row],ROW()-ROW(Payslip_Lookup[#Headers]))="","",INDEX(Salary_Calculation[Negative Balance / Amount Due from Rider],ROW()-ROW(Payslip_Lookup[#Headers])))</f>
        <v/>
      </c>
      <c r="AB326" s="176" t="str">
        <f aca="false">IF(INDEX(Salary_Calculation[Source Row],ROW()-ROW(Payslip_Lookup[#Headers]))="","",INDEX(Salary_Calculation[Total Amount Due from Rider],ROW()-ROW(Payslip_Lookup[#Headers])))</f>
        <v/>
      </c>
      <c r="AC326" s="176" t="str">
        <f aca="false">IF(INDEX(Salary_Calculation[Source Row],ROW()-ROW(Payslip_Lookup[#Headers]))="","",INDEX(Salary_Calculation[Salary Before Other Deductions],ROW()-ROW(Payslip_Lookup[#Headers])))</f>
        <v/>
      </c>
      <c r="AD326" s="171" t="str">
        <f aca="false">IF(INDEX(Salary_Calculation[Source Row],ROW()-ROW(Payslip_Lookup[#Headers]))="","",INDEX(Salary_Calculation[Payment Status],ROW()-ROW(Payslip_Lookup[#Headers])))</f>
        <v/>
      </c>
      <c r="AE326" s="171" t="str">
        <f aca="false">IF(INDEX(Salary_Calculation[Source Row],ROW()-ROW(Payslip_Lookup[#Headers]))="","",INDEX(Salary_Calculation[Notes],ROW()-ROW(Payslip_Lookup[#Headers])))</f>
        <v/>
      </c>
      <c r="AF326" s="171" t="str">
        <f aca="false">IF(INDEX(Salary_Calculation[Source Row],ROW()-ROW(Payslip_Lookup[#Headers]))="","",INDEX(Salary_Calculation[Exception Reason],ROW()-ROW(Payslip_Lookup[#Headers])))</f>
        <v/>
      </c>
      <c r="AG326" s="173" t="str">
        <f aca="false">IF($AD326="Review Required",COUNTIF(AD$2:AD326,"Review Required"),"")</f>
        <v/>
      </c>
      <c r="AH326" s="173" t="str">
        <f aca="false">IF(AND($D326&lt;&gt;"",$B326=Payslip_Print!$C$2),MAX(AH$1:AH325)+1,"")</f>
        <v/>
      </c>
      <c r="AL326" s="178" t="str">
        <f aca="false">IFERROR(INDEX($D$2:$D$501,MATCH(ROW()-1,$AH$2:$AH$501,0)),"")</f>
        <v/>
      </c>
      <c r="AM326" s="179" t="str">
        <f aca="false">IF($Z326="","",IF(AND($C326&gt;=Dash_Start,$C326&lt;Dash_End),$Z326+ROW()/10000000,""))</f>
        <v/>
      </c>
    </row>
    <row r="327" customFormat="false" ht="14.25" hidden="false" customHeight="false" outlineLevel="0" collapsed="false">
      <c r="A327" s="171" t="str">
        <f aca="false">IF(Payslip_Lookup[[#This Row],[Rider ID]]="","",Payslip_Lookup[[#This Row],[Rider ID]]&amp;"|"&amp;Payslip_Lookup[[#This Row],[Month Key]])</f>
        <v/>
      </c>
      <c r="B327" s="172" t="str">
        <f aca="false">IF(ISNUMBER(Payslip_Lookup[[#This Row],[Salary Month]]),DATE(YEAR(Payslip_Lookup[[#This Row],[Salary Month]]),MONTH(Payslip_Lookup[[#This Row],[Salary Month]]),1),"")</f>
        <v/>
      </c>
      <c r="C327" s="172" t="str">
        <f aca="false">IF(INDEX(Salary_Calculation[Source Row],ROW()-ROW(Payslip_Lookup[#Headers]))="","",INDEX(Salary_Calculation[Salary Month],ROW()-ROW(Payslip_Lookup[#Headers])))</f>
        <v/>
      </c>
      <c r="D327" s="173" t="str">
        <f aca="false">IF(INDEX(Salary_Calculation[Source Row],ROW()-ROW(Payslip_Lookup[#Headers]))="","",INDEX(Salary_Calculation[Rider ID],ROW()-ROW(Payslip_Lookup[#Headers])))</f>
        <v/>
      </c>
      <c r="E327" s="171" t="str">
        <f aca="false">IF(INDEX(Salary_Calculation[Source Row],ROW()-ROW(Payslip_Lookup[#Headers]))="","",INDEX(Salary_Calculation[Rider Name],ROW()-ROW(Payslip_Lookup[#Headers])))</f>
        <v/>
      </c>
      <c r="F327" s="173" t="str">
        <f aca="false">IF(INDEX(Salary_Calculation[Source Row],ROW()-ROW(Payslip_Lookup[#Headers]))="","",INDEX(Salary_Calculation[Working Days],ROW()-ROW(Payslip_Lookup[#Headers])))</f>
        <v/>
      </c>
      <c r="G327" s="173" t="str">
        <f aca="false">IF(INDEX(Salary_Calculation[Source Row],ROW()-ROW(Payslip_Lookup[#Headers]))="","",INDEX(Salary_Calculation[Calendar Days],ROW()-ROW(Payslip_Lookup[#Headers])))</f>
        <v/>
      </c>
      <c r="H327" s="174" t="str">
        <f aca="false">IF(INDEX(Salary_Calculation[Source Row],ROW()-ROW(Payslip_Lookup[#Headers]))="","",INDEX(Salary_Calculation[Monthly Target Orders],ROW()-ROW(Payslip_Lookup[#Headers])))</f>
        <v/>
      </c>
      <c r="I327" s="174" t="str">
        <f aca="false">IF(INDEX(Salary_Calculation[Source Row],ROW()-ROW(Payslip_Lookup[#Headers]))="","",INDEX(Salary_Calculation[Rider Target Orders],ROW()-ROW(Payslip_Lookup[#Headers])))</f>
        <v/>
      </c>
      <c r="J327" s="175" t="str">
        <f aca="false">IF(INDEX(Salary_Calculation[Source Row],ROW()-ROW(Payslip_Lookup[#Headers]))="","",INDEX(Salary_Calculation[Completed Orders],ROW()-ROW(Payslip_Lookup[#Headers])))</f>
        <v/>
      </c>
      <c r="K327" s="174" t="str">
        <f aca="false">IF(INDEX(Salary_Calculation[Source Row],ROW()-ROW(Payslip_Lookup[#Headers]))="","",INDEX(Salary_Calculation[Base Order Rate],ROW()-ROW(Payslip_Lookup[#Headers])))</f>
        <v/>
      </c>
      <c r="L327" s="176" t="str">
        <f aca="false">IF(INDEX(Salary_Calculation[Source Row],ROW()-ROW(Payslip_Lookup[#Headers]))="","",INDEX(Salary_Calculation[Basic Payment],ROW()-ROW(Payslip_Lookup[#Headers])))</f>
        <v/>
      </c>
      <c r="M327" s="176" t="str">
        <f aca="false">IF(INDEX(Salary_Calculation[Source Row],ROW()-ROW(Payslip_Lookup[#Headers]))="","",INDEX(Salary_Calculation[Earned Salary],ROW()-ROW(Payslip_Lookup[#Headers])))</f>
        <v/>
      </c>
      <c r="N327" s="174" t="str">
        <f aca="false">IF(INDEX(Salary_Calculation[Source Row],ROW()-ROW(Payslip_Lookup[#Headers]))="","",INDEX(Salary_Calculation[Orders Counted at Base Rate],ROW()-ROW(Payslip_Lookup[#Headers])))</f>
        <v/>
      </c>
      <c r="O327" s="174" t="str">
        <f aca="false">IF(INDEX(Salary_Calculation[Source Row],ROW()-ROW(Payslip_Lookup[#Headers]))="","",INDEX(Salary_Calculation[Missing Orders],ROW()-ROW(Payslip_Lookup[#Headers])))</f>
        <v/>
      </c>
      <c r="P327" s="176" t="str">
        <f aca="false">IF(INDEX(Salary_Calculation[Source Row],ROW()-ROW(Payslip_Lookup[#Headers]))="","",INDEX(Salary_Calculation[Missing-Order Deduction],ROW()-ROW(Payslip_Lookup[#Headers])))</f>
        <v/>
      </c>
      <c r="Q327" s="174" t="str">
        <f aca="false">IF(INDEX(Salary_Calculation[Source Row],ROW()-ROW(Payslip_Lookup[#Headers]))="","",INDEX(Salary_Calculation[Extra Orders],ROW()-ROW(Payslip_Lookup[#Headers])))</f>
        <v/>
      </c>
      <c r="R327" s="176" t="str">
        <f aca="false">IF(INDEX(Salary_Calculation[Source Row],ROW()-ROW(Payslip_Lookup[#Headers]))="","",INDEX(Salary_Calculation[Extra-Order Bonus],ROW()-ROW(Payslip_Lookup[#Headers])))</f>
        <v/>
      </c>
      <c r="S327" s="176" t="str">
        <f aca="false">IF(INDEX(Salary_Calculation[Source Row],ROW()-ROW(Payslip_Lookup[#Headers]))="","",INDEX(Salary_Calculation[Basic Salary for Target],ROW()-ROW(Payslip_Lookup[#Headers])))</f>
        <v/>
      </c>
      <c r="T327" s="176" t="str">
        <f aca="false">IF(INDEX(Salary_Calculation[Source Row],ROW()-ROW(Payslip_Lookup[#Headers]))="","",INDEX(Salary_Calculation[Gross Salary Before Deductions],ROW()-ROW(Payslip_Lookup[#Headers])))</f>
        <v/>
      </c>
      <c r="U327" s="176" t="str">
        <f aca="false">IF(INDEX(Salary_Calculation[Source Row],ROW()-ROW(Payslip_Lookup[#Headers]))="","",INDEX(Salary_Calculation[missed_days_penalty],ROW()-ROW(Payslip_Lookup[#Headers])))</f>
        <v/>
      </c>
      <c r="V327" s="176" t="str">
        <f aca="false">IF(INDEX(Salary_Calculation[Source Row],ROW()-ROW(Payslip_Lookup[#Headers]))="","",INDEX(Salary_Calculation[Rider Balance],ROW()-ROW(Payslip_Lookup[#Headers])))</f>
        <v/>
      </c>
      <c r="W327" s="176" t="str">
        <f aca="false">IF(INDEX(Salary_Calculation[Source Row],ROW()-ROW(Payslip_Lookup[#Headers]))="","",INDEX(Salary_Calculation[stacking_deduction],ROW()-ROW(Payslip_Lookup[#Headers])))</f>
        <v/>
      </c>
      <c r="X327" s="176" t="str">
        <f aca="false">IF(INDEX(Salary_Calculation[Source Row],ROW()-ROW(Payslip_Lookup[#Headers]))="","",INDEX(Salary_Calculation[Other Deductions],ROW()-ROW(Payslip_Lookup[#Headers])))</f>
        <v/>
      </c>
      <c r="Y327" s="176" t="str">
        <f aca="false">IF(INDEX(Salary_Calculation[Source Row],ROW()-ROW(Payslip_Lookup[#Headers]))="","",INDEX(Salary_Calculation[Total Deductions],ROW()-ROW(Payslip_Lookup[#Headers])))</f>
        <v/>
      </c>
      <c r="Z327" s="176" t="str">
        <f aca="false">IF(INDEX(Salary_Calculation[Source Row],ROW()-ROW(Payslip_Lookup[#Headers]))="","",INDEX(Salary_Calculation[Final Salary],ROW()-ROW(Payslip_Lookup[#Headers])))</f>
        <v/>
      </c>
      <c r="AA327" s="176" t="str">
        <f aca="false">IF(INDEX(Salary_Calculation[Source Row],ROW()-ROW(Payslip_Lookup[#Headers]))="","",INDEX(Salary_Calculation[Negative Balance / Amount Due from Rider],ROW()-ROW(Payslip_Lookup[#Headers])))</f>
        <v/>
      </c>
      <c r="AB327" s="176" t="str">
        <f aca="false">IF(INDEX(Salary_Calculation[Source Row],ROW()-ROW(Payslip_Lookup[#Headers]))="","",INDEX(Salary_Calculation[Total Amount Due from Rider],ROW()-ROW(Payslip_Lookup[#Headers])))</f>
        <v/>
      </c>
      <c r="AC327" s="176" t="str">
        <f aca="false">IF(INDEX(Salary_Calculation[Source Row],ROW()-ROW(Payslip_Lookup[#Headers]))="","",INDEX(Salary_Calculation[Salary Before Other Deductions],ROW()-ROW(Payslip_Lookup[#Headers])))</f>
        <v/>
      </c>
      <c r="AD327" s="171" t="str">
        <f aca="false">IF(INDEX(Salary_Calculation[Source Row],ROW()-ROW(Payslip_Lookup[#Headers]))="","",INDEX(Salary_Calculation[Payment Status],ROW()-ROW(Payslip_Lookup[#Headers])))</f>
        <v/>
      </c>
      <c r="AE327" s="171" t="str">
        <f aca="false">IF(INDEX(Salary_Calculation[Source Row],ROW()-ROW(Payslip_Lookup[#Headers]))="","",INDEX(Salary_Calculation[Notes],ROW()-ROW(Payslip_Lookup[#Headers])))</f>
        <v/>
      </c>
      <c r="AF327" s="171" t="str">
        <f aca="false">IF(INDEX(Salary_Calculation[Source Row],ROW()-ROW(Payslip_Lookup[#Headers]))="","",INDEX(Salary_Calculation[Exception Reason],ROW()-ROW(Payslip_Lookup[#Headers])))</f>
        <v/>
      </c>
      <c r="AG327" s="173" t="str">
        <f aca="false">IF($AD327="Review Required",COUNTIF(AD$2:AD327,"Review Required"),"")</f>
        <v/>
      </c>
      <c r="AH327" s="173" t="str">
        <f aca="false">IF(AND($D327&lt;&gt;"",$B327=Payslip_Print!$C$2),MAX(AH$1:AH326)+1,"")</f>
        <v/>
      </c>
      <c r="AL327" s="178" t="str">
        <f aca="false">IFERROR(INDEX($D$2:$D$501,MATCH(ROW()-1,$AH$2:$AH$501,0)),"")</f>
        <v/>
      </c>
      <c r="AM327" s="179" t="str">
        <f aca="false">IF($Z327="","",IF(AND($C327&gt;=Dash_Start,$C327&lt;Dash_End),$Z327+ROW()/10000000,""))</f>
        <v/>
      </c>
    </row>
    <row r="328" customFormat="false" ht="14.25" hidden="false" customHeight="false" outlineLevel="0" collapsed="false">
      <c r="A328" s="171" t="str">
        <f aca="false">IF(Payslip_Lookup[[#This Row],[Rider ID]]="","",Payslip_Lookup[[#This Row],[Rider ID]]&amp;"|"&amp;Payslip_Lookup[[#This Row],[Month Key]])</f>
        <v/>
      </c>
      <c r="B328" s="172" t="str">
        <f aca="false">IF(ISNUMBER(Payslip_Lookup[[#This Row],[Salary Month]]),DATE(YEAR(Payslip_Lookup[[#This Row],[Salary Month]]),MONTH(Payslip_Lookup[[#This Row],[Salary Month]]),1),"")</f>
        <v/>
      </c>
      <c r="C328" s="172" t="str">
        <f aca="false">IF(INDEX(Salary_Calculation[Source Row],ROW()-ROW(Payslip_Lookup[#Headers]))="","",INDEX(Salary_Calculation[Salary Month],ROW()-ROW(Payslip_Lookup[#Headers])))</f>
        <v/>
      </c>
      <c r="D328" s="173" t="str">
        <f aca="false">IF(INDEX(Salary_Calculation[Source Row],ROW()-ROW(Payslip_Lookup[#Headers]))="","",INDEX(Salary_Calculation[Rider ID],ROW()-ROW(Payslip_Lookup[#Headers])))</f>
        <v/>
      </c>
      <c r="E328" s="171" t="str">
        <f aca="false">IF(INDEX(Salary_Calculation[Source Row],ROW()-ROW(Payslip_Lookup[#Headers]))="","",INDEX(Salary_Calculation[Rider Name],ROW()-ROW(Payslip_Lookup[#Headers])))</f>
        <v/>
      </c>
      <c r="F328" s="173" t="str">
        <f aca="false">IF(INDEX(Salary_Calculation[Source Row],ROW()-ROW(Payslip_Lookup[#Headers]))="","",INDEX(Salary_Calculation[Working Days],ROW()-ROW(Payslip_Lookup[#Headers])))</f>
        <v/>
      </c>
      <c r="G328" s="173" t="str">
        <f aca="false">IF(INDEX(Salary_Calculation[Source Row],ROW()-ROW(Payslip_Lookup[#Headers]))="","",INDEX(Salary_Calculation[Calendar Days],ROW()-ROW(Payslip_Lookup[#Headers])))</f>
        <v/>
      </c>
      <c r="H328" s="174" t="str">
        <f aca="false">IF(INDEX(Salary_Calculation[Source Row],ROW()-ROW(Payslip_Lookup[#Headers]))="","",INDEX(Salary_Calculation[Monthly Target Orders],ROW()-ROW(Payslip_Lookup[#Headers])))</f>
        <v/>
      </c>
      <c r="I328" s="174" t="str">
        <f aca="false">IF(INDEX(Salary_Calculation[Source Row],ROW()-ROW(Payslip_Lookup[#Headers]))="","",INDEX(Salary_Calculation[Rider Target Orders],ROW()-ROW(Payslip_Lookup[#Headers])))</f>
        <v/>
      </c>
      <c r="J328" s="175" t="str">
        <f aca="false">IF(INDEX(Salary_Calculation[Source Row],ROW()-ROW(Payslip_Lookup[#Headers]))="","",INDEX(Salary_Calculation[Completed Orders],ROW()-ROW(Payslip_Lookup[#Headers])))</f>
        <v/>
      </c>
      <c r="K328" s="174" t="str">
        <f aca="false">IF(INDEX(Salary_Calculation[Source Row],ROW()-ROW(Payslip_Lookup[#Headers]))="","",INDEX(Salary_Calculation[Base Order Rate],ROW()-ROW(Payslip_Lookup[#Headers])))</f>
        <v/>
      </c>
      <c r="L328" s="176" t="str">
        <f aca="false">IF(INDEX(Salary_Calculation[Source Row],ROW()-ROW(Payslip_Lookup[#Headers]))="","",INDEX(Salary_Calculation[Basic Payment],ROW()-ROW(Payslip_Lookup[#Headers])))</f>
        <v/>
      </c>
      <c r="M328" s="176" t="str">
        <f aca="false">IF(INDEX(Salary_Calculation[Source Row],ROW()-ROW(Payslip_Lookup[#Headers]))="","",INDEX(Salary_Calculation[Earned Salary],ROW()-ROW(Payslip_Lookup[#Headers])))</f>
        <v/>
      </c>
      <c r="N328" s="174" t="str">
        <f aca="false">IF(INDEX(Salary_Calculation[Source Row],ROW()-ROW(Payslip_Lookup[#Headers]))="","",INDEX(Salary_Calculation[Orders Counted at Base Rate],ROW()-ROW(Payslip_Lookup[#Headers])))</f>
        <v/>
      </c>
      <c r="O328" s="174" t="str">
        <f aca="false">IF(INDEX(Salary_Calculation[Source Row],ROW()-ROW(Payslip_Lookup[#Headers]))="","",INDEX(Salary_Calculation[Missing Orders],ROW()-ROW(Payslip_Lookup[#Headers])))</f>
        <v/>
      </c>
      <c r="P328" s="176" t="str">
        <f aca="false">IF(INDEX(Salary_Calculation[Source Row],ROW()-ROW(Payslip_Lookup[#Headers]))="","",INDEX(Salary_Calculation[Missing-Order Deduction],ROW()-ROW(Payslip_Lookup[#Headers])))</f>
        <v/>
      </c>
      <c r="Q328" s="174" t="str">
        <f aca="false">IF(INDEX(Salary_Calculation[Source Row],ROW()-ROW(Payslip_Lookup[#Headers]))="","",INDEX(Salary_Calculation[Extra Orders],ROW()-ROW(Payslip_Lookup[#Headers])))</f>
        <v/>
      </c>
      <c r="R328" s="176" t="str">
        <f aca="false">IF(INDEX(Salary_Calculation[Source Row],ROW()-ROW(Payslip_Lookup[#Headers]))="","",INDEX(Salary_Calculation[Extra-Order Bonus],ROW()-ROW(Payslip_Lookup[#Headers])))</f>
        <v/>
      </c>
      <c r="S328" s="176" t="str">
        <f aca="false">IF(INDEX(Salary_Calculation[Source Row],ROW()-ROW(Payslip_Lookup[#Headers]))="","",INDEX(Salary_Calculation[Basic Salary for Target],ROW()-ROW(Payslip_Lookup[#Headers])))</f>
        <v/>
      </c>
      <c r="T328" s="176" t="str">
        <f aca="false">IF(INDEX(Salary_Calculation[Source Row],ROW()-ROW(Payslip_Lookup[#Headers]))="","",INDEX(Salary_Calculation[Gross Salary Before Deductions],ROW()-ROW(Payslip_Lookup[#Headers])))</f>
        <v/>
      </c>
      <c r="U328" s="176" t="str">
        <f aca="false">IF(INDEX(Salary_Calculation[Source Row],ROW()-ROW(Payslip_Lookup[#Headers]))="","",INDEX(Salary_Calculation[missed_days_penalty],ROW()-ROW(Payslip_Lookup[#Headers])))</f>
        <v/>
      </c>
      <c r="V328" s="176" t="str">
        <f aca="false">IF(INDEX(Salary_Calculation[Source Row],ROW()-ROW(Payslip_Lookup[#Headers]))="","",INDEX(Salary_Calculation[Rider Balance],ROW()-ROW(Payslip_Lookup[#Headers])))</f>
        <v/>
      </c>
      <c r="W328" s="176" t="str">
        <f aca="false">IF(INDEX(Salary_Calculation[Source Row],ROW()-ROW(Payslip_Lookup[#Headers]))="","",INDEX(Salary_Calculation[stacking_deduction],ROW()-ROW(Payslip_Lookup[#Headers])))</f>
        <v/>
      </c>
      <c r="X328" s="176" t="str">
        <f aca="false">IF(INDEX(Salary_Calculation[Source Row],ROW()-ROW(Payslip_Lookup[#Headers]))="","",INDEX(Salary_Calculation[Other Deductions],ROW()-ROW(Payslip_Lookup[#Headers])))</f>
        <v/>
      </c>
      <c r="Y328" s="176" t="str">
        <f aca="false">IF(INDEX(Salary_Calculation[Source Row],ROW()-ROW(Payslip_Lookup[#Headers]))="","",INDEX(Salary_Calculation[Total Deductions],ROW()-ROW(Payslip_Lookup[#Headers])))</f>
        <v/>
      </c>
      <c r="Z328" s="176" t="str">
        <f aca="false">IF(INDEX(Salary_Calculation[Source Row],ROW()-ROW(Payslip_Lookup[#Headers]))="","",INDEX(Salary_Calculation[Final Salary],ROW()-ROW(Payslip_Lookup[#Headers])))</f>
        <v/>
      </c>
      <c r="AA328" s="176" t="str">
        <f aca="false">IF(INDEX(Salary_Calculation[Source Row],ROW()-ROW(Payslip_Lookup[#Headers]))="","",INDEX(Salary_Calculation[Negative Balance / Amount Due from Rider],ROW()-ROW(Payslip_Lookup[#Headers])))</f>
        <v/>
      </c>
      <c r="AB328" s="176" t="str">
        <f aca="false">IF(INDEX(Salary_Calculation[Source Row],ROW()-ROW(Payslip_Lookup[#Headers]))="","",INDEX(Salary_Calculation[Total Amount Due from Rider],ROW()-ROW(Payslip_Lookup[#Headers])))</f>
        <v/>
      </c>
      <c r="AC328" s="176" t="str">
        <f aca="false">IF(INDEX(Salary_Calculation[Source Row],ROW()-ROW(Payslip_Lookup[#Headers]))="","",INDEX(Salary_Calculation[Salary Before Other Deductions],ROW()-ROW(Payslip_Lookup[#Headers])))</f>
        <v/>
      </c>
      <c r="AD328" s="171" t="str">
        <f aca="false">IF(INDEX(Salary_Calculation[Source Row],ROW()-ROW(Payslip_Lookup[#Headers]))="","",INDEX(Salary_Calculation[Payment Status],ROW()-ROW(Payslip_Lookup[#Headers])))</f>
        <v/>
      </c>
      <c r="AE328" s="171" t="str">
        <f aca="false">IF(INDEX(Salary_Calculation[Source Row],ROW()-ROW(Payslip_Lookup[#Headers]))="","",INDEX(Salary_Calculation[Notes],ROW()-ROW(Payslip_Lookup[#Headers])))</f>
        <v/>
      </c>
      <c r="AF328" s="171" t="str">
        <f aca="false">IF(INDEX(Salary_Calculation[Source Row],ROW()-ROW(Payslip_Lookup[#Headers]))="","",INDEX(Salary_Calculation[Exception Reason],ROW()-ROW(Payslip_Lookup[#Headers])))</f>
        <v/>
      </c>
      <c r="AG328" s="173" t="str">
        <f aca="false">IF($AD328="Review Required",COUNTIF(AD$2:AD328,"Review Required"),"")</f>
        <v/>
      </c>
      <c r="AH328" s="173" t="str">
        <f aca="false">IF(AND($D328&lt;&gt;"",$B328=Payslip_Print!$C$2),MAX(AH$1:AH327)+1,"")</f>
        <v/>
      </c>
      <c r="AL328" s="178" t="str">
        <f aca="false">IFERROR(INDEX($D$2:$D$501,MATCH(ROW()-1,$AH$2:$AH$501,0)),"")</f>
        <v/>
      </c>
      <c r="AM328" s="179" t="str">
        <f aca="false">IF($Z328="","",IF(AND($C328&gt;=Dash_Start,$C328&lt;Dash_End),$Z328+ROW()/10000000,""))</f>
        <v/>
      </c>
    </row>
    <row r="329" customFormat="false" ht="14.25" hidden="false" customHeight="false" outlineLevel="0" collapsed="false">
      <c r="A329" s="171" t="str">
        <f aca="false">IF(Payslip_Lookup[[#This Row],[Rider ID]]="","",Payslip_Lookup[[#This Row],[Rider ID]]&amp;"|"&amp;Payslip_Lookup[[#This Row],[Month Key]])</f>
        <v/>
      </c>
      <c r="B329" s="172" t="str">
        <f aca="false">IF(ISNUMBER(Payslip_Lookup[[#This Row],[Salary Month]]),DATE(YEAR(Payslip_Lookup[[#This Row],[Salary Month]]),MONTH(Payslip_Lookup[[#This Row],[Salary Month]]),1),"")</f>
        <v/>
      </c>
      <c r="C329" s="172" t="str">
        <f aca="false">IF(INDEX(Salary_Calculation[Source Row],ROW()-ROW(Payslip_Lookup[#Headers]))="","",INDEX(Salary_Calculation[Salary Month],ROW()-ROW(Payslip_Lookup[#Headers])))</f>
        <v/>
      </c>
      <c r="D329" s="173" t="str">
        <f aca="false">IF(INDEX(Salary_Calculation[Source Row],ROW()-ROW(Payslip_Lookup[#Headers]))="","",INDEX(Salary_Calculation[Rider ID],ROW()-ROW(Payslip_Lookup[#Headers])))</f>
        <v/>
      </c>
      <c r="E329" s="171" t="str">
        <f aca="false">IF(INDEX(Salary_Calculation[Source Row],ROW()-ROW(Payslip_Lookup[#Headers]))="","",INDEX(Salary_Calculation[Rider Name],ROW()-ROW(Payslip_Lookup[#Headers])))</f>
        <v/>
      </c>
      <c r="F329" s="173" t="str">
        <f aca="false">IF(INDEX(Salary_Calculation[Source Row],ROW()-ROW(Payslip_Lookup[#Headers]))="","",INDEX(Salary_Calculation[Working Days],ROW()-ROW(Payslip_Lookup[#Headers])))</f>
        <v/>
      </c>
      <c r="G329" s="173" t="str">
        <f aca="false">IF(INDEX(Salary_Calculation[Source Row],ROW()-ROW(Payslip_Lookup[#Headers]))="","",INDEX(Salary_Calculation[Calendar Days],ROW()-ROW(Payslip_Lookup[#Headers])))</f>
        <v/>
      </c>
      <c r="H329" s="174" t="str">
        <f aca="false">IF(INDEX(Salary_Calculation[Source Row],ROW()-ROW(Payslip_Lookup[#Headers]))="","",INDEX(Salary_Calculation[Monthly Target Orders],ROW()-ROW(Payslip_Lookup[#Headers])))</f>
        <v/>
      </c>
      <c r="I329" s="174" t="str">
        <f aca="false">IF(INDEX(Salary_Calculation[Source Row],ROW()-ROW(Payslip_Lookup[#Headers]))="","",INDEX(Salary_Calculation[Rider Target Orders],ROW()-ROW(Payslip_Lookup[#Headers])))</f>
        <v/>
      </c>
      <c r="J329" s="175" t="str">
        <f aca="false">IF(INDEX(Salary_Calculation[Source Row],ROW()-ROW(Payslip_Lookup[#Headers]))="","",INDEX(Salary_Calculation[Completed Orders],ROW()-ROW(Payslip_Lookup[#Headers])))</f>
        <v/>
      </c>
      <c r="K329" s="174" t="str">
        <f aca="false">IF(INDEX(Salary_Calculation[Source Row],ROW()-ROW(Payslip_Lookup[#Headers]))="","",INDEX(Salary_Calculation[Base Order Rate],ROW()-ROW(Payslip_Lookup[#Headers])))</f>
        <v/>
      </c>
      <c r="L329" s="176" t="str">
        <f aca="false">IF(INDEX(Salary_Calculation[Source Row],ROW()-ROW(Payslip_Lookup[#Headers]))="","",INDEX(Salary_Calculation[Basic Payment],ROW()-ROW(Payslip_Lookup[#Headers])))</f>
        <v/>
      </c>
      <c r="M329" s="176" t="str">
        <f aca="false">IF(INDEX(Salary_Calculation[Source Row],ROW()-ROW(Payslip_Lookup[#Headers]))="","",INDEX(Salary_Calculation[Earned Salary],ROW()-ROW(Payslip_Lookup[#Headers])))</f>
        <v/>
      </c>
      <c r="N329" s="174" t="str">
        <f aca="false">IF(INDEX(Salary_Calculation[Source Row],ROW()-ROW(Payslip_Lookup[#Headers]))="","",INDEX(Salary_Calculation[Orders Counted at Base Rate],ROW()-ROW(Payslip_Lookup[#Headers])))</f>
        <v/>
      </c>
      <c r="O329" s="174" t="str">
        <f aca="false">IF(INDEX(Salary_Calculation[Source Row],ROW()-ROW(Payslip_Lookup[#Headers]))="","",INDEX(Salary_Calculation[Missing Orders],ROW()-ROW(Payslip_Lookup[#Headers])))</f>
        <v/>
      </c>
      <c r="P329" s="176" t="str">
        <f aca="false">IF(INDEX(Salary_Calculation[Source Row],ROW()-ROW(Payslip_Lookup[#Headers]))="","",INDEX(Salary_Calculation[Missing-Order Deduction],ROW()-ROW(Payslip_Lookup[#Headers])))</f>
        <v/>
      </c>
      <c r="Q329" s="174" t="str">
        <f aca="false">IF(INDEX(Salary_Calculation[Source Row],ROW()-ROW(Payslip_Lookup[#Headers]))="","",INDEX(Salary_Calculation[Extra Orders],ROW()-ROW(Payslip_Lookup[#Headers])))</f>
        <v/>
      </c>
      <c r="R329" s="176" t="str">
        <f aca="false">IF(INDEX(Salary_Calculation[Source Row],ROW()-ROW(Payslip_Lookup[#Headers]))="","",INDEX(Salary_Calculation[Extra-Order Bonus],ROW()-ROW(Payslip_Lookup[#Headers])))</f>
        <v/>
      </c>
      <c r="S329" s="176" t="str">
        <f aca="false">IF(INDEX(Salary_Calculation[Source Row],ROW()-ROW(Payslip_Lookup[#Headers]))="","",INDEX(Salary_Calculation[Basic Salary for Target],ROW()-ROW(Payslip_Lookup[#Headers])))</f>
        <v/>
      </c>
      <c r="T329" s="176" t="str">
        <f aca="false">IF(INDEX(Salary_Calculation[Source Row],ROW()-ROW(Payslip_Lookup[#Headers]))="","",INDEX(Salary_Calculation[Gross Salary Before Deductions],ROW()-ROW(Payslip_Lookup[#Headers])))</f>
        <v/>
      </c>
      <c r="U329" s="176" t="str">
        <f aca="false">IF(INDEX(Salary_Calculation[Source Row],ROW()-ROW(Payslip_Lookup[#Headers]))="","",INDEX(Salary_Calculation[missed_days_penalty],ROW()-ROW(Payslip_Lookup[#Headers])))</f>
        <v/>
      </c>
      <c r="V329" s="176" t="str">
        <f aca="false">IF(INDEX(Salary_Calculation[Source Row],ROW()-ROW(Payslip_Lookup[#Headers]))="","",INDEX(Salary_Calculation[Rider Balance],ROW()-ROW(Payslip_Lookup[#Headers])))</f>
        <v/>
      </c>
      <c r="W329" s="176" t="str">
        <f aca="false">IF(INDEX(Salary_Calculation[Source Row],ROW()-ROW(Payslip_Lookup[#Headers]))="","",INDEX(Salary_Calculation[stacking_deduction],ROW()-ROW(Payslip_Lookup[#Headers])))</f>
        <v/>
      </c>
      <c r="X329" s="176" t="str">
        <f aca="false">IF(INDEX(Salary_Calculation[Source Row],ROW()-ROW(Payslip_Lookup[#Headers]))="","",INDEX(Salary_Calculation[Other Deductions],ROW()-ROW(Payslip_Lookup[#Headers])))</f>
        <v/>
      </c>
      <c r="Y329" s="176" t="str">
        <f aca="false">IF(INDEX(Salary_Calculation[Source Row],ROW()-ROW(Payslip_Lookup[#Headers]))="","",INDEX(Salary_Calculation[Total Deductions],ROW()-ROW(Payslip_Lookup[#Headers])))</f>
        <v/>
      </c>
      <c r="Z329" s="176" t="str">
        <f aca="false">IF(INDEX(Salary_Calculation[Source Row],ROW()-ROW(Payslip_Lookup[#Headers]))="","",INDEX(Salary_Calculation[Final Salary],ROW()-ROW(Payslip_Lookup[#Headers])))</f>
        <v/>
      </c>
      <c r="AA329" s="176" t="str">
        <f aca="false">IF(INDEX(Salary_Calculation[Source Row],ROW()-ROW(Payslip_Lookup[#Headers]))="","",INDEX(Salary_Calculation[Negative Balance / Amount Due from Rider],ROW()-ROW(Payslip_Lookup[#Headers])))</f>
        <v/>
      </c>
      <c r="AB329" s="176" t="str">
        <f aca="false">IF(INDEX(Salary_Calculation[Source Row],ROW()-ROW(Payslip_Lookup[#Headers]))="","",INDEX(Salary_Calculation[Total Amount Due from Rider],ROW()-ROW(Payslip_Lookup[#Headers])))</f>
        <v/>
      </c>
      <c r="AC329" s="176" t="str">
        <f aca="false">IF(INDEX(Salary_Calculation[Source Row],ROW()-ROW(Payslip_Lookup[#Headers]))="","",INDEX(Salary_Calculation[Salary Before Other Deductions],ROW()-ROW(Payslip_Lookup[#Headers])))</f>
        <v/>
      </c>
      <c r="AD329" s="171" t="str">
        <f aca="false">IF(INDEX(Salary_Calculation[Source Row],ROW()-ROW(Payslip_Lookup[#Headers]))="","",INDEX(Salary_Calculation[Payment Status],ROW()-ROW(Payslip_Lookup[#Headers])))</f>
        <v/>
      </c>
      <c r="AE329" s="171" t="str">
        <f aca="false">IF(INDEX(Salary_Calculation[Source Row],ROW()-ROW(Payslip_Lookup[#Headers]))="","",INDEX(Salary_Calculation[Notes],ROW()-ROW(Payslip_Lookup[#Headers])))</f>
        <v/>
      </c>
      <c r="AF329" s="171" t="str">
        <f aca="false">IF(INDEX(Salary_Calculation[Source Row],ROW()-ROW(Payslip_Lookup[#Headers]))="","",INDEX(Salary_Calculation[Exception Reason],ROW()-ROW(Payslip_Lookup[#Headers])))</f>
        <v/>
      </c>
      <c r="AG329" s="173" t="str">
        <f aca="false">IF($AD329="Review Required",COUNTIF(AD$2:AD329,"Review Required"),"")</f>
        <v/>
      </c>
      <c r="AH329" s="173" t="str">
        <f aca="false">IF(AND($D329&lt;&gt;"",$B329=Payslip_Print!$C$2),MAX(AH$1:AH328)+1,"")</f>
        <v/>
      </c>
      <c r="AL329" s="178" t="str">
        <f aca="false">IFERROR(INDEX($D$2:$D$501,MATCH(ROW()-1,$AH$2:$AH$501,0)),"")</f>
        <v/>
      </c>
      <c r="AM329" s="179" t="str">
        <f aca="false">IF($Z329="","",IF(AND($C329&gt;=Dash_Start,$C329&lt;Dash_End),$Z329+ROW()/10000000,""))</f>
        <v/>
      </c>
    </row>
    <row r="330" customFormat="false" ht="14.25" hidden="false" customHeight="false" outlineLevel="0" collapsed="false">
      <c r="A330" s="171" t="str">
        <f aca="false">IF(Payslip_Lookup[[#This Row],[Rider ID]]="","",Payslip_Lookup[[#This Row],[Rider ID]]&amp;"|"&amp;Payslip_Lookup[[#This Row],[Month Key]])</f>
        <v/>
      </c>
      <c r="B330" s="172" t="str">
        <f aca="false">IF(ISNUMBER(Payslip_Lookup[[#This Row],[Salary Month]]),DATE(YEAR(Payslip_Lookup[[#This Row],[Salary Month]]),MONTH(Payslip_Lookup[[#This Row],[Salary Month]]),1),"")</f>
        <v/>
      </c>
      <c r="C330" s="172" t="str">
        <f aca="false">IF(INDEX(Salary_Calculation[Source Row],ROW()-ROW(Payslip_Lookup[#Headers]))="","",INDEX(Salary_Calculation[Salary Month],ROW()-ROW(Payslip_Lookup[#Headers])))</f>
        <v/>
      </c>
      <c r="D330" s="173" t="str">
        <f aca="false">IF(INDEX(Salary_Calculation[Source Row],ROW()-ROW(Payslip_Lookup[#Headers]))="","",INDEX(Salary_Calculation[Rider ID],ROW()-ROW(Payslip_Lookup[#Headers])))</f>
        <v/>
      </c>
      <c r="E330" s="171" t="str">
        <f aca="false">IF(INDEX(Salary_Calculation[Source Row],ROW()-ROW(Payslip_Lookup[#Headers]))="","",INDEX(Salary_Calculation[Rider Name],ROW()-ROW(Payslip_Lookup[#Headers])))</f>
        <v/>
      </c>
      <c r="F330" s="173" t="str">
        <f aca="false">IF(INDEX(Salary_Calculation[Source Row],ROW()-ROW(Payslip_Lookup[#Headers]))="","",INDEX(Salary_Calculation[Working Days],ROW()-ROW(Payslip_Lookup[#Headers])))</f>
        <v/>
      </c>
      <c r="G330" s="173" t="str">
        <f aca="false">IF(INDEX(Salary_Calculation[Source Row],ROW()-ROW(Payslip_Lookup[#Headers]))="","",INDEX(Salary_Calculation[Calendar Days],ROW()-ROW(Payslip_Lookup[#Headers])))</f>
        <v/>
      </c>
      <c r="H330" s="174" t="str">
        <f aca="false">IF(INDEX(Salary_Calculation[Source Row],ROW()-ROW(Payslip_Lookup[#Headers]))="","",INDEX(Salary_Calculation[Monthly Target Orders],ROW()-ROW(Payslip_Lookup[#Headers])))</f>
        <v/>
      </c>
      <c r="I330" s="174" t="str">
        <f aca="false">IF(INDEX(Salary_Calculation[Source Row],ROW()-ROW(Payslip_Lookup[#Headers]))="","",INDEX(Salary_Calculation[Rider Target Orders],ROW()-ROW(Payslip_Lookup[#Headers])))</f>
        <v/>
      </c>
      <c r="J330" s="175" t="str">
        <f aca="false">IF(INDEX(Salary_Calculation[Source Row],ROW()-ROW(Payslip_Lookup[#Headers]))="","",INDEX(Salary_Calculation[Completed Orders],ROW()-ROW(Payslip_Lookup[#Headers])))</f>
        <v/>
      </c>
      <c r="K330" s="174" t="str">
        <f aca="false">IF(INDEX(Salary_Calculation[Source Row],ROW()-ROW(Payslip_Lookup[#Headers]))="","",INDEX(Salary_Calculation[Base Order Rate],ROW()-ROW(Payslip_Lookup[#Headers])))</f>
        <v/>
      </c>
      <c r="L330" s="176" t="str">
        <f aca="false">IF(INDEX(Salary_Calculation[Source Row],ROW()-ROW(Payslip_Lookup[#Headers]))="","",INDEX(Salary_Calculation[Basic Payment],ROW()-ROW(Payslip_Lookup[#Headers])))</f>
        <v/>
      </c>
      <c r="M330" s="176" t="str">
        <f aca="false">IF(INDEX(Salary_Calculation[Source Row],ROW()-ROW(Payslip_Lookup[#Headers]))="","",INDEX(Salary_Calculation[Earned Salary],ROW()-ROW(Payslip_Lookup[#Headers])))</f>
        <v/>
      </c>
      <c r="N330" s="174" t="str">
        <f aca="false">IF(INDEX(Salary_Calculation[Source Row],ROW()-ROW(Payslip_Lookup[#Headers]))="","",INDEX(Salary_Calculation[Orders Counted at Base Rate],ROW()-ROW(Payslip_Lookup[#Headers])))</f>
        <v/>
      </c>
      <c r="O330" s="174" t="str">
        <f aca="false">IF(INDEX(Salary_Calculation[Source Row],ROW()-ROW(Payslip_Lookup[#Headers]))="","",INDEX(Salary_Calculation[Missing Orders],ROW()-ROW(Payslip_Lookup[#Headers])))</f>
        <v/>
      </c>
      <c r="P330" s="176" t="str">
        <f aca="false">IF(INDEX(Salary_Calculation[Source Row],ROW()-ROW(Payslip_Lookup[#Headers]))="","",INDEX(Salary_Calculation[Missing-Order Deduction],ROW()-ROW(Payslip_Lookup[#Headers])))</f>
        <v/>
      </c>
      <c r="Q330" s="174" t="str">
        <f aca="false">IF(INDEX(Salary_Calculation[Source Row],ROW()-ROW(Payslip_Lookup[#Headers]))="","",INDEX(Salary_Calculation[Extra Orders],ROW()-ROW(Payslip_Lookup[#Headers])))</f>
        <v/>
      </c>
      <c r="R330" s="176" t="str">
        <f aca="false">IF(INDEX(Salary_Calculation[Source Row],ROW()-ROW(Payslip_Lookup[#Headers]))="","",INDEX(Salary_Calculation[Extra-Order Bonus],ROW()-ROW(Payslip_Lookup[#Headers])))</f>
        <v/>
      </c>
      <c r="S330" s="176" t="str">
        <f aca="false">IF(INDEX(Salary_Calculation[Source Row],ROW()-ROW(Payslip_Lookup[#Headers]))="","",INDEX(Salary_Calculation[Basic Salary for Target],ROW()-ROW(Payslip_Lookup[#Headers])))</f>
        <v/>
      </c>
      <c r="T330" s="176" t="str">
        <f aca="false">IF(INDEX(Salary_Calculation[Source Row],ROW()-ROW(Payslip_Lookup[#Headers]))="","",INDEX(Salary_Calculation[Gross Salary Before Deductions],ROW()-ROW(Payslip_Lookup[#Headers])))</f>
        <v/>
      </c>
      <c r="U330" s="176" t="str">
        <f aca="false">IF(INDEX(Salary_Calculation[Source Row],ROW()-ROW(Payslip_Lookup[#Headers]))="","",INDEX(Salary_Calculation[missed_days_penalty],ROW()-ROW(Payslip_Lookup[#Headers])))</f>
        <v/>
      </c>
      <c r="V330" s="176" t="str">
        <f aca="false">IF(INDEX(Salary_Calculation[Source Row],ROW()-ROW(Payslip_Lookup[#Headers]))="","",INDEX(Salary_Calculation[Rider Balance],ROW()-ROW(Payslip_Lookup[#Headers])))</f>
        <v/>
      </c>
      <c r="W330" s="176" t="str">
        <f aca="false">IF(INDEX(Salary_Calculation[Source Row],ROW()-ROW(Payslip_Lookup[#Headers]))="","",INDEX(Salary_Calculation[stacking_deduction],ROW()-ROW(Payslip_Lookup[#Headers])))</f>
        <v/>
      </c>
      <c r="X330" s="176" t="str">
        <f aca="false">IF(INDEX(Salary_Calculation[Source Row],ROW()-ROW(Payslip_Lookup[#Headers]))="","",INDEX(Salary_Calculation[Other Deductions],ROW()-ROW(Payslip_Lookup[#Headers])))</f>
        <v/>
      </c>
      <c r="Y330" s="176" t="str">
        <f aca="false">IF(INDEX(Salary_Calculation[Source Row],ROW()-ROW(Payslip_Lookup[#Headers]))="","",INDEX(Salary_Calculation[Total Deductions],ROW()-ROW(Payslip_Lookup[#Headers])))</f>
        <v/>
      </c>
      <c r="Z330" s="176" t="str">
        <f aca="false">IF(INDEX(Salary_Calculation[Source Row],ROW()-ROW(Payslip_Lookup[#Headers]))="","",INDEX(Salary_Calculation[Final Salary],ROW()-ROW(Payslip_Lookup[#Headers])))</f>
        <v/>
      </c>
      <c r="AA330" s="176" t="str">
        <f aca="false">IF(INDEX(Salary_Calculation[Source Row],ROW()-ROW(Payslip_Lookup[#Headers]))="","",INDEX(Salary_Calculation[Negative Balance / Amount Due from Rider],ROW()-ROW(Payslip_Lookup[#Headers])))</f>
        <v/>
      </c>
      <c r="AB330" s="176" t="str">
        <f aca="false">IF(INDEX(Salary_Calculation[Source Row],ROW()-ROW(Payslip_Lookup[#Headers]))="","",INDEX(Salary_Calculation[Total Amount Due from Rider],ROW()-ROW(Payslip_Lookup[#Headers])))</f>
        <v/>
      </c>
      <c r="AC330" s="176" t="str">
        <f aca="false">IF(INDEX(Salary_Calculation[Source Row],ROW()-ROW(Payslip_Lookup[#Headers]))="","",INDEX(Salary_Calculation[Salary Before Other Deductions],ROW()-ROW(Payslip_Lookup[#Headers])))</f>
        <v/>
      </c>
      <c r="AD330" s="171" t="str">
        <f aca="false">IF(INDEX(Salary_Calculation[Source Row],ROW()-ROW(Payslip_Lookup[#Headers]))="","",INDEX(Salary_Calculation[Payment Status],ROW()-ROW(Payslip_Lookup[#Headers])))</f>
        <v/>
      </c>
      <c r="AE330" s="171" t="str">
        <f aca="false">IF(INDEX(Salary_Calculation[Source Row],ROW()-ROW(Payslip_Lookup[#Headers]))="","",INDEX(Salary_Calculation[Notes],ROW()-ROW(Payslip_Lookup[#Headers])))</f>
        <v/>
      </c>
      <c r="AF330" s="171" t="str">
        <f aca="false">IF(INDEX(Salary_Calculation[Source Row],ROW()-ROW(Payslip_Lookup[#Headers]))="","",INDEX(Salary_Calculation[Exception Reason],ROW()-ROW(Payslip_Lookup[#Headers])))</f>
        <v/>
      </c>
      <c r="AG330" s="173" t="str">
        <f aca="false">IF($AD330="Review Required",COUNTIF(AD$2:AD330,"Review Required"),"")</f>
        <v/>
      </c>
      <c r="AH330" s="173" t="str">
        <f aca="false">IF(AND($D330&lt;&gt;"",$B330=Payslip_Print!$C$2),MAX(AH$1:AH329)+1,"")</f>
        <v/>
      </c>
      <c r="AL330" s="178" t="str">
        <f aca="false">IFERROR(INDEX($D$2:$D$501,MATCH(ROW()-1,$AH$2:$AH$501,0)),"")</f>
        <v/>
      </c>
      <c r="AM330" s="179" t="str">
        <f aca="false">IF($Z330="","",IF(AND($C330&gt;=Dash_Start,$C330&lt;Dash_End),$Z330+ROW()/10000000,""))</f>
        <v/>
      </c>
    </row>
    <row r="331" customFormat="false" ht="14.25" hidden="false" customHeight="false" outlineLevel="0" collapsed="false">
      <c r="A331" s="171" t="str">
        <f aca="false">IF(Payslip_Lookup[[#This Row],[Rider ID]]="","",Payslip_Lookup[[#This Row],[Rider ID]]&amp;"|"&amp;Payslip_Lookup[[#This Row],[Month Key]])</f>
        <v/>
      </c>
      <c r="B331" s="172" t="str">
        <f aca="false">IF(ISNUMBER(Payslip_Lookup[[#This Row],[Salary Month]]),DATE(YEAR(Payslip_Lookup[[#This Row],[Salary Month]]),MONTH(Payslip_Lookup[[#This Row],[Salary Month]]),1),"")</f>
        <v/>
      </c>
      <c r="C331" s="172" t="str">
        <f aca="false">IF(INDEX(Salary_Calculation[Source Row],ROW()-ROW(Payslip_Lookup[#Headers]))="","",INDEX(Salary_Calculation[Salary Month],ROW()-ROW(Payslip_Lookup[#Headers])))</f>
        <v/>
      </c>
      <c r="D331" s="173" t="str">
        <f aca="false">IF(INDEX(Salary_Calculation[Source Row],ROW()-ROW(Payslip_Lookup[#Headers]))="","",INDEX(Salary_Calculation[Rider ID],ROW()-ROW(Payslip_Lookup[#Headers])))</f>
        <v/>
      </c>
      <c r="E331" s="171" t="str">
        <f aca="false">IF(INDEX(Salary_Calculation[Source Row],ROW()-ROW(Payslip_Lookup[#Headers]))="","",INDEX(Salary_Calculation[Rider Name],ROW()-ROW(Payslip_Lookup[#Headers])))</f>
        <v/>
      </c>
      <c r="F331" s="173" t="str">
        <f aca="false">IF(INDEX(Salary_Calculation[Source Row],ROW()-ROW(Payslip_Lookup[#Headers]))="","",INDEX(Salary_Calculation[Working Days],ROW()-ROW(Payslip_Lookup[#Headers])))</f>
        <v/>
      </c>
      <c r="G331" s="173" t="str">
        <f aca="false">IF(INDEX(Salary_Calculation[Source Row],ROW()-ROW(Payslip_Lookup[#Headers]))="","",INDEX(Salary_Calculation[Calendar Days],ROW()-ROW(Payslip_Lookup[#Headers])))</f>
        <v/>
      </c>
      <c r="H331" s="174" t="str">
        <f aca="false">IF(INDEX(Salary_Calculation[Source Row],ROW()-ROW(Payslip_Lookup[#Headers]))="","",INDEX(Salary_Calculation[Monthly Target Orders],ROW()-ROW(Payslip_Lookup[#Headers])))</f>
        <v/>
      </c>
      <c r="I331" s="174" t="str">
        <f aca="false">IF(INDEX(Salary_Calculation[Source Row],ROW()-ROW(Payslip_Lookup[#Headers]))="","",INDEX(Salary_Calculation[Rider Target Orders],ROW()-ROW(Payslip_Lookup[#Headers])))</f>
        <v/>
      </c>
      <c r="J331" s="175" t="str">
        <f aca="false">IF(INDEX(Salary_Calculation[Source Row],ROW()-ROW(Payslip_Lookup[#Headers]))="","",INDEX(Salary_Calculation[Completed Orders],ROW()-ROW(Payslip_Lookup[#Headers])))</f>
        <v/>
      </c>
      <c r="K331" s="174" t="str">
        <f aca="false">IF(INDEX(Salary_Calculation[Source Row],ROW()-ROW(Payslip_Lookup[#Headers]))="","",INDEX(Salary_Calculation[Base Order Rate],ROW()-ROW(Payslip_Lookup[#Headers])))</f>
        <v/>
      </c>
      <c r="L331" s="176" t="str">
        <f aca="false">IF(INDEX(Salary_Calculation[Source Row],ROW()-ROW(Payslip_Lookup[#Headers]))="","",INDEX(Salary_Calculation[Basic Payment],ROW()-ROW(Payslip_Lookup[#Headers])))</f>
        <v/>
      </c>
      <c r="M331" s="176" t="str">
        <f aca="false">IF(INDEX(Salary_Calculation[Source Row],ROW()-ROW(Payslip_Lookup[#Headers]))="","",INDEX(Salary_Calculation[Earned Salary],ROW()-ROW(Payslip_Lookup[#Headers])))</f>
        <v/>
      </c>
      <c r="N331" s="174" t="str">
        <f aca="false">IF(INDEX(Salary_Calculation[Source Row],ROW()-ROW(Payslip_Lookup[#Headers]))="","",INDEX(Salary_Calculation[Orders Counted at Base Rate],ROW()-ROW(Payslip_Lookup[#Headers])))</f>
        <v/>
      </c>
      <c r="O331" s="174" t="str">
        <f aca="false">IF(INDEX(Salary_Calculation[Source Row],ROW()-ROW(Payslip_Lookup[#Headers]))="","",INDEX(Salary_Calculation[Missing Orders],ROW()-ROW(Payslip_Lookup[#Headers])))</f>
        <v/>
      </c>
      <c r="P331" s="176" t="str">
        <f aca="false">IF(INDEX(Salary_Calculation[Source Row],ROW()-ROW(Payslip_Lookup[#Headers]))="","",INDEX(Salary_Calculation[Missing-Order Deduction],ROW()-ROW(Payslip_Lookup[#Headers])))</f>
        <v/>
      </c>
      <c r="Q331" s="174" t="str">
        <f aca="false">IF(INDEX(Salary_Calculation[Source Row],ROW()-ROW(Payslip_Lookup[#Headers]))="","",INDEX(Salary_Calculation[Extra Orders],ROW()-ROW(Payslip_Lookup[#Headers])))</f>
        <v/>
      </c>
      <c r="R331" s="176" t="str">
        <f aca="false">IF(INDEX(Salary_Calculation[Source Row],ROW()-ROW(Payslip_Lookup[#Headers]))="","",INDEX(Salary_Calculation[Extra-Order Bonus],ROW()-ROW(Payslip_Lookup[#Headers])))</f>
        <v/>
      </c>
      <c r="S331" s="176" t="str">
        <f aca="false">IF(INDEX(Salary_Calculation[Source Row],ROW()-ROW(Payslip_Lookup[#Headers]))="","",INDEX(Salary_Calculation[Basic Salary for Target],ROW()-ROW(Payslip_Lookup[#Headers])))</f>
        <v/>
      </c>
      <c r="T331" s="176" t="str">
        <f aca="false">IF(INDEX(Salary_Calculation[Source Row],ROW()-ROW(Payslip_Lookup[#Headers]))="","",INDEX(Salary_Calculation[Gross Salary Before Deductions],ROW()-ROW(Payslip_Lookup[#Headers])))</f>
        <v/>
      </c>
      <c r="U331" s="176" t="str">
        <f aca="false">IF(INDEX(Salary_Calculation[Source Row],ROW()-ROW(Payslip_Lookup[#Headers]))="","",INDEX(Salary_Calculation[missed_days_penalty],ROW()-ROW(Payslip_Lookup[#Headers])))</f>
        <v/>
      </c>
      <c r="V331" s="176" t="str">
        <f aca="false">IF(INDEX(Salary_Calculation[Source Row],ROW()-ROW(Payslip_Lookup[#Headers]))="","",INDEX(Salary_Calculation[Rider Balance],ROW()-ROW(Payslip_Lookup[#Headers])))</f>
        <v/>
      </c>
      <c r="W331" s="176" t="str">
        <f aca="false">IF(INDEX(Salary_Calculation[Source Row],ROW()-ROW(Payslip_Lookup[#Headers]))="","",INDEX(Salary_Calculation[stacking_deduction],ROW()-ROW(Payslip_Lookup[#Headers])))</f>
        <v/>
      </c>
      <c r="X331" s="176" t="str">
        <f aca="false">IF(INDEX(Salary_Calculation[Source Row],ROW()-ROW(Payslip_Lookup[#Headers]))="","",INDEX(Salary_Calculation[Other Deductions],ROW()-ROW(Payslip_Lookup[#Headers])))</f>
        <v/>
      </c>
      <c r="Y331" s="176" t="str">
        <f aca="false">IF(INDEX(Salary_Calculation[Source Row],ROW()-ROW(Payslip_Lookup[#Headers]))="","",INDEX(Salary_Calculation[Total Deductions],ROW()-ROW(Payslip_Lookup[#Headers])))</f>
        <v/>
      </c>
      <c r="Z331" s="176" t="str">
        <f aca="false">IF(INDEX(Salary_Calculation[Source Row],ROW()-ROW(Payslip_Lookup[#Headers]))="","",INDEX(Salary_Calculation[Final Salary],ROW()-ROW(Payslip_Lookup[#Headers])))</f>
        <v/>
      </c>
      <c r="AA331" s="176" t="str">
        <f aca="false">IF(INDEX(Salary_Calculation[Source Row],ROW()-ROW(Payslip_Lookup[#Headers]))="","",INDEX(Salary_Calculation[Negative Balance / Amount Due from Rider],ROW()-ROW(Payslip_Lookup[#Headers])))</f>
        <v/>
      </c>
      <c r="AB331" s="176" t="str">
        <f aca="false">IF(INDEX(Salary_Calculation[Source Row],ROW()-ROW(Payslip_Lookup[#Headers]))="","",INDEX(Salary_Calculation[Total Amount Due from Rider],ROW()-ROW(Payslip_Lookup[#Headers])))</f>
        <v/>
      </c>
      <c r="AC331" s="176" t="str">
        <f aca="false">IF(INDEX(Salary_Calculation[Source Row],ROW()-ROW(Payslip_Lookup[#Headers]))="","",INDEX(Salary_Calculation[Salary Before Other Deductions],ROW()-ROW(Payslip_Lookup[#Headers])))</f>
        <v/>
      </c>
      <c r="AD331" s="171" t="str">
        <f aca="false">IF(INDEX(Salary_Calculation[Source Row],ROW()-ROW(Payslip_Lookup[#Headers]))="","",INDEX(Salary_Calculation[Payment Status],ROW()-ROW(Payslip_Lookup[#Headers])))</f>
        <v/>
      </c>
      <c r="AE331" s="171" t="str">
        <f aca="false">IF(INDEX(Salary_Calculation[Source Row],ROW()-ROW(Payslip_Lookup[#Headers]))="","",INDEX(Salary_Calculation[Notes],ROW()-ROW(Payslip_Lookup[#Headers])))</f>
        <v/>
      </c>
      <c r="AF331" s="171" t="str">
        <f aca="false">IF(INDEX(Salary_Calculation[Source Row],ROW()-ROW(Payslip_Lookup[#Headers]))="","",INDEX(Salary_Calculation[Exception Reason],ROW()-ROW(Payslip_Lookup[#Headers])))</f>
        <v/>
      </c>
      <c r="AG331" s="173" t="str">
        <f aca="false">IF($AD331="Review Required",COUNTIF(AD$2:AD331,"Review Required"),"")</f>
        <v/>
      </c>
      <c r="AH331" s="173" t="str">
        <f aca="false">IF(AND($D331&lt;&gt;"",$B331=Payslip_Print!$C$2),MAX(AH$1:AH330)+1,"")</f>
        <v/>
      </c>
      <c r="AL331" s="178" t="str">
        <f aca="false">IFERROR(INDEX($D$2:$D$501,MATCH(ROW()-1,$AH$2:$AH$501,0)),"")</f>
        <v/>
      </c>
      <c r="AM331" s="179" t="str">
        <f aca="false">IF($Z331="","",IF(AND($C331&gt;=Dash_Start,$C331&lt;Dash_End),$Z331+ROW()/10000000,""))</f>
        <v/>
      </c>
    </row>
    <row r="332" customFormat="false" ht="14.25" hidden="false" customHeight="false" outlineLevel="0" collapsed="false">
      <c r="A332" s="171" t="str">
        <f aca="false">IF(Payslip_Lookup[[#This Row],[Rider ID]]="","",Payslip_Lookup[[#This Row],[Rider ID]]&amp;"|"&amp;Payslip_Lookup[[#This Row],[Month Key]])</f>
        <v/>
      </c>
      <c r="B332" s="172" t="str">
        <f aca="false">IF(ISNUMBER(Payslip_Lookup[[#This Row],[Salary Month]]),DATE(YEAR(Payslip_Lookup[[#This Row],[Salary Month]]),MONTH(Payslip_Lookup[[#This Row],[Salary Month]]),1),"")</f>
        <v/>
      </c>
      <c r="C332" s="172" t="str">
        <f aca="false">IF(INDEX(Salary_Calculation[Source Row],ROW()-ROW(Payslip_Lookup[#Headers]))="","",INDEX(Salary_Calculation[Salary Month],ROW()-ROW(Payslip_Lookup[#Headers])))</f>
        <v/>
      </c>
      <c r="D332" s="173" t="str">
        <f aca="false">IF(INDEX(Salary_Calculation[Source Row],ROW()-ROW(Payslip_Lookup[#Headers]))="","",INDEX(Salary_Calculation[Rider ID],ROW()-ROW(Payslip_Lookup[#Headers])))</f>
        <v/>
      </c>
      <c r="E332" s="171" t="str">
        <f aca="false">IF(INDEX(Salary_Calculation[Source Row],ROW()-ROW(Payslip_Lookup[#Headers]))="","",INDEX(Salary_Calculation[Rider Name],ROW()-ROW(Payslip_Lookup[#Headers])))</f>
        <v/>
      </c>
      <c r="F332" s="173" t="str">
        <f aca="false">IF(INDEX(Salary_Calculation[Source Row],ROW()-ROW(Payslip_Lookup[#Headers]))="","",INDEX(Salary_Calculation[Working Days],ROW()-ROW(Payslip_Lookup[#Headers])))</f>
        <v/>
      </c>
      <c r="G332" s="173" t="str">
        <f aca="false">IF(INDEX(Salary_Calculation[Source Row],ROW()-ROW(Payslip_Lookup[#Headers]))="","",INDEX(Salary_Calculation[Calendar Days],ROW()-ROW(Payslip_Lookup[#Headers])))</f>
        <v/>
      </c>
      <c r="H332" s="174" t="str">
        <f aca="false">IF(INDEX(Salary_Calculation[Source Row],ROW()-ROW(Payslip_Lookup[#Headers]))="","",INDEX(Salary_Calculation[Monthly Target Orders],ROW()-ROW(Payslip_Lookup[#Headers])))</f>
        <v/>
      </c>
      <c r="I332" s="174" t="str">
        <f aca="false">IF(INDEX(Salary_Calculation[Source Row],ROW()-ROW(Payslip_Lookup[#Headers]))="","",INDEX(Salary_Calculation[Rider Target Orders],ROW()-ROW(Payslip_Lookup[#Headers])))</f>
        <v/>
      </c>
      <c r="J332" s="175" t="str">
        <f aca="false">IF(INDEX(Salary_Calculation[Source Row],ROW()-ROW(Payslip_Lookup[#Headers]))="","",INDEX(Salary_Calculation[Completed Orders],ROW()-ROW(Payslip_Lookup[#Headers])))</f>
        <v/>
      </c>
      <c r="K332" s="174" t="str">
        <f aca="false">IF(INDEX(Salary_Calculation[Source Row],ROW()-ROW(Payslip_Lookup[#Headers]))="","",INDEX(Salary_Calculation[Base Order Rate],ROW()-ROW(Payslip_Lookup[#Headers])))</f>
        <v/>
      </c>
      <c r="L332" s="176" t="str">
        <f aca="false">IF(INDEX(Salary_Calculation[Source Row],ROW()-ROW(Payslip_Lookup[#Headers]))="","",INDEX(Salary_Calculation[Basic Payment],ROW()-ROW(Payslip_Lookup[#Headers])))</f>
        <v/>
      </c>
      <c r="M332" s="176" t="str">
        <f aca="false">IF(INDEX(Salary_Calculation[Source Row],ROW()-ROW(Payslip_Lookup[#Headers]))="","",INDEX(Salary_Calculation[Earned Salary],ROW()-ROW(Payslip_Lookup[#Headers])))</f>
        <v/>
      </c>
      <c r="N332" s="174" t="str">
        <f aca="false">IF(INDEX(Salary_Calculation[Source Row],ROW()-ROW(Payslip_Lookup[#Headers]))="","",INDEX(Salary_Calculation[Orders Counted at Base Rate],ROW()-ROW(Payslip_Lookup[#Headers])))</f>
        <v/>
      </c>
      <c r="O332" s="174" t="str">
        <f aca="false">IF(INDEX(Salary_Calculation[Source Row],ROW()-ROW(Payslip_Lookup[#Headers]))="","",INDEX(Salary_Calculation[Missing Orders],ROW()-ROW(Payslip_Lookup[#Headers])))</f>
        <v/>
      </c>
      <c r="P332" s="176" t="str">
        <f aca="false">IF(INDEX(Salary_Calculation[Source Row],ROW()-ROW(Payslip_Lookup[#Headers]))="","",INDEX(Salary_Calculation[Missing-Order Deduction],ROW()-ROW(Payslip_Lookup[#Headers])))</f>
        <v/>
      </c>
      <c r="Q332" s="174" t="str">
        <f aca="false">IF(INDEX(Salary_Calculation[Source Row],ROW()-ROW(Payslip_Lookup[#Headers]))="","",INDEX(Salary_Calculation[Extra Orders],ROW()-ROW(Payslip_Lookup[#Headers])))</f>
        <v/>
      </c>
      <c r="R332" s="176" t="str">
        <f aca="false">IF(INDEX(Salary_Calculation[Source Row],ROW()-ROW(Payslip_Lookup[#Headers]))="","",INDEX(Salary_Calculation[Extra-Order Bonus],ROW()-ROW(Payslip_Lookup[#Headers])))</f>
        <v/>
      </c>
      <c r="S332" s="176" t="str">
        <f aca="false">IF(INDEX(Salary_Calculation[Source Row],ROW()-ROW(Payslip_Lookup[#Headers]))="","",INDEX(Salary_Calculation[Basic Salary for Target],ROW()-ROW(Payslip_Lookup[#Headers])))</f>
        <v/>
      </c>
      <c r="T332" s="176" t="str">
        <f aca="false">IF(INDEX(Salary_Calculation[Source Row],ROW()-ROW(Payslip_Lookup[#Headers]))="","",INDEX(Salary_Calculation[Gross Salary Before Deductions],ROW()-ROW(Payslip_Lookup[#Headers])))</f>
        <v/>
      </c>
      <c r="U332" s="176" t="str">
        <f aca="false">IF(INDEX(Salary_Calculation[Source Row],ROW()-ROW(Payslip_Lookup[#Headers]))="","",INDEX(Salary_Calculation[missed_days_penalty],ROW()-ROW(Payslip_Lookup[#Headers])))</f>
        <v/>
      </c>
      <c r="V332" s="176" t="str">
        <f aca="false">IF(INDEX(Salary_Calculation[Source Row],ROW()-ROW(Payslip_Lookup[#Headers]))="","",INDEX(Salary_Calculation[Rider Balance],ROW()-ROW(Payslip_Lookup[#Headers])))</f>
        <v/>
      </c>
      <c r="W332" s="176" t="str">
        <f aca="false">IF(INDEX(Salary_Calculation[Source Row],ROW()-ROW(Payslip_Lookup[#Headers]))="","",INDEX(Salary_Calculation[stacking_deduction],ROW()-ROW(Payslip_Lookup[#Headers])))</f>
        <v/>
      </c>
      <c r="X332" s="176" t="str">
        <f aca="false">IF(INDEX(Salary_Calculation[Source Row],ROW()-ROW(Payslip_Lookup[#Headers]))="","",INDEX(Salary_Calculation[Other Deductions],ROW()-ROW(Payslip_Lookup[#Headers])))</f>
        <v/>
      </c>
      <c r="Y332" s="176" t="str">
        <f aca="false">IF(INDEX(Salary_Calculation[Source Row],ROW()-ROW(Payslip_Lookup[#Headers]))="","",INDEX(Salary_Calculation[Total Deductions],ROW()-ROW(Payslip_Lookup[#Headers])))</f>
        <v/>
      </c>
      <c r="Z332" s="176" t="str">
        <f aca="false">IF(INDEX(Salary_Calculation[Source Row],ROW()-ROW(Payslip_Lookup[#Headers]))="","",INDEX(Salary_Calculation[Final Salary],ROW()-ROW(Payslip_Lookup[#Headers])))</f>
        <v/>
      </c>
      <c r="AA332" s="176" t="str">
        <f aca="false">IF(INDEX(Salary_Calculation[Source Row],ROW()-ROW(Payslip_Lookup[#Headers]))="","",INDEX(Salary_Calculation[Negative Balance / Amount Due from Rider],ROW()-ROW(Payslip_Lookup[#Headers])))</f>
        <v/>
      </c>
      <c r="AB332" s="176" t="str">
        <f aca="false">IF(INDEX(Salary_Calculation[Source Row],ROW()-ROW(Payslip_Lookup[#Headers]))="","",INDEX(Salary_Calculation[Total Amount Due from Rider],ROW()-ROW(Payslip_Lookup[#Headers])))</f>
        <v/>
      </c>
      <c r="AC332" s="176" t="str">
        <f aca="false">IF(INDEX(Salary_Calculation[Source Row],ROW()-ROW(Payslip_Lookup[#Headers]))="","",INDEX(Salary_Calculation[Salary Before Other Deductions],ROW()-ROW(Payslip_Lookup[#Headers])))</f>
        <v/>
      </c>
      <c r="AD332" s="171" t="str">
        <f aca="false">IF(INDEX(Salary_Calculation[Source Row],ROW()-ROW(Payslip_Lookup[#Headers]))="","",INDEX(Salary_Calculation[Payment Status],ROW()-ROW(Payslip_Lookup[#Headers])))</f>
        <v/>
      </c>
      <c r="AE332" s="171" t="str">
        <f aca="false">IF(INDEX(Salary_Calculation[Source Row],ROW()-ROW(Payslip_Lookup[#Headers]))="","",INDEX(Salary_Calculation[Notes],ROW()-ROW(Payslip_Lookup[#Headers])))</f>
        <v/>
      </c>
      <c r="AF332" s="171" t="str">
        <f aca="false">IF(INDEX(Salary_Calculation[Source Row],ROW()-ROW(Payslip_Lookup[#Headers]))="","",INDEX(Salary_Calculation[Exception Reason],ROW()-ROW(Payslip_Lookup[#Headers])))</f>
        <v/>
      </c>
      <c r="AG332" s="173" t="str">
        <f aca="false">IF($AD332="Review Required",COUNTIF(AD$2:AD332,"Review Required"),"")</f>
        <v/>
      </c>
      <c r="AH332" s="173" t="str">
        <f aca="false">IF(AND($D332&lt;&gt;"",$B332=Payslip_Print!$C$2),MAX(AH$1:AH331)+1,"")</f>
        <v/>
      </c>
      <c r="AL332" s="178" t="str">
        <f aca="false">IFERROR(INDEX($D$2:$D$501,MATCH(ROW()-1,$AH$2:$AH$501,0)),"")</f>
        <v/>
      </c>
      <c r="AM332" s="179" t="str">
        <f aca="false">IF($Z332="","",IF(AND($C332&gt;=Dash_Start,$C332&lt;Dash_End),$Z332+ROW()/10000000,""))</f>
        <v/>
      </c>
    </row>
    <row r="333" customFormat="false" ht="14.25" hidden="false" customHeight="false" outlineLevel="0" collapsed="false">
      <c r="A333" s="171" t="str">
        <f aca="false">IF(Payslip_Lookup[[#This Row],[Rider ID]]="","",Payslip_Lookup[[#This Row],[Rider ID]]&amp;"|"&amp;Payslip_Lookup[[#This Row],[Month Key]])</f>
        <v/>
      </c>
      <c r="B333" s="172" t="str">
        <f aca="false">IF(ISNUMBER(Payslip_Lookup[[#This Row],[Salary Month]]),DATE(YEAR(Payslip_Lookup[[#This Row],[Salary Month]]),MONTH(Payslip_Lookup[[#This Row],[Salary Month]]),1),"")</f>
        <v/>
      </c>
      <c r="C333" s="172" t="str">
        <f aca="false">IF(INDEX(Salary_Calculation[Source Row],ROW()-ROW(Payslip_Lookup[#Headers]))="","",INDEX(Salary_Calculation[Salary Month],ROW()-ROW(Payslip_Lookup[#Headers])))</f>
        <v/>
      </c>
      <c r="D333" s="173" t="str">
        <f aca="false">IF(INDEX(Salary_Calculation[Source Row],ROW()-ROW(Payslip_Lookup[#Headers]))="","",INDEX(Salary_Calculation[Rider ID],ROW()-ROW(Payslip_Lookup[#Headers])))</f>
        <v/>
      </c>
      <c r="E333" s="171" t="str">
        <f aca="false">IF(INDEX(Salary_Calculation[Source Row],ROW()-ROW(Payslip_Lookup[#Headers]))="","",INDEX(Salary_Calculation[Rider Name],ROW()-ROW(Payslip_Lookup[#Headers])))</f>
        <v/>
      </c>
      <c r="F333" s="173" t="str">
        <f aca="false">IF(INDEX(Salary_Calculation[Source Row],ROW()-ROW(Payslip_Lookup[#Headers]))="","",INDEX(Salary_Calculation[Working Days],ROW()-ROW(Payslip_Lookup[#Headers])))</f>
        <v/>
      </c>
      <c r="G333" s="173" t="str">
        <f aca="false">IF(INDEX(Salary_Calculation[Source Row],ROW()-ROW(Payslip_Lookup[#Headers]))="","",INDEX(Salary_Calculation[Calendar Days],ROW()-ROW(Payslip_Lookup[#Headers])))</f>
        <v/>
      </c>
      <c r="H333" s="174" t="str">
        <f aca="false">IF(INDEX(Salary_Calculation[Source Row],ROW()-ROW(Payslip_Lookup[#Headers]))="","",INDEX(Salary_Calculation[Monthly Target Orders],ROW()-ROW(Payslip_Lookup[#Headers])))</f>
        <v/>
      </c>
      <c r="I333" s="174" t="str">
        <f aca="false">IF(INDEX(Salary_Calculation[Source Row],ROW()-ROW(Payslip_Lookup[#Headers]))="","",INDEX(Salary_Calculation[Rider Target Orders],ROW()-ROW(Payslip_Lookup[#Headers])))</f>
        <v/>
      </c>
      <c r="J333" s="175" t="str">
        <f aca="false">IF(INDEX(Salary_Calculation[Source Row],ROW()-ROW(Payslip_Lookup[#Headers]))="","",INDEX(Salary_Calculation[Completed Orders],ROW()-ROW(Payslip_Lookup[#Headers])))</f>
        <v/>
      </c>
      <c r="K333" s="174" t="str">
        <f aca="false">IF(INDEX(Salary_Calculation[Source Row],ROW()-ROW(Payslip_Lookup[#Headers]))="","",INDEX(Salary_Calculation[Base Order Rate],ROW()-ROW(Payslip_Lookup[#Headers])))</f>
        <v/>
      </c>
      <c r="L333" s="176" t="str">
        <f aca="false">IF(INDEX(Salary_Calculation[Source Row],ROW()-ROW(Payslip_Lookup[#Headers]))="","",INDEX(Salary_Calculation[Basic Payment],ROW()-ROW(Payslip_Lookup[#Headers])))</f>
        <v/>
      </c>
      <c r="M333" s="176" t="str">
        <f aca="false">IF(INDEX(Salary_Calculation[Source Row],ROW()-ROW(Payslip_Lookup[#Headers]))="","",INDEX(Salary_Calculation[Earned Salary],ROW()-ROW(Payslip_Lookup[#Headers])))</f>
        <v/>
      </c>
      <c r="N333" s="174" t="str">
        <f aca="false">IF(INDEX(Salary_Calculation[Source Row],ROW()-ROW(Payslip_Lookup[#Headers]))="","",INDEX(Salary_Calculation[Orders Counted at Base Rate],ROW()-ROW(Payslip_Lookup[#Headers])))</f>
        <v/>
      </c>
      <c r="O333" s="174" t="str">
        <f aca="false">IF(INDEX(Salary_Calculation[Source Row],ROW()-ROW(Payslip_Lookup[#Headers]))="","",INDEX(Salary_Calculation[Missing Orders],ROW()-ROW(Payslip_Lookup[#Headers])))</f>
        <v/>
      </c>
      <c r="P333" s="176" t="str">
        <f aca="false">IF(INDEX(Salary_Calculation[Source Row],ROW()-ROW(Payslip_Lookup[#Headers]))="","",INDEX(Salary_Calculation[Missing-Order Deduction],ROW()-ROW(Payslip_Lookup[#Headers])))</f>
        <v/>
      </c>
      <c r="Q333" s="174" t="str">
        <f aca="false">IF(INDEX(Salary_Calculation[Source Row],ROW()-ROW(Payslip_Lookup[#Headers]))="","",INDEX(Salary_Calculation[Extra Orders],ROW()-ROW(Payslip_Lookup[#Headers])))</f>
        <v/>
      </c>
      <c r="R333" s="176" t="str">
        <f aca="false">IF(INDEX(Salary_Calculation[Source Row],ROW()-ROW(Payslip_Lookup[#Headers]))="","",INDEX(Salary_Calculation[Extra-Order Bonus],ROW()-ROW(Payslip_Lookup[#Headers])))</f>
        <v/>
      </c>
      <c r="S333" s="176" t="str">
        <f aca="false">IF(INDEX(Salary_Calculation[Source Row],ROW()-ROW(Payslip_Lookup[#Headers]))="","",INDEX(Salary_Calculation[Basic Salary for Target],ROW()-ROW(Payslip_Lookup[#Headers])))</f>
        <v/>
      </c>
      <c r="T333" s="176" t="str">
        <f aca="false">IF(INDEX(Salary_Calculation[Source Row],ROW()-ROW(Payslip_Lookup[#Headers]))="","",INDEX(Salary_Calculation[Gross Salary Before Deductions],ROW()-ROW(Payslip_Lookup[#Headers])))</f>
        <v/>
      </c>
      <c r="U333" s="176" t="str">
        <f aca="false">IF(INDEX(Salary_Calculation[Source Row],ROW()-ROW(Payslip_Lookup[#Headers]))="","",INDEX(Salary_Calculation[missed_days_penalty],ROW()-ROW(Payslip_Lookup[#Headers])))</f>
        <v/>
      </c>
      <c r="V333" s="176" t="str">
        <f aca="false">IF(INDEX(Salary_Calculation[Source Row],ROW()-ROW(Payslip_Lookup[#Headers]))="","",INDEX(Salary_Calculation[Rider Balance],ROW()-ROW(Payslip_Lookup[#Headers])))</f>
        <v/>
      </c>
      <c r="W333" s="176" t="str">
        <f aca="false">IF(INDEX(Salary_Calculation[Source Row],ROW()-ROW(Payslip_Lookup[#Headers]))="","",INDEX(Salary_Calculation[stacking_deduction],ROW()-ROW(Payslip_Lookup[#Headers])))</f>
        <v/>
      </c>
      <c r="X333" s="176" t="str">
        <f aca="false">IF(INDEX(Salary_Calculation[Source Row],ROW()-ROW(Payslip_Lookup[#Headers]))="","",INDEX(Salary_Calculation[Other Deductions],ROW()-ROW(Payslip_Lookup[#Headers])))</f>
        <v/>
      </c>
      <c r="Y333" s="176" t="str">
        <f aca="false">IF(INDEX(Salary_Calculation[Source Row],ROW()-ROW(Payslip_Lookup[#Headers]))="","",INDEX(Salary_Calculation[Total Deductions],ROW()-ROW(Payslip_Lookup[#Headers])))</f>
        <v/>
      </c>
      <c r="Z333" s="176" t="str">
        <f aca="false">IF(INDEX(Salary_Calculation[Source Row],ROW()-ROW(Payslip_Lookup[#Headers]))="","",INDEX(Salary_Calculation[Final Salary],ROW()-ROW(Payslip_Lookup[#Headers])))</f>
        <v/>
      </c>
      <c r="AA333" s="176" t="str">
        <f aca="false">IF(INDEX(Salary_Calculation[Source Row],ROW()-ROW(Payslip_Lookup[#Headers]))="","",INDEX(Salary_Calculation[Negative Balance / Amount Due from Rider],ROW()-ROW(Payslip_Lookup[#Headers])))</f>
        <v/>
      </c>
      <c r="AB333" s="176" t="str">
        <f aca="false">IF(INDEX(Salary_Calculation[Source Row],ROW()-ROW(Payslip_Lookup[#Headers]))="","",INDEX(Salary_Calculation[Total Amount Due from Rider],ROW()-ROW(Payslip_Lookup[#Headers])))</f>
        <v/>
      </c>
      <c r="AC333" s="176" t="str">
        <f aca="false">IF(INDEX(Salary_Calculation[Source Row],ROW()-ROW(Payslip_Lookup[#Headers]))="","",INDEX(Salary_Calculation[Salary Before Other Deductions],ROW()-ROW(Payslip_Lookup[#Headers])))</f>
        <v/>
      </c>
      <c r="AD333" s="171" t="str">
        <f aca="false">IF(INDEX(Salary_Calculation[Source Row],ROW()-ROW(Payslip_Lookup[#Headers]))="","",INDEX(Salary_Calculation[Payment Status],ROW()-ROW(Payslip_Lookup[#Headers])))</f>
        <v/>
      </c>
      <c r="AE333" s="171" t="str">
        <f aca="false">IF(INDEX(Salary_Calculation[Source Row],ROW()-ROW(Payslip_Lookup[#Headers]))="","",INDEX(Salary_Calculation[Notes],ROW()-ROW(Payslip_Lookup[#Headers])))</f>
        <v/>
      </c>
      <c r="AF333" s="171" t="str">
        <f aca="false">IF(INDEX(Salary_Calculation[Source Row],ROW()-ROW(Payslip_Lookup[#Headers]))="","",INDEX(Salary_Calculation[Exception Reason],ROW()-ROW(Payslip_Lookup[#Headers])))</f>
        <v/>
      </c>
      <c r="AG333" s="173" t="str">
        <f aca="false">IF($AD333="Review Required",COUNTIF(AD$2:AD333,"Review Required"),"")</f>
        <v/>
      </c>
      <c r="AH333" s="173" t="str">
        <f aca="false">IF(AND($D333&lt;&gt;"",$B333=Payslip_Print!$C$2),MAX(AH$1:AH332)+1,"")</f>
        <v/>
      </c>
      <c r="AL333" s="178" t="str">
        <f aca="false">IFERROR(INDEX($D$2:$D$501,MATCH(ROW()-1,$AH$2:$AH$501,0)),"")</f>
        <v/>
      </c>
      <c r="AM333" s="179" t="str">
        <f aca="false">IF($Z333="","",IF(AND($C333&gt;=Dash_Start,$C333&lt;Dash_End),$Z333+ROW()/10000000,""))</f>
        <v/>
      </c>
    </row>
    <row r="334" customFormat="false" ht="14.25" hidden="false" customHeight="false" outlineLevel="0" collapsed="false">
      <c r="A334" s="171" t="str">
        <f aca="false">IF(Payslip_Lookup[[#This Row],[Rider ID]]="","",Payslip_Lookup[[#This Row],[Rider ID]]&amp;"|"&amp;Payslip_Lookup[[#This Row],[Month Key]])</f>
        <v/>
      </c>
      <c r="B334" s="172" t="str">
        <f aca="false">IF(ISNUMBER(Payslip_Lookup[[#This Row],[Salary Month]]),DATE(YEAR(Payslip_Lookup[[#This Row],[Salary Month]]),MONTH(Payslip_Lookup[[#This Row],[Salary Month]]),1),"")</f>
        <v/>
      </c>
      <c r="C334" s="172" t="str">
        <f aca="false">IF(INDEX(Salary_Calculation[Source Row],ROW()-ROW(Payslip_Lookup[#Headers]))="","",INDEX(Salary_Calculation[Salary Month],ROW()-ROW(Payslip_Lookup[#Headers])))</f>
        <v/>
      </c>
      <c r="D334" s="173" t="str">
        <f aca="false">IF(INDEX(Salary_Calculation[Source Row],ROW()-ROW(Payslip_Lookup[#Headers]))="","",INDEX(Salary_Calculation[Rider ID],ROW()-ROW(Payslip_Lookup[#Headers])))</f>
        <v/>
      </c>
      <c r="E334" s="171" t="str">
        <f aca="false">IF(INDEX(Salary_Calculation[Source Row],ROW()-ROW(Payslip_Lookup[#Headers]))="","",INDEX(Salary_Calculation[Rider Name],ROW()-ROW(Payslip_Lookup[#Headers])))</f>
        <v/>
      </c>
      <c r="F334" s="173" t="str">
        <f aca="false">IF(INDEX(Salary_Calculation[Source Row],ROW()-ROW(Payslip_Lookup[#Headers]))="","",INDEX(Salary_Calculation[Working Days],ROW()-ROW(Payslip_Lookup[#Headers])))</f>
        <v/>
      </c>
      <c r="G334" s="173" t="str">
        <f aca="false">IF(INDEX(Salary_Calculation[Source Row],ROW()-ROW(Payslip_Lookup[#Headers]))="","",INDEX(Salary_Calculation[Calendar Days],ROW()-ROW(Payslip_Lookup[#Headers])))</f>
        <v/>
      </c>
      <c r="H334" s="174" t="str">
        <f aca="false">IF(INDEX(Salary_Calculation[Source Row],ROW()-ROW(Payslip_Lookup[#Headers]))="","",INDEX(Salary_Calculation[Monthly Target Orders],ROW()-ROW(Payslip_Lookup[#Headers])))</f>
        <v/>
      </c>
      <c r="I334" s="174" t="str">
        <f aca="false">IF(INDEX(Salary_Calculation[Source Row],ROW()-ROW(Payslip_Lookup[#Headers]))="","",INDEX(Salary_Calculation[Rider Target Orders],ROW()-ROW(Payslip_Lookup[#Headers])))</f>
        <v/>
      </c>
      <c r="J334" s="175" t="str">
        <f aca="false">IF(INDEX(Salary_Calculation[Source Row],ROW()-ROW(Payslip_Lookup[#Headers]))="","",INDEX(Salary_Calculation[Completed Orders],ROW()-ROW(Payslip_Lookup[#Headers])))</f>
        <v/>
      </c>
      <c r="K334" s="174" t="str">
        <f aca="false">IF(INDEX(Salary_Calculation[Source Row],ROW()-ROW(Payslip_Lookup[#Headers]))="","",INDEX(Salary_Calculation[Base Order Rate],ROW()-ROW(Payslip_Lookup[#Headers])))</f>
        <v/>
      </c>
      <c r="L334" s="176" t="str">
        <f aca="false">IF(INDEX(Salary_Calculation[Source Row],ROW()-ROW(Payslip_Lookup[#Headers]))="","",INDEX(Salary_Calculation[Basic Payment],ROW()-ROW(Payslip_Lookup[#Headers])))</f>
        <v/>
      </c>
      <c r="M334" s="176" t="str">
        <f aca="false">IF(INDEX(Salary_Calculation[Source Row],ROW()-ROW(Payslip_Lookup[#Headers]))="","",INDEX(Salary_Calculation[Earned Salary],ROW()-ROW(Payslip_Lookup[#Headers])))</f>
        <v/>
      </c>
      <c r="N334" s="174" t="str">
        <f aca="false">IF(INDEX(Salary_Calculation[Source Row],ROW()-ROW(Payslip_Lookup[#Headers]))="","",INDEX(Salary_Calculation[Orders Counted at Base Rate],ROW()-ROW(Payslip_Lookup[#Headers])))</f>
        <v/>
      </c>
      <c r="O334" s="174" t="str">
        <f aca="false">IF(INDEX(Salary_Calculation[Source Row],ROW()-ROW(Payslip_Lookup[#Headers]))="","",INDEX(Salary_Calculation[Missing Orders],ROW()-ROW(Payslip_Lookup[#Headers])))</f>
        <v/>
      </c>
      <c r="P334" s="176" t="str">
        <f aca="false">IF(INDEX(Salary_Calculation[Source Row],ROW()-ROW(Payslip_Lookup[#Headers]))="","",INDEX(Salary_Calculation[Missing-Order Deduction],ROW()-ROW(Payslip_Lookup[#Headers])))</f>
        <v/>
      </c>
      <c r="Q334" s="174" t="str">
        <f aca="false">IF(INDEX(Salary_Calculation[Source Row],ROW()-ROW(Payslip_Lookup[#Headers]))="","",INDEX(Salary_Calculation[Extra Orders],ROW()-ROW(Payslip_Lookup[#Headers])))</f>
        <v/>
      </c>
      <c r="R334" s="176" t="str">
        <f aca="false">IF(INDEX(Salary_Calculation[Source Row],ROW()-ROW(Payslip_Lookup[#Headers]))="","",INDEX(Salary_Calculation[Extra-Order Bonus],ROW()-ROW(Payslip_Lookup[#Headers])))</f>
        <v/>
      </c>
      <c r="S334" s="176" t="str">
        <f aca="false">IF(INDEX(Salary_Calculation[Source Row],ROW()-ROW(Payslip_Lookup[#Headers]))="","",INDEX(Salary_Calculation[Basic Salary for Target],ROW()-ROW(Payslip_Lookup[#Headers])))</f>
        <v/>
      </c>
      <c r="T334" s="176" t="str">
        <f aca="false">IF(INDEX(Salary_Calculation[Source Row],ROW()-ROW(Payslip_Lookup[#Headers]))="","",INDEX(Salary_Calculation[Gross Salary Before Deductions],ROW()-ROW(Payslip_Lookup[#Headers])))</f>
        <v/>
      </c>
      <c r="U334" s="176" t="str">
        <f aca="false">IF(INDEX(Salary_Calculation[Source Row],ROW()-ROW(Payslip_Lookup[#Headers]))="","",INDEX(Salary_Calculation[missed_days_penalty],ROW()-ROW(Payslip_Lookup[#Headers])))</f>
        <v/>
      </c>
      <c r="V334" s="176" t="str">
        <f aca="false">IF(INDEX(Salary_Calculation[Source Row],ROW()-ROW(Payslip_Lookup[#Headers]))="","",INDEX(Salary_Calculation[Rider Balance],ROW()-ROW(Payslip_Lookup[#Headers])))</f>
        <v/>
      </c>
      <c r="W334" s="176" t="str">
        <f aca="false">IF(INDEX(Salary_Calculation[Source Row],ROW()-ROW(Payslip_Lookup[#Headers]))="","",INDEX(Salary_Calculation[stacking_deduction],ROW()-ROW(Payslip_Lookup[#Headers])))</f>
        <v/>
      </c>
      <c r="X334" s="176" t="str">
        <f aca="false">IF(INDEX(Salary_Calculation[Source Row],ROW()-ROW(Payslip_Lookup[#Headers]))="","",INDEX(Salary_Calculation[Other Deductions],ROW()-ROW(Payslip_Lookup[#Headers])))</f>
        <v/>
      </c>
      <c r="Y334" s="176" t="str">
        <f aca="false">IF(INDEX(Salary_Calculation[Source Row],ROW()-ROW(Payslip_Lookup[#Headers]))="","",INDEX(Salary_Calculation[Total Deductions],ROW()-ROW(Payslip_Lookup[#Headers])))</f>
        <v/>
      </c>
      <c r="Z334" s="176" t="str">
        <f aca="false">IF(INDEX(Salary_Calculation[Source Row],ROW()-ROW(Payslip_Lookup[#Headers]))="","",INDEX(Salary_Calculation[Final Salary],ROW()-ROW(Payslip_Lookup[#Headers])))</f>
        <v/>
      </c>
      <c r="AA334" s="176" t="str">
        <f aca="false">IF(INDEX(Salary_Calculation[Source Row],ROW()-ROW(Payslip_Lookup[#Headers]))="","",INDEX(Salary_Calculation[Negative Balance / Amount Due from Rider],ROW()-ROW(Payslip_Lookup[#Headers])))</f>
        <v/>
      </c>
      <c r="AB334" s="176" t="str">
        <f aca="false">IF(INDEX(Salary_Calculation[Source Row],ROW()-ROW(Payslip_Lookup[#Headers]))="","",INDEX(Salary_Calculation[Total Amount Due from Rider],ROW()-ROW(Payslip_Lookup[#Headers])))</f>
        <v/>
      </c>
      <c r="AC334" s="176" t="str">
        <f aca="false">IF(INDEX(Salary_Calculation[Source Row],ROW()-ROW(Payslip_Lookup[#Headers]))="","",INDEX(Salary_Calculation[Salary Before Other Deductions],ROW()-ROW(Payslip_Lookup[#Headers])))</f>
        <v/>
      </c>
      <c r="AD334" s="171" t="str">
        <f aca="false">IF(INDEX(Salary_Calculation[Source Row],ROW()-ROW(Payslip_Lookup[#Headers]))="","",INDEX(Salary_Calculation[Payment Status],ROW()-ROW(Payslip_Lookup[#Headers])))</f>
        <v/>
      </c>
      <c r="AE334" s="171" t="str">
        <f aca="false">IF(INDEX(Salary_Calculation[Source Row],ROW()-ROW(Payslip_Lookup[#Headers]))="","",INDEX(Salary_Calculation[Notes],ROW()-ROW(Payslip_Lookup[#Headers])))</f>
        <v/>
      </c>
      <c r="AF334" s="171" t="str">
        <f aca="false">IF(INDEX(Salary_Calculation[Source Row],ROW()-ROW(Payslip_Lookup[#Headers]))="","",INDEX(Salary_Calculation[Exception Reason],ROW()-ROW(Payslip_Lookup[#Headers])))</f>
        <v/>
      </c>
      <c r="AG334" s="173" t="str">
        <f aca="false">IF($AD334="Review Required",COUNTIF(AD$2:AD334,"Review Required"),"")</f>
        <v/>
      </c>
      <c r="AH334" s="173" t="str">
        <f aca="false">IF(AND($D334&lt;&gt;"",$B334=Payslip_Print!$C$2),MAX(AH$1:AH333)+1,"")</f>
        <v/>
      </c>
      <c r="AL334" s="178" t="str">
        <f aca="false">IFERROR(INDEX($D$2:$D$501,MATCH(ROW()-1,$AH$2:$AH$501,0)),"")</f>
        <v/>
      </c>
      <c r="AM334" s="179" t="str">
        <f aca="false">IF($Z334="","",IF(AND($C334&gt;=Dash_Start,$C334&lt;Dash_End),$Z334+ROW()/10000000,""))</f>
        <v/>
      </c>
    </row>
    <row r="335" customFormat="false" ht="14.25" hidden="false" customHeight="false" outlineLevel="0" collapsed="false">
      <c r="A335" s="171" t="str">
        <f aca="false">IF(Payslip_Lookup[[#This Row],[Rider ID]]="","",Payslip_Lookup[[#This Row],[Rider ID]]&amp;"|"&amp;Payslip_Lookup[[#This Row],[Month Key]])</f>
        <v/>
      </c>
      <c r="B335" s="172" t="str">
        <f aca="false">IF(ISNUMBER(Payslip_Lookup[[#This Row],[Salary Month]]),DATE(YEAR(Payslip_Lookup[[#This Row],[Salary Month]]),MONTH(Payslip_Lookup[[#This Row],[Salary Month]]),1),"")</f>
        <v/>
      </c>
      <c r="C335" s="172" t="str">
        <f aca="false">IF(INDEX(Salary_Calculation[Source Row],ROW()-ROW(Payslip_Lookup[#Headers]))="","",INDEX(Salary_Calculation[Salary Month],ROW()-ROW(Payslip_Lookup[#Headers])))</f>
        <v/>
      </c>
      <c r="D335" s="173" t="str">
        <f aca="false">IF(INDEX(Salary_Calculation[Source Row],ROW()-ROW(Payslip_Lookup[#Headers]))="","",INDEX(Salary_Calculation[Rider ID],ROW()-ROW(Payslip_Lookup[#Headers])))</f>
        <v/>
      </c>
      <c r="E335" s="171" t="str">
        <f aca="false">IF(INDEX(Salary_Calculation[Source Row],ROW()-ROW(Payslip_Lookup[#Headers]))="","",INDEX(Salary_Calculation[Rider Name],ROW()-ROW(Payslip_Lookup[#Headers])))</f>
        <v/>
      </c>
      <c r="F335" s="173" t="str">
        <f aca="false">IF(INDEX(Salary_Calculation[Source Row],ROW()-ROW(Payslip_Lookup[#Headers]))="","",INDEX(Salary_Calculation[Working Days],ROW()-ROW(Payslip_Lookup[#Headers])))</f>
        <v/>
      </c>
      <c r="G335" s="173" t="str">
        <f aca="false">IF(INDEX(Salary_Calculation[Source Row],ROW()-ROW(Payslip_Lookup[#Headers]))="","",INDEX(Salary_Calculation[Calendar Days],ROW()-ROW(Payslip_Lookup[#Headers])))</f>
        <v/>
      </c>
      <c r="H335" s="174" t="str">
        <f aca="false">IF(INDEX(Salary_Calculation[Source Row],ROW()-ROW(Payslip_Lookup[#Headers]))="","",INDEX(Salary_Calculation[Monthly Target Orders],ROW()-ROW(Payslip_Lookup[#Headers])))</f>
        <v/>
      </c>
      <c r="I335" s="174" t="str">
        <f aca="false">IF(INDEX(Salary_Calculation[Source Row],ROW()-ROW(Payslip_Lookup[#Headers]))="","",INDEX(Salary_Calculation[Rider Target Orders],ROW()-ROW(Payslip_Lookup[#Headers])))</f>
        <v/>
      </c>
      <c r="J335" s="175" t="str">
        <f aca="false">IF(INDEX(Salary_Calculation[Source Row],ROW()-ROW(Payslip_Lookup[#Headers]))="","",INDEX(Salary_Calculation[Completed Orders],ROW()-ROW(Payslip_Lookup[#Headers])))</f>
        <v/>
      </c>
      <c r="K335" s="174" t="str">
        <f aca="false">IF(INDEX(Salary_Calculation[Source Row],ROW()-ROW(Payslip_Lookup[#Headers]))="","",INDEX(Salary_Calculation[Base Order Rate],ROW()-ROW(Payslip_Lookup[#Headers])))</f>
        <v/>
      </c>
      <c r="L335" s="176" t="str">
        <f aca="false">IF(INDEX(Salary_Calculation[Source Row],ROW()-ROW(Payslip_Lookup[#Headers]))="","",INDEX(Salary_Calculation[Basic Payment],ROW()-ROW(Payslip_Lookup[#Headers])))</f>
        <v/>
      </c>
      <c r="M335" s="176" t="str">
        <f aca="false">IF(INDEX(Salary_Calculation[Source Row],ROW()-ROW(Payslip_Lookup[#Headers]))="","",INDEX(Salary_Calculation[Earned Salary],ROW()-ROW(Payslip_Lookup[#Headers])))</f>
        <v/>
      </c>
      <c r="N335" s="174" t="str">
        <f aca="false">IF(INDEX(Salary_Calculation[Source Row],ROW()-ROW(Payslip_Lookup[#Headers]))="","",INDEX(Salary_Calculation[Orders Counted at Base Rate],ROW()-ROW(Payslip_Lookup[#Headers])))</f>
        <v/>
      </c>
      <c r="O335" s="174" t="str">
        <f aca="false">IF(INDEX(Salary_Calculation[Source Row],ROW()-ROW(Payslip_Lookup[#Headers]))="","",INDEX(Salary_Calculation[Missing Orders],ROW()-ROW(Payslip_Lookup[#Headers])))</f>
        <v/>
      </c>
      <c r="P335" s="176" t="str">
        <f aca="false">IF(INDEX(Salary_Calculation[Source Row],ROW()-ROW(Payslip_Lookup[#Headers]))="","",INDEX(Salary_Calculation[Missing-Order Deduction],ROW()-ROW(Payslip_Lookup[#Headers])))</f>
        <v/>
      </c>
      <c r="Q335" s="174" t="str">
        <f aca="false">IF(INDEX(Salary_Calculation[Source Row],ROW()-ROW(Payslip_Lookup[#Headers]))="","",INDEX(Salary_Calculation[Extra Orders],ROW()-ROW(Payslip_Lookup[#Headers])))</f>
        <v/>
      </c>
      <c r="R335" s="176" t="str">
        <f aca="false">IF(INDEX(Salary_Calculation[Source Row],ROW()-ROW(Payslip_Lookup[#Headers]))="","",INDEX(Salary_Calculation[Extra-Order Bonus],ROW()-ROW(Payslip_Lookup[#Headers])))</f>
        <v/>
      </c>
      <c r="S335" s="176" t="str">
        <f aca="false">IF(INDEX(Salary_Calculation[Source Row],ROW()-ROW(Payslip_Lookup[#Headers]))="","",INDEX(Salary_Calculation[Basic Salary for Target],ROW()-ROW(Payslip_Lookup[#Headers])))</f>
        <v/>
      </c>
      <c r="T335" s="176" t="str">
        <f aca="false">IF(INDEX(Salary_Calculation[Source Row],ROW()-ROW(Payslip_Lookup[#Headers]))="","",INDEX(Salary_Calculation[Gross Salary Before Deductions],ROW()-ROW(Payslip_Lookup[#Headers])))</f>
        <v/>
      </c>
      <c r="U335" s="176" t="str">
        <f aca="false">IF(INDEX(Salary_Calculation[Source Row],ROW()-ROW(Payslip_Lookup[#Headers]))="","",INDEX(Salary_Calculation[missed_days_penalty],ROW()-ROW(Payslip_Lookup[#Headers])))</f>
        <v/>
      </c>
      <c r="V335" s="176" t="str">
        <f aca="false">IF(INDEX(Salary_Calculation[Source Row],ROW()-ROW(Payslip_Lookup[#Headers]))="","",INDEX(Salary_Calculation[Rider Balance],ROW()-ROW(Payslip_Lookup[#Headers])))</f>
        <v/>
      </c>
      <c r="W335" s="176" t="str">
        <f aca="false">IF(INDEX(Salary_Calculation[Source Row],ROW()-ROW(Payslip_Lookup[#Headers]))="","",INDEX(Salary_Calculation[stacking_deduction],ROW()-ROW(Payslip_Lookup[#Headers])))</f>
        <v/>
      </c>
      <c r="X335" s="176" t="str">
        <f aca="false">IF(INDEX(Salary_Calculation[Source Row],ROW()-ROW(Payslip_Lookup[#Headers]))="","",INDEX(Salary_Calculation[Other Deductions],ROW()-ROW(Payslip_Lookup[#Headers])))</f>
        <v/>
      </c>
      <c r="Y335" s="176" t="str">
        <f aca="false">IF(INDEX(Salary_Calculation[Source Row],ROW()-ROW(Payslip_Lookup[#Headers]))="","",INDEX(Salary_Calculation[Total Deductions],ROW()-ROW(Payslip_Lookup[#Headers])))</f>
        <v/>
      </c>
      <c r="Z335" s="176" t="str">
        <f aca="false">IF(INDEX(Salary_Calculation[Source Row],ROW()-ROW(Payslip_Lookup[#Headers]))="","",INDEX(Salary_Calculation[Final Salary],ROW()-ROW(Payslip_Lookup[#Headers])))</f>
        <v/>
      </c>
      <c r="AA335" s="176" t="str">
        <f aca="false">IF(INDEX(Salary_Calculation[Source Row],ROW()-ROW(Payslip_Lookup[#Headers]))="","",INDEX(Salary_Calculation[Negative Balance / Amount Due from Rider],ROW()-ROW(Payslip_Lookup[#Headers])))</f>
        <v/>
      </c>
      <c r="AB335" s="176" t="str">
        <f aca="false">IF(INDEX(Salary_Calculation[Source Row],ROW()-ROW(Payslip_Lookup[#Headers]))="","",INDEX(Salary_Calculation[Total Amount Due from Rider],ROW()-ROW(Payslip_Lookup[#Headers])))</f>
        <v/>
      </c>
      <c r="AC335" s="176" t="str">
        <f aca="false">IF(INDEX(Salary_Calculation[Source Row],ROW()-ROW(Payslip_Lookup[#Headers]))="","",INDEX(Salary_Calculation[Salary Before Other Deductions],ROW()-ROW(Payslip_Lookup[#Headers])))</f>
        <v/>
      </c>
      <c r="AD335" s="171" t="str">
        <f aca="false">IF(INDEX(Salary_Calculation[Source Row],ROW()-ROW(Payslip_Lookup[#Headers]))="","",INDEX(Salary_Calculation[Payment Status],ROW()-ROW(Payslip_Lookup[#Headers])))</f>
        <v/>
      </c>
      <c r="AE335" s="171" t="str">
        <f aca="false">IF(INDEX(Salary_Calculation[Source Row],ROW()-ROW(Payslip_Lookup[#Headers]))="","",INDEX(Salary_Calculation[Notes],ROW()-ROW(Payslip_Lookup[#Headers])))</f>
        <v/>
      </c>
      <c r="AF335" s="171" t="str">
        <f aca="false">IF(INDEX(Salary_Calculation[Source Row],ROW()-ROW(Payslip_Lookup[#Headers]))="","",INDEX(Salary_Calculation[Exception Reason],ROW()-ROW(Payslip_Lookup[#Headers])))</f>
        <v/>
      </c>
      <c r="AG335" s="173" t="str">
        <f aca="false">IF($AD335="Review Required",COUNTIF(AD$2:AD335,"Review Required"),"")</f>
        <v/>
      </c>
      <c r="AH335" s="173" t="str">
        <f aca="false">IF(AND($D335&lt;&gt;"",$B335=Payslip_Print!$C$2),MAX(AH$1:AH334)+1,"")</f>
        <v/>
      </c>
      <c r="AL335" s="178" t="str">
        <f aca="false">IFERROR(INDEX($D$2:$D$501,MATCH(ROW()-1,$AH$2:$AH$501,0)),"")</f>
        <v/>
      </c>
      <c r="AM335" s="179" t="str">
        <f aca="false">IF($Z335="","",IF(AND($C335&gt;=Dash_Start,$C335&lt;Dash_End),$Z335+ROW()/10000000,""))</f>
        <v/>
      </c>
    </row>
    <row r="336" customFormat="false" ht="14.25" hidden="false" customHeight="false" outlineLevel="0" collapsed="false">
      <c r="A336" s="171" t="str">
        <f aca="false">IF(Payslip_Lookup[[#This Row],[Rider ID]]="","",Payslip_Lookup[[#This Row],[Rider ID]]&amp;"|"&amp;Payslip_Lookup[[#This Row],[Month Key]])</f>
        <v/>
      </c>
      <c r="B336" s="172" t="str">
        <f aca="false">IF(ISNUMBER(Payslip_Lookup[[#This Row],[Salary Month]]),DATE(YEAR(Payslip_Lookup[[#This Row],[Salary Month]]),MONTH(Payslip_Lookup[[#This Row],[Salary Month]]),1),"")</f>
        <v/>
      </c>
      <c r="C336" s="172" t="str">
        <f aca="false">IF(INDEX(Salary_Calculation[Source Row],ROW()-ROW(Payslip_Lookup[#Headers]))="","",INDEX(Salary_Calculation[Salary Month],ROW()-ROW(Payslip_Lookup[#Headers])))</f>
        <v/>
      </c>
      <c r="D336" s="173" t="str">
        <f aca="false">IF(INDEX(Salary_Calculation[Source Row],ROW()-ROW(Payslip_Lookup[#Headers]))="","",INDEX(Salary_Calculation[Rider ID],ROW()-ROW(Payslip_Lookup[#Headers])))</f>
        <v/>
      </c>
      <c r="E336" s="171" t="str">
        <f aca="false">IF(INDEX(Salary_Calculation[Source Row],ROW()-ROW(Payslip_Lookup[#Headers]))="","",INDEX(Salary_Calculation[Rider Name],ROW()-ROW(Payslip_Lookup[#Headers])))</f>
        <v/>
      </c>
      <c r="F336" s="173" t="str">
        <f aca="false">IF(INDEX(Salary_Calculation[Source Row],ROW()-ROW(Payslip_Lookup[#Headers]))="","",INDEX(Salary_Calculation[Working Days],ROW()-ROW(Payslip_Lookup[#Headers])))</f>
        <v/>
      </c>
      <c r="G336" s="173" t="str">
        <f aca="false">IF(INDEX(Salary_Calculation[Source Row],ROW()-ROW(Payslip_Lookup[#Headers]))="","",INDEX(Salary_Calculation[Calendar Days],ROW()-ROW(Payslip_Lookup[#Headers])))</f>
        <v/>
      </c>
      <c r="H336" s="174" t="str">
        <f aca="false">IF(INDEX(Salary_Calculation[Source Row],ROW()-ROW(Payslip_Lookup[#Headers]))="","",INDEX(Salary_Calculation[Monthly Target Orders],ROW()-ROW(Payslip_Lookup[#Headers])))</f>
        <v/>
      </c>
      <c r="I336" s="174" t="str">
        <f aca="false">IF(INDEX(Salary_Calculation[Source Row],ROW()-ROW(Payslip_Lookup[#Headers]))="","",INDEX(Salary_Calculation[Rider Target Orders],ROW()-ROW(Payslip_Lookup[#Headers])))</f>
        <v/>
      </c>
      <c r="J336" s="175" t="str">
        <f aca="false">IF(INDEX(Salary_Calculation[Source Row],ROW()-ROW(Payslip_Lookup[#Headers]))="","",INDEX(Salary_Calculation[Completed Orders],ROW()-ROW(Payslip_Lookup[#Headers])))</f>
        <v/>
      </c>
      <c r="K336" s="174" t="str">
        <f aca="false">IF(INDEX(Salary_Calculation[Source Row],ROW()-ROW(Payslip_Lookup[#Headers]))="","",INDEX(Salary_Calculation[Base Order Rate],ROW()-ROW(Payslip_Lookup[#Headers])))</f>
        <v/>
      </c>
      <c r="L336" s="176" t="str">
        <f aca="false">IF(INDEX(Salary_Calculation[Source Row],ROW()-ROW(Payslip_Lookup[#Headers]))="","",INDEX(Salary_Calculation[Basic Payment],ROW()-ROW(Payslip_Lookup[#Headers])))</f>
        <v/>
      </c>
      <c r="M336" s="176" t="str">
        <f aca="false">IF(INDEX(Salary_Calculation[Source Row],ROW()-ROW(Payslip_Lookup[#Headers]))="","",INDEX(Salary_Calculation[Earned Salary],ROW()-ROW(Payslip_Lookup[#Headers])))</f>
        <v/>
      </c>
      <c r="N336" s="174" t="str">
        <f aca="false">IF(INDEX(Salary_Calculation[Source Row],ROW()-ROW(Payslip_Lookup[#Headers]))="","",INDEX(Salary_Calculation[Orders Counted at Base Rate],ROW()-ROW(Payslip_Lookup[#Headers])))</f>
        <v/>
      </c>
      <c r="O336" s="174" t="str">
        <f aca="false">IF(INDEX(Salary_Calculation[Source Row],ROW()-ROW(Payslip_Lookup[#Headers]))="","",INDEX(Salary_Calculation[Missing Orders],ROW()-ROW(Payslip_Lookup[#Headers])))</f>
        <v/>
      </c>
      <c r="P336" s="176" t="str">
        <f aca="false">IF(INDEX(Salary_Calculation[Source Row],ROW()-ROW(Payslip_Lookup[#Headers]))="","",INDEX(Salary_Calculation[Missing-Order Deduction],ROW()-ROW(Payslip_Lookup[#Headers])))</f>
        <v/>
      </c>
      <c r="Q336" s="174" t="str">
        <f aca="false">IF(INDEX(Salary_Calculation[Source Row],ROW()-ROW(Payslip_Lookup[#Headers]))="","",INDEX(Salary_Calculation[Extra Orders],ROW()-ROW(Payslip_Lookup[#Headers])))</f>
        <v/>
      </c>
      <c r="R336" s="176" t="str">
        <f aca="false">IF(INDEX(Salary_Calculation[Source Row],ROW()-ROW(Payslip_Lookup[#Headers]))="","",INDEX(Salary_Calculation[Extra-Order Bonus],ROW()-ROW(Payslip_Lookup[#Headers])))</f>
        <v/>
      </c>
      <c r="S336" s="176" t="str">
        <f aca="false">IF(INDEX(Salary_Calculation[Source Row],ROW()-ROW(Payslip_Lookup[#Headers]))="","",INDEX(Salary_Calculation[Basic Salary for Target],ROW()-ROW(Payslip_Lookup[#Headers])))</f>
        <v/>
      </c>
      <c r="T336" s="176" t="str">
        <f aca="false">IF(INDEX(Salary_Calculation[Source Row],ROW()-ROW(Payslip_Lookup[#Headers]))="","",INDEX(Salary_Calculation[Gross Salary Before Deductions],ROW()-ROW(Payslip_Lookup[#Headers])))</f>
        <v/>
      </c>
      <c r="U336" s="176" t="str">
        <f aca="false">IF(INDEX(Salary_Calculation[Source Row],ROW()-ROW(Payslip_Lookup[#Headers]))="","",INDEX(Salary_Calculation[missed_days_penalty],ROW()-ROW(Payslip_Lookup[#Headers])))</f>
        <v/>
      </c>
      <c r="V336" s="176" t="str">
        <f aca="false">IF(INDEX(Salary_Calculation[Source Row],ROW()-ROW(Payslip_Lookup[#Headers]))="","",INDEX(Salary_Calculation[Rider Balance],ROW()-ROW(Payslip_Lookup[#Headers])))</f>
        <v/>
      </c>
      <c r="W336" s="176" t="str">
        <f aca="false">IF(INDEX(Salary_Calculation[Source Row],ROW()-ROW(Payslip_Lookup[#Headers]))="","",INDEX(Salary_Calculation[stacking_deduction],ROW()-ROW(Payslip_Lookup[#Headers])))</f>
        <v/>
      </c>
      <c r="X336" s="176" t="str">
        <f aca="false">IF(INDEX(Salary_Calculation[Source Row],ROW()-ROW(Payslip_Lookup[#Headers]))="","",INDEX(Salary_Calculation[Other Deductions],ROW()-ROW(Payslip_Lookup[#Headers])))</f>
        <v/>
      </c>
      <c r="Y336" s="176" t="str">
        <f aca="false">IF(INDEX(Salary_Calculation[Source Row],ROW()-ROW(Payslip_Lookup[#Headers]))="","",INDEX(Salary_Calculation[Total Deductions],ROW()-ROW(Payslip_Lookup[#Headers])))</f>
        <v/>
      </c>
      <c r="Z336" s="176" t="str">
        <f aca="false">IF(INDEX(Salary_Calculation[Source Row],ROW()-ROW(Payslip_Lookup[#Headers]))="","",INDEX(Salary_Calculation[Final Salary],ROW()-ROW(Payslip_Lookup[#Headers])))</f>
        <v/>
      </c>
      <c r="AA336" s="176" t="str">
        <f aca="false">IF(INDEX(Salary_Calculation[Source Row],ROW()-ROW(Payslip_Lookup[#Headers]))="","",INDEX(Salary_Calculation[Negative Balance / Amount Due from Rider],ROW()-ROW(Payslip_Lookup[#Headers])))</f>
        <v/>
      </c>
      <c r="AB336" s="176" t="str">
        <f aca="false">IF(INDEX(Salary_Calculation[Source Row],ROW()-ROW(Payslip_Lookup[#Headers]))="","",INDEX(Salary_Calculation[Total Amount Due from Rider],ROW()-ROW(Payslip_Lookup[#Headers])))</f>
        <v/>
      </c>
      <c r="AC336" s="176" t="str">
        <f aca="false">IF(INDEX(Salary_Calculation[Source Row],ROW()-ROW(Payslip_Lookup[#Headers]))="","",INDEX(Salary_Calculation[Salary Before Other Deductions],ROW()-ROW(Payslip_Lookup[#Headers])))</f>
        <v/>
      </c>
      <c r="AD336" s="171" t="str">
        <f aca="false">IF(INDEX(Salary_Calculation[Source Row],ROW()-ROW(Payslip_Lookup[#Headers]))="","",INDEX(Salary_Calculation[Payment Status],ROW()-ROW(Payslip_Lookup[#Headers])))</f>
        <v/>
      </c>
      <c r="AE336" s="171" t="str">
        <f aca="false">IF(INDEX(Salary_Calculation[Source Row],ROW()-ROW(Payslip_Lookup[#Headers]))="","",INDEX(Salary_Calculation[Notes],ROW()-ROW(Payslip_Lookup[#Headers])))</f>
        <v/>
      </c>
      <c r="AF336" s="171" t="str">
        <f aca="false">IF(INDEX(Salary_Calculation[Source Row],ROW()-ROW(Payslip_Lookup[#Headers]))="","",INDEX(Salary_Calculation[Exception Reason],ROW()-ROW(Payslip_Lookup[#Headers])))</f>
        <v/>
      </c>
      <c r="AG336" s="173" t="str">
        <f aca="false">IF($AD336="Review Required",COUNTIF(AD$2:AD336,"Review Required"),"")</f>
        <v/>
      </c>
      <c r="AH336" s="173" t="str">
        <f aca="false">IF(AND($D336&lt;&gt;"",$B336=Payslip_Print!$C$2),MAX(AH$1:AH335)+1,"")</f>
        <v/>
      </c>
      <c r="AL336" s="178" t="str">
        <f aca="false">IFERROR(INDEX($D$2:$D$501,MATCH(ROW()-1,$AH$2:$AH$501,0)),"")</f>
        <v/>
      </c>
      <c r="AM336" s="179" t="str">
        <f aca="false">IF($Z336="","",IF(AND($C336&gt;=Dash_Start,$C336&lt;Dash_End),$Z336+ROW()/10000000,""))</f>
        <v/>
      </c>
    </row>
    <row r="337" customFormat="false" ht="14.25" hidden="false" customHeight="false" outlineLevel="0" collapsed="false">
      <c r="A337" s="171" t="str">
        <f aca="false">IF(Payslip_Lookup[[#This Row],[Rider ID]]="","",Payslip_Lookup[[#This Row],[Rider ID]]&amp;"|"&amp;Payslip_Lookup[[#This Row],[Month Key]])</f>
        <v/>
      </c>
      <c r="B337" s="172" t="str">
        <f aca="false">IF(ISNUMBER(Payslip_Lookup[[#This Row],[Salary Month]]),DATE(YEAR(Payslip_Lookup[[#This Row],[Salary Month]]),MONTH(Payslip_Lookup[[#This Row],[Salary Month]]),1),"")</f>
        <v/>
      </c>
      <c r="C337" s="172" t="str">
        <f aca="false">IF(INDEX(Salary_Calculation[Source Row],ROW()-ROW(Payslip_Lookup[#Headers]))="","",INDEX(Salary_Calculation[Salary Month],ROW()-ROW(Payslip_Lookup[#Headers])))</f>
        <v/>
      </c>
      <c r="D337" s="173" t="str">
        <f aca="false">IF(INDEX(Salary_Calculation[Source Row],ROW()-ROW(Payslip_Lookup[#Headers]))="","",INDEX(Salary_Calculation[Rider ID],ROW()-ROW(Payslip_Lookup[#Headers])))</f>
        <v/>
      </c>
      <c r="E337" s="171" t="str">
        <f aca="false">IF(INDEX(Salary_Calculation[Source Row],ROW()-ROW(Payslip_Lookup[#Headers]))="","",INDEX(Salary_Calculation[Rider Name],ROW()-ROW(Payslip_Lookup[#Headers])))</f>
        <v/>
      </c>
      <c r="F337" s="173" t="str">
        <f aca="false">IF(INDEX(Salary_Calculation[Source Row],ROW()-ROW(Payslip_Lookup[#Headers]))="","",INDEX(Salary_Calculation[Working Days],ROW()-ROW(Payslip_Lookup[#Headers])))</f>
        <v/>
      </c>
      <c r="G337" s="173" t="str">
        <f aca="false">IF(INDEX(Salary_Calculation[Source Row],ROW()-ROW(Payslip_Lookup[#Headers]))="","",INDEX(Salary_Calculation[Calendar Days],ROW()-ROW(Payslip_Lookup[#Headers])))</f>
        <v/>
      </c>
      <c r="H337" s="174" t="str">
        <f aca="false">IF(INDEX(Salary_Calculation[Source Row],ROW()-ROW(Payslip_Lookup[#Headers]))="","",INDEX(Salary_Calculation[Monthly Target Orders],ROW()-ROW(Payslip_Lookup[#Headers])))</f>
        <v/>
      </c>
      <c r="I337" s="174" t="str">
        <f aca="false">IF(INDEX(Salary_Calculation[Source Row],ROW()-ROW(Payslip_Lookup[#Headers]))="","",INDEX(Salary_Calculation[Rider Target Orders],ROW()-ROW(Payslip_Lookup[#Headers])))</f>
        <v/>
      </c>
      <c r="J337" s="175" t="str">
        <f aca="false">IF(INDEX(Salary_Calculation[Source Row],ROW()-ROW(Payslip_Lookup[#Headers]))="","",INDEX(Salary_Calculation[Completed Orders],ROW()-ROW(Payslip_Lookup[#Headers])))</f>
        <v/>
      </c>
      <c r="K337" s="174" t="str">
        <f aca="false">IF(INDEX(Salary_Calculation[Source Row],ROW()-ROW(Payslip_Lookup[#Headers]))="","",INDEX(Salary_Calculation[Base Order Rate],ROW()-ROW(Payslip_Lookup[#Headers])))</f>
        <v/>
      </c>
      <c r="L337" s="176" t="str">
        <f aca="false">IF(INDEX(Salary_Calculation[Source Row],ROW()-ROW(Payslip_Lookup[#Headers]))="","",INDEX(Salary_Calculation[Basic Payment],ROW()-ROW(Payslip_Lookup[#Headers])))</f>
        <v/>
      </c>
      <c r="M337" s="176" t="str">
        <f aca="false">IF(INDEX(Salary_Calculation[Source Row],ROW()-ROW(Payslip_Lookup[#Headers]))="","",INDEX(Salary_Calculation[Earned Salary],ROW()-ROW(Payslip_Lookup[#Headers])))</f>
        <v/>
      </c>
      <c r="N337" s="174" t="str">
        <f aca="false">IF(INDEX(Salary_Calculation[Source Row],ROW()-ROW(Payslip_Lookup[#Headers]))="","",INDEX(Salary_Calculation[Orders Counted at Base Rate],ROW()-ROW(Payslip_Lookup[#Headers])))</f>
        <v/>
      </c>
      <c r="O337" s="174" t="str">
        <f aca="false">IF(INDEX(Salary_Calculation[Source Row],ROW()-ROW(Payslip_Lookup[#Headers]))="","",INDEX(Salary_Calculation[Missing Orders],ROW()-ROW(Payslip_Lookup[#Headers])))</f>
        <v/>
      </c>
      <c r="P337" s="176" t="str">
        <f aca="false">IF(INDEX(Salary_Calculation[Source Row],ROW()-ROW(Payslip_Lookup[#Headers]))="","",INDEX(Salary_Calculation[Missing-Order Deduction],ROW()-ROW(Payslip_Lookup[#Headers])))</f>
        <v/>
      </c>
      <c r="Q337" s="174" t="str">
        <f aca="false">IF(INDEX(Salary_Calculation[Source Row],ROW()-ROW(Payslip_Lookup[#Headers]))="","",INDEX(Salary_Calculation[Extra Orders],ROW()-ROW(Payslip_Lookup[#Headers])))</f>
        <v/>
      </c>
      <c r="R337" s="176" t="str">
        <f aca="false">IF(INDEX(Salary_Calculation[Source Row],ROW()-ROW(Payslip_Lookup[#Headers]))="","",INDEX(Salary_Calculation[Extra-Order Bonus],ROW()-ROW(Payslip_Lookup[#Headers])))</f>
        <v/>
      </c>
      <c r="S337" s="176" t="str">
        <f aca="false">IF(INDEX(Salary_Calculation[Source Row],ROW()-ROW(Payslip_Lookup[#Headers]))="","",INDEX(Salary_Calculation[Basic Salary for Target],ROW()-ROW(Payslip_Lookup[#Headers])))</f>
        <v/>
      </c>
      <c r="T337" s="176" t="str">
        <f aca="false">IF(INDEX(Salary_Calculation[Source Row],ROW()-ROW(Payslip_Lookup[#Headers]))="","",INDEX(Salary_Calculation[Gross Salary Before Deductions],ROW()-ROW(Payslip_Lookup[#Headers])))</f>
        <v/>
      </c>
      <c r="U337" s="176" t="str">
        <f aca="false">IF(INDEX(Salary_Calculation[Source Row],ROW()-ROW(Payslip_Lookup[#Headers]))="","",INDEX(Salary_Calculation[missed_days_penalty],ROW()-ROW(Payslip_Lookup[#Headers])))</f>
        <v/>
      </c>
      <c r="V337" s="176" t="str">
        <f aca="false">IF(INDEX(Salary_Calculation[Source Row],ROW()-ROW(Payslip_Lookup[#Headers]))="","",INDEX(Salary_Calculation[Rider Balance],ROW()-ROW(Payslip_Lookup[#Headers])))</f>
        <v/>
      </c>
      <c r="W337" s="176" t="str">
        <f aca="false">IF(INDEX(Salary_Calculation[Source Row],ROW()-ROW(Payslip_Lookup[#Headers]))="","",INDEX(Salary_Calculation[stacking_deduction],ROW()-ROW(Payslip_Lookup[#Headers])))</f>
        <v/>
      </c>
      <c r="X337" s="176" t="str">
        <f aca="false">IF(INDEX(Salary_Calculation[Source Row],ROW()-ROW(Payslip_Lookup[#Headers]))="","",INDEX(Salary_Calculation[Other Deductions],ROW()-ROW(Payslip_Lookup[#Headers])))</f>
        <v/>
      </c>
      <c r="Y337" s="176" t="str">
        <f aca="false">IF(INDEX(Salary_Calculation[Source Row],ROW()-ROW(Payslip_Lookup[#Headers]))="","",INDEX(Salary_Calculation[Total Deductions],ROW()-ROW(Payslip_Lookup[#Headers])))</f>
        <v/>
      </c>
      <c r="Z337" s="176" t="str">
        <f aca="false">IF(INDEX(Salary_Calculation[Source Row],ROW()-ROW(Payslip_Lookup[#Headers]))="","",INDEX(Salary_Calculation[Final Salary],ROW()-ROW(Payslip_Lookup[#Headers])))</f>
        <v/>
      </c>
      <c r="AA337" s="176" t="str">
        <f aca="false">IF(INDEX(Salary_Calculation[Source Row],ROW()-ROW(Payslip_Lookup[#Headers]))="","",INDEX(Salary_Calculation[Negative Balance / Amount Due from Rider],ROW()-ROW(Payslip_Lookup[#Headers])))</f>
        <v/>
      </c>
      <c r="AB337" s="176" t="str">
        <f aca="false">IF(INDEX(Salary_Calculation[Source Row],ROW()-ROW(Payslip_Lookup[#Headers]))="","",INDEX(Salary_Calculation[Total Amount Due from Rider],ROW()-ROW(Payslip_Lookup[#Headers])))</f>
        <v/>
      </c>
      <c r="AC337" s="176" t="str">
        <f aca="false">IF(INDEX(Salary_Calculation[Source Row],ROW()-ROW(Payslip_Lookup[#Headers]))="","",INDEX(Salary_Calculation[Salary Before Other Deductions],ROW()-ROW(Payslip_Lookup[#Headers])))</f>
        <v/>
      </c>
      <c r="AD337" s="171" t="str">
        <f aca="false">IF(INDEX(Salary_Calculation[Source Row],ROW()-ROW(Payslip_Lookup[#Headers]))="","",INDEX(Salary_Calculation[Payment Status],ROW()-ROW(Payslip_Lookup[#Headers])))</f>
        <v/>
      </c>
      <c r="AE337" s="171" t="str">
        <f aca="false">IF(INDEX(Salary_Calculation[Source Row],ROW()-ROW(Payslip_Lookup[#Headers]))="","",INDEX(Salary_Calculation[Notes],ROW()-ROW(Payslip_Lookup[#Headers])))</f>
        <v/>
      </c>
      <c r="AF337" s="171" t="str">
        <f aca="false">IF(INDEX(Salary_Calculation[Source Row],ROW()-ROW(Payslip_Lookup[#Headers]))="","",INDEX(Salary_Calculation[Exception Reason],ROW()-ROW(Payslip_Lookup[#Headers])))</f>
        <v/>
      </c>
      <c r="AG337" s="173" t="str">
        <f aca="false">IF($AD337="Review Required",COUNTIF(AD$2:AD337,"Review Required"),"")</f>
        <v/>
      </c>
      <c r="AH337" s="173" t="str">
        <f aca="false">IF(AND($D337&lt;&gt;"",$B337=Payslip_Print!$C$2),MAX(AH$1:AH336)+1,"")</f>
        <v/>
      </c>
      <c r="AL337" s="178" t="str">
        <f aca="false">IFERROR(INDEX($D$2:$D$501,MATCH(ROW()-1,$AH$2:$AH$501,0)),"")</f>
        <v/>
      </c>
      <c r="AM337" s="179" t="str">
        <f aca="false">IF($Z337="","",IF(AND($C337&gt;=Dash_Start,$C337&lt;Dash_End),$Z337+ROW()/10000000,""))</f>
        <v/>
      </c>
    </row>
    <row r="338" customFormat="false" ht="14.25" hidden="false" customHeight="false" outlineLevel="0" collapsed="false">
      <c r="A338" s="171" t="str">
        <f aca="false">IF(Payslip_Lookup[[#This Row],[Rider ID]]="","",Payslip_Lookup[[#This Row],[Rider ID]]&amp;"|"&amp;Payslip_Lookup[[#This Row],[Month Key]])</f>
        <v/>
      </c>
      <c r="B338" s="172" t="str">
        <f aca="false">IF(ISNUMBER(Payslip_Lookup[[#This Row],[Salary Month]]),DATE(YEAR(Payslip_Lookup[[#This Row],[Salary Month]]),MONTH(Payslip_Lookup[[#This Row],[Salary Month]]),1),"")</f>
        <v/>
      </c>
      <c r="C338" s="172" t="str">
        <f aca="false">IF(INDEX(Salary_Calculation[Source Row],ROW()-ROW(Payslip_Lookup[#Headers]))="","",INDEX(Salary_Calculation[Salary Month],ROW()-ROW(Payslip_Lookup[#Headers])))</f>
        <v/>
      </c>
      <c r="D338" s="173" t="str">
        <f aca="false">IF(INDEX(Salary_Calculation[Source Row],ROW()-ROW(Payslip_Lookup[#Headers]))="","",INDEX(Salary_Calculation[Rider ID],ROW()-ROW(Payslip_Lookup[#Headers])))</f>
        <v/>
      </c>
      <c r="E338" s="171" t="str">
        <f aca="false">IF(INDEX(Salary_Calculation[Source Row],ROW()-ROW(Payslip_Lookup[#Headers]))="","",INDEX(Salary_Calculation[Rider Name],ROW()-ROW(Payslip_Lookup[#Headers])))</f>
        <v/>
      </c>
      <c r="F338" s="173" t="str">
        <f aca="false">IF(INDEX(Salary_Calculation[Source Row],ROW()-ROW(Payslip_Lookup[#Headers]))="","",INDEX(Salary_Calculation[Working Days],ROW()-ROW(Payslip_Lookup[#Headers])))</f>
        <v/>
      </c>
      <c r="G338" s="173" t="str">
        <f aca="false">IF(INDEX(Salary_Calculation[Source Row],ROW()-ROW(Payslip_Lookup[#Headers]))="","",INDEX(Salary_Calculation[Calendar Days],ROW()-ROW(Payslip_Lookup[#Headers])))</f>
        <v/>
      </c>
      <c r="H338" s="174" t="str">
        <f aca="false">IF(INDEX(Salary_Calculation[Source Row],ROW()-ROW(Payslip_Lookup[#Headers]))="","",INDEX(Salary_Calculation[Monthly Target Orders],ROW()-ROW(Payslip_Lookup[#Headers])))</f>
        <v/>
      </c>
      <c r="I338" s="174" t="str">
        <f aca="false">IF(INDEX(Salary_Calculation[Source Row],ROW()-ROW(Payslip_Lookup[#Headers]))="","",INDEX(Salary_Calculation[Rider Target Orders],ROW()-ROW(Payslip_Lookup[#Headers])))</f>
        <v/>
      </c>
      <c r="J338" s="175" t="str">
        <f aca="false">IF(INDEX(Salary_Calculation[Source Row],ROW()-ROW(Payslip_Lookup[#Headers]))="","",INDEX(Salary_Calculation[Completed Orders],ROW()-ROW(Payslip_Lookup[#Headers])))</f>
        <v/>
      </c>
      <c r="K338" s="174" t="str">
        <f aca="false">IF(INDEX(Salary_Calculation[Source Row],ROW()-ROW(Payslip_Lookup[#Headers]))="","",INDEX(Salary_Calculation[Base Order Rate],ROW()-ROW(Payslip_Lookup[#Headers])))</f>
        <v/>
      </c>
      <c r="L338" s="176" t="str">
        <f aca="false">IF(INDEX(Salary_Calculation[Source Row],ROW()-ROW(Payslip_Lookup[#Headers]))="","",INDEX(Salary_Calculation[Basic Payment],ROW()-ROW(Payslip_Lookup[#Headers])))</f>
        <v/>
      </c>
      <c r="M338" s="176" t="str">
        <f aca="false">IF(INDEX(Salary_Calculation[Source Row],ROW()-ROW(Payslip_Lookup[#Headers]))="","",INDEX(Salary_Calculation[Earned Salary],ROW()-ROW(Payslip_Lookup[#Headers])))</f>
        <v/>
      </c>
      <c r="N338" s="174" t="str">
        <f aca="false">IF(INDEX(Salary_Calculation[Source Row],ROW()-ROW(Payslip_Lookup[#Headers]))="","",INDEX(Salary_Calculation[Orders Counted at Base Rate],ROW()-ROW(Payslip_Lookup[#Headers])))</f>
        <v/>
      </c>
      <c r="O338" s="174" t="str">
        <f aca="false">IF(INDEX(Salary_Calculation[Source Row],ROW()-ROW(Payslip_Lookup[#Headers]))="","",INDEX(Salary_Calculation[Missing Orders],ROW()-ROW(Payslip_Lookup[#Headers])))</f>
        <v/>
      </c>
      <c r="P338" s="176" t="str">
        <f aca="false">IF(INDEX(Salary_Calculation[Source Row],ROW()-ROW(Payslip_Lookup[#Headers]))="","",INDEX(Salary_Calculation[Missing-Order Deduction],ROW()-ROW(Payslip_Lookup[#Headers])))</f>
        <v/>
      </c>
      <c r="Q338" s="174" t="str">
        <f aca="false">IF(INDEX(Salary_Calculation[Source Row],ROW()-ROW(Payslip_Lookup[#Headers]))="","",INDEX(Salary_Calculation[Extra Orders],ROW()-ROW(Payslip_Lookup[#Headers])))</f>
        <v/>
      </c>
      <c r="R338" s="176" t="str">
        <f aca="false">IF(INDEX(Salary_Calculation[Source Row],ROW()-ROW(Payslip_Lookup[#Headers]))="","",INDEX(Salary_Calculation[Extra-Order Bonus],ROW()-ROW(Payslip_Lookup[#Headers])))</f>
        <v/>
      </c>
      <c r="S338" s="176" t="str">
        <f aca="false">IF(INDEX(Salary_Calculation[Source Row],ROW()-ROW(Payslip_Lookup[#Headers]))="","",INDEX(Salary_Calculation[Basic Salary for Target],ROW()-ROW(Payslip_Lookup[#Headers])))</f>
        <v/>
      </c>
      <c r="T338" s="176" t="str">
        <f aca="false">IF(INDEX(Salary_Calculation[Source Row],ROW()-ROW(Payslip_Lookup[#Headers]))="","",INDEX(Salary_Calculation[Gross Salary Before Deductions],ROW()-ROW(Payslip_Lookup[#Headers])))</f>
        <v/>
      </c>
      <c r="U338" s="176" t="str">
        <f aca="false">IF(INDEX(Salary_Calculation[Source Row],ROW()-ROW(Payslip_Lookup[#Headers]))="","",INDEX(Salary_Calculation[missed_days_penalty],ROW()-ROW(Payslip_Lookup[#Headers])))</f>
        <v/>
      </c>
      <c r="V338" s="176" t="str">
        <f aca="false">IF(INDEX(Salary_Calculation[Source Row],ROW()-ROW(Payslip_Lookup[#Headers]))="","",INDEX(Salary_Calculation[Rider Balance],ROW()-ROW(Payslip_Lookup[#Headers])))</f>
        <v/>
      </c>
      <c r="W338" s="176" t="str">
        <f aca="false">IF(INDEX(Salary_Calculation[Source Row],ROW()-ROW(Payslip_Lookup[#Headers]))="","",INDEX(Salary_Calculation[stacking_deduction],ROW()-ROW(Payslip_Lookup[#Headers])))</f>
        <v/>
      </c>
      <c r="X338" s="176" t="str">
        <f aca="false">IF(INDEX(Salary_Calculation[Source Row],ROW()-ROW(Payslip_Lookup[#Headers]))="","",INDEX(Salary_Calculation[Other Deductions],ROW()-ROW(Payslip_Lookup[#Headers])))</f>
        <v/>
      </c>
      <c r="Y338" s="176" t="str">
        <f aca="false">IF(INDEX(Salary_Calculation[Source Row],ROW()-ROW(Payslip_Lookup[#Headers]))="","",INDEX(Salary_Calculation[Total Deductions],ROW()-ROW(Payslip_Lookup[#Headers])))</f>
        <v/>
      </c>
      <c r="Z338" s="176" t="str">
        <f aca="false">IF(INDEX(Salary_Calculation[Source Row],ROW()-ROW(Payslip_Lookup[#Headers]))="","",INDEX(Salary_Calculation[Final Salary],ROW()-ROW(Payslip_Lookup[#Headers])))</f>
        <v/>
      </c>
      <c r="AA338" s="176" t="str">
        <f aca="false">IF(INDEX(Salary_Calculation[Source Row],ROW()-ROW(Payslip_Lookup[#Headers]))="","",INDEX(Salary_Calculation[Negative Balance / Amount Due from Rider],ROW()-ROW(Payslip_Lookup[#Headers])))</f>
        <v/>
      </c>
      <c r="AB338" s="176" t="str">
        <f aca="false">IF(INDEX(Salary_Calculation[Source Row],ROW()-ROW(Payslip_Lookup[#Headers]))="","",INDEX(Salary_Calculation[Total Amount Due from Rider],ROW()-ROW(Payslip_Lookup[#Headers])))</f>
        <v/>
      </c>
      <c r="AC338" s="176" t="str">
        <f aca="false">IF(INDEX(Salary_Calculation[Source Row],ROW()-ROW(Payslip_Lookup[#Headers]))="","",INDEX(Salary_Calculation[Salary Before Other Deductions],ROW()-ROW(Payslip_Lookup[#Headers])))</f>
        <v/>
      </c>
      <c r="AD338" s="171" t="str">
        <f aca="false">IF(INDEX(Salary_Calculation[Source Row],ROW()-ROW(Payslip_Lookup[#Headers]))="","",INDEX(Salary_Calculation[Payment Status],ROW()-ROW(Payslip_Lookup[#Headers])))</f>
        <v/>
      </c>
      <c r="AE338" s="171" t="str">
        <f aca="false">IF(INDEX(Salary_Calculation[Source Row],ROW()-ROW(Payslip_Lookup[#Headers]))="","",INDEX(Salary_Calculation[Notes],ROW()-ROW(Payslip_Lookup[#Headers])))</f>
        <v/>
      </c>
      <c r="AF338" s="171" t="str">
        <f aca="false">IF(INDEX(Salary_Calculation[Source Row],ROW()-ROW(Payslip_Lookup[#Headers]))="","",INDEX(Salary_Calculation[Exception Reason],ROW()-ROW(Payslip_Lookup[#Headers])))</f>
        <v/>
      </c>
      <c r="AG338" s="173" t="str">
        <f aca="false">IF($AD338="Review Required",COUNTIF(AD$2:AD338,"Review Required"),"")</f>
        <v/>
      </c>
      <c r="AH338" s="173" t="str">
        <f aca="false">IF(AND($D338&lt;&gt;"",$B338=Payslip_Print!$C$2),MAX(AH$1:AH337)+1,"")</f>
        <v/>
      </c>
      <c r="AL338" s="178" t="str">
        <f aca="false">IFERROR(INDEX($D$2:$D$501,MATCH(ROW()-1,$AH$2:$AH$501,0)),"")</f>
        <v/>
      </c>
      <c r="AM338" s="179" t="str">
        <f aca="false">IF($Z338="","",IF(AND($C338&gt;=Dash_Start,$C338&lt;Dash_End),$Z338+ROW()/10000000,""))</f>
        <v/>
      </c>
    </row>
    <row r="339" customFormat="false" ht="14.25" hidden="false" customHeight="false" outlineLevel="0" collapsed="false">
      <c r="A339" s="171" t="str">
        <f aca="false">IF(Payslip_Lookup[[#This Row],[Rider ID]]="","",Payslip_Lookup[[#This Row],[Rider ID]]&amp;"|"&amp;Payslip_Lookup[[#This Row],[Month Key]])</f>
        <v/>
      </c>
      <c r="B339" s="172" t="str">
        <f aca="false">IF(ISNUMBER(Payslip_Lookup[[#This Row],[Salary Month]]),DATE(YEAR(Payslip_Lookup[[#This Row],[Salary Month]]),MONTH(Payslip_Lookup[[#This Row],[Salary Month]]),1),"")</f>
        <v/>
      </c>
      <c r="C339" s="172" t="str">
        <f aca="false">IF(INDEX(Salary_Calculation[Source Row],ROW()-ROW(Payslip_Lookup[#Headers]))="","",INDEX(Salary_Calculation[Salary Month],ROW()-ROW(Payslip_Lookup[#Headers])))</f>
        <v/>
      </c>
      <c r="D339" s="173" t="str">
        <f aca="false">IF(INDEX(Salary_Calculation[Source Row],ROW()-ROW(Payslip_Lookup[#Headers]))="","",INDEX(Salary_Calculation[Rider ID],ROW()-ROW(Payslip_Lookup[#Headers])))</f>
        <v/>
      </c>
      <c r="E339" s="171" t="str">
        <f aca="false">IF(INDEX(Salary_Calculation[Source Row],ROW()-ROW(Payslip_Lookup[#Headers]))="","",INDEX(Salary_Calculation[Rider Name],ROW()-ROW(Payslip_Lookup[#Headers])))</f>
        <v/>
      </c>
      <c r="F339" s="173" t="str">
        <f aca="false">IF(INDEX(Salary_Calculation[Source Row],ROW()-ROW(Payslip_Lookup[#Headers]))="","",INDEX(Salary_Calculation[Working Days],ROW()-ROW(Payslip_Lookup[#Headers])))</f>
        <v/>
      </c>
      <c r="G339" s="173" t="str">
        <f aca="false">IF(INDEX(Salary_Calculation[Source Row],ROW()-ROW(Payslip_Lookup[#Headers]))="","",INDEX(Salary_Calculation[Calendar Days],ROW()-ROW(Payslip_Lookup[#Headers])))</f>
        <v/>
      </c>
      <c r="H339" s="174" t="str">
        <f aca="false">IF(INDEX(Salary_Calculation[Source Row],ROW()-ROW(Payslip_Lookup[#Headers]))="","",INDEX(Salary_Calculation[Monthly Target Orders],ROW()-ROW(Payslip_Lookup[#Headers])))</f>
        <v/>
      </c>
      <c r="I339" s="174" t="str">
        <f aca="false">IF(INDEX(Salary_Calculation[Source Row],ROW()-ROW(Payslip_Lookup[#Headers]))="","",INDEX(Salary_Calculation[Rider Target Orders],ROW()-ROW(Payslip_Lookup[#Headers])))</f>
        <v/>
      </c>
      <c r="J339" s="175" t="str">
        <f aca="false">IF(INDEX(Salary_Calculation[Source Row],ROW()-ROW(Payslip_Lookup[#Headers]))="","",INDEX(Salary_Calculation[Completed Orders],ROW()-ROW(Payslip_Lookup[#Headers])))</f>
        <v/>
      </c>
      <c r="K339" s="174" t="str">
        <f aca="false">IF(INDEX(Salary_Calculation[Source Row],ROW()-ROW(Payslip_Lookup[#Headers]))="","",INDEX(Salary_Calculation[Base Order Rate],ROW()-ROW(Payslip_Lookup[#Headers])))</f>
        <v/>
      </c>
      <c r="L339" s="176" t="str">
        <f aca="false">IF(INDEX(Salary_Calculation[Source Row],ROW()-ROW(Payslip_Lookup[#Headers]))="","",INDEX(Salary_Calculation[Basic Payment],ROW()-ROW(Payslip_Lookup[#Headers])))</f>
        <v/>
      </c>
      <c r="M339" s="176" t="str">
        <f aca="false">IF(INDEX(Salary_Calculation[Source Row],ROW()-ROW(Payslip_Lookup[#Headers]))="","",INDEX(Salary_Calculation[Earned Salary],ROW()-ROW(Payslip_Lookup[#Headers])))</f>
        <v/>
      </c>
      <c r="N339" s="174" t="str">
        <f aca="false">IF(INDEX(Salary_Calculation[Source Row],ROW()-ROW(Payslip_Lookup[#Headers]))="","",INDEX(Salary_Calculation[Orders Counted at Base Rate],ROW()-ROW(Payslip_Lookup[#Headers])))</f>
        <v/>
      </c>
      <c r="O339" s="174" t="str">
        <f aca="false">IF(INDEX(Salary_Calculation[Source Row],ROW()-ROW(Payslip_Lookup[#Headers]))="","",INDEX(Salary_Calculation[Missing Orders],ROW()-ROW(Payslip_Lookup[#Headers])))</f>
        <v/>
      </c>
      <c r="P339" s="176" t="str">
        <f aca="false">IF(INDEX(Salary_Calculation[Source Row],ROW()-ROW(Payslip_Lookup[#Headers]))="","",INDEX(Salary_Calculation[Missing-Order Deduction],ROW()-ROW(Payslip_Lookup[#Headers])))</f>
        <v/>
      </c>
      <c r="Q339" s="174" t="str">
        <f aca="false">IF(INDEX(Salary_Calculation[Source Row],ROW()-ROW(Payslip_Lookup[#Headers]))="","",INDEX(Salary_Calculation[Extra Orders],ROW()-ROW(Payslip_Lookup[#Headers])))</f>
        <v/>
      </c>
      <c r="R339" s="176" t="str">
        <f aca="false">IF(INDEX(Salary_Calculation[Source Row],ROW()-ROW(Payslip_Lookup[#Headers]))="","",INDEX(Salary_Calculation[Extra-Order Bonus],ROW()-ROW(Payslip_Lookup[#Headers])))</f>
        <v/>
      </c>
      <c r="S339" s="176" t="str">
        <f aca="false">IF(INDEX(Salary_Calculation[Source Row],ROW()-ROW(Payslip_Lookup[#Headers]))="","",INDEX(Salary_Calculation[Basic Salary for Target],ROW()-ROW(Payslip_Lookup[#Headers])))</f>
        <v/>
      </c>
      <c r="T339" s="176" t="str">
        <f aca="false">IF(INDEX(Salary_Calculation[Source Row],ROW()-ROW(Payslip_Lookup[#Headers]))="","",INDEX(Salary_Calculation[Gross Salary Before Deductions],ROW()-ROW(Payslip_Lookup[#Headers])))</f>
        <v/>
      </c>
      <c r="U339" s="176" t="str">
        <f aca="false">IF(INDEX(Salary_Calculation[Source Row],ROW()-ROW(Payslip_Lookup[#Headers]))="","",INDEX(Salary_Calculation[missed_days_penalty],ROW()-ROW(Payslip_Lookup[#Headers])))</f>
        <v/>
      </c>
      <c r="V339" s="176" t="str">
        <f aca="false">IF(INDEX(Salary_Calculation[Source Row],ROW()-ROW(Payslip_Lookup[#Headers]))="","",INDEX(Salary_Calculation[Rider Balance],ROW()-ROW(Payslip_Lookup[#Headers])))</f>
        <v/>
      </c>
      <c r="W339" s="176" t="str">
        <f aca="false">IF(INDEX(Salary_Calculation[Source Row],ROW()-ROW(Payslip_Lookup[#Headers]))="","",INDEX(Salary_Calculation[stacking_deduction],ROW()-ROW(Payslip_Lookup[#Headers])))</f>
        <v/>
      </c>
      <c r="X339" s="176" t="str">
        <f aca="false">IF(INDEX(Salary_Calculation[Source Row],ROW()-ROW(Payslip_Lookup[#Headers]))="","",INDEX(Salary_Calculation[Other Deductions],ROW()-ROW(Payslip_Lookup[#Headers])))</f>
        <v/>
      </c>
      <c r="Y339" s="176" t="str">
        <f aca="false">IF(INDEX(Salary_Calculation[Source Row],ROW()-ROW(Payslip_Lookup[#Headers]))="","",INDEX(Salary_Calculation[Total Deductions],ROW()-ROW(Payslip_Lookup[#Headers])))</f>
        <v/>
      </c>
      <c r="Z339" s="176" t="str">
        <f aca="false">IF(INDEX(Salary_Calculation[Source Row],ROW()-ROW(Payslip_Lookup[#Headers]))="","",INDEX(Salary_Calculation[Final Salary],ROW()-ROW(Payslip_Lookup[#Headers])))</f>
        <v/>
      </c>
      <c r="AA339" s="176" t="str">
        <f aca="false">IF(INDEX(Salary_Calculation[Source Row],ROW()-ROW(Payslip_Lookup[#Headers]))="","",INDEX(Salary_Calculation[Negative Balance / Amount Due from Rider],ROW()-ROW(Payslip_Lookup[#Headers])))</f>
        <v/>
      </c>
      <c r="AB339" s="176" t="str">
        <f aca="false">IF(INDEX(Salary_Calculation[Source Row],ROW()-ROW(Payslip_Lookup[#Headers]))="","",INDEX(Salary_Calculation[Total Amount Due from Rider],ROW()-ROW(Payslip_Lookup[#Headers])))</f>
        <v/>
      </c>
      <c r="AC339" s="176" t="str">
        <f aca="false">IF(INDEX(Salary_Calculation[Source Row],ROW()-ROW(Payslip_Lookup[#Headers]))="","",INDEX(Salary_Calculation[Salary Before Other Deductions],ROW()-ROW(Payslip_Lookup[#Headers])))</f>
        <v/>
      </c>
      <c r="AD339" s="171" t="str">
        <f aca="false">IF(INDEX(Salary_Calculation[Source Row],ROW()-ROW(Payslip_Lookup[#Headers]))="","",INDEX(Salary_Calculation[Payment Status],ROW()-ROW(Payslip_Lookup[#Headers])))</f>
        <v/>
      </c>
      <c r="AE339" s="171" t="str">
        <f aca="false">IF(INDEX(Salary_Calculation[Source Row],ROW()-ROW(Payslip_Lookup[#Headers]))="","",INDEX(Salary_Calculation[Notes],ROW()-ROW(Payslip_Lookup[#Headers])))</f>
        <v/>
      </c>
      <c r="AF339" s="171" t="str">
        <f aca="false">IF(INDEX(Salary_Calculation[Source Row],ROW()-ROW(Payslip_Lookup[#Headers]))="","",INDEX(Salary_Calculation[Exception Reason],ROW()-ROW(Payslip_Lookup[#Headers])))</f>
        <v/>
      </c>
      <c r="AG339" s="173" t="str">
        <f aca="false">IF($AD339="Review Required",COUNTIF(AD$2:AD339,"Review Required"),"")</f>
        <v/>
      </c>
      <c r="AH339" s="173" t="str">
        <f aca="false">IF(AND($D339&lt;&gt;"",$B339=Payslip_Print!$C$2),MAX(AH$1:AH338)+1,"")</f>
        <v/>
      </c>
      <c r="AL339" s="178" t="str">
        <f aca="false">IFERROR(INDEX($D$2:$D$501,MATCH(ROW()-1,$AH$2:$AH$501,0)),"")</f>
        <v/>
      </c>
      <c r="AM339" s="179" t="str">
        <f aca="false">IF($Z339="","",IF(AND($C339&gt;=Dash_Start,$C339&lt;Dash_End),$Z339+ROW()/10000000,""))</f>
        <v/>
      </c>
    </row>
    <row r="340" customFormat="false" ht="14.25" hidden="false" customHeight="false" outlineLevel="0" collapsed="false">
      <c r="A340" s="171" t="str">
        <f aca="false">IF(Payslip_Lookup[[#This Row],[Rider ID]]="","",Payslip_Lookup[[#This Row],[Rider ID]]&amp;"|"&amp;Payslip_Lookup[[#This Row],[Month Key]])</f>
        <v/>
      </c>
      <c r="B340" s="172" t="str">
        <f aca="false">IF(ISNUMBER(Payslip_Lookup[[#This Row],[Salary Month]]),DATE(YEAR(Payslip_Lookup[[#This Row],[Salary Month]]),MONTH(Payslip_Lookup[[#This Row],[Salary Month]]),1),"")</f>
        <v/>
      </c>
      <c r="C340" s="172" t="str">
        <f aca="false">IF(INDEX(Salary_Calculation[Source Row],ROW()-ROW(Payslip_Lookup[#Headers]))="","",INDEX(Salary_Calculation[Salary Month],ROW()-ROW(Payslip_Lookup[#Headers])))</f>
        <v/>
      </c>
      <c r="D340" s="173" t="str">
        <f aca="false">IF(INDEX(Salary_Calculation[Source Row],ROW()-ROW(Payslip_Lookup[#Headers]))="","",INDEX(Salary_Calculation[Rider ID],ROW()-ROW(Payslip_Lookup[#Headers])))</f>
        <v/>
      </c>
      <c r="E340" s="171" t="str">
        <f aca="false">IF(INDEX(Salary_Calculation[Source Row],ROW()-ROW(Payslip_Lookup[#Headers]))="","",INDEX(Salary_Calculation[Rider Name],ROW()-ROW(Payslip_Lookup[#Headers])))</f>
        <v/>
      </c>
      <c r="F340" s="173" t="str">
        <f aca="false">IF(INDEX(Salary_Calculation[Source Row],ROW()-ROW(Payslip_Lookup[#Headers]))="","",INDEX(Salary_Calculation[Working Days],ROW()-ROW(Payslip_Lookup[#Headers])))</f>
        <v/>
      </c>
      <c r="G340" s="173" t="str">
        <f aca="false">IF(INDEX(Salary_Calculation[Source Row],ROW()-ROW(Payslip_Lookup[#Headers]))="","",INDEX(Salary_Calculation[Calendar Days],ROW()-ROW(Payslip_Lookup[#Headers])))</f>
        <v/>
      </c>
      <c r="H340" s="174" t="str">
        <f aca="false">IF(INDEX(Salary_Calculation[Source Row],ROW()-ROW(Payslip_Lookup[#Headers]))="","",INDEX(Salary_Calculation[Monthly Target Orders],ROW()-ROW(Payslip_Lookup[#Headers])))</f>
        <v/>
      </c>
      <c r="I340" s="174" t="str">
        <f aca="false">IF(INDEX(Salary_Calculation[Source Row],ROW()-ROW(Payslip_Lookup[#Headers]))="","",INDEX(Salary_Calculation[Rider Target Orders],ROW()-ROW(Payslip_Lookup[#Headers])))</f>
        <v/>
      </c>
      <c r="J340" s="175" t="str">
        <f aca="false">IF(INDEX(Salary_Calculation[Source Row],ROW()-ROW(Payslip_Lookup[#Headers]))="","",INDEX(Salary_Calculation[Completed Orders],ROW()-ROW(Payslip_Lookup[#Headers])))</f>
        <v/>
      </c>
      <c r="K340" s="174" t="str">
        <f aca="false">IF(INDEX(Salary_Calculation[Source Row],ROW()-ROW(Payslip_Lookup[#Headers]))="","",INDEX(Salary_Calculation[Base Order Rate],ROW()-ROW(Payslip_Lookup[#Headers])))</f>
        <v/>
      </c>
      <c r="L340" s="176" t="str">
        <f aca="false">IF(INDEX(Salary_Calculation[Source Row],ROW()-ROW(Payslip_Lookup[#Headers]))="","",INDEX(Salary_Calculation[Basic Payment],ROW()-ROW(Payslip_Lookup[#Headers])))</f>
        <v/>
      </c>
      <c r="M340" s="176" t="str">
        <f aca="false">IF(INDEX(Salary_Calculation[Source Row],ROW()-ROW(Payslip_Lookup[#Headers]))="","",INDEX(Salary_Calculation[Earned Salary],ROW()-ROW(Payslip_Lookup[#Headers])))</f>
        <v/>
      </c>
      <c r="N340" s="174" t="str">
        <f aca="false">IF(INDEX(Salary_Calculation[Source Row],ROW()-ROW(Payslip_Lookup[#Headers]))="","",INDEX(Salary_Calculation[Orders Counted at Base Rate],ROW()-ROW(Payslip_Lookup[#Headers])))</f>
        <v/>
      </c>
      <c r="O340" s="174" t="str">
        <f aca="false">IF(INDEX(Salary_Calculation[Source Row],ROW()-ROW(Payslip_Lookup[#Headers]))="","",INDEX(Salary_Calculation[Missing Orders],ROW()-ROW(Payslip_Lookup[#Headers])))</f>
        <v/>
      </c>
      <c r="P340" s="176" t="str">
        <f aca="false">IF(INDEX(Salary_Calculation[Source Row],ROW()-ROW(Payslip_Lookup[#Headers]))="","",INDEX(Salary_Calculation[Missing-Order Deduction],ROW()-ROW(Payslip_Lookup[#Headers])))</f>
        <v/>
      </c>
      <c r="Q340" s="174" t="str">
        <f aca="false">IF(INDEX(Salary_Calculation[Source Row],ROW()-ROW(Payslip_Lookup[#Headers]))="","",INDEX(Salary_Calculation[Extra Orders],ROW()-ROW(Payslip_Lookup[#Headers])))</f>
        <v/>
      </c>
      <c r="R340" s="176" t="str">
        <f aca="false">IF(INDEX(Salary_Calculation[Source Row],ROW()-ROW(Payslip_Lookup[#Headers]))="","",INDEX(Salary_Calculation[Extra-Order Bonus],ROW()-ROW(Payslip_Lookup[#Headers])))</f>
        <v/>
      </c>
      <c r="S340" s="176" t="str">
        <f aca="false">IF(INDEX(Salary_Calculation[Source Row],ROW()-ROW(Payslip_Lookup[#Headers]))="","",INDEX(Salary_Calculation[Basic Salary for Target],ROW()-ROW(Payslip_Lookup[#Headers])))</f>
        <v/>
      </c>
      <c r="T340" s="176" t="str">
        <f aca="false">IF(INDEX(Salary_Calculation[Source Row],ROW()-ROW(Payslip_Lookup[#Headers]))="","",INDEX(Salary_Calculation[Gross Salary Before Deductions],ROW()-ROW(Payslip_Lookup[#Headers])))</f>
        <v/>
      </c>
      <c r="U340" s="176" t="str">
        <f aca="false">IF(INDEX(Salary_Calculation[Source Row],ROW()-ROW(Payslip_Lookup[#Headers]))="","",INDEX(Salary_Calculation[missed_days_penalty],ROW()-ROW(Payslip_Lookup[#Headers])))</f>
        <v/>
      </c>
      <c r="V340" s="176" t="str">
        <f aca="false">IF(INDEX(Salary_Calculation[Source Row],ROW()-ROW(Payslip_Lookup[#Headers]))="","",INDEX(Salary_Calculation[Rider Balance],ROW()-ROW(Payslip_Lookup[#Headers])))</f>
        <v/>
      </c>
      <c r="W340" s="176" t="str">
        <f aca="false">IF(INDEX(Salary_Calculation[Source Row],ROW()-ROW(Payslip_Lookup[#Headers]))="","",INDEX(Salary_Calculation[stacking_deduction],ROW()-ROW(Payslip_Lookup[#Headers])))</f>
        <v/>
      </c>
      <c r="X340" s="176" t="str">
        <f aca="false">IF(INDEX(Salary_Calculation[Source Row],ROW()-ROW(Payslip_Lookup[#Headers]))="","",INDEX(Salary_Calculation[Other Deductions],ROW()-ROW(Payslip_Lookup[#Headers])))</f>
        <v/>
      </c>
      <c r="Y340" s="176" t="str">
        <f aca="false">IF(INDEX(Salary_Calculation[Source Row],ROW()-ROW(Payslip_Lookup[#Headers]))="","",INDEX(Salary_Calculation[Total Deductions],ROW()-ROW(Payslip_Lookup[#Headers])))</f>
        <v/>
      </c>
      <c r="Z340" s="176" t="str">
        <f aca="false">IF(INDEX(Salary_Calculation[Source Row],ROW()-ROW(Payslip_Lookup[#Headers]))="","",INDEX(Salary_Calculation[Final Salary],ROW()-ROW(Payslip_Lookup[#Headers])))</f>
        <v/>
      </c>
      <c r="AA340" s="176" t="str">
        <f aca="false">IF(INDEX(Salary_Calculation[Source Row],ROW()-ROW(Payslip_Lookup[#Headers]))="","",INDEX(Salary_Calculation[Negative Balance / Amount Due from Rider],ROW()-ROW(Payslip_Lookup[#Headers])))</f>
        <v/>
      </c>
      <c r="AB340" s="176" t="str">
        <f aca="false">IF(INDEX(Salary_Calculation[Source Row],ROW()-ROW(Payslip_Lookup[#Headers]))="","",INDEX(Salary_Calculation[Total Amount Due from Rider],ROW()-ROW(Payslip_Lookup[#Headers])))</f>
        <v/>
      </c>
      <c r="AC340" s="176" t="str">
        <f aca="false">IF(INDEX(Salary_Calculation[Source Row],ROW()-ROW(Payslip_Lookup[#Headers]))="","",INDEX(Salary_Calculation[Salary Before Other Deductions],ROW()-ROW(Payslip_Lookup[#Headers])))</f>
        <v/>
      </c>
      <c r="AD340" s="171" t="str">
        <f aca="false">IF(INDEX(Salary_Calculation[Source Row],ROW()-ROW(Payslip_Lookup[#Headers]))="","",INDEX(Salary_Calculation[Payment Status],ROW()-ROW(Payslip_Lookup[#Headers])))</f>
        <v/>
      </c>
      <c r="AE340" s="171" t="str">
        <f aca="false">IF(INDEX(Salary_Calculation[Source Row],ROW()-ROW(Payslip_Lookup[#Headers]))="","",INDEX(Salary_Calculation[Notes],ROW()-ROW(Payslip_Lookup[#Headers])))</f>
        <v/>
      </c>
      <c r="AF340" s="171" t="str">
        <f aca="false">IF(INDEX(Salary_Calculation[Source Row],ROW()-ROW(Payslip_Lookup[#Headers]))="","",INDEX(Salary_Calculation[Exception Reason],ROW()-ROW(Payslip_Lookup[#Headers])))</f>
        <v/>
      </c>
      <c r="AG340" s="173" t="str">
        <f aca="false">IF($AD340="Review Required",COUNTIF(AD$2:AD340,"Review Required"),"")</f>
        <v/>
      </c>
      <c r="AH340" s="173" t="str">
        <f aca="false">IF(AND($D340&lt;&gt;"",$B340=Payslip_Print!$C$2),MAX(AH$1:AH339)+1,"")</f>
        <v/>
      </c>
      <c r="AL340" s="178" t="str">
        <f aca="false">IFERROR(INDEX($D$2:$D$501,MATCH(ROW()-1,$AH$2:$AH$501,0)),"")</f>
        <v/>
      </c>
      <c r="AM340" s="179" t="str">
        <f aca="false">IF($Z340="","",IF(AND($C340&gt;=Dash_Start,$C340&lt;Dash_End),$Z340+ROW()/10000000,""))</f>
        <v/>
      </c>
    </row>
    <row r="341" customFormat="false" ht="14.25" hidden="false" customHeight="false" outlineLevel="0" collapsed="false">
      <c r="A341" s="171" t="str">
        <f aca="false">IF(Payslip_Lookup[[#This Row],[Rider ID]]="","",Payslip_Lookup[[#This Row],[Rider ID]]&amp;"|"&amp;Payslip_Lookup[[#This Row],[Month Key]])</f>
        <v/>
      </c>
      <c r="B341" s="172" t="str">
        <f aca="false">IF(ISNUMBER(Payslip_Lookup[[#This Row],[Salary Month]]),DATE(YEAR(Payslip_Lookup[[#This Row],[Salary Month]]),MONTH(Payslip_Lookup[[#This Row],[Salary Month]]),1),"")</f>
        <v/>
      </c>
      <c r="C341" s="172" t="str">
        <f aca="false">IF(INDEX(Salary_Calculation[Source Row],ROW()-ROW(Payslip_Lookup[#Headers]))="","",INDEX(Salary_Calculation[Salary Month],ROW()-ROW(Payslip_Lookup[#Headers])))</f>
        <v/>
      </c>
      <c r="D341" s="173" t="str">
        <f aca="false">IF(INDEX(Salary_Calculation[Source Row],ROW()-ROW(Payslip_Lookup[#Headers]))="","",INDEX(Salary_Calculation[Rider ID],ROW()-ROW(Payslip_Lookup[#Headers])))</f>
        <v/>
      </c>
      <c r="E341" s="171" t="str">
        <f aca="false">IF(INDEX(Salary_Calculation[Source Row],ROW()-ROW(Payslip_Lookup[#Headers]))="","",INDEX(Salary_Calculation[Rider Name],ROW()-ROW(Payslip_Lookup[#Headers])))</f>
        <v/>
      </c>
      <c r="F341" s="173" t="str">
        <f aca="false">IF(INDEX(Salary_Calculation[Source Row],ROW()-ROW(Payslip_Lookup[#Headers]))="","",INDEX(Salary_Calculation[Working Days],ROW()-ROW(Payslip_Lookup[#Headers])))</f>
        <v/>
      </c>
      <c r="G341" s="173" t="str">
        <f aca="false">IF(INDEX(Salary_Calculation[Source Row],ROW()-ROW(Payslip_Lookup[#Headers]))="","",INDEX(Salary_Calculation[Calendar Days],ROW()-ROW(Payslip_Lookup[#Headers])))</f>
        <v/>
      </c>
      <c r="H341" s="174" t="str">
        <f aca="false">IF(INDEX(Salary_Calculation[Source Row],ROW()-ROW(Payslip_Lookup[#Headers]))="","",INDEX(Salary_Calculation[Monthly Target Orders],ROW()-ROW(Payslip_Lookup[#Headers])))</f>
        <v/>
      </c>
      <c r="I341" s="174" t="str">
        <f aca="false">IF(INDEX(Salary_Calculation[Source Row],ROW()-ROW(Payslip_Lookup[#Headers]))="","",INDEX(Salary_Calculation[Rider Target Orders],ROW()-ROW(Payslip_Lookup[#Headers])))</f>
        <v/>
      </c>
      <c r="J341" s="175" t="str">
        <f aca="false">IF(INDEX(Salary_Calculation[Source Row],ROW()-ROW(Payslip_Lookup[#Headers]))="","",INDEX(Salary_Calculation[Completed Orders],ROW()-ROW(Payslip_Lookup[#Headers])))</f>
        <v/>
      </c>
      <c r="K341" s="174" t="str">
        <f aca="false">IF(INDEX(Salary_Calculation[Source Row],ROW()-ROW(Payslip_Lookup[#Headers]))="","",INDEX(Salary_Calculation[Base Order Rate],ROW()-ROW(Payslip_Lookup[#Headers])))</f>
        <v/>
      </c>
      <c r="L341" s="176" t="str">
        <f aca="false">IF(INDEX(Salary_Calculation[Source Row],ROW()-ROW(Payslip_Lookup[#Headers]))="","",INDEX(Salary_Calculation[Basic Payment],ROW()-ROW(Payslip_Lookup[#Headers])))</f>
        <v/>
      </c>
      <c r="M341" s="176" t="str">
        <f aca="false">IF(INDEX(Salary_Calculation[Source Row],ROW()-ROW(Payslip_Lookup[#Headers]))="","",INDEX(Salary_Calculation[Earned Salary],ROW()-ROW(Payslip_Lookup[#Headers])))</f>
        <v/>
      </c>
      <c r="N341" s="174" t="str">
        <f aca="false">IF(INDEX(Salary_Calculation[Source Row],ROW()-ROW(Payslip_Lookup[#Headers]))="","",INDEX(Salary_Calculation[Orders Counted at Base Rate],ROW()-ROW(Payslip_Lookup[#Headers])))</f>
        <v/>
      </c>
      <c r="O341" s="174" t="str">
        <f aca="false">IF(INDEX(Salary_Calculation[Source Row],ROW()-ROW(Payslip_Lookup[#Headers]))="","",INDEX(Salary_Calculation[Missing Orders],ROW()-ROW(Payslip_Lookup[#Headers])))</f>
        <v/>
      </c>
      <c r="P341" s="176" t="str">
        <f aca="false">IF(INDEX(Salary_Calculation[Source Row],ROW()-ROW(Payslip_Lookup[#Headers]))="","",INDEX(Salary_Calculation[Missing-Order Deduction],ROW()-ROW(Payslip_Lookup[#Headers])))</f>
        <v/>
      </c>
      <c r="Q341" s="174" t="str">
        <f aca="false">IF(INDEX(Salary_Calculation[Source Row],ROW()-ROW(Payslip_Lookup[#Headers]))="","",INDEX(Salary_Calculation[Extra Orders],ROW()-ROW(Payslip_Lookup[#Headers])))</f>
        <v/>
      </c>
      <c r="R341" s="176" t="str">
        <f aca="false">IF(INDEX(Salary_Calculation[Source Row],ROW()-ROW(Payslip_Lookup[#Headers]))="","",INDEX(Salary_Calculation[Extra-Order Bonus],ROW()-ROW(Payslip_Lookup[#Headers])))</f>
        <v/>
      </c>
      <c r="S341" s="176" t="str">
        <f aca="false">IF(INDEX(Salary_Calculation[Source Row],ROW()-ROW(Payslip_Lookup[#Headers]))="","",INDEX(Salary_Calculation[Basic Salary for Target],ROW()-ROW(Payslip_Lookup[#Headers])))</f>
        <v/>
      </c>
      <c r="T341" s="176" t="str">
        <f aca="false">IF(INDEX(Salary_Calculation[Source Row],ROW()-ROW(Payslip_Lookup[#Headers]))="","",INDEX(Salary_Calculation[Gross Salary Before Deductions],ROW()-ROW(Payslip_Lookup[#Headers])))</f>
        <v/>
      </c>
      <c r="U341" s="176" t="str">
        <f aca="false">IF(INDEX(Salary_Calculation[Source Row],ROW()-ROW(Payslip_Lookup[#Headers]))="","",INDEX(Salary_Calculation[missed_days_penalty],ROW()-ROW(Payslip_Lookup[#Headers])))</f>
        <v/>
      </c>
      <c r="V341" s="176" t="str">
        <f aca="false">IF(INDEX(Salary_Calculation[Source Row],ROW()-ROW(Payslip_Lookup[#Headers]))="","",INDEX(Salary_Calculation[Rider Balance],ROW()-ROW(Payslip_Lookup[#Headers])))</f>
        <v/>
      </c>
      <c r="W341" s="176" t="str">
        <f aca="false">IF(INDEX(Salary_Calculation[Source Row],ROW()-ROW(Payslip_Lookup[#Headers]))="","",INDEX(Salary_Calculation[stacking_deduction],ROW()-ROW(Payslip_Lookup[#Headers])))</f>
        <v/>
      </c>
      <c r="X341" s="176" t="str">
        <f aca="false">IF(INDEX(Salary_Calculation[Source Row],ROW()-ROW(Payslip_Lookup[#Headers]))="","",INDEX(Salary_Calculation[Other Deductions],ROW()-ROW(Payslip_Lookup[#Headers])))</f>
        <v/>
      </c>
      <c r="Y341" s="176" t="str">
        <f aca="false">IF(INDEX(Salary_Calculation[Source Row],ROW()-ROW(Payslip_Lookup[#Headers]))="","",INDEX(Salary_Calculation[Total Deductions],ROW()-ROW(Payslip_Lookup[#Headers])))</f>
        <v/>
      </c>
      <c r="Z341" s="176" t="str">
        <f aca="false">IF(INDEX(Salary_Calculation[Source Row],ROW()-ROW(Payslip_Lookup[#Headers]))="","",INDEX(Salary_Calculation[Final Salary],ROW()-ROW(Payslip_Lookup[#Headers])))</f>
        <v/>
      </c>
      <c r="AA341" s="176" t="str">
        <f aca="false">IF(INDEX(Salary_Calculation[Source Row],ROW()-ROW(Payslip_Lookup[#Headers]))="","",INDEX(Salary_Calculation[Negative Balance / Amount Due from Rider],ROW()-ROW(Payslip_Lookup[#Headers])))</f>
        <v/>
      </c>
      <c r="AB341" s="176" t="str">
        <f aca="false">IF(INDEX(Salary_Calculation[Source Row],ROW()-ROW(Payslip_Lookup[#Headers]))="","",INDEX(Salary_Calculation[Total Amount Due from Rider],ROW()-ROW(Payslip_Lookup[#Headers])))</f>
        <v/>
      </c>
      <c r="AC341" s="176" t="str">
        <f aca="false">IF(INDEX(Salary_Calculation[Source Row],ROW()-ROW(Payslip_Lookup[#Headers]))="","",INDEX(Salary_Calculation[Salary Before Other Deductions],ROW()-ROW(Payslip_Lookup[#Headers])))</f>
        <v/>
      </c>
      <c r="AD341" s="171" t="str">
        <f aca="false">IF(INDEX(Salary_Calculation[Source Row],ROW()-ROW(Payslip_Lookup[#Headers]))="","",INDEX(Salary_Calculation[Payment Status],ROW()-ROW(Payslip_Lookup[#Headers])))</f>
        <v/>
      </c>
      <c r="AE341" s="171" t="str">
        <f aca="false">IF(INDEX(Salary_Calculation[Source Row],ROW()-ROW(Payslip_Lookup[#Headers]))="","",INDEX(Salary_Calculation[Notes],ROW()-ROW(Payslip_Lookup[#Headers])))</f>
        <v/>
      </c>
      <c r="AF341" s="171" t="str">
        <f aca="false">IF(INDEX(Salary_Calculation[Source Row],ROW()-ROW(Payslip_Lookup[#Headers]))="","",INDEX(Salary_Calculation[Exception Reason],ROW()-ROW(Payslip_Lookup[#Headers])))</f>
        <v/>
      </c>
      <c r="AG341" s="173" t="str">
        <f aca="false">IF($AD341="Review Required",COUNTIF(AD$2:AD341,"Review Required"),"")</f>
        <v/>
      </c>
      <c r="AH341" s="173" t="str">
        <f aca="false">IF(AND($D341&lt;&gt;"",$B341=Payslip_Print!$C$2),MAX(AH$1:AH340)+1,"")</f>
        <v/>
      </c>
      <c r="AL341" s="178" t="str">
        <f aca="false">IFERROR(INDEX($D$2:$D$501,MATCH(ROW()-1,$AH$2:$AH$501,0)),"")</f>
        <v/>
      </c>
      <c r="AM341" s="179" t="str">
        <f aca="false">IF($Z341="","",IF(AND($C341&gt;=Dash_Start,$C341&lt;Dash_End),$Z341+ROW()/10000000,""))</f>
        <v/>
      </c>
    </row>
    <row r="342" customFormat="false" ht="14.25" hidden="false" customHeight="false" outlineLevel="0" collapsed="false">
      <c r="A342" s="171" t="str">
        <f aca="false">IF(Payslip_Lookup[[#This Row],[Rider ID]]="","",Payslip_Lookup[[#This Row],[Rider ID]]&amp;"|"&amp;Payslip_Lookup[[#This Row],[Month Key]])</f>
        <v/>
      </c>
      <c r="B342" s="172" t="str">
        <f aca="false">IF(ISNUMBER(Payslip_Lookup[[#This Row],[Salary Month]]),DATE(YEAR(Payslip_Lookup[[#This Row],[Salary Month]]),MONTH(Payslip_Lookup[[#This Row],[Salary Month]]),1),"")</f>
        <v/>
      </c>
      <c r="C342" s="172" t="str">
        <f aca="false">IF(INDEX(Salary_Calculation[Source Row],ROW()-ROW(Payslip_Lookup[#Headers]))="","",INDEX(Salary_Calculation[Salary Month],ROW()-ROW(Payslip_Lookup[#Headers])))</f>
        <v/>
      </c>
      <c r="D342" s="173" t="str">
        <f aca="false">IF(INDEX(Salary_Calculation[Source Row],ROW()-ROW(Payslip_Lookup[#Headers]))="","",INDEX(Salary_Calculation[Rider ID],ROW()-ROW(Payslip_Lookup[#Headers])))</f>
        <v/>
      </c>
      <c r="E342" s="171" t="str">
        <f aca="false">IF(INDEX(Salary_Calculation[Source Row],ROW()-ROW(Payslip_Lookup[#Headers]))="","",INDEX(Salary_Calculation[Rider Name],ROW()-ROW(Payslip_Lookup[#Headers])))</f>
        <v/>
      </c>
      <c r="F342" s="173" t="str">
        <f aca="false">IF(INDEX(Salary_Calculation[Source Row],ROW()-ROW(Payslip_Lookup[#Headers]))="","",INDEX(Salary_Calculation[Working Days],ROW()-ROW(Payslip_Lookup[#Headers])))</f>
        <v/>
      </c>
      <c r="G342" s="173" t="str">
        <f aca="false">IF(INDEX(Salary_Calculation[Source Row],ROW()-ROW(Payslip_Lookup[#Headers]))="","",INDEX(Salary_Calculation[Calendar Days],ROW()-ROW(Payslip_Lookup[#Headers])))</f>
        <v/>
      </c>
      <c r="H342" s="174" t="str">
        <f aca="false">IF(INDEX(Salary_Calculation[Source Row],ROW()-ROW(Payslip_Lookup[#Headers]))="","",INDEX(Salary_Calculation[Monthly Target Orders],ROW()-ROW(Payslip_Lookup[#Headers])))</f>
        <v/>
      </c>
      <c r="I342" s="174" t="str">
        <f aca="false">IF(INDEX(Salary_Calculation[Source Row],ROW()-ROW(Payslip_Lookup[#Headers]))="","",INDEX(Salary_Calculation[Rider Target Orders],ROW()-ROW(Payslip_Lookup[#Headers])))</f>
        <v/>
      </c>
      <c r="J342" s="175" t="str">
        <f aca="false">IF(INDEX(Salary_Calculation[Source Row],ROW()-ROW(Payslip_Lookup[#Headers]))="","",INDEX(Salary_Calculation[Completed Orders],ROW()-ROW(Payslip_Lookup[#Headers])))</f>
        <v/>
      </c>
      <c r="K342" s="174" t="str">
        <f aca="false">IF(INDEX(Salary_Calculation[Source Row],ROW()-ROW(Payslip_Lookup[#Headers]))="","",INDEX(Salary_Calculation[Base Order Rate],ROW()-ROW(Payslip_Lookup[#Headers])))</f>
        <v/>
      </c>
      <c r="L342" s="176" t="str">
        <f aca="false">IF(INDEX(Salary_Calculation[Source Row],ROW()-ROW(Payslip_Lookup[#Headers]))="","",INDEX(Salary_Calculation[Basic Payment],ROW()-ROW(Payslip_Lookup[#Headers])))</f>
        <v/>
      </c>
      <c r="M342" s="176" t="str">
        <f aca="false">IF(INDEX(Salary_Calculation[Source Row],ROW()-ROW(Payslip_Lookup[#Headers]))="","",INDEX(Salary_Calculation[Earned Salary],ROW()-ROW(Payslip_Lookup[#Headers])))</f>
        <v/>
      </c>
      <c r="N342" s="174" t="str">
        <f aca="false">IF(INDEX(Salary_Calculation[Source Row],ROW()-ROW(Payslip_Lookup[#Headers]))="","",INDEX(Salary_Calculation[Orders Counted at Base Rate],ROW()-ROW(Payslip_Lookup[#Headers])))</f>
        <v/>
      </c>
      <c r="O342" s="174" t="str">
        <f aca="false">IF(INDEX(Salary_Calculation[Source Row],ROW()-ROW(Payslip_Lookup[#Headers]))="","",INDEX(Salary_Calculation[Missing Orders],ROW()-ROW(Payslip_Lookup[#Headers])))</f>
        <v/>
      </c>
      <c r="P342" s="176" t="str">
        <f aca="false">IF(INDEX(Salary_Calculation[Source Row],ROW()-ROW(Payslip_Lookup[#Headers]))="","",INDEX(Salary_Calculation[Missing-Order Deduction],ROW()-ROW(Payslip_Lookup[#Headers])))</f>
        <v/>
      </c>
      <c r="Q342" s="174" t="str">
        <f aca="false">IF(INDEX(Salary_Calculation[Source Row],ROW()-ROW(Payslip_Lookup[#Headers]))="","",INDEX(Salary_Calculation[Extra Orders],ROW()-ROW(Payslip_Lookup[#Headers])))</f>
        <v/>
      </c>
      <c r="R342" s="176" t="str">
        <f aca="false">IF(INDEX(Salary_Calculation[Source Row],ROW()-ROW(Payslip_Lookup[#Headers]))="","",INDEX(Salary_Calculation[Extra-Order Bonus],ROW()-ROW(Payslip_Lookup[#Headers])))</f>
        <v/>
      </c>
      <c r="S342" s="176" t="str">
        <f aca="false">IF(INDEX(Salary_Calculation[Source Row],ROW()-ROW(Payslip_Lookup[#Headers]))="","",INDEX(Salary_Calculation[Basic Salary for Target],ROW()-ROW(Payslip_Lookup[#Headers])))</f>
        <v/>
      </c>
      <c r="T342" s="176" t="str">
        <f aca="false">IF(INDEX(Salary_Calculation[Source Row],ROW()-ROW(Payslip_Lookup[#Headers]))="","",INDEX(Salary_Calculation[Gross Salary Before Deductions],ROW()-ROW(Payslip_Lookup[#Headers])))</f>
        <v/>
      </c>
      <c r="U342" s="176" t="str">
        <f aca="false">IF(INDEX(Salary_Calculation[Source Row],ROW()-ROW(Payslip_Lookup[#Headers]))="","",INDEX(Salary_Calculation[missed_days_penalty],ROW()-ROW(Payslip_Lookup[#Headers])))</f>
        <v/>
      </c>
      <c r="V342" s="176" t="str">
        <f aca="false">IF(INDEX(Salary_Calculation[Source Row],ROW()-ROW(Payslip_Lookup[#Headers]))="","",INDEX(Salary_Calculation[Rider Balance],ROW()-ROW(Payslip_Lookup[#Headers])))</f>
        <v/>
      </c>
      <c r="W342" s="176" t="str">
        <f aca="false">IF(INDEX(Salary_Calculation[Source Row],ROW()-ROW(Payslip_Lookup[#Headers]))="","",INDEX(Salary_Calculation[stacking_deduction],ROW()-ROW(Payslip_Lookup[#Headers])))</f>
        <v/>
      </c>
      <c r="X342" s="176" t="str">
        <f aca="false">IF(INDEX(Salary_Calculation[Source Row],ROW()-ROW(Payslip_Lookup[#Headers]))="","",INDEX(Salary_Calculation[Other Deductions],ROW()-ROW(Payslip_Lookup[#Headers])))</f>
        <v/>
      </c>
      <c r="Y342" s="176" t="str">
        <f aca="false">IF(INDEX(Salary_Calculation[Source Row],ROW()-ROW(Payslip_Lookup[#Headers]))="","",INDEX(Salary_Calculation[Total Deductions],ROW()-ROW(Payslip_Lookup[#Headers])))</f>
        <v/>
      </c>
      <c r="Z342" s="176" t="str">
        <f aca="false">IF(INDEX(Salary_Calculation[Source Row],ROW()-ROW(Payslip_Lookup[#Headers]))="","",INDEX(Salary_Calculation[Final Salary],ROW()-ROW(Payslip_Lookup[#Headers])))</f>
        <v/>
      </c>
      <c r="AA342" s="176" t="str">
        <f aca="false">IF(INDEX(Salary_Calculation[Source Row],ROW()-ROW(Payslip_Lookup[#Headers]))="","",INDEX(Salary_Calculation[Negative Balance / Amount Due from Rider],ROW()-ROW(Payslip_Lookup[#Headers])))</f>
        <v/>
      </c>
      <c r="AB342" s="176" t="str">
        <f aca="false">IF(INDEX(Salary_Calculation[Source Row],ROW()-ROW(Payslip_Lookup[#Headers]))="","",INDEX(Salary_Calculation[Total Amount Due from Rider],ROW()-ROW(Payslip_Lookup[#Headers])))</f>
        <v/>
      </c>
      <c r="AC342" s="176" t="str">
        <f aca="false">IF(INDEX(Salary_Calculation[Source Row],ROW()-ROW(Payslip_Lookup[#Headers]))="","",INDEX(Salary_Calculation[Salary Before Other Deductions],ROW()-ROW(Payslip_Lookup[#Headers])))</f>
        <v/>
      </c>
      <c r="AD342" s="171" t="str">
        <f aca="false">IF(INDEX(Salary_Calculation[Source Row],ROW()-ROW(Payslip_Lookup[#Headers]))="","",INDEX(Salary_Calculation[Payment Status],ROW()-ROW(Payslip_Lookup[#Headers])))</f>
        <v/>
      </c>
      <c r="AE342" s="171" t="str">
        <f aca="false">IF(INDEX(Salary_Calculation[Source Row],ROW()-ROW(Payslip_Lookup[#Headers]))="","",INDEX(Salary_Calculation[Notes],ROW()-ROW(Payslip_Lookup[#Headers])))</f>
        <v/>
      </c>
      <c r="AF342" s="171" t="str">
        <f aca="false">IF(INDEX(Salary_Calculation[Source Row],ROW()-ROW(Payslip_Lookup[#Headers]))="","",INDEX(Salary_Calculation[Exception Reason],ROW()-ROW(Payslip_Lookup[#Headers])))</f>
        <v/>
      </c>
      <c r="AG342" s="173" t="str">
        <f aca="false">IF($AD342="Review Required",COUNTIF(AD$2:AD342,"Review Required"),"")</f>
        <v/>
      </c>
      <c r="AH342" s="173" t="str">
        <f aca="false">IF(AND($D342&lt;&gt;"",$B342=Payslip_Print!$C$2),MAX(AH$1:AH341)+1,"")</f>
        <v/>
      </c>
      <c r="AL342" s="178" t="str">
        <f aca="false">IFERROR(INDEX($D$2:$D$501,MATCH(ROW()-1,$AH$2:$AH$501,0)),"")</f>
        <v/>
      </c>
      <c r="AM342" s="179" t="str">
        <f aca="false">IF($Z342="","",IF(AND($C342&gt;=Dash_Start,$C342&lt;Dash_End),$Z342+ROW()/10000000,""))</f>
        <v/>
      </c>
    </row>
    <row r="343" customFormat="false" ht="14.25" hidden="false" customHeight="false" outlineLevel="0" collapsed="false">
      <c r="A343" s="171" t="str">
        <f aca="false">IF(Payslip_Lookup[[#This Row],[Rider ID]]="","",Payslip_Lookup[[#This Row],[Rider ID]]&amp;"|"&amp;Payslip_Lookup[[#This Row],[Month Key]])</f>
        <v/>
      </c>
      <c r="B343" s="172" t="str">
        <f aca="false">IF(ISNUMBER(Payslip_Lookup[[#This Row],[Salary Month]]),DATE(YEAR(Payslip_Lookup[[#This Row],[Salary Month]]),MONTH(Payslip_Lookup[[#This Row],[Salary Month]]),1),"")</f>
        <v/>
      </c>
      <c r="C343" s="172" t="str">
        <f aca="false">IF(INDEX(Salary_Calculation[Source Row],ROW()-ROW(Payslip_Lookup[#Headers]))="","",INDEX(Salary_Calculation[Salary Month],ROW()-ROW(Payslip_Lookup[#Headers])))</f>
        <v/>
      </c>
      <c r="D343" s="173" t="str">
        <f aca="false">IF(INDEX(Salary_Calculation[Source Row],ROW()-ROW(Payslip_Lookup[#Headers]))="","",INDEX(Salary_Calculation[Rider ID],ROW()-ROW(Payslip_Lookup[#Headers])))</f>
        <v/>
      </c>
      <c r="E343" s="171" t="str">
        <f aca="false">IF(INDEX(Salary_Calculation[Source Row],ROW()-ROW(Payslip_Lookup[#Headers]))="","",INDEX(Salary_Calculation[Rider Name],ROW()-ROW(Payslip_Lookup[#Headers])))</f>
        <v/>
      </c>
      <c r="F343" s="173" t="str">
        <f aca="false">IF(INDEX(Salary_Calculation[Source Row],ROW()-ROW(Payslip_Lookup[#Headers]))="","",INDEX(Salary_Calculation[Working Days],ROW()-ROW(Payslip_Lookup[#Headers])))</f>
        <v/>
      </c>
      <c r="G343" s="173" t="str">
        <f aca="false">IF(INDEX(Salary_Calculation[Source Row],ROW()-ROW(Payslip_Lookup[#Headers]))="","",INDEX(Salary_Calculation[Calendar Days],ROW()-ROW(Payslip_Lookup[#Headers])))</f>
        <v/>
      </c>
      <c r="H343" s="174" t="str">
        <f aca="false">IF(INDEX(Salary_Calculation[Source Row],ROW()-ROW(Payslip_Lookup[#Headers]))="","",INDEX(Salary_Calculation[Monthly Target Orders],ROW()-ROW(Payslip_Lookup[#Headers])))</f>
        <v/>
      </c>
      <c r="I343" s="174" t="str">
        <f aca="false">IF(INDEX(Salary_Calculation[Source Row],ROW()-ROW(Payslip_Lookup[#Headers]))="","",INDEX(Salary_Calculation[Rider Target Orders],ROW()-ROW(Payslip_Lookup[#Headers])))</f>
        <v/>
      </c>
      <c r="J343" s="175" t="str">
        <f aca="false">IF(INDEX(Salary_Calculation[Source Row],ROW()-ROW(Payslip_Lookup[#Headers]))="","",INDEX(Salary_Calculation[Completed Orders],ROW()-ROW(Payslip_Lookup[#Headers])))</f>
        <v/>
      </c>
      <c r="K343" s="174" t="str">
        <f aca="false">IF(INDEX(Salary_Calculation[Source Row],ROW()-ROW(Payslip_Lookup[#Headers]))="","",INDEX(Salary_Calculation[Base Order Rate],ROW()-ROW(Payslip_Lookup[#Headers])))</f>
        <v/>
      </c>
      <c r="L343" s="176" t="str">
        <f aca="false">IF(INDEX(Salary_Calculation[Source Row],ROW()-ROW(Payslip_Lookup[#Headers]))="","",INDEX(Salary_Calculation[Basic Payment],ROW()-ROW(Payslip_Lookup[#Headers])))</f>
        <v/>
      </c>
      <c r="M343" s="176" t="str">
        <f aca="false">IF(INDEX(Salary_Calculation[Source Row],ROW()-ROW(Payslip_Lookup[#Headers]))="","",INDEX(Salary_Calculation[Earned Salary],ROW()-ROW(Payslip_Lookup[#Headers])))</f>
        <v/>
      </c>
      <c r="N343" s="174" t="str">
        <f aca="false">IF(INDEX(Salary_Calculation[Source Row],ROW()-ROW(Payslip_Lookup[#Headers]))="","",INDEX(Salary_Calculation[Orders Counted at Base Rate],ROW()-ROW(Payslip_Lookup[#Headers])))</f>
        <v/>
      </c>
      <c r="O343" s="174" t="str">
        <f aca="false">IF(INDEX(Salary_Calculation[Source Row],ROW()-ROW(Payslip_Lookup[#Headers]))="","",INDEX(Salary_Calculation[Missing Orders],ROW()-ROW(Payslip_Lookup[#Headers])))</f>
        <v/>
      </c>
      <c r="P343" s="176" t="str">
        <f aca="false">IF(INDEX(Salary_Calculation[Source Row],ROW()-ROW(Payslip_Lookup[#Headers]))="","",INDEX(Salary_Calculation[Missing-Order Deduction],ROW()-ROW(Payslip_Lookup[#Headers])))</f>
        <v/>
      </c>
      <c r="Q343" s="174" t="str">
        <f aca="false">IF(INDEX(Salary_Calculation[Source Row],ROW()-ROW(Payslip_Lookup[#Headers]))="","",INDEX(Salary_Calculation[Extra Orders],ROW()-ROW(Payslip_Lookup[#Headers])))</f>
        <v/>
      </c>
      <c r="R343" s="176" t="str">
        <f aca="false">IF(INDEX(Salary_Calculation[Source Row],ROW()-ROW(Payslip_Lookup[#Headers]))="","",INDEX(Salary_Calculation[Extra-Order Bonus],ROW()-ROW(Payslip_Lookup[#Headers])))</f>
        <v/>
      </c>
      <c r="S343" s="176" t="str">
        <f aca="false">IF(INDEX(Salary_Calculation[Source Row],ROW()-ROW(Payslip_Lookup[#Headers]))="","",INDEX(Salary_Calculation[Basic Salary for Target],ROW()-ROW(Payslip_Lookup[#Headers])))</f>
        <v/>
      </c>
      <c r="T343" s="176" t="str">
        <f aca="false">IF(INDEX(Salary_Calculation[Source Row],ROW()-ROW(Payslip_Lookup[#Headers]))="","",INDEX(Salary_Calculation[Gross Salary Before Deductions],ROW()-ROW(Payslip_Lookup[#Headers])))</f>
        <v/>
      </c>
      <c r="U343" s="176" t="str">
        <f aca="false">IF(INDEX(Salary_Calculation[Source Row],ROW()-ROW(Payslip_Lookup[#Headers]))="","",INDEX(Salary_Calculation[missed_days_penalty],ROW()-ROW(Payslip_Lookup[#Headers])))</f>
        <v/>
      </c>
      <c r="V343" s="176" t="str">
        <f aca="false">IF(INDEX(Salary_Calculation[Source Row],ROW()-ROW(Payslip_Lookup[#Headers]))="","",INDEX(Salary_Calculation[Rider Balance],ROW()-ROW(Payslip_Lookup[#Headers])))</f>
        <v/>
      </c>
      <c r="W343" s="176" t="str">
        <f aca="false">IF(INDEX(Salary_Calculation[Source Row],ROW()-ROW(Payslip_Lookup[#Headers]))="","",INDEX(Salary_Calculation[stacking_deduction],ROW()-ROW(Payslip_Lookup[#Headers])))</f>
        <v/>
      </c>
      <c r="X343" s="176" t="str">
        <f aca="false">IF(INDEX(Salary_Calculation[Source Row],ROW()-ROW(Payslip_Lookup[#Headers]))="","",INDEX(Salary_Calculation[Other Deductions],ROW()-ROW(Payslip_Lookup[#Headers])))</f>
        <v/>
      </c>
      <c r="Y343" s="176" t="str">
        <f aca="false">IF(INDEX(Salary_Calculation[Source Row],ROW()-ROW(Payslip_Lookup[#Headers]))="","",INDEX(Salary_Calculation[Total Deductions],ROW()-ROW(Payslip_Lookup[#Headers])))</f>
        <v/>
      </c>
      <c r="Z343" s="176" t="str">
        <f aca="false">IF(INDEX(Salary_Calculation[Source Row],ROW()-ROW(Payslip_Lookup[#Headers]))="","",INDEX(Salary_Calculation[Final Salary],ROW()-ROW(Payslip_Lookup[#Headers])))</f>
        <v/>
      </c>
      <c r="AA343" s="176" t="str">
        <f aca="false">IF(INDEX(Salary_Calculation[Source Row],ROW()-ROW(Payslip_Lookup[#Headers]))="","",INDEX(Salary_Calculation[Negative Balance / Amount Due from Rider],ROW()-ROW(Payslip_Lookup[#Headers])))</f>
        <v/>
      </c>
      <c r="AB343" s="176" t="str">
        <f aca="false">IF(INDEX(Salary_Calculation[Source Row],ROW()-ROW(Payslip_Lookup[#Headers]))="","",INDEX(Salary_Calculation[Total Amount Due from Rider],ROW()-ROW(Payslip_Lookup[#Headers])))</f>
        <v/>
      </c>
      <c r="AC343" s="176" t="str">
        <f aca="false">IF(INDEX(Salary_Calculation[Source Row],ROW()-ROW(Payslip_Lookup[#Headers]))="","",INDEX(Salary_Calculation[Salary Before Other Deductions],ROW()-ROW(Payslip_Lookup[#Headers])))</f>
        <v/>
      </c>
      <c r="AD343" s="171" t="str">
        <f aca="false">IF(INDEX(Salary_Calculation[Source Row],ROW()-ROW(Payslip_Lookup[#Headers]))="","",INDEX(Salary_Calculation[Payment Status],ROW()-ROW(Payslip_Lookup[#Headers])))</f>
        <v/>
      </c>
      <c r="AE343" s="171" t="str">
        <f aca="false">IF(INDEX(Salary_Calculation[Source Row],ROW()-ROW(Payslip_Lookup[#Headers]))="","",INDEX(Salary_Calculation[Notes],ROW()-ROW(Payslip_Lookup[#Headers])))</f>
        <v/>
      </c>
      <c r="AF343" s="171" t="str">
        <f aca="false">IF(INDEX(Salary_Calculation[Source Row],ROW()-ROW(Payslip_Lookup[#Headers]))="","",INDEX(Salary_Calculation[Exception Reason],ROW()-ROW(Payslip_Lookup[#Headers])))</f>
        <v/>
      </c>
      <c r="AG343" s="173" t="str">
        <f aca="false">IF($AD343="Review Required",COUNTIF(AD$2:AD343,"Review Required"),"")</f>
        <v/>
      </c>
      <c r="AH343" s="173" t="str">
        <f aca="false">IF(AND($D343&lt;&gt;"",$B343=Payslip_Print!$C$2),MAX(AH$1:AH342)+1,"")</f>
        <v/>
      </c>
      <c r="AL343" s="178" t="str">
        <f aca="false">IFERROR(INDEX($D$2:$D$501,MATCH(ROW()-1,$AH$2:$AH$501,0)),"")</f>
        <v/>
      </c>
      <c r="AM343" s="179" t="str">
        <f aca="false">IF($Z343="","",IF(AND($C343&gt;=Dash_Start,$C343&lt;Dash_End),$Z343+ROW()/10000000,""))</f>
        <v/>
      </c>
    </row>
    <row r="344" customFormat="false" ht="14.25" hidden="false" customHeight="false" outlineLevel="0" collapsed="false">
      <c r="A344" s="171" t="str">
        <f aca="false">IF(Payslip_Lookup[[#This Row],[Rider ID]]="","",Payslip_Lookup[[#This Row],[Rider ID]]&amp;"|"&amp;Payslip_Lookup[[#This Row],[Month Key]])</f>
        <v/>
      </c>
      <c r="B344" s="172" t="str">
        <f aca="false">IF(ISNUMBER(Payslip_Lookup[[#This Row],[Salary Month]]),DATE(YEAR(Payslip_Lookup[[#This Row],[Salary Month]]),MONTH(Payslip_Lookup[[#This Row],[Salary Month]]),1),"")</f>
        <v/>
      </c>
      <c r="C344" s="172" t="str">
        <f aca="false">IF(INDEX(Salary_Calculation[Source Row],ROW()-ROW(Payslip_Lookup[#Headers]))="","",INDEX(Salary_Calculation[Salary Month],ROW()-ROW(Payslip_Lookup[#Headers])))</f>
        <v/>
      </c>
      <c r="D344" s="173" t="str">
        <f aca="false">IF(INDEX(Salary_Calculation[Source Row],ROW()-ROW(Payslip_Lookup[#Headers]))="","",INDEX(Salary_Calculation[Rider ID],ROW()-ROW(Payslip_Lookup[#Headers])))</f>
        <v/>
      </c>
      <c r="E344" s="171" t="str">
        <f aca="false">IF(INDEX(Salary_Calculation[Source Row],ROW()-ROW(Payslip_Lookup[#Headers]))="","",INDEX(Salary_Calculation[Rider Name],ROW()-ROW(Payslip_Lookup[#Headers])))</f>
        <v/>
      </c>
      <c r="F344" s="173" t="str">
        <f aca="false">IF(INDEX(Salary_Calculation[Source Row],ROW()-ROW(Payslip_Lookup[#Headers]))="","",INDEX(Salary_Calculation[Working Days],ROW()-ROW(Payslip_Lookup[#Headers])))</f>
        <v/>
      </c>
      <c r="G344" s="173" t="str">
        <f aca="false">IF(INDEX(Salary_Calculation[Source Row],ROW()-ROW(Payslip_Lookup[#Headers]))="","",INDEX(Salary_Calculation[Calendar Days],ROW()-ROW(Payslip_Lookup[#Headers])))</f>
        <v/>
      </c>
      <c r="H344" s="174" t="str">
        <f aca="false">IF(INDEX(Salary_Calculation[Source Row],ROW()-ROW(Payslip_Lookup[#Headers]))="","",INDEX(Salary_Calculation[Monthly Target Orders],ROW()-ROW(Payslip_Lookup[#Headers])))</f>
        <v/>
      </c>
      <c r="I344" s="174" t="str">
        <f aca="false">IF(INDEX(Salary_Calculation[Source Row],ROW()-ROW(Payslip_Lookup[#Headers]))="","",INDEX(Salary_Calculation[Rider Target Orders],ROW()-ROW(Payslip_Lookup[#Headers])))</f>
        <v/>
      </c>
      <c r="J344" s="175" t="str">
        <f aca="false">IF(INDEX(Salary_Calculation[Source Row],ROW()-ROW(Payslip_Lookup[#Headers]))="","",INDEX(Salary_Calculation[Completed Orders],ROW()-ROW(Payslip_Lookup[#Headers])))</f>
        <v/>
      </c>
      <c r="K344" s="174" t="str">
        <f aca="false">IF(INDEX(Salary_Calculation[Source Row],ROW()-ROW(Payslip_Lookup[#Headers]))="","",INDEX(Salary_Calculation[Base Order Rate],ROW()-ROW(Payslip_Lookup[#Headers])))</f>
        <v/>
      </c>
      <c r="L344" s="176" t="str">
        <f aca="false">IF(INDEX(Salary_Calculation[Source Row],ROW()-ROW(Payslip_Lookup[#Headers]))="","",INDEX(Salary_Calculation[Basic Payment],ROW()-ROW(Payslip_Lookup[#Headers])))</f>
        <v/>
      </c>
      <c r="M344" s="176" t="str">
        <f aca="false">IF(INDEX(Salary_Calculation[Source Row],ROW()-ROW(Payslip_Lookup[#Headers]))="","",INDEX(Salary_Calculation[Earned Salary],ROW()-ROW(Payslip_Lookup[#Headers])))</f>
        <v/>
      </c>
      <c r="N344" s="174" t="str">
        <f aca="false">IF(INDEX(Salary_Calculation[Source Row],ROW()-ROW(Payslip_Lookup[#Headers]))="","",INDEX(Salary_Calculation[Orders Counted at Base Rate],ROW()-ROW(Payslip_Lookup[#Headers])))</f>
        <v/>
      </c>
      <c r="O344" s="174" t="str">
        <f aca="false">IF(INDEX(Salary_Calculation[Source Row],ROW()-ROW(Payslip_Lookup[#Headers]))="","",INDEX(Salary_Calculation[Missing Orders],ROW()-ROW(Payslip_Lookup[#Headers])))</f>
        <v/>
      </c>
      <c r="P344" s="176" t="str">
        <f aca="false">IF(INDEX(Salary_Calculation[Source Row],ROW()-ROW(Payslip_Lookup[#Headers]))="","",INDEX(Salary_Calculation[Missing-Order Deduction],ROW()-ROW(Payslip_Lookup[#Headers])))</f>
        <v/>
      </c>
      <c r="Q344" s="174" t="str">
        <f aca="false">IF(INDEX(Salary_Calculation[Source Row],ROW()-ROW(Payslip_Lookup[#Headers]))="","",INDEX(Salary_Calculation[Extra Orders],ROW()-ROW(Payslip_Lookup[#Headers])))</f>
        <v/>
      </c>
      <c r="R344" s="176" t="str">
        <f aca="false">IF(INDEX(Salary_Calculation[Source Row],ROW()-ROW(Payslip_Lookup[#Headers]))="","",INDEX(Salary_Calculation[Extra-Order Bonus],ROW()-ROW(Payslip_Lookup[#Headers])))</f>
        <v/>
      </c>
      <c r="S344" s="176" t="str">
        <f aca="false">IF(INDEX(Salary_Calculation[Source Row],ROW()-ROW(Payslip_Lookup[#Headers]))="","",INDEX(Salary_Calculation[Basic Salary for Target],ROW()-ROW(Payslip_Lookup[#Headers])))</f>
        <v/>
      </c>
      <c r="T344" s="176" t="str">
        <f aca="false">IF(INDEX(Salary_Calculation[Source Row],ROW()-ROW(Payslip_Lookup[#Headers]))="","",INDEX(Salary_Calculation[Gross Salary Before Deductions],ROW()-ROW(Payslip_Lookup[#Headers])))</f>
        <v/>
      </c>
      <c r="U344" s="176" t="str">
        <f aca="false">IF(INDEX(Salary_Calculation[Source Row],ROW()-ROW(Payslip_Lookup[#Headers]))="","",INDEX(Salary_Calculation[missed_days_penalty],ROW()-ROW(Payslip_Lookup[#Headers])))</f>
        <v/>
      </c>
      <c r="V344" s="176" t="str">
        <f aca="false">IF(INDEX(Salary_Calculation[Source Row],ROW()-ROW(Payslip_Lookup[#Headers]))="","",INDEX(Salary_Calculation[Rider Balance],ROW()-ROW(Payslip_Lookup[#Headers])))</f>
        <v/>
      </c>
      <c r="W344" s="176" t="str">
        <f aca="false">IF(INDEX(Salary_Calculation[Source Row],ROW()-ROW(Payslip_Lookup[#Headers]))="","",INDEX(Salary_Calculation[stacking_deduction],ROW()-ROW(Payslip_Lookup[#Headers])))</f>
        <v/>
      </c>
      <c r="X344" s="176" t="str">
        <f aca="false">IF(INDEX(Salary_Calculation[Source Row],ROW()-ROW(Payslip_Lookup[#Headers]))="","",INDEX(Salary_Calculation[Other Deductions],ROW()-ROW(Payslip_Lookup[#Headers])))</f>
        <v/>
      </c>
      <c r="Y344" s="176" t="str">
        <f aca="false">IF(INDEX(Salary_Calculation[Source Row],ROW()-ROW(Payslip_Lookup[#Headers]))="","",INDEX(Salary_Calculation[Total Deductions],ROW()-ROW(Payslip_Lookup[#Headers])))</f>
        <v/>
      </c>
      <c r="Z344" s="176" t="str">
        <f aca="false">IF(INDEX(Salary_Calculation[Source Row],ROW()-ROW(Payslip_Lookup[#Headers]))="","",INDEX(Salary_Calculation[Final Salary],ROW()-ROW(Payslip_Lookup[#Headers])))</f>
        <v/>
      </c>
      <c r="AA344" s="176" t="str">
        <f aca="false">IF(INDEX(Salary_Calculation[Source Row],ROW()-ROW(Payslip_Lookup[#Headers]))="","",INDEX(Salary_Calculation[Negative Balance / Amount Due from Rider],ROW()-ROW(Payslip_Lookup[#Headers])))</f>
        <v/>
      </c>
      <c r="AB344" s="176" t="str">
        <f aca="false">IF(INDEX(Salary_Calculation[Source Row],ROW()-ROW(Payslip_Lookup[#Headers]))="","",INDEX(Salary_Calculation[Total Amount Due from Rider],ROW()-ROW(Payslip_Lookup[#Headers])))</f>
        <v/>
      </c>
      <c r="AC344" s="176" t="str">
        <f aca="false">IF(INDEX(Salary_Calculation[Source Row],ROW()-ROW(Payslip_Lookup[#Headers]))="","",INDEX(Salary_Calculation[Salary Before Other Deductions],ROW()-ROW(Payslip_Lookup[#Headers])))</f>
        <v/>
      </c>
      <c r="AD344" s="171" t="str">
        <f aca="false">IF(INDEX(Salary_Calculation[Source Row],ROW()-ROW(Payslip_Lookup[#Headers]))="","",INDEX(Salary_Calculation[Payment Status],ROW()-ROW(Payslip_Lookup[#Headers])))</f>
        <v/>
      </c>
      <c r="AE344" s="171" t="str">
        <f aca="false">IF(INDEX(Salary_Calculation[Source Row],ROW()-ROW(Payslip_Lookup[#Headers]))="","",INDEX(Salary_Calculation[Notes],ROW()-ROW(Payslip_Lookup[#Headers])))</f>
        <v/>
      </c>
      <c r="AF344" s="171" t="str">
        <f aca="false">IF(INDEX(Salary_Calculation[Source Row],ROW()-ROW(Payslip_Lookup[#Headers]))="","",INDEX(Salary_Calculation[Exception Reason],ROW()-ROW(Payslip_Lookup[#Headers])))</f>
        <v/>
      </c>
      <c r="AG344" s="173" t="str">
        <f aca="false">IF($AD344="Review Required",COUNTIF(AD$2:AD344,"Review Required"),"")</f>
        <v/>
      </c>
      <c r="AH344" s="173" t="str">
        <f aca="false">IF(AND($D344&lt;&gt;"",$B344=Payslip_Print!$C$2),MAX(AH$1:AH343)+1,"")</f>
        <v/>
      </c>
      <c r="AL344" s="178" t="str">
        <f aca="false">IFERROR(INDEX($D$2:$D$501,MATCH(ROW()-1,$AH$2:$AH$501,0)),"")</f>
        <v/>
      </c>
      <c r="AM344" s="179" t="str">
        <f aca="false">IF($Z344="","",IF(AND($C344&gt;=Dash_Start,$C344&lt;Dash_End),$Z344+ROW()/10000000,""))</f>
        <v/>
      </c>
    </row>
    <row r="345" customFormat="false" ht="14.25" hidden="false" customHeight="false" outlineLevel="0" collapsed="false">
      <c r="A345" s="171" t="str">
        <f aca="false">IF(Payslip_Lookup[[#This Row],[Rider ID]]="","",Payslip_Lookup[[#This Row],[Rider ID]]&amp;"|"&amp;Payslip_Lookup[[#This Row],[Month Key]])</f>
        <v/>
      </c>
      <c r="B345" s="172" t="str">
        <f aca="false">IF(ISNUMBER(Payslip_Lookup[[#This Row],[Salary Month]]),DATE(YEAR(Payslip_Lookup[[#This Row],[Salary Month]]),MONTH(Payslip_Lookup[[#This Row],[Salary Month]]),1),"")</f>
        <v/>
      </c>
      <c r="C345" s="172" t="str">
        <f aca="false">IF(INDEX(Salary_Calculation[Source Row],ROW()-ROW(Payslip_Lookup[#Headers]))="","",INDEX(Salary_Calculation[Salary Month],ROW()-ROW(Payslip_Lookup[#Headers])))</f>
        <v/>
      </c>
      <c r="D345" s="173" t="str">
        <f aca="false">IF(INDEX(Salary_Calculation[Source Row],ROW()-ROW(Payslip_Lookup[#Headers]))="","",INDEX(Salary_Calculation[Rider ID],ROW()-ROW(Payslip_Lookup[#Headers])))</f>
        <v/>
      </c>
      <c r="E345" s="171" t="str">
        <f aca="false">IF(INDEX(Salary_Calculation[Source Row],ROW()-ROW(Payslip_Lookup[#Headers]))="","",INDEX(Salary_Calculation[Rider Name],ROW()-ROW(Payslip_Lookup[#Headers])))</f>
        <v/>
      </c>
      <c r="F345" s="173" t="str">
        <f aca="false">IF(INDEX(Salary_Calculation[Source Row],ROW()-ROW(Payslip_Lookup[#Headers]))="","",INDEX(Salary_Calculation[Working Days],ROW()-ROW(Payslip_Lookup[#Headers])))</f>
        <v/>
      </c>
      <c r="G345" s="173" t="str">
        <f aca="false">IF(INDEX(Salary_Calculation[Source Row],ROW()-ROW(Payslip_Lookup[#Headers]))="","",INDEX(Salary_Calculation[Calendar Days],ROW()-ROW(Payslip_Lookup[#Headers])))</f>
        <v/>
      </c>
      <c r="H345" s="174" t="str">
        <f aca="false">IF(INDEX(Salary_Calculation[Source Row],ROW()-ROW(Payslip_Lookup[#Headers]))="","",INDEX(Salary_Calculation[Monthly Target Orders],ROW()-ROW(Payslip_Lookup[#Headers])))</f>
        <v/>
      </c>
      <c r="I345" s="174" t="str">
        <f aca="false">IF(INDEX(Salary_Calculation[Source Row],ROW()-ROW(Payslip_Lookup[#Headers]))="","",INDEX(Salary_Calculation[Rider Target Orders],ROW()-ROW(Payslip_Lookup[#Headers])))</f>
        <v/>
      </c>
      <c r="J345" s="175" t="str">
        <f aca="false">IF(INDEX(Salary_Calculation[Source Row],ROW()-ROW(Payslip_Lookup[#Headers]))="","",INDEX(Salary_Calculation[Completed Orders],ROW()-ROW(Payslip_Lookup[#Headers])))</f>
        <v/>
      </c>
      <c r="K345" s="174" t="str">
        <f aca="false">IF(INDEX(Salary_Calculation[Source Row],ROW()-ROW(Payslip_Lookup[#Headers]))="","",INDEX(Salary_Calculation[Base Order Rate],ROW()-ROW(Payslip_Lookup[#Headers])))</f>
        <v/>
      </c>
      <c r="L345" s="176" t="str">
        <f aca="false">IF(INDEX(Salary_Calculation[Source Row],ROW()-ROW(Payslip_Lookup[#Headers]))="","",INDEX(Salary_Calculation[Basic Payment],ROW()-ROW(Payslip_Lookup[#Headers])))</f>
        <v/>
      </c>
      <c r="M345" s="176" t="str">
        <f aca="false">IF(INDEX(Salary_Calculation[Source Row],ROW()-ROW(Payslip_Lookup[#Headers]))="","",INDEX(Salary_Calculation[Earned Salary],ROW()-ROW(Payslip_Lookup[#Headers])))</f>
        <v/>
      </c>
      <c r="N345" s="174" t="str">
        <f aca="false">IF(INDEX(Salary_Calculation[Source Row],ROW()-ROW(Payslip_Lookup[#Headers]))="","",INDEX(Salary_Calculation[Orders Counted at Base Rate],ROW()-ROW(Payslip_Lookup[#Headers])))</f>
        <v/>
      </c>
      <c r="O345" s="174" t="str">
        <f aca="false">IF(INDEX(Salary_Calculation[Source Row],ROW()-ROW(Payslip_Lookup[#Headers]))="","",INDEX(Salary_Calculation[Missing Orders],ROW()-ROW(Payslip_Lookup[#Headers])))</f>
        <v/>
      </c>
      <c r="P345" s="176" t="str">
        <f aca="false">IF(INDEX(Salary_Calculation[Source Row],ROW()-ROW(Payslip_Lookup[#Headers]))="","",INDEX(Salary_Calculation[Missing-Order Deduction],ROW()-ROW(Payslip_Lookup[#Headers])))</f>
        <v/>
      </c>
      <c r="Q345" s="174" t="str">
        <f aca="false">IF(INDEX(Salary_Calculation[Source Row],ROW()-ROW(Payslip_Lookup[#Headers]))="","",INDEX(Salary_Calculation[Extra Orders],ROW()-ROW(Payslip_Lookup[#Headers])))</f>
        <v/>
      </c>
      <c r="R345" s="176" t="str">
        <f aca="false">IF(INDEX(Salary_Calculation[Source Row],ROW()-ROW(Payslip_Lookup[#Headers]))="","",INDEX(Salary_Calculation[Extra-Order Bonus],ROW()-ROW(Payslip_Lookup[#Headers])))</f>
        <v/>
      </c>
      <c r="S345" s="176" t="str">
        <f aca="false">IF(INDEX(Salary_Calculation[Source Row],ROW()-ROW(Payslip_Lookup[#Headers]))="","",INDEX(Salary_Calculation[Basic Salary for Target],ROW()-ROW(Payslip_Lookup[#Headers])))</f>
        <v/>
      </c>
      <c r="T345" s="176" t="str">
        <f aca="false">IF(INDEX(Salary_Calculation[Source Row],ROW()-ROW(Payslip_Lookup[#Headers]))="","",INDEX(Salary_Calculation[Gross Salary Before Deductions],ROW()-ROW(Payslip_Lookup[#Headers])))</f>
        <v/>
      </c>
      <c r="U345" s="176" t="str">
        <f aca="false">IF(INDEX(Salary_Calculation[Source Row],ROW()-ROW(Payslip_Lookup[#Headers]))="","",INDEX(Salary_Calculation[missed_days_penalty],ROW()-ROW(Payslip_Lookup[#Headers])))</f>
        <v/>
      </c>
      <c r="V345" s="176" t="str">
        <f aca="false">IF(INDEX(Salary_Calculation[Source Row],ROW()-ROW(Payslip_Lookup[#Headers]))="","",INDEX(Salary_Calculation[Rider Balance],ROW()-ROW(Payslip_Lookup[#Headers])))</f>
        <v/>
      </c>
      <c r="W345" s="176" t="str">
        <f aca="false">IF(INDEX(Salary_Calculation[Source Row],ROW()-ROW(Payslip_Lookup[#Headers]))="","",INDEX(Salary_Calculation[stacking_deduction],ROW()-ROW(Payslip_Lookup[#Headers])))</f>
        <v/>
      </c>
      <c r="X345" s="176" t="str">
        <f aca="false">IF(INDEX(Salary_Calculation[Source Row],ROW()-ROW(Payslip_Lookup[#Headers]))="","",INDEX(Salary_Calculation[Other Deductions],ROW()-ROW(Payslip_Lookup[#Headers])))</f>
        <v/>
      </c>
      <c r="Y345" s="176" t="str">
        <f aca="false">IF(INDEX(Salary_Calculation[Source Row],ROW()-ROW(Payslip_Lookup[#Headers]))="","",INDEX(Salary_Calculation[Total Deductions],ROW()-ROW(Payslip_Lookup[#Headers])))</f>
        <v/>
      </c>
      <c r="Z345" s="176" t="str">
        <f aca="false">IF(INDEX(Salary_Calculation[Source Row],ROW()-ROW(Payslip_Lookup[#Headers]))="","",INDEX(Salary_Calculation[Final Salary],ROW()-ROW(Payslip_Lookup[#Headers])))</f>
        <v/>
      </c>
      <c r="AA345" s="176" t="str">
        <f aca="false">IF(INDEX(Salary_Calculation[Source Row],ROW()-ROW(Payslip_Lookup[#Headers]))="","",INDEX(Salary_Calculation[Negative Balance / Amount Due from Rider],ROW()-ROW(Payslip_Lookup[#Headers])))</f>
        <v/>
      </c>
      <c r="AB345" s="176" t="str">
        <f aca="false">IF(INDEX(Salary_Calculation[Source Row],ROW()-ROW(Payslip_Lookup[#Headers]))="","",INDEX(Salary_Calculation[Total Amount Due from Rider],ROW()-ROW(Payslip_Lookup[#Headers])))</f>
        <v/>
      </c>
      <c r="AC345" s="176" t="str">
        <f aca="false">IF(INDEX(Salary_Calculation[Source Row],ROW()-ROW(Payslip_Lookup[#Headers]))="","",INDEX(Salary_Calculation[Salary Before Other Deductions],ROW()-ROW(Payslip_Lookup[#Headers])))</f>
        <v/>
      </c>
      <c r="AD345" s="171" t="str">
        <f aca="false">IF(INDEX(Salary_Calculation[Source Row],ROW()-ROW(Payslip_Lookup[#Headers]))="","",INDEX(Salary_Calculation[Payment Status],ROW()-ROW(Payslip_Lookup[#Headers])))</f>
        <v/>
      </c>
      <c r="AE345" s="171" t="str">
        <f aca="false">IF(INDEX(Salary_Calculation[Source Row],ROW()-ROW(Payslip_Lookup[#Headers]))="","",INDEX(Salary_Calculation[Notes],ROW()-ROW(Payslip_Lookup[#Headers])))</f>
        <v/>
      </c>
      <c r="AF345" s="171" t="str">
        <f aca="false">IF(INDEX(Salary_Calculation[Source Row],ROW()-ROW(Payslip_Lookup[#Headers]))="","",INDEX(Salary_Calculation[Exception Reason],ROW()-ROW(Payslip_Lookup[#Headers])))</f>
        <v/>
      </c>
      <c r="AG345" s="173" t="str">
        <f aca="false">IF($AD345="Review Required",COUNTIF(AD$2:AD345,"Review Required"),"")</f>
        <v/>
      </c>
      <c r="AH345" s="173" t="str">
        <f aca="false">IF(AND($D345&lt;&gt;"",$B345=Payslip_Print!$C$2),MAX(AH$1:AH344)+1,"")</f>
        <v/>
      </c>
      <c r="AL345" s="178" t="str">
        <f aca="false">IFERROR(INDEX($D$2:$D$501,MATCH(ROW()-1,$AH$2:$AH$501,0)),"")</f>
        <v/>
      </c>
      <c r="AM345" s="179" t="str">
        <f aca="false">IF($Z345="","",IF(AND($C345&gt;=Dash_Start,$C345&lt;Dash_End),$Z345+ROW()/10000000,""))</f>
        <v/>
      </c>
    </row>
    <row r="346" customFormat="false" ht="14.25" hidden="false" customHeight="false" outlineLevel="0" collapsed="false">
      <c r="A346" s="171" t="str">
        <f aca="false">IF(Payslip_Lookup[[#This Row],[Rider ID]]="","",Payslip_Lookup[[#This Row],[Rider ID]]&amp;"|"&amp;Payslip_Lookup[[#This Row],[Month Key]])</f>
        <v/>
      </c>
      <c r="B346" s="172" t="str">
        <f aca="false">IF(ISNUMBER(Payslip_Lookup[[#This Row],[Salary Month]]),DATE(YEAR(Payslip_Lookup[[#This Row],[Salary Month]]),MONTH(Payslip_Lookup[[#This Row],[Salary Month]]),1),"")</f>
        <v/>
      </c>
      <c r="C346" s="172" t="str">
        <f aca="false">IF(INDEX(Salary_Calculation[Source Row],ROW()-ROW(Payslip_Lookup[#Headers]))="","",INDEX(Salary_Calculation[Salary Month],ROW()-ROW(Payslip_Lookup[#Headers])))</f>
        <v/>
      </c>
      <c r="D346" s="173" t="str">
        <f aca="false">IF(INDEX(Salary_Calculation[Source Row],ROW()-ROW(Payslip_Lookup[#Headers]))="","",INDEX(Salary_Calculation[Rider ID],ROW()-ROW(Payslip_Lookup[#Headers])))</f>
        <v/>
      </c>
      <c r="E346" s="171" t="str">
        <f aca="false">IF(INDEX(Salary_Calculation[Source Row],ROW()-ROW(Payslip_Lookup[#Headers]))="","",INDEX(Salary_Calculation[Rider Name],ROW()-ROW(Payslip_Lookup[#Headers])))</f>
        <v/>
      </c>
      <c r="F346" s="173" t="str">
        <f aca="false">IF(INDEX(Salary_Calculation[Source Row],ROW()-ROW(Payslip_Lookup[#Headers]))="","",INDEX(Salary_Calculation[Working Days],ROW()-ROW(Payslip_Lookup[#Headers])))</f>
        <v/>
      </c>
      <c r="G346" s="173" t="str">
        <f aca="false">IF(INDEX(Salary_Calculation[Source Row],ROW()-ROW(Payslip_Lookup[#Headers]))="","",INDEX(Salary_Calculation[Calendar Days],ROW()-ROW(Payslip_Lookup[#Headers])))</f>
        <v/>
      </c>
      <c r="H346" s="174" t="str">
        <f aca="false">IF(INDEX(Salary_Calculation[Source Row],ROW()-ROW(Payslip_Lookup[#Headers]))="","",INDEX(Salary_Calculation[Monthly Target Orders],ROW()-ROW(Payslip_Lookup[#Headers])))</f>
        <v/>
      </c>
      <c r="I346" s="174" t="str">
        <f aca="false">IF(INDEX(Salary_Calculation[Source Row],ROW()-ROW(Payslip_Lookup[#Headers]))="","",INDEX(Salary_Calculation[Rider Target Orders],ROW()-ROW(Payslip_Lookup[#Headers])))</f>
        <v/>
      </c>
      <c r="J346" s="175" t="str">
        <f aca="false">IF(INDEX(Salary_Calculation[Source Row],ROW()-ROW(Payslip_Lookup[#Headers]))="","",INDEX(Salary_Calculation[Completed Orders],ROW()-ROW(Payslip_Lookup[#Headers])))</f>
        <v/>
      </c>
      <c r="K346" s="174" t="str">
        <f aca="false">IF(INDEX(Salary_Calculation[Source Row],ROW()-ROW(Payslip_Lookup[#Headers]))="","",INDEX(Salary_Calculation[Base Order Rate],ROW()-ROW(Payslip_Lookup[#Headers])))</f>
        <v/>
      </c>
      <c r="L346" s="176" t="str">
        <f aca="false">IF(INDEX(Salary_Calculation[Source Row],ROW()-ROW(Payslip_Lookup[#Headers]))="","",INDEX(Salary_Calculation[Basic Payment],ROW()-ROW(Payslip_Lookup[#Headers])))</f>
        <v/>
      </c>
      <c r="M346" s="176" t="str">
        <f aca="false">IF(INDEX(Salary_Calculation[Source Row],ROW()-ROW(Payslip_Lookup[#Headers]))="","",INDEX(Salary_Calculation[Earned Salary],ROW()-ROW(Payslip_Lookup[#Headers])))</f>
        <v/>
      </c>
      <c r="N346" s="174" t="str">
        <f aca="false">IF(INDEX(Salary_Calculation[Source Row],ROW()-ROW(Payslip_Lookup[#Headers]))="","",INDEX(Salary_Calculation[Orders Counted at Base Rate],ROW()-ROW(Payslip_Lookup[#Headers])))</f>
        <v/>
      </c>
      <c r="O346" s="174" t="str">
        <f aca="false">IF(INDEX(Salary_Calculation[Source Row],ROW()-ROW(Payslip_Lookup[#Headers]))="","",INDEX(Salary_Calculation[Missing Orders],ROW()-ROW(Payslip_Lookup[#Headers])))</f>
        <v/>
      </c>
      <c r="P346" s="176" t="str">
        <f aca="false">IF(INDEX(Salary_Calculation[Source Row],ROW()-ROW(Payslip_Lookup[#Headers]))="","",INDEX(Salary_Calculation[Missing-Order Deduction],ROW()-ROW(Payslip_Lookup[#Headers])))</f>
        <v/>
      </c>
      <c r="Q346" s="174" t="str">
        <f aca="false">IF(INDEX(Salary_Calculation[Source Row],ROW()-ROW(Payslip_Lookup[#Headers]))="","",INDEX(Salary_Calculation[Extra Orders],ROW()-ROW(Payslip_Lookup[#Headers])))</f>
        <v/>
      </c>
      <c r="R346" s="176" t="str">
        <f aca="false">IF(INDEX(Salary_Calculation[Source Row],ROW()-ROW(Payslip_Lookup[#Headers]))="","",INDEX(Salary_Calculation[Extra-Order Bonus],ROW()-ROW(Payslip_Lookup[#Headers])))</f>
        <v/>
      </c>
      <c r="S346" s="176" t="str">
        <f aca="false">IF(INDEX(Salary_Calculation[Source Row],ROW()-ROW(Payslip_Lookup[#Headers]))="","",INDEX(Salary_Calculation[Basic Salary for Target],ROW()-ROW(Payslip_Lookup[#Headers])))</f>
        <v/>
      </c>
      <c r="T346" s="176" t="str">
        <f aca="false">IF(INDEX(Salary_Calculation[Source Row],ROW()-ROW(Payslip_Lookup[#Headers]))="","",INDEX(Salary_Calculation[Gross Salary Before Deductions],ROW()-ROW(Payslip_Lookup[#Headers])))</f>
        <v/>
      </c>
      <c r="U346" s="176" t="str">
        <f aca="false">IF(INDEX(Salary_Calculation[Source Row],ROW()-ROW(Payslip_Lookup[#Headers]))="","",INDEX(Salary_Calculation[missed_days_penalty],ROW()-ROW(Payslip_Lookup[#Headers])))</f>
        <v/>
      </c>
      <c r="V346" s="176" t="str">
        <f aca="false">IF(INDEX(Salary_Calculation[Source Row],ROW()-ROW(Payslip_Lookup[#Headers]))="","",INDEX(Salary_Calculation[Rider Balance],ROW()-ROW(Payslip_Lookup[#Headers])))</f>
        <v/>
      </c>
      <c r="W346" s="176" t="str">
        <f aca="false">IF(INDEX(Salary_Calculation[Source Row],ROW()-ROW(Payslip_Lookup[#Headers]))="","",INDEX(Salary_Calculation[stacking_deduction],ROW()-ROW(Payslip_Lookup[#Headers])))</f>
        <v/>
      </c>
      <c r="X346" s="176" t="str">
        <f aca="false">IF(INDEX(Salary_Calculation[Source Row],ROW()-ROW(Payslip_Lookup[#Headers]))="","",INDEX(Salary_Calculation[Other Deductions],ROW()-ROW(Payslip_Lookup[#Headers])))</f>
        <v/>
      </c>
      <c r="Y346" s="176" t="str">
        <f aca="false">IF(INDEX(Salary_Calculation[Source Row],ROW()-ROW(Payslip_Lookup[#Headers]))="","",INDEX(Salary_Calculation[Total Deductions],ROW()-ROW(Payslip_Lookup[#Headers])))</f>
        <v/>
      </c>
      <c r="Z346" s="176" t="str">
        <f aca="false">IF(INDEX(Salary_Calculation[Source Row],ROW()-ROW(Payslip_Lookup[#Headers]))="","",INDEX(Salary_Calculation[Final Salary],ROW()-ROW(Payslip_Lookup[#Headers])))</f>
        <v/>
      </c>
      <c r="AA346" s="176" t="str">
        <f aca="false">IF(INDEX(Salary_Calculation[Source Row],ROW()-ROW(Payslip_Lookup[#Headers]))="","",INDEX(Salary_Calculation[Negative Balance / Amount Due from Rider],ROW()-ROW(Payslip_Lookup[#Headers])))</f>
        <v/>
      </c>
      <c r="AB346" s="176" t="str">
        <f aca="false">IF(INDEX(Salary_Calculation[Source Row],ROW()-ROW(Payslip_Lookup[#Headers]))="","",INDEX(Salary_Calculation[Total Amount Due from Rider],ROW()-ROW(Payslip_Lookup[#Headers])))</f>
        <v/>
      </c>
      <c r="AC346" s="176" t="str">
        <f aca="false">IF(INDEX(Salary_Calculation[Source Row],ROW()-ROW(Payslip_Lookup[#Headers]))="","",INDEX(Salary_Calculation[Salary Before Other Deductions],ROW()-ROW(Payslip_Lookup[#Headers])))</f>
        <v/>
      </c>
      <c r="AD346" s="171" t="str">
        <f aca="false">IF(INDEX(Salary_Calculation[Source Row],ROW()-ROW(Payslip_Lookup[#Headers]))="","",INDEX(Salary_Calculation[Payment Status],ROW()-ROW(Payslip_Lookup[#Headers])))</f>
        <v/>
      </c>
      <c r="AE346" s="171" t="str">
        <f aca="false">IF(INDEX(Salary_Calculation[Source Row],ROW()-ROW(Payslip_Lookup[#Headers]))="","",INDEX(Salary_Calculation[Notes],ROW()-ROW(Payslip_Lookup[#Headers])))</f>
        <v/>
      </c>
      <c r="AF346" s="171" t="str">
        <f aca="false">IF(INDEX(Salary_Calculation[Source Row],ROW()-ROW(Payslip_Lookup[#Headers]))="","",INDEX(Salary_Calculation[Exception Reason],ROW()-ROW(Payslip_Lookup[#Headers])))</f>
        <v/>
      </c>
      <c r="AG346" s="173" t="str">
        <f aca="false">IF($AD346="Review Required",COUNTIF(AD$2:AD346,"Review Required"),"")</f>
        <v/>
      </c>
      <c r="AH346" s="173" t="str">
        <f aca="false">IF(AND($D346&lt;&gt;"",$B346=Payslip_Print!$C$2),MAX(AH$1:AH345)+1,"")</f>
        <v/>
      </c>
      <c r="AL346" s="178" t="str">
        <f aca="false">IFERROR(INDEX($D$2:$D$501,MATCH(ROW()-1,$AH$2:$AH$501,0)),"")</f>
        <v/>
      </c>
      <c r="AM346" s="179" t="str">
        <f aca="false">IF($Z346="","",IF(AND($C346&gt;=Dash_Start,$C346&lt;Dash_End),$Z346+ROW()/10000000,""))</f>
        <v/>
      </c>
    </row>
    <row r="347" customFormat="false" ht="14.25" hidden="false" customHeight="false" outlineLevel="0" collapsed="false">
      <c r="A347" s="171" t="str">
        <f aca="false">IF(Payslip_Lookup[[#This Row],[Rider ID]]="","",Payslip_Lookup[[#This Row],[Rider ID]]&amp;"|"&amp;Payslip_Lookup[[#This Row],[Month Key]])</f>
        <v/>
      </c>
      <c r="B347" s="172" t="str">
        <f aca="false">IF(ISNUMBER(Payslip_Lookup[[#This Row],[Salary Month]]),DATE(YEAR(Payslip_Lookup[[#This Row],[Salary Month]]),MONTH(Payslip_Lookup[[#This Row],[Salary Month]]),1),"")</f>
        <v/>
      </c>
      <c r="C347" s="172" t="str">
        <f aca="false">IF(INDEX(Salary_Calculation[Source Row],ROW()-ROW(Payslip_Lookup[#Headers]))="","",INDEX(Salary_Calculation[Salary Month],ROW()-ROW(Payslip_Lookup[#Headers])))</f>
        <v/>
      </c>
      <c r="D347" s="173" t="str">
        <f aca="false">IF(INDEX(Salary_Calculation[Source Row],ROW()-ROW(Payslip_Lookup[#Headers]))="","",INDEX(Salary_Calculation[Rider ID],ROW()-ROW(Payslip_Lookup[#Headers])))</f>
        <v/>
      </c>
      <c r="E347" s="171" t="str">
        <f aca="false">IF(INDEX(Salary_Calculation[Source Row],ROW()-ROW(Payslip_Lookup[#Headers]))="","",INDEX(Salary_Calculation[Rider Name],ROW()-ROW(Payslip_Lookup[#Headers])))</f>
        <v/>
      </c>
      <c r="F347" s="173" t="str">
        <f aca="false">IF(INDEX(Salary_Calculation[Source Row],ROW()-ROW(Payslip_Lookup[#Headers]))="","",INDEX(Salary_Calculation[Working Days],ROW()-ROW(Payslip_Lookup[#Headers])))</f>
        <v/>
      </c>
      <c r="G347" s="173" t="str">
        <f aca="false">IF(INDEX(Salary_Calculation[Source Row],ROW()-ROW(Payslip_Lookup[#Headers]))="","",INDEX(Salary_Calculation[Calendar Days],ROW()-ROW(Payslip_Lookup[#Headers])))</f>
        <v/>
      </c>
      <c r="H347" s="174" t="str">
        <f aca="false">IF(INDEX(Salary_Calculation[Source Row],ROW()-ROW(Payslip_Lookup[#Headers]))="","",INDEX(Salary_Calculation[Monthly Target Orders],ROW()-ROW(Payslip_Lookup[#Headers])))</f>
        <v/>
      </c>
      <c r="I347" s="174" t="str">
        <f aca="false">IF(INDEX(Salary_Calculation[Source Row],ROW()-ROW(Payslip_Lookup[#Headers]))="","",INDEX(Salary_Calculation[Rider Target Orders],ROW()-ROW(Payslip_Lookup[#Headers])))</f>
        <v/>
      </c>
      <c r="J347" s="175" t="str">
        <f aca="false">IF(INDEX(Salary_Calculation[Source Row],ROW()-ROW(Payslip_Lookup[#Headers]))="","",INDEX(Salary_Calculation[Completed Orders],ROW()-ROW(Payslip_Lookup[#Headers])))</f>
        <v/>
      </c>
      <c r="K347" s="174" t="str">
        <f aca="false">IF(INDEX(Salary_Calculation[Source Row],ROW()-ROW(Payslip_Lookup[#Headers]))="","",INDEX(Salary_Calculation[Base Order Rate],ROW()-ROW(Payslip_Lookup[#Headers])))</f>
        <v/>
      </c>
      <c r="L347" s="176" t="str">
        <f aca="false">IF(INDEX(Salary_Calculation[Source Row],ROW()-ROW(Payslip_Lookup[#Headers]))="","",INDEX(Salary_Calculation[Basic Payment],ROW()-ROW(Payslip_Lookup[#Headers])))</f>
        <v/>
      </c>
      <c r="M347" s="176" t="str">
        <f aca="false">IF(INDEX(Salary_Calculation[Source Row],ROW()-ROW(Payslip_Lookup[#Headers]))="","",INDEX(Salary_Calculation[Earned Salary],ROW()-ROW(Payslip_Lookup[#Headers])))</f>
        <v/>
      </c>
      <c r="N347" s="174" t="str">
        <f aca="false">IF(INDEX(Salary_Calculation[Source Row],ROW()-ROW(Payslip_Lookup[#Headers]))="","",INDEX(Salary_Calculation[Orders Counted at Base Rate],ROW()-ROW(Payslip_Lookup[#Headers])))</f>
        <v/>
      </c>
      <c r="O347" s="174" t="str">
        <f aca="false">IF(INDEX(Salary_Calculation[Source Row],ROW()-ROW(Payslip_Lookup[#Headers]))="","",INDEX(Salary_Calculation[Missing Orders],ROW()-ROW(Payslip_Lookup[#Headers])))</f>
        <v/>
      </c>
      <c r="P347" s="176" t="str">
        <f aca="false">IF(INDEX(Salary_Calculation[Source Row],ROW()-ROW(Payslip_Lookup[#Headers]))="","",INDEX(Salary_Calculation[Missing-Order Deduction],ROW()-ROW(Payslip_Lookup[#Headers])))</f>
        <v/>
      </c>
      <c r="Q347" s="174" t="str">
        <f aca="false">IF(INDEX(Salary_Calculation[Source Row],ROW()-ROW(Payslip_Lookup[#Headers]))="","",INDEX(Salary_Calculation[Extra Orders],ROW()-ROW(Payslip_Lookup[#Headers])))</f>
        <v/>
      </c>
      <c r="R347" s="176" t="str">
        <f aca="false">IF(INDEX(Salary_Calculation[Source Row],ROW()-ROW(Payslip_Lookup[#Headers]))="","",INDEX(Salary_Calculation[Extra-Order Bonus],ROW()-ROW(Payslip_Lookup[#Headers])))</f>
        <v/>
      </c>
      <c r="S347" s="176" t="str">
        <f aca="false">IF(INDEX(Salary_Calculation[Source Row],ROW()-ROW(Payslip_Lookup[#Headers]))="","",INDEX(Salary_Calculation[Basic Salary for Target],ROW()-ROW(Payslip_Lookup[#Headers])))</f>
        <v/>
      </c>
      <c r="T347" s="176" t="str">
        <f aca="false">IF(INDEX(Salary_Calculation[Source Row],ROW()-ROW(Payslip_Lookup[#Headers]))="","",INDEX(Salary_Calculation[Gross Salary Before Deductions],ROW()-ROW(Payslip_Lookup[#Headers])))</f>
        <v/>
      </c>
      <c r="U347" s="176" t="str">
        <f aca="false">IF(INDEX(Salary_Calculation[Source Row],ROW()-ROW(Payslip_Lookup[#Headers]))="","",INDEX(Salary_Calculation[missed_days_penalty],ROW()-ROW(Payslip_Lookup[#Headers])))</f>
        <v/>
      </c>
      <c r="V347" s="176" t="str">
        <f aca="false">IF(INDEX(Salary_Calculation[Source Row],ROW()-ROW(Payslip_Lookup[#Headers]))="","",INDEX(Salary_Calculation[Rider Balance],ROW()-ROW(Payslip_Lookup[#Headers])))</f>
        <v/>
      </c>
      <c r="W347" s="176" t="str">
        <f aca="false">IF(INDEX(Salary_Calculation[Source Row],ROW()-ROW(Payslip_Lookup[#Headers]))="","",INDEX(Salary_Calculation[stacking_deduction],ROW()-ROW(Payslip_Lookup[#Headers])))</f>
        <v/>
      </c>
      <c r="X347" s="176" t="str">
        <f aca="false">IF(INDEX(Salary_Calculation[Source Row],ROW()-ROW(Payslip_Lookup[#Headers]))="","",INDEX(Salary_Calculation[Other Deductions],ROW()-ROW(Payslip_Lookup[#Headers])))</f>
        <v/>
      </c>
      <c r="Y347" s="176" t="str">
        <f aca="false">IF(INDEX(Salary_Calculation[Source Row],ROW()-ROW(Payslip_Lookup[#Headers]))="","",INDEX(Salary_Calculation[Total Deductions],ROW()-ROW(Payslip_Lookup[#Headers])))</f>
        <v/>
      </c>
      <c r="Z347" s="176" t="str">
        <f aca="false">IF(INDEX(Salary_Calculation[Source Row],ROW()-ROW(Payslip_Lookup[#Headers]))="","",INDEX(Salary_Calculation[Final Salary],ROW()-ROW(Payslip_Lookup[#Headers])))</f>
        <v/>
      </c>
      <c r="AA347" s="176" t="str">
        <f aca="false">IF(INDEX(Salary_Calculation[Source Row],ROW()-ROW(Payslip_Lookup[#Headers]))="","",INDEX(Salary_Calculation[Negative Balance / Amount Due from Rider],ROW()-ROW(Payslip_Lookup[#Headers])))</f>
        <v/>
      </c>
      <c r="AB347" s="176" t="str">
        <f aca="false">IF(INDEX(Salary_Calculation[Source Row],ROW()-ROW(Payslip_Lookup[#Headers]))="","",INDEX(Salary_Calculation[Total Amount Due from Rider],ROW()-ROW(Payslip_Lookup[#Headers])))</f>
        <v/>
      </c>
      <c r="AC347" s="176" t="str">
        <f aca="false">IF(INDEX(Salary_Calculation[Source Row],ROW()-ROW(Payslip_Lookup[#Headers]))="","",INDEX(Salary_Calculation[Salary Before Other Deductions],ROW()-ROW(Payslip_Lookup[#Headers])))</f>
        <v/>
      </c>
      <c r="AD347" s="171" t="str">
        <f aca="false">IF(INDEX(Salary_Calculation[Source Row],ROW()-ROW(Payslip_Lookup[#Headers]))="","",INDEX(Salary_Calculation[Payment Status],ROW()-ROW(Payslip_Lookup[#Headers])))</f>
        <v/>
      </c>
      <c r="AE347" s="171" t="str">
        <f aca="false">IF(INDEX(Salary_Calculation[Source Row],ROW()-ROW(Payslip_Lookup[#Headers]))="","",INDEX(Salary_Calculation[Notes],ROW()-ROW(Payslip_Lookup[#Headers])))</f>
        <v/>
      </c>
      <c r="AF347" s="171" t="str">
        <f aca="false">IF(INDEX(Salary_Calculation[Source Row],ROW()-ROW(Payslip_Lookup[#Headers]))="","",INDEX(Salary_Calculation[Exception Reason],ROW()-ROW(Payslip_Lookup[#Headers])))</f>
        <v/>
      </c>
      <c r="AG347" s="173" t="str">
        <f aca="false">IF($AD347="Review Required",COUNTIF(AD$2:AD347,"Review Required"),"")</f>
        <v/>
      </c>
      <c r="AH347" s="173" t="str">
        <f aca="false">IF(AND($D347&lt;&gt;"",$B347=Payslip_Print!$C$2),MAX(AH$1:AH346)+1,"")</f>
        <v/>
      </c>
      <c r="AL347" s="178" t="str">
        <f aca="false">IFERROR(INDEX($D$2:$D$501,MATCH(ROW()-1,$AH$2:$AH$501,0)),"")</f>
        <v/>
      </c>
      <c r="AM347" s="179" t="str">
        <f aca="false">IF($Z347="","",IF(AND($C347&gt;=Dash_Start,$C347&lt;Dash_End),$Z347+ROW()/10000000,""))</f>
        <v/>
      </c>
    </row>
    <row r="348" customFormat="false" ht="14.25" hidden="false" customHeight="false" outlineLevel="0" collapsed="false">
      <c r="A348" s="171" t="str">
        <f aca="false">IF(Payslip_Lookup[[#This Row],[Rider ID]]="","",Payslip_Lookup[[#This Row],[Rider ID]]&amp;"|"&amp;Payslip_Lookup[[#This Row],[Month Key]])</f>
        <v/>
      </c>
      <c r="B348" s="172" t="str">
        <f aca="false">IF(ISNUMBER(Payslip_Lookup[[#This Row],[Salary Month]]),DATE(YEAR(Payslip_Lookup[[#This Row],[Salary Month]]),MONTH(Payslip_Lookup[[#This Row],[Salary Month]]),1),"")</f>
        <v/>
      </c>
      <c r="C348" s="172" t="str">
        <f aca="false">IF(INDEX(Salary_Calculation[Source Row],ROW()-ROW(Payslip_Lookup[#Headers]))="","",INDEX(Salary_Calculation[Salary Month],ROW()-ROW(Payslip_Lookup[#Headers])))</f>
        <v/>
      </c>
      <c r="D348" s="173" t="str">
        <f aca="false">IF(INDEX(Salary_Calculation[Source Row],ROW()-ROW(Payslip_Lookup[#Headers]))="","",INDEX(Salary_Calculation[Rider ID],ROW()-ROW(Payslip_Lookup[#Headers])))</f>
        <v/>
      </c>
      <c r="E348" s="171" t="str">
        <f aca="false">IF(INDEX(Salary_Calculation[Source Row],ROW()-ROW(Payslip_Lookup[#Headers]))="","",INDEX(Salary_Calculation[Rider Name],ROW()-ROW(Payslip_Lookup[#Headers])))</f>
        <v/>
      </c>
      <c r="F348" s="173" t="str">
        <f aca="false">IF(INDEX(Salary_Calculation[Source Row],ROW()-ROW(Payslip_Lookup[#Headers]))="","",INDEX(Salary_Calculation[Working Days],ROW()-ROW(Payslip_Lookup[#Headers])))</f>
        <v/>
      </c>
      <c r="G348" s="173" t="str">
        <f aca="false">IF(INDEX(Salary_Calculation[Source Row],ROW()-ROW(Payslip_Lookup[#Headers]))="","",INDEX(Salary_Calculation[Calendar Days],ROW()-ROW(Payslip_Lookup[#Headers])))</f>
        <v/>
      </c>
      <c r="H348" s="174" t="str">
        <f aca="false">IF(INDEX(Salary_Calculation[Source Row],ROW()-ROW(Payslip_Lookup[#Headers]))="","",INDEX(Salary_Calculation[Monthly Target Orders],ROW()-ROW(Payslip_Lookup[#Headers])))</f>
        <v/>
      </c>
      <c r="I348" s="174" t="str">
        <f aca="false">IF(INDEX(Salary_Calculation[Source Row],ROW()-ROW(Payslip_Lookup[#Headers]))="","",INDEX(Salary_Calculation[Rider Target Orders],ROW()-ROW(Payslip_Lookup[#Headers])))</f>
        <v/>
      </c>
      <c r="J348" s="175" t="str">
        <f aca="false">IF(INDEX(Salary_Calculation[Source Row],ROW()-ROW(Payslip_Lookup[#Headers]))="","",INDEX(Salary_Calculation[Completed Orders],ROW()-ROW(Payslip_Lookup[#Headers])))</f>
        <v/>
      </c>
      <c r="K348" s="174" t="str">
        <f aca="false">IF(INDEX(Salary_Calculation[Source Row],ROW()-ROW(Payslip_Lookup[#Headers]))="","",INDEX(Salary_Calculation[Base Order Rate],ROW()-ROW(Payslip_Lookup[#Headers])))</f>
        <v/>
      </c>
      <c r="L348" s="176" t="str">
        <f aca="false">IF(INDEX(Salary_Calculation[Source Row],ROW()-ROW(Payslip_Lookup[#Headers]))="","",INDEX(Salary_Calculation[Basic Payment],ROW()-ROW(Payslip_Lookup[#Headers])))</f>
        <v/>
      </c>
      <c r="M348" s="176" t="str">
        <f aca="false">IF(INDEX(Salary_Calculation[Source Row],ROW()-ROW(Payslip_Lookup[#Headers]))="","",INDEX(Salary_Calculation[Earned Salary],ROW()-ROW(Payslip_Lookup[#Headers])))</f>
        <v/>
      </c>
      <c r="N348" s="174" t="str">
        <f aca="false">IF(INDEX(Salary_Calculation[Source Row],ROW()-ROW(Payslip_Lookup[#Headers]))="","",INDEX(Salary_Calculation[Orders Counted at Base Rate],ROW()-ROW(Payslip_Lookup[#Headers])))</f>
        <v/>
      </c>
      <c r="O348" s="174" t="str">
        <f aca="false">IF(INDEX(Salary_Calculation[Source Row],ROW()-ROW(Payslip_Lookup[#Headers]))="","",INDEX(Salary_Calculation[Missing Orders],ROW()-ROW(Payslip_Lookup[#Headers])))</f>
        <v/>
      </c>
      <c r="P348" s="176" t="str">
        <f aca="false">IF(INDEX(Salary_Calculation[Source Row],ROW()-ROW(Payslip_Lookup[#Headers]))="","",INDEX(Salary_Calculation[Missing-Order Deduction],ROW()-ROW(Payslip_Lookup[#Headers])))</f>
        <v/>
      </c>
      <c r="Q348" s="174" t="str">
        <f aca="false">IF(INDEX(Salary_Calculation[Source Row],ROW()-ROW(Payslip_Lookup[#Headers]))="","",INDEX(Salary_Calculation[Extra Orders],ROW()-ROW(Payslip_Lookup[#Headers])))</f>
        <v/>
      </c>
      <c r="R348" s="176" t="str">
        <f aca="false">IF(INDEX(Salary_Calculation[Source Row],ROW()-ROW(Payslip_Lookup[#Headers]))="","",INDEX(Salary_Calculation[Extra-Order Bonus],ROW()-ROW(Payslip_Lookup[#Headers])))</f>
        <v/>
      </c>
      <c r="S348" s="176" t="str">
        <f aca="false">IF(INDEX(Salary_Calculation[Source Row],ROW()-ROW(Payslip_Lookup[#Headers]))="","",INDEX(Salary_Calculation[Basic Salary for Target],ROW()-ROW(Payslip_Lookup[#Headers])))</f>
        <v/>
      </c>
      <c r="T348" s="176" t="str">
        <f aca="false">IF(INDEX(Salary_Calculation[Source Row],ROW()-ROW(Payslip_Lookup[#Headers]))="","",INDEX(Salary_Calculation[Gross Salary Before Deductions],ROW()-ROW(Payslip_Lookup[#Headers])))</f>
        <v/>
      </c>
      <c r="U348" s="176" t="str">
        <f aca="false">IF(INDEX(Salary_Calculation[Source Row],ROW()-ROW(Payslip_Lookup[#Headers]))="","",INDEX(Salary_Calculation[missed_days_penalty],ROW()-ROW(Payslip_Lookup[#Headers])))</f>
        <v/>
      </c>
      <c r="V348" s="176" t="str">
        <f aca="false">IF(INDEX(Salary_Calculation[Source Row],ROW()-ROW(Payslip_Lookup[#Headers]))="","",INDEX(Salary_Calculation[Rider Balance],ROW()-ROW(Payslip_Lookup[#Headers])))</f>
        <v/>
      </c>
      <c r="W348" s="176" t="str">
        <f aca="false">IF(INDEX(Salary_Calculation[Source Row],ROW()-ROW(Payslip_Lookup[#Headers]))="","",INDEX(Salary_Calculation[stacking_deduction],ROW()-ROW(Payslip_Lookup[#Headers])))</f>
        <v/>
      </c>
      <c r="X348" s="176" t="str">
        <f aca="false">IF(INDEX(Salary_Calculation[Source Row],ROW()-ROW(Payslip_Lookup[#Headers]))="","",INDEX(Salary_Calculation[Other Deductions],ROW()-ROW(Payslip_Lookup[#Headers])))</f>
        <v/>
      </c>
      <c r="Y348" s="176" t="str">
        <f aca="false">IF(INDEX(Salary_Calculation[Source Row],ROW()-ROW(Payslip_Lookup[#Headers]))="","",INDEX(Salary_Calculation[Total Deductions],ROW()-ROW(Payslip_Lookup[#Headers])))</f>
        <v/>
      </c>
      <c r="Z348" s="176" t="str">
        <f aca="false">IF(INDEX(Salary_Calculation[Source Row],ROW()-ROW(Payslip_Lookup[#Headers]))="","",INDEX(Salary_Calculation[Final Salary],ROW()-ROW(Payslip_Lookup[#Headers])))</f>
        <v/>
      </c>
      <c r="AA348" s="176" t="str">
        <f aca="false">IF(INDEX(Salary_Calculation[Source Row],ROW()-ROW(Payslip_Lookup[#Headers]))="","",INDEX(Salary_Calculation[Negative Balance / Amount Due from Rider],ROW()-ROW(Payslip_Lookup[#Headers])))</f>
        <v/>
      </c>
      <c r="AB348" s="176" t="str">
        <f aca="false">IF(INDEX(Salary_Calculation[Source Row],ROW()-ROW(Payslip_Lookup[#Headers]))="","",INDEX(Salary_Calculation[Total Amount Due from Rider],ROW()-ROW(Payslip_Lookup[#Headers])))</f>
        <v/>
      </c>
      <c r="AC348" s="176" t="str">
        <f aca="false">IF(INDEX(Salary_Calculation[Source Row],ROW()-ROW(Payslip_Lookup[#Headers]))="","",INDEX(Salary_Calculation[Salary Before Other Deductions],ROW()-ROW(Payslip_Lookup[#Headers])))</f>
        <v/>
      </c>
      <c r="AD348" s="171" t="str">
        <f aca="false">IF(INDEX(Salary_Calculation[Source Row],ROW()-ROW(Payslip_Lookup[#Headers]))="","",INDEX(Salary_Calculation[Payment Status],ROW()-ROW(Payslip_Lookup[#Headers])))</f>
        <v/>
      </c>
      <c r="AE348" s="171" t="str">
        <f aca="false">IF(INDEX(Salary_Calculation[Source Row],ROW()-ROW(Payslip_Lookup[#Headers]))="","",INDEX(Salary_Calculation[Notes],ROW()-ROW(Payslip_Lookup[#Headers])))</f>
        <v/>
      </c>
      <c r="AF348" s="171" t="str">
        <f aca="false">IF(INDEX(Salary_Calculation[Source Row],ROW()-ROW(Payslip_Lookup[#Headers]))="","",INDEX(Salary_Calculation[Exception Reason],ROW()-ROW(Payslip_Lookup[#Headers])))</f>
        <v/>
      </c>
      <c r="AG348" s="173" t="str">
        <f aca="false">IF($AD348="Review Required",COUNTIF(AD$2:AD348,"Review Required"),"")</f>
        <v/>
      </c>
      <c r="AH348" s="173" t="str">
        <f aca="false">IF(AND($D348&lt;&gt;"",$B348=Payslip_Print!$C$2),MAX(AH$1:AH347)+1,"")</f>
        <v/>
      </c>
      <c r="AL348" s="178" t="str">
        <f aca="false">IFERROR(INDEX($D$2:$D$501,MATCH(ROW()-1,$AH$2:$AH$501,0)),"")</f>
        <v/>
      </c>
      <c r="AM348" s="179" t="str">
        <f aca="false">IF($Z348="","",IF(AND($C348&gt;=Dash_Start,$C348&lt;Dash_End),$Z348+ROW()/10000000,""))</f>
        <v/>
      </c>
    </row>
    <row r="349" customFormat="false" ht="14.25" hidden="false" customHeight="false" outlineLevel="0" collapsed="false">
      <c r="A349" s="171" t="str">
        <f aca="false">IF(Payslip_Lookup[[#This Row],[Rider ID]]="","",Payslip_Lookup[[#This Row],[Rider ID]]&amp;"|"&amp;Payslip_Lookup[[#This Row],[Month Key]])</f>
        <v/>
      </c>
      <c r="B349" s="172" t="str">
        <f aca="false">IF(ISNUMBER(Payslip_Lookup[[#This Row],[Salary Month]]),DATE(YEAR(Payslip_Lookup[[#This Row],[Salary Month]]),MONTH(Payslip_Lookup[[#This Row],[Salary Month]]),1),"")</f>
        <v/>
      </c>
      <c r="C349" s="172" t="str">
        <f aca="false">IF(INDEX(Salary_Calculation[Source Row],ROW()-ROW(Payslip_Lookup[#Headers]))="","",INDEX(Salary_Calculation[Salary Month],ROW()-ROW(Payslip_Lookup[#Headers])))</f>
        <v/>
      </c>
      <c r="D349" s="173" t="str">
        <f aca="false">IF(INDEX(Salary_Calculation[Source Row],ROW()-ROW(Payslip_Lookup[#Headers]))="","",INDEX(Salary_Calculation[Rider ID],ROW()-ROW(Payslip_Lookup[#Headers])))</f>
        <v/>
      </c>
      <c r="E349" s="171" t="str">
        <f aca="false">IF(INDEX(Salary_Calculation[Source Row],ROW()-ROW(Payslip_Lookup[#Headers]))="","",INDEX(Salary_Calculation[Rider Name],ROW()-ROW(Payslip_Lookup[#Headers])))</f>
        <v/>
      </c>
      <c r="F349" s="173" t="str">
        <f aca="false">IF(INDEX(Salary_Calculation[Source Row],ROW()-ROW(Payslip_Lookup[#Headers]))="","",INDEX(Salary_Calculation[Working Days],ROW()-ROW(Payslip_Lookup[#Headers])))</f>
        <v/>
      </c>
      <c r="G349" s="173" t="str">
        <f aca="false">IF(INDEX(Salary_Calculation[Source Row],ROW()-ROW(Payslip_Lookup[#Headers]))="","",INDEX(Salary_Calculation[Calendar Days],ROW()-ROW(Payslip_Lookup[#Headers])))</f>
        <v/>
      </c>
      <c r="H349" s="174" t="str">
        <f aca="false">IF(INDEX(Salary_Calculation[Source Row],ROW()-ROW(Payslip_Lookup[#Headers]))="","",INDEX(Salary_Calculation[Monthly Target Orders],ROW()-ROW(Payslip_Lookup[#Headers])))</f>
        <v/>
      </c>
      <c r="I349" s="174" t="str">
        <f aca="false">IF(INDEX(Salary_Calculation[Source Row],ROW()-ROW(Payslip_Lookup[#Headers]))="","",INDEX(Salary_Calculation[Rider Target Orders],ROW()-ROW(Payslip_Lookup[#Headers])))</f>
        <v/>
      </c>
      <c r="J349" s="175" t="str">
        <f aca="false">IF(INDEX(Salary_Calculation[Source Row],ROW()-ROW(Payslip_Lookup[#Headers]))="","",INDEX(Salary_Calculation[Completed Orders],ROW()-ROW(Payslip_Lookup[#Headers])))</f>
        <v/>
      </c>
      <c r="K349" s="174" t="str">
        <f aca="false">IF(INDEX(Salary_Calculation[Source Row],ROW()-ROW(Payslip_Lookup[#Headers]))="","",INDEX(Salary_Calculation[Base Order Rate],ROW()-ROW(Payslip_Lookup[#Headers])))</f>
        <v/>
      </c>
      <c r="L349" s="176" t="str">
        <f aca="false">IF(INDEX(Salary_Calculation[Source Row],ROW()-ROW(Payslip_Lookup[#Headers]))="","",INDEX(Salary_Calculation[Basic Payment],ROW()-ROW(Payslip_Lookup[#Headers])))</f>
        <v/>
      </c>
      <c r="M349" s="176" t="str">
        <f aca="false">IF(INDEX(Salary_Calculation[Source Row],ROW()-ROW(Payslip_Lookup[#Headers]))="","",INDEX(Salary_Calculation[Earned Salary],ROW()-ROW(Payslip_Lookup[#Headers])))</f>
        <v/>
      </c>
      <c r="N349" s="174" t="str">
        <f aca="false">IF(INDEX(Salary_Calculation[Source Row],ROW()-ROW(Payslip_Lookup[#Headers]))="","",INDEX(Salary_Calculation[Orders Counted at Base Rate],ROW()-ROW(Payslip_Lookup[#Headers])))</f>
        <v/>
      </c>
      <c r="O349" s="174" t="str">
        <f aca="false">IF(INDEX(Salary_Calculation[Source Row],ROW()-ROW(Payslip_Lookup[#Headers]))="","",INDEX(Salary_Calculation[Missing Orders],ROW()-ROW(Payslip_Lookup[#Headers])))</f>
        <v/>
      </c>
      <c r="P349" s="176" t="str">
        <f aca="false">IF(INDEX(Salary_Calculation[Source Row],ROW()-ROW(Payslip_Lookup[#Headers]))="","",INDEX(Salary_Calculation[Missing-Order Deduction],ROW()-ROW(Payslip_Lookup[#Headers])))</f>
        <v/>
      </c>
      <c r="Q349" s="174" t="str">
        <f aca="false">IF(INDEX(Salary_Calculation[Source Row],ROW()-ROW(Payslip_Lookup[#Headers]))="","",INDEX(Salary_Calculation[Extra Orders],ROW()-ROW(Payslip_Lookup[#Headers])))</f>
        <v/>
      </c>
      <c r="R349" s="176" t="str">
        <f aca="false">IF(INDEX(Salary_Calculation[Source Row],ROW()-ROW(Payslip_Lookup[#Headers]))="","",INDEX(Salary_Calculation[Extra-Order Bonus],ROW()-ROW(Payslip_Lookup[#Headers])))</f>
        <v/>
      </c>
      <c r="S349" s="176" t="str">
        <f aca="false">IF(INDEX(Salary_Calculation[Source Row],ROW()-ROW(Payslip_Lookup[#Headers]))="","",INDEX(Salary_Calculation[Basic Salary for Target],ROW()-ROW(Payslip_Lookup[#Headers])))</f>
        <v/>
      </c>
      <c r="T349" s="176" t="str">
        <f aca="false">IF(INDEX(Salary_Calculation[Source Row],ROW()-ROW(Payslip_Lookup[#Headers]))="","",INDEX(Salary_Calculation[Gross Salary Before Deductions],ROW()-ROW(Payslip_Lookup[#Headers])))</f>
        <v/>
      </c>
      <c r="U349" s="176" t="str">
        <f aca="false">IF(INDEX(Salary_Calculation[Source Row],ROW()-ROW(Payslip_Lookup[#Headers]))="","",INDEX(Salary_Calculation[missed_days_penalty],ROW()-ROW(Payslip_Lookup[#Headers])))</f>
        <v/>
      </c>
      <c r="V349" s="176" t="str">
        <f aca="false">IF(INDEX(Salary_Calculation[Source Row],ROW()-ROW(Payslip_Lookup[#Headers]))="","",INDEX(Salary_Calculation[Rider Balance],ROW()-ROW(Payslip_Lookup[#Headers])))</f>
        <v/>
      </c>
      <c r="W349" s="176" t="str">
        <f aca="false">IF(INDEX(Salary_Calculation[Source Row],ROW()-ROW(Payslip_Lookup[#Headers]))="","",INDEX(Salary_Calculation[stacking_deduction],ROW()-ROW(Payslip_Lookup[#Headers])))</f>
        <v/>
      </c>
      <c r="X349" s="176" t="str">
        <f aca="false">IF(INDEX(Salary_Calculation[Source Row],ROW()-ROW(Payslip_Lookup[#Headers]))="","",INDEX(Salary_Calculation[Other Deductions],ROW()-ROW(Payslip_Lookup[#Headers])))</f>
        <v/>
      </c>
      <c r="Y349" s="176" t="str">
        <f aca="false">IF(INDEX(Salary_Calculation[Source Row],ROW()-ROW(Payslip_Lookup[#Headers]))="","",INDEX(Salary_Calculation[Total Deductions],ROW()-ROW(Payslip_Lookup[#Headers])))</f>
        <v/>
      </c>
      <c r="Z349" s="176" t="str">
        <f aca="false">IF(INDEX(Salary_Calculation[Source Row],ROW()-ROW(Payslip_Lookup[#Headers]))="","",INDEX(Salary_Calculation[Final Salary],ROW()-ROW(Payslip_Lookup[#Headers])))</f>
        <v/>
      </c>
      <c r="AA349" s="176" t="str">
        <f aca="false">IF(INDEX(Salary_Calculation[Source Row],ROW()-ROW(Payslip_Lookup[#Headers]))="","",INDEX(Salary_Calculation[Negative Balance / Amount Due from Rider],ROW()-ROW(Payslip_Lookup[#Headers])))</f>
        <v/>
      </c>
      <c r="AB349" s="176" t="str">
        <f aca="false">IF(INDEX(Salary_Calculation[Source Row],ROW()-ROW(Payslip_Lookup[#Headers]))="","",INDEX(Salary_Calculation[Total Amount Due from Rider],ROW()-ROW(Payslip_Lookup[#Headers])))</f>
        <v/>
      </c>
      <c r="AC349" s="176" t="str">
        <f aca="false">IF(INDEX(Salary_Calculation[Source Row],ROW()-ROW(Payslip_Lookup[#Headers]))="","",INDEX(Salary_Calculation[Salary Before Other Deductions],ROW()-ROW(Payslip_Lookup[#Headers])))</f>
        <v/>
      </c>
      <c r="AD349" s="171" t="str">
        <f aca="false">IF(INDEX(Salary_Calculation[Source Row],ROW()-ROW(Payslip_Lookup[#Headers]))="","",INDEX(Salary_Calculation[Payment Status],ROW()-ROW(Payslip_Lookup[#Headers])))</f>
        <v/>
      </c>
      <c r="AE349" s="171" t="str">
        <f aca="false">IF(INDEX(Salary_Calculation[Source Row],ROW()-ROW(Payslip_Lookup[#Headers]))="","",INDEX(Salary_Calculation[Notes],ROW()-ROW(Payslip_Lookup[#Headers])))</f>
        <v/>
      </c>
      <c r="AF349" s="171" t="str">
        <f aca="false">IF(INDEX(Salary_Calculation[Source Row],ROW()-ROW(Payslip_Lookup[#Headers]))="","",INDEX(Salary_Calculation[Exception Reason],ROW()-ROW(Payslip_Lookup[#Headers])))</f>
        <v/>
      </c>
      <c r="AG349" s="173" t="str">
        <f aca="false">IF($AD349="Review Required",COUNTIF(AD$2:AD349,"Review Required"),"")</f>
        <v/>
      </c>
      <c r="AH349" s="173" t="str">
        <f aca="false">IF(AND($D349&lt;&gt;"",$B349=Payslip_Print!$C$2),MAX(AH$1:AH348)+1,"")</f>
        <v/>
      </c>
      <c r="AL349" s="178" t="str">
        <f aca="false">IFERROR(INDEX($D$2:$D$501,MATCH(ROW()-1,$AH$2:$AH$501,0)),"")</f>
        <v/>
      </c>
      <c r="AM349" s="179" t="str">
        <f aca="false">IF($Z349="","",IF(AND($C349&gt;=Dash_Start,$C349&lt;Dash_End),$Z349+ROW()/10000000,""))</f>
        <v/>
      </c>
    </row>
    <row r="350" customFormat="false" ht="14.25" hidden="false" customHeight="false" outlineLevel="0" collapsed="false">
      <c r="A350" s="171" t="str">
        <f aca="false">IF(Payslip_Lookup[[#This Row],[Rider ID]]="","",Payslip_Lookup[[#This Row],[Rider ID]]&amp;"|"&amp;Payslip_Lookup[[#This Row],[Month Key]])</f>
        <v/>
      </c>
      <c r="B350" s="172" t="str">
        <f aca="false">IF(ISNUMBER(Payslip_Lookup[[#This Row],[Salary Month]]),DATE(YEAR(Payslip_Lookup[[#This Row],[Salary Month]]),MONTH(Payslip_Lookup[[#This Row],[Salary Month]]),1),"")</f>
        <v/>
      </c>
      <c r="C350" s="172" t="str">
        <f aca="false">IF(INDEX(Salary_Calculation[Source Row],ROW()-ROW(Payslip_Lookup[#Headers]))="","",INDEX(Salary_Calculation[Salary Month],ROW()-ROW(Payslip_Lookup[#Headers])))</f>
        <v/>
      </c>
      <c r="D350" s="173" t="str">
        <f aca="false">IF(INDEX(Salary_Calculation[Source Row],ROW()-ROW(Payslip_Lookup[#Headers]))="","",INDEX(Salary_Calculation[Rider ID],ROW()-ROW(Payslip_Lookup[#Headers])))</f>
        <v/>
      </c>
      <c r="E350" s="171" t="str">
        <f aca="false">IF(INDEX(Salary_Calculation[Source Row],ROW()-ROW(Payslip_Lookup[#Headers]))="","",INDEX(Salary_Calculation[Rider Name],ROW()-ROW(Payslip_Lookup[#Headers])))</f>
        <v/>
      </c>
      <c r="F350" s="173" t="str">
        <f aca="false">IF(INDEX(Salary_Calculation[Source Row],ROW()-ROW(Payslip_Lookup[#Headers]))="","",INDEX(Salary_Calculation[Working Days],ROW()-ROW(Payslip_Lookup[#Headers])))</f>
        <v/>
      </c>
      <c r="G350" s="173" t="str">
        <f aca="false">IF(INDEX(Salary_Calculation[Source Row],ROW()-ROW(Payslip_Lookup[#Headers]))="","",INDEX(Salary_Calculation[Calendar Days],ROW()-ROW(Payslip_Lookup[#Headers])))</f>
        <v/>
      </c>
      <c r="H350" s="174" t="str">
        <f aca="false">IF(INDEX(Salary_Calculation[Source Row],ROW()-ROW(Payslip_Lookup[#Headers]))="","",INDEX(Salary_Calculation[Monthly Target Orders],ROW()-ROW(Payslip_Lookup[#Headers])))</f>
        <v/>
      </c>
      <c r="I350" s="174" t="str">
        <f aca="false">IF(INDEX(Salary_Calculation[Source Row],ROW()-ROW(Payslip_Lookup[#Headers]))="","",INDEX(Salary_Calculation[Rider Target Orders],ROW()-ROW(Payslip_Lookup[#Headers])))</f>
        <v/>
      </c>
      <c r="J350" s="175" t="str">
        <f aca="false">IF(INDEX(Salary_Calculation[Source Row],ROW()-ROW(Payslip_Lookup[#Headers]))="","",INDEX(Salary_Calculation[Completed Orders],ROW()-ROW(Payslip_Lookup[#Headers])))</f>
        <v/>
      </c>
      <c r="K350" s="174" t="str">
        <f aca="false">IF(INDEX(Salary_Calculation[Source Row],ROW()-ROW(Payslip_Lookup[#Headers]))="","",INDEX(Salary_Calculation[Base Order Rate],ROW()-ROW(Payslip_Lookup[#Headers])))</f>
        <v/>
      </c>
      <c r="L350" s="176" t="str">
        <f aca="false">IF(INDEX(Salary_Calculation[Source Row],ROW()-ROW(Payslip_Lookup[#Headers]))="","",INDEX(Salary_Calculation[Basic Payment],ROW()-ROW(Payslip_Lookup[#Headers])))</f>
        <v/>
      </c>
      <c r="M350" s="176" t="str">
        <f aca="false">IF(INDEX(Salary_Calculation[Source Row],ROW()-ROW(Payslip_Lookup[#Headers]))="","",INDEX(Salary_Calculation[Earned Salary],ROW()-ROW(Payslip_Lookup[#Headers])))</f>
        <v/>
      </c>
      <c r="N350" s="174" t="str">
        <f aca="false">IF(INDEX(Salary_Calculation[Source Row],ROW()-ROW(Payslip_Lookup[#Headers]))="","",INDEX(Salary_Calculation[Orders Counted at Base Rate],ROW()-ROW(Payslip_Lookup[#Headers])))</f>
        <v/>
      </c>
      <c r="O350" s="174" t="str">
        <f aca="false">IF(INDEX(Salary_Calculation[Source Row],ROW()-ROW(Payslip_Lookup[#Headers]))="","",INDEX(Salary_Calculation[Missing Orders],ROW()-ROW(Payslip_Lookup[#Headers])))</f>
        <v/>
      </c>
      <c r="P350" s="176" t="str">
        <f aca="false">IF(INDEX(Salary_Calculation[Source Row],ROW()-ROW(Payslip_Lookup[#Headers]))="","",INDEX(Salary_Calculation[Missing-Order Deduction],ROW()-ROW(Payslip_Lookup[#Headers])))</f>
        <v/>
      </c>
      <c r="Q350" s="174" t="str">
        <f aca="false">IF(INDEX(Salary_Calculation[Source Row],ROW()-ROW(Payslip_Lookup[#Headers]))="","",INDEX(Salary_Calculation[Extra Orders],ROW()-ROW(Payslip_Lookup[#Headers])))</f>
        <v/>
      </c>
      <c r="R350" s="176" t="str">
        <f aca="false">IF(INDEX(Salary_Calculation[Source Row],ROW()-ROW(Payslip_Lookup[#Headers]))="","",INDEX(Salary_Calculation[Extra-Order Bonus],ROW()-ROW(Payslip_Lookup[#Headers])))</f>
        <v/>
      </c>
      <c r="S350" s="176" t="str">
        <f aca="false">IF(INDEX(Salary_Calculation[Source Row],ROW()-ROW(Payslip_Lookup[#Headers]))="","",INDEX(Salary_Calculation[Basic Salary for Target],ROW()-ROW(Payslip_Lookup[#Headers])))</f>
        <v/>
      </c>
      <c r="T350" s="176" t="str">
        <f aca="false">IF(INDEX(Salary_Calculation[Source Row],ROW()-ROW(Payslip_Lookup[#Headers]))="","",INDEX(Salary_Calculation[Gross Salary Before Deductions],ROW()-ROW(Payslip_Lookup[#Headers])))</f>
        <v/>
      </c>
      <c r="U350" s="176" t="str">
        <f aca="false">IF(INDEX(Salary_Calculation[Source Row],ROW()-ROW(Payslip_Lookup[#Headers]))="","",INDEX(Salary_Calculation[missed_days_penalty],ROW()-ROW(Payslip_Lookup[#Headers])))</f>
        <v/>
      </c>
      <c r="V350" s="176" t="str">
        <f aca="false">IF(INDEX(Salary_Calculation[Source Row],ROW()-ROW(Payslip_Lookup[#Headers]))="","",INDEX(Salary_Calculation[Rider Balance],ROW()-ROW(Payslip_Lookup[#Headers])))</f>
        <v/>
      </c>
      <c r="W350" s="176" t="str">
        <f aca="false">IF(INDEX(Salary_Calculation[Source Row],ROW()-ROW(Payslip_Lookup[#Headers]))="","",INDEX(Salary_Calculation[stacking_deduction],ROW()-ROW(Payslip_Lookup[#Headers])))</f>
        <v/>
      </c>
      <c r="X350" s="176" t="str">
        <f aca="false">IF(INDEX(Salary_Calculation[Source Row],ROW()-ROW(Payslip_Lookup[#Headers]))="","",INDEX(Salary_Calculation[Other Deductions],ROW()-ROW(Payslip_Lookup[#Headers])))</f>
        <v/>
      </c>
      <c r="Y350" s="176" t="str">
        <f aca="false">IF(INDEX(Salary_Calculation[Source Row],ROW()-ROW(Payslip_Lookup[#Headers]))="","",INDEX(Salary_Calculation[Total Deductions],ROW()-ROW(Payslip_Lookup[#Headers])))</f>
        <v/>
      </c>
      <c r="Z350" s="176" t="str">
        <f aca="false">IF(INDEX(Salary_Calculation[Source Row],ROW()-ROW(Payslip_Lookup[#Headers]))="","",INDEX(Salary_Calculation[Final Salary],ROW()-ROW(Payslip_Lookup[#Headers])))</f>
        <v/>
      </c>
      <c r="AA350" s="176" t="str">
        <f aca="false">IF(INDEX(Salary_Calculation[Source Row],ROW()-ROW(Payslip_Lookup[#Headers]))="","",INDEX(Salary_Calculation[Negative Balance / Amount Due from Rider],ROW()-ROW(Payslip_Lookup[#Headers])))</f>
        <v/>
      </c>
      <c r="AB350" s="176" t="str">
        <f aca="false">IF(INDEX(Salary_Calculation[Source Row],ROW()-ROW(Payslip_Lookup[#Headers]))="","",INDEX(Salary_Calculation[Total Amount Due from Rider],ROW()-ROW(Payslip_Lookup[#Headers])))</f>
        <v/>
      </c>
      <c r="AC350" s="176" t="str">
        <f aca="false">IF(INDEX(Salary_Calculation[Source Row],ROW()-ROW(Payslip_Lookup[#Headers]))="","",INDEX(Salary_Calculation[Salary Before Other Deductions],ROW()-ROW(Payslip_Lookup[#Headers])))</f>
        <v/>
      </c>
      <c r="AD350" s="171" t="str">
        <f aca="false">IF(INDEX(Salary_Calculation[Source Row],ROW()-ROW(Payslip_Lookup[#Headers]))="","",INDEX(Salary_Calculation[Payment Status],ROW()-ROW(Payslip_Lookup[#Headers])))</f>
        <v/>
      </c>
      <c r="AE350" s="171" t="str">
        <f aca="false">IF(INDEX(Salary_Calculation[Source Row],ROW()-ROW(Payslip_Lookup[#Headers]))="","",INDEX(Salary_Calculation[Notes],ROW()-ROW(Payslip_Lookup[#Headers])))</f>
        <v/>
      </c>
      <c r="AF350" s="171" t="str">
        <f aca="false">IF(INDEX(Salary_Calculation[Source Row],ROW()-ROW(Payslip_Lookup[#Headers]))="","",INDEX(Salary_Calculation[Exception Reason],ROW()-ROW(Payslip_Lookup[#Headers])))</f>
        <v/>
      </c>
      <c r="AG350" s="173" t="str">
        <f aca="false">IF($AD350="Review Required",COUNTIF(AD$2:AD350,"Review Required"),"")</f>
        <v/>
      </c>
      <c r="AH350" s="173" t="str">
        <f aca="false">IF(AND($D350&lt;&gt;"",$B350=Payslip_Print!$C$2),MAX(AH$1:AH349)+1,"")</f>
        <v/>
      </c>
      <c r="AL350" s="178" t="str">
        <f aca="false">IFERROR(INDEX($D$2:$D$501,MATCH(ROW()-1,$AH$2:$AH$501,0)),"")</f>
        <v/>
      </c>
      <c r="AM350" s="179" t="str">
        <f aca="false">IF($Z350="","",IF(AND($C350&gt;=Dash_Start,$C350&lt;Dash_End),$Z350+ROW()/10000000,""))</f>
        <v/>
      </c>
    </row>
    <row r="351" customFormat="false" ht="14.25" hidden="false" customHeight="false" outlineLevel="0" collapsed="false">
      <c r="A351" s="171" t="str">
        <f aca="false">IF(Payslip_Lookup[[#This Row],[Rider ID]]="","",Payslip_Lookup[[#This Row],[Rider ID]]&amp;"|"&amp;Payslip_Lookup[[#This Row],[Month Key]])</f>
        <v/>
      </c>
      <c r="B351" s="172" t="str">
        <f aca="false">IF(ISNUMBER(Payslip_Lookup[[#This Row],[Salary Month]]),DATE(YEAR(Payslip_Lookup[[#This Row],[Salary Month]]),MONTH(Payslip_Lookup[[#This Row],[Salary Month]]),1),"")</f>
        <v/>
      </c>
      <c r="C351" s="172" t="str">
        <f aca="false">IF(INDEX(Salary_Calculation[Source Row],ROW()-ROW(Payslip_Lookup[#Headers]))="","",INDEX(Salary_Calculation[Salary Month],ROW()-ROW(Payslip_Lookup[#Headers])))</f>
        <v/>
      </c>
      <c r="D351" s="173" t="str">
        <f aca="false">IF(INDEX(Salary_Calculation[Source Row],ROW()-ROW(Payslip_Lookup[#Headers]))="","",INDEX(Salary_Calculation[Rider ID],ROW()-ROW(Payslip_Lookup[#Headers])))</f>
        <v/>
      </c>
      <c r="E351" s="171" t="str">
        <f aca="false">IF(INDEX(Salary_Calculation[Source Row],ROW()-ROW(Payslip_Lookup[#Headers]))="","",INDEX(Salary_Calculation[Rider Name],ROW()-ROW(Payslip_Lookup[#Headers])))</f>
        <v/>
      </c>
      <c r="F351" s="173" t="str">
        <f aca="false">IF(INDEX(Salary_Calculation[Source Row],ROW()-ROW(Payslip_Lookup[#Headers]))="","",INDEX(Salary_Calculation[Working Days],ROW()-ROW(Payslip_Lookup[#Headers])))</f>
        <v/>
      </c>
      <c r="G351" s="173" t="str">
        <f aca="false">IF(INDEX(Salary_Calculation[Source Row],ROW()-ROW(Payslip_Lookup[#Headers]))="","",INDEX(Salary_Calculation[Calendar Days],ROW()-ROW(Payslip_Lookup[#Headers])))</f>
        <v/>
      </c>
      <c r="H351" s="174" t="str">
        <f aca="false">IF(INDEX(Salary_Calculation[Source Row],ROW()-ROW(Payslip_Lookup[#Headers]))="","",INDEX(Salary_Calculation[Monthly Target Orders],ROW()-ROW(Payslip_Lookup[#Headers])))</f>
        <v/>
      </c>
      <c r="I351" s="174" t="str">
        <f aca="false">IF(INDEX(Salary_Calculation[Source Row],ROW()-ROW(Payslip_Lookup[#Headers]))="","",INDEX(Salary_Calculation[Rider Target Orders],ROW()-ROW(Payslip_Lookup[#Headers])))</f>
        <v/>
      </c>
      <c r="J351" s="175" t="str">
        <f aca="false">IF(INDEX(Salary_Calculation[Source Row],ROW()-ROW(Payslip_Lookup[#Headers]))="","",INDEX(Salary_Calculation[Completed Orders],ROW()-ROW(Payslip_Lookup[#Headers])))</f>
        <v/>
      </c>
      <c r="K351" s="174" t="str">
        <f aca="false">IF(INDEX(Salary_Calculation[Source Row],ROW()-ROW(Payslip_Lookup[#Headers]))="","",INDEX(Salary_Calculation[Base Order Rate],ROW()-ROW(Payslip_Lookup[#Headers])))</f>
        <v/>
      </c>
      <c r="L351" s="176" t="str">
        <f aca="false">IF(INDEX(Salary_Calculation[Source Row],ROW()-ROW(Payslip_Lookup[#Headers]))="","",INDEX(Salary_Calculation[Basic Payment],ROW()-ROW(Payslip_Lookup[#Headers])))</f>
        <v/>
      </c>
      <c r="M351" s="176" t="str">
        <f aca="false">IF(INDEX(Salary_Calculation[Source Row],ROW()-ROW(Payslip_Lookup[#Headers]))="","",INDEX(Salary_Calculation[Earned Salary],ROW()-ROW(Payslip_Lookup[#Headers])))</f>
        <v/>
      </c>
      <c r="N351" s="174" t="str">
        <f aca="false">IF(INDEX(Salary_Calculation[Source Row],ROW()-ROW(Payslip_Lookup[#Headers]))="","",INDEX(Salary_Calculation[Orders Counted at Base Rate],ROW()-ROW(Payslip_Lookup[#Headers])))</f>
        <v/>
      </c>
      <c r="O351" s="174" t="str">
        <f aca="false">IF(INDEX(Salary_Calculation[Source Row],ROW()-ROW(Payslip_Lookup[#Headers]))="","",INDEX(Salary_Calculation[Missing Orders],ROW()-ROW(Payslip_Lookup[#Headers])))</f>
        <v/>
      </c>
      <c r="P351" s="176" t="str">
        <f aca="false">IF(INDEX(Salary_Calculation[Source Row],ROW()-ROW(Payslip_Lookup[#Headers]))="","",INDEX(Salary_Calculation[Missing-Order Deduction],ROW()-ROW(Payslip_Lookup[#Headers])))</f>
        <v/>
      </c>
      <c r="Q351" s="174" t="str">
        <f aca="false">IF(INDEX(Salary_Calculation[Source Row],ROW()-ROW(Payslip_Lookup[#Headers]))="","",INDEX(Salary_Calculation[Extra Orders],ROW()-ROW(Payslip_Lookup[#Headers])))</f>
        <v/>
      </c>
      <c r="R351" s="176" t="str">
        <f aca="false">IF(INDEX(Salary_Calculation[Source Row],ROW()-ROW(Payslip_Lookup[#Headers]))="","",INDEX(Salary_Calculation[Extra-Order Bonus],ROW()-ROW(Payslip_Lookup[#Headers])))</f>
        <v/>
      </c>
      <c r="S351" s="176" t="str">
        <f aca="false">IF(INDEX(Salary_Calculation[Source Row],ROW()-ROW(Payslip_Lookup[#Headers]))="","",INDEX(Salary_Calculation[Basic Salary for Target],ROW()-ROW(Payslip_Lookup[#Headers])))</f>
        <v/>
      </c>
      <c r="T351" s="176" t="str">
        <f aca="false">IF(INDEX(Salary_Calculation[Source Row],ROW()-ROW(Payslip_Lookup[#Headers]))="","",INDEX(Salary_Calculation[Gross Salary Before Deductions],ROW()-ROW(Payslip_Lookup[#Headers])))</f>
        <v/>
      </c>
      <c r="U351" s="176" t="str">
        <f aca="false">IF(INDEX(Salary_Calculation[Source Row],ROW()-ROW(Payslip_Lookup[#Headers]))="","",INDEX(Salary_Calculation[missed_days_penalty],ROW()-ROW(Payslip_Lookup[#Headers])))</f>
        <v/>
      </c>
      <c r="V351" s="176" t="str">
        <f aca="false">IF(INDEX(Salary_Calculation[Source Row],ROW()-ROW(Payslip_Lookup[#Headers]))="","",INDEX(Salary_Calculation[Rider Balance],ROW()-ROW(Payslip_Lookup[#Headers])))</f>
        <v/>
      </c>
      <c r="W351" s="176" t="str">
        <f aca="false">IF(INDEX(Salary_Calculation[Source Row],ROW()-ROW(Payslip_Lookup[#Headers]))="","",INDEX(Salary_Calculation[stacking_deduction],ROW()-ROW(Payslip_Lookup[#Headers])))</f>
        <v/>
      </c>
      <c r="X351" s="176" t="str">
        <f aca="false">IF(INDEX(Salary_Calculation[Source Row],ROW()-ROW(Payslip_Lookup[#Headers]))="","",INDEX(Salary_Calculation[Other Deductions],ROW()-ROW(Payslip_Lookup[#Headers])))</f>
        <v/>
      </c>
      <c r="Y351" s="176" t="str">
        <f aca="false">IF(INDEX(Salary_Calculation[Source Row],ROW()-ROW(Payslip_Lookup[#Headers]))="","",INDEX(Salary_Calculation[Total Deductions],ROW()-ROW(Payslip_Lookup[#Headers])))</f>
        <v/>
      </c>
      <c r="Z351" s="176" t="str">
        <f aca="false">IF(INDEX(Salary_Calculation[Source Row],ROW()-ROW(Payslip_Lookup[#Headers]))="","",INDEX(Salary_Calculation[Final Salary],ROW()-ROW(Payslip_Lookup[#Headers])))</f>
        <v/>
      </c>
      <c r="AA351" s="176" t="str">
        <f aca="false">IF(INDEX(Salary_Calculation[Source Row],ROW()-ROW(Payslip_Lookup[#Headers]))="","",INDEX(Salary_Calculation[Negative Balance / Amount Due from Rider],ROW()-ROW(Payslip_Lookup[#Headers])))</f>
        <v/>
      </c>
      <c r="AB351" s="176" t="str">
        <f aca="false">IF(INDEX(Salary_Calculation[Source Row],ROW()-ROW(Payslip_Lookup[#Headers]))="","",INDEX(Salary_Calculation[Total Amount Due from Rider],ROW()-ROW(Payslip_Lookup[#Headers])))</f>
        <v/>
      </c>
      <c r="AC351" s="176" t="str">
        <f aca="false">IF(INDEX(Salary_Calculation[Source Row],ROW()-ROW(Payslip_Lookup[#Headers]))="","",INDEX(Salary_Calculation[Salary Before Other Deductions],ROW()-ROW(Payslip_Lookup[#Headers])))</f>
        <v/>
      </c>
      <c r="AD351" s="171" t="str">
        <f aca="false">IF(INDEX(Salary_Calculation[Source Row],ROW()-ROW(Payslip_Lookup[#Headers]))="","",INDEX(Salary_Calculation[Payment Status],ROW()-ROW(Payslip_Lookup[#Headers])))</f>
        <v/>
      </c>
      <c r="AE351" s="171" t="str">
        <f aca="false">IF(INDEX(Salary_Calculation[Source Row],ROW()-ROW(Payslip_Lookup[#Headers]))="","",INDEX(Salary_Calculation[Notes],ROW()-ROW(Payslip_Lookup[#Headers])))</f>
        <v/>
      </c>
      <c r="AF351" s="171" t="str">
        <f aca="false">IF(INDEX(Salary_Calculation[Source Row],ROW()-ROW(Payslip_Lookup[#Headers]))="","",INDEX(Salary_Calculation[Exception Reason],ROW()-ROW(Payslip_Lookup[#Headers])))</f>
        <v/>
      </c>
      <c r="AG351" s="173" t="str">
        <f aca="false">IF($AD351="Review Required",COUNTIF(AD$2:AD351,"Review Required"),"")</f>
        <v/>
      </c>
      <c r="AH351" s="173" t="str">
        <f aca="false">IF(AND($D351&lt;&gt;"",$B351=Payslip_Print!$C$2),MAX(AH$1:AH350)+1,"")</f>
        <v/>
      </c>
      <c r="AL351" s="178" t="str">
        <f aca="false">IFERROR(INDEX($D$2:$D$501,MATCH(ROW()-1,$AH$2:$AH$501,0)),"")</f>
        <v/>
      </c>
      <c r="AM351" s="179" t="str">
        <f aca="false">IF($Z351="","",IF(AND($C351&gt;=Dash_Start,$C351&lt;Dash_End),$Z351+ROW()/10000000,""))</f>
        <v/>
      </c>
    </row>
    <row r="352" customFormat="false" ht="14.25" hidden="false" customHeight="false" outlineLevel="0" collapsed="false">
      <c r="A352" s="171" t="str">
        <f aca="false">IF(Payslip_Lookup[[#This Row],[Rider ID]]="","",Payslip_Lookup[[#This Row],[Rider ID]]&amp;"|"&amp;Payslip_Lookup[[#This Row],[Month Key]])</f>
        <v/>
      </c>
      <c r="B352" s="172" t="str">
        <f aca="false">IF(ISNUMBER(Payslip_Lookup[[#This Row],[Salary Month]]),DATE(YEAR(Payslip_Lookup[[#This Row],[Salary Month]]),MONTH(Payslip_Lookup[[#This Row],[Salary Month]]),1),"")</f>
        <v/>
      </c>
      <c r="C352" s="172" t="str">
        <f aca="false">IF(INDEX(Salary_Calculation[Source Row],ROW()-ROW(Payslip_Lookup[#Headers]))="","",INDEX(Salary_Calculation[Salary Month],ROW()-ROW(Payslip_Lookup[#Headers])))</f>
        <v/>
      </c>
      <c r="D352" s="173" t="str">
        <f aca="false">IF(INDEX(Salary_Calculation[Source Row],ROW()-ROW(Payslip_Lookup[#Headers]))="","",INDEX(Salary_Calculation[Rider ID],ROW()-ROW(Payslip_Lookup[#Headers])))</f>
        <v/>
      </c>
      <c r="E352" s="171" t="str">
        <f aca="false">IF(INDEX(Salary_Calculation[Source Row],ROW()-ROW(Payslip_Lookup[#Headers]))="","",INDEX(Salary_Calculation[Rider Name],ROW()-ROW(Payslip_Lookup[#Headers])))</f>
        <v/>
      </c>
      <c r="F352" s="173" t="str">
        <f aca="false">IF(INDEX(Salary_Calculation[Source Row],ROW()-ROW(Payslip_Lookup[#Headers]))="","",INDEX(Salary_Calculation[Working Days],ROW()-ROW(Payslip_Lookup[#Headers])))</f>
        <v/>
      </c>
      <c r="G352" s="173" t="str">
        <f aca="false">IF(INDEX(Salary_Calculation[Source Row],ROW()-ROW(Payslip_Lookup[#Headers]))="","",INDEX(Salary_Calculation[Calendar Days],ROW()-ROW(Payslip_Lookup[#Headers])))</f>
        <v/>
      </c>
      <c r="H352" s="174" t="str">
        <f aca="false">IF(INDEX(Salary_Calculation[Source Row],ROW()-ROW(Payslip_Lookup[#Headers]))="","",INDEX(Salary_Calculation[Monthly Target Orders],ROW()-ROW(Payslip_Lookup[#Headers])))</f>
        <v/>
      </c>
      <c r="I352" s="174" t="str">
        <f aca="false">IF(INDEX(Salary_Calculation[Source Row],ROW()-ROW(Payslip_Lookup[#Headers]))="","",INDEX(Salary_Calculation[Rider Target Orders],ROW()-ROW(Payslip_Lookup[#Headers])))</f>
        <v/>
      </c>
      <c r="J352" s="175" t="str">
        <f aca="false">IF(INDEX(Salary_Calculation[Source Row],ROW()-ROW(Payslip_Lookup[#Headers]))="","",INDEX(Salary_Calculation[Completed Orders],ROW()-ROW(Payslip_Lookup[#Headers])))</f>
        <v/>
      </c>
      <c r="K352" s="174" t="str">
        <f aca="false">IF(INDEX(Salary_Calculation[Source Row],ROW()-ROW(Payslip_Lookup[#Headers]))="","",INDEX(Salary_Calculation[Base Order Rate],ROW()-ROW(Payslip_Lookup[#Headers])))</f>
        <v/>
      </c>
      <c r="L352" s="176" t="str">
        <f aca="false">IF(INDEX(Salary_Calculation[Source Row],ROW()-ROW(Payslip_Lookup[#Headers]))="","",INDEX(Salary_Calculation[Basic Payment],ROW()-ROW(Payslip_Lookup[#Headers])))</f>
        <v/>
      </c>
      <c r="M352" s="176" t="str">
        <f aca="false">IF(INDEX(Salary_Calculation[Source Row],ROW()-ROW(Payslip_Lookup[#Headers]))="","",INDEX(Salary_Calculation[Earned Salary],ROW()-ROW(Payslip_Lookup[#Headers])))</f>
        <v/>
      </c>
      <c r="N352" s="174" t="str">
        <f aca="false">IF(INDEX(Salary_Calculation[Source Row],ROW()-ROW(Payslip_Lookup[#Headers]))="","",INDEX(Salary_Calculation[Orders Counted at Base Rate],ROW()-ROW(Payslip_Lookup[#Headers])))</f>
        <v/>
      </c>
      <c r="O352" s="174" t="str">
        <f aca="false">IF(INDEX(Salary_Calculation[Source Row],ROW()-ROW(Payslip_Lookup[#Headers]))="","",INDEX(Salary_Calculation[Missing Orders],ROW()-ROW(Payslip_Lookup[#Headers])))</f>
        <v/>
      </c>
      <c r="P352" s="176" t="str">
        <f aca="false">IF(INDEX(Salary_Calculation[Source Row],ROW()-ROW(Payslip_Lookup[#Headers]))="","",INDEX(Salary_Calculation[Missing-Order Deduction],ROW()-ROW(Payslip_Lookup[#Headers])))</f>
        <v/>
      </c>
      <c r="Q352" s="174" t="str">
        <f aca="false">IF(INDEX(Salary_Calculation[Source Row],ROW()-ROW(Payslip_Lookup[#Headers]))="","",INDEX(Salary_Calculation[Extra Orders],ROW()-ROW(Payslip_Lookup[#Headers])))</f>
        <v/>
      </c>
      <c r="R352" s="176" t="str">
        <f aca="false">IF(INDEX(Salary_Calculation[Source Row],ROW()-ROW(Payslip_Lookup[#Headers]))="","",INDEX(Salary_Calculation[Extra-Order Bonus],ROW()-ROW(Payslip_Lookup[#Headers])))</f>
        <v/>
      </c>
      <c r="S352" s="176" t="str">
        <f aca="false">IF(INDEX(Salary_Calculation[Source Row],ROW()-ROW(Payslip_Lookup[#Headers]))="","",INDEX(Salary_Calculation[Basic Salary for Target],ROW()-ROW(Payslip_Lookup[#Headers])))</f>
        <v/>
      </c>
      <c r="T352" s="176" t="str">
        <f aca="false">IF(INDEX(Salary_Calculation[Source Row],ROW()-ROW(Payslip_Lookup[#Headers]))="","",INDEX(Salary_Calculation[Gross Salary Before Deductions],ROW()-ROW(Payslip_Lookup[#Headers])))</f>
        <v/>
      </c>
      <c r="U352" s="176" t="str">
        <f aca="false">IF(INDEX(Salary_Calculation[Source Row],ROW()-ROW(Payslip_Lookup[#Headers]))="","",INDEX(Salary_Calculation[missed_days_penalty],ROW()-ROW(Payslip_Lookup[#Headers])))</f>
        <v/>
      </c>
      <c r="V352" s="176" t="str">
        <f aca="false">IF(INDEX(Salary_Calculation[Source Row],ROW()-ROW(Payslip_Lookup[#Headers]))="","",INDEX(Salary_Calculation[Rider Balance],ROW()-ROW(Payslip_Lookup[#Headers])))</f>
        <v/>
      </c>
      <c r="W352" s="176" t="str">
        <f aca="false">IF(INDEX(Salary_Calculation[Source Row],ROW()-ROW(Payslip_Lookup[#Headers]))="","",INDEX(Salary_Calculation[stacking_deduction],ROW()-ROW(Payslip_Lookup[#Headers])))</f>
        <v/>
      </c>
      <c r="X352" s="176" t="str">
        <f aca="false">IF(INDEX(Salary_Calculation[Source Row],ROW()-ROW(Payslip_Lookup[#Headers]))="","",INDEX(Salary_Calculation[Other Deductions],ROW()-ROW(Payslip_Lookup[#Headers])))</f>
        <v/>
      </c>
      <c r="Y352" s="176" t="str">
        <f aca="false">IF(INDEX(Salary_Calculation[Source Row],ROW()-ROW(Payslip_Lookup[#Headers]))="","",INDEX(Salary_Calculation[Total Deductions],ROW()-ROW(Payslip_Lookup[#Headers])))</f>
        <v/>
      </c>
      <c r="Z352" s="176" t="str">
        <f aca="false">IF(INDEX(Salary_Calculation[Source Row],ROW()-ROW(Payslip_Lookup[#Headers]))="","",INDEX(Salary_Calculation[Final Salary],ROW()-ROW(Payslip_Lookup[#Headers])))</f>
        <v/>
      </c>
      <c r="AA352" s="176" t="str">
        <f aca="false">IF(INDEX(Salary_Calculation[Source Row],ROW()-ROW(Payslip_Lookup[#Headers]))="","",INDEX(Salary_Calculation[Negative Balance / Amount Due from Rider],ROW()-ROW(Payslip_Lookup[#Headers])))</f>
        <v/>
      </c>
      <c r="AB352" s="176" t="str">
        <f aca="false">IF(INDEX(Salary_Calculation[Source Row],ROW()-ROW(Payslip_Lookup[#Headers]))="","",INDEX(Salary_Calculation[Total Amount Due from Rider],ROW()-ROW(Payslip_Lookup[#Headers])))</f>
        <v/>
      </c>
      <c r="AC352" s="176" t="str">
        <f aca="false">IF(INDEX(Salary_Calculation[Source Row],ROW()-ROW(Payslip_Lookup[#Headers]))="","",INDEX(Salary_Calculation[Salary Before Other Deductions],ROW()-ROW(Payslip_Lookup[#Headers])))</f>
        <v/>
      </c>
      <c r="AD352" s="171" t="str">
        <f aca="false">IF(INDEX(Salary_Calculation[Source Row],ROW()-ROW(Payslip_Lookup[#Headers]))="","",INDEX(Salary_Calculation[Payment Status],ROW()-ROW(Payslip_Lookup[#Headers])))</f>
        <v/>
      </c>
      <c r="AE352" s="171" t="str">
        <f aca="false">IF(INDEX(Salary_Calculation[Source Row],ROW()-ROW(Payslip_Lookup[#Headers]))="","",INDEX(Salary_Calculation[Notes],ROW()-ROW(Payslip_Lookup[#Headers])))</f>
        <v/>
      </c>
      <c r="AF352" s="171" t="str">
        <f aca="false">IF(INDEX(Salary_Calculation[Source Row],ROW()-ROW(Payslip_Lookup[#Headers]))="","",INDEX(Salary_Calculation[Exception Reason],ROW()-ROW(Payslip_Lookup[#Headers])))</f>
        <v/>
      </c>
      <c r="AG352" s="173" t="str">
        <f aca="false">IF($AD352="Review Required",COUNTIF(AD$2:AD352,"Review Required"),"")</f>
        <v/>
      </c>
      <c r="AH352" s="173" t="str">
        <f aca="false">IF(AND($D352&lt;&gt;"",$B352=Payslip_Print!$C$2),MAX(AH$1:AH351)+1,"")</f>
        <v/>
      </c>
      <c r="AL352" s="178" t="str">
        <f aca="false">IFERROR(INDEX($D$2:$D$501,MATCH(ROW()-1,$AH$2:$AH$501,0)),"")</f>
        <v/>
      </c>
      <c r="AM352" s="179" t="str">
        <f aca="false">IF($Z352="","",IF(AND($C352&gt;=Dash_Start,$C352&lt;Dash_End),$Z352+ROW()/10000000,""))</f>
        <v/>
      </c>
    </row>
    <row r="353" customFormat="false" ht="14.25" hidden="false" customHeight="false" outlineLevel="0" collapsed="false">
      <c r="A353" s="171" t="str">
        <f aca="false">IF(Payslip_Lookup[[#This Row],[Rider ID]]="","",Payslip_Lookup[[#This Row],[Rider ID]]&amp;"|"&amp;Payslip_Lookup[[#This Row],[Month Key]])</f>
        <v/>
      </c>
      <c r="B353" s="172" t="str">
        <f aca="false">IF(ISNUMBER(Payslip_Lookup[[#This Row],[Salary Month]]),DATE(YEAR(Payslip_Lookup[[#This Row],[Salary Month]]),MONTH(Payslip_Lookup[[#This Row],[Salary Month]]),1),"")</f>
        <v/>
      </c>
      <c r="C353" s="172" t="str">
        <f aca="false">IF(INDEX(Salary_Calculation[Source Row],ROW()-ROW(Payslip_Lookup[#Headers]))="","",INDEX(Salary_Calculation[Salary Month],ROW()-ROW(Payslip_Lookup[#Headers])))</f>
        <v/>
      </c>
      <c r="D353" s="173" t="str">
        <f aca="false">IF(INDEX(Salary_Calculation[Source Row],ROW()-ROW(Payslip_Lookup[#Headers]))="","",INDEX(Salary_Calculation[Rider ID],ROW()-ROW(Payslip_Lookup[#Headers])))</f>
        <v/>
      </c>
      <c r="E353" s="171" t="str">
        <f aca="false">IF(INDEX(Salary_Calculation[Source Row],ROW()-ROW(Payslip_Lookup[#Headers]))="","",INDEX(Salary_Calculation[Rider Name],ROW()-ROW(Payslip_Lookup[#Headers])))</f>
        <v/>
      </c>
      <c r="F353" s="173" t="str">
        <f aca="false">IF(INDEX(Salary_Calculation[Source Row],ROW()-ROW(Payslip_Lookup[#Headers]))="","",INDEX(Salary_Calculation[Working Days],ROW()-ROW(Payslip_Lookup[#Headers])))</f>
        <v/>
      </c>
      <c r="G353" s="173" t="str">
        <f aca="false">IF(INDEX(Salary_Calculation[Source Row],ROW()-ROW(Payslip_Lookup[#Headers]))="","",INDEX(Salary_Calculation[Calendar Days],ROW()-ROW(Payslip_Lookup[#Headers])))</f>
        <v/>
      </c>
      <c r="H353" s="174" t="str">
        <f aca="false">IF(INDEX(Salary_Calculation[Source Row],ROW()-ROW(Payslip_Lookup[#Headers]))="","",INDEX(Salary_Calculation[Monthly Target Orders],ROW()-ROW(Payslip_Lookup[#Headers])))</f>
        <v/>
      </c>
      <c r="I353" s="174" t="str">
        <f aca="false">IF(INDEX(Salary_Calculation[Source Row],ROW()-ROW(Payslip_Lookup[#Headers]))="","",INDEX(Salary_Calculation[Rider Target Orders],ROW()-ROW(Payslip_Lookup[#Headers])))</f>
        <v/>
      </c>
      <c r="J353" s="175" t="str">
        <f aca="false">IF(INDEX(Salary_Calculation[Source Row],ROW()-ROW(Payslip_Lookup[#Headers]))="","",INDEX(Salary_Calculation[Completed Orders],ROW()-ROW(Payslip_Lookup[#Headers])))</f>
        <v/>
      </c>
      <c r="K353" s="174" t="str">
        <f aca="false">IF(INDEX(Salary_Calculation[Source Row],ROW()-ROW(Payslip_Lookup[#Headers]))="","",INDEX(Salary_Calculation[Base Order Rate],ROW()-ROW(Payslip_Lookup[#Headers])))</f>
        <v/>
      </c>
      <c r="L353" s="176" t="str">
        <f aca="false">IF(INDEX(Salary_Calculation[Source Row],ROW()-ROW(Payslip_Lookup[#Headers]))="","",INDEX(Salary_Calculation[Basic Payment],ROW()-ROW(Payslip_Lookup[#Headers])))</f>
        <v/>
      </c>
      <c r="M353" s="176" t="str">
        <f aca="false">IF(INDEX(Salary_Calculation[Source Row],ROW()-ROW(Payslip_Lookup[#Headers]))="","",INDEX(Salary_Calculation[Earned Salary],ROW()-ROW(Payslip_Lookup[#Headers])))</f>
        <v/>
      </c>
      <c r="N353" s="174" t="str">
        <f aca="false">IF(INDEX(Salary_Calculation[Source Row],ROW()-ROW(Payslip_Lookup[#Headers]))="","",INDEX(Salary_Calculation[Orders Counted at Base Rate],ROW()-ROW(Payslip_Lookup[#Headers])))</f>
        <v/>
      </c>
      <c r="O353" s="174" t="str">
        <f aca="false">IF(INDEX(Salary_Calculation[Source Row],ROW()-ROW(Payslip_Lookup[#Headers]))="","",INDEX(Salary_Calculation[Missing Orders],ROW()-ROW(Payslip_Lookup[#Headers])))</f>
        <v/>
      </c>
      <c r="P353" s="176" t="str">
        <f aca="false">IF(INDEX(Salary_Calculation[Source Row],ROW()-ROW(Payslip_Lookup[#Headers]))="","",INDEX(Salary_Calculation[Missing-Order Deduction],ROW()-ROW(Payslip_Lookup[#Headers])))</f>
        <v/>
      </c>
      <c r="Q353" s="174" t="str">
        <f aca="false">IF(INDEX(Salary_Calculation[Source Row],ROW()-ROW(Payslip_Lookup[#Headers]))="","",INDEX(Salary_Calculation[Extra Orders],ROW()-ROW(Payslip_Lookup[#Headers])))</f>
        <v/>
      </c>
      <c r="R353" s="176" t="str">
        <f aca="false">IF(INDEX(Salary_Calculation[Source Row],ROW()-ROW(Payslip_Lookup[#Headers]))="","",INDEX(Salary_Calculation[Extra-Order Bonus],ROW()-ROW(Payslip_Lookup[#Headers])))</f>
        <v/>
      </c>
      <c r="S353" s="176" t="str">
        <f aca="false">IF(INDEX(Salary_Calculation[Source Row],ROW()-ROW(Payslip_Lookup[#Headers]))="","",INDEX(Salary_Calculation[Basic Salary for Target],ROW()-ROW(Payslip_Lookup[#Headers])))</f>
        <v/>
      </c>
      <c r="T353" s="176" t="str">
        <f aca="false">IF(INDEX(Salary_Calculation[Source Row],ROW()-ROW(Payslip_Lookup[#Headers]))="","",INDEX(Salary_Calculation[Gross Salary Before Deductions],ROW()-ROW(Payslip_Lookup[#Headers])))</f>
        <v/>
      </c>
      <c r="U353" s="176" t="str">
        <f aca="false">IF(INDEX(Salary_Calculation[Source Row],ROW()-ROW(Payslip_Lookup[#Headers]))="","",INDEX(Salary_Calculation[missed_days_penalty],ROW()-ROW(Payslip_Lookup[#Headers])))</f>
        <v/>
      </c>
      <c r="V353" s="176" t="str">
        <f aca="false">IF(INDEX(Salary_Calculation[Source Row],ROW()-ROW(Payslip_Lookup[#Headers]))="","",INDEX(Salary_Calculation[Rider Balance],ROW()-ROW(Payslip_Lookup[#Headers])))</f>
        <v/>
      </c>
      <c r="W353" s="176" t="str">
        <f aca="false">IF(INDEX(Salary_Calculation[Source Row],ROW()-ROW(Payslip_Lookup[#Headers]))="","",INDEX(Salary_Calculation[stacking_deduction],ROW()-ROW(Payslip_Lookup[#Headers])))</f>
        <v/>
      </c>
      <c r="X353" s="176" t="str">
        <f aca="false">IF(INDEX(Salary_Calculation[Source Row],ROW()-ROW(Payslip_Lookup[#Headers]))="","",INDEX(Salary_Calculation[Other Deductions],ROW()-ROW(Payslip_Lookup[#Headers])))</f>
        <v/>
      </c>
      <c r="Y353" s="176" t="str">
        <f aca="false">IF(INDEX(Salary_Calculation[Source Row],ROW()-ROW(Payslip_Lookup[#Headers]))="","",INDEX(Salary_Calculation[Total Deductions],ROW()-ROW(Payslip_Lookup[#Headers])))</f>
        <v/>
      </c>
      <c r="Z353" s="176" t="str">
        <f aca="false">IF(INDEX(Salary_Calculation[Source Row],ROW()-ROW(Payslip_Lookup[#Headers]))="","",INDEX(Salary_Calculation[Final Salary],ROW()-ROW(Payslip_Lookup[#Headers])))</f>
        <v/>
      </c>
      <c r="AA353" s="176" t="str">
        <f aca="false">IF(INDEX(Salary_Calculation[Source Row],ROW()-ROW(Payslip_Lookup[#Headers]))="","",INDEX(Salary_Calculation[Negative Balance / Amount Due from Rider],ROW()-ROW(Payslip_Lookup[#Headers])))</f>
        <v/>
      </c>
      <c r="AB353" s="176" t="str">
        <f aca="false">IF(INDEX(Salary_Calculation[Source Row],ROW()-ROW(Payslip_Lookup[#Headers]))="","",INDEX(Salary_Calculation[Total Amount Due from Rider],ROW()-ROW(Payslip_Lookup[#Headers])))</f>
        <v/>
      </c>
      <c r="AC353" s="176" t="str">
        <f aca="false">IF(INDEX(Salary_Calculation[Source Row],ROW()-ROW(Payslip_Lookup[#Headers]))="","",INDEX(Salary_Calculation[Salary Before Other Deductions],ROW()-ROW(Payslip_Lookup[#Headers])))</f>
        <v/>
      </c>
      <c r="AD353" s="171" t="str">
        <f aca="false">IF(INDEX(Salary_Calculation[Source Row],ROW()-ROW(Payslip_Lookup[#Headers]))="","",INDEX(Salary_Calculation[Payment Status],ROW()-ROW(Payslip_Lookup[#Headers])))</f>
        <v/>
      </c>
      <c r="AE353" s="171" t="str">
        <f aca="false">IF(INDEX(Salary_Calculation[Source Row],ROW()-ROW(Payslip_Lookup[#Headers]))="","",INDEX(Salary_Calculation[Notes],ROW()-ROW(Payslip_Lookup[#Headers])))</f>
        <v/>
      </c>
      <c r="AF353" s="171" t="str">
        <f aca="false">IF(INDEX(Salary_Calculation[Source Row],ROW()-ROW(Payslip_Lookup[#Headers]))="","",INDEX(Salary_Calculation[Exception Reason],ROW()-ROW(Payslip_Lookup[#Headers])))</f>
        <v/>
      </c>
      <c r="AG353" s="173" t="str">
        <f aca="false">IF($AD353="Review Required",COUNTIF(AD$2:AD353,"Review Required"),"")</f>
        <v/>
      </c>
      <c r="AH353" s="173" t="str">
        <f aca="false">IF(AND($D353&lt;&gt;"",$B353=Payslip_Print!$C$2),MAX(AH$1:AH352)+1,"")</f>
        <v/>
      </c>
      <c r="AL353" s="178" t="str">
        <f aca="false">IFERROR(INDEX($D$2:$D$501,MATCH(ROW()-1,$AH$2:$AH$501,0)),"")</f>
        <v/>
      </c>
      <c r="AM353" s="179" t="str">
        <f aca="false">IF($Z353="","",IF(AND($C353&gt;=Dash_Start,$C353&lt;Dash_End),$Z353+ROW()/10000000,""))</f>
        <v/>
      </c>
    </row>
    <row r="354" customFormat="false" ht="14.25" hidden="false" customHeight="false" outlineLevel="0" collapsed="false">
      <c r="A354" s="171" t="str">
        <f aca="false">IF(Payslip_Lookup[[#This Row],[Rider ID]]="","",Payslip_Lookup[[#This Row],[Rider ID]]&amp;"|"&amp;Payslip_Lookup[[#This Row],[Month Key]])</f>
        <v/>
      </c>
      <c r="B354" s="172" t="str">
        <f aca="false">IF(ISNUMBER(Payslip_Lookup[[#This Row],[Salary Month]]),DATE(YEAR(Payslip_Lookup[[#This Row],[Salary Month]]),MONTH(Payslip_Lookup[[#This Row],[Salary Month]]),1),"")</f>
        <v/>
      </c>
      <c r="C354" s="172" t="str">
        <f aca="false">IF(INDEX(Salary_Calculation[Source Row],ROW()-ROW(Payslip_Lookup[#Headers]))="","",INDEX(Salary_Calculation[Salary Month],ROW()-ROW(Payslip_Lookup[#Headers])))</f>
        <v/>
      </c>
      <c r="D354" s="173" t="str">
        <f aca="false">IF(INDEX(Salary_Calculation[Source Row],ROW()-ROW(Payslip_Lookup[#Headers]))="","",INDEX(Salary_Calculation[Rider ID],ROW()-ROW(Payslip_Lookup[#Headers])))</f>
        <v/>
      </c>
      <c r="E354" s="171" t="str">
        <f aca="false">IF(INDEX(Salary_Calculation[Source Row],ROW()-ROW(Payslip_Lookup[#Headers]))="","",INDEX(Salary_Calculation[Rider Name],ROW()-ROW(Payslip_Lookup[#Headers])))</f>
        <v/>
      </c>
      <c r="F354" s="173" t="str">
        <f aca="false">IF(INDEX(Salary_Calculation[Source Row],ROW()-ROW(Payslip_Lookup[#Headers]))="","",INDEX(Salary_Calculation[Working Days],ROW()-ROW(Payslip_Lookup[#Headers])))</f>
        <v/>
      </c>
      <c r="G354" s="173" t="str">
        <f aca="false">IF(INDEX(Salary_Calculation[Source Row],ROW()-ROW(Payslip_Lookup[#Headers]))="","",INDEX(Salary_Calculation[Calendar Days],ROW()-ROW(Payslip_Lookup[#Headers])))</f>
        <v/>
      </c>
      <c r="H354" s="174" t="str">
        <f aca="false">IF(INDEX(Salary_Calculation[Source Row],ROW()-ROW(Payslip_Lookup[#Headers]))="","",INDEX(Salary_Calculation[Monthly Target Orders],ROW()-ROW(Payslip_Lookup[#Headers])))</f>
        <v/>
      </c>
      <c r="I354" s="174" t="str">
        <f aca="false">IF(INDEX(Salary_Calculation[Source Row],ROW()-ROW(Payslip_Lookup[#Headers]))="","",INDEX(Salary_Calculation[Rider Target Orders],ROW()-ROW(Payslip_Lookup[#Headers])))</f>
        <v/>
      </c>
      <c r="J354" s="175" t="str">
        <f aca="false">IF(INDEX(Salary_Calculation[Source Row],ROW()-ROW(Payslip_Lookup[#Headers]))="","",INDEX(Salary_Calculation[Completed Orders],ROW()-ROW(Payslip_Lookup[#Headers])))</f>
        <v/>
      </c>
      <c r="K354" s="174" t="str">
        <f aca="false">IF(INDEX(Salary_Calculation[Source Row],ROW()-ROW(Payslip_Lookup[#Headers]))="","",INDEX(Salary_Calculation[Base Order Rate],ROW()-ROW(Payslip_Lookup[#Headers])))</f>
        <v/>
      </c>
      <c r="L354" s="176" t="str">
        <f aca="false">IF(INDEX(Salary_Calculation[Source Row],ROW()-ROW(Payslip_Lookup[#Headers]))="","",INDEX(Salary_Calculation[Basic Payment],ROW()-ROW(Payslip_Lookup[#Headers])))</f>
        <v/>
      </c>
      <c r="M354" s="176" t="str">
        <f aca="false">IF(INDEX(Salary_Calculation[Source Row],ROW()-ROW(Payslip_Lookup[#Headers]))="","",INDEX(Salary_Calculation[Earned Salary],ROW()-ROW(Payslip_Lookup[#Headers])))</f>
        <v/>
      </c>
      <c r="N354" s="174" t="str">
        <f aca="false">IF(INDEX(Salary_Calculation[Source Row],ROW()-ROW(Payslip_Lookup[#Headers]))="","",INDEX(Salary_Calculation[Orders Counted at Base Rate],ROW()-ROW(Payslip_Lookup[#Headers])))</f>
        <v/>
      </c>
      <c r="O354" s="174" t="str">
        <f aca="false">IF(INDEX(Salary_Calculation[Source Row],ROW()-ROW(Payslip_Lookup[#Headers]))="","",INDEX(Salary_Calculation[Missing Orders],ROW()-ROW(Payslip_Lookup[#Headers])))</f>
        <v/>
      </c>
      <c r="P354" s="176" t="str">
        <f aca="false">IF(INDEX(Salary_Calculation[Source Row],ROW()-ROW(Payslip_Lookup[#Headers]))="","",INDEX(Salary_Calculation[Missing-Order Deduction],ROW()-ROW(Payslip_Lookup[#Headers])))</f>
        <v/>
      </c>
      <c r="Q354" s="174" t="str">
        <f aca="false">IF(INDEX(Salary_Calculation[Source Row],ROW()-ROW(Payslip_Lookup[#Headers]))="","",INDEX(Salary_Calculation[Extra Orders],ROW()-ROW(Payslip_Lookup[#Headers])))</f>
        <v/>
      </c>
      <c r="R354" s="176" t="str">
        <f aca="false">IF(INDEX(Salary_Calculation[Source Row],ROW()-ROW(Payslip_Lookup[#Headers]))="","",INDEX(Salary_Calculation[Extra-Order Bonus],ROW()-ROW(Payslip_Lookup[#Headers])))</f>
        <v/>
      </c>
      <c r="S354" s="176" t="str">
        <f aca="false">IF(INDEX(Salary_Calculation[Source Row],ROW()-ROW(Payslip_Lookup[#Headers]))="","",INDEX(Salary_Calculation[Basic Salary for Target],ROW()-ROW(Payslip_Lookup[#Headers])))</f>
        <v/>
      </c>
      <c r="T354" s="176" t="str">
        <f aca="false">IF(INDEX(Salary_Calculation[Source Row],ROW()-ROW(Payslip_Lookup[#Headers]))="","",INDEX(Salary_Calculation[Gross Salary Before Deductions],ROW()-ROW(Payslip_Lookup[#Headers])))</f>
        <v/>
      </c>
      <c r="U354" s="176" t="str">
        <f aca="false">IF(INDEX(Salary_Calculation[Source Row],ROW()-ROW(Payslip_Lookup[#Headers]))="","",INDEX(Salary_Calculation[missed_days_penalty],ROW()-ROW(Payslip_Lookup[#Headers])))</f>
        <v/>
      </c>
      <c r="V354" s="176" t="str">
        <f aca="false">IF(INDEX(Salary_Calculation[Source Row],ROW()-ROW(Payslip_Lookup[#Headers]))="","",INDEX(Salary_Calculation[Rider Balance],ROW()-ROW(Payslip_Lookup[#Headers])))</f>
        <v/>
      </c>
      <c r="W354" s="176" t="str">
        <f aca="false">IF(INDEX(Salary_Calculation[Source Row],ROW()-ROW(Payslip_Lookup[#Headers]))="","",INDEX(Salary_Calculation[stacking_deduction],ROW()-ROW(Payslip_Lookup[#Headers])))</f>
        <v/>
      </c>
      <c r="X354" s="176" t="str">
        <f aca="false">IF(INDEX(Salary_Calculation[Source Row],ROW()-ROW(Payslip_Lookup[#Headers]))="","",INDEX(Salary_Calculation[Other Deductions],ROW()-ROW(Payslip_Lookup[#Headers])))</f>
        <v/>
      </c>
      <c r="Y354" s="176" t="str">
        <f aca="false">IF(INDEX(Salary_Calculation[Source Row],ROW()-ROW(Payslip_Lookup[#Headers]))="","",INDEX(Salary_Calculation[Total Deductions],ROW()-ROW(Payslip_Lookup[#Headers])))</f>
        <v/>
      </c>
      <c r="Z354" s="176" t="str">
        <f aca="false">IF(INDEX(Salary_Calculation[Source Row],ROW()-ROW(Payslip_Lookup[#Headers]))="","",INDEX(Salary_Calculation[Final Salary],ROW()-ROW(Payslip_Lookup[#Headers])))</f>
        <v/>
      </c>
      <c r="AA354" s="176" t="str">
        <f aca="false">IF(INDEX(Salary_Calculation[Source Row],ROW()-ROW(Payslip_Lookup[#Headers]))="","",INDEX(Salary_Calculation[Negative Balance / Amount Due from Rider],ROW()-ROW(Payslip_Lookup[#Headers])))</f>
        <v/>
      </c>
      <c r="AB354" s="176" t="str">
        <f aca="false">IF(INDEX(Salary_Calculation[Source Row],ROW()-ROW(Payslip_Lookup[#Headers]))="","",INDEX(Salary_Calculation[Total Amount Due from Rider],ROW()-ROW(Payslip_Lookup[#Headers])))</f>
        <v/>
      </c>
      <c r="AC354" s="176" t="str">
        <f aca="false">IF(INDEX(Salary_Calculation[Source Row],ROW()-ROW(Payslip_Lookup[#Headers]))="","",INDEX(Salary_Calculation[Salary Before Other Deductions],ROW()-ROW(Payslip_Lookup[#Headers])))</f>
        <v/>
      </c>
      <c r="AD354" s="171" t="str">
        <f aca="false">IF(INDEX(Salary_Calculation[Source Row],ROW()-ROW(Payslip_Lookup[#Headers]))="","",INDEX(Salary_Calculation[Payment Status],ROW()-ROW(Payslip_Lookup[#Headers])))</f>
        <v/>
      </c>
      <c r="AE354" s="171" t="str">
        <f aca="false">IF(INDEX(Salary_Calculation[Source Row],ROW()-ROW(Payslip_Lookup[#Headers]))="","",INDEX(Salary_Calculation[Notes],ROW()-ROW(Payslip_Lookup[#Headers])))</f>
        <v/>
      </c>
      <c r="AF354" s="171" t="str">
        <f aca="false">IF(INDEX(Salary_Calculation[Source Row],ROW()-ROW(Payslip_Lookup[#Headers]))="","",INDEX(Salary_Calculation[Exception Reason],ROW()-ROW(Payslip_Lookup[#Headers])))</f>
        <v/>
      </c>
      <c r="AG354" s="173" t="str">
        <f aca="false">IF($AD354="Review Required",COUNTIF(AD$2:AD354,"Review Required"),"")</f>
        <v/>
      </c>
      <c r="AH354" s="173" t="str">
        <f aca="false">IF(AND($D354&lt;&gt;"",$B354=Payslip_Print!$C$2),MAX(AH$1:AH353)+1,"")</f>
        <v/>
      </c>
      <c r="AL354" s="178" t="str">
        <f aca="false">IFERROR(INDEX($D$2:$D$501,MATCH(ROW()-1,$AH$2:$AH$501,0)),"")</f>
        <v/>
      </c>
      <c r="AM354" s="179" t="str">
        <f aca="false">IF($Z354="","",IF(AND($C354&gt;=Dash_Start,$C354&lt;Dash_End),$Z354+ROW()/10000000,""))</f>
        <v/>
      </c>
    </row>
    <row r="355" customFormat="false" ht="14.25" hidden="false" customHeight="false" outlineLevel="0" collapsed="false">
      <c r="A355" s="171" t="str">
        <f aca="false">IF(Payslip_Lookup[[#This Row],[Rider ID]]="","",Payslip_Lookup[[#This Row],[Rider ID]]&amp;"|"&amp;Payslip_Lookup[[#This Row],[Month Key]])</f>
        <v/>
      </c>
      <c r="B355" s="172" t="str">
        <f aca="false">IF(ISNUMBER(Payslip_Lookup[[#This Row],[Salary Month]]),DATE(YEAR(Payslip_Lookup[[#This Row],[Salary Month]]),MONTH(Payslip_Lookup[[#This Row],[Salary Month]]),1),"")</f>
        <v/>
      </c>
      <c r="C355" s="172" t="str">
        <f aca="false">IF(INDEX(Salary_Calculation[Source Row],ROW()-ROW(Payslip_Lookup[#Headers]))="","",INDEX(Salary_Calculation[Salary Month],ROW()-ROW(Payslip_Lookup[#Headers])))</f>
        <v/>
      </c>
      <c r="D355" s="173" t="str">
        <f aca="false">IF(INDEX(Salary_Calculation[Source Row],ROW()-ROW(Payslip_Lookup[#Headers]))="","",INDEX(Salary_Calculation[Rider ID],ROW()-ROW(Payslip_Lookup[#Headers])))</f>
        <v/>
      </c>
      <c r="E355" s="171" t="str">
        <f aca="false">IF(INDEX(Salary_Calculation[Source Row],ROW()-ROW(Payslip_Lookup[#Headers]))="","",INDEX(Salary_Calculation[Rider Name],ROW()-ROW(Payslip_Lookup[#Headers])))</f>
        <v/>
      </c>
      <c r="F355" s="173" t="str">
        <f aca="false">IF(INDEX(Salary_Calculation[Source Row],ROW()-ROW(Payslip_Lookup[#Headers]))="","",INDEX(Salary_Calculation[Working Days],ROW()-ROW(Payslip_Lookup[#Headers])))</f>
        <v/>
      </c>
      <c r="G355" s="173" t="str">
        <f aca="false">IF(INDEX(Salary_Calculation[Source Row],ROW()-ROW(Payslip_Lookup[#Headers]))="","",INDEX(Salary_Calculation[Calendar Days],ROW()-ROW(Payslip_Lookup[#Headers])))</f>
        <v/>
      </c>
      <c r="H355" s="174" t="str">
        <f aca="false">IF(INDEX(Salary_Calculation[Source Row],ROW()-ROW(Payslip_Lookup[#Headers]))="","",INDEX(Salary_Calculation[Monthly Target Orders],ROW()-ROW(Payslip_Lookup[#Headers])))</f>
        <v/>
      </c>
      <c r="I355" s="174" t="str">
        <f aca="false">IF(INDEX(Salary_Calculation[Source Row],ROW()-ROW(Payslip_Lookup[#Headers]))="","",INDEX(Salary_Calculation[Rider Target Orders],ROW()-ROW(Payslip_Lookup[#Headers])))</f>
        <v/>
      </c>
      <c r="J355" s="175" t="str">
        <f aca="false">IF(INDEX(Salary_Calculation[Source Row],ROW()-ROW(Payslip_Lookup[#Headers]))="","",INDEX(Salary_Calculation[Completed Orders],ROW()-ROW(Payslip_Lookup[#Headers])))</f>
        <v/>
      </c>
      <c r="K355" s="174" t="str">
        <f aca="false">IF(INDEX(Salary_Calculation[Source Row],ROW()-ROW(Payslip_Lookup[#Headers]))="","",INDEX(Salary_Calculation[Base Order Rate],ROW()-ROW(Payslip_Lookup[#Headers])))</f>
        <v/>
      </c>
      <c r="L355" s="176" t="str">
        <f aca="false">IF(INDEX(Salary_Calculation[Source Row],ROW()-ROW(Payslip_Lookup[#Headers]))="","",INDEX(Salary_Calculation[Basic Payment],ROW()-ROW(Payslip_Lookup[#Headers])))</f>
        <v/>
      </c>
      <c r="M355" s="176" t="str">
        <f aca="false">IF(INDEX(Salary_Calculation[Source Row],ROW()-ROW(Payslip_Lookup[#Headers]))="","",INDEX(Salary_Calculation[Earned Salary],ROW()-ROW(Payslip_Lookup[#Headers])))</f>
        <v/>
      </c>
      <c r="N355" s="174" t="str">
        <f aca="false">IF(INDEX(Salary_Calculation[Source Row],ROW()-ROW(Payslip_Lookup[#Headers]))="","",INDEX(Salary_Calculation[Orders Counted at Base Rate],ROW()-ROW(Payslip_Lookup[#Headers])))</f>
        <v/>
      </c>
      <c r="O355" s="174" t="str">
        <f aca="false">IF(INDEX(Salary_Calculation[Source Row],ROW()-ROW(Payslip_Lookup[#Headers]))="","",INDEX(Salary_Calculation[Missing Orders],ROW()-ROW(Payslip_Lookup[#Headers])))</f>
        <v/>
      </c>
      <c r="P355" s="176" t="str">
        <f aca="false">IF(INDEX(Salary_Calculation[Source Row],ROW()-ROW(Payslip_Lookup[#Headers]))="","",INDEX(Salary_Calculation[Missing-Order Deduction],ROW()-ROW(Payslip_Lookup[#Headers])))</f>
        <v/>
      </c>
      <c r="Q355" s="174" t="str">
        <f aca="false">IF(INDEX(Salary_Calculation[Source Row],ROW()-ROW(Payslip_Lookup[#Headers]))="","",INDEX(Salary_Calculation[Extra Orders],ROW()-ROW(Payslip_Lookup[#Headers])))</f>
        <v/>
      </c>
      <c r="R355" s="176" t="str">
        <f aca="false">IF(INDEX(Salary_Calculation[Source Row],ROW()-ROW(Payslip_Lookup[#Headers]))="","",INDEX(Salary_Calculation[Extra-Order Bonus],ROW()-ROW(Payslip_Lookup[#Headers])))</f>
        <v/>
      </c>
      <c r="S355" s="176" t="str">
        <f aca="false">IF(INDEX(Salary_Calculation[Source Row],ROW()-ROW(Payslip_Lookup[#Headers]))="","",INDEX(Salary_Calculation[Basic Salary for Target],ROW()-ROW(Payslip_Lookup[#Headers])))</f>
        <v/>
      </c>
      <c r="T355" s="176" t="str">
        <f aca="false">IF(INDEX(Salary_Calculation[Source Row],ROW()-ROW(Payslip_Lookup[#Headers]))="","",INDEX(Salary_Calculation[Gross Salary Before Deductions],ROW()-ROW(Payslip_Lookup[#Headers])))</f>
        <v/>
      </c>
      <c r="U355" s="176" t="str">
        <f aca="false">IF(INDEX(Salary_Calculation[Source Row],ROW()-ROW(Payslip_Lookup[#Headers]))="","",INDEX(Salary_Calculation[missed_days_penalty],ROW()-ROW(Payslip_Lookup[#Headers])))</f>
        <v/>
      </c>
      <c r="V355" s="176" t="str">
        <f aca="false">IF(INDEX(Salary_Calculation[Source Row],ROW()-ROW(Payslip_Lookup[#Headers]))="","",INDEX(Salary_Calculation[Rider Balance],ROW()-ROW(Payslip_Lookup[#Headers])))</f>
        <v/>
      </c>
      <c r="W355" s="176" t="str">
        <f aca="false">IF(INDEX(Salary_Calculation[Source Row],ROW()-ROW(Payslip_Lookup[#Headers]))="","",INDEX(Salary_Calculation[stacking_deduction],ROW()-ROW(Payslip_Lookup[#Headers])))</f>
        <v/>
      </c>
      <c r="X355" s="176" t="str">
        <f aca="false">IF(INDEX(Salary_Calculation[Source Row],ROW()-ROW(Payslip_Lookup[#Headers]))="","",INDEX(Salary_Calculation[Other Deductions],ROW()-ROW(Payslip_Lookup[#Headers])))</f>
        <v/>
      </c>
      <c r="Y355" s="176" t="str">
        <f aca="false">IF(INDEX(Salary_Calculation[Source Row],ROW()-ROW(Payslip_Lookup[#Headers]))="","",INDEX(Salary_Calculation[Total Deductions],ROW()-ROW(Payslip_Lookup[#Headers])))</f>
        <v/>
      </c>
      <c r="Z355" s="176" t="str">
        <f aca="false">IF(INDEX(Salary_Calculation[Source Row],ROW()-ROW(Payslip_Lookup[#Headers]))="","",INDEX(Salary_Calculation[Final Salary],ROW()-ROW(Payslip_Lookup[#Headers])))</f>
        <v/>
      </c>
      <c r="AA355" s="176" t="str">
        <f aca="false">IF(INDEX(Salary_Calculation[Source Row],ROW()-ROW(Payslip_Lookup[#Headers]))="","",INDEX(Salary_Calculation[Negative Balance / Amount Due from Rider],ROW()-ROW(Payslip_Lookup[#Headers])))</f>
        <v/>
      </c>
      <c r="AB355" s="176" t="str">
        <f aca="false">IF(INDEX(Salary_Calculation[Source Row],ROW()-ROW(Payslip_Lookup[#Headers]))="","",INDEX(Salary_Calculation[Total Amount Due from Rider],ROW()-ROW(Payslip_Lookup[#Headers])))</f>
        <v/>
      </c>
      <c r="AC355" s="176" t="str">
        <f aca="false">IF(INDEX(Salary_Calculation[Source Row],ROW()-ROW(Payslip_Lookup[#Headers]))="","",INDEX(Salary_Calculation[Salary Before Other Deductions],ROW()-ROW(Payslip_Lookup[#Headers])))</f>
        <v/>
      </c>
      <c r="AD355" s="171" t="str">
        <f aca="false">IF(INDEX(Salary_Calculation[Source Row],ROW()-ROW(Payslip_Lookup[#Headers]))="","",INDEX(Salary_Calculation[Payment Status],ROW()-ROW(Payslip_Lookup[#Headers])))</f>
        <v/>
      </c>
      <c r="AE355" s="171" t="str">
        <f aca="false">IF(INDEX(Salary_Calculation[Source Row],ROW()-ROW(Payslip_Lookup[#Headers]))="","",INDEX(Salary_Calculation[Notes],ROW()-ROW(Payslip_Lookup[#Headers])))</f>
        <v/>
      </c>
      <c r="AF355" s="171" t="str">
        <f aca="false">IF(INDEX(Salary_Calculation[Source Row],ROW()-ROW(Payslip_Lookup[#Headers]))="","",INDEX(Salary_Calculation[Exception Reason],ROW()-ROW(Payslip_Lookup[#Headers])))</f>
        <v/>
      </c>
      <c r="AG355" s="173" t="str">
        <f aca="false">IF($AD355="Review Required",COUNTIF(AD$2:AD355,"Review Required"),"")</f>
        <v/>
      </c>
      <c r="AH355" s="173" t="str">
        <f aca="false">IF(AND($D355&lt;&gt;"",$B355=Payslip_Print!$C$2),MAX(AH$1:AH354)+1,"")</f>
        <v/>
      </c>
      <c r="AL355" s="178" t="str">
        <f aca="false">IFERROR(INDEX($D$2:$D$501,MATCH(ROW()-1,$AH$2:$AH$501,0)),"")</f>
        <v/>
      </c>
      <c r="AM355" s="179" t="str">
        <f aca="false">IF($Z355="","",IF(AND($C355&gt;=Dash_Start,$C355&lt;Dash_End),$Z355+ROW()/10000000,""))</f>
        <v/>
      </c>
    </row>
    <row r="356" customFormat="false" ht="14.25" hidden="false" customHeight="false" outlineLevel="0" collapsed="false">
      <c r="A356" s="171" t="str">
        <f aca="false">IF(Payslip_Lookup[[#This Row],[Rider ID]]="","",Payslip_Lookup[[#This Row],[Rider ID]]&amp;"|"&amp;Payslip_Lookup[[#This Row],[Month Key]])</f>
        <v/>
      </c>
      <c r="B356" s="172" t="str">
        <f aca="false">IF(ISNUMBER(Payslip_Lookup[[#This Row],[Salary Month]]),DATE(YEAR(Payslip_Lookup[[#This Row],[Salary Month]]),MONTH(Payslip_Lookup[[#This Row],[Salary Month]]),1),"")</f>
        <v/>
      </c>
      <c r="C356" s="172" t="str">
        <f aca="false">IF(INDEX(Salary_Calculation[Source Row],ROW()-ROW(Payslip_Lookup[#Headers]))="","",INDEX(Salary_Calculation[Salary Month],ROW()-ROW(Payslip_Lookup[#Headers])))</f>
        <v/>
      </c>
      <c r="D356" s="173" t="str">
        <f aca="false">IF(INDEX(Salary_Calculation[Source Row],ROW()-ROW(Payslip_Lookup[#Headers]))="","",INDEX(Salary_Calculation[Rider ID],ROW()-ROW(Payslip_Lookup[#Headers])))</f>
        <v/>
      </c>
      <c r="E356" s="171" t="str">
        <f aca="false">IF(INDEX(Salary_Calculation[Source Row],ROW()-ROW(Payslip_Lookup[#Headers]))="","",INDEX(Salary_Calculation[Rider Name],ROW()-ROW(Payslip_Lookup[#Headers])))</f>
        <v/>
      </c>
      <c r="F356" s="173" t="str">
        <f aca="false">IF(INDEX(Salary_Calculation[Source Row],ROW()-ROW(Payslip_Lookup[#Headers]))="","",INDEX(Salary_Calculation[Working Days],ROW()-ROW(Payslip_Lookup[#Headers])))</f>
        <v/>
      </c>
      <c r="G356" s="173" t="str">
        <f aca="false">IF(INDEX(Salary_Calculation[Source Row],ROW()-ROW(Payslip_Lookup[#Headers]))="","",INDEX(Salary_Calculation[Calendar Days],ROW()-ROW(Payslip_Lookup[#Headers])))</f>
        <v/>
      </c>
      <c r="H356" s="174" t="str">
        <f aca="false">IF(INDEX(Salary_Calculation[Source Row],ROW()-ROW(Payslip_Lookup[#Headers]))="","",INDEX(Salary_Calculation[Monthly Target Orders],ROW()-ROW(Payslip_Lookup[#Headers])))</f>
        <v/>
      </c>
      <c r="I356" s="174" t="str">
        <f aca="false">IF(INDEX(Salary_Calculation[Source Row],ROW()-ROW(Payslip_Lookup[#Headers]))="","",INDEX(Salary_Calculation[Rider Target Orders],ROW()-ROW(Payslip_Lookup[#Headers])))</f>
        <v/>
      </c>
      <c r="J356" s="175" t="str">
        <f aca="false">IF(INDEX(Salary_Calculation[Source Row],ROW()-ROW(Payslip_Lookup[#Headers]))="","",INDEX(Salary_Calculation[Completed Orders],ROW()-ROW(Payslip_Lookup[#Headers])))</f>
        <v/>
      </c>
      <c r="K356" s="174" t="str">
        <f aca="false">IF(INDEX(Salary_Calculation[Source Row],ROW()-ROW(Payslip_Lookup[#Headers]))="","",INDEX(Salary_Calculation[Base Order Rate],ROW()-ROW(Payslip_Lookup[#Headers])))</f>
        <v/>
      </c>
      <c r="L356" s="176" t="str">
        <f aca="false">IF(INDEX(Salary_Calculation[Source Row],ROW()-ROW(Payslip_Lookup[#Headers]))="","",INDEX(Salary_Calculation[Basic Payment],ROW()-ROW(Payslip_Lookup[#Headers])))</f>
        <v/>
      </c>
      <c r="M356" s="176" t="str">
        <f aca="false">IF(INDEX(Salary_Calculation[Source Row],ROW()-ROW(Payslip_Lookup[#Headers]))="","",INDEX(Salary_Calculation[Earned Salary],ROW()-ROW(Payslip_Lookup[#Headers])))</f>
        <v/>
      </c>
      <c r="N356" s="174" t="str">
        <f aca="false">IF(INDEX(Salary_Calculation[Source Row],ROW()-ROW(Payslip_Lookup[#Headers]))="","",INDEX(Salary_Calculation[Orders Counted at Base Rate],ROW()-ROW(Payslip_Lookup[#Headers])))</f>
        <v/>
      </c>
      <c r="O356" s="174" t="str">
        <f aca="false">IF(INDEX(Salary_Calculation[Source Row],ROW()-ROW(Payslip_Lookup[#Headers]))="","",INDEX(Salary_Calculation[Missing Orders],ROW()-ROW(Payslip_Lookup[#Headers])))</f>
        <v/>
      </c>
      <c r="P356" s="176" t="str">
        <f aca="false">IF(INDEX(Salary_Calculation[Source Row],ROW()-ROW(Payslip_Lookup[#Headers]))="","",INDEX(Salary_Calculation[Missing-Order Deduction],ROW()-ROW(Payslip_Lookup[#Headers])))</f>
        <v/>
      </c>
      <c r="Q356" s="174" t="str">
        <f aca="false">IF(INDEX(Salary_Calculation[Source Row],ROW()-ROW(Payslip_Lookup[#Headers]))="","",INDEX(Salary_Calculation[Extra Orders],ROW()-ROW(Payslip_Lookup[#Headers])))</f>
        <v/>
      </c>
      <c r="R356" s="176" t="str">
        <f aca="false">IF(INDEX(Salary_Calculation[Source Row],ROW()-ROW(Payslip_Lookup[#Headers]))="","",INDEX(Salary_Calculation[Extra-Order Bonus],ROW()-ROW(Payslip_Lookup[#Headers])))</f>
        <v/>
      </c>
      <c r="S356" s="176" t="str">
        <f aca="false">IF(INDEX(Salary_Calculation[Source Row],ROW()-ROW(Payslip_Lookup[#Headers]))="","",INDEX(Salary_Calculation[Basic Salary for Target],ROW()-ROW(Payslip_Lookup[#Headers])))</f>
        <v/>
      </c>
      <c r="T356" s="176" t="str">
        <f aca="false">IF(INDEX(Salary_Calculation[Source Row],ROW()-ROW(Payslip_Lookup[#Headers]))="","",INDEX(Salary_Calculation[Gross Salary Before Deductions],ROW()-ROW(Payslip_Lookup[#Headers])))</f>
        <v/>
      </c>
      <c r="U356" s="176" t="str">
        <f aca="false">IF(INDEX(Salary_Calculation[Source Row],ROW()-ROW(Payslip_Lookup[#Headers]))="","",INDEX(Salary_Calculation[missed_days_penalty],ROW()-ROW(Payslip_Lookup[#Headers])))</f>
        <v/>
      </c>
      <c r="V356" s="176" t="str">
        <f aca="false">IF(INDEX(Salary_Calculation[Source Row],ROW()-ROW(Payslip_Lookup[#Headers]))="","",INDEX(Salary_Calculation[Rider Balance],ROW()-ROW(Payslip_Lookup[#Headers])))</f>
        <v/>
      </c>
      <c r="W356" s="176" t="str">
        <f aca="false">IF(INDEX(Salary_Calculation[Source Row],ROW()-ROW(Payslip_Lookup[#Headers]))="","",INDEX(Salary_Calculation[stacking_deduction],ROW()-ROW(Payslip_Lookup[#Headers])))</f>
        <v/>
      </c>
      <c r="X356" s="176" t="str">
        <f aca="false">IF(INDEX(Salary_Calculation[Source Row],ROW()-ROW(Payslip_Lookup[#Headers]))="","",INDEX(Salary_Calculation[Other Deductions],ROW()-ROW(Payslip_Lookup[#Headers])))</f>
        <v/>
      </c>
      <c r="Y356" s="176" t="str">
        <f aca="false">IF(INDEX(Salary_Calculation[Source Row],ROW()-ROW(Payslip_Lookup[#Headers]))="","",INDEX(Salary_Calculation[Total Deductions],ROW()-ROW(Payslip_Lookup[#Headers])))</f>
        <v/>
      </c>
      <c r="Z356" s="176" t="str">
        <f aca="false">IF(INDEX(Salary_Calculation[Source Row],ROW()-ROW(Payslip_Lookup[#Headers]))="","",INDEX(Salary_Calculation[Final Salary],ROW()-ROW(Payslip_Lookup[#Headers])))</f>
        <v/>
      </c>
      <c r="AA356" s="176" t="str">
        <f aca="false">IF(INDEX(Salary_Calculation[Source Row],ROW()-ROW(Payslip_Lookup[#Headers]))="","",INDEX(Salary_Calculation[Negative Balance / Amount Due from Rider],ROW()-ROW(Payslip_Lookup[#Headers])))</f>
        <v/>
      </c>
      <c r="AB356" s="176" t="str">
        <f aca="false">IF(INDEX(Salary_Calculation[Source Row],ROW()-ROW(Payslip_Lookup[#Headers]))="","",INDEX(Salary_Calculation[Total Amount Due from Rider],ROW()-ROW(Payslip_Lookup[#Headers])))</f>
        <v/>
      </c>
      <c r="AC356" s="176" t="str">
        <f aca="false">IF(INDEX(Salary_Calculation[Source Row],ROW()-ROW(Payslip_Lookup[#Headers]))="","",INDEX(Salary_Calculation[Salary Before Other Deductions],ROW()-ROW(Payslip_Lookup[#Headers])))</f>
        <v/>
      </c>
      <c r="AD356" s="171" t="str">
        <f aca="false">IF(INDEX(Salary_Calculation[Source Row],ROW()-ROW(Payslip_Lookup[#Headers]))="","",INDEX(Salary_Calculation[Payment Status],ROW()-ROW(Payslip_Lookup[#Headers])))</f>
        <v/>
      </c>
      <c r="AE356" s="171" t="str">
        <f aca="false">IF(INDEX(Salary_Calculation[Source Row],ROW()-ROW(Payslip_Lookup[#Headers]))="","",INDEX(Salary_Calculation[Notes],ROW()-ROW(Payslip_Lookup[#Headers])))</f>
        <v/>
      </c>
      <c r="AF356" s="171" t="str">
        <f aca="false">IF(INDEX(Salary_Calculation[Source Row],ROW()-ROW(Payslip_Lookup[#Headers]))="","",INDEX(Salary_Calculation[Exception Reason],ROW()-ROW(Payslip_Lookup[#Headers])))</f>
        <v/>
      </c>
      <c r="AG356" s="173" t="str">
        <f aca="false">IF($AD356="Review Required",COUNTIF(AD$2:AD356,"Review Required"),"")</f>
        <v/>
      </c>
      <c r="AH356" s="173" t="str">
        <f aca="false">IF(AND($D356&lt;&gt;"",$B356=Payslip_Print!$C$2),MAX(AH$1:AH355)+1,"")</f>
        <v/>
      </c>
      <c r="AL356" s="178" t="str">
        <f aca="false">IFERROR(INDEX($D$2:$D$501,MATCH(ROW()-1,$AH$2:$AH$501,0)),"")</f>
        <v/>
      </c>
      <c r="AM356" s="179" t="str">
        <f aca="false">IF($Z356="","",IF(AND($C356&gt;=Dash_Start,$C356&lt;Dash_End),$Z356+ROW()/10000000,""))</f>
        <v/>
      </c>
    </row>
    <row r="357" customFormat="false" ht="14.25" hidden="false" customHeight="false" outlineLevel="0" collapsed="false">
      <c r="A357" s="171" t="str">
        <f aca="false">IF(Payslip_Lookup[[#This Row],[Rider ID]]="","",Payslip_Lookup[[#This Row],[Rider ID]]&amp;"|"&amp;Payslip_Lookup[[#This Row],[Month Key]])</f>
        <v/>
      </c>
      <c r="B357" s="172" t="str">
        <f aca="false">IF(ISNUMBER(Payslip_Lookup[[#This Row],[Salary Month]]),DATE(YEAR(Payslip_Lookup[[#This Row],[Salary Month]]),MONTH(Payslip_Lookup[[#This Row],[Salary Month]]),1),"")</f>
        <v/>
      </c>
      <c r="C357" s="172" t="str">
        <f aca="false">IF(INDEX(Salary_Calculation[Source Row],ROW()-ROW(Payslip_Lookup[#Headers]))="","",INDEX(Salary_Calculation[Salary Month],ROW()-ROW(Payslip_Lookup[#Headers])))</f>
        <v/>
      </c>
      <c r="D357" s="173" t="str">
        <f aca="false">IF(INDEX(Salary_Calculation[Source Row],ROW()-ROW(Payslip_Lookup[#Headers]))="","",INDEX(Salary_Calculation[Rider ID],ROW()-ROW(Payslip_Lookup[#Headers])))</f>
        <v/>
      </c>
      <c r="E357" s="171" t="str">
        <f aca="false">IF(INDEX(Salary_Calculation[Source Row],ROW()-ROW(Payslip_Lookup[#Headers]))="","",INDEX(Salary_Calculation[Rider Name],ROW()-ROW(Payslip_Lookup[#Headers])))</f>
        <v/>
      </c>
      <c r="F357" s="173" t="str">
        <f aca="false">IF(INDEX(Salary_Calculation[Source Row],ROW()-ROW(Payslip_Lookup[#Headers]))="","",INDEX(Salary_Calculation[Working Days],ROW()-ROW(Payslip_Lookup[#Headers])))</f>
        <v/>
      </c>
      <c r="G357" s="173" t="str">
        <f aca="false">IF(INDEX(Salary_Calculation[Source Row],ROW()-ROW(Payslip_Lookup[#Headers]))="","",INDEX(Salary_Calculation[Calendar Days],ROW()-ROW(Payslip_Lookup[#Headers])))</f>
        <v/>
      </c>
      <c r="H357" s="174" t="str">
        <f aca="false">IF(INDEX(Salary_Calculation[Source Row],ROW()-ROW(Payslip_Lookup[#Headers]))="","",INDEX(Salary_Calculation[Monthly Target Orders],ROW()-ROW(Payslip_Lookup[#Headers])))</f>
        <v/>
      </c>
      <c r="I357" s="174" t="str">
        <f aca="false">IF(INDEX(Salary_Calculation[Source Row],ROW()-ROW(Payslip_Lookup[#Headers]))="","",INDEX(Salary_Calculation[Rider Target Orders],ROW()-ROW(Payslip_Lookup[#Headers])))</f>
        <v/>
      </c>
      <c r="J357" s="175" t="str">
        <f aca="false">IF(INDEX(Salary_Calculation[Source Row],ROW()-ROW(Payslip_Lookup[#Headers]))="","",INDEX(Salary_Calculation[Completed Orders],ROW()-ROW(Payslip_Lookup[#Headers])))</f>
        <v/>
      </c>
      <c r="K357" s="174" t="str">
        <f aca="false">IF(INDEX(Salary_Calculation[Source Row],ROW()-ROW(Payslip_Lookup[#Headers]))="","",INDEX(Salary_Calculation[Base Order Rate],ROW()-ROW(Payslip_Lookup[#Headers])))</f>
        <v/>
      </c>
      <c r="L357" s="176" t="str">
        <f aca="false">IF(INDEX(Salary_Calculation[Source Row],ROW()-ROW(Payslip_Lookup[#Headers]))="","",INDEX(Salary_Calculation[Basic Payment],ROW()-ROW(Payslip_Lookup[#Headers])))</f>
        <v/>
      </c>
      <c r="M357" s="176" t="str">
        <f aca="false">IF(INDEX(Salary_Calculation[Source Row],ROW()-ROW(Payslip_Lookup[#Headers]))="","",INDEX(Salary_Calculation[Earned Salary],ROW()-ROW(Payslip_Lookup[#Headers])))</f>
        <v/>
      </c>
      <c r="N357" s="174" t="str">
        <f aca="false">IF(INDEX(Salary_Calculation[Source Row],ROW()-ROW(Payslip_Lookup[#Headers]))="","",INDEX(Salary_Calculation[Orders Counted at Base Rate],ROW()-ROW(Payslip_Lookup[#Headers])))</f>
        <v/>
      </c>
      <c r="O357" s="174" t="str">
        <f aca="false">IF(INDEX(Salary_Calculation[Source Row],ROW()-ROW(Payslip_Lookup[#Headers]))="","",INDEX(Salary_Calculation[Missing Orders],ROW()-ROW(Payslip_Lookup[#Headers])))</f>
        <v/>
      </c>
      <c r="P357" s="176" t="str">
        <f aca="false">IF(INDEX(Salary_Calculation[Source Row],ROW()-ROW(Payslip_Lookup[#Headers]))="","",INDEX(Salary_Calculation[Missing-Order Deduction],ROW()-ROW(Payslip_Lookup[#Headers])))</f>
        <v/>
      </c>
      <c r="Q357" s="174" t="str">
        <f aca="false">IF(INDEX(Salary_Calculation[Source Row],ROW()-ROW(Payslip_Lookup[#Headers]))="","",INDEX(Salary_Calculation[Extra Orders],ROW()-ROW(Payslip_Lookup[#Headers])))</f>
        <v/>
      </c>
      <c r="R357" s="176" t="str">
        <f aca="false">IF(INDEX(Salary_Calculation[Source Row],ROW()-ROW(Payslip_Lookup[#Headers]))="","",INDEX(Salary_Calculation[Extra-Order Bonus],ROW()-ROW(Payslip_Lookup[#Headers])))</f>
        <v/>
      </c>
      <c r="S357" s="176" t="str">
        <f aca="false">IF(INDEX(Salary_Calculation[Source Row],ROW()-ROW(Payslip_Lookup[#Headers]))="","",INDEX(Salary_Calculation[Basic Salary for Target],ROW()-ROW(Payslip_Lookup[#Headers])))</f>
        <v/>
      </c>
      <c r="T357" s="176" t="str">
        <f aca="false">IF(INDEX(Salary_Calculation[Source Row],ROW()-ROW(Payslip_Lookup[#Headers]))="","",INDEX(Salary_Calculation[Gross Salary Before Deductions],ROW()-ROW(Payslip_Lookup[#Headers])))</f>
        <v/>
      </c>
      <c r="U357" s="176" t="str">
        <f aca="false">IF(INDEX(Salary_Calculation[Source Row],ROW()-ROW(Payslip_Lookup[#Headers]))="","",INDEX(Salary_Calculation[missed_days_penalty],ROW()-ROW(Payslip_Lookup[#Headers])))</f>
        <v/>
      </c>
      <c r="V357" s="176" t="str">
        <f aca="false">IF(INDEX(Salary_Calculation[Source Row],ROW()-ROW(Payslip_Lookup[#Headers]))="","",INDEX(Salary_Calculation[Rider Balance],ROW()-ROW(Payslip_Lookup[#Headers])))</f>
        <v/>
      </c>
      <c r="W357" s="176" t="str">
        <f aca="false">IF(INDEX(Salary_Calculation[Source Row],ROW()-ROW(Payslip_Lookup[#Headers]))="","",INDEX(Salary_Calculation[stacking_deduction],ROW()-ROW(Payslip_Lookup[#Headers])))</f>
        <v/>
      </c>
      <c r="X357" s="176" t="str">
        <f aca="false">IF(INDEX(Salary_Calculation[Source Row],ROW()-ROW(Payslip_Lookup[#Headers]))="","",INDEX(Salary_Calculation[Other Deductions],ROW()-ROW(Payslip_Lookup[#Headers])))</f>
        <v/>
      </c>
      <c r="Y357" s="176" t="str">
        <f aca="false">IF(INDEX(Salary_Calculation[Source Row],ROW()-ROW(Payslip_Lookup[#Headers]))="","",INDEX(Salary_Calculation[Total Deductions],ROW()-ROW(Payslip_Lookup[#Headers])))</f>
        <v/>
      </c>
      <c r="Z357" s="176" t="str">
        <f aca="false">IF(INDEX(Salary_Calculation[Source Row],ROW()-ROW(Payslip_Lookup[#Headers]))="","",INDEX(Salary_Calculation[Final Salary],ROW()-ROW(Payslip_Lookup[#Headers])))</f>
        <v/>
      </c>
      <c r="AA357" s="176" t="str">
        <f aca="false">IF(INDEX(Salary_Calculation[Source Row],ROW()-ROW(Payslip_Lookup[#Headers]))="","",INDEX(Salary_Calculation[Negative Balance / Amount Due from Rider],ROW()-ROW(Payslip_Lookup[#Headers])))</f>
        <v/>
      </c>
      <c r="AB357" s="176" t="str">
        <f aca="false">IF(INDEX(Salary_Calculation[Source Row],ROW()-ROW(Payslip_Lookup[#Headers]))="","",INDEX(Salary_Calculation[Total Amount Due from Rider],ROW()-ROW(Payslip_Lookup[#Headers])))</f>
        <v/>
      </c>
      <c r="AC357" s="176" t="str">
        <f aca="false">IF(INDEX(Salary_Calculation[Source Row],ROW()-ROW(Payslip_Lookup[#Headers]))="","",INDEX(Salary_Calculation[Salary Before Other Deductions],ROW()-ROW(Payslip_Lookup[#Headers])))</f>
        <v/>
      </c>
      <c r="AD357" s="171" t="str">
        <f aca="false">IF(INDEX(Salary_Calculation[Source Row],ROW()-ROW(Payslip_Lookup[#Headers]))="","",INDEX(Salary_Calculation[Payment Status],ROW()-ROW(Payslip_Lookup[#Headers])))</f>
        <v/>
      </c>
      <c r="AE357" s="171" t="str">
        <f aca="false">IF(INDEX(Salary_Calculation[Source Row],ROW()-ROW(Payslip_Lookup[#Headers]))="","",INDEX(Salary_Calculation[Notes],ROW()-ROW(Payslip_Lookup[#Headers])))</f>
        <v/>
      </c>
      <c r="AF357" s="171" t="str">
        <f aca="false">IF(INDEX(Salary_Calculation[Source Row],ROW()-ROW(Payslip_Lookup[#Headers]))="","",INDEX(Salary_Calculation[Exception Reason],ROW()-ROW(Payslip_Lookup[#Headers])))</f>
        <v/>
      </c>
      <c r="AG357" s="173" t="str">
        <f aca="false">IF($AD357="Review Required",COUNTIF(AD$2:AD357,"Review Required"),"")</f>
        <v/>
      </c>
      <c r="AH357" s="173" t="str">
        <f aca="false">IF(AND($D357&lt;&gt;"",$B357=Payslip_Print!$C$2),MAX(AH$1:AH356)+1,"")</f>
        <v/>
      </c>
      <c r="AL357" s="178" t="str">
        <f aca="false">IFERROR(INDEX($D$2:$D$501,MATCH(ROW()-1,$AH$2:$AH$501,0)),"")</f>
        <v/>
      </c>
      <c r="AM357" s="179" t="str">
        <f aca="false">IF($Z357="","",IF(AND($C357&gt;=Dash_Start,$C357&lt;Dash_End),$Z357+ROW()/10000000,""))</f>
        <v/>
      </c>
    </row>
    <row r="358" customFormat="false" ht="14.25" hidden="false" customHeight="false" outlineLevel="0" collapsed="false">
      <c r="A358" s="171" t="str">
        <f aca="false">IF(Payslip_Lookup[[#This Row],[Rider ID]]="","",Payslip_Lookup[[#This Row],[Rider ID]]&amp;"|"&amp;Payslip_Lookup[[#This Row],[Month Key]])</f>
        <v/>
      </c>
      <c r="B358" s="172" t="str">
        <f aca="false">IF(ISNUMBER(Payslip_Lookup[[#This Row],[Salary Month]]),DATE(YEAR(Payslip_Lookup[[#This Row],[Salary Month]]),MONTH(Payslip_Lookup[[#This Row],[Salary Month]]),1),"")</f>
        <v/>
      </c>
      <c r="C358" s="172" t="str">
        <f aca="false">IF(INDEX(Salary_Calculation[Source Row],ROW()-ROW(Payslip_Lookup[#Headers]))="","",INDEX(Salary_Calculation[Salary Month],ROW()-ROW(Payslip_Lookup[#Headers])))</f>
        <v/>
      </c>
      <c r="D358" s="173" t="str">
        <f aca="false">IF(INDEX(Salary_Calculation[Source Row],ROW()-ROW(Payslip_Lookup[#Headers]))="","",INDEX(Salary_Calculation[Rider ID],ROW()-ROW(Payslip_Lookup[#Headers])))</f>
        <v/>
      </c>
      <c r="E358" s="171" t="str">
        <f aca="false">IF(INDEX(Salary_Calculation[Source Row],ROW()-ROW(Payslip_Lookup[#Headers]))="","",INDEX(Salary_Calculation[Rider Name],ROW()-ROW(Payslip_Lookup[#Headers])))</f>
        <v/>
      </c>
      <c r="F358" s="173" t="str">
        <f aca="false">IF(INDEX(Salary_Calculation[Source Row],ROW()-ROW(Payslip_Lookup[#Headers]))="","",INDEX(Salary_Calculation[Working Days],ROW()-ROW(Payslip_Lookup[#Headers])))</f>
        <v/>
      </c>
      <c r="G358" s="173" t="str">
        <f aca="false">IF(INDEX(Salary_Calculation[Source Row],ROW()-ROW(Payslip_Lookup[#Headers]))="","",INDEX(Salary_Calculation[Calendar Days],ROW()-ROW(Payslip_Lookup[#Headers])))</f>
        <v/>
      </c>
      <c r="H358" s="174" t="str">
        <f aca="false">IF(INDEX(Salary_Calculation[Source Row],ROW()-ROW(Payslip_Lookup[#Headers]))="","",INDEX(Salary_Calculation[Monthly Target Orders],ROW()-ROW(Payslip_Lookup[#Headers])))</f>
        <v/>
      </c>
      <c r="I358" s="174" t="str">
        <f aca="false">IF(INDEX(Salary_Calculation[Source Row],ROW()-ROW(Payslip_Lookup[#Headers]))="","",INDEX(Salary_Calculation[Rider Target Orders],ROW()-ROW(Payslip_Lookup[#Headers])))</f>
        <v/>
      </c>
      <c r="J358" s="175" t="str">
        <f aca="false">IF(INDEX(Salary_Calculation[Source Row],ROW()-ROW(Payslip_Lookup[#Headers]))="","",INDEX(Salary_Calculation[Completed Orders],ROW()-ROW(Payslip_Lookup[#Headers])))</f>
        <v/>
      </c>
      <c r="K358" s="174" t="str">
        <f aca="false">IF(INDEX(Salary_Calculation[Source Row],ROW()-ROW(Payslip_Lookup[#Headers]))="","",INDEX(Salary_Calculation[Base Order Rate],ROW()-ROW(Payslip_Lookup[#Headers])))</f>
        <v/>
      </c>
      <c r="L358" s="176" t="str">
        <f aca="false">IF(INDEX(Salary_Calculation[Source Row],ROW()-ROW(Payslip_Lookup[#Headers]))="","",INDEX(Salary_Calculation[Basic Payment],ROW()-ROW(Payslip_Lookup[#Headers])))</f>
        <v/>
      </c>
      <c r="M358" s="176" t="str">
        <f aca="false">IF(INDEX(Salary_Calculation[Source Row],ROW()-ROW(Payslip_Lookup[#Headers]))="","",INDEX(Salary_Calculation[Earned Salary],ROW()-ROW(Payslip_Lookup[#Headers])))</f>
        <v/>
      </c>
      <c r="N358" s="174" t="str">
        <f aca="false">IF(INDEX(Salary_Calculation[Source Row],ROW()-ROW(Payslip_Lookup[#Headers]))="","",INDEX(Salary_Calculation[Orders Counted at Base Rate],ROW()-ROW(Payslip_Lookup[#Headers])))</f>
        <v/>
      </c>
      <c r="O358" s="174" t="str">
        <f aca="false">IF(INDEX(Salary_Calculation[Source Row],ROW()-ROW(Payslip_Lookup[#Headers]))="","",INDEX(Salary_Calculation[Missing Orders],ROW()-ROW(Payslip_Lookup[#Headers])))</f>
        <v/>
      </c>
      <c r="P358" s="176" t="str">
        <f aca="false">IF(INDEX(Salary_Calculation[Source Row],ROW()-ROW(Payslip_Lookup[#Headers]))="","",INDEX(Salary_Calculation[Missing-Order Deduction],ROW()-ROW(Payslip_Lookup[#Headers])))</f>
        <v/>
      </c>
      <c r="Q358" s="174" t="str">
        <f aca="false">IF(INDEX(Salary_Calculation[Source Row],ROW()-ROW(Payslip_Lookup[#Headers]))="","",INDEX(Salary_Calculation[Extra Orders],ROW()-ROW(Payslip_Lookup[#Headers])))</f>
        <v/>
      </c>
      <c r="R358" s="176" t="str">
        <f aca="false">IF(INDEX(Salary_Calculation[Source Row],ROW()-ROW(Payslip_Lookup[#Headers]))="","",INDEX(Salary_Calculation[Extra-Order Bonus],ROW()-ROW(Payslip_Lookup[#Headers])))</f>
        <v/>
      </c>
      <c r="S358" s="176" t="str">
        <f aca="false">IF(INDEX(Salary_Calculation[Source Row],ROW()-ROW(Payslip_Lookup[#Headers]))="","",INDEX(Salary_Calculation[Basic Salary for Target],ROW()-ROW(Payslip_Lookup[#Headers])))</f>
        <v/>
      </c>
      <c r="T358" s="176" t="str">
        <f aca="false">IF(INDEX(Salary_Calculation[Source Row],ROW()-ROW(Payslip_Lookup[#Headers]))="","",INDEX(Salary_Calculation[Gross Salary Before Deductions],ROW()-ROW(Payslip_Lookup[#Headers])))</f>
        <v/>
      </c>
      <c r="U358" s="176" t="str">
        <f aca="false">IF(INDEX(Salary_Calculation[Source Row],ROW()-ROW(Payslip_Lookup[#Headers]))="","",INDEX(Salary_Calculation[missed_days_penalty],ROW()-ROW(Payslip_Lookup[#Headers])))</f>
        <v/>
      </c>
      <c r="V358" s="176" t="str">
        <f aca="false">IF(INDEX(Salary_Calculation[Source Row],ROW()-ROW(Payslip_Lookup[#Headers]))="","",INDEX(Salary_Calculation[Rider Balance],ROW()-ROW(Payslip_Lookup[#Headers])))</f>
        <v/>
      </c>
      <c r="W358" s="176" t="str">
        <f aca="false">IF(INDEX(Salary_Calculation[Source Row],ROW()-ROW(Payslip_Lookup[#Headers]))="","",INDEX(Salary_Calculation[stacking_deduction],ROW()-ROW(Payslip_Lookup[#Headers])))</f>
        <v/>
      </c>
      <c r="X358" s="176" t="str">
        <f aca="false">IF(INDEX(Salary_Calculation[Source Row],ROW()-ROW(Payslip_Lookup[#Headers]))="","",INDEX(Salary_Calculation[Other Deductions],ROW()-ROW(Payslip_Lookup[#Headers])))</f>
        <v/>
      </c>
      <c r="Y358" s="176" t="str">
        <f aca="false">IF(INDEX(Salary_Calculation[Source Row],ROW()-ROW(Payslip_Lookup[#Headers]))="","",INDEX(Salary_Calculation[Total Deductions],ROW()-ROW(Payslip_Lookup[#Headers])))</f>
        <v/>
      </c>
      <c r="Z358" s="176" t="str">
        <f aca="false">IF(INDEX(Salary_Calculation[Source Row],ROW()-ROW(Payslip_Lookup[#Headers]))="","",INDEX(Salary_Calculation[Final Salary],ROW()-ROW(Payslip_Lookup[#Headers])))</f>
        <v/>
      </c>
      <c r="AA358" s="176" t="str">
        <f aca="false">IF(INDEX(Salary_Calculation[Source Row],ROW()-ROW(Payslip_Lookup[#Headers]))="","",INDEX(Salary_Calculation[Negative Balance / Amount Due from Rider],ROW()-ROW(Payslip_Lookup[#Headers])))</f>
        <v/>
      </c>
      <c r="AB358" s="176" t="str">
        <f aca="false">IF(INDEX(Salary_Calculation[Source Row],ROW()-ROW(Payslip_Lookup[#Headers]))="","",INDEX(Salary_Calculation[Total Amount Due from Rider],ROW()-ROW(Payslip_Lookup[#Headers])))</f>
        <v/>
      </c>
      <c r="AC358" s="176" t="str">
        <f aca="false">IF(INDEX(Salary_Calculation[Source Row],ROW()-ROW(Payslip_Lookup[#Headers]))="","",INDEX(Salary_Calculation[Salary Before Other Deductions],ROW()-ROW(Payslip_Lookup[#Headers])))</f>
        <v/>
      </c>
      <c r="AD358" s="171" t="str">
        <f aca="false">IF(INDEX(Salary_Calculation[Source Row],ROW()-ROW(Payslip_Lookup[#Headers]))="","",INDEX(Salary_Calculation[Payment Status],ROW()-ROW(Payslip_Lookup[#Headers])))</f>
        <v/>
      </c>
      <c r="AE358" s="171" t="str">
        <f aca="false">IF(INDEX(Salary_Calculation[Source Row],ROW()-ROW(Payslip_Lookup[#Headers]))="","",INDEX(Salary_Calculation[Notes],ROW()-ROW(Payslip_Lookup[#Headers])))</f>
        <v/>
      </c>
      <c r="AF358" s="171" t="str">
        <f aca="false">IF(INDEX(Salary_Calculation[Source Row],ROW()-ROW(Payslip_Lookup[#Headers]))="","",INDEX(Salary_Calculation[Exception Reason],ROW()-ROW(Payslip_Lookup[#Headers])))</f>
        <v/>
      </c>
      <c r="AG358" s="173" t="str">
        <f aca="false">IF($AD358="Review Required",COUNTIF(AD$2:AD358,"Review Required"),"")</f>
        <v/>
      </c>
      <c r="AH358" s="173" t="str">
        <f aca="false">IF(AND($D358&lt;&gt;"",$B358=Payslip_Print!$C$2),MAX(AH$1:AH357)+1,"")</f>
        <v/>
      </c>
      <c r="AL358" s="178" t="str">
        <f aca="false">IFERROR(INDEX($D$2:$D$501,MATCH(ROW()-1,$AH$2:$AH$501,0)),"")</f>
        <v/>
      </c>
      <c r="AM358" s="179" t="str">
        <f aca="false">IF($Z358="","",IF(AND($C358&gt;=Dash_Start,$C358&lt;Dash_End),$Z358+ROW()/10000000,""))</f>
        <v/>
      </c>
    </row>
    <row r="359" customFormat="false" ht="14.25" hidden="false" customHeight="false" outlineLevel="0" collapsed="false">
      <c r="A359" s="171" t="str">
        <f aca="false">IF(Payslip_Lookup[[#This Row],[Rider ID]]="","",Payslip_Lookup[[#This Row],[Rider ID]]&amp;"|"&amp;Payslip_Lookup[[#This Row],[Month Key]])</f>
        <v/>
      </c>
      <c r="B359" s="172" t="str">
        <f aca="false">IF(ISNUMBER(Payslip_Lookup[[#This Row],[Salary Month]]),DATE(YEAR(Payslip_Lookup[[#This Row],[Salary Month]]),MONTH(Payslip_Lookup[[#This Row],[Salary Month]]),1),"")</f>
        <v/>
      </c>
      <c r="C359" s="172" t="str">
        <f aca="false">IF(INDEX(Salary_Calculation[Source Row],ROW()-ROW(Payslip_Lookup[#Headers]))="","",INDEX(Salary_Calculation[Salary Month],ROW()-ROW(Payslip_Lookup[#Headers])))</f>
        <v/>
      </c>
      <c r="D359" s="173" t="str">
        <f aca="false">IF(INDEX(Salary_Calculation[Source Row],ROW()-ROW(Payslip_Lookup[#Headers]))="","",INDEX(Salary_Calculation[Rider ID],ROW()-ROW(Payslip_Lookup[#Headers])))</f>
        <v/>
      </c>
      <c r="E359" s="171" t="str">
        <f aca="false">IF(INDEX(Salary_Calculation[Source Row],ROW()-ROW(Payslip_Lookup[#Headers]))="","",INDEX(Salary_Calculation[Rider Name],ROW()-ROW(Payslip_Lookup[#Headers])))</f>
        <v/>
      </c>
      <c r="F359" s="173" t="str">
        <f aca="false">IF(INDEX(Salary_Calculation[Source Row],ROW()-ROW(Payslip_Lookup[#Headers]))="","",INDEX(Salary_Calculation[Working Days],ROW()-ROW(Payslip_Lookup[#Headers])))</f>
        <v/>
      </c>
      <c r="G359" s="173" t="str">
        <f aca="false">IF(INDEX(Salary_Calculation[Source Row],ROW()-ROW(Payslip_Lookup[#Headers]))="","",INDEX(Salary_Calculation[Calendar Days],ROW()-ROW(Payslip_Lookup[#Headers])))</f>
        <v/>
      </c>
      <c r="H359" s="174" t="str">
        <f aca="false">IF(INDEX(Salary_Calculation[Source Row],ROW()-ROW(Payslip_Lookup[#Headers]))="","",INDEX(Salary_Calculation[Monthly Target Orders],ROW()-ROW(Payslip_Lookup[#Headers])))</f>
        <v/>
      </c>
      <c r="I359" s="174" t="str">
        <f aca="false">IF(INDEX(Salary_Calculation[Source Row],ROW()-ROW(Payslip_Lookup[#Headers]))="","",INDEX(Salary_Calculation[Rider Target Orders],ROW()-ROW(Payslip_Lookup[#Headers])))</f>
        <v/>
      </c>
      <c r="J359" s="175" t="str">
        <f aca="false">IF(INDEX(Salary_Calculation[Source Row],ROW()-ROW(Payslip_Lookup[#Headers]))="","",INDEX(Salary_Calculation[Completed Orders],ROW()-ROW(Payslip_Lookup[#Headers])))</f>
        <v/>
      </c>
      <c r="K359" s="174" t="str">
        <f aca="false">IF(INDEX(Salary_Calculation[Source Row],ROW()-ROW(Payslip_Lookup[#Headers]))="","",INDEX(Salary_Calculation[Base Order Rate],ROW()-ROW(Payslip_Lookup[#Headers])))</f>
        <v/>
      </c>
      <c r="L359" s="176" t="str">
        <f aca="false">IF(INDEX(Salary_Calculation[Source Row],ROW()-ROW(Payslip_Lookup[#Headers]))="","",INDEX(Salary_Calculation[Basic Payment],ROW()-ROW(Payslip_Lookup[#Headers])))</f>
        <v/>
      </c>
      <c r="M359" s="176" t="str">
        <f aca="false">IF(INDEX(Salary_Calculation[Source Row],ROW()-ROW(Payslip_Lookup[#Headers]))="","",INDEX(Salary_Calculation[Earned Salary],ROW()-ROW(Payslip_Lookup[#Headers])))</f>
        <v/>
      </c>
      <c r="N359" s="174" t="str">
        <f aca="false">IF(INDEX(Salary_Calculation[Source Row],ROW()-ROW(Payslip_Lookup[#Headers]))="","",INDEX(Salary_Calculation[Orders Counted at Base Rate],ROW()-ROW(Payslip_Lookup[#Headers])))</f>
        <v/>
      </c>
      <c r="O359" s="174" t="str">
        <f aca="false">IF(INDEX(Salary_Calculation[Source Row],ROW()-ROW(Payslip_Lookup[#Headers]))="","",INDEX(Salary_Calculation[Missing Orders],ROW()-ROW(Payslip_Lookup[#Headers])))</f>
        <v/>
      </c>
      <c r="P359" s="176" t="str">
        <f aca="false">IF(INDEX(Salary_Calculation[Source Row],ROW()-ROW(Payslip_Lookup[#Headers]))="","",INDEX(Salary_Calculation[Missing-Order Deduction],ROW()-ROW(Payslip_Lookup[#Headers])))</f>
        <v/>
      </c>
      <c r="Q359" s="174" t="str">
        <f aca="false">IF(INDEX(Salary_Calculation[Source Row],ROW()-ROW(Payslip_Lookup[#Headers]))="","",INDEX(Salary_Calculation[Extra Orders],ROW()-ROW(Payslip_Lookup[#Headers])))</f>
        <v/>
      </c>
      <c r="R359" s="176" t="str">
        <f aca="false">IF(INDEX(Salary_Calculation[Source Row],ROW()-ROW(Payslip_Lookup[#Headers]))="","",INDEX(Salary_Calculation[Extra-Order Bonus],ROW()-ROW(Payslip_Lookup[#Headers])))</f>
        <v/>
      </c>
      <c r="S359" s="176" t="str">
        <f aca="false">IF(INDEX(Salary_Calculation[Source Row],ROW()-ROW(Payslip_Lookup[#Headers]))="","",INDEX(Salary_Calculation[Basic Salary for Target],ROW()-ROW(Payslip_Lookup[#Headers])))</f>
        <v/>
      </c>
      <c r="T359" s="176" t="str">
        <f aca="false">IF(INDEX(Salary_Calculation[Source Row],ROW()-ROW(Payslip_Lookup[#Headers]))="","",INDEX(Salary_Calculation[Gross Salary Before Deductions],ROW()-ROW(Payslip_Lookup[#Headers])))</f>
        <v/>
      </c>
      <c r="U359" s="176" t="str">
        <f aca="false">IF(INDEX(Salary_Calculation[Source Row],ROW()-ROW(Payslip_Lookup[#Headers]))="","",INDEX(Salary_Calculation[missed_days_penalty],ROW()-ROW(Payslip_Lookup[#Headers])))</f>
        <v/>
      </c>
      <c r="V359" s="176" t="str">
        <f aca="false">IF(INDEX(Salary_Calculation[Source Row],ROW()-ROW(Payslip_Lookup[#Headers]))="","",INDEX(Salary_Calculation[Rider Balance],ROW()-ROW(Payslip_Lookup[#Headers])))</f>
        <v/>
      </c>
      <c r="W359" s="176" t="str">
        <f aca="false">IF(INDEX(Salary_Calculation[Source Row],ROW()-ROW(Payslip_Lookup[#Headers]))="","",INDEX(Salary_Calculation[stacking_deduction],ROW()-ROW(Payslip_Lookup[#Headers])))</f>
        <v/>
      </c>
      <c r="X359" s="176" t="str">
        <f aca="false">IF(INDEX(Salary_Calculation[Source Row],ROW()-ROW(Payslip_Lookup[#Headers]))="","",INDEX(Salary_Calculation[Other Deductions],ROW()-ROW(Payslip_Lookup[#Headers])))</f>
        <v/>
      </c>
      <c r="Y359" s="176" t="str">
        <f aca="false">IF(INDEX(Salary_Calculation[Source Row],ROW()-ROW(Payslip_Lookup[#Headers]))="","",INDEX(Salary_Calculation[Total Deductions],ROW()-ROW(Payslip_Lookup[#Headers])))</f>
        <v/>
      </c>
      <c r="Z359" s="176" t="str">
        <f aca="false">IF(INDEX(Salary_Calculation[Source Row],ROW()-ROW(Payslip_Lookup[#Headers]))="","",INDEX(Salary_Calculation[Final Salary],ROW()-ROW(Payslip_Lookup[#Headers])))</f>
        <v/>
      </c>
      <c r="AA359" s="176" t="str">
        <f aca="false">IF(INDEX(Salary_Calculation[Source Row],ROW()-ROW(Payslip_Lookup[#Headers]))="","",INDEX(Salary_Calculation[Negative Balance / Amount Due from Rider],ROW()-ROW(Payslip_Lookup[#Headers])))</f>
        <v/>
      </c>
      <c r="AB359" s="176" t="str">
        <f aca="false">IF(INDEX(Salary_Calculation[Source Row],ROW()-ROW(Payslip_Lookup[#Headers]))="","",INDEX(Salary_Calculation[Total Amount Due from Rider],ROW()-ROW(Payslip_Lookup[#Headers])))</f>
        <v/>
      </c>
      <c r="AC359" s="176" t="str">
        <f aca="false">IF(INDEX(Salary_Calculation[Source Row],ROW()-ROW(Payslip_Lookup[#Headers]))="","",INDEX(Salary_Calculation[Salary Before Other Deductions],ROW()-ROW(Payslip_Lookup[#Headers])))</f>
        <v/>
      </c>
      <c r="AD359" s="171" t="str">
        <f aca="false">IF(INDEX(Salary_Calculation[Source Row],ROW()-ROW(Payslip_Lookup[#Headers]))="","",INDEX(Salary_Calculation[Payment Status],ROW()-ROW(Payslip_Lookup[#Headers])))</f>
        <v/>
      </c>
      <c r="AE359" s="171" t="str">
        <f aca="false">IF(INDEX(Salary_Calculation[Source Row],ROW()-ROW(Payslip_Lookup[#Headers]))="","",INDEX(Salary_Calculation[Notes],ROW()-ROW(Payslip_Lookup[#Headers])))</f>
        <v/>
      </c>
      <c r="AF359" s="171" t="str">
        <f aca="false">IF(INDEX(Salary_Calculation[Source Row],ROW()-ROW(Payslip_Lookup[#Headers]))="","",INDEX(Salary_Calculation[Exception Reason],ROW()-ROW(Payslip_Lookup[#Headers])))</f>
        <v/>
      </c>
      <c r="AG359" s="173" t="str">
        <f aca="false">IF($AD359="Review Required",COUNTIF(AD$2:AD359,"Review Required"),"")</f>
        <v/>
      </c>
      <c r="AH359" s="173" t="str">
        <f aca="false">IF(AND($D359&lt;&gt;"",$B359=Payslip_Print!$C$2),MAX(AH$1:AH358)+1,"")</f>
        <v/>
      </c>
      <c r="AL359" s="178" t="str">
        <f aca="false">IFERROR(INDEX($D$2:$D$501,MATCH(ROW()-1,$AH$2:$AH$501,0)),"")</f>
        <v/>
      </c>
      <c r="AM359" s="179" t="str">
        <f aca="false">IF($Z359="","",IF(AND($C359&gt;=Dash_Start,$C359&lt;Dash_End),$Z359+ROW()/10000000,""))</f>
        <v/>
      </c>
    </row>
    <row r="360" customFormat="false" ht="14.25" hidden="false" customHeight="false" outlineLevel="0" collapsed="false">
      <c r="A360" s="171" t="str">
        <f aca="false">IF(Payslip_Lookup[[#This Row],[Rider ID]]="","",Payslip_Lookup[[#This Row],[Rider ID]]&amp;"|"&amp;Payslip_Lookup[[#This Row],[Month Key]])</f>
        <v/>
      </c>
      <c r="B360" s="172" t="str">
        <f aca="false">IF(ISNUMBER(Payslip_Lookup[[#This Row],[Salary Month]]),DATE(YEAR(Payslip_Lookup[[#This Row],[Salary Month]]),MONTH(Payslip_Lookup[[#This Row],[Salary Month]]),1),"")</f>
        <v/>
      </c>
      <c r="C360" s="172" t="str">
        <f aca="false">IF(INDEX(Salary_Calculation[Source Row],ROW()-ROW(Payslip_Lookup[#Headers]))="","",INDEX(Salary_Calculation[Salary Month],ROW()-ROW(Payslip_Lookup[#Headers])))</f>
        <v/>
      </c>
      <c r="D360" s="173" t="str">
        <f aca="false">IF(INDEX(Salary_Calculation[Source Row],ROW()-ROW(Payslip_Lookup[#Headers]))="","",INDEX(Salary_Calculation[Rider ID],ROW()-ROW(Payslip_Lookup[#Headers])))</f>
        <v/>
      </c>
      <c r="E360" s="171" t="str">
        <f aca="false">IF(INDEX(Salary_Calculation[Source Row],ROW()-ROW(Payslip_Lookup[#Headers]))="","",INDEX(Salary_Calculation[Rider Name],ROW()-ROW(Payslip_Lookup[#Headers])))</f>
        <v/>
      </c>
      <c r="F360" s="173" t="str">
        <f aca="false">IF(INDEX(Salary_Calculation[Source Row],ROW()-ROW(Payslip_Lookup[#Headers]))="","",INDEX(Salary_Calculation[Working Days],ROW()-ROW(Payslip_Lookup[#Headers])))</f>
        <v/>
      </c>
      <c r="G360" s="173" t="str">
        <f aca="false">IF(INDEX(Salary_Calculation[Source Row],ROW()-ROW(Payslip_Lookup[#Headers]))="","",INDEX(Salary_Calculation[Calendar Days],ROW()-ROW(Payslip_Lookup[#Headers])))</f>
        <v/>
      </c>
      <c r="H360" s="174" t="str">
        <f aca="false">IF(INDEX(Salary_Calculation[Source Row],ROW()-ROW(Payslip_Lookup[#Headers]))="","",INDEX(Salary_Calculation[Monthly Target Orders],ROW()-ROW(Payslip_Lookup[#Headers])))</f>
        <v/>
      </c>
      <c r="I360" s="174" t="str">
        <f aca="false">IF(INDEX(Salary_Calculation[Source Row],ROW()-ROW(Payslip_Lookup[#Headers]))="","",INDEX(Salary_Calculation[Rider Target Orders],ROW()-ROW(Payslip_Lookup[#Headers])))</f>
        <v/>
      </c>
      <c r="J360" s="175" t="str">
        <f aca="false">IF(INDEX(Salary_Calculation[Source Row],ROW()-ROW(Payslip_Lookup[#Headers]))="","",INDEX(Salary_Calculation[Completed Orders],ROW()-ROW(Payslip_Lookup[#Headers])))</f>
        <v/>
      </c>
      <c r="K360" s="174" t="str">
        <f aca="false">IF(INDEX(Salary_Calculation[Source Row],ROW()-ROW(Payslip_Lookup[#Headers]))="","",INDEX(Salary_Calculation[Base Order Rate],ROW()-ROW(Payslip_Lookup[#Headers])))</f>
        <v/>
      </c>
      <c r="L360" s="176" t="str">
        <f aca="false">IF(INDEX(Salary_Calculation[Source Row],ROW()-ROW(Payslip_Lookup[#Headers]))="","",INDEX(Salary_Calculation[Basic Payment],ROW()-ROW(Payslip_Lookup[#Headers])))</f>
        <v/>
      </c>
      <c r="M360" s="176" t="str">
        <f aca="false">IF(INDEX(Salary_Calculation[Source Row],ROW()-ROW(Payslip_Lookup[#Headers]))="","",INDEX(Salary_Calculation[Earned Salary],ROW()-ROW(Payslip_Lookup[#Headers])))</f>
        <v/>
      </c>
      <c r="N360" s="174" t="str">
        <f aca="false">IF(INDEX(Salary_Calculation[Source Row],ROW()-ROW(Payslip_Lookup[#Headers]))="","",INDEX(Salary_Calculation[Orders Counted at Base Rate],ROW()-ROW(Payslip_Lookup[#Headers])))</f>
        <v/>
      </c>
      <c r="O360" s="174" t="str">
        <f aca="false">IF(INDEX(Salary_Calculation[Source Row],ROW()-ROW(Payslip_Lookup[#Headers]))="","",INDEX(Salary_Calculation[Missing Orders],ROW()-ROW(Payslip_Lookup[#Headers])))</f>
        <v/>
      </c>
      <c r="P360" s="176" t="str">
        <f aca="false">IF(INDEX(Salary_Calculation[Source Row],ROW()-ROW(Payslip_Lookup[#Headers]))="","",INDEX(Salary_Calculation[Missing-Order Deduction],ROW()-ROW(Payslip_Lookup[#Headers])))</f>
        <v/>
      </c>
      <c r="Q360" s="174" t="str">
        <f aca="false">IF(INDEX(Salary_Calculation[Source Row],ROW()-ROW(Payslip_Lookup[#Headers]))="","",INDEX(Salary_Calculation[Extra Orders],ROW()-ROW(Payslip_Lookup[#Headers])))</f>
        <v/>
      </c>
      <c r="R360" s="176" t="str">
        <f aca="false">IF(INDEX(Salary_Calculation[Source Row],ROW()-ROW(Payslip_Lookup[#Headers]))="","",INDEX(Salary_Calculation[Extra-Order Bonus],ROW()-ROW(Payslip_Lookup[#Headers])))</f>
        <v/>
      </c>
      <c r="S360" s="176" t="str">
        <f aca="false">IF(INDEX(Salary_Calculation[Source Row],ROW()-ROW(Payslip_Lookup[#Headers]))="","",INDEX(Salary_Calculation[Basic Salary for Target],ROW()-ROW(Payslip_Lookup[#Headers])))</f>
        <v/>
      </c>
      <c r="T360" s="176" t="str">
        <f aca="false">IF(INDEX(Salary_Calculation[Source Row],ROW()-ROW(Payslip_Lookup[#Headers]))="","",INDEX(Salary_Calculation[Gross Salary Before Deductions],ROW()-ROW(Payslip_Lookup[#Headers])))</f>
        <v/>
      </c>
      <c r="U360" s="176" t="str">
        <f aca="false">IF(INDEX(Salary_Calculation[Source Row],ROW()-ROW(Payslip_Lookup[#Headers]))="","",INDEX(Salary_Calculation[missed_days_penalty],ROW()-ROW(Payslip_Lookup[#Headers])))</f>
        <v/>
      </c>
      <c r="V360" s="176" t="str">
        <f aca="false">IF(INDEX(Salary_Calculation[Source Row],ROW()-ROW(Payslip_Lookup[#Headers]))="","",INDEX(Salary_Calculation[Rider Balance],ROW()-ROW(Payslip_Lookup[#Headers])))</f>
        <v/>
      </c>
      <c r="W360" s="176" t="str">
        <f aca="false">IF(INDEX(Salary_Calculation[Source Row],ROW()-ROW(Payslip_Lookup[#Headers]))="","",INDEX(Salary_Calculation[stacking_deduction],ROW()-ROW(Payslip_Lookup[#Headers])))</f>
        <v/>
      </c>
      <c r="X360" s="176" t="str">
        <f aca="false">IF(INDEX(Salary_Calculation[Source Row],ROW()-ROW(Payslip_Lookup[#Headers]))="","",INDEX(Salary_Calculation[Other Deductions],ROW()-ROW(Payslip_Lookup[#Headers])))</f>
        <v/>
      </c>
      <c r="Y360" s="176" t="str">
        <f aca="false">IF(INDEX(Salary_Calculation[Source Row],ROW()-ROW(Payslip_Lookup[#Headers]))="","",INDEX(Salary_Calculation[Total Deductions],ROW()-ROW(Payslip_Lookup[#Headers])))</f>
        <v/>
      </c>
      <c r="Z360" s="176" t="str">
        <f aca="false">IF(INDEX(Salary_Calculation[Source Row],ROW()-ROW(Payslip_Lookup[#Headers]))="","",INDEX(Salary_Calculation[Final Salary],ROW()-ROW(Payslip_Lookup[#Headers])))</f>
        <v/>
      </c>
      <c r="AA360" s="176" t="str">
        <f aca="false">IF(INDEX(Salary_Calculation[Source Row],ROW()-ROW(Payslip_Lookup[#Headers]))="","",INDEX(Salary_Calculation[Negative Balance / Amount Due from Rider],ROW()-ROW(Payslip_Lookup[#Headers])))</f>
        <v/>
      </c>
      <c r="AB360" s="176" t="str">
        <f aca="false">IF(INDEX(Salary_Calculation[Source Row],ROW()-ROW(Payslip_Lookup[#Headers]))="","",INDEX(Salary_Calculation[Total Amount Due from Rider],ROW()-ROW(Payslip_Lookup[#Headers])))</f>
        <v/>
      </c>
      <c r="AC360" s="176" t="str">
        <f aca="false">IF(INDEX(Salary_Calculation[Source Row],ROW()-ROW(Payslip_Lookup[#Headers]))="","",INDEX(Salary_Calculation[Salary Before Other Deductions],ROW()-ROW(Payslip_Lookup[#Headers])))</f>
        <v/>
      </c>
      <c r="AD360" s="171" t="str">
        <f aca="false">IF(INDEX(Salary_Calculation[Source Row],ROW()-ROW(Payslip_Lookup[#Headers]))="","",INDEX(Salary_Calculation[Payment Status],ROW()-ROW(Payslip_Lookup[#Headers])))</f>
        <v/>
      </c>
      <c r="AE360" s="171" t="str">
        <f aca="false">IF(INDEX(Salary_Calculation[Source Row],ROW()-ROW(Payslip_Lookup[#Headers]))="","",INDEX(Salary_Calculation[Notes],ROW()-ROW(Payslip_Lookup[#Headers])))</f>
        <v/>
      </c>
      <c r="AF360" s="171" t="str">
        <f aca="false">IF(INDEX(Salary_Calculation[Source Row],ROW()-ROW(Payslip_Lookup[#Headers]))="","",INDEX(Salary_Calculation[Exception Reason],ROW()-ROW(Payslip_Lookup[#Headers])))</f>
        <v/>
      </c>
      <c r="AG360" s="173" t="str">
        <f aca="false">IF($AD360="Review Required",COUNTIF(AD$2:AD360,"Review Required"),"")</f>
        <v/>
      </c>
      <c r="AH360" s="173" t="str">
        <f aca="false">IF(AND($D360&lt;&gt;"",$B360=Payslip_Print!$C$2),MAX(AH$1:AH359)+1,"")</f>
        <v/>
      </c>
      <c r="AL360" s="178" t="str">
        <f aca="false">IFERROR(INDEX($D$2:$D$501,MATCH(ROW()-1,$AH$2:$AH$501,0)),"")</f>
        <v/>
      </c>
      <c r="AM360" s="179" t="str">
        <f aca="false">IF($Z360="","",IF(AND($C360&gt;=Dash_Start,$C360&lt;Dash_End),$Z360+ROW()/10000000,""))</f>
        <v/>
      </c>
    </row>
    <row r="361" customFormat="false" ht="14.25" hidden="false" customHeight="false" outlineLevel="0" collapsed="false">
      <c r="A361" s="171" t="str">
        <f aca="false">IF(Payslip_Lookup[[#This Row],[Rider ID]]="","",Payslip_Lookup[[#This Row],[Rider ID]]&amp;"|"&amp;Payslip_Lookup[[#This Row],[Month Key]])</f>
        <v/>
      </c>
      <c r="B361" s="172" t="str">
        <f aca="false">IF(ISNUMBER(Payslip_Lookup[[#This Row],[Salary Month]]),DATE(YEAR(Payslip_Lookup[[#This Row],[Salary Month]]),MONTH(Payslip_Lookup[[#This Row],[Salary Month]]),1),"")</f>
        <v/>
      </c>
      <c r="C361" s="172" t="str">
        <f aca="false">IF(INDEX(Salary_Calculation[Source Row],ROW()-ROW(Payslip_Lookup[#Headers]))="","",INDEX(Salary_Calculation[Salary Month],ROW()-ROW(Payslip_Lookup[#Headers])))</f>
        <v/>
      </c>
      <c r="D361" s="173" t="str">
        <f aca="false">IF(INDEX(Salary_Calculation[Source Row],ROW()-ROW(Payslip_Lookup[#Headers]))="","",INDEX(Salary_Calculation[Rider ID],ROW()-ROW(Payslip_Lookup[#Headers])))</f>
        <v/>
      </c>
      <c r="E361" s="171" t="str">
        <f aca="false">IF(INDEX(Salary_Calculation[Source Row],ROW()-ROW(Payslip_Lookup[#Headers]))="","",INDEX(Salary_Calculation[Rider Name],ROW()-ROW(Payslip_Lookup[#Headers])))</f>
        <v/>
      </c>
      <c r="F361" s="173" t="str">
        <f aca="false">IF(INDEX(Salary_Calculation[Source Row],ROW()-ROW(Payslip_Lookup[#Headers]))="","",INDEX(Salary_Calculation[Working Days],ROW()-ROW(Payslip_Lookup[#Headers])))</f>
        <v/>
      </c>
      <c r="G361" s="173" t="str">
        <f aca="false">IF(INDEX(Salary_Calculation[Source Row],ROW()-ROW(Payslip_Lookup[#Headers]))="","",INDEX(Salary_Calculation[Calendar Days],ROW()-ROW(Payslip_Lookup[#Headers])))</f>
        <v/>
      </c>
      <c r="H361" s="174" t="str">
        <f aca="false">IF(INDEX(Salary_Calculation[Source Row],ROW()-ROW(Payslip_Lookup[#Headers]))="","",INDEX(Salary_Calculation[Monthly Target Orders],ROW()-ROW(Payslip_Lookup[#Headers])))</f>
        <v/>
      </c>
      <c r="I361" s="174" t="str">
        <f aca="false">IF(INDEX(Salary_Calculation[Source Row],ROW()-ROW(Payslip_Lookup[#Headers]))="","",INDEX(Salary_Calculation[Rider Target Orders],ROW()-ROW(Payslip_Lookup[#Headers])))</f>
        <v/>
      </c>
      <c r="J361" s="175" t="str">
        <f aca="false">IF(INDEX(Salary_Calculation[Source Row],ROW()-ROW(Payslip_Lookup[#Headers]))="","",INDEX(Salary_Calculation[Completed Orders],ROW()-ROW(Payslip_Lookup[#Headers])))</f>
        <v/>
      </c>
      <c r="K361" s="174" t="str">
        <f aca="false">IF(INDEX(Salary_Calculation[Source Row],ROW()-ROW(Payslip_Lookup[#Headers]))="","",INDEX(Salary_Calculation[Base Order Rate],ROW()-ROW(Payslip_Lookup[#Headers])))</f>
        <v/>
      </c>
      <c r="L361" s="176" t="str">
        <f aca="false">IF(INDEX(Salary_Calculation[Source Row],ROW()-ROW(Payslip_Lookup[#Headers]))="","",INDEX(Salary_Calculation[Basic Payment],ROW()-ROW(Payslip_Lookup[#Headers])))</f>
        <v/>
      </c>
      <c r="M361" s="176" t="str">
        <f aca="false">IF(INDEX(Salary_Calculation[Source Row],ROW()-ROW(Payslip_Lookup[#Headers]))="","",INDEX(Salary_Calculation[Earned Salary],ROW()-ROW(Payslip_Lookup[#Headers])))</f>
        <v/>
      </c>
      <c r="N361" s="174" t="str">
        <f aca="false">IF(INDEX(Salary_Calculation[Source Row],ROW()-ROW(Payslip_Lookup[#Headers]))="","",INDEX(Salary_Calculation[Orders Counted at Base Rate],ROW()-ROW(Payslip_Lookup[#Headers])))</f>
        <v/>
      </c>
      <c r="O361" s="174" t="str">
        <f aca="false">IF(INDEX(Salary_Calculation[Source Row],ROW()-ROW(Payslip_Lookup[#Headers]))="","",INDEX(Salary_Calculation[Missing Orders],ROW()-ROW(Payslip_Lookup[#Headers])))</f>
        <v/>
      </c>
      <c r="P361" s="176" t="str">
        <f aca="false">IF(INDEX(Salary_Calculation[Source Row],ROW()-ROW(Payslip_Lookup[#Headers]))="","",INDEX(Salary_Calculation[Missing-Order Deduction],ROW()-ROW(Payslip_Lookup[#Headers])))</f>
        <v/>
      </c>
      <c r="Q361" s="174" t="str">
        <f aca="false">IF(INDEX(Salary_Calculation[Source Row],ROW()-ROW(Payslip_Lookup[#Headers]))="","",INDEX(Salary_Calculation[Extra Orders],ROW()-ROW(Payslip_Lookup[#Headers])))</f>
        <v/>
      </c>
      <c r="R361" s="176" t="str">
        <f aca="false">IF(INDEX(Salary_Calculation[Source Row],ROW()-ROW(Payslip_Lookup[#Headers]))="","",INDEX(Salary_Calculation[Extra-Order Bonus],ROW()-ROW(Payslip_Lookup[#Headers])))</f>
        <v/>
      </c>
      <c r="S361" s="176" t="str">
        <f aca="false">IF(INDEX(Salary_Calculation[Source Row],ROW()-ROW(Payslip_Lookup[#Headers]))="","",INDEX(Salary_Calculation[Basic Salary for Target],ROW()-ROW(Payslip_Lookup[#Headers])))</f>
        <v/>
      </c>
      <c r="T361" s="176" t="str">
        <f aca="false">IF(INDEX(Salary_Calculation[Source Row],ROW()-ROW(Payslip_Lookup[#Headers]))="","",INDEX(Salary_Calculation[Gross Salary Before Deductions],ROW()-ROW(Payslip_Lookup[#Headers])))</f>
        <v/>
      </c>
      <c r="U361" s="176" t="str">
        <f aca="false">IF(INDEX(Salary_Calculation[Source Row],ROW()-ROW(Payslip_Lookup[#Headers]))="","",INDEX(Salary_Calculation[missed_days_penalty],ROW()-ROW(Payslip_Lookup[#Headers])))</f>
        <v/>
      </c>
      <c r="V361" s="176" t="str">
        <f aca="false">IF(INDEX(Salary_Calculation[Source Row],ROW()-ROW(Payslip_Lookup[#Headers]))="","",INDEX(Salary_Calculation[Rider Balance],ROW()-ROW(Payslip_Lookup[#Headers])))</f>
        <v/>
      </c>
      <c r="W361" s="176" t="str">
        <f aca="false">IF(INDEX(Salary_Calculation[Source Row],ROW()-ROW(Payslip_Lookup[#Headers]))="","",INDEX(Salary_Calculation[stacking_deduction],ROW()-ROW(Payslip_Lookup[#Headers])))</f>
        <v/>
      </c>
      <c r="X361" s="176" t="str">
        <f aca="false">IF(INDEX(Salary_Calculation[Source Row],ROW()-ROW(Payslip_Lookup[#Headers]))="","",INDEX(Salary_Calculation[Other Deductions],ROW()-ROW(Payslip_Lookup[#Headers])))</f>
        <v/>
      </c>
      <c r="Y361" s="176" t="str">
        <f aca="false">IF(INDEX(Salary_Calculation[Source Row],ROW()-ROW(Payslip_Lookup[#Headers]))="","",INDEX(Salary_Calculation[Total Deductions],ROW()-ROW(Payslip_Lookup[#Headers])))</f>
        <v/>
      </c>
      <c r="Z361" s="176" t="str">
        <f aca="false">IF(INDEX(Salary_Calculation[Source Row],ROW()-ROW(Payslip_Lookup[#Headers]))="","",INDEX(Salary_Calculation[Final Salary],ROW()-ROW(Payslip_Lookup[#Headers])))</f>
        <v/>
      </c>
      <c r="AA361" s="176" t="str">
        <f aca="false">IF(INDEX(Salary_Calculation[Source Row],ROW()-ROW(Payslip_Lookup[#Headers]))="","",INDEX(Salary_Calculation[Negative Balance / Amount Due from Rider],ROW()-ROW(Payslip_Lookup[#Headers])))</f>
        <v/>
      </c>
      <c r="AB361" s="176" t="str">
        <f aca="false">IF(INDEX(Salary_Calculation[Source Row],ROW()-ROW(Payslip_Lookup[#Headers]))="","",INDEX(Salary_Calculation[Total Amount Due from Rider],ROW()-ROW(Payslip_Lookup[#Headers])))</f>
        <v/>
      </c>
      <c r="AC361" s="176" t="str">
        <f aca="false">IF(INDEX(Salary_Calculation[Source Row],ROW()-ROW(Payslip_Lookup[#Headers]))="","",INDEX(Salary_Calculation[Salary Before Other Deductions],ROW()-ROW(Payslip_Lookup[#Headers])))</f>
        <v/>
      </c>
      <c r="AD361" s="171" t="str">
        <f aca="false">IF(INDEX(Salary_Calculation[Source Row],ROW()-ROW(Payslip_Lookup[#Headers]))="","",INDEX(Salary_Calculation[Payment Status],ROW()-ROW(Payslip_Lookup[#Headers])))</f>
        <v/>
      </c>
      <c r="AE361" s="171" t="str">
        <f aca="false">IF(INDEX(Salary_Calculation[Source Row],ROW()-ROW(Payslip_Lookup[#Headers]))="","",INDEX(Salary_Calculation[Notes],ROW()-ROW(Payslip_Lookup[#Headers])))</f>
        <v/>
      </c>
      <c r="AF361" s="171" t="str">
        <f aca="false">IF(INDEX(Salary_Calculation[Source Row],ROW()-ROW(Payslip_Lookup[#Headers]))="","",INDEX(Salary_Calculation[Exception Reason],ROW()-ROW(Payslip_Lookup[#Headers])))</f>
        <v/>
      </c>
      <c r="AG361" s="173" t="str">
        <f aca="false">IF($AD361="Review Required",COUNTIF(AD$2:AD361,"Review Required"),"")</f>
        <v/>
      </c>
      <c r="AH361" s="173" t="str">
        <f aca="false">IF(AND($D361&lt;&gt;"",$B361=Payslip_Print!$C$2),MAX(AH$1:AH360)+1,"")</f>
        <v/>
      </c>
      <c r="AL361" s="178" t="str">
        <f aca="false">IFERROR(INDEX($D$2:$D$501,MATCH(ROW()-1,$AH$2:$AH$501,0)),"")</f>
        <v/>
      </c>
      <c r="AM361" s="179" t="str">
        <f aca="false">IF($Z361="","",IF(AND($C361&gt;=Dash_Start,$C361&lt;Dash_End),$Z361+ROW()/10000000,""))</f>
        <v/>
      </c>
    </row>
    <row r="362" customFormat="false" ht="14.25" hidden="false" customHeight="false" outlineLevel="0" collapsed="false">
      <c r="A362" s="171" t="str">
        <f aca="false">IF(Payslip_Lookup[[#This Row],[Rider ID]]="","",Payslip_Lookup[[#This Row],[Rider ID]]&amp;"|"&amp;Payslip_Lookup[[#This Row],[Month Key]])</f>
        <v/>
      </c>
      <c r="B362" s="172" t="str">
        <f aca="false">IF(ISNUMBER(Payslip_Lookup[[#This Row],[Salary Month]]),DATE(YEAR(Payslip_Lookup[[#This Row],[Salary Month]]),MONTH(Payslip_Lookup[[#This Row],[Salary Month]]),1),"")</f>
        <v/>
      </c>
      <c r="C362" s="172" t="str">
        <f aca="false">IF(INDEX(Salary_Calculation[Source Row],ROW()-ROW(Payslip_Lookup[#Headers]))="","",INDEX(Salary_Calculation[Salary Month],ROW()-ROW(Payslip_Lookup[#Headers])))</f>
        <v/>
      </c>
      <c r="D362" s="173" t="str">
        <f aca="false">IF(INDEX(Salary_Calculation[Source Row],ROW()-ROW(Payslip_Lookup[#Headers]))="","",INDEX(Salary_Calculation[Rider ID],ROW()-ROW(Payslip_Lookup[#Headers])))</f>
        <v/>
      </c>
      <c r="E362" s="171" t="str">
        <f aca="false">IF(INDEX(Salary_Calculation[Source Row],ROW()-ROW(Payslip_Lookup[#Headers]))="","",INDEX(Salary_Calculation[Rider Name],ROW()-ROW(Payslip_Lookup[#Headers])))</f>
        <v/>
      </c>
      <c r="F362" s="173" t="str">
        <f aca="false">IF(INDEX(Salary_Calculation[Source Row],ROW()-ROW(Payslip_Lookup[#Headers]))="","",INDEX(Salary_Calculation[Working Days],ROW()-ROW(Payslip_Lookup[#Headers])))</f>
        <v/>
      </c>
      <c r="G362" s="173" t="str">
        <f aca="false">IF(INDEX(Salary_Calculation[Source Row],ROW()-ROW(Payslip_Lookup[#Headers]))="","",INDEX(Salary_Calculation[Calendar Days],ROW()-ROW(Payslip_Lookup[#Headers])))</f>
        <v/>
      </c>
      <c r="H362" s="174" t="str">
        <f aca="false">IF(INDEX(Salary_Calculation[Source Row],ROW()-ROW(Payslip_Lookup[#Headers]))="","",INDEX(Salary_Calculation[Monthly Target Orders],ROW()-ROW(Payslip_Lookup[#Headers])))</f>
        <v/>
      </c>
      <c r="I362" s="174" t="str">
        <f aca="false">IF(INDEX(Salary_Calculation[Source Row],ROW()-ROW(Payslip_Lookup[#Headers]))="","",INDEX(Salary_Calculation[Rider Target Orders],ROW()-ROW(Payslip_Lookup[#Headers])))</f>
        <v/>
      </c>
      <c r="J362" s="175" t="str">
        <f aca="false">IF(INDEX(Salary_Calculation[Source Row],ROW()-ROW(Payslip_Lookup[#Headers]))="","",INDEX(Salary_Calculation[Completed Orders],ROW()-ROW(Payslip_Lookup[#Headers])))</f>
        <v/>
      </c>
      <c r="K362" s="174" t="str">
        <f aca="false">IF(INDEX(Salary_Calculation[Source Row],ROW()-ROW(Payslip_Lookup[#Headers]))="","",INDEX(Salary_Calculation[Base Order Rate],ROW()-ROW(Payslip_Lookup[#Headers])))</f>
        <v/>
      </c>
      <c r="L362" s="176" t="str">
        <f aca="false">IF(INDEX(Salary_Calculation[Source Row],ROW()-ROW(Payslip_Lookup[#Headers]))="","",INDEX(Salary_Calculation[Basic Payment],ROW()-ROW(Payslip_Lookup[#Headers])))</f>
        <v/>
      </c>
      <c r="M362" s="176" t="str">
        <f aca="false">IF(INDEX(Salary_Calculation[Source Row],ROW()-ROW(Payslip_Lookup[#Headers]))="","",INDEX(Salary_Calculation[Earned Salary],ROW()-ROW(Payslip_Lookup[#Headers])))</f>
        <v/>
      </c>
      <c r="N362" s="174" t="str">
        <f aca="false">IF(INDEX(Salary_Calculation[Source Row],ROW()-ROW(Payslip_Lookup[#Headers]))="","",INDEX(Salary_Calculation[Orders Counted at Base Rate],ROW()-ROW(Payslip_Lookup[#Headers])))</f>
        <v/>
      </c>
      <c r="O362" s="174" t="str">
        <f aca="false">IF(INDEX(Salary_Calculation[Source Row],ROW()-ROW(Payslip_Lookup[#Headers]))="","",INDEX(Salary_Calculation[Missing Orders],ROW()-ROW(Payslip_Lookup[#Headers])))</f>
        <v/>
      </c>
      <c r="P362" s="176" t="str">
        <f aca="false">IF(INDEX(Salary_Calculation[Source Row],ROW()-ROW(Payslip_Lookup[#Headers]))="","",INDEX(Salary_Calculation[Missing-Order Deduction],ROW()-ROW(Payslip_Lookup[#Headers])))</f>
        <v/>
      </c>
      <c r="Q362" s="174" t="str">
        <f aca="false">IF(INDEX(Salary_Calculation[Source Row],ROW()-ROW(Payslip_Lookup[#Headers]))="","",INDEX(Salary_Calculation[Extra Orders],ROW()-ROW(Payslip_Lookup[#Headers])))</f>
        <v/>
      </c>
      <c r="R362" s="176" t="str">
        <f aca="false">IF(INDEX(Salary_Calculation[Source Row],ROW()-ROW(Payslip_Lookup[#Headers]))="","",INDEX(Salary_Calculation[Extra-Order Bonus],ROW()-ROW(Payslip_Lookup[#Headers])))</f>
        <v/>
      </c>
      <c r="S362" s="176" t="str">
        <f aca="false">IF(INDEX(Salary_Calculation[Source Row],ROW()-ROW(Payslip_Lookup[#Headers]))="","",INDEX(Salary_Calculation[Basic Salary for Target],ROW()-ROW(Payslip_Lookup[#Headers])))</f>
        <v/>
      </c>
      <c r="T362" s="176" t="str">
        <f aca="false">IF(INDEX(Salary_Calculation[Source Row],ROW()-ROW(Payslip_Lookup[#Headers]))="","",INDEX(Salary_Calculation[Gross Salary Before Deductions],ROW()-ROW(Payslip_Lookup[#Headers])))</f>
        <v/>
      </c>
      <c r="U362" s="176" t="str">
        <f aca="false">IF(INDEX(Salary_Calculation[Source Row],ROW()-ROW(Payslip_Lookup[#Headers]))="","",INDEX(Salary_Calculation[missed_days_penalty],ROW()-ROW(Payslip_Lookup[#Headers])))</f>
        <v/>
      </c>
      <c r="V362" s="176" t="str">
        <f aca="false">IF(INDEX(Salary_Calculation[Source Row],ROW()-ROW(Payslip_Lookup[#Headers]))="","",INDEX(Salary_Calculation[Rider Balance],ROW()-ROW(Payslip_Lookup[#Headers])))</f>
        <v/>
      </c>
      <c r="W362" s="176" t="str">
        <f aca="false">IF(INDEX(Salary_Calculation[Source Row],ROW()-ROW(Payslip_Lookup[#Headers]))="","",INDEX(Salary_Calculation[stacking_deduction],ROW()-ROW(Payslip_Lookup[#Headers])))</f>
        <v/>
      </c>
      <c r="X362" s="176" t="str">
        <f aca="false">IF(INDEX(Salary_Calculation[Source Row],ROW()-ROW(Payslip_Lookup[#Headers]))="","",INDEX(Salary_Calculation[Other Deductions],ROW()-ROW(Payslip_Lookup[#Headers])))</f>
        <v/>
      </c>
      <c r="Y362" s="176" t="str">
        <f aca="false">IF(INDEX(Salary_Calculation[Source Row],ROW()-ROW(Payslip_Lookup[#Headers]))="","",INDEX(Salary_Calculation[Total Deductions],ROW()-ROW(Payslip_Lookup[#Headers])))</f>
        <v/>
      </c>
      <c r="Z362" s="176" t="str">
        <f aca="false">IF(INDEX(Salary_Calculation[Source Row],ROW()-ROW(Payslip_Lookup[#Headers]))="","",INDEX(Salary_Calculation[Final Salary],ROW()-ROW(Payslip_Lookup[#Headers])))</f>
        <v/>
      </c>
      <c r="AA362" s="176" t="str">
        <f aca="false">IF(INDEX(Salary_Calculation[Source Row],ROW()-ROW(Payslip_Lookup[#Headers]))="","",INDEX(Salary_Calculation[Negative Balance / Amount Due from Rider],ROW()-ROW(Payslip_Lookup[#Headers])))</f>
        <v/>
      </c>
      <c r="AB362" s="176" t="str">
        <f aca="false">IF(INDEX(Salary_Calculation[Source Row],ROW()-ROW(Payslip_Lookup[#Headers]))="","",INDEX(Salary_Calculation[Total Amount Due from Rider],ROW()-ROW(Payslip_Lookup[#Headers])))</f>
        <v/>
      </c>
      <c r="AC362" s="176" t="str">
        <f aca="false">IF(INDEX(Salary_Calculation[Source Row],ROW()-ROW(Payslip_Lookup[#Headers]))="","",INDEX(Salary_Calculation[Salary Before Other Deductions],ROW()-ROW(Payslip_Lookup[#Headers])))</f>
        <v/>
      </c>
      <c r="AD362" s="171" t="str">
        <f aca="false">IF(INDEX(Salary_Calculation[Source Row],ROW()-ROW(Payslip_Lookup[#Headers]))="","",INDEX(Salary_Calculation[Payment Status],ROW()-ROW(Payslip_Lookup[#Headers])))</f>
        <v/>
      </c>
      <c r="AE362" s="171" t="str">
        <f aca="false">IF(INDEX(Salary_Calculation[Source Row],ROW()-ROW(Payslip_Lookup[#Headers]))="","",INDEX(Salary_Calculation[Notes],ROW()-ROW(Payslip_Lookup[#Headers])))</f>
        <v/>
      </c>
      <c r="AF362" s="171" t="str">
        <f aca="false">IF(INDEX(Salary_Calculation[Source Row],ROW()-ROW(Payslip_Lookup[#Headers]))="","",INDEX(Salary_Calculation[Exception Reason],ROW()-ROW(Payslip_Lookup[#Headers])))</f>
        <v/>
      </c>
      <c r="AG362" s="173" t="str">
        <f aca="false">IF($AD362="Review Required",COUNTIF(AD$2:AD362,"Review Required"),"")</f>
        <v/>
      </c>
      <c r="AH362" s="173" t="str">
        <f aca="false">IF(AND($D362&lt;&gt;"",$B362=Payslip_Print!$C$2),MAX(AH$1:AH361)+1,"")</f>
        <v/>
      </c>
      <c r="AL362" s="178" t="str">
        <f aca="false">IFERROR(INDEX($D$2:$D$501,MATCH(ROW()-1,$AH$2:$AH$501,0)),"")</f>
        <v/>
      </c>
      <c r="AM362" s="179" t="str">
        <f aca="false">IF($Z362="","",IF(AND($C362&gt;=Dash_Start,$C362&lt;Dash_End),$Z362+ROW()/10000000,""))</f>
        <v/>
      </c>
    </row>
    <row r="363" customFormat="false" ht="14.25" hidden="false" customHeight="false" outlineLevel="0" collapsed="false">
      <c r="A363" s="171" t="str">
        <f aca="false">IF(Payslip_Lookup[[#This Row],[Rider ID]]="","",Payslip_Lookup[[#This Row],[Rider ID]]&amp;"|"&amp;Payslip_Lookup[[#This Row],[Month Key]])</f>
        <v/>
      </c>
      <c r="B363" s="172" t="str">
        <f aca="false">IF(ISNUMBER(Payslip_Lookup[[#This Row],[Salary Month]]),DATE(YEAR(Payslip_Lookup[[#This Row],[Salary Month]]),MONTH(Payslip_Lookup[[#This Row],[Salary Month]]),1),"")</f>
        <v/>
      </c>
      <c r="C363" s="172" t="str">
        <f aca="false">IF(INDEX(Salary_Calculation[Source Row],ROW()-ROW(Payslip_Lookup[#Headers]))="","",INDEX(Salary_Calculation[Salary Month],ROW()-ROW(Payslip_Lookup[#Headers])))</f>
        <v/>
      </c>
      <c r="D363" s="173" t="str">
        <f aca="false">IF(INDEX(Salary_Calculation[Source Row],ROW()-ROW(Payslip_Lookup[#Headers]))="","",INDEX(Salary_Calculation[Rider ID],ROW()-ROW(Payslip_Lookup[#Headers])))</f>
        <v/>
      </c>
      <c r="E363" s="171" t="str">
        <f aca="false">IF(INDEX(Salary_Calculation[Source Row],ROW()-ROW(Payslip_Lookup[#Headers]))="","",INDEX(Salary_Calculation[Rider Name],ROW()-ROW(Payslip_Lookup[#Headers])))</f>
        <v/>
      </c>
      <c r="F363" s="173" t="str">
        <f aca="false">IF(INDEX(Salary_Calculation[Source Row],ROW()-ROW(Payslip_Lookup[#Headers]))="","",INDEX(Salary_Calculation[Working Days],ROW()-ROW(Payslip_Lookup[#Headers])))</f>
        <v/>
      </c>
      <c r="G363" s="173" t="str">
        <f aca="false">IF(INDEX(Salary_Calculation[Source Row],ROW()-ROW(Payslip_Lookup[#Headers]))="","",INDEX(Salary_Calculation[Calendar Days],ROW()-ROW(Payslip_Lookup[#Headers])))</f>
        <v/>
      </c>
      <c r="H363" s="174" t="str">
        <f aca="false">IF(INDEX(Salary_Calculation[Source Row],ROW()-ROW(Payslip_Lookup[#Headers]))="","",INDEX(Salary_Calculation[Monthly Target Orders],ROW()-ROW(Payslip_Lookup[#Headers])))</f>
        <v/>
      </c>
      <c r="I363" s="174" t="str">
        <f aca="false">IF(INDEX(Salary_Calculation[Source Row],ROW()-ROW(Payslip_Lookup[#Headers]))="","",INDEX(Salary_Calculation[Rider Target Orders],ROW()-ROW(Payslip_Lookup[#Headers])))</f>
        <v/>
      </c>
      <c r="J363" s="175" t="str">
        <f aca="false">IF(INDEX(Salary_Calculation[Source Row],ROW()-ROW(Payslip_Lookup[#Headers]))="","",INDEX(Salary_Calculation[Completed Orders],ROW()-ROW(Payslip_Lookup[#Headers])))</f>
        <v/>
      </c>
      <c r="K363" s="174" t="str">
        <f aca="false">IF(INDEX(Salary_Calculation[Source Row],ROW()-ROW(Payslip_Lookup[#Headers]))="","",INDEX(Salary_Calculation[Base Order Rate],ROW()-ROW(Payslip_Lookup[#Headers])))</f>
        <v/>
      </c>
      <c r="L363" s="176" t="str">
        <f aca="false">IF(INDEX(Salary_Calculation[Source Row],ROW()-ROW(Payslip_Lookup[#Headers]))="","",INDEX(Salary_Calculation[Basic Payment],ROW()-ROW(Payslip_Lookup[#Headers])))</f>
        <v/>
      </c>
      <c r="M363" s="176" t="str">
        <f aca="false">IF(INDEX(Salary_Calculation[Source Row],ROW()-ROW(Payslip_Lookup[#Headers]))="","",INDEX(Salary_Calculation[Earned Salary],ROW()-ROW(Payslip_Lookup[#Headers])))</f>
        <v/>
      </c>
      <c r="N363" s="174" t="str">
        <f aca="false">IF(INDEX(Salary_Calculation[Source Row],ROW()-ROW(Payslip_Lookup[#Headers]))="","",INDEX(Salary_Calculation[Orders Counted at Base Rate],ROW()-ROW(Payslip_Lookup[#Headers])))</f>
        <v/>
      </c>
      <c r="O363" s="174" t="str">
        <f aca="false">IF(INDEX(Salary_Calculation[Source Row],ROW()-ROW(Payslip_Lookup[#Headers]))="","",INDEX(Salary_Calculation[Missing Orders],ROW()-ROW(Payslip_Lookup[#Headers])))</f>
        <v/>
      </c>
      <c r="P363" s="176" t="str">
        <f aca="false">IF(INDEX(Salary_Calculation[Source Row],ROW()-ROW(Payslip_Lookup[#Headers]))="","",INDEX(Salary_Calculation[Missing-Order Deduction],ROW()-ROW(Payslip_Lookup[#Headers])))</f>
        <v/>
      </c>
      <c r="Q363" s="174" t="str">
        <f aca="false">IF(INDEX(Salary_Calculation[Source Row],ROW()-ROW(Payslip_Lookup[#Headers]))="","",INDEX(Salary_Calculation[Extra Orders],ROW()-ROW(Payslip_Lookup[#Headers])))</f>
        <v/>
      </c>
      <c r="R363" s="176" t="str">
        <f aca="false">IF(INDEX(Salary_Calculation[Source Row],ROW()-ROW(Payslip_Lookup[#Headers]))="","",INDEX(Salary_Calculation[Extra-Order Bonus],ROW()-ROW(Payslip_Lookup[#Headers])))</f>
        <v/>
      </c>
      <c r="S363" s="176" t="str">
        <f aca="false">IF(INDEX(Salary_Calculation[Source Row],ROW()-ROW(Payslip_Lookup[#Headers]))="","",INDEX(Salary_Calculation[Basic Salary for Target],ROW()-ROW(Payslip_Lookup[#Headers])))</f>
        <v/>
      </c>
      <c r="T363" s="176" t="str">
        <f aca="false">IF(INDEX(Salary_Calculation[Source Row],ROW()-ROW(Payslip_Lookup[#Headers]))="","",INDEX(Salary_Calculation[Gross Salary Before Deductions],ROW()-ROW(Payslip_Lookup[#Headers])))</f>
        <v/>
      </c>
      <c r="U363" s="176" t="str">
        <f aca="false">IF(INDEX(Salary_Calculation[Source Row],ROW()-ROW(Payslip_Lookup[#Headers]))="","",INDEX(Salary_Calculation[missed_days_penalty],ROW()-ROW(Payslip_Lookup[#Headers])))</f>
        <v/>
      </c>
      <c r="V363" s="176" t="str">
        <f aca="false">IF(INDEX(Salary_Calculation[Source Row],ROW()-ROW(Payslip_Lookup[#Headers]))="","",INDEX(Salary_Calculation[Rider Balance],ROW()-ROW(Payslip_Lookup[#Headers])))</f>
        <v/>
      </c>
      <c r="W363" s="176" t="str">
        <f aca="false">IF(INDEX(Salary_Calculation[Source Row],ROW()-ROW(Payslip_Lookup[#Headers]))="","",INDEX(Salary_Calculation[stacking_deduction],ROW()-ROW(Payslip_Lookup[#Headers])))</f>
        <v/>
      </c>
      <c r="X363" s="176" t="str">
        <f aca="false">IF(INDEX(Salary_Calculation[Source Row],ROW()-ROW(Payslip_Lookup[#Headers]))="","",INDEX(Salary_Calculation[Other Deductions],ROW()-ROW(Payslip_Lookup[#Headers])))</f>
        <v/>
      </c>
      <c r="Y363" s="176" t="str">
        <f aca="false">IF(INDEX(Salary_Calculation[Source Row],ROW()-ROW(Payslip_Lookup[#Headers]))="","",INDEX(Salary_Calculation[Total Deductions],ROW()-ROW(Payslip_Lookup[#Headers])))</f>
        <v/>
      </c>
      <c r="Z363" s="176" t="str">
        <f aca="false">IF(INDEX(Salary_Calculation[Source Row],ROW()-ROW(Payslip_Lookup[#Headers]))="","",INDEX(Salary_Calculation[Final Salary],ROW()-ROW(Payslip_Lookup[#Headers])))</f>
        <v/>
      </c>
      <c r="AA363" s="176" t="str">
        <f aca="false">IF(INDEX(Salary_Calculation[Source Row],ROW()-ROW(Payslip_Lookup[#Headers]))="","",INDEX(Salary_Calculation[Negative Balance / Amount Due from Rider],ROW()-ROW(Payslip_Lookup[#Headers])))</f>
        <v/>
      </c>
      <c r="AB363" s="176" t="str">
        <f aca="false">IF(INDEX(Salary_Calculation[Source Row],ROW()-ROW(Payslip_Lookup[#Headers]))="","",INDEX(Salary_Calculation[Total Amount Due from Rider],ROW()-ROW(Payslip_Lookup[#Headers])))</f>
        <v/>
      </c>
      <c r="AC363" s="176" t="str">
        <f aca="false">IF(INDEX(Salary_Calculation[Source Row],ROW()-ROW(Payslip_Lookup[#Headers]))="","",INDEX(Salary_Calculation[Salary Before Other Deductions],ROW()-ROW(Payslip_Lookup[#Headers])))</f>
        <v/>
      </c>
      <c r="AD363" s="171" t="str">
        <f aca="false">IF(INDEX(Salary_Calculation[Source Row],ROW()-ROW(Payslip_Lookup[#Headers]))="","",INDEX(Salary_Calculation[Payment Status],ROW()-ROW(Payslip_Lookup[#Headers])))</f>
        <v/>
      </c>
      <c r="AE363" s="171" t="str">
        <f aca="false">IF(INDEX(Salary_Calculation[Source Row],ROW()-ROW(Payslip_Lookup[#Headers]))="","",INDEX(Salary_Calculation[Notes],ROW()-ROW(Payslip_Lookup[#Headers])))</f>
        <v/>
      </c>
      <c r="AF363" s="171" t="str">
        <f aca="false">IF(INDEX(Salary_Calculation[Source Row],ROW()-ROW(Payslip_Lookup[#Headers]))="","",INDEX(Salary_Calculation[Exception Reason],ROW()-ROW(Payslip_Lookup[#Headers])))</f>
        <v/>
      </c>
      <c r="AG363" s="173" t="str">
        <f aca="false">IF($AD363="Review Required",COUNTIF(AD$2:AD363,"Review Required"),"")</f>
        <v/>
      </c>
      <c r="AH363" s="173" t="str">
        <f aca="false">IF(AND($D363&lt;&gt;"",$B363=Payslip_Print!$C$2),MAX(AH$1:AH362)+1,"")</f>
        <v/>
      </c>
      <c r="AL363" s="178" t="str">
        <f aca="false">IFERROR(INDEX($D$2:$D$501,MATCH(ROW()-1,$AH$2:$AH$501,0)),"")</f>
        <v/>
      </c>
      <c r="AM363" s="179" t="str">
        <f aca="false">IF($Z363="","",IF(AND($C363&gt;=Dash_Start,$C363&lt;Dash_End),$Z363+ROW()/10000000,""))</f>
        <v/>
      </c>
    </row>
    <row r="364" customFormat="false" ht="14.25" hidden="false" customHeight="false" outlineLevel="0" collapsed="false">
      <c r="A364" s="171" t="str">
        <f aca="false">IF(Payslip_Lookup[[#This Row],[Rider ID]]="","",Payslip_Lookup[[#This Row],[Rider ID]]&amp;"|"&amp;Payslip_Lookup[[#This Row],[Month Key]])</f>
        <v/>
      </c>
      <c r="B364" s="172" t="str">
        <f aca="false">IF(ISNUMBER(Payslip_Lookup[[#This Row],[Salary Month]]),DATE(YEAR(Payslip_Lookup[[#This Row],[Salary Month]]),MONTH(Payslip_Lookup[[#This Row],[Salary Month]]),1),"")</f>
        <v/>
      </c>
      <c r="C364" s="172" t="str">
        <f aca="false">IF(INDEX(Salary_Calculation[Source Row],ROW()-ROW(Payslip_Lookup[#Headers]))="","",INDEX(Salary_Calculation[Salary Month],ROW()-ROW(Payslip_Lookup[#Headers])))</f>
        <v/>
      </c>
      <c r="D364" s="173" t="str">
        <f aca="false">IF(INDEX(Salary_Calculation[Source Row],ROW()-ROW(Payslip_Lookup[#Headers]))="","",INDEX(Salary_Calculation[Rider ID],ROW()-ROW(Payslip_Lookup[#Headers])))</f>
        <v/>
      </c>
      <c r="E364" s="171" t="str">
        <f aca="false">IF(INDEX(Salary_Calculation[Source Row],ROW()-ROW(Payslip_Lookup[#Headers]))="","",INDEX(Salary_Calculation[Rider Name],ROW()-ROW(Payslip_Lookup[#Headers])))</f>
        <v/>
      </c>
      <c r="F364" s="173" t="str">
        <f aca="false">IF(INDEX(Salary_Calculation[Source Row],ROW()-ROW(Payslip_Lookup[#Headers]))="","",INDEX(Salary_Calculation[Working Days],ROW()-ROW(Payslip_Lookup[#Headers])))</f>
        <v/>
      </c>
      <c r="G364" s="173" t="str">
        <f aca="false">IF(INDEX(Salary_Calculation[Source Row],ROW()-ROW(Payslip_Lookup[#Headers]))="","",INDEX(Salary_Calculation[Calendar Days],ROW()-ROW(Payslip_Lookup[#Headers])))</f>
        <v/>
      </c>
      <c r="H364" s="174" t="str">
        <f aca="false">IF(INDEX(Salary_Calculation[Source Row],ROW()-ROW(Payslip_Lookup[#Headers]))="","",INDEX(Salary_Calculation[Monthly Target Orders],ROW()-ROW(Payslip_Lookup[#Headers])))</f>
        <v/>
      </c>
      <c r="I364" s="174" t="str">
        <f aca="false">IF(INDEX(Salary_Calculation[Source Row],ROW()-ROW(Payslip_Lookup[#Headers]))="","",INDEX(Salary_Calculation[Rider Target Orders],ROW()-ROW(Payslip_Lookup[#Headers])))</f>
        <v/>
      </c>
      <c r="J364" s="175" t="str">
        <f aca="false">IF(INDEX(Salary_Calculation[Source Row],ROW()-ROW(Payslip_Lookup[#Headers]))="","",INDEX(Salary_Calculation[Completed Orders],ROW()-ROW(Payslip_Lookup[#Headers])))</f>
        <v/>
      </c>
      <c r="K364" s="174" t="str">
        <f aca="false">IF(INDEX(Salary_Calculation[Source Row],ROW()-ROW(Payslip_Lookup[#Headers]))="","",INDEX(Salary_Calculation[Base Order Rate],ROW()-ROW(Payslip_Lookup[#Headers])))</f>
        <v/>
      </c>
      <c r="L364" s="176" t="str">
        <f aca="false">IF(INDEX(Salary_Calculation[Source Row],ROW()-ROW(Payslip_Lookup[#Headers]))="","",INDEX(Salary_Calculation[Basic Payment],ROW()-ROW(Payslip_Lookup[#Headers])))</f>
        <v/>
      </c>
      <c r="M364" s="176" t="str">
        <f aca="false">IF(INDEX(Salary_Calculation[Source Row],ROW()-ROW(Payslip_Lookup[#Headers]))="","",INDEX(Salary_Calculation[Earned Salary],ROW()-ROW(Payslip_Lookup[#Headers])))</f>
        <v/>
      </c>
      <c r="N364" s="174" t="str">
        <f aca="false">IF(INDEX(Salary_Calculation[Source Row],ROW()-ROW(Payslip_Lookup[#Headers]))="","",INDEX(Salary_Calculation[Orders Counted at Base Rate],ROW()-ROW(Payslip_Lookup[#Headers])))</f>
        <v/>
      </c>
      <c r="O364" s="174" t="str">
        <f aca="false">IF(INDEX(Salary_Calculation[Source Row],ROW()-ROW(Payslip_Lookup[#Headers]))="","",INDEX(Salary_Calculation[Missing Orders],ROW()-ROW(Payslip_Lookup[#Headers])))</f>
        <v/>
      </c>
      <c r="P364" s="176" t="str">
        <f aca="false">IF(INDEX(Salary_Calculation[Source Row],ROW()-ROW(Payslip_Lookup[#Headers]))="","",INDEX(Salary_Calculation[Missing-Order Deduction],ROW()-ROW(Payslip_Lookup[#Headers])))</f>
        <v/>
      </c>
      <c r="Q364" s="174" t="str">
        <f aca="false">IF(INDEX(Salary_Calculation[Source Row],ROW()-ROW(Payslip_Lookup[#Headers]))="","",INDEX(Salary_Calculation[Extra Orders],ROW()-ROW(Payslip_Lookup[#Headers])))</f>
        <v/>
      </c>
      <c r="R364" s="176" t="str">
        <f aca="false">IF(INDEX(Salary_Calculation[Source Row],ROW()-ROW(Payslip_Lookup[#Headers]))="","",INDEX(Salary_Calculation[Extra-Order Bonus],ROW()-ROW(Payslip_Lookup[#Headers])))</f>
        <v/>
      </c>
      <c r="S364" s="176" t="str">
        <f aca="false">IF(INDEX(Salary_Calculation[Source Row],ROW()-ROW(Payslip_Lookup[#Headers]))="","",INDEX(Salary_Calculation[Basic Salary for Target],ROW()-ROW(Payslip_Lookup[#Headers])))</f>
        <v/>
      </c>
      <c r="T364" s="176" t="str">
        <f aca="false">IF(INDEX(Salary_Calculation[Source Row],ROW()-ROW(Payslip_Lookup[#Headers]))="","",INDEX(Salary_Calculation[Gross Salary Before Deductions],ROW()-ROW(Payslip_Lookup[#Headers])))</f>
        <v/>
      </c>
      <c r="U364" s="176" t="str">
        <f aca="false">IF(INDEX(Salary_Calculation[Source Row],ROW()-ROW(Payslip_Lookup[#Headers]))="","",INDEX(Salary_Calculation[missed_days_penalty],ROW()-ROW(Payslip_Lookup[#Headers])))</f>
        <v/>
      </c>
      <c r="V364" s="176" t="str">
        <f aca="false">IF(INDEX(Salary_Calculation[Source Row],ROW()-ROW(Payslip_Lookup[#Headers]))="","",INDEX(Salary_Calculation[Rider Balance],ROW()-ROW(Payslip_Lookup[#Headers])))</f>
        <v/>
      </c>
      <c r="W364" s="176" t="str">
        <f aca="false">IF(INDEX(Salary_Calculation[Source Row],ROW()-ROW(Payslip_Lookup[#Headers]))="","",INDEX(Salary_Calculation[stacking_deduction],ROW()-ROW(Payslip_Lookup[#Headers])))</f>
        <v/>
      </c>
      <c r="X364" s="176" t="str">
        <f aca="false">IF(INDEX(Salary_Calculation[Source Row],ROW()-ROW(Payslip_Lookup[#Headers]))="","",INDEX(Salary_Calculation[Other Deductions],ROW()-ROW(Payslip_Lookup[#Headers])))</f>
        <v/>
      </c>
      <c r="Y364" s="176" t="str">
        <f aca="false">IF(INDEX(Salary_Calculation[Source Row],ROW()-ROW(Payslip_Lookup[#Headers]))="","",INDEX(Salary_Calculation[Total Deductions],ROW()-ROW(Payslip_Lookup[#Headers])))</f>
        <v/>
      </c>
      <c r="Z364" s="176" t="str">
        <f aca="false">IF(INDEX(Salary_Calculation[Source Row],ROW()-ROW(Payslip_Lookup[#Headers]))="","",INDEX(Salary_Calculation[Final Salary],ROW()-ROW(Payslip_Lookup[#Headers])))</f>
        <v/>
      </c>
      <c r="AA364" s="176" t="str">
        <f aca="false">IF(INDEX(Salary_Calculation[Source Row],ROW()-ROW(Payslip_Lookup[#Headers]))="","",INDEX(Salary_Calculation[Negative Balance / Amount Due from Rider],ROW()-ROW(Payslip_Lookup[#Headers])))</f>
        <v/>
      </c>
      <c r="AB364" s="176" t="str">
        <f aca="false">IF(INDEX(Salary_Calculation[Source Row],ROW()-ROW(Payslip_Lookup[#Headers]))="","",INDEX(Salary_Calculation[Total Amount Due from Rider],ROW()-ROW(Payslip_Lookup[#Headers])))</f>
        <v/>
      </c>
      <c r="AC364" s="176" t="str">
        <f aca="false">IF(INDEX(Salary_Calculation[Source Row],ROW()-ROW(Payslip_Lookup[#Headers]))="","",INDEX(Salary_Calculation[Salary Before Other Deductions],ROW()-ROW(Payslip_Lookup[#Headers])))</f>
        <v/>
      </c>
      <c r="AD364" s="171" t="str">
        <f aca="false">IF(INDEX(Salary_Calculation[Source Row],ROW()-ROW(Payslip_Lookup[#Headers]))="","",INDEX(Salary_Calculation[Payment Status],ROW()-ROW(Payslip_Lookup[#Headers])))</f>
        <v/>
      </c>
      <c r="AE364" s="171" t="str">
        <f aca="false">IF(INDEX(Salary_Calculation[Source Row],ROW()-ROW(Payslip_Lookup[#Headers]))="","",INDEX(Salary_Calculation[Notes],ROW()-ROW(Payslip_Lookup[#Headers])))</f>
        <v/>
      </c>
      <c r="AF364" s="171" t="str">
        <f aca="false">IF(INDEX(Salary_Calculation[Source Row],ROW()-ROW(Payslip_Lookup[#Headers]))="","",INDEX(Salary_Calculation[Exception Reason],ROW()-ROW(Payslip_Lookup[#Headers])))</f>
        <v/>
      </c>
      <c r="AG364" s="173" t="str">
        <f aca="false">IF($AD364="Review Required",COUNTIF(AD$2:AD364,"Review Required"),"")</f>
        <v/>
      </c>
      <c r="AH364" s="173" t="str">
        <f aca="false">IF(AND($D364&lt;&gt;"",$B364=Payslip_Print!$C$2),MAX(AH$1:AH363)+1,"")</f>
        <v/>
      </c>
      <c r="AL364" s="178" t="str">
        <f aca="false">IFERROR(INDEX($D$2:$D$501,MATCH(ROW()-1,$AH$2:$AH$501,0)),"")</f>
        <v/>
      </c>
      <c r="AM364" s="179" t="str">
        <f aca="false">IF($Z364="","",IF(AND($C364&gt;=Dash_Start,$C364&lt;Dash_End),$Z364+ROW()/10000000,""))</f>
        <v/>
      </c>
    </row>
    <row r="365" customFormat="false" ht="14.25" hidden="false" customHeight="false" outlineLevel="0" collapsed="false">
      <c r="A365" s="171" t="str">
        <f aca="false">IF(Payslip_Lookup[[#This Row],[Rider ID]]="","",Payslip_Lookup[[#This Row],[Rider ID]]&amp;"|"&amp;Payslip_Lookup[[#This Row],[Month Key]])</f>
        <v/>
      </c>
      <c r="B365" s="172" t="str">
        <f aca="false">IF(ISNUMBER(Payslip_Lookup[[#This Row],[Salary Month]]),DATE(YEAR(Payslip_Lookup[[#This Row],[Salary Month]]),MONTH(Payslip_Lookup[[#This Row],[Salary Month]]),1),"")</f>
        <v/>
      </c>
      <c r="C365" s="172" t="str">
        <f aca="false">IF(INDEX(Salary_Calculation[Source Row],ROW()-ROW(Payslip_Lookup[#Headers]))="","",INDEX(Salary_Calculation[Salary Month],ROW()-ROW(Payslip_Lookup[#Headers])))</f>
        <v/>
      </c>
      <c r="D365" s="173" t="str">
        <f aca="false">IF(INDEX(Salary_Calculation[Source Row],ROW()-ROW(Payslip_Lookup[#Headers]))="","",INDEX(Salary_Calculation[Rider ID],ROW()-ROW(Payslip_Lookup[#Headers])))</f>
        <v/>
      </c>
      <c r="E365" s="171" t="str">
        <f aca="false">IF(INDEX(Salary_Calculation[Source Row],ROW()-ROW(Payslip_Lookup[#Headers]))="","",INDEX(Salary_Calculation[Rider Name],ROW()-ROW(Payslip_Lookup[#Headers])))</f>
        <v/>
      </c>
      <c r="F365" s="173" t="str">
        <f aca="false">IF(INDEX(Salary_Calculation[Source Row],ROW()-ROW(Payslip_Lookup[#Headers]))="","",INDEX(Salary_Calculation[Working Days],ROW()-ROW(Payslip_Lookup[#Headers])))</f>
        <v/>
      </c>
      <c r="G365" s="173" t="str">
        <f aca="false">IF(INDEX(Salary_Calculation[Source Row],ROW()-ROW(Payslip_Lookup[#Headers]))="","",INDEX(Salary_Calculation[Calendar Days],ROW()-ROW(Payslip_Lookup[#Headers])))</f>
        <v/>
      </c>
      <c r="H365" s="174" t="str">
        <f aca="false">IF(INDEX(Salary_Calculation[Source Row],ROW()-ROW(Payslip_Lookup[#Headers]))="","",INDEX(Salary_Calculation[Monthly Target Orders],ROW()-ROW(Payslip_Lookup[#Headers])))</f>
        <v/>
      </c>
      <c r="I365" s="174" t="str">
        <f aca="false">IF(INDEX(Salary_Calculation[Source Row],ROW()-ROW(Payslip_Lookup[#Headers]))="","",INDEX(Salary_Calculation[Rider Target Orders],ROW()-ROW(Payslip_Lookup[#Headers])))</f>
        <v/>
      </c>
      <c r="J365" s="175" t="str">
        <f aca="false">IF(INDEX(Salary_Calculation[Source Row],ROW()-ROW(Payslip_Lookup[#Headers]))="","",INDEX(Salary_Calculation[Completed Orders],ROW()-ROW(Payslip_Lookup[#Headers])))</f>
        <v/>
      </c>
      <c r="K365" s="174" t="str">
        <f aca="false">IF(INDEX(Salary_Calculation[Source Row],ROW()-ROW(Payslip_Lookup[#Headers]))="","",INDEX(Salary_Calculation[Base Order Rate],ROW()-ROW(Payslip_Lookup[#Headers])))</f>
        <v/>
      </c>
      <c r="L365" s="176" t="str">
        <f aca="false">IF(INDEX(Salary_Calculation[Source Row],ROW()-ROW(Payslip_Lookup[#Headers]))="","",INDEX(Salary_Calculation[Basic Payment],ROW()-ROW(Payslip_Lookup[#Headers])))</f>
        <v/>
      </c>
      <c r="M365" s="176" t="str">
        <f aca="false">IF(INDEX(Salary_Calculation[Source Row],ROW()-ROW(Payslip_Lookup[#Headers]))="","",INDEX(Salary_Calculation[Earned Salary],ROW()-ROW(Payslip_Lookup[#Headers])))</f>
        <v/>
      </c>
      <c r="N365" s="174" t="str">
        <f aca="false">IF(INDEX(Salary_Calculation[Source Row],ROW()-ROW(Payslip_Lookup[#Headers]))="","",INDEX(Salary_Calculation[Orders Counted at Base Rate],ROW()-ROW(Payslip_Lookup[#Headers])))</f>
        <v/>
      </c>
      <c r="O365" s="174" t="str">
        <f aca="false">IF(INDEX(Salary_Calculation[Source Row],ROW()-ROW(Payslip_Lookup[#Headers]))="","",INDEX(Salary_Calculation[Missing Orders],ROW()-ROW(Payslip_Lookup[#Headers])))</f>
        <v/>
      </c>
      <c r="P365" s="176" t="str">
        <f aca="false">IF(INDEX(Salary_Calculation[Source Row],ROW()-ROW(Payslip_Lookup[#Headers]))="","",INDEX(Salary_Calculation[Missing-Order Deduction],ROW()-ROW(Payslip_Lookup[#Headers])))</f>
        <v/>
      </c>
      <c r="Q365" s="174" t="str">
        <f aca="false">IF(INDEX(Salary_Calculation[Source Row],ROW()-ROW(Payslip_Lookup[#Headers]))="","",INDEX(Salary_Calculation[Extra Orders],ROW()-ROW(Payslip_Lookup[#Headers])))</f>
        <v/>
      </c>
      <c r="R365" s="176" t="str">
        <f aca="false">IF(INDEX(Salary_Calculation[Source Row],ROW()-ROW(Payslip_Lookup[#Headers]))="","",INDEX(Salary_Calculation[Extra-Order Bonus],ROW()-ROW(Payslip_Lookup[#Headers])))</f>
        <v/>
      </c>
      <c r="S365" s="176" t="str">
        <f aca="false">IF(INDEX(Salary_Calculation[Source Row],ROW()-ROW(Payslip_Lookup[#Headers]))="","",INDEX(Salary_Calculation[Basic Salary for Target],ROW()-ROW(Payslip_Lookup[#Headers])))</f>
        <v/>
      </c>
      <c r="T365" s="176" t="str">
        <f aca="false">IF(INDEX(Salary_Calculation[Source Row],ROW()-ROW(Payslip_Lookup[#Headers]))="","",INDEX(Salary_Calculation[Gross Salary Before Deductions],ROW()-ROW(Payslip_Lookup[#Headers])))</f>
        <v/>
      </c>
      <c r="U365" s="176" t="str">
        <f aca="false">IF(INDEX(Salary_Calculation[Source Row],ROW()-ROW(Payslip_Lookup[#Headers]))="","",INDEX(Salary_Calculation[missed_days_penalty],ROW()-ROW(Payslip_Lookup[#Headers])))</f>
        <v/>
      </c>
      <c r="V365" s="176" t="str">
        <f aca="false">IF(INDEX(Salary_Calculation[Source Row],ROW()-ROW(Payslip_Lookup[#Headers]))="","",INDEX(Salary_Calculation[Rider Balance],ROW()-ROW(Payslip_Lookup[#Headers])))</f>
        <v/>
      </c>
      <c r="W365" s="176" t="str">
        <f aca="false">IF(INDEX(Salary_Calculation[Source Row],ROW()-ROW(Payslip_Lookup[#Headers]))="","",INDEX(Salary_Calculation[stacking_deduction],ROW()-ROW(Payslip_Lookup[#Headers])))</f>
        <v/>
      </c>
      <c r="X365" s="176" t="str">
        <f aca="false">IF(INDEX(Salary_Calculation[Source Row],ROW()-ROW(Payslip_Lookup[#Headers]))="","",INDEX(Salary_Calculation[Other Deductions],ROW()-ROW(Payslip_Lookup[#Headers])))</f>
        <v/>
      </c>
      <c r="Y365" s="176" t="str">
        <f aca="false">IF(INDEX(Salary_Calculation[Source Row],ROW()-ROW(Payslip_Lookup[#Headers]))="","",INDEX(Salary_Calculation[Total Deductions],ROW()-ROW(Payslip_Lookup[#Headers])))</f>
        <v/>
      </c>
      <c r="Z365" s="176" t="str">
        <f aca="false">IF(INDEX(Salary_Calculation[Source Row],ROW()-ROW(Payslip_Lookup[#Headers]))="","",INDEX(Salary_Calculation[Final Salary],ROW()-ROW(Payslip_Lookup[#Headers])))</f>
        <v/>
      </c>
      <c r="AA365" s="176" t="str">
        <f aca="false">IF(INDEX(Salary_Calculation[Source Row],ROW()-ROW(Payslip_Lookup[#Headers]))="","",INDEX(Salary_Calculation[Negative Balance / Amount Due from Rider],ROW()-ROW(Payslip_Lookup[#Headers])))</f>
        <v/>
      </c>
      <c r="AB365" s="176" t="str">
        <f aca="false">IF(INDEX(Salary_Calculation[Source Row],ROW()-ROW(Payslip_Lookup[#Headers]))="","",INDEX(Salary_Calculation[Total Amount Due from Rider],ROW()-ROW(Payslip_Lookup[#Headers])))</f>
        <v/>
      </c>
      <c r="AC365" s="176" t="str">
        <f aca="false">IF(INDEX(Salary_Calculation[Source Row],ROW()-ROW(Payslip_Lookup[#Headers]))="","",INDEX(Salary_Calculation[Salary Before Other Deductions],ROW()-ROW(Payslip_Lookup[#Headers])))</f>
        <v/>
      </c>
      <c r="AD365" s="171" t="str">
        <f aca="false">IF(INDEX(Salary_Calculation[Source Row],ROW()-ROW(Payslip_Lookup[#Headers]))="","",INDEX(Salary_Calculation[Payment Status],ROW()-ROW(Payslip_Lookup[#Headers])))</f>
        <v/>
      </c>
      <c r="AE365" s="171" t="str">
        <f aca="false">IF(INDEX(Salary_Calculation[Source Row],ROW()-ROW(Payslip_Lookup[#Headers]))="","",INDEX(Salary_Calculation[Notes],ROW()-ROW(Payslip_Lookup[#Headers])))</f>
        <v/>
      </c>
      <c r="AF365" s="171" t="str">
        <f aca="false">IF(INDEX(Salary_Calculation[Source Row],ROW()-ROW(Payslip_Lookup[#Headers]))="","",INDEX(Salary_Calculation[Exception Reason],ROW()-ROW(Payslip_Lookup[#Headers])))</f>
        <v/>
      </c>
      <c r="AG365" s="173" t="str">
        <f aca="false">IF($AD365="Review Required",COUNTIF(AD$2:AD365,"Review Required"),"")</f>
        <v/>
      </c>
      <c r="AH365" s="173" t="str">
        <f aca="false">IF(AND($D365&lt;&gt;"",$B365=Payslip_Print!$C$2),MAX(AH$1:AH364)+1,"")</f>
        <v/>
      </c>
      <c r="AL365" s="178" t="str">
        <f aca="false">IFERROR(INDEX($D$2:$D$501,MATCH(ROW()-1,$AH$2:$AH$501,0)),"")</f>
        <v/>
      </c>
      <c r="AM365" s="179" t="str">
        <f aca="false">IF($Z365="","",IF(AND($C365&gt;=Dash_Start,$C365&lt;Dash_End),$Z365+ROW()/10000000,""))</f>
        <v/>
      </c>
    </row>
    <row r="366" customFormat="false" ht="14.25" hidden="false" customHeight="false" outlineLevel="0" collapsed="false">
      <c r="A366" s="171" t="str">
        <f aca="false">IF(Payslip_Lookup[[#This Row],[Rider ID]]="","",Payslip_Lookup[[#This Row],[Rider ID]]&amp;"|"&amp;Payslip_Lookup[[#This Row],[Month Key]])</f>
        <v/>
      </c>
      <c r="B366" s="172" t="str">
        <f aca="false">IF(ISNUMBER(Payslip_Lookup[[#This Row],[Salary Month]]),DATE(YEAR(Payslip_Lookup[[#This Row],[Salary Month]]),MONTH(Payslip_Lookup[[#This Row],[Salary Month]]),1),"")</f>
        <v/>
      </c>
      <c r="C366" s="172" t="str">
        <f aca="false">IF(INDEX(Salary_Calculation[Source Row],ROW()-ROW(Payslip_Lookup[#Headers]))="","",INDEX(Salary_Calculation[Salary Month],ROW()-ROW(Payslip_Lookup[#Headers])))</f>
        <v/>
      </c>
      <c r="D366" s="173" t="str">
        <f aca="false">IF(INDEX(Salary_Calculation[Source Row],ROW()-ROW(Payslip_Lookup[#Headers]))="","",INDEX(Salary_Calculation[Rider ID],ROW()-ROW(Payslip_Lookup[#Headers])))</f>
        <v/>
      </c>
      <c r="E366" s="171" t="str">
        <f aca="false">IF(INDEX(Salary_Calculation[Source Row],ROW()-ROW(Payslip_Lookup[#Headers]))="","",INDEX(Salary_Calculation[Rider Name],ROW()-ROW(Payslip_Lookup[#Headers])))</f>
        <v/>
      </c>
      <c r="F366" s="173" t="str">
        <f aca="false">IF(INDEX(Salary_Calculation[Source Row],ROW()-ROW(Payslip_Lookup[#Headers]))="","",INDEX(Salary_Calculation[Working Days],ROW()-ROW(Payslip_Lookup[#Headers])))</f>
        <v/>
      </c>
      <c r="G366" s="173" t="str">
        <f aca="false">IF(INDEX(Salary_Calculation[Source Row],ROW()-ROW(Payslip_Lookup[#Headers]))="","",INDEX(Salary_Calculation[Calendar Days],ROW()-ROW(Payslip_Lookup[#Headers])))</f>
        <v/>
      </c>
      <c r="H366" s="174" t="str">
        <f aca="false">IF(INDEX(Salary_Calculation[Source Row],ROW()-ROW(Payslip_Lookup[#Headers]))="","",INDEX(Salary_Calculation[Monthly Target Orders],ROW()-ROW(Payslip_Lookup[#Headers])))</f>
        <v/>
      </c>
      <c r="I366" s="174" t="str">
        <f aca="false">IF(INDEX(Salary_Calculation[Source Row],ROW()-ROW(Payslip_Lookup[#Headers]))="","",INDEX(Salary_Calculation[Rider Target Orders],ROW()-ROW(Payslip_Lookup[#Headers])))</f>
        <v/>
      </c>
      <c r="J366" s="175" t="str">
        <f aca="false">IF(INDEX(Salary_Calculation[Source Row],ROW()-ROW(Payslip_Lookup[#Headers]))="","",INDEX(Salary_Calculation[Completed Orders],ROW()-ROW(Payslip_Lookup[#Headers])))</f>
        <v/>
      </c>
      <c r="K366" s="174" t="str">
        <f aca="false">IF(INDEX(Salary_Calculation[Source Row],ROW()-ROW(Payslip_Lookup[#Headers]))="","",INDEX(Salary_Calculation[Base Order Rate],ROW()-ROW(Payslip_Lookup[#Headers])))</f>
        <v/>
      </c>
      <c r="L366" s="176" t="str">
        <f aca="false">IF(INDEX(Salary_Calculation[Source Row],ROW()-ROW(Payslip_Lookup[#Headers]))="","",INDEX(Salary_Calculation[Basic Payment],ROW()-ROW(Payslip_Lookup[#Headers])))</f>
        <v/>
      </c>
      <c r="M366" s="176" t="str">
        <f aca="false">IF(INDEX(Salary_Calculation[Source Row],ROW()-ROW(Payslip_Lookup[#Headers]))="","",INDEX(Salary_Calculation[Earned Salary],ROW()-ROW(Payslip_Lookup[#Headers])))</f>
        <v/>
      </c>
      <c r="N366" s="174" t="str">
        <f aca="false">IF(INDEX(Salary_Calculation[Source Row],ROW()-ROW(Payslip_Lookup[#Headers]))="","",INDEX(Salary_Calculation[Orders Counted at Base Rate],ROW()-ROW(Payslip_Lookup[#Headers])))</f>
        <v/>
      </c>
      <c r="O366" s="174" t="str">
        <f aca="false">IF(INDEX(Salary_Calculation[Source Row],ROW()-ROW(Payslip_Lookup[#Headers]))="","",INDEX(Salary_Calculation[Missing Orders],ROW()-ROW(Payslip_Lookup[#Headers])))</f>
        <v/>
      </c>
      <c r="P366" s="176" t="str">
        <f aca="false">IF(INDEX(Salary_Calculation[Source Row],ROW()-ROW(Payslip_Lookup[#Headers]))="","",INDEX(Salary_Calculation[Missing-Order Deduction],ROW()-ROW(Payslip_Lookup[#Headers])))</f>
        <v/>
      </c>
      <c r="Q366" s="174" t="str">
        <f aca="false">IF(INDEX(Salary_Calculation[Source Row],ROW()-ROW(Payslip_Lookup[#Headers]))="","",INDEX(Salary_Calculation[Extra Orders],ROW()-ROW(Payslip_Lookup[#Headers])))</f>
        <v/>
      </c>
      <c r="R366" s="176" t="str">
        <f aca="false">IF(INDEX(Salary_Calculation[Source Row],ROW()-ROW(Payslip_Lookup[#Headers]))="","",INDEX(Salary_Calculation[Extra-Order Bonus],ROW()-ROW(Payslip_Lookup[#Headers])))</f>
        <v/>
      </c>
      <c r="S366" s="176" t="str">
        <f aca="false">IF(INDEX(Salary_Calculation[Source Row],ROW()-ROW(Payslip_Lookup[#Headers]))="","",INDEX(Salary_Calculation[Basic Salary for Target],ROW()-ROW(Payslip_Lookup[#Headers])))</f>
        <v/>
      </c>
      <c r="T366" s="176" t="str">
        <f aca="false">IF(INDEX(Salary_Calculation[Source Row],ROW()-ROW(Payslip_Lookup[#Headers]))="","",INDEX(Salary_Calculation[Gross Salary Before Deductions],ROW()-ROW(Payslip_Lookup[#Headers])))</f>
        <v/>
      </c>
      <c r="U366" s="176" t="str">
        <f aca="false">IF(INDEX(Salary_Calculation[Source Row],ROW()-ROW(Payslip_Lookup[#Headers]))="","",INDEX(Salary_Calculation[missed_days_penalty],ROW()-ROW(Payslip_Lookup[#Headers])))</f>
        <v/>
      </c>
      <c r="V366" s="176" t="str">
        <f aca="false">IF(INDEX(Salary_Calculation[Source Row],ROW()-ROW(Payslip_Lookup[#Headers]))="","",INDEX(Salary_Calculation[Rider Balance],ROW()-ROW(Payslip_Lookup[#Headers])))</f>
        <v/>
      </c>
      <c r="W366" s="176" t="str">
        <f aca="false">IF(INDEX(Salary_Calculation[Source Row],ROW()-ROW(Payslip_Lookup[#Headers]))="","",INDEX(Salary_Calculation[stacking_deduction],ROW()-ROW(Payslip_Lookup[#Headers])))</f>
        <v/>
      </c>
      <c r="X366" s="176" t="str">
        <f aca="false">IF(INDEX(Salary_Calculation[Source Row],ROW()-ROW(Payslip_Lookup[#Headers]))="","",INDEX(Salary_Calculation[Other Deductions],ROW()-ROW(Payslip_Lookup[#Headers])))</f>
        <v/>
      </c>
      <c r="Y366" s="176" t="str">
        <f aca="false">IF(INDEX(Salary_Calculation[Source Row],ROW()-ROW(Payslip_Lookup[#Headers]))="","",INDEX(Salary_Calculation[Total Deductions],ROW()-ROW(Payslip_Lookup[#Headers])))</f>
        <v/>
      </c>
      <c r="Z366" s="176" t="str">
        <f aca="false">IF(INDEX(Salary_Calculation[Source Row],ROW()-ROW(Payslip_Lookup[#Headers]))="","",INDEX(Salary_Calculation[Final Salary],ROW()-ROW(Payslip_Lookup[#Headers])))</f>
        <v/>
      </c>
      <c r="AA366" s="176" t="str">
        <f aca="false">IF(INDEX(Salary_Calculation[Source Row],ROW()-ROW(Payslip_Lookup[#Headers]))="","",INDEX(Salary_Calculation[Negative Balance / Amount Due from Rider],ROW()-ROW(Payslip_Lookup[#Headers])))</f>
        <v/>
      </c>
      <c r="AB366" s="176" t="str">
        <f aca="false">IF(INDEX(Salary_Calculation[Source Row],ROW()-ROW(Payslip_Lookup[#Headers]))="","",INDEX(Salary_Calculation[Total Amount Due from Rider],ROW()-ROW(Payslip_Lookup[#Headers])))</f>
        <v/>
      </c>
      <c r="AC366" s="176" t="str">
        <f aca="false">IF(INDEX(Salary_Calculation[Source Row],ROW()-ROW(Payslip_Lookup[#Headers]))="","",INDEX(Salary_Calculation[Salary Before Other Deductions],ROW()-ROW(Payslip_Lookup[#Headers])))</f>
        <v/>
      </c>
      <c r="AD366" s="171" t="str">
        <f aca="false">IF(INDEX(Salary_Calculation[Source Row],ROW()-ROW(Payslip_Lookup[#Headers]))="","",INDEX(Salary_Calculation[Payment Status],ROW()-ROW(Payslip_Lookup[#Headers])))</f>
        <v/>
      </c>
      <c r="AE366" s="171" t="str">
        <f aca="false">IF(INDEX(Salary_Calculation[Source Row],ROW()-ROW(Payslip_Lookup[#Headers]))="","",INDEX(Salary_Calculation[Notes],ROW()-ROW(Payslip_Lookup[#Headers])))</f>
        <v/>
      </c>
      <c r="AF366" s="171" t="str">
        <f aca="false">IF(INDEX(Salary_Calculation[Source Row],ROW()-ROW(Payslip_Lookup[#Headers]))="","",INDEX(Salary_Calculation[Exception Reason],ROW()-ROW(Payslip_Lookup[#Headers])))</f>
        <v/>
      </c>
      <c r="AG366" s="173" t="str">
        <f aca="false">IF($AD366="Review Required",COUNTIF(AD$2:AD366,"Review Required"),"")</f>
        <v/>
      </c>
      <c r="AH366" s="173" t="str">
        <f aca="false">IF(AND($D366&lt;&gt;"",$B366=Payslip_Print!$C$2),MAX(AH$1:AH365)+1,"")</f>
        <v/>
      </c>
      <c r="AL366" s="178" t="str">
        <f aca="false">IFERROR(INDEX($D$2:$D$501,MATCH(ROW()-1,$AH$2:$AH$501,0)),"")</f>
        <v/>
      </c>
      <c r="AM366" s="179" t="str">
        <f aca="false">IF($Z366="","",IF(AND($C366&gt;=Dash_Start,$C366&lt;Dash_End),$Z366+ROW()/10000000,""))</f>
        <v/>
      </c>
    </row>
    <row r="367" customFormat="false" ht="14.25" hidden="false" customHeight="false" outlineLevel="0" collapsed="false">
      <c r="A367" s="171" t="str">
        <f aca="false">IF(Payslip_Lookup[[#This Row],[Rider ID]]="","",Payslip_Lookup[[#This Row],[Rider ID]]&amp;"|"&amp;Payslip_Lookup[[#This Row],[Month Key]])</f>
        <v/>
      </c>
      <c r="B367" s="172" t="str">
        <f aca="false">IF(ISNUMBER(Payslip_Lookup[[#This Row],[Salary Month]]),DATE(YEAR(Payslip_Lookup[[#This Row],[Salary Month]]),MONTH(Payslip_Lookup[[#This Row],[Salary Month]]),1),"")</f>
        <v/>
      </c>
      <c r="C367" s="172" t="str">
        <f aca="false">IF(INDEX(Salary_Calculation[Source Row],ROW()-ROW(Payslip_Lookup[#Headers]))="","",INDEX(Salary_Calculation[Salary Month],ROW()-ROW(Payslip_Lookup[#Headers])))</f>
        <v/>
      </c>
      <c r="D367" s="173" t="str">
        <f aca="false">IF(INDEX(Salary_Calculation[Source Row],ROW()-ROW(Payslip_Lookup[#Headers]))="","",INDEX(Salary_Calculation[Rider ID],ROW()-ROW(Payslip_Lookup[#Headers])))</f>
        <v/>
      </c>
      <c r="E367" s="171" t="str">
        <f aca="false">IF(INDEX(Salary_Calculation[Source Row],ROW()-ROW(Payslip_Lookup[#Headers]))="","",INDEX(Salary_Calculation[Rider Name],ROW()-ROW(Payslip_Lookup[#Headers])))</f>
        <v/>
      </c>
      <c r="F367" s="173" t="str">
        <f aca="false">IF(INDEX(Salary_Calculation[Source Row],ROW()-ROW(Payslip_Lookup[#Headers]))="","",INDEX(Salary_Calculation[Working Days],ROW()-ROW(Payslip_Lookup[#Headers])))</f>
        <v/>
      </c>
      <c r="G367" s="173" t="str">
        <f aca="false">IF(INDEX(Salary_Calculation[Source Row],ROW()-ROW(Payslip_Lookup[#Headers]))="","",INDEX(Salary_Calculation[Calendar Days],ROW()-ROW(Payslip_Lookup[#Headers])))</f>
        <v/>
      </c>
      <c r="H367" s="174" t="str">
        <f aca="false">IF(INDEX(Salary_Calculation[Source Row],ROW()-ROW(Payslip_Lookup[#Headers]))="","",INDEX(Salary_Calculation[Monthly Target Orders],ROW()-ROW(Payslip_Lookup[#Headers])))</f>
        <v/>
      </c>
      <c r="I367" s="174" t="str">
        <f aca="false">IF(INDEX(Salary_Calculation[Source Row],ROW()-ROW(Payslip_Lookup[#Headers]))="","",INDEX(Salary_Calculation[Rider Target Orders],ROW()-ROW(Payslip_Lookup[#Headers])))</f>
        <v/>
      </c>
      <c r="J367" s="175" t="str">
        <f aca="false">IF(INDEX(Salary_Calculation[Source Row],ROW()-ROW(Payslip_Lookup[#Headers]))="","",INDEX(Salary_Calculation[Completed Orders],ROW()-ROW(Payslip_Lookup[#Headers])))</f>
        <v/>
      </c>
      <c r="K367" s="174" t="str">
        <f aca="false">IF(INDEX(Salary_Calculation[Source Row],ROW()-ROW(Payslip_Lookup[#Headers]))="","",INDEX(Salary_Calculation[Base Order Rate],ROW()-ROW(Payslip_Lookup[#Headers])))</f>
        <v/>
      </c>
      <c r="L367" s="176" t="str">
        <f aca="false">IF(INDEX(Salary_Calculation[Source Row],ROW()-ROW(Payslip_Lookup[#Headers]))="","",INDEX(Salary_Calculation[Basic Payment],ROW()-ROW(Payslip_Lookup[#Headers])))</f>
        <v/>
      </c>
      <c r="M367" s="176" t="str">
        <f aca="false">IF(INDEX(Salary_Calculation[Source Row],ROW()-ROW(Payslip_Lookup[#Headers]))="","",INDEX(Salary_Calculation[Earned Salary],ROW()-ROW(Payslip_Lookup[#Headers])))</f>
        <v/>
      </c>
      <c r="N367" s="174" t="str">
        <f aca="false">IF(INDEX(Salary_Calculation[Source Row],ROW()-ROW(Payslip_Lookup[#Headers]))="","",INDEX(Salary_Calculation[Orders Counted at Base Rate],ROW()-ROW(Payslip_Lookup[#Headers])))</f>
        <v/>
      </c>
      <c r="O367" s="174" t="str">
        <f aca="false">IF(INDEX(Salary_Calculation[Source Row],ROW()-ROW(Payslip_Lookup[#Headers]))="","",INDEX(Salary_Calculation[Missing Orders],ROW()-ROW(Payslip_Lookup[#Headers])))</f>
        <v/>
      </c>
      <c r="P367" s="176" t="str">
        <f aca="false">IF(INDEX(Salary_Calculation[Source Row],ROW()-ROW(Payslip_Lookup[#Headers]))="","",INDEX(Salary_Calculation[Missing-Order Deduction],ROW()-ROW(Payslip_Lookup[#Headers])))</f>
        <v/>
      </c>
      <c r="Q367" s="174" t="str">
        <f aca="false">IF(INDEX(Salary_Calculation[Source Row],ROW()-ROW(Payslip_Lookup[#Headers]))="","",INDEX(Salary_Calculation[Extra Orders],ROW()-ROW(Payslip_Lookup[#Headers])))</f>
        <v/>
      </c>
      <c r="R367" s="176" t="str">
        <f aca="false">IF(INDEX(Salary_Calculation[Source Row],ROW()-ROW(Payslip_Lookup[#Headers]))="","",INDEX(Salary_Calculation[Extra-Order Bonus],ROW()-ROW(Payslip_Lookup[#Headers])))</f>
        <v/>
      </c>
      <c r="S367" s="176" t="str">
        <f aca="false">IF(INDEX(Salary_Calculation[Source Row],ROW()-ROW(Payslip_Lookup[#Headers]))="","",INDEX(Salary_Calculation[Basic Salary for Target],ROW()-ROW(Payslip_Lookup[#Headers])))</f>
        <v/>
      </c>
      <c r="T367" s="176" t="str">
        <f aca="false">IF(INDEX(Salary_Calculation[Source Row],ROW()-ROW(Payslip_Lookup[#Headers]))="","",INDEX(Salary_Calculation[Gross Salary Before Deductions],ROW()-ROW(Payslip_Lookup[#Headers])))</f>
        <v/>
      </c>
      <c r="U367" s="176" t="str">
        <f aca="false">IF(INDEX(Salary_Calculation[Source Row],ROW()-ROW(Payslip_Lookup[#Headers]))="","",INDEX(Salary_Calculation[missed_days_penalty],ROW()-ROW(Payslip_Lookup[#Headers])))</f>
        <v/>
      </c>
      <c r="V367" s="176" t="str">
        <f aca="false">IF(INDEX(Salary_Calculation[Source Row],ROW()-ROW(Payslip_Lookup[#Headers]))="","",INDEX(Salary_Calculation[Rider Balance],ROW()-ROW(Payslip_Lookup[#Headers])))</f>
        <v/>
      </c>
      <c r="W367" s="176" t="str">
        <f aca="false">IF(INDEX(Salary_Calculation[Source Row],ROW()-ROW(Payslip_Lookup[#Headers]))="","",INDEX(Salary_Calculation[stacking_deduction],ROW()-ROW(Payslip_Lookup[#Headers])))</f>
        <v/>
      </c>
      <c r="X367" s="176" t="str">
        <f aca="false">IF(INDEX(Salary_Calculation[Source Row],ROW()-ROW(Payslip_Lookup[#Headers]))="","",INDEX(Salary_Calculation[Other Deductions],ROW()-ROW(Payslip_Lookup[#Headers])))</f>
        <v/>
      </c>
      <c r="Y367" s="176" t="str">
        <f aca="false">IF(INDEX(Salary_Calculation[Source Row],ROW()-ROW(Payslip_Lookup[#Headers]))="","",INDEX(Salary_Calculation[Total Deductions],ROW()-ROW(Payslip_Lookup[#Headers])))</f>
        <v/>
      </c>
      <c r="Z367" s="176" t="str">
        <f aca="false">IF(INDEX(Salary_Calculation[Source Row],ROW()-ROW(Payslip_Lookup[#Headers]))="","",INDEX(Salary_Calculation[Final Salary],ROW()-ROW(Payslip_Lookup[#Headers])))</f>
        <v/>
      </c>
      <c r="AA367" s="176" t="str">
        <f aca="false">IF(INDEX(Salary_Calculation[Source Row],ROW()-ROW(Payslip_Lookup[#Headers]))="","",INDEX(Salary_Calculation[Negative Balance / Amount Due from Rider],ROW()-ROW(Payslip_Lookup[#Headers])))</f>
        <v/>
      </c>
      <c r="AB367" s="176" t="str">
        <f aca="false">IF(INDEX(Salary_Calculation[Source Row],ROW()-ROW(Payslip_Lookup[#Headers]))="","",INDEX(Salary_Calculation[Total Amount Due from Rider],ROW()-ROW(Payslip_Lookup[#Headers])))</f>
        <v/>
      </c>
      <c r="AC367" s="176" t="str">
        <f aca="false">IF(INDEX(Salary_Calculation[Source Row],ROW()-ROW(Payslip_Lookup[#Headers]))="","",INDEX(Salary_Calculation[Salary Before Other Deductions],ROW()-ROW(Payslip_Lookup[#Headers])))</f>
        <v/>
      </c>
      <c r="AD367" s="171" t="str">
        <f aca="false">IF(INDEX(Salary_Calculation[Source Row],ROW()-ROW(Payslip_Lookup[#Headers]))="","",INDEX(Salary_Calculation[Payment Status],ROW()-ROW(Payslip_Lookup[#Headers])))</f>
        <v/>
      </c>
      <c r="AE367" s="171" t="str">
        <f aca="false">IF(INDEX(Salary_Calculation[Source Row],ROW()-ROW(Payslip_Lookup[#Headers]))="","",INDEX(Salary_Calculation[Notes],ROW()-ROW(Payslip_Lookup[#Headers])))</f>
        <v/>
      </c>
      <c r="AF367" s="171" t="str">
        <f aca="false">IF(INDEX(Salary_Calculation[Source Row],ROW()-ROW(Payslip_Lookup[#Headers]))="","",INDEX(Salary_Calculation[Exception Reason],ROW()-ROW(Payslip_Lookup[#Headers])))</f>
        <v/>
      </c>
      <c r="AG367" s="173" t="str">
        <f aca="false">IF($AD367="Review Required",COUNTIF(AD$2:AD367,"Review Required"),"")</f>
        <v/>
      </c>
      <c r="AH367" s="173" t="str">
        <f aca="false">IF(AND($D367&lt;&gt;"",$B367=Payslip_Print!$C$2),MAX(AH$1:AH366)+1,"")</f>
        <v/>
      </c>
      <c r="AL367" s="178" t="str">
        <f aca="false">IFERROR(INDEX($D$2:$D$501,MATCH(ROW()-1,$AH$2:$AH$501,0)),"")</f>
        <v/>
      </c>
      <c r="AM367" s="179" t="str">
        <f aca="false">IF($Z367="","",IF(AND($C367&gt;=Dash_Start,$C367&lt;Dash_End),$Z367+ROW()/10000000,""))</f>
        <v/>
      </c>
    </row>
    <row r="368" customFormat="false" ht="14.25" hidden="false" customHeight="false" outlineLevel="0" collapsed="false">
      <c r="A368" s="171" t="str">
        <f aca="false">IF(Payslip_Lookup[[#This Row],[Rider ID]]="","",Payslip_Lookup[[#This Row],[Rider ID]]&amp;"|"&amp;Payslip_Lookup[[#This Row],[Month Key]])</f>
        <v/>
      </c>
      <c r="B368" s="172" t="str">
        <f aca="false">IF(ISNUMBER(Payslip_Lookup[[#This Row],[Salary Month]]),DATE(YEAR(Payslip_Lookup[[#This Row],[Salary Month]]),MONTH(Payslip_Lookup[[#This Row],[Salary Month]]),1),"")</f>
        <v/>
      </c>
      <c r="C368" s="172" t="str">
        <f aca="false">IF(INDEX(Salary_Calculation[Source Row],ROW()-ROW(Payslip_Lookup[#Headers]))="","",INDEX(Salary_Calculation[Salary Month],ROW()-ROW(Payslip_Lookup[#Headers])))</f>
        <v/>
      </c>
      <c r="D368" s="173" t="str">
        <f aca="false">IF(INDEX(Salary_Calculation[Source Row],ROW()-ROW(Payslip_Lookup[#Headers]))="","",INDEX(Salary_Calculation[Rider ID],ROW()-ROW(Payslip_Lookup[#Headers])))</f>
        <v/>
      </c>
      <c r="E368" s="171" t="str">
        <f aca="false">IF(INDEX(Salary_Calculation[Source Row],ROW()-ROW(Payslip_Lookup[#Headers]))="","",INDEX(Salary_Calculation[Rider Name],ROW()-ROW(Payslip_Lookup[#Headers])))</f>
        <v/>
      </c>
      <c r="F368" s="173" t="str">
        <f aca="false">IF(INDEX(Salary_Calculation[Source Row],ROW()-ROW(Payslip_Lookup[#Headers]))="","",INDEX(Salary_Calculation[Working Days],ROW()-ROW(Payslip_Lookup[#Headers])))</f>
        <v/>
      </c>
      <c r="G368" s="173" t="str">
        <f aca="false">IF(INDEX(Salary_Calculation[Source Row],ROW()-ROW(Payslip_Lookup[#Headers]))="","",INDEX(Salary_Calculation[Calendar Days],ROW()-ROW(Payslip_Lookup[#Headers])))</f>
        <v/>
      </c>
      <c r="H368" s="174" t="str">
        <f aca="false">IF(INDEX(Salary_Calculation[Source Row],ROW()-ROW(Payslip_Lookup[#Headers]))="","",INDEX(Salary_Calculation[Monthly Target Orders],ROW()-ROW(Payslip_Lookup[#Headers])))</f>
        <v/>
      </c>
      <c r="I368" s="174" t="str">
        <f aca="false">IF(INDEX(Salary_Calculation[Source Row],ROW()-ROW(Payslip_Lookup[#Headers]))="","",INDEX(Salary_Calculation[Rider Target Orders],ROW()-ROW(Payslip_Lookup[#Headers])))</f>
        <v/>
      </c>
      <c r="J368" s="175" t="str">
        <f aca="false">IF(INDEX(Salary_Calculation[Source Row],ROW()-ROW(Payslip_Lookup[#Headers]))="","",INDEX(Salary_Calculation[Completed Orders],ROW()-ROW(Payslip_Lookup[#Headers])))</f>
        <v/>
      </c>
      <c r="K368" s="174" t="str">
        <f aca="false">IF(INDEX(Salary_Calculation[Source Row],ROW()-ROW(Payslip_Lookup[#Headers]))="","",INDEX(Salary_Calculation[Base Order Rate],ROW()-ROW(Payslip_Lookup[#Headers])))</f>
        <v/>
      </c>
      <c r="L368" s="176" t="str">
        <f aca="false">IF(INDEX(Salary_Calculation[Source Row],ROW()-ROW(Payslip_Lookup[#Headers]))="","",INDEX(Salary_Calculation[Basic Payment],ROW()-ROW(Payslip_Lookup[#Headers])))</f>
        <v/>
      </c>
      <c r="M368" s="176" t="str">
        <f aca="false">IF(INDEX(Salary_Calculation[Source Row],ROW()-ROW(Payslip_Lookup[#Headers]))="","",INDEX(Salary_Calculation[Earned Salary],ROW()-ROW(Payslip_Lookup[#Headers])))</f>
        <v/>
      </c>
      <c r="N368" s="174" t="str">
        <f aca="false">IF(INDEX(Salary_Calculation[Source Row],ROW()-ROW(Payslip_Lookup[#Headers]))="","",INDEX(Salary_Calculation[Orders Counted at Base Rate],ROW()-ROW(Payslip_Lookup[#Headers])))</f>
        <v/>
      </c>
      <c r="O368" s="174" t="str">
        <f aca="false">IF(INDEX(Salary_Calculation[Source Row],ROW()-ROW(Payslip_Lookup[#Headers]))="","",INDEX(Salary_Calculation[Missing Orders],ROW()-ROW(Payslip_Lookup[#Headers])))</f>
        <v/>
      </c>
      <c r="P368" s="176" t="str">
        <f aca="false">IF(INDEX(Salary_Calculation[Source Row],ROW()-ROW(Payslip_Lookup[#Headers]))="","",INDEX(Salary_Calculation[Missing-Order Deduction],ROW()-ROW(Payslip_Lookup[#Headers])))</f>
        <v/>
      </c>
      <c r="Q368" s="174" t="str">
        <f aca="false">IF(INDEX(Salary_Calculation[Source Row],ROW()-ROW(Payslip_Lookup[#Headers]))="","",INDEX(Salary_Calculation[Extra Orders],ROW()-ROW(Payslip_Lookup[#Headers])))</f>
        <v/>
      </c>
      <c r="R368" s="176" t="str">
        <f aca="false">IF(INDEX(Salary_Calculation[Source Row],ROW()-ROW(Payslip_Lookup[#Headers]))="","",INDEX(Salary_Calculation[Extra-Order Bonus],ROW()-ROW(Payslip_Lookup[#Headers])))</f>
        <v/>
      </c>
      <c r="S368" s="176" t="str">
        <f aca="false">IF(INDEX(Salary_Calculation[Source Row],ROW()-ROW(Payslip_Lookup[#Headers]))="","",INDEX(Salary_Calculation[Basic Salary for Target],ROW()-ROW(Payslip_Lookup[#Headers])))</f>
        <v/>
      </c>
      <c r="T368" s="176" t="str">
        <f aca="false">IF(INDEX(Salary_Calculation[Source Row],ROW()-ROW(Payslip_Lookup[#Headers]))="","",INDEX(Salary_Calculation[Gross Salary Before Deductions],ROW()-ROW(Payslip_Lookup[#Headers])))</f>
        <v/>
      </c>
      <c r="U368" s="176" t="str">
        <f aca="false">IF(INDEX(Salary_Calculation[Source Row],ROW()-ROW(Payslip_Lookup[#Headers]))="","",INDEX(Salary_Calculation[missed_days_penalty],ROW()-ROW(Payslip_Lookup[#Headers])))</f>
        <v/>
      </c>
      <c r="V368" s="176" t="str">
        <f aca="false">IF(INDEX(Salary_Calculation[Source Row],ROW()-ROW(Payslip_Lookup[#Headers]))="","",INDEX(Salary_Calculation[Rider Balance],ROW()-ROW(Payslip_Lookup[#Headers])))</f>
        <v/>
      </c>
      <c r="W368" s="176" t="str">
        <f aca="false">IF(INDEX(Salary_Calculation[Source Row],ROW()-ROW(Payslip_Lookup[#Headers]))="","",INDEX(Salary_Calculation[stacking_deduction],ROW()-ROW(Payslip_Lookup[#Headers])))</f>
        <v/>
      </c>
      <c r="X368" s="176" t="str">
        <f aca="false">IF(INDEX(Salary_Calculation[Source Row],ROW()-ROW(Payslip_Lookup[#Headers]))="","",INDEX(Salary_Calculation[Other Deductions],ROW()-ROW(Payslip_Lookup[#Headers])))</f>
        <v/>
      </c>
      <c r="Y368" s="176" t="str">
        <f aca="false">IF(INDEX(Salary_Calculation[Source Row],ROW()-ROW(Payslip_Lookup[#Headers]))="","",INDEX(Salary_Calculation[Total Deductions],ROW()-ROW(Payslip_Lookup[#Headers])))</f>
        <v/>
      </c>
      <c r="Z368" s="176" t="str">
        <f aca="false">IF(INDEX(Salary_Calculation[Source Row],ROW()-ROW(Payslip_Lookup[#Headers]))="","",INDEX(Salary_Calculation[Final Salary],ROW()-ROW(Payslip_Lookup[#Headers])))</f>
        <v/>
      </c>
      <c r="AA368" s="176" t="str">
        <f aca="false">IF(INDEX(Salary_Calculation[Source Row],ROW()-ROW(Payslip_Lookup[#Headers]))="","",INDEX(Salary_Calculation[Negative Balance / Amount Due from Rider],ROW()-ROW(Payslip_Lookup[#Headers])))</f>
        <v/>
      </c>
      <c r="AB368" s="176" t="str">
        <f aca="false">IF(INDEX(Salary_Calculation[Source Row],ROW()-ROW(Payslip_Lookup[#Headers]))="","",INDEX(Salary_Calculation[Total Amount Due from Rider],ROW()-ROW(Payslip_Lookup[#Headers])))</f>
        <v/>
      </c>
      <c r="AC368" s="176" t="str">
        <f aca="false">IF(INDEX(Salary_Calculation[Source Row],ROW()-ROW(Payslip_Lookup[#Headers]))="","",INDEX(Salary_Calculation[Salary Before Other Deductions],ROW()-ROW(Payslip_Lookup[#Headers])))</f>
        <v/>
      </c>
      <c r="AD368" s="171" t="str">
        <f aca="false">IF(INDEX(Salary_Calculation[Source Row],ROW()-ROW(Payslip_Lookup[#Headers]))="","",INDEX(Salary_Calculation[Payment Status],ROW()-ROW(Payslip_Lookup[#Headers])))</f>
        <v/>
      </c>
      <c r="AE368" s="171" t="str">
        <f aca="false">IF(INDEX(Salary_Calculation[Source Row],ROW()-ROW(Payslip_Lookup[#Headers]))="","",INDEX(Salary_Calculation[Notes],ROW()-ROW(Payslip_Lookup[#Headers])))</f>
        <v/>
      </c>
      <c r="AF368" s="171" t="str">
        <f aca="false">IF(INDEX(Salary_Calculation[Source Row],ROW()-ROW(Payslip_Lookup[#Headers]))="","",INDEX(Salary_Calculation[Exception Reason],ROW()-ROW(Payslip_Lookup[#Headers])))</f>
        <v/>
      </c>
      <c r="AG368" s="173" t="str">
        <f aca="false">IF($AD368="Review Required",COUNTIF(AD$2:AD368,"Review Required"),"")</f>
        <v/>
      </c>
      <c r="AH368" s="173" t="str">
        <f aca="false">IF(AND($D368&lt;&gt;"",$B368=Payslip_Print!$C$2),MAX(AH$1:AH367)+1,"")</f>
        <v/>
      </c>
      <c r="AL368" s="178" t="str">
        <f aca="false">IFERROR(INDEX($D$2:$D$501,MATCH(ROW()-1,$AH$2:$AH$501,0)),"")</f>
        <v/>
      </c>
      <c r="AM368" s="179" t="str">
        <f aca="false">IF($Z368="","",IF(AND($C368&gt;=Dash_Start,$C368&lt;Dash_End),$Z368+ROW()/10000000,""))</f>
        <v/>
      </c>
    </row>
    <row r="369" customFormat="false" ht="14.25" hidden="false" customHeight="false" outlineLevel="0" collapsed="false">
      <c r="A369" s="171" t="str">
        <f aca="false">IF(Payslip_Lookup[[#This Row],[Rider ID]]="","",Payslip_Lookup[[#This Row],[Rider ID]]&amp;"|"&amp;Payslip_Lookup[[#This Row],[Month Key]])</f>
        <v/>
      </c>
      <c r="B369" s="172" t="str">
        <f aca="false">IF(ISNUMBER(Payslip_Lookup[[#This Row],[Salary Month]]),DATE(YEAR(Payslip_Lookup[[#This Row],[Salary Month]]),MONTH(Payslip_Lookup[[#This Row],[Salary Month]]),1),"")</f>
        <v/>
      </c>
      <c r="C369" s="172" t="str">
        <f aca="false">IF(INDEX(Salary_Calculation[Source Row],ROW()-ROW(Payslip_Lookup[#Headers]))="","",INDEX(Salary_Calculation[Salary Month],ROW()-ROW(Payslip_Lookup[#Headers])))</f>
        <v/>
      </c>
      <c r="D369" s="173" t="str">
        <f aca="false">IF(INDEX(Salary_Calculation[Source Row],ROW()-ROW(Payslip_Lookup[#Headers]))="","",INDEX(Salary_Calculation[Rider ID],ROW()-ROW(Payslip_Lookup[#Headers])))</f>
        <v/>
      </c>
      <c r="E369" s="171" t="str">
        <f aca="false">IF(INDEX(Salary_Calculation[Source Row],ROW()-ROW(Payslip_Lookup[#Headers]))="","",INDEX(Salary_Calculation[Rider Name],ROW()-ROW(Payslip_Lookup[#Headers])))</f>
        <v/>
      </c>
      <c r="F369" s="173" t="str">
        <f aca="false">IF(INDEX(Salary_Calculation[Source Row],ROW()-ROW(Payslip_Lookup[#Headers]))="","",INDEX(Salary_Calculation[Working Days],ROW()-ROW(Payslip_Lookup[#Headers])))</f>
        <v/>
      </c>
      <c r="G369" s="173" t="str">
        <f aca="false">IF(INDEX(Salary_Calculation[Source Row],ROW()-ROW(Payslip_Lookup[#Headers]))="","",INDEX(Salary_Calculation[Calendar Days],ROW()-ROW(Payslip_Lookup[#Headers])))</f>
        <v/>
      </c>
      <c r="H369" s="174" t="str">
        <f aca="false">IF(INDEX(Salary_Calculation[Source Row],ROW()-ROW(Payslip_Lookup[#Headers]))="","",INDEX(Salary_Calculation[Monthly Target Orders],ROW()-ROW(Payslip_Lookup[#Headers])))</f>
        <v/>
      </c>
      <c r="I369" s="174" t="str">
        <f aca="false">IF(INDEX(Salary_Calculation[Source Row],ROW()-ROW(Payslip_Lookup[#Headers]))="","",INDEX(Salary_Calculation[Rider Target Orders],ROW()-ROW(Payslip_Lookup[#Headers])))</f>
        <v/>
      </c>
      <c r="J369" s="175" t="str">
        <f aca="false">IF(INDEX(Salary_Calculation[Source Row],ROW()-ROW(Payslip_Lookup[#Headers]))="","",INDEX(Salary_Calculation[Completed Orders],ROW()-ROW(Payslip_Lookup[#Headers])))</f>
        <v/>
      </c>
      <c r="K369" s="174" t="str">
        <f aca="false">IF(INDEX(Salary_Calculation[Source Row],ROW()-ROW(Payslip_Lookup[#Headers]))="","",INDEX(Salary_Calculation[Base Order Rate],ROW()-ROW(Payslip_Lookup[#Headers])))</f>
        <v/>
      </c>
      <c r="L369" s="176" t="str">
        <f aca="false">IF(INDEX(Salary_Calculation[Source Row],ROW()-ROW(Payslip_Lookup[#Headers]))="","",INDEX(Salary_Calculation[Basic Payment],ROW()-ROW(Payslip_Lookup[#Headers])))</f>
        <v/>
      </c>
      <c r="M369" s="176" t="str">
        <f aca="false">IF(INDEX(Salary_Calculation[Source Row],ROW()-ROW(Payslip_Lookup[#Headers]))="","",INDEX(Salary_Calculation[Earned Salary],ROW()-ROW(Payslip_Lookup[#Headers])))</f>
        <v/>
      </c>
      <c r="N369" s="174" t="str">
        <f aca="false">IF(INDEX(Salary_Calculation[Source Row],ROW()-ROW(Payslip_Lookup[#Headers]))="","",INDEX(Salary_Calculation[Orders Counted at Base Rate],ROW()-ROW(Payslip_Lookup[#Headers])))</f>
        <v/>
      </c>
      <c r="O369" s="174" t="str">
        <f aca="false">IF(INDEX(Salary_Calculation[Source Row],ROW()-ROW(Payslip_Lookup[#Headers]))="","",INDEX(Salary_Calculation[Missing Orders],ROW()-ROW(Payslip_Lookup[#Headers])))</f>
        <v/>
      </c>
      <c r="P369" s="176" t="str">
        <f aca="false">IF(INDEX(Salary_Calculation[Source Row],ROW()-ROW(Payslip_Lookup[#Headers]))="","",INDEX(Salary_Calculation[Missing-Order Deduction],ROW()-ROW(Payslip_Lookup[#Headers])))</f>
        <v/>
      </c>
      <c r="Q369" s="174" t="str">
        <f aca="false">IF(INDEX(Salary_Calculation[Source Row],ROW()-ROW(Payslip_Lookup[#Headers]))="","",INDEX(Salary_Calculation[Extra Orders],ROW()-ROW(Payslip_Lookup[#Headers])))</f>
        <v/>
      </c>
      <c r="R369" s="176" t="str">
        <f aca="false">IF(INDEX(Salary_Calculation[Source Row],ROW()-ROW(Payslip_Lookup[#Headers]))="","",INDEX(Salary_Calculation[Extra-Order Bonus],ROW()-ROW(Payslip_Lookup[#Headers])))</f>
        <v/>
      </c>
      <c r="S369" s="176" t="str">
        <f aca="false">IF(INDEX(Salary_Calculation[Source Row],ROW()-ROW(Payslip_Lookup[#Headers]))="","",INDEX(Salary_Calculation[Basic Salary for Target],ROW()-ROW(Payslip_Lookup[#Headers])))</f>
        <v/>
      </c>
      <c r="T369" s="176" t="str">
        <f aca="false">IF(INDEX(Salary_Calculation[Source Row],ROW()-ROW(Payslip_Lookup[#Headers]))="","",INDEX(Salary_Calculation[Gross Salary Before Deductions],ROW()-ROW(Payslip_Lookup[#Headers])))</f>
        <v/>
      </c>
      <c r="U369" s="176" t="str">
        <f aca="false">IF(INDEX(Salary_Calculation[Source Row],ROW()-ROW(Payslip_Lookup[#Headers]))="","",INDEX(Salary_Calculation[missed_days_penalty],ROW()-ROW(Payslip_Lookup[#Headers])))</f>
        <v/>
      </c>
      <c r="V369" s="176" t="str">
        <f aca="false">IF(INDEX(Salary_Calculation[Source Row],ROW()-ROW(Payslip_Lookup[#Headers]))="","",INDEX(Salary_Calculation[Rider Balance],ROW()-ROW(Payslip_Lookup[#Headers])))</f>
        <v/>
      </c>
      <c r="W369" s="176" t="str">
        <f aca="false">IF(INDEX(Salary_Calculation[Source Row],ROW()-ROW(Payslip_Lookup[#Headers]))="","",INDEX(Salary_Calculation[stacking_deduction],ROW()-ROW(Payslip_Lookup[#Headers])))</f>
        <v/>
      </c>
      <c r="X369" s="176" t="str">
        <f aca="false">IF(INDEX(Salary_Calculation[Source Row],ROW()-ROW(Payslip_Lookup[#Headers]))="","",INDEX(Salary_Calculation[Other Deductions],ROW()-ROW(Payslip_Lookup[#Headers])))</f>
        <v/>
      </c>
      <c r="Y369" s="176" t="str">
        <f aca="false">IF(INDEX(Salary_Calculation[Source Row],ROW()-ROW(Payslip_Lookup[#Headers]))="","",INDEX(Salary_Calculation[Total Deductions],ROW()-ROW(Payslip_Lookup[#Headers])))</f>
        <v/>
      </c>
      <c r="Z369" s="176" t="str">
        <f aca="false">IF(INDEX(Salary_Calculation[Source Row],ROW()-ROW(Payslip_Lookup[#Headers]))="","",INDEX(Salary_Calculation[Final Salary],ROW()-ROW(Payslip_Lookup[#Headers])))</f>
        <v/>
      </c>
      <c r="AA369" s="176" t="str">
        <f aca="false">IF(INDEX(Salary_Calculation[Source Row],ROW()-ROW(Payslip_Lookup[#Headers]))="","",INDEX(Salary_Calculation[Negative Balance / Amount Due from Rider],ROW()-ROW(Payslip_Lookup[#Headers])))</f>
        <v/>
      </c>
      <c r="AB369" s="176" t="str">
        <f aca="false">IF(INDEX(Salary_Calculation[Source Row],ROW()-ROW(Payslip_Lookup[#Headers]))="","",INDEX(Salary_Calculation[Total Amount Due from Rider],ROW()-ROW(Payslip_Lookup[#Headers])))</f>
        <v/>
      </c>
      <c r="AC369" s="176" t="str">
        <f aca="false">IF(INDEX(Salary_Calculation[Source Row],ROW()-ROW(Payslip_Lookup[#Headers]))="","",INDEX(Salary_Calculation[Salary Before Other Deductions],ROW()-ROW(Payslip_Lookup[#Headers])))</f>
        <v/>
      </c>
      <c r="AD369" s="171" t="str">
        <f aca="false">IF(INDEX(Salary_Calculation[Source Row],ROW()-ROW(Payslip_Lookup[#Headers]))="","",INDEX(Salary_Calculation[Payment Status],ROW()-ROW(Payslip_Lookup[#Headers])))</f>
        <v/>
      </c>
      <c r="AE369" s="171" t="str">
        <f aca="false">IF(INDEX(Salary_Calculation[Source Row],ROW()-ROW(Payslip_Lookup[#Headers]))="","",INDEX(Salary_Calculation[Notes],ROW()-ROW(Payslip_Lookup[#Headers])))</f>
        <v/>
      </c>
      <c r="AF369" s="171" t="str">
        <f aca="false">IF(INDEX(Salary_Calculation[Source Row],ROW()-ROW(Payslip_Lookup[#Headers]))="","",INDEX(Salary_Calculation[Exception Reason],ROW()-ROW(Payslip_Lookup[#Headers])))</f>
        <v/>
      </c>
      <c r="AG369" s="173" t="str">
        <f aca="false">IF($AD369="Review Required",COUNTIF(AD$2:AD369,"Review Required"),"")</f>
        <v/>
      </c>
      <c r="AH369" s="173" t="str">
        <f aca="false">IF(AND($D369&lt;&gt;"",$B369=Payslip_Print!$C$2),MAX(AH$1:AH368)+1,"")</f>
        <v/>
      </c>
      <c r="AL369" s="178" t="str">
        <f aca="false">IFERROR(INDEX($D$2:$D$501,MATCH(ROW()-1,$AH$2:$AH$501,0)),"")</f>
        <v/>
      </c>
      <c r="AM369" s="179" t="str">
        <f aca="false">IF($Z369="","",IF(AND($C369&gt;=Dash_Start,$C369&lt;Dash_End),$Z369+ROW()/10000000,""))</f>
        <v/>
      </c>
    </row>
    <row r="370" customFormat="false" ht="14.25" hidden="false" customHeight="false" outlineLevel="0" collapsed="false">
      <c r="A370" s="171" t="str">
        <f aca="false">IF(Payslip_Lookup[[#This Row],[Rider ID]]="","",Payslip_Lookup[[#This Row],[Rider ID]]&amp;"|"&amp;Payslip_Lookup[[#This Row],[Month Key]])</f>
        <v/>
      </c>
      <c r="B370" s="172" t="str">
        <f aca="false">IF(ISNUMBER(Payslip_Lookup[[#This Row],[Salary Month]]),DATE(YEAR(Payslip_Lookup[[#This Row],[Salary Month]]),MONTH(Payslip_Lookup[[#This Row],[Salary Month]]),1),"")</f>
        <v/>
      </c>
      <c r="C370" s="172" t="str">
        <f aca="false">IF(INDEX(Salary_Calculation[Source Row],ROW()-ROW(Payslip_Lookup[#Headers]))="","",INDEX(Salary_Calculation[Salary Month],ROW()-ROW(Payslip_Lookup[#Headers])))</f>
        <v/>
      </c>
      <c r="D370" s="173" t="str">
        <f aca="false">IF(INDEX(Salary_Calculation[Source Row],ROW()-ROW(Payslip_Lookup[#Headers]))="","",INDEX(Salary_Calculation[Rider ID],ROW()-ROW(Payslip_Lookup[#Headers])))</f>
        <v/>
      </c>
      <c r="E370" s="171" t="str">
        <f aca="false">IF(INDEX(Salary_Calculation[Source Row],ROW()-ROW(Payslip_Lookup[#Headers]))="","",INDEX(Salary_Calculation[Rider Name],ROW()-ROW(Payslip_Lookup[#Headers])))</f>
        <v/>
      </c>
      <c r="F370" s="173" t="str">
        <f aca="false">IF(INDEX(Salary_Calculation[Source Row],ROW()-ROW(Payslip_Lookup[#Headers]))="","",INDEX(Salary_Calculation[Working Days],ROW()-ROW(Payslip_Lookup[#Headers])))</f>
        <v/>
      </c>
      <c r="G370" s="173" t="str">
        <f aca="false">IF(INDEX(Salary_Calculation[Source Row],ROW()-ROW(Payslip_Lookup[#Headers]))="","",INDEX(Salary_Calculation[Calendar Days],ROW()-ROW(Payslip_Lookup[#Headers])))</f>
        <v/>
      </c>
      <c r="H370" s="174" t="str">
        <f aca="false">IF(INDEX(Salary_Calculation[Source Row],ROW()-ROW(Payslip_Lookup[#Headers]))="","",INDEX(Salary_Calculation[Monthly Target Orders],ROW()-ROW(Payslip_Lookup[#Headers])))</f>
        <v/>
      </c>
      <c r="I370" s="174" t="str">
        <f aca="false">IF(INDEX(Salary_Calculation[Source Row],ROW()-ROW(Payslip_Lookup[#Headers]))="","",INDEX(Salary_Calculation[Rider Target Orders],ROW()-ROW(Payslip_Lookup[#Headers])))</f>
        <v/>
      </c>
      <c r="J370" s="175" t="str">
        <f aca="false">IF(INDEX(Salary_Calculation[Source Row],ROW()-ROW(Payslip_Lookup[#Headers]))="","",INDEX(Salary_Calculation[Completed Orders],ROW()-ROW(Payslip_Lookup[#Headers])))</f>
        <v/>
      </c>
      <c r="K370" s="174" t="str">
        <f aca="false">IF(INDEX(Salary_Calculation[Source Row],ROW()-ROW(Payslip_Lookup[#Headers]))="","",INDEX(Salary_Calculation[Base Order Rate],ROW()-ROW(Payslip_Lookup[#Headers])))</f>
        <v/>
      </c>
      <c r="L370" s="176" t="str">
        <f aca="false">IF(INDEX(Salary_Calculation[Source Row],ROW()-ROW(Payslip_Lookup[#Headers]))="","",INDEX(Salary_Calculation[Basic Payment],ROW()-ROW(Payslip_Lookup[#Headers])))</f>
        <v/>
      </c>
      <c r="M370" s="176" t="str">
        <f aca="false">IF(INDEX(Salary_Calculation[Source Row],ROW()-ROW(Payslip_Lookup[#Headers]))="","",INDEX(Salary_Calculation[Earned Salary],ROW()-ROW(Payslip_Lookup[#Headers])))</f>
        <v/>
      </c>
      <c r="N370" s="174" t="str">
        <f aca="false">IF(INDEX(Salary_Calculation[Source Row],ROW()-ROW(Payslip_Lookup[#Headers]))="","",INDEX(Salary_Calculation[Orders Counted at Base Rate],ROW()-ROW(Payslip_Lookup[#Headers])))</f>
        <v/>
      </c>
      <c r="O370" s="174" t="str">
        <f aca="false">IF(INDEX(Salary_Calculation[Source Row],ROW()-ROW(Payslip_Lookup[#Headers]))="","",INDEX(Salary_Calculation[Missing Orders],ROW()-ROW(Payslip_Lookup[#Headers])))</f>
        <v/>
      </c>
      <c r="P370" s="176" t="str">
        <f aca="false">IF(INDEX(Salary_Calculation[Source Row],ROW()-ROW(Payslip_Lookup[#Headers]))="","",INDEX(Salary_Calculation[Missing-Order Deduction],ROW()-ROW(Payslip_Lookup[#Headers])))</f>
        <v/>
      </c>
      <c r="Q370" s="174" t="str">
        <f aca="false">IF(INDEX(Salary_Calculation[Source Row],ROW()-ROW(Payslip_Lookup[#Headers]))="","",INDEX(Salary_Calculation[Extra Orders],ROW()-ROW(Payslip_Lookup[#Headers])))</f>
        <v/>
      </c>
      <c r="R370" s="176" t="str">
        <f aca="false">IF(INDEX(Salary_Calculation[Source Row],ROW()-ROW(Payslip_Lookup[#Headers]))="","",INDEX(Salary_Calculation[Extra-Order Bonus],ROW()-ROW(Payslip_Lookup[#Headers])))</f>
        <v/>
      </c>
      <c r="S370" s="176" t="str">
        <f aca="false">IF(INDEX(Salary_Calculation[Source Row],ROW()-ROW(Payslip_Lookup[#Headers]))="","",INDEX(Salary_Calculation[Basic Salary for Target],ROW()-ROW(Payslip_Lookup[#Headers])))</f>
        <v/>
      </c>
      <c r="T370" s="176" t="str">
        <f aca="false">IF(INDEX(Salary_Calculation[Source Row],ROW()-ROW(Payslip_Lookup[#Headers]))="","",INDEX(Salary_Calculation[Gross Salary Before Deductions],ROW()-ROW(Payslip_Lookup[#Headers])))</f>
        <v/>
      </c>
      <c r="U370" s="176" t="str">
        <f aca="false">IF(INDEX(Salary_Calculation[Source Row],ROW()-ROW(Payslip_Lookup[#Headers]))="","",INDEX(Salary_Calculation[missed_days_penalty],ROW()-ROW(Payslip_Lookup[#Headers])))</f>
        <v/>
      </c>
      <c r="V370" s="176" t="str">
        <f aca="false">IF(INDEX(Salary_Calculation[Source Row],ROW()-ROW(Payslip_Lookup[#Headers]))="","",INDEX(Salary_Calculation[Rider Balance],ROW()-ROW(Payslip_Lookup[#Headers])))</f>
        <v/>
      </c>
      <c r="W370" s="176" t="str">
        <f aca="false">IF(INDEX(Salary_Calculation[Source Row],ROW()-ROW(Payslip_Lookup[#Headers]))="","",INDEX(Salary_Calculation[stacking_deduction],ROW()-ROW(Payslip_Lookup[#Headers])))</f>
        <v/>
      </c>
      <c r="X370" s="176" t="str">
        <f aca="false">IF(INDEX(Salary_Calculation[Source Row],ROW()-ROW(Payslip_Lookup[#Headers]))="","",INDEX(Salary_Calculation[Other Deductions],ROW()-ROW(Payslip_Lookup[#Headers])))</f>
        <v/>
      </c>
      <c r="Y370" s="176" t="str">
        <f aca="false">IF(INDEX(Salary_Calculation[Source Row],ROW()-ROW(Payslip_Lookup[#Headers]))="","",INDEX(Salary_Calculation[Total Deductions],ROW()-ROW(Payslip_Lookup[#Headers])))</f>
        <v/>
      </c>
      <c r="Z370" s="176" t="str">
        <f aca="false">IF(INDEX(Salary_Calculation[Source Row],ROW()-ROW(Payslip_Lookup[#Headers]))="","",INDEX(Salary_Calculation[Final Salary],ROW()-ROW(Payslip_Lookup[#Headers])))</f>
        <v/>
      </c>
      <c r="AA370" s="176" t="str">
        <f aca="false">IF(INDEX(Salary_Calculation[Source Row],ROW()-ROW(Payslip_Lookup[#Headers]))="","",INDEX(Salary_Calculation[Negative Balance / Amount Due from Rider],ROW()-ROW(Payslip_Lookup[#Headers])))</f>
        <v/>
      </c>
      <c r="AB370" s="176" t="str">
        <f aca="false">IF(INDEX(Salary_Calculation[Source Row],ROW()-ROW(Payslip_Lookup[#Headers]))="","",INDEX(Salary_Calculation[Total Amount Due from Rider],ROW()-ROW(Payslip_Lookup[#Headers])))</f>
        <v/>
      </c>
      <c r="AC370" s="176" t="str">
        <f aca="false">IF(INDEX(Salary_Calculation[Source Row],ROW()-ROW(Payslip_Lookup[#Headers]))="","",INDEX(Salary_Calculation[Salary Before Other Deductions],ROW()-ROW(Payslip_Lookup[#Headers])))</f>
        <v/>
      </c>
      <c r="AD370" s="171" t="str">
        <f aca="false">IF(INDEX(Salary_Calculation[Source Row],ROW()-ROW(Payslip_Lookup[#Headers]))="","",INDEX(Salary_Calculation[Payment Status],ROW()-ROW(Payslip_Lookup[#Headers])))</f>
        <v/>
      </c>
      <c r="AE370" s="171" t="str">
        <f aca="false">IF(INDEX(Salary_Calculation[Source Row],ROW()-ROW(Payslip_Lookup[#Headers]))="","",INDEX(Salary_Calculation[Notes],ROW()-ROW(Payslip_Lookup[#Headers])))</f>
        <v/>
      </c>
      <c r="AF370" s="171" t="str">
        <f aca="false">IF(INDEX(Salary_Calculation[Source Row],ROW()-ROW(Payslip_Lookup[#Headers]))="","",INDEX(Salary_Calculation[Exception Reason],ROW()-ROW(Payslip_Lookup[#Headers])))</f>
        <v/>
      </c>
      <c r="AG370" s="173" t="str">
        <f aca="false">IF($AD370="Review Required",COUNTIF(AD$2:AD370,"Review Required"),"")</f>
        <v/>
      </c>
      <c r="AH370" s="173" t="str">
        <f aca="false">IF(AND($D370&lt;&gt;"",$B370=Payslip_Print!$C$2),MAX(AH$1:AH369)+1,"")</f>
        <v/>
      </c>
      <c r="AL370" s="178" t="str">
        <f aca="false">IFERROR(INDEX($D$2:$D$501,MATCH(ROW()-1,$AH$2:$AH$501,0)),"")</f>
        <v/>
      </c>
      <c r="AM370" s="179" t="str">
        <f aca="false">IF($Z370="","",IF(AND($C370&gt;=Dash_Start,$C370&lt;Dash_End),$Z370+ROW()/10000000,""))</f>
        <v/>
      </c>
    </row>
    <row r="371" customFormat="false" ht="14.25" hidden="false" customHeight="false" outlineLevel="0" collapsed="false">
      <c r="A371" s="171" t="str">
        <f aca="false">IF(Payslip_Lookup[[#This Row],[Rider ID]]="","",Payslip_Lookup[[#This Row],[Rider ID]]&amp;"|"&amp;Payslip_Lookup[[#This Row],[Month Key]])</f>
        <v/>
      </c>
      <c r="B371" s="172" t="str">
        <f aca="false">IF(ISNUMBER(Payslip_Lookup[[#This Row],[Salary Month]]),DATE(YEAR(Payslip_Lookup[[#This Row],[Salary Month]]),MONTH(Payslip_Lookup[[#This Row],[Salary Month]]),1),"")</f>
        <v/>
      </c>
      <c r="C371" s="172" t="str">
        <f aca="false">IF(INDEX(Salary_Calculation[Source Row],ROW()-ROW(Payslip_Lookup[#Headers]))="","",INDEX(Salary_Calculation[Salary Month],ROW()-ROW(Payslip_Lookup[#Headers])))</f>
        <v/>
      </c>
      <c r="D371" s="173" t="str">
        <f aca="false">IF(INDEX(Salary_Calculation[Source Row],ROW()-ROW(Payslip_Lookup[#Headers]))="","",INDEX(Salary_Calculation[Rider ID],ROW()-ROW(Payslip_Lookup[#Headers])))</f>
        <v/>
      </c>
      <c r="E371" s="171" t="str">
        <f aca="false">IF(INDEX(Salary_Calculation[Source Row],ROW()-ROW(Payslip_Lookup[#Headers]))="","",INDEX(Salary_Calculation[Rider Name],ROW()-ROW(Payslip_Lookup[#Headers])))</f>
        <v/>
      </c>
      <c r="F371" s="173" t="str">
        <f aca="false">IF(INDEX(Salary_Calculation[Source Row],ROW()-ROW(Payslip_Lookup[#Headers]))="","",INDEX(Salary_Calculation[Working Days],ROW()-ROW(Payslip_Lookup[#Headers])))</f>
        <v/>
      </c>
      <c r="G371" s="173" t="str">
        <f aca="false">IF(INDEX(Salary_Calculation[Source Row],ROW()-ROW(Payslip_Lookup[#Headers]))="","",INDEX(Salary_Calculation[Calendar Days],ROW()-ROW(Payslip_Lookup[#Headers])))</f>
        <v/>
      </c>
      <c r="H371" s="174" t="str">
        <f aca="false">IF(INDEX(Salary_Calculation[Source Row],ROW()-ROW(Payslip_Lookup[#Headers]))="","",INDEX(Salary_Calculation[Monthly Target Orders],ROW()-ROW(Payslip_Lookup[#Headers])))</f>
        <v/>
      </c>
      <c r="I371" s="174" t="str">
        <f aca="false">IF(INDEX(Salary_Calculation[Source Row],ROW()-ROW(Payslip_Lookup[#Headers]))="","",INDEX(Salary_Calculation[Rider Target Orders],ROW()-ROW(Payslip_Lookup[#Headers])))</f>
        <v/>
      </c>
      <c r="J371" s="175" t="str">
        <f aca="false">IF(INDEX(Salary_Calculation[Source Row],ROW()-ROW(Payslip_Lookup[#Headers]))="","",INDEX(Salary_Calculation[Completed Orders],ROW()-ROW(Payslip_Lookup[#Headers])))</f>
        <v/>
      </c>
      <c r="K371" s="174" t="str">
        <f aca="false">IF(INDEX(Salary_Calculation[Source Row],ROW()-ROW(Payslip_Lookup[#Headers]))="","",INDEX(Salary_Calculation[Base Order Rate],ROW()-ROW(Payslip_Lookup[#Headers])))</f>
        <v/>
      </c>
      <c r="L371" s="176" t="str">
        <f aca="false">IF(INDEX(Salary_Calculation[Source Row],ROW()-ROW(Payslip_Lookup[#Headers]))="","",INDEX(Salary_Calculation[Basic Payment],ROW()-ROW(Payslip_Lookup[#Headers])))</f>
        <v/>
      </c>
      <c r="M371" s="176" t="str">
        <f aca="false">IF(INDEX(Salary_Calculation[Source Row],ROW()-ROW(Payslip_Lookup[#Headers]))="","",INDEX(Salary_Calculation[Earned Salary],ROW()-ROW(Payslip_Lookup[#Headers])))</f>
        <v/>
      </c>
      <c r="N371" s="174" t="str">
        <f aca="false">IF(INDEX(Salary_Calculation[Source Row],ROW()-ROW(Payslip_Lookup[#Headers]))="","",INDEX(Salary_Calculation[Orders Counted at Base Rate],ROW()-ROW(Payslip_Lookup[#Headers])))</f>
        <v/>
      </c>
      <c r="O371" s="174" t="str">
        <f aca="false">IF(INDEX(Salary_Calculation[Source Row],ROW()-ROW(Payslip_Lookup[#Headers]))="","",INDEX(Salary_Calculation[Missing Orders],ROW()-ROW(Payslip_Lookup[#Headers])))</f>
        <v/>
      </c>
      <c r="P371" s="176" t="str">
        <f aca="false">IF(INDEX(Salary_Calculation[Source Row],ROW()-ROW(Payslip_Lookup[#Headers]))="","",INDEX(Salary_Calculation[Missing-Order Deduction],ROW()-ROW(Payslip_Lookup[#Headers])))</f>
        <v/>
      </c>
      <c r="Q371" s="174" t="str">
        <f aca="false">IF(INDEX(Salary_Calculation[Source Row],ROW()-ROW(Payslip_Lookup[#Headers]))="","",INDEX(Salary_Calculation[Extra Orders],ROW()-ROW(Payslip_Lookup[#Headers])))</f>
        <v/>
      </c>
      <c r="R371" s="176" t="str">
        <f aca="false">IF(INDEX(Salary_Calculation[Source Row],ROW()-ROW(Payslip_Lookup[#Headers]))="","",INDEX(Salary_Calculation[Extra-Order Bonus],ROW()-ROW(Payslip_Lookup[#Headers])))</f>
        <v/>
      </c>
      <c r="S371" s="176" t="str">
        <f aca="false">IF(INDEX(Salary_Calculation[Source Row],ROW()-ROW(Payslip_Lookup[#Headers]))="","",INDEX(Salary_Calculation[Basic Salary for Target],ROW()-ROW(Payslip_Lookup[#Headers])))</f>
        <v/>
      </c>
      <c r="T371" s="176" t="str">
        <f aca="false">IF(INDEX(Salary_Calculation[Source Row],ROW()-ROW(Payslip_Lookup[#Headers]))="","",INDEX(Salary_Calculation[Gross Salary Before Deductions],ROW()-ROW(Payslip_Lookup[#Headers])))</f>
        <v/>
      </c>
      <c r="U371" s="176" t="str">
        <f aca="false">IF(INDEX(Salary_Calculation[Source Row],ROW()-ROW(Payslip_Lookup[#Headers]))="","",INDEX(Salary_Calculation[missed_days_penalty],ROW()-ROW(Payslip_Lookup[#Headers])))</f>
        <v/>
      </c>
      <c r="V371" s="176" t="str">
        <f aca="false">IF(INDEX(Salary_Calculation[Source Row],ROW()-ROW(Payslip_Lookup[#Headers]))="","",INDEX(Salary_Calculation[Rider Balance],ROW()-ROW(Payslip_Lookup[#Headers])))</f>
        <v/>
      </c>
      <c r="W371" s="176" t="str">
        <f aca="false">IF(INDEX(Salary_Calculation[Source Row],ROW()-ROW(Payslip_Lookup[#Headers]))="","",INDEX(Salary_Calculation[stacking_deduction],ROW()-ROW(Payslip_Lookup[#Headers])))</f>
        <v/>
      </c>
      <c r="X371" s="176" t="str">
        <f aca="false">IF(INDEX(Salary_Calculation[Source Row],ROW()-ROW(Payslip_Lookup[#Headers]))="","",INDEX(Salary_Calculation[Other Deductions],ROW()-ROW(Payslip_Lookup[#Headers])))</f>
        <v/>
      </c>
      <c r="Y371" s="176" t="str">
        <f aca="false">IF(INDEX(Salary_Calculation[Source Row],ROW()-ROW(Payslip_Lookup[#Headers]))="","",INDEX(Salary_Calculation[Total Deductions],ROW()-ROW(Payslip_Lookup[#Headers])))</f>
        <v/>
      </c>
      <c r="Z371" s="176" t="str">
        <f aca="false">IF(INDEX(Salary_Calculation[Source Row],ROW()-ROW(Payslip_Lookup[#Headers]))="","",INDEX(Salary_Calculation[Final Salary],ROW()-ROW(Payslip_Lookup[#Headers])))</f>
        <v/>
      </c>
      <c r="AA371" s="176" t="str">
        <f aca="false">IF(INDEX(Salary_Calculation[Source Row],ROW()-ROW(Payslip_Lookup[#Headers]))="","",INDEX(Salary_Calculation[Negative Balance / Amount Due from Rider],ROW()-ROW(Payslip_Lookup[#Headers])))</f>
        <v/>
      </c>
      <c r="AB371" s="176" t="str">
        <f aca="false">IF(INDEX(Salary_Calculation[Source Row],ROW()-ROW(Payslip_Lookup[#Headers]))="","",INDEX(Salary_Calculation[Total Amount Due from Rider],ROW()-ROW(Payslip_Lookup[#Headers])))</f>
        <v/>
      </c>
      <c r="AC371" s="176" t="str">
        <f aca="false">IF(INDEX(Salary_Calculation[Source Row],ROW()-ROW(Payslip_Lookup[#Headers]))="","",INDEX(Salary_Calculation[Salary Before Other Deductions],ROW()-ROW(Payslip_Lookup[#Headers])))</f>
        <v/>
      </c>
      <c r="AD371" s="171" t="str">
        <f aca="false">IF(INDEX(Salary_Calculation[Source Row],ROW()-ROW(Payslip_Lookup[#Headers]))="","",INDEX(Salary_Calculation[Payment Status],ROW()-ROW(Payslip_Lookup[#Headers])))</f>
        <v/>
      </c>
      <c r="AE371" s="171" t="str">
        <f aca="false">IF(INDEX(Salary_Calculation[Source Row],ROW()-ROW(Payslip_Lookup[#Headers]))="","",INDEX(Salary_Calculation[Notes],ROW()-ROW(Payslip_Lookup[#Headers])))</f>
        <v/>
      </c>
      <c r="AF371" s="171" t="str">
        <f aca="false">IF(INDEX(Salary_Calculation[Source Row],ROW()-ROW(Payslip_Lookup[#Headers]))="","",INDEX(Salary_Calculation[Exception Reason],ROW()-ROW(Payslip_Lookup[#Headers])))</f>
        <v/>
      </c>
      <c r="AG371" s="173" t="str">
        <f aca="false">IF($AD371="Review Required",COUNTIF(AD$2:AD371,"Review Required"),"")</f>
        <v/>
      </c>
      <c r="AH371" s="173" t="str">
        <f aca="false">IF(AND($D371&lt;&gt;"",$B371=Payslip_Print!$C$2),MAX(AH$1:AH370)+1,"")</f>
        <v/>
      </c>
      <c r="AL371" s="178" t="str">
        <f aca="false">IFERROR(INDEX($D$2:$D$501,MATCH(ROW()-1,$AH$2:$AH$501,0)),"")</f>
        <v/>
      </c>
      <c r="AM371" s="179" t="str">
        <f aca="false">IF($Z371="","",IF(AND($C371&gt;=Dash_Start,$C371&lt;Dash_End),$Z371+ROW()/10000000,""))</f>
        <v/>
      </c>
    </row>
    <row r="372" customFormat="false" ht="14.25" hidden="false" customHeight="false" outlineLevel="0" collapsed="false">
      <c r="A372" s="171" t="str">
        <f aca="false">IF(Payslip_Lookup[[#This Row],[Rider ID]]="","",Payslip_Lookup[[#This Row],[Rider ID]]&amp;"|"&amp;Payslip_Lookup[[#This Row],[Month Key]])</f>
        <v/>
      </c>
      <c r="B372" s="172" t="str">
        <f aca="false">IF(ISNUMBER(Payslip_Lookup[[#This Row],[Salary Month]]),DATE(YEAR(Payslip_Lookup[[#This Row],[Salary Month]]),MONTH(Payslip_Lookup[[#This Row],[Salary Month]]),1),"")</f>
        <v/>
      </c>
      <c r="C372" s="172" t="str">
        <f aca="false">IF(INDEX(Salary_Calculation[Source Row],ROW()-ROW(Payslip_Lookup[#Headers]))="","",INDEX(Salary_Calculation[Salary Month],ROW()-ROW(Payslip_Lookup[#Headers])))</f>
        <v/>
      </c>
      <c r="D372" s="173" t="str">
        <f aca="false">IF(INDEX(Salary_Calculation[Source Row],ROW()-ROW(Payslip_Lookup[#Headers]))="","",INDEX(Salary_Calculation[Rider ID],ROW()-ROW(Payslip_Lookup[#Headers])))</f>
        <v/>
      </c>
      <c r="E372" s="171" t="str">
        <f aca="false">IF(INDEX(Salary_Calculation[Source Row],ROW()-ROW(Payslip_Lookup[#Headers]))="","",INDEX(Salary_Calculation[Rider Name],ROW()-ROW(Payslip_Lookup[#Headers])))</f>
        <v/>
      </c>
      <c r="F372" s="173" t="str">
        <f aca="false">IF(INDEX(Salary_Calculation[Source Row],ROW()-ROW(Payslip_Lookup[#Headers]))="","",INDEX(Salary_Calculation[Working Days],ROW()-ROW(Payslip_Lookup[#Headers])))</f>
        <v/>
      </c>
      <c r="G372" s="173" t="str">
        <f aca="false">IF(INDEX(Salary_Calculation[Source Row],ROW()-ROW(Payslip_Lookup[#Headers]))="","",INDEX(Salary_Calculation[Calendar Days],ROW()-ROW(Payslip_Lookup[#Headers])))</f>
        <v/>
      </c>
      <c r="H372" s="174" t="str">
        <f aca="false">IF(INDEX(Salary_Calculation[Source Row],ROW()-ROW(Payslip_Lookup[#Headers]))="","",INDEX(Salary_Calculation[Monthly Target Orders],ROW()-ROW(Payslip_Lookup[#Headers])))</f>
        <v/>
      </c>
      <c r="I372" s="174" t="str">
        <f aca="false">IF(INDEX(Salary_Calculation[Source Row],ROW()-ROW(Payslip_Lookup[#Headers]))="","",INDEX(Salary_Calculation[Rider Target Orders],ROW()-ROW(Payslip_Lookup[#Headers])))</f>
        <v/>
      </c>
      <c r="J372" s="175" t="str">
        <f aca="false">IF(INDEX(Salary_Calculation[Source Row],ROW()-ROW(Payslip_Lookup[#Headers]))="","",INDEX(Salary_Calculation[Completed Orders],ROW()-ROW(Payslip_Lookup[#Headers])))</f>
        <v/>
      </c>
      <c r="K372" s="174" t="str">
        <f aca="false">IF(INDEX(Salary_Calculation[Source Row],ROW()-ROW(Payslip_Lookup[#Headers]))="","",INDEX(Salary_Calculation[Base Order Rate],ROW()-ROW(Payslip_Lookup[#Headers])))</f>
        <v/>
      </c>
      <c r="L372" s="176" t="str">
        <f aca="false">IF(INDEX(Salary_Calculation[Source Row],ROW()-ROW(Payslip_Lookup[#Headers]))="","",INDEX(Salary_Calculation[Basic Payment],ROW()-ROW(Payslip_Lookup[#Headers])))</f>
        <v/>
      </c>
      <c r="M372" s="176" t="str">
        <f aca="false">IF(INDEX(Salary_Calculation[Source Row],ROW()-ROW(Payslip_Lookup[#Headers]))="","",INDEX(Salary_Calculation[Earned Salary],ROW()-ROW(Payslip_Lookup[#Headers])))</f>
        <v/>
      </c>
      <c r="N372" s="174" t="str">
        <f aca="false">IF(INDEX(Salary_Calculation[Source Row],ROW()-ROW(Payslip_Lookup[#Headers]))="","",INDEX(Salary_Calculation[Orders Counted at Base Rate],ROW()-ROW(Payslip_Lookup[#Headers])))</f>
        <v/>
      </c>
      <c r="O372" s="174" t="str">
        <f aca="false">IF(INDEX(Salary_Calculation[Source Row],ROW()-ROW(Payslip_Lookup[#Headers]))="","",INDEX(Salary_Calculation[Missing Orders],ROW()-ROW(Payslip_Lookup[#Headers])))</f>
        <v/>
      </c>
      <c r="P372" s="176" t="str">
        <f aca="false">IF(INDEX(Salary_Calculation[Source Row],ROW()-ROW(Payslip_Lookup[#Headers]))="","",INDEX(Salary_Calculation[Missing-Order Deduction],ROW()-ROW(Payslip_Lookup[#Headers])))</f>
        <v/>
      </c>
      <c r="Q372" s="174" t="str">
        <f aca="false">IF(INDEX(Salary_Calculation[Source Row],ROW()-ROW(Payslip_Lookup[#Headers]))="","",INDEX(Salary_Calculation[Extra Orders],ROW()-ROW(Payslip_Lookup[#Headers])))</f>
        <v/>
      </c>
      <c r="R372" s="176" t="str">
        <f aca="false">IF(INDEX(Salary_Calculation[Source Row],ROW()-ROW(Payslip_Lookup[#Headers]))="","",INDEX(Salary_Calculation[Extra-Order Bonus],ROW()-ROW(Payslip_Lookup[#Headers])))</f>
        <v/>
      </c>
      <c r="S372" s="176" t="str">
        <f aca="false">IF(INDEX(Salary_Calculation[Source Row],ROW()-ROW(Payslip_Lookup[#Headers]))="","",INDEX(Salary_Calculation[Basic Salary for Target],ROW()-ROW(Payslip_Lookup[#Headers])))</f>
        <v/>
      </c>
      <c r="T372" s="176" t="str">
        <f aca="false">IF(INDEX(Salary_Calculation[Source Row],ROW()-ROW(Payslip_Lookup[#Headers]))="","",INDEX(Salary_Calculation[Gross Salary Before Deductions],ROW()-ROW(Payslip_Lookup[#Headers])))</f>
        <v/>
      </c>
      <c r="U372" s="176" t="str">
        <f aca="false">IF(INDEX(Salary_Calculation[Source Row],ROW()-ROW(Payslip_Lookup[#Headers]))="","",INDEX(Salary_Calculation[missed_days_penalty],ROW()-ROW(Payslip_Lookup[#Headers])))</f>
        <v/>
      </c>
      <c r="V372" s="176" t="str">
        <f aca="false">IF(INDEX(Salary_Calculation[Source Row],ROW()-ROW(Payslip_Lookup[#Headers]))="","",INDEX(Salary_Calculation[Rider Balance],ROW()-ROW(Payslip_Lookup[#Headers])))</f>
        <v/>
      </c>
      <c r="W372" s="176" t="str">
        <f aca="false">IF(INDEX(Salary_Calculation[Source Row],ROW()-ROW(Payslip_Lookup[#Headers]))="","",INDEX(Salary_Calculation[stacking_deduction],ROW()-ROW(Payslip_Lookup[#Headers])))</f>
        <v/>
      </c>
      <c r="X372" s="176" t="str">
        <f aca="false">IF(INDEX(Salary_Calculation[Source Row],ROW()-ROW(Payslip_Lookup[#Headers]))="","",INDEX(Salary_Calculation[Other Deductions],ROW()-ROW(Payslip_Lookup[#Headers])))</f>
        <v/>
      </c>
      <c r="Y372" s="176" t="str">
        <f aca="false">IF(INDEX(Salary_Calculation[Source Row],ROW()-ROW(Payslip_Lookup[#Headers]))="","",INDEX(Salary_Calculation[Total Deductions],ROW()-ROW(Payslip_Lookup[#Headers])))</f>
        <v/>
      </c>
      <c r="Z372" s="176" t="str">
        <f aca="false">IF(INDEX(Salary_Calculation[Source Row],ROW()-ROW(Payslip_Lookup[#Headers]))="","",INDEX(Salary_Calculation[Final Salary],ROW()-ROW(Payslip_Lookup[#Headers])))</f>
        <v/>
      </c>
      <c r="AA372" s="176" t="str">
        <f aca="false">IF(INDEX(Salary_Calculation[Source Row],ROW()-ROW(Payslip_Lookup[#Headers]))="","",INDEX(Salary_Calculation[Negative Balance / Amount Due from Rider],ROW()-ROW(Payslip_Lookup[#Headers])))</f>
        <v/>
      </c>
      <c r="AB372" s="176" t="str">
        <f aca="false">IF(INDEX(Salary_Calculation[Source Row],ROW()-ROW(Payslip_Lookup[#Headers]))="","",INDEX(Salary_Calculation[Total Amount Due from Rider],ROW()-ROW(Payslip_Lookup[#Headers])))</f>
        <v/>
      </c>
      <c r="AC372" s="176" t="str">
        <f aca="false">IF(INDEX(Salary_Calculation[Source Row],ROW()-ROW(Payslip_Lookup[#Headers]))="","",INDEX(Salary_Calculation[Salary Before Other Deductions],ROW()-ROW(Payslip_Lookup[#Headers])))</f>
        <v/>
      </c>
      <c r="AD372" s="171" t="str">
        <f aca="false">IF(INDEX(Salary_Calculation[Source Row],ROW()-ROW(Payslip_Lookup[#Headers]))="","",INDEX(Salary_Calculation[Payment Status],ROW()-ROW(Payslip_Lookup[#Headers])))</f>
        <v/>
      </c>
      <c r="AE372" s="171" t="str">
        <f aca="false">IF(INDEX(Salary_Calculation[Source Row],ROW()-ROW(Payslip_Lookup[#Headers]))="","",INDEX(Salary_Calculation[Notes],ROW()-ROW(Payslip_Lookup[#Headers])))</f>
        <v/>
      </c>
      <c r="AF372" s="171" t="str">
        <f aca="false">IF(INDEX(Salary_Calculation[Source Row],ROW()-ROW(Payslip_Lookup[#Headers]))="","",INDEX(Salary_Calculation[Exception Reason],ROW()-ROW(Payslip_Lookup[#Headers])))</f>
        <v/>
      </c>
      <c r="AG372" s="173" t="str">
        <f aca="false">IF($AD372="Review Required",COUNTIF(AD$2:AD372,"Review Required"),"")</f>
        <v/>
      </c>
      <c r="AH372" s="173" t="str">
        <f aca="false">IF(AND($D372&lt;&gt;"",$B372=Payslip_Print!$C$2),MAX(AH$1:AH371)+1,"")</f>
        <v/>
      </c>
      <c r="AL372" s="178" t="str">
        <f aca="false">IFERROR(INDEX($D$2:$D$501,MATCH(ROW()-1,$AH$2:$AH$501,0)),"")</f>
        <v/>
      </c>
      <c r="AM372" s="179" t="str">
        <f aca="false">IF($Z372="","",IF(AND($C372&gt;=Dash_Start,$C372&lt;Dash_End),$Z372+ROW()/10000000,""))</f>
        <v/>
      </c>
    </row>
    <row r="373" customFormat="false" ht="14.25" hidden="false" customHeight="false" outlineLevel="0" collapsed="false">
      <c r="A373" s="171" t="str">
        <f aca="false">IF(Payslip_Lookup[[#This Row],[Rider ID]]="","",Payslip_Lookup[[#This Row],[Rider ID]]&amp;"|"&amp;Payslip_Lookup[[#This Row],[Month Key]])</f>
        <v/>
      </c>
      <c r="B373" s="172" t="str">
        <f aca="false">IF(ISNUMBER(Payslip_Lookup[[#This Row],[Salary Month]]),DATE(YEAR(Payslip_Lookup[[#This Row],[Salary Month]]),MONTH(Payslip_Lookup[[#This Row],[Salary Month]]),1),"")</f>
        <v/>
      </c>
      <c r="C373" s="172" t="str">
        <f aca="false">IF(INDEX(Salary_Calculation[Source Row],ROW()-ROW(Payslip_Lookup[#Headers]))="","",INDEX(Salary_Calculation[Salary Month],ROW()-ROW(Payslip_Lookup[#Headers])))</f>
        <v/>
      </c>
      <c r="D373" s="173" t="str">
        <f aca="false">IF(INDEX(Salary_Calculation[Source Row],ROW()-ROW(Payslip_Lookup[#Headers]))="","",INDEX(Salary_Calculation[Rider ID],ROW()-ROW(Payslip_Lookup[#Headers])))</f>
        <v/>
      </c>
      <c r="E373" s="171" t="str">
        <f aca="false">IF(INDEX(Salary_Calculation[Source Row],ROW()-ROW(Payslip_Lookup[#Headers]))="","",INDEX(Salary_Calculation[Rider Name],ROW()-ROW(Payslip_Lookup[#Headers])))</f>
        <v/>
      </c>
      <c r="F373" s="173" t="str">
        <f aca="false">IF(INDEX(Salary_Calculation[Source Row],ROW()-ROW(Payslip_Lookup[#Headers]))="","",INDEX(Salary_Calculation[Working Days],ROW()-ROW(Payslip_Lookup[#Headers])))</f>
        <v/>
      </c>
      <c r="G373" s="173" t="str">
        <f aca="false">IF(INDEX(Salary_Calculation[Source Row],ROW()-ROW(Payslip_Lookup[#Headers]))="","",INDEX(Salary_Calculation[Calendar Days],ROW()-ROW(Payslip_Lookup[#Headers])))</f>
        <v/>
      </c>
      <c r="H373" s="174" t="str">
        <f aca="false">IF(INDEX(Salary_Calculation[Source Row],ROW()-ROW(Payslip_Lookup[#Headers]))="","",INDEX(Salary_Calculation[Monthly Target Orders],ROW()-ROW(Payslip_Lookup[#Headers])))</f>
        <v/>
      </c>
      <c r="I373" s="174" t="str">
        <f aca="false">IF(INDEX(Salary_Calculation[Source Row],ROW()-ROW(Payslip_Lookup[#Headers]))="","",INDEX(Salary_Calculation[Rider Target Orders],ROW()-ROW(Payslip_Lookup[#Headers])))</f>
        <v/>
      </c>
      <c r="J373" s="175" t="str">
        <f aca="false">IF(INDEX(Salary_Calculation[Source Row],ROW()-ROW(Payslip_Lookup[#Headers]))="","",INDEX(Salary_Calculation[Completed Orders],ROW()-ROW(Payslip_Lookup[#Headers])))</f>
        <v/>
      </c>
      <c r="K373" s="174" t="str">
        <f aca="false">IF(INDEX(Salary_Calculation[Source Row],ROW()-ROW(Payslip_Lookup[#Headers]))="","",INDEX(Salary_Calculation[Base Order Rate],ROW()-ROW(Payslip_Lookup[#Headers])))</f>
        <v/>
      </c>
      <c r="L373" s="176" t="str">
        <f aca="false">IF(INDEX(Salary_Calculation[Source Row],ROW()-ROW(Payslip_Lookup[#Headers]))="","",INDEX(Salary_Calculation[Basic Payment],ROW()-ROW(Payslip_Lookup[#Headers])))</f>
        <v/>
      </c>
      <c r="M373" s="176" t="str">
        <f aca="false">IF(INDEX(Salary_Calculation[Source Row],ROW()-ROW(Payslip_Lookup[#Headers]))="","",INDEX(Salary_Calculation[Earned Salary],ROW()-ROW(Payslip_Lookup[#Headers])))</f>
        <v/>
      </c>
      <c r="N373" s="174" t="str">
        <f aca="false">IF(INDEX(Salary_Calculation[Source Row],ROW()-ROW(Payslip_Lookup[#Headers]))="","",INDEX(Salary_Calculation[Orders Counted at Base Rate],ROW()-ROW(Payslip_Lookup[#Headers])))</f>
        <v/>
      </c>
      <c r="O373" s="174" t="str">
        <f aca="false">IF(INDEX(Salary_Calculation[Source Row],ROW()-ROW(Payslip_Lookup[#Headers]))="","",INDEX(Salary_Calculation[Missing Orders],ROW()-ROW(Payslip_Lookup[#Headers])))</f>
        <v/>
      </c>
      <c r="P373" s="176" t="str">
        <f aca="false">IF(INDEX(Salary_Calculation[Source Row],ROW()-ROW(Payslip_Lookup[#Headers]))="","",INDEX(Salary_Calculation[Missing-Order Deduction],ROW()-ROW(Payslip_Lookup[#Headers])))</f>
        <v/>
      </c>
      <c r="Q373" s="174" t="str">
        <f aca="false">IF(INDEX(Salary_Calculation[Source Row],ROW()-ROW(Payslip_Lookup[#Headers]))="","",INDEX(Salary_Calculation[Extra Orders],ROW()-ROW(Payslip_Lookup[#Headers])))</f>
        <v/>
      </c>
      <c r="R373" s="176" t="str">
        <f aca="false">IF(INDEX(Salary_Calculation[Source Row],ROW()-ROW(Payslip_Lookup[#Headers]))="","",INDEX(Salary_Calculation[Extra-Order Bonus],ROW()-ROW(Payslip_Lookup[#Headers])))</f>
        <v/>
      </c>
      <c r="S373" s="176" t="str">
        <f aca="false">IF(INDEX(Salary_Calculation[Source Row],ROW()-ROW(Payslip_Lookup[#Headers]))="","",INDEX(Salary_Calculation[Basic Salary for Target],ROW()-ROW(Payslip_Lookup[#Headers])))</f>
        <v/>
      </c>
      <c r="T373" s="176" t="str">
        <f aca="false">IF(INDEX(Salary_Calculation[Source Row],ROW()-ROW(Payslip_Lookup[#Headers]))="","",INDEX(Salary_Calculation[Gross Salary Before Deductions],ROW()-ROW(Payslip_Lookup[#Headers])))</f>
        <v/>
      </c>
      <c r="U373" s="176" t="str">
        <f aca="false">IF(INDEX(Salary_Calculation[Source Row],ROW()-ROW(Payslip_Lookup[#Headers]))="","",INDEX(Salary_Calculation[missed_days_penalty],ROW()-ROW(Payslip_Lookup[#Headers])))</f>
        <v/>
      </c>
      <c r="V373" s="176" t="str">
        <f aca="false">IF(INDEX(Salary_Calculation[Source Row],ROW()-ROW(Payslip_Lookup[#Headers]))="","",INDEX(Salary_Calculation[Rider Balance],ROW()-ROW(Payslip_Lookup[#Headers])))</f>
        <v/>
      </c>
      <c r="W373" s="176" t="str">
        <f aca="false">IF(INDEX(Salary_Calculation[Source Row],ROW()-ROW(Payslip_Lookup[#Headers]))="","",INDEX(Salary_Calculation[stacking_deduction],ROW()-ROW(Payslip_Lookup[#Headers])))</f>
        <v/>
      </c>
      <c r="X373" s="176" t="str">
        <f aca="false">IF(INDEX(Salary_Calculation[Source Row],ROW()-ROW(Payslip_Lookup[#Headers]))="","",INDEX(Salary_Calculation[Other Deductions],ROW()-ROW(Payslip_Lookup[#Headers])))</f>
        <v/>
      </c>
      <c r="Y373" s="176" t="str">
        <f aca="false">IF(INDEX(Salary_Calculation[Source Row],ROW()-ROW(Payslip_Lookup[#Headers]))="","",INDEX(Salary_Calculation[Total Deductions],ROW()-ROW(Payslip_Lookup[#Headers])))</f>
        <v/>
      </c>
      <c r="Z373" s="176" t="str">
        <f aca="false">IF(INDEX(Salary_Calculation[Source Row],ROW()-ROW(Payslip_Lookup[#Headers]))="","",INDEX(Salary_Calculation[Final Salary],ROW()-ROW(Payslip_Lookup[#Headers])))</f>
        <v/>
      </c>
      <c r="AA373" s="176" t="str">
        <f aca="false">IF(INDEX(Salary_Calculation[Source Row],ROW()-ROW(Payslip_Lookup[#Headers]))="","",INDEX(Salary_Calculation[Negative Balance / Amount Due from Rider],ROW()-ROW(Payslip_Lookup[#Headers])))</f>
        <v/>
      </c>
      <c r="AB373" s="176" t="str">
        <f aca="false">IF(INDEX(Salary_Calculation[Source Row],ROW()-ROW(Payslip_Lookup[#Headers]))="","",INDEX(Salary_Calculation[Total Amount Due from Rider],ROW()-ROW(Payslip_Lookup[#Headers])))</f>
        <v/>
      </c>
      <c r="AC373" s="176" t="str">
        <f aca="false">IF(INDEX(Salary_Calculation[Source Row],ROW()-ROW(Payslip_Lookup[#Headers]))="","",INDEX(Salary_Calculation[Salary Before Other Deductions],ROW()-ROW(Payslip_Lookup[#Headers])))</f>
        <v/>
      </c>
      <c r="AD373" s="171" t="str">
        <f aca="false">IF(INDEX(Salary_Calculation[Source Row],ROW()-ROW(Payslip_Lookup[#Headers]))="","",INDEX(Salary_Calculation[Payment Status],ROW()-ROW(Payslip_Lookup[#Headers])))</f>
        <v/>
      </c>
      <c r="AE373" s="171" t="str">
        <f aca="false">IF(INDEX(Salary_Calculation[Source Row],ROW()-ROW(Payslip_Lookup[#Headers]))="","",INDEX(Salary_Calculation[Notes],ROW()-ROW(Payslip_Lookup[#Headers])))</f>
        <v/>
      </c>
      <c r="AF373" s="171" t="str">
        <f aca="false">IF(INDEX(Salary_Calculation[Source Row],ROW()-ROW(Payslip_Lookup[#Headers]))="","",INDEX(Salary_Calculation[Exception Reason],ROW()-ROW(Payslip_Lookup[#Headers])))</f>
        <v/>
      </c>
      <c r="AG373" s="173" t="str">
        <f aca="false">IF($AD373="Review Required",COUNTIF(AD$2:AD373,"Review Required"),"")</f>
        <v/>
      </c>
      <c r="AH373" s="173" t="str">
        <f aca="false">IF(AND($D373&lt;&gt;"",$B373=Payslip_Print!$C$2),MAX(AH$1:AH372)+1,"")</f>
        <v/>
      </c>
      <c r="AL373" s="178" t="str">
        <f aca="false">IFERROR(INDEX($D$2:$D$501,MATCH(ROW()-1,$AH$2:$AH$501,0)),"")</f>
        <v/>
      </c>
      <c r="AM373" s="179" t="str">
        <f aca="false">IF($Z373="","",IF(AND($C373&gt;=Dash_Start,$C373&lt;Dash_End),$Z373+ROW()/10000000,""))</f>
        <v/>
      </c>
    </row>
    <row r="374" customFormat="false" ht="14.25" hidden="false" customHeight="false" outlineLevel="0" collapsed="false">
      <c r="A374" s="171" t="str">
        <f aca="false">IF(Payslip_Lookup[[#This Row],[Rider ID]]="","",Payslip_Lookup[[#This Row],[Rider ID]]&amp;"|"&amp;Payslip_Lookup[[#This Row],[Month Key]])</f>
        <v/>
      </c>
      <c r="B374" s="172" t="str">
        <f aca="false">IF(ISNUMBER(Payslip_Lookup[[#This Row],[Salary Month]]),DATE(YEAR(Payslip_Lookup[[#This Row],[Salary Month]]),MONTH(Payslip_Lookup[[#This Row],[Salary Month]]),1),"")</f>
        <v/>
      </c>
      <c r="C374" s="172" t="str">
        <f aca="false">IF(INDEX(Salary_Calculation[Source Row],ROW()-ROW(Payslip_Lookup[#Headers]))="","",INDEX(Salary_Calculation[Salary Month],ROW()-ROW(Payslip_Lookup[#Headers])))</f>
        <v/>
      </c>
      <c r="D374" s="173" t="str">
        <f aca="false">IF(INDEX(Salary_Calculation[Source Row],ROW()-ROW(Payslip_Lookup[#Headers]))="","",INDEX(Salary_Calculation[Rider ID],ROW()-ROW(Payslip_Lookup[#Headers])))</f>
        <v/>
      </c>
      <c r="E374" s="171" t="str">
        <f aca="false">IF(INDEX(Salary_Calculation[Source Row],ROW()-ROW(Payslip_Lookup[#Headers]))="","",INDEX(Salary_Calculation[Rider Name],ROW()-ROW(Payslip_Lookup[#Headers])))</f>
        <v/>
      </c>
      <c r="F374" s="173" t="str">
        <f aca="false">IF(INDEX(Salary_Calculation[Source Row],ROW()-ROW(Payslip_Lookup[#Headers]))="","",INDEX(Salary_Calculation[Working Days],ROW()-ROW(Payslip_Lookup[#Headers])))</f>
        <v/>
      </c>
      <c r="G374" s="173" t="str">
        <f aca="false">IF(INDEX(Salary_Calculation[Source Row],ROW()-ROW(Payslip_Lookup[#Headers]))="","",INDEX(Salary_Calculation[Calendar Days],ROW()-ROW(Payslip_Lookup[#Headers])))</f>
        <v/>
      </c>
      <c r="H374" s="174" t="str">
        <f aca="false">IF(INDEX(Salary_Calculation[Source Row],ROW()-ROW(Payslip_Lookup[#Headers]))="","",INDEX(Salary_Calculation[Monthly Target Orders],ROW()-ROW(Payslip_Lookup[#Headers])))</f>
        <v/>
      </c>
      <c r="I374" s="174" t="str">
        <f aca="false">IF(INDEX(Salary_Calculation[Source Row],ROW()-ROW(Payslip_Lookup[#Headers]))="","",INDEX(Salary_Calculation[Rider Target Orders],ROW()-ROW(Payslip_Lookup[#Headers])))</f>
        <v/>
      </c>
      <c r="J374" s="175" t="str">
        <f aca="false">IF(INDEX(Salary_Calculation[Source Row],ROW()-ROW(Payslip_Lookup[#Headers]))="","",INDEX(Salary_Calculation[Completed Orders],ROW()-ROW(Payslip_Lookup[#Headers])))</f>
        <v/>
      </c>
      <c r="K374" s="174" t="str">
        <f aca="false">IF(INDEX(Salary_Calculation[Source Row],ROW()-ROW(Payslip_Lookup[#Headers]))="","",INDEX(Salary_Calculation[Base Order Rate],ROW()-ROW(Payslip_Lookup[#Headers])))</f>
        <v/>
      </c>
      <c r="L374" s="176" t="str">
        <f aca="false">IF(INDEX(Salary_Calculation[Source Row],ROW()-ROW(Payslip_Lookup[#Headers]))="","",INDEX(Salary_Calculation[Basic Payment],ROW()-ROW(Payslip_Lookup[#Headers])))</f>
        <v/>
      </c>
      <c r="M374" s="176" t="str">
        <f aca="false">IF(INDEX(Salary_Calculation[Source Row],ROW()-ROW(Payslip_Lookup[#Headers]))="","",INDEX(Salary_Calculation[Earned Salary],ROW()-ROW(Payslip_Lookup[#Headers])))</f>
        <v/>
      </c>
      <c r="N374" s="174" t="str">
        <f aca="false">IF(INDEX(Salary_Calculation[Source Row],ROW()-ROW(Payslip_Lookup[#Headers]))="","",INDEX(Salary_Calculation[Orders Counted at Base Rate],ROW()-ROW(Payslip_Lookup[#Headers])))</f>
        <v/>
      </c>
      <c r="O374" s="174" t="str">
        <f aca="false">IF(INDEX(Salary_Calculation[Source Row],ROW()-ROW(Payslip_Lookup[#Headers]))="","",INDEX(Salary_Calculation[Missing Orders],ROW()-ROW(Payslip_Lookup[#Headers])))</f>
        <v/>
      </c>
      <c r="P374" s="176" t="str">
        <f aca="false">IF(INDEX(Salary_Calculation[Source Row],ROW()-ROW(Payslip_Lookup[#Headers]))="","",INDEX(Salary_Calculation[Missing-Order Deduction],ROW()-ROW(Payslip_Lookup[#Headers])))</f>
        <v/>
      </c>
      <c r="Q374" s="174" t="str">
        <f aca="false">IF(INDEX(Salary_Calculation[Source Row],ROW()-ROW(Payslip_Lookup[#Headers]))="","",INDEX(Salary_Calculation[Extra Orders],ROW()-ROW(Payslip_Lookup[#Headers])))</f>
        <v/>
      </c>
      <c r="R374" s="176" t="str">
        <f aca="false">IF(INDEX(Salary_Calculation[Source Row],ROW()-ROW(Payslip_Lookup[#Headers]))="","",INDEX(Salary_Calculation[Extra-Order Bonus],ROW()-ROW(Payslip_Lookup[#Headers])))</f>
        <v/>
      </c>
      <c r="S374" s="176" t="str">
        <f aca="false">IF(INDEX(Salary_Calculation[Source Row],ROW()-ROW(Payslip_Lookup[#Headers]))="","",INDEX(Salary_Calculation[Basic Salary for Target],ROW()-ROW(Payslip_Lookup[#Headers])))</f>
        <v/>
      </c>
      <c r="T374" s="176" t="str">
        <f aca="false">IF(INDEX(Salary_Calculation[Source Row],ROW()-ROW(Payslip_Lookup[#Headers]))="","",INDEX(Salary_Calculation[Gross Salary Before Deductions],ROW()-ROW(Payslip_Lookup[#Headers])))</f>
        <v/>
      </c>
      <c r="U374" s="176" t="str">
        <f aca="false">IF(INDEX(Salary_Calculation[Source Row],ROW()-ROW(Payslip_Lookup[#Headers]))="","",INDEX(Salary_Calculation[missed_days_penalty],ROW()-ROW(Payslip_Lookup[#Headers])))</f>
        <v/>
      </c>
      <c r="V374" s="176" t="str">
        <f aca="false">IF(INDEX(Salary_Calculation[Source Row],ROW()-ROW(Payslip_Lookup[#Headers]))="","",INDEX(Salary_Calculation[Rider Balance],ROW()-ROW(Payslip_Lookup[#Headers])))</f>
        <v/>
      </c>
      <c r="W374" s="176" t="str">
        <f aca="false">IF(INDEX(Salary_Calculation[Source Row],ROW()-ROW(Payslip_Lookup[#Headers]))="","",INDEX(Salary_Calculation[stacking_deduction],ROW()-ROW(Payslip_Lookup[#Headers])))</f>
        <v/>
      </c>
      <c r="X374" s="176" t="str">
        <f aca="false">IF(INDEX(Salary_Calculation[Source Row],ROW()-ROW(Payslip_Lookup[#Headers]))="","",INDEX(Salary_Calculation[Other Deductions],ROW()-ROW(Payslip_Lookup[#Headers])))</f>
        <v/>
      </c>
      <c r="Y374" s="176" t="str">
        <f aca="false">IF(INDEX(Salary_Calculation[Source Row],ROW()-ROW(Payslip_Lookup[#Headers]))="","",INDEX(Salary_Calculation[Total Deductions],ROW()-ROW(Payslip_Lookup[#Headers])))</f>
        <v/>
      </c>
      <c r="Z374" s="176" t="str">
        <f aca="false">IF(INDEX(Salary_Calculation[Source Row],ROW()-ROW(Payslip_Lookup[#Headers]))="","",INDEX(Salary_Calculation[Final Salary],ROW()-ROW(Payslip_Lookup[#Headers])))</f>
        <v/>
      </c>
      <c r="AA374" s="176" t="str">
        <f aca="false">IF(INDEX(Salary_Calculation[Source Row],ROW()-ROW(Payslip_Lookup[#Headers]))="","",INDEX(Salary_Calculation[Negative Balance / Amount Due from Rider],ROW()-ROW(Payslip_Lookup[#Headers])))</f>
        <v/>
      </c>
      <c r="AB374" s="176" t="str">
        <f aca="false">IF(INDEX(Salary_Calculation[Source Row],ROW()-ROW(Payslip_Lookup[#Headers]))="","",INDEX(Salary_Calculation[Total Amount Due from Rider],ROW()-ROW(Payslip_Lookup[#Headers])))</f>
        <v/>
      </c>
      <c r="AC374" s="176" t="str">
        <f aca="false">IF(INDEX(Salary_Calculation[Source Row],ROW()-ROW(Payslip_Lookup[#Headers]))="","",INDEX(Salary_Calculation[Salary Before Other Deductions],ROW()-ROW(Payslip_Lookup[#Headers])))</f>
        <v/>
      </c>
      <c r="AD374" s="171" t="str">
        <f aca="false">IF(INDEX(Salary_Calculation[Source Row],ROW()-ROW(Payslip_Lookup[#Headers]))="","",INDEX(Salary_Calculation[Payment Status],ROW()-ROW(Payslip_Lookup[#Headers])))</f>
        <v/>
      </c>
      <c r="AE374" s="171" t="str">
        <f aca="false">IF(INDEX(Salary_Calculation[Source Row],ROW()-ROW(Payslip_Lookup[#Headers]))="","",INDEX(Salary_Calculation[Notes],ROW()-ROW(Payslip_Lookup[#Headers])))</f>
        <v/>
      </c>
      <c r="AF374" s="171" t="str">
        <f aca="false">IF(INDEX(Salary_Calculation[Source Row],ROW()-ROW(Payslip_Lookup[#Headers]))="","",INDEX(Salary_Calculation[Exception Reason],ROW()-ROW(Payslip_Lookup[#Headers])))</f>
        <v/>
      </c>
      <c r="AG374" s="173" t="str">
        <f aca="false">IF($AD374="Review Required",COUNTIF(AD$2:AD374,"Review Required"),"")</f>
        <v/>
      </c>
      <c r="AH374" s="173" t="str">
        <f aca="false">IF(AND($D374&lt;&gt;"",$B374=Payslip_Print!$C$2),MAX(AH$1:AH373)+1,"")</f>
        <v/>
      </c>
      <c r="AL374" s="178" t="str">
        <f aca="false">IFERROR(INDEX($D$2:$D$501,MATCH(ROW()-1,$AH$2:$AH$501,0)),"")</f>
        <v/>
      </c>
      <c r="AM374" s="179" t="str">
        <f aca="false">IF($Z374="","",IF(AND($C374&gt;=Dash_Start,$C374&lt;Dash_End),$Z374+ROW()/10000000,""))</f>
        <v/>
      </c>
    </row>
    <row r="375" customFormat="false" ht="14.25" hidden="false" customHeight="false" outlineLevel="0" collapsed="false">
      <c r="A375" s="171" t="str">
        <f aca="false">IF(Payslip_Lookup[[#This Row],[Rider ID]]="","",Payslip_Lookup[[#This Row],[Rider ID]]&amp;"|"&amp;Payslip_Lookup[[#This Row],[Month Key]])</f>
        <v/>
      </c>
      <c r="B375" s="172" t="str">
        <f aca="false">IF(ISNUMBER(Payslip_Lookup[[#This Row],[Salary Month]]),DATE(YEAR(Payslip_Lookup[[#This Row],[Salary Month]]),MONTH(Payslip_Lookup[[#This Row],[Salary Month]]),1),"")</f>
        <v/>
      </c>
      <c r="C375" s="172" t="str">
        <f aca="false">IF(INDEX(Salary_Calculation[Source Row],ROW()-ROW(Payslip_Lookup[#Headers]))="","",INDEX(Salary_Calculation[Salary Month],ROW()-ROW(Payslip_Lookup[#Headers])))</f>
        <v/>
      </c>
      <c r="D375" s="173" t="str">
        <f aca="false">IF(INDEX(Salary_Calculation[Source Row],ROW()-ROW(Payslip_Lookup[#Headers]))="","",INDEX(Salary_Calculation[Rider ID],ROW()-ROW(Payslip_Lookup[#Headers])))</f>
        <v/>
      </c>
      <c r="E375" s="171" t="str">
        <f aca="false">IF(INDEX(Salary_Calculation[Source Row],ROW()-ROW(Payslip_Lookup[#Headers]))="","",INDEX(Salary_Calculation[Rider Name],ROW()-ROW(Payslip_Lookup[#Headers])))</f>
        <v/>
      </c>
      <c r="F375" s="173" t="str">
        <f aca="false">IF(INDEX(Salary_Calculation[Source Row],ROW()-ROW(Payslip_Lookup[#Headers]))="","",INDEX(Salary_Calculation[Working Days],ROW()-ROW(Payslip_Lookup[#Headers])))</f>
        <v/>
      </c>
      <c r="G375" s="173" t="str">
        <f aca="false">IF(INDEX(Salary_Calculation[Source Row],ROW()-ROW(Payslip_Lookup[#Headers]))="","",INDEX(Salary_Calculation[Calendar Days],ROW()-ROW(Payslip_Lookup[#Headers])))</f>
        <v/>
      </c>
      <c r="H375" s="174" t="str">
        <f aca="false">IF(INDEX(Salary_Calculation[Source Row],ROW()-ROW(Payslip_Lookup[#Headers]))="","",INDEX(Salary_Calculation[Monthly Target Orders],ROW()-ROW(Payslip_Lookup[#Headers])))</f>
        <v/>
      </c>
      <c r="I375" s="174" t="str">
        <f aca="false">IF(INDEX(Salary_Calculation[Source Row],ROW()-ROW(Payslip_Lookup[#Headers]))="","",INDEX(Salary_Calculation[Rider Target Orders],ROW()-ROW(Payslip_Lookup[#Headers])))</f>
        <v/>
      </c>
      <c r="J375" s="175" t="str">
        <f aca="false">IF(INDEX(Salary_Calculation[Source Row],ROW()-ROW(Payslip_Lookup[#Headers]))="","",INDEX(Salary_Calculation[Completed Orders],ROW()-ROW(Payslip_Lookup[#Headers])))</f>
        <v/>
      </c>
      <c r="K375" s="174" t="str">
        <f aca="false">IF(INDEX(Salary_Calculation[Source Row],ROW()-ROW(Payslip_Lookup[#Headers]))="","",INDEX(Salary_Calculation[Base Order Rate],ROW()-ROW(Payslip_Lookup[#Headers])))</f>
        <v/>
      </c>
      <c r="L375" s="176" t="str">
        <f aca="false">IF(INDEX(Salary_Calculation[Source Row],ROW()-ROW(Payslip_Lookup[#Headers]))="","",INDEX(Salary_Calculation[Basic Payment],ROW()-ROW(Payslip_Lookup[#Headers])))</f>
        <v/>
      </c>
      <c r="M375" s="176" t="str">
        <f aca="false">IF(INDEX(Salary_Calculation[Source Row],ROW()-ROW(Payslip_Lookup[#Headers]))="","",INDEX(Salary_Calculation[Earned Salary],ROW()-ROW(Payslip_Lookup[#Headers])))</f>
        <v/>
      </c>
      <c r="N375" s="174" t="str">
        <f aca="false">IF(INDEX(Salary_Calculation[Source Row],ROW()-ROW(Payslip_Lookup[#Headers]))="","",INDEX(Salary_Calculation[Orders Counted at Base Rate],ROW()-ROW(Payslip_Lookup[#Headers])))</f>
        <v/>
      </c>
      <c r="O375" s="174" t="str">
        <f aca="false">IF(INDEX(Salary_Calculation[Source Row],ROW()-ROW(Payslip_Lookup[#Headers]))="","",INDEX(Salary_Calculation[Missing Orders],ROW()-ROW(Payslip_Lookup[#Headers])))</f>
        <v/>
      </c>
      <c r="P375" s="176" t="str">
        <f aca="false">IF(INDEX(Salary_Calculation[Source Row],ROW()-ROW(Payslip_Lookup[#Headers]))="","",INDEX(Salary_Calculation[Missing-Order Deduction],ROW()-ROW(Payslip_Lookup[#Headers])))</f>
        <v/>
      </c>
      <c r="Q375" s="174" t="str">
        <f aca="false">IF(INDEX(Salary_Calculation[Source Row],ROW()-ROW(Payslip_Lookup[#Headers]))="","",INDEX(Salary_Calculation[Extra Orders],ROW()-ROW(Payslip_Lookup[#Headers])))</f>
        <v/>
      </c>
      <c r="R375" s="176" t="str">
        <f aca="false">IF(INDEX(Salary_Calculation[Source Row],ROW()-ROW(Payslip_Lookup[#Headers]))="","",INDEX(Salary_Calculation[Extra-Order Bonus],ROW()-ROW(Payslip_Lookup[#Headers])))</f>
        <v/>
      </c>
      <c r="S375" s="176" t="str">
        <f aca="false">IF(INDEX(Salary_Calculation[Source Row],ROW()-ROW(Payslip_Lookup[#Headers]))="","",INDEX(Salary_Calculation[Basic Salary for Target],ROW()-ROW(Payslip_Lookup[#Headers])))</f>
        <v/>
      </c>
      <c r="T375" s="176" t="str">
        <f aca="false">IF(INDEX(Salary_Calculation[Source Row],ROW()-ROW(Payslip_Lookup[#Headers]))="","",INDEX(Salary_Calculation[Gross Salary Before Deductions],ROW()-ROW(Payslip_Lookup[#Headers])))</f>
        <v/>
      </c>
      <c r="U375" s="176" t="str">
        <f aca="false">IF(INDEX(Salary_Calculation[Source Row],ROW()-ROW(Payslip_Lookup[#Headers]))="","",INDEX(Salary_Calculation[missed_days_penalty],ROW()-ROW(Payslip_Lookup[#Headers])))</f>
        <v/>
      </c>
      <c r="V375" s="176" t="str">
        <f aca="false">IF(INDEX(Salary_Calculation[Source Row],ROW()-ROW(Payslip_Lookup[#Headers]))="","",INDEX(Salary_Calculation[Rider Balance],ROW()-ROW(Payslip_Lookup[#Headers])))</f>
        <v/>
      </c>
      <c r="W375" s="176" t="str">
        <f aca="false">IF(INDEX(Salary_Calculation[Source Row],ROW()-ROW(Payslip_Lookup[#Headers]))="","",INDEX(Salary_Calculation[stacking_deduction],ROW()-ROW(Payslip_Lookup[#Headers])))</f>
        <v/>
      </c>
      <c r="X375" s="176" t="str">
        <f aca="false">IF(INDEX(Salary_Calculation[Source Row],ROW()-ROW(Payslip_Lookup[#Headers]))="","",INDEX(Salary_Calculation[Other Deductions],ROW()-ROW(Payslip_Lookup[#Headers])))</f>
        <v/>
      </c>
      <c r="Y375" s="176" t="str">
        <f aca="false">IF(INDEX(Salary_Calculation[Source Row],ROW()-ROW(Payslip_Lookup[#Headers]))="","",INDEX(Salary_Calculation[Total Deductions],ROW()-ROW(Payslip_Lookup[#Headers])))</f>
        <v/>
      </c>
      <c r="Z375" s="176" t="str">
        <f aca="false">IF(INDEX(Salary_Calculation[Source Row],ROW()-ROW(Payslip_Lookup[#Headers]))="","",INDEX(Salary_Calculation[Final Salary],ROW()-ROW(Payslip_Lookup[#Headers])))</f>
        <v/>
      </c>
      <c r="AA375" s="176" t="str">
        <f aca="false">IF(INDEX(Salary_Calculation[Source Row],ROW()-ROW(Payslip_Lookup[#Headers]))="","",INDEX(Salary_Calculation[Negative Balance / Amount Due from Rider],ROW()-ROW(Payslip_Lookup[#Headers])))</f>
        <v/>
      </c>
      <c r="AB375" s="176" t="str">
        <f aca="false">IF(INDEX(Salary_Calculation[Source Row],ROW()-ROW(Payslip_Lookup[#Headers]))="","",INDEX(Salary_Calculation[Total Amount Due from Rider],ROW()-ROW(Payslip_Lookup[#Headers])))</f>
        <v/>
      </c>
      <c r="AC375" s="176" t="str">
        <f aca="false">IF(INDEX(Salary_Calculation[Source Row],ROW()-ROW(Payslip_Lookup[#Headers]))="","",INDEX(Salary_Calculation[Salary Before Other Deductions],ROW()-ROW(Payslip_Lookup[#Headers])))</f>
        <v/>
      </c>
      <c r="AD375" s="171" t="str">
        <f aca="false">IF(INDEX(Salary_Calculation[Source Row],ROW()-ROW(Payslip_Lookup[#Headers]))="","",INDEX(Salary_Calculation[Payment Status],ROW()-ROW(Payslip_Lookup[#Headers])))</f>
        <v/>
      </c>
      <c r="AE375" s="171" t="str">
        <f aca="false">IF(INDEX(Salary_Calculation[Source Row],ROW()-ROW(Payslip_Lookup[#Headers]))="","",INDEX(Salary_Calculation[Notes],ROW()-ROW(Payslip_Lookup[#Headers])))</f>
        <v/>
      </c>
      <c r="AF375" s="171" t="str">
        <f aca="false">IF(INDEX(Salary_Calculation[Source Row],ROW()-ROW(Payslip_Lookup[#Headers]))="","",INDEX(Salary_Calculation[Exception Reason],ROW()-ROW(Payslip_Lookup[#Headers])))</f>
        <v/>
      </c>
      <c r="AG375" s="173" t="str">
        <f aca="false">IF($AD375="Review Required",COUNTIF(AD$2:AD375,"Review Required"),"")</f>
        <v/>
      </c>
      <c r="AH375" s="173" t="str">
        <f aca="false">IF(AND($D375&lt;&gt;"",$B375=Payslip_Print!$C$2),MAX(AH$1:AH374)+1,"")</f>
        <v/>
      </c>
      <c r="AL375" s="178" t="str">
        <f aca="false">IFERROR(INDEX($D$2:$D$501,MATCH(ROW()-1,$AH$2:$AH$501,0)),"")</f>
        <v/>
      </c>
      <c r="AM375" s="179" t="str">
        <f aca="false">IF($Z375="","",IF(AND($C375&gt;=Dash_Start,$C375&lt;Dash_End),$Z375+ROW()/10000000,""))</f>
        <v/>
      </c>
    </row>
    <row r="376" customFormat="false" ht="14.25" hidden="false" customHeight="false" outlineLevel="0" collapsed="false">
      <c r="A376" s="171" t="str">
        <f aca="false">IF(Payslip_Lookup[[#This Row],[Rider ID]]="","",Payslip_Lookup[[#This Row],[Rider ID]]&amp;"|"&amp;Payslip_Lookup[[#This Row],[Month Key]])</f>
        <v/>
      </c>
      <c r="B376" s="172" t="str">
        <f aca="false">IF(ISNUMBER(Payslip_Lookup[[#This Row],[Salary Month]]),DATE(YEAR(Payslip_Lookup[[#This Row],[Salary Month]]),MONTH(Payslip_Lookup[[#This Row],[Salary Month]]),1),"")</f>
        <v/>
      </c>
      <c r="C376" s="172" t="str">
        <f aca="false">IF(INDEX(Salary_Calculation[Source Row],ROW()-ROW(Payslip_Lookup[#Headers]))="","",INDEX(Salary_Calculation[Salary Month],ROW()-ROW(Payslip_Lookup[#Headers])))</f>
        <v/>
      </c>
      <c r="D376" s="173" t="str">
        <f aca="false">IF(INDEX(Salary_Calculation[Source Row],ROW()-ROW(Payslip_Lookup[#Headers]))="","",INDEX(Salary_Calculation[Rider ID],ROW()-ROW(Payslip_Lookup[#Headers])))</f>
        <v/>
      </c>
      <c r="E376" s="171" t="str">
        <f aca="false">IF(INDEX(Salary_Calculation[Source Row],ROW()-ROW(Payslip_Lookup[#Headers]))="","",INDEX(Salary_Calculation[Rider Name],ROW()-ROW(Payslip_Lookup[#Headers])))</f>
        <v/>
      </c>
      <c r="F376" s="173" t="str">
        <f aca="false">IF(INDEX(Salary_Calculation[Source Row],ROW()-ROW(Payslip_Lookup[#Headers]))="","",INDEX(Salary_Calculation[Working Days],ROW()-ROW(Payslip_Lookup[#Headers])))</f>
        <v/>
      </c>
      <c r="G376" s="173" t="str">
        <f aca="false">IF(INDEX(Salary_Calculation[Source Row],ROW()-ROW(Payslip_Lookup[#Headers]))="","",INDEX(Salary_Calculation[Calendar Days],ROW()-ROW(Payslip_Lookup[#Headers])))</f>
        <v/>
      </c>
      <c r="H376" s="174" t="str">
        <f aca="false">IF(INDEX(Salary_Calculation[Source Row],ROW()-ROW(Payslip_Lookup[#Headers]))="","",INDEX(Salary_Calculation[Monthly Target Orders],ROW()-ROW(Payslip_Lookup[#Headers])))</f>
        <v/>
      </c>
      <c r="I376" s="174" t="str">
        <f aca="false">IF(INDEX(Salary_Calculation[Source Row],ROW()-ROW(Payslip_Lookup[#Headers]))="","",INDEX(Salary_Calculation[Rider Target Orders],ROW()-ROW(Payslip_Lookup[#Headers])))</f>
        <v/>
      </c>
      <c r="J376" s="175" t="str">
        <f aca="false">IF(INDEX(Salary_Calculation[Source Row],ROW()-ROW(Payslip_Lookup[#Headers]))="","",INDEX(Salary_Calculation[Completed Orders],ROW()-ROW(Payslip_Lookup[#Headers])))</f>
        <v/>
      </c>
      <c r="K376" s="174" t="str">
        <f aca="false">IF(INDEX(Salary_Calculation[Source Row],ROW()-ROW(Payslip_Lookup[#Headers]))="","",INDEX(Salary_Calculation[Base Order Rate],ROW()-ROW(Payslip_Lookup[#Headers])))</f>
        <v/>
      </c>
      <c r="L376" s="176" t="str">
        <f aca="false">IF(INDEX(Salary_Calculation[Source Row],ROW()-ROW(Payslip_Lookup[#Headers]))="","",INDEX(Salary_Calculation[Basic Payment],ROW()-ROW(Payslip_Lookup[#Headers])))</f>
        <v/>
      </c>
      <c r="M376" s="176" t="str">
        <f aca="false">IF(INDEX(Salary_Calculation[Source Row],ROW()-ROW(Payslip_Lookup[#Headers]))="","",INDEX(Salary_Calculation[Earned Salary],ROW()-ROW(Payslip_Lookup[#Headers])))</f>
        <v/>
      </c>
      <c r="N376" s="174" t="str">
        <f aca="false">IF(INDEX(Salary_Calculation[Source Row],ROW()-ROW(Payslip_Lookup[#Headers]))="","",INDEX(Salary_Calculation[Orders Counted at Base Rate],ROW()-ROW(Payslip_Lookup[#Headers])))</f>
        <v/>
      </c>
      <c r="O376" s="174" t="str">
        <f aca="false">IF(INDEX(Salary_Calculation[Source Row],ROW()-ROW(Payslip_Lookup[#Headers]))="","",INDEX(Salary_Calculation[Missing Orders],ROW()-ROW(Payslip_Lookup[#Headers])))</f>
        <v/>
      </c>
      <c r="P376" s="176" t="str">
        <f aca="false">IF(INDEX(Salary_Calculation[Source Row],ROW()-ROW(Payslip_Lookup[#Headers]))="","",INDEX(Salary_Calculation[Missing-Order Deduction],ROW()-ROW(Payslip_Lookup[#Headers])))</f>
        <v/>
      </c>
      <c r="Q376" s="174" t="str">
        <f aca="false">IF(INDEX(Salary_Calculation[Source Row],ROW()-ROW(Payslip_Lookup[#Headers]))="","",INDEX(Salary_Calculation[Extra Orders],ROW()-ROW(Payslip_Lookup[#Headers])))</f>
        <v/>
      </c>
      <c r="R376" s="176" t="str">
        <f aca="false">IF(INDEX(Salary_Calculation[Source Row],ROW()-ROW(Payslip_Lookup[#Headers]))="","",INDEX(Salary_Calculation[Extra-Order Bonus],ROW()-ROW(Payslip_Lookup[#Headers])))</f>
        <v/>
      </c>
      <c r="S376" s="176" t="str">
        <f aca="false">IF(INDEX(Salary_Calculation[Source Row],ROW()-ROW(Payslip_Lookup[#Headers]))="","",INDEX(Salary_Calculation[Basic Salary for Target],ROW()-ROW(Payslip_Lookup[#Headers])))</f>
        <v/>
      </c>
      <c r="T376" s="176" t="str">
        <f aca="false">IF(INDEX(Salary_Calculation[Source Row],ROW()-ROW(Payslip_Lookup[#Headers]))="","",INDEX(Salary_Calculation[Gross Salary Before Deductions],ROW()-ROW(Payslip_Lookup[#Headers])))</f>
        <v/>
      </c>
      <c r="U376" s="176" t="str">
        <f aca="false">IF(INDEX(Salary_Calculation[Source Row],ROW()-ROW(Payslip_Lookup[#Headers]))="","",INDEX(Salary_Calculation[missed_days_penalty],ROW()-ROW(Payslip_Lookup[#Headers])))</f>
        <v/>
      </c>
      <c r="V376" s="176" t="str">
        <f aca="false">IF(INDEX(Salary_Calculation[Source Row],ROW()-ROW(Payslip_Lookup[#Headers]))="","",INDEX(Salary_Calculation[Rider Balance],ROW()-ROW(Payslip_Lookup[#Headers])))</f>
        <v/>
      </c>
      <c r="W376" s="176" t="str">
        <f aca="false">IF(INDEX(Salary_Calculation[Source Row],ROW()-ROW(Payslip_Lookup[#Headers]))="","",INDEX(Salary_Calculation[stacking_deduction],ROW()-ROW(Payslip_Lookup[#Headers])))</f>
        <v/>
      </c>
      <c r="X376" s="176" t="str">
        <f aca="false">IF(INDEX(Salary_Calculation[Source Row],ROW()-ROW(Payslip_Lookup[#Headers]))="","",INDEX(Salary_Calculation[Other Deductions],ROW()-ROW(Payslip_Lookup[#Headers])))</f>
        <v/>
      </c>
      <c r="Y376" s="176" t="str">
        <f aca="false">IF(INDEX(Salary_Calculation[Source Row],ROW()-ROW(Payslip_Lookup[#Headers]))="","",INDEX(Salary_Calculation[Total Deductions],ROW()-ROW(Payslip_Lookup[#Headers])))</f>
        <v/>
      </c>
      <c r="Z376" s="176" t="str">
        <f aca="false">IF(INDEX(Salary_Calculation[Source Row],ROW()-ROW(Payslip_Lookup[#Headers]))="","",INDEX(Salary_Calculation[Final Salary],ROW()-ROW(Payslip_Lookup[#Headers])))</f>
        <v/>
      </c>
      <c r="AA376" s="176" t="str">
        <f aca="false">IF(INDEX(Salary_Calculation[Source Row],ROW()-ROW(Payslip_Lookup[#Headers]))="","",INDEX(Salary_Calculation[Negative Balance / Amount Due from Rider],ROW()-ROW(Payslip_Lookup[#Headers])))</f>
        <v/>
      </c>
      <c r="AB376" s="176" t="str">
        <f aca="false">IF(INDEX(Salary_Calculation[Source Row],ROW()-ROW(Payslip_Lookup[#Headers]))="","",INDEX(Salary_Calculation[Total Amount Due from Rider],ROW()-ROW(Payslip_Lookup[#Headers])))</f>
        <v/>
      </c>
      <c r="AC376" s="176" t="str">
        <f aca="false">IF(INDEX(Salary_Calculation[Source Row],ROW()-ROW(Payslip_Lookup[#Headers]))="","",INDEX(Salary_Calculation[Salary Before Other Deductions],ROW()-ROW(Payslip_Lookup[#Headers])))</f>
        <v/>
      </c>
      <c r="AD376" s="171" t="str">
        <f aca="false">IF(INDEX(Salary_Calculation[Source Row],ROW()-ROW(Payslip_Lookup[#Headers]))="","",INDEX(Salary_Calculation[Payment Status],ROW()-ROW(Payslip_Lookup[#Headers])))</f>
        <v/>
      </c>
      <c r="AE376" s="171" t="str">
        <f aca="false">IF(INDEX(Salary_Calculation[Source Row],ROW()-ROW(Payslip_Lookup[#Headers]))="","",INDEX(Salary_Calculation[Notes],ROW()-ROW(Payslip_Lookup[#Headers])))</f>
        <v/>
      </c>
      <c r="AF376" s="171" t="str">
        <f aca="false">IF(INDEX(Salary_Calculation[Source Row],ROW()-ROW(Payslip_Lookup[#Headers]))="","",INDEX(Salary_Calculation[Exception Reason],ROW()-ROW(Payslip_Lookup[#Headers])))</f>
        <v/>
      </c>
      <c r="AG376" s="173" t="str">
        <f aca="false">IF($AD376="Review Required",COUNTIF(AD$2:AD376,"Review Required"),"")</f>
        <v/>
      </c>
      <c r="AH376" s="173" t="str">
        <f aca="false">IF(AND($D376&lt;&gt;"",$B376=Payslip_Print!$C$2),MAX(AH$1:AH375)+1,"")</f>
        <v/>
      </c>
      <c r="AL376" s="178" t="str">
        <f aca="false">IFERROR(INDEX($D$2:$D$501,MATCH(ROW()-1,$AH$2:$AH$501,0)),"")</f>
        <v/>
      </c>
      <c r="AM376" s="179" t="str">
        <f aca="false">IF($Z376="","",IF(AND($C376&gt;=Dash_Start,$C376&lt;Dash_End),$Z376+ROW()/10000000,""))</f>
        <v/>
      </c>
    </row>
    <row r="377" customFormat="false" ht="14.25" hidden="false" customHeight="false" outlineLevel="0" collapsed="false">
      <c r="A377" s="171" t="str">
        <f aca="false">IF(Payslip_Lookup[[#This Row],[Rider ID]]="","",Payslip_Lookup[[#This Row],[Rider ID]]&amp;"|"&amp;Payslip_Lookup[[#This Row],[Month Key]])</f>
        <v/>
      </c>
      <c r="B377" s="172" t="str">
        <f aca="false">IF(ISNUMBER(Payslip_Lookup[[#This Row],[Salary Month]]),DATE(YEAR(Payslip_Lookup[[#This Row],[Salary Month]]),MONTH(Payslip_Lookup[[#This Row],[Salary Month]]),1),"")</f>
        <v/>
      </c>
      <c r="C377" s="172" t="str">
        <f aca="false">IF(INDEX(Salary_Calculation[Source Row],ROW()-ROW(Payslip_Lookup[#Headers]))="","",INDEX(Salary_Calculation[Salary Month],ROW()-ROW(Payslip_Lookup[#Headers])))</f>
        <v/>
      </c>
      <c r="D377" s="173" t="str">
        <f aca="false">IF(INDEX(Salary_Calculation[Source Row],ROW()-ROW(Payslip_Lookup[#Headers]))="","",INDEX(Salary_Calculation[Rider ID],ROW()-ROW(Payslip_Lookup[#Headers])))</f>
        <v/>
      </c>
      <c r="E377" s="171" t="str">
        <f aca="false">IF(INDEX(Salary_Calculation[Source Row],ROW()-ROW(Payslip_Lookup[#Headers]))="","",INDEX(Salary_Calculation[Rider Name],ROW()-ROW(Payslip_Lookup[#Headers])))</f>
        <v/>
      </c>
      <c r="F377" s="173" t="str">
        <f aca="false">IF(INDEX(Salary_Calculation[Source Row],ROW()-ROW(Payslip_Lookup[#Headers]))="","",INDEX(Salary_Calculation[Working Days],ROW()-ROW(Payslip_Lookup[#Headers])))</f>
        <v/>
      </c>
      <c r="G377" s="173" t="str">
        <f aca="false">IF(INDEX(Salary_Calculation[Source Row],ROW()-ROW(Payslip_Lookup[#Headers]))="","",INDEX(Salary_Calculation[Calendar Days],ROW()-ROW(Payslip_Lookup[#Headers])))</f>
        <v/>
      </c>
      <c r="H377" s="174" t="str">
        <f aca="false">IF(INDEX(Salary_Calculation[Source Row],ROW()-ROW(Payslip_Lookup[#Headers]))="","",INDEX(Salary_Calculation[Monthly Target Orders],ROW()-ROW(Payslip_Lookup[#Headers])))</f>
        <v/>
      </c>
      <c r="I377" s="174" t="str">
        <f aca="false">IF(INDEX(Salary_Calculation[Source Row],ROW()-ROW(Payslip_Lookup[#Headers]))="","",INDEX(Salary_Calculation[Rider Target Orders],ROW()-ROW(Payslip_Lookup[#Headers])))</f>
        <v/>
      </c>
      <c r="J377" s="175" t="str">
        <f aca="false">IF(INDEX(Salary_Calculation[Source Row],ROW()-ROW(Payslip_Lookup[#Headers]))="","",INDEX(Salary_Calculation[Completed Orders],ROW()-ROW(Payslip_Lookup[#Headers])))</f>
        <v/>
      </c>
      <c r="K377" s="174" t="str">
        <f aca="false">IF(INDEX(Salary_Calculation[Source Row],ROW()-ROW(Payslip_Lookup[#Headers]))="","",INDEX(Salary_Calculation[Base Order Rate],ROW()-ROW(Payslip_Lookup[#Headers])))</f>
        <v/>
      </c>
      <c r="L377" s="176" t="str">
        <f aca="false">IF(INDEX(Salary_Calculation[Source Row],ROW()-ROW(Payslip_Lookup[#Headers]))="","",INDEX(Salary_Calculation[Basic Payment],ROW()-ROW(Payslip_Lookup[#Headers])))</f>
        <v/>
      </c>
      <c r="M377" s="176" t="str">
        <f aca="false">IF(INDEX(Salary_Calculation[Source Row],ROW()-ROW(Payslip_Lookup[#Headers]))="","",INDEX(Salary_Calculation[Earned Salary],ROW()-ROW(Payslip_Lookup[#Headers])))</f>
        <v/>
      </c>
      <c r="N377" s="174" t="str">
        <f aca="false">IF(INDEX(Salary_Calculation[Source Row],ROW()-ROW(Payslip_Lookup[#Headers]))="","",INDEX(Salary_Calculation[Orders Counted at Base Rate],ROW()-ROW(Payslip_Lookup[#Headers])))</f>
        <v/>
      </c>
      <c r="O377" s="174" t="str">
        <f aca="false">IF(INDEX(Salary_Calculation[Source Row],ROW()-ROW(Payslip_Lookup[#Headers]))="","",INDEX(Salary_Calculation[Missing Orders],ROW()-ROW(Payslip_Lookup[#Headers])))</f>
        <v/>
      </c>
      <c r="P377" s="176" t="str">
        <f aca="false">IF(INDEX(Salary_Calculation[Source Row],ROW()-ROW(Payslip_Lookup[#Headers]))="","",INDEX(Salary_Calculation[Missing-Order Deduction],ROW()-ROW(Payslip_Lookup[#Headers])))</f>
        <v/>
      </c>
      <c r="Q377" s="174" t="str">
        <f aca="false">IF(INDEX(Salary_Calculation[Source Row],ROW()-ROW(Payslip_Lookup[#Headers]))="","",INDEX(Salary_Calculation[Extra Orders],ROW()-ROW(Payslip_Lookup[#Headers])))</f>
        <v/>
      </c>
      <c r="R377" s="176" t="str">
        <f aca="false">IF(INDEX(Salary_Calculation[Source Row],ROW()-ROW(Payslip_Lookup[#Headers]))="","",INDEX(Salary_Calculation[Extra-Order Bonus],ROW()-ROW(Payslip_Lookup[#Headers])))</f>
        <v/>
      </c>
      <c r="S377" s="176" t="str">
        <f aca="false">IF(INDEX(Salary_Calculation[Source Row],ROW()-ROW(Payslip_Lookup[#Headers]))="","",INDEX(Salary_Calculation[Basic Salary for Target],ROW()-ROW(Payslip_Lookup[#Headers])))</f>
        <v/>
      </c>
      <c r="T377" s="176" t="str">
        <f aca="false">IF(INDEX(Salary_Calculation[Source Row],ROW()-ROW(Payslip_Lookup[#Headers]))="","",INDEX(Salary_Calculation[Gross Salary Before Deductions],ROW()-ROW(Payslip_Lookup[#Headers])))</f>
        <v/>
      </c>
      <c r="U377" s="176" t="str">
        <f aca="false">IF(INDEX(Salary_Calculation[Source Row],ROW()-ROW(Payslip_Lookup[#Headers]))="","",INDEX(Salary_Calculation[missed_days_penalty],ROW()-ROW(Payslip_Lookup[#Headers])))</f>
        <v/>
      </c>
      <c r="V377" s="176" t="str">
        <f aca="false">IF(INDEX(Salary_Calculation[Source Row],ROW()-ROW(Payslip_Lookup[#Headers]))="","",INDEX(Salary_Calculation[Rider Balance],ROW()-ROW(Payslip_Lookup[#Headers])))</f>
        <v/>
      </c>
      <c r="W377" s="176" t="str">
        <f aca="false">IF(INDEX(Salary_Calculation[Source Row],ROW()-ROW(Payslip_Lookup[#Headers]))="","",INDEX(Salary_Calculation[stacking_deduction],ROW()-ROW(Payslip_Lookup[#Headers])))</f>
        <v/>
      </c>
      <c r="X377" s="176" t="str">
        <f aca="false">IF(INDEX(Salary_Calculation[Source Row],ROW()-ROW(Payslip_Lookup[#Headers]))="","",INDEX(Salary_Calculation[Other Deductions],ROW()-ROW(Payslip_Lookup[#Headers])))</f>
        <v/>
      </c>
      <c r="Y377" s="176" t="str">
        <f aca="false">IF(INDEX(Salary_Calculation[Source Row],ROW()-ROW(Payslip_Lookup[#Headers]))="","",INDEX(Salary_Calculation[Total Deductions],ROW()-ROW(Payslip_Lookup[#Headers])))</f>
        <v/>
      </c>
      <c r="Z377" s="176" t="str">
        <f aca="false">IF(INDEX(Salary_Calculation[Source Row],ROW()-ROW(Payslip_Lookup[#Headers]))="","",INDEX(Salary_Calculation[Final Salary],ROW()-ROW(Payslip_Lookup[#Headers])))</f>
        <v/>
      </c>
      <c r="AA377" s="176" t="str">
        <f aca="false">IF(INDEX(Salary_Calculation[Source Row],ROW()-ROW(Payslip_Lookup[#Headers]))="","",INDEX(Salary_Calculation[Negative Balance / Amount Due from Rider],ROW()-ROW(Payslip_Lookup[#Headers])))</f>
        <v/>
      </c>
      <c r="AB377" s="176" t="str">
        <f aca="false">IF(INDEX(Salary_Calculation[Source Row],ROW()-ROW(Payslip_Lookup[#Headers]))="","",INDEX(Salary_Calculation[Total Amount Due from Rider],ROW()-ROW(Payslip_Lookup[#Headers])))</f>
        <v/>
      </c>
      <c r="AC377" s="176" t="str">
        <f aca="false">IF(INDEX(Salary_Calculation[Source Row],ROW()-ROW(Payslip_Lookup[#Headers]))="","",INDEX(Salary_Calculation[Salary Before Other Deductions],ROW()-ROW(Payslip_Lookup[#Headers])))</f>
        <v/>
      </c>
      <c r="AD377" s="171" t="str">
        <f aca="false">IF(INDEX(Salary_Calculation[Source Row],ROW()-ROW(Payslip_Lookup[#Headers]))="","",INDEX(Salary_Calculation[Payment Status],ROW()-ROW(Payslip_Lookup[#Headers])))</f>
        <v/>
      </c>
      <c r="AE377" s="171" t="str">
        <f aca="false">IF(INDEX(Salary_Calculation[Source Row],ROW()-ROW(Payslip_Lookup[#Headers]))="","",INDEX(Salary_Calculation[Notes],ROW()-ROW(Payslip_Lookup[#Headers])))</f>
        <v/>
      </c>
      <c r="AF377" s="171" t="str">
        <f aca="false">IF(INDEX(Salary_Calculation[Source Row],ROW()-ROW(Payslip_Lookup[#Headers]))="","",INDEX(Salary_Calculation[Exception Reason],ROW()-ROW(Payslip_Lookup[#Headers])))</f>
        <v/>
      </c>
      <c r="AG377" s="173" t="str">
        <f aca="false">IF($AD377="Review Required",COUNTIF(AD$2:AD377,"Review Required"),"")</f>
        <v/>
      </c>
      <c r="AH377" s="173" t="str">
        <f aca="false">IF(AND($D377&lt;&gt;"",$B377=Payslip_Print!$C$2),MAX(AH$1:AH376)+1,"")</f>
        <v/>
      </c>
      <c r="AL377" s="178" t="str">
        <f aca="false">IFERROR(INDEX($D$2:$D$501,MATCH(ROW()-1,$AH$2:$AH$501,0)),"")</f>
        <v/>
      </c>
      <c r="AM377" s="179" t="str">
        <f aca="false">IF($Z377="","",IF(AND($C377&gt;=Dash_Start,$C377&lt;Dash_End),$Z377+ROW()/10000000,""))</f>
        <v/>
      </c>
    </row>
    <row r="378" customFormat="false" ht="14.25" hidden="false" customHeight="false" outlineLevel="0" collapsed="false">
      <c r="A378" s="171" t="str">
        <f aca="false">IF(Payslip_Lookup[[#This Row],[Rider ID]]="","",Payslip_Lookup[[#This Row],[Rider ID]]&amp;"|"&amp;Payslip_Lookup[[#This Row],[Month Key]])</f>
        <v/>
      </c>
      <c r="B378" s="172" t="str">
        <f aca="false">IF(ISNUMBER(Payslip_Lookup[[#This Row],[Salary Month]]),DATE(YEAR(Payslip_Lookup[[#This Row],[Salary Month]]),MONTH(Payslip_Lookup[[#This Row],[Salary Month]]),1),"")</f>
        <v/>
      </c>
      <c r="C378" s="172" t="str">
        <f aca="false">IF(INDEX(Salary_Calculation[Source Row],ROW()-ROW(Payslip_Lookup[#Headers]))="","",INDEX(Salary_Calculation[Salary Month],ROW()-ROW(Payslip_Lookup[#Headers])))</f>
        <v/>
      </c>
      <c r="D378" s="173" t="str">
        <f aca="false">IF(INDEX(Salary_Calculation[Source Row],ROW()-ROW(Payslip_Lookup[#Headers]))="","",INDEX(Salary_Calculation[Rider ID],ROW()-ROW(Payslip_Lookup[#Headers])))</f>
        <v/>
      </c>
      <c r="E378" s="171" t="str">
        <f aca="false">IF(INDEX(Salary_Calculation[Source Row],ROW()-ROW(Payslip_Lookup[#Headers]))="","",INDEX(Salary_Calculation[Rider Name],ROW()-ROW(Payslip_Lookup[#Headers])))</f>
        <v/>
      </c>
      <c r="F378" s="173" t="str">
        <f aca="false">IF(INDEX(Salary_Calculation[Source Row],ROW()-ROW(Payslip_Lookup[#Headers]))="","",INDEX(Salary_Calculation[Working Days],ROW()-ROW(Payslip_Lookup[#Headers])))</f>
        <v/>
      </c>
      <c r="G378" s="173" t="str">
        <f aca="false">IF(INDEX(Salary_Calculation[Source Row],ROW()-ROW(Payslip_Lookup[#Headers]))="","",INDEX(Salary_Calculation[Calendar Days],ROW()-ROW(Payslip_Lookup[#Headers])))</f>
        <v/>
      </c>
      <c r="H378" s="174" t="str">
        <f aca="false">IF(INDEX(Salary_Calculation[Source Row],ROW()-ROW(Payslip_Lookup[#Headers]))="","",INDEX(Salary_Calculation[Monthly Target Orders],ROW()-ROW(Payslip_Lookup[#Headers])))</f>
        <v/>
      </c>
      <c r="I378" s="174" t="str">
        <f aca="false">IF(INDEX(Salary_Calculation[Source Row],ROW()-ROW(Payslip_Lookup[#Headers]))="","",INDEX(Salary_Calculation[Rider Target Orders],ROW()-ROW(Payslip_Lookup[#Headers])))</f>
        <v/>
      </c>
      <c r="J378" s="175" t="str">
        <f aca="false">IF(INDEX(Salary_Calculation[Source Row],ROW()-ROW(Payslip_Lookup[#Headers]))="","",INDEX(Salary_Calculation[Completed Orders],ROW()-ROW(Payslip_Lookup[#Headers])))</f>
        <v/>
      </c>
      <c r="K378" s="174" t="str">
        <f aca="false">IF(INDEX(Salary_Calculation[Source Row],ROW()-ROW(Payslip_Lookup[#Headers]))="","",INDEX(Salary_Calculation[Base Order Rate],ROW()-ROW(Payslip_Lookup[#Headers])))</f>
        <v/>
      </c>
      <c r="L378" s="176" t="str">
        <f aca="false">IF(INDEX(Salary_Calculation[Source Row],ROW()-ROW(Payslip_Lookup[#Headers]))="","",INDEX(Salary_Calculation[Basic Payment],ROW()-ROW(Payslip_Lookup[#Headers])))</f>
        <v/>
      </c>
      <c r="M378" s="176" t="str">
        <f aca="false">IF(INDEX(Salary_Calculation[Source Row],ROW()-ROW(Payslip_Lookup[#Headers]))="","",INDEX(Salary_Calculation[Earned Salary],ROW()-ROW(Payslip_Lookup[#Headers])))</f>
        <v/>
      </c>
      <c r="N378" s="174" t="str">
        <f aca="false">IF(INDEX(Salary_Calculation[Source Row],ROW()-ROW(Payslip_Lookup[#Headers]))="","",INDEX(Salary_Calculation[Orders Counted at Base Rate],ROW()-ROW(Payslip_Lookup[#Headers])))</f>
        <v/>
      </c>
      <c r="O378" s="174" t="str">
        <f aca="false">IF(INDEX(Salary_Calculation[Source Row],ROW()-ROW(Payslip_Lookup[#Headers]))="","",INDEX(Salary_Calculation[Missing Orders],ROW()-ROW(Payslip_Lookup[#Headers])))</f>
        <v/>
      </c>
      <c r="P378" s="176" t="str">
        <f aca="false">IF(INDEX(Salary_Calculation[Source Row],ROW()-ROW(Payslip_Lookup[#Headers]))="","",INDEX(Salary_Calculation[Missing-Order Deduction],ROW()-ROW(Payslip_Lookup[#Headers])))</f>
        <v/>
      </c>
      <c r="Q378" s="174" t="str">
        <f aca="false">IF(INDEX(Salary_Calculation[Source Row],ROW()-ROW(Payslip_Lookup[#Headers]))="","",INDEX(Salary_Calculation[Extra Orders],ROW()-ROW(Payslip_Lookup[#Headers])))</f>
        <v/>
      </c>
      <c r="R378" s="176" t="str">
        <f aca="false">IF(INDEX(Salary_Calculation[Source Row],ROW()-ROW(Payslip_Lookup[#Headers]))="","",INDEX(Salary_Calculation[Extra-Order Bonus],ROW()-ROW(Payslip_Lookup[#Headers])))</f>
        <v/>
      </c>
      <c r="S378" s="176" t="str">
        <f aca="false">IF(INDEX(Salary_Calculation[Source Row],ROW()-ROW(Payslip_Lookup[#Headers]))="","",INDEX(Salary_Calculation[Basic Salary for Target],ROW()-ROW(Payslip_Lookup[#Headers])))</f>
        <v/>
      </c>
      <c r="T378" s="176" t="str">
        <f aca="false">IF(INDEX(Salary_Calculation[Source Row],ROW()-ROW(Payslip_Lookup[#Headers]))="","",INDEX(Salary_Calculation[Gross Salary Before Deductions],ROW()-ROW(Payslip_Lookup[#Headers])))</f>
        <v/>
      </c>
      <c r="U378" s="176" t="str">
        <f aca="false">IF(INDEX(Salary_Calculation[Source Row],ROW()-ROW(Payslip_Lookup[#Headers]))="","",INDEX(Salary_Calculation[missed_days_penalty],ROW()-ROW(Payslip_Lookup[#Headers])))</f>
        <v/>
      </c>
      <c r="V378" s="176" t="str">
        <f aca="false">IF(INDEX(Salary_Calculation[Source Row],ROW()-ROW(Payslip_Lookup[#Headers]))="","",INDEX(Salary_Calculation[Rider Balance],ROW()-ROW(Payslip_Lookup[#Headers])))</f>
        <v/>
      </c>
      <c r="W378" s="176" t="str">
        <f aca="false">IF(INDEX(Salary_Calculation[Source Row],ROW()-ROW(Payslip_Lookup[#Headers]))="","",INDEX(Salary_Calculation[stacking_deduction],ROW()-ROW(Payslip_Lookup[#Headers])))</f>
        <v/>
      </c>
      <c r="X378" s="176" t="str">
        <f aca="false">IF(INDEX(Salary_Calculation[Source Row],ROW()-ROW(Payslip_Lookup[#Headers]))="","",INDEX(Salary_Calculation[Other Deductions],ROW()-ROW(Payslip_Lookup[#Headers])))</f>
        <v/>
      </c>
      <c r="Y378" s="176" t="str">
        <f aca="false">IF(INDEX(Salary_Calculation[Source Row],ROW()-ROW(Payslip_Lookup[#Headers]))="","",INDEX(Salary_Calculation[Total Deductions],ROW()-ROW(Payslip_Lookup[#Headers])))</f>
        <v/>
      </c>
      <c r="Z378" s="176" t="str">
        <f aca="false">IF(INDEX(Salary_Calculation[Source Row],ROW()-ROW(Payslip_Lookup[#Headers]))="","",INDEX(Salary_Calculation[Final Salary],ROW()-ROW(Payslip_Lookup[#Headers])))</f>
        <v/>
      </c>
      <c r="AA378" s="176" t="str">
        <f aca="false">IF(INDEX(Salary_Calculation[Source Row],ROW()-ROW(Payslip_Lookup[#Headers]))="","",INDEX(Salary_Calculation[Negative Balance / Amount Due from Rider],ROW()-ROW(Payslip_Lookup[#Headers])))</f>
        <v/>
      </c>
      <c r="AB378" s="176" t="str">
        <f aca="false">IF(INDEX(Salary_Calculation[Source Row],ROW()-ROW(Payslip_Lookup[#Headers]))="","",INDEX(Salary_Calculation[Total Amount Due from Rider],ROW()-ROW(Payslip_Lookup[#Headers])))</f>
        <v/>
      </c>
      <c r="AC378" s="176" t="str">
        <f aca="false">IF(INDEX(Salary_Calculation[Source Row],ROW()-ROW(Payslip_Lookup[#Headers]))="","",INDEX(Salary_Calculation[Salary Before Other Deductions],ROW()-ROW(Payslip_Lookup[#Headers])))</f>
        <v/>
      </c>
      <c r="AD378" s="171" t="str">
        <f aca="false">IF(INDEX(Salary_Calculation[Source Row],ROW()-ROW(Payslip_Lookup[#Headers]))="","",INDEX(Salary_Calculation[Payment Status],ROW()-ROW(Payslip_Lookup[#Headers])))</f>
        <v/>
      </c>
      <c r="AE378" s="171" t="str">
        <f aca="false">IF(INDEX(Salary_Calculation[Source Row],ROW()-ROW(Payslip_Lookup[#Headers]))="","",INDEX(Salary_Calculation[Notes],ROW()-ROW(Payslip_Lookup[#Headers])))</f>
        <v/>
      </c>
      <c r="AF378" s="171" t="str">
        <f aca="false">IF(INDEX(Salary_Calculation[Source Row],ROW()-ROW(Payslip_Lookup[#Headers]))="","",INDEX(Salary_Calculation[Exception Reason],ROW()-ROW(Payslip_Lookup[#Headers])))</f>
        <v/>
      </c>
      <c r="AG378" s="173" t="str">
        <f aca="false">IF($AD378="Review Required",COUNTIF(AD$2:AD378,"Review Required"),"")</f>
        <v/>
      </c>
      <c r="AH378" s="173" t="str">
        <f aca="false">IF(AND($D378&lt;&gt;"",$B378=Payslip_Print!$C$2),MAX(AH$1:AH377)+1,"")</f>
        <v/>
      </c>
      <c r="AL378" s="178" t="str">
        <f aca="false">IFERROR(INDEX($D$2:$D$501,MATCH(ROW()-1,$AH$2:$AH$501,0)),"")</f>
        <v/>
      </c>
      <c r="AM378" s="179" t="str">
        <f aca="false">IF($Z378="","",IF(AND($C378&gt;=Dash_Start,$C378&lt;Dash_End),$Z378+ROW()/10000000,""))</f>
        <v/>
      </c>
    </row>
    <row r="379" customFormat="false" ht="14.25" hidden="false" customHeight="false" outlineLevel="0" collapsed="false">
      <c r="A379" s="171" t="str">
        <f aca="false">IF(Payslip_Lookup[[#This Row],[Rider ID]]="","",Payslip_Lookup[[#This Row],[Rider ID]]&amp;"|"&amp;Payslip_Lookup[[#This Row],[Month Key]])</f>
        <v/>
      </c>
      <c r="B379" s="172" t="str">
        <f aca="false">IF(ISNUMBER(Payslip_Lookup[[#This Row],[Salary Month]]),DATE(YEAR(Payslip_Lookup[[#This Row],[Salary Month]]),MONTH(Payslip_Lookup[[#This Row],[Salary Month]]),1),"")</f>
        <v/>
      </c>
      <c r="C379" s="172" t="str">
        <f aca="false">IF(INDEX(Salary_Calculation[Source Row],ROW()-ROW(Payslip_Lookup[#Headers]))="","",INDEX(Salary_Calculation[Salary Month],ROW()-ROW(Payslip_Lookup[#Headers])))</f>
        <v/>
      </c>
      <c r="D379" s="173" t="str">
        <f aca="false">IF(INDEX(Salary_Calculation[Source Row],ROW()-ROW(Payslip_Lookup[#Headers]))="","",INDEX(Salary_Calculation[Rider ID],ROW()-ROW(Payslip_Lookup[#Headers])))</f>
        <v/>
      </c>
      <c r="E379" s="171" t="str">
        <f aca="false">IF(INDEX(Salary_Calculation[Source Row],ROW()-ROW(Payslip_Lookup[#Headers]))="","",INDEX(Salary_Calculation[Rider Name],ROW()-ROW(Payslip_Lookup[#Headers])))</f>
        <v/>
      </c>
      <c r="F379" s="173" t="str">
        <f aca="false">IF(INDEX(Salary_Calculation[Source Row],ROW()-ROW(Payslip_Lookup[#Headers]))="","",INDEX(Salary_Calculation[Working Days],ROW()-ROW(Payslip_Lookup[#Headers])))</f>
        <v/>
      </c>
      <c r="G379" s="173" t="str">
        <f aca="false">IF(INDEX(Salary_Calculation[Source Row],ROW()-ROW(Payslip_Lookup[#Headers]))="","",INDEX(Salary_Calculation[Calendar Days],ROW()-ROW(Payslip_Lookup[#Headers])))</f>
        <v/>
      </c>
      <c r="H379" s="174" t="str">
        <f aca="false">IF(INDEX(Salary_Calculation[Source Row],ROW()-ROW(Payslip_Lookup[#Headers]))="","",INDEX(Salary_Calculation[Monthly Target Orders],ROW()-ROW(Payslip_Lookup[#Headers])))</f>
        <v/>
      </c>
      <c r="I379" s="174" t="str">
        <f aca="false">IF(INDEX(Salary_Calculation[Source Row],ROW()-ROW(Payslip_Lookup[#Headers]))="","",INDEX(Salary_Calculation[Rider Target Orders],ROW()-ROW(Payslip_Lookup[#Headers])))</f>
        <v/>
      </c>
      <c r="J379" s="175" t="str">
        <f aca="false">IF(INDEX(Salary_Calculation[Source Row],ROW()-ROW(Payslip_Lookup[#Headers]))="","",INDEX(Salary_Calculation[Completed Orders],ROW()-ROW(Payslip_Lookup[#Headers])))</f>
        <v/>
      </c>
      <c r="K379" s="174" t="str">
        <f aca="false">IF(INDEX(Salary_Calculation[Source Row],ROW()-ROW(Payslip_Lookup[#Headers]))="","",INDEX(Salary_Calculation[Base Order Rate],ROW()-ROW(Payslip_Lookup[#Headers])))</f>
        <v/>
      </c>
      <c r="L379" s="176" t="str">
        <f aca="false">IF(INDEX(Salary_Calculation[Source Row],ROW()-ROW(Payslip_Lookup[#Headers]))="","",INDEX(Salary_Calculation[Basic Payment],ROW()-ROW(Payslip_Lookup[#Headers])))</f>
        <v/>
      </c>
      <c r="M379" s="176" t="str">
        <f aca="false">IF(INDEX(Salary_Calculation[Source Row],ROW()-ROW(Payslip_Lookup[#Headers]))="","",INDEX(Salary_Calculation[Earned Salary],ROW()-ROW(Payslip_Lookup[#Headers])))</f>
        <v/>
      </c>
      <c r="N379" s="174" t="str">
        <f aca="false">IF(INDEX(Salary_Calculation[Source Row],ROW()-ROW(Payslip_Lookup[#Headers]))="","",INDEX(Salary_Calculation[Orders Counted at Base Rate],ROW()-ROW(Payslip_Lookup[#Headers])))</f>
        <v/>
      </c>
      <c r="O379" s="174" t="str">
        <f aca="false">IF(INDEX(Salary_Calculation[Source Row],ROW()-ROW(Payslip_Lookup[#Headers]))="","",INDEX(Salary_Calculation[Missing Orders],ROW()-ROW(Payslip_Lookup[#Headers])))</f>
        <v/>
      </c>
      <c r="P379" s="176" t="str">
        <f aca="false">IF(INDEX(Salary_Calculation[Source Row],ROW()-ROW(Payslip_Lookup[#Headers]))="","",INDEX(Salary_Calculation[Missing-Order Deduction],ROW()-ROW(Payslip_Lookup[#Headers])))</f>
        <v/>
      </c>
      <c r="Q379" s="174" t="str">
        <f aca="false">IF(INDEX(Salary_Calculation[Source Row],ROW()-ROW(Payslip_Lookup[#Headers]))="","",INDEX(Salary_Calculation[Extra Orders],ROW()-ROW(Payslip_Lookup[#Headers])))</f>
        <v/>
      </c>
      <c r="R379" s="176" t="str">
        <f aca="false">IF(INDEX(Salary_Calculation[Source Row],ROW()-ROW(Payslip_Lookup[#Headers]))="","",INDEX(Salary_Calculation[Extra-Order Bonus],ROW()-ROW(Payslip_Lookup[#Headers])))</f>
        <v/>
      </c>
      <c r="S379" s="176" t="str">
        <f aca="false">IF(INDEX(Salary_Calculation[Source Row],ROW()-ROW(Payslip_Lookup[#Headers]))="","",INDEX(Salary_Calculation[Basic Salary for Target],ROW()-ROW(Payslip_Lookup[#Headers])))</f>
        <v/>
      </c>
      <c r="T379" s="176" t="str">
        <f aca="false">IF(INDEX(Salary_Calculation[Source Row],ROW()-ROW(Payslip_Lookup[#Headers]))="","",INDEX(Salary_Calculation[Gross Salary Before Deductions],ROW()-ROW(Payslip_Lookup[#Headers])))</f>
        <v/>
      </c>
      <c r="U379" s="176" t="str">
        <f aca="false">IF(INDEX(Salary_Calculation[Source Row],ROW()-ROW(Payslip_Lookup[#Headers]))="","",INDEX(Salary_Calculation[missed_days_penalty],ROW()-ROW(Payslip_Lookup[#Headers])))</f>
        <v/>
      </c>
      <c r="V379" s="176" t="str">
        <f aca="false">IF(INDEX(Salary_Calculation[Source Row],ROW()-ROW(Payslip_Lookup[#Headers]))="","",INDEX(Salary_Calculation[Rider Balance],ROW()-ROW(Payslip_Lookup[#Headers])))</f>
        <v/>
      </c>
      <c r="W379" s="176" t="str">
        <f aca="false">IF(INDEX(Salary_Calculation[Source Row],ROW()-ROW(Payslip_Lookup[#Headers]))="","",INDEX(Salary_Calculation[stacking_deduction],ROW()-ROW(Payslip_Lookup[#Headers])))</f>
        <v/>
      </c>
      <c r="X379" s="176" t="str">
        <f aca="false">IF(INDEX(Salary_Calculation[Source Row],ROW()-ROW(Payslip_Lookup[#Headers]))="","",INDEX(Salary_Calculation[Other Deductions],ROW()-ROW(Payslip_Lookup[#Headers])))</f>
        <v/>
      </c>
      <c r="Y379" s="176" t="str">
        <f aca="false">IF(INDEX(Salary_Calculation[Source Row],ROW()-ROW(Payslip_Lookup[#Headers]))="","",INDEX(Salary_Calculation[Total Deductions],ROW()-ROW(Payslip_Lookup[#Headers])))</f>
        <v/>
      </c>
      <c r="Z379" s="176" t="str">
        <f aca="false">IF(INDEX(Salary_Calculation[Source Row],ROW()-ROW(Payslip_Lookup[#Headers]))="","",INDEX(Salary_Calculation[Final Salary],ROW()-ROW(Payslip_Lookup[#Headers])))</f>
        <v/>
      </c>
      <c r="AA379" s="176" t="str">
        <f aca="false">IF(INDEX(Salary_Calculation[Source Row],ROW()-ROW(Payslip_Lookup[#Headers]))="","",INDEX(Salary_Calculation[Negative Balance / Amount Due from Rider],ROW()-ROW(Payslip_Lookup[#Headers])))</f>
        <v/>
      </c>
      <c r="AB379" s="176" t="str">
        <f aca="false">IF(INDEX(Salary_Calculation[Source Row],ROW()-ROW(Payslip_Lookup[#Headers]))="","",INDEX(Salary_Calculation[Total Amount Due from Rider],ROW()-ROW(Payslip_Lookup[#Headers])))</f>
        <v/>
      </c>
      <c r="AC379" s="176" t="str">
        <f aca="false">IF(INDEX(Salary_Calculation[Source Row],ROW()-ROW(Payslip_Lookup[#Headers]))="","",INDEX(Salary_Calculation[Salary Before Other Deductions],ROW()-ROW(Payslip_Lookup[#Headers])))</f>
        <v/>
      </c>
      <c r="AD379" s="171" t="str">
        <f aca="false">IF(INDEX(Salary_Calculation[Source Row],ROW()-ROW(Payslip_Lookup[#Headers]))="","",INDEX(Salary_Calculation[Payment Status],ROW()-ROW(Payslip_Lookup[#Headers])))</f>
        <v/>
      </c>
      <c r="AE379" s="171" t="str">
        <f aca="false">IF(INDEX(Salary_Calculation[Source Row],ROW()-ROW(Payslip_Lookup[#Headers]))="","",INDEX(Salary_Calculation[Notes],ROW()-ROW(Payslip_Lookup[#Headers])))</f>
        <v/>
      </c>
      <c r="AF379" s="171" t="str">
        <f aca="false">IF(INDEX(Salary_Calculation[Source Row],ROW()-ROW(Payslip_Lookup[#Headers]))="","",INDEX(Salary_Calculation[Exception Reason],ROW()-ROW(Payslip_Lookup[#Headers])))</f>
        <v/>
      </c>
      <c r="AG379" s="173" t="str">
        <f aca="false">IF($AD379="Review Required",COUNTIF(AD$2:AD379,"Review Required"),"")</f>
        <v/>
      </c>
      <c r="AH379" s="173" t="str">
        <f aca="false">IF(AND($D379&lt;&gt;"",$B379=Payslip_Print!$C$2),MAX(AH$1:AH378)+1,"")</f>
        <v/>
      </c>
      <c r="AL379" s="178" t="str">
        <f aca="false">IFERROR(INDEX($D$2:$D$501,MATCH(ROW()-1,$AH$2:$AH$501,0)),"")</f>
        <v/>
      </c>
      <c r="AM379" s="179" t="str">
        <f aca="false">IF($Z379="","",IF(AND($C379&gt;=Dash_Start,$C379&lt;Dash_End),$Z379+ROW()/10000000,""))</f>
        <v/>
      </c>
    </row>
    <row r="380" customFormat="false" ht="14.25" hidden="false" customHeight="false" outlineLevel="0" collapsed="false">
      <c r="A380" s="171" t="str">
        <f aca="false">IF(Payslip_Lookup[[#This Row],[Rider ID]]="","",Payslip_Lookup[[#This Row],[Rider ID]]&amp;"|"&amp;Payslip_Lookup[[#This Row],[Month Key]])</f>
        <v/>
      </c>
      <c r="B380" s="172" t="str">
        <f aca="false">IF(ISNUMBER(Payslip_Lookup[[#This Row],[Salary Month]]),DATE(YEAR(Payslip_Lookup[[#This Row],[Salary Month]]),MONTH(Payslip_Lookup[[#This Row],[Salary Month]]),1),"")</f>
        <v/>
      </c>
      <c r="C380" s="172" t="str">
        <f aca="false">IF(INDEX(Salary_Calculation[Source Row],ROW()-ROW(Payslip_Lookup[#Headers]))="","",INDEX(Salary_Calculation[Salary Month],ROW()-ROW(Payslip_Lookup[#Headers])))</f>
        <v/>
      </c>
      <c r="D380" s="173" t="str">
        <f aca="false">IF(INDEX(Salary_Calculation[Source Row],ROW()-ROW(Payslip_Lookup[#Headers]))="","",INDEX(Salary_Calculation[Rider ID],ROW()-ROW(Payslip_Lookup[#Headers])))</f>
        <v/>
      </c>
      <c r="E380" s="171" t="str">
        <f aca="false">IF(INDEX(Salary_Calculation[Source Row],ROW()-ROW(Payslip_Lookup[#Headers]))="","",INDEX(Salary_Calculation[Rider Name],ROW()-ROW(Payslip_Lookup[#Headers])))</f>
        <v/>
      </c>
      <c r="F380" s="173" t="str">
        <f aca="false">IF(INDEX(Salary_Calculation[Source Row],ROW()-ROW(Payslip_Lookup[#Headers]))="","",INDEX(Salary_Calculation[Working Days],ROW()-ROW(Payslip_Lookup[#Headers])))</f>
        <v/>
      </c>
      <c r="G380" s="173" t="str">
        <f aca="false">IF(INDEX(Salary_Calculation[Source Row],ROW()-ROW(Payslip_Lookup[#Headers]))="","",INDEX(Salary_Calculation[Calendar Days],ROW()-ROW(Payslip_Lookup[#Headers])))</f>
        <v/>
      </c>
      <c r="H380" s="174" t="str">
        <f aca="false">IF(INDEX(Salary_Calculation[Source Row],ROW()-ROW(Payslip_Lookup[#Headers]))="","",INDEX(Salary_Calculation[Monthly Target Orders],ROW()-ROW(Payslip_Lookup[#Headers])))</f>
        <v/>
      </c>
      <c r="I380" s="174" t="str">
        <f aca="false">IF(INDEX(Salary_Calculation[Source Row],ROW()-ROW(Payslip_Lookup[#Headers]))="","",INDEX(Salary_Calculation[Rider Target Orders],ROW()-ROW(Payslip_Lookup[#Headers])))</f>
        <v/>
      </c>
      <c r="J380" s="175" t="str">
        <f aca="false">IF(INDEX(Salary_Calculation[Source Row],ROW()-ROW(Payslip_Lookup[#Headers]))="","",INDEX(Salary_Calculation[Completed Orders],ROW()-ROW(Payslip_Lookup[#Headers])))</f>
        <v/>
      </c>
      <c r="K380" s="174" t="str">
        <f aca="false">IF(INDEX(Salary_Calculation[Source Row],ROW()-ROW(Payslip_Lookup[#Headers]))="","",INDEX(Salary_Calculation[Base Order Rate],ROW()-ROW(Payslip_Lookup[#Headers])))</f>
        <v/>
      </c>
      <c r="L380" s="176" t="str">
        <f aca="false">IF(INDEX(Salary_Calculation[Source Row],ROW()-ROW(Payslip_Lookup[#Headers]))="","",INDEX(Salary_Calculation[Basic Payment],ROW()-ROW(Payslip_Lookup[#Headers])))</f>
        <v/>
      </c>
      <c r="M380" s="176" t="str">
        <f aca="false">IF(INDEX(Salary_Calculation[Source Row],ROW()-ROW(Payslip_Lookup[#Headers]))="","",INDEX(Salary_Calculation[Earned Salary],ROW()-ROW(Payslip_Lookup[#Headers])))</f>
        <v/>
      </c>
      <c r="N380" s="174" t="str">
        <f aca="false">IF(INDEX(Salary_Calculation[Source Row],ROW()-ROW(Payslip_Lookup[#Headers]))="","",INDEX(Salary_Calculation[Orders Counted at Base Rate],ROW()-ROW(Payslip_Lookup[#Headers])))</f>
        <v/>
      </c>
      <c r="O380" s="174" t="str">
        <f aca="false">IF(INDEX(Salary_Calculation[Source Row],ROW()-ROW(Payslip_Lookup[#Headers]))="","",INDEX(Salary_Calculation[Missing Orders],ROW()-ROW(Payslip_Lookup[#Headers])))</f>
        <v/>
      </c>
      <c r="P380" s="176" t="str">
        <f aca="false">IF(INDEX(Salary_Calculation[Source Row],ROW()-ROW(Payslip_Lookup[#Headers]))="","",INDEX(Salary_Calculation[Missing-Order Deduction],ROW()-ROW(Payslip_Lookup[#Headers])))</f>
        <v/>
      </c>
      <c r="Q380" s="174" t="str">
        <f aca="false">IF(INDEX(Salary_Calculation[Source Row],ROW()-ROW(Payslip_Lookup[#Headers]))="","",INDEX(Salary_Calculation[Extra Orders],ROW()-ROW(Payslip_Lookup[#Headers])))</f>
        <v/>
      </c>
      <c r="R380" s="176" t="str">
        <f aca="false">IF(INDEX(Salary_Calculation[Source Row],ROW()-ROW(Payslip_Lookup[#Headers]))="","",INDEX(Salary_Calculation[Extra-Order Bonus],ROW()-ROW(Payslip_Lookup[#Headers])))</f>
        <v/>
      </c>
      <c r="S380" s="176" t="str">
        <f aca="false">IF(INDEX(Salary_Calculation[Source Row],ROW()-ROW(Payslip_Lookup[#Headers]))="","",INDEX(Salary_Calculation[Basic Salary for Target],ROW()-ROW(Payslip_Lookup[#Headers])))</f>
        <v/>
      </c>
      <c r="T380" s="176" t="str">
        <f aca="false">IF(INDEX(Salary_Calculation[Source Row],ROW()-ROW(Payslip_Lookup[#Headers]))="","",INDEX(Salary_Calculation[Gross Salary Before Deductions],ROW()-ROW(Payslip_Lookup[#Headers])))</f>
        <v/>
      </c>
      <c r="U380" s="176" t="str">
        <f aca="false">IF(INDEX(Salary_Calculation[Source Row],ROW()-ROW(Payslip_Lookup[#Headers]))="","",INDEX(Salary_Calculation[missed_days_penalty],ROW()-ROW(Payslip_Lookup[#Headers])))</f>
        <v/>
      </c>
      <c r="V380" s="176" t="str">
        <f aca="false">IF(INDEX(Salary_Calculation[Source Row],ROW()-ROW(Payslip_Lookup[#Headers]))="","",INDEX(Salary_Calculation[Rider Balance],ROW()-ROW(Payslip_Lookup[#Headers])))</f>
        <v/>
      </c>
      <c r="W380" s="176" t="str">
        <f aca="false">IF(INDEX(Salary_Calculation[Source Row],ROW()-ROW(Payslip_Lookup[#Headers]))="","",INDEX(Salary_Calculation[stacking_deduction],ROW()-ROW(Payslip_Lookup[#Headers])))</f>
        <v/>
      </c>
      <c r="X380" s="176" t="str">
        <f aca="false">IF(INDEX(Salary_Calculation[Source Row],ROW()-ROW(Payslip_Lookup[#Headers]))="","",INDEX(Salary_Calculation[Other Deductions],ROW()-ROW(Payslip_Lookup[#Headers])))</f>
        <v/>
      </c>
      <c r="Y380" s="176" t="str">
        <f aca="false">IF(INDEX(Salary_Calculation[Source Row],ROW()-ROW(Payslip_Lookup[#Headers]))="","",INDEX(Salary_Calculation[Total Deductions],ROW()-ROW(Payslip_Lookup[#Headers])))</f>
        <v/>
      </c>
      <c r="Z380" s="176" t="str">
        <f aca="false">IF(INDEX(Salary_Calculation[Source Row],ROW()-ROW(Payslip_Lookup[#Headers]))="","",INDEX(Salary_Calculation[Final Salary],ROW()-ROW(Payslip_Lookup[#Headers])))</f>
        <v/>
      </c>
      <c r="AA380" s="176" t="str">
        <f aca="false">IF(INDEX(Salary_Calculation[Source Row],ROW()-ROW(Payslip_Lookup[#Headers]))="","",INDEX(Salary_Calculation[Negative Balance / Amount Due from Rider],ROW()-ROW(Payslip_Lookup[#Headers])))</f>
        <v/>
      </c>
      <c r="AB380" s="176" t="str">
        <f aca="false">IF(INDEX(Salary_Calculation[Source Row],ROW()-ROW(Payslip_Lookup[#Headers]))="","",INDEX(Salary_Calculation[Total Amount Due from Rider],ROW()-ROW(Payslip_Lookup[#Headers])))</f>
        <v/>
      </c>
      <c r="AC380" s="176" t="str">
        <f aca="false">IF(INDEX(Salary_Calculation[Source Row],ROW()-ROW(Payslip_Lookup[#Headers]))="","",INDEX(Salary_Calculation[Salary Before Other Deductions],ROW()-ROW(Payslip_Lookup[#Headers])))</f>
        <v/>
      </c>
      <c r="AD380" s="171" t="str">
        <f aca="false">IF(INDEX(Salary_Calculation[Source Row],ROW()-ROW(Payslip_Lookup[#Headers]))="","",INDEX(Salary_Calculation[Payment Status],ROW()-ROW(Payslip_Lookup[#Headers])))</f>
        <v/>
      </c>
      <c r="AE380" s="171" t="str">
        <f aca="false">IF(INDEX(Salary_Calculation[Source Row],ROW()-ROW(Payslip_Lookup[#Headers]))="","",INDEX(Salary_Calculation[Notes],ROW()-ROW(Payslip_Lookup[#Headers])))</f>
        <v/>
      </c>
      <c r="AF380" s="171" t="str">
        <f aca="false">IF(INDEX(Salary_Calculation[Source Row],ROW()-ROW(Payslip_Lookup[#Headers]))="","",INDEX(Salary_Calculation[Exception Reason],ROW()-ROW(Payslip_Lookup[#Headers])))</f>
        <v/>
      </c>
      <c r="AG380" s="173" t="str">
        <f aca="false">IF($AD380="Review Required",COUNTIF(AD$2:AD380,"Review Required"),"")</f>
        <v/>
      </c>
      <c r="AH380" s="173" t="str">
        <f aca="false">IF(AND($D380&lt;&gt;"",$B380=Payslip_Print!$C$2),MAX(AH$1:AH379)+1,"")</f>
        <v/>
      </c>
      <c r="AL380" s="178" t="str">
        <f aca="false">IFERROR(INDEX($D$2:$D$501,MATCH(ROW()-1,$AH$2:$AH$501,0)),"")</f>
        <v/>
      </c>
      <c r="AM380" s="179" t="str">
        <f aca="false">IF($Z380="","",IF(AND($C380&gt;=Dash_Start,$C380&lt;Dash_End),$Z380+ROW()/10000000,""))</f>
        <v/>
      </c>
    </row>
    <row r="381" customFormat="false" ht="14.25" hidden="false" customHeight="false" outlineLevel="0" collapsed="false">
      <c r="A381" s="171" t="str">
        <f aca="false">IF(Payslip_Lookup[[#This Row],[Rider ID]]="","",Payslip_Lookup[[#This Row],[Rider ID]]&amp;"|"&amp;Payslip_Lookup[[#This Row],[Month Key]])</f>
        <v/>
      </c>
      <c r="B381" s="172" t="str">
        <f aca="false">IF(ISNUMBER(Payslip_Lookup[[#This Row],[Salary Month]]),DATE(YEAR(Payslip_Lookup[[#This Row],[Salary Month]]),MONTH(Payslip_Lookup[[#This Row],[Salary Month]]),1),"")</f>
        <v/>
      </c>
      <c r="C381" s="172" t="str">
        <f aca="false">IF(INDEX(Salary_Calculation[Source Row],ROW()-ROW(Payslip_Lookup[#Headers]))="","",INDEX(Salary_Calculation[Salary Month],ROW()-ROW(Payslip_Lookup[#Headers])))</f>
        <v/>
      </c>
      <c r="D381" s="173" t="str">
        <f aca="false">IF(INDEX(Salary_Calculation[Source Row],ROW()-ROW(Payslip_Lookup[#Headers]))="","",INDEX(Salary_Calculation[Rider ID],ROW()-ROW(Payslip_Lookup[#Headers])))</f>
        <v/>
      </c>
      <c r="E381" s="171" t="str">
        <f aca="false">IF(INDEX(Salary_Calculation[Source Row],ROW()-ROW(Payslip_Lookup[#Headers]))="","",INDEX(Salary_Calculation[Rider Name],ROW()-ROW(Payslip_Lookup[#Headers])))</f>
        <v/>
      </c>
      <c r="F381" s="173" t="str">
        <f aca="false">IF(INDEX(Salary_Calculation[Source Row],ROW()-ROW(Payslip_Lookup[#Headers]))="","",INDEX(Salary_Calculation[Working Days],ROW()-ROW(Payslip_Lookup[#Headers])))</f>
        <v/>
      </c>
      <c r="G381" s="173" t="str">
        <f aca="false">IF(INDEX(Salary_Calculation[Source Row],ROW()-ROW(Payslip_Lookup[#Headers]))="","",INDEX(Salary_Calculation[Calendar Days],ROW()-ROW(Payslip_Lookup[#Headers])))</f>
        <v/>
      </c>
      <c r="H381" s="174" t="str">
        <f aca="false">IF(INDEX(Salary_Calculation[Source Row],ROW()-ROW(Payslip_Lookup[#Headers]))="","",INDEX(Salary_Calculation[Monthly Target Orders],ROW()-ROW(Payslip_Lookup[#Headers])))</f>
        <v/>
      </c>
      <c r="I381" s="174" t="str">
        <f aca="false">IF(INDEX(Salary_Calculation[Source Row],ROW()-ROW(Payslip_Lookup[#Headers]))="","",INDEX(Salary_Calculation[Rider Target Orders],ROW()-ROW(Payslip_Lookup[#Headers])))</f>
        <v/>
      </c>
      <c r="J381" s="175" t="str">
        <f aca="false">IF(INDEX(Salary_Calculation[Source Row],ROW()-ROW(Payslip_Lookup[#Headers]))="","",INDEX(Salary_Calculation[Completed Orders],ROW()-ROW(Payslip_Lookup[#Headers])))</f>
        <v/>
      </c>
      <c r="K381" s="174" t="str">
        <f aca="false">IF(INDEX(Salary_Calculation[Source Row],ROW()-ROW(Payslip_Lookup[#Headers]))="","",INDEX(Salary_Calculation[Base Order Rate],ROW()-ROW(Payslip_Lookup[#Headers])))</f>
        <v/>
      </c>
      <c r="L381" s="176" t="str">
        <f aca="false">IF(INDEX(Salary_Calculation[Source Row],ROW()-ROW(Payslip_Lookup[#Headers]))="","",INDEX(Salary_Calculation[Basic Payment],ROW()-ROW(Payslip_Lookup[#Headers])))</f>
        <v/>
      </c>
      <c r="M381" s="176" t="str">
        <f aca="false">IF(INDEX(Salary_Calculation[Source Row],ROW()-ROW(Payslip_Lookup[#Headers]))="","",INDEX(Salary_Calculation[Earned Salary],ROW()-ROW(Payslip_Lookup[#Headers])))</f>
        <v/>
      </c>
      <c r="N381" s="174" t="str">
        <f aca="false">IF(INDEX(Salary_Calculation[Source Row],ROW()-ROW(Payslip_Lookup[#Headers]))="","",INDEX(Salary_Calculation[Orders Counted at Base Rate],ROW()-ROW(Payslip_Lookup[#Headers])))</f>
        <v/>
      </c>
      <c r="O381" s="174" t="str">
        <f aca="false">IF(INDEX(Salary_Calculation[Source Row],ROW()-ROW(Payslip_Lookup[#Headers]))="","",INDEX(Salary_Calculation[Missing Orders],ROW()-ROW(Payslip_Lookup[#Headers])))</f>
        <v/>
      </c>
      <c r="P381" s="176" t="str">
        <f aca="false">IF(INDEX(Salary_Calculation[Source Row],ROW()-ROW(Payslip_Lookup[#Headers]))="","",INDEX(Salary_Calculation[Missing-Order Deduction],ROW()-ROW(Payslip_Lookup[#Headers])))</f>
        <v/>
      </c>
      <c r="Q381" s="174" t="str">
        <f aca="false">IF(INDEX(Salary_Calculation[Source Row],ROW()-ROW(Payslip_Lookup[#Headers]))="","",INDEX(Salary_Calculation[Extra Orders],ROW()-ROW(Payslip_Lookup[#Headers])))</f>
        <v/>
      </c>
      <c r="R381" s="176" t="str">
        <f aca="false">IF(INDEX(Salary_Calculation[Source Row],ROW()-ROW(Payslip_Lookup[#Headers]))="","",INDEX(Salary_Calculation[Extra-Order Bonus],ROW()-ROW(Payslip_Lookup[#Headers])))</f>
        <v/>
      </c>
      <c r="S381" s="176" t="str">
        <f aca="false">IF(INDEX(Salary_Calculation[Source Row],ROW()-ROW(Payslip_Lookup[#Headers]))="","",INDEX(Salary_Calculation[Basic Salary for Target],ROW()-ROW(Payslip_Lookup[#Headers])))</f>
        <v/>
      </c>
      <c r="T381" s="176" t="str">
        <f aca="false">IF(INDEX(Salary_Calculation[Source Row],ROW()-ROW(Payslip_Lookup[#Headers]))="","",INDEX(Salary_Calculation[Gross Salary Before Deductions],ROW()-ROW(Payslip_Lookup[#Headers])))</f>
        <v/>
      </c>
      <c r="U381" s="176" t="str">
        <f aca="false">IF(INDEX(Salary_Calculation[Source Row],ROW()-ROW(Payslip_Lookup[#Headers]))="","",INDEX(Salary_Calculation[missed_days_penalty],ROW()-ROW(Payslip_Lookup[#Headers])))</f>
        <v/>
      </c>
      <c r="V381" s="176" t="str">
        <f aca="false">IF(INDEX(Salary_Calculation[Source Row],ROW()-ROW(Payslip_Lookup[#Headers]))="","",INDEX(Salary_Calculation[Rider Balance],ROW()-ROW(Payslip_Lookup[#Headers])))</f>
        <v/>
      </c>
      <c r="W381" s="176" t="str">
        <f aca="false">IF(INDEX(Salary_Calculation[Source Row],ROW()-ROW(Payslip_Lookup[#Headers]))="","",INDEX(Salary_Calculation[stacking_deduction],ROW()-ROW(Payslip_Lookup[#Headers])))</f>
        <v/>
      </c>
      <c r="X381" s="176" t="str">
        <f aca="false">IF(INDEX(Salary_Calculation[Source Row],ROW()-ROW(Payslip_Lookup[#Headers]))="","",INDEX(Salary_Calculation[Other Deductions],ROW()-ROW(Payslip_Lookup[#Headers])))</f>
        <v/>
      </c>
      <c r="Y381" s="176" t="str">
        <f aca="false">IF(INDEX(Salary_Calculation[Source Row],ROW()-ROW(Payslip_Lookup[#Headers]))="","",INDEX(Salary_Calculation[Total Deductions],ROW()-ROW(Payslip_Lookup[#Headers])))</f>
        <v/>
      </c>
      <c r="Z381" s="176" t="str">
        <f aca="false">IF(INDEX(Salary_Calculation[Source Row],ROW()-ROW(Payslip_Lookup[#Headers]))="","",INDEX(Salary_Calculation[Final Salary],ROW()-ROW(Payslip_Lookup[#Headers])))</f>
        <v/>
      </c>
      <c r="AA381" s="176" t="str">
        <f aca="false">IF(INDEX(Salary_Calculation[Source Row],ROW()-ROW(Payslip_Lookup[#Headers]))="","",INDEX(Salary_Calculation[Negative Balance / Amount Due from Rider],ROW()-ROW(Payslip_Lookup[#Headers])))</f>
        <v/>
      </c>
      <c r="AB381" s="176" t="str">
        <f aca="false">IF(INDEX(Salary_Calculation[Source Row],ROW()-ROW(Payslip_Lookup[#Headers]))="","",INDEX(Salary_Calculation[Total Amount Due from Rider],ROW()-ROW(Payslip_Lookup[#Headers])))</f>
        <v/>
      </c>
      <c r="AC381" s="176" t="str">
        <f aca="false">IF(INDEX(Salary_Calculation[Source Row],ROW()-ROW(Payslip_Lookup[#Headers]))="","",INDEX(Salary_Calculation[Salary Before Other Deductions],ROW()-ROW(Payslip_Lookup[#Headers])))</f>
        <v/>
      </c>
      <c r="AD381" s="171" t="str">
        <f aca="false">IF(INDEX(Salary_Calculation[Source Row],ROW()-ROW(Payslip_Lookup[#Headers]))="","",INDEX(Salary_Calculation[Payment Status],ROW()-ROW(Payslip_Lookup[#Headers])))</f>
        <v/>
      </c>
      <c r="AE381" s="171" t="str">
        <f aca="false">IF(INDEX(Salary_Calculation[Source Row],ROW()-ROW(Payslip_Lookup[#Headers]))="","",INDEX(Salary_Calculation[Notes],ROW()-ROW(Payslip_Lookup[#Headers])))</f>
        <v/>
      </c>
      <c r="AF381" s="171" t="str">
        <f aca="false">IF(INDEX(Salary_Calculation[Source Row],ROW()-ROW(Payslip_Lookup[#Headers]))="","",INDEX(Salary_Calculation[Exception Reason],ROW()-ROW(Payslip_Lookup[#Headers])))</f>
        <v/>
      </c>
      <c r="AG381" s="173" t="str">
        <f aca="false">IF($AD381="Review Required",COUNTIF(AD$2:AD381,"Review Required"),"")</f>
        <v/>
      </c>
      <c r="AH381" s="173" t="str">
        <f aca="false">IF(AND($D381&lt;&gt;"",$B381=Payslip_Print!$C$2),MAX(AH$1:AH380)+1,"")</f>
        <v/>
      </c>
      <c r="AL381" s="178" t="str">
        <f aca="false">IFERROR(INDEX($D$2:$D$501,MATCH(ROW()-1,$AH$2:$AH$501,0)),"")</f>
        <v/>
      </c>
      <c r="AM381" s="179" t="str">
        <f aca="false">IF($Z381="","",IF(AND($C381&gt;=Dash_Start,$C381&lt;Dash_End),$Z381+ROW()/10000000,""))</f>
        <v/>
      </c>
    </row>
    <row r="382" customFormat="false" ht="14.25" hidden="false" customHeight="false" outlineLevel="0" collapsed="false">
      <c r="A382" s="171" t="str">
        <f aca="false">IF(Payslip_Lookup[[#This Row],[Rider ID]]="","",Payslip_Lookup[[#This Row],[Rider ID]]&amp;"|"&amp;Payslip_Lookup[[#This Row],[Month Key]])</f>
        <v/>
      </c>
      <c r="B382" s="172" t="str">
        <f aca="false">IF(ISNUMBER(Payslip_Lookup[[#This Row],[Salary Month]]),DATE(YEAR(Payslip_Lookup[[#This Row],[Salary Month]]),MONTH(Payslip_Lookup[[#This Row],[Salary Month]]),1),"")</f>
        <v/>
      </c>
      <c r="C382" s="172" t="str">
        <f aca="false">IF(INDEX(Salary_Calculation[Source Row],ROW()-ROW(Payslip_Lookup[#Headers]))="","",INDEX(Salary_Calculation[Salary Month],ROW()-ROW(Payslip_Lookup[#Headers])))</f>
        <v/>
      </c>
      <c r="D382" s="173" t="str">
        <f aca="false">IF(INDEX(Salary_Calculation[Source Row],ROW()-ROW(Payslip_Lookup[#Headers]))="","",INDEX(Salary_Calculation[Rider ID],ROW()-ROW(Payslip_Lookup[#Headers])))</f>
        <v/>
      </c>
      <c r="E382" s="171" t="str">
        <f aca="false">IF(INDEX(Salary_Calculation[Source Row],ROW()-ROW(Payslip_Lookup[#Headers]))="","",INDEX(Salary_Calculation[Rider Name],ROW()-ROW(Payslip_Lookup[#Headers])))</f>
        <v/>
      </c>
      <c r="F382" s="173" t="str">
        <f aca="false">IF(INDEX(Salary_Calculation[Source Row],ROW()-ROW(Payslip_Lookup[#Headers]))="","",INDEX(Salary_Calculation[Working Days],ROW()-ROW(Payslip_Lookup[#Headers])))</f>
        <v/>
      </c>
      <c r="G382" s="173" t="str">
        <f aca="false">IF(INDEX(Salary_Calculation[Source Row],ROW()-ROW(Payslip_Lookup[#Headers]))="","",INDEX(Salary_Calculation[Calendar Days],ROW()-ROW(Payslip_Lookup[#Headers])))</f>
        <v/>
      </c>
      <c r="H382" s="174" t="str">
        <f aca="false">IF(INDEX(Salary_Calculation[Source Row],ROW()-ROW(Payslip_Lookup[#Headers]))="","",INDEX(Salary_Calculation[Monthly Target Orders],ROW()-ROW(Payslip_Lookup[#Headers])))</f>
        <v/>
      </c>
      <c r="I382" s="174" t="str">
        <f aca="false">IF(INDEX(Salary_Calculation[Source Row],ROW()-ROW(Payslip_Lookup[#Headers]))="","",INDEX(Salary_Calculation[Rider Target Orders],ROW()-ROW(Payslip_Lookup[#Headers])))</f>
        <v/>
      </c>
      <c r="J382" s="175" t="str">
        <f aca="false">IF(INDEX(Salary_Calculation[Source Row],ROW()-ROW(Payslip_Lookup[#Headers]))="","",INDEX(Salary_Calculation[Completed Orders],ROW()-ROW(Payslip_Lookup[#Headers])))</f>
        <v/>
      </c>
      <c r="K382" s="174" t="str">
        <f aca="false">IF(INDEX(Salary_Calculation[Source Row],ROW()-ROW(Payslip_Lookup[#Headers]))="","",INDEX(Salary_Calculation[Base Order Rate],ROW()-ROW(Payslip_Lookup[#Headers])))</f>
        <v/>
      </c>
      <c r="L382" s="176" t="str">
        <f aca="false">IF(INDEX(Salary_Calculation[Source Row],ROW()-ROW(Payslip_Lookup[#Headers]))="","",INDEX(Salary_Calculation[Basic Payment],ROW()-ROW(Payslip_Lookup[#Headers])))</f>
        <v/>
      </c>
      <c r="M382" s="176" t="str">
        <f aca="false">IF(INDEX(Salary_Calculation[Source Row],ROW()-ROW(Payslip_Lookup[#Headers]))="","",INDEX(Salary_Calculation[Earned Salary],ROW()-ROW(Payslip_Lookup[#Headers])))</f>
        <v/>
      </c>
      <c r="N382" s="174" t="str">
        <f aca="false">IF(INDEX(Salary_Calculation[Source Row],ROW()-ROW(Payslip_Lookup[#Headers]))="","",INDEX(Salary_Calculation[Orders Counted at Base Rate],ROW()-ROW(Payslip_Lookup[#Headers])))</f>
        <v/>
      </c>
      <c r="O382" s="174" t="str">
        <f aca="false">IF(INDEX(Salary_Calculation[Source Row],ROW()-ROW(Payslip_Lookup[#Headers]))="","",INDEX(Salary_Calculation[Missing Orders],ROW()-ROW(Payslip_Lookup[#Headers])))</f>
        <v/>
      </c>
      <c r="P382" s="176" t="str">
        <f aca="false">IF(INDEX(Salary_Calculation[Source Row],ROW()-ROW(Payslip_Lookup[#Headers]))="","",INDEX(Salary_Calculation[Missing-Order Deduction],ROW()-ROW(Payslip_Lookup[#Headers])))</f>
        <v/>
      </c>
      <c r="Q382" s="174" t="str">
        <f aca="false">IF(INDEX(Salary_Calculation[Source Row],ROW()-ROW(Payslip_Lookup[#Headers]))="","",INDEX(Salary_Calculation[Extra Orders],ROW()-ROW(Payslip_Lookup[#Headers])))</f>
        <v/>
      </c>
      <c r="R382" s="176" t="str">
        <f aca="false">IF(INDEX(Salary_Calculation[Source Row],ROW()-ROW(Payslip_Lookup[#Headers]))="","",INDEX(Salary_Calculation[Extra-Order Bonus],ROW()-ROW(Payslip_Lookup[#Headers])))</f>
        <v/>
      </c>
      <c r="S382" s="176" t="str">
        <f aca="false">IF(INDEX(Salary_Calculation[Source Row],ROW()-ROW(Payslip_Lookup[#Headers]))="","",INDEX(Salary_Calculation[Basic Salary for Target],ROW()-ROW(Payslip_Lookup[#Headers])))</f>
        <v/>
      </c>
      <c r="T382" s="176" t="str">
        <f aca="false">IF(INDEX(Salary_Calculation[Source Row],ROW()-ROW(Payslip_Lookup[#Headers]))="","",INDEX(Salary_Calculation[Gross Salary Before Deductions],ROW()-ROW(Payslip_Lookup[#Headers])))</f>
        <v/>
      </c>
      <c r="U382" s="176" t="str">
        <f aca="false">IF(INDEX(Salary_Calculation[Source Row],ROW()-ROW(Payslip_Lookup[#Headers]))="","",INDEX(Salary_Calculation[missed_days_penalty],ROW()-ROW(Payslip_Lookup[#Headers])))</f>
        <v/>
      </c>
      <c r="V382" s="176" t="str">
        <f aca="false">IF(INDEX(Salary_Calculation[Source Row],ROW()-ROW(Payslip_Lookup[#Headers]))="","",INDEX(Salary_Calculation[Rider Balance],ROW()-ROW(Payslip_Lookup[#Headers])))</f>
        <v/>
      </c>
      <c r="W382" s="176" t="str">
        <f aca="false">IF(INDEX(Salary_Calculation[Source Row],ROW()-ROW(Payslip_Lookup[#Headers]))="","",INDEX(Salary_Calculation[stacking_deduction],ROW()-ROW(Payslip_Lookup[#Headers])))</f>
        <v/>
      </c>
      <c r="X382" s="176" t="str">
        <f aca="false">IF(INDEX(Salary_Calculation[Source Row],ROW()-ROW(Payslip_Lookup[#Headers]))="","",INDEX(Salary_Calculation[Other Deductions],ROW()-ROW(Payslip_Lookup[#Headers])))</f>
        <v/>
      </c>
      <c r="Y382" s="176" t="str">
        <f aca="false">IF(INDEX(Salary_Calculation[Source Row],ROW()-ROW(Payslip_Lookup[#Headers]))="","",INDEX(Salary_Calculation[Total Deductions],ROW()-ROW(Payslip_Lookup[#Headers])))</f>
        <v/>
      </c>
      <c r="Z382" s="176" t="str">
        <f aca="false">IF(INDEX(Salary_Calculation[Source Row],ROW()-ROW(Payslip_Lookup[#Headers]))="","",INDEX(Salary_Calculation[Final Salary],ROW()-ROW(Payslip_Lookup[#Headers])))</f>
        <v/>
      </c>
      <c r="AA382" s="176" t="str">
        <f aca="false">IF(INDEX(Salary_Calculation[Source Row],ROW()-ROW(Payslip_Lookup[#Headers]))="","",INDEX(Salary_Calculation[Negative Balance / Amount Due from Rider],ROW()-ROW(Payslip_Lookup[#Headers])))</f>
        <v/>
      </c>
      <c r="AB382" s="176" t="str">
        <f aca="false">IF(INDEX(Salary_Calculation[Source Row],ROW()-ROW(Payslip_Lookup[#Headers]))="","",INDEX(Salary_Calculation[Total Amount Due from Rider],ROW()-ROW(Payslip_Lookup[#Headers])))</f>
        <v/>
      </c>
      <c r="AC382" s="176" t="str">
        <f aca="false">IF(INDEX(Salary_Calculation[Source Row],ROW()-ROW(Payslip_Lookup[#Headers]))="","",INDEX(Salary_Calculation[Salary Before Other Deductions],ROW()-ROW(Payslip_Lookup[#Headers])))</f>
        <v/>
      </c>
      <c r="AD382" s="171" t="str">
        <f aca="false">IF(INDEX(Salary_Calculation[Source Row],ROW()-ROW(Payslip_Lookup[#Headers]))="","",INDEX(Salary_Calculation[Payment Status],ROW()-ROW(Payslip_Lookup[#Headers])))</f>
        <v/>
      </c>
      <c r="AE382" s="171" t="str">
        <f aca="false">IF(INDEX(Salary_Calculation[Source Row],ROW()-ROW(Payslip_Lookup[#Headers]))="","",INDEX(Salary_Calculation[Notes],ROW()-ROW(Payslip_Lookup[#Headers])))</f>
        <v/>
      </c>
      <c r="AF382" s="171" t="str">
        <f aca="false">IF(INDEX(Salary_Calculation[Source Row],ROW()-ROW(Payslip_Lookup[#Headers]))="","",INDEX(Salary_Calculation[Exception Reason],ROW()-ROW(Payslip_Lookup[#Headers])))</f>
        <v/>
      </c>
      <c r="AG382" s="173" t="str">
        <f aca="false">IF($AD382="Review Required",COUNTIF(AD$2:AD382,"Review Required"),"")</f>
        <v/>
      </c>
      <c r="AH382" s="173" t="str">
        <f aca="false">IF(AND($D382&lt;&gt;"",$B382=Payslip_Print!$C$2),MAX(AH$1:AH381)+1,"")</f>
        <v/>
      </c>
      <c r="AL382" s="178" t="str">
        <f aca="false">IFERROR(INDEX($D$2:$D$501,MATCH(ROW()-1,$AH$2:$AH$501,0)),"")</f>
        <v/>
      </c>
      <c r="AM382" s="179" t="str">
        <f aca="false">IF($Z382="","",IF(AND($C382&gt;=Dash_Start,$C382&lt;Dash_End),$Z382+ROW()/10000000,""))</f>
        <v/>
      </c>
    </row>
    <row r="383" customFormat="false" ht="14.25" hidden="false" customHeight="false" outlineLevel="0" collapsed="false">
      <c r="A383" s="171" t="str">
        <f aca="false">IF(Payslip_Lookup[[#This Row],[Rider ID]]="","",Payslip_Lookup[[#This Row],[Rider ID]]&amp;"|"&amp;Payslip_Lookup[[#This Row],[Month Key]])</f>
        <v/>
      </c>
      <c r="B383" s="172" t="str">
        <f aca="false">IF(ISNUMBER(Payslip_Lookup[[#This Row],[Salary Month]]),DATE(YEAR(Payslip_Lookup[[#This Row],[Salary Month]]),MONTH(Payslip_Lookup[[#This Row],[Salary Month]]),1),"")</f>
        <v/>
      </c>
      <c r="C383" s="172" t="str">
        <f aca="false">IF(INDEX(Salary_Calculation[Source Row],ROW()-ROW(Payslip_Lookup[#Headers]))="","",INDEX(Salary_Calculation[Salary Month],ROW()-ROW(Payslip_Lookup[#Headers])))</f>
        <v/>
      </c>
      <c r="D383" s="173" t="str">
        <f aca="false">IF(INDEX(Salary_Calculation[Source Row],ROW()-ROW(Payslip_Lookup[#Headers]))="","",INDEX(Salary_Calculation[Rider ID],ROW()-ROW(Payslip_Lookup[#Headers])))</f>
        <v/>
      </c>
      <c r="E383" s="171" t="str">
        <f aca="false">IF(INDEX(Salary_Calculation[Source Row],ROW()-ROW(Payslip_Lookup[#Headers]))="","",INDEX(Salary_Calculation[Rider Name],ROW()-ROW(Payslip_Lookup[#Headers])))</f>
        <v/>
      </c>
      <c r="F383" s="173" t="str">
        <f aca="false">IF(INDEX(Salary_Calculation[Source Row],ROW()-ROW(Payslip_Lookup[#Headers]))="","",INDEX(Salary_Calculation[Working Days],ROW()-ROW(Payslip_Lookup[#Headers])))</f>
        <v/>
      </c>
      <c r="G383" s="173" t="str">
        <f aca="false">IF(INDEX(Salary_Calculation[Source Row],ROW()-ROW(Payslip_Lookup[#Headers]))="","",INDEX(Salary_Calculation[Calendar Days],ROW()-ROW(Payslip_Lookup[#Headers])))</f>
        <v/>
      </c>
      <c r="H383" s="174" t="str">
        <f aca="false">IF(INDEX(Salary_Calculation[Source Row],ROW()-ROW(Payslip_Lookup[#Headers]))="","",INDEX(Salary_Calculation[Monthly Target Orders],ROW()-ROW(Payslip_Lookup[#Headers])))</f>
        <v/>
      </c>
      <c r="I383" s="174" t="str">
        <f aca="false">IF(INDEX(Salary_Calculation[Source Row],ROW()-ROW(Payslip_Lookup[#Headers]))="","",INDEX(Salary_Calculation[Rider Target Orders],ROW()-ROW(Payslip_Lookup[#Headers])))</f>
        <v/>
      </c>
      <c r="J383" s="175" t="str">
        <f aca="false">IF(INDEX(Salary_Calculation[Source Row],ROW()-ROW(Payslip_Lookup[#Headers]))="","",INDEX(Salary_Calculation[Completed Orders],ROW()-ROW(Payslip_Lookup[#Headers])))</f>
        <v/>
      </c>
      <c r="K383" s="174" t="str">
        <f aca="false">IF(INDEX(Salary_Calculation[Source Row],ROW()-ROW(Payslip_Lookup[#Headers]))="","",INDEX(Salary_Calculation[Base Order Rate],ROW()-ROW(Payslip_Lookup[#Headers])))</f>
        <v/>
      </c>
      <c r="L383" s="176" t="str">
        <f aca="false">IF(INDEX(Salary_Calculation[Source Row],ROW()-ROW(Payslip_Lookup[#Headers]))="","",INDEX(Salary_Calculation[Basic Payment],ROW()-ROW(Payslip_Lookup[#Headers])))</f>
        <v/>
      </c>
      <c r="M383" s="176" t="str">
        <f aca="false">IF(INDEX(Salary_Calculation[Source Row],ROW()-ROW(Payslip_Lookup[#Headers]))="","",INDEX(Salary_Calculation[Earned Salary],ROW()-ROW(Payslip_Lookup[#Headers])))</f>
        <v/>
      </c>
      <c r="N383" s="174" t="str">
        <f aca="false">IF(INDEX(Salary_Calculation[Source Row],ROW()-ROW(Payslip_Lookup[#Headers]))="","",INDEX(Salary_Calculation[Orders Counted at Base Rate],ROW()-ROW(Payslip_Lookup[#Headers])))</f>
        <v/>
      </c>
      <c r="O383" s="174" t="str">
        <f aca="false">IF(INDEX(Salary_Calculation[Source Row],ROW()-ROW(Payslip_Lookup[#Headers]))="","",INDEX(Salary_Calculation[Missing Orders],ROW()-ROW(Payslip_Lookup[#Headers])))</f>
        <v/>
      </c>
      <c r="P383" s="176" t="str">
        <f aca="false">IF(INDEX(Salary_Calculation[Source Row],ROW()-ROW(Payslip_Lookup[#Headers]))="","",INDEX(Salary_Calculation[Missing-Order Deduction],ROW()-ROW(Payslip_Lookup[#Headers])))</f>
        <v/>
      </c>
      <c r="Q383" s="174" t="str">
        <f aca="false">IF(INDEX(Salary_Calculation[Source Row],ROW()-ROW(Payslip_Lookup[#Headers]))="","",INDEX(Salary_Calculation[Extra Orders],ROW()-ROW(Payslip_Lookup[#Headers])))</f>
        <v/>
      </c>
      <c r="R383" s="176" t="str">
        <f aca="false">IF(INDEX(Salary_Calculation[Source Row],ROW()-ROW(Payslip_Lookup[#Headers]))="","",INDEX(Salary_Calculation[Extra-Order Bonus],ROW()-ROW(Payslip_Lookup[#Headers])))</f>
        <v/>
      </c>
      <c r="S383" s="176" t="str">
        <f aca="false">IF(INDEX(Salary_Calculation[Source Row],ROW()-ROW(Payslip_Lookup[#Headers]))="","",INDEX(Salary_Calculation[Basic Salary for Target],ROW()-ROW(Payslip_Lookup[#Headers])))</f>
        <v/>
      </c>
      <c r="T383" s="176" t="str">
        <f aca="false">IF(INDEX(Salary_Calculation[Source Row],ROW()-ROW(Payslip_Lookup[#Headers]))="","",INDEX(Salary_Calculation[Gross Salary Before Deductions],ROW()-ROW(Payslip_Lookup[#Headers])))</f>
        <v/>
      </c>
      <c r="U383" s="176" t="str">
        <f aca="false">IF(INDEX(Salary_Calculation[Source Row],ROW()-ROW(Payslip_Lookup[#Headers]))="","",INDEX(Salary_Calculation[missed_days_penalty],ROW()-ROW(Payslip_Lookup[#Headers])))</f>
        <v/>
      </c>
      <c r="V383" s="176" t="str">
        <f aca="false">IF(INDEX(Salary_Calculation[Source Row],ROW()-ROW(Payslip_Lookup[#Headers]))="","",INDEX(Salary_Calculation[Rider Balance],ROW()-ROW(Payslip_Lookup[#Headers])))</f>
        <v/>
      </c>
      <c r="W383" s="176" t="str">
        <f aca="false">IF(INDEX(Salary_Calculation[Source Row],ROW()-ROW(Payslip_Lookup[#Headers]))="","",INDEX(Salary_Calculation[stacking_deduction],ROW()-ROW(Payslip_Lookup[#Headers])))</f>
        <v/>
      </c>
      <c r="X383" s="176" t="str">
        <f aca="false">IF(INDEX(Salary_Calculation[Source Row],ROW()-ROW(Payslip_Lookup[#Headers]))="","",INDEX(Salary_Calculation[Other Deductions],ROW()-ROW(Payslip_Lookup[#Headers])))</f>
        <v/>
      </c>
      <c r="Y383" s="176" t="str">
        <f aca="false">IF(INDEX(Salary_Calculation[Source Row],ROW()-ROW(Payslip_Lookup[#Headers]))="","",INDEX(Salary_Calculation[Total Deductions],ROW()-ROW(Payslip_Lookup[#Headers])))</f>
        <v/>
      </c>
      <c r="Z383" s="176" t="str">
        <f aca="false">IF(INDEX(Salary_Calculation[Source Row],ROW()-ROW(Payslip_Lookup[#Headers]))="","",INDEX(Salary_Calculation[Final Salary],ROW()-ROW(Payslip_Lookup[#Headers])))</f>
        <v/>
      </c>
      <c r="AA383" s="176" t="str">
        <f aca="false">IF(INDEX(Salary_Calculation[Source Row],ROW()-ROW(Payslip_Lookup[#Headers]))="","",INDEX(Salary_Calculation[Negative Balance / Amount Due from Rider],ROW()-ROW(Payslip_Lookup[#Headers])))</f>
        <v/>
      </c>
      <c r="AB383" s="176" t="str">
        <f aca="false">IF(INDEX(Salary_Calculation[Source Row],ROW()-ROW(Payslip_Lookup[#Headers]))="","",INDEX(Salary_Calculation[Total Amount Due from Rider],ROW()-ROW(Payslip_Lookup[#Headers])))</f>
        <v/>
      </c>
      <c r="AC383" s="176" t="str">
        <f aca="false">IF(INDEX(Salary_Calculation[Source Row],ROW()-ROW(Payslip_Lookup[#Headers]))="","",INDEX(Salary_Calculation[Salary Before Other Deductions],ROW()-ROW(Payslip_Lookup[#Headers])))</f>
        <v/>
      </c>
      <c r="AD383" s="171" t="str">
        <f aca="false">IF(INDEX(Salary_Calculation[Source Row],ROW()-ROW(Payslip_Lookup[#Headers]))="","",INDEX(Salary_Calculation[Payment Status],ROW()-ROW(Payslip_Lookup[#Headers])))</f>
        <v/>
      </c>
      <c r="AE383" s="171" t="str">
        <f aca="false">IF(INDEX(Salary_Calculation[Source Row],ROW()-ROW(Payslip_Lookup[#Headers]))="","",INDEX(Salary_Calculation[Notes],ROW()-ROW(Payslip_Lookup[#Headers])))</f>
        <v/>
      </c>
      <c r="AF383" s="171" t="str">
        <f aca="false">IF(INDEX(Salary_Calculation[Source Row],ROW()-ROW(Payslip_Lookup[#Headers]))="","",INDEX(Salary_Calculation[Exception Reason],ROW()-ROW(Payslip_Lookup[#Headers])))</f>
        <v/>
      </c>
      <c r="AG383" s="173" t="str">
        <f aca="false">IF($AD383="Review Required",COUNTIF(AD$2:AD383,"Review Required"),"")</f>
        <v/>
      </c>
      <c r="AH383" s="173" t="str">
        <f aca="false">IF(AND($D383&lt;&gt;"",$B383=Payslip_Print!$C$2),MAX(AH$1:AH382)+1,"")</f>
        <v/>
      </c>
      <c r="AL383" s="178" t="str">
        <f aca="false">IFERROR(INDEX($D$2:$D$501,MATCH(ROW()-1,$AH$2:$AH$501,0)),"")</f>
        <v/>
      </c>
      <c r="AM383" s="179" t="str">
        <f aca="false">IF($Z383="","",IF(AND($C383&gt;=Dash_Start,$C383&lt;Dash_End),$Z383+ROW()/10000000,""))</f>
        <v/>
      </c>
    </row>
    <row r="384" customFormat="false" ht="14.25" hidden="false" customHeight="false" outlineLevel="0" collapsed="false">
      <c r="A384" s="171" t="str">
        <f aca="false">IF(Payslip_Lookup[[#This Row],[Rider ID]]="","",Payslip_Lookup[[#This Row],[Rider ID]]&amp;"|"&amp;Payslip_Lookup[[#This Row],[Month Key]])</f>
        <v/>
      </c>
      <c r="B384" s="172" t="str">
        <f aca="false">IF(ISNUMBER(Payslip_Lookup[[#This Row],[Salary Month]]),DATE(YEAR(Payslip_Lookup[[#This Row],[Salary Month]]),MONTH(Payslip_Lookup[[#This Row],[Salary Month]]),1),"")</f>
        <v/>
      </c>
      <c r="C384" s="172" t="str">
        <f aca="false">IF(INDEX(Salary_Calculation[Source Row],ROW()-ROW(Payslip_Lookup[#Headers]))="","",INDEX(Salary_Calculation[Salary Month],ROW()-ROW(Payslip_Lookup[#Headers])))</f>
        <v/>
      </c>
      <c r="D384" s="173" t="str">
        <f aca="false">IF(INDEX(Salary_Calculation[Source Row],ROW()-ROW(Payslip_Lookup[#Headers]))="","",INDEX(Salary_Calculation[Rider ID],ROW()-ROW(Payslip_Lookup[#Headers])))</f>
        <v/>
      </c>
      <c r="E384" s="171" t="str">
        <f aca="false">IF(INDEX(Salary_Calculation[Source Row],ROW()-ROW(Payslip_Lookup[#Headers]))="","",INDEX(Salary_Calculation[Rider Name],ROW()-ROW(Payslip_Lookup[#Headers])))</f>
        <v/>
      </c>
      <c r="F384" s="173" t="str">
        <f aca="false">IF(INDEX(Salary_Calculation[Source Row],ROW()-ROW(Payslip_Lookup[#Headers]))="","",INDEX(Salary_Calculation[Working Days],ROW()-ROW(Payslip_Lookup[#Headers])))</f>
        <v/>
      </c>
      <c r="G384" s="173" t="str">
        <f aca="false">IF(INDEX(Salary_Calculation[Source Row],ROW()-ROW(Payslip_Lookup[#Headers]))="","",INDEX(Salary_Calculation[Calendar Days],ROW()-ROW(Payslip_Lookup[#Headers])))</f>
        <v/>
      </c>
      <c r="H384" s="174" t="str">
        <f aca="false">IF(INDEX(Salary_Calculation[Source Row],ROW()-ROW(Payslip_Lookup[#Headers]))="","",INDEX(Salary_Calculation[Monthly Target Orders],ROW()-ROW(Payslip_Lookup[#Headers])))</f>
        <v/>
      </c>
      <c r="I384" s="174" t="str">
        <f aca="false">IF(INDEX(Salary_Calculation[Source Row],ROW()-ROW(Payslip_Lookup[#Headers]))="","",INDEX(Salary_Calculation[Rider Target Orders],ROW()-ROW(Payslip_Lookup[#Headers])))</f>
        <v/>
      </c>
      <c r="J384" s="175" t="str">
        <f aca="false">IF(INDEX(Salary_Calculation[Source Row],ROW()-ROW(Payslip_Lookup[#Headers]))="","",INDEX(Salary_Calculation[Completed Orders],ROW()-ROW(Payslip_Lookup[#Headers])))</f>
        <v/>
      </c>
      <c r="K384" s="174" t="str">
        <f aca="false">IF(INDEX(Salary_Calculation[Source Row],ROW()-ROW(Payslip_Lookup[#Headers]))="","",INDEX(Salary_Calculation[Base Order Rate],ROW()-ROW(Payslip_Lookup[#Headers])))</f>
        <v/>
      </c>
      <c r="L384" s="176" t="str">
        <f aca="false">IF(INDEX(Salary_Calculation[Source Row],ROW()-ROW(Payslip_Lookup[#Headers]))="","",INDEX(Salary_Calculation[Basic Payment],ROW()-ROW(Payslip_Lookup[#Headers])))</f>
        <v/>
      </c>
      <c r="M384" s="176" t="str">
        <f aca="false">IF(INDEX(Salary_Calculation[Source Row],ROW()-ROW(Payslip_Lookup[#Headers]))="","",INDEX(Salary_Calculation[Earned Salary],ROW()-ROW(Payslip_Lookup[#Headers])))</f>
        <v/>
      </c>
      <c r="N384" s="174" t="str">
        <f aca="false">IF(INDEX(Salary_Calculation[Source Row],ROW()-ROW(Payslip_Lookup[#Headers]))="","",INDEX(Salary_Calculation[Orders Counted at Base Rate],ROW()-ROW(Payslip_Lookup[#Headers])))</f>
        <v/>
      </c>
      <c r="O384" s="174" t="str">
        <f aca="false">IF(INDEX(Salary_Calculation[Source Row],ROW()-ROW(Payslip_Lookup[#Headers]))="","",INDEX(Salary_Calculation[Missing Orders],ROW()-ROW(Payslip_Lookup[#Headers])))</f>
        <v/>
      </c>
      <c r="P384" s="176" t="str">
        <f aca="false">IF(INDEX(Salary_Calculation[Source Row],ROW()-ROW(Payslip_Lookup[#Headers]))="","",INDEX(Salary_Calculation[Missing-Order Deduction],ROW()-ROW(Payslip_Lookup[#Headers])))</f>
        <v/>
      </c>
      <c r="Q384" s="174" t="str">
        <f aca="false">IF(INDEX(Salary_Calculation[Source Row],ROW()-ROW(Payslip_Lookup[#Headers]))="","",INDEX(Salary_Calculation[Extra Orders],ROW()-ROW(Payslip_Lookup[#Headers])))</f>
        <v/>
      </c>
      <c r="R384" s="176" t="str">
        <f aca="false">IF(INDEX(Salary_Calculation[Source Row],ROW()-ROW(Payslip_Lookup[#Headers]))="","",INDEX(Salary_Calculation[Extra-Order Bonus],ROW()-ROW(Payslip_Lookup[#Headers])))</f>
        <v/>
      </c>
      <c r="S384" s="176" t="str">
        <f aca="false">IF(INDEX(Salary_Calculation[Source Row],ROW()-ROW(Payslip_Lookup[#Headers]))="","",INDEX(Salary_Calculation[Basic Salary for Target],ROW()-ROW(Payslip_Lookup[#Headers])))</f>
        <v/>
      </c>
      <c r="T384" s="176" t="str">
        <f aca="false">IF(INDEX(Salary_Calculation[Source Row],ROW()-ROW(Payslip_Lookup[#Headers]))="","",INDEX(Salary_Calculation[Gross Salary Before Deductions],ROW()-ROW(Payslip_Lookup[#Headers])))</f>
        <v/>
      </c>
      <c r="U384" s="176" t="str">
        <f aca="false">IF(INDEX(Salary_Calculation[Source Row],ROW()-ROW(Payslip_Lookup[#Headers]))="","",INDEX(Salary_Calculation[missed_days_penalty],ROW()-ROW(Payslip_Lookup[#Headers])))</f>
        <v/>
      </c>
      <c r="V384" s="176" t="str">
        <f aca="false">IF(INDEX(Salary_Calculation[Source Row],ROW()-ROW(Payslip_Lookup[#Headers]))="","",INDEX(Salary_Calculation[Rider Balance],ROW()-ROW(Payslip_Lookup[#Headers])))</f>
        <v/>
      </c>
      <c r="W384" s="176" t="str">
        <f aca="false">IF(INDEX(Salary_Calculation[Source Row],ROW()-ROW(Payslip_Lookup[#Headers]))="","",INDEX(Salary_Calculation[stacking_deduction],ROW()-ROW(Payslip_Lookup[#Headers])))</f>
        <v/>
      </c>
      <c r="X384" s="176" t="str">
        <f aca="false">IF(INDEX(Salary_Calculation[Source Row],ROW()-ROW(Payslip_Lookup[#Headers]))="","",INDEX(Salary_Calculation[Other Deductions],ROW()-ROW(Payslip_Lookup[#Headers])))</f>
        <v/>
      </c>
      <c r="Y384" s="176" t="str">
        <f aca="false">IF(INDEX(Salary_Calculation[Source Row],ROW()-ROW(Payslip_Lookup[#Headers]))="","",INDEX(Salary_Calculation[Total Deductions],ROW()-ROW(Payslip_Lookup[#Headers])))</f>
        <v/>
      </c>
      <c r="Z384" s="176" t="str">
        <f aca="false">IF(INDEX(Salary_Calculation[Source Row],ROW()-ROW(Payslip_Lookup[#Headers]))="","",INDEX(Salary_Calculation[Final Salary],ROW()-ROW(Payslip_Lookup[#Headers])))</f>
        <v/>
      </c>
      <c r="AA384" s="176" t="str">
        <f aca="false">IF(INDEX(Salary_Calculation[Source Row],ROW()-ROW(Payslip_Lookup[#Headers]))="","",INDEX(Salary_Calculation[Negative Balance / Amount Due from Rider],ROW()-ROW(Payslip_Lookup[#Headers])))</f>
        <v/>
      </c>
      <c r="AB384" s="176" t="str">
        <f aca="false">IF(INDEX(Salary_Calculation[Source Row],ROW()-ROW(Payslip_Lookup[#Headers]))="","",INDEX(Salary_Calculation[Total Amount Due from Rider],ROW()-ROW(Payslip_Lookup[#Headers])))</f>
        <v/>
      </c>
      <c r="AC384" s="176" t="str">
        <f aca="false">IF(INDEX(Salary_Calculation[Source Row],ROW()-ROW(Payslip_Lookup[#Headers]))="","",INDEX(Salary_Calculation[Salary Before Other Deductions],ROW()-ROW(Payslip_Lookup[#Headers])))</f>
        <v/>
      </c>
      <c r="AD384" s="171" t="str">
        <f aca="false">IF(INDEX(Salary_Calculation[Source Row],ROW()-ROW(Payslip_Lookup[#Headers]))="","",INDEX(Salary_Calculation[Payment Status],ROW()-ROW(Payslip_Lookup[#Headers])))</f>
        <v/>
      </c>
      <c r="AE384" s="171" t="str">
        <f aca="false">IF(INDEX(Salary_Calculation[Source Row],ROW()-ROW(Payslip_Lookup[#Headers]))="","",INDEX(Salary_Calculation[Notes],ROW()-ROW(Payslip_Lookup[#Headers])))</f>
        <v/>
      </c>
      <c r="AF384" s="171" t="str">
        <f aca="false">IF(INDEX(Salary_Calculation[Source Row],ROW()-ROW(Payslip_Lookup[#Headers]))="","",INDEX(Salary_Calculation[Exception Reason],ROW()-ROW(Payslip_Lookup[#Headers])))</f>
        <v/>
      </c>
      <c r="AG384" s="173" t="str">
        <f aca="false">IF($AD384="Review Required",COUNTIF(AD$2:AD384,"Review Required"),"")</f>
        <v/>
      </c>
      <c r="AH384" s="173" t="str">
        <f aca="false">IF(AND($D384&lt;&gt;"",$B384=Payslip_Print!$C$2),MAX(AH$1:AH383)+1,"")</f>
        <v/>
      </c>
      <c r="AL384" s="178" t="str">
        <f aca="false">IFERROR(INDEX($D$2:$D$501,MATCH(ROW()-1,$AH$2:$AH$501,0)),"")</f>
        <v/>
      </c>
      <c r="AM384" s="179" t="str">
        <f aca="false">IF($Z384="","",IF(AND($C384&gt;=Dash_Start,$C384&lt;Dash_End),$Z384+ROW()/10000000,""))</f>
        <v/>
      </c>
    </row>
    <row r="385" customFormat="false" ht="14.25" hidden="false" customHeight="false" outlineLevel="0" collapsed="false">
      <c r="A385" s="171" t="str">
        <f aca="false">IF(Payslip_Lookup[[#This Row],[Rider ID]]="","",Payslip_Lookup[[#This Row],[Rider ID]]&amp;"|"&amp;Payslip_Lookup[[#This Row],[Month Key]])</f>
        <v/>
      </c>
      <c r="B385" s="172" t="str">
        <f aca="false">IF(ISNUMBER(Payslip_Lookup[[#This Row],[Salary Month]]),DATE(YEAR(Payslip_Lookup[[#This Row],[Salary Month]]),MONTH(Payslip_Lookup[[#This Row],[Salary Month]]),1),"")</f>
        <v/>
      </c>
      <c r="C385" s="172" t="str">
        <f aca="false">IF(INDEX(Salary_Calculation[Source Row],ROW()-ROW(Payslip_Lookup[#Headers]))="","",INDEX(Salary_Calculation[Salary Month],ROW()-ROW(Payslip_Lookup[#Headers])))</f>
        <v/>
      </c>
      <c r="D385" s="173" t="str">
        <f aca="false">IF(INDEX(Salary_Calculation[Source Row],ROW()-ROW(Payslip_Lookup[#Headers]))="","",INDEX(Salary_Calculation[Rider ID],ROW()-ROW(Payslip_Lookup[#Headers])))</f>
        <v/>
      </c>
      <c r="E385" s="171" t="str">
        <f aca="false">IF(INDEX(Salary_Calculation[Source Row],ROW()-ROW(Payslip_Lookup[#Headers]))="","",INDEX(Salary_Calculation[Rider Name],ROW()-ROW(Payslip_Lookup[#Headers])))</f>
        <v/>
      </c>
      <c r="F385" s="173" t="str">
        <f aca="false">IF(INDEX(Salary_Calculation[Source Row],ROW()-ROW(Payslip_Lookup[#Headers]))="","",INDEX(Salary_Calculation[Working Days],ROW()-ROW(Payslip_Lookup[#Headers])))</f>
        <v/>
      </c>
      <c r="G385" s="173" t="str">
        <f aca="false">IF(INDEX(Salary_Calculation[Source Row],ROW()-ROW(Payslip_Lookup[#Headers]))="","",INDEX(Salary_Calculation[Calendar Days],ROW()-ROW(Payslip_Lookup[#Headers])))</f>
        <v/>
      </c>
      <c r="H385" s="174" t="str">
        <f aca="false">IF(INDEX(Salary_Calculation[Source Row],ROW()-ROW(Payslip_Lookup[#Headers]))="","",INDEX(Salary_Calculation[Monthly Target Orders],ROW()-ROW(Payslip_Lookup[#Headers])))</f>
        <v/>
      </c>
      <c r="I385" s="174" t="str">
        <f aca="false">IF(INDEX(Salary_Calculation[Source Row],ROW()-ROW(Payslip_Lookup[#Headers]))="","",INDEX(Salary_Calculation[Rider Target Orders],ROW()-ROW(Payslip_Lookup[#Headers])))</f>
        <v/>
      </c>
      <c r="J385" s="175" t="str">
        <f aca="false">IF(INDEX(Salary_Calculation[Source Row],ROW()-ROW(Payslip_Lookup[#Headers]))="","",INDEX(Salary_Calculation[Completed Orders],ROW()-ROW(Payslip_Lookup[#Headers])))</f>
        <v/>
      </c>
      <c r="K385" s="174" t="str">
        <f aca="false">IF(INDEX(Salary_Calculation[Source Row],ROW()-ROW(Payslip_Lookup[#Headers]))="","",INDEX(Salary_Calculation[Base Order Rate],ROW()-ROW(Payslip_Lookup[#Headers])))</f>
        <v/>
      </c>
      <c r="L385" s="176" t="str">
        <f aca="false">IF(INDEX(Salary_Calculation[Source Row],ROW()-ROW(Payslip_Lookup[#Headers]))="","",INDEX(Salary_Calculation[Basic Payment],ROW()-ROW(Payslip_Lookup[#Headers])))</f>
        <v/>
      </c>
      <c r="M385" s="176" t="str">
        <f aca="false">IF(INDEX(Salary_Calculation[Source Row],ROW()-ROW(Payslip_Lookup[#Headers]))="","",INDEX(Salary_Calculation[Earned Salary],ROW()-ROW(Payslip_Lookup[#Headers])))</f>
        <v/>
      </c>
      <c r="N385" s="174" t="str">
        <f aca="false">IF(INDEX(Salary_Calculation[Source Row],ROW()-ROW(Payslip_Lookup[#Headers]))="","",INDEX(Salary_Calculation[Orders Counted at Base Rate],ROW()-ROW(Payslip_Lookup[#Headers])))</f>
        <v/>
      </c>
      <c r="O385" s="174" t="str">
        <f aca="false">IF(INDEX(Salary_Calculation[Source Row],ROW()-ROW(Payslip_Lookup[#Headers]))="","",INDEX(Salary_Calculation[Missing Orders],ROW()-ROW(Payslip_Lookup[#Headers])))</f>
        <v/>
      </c>
      <c r="P385" s="176" t="str">
        <f aca="false">IF(INDEX(Salary_Calculation[Source Row],ROW()-ROW(Payslip_Lookup[#Headers]))="","",INDEX(Salary_Calculation[Missing-Order Deduction],ROW()-ROW(Payslip_Lookup[#Headers])))</f>
        <v/>
      </c>
      <c r="Q385" s="174" t="str">
        <f aca="false">IF(INDEX(Salary_Calculation[Source Row],ROW()-ROW(Payslip_Lookup[#Headers]))="","",INDEX(Salary_Calculation[Extra Orders],ROW()-ROW(Payslip_Lookup[#Headers])))</f>
        <v/>
      </c>
      <c r="R385" s="176" t="str">
        <f aca="false">IF(INDEX(Salary_Calculation[Source Row],ROW()-ROW(Payslip_Lookup[#Headers]))="","",INDEX(Salary_Calculation[Extra-Order Bonus],ROW()-ROW(Payslip_Lookup[#Headers])))</f>
        <v/>
      </c>
      <c r="S385" s="176" t="str">
        <f aca="false">IF(INDEX(Salary_Calculation[Source Row],ROW()-ROW(Payslip_Lookup[#Headers]))="","",INDEX(Salary_Calculation[Basic Salary for Target],ROW()-ROW(Payslip_Lookup[#Headers])))</f>
        <v/>
      </c>
      <c r="T385" s="176" t="str">
        <f aca="false">IF(INDEX(Salary_Calculation[Source Row],ROW()-ROW(Payslip_Lookup[#Headers]))="","",INDEX(Salary_Calculation[Gross Salary Before Deductions],ROW()-ROW(Payslip_Lookup[#Headers])))</f>
        <v/>
      </c>
      <c r="U385" s="176" t="str">
        <f aca="false">IF(INDEX(Salary_Calculation[Source Row],ROW()-ROW(Payslip_Lookup[#Headers]))="","",INDEX(Salary_Calculation[missed_days_penalty],ROW()-ROW(Payslip_Lookup[#Headers])))</f>
        <v/>
      </c>
      <c r="V385" s="176" t="str">
        <f aca="false">IF(INDEX(Salary_Calculation[Source Row],ROW()-ROW(Payslip_Lookup[#Headers]))="","",INDEX(Salary_Calculation[Rider Balance],ROW()-ROW(Payslip_Lookup[#Headers])))</f>
        <v/>
      </c>
      <c r="W385" s="176" t="str">
        <f aca="false">IF(INDEX(Salary_Calculation[Source Row],ROW()-ROW(Payslip_Lookup[#Headers]))="","",INDEX(Salary_Calculation[stacking_deduction],ROW()-ROW(Payslip_Lookup[#Headers])))</f>
        <v/>
      </c>
      <c r="X385" s="176" t="str">
        <f aca="false">IF(INDEX(Salary_Calculation[Source Row],ROW()-ROW(Payslip_Lookup[#Headers]))="","",INDEX(Salary_Calculation[Other Deductions],ROW()-ROW(Payslip_Lookup[#Headers])))</f>
        <v/>
      </c>
      <c r="Y385" s="176" t="str">
        <f aca="false">IF(INDEX(Salary_Calculation[Source Row],ROW()-ROW(Payslip_Lookup[#Headers]))="","",INDEX(Salary_Calculation[Total Deductions],ROW()-ROW(Payslip_Lookup[#Headers])))</f>
        <v/>
      </c>
      <c r="Z385" s="176" t="str">
        <f aca="false">IF(INDEX(Salary_Calculation[Source Row],ROW()-ROW(Payslip_Lookup[#Headers]))="","",INDEX(Salary_Calculation[Final Salary],ROW()-ROW(Payslip_Lookup[#Headers])))</f>
        <v/>
      </c>
      <c r="AA385" s="176" t="str">
        <f aca="false">IF(INDEX(Salary_Calculation[Source Row],ROW()-ROW(Payslip_Lookup[#Headers]))="","",INDEX(Salary_Calculation[Negative Balance / Amount Due from Rider],ROW()-ROW(Payslip_Lookup[#Headers])))</f>
        <v/>
      </c>
      <c r="AB385" s="176" t="str">
        <f aca="false">IF(INDEX(Salary_Calculation[Source Row],ROW()-ROW(Payslip_Lookup[#Headers]))="","",INDEX(Salary_Calculation[Total Amount Due from Rider],ROW()-ROW(Payslip_Lookup[#Headers])))</f>
        <v/>
      </c>
      <c r="AC385" s="176" t="str">
        <f aca="false">IF(INDEX(Salary_Calculation[Source Row],ROW()-ROW(Payslip_Lookup[#Headers]))="","",INDEX(Salary_Calculation[Salary Before Other Deductions],ROW()-ROW(Payslip_Lookup[#Headers])))</f>
        <v/>
      </c>
      <c r="AD385" s="171" t="str">
        <f aca="false">IF(INDEX(Salary_Calculation[Source Row],ROW()-ROW(Payslip_Lookup[#Headers]))="","",INDEX(Salary_Calculation[Payment Status],ROW()-ROW(Payslip_Lookup[#Headers])))</f>
        <v/>
      </c>
      <c r="AE385" s="171" t="str">
        <f aca="false">IF(INDEX(Salary_Calculation[Source Row],ROW()-ROW(Payslip_Lookup[#Headers]))="","",INDEX(Salary_Calculation[Notes],ROW()-ROW(Payslip_Lookup[#Headers])))</f>
        <v/>
      </c>
      <c r="AF385" s="171" t="str">
        <f aca="false">IF(INDEX(Salary_Calculation[Source Row],ROW()-ROW(Payslip_Lookup[#Headers]))="","",INDEX(Salary_Calculation[Exception Reason],ROW()-ROW(Payslip_Lookup[#Headers])))</f>
        <v/>
      </c>
      <c r="AG385" s="173" t="str">
        <f aca="false">IF($AD385="Review Required",COUNTIF(AD$2:AD385,"Review Required"),"")</f>
        <v/>
      </c>
      <c r="AH385" s="173" t="str">
        <f aca="false">IF(AND($D385&lt;&gt;"",$B385=Payslip_Print!$C$2),MAX(AH$1:AH384)+1,"")</f>
        <v/>
      </c>
      <c r="AL385" s="178" t="str">
        <f aca="false">IFERROR(INDEX($D$2:$D$501,MATCH(ROW()-1,$AH$2:$AH$501,0)),"")</f>
        <v/>
      </c>
      <c r="AM385" s="179" t="str">
        <f aca="false">IF($Z385="","",IF(AND($C385&gt;=Dash_Start,$C385&lt;Dash_End),$Z385+ROW()/10000000,""))</f>
        <v/>
      </c>
    </row>
    <row r="386" customFormat="false" ht="14.25" hidden="false" customHeight="false" outlineLevel="0" collapsed="false">
      <c r="A386" s="171" t="str">
        <f aca="false">IF(Payslip_Lookup[[#This Row],[Rider ID]]="","",Payslip_Lookup[[#This Row],[Rider ID]]&amp;"|"&amp;Payslip_Lookup[[#This Row],[Month Key]])</f>
        <v/>
      </c>
      <c r="B386" s="172" t="str">
        <f aca="false">IF(ISNUMBER(Payslip_Lookup[[#This Row],[Salary Month]]),DATE(YEAR(Payslip_Lookup[[#This Row],[Salary Month]]),MONTH(Payslip_Lookup[[#This Row],[Salary Month]]),1),"")</f>
        <v/>
      </c>
      <c r="C386" s="172" t="str">
        <f aca="false">IF(INDEX(Salary_Calculation[Source Row],ROW()-ROW(Payslip_Lookup[#Headers]))="","",INDEX(Salary_Calculation[Salary Month],ROW()-ROW(Payslip_Lookup[#Headers])))</f>
        <v/>
      </c>
      <c r="D386" s="173" t="str">
        <f aca="false">IF(INDEX(Salary_Calculation[Source Row],ROW()-ROW(Payslip_Lookup[#Headers]))="","",INDEX(Salary_Calculation[Rider ID],ROW()-ROW(Payslip_Lookup[#Headers])))</f>
        <v/>
      </c>
      <c r="E386" s="171" t="str">
        <f aca="false">IF(INDEX(Salary_Calculation[Source Row],ROW()-ROW(Payslip_Lookup[#Headers]))="","",INDEX(Salary_Calculation[Rider Name],ROW()-ROW(Payslip_Lookup[#Headers])))</f>
        <v/>
      </c>
      <c r="F386" s="173" t="str">
        <f aca="false">IF(INDEX(Salary_Calculation[Source Row],ROW()-ROW(Payslip_Lookup[#Headers]))="","",INDEX(Salary_Calculation[Working Days],ROW()-ROW(Payslip_Lookup[#Headers])))</f>
        <v/>
      </c>
      <c r="G386" s="173" t="str">
        <f aca="false">IF(INDEX(Salary_Calculation[Source Row],ROW()-ROW(Payslip_Lookup[#Headers]))="","",INDEX(Salary_Calculation[Calendar Days],ROW()-ROW(Payslip_Lookup[#Headers])))</f>
        <v/>
      </c>
      <c r="H386" s="174" t="str">
        <f aca="false">IF(INDEX(Salary_Calculation[Source Row],ROW()-ROW(Payslip_Lookup[#Headers]))="","",INDEX(Salary_Calculation[Monthly Target Orders],ROW()-ROW(Payslip_Lookup[#Headers])))</f>
        <v/>
      </c>
      <c r="I386" s="174" t="str">
        <f aca="false">IF(INDEX(Salary_Calculation[Source Row],ROW()-ROW(Payslip_Lookup[#Headers]))="","",INDEX(Salary_Calculation[Rider Target Orders],ROW()-ROW(Payslip_Lookup[#Headers])))</f>
        <v/>
      </c>
      <c r="J386" s="175" t="str">
        <f aca="false">IF(INDEX(Salary_Calculation[Source Row],ROW()-ROW(Payslip_Lookup[#Headers]))="","",INDEX(Salary_Calculation[Completed Orders],ROW()-ROW(Payslip_Lookup[#Headers])))</f>
        <v/>
      </c>
      <c r="K386" s="174" t="str">
        <f aca="false">IF(INDEX(Salary_Calculation[Source Row],ROW()-ROW(Payslip_Lookup[#Headers]))="","",INDEX(Salary_Calculation[Base Order Rate],ROW()-ROW(Payslip_Lookup[#Headers])))</f>
        <v/>
      </c>
      <c r="L386" s="176" t="str">
        <f aca="false">IF(INDEX(Salary_Calculation[Source Row],ROW()-ROW(Payslip_Lookup[#Headers]))="","",INDEX(Salary_Calculation[Basic Payment],ROW()-ROW(Payslip_Lookup[#Headers])))</f>
        <v/>
      </c>
      <c r="M386" s="176" t="str">
        <f aca="false">IF(INDEX(Salary_Calculation[Source Row],ROW()-ROW(Payslip_Lookup[#Headers]))="","",INDEX(Salary_Calculation[Earned Salary],ROW()-ROW(Payslip_Lookup[#Headers])))</f>
        <v/>
      </c>
      <c r="N386" s="174" t="str">
        <f aca="false">IF(INDEX(Salary_Calculation[Source Row],ROW()-ROW(Payslip_Lookup[#Headers]))="","",INDEX(Salary_Calculation[Orders Counted at Base Rate],ROW()-ROW(Payslip_Lookup[#Headers])))</f>
        <v/>
      </c>
      <c r="O386" s="174" t="str">
        <f aca="false">IF(INDEX(Salary_Calculation[Source Row],ROW()-ROW(Payslip_Lookup[#Headers]))="","",INDEX(Salary_Calculation[Missing Orders],ROW()-ROW(Payslip_Lookup[#Headers])))</f>
        <v/>
      </c>
      <c r="P386" s="176" t="str">
        <f aca="false">IF(INDEX(Salary_Calculation[Source Row],ROW()-ROW(Payslip_Lookup[#Headers]))="","",INDEX(Salary_Calculation[Missing-Order Deduction],ROW()-ROW(Payslip_Lookup[#Headers])))</f>
        <v/>
      </c>
      <c r="Q386" s="174" t="str">
        <f aca="false">IF(INDEX(Salary_Calculation[Source Row],ROW()-ROW(Payslip_Lookup[#Headers]))="","",INDEX(Salary_Calculation[Extra Orders],ROW()-ROW(Payslip_Lookup[#Headers])))</f>
        <v/>
      </c>
      <c r="R386" s="176" t="str">
        <f aca="false">IF(INDEX(Salary_Calculation[Source Row],ROW()-ROW(Payslip_Lookup[#Headers]))="","",INDEX(Salary_Calculation[Extra-Order Bonus],ROW()-ROW(Payslip_Lookup[#Headers])))</f>
        <v/>
      </c>
      <c r="S386" s="176" t="str">
        <f aca="false">IF(INDEX(Salary_Calculation[Source Row],ROW()-ROW(Payslip_Lookup[#Headers]))="","",INDEX(Salary_Calculation[Basic Salary for Target],ROW()-ROW(Payslip_Lookup[#Headers])))</f>
        <v/>
      </c>
      <c r="T386" s="176" t="str">
        <f aca="false">IF(INDEX(Salary_Calculation[Source Row],ROW()-ROW(Payslip_Lookup[#Headers]))="","",INDEX(Salary_Calculation[Gross Salary Before Deductions],ROW()-ROW(Payslip_Lookup[#Headers])))</f>
        <v/>
      </c>
      <c r="U386" s="176" t="str">
        <f aca="false">IF(INDEX(Salary_Calculation[Source Row],ROW()-ROW(Payslip_Lookup[#Headers]))="","",INDEX(Salary_Calculation[missed_days_penalty],ROW()-ROW(Payslip_Lookup[#Headers])))</f>
        <v/>
      </c>
      <c r="V386" s="176" t="str">
        <f aca="false">IF(INDEX(Salary_Calculation[Source Row],ROW()-ROW(Payslip_Lookup[#Headers]))="","",INDEX(Salary_Calculation[Rider Balance],ROW()-ROW(Payslip_Lookup[#Headers])))</f>
        <v/>
      </c>
      <c r="W386" s="176" t="str">
        <f aca="false">IF(INDEX(Salary_Calculation[Source Row],ROW()-ROW(Payslip_Lookup[#Headers]))="","",INDEX(Salary_Calculation[stacking_deduction],ROW()-ROW(Payslip_Lookup[#Headers])))</f>
        <v/>
      </c>
      <c r="X386" s="176" t="str">
        <f aca="false">IF(INDEX(Salary_Calculation[Source Row],ROW()-ROW(Payslip_Lookup[#Headers]))="","",INDEX(Salary_Calculation[Other Deductions],ROW()-ROW(Payslip_Lookup[#Headers])))</f>
        <v/>
      </c>
      <c r="Y386" s="176" t="str">
        <f aca="false">IF(INDEX(Salary_Calculation[Source Row],ROW()-ROW(Payslip_Lookup[#Headers]))="","",INDEX(Salary_Calculation[Total Deductions],ROW()-ROW(Payslip_Lookup[#Headers])))</f>
        <v/>
      </c>
      <c r="Z386" s="176" t="str">
        <f aca="false">IF(INDEX(Salary_Calculation[Source Row],ROW()-ROW(Payslip_Lookup[#Headers]))="","",INDEX(Salary_Calculation[Final Salary],ROW()-ROW(Payslip_Lookup[#Headers])))</f>
        <v/>
      </c>
      <c r="AA386" s="176" t="str">
        <f aca="false">IF(INDEX(Salary_Calculation[Source Row],ROW()-ROW(Payslip_Lookup[#Headers]))="","",INDEX(Salary_Calculation[Negative Balance / Amount Due from Rider],ROW()-ROW(Payslip_Lookup[#Headers])))</f>
        <v/>
      </c>
      <c r="AB386" s="176" t="str">
        <f aca="false">IF(INDEX(Salary_Calculation[Source Row],ROW()-ROW(Payslip_Lookup[#Headers]))="","",INDEX(Salary_Calculation[Total Amount Due from Rider],ROW()-ROW(Payslip_Lookup[#Headers])))</f>
        <v/>
      </c>
      <c r="AC386" s="176" t="str">
        <f aca="false">IF(INDEX(Salary_Calculation[Source Row],ROW()-ROW(Payslip_Lookup[#Headers]))="","",INDEX(Salary_Calculation[Salary Before Other Deductions],ROW()-ROW(Payslip_Lookup[#Headers])))</f>
        <v/>
      </c>
      <c r="AD386" s="171" t="str">
        <f aca="false">IF(INDEX(Salary_Calculation[Source Row],ROW()-ROW(Payslip_Lookup[#Headers]))="","",INDEX(Salary_Calculation[Payment Status],ROW()-ROW(Payslip_Lookup[#Headers])))</f>
        <v/>
      </c>
      <c r="AE386" s="171" t="str">
        <f aca="false">IF(INDEX(Salary_Calculation[Source Row],ROW()-ROW(Payslip_Lookup[#Headers]))="","",INDEX(Salary_Calculation[Notes],ROW()-ROW(Payslip_Lookup[#Headers])))</f>
        <v/>
      </c>
      <c r="AF386" s="171" t="str">
        <f aca="false">IF(INDEX(Salary_Calculation[Source Row],ROW()-ROW(Payslip_Lookup[#Headers]))="","",INDEX(Salary_Calculation[Exception Reason],ROW()-ROW(Payslip_Lookup[#Headers])))</f>
        <v/>
      </c>
      <c r="AG386" s="173" t="str">
        <f aca="false">IF($AD386="Review Required",COUNTIF(AD$2:AD386,"Review Required"),"")</f>
        <v/>
      </c>
      <c r="AH386" s="173" t="str">
        <f aca="false">IF(AND($D386&lt;&gt;"",$B386=Payslip_Print!$C$2),MAX(AH$1:AH385)+1,"")</f>
        <v/>
      </c>
      <c r="AL386" s="178" t="str">
        <f aca="false">IFERROR(INDEX($D$2:$D$501,MATCH(ROW()-1,$AH$2:$AH$501,0)),"")</f>
        <v/>
      </c>
      <c r="AM386" s="179" t="str">
        <f aca="false">IF($Z386="","",IF(AND($C386&gt;=Dash_Start,$C386&lt;Dash_End),$Z386+ROW()/10000000,""))</f>
        <v/>
      </c>
    </row>
    <row r="387" customFormat="false" ht="14.25" hidden="false" customHeight="false" outlineLevel="0" collapsed="false">
      <c r="A387" s="171" t="str">
        <f aca="false">IF(Payslip_Lookup[[#This Row],[Rider ID]]="","",Payslip_Lookup[[#This Row],[Rider ID]]&amp;"|"&amp;Payslip_Lookup[[#This Row],[Month Key]])</f>
        <v/>
      </c>
      <c r="B387" s="172" t="str">
        <f aca="false">IF(ISNUMBER(Payslip_Lookup[[#This Row],[Salary Month]]),DATE(YEAR(Payslip_Lookup[[#This Row],[Salary Month]]),MONTH(Payslip_Lookup[[#This Row],[Salary Month]]),1),"")</f>
        <v/>
      </c>
      <c r="C387" s="172" t="str">
        <f aca="false">IF(INDEX(Salary_Calculation[Source Row],ROW()-ROW(Payslip_Lookup[#Headers]))="","",INDEX(Salary_Calculation[Salary Month],ROW()-ROW(Payslip_Lookup[#Headers])))</f>
        <v/>
      </c>
      <c r="D387" s="173" t="str">
        <f aca="false">IF(INDEX(Salary_Calculation[Source Row],ROW()-ROW(Payslip_Lookup[#Headers]))="","",INDEX(Salary_Calculation[Rider ID],ROW()-ROW(Payslip_Lookup[#Headers])))</f>
        <v/>
      </c>
      <c r="E387" s="171" t="str">
        <f aca="false">IF(INDEX(Salary_Calculation[Source Row],ROW()-ROW(Payslip_Lookup[#Headers]))="","",INDEX(Salary_Calculation[Rider Name],ROW()-ROW(Payslip_Lookup[#Headers])))</f>
        <v/>
      </c>
      <c r="F387" s="173" t="str">
        <f aca="false">IF(INDEX(Salary_Calculation[Source Row],ROW()-ROW(Payslip_Lookup[#Headers]))="","",INDEX(Salary_Calculation[Working Days],ROW()-ROW(Payslip_Lookup[#Headers])))</f>
        <v/>
      </c>
      <c r="G387" s="173" t="str">
        <f aca="false">IF(INDEX(Salary_Calculation[Source Row],ROW()-ROW(Payslip_Lookup[#Headers]))="","",INDEX(Salary_Calculation[Calendar Days],ROW()-ROW(Payslip_Lookup[#Headers])))</f>
        <v/>
      </c>
      <c r="H387" s="174" t="str">
        <f aca="false">IF(INDEX(Salary_Calculation[Source Row],ROW()-ROW(Payslip_Lookup[#Headers]))="","",INDEX(Salary_Calculation[Monthly Target Orders],ROW()-ROW(Payslip_Lookup[#Headers])))</f>
        <v/>
      </c>
      <c r="I387" s="174" t="str">
        <f aca="false">IF(INDEX(Salary_Calculation[Source Row],ROW()-ROW(Payslip_Lookup[#Headers]))="","",INDEX(Salary_Calculation[Rider Target Orders],ROW()-ROW(Payslip_Lookup[#Headers])))</f>
        <v/>
      </c>
      <c r="J387" s="175" t="str">
        <f aca="false">IF(INDEX(Salary_Calculation[Source Row],ROW()-ROW(Payslip_Lookup[#Headers]))="","",INDEX(Salary_Calculation[Completed Orders],ROW()-ROW(Payslip_Lookup[#Headers])))</f>
        <v/>
      </c>
      <c r="K387" s="174" t="str">
        <f aca="false">IF(INDEX(Salary_Calculation[Source Row],ROW()-ROW(Payslip_Lookup[#Headers]))="","",INDEX(Salary_Calculation[Base Order Rate],ROW()-ROW(Payslip_Lookup[#Headers])))</f>
        <v/>
      </c>
      <c r="L387" s="176" t="str">
        <f aca="false">IF(INDEX(Salary_Calculation[Source Row],ROW()-ROW(Payslip_Lookup[#Headers]))="","",INDEX(Salary_Calculation[Basic Payment],ROW()-ROW(Payslip_Lookup[#Headers])))</f>
        <v/>
      </c>
      <c r="M387" s="176" t="str">
        <f aca="false">IF(INDEX(Salary_Calculation[Source Row],ROW()-ROW(Payslip_Lookup[#Headers]))="","",INDEX(Salary_Calculation[Earned Salary],ROW()-ROW(Payslip_Lookup[#Headers])))</f>
        <v/>
      </c>
      <c r="N387" s="174" t="str">
        <f aca="false">IF(INDEX(Salary_Calculation[Source Row],ROW()-ROW(Payslip_Lookup[#Headers]))="","",INDEX(Salary_Calculation[Orders Counted at Base Rate],ROW()-ROW(Payslip_Lookup[#Headers])))</f>
        <v/>
      </c>
      <c r="O387" s="174" t="str">
        <f aca="false">IF(INDEX(Salary_Calculation[Source Row],ROW()-ROW(Payslip_Lookup[#Headers]))="","",INDEX(Salary_Calculation[Missing Orders],ROW()-ROW(Payslip_Lookup[#Headers])))</f>
        <v/>
      </c>
      <c r="P387" s="176" t="str">
        <f aca="false">IF(INDEX(Salary_Calculation[Source Row],ROW()-ROW(Payslip_Lookup[#Headers]))="","",INDEX(Salary_Calculation[Missing-Order Deduction],ROW()-ROW(Payslip_Lookup[#Headers])))</f>
        <v/>
      </c>
      <c r="Q387" s="174" t="str">
        <f aca="false">IF(INDEX(Salary_Calculation[Source Row],ROW()-ROW(Payslip_Lookup[#Headers]))="","",INDEX(Salary_Calculation[Extra Orders],ROW()-ROW(Payslip_Lookup[#Headers])))</f>
        <v/>
      </c>
      <c r="R387" s="176" t="str">
        <f aca="false">IF(INDEX(Salary_Calculation[Source Row],ROW()-ROW(Payslip_Lookup[#Headers]))="","",INDEX(Salary_Calculation[Extra-Order Bonus],ROW()-ROW(Payslip_Lookup[#Headers])))</f>
        <v/>
      </c>
      <c r="S387" s="176" t="str">
        <f aca="false">IF(INDEX(Salary_Calculation[Source Row],ROW()-ROW(Payslip_Lookup[#Headers]))="","",INDEX(Salary_Calculation[Basic Salary for Target],ROW()-ROW(Payslip_Lookup[#Headers])))</f>
        <v/>
      </c>
      <c r="T387" s="176" t="str">
        <f aca="false">IF(INDEX(Salary_Calculation[Source Row],ROW()-ROW(Payslip_Lookup[#Headers]))="","",INDEX(Salary_Calculation[Gross Salary Before Deductions],ROW()-ROW(Payslip_Lookup[#Headers])))</f>
        <v/>
      </c>
      <c r="U387" s="176" t="str">
        <f aca="false">IF(INDEX(Salary_Calculation[Source Row],ROW()-ROW(Payslip_Lookup[#Headers]))="","",INDEX(Salary_Calculation[missed_days_penalty],ROW()-ROW(Payslip_Lookup[#Headers])))</f>
        <v/>
      </c>
      <c r="V387" s="176" t="str">
        <f aca="false">IF(INDEX(Salary_Calculation[Source Row],ROW()-ROW(Payslip_Lookup[#Headers]))="","",INDEX(Salary_Calculation[Rider Balance],ROW()-ROW(Payslip_Lookup[#Headers])))</f>
        <v/>
      </c>
      <c r="W387" s="176" t="str">
        <f aca="false">IF(INDEX(Salary_Calculation[Source Row],ROW()-ROW(Payslip_Lookup[#Headers]))="","",INDEX(Salary_Calculation[stacking_deduction],ROW()-ROW(Payslip_Lookup[#Headers])))</f>
        <v/>
      </c>
      <c r="X387" s="176" t="str">
        <f aca="false">IF(INDEX(Salary_Calculation[Source Row],ROW()-ROW(Payslip_Lookup[#Headers]))="","",INDEX(Salary_Calculation[Other Deductions],ROW()-ROW(Payslip_Lookup[#Headers])))</f>
        <v/>
      </c>
      <c r="Y387" s="176" t="str">
        <f aca="false">IF(INDEX(Salary_Calculation[Source Row],ROW()-ROW(Payslip_Lookup[#Headers]))="","",INDEX(Salary_Calculation[Total Deductions],ROW()-ROW(Payslip_Lookup[#Headers])))</f>
        <v/>
      </c>
      <c r="Z387" s="176" t="str">
        <f aca="false">IF(INDEX(Salary_Calculation[Source Row],ROW()-ROW(Payslip_Lookup[#Headers]))="","",INDEX(Salary_Calculation[Final Salary],ROW()-ROW(Payslip_Lookup[#Headers])))</f>
        <v/>
      </c>
      <c r="AA387" s="176" t="str">
        <f aca="false">IF(INDEX(Salary_Calculation[Source Row],ROW()-ROW(Payslip_Lookup[#Headers]))="","",INDEX(Salary_Calculation[Negative Balance / Amount Due from Rider],ROW()-ROW(Payslip_Lookup[#Headers])))</f>
        <v/>
      </c>
      <c r="AB387" s="176" t="str">
        <f aca="false">IF(INDEX(Salary_Calculation[Source Row],ROW()-ROW(Payslip_Lookup[#Headers]))="","",INDEX(Salary_Calculation[Total Amount Due from Rider],ROW()-ROW(Payslip_Lookup[#Headers])))</f>
        <v/>
      </c>
      <c r="AC387" s="176" t="str">
        <f aca="false">IF(INDEX(Salary_Calculation[Source Row],ROW()-ROW(Payslip_Lookup[#Headers]))="","",INDEX(Salary_Calculation[Salary Before Other Deductions],ROW()-ROW(Payslip_Lookup[#Headers])))</f>
        <v/>
      </c>
      <c r="AD387" s="171" t="str">
        <f aca="false">IF(INDEX(Salary_Calculation[Source Row],ROW()-ROW(Payslip_Lookup[#Headers]))="","",INDEX(Salary_Calculation[Payment Status],ROW()-ROW(Payslip_Lookup[#Headers])))</f>
        <v/>
      </c>
      <c r="AE387" s="171" t="str">
        <f aca="false">IF(INDEX(Salary_Calculation[Source Row],ROW()-ROW(Payslip_Lookup[#Headers]))="","",INDEX(Salary_Calculation[Notes],ROW()-ROW(Payslip_Lookup[#Headers])))</f>
        <v/>
      </c>
      <c r="AF387" s="171" t="str">
        <f aca="false">IF(INDEX(Salary_Calculation[Source Row],ROW()-ROW(Payslip_Lookup[#Headers]))="","",INDEX(Salary_Calculation[Exception Reason],ROW()-ROW(Payslip_Lookup[#Headers])))</f>
        <v/>
      </c>
      <c r="AG387" s="173" t="str">
        <f aca="false">IF($AD387="Review Required",COUNTIF(AD$2:AD387,"Review Required"),"")</f>
        <v/>
      </c>
      <c r="AH387" s="173" t="str">
        <f aca="false">IF(AND($D387&lt;&gt;"",$B387=Payslip_Print!$C$2),MAX(AH$1:AH386)+1,"")</f>
        <v/>
      </c>
      <c r="AL387" s="178" t="str">
        <f aca="false">IFERROR(INDEX($D$2:$D$501,MATCH(ROW()-1,$AH$2:$AH$501,0)),"")</f>
        <v/>
      </c>
      <c r="AM387" s="179" t="str">
        <f aca="false">IF($Z387="","",IF(AND($C387&gt;=Dash_Start,$C387&lt;Dash_End),$Z387+ROW()/10000000,""))</f>
        <v/>
      </c>
    </row>
    <row r="388" customFormat="false" ht="14.25" hidden="false" customHeight="false" outlineLevel="0" collapsed="false">
      <c r="A388" s="171" t="str">
        <f aca="false">IF(Payslip_Lookup[[#This Row],[Rider ID]]="","",Payslip_Lookup[[#This Row],[Rider ID]]&amp;"|"&amp;Payslip_Lookup[[#This Row],[Month Key]])</f>
        <v/>
      </c>
      <c r="B388" s="172" t="str">
        <f aca="false">IF(ISNUMBER(Payslip_Lookup[[#This Row],[Salary Month]]),DATE(YEAR(Payslip_Lookup[[#This Row],[Salary Month]]),MONTH(Payslip_Lookup[[#This Row],[Salary Month]]),1),"")</f>
        <v/>
      </c>
      <c r="C388" s="172" t="str">
        <f aca="false">IF(INDEX(Salary_Calculation[Source Row],ROW()-ROW(Payslip_Lookup[#Headers]))="","",INDEX(Salary_Calculation[Salary Month],ROW()-ROW(Payslip_Lookup[#Headers])))</f>
        <v/>
      </c>
      <c r="D388" s="173" t="str">
        <f aca="false">IF(INDEX(Salary_Calculation[Source Row],ROW()-ROW(Payslip_Lookup[#Headers]))="","",INDEX(Salary_Calculation[Rider ID],ROW()-ROW(Payslip_Lookup[#Headers])))</f>
        <v/>
      </c>
      <c r="E388" s="171" t="str">
        <f aca="false">IF(INDEX(Salary_Calculation[Source Row],ROW()-ROW(Payslip_Lookup[#Headers]))="","",INDEX(Salary_Calculation[Rider Name],ROW()-ROW(Payslip_Lookup[#Headers])))</f>
        <v/>
      </c>
      <c r="F388" s="173" t="str">
        <f aca="false">IF(INDEX(Salary_Calculation[Source Row],ROW()-ROW(Payslip_Lookup[#Headers]))="","",INDEX(Salary_Calculation[Working Days],ROW()-ROW(Payslip_Lookup[#Headers])))</f>
        <v/>
      </c>
      <c r="G388" s="173" t="str">
        <f aca="false">IF(INDEX(Salary_Calculation[Source Row],ROW()-ROW(Payslip_Lookup[#Headers]))="","",INDEX(Salary_Calculation[Calendar Days],ROW()-ROW(Payslip_Lookup[#Headers])))</f>
        <v/>
      </c>
      <c r="H388" s="174" t="str">
        <f aca="false">IF(INDEX(Salary_Calculation[Source Row],ROW()-ROW(Payslip_Lookup[#Headers]))="","",INDEX(Salary_Calculation[Monthly Target Orders],ROW()-ROW(Payslip_Lookup[#Headers])))</f>
        <v/>
      </c>
      <c r="I388" s="174" t="str">
        <f aca="false">IF(INDEX(Salary_Calculation[Source Row],ROW()-ROW(Payslip_Lookup[#Headers]))="","",INDEX(Salary_Calculation[Rider Target Orders],ROW()-ROW(Payslip_Lookup[#Headers])))</f>
        <v/>
      </c>
      <c r="J388" s="175" t="str">
        <f aca="false">IF(INDEX(Salary_Calculation[Source Row],ROW()-ROW(Payslip_Lookup[#Headers]))="","",INDEX(Salary_Calculation[Completed Orders],ROW()-ROW(Payslip_Lookup[#Headers])))</f>
        <v/>
      </c>
      <c r="K388" s="174" t="str">
        <f aca="false">IF(INDEX(Salary_Calculation[Source Row],ROW()-ROW(Payslip_Lookup[#Headers]))="","",INDEX(Salary_Calculation[Base Order Rate],ROW()-ROW(Payslip_Lookup[#Headers])))</f>
        <v/>
      </c>
      <c r="L388" s="176" t="str">
        <f aca="false">IF(INDEX(Salary_Calculation[Source Row],ROW()-ROW(Payslip_Lookup[#Headers]))="","",INDEX(Salary_Calculation[Basic Payment],ROW()-ROW(Payslip_Lookup[#Headers])))</f>
        <v/>
      </c>
      <c r="M388" s="176" t="str">
        <f aca="false">IF(INDEX(Salary_Calculation[Source Row],ROW()-ROW(Payslip_Lookup[#Headers]))="","",INDEX(Salary_Calculation[Earned Salary],ROW()-ROW(Payslip_Lookup[#Headers])))</f>
        <v/>
      </c>
      <c r="N388" s="174" t="str">
        <f aca="false">IF(INDEX(Salary_Calculation[Source Row],ROW()-ROW(Payslip_Lookup[#Headers]))="","",INDEX(Salary_Calculation[Orders Counted at Base Rate],ROW()-ROW(Payslip_Lookup[#Headers])))</f>
        <v/>
      </c>
      <c r="O388" s="174" t="str">
        <f aca="false">IF(INDEX(Salary_Calculation[Source Row],ROW()-ROW(Payslip_Lookup[#Headers]))="","",INDEX(Salary_Calculation[Missing Orders],ROW()-ROW(Payslip_Lookup[#Headers])))</f>
        <v/>
      </c>
      <c r="P388" s="176" t="str">
        <f aca="false">IF(INDEX(Salary_Calculation[Source Row],ROW()-ROW(Payslip_Lookup[#Headers]))="","",INDEX(Salary_Calculation[Missing-Order Deduction],ROW()-ROW(Payslip_Lookup[#Headers])))</f>
        <v/>
      </c>
      <c r="Q388" s="174" t="str">
        <f aca="false">IF(INDEX(Salary_Calculation[Source Row],ROW()-ROW(Payslip_Lookup[#Headers]))="","",INDEX(Salary_Calculation[Extra Orders],ROW()-ROW(Payslip_Lookup[#Headers])))</f>
        <v/>
      </c>
      <c r="R388" s="176" t="str">
        <f aca="false">IF(INDEX(Salary_Calculation[Source Row],ROW()-ROW(Payslip_Lookup[#Headers]))="","",INDEX(Salary_Calculation[Extra-Order Bonus],ROW()-ROW(Payslip_Lookup[#Headers])))</f>
        <v/>
      </c>
      <c r="S388" s="176" t="str">
        <f aca="false">IF(INDEX(Salary_Calculation[Source Row],ROW()-ROW(Payslip_Lookup[#Headers]))="","",INDEX(Salary_Calculation[Basic Salary for Target],ROW()-ROW(Payslip_Lookup[#Headers])))</f>
        <v/>
      </c>
      <c r="T388" s="176" t="str">
        <f aca="false">IF(INDEX(Salary_Calculation[Source Row],ROW()-ROW(Payslip_Lookup[#Headers]))="","",INDEX(Salary_Calculation[Gross Salary Before Deductions],ROW()-ROW(Payslip_Lookup[#Headers])))</f>
        <v/>
      </c>
      <c r="U388" s="176" t="str">
        <f aca="false">IF(INDEX(Salary_Calculation[Source Row],ROW()-ROW(Payslip_Lookup[#Headers]))="","",INDEX(Salary_Calculation[missed_days_penalty],ROW()-ROW(Payslip_Lookup[#Headers])))</f>
        <v/>
      </c>
      <c r="V388" s="176" t="str">
        <f aca="false">IF(INDEX(Salary_Calculation[Source Row],ROW()-ROW(Payslip_Lookup[#Headers]))="","",INDEX(Salary_Calculation[Rider Balance],ROW()-ROW(Payslip_Lookup[#Headers])))</f>
        <v/>
      </c>
      <c r="W388" s="176" t="str">
        <f aca="false">IF(INDEX(Salary_Calculation[Source Row],ROW()-ROW(Payslip_Lookup[#Headers]))="","",INDEX(Salary_Calculation[stacking_deduction],ROW()-ROW(Payslip_Lookup[#Headers])))</f>
        <v/>
      </c>
      <c r="X388" s="176" t="str">
        <f aca="false">IF(INDEX(Salary_Calculation[Source Row],ROW()-ROW(Payslip_Lookup[#Headers]))="","",INDEX(Salary_Calculation[Other Deductions],ROW()-ROW(Payslip_Lookup[#Headers])))</f>
        <v/>
      </c>
      <c r="Y388" s="176" t="str">
        <f aca="false">IF(INDEX(Salary_Calculation[Source Row],ROW()-ROW(Payslip_Lookup[#Headers]))="","",INDEX(Salary_Calculation[Total Deductions],ROW()-ROW(Payslip_Lookup[#Headers])))</f>
        <v/>
      </c>
      <c r="Z388" s="176" t="str">
        <f aca="false">IF(INDEX(Salary_Calculation[Source Row],ROW()-ROW(Payslip_Lookup[#Headers]))="","",INDEX(Salary_Calculation[Final Salary],ROW()-ROW(Payslip_Lookup[#Headers])))</f>
        <v/>
      </c>
      <c r="AA388" s="176" t="str">
        <f aca="false">IF(INDEX(Salary_Calculation[Source Row],ROW()-ROW(Payslip_Lookup[#Headers]))="","",INDEX(Salary_Calculation[Negative Balance / Amount Due from Rider],ROW()-ROW(Payslip_Lookup[#Headers])))</f>
        <v/>
      </c>
      <c r="AB388" s="176" t="str">
        <f aca="false">IF(INDEX(Salary_Calculation[Source Row],ROW()-ROW(Payslip_Lookup[#Headers]))="","",INDEX(Salary_Calculation[Total Amount Due from Rider],ROW()-ROW(Payslip_Lookup[#Headers])))</f>
        <v/>
      </c>
      <c r="AC388" s="176" t="str">
        <f aca="false">IF(INDEX(Salary_Calculation[Source Row],ROW()-ROW(Payslip_Lookup[#Headers]))="","",INDEX(Salary_Calculation[Salary Before Other Deductions],ROW()-ROW(Payslip_Lookup[#Headers])))</f>
        <v/>
      </c>
      <c r="AD388" s="171" t="str">
        <f aca="false">IF(INDEX(Salary_Calculation[Source Row],ROW()-ROW(Payslip_Lookup[#Headers]))="","",INDEX(Salary_Calculation[Payment Status],ROW()-ROW(Payslip_Lookup[#Headers])))</f>
        <v/>
      </c>
      <c r="AE388" s="171" t="str">
        <f aca="false">IF(INDEX(Salary_Calculation[Source Row],ROW()-ROW(Payslip_Lookup[#Headers]))="","",INDEX(Salary_Calculation[Notes],ROW()-ROW(Payslip_Lookup[#Headers])))</f>
        <v/>
      </c>
      <c r="AF388" s="171" t="str">
        <f aca="false">IF(INDEX(Salary_Calculation[Source Row],ROW()-ROW(Payslip_Lookup[#Headers]))="","",INDEX(Salary_Calculation[Exception Reason],ROW()-ROW(Payslip_Lookup[#Headers])))</f>
        <v/>
      </c>
      <c r="AG388" s="173" t="str">
        <f aca="false">IF($AD388="Review Required",COUNTIF(AD$2:AD388,"Review Required"),"")</f>
        <v/>
      </c>
      <c r="AH388" s="173" t="str">
        <f aca="false">IF(AND($D388&lt;&gt;"",$B388=Payslip_Print!$C$2),MAX(AH$1:AH387)+1,"")</f>
        <v/>
      </c>
      <c r="AL388" s="178" t="str">
        <f aca="false">IFERROR(INDEX($D$2:$D$501,MATCH(ROW()-1,$AH$2:$AH$501,0)),"")</f>
        <v/>
      </c>
      <c r="AM388" s="179" t="str">
        <f aca="false">IF($Z388="","",IF(AND($C388&gt;=Dash_Start,$C388&lt;Dash_End),$Z388+ROW()/10000000,""))</f>
        <v/>
      </c>
    </row>
    <row r="389" customFormat="false" ht="14.25" hidden="false" customHeight="false" outlineLevel="0" collapsed="false">
      <c r="A389" s="171" t="str">
        <f aca="false">IF(Payslip_Lookup[[#This Row],[Rider ID]]="","",Payslip_Lookup[[#This Row],[Rider ID]]&amp;"|"&amp;Payslip_Lookup[[#This Row],[Month Key]])</f>
        <v/>
      </c>
      <c r="B389" s="172" t="str">
        <f aca="false">IF(ISNUMBER(Payslip_Lookup[[#This Row],[Salary Month]]),DATE(YEAR(Payslip_Lookup[[#This Row],[Salary Month]]),MONTH(Payslip_Lookup[[#This Row],[Salary Month]]),1),"")</f>
        <v/>
      </c>
      <c r="C389" s="172" t="str">
        <f aca="false">IF(INDEX(Salary_Calculation[Source Row],ROW()-ROW(Payslip_Lookup[#Headers]))="","",INDEX(Salary_Calculation[Salary Month],ROW()-ROW(Payslip_Lookup[#Headers])))</f>
        <v/>
      </c>
      <c r="D389" s="173" t="str">
        <f aca="false">IF(INDEX(Salary_Calculation[Source Row],ROW()-ROW(Payslip_Lookup[#Headers]))="","",INDEX(Salary_Calculation[Rider ID],ROW()-ROW(Payslip_Lookup[#Headers])))</f>
        <v/>
      </c>
      <c r="E389" s="171" t="str">
        <f aca="false">IF(INDEX(Salary_Calculation[Source Row],ROW()-ROW(Payslip_Lookup[#Headers]))="","",INDEX(Salary_Calculation[Rider Name],ROW()-ROW(Payslip_Lookup[#Headers])))</f>
        <v/>
      </c>
      <c r="F389" s="173" t="str">
        <f aca="false">IF(INDEX(Salary_Calculation[Source Row],ROW()-ROW(Payslip_Lookup[#Headers]))="","",INDEX(Salary_Calculation[Working Days],ROW()-ROW(Payslip_Lookup[#Headers])))</f>
        <v/>
      </c>
      <c r="G389" s="173" t="str">
        <f aca="false">IF(INDEX(Salary_Calculation[Source Row],ROW()-ROW(Payslip_Lookup[#Headers]))="","",INDEX(Salary_Calculation[Calendar Days],ROW()-ROW(Payslip_Lookup[#Headers])))</f>
        <v/>
      </c>
      <c r="H389" s="174" t="str">
        <f aca="false">IF(INDEX(Salary_Calculation[Source Row],ROW()-ROW(Payslip_Lookup[#Headers]))="","",INDEX(Salary_Calculation[Monthly Target Orders],ROW()-ROW(Payslip_Lookup[#Headers])))</f>
        <v/>
      </c>
      <c r="I389" s="174" t="str">
        <f aca="false">IF(INDEX(Salary_Calculation[Source Row],ROW()-ROW(Payslip_Lookup[#Headers]))="","",INDEX(Salary_Calculation[Rider Target Orders],ROW()-ROW(Payslip_Lookup[#Headers])))</f>
        <v/>
      </c>
      <c r="J389" s="175" t="str">
        <f aca="false">IF(INDEX(Salary_Calculation[Source Row],ROW()-ROW(Payslip_Lookup[#Headers]))="","",INDEX(Salary_Calculation[Completed Orders],ROW()-ROW(Payslip_Lookup[#Headers])))</f>
        <v/>
      </c>
      <c r="K389" s="174" t="str">
        <f aca="false">IF(INDEX(Salary_Calculation[Source Row],ROW()-ROW(Payslip_Lookup[#Headers]))="","",INDEX(Salary_Calculation[Base Order Rate],ROW()-ROW(Payslip_Lookup[#Headers])))</f>
        <v/>
      </c>
      <c r="L389" s="176" t="str">
        <f aca="false">IF(INDEX(Salary_Calculation[Source Row],ROW()-ROW(Payslip_Lookup[#Headers]))="","",INDEX(Salary_Calculation[Basic Payment],ROW()-ROW(Payslip_Lookup[#Headers])))</f>
        <v/>
      </c>
      <c r="M389" s="176" t="str">
        <f aca="false">IF(INDEX(Salary_Calculation[Source Row],ROW()-ROW(Payslip_Lookup[#Headers]))="","",INDEX(Salary_Calculation[Earned Salary],ROW()-ROW(Payslip_Lookup[#Headers])))</f>
        <v/>
      </c>
      <c r="N389" s="174" t="str">
        <f aca="false">IF(INDEX(Salary_Calculation[Source Row],ROW()-ROW(Payslip_Lookup[#Headers]))="","",INDEX(Salary_Calculation[Orders Counted at Base Rate],ROW()-ROW(Payslip_Lookup[#Headers])))</f>
        <v/>
      </c>
      <c r="O389" s="174" t="str">
        <f aca="false">IF(INDEX(Salary_Calculation[Source Row],ROW()-ROW(Payslip_Lookup[#Headers]))="","",INDEX(Salary_Calculation[Missing Orders],ROW()-ROW(Payslip_Lookup[#Headers])))</f>
        <v/>
      </c>
      <c r="P389" s="176" t="str">
        <f aca="false">IF(INDEX(Salary_Calculation[Source Row],ROW()-ROW(Payslip_Lookup[#Headers]))="","",INDEX(Salary_Calculation[Missing-Order Deduction],ROW()-ROW(Payslip_Lookup[#Headers])))</f>
        <v/>
      </c>
      <c r="Q389" s="174" t="str">
        <f aca="false">IF(INDEX(Salary_Calculation[Source Row],ROW()-ROW(Payslip_Lookup[#Headers]))="","",INDEX(Salary_Calculation[Extra Orders],ROW()-ROW(Payslip_Lookup[#Headers])))</f>
        <v/>
      </c>
      <c r="R389" s="176" t="str">
        <f aca="false">IF(INDEX(Salary_Calculation[Source Row],ROW()-ROW(Payslip_Lookup[#Headers]))="","",INDEX(Salary_Calculation[Extra-Order Bonus],ROW()-ROW(Payslip_Lookup[#Headers])))</f>
        <v/>
      </c>
      <c r="S389" s="176" t="str">
        <f aca="false">IF(INDEX(Salary_Calculation[Source Row],ROW()-ROW(Payslip_Lookup[#Headers]))="","",INDEX(Salary_Calculation[Basic Salary for Target],ROW()-ROW(Payslip_Lookup[#Headers])))</f>
        <v/>
      </c>
      <c r="T389" s="176" t="str">
        <f aca="false">IF(INDEX(Salary_Calculation[Source Row],ROW()-ROW(Payslip_Lookup[#Headers]))="","",INDEX(Salary_Calculation[Gross Salary Before Deductions],ROW()-ROW(Payslip_Lookup[#Headers])))</f>
        <v/>
      </c>
      <c r="U389" s="176" t="str">
        <f aca="false">IF(INDEX(Salary_Calculation[Source Row],ROW()-ROW(Payslip_Lookup[#Headers]))="","",INDEX(Salary_Calculation[missed_days_penalty],ROW()-ROW(Payslip_Lookup[#Headers])))</f>
        <v/>
      </c>
      <c r="V389" s="176" t="str">
        <f aca="false">IF(INDEX(Salary_Calculation[Source Row],ROW()-ROW(Payslip_Lookup[#Headers]))="","",INDEX(Salary_Calculation[Rider Balance],ROW()-ROW(Payslip_Lookup[#Headers])))</f>
        <v/>
      </c>
      <c r="W389" s="176" t="str">
        <f aca="false">IF(INDEX(Salary_Calculation[Source Row],ROW()-ROW(Payslip_Lookup[#Headers]))="","",INDEX(Salary_Calculation[stacking_deduction],ROW()-ROW(Payslip_Lookup[#Headers])))</f>
        <v/>
      </c>
      <c r="X389" s="176" t="str">
        <f aca="false">IF(INDEX(Salary_Calculation[Source Row],ROW()-ROW(Payslip_Lookup[#Headers]))="","",INDEX(Salary_Calculation[Other Deductions],ROW()-ROW(Payslip_Lookup[#Headers])))</f>
        <v/>
      </c>
      <c r="Y389" s="176" t="str">
        <f aca="false">IF(INDEX(Salary_Calculation[Source Row],ROW()-ROW(Payslip_Lookup[#Headers]))="","",INDEX(Salary_Calculation[Total Deductions],ROW()-ROW(Payslip_Lookup[#Headers])))</f>
        <v/>
      </c>
      <c r="Z389" s="176" t="str">
        <f aca="false">IF(INDEX(Salary_Calculation[Source Row],ROW()-ROW(Payslip_Lookup[#Headers]))="","",INDEX(Salary_Calculation[Final Salary],ROW()-ROW(Payslip_Lookup[#Headers])))</f>
        <v/>
      </c>
      <c r="AA389" s="176" t="str">
        <f aca="false">IF(INDEX(Salary_Calculation[Source Row],ROW()-ROW(Payslip_Lookup[#Headers]))="","",INDEX(Salary_Calculation[Negative Balance / Amount Due from Rider],ROW()-ROW(Payslip_Lookup[#Headers])))</f>
        <v/>
      </c>
      <c r="AB389" s="176" t="str">
        <f aca="false">IF(INDEX(Salary_Calculation[Source Row],ROW()-ROW(Payslip_Lookup[#Headers]))="","",INDEX(Salary_Calculation[Total Amount Due from Rider],ROW()-ROW(Payslip_Lookup[#Headers])))</f>
        <v/>
      </c>
      <c r="AC389" s="176" t="str">
        <f aca="false">IF(INDEX(Salary_Calculation[Source Row],ROW()-ROW(Payslip_Lookup[#Headers]))="","",INDEX(Salary_Calculation[Salary Before Other Deductions],ROW()-ROW(Payslip_Lookup[#Headers])))</f>
        <v/>
      </c>
      <c r="AD389" s="171" t="str">
        <f aca="false">IF(INDEX(Salary_Calculation[Source Row],ROW()-ROW(Payslip_Lookup[#Headers]))="","",INDEX(Salary_Calculation[Payment Status],ROW()-ROW(Payslip_Lookup[#Headers])))</f>
        <v/>
      </c>
      <c r="AE389" s="171" t="str">
        <f aca="false">IF(INDEX(Salary_Calculation[Source Row],ROW()-ROW(Payslip_Lookup[#Headers]))="","",INDEX(Salary_Calculation[Notes],ROW()-ROW(Payslip_Lookup[#Headers])))</f>
        <v/>
      </c>
      <c r="AF389" s="171" t="str">
        <f aca="false">IF(INDEX(Salary_Calculation[Source Row],ROW()-ROW(Payslip_Lookup[#Headers]))="","",INDEX(Salary_Calculation[Exception Reason],ROW()-ROW(Payslip_Lookup[#Headers])))</f>
        <v/>
      </c>
      <c r="AG389" s="173" t="str">
        <f aca="false">IF($AD389="Review Required",COUNTIF(AD$2:AD389,"Review Required"),"")</f>
        <v/>
      </c>
      <c r="AH389" s="173" t="str">
        <f aca="false">IF(AND($D389&lt;&gt;"",$B389=Payslip_Print!$C$2),MAX(AH$1:AH388)+1,"")</f>
        <v/>
      </c>
      <c r="AL389" s="178" t="str">
        <f aca="false">IFERROR(INDEX($D$2:$D$501,MATCH(ROW()-1,$AH$2:$AH$501,0)),"")</f>
        <v/>
      </c>
      <c r="AM389" s="179" t="str">
        <f aca="false">IF($Z389="","",IF(AND($C389&gt;=Dash_Start,$C389&lt;Dash_End),$Z389+ROW()/10000000,""))</f>
        <v/>
      </c>
    </row>
    <row r="390" customFormat="false" ht="14.25" hidden="false" customHeight="false" outlineLevel="0" collapsed="false">
      <c r="A390" s="171" t="str">
        <f aca="false">IF(Payslip_Lookup[[#This Row],[Rider ID]]="","",Payslip_Lookup[[#This Row],[Rider ID]]&amp;"|"&amp;Payslip_Lookup[[#This Row],[Month Key]])</f>
        <v/>
      </c>
      <c r="B390" s="172" t="str">
        <f aca="false">IF(ISNUMBER(Payslip_Lookup[[#This Row],[Salary Month]]),DATE(YEAR(Payslip_Lookup[[#This Row],[Salary Month]]),MONTH(Payslip_Lookup[[#This Row],[Salary Month]]),1),"")</f>
        <v/>
      </c>
      <c r="C390" s="172" t="str">
        <f aca="false">IF(INDEX(Salary_Calculation[Source Row],ROW()-ROW(Payslip_Lookup[#Headers]))="","",INDEX(Salary_Calculation[Salary Month],ROW()-ROW(Payslip_Lookup[#Headers])))</f>
        <v/>
      </c>
      <c r="D390" s="173" t="str">
        <f aca="false">IF(INDEX(Salary_Calculation[Source Row],ROW()-ROW(Payslip_Lookup[#Headers]))="","",INDEX(Salary_Calculation[Rider ID],ROW()-ROW(Payslip_Lookup[#Headers])))</f>
        <v/>
      </c>
      <c r="E390" s="171" t="str">
        <f aca="false">IF(INDEX(Salary_Calculation[Source Row],ROW()-ROW(Payslip_Lookup[#Headers]))="","",INDEX(Salary_Calculation[Rider Name],ROW()-ROW(Payslip_Lookup[#Headers])))</f>
        <v/>
      </c>
      <c r="F390" s="173" t="str">
        <f aca="false">IF(INDEX(Salary_Calculation[Source Row],ROW()-ROW(Payslip_Lookup[#Headers]))="","",INDEX(Salary_Calculation[Working Days],ROW()-ROW(Payslip_Lookup[#Headers])))</f>
        <v/>
      </c>
      <c r="G390" s="173" t="str">
        <f aca="false">IF(INDEX(Salary_Calculation[Source Row],ROW()-ROW(Payslip_Lookup[#Headers]))="","",INDEX(Salary_Calculation[Calendar Days],ROW()-ROW(Payslip_Lookup[#Headers])))</f>
        <v/>
      </c>
      <c r="H390" s="174" t="str">
        <f aca="false">IF(INDEX(Salary_Calculation[Source Row],ROW()-ROW(Payslip_Lookup[#Headers]))="","",INDEX(Salary_Calculation[Monthly Target Orders],ROW()-ROW(Payslip_Lookup[#Headers])))</f>
        <v/>
      </c>
      <c r="I390" s="174" t="str">
        <f aca="false">IF(INDEX(Salary_Calculation[Source Row],ROW()-ROW(Payslip_Lookup[#Headers]))="","",INDEX(Salary_Calculation[Rider Target Orders],ROW()-ROW(Payslip_Lookup[#Headers])))</f>
        <v/>
      </c>
      <c r="J390" s="175" t="str">
        <f aca="false">IF(INDEX(Salary_Calculation[Source Row],ROW()-ROW(Payslip_Lookup[#Headers]))="","",INDEX(Salary_Calculation[Completed Orders],ROW()-ROW(Payslip_Lookup[#Headers])))</f>
        <v/>
      </c>
      <c r="K390" s="174" t="str">
        <f aca="false">IF(INDEX(Salary_Calculation[Source Row],ROW()-ROW(Payslip_Lookup[#Headers]))="","",INDEX(Salary_Calculation[Base Order Rate],ROW()-ROW(Payslip_Lookup[#Headers])))</f>
        <v/>
      </c>
      <c r="L390" s="176" t="str">
        <f aca="false">IF(INDEX(Salary_Calculation[Source Row],ROW()-ROW(Payslip_Lookup[#Headers]))="","",INDEX(Salary_Calculation[Basic Payment],ROW()-ROW(Payslip_Lookup[#Headers])))</f>
        <v/>
      </c>
      <c r="M390" s="176" t="str">
        <f aca="false">IF(INDEX(Salary_Calculation[Source Row],ROW()-ROW(Payslip_Lookup[#Headers]))="","",INDEX(Salary_Calculation[Earned Salary],ROW()-ROW(Payslip_Lookup[#Headers])))</f>
        <v/>
      </c>
      <c r="N390" s="174" t="str">
        <f aca="false">IF(INDEX(Salary_Calculation[Source Row],ROW()-ROW(Payslip_Lookup[#Headers]))="","",INDEX(Salary_Calculation[Orders Counted at Base Rate],ROW()-ROW(Payslip_Lookup[#Headers])))</f>
        <v/>
      </c>
      <c r="O390" s="174" t="str">
        <f aca="false">IF(INDEX(Salary_Calculation[Source Row],ROW()-ROW(Payslip_Lookup[#Headers]))="","",INDEX(Salary_Calculation[Missing Orders],ROW()-ROW(Payslip_Lookup[#Headers])))</f>
        <v/>
      </c>
      <c r="P390" s="176" t="str">
        <f aca="false">IF(INDEX(Salary_Calculation[Source Row],ROW()-ROW(Payslip_Lookup[#Headers]))="","",INDEX(Salary_Calculation[Missing-Order Deduction],ROW()-ROW(Payslip_Lookup[#Headers])))</f>
        <v/>
      </c>
      <c r="Q390" s="174" t="str">
        <f aca="false">IF(INDEX(Salary_Calculation[Source Row],ROW()-ROW(Payslip_Lookup[#Headers]))="","",INDEX(Salary_Calculation[Extra Orders],ROW()-ROW(Payslip_Lookup[#Headers])))</f>
        <v/>
      </c>
      <c r="R390" s="176" t="str">
        <f aca="false">IF(INDEX(Salary_Calculation[Source Row],ROW()-ROW(Payslip_Lookup[#Headers]))="","",INDEX(Salary_Calculation[Extra-Order Bonus],ROW()-ROW(Payslip_Lookup[#Headers])))</f>
        <v/>
      </c>
      <c r="S390" s="176" t="str">
        <f aca="false">IF(INDEX(Salary_Calculation[Source Row],ROW()-ROW(Payslip_Lookup[#Headers]))="","",INDEX(Salary_Calculation[Basic Salary for Target],ROW()-ROW(Payslip_Lookup[#Headers])))</f>
        <v/>
      </c>
      <c r="T390" s="176" t="str">
        <f aca="false">IF(INDEX(Salary_Calculation[Source Row],ROW()-ROW(Payslip_Lookup[#Headers]))="","",INDEX(Salary_Calculation[Gross Salary Before Deductions],ROW()-ROW(Payslip_Lookup[#Headers])))</f>
        <v/>
      </c>
      <c r="U390" s="176" t="str">
        <f aca="false">IF(INDEX(Salary_Calculation[Source Row],ROW()-ROW(Payslip_Lookup[#Headers]))="","",INDEX(Salary_Calculation[missed_days_penalty],ROW()-ROW(Payslip_Lookup[#Headers])))</f>
        <v/>
      </c>
      <c r="V390" s="176" t="str">
        <f aca="false">IF(INDEX(Salary_Calculation[Source Row],ROW()-ROW(Payslip_Lookup[#Headers]))="","",INDEX(Salary_Calculation[Rider Balance],ROW()-ROW(Payslip_Lookup[#Headers])))</f>
        <v/>
      </c>
      <c r="W390" s="176" t="str">
        <f aca="false">IF(INDEX(Salary_Calculation[Source Row],ROW()-ROW(Payslip_Lookup[#Headers]))="","",INDEX(Salary_Calculation[stacking_deduction],ROW()-ROW(Payslip_Lookup[#Headers])))</f>
        <v/>
      </c>
      <c r="X390" s="176" t="str">
        <f aca="false">IF(INDEX(Salary_Calculation[Source Row],ROW()-ROW(Payslip_Lookup[#Headers]))="","",INDEX(Salary_Calculation[Other Deductions],ROW()-ROW(Payslip_Lookup[#Headers])))</f>
        <v/>
      </c>
      <c r="Y390" s="176" t="str">
        <f aca="false">IF(INDEX(Salary_Calculation[Source Row],ROW()-ROW(Payslip_Lookup[#Headers]))="","",INDEX(Salary_Calculation[Total Deductions],ROW()-ROW(Payslip_Lookup[#Headers])))</f>
        <v/>
      </c>
      <c r="Z390" s="176" t="str">
        <f aca="false">IF(INDEX(Salary_Calculation[Source Row],ROW()-ROW(Payslip_Lookup[#Headers]))="","",INDEX(Salary_Calculation[Final Salary],ROW()-ROW(Payslip_Lookup[#Headers])))</f>
        <v/>
      </c>
      <c r="AA390" s="176" t="str">
        <f aca="false">IF(INDEX(Salary_Calculation[Source Row],ROW()-ROW(Payslip_Lookup[#Headers]))="","",INDEX(Salary_Calculation[Negative Balance / Amount Due from Rider],ROW()-ROW(Payslip_Lookup[#Headers])))</f>
        <v/>
      </c>
      <c r="AB390" s="176" t="str">
        <f aca="false">IF(INDEX(Salary_Calculation[Source Row],ROW()-ROW(Payslip_Lookup[#Headers]))="","",INDEX(Salary_Calculation[Total Amount Due from Rider],ROW()-ROW(Payslip_Lookup[#Headers])))</f>
        <v/>
      </c>
      <c r="AC390" s="176" t="str">
        <f aca="false">IF(INDEX(Salary_Calculation[Source Row],ROW()-ROW(Payslip_Lookup[#Headers]))="","",INDEX(Salary_Calculation[Salary Before Other Deductions],ROW()-ROW(Payslip_Lookup[#Headers])))</f>
        <v/>
      </c>
      <c r="AD390" s="171" t="str">
        <f aca="false">IF(INDEX(Salary_Calculation[Source Row],ROW()-ROW(Payslip_Lookup[#Headers]))="","",INDEX(Salary_Calculation[Payment Status],ROW()-ROW(Payslip_Lookup[#Headers])))</f>
        <v/>
      </c>
      <c r="AE390" s="171" t="str">
        <f aca="false">IF(INDEX(Salary_Calculation[Source Row],ROW()-ROW(Payslip_Lookup[#Headers]))="","",INDEX(Salary_Calculation[Notes],ROW()-ROW(Payslip_Lookup[#Headers])))</f>
        <v/>
      </c>
      <c r="AF390" s="171" t="str">
        <f aca="false">IF(INDEX(Salary_Calculation[Source Row],ROW()-ROW(Payslip_Lookup[#Headers]))="","",INDEX(Salary_Calculation[Exception Reason],ROW()-ROW(Payslip_Lookup[#Headers])))</f>
        <v/>
      </c>
      <c r="AG390" s="173" t="str">
        <f aca="false">IF($AD390="Review Required",COUNTIF(AD$2:AD390,"Review Required"),"")</f>
        <v/>
      </c>
      <c r="AH390" s="173" t="str">
        <f aca="false">IF(AND($D390&lt;&gt;"",$B390=Payslip_Print!$C$2),MAX(AH$1:AH389)+1,"")</f>
        <v/>
      </c>
      <c r="AL390" s="178" t="str">
        <f aca="false">IFERROR(INDEX($D$2:$D$501,MATCH(ROW()-1,$AH$2:$AH$501,0)),"")</f>
        <v/>
      </c>
      <c r="AM390" s="179" t="str">
        <f aca="false">IF($Z390="","",IF(AND($C390&gt;=Dash_Start,$C390&lt;Dash_End),$Z390+ROW()/10000000,""))</f>
        <v/>
      </c>
    </row>
    <row r="391" customFormat="false" ht="14.25" hidden="false" customHeight="false" outlineLevel="0" collapsed="false">
      <c r="A391" s="171" t="str">
        <f aca="false">IF(Payslip_Lookup[[#This Row],[Rider ID]]="","",Payslip_Lookup[[#This Row],[Rider ID]]&amp;"|"&amp;Payslip_Lookup[[#This Row],[Month Key]])</f>
        <v/>
      </c>
      <c r="B391" s="172" t="str">
        <f aca="false">IF(ISNUMBER(Payslip_Lookup[[#This Row],[Salary Month]]),DATE(YEAR(Payslip_Lookup[[#This Row],[Salary Month]]),MONTH(Payslip_Lookup[[#This Row],[Salary Month]]),1),"")</f>
        <v/>
      </c>
      <c r="C391" s="172" t="str">
        <f aca="false">IF(INDEX(Salary_Calculation[Source Row],ROW()-ROW(Payslip_Lookup[#Headers]))="","",INDEX(Salary_Calculation[Salary Month],ROW()-ROW(Payslip_Lookup[#Headers])))</f>
        <v/>
      </c>
      <c r="D391" s="173" t="str">
        <f aca="false">IF(INDEX(Salary_Calculation[Source Row],ROW()-ROW(Payslip_Lookup[#Headers]))="","",INDEX(Salary_Calculation[Rider ID],ROW()-ROW(Payslip_Lookup[#Headers])))</f>
        <v/>
      </c>
      <c r="E391" s="171" t="str">
        <f aca="false">IF(INDEX(Salary_Calculation[Source Row],ROW()-ROW(Payslip_Lookup[#Headers]))="","",INDEX(Salary_Calculation[Rider Name],ROW()-ROW(Payslip_Lookup[#Headers])))</f>
        <v/>
      </c>
      <c r="F391" s="173" t="str">
        <f aca="false">IF(INDEX(Salary_Calculation[Source Row],ROW()-ROW(Payslip_Lookup[#Headers]))="","",INDEX(Salary_Calculation[Working Days],ROW()-ROW(Payslip_Lookup[#Headers])))</f>
        <v/>
      </c>
      <c r="G391" s="173" t="str">
        <f aca="false">IF(INDEX(Salary_Calculation[Source Row],ROW()-ROW(Payslip_Lookup[#Headers]))="","",INDEX(Salary_Calculation[Calendar Days],ROW()-ROW(Payslip_Lookup[#Headers])))</f>
        <v/>
      </c>
      <c r="H391" s="174" t="str">
        <f aca="false">IF(INDEX(Salary_Calculation[Source Row],ROW()-ROW(Payslip_Lookup[#Headers]))="","",INDEX(Salary_Calculation[Monthly Target Orders],ROW()-ROW(Payslip_Lookup[#Headers])))</f>
        <v/>
      </c>
      <c r="I391" s="174" t="str">
        <f aca="false">IF(INDEX(Salary_Calculation[Source Row],ROW()-ROW(Payslip_Lookup[#Headers]))="","",INDEX(Salary_Calculation[Rider Target Orders],ROW()-ROW(Payslip_Lookup[#Headers])))</f>
        <v/>
      </c>
      <c r="J391" s="175" t="str">
        <f aca="false">IF(INDEX(Salary_Calculation[Source Row],ROW()-ROW(Payslip_Lookup[#Headers]))="","",INDEX(Salary_Calculation[Completed Orders],ROW()-ROW(Payslip_Lookup[#Headers])))</f>
        <v/>
      </c>
      <c r="K391" s="174" t="str">
        <f aca="false">IF(INDEX(Salary_Calculation[Source Row],ROW()-ROW(Payslip_Lookup[#Headers]))="","",INDEX(Salary_Calculation[Base Order Rate],ROW()-ROW(Payslip_Lookup[#Headers])))</f>
        <v/>
      </c>
      <c r="L391" s="176" t="str">
        <f aca="false">IF(INDEX(Salary_Calculation[Source Row],ROW()-ROW(Payslip_Lookup[#Headers]))="","",INDEX(Salary_Calculation[Basic Payment],ROW()-ROW(Payslip_Lookup[#Headers])))</f>
        <v/>
      </c>
      <c r="M391" s="176" t="str">
        <f aca="false">IF(INDEX(Salary_Calculation[Source Row],ROW()-ROW(Payslip_Lookup[#Headers]))="","",INDEX(Salary_Calculation[Earned Salary],ROW()-ROW(Payslip_Lookup[#Headers])))</f>
        <v/>
      </c>
      <c r="N391" s="174" t="str">
        <f aca="false">IF(INDEX(Salary_Calculation[Source Row],ROW()-ROW(Payslip_Lookup[#Headers]))="","",INDEX(Salary_Calculation[Orders Counted at Base Rate],ROW()-ROW(Payslip_Lookup[#Headers])))</f>
        <v/>
      </c>
      <c r="O391" s="174" t="str">
        <f aca="false">IF(INDEX(Salary_Calculation[Source Row],ROW()-ROW(Payslip_Lookup[#Headers]))="","",INDEX(Salary_Calculation[Missing Orders],ROW()-ROW(Payslip_Lookup[#Headers])))</f>
        <v/>
      </c>
      <c r="P391" s="176" t="str">
        <f aca="false">IF(INDEX(Salary_Calculation[Source Row],ROW()-ROW(Payslip_Lookup[#Headers]))="","",INDEX(Salary_Calculation[Missing-Order Deduction],ROW()-ROW(Payslip_Lookup[#Headers])))</f>
        <v/>
      </c>
      <c r="Q391" s="174" t="str">
        <f aca="false">IF(INDEX(Salary_Calculation[Source Row],ROW()-ROW(Payslip_Lookup[#Headers]))="","",INDEX(Salary_Calculation[Extra Orders],ROW()-ROW(Payslip_Lookup[#Headers])))</f>
        <v/>
      </c>
      <c r="R391" s="176" t="str">
        <f aca="false">IF(INDEX(Salary_Calculation[Source Row],ROW()-ROW(Payslip_Lookup[#Headers]))="","",INDEX(Salary_Calculation[Extra-Order Bonus],ROW()-ROW(Payslip_Lookup[#Headers])))</f>
        <v/>
      </c>
      <c r="S391" s="176" t="str">
        <f aca="false">IF(INDEX(Salary_Calculation[Source Row],ROW()-ROW(Payslip_Lookup[#Headers]))="","",INDEX(Salary_Calculation[Basic Salary for Target],ROW()-ROW(Payslip_Lookup[#Headers])))</f>
        <v/>
      </c>
      <c r="T391" s="176" t="str">
        <f aca="false">IF(INDEX(Salary_Calculation[Source Row],ROW()-ROW(Payslip_Lookup[#Headers]))="","",INDEX(Salary_Calculation[Gross Salary Before Deductions],ROW()-ROW(Payslip_Lookup[#Headers])))</f>
        <v/>
      </c>
      <c r="U391" s="176" t="str">
        <f aca="false">IF(INDEX(Salary_Calculation[Source Row],ROW()-ROW(Payslip_Lookup[#Headers]))="","",INDEX(Salary_Calculation[missed_days_penalty],ROW()-ROW(Payslip_Lookup[#Headers])))</f>
        <v/>
      </c>
      <c r="V391" s="176" t="str">
        <f aca="false">IF(INDEX(Salary_Calculation[Source Row],ROW()-ROW(Payslip_Lookup[#Headers]))="","",INDEX(Salary_Calculation[Rider Balance],ROW()-ROW(Payslip_Lookup[#Headers])))</f>
        <v/>
      </c>
      <c r="W391" s="176" t="str">
        <f aca="false">IF(INDEX(Salary_Calculation[Source Row],ROW()-ROW(Payslip_Lookup[#Headers]))="","",INDEX(Salary_Calculation[stacking_deduction],ROW()-ROW(Payslip_Lookup[#Headers])))</f>
        <v/>
      </c>
      <c r="X391" s="176" t="str">
        <f aca="false">IF(INDEX(Salary_Calculation[Source Row],ROW()-ROW(Payslip_Lookup[#Headers]))="","",INDEX(Salary_Calculation[Other Deductions],ROW()-ROW(Payslip_Lookup[#Headers])))</f>
        <v/>
      </c>
      <c r="Y391" s="176" t="str">
        <f aca="false">IF(INDEX(Salary_Calculation[Source Row],ROW()-ROW(Payslip_Lookup[#Headers]))="","",INDEX(Salary_Calculation[Total Deductions],ROW()-ROW(Payslip_Lookup[#Headers])))</f>
        <v/>
      </c>
      <c r="Z391" s="176" t="str">
        <f aca="false">IF(INDEX(Salary_Calculation[Source Row],ROW()-ROW(Payslip_Lookup[#Headers]))="","",INDEX(Salary_Calculation[Final Salary],ROW()-ROW(Payslip_Lookup[#Headers])))</f>
        <v/>
      </c>
      <c r="AA391" s="176" t="str">
        <f aca="false">IF(INDEX(Salary_Calculation[Source Row],ROW()-ROW(Payslip_Lookup[#Headers]))="","",INDEX(Salary_Calculation[Negative Balance / Amount Due from Rider],ROW()-ROW(Payslip_Lookup[#Headers])))</f>
        <v/>
      </c>
      <c r="AB391" s="176" t="str">
        <f aca="false">IF(INDEX(Salary_Calculation[Source Row],ROW()-ROW(Payslip_Lookup[#Headers]))="","",INDEX(Salary_Calculation[Total Amount Due from Rider],ROW()-ROW(Payslip_Lookup[#Headers])))</f>
        <v/>
      </c>
      <c r="AC391" s="176" t="str">
        <f aca="false">IF(INDEX(Salary_Calculation[Source Row],ROW()-ROW(Payslip_Lookup[#Headers]))="","",INDEX(Salary_Calculation[Salary Before Other Deductions],ROW()-ROW(Payslip_Lookup[#Headers])))</f>
        <v/>
      </c>
      <c r="AD391" s="171" t="str">
        <f aca="false">IF(INDEX(Salary_Calculation[Source Row],ROW()-ROW(Payslip_Lookup[#Headers]))="","",INDEX(Salary_Calculation[Payment Status],ROW()-ROW(Payslip_Lookup[#Headers])))</f>
        <v/>
      </c>
      <c r="AE391" s="171" t="str">
        <f aca="false">IF(INDEX(Salary_Calculation[Source Row],ROW()-ROW(Payslip_Lookup[#Headers]))="","",INDEX(Salary_Calculation[Notes],ROW()-ROW(Payslip_Lookup[#Headers])))</f>
        <v/>
      </c>
      <c r="AF391" s="171" t="str">
        <f aca="false">IF(INDEX(Salary_Calculation[Source Row],ROW()-ROW(Payslip_Lookup[#Headers]))="","",INDEX(Salary_Calculation[Exception Reason],ROW()-ROW(Payslip_Lookup[#Headers])))</f>
        <v/>
      </c>
      <c r="AG391" s="173" t="str">
        <f aca="false">IF($AD391="Review Required",COUNTIF(AD$2:AD391,"Review Required"),"")</f>
        <v/>
      </c>
      <c r="AH391" s="173" t="str">
        <f aca="false">IF(AND($D391&lt;&gt;"",$B391=Payslip_Print!$C$2),MAX(AH$1:AH390)+1,"")</f>
        <v/>
      </c>
      <c r="AL391" s="178" t="str">
        <f aca="false">IFERROR(INDEX($D$2:$D$501,MATCH(ROW()-1,$AH$2:$AH$501,0)),"")</f>
        <v/>
      </c>
      <c r="AM391" s="179" t="str">
        <f aca="false">IF($Z391="","",IF(AND($C391&gt;=Dash_Start,$C391&lt;Dash_End),$Z391+ROW()/10000000,""))</f>
        <v/>
      </c>
    </row>
    <row r="392" customFormat="false" ht="14.25" hidden="false" customHeight="false" outlineLevel="0" collapsed="false">
      <c r="A392" s="171" t="str">
        <f aca="false">IF(Payslip_Lookup[[#This Row],[Rider ID]]="","",Payslip_Lookup[[#This Row],[Rider ID]]&amp;"|"&amp;Payslip_Lookup[[#This Row],[Month Key]])</f>
        <v/>
      </c>
      <c r="B392" s="172" t="str">
        <f aca="false">IF(ISNUMBER(Payslip_Lookup[[#This Row],[Salary Month]]),DATE(YEAR(Payslip_Lookup[[#This Row],[Salary Month]]),MONTH(Payslip_Lookup[[#This Row],[Salary Month]]),1),"")</f>
        <v/>
      </c>
      <c r="C392" s="172" t="str">
        <f aca="false">IF(INDEX(Salary_Calculation[Source Row],ROW()-ROW(Payslip_Lookup[#Headers]))="","",INDEX(Salary_Calculation[Salary Month],ROW()-ROW(Payslip_Lookup[#Headers])))</f>
        <v/>
      </c>
      <c r="D392" s="173" t="str">
        <f aca="false">IF(INDEX(Salary_Calculation[Source Row],ROW()-ROW(Payslip_Lookup[#Headers]))="","",INDEX(Salary_Calculation[Rider ID],ROW()-ROW(Payslip_Lookup[#Headers])))</f>
        <v/>
      </c>
      <c r="E392" s="171" t="str">
        <f aca="false">IF(INDEX(Salary_Calculation[Source Row],ROW()-ROW(Payslip_Lookup[#Headers]))="","",INDEX(Salary_Calculation[Rider Name],ROW()-ROW(Payslip_Lookup[#Headers])))</f>
        <v/>
      </c>
      <c r="F392" s="173" t="str">
        <f aca="false">IF(INDEX(Salary_Calculation[Source Row],ROW()-ROW(Payslip_Lookup[#Headers]))="","",INDEX(Salary_Calculation[Working Days],ROW()-ROW(Payslip_Lookup[#Headers])))</f>
        <v/>
      </c>
      <c r="G392" s="173" t="str">
        <f aca="false">IF(INDEX(Salary_Calculation[Source Row],ROW()-ROW(Payslip_Lookup[#Headers]))="","",INDEX(Salary_Calculation[Calendar Days],ROW()-ROW(Payslip_Lookup[#Headers])))</f>
        <v/>
      </c>
      <c r="H392" s="174" t="str">
        <f aca="false">IF(INDEX(Salary_Calculation[Source Row],ROW()-ROW(Payslip_Lookup[#Headers]))="","",INDEX(Salary_Calculation[Monthly Target Orders],ROW()-ROW(Payslip_Lookup[#Headers])))</f>
        <v/>
      </c>
      <c r="I392" s="174" t="str">
        <f aca="false">IF(INDEX(Salary_Calculation[Source Row],ROW()-ROW(Payslip_Lookup[#Headers]))="","",INDEX(Salary_Calculation[Rider Target Orders],ROW()-ROW(Payslip_Lookup[#Headers])))</f>
        <v/>
      </c>
      <c r="J392" s="175" t="str">
        <f aca="false">IF(INDEX(Salary_Calculation[Source Row],ROW()-ROW(Payslip_Lookup[#Headers]))="","",INDEX(Salary_Calculation[Completed Orders],ROW()-ROW(Payslip_Lookup[#Headers])))</f>
        <v/>
      </c>
      <c r="K392" s="174" t="str">
        <f aca="false">IF(INDEX(Salary_Calculation[Source Row],ROW()-ROW(Payslip_Lookup[#Headers]))="","",INDEX(Salary_Calculation[Base Order Rate],ROW()-ROW(Payslip_Lookup[#Headers])))</f>
        <v/>
      </c>
      <c r="L392" s="176" t="str">
        <f aca="false">IF(INDEX(Salary_Calculation[Source Row],ROW()-ROW(Payslip_Lookup[#Headers]))="","",INDEX(Salary_Calculation[Basic Payment],ROW()-ROW(Payslip_Lookup[#Headers])))</f>
        <v/>
      </c>
      <c r="M392" s="176" t="str">
        <f aca="false">IF(INDEX(Salary_Calculation[Source Row],ROW()-ROW(Payslip_Lookup[#Headers]))="","",INDEX(Salary_Calculation[Earned Salary],ROW()-ROW(Payslip_Lookup[#Headers])))</f>
        <v/>
      </c>
      <c r="N392" s="174" t="str">
        <f aca="false">IF(INDEX(Salary_Calculation[Source Row],ROW()-ROW(Payslip_Lookup[#Headers]))="","",INDEX(Salary_Calculation[Orders Counted at Base Rate],ROW()-ROW(Payslip_Lookup[#Headers])))</f>
        <v/>
      </c>
      <c r="O392" s="174" t="str">
        <f aca="false">IF(INDEX(Salary_Calculation[Source Row],ROW()-ROW(Payslip_Lookup[#Headers]))="","",INDEX(Salary_Calculation[Missing Orders],ROW()-ROW(Payslip_Lookup[#Headers])))</f>
        <v/>
      </c>
      <c r="P392" s="176" t="str">
        <f aca="false">IF(INDEX(Salary_Calculation[Source Row],ROW()-ROW(Payslip_Lookup[#Headers]))="","",INDEX(Salary_Calculation[Missing-Order Deduction],ROW()-ROW(Payslip_Lookup[#Headers])))</f>
        <v/>
      </c>
      <c r="Q392" s="174" t="str">
        <f aca="false">IF(INDEX(Salary_Calculation[Source Row],ROW()-ROW(Payslip_Lookup[#Headers]))="","",INDEX(Salary_Calculation[Extra Orders],ROW()-ROW(Payslip_Lookup[#Headers])))</f>
        <v/>
      </c>
      <c r="R392" s="176" t="str">
        <f aca="false">IF(INDEX(Salary_Calculation[Source Row],ROW()-ROW(Payslip_Lookup[#Headers]))="","",INDEX(Salary_Calculation[Extra-Order Bonus],ROW()-ROW(Payslip_Lookup[#Headers])))</f>
        <v/>
      </c>
      <c r="S392" s="176" t="str">
        <f aca="false">IF(INDEX(Salary_Calculation[Source Row],ROW()-ROW(Payslip_Lookup[#Headers]))="","",INDEX(Salary_Calculation[Basic Salary for Target],ROW()-ROW(Payslip_Lookup[#Headers])))</f>
        <v/>
      </c>
      <c r="T392" s="176" t="str">
        <f aca="false">IF(INDEX(Salary_Calculation[Source Row],ROW()-ROW(Payslip_Lookup[#Headers]))="","",INDEX(Salary_Calculation[Gross Salary Before Deductions],ROW()-ROW(Payslip_Lookup[#Headers])))</f>
        <v/>
      </c>
      <c r="U392" s="176" t="str">
        <f aca="false">IF(INDEX(Salary_Calculation[Source Row],ROW()-ROW(Payslip_Lookup[#Headers]))="","",INDEX(Salary_Calculation[missed_days_penalty],ROW()-ROW(Payslip_Lookup[#Headers])))</f>
        <v/>
      </c>
      <c r="V392" s="176" t="str">
        <f aca="false">IF(INDEX(Salary_Calculation[Source Row],ROW()-ROW(Payslip_Lookup[#Headers]))="","",INDEX(Salary_Calculation[Rider Balance],ROW()-ROW(Payslip_Lookup[#Headers])))</f>
        <v/>
      </c>
      <c r="W392" s="176" t="str">
        <f aca="false">IF(INDEX(Salary_Calculation[Source Row],ROW()-ROW(Payslip_Lookup[#Headers]))="","",INDEX(Salary_Calculation[stacking_deduction],ROW()-ROW(Payslip_Lookup[#Headers])))</f>
        <v/>
      </c>
      <c r="X392" s="176" t="str">
        <f aca="false">IF(INDEX(Salary_Calculation[Source Row],ROW()-ROW(Payslip_Lookup[#Headers]))="","",INDEX(Salary_Calculation[Other Deductions],ROW()-ROW(Payslip_Lookup[#Headers])))</f>
        <v/>
      </c>
      <c r="Y392" s="176" t="str">
        <f aca="false">IF(INDEX(Salary_Calculation[Source Row],ROW()-ROW(Payslip_Lookup[#Headers]))="","",INDEX(Salary_Calculation[Total Deductions],ROW()-ROW(Payslip_Lookup[#Headers])))</f>
        <v/>
      </c>
      <c r="Z392" s="176" t="str">
        <f aca="false">IF(INDEX(Salary_Calculation[Source Row],ROW()-ROW(Payslip_Lookup[#Headers]))="","",INDEX(Salary_Calculation[Final Salary],ROW()-ROW(Payslip_Lookup[#Headers])))</f>
        <v/>
      </c>
      <c r="AA392" s="176" t="str">
        <f aca="false">IF(INDEX(Salary_Calculation[Source Row],ROW()-ROW(Payslip_Lookup[#Headers]))="","",INDEX(Salary_Calculation[Negative Balance / Amount Due from Rider],ROW()-ROW(Payslip_Lookup[#Headers])))</f>
        <v/>
      </c>
      <c r="AB392" s="176" t="str">
        <f aca="false">IF(INDEX(Salary_Calculation[Source Row],ROW()-ROW(Payslip_Lookup[#Headers]))="","",INDEX(Salary_Calculation[Total Amount Due from Rider],ROW()-ROW(Payslip_Lookup[#Headers])))</f>
        <v/>
      </c>
      <c r="AC392" s="176" t="str">
        <f aca="false">IF(INDEX(Salary_Calculation[Source Row],ROW()-ROW(Payslip_Lookup[#Headers]))="","",INDEX(Salary_Calculation[Salary Before Other Deductions],ROW()-ROW(Payslip_Lookup[#Headers])))</f>
        <v/>
      </c>
      <c r="AD392" s="171" t="str">
        <f aca="false">IF(INDEX(Salary_Calculation[Source Row],ROW()-ROW(Payslip_Lookup[#Headers]))="","",INDEX(Salary_Calculation[Payment Status],ROW()-ROW(Payslip_Lookup[#Headers])))</f>
        <v/>
      </c>
      <c r="AE392" s="171" t="str">
        <f aca="false">IF(INDEX(Salary_Calculation[Source Row],ROW()-ROW(Payslip_Lookup[#Headers]))="","",INDEX(Salary_Calculation[Notes],ROW()-ROW(Payslip_Lookup[#Headers])))</f>
        <v/>
      </c>
      <c r="AF392" s="171" t="str">
        <f aca="false">IF(INDEX(Salary_Calculation[Source Row],ROW()-ROW(Payslip_Lookup[#Headers]))="","",INDEX(Salary_Calculation[Exception Reason],ROW()-ROW(Payslip_Lookup[#Headers])))</f>
        <v/>
      </c>
      <c r="AG392" s="173" t="str">
        <f aca="false">IF($AD392="Review Required",COUNTIF(AD$2:AD392,"Review Required"),"")</f>
        <v/>
      </c>
      <c r="AH392" s="173" t="str">
        <f aca="false">IF(AND($D392&lt;&gt;"",$B392=Payslip_Print!$C$2),MAX(AH$1:AH391)+1,"")</f>
        <v/>
      </c>
      <c r="AL392" s="178" t="str">
        <f aca="false">IFERROR(INDEX($D$2:$D$501,MATCH(ROW()-1,$AH$2:$AH$501,0)),"")</f>
        <v/>
      </c>
      <c r="AM392" s="179" t="str">
        <f aca="false">IF($Z392="","",IF(AND($C392&gt;=Dash_Start,$C392&lt;Dash_End),$Z392+ROW()/10000000,""))</f>
        <v/>
      </c>
    </row>
    <row r="393" customFormat="false" ht="14.25" hidden="false" customHeight="false" outlineLevel="0" collapsed="false">
      <c r="A393" s="171" t="str">
        <f aca="false">IF(Payslip_Lookup[[#This Row],[Rider ID]]="","",Payslip_Lookup[[#This Row],[Rider ID]]&amp;"|"&amp;Payslip_Lookup[[#This Row],[Month Key]])</f>
        <v/>
      </c>
      <c r="B393" s="172" t="str">
        <f aca="false">IF(ISNUMBER(Payslip_Lookup[[#This Row],[Salary Month]]),DATE(YEAR(Payslip_Lookup[[#This Row],[Salary Month]]),MONTH(Payslip_Lookup[[#This Row],[Salary Month]]),1),"")</f>
        <v/>
      </c>
      <c r="C393" s="172" t="str">
        <f aca="false">IF(INDEX(Salary_Calculation[Source Row],ROW()-ROW(Payslip_Lookup[#Headers]))="","",INDEX(Salary_Calculation[Salary Month],ROW()-ROW(Payslip_Lookup[#Headers])))</f>
        <v/>
      </c>
      <c r="D393" s="173" t="str">
        <f aca="false">IF(INDEX(Salary_Calculation[Source Row],ROW()-ROW(Payslip_Lookup[#Headers]))="","",INDEX(Salary_Calculation[Rider ID],ROW()-ROW(Payslip_Lookup[#Headers])))</f>
        <v/>
      </c>
      <c r="E393" s="171" t="str">
        <f aca="false">IF(INDEX(Salary_Calculation[Source Row],ROW()-ROW(Payslip_Lookup[#Headers]))="","",INDEX(Salary_Calculation[Rider Name],ROW()-ROW(Payslip_Lookup[#Headers])))</f>
        <v/>
      </c>
      <c r="F393" s="173" t="str">
        <f aca="false">IF(INDEX(Salary_Calculation[Source Row],ROW()-ROW(Payslip_Lookup[#Headers]))="","",INDEX(Salary_Calculation[Working Days],ROW()-ROW(Payslip_Lookup[#Headers])))</f>
        <v/>
      </c>
      <c r="G393" s="173" t="str">
        <f aca="false">IF(INDEX(Salary_Calculation[Source Row],ROW()-ROW(Payslip_Lookup[#Headers]))="","",INDEX(Salary_Calculation[Calendar Days],ROW()-ROW(Payslip_Lookup[#Headers])))</f>
        <v/>
      </c>
      <c r="H393" s="174" t="str">
        <f aca="false">IF(INDEX(Salary_Calculation[Source Row],ROW()-ROW(Payslip_Lookup[#Headers]))="","",INDEX(Salary_Calculation[Monthly Target Orders],ROW()-ROW(Payslip_Lookup[#Headers])))</f>
        <v/>
      </c>
      <c r="I393" s="174" t="str">
        <f aca="false">IF(INDEX(Salary_Calculation[Source Row],ROW()-ROW(Payslip_Lookup[#Headers]))="","",INDEX(Salary_Calculation[Rider Target Orders],ROW()-ROW(Payslip_Lookup[#Headers])))</f>
        <v/>
      </c>
      <c r="J393" s="175" t="str">
        <f aca="false">IF(INDEX(Salary_Calculation[Source Row],ROW()-ROW(Payslip_Lookup[#Headers]))="","",INDEX(Salary_Calculation[Completed Orders],ROW()-ROW(Payslip_Lookup[#Headers])))</f>
        <v/>
      </c>
      <c r="K393" s="174" t="str">
        <f aca="false">IF(INDEX(Salary_Calculation[Source Row],ROW()-ROW(Payslip_Lookup[#Headers]))="","",INDEX(Salary_Calculation[Base Order Rate],ROW()-ROW(Payslip_Lookup[#Headers])))</f>
        <v/>
      </c>
      <c r="L393" s="176" t="str">
        <f aca="false">IF(INDEX(Salary_Calculation[Source Row],ROW()-ROW(Payslip_Lookup[#Headers]))="","",INDEX(Salary_Calculation[Basic Payment],ROW()-ROW(Payslip_Lookup[#Headers])))</f>
        <v/>
      </c>
      <c r="M393" s="176" t="str">
        <f aca="false">IF(INDEX(Salary_Calculation[Source Row],ROW()-ROW(Payslip_Lookup[#Headers]))="","",INDEX(Salary_Calculation[Earned Salary],ROW()-ROW(Payslip_Lookup[#Headers])))</f>
        <v/>
      </c>
      <c r="N393" s="174" t="str">
        <f aca="false">IF(INDEX(Salary_Calculation[Source Row],ROW()-ROW(Payslip_Lookup[#Headers]))="","",INDEX(Salary_Calculation[Orders Counted at Base Rate],ROW()-ROW(Payslip_Lookup[#Headers])))</f>
        <v/>
      </c>
      <c r="O393" s="174" t="str">
        <f aca="false">IF(INDEX(Salary_Calculation[Source Row],ROW()-ROW(Payslip_Lookup[#Headers]))="","",INDEX(Salary_Calculation[Missing Orders],ROW()-ROW(Payslip_Lookup[#Headers])))</f>
        <v/>
      </c>
      <c r="P393" s="176" t="str">
        <f aca="false">IF(INDEX(Salary_Calculation[Source Row],ROW()-ROW(Payslip_Lookup[#Headers]))="","",INDEX(Salary_Calculation[Missing-Order Deduction],ROW()-ROW(Payslip_Lookup[#Headers])))</f>
        <v/>
      </c>
      <c r="Q393" s="174" t="str">
        <f aca="false">IF(INDEX(Salary_Calculation[Source Row],ROW()-ROW(Payslip_Lookup[#Headers]))="","",INDEX(Salary_Calculation[Extra Orders],ROW()-ROW(Payslip_Lookup[#Headers])))</f>
        <v/>
      </c>
      <c r="R393" s="176" t="str">
        <f aca="false">IF(INDEX(Salary_Calculation[Source Row],ROW()-ROW(Payslip_Lookup[#Headers]))="","",INDEX(Salary_Calculation[Extra-Order Bonus],ROW()-ROW(Payslip_Lookup[#Headers])))</f>
        <v/>
      </c>
      <c r="S393" s="176" t="str">
        <f aca="false">IF(INDEX(Salary_Calculation[Source Row],ROW()-ROW(Payslip_Lookup[#Headers]))="","",INDEX(Salary_Calculation[Basic Salary for Target],ROW()-ROW(Payslip_Lookup[#Headers])))</f>
        <v/>
      </c>
      <c r="T393" s="176" t="str">
        <f aca="false">IF(INDEX(Salary_Calculation[Source Row],ROW()-ROW(Payslip_Lookup[#Headers]))="","",INDEX(Salary_Calculation[Gross Salary Before Deductions],ROW()-ROW(Payslip_Lookup[#Headers])))</f>
        <v/>
      </c>
      <c r="U393" s="176" t="str">
        <f aca="false">IF(INDEX(Salary_Calculation[Source Row],ROW()-ROW(Payslip_Lookup[#Headers]))="","",INDEX(Salary_Calculation[missed_days_penalty],ROW()-ROW(Payslip_Lookup[#Headers])))</f>
        <v/>
      </c>
      <c r="V393" s="176" t="str">
        <f aca="false">IF(INDEX(Salary_Calculation[Source Row],ROW()-ROW(Payslip_Lookup[#Headers]))="","",INDEX(Salary_Calculation[Rider Balance],ROW()-ROW(Payslip_Lookup[#Headers])))</f>
        <v/>
      </c>
      <c r="W393" s="176" t="str">
        <f aca="false">IF(INDEX(Salary_Calculation[Source Row],ROW()-ROW(Payslip_Lookup[#Headers]))="","",INDEX(Salary_Calculation[stacking_deduction],ROW()-ROW(Payslip_Lookup[#Headers])))</f>
        <v/>
      </c>
      <c r="X393" s="176" t="str">
        <f aca="false">IF(INDEX(Salary_Calculation[Source Row],ROW()-ROW(Payslip_Lookup[#Headers]))="","",INDEX(Salary_Calculation[Other Deductions],ROW()-ROW(Payslip_Lookup[#Headers])))</f>
        <v/>
      </c>
      <c r="Y393" s="176" t="str">
        <f aca="false">IF(INDEX(Salary_Calculation[Source Row],ROW()-ROW(Payslip_Lookup[#Headers]))="","",INDEX(Salary_Calculation[Total Deductions],ROW()-ROW(Payslip_Lookup[#Headers])))</f>
        <v/>
      </c>
      <c r="Z393" s="176" t="str">
        <f aca="false">IF(INDEX(Salary_Calculation[Source Row],ROW()-ROW(Payslip_Lookup[#Headers]))="","",INDEX(Salary_Calculation[Final Salary],ROW()-ROW(Payslip_Lookup[#Headers])))</f>
        <v/>
      </c>
      <c r="AA393" s="176" t="str">
        <f aca="false">IF(INDEX(Salary_Calculation[Source Row],ROW()-ROW(Payslip_Lookup[#Headers]))="","",INDEX(Salary_Calculation[Negative Balance / Amount Due from Rider],ROW()-ROW(Payslip_Lookup[#Headers])))</f>
        <v/>
      </c>
      <c r="AB393" s="176" t="str">
        <f aca="false">IF(INDEX(Salary_Calculation[Source Row],ROW()-ROW(Payslip_Lookup[#Headers]))="","",INDEX(Salary_Calculation[Total Amount Due from Rider],ROW()-ROW(Payslip_Lookup[#Headers])))</f>
        <v/>
      </c>
      <c r="AC393" s="176" t="str">
        <f aca="false">IF(INDEX(Salary_Calculation[Source Row],ROW()-ROW(Payslip_Lookup[#Headers]))="","",INDEX(Salary_Calculation[Salary Before Other Deductions],ROW()-ROW(Payslip_Lookup[#Headers])))</f>
        <v/>
      </c>
      <c r="AD393" s="171" t="str">
        <f aca="false">IF(INDEX(Salary_Calculation[Source Row],ROW()-ROW(Payslip_Lookup[#Headers]))="","",INDEX(Salary_Calculation[Payment Status],ROW()-ROW(Payslip_Lookup[#Headers])))</f>
        <v/>
      </c>
      <c r="AE393" s="171" t="str">
        <f aca="false">IF(INDEX(Salary_Calculation[Source Row],ROW()-ROW(Payslip_Lookup[#Headers]))="","",INDEX(Salary_Calculation[Notes],ROW()-ROW(Payslip_Lookup[#Headers])))</f>
        <v/>
      </c>
      <c r="AF393" s="171" t="str">
        <f aca="false">IF(INDEX(Salary_Calculation[Source Row],ROW()-ROW(Payslip_Lookup[#Headers]))="","",INDEX(Salary_Calculation[Exception Reason],ROW()-ROW(Payslip_Lookup[#Headers])))</f>
        <v/>
      </c>
      <c r="AG393" s="173" t="str">
        <f aca="false">IF($AD393="Review Required",COUNTIF(AD$2:AD393,"Review Required"),"")</f>
        <v/>
      </c>
      <c r="AH393" s="173" t="str">
        <f aca="false">IF(AND($D393&lt;&gt;"",$B393=Payslip_Print!$C$2),MAX(AH$1:AH392)+1,"")</f>
        <v/>
      </c>
      <c r="AL393" s="178" t="str">
        <f aca="false">IFERROR(INDEX($D$2:$D$501,MATCH(ROW()-1,$AH$2:$AH$501,0)),"")</f>
        <v/>
      </c>
      <c r="AM393" s="179" t="str">
        <f aca="false">IF($Z393="","",IF(AND($C393&gt;=Dash_Start,$C393&lt;Dash_End),$Z393+ROW()/10000000,""))</f>
        <v/>
      </c>
    </row>
    <row r="394" customFormat="false" ht="14.25" hidden="false" customHeight="false" outlineLevel="0" collapsed="false">
      <c r="A394" s="171" t="str">
        <f aca="false">IF(Payslip_Lookup[[#This Row],[Rider ID]]="","",Payslip_Lookup[[#This Row],[Rider ID]]&amp;"|"&amp;Payslip_Lookup[[#This Row],[Month Key]])</f>
        <v/>
      </c>
      <c r="B394" s="172" t="str">
        <f aca="false">IF(ISNUMBER(Payslip_Lookup[[#This Row],[Salary Month]]),DATE(YEAR(Payslip_Lookup[[#This Row],[Salary Month]]),MONTH(Payslip_Lookup[[#This Row],[Salary Month]]),1),"")</f>
        <v/>
      </c>
      <c r="C394" s="172" t="str">
        <f aca="false">IF(INDEX(Salary_Calculation[Source Row],ROW()-ROW(Payslip_Lookup[#Headers]))="","",INDEX(Salary_Calculation[Salary Month],ROW()-ROW(Payslip_Lookup[#Headers])))</f>
        <v/>
      </c>
      <c r="D394" s="173" t="str">
        <f aca="false">IF(INDEX(Salary_Calculation[Source Row],ROW()-ROW(Payslip_Lookup[#Headers]))="","",INDEX(Salary_Calculation[Rider ID],ROW()-ROW(Payslip_Lookup[#Headers])))</f>
        <v/>
      </c>
      <c r="E394" s="171" t="str">
        <f aca="false">IF(INDEX(Salary_Calculation[Source Row],ROW()-ROW(Payslip_Lookup[#Headers]))="","",INDEX(Salary_Calculation[Rider Name],ROW()-ROW(Payslip_Lookup[#Headers])))</f>
        <v/>
      </c>
      <c r="F394" s="173" t="str">
        <f aca="false">IF(INDEX(Salary_Calculation[Source Row],ROW()-ROW(Payslip_Lookup[#Headers]))="","",INDEX(Salary_Calculation[Working Days],ROW()-ROW(Payslip_Lookup[#Headers])))</f>
        <v/>
      </c>
      <c r="G394" s="173" t="str">
        <f aca="false">IF(INDEX(Salary_Calculation[Source Row],ROW()-ROW(Payslip_Lookup[#Headers]))="","",INDEX(Salary_Calculation[Calendar Days],ROW()-ROW(Payslip_Lookup[#Headers])))</f>
        <v/>
      </c>
      <c r="H394" s="174" t="str">
        <f aca="false">IF(INDEX(Salary_Calculation[Source Row],ROW()-ROW(Payslip_Lookup[#Headers]))="","",INDEX(Salary_Calculation[Monthly Target Orders],ROW()-ROW(Payslip_Lookup[#Headers])))</f>
        <v/>
      </c>
      <c r="I394" s="174" t="str">
        <f aca="false">IF(INDEX(Salary_Calculation[Source Row],ROW()-ROW(Payslip_Lookup[#Headers]))="","",INDEX(Salary_Calculation[Rider Target Orders],ROW()-ROW(Payslip_Lookup[#Headers])))</f>
        <v/>
      </c>
      <c r="J394" s="175" t="str">
        <f aca="false">IF(INDEX(Salary_Calculation[Source Row],ROW()-ROW(Payslip_Lookup[#Headers]))="","",INDEX(Salary_Calculation[Completed Orders],ROW()-ROW(Payslip_Lookup[#Headers])))</f>
        <v/>
      </c>
      <c r="K394" s="174" t="str">
        <f aca="false">IF(INDEX(Salary_Calculation[Source Row],ROW()-ROW(Payslip_Lookup[#Headers]))="","",INDEX(Salary_Calculation[Base Order Rate],ROW()-ROW(Payslip_Lookup[#Headers])))</f>
        <v/>
      </c>
      <c r="L394" s="176" t="str">
        <f aca="false">IF(INDEX(Salary_Calculation[Source Row],ROW()-ROW(Payslip_Lookup[#Headers]))="","",INDEX(Salary_Calculation[Basic Payment],ROW()-ROW(Payslip_Lookup[#Headers])))</f>
        <v/>
      </c>
      <c r="M394" s="176" t="str">
        <f aca="false">IF(INDEX(Salary_Calculation[Source Row],ROW()-ROW(Payslip_Lookup[#Headers]))="","",INDEX(Salary_Calculation[Earned Salary],ROW()-ROW(Payslip_Lookup[#Headers])))</f>
        <v/>
      </c>
      <c r="N394" s="174" t="str">
        <f aca="false">IF(INDEX(Salary_Calculation[Source Row],ROW()-ROW(Payslip_Lookup[#Headers]))="","",INDEX(Salary_Calculation[Orders Counted at Base Rate],ROW()-ROW(Payslip_Lookup[#Headers])))</f>
        <v/>
      </c>
      <c r="O394" s="174" t="str">
        <f aca="false">IF(INDEX(Salary_Calculation[Source Row],ROW()-ROW(Payslip_Lookup[#Headers]))="","",INDEX(Salary_Calculation[Missing Orders],ROW()-ROW(Payslip_Lookup[#Headers])))</f>
        <v/>
      </c>
      <c r="P394" s="176" t="str">
        <f aca="false">IF(INDEX(Salary_Calculation[Source Row],ROW()-ROW(Payslip_Lookup[#Headers]))="","",INDEX(Salary_Calculation[Missing-Order Deduction],ROW()-ROW(Payslip_Lookup[#Headers])))</f>
        <v/>
      </c>
      <c r="Q394" s="174" t="str">
        <f aca="false">IF(INDEX(Salary_Calculation[Source Row],ROW()-ROW(Payslip_Lookup[#Headers]))="","",INDEX(Salary_Calculation[Extra Orders],ROW()-ROW(Payslip_Lookup[#Headers])))</f>
        <v/>
      </c>
      <c r="R394" s="176" t="str">
        <f aca="false">IF(INDEX(Salary_Calculation[Source Row],ROW()-ROW(Payslip_Lookup[#Headers]))="","",INDEX(Salary_Calculation[Extra-Order Bonus],ROW()-ROW(Payslip_Lookup[#Headers])))</f>
        <v/>
      </c>
      <c r="S394" s="176" t="str">
        <f aca="false">IF(INDEX(Salary_Calculation[Source Row],ROW()-ROW(Payslip_Lookup[#Headers]))="","",INDEX(Salary_Calculation[Basic Salary for Target],ROW()-ROW(Payslip_Lookup[#Headers])))</f>
        <v/>
      </c>
      <c r="T394" s="176" t="str">
        <f aca="false">IF(INDEX(Salary_Calculation[Source Row],ROW()-ROW(Payslip_Lookup[#Headers]))="","",INDEX(Salary_Calculation[Gross Salary Before Deductions],ROW()-ROW(Payslip_Lookup[#Headers])))</f>
        <v/>
      </c>
      <c r="U394" s="176" t="str">
        <f aca="false">IF(INDEX(Salary_Calculation[Source Row],ROW()-ROW(Payslip_Lookup[#Headers]))="","",INDEX(Salary_Calculation[missed_days_penalty],ROW()-ROW(Payslip_Lookup[#Headers])))</f>
        <v/>
      </c>
      <c r="V394" s="176" t="str">
        <f aca="false">IF(INDEX(Salary_Calculation[Source Row],ROW()-ROW(Payslip_Lookup[#Headers]))="","",INDEX(Salary_Calculation[Rider Balance],ROW()-ROW(Payslip_Lookup[#Headers])))</f>
        <v/>
      </c>
      <c r="W394" s="176" t="str">
        <f aca="false">IF(INDEX(Salary_Calculation[Source Row],ROW()-ROW(Payslip_Lookup[#Headers]))="","",INDEX(Salary_Calculation[stacking_deduction],ROW()-ROW(Payslip_Lookup[#Headers])))</f>
        <v/>
      </c>
      <c r="X394" s="176" t="str">
        <f aca="false">IF(INDEX(Salary_Calculation[Source Row],ROW()-ROW(Payslip_Lookup[#Headers]))="","",INDEX(Salary_Calculation[Other Deductions],ROW()-ROW(Payslip_Lookup[#Headers])))</f>
        <v/>
      </c>
      <c r="Y394" s="176" t="str">
        <f aca="false">IF(INDEX(Salary_Calculation[Source Row],ROW()-ROW(Payslip_Lookup[#Headers]))="","",INDEX(Salary_Calculation[Total Deductions],ROW()-ROW(Payslip_Lookup[#Headers])))</f>
        <v/>
      </c>
      <c r="Z394" s="176" t="str">
        <f aca="false">IF(INDEX(Salary_Calculation[Source Row],ROW()-ROW(Payslip_Lookup[#Headers]))="","",INDEX(Salary_Calculation[Final Salary],ROW()-ROW(Payslip_Lookup[#Headers])))</f>
        <v/>
      </c>
      <c r="AA394" s="176" t="str">
        <f aca="false">IF(INDEX(Salary_Calculation[Source Row],ROW()-ROW(Payslip_Lookup[#Headers]))="","",INDEX(Salary_Calculation[Negative Balance / Amount Due from Rider],ROW()-ROW(Payslip_Lookup[#Headers])))</f>
        <v/>
      </c>
      <c r="AB394" s="176" t="str">
        <f aca="false">IF(INDEX(Salary_Calculation[Source Row],ROW()-ROW(Payslip_Lookup[#Headers]))="","",INDEX(Salary_Calculation[Total Amount Due from Rider],ROW()-ROW(Payslip_Lookup[#Headers])))</f>
        <v/>
      </c>
      <c r="AC394" s="176" t="str">
        <f aca="false">IF(INDEX(Salary_Calculation[Source Row],ROW()-ROW(Payslip_Lookup[#Headers]))="","",INDEX(Salary_Calculation[Salary Before Other Deductions],ROW()-ROW(Payslip_Lookup[#Headers])))</f>
        <v/>
      </c>
      <c r="AD394" s="171" t="str">
        <f aca="false">IF(INDEX(Salary_Calculation[Source Row],ROW()-ROW(Payslip_Lookup[#Headers]))="","",INDEX(Salary_Calculation[Payment Status],ROW()-ROW(Payslip_Lookup[#Headers])))</f>
        <v/>
      </c>
      <c r="AE394" s="171" t="str">
        <f aca="false">IF(INDEX(Salary_Calculation[Source Row],ROW()-ROW(Payslip_Lookup[#Headers]))="","",INDEX(Salary_Calculation[Notes],ROW()-ROW(Payslip_Lookup[#Headers])))</f>
        <v/>
      </c>
      <c r="AF394" s="171" t="str">
        <f aca="false">IF(INDEX(Salary_Calculation[Source Row],ROW()-ROW(Payslip_Lookup[#Headers]))="","",INDEX(Salary_Calculation[Exception Reason],ROW()-ROW(Payslip_Lookup[#Headers])))</f>
        <v/>
      </c>
      <c r="AG394" s="173" t="str">
        <f aca="false">IF($AD394="Review Required",COUNTIF(AD$2:AD394,"Review Required"),"")</f>
        <v/>
      </c>
      <c r="AH394" s="173" t="str">
        <f aca="false">IF(AND($D394&lt;&gt;"",$B394=Payslip_Print!$C$2),MAX(AH$1:AH393)+1,"")</f>
        <v/>
      </c>
      <c r="AL394" s="178" t="str">
        <f aca="false">IFERROR(INDEX($D$2:$D$501,MATCH(ROW()-1,$AH$2:$AH$501,0)),"")</f>
        <v/>
      </c>
      <c r="AM394" s="179" t="str">
        <f aca="false">IF($Z394="","",IF(AND($C394&gt;=Dash_Start,$C394&lt;Dash_End),$Z394+ROW()/10000000,""))</f>
        <v/>
      </c>
    </row>
    <row r="395" customFormat="false" ht="14.25" hidden="false" customHeight="false" outlineLevel="0" collapsed="false">
      <c r="A395" s="171" t="str">
        <f aca="false">IF(Payslip_Lookup[[#This Row],[Rider ID]]="","",Payslip_Lookup[[#This Row],[Rider ID]]&amp;"|"&amp;Payslip_Lookup[[#This Row],[Month Key]])</f>
        <v/>
      </c>
      <c r="B395" s="172" t="str">
        <f aca="false">IF(ISNUMBER(Payslip_Lookup[[#This Row],[Salary Month]]),DATE(YEAR(Payslip_Lookup[[#This Row],[Salary Month]]),MONTH(Payslip_Lookup[[#This Row],[Salary Month]]),1),"")</f>
        <v/>
      </c>
      <c r="C395" s="172" t="str">
        <f aca="false">IF(INDEX(Salary_Calculation[Source Row],ROW()-ROW(Payslip_Lookup[#Headers]))="","",INDEX(Salary_Calculation[Salary Month],ROW()-ROW(Payslip_Lookup[#Headers])))</f>
        <v/>
      </c>
      <c r="D395" s="173" t="str">
        <f aca="false">IF(INDEX(Salary_Calculation[Source Row],ROW()-ROW(Payslip_Lookup[#Headers]))="","",INDEX(Salary_Calculation[Rider ID],ROW()-ROW(Payslip_Lookup[#Headers])))</f>
        <v/>
      </c>
      <c r="E395" s="171" t="str">
        <f aca="false">IF(INDEX(Salary_Calculation[Source Row],ROW()-ROW(Payslip_Lookup[#Headers]))="","",INDEX(Salary_Calculation[Rider Name],ROW()-ROW(Payslip_Lookup[#Headers])))</f>
        <v/>
      </c>
      <c r="F395" s="173" t="str">
        <f aca="false">IF(INDEX(Salary_Calculation[Source Row],ROW()-ROW(Payslip_Lookup[#Headers]))="","",INDEX(Salary_Calculation[Working Days],ROW()-ROW(Payslip_Lookup[#Headers])))</f>
        <v/>
      </c>
      <c r="G395" s="173" t="str">
        <f aca="false">IF(INDEX(Salary_Calculation[Source Row],ROW()-ROW(Payslip_Lookup[#Headers]))="","",INDEX(Salary_Calculation[Calendar Days],ROW()-ROW(Payslip_Lookup[#Headers])))</f>
        <v/>
      </c>
      <c r="H395" s="174" t="str">
        <f aca="false">IF(INDEX(Salary_Calculation[Source Row],ROW()-ROW(Payslip_Lookup[#Headers]))="","",INDEX(Salary_Calculation[Monthly Target Orders],ROW()-ROW(Payslip_Lookup[#Headers])))</f>
        <v/>
      </c>
      <c r="I395" s="174" t="str">
        <f aca="false">IF(INDEX(Salary_Calculation[Source Row],ROW()-ROW(Payslip_Lookup[#Headers]))="","",INDEX(Salary_Calculation[Rider Target Orders],ROW()-ROW(Payslip_Lookup[#Headers])))</f>
        <v/>
      </c>
      <c r="J395" s="175" t="str">
        <f aca="false">IF(INDEX(Salary_Calculation[Source Row],ROW()-ROW(Payslip_Lookup[#Headers]))="","",INDEX(Salary_Calculation[Completed Orders],ROW()-ROW(Payslip_Lookup[#Headers])))</f>
        <v/>
      </c>
      <c r="K395" s="174" t="str">
        <f aca="false">IF(INDEX(Salary_Calculation[Source Row],ROW()-ROW(Payslip_Lookup[#Headers]))="","",INDEX(Salary_Calculation[Base Order Rate],ROW()-ROW(Payslip_Lookup[#Headers])))</f>
        <v/>
      </c>
      <c r="L395" s="176" t="str">
        <f aca="false">IF(INDEX(Salary_Calculation[Source Row],ROW()-ROW(Payslip_Lookup[#Headers]))="","",INDEX(Salary_Calculation[Basic Payment],ROW()-ROW(Payslip_Lookup[#Headers])))</f>
        <v/>
      </c>
      <c r="M395" s="176" t="str">
        <f aca="false">IF(INDEX(Salary_Calculation[Source Row],ROW()-ROW(Payslip_Lookup[#Headers]))="","",INDEX(Salary_Calculation[Earned Salary],ROW()-ROW(Payslip_Lookup[#Headers])))</f>
        <v/>
      </c>
      <c r="N395" s="174" t="str">
        <f aca="false">IF(INDEX(Salary_Calculation[Source Row],ROW()-ROW(Payslip_Lookup[#Headers]))="","",INDEX(Salary_Calculation[Orders Counted at Base Rate],ROW()-ROW(Payslip_Lookup[#Headers])))</f>
        <v/>
      </c>
      <c r="O395" s="174" t="str">
        <f aca="false">IF(INDEX(Salary_Calculation[Source Row],ROW()-ROW(Payslip_Lookup[#Headers]))="","",INDEX(Salary_Calculation[Missing Orders],ROW()-ROW(Payslip_Lookup[#Headers])))</f>
        <v/>
      </c>
      <c r="P395" s="176" t="str">
        <f aca="false">IF(INDEX(Salary_Calculation[Source Row],ROW()-ROW(Payslip_Lookup[#Headers]))="","",INDEX(Salary_Calculation[Missing-Order Deduction],ROW()-ROW(Payslip_Lookup[#Headers])))</f>
        <v/>
      </c>
      <c r="Q395" s="174" t="str">
        <f aca="false">IF(INDEX(Salary_Calculation[Source Row],ROW()-ROW(Payslip_Lookup[#Headers]))="","",INDEX(Salary_Calculation[Extra Orders],ROW()-ROW(Payslip_Lookup[#Headers])))</f>
        <v/>
      </c>
      <c r="R395" s="176" t="str">
        <f aca="false">IF(INDEX(Salary_Calculation[Source Row],ROW()-ROW(Payslip_Lookup[#Headers]))="","",INDEX(Salary_Calculation[Extra-Order Bonus],ROW()-ROW(Payslip_Lookup[#Headers])))</f>
        <v/>
      </c>
      <c r="S395" s="176" t="str">
        <f aca="false">IF(INDEX(Salary_Calculation[Source Row],ROW()-ROW(Payslip_Lookup[#Headers]))="","",INDEX(Salary_Calculation[Basic Salary for Target],ROW()-ROW(Payslip_Lookup[#Headers])))</f>
        <v/>
      </c>
      <c r="T395" s="176" t="str">
        <f aca="false">IF(INDEX(Salary_Calculation[Source Row],ROW()-ROW(Payslip_Lookup[#Headers]))="","",INDEX(Salary_Calculation[Gross Salary Before Deductions],ROW()-ROW(Payslip_Lookup[#Headers])))</f>
        <v/>
      </c>
      <c r="U395" s="176" t="str">
        <f aca="false">IF(INDEX(Salary_Calculation[Source Row],ROW()-ROW(Payslip_Lookup[#Headers]))="","",INDEX(Salary_Calculation[missed_days_penalty],ROW()-ROW(Payslip_Lookup[#Headers])))</f>
        <v/>
      </c>
      <c r="V395" s="176" t="str">
        <f aca="false">IF(INDEX(Salary_Calculation[Source Row],ROW()-ROW(Payslip_Lookup[#Headers]))="","",INDEX(Salary_Calculation[Rider Balance],ROW()-ROW(Payslip_Lookup[#Headers])))</f>
        <v/>
      </c>
      <c r="W395" s="176" t="str">
        <f aca="false">IF(INDEX(Salary_Calculation[Source Row],ROW()-ROW(Payslip_Lookup[#Headers]))="","",INDEX(Salary_Calculation[stacking_deduction],ROW()-ROW(Payslip_Lookup[#Headers])))</f>
        <v/>
      </c>
      <c r="X395" s="176" t="str">
        <f aca="false">IF(INDEX(Salary_Calculation[Source Row],ROW()-ROW(Payslip_Lookup[#Headers]))="","",INDEX(Salary_Calculation[Other Deductions],ROW()-ROW(Payslip_Lookup[#Headers])))</f>
        <v/>
      </c>
      <c r="Y395" s="176" t="str">
        <f aca="false">IF(INDEX(Salary_Calculation[Source Row],ROW()-ROW(Payslip_Lookup[#Headers]))="","",INDEX(Salary_Calculation[Total Deductions],ROW()-ROW(Payslip_Lookup[#Headers])))</f>
        <v/>
      </c>
      <c r="Z395" s="176" t="str">
        <f aca="false">IF(INDEX(Salary_Calculation[Source Row],ROW()-ROW(Payslip_Lookup[#Headers]))="","",INDEX(Salary_Calculation[Final Salary],ROW()-ROW(Payslip_Lookup[#Headers])))</f>
        <v/>
      </c>
      <c r="AA395" s="176" t="str">
        <f aca="false">IF(INDEX(Salary_Calculation[Source Row],ROW()-ROW(Payslip_Lookup[#Headers]))="","",INDEX(Salary_Calculation[Negative Balance / Amount Due from Rider],ROW()-ROW(Payslip_Lookup[#Headers])))</f>
        <v/>
      </c>
      <c r="AB395" s="176" t="str">
        <f aca="false">IF(INDEX(Salary_Calculation[Source Row],ROW()-ROW(Payslip_Lookup[#Headers]))="","",INDEX(Salary_Calculation[Total Amount Due from Rider],ROW()-ROW(Payslip_Lookup[#Headers])))</f>
        <v/>
      </c>
      <c r="AC395" s="176" t="str">
        <f aca="false">IF(INDEX(Salary_Calculation[Source Row],ROW()-ROW(Payslip_Lookup[#Headers]))="","",INDEX(Salary_Calculation[Salary Before Other Deductions],ROW()-ROW(Payslip_Lookup[#Headers])))</f>
        <v/>
      </c>
      <c r="AD395" s="171" t="str">
        <f aca="false">IF(INDEX(Salary_Calculation[Source Row],ROW()-ROW(Payslip_Lookup[#Headers]))="","",INDEX(Salary_Calculation[Payment Status],ROW()-ROW(Payslip_Lookup[#Headers])))</f>
        <v/>
      </c>
      <c r="AE395" s="171" t="str">
        <f aca="false">IF(INDEX(Salary_Calculation[Source Row],ROW()-ROW(Payslip_Lookup[#Headers]))="","",INDEX(Salary_Calculation[Notes],ROW()-ROW(Payslip_Lookup[#Headers])))</f>
        <v/>
      </c>
      <c r="AF395" s="171" t="str">
        <f aca="false">IF(INDEX(Salary_Calculation[Source Row],ROW()-ROW(Payslip_Lookup[#Headers]))="","",INDEX(Salary_Calculation[Exception Reason],ROW()-ROW(Payslip_Lookup[#Headers])))</f>
        <v/>
      </c>
      <c r="AG395" s="173" t="str">
        <f aca="false">IF($AD395="Review Required",COUNTIF(AD$2:AD395,"Review Required"),"")</f>
        <v/>
      </c>
      <c r="AH395" s="173" t="str">
        <f aca="false">IF(AND($D395&lt;&gt;"",$B395=Payslip_Print!$C$2),MAX(AH$1:AH394)+1,"")</f>
        <v/>
      </c>
      <c r="AL395" s="178" t="str">
        <f aca="false">IFERROR(INDEX($D$2:$D$501,MATCH(ROW()-1,$AH$2:$AH$501,0)),"")</f>
        <v/>
      </c>
      <c r="AM395" s="179" t="str">
        <f aca="false">IF($Z395="","",IF(AND($C395&gt;=Dash_Start,$C395&lt;Dash_End),$Z395+ROW()/10000000,""))</f>
        <v/>
      </c>
    </row>
    <row r="396" customFormat="false" ht="14.25" hidden="false" customHeight="false" outlineLevel="0" collapsed="false">
      <c r="A396" s="171" t="str">
        <f aca="false">IF(Payslip_Lookup[[#This Row],[Rider ID]]="","",Payslip_Lookup[[#This Row],[Rider ID]]&amp;"|"&amp;Payslip_Lookup[[#This Row],[Month Key]])</f>
        <v/>
      </c>
      <c r="B396" s="172" t="str">
        <f aca="false">IF(ISNUMBER(Payslip_Lookup[[#This Row],[Salary Month]]),DATE(YEAR(Payslip_Lookup[[#This Row],[Salary Month]]),MONTH(Payslip_Lookup[[#This Row],[Salary Month]]),1),"")</f>
        <v/>
      </c>
      <c r="C396" s="172" t="str">
        <f aca="false">IF(INDEX(Salary_Calculation[Source Row],ROW()-ROW(Payslip_Lookup[#Headers]))="","",INDEX(Salary_Calculation[Salary Month],ROW()-ROW(Payslip_Lookup[#Headers])))</f>
        <v/>
      </c>
      <c r="D396" s="173" t="str">
        <f aca="false">IF(INDEX(Salary_Calculation[Source Row],ROW()-ROW(Payslip_Lookup[#Headers]))="","",INDEX(Salary_Calculation[Rider ID],ROW()-ROW(Payslip_Lookup[#Headers])))</f>
        <v/>
      </c>
      <c r="E396" s="171" t="str">
        <f aca="false">IF(INDEX(Salary_Calculation[Source Row],ROW()-ROW(Payslip_Lookup[#Headers]))="","",INDEX(Salary_Calculation[Rider Name],ROW()-ROW(Payslip_Lookup[#Headers])))</f>
        <v/>
      </c>
      <c r="F396" s="173" t="str">
        <f aca="false">IF(INDEX(Salary_Calculation[Source Row],ROW()-ROW(Payslip_Lookup[#Headers]))="","",INDEX(Salary_Calculation[Working Days],ROW()-ROW(Payslip_Lookup[#Headers])))</f>
        <v/>
      </c>
      <c r="G396" s="173" t="str">
        <f aca="false">IF(INDEX(Salary_Calculation[Source Row],ROW()-ROW(Payslip_Lookup[#Headers]))="","",INDEX(Salary_Calculation[Calendar Days],ROW()-ROW(Payslip_Lookup[#Headers])))</f>
        <v/>
      </c>
      <c r="H396" s="174" t="str">
        <f aca="false">IF(INDEX(Salary_Calculation[Source Row],ROW()-ROW(Payslip_Lookup[#Headers]))="","",INDEX(Salary_Calculation[Monthly Target Orders],ROW()-ROW(Payslip_Lookup[#Headers])))</f>
        <v/>
      </c>
      <c r="I396" s="174" t="str">
        <f aca="false">IF(INDEX(Salary_Calculation[Source Row],ROW()-ROW(Payslip_Lookup[#Headers]))="","",INDEX(Salary_Calculation[Rider Target Orders],ROW()-ROW(Payslip_Lookup[#Headers])))</f>
        <v/>
      </c>
      <c r="J396" s="175" t="str">
        <f aca="false">IF(INDEX(Salary_Calculation[Source Row],ROW()-ROW(Payslip_Lookup[#Headers]))="","",INDEX(Salary_Calculation[Completed Orders],ROW()-ROW(Payslip_Lookup[#Headers])))</f>
        <v/>
      </c>
      <c r="K396" s="174" t="str">
        <f aca="false">IF(INDEX(Salary_Calculation[Source Row],ROW()-ROW(Payslip_Lookup[#Headers]))="","",INDEX(Salary_Calculation[Base Order Rate],ROW()-ROW(Payslip_Lookup[#Headers])))</f>
        <v/>
      </c>
      <c r="L396" s="176" t="str">
        <f aca="false">IF(INDEX(Salary_Calculation[Source Row],ROW()-ROW(Payslip_Lookup[#Headers]))="","",INDEX(Salary_Calculation[Basic Payment],ROW()-ROW(Payslip_Lookup[#Headers])))</f>
        <v/>
      </c>
      <c r="M396" s="176" t="str">
        <f aca="false">IF(INDEX(Salary_Calculation[Source Row],ROW()-ROW(Payslip_Lookup[#Headers]))="","",INDEX(Salary_Calculation[Earned Salary],ROW()-ROW(Payslip_Lookup[#Headers])))</f>
        <v/>
      </c>
      <c r="N396" s="174" t="str">
        <f aca="false">IF(INDEX(Salary_Calculation[Source Row],ROW()-ROW(Payslip_Lookup[#Headers]))="","",INDEX(Salary_Calculation[Orders Counted at Base Rate],ROW()-ROW(Payslip_Lookup[#Headers])))</f>
        <v/>
      </c>
      <c r="O396" s="174" t="str">
        <f aca="false">IF(INDEX(Salary_Calculation[Source Row],ROW()-ROW(Payslip_Lookup[#Headers]))="","",INDEX(Salary_Calculation[Missing Orders],ROW()-ROW(Payslip_Lookup[#Headers])))</f>
        <v/>
      </c>
      <c r="P396" s="176" t="str">
        <f aca="false">IF(INDEX(Salary_Calculation[Source Row],ROW()-ROW(Payslip_Lookup[#Headers]))="","",INDEX(Salary_Calculation[Missing-Order Deduction],ROW()-ROW(Payslip_Lookup[#Headers])))</f>
        <v/>
      </c>
      <c r="Q396" s="174" t="str">
        <f aca="false">IF(INDEX(Salary_Calculation[Source Row],ROW()-ROW(Payslip_Lookup[#Headers]))="","",INDEX(Salary_Calculation[Extra Orders],ROW()-ROW(Payslip_Lookup[#Headers])))</f>
        <v/>
      </c>
      <c r="R396" s="176" t="str">
        <f aca="false">IF(INDEX(Salary_Calculation[Source Row],ROW()-ROW(Payslip_Lookup[#Headers]))="","",INDEX(Salary_Calculation[Extra-Order Bonus],ROW()-ROW(Payslip_Lookup[#Headers])))</f>
        <v/>
      </c>
      <c r="S396" s="176" t="str">
        <f aca="false">IF(INDEX(Salary_Calculation[Source Row],ROW()-ROW(Payslip_Lookup[#Headers]))="","",INDEX(Salary_Calculation[Basic Salary for Target],ROW()-ROW(Payslip_Lookup[#Headers])))</f>
        <v/>
      </c>
      <c r="T396" s="176" t="str">
        <f aca="false">IF(INDEX(Salary_Calculation[Source Row],ROW()-ROW(Payslip_Lookup[#Headers]))="","",INDEX(Salary_Calculation[Gross Salary Before Deductions],ROW()-ROW(Payslip_Lookup[#Headers])))</f>
        <v/>
      </c>
      <c r="U396" s="176" t="str">
        <f aca="false">IF(INDEX(Salary_Calculation[Source Row],ROW()-ROW(Payslip_Lookup[#Headers]))="","",INDEX(Salary_Calculation[missed_days_penalty],ROW()-ROW(Payslip_Lookup[#Headers])))</f>
        <v/>
      </c>
      <c r="V396" s="176" t="str">
        <f aca="false">IF(INDEX(Salary_Calculation[Source Row],ROW()-ROW(Payslip_Lookup[#Headers]))="","",INDEX(Salary_Calculation[Rider Balance],ROW()-ROW(Payslip_Lookup[#Headers])))</f>
        <v/>
      </c>
      <c r="W396" s="176" t="str">
        <f aca="false">IF(INDEX(Salary_Calculation[Source Row],ROW()-ROW(Payslip_Lookup[#Headers]))="","",INDEX(Salary_Calculation[stacking_deduction],ROW()-ROW(Payslip_Lookup[#Headers])))</f>
        <v/>
      </c>
      <c r="X396" s="176" t="str">
        <f aca="false">IF(INDEX(Salary_Calculation[Source Row],ROW()-ROW(Payslip_Lookup[#Headers]))="","",INDEX(Salary_Calculation[Other Deductions],ROW()-ROW(Payslip_Lookup[#Headers])))</f>
        <v/>
      </c>
      <c r="Y396" s="176" t="str">
        <f aca="false">IF(INDEX(Salary_Calculation[Source Row],ROW()-ROW(Payslip_Lookup[#Headers]))="","",INDEX(Salary_Calculation[Total Deductions],ROW()-ROW(Payslip_Lookup[#Headers])))</f>
        <v/>
      </c>
      <c r="Z396" s="176" t="str">
        <f aca="false">IF(INDEX(Salary_Calculation[Source Row],ROW()-ROW(Payslip_Lookup[#Headers]))="","",INDEX(Salary_Calculation[Final Salary],ROW()-ROW(Payslip_Lookup[#Headers])))</f>
        <v/>
      </c>
      <c r="AA396" s="176" t="str">
        <f aca="false">IF(INDEX(Salary_Calculation[Source Row],ROW()-ROW(Payslip_Lookup[#Headers]))="","",INDEX(Salary_Calculation[Negative Balance / Amount Due from Rider],ROW()-ROW(Payslip_Lookup[#Headers])))</f>
        <v/>
      </c>
      <c r="AB396" s="176" t="str">
        <f aca="false">IF(INDEX(Salary_Calculation[Source Row],ROW()-ROW(Payslip_Lookup[#Headers]))="","",INDEX(Salary_Calculation[Total Amount Due from Rider],ROW()-ROW(Payslip_Lookup[#Headers])))</f>
        <v/>
      </c>
      <c r="AC396" s="176" t="str">
        <f aca="false">IF(INDEX(Salary_Calculation[Source Row],ROW()-ROW(Payslip_Lookup[#Headers]))="","",INDEX(Salary_Calculation[Salary Before Other Deductions],ROW()-ROW(Payslip_Lookup[#Headers])))</f>
        <v/>
      </c>
      <c r="AD396" s="171" t="str">
        <f aca="false">IF(INDEX(Salary_Calculation[Source Row],ROW()-ROW(Payslip_Lookup[#Headers]))="","",INDEX(Salary_Calculation[Payment Status],ROW()-ROW(Payslip_Lookup[#Headers])))</f>
        <v/>
      </c>
      <c r="AE396" s="171" t="str">
        <f aca="false">IF(INDEX(Salary_Calculation[Source Row],ROW()-ROW(Payslip_Lookup[#Headers]))="","",INDEX(Salary_Calculation[Notes],ROW()-ROW(Payslip_Lookup[#Headers])))</f>
        <v/>
      </c>
      <c r="AF396" s="171" t="str">
        <f aca="false">IF(INDEX(Salary_Calculation[Source Row],ROW()-ROW(Payslip_Lookup[#Headers]))="","",INDEX(Salary_Calculation[Exception Reason],ROW()-ROW(Payslip_Lookup[#Headers])))</f>
        <v/>
      </c>
      <c r="AG396" s="173" t="str">
        <f aca="false">IF($AD396="Review Required",COUNTIF(AD$2:AD396,"Review Required"),"")</f>
        <v/>
      </c>
      <c r="AH396" s="173" t="str">
        <f aca="false">IF(AND($D396&lt;&gt;"",$B396=Payslip_Print!$C$2),MAX(AH$1:AH395)+1,"")</f>
        <v/>
      </c>
      <c r="AL396" s="178" t="str">
        <f aca="false">IFERROR(INDEX($D$2:$D$501,MATCH(ROW()-1,$AH$2:$AH$501,0)),"")</f>
        <v/>
      </c>
      <c r="AM396" s="179" t="str">
        <f aca="false">IF($Z396="","",IF(AND($C396&gt;=Dash_Start,$C396&lt;Dash_End),$Z396+ROW()/10000000,""))</f>
        <v/>
      </c>
    </row>
    <row r="397" customFormat="false" ht="14.25" hidden="false" customHeight="false" outlineLevel="0" collapsed="false">
      <c r="A397" s="171" t="str">
        <f aca="false">IF(Payslip_Lookup[[#This Row],[Rider ID]]="","",Payslip_Lookup[[#This Row],[Rider ID]]&amp;"|"&amp;Payslip_Lookup[[#This Row],[Month Key]])</f>
        <v/>
      </c>
      <c r="B397" s="172" t="str">
        <f aca="false">IF(ISNUMBER(Payslip_Lookup[[#This Row],[Salary Month]]),DATE(YEAR(Payslip_Lookup[[#This Row],[Salary Month]]),MONTH(Payslip_Lookup[[#This Row],[Salary Month]]),1),"")</f>
        <v/>
      </c>
      <c r="C397" s="172" t="str">
        <f aca="false">IF(INDEX(Salary_Calculation[Source Row],ROW()-ROW(Payslip_Lookup[#Headers]))="","",INDEX(Salary_Calculation[Salary Month],ROW()-ROW(Payslip_Lookup[#Headers])))</f>
        <v/>
      </c>
      <c r="D397" s="173" t="str">
        <f aca="false">IF(INDEX(Salary_Calculation[Source Row],ROW()-ROW(Payslip_Lookup[#Headers]))="","",INDEX(Salary_Calculation[Rider ID],ROW()-ROW(Payslip_Lookup[#Headers])))</f>
        <v/>
      </c>
      <c r="E397" s="171" t="str">
        <f aca="false">IF(INDEX(Salary_Calculation[Source Row],ROW()-ROW(Payslip_Lookup[#Headers]))="","",INDEX(Salary_Calculation[Rider Name],ROW()-ROW(Payslip_Lookup[#Headers])))</f>
        <v/>
      </c>
      <c r="F397" s="173" t="str">
        <f aca="false">IF(INDEX(Salary_Calculation[Source Row],ROW()-ROW(Payslip_Lookup[#Headers]))="","",INDEX(Salary_Calculation[Working Days],ROW()-ROW(Payslip_Lookup[#Headers])))</f>
        <v/>
      </c>
      <c r="G397" s="173" t="str">
        <f aca="false">IF(INDEX(Salary_Calculation[Source Row],ROW()-ROW(Payslip_Lookup[#Headers]))="","",INDEX(Salary_Calculation[Calendar Days],ROW()-ROW(Payslip_Lookup[#Headers])))</f>
        <v/>
      </c>
      <c r="H397" s="174" t="str">
        <f aca="false">IF(INDEX(Salary_Calculation[Source Row],ROW()-ROW(Payslip_Lookup[#Headers]))="","",INDEX(Salary_Calculation[Monthly Target Orders],ROW()-ROW(Payslip_Lookup[#Headers])))</f>
        <v/>
      </c>
      <c r="I397" s="174" t="str">
        <f aca="false">IF(INDEX(Salary_Calculation[Source Row],ROW()-ROW(Payslip_Lookup[#Headers]))="","",INDEX(Salary_Calculation[Rider Target Orders],ROW()-ROW(Payslip_Lookup[#Headers])))</f>
        <v/>
      </c>
      <c r="J397" s="175" t="str">
        <f aca="false">IF(INDEX(Salary_Calculation[Source Row],ROW()-ROW(Payslip_Lookup[#Headers]))="","",INDEX(Salary_Calculation[Completed Orders],ROW()-ROW(Payslip_Lookup[#Headers])))</f>
        <v/>
      </c>
      <c r="K397" s="174" t="str">
        <f aca="false">IF(INDEX(Salary_Calculation[Source Row],ROW()-ROW(Payslip_Lookup[#Headers]))="","",INDEX(Salary_Calculation[Base Order Rate],ROW()-ROW(Payslip_Lookup[#Headers])))</f>
        <v/>
      </c>
      <c r="L397" s="176" t="str">
        <f aca="false">IF(INDEX(Salary_Calculation[Source Row],ROW()-ROW(Payslip_Lookup[#Headers]))="","",INDEX(Salary_Calculation[Basic Payment],ROW()-ROW(Payslip_Lookup[#Headers])))</f>
        <v/>
      </c>
      <c r="M397" s="176" t="str">
        <f aca="false">IF(INDEX(Salary_Calculation[Source Row],ROW()-ROW(Payslip_Lookup[#Headers]))="","",INDEX(Salary_Calculation[Earned Salary],ROW()-ROW(Payslip_Lookup[#Headers])))</f>
        <v/>
      </c>
      <c r="N397" s="174" t="str">
        <f aca="false">IF(INDEX(Salary_Calculation[Source Row],ROW()-ROW(Payslip_Lookup[#Headers]))="","",INDEX(Salary_Calculation[Orders Counted at Base Rate],ROW()-ROW(Payslip_Lookup[#Headers])))</f>
        <v/>
      </c>
      <c r="O397" s="174" t="str">
        <f aca="false">IF(INDEX(Salary_Calculation[Source Row],ROW()-ROW(Payslip_Lookup[#Headers]))="","",INDEX(Salary_Calculation[Missing Orders],ROW()-ROW(Payslip_Lookup[#Headers])))</f>
        <v/>
      </c>
      <c r="P397" s="176" t="str">
        <f aca="false">IF(INDEX(Salary_Calculation[Source Row],ROW()-ROW(Payslip_Lookup[#Headers]))="","",INDEX(Salary_Calculation[Missing-Order Deduction],ROW()-ROW(Payslip_Lookup[#Headers])))</f>
        <v/>
      </c>
      <c r="Q397" s="174" t="str">
        <f aca="false">IF(INDEX(Salary_Calculation[Source Row],ROW()-ROW(Payslip_Lookup[#Headers]))="","",INDEX(Salary_Calculation[Extra Orders],ROW()-ROW(Payslip_Lookup[#Headers])))</f>
        <v/>
      </c>
      <c r="R397" s="176" t="str">
        <f aca="false">IF(INDEX(Salary_Calculation[Source Row],ROW()-ROW(Payslip_Lookup[#Headers]))="","",INDEX(Salary_Calculation[Extra-Order Bonus],ROW()-ROW(Payslip_Lookup[#Headers])))</f>
        <v/>
      </c>
      <c r="S397" s="176" t="str">
        <f aca="false">IF(INDEX(Salary_Calculation[Source Row],ROW()-ROW(Payslip_Lookup[#Headers]))="","",INDEX(Salary_Calculation[Basic Salary for Target],ROW()-ROW(Payslip_Lookup[#Headers])))</f>
        <v/>
      </c>
      <c r="T397" s="176" t="str">
        <f aca="false">IF(INDEX(Salary_Calculation[Source Row],ROW()-ROW(Payslip_Lookup[#Headers]))="","",INDEX(Salary_Calculation[Gross Salary Before Deductions],ROW()-ROW(Payslip_Lookup[#Headers])))</f>
        <v/>
      </c>
      <c r="U397" s="176" t="str">
        <f aca="false">IF(INDEX(Salary_Calculation[Source Row],ROW()-ROW(Payslip_Lookup[#Headers]))="","",INDEX(Salary_Calculation[missed_days_penalty],ROW()-ROW(Payslip_Lookup[#Headers])))</f>
        <v/>
      </c>
      <c r="V397" s="176" t="str">
        <f aca="false">IF(INDEX(Salary_Calculation[Source Row],ROW()-ROW(Payslip_Lookup[#Headers]))="","",INDEX(Salary_Calculation[Rider Balance],ROW()-ROW(Payslip_Lookup[#Headers])))</f>
        <v/>
      </c>
      <c r="W397" s="176" t="str">
        <f aca="false">IF(INDEX(Salary_Calculation[Source Row],ROW()-ROW(Payslip_Lookup[#Headers]))="","",INDEX(Salary_Calculation[stacking_deduction],ROW()-ROW(Payslip_Lookup[#Headers])))</f>
        <v/>
      </c>
      <c r="X397" s="176" t="str">
        <f aca="false">IF(INDEX(Salary_Calculation[Source Row],ROW()-ROW(Payslip_Lookup[#Headers]))="","",INDEX(Salary_Calculation[Other Deductions],ROW()-ROW(Payslip_Lookup[#Headers])))</f>
        <v/>
      </c>
      <c r="Y397" s="176" t="str">
        <f aca="false">IF(INDEX(Salary_Calculation[Source Row],ROW()-ROW(Payslip_Lookup[#Headers]))="","",INDEX(Salary_Calculation[Total Deductions],ROW()-ROW(Payslip_Lookup[#Headers])))</f>
        <v/>
      </c>
      <c r="Z397" s="176" t="str">
        <f aca="false">IF(INDEX(Salary_Calculation[Source Row],ROW()-ROW(Payslip_Lookup[#Headers]))="","",INDEX(Salary_Calculation[Final Salary],ROW()-ROW(Payslip_Lookup[#Headers])))</f>
        <v/>
      </c>
      <c r="AA397" s="176" t="str">
        <f aca="false">IF(INDEX(Salary_Calculation[Source Row],ROW()-ROW(Payslip_Lookup[#Headers]))="","",INDEX(Salary_Calculation[Negative Balance / Amount Due from Rider],ROW()-ROW(Payslip_Lookup[#Headers])))</f>
        <v/>
      </c>
      <c r="AB397" s="176" t="str">
        <f aca="false">IF(INDEX(Salary_Calculation[Source Row],ROW()-ROW(Payslip_Lookup[#Headers]))="","",INDEX(Salary_Calculation[Total Amount Due from Rider],ROW()-ROW(Payslip_Lookup[#Headers])))</f>
        <v/>
      </c>
      <c r="AC397" s="176" t="str">
        <f aca="false">IF(INDEX(Salary_Calculation[Source Row],ROW()-ROW(Payslip_Lookup[#Headers]))="","",INDEX(Salary_Calculation[Salary Before Other Deductions],ROW()-ROW(Payslip_Lookup[#Headers])))</f>
        <v/>
      </c>
      <c r="AD397" s="171" t="str">
        <f aca="false">IF(INDEX(Salary_Calculation[Source Row],ROW()-ROW(Payslip_Lookup[#Headers]))="","",INDEX(Salary_Calculation[Payment Status],ROW()-ROW(Payslip_Lookup[#Headers])))</f>
        <v/>
      </c>
      <c r="AE397" s="171" t="str">
        <f aca="false">IF(INDEX(Salary_Calculation[Source Row],ROW()-ROW(Payslip_Lookup[#Headers]))="","",INDEX(Salary_Calculation[Notes],ROW()-ROW(Payslip_Lookup[#Headers])))</f>
        <v/>
      </c>
      <c r="AF397" s="171" t="str">
        <f aca="false">IF(INDEX(Salary_Calculation[Source Row],ROW()-ROW(Payslip_Lookup[#Headers]))="","",INDEX(Salary_Calculation[Exception Reason],ROW()-ROW(Payslip_Lookup[#Headers])))</f>
        <v/>
      </c>
      <c r="AG397" s="173" t="str">
        <f aca="false">IF($AD397="Review Required",COUNTIF(AD$2:AD397,"Review Required"),"")</f>
        <v/>
      </c>
      <c r="AH397" s="173" t="str">
        <f aca="false">IF(AND($D397&lt;&gt;"",$B397=Payslip_Print!$C$2),MAX(AH$1:AH396)+1,"")</f>
        <v/>
      </c>
      <c r="AL397" s="178" t="str">
        <f aca="false">IFERROR(INDEX($D$2:$D$501,MATCH(ROW()-1,$AH$2:$AH$501,0)),"")</f>
        <v/>
      </c>
      <c r="AM397" s="179" t="str">
        <f aca="false">IF($Z397="","",IF(AND($C397&gt;=Dash_Start,$C397&lt;Dash_End),$Z397+ROW()/10000000,""))</f>
        <v/>
      </c>
    </row>
    <row r="398" customFormat="false" ht="14.25" hidden="false" customHeight="false" outlineLevel="0" collapsed="false">
      <c r="A398" s="171" t="str">
        <f aca="false">IF(Payslip_Lookup[[#This Row],[Rider ID]]="","",Payslip_Lookup[[#This Row],[Rider ID]]&amp;"|"&amp;Payslip_Lookup[[#This Row],[Month Key]])</f>
        <v/>
      </c>
      <c r="B398" s="172" t="str">
        <f aca="false">IF(ISNUMBER(Payslip_Lookup[[#This Row],[Salary Month]]),DATE(YEAR(Payslip_Lookup[[#This Row],[Salary Month]]),MONTH(Payslip_Lookup[[#This Row],[Salary Month]]),1),"")</f>
        <v/>
      </c>
      <c r="C398" s="172" t="str">
        <f aca="false">IF(INDEX(Salary_Calculation[Source Row],ROW()-ROW(Payslip_Lookup[#Headers]))="","",INDEX(Salary_Calculation[Salary Month],ROW()-ROW(Payslip_Lookup[#Headers])))</f>
        <v/>
      </c>
      <c r="D398" s="173" t="str">
        <f aca="false">IF(INDEX(Salary_Calculation[Source Row],ROW()-ROW(Payslip_Lookup[#Headers]))="","",INDEX(Salary_Calculation[Rider ID],ROW()-ROW(Payslip_Lookup[#Headers])))</f>
        <v/>
      </c>
      <c r="E398" s="171" t="str">
        <f aca="false">IF(INDEX(Salary_Calculation[Source Row],ROW()-ROW(Payslip_Lookup[#Headers]))="","",INDEX(Salary_Calculation[Rider Name],ROW()-ROW(Payslip_Lookup[#Headers])))</f>
        <v/>
      </c>
      <c r="F398" s="173" t="str">
        <f aca="false">IF(INDEX(Salary_Calculation[Source Row],ROW()-ROW(Payslip_Lookup[#Headers]))="","",INDEX(Salary_Calculation[Working Days],ROW()-ROW(Payslip_Lookup[#Headers])))</f>
        <v/>
      </c>
      <c r="G398" s="173" t="str">
        <f aca="false">IF(INDEX(Salary_Calculation[Source Row],ROW()-ROW(Payslip_Lookup[#Headers]))="","",INDEX(Salary_Calculation[Calendar Days],ROW()-ROW(Payslip_Lookup[#Headers])))</f>
        <v/>
      </c>
      <c r="H398" s="174" t="str">
        <f aca="false">IF(INDEX(Salary_Calculation[Source Row],ROW()-ROW(Payslip_Lookup[#Headers]))="","",INDEX(Salary_Calculation[Monthly Target Orders],ROW()-ROW(Payslip_Lookup[#Headers])))</f>
        <v/>
      </c>
      <c r="I398" s="174" t="str">
        <f aca="false">IF(INDEX(Salary_Calculation[Source Row],ROW()-ROW(Payslip_Lookup[#Headers]))="","",INDEX(Salary_Calculation[Rider Target Orders],ROW()-ROW(Payslip_Lookup[#Headers])))</f>
        <v/>
      </c>
      <c r="J398" s="175" t="str">
        <f aca="false">IF(INDEX(Salary_Calculation[Source Row],ROW()-ROW(Payslip_Lookup[#Headers]))="","",INDEX(Salary_Calculation[Completed Orders],ROW()-ROW(Payslip_Lookup[#Headers])))</f>
        <v/>
      </c>
      <c r="K398" s="174" t="str">
        <f aca="false">IF(INDEX(Salary_Calculation[Source Row],ROW()-ROW(Payslip_Lookup[#Headers]))="","",INDEX(Salary_Calculation[Base Order Rate],ROW()-ROW(Payslip_Lookup[#Headers])))</f>
        <v/>
      </c>
      <c r="L398" s="176" t="str">
        <f aca="false">IF(INDEX(Salary_Calculation[Source Row],ROW()-ROW(Payslip_Lookup[#Headers]))="","",INDEX(Salary_Calculation[Basic Payment],ROW()-ROW(Payslip_Lookup[#Headers])))</f>
        <v/>
      </c>
      <c r="M398" s="176" t="str">
        <f aca="false">IF(INDEX(Salary_Calculation[Source Row],ROW()-ROW(Payslip_Lookup[#Headers]))="","",INDEX(Salary_Calculation[Earned Salary],ROW()-ROW(Payslip_Lookup[#Headers])))</f>
        <v/>
      </c>
      <c r="N398" s="174" t="str">
        <f aca="false">IF(INDEX(Salary_Calculation[Source Row],ROW()-ROW(Payslip_Lookup[#Headers]))="","",INDEX(Salary_Calculation[Orders Counted at Base Rate],ROW()-ROW(Payslip_Lookup[#Headers])))</f>
        <v/>
      </c>
      <c r="O398" s="174" t="str">
        <f aca="false">IF(INDEX(Salary_Calculation[Source Row],ROW()-ROW(Payslip_Lookup[#Headers]))="","",INDEX(Salary_Calculation[Missing Orders],ROW()-ROW(Payslip_Lookup[#Headers])))</f>
        <v/>
      </c>
      <c r="P398" s="176" t="str">
        <f aca="false">IF(INDEX(Salary_Calculation[Source Row],ROW()-ROW(Payslip_Lookup[#Headers]))="","",INDEX(Salary_Calculation[Missing-Order Deduction],ROW()-ROW(Payslip_Lookup[#Headers])))</f>
        <v/>
      </c>
      <c r="Q398" s="174" t="str">
        <f aca="false">IF(INDEX(Salary_Calculation[Source Row],ROW()-ROW(Payslip_Lookup[#Headers]))="","",INDEX(Salary_Calculation[Extra Orders],ROW()-ROW(Payslip_Lookup[#Headers])))</f>
        <v/>
      </c>
      <c r="R398" s="176" t="str">
        <f aca="false">IF(INDEX(Salary_Calculation[Source Row],ROW()-ROW(Payslip_Lookup[#Headers]))="","",INDEX(Salary_Calculation[Extra-Order Bonus],ROW()-ROW(Payslip_Lookup[#Headers])))</f>
        <v/>
      </c>
      <c r="S398" s="176" t="str">
        <f aca="false">IF(INDEX(Salary_Calculation[Source Row],ROW()-ROW(Payslip_Lookup[#Headers]))="","",INDEX(Salary_Calculation[Basic Salary for Target],ROW()-ROW(Payslip_Lookup[#Headers])))</f>
        <v/>
      </c>
      <c r="T398" s="176" t="str">
        <f aca="false">IF(INDEX(Salary_Calculation[Source Row],ROW()-ROW(Payslip_Lookup[#Headers]))="","",INDEX(Salary_Calculation[Gross Salary Before Deductions],ROW()-ROW(Payslip_Lookup[#Headers])))</f>
        <v/>
      </c>
      <c r="U398" s="176" t="str">
        <f aca="false">IF(INDEX(Salary_Calculation[Source Row],ROW()-ROW(Payslip_Lookup[#Headers]))="","",INDEX(Salary_Calculation[missed_days_penalty],ROW()-ROW(Payslip_Lookup[#Headers])))</f>
        <v/>
      </c>
      <c r="V398" s="176" t="str">
        <f aca="false">IF(INDEX(Salary_Calculation[Source Row],ROW()-ROW(Payslip_Lookup[#Headers]))="","",INDEX(Salary_Calculation[Rider Balance],ROW()-ROW(Payslip_Lookup[#Headers])))</f>
        <v/>
      </c>
      <c r="W398" s="176" t="str">
        <f aca="false">IF(INDEX(Salary_Calculation[Source Row],ROW()-ROW(Payslip_Lookup[#Headers]))="","",INDEX(Salary_Calculation[stacking_deduction],ROW()-ROW(Payslip_Lookup[#Headers])))</f>
        <v/>
      </c>
      <c r="X398" s="176" t="str">
        <f aca="false">IF(INDEX(Salary_Calculation[Source Row],ROW()-ROW(Payslip_Lookup[#Headers]))="","",INDEX(Salary_Calculation[Other Deductions],ROW()-ROW(Payslip_Lookup[#Headers])))</f>
        <v/>
      </c>
      <c r="Y398" s="176" t="str">
        <f aca="false">IF(INDEX(Salary_Calculation[Source Row],ROW()-ROW(Payslip_Lookup[#Headers]))="","",INDEX(Salary_Calculation[Total Deductions],ROW()-ROW(Payslip_Lookup[#Headers])))</f>
        <v/>
      </c>
      <c r="Z398" s="176" t="str">
        <f aca="false">IF(INDEX(Salary_Calculation[Source Row],ROW()-ROW(Payslip_Lookup[#Headers]))="","",INDEX(Salary_Calculation[Final Salary],ROW()-ROW(Payslip_Lookup[#Headers])))</f>
        <v/>
      </c>
      <c r="AA398" s="176" t="str">
        <f aca="false">IF(INDEX(Salary_Calculation[Source Row],ROW()-ROW(Payslip_Lookup[#Headers]))="","",INDEX(Salary_Calculation[Negative Balance / Amount Due from Rider],ROW()-ROW(Payslip_Lookup[#Headers])))</f>
        <v/>
      </c>
      <c r="AB398" s="176" t="str">
        <f aca="false">IF(INDEX(Salary_Calculation[Source Row],ROW()-ROW(Payslip_Lookup[#Headers]))="","",INDEX(Salary_Calculation[Total Amount Due from Rider],ROW()-ROW(Payslip_Lookup[#Headers])))</f>
        <v/>
      </c>
      <c r="AC398" s="176" t="str">
        <f aca="false">IF(INDEX(Salary_Calculation[Source Row],ROW()-ROW(Payslip_Lookup[#Headers]))="","",INDEX(Salary_Calculation[Salary Before Other Deductions],ROW()-ROW(Payslip_Lookup[#Headers])))</f>
        <v/>
      </c>
      <c r="AD398" s="171" t="str">
        <f aca="false">IF(INDEX(Salary_Calculation[Source Row],ROW()-ROW(Payslip_Lookup[#Headers]))="","",INDEX(Salary_Calculation[Payment Status],ROW()-ROW(Payslip_Lookup[#Headers])))</f>
        <v/>
      </c>
      <c r="AE398" s="171" t="str">
        <f aca="false">IF(INDEX(Salary_Calculation[Source Row],ROW()-ROW(Payslip_Lookup[#Headers]))="","",INDEX(Salary_Calculation[Notes],ROW()-ROW(Payslip_Lookup[#Headers])))</f>
        <v/>
      </c>
      <c r="AF398" s="171" t="str">
        <f aca="false">IF(INDEX(Salary_Calculation[Source Row],ROW()-ROW(Payslip_Lookup[#Headers]))="","",INDEX(Salary_Calculation[Exception Reason],ROW()-ROW(Payslip_Lookup[#Headers])))</f>
        <v/>
      </c>
      <c r="AG398" s="173" t="str">
        <f aca="false">IF($AD398="Review Required",COUNTIF(AD$2:AD398,"Review Required"),"")</f>
        <v/>
      </c>
      <c r="AH398" s="173" t="str">
        <f aca="false">IF(AND($D398&lt;&gt;"",$B398=Payslip_Print!$C$2),MAX(AH$1:AH397)+1,"")</f>
        <v/>
      </c>
      <c r="AL398" s="178" t="str">
        <f aca="false">IFERROR(INDEX($D$2:$D$501,MATCH(ROW()-1,$AH$2:$AH$501,0)),"")</f>
        <v/>
      </c>
      <c r="AM398" s="179" t="str">
        <f aca="false">IF($Z398="","",IF(AND($C398&gt;=Dash_Start,$C398&lt;Dash_End),$Z398+ROW()/10000000,""))</f>
        <v/>
      </c>
    </row>
    <row r="399" customFormat="false" ht="14.25" hidden="false" customHeight="false" outlineLevel="0" collapsed="false">
      <c r="A399" s="171" t="str">
        <f aca="false">IF(Payslip_Lookup[[#This Row],[Rider ID]]="","",Payslip_Lookup[[#This Row],[Rider ID]]&amp;"|"&amp;Payslip_Lookup[[#This Row],[Month Key]])</f>
        <v/>
      </c>
      <c r="B399" s="172" t="str">
        <f aca="false">IF(ISNUMBER(Payslip_Lookup[[#This Row],[Salary Month]]),DATE(YEAR(Payslip_Lookup[[#This Row],[Salary Month]]),MONTH(Payslip_Lookup[[#This Row],[Salary Month]]),1),"")</f>
        <v/>
      </c>
      <c r="C399" s="172" t="str">
        <f aca="false">IF(INDEX(Salary_Calculation[Source Row],ROW()-ROW(Payslip_Lookup[#Headers]))="","",INDEX(Salary_Calculation[Salary Month],ROW()-ROW(Payslip_Lookup[#Headers])))</f>
        <v/>
      </c>
      <c r="D399" s="173" t="str">
        <f aca="false">IF(INDEX(Salary_Calculation[Source Row],ROW()-ROW(Payslip_Lookup[#Headers]))="","",INDEX(Salary_Calculation[Rider ID],ROW()-ROW(Payslip_Lookup[#Headers])))</f>
        <v/>
      </c>
      <c r="E399" s="171" t="str">
        <f aca="false">IF(INDEX(Salary_Calculation[Source Row],ROW()-ROW(Payslip_Lookup[#Headers]))="","",INDEX(Salary_Calculation[Rider Name],ROW()-ROW(Payslip_Lookup[#Headers])))</f>
        <v/>
      </c>
      <c r="F399" s="173" t="str">
        <f aca="false">IF(INDEX(Salary_Calculation[Source Row],ROW()-ROW(Payslip_Lookup[#Headers]))="","",INDEX(Salary_Calculation[Working Days],ROW()-ROW(Payslip_Lookup[#Headers])))</f>
        <v/>
      </c>
      <c r="G399" s="173" t="str">
        <f aca="false">IF(INDEX(Salary_Calculation[Source Row],ROW()-ROW(Payslip_Lookup[#Headers]))="","",INDEX(Salary_Calculation[Calendar Days],ROW()-ROW(Payslip_Lookup[#Headers])))</f>
        <v/>
      </c>
      <c r="H399" s="174" t="str">
        <f aca="false">IF(INDEX(Salary_Calculation[Source Row],ROW()-ROW(Payslip_Lookup[#Headers]))="","",INDEX(Salary_Calculation[Monthly Target Orders],ROW()-ROW(Payslip_Lookup[#Headers])))</f>
        <v/>
      </c>
      <c r="I399" s="174" t="str">
        <f aca="false">IF(INDEX(Salary_Calculation[Source Row],ROW()-ROW(Payslip_Lookup[#Headers]))="","",INDEX(Salary_Calculation[Rider Target Orders],ROW()-ROW(Payslip_Lookup[#Headers])))</f>
        <v/>
      </c>
      <c r="J399" s="175" t="str">
        <f aca="false">IF(INDEX(Salary_Calculation[Source Row],ROW()-ROW(Payslip_Lookup[#Headers]))="","",INDEX(Salary_Calculation[Completed Orders],ROW()-ROW(Payslip_Lookup[#Headers])))</f>
        <v/>
      </c>
      <c r="K399" s="174" t="str">
        <f aca="false">IF(INDEX(Salary_Calculation[Source Row],ROW()-ROW(Payslip_Lookup[#Headers]))="","",INDEX(Salary_Calculation[Base Order Rate],ROW()-ROW(Payslip_Lookup[#Headers])))</f>
        <v/>
      </c>
      <c r="L399" s="176" t="str">
        <f aca="false">IF(INDEX(Salary_Calculation[Source Row],ROW()-ROW(Payslip_Lookup[#Headers]))="","",INDEX(Salary_Calculation[Basic Payment],ROW()-ROW(Payslip_Lookup[#Headers])))</f>
        <v/>
      </c>
      <c r="M399" s="176" t="str">
        <f aca="false">IF(INDEX(Salary_Calculation[Source Row],ROW()-ROW(Payslip_Lookup[#Headers]))="","",INDEX(Salary_Calculation[Earned Salary],ROW()-ROW(Payslip_Lookup[#Headers])))</f>
        <v/>
      </c>
      <c r="N399" s="174" t="str">
        <f aca="false">IF(INDEX(Salary_Calculation[Source Row],ROW()-ROW(Payslip_Lookup[#Headers]))="","",INDEX(Salary_Calculation[Orders Counted at Base Rate],ROW()-ROW(Payslip_Lookup[#Headers])))</f>
        <v/>
      </c>
      <c r="O399" s="174" t="str">
        <f aca="false">IF(INDEX(Salary_Calculation[Source Row],ROW()-ROW(Payslip_Lookup[#Headers]))="","",INDEX(Salary_Calculation[Missing Orders],ROW()-ROW(Payslip_Lookup[#Headers])))</f>
        <v/>
      </c>
      <c r="P399" s="176" t="str">
        <f aca="false">IF(INDEX(Salary_Calculation[Source Row],ROW()-ROW(Payslip_Lookup[#Headers]))="","",INDEX(Salary_Calculation[Missing-Order Deduction],ROW()-ROW(Payslip_Lookup[#Headers])))</f>
        <v/>
      </c>
      <c r="Q399" s="174" t="str">
        <f aca="false">IF(INDEX(Salary_Calculation[Source Row],ROW()-ROW(Payslip_Lookup[#Headers]))="","",INDEX(Salary_Calculation[Extra Orders],ROW()-ROW(Payslip_Lookup[#Headers])))</f>
        <v/>
      </c>
      <c r="R399" s="176" t="str">
        <f aca="false">IF(INDEX(Salary_Calculation[Source Row],ROW()-ROW(Payslip_Lookup[#Headers]))="","",INDEX(Salary_Calculation[Extra-Order Bonus],ROW()-ROW(Payslip_Lookup[#Headers])))</f>
        <v/>
      </c>
      <c r="S399" s="176" t="str">
        <f aca="false">IF(INDEX(Salary_Calculation[Source Row],ROW()-ROW(Payslip_Lookup[#Headers]))="","",INDEX(Salary_Calculation[Basic Salary for Target],ROW()-ROW(Payslip_Lookup[#Headers])))</f>
        <v/>
      </c>
      <c r="T399" s="176" t="str">
        <f aca="false">IF(INDEX(Salary_Calculation[Source Row],ROW()-ROW(Payslip_Lookup[#Headers]))="","",INDEX(Salary_Calculation[Gross Salary Before Deductions],ROW()-ROW(Payslip_Lookup[#Headers])))</f>
        <v/>
      </c>
      <c r="U399" s="176" t="str">
        <f aca="false">IF(INDEX(Salary_Calculation[Source Row],ROW()-ROW(Payslip_Lookup[#Headers]))="","",INDEX(Salary_Calculation[missed_days_penalty],ROW()-ROW(Payslip_Lookup[#Headers])))</f>
        <v/>
      </c>
      <c r="V399" s="176" t="str">
        <f aca="false">IF(INDEX(Salary_Calculation[Source Row],ROW()-ROW(Payslip_Lookup[#Headers]))="","",INDEX(Salary_Calculation[Rider Balance],ROW()-ROW(Payslip_Lookup[#Headers])))</f>
        <v/>
      </c>
      <c r="W399" s="176" t="str">
        <f aca="false">IF(INDEX(Salary_Calculation[Source Row],ROW()-ROW(Payslip_Lookup[#Headers]))="","",INDEX(Salary_Calculation[stacking_deduction],ROW()-ROW(Payslip_Lookup[#Headers])))</f>
        <v/>
      </c>
      <c r="X399" s="176" t="str">
        <f aca="false">IF(INDEX(Salary_Calculation[Source Row],ROW()-ROW(Payslip_Lookup[#Headers]))="","",INDEX(Salary_Calculation[Other Deductions],ROW()-ROW(Payslip_Lookup[#Headers])))</f>
        <v/>
      </c>
      <c r="Y399" s="176" t="str">
        <f aca="false">IF(INDEX(Salary_Calculation[Source Row],ROW()-ROW(Payslip_Lookup[#Headers]))="","",INDEX(Salary_Calculation[Total Deductions],ROW()-ROW(Payslip_Lookup[#Headers])))</f>
        <v/>
      </c>
      <c r="Z399" s="176" t="str">
        <f aca="false">IF(INDEX(Salary_Calculation[Source Row],ROW()-ROW(Payslip_Lookup[#Headers]))="","",INDEX(Salary_Calculation[Final Salary],ROW()-ROW(Payslip_Lookup[#Headers])))</f>
        <v/>
      </c>
      <c r="AA399" s="176" t="str">
        <f aca="false">IF(INDEX(Salary_Calculation[Source Row],ROW()-ROW(Payslip_Lookup[#Headers]))="","",INDEX(Salary_Calculation[Negative Balance / Amount Due from Rider],ROW()-ROW(Payslip_Lookup[#Headers])))</f>
        <v/>
      </c>
      <c r="AB399" s="176" t="str">
        <f aca="false">IF(INDEX(Salary_Calculation[Source Row],ROW()-ROW(Payslip_Lookup[#Headers]))="","",INDEX(Salary_Calculation[Total Amount Due from Rider],ROW()-ROW(Payslip_Lookup[#Headers])))</f>
        <v/>
      </c>
      <c r="AC399" s="176" t="str">
        <f aca="false">IF(INDEX(Salary_Calculation[Source Row],ROW()-ROW(Payslip_Lookup[#Headers]))="","",INDEX(Salary_Calculation[Salary Before Other Deductions],ROW()-ROW(Payslip_Lookup[#Headers])))</f>
        <v/>
      </c>
      <c r="AD399" s="171" t="str">
        <f aca="false">IF(INDEX(Salary_Calculation[Source Row],ROW()-ROW(Payslip_Lookup[#Headers]))="","",INDEX(Salary_Calculation[Payment Status],ROW()-ROW(Payslip_Lookup[#Headers])))</f>
        <v/>
      </c>
      <c r="AE399" s="171" t="str">
        <f aca="false">IF(INDEX(Salary_Calculation[Source Row],ROW()-ROW(Payslip_Lookup[#Headers]))="","",INDEX(Salary_Calculation[Notes],ROW()-ROW(Payslip_Lookup[#Headers])))</f>
        <v/>
      </c>
      <c r="AF399" s="171" t="str">
        <f aca="false">IF(INDEX(Salary_Calculation[Source Row],ROW()-ROW(Payslip_Lookup[#Headers]))="","",INDEX(Salary_Calculation[Exception Reason],ROW()-ROW(Payslip_Lookup[#Headers])))</f>
        <v/>
      </c>
      <c r="AG399" s="173" t="str">
        <f aca="false">IF($AD399="Review Required",COUNTIF(AD$2:AD399,"Review Required"),"")</f>
        <v/>
      </c>
      <c r="AH399" s="173" t="str">
        <f aca="false">IF(AND($D399&lt;&gt;"",$B399=Payslip_Print!$C$2),MAX(AH$1:AH398)+1,"")</f>
        <v/>
      </c>
      <c r="AL399" s="178" t="str">
        <f aca="false">IFERROR(INDEX($D$2:$D$501,MATCH(ROW()-1,$AH$2:$AH$501,0)),"")</f>
        <v/>
      </c>
      <c r="AM399" s="179" t="str">
        <f aca="false">IF($Z399="","",IF(AND($C399&gt;=Dash_Start,$C399&lt;Dash_End),$Z399+ROW()/10000000,""))</f>
        <v/>
      </c>
    </row>
    <row r="400" customFormat="false" ht="14.25" hidden="false" customHeight="false" outlineLevel="0" collapsed="false">
      <c r="A400" s="171" t="str">
        <f aca="false">IF(Payslip_Lookup[[#This Row],[Rider ID]]="","",Payslip_Lookup[[#This Row],[Rider ID]]&amp;"|"&amp;Payslip_Lookup[[#This Row],[Month Key]])</f>
        <v/>
      </c>
      <c r="B400" s="172" t="str">
        <f aca="false">IF(ISNUMBER(Payslip_Lookup[[#This Row],[Salary Month]]),DATE(YEAR(Payslip_Lookup[[#This Row],[Salary Month]]),MONTH(Payslip_Lookup[[#This Row],[Salary Month]]),1),"")</f>
        <v/>
      </c>
      <c r="C400" s="172" t="str">
        <f aca="false">IF(INDEX(Salary_Calculation[Source Row],ROW()-ROW(Payslip_Lookup[#Headers]))="","",INDEX(Salary_Calculation[Salary Month],ROW()-ROW(Payslip_Lookup[#Headers])))</f>
        <v/>
      </c>
      <c r="D400" s="173" t="str">
        <f aca="false">IF(INDEX(Salary_Calculation[Source Row],ROW()-ROW(Payslip_Lookup[#Headers]))="","",INDEX(Salary_Calculation[Rider ID],ROW()-ROW(Payslip_Lookup[#Headers])))</f>
        <v/>
      </c>
      <c r="E400" s="171" t="str">
        <f aca="false">IF(INDEX(Salary_Calculation[Source Row],ROW()-ROW(Payslip_Lookup[#Headers]))="","",INDEX(Salary_Calculation[Rider Name],ROW()-ROW(Payslip_Lookup[#Headers])))</f>
        <v/>
      </c>
      <c r="F400" s="173" t="str">
        <f aca="false">IF(INDEX(Salary_Calculation[Source Row],ROW()-ROW(Payslip_Lookup[#Headers]))="","",INDEX(Salary_Calculation[Working Days],ROW()-ROW(Payslip_Lookup[#Headers])))</f>
        <v/>
      </c>
      <c r="G400" s="173" t="str">
        <f aca="false">IF(INDEX(Salary_Calculation[Source Row],ROW()-ROW(Payslip_Lookup[#Headers]))="","",INDEX(Salary_Calculation[Calendar Days],ROW()-ROW(Payslip_Lookup[#Headers])))</f>
        <v/>
      </c>
      <c r="H400" s="174" t="str">
        <f aca="false">IF(INDEX(Salary_Calculation[Source Row],ROW()-ROW(Payslip_Lookup[#Headers]))="","",INDEX(Salary_Calculation[Monthly Target Orders],ROW()-ROW(Payslip_Lookup[#Headers])))</f>
        <v/>
      </c>
      <c r="I400" s="174" t="str">
        <f aca="false">IF(INDEX(Salary_Calculation[Source Row],ROW()-ROW(Payslip_Lookup[#Headers]))="","",INDEX(Salary_Calculation[Rider Target Orders],ROW()-ROW(Payslip_Lookup[#Headers])))</f>
        <v/>
      </c>
      <c r="J400" s="175" t="str">
        <f aca="false">IF(INDEX(Salary_Calculation[Source Row],ROW()-ROW(Payslip_Lookup[#Headers]))="","",INDEX(Salary_Calculation[Completed Orders],ROW()-ROW(Payslip_Lookup[#Headers])))</f>
        <v/>
      </c>
      <c r="K400" s="174" t="str">
        <f aca="false">IF(INDEX(Salary_Calculation[Source Row],ROW()-ROW(Payslip_Lookup[#Headers]))="","",INDEX(Salary_Calculation[Base Order Rate],ROW()-ROW(Payslip_Lookup[#Headers])))</f>
        <v/>
      </c>
      <c r="L400" s="176" t="str">
        <f aca="false">IF(INDEX(Salary_Calculation[Source Row],ROW()-ROW(Payslip_Lookup[#Headers]))="","",INDEX(Salary_Calculation[Basic Payment],ROW()-ROW(Payslip_Lookup[#Headers])))</f>
        <v/>
      </c>
      <c r="M400" s="176" t="str">
        <f aca="false">IF(INDEX(Salary_Calculation[Source Row],ROW()-ROW(Payslip_Lookup[#Headers]))="","",INDEX(Salary_Calculation[Earned Salary],ROW()-ROW(Payslip_Lookup[#Headers])))</f>
        <v/>
      </c>
      <c r="N400" s="174" t="str">
        <f aca="false">IF(INDEX(Salary_Calculation[Source Row],ROW()-ROW(Payslip_Lookup[#Headers]))="","",INDEX(Salary_Calculation[Orders Counted at Base Rate],ROW()-ROW(Payslip_Lookup[#Headers])))</f>
        <v/>
      </c>
      <c r="O400" s="174" t="str">
        <f aca="false">IF(INDEX(Salary_Calculation[Source Row],ROW()-ROW(Payslip_Lookup[#Headers]))="","",INDEX(Salary_Calculation[Missing Orders],ROW()-ROW(Payslip_Lookup[#Headers])))</f>
        <v/>
      </c>
      <c r="P400" s="176" t="str">
        <f aca="false">IF(INDEX(Salary_Calculation[Source Row],ROW()-ROW(Payslip_Lookup[#Headers]))="","",INDEX(Salary_Calculation[Missing-Order Deduction],ROW()-ROW(Payslip_Lookup[#Headers])))</f>
        <v/>
      </c>
      <c r="Q400" s="174" t="str">
        <f aca="false">IF(INDEX(Salary_Calculation[Source Row],ROW()-ROW(Payslip_Lookup[#Headers]))="","",INDEX(Salary_Calculation[Extra Orders],ROW()-ROW(Payslip_Lookup[#Headers])))</f>
        <v/>
      </c>
      <c r="R400" s="176" t="str">
        <f aca="false">IF(INDEX(Salary_Calculation[Source Row],ROW()-ROW(Payslip_Lookup[#Headers]))="","",INDEX(Salary_Calculation[Extra-Order Bonus],ROW()-ROW(Payslip_Lookup[#Headers])))</f>
        <v/>
      </c>
      <c r="S400" s="176" t="str">
        <f aca="false">IF(INDEX(Salary_Calculation[Source Row],ROW()-ROW(Payslip_Lookup[#Headers]))="","",INDEX(Salary_Calculation[Basic Salary for Target],ROW()-ROW(Payslip_Lookup[#Headers])))</f>
        <v/>
      </c>
      <c r="T400" s="176" t="str">
        <f aca="false">IF(INDEX(Salary_Calculation[Source Row],ROW()-ROW(Payslip_Lookup[#Headers]))="","",INDEX(Salary_Calculation[Gross Salary Before Deductions],ROW()-ROW(Payslip_Lookup[#Headers])))</f>
        <v/>
      </c>
      <c r="U400" s="176" t="str">
        <f aca="false">IF(INDEX(Salary_Calculation[Source Row],ROW()-ROW(Payslip_Lookup[#Headers]))="","",INDEX(Salary_Calculation[missed_days_penalty],ROW()-ROW(Payslip_Lookup[#Headers])))</f>
        <v/>
      </c>
      <c r="V400" s="176" t="str">
        <f aca="false">IF(INDEX(Salary_Calculation[Source Row],ROW()-ROW(Payslip_Lookup[#Headers]))="","",INDEX(Salary_Calculation[Rider Balance],ROW()-ROW(Payslip_Lookup[#Headers])))</f>
        <v/>
      </c>
      <c r="W400" s="176" t="str">
        <f aca="false">IF(INDEX(Salary_Calculation[Source Row],ROW()-ROW(Payslip_Lookup[#Headers]))="","",INDEX(Salary_Calculation[stacking_deduction],ROW()-ROW(Payslip_Lookup[#Headers])))</f>
        <v/>
      </c>
      <c r="X400" s="176" t="str">
        <f aca="false">IF(INDEX(Salary_Calculation[Source Row],ROW()-ROW(Payslip_Lookup[#Headers]))="","",INDEX(Salary_Calculation[Other Deductions],ROW()-ROW(Payslip_Lookup[#Headers])))</f>
        <v/>
      </c>
      <c r="Y400" s="176" t="str">
        <f aca="false">IF(INDEX(Salary_Calculation[Source Row],ROW()-ROW(Payslip_Lookup[#Headers]))="","",INDEX(Salary_Calculation[Total Deductions],ROW()-ROW(Payslip_Lookup[#Headers])))</f>
        <v/>
      </c>
      <c r="Z400" s="176" t="str">
        <f aca="false">IF(INDEX(Salary_Calculation[Source Row],ROW()-ROW(Payslip_Lookup[#Headers]))="","",INDEX(Salary_Calculation[Final Salary],ROW()-ROW(Payslip_Lookup[#Headers])))</f>
        <v/>
      </c>
      <c r="AA400" s="176" t="str">
        <f aca="false">IF(INDEX(Salary_Calculation[Source Row],ROW()-ROW(Payslip_Lookup[#Headers]))="","",INDEX(Salary_Calculation[Negative Balance / Amount Due from Rider],ROW()-ROW(Payslip_Lookup[#Headers])))</f>
        <v/>
      </c>
      <c r="AB400" s="176" t="str">
        <f aca="false">IF(INDEX(Salary_Calculation[Source Row],ROW()-ROW(Payslip_Lookup[#Headers]))="","",INDEX(Salary_Calculation[Total Amount Due from Rider],ROW()-ROW(Payslip_Lookup[#Headers])))</f>
        <v/>
      </c>
      <c r="AC400" s="176" t="str">
        <f aca="false">IF(INDEX(Salary_Calculation[Source Row],ROW()-ROW(Payslip_Lookup[#Headers]))="","",INDEX(Salary_Calculation[Salary Before Other Deductions],ROW()-ROW(Payslip_Lookup[#Headers])))</f>
        <v/>
      </c>
      <c r="AD400" s="171" t="str">
        <f aca="false">IF(INDEX(Salary_Calculation[Source Row],ROW()-ROW(Payslip_Lookup[#Headers]))="","",INDEX(Salary_Calculation[Payment Status],ROW()-ROW(Payslip_Lookup[#Headers])))</f>
        <v/>
      </c>
      <c r="AE400" s="171" t="str">
        <f aca="false">IF(INDEX(Salary_Calculation[Source Row],ROW()-ROW(Payslip_Lookup[#Headers]))="","",INDEX(Salary_Calculation[Notes],ROW()-ROW(Payslip_Lookup[#Headers])))</f>
        <v/>
      </c>
      <c r="AF400" s="171" t="str">
        <f aca="false">IF(INDEX(Salary_Calculation[Source Row],ROW()-ROW(Payslip_Lookup[#Headers]))="","",INDEX(Salary_Calculation[Exception Reason],ROW()-ROW(Payslip_Lookup[#Headers])))</f>
        <v/>
      </c>
      <c r="AG400" s="173" t="str">
        <f aca="false">IF($AD400="Review Required",COUNTIF(AD$2:AD400,"Review Required"),"")</f>
        <v/>
      </c>
      <c r="AH400" s="173" t="str">
        <f aca="false">IF(AND($D400&lt;&gt;"",$B400=Payslip_Print!$C$2),MAX(AH$1:AH399)+1,"")</f>
        <v/>
      </c>
      <c r="AL400" s="178" t="str">
        <f aca="false">IFERROR(INDEX($D$2:$D$501,MATCH(ROW()-1,$AH$2:$AH$501,0)),"")</f>
        <v/>
      </c>
      <c r="AM400" s="179" t="str">
        <f aca="false">IF($Z400="","",IF(AND($C400&gt;=Dash_Start,$C400&lt;Dash_End),$Z400+ROW()/10000000,""))</f>
        <v/>
      </c>
    </row>
    <row r="401" customFormat="false" ht="14.25" hidden="false" customHeight="false" outlineLevel="0" collapsed="false">
      <c r="A401" s="171" t="str">
        <f aca="false">IF(Payslip_Lookup[[#This Row],[Rider ID]]="","",Payslip_Lookup[[#This Row],[Rider ID]]&amp;"|"&amp;Payslip_Lookup[[#This Row],[Month Key]])</f>
        <v/>
      </c>
      <c r="B401" s="172" t="str">
        <f aca="false">IF(ISNUMBER(Payslip_Lookup[[#This Row],[Salary Month]]),DATE(YEAR(Payslip_Lookup[[#This Row],[Salary Month]]),MONTH(Payslip_Lookup[[#This Row],[Salary Month]]),1),"")</f>
        <v/>
      </c>
      <c r="C401" s="172" t="str">
        <f aca="false">IF(INDEX(Salary_Calculation[Source Row],ROW()-ROW(Payslip_Lookup[#Headers]))="","",INDEX(Salary_Calculation[Salary Month],ROW()-ROW(Payslip_Lookup[#Headers])))</f>
        <v/>
      </c>
      <c r="D401" s="173" t="str">
        <f aca="false">IF(INDEX(Salary_Calculation[Source Row],ROW()-ROW(Payslip_Lookup[#Headers]))="","",INDEX(Salary_Calculation[Rider ID],ROW()-ROW(Payslip_Lookup[#Headers])))</f>
        <v/>
      </c>
      <c r="E401" s="171" t="str">
        <f aca="false">IF(INDEX(Salary_Calculation[Source Row],ROW()-ROW(Payslip_Lookup[#Headers]))="","",INDEX(Salary_Calculation[Rider Name],ROW()-ROW(Payslip_Lookup[#Headers])))</f>
        <v/>
      </c>
      <c r="F401" s="173" t="str">
        <f aca="false">IF(INDEX(Salary_Calculation[Source Row],ROW()-ROW(Payslip_Lookup[#Headers]))="","",INDEX(Salary_Calculation[Working Days],ROW()-ROW(Payslip_Lookup[#Headers])))</f>
        <v/>
      </c>
      <c r="G401" s="173" t="str">
        <f aca="false">IF(INDEX(Salary_Calculation[Source Row],ROW()-ROW(Payslip_Lookup[#Headers]))="","",INDEX(Salary_Calculation[Calendar Days],ROW()-ROW(Payslip_Lookup[#Headers])))</f>
        <v/>
      </c>
      <c r="H401" s="174" t="str">
        <f aca="false">IF(INDEX(Salary_Calculation[Source Row],ROW()-ROW(Payslip_Lookup[#Headers]))="","",INDEX(Salary_Calculation[Monthly Target Orders],ROW()-ROW(Payslip_Lookup[#Headers])))</f>
        <v/>
      </c>
      <c r="I401" s="174" t="str">
        <f aca="false">IF(INDEX(Salary_Calculation[Source Row],ROW()-ROW(Payslip_Lookup[#Headers]))="","",INDEX(Salary_Calculation[Rider Target Orders],ROW()-ROW(Payslip_Lookup[#Headers])))</f>
        <v/>
      </c>
      <c r="J401" s="175" t="str">
        <f aca="false">IF(INDEX(Salary_Calculation[Source Row],ROW()-ROW(Payslip_Lookup[#Headers]))="","",INDEX(Salary_Calculation[Completed Orders],ROW()-ROW(Payslip_Lookup[#Headers])))</f>
        <v/>
      </c>
      <c r="K401" s="174" t="str">
        <f aca="false">IF(INDEX(Salary_Calculation[Source Row],ROW()-ROW(Payslip_Lookup[#Headers]))="","",INDEX(Salary_Calculation[Base Order Rate],ROW()-ROW(Payslip_Lookup[#Headers])))</f>
        <v/>
      </c>
      <c r="L401" s="176" t="str">
        <f aca="false">IF(INDEX(Salary_Calculation[Source Row],ROW()-ROW(Payslip_Lookup[#Headers]))="","",INDEX(Salary_Calculation[Basic Payment],ROW()-ROW(Payslip_Lookup[#Headers])))</f>
        <v/>
      </c>
      <c r="M401" s="176" t="str">
        <f aca="false">IF(INDEX(Salary_Calculation[Source Row],ROW()-ROW(Payslip_Lookup[#Headers]))="","",INDEX(Salary_Calculation[Earned Salary],ROW()-ROW(Payslip_Lookup[#Headers])))</f>
        <v/>
      </c>
      <c r="N401" s="174" t="str">
        <f aca="false">IF(INDEX(Salary_Calculation[Source Row],ROW()-ROW(Payslip_Lookup[#Headers]))="","",INDEX(Salary_Calculation[Orders Counted at Base Rate],ROW()-ROW(Payslip_Lookup[#Headers])))</f>
        <v/>
      </c>
      <c r="O401" s="174" t="str">
        <f aca="false">IF(INDEX(Salary_Calculation[Source Row],ROW()-ROW(Payslip_Lookup[#Headers]))="","",INDEX(Salary_Calculation[Missing Orders],ROW()-ROW(Payslip_Lookup[#Headers])))</f>
        <v/>
      </c>
      <c r="P401" s="176" t="str">
        <f aca="false">IF(INDEX(Salary_Calculation[Source Row],ROW()-ROW(Payslip_Lookup[#Headers]))="","",INDEX(Salary_Calculation[Missing-Order Deduction],ROW()-ROW(Payslip_Lookup[#Headers])))</f>
        <v/>
      </c>
      <c r="Q401" s="174" t="str">
        <f aca="false">IF(INDEX(Salary_Calculation[Source Row],ROW()-ROW(Payslip_Lookup[#Headers]))="","",INDEX(Salary_Calculation[Extra Orders],ROW()-ROW(Payslip_Lookup[#Headers])))</f>
        <v/>
      </c>
      <c r="R401" s="176" t="str">
        <f aca="false">IF(INDEX(Salary_Calculation[Source Row],ROW()-ROW(Payslip_Lookup[#Headers]))="","",INDEX(Salary_Calculation[Extra-Order Bonus],ROW()-ROW(Payslip_Lookup[#Headers])))</f>
        <v/>
      </c>
      <c r="S401" s="176" t="str">
        <f aca="false">IF(INDEX(Salary_Calculation[Source Row],ROW()-ROW(Payslip_Lookup[#Headers]))="","",INDEX(Salary_Calculation[Basic Salary for Target],ROW()-ROW(Payslip_Lookup[#Headers])))</f>
        <v/>
      </c>
      <c r="T401" s="176" t="str">
        <f aca="false">IF(INDEX(Salary_Calculation[Source Row],ROW()-ROW(Payslip_Lookup[#Headers]))="","",INDEX(Salary_Calculation[Gross Salary Before Deductions],ROW()-ROW(Payslip_Lookup[#Headers])))</f>
        <v/>
      </c>
      <c r="U401" s="176" t="str">
        <f aca="false">IF(INDEX(Salary_Calculation[Source Row],ROW()-ROW(Payslip_Lookup[#Headers]))="","",INDEX(Salary_Calculation[missed_days_penalty],ROW()-ROW(Payslip_Lookup[#Headers])))</f>
        <v/>
      </c>
      <c r="V401" s="176" t="str">
        <f aca="false">IF(INDEX(Salary_Calculation[Source Row],ROW()-ROW(Payslip_Lookup[#Headers]))="","",INDEX(Salary_Calculation[Rider Balance],ROW()-ROW(Payslip_Lookup[#Headers])))</f>
        <v/>
      </c>
      <c r="W401" s="176" t="str">
        <f aca="false">IF(INDEX(Salary_Calculation[Source Row],ROW()-ROW(Payslip_Lookup[#Headers]))="","",INDEX(Salary_Calculation[stacking_deduction],ROW()-ROW(Payslip_Lookup[#Headers])))</f>
        <v/>
      </c>
      <c r="X401" s="176" t="str">
        <f aca="false">IF(INDEX(Salary_Calculation[Source Row],ROW()-ROW(Payslip_Lookup[#Headers]))="","",INDEX(Salary_Calculation[Other Deductions],ROW()-ROW(Payslip_Lookup[#Headers])))</f>
        <v/>
      </c>
      <c r="Y401" s="176" t="str">
        <f aca="false">IF(INDEX(Salary_Calculation[Source Row],ROW()-ROW(Payslip_Lookup[#Headers]))="","",INDEX(Salary_Calculation[Total Deductions],ROW()-ROW(Payslip_Lookup[#Headers])))</f>
        <v/>
      </c>
      <c r="Z401" s="176" t="str">
        <f aca="false">IF(INDEX(Salary_Calculation[Source Row],ROW()-ROW(Payslip_Lookup[#Headers]))="","",INDEX(Salary_Calculation[Final Salary],ROW()-ROW(Payslip_Lookup[#Headers])))</f>
        <v/>
      </c>
      <c r="AA401" s="176" t="str">
        <f aca="false">IF(INDEX(Salary_Calculation[Source Row],ROW()-ROW(Payslip_Lookup[#Headers]))="","",INDEX(Salary_Calculation[Negative Balance / Amount Due from Rider],ROW()-ROW(Payslip_Lookup[#Headers])))</f>
        <v/>
      </c>
      <c r="AB401" s="176" t="str">
        <f aca="false">IF(INDEX(Salary_Calculation[Source Row],ROW()-ROW(Payslip_Lookup[#Headers]))="","",INDEX(Salary_Calculation[Total Amount Due from Rider],ROW()-ROW(Payslip_Lookup[#Headers])))</f>
        <v/>
      </c>
      <c r="AC401" s="176" t="str">
        <f aca="false">IF(INDEX(Salary_Calculation[Source Row],ROW()-ROW(Payslip_Lookup[#Headers]))="","",INDEX(Salary_Calculation[Salary Before Other Deductions],ROW()-ROW(Payslip_Lookup[#Headers])))</f>
        <v/>
      </c>
      <c r="AD401" s="171" t="str">
        <f aca="false">IF(INDEX(Salary_Calculation[Source Row],ROW()-ROW(Payslip_Lookup[#Headers]))="","",INDEX(Salary_Calculation[Payment Status],ROW()-ROW(Payslip_Lookup[#Headers])))</f>
        <v/>
      </c>
      <c r="AE401" s="171" t="str">
        <f aca="false">IF(INDEX(Salary_Calculation[Source Row],ROW()-ROW(Payslip_Lookup[#Headers]))="","",INDEX(Salary_Calculation[Notes],ROW()-ROW(Payslip_Lookup[#Headers])))</f>
        <v/>
      </c>
      <c r="AF401" s="171" t="str">
        <f aca="false">IF(INDEX(Salary_Calculation[Source Row],ROW()-ROW(Payslip_Lookup[#Headers]))="","",INDEX(Salary_Calculation[Exception Reason],ROW()-ROW(Payslip_Lookup[#Headers])))</f>
        <v/>
      </c>
      <c r="AG401" s="173" t="str">
        <f aca="false">IF($AD401="Review Required",COUNTIF(AD$2:AD401,"Review Required"),"")</f>
        <v/>
      </c>
      <c r="AH401" s="173" t="str">
        <f aca="false">IF(AND($D401&lt;&gt;"",$B401=Payslip_Print!$C$2),MAX(AH$1:AH400)+1,"")</f>
        <v/>
      </c>
      <c r="AL401" s="178" t="str">
        <f aca="false">IFERROR(INDEX($D$2:$D$501,MATCH(ROW()-1,$AH$2:$AH$501,0)),"")</f>
        <v/>
      </c>
      <c r="AM401" s="179" t="str">
        <f aca="false">IF($Z401="","",IF(AND($C401&gt;=Dash_Start,$C401&lt;Dash_End),$Z401+ROW()/10000000,""))</f>
        <v/>
      </c>
    </row>
    <row r="402" customFormat="false" ht="14.25" hidden="false" customHeight="false" outlineLevel="0" collapsed="false">
      <c r="A402" s="171" t="str">
        <f aca="false">IF(Payslip_Lookup[[#This Row],[Rider ID]]="","",Payslip_Lookup[[#This Row],[Rider ID]]&amp;"|"&amp;Payslip_Lookup[[#This Row],[Month Key]])</f>
        <v/>
      </c>
      <c r="B402" s="172" t="str">
        <f aca="false">IF(ISNUMBER(Payslip_Lookup[[#This Row],[Salary Month]]),DATE(YEAR(Payslip_Lookup[[#This Row],[Salary Month]]),MONTH(Payslip_Lookup[[#This Row],[Salary Month]]),1),"")</f>
        <v/>
      </c>
      <c r="C402" s="172" t="str">
        <f aca="false">IF(INDEX(Salary_Calculation[Source Row],ROW()-ROW(Payslip_Lookup[#Headers]))="","",INDEX(Salary_Calculation[Salary Month],ROW()-ROW(Payslip_Lookup[#Headers])))</f>
        <v/>
      </c>
      <c r="D402" s="173" t="str">
        <f aca="false">IF(INDEX(Salary_Calculation[Source Row],ROW()-ROW(Payslip_Lookup[#Headers]))="","",INDEX(Salary_Calculation[Rider ID],ROW()-ROW(Payslip_Lookup[#Headers])))</f>
        <v/>
      </c>
      <c r="E402" s="171" t="str">
        <f aca="false">IF(INDEX(Salary_Calculation[Source Row],ROW()-ROW(Payslip_Lookup[#Headers]))="","",INDEX(Salary_Calculation[Rider Name],ROW()-ROW(Payslip_Lookup[#Headers])))</f>
        <v/>
      </c>
      <c r="F402" s="173" t="str">
        <f aca="false">IF(INDEX(Salary_Calculation[Source Row],ROW()-ROW(Payslip_Lookup[#Headers]))="","",INDEX(Salary_Calculation[Working Days],ROW()-ROW(Payslip_Lookup[#Headers])))</f>
        <v/>
      </c>
      <c r="G402" s="173" t="str">
        <f aca="false">IF(INDEX(Salary_Calculation[Source Row],ROW()-ROW(Payslip_Lookup[#Headers]))="","",INDEX(Salary_Calculation[Calendar Days],ROW()-ROW(Payslip_Lookup[#Headers])))</f>
        <v/>
      </c>
      <c r="H402" s="174" t="str">
        <f aca="false">IF(INDEX(Salary_Calculation[Source Row],ROW()-ROW(Payslip_Lookup[#Headers]))="","",INDEX(Salary_Calculation[Monthly Target Orders],ROW()-ROW(Payslip_Lookup[#Headers])))</f>
        <v/>
      </c>
      <c r="I402" s="174" t="str">
        <f aca="false">IF(INDEX(Salary_Calculation[Source Row],ROW()-ROW(Payslip_Lookup[#Headers]))="","",INDEX(Salary_Calculation[Rider Target Orders],ROW()-ROW(Payslip_Lookup[#Headers])))</f>
        <v/>
      </c>
      <c r="J402" s="175" t="str">
        <f aca="false">IF(INDEX(Salary_Calculation[Source Row],ROW()-ROW(Payslip_Lookup[#Headers]))="","",INDEX(Salary_Calculation[Completed Orders],ROW()-ROW(Payslip_Lookup[#Headers])))</f>
        <v/>
      </c>
      <c r="K402" s="174" t="str">
        <f aca="false">IF(INDEX(Salary_Calculation[Source Row],ROW()-ROW(Payslip_Lookup[#Headers]))="","",INDEX(Salary_Calculation[Base Order Rate],ROW()-ROW(Payslip_Lookup[#Headers])))</f>
        <v/>
      </c>
      <c r="L402" s="176" t="str">
        <f aca="false">IF(INDEX(Salary_Calculation[Source Row],ROW()-ROW(Payslip_Lookup[#Headers]))="","",INDEX(Salary_Calculation[Basic Payment],ROW()-ROW(Payslip_Lookup[#Headers])))</f>
        <v/>
      </c>
      <c r="M402" s="176" t="str">
        <f aca="false">IF(INDEX(Salary_Calculation[Source Row],ROW()-ROW(Payslip_Lookup[#Headers]))="","",INDEX(Salary_Calculation[Earned Salary],ROW()-ROW(Payslip_Lookup[#Headers])))</f>
        <v/>
      </c>
      <c r="N402" s="174" t="str">
        <f aca="false">IF(INDEX(Salary_Calculation[Source Row],ROW()-ROW(Payslip_Lookup[#Headers]))="","",INDEX(Salary_Calculation[Orders Counted at Base Rate],ROW()-ROW(Payslip_Lookup[#Headers])))</f>
        <v/>
      </c>
      <c r="O402" s="174" t="str">
        <f aca="false">IF(INDEX(Salary_Calculation[Source Row],ROW()-ROW(Payslip_Lookup[#Headers]))="","",INDEX(Salary_Calculation[Missing Orders],ROW()-ROW(Payslip_Lookup[#Headers])))</f>
        <v/>
      </c>
      <c r="P402" s="176" t="str">
        <f aca="false">IF(INDEX(Salary_Calculation[Source Row],ROW()-ROW(Payslip_Lookup[#Headers]))="","",INDEX(Salary_Calculation[Missing-Order Deduction],ROW()-ROW(Payslip_Lookup[#Headers])))</f>
        <v/>
      </c>
      <c r="Q402" s="174" t="str">
        <f aca="false">IF(INDEX(Salary_Calculation[Source Row],ROW()-ROW(Payslip_Lookup[#Headers]))="","",INDEX(Salary_Calculation[Extra Orders],ROW()-ROW(Payslip_Lookup[#Headers])))</f>
        <v/>
      </c>
      <c r="R402" s="176" t="str">
        <f aca="false">IF(INDEX(Salary_Calculation[Source Row],ROW()-ROW(Payslip_Lookup[#Headers]))="","",INDEX(Salary_Calculation[Extra-Order Bonus],ROW()-ROW(Payslip_Lookup[#Headers])))</f>
        <v/>
      </c>
      <c r="S402" s="176" t="str">
        <f aca="false">IF(INDEX(Salary_Calculation[Source Row],ROW()-ROW(Payslip_Lookup[#Headers]))="","",INDEX(Salary_Calculation[Basic Salary for Target],ROW()-ROW(Payslip_Lookup[#Headers])))</f>
        <v/>
      </c>
      <c r="T402" s="176" t="str">
        <f aca="false">IF(INDEX(Salary_Calculation[Source Row],ROW()-ROW(Payslip_Lookup[#Headers]))="","",INDEX(Salary_Calculation[Gross Salary Before Deductions],ROW()-ROW(Payslip_Lookup[#Headers])))</f>
        <v/>
      </c>
      <c r="U402" s="176" t="str">
        <f aca="false">IF(INDEX(Salary_Calculation[Source Row],ROW()-ROW(Payslip_Lookup[#Headers]))="","",INDEX(Salary_Calculation[missed_days_penalty],ROW()-ROW(Payslip_Lookup[#Headers])))</f>
        <v/>
      </c>
      <c r="V402" s="176" t="str">
        <f aca="false">IF(INDEX(Salary_Calculation[Source Row],ROW()-ROW(Payslip_Lookup[#Headers]))="","",INDEX(Salary_Calculation[Rider Balance],ROW()-ROW(Payslip_Lookup[#Headers])))</f>
        <v/>
      </c>
      <c r="W402" s="176" t="str">
        <f aca="false">IF(INDEX(Salary_Calculation[Source Row],ROW()-ROW(Payslip_Lookup[#Headers]))="","",INDEX(Salary_Calculation[stacking_deduction],ROW()-ROW(Payslip_Lookup[#Headers])))</f>
        <v/>
      </c>
      <c r="X402" s="176" t="str">
        <f aca="false">IF(INDEX(Salary_Calculation[Source Row],ROW()-ROW(Payslip_Lookup[#Headers]))="","",INDEX(Salary_Calculation[Other Deductions],ROW()-ROW(Payslip_Lookup[#Headers])))</f>
        <v/>
      </c>
      <c r="Y402" s="176" t="str">
        <f aca="false">IF(INDEX(Salary_Calculation[Source Row],ROW()-ROW(Payslip_Lookup[#Headers]))="","",INDEX(Salary_Calculation[Total Deductions],ROW()-ROW(Payslip_Lookup[#Headers])))</f>
        <v/>
      </c>
      <c r="Z402" s="176" t="str">
        <f aca="false">IF(INDEX(Salary_Calculation[Source Row],ROW()-ROW(Payslip_Lookup[#Headers]))="","",INDEX(Salary_Calculation[Final Salary],ROW()-ROW(Payslip_Lookup[#Headers])))</f>
        <v/>
      </c>
      <c r="AA402" s="176" t="str">
        <f aca="false">IF(INDEX(Salary_Calculation[Source Row],ROW()-ROW(Payslip_Lookup[#Headers]))="","",INDEX(Salary_Calculation[Negative Balance / Amount Due from Rider],ROW()-ROW(Payslip_Lookup[#Headers])))</f>
        <v/>
      </c>
      <c r="AB402" s="176" t="str">
        <f aca="false">IF(INDEX(Salary_Calculation[Source Row],ROW()-ROW(Payslip_Lookup[#Headers]))="","",INDEX(Salary_Calculation[Total Amount Due from Rider],ROW()-ROW(Payslip_Lookup[#Headers])))</f>
        <v/>
      </c>
      <c r="AC402" s="176" t="str">
        <f aca="false">IF(INDEX(Salary_Calculation[Source Row],ROW()-ROW(Payslip_Lookup[#Headers]))="","",INDEX(Salary_Calculation[Salary Before Other Deductions],ROW()-ROW(Payslip_Lookup[#Headers])))</f>
        <v/>
      </c>
      <c r="AD402" s="171" t="str">
        <f aca="false">IF(INDEX(Salary_Calculation[Source Row],ROW()-ROW(Payslip_Lookup[#Headers]))="","",INDEX(Salary_Calculation[Payment Status],ROW()-ROW(Payslip_Lookup[#Headers])))</f>
        <v/>
      </c>
      <c r="AE402" s="171" t="str">
        <f aca="false">IF(INDEX(Salary_Calculation[Source Row],ROW()-ROW(Payslip_Lookup[#Headers]))="","",INDEX(Salary_Calculation[Notes],ROW()-ROW(Payslip_Lookup[#Headers])))</f>
        <v/>
      </c>
      <c r="AF402" s="171" t="str">
        <f aca="false">IF(INDEX(Salary_Calculation[Source Row],ROW()-ROW(Payslip_Lookup[#Headers]))="","",INDEX(Salary_Calculation[Exception Reason],ROW()-ROW(Payslip_Lookup[#Headers])))</f>
        <v/>
      </c>
      <c r="AG402" s="173" t="str">
        <f aca="false">IF($AD402="Review Required",COUNTIF(AD$2:AD402,"Review Required"),"")</f>
        <v/>
      </c>
      <c r="AH402" s="173" t="str">
        <f aca="false">IF(AND($D402&lt;&gt;"",$B402=Payslip_Print!$C$2),MAX(AH$1:AH401)+1,"")</f>
        <v/>
      </c>
      <c r="AL402" s="178" t="str">
        <f aca="false">IFERROR(INDEX($D$2:$D$501,MATCH(ROW()-1,$AH$2:$AH$501,0)),"")</f>
        <v/>
      </c>
      <c r="AM402" s="179" t="str">
        <f aca="false">IF($Z402="","",IF(AND($C402&gt;=Dash_Start,$C402&lt;Dash_End),$Z402+ROW()/10000000,""))</f>
        <v/>
      </c>
    </row>
    <row r="403" customFormat="false" ht="14.25" hidden="false" customHeight="false" outlineLevel="0" collapsed="false">
      <c r="A403" s="171" t="str">
        <f aca="false">IF(Payslip_Lookup[[#This Row],[Rider ID]]="","",Payslip_Lookup[[#This Row],[Rider ID]]&amp;"|"&amp;Payslip_Lookup[[#This Row],[Month Key]])</f>
        <v/>
      </c>
      <c r="B403" s="172" t="str">
        <f aca="false">IF(ISNUMBER(Payslip_Lookup[[#This Row],[Salary Month]]),DATE(YEAR(Payslip_Lookup[[#This Row],[Salary Month]]),MONTH(Payslip_Lookup[[#This Row],[Salary Month]]),1),"")</f>
        <v/>
      </c>
      <c r="C403" s="172" t="str">
        <f aca="false">IF(INDEX(Salary_Calculation[Source Row],ROW()-ROW(Payslip_Lookup[#Headers]))="","",INDEX(Salary_Calculation[Salary Month],ROW()-ROW(Payslip_Lookup[#Headers])))</f>
        <v/>
      </c>
      <c r="D403" s="173" t="str">
        <f aca="false">IF(INDEX(Salary_Calculation[Source Row],ROW()-ROW(Payslip_Lookup[#Headers]))="","",INDEX(Salary_Calculation[Rider ID],ROW()-ROW(Payslip_Lookup[#Headers])))</f>
        <v/>
      </c>
      <c r="E403" s="171" t="str">
        <f aca="false">IF(INDEX(Salary_Calculation[Source Row],ROW()-ROW(Payslip_Lookup[#Headers]))="","",INDEX(Salary_Calculation[Rider Name],ROW()-ROW(Payslip_Lookup[#Headers])))</f>
        <v/>
      </c>
      <c r="F403" s="173" t="str">
        <f aca="false">IF(INDEX(Salary_Calculation[Source Row],ROW()-ROW(Payslip_Lookup[#Headers]))="","",INDEX(Salary_Calculation[Working Days],ROW()-ROW(Payslip_Lookup[#Headers])))</f>
        <v/>
      </c>
      <c r="G403" s="173" t="str">
        <f aca="false">IF(INDEX(Salary_Calculation[Source Row],ROW()-ROW(Payslip_Lookup[#Headers]))="","",INDEX(Salary_Calculation[Calendar Days],ROW()-ROW(Payslip_Lookup[#Headers])))</f>
        <v/>
      </c>
      <c r="H403" s="174" t="str">
        <f aca="false">IF(INDEX(Salary_Calculation[Source Row],ROW()-ROW(Payslip_Lookup[#Headers]))="","",INDEX(Salary_Calculation[Monthly Target Orders],ROW()-ROW(Payslip_Lookup[#Headers])))</f>
        <v/>
      </c>
      <c r="I403" s="174" t="str">
        <f aca="false">IF(INDEX(Salary_Calculation[Source Row],ROW()-ROW(Payslip_Lookup[#Headers]))="","",INDEX(Salary_Calculation[Rider Target Orders],ROW()-ROW(Payslip_Lookup[#Headers])))</f>
        <v/>
      </c>
      <c r="J403" s="175" t="str">
        <f aca="false">IF(INDEX(Salary_Calculation[Source Row],ROW()-ROW(Payslip_Lookup[#Headers]))="","",INDEX(Salary_Calculation[Completed Orders],ROW()-ROW(Payslip_Lookup[#Headers])))</f>
        <v/>
      </c>
      <c r="K403" s="174" t="str">
        <f aca="false">IF(INDEX(Salary_Calculation[Source Row],ROW()-ROW(Payslip_Lookup[#Headers]))="","",INDEX(Salary_Calculation[Base Order Rate],ROW()-ROW(Payslip_Lookup[#Headers])))</f>
        <v/>
      </c>
      <c r="L403" s="176" t="str">
        <f aca="false">IF(INDEX(Salary_Calculation[Source Row],ROW()-ROW(Payslip_Lookup[#Headers]))="","",INDEX(Salary_Calculation[Basic Payment],ROW()-ROW(Payslip_Lookup[#Headers])))</f>
        <v/>
      </c>
      <c r="M403" s="176" t="str">
        <f aca="false">IF(INDEX(Salary_Calculation[Source Row],ROW()-ROW(Payslip_Lookup[#Headers]))="","",INDEX(Salary_Calculation[Earned Salary],ROW()-ROW(Payslip_Lookup[#Headers])))</f>
        <v/>
      </c>
      <c r="N403" s="174" t="str">
        <f aca="false">IF(INDEX(Salary_Calculation[Source Row],ROW()-ROW(Payslip_Lookup[#Headers]))="","",INDEX(Salary_Calculation[Orders Counted at Base Rate],ROW()-ROW(Payslip_Lookup[#Headers])))</f>
        <v/>
      </c>
      <c r="O403" s="174" t="str">
        <f aca="false">IF(INDEX(Salary_Calculation[Source Row],ROW()-ROW(Payslip_Lookup[#Headers]))="","",INDEX(Salary_Calculation[Missing Orders],ROW()-ROW(Payslip_Lookup[#Headers])))</f>
        <v/>
      </c>
      <c r="P403" s="176" t="str">
        <f aca="false">IF(INDEX(Salary_Calculation[Source Row],ROW()-ROW(Payslip_Lookup[#Headers]))="","",INDEX(Salary_Calculation[Missing-Order Deduction],ROW()-ROW(Payslip_Lookup[#Headers])))</f>
        <v/>
      </c>
      <c r="Q403" s="174" t="str">
        <f aca="false">IF(INDEX(Salary_Calculation[Source Row],ROW()-ROW(Payslip_Lookup[#Headers]))="","",INDEX(Salary_Calculation[Extra Orders],ROW()-ROW(Payslip_Lookup[#Headers])))</f>
        <v/>
      </c>
      <c r="R403" s="176" t="str">
        <f aca="false">IF(INDEX(Salary_Calculation[Source Row],ROW()-ROW(Payslip_Lookup[#Headers]))="","",INDEX(Salary_Calculation[Extra-Order Bonus],ROW()-ROW(Payslip_Lookup[#Headers])))</f>
        <v/>
      </c>
      <c r="S403" s="176" t="str">
        <f aca="false">IF(INDEX(Salary_Calculation[Source Row],ROW()-ROW(Payslip_Lookup[#Headers]))="","",INDEX(Salary_Calculation[Basic Salary for Target],ROW()-ROW(Payslip_Lookup[#Headers])))</f>
        <v/>
      </c>
      <c r="T403" s="176" t="str">
        <f aca="false">IF(INDEX(Salary_Calculation[Source Row],ROW()-ROW(Payslip_Lookup[#Headers]))="","",INDEX(Salary_Calculation[Gross Salary Before Deductions],ROW()-ROW(Payslip_Lookup[#Headers])))</f>
        <v/>
      </c>
      <c r="U403" s="176" t="str">
        <f aca="false">IF(INDEX(Salary_Calculation[Source Row],ROW()-ROW(Payslip_Lookup[#Headers]))="","",INDEX(Salary_Calculation[missed_days_penalty],ROW()-ROW(Payslip_Lookup[#Headers])))</f>
        <v/>
      </c>
      <c r="V403" s="176" t="str">
        <f aca="false">IF(INDEX(Salary_Calculation[Source Row],ROW()-ROW(Payslip_Lookup[#Headers]))="","",INDEX(Salary_Calculation[Rider Balance],ROW()-ROW(Payslip_Lookup[#Headers])))</f>
        <v/>
      </c>
      <c r="W403" s="176" t="str">
        <f aca="false">IF(INDEX(Salary_Calculation[Source Row],ROW()-ROW(Payslip_Lookup[#Headers]))="","",INDEX(Salary_Calculation[stacking_deduction],ROW()-ROW(Payslip_Lookup[#Headers])))</f>
        <v/>
      </c>
      <c r="X403" s="176" t="str">
        <f aca="false">IF(INDEX(Salary_Calculation[Source Row],ROW()-ROW(Payslip_Lookup[#Headers]))="","",INDEX(Salary_Calculation[Other Deductions],ROW()-ROW(Payslip_Lookup[#Headers])))</f>
        <v/>
      </c>
      <c r="Y403" s="176" t="str">
        <f aca="false">IF(INDEX(Salary_Calculation[Source Row],ROW()-ROW(Payslip_Lookup[#Headers]))="","",INDEX(Salary_Calculation[Total Deductions],ROW()-ROW(Payslip_Lookup[#Headers])))</f>
        <v/>
      </c>
      <c r="Z403" s="176" t="str">
        <f aca="false">IF(INDEX(Salary_Calculation[Source Row],ROW()-ROW(Payslip_Lookup[#Headers]))="","",INDEX(Salary_Calculation[Final Salary],ROW()-ROW(Payslip_Lookup[#Headers])))</f>
        <v/>
      </c>
      <c r="AA403" s="176" t="str">
        <f aca="false">IF(INDEX(Salary_Calculation[Source Row],ROW()-ROW(Payslip_Lookup[#Headers]))="","",INDEX(Salary_Calculation[Negative Balance / Amount Due from Rider],ROW()-ROW(Payslip_Lookup[#Headers])))</f>
        <v/>
      </c>
      <c r="AB403" s="176" t="str">
        <f aca="false">IF(INDEX(Salary_Calculation[Source Row],ROW()-ROW(Payslip_Lookup[#Headers]))="","",INDEX(Salary_Calculation[Total Amount Due from Rider],ROW()-ROW(Payslip_Lookup[#Headers])))</f>
        <v/>
      </c>
      <c r="AC403" s="176" t="str">
        <f aca="false">IF(INDEX(Salary_Calculation[Source Row],ROW()-ROW(Payslip_Lookup[#Headers]))="","",INDEX(Salary_Calculation[Salary Before Other Deductions],ROW()-ROW(Payslip_Lookup[#Headers])))</f>
        <v/>
      </c>
      <c r="AD403" s="171" t="str">
        <f aca="false">IF(INDEX(Salary_Calculation[Source Row],ROW()-ROW(Payslip_Lookup[#Headers]))="","",INDEX(Salary_Calculation[Payment Status],ROW()-ROW(Payslip_Lookup[#Headers])))</f>
        <v/>
      </c>
      <c r="AE403" s="171" t="str">
        <f aca="false">IF(INDEX(Salary_Calculation[Source Row],ROW()-ROW(Payslip_Lookup[#Headers]))="","",INDEX(Salary_Calculation[Notes],ROW()-ROW(Payslip_Lookup[#Headers])))</f>
        <v/>
      </c>
      <c r="AF403" s="171" t="str">
        <f aca="false">IF(INDEX(Salary_Calculation[Source Row],ROW()-ROW(Payslip_Lookup[#Headers]))="","",INDEX(Salary_Calculation[Exception Reason],ROW()-ROW(Payslip_Lookup[#Headers])))</f>
        <v/>
      </c>
      <c r="AG403" s="173" t="str">
        <f aca="false">IF($AD403="Review Required",COUNTIF(AD$2:AD403,"Review Required"),"")</f>
        <v/>
      </c>
      <c r="AH403" s="173" t="str">
        <f aca="false">IF(AND($D403&lt;&gt;"",$B403=Payslip_Print!$C$2),MAX(AH$1:AH402)+1,"")</f>
        <v/>
      </c>
      <c r="AL403" s="178" t="str">
        <f aca="false">IFERROR(INDEX($D$2:$D$501,MATCH(ROW()-1,$AH$2:$AH$501,0)),"")</f>
        <v/>
      </c>
      <c r="AM403" s="179" t="str">
        <f aca="false">IF($Z403="","",IF(AND($C403&gt;=Dash_Start,$C403&lt;Dash_End),$Z403+ROW()/10000000,""))</f>
        <v/>
      </c>
    </row>
    <row r="404" customFormat="false" ht="14.25" hidden="false" customHeight="false" outlineLevel="0" collapsed="false">
      <c r="A404" s="171" t="str">
        <f aca="false">IF(Payslip_Lookup[[#This Row],[Rider ID]]="","",Payslip_Lookup[[#This Row],[Rider ID]]&amp;"|"&amp;Payslip_Lookup[[#This Row],[Month Key]])</f>
        <v/>
      </c>
      <c r="B404" s="172" t="str">
        <f aca="false">IF(ISNUMBER(Payslip_Lookup[[#This Row],[Salary Month]]),DATE(YEAR(Payslip_Lookup[[#This Row],[Salary Month]]),MONTH(Payslip_Lookup[[#This Row],[Salary Month]]),1),"")</f>
        <v/>
      </c>
      <c r="C404" s="172" t="str">
        <f aca="false">IF(INDEX(Salary_Calculation[Source Row],ROW()-ROW(Payslip_Lookup[#Headers]))="","",INDEX(Salary_Calculation[Salary Month],ROW()-ROW(Payslip_Lookup[#Headers])))</f>
        <v/>
      </c>
      <c r="D404" s="173" t="str">
        <f aca="false">IF(INDEX(Salary_Calculation[Source Row],ROW()-ROW(Payslip_Lookup[#Headers]))="","",INDEX(Salary_Calculation[Rider ID],ROW()-ROW(Payslip_Lookup[#Headers])))</f>
        <v/>
      </c>
      <c r="E404" s="171" t="str">
        <f aca="false">IF(INDEX(Salary_Calculation[Source Row],ROW()-ROW(Payslip_Lookup[#Headers]))="","",INDEX(Salary_Calculation[Rider Name],ROW()-ROW(Payslip_Lookup[#Headers])))</f>
        <v/>
      </c>
      <c r="F404" s="173" t="str">
        <f aca="false">IF(INDEX(Salary_Calculation[Source Row],ROW()-ROW(Payslip_Lookup[#Headers]))="","",INDEX(Salary_Calculation[Working Days],ROW()-ROW(Payslip_Lookup[#Headers])))</f>
        <v/>
      </c>
      <c r="G404" s="173" t="str">
        <f aca="false">IF(INDEX(Salary_Calculation[Source Row],ROW()-ROW(Payslip_Lookup[#Headers]))="","",INDEX(Salary_Calculation[Calendar Days],ROW()-ROW(Payslip_Lookup[#Headers])))</f>
        <v/>
      </c>
      <c r="H404" s="174" t="str">
        <f aca="false">IF(INDEX(Salary_Calculation[Source Row],ROW()-ROW(Payslip_Lookup[#Headers]))="","",INDEX(Salary_Calculation[Monthly Target Orders],ROW()-ROW(Payslip_Lookup[#Headers])))</f>
        <v/>
      </c>
      <c r="I404" s="174" t="str">
        <f aca="false">IF(INDEX(Salary_Calculation[Source Row],ROW()-ROW(Payslip_Lookup[#Headers]))="","",INDEX(Salary_Calculation[Rider Target Orders],ROW()-ROW(Payslip_Lookup[#Headers])))</f>
        <v/>
      </c>
      <c r="J404" s="175" t="str">
        <f aca="false">IF(INDEX(Salary_Calculation[Source Row],ROW()-ROW(Payslip_Lookup[#Headers]))="","",INDEX(Salary_Calculation[Completed Orders],ROW()-ROW(Payslip_Lookup[#Headers])))</f>
        <v/>
      </c>
      <c r="K404" s="174" t="str">
        <f aca="false">IF(INDEX(Salary_Calculation[Source Row],ROW()-ROW(Payslip_Lookup[#Headers]))="","",INDEX(Salary_Calculation[Base Order Rate],ROW()-ROW(Payslip_Lookup[#Headers])))</f>
        <v/>
      </c>
      <c r="L404" s="176" t="str">
        <f aca="false">IF(INDEX(Salary_Calculation[Source Row],ROW()-ROW(Payslip_Lookup[#Headers]))="","",INDEX(Salary_Calculation[Basic Payment],ROW()-ROW(Payslip_Lookup[#Headers])))</f>
        <v/>
      </c>
      <c r="M404" s="176" t="str">
        <f aca="false">IF(INDEX(Salary_Calculation[Source Row],ROW()-ROW(Payslip_Lookup[#Headers]))="","",INDEX(Salary_Calculation[Earned Salary],ROW()-ROW(Payslip_Lookup[#Headers])))</f>
        <v/>
      </c>
      <c r="N404" s="174" t="str">
        <f aca="false">IF(INDEX(Salary_Calculation[Source Row],ROW()-ROW(Payslip_Lookup[#Headers]))="","",INDEX(Salary_Calculation[Orders Counted at Base Rate],ROW()-ROW(Payslip_Lookup[#Headers])))</f>
        <v/>
      </c>
      <c r="O404" s="174" t="str">
        <f aca="false">IF(INDEX(Salary_Calculation[Source Row],ROW()-ROW(Payslip_Lookup[#Headers]))="","",INDEX(Salary_Calculation[Missing Orders],ROW()-ROW(Payslip_Lookup[#Headers])))</f>
        <v/>
      </c>
      <c r="P404" s="176" t="str">
        <f aca="false">IF(INDEX(Salary_Calculation[Source Row],ROW()-ROW(Payslip_Lookup[#Headers]))="","",INDEX(Salary_Calculation[Missing-Order Deduction],ROW()-ROW(Payslip_Lookup[#Headers])))</f>
        <v/>
      </c>
      <c r="Q404" s="174" t="str">
        <f aca="false">IF(INDEX(Salary_Calculation[Source Row],ROW()-ROW(Payslip_Lookup[#Headers]))="","",INDEX(Salary_Calculation[Extra Orders],ROW()-ROW(Payslip_Lookup[#Headers])))</f>
        <v/>
      </c>
      <c r="R404" s="176" t="str">
        <f aca="false">IF(INDEX(Salary_Calculation[Source Row],ROW()-ROW(Payslip_Lookup[#Headers]))="","",INDEX(Salary_Calculation[Extra-Order Bonus],ROW()-ROW(Payslip_Lookup[#Headers])))</f>
        <v/>
      </c>
      <c r="S404" s="176" t="str">
        <f aca="false">IF(INDEX(Salary_Calculation[Source Row],ROW()-ROW(Payslip_Lookup[#Headers]))="","",INDEX(Salary_Calculation[Basic Salary for Target],ROW()-ROW(Payslip_Lookup[#Headers])))</f>
        <v/>
      </c>
      <c r="T404" s="176" t="str">
        <f aca="false">IF(INDEX(Salary_Calculation[Source Row],ROW()-ROW(Payslip_Lookup[#Headers]))="","",INDEX(Salary_Calculation[Gross Salary Before Deductions],ROW()-ROW(Payslip_Lookup[#Headers])))</f>
        <v/>
      </c>
      <c r="U404" s="176" t="str">
        <f aca="false">IF(INDEX(Salary_Calculation[Source Row],ROW()-ROW(Payslip_Lookup[#Headers]))="","",INDEX(Salary_Calculation[missed_days_penalty],ROW()-ROW(Payslip_Lookup[#Headers])))</f>
        <v/>
      </c>
      <c r="V404" s="176" t="str">
        <f aca="false">IF(INDEX(Salary_Calculation[Source Row],ROW()-ROW(Payslip_Lookup[#Headers]))="","",INDEX(Salary_Calculation[Rider Balance],ROW()-ROW(Payslip_Lookup[#Headers])))</f>
        <v/>
      </c>
      <c r="W404" s="176" t="str">
        <f aca="false">IF(INDEX(Salary_Calculation[Source Row],ROW()-ROW(Payslip_Lookup[#Headers]))="","",INDEX(Salary_Calculation[stacking_deduction],ROW()-ROW(Payslip_Lookup[#Headers])))</f>
        <v/>
      </c>
      <c r="X404" s="176" t="str">
        <f aca="false">IF(INDEX(Salary_Calculation[Source Row],ROW()-ROW(Payslip_Lookup[#Headers]))="","",INDEX(Salary_Calculation[Other Deductions],ROW()-ROW(Payslip_Lookup[#Headers])))</f>
        <v/>
      </c>
      <c r="Y404" s="176" t="str">
        <f aca="false">IF(INDEX(Salary_Calculation[Source Row],ROW()-ROW(Payslip_Lookup[#Headers]))="","",INDEX(Salary_Calculation[Total Deductions],ROW()-ROW(Payslip_Lookup[#Headers])))</f>
        <v/>
      </c>
      <c r="Z404" s="176" t="str">
        <f aca="false">IF(INDEX(Salary_Calculation[Source Row],ROW()-ROW(Payslip_Lookup[#Headers]))="","",INDEX(Salary_Calculation[Final Salary],ROW()-ROW(Payslip_Lookup[#Headers])))</f>
        <v/>
      </c>
      <c r="AA404" s="176" t="str">
        <f aca="false">IF(INDEX(Salary_Calculation[Source Row],ROW()-ROW(Payslip_Lookup[#Headers]))="","",INDEX(Salary_Calculation[Negative Balance / Amount Due from Rider],ROW()-ROW(Payslip_Lookup[#Headers])))</f>
        <v/>
      </c>
      <c r="AB404" s="176" t="str">
        <f aca="false">IF(INDEX(Salary_Calculation[Source Row],ROW()-ROW(Payslip_Lookup[#Headers]))="","",INDEX(Salary_Calculation[Total Amount Due from Rider],ROW()-ROW(Payslip_Lookup[#Headers])))</f>
        <v/>
      </c>
      <c r="AC404" s="176" t="str">
        <f aca="false">IF(INDEX(Salary_Calculation[Source Row],ROW()-ROW(Payslip_Lookup[#Headers]))="","",INDEX(Salary_Calculation[Salary Before Other Deductions],ROW()-ROW(Payslip_Lookup[#Headers])))</f>
        <v/>
      </c>
      <c r="AD404" s="171" t="str">
        <f aca="false">IF(INDEX(Salary_Calculation[Source Row],ROW()-ROW(Payslip_Lookup[#Headers]))="","",INDEX(Salary_Calculation[Payment Status],ROW()-ROW(Payslip_Lookup[#Headers])))</f>
        <v/>
      </c>
      <c r="AE404" s="171" t="str">
        <f aca="false">IF(INDEX(Salary_Calculation[Source Row],ROW()-ROW(Payslip_Lookup[#Headers]))="","",INDEX(Salary_Calculation[Notes],ROW()-ROW(Payslip_Lookup[#Headers])))</f>
        <v/>
      </c>
      <c r="AF404" s="171" t="str">
        <f aca="false">IF(INDEX(Salary_Calculation[Source Row],ROW()-ROW(Payslip_Lookup[#Headers]))="","",INDEX(Salary_Calculation[Exception Reason],ROW()-ROW(Payslip_Lookup[#Headers])))</f>
        <v/>
      </c>
      <c r="AG404" s="173" t="str">
        <f aca="false">IF($AD404="Review Required",COUNTIF(AD$2:AD404,"Review Required"),"")</f>
        <v/>
      </c>
      <c r="AH404" s="173" t="str">
        <f aca="false">IF(AND($D404&lt;&gt;"",$B404=Payslip_Print!$C$2),MAX(AH$1:AH403)+1,"")</f>
        <v/>
      </c>
      <c r="AL404" s="178" t="str">
        <f aca="false">IFERROR(INDEX($D$2:$D$501,MATCH(ROW()-1,$AH$2:$AH$501,0)),"")</f>
        <v/>
      </c>
      <c r="AM404" s="179" t="str">
        <f aca="false">IF($Z404="","",IF(AND($C404&gt;=Dash_Start,$C404&lt;Dash_End),$Z404+ROW()/10000000,""))</f>
        <v/>
      </c>
    </row>
    <row r="405" customFormat="false" ht="14.25" hidden="false" customHeight="false" outlineLevel="0" collapsed="false">
      <c r="A405" s="171" t="str">
        <f aca="false">IF(Payslip_Lookup[[#This Row],[Rider ID]]="","",Payslip_Lookup[[#This Row],[Rider ID]]&amp;"|"&amp;Payslip_Lookup[[#This Row],[Month Key]])</f>
        <v/>
      </c>
      <c r="B405" s="172" t="str">
        <f aca="false">IF(ISNUMBER(Payslip_Lookup[[#This Row],[Salary Month]]),DATE(YEAR(Payslip_Lookup[[#This Row],[Salary Month]]),MONTH(Payslip_Lookup[[#This Row],[Salary Month]]),1),"")</f>
        <v/>
      </c>
      <c r="C405" s="172" t="str">
        <f aca="false">IF(INDEX(Salary_Calculation[Source Row],ROW()-ROW(Payslip_Lookup[#Headers]))="","",INDEX(Salary_Calculation[Salary Month],ROW()-ROW(Payslip_Lookup[#Headers])))</f>
        <v/>
      </c>
      <c r="D405" s="173" t="str">
        <f aca="false">IF(INDEX(Salary_Calculation[Source Row],ROW()-ROW(Payslip_Lookup[#Headers]))="","",INDEX(Salary_Calculation[Rider ID],ROW()-ROW(Payslip_Lookup[#Headers])))</f>
        <v/>
      </c>
      <c r="E405" s="171" t="str">
        <f aca="false">IF(INDEX(Salary_Calculation[Source Row],ROW()-ROW(Payslip_Lookup[#Headers]))="","",INDEX(Salary_Calculation[Rider Name],ROW()-ROW(Payslip_Lookup[#Headers])))</f>
        <v/>
      </c>
      <c r="F405" s="173" t="str">
        <f aca="false">IF(INDEX(Salary_Calculation[Source Row],ROW()-ROW(Payslip_Lookup[#Headers]))="","",INDEX(Salary_Calculation[Working Days],ROW()-ROW(Payslip_Lookup[#Headers])))</f>
        <v/>
      </c>
      <c r="G405" s="173" t="str">
        <f aca="false">IF(INDEX(Salary_Calculation[Source Row],ROW()-ROW(Payslip_Lookup[#Headers]))="","",INDEX(Salary_Calculation[Calendar Days],ROW()-ROW(Payslip_Lookup[#Headers])))</f>
        <v/>
      </c>
      <c r="H405" s="174" t="str">
        <f aca="false">IF(INDEX(Salary_Calculation[Source Row],ROW()-ROW(Payslip_Lookup[#Headers]))="","",INDEX(Salary_Calculation[Monthly Target Orders],ROW()-ROW(Payslip_Lookup[#Headers])))</f>
        <v/>
      </c>
      <c r="I405" s="174" t="str">
        <f aca="false">IF(INDEX(Salary_Calculation[Source Row],ROW()-ROW(Payslip_Lookup[#Headers]))="","",INDEX(Salary_Calculation[Rider Target Orders],ROW()-ROW(Payslip_Lookup[#Headers])))</f>
        <v/>
      </c>
      <c r="J405" s="175" t="str">
        <f aca="false">IF(INDEX(Salary_Calculation[Source Row],ROW()-ROW(Payslip_Lookup[#Headers]))="","",INDEX(Salary_Calculation[Completed Orders],ROW()-ROW(Payslip_Lookup[#Headers])))</f>
        <v/>
      </c>
      <c r="K405" s="174" t="str">
        <f aca="false">IF(INDEX(Salary_Calculation[Source Row],ROW()-ROW(Payslip_Lookup[#Headers]))="","",INDEX(Salary_Calculation[Base Order Rate],ROW()-ROW(Payslip_Lookup[#Headers])))</f>
        <v/>
      </c>
      <c r="L405" s="176" t="str">
        <f aca="false">IF(INDEX(Salary_Calculation[Source Row],ROW()-ROW(Payslip_Lookup[#Headers]))="","",INDEX(Salary_Calculation[Basic Payment],ROW()-ROW(Payslip_Lookup[#Headers])))</f>
        <v/>
      </c>
      <c r="M405" s="176" t="str">
        <f aca="false">IF(INDEX(Salary_Calculation[Source Row],ROW()-ROW(Payslip_Lookup[#Headers]))="","",INDEX(Salary_Calculation[Earned Salary],ROW()-ROW(Payslip_Lookup[#Headers])))</f>
        <v/>
      </c>
      <c r="N405" s="174" t="str">
        <f aca="false">IF(INDEX(Salary_Calculation[Source Row],ROW()-ROW(Payslip_Lookup[#Headers]))="","",INDEX(Salary_Calculation[Orders Counted at Base Rate],ROW()-ROW(Payslip_Lookup[#Headers])))</f>
        <v/>
      </c>
      <c r="O405" s="174" t="str">
        <f aca="false">IF(INDEX(Salary_Calculation[Source Row],ROW()-ROW(Payslip_Lookup[#Headers]))="","",INDEX(Salary_Calculation[Missing Orders],ROW()-ROW(Payslip_Lookup[#Headers])))</f>
        <v/>
      </c>
      <c r="P405" s="176" t="str">
        <f aca="false">IF(INDEX(Salary_Calculation[Source Row],ROW()-ROW(Payslip_Lookup[#Headers]))="","",INDEX(Salary_Calculation[Missing-Order Deduction],ROW()-ROW(Payslip_Lookup[#Headers])))</f>
        <v/>
      </c>
      <c r="Q405" s="174" t="str">
        <f aca="false">IF(INDEX(Salary_Calculation[Source Row],ROW()-ROW(Payslip_Lookup[#Headers]))="","",INDEX(Salary_Calculation[Extra Orders],ROW()-ROW(Payslip_Lookup[#Headers])))</f>
        <v/>
      </c>
      <c r="R405" s="176" t="str">
        <f aca="false">IF(INDEX(Salary_Calculation[Source Row],ROW()-ROW(Payslip_Lookup[#Headers]))="","",INDEX(Salary_Calculation[Extra-Order Bonus],ROW()-ROW(Payslip_Lookup[#Headers])))</f>
        <v/>
      </c>
      <c r="S405" s="176" t="str">
        <f aca="false">IF(INDEX(Salary_Calculation[Source Row],ROW()-ROW(Payslip_Lookup[#Headers]))="","",INDEX(Salary_Calculation[Basic Salary for Target],ROW()-ROW(Payslip_Lookup[#Headers])))</f>
        <v/>
      </c>
      <c r="T405" s="176" t="str">
        <f aca="false">IF(INDEX(Salary_Calculation[Source Row],ROW()-ROW(Payslip_Lookup[#Headers]))="","",INDEX(Salary_Calculation[Gross Salary Before Deductions],ROW()-ROW(Payslip_Lookup[#Headers])))</f>
        <v/>
      </c>
      <c r="U405" s="176" t="str">
        <f aca="false">IF(INDEX(Salary_Calculation[Source Row],ROW()-ROW(Payslip_Lookup[#Headers]))="","",INDEX(Salary_Calculation[missed_days_penalty],ROW()-ROW(Payslip_Lookup[#Headers])))</f>
        <v/>
      </c>
      <c r="V405" s="176" t="str">
        <f aca="false">IF(INDEX(Salary_Calculation[Source Row],ROW()-ROW(Payslip_Lookup[#Headers]))="","",INDEX(Salary_Calculation[Rider Balance],ROW()-ROW(Payslip_Lookup[#Headers])))</f>
        <v/>
      </c>
      <c r="W405" s="176" t="str">
        <f aca="false">IF(INDEX(Salary_Calculation[Source Row],ROW()-ROW(Payslip_Lookup[#Headers]))="","",INDEX(Salary_Calculation[stacking_deduction],ROW()-ROW(Payslip_Lookup[#Headers])))</f>
        <v/>
      </c>
      <c r="X405" s="176" t="str">
        <f aca="false">IF(INDEX(Salary_Calculation[Source Row],ROW()-ROW(Payslip_Lookup[#Headers]))="","",INDEX(Salary_Calculation[Other Deductions],ROW()-ROW(Payslip_Lookup[#Headers])))</f>
        <v/>
      </c>
      <c r="Y405" s="176" t="str">
        <f aca="false">IF(INDEX(Salary_Calculation[Source Row],ROW()-ROW(Payslip_Lookup[#Headers]))="","",INDEX(Salary_Calculation[Total Deductions],ROW()-ROW(Payslip_Lookup[#Headers])))</f>
        <v/>
      </c>
      <c r="Z405" s="176" t="str">
        <f aca="false">IF(INDEX(Salary_Calculation[Source Row],ROW()-ROW(Payslip_Lookup[#Headers]))="","",INDEX(Salary_Calculation[Final Salary],ROW()-ROW(Payslip_Lookup[#Headers])))</f>
        <v/>
      </c>
      <c r="AA405" s="176" t="str">
        <f aca="false">IF(INDEX(Salary_Calculation[Source Row],ROW()-ROW(Payslip_Lookup[#Headers]))="","",INDEX(Salary_Calculation[Negative Balance / Amount Due from Rider],ROW()-ROW(Payslip_Lookup[#Headers])))</f>
        <v/>
      </c>
      <c r="AB405" s="176" t="str">
        <f aca="false">IF(INDEX(Salary_Calculation[Source Row],ROW()-ROW(Payslip_Lookup[#Headers]))="","",INDEX(Salary_Calculation[Total Amount Due from Rider],ROW()-ROW(Payslip_Lookup[#Headers])))</f>
        <v/>
      </c>
      <c r="AC405" s="176" t="str">
        <f aca="false">IF(INDEX(Salary_Calculation[Source Row],ROW()-ROW(Payslip_Lookup[#Headers]))="","",INDEX(Salary_Calculation[Salary Before Other Deductions],ROW()-ROW(Payslip_Lookup[#Headers])))</f>
        <v/>
      </c>
      <c r="AD405" s="171" t="str">
        <f aca="false">IF(INDEX(Salary_Calculation[Source Row],ROW()-ROW(Payslip_Lookup[#Headers]))="","",INDEX(Salary_Calculation[Payment Status],ROW()-ROW(Payslip_Lookup[#Headers])))</f>
        <v/>
      </c>
      <c r="AE405" s="171" t="str">
        <f aca="false">IF(INDEX(Salary_Calculation[Source Row],ROW()-ROW(Payslip_Lookup[#Headers]))="","",INDEX(Salary_Calculation[Notes],ROW()-ROW(Payslip_Lookup[#Headers])))</f>
        <v/>
      </c>
      <c r="AF405" s="171" t="str">
        <f aca="false">IF(INDEX(Salary_Calculation[Source Row],ROW()-ROW(Payslip_Lookup[#Headers]))="","",INDEX(Salary_Calculation[Exception Reason],ROW()-ROW(Payslip_Lookup[#Headers])))</f>
        <v/>
      </c>
      <c r="AG405" s="173" t="str">
        <f aca="false">IF($AD405="Review Required",COUNTIF(AD$2:AD405,"Review Required"),"")</f>
        <v/>
      </c>
      <c r="AH405" s="173" t="str">
        <f aca="false">IF(AND($D405&lt;&gt;"",$B405=Payslip_Print!$C$2),MAX(AH$1:AH404)+1,"")</f>
        <v/>
      </c>
      <c r="AL405" s="178" t="str">
        <f aca="false">IFERROR(INDEX($D$2:$D$501,MATCH(ROW()-1,$AH$2:$AH$501,0)),"")</f>
        <v/>
      </c>
      <c r="AM405" s="179" t="str">
        <f aca="false">IF($Z405="","",IF(AND($C405&gt;=Dash_Start,$C405&lt;Dash_End),$Z405+ROW()/10000000,""))</f>
        <v/>
      </c>
    </row>
    <row r="406" customFormat="false" ht="14.25" hidden="false" customHeight="false" outlineLevel="0" collapsed="false">
      <c r="A406" s="171" t="str">
        <f aca="false">IF(Payslip_Lookup[[#This Row],[Rider ID]]="","",Payslip_Lookup[[#This Row],[Rider ID]]&amp;"|"&amp;Payslip_Lookup[[#This Row],[Month Key]])</f>
        <v/>
      </c>
      <c r="B406" s="172" t="str">
        <f aca="false">IF(ISNUMBER(Payslip_Lookup[[#This Row],[Salary Month]]),DATE(YEAR(Payslip_Lookup[[#This Row],[Salary Month]]),MONTH(Payslip_Lookup[[#This Row],[Salary Month]]),1),"")</f>
        <v/>
      </c>
      <c r="C406" s="172" t="str">
        <f aca="false">IF(INDEX(Salary_Calculation[Source Row],ROW()-ROW(Payslip_Lookup[#Headers]))="","",INDEX(Salary_Calculation[Salary Month],ROW()-ROW(Payslip_Lookup[#Headers])))</f>
        <v/>
      </c>
      <c r="D406" s="173" t="str">
        <f aca="false">IF(INDEX(Salary_Calculation[Source Row],ROW()-ROW(Payslip_Lookup[#Headers]))="","",INDEX(Salary_Calculation[Rider ID],ROW()-ROW(Payslip_Lookup[#Headers])))</f>
        <v/>
      </c>
      <c r="E406" s="171" t="str">
        <f aca="false">IF(INDEX(Salary_Calculation[Source Row],ROW()-ROW(Payslip_Lookup[#Headers]))="","",INDEX(Salary_Calculation[Rider Name],ROW()-ROW(Payslip_Lookup[#Headers])))</f>
        <v/>
      </c>
      <c r="F406" s="173" t="str">
        <f aca="false">IF(INDEX(Salary_Calculation[Source Row],ROW()-ROW(Payslip_Lookup[#Headers]))="","",INDEX(Salary_Calculation[Working Days],ROW()-ROW(Payslip_Lookup[#Headers])))</f>
        <v/>
      </c>
      <c r="G406" s="173" t="str">
        <f aca="false">IF(INDEX(Salary_Calculation[Source Row],ROW()-ROW(Payslip_Lookup[#Headers]))="","",INDEX(Salary_Calculation[Calendar Days],ROW()-ROW(Payslip_Lookup[#Headers])))</f>
        <v/>
      </c>
      <c r="H406" s="174" t="str">
        <f aca="false">IF(INDEX(Salary_Calculation[Source Row],ROW()-ROW(Payslip_Lookup[#Headers]))="","",INDEX(Salary_Calculation[Monthly Target Orders],ROW()-ROW(Payslip_Lookup[#Headers])))</f>
        <v/>
      </c>
      <c r="I406" s="174" t="str">
        <f aca="false">IF(INDEX(Salary_Calculation[Source Row],ROW()-ROW(Payslip_Lookup[#Headers]))="","",INDEX(Salary_Calculation[Rider Target Orders],ROW()-ROW(Payslip_Lookup[#Headers])))</f>
        <v/>
      </c>
      <c r="J406" s="175" t="str">
        <f aca="false">IF(INDEX(Salary_Calculation[Source Row],ROW()-ROW(Payslip_Lookup[#Headers]))="","",INDEX(Salary_Calculation[Completed Orders],ROW()-ROW(Payslip_Lookup[#Headers])))</f>
        <v/>
      </c>
      <c r="K406" s="174" t="str">
        <f aca="false">IF(INDEX(Salary_Calculation[Source Row],ROW()-ROW(Payslip_Lookup[#Headers]))="","",INDEX(Salary_Calculation[Base Order Rate],ROW()-ROW(Payslip_Lookup[#Headers])))</f>
        <v/>
      </c>
      <c r="L406" s="176" t="str">
        <f aca="false">IF(INDEX(Salary_Calculation[Source Row],ROW()-ROW(Payslip_Lookup[#Headers]))="","",INDEX(Salary_Calculation[Basic Payment],ROW()-ROW(Payslip_Lookup[#Headers])))</f>
        <v/>
      </c>
      <c r="M406" s="176" t="str">
        <f aca="false">IF(INDEX(Salary_Calculation[Source Row],ROW()-ROW(Payslip_Lookup[#Headers]))="","",INDEX(Salary_Calculation[Earned Salary],ROW()-ROW(Payslip_Lookup[#Headers])))</f>
        <v/>
      </c>
      <c r="N406" s="174" t="str">
        <f aca="false">IF(INDEX(Salary_Calculation[Source Row],ROW()-ROW(Payslip_Lookup[#Headers]))="","",INDEX(Salary_Calculation[Orders Counted at Base Rate],ROW()-ROW(Payslip_Lookup[#Headers])))</f>
        <v/>
      </c>
      <c r="O406" s="174" t="str">
        <f aca="false">IF(INDEX(Salary_Calculation[Source Row],ROW()-ROW(Payslip_Lookup[#Headers]))="","",INDEX(Salary_Calculation[Missing Orders],ROW()-ROW(Payslip_Lookup[#Headers])))</f>
        <v/>
      </c>
      <c r="P406" s="176" t="str">
        <f aca="false">IF(INDEX(Salary_Calculation[Source Row],ROW()-ROW(Payslip_Lookup[#Headers]))="","",INDEX(Salary_Calculation[Missing-Order Deduction],ROW()-ROW(Payslip_Lookup[#Headers])))</f>
        <v/>
      </c>
      <c r="Q406" s="174" t="str">
        <f aca="false">IF(INDEX(Salary_Calculation[Source Row],ROW()-ROW(Payslip_Lookup[#Headers]))="","",INDEX(Salary_Calculation[Extra Orders],ROW()-ROW(Payslip_Lookup[#Headers])))</f>
        <v/>
      </c>
      <c r="R406" s="176" t="str">
        <f aca="false">IF(INDEX(Salary_Calculation[Source Row],ROW()-ROW(Payslip_Lookup[#Headers]))="","",INDEX(Salary_Calculation[Extra-Order Bonus],ROW()-ROW(Payslip_Lookup[#Headers])))</f>
        <v/>
      </c>
      <c r="S406" s="176" t="str">
        <f aca="false">IF(INDEX(Salary_Calculation[Source Row],ROW()-ROW(Payslip_Lookup[#Headers]))="","",INDEX(Salary_Calculation[Basic Salary for Target],ROW()-ROW(Payslip_Lookup[#Headers])))</f>
        <v/>
      </c>
      <c r="T406" s="176" t="str">
        <f aca="false">IF(INDEX(Salary_Calculation[Source Row],ROW()-ROW(Payslip_Lookup[#Headers]))="","",INDEX(Salary_Calculation[Gross Salary Before Deductions],ROW()-ROW(Payslip_Lookup[#Headers])))</f>
        <v/>
      </c>
      <c r="U406" s="176" t="str">
        <f aca="false">IF(INDEX(Salary_Calculation[Source Row],ROW()-ROW(Payslip_Lookup[#Headers]))="","",INDEX(Salary_Calculation[missed_days_penalty],ROW()-ROW(Payslip_Lookup[#Headers])))</f>
        <v/>
      </c>
      <c r="V406" s="176" t="str">
        <f aca="false">IF(INDEX(Salary_Calculation[Source Row],ROW()-ROW(Payslip_Lookup[#Headers]))="","",INDEX(Salary_Calculation[Rider Balance],ROW()-ROW(Payslip_Lookup[#Headers])))</f>
        <v/>
      </c>
      <c r="W406" s="176" t="str">
        <f aca="false">IF(INDEX(Salary_Calculation[Source Row],ROW()-ROW(Payslip_Lookup[#Headers]))="","",INDEX(Salary_Calculation[stacking_deduction],ROW()-ROW(Payslip_Lookup[#Headers])))</f>
        <v/>
      </c>
      <c r="X406" s="176" t="str">
        <f aca="false">IF(INDEX(Salary_Calculation[Source Row],ROW()-ROW(Payslip_Lookup[#Headers]))="","",INDEX(Salary_Calculation[Other Deductions],ROW()-ROW(Payslip_Lookup[#Headers])))</f>
        <v/>
      </c>
      <c r="Y406" s="176" t="str">
        <f aca="false">IF(INDEX(Salary_Calculation[Source Row],ROW()-ROW(Payslip_Lookup[#Headers]))="","",INDEX(Salary_Calculation[Total Deductions],ROW()-ROW(Payslip_Lookup[#Headers])))</f>
        <v/>
      </c>
      <c r="Z406" s="176" t="str">
        <f aca="false">IF(INDEX(Salary_Calculation[Source Row],ROW()-ROW(Payslip_Lookup[#Headers]))="","",INDEX(Salary_Calculation[Final Salary],ROW()-ROW(Payslip_Lookup[#Headers])))</f>
        <v/>
      </c>
      <c r="AA406" s="176" t="str">
        <f aca="false">IF(INDEX(Salary_Calculation[Source Row],ROW()-ROW(Payslip_Lookup[#Headers]))="","",INDEX(Salary_Calculation[Negative Balance / Amount Due from Rider],ROW()-ROW(Payslip_Lookup[#Headers])))</f>
        <v/>
      </c>
      <c r="AB406" s="176" t="str">
        <f aca="false">IF(INDEX(Salary_Calculation[Source Row],ROW()-ROW(Payslip_Lookup[#Headers]))="","",INDEX(Salary_Calculation[Total Amount Due from Rider],ROW()-ROW(Payslip_Lookup[#Headers])))</f>
        <v/>
      </c>
      <c r="AC406" s="176" t="str">
        <f aca="false">IF(INDEX(Salary_Calculation[Source Row],ROW()-ROW(Payslip_Lookup[#Headers]))="","",INDEX(Salary_Calculation[Salary Before Other Deductions],ROW()-ROW(Payslip_Lookup[#Headers])))</f>
        <v/>
      </c>
      <c r="AD406" s="171" t="str">
        <f aca="false">IF(INDEX(Salary_Calculation[Source Row],ROW()-ROW(Payslip_Lookup[#Headers]))="","",INDEX(Salary_Calculation[Payment Status],ROW()-ROW(Payslip_Lookup[#Headers])))</f>
        <v/>
      </c>
      <c r="AE406" s="171" t="str">
        <f aca="false">IF(INDEX(Salary_Calculation[Source Row],ROW()-ROW(Payslip_Lookup[#Headers]))="","",INDEX(Salary_Calculation[Notes],ROW()-ROW(Payslip_Lookup[#Headers])))</f>
        <v/>
      </c>
      <c r="AF406" s="171" t="str">
        <f aca="false">IF(INDEX(Salary_Calculation[Source Row],ROW()-ROW(Payslip_Lookup[#Headers]))="","",INDEX(Salary_Calculation[Exception Reason],ROW()-ROW(Payslip_Lookup[#Headers])))</f>
        <v/>
      </c>
      <c r="AG406" s="173" t="str">
        <f aca="false">IF($AD406="Review Required",COUNTIF(AD$2:AD406,"Review Required"),"")</f>
        <v/>
      </c>
      <c r="AH406" s="173" t="str">
        <f aca="false">IF(AND($D406&lt;&gt;"",$B406=Payslip_Print!$C$2),MAX(AH$1:AH405)+1,"")</f>
        <v/>
      </c>
      <c r="AL406" s="178" t="str">
        <f aca="false">IFERROR(INDEX($D$2:$D$501,MATCH(ROW()-1,$AH$2:$AH$501,0)),"")</f>
        <v/>
      </c>
      <c r="AM406" s="179" t="str">
        <f aca="false">IF($Z406="","",IF(AND($C406&gt;=Dash_Start,$C406&lt;Dash_End),$Z406+ROW()/10000000,""))</f>
        <v/>
      </c>
    </row>
    <row r="407" customFormat="false" ht="14.25" hidden="false" customHeight="false" outlineLevel="0" collapsed="false">
      <c r="A407" s="171" t="str">
        <f aca="false">IF(Payslip_Lookup[[#This Row],[Rider ID]]="","",Payslip_Lookup[[#This Row],[Rider ID]]&amp;"|"&amp;Payslip_Lookup[[#This Row],[Month Key]])</f>
        <v/>
      </c>
      <c r="B407" s="172" t="str">
        <f aca="false">IF(ISNUMBER(Payslip_Lookup[[#This Row],[Salary Month]]),DATE(YEAR(Payslip_Lookup[[#This Row],[Salary Month]]),MONTH(Payslip_Lookup[[#This Row],[Salary Month]]),1),"")</f>
        <v/>
      </c>
      <c r="C407" s="172" t="str">
        <f aca="false">IF(INDEX(Salary_Calculation[Source Row],ROW()-ROW(Payslip_Lookup[#Headers]))="","",INDEX(Salary_Calculation[Salary Month],ROW()-ROW(Payslip_Lookup[#Headers])))</f>
        <v/>
      </c>
      <c r="D407" s="173" t="str">
        <f aca="false">IF(INDEX(Salary_Calculation[Source Row],ROW()-ROW(Payslip_Lookup[#Headers]))="","",INDEX(Salary_Calculation[Rider ID],ROW()-ROW(Payslip_Lookup[#Headers])))</f>
        <v/>
      </c>
      <c r="E407" s="171" t="str">
        <f aca="false">IF(INDEX(Salary_Calculation[Source Row],ROW()-ROW(Payslip_Lookup[#Headers]))="","",INDEX(Salary_Calculation[Rider Name],ROW()-ROW(Payslip_Lookup[#Headers])))</f>
        <v/>
      </c>
      <c r="F407" s="173" t="str">
        <f aca="false">IF(INDEX(Salary_Calculation[Source Row],ROW()-ROW(Payslip_Lookup[#Headers]))="","",INDEX(Salary_Calculation[Working Days],ROW()-ROW(Payslip_Lookup[#Headers])))</f>
        <v/>
      </c>
      <c r="G407" s="173" t="str">
        <f aca="false">IF(INDEX(Salary_Calculation[Source Row],ROW()-ROW(Payslip_Lookup[#Headers]))="","",INDEX(Salary_Calculation[Calendar Days],ROW()-ROW(Payslip_Lookup[#Headers])))</f>
        <v/>
      </c>
      <c r="H407" s="174" t="str">
        <f aca="false">IF(INDEX(Salary_Calculation[Source Row],ROW()-ROW(Payslip_Lookup[#Headers]))="","",INDEX(Salary_Calculation[Monthly Target Orders],ROW()-ROW(Payslip_Lookup[#Headers])))</f>
        <v/>
      </c>
      <c r="I407" s="174" t="str">
        <f aca="false">IF(INDEX(Salary_Calculation[Source Row],ROW()-ROW(Payslip_Lookup[#Headers]))="","",INDEX(Salary_Calculation[Rider Target Orders],ROW()-ROW(Payslip_Lookup[#Headers])))</f>
        <v/>
      </c>
      <c r="J407" s="175" t="str">
        <f aca="false">IF(INDEX(Salary_Calculation[Source Row],ROW()-ROW(Payslip_Lookup[#Headers]))="","",INDEX(Salary_Calculation[Completed Orders],ROW()-ROW(Payslip_Lookup[#Headers])))</f>
        <v/>
      </c>
      <c r="K407" s="174" t="str">
        <f aca="false">IF(INDEX(Salary_Calculation[Source Row],ROW()-ROW(Payslip_Lookup[#Headers]))="","",INDEX(Salary_Calculation[Base Order Rate],ROW()-ROW(Payslip_Lookup[#Headers])))</f>
        <v/>
      </c>
      <c r="L407" s="176" t="str">
        <f aca="false">IF(INDEX(Salary_Calculation[Source Row],ROW()-ROW(Payslip_Lookup[#Headers]))="","",INDEX(Salary_Calculation[Basic Payment],ROW()-ROW(Payslip_Lookup[#Headers])))</f>
        <v/>
      </c>
      <c r="M407" s="176" t="str">
        <f aca="false">IF(INDEX(Salary_Calculation[Source Row],ROW()-ROW(Payslip_Lookup[#Headers]))="","",INDEX(Salary_Calculation[Earned Salary],ROW()-ROW(Payslip_Lookup[#Headers])))</f>
        <v/>
      </c>
      <c r="N407" s="174" t="str">
        <f aca="false">IF(INDEX(Salary_Calculation[Source Row],ROW()-ROW(Payslip_Lookup[#Headers]))="","",INDEX(Salary_Calculation[Orders Counted at Base Rate],ROW()-ROW(Payslip_Lookup[#Headers])))</f>
        <v/>
      </c>
      <c r="O407" s="174" t="str">
        <f aca="false">IF(INDEX(Salary_Calculation[Source Row],ROW()-ROW(Payslip_Lookup[#Headers]))="","",INDEX(Salary_Calculation[Missing Orders],ROW()-ROW(Payslip_Lookup[#Headers])))</f>
        <v/>
      </c>
      <c r="P407" s="176" t="str">
        <f aca="false">IF(INDEX(Salary_Calculation[Source Row],ROW()-ROW(Payslip_Lookup[#Headers]))="","",INDEX(Salary_Calculation[Missing-Order Deduction],ROW()-ROW(Payslip_Lookup[#Headers])))</f>
        <v/>
      </c>
      <c r="Q407" s="174" t="str">
        <f aca="false">IF(INDEX(Salary_Calculation[Source Row],ROW()-ROW(Payslip_Lookup[#Headers]))="","",INDEX(Salary_Calculation[Extra Orders],ROW()-ROW(Payslip_Lookup[#Headers])))</f>
        <v/>
      </c>
      <c r="R407" s="176" t="str">
        <f aca="false">IF(INDEX(Salary_Calculation[Source Row],ROW()-ROW(Payslip_Lookup[#Headers]))="","",INDEX(Salary_Calculation[Extra-Order Bonus],ROW()-ROW(Payslip_Lookup[#Headers])))</f>
        <v/>
      </c>
      <c r="S407" s="176" t="str">
        <f aca="false">IF(INDEX(Salary_Calculation[Source Row],ROW()-ROW(Payslip_Lookup[#Headers]))="","",INDEX(Salary_Calculation[Basic Salary for Target],ROW()-ROW(Payslip_Lookup[#Headers])))</f>
        <v/>
      </c>
      <c r="T407" s="176" t="str">
        <f aca="false">IF(INDEX(Salary_Calculation[Source Row],ROW()-ROW(Payslip_Lookup[#Headers]))="","",INDEX(Salary_Calculation[Gross Salary Before Deductions],ROW()-ROW(Payslip_Lookup[#Headers])))</f>
        <v/>
      </c>
      <c r="U407" s="176" t="str">
        <f aca="false">IF(INDEX(Salary_Calculation[Source Row],ROW()-ROW(Payslip_Lookup[#Headers]))="","",INDEX(Salary_Calculation[missed_days_penalty],ROW()-ROW(Payslip_Lookup[#Headers])))</f>
        <v/>
      </c>
      <c r="V407" s="176" t="str">
        <f aca="false">IF(INDEX(Salary_Calculation[Source Row],ROW()-ROW(Payslip_Lookup[#Headers]))="","",INDEX(Salary_Calculation[Rider Balance],ROW()-ROW(Payslip_Lookup[#Headers])))</f>
        <v/>
      </c>
      <c r="W407" s="176" t="str">
        <f aca="false">IF(INDEX(Salary_Calculation[Source Row],ROW()-ROW(Payslip_Lookup[#Headers]))="","",INDEX(Salary_Calculation[stacking_deduction],ROW()-ROW(Payslip_Lookup[#Headers])))</f>
        <v/>
      </c>
      <c r="X407" s="176" t="str">
        <f aca="false">IF(INDEX(Salary_Calculation[Source Row],ROW()-ROW(Payslip_Lookup[#Headers]))="","",INDEX(Salary_Calculation[Other Deductions],ROW()-ROW(Payslip_Lookup[#Headers])))</f>
        <v/>
      </c>
      <c r="Y407" s="176" t="str">
        <f aca="false">IF(INDEX(Salary_Calculation[Source Row],ROW()-ROW(Payslip_Lookup[#Headers]))="","",INDEX(Salary_Calculation[Total Deductions],ROW()-ROW(Payslip_Lookup[#Headers])))</f>
        <v/>
      </c>
      <c r="Z407" s="176" t="str">
        <f aca="false">IF(INDEX(Salary_Calculation[Source Row],ROW()-ROW(Payslip_Lookup[#Headers]))="","",INDEX(Salary_Calculation[Final Salary],ROW()-ROW(Payslip_Lookup[#Headers])))</f>
        <v/>
      </c>
      <c r="AA407" s="176" t="str">
        <f aca="false">IF(INDEX(Salary_Calculation[Source Row],ROW()-ROW(Payslip_Lookup[#Headers]))="","",INDEX(Salary_Calculation[Negative Balance / Amount Due from Rider],ROW()-ROW(Payslip_Lookup[#Headers])))</f>
        <v/>
      </c>
      <c r="AB407" s="176" t="str">
        <f aca="false">IF(INDEX(Salary_Calculation[Source Row],ROW()-ROW(Payslip_Lookup[#Headers]))="","",INDEX(Salary_Calculation[Total Amount Due from Rider],ROW()-ROW(Payslip_Lookup[#Headers])))</f>
        <v/>
      </c>
      <c r="AC407" s="176" t="str">
        <f aca="false">IF(INDEX(Salary_Calculation[Source Row],ROW()-ROW(Payslip_Lookup[#Headers]))="","",INDEX(Salary_Calculation[Salary Before Other Deductions],ROW()-ROW(Payslip_Lookup[#Headers])))</f>
        <v/>
      </c>
      <c r="AD407" s="171" t="str">
        <f aca="false">IF(INDEX(Salary_Calculation[Source Row],ROW()-ROW(Payslip_Lookup[#Headers]))="","",INDEX(Salary_Calculation[Payment Status],ROW()-ROW(Payslip_Lookup[#Headers])))</f>
        <v/>
      </c>
      <c r="AE407" s="171" t="str">
        <f aca="false">IF(INDEX(Salary_Calculation[Source Row],ROW()-ROW(Payslip_Lookup[#Headers]))="","",INDEX(Salary_Calculation[Notes],ROW()-ROW(Payslip_Lookup[#Headers])))</f>
        <v/>
      </c>
      <c r="AF407" s="171" t="str">
        <f aca="false">IF(INDEX(Salary_Calculation[Source Row],ROW()-ROW(Payslip_Lookup[#Headers]))="","",INDEX(Salary_Calculation[Exception Reason],ROW()-ROW(Payslip_Lookup[#Headers])))</f>
        <v/>
      </c>
      <c r="AG407" s="173" t="str">
        <f aca="false">IF($AD407="Review Required",COUNTIF(AD$2:AD407,"Review Required"),"")</f>
        <v/>
      </c>
      <c r="AH407" s="173" t="str">
        <f aca="false">IF(AND($D407&lt;&gt;"",$B407=Payslip_Print!$C$2),MAX(AH$1:AH406)+1,"")</f>
        <v/>
      </c>
      <c r="AL407" s="178" t="str">
        <f aca="false">IFERROR(INDEX($D$2:$D$501,MATCH(ROW()-1,$AH$2:$AH$501,0)),"")</f>
        <v/>
      </c>
      <c r="AM407" s="179" t="str">
        <f aca="false">IF($Z407="","",IF(AND($C407&gt;=Dash_Start,$C407&lt;Dash_End),$Z407+ROW()/10000000,""))</f>
        <v/>
      </c>
    </row>
    <row r="408" customFormat="false" ht="14.25" hidden="false" customHeight="false" outlineLevel="0" collapsed="false">
      <c r="A408" s="171" t="str">
        <f aca="false">IF(Payslip_Lookup[[#This Row],[Rider ID]]="","",Payslip_Lookup[[#This Row],[Rider ID]]&amp;"|"&amp;Payslip_Lookup[[#This Row],[Month Key]])</f>
        <v/>
      </c>
      <c r="B408" s="172" t="str">
        <f aca="false">IF(ISNUMBER(Payslip_Lookup[[#This Row],[Salary Month]]),DATE(YEAR(Payslip_Lookup[[#This Row],[Salary Month]]),MONTH(Payslip_Lookup[[#This Row],[Salary Month]]),1),"")</f>
        <v/>
      </c>
      <c r="C408" s="172" t="str">
        <f aca="false">IF(INDEX(Salary_Calculation[Source Row],ROW()-ROW(Payslip_Lookup[#Headers]))="","",INDEX(Salary_Calculation[Salary Month],ROW()-ROW(Payslip_Lookup[#Headers])))</f>
        <v/>
      </c>
      <c r="D408" s="173" t="str">
        <f aca="false">IF(INDEX(Salary_Calculation[Source Row],ROW()-ROW(Payslip_Lookup[#Headers]))="","",INDEX(Salary_Calculation[Rider ID],ROW()-ROW(Payslip_Lookup[#Headers])))</f>
        <v/>
      </c>
      <c r="E408" s="171" t="str">
        <f aca="false">IF(INDEX(Salary_Calculation[Source Row],ROW()-ROW(Payslip_Lookup[#Headers]))="","",INDEX(Salary_Calculation[Rider Name],ROW()-ROW(Payslip_Lookup[#Headers])))</f>
        <v/>
      </c>
      <c r="F408" s="173" t="str">
        <f aca="false">IF(INDEX(Salary_Calculation[Source Row],ROW()-ROW(Payslip_Lookup[#Headers]))="","",INDEX(Salary_Calculation[Working Days],ROW()-ROW(Payslip_Lookup[#Headers])))</f>
        <v/>
      </c>
      <c r="G408" s="173" t="str">
        <f aca="false">IF(INDEX(Salary_Calculation[Source Row],ROW()-ROW(Payslip_Lookup[#Headers]))="","",INDEX(Salary_Calculation[Calendar Days],ROW()-ROW(Payslip_Lookup[#Headers])))</f>
        <v/>
      </c>
      <c r="H408" s="174" t="str">
        <f aca="false">IF(INDEX(Salary_Calculation[Source Row],ROW()-ROW(Payslip_Lookup[#Headers]))="","",INDEX(Salary_Calculation[Monthly Target Orders],ROW()-ROW(Payslip_Lookup[#Headers])))</f>
        <v/>
      </c>
      <c r="I408" s="174" t="str">
        <f aca="false">IF(INDEX(Salary_Calculation[Source Row],ROW()-ROW(Payslip_Lookup[#Headers]))="","",INDEX(Salary_Calculation[Rider Target Orders],ROW()-ROW(Payslip_Lookup[#Headers])))</f>
        <v/>
      </c>
      <c r="J408" s="175" t="str">
        <f aca="false">IF(INDEX(Salary_Calculation[Source Row],ROW()-ROW(Payslip_Lookup[#Headers]))="","",INDEX(Salary_Calculation[Completed Orders],ROW()-ROW(Payslip_Lookup[#Headers])))</f>
        <v/>
      </c>
      <c r="K408" s="174" t="str">
        <f aca="false">IF(INDEX(Salary_Calculation[Source Row],ROW()-ROW(Payslip_Lookup[#Headers]))="","",INDEX(Salary_Calculation[Base Order Rate],ROW()-ROW(Payslip_Lookup[#Headers])))</f>
        <v/>
      </c>
      <c r="L408" s="176" t="str">
        <f aca="false">IF(INDEX(Salary_Calculation[Source Row],ROW()-ROW(Payslip_Lookup[#Headers]))="","",INDEX(Salary_Calculation[Basic Payment],ROW()-ROW(Payslip_Lookup[#Headers])))</f>
        <v/>
      </c>
      <c r="M408" s="176" t="str">
        <f aca="false">IF(INDEX(Salary_Calculation[Source Row],ROW()-ROW(Payslip_Lookup[#Headers]))="","",INDEX(Salary_Calculation[Earned Salary],ROW()-ROW(Payslip_Lookup[#Headers])))</f>
        <v/>
      </c>
      <c r="N408" s="174" t="str">
        <f aca="false">IF(INDEX(Salary_Calculation[Source Row],ROW()-ROW(Payslip_Lookup[#Headers]))="","",INDEX(Salary_Calculation[Orders Counted at Base Rate],ROW()-ROW(Payslip_Lookup[#Headers])))</f>
        <v/>
      </c>
      <c r="O408" s="174" t="str">
        <f aca="false">IF(INDEX(Salary_Calculation[Source Row],ROW()-ROW(Payslip_Lookup[#Headers]))="","",INDEX(Salary_Calculation[Missing Orders],ROW()-ROW(Payslip_Lookup[#Headers])))</f>
        <v/>
      </c>
      <c r="P408" s="176" t="str">
        <f aca="false">IF(INDEX(Salary_Calculation[Source Row],ROW()-ROW(Payslip_Lookup[#Headers]))="","",INDEX(Salary_Calculation[Missing-Order Deduction],ROW()-ROW(Payslip_Lookup[#Headers])))</f>
        <v/>
      </c>
      <c r="Q408" s="174" t="str">
        <f aca="false">IF(INDEX(Salary_Calculation[Source Row],ROW()-ROW(Payslip_Lookup[#Headers]))="","",INDEX(Salary_Calculation[Extra Orders],ROW()-ROW(Payslip_Lookup[#Headers])))</f>
        <v/>
      </c>
      <c r="R408" s="176" t="str">
        <f aca="false">IF(INDEX(Salary_Calculation[Source Row],ROW()-ROW(Payslip_Lookup[#Headers]))="","",INDEX(Salary_Calculation[Extra-Order Bonus],ROW()-ROW(Payslip_Lookup[#Headers])))</f>
        <v/>
      </c>
      <c r="S408" s="176" t="str">
        <f aca="false">IF(INDEX(Salary_Calculation[Source Row],ROW()-ROW(Payslip_Lookup[#Headers]))="","",INDEX(Salary_Calculation[Basic Salary for Target],ROW()-ROW(Payslip_Lookup[#Headers])))</f>
        <v/>
      </c>
      <c r="T408" s="176" t="str">
        <f aca="false">IF(INDEX(Salary_Calculation[Source Row],ROW()-ROW(Payslip_Lookup[#Headers]))="","",INDEX(Salary_Calculation[Gross Salary Before Deductions],ROW()-ROW(Payslip_Lookup[#Headers])))</f>
        <v/>
      </c>
      <c r="U408" s="176" t="str">
        <f aca="false">IF(INDEX(Salary_Calculation[Source Row],ROW()-ROW(Payslip_Lookup[#Headers]))="","",INDEX(Salary_Calculation[missed_days_penalty],ROW()-ROW(Payslip_Lookup[#Headers])))</f>
        <v/>
      </c>
      <c r="V408" s="176" t="str">
        <f aca="false">IF(INDEX(Salary_Calculation[Source Row],ROW()-ROW(Payslip_Lookup[#Headers]))="","",INDEX(Salary_Calculation[Rider Balance],ROW()-ROW(Payslip_Lookup[#Headers])))</f>
        <v/>
      </c>
      <c r="W408" s="176" t="str">
        <f aca="false">IF(INDEX(Salary_Calculation[Source Row],ROW()-ROW(Payslip_Lookup[#Headers]))="","",INDEX(Salary_Calculation[stacking_deduction],ROW()-ROW(Payslip_Lookup[#Headers])))</f>
        <v/>
      </c>
      <c r="X408" s="176" t="str">
        <f aca="false">IF(INDEX(Salary_Calculation[Source Row],ROW()-ROW(Payslip_Lookup[#Headers]))="","",INDEX(Salary_Calculation[Other Deductions],ROW()-ROW(Payslip_Lookup[#Headers])))</f>
        <v/>
      </c>
      <c r="Y408" s="176" t="str">
        <f aca="false">IF(INDEX(Salary_Calculation[Source Row],ROW()-ROW(Payslip_Lookup[#Headers]))="","",INDEX(Salary_Calculation[Total Deductions],ROW()-ROW(Payslip_Lookup[#Headers])))</f>
        <v/>
      </c>
      <c r="Z408" s="176" t="str">
        <f aca="false">IF(INDEX(Salary_Calculation[Source Row],ROW()-ROW(Payslip_Lookup[#Headers]))="","",INDEX(Salary_Calculation[Final Salary],ROW()-ROW(Payslip_Lookup[#Headers])))</f>
        <v/>
      </c>
      <c r="AA408" s="176" t="str">
        <f aca="false">IF(INDEX(Salary_Calculation[Source Row],ROW()-ROW(Payslip_Lookup[#Headers]))="","",INDEX(Salary_Calculation[Negative Balance / Amount Due from Rider],ROW()-ROW(Payslip_Lookup[#Headers])))</f>
        <v/>
      </c>
      <c r="AB408" s="176" t="str">
        <f aca="false">IF(INDEX(Salary_Calculation[Source Row],ROW()-ROW(Payslip_Lookup[#Headers]))="","",INDEX(Salary_Calculation[Total Amount Due from Rider],ROW()-ROW(Payslip_Lookup[#Headers])))</f>
        <v/>
      </c>
      <c r="AC408" s="176" t="str">
        <f aca="false">IF(INDEX(Salary_Calculation[Source Row],ROW()-ROW(Payslip_Lookup[#Headers]))="","",INDEX(Salary_Calculation[Salary Before Other Deductions],ROW()-ROW(Payslip_Lookup[#Headers])))</f>
        <v/>
      </c>
      <c r="AD408" s="171" t="str">
        <f aca="false">IF(INDEX(Salary_Calculation[Source Row],ROW()-ROW(Payslip_Lookup[#Headers]))="","",INDEX(Salary_Calculation[Payment Status],ROW()-ROW(Payslip_Lookup[#Headers])))</f>
        <v/>
      </c>
      <c r="AE408" s="171" t="str">
        <f aca="false">IF(INDEX(Salary_Calculation[Source Row],ROW()-ROW(Payslip_Lookup[#Headers]))="","",INDEX(Salary_Calculation[Notes],ROW()-ROW(Payslip_Lookup[#Headers])))</f>
        <v/>
      </c>
      <c r="AF408" s="171" t="str">
        <f aca="false">IF(INDEX(Salary_Calculation[Source Row],ROW()-ROW(Payslip_Lookup[#Headers]))="","",INDEX(Salary_Calculation[Exception Reason],ROW()-ROW(Payslip_Lookup[#Headers])))</f>
        <v/>
      </c>
      <c r="AG408" s="173" t="str">
        <f aca="false">IF($AD408="Review Required",COUNTIF(AD$2:AD408,"Review Required"),"")</f>
        <v/>
      </c>
      <c r="AH408" s="173" t="str">
        <f aca="false">IF(AND($D408&lt;&gt;"",$B408=Payslip_Print!$C$2),MAX(AH$1:AH407)+1,"")</f>
        <v/>
      </c>
      <c r="AL408" s="178" t="str">
        <f aca="false">IFERROR(INDEX($D$2:$D$501,MATCH(ROW()-1,$AH$2:$AH$501,0)),"")</f>
        <v/>
      </c>
      <c r="AM408" s="179" t="str">
        <f aca="false">IF($Z408="","",IF(AND($C408&gt;=Dash_Start,$C408&lt;Dash_End),$Z408+ROW()/10000000,""))</f>
        <v/>
      </c>
    </row>
    <row r="409" customFormat="false" ht="14.25" hidden="false" customHeight="false" outlineLevel="0" collapsed="false">
      <c r="A409" s="171" t="str">
        <f aca="false">IF(Payslip_Lookup[[#This Row],[Rider ID]]="","",Payslip_Lookup[[#This Row],[Rider ID]]&amp;"|"&amp;Payslip_Lookup[[#This Row],[Month Key]])</f>
        <v/>
      </c>
      <c r="B409" s="172" t="str">
        <f aca="false">IF(ISNUMBER(Payslip_Lookup[[#This Row],[Salary Month]]),DATE(YEAR(Payslip_Lookup[[#This Row],[Salary Month]]),MONTH(Payslip_Lookup[[#This Row],[Salary Month]]),1),"")</f>
        <v/>
      </c>
      <c r="C409" s="172" t="str">
        <f aca="false">IF(INDEX(Salary_Calculation[Source Row],ROW()-ROW(Payslip_Lookup[#Headers]))="","",INDEX(Salary_Calculation[Salary Month],ROW()-ROW(Payslip_Lookup[#Headers])))</f>
        <v/>
      </c>
      <c r="D409" s="173" t="str">
        <f aca="false">IF(INDEX(Salary_Calculation[Source Row],ROW()-ROW(Payslip_Lookup[#Headers]))="","",INDEX(Salary_Calculation[Rider ID],ROW()-ROW(Payslip_Lookup[#Headers])))</f>
        <v/>
      </c>
      <c r="E409" s="171" t="str">
        <f aca="false">IF(INDEX(Salary_Calculation[Source Row],ROW()-ROW(Payslip_Lookup[#Headers]))="","",INDEX(Salary_Calculation[Rider Name],ROW()-ROW(Payslip_Lookup[#Headers])))</f>
        <v/>
      </c>
      <c r="F409" s="173" t="str">
        <f aca="false">IF(INDEX(Salary_Calculation[Source Row],ROW()-ROW(Payslip_Lookup[#Headers]))="","",INDEX(Salary_Calculation[Working Days],ROW()-ROW(Payslip_Lookup[#Headers])))</f>
        <v/>
      </c>
      <c r="G409" s="173" t="str">
        <f aca="false">IF(INDEX(Salary_Calculation[Source Row],ROW()-ROW(Payslip_Lookup[#Headers]))="","",INDEX(Salary_Calculation[Calendar Days],ROW()-ROW(Payslip_Lookup[#Headers])))</f>
        <v/>
      </c>
      <c r="H409" s="174" t="str">
        <f aca="false">IF(INDEX(Salary_Calculation[Source Row],ROW()-ROW(Payslip_Lookup[#Headers]))="","",INDEX(Salary_Calculation[Monthly Target Orders],ROW()-ROW(Payslip_Lookup[#Headers])))</f>
        <v/>
      </c>
      <c r="I409" s="174" t="str">
        <f aca="false">IF(INDEX(Salary_Calculation[Source Row],ROW()-ROW(Payslip_Lookup[#Headers]))="","",INDEX(Salary_Calculation[Rider Target Orders],ROW()-ROW(Payslip_Lookup[#Headers])))</f>
        <v/>
      </c>
      <c r="J409" s="175" t="str">
        <f aca="false">IF(INDEX(Salary_Calculation[Source Row],ROW()-ROW(Payslip_Lookup[#Headers]))="","",INDEX(Salary_Calculation[Completed Orders],ROW()-ROW(Payslip_Lookup[#Headers])))</f>
        <v/>
      </c>
      <c r="K409" s="174" t="str">
        <f aca="false">IF(INDEX(Salary_Calculation[Source Row],ROW()-ROW(Payslip_Lookup[#Headers]))="","",INDEX(Salary_Calculation[Base Order Rate],ROW()-ROW(Payslip_Lookup[#Headers])))</f>
        <v/>
      </c>
      <c r="L409" s="176" t="str">
        <f aca="false">IF(INDEX(Salary_Calculation[Source Row],ROW()-ROW(Payslip_Lookup[#Headers]))="","",INDEX(Salary_Calculation[Basic Payment],ROW()-ROW(Payslip_Lookup[#Headers])))</f>
        <v/>
      </c>
      <c r="M409" s="176" t="str">
        <f aca="false">IF(INDEX(Salary_Calculation[Source Row],ROW()-ROW(Payslip_Lookup[#Headers]))="","",INDEX(Salary_Calculation[Earned Salary],ROW()-ROW(Payslip_Lookup[#Headers])))</f>
        <v/>
      </c>
      <c r="N409" s="174" t="str">
        <f aca="false">IF(INDEX(Salary_Calculation[Source Row],ROW()-ROW(Payslip_Lookup[#Headers]))="","",INDEX(Salary_Calculation[Orders Counted at Base Rate],ROW()-ROW(Payslip_Lookup[#Headers])))</f>
        <v/>
      </c>
      <c r="O409" s="174" t="str">
        <f aca="false">IF(INDEX(Salary_Calculation[Source Row],ROW()-ROW(Payslip_Lookup[#Headers]))="","",INDEX(Salary_Calculation[Missing Orders],ROW()-ROW(Payslip_Lookup[#Headers])))</f>
        <v/>
      </c>
      <c r="P409" s="176" t="str">
        <f aca="false">IF(INDEX(Salary_Calculation[Source Row],ROW()-ROW(Payslip_Lookup[#Headers]))="","",INDEX(Salary_Calculation[Missing-Order Deduction],ROW()-ROW(Payslip_Lookup[#Headers])))</f>
        <v/>
      </c>
      <c r="Q409" s="174" t="str">
        <f aca="false">IF(INDEX(Salary_Calculation[Source Row],ROW()-ROW(Payslip_Lookup[#Headers]))="","",INDEX(Salary_Calculation[Extra Orders],ROW()-ROW(Payslip_Lookup[#Headers])))</f>
        <v/>
      </c>
      <c r="R409" s="176" t="str">
        <f aca="false">IF(INDEX(Salary_Calculation[Source Row],ROW()-ROW(Payslip_Lookup[#Headers]))="","",INDEX(Salary_Calculation[Extra-Order Bonus],ROW()-ROW(Payslip_Lookup[#Headers])))</f>
        <v/>
      </c>
      <c r="S409" s="176" t="str">
        <f aca="false">IF(INDEX(Salary_Calculation[Source Row],ROW()-ROW(Payslip_Lookup[#Headers]))="","",INDEX(Salary_Calculation[Basic Salary for Target],ROW()-ROW(Payslip_Lookup[#Headers])))</f>
        <v/>
      </c>
      <c r="T409" s="176" t="str">
        <f aca="false">IF(INDEX(Salary_Calculation[Source Row],ROW()-ROW(Payslip_Lookup[#Headers]))="","",INDEX(Salary_Calculation[Gross Salary Before Deductions],ROW()-ROW(Payslip_Lookup[#Headers])))</f>
        <v/>
      </c>
      <c r="U409" s="176" t="str">
        <f aca="false">IF(INDEX(Salary_Calculation[Source Row],ROW()-ROW(Payslip_Lookup[#Headers]))="","",INDEX(Salary_Calculation[missed_days_penalty],ROW()-ROW(Payslip_Lookup[#Headers])))</f>
        <v/>
      </c>
      <c r="V409" s="176" t="str">
        <f aca="false">IF(INDEX(Salary_Calculation[Source Row],ROW()-ROW(Payslip_Lookup[#Headers]))="","",INDEX(Salary_Calculation[Rider Balance],ROW()-ROW(Payslip_Lookup[#Headers])))</f>
        <v/>
      </c>
      <c r="W409" s="176" t="str">
        <f aca="false">IF(INDEX(Salary_Calculation[Source Row],ROW()-ROW(Payslip_Lookup[#Headers]))="","",INDEX(Salary_Calculation[stacking_deduction],ROW()-ROW(Payslip_Lookup[#Headers])))</f>
        <v/>
      </c>
      <c r="X409" s="176" t="str">
        <f aca="false">IF(INDEX(Salary_Calculation[Source Row],ROW()-ROW(Payslip_Lookup[#Headers]))="","",INDEX(Salary_Calculation[Other Deductions],ROW()-ROW(Payslip_Lookup[#Headers])))</f>
        <v/>
      </c>
      <c r="Y409" s="176" t="str">
        <f aca="false">IF(INDEX(Salary_Calculation[Source Row],ROW()-ROW(Payslip_Lookup[#Headers]))="","",INDEX(Salary_Calculation[Total Deductions],ROW()-ROW(Payslip_Lookup[#Headers])))</f>
        <v/>
      </c>
      <c r="Z409" s="176" t="str">
        <f aca="false">IF(INDEX(Salary_Calculation[Source Row],ROW()-ROW(Payslip_Lookup[#Headers]))="","",INDEX(Salary_Calculation[Final Salary],ROW()-ROW(Payslip_Lookup[#Headers])))</f>
        <v/>
      </c>
      <c r="AA409" s="176" t="str">
        <f aca="false">IF(INDEX(Salary_Calculation[Source Row],ROW()-ROW(Payslip_Lookup[#Headers]))="","",INDEX(Salary_Calculation[Negative Balance / Amount Due from Rider],ROW()-ROW(Payslip_Lookup[#Headers])))</f>
        <v/>
      </c>
      <c r="AB409" s="176" t="str">
        <f aca="false">IF(INDEX(Salary_Calculation[Source Row],ROW()-ROW(Payslip_Lookup[#Headers]))="","",INDEX(Salary_Calculation[Total Amount Due from Rider],ROW()-ROW(Payslip_Lookup[#Headers])))</f>
        <v/>
      </c>
      <c r="AC409" s="176" t="str">
        <f aca="false">IF(INDEX(Salary_Calculation[Source Row],ROW()-ROW(Payslip_Lookup[#Headers]))="","",INDEX(Salary_Calculation[Salary Before Other Deductions],ROW()-ROW(Payslip_Lookup[#Headers])))</f>
        <v/>
      </c>
      <c r="AD409" s="171" t="str">
        <f aca="false">IF(INDEX(Salary_Calculation[Source Row],ROW()-ROW(Payslip_Lookup[#Headers]))="","",INDEX(Salary_Calculation[Payment Status],ROW()-ROW(Payslip_Lookup[#Headers])))</f>
        <v/>
      </c>
      <c r="AE409" s="171" t="str">
        <f aca="false">IF(INDEX(Salary_Calculation[Source Row],ROW()-ROW(Payslip_Lookup[#Headers]))="","",INDEX(Salary_Calculation[Notes],ROW()-ROW(Payslip_Lookup[#Headers])))</f>
        <v/>
      </c>
      <c r="AF409" s="171" t="str">
        <f aca="false">IF(INDEX(Salary_Calculation[Source Row],ROW()-ROW(Payslip_Lookup[#Headers]))="","",INDEX(Salary_Calculation[Exception Reason],ROW()-ROW(Payslip_Lookup[#Headers])))</f>
        <v/>
      </c>
      <c r="AG409" s="173" t="str">
        <f aca="false">IF($AD409="Review Required",COUNTIF(AD$2:AD409,"Review Required"),"")</f>
        <v/>
      </c>
      <c r="AH409" s="173" t="str">
        <f aca="false">IF(AND($D409&lt;&gt;"",$B409=Payslip_Print!$C$2),MAX(AH$1:AH408)+1,"")</f>
        <v/>
      </c>
      <c r="AL409" s="178" t="str">
        <f aca="false">IFERROR(INDEX($D$2:$D$501,MATCH(ROW()-1,$AH$2:$AH$501,0)),"")</f>
        <v/>
      </c>
      <c r="AM409" s="179" t="str">
        <f aca="false">IF($Z409="","",IF(AND($C409&gt;=Dash_Start,$C409&lt;Dash_End),$Z409+ROW()/10000000,""))</f>
        <v/>
      </c>
    </row>
    <row r="410" customFormat="false" ht="14.25" hidden="false" customHeight="false" outlineLevel="0" collapsed="false">
      <c r="A410" s="171" t="str">
        <f aca="false">IF(Payslip_Lookup[[#This Row],[Rider ID]]="","",Payslip_Lookup[[#This Row],[Rider ID]]&amp;"|"&amp;Payslip_Lookup[[#This Row],[Month Key]])</f>
        <v/>
      </c>
      <c r="B410" s="172" t="str">
        <f aca="false">IF(ISNUMBER(Payslip_Lookup[[#This Row],[Salary Month]]),DATE(YEAR(Payslip_Lookup[[#This Row],[Salary Month]]),MONTH(Payslip_Lookup[[#This Row],[Salary Month]]),1),"")</f>
        <v/>
      </c>
      <c r="C410" s="172" t="str">
        <f aca="false">IF(INDEX(Salary_Calculation[Source Row],ROW()-ROW(Payslip_Lookup[#Headers]))="","",INDEX(Salary_Calculation[Salary Month],ROW()-ROW(Payslip_Lookup[#Headers])))</f>
        <v/>
      </c>
      <c r="D410" s="173" t="str">
        <f aca="false">IF(INDEX(Salary_Calculation[Source Row],ROW()-ROW(Payslip_Lookup[#Headers]))="","",INDEX(Salary_Calculation[Rider ID],ROW()-ROW(Payslip_Lookup[#Headers])))</f>
        <v/>
      </c>
      <c r="E410" s="171" t="str">
        <f aca="false">IF(INDEX(Salary_Calculation[Source Row],ROW()-ROW(Payslip_Lookup[#Headers]))="","",INDEX(Salary_Calculation[Rider Name],ROW()-ROW(Payslip_Lookup[#Headers])))</f>
        <v/>
      </c>
      <c r="F410" s="173" t="str">
        <f aca="false">IF(INDEX(Salary_Calculation[Source Row],ROW()-ROW(Payslip_Lookup[#Headers]))="","",INDEX(Salary_Calculation[Working Days],ROW()-ROW(Payslip_Lookup[#Headers])))</f>
        <v/>
      </c>
      <c r="G410" s="173" t="str">
        <f aca="false">IF(INDEX(Salary_Calculation[Source Row],ROW()-ROW(Payslip_Lookup[#Headers]))="","",INDEX(Salary_Calculation[Calendar Days],ROW()-ROW(Payslip_Lookup[#Headers])))</f>
        <v/>
      </c>
      <c r="H410" s="174" t="str">
        <f aca="false">IF(INDEX(Salary_Calculation[Source Row],ROW()-ROW(Payslip_Lookup[#Headers]))="","",INDEX(Salary_Calculation[Monthly Target Orders],ROW()-ROW(Payslip_Lookup[#Headers])))</f>
        <v/>
      </c>
      <c r="I410" s="174" t="str">
        <f aca="false">IF(INDEX(Salary_Calculation[Source Row],ROW()-ROW(Payslip_Lookup[#Headers]))="","",INDEX(Salary_Calculation[Rider Target Orders],ROW()-ROW(Payslip_Lookup[#Headers])))</f>
        <v/>
      </c>
      <c r="J410" s="175" t="str">
        <f aca="false">IF(INDEX(Salary_Calculation[Source Row],ROW()-ROW(Payslip_Lookup[#Headers]))="","",INDEX(Salary_Calculation[Completed Orders],ROW()-ROW(Payslip_Lookup[#Headers])))</f>
        <v/>
      </c>
      <c r="K410" s="174" t="str">
        <f aca="false">IF(INDEX(Salary_Calculation[Source Row],ROW()-ROW(Payslip_Lookup[#Headers]))="","",INDEX(Salary_Calculation[Base Order Rate],ROW()-ROW(Payslip_Lookup[#Headers])))</f>
        <v/>
      </c>
      <c r="L410" s="176" t="str">
        <f aca="false">IF(INDEX(Salary_Calculation[Source Row],ROW()-ROW(Payslip_Lookup[#Headers]))="","",INDEX(Salary_Calculation[Basic Payment],ROW()-ROW(Payslip_Lookup[#Headers])))</f>
        <v/>
      </c>
      <c r="M410" s="176" t="str">
        <f aca="false">IF(INDEX(Salary_Calculation[Source Row],ROW()-ROW(Payslip_Lookup[#Headers]))="","",INDEX(Salary_Calculation[Earned Salary],ROW()-ROW(Payslip_Lookup[#Headers])))</f>
        <v/>
      </c>
      <c r="N410" s="174" t="str">
        <f aca="false">IF(INDEX(Salary_Calculation[Source Row],ROW()-ROW(Payslip_Lookup[#Headers]))="","",INDEX(Salary_Calculation[Orders Counted at Base Rate],ROW()-ROW(Payslip_Lookup[#Headers])))</f>
        <v/>
      </c>
      <c r="O410" s="174" t="str">
        <f aca="false">IF(INDEX(Salary_Calculation[Source Row],ROW()-ROW(Payslip_Lookup[#Headers]))="","",INDEX(Salary_Calculation[Missing Orders],ROW()-ROW(Payslip_Lookup[#Headers])))</f>
        <v/>
      </c>
      <c r="P410" s="176" t="str">
        <f aca="false">IF(INDEX(Salary_Calculation[Source Row],ROW()-ROW(Payslip_Lookup[#Headers]))="","",INDEX(Salary_Calculation[Missing-Order Deduction],ROW()-ROW(Payslip_Lookup[#Headers])))</f>
        <v/>
      </c>
      <c r="Q410" s="174" t="str">
        <f aca="false">IF(INDEX(Salary_Calculation[Source Row],ROW()-ROW(Payslip_Lookup[#Headers]))="","",INDEX(Salary_Calculation[Extra Orders],ROW()-ROW(Payslip_Lookup[#Headers])))</f>
        <v/>
      </c>
      <c r="R410" s="176" t="str">
        <f aca="false">IF(INDEX(Salary_Calculation[Source Row],ROW()-ROW(Payslip_Lookup[#Headers]))="","",INDEX(Salary_Calculation[Extra-Order Bonus],ROW()-ROW(Payslip_Lookup[#Headers])))</f>
        <v/>
      </c>
      <c r="S410" s="176" t="str">
        <f aca="false">IF(INDEX(Salary_Calculation[Source Row],ROW()-ROW(Payslip_Lookup[#Headers]))="","",INDEX(Salary_Calculation[Basic Salary for Target],ROW()-ROW(Payslip_Lookup[#Headers])))</f>
        <v/>
      </c>
      <c r="T410" s="176" t="str">
        <f aca="false">IF(INDEX(Salary_Calculation[Source Row],ROW()-ROW(Payslip_Lookup[#Headers]))="","",INDEX(Salary_Calculation[Gross Salary Before Deductions],ROW()-ROW(Payslip_Lookup[#Headers])))</f>
        <v/>
      </c>
      <c r="U410" s="176" t="str">
        <f aca="false">IF(INDEX(Salary_Calculation[Source Row],ROW()-ROW(Payslip_Lookup[#Headers]))="","",INDEX(Salary_Calculation[missed_days_penalty],ROW()-ROW(Payslip_Lookup[#Headers])))</f>
        <v/>
      </c>
      <c r="V410" s="176" t="str">
        <f aca="false">IF(INDEX(Salary_Calculation[Source Row],ROW()-ROW(Payslip_Lookup[#Headers]))="","",INDEX(Salary_Calculation[Rider Balance],ROW()-ROW(Payslip_Lookup[#Headers])))</f>
        <v/>
      </c>
      <c r="W410" s="176" t="str">
        <f aca="false">IF(INDEX(Salary_Calculation[Source Row],ROW()-ROW(Payslip_Lookup[#Headers]))="","",INDEX(Salary_Calculation[stacking_deduction],ROW()-ROW(Payslip_Lookup[#Headers])))</f>
        <v/>
      </c>
      <c r="X410" s="176" t="str">
        <f aca="false">IF(INDEX(Salary_Calculation[Source Row],ROW()-ROW(Payslip_Lookup[#Headers]))="","",INDEX(Salary_Calculation[Other Deductions],ROW()-ROW(Payslip_Lookup[#Headers])))</f>
        <v/>
      </c>
      <c r="Y410" s="176" t="str">
        <f aca="false">IF(INDEX(Salary_Calculation[Source Row],ROW()-ROW(Payslip_Lookup[#Headers]))="","",INDEX(Salary_Calculation[Total Deductions],ROW()-ROW(Payslip_Lookup[#Headers])))</f>
        <v/>
      </c>
      <c r="Z410" s="176" t="str">
        <f aca="false">IF(INDEX(Salary_Calculation[Source Row],ROW()-ROW(Payslip_Lookup[#Headers]))="","",INDEX(Salary_Calculation[Final Salary],ROW()-ROW(Payslip_Lookup[#Headers])))</f>
        <v/>
      </c>
      <c r="AA410" s="176" t="str">
        <f aca="false">IF(INDEX(Salary_Calculation[Source Row],ROW()-ROW(Payslip_Lookup[#Headers]))="","",INDEX(Salary_Calculation[Negative Balance / Amount Due from Rider],ROW()-ROW(Payslip_Lookup[#Headers])))</f>
        <v/>
      </c>
      <c r="AB410" s="176" t="str">
        <f aca="false">IF(INDEX(Salary_Calculation[Source Row],ROW()-ROW(Payslip_Lookup[#Headers]))="","",INDEX(Salary_Calculation[Total Amount Due from Rider],ROW()-ROW(Payslip_Lookup[#Headers])))</f>
        <v/>
      </c>
      <c r="AC410" s="176" t="str">
        <f aca="false">IF(INDEX(Salary_Calculation[Source Row],ROW()-ROW(Payslip_Lookup[#Headers]))="","",INDEX(Salary_Calculation[Salary Before Other Deductions],ROW()-ROW(Payslip_Lookup[#Headers])))</f>
        <v/>
      </c>
      <c r="AD410" s="171" t="str">
        <f aca="false">IF(INDEX(Salary_Calculation[Source Row],ROW()-ROW(Payslip_Lookup[#Headers]))="","",INDEX(Salary_Calculation[Payment Status],ROW()-ROW(Payslip_Lookup[#Headers])))</f>
        <v/>
      </c>
      <c r="AE410" s="171" t="str">
        <f aca="false">IF(INDEX(Salary_Calculation[Source Row],ROW()-ROW(Payslip_Lookup[#Headers]))="","",INDEX(Salary_Calculation[Notes],ROW()-ROW(Payslip_Lookup[#Headers])))</f>
        <v/>
      </c>
      <c r="AF410" s="171" t="str">
        <f aca="false">IF(INDEX(Salary_Calculation[Source Row],ROW()-ROW(Payslip_Lookup[#Headers]))="","",INDEX(Salary_Calculation[Exception Reason],ROW()-ROW(Payslip_Lookup[#Headers])))</f>
        <v/>
      </c>
      <c r="AG410" s="173" t="str">
        <f aca="false">IF($AD410="Review Required",COUNTIF(AD$2:AD410,"Review Required"),"")</f>
        <v/>
      </c>
      <c r="AH410" s="173" t="str">
        <f aca="false">IF(AND($D410&lt;&gt;"",$B410=Payslip_Print!$C$2),MAX(AH$1:AH409)+1,"")</f>
        <v/>
      </c>
      <c r="AL410" s="178" t="str">
        <f aca="false">IFERROR(INDEX($D$2:$D$501,MATCH(ROW()-1,$AH$2:$AH$501,0)),"")</f>
        <v/>
      </c>
      <c r="AM410" s="179" t="str">
        <f aca="false">IF($Z410="","",IF(AND($C410&gt;=Dash_Start,$C410&lt;Dash_End),$Z410+ROW()/10000000,""))</f>
        <v/>
      </c>
    </row>
    <row r="411" customFormat="false" ht="14.25" hidden="false" customHeight="false" outlineLevel="0" collapsed="false">
      <c r="A411" s="171" t="str">
        <f aca="false">IF(Payslip_Lookup[[#This Row],[Rider ID]]="","",Payslip_Lookup[[#This Row],[Rider ID]]&amp;"|"&amp;Payslip_Lookup[[#This Row],[Month Key]])</f>
        <v/>
      </c>
      <c r="B411" s="172" t="str">
        <f aca="false">IF(ISNUMBER(Payslip_Lookup[[#This Row],[Salary Month]]),DATE(YEAR(Payslip_Lookup[[#This Row],[Salary Month]]),MONTH(Payslip_Lookup[[#This Row],[Salary Month]]),1),"")</f>
        <v/>
      </c>
      <c r="C411" s="172" t="str">
        <f aca="false">IF(INDEX(Salary_Calculation[Source Row],ROW()-ROW(Payslip_Lookup[#Headers]))="","",INDEX(Salary_Calculation[Salary Month],ROW()-ROW(Payslip_Lookup[#Headers])))</f>
        <v/>
      </c>
      <c r="D411" s="173" t="str">
        <f aca="false">IF(INDEX(Salary_Calculation[Source Row],ROW()-ROW(Payslip_Lookup[#Headers]))="","",INDEX(Salary_Calculation[Rider ID],ROW()-ROW(Payslip_Lookup[#Headers])))</f>
        <v/>
      </c>
      <c r="E411" s="171" t="str">
        <f aca="false">IF(INDEX(Salary_Calculation[Source Row],ROW()-ROW(Payslip_Lookup[#Headers]))="","",INDEX(Salary_Calculation[Rider Name],ROW()-ROW(Payslip_Lookup[#Headers])))</f>
        <v/>
      </c>
      <c r="F411" s="173" t="str">
        <f aca="false">IF(INDEX(Salary_Calculation[Source Row],ROW()-ROW(Payslip_Lookup[#Headers]))="","",INDEX(Salary_Calculation[Working Days],ROW()-ROW(Payslip_Lookup[#Headers])))</f>
        <v/>
      </c>
      <c r="G411" s="173" t="str">
        <f aca="false">IF(INDEX(Salary_Calculation[Source Row],ROW()-ROW(Payslip_Lookup[#Headers]))="","",INDEX(Salary_Calculation[Calendar Days],ROW()-ROW(Payslip_Lookup[#Headers])))</f>
        <v/>
      </c>
      <c r="H411" s="174" t="str">
        <f aca="false">IF(INDEX(Salary_Calculation[Source Row],ROW()-ROW(Payslip_Lookup[#Headers]))="","",INDEX(Salary_Calculation[Monthly Target Orders],ROW()-ROW(Payslip_Lookup[#Headers])))</f>
        <v/>
      </c>
      <c r="I411" s="174" t="str">
        <f aca="false">IF(INDEX(Salary_Calculation[Source Row],ROW()-ROW(Payslip_Lookup[#Headers]))="","",INDEX(Salary_Calculation[Rider Target Orders],ROW()-ROW(Payslip_Lookup[#Headers])))</f>
        <v/>
      </c>
      <c r="J411" s="175" t="str">
        <f aca="false">IF(INDEX(Salary_Calculation[Source Row],ROW()-ROW(Payslip_Lookup[#Headers]))="","",INDEX(Salary_Calculation[Completed Orders],ROW()-ROW(Payslip_Lookup[#Headers])))</f>
        <v/>
      </c>
      <c r="K411" s="174" t="str">
        <f aca="false">IF(INDEX(Salary_Calculation[Source Row],ROW()-ROW(Payslip_Lookup[#Headers]))="","",INDEX(Salary_Calculation[Base Order Rate],ROW()-ROW(Payslip_Lookup[#Headers])))</f>
        <v/>
      </c>
      <c r="L411" s="176" t="str">
        <f aca="false">IF(INDEX(Salary_Calculation[Source Row],ROW()-ROW(Payslip_Lookup[#Headers]))="","",INDEX(Salary_Calculation[Basic Payment],ROW()-ROW(Payslip_Lookup[#Headers])))</f>
        <v/>
      </c>
      <c r="M411" s="176" t="str">
        <f aca="false">IF(INDEX(Salary_Calculation[Source Row],ROW()-ROW(Payslip_Lookup[#Headers]))="","",INDEX(Salary_Calculation[Earned Salary],ROW()-ROW(Payslip_Lookup[#Headers])))</f>
        <v/>
      </c>
      <c r="N411" s="174" t="str">
        <f aca="false">IF(INDEX(Salary_Calculation[Source Row],ROW()-ROW(Payslip_Lookup[#Headers]))="","",INDEX(Salary_Calculation[Orders Counted at Base Rate],ROW()-ROW(Payslip_Lookup[#Headers])))</f>
        <v/>
      </c>
      <c r="O411" s="174" t="str">
        <f aca="false">IF(INDEX(Salary_Calculation[Source Row],ROW()-ROW(Payslip_Lookup[#Headers]))="","",INDEX(Salary_Calculation[Missing Orders],ROW()-ROW(Payslip_Lookup[#Headers])))</f>
        <v/>
      </c>
      <c r="P411" s="176" t="str">
        <f aca="false">IF(INDEX(Salary_Calculation[Source Row],ROW()-ROW(Payslip_Lookup[#Headers]))="","",INDEX(Salary_Calculation[Missing-Order Deduction],ROW()-ROW(Payslip_Lookup[#Headers])))</f>
        <v/>
      </c>
      <c r="Q411" s="174" t="str">
        <f aca="false">IF(INDEX(Salary_Calculation[Source Row],ROW()-ROW(Payslip_Lookup[#Headers]))="","",INDEX(Salary_Calculation[Extra Orders],ROW()-ROW(Payslip_Lookup[#Headers])))</f>
        <v/>
      </c>
      <c r="R411" s="176" t="str">
        <f aca="false">IF(INDEX(Salary_Calculation[Source Row],ROW()-ROW(Payslip_Lookup[#Headers]))="","",INDEX(Salary_Calculation[Extra-Order Bonus],ROW()-ROW(Payslip_Lookup[#Headers])))</f>
        <v/>
      </c>
      <c r="S411" s="176" t="str">
        <f aca="false">IF(INDEX(Salary_Calculation[Source Row],ROW()-ROW(Payslip_Lookup[#Headers]))="","",INDEX(Salary_Calculation[Basic Salary for Target],ROW()-ROW(Payslip_Lookup[#Headers])))</f>
        <v/>
      </c>
      <c r="T411" s="176" t="str">
        <f aca="false">IF(INDEX(Salary_Calculation[Source Row],ROW()-ROW(Payslip_Lookup[#Headers]))="","",INDEX(Salary_Calculation[Gross Salary Before Deductions],ROW()-ROW(Payslip_Lookup[#Headers])))</f>
        <v/>
      </c>
      <c r="U411" s="176" t="str">
        <f aca="false">IF(INDEX(Salary_Calculation[Source Row],ROW()-ROW(Payslip_Lookup[#Headers]))="","",INDEX(Salary_Calculation[missed_days_penalty],ROW()-ROW(Payslip_Lookup[#Headers])))</f>
        <v/>
      </c>
      <c r="V411" s="176" t="str">
        <f aca="false">IF(INDEX(Salary_Calculation[Source Row],ROW()-ROW(Payslip_Lookup[#Headers]))="","",INDEX(Salary_Calculation[Rider Balance],ROW()-ROW(Payslip_Lookup[#Headers])))</f>
        <v/>
      </c>
      <c r="W411" s="176" t="str">
        <f aca="false">IF(INDEX(Salary_Calculation[Source Row],ROW()-ROW(Payslip_Lookup[#Headers]))="","",INDEX(Salary_Calculation[stacking_deduction],ROW()-ROW(Payslip_Lookup[#Headers])))</f>
        <v/>
      </c>
      <c r="X411" s="176" t="str">
        <f aca="false">IF(INDEX(Salary_Calculation[Source Row],ROW()-ROW(Payslip_Lookup[#Headers]))="","",INDEX(Salary_Calculation[Other Deductions],ROW()-ROW(Payslip_Lookup[#Headers])))</f>
        <v/>
      </c>
      <c r="Y411" s="176" t="str">
        <f aca="false">IF(INDEX(Salary_Calculation[Source Row],ROW()-ROW(Payslip_Lookup[#Headers]))="","",INDEX(Salary_Calculation[Total Deductions],ROW()-ROW(Payslip_Lookup[#Headers])))</f>
        <v/>
      </c>
      <c r="Z411" s="176" t="str">
        <f aca="false">IF(INDEX(Salary_Calculation[Source Row],ROW()-ROW(Payslip_Lookup[#Headers]))="","",INDEX(Salary_Calculation[Final Salary],ROW()-ROW(Payslip_Lookup[#Headers])))</f>
        <v/>
      </c>
      <c r="AA411" s="176" t="str">
        <f aca="false">IF(INDEX(Salary_Calculation[Source Row],ROW()-ROW(Payslip_Lookup[#Headers]))="","",INDEX(Salary_Calculation[Negative Balance / Amount Due from Rider],ROW()-ROW(Payslip_Lookup[#Headers])))</f>
        <v/>
      </c>
      <c r="AB411" s="176" t="str">
        <f aca="false">IF(INDEX(Salary_Calculation[Source Row],ROW()-ROW(Payslip_Lookup[#Headers]))="","",INDEX(Salary_Calculation[Total Amount Due from Rider],ROW()-ROW(Payslip_Lookup[#Headers])))</f>
        <v/>
      </c>
      <c r="AC411" s="176" t="str">
        <f aca="false">IF(INDEX(Salary_Calculation[Source Row],ROW()-ROW(Payslip_Lookup[#Headers]))="","",INDEX(Salary_Calculation[Salary Before Other Deductions],ROW()-ROW(Payslip_Lookup[#Headers])))</f>
        <v/>
      </c>
      <c r="AD411" s="171" t="str">
        <f aca="false">IF(INDEX(Salary_Calculation[Source Row],ROW()-ROW(Payslip_Lookup[#Headers]))="","",INDEX(Salary_Calculation[Payment Status],ROW()-ROW(Payslip_Lookup[#Headers])))</f>
        <v/>
      </c>
      <c r="AE411" s="171" t="str">
        <f aca="false">IF(INDEX(Salary_Calculation[Source Row],ROW()-ROW(Payslip_Lookup[#Headers]))="","",INDEX(Salary_Calculation[Notes],ROW()-ROW(Payslip_Lookup[#Headers])))</f>
        <v/>
      </c>
      <c r="AF411" s="171" t="str">
        <f aca="false">IF(INDEX(Salary_Calculation[Source Row],ROW()-ROW(Payslip_Lookup[#Headers]))="","",INDEX(Salary_Calculation[Exception Reason],ROW()-ROW(Payslip_Lookup[#Headers])))</f>
        <v/>
      </c>
      <c r="AG411" s="173" t="str">
        <f aca="false">IF($AD411="Review Required",COUNTIF(AD$2:AD411,"Review Required"),"")</f>
        <v/>
      </c>
      <c r="AH411" s="173" t="str">
        <f aca="false">IF(AND($D411&lt;&gt;"",$B411=Payslip_Print!$C$2),MAX(AH$1:AH410)+1,"")</f>
        <v/>
      </c>
      <c r="AL411" s="178" t="str">
        <f aca="false">IFERROR(INDEX($D$2:$D$501,MATCH(ROW()-1,$AH$2:$AH$501,0)),"")</f>
        <v/>
      </c>
      <c r="AM411" s="179" t="str">
        <f aca="false">IF($Z411="","",IF(AND($C411&gt;=Dash_Start,$C411&lt;Dash_End),$Z411+ROW()/10000000,""))</f>
        <v/>
      </c>
    </row>
    <row r="412" customFormat="false" ht="14.25" hidden="false" customHeight="false" outlineLevel="0" collapsed="false">
      <c r="A412" s="171" t="str">
        <f aca="false">IF(Payslip_Lookup[[#This Row],[Rider ID]]="","",Payslip_Lookup[[#This Row],[Rider ID]]&amp;"|"&amp;Payslip_Lookup[[#This Row],[Month Key]])</f>
        <v/>
      </c>
      <c r="B412" s="172" t="str">
        <f aca="false">IF(ISNUMBER(Payslip_Lookup[[#This Row],[Salary Month]]),DATE(YEAR(Payslip_Lookup[[#This Row],[Salary Month]]),MONTH(Payslip_Lookup[[#This Row],[Salary Month]]),1),"")</f>
        <v/>
      </c>
      <c r="C412" s="172" t="str">
        <f aca="false">IF(INDEX(Salary_Calculation[Source Row],ROW()-ROW(Payslip_Lookup[#Headers]))="","",INDEX(Salary_Calculation[Salary Month],ROW()-ROW(Payslip_Lookup[#Headers])))</f>
        <v/>
      </c>
      <c r="D412" s="173" t="str">
        <f aca="false">IF(INDEX(Salary_Calculation[Source Row],ROW()-ROW(Payslip_Lookup[#Headers]))="","",INDEX(Salary_Calculation[Rider ID],ROW()-ROW(Payslip_Lookup[#Headers])))</f>
        <v/>
      </c>
      <c r="E412" s="171" t="str">
        <f aca="false">IF(INDEX(Salary_Calculation[Source Row],ROW()-ROW(Payslip_Lookup[#Headers]))="","",INDEX(Salary_Calculation[Rider Name],ROW()-ROW(Payslip_Lookup[#Headers])))</f>
        <v/>
      </c>
      <c r="F412" s="173" t="str">
        <f aca="false">IF(INDEX(Salary_Calculation[Source Row],ROW()-ROW(Payslip_Lookup[#Headers]))="","",INDEX(Salary_Calculation[Working Days],ROW()-ROW(Payslip_Lookup[#Headers])))</f>
        <v/>
      </c>
      <c r="G412" s="173" t="str">
        <f aca="false">IF(INDEX(Salary_Calculation[Source Row],ROW()-ROW(Payslip_Lookup[#Headers]))="","",INDEX(Salary_Calculation[Calendar Days],ROW()-ROW(Payslip_Lookup[#Headers])))</f>
        <v/>
      </c>
      <c r="H412" s="174" t="str">
        <f aca="false">IF(INDEX(Salary_Calculation[Source Row],ROW()-ROW(Payslip_Lookup[#Headers]))="","",INDEX(Salary_Calculation[Monthly Target Orders],ROW()-ROW(Payslip_Lookup[#Headers])))</f>
        <v/>
      </c>
      <c r="I412" s="174" t="str">
        <f aca="false">IF(INDEX(Salary_Calculation[Source Row],ROW()-ROW(Payslip_Lookup[#Headers]))="","",INDEX(Salary_Calculation[Rider Target Orders],ROW()-ROW(Payslip_Lookup[#Headers])))</f>
        <v/>
      </c>
      <c r="J412" s="175" t="str">
        <f aca="false">IF(INDEX(Salary_Calculation[Source Row],ROW()-ROW(Payslip_Lookup[#Headers]))="","",INDEX(Salary_Calculation[Completed Orders],ROW()-ROW(Payslip_Lookup[#Headers])))</f>
        <v/>
      </c>
      <c r="K412" s="174" t="str">
        <f aca="false">IF(INDEX(Salary_Calculation[Source Row],ROW()-ROW(Payslip_Lookup[#Headers]))="","",INDEX(Salary_Calculation[Base Order Rate],ROW()-ROW(Payslip_Lookup[#Headers])))</f>
        <v/>
      </c>
      <c r="L412" s="176" t="str">
        <f aca="false">IF(INDEX(Salary_Calculation[Source Row],ROW()-ROW(Payslip_Lookup[#Headers]))="","",INDEX(Salary_Calculation[Basic Payment],ROW()-ROW(Payslip_Lookup[#Headers])))</f>
        <v/>
      </c>
      <c r="M412" s="176" t="str">
        <f aca="false">IF(INDEX(Salary_Calculation[Source Row],ROW()-ROW(Payslip_Lookup[#Headers]))="","",INDEX(Salary_Calculation[Earned Salary],ROW()-ROW(Payslip_Lookup[#Headers])))</f>
        <v/>
      </c>
      <c r="N412" s="174" t="str">
        <f aca="false">IF(INDEX(Salary_Calculation[Source Row],ROW()-ROW(Payslip_Lookup[#Headers]))="","",INDEX(Salary_Calculation[Orders Counted at Base Rate],ROW()-ROW(Payslip_Lookup[#Headers])))</f>
        <v/>
      </c>
      <c r="O412" s="174" t="str">
        <f aca="false">IF(INDEX(Salary_Calculation[Source Row],ROW()-ROW(Payslip_Lookup[#Headers]))="","",INDEX(Salary_Calculation[Missing Orders],ROW()-ROW(Payslip_Lookup[#Headers])))</f>
        <v/>
      </c>
      <c r="P412" s="176" t="str">
        <f aca="false">IF(INDEX(Salary_Calculation[Source Row],ROW()-ROW(Payslip_Lookup[#Headers]))="","",INDEX(Salary_Calculation[Missing-Order Deduction],ROW()-ROW(Payslip_Lookup[#Headers])))</f>
        <v/>
      </c>
      <c r="Q412" s="174" t="str">
        <f aca="false">IF(INDEX(Salary_Calculation[Source Row],ROW()-ROW(Payslip_Lookup[#Headers]))="","",INDEX(Salary_Calculation[Extra Orders],ROW()-ROW(Payslip_Lookup[#Headers])))</f>
        <v/>
      </c>
      <c r="R412" s="176" t="str">
        <f aca="false">IF(INDEX(Salary_Calculation[Source Row],ROW()-ROW(Payslip_Lookup[#Headers]))="","",INDEX(Salary_Calculation[Extra-Order Bonus],ROW()-ROW(Payslip_Lookup[#Headers])))</f>
        <v/>
      </c>
      <c r="S412" s="176" t="str">
        <f aca="false">IF(INDEX(Salary_Calculation[Source Row],ROW()-ROW(Payslip_Lookup[#Headers]))="","",INDEX(Salary_Calculation[Basic Salary for Target],ROW()-ROW(Payslip_Lookup[#Headers])))</f>
        <v/>
      </c>
      <c r="T412" s="176" t="str">
        <f aca="false">IF(INDEX(Salary_Calculation[Source Row],ROW()-ROW(Payslip_Lookup[#Headers]))="","",INDEX(Salary_Calculation[Gross Salary Before Deductions],ROW()-ROW(Payslip_Lookup[#Headers])))</f>
        <v/>
      </c>
      <c r="U412" s="176" t="str">
        <f aca="false">IF(INDEX(Salary_Calculation[Source Row],ROW()-ROW(Payslip_Lookup[#Headers]))="","",INDEX(Salary_Calculation[missed_days_penalty],ROW()-ROW(Payslip_Lookup[#Headers])))</f>
        <v/>
      </c>
      <c r="V412" s="176" t="str">
        <f aca="false">IF(INDEX(Salary_Calculation[Source Row],ROW()-ROW(Payslip_Lookup[#Headers]))="","",INDEX(Salary_Calculation[Rider Balance],ROW()-ROW(Payslip_Lookup[#Headers])))</f>
        <v/>
      </c>
      <c r="W412" s="176" t="str">
        <f aca="false">IF(INDEX(Salary_Calculation[Source Row],ROW()-ROW(Payslip_Lookup[#Headers]))="","",INDEX(Salary_Calculation[stacking_deduction],ROW()-ROW(Payslip_Lookup[#Headers])))</f>
        <v/>
      </c>
      <c r="X412" s="176" t="str">
        <f aca="false">IF(INDEX(Salary_Calculation[Source Row],ROW()-ROW(Payslip_Lookup[#Headers]))="","",INDEX(Salary_Calculation[Other Deductions],ROW()-ROW(Payslip_Lookup[#Headers])))</f>
        <v/>
      </c>
      <c r="Y412" s="176" t="str">
        <f aca="false">IF(INDEX(Salary_Calculation[Source Row],ROW()-ROW(Payslip_Lookup[#Headers]))="","",INDEX(Salary_Calculation[Total Deductions],ROW()-ROW(Payslip_Lookup[#Headers])))</f>
        <v/>
      </c>
      <c r="Z412" s="176" t="str">
        <f aca="false">IF(INDEX(Salary_Calculation[Source Row],ROW()-ROW(Payslip_Lookup[#Headers]))="","",INDEX(Salary_Calculation[Final Salary],ROW()-ROW(Payslip_Lookup[#Headers])))</f>
        <v/>
      </c>
      <c r="AA412" s="176" t="str">
        <f aca="false">IF(INDEX(Salary_Calculation[Source Row],ROW()-ROW(Payslip_Lookup[#Headers]))="","",INDEX(Salary_Calculation[Negative Balance / Amount Due from Rider],ROW()-ROW(Payslip_Lookup[#Headers])))</f>
        <v/>
      </c>
      <c r="AB412" s="176" t="str">
        <f aca="false">IF(INDEX(Salary_Calculation[Source Row],ROW()-ROW(Payslip_Lookup[#Headers]))="","",INDEX(Salary_Calculation[Total Amount Due from Rider],ROW()-ROW(Payslip_Lookup[#Headers])))</f>
        <v/>
      </c>
      <c r="AC412" s="176" t="str">
        <f aca="false">IF(INDEX(Salary_Calculation[Source Row],ROW()-ROW(Payslip_Lookup[#Headers]))="","",INDEX(Salary_Calculation[Salary Before Other Deductions],ROW()-ROW(Payslip_Lookup[#Headers])))</f>
        <v/>
      </c>
      <c r="AD412" s="171" t="str">
        <f aca="false">IF(INDEX(Salary_Calculation[Source Row],ROW()-ROW(Payslip_Lookup[#Headers]))="","",INDEX(Salary_Calculation[Payment Status],ROW()-ROW(Payslip_Lookup[#Headers])))</f>
        <v/>
      </c>
      <c r="AE412" s="171" t="str">
        <f aca="false">IF(INDEX(Salary_Calculation[Source Row],ROW()-ROW(Payslip_Lookup[#Headers]))="","",INDEX(Salary_Calculation[Notes],ROW()-ROW(Payslip_Lookup[#Headers])))</f>
        <v/>
      </c>
      <c r="AF412" s="171" t="str">
        <f aca="false">IF(INDEX(Salary_Calculation[Source Row],ROW()-ROW(Payslip_Lookup[#Headers]))="","",INDEX(Salary_Calculation[Exception Reason],ROW()-ROW(Payslip_Lookup[#Headers])))</f>
        <v/>
      </c>
      <c r="AG412" s="173" t="str">
        <f aca="false">IF($AD412="Review Required",COUNTIF(AD$2:AD412,"Review Required"),"")</f>
        <v/>
      </c>
      <c r="AH412" s="173" t="str">
        <f aca="false">IF(AND($D412&lt;&gt;"",$B412=Payslip_Print!$C$2),MAX(AH$1:AH411)+1,"")</f>
        <v/>
      </c>
      <c r="AL412" s="178" t="str">
        <f aca="false">IFERROR(INDEX($D$2:$D$501,MATCH(ROW()-1,$AH$2:$AH$501,0)),"")</f>
        <v/>
      </c>
      <c r="AM412" s="179" t="str">
        <f aca="false">IF($Z412="","",IF(AND($C412&gt;=Dash_Start,$C412&lt;Dash_End),$Z412+ROW()/10000000,""))</f>
        <v/>
      </c>
    </row>
    <row r="413" customFormat="false" ht="14.25" hidden="false" customHeight="false" outlineLevel="0" collapsed="false">
      <c r="A413" s="171" t="str">
        <f aca="false">IF(Payslip_Lookup[[#This Row],[Rider ID]]="","",Payslip_Lookup[[#This Row],[Rider ID]]&amp;"|"&amp;Payslip_Lookup[[#This Row],[Month Key]])</f>
        <v/>
      </c>
      <c r="B413" s="172" t="str">
        <f aca="false">IF(ISNUMBER(Payslip_Lookup[[#This Row],[Salary Month]]),DATE(YEAR(Payslip_Lookup[[#This Row],[Salary Month]]),MONTH(Payslip_Lookup[[#This Row],[Salary Month]]),1),"")</f>
        <v/>
      </c>
      <c r="C413" s="172" t="str">
        <f aca="false">IF(INDEX(Salary_Calculation[Source Row],ROW()-ROW(Payslip_Lookup[#Headers]))="","",INDEX(Salary_Calculation[Salary Month],ROW()-ROW(Payslip_Lookup[#Headers])))</f>
        <v/>
      </c>
      <c r="D413" s="173" t="str">
        <f aca="false">IF(INDEX(Salary_Calculation[Source Row],ROW()-ROW(Payslip_Lookup[#Headers]))="","",INDEX(Salary_Calculation[Rider ID],ROW()-ROW(Payslip_Lookup[#Headers])))</f>
        <v/>
      </c>
      <c r="E413" s="171" t="str">
        <f aca="false">IF(INDEX(Salary_Calculation[Source Row],ROW()-ROW(Payslip_Lookup[#Headers]))="","",INDEX(Salary_Calculation[Rider Name],ROW()-ROW(Payslip_Lookup[#Headers])))</f>
        <v/>
      </c>
      <c r="F413" s="173" t="str">
        <f aca="false">IF(INDEX(Salary_Calculation[Source Row],ROW()-ROW(Payslip_Lookup[#Headers]))="","",INDEX(Salary_Calculation[Working Days],ROW()-ROW(Payslip_Lookup[#Headers])))</f>
        <v/>
      </c>
      <c r="G413" s="173" t="str">
        <f aca="false">IF(INDEX(Salary_Calculation[Source Row],ROW()-ROW(Payslip_Lookup[#Headers]))="","",INDEX(Salary_Calculation[Calendar Days],ROW()-ROW(Payslip_Lookup[#Headers])))</f>
        <v/>
      </c>
      <c r="H413" s="174" t="str">
        <f aca="false">IF(INDEX(Salary_Calculation[Source Row],ROW()-ROW(Payslip_Lookup[#Headers]))="","",INDEX(Salary_Calculation[Monthly Target Orders],ROW()-ROW(Payslip_Lookup[#Headers])))</f>
        <v/>
      </c>
      <c r="I413" s="174" t="str">
        <f aca="false">IF(INDEX(Salary_Calculation[Source Row],ROW()-ROW(Payslip_Lookup[#Headers]))="","",INDEX(Salary_Calculation[Rider Target Orders],ROW()-ROW(Payslip_Lookup[#Headers])))</f>
        <v/>
      </c>
      <c r="J413" s="175" t="str">
        <f aca="false">IF(INDEX(Salary_Calculation[Source Row],ROW()-ROW(Payslip_Lookup[#Headers]))="","",INDEX(Salary_Calculation[Completed Orders],ROW()-ROW(Payslip_Lookup[#Headers])))</f>
        <v/>
      </c>
      <c r="K413" s="174" t="str">
        <f aca="false">IF(INDEX(Salary_Calculation[Source Row],ROW()-ROW(Payslip_Lookup[#Headers]))="","",INDEX(Salary_Calculation[Base Order Rate],ROW()-ROW(Payslip_Lookup[#Headers])))</f>
        <v/>
      </c>
      <c r="L413" s="176" t="str">
        <f aca="false">IF(INDEX(Salary_Calculation[Source Row],ROW()-ROW(Payslip_Lookup[#Headers]))="","",INDEX(Salary_Calculation[Basic Payment],ROW()-ROW(Payslip_Lookup[#Headers])))</f>
        <v/>
      </c>
      <c r="M413" s="176" t="str">
        <f aca="false">IF(INDEX(Salary_Calculation[Source Row],ROW()-ROW(Payslip_Lookup[#Headers]))="","",INDEX(Salary_Calculation[Earned Salary],ROW()-ROW(Payslip_Lookup[#Headers])))</f>
        <v/>
      </c>
      <c r="N413" s="174" t="str">
        <f aca="false">IF(INDEX(Salary_Calculation[Source Row],ROW()-ROW(Payslip_Lookup[#Headers]))="","",INDEX(Salary_Calculation[Orders Counted at Base Rate],ROW()-ROW(Payslip_Lookup[#Headers])))</f>
        <v/>
      </c>
      <c r="O413" s="174" t="str">
        <f aca="false">IF(INDEX(Salary_Calculation[Source Row],ROW()-ROW(Payslip_Lookup[#Headers]))="","",INDEX(Salary_Calculation[Missing Orders],ROW()-ROW(Payslip_Lookup[#Headers])))</f>
        <v/>
      </c>
      <c r="P413" s="176" t="str">
        <f aca="false">IF(INDEX(Salary_Calculation[Source Row],ROW()-ROW(Payslip_Lookup[#Headers]))="","",INDEX(Salary_Calculation[Missing-Order Deduction],ROW()-ROW(Payslip_Lookup[#Headers])))</f>
        <v/>
      </c>
      <c r="Q413" s="174" t="str">
        <f aca="false">IF(INDEX(Salary_Calculation[Source Row],ROW()-ROW(Payslip_Lookup[#Headers]))="","",INDEX(Salary_Calculation[Extra Orders],ROW()-ROW(Payslip_Lookup[#Headers])))</f>
        <v/>
      </c>
      <c r="R413" s="176" t="str">
        <f aca="false">IF(INDEX(Salary_Calculation[Source Row],ROW()-ROW(Payslip_Lookup[#Headers]))="","",INDEX(Salary_Calculation[Extra-Order Bonus],ROW()-ROW(Payslip_Lookup[#Headers])))</f>
        <v/>
      </c>
      <c r="S413" s="176" t="str">
        <f aca="false">IF(INDEX(Salary_Calculation[Source Row],ROW()-ROW(Payslip_Lookup[#Headers]))="","",INDEX(Salary_Calculation[Basic Salary for Target],ROW()-ROW(Payslip_Lookup[#Headers])))</f>
        <v/>
      </c>
      <c r="T413" s="176" t="str">
        <f aca="false">IF(INDEX(Salary_Calculation[Source Row],ROW()-ROW(Payslip_Lookup[#Headers]))="","",INDEX(Salary_Calculation[Gross Salary Before Deductions],ROW()-ROW(Payslip_Lookup[#Headers])))</f>
        <v/>
      </c>
      <c r="U413" s="176" t="str">
        <f aca="false">IF(INDEX(Salary_Calculation[Source Row],ROW()-ROW(Payslip_Lookup[#Headers]))="","",INDEX(Salary_Calculation[missed_days_penalty],ROW()-ROW(Payslip_Lookup[#Headers])))</f>
        <v/>
      </c>
      <c r="V413" s="176" t="str">
        <f aca="false">IF(INDEX(Salary_Calculation[Source Row],ROW()-ROW(Payslip_Lookup[#Headers]))="","",INDEX(Salary_Calculation[Rider Balance],ROW()-ROW(Payslip_Lookup[#Headers])))</f>
        <v/>
      </c>
      <c r="W413" s="176" t="str">
        <f aca="false">IF(INDEX(Salary_Calculation[Source Row],ROW()-ROW(Payslip_Lookup[#Headers]))="","",INDEX(Salary_Calculation[stacking_deduction],ROW()-ROW(Payslip_Lookup[#Headers])))</f>
        <v/>
      </c>
      <c r="X413" s="176" t="str">
        <f aca="false">IF(INDEX(Salary_Calculation[Source Row],ROW()-ROW(Payslip_Lookup[#Headers]))="","",INDEX(Salary_Calculation[Other Deductions],ROW()-ROW(Payslip_Lookup[#Headers])))</f>
        <v/>
      </c>
      <c r="Y413" s="176" t="str">
        <f aca="false">IF(INDEX(Salary_Calculation[Source Row],ROW()-ROW(Payslip_Lookup[#Headers]))="","",INDEX(Salary_Calculation[Total Deductions],ROW()-ROW(Payslip_Lookup[#Headers])))</f>
        <v/>
      </c>
      <c r="Z413" s="176" t="str">
        <f aca="false">IF(INDEX(Salary_Calculation[Source Row],ROW()-ROW(Payslip_Lookup[#Headers]))="","",INDEX(Salary_Calculation[Final Salary],ROW()-ROW(Payslip_Lookup[#Headers])))</f>
        <v/>
      </c>
      <c r="AA413" s="176" t="str">
        <f aca="false">IF(INDEX(Salary_Calculation[Source Row],ROW()-ROW(Payslip_Lookup[#Headers]))="","",INDEX(Salary_Calculation[Negative Balance / Amount Due from Rider],ROW()-ROW(Payslip_Lookup[#Headers])))</f>
        <v/>
      </c>
      <c r="AB413" s="176" t="str">
        <f aca="false">IF(INDEX(Salary_Calculation[Source Row],ROW()-ROW(Payslip_Lookup[#Headers]))="","",INDEX(Salary_Calculation[Total Amount Due from Rider],ROW()-ROW(Payslip_Lookup[#Headers])))</f>
        <v/>
      </c>
      <c r="AC413" s="176" t="str">
        <f aca="false">IF(INDEX(Salary_Calculation[Source Row],ROW()-ROW(Payslip_Lookup[#Headers]))="","",INDEX(Salary_Calculation[Salary Before Other Deductions],ROW()-ROW(Payslip_Lookup[#Headers])))</f>
        <v/>
      </c>
      <c r="AD413" s="171" t="str">
        <f aca="false">IF(INDEX(Salary_Calculation[Source Row],ROW()-ROW(Payslip_Lookup[#Headers]))="","",INDEX(Salary_Calculation[Payment Status],ROW()-ROW(Payslip_Lookup[#Headers])))</f>
        <v/>
      </c>
      <c r="AE413" s="171" t="str">
        <f aca="false">IF(INDEX(Salary_Calculation[Source Row],ROW()-ROW(Payslip_Lookup[#Headers]))="","",INDEX(Salary_Calculation[Notes],ROW()-ROW(Payslip_Lookup[#Headers])))</f>
        <v/>
      </c>
      <c r="AF413" s="171" t="str">
        <f aca="false">IF(INDEX(Salary_Calculation[Source Row],ROW()-ROW(Payslip_Lookup[#Headers]))="","",INDEX(Salary_Calculation[Exception Reason],ROW()-ROW(Payslip_Lookup[#Headers])))</f>
        <v/>
      </c>
      <c r="AG413" s="173" t="str">
        <f aca="false">IF($AD413="Review Required",COUNTIF(AD$2:AD413,"Review Required"),"")</f>
        <v/>
      </c>
      <c r="AH413" s="173" t="str">
        <f aca="false">IF(AND($D413&lt;&gt;"",$B413=Payslip_Print!$C$2),MAX(AH$1:AH412)+1,"")</f>
        <v/>
      </c>
      <c r="AL413" s="178" t="str">
        <f aca="false">IFERROR(INDEX($D$2:$D$501,MATCH(ROW()-1,$AH$2:$AH$501,0)),"")</f>
        <v/>
      </c>
      <c r="AM413" s="179" t="str">
        <f aca="false">IF($Z413="","",IF(AND($C413&gt;=Dash_Start,$C413&lt;Dash_End),$Z413+ROW()/10000000,""))</f>
        <v/>
      </c>
    </row>
    <row r="414" customFormat="false" ht="14.25" hidden="false" customHeight="false" outlineLevel="0" collapsed="false">
      <c r="A414" s="171" t="str">
        <f aca="false">IF(Payslip_Lookup[[#This Row],[Rider ID]]="","",Payslip_Lookup[[#This Row],[Rider ID]]&amp;"|"&amp;Payslip_Lookup[[#This Row],[Month Key]])</f>
        <v/>
      </c>
      <c r="B414" s="172" t="str">
        <f aca="false">IF(ISNUMBER(Payslip_Lookup[[#This Row],[Salary Month]]),DATE(YEAR(Payslip_Lookup[[#This Row],[Salary Month]]),MONTH(Payslip_Lookup[[#This Row],[Salary Month]]),1),"")</f>
        <v/>
      </c>
      <c r="C414" s="172" t="str">
        <f aca="false">IF(INDEX(Salary_Calculation[Source Row],ROW()-ROW(Payslip_Lookup[#Headers]))="","",INDEX(Salary_Calculation[Salary Month],ROW()-ROW(Payslip_Lookup[#Headers])))</f>
        <v/>
      </c>
      <c r="D414" s="173" t="str">
        <f aca="false">IF(INDEX(Salary_Calculation[Source Row],ROW()-ROW(Payslip_Lookup[#Headers]))="","",INDEX(Salary_Calculation[Rider ID],ROW()-ROW(Payslip_Lookup[#Headers])))</f>
        <v/>
      </c>
      <c r="E414" s="171" t="str">
        <f aca="false">IF(INDEX(Salary_Calculation[Source Row],ROW()-ROW(Payslip_Lookup[#Headers]))="","",INDEX(Salary_Calculation[Rider Name],ROW()-ROW(Payslip_Lookup[#Headers])))</f>
        <v/>
      </c>
      <c r="F414" s="173" t="str">
        <f aca="false">IF(INDEX(Salary_Calculation[Source Row],ROW()-ROW(Payslip_Lookup[#Headers]))="","",INDEX(Salary_Calculation[Working Days],ROW()-ROW(Payslip_Lookup[#Headers])))</f>
        <v/>
      </c>
      <c r="G414" s="173" t="str">
        <f aca="false">IF(INDEX(Salary_Calculation[Source Row],ROW()-ROW(Payslip_Lookup[#Headers]))="","",INDEX(Salary_Calculation[Calendar Days],ROW()-ROW(Payslip_Lookup[#Headers])))</f>
        <v/>
      </c>
      <c r="H414" s="174" t="str">
        <f aca="false">IF(INDEX(Salary_Calculation[Source Row],ROW()-ROW(Payslip_Lookup[#Headers]))="","",INDEX(Salary_Calculation[Monthly Target Orders],ROW()-ROW(Payslip_Lookup[#Headers])))</f>
        <v/>
      </c>
      <c r="I414" s="174" t="str">
        <f aca="false">IF(INDEX(Salary_Calculation[Source Row],ROW()-ROW(Payslip_Lookup[#Headers]))="","",INDEX(Salary_Calculation[Rider Target Orders],ROW()-ROW(Payslip_Lookup[#Headers])))</f>
        <v/>
      </c>
      <c r="J414" s="175" t="str">
        <f aca="false">IF(INDEX(Salary_Calculation[Source Row],ROW()-ROW(Payslip_Lookup[#Headers]))="","",INDEX(Salary_Calculation[Completed Orders],ROW()-ROW(Payslip_Lookup[#Headers])))</f>
        <v/>
      </c>
      <c r="K414" s="174" t="str">
        <f aca="false">IF(INDEX(Salary_Calculation[Source Row],ROW()-ROW(Payslip_Lookup[#Headers]))="","",INDEX(Salary_Calculation[Base Order Rate],ROW()-ROW(Payslip_Lookup[#Headers])))</f>
        <v/>
      </c>
      <c r="L414" s="176" t="str">
        <f aca="false">IF(INDEX(Salary_Calculation[Source Row],ROW()-ROW(Payslip_Lookup[#Headers]))="","",INDEX(Salary_Calculation[Basic Payment],ROW()-ROW(Payslip_Lookup[#Headers])))</f>
        <v/>
      </c>
      <c r="M414" s="176" t="str">
        <f aca="false">IF(INDEX(Salary_Calculation[Source Row],ROW()-ROW(Payslip_Lookup[#Headers]))="","",INDEX(Salary_Calculation[Earned Salary],ROW()-ROW(Payslip_Lookup[#Headers])))</f>
        <v/>
      </c>
      <c r="N414" s="174" t="str">
        <f aca="false">IF(INDEX(Salary_Calculation[Source Row],ROW()-ROW(Payslip_Lookup[#Headers]))="","",INDEX(Salary_Calculation[Orders Counted at Base Rate],ROW()-ROW(Payslip_Lookup[#Headers])))</f>
        <v/>
      </c>
      <c r="O414" s="174" t="str">
        <f aca="false">IF(INDEX(Salary_Calculation[Source Row],ROW()-ROW(Payslip_Lookup[#Headers]))="","",INDEX(Salary_Calculation[Missing Orders],ROW()-ROW(Payslip_Lookup[#Headers])))</f>
        <v/>
      </c>
      <c r="P414" s="176" t="str">
        <f aca="false">IF(INDEX(Salary_Calculation[Source Row],ROW()-ROW(Payslip_Lookup[#Headers]))="","",INDEX(Salary_Calculation[Missing-Order Deduction],ROW()-ROW(Payslip_Lookup[#Headers])))</f>
        <v/>
      </c>
      <c r="Q414" s="174" t="str">
        <f aca="false">IF(INDEX(Salary_Calculation[Source Row],ROW()-ROW(Payslip_Lookup[#Headers]))="","",INDEX(Salary_Calculation[Extra Orders],ROW()-ROW(Payslip_Lookup[#Headers])))</f>
        <v/>
      </c>
      <c r="R414" s="176" t="str">
        <f aca="false">IF(INDEX(Salary_Calculation[Source Row],ROW()-ROW(Payslip_Lookup[#Headers]))="","",INDEX(Salary_Calculation[Extra-Order Bonus],ROW()-ROW(Payslip_Lookup[#Headers])))</f>
        <v/>
      </c>
      <c r="S414" s="176" t="str">
        <f aca="false">IF(INDEX(Salary_Calculation[Source Row],ROW()-ROW(Payslip_Lookup[#Headers]))="","",INDEX(Salary_Calculation[Basic Salary for Target],ROW()-ROW(Payslip_Lookup[#Headers])))</f>
        <v/>
      </c>
      <c r="T414" s="176" t="str">
        <f aca="false">IF(INDEX(Salary_Calculation[Source Row],ROW()-ROW(Payslip_Lookup[#Headers]))="","",INDEX(Salary_Calculation[Gross Salary Before Deductions],ROW()-ROW(Payslip_Lookup[#Headers])))</f>
        <v/>
      </c>
      <c r="U414" s="176" t="str">
        <f aca="false">IF(INDEX(Salary_Calculation[Source Row],ROW()-ROW(Payslip_Lookup[#Headers]))="","",INDEX(Salary_Calculation[missed_days_penalty],ROW()-ROW(Payslip_Lookup[#Headers])))</f>
        <v/>
      </c>
      <c r="V414" s="176" t="str">
        <f aca="false">IF(INDEX(Salary_Calculation[Source Row],ROW()-ROW(Payslip_Lookup[#Headers]))="","",INDEX(Salary_Calculation[Rider Balance],ROW()-ROW(Payslip_Lookup[#Headers])))</f>
        <v/>
      </c>
      <c r="W414" s="176" t="str">
        <f aca="false">IF(INDEX(Salary_Calculation[Source Row],ROW()-ROW(Payslip_Lookup[#Headers]))="","",INDEX(Salary_Calculation[stacking_deduction],ROW()-ROW(Payslip_Lookup[#Headers])))</f>
        <v/>
      </c>
      <c r="X414" s="176" t="str">
        <f aca="false">IF(INDEX(Salary_Calculation[Source Row],ROW()-ROW(Payslip_Lookup[#Headers]))="","",INDEX(Salary_Calculation[Other Deductions],ROW()-ROW(Payslip_Lookup[#Headers])))</f>
        <v/>
      </c>
      <c r="Y414" s="176" t="str">
        <f aca="false">IF(INDEX(Salary_Calculation[Source Row],ROW()-ROW(Payslip_Lookup[#Headers]))="","",INDEX(Salary_Calculation[Total Deductions],ROW()-ROW(Payslip_Lookup[#Headers])))</f>
        <v/>
      </c>
      <c r="Z414" s="176" t="str">
        <f aca="false">IF(INDEX(Salary_Calculation[Source Row],ROW()-ROW(Payslip_Lookup[#Headers]))="","",INDEX(Salary_Calculation[Final Salary],ROW()-ROW(Payslip_Lookup[#Headers])))</f>
        <v/>
      </c>
      <c r="AA414" s="176" t="str">
        <f aca="false">IF(INDEX(Salary_Calculation[Source Row],ROW()-ROW(Payslip_Lookup[#Headers]))="","",INDEX(Salary_Calculation[Negative Balance / Amount Due from Rider],ROW()-ROW(Payslip_Lookup[#Headers])))</f>
        <v/>
      </c>
      <c r="AB414" s="176" t="str">
        <f aca="false">IF(INDEX(Salary_Calculation[Source Row],ROW()-ROW(Payslip_Lookup[#Headers]))="","",INDEX(Salary_Calculation[Total Amount Due from Rider],ROW()-ROW(Payslip_Lookup[#Headers])))</f>
        <v/>
      </c>
      <c r="AC414" s="176" t="str">
        <f aca="false">IF(INDEX(Salary_Calculation[Source Row],ROW()-ROW(Payslip_Lookup[#Headers]))="","",INDEX(Salary_Calculation[Salary Before Other Deductions],ROW()-ROW(Payslip_Lookup[#Headers])))</f>
        <v/>
      </c>
      <c r="AD414" s="171" t="str">
        <f aca="false">IF(INDEX(Salary_Calculation[Source Row],ROW()-ROW(Payslip_Lookup[#Headers]))="","",INDEX(Salary_Calculation[Payment Status],ROW()-ROW(Payslip_Lookup[#Headers])))</f>
        <v/>
      </c>
      <c r="AE414" s="171" t="str">
        <f aca="false">IF(INDEX(Salary_Calculation[Source Row],ROW()-ROW(Payslip_Lookup[#Headers]))="","",INDEX(Salary_Calculation[Notes],ROW()-ROW(Payslip_Lookup[#Headers])))</f>
        <v/>
      </c>
      <c r="AF414" s="171" t="str">
        <f aca="false">IF(INDEX(Salary_Calculation[Source Row],ROW()-ROW(Payslip_Lookup[#Headers]))="","",INDEX(Salary_Calculation[Exception Reason],ROW()-ROW(Payslip_Lookup[#Headers])))</f>
        <v/>
      </c>
      <c r="AG414" s="173" t="str">
        <f aca="false">IF($AD414="Review Required",COUNTIF(AD$2:AD414,"Review Required"),"")</f>
        <v/>
      </c>
      <c r="AH414" s="173" t="str">
        <f aca="false">IF(AND($D414&lt;&gt;"",$B414=Payslip_Print!$C$2),MAX(AH$1:AH413)+1,"")</f>
        <v/>
      </c>
      <c r="AL414" s="178" t="str">
        <f aca="false">IFERROR(INDEX($D$2:$D$501,MATCH(ROW()-1,$AH$2:$AH$501,0)),"")</f>
        <v/>
      </c>
      <c r="AM414" s="179" t="str">
        <f aca="false">IF($Z414="","",IF(AND($C414&gt;=Dash_Start,$C414&lt;Dash_End),$Z414+ROW()/10000000,""))</f>
        <v/>
      </c>
    </row>
    <row r="415" customFormat="false" ht="14.25" hidden="false" customHeight="false" outlineLevel="0" collapsed="false">
      <c r="A415" s="171" t="str">
        <f aca="false">IF(Payslip_Lookup[[#This Row],[Rider ID]]="","",Payslip_Lookup[[#This Row],[Rider ID]]&amp;"|"&amp;Payslip_Lookup[[#This Row],[Month Key]])</f>
        <v/>
      </c>
      <c r="B415" s="172" t="str">
        <f aca="false">IF(ISNUMBER(Payslip_Lookup[[#This Row],[Salary Month]]),DATE(YEAR(Payslip_Lookup[[#This Row],[Salary Month]]),MONTH(Payslip_Lookup[[#This Row],[Salary Month]]),1),"")</f>
        <v/>
      </c>
      <c r="C415" s="172" t="str">
        <f aca="false">IF(INDEX(Salary_Calculation[Source Row],ROW()-ROW(Payslip_Lookup[#Headers]))="","",INDEX(Salary_Calculation[Salary Month],ROW()-ROW(Payslip_Lookup[#Headers])))</f>
        <v/>
      </c>
      <c r="D415" s="173" t="str">
        <f aca="false">IF(INDEX(Salary_Calculation[Source Row],ROW()-ROW(Payslip_Lookup[#Headers]))="","",INDEX(Salary_Calculation[Rider ID],ROW()-ROW(Payslip_Lookup[#Headers])))</f>
        <v/>
      </c>
      <c r="E415" s="171" t="str">
        <f aca="false">IF(INDEX(Salary_Calculation[Source Row],ROW()-ROW(Payslip_Lookup[#Headers]))="","",INDEX(Salary_Calculation[Rider Name],ROW()-ROW(Payslip_Lookup[#Headers])))</f>
        <v/>
      </c>
      <c r="F415" s="173" t="str">
        <f aca="false">IF(INDEX(Salary_Calculation[Source Row],ROW()-ROW(Payslip_Lookup[#Headers]))="","",INDEX(Salary_Calculation[Working Days],ROW()-ROW(Payslip_Lookup[#Headers])))</f>
        <v/>
      </c>
      <c r="G415" s="173" t="str">
        <f aca="false">IF(INDEX(Salary_Calculation[Source Row],ROW()-ROW(Payslip_Lookup[#Headers]))="","",INDEX(Salary_Calculation[Calendar Days],ROW()-ROW(Payslip_Lookup[#Headers])))</f>
        <v/>
      </c>
      <c r="H415" s="174" t="str">
        <f aca="false">IF(INDEX(Salary_Calculation[Source Row],ROW()-ROW(Payslip_Lookup[#Headers]))="","",INDEX(Salary_Calculation[Monthly Target Orders],ROW()-ROW(Payslip_Lookup[#Headers])))</f>
        <v/>
      </c>
      <c r="I415" s="174" t="str">
        <f aca="false">IF(INDEX(Salary_Calculation[Source Row],ROW()-ROW(Payslip_Lookup[#Headers]))="","",INDEX(Salary_Calculation[Rider Target Orders],ROW()-ROW(Payslip_Lookup[#Headers])))</f>
        <v/>
      </c>
      <c r="J415" s="175" t="str">
        <f aca="false">IF(INDEX(Salary_Calculation[Source Row],ROW()-ROW(Payslip_Lookup[#Headers]))="","",INDEX(Salary_Calculation[Completed Orders],ROW()-ROW(Payslip_Lookup[#Headers])))</f>
        <v/>
      </c>
      <c r="K415" s="174" t="str">
        <f aca="false">IF(INDEX(Salary_Calculation[Source Row],ROW()-ROW(Payslip_Lookup[#Headers]))="","",INDEX(Salary_Calculation[Base Order Rate],ROW()-ROW(Payslip_Lookup[#Headers])))</f>
        <v/>
      </c>
      <c r="L415" s="176" t="str">
        <f aca="false">IF(INDEX(Salary_Calculation[Source Row],ROW()-ROW(Payslip_Lookup[#Headers]))="","",INDEX(Salary_Calculation[Basic Payment],ROW()-ROW(Payslip_Lookup[#Headers])))</f>
        <v/>
      </c>
      <c r="M415" s="176" t="str">
        <f aca="false">IF(INDEX(Salary_Calculation[Source Row],ROW()-ROW(Payslip_Lookup[#Headers]))="","",INDEX(Salary_Calculation[Earned Salary],ROW()-ROW(Payslip_Lookup[#Headers])))</f>
        <v/>
      </c>
      <c r="N415" s="174" t="str">
        <f aca="false">IF(INDEX(Salary_Calculation[Source Row],ROW()-ROW(Payslip_Lookup[#Headers]))="","",INDEX(Salary_Calculation[Orders Counted at Base Rate],ROW()-ROW(Payslip_Lookup[#Headers])))</f>
        <v/>
      </c>
      <c r="O415" s="174" t="str">
        <f aca="false">IF(INDEX(Salary_Calculation[Source Row],ROW()-ROW(Payslip_Lookup[#Headers]))="","",INDEX(Salary_Calculation[Missing Orders],ROW()-ROW(Payslip_Lookup[#Headers])))</f>
        <v/>
      </c>
      <c r="P415" s="176" t="str">
        <f aca="false">IF(INDEX(Salary_Calculation[Source Row],ROW()-ROW(Payslip_Lookup[#Headers]))="","",INDEX(Salary_Calculation[Missing-Order Deduction],ROW()-ROW(Payslip_Lookup[#Headers])))</f>
        <v/>
      </c>
      <c r="Q415" s="174" t="str">
        <f aca="false">IF(INDEX(Salary_Calculation[Source Row],ROW()-ROW(Payslip_Lookup[#Headers]))="","",INDEX(Salary_Calculation[Extra Orders],ROW()-ROW(Payslip_Lookup[#Headers])))</f>
        <v/>
      </c>
      <c r="R415" s="176" t="str">
        <f aca="false">IF(INDEX(Salary_Calculation[Source Row],ROW()-ROW(Payslip_Lookup[#Headers]))="","",INDEX(Salary_Calculation[Extra-Order Bonus],ROW()-ROW(Payslip_Lookup[#Headers])))</f>
        <v/>
      </c>
      <c r="S415" s="176" t="str">
        <f aca="false">IF(INDEX(Salary_Calculation[Source Row],ROW()-ROW(Payslip_Lookup[#Headers]))="","",INDEX(Salary_Calculation[Basic Salary for Target],ROW()-ROW(Payslip_Lookup[#Headers])))</f>
        <v/>
      </c>
      <c r="T415" s="176" t="str">
        <f aca="false">IF(INDEX(Salary_Calculation[Source Row],ROW()-ROW(Payslip_Lookup[#Headers]))="","",INDEX(Salary_Calculation[Gross Salary Before Deductions],ROW()-ROW(Payslip_Lookup[#Headers])))</f>
        <v/>
      </c>
      <c r="U415" s="176" t="str">
        <f aca="false">IF(INDEX(Salary_Calculation[Source Row],ROW()-ROW(Payslip_Lookup[#Headers]))="","",INDEX(Salary_Calculation[missed_days_penalty],ROW()-ROW(Payslip_Lookup[#Headers])))</f>
        <v/>
      </c>
      <c r="V415" s="176" t="str">
        <f aca="false">IF(INDEX(Salary_Calculation[Source Row],ROW()-ROW(Payslip_Lookup[#Headers]))="","",INDEX(Salary_Calculation[Rider Balance],ROW()-ROW(Payslip_Lookup[#Headers])))</f>
        <v/>
      </c>
      <c r="W415" s="176" t="str">
        <f aca="false">IF(INDEX(Salary_Calculation[Source Row],ROW()-ROW(Payslip_Lookup[#Headers]))="","",INDEX(Salary_Calculation[stacking_deduction],ROW()-ROW(Payslip_Lookup[#Headers])))</f>
        <v/>
      </c>
      <c r="X415" s="176" t="str">
        <f aca="false">IF(INDEX(Salary_Calculation[Source Row],ROW()-ROW(Payslip_Lookup[#Headers]))="","",INDEX(Salary_Calculation[Other Deductions],ROW()-ROW(Payslip_Lookup[#Headers])))</f>
        <v/>
      </c>
      <c r="Y415" s="176" t="str">
        <f aca="false">IF(INDEX(Salary_Calculation[Source Row],ROW()-ROW(Payslip_Lookup[#Headers]))="","",INDEX(Salary_Calculation[Total Deductions],ROW()-ROW(Payslip_Lookup[#Headers])))</f>
        <v/>
      </c>
      <c r="Z415" s="176" t="str">
        <f aca="false">IF(INDEX(Salary_Calculation[Source Row],ROW()-ROW(Payslip_Lookup[#Headers]))="","",INDEX(Salary_Calculation[Final Salary],ROW()-ROW(Payslip_Lookup[#Headers])))</f>
        <v/>
      </c>
      <c r="AA415" s="176" t="str">
        <f aca="false">IF(INDEX(Salary_Calculation[Source Row],ROW()-ROW(Payslip_Lookup[#Headers]))="","",INDEX(Salary_Calculation[Negative Balance / Amount Due from Rider],ROW()-ROW(Payslip_Lookup[#Headers])))</f>
        <v/>
      </c>
      <c r="AB415" s="176" t="str">
        <f aca="false">IF(INDEX(Salary_Calculation[Source Row],ROW()-ROW(Payslip_Lookup[#Headers]))="","",INDEX(Salary_Calculation[Total Amount Due from Rider],ROW()-ROW(Payslip_Lookup[#Headers])))</f>
        <v/>
      </c>
      <c r="AC415" s="176" t="str">
        <f aca="false">IF(INDEX(Salary_Calculation[Source Row],ROW()-ROW(Payslip_Lookup[#Headers]))="","",INDEX(Salary_Calculation[Salary Before Other Deductions],ROW()-ROW(Payslip_Lookup[#Headers])))</f>
        <v/>
      </c>
      <c r="AD415" s="171" t="str">
        <f aca="false">IF(INDEX(Salary_Calculation[Source Row],ROW()-ROW(Payslip_Lookup[#Headers]))="","",INDEX(Salary_Calculation[Payment Status],ROW()-ROW(Payslip_Lookup[#Headers])))</f>
        <v/>
      </c>
      <c r="AE415" s="171" t="str">
        <f aca="false">IF(INDEX(Salary_Calculation[Source Row],ROW()-ROW(Payslip_Lookup[#Headers]))="","",INDEX(Salary_Calculation[Notes],ROW()-ROW(Payslip_Lookup[#Headers])))</f>
        <v/>
      </c>
      <c r="AF415" s="171" t="str">
        <f aca="false">IF(INDEX(Salary_Calculation[Source Row],ROW()-ROW(Payslip_Lookup[#Headers]))="","",INDEX(Salary_Calculation[Exception Reason],ROW()-ROW(Payslip_Lookup[#Headers])))</f>
        <v/>
      </c>
      <c r="AG415" s="173" t="str">
        <f aca="false">IF($AD415="Review Required",COUNTIF(AD$2:AD415,"Review Required"),"")</f>
        <v/>
      </c>
      <c r="AH415" s="173" t="str">
        <f aca="false">IF(AND($D415&lt;&gt;"",$B415=Payslip_Print!$C$2),MAX(AH$1:AH414)+1,"")</f>
        <v/>
      </c>
      <c r="AL415" s="178" t="str">
        <f aca="false">IFERROR(INDEX($D$2:$D$501,MATCH(ROW()-1,$AH$2:$AH$501,0)),"")</f>
        <v/>
      </c>
      <c r="AM415" s="179" t="str">
        <f aca="false">IF($Z415="","",IF(AND($C415&gt;=Dash_Start,$C415&lt;Dash_End),$Z415+ROW()/10000000,""))</f>
        <v/>
      </c>
    </row>
    <row r="416" customFormat="false" ht="14.25" hidden="false" customHeight="false" outlineLevel="0" collapsed="false">
      <c r="A416" s="171" t="str">
        <f aca="false">IF(Payslip_Lookup[[#This Row],[Rider ID]]="","",Payslip_Lookup[[#This Row],[Rider ID]]&amp;"|"&amp;Payslip_Lookup[[#This Row],[Month Key]])</f>
        <v/>
      </c>
      <c r="B416" s="172" t="str">
        <f aca="false">IF(ISNUMBER(Payslip_Lookup[[#This Row],[Salary Month]]),DATE(YEAR(Payslip_Lookup[[#This Row],[Salary Month]]),MONTH(Payslip_Lookup[[#This Row],[Salary Month]]),1),"")</f>
        <v/>
      </c>
      <c r="C416" s="172" t="str">
        <f aca="false">IF(INDEX(Salary_Calculation[Source Row],ROW()-ROW(Payslip_Lookup[#Headers]))="","",INDEX(Salary_Calculation[Salary Month],ROW()-ROW(Payslip_Lookup[#Headers])))</f>
        <v/>
      </c>
      <c r="D416" s="173" t="str">
        <f aca="false">IF(INDEX(Salary_Calculation[Source Row],ROW()-ROW(Payslip_Lookup[#Headers]))="","",INDEX(Salary_Calculation[Rider ID],ROW()-ROW(Payslip_Lookup[#Headers])))</f>
        <v/>
      </c>
      <c r="E416" s="171" t="str">
        <f aca="false">IF(INDEX(Salary_Calculation[Source Row],ROW()-ROW(Payslip_Lookup[#Headers]))="","",INDEX(Salary_Calculation[Rider Name],ROW()-ROW(Payslip_Lookup[#Headers])))</f>
        <v/>
      </c>
      <c r="F416" s="173" t="str">
        <f aca="false">IF(INDEX(Salary_Calculation[Source Row],ROW()-ROW(Payslip_Lookup[#Headers]))="","",INDEX(Salary_Calculation[Working Days],ROW()-ROW(Payslip_Lookup[#Headers])))</f>
        <v/>
      </c>
      <c r="G416" s="173" t="str">
        <f aca="false">IF(INDEX(Salary_Calculation[Source Row],ROW()-ROW(Payslip_Lookup[#Headers]))="","",INDEX(Salary_Calculation[Calendar Days],ROW()-ROW(Payslip_Lookup[#Headers])))</f>
        <v/>
      </c>
      <c r="H416" s="174" t="str">
        <f aca="false">IF(INDEX(Salary_Calculation[Source Row],ROW()-ROW(Payslip_Lookup[#Headers]))="","",INDEX(Salary_Calculation[Monthly Target Orders],ROW()-ROW(Payslip_Lookup[#Headers])))</f>
        <v/>
      </c>
      <c r="I416" s="174" t="str">
        <f aca="false">IF(INDEX(Salary_Calculation[Source Row],ROW()-ROW(Payslip_Lookup[#Headers]))="","",INDEX(Salary_Calculation[Rider Target Orders],ROW()-ROW(Payslip_Lookup[#Headers])))</f>
        <v/>
      </c>
      <c r="J416" s="175" t="str">
        <f aca="false">IF(INDEX(Salary_Calculation[Source Row],ROW()-ROW(Payslip_Lookup[#Headers]))="","",INDEX(Salary_Calculation[Completed Orders],ROW()-ROW(Payslip_Lookup[#Headers])))</f>
        <v/>
      </c>
      <c r="K416" s="174" t="str">
        <f aca="false">IF(INDEX(Salary_Calculation[Source Row],ROW()-ROW(Payslip_Lookup[#Headers]))="","",INDEX(Salary_Calculation[Base Order Rate],ROW()-ROW(Payslip_Lookup[#Headers])))</f>
        <v/>
      </c>
      <c r="L416" s="176" t="str">
        <f aca="false">IF(INDEX(Salary_Calculation[Source Row],ROW()-ROW(Payslip_Lookup[#Headers]))="","",INDEX(Salary_Calculation[Basic Payment],ROW()-ROW(Payslip_Lookup[#Headers])))</f>
        <v/>
      </c>
      <c r="M416" s="176" t="str">
        <f aca="false">IF(INDEX(Salary_Calculation[Source Row],ROW()-ROW(Payslip_Lookup[#Headers]))="","",INDEX(Salary_Calculation[Earned Salary],ROW()-ROW(Payslip_Lookup[#Headers])))</f>
        <v/>
      </c>
      <c r="N416" s="174" t="str">
        <f aca="false">IF(INDEX(Salary_Calculation[Source Row],ROW()-ROW(Payslip_Lookup[#Headers]))="","",INDEX(Salary_Calculation[Orders Counted at Base Rate],ROW()-ROW(Payslip_Lookup[#Headers])))</f>
        <v/>
      </c>
      <c r="O416" s="174" t="str">
        <f aca="false">IF(INDEX(Salary_Calculation[Source Row],ROW()-ROW(Payslip_Lookup[#Headers]))="","",INDEX(Salary_Calculation[Missing Orders],ROW()-ROW(Payslip_Lookup[#Headers])))</f>
        <v/>
      </c>
      <c r="P416" s="176" t="str">
        <f aca="false">IF(INDEX(Salary_Calculation[Source Row],ROW()-ROW(Payslip_Lookup[#Headers]))="","",INDEX(Salary_Calculation[Missing-Order Deduction],ROW()-ROW(Payslip_Lookup[#Headers])))</f>
        <v/>
      </c>
      <c r="Q416" s="174" t="str">
        <f aca="false">IF(INDEX(Salary_Calculation[Source Row],ROW()-ROW(Payslip_Lookup[#Headers]))="","",INDEX(Salary_Calculation[Extra Orders],ROW()-ROW(Payslip_Lookup[#Headers])))</f>
        <v/>
      </c>
      <c r="R416" s="176" t="str">
        <f aca="false">IF(INDEX(Salary_Calculation[Source Row],ROW()-ROW(Payslip_Lookup[#Headers]))="","",INDEX(Salary_Calculation[Extra-Order Bonus],ROW()-ROW(Payslip_Lookup[#Headers])))</f>
        <v/>
      </c>
      <c r="S416" s="176" t="str">
        <f aca="false">IF(INDEX(Salary_Calculation[Source Row],ROW()-ROW(Payslip_Lookup[#Headers]))="","",INDEX(Salary_Calculation[Basic Salary for Target],ROW()-ROW(Payslip_Lookup[#Headers])))</f>
        <v/>
      </c>
      <c r="T416" s="176" t="str">
        <f aca="false">IF(INDEX(Salary_Calculation[Source Row],ROW()-ROW(Payslip_Lookup[#Headers]))="","",INDEX(Salary_Calculation[Gross Salary Before Deductions],ROW()-ROW(Payslip_Lookup[#Headers])))</f>
        <v/>
      </c>
      <c r="U416" s="176" t="str">
        <f aca="false">IF(INDEX(Salary_Calculation[Source Row],ROW()-ROW(Payslip_Lookup[#Headers]))="","",INDEX(Salary_Calculation[missed_days_penalty],ROW()-ROW(Payslip_Lookup[#Headers])))</f>
        <v/>
      </c>
      <c r="V416" s="176" t="str">
        <f aca="false">IF(INDEX(Salary_Calculation[Source Row],ROW()-ROW(Payslip_Lookup[#Headers]))="","",INDEX(Salary_Calculation[Rider Balance],ROW()-ROW(Payslip_Lookup[#Headers])))</f>
        <v/>
      </c>
      <c r="W416" s="176" t="str">
        <f aca="false">IF(INDEX(Salary_Calculation[Source Row],ROW()-ROW(Payslip_Lookup[#Headers]))="","",INDEX(Salary_Calculation[stacking_deduction],ROW()-ROW(Payslip_Lookup[#Headers])))</f>
        <v/>
      </c>
      <c r="X416" s="176" t="str">
        <f aca="false">IF(INDEX(Salary_Calculation[Source Row],ROW()-ROW(Payslip_Lookup[#Headers]))="","",INDEX(Salary_Calculation[Other Deductions],ROW()-ROW(Payslip_Lookup[#Headers])))</f>
        <v/>
      </c>
      <c r="Y416" s="176" t="str">
        <f aca="false">IF(INDEX(Salary_Calculation[Source Row],ROW()-ROW(Payslip_Lookup[#Headers]))="","",INDEX(Salary_Calculation[Total Deductions],ROW()-ROW(Payslip_Lookup[#Headers])))</f>
        <v/>
      </c>
      <c r="Z416" s="176" t="str">
        <f aca="false">IF(INDEX(Salary_Calculation[Source Row],ROW()-ROW(Payslip_Lookup[#Headers]))="","",INDEX(Salary_Calculation[Final Salary],ROW()-ROW(Payslip_Lookup[#Headers])))</f>
        <v/>
      </c>
      <c r="AA416" s="176" t="str">
        <f aca="false">IF(INDEX(Salary_Calculation[Source Row],ROW()-ROW(Payslip_Lookup[#Headers]))="","",INDEX(Salary_Calculation[Negative Balance / Amount Due from Rider],ROW()-ROW(Payslip_Lookup[#Headers])))</f>
        <v/>
      </c>
      <c r="AB416" s="176" t="str">
        <f aca="false">IF(INDEX(Salary_Calculation[Source Row],ROW()-ROW(Payslip_Lookup[#Headers]))="","",INDEX(Salary_Calculation[Total Amount Due from Rider],ROW()-ROW(Payslip_Lookup[#Headers])))</f>
        <v/>
      </c>
      <c r="AC416" s="176" t="str">
        <f aca="false">IF(INDEX(Salary_Calculation[Source Row],ROW()-ROW(Payslip_Lookup[#Headers]))="","",INDEX(Salary_Calculation[Salary Before Other Deductions],ROW()-ROW(Payslip_Lookup[#Headers])))</f>
        <v/>
      </c>
      <c r="AD416" s="171" t="str">
        <f aca="false">IF(INDEX(Salary_Calculation[Source Row],ROW()-ROW(Payslip_Lookup[#Headers]))="","",INDEX(Salary_Calculation[Payment Status],ROW()-ROW(Payslip_Lookup[#Headers])))</f>
        <v/>
      </c>
      <c r="AE416" s="171" t="str">
        <f aca="false">IF(INDEX(Salary_Calculation[Source Row],ROW()-ROW(Payslip_Lookup[#Headers]))="","",INDEX(Salary_Calculation[Notes],ROW()-ROW(Payslip_Lookup[#Headers])))</f>
        <v/>
      </c>
      <c r="AF416" s="171" t="str">
        <f aca="false">IF(INDEX(Salary_Calculation[Source Row],ROW()-ROW(Payslip_Lookup[#Headers]))="","",INDEX(Salary_Calculation[Exception Reason],ROW()-ROW(Payslip_Lookup[#Headers])))</f>
        <v/>
      </c>
      <c r="AG416" s="173" t="str">
        <f aca="false">IF($AD416="Review Required",COUNTIF(AD$2:AD416,"Review Required"),"")</f>
        <v/>
      </c>
      <c r="AH416" s="173" t="str">
        <f aca="false">IF(AND($D416&lt;&gt;"",$B416=Payslip_Print!$C$2),MAX(AH$1:AH415)+1,"")</f>
        <v/>
      </c>
      <c r="AL416" s="178" t="str">
        <f aca="false">IFERROR(INDEX($D$2:$D$501,MATCH(ROW()-1,$AH$2:$AH$501,0)),"")</f>
        <v/>
      </c>
      <c r="AM416" s="179" t="str">
        <f aca="false">IF($Z416="","",IF(AND($C416&gt;=Dash_Start,$C416&lt;Dash_End),$Z416+ROW()/10000000,""))</f>
        <v/>
      </c>
    </row>
    <row r="417" customFormat="false" ht="14.25" hidden="false" customHeight="false" outlineLevel="0" collapsed="false">
      <c r="A417" s="171" t="str">
        <f aca="false">IF(Payslip_Lookup[[#This Row],[Rider ID]]="","",Payslip_Lookup[[#This Row],[Rider ID]]&amp;"|"&amp;Payslip_Lookup[[#This Row],[Month Key]])</f>
        <v/>
      </c>
      <c r="B417" s="172" t="str">
        <f aca="false">IF(ISNUMBER(Payslip_Lookup[[#This Row],[Salary Month]]),DATE(YEAR(Payslip_Lookup[[#This Row],[Salary Month]]),MONTH(Payslip_Lookup[[#This Row],[Salary Month]]),1),"")</f>
        <v/>
      </c>
      <c r="C417" s="172" t="str">
        <f aca="false">IF(INDEX(Salary_Calculation[Source Row],ROW()-ROW(Payslip_Lookup[#Headers]))="","",INDEX(Salary_Calculation[Salary Month],ROW()-ROW(Payslip_Lookup[#Headers])))</f>
        <v/>
      </c>
      <c r="D417" s="173" t="str">
        <f aca="false">IF(INDEX(Salary_Calculation[Source Row],ROW()-ROW(Payslip_Lookup[#Headers]))="","",INDEX(Salary_Calculation[Rider ID],ROW()-ROW(Payslip_Lookup[#Headers])))</f>
        <v/>
      </c>
      <c r="E417" s="171" t="str">
        <f aca="false">IF(INDEX(Salary_Calculation[Source Row],ROW()-ROW(Payslip_Lookup[#Headers]))="","",INDEX(Salary_Calculation[Rider Name],ROW()-ROW(Payslip_Lookup[#Headers])))</f>
        <v/>
      </c>
      <c r="F417" s="173" t="str">
        <f aca="false">IF(INDEX(Salary_Calculation[Source Row],ROW()-ROW(Payslip_Lookup[#Headers]))="","",INDEX(Salary_Calculation[Working Days],ROW()-ROW(Payslip_Lookup[#Headers])))</f>
        <v/>
      </c>
      <c r="G417" s="173" t="str">
        <f aca="false">IF(INDEX(Salary_Calculation[Source Row],ROW()-ROW(Payslip_Lookup[#Headers]))="","",INDEX(Salary_Calculation[Calendar Days],ROW()-ROW(Payslip_Lookup[#Headers])))</f>
        <v/>
      </c>
      <c r="H417" s="174" t="str">
        <f aca="false">IF(INDEX(Salary_Calculation[Source Row],ROW()-ROW(Payslip_Lookup[#Headers]))="","",INDEX(Salary_Calculation[Monthly Target Orders],ROW()-ROW(Payslip_Lookup[#Headers])))</f>
        <v/>
      </c>
      <c r="I417" s="174" t="str">
        <f aca="false">IF(INDEX(Salary_Calculation[Source Row],ROW()-ROW(Payslip_Lookup[#Headers]))="","",INDEX(Salary_Calculation[Rider Target Orders],ROW()-ROW(Payslip_Lookup[#Headers])))</f>
        <v/>
      </c>
      <c r="J417" s="175" t="str">
        <f aca="false">IF(INDEX(Salary_Calculation[Source Row],ROW()-ROW(Payslip_Lookup[#Headers]))="","",INDEX(Salary_Calculation[Completed Orders],ROW()-ROW(Payslip_Lookup[#Headers])))</f>
        <v/>
      </c>
      <c r="K417" s="174" t="str">
        <f aca="false">IF(INDEX(Salary_Calculation[Source Row],ROW()-ROW(Payslip_Lookup[#Headers]))="","",INDEX(Salary_Calculation[Base Order Rate],ROW()-ROW(Payslip_Lookup[#Headers])))</f>
        <v/>
      </c>
      <c r="L417" s="176" t="str">
        <f aca="false">IF(INDEX(Salary_Calculation[Source Row],ROW()-ROW(Payslip_Lookup[#Headers]))="","",INDEX(Salary_Calculation[Basic Payment],ROW()-ROW(Payslip_Lookup[#Headers])))</f>
        <v/>
      </c>
      <c r="M417" s="176" t="str">
        <f aca="false">IF(INDEX(Salary_Calculation[Source Row],ROW()-ROW(Payslip_Lookup[#Headers]))="","",INDEX(Salary_Calculation[Earned Salary],ROW()-ROW(Payslip_Lookup[#Headers])))</f>
        <v/>
      </c>
      <c r="N417" s="174" t="str">
        <f aca="false">IF(INDEX(Salary_Calculation[Source Row],ROW()-ROW(Payslip_Lookup[#Headers]))="","",INDEX(Salary_Calculation[Orders Counted at Base Rate],ROW()-ROW(Payslip_Lookup[#Headers])))</f>
        <v/>
      </c>
      <c r="O417" s="174" t="str">
        <f aca="false">IF(INDEX(Salary_Calculation[Source Row],ROW()-ROW(Payslip_Lookup[#Headers]))="","",INDEX(Salary_Calculation[Missing Orders],ROW()-ROW(Payslip_Lookup[#Headers])))</f>
        <v/>
      </c>
      <c r="P417" s="176" t="str">
        <f aca="false">IF(INDEX(Salary_Calculation[Source Row],ROW()-ROW(Payslip_Lookup[#Headers]))="","",INDEX(Salary_Calculation[Missing-Order Deduction],ROW()-ROW(Payslip_Lookup[#Headers])))</f>
        <v/>
      </c>
      <c r="Q417" s="174" t="str">
        <f aca="false">IF(INDEX(Salary_Calculation[Source Row],ROW()-ROW(Payslip_Lookup[#Headers]))="","",INDEX(Salary_Calculation[Extra Orders],ROW()-ROW(Payslip_Lookup[#Headers])))</f>
        <v/>
      </c>
      <c r="R417" s="176" t="str">
        <f aca="false">IF(INDEX(Salary_Calculation[Source Row],ROW()-ROW(Payslip_Lookup[#Headers]))="","",INDEX(Salary_Calculation[Extra-Order Bonus],ROW()-ROW(Payslip_Lookup[#Headers])))</f>
        <v/>
      </c>
      <c r="S417" s="176" t="str">
        <f aca="false">IF(INDEX(Salary_Calculation[Source Row],ROW()-ROW(Payslip_Lookup[#Headers]))="","",INDEX(Salary_Calculation[Basic Salary for Target],ROW()-ROW(Payslip_Lookup[#Headers])))</f>
        <v/>
      </c>
      <c r="T417" s="176" t="str">
        <f aca="false">IF(INDEX(Salary_Calculation[Source Row],ROW()-ROW(Payslip_Lookup[#Headers]))="","",INDEX(Salary_Calculation[Gross Salary Before Deductions],ROW()-ROW(Payslip_Lookup[#Headers])))</f>
        <v/>
      </c>
      <c r="U417" s="176" t="str">
        <f aca="false">IF(INDEX(Salary_Calculation[Source Row],ROW()-ROW(Payslip_Lookup[#Headers]))="","",INDEX(Salary_Calculation[missed_days_penalty],ROW()-ROW(Payslip_Lookup[#Headers])))</f>
        <v/>
      </c>
      <c r="V417" s="176" t="str">
        <f aca="false">IF(INDEX(Salary_Calculation[Source Row],ROW()-ROW(Payslip_Lookup[#Headers]))="","",INDEX(Salary_Calculation[Rider Balance],ROW()-ROW(Payslip_Lookup[#Headers])))</f>
        <v/>
      </c>
      <c r="W417" s="176" t="str">
        <f aca="false">IF(INDEX(Salary_Calculation[Source Row],ROW()-ROW(Payslip_Lookup[#Headers]))="","",INDEX(Salary_Calculation[stacking_deduction],ROW()-ROW(Payslip_Lookup[#Headers])))</f>
        <v/>
      </c>
      <c r="X417" s="176" t="str">
        <f aca="false">IF(INDEX(Salary_Calculation[Source Row],ROW()-ROW(Payslip_Lookup[#Headers]))="","",INDEX(Salary_Calculation[Other Deductions],ROW()-ROW(Payslip_Lookup[#Headers])))</f>
        <v/>
      </c>
      <c r="Y417" s="176" t="str">
        <f aca="false">IF(INDEX(Salary_Calculation[Source Row],ROW()-ROW(Payslip_Lookup[#Headers]))="","",INDEX(Salary_Calculation[Total Deductions],ROW()-ROW(Payslip_Lookup[#Headers])))</f>
        <v/>
      </c>
      <c r="Z417" s="176" t="str">
        <f aca="false">IF(INDEX(Salary_Calculation[Source Row],ROW()-ROW(Payslip_Lookup[#Headers]))="","",INDEX(Salary_Calculation[Final Salary],ROW()-ROW(Payslip_Lookup[#Headers])))</f>
        <v/>
      </c>
      <c r="AA417" s="176" t="str">
        <f aca="false">IF(INDEX(Salary_Calculation[Source Row],ROW()-ROW(Payslip_Lookup[#Headers]))="","",INDEX(Salary_Calculation[Negative Balance / Amount Due from Rider],ROW()-ROW(Payslip_Lookup[#Headers])))</f>
        <v/>
      </c>
      <c r="AB417" s="176" t="str">
        <f aca="false">IF(INDEX(Salary_Calculation[Source Row],ROW()-ROW(Payslip_Lookup[#Headers]))="","",INDEX(Salary_Calculation[Total Amount Due from Rider],ROW()-ROW(Payslip_Lookup[#Headers])))</f>
        <v/>
      </c>
      <c r="AC417" s="176" t="str">
        <f aca="false">IF(INDEX(Salary_Calculation[Source Row],ROW()-ROW(Payslip_Lookup[#Headers]))="","",INDEX(Salary_Calculation[Salary Before Other Deductions],ROW()-ROW(Payslip_Lookup[#Headers])))</f>
        <v/>
      </c>
      <c r="AD417" s="171" t="str">
        <f aca="false">IF(INDEX(Salary_Calculation[Source Row],ROW()-ROW(Payslip_Lookup[#Headers]))="","",INDEX(Salary_Calculation[Payment Status],ROW()-ROW(Payslip_Lookup[#Headers])))</f>
        <v/>
      </c>
      <c r="AE417" s="171" t="str">
        <f aca="false">IF(INDEX(Salary_Calculation[Source Row],ROW()-ROW(Payslip_Lookup[#Headers]))="","",INDEX(Salary_Calculation[Notes],ROW()-ROW(Payslip_Lookup[#Headers])))</f>
        <v/>
      </c>
      <c r="AF417" s="171" t="str">
        <f aca="false">IF(INDEX(Salary_Calculation[Source Row],ROW()-ROW(Payslip_Lookup[#Headers]))="","",INDEX(Salary_Calculation[Exception Reason],ROW()-ROW(Payslip_Lookup[#Headers])))</f>
        <v/>
      </c>
      <c r="AG417" s="173" t="str">
        <f aca="false">IF($AD417="Review Required",COUNTIF(AD$2:AD417,"Review Required"),"")</f>
        <v/>
      </c>
      <c r="AH417" s="173" t="str">
        <f aca="false">IF(AND($D417&lt;&gt;"",$B417=Payslip_Print!$C$2),MAX(AH$1:AH416)+1,"")</f>
        <v/>
      </c>
      <c r="AL417" s="178" t="str">
        <f aca="false">IFERROR(INDEX($D$2:$D$501,MATCH(ROW()-1,$AH$2:$AH$501,0)),"")</f>
        <v/>
      </c>
      <c r="AM417" s="179" t="str">
        <f aca="false">IF($Z417="","",IF(AND($C417&gt;=Dash_Start,$C417&lt;Dash_End),$Z417+ROW()/10000000,""))</f>
        <v/>
      </c>
    </row>
    <row r="418" customFormat="false" ht="14.25" hidden="false" customHeight="false" outlineLevel="0" collapsed="false">
      <c r="A418" s="171" t="str">
        <f aca="false">IF(Payslip_Lookup[[#This Row],[Rider ID]]="","",Payslip_Lookup[[#This Row],[Rider ID]]&amp;"|"&amp;Payslip_Lookup[[#This Row],[Month Key]])</f>
        <v/>
      </c>
      <c r="B418" s="172" t="str">
        <f aca="false">IF(ISNUMBER(Payslip_Lookup[[#This Row],[Salary Month]]),DATE(YEAR(Payslip_Lookup[[#This Row],[Salary Month]]),MONTH(Payslip_Lookup[[#This Row],[Salary Month]]),1),"")</f>
        <v/>
      </c>
      <c r="C418" s="172" t="str">
        <f aca="false">IF(INDEX(Salary_Calculation[Source Row],ROW()-ROW(Payslip_Lookup[#Headers]))="","",INDEX(Salary_Calculation[Salary Month],ROW()-ROW(Payslip_Lookup[#Headers])))</f>
        <v/>
      </c>
      <c r="D418" s="173" t="str">
        <f aca="false">IF(INDEX(Salary_Calculation[Source Row],ROW()-ROW(Payslip_Lookup[#Headers]))="","",INDEX(Salary_Calculation[Rider ID],ROW()-ROW(Payslip_Lookup[#Headers])))</f>
        <v/>
      </c>
      <c r="E418" s="171" t="str">
        <f aca="false">IF(INDEX(Salary_Calculation[Source Row],ROW()-ROW(Payslip_Lookup[#Headers]))="","",INDEX(Salary_Calculation[Rider Name],ROW()-ROW(Payslip_Lookup[#Headers])))</f>
        <v/>
      </c>
      <c r="F418" s="173" t="str">
        <f aca="false">IF(INDEX(Salary_Calculation[Source Row],ROW()-ROW(Payslip_Lookup[#Headers]))="","",INDEX(Salary_Calculation[Working Days],ROW()-ROW(Payslip_Lookup[#Headers])))</f>
        <v/>
      </c>
      <c r="G418" s="173" t="str">
        <f aca="false">IF(INDEX(Salary_Calculation[Source Row],ROW()-ROW(Payslip_Lookup[#Headers]))="","",INDEX(Salary_Calculation[Calendar Days],ROW()-ROW(Payslip_Lookup[#Headers])))</f>
        <v/>
      </c>
      <c r="H418" s="174" t="str">
        <f aca="false">IF(INDEX(Salary_Calculation[Source Row],ROW()-ROW(Payslip_Lookup[#Headers]))="","",INDEX(Salary_Calculation[Monthly Target Orders],ROW()-ROW(Payslip_Lookup[#Headers])))</f>
        <v/>
      </c>
      <c r="I418" s="174" t="str">
        <f aca="false">IF(INDEX(Salary_Calculation[Source Row],ROW()-ROW(Payslip_Lookup[#Headers]))="","",INDEX(Salary_Calculation[Rider Target Orders],ROW()-ROW(Payslip_Lookup[#Headers])))</f>
        <v/>
      </c>
      <c r="J418" s="175" t="str">
        <f aca="false">IF(INDEX(Salary_Calculation[Source Row],ROW()-ROW(Payslip_Lookup[#Headers]))="","",INDEX(Salary_Calculation[Completed Orders],ROW()-ROW(Payslip_Lookup[#Headers])))</f>
        <v/>
      </c>
      <c r="K418" s="174" t="str">
        <f aca="false">IF(INDEX(Salary_Calculation[Source Row],ROW()-ROW(Payslip_Lookup[#Headers]))="","",INDEX(Salary_Calculation[Base Order Rate],ROW()-ROW(Payslip_Lookup[#Headers])))</f>
        <v/>
      </c>
      <c r="L418" s="176" t="str">
        <f aca="false">IF(INDEX(Salary_Calculation[Source Row],ROW()-ROW(Payslip_Lookup[#Headers]))="","",INDEX(Salary_Calculation[Basic Payment],ROW()-ROW(Payslip_Lookup[#Headers])))</f>
        <v/>
      </c>
      <c r="M418" s="176" t="str">
        <f aca="false">IF(INDEX(Salary_Calculation[Source Row],ROW()-ROW(Payslip_Lookup[#Headers]))="","",INDEX(Salary_Calculation[Earned Salary],ROW()-ROW(Payslip_Lookup[#Headers])))</f>
        <v/>
      </c>
      <c r="N418" s="174" t="str">
        <f aca="false">IF(INDEX(Salary_Calculation[Source Row],ROW()-ROW(Payslip_Lookup[#Headers]))="","",INDEX(Salary_Calculation[Orders Counted at Base Rate],ROW()-ROW(Payslip_Lookup[#Headers])))</f>
        <v/>
      </c>
      <c r="O418" s="174" t="str">
        <f aca="false">IF(INDEX(Salary_Calculation[Source Row],ROW()-ROW(Payslip_Lookup[#Headers]))="","",INDEX(Salary_Calculation[Missing Orders],ROW()-ROW(Payslip_Lookup[#Headers])))</f>
        <v/>
      </c>
      <c r="P418" s="176" t="str">
        <f aca="false">IF(INDEX(Salary_Calculation[Source Row],ROW()-ROW(Payslip_Lookup[#Headers]))="","",INDEX(Salary_Calculation[Missing-Order Deduction],ROW()-ROW(Payslip_Lookup[#Headers])))</f>
        <v/>
      </c>
      <c r="Q418" s="174" t="str">
        <f aca="false">IF(INDEX(Salary_Calculation[Source Row],ROW()-ROW(Payslip_Lookup[#Headers]))="","",INDEX(Salary_Calculation[Extra Orders],ROW()-ROW(Payslip_Lookup[#Headers])))</f>
        <v/>
      </c>
      <c r="R418" s="176" t="str">
        <f aca="false">IF(INDEX(Salary_Calculation[Source Row],ROW()-ROW(Payslip_Lookup[#Headers]))="","",INDEX(Salary_Calculation[Extra-Order Bonus],ROW()-ROW(Payslip_Lookup[#Headers])))</f>
        <v/>
      </c>
      <c r="S418" s="176" t="str">
        <f aca="false">IF(INDEX(Salary_Calculation[Source Row],ROW()-ROW(Payslip_Lookup[#Headers]))="","",INDEX(Salary_Calculation[Basic Salary for Target],ROW()-ROW(Payslip_Lookup[#Headers])))</f>
        <v/>
      </c>
      <c r="T418" s="176" t="str">
        <f aca="false">IF(INDEX(Salary_Calculation[Source Row],ROW()-ROW(Payslip_Lookup[#Headers]))="","",INDEX(Salary_Calculation[Gross Salary Before Deductions],ROW()-ROW(Payslip_Lookup[#Headers])))</f>
        <v/>
      </c>
      <c r="U418" s="176" t="str">
        <f aca="false">IF(INDEX(Salary_Calculation[Source Row],ROW()-ROW(Payslip_Lookup[#Headers]))="","",INDEX(Salary_Calculation[missed_days_penalty],ROW()-ROW(Payslip_Lookup[#Headers])))</f>
        <v/>
      </c>
      <c r="V418" s="176" t="str">
        <f aca="false">IF(INDEX(Salary_Calculation[Source Row],ROW()-ROW(Payslip_Lookup[#Headers]))="","",INDEX(Salary_Calculation[Rider Balance],ROW()-ROW(Payslip_Lookup[#Headers])))</f>
        <v/>
      </c>
      <c r="W418" s="176" t="str">
        <f aca="false">IF(INDEX(Salary_Calculation[Source Row],ROW()-ROW(Payslip_Lookup[#Headers]))="","",INDEX(Salary_Calculation[stacking_deduction],ROW()-ROW(Payslip_Lookup[#Headers])))</f>
        <v/>
      </c>
      <c r="X418" s="176" t="str">
        <f aca="false">IF(INDEX(Salary_Calculation[Source Row],ROW()-ROW(Payslip_Lookup[#Headers]))="","",INDEX(Salary_Calculation[Other Deductions],ROW()-ROW(Payslip_Lookup[#Headers])))</f>
        <v/>
      </c>
      <c r="Y418" s="176" t="str">
        <f aca="false">IF(INDEX(Salary_Calculation[Source Row],ROW()-ROW(Payslip_Lookup[#Headers]))="","",INDEX(Salary_Calculation[Total Deductions],ROW()-ROW(Payslip_Lookup[#Headers])))</f>
        <v/>
      </c>
      <c r="Z418" s="176" t="str">
        <f aca="false">IF(INDEX(Salary_Calculation[Source Row],ROW()-ROW(Payslip_Lookup[#Headers]))="","",INDEX(Salary_Calculation[Final Salary],ROW()-ROW(Payslip_Lookup[#Headers])))</f>
        <v/>
      </c>
      <c r="AA418" s="176" t="str">
        <f aca="false">IF(INDEX(Salary_Calculation[Source Row],ROW()-ROW(Payslip_Lookup[#Headers]))="","",INDEX(Salary_Calculation[Negative Balance / Amount Due from Rider],ROW()-ROW(Payslip_Lookup[#Headers])))</f>
        <v/>
      </c>
      <c r="AB418" s="176" t="str">
        <f aca="false">IF(INDEX(Salary_Calculation[Source Row],ROW()-ROW(Payslip_Lookup[#Headers]))="","",INDEX(Salary_Calculation[Total Amount Due from Rider],ROW()-ROW(Payslip_Lookup[#Headers])))</f>
        <v/>
      </c>
      <c r="AC418" s="176" t="str">
        <f aca="false">IF(INDEX(Salary_Calculation[Source Row],ROW()-ROW(Payslip_Lookup[#Headers]))="","",INDEX(Salary_Calculation[Salary Before Other Deductions],ROW()-ROW(Payslip_Lookup[#Headers])))</f>
        <v/>
      </c>
      <c r="AD418" s="171" t="str">
        <f aca="false">IF(INDEX(Salary_Calculation[Source Row],ROW()-ROW(Payslip_Lookup[#Headers]))="","",INDEX(Salary_Calculation[Payment Status],ROW()-ROW(Payslip_Lookup[#Headers])))</f>
        <v/>
      </c>
      <c r="AE418" s="171" t="str">
        <f aca="false">IF(INDEX(Salary_Calculation[Source Row],ROW()-ROW(Payslip_Lookup[#Headers]))="","",INDEX(Salary_Calculation[Notes],ROW()-ROW(Payslip_Lookup[#Headers])))</f>
        <v/>
      </c>
      <c r="AF418" s="171" t="str">
        <f aca="false">IF(INDEX(Salary_Calculation[Source Row],ROW()-ROW(Payslip_Lookup[#Headers]))="","",INDEX(Salary_Calculation[Exception Reason],ROW()-ROW(Payslip_Lookup[#Headers])))</f>
        <v/>
      </c>
      <c r="AG418" s="173" t="str">
        <f aca="false">IF($AD418="Review Required",COUNTIF(AD$2:AD418,"Review Required"),"")</f>
        <v/>
      </c>
      <c r="AH418" s="173" t="str">
        <f aca="false">IF(AND($D418&lt;&gt;"",$B418=Payslip_Print!$C$2),MAX(AH$1:AH417)+1,"")</f>
        <v/>
      </c>
      <c r="AL418" s="178" t="str">
        <f aca="false">IFERROR(INDEX($D$2:$D$501,MATCH(ROW()-1,$AH$2:$AH$501,0)),"")</f>
        <v/>
      </c>
      <c r="AM418" s="179" t="str">
        <f aca="false">IF($Z418="","",IF(AND($C418&gt;=Dash_Start,$C418&lt;Dash_End),$Z418+ROW()/10000000,""))</f>
        <v/>
      </c>
    </row>
    <row r="419" customFormat="false" ht="14.25" hidden="false" customHeight="false" outlineLevel="0" collapsed="false">
      <c r="A419" s="171" t="str">
        <f aca="false">IF(Payslip_Lookup[[#This Row],[Rider ID]]="","",Payslip_Lookup[[#This Row],[Rider ID]]&amp;"|"&amp;Payslip_Lookup[[#This Row],[Month Key]])</f>
        <v/>
      </c>
      <c r="B419" s="172" t="str">
        <f aca="false">IF(ISNUMBER(Payslip_Lookup[[#This Row],[Salary Month]]),DATE(YEAR(Payslip_Lookup[[#This Row],[Salary Month]]),MONTH(Payslip_Lookup[[#This Row],[Salary Month]]),1),"")</f>
        <v/>
      </c>
      <c r="C419" s="172" t="str">
        <f aca="false">IF(INDEX(Salary_Calculation[Source Row],ROW()-ROW(Payslip_Lookup[#Headers]))="","",INDEX(Salary_Calculation[Salary Month],ROW()-ROW(Payslip_Lookup[#Headers])))</f>
        <v/>
      </c>
      <c r="D419" s="173" t="str">
        <f aca="false">IF(INDEX(Salary_Calculation[Source Row],ROW()-ROW(Payslip_Lookup[#Headers]))="","",INDEX(Salary_Calculation[Rider ID],ROW()-ROW(Payslip_Lookup[#Headers])))</f>
        <v/>
      </c>
      <c r="E419" s="171" t="str">
        <f aca="false">IF(INDEX(Salary_Calculation[Source Row],ROW()-ROW(Payslip_Lookup[#Headers]))="","",INDEX(Salary_Calculation[Rider Name],ROW()-ROW(Payslip_Lookup[#Headers])))</f>
        <v/>
      </c>
      <c r="F419" s="173" t="str">
        <f aca="false">IF(INDEX(Salary_Calculation[Source Row],ROW()-ROW(Payslip_Lookup[#Headers]))="","",INDEX(Salary_Calculation[Working Days],ROW()-ROW(Payslip_Lookup[#Headers])))</f>
        <v/>
      </c>
      <c r="G419" s="173" t="str">
        <f aca="false">IF(INDEX(Salary_Calculation[Source Row],ROW()-ROW(Payslip_Lookup[#Headers]))="","",INDEX(Salary_Calculation[Calendar Days],ROW()-ROW(Payslip_Lookup[#Headers])))</f>
        <v/>
      </c>
      <c r="H419" s="174" t="str">
        <f aca="false">IF(INDEX(Salary_Calculation[Source Row],ROW()-ROW(Payslip_Lookup[#Headers]))="","",INDEX(Salary_Calculation[Monthly Target Orders],ROW()-ROW(Payslip_Lookup[#Headers])))</f>
        <v/>
      </c>
      <c r="I419" s="174" t="str">
        <f aca="false">IF(INDEX(Salary_Calculation[Source Row],ROW()-ROW(Payslip_Lookup[#Headers]))="","",INDEX(Salary_Calculation[Rider Target Orders],ROW()-ROW(Payslip_Lookup[#Headers])))</f>
        <v/>
      </c>
      <c r="J419" s="175" t="str">
        <f aca="false">IF(INDEX(Salary_Calculation[Source Row],ROW()-ROW(Payslip_Lookup[#Headers]))="","",INDEX(Salary_Calculation[Completed Orders],ROW()-ROW(Payslip_Lookup[#Headers])))</f>
        <v/>
      </c>
      <c r="K419" s="174" t="str">
        <f aca="false">IF(INDEX(Salary_Calculation[Source Row],ROW()-ROW(Payslip_Lookup[#Headers]))="","",INDEX(Salary_Calculation[Base Order Rate],ROW()-ROW(Payslip_Lookup[#Headers])))</f>
        <v/>
      </c>
      <c r="L419" s="176" t="str">
        <f aca="false">IF(INDEX(Salary_Calculation[Source Row],ROW()-ROW(Payslip_Lookup[#Headers]))="","",INDEX(Salary_Calculation[Basic Payment],ROW()-ROW(Payslip_Lookup[#Headers])))</f>
        <v/>
      </c>
      <c r="M419" s="176" t="str">
        <f aca="false">IF(INDEX(Salary_Calculation[Source Row],ROW()-ROW(Payslip_Lookup[#Headers]))="","",INDEX(Salary_Calculation[Earned Salary],ROW()-ROW(Payslip_Lookup[#Headers])))</f>
        <v/>
      </c>
      <c r="N419" s="174" t="str">
        <f aca="false">IF(INDEX(Salary_Calculation[Source Row],ROW()-ROW(Payslip_Lookup[#Headers]))="","",INDEX(Salary_Calculation[Orders Counted at Base Rate],ROW()-ROW(Payslip_Lookup[#Headers])))</f>
        <v/>
      </c>
      <c r="O419" s="174" t="str">
        <f aca="false">IF(INDEX(Salary_Calculation[Source Row],ROW()-ROW(Payslip_Lookup[#Headers]))="","",INDEX(Salary_Calculation[Missing Orders],ROW()-ROW(Payslip_Lookup[#Headers])))</f>
        <v/>
      </c>
      <c r="P419" s="176" t="str">
        <f aca="false">IF(INDEX(Salary_Calculation[Source Row],ROW()-ROW(Payslip_Lookup[#Headers]))="","",INDEX(Salary_Calculation[Missing-Order Deduction],ROW()-ROW(Payslip_Lookup[#Headers])))</f>
        <v/>
      </c>
      <c r="Q419" s="174" t="str">
        <f aca="false">IF(INDEX(Salary_Calculation[Source Row],ROW()-ROW(Payslip_Lookup[#Headers]))="","",INDEX(Salary_Calculation[Extra Orders],ROW()-ROW(Payslip_Lookup[#Headers])))</f>
        <v/>
      </c>
      <c r="R419" s="176" t="str">
        <f aca="false">IF(INDEX(Salary_Calculation[Source Row],ROW()-ROW(Payslip_Lookup[#Headers]))="","",INDEX(Salary_Calculation[Extra-Order Bonus],ROW()-ROW(Payslip_Lookup[#Headers])))</f>
        <v/>
      </c>
      <c r="S419" s="176" t="str">
        <f aca="false">IF(INDEX(Salary_Calculation[Source Row],ROW()-ROW(Payslip_Lookup[#Headers]))="","",INDEX(Salary_Calculation[Basic Salary for Target],ROW()-ROW(Payslip_Lookup[#Headers])))</f>
        <v/>
      </c>
      <c r="T419" s="176" t="str">
        <f aca="false">IF(INDEX(Salary_Calculation[Source Row],ROW()-ROW(Payslip_Lookup[#Headers]))="","",INDEX(Salary_Calculation[Gross Salary Before Deductions],ROW()-ROW(Payslip_Lookup[#Headers])))</f>
        <v/>
      </c>
      <c r="U419" s="176" t="str">
        <f aca="false">IF(INDEX(Salary_Calculation[Source Row],ROW()-ROW(Payslip_Lookup[#Headers]))="","",INDEX(Salary_Calculation[missed_days_penalty],ROW()-ROW(Payslip_Lookup[#Headers])))</f>
        <v/>
      </c>
      <c r="V419" s="176" t="str">
        <f aca="false">IF(INDEX(Salary_Calculation[Source Row],ROW()-ROW(Payslip_Lookup[#Headers]))="","",INDEX(Salary_Calculation[Rider Balance],ROW()-ROW(Payslip_Lookup[#Headers])))</f>
        <v/>
      </c>
      <c r="W419" s="176" t="str">
        <f aca="false">IF(INDEX(Salary_Calculation[Source Row],ROW()-ROW(Payslip_Lookup[#Headers]))="","",INDEX(Salary_Calculation[stacking_deduction],ROW()-ROW(Payslip_Lookup[#Headers])))</f>
        <v/>
      </c>
      <c r="X419" s="176" t="str">
        <f aca="false">IF(INDEX(Salary_Calculation[Source Row],ROW()-ROW(Payslip_Lookup[#Headers]))="","",INDEX(Salary_Calculation[Other Deductions],ROW()-ROW(Payslip_Lookup[#Headers])))</f>
        <v/>
      </c>
      <c r="Y419" s="176" t="str">
        <f aca="false">IF(INDEX(Salary_Calculation[Source Row],ROW()-ROW(Payslip_Lookup[#Headers]))="","",INDEX(Salary_Calculation[Total Deductions],ROW()-ROW(Payslip_Lookup[#Headers])))</f>
        <v/>
      </c>
      <c r="Z419" s="176" t="str">
        <f aca="false">IF(INDEX(Salary_Calculation[Source Row],ROW()-ROW(Payslip_Lookup[#Headers]))="","",INDEX(Salary_Calculation[Final Salary],ROW()-ROW(Payslip_Lookup[#Headers])))</f>
        <v/>
      </c>
      <c r="AA419" s="176" t="str">
        <f aca="false">IF(INDEX(Salary_Calculation[Source Row],ROW()-ROW(Payslip_Lookup[#Headers]))="","",INDEX(Salary_Calculation[Negative Balance / Amount Due from Rider],ROW()-ROW(Payslip_Lookup[#Headers])))</f>
        <v/>
      </c>
      <c r="AB419" s="176" t="str">
        <f aca="false">IF(INDEX(Salary_Calculation[Source Row],ROW()-ROW(Payslip_Lookup[#Headers]))="","",INDEX(Salary_Calculation[Total Amount Due from Rider],ROW()-ROW(Payslip_Lookup[#Headers])))</f>
        <v/>
      </c>
      <c r="AC419" s="176" t="str">
        <f aca="false">IF(INDEX(Salary_Calculation[Source Row],ROW()-ROW(Payslip_Lookup[#Headers]))="","",INDEX(Salary_Calculation[Salary Before Other Deductions],ROW()-ROW(Payslip_Lookup[#Headers])))</f>
        <v/>
      </c>
      <c r="AD419" s="171" t="str">
        <f aca="false">IF(INDEX(Salary_Calculation[Source Row],ROW()-ROW(Payslip_Lookup[#Headers]))="","",INDEX(Salary_Calculation[Payment Status],ROW()-ROW(Payslip_Lookup[#Headers])))</f>
        <v/>
      </c>
      <c r="AE419" s="171" t="str">
        <f aca="false">IF(INDEX(Salary_Calculation[Source Row],ROW()-ROW(Payslip_Lookup[#Headers]))="","",INDEX(Salary_Calculation[Notes],ROW()-ROW(Payslip_Lookup[#Headers])))</f>
        <v/>
      </c>
      <c r="AF419" s="171" t="str">
        <f aca="false">IF(INDEX(Salary_Calculation[Source Row],ROW()-ROW(Payslip_Lookup[#Headers]))="","",INDEX(Salary_Calculation[Exception Reason],ROW()-ROW(Payslip_Lookup[#Headers])))</f>
        <v/>
      </c>
      <c r="AG419" s="173" t="str">
        <f aca="false">IF($AD419="Review Required",COUNTIF(AD$2:AD419,"Review Required"),"")</f>
        <v/>
      </c>
      <c r="AH419" s="173" t="str">
        <f aca="false">IF(AND($D419&lt;&gt;"",$B419=Payslip_Print!$C$2),MAX(AH$1:AH418)+1,"")</f>
        <v/>
      </c>
      <c r="AL419" s="178" t="str">
        <f aca="false">IFERROR(INDEX($D$2:$D$501,MATCH(ROW()-1,$AH$2:$AH$501,0)),"")</f>
        <v/>
      </c>
      <c r="AM419" s="179" t="str">
        <f aca="false">IF($Z419="","",IF(AND($C419&gt;=Dash_Start,$C419&lt;Dash_End),$Z419+ROW()/10000000,""))</f>
        <v/>
      </c>
    </row>
    <row r="420" customFormat="false" ht="14.25" hidden="false" customHeight="false" outlineLevel="0" collapsed="false">
      <c r="A420" s="171" t="str">
        <f aca="false">IF(Payslip_Lookup[[#This Row],[Rider ID]]="","",Payslip_Lookup[[#This Row],[Rider ID]]&amp;"|"&amp;Payslip_Lookup[[#This Row],[Month Key]])</f>
        <v/>
      </c>
      <c r="B420" s="172" t="str">
        <f aca="false">IF(ISNUMBER(Payslip_Lookup[[#This Row],[Salary Month]]),DATE(YEAR(Payslip_Lookup[[#This Row],[Salary Month]]),MONTH(Payslip_Lookup[[#This Row],[Salary Month]]),1),"")</f>
        <v/>
      </c>
      <c r="C420" s="172" t="str">
        <f aca="false">IF(INDEX(Salary_Calculation[Source Row],ROW()-ROW(Payslip_Lookup[#Headers]))="","",INDEX(Salary_Calculation[Salary Month],ROW()-ROW(Payslip_Lookup[#Headers])))</f>
        <v/>
      </c>
      <c r="D420" s="173" t="str">
        <f aca="false">IF(INDEX(Salary_Calculation[Source Row],ROW()-ROW(Payslip_Lookup[#Headers]))="","",INDEX(Salary_Calculation[Rider ID],ROW()-ROW(Payslip_Lookup[#Headers])))</f>
        <v/>
      </c>
      <c r="E420" s="171" t="str">
        <f aca="false">IF(INDEX(Salary_Calculation[Source Row],ROW()-ROW(Payslip_Lookup[#Headers]))="","",INDEX(Salary_Calculation[Rider Name],ROW()-ROW(Payslip_Lookup[#Headers])))</f>
        <v/>
      </c>
      <c r="F420" s="173" t="str">
        <f aca="false">IF(INDEX(Salary_Calculation[Source Row],ROW()-ROW(Payslip_Lookup[#Headers]))="","",INDEX(Salary_Calculation[Working Days],ROW()-ROW(Payslip_Lookup[#Headers])))</f>
        <v/>
      </c>
      <c r="G420" s="173" t="str">
        <f aca="false">IF(INDEX(Salary_Calculation[Source Row],ROW()-ROW(Payslip_Lookup[#Headers]))="","",INDEX(Salary_Calculation[Calendar Days],ROW()-ROW(Payslip_Lookup[#Headers])))</f>
        <v/>
      </c>
      <c r="H420" s="174" t="str">
        <f aca="false">IF(INDEX(Salary_Calculation[Source Row],ROW()-ROW(Payslip_Lookup[#Headers]))="","",INDEX(Salary_Calculation[Monthly Target Orders],ROW()-ROW(Payslip_Lookup[#Headers])))</f>
        <v/>
      </c>
      <c r="I420" s="174" t="str">
        <f aca="false">IF(INDEX(Salary_Calculation[Source Row],ROW()-ROW(Payslip_Lookup[#Headers]))="","",INDEX(Salary_Calculation[Rider Target Orders],ROW()-ROW(Payslip_Lookup[#Headers])))</f>
        <v/>
      </c>
      <c r="J420" s="175" t="str">
        <f aca="false">IF(INDEX(Salary_Calculation[Source Row],ROW()-ROW(Payslip_Lookup[#Headers]))="","",INDEX(Salary_Calculation[Completed Orders],ROW()-ROW(Payslip_Lookup[#Headers])))</f>
        <v/>
      </c>
      <c r="K420" s="174" t="str">
        <f aca="false">IF(INDEX(Salary_Calculation[Source Row],ROW()-ROW(Payslip_Lookup[#Headers]))="","",INDEX(Salary_Calculation[Base Order Rate],ROW()-ROW(Payslip_Lookup[#Headers])))</f>
        <v/>
      </c>
      <c r="L420" s="176" t="str">
        <f aca="false">IF(INDEX(Salary_Calculation[Source Row],ROW()-ROW(Payslip_Lookup[#Headers]))="","",INDEX(Salary_Calculation[Basic Payment],ROW()-ROW(Payslip_Lookup[#Headers])))</f>
        <v/>
      </c>
      <c r="M420" s="176" t="str">
        <f aca="false">IF(INDEX(Salary_Calculation[Source Row],ROW()-ROW(Payslip_Lookup[#Headers]))="","",INDEX(Salary_Calculation[Earned Salary],ROW()-ROW(Payslip_Lookup[#Headers])))</f>
        <v/>
      </c>
      <c r="N420" s="174" t="str">
        <f aca="false">IF(INDEX(Salary_Calculation[Source Row],ROW()-ROW(Payslip_Lookup[#Headers]))="","",INDEX(Salary_Calculation[Orders Counted at Base Rate],ROW()-ROW(Payslip_Lookup[#Headers])))</f>
        <v/>
      </c>
      <c r="O420" s="174" t="str">
        <f aca="false">IF(INDEX(Salary_Calculation[Source Row],ROW()-ROW(Payslip_Lookup[#Headers]))="","",INDEX(Salary_Calculation[Missing Orders],ROW()-ROW(Payslip_Lookup[#Headers])))</f>
        <v/>
      </c>
      <c r="P420" s="176" t="str">
        <f aca="false">IF(INDEX(Salary_Calculation[Source Row],ROW()-ROW(Payslip_Lookup[#Headers]))="","",INDEX(Salary_Calculation[Missing-Order Deduction],ROW()-ROW(Payslip_Lookup[#Headers])))</f>
        <v/>
      </c>
      <c r="Q420" s="174" t="str">
        <f aca="false">IF(INDEX(Salary_Calculation[Source Row],ROW()-ROW(Payslip_Lookup[#Headers]))="","",INDEX(Salary_Calculation[Extra Orders],ROW()-ROW(Payslip_Lookup[#Headers])))</f>
        <v/>
      </c>
      <c r="R420" s="176" t="str">
        <f aca="false">IF(INDEX(Salary_Calculation[Source Row],ROW()-ROW(Payslip_Lookup[#Headers]))="","",INDEX(Salary_Calculation[Extra-Order Bonus],ROW()-ROW(Payslip_Lookup[#Headers])))</f>
        <v/>
      </c>
      <c r="S420" s="176" t="str">
        <f aca="false">IF(INDEX(Salary_Calculation[Source Row],ROW()-ROW(Payslip_Lookup[#Headers]))="","",INDEX(Salary_Calculation[Basic Salary for Target],ROW()-ROW(Payslip_Lookup[#Headers])))</f>
        <v/>
      </c>
      <c r="T420" s="176" t="str">
        <f aca="false">IF(INDEX(Salary_Calculation[Source Row],ROW()-ROW(Payslip_Lookup[#Headers]))="","",INDEX(Salary_Calculation[Gross Salary Before Deductions],ROW()-ROW(Payslip_Lookup[#Headers])))</f>
        <v/>
      </c>
      <c r="U420" s="176" t="str">
        <f aca="false">IF(INDEX(Salary_Calculation[Source Row],ROW()-ROW(Payslip_Lookup[#Headers]))="","",INDEX(Salary_Calculation[missed_days_penalty],ROW()-ROW(Payslip_Lookup[#Headers])))</f>
        <v/>
      </c>
      <c r="V420" s="176" t="str">
        <f aca="false">IF(INDEX(Salary_Calculation[Source Row],ROW()-ROW(Payslip_Lookup[#Headers]))="","",INDEX(Salary_Calculation[Rider Balance],ROW()-ROW(Payslip_Lookup[#Headers])))</f>
        <v/>
      </c>
      <c r="W420" s="176" t="str">
        <f aca="false">IF(INDEX(Salary_Calculation[Source Row],ROW()-ROW(Payslip_Lookup[#Headers]))="","",INDEX(Salary_Calculation[stacking_deduction],ROW()-ROW(Payslip_Lookup[#Headers])))</f>
        <v/>
      </c>
      <c r="X420" s="176" t="str">
        <f aca="false">IF(INDEX(Salary_Calculation[Source Row],ROW()-ROW(Payslip_Lookup[#Headers]))="","",INDEX(Salary_Calculation[Other Deductions],ROW()-ROW(Payslip_Lookup[#Headers])))</f>
        <v/>
      </c>
      <c r="Y420" s="176" t="str">
        <f aca="false">IF(INDEX(Salary_Calculation[Source Row],ROW()-ROW(Payslip_Lookup[#Headers]))="","",INDEX(Salary_Calculation[Total Deductions],ROW()-ROW(Payslip_Lookup[#Headers])))</f>
        <v/>
      </c>
      <c r="Z420" s="176" t="str">
        <f aca="false">IF(INDEX(Salary_Calculation[Source Row],ROW()-ROW(Payslip_Lookup[#Headers]))="","",INDEX(Salary_Calculation[Final Salary],ROW()-ROW(Payslip_Lookup[#Headers])))</f>
        <v/>
      </c>
      <c r="AA420" s="176" t="str">
        <f aca="false">IF(INDEX(Salary_Calculation[Source Row],ROW()-ROW(Payslip_Lookup[#Headers]))="","",INDEX(Salary_Calculation[Negative Balance / Amount Due from Rider],ROW()-ROW(Payslip_Lookup[#Headers])))</f>
        <v/>
      </c>
      <c r="AB420" s="176" t="str">
        <f aca="false">IF(INDEX(Salary_Calculation[Source Row],ROW()-ROW(Payslip_Lookup[#Headers]))="","",INDEX(Salary_Calculation[Total Amount Due from Rider],ROW()-ROW(Payslip_Lookup[#Headers])))</f>
        <v/>
      </c>
      <c r="AC420" s="176" t="str">
        <f aca="false">IF(INDEX(Salary_Calculation[Source Row],ROW()-ROW(Payslip_Lookup[#Headers]))="","",INDEX(Salary_Calculation[Salary Before Other Deductions],ROW()-ROW(Payslip_Lookup[#Headers])))</f>
        <v/>
      </c>
      <c r="AD420" s="171" t="str">
        <f aca="false">IF(INDEX(Salary_Calculation[Source Row],ROW()-ROW(Payslip_Lookup[#Headers]))="","",INDEX(Salary_Calculation[Payment Status],ROW()-ROW(Payslip_Lookup[#Headers])))</f>
        <v/>
      </c>
      <c r="AE420" s="171" t="str">
        <f aca="false">IF(INDEX(Salary_Calculation[Source Row],ROW()-ROW(Payslip_Lookup[#Headers]))="","",INDEX(Salary_Calculation[Notes],ROW()-ROW(Payslip_Lookup[#Headers])))</f>
        <v/>
      </c>
      <c r="AF420" s="171" t="str">
        <f aca="false">IF(INDEX(Salary_Calculation[Source Row],ROW()-ROW(Payslip_Lookup[#Headers]))="","",INDEX(Salary_Calculation[Exception Reason],ROW()-ROW(Payslip_Lookup[#Headers])))</f>
        <v/>
      </c>
      <c r="AG420" s="173" t="str">
        <f aca="false">IF($AD420="Review Required",COUNTIF(AD$2:AD420,"Review Required"),"")</f>
        <v/>
      </c>
      <c r="AH420" s="173" t="str">
        <f aca="false">IF(AND($D420&lt;&gt;"",$B420=Payslip_Print!$C$2),MAX(AH$1:AH419)+1,"")</f>
        <v/>
      </c>
      <c r="AL420" s="178" t="str">
        <f aca="false">IFERROR(INDEX($D$2:$D$501,MATCH(ROW()-1,$AH$2:$AH$501,0)),"")</f>
        <v/>
      </c>
      <c r="AM420" s="179" t="str">
        <f aca="false">IF($Z420="","",IF(AND($C420&gt;=Dash_Start,$C420&lt;Dash_End),$Z420+ROW()/10000000,""))</f>
        <v/>
      </c>
    </row>
    <row r="421" customFormat="false" ht="14.25" hidden="false" customHeight="false" outlineLevel="0" collapsed="false">
      <c r="A421" s="171" t="str">
        <f aca="false">IF(Payslip_Lookup[[#This Row],[Rider ID]]="","",Payslip_Lookup[[#This Row],[Rider ID]]&amp;"|"&amp;Payslip_Lookup[[#This Row],[Month Key]])</f>
        <v/>
      </c>
      <c r="B421" s="172" t="str">
        <f aca="false">IF(ISNUMBER(Payslip_Lookup[[#This Row],[Salary Month]]),DATE(YEAR(Payslip_Lookup[[#This Row],[Salary Month]]),MONTH(Payslip_Lookup[[#This Row],[Salary Month]]),1),"")</f>
        <v/>
      </c>
      <c r="C421" s="172" t="str">
        <f aca="false">IF(INDEX(Salary_Calculation[Source Row],ROW()-ROW(Payslip_Lookup[#Headers]))="","",INDEX(Salary_Calculation[Salary Month],ROW()-ROW(Payslip_Lookup[#Headers])))</f>
        <v/>
      </c>
      <c r="D421" s="173" t="str">
        <f aca="false">IF(INDEX(Salary_Calculation[Source Row],ROW()-ROW(Payslip_Lookup[#Headers]))="","",INDEX(Salary_Calculation[Rider ID],ROW()-ROW(Payslip_Lookup[#Headers])))</f>
        <v/>
      </c>
      <c r="E421" s="171" t="str">
        <f aca="false">IF(INDEX(Salary_Calculation[Source Row],ROW()-ROW(Payslip_Lookup[#Headers]))="","",INDEX(Salary_Calculation[Rider Name],ROW()-ROW(Payslip_Lookup[#Headers])))</f>
        <v/>
      </c>
      <c r="F421" s="173" t="str">
        <f aca="false">IF(INDEX(Salary_Calculation[Source Row],ROW()-ROW(Payslip_Lookup[#Headers]))="","",INDEX(Salary_Calculation[Working Days],ROW()-ROW(Payslip_Lookup[#Headers])))</f>
        <v/>
      </c>
      <c r="G421" s="173" t="str">
        <f aca="false">IF(INDEX(Salary_Calculation[Source Row],ROW()-ROW(Payslip_Lookup[#Headers]))="","",INDEX(Salary_Calculation[Calendar Days],ROW()-ROW(Payslip_Lookup[#Headers])))</f>
        <v/>
      </c>
      <c r="H421" s="174" t="str">
        <f aca="false">IF(INDEX(Salary_Calculation[Source Row],ROW()-ROW(Payslip_Lookup[#Headers]))="","",INDEX(Salary_Calculation[Monthly Target Orders],ROW()-ROW(Payslip_Lookup[#Headers])))</f>
        <v/>
      </c>
      <c r="I421" s="174" t="str">
        <f aca="false">IF(INDEX(Salary_Calculation[Source Row],ROW()-ROW(Payslip_Lookup[#Headers]))="","",INDEX(Salary_Calculation[Rider Target Orders],ROW()-ROW(Payslip_Lookup[#Headers])))</f>
        <v/>
      </c>
      <c r="J421" s="175" t="str">
        <f aca="false">IF(INDEX(Salary_Calculation[Source Row],ROW()-ROW(Payslip_Lookup[#Headers]))="","",INDEX(Salary_Calculation[Completed Orders],ROW()-ROW(Payslip_Lookup[#Headers])))</f>
        <v/>
      </c>
      <c r="K421" s="174" t="str">
        <f aca="false">IF(INDEX(Salary_Calculation[Source Row],ROW()-ROW(Payslip_Lookup[#Headers]))="","",INDEX(Salary_Calculation[Base Order Rate],ROW()-ROW(Payslip_Lookup[#Headers])))</f>
        <v/>
      </c>
      <c r="L421" s="176" t="str">
        <f aca="false">IF(INDEX(Salary_Calculation[Source Row],ROW()-ROW(Payslip_Lookup[#Headers]))="","",INDEX(Salary_Calculation[Basic Payment],ROW()-ROW(Payslip_Lookup[#Headers])))</f>
        <v/>
      </c>
      <c r="M421" s="176" t="str">
        <f aca="false">IF(INDEX(Salary_Calculation[Source Row],ROW()-ROW(Payslip_Lookup[#Headers]))="","",INDEX(Salary_Calculation[Earned Salary],ROW()-ROW(Payslip_Lookup[#Headers])))</f>
        <v/>
      </c>
      <c r="N421" s="174" t="str">
        <f aca="false">IF(INDEX(Salary_Calculation[Source Row],ROW()-ROW(Payslip_Lookup[#Headers]))="","",INDEX(Salary_Calculation[Orders Counted at Base Rate],ROW()-ROW(Payslip_Lookup[#Headers])))</f>
        <v/>
      </c>
      <c r="O421" s="174" t="str">
        <f aca="false">IF(INDEX(Salary_Calculation[Source Row],ROW()-ROW(Payslip_Lookup[#Headers]))="","",INDEX(Salary_Calculation[Missing Orders],ROW()-ROW(Payslip_Lookup[#Headers])))</f>
        <v/>
      </c>
      <c r="P421" s="176" t="str">
        <f aca="false">IF(INDEX(Salary_Calculation[Source Row],ROW()-ROW(Payslip_Lookup[#Headers]))="","",INDEX(Salary_Calculation[Missing-Order Deduction],ROW()-ROW(Payslip_Lookup[#Headers])))</f>
        <v/>
      </c>
      <c r="Q421" s="174" t="str">
        <f aca="false">IF(INDEX(Salary_Calculation[Source Row],ROW()-ROW(Payslip_Lookup[#Headers]))="","",INDEX(Salary_Calculation[Extra Orders],ROW()-ROW(Payslip_Lookup[#Headers])))</f>
        <v/>
      </c>
      <c r="R421" s="176" t="str">
        <f aca="false">IF(INDEX(Salary_Calculation[Source Row],ROW()-ROW(Payslip_Lookup[#Headers]))="","",INDEX(Salary_Calculation[Extra-Order Bonus],ROW()-ROW(Payslip_Lookup[#Headers])))</f>
        <v/>
      </c>
      <c r="S421" s="176" t="str">
        <f aca="false">IF(INDEX(Salary_Calculation[Source Row],ROW()-ROW(Payslip_Lookup[#Headers]))="","",INDEX(Salary_Calculation[Basic Salary for Target],ROW()-ROW(Payslip_Lookup[#Headers])))</f>
        <v/>
      </c>
      <c r="T421" s="176" t="str">
        <f aca="false">IF(INDEX(Salary_Calculation[Source Row],ROW()-ROW(Payslip_Lookup[#Headers]))="","",INDEX(Salary_Calculation[Gross Salary Before Deductions],ROW()-ROW(Payslip_Lookup[#Headers])))</f>
        <v/>
      </c>
      <c r="U421" s="176" t="str">
        <f aca="false">IF(INDEX(Salary_Calculation[Source Row],ROW()-ROW(Payslip_Lookup[#Headers]))="","",INDEX(Salary_Calculation[missed_days_penalty],ROW()-ROW(Payslip_Lookup[#Headers])))</f>
        <v/>
      </c>
      <c r="V421" s="176" t="str">
        <f aca="false">IF(INDEX(Salary_Calculation[Source Row],ROW()-ROW(Payslip_Lookup[#Headers]))="","",INDEX(Salary_Calculation[Rider Balance],ROW()-ROW(Payslip_Lookup[#Headers])))</f>
        <v/>
      </c>
      <c r="W421" s="176" t="str">
        <f aca="false">IF(INDEX(Salary_Calculation[Source Row],ROW()-ROW(Payslip_Lookup[#Headers]))="","",INDEX(Salary_Calculation[stacking_deduction],ROW()-ROW(Payslip_Lookup[#Headers])))</f>
        <v/>
      </c>
      <c r="X421" s="176" t="str">
        <f aca="false">IF(INDEX(Salary_Calculation[Source Row],ROW()-ROW(Payslip_Lookup[#Headers]))="","",INDEX(Salary_Calculation[Other Deductions],ROW()-ROW(Payslip_Lookup[#Headers])))</f>
        <v/>
      </c>
      <c r="Y421" s="176" t="str">
        <f aca="false">IF(INDEX(Salary_Calculation[Source Row],ROW()-ROW(Payslip_Lookup[#Headers]))="","",INDEX(Salary_Calculation[Total Deductions],ROW()-ROW(Payslip_Lookup[#Headers])))</f>
        <v/>
      </c>
      <c r="Z421" s="176" t="str">
        <f aca="false">IF(INDEX(Salary_Calculation[Source Row],ROW()-ROW(Payslip_Lookup[#Headers]))="","",INDEX(Salary_Calculation[Final Salary],ROW()-ROW(Payslip_Lookup[#Headers])))</f>
        <v/>
      </c>
      <c r="AA421" s="176" t="str">
        <f aca="false">IF(INDEX(Salary_Calculation[Source Row],ROW()-ROW(Payslip_Lookup[#Headers]))="","",INDEX(Salary_Calculation[Negative Balance / Amount Due from Rider],ROW()-ROW(Payslip_Lookup[#Headers])))</f>
        <v/>
      </c>
      <c r="AB421" s="176" t="str">
        <f aca="false">IF(INDEX(Salary_Calculation[Source Row],ROW()-ROW(Payslip_Lookup[#Headers]))="","",INDEX(Salary_Calculation[Total Amount Due from Rider],ROW()-ROW(Payslip_Lookup[#Headers])))</f>
        <v/>
      </c>
      <c r="AC421" s="176" t="str">
        <f aca="false">IF(INDEX(Salary_Calculation[Source Row],ROW()-ROW(Payslip_Lookup[#Headers]))="","",INDEX(Salary_Calculation[Salary Before Other Deductions],ROW()-ROW(Payslip_Lookup[#Headers])))</f>
        <v/>
      </c>
      <c r="AD421" s="171" t="str">
        <f aca="false">IF(INDEX(Salary_Calculation[Source Row],ROW()-ROW(Payslip_Lookup[#Headers]))="","",INDEX(Salary_Calculation[Payment Status],ROW()-ROW(Payslip_Lookup[#Headers])))</f>
        <v/>
      </c>
      <c r="AE421" s="171" t="str">
        <f aca="false">IF(INDEX(Salary_Calculation[Source Row],ROW()-ROW(Payslip_Lookup[#Headers]))="","",INDEX(Salary_Calculation[Notes],ROW()-ROW(Payslip_Lookup[#Headers])))</f>
        <v/>
      </c>
      <c r="AF421" s="171" t="str">
        <f aca="false">IF(INDEX(Salary_Calculation[Source Row],ROW()-ROW(Payslip_Lookup[#Headers]))="","",INDEX(Salary_Calculation[Exception Reason],ROW()-ROW(Payslip_Lookup[#Headers])))</f>
        <v/>
      </c>
      <c r="AG421" s="173" t="str">
        <f aca="false">IF($AD421="Review Required",COUNTIF(AD$2:AD421,"Review Required"),"")</f>
        <v/>
      </c>
      <c r="AH421" s="173" t="str">
        <f aca="false">IF(AND($D421&lt;&gt;"",$B421=Payslip_Print!$C$2),MAX(AH$1:AH420)+1,"")</f>
        <v/>
      </c>
      <c r="AL421" s="178" t="str">
        <f aca="false">IFERROR(INDEX($D$2:$D$501,MATCH(ROW()-1,$AH$2:$AH$501,0)),"")</f>
        <v/>
      </c>
      <c r="AM421" s="179" t="str">
        <f aca="false">IF($Z421="","",IF(AND($C421&gt;=Dash_Start,$C421&lt;Dash_End),$Z421+ROW()/10000000,""))</f>
        <v/>
      </c>
    </row>
    <row r="422" customFormat="false" ht="14.25" hidden="false" customHeight="false" outlineLevel="0" collapsed="false">
      <c r="A422" s="171" t="str">
        <f aca="false">IF(Payslip_Lookup[[#This Row],[Rider ID]]="","",Payslip_Lookup[[#This Row],[Rider ID]]&amp;"|"&amp;Payslip_Lookup[[#This Row],[Month Key]])</f>
        <v/>
      </c>
      <c r="B422" s="172" t="str">
        <f aca="false">IF(ISNUMBER(Payslip_Lookup[[#This Row],[Salary Month]]),DATE(YEAR(Payslip_Lookup[[#This Row],[Salary Month]]),MONTH(Payslip_Lookup[[#This Row],[Salary Month]]),1),"")</f>
        <v/>
      </c>
      <c r="C422" s="172" t="str">
        <f aca="false">IF(INDEX(Salary_Calculation[Source Row],ROW()-ROW(Payslip_Lookup[#Headers]))="","",INDEX(Salary_Calculation[Salary Month],ROW()-ROW(Payslip_Lookup[#Headers])))</f>
        <v/>
      </c>
      <c r="D422" s="173" t="str">
        <f aca="false">IF(INDEX(Salary_Calculation[Source Row],ROW()-ROW(Payslip_Lookup[#Headers]))="","",INDEX(Salary_Calculation[Rider ID],ROW()-ROW(Payslip_Lookup[#Headers])))</f>
        <v/>
      </c>
      <c r="E422" s="171" t="str">
        <f aca="false">IF(INDEX(Salary_Calculation[Source Row],ROW()-ROW(Payslip_Lookup[#Headers]))="","",INDEX(Salary_Calculation[Rider Name],ROW()-ROW(Payslip_Lookup[#Headers])))</f>
        <v/>
      </c>
      <c r="F422" s="173" t="str">
        <f aca="false">IF(INDEX(Salary_Calculation[Source Row],ROW()-ROW(Payslip_Lookup[#Headers]))="","",INDEX(Salary_Calculation[Working Days],ROW()-ROW(Payslip_Lookup[#Headers])))</f>
        <v/>
      </c>
      <c r="G422" s="173" t="str">
        <f aca="false">IF(INDEX(Salary_Calculation[Source Row],ROW()-ROW(Payslip_Lookup[#Headers]))="","",INDEX(Salary_Calculation[Calendar Days],ROW()-ROW(Payslip_Lookup[#Headers])))</f>
        <v/>
      </c>
      <c r="H422" s="174" t="str">
        <f aca="false">IF(INDEX(Salary_Calculation[Source Row],ROW()-ROW(Payslip_Lookup[#Headers]))="","",INDEX(Salary_Calculation[Monthly Target Orders],ROW()-ROW(Payslip_Lookup[#Headers])))</f>
        <v/>
      </c>
      <c r="I422" s="174" t="str">
        <f aca="false">IF(INDEX(Salary_Calculation[Source Row],ROW()-ROW(Payslip_Lookup[#Headers]))="","",INDEX(Salary_Calculation[Rider Target Orders],ROW()-ROW(Payslip_Lookup[#Headers])))</f>
        <v/>
      </c>
      <c r="J422" s="175" t="str">
        <f aca="false">IF(INDEX(Salary_Calculation[Source Row],ROW()-ROW(Payslip_Lookup[#Headers]))="","",INDEX(Salary_Calculation[Completed Orders],ROW()-ROW(Payslip_Lookup[#Headers])))</f>
        <v/>
      </c>
      <c r="K422" s="174" t="str">
        <f aca="false">IF(INDEX(Salary_Calculation[Source Row],ROW()-ROW(Payslip_Lookup[#Headers]))="","",INDEX(Salary_Calculation[Base Order Rate],ROW()-ROW(Payslip_Lookup[#Headers])))</f>
        <v/>
      </c>
      <c r="L422" s="176" t="str">
        <f aca="false">IF(INDEX(Salary_Calculation[Source Row],ROW()-ROW(Payslip_Lookup[#Headers]))="","",INDEX(Salary_Calculation[Basic Payment],ROW()-ROW(Payslip_Lookup[#Headers])))</f>
        <v/>
      </c>
      <c r="M422" s="176" t="str">
        <f aca="false">IF(INDEX(Salary_Calculation[Source Row],ROW()-ROW(Payslip_Lookup[#Headers]))="","",INDEX(Salary_Calculation[Earned Salary],ROW()-ROW(Payslip_Lookup[#Headers])))</f>
        <v/>
      </c>
      <c r="N422" s="174" t="str">
        <f aca="false">IF(INDEX(Salary_Calculation[Source Row],ROW()-ROW(Payslip_Lookup[#Headers]))="","",INDEX(Salary_Calculation[Orders Counted at Base Rate],ROW()-ROW(Payslip_Lookup[#Headers])))</f>
        <v/>
      </c>
      <c r="O422" s="174" t="str">
        <f aca="false">IF(INDEX(Salary_Calculation[Source Row],ROW()-ROW(Payslip_Lookup[#Headers]))="","",INDEX(Salary_Calculation[Missing Orders],ROW()-ROW(Payslip_Lookup[#Headers])))</f>
        <v/>
      </c>
      <c r="P422" s="176" t="str">
        <f aca="false">IF(INDEX(Salary_Calculation[Source Row],ROW()-ROW(Payslip_Lookup[#Headers]))="","",INDEX(Salary_Calculation[Missing-Order Deduction],ROW()-ROW(Payslip_Lookup[#Headers])))</f>
        <v/>
      </c>
      <c r="Q422" s="174" t="str">
        <f aca="false">IF(INDEX(Salary_Calculation[Source Row],ROW()-ROW(Payslip_Lookup[#Headers]))="","",INDEX(Salary_Calculation[Extra Orders],ROW()-ROW(Payslip_Lookup[#Headers])))</f>
        <v/>
      </c>
      <c r="R422" s="176" t="str">
        <f aca="false">IF(INDEX(Salary_Calculation[Source Row],ROW()-ROW(Payslip_Lookup[#Headers]))="","",INDEX(Salary_Calculation[Extra-Order Bonus],ROW()-ROW(Payslip_Lookup[#Headers])))</f>
        <v/>
      </c>
      <c r="S422" s="176" t="str">
        <f aca="false">IF(INDEX(Salary_Calculation[Source Row],ROW()-ROW(Payslip_Lookup[#Headers]))="","",INDEX(Salary_Calculation[Basic Salary for Target],ROW()-ROW(Payslip_Lookup[#Headers])))</f>
        <v/>
      </c>
      <c r="T422" s="176" t="str">
        <f aca="false">IF(INDEX(Salary_Calculation[Source Row],ROW()-ROW(Payslip_Lookup[#Headers]))="","",INDEX(Salary_Calculation[Gross Salary Before Deductions],ROW()-ROW(Payslip_Lookup[#Headers])))</f>
        <v/>
      </c>
      <c r="U422" s="176" t="str">
        <f aca="false">IF(INDEX(Salary_Calculation[Source Row],ROW()-ROW(Payslip_Lookup[#Headers]))="","",INDEX(Salary_Calculation[missed_days_penalty],ROW()-ROW(Payslip_Lookup[#Headers])))</f>
        <v/>
      </c>
      <c r="V422" s="176" t="str">
        <f aca="false">IF(INDEX(Salary_Calculation[Source Row],ROW()-ROW(Payslip_Lookup[#Headers]))="","",INDEX(Salary_Calculation[Rider Balance],ROW()-ROW(Payslip_Lookup[#Headers])))</f>
        <v/>
      </c>
      <c r="W422" s="176" t="str">
        <f aca="false">IF(INDEX(Salary_Calculation[Source Row],ROW()-ROW(Payslip_Lookup[#Headers]))="","",INDEX(Salary_Calculation[stacking_deduction],ROW()-ROW(Payslip_Lookup[#Headers])))</f>
        <v/>
      </c>
      <c r="X422" s="176" t="str">
        <f aca="false">IF(INDEX(Salary_Calculation[Source Row],ROW()-ROW(Payslip_Lookup[#Headers]))="","",INDEX(Salary_Calculation[Other Deductions],ROW()-ROW(Payslip_Lookup[#Headers])))</f>
        <v/>
      </c>
      <c r="Y422" s="176" t="str">
        <f aca="false">IF(INDEX(Salary_Calculation[Source Row],ROW()-ROW(Payslip_Lookup[#Headers]))="","",INDEX(Salary_Calculation[Total Deductions],ROW()-ROW(Payslip_Lookup[#Headers])))</f>
        <v/>
      </c>
      <c r="Z422" s="176" t="str">
        <f aca="false">IF(INDEX(Salary_Calculation[Source Row],ROW()-ROW(Payslip_Lookup[#Headers]))="","",INDEX(Salary_Calculation[Final Salary],ROW()-ROW(Payslip_Lookup[#Headers])))</f>
        <v/>
      </c>
      <c r="AA422" s="176" t="str">
        <f aca="false">IF(INDEX(Salary_Calculation[Source Row],ROW()-ROW(Payslip_Lookup[#Headers]))="","",INDEX(Salary_Calculation[Negative Balance / Amount Due from Rider],ROW()-ROW(Payslip_Lookup[#Headers])))</f>
        <v/>
      </c>
      <c r="AB422" s="176" t="str">
        <f aca="false">IF(INDEX(Salary_Calculation[Source Row],ROW()-ROW(Payslip_Lookup[#Headers]))="","",INDEX(Salary_Calculation[Total Amount Due from Rider],ROW()-ROW(Payslip_Lookup[#Headers])))</f>
        <v/>
      </c>
      <c r="AC422" s="176" t="str">
        <f aca="false">IF(INDEX(Salary_Calculation[Source Row],ROW()-ROW(Payslip_Lookup[#Headers]))="","",INDEX(Salary_Calculation[Salary Before Other Deductions],ROW()-ROW(Payslip_Lookup[#Headers])))</f>
        <v/>
      </c>
      <c r="AD422" s="171" t="str">
        <f aca="false">IF(INDEX(Salary_Calculation[Source Row],ROW()-ROW(Payslip_Lookup[#Headers]))="","",INDEX(Salary_Calculation[Payment Status],ROW()-ROW(Payslip_Lookup[#Headers])))</f>
        <v/>
      </c>
      <c r="AE422" s="171" t="str">
        <f aca="false">IF(INDEX(Salary_Calculation[Source Row],ROW()-ROW(Payslip_Lookup[#Headers]))="","",INDEX(Salary_Calculation[Notes],ROW()-ROW(Payslip_Lookup[#Headers])))</f>
        <v/>
      </c>
      <c r="AF422" s="171" t="str">
        <f aca="false">IF(INDEX(Salary_Calculation[Source Row],ROW()-ROW(Payslip_Lookup[#Headers]))="","",INDEX(Salary_Calculation[Exception Reason],ROW()-ROW(Payslip_Lookup[#Headers])))</f>
        <v/>
      </c>
      <c r="AG422" s="173" t="str">
        <f aca="false">IF($AD422="Review Required",COUNTIF(AD$2:AD422,"Review Required"),"")</f>
        <v/>
      </c>
      <c r="AH422" s="173" t="str">
        <f aca="false">IF(AND($D422&lt;&gt;"",$B422=Payslip_Print!$C$2),MAX(AH$1:AH421)+1,"")</f>
        <v/>
      </c>
      <c r="AL422" s="178" t="str">
        <f aca="false">IFERROR(INDEX($D$2:$D$501,MATCH(ROW()-1,$AH$2:$AH$501,0)),"")</f>
        <v/>
      </c>
      <c r="AM422" s="179" t="str">
        <f aca="false">IF($Z422="","",IF(AND($C422&gt;=Dash_Start,$C422&lt;Dash_End),$Z422+ROW()/10000000,""))</f>
        <v/>
      </c>
    </row>
    <row r="423" customFormat="false" ht="14.25" hidden="false" customHeight="false" outlineLevel="0" collapsed="false">
      <c r="A423" s="171" t="str">
        <f aca="false">IF(Payslip_Lookup[[#This Row],[Rider ID]]="","",Payslip_Lookup[[#This Row],[Rider ID]]&amp;"|"&amp;Payslip_Lookup[[#This Row],[Month Key]])</f>
        <v/>
      </c>
      <c r="B423" s="172" t="str">
        <f aca="false">IF(ISNUMBER(Payslip_Lookup[[#This Row],[Salary Month]]),DATE(YEAR(Payslip_Lookup[[#This Row],[Salary Month]]),MONTH(Payslip_Lookup[[#This Row],[Salary Month]]),1),"")</f>
        <v/>
      </c>
      <c r="C423" s="172" t="str">
        <f aca="false">IF(INDEX(Salary_Calculation[Source Row],ROW()-ROW(Payslip_Lookup[#Headers]))="","",INDEX(Salary_Calculation[Salary Month],ROW()-ROW(Payslip_Lookup[#Headers])))</f>
        <v/>
      </c>
      <c r="D423" s="173" t="str">
        <f aca="false">IF(INDEX(Salary_Calculation[Source Row],ROW()-ROW(Payslip_Lookup[#Headers]))="","",INDEX(Salary_Calculation[Rider ID],ROW()-ROW(Payslip_Lookup[#Headers])))</f>
        <v/>
      </c>
      <c r="E423" s="171" t="str">
        <f aca="false">IF(INDEX(Salary_Calculation[Source Row],ROW()-ROW(Payslip_Lookup[#Headers]))="","",INDEX(Salary_Calculation[Rider Name],ROW()-ROW(Payslip_Lookup[#Headers])))</f>
        <v/>
      </c>
      <c r="F423" s="173" t="str">
        <f aca="false">IF(INDEX(Salary_Calculation[Source Row],ROW()-ROW(Payslip_Lookup[#Headers]))="","",INDEX(Salary_Calculation[Working Days],ROW()-ROW(Payslip_Lookup[#Headers])))</f>
        <v/>
      </c>
      <c r="G423" s="173" t="str">
        <f aca="false">IF(INDEX(Salary_Calculation[Source Row],ROW()-ROW(Payslip_Lookup[#Headers]))="","",INDEX(Salary_Calculation[Calendar Days],ROW()-ROW(Payslip_Lookup[#Headers])))</f>
        <v/>
      </c>
      <c r="H423" s="174" t="str">
        <f aca="false">IF(INDEX(Salary_Calculation[Source Row],ROW()-ROW(Payslip_Lookup[#Headers]))="","",INDEX(Salary_Calculation[Monthly Target Orders],ROW()-ROW(Payslip_Lookup[#Headers])))</f>
        <v/>
      </c>
      <c r="I423" s="174" t="str">
        <f aca="false">IF(INDEX(Salary_Calculation[Source Row],ROW()-ROW(Payslip_Lookup[#Headers]))="","",INDEX(Salary_Calculation[Rider Target Orders],ROW()-ROW(Payslip_Lookup[#Headers])))</f>
        <v/>
      </c>
      <c r="J423" s="175" t="str">
        <f aca="false">IF(INDEX(Salary_Calculation[Source Row],ROW()-ROW(Payslip_Lookup[#Headers]))="","",INDEX(Salary_Calculation[Completed Orders],ROW()-ROW(Payslip_Lookup[#Headers])))</f>
        <v/>
      </c>
      <c r="K423" s="174" t="str">
        <f aca="false">IF(INDEX(Salary_Calculation[Source Row],ROW()-ROW(Payslip_Lookup[#Headers]))="","",INDEX(Salary_Calculation[Base Order Rate],ROW()-ROW(Payslip_Lookup[#Headers])))</f>
        <v/>
      </c>
      <c r="L423" s="176" t="str">
        <f aca="false">IF(INDEX(Salary_Calculation[Source Row],ROW()-ROW(Payslip_Lookup[#Headers]))="","",INDEX(Salary_Calculation[Basic Payment],ROW()-ROW(Payslip_Lookup[#Headers])))</f>
        <v/>
      </c>
      <c r="M423" s="176" t="str">
        <f aca="false">IF(INDEX(Salary_Calculation[Source Row],ROW()-ROW(Payslip_Lookup[#Headers]))="","",INDEX(Salary_Calculation[Earned Salary],ROW()-ROW(Payslip_Lookup[#Headers])))</f>
        <v/>
      </c>
      <c r="N423" s="174" t="str">
        <f aca="false">IF(INDEX(Salary_Calculation[Source Row],ROW()-ROW(Payslip_Lookup[#Headers]))="","",INDEX(Salary_Calculation[Orders Counted at Base Rate],ROW()-ROW(Payslip_Lookup[#Headers])))</f>
        <v/>
      </c>
      <c r="O423" s="174" t="str">
        <f aca="false">IF(INDEX(Salary_Calculation[Source Row],ROW()-ROW(Payslip_Lookup[#Headers]))="","",INDEX(Salary_Calculation[Missing Orders],ROW()-ROW(Payslip_Lookup[#Headers])))</f>
        <v/>
      </c>
      <c r="P423" s="176" t="str">
        <f aca="false">IF(INDEX(Salary_Calculation[Source Row],ROW()-ROW(Payslip_Lookup[#Headers]))="","",INDEX(Salary_Calculation[Missing-Order Deduction],ROW()-ROW(Payslip_Lookup[#Headers])))</f>
        <v/>
      </c>
      <c r="Q423" s="174" t="str">
        <f aca="false">IF(INDEX(Salary_Calculation[Source Row],ROW()-ROW(Payslip_Lookup[#Headers]))="","",INDEX(Salary_Calculation[Extra Orders],ROW()-ROW(Payslip_Lookup[#Headers])))</f>
        <v/>
      </c>
      <c r="R423" s="176" t="str">
        <f aca="false">IF(INDEX(Salary_Calculation[Source Row],ROW()-ROW(Payslip_Lookup[#Headers]))="","",INDEX(Salary_Calculation[Extra-Order Bonus],ROW()-ROW(Payslip_Lookup[#Headers])))</f>
        <v/>
      </c>
      <c r="S423" s="176" t="str">
        <f aca="false">IF(INDEX(Salary_Calculation[Source Row],ROW()-ROW(Payslip_Lookup[#Headers]))="","",INDEX(Salary_Calculation[Basic Salary for Target],ROW()-ROW(Payslip_Lookup[#Headers])))</f>
        <v/>
      </c>
      <c r="T423" s="176" t="str">
        <f aca="false">IF(INDEX(Salary_Calculation[Source Row],ROW()-ROW(Payslip_Lookup[#Headers]))="","",INDEX(Salary_Calculation[Gross Salary Before Deductions],ROW()-ROW(Payslip_Lookup[#Headers])))</f>
        <v/>
      </c>
      <c r="U423" s="176" t="str">
        <f aca="false">IF(INDEX(Salary_Calculation[Source Row],ROW()-ROW(Payslip_Lookup[#Headers]))="","",INDEX(Salary_Calculation[missed_days_penalty],ROW()-ROW(Payslip_Lookup[#Headers])))</f>
        <v/>
      </c>
      <c r="V423" s="176" t="str">
        <f aca="false">IF(INDEX(Salary_Calculation[Source Row],ROW()-ROW(Payslip_Lookup[#Headers]))="","",INDEX(Salary_Calculation[Rider Balance],ROW()-ROW(Payslip_Lookup[#Headers])))</f>
        <v/>
      </c>
      <c r="W423" s="176" t="str">
        <f aca="false">IF(INDEX(Salary_Calculation[Source Row],ROW()-ROW(Payslip_Lookup[#Headers]))="","",INDEX(Salary_Calculation[stacking_deduction],ROW()-ROW(Payslip_Lookup[#Headers])))</f>
        <v/>
      </c>
      <c r="X423" s="176" t="str">
        <f aca="false">IF(INDEX(Salary_Calculation[Source Row],ROW()-ROW(Payslip_Lookup[#Headers]))="","",INDEX(Salary_Calculation[Other Deductions],ROW()-ROW(Payslip_Lookup[#Headers])))</f>
        <v/>
      </c>
      <c r="Y423" s="176" t="str">
        <f aca="false">IF(INDEX(Salary_Calculation[Source Row],ROW()-ROW(Payslip_Lookup[#Headers]))="","",INDEX(Salary_Calculation[Total Deductions],ROW()-ROW(Payslip_Lookup[#Headers])))</f>
        <v/>
      </c>
      <c r="Z423" s="176" t="str">
        <f aca="false">IF(INDEX(Salary_Calculation[Source Row],ROW()-ROW(Payslip_Lookup[#Headers]))="","",INDEX(Salary_Calculation[Final Salary],ROW()-ROW(Payslip_Lookup[#Headers])))</f>
        <v/>
      </c>
      <c r="AA423" s="176" t="str">
        <f aca="false">IF(INDEX(Salary_Calculation[Source Row],ROW()-ROW(Payslip_Lookup[#Headers]))="","",INDEX(Salary_Calculation[Negative Balance / Amount Due from Rider],ROW()-ROW(Payslip_Lookup[#Headers])))</f>
        <v/>
      </c>
      <c r="AB423" s="176" t="str">
        <f aca="false">IF(INDEX(Salary_Calculation[Source Row],ROW()-ROW(Payslip_Lookup[#Headers]))="","",INDEX(Salary_Calculation[Total Amount Due from Rider],ROW()-ROW(Payslip_Lookup[#Headers])))</f>
        <v/>
      </c>
      <c r="AC423" s="176" t="str">
        <f aca="false">IF(INDEX(Salary_Calculation[Source Row],ROW()-ROW(Payslip_Lookup[#Headers]))="","",INDEX(Salary_Calculation[Salary Before Other Deductions],ROW()-ROW(Payslip_Lookup[#Headers])))</f>
        <v/>
      </c>
      <c r="AD423" s="171" t="str">
        <f aca="false">IF(INDEX(Salary_Calculation[Source Row],ROW()-ROW(Payslip_Lookup[#Headers]))="","",INDEX(Salary_Calculation[Payment Status],ROW()-ROW(Payslip_Lookup[#Headers])))</f>
        <v/>
      </c>
      <c r="AE423" s="171" t="str">
        <f aca="false">IF(INDEX(Salary_Calculation[Source Row],ROW()-ROW(Payslip_Lookup[#Headers]))="","",INDEX(Salary_Calculation[Notes],ROW()-ROW(Payslip_Lookup[#Headers])))</f>
        <v/>
      </c>
      <c r="AF423" s="171" t="str">
        <f aca="false">IF(INDEX(Salary_Calculation[Source Row],ROW()-ROW(Payslip_Lookup[#Headers]))="","",INDEX(Salary_Calculation[Exception Reason],ROW()-ROW(Payslip_Lookup[#Headers])))</f>
        <v/>
      </c>
      <c r="AG423" s="173" t="str">
        <f aca="false">IF($AD423="Review Required",COUNTIF(AD$2:AD423,"Review Required"),"")</f>
        <v/>
      </c>
      <c r="AH423" s="173" t="str">
        <f aca="false">IF(AND($D423&lt;&gt;"",$B423=Payslip_Print!$C$2),MAX(AH$1:AH422)+1,"")</f>
        <v/>
      </c>
      <c r="AL423" s="178" t="str">
        <f aca="false">IFERROR(INDEX($D$2:$D$501,MATCH(ROW()-1,$AH$2:$AH$501,0)),"")</f>
        <v/>
      </c>
      <c r="AM423" s="179" t="str">
        <f aca="false">IF($Z423="","",IF(AND($C423&gt;=Dash_Start,$C423&lt;Dash_End),$Z423+ROW()/10000000,""))</f>
        <v/>
      </c>
    </row>
    <row r="424" customFormat="false" ht="14.25" hidden="false" customHeight="false" outlineLevel="0" collapsed="false">
      <c r="A424" s="171" t="str">
        <f aca="false">IF(Payslip_Lookup[[#This Row],[Rider ID]]="","",Payslip_Lookup[[#This Row],[Rider ID]]&amp;"|"&amp;Payslip_Lookup[[#This Row],[Month Key]])</f>
        <v/>
      </c>
      <c r="B424" s="172" t="str">
        <f aca="false">IF(ISNUMBER(Payslip_Lookup[[#This Row],[Salary Month]]),DATE(YEAR(Payslip_Lookup[[#This Row],[Salary Month]]),MONTH(Payslip_Lookup[[#This Row],[Salary Month]]),1),"")</f>
        <v/>
      </c>
      <c r="C424" s="172" t="str">
        <f aca="false">IF(INDEX(Salary_Calculation[Source Row],ROW()-ROW(Payslip_Lookup[#Headers]))="","",INDEX(Salary_Calculation[Salary Month],ROW()-ROW(Payslip_Lookup[#Headers])))</f>
        <v/>
      </c>
      <c r="D424" s="173" t="str">
        <f aca="false">IF(INDEX(Salary_Calculation[Source Row],ROW()-ROW(Payslip_Lookup[#Headers]))="","",INDEX(Salary_Calculation[Rider ID],ROW()-ROW(Payslip_Lookup[#Headers])))</f>
        <v/>
      </c>
      <c r="E424" s="171" t="str">
        <f aca="false">IF(INDEX(Salary_Calculation[Source Row],ROW()-ROW(Payslip_Lookup[#Headers]))="","",INDEX(Salary_Calculation[Rider Name],ROW()-ROW(Payslip_Lookup[#Headers])))</f>
        <v/>
      </c>
      <c r="F424" s="173" t="str">
        <f aca="false">IF(INDEX(Salary_Calculation[Source Row],ROW()-ROW(Payslip_Lookup[#Headers]))="","",INDEX(Salary_Calculation[Working Days],ROW()-ROW(Payslip_Lookup[#Headers])))</f>
        <v/>
      </c>
      <c r="G424" s="173" t="str">
        <f aca="false">IF(INDEX(Salary_Calculation[Source Row],ROW()-ROW(Payslip_Lookup[#Headers]))="","",INDEX(Salary_Calculation[Calendar Days],ROW()-ROW(Payslip_Lookup[#Headers])))</f>
        <v/>
      </c>
      <c r="H424" s="174" t="str">
        <f aca="false">IF(INDEX(Salary_Calculation[Source Row],ROW()-ROW(Payslip_Lookup[#Headers]))="","",INDEX(Salary_Calculation[Monthly Target Orders],ROW()-ROW(Payslip_Lookup[#Headers])))</f>
        <v/>
      </c>
      <c r="I424" s="174" t="str">
        <f aca="false">IF(INDEX(Salary_Calculation[Source Row],ROW()-ROW(Payslip_Lookup[#Headers]))="","",INDEX(Salary_Calculation[Rider Target Orders],ROW()-ROW(Payslip_Lookup[#Headers])))</f>
        <v/>
      </c>
      <c r="J424" s="175" t="str">
        <f aca="false">IF(INDEX(Salary_Calculation[Source Row],ROW()-ROW(Payslip_Lookup[#Headers]))="","",INDEX(Salary_Calculation[Completed Orders],ROW()-ROW(Payslip_Lookup[#Headers])))</f>
        <v/>
      </c>
      <c r="K424" s="174" t="str">
        <f aca="false">IF(INDEX(Salary_Calculation[Source Row],ROW()-ROW(Payslip_Lookup[#Headers]))="","",INDEX(Salary_Calculation[Base Order Rate],ROW()-ROW(Payslip_Lookup[#Headers])))</f>
        <v/>
      </c>
      <c r="L424" s="176" t="str">
        <f aca="false">IF(INDEX(Salary_Calculation[Source Row],ROW()-ROW(Payslip_Lookup[#Headers]))="","",INDEX(Salary_Calculation[Basic Payment],ROW()-ROW(Payslip_Lookup[#Headers])))</f>
        <v/>
      </c>
      <c r="M424" s="176" t="str">
        <f aca="false">IF(INDEX(Salary_Calculation[Source Row],ROW()-ROW(Payslip_Lookup[#Headers]))="","",INDEX(Salary_Calculation[Earned Salary],ROW()-ROW(Payslip_Lookup[#Headers])))</f>
        <v/>
      </c>
      <c r="N424" s="174" t="str">
        <f aca="false">IF(INDEX(Salary_Calculation[Source Row],ROW()-ROW(Payslip_Lookup[#Headers]))="","",INDEX(Salary_Calculation[Orders Counted at Base Rate],ROW()-ROW(Payslip_Lookup[#Headers])))</f>
        <v/>
      </c>
      <c r="O424" s="174" t="str">
        <f aca="false">IF(INDEX(Salary_Calculation[Source Row],ROW()-ROW(Payslip_Lookup[#Headers]))="","",INDEX(Salary_Calculation[Missing Orders],ROW()-ROW(Payslip_Lookup[#Headers])))</f>
        <v/>
      </c>
      <c r="P424" s="176" t="str">
        <f aca="false">IF(INDEX(Salary_Calculation[Source Row],ROW()-ROW(Payslip_Lookup[#Headers]))="","",INDEX(Salary_Calculation[Missing-Order Deduction],ROW()-ROW(Payslip_Lookup[#Headers])))</f>
        <v/>
      </c>
      <c r="Q424" s="174" t="str">
        <f aca="false">IF(INDEX(Salary_Calculation[Source Row],ROW()-ROW(Payslip_Lookup[#Headers]))="","",INDEX(Salary_Calculation[Extra Orders],ROW()-ROW(Payslip_Lookup[#Headers])))</f>
        <v/>
      </c>
      <c r="R424" s="176" t="str">
        <f aca="false">IF(INDEX(Salary_Calculation[Source Row],ROW()-ROW(Payslip_Lookup[#Headers]))="","",INDEX(Salary_Calculation[Extra-Order Bonus],ROW()-ROW(Payslip_Lookup[#Headers])))</f>
        <v/>
      </c>
      <c r="S424" s="176" t="str">
        <f aca="false">IF(INDEX(Salary_Calculation[Source Row],ROW()-ROW(Payslip_Lookup[#Headers]))="","",INDEX(Salary_Calculation[Basic Salary for Target],ROW()-ROW(Payslip_Lookup[#Headers])))</f>
        <v/>
      </c>
      <c r="T424" s="176" t="str">
        <f aca="false">IF(INDEX(Salary_Calculation[Source Row],ROW()-ROW(Payslip_Lookup[#Headers]))="","",INDEX(Salary_Calculation[Gross Salary Before Deductions],ROW()-ROW(Payslip_Lookup[#Headers])))</f>
        <v/>
      </c>
      <c r="U424" s="176" t="str">
        <f aca="false">IF(INDEX(Salary_Calculation[Source Row],ROW()-ROW(Payslip_Lookup[#Headers]))="","",INDEX(Salary_Calculation[missed_days_penalty],ROW()-ROW(Payslip_Lookup[#Headers])))</f>
        <v/>
      </c>
      <c r="V424" s="176" t="str">
        <f aca="false">IF(INDEX(Salary_Calculation[Source Row],ROW()-ROW(Payslip_Lookup[#Headers]))="","",INDEX(Salary_Calculation[Rider Balance],ROW()-ROW(Payslip_Lookup[#Headers])))</f>
        <v/>
      </c>
      <c r="W424" s="176" t="str">
        <f aca="false">IF(INDEX(Salary_Calculation[Source Row],ROW()-ROW(Payslip_Lookup[#Headers]))="","",INDEX(Salary_Calculation[stacking_deduction],ROW()-ROW(Payslip_Lookup[#Headers])))</f>
        <v/>
      </c>
      <c r="X424" s="176" t="str">
        <f aca="false">IF(INDEX(Salary_Calculation[Source Row],ROW()-ROW(Payslip_Lookup[#Headers]))="","",INDEX(Salary_Calculation[Other Deductions],ROW()-ROW(Payslip_Lookup[#Headers])))</f>
        <v/>
      </c>
      <c r="Y424" s="176" t="str">
        <f aca="false">IF(INDEX(Salary_Calculation[Source Row],ROW()-ROW(Payslip_Lookup[#Headers]))="","",INDEX(Salary_Calculation[Total Deductions],ROW()-ROW(Payslip_Lookup[#Headers])))</f>
        <v/>
      </c>
      <c r="Z424" s="176" t="str">
        <f aca="false">IF(INDEX(Salary_Calculation[Source Row],ROW()-ROW(Payslip_Lookup[#Headers]))="","",INDEX(Salary_Calculation[Final Salary],ROW()-ROW(Payslip_Lookup[#Headers])))</f>
        <v/>
      </c>
      <c r="AA424" s="176" t="str">
        <f aca="false">IF(INDEX(Salary_Calculation[Source Row],ROW()-ROW(Payslip_Lookup[#Headers]))="","",INDEX(Salary_Calculation[Negative Balance / Amount Due from Rider],ROW()-ROW(Payslip_Lookup[#Headers])))</f>
        <v/>
      </c>
      <c r="AB424" s="176" t="str">
        <f aca="false">IF(INDEX(Salary_Calculation[Source Row],ROW()-ROW(Payslip_Lookup[#Headers]))="","",INDEX(Salary_Calculation[Total Amount Due from Rider],ROW()-ROW(Payslip_Lookup[#Headers])))</f>
        <v/>
      </c>
      <c r="AC424" s="176" t="str">
        <f aca="false">IF(INDEX(Salary_Calculation[Source Row],ROW()-ROW(Payslip_Lookup[#Headers]))="","",INDEX(Salary_Calculation[Salary Before Other Deductions],ROW()-ROW(Payslip_Lookup[#Headers])))</f>
        <v/>
      </c>
      <c r="AD424" s="171" t="str">
        <f aca="false">IF(INDEX(Salary_Calculation[Source Row],ROW()-ROW(Payslip_Lookup[#Headers]))="","",INDEX(Salary_Calculation[Payment Status],ROW()-ROW(Payslip_Lookup[#Headers])))</f>
        <v/>
      </c>
      <c r="AE424" s="171" t="str">
        <f aca="false">IF(INDEX(Salary_Calculation[Source Row],ROW()-ROW(Payslip_Lookup[#Headers]))="","",INDEX(Salary_Calculation[Notes],ROW()-ROW(Payslip_Lookup[#Headers])))</f>
        <v/>
      </c>
      <c r="AF424" s="171" t="str">
        <f aca="false">IF(INDEX(Salary_Calculation[Source Row],ROW()-ROW(Payslip_Lookup[#Headers]))="","",INDEX(Salary_Calculation[Exception Reason],ROW()-ROW(Payslip_Lookup[#Headers])))</f>
        <v/>
      </c>
      <c r="AG424" s="173" t="str">
        <f aca="false">IF($AD424="Review Required",COUNTIF(AD$2:AD424,"Review Required"),"")</f>
        <v/>
      </c>
      <c r="AH424" s="173" t="str">
        <f aca="false">IF(AND($D424&lt;&gt;"",$B424=Payslip_Print!$C$2),MAX(AH$1:AH423)+1,"")</f>
        <v/>
      </c>
      <c r="AL424" s="178" t="str">
        <f aca="false">IFERROR(INDEX($D$2:$D$501,MATCH(ROW()-1,$AH$2:$AH$501,0)),"")</f>
        <v/>
      </c>
      <c r="AM424" s="179" t="str">
        <f aca="false">IF($Z424="","",IF(AND($C424&gt;=Dash_Start,$C424&lt;Dash_End),$Z424+ROW()/10000000,""))</f>
        <v/>
      </c>
    </row>
    <row r="425" customFormat="false" ht="14.25" hidden="false" customHeight="false" outlineLevel="0" collapsed="false">
      <c r="A425" s="171" t="str">
        <f aca="false">IF(Payslip_Lookup[[#This Row],[Rider ID]]="","",Payslip_Lookup[[#This Row],[Rider ID]]&amp;"|"&amp;Payslip_Lookup[[#This Row],[Month Key]])</f>
        <v/>
      </c>
      <c r="B425" s="172" t="str">
        <f aca="false">IF(ISNUMBER(Payslip_Lookup[[#This Row],[Salary Month]]),DATE(YEAR(Payslip_Lookup[[#This Row],[Salary Month]]),MONTH(Payslip_Lookup[[#This Row],[Salary Month]]),1),"")</f>
        <v/>
      </c>
      <c r="C425" s="172" t="str">
        <f aca="false">IF(INDEX(Salary_Calculation[Source Row],ROW()-ROW(Payslip_Lookup[#Headers]))="","",INDEX(Salary_Calculation[Salary Month],ROW()-ROW(Payslip_Lookup[#Headers])))</f>
        <v/>
      </c>
      <c r="D425" s="173" t="str">
        <f aca="false">IF(INDEX(Salary_Calculation[Source Row],ROW()-ROW(Payslip_Lookup[#Headers]))="","",INDEX(Salary_Calculation[Rider ID],ROW()-ROW(Payslip_Lookup[#Headers])))</f>
        <v/>
      </c>
      <c r="E425" s="171" t="str">
        <f aca="false">IF(INDEX(Salary_Calculation[Source Row],ROW()-ROW(Payslip_Lookup[#Headers]))="","",INDEX(Salary_Calculation[Rider Name],ROW()-ROW(Payslip_Lookup[#Headers])))</f>
        <v/>
      </c>
      <c r="F425" s="173" t="str">
        <f aca="false">IF(INDEX(Salary_Calculation[Source Row],ROW()-ROW(Payslip_Lookup[#Headers]))="","",INDEX(Salary_Calculation[Working Days],ROW()-ROW(Payslip_Lookup[#Headers])))</f>
        <v/>
      </c>
      <c r="G425" s="173" t="str">
        <f aca="false">IF(INDEX(Salary_Calculation[Source Row],ROW()-ROW(Payslip_Lookup[#Headers]))="","",INDEX(Salary_Calculation[Calendar Days],ROW()-ROW(Payslip_Lookup[#Headers])))</f>
        <v/>
      </c>
      <c r="H425" s="174" t="str">
        <f aca="false">IF(INDEX(Salary_Calculation[Source Row],ROW()-ROW(Payslip_Lookup[#Headers]))="","",INDEX(Salary_Calculation[Monthly Target Orders],ROW()-ROW(Payslip_Lookup[#Headers])))</f>
        <v/>
      </c>
      <c r="I425" s="174" t="str">
        <f aca="false">IF(INDEX(Salary_Calculation[Source Row],ROW()-ROW(Payslip_Lookup[#Headers]))="","",INDEX(Salary_Calculation[Rider Target Orders],ROW()-ROW(Payslip_Lookup[#Headers])))</f>
        <v/>
      </c>
      <c r="J425" s="175" t="str">
        <f aca="false">IF(INDEX(Salary_Calculation[Source Row],ROW()-ROW(Payslip_Lookup[#Headers]))="","",INDEX(Salary_Calculation[Completed Orders],ROW()-ROW(Payslip_Lookup[#Headers])))</f>
        <v/>
      </c>
      <c r="K425" s="174" t="str">
        <f aca="false">IF(INDEX(Salary_Calculation[Source Row],ROW()-ROW(Payslip_Lookup[#Headers]))="","",INDEX(Salary_Calculation[Base Order Rate],ROW()-ROW(Payslip_Lookup[#Headers])))</f>
        <v/>
      </c>
      <c r="L425" s="176" t="str">
        <f aca="false">IF(INDEX(Salary_Calculation[Source Row],ROW()-ROW(Payslip_Lookup[#Headers]))="","",INDEX(Salary_Calculation[Basic Payment],ROW()-ROW(Payslip_Lookup[#Headers])))</f>
        <v/>
      </c>
      <c r="M425" s="176" t="str">
        <f aca="false">IF(INDEX(Salary_Calculation[Source Row],ROW()-ROW(Payslip_Lookup[#Headers]))="","",INDEX(Salary_Calculation[Earned Salary],ROW()-ROW(Payslip_Lookup[#Headers])))</f>
        <v/>
      </c>
      <c r="N425" s="174" t="str">
        <f aca="false">IF(INDEX(Salary_Calculation[Source Row],ROW()-ROW(Payslip_Lookup[#Headers]))="","",INDEX(Salary_Calculation[Orders Counted at Base Rate],ROW()-ROW(Payslip_Lookup[#Headers])))</f>
        <v/>
      </c>
      <c r="O425" s="174" t="str">
        <f aca="false">IF(INDEX(Salary_Calculation[Source Row],ROW()-ROW(Payslip_Lookup[#Headers]))="","",INDEX(Salary_Calculation[Missing Orders],ROW()-ROW(Payslip_Lookup[#Headers])))</f>
        <v/>
      </c>
      <c r="P425" s="176" t="str">
        <f aca="false">IF(INDEX(Salary_Calculation[Source Row],ROW()-ROW(Payslip_Lookup[#Headers]))="","",INDEX(Salary_Calculation[Missing-Order Deduction],ROW()-ROW(Payslip_Lookup[#Headers])))</f>
        <v/>
      </c>
      <c r="Q425" s="174" t="str">
        <f aca="false">IF(INDEX(Salary_Calculation[Source Row],ROW()-ROW(Payslip_Lookup[#Headers]))="","",INDEX(Salary_Calculation[Extra Orders],ROW()-ROW(Payslip_Lookup[#Headers])))</f>
        <v/>
      </c>
      <c r="R425" s="176" t="str">
        <f aca="false">IF(INDEX(Salary_Calculation[Source Row],ROW()-ROW(Payslip_Lookup[#Headers]))="","",INDEX(Salary_Calculation[Extra-Order Bonus],ROW()-ROW(Payslip_Lookup[#Headers])))</f>
        <v/>
      </c>
      <c r="S425" s="176" t="str">
        <f aca="false">IF(INDEX(Salary_Calculation[Source Row],ROW()-ROW(Payslip_Lookup[#Headers]))="","",INDEX(Salary_Calculation[Basic Salary for Target],ROW()-ROW(Payslip_Lookup[#Headers])))</f>
        <v/>
      </c>
      <c r="T425" s="176" t="str">
        <f aca="false">IF(INDEX(Salary_Calculation[Source Row],ROW()-ROW(Payslip_Lookup[#Headers]))="","",INDEX(Salary_Calculation[Gross Salary Before Deductions],ROW()-ROW(Payslip_Lookup[#Headers])))</f>
        <v/>
      </c>
      <c r="U425" s="176" t="str">
        <f aca="false">IF(INDEX(Salary_Calculation[Source Row],ROW()-ROW(Payslip_Lookup[#Headers]))="","",INDEX(Salary_Calculation[missed_days_penalty],ROW()-ROW(Payslip_Lookup[#Headers])))</f>
        <v/>
      </c>
      <c r="V425" s="176" t="str">
        <f aca="false">IF(INDEX(Salary_Calculation[Source Row],ROW()-ROW(Payslip_Lookup[#Headers]))="","",INDEX(Salary_Calculation[Rider Balance],ROW()-ROW(Payslip_Lookup[#Headers])))</f>
        <v/>
      </c>
      <c r="W425" s="176" t="str">
        <f aca="false">IF(INDEX(Salary_Calculation[Source Row],ROW()-ROW(Payslip_Lookup[#Headers]))="","",INDEX(Salary_Calculation[stacking_deduction],ROW()-ROW(Payslip_Lookup[#Headers])))</f>
        <v/>
      </c>
      <c r="X425" s="176" t="str">
        <f aca="false">IF(INDEX(Salary_Calculation[Source Row],ROW()-ROW(Payslip_Lookup[#Headers]))="","",INDEX(Salary_Calculation[Other Deductions],ROW()-ROW(Payslip_Lookup[#Headers])))</f>
        <v/>
      </c>
      <c r="Y425" s="176" t="str">
        <f aca="false">IF(INDEX(Salary_Calculation[Source Row],ROW()-ROW(Payslip_Lookup[#Headers]))="","",INDEX(Salary_Calculation[Total Deductions],ROW()-ROW(Payslip_Lookup[#Headers])))</f>
        <v/>
      </c>
      <c r="Z425" s="176" t="str">
        <f aca="false">IF(INDEX(Salary_Calculation[Source Row],ROW()-ROW(Payslip_Lookup[#Headers]))="","",INDEX(Salary_Calculation[Final Salary],ROW()-ROW(Payslip_Lookup[#Headers])))</f>
        <v/>
      </c>
      <c r="AA425" s="176" t="str">
        <f aca="false">IF(INDEX(Salary_Calculation[Source Row],ROW()-ROW(Payslip_Lookup[#Headers]))="","",INDEX(Salary_Calculation[Negative Balance / Amount Due from Rider],ROW()-ROW(Payslip_Lookup[#Headers])))</f>
        <v/>
      </c>
      <c r="AB425" s="176" t="str">
        <f aca="false">IF(INDEX(Salary_Calculation[Source Row],ROW()-ROW(Payslip_Lookup[#Headers]))="","",INDEX(Salary_Calculation[Total Amount Due from Rider],ROW()-ROW(Payslip_Lookup[#Headers])))</f>
        <v/>
      </c>
      <c r="AC425" s="176" t="str">
        <f aca="false">IF(INDEX(Salary_Calculation[Source Row],ROW()-ROW(Payslip_Lookup[#Headers]))="","",INDEX(Salary_Calculation[Salary Before Other Deductions],ROW()-ROW(Payslip_Lookup[#Headers])))</f>
        <v/>
      </c>
      <c r="AD425" s="171" t="str">
        <f aca="false">IF(INDEX(Salary_Calculation[Source Row],ROW()-ROW(Payslip_Lookup[#Headers]))="","",INDEX(Salary_Calculation[Payment Status],ROW()-ROW(Payslip_Lookup[#Headers])))</f>
        <v/>
      </c>
      <c r="AE425" s="171" t="str">
        <f aca="false">IF(INDEX(Salary_Calculation[Source Row],ROW()-ROW(Payslip_Lookup[#Headers]))="","",INDEX(Salary_Calculation[Notes],ROW()-ROW(Payslip_Lookup[#Headers])))</f>
        <v/>
      </c>
      <c r="AF425" s="171" t="str">
        <f aca="false">IF(INDEX(Salary_Calculation[Source Row],ROW()-ROW(Payslip_Lookup[#Headers]))="","",INDEX(Salary_Calculation[Exception Reason],ROW()-ROW(Payslip_Lookup[#Headers])))</f>
        <v/>
      </c>
      <c r="AG425" s="173" t="str">
        <f aca="false">IF($AD425="Review Required",COUNTIF(AD$2:AD425,"Review Required"),"")</f>
        <v/>
      </c>
      <c r="AH425" s="173" t="str">
        <f aca="false">IF(AND($D425&lt;&gt;"",$B425=Payslip_Print!$C$2),MAX(AH$1:AH424)+1,"")</f>
        <v/>
      </c>
      <c r="AL425" s="178" t="str">
        <f aca="false">IFERROR(INDEX($D$2:$D$501,MATCH(ROW()-1,$AH$2:$AH$501,0)),"")</f>
        <v/>
      </c>
      <c r="AM425" s="179" t="str">
        <f aca="false">IF($Z425="","",IF(AND($C425&gt;=Dash_Start,$C425&lt;Dash_End),$Z425+ROW()/10000000,""))</f>
        <v/>
      </c>
    </row>
    <row r="426" customFormat="false" ht="14.25" hidden="false" customHeight="false" outlineLevel="0" collapsed="false">
      <c r="A426" s="171" t="str">
        <f aca="false">IF(Payslip_Lookup[[#This Row],[Rider ID]]="","",Payslip_Lookup[[#This Row],[Rider ID]]&amp;"|"&amp;Payslip_Lookup[[#This Row],[Month Key]])</f>
        <v/>
      </c>
      <c r="B426" s="172" t="str">
        <f aca="false">IF(ISNUMBER(Payslip_Lookup[[#This Row],[Salary Month]]),DATE(YEAR(Payslip_Lookup[[#This Row],[Salary Month]]),MONTH(Payslip_Lookup[[#This Row],[Salary Month]]),1),"")</f>
        <v/>
      </c>
      <c r="C426" s="172" t="str">
        <f aca="false">IF(INDEX(Salary_Calculation[Source Row],ROW()-ROW(Payslip_Lookup[#Headers]))="","",INDEX(Salary_Calculation[Salary Month],ROW()-ROW(Payslip_Lookup[#Headers])))</f>
        <v/>
      </c>
      <c r="D426" s="173" t="str">
        <f aca="false">IF(INDEX(Salary_Calculation[Source Row],ROW()-ROW(Payslip_Lookup[#Headers]))="","",INDEX(Salary_Calculation[Rider ID],ROW()-ROW(Payslip_Lookup[#Headers])))</f>
        <v/>
      </c>
      <c r="E426" s="171" t="str">
        <f aca="false">IF(INDEX(Salary_Calculation[Source Row],ROW()-ROW(Payslip_Lookup[#Headers]))="","",INDEX(Salary_Calculation[Rider Name],ROW()-ROW(Payslip_Lookup[#Headers])))</f>
        <v/>
      </c>
      <c r="F426" s="173" t="str">
        <f aca="false">IF(INDEX(Salary_Calculation[Source Row],ROW()-ROW(Payslip_Lookup[#Headers]))="","",INDEX(Salary_Calculation[Working Days],ROW()-ROW(Payslip_Lookup[#Headers])))</f>
        <v/>
      </c>
      <c r="G426" s="173" t="str">
        <f aca="false">IF(INDEX(Salary_Calculation[Source Row],ROW()-ROW(Payslip_Lookup[#Headers]))="","",INDEX(Salary_Calculation[Calendar Days],ROW()-ROW(Payslip_Lookup[#Headers])))</f>
        <v/>
      </c>
      <c r="H426" s="174" t="str">
        <f aca="false">IF(INDEX(Salary_Calculation[Source Row],ROW()-ROW(Payslip_Lookup[#Headers]))="","",INDEX(Salary_Calculation[Monthly Target Orders],ROW()-ROW(Payslip_Lookup[#Headers])))</f>
        <v/>
      </c>
      <c r="I426" s="174" t="str">
        <f aca="false">IF(INDEX(Salary_Calculation[Source Row],ROW()-ROW(Payslip_Lookup[#Headers]))="","",INDEX(Salary_Calculation[Rider Target Orders],ROW()-ROW(Payslip_Lookup[#Headers])))</f>
        <v/>
      </c>
      <c r="J426" s="175" t="str">
        <f aca="false">IF(INDEX(Salary_Calculation[Source Row],ROW()-ROW(Payslip_Lookup[#Headers]))="","",INDEX(Salary_Calculation[Completed Orders],ROW()-ROW(Payslip_Lookup[#Headers])))</f>
        <v/>
      </c>
      <c r="K426" s="174" t="str">
        <f aca="false">IF(INDEX(Salary_Calculation[Source Row],ROW()-ROW(Payslip_Lookup[#Headers]))="","",INDEX(Salary_Calculation[Base Order Rate],ROW()-ROW(Payslip_Lookup[#Headers])))</f>
        <v/>
      </c>
      <c r="L426" s="176" t="str">
        <f aca="false">IF(INDEX(Salary_Calculation[Source Row],ROW()-ROW(Payslip_Lookup[#Headers]))="","",INDEX(Salary_Calculation[Basic Payment],ROW()-ROW(Payslip_Lookup[#Headers])))</f>
        <v/>
      </c>
      <c r="M426" s="176" t="str">
        <f aca="false">IF(INDEX(Salary_Calculation[Source Row],ROW()-ROW(Payslip_Lookup[#Headers]))="","",INDEX(Salary_Calculation[Earned Salary],ROW()-ROW(Payslip_Lookup[#Headers])))</f>
        <v/>
      </c>
      <c r="N426" s="174" t="str">
        <f aca="false">IF(INDEX(Salary_Calculation[Source Row],ROW()-ROW(Payslip_Lookup[#Headers]))="","",INDEX(Salary_Calculation[Orders Counted at Base Rate],ROW()-ROW(Payslip_Lookup[#Headers])))</f>
        <v/>
      </c>
      <c r="O426" s="174" t="str">
        <f aca="false">IF(INDEX(Salary_Calculation[Source Row],ROW()-ROW(Payslip_Lookup[#Headers]))="","",INDEX(Salary_Calculation[Missing Orders],ROW()-ROW(Payslip_Lookup[#Headers])))</f>
        <v/>
      </c>
      <c r="P426" s="176" t="str">
        <f aca="false">IF(INDEX(Salary_Calculation[Source Row],ROW()-ROW(Payslip_Lookup[#Headers]))="","",INDEX(Salary_Calculation[Missing-Order Deduction],ROW()-ROW(Payslip_Lookup[#Headers])))</f>
        <v/>
      </c>
      <c r="Q426" s="174" t="str">
        <f aca="false">IF(INDEX(Salary_Calculation[Source Row],ROW()-ROW(Payslip_Lookup[#Headers]))="","",INDEX(Salary_Calculation[Extra Orders],ROW()-ROW(Payslip_Lookup[#Headers])))</f>
        <v/>
      </c>
      <c r="R426" s="176" t="str">
        <f aca="false">IF(INDEX(Salary_Calculation[Source Row],ROW()-ROW(Payslip_Lookup[#Headers]))="","",INDEX(Salary_Calculation[Extra-Order Bonus],ROW()-ROW(Payslip_Lookup[#Headers])))</f>
        <v/>
      </c>
      <c r="S426" s="176" t="str">
        <f aca="false">IF(INDEX(Salary_Calculation[Source Row],ROW()-ROW(Payslip_Lookup[#Headers]))="","",INDEX(Salary_Calculation[Basic Salary for Target],ROW()-ROW(Payslip_Lookup[#Headers])))</f>
        <v/>
      </c>
      <c r="T426" s="176" t="str">
        <f aca="false">IF(INDEX(Salary_Calculation[Source Row],ROW()-ROW(Payslip_Lookup[#Headers]))="","",INDEX(Salary_Calculation[Gross Salary Before Deductions],ROW()-ROW(Payslip_Lookup[#Headers])))</f>
        <v/>
      </c>
      <c r="U426" s="176" t="str">
        <f aca="false">IF(INDEX(Salary_Calculation[Source Row],ROW()-ROW(Payslip_Lookup[#Headers]))="","",INDEX(Salary_Calculation[missed_days_penalty],ROW()-ROW(Payslip_Lookup[#Headers])))</f>
        <v/>
      </c>
      <c r="V426" s="176" t="str">
        <f aca="false">IF(INDEX(Salary_Calculation[Source Row],ROW()-ROW(Payslip_Lookup[#Headers]))="","",INDEX(Salary_Calculation[Rider Balance],ROW()-ROW(Payslip_Lookup[#Headers])))</f>
        <v/>
      </c>
      <c r="W426" s="176" t="str">
        <f aca="false">IF(INDEX(Salary_Calculation[Source Row],ROW()-ROW(Payslip_Lookup[#Headers]))="","",INDEX(Salary_Calculation[stacking_deduction],ROW()-ROW(Payslip_Lookup[#Headers])))</f>
        <v/>
      </c>
      <c r="X426" s="176" t="str">
        <f aca="false">IF(INDEX(Salary_Calculation[Source Row],ROW()-ROW(Payslip_Lookup[#Headers]))="","",INDEX(Salary_Calculation[Other Deductions],ROW()-ROW(Payslip_Lookup[#Headers])))</f>
        <v/>
      </c>
      <c r="Y426" s="176" t="str">
        <f aca="false">IF(INDEX(Salary_Calculation[Source Row],ROW()-ROW(Payslip_Lookup[#Headers]))="","",INDEX(Salary_Calculation[Total Deductions],ROW()-ROW(Payslip_Lookup[#Headers])))</f>
        <v/>
      </c>
      <c r="Z426" s="176" t="str">
        <f aca="false">IF(INDEX(Salary_Calculation[Source Row],ROW()-ROW(Payslip_Lookup[#Headers]))="","",INDEX(Salary_Calculation[Final Salary],ROW()-ROW(Payslip_Lookup[#Headers])))</f>
        <v/>
      </c>
      <c r="AA426" s="176" t="str">
        <f aca="false">IF(INDEX(Salary_Calculation[Source Row],ROW()-ROW(Payslip_Lookup[#Headers]))="","",INDEX(Salary_Calculation[Negative Balance / Amount Due from Rider],ROW()-ROW(Payslip_Lookup[#Headers])))</f>
        <v/>
      </c>
      <c r="AB426" s="176" t="str">
        <f aca="false">IF(INDEX(Salary_Calculation[Source Row],ROW()-ROW(Payslip_Lookup[#Headers]))="","",INDEX(Salary_Calculation[Total Amount Due from Rider],ROW()-ROW(Payslip_Lookup[#Headers])))</f>
        <v/>
      </c>
      <c r="AC426" s="176" t="str">
        <f aca="false">IF(INDEX(Salary_Calculation[Source Row],ROW()-ROW(Payslip_Lookup[#Headers]))="","",INDEX(Salary_Calculation[Salary Before Other Deductions],ROW()-ROW(Payslip_Lookup[#Headers])))</f>
        <v/>
      </c>
      <c r="AD426" s="171" t="str">
        <f aca="false">IF(INDEX(Salary_Calculation[Source Row],ROW()-ROW(Payslip_Lookup[#Headers]))="","",INDEX(Salary_Calculation[Payment Status],ROW()-ROW(Payslip_Lookup[#Headers])))</f>
        <v/>
      </c>
      <c r="AE426" s="171" t="str">
        <f aca="false">IF(INDEX(Salary_Calculation[Source Row],ROW()-ROW(Payslip_Lookup[#Headers]))="","",INDEX(Salary_Calculation[Notes],ROW()-ROW(Payslip_Lookup[#Headers])))</f>
        <v/>
      </c>
      <c r="AF426" s="171" t="str">
        <f aca="false">IF(INDEX(Salary_Calculation[Source Row],ROW()-ROW(Payslip_Lookup[#Headers]))="","",INDEX(Salary_Calculation[Exception Reason],ROW()-ROW(Payslip_Lookup[#Headers])))</f>
        <v/>
      </c>
      <c r="AG426" s="173" t="str">
        <f aca="false">IF($AD426="Review Required",COUNTIF(AD$2:AD426,"Review Required"),"")</f>
        <v/>
      </c>
      <c r="AH426" s="173" t="str">
        <f aca="false">IF(AND($D426&lt;&gt;"",$B426=Payslip_Print!$C$2),MAX(AH$1:AH425)+1,"")</f>
        <v/>
      </c>
      <c r="AL426" s="178" t="str">
        <f aca="false">IFERROR(INDEX($D$2:$D$501,MATCH(ROW()-1,$AH$2:$AH$501,0)),"")</f>
        <v/>
      </c>
      <c r="AM426" s="179" t="str">
        <f aca="false">IF($Z426="","",IF(AND($C426&gt;=Dash_Start,$C426&lt;Dash_End),$Z426+ROW()/10000000,""))</f>
        <v/>
      </c>
    </row>
    <row r="427" customFormat="false" ht="14.25" hidden="false" customHeight="false" outlineLevel="0" collapsed="false">
      <c r="A427" s="171" t="str">
        <f aca="false">IF(Payslip_Lookup[[#This Row],[Rider ID]]="","",Payslip_Lookup[[#This Row],[Rider ID]]&amp;"|"&amp;Payslip_Lookup[[#This Row],[Month Key]])</f>
        <v/>
      </c>
      <c r="B427" s="172" t="str">
        <f aca="false">IF(ISNUMBER(Payslip_Lookup[[#This Row],[Salary Month]]),DATE(YEAR(Payslip_Lookup[[#This Row],[Salary Month]]),MONTH(Payslip_Lookup[[#This Row],[Salary Month]]),1),"")</f>
        <v/>
      </c>
      <c r="C427" s="172" t="str">
        <f aca="false">IF(INDEX(Salary_Calculation[Source Row],ROW()-ROW(Payslip_Lookup[#Headers]))="","",INDEX(Salary_Calculation[Salary Month],ROW()-ROW(Payslip_Lookup[#Headers])))</f>
        <v/>
      </c>
      <c r="D427" s="173" t="str">
        <f aca="false">IF(INDEX(Salary_Calculation[Source Row],ROW()-ROW(Payslip_Lookup[#Headers]))="","",INDEX(Salary_Calculation[Rider ID],ROW()-ROW(Payslip_Lookup[#Headers])))</f>
        <v/>
      </c>
      <c r="E427" s="171" t="str">
        <f aca="false">IF(INDEX(Salary_Calculation[Source Row],ROW()-ROW(Payslip_Lookup[#Headers]))="","",INDEX(Salary_Calculation[Rider Name],ROW()-ROW(Payslip_Lookup[#Headers])))</f>
        <v/>
      </c>
      <c r="F427" s="173" t="str">
        <f aca="false">IF(INDEX(Salary_Calculation[Source Row],ROW()-ROW(Payslip_Lookup[#Headers]))="","",INDEX(Salary_Calculation[Working Days],ROW()-ROW(Payslip_Lookup[#Headers])))</f>
        <v/>
      </c>
      <c r="G427" s="173" t="str">
        <f aca="false">IF(INDEX(Salary_Calculation[Source Row],ROW()-ROW(Payslip_Lookup[#Headers]))="","",INDEX(Salary_Calculation[Calendar Days],ROW()-ROW(Payslip_Lookup[#Headers])))</f>
        <v/>
      </c>
      <c r="H427" s="174" t="str">
        <f aca="false">IF(INDEX(Salary_Calculation[Source Row],ROW()-ROW(Payslip_Lookup[#Headers]))="","",INDEX(Salary_Calculation[Monthly Target Orders],ROW()-ROW(Payslip_Lookup[#Headers])))</f>
        <v/>
      </c>
      <c r="I427" s="174" t="str">
        <f aca="false">IF(INDEX(Salary_Calculation[Source Row],ROW()-ROW(Payslip_Lookup[#Headers]))="","",INDEX(Salary_Calculation[Rider Target Orders],ROW()-ROW(Payslip_Lookup[#Headers])))</f>
        <v/>
      </c>
      <c r="J427" s="175" t="str">
        <f aca="false">IF(INDEX(Salary_Calculation[Source Row],ROW()-ROW(Payslip_Lookup[#Headers]))="","",INDEX(Salary_Calculation[Completed Orders],ROW()-ROW(Payslip_Lookup[#Headers])))</f>
        <v/>
      </c>
      <c r="K427" s="174" t="str">
        <f aca="false">IF(INDEX(Salary_Calculation[Source Row],ROW()-ROW(Payslip_Lookup[#Headers]))="","",INDEX(Salary_Calculation[Base Order Rate],ROW()-ROW(Payslip_Lookup[#Headers])))</f>
        <v/>
      </c>
      <c r="L427" s="176" t="str">
        <f aca="false">IF(INDEX(Salary_Calculation[Source Row],ROW()-ROW(Payslip_Lookup[#Headers]))="","",INDEX(Salary_Calculation[Basic Payment],ROW()-ROW(Payslip_Lookup[#Headers])))</f>
        <v/>
      </c>
      <c r="M427" s="176" t="str">
        <f aca="false">IF(INDEX(Salary_Calculation[Source Row],ROW()-ROW(Payslip_Lookup[#Headers]))="","",INDEX(Salary_Calculation[Earned Salary],ROW()-ROW(Payslip_Lookup[#Headers])))</f>
        <v/>
      </c>
      <c r="N427" s="174" t="str">
        <f aca="false">IF(INDEX(Salary_Calculation[Source Row],ROW()-ROW(Payslip_Lookup[#Headers]))="","",INDEX(Salary_Calculation[Orders Counted at Base Rate],ROW()-ROW(Payslip_Lookup[#Headers])))</f>
        <v/>
      </c>
      <c r="O427" s="174" t="str">
        <f aca="false">IF(INDEX(Salary_Calculation[Source Row],ROW()-ROW(Payslip_Lookup[#Headers]))="","",INDEX(Salary_Calculation[Missing Orders],ROW()-ROW(Payslip_Lookup[#Headers])))</f>
        <v/>
      </c>
      <c r="P427" s="176" t="str">
        <f aca="false">IF(INDEX(Salary_Calculation[Source Row],ROW()-ROW(Payslip_Lookup[#Headers]))="","",INDEX(Salary_Calculation[Missing-Order Deduction],ROW()-ROW(Payslip_Lookup[#Headers])))</f>
        <v/>
      </c>
      <c r="Q427" s="174" t="str">
        <f aca="false">IF(INDEX(Salary_Calculation[Source Row],ROW()-ROW(Payslip_Lookup[#Headers]))="","",INDEX(Salary_Calculation[Extra Orders],ROW()-ROW(Payslip_Lookup[#Headers])))</f>
        <v/>
      </c>
      <c r="R427" s="176" t="str">
        <f aca="false">IF(INDEX(Salary_Calculation[Source Row],ROW()-ROW(Payslip_Lookup[#Headers]))="","",INDEX(Salary_Calculation[Extra-Order Bonus],ROW()-ROW(Payslip_Lookup[#Headers])))</f>
        <v/>
      </c>
      <c r="S427" s="176" t="str">
        <f aca="false">IF(INDEX(Salary_Calculation[Source Row],ROW()-ROW(Payslip_Lookup[#Headers]))="","",INDEX(Salary_Calculation[Basic Salary for Target],ROW()-ROW(Payslip_Lookup[#Headers])))</f>
        <v/>
      </c>
      <c r="T427" s="176" t="str">
        <f aca="false">IF(INDEX(Salary_Calculation[Source Row],ROW()-ROW(Payslip_Lookup[#Headers]))="","",INDEX(Salary_Calculation[Gross Salary Before Deductions],ROW()-ROW(Payslip_Lookup[#Headers])))</f>
        <v/>
      </c>
      <c r="U427" s="176" t="str">
        <f aca="false">IF(INDEX(Salary_Calculation[Source Row],ROW()-ROW(Payslip_Lookup[#Headers]))="","",INDEX(Salary_Calculation[missed_days_penalty],ROW()-ROW(Payslip_Lookup[#Headers])))</f>
        <v/>
      </c>
      <c r="V427" s="176" t="str">
        <f aca="false">IF(INDEX(Salary_Calculation[Source Row],ROW()-ROW(Payslip_Lookup[#Headers]))="","",INDEX(Salary_Calculation[Rider Balance],ROW()-ROW(Payslip_Lookup[#Headers])))</f>
        <v/>
      </c>
      <c r="W427" s="176" t="str">
        <f aca="false">IF(INDEX(Salary_Calculation[Source Row],ROW()-ROW(Payslip_Lookup[#Headers]))="","",INDEX(Salary_Calculation[stacking_deduction],ROW()-ROW(Payslip_Lookup[#Headers])))</f>
        <v/>
      </c>
      <c r="X427" s="176" t="str">
        <f aca="false">IF(INDEX(Salary_Calculation[Source Row],ROW()-ROW(Payslip_Lookup[#Headers]))="","",INDEX(Salary_Calculation[Other Deductions],ROW()-ROW(Payslip_Lookup[#Headers])))</f>
        <v/>
      </c>
      <c r="Y427" s="176" t="str">
        <f aca="false">IF(INDEX(Salary_Calculation[Source Row],ROW()-ROW(Payslip_Lookup[#Headers]))="","",INDEX(Salary_Calculation[Total Deductions],ROW()-ROW(Payslip_Lookup[#Headers])))</f>
        <v/>
      </c>
      <c r="Z427" s="176" t="str">
        <f aca="false">IF(INDEX(Salary_Calculation[Source Row],ROW()-ROW(Payslip_Lookup[#Headers]))="","",INDEX(Salary_Calculation[Final Salary],ROW()-ROW(Payslip_Lookup[#Headers])))</f>
        <v/>
      </c>
      <c r="AA427" s="176" t="str">
        <f aca="false">IF(INDEX(Salary_Calculation[Source Row],ROW()-ROW(Payslip_Lookup[#Headers]))="","",INDEX(Salary_Calculation[Negative Balance / Amount Due from Rider],ROW()-ROW(Payslip_Lookup[#Headers])))</f>
        <v/>
      </c>
      <c r="AB427" s="176" t="str">
        <f aca="false">IF(INDEX(Salary_Calculation[Source Row],ROW()-ROW(Payslip_Lookup[#Headers]))="","",INDEX(Salary_Calculation[Total Amount Due from Rider],ROW()-ROW(Payslip_Lookup[#Headers])))</f>
        <v/>
      </c>
      <c r="AC427" s="176" t="str">
        <f aca="false">IF(INDEX(Salary_Calculation[Source Row],ROW()-ROW(Payslip_Lookup[#Headers]))="","",INDEX(Salary_Calculation[Salary Before Other Deductions],ROW()-ROW(Payslip_Lookup[#Headers])))</f>
        <v/>
      </c>
      <c r="AD427" s="171" t="str">
        <f aca="false">IF(INDEX(Salary_Calculation[Source Row],ROW()-ROW(Payslip_Lookup[#Headers]))="","",INDEX(Salary_Calculation[Payment Status],ROW()-ROW(Payslip_Lookup[#Headers])))</f>
        <v/>
      </c>
      <c r="AE427" s="171" t="str">
        <f aca="false">IF(INDEX(Salary_Calculation[Source Row],ROW()-ROW(Payslip_Lookup[#Headers]))="","",INDEX(Salary_Calculation[Notes],ROW()-ROW(Payslip_Lookup[#Headers])))</f>
        <v/>
      </c>
      <c r="AF427" s="171" t="str">
        <f aca="false">IF(INDEX(Salary_Calculation[Source Row],ROW()-ROW(Payslip_Lookup[#Headers]))="","",INDEX(Salary_Calculation[Exception Reason],ROW()-ROW(Payslip_Lookup[#Headers])))</f>
        <v/>
      </c>
      <c r="AG427" s="173" t="str">
        <f aca="false">IF($AD427="Review Required",COUNTIF(AD$2:AD427,"Review Required"),"")</f>
        <v/>
      </c>
      <c r="AH427" s="173" t="str">
        <f aca="false">IF(AND($D427&lt;&gt;"",$B427=Payslip_Print!$C$2),MAX(AH$1:AH426)+1,"")</f>
        <v/>
      </c>
      <c r="AL427" s="178" t="str">
        <f aca="false">IFERROR(INDEX($D$2:$D$501,MATCH(ROW()-1,$AH$2:$AH$501,0)),"")</f>
        <v/>
      </c>
      <c r="AM427" s="179" t="str">
        <f aca="false">IF($Z427="","",IF(AND($C427&gt;=Dash_Start,$C427&lt;Dash_End),$Z427+ROW()/10000000,""))</f>
        <v/>
      </c>
    </row>
    <row r="428" customFormat="false" ht="14.25" hidden="false" customHeight="false" outlineLevel="0" collapsed="false">
      <c r="A428" s="171" t="str">
        <f aca="false">IF(Payslip_Lookup[[#This Row],[Rider ID]]="","",Payslip_Lookup[[#This Row],[Rider ID]]&amp;"|"&amp;Payslip_Lookup[[#This Row],[Month Key]])</f>
        <v/>
      </c>
      <c r="B428" s="172" t="str">
        <f aca="false">IF(ISNUMBER(Payslip_Lookup[[#This Row],[Salary Month]]),DATE(YEAR(Payslip_Lookup[[#This Row],[Salary Month]]),MONTH(Payslip_Lookup[[#This Row],[Salary Month]]),1),"")</f>
        <v/>
      </c>
      <c r="C428" s="172" t="str">
        <f aca="false">IF(INDEX(Salary_Calculation[Source Row],ROW()-ROW(Payslip_Lookup[#Headers]))="","",INDEX(Salary_Calculation[Salary Month],ROW()-ROW(Payslip_Lookup[#Headers])))</f>
        <v/>
      </c>
      <c r="D428" s="173" t="str">
        <f aca="false">IF(INDEX(Salary_Calculation[Source Row],ROW()-ROW(Payslip_Lookup[#Headers]))="","",INDEX(Salary_Calculation[Rider ID],ROW()-ROW(Payslip_Lookup[#Headers])))</f>
        <v/>
      </c>
      <c r="E428" s="171" t="str">
        <f aca="false">IF(INDEX(Salary_Calculation[Source Row],ROW()-ROW(Payslip_Lookup[#Headers]))="","",INDEX(Salary_Calculation[Rider Name],ROW()-ROW(Payslip_Lookup[#Headers])))</f>
        <v/>
      </c>
      <c r="F428" s="173" t="str">
        <f aca="false">IF(INDEX(Salary_Calculation[Source Row],ROW()-ROW(Payslip_Lookup[#Headers]))="","",INDEX(Salary_Calculation[Working Days],ROW()-ROW(Payslip_Lookup[#Headers])))</f>
        <v/>
      </c>
      <c r="G428" s="173" t="str">
        <f aca="false">IF(INDEX(Salary_Calculation[Source Row],ROW()-ROW(Payslip_Lookup[#Headers]))="","",INDEX(Salary_Calculation[Calendar Days],ROW()-ROW(Payslip_Lookup[#Headers])))</f>
        <v/>
      </c>
      <c r="H428" s="174" t="str">
        <f aca="false">IF(INDEX(Salary_Calculation[Source Row],ROW()-ROW(Payslip_Lookup[#Headers]))="","",INDEX(Salary_Calculation[Monthly Target Orders],ROW()-ROW(Payslip_Lookup[#Headers])))</f>
        <v/>
      </c>
      <c r="I428" s="174" t="str">
        <f aca="false">IF(INDEX(Salary_Calculation[Source Row],ROW()-ROW(Payslip_Lookup[#Headers]))="","",INDEX(Salary_Calculation[Rider Target Orders],ROW()-ROW(Payslip_Lookup[#Headers])))</f>
        <v/>
      </c>
      <c r="J428" s="175" t="str">
        <f aca="false">IF(INDEX(Salary_Calculation[Source Row],ROW()-ROW(Payslip_Lookup[#Headers]))="","",INDEX(Salary_Calculation[Completed Orders],ROW()-ROW(Payslip_Lookup[#Headers])))</f>
        <v/>
      </c>
      <c r="K428" s="174" t="str">
        <f aca="false">IF(INDEX(Salary_Calculation[Source Row],ROW()-ROW(Payslip_Lookup[#Headers]))="","",INDEX(Salary_Calculation[Base Order Rate],ROW()-ROW(Payslip_Lookup[#Headers])))</f>
        <v/>
      </c>
      <c r="L428" s="176" t="str">
        <f aca="false">IF(INDEX(Salary_Calculation[Source Row],ROW()-ROW(Payslip_Lookup[#Headers]))="","",INDEX(Salary_Calculation[Basic Payment],ROW()-ROW(Payslip_Lookup[#Headers])))</f>
        <v/>
      </c>
      <c r="M428" s="176" t="str">
        <f aca="false">IF(INDEX(Salary_Calculation[Source Row],ROW()-ROW(Payslip_Lookup[#Headers]))="","",INDEX(Salary_Calculation[Earned Salary],ROW()-ROW(Payslip_Lookup[#Headers])))</f>
        <v/>
      </c>
      <c r="N428" s="174" t="str">
        <f aca="false">IF(INDEX(Salary_Calculation[Source Row],ROW()-ROW(Payslip_Lookup[#Headers]))="","",INDEX(Salary_Calculation[Orders Counted at Base Rate],ROW()-ROW(Payslip_Lookup[#Headers])))</f>
        <v/>
      </c>
      <c r="O428" s="174" t="str">
        <f aca="false">IF(INDEX(Salary_Calculation[Source Row],ROW()-ROW(Payslip_Lookup[#Headers]))="","",INDEX(Salary_Calculation[Missing Orders],ROW()-ROW(Payslip_Lookup[#Headers])))</f>
        <v/>
      </c>
      <c r="P428" s="176" t="str">
        <f aca="false">IF(INDEX(Salary_Calculation[Source Row],ROW()-ROW(Payslip_Lookup[#Headers]))="","",INDEX(Salary_Calculation[Missing-Order Deduction],ROW()-ROW(Payslip_Lookup[#Headers])))</f>
        <v/>
      </c>
      <c r="Q428" s="174" t="str">
        <f aca="false">IF(INDEX(Salary_Calculation[Source Row],ROW()-ROW(Payslip_Lookup[#Headers]))="","",INDEX(Salary_Calculation[Extra Orders],ROW()-ROW(Payslip_Lookup[#Headers])))</f>
        <v/>
      </c>
      <c r="R428" s="176" t="str">
        <f aca="false">IF(INDEX(Salary_Calculation[Source Row],ROW()-ROW(Payslip_Lookup[#Headers]))="","",INDEX(Salary_Calculation[Extra-Order Bonus],ROW()-ROW(Payslip_Lookup[#Headers])))</f>
        <v/>
      </c>
      <c r="S428" s="176" t="str">
        <f aca="false">IF(INDEX(Salary_Calculation[Source Row],ROW()-ROW(Payslip_Lookup[#Headers]))="","",INDEX(Salary_Calculation[Basic Salary for Target],ROW()-ROW(Payslip_Lookup[#Headers])))</f>
        <v/>
      </c>
      <c r="T428" s="176" t="str">
        <f aca="false">IF(INDEX(Salary_Calculation[Source Row],ROW()-ROW(Payslip_Lookup[#Headers]))="","",INDEX(Salary_Calculation[Gross Salary Before Deductions],ROW()-ROW(Payslip_Lookup[#Headers])))</f>
        <v/>
      </c>
      <c r="U428" s="176" t="str">
        <f aca="false">IF(INDEX(Salary_Calculation[Source Row],ROW()-ROW(Payslip_Lookup[#Headers]))="","",INDEX(Salary_Calculation[missed_days_penalty],ROW()-ROW(Payslip_Lookup[#Headers])))</f>
        <v/>
      </c>
      <c r="V428" s="176" t="str">
        <f aca="false">IF(INDEX(Salary_Calculation[Source Row],ROW()-ROW(Payslip_Lookup[#Headers]))="","",INDEX(Salary_Calculation[Rider Balance],ROW()-ROW(Payslip_Lookup[#Headers])))</f>
        <v/>
      </c>
      <c r="W428" s="176" t="str">
        <f aca="false">IF(INDEX(Salary_Calculation[Source Row],ROW()-ROW(Payslip_Lookup[#Headers]))="","",INDEX(Salary_Calculation[stacking_deduction],ROW()-ROW(Payslip_Lookup[#Headers])))</f>
        <v/>
      </c>
      <c r="X428" s="176" t="str">
        <f aca="false">IF(INDEX(Salary_Calculation[Source Row],ROW()-ROW(Payslip_Lookup[#Headers]))="","",INDEX(Salary_Calculation[Other Deductions],ROW()-ROW(Payslip_Lookup[#Headers])))</f>
        <v/>
      </c>
      <c r="Y428" s="176" t="str">
        <f aca="false">IF(INDEX(Salary_Calculation[Source Row],ROW()-ROW(Payslip_Lookup[#Headers]))="","",INDEX(Salary_Calculation[Total Deductions],ROW()-ROW(Payslip_Lookup[#Headers])))</f>
        <v/>
      </c>
      <c r="Z428" s="176" t="str">
        <f aca="false">IF(INDEX(Salary_Calculation[Source Row],ROW()-ROW(Payslip_Lookup[#Headers]))="","",INDEX(Salary_Calculation[Final Salary],ROW()-ROW(Payslip_Lookup[#Headers])))</f>
        <v/>
      </c>
      <c r="AA428" s="176" t="str">
        <f aca="false">IF(INDEX(Salary_Calculation[Source Row],ROW()-ROW(Payslip_Lookup[#Headers]))="","",INDEX(Salary_Calculation[Negative Balance / Amount Due from Rider],ROW()-ROW(Payslip_Lookup[#Headers])))</f>
        <v/>
      </c>
      <c r="AB428" s="176" t="str">
        <f aca="false">IF(INDEX(Salary_Calculation[Source Row],ROW()-ROW(Payslip_Lookup[#Headers]))="","",INDEX(Salary_Calculation[Total Amount Due from Rider],ROW()-ROW(Payslip_Lookup[#Headers])))</f>
        <v/>
      </c>
      <c r="AC428" s="176" t="str">
        <f aca="false">IF(INDEX(Salary_Calculation[Source Row],ROW()-ROW(Payslip_Lookup[#Headers]))="","",INDEX(Salary_Calculation[Salary Before Other Deductions],ROW()-ROW(Payslip_Lookup[#Headers])))</f>
        <v/>
      </c>
      <c r="AD428" s="171" t="str">
        <f aca="false">IF(INDEX(Salary_Calculation[Source Row],ROW()-ROW(Payslip_Lookup[#Headers]))="","",INDEX(Salary_Calculation[Payment Status],ROW()-ROW(Payslip_Lookup[#Headers])))</f>
        <v/>
      </c>
      <c r="AE428" s="171" t="str">
        <f aca="false">IF(INDEX(Salary_Calculation[Source Row],ROW()-ROW(Payslip_Lookup[#Headers]))="","",INDEX(Salary_Calculation[Notes],ROW()-ROW(Payslip_Lookup[#Headers])))</f>
        <v/>
      </c>
      <c r="AF428" s="171" t="str">
        <f aca="false">IF(INDEX(Salary_Calculation[Source Row],ROW()-ROW(Payslip_Lookup[#Headers]))="","",INDEX(Salary_Calculation[Exception Reason],ROW()-ROW(Payslip_Lookup[#Headers])))</f>
        <v/>
      </c>
      <c r="AG428" s="173" t="str">
        <f aca="false">IF($AD428="Review Required",COUNTIF(AD$2:AD428,"Review Required"),"")</f>
        <v/>
      </c>
      <c r="AH428" s="173" t="str">
        <f aca="false">IF(AND($D428&lt;&gt;"",$B428=Payslip_Print!$C$2),MAX(AH$1:AH427)+1,"")</f>
        <v/>
      </c>
      <c r="AL428" s="178" t="str">
        <f aca="false">IFERROR(INDEX($D$2:$D$501,MATCH(ROW()-1,$AH$2:$AH$501,0)),"")</f>
        <v/>
      </c>
      <c r="AM428" s="179" t="str">
        <f aca="false">IF($Z428="","",IF(AND($C428&gt;=Dash_Start,$C428&lt;Dash_End),$Z428+ROW()/10000000,""))</f>
        <v/>
      </c>
    </row>
    <row r="429" customFormat="false" ht="14.25" hidden="false" customHeight="false" outlineLevel="0" collapsed="false">
      <c r="A429" s="171" t="str">
        <f aca="false">IF(Payslip_Lookup[[#This Row],[Rider ID]]="","",Payslip_Lookup[[#This Row],[Rider ID]]&amp;"|"&amp;Payslip_Lookup[[#This Row],[Month Key]])</f>
        <v/>
      </c>
      <c r="B429" s="172" t="str">
        <f aca="false">IF(ISNUMBER(Payslip_Lookup[[#This Row],[Salary Month]]),DATE(YEAR(Payslip_Lookup[[#This Row],[Salary Month]]),MONTH(Payslip_Lookup[[#This Row],[Salary Month]]),1),"")</f>
        <v/>
      </c>
      <c r="C429" s="172" t="str">
        <f aca="false">IF(INDEX(Salary_Calculation[Source Row],ROW()-ROW(Payslip_Lookup[#Headers]))="","",INDEX(Salary_Calculation[Salary Month],ROW()-ROW(Payslip_Lookup[#Headers])))</f>
        <v/>
      </c>
      <c r="D429" s="173" t="str">
        <f aca="false">IF(INDEX(Salary_Calculation[Source Row],ROW()-ROW(Payslip_Lookup[#Headers]))="","",INDEX(Salary_Calculation[Rider ID],ROW()-ROW(Payslip_Lookup[#Headers])))</f>
        <v/>
      </c>
      <c r="E429" s="171" t="str">
        <f aca="false">IF(INDEX(Salary_Calculation[Source Row],ROW()-ROW(Payslip_Lookup[#Headers]))="","",INDEX(Salary_Calculation[Rider Name],ROW()-ROW(Payslip_Lookup[#Headers])))</f>
        <v/>
      </c>
      <c r="F429" s="173" t="str">
        <f aca="false">IF(INDEX(Salary_Calculation[Source Row],ROW()-ROW(Payslip_Lookup[#Headers]))="","",INDEX(Salary_Calculation[Working Days],ROW()-ROW(Payslip_Lookup[#Headers])))</f>
        <v/>
      </c>
      <c r="G429" s="173" t="str">
        <f aca="false">IF(INDEX(Salary_Calculation[Source Row],ROW()-ROW(Payslip_Lookup[#Headers]))="","",INDEX(Salary_Calculation[Calendar Days],ROW()-ROW(Payslip_Lookup[#Headers])))</f>
        <v/>
      </c>
      <c r="H429" s="174" t="str">
        <f aca="false">IF(INDEX(Salary_Calculation[Source Row],ROW()-ROW(Payslip_Lookup[#Headers]))="","",INDEX(Salary_Calculation[Monthly Target Orders],ROW()-ROW(Payslip_Lookup[#Headers])))</f>
        <v/>
      </c>
      <c r="I429" s="174" t="str">
        <f aca="false">IF(INDEX(Salary_Calculation[Source Row],ROW()-ROW(Payslip_Lookup[#Headers]))="","",INDEX(Salary_Calculation[Rider Target Orders],ROW()-ROW(Payslip_Lookup[#Headers])))</f>
        <v/>
      </c>
      <c r="J429" s="175" t="str">
        <f aca="false">IF(INDEX(Salary_Calculation[Source Row],ROW()-ROW(Payslip_Lookup[#Headers]))="","",INDEX(Salary_Calculation[Completed Orders],ROW()-ROW(Payslip_Lookup[#Headers])))</f>
        <v/>
      </c>
      <c r="K429" s="174" t="str">
        <f aca="false">IF(INDEX(Salary_Calculation[Source Row],ROW()-ROW(Payslip_Lookup[#Headers]))="","",INDEX(Salary_Calculation[Base Order Rate],ROW()-ROW(Payslip_Lookup[#Headers])))</f>
        <v/>
      </c>
      <c r="L429" s="176" t="str">
        <f aca="false">IF(INDEX(Salary_Calculation[Source Row],ROW()-ROW(Payslip_Lookup[#Headers]))="","",INDEX(Salary_Calculation[Basic Payment],ROW()-ROW(Payslip_Lookup[#Headers])))</f>
        <v/>
      </c>
      <c r="M429" s="176" t="str">
        <f aca="false">IF(INDEX(Salary_Calculation[Source Row],ROW()-ROW(Payslip_Lookup[#Headers]))="","",INDEX(Salary_Calculation[Earned Salary],ROW()-ROW(Payslip_Lookup[#Headers])))</f>
        <v/>
      </c>
      <c r="N429" s="174" t="str">
        <f aca="false">IF(INDEX(Salary_Calculation[Source Row],ROW()-ROW(Payslip_Lookup[#Headers]))="","",INDEX(Salary_Calculation[Orders Counted at Base Rate],ROW()-ROW(Payslip_Lookup[#Headers])))</f>
        <v/>
      </c>
      <c r="O429" s="174" t="str">
        <f aca="false">IF(INDEX(Salary_Calculation[Source Row],ROW()-ROW(Payslip_Lookup[#Headers]))="","",INDEX(Salary_Calculation[Missing Orders],ROW()-ROW(Payslip_Lookup[#Headers])))</f>
        <v/>
      </c>
      <c r="P429" s="176" t="str">
        <f aca="false">IF(INDEX(Salary_Calculation[Source Row],ROW()-ROW(Payslip_Lookup[#Headers]))="","",INDEX(Salary_Calculation[Missing-Order Deduction],ROW()-ROW(Payslip_Lookup[#Headers])))</f>
        <v/>
      </c>
      <c r="Q429" s="174" t="str">
        <f aca="false">IF(INDEX(Salary_Calculation[Source Row],ROW()-ROW(Payslip_Lookup[#Headers]))="","",INDEX(Salary_Calculation[Extra Orders],ROW()-ROW(Payslip_Lookup[#Headers])))</f>
        <v/>
      </c>
      <c r="R429" s="176" t="str">
        <f aca="false">IF(INDEX(Salary_Calculation[Source Row],ROW()-ROW(Payslip_Lookup[#Headers]))="","",INDEX(Salary_Calculation[Extra-Order Bonus],ROW()-ROW(Payslip_Lookup[#Headers])))</f>
        <v/>
      </c>
      <c r="S429" s="176" t="str">
        <f aca="false">IF(INDEX(Salary_Calculation[Source Row],ROW()-ROW(Payslip_Lookup[#Headers]))="","",INDEX(Salary_Calculation[Basic Salary for Target],ROW()-ROW(Payslip_Lookup[#Headers])))</f>
        <v/>
      </c>
      <c r="T429" s="176" t="str">
        <f aca="false">IF(INDEX(Salary_Calculation[Source Row],ROW()-ROW(Payslip_Lookup[#Headers]))="","",INDEX(Salary_Calculation[Gross Salary Before Deductions],ROW()-ROW(Payslip_Lookup[#Headers])))</f>
        <v/>
      </c>
      <c r="U429" s="176" t="str">
        <f aca="false">IF(INDEX(Salary_Calculation[Source Row],ROW()-ROW(Payslip_Lookup[#Headers]))="","",INDEX(Salary_Calculation[missed_days_penalty],ROW()-ROW(Payslip_Lookup[#Headers])))</f>
        <v/>
      </c>
      <c r="V429" s="176" t="str">
        <f aca="false">IF(INDEX(Salary_Calculation[Source Row],ROW()-ROW(Payslip_Lookup[#Headers]))="","",INDEX(Salary_Calculation[Rider Balance],ROW()-ROW(Payslip_Lookup[#Headers])))</f>
        <v/>
      </c>
      <c r="W429" s="176" t="str">
        <f aca="false">IF(INDEX(Salary_Calculation[Source Row],ROW()-ROW(Payslip_Lookup[#Headers]))="","",INDEX(Salary_Calculation[stacking_deduction],ROW()-ROW(Payslip_Lookup[#Headers])))</f>
        <v/>
      </c>
      <c r="X429" s="176" t="str">
        <f aca="false">IF(INDEX(Salary_Calculation[Source Row],ROW()-ROW(Payslip_Lookup[#Headers]))="","",INDEX(Salary_Calculation[Other Deductions],ROW()-ROW(Payslip_Lookup[#Headers])))</f>
        <v/>
      </c>
      <c r="Y429" s="176" t="str">
        <f aca="false">IF(INDEX(Salary_Calculation[Source Row],ROW()-ROW(Payslip_Lookup[#Headers]))="","",INDEX(Salary_Calculation[Total Deductions],ROW()-ROW(Payslip_Lookup[#Headers])))</f>
        <v/>
      </c>
      <c r="Z429" s="176" t="str">
        <f aca="false">IF(INDEX(Salary_Calculation[Source Row],ROW()-ROW(Payslip_Lookup[#Headers]))="","",INDEX(Salary_Calculation[Final Salary],ROW()-ROW(Payslip_Lookup[#Headers])))</f>
        <v/>
      </c>
      <c r="AA429" s="176" t="str">
        <f aca="false">IF(INDEX(Salary_Calculation[Source Row],ROW()-ROW(Payslip_Lookup[#Headers]))="","",INDEX(Salary_Calculation[Negative Balance / Amount Due from Rider],ROW()-ROW(Payslip_Lookup[#Headers])))</f>
        <v/>
      </c>
      <c r="AB429" s="176" t="str">
        <f aca="false">IF(INDEX(Salary_Calculation[Source Row],ROW()-ROW(Payslip_Lookup[#Headers]))="","",INDEX(Salary_Calculation[Total Amount Due from Rider],ROW()-ROW(Payslip_Lookup[#Headers])))</f>
        <v/>
      </c>
      <c r="AC429" s="176" t="str">
        <f aca="false">IF(INDEX(Salary_Calculation[Source Row],ROW()-ROW(Payslip_Lookup[#Headers]))="","",INDEX(Salary_Calculation[Salary Before Other Deductions],ROW()-ROW(Payslip_Lookup[#Headers])))</f>
        <v/>
      </c>
      <c r="AD429" s="171" t="str">
        <f aca="false">IF(INDEX(Salary_Calculation[Source Row],ROW()-ROW(Payslip_Lookup[#Headers]))="","",INDEX(Salary_Calculation[Payment Status],ROW()-ROW(Payslip_Lookup[#Headers])))</f>
        <v/>
      </c>
      <c r="AE429" s="171" t="str">
        <f aca="false">IF(INDEX(Salary_Calculation[Source Row],ROW()-ROW(Payslip_Lookup[#Headers]))="","",INDEX(Salary_Calculation[Notes],ROW()-ROW(Payslip_Lookup[#Headers])))</f>
        <v/>
      </c>
      <c r="AF429" s="171" t="str">
        <f aca="false">IF(INDEX(Salary_Calculation[Source Row],ROW()-ROW(Payslip_Lookup[#Headers]))="","",INDEX(Salary_Calculation[Exception Reason],ROW()-ROW(Payslip_Lookup[#Headers])))</f>
        <v/>
      </c>
      <c r="AG429" s="173" t="str">
        <f aca="false">IF($AD429="Review Required",COUNTIF(AD$2:AD429,"Review Required"),"")</f>
        <v/>
      </c>
      <c r="AH429" s="173" t="str">
        <f aca="false">IF(AND($D429&lt;&gt;"",$B429=Payslip_Print!$C$2),MAX(AH$1:AH428)+1,"")</f>
        <v/>
      </c>
      <c r="AL429" s="178" t="str">
        <f aca="false">IFERROR(INDEX($D$2:$D$501,MATCH(ROW()-1,$AH$2:$AH$501,0)),"")</f>
        <v/>
      </c>
      <c r="AM429" s="179" t="str">
        <f aca="false">IF($Z429="","",IF(AND($C429&gt;=Dash_Start,$C429&lt;Dash_End),$Z429+ROW()/10000000,""))</f>
        <v/>
      </c>
    </row>
    <row r="430" customFormat="false" ht="14.25" hidden="false" customHeight="false" outlineLevel="0" collapsed="false">
      <c r="A430" s="171" t="str">
        <f aca="false">IF(Payslip_Lookup[[#This Row],[Rider ID]]="","",Payslip_Lookup[[#This Row],[Rider ID]]&amp;"|"&amp;Payslip_Lookup[[#This Row],[Month Key]])</f>
        <v/>
      </c>
      <c r="B430" s="172" t="str">
        <f aca="false">IF(ISNUMBER(Payslip_Lookup[[#This Row],[Salary Month]]),DATE(YEAR(Payslip_Lookup[[#This Row],[Salary Month]]),MONTH(Payslip_Lookup[[#This Row],[Salary Month]]),1),"")</f>
        <v/>
      </c>
      <c r="C430" s="172" t="str">
        <f aca="false">IF(INDEX(Salary_Calculation[Source Row],ROW()-ROW(Payslip_Lookup[#Headers]))="","",INDEX(Salary_Calculation[Salary Month],ROW()-ROW(Payslip_Lookup[#Headers])))</f>
        <v/>
      </c>
      <c r="D430" s="173" t="str">
        <f aca="false">IF(INDEX(Salary_Calculation[Source Row],ROW()-ROW(Payslip_Lookup[#Headers]))="","",INDEX(Salary_Calculation[Rider ID],ROW()-ROW(Payslip_Lookup[#Headers])))</f>
        <v/>
      </c>
      <c r="E430" s="171" t="str">
        <f aca="false">IF(INDEX(Salary_Calculation[Source Row],ROW()-ROW(Payslip_Lookup[#Headers]))="","",INDEX(Salary_Calculation[Rider Name],ROW()-ROW(Payslip_Lookup[#Headers])))</f>
        <v/>
      </c>
      <c r="F430" s="173" t="str">
        <f aca="false">IF(INDEX(Salary_Calculation[Source Row],ROW()-ROW(Payslip_Lookup[#Headers]))="","",INDEX(Salary_Calculation[Working Days],ROW()-ROW(Payslip_Lookup[#Headers])))</f>
        <v/>
      </c>
      <c r="G430" s="173" t="str">
        <f aca="false">IF(INDEX(Salary_Calculation[Source Row],ROW()-ROW(Payslip_Lookup[#Headers]))="","",INDEX(Salary_Calculation[Calendar Days],ROW()-ROW(Payslip_Lookup[#Headers])))</f>
        <v/>
      </c>
      <c r="H430" s="174" t="str">
        <f aca="false">IF(INDEX(Salary_Calculation[Source Row],ROW()-ROW(Payslip_Lookup[#Headers]))="","",INDEX(Salary_Calculation[Monthly Target Orders],ROW()-ROW(Payslip_Lookup[#Headers])))</f>
        <v/>
      </c>
      <c r="I430" s="174" t="str">
        <f aca="false">IF(INDEX(Salary_Calculation[Source Row],ROW()-ROW(Payslip_Lookup[#Headers]))="","",INDEX(Salary_Calculation[Rider Target Orders],ROW()-ROW(Payslip_Lookup[#Headers])))</f>
        <v/>
      </c>
      <c r="J430" s="175" t="str">
        <f aca="false">IF(INDEX(Salary_Calculation[Source Row],ROW()-ROW(Payslip_Lookup[#Headers]))="","",INDEX(Salary_Calculation[Completed Orders],ROW()-ROW(Payslip_Lookup[#Headers])))</f>
        <v/>
      </c>
      <c r="K430" s="174" t="str">
        <f aca="false">IF(INDEX(Salary_Calculation[Source Row],ROW()-ROW(Payslip_Lookup[#Headers]))="","",INDEX(Salary_Calculation[Base Order Rate],ROW()-ROW(Payslip_Lookup[#Headers])))</f>
        <v/>
      </c>
      <c r="L430" s="176" t="str">
        <f aca="false">IF(INDEX(Salary_Calculation[Source Row],ROW()-ROW(Payslip_Lookup[#Headers]))="","",INDEX(Salary_Calculation[Basic Payment],ROW()-ROW(Payslip_Lookup[#Headers])))</f>
        <v/>
      </c>
      <c r="M430" s="176" t="str">
        <f aca="false">IF(INDEX(Salary_Calculation[Source Row],ROW()-ROW(Payslip_Lookup[#Headers]))="","",INDEX(Salary_Calculation[Earned Salary],ROW()-ROW(Payslip_Lookup[#Headers])))</f>
        <v/>
      </c>
      <c r="N430" s="174" t="str">
        <f aca="false">IF(INDEX(Salary_Calculation[Source Row],ROW()-ROW(Payslip_Lookup[#Headers]))="","",INDEX(Salary_Calculation[Orders Counted at Base Rate],ROW()-ROW(Payslip_Lookup[#Headers])))</f>
        <v/>
      </c>
      <c r="O430" s="174" t="str">
        <f aca="false">IF(INDEX(Salary_Calculation[Source Row],ROW()-ROW(Payslip_Lookup[#Headers]))="","",INDEX(Salary_Calculation[Missing Orders],ROW()-ROW(Payslip_Lookup[#Headers])))</f>
        <v/>
      </c>
      <c r="P430" s="176" t="str">
        <f aca="false">IF(INDEX(Salary_Calculation[Source Row],ROW()-ROW(Payslip_Lookup[#Headers]))="","",INDEX(Salary_Calculation[Missing-Order Deduction],ROW()-ROW(Payslip_Lookup[#Headers])))</f>
        <v/>
      </c>
      <c r="Q430" s="174" t="str">
        <f aca="false">IF(INDEX(Salary_Calculation[Source Row],ROW()-ROW(Payslip_Lookup[#Headers]))="","",INDEX(Salary_Calculation[Extra Orders],ROW()-ROW(Payslip_Lookup[#Headers])))</f>
        <v/>
      </c>
      <c r="R430" s="176" t="str">
        <f aca="false">IF(INDEX(Salary_Calculation[Source Row],ROW()-ROW(Payslip_Lookup[#Headers]))="","",INDEX(Salary_Calculation[Extra-Order Bonus],ROW()-ROW(Payslip_Lookup[#Headers])))</f>
        <v/>
      </c>
      <c r="S430" s="176" t="str">
        <f aca="false">IF(INDEX(Salary_Calculation[Source Row],ROW()-ROW(Payslip_Lookup[#Headers]))="","",INDEX(Salary_Calculation[Basic Salary for Target],ROW()-ROW(Payslip_Lookup[#Headers])))</f>
        <v/>
      </c>
      <c r="T430" s="176" t="str">
        <f aca="false">IF(INDEX(Salary_Calculation[Source Row],ROW()-ROW(Payslip_Lookup[#Headers]))="","",INDEX(Salary_Calculation[Gross Salary Before Deductions],ROW()-ROW(Payslip_Lookup[#Headers])))</f>
        <v/>
      </c>
      <c r="U430" s="176" t="str">
        <f aca="false">IF(INDEX(Salary_Calculation[Source Row],ROW()-ROW(Payslip_Lookup[#Headers]))="","",INDEX(Salary_Calculation[missed_days_penalty],ROW()-ROW(Payslip_Lookup[#Headers])))</f>
        <v/>
      </c>
      <c r="V430" s="176" t="str">
        <f aca="false">IF(INDEX(Salary_Calculation[Source Row],ROW()-ROW(Payslip_Lookup[#Headers]))="","",INDEX(Salary_Calculation[Rider Balance],ROW()-ROW(Payslip_Lookup[#Headers])))</f>
        <v/>
      </c>
      <c r="W430" s="176" t="str">
        <f aca="false">IF(INDEX(Salary_Calculation[Source Row],ROW()-ROW(Payslip_Lookup[#Headers]))="","",INDEX(Salary_Calculation[stacking_deduction],ROW()-ROW(Payslip_Lookup[#Headers])))</f>
        <v/>
      </c>
      <c r="X430" s="176" t="str">
        <f aca="false">IF(INDEX(Salary_Calculation[Source Row],ROW()-ROW(Payslip_Lookup[#Headers]))="","",INDEX(Salary_Calculation[Other Deductions],ROW()-ROW(Payslip_Lookup[#Headers])))</f>
        <v/>
      </c>
      <c r="Y430" s="176" t="str">
        <f aca="false">IF(INDEX(Salary_Calculation[Source Row],ROW()-ROW(Payslip_Lookup[#Headers]))="","",INDEX(Salary_Calculation[Total Deductions],ROW()-ROW(Payslip_Lookup[#Headers])))</f>
        <v/>
      </c>
      <c r="Z430" s="176" t="str">
        <f aca="false">IF(INDEX(Salary_Calculation[Source Row],ROW()-ROW(Payslip_Lookup[#Headers]))="","",INDEX(Salary_Calculation[Final Salary],ROW()-ROW(Payslip_Lookup[#Headers])))</f>
        <v/>
      </c>
      <c r="AA430" s="176" t="str">
        <f aca="false">IF(INDEX(Salary_Calculation[Source Row],ROW()-ROW(Payslip_Lookup[#Headers]))="","",INDEX(Salary_Calculation[Negative Balance / Amount Due from Rider],ROW()-ROW(Payslip_Lookup[#Headers])))</f>
        <v/>
      </c>
      <c r="AB430" s="176" t="str">
        <f aca="false">IF(INDEX(Salary_Calculation[Source Row],ROW()-ROW(Payslip_Lookup[#Headers]))="","",INDEX(Salary_Calculation[Total Amount Due from Rider],ROW()-ROW(Payslip_Lookup[#Headers])))</f>
        <v/>
      </c>
      <c r="AC430" s="176" t="str">
        <f aca="false">IF(INDEX(Salary_Calculation[Source Row],ROW()-ROW(Payslip_Lookup[#Headers]))="","",INDEX(Salary_Calculation[Salary Before Other Deductions],ROW()-ROW(Payslip_Lookup[#Headers])))</f>
        <v/>
      </c>
      <c r="AD430" s="171" t="str">
        <f aca="false">IF(INDEX(Salary_Calculation[Source Row],ROW()-ROW(Payslip_Lookup[#Headers]))="","",INDEX(Salary_Calculation[Payment Status],ROW()-ROW(Payslip_Lookup[#Headers])))</f>
        <v/>
      </c>
      <c r="AE430" s="171" t="str">
        <f aca="false">IF(INDEX(Salary_Calculation[Source Row],ROW()-ROW(Payslip_Lookup[#Headers]))="","",INDEX(Salary_Calculation[Notes],ROW()-ROW(Payslip_Lookup[#Headers])))</f>
        <v/>
      </c>
      <c r="AF430" s="171" t="str">
        <f aca="false">IF(INDEX(Salary_Calculation[Source Row],ROW()-ROW(Payslip_Lookup[#Headers]))="","",INDEX(Salary_Calculation[Exception Reason],ROW()-ROW(Payslip_Lookup[#Headers])))</f>
        <v/>
      </c>
      <c r="AG430" s="173" t="str">
        <f aca="false">IF($AD430="Review Required",COUNTIF(AD$2:AD430,"Review Required"),"")</f>
        <v/>
      </c>
      <c r="AH430" s="173" t="str">
        <f aca="false">IF(AND($D430&lt;&gt;"",$B430=Payslip_Print!$C$2),MAX(AH$1:AH429)+1,"")</f>
        <v/>
      </c>
      <c r="AL430" s="178" t="str">
        <f aca="false">IFERROR(INDEX($D$2:$D$501,MATCH(ROW()-1,$AH$2:$AH$501,0)),"")</f>
        <v/>
      </c>
      <c r="AM430" s="179" t="str">
        <f aca="false">IF($Z430="","",IF(AND($C430&gt;=Dash_Start,$C430&lt;Dash_End),$Z430+ROW()/10000000,""))</f>
        <v/>
      </c>
    </row>
    <row r="431" customFormat="false" ht="14.25" hidden="false" customHeight="false" outlineLevel="0" collapsed="false">
      <c r="A431" s="171" t="str">
        <f aca="false">IF(Payslip_Lookup[[#This Row],[Rider ID]]="","",Payslip_Lookup[[#This Row],[Rider ID]]&amp;"|"&amp;Payslip_Lookup[[#This Row],[Month Key]])</f>
        <v/>
      </c>
      <c r="B431" s="172" t="str">
        <f aca="false">IF(ISNUMBER(Payslip_Lookup[[#This Row],[Salary Month]]),DATE(YEAR(Payslip_Lookup[[#This Row],[Salary Month]]),MONTH(Payslip_Lookup[[#This Row],[Salary Month]]),1),"")</f>
        <v/>
      </c>
      <c r="C431" s="172" t="str">
        <f aca="false">IF(INDEX(Salary_Calculation[Source Row],ROW()-ROW(Payslip_Lookup[#Headers]))="","",INDEX(Salary_Calculation[Salary Month],ROW()-ROW(Payslip_Lookup[#Headers])))</f>
        <v/>
      </c>
      <c r="D431" s="173" t="str">
        <f aca="false">IF(INDEX(Salary_Calculation[Source Row],ROW()-ROW(Payslip_Lookup[#Headers]))="","",INDEX(Salary_Calculation[Rider ID],ROW()-ROW(Payslip_Lookup[#Headers])))</f>
        <v/>
      </c>
      <c r="E431" s="171" t="str">
        <f aca="false">IF(INDEX(Salary_Calculation[Source Row],ROW()-ROW(Payslip_Lookup[#Headers]))="","",INDEX(Salary_Calculation[Rider Name],ROW()-ROW(Payslip_Lookup[#Headers])))</f>
        <v/>
      </c>
      <c r="F431" s="173" t="str">
        <f aca="false">IF(INDEX(Salary_Calculation[Source Row],ROW()-ROW(Payslip_Lookup[#Headers]))="","",INDEX(Salary_Calculation[Working Days],ROW()-ROW(Payslip_Lookup[#Headers])))</f>
        <v/>
      </c>
      <c r="G431" s="173" t="str">
        <f aca="false">IF(INDEX(Salary_Calculation[Source Row],ROW()-ROW(Payslip_Lookup[#Headers]))="","",INDEX(Salary_Calculation[Calendar Days],ROW()-ROW(Payslip_Lookup[#Headers])))</f>
        <v/>
      </c>
      <c r="H431" s="174" t="str">
        <f aca="false">IF(INDEX(Salary_Calculation[Source Row],ROW()-ROW(Payslip_Lookup[#Headers]))="","",INDEX(Salary_Calculation[Monthly Target Orders],ROW()-ROW(Payslip_Lookup[#Headers])))</f>
        <v/>
      </c>
      <c r="I431" s="174" t="str">
        <f aca="false">IF(INDEX(Salary_Calculation[Source Row],ROW()-ROW(Payslip_Lookup[#Headers]))="","",INDEX(Salary_Calculation[Rider Target Orders],ROW()-ROW(Payslip_Lookup[#Headers])))</f>
        <v/>
      </c>
      <c r="J431" s="175" t="str">
        <f aca="false">IF(INDEX(Salary_Calculation[Source Row],ROW()-ROW(Payslip_Lookup[#Headers]))="","",INDEX(Salary_Calculation[Completed Orders],ROW()-ROW(Payslip_Lookup[#Headers])))</f>
        <v/>
      </c>
      <c r="K431" s="174" t="str">
        <f aca="false">IF(INDEX(Salary_Calculation[Source Row],ROW()-ROW(Payslip_Lookup[#Headers]))="","",INDEX(Salary_Calculation[Base Order Rate],ROW()-ROW(Payslip_Lookup[#Headers])))</f>
        <v/>
      </c>
      <c r="L431" s="176" t="str">
        <f aca="false">IF(INDEX(Salary_Calculation[Source Row],ROW()-ROW(Payslip_Lookup[#Headers]))="","",INDEX(Salary_Calculation[Basic Payment],ROW()-ROW(Payslip_Lookup[#Headers])))</f>
        <v/>
      </c>
      <c r="M431" s="176" t="str">
        <f aca="false">IF(INDEX(Salary_Calculation[Source Row],ROW()-ROW(Payslip_Lookup[#Headers]))="","",INDEX(Salary_Calculation[Earned Salary],ROW()-ROW(Payslip_Lookup[#Headers])))</f>
        <v/>
      </c>
      <c r="N431" s="174" t="str">
        <f aca="false">IF(INDEX(Salary_Calculation[Source Row],ROW()-ROW(Payslip_Lookup[#Headers]))="","",INDEX(Salary_Calculation[Orders Counted at Base Rate],ROW()-ROW(Payslip_Lookup[#Headers])))</f>
        <v/>
      </c>
      <c r="O431" s="174" t="str">
        <f aca="false">IF(INDEX(Salary_Calculation[Source Row],ROW()-ROW(Payslip_Lookup[#Headers]))="","",INDEX(Salary_Calculation[Missing Orders],ROW()-ROW(Payslip_Lookup[#Headers])))</f>
        <v/>
      </c>
      <c r="P431" s="176" t="str">
        <f aca="false">IF(INDEX(Salary_Calculation[Source Row],ROW()-ROW(Payslip_Lookup[#Headers]))="","",INDEX(Salary_Calculation[Missing-Order Deduction],ROW()-ROW(Payslip_Lookup[#Headers])))</f>
        <v/>
      </c>
      <c r="Q431" s="174" t="str">
        <f aca="false">IF(INDEX(Salary_Calculation[Source Row],ROW()-ROW(Payslip_Lookup[#Headers]))="","",INDEX(Salary_Calculation[Extra Orders],ROW()-ROW(Payslip_Lookup[#Headers])))</f>
        <v/>
      </c>
      <c r="R431" s="176" t="str">
        <f aca="false">IF(INDEX(Salary_Calculation[Source Row],ROW()-ROW(Payslip_Lookup[#Headers]))="","",INDEX(Salary_Calculation[Extra-Order Bonus],ROW()-ROW(Payslip_Lookup[#Headers])))</f>
        <v/>
      </c>
      <c r="S431" s="176" t="str">
        <f aca="false">IF(INDEX(Salary_Calculation[Source Row],ROW()-ROW(Payslip_Lookup[#Headers]))="","",INDEX(Salary_Calculation[Basic Salary for Target],ROW()-ROW(Payslip_Lookup[#Headers])))</f>
        <v/>
      </c>
      <c r="T431" s="176" t="str">
        <f aca="false">IF(INDEX(Salary_Calculation[Source Row],ROW()-ROW(Payslip_Lookup[#Headers]))="","",INDEX(Salary_Calculation[Gross Salary Before Deductions],ROW()-ROW(Payslip_Lookup[#Headers])))</f>
        <v/>
      </c>
      <c r="U431" s="176" t="str">
        <f aca="false">IF(INDEX(Salary_Calculation[Source Row],ROW()-ROW(Payslip_Lookup[#Headers]))="","",INDEX(Salary_Calculation[missed_days_penalty],ROW()-ROW(Payslip_Lookup[#Headers])))</f>
        <v/>
      </c>
      <c r="V431" s="176" t="str">
        <f aca="false">IF(INDEX(Salary_Calculation[Source Row],ROW()-ROW(Payslip_Lookup[#Headers]))="","",INDEX(Salary_Calculation[Rider Balance],ROW()-ROW(Payslip_Lookup[#Headers])))</f>
        <v/>
      </c>
      <c r="W431" s="176" t="str">
        <f aca="false">IF(INDEX(Salary_Calculation[Source Row],ROW()-ROW(Payslip_Lookup[#Headers]))="","",INDEX(Salary_Calculation[stacking_deduction],ROW()-ROW(Payslip_Lookup[#Headers])))</f>
        <v/>
      </c>
      <c r="X431" s="176" t="str">
        <f aca="false">IF(INDEX(Salary_Calculation[Source Row],ROW()-ROW(Payslip_Lookup[#Headers]))="","",INDEX(Salary_Calculation[Other Deductions],ROW()-ROW(Payslip_Lookup[#Headers])))</f>
        <v/>
      </c>
      <c r="Y431" s="176" t="str">
        <f aca="false">IF(INDEX(Salary_Calculation[Source Row],ROW()-ROW(Payslip_Lookup[#Headers]))="","",INDEX(Salary_Calculation[Total Deductions],ROW()-ROW(Payslip_Lookup[#Headers])))</f>
        <v/>
      </c>
      <c r="Z431" s="176" t="str">
        <f aca="false">IF(INDEX(Salary_Calculation[Source Row],ROW()-ROW(Payslip_Lookup[#Headers]))="","",INDEX(Salary_Calculation[Final Salary],ROW()-ROW(Payslip_Lookup[#Headers])))</f>
        <v/>
      </c>
      <c r="AA431" s="176" t="str">
        <f aca="false">IF(INDEX(Salary_Calculation[Source Row],ROW()-ROW(Payslip_Lookup[#Headers]))="","",INDEX(Salary_Calculation[Negative Balance / Amount Due from Rider],ROW()-ROW(Payslip_Lookup[#Headers])))</f>
        <v/>
      </c>
      <c r="AB431" s="176" t="str">
        <f aca="false">IF(INDEX(Salary_Calculation[Source Row],ROW()-ROW(Payslip_Lookup[#Headers]))="","",INDEX(Salary_Calculation[Total Amount Due from Rider],ROW()-ROW(Payslip_Lookup[#Headers])))</f>
        <v/>
      </c>
      <c r="AC431" s="176" t="str">
        <f aca="false">IF(INDEX(Salary_Calculation[Source Row],ROW()-ROW(Payslip_Lookup[#Headers]))="","",INDEX(Salary_Calculation[Salary Before Other Deductions],ROW()-ROW(Payslip_Lookup[#Headers])))</f>
        <v/>
      </c>
      <c r="AD431" s="171" t="str">
        <f aca="false">IF(INDEX(Salary_Calculation[Source Row],ROW()-ROW(Payslip_Lookup[#Headers]))="","",INDEX(Salary_Calculation[Payment Status],ROW()-ROW(Payslip_Lookup[#Headers])))</f>
        <v/>
      </c>
      <c r="AE431" s="171" t="str">
        <f aca="false">IF(INDEX(Salary_Calculation[Source Row],ROW()-ROW(Payslip_Lookup[#Headers]))="","",INDEX(Salary_Calculation[Notes],ROW()-ROW(Payslip_Lookup[#Headers])))</f>
        <v/>
      </c>
      <c r="AF431" s="171" t="str">
        <f aca="false">IF(INDEX(Salary_Calculation[Source Row],ROW()-ROW(Payslip_Lookup[#Headers]))="","",INDEX(Salary_Calculation[Exception Reason],ROW()-ROW(Payslip_Lookup[#Headers])))</f>
        <v/>
      </c>
      <c r="AG431" s="173" t="str">
        <f aca="false">IF($AD431="Review Required",COUNTIF(AD$2:AD431,"Review Required"),"")</f>
        <v/>
      </c>
      <c r="AH431" s="173" t="str">
        <f aca="false">IF(AND($D431&lt;&gt;"",$B431=Payslip_Print!$C$2),MAX(AH$1:AH430)+1,"")</f>
        <v/>
      </c>
      <c r="AL431" s="178" t="str">
        <f aca="false">IFERROR(INDEX($D$2:$D$501,MATCH(ROW()-1,$AH$2:$AH$501,0)),"")</f>
        <v/>
      </c>
      <c r="AM431" s="179" t="str">
        <f aca="false">IF($Z431="","",IF(AND($C431&gt;=Dash_Start,$C431&lt;Dash_End),$Z431+ROW()/10000000,""))</f>
        <v/>
      </c>
    </row>
    <row r="432" customFormat="false" ht="14.25" hidden="false" customHeight="false" outlineLevel="0" collapsed="false">
      <c r="A432" s="171" t="str">
        <f aca="false">IF(Payslip_Lookup[[#This Row],[Rider ID]]="","",Payslip_Lookup[[#This Row],[Rider ID]]&amp;"|"&amp;Payslip_Lookup[[#This Row],[Month Key]])</f>
        <v/>
      </c>
      <c r="B432" s="172" t="str">
        <f aca="false">IF(ISNUMBER(Payslip_Lookup[[#This Row],[Salary Month]]),DATE(YEAR(Payslip_Lookup[[#This Row],[Salary Month]]),MONTH(Payslip_Lookup[[#This Row],[Salary Month]]),1),"")</f>
        <v/>
      </c>
      <c r="C432" s="172" t="str">
        <f aca="false">IF(INDEX(Salary_Calculation[Source Row],ROW()-ROW(Payslip_Lookup[#Headers]))="","",INDEX(Salary_Calculation[Salary Month],ROW()-ROW(Payslip_Lookup[#Headers])))</f>
        <v/>
      </c>
      <c r="D432" s="173" t="str">
        <f aca="false">IF(INDEX(Salary_Calculation[Source Row],ROW()-ROW(Payslip_Lookup[#Headers]))="","",INDEX(Salary_Calculation[Rider ID],ROW()-ROW(Payslip_Lookup[#Headers])))</f>
        <v/>
      </c>
      <c r="E432" s="171" t="str">
        <f aca="false">IF(INDEX(Salary_Calculation[Source Row],ROW()-ROW(Payslip_Lookup[#Headers]))="","",INDEX(Salary_Calculation[Rider Name],ROW()-ROW(Payslip_Lookup[#Headers])))</f>
        <v/>
      </c>
      <c r="F432" s="173" t="str">
        <f aca="false">IF(INDEX(Salary_Calculation[Source Row],ROW()-ROW(Payslip_Lookup[#Headers]))="","",INDEX(Salary_Calculation[Working Days],ROW()-ROW(Payslip_Lookup[#Headers])))</f>
        <v/>
      </c>
      <c r="G432" s="173" t="str">
        <f aca="false">IF(INDEX(Salary_Calculation[Source Row],ROW()-ROW(Payslip_Lookup[#Headers]))="","",INDEX(Salary_Calculation[Calendar Days],ROW()-ROW(Payslip_Lookup[#Headers])))</f>
        <v/>
      </c>
      <c r="H432" s="174" t="str">
        <f aca="false">IF(INDEX(Salary_Calculation[Source Row],ROW()-ROW(Payslip_Lookup[#Headers]))="","",INDEX(Salary_Calculation[Monthly Target Orders],ROW()-ROW(Payslip_Lookup[#Headers])))</f>
        <v/>
      </c>
      <c r="I432" s="174" t="str">
        <f aca="false">IF(INDEX(Salary_Calculation[Source Row],ROW()-ROW(Payslip_Lookup[#Headers]))="","",INDEX(Salary_Calculation[Rider Target Orders],ROW()-ROW(Payslip_Lookup[#Headers])))</f>
        <v/>
      </c>
      <c r="J432" s="175" t="str">
        <f aca="false">IF(INDEX(Salary_Calculation[Source Row],ROW()-ROW(Payslip_Lookup[#Headers]))="","",INDEX(Salary_Calculation[Completed Orders],ROW()-ROW(Payslip_Lookup[#Headers])))</f>
        <v/>
      </c>
      <c r="K432" s="174" t="str">
        <f aca="false">IF(INDEX(Salary_Calculation[Source Row],ROW()-ROW(Payslip_Lookup[#Headers]))="","",INDEX(Salary_Calculation[Base Order Rate],ROW()-ROW(Payslip_Lookup[#Headers])))</f>
        <v/>
      </c>
      <c r="L432" s="176" t="str">
        <f aca="false">IF(INDEX(Salary_Calculation[Source Row],ROW()-ROW(Payslip_Lookup[#Headers]))="","",INDEX(Salary_Calculation[Basic Payment],ROW()-ROW(Payslip_Lookup[#Headers])))</f>
        <v/>
      </c>
      <c r="M432" s="176" t="str">
        <f aca="false">IF(INDEX(Salary_Calculation[Source Row],ROW()-ROW(Payslip_Lookup[#Headers]))="","",INDEX(Salary_Calculation[Earned Salary],ROW()-ROW(Payslip_Lookup[#Headers])))</f>
        <v/>
      </c>
      <c r="N432" s="174" t="str">
        <f aca="false">IF(INDEX(Salary_Calculation[Source Row],ROW()-ROW(Payslip_Lookup[#Headers]))="","",INDEX(Salary_Calculation[Orders Counted at Base Rate],ROW()-ROW(Payslip_Lookup[#Headers])))</f>
        <v/>
      </c>
      <c r="O432" s="174" t="str">
        <f aca="false">IF(INDEX(Salary_Calculation[Source Row],ROW()-ROW(Payslip_Lookup[#Headers]))="","",INDEX(Salary_Calculation[Missing Orders],ROW()-ROW(Payslip_Lookup[#Headers])))</f>
        <v/>
      </c>
      <c r="P432" s="176" t="str">
        <f aca="false">IF(INDEX(Salary_Calculation[Source Row],ROW()-ROW(Payslip_Lookup[#Headers]))="","",INDEX(Salary_Calculation[Missing-Order Deduction],ROW()-ROW(Payslip_Lookup[#Headers])))</f>
        <v/>
      </c>
      <c r="Q432" s="174" t="str">
        <f aca="false">IF(INDEX(Salary_Calculation[Source Row],ROW()-ROW(Payslip_Lookup[#Headers]))="","",INDEX(Salary_Calculation[Extra Orders],ROW()-ROW(Payslip_Lookup[#Headers])))</f>
        <v/>
      </c>
      <c r="R432" s="176" t="str">
        <f aca="false">IF(INDEX(Salary_Calculation[Source Row],ROW()-ROW(Payslip_Lookup[#Headers]))="","",INDEX(Salary_Calculation[Extra-Order Bonus],ROW()-ROW(Payslip_Lookup[#Headers])))</f>
        <v/>
      </c>
      <c r="S432" s="176" t="str">
        <f aca="false">IF(INDEX(Salary_Calculation[Source Row],ROW()-ROW(Payslip_Lookup[#Headers]))="","",INDEX(Salary_Calculation[Basic Salary for Target],ROW()-ROW(Payslip_Lookup[#Headers])))</f>
        <v/>
      </c>
      <c r="T432" s="176" t="str">
        <f aca="false">IF(INDEX(Salary_Calculation[Source Row],ROW()-ROW(Payslip_Lookup[#Headers]))="","",INDEX(Salary_Calculation[Gross Salary Before Deductions],ROW()-ROW(Payslip_Lookup[#Headers])))</f>
        <v/>
      </c>
      <c r="U432" s="176" t="str">
        <f aca="false">IF(INDEX(Salary_Calculation[Source Row],ROW()-ROW(Payslip_Lookup[#Headers]))="","",INDEX(Salary_Calculation[missed_days_penalty],ROW()-ROW(Payslip_Lookup[#Headers])))</f>
        <v/>
      </c>
      <c r="V432" s="176" t="str">
        <f aca="false">IF(INDEX(Salary_Calculation[Source Row],ROW()-ROW(Payslip_Lookup[#Headers]))="","",INDEX(Salary_Calculation[Rider Balance],ROW()-ROW(Payslip_Lookup[#Headers])))</f>
        <v/>
      </c>
      <c r="W432" s="176" t="str">
        <f aca="false">IF(INDEX(Salary_Calculation[Source Row],ROW()-ROW(Payslip_Lookup[#Headers]))="","",INDEX(Salary_Calculation[stacking_deduction],ROW()-ROW(Payslip_Lookup[#Headers])))</f>
        <v/>
      </c>
      <c r="X432" s="176" t="str">
        <f aca="false">IF(INDEX(Salary_Calculation[Source Row],ROW()-ROW(Payslip_Lookup[#Headers]))="","",INDEX(Salary_Calculation[Other Deductions],ROW()-ROW(Payslip_Lookup[#Headers])))</f>
        <v/>
      </c>
      <c r="Y432" s="176" t="str">
        <f aca="false">IF(INDEX(Salary_Calculation[Source Row],ROW()-ROW(Payslip_Lookup[#Headers]))="","",INDEX(Salary_Calculation[Total Deductions],ROW()-ROW(Payslip_Lookup[#Headers])))</f>
        <v/>
      </c>
      <c r="Z432" s="176" t="str">
        <f aca="false">IF(INDEX(Salary_Calculation[Source Row],ROW()-ROW(Payslip_Lookup[#Headers]))="","",INDEX(Salary_Calculation[Final Salary],ROW()-ROW(Payslip_Lookup[#Headers])))</f>
        <v/>
      </c>
      <c r="AA432" s="176" t="str">
        <f aca="false">IF(INDEX(Salary_Calculation[Source Row],ROW()-ROW(Payslip_Lookup[#Headers]))="","",INDEX(Salary_Calculation[Negative Balance / Amount Due from Rider],ROW()-ROW(Payslip_Lookup[#Headers])))</f>
        <v/>
      </c>
      <c r="AB432" s="176" t="str">
        <f aca="false">IF(INDEX(Salary_Calculation[Source Row],ROW()-ROW(Payslip_Lookup[#Headers]))="","",INDEX(Salary_Calculation[Total Amount Due from Rider],ROW()-ROW(Payslip_Lookup[#Headers])))</f>
        <v/>
      </c>
      <c r="AC432" s="176" t="str">
        <f aca="false">IF(INDEX(Salary_Calculation[Source Row],ROW()-ROW(Payslip_Lookup[#Headers]))="","",INDEX(Salary_Calculation[Salary Before Other Deductions],ROW()-ROW(Payslip_Lookup[#Headers])))</f>
        <v/>
      </c>
      <c r="AD432" s="171" t="str">
        <f aca="false">IF(INDEX(Salary_Calculation[Source Row],ROW()-ROW(Payslip_Lookup[#Headers]))="","",INDEX(Salary_Calculation[Payment Status],ROW()-ROW(Payslip_Lookup[#Headers])))</f>
        <v/>
      </c>
      <c r="AE432" s="171" t="str">
        <f aca="false">IF(INDEX(Salary_Calculation[Source Row],ROW()-ROW(Payslip_Lookup[#Headers]))="","",INDEX(Salary_Calculation[Notes],ROW()-ROW(Payslip_Lookup[#Headers])))</f>
        <v/>
      </c>
      <c r="AF432" s="171" t="str">
        <f aca="false">IF(INDEX(Salary_Calculation[Source Row],ROW()-ROW(Payslip_Lookup[#Headers]))="","",INDEX(Salary_Calculation[Exception Reason],ROW()-ROW(Payslip_Lookup[#Headers])))</f>
        <v/>
      </c>
      <c r="AG432" s="173" t="str">
        <f aca="false">IF($AD432="Review Required",COUNTIF(AD$2:AD432,"Review Required"),"")</f>
        <v/>
      </c>
      <c r="AH432" s="173" t="str">
        <f aca="false">IF(AND($D432&lt;&gt;"",$B432=Payslip_Print!$C$2),MAX(AH$1:AH431)+1,"")</f>
        <v/>
      </c>
      <c r="AL432" s="178" t="str">
        <f aca="false">IFERROR(INDEX($D$2:$D$501,MATCH(ROW()-1,$AH$2:$AH$501,0)),"")</f>
        <v/>
      </c>
      <c r="AM432" s="179" t="str">
        <f aca="false">IF($Z432="","",IF(AND($C432&gt;=Dash_Start,$C432&lt;Dash_End),$Z432+ROW()/10000000,""))</f>
        <v/>
      </c>
    </row>
    <row r="433" customFormat="false" ht="14.25" hidden="false" customHeight="false" outlineLevel="0" collapsed="false">
      <c r="A433" s="171" t="str">
        <f aca="false">IF(Payslip_Lookup[[#This Row],[Rider ID]]="","",Payslip_Lookup[[#This Row],[Rider ID]]&amp;"|"&amp;Payslip_Lookup[[#This Row],[Month Key]])</f>
        <v/>
      </c>
      <c r="B433" s="172" t="str">
        <f aca="false">IF(ISNUMBER(Payslip_Lookup[[#This Row],[Salary Month]]),DATE(YEAR(Payslip_Lookup[[#This Row],[Salary Month]]),MONTH(Payslip_Lookup[[#This Row],[Salary Month]]),1),"")</f>
        <v/>
      </c>
      <c r="C433" s="172" t="str">
        <f aca="false">IF(INDEX(Salary_Calculation[Source Row],ROW()-ROW(Payslip_Lookup[#Headers]))="","",INDEX(Salary_Calculation[Salary Month],ROW()-ROW(Payslip_Lookup[#Headers])))</f>
        <v/>
      </c>
      <c r="D433" s="173" t="str">
        <f aca="false">IF(INDEX(Salary_Calculation[Source Row],ROW()-ROW(Payslip_Lookup[#Headers]))="","",INDEX(Salary_Calculation[Rider ID],ROW()-ROW(Payslip_Lookup[#Headers])))</f>
        <v/>
      </c>
      <c r="E433" s="171" t="str">
        <f aca="false">IF(INDEX(Salary_Calculation[Source Row],ROW()-ROW(Payslip_Lookup[#Headers]))="","",INDEX(Salary_Calculation[Rider Name],ROW()-ROW(Payslip_Lookup[#Headers])))</f>
        <v/>
      </c>
      <c r="F433" s="173" t="str">
        <f aca="false">IF(INDEX(Salary_Calculation[Source Row],ROW()-ROW(Payslip_Lookup[#Headers]))="","",INDEX(Salary_Calculation[Working Days],ROW()-ROW(Payslip_Lookup[#Headers])))</f>
        <v/>
      </c>
      <c r="G433" s="173" t="str">
        <f aca="false">IF(INDEX(Salary_Calculation[Source Row],ROW()-ROW(Payslip_Lookup[#Headers]))="","",INDEX(Salary_Calculation[Calendar Days],ROW()-ROW(Payslip_Lookup[#Headers])))</f>
        <v/>
      </c>
      <c r="H433" s="174" t="str">
        <f aca="false">IF(INDEX(Salary_Calculation[Source Row],ROW()-ROW(Payslip_Lookup[#Headers]))="","",INDEX(Salary_Calculation[Monthly Target Orders],ROW()-ROW(Payslip_Lookup[#Headers])))</f>
        <v/>
      </c>
      <c r="I433" s="174" t="str">
        <f aca="false">IF(INDEX(Salary_Calculation[Source Row],ROW()-ROW(Payslip_Lookup[#Headers]))="","",INDEX(Salary_Calculation[Rider Target Orders],ROW()-ROW(Payslip_Lookup[#Headers])))</f>
        <v/>
      </c>
      <c r="J433" s="175" t="str">
        <f aca="false">IF(INDEX(Salary_Calculation[Source Row],ROW()-ROW(Payslip_Lookup[#Headers]))="","",INDEX(Salary_Calculation[Completed Orders],ROW()-ROW(Payslip_Lookup[#Headers])))</f>
        <v/>
      </c>
      <c r="K433" s="174" t="str">
        <f aca="false">IF(INDEX(Salary_Calculation[Source Row],ROW()-ROW(Payslip_Lookup[#Headers]))="","",INDEX(Salary_Calculation[Base Order Rate],ROW()-ROW(Payslip_Lookup[#Headers])))</f>
        <v/>
      </c>
      <c r="L433" s="176" t="str">
        <f aca="false">IF(INDEX(Salary_Calculation[Source Row],ROW()-ROW(Payslip_Lookup[#Headers]))="","",INDEX(Salary_Calculation[Basic Payment],ROW()-ROW(Payslip_Lookup[#Headers])))</f>
        <v/>
      </c>
      <c r="M433" s="176" t="str">
        <f aca="false">IF(INDEX(Salary_Calculation[Source Row],ROW()-ROW(Payslip_Lookup[#Headers]))="","",INDEX(Salary_Calculation[Earned Salary],ROW()-ROW(Payslip_Lookup[#Headers])))</f>
        <v/>
      </c>
      <c r="N433" s="174" t="str">
        <f aca="false">IF(INDEX(Salary_Calculation[Source Row],ROW()-ROW(Payslip_Lookup[#Headers]))="","",INDEX(Salary_Calculation[Orders Counted at Base Rate],ROW()-ROW(Payslip_Lookup[#Headers])))</f>
        <v/>
      </c>
      <c r="O433" s="174" t="str">
        <f aca="false">IF(INDEX(Salary_Calculation[Source Row],ROW()-ROW(Payslip_Lookup[#Headers]))="","",INDEX(Salary_Calculation[Missing Orders],ROW()-ROW(Payslip_Lookup[#Headers])))</f>
        <v/>
      </c>
      <c r="P433" s="176" t="str">
        <f aca="false">IF(INDEX(Salary_Calculation[Source Row],ROW()-ROW(Payslip_Lookup[#Headers]))="","",INDEX(Salary_Calculation[Missing-Order Deduction],ROW()-ROW(Payslip_Lookup[#Headers])))</f>
        <v/>
      </c>
      <c r="Q433" s="174" t="str">
        <f aca="false">IF(INDEX(Salary_Calculation[Source Row],ROW()-ROW(Payslip_Lookup[#Headers]))="","",INDEX(Salary_Calculation[Extra Orders],ROW()-ROW(Payslip_Lookup[#Headers])))</f>
        <v/>
      </c>
      <c r="R433" s="176" t="str">
        <f aca="false">IF(INDEX(Salary_Calculation[Source Row],ROW()-ROW(Payslip_Lookup[#Headers]))="","",INDEX(Salary_Calculation[Extra-Order Bonus],ROW()-ROW(Payslip_Lookup[#Headers])))</f>
        <v/>
      </c>
      <c r="S433" s="176" t="str">
        <f aca="false">IF(INDEX(Salary_Calculation[Source Row],ROW()-ROW(Payslip_Lookup[#Headers]))="","",INDEX(Salary_Calculation[Basic Salary for Target],ROW()-ROW(Payslip_Lookup[#Headers])))</f>
        <v/>
      </c>
      <c r="T433" s="176" t="str">
        <f aca="false">IF(INDEX(Salary_Calculation[Source Row],ROW()-ROW(Payslip_Lookup[#Headers]))="","",INDEX(Salary_Calculation[Gross Salary Before Deductions],ROW()-ROW(Payslip_Lookup[#Headers])))</f>
        <v/>
      </c>
      <c r="U433" s="176" t="str">
        <f aca="false">IF(INDEX(Salary_Calculation[Source Row],ROW()-ROW(Payslip_Lookup[#Headers]))="","",INDEX(Salary_Calculation[missed_days_penalty],ROW()-ROW(Payslip_Lookup[#Headers])))</f>
        <v/>
      </c>
      <c r="V433" s="176" t="str">
        <f aca="false">IF(INDEX(Salary_Calculation[Source Row],ROW()-ROW(Payslip_Lookup[#Headers]))="","",INDEX(Salary_Calculation[Rider Balance],ROW()-ROW(Payslip_Lookup[#Headers])))</f>
        <v/>
      </c>
      <c r="W433" s="176" t="str">
        <f aca="false">IF(INDEX(Salary_Calculation[Source Row],ROW()-ROW(Payslip_Lookup[#Headers]))="","",INDEX(Salary_Calculation[stacking_deduction],ROW()-ROW(Payslip_Lookup[#Headers])))</f>
        <v/>
      </c>
      <c r="X433" s="176" t="str">
        <f aca="false">IF(INDEX(Salary_Calculation[Source Row],ROW()-ROW(Payslip_Lookup[#Headers]))="","",INDEX(Salary_Calculation[Other Deductions],ROW()-ROW(Payslip_Lookup[#Headers])))</f>
        <v/>
      </c>
      <c r="Y433" s="176" t="str">
        <f aca="false">IF(INDEX(Salary_Calculation[Source Row],ROW()-ROW(Payslip_Lookup[#Headers]))="","",INDEX(Salary_Calculation[Total Deductions],ROW()-ROW(Payslip_Lookup[#Headers])))</f>
        <v/>
      </c>
      <c r="Z433" s="176" t="str">
        <f aca="false">IF(INDEX(Salary_Calculation[Source Row],ROW()-ROW(Payslip_Lookup[#Headers]))="","",INDEX(Salary_Calculation[Final Salary],ROW()-ROW(Payslip_Lookup[#Headers])))</f>
        <v/>
      </c>
      <c r="AA433" s="176" t="str">
        <f aca="false">IF(INDEX(Salary_Calculation[Source Row],ROW()-ROW(Payslip_Lookup[#Headers]))="","",INDEX(Salary_Calculation[Negative Balance / Amount Due from Rider],ROW()-ROW(Payslip_Lookup[#Headers])))</f>
        <v/>
      </c>
      <c r="AB433" s="176" t="str">
        <f aca="false">IF(INDEX(Salary_Calculation[Source Row],ROW()-ROW(Payslip_Lookup[#Headers]))="","",INDEX(Salary_Calculation[Total Amount Due from Rider],ROW()-ROW(Payslip_Lookup[#Headers])))</f>
        <v/>
      </c>
      <c r="AC433" s="176" t="str">
        <f aca="false">IF(INDEX(Salary_Calculation[Source Row],ROW()-ROW(Payslip_Lookup[#Headers]))="","",INDEX(Salary_Calculation[Salary Before Other Deductions],ROW()-ROW(Payslip_Lookup[#Headers])))</f>
        <v/>
      </c>
      <c r="AD433" s="171" t="str">
        <f aca="false">IF(INDEX(Salary_Calculation[Source Row],ROW()-ROW(Payslip_Lookup[#Headers]))="","",INDEX(Salary_Calculation[Payment Status],ROW()-ROW(Payslip_Lookup[#Headers])))</f>
        <v/>
      </c>
      <c r="AE433" s="171" t="str">
        <f aca="false">IF(INDEX(Salary_Calculation[Source Row],ROW()-ROW(Payslip_Lookup[#Headers]))="","",INDEX(Salary_Calculation[Notes],ROW()-ROW(Payslip_Lookup[#Headers])))</f>
        <v/>
      </c>
      <c r="AF433" s="171" t="str">
        <f aca="false">IF(INDEX(Salary_Calculation[Source Row],ROW()-ROW(Payslip_Lookup[#Headers]))="","",INDEX(Salary_Calculation[Exception Reason],ROW()-ROW(Payslip_Lookup[#Headers])))</f>
        <v/>
      </c>
      <c r="AG433" s="173" t="str">
        <f aca="false">IF($AD433="Review Required",COUNTIF(AD$2:AD433,"Review Required"),"")</f>
        <v/>
      </c>
      <c r="AH433" s="173" t="str">
        <f aca="false">IF(AND($D433&lt;&gt;"",$B433=Payslip_Print!$C$2),MAX(AH$1:AH432)+1,"")</f>
        <v/>
      </c>
      <c r="AL433" s="178" t="str">
        <f aca="false">IFERROR(INDEX($D$2:$D$501,MATCH(ROW()-1,$AH$2:$AH$501,0)),"")</f>
        <v/>
      </c>
      <c r="AM433" s="179" t="str">
        <f aca="false">IF($Z433="","",IF(AND($C433&gt;=Dash_Start,$C433&lt;Dash_End),$Z433+ROW()/10000000,""))</f>
        <v/>
      </c>
    </row>
    <row r="434" customFormat="false" ht="14.25" hidden="false" customHeight="false" outlineLevel="0" collapsed="false">
      <c r="A434" s="171" t="str">
        <f aca="false">IF(Payslip_Lookup[[#This Row],[Rider ID]]="","",Payslip_Lookup[[#This Row],[Rider ID]]&amp;"|"&amp;Payslip_Lookup[[#This Row],[Month Key]])</f>
        <v/>
      </c>
      <c r="B434" s="172" t="str">
        <f aca="false">IF(ISNUMBER(Payslip_Lookup[[#This Row],[Salary Month]]),DATE(YEAR(Payslip_Lookup[[#This Row],[Salary Month]]),MONTH(Payslip_Lookup[[#This Row],[Salary Month]]),1),"")</f>
        <v/>
      </c>
      <c r="C434" s="172" t="str">
        <f aca="false">IF(INDEX(Salary_Calculation[Source Row],ROW()-ROW(Payslip_Lookup[#Headers]))="","",INDEX(Salary_Calculation[Salary Month],ROW()-ROW(Payslip_Lookup[#Headers])))</f>
        <v/>
      </c>
      <c r="D434" s="173" t="str">
        <f aca="false">IF(INDEX(Salary_Calculation[Source Row],ROW()-ROW(Payslip_Lookup[#Headers]))="","",INDEX(Salary_Calculation[Rider ID],ROW()-ROW(Payslip_Lookup[#Headers])))</f>
        <v/>
      </c>
      <c r="E434" s="171" t="str">
        <f aca="false">IF(INDEX(Salary_Calculation[Source Row],ROW()-ROW(Payslip_Lookup[#Headers]))="","",INDEX(Salary_Calculation[Rider Name],ROW()-ROW(Payslip_Lookup[#Headers])))</f>
        <v/>
      </c>
      <c r="F434" s="173" t="str">
        <f aca="false">IF(INDEX(Salary_Calculation[Source Row],ROW()-ROW(Payslip_Lookup[#Headers]))="","",INDEX(Salary_Calculation[Working Days],ROW()-ROW(Payslip_Lookup[#Headers])))</f>
        <v/>
      </c>
      <c r="G434" s="173" t="str">
        <f aca="false">IF(INDEX(Salary_Calculation[Source Row],ROW()-ROW(Payslip_Lookup[#Headers]))="","",INDEX(Salary_Calculation[Calendar Days],ROW()-ROW(Payslip_Lookup[#Headers])))</f>
        <v/>
      </c>
      <c r="H434" s="174" t="str">
        <f aca="false">IF(INDEX(Salary_Calculation[Source Row],ROW()-ROW(Payslip_Lookup[#Headers]))="","",INDEX(Salary_Calculation[Monthly Target Orders],ROW()-ROW(Payslip_Lookup[#Headers])))</f>
        <v/>
      </c>
      <c r="I434" s="174" t="str">
        <f aca="false">IF(INDEX(Salary_Calculation[Source Row],ROW()-ROW(Payslip_Lookup[#Headers]))="","",INDEX(Salary_Calculation[Rider Target Orders],ROW()-ROW(Payslip_Lookup[#Headers])))</f>
        <v/>
      </c>
      <c r="J434" s="175" t="str">
        <f aca="false">IF(INDEX(Salary_Calculation[Source Row],ROW()-ROW(Payslip_Lookup[#Headers]))="","",INDEX(Salary_Calculation[Completed Orders],ROW()-ROW(Payslip_Lookup[#Headers])))</f>
        <v/>
      </c>
      <c r="K434" s="174" t="str">
        <f aca="false">IF(INDEX(Salary_Calculation[Source Row],ROW()-ROW(Payslip_Lookup[#Headers]))="","",INDEX(Salary_Calculation[Base Order Rate],ROW()-ROW(Payslip_Lookup[#Headers])))</f>
        <v/>
      </c>
      <c r="L434" s="176" t="str">
        <f aca="false">IF(INDEX(Salary_Calculation[Source Row],ROW()-ROW(Payslip_Lookup[#Headers]))="","",INDEX(Salary_Calculation[Basic Payment],ROW()-ROW(Payslip_Lookup[#Headers])))</f>
        <v/>
      </c>
      <c r="M434" s="176" t="str">
        <f aca="false">IF(INDEX(Salary_Calculation[Source Row],ROW()-ROW(Payslip_Lookup[#Headers]))="","",INDEX(Salary_Calculation[Earned Salary],ROW()-ROW(Payslip_Lookup[#Headers])))</f>
        <v/>
      </c>
      <c r="N434" s="174" t="str">
        <f aca="false">IF(INDEX(Salary_Calculation[Source Row],ROW()-ROW(Payslip_Lookup[#Headers]))="","",INDEX(Salary_Calculation[Orders Counted at Base Rate],ROW()-ROW(Payslip_Lookup[#Headers])))</f>
        <v/>
      </c>
      <c r="O434" s="174" t="str">
        <f aca="false">IF(INDEX(Salary_Calculation[Source Row],ROW()-ROW(Payslip_Lookup[#Headers]))="","",INDEX(Salary_Calculation[Missing Orders],ROW()-ROW(Payslip_Lookup[#Headers])))</f>
        <v/>
      </c>
      <c r="P434" s="176" t="str">
        <f aca="false">IF(INDEX(Salary_Calculation[Source Row],ROW()-ROW(Payslip_Lookup[#Headers]))="","",INDEX(Salary_Calculation[Missing-Order Deduction],ROW()-ROW(Payslip_Lookup[#Headers])))</f>
        <v/>
      </c>
      <c r="Q434" s="174" t="str">
        <f aca="false">IF(INDEX(Salary_Calculation[Source Row],ROW()-ROW(Payslip_Lookup[#Headers]))="","",INDEX(Salary_Calculation[Extra Orders],ROW()-ROW(Payslip_Lookup[#Headers])))</f>
        <v/>
      </c>
      <c r="R434" s="176" t="str">
        <f aca="false">IF(INDEX(Salary_Calculation[Source Row],ROW()-ROW(Payslip_Lookup[#Headers]))="","",INDEX(Salary_Calculation[Extra-Order Bonus],ROW()-ROW(Payslip_Lookup[#Headers])))</f>
        <v/>
      </c>
      <c r="S434" s="176" t="str">
        <f aca="false">IF(INDEX(Salary_Calculation[Source Row],ROW()-ROW(Payslip_Lookup[#Headers]))="","",INDEX(Salary_Calculation[Basic Salary for Target],ROW()-ROW(Payslip_Lookup[#Headers])))</f>
        <v/>
      </c>
      <c r="T434" s="176" t="str">
        <f aca="false">IF(INDEX(Salary_Calculation[Source Row],ROW()-ROW(Payslip_Lookup[#Headers]))="","",INDEX(Salary_Calculation[Gross Salary Before Deductions],ROW()-ROW(Payslip_Lookup[#Headers])))</f>
        <v/>
      </c>
      <c r="U434" s="176" t="str">
        <f aca="false">IF(INDEX(Salary_Calculation[Source Row],ROW()-ROW(Payslip_Lookup[#Headers]))="","",INDEX(Salary_Calculation[missed_days_penalty],ROW()-ROW(Payslip_Lookup[#Headers])))</f>
        <v/>
      </c>
      <c r="V434" s="176" t="str">
        <f aca="false">IF(INDEX(Salary_Calculation[Source Row],ROW()-ROW(Payslip_Lookup[#Headers]))="","",INDEX(Salary_Calculation[Rider Balance],ROW()-ROW(Payslip_Lookup[#Headers])))</f>
        <v/>
      </c>
      <c r="W434" s="176" t="str">
        <f aca="false">IF(INDEX(Salary_Calculation[Source Row],ROW()-ROW(Payslip_Lookup[#Headers]))="","",INDEX(Salary_Calculation[stacking_deduction],ROW()-ROW(Payslip_Lookup[#Headers])))</f>
        <v/>
      </c>
      <c r="X434" s="176" t="str">
        <f aca="false">IF(INDEX(Salary_Calculation[Source Row],ROW()-ROW(Payslip_Lookup[#Headers]))="","",INDEX(Salary_Calculation[Other Deductions],ROW()-ROW(Payslip_Lookup[#Headers])))</f>
        <v/>
      </c>
      <c r="Y434" s="176" t="str">
        <f aca="false">IF(INDEX(Salary_Calculation[Source Row],ROW()-ROW(Payslip_Lookup[#Headers]))="","",INDEX(Salary_Calculation[Total Deductions],ROW()-ROW(Payslip_Lookup[#Headers])))</f>
        <v/>
      </c>
      <c r="Z434" s="176" t="str">
        <f aca="false">IF(INDEX(Salary_Calculation[Source Row],ROW()-ROW(Payslip_Lookup[#Headers]))="","",INDEX(Salary_Calculation[Final Salary],ROW()-ROW(Payslip_Lookup[#Headers])))</f>
        <v/>
      </c>
      <c r="AA434" s="176" t="str">
        <f aca="false">IF(INDEX(Salary_Calculation[Source Row],ROW()-ROW(Payslip_Lookup[#Headers]))="","",INDEX(Salary_Calculation[Negative Balance / Amount Due from Rider],ROW()-ROW(Payslip_Lookup[#Headers])))</f>
        <v/>
      </c>
      <c r="AB434" s="176" t="str">
        <f aca="false">IF(INDEX(Salary_Calculation[Source Row],ROW()-ROW(Payslip_Lookup[#Headers]))="","",INDEX(Salary_Calculation[Total Amount Due from Rider],ROW()-ROW(Payslip_Lookup[#Headers])))</f>
        <v/>
      </c>
      <c r="AC434" s="176" t="str">
        <f aca="false">IF(INDEX(Salary_Calculation[Source Row],ROW()-ROW(Payslip_Lookup[#Headers]))="","",INDEX(Salary_Calculation[Salary Before Other Deductions],ROW()-ROW(Payslip_Lookup[#Headers])))</f>
        <v/>
      </c>
      <c r="AD434" s="171" t="str">
        <f aca="false">IF(INDEX(Salary_Calculation[Source Row],ROW()-ROW(Payslip_Lookup[#Headers]))="","",INDEX(Salary_Calculation[Payment Status],ROW()-ROW(Payslip_Lookup[#Headers])))</f>
        <v/>
      </c>
      <c r="AE434" s="171" t="str">
        <f aca="false">IF(INDEX(Salary_Calculation[Source Row],ROW()-ROW(Payslip_Lookup[#Headers]))="","",INDEX(Salary_Calculation[Notes],ROW()-ROW(Payslip_Lookup[#Headers])))</f>
        <v/>
      </c>
      <c r="AF434" s="171" t="str">
        <f aca="false">IF(INDEX(Salary_Calculation[Source Row],ROW()-ROW(Payslip_Lookup[#Headers]))="","",INDEX(Salary_Calculation[Exception Reason],ROW()-ROW(Payslip_Lookup[#Headers])))</f>
        <v/>
      </c>
      <c r="AG434" s="173" t="str">
        <f aca="false">IF($AD434="Review Required",COUNTIF(AD$2:AD434,"Review Required"),"")</f>
        <v/>
      </c>
      <c r="AH434" s="173" t="str">
        <f aca="false">IF(AND($D434&lt;&gt;"",$B434=Payslip_Print!$C$2),MAX(AH$1:AH433)+1,"")</f>
        <v/>
      </c>
      <c r="AL434" s="178" t="str">
        <f aca="false">IFERROR(INDEX($D$2:$D$501,MATCH(ROW()-1,$AH$2:$AH$501,0)),"")</f>
        <v/>
      </c>
      <c r="AM434" s="179" t="str">
        <f aca="false">IF($Z434="","",IF(AND($C434&gt;=Dash_Start,$C434&lt;Dash_End),$Z434+ROW()/10000000,""))</f>
        <v/>
      </c>
    </row>
    <row r="435" customFormat="false" ht="14.25" hidden="false" customHeight="false" outlineLevel="0" collapsed="false">
      <c r="A435" s="171" t="str">
        <f aca="false">IF(Payslip_Lookup[[#This Row],[Rider ID]]="","",Payslip_Lookup[[#This Row],[Rider ID]]&amp;"|"&amp;Payslip_Lookup[[#This Row],[Month Key]])</f>
        <v/>
      </c>
      <c r="B435" s="172" t="str">
        <f aca="false">IF(ISNUMBER(Payslip_Lookup[[#This Row],[Salary Month]]),DATE(YEAR(Payslip_Lookup[[#This Row],[Salary Month]]),MONTH(Payslip_Lookup[[#This Row],[Salary Month]]),1),"")</f>
        <v/>
      </c>
      <c r="C435" s="172" t="str">
        <f aca="false">IF(INDEX(Salary_Calculation[Source Row],ROW()-ROW(Payslip_Lookup[#Headers]))="","",INDEX(Salary_Calculation[Salary Month],ROW()-ROW(Payslip_Lookup[#Headers])))</f>
        <v/>
      </c>
      <c r="D435" s="173" t="str">
        <f aca="false">IF(INDEX(Salary_Calculation[Source Row],ROW()-ROW(Payslip_Lookup[#Headers]))="","",INDEX(Salary_Calculation[Rider ID],ROW()-ROW(Payslip_Lookup[#Headers])))</f>
        <v/>
      </c>
      <c r="E435" s="171" t="str">
        <f aca="false">IF(INDEX(Salary_Calculation[Source Row],ROW()-ROW(Payslip_Lookup[#Headers]))="","",INDEX(Salary_Calculation[Rider Name],ROW()-ROW(Payslip_Lookup[#Headers])))</f>
        <v/>
      </c>
      <c r="F435" s="173" t="str">
        <f aca="false">IF(INDEX(Salary_Calculation[Source Row],ROW()-ROW(Payslip_Lookup[#Headers]))="","",INDEX(Salary_Calculation[Working Days],ROW()-ROW(Payslip_Lookup[#Headers])))</f>
        <v/>
      </c>
      <c r="G435" s="173" t="str">
        <f aca="false">IF(INDEX(Salary_Calculation[Source Row],ROW()-ROW(Payslip_Lookup[#Headers]))="","",INDEX(Salary_Calculation[Calendar Days],ROW()-ROW(Payslip_Lookup[#Headers])))</f>
        <v/>
      </c>
      <c r="H435" s="174" t="str">
        <f aca="false">IF(INDEX(Salary_Calculation[Source Row],ROW()-ROW(Payslip_Lookup[#Headers]))="","",INDEX(Salary_Calculation[Monthly Target Orders],ROW()-ROW(Payslip_Lookup[#Headers])))</f>
        <v/>
      </c>
      <c r="I435" s="174" t="str">
        <f aca="false">IF(INDEX(Salary_Calculation[Source Row],ROW()-ROW(Payslip_Lookup[#Headers]))="","",INDEX(Salary_Calculation[Rider Target Orders],ROW()-ROW(Payslip_Lookup[#Headers])))</f>
        <v/>
      </c>
      <c r="J435" s="175" t="str">
        <f aca="false">IF(INDEX(Salary_Calculation[Source Row],ROW()-ROW(Payslip_Lookup[#Headers]))="","",INDEX(Salary_Calculation[Completed Orders],ROW()-ROW(Payslip_Lookup[#Headers])))</f>
        <v/>
      </c>
      <c r="K435" s="174" t="str">
        <f aca="false">IF(INDEX(Salary_Calculation[Source Row],ROW()-ROW(Payslip_Lookup[#Headers]))="","",INDEX(Salary_Calculation[Base Order Rate],ROW()-ROW(Payslip_Lookup[#Headers])))</f>
        <v/>
      </c>
      <c r="L435" s="176" t="str">
        <f aca="false">IF(INDEX(Salary_Calculation[Source Row],ROW()-ROW(Payslip_Lookup[#Headers]))="","",INDEX(Salary_Calculation[Basic Payment],ROW()-ROW(Payslip_Lookup[#Headers])))</f>
        <v/>
      </c>
      <c r="M435" s="176" t="str">
        <f aca="false">IF(INDEX(Salary_Calculation[Source Row],ROW()-ROW(Payslip_Lookup[#Headers]))="","",INDEX(Salary_Calculation[Earned Salary],ROW()-ROW(Payslip_Lookup[#Headers])))</f>
        <v/>
      </c>
      <c r="N435" s="174" t="str">
        <f aca="false">IF(INDEX(Salary_Calculation[Source Row],ROW()-ROW(Payslip_Lookup[#Headers]))="","",INDEX(Salary_Calculation[Orders Counted at Base Rate],ROW()-ROW(Payslip_Lookup[#Headers])))</f>
        <v/>
      </c>
      <c r="O435" s="174" t="str">
        <f aca="false">IF(INDEX(Salary_Calculation[Source Row],ROW()-ROW(Payslip_Lookup[#Headers]))="","",INDEX(Salary_Calculation[Missing Orders],ROW()-ROW(Payslip_Lookup[#Headers])))</f>
        <v/>
      </c>
      <c r="P435" s="176" t="str">
        <f aca="false">IF(INDEX(Salary_Calculation[Source Row],ROW()-ROW(Payslip_Lookup[#Headers]))="","",INDEX(Salary_Calculation[Missing-Order Deduction],ROW()-ROW(Payslip_Lookup[#Headers])))</f>
        <v/>
      </c>
      <c r="Q435" s="174" t="str">
        <f aca="false">IF(INDEX(Salary_Calculation[Source Row],ROW()-ROW(Payslip_Lookup[#Headers]))="","",INDEX(Salary_Calculation[Extra Orders],ROW()-ROW(Payslip_Lookup[#Headers])))</f>
        <v/>
      </c>
      <c r="R435" s="176" t="str">
        <f aca="false">IF(INDEX(Salary_Calculation[Source Row],ROW()-ROW(Payslip_Lookup[#Headers]))="","",INDEX(Salary_Calculation[Extra-Order Bonus],ROW()-ROW(Payslip_Lookup[#Headers])))</f>
        <v/>
      </c>
      <c r="S435" s="176" t="str">
        <f aca="false">IF(INDEX(Salary_Calculation[Source Row],ROW()-ROW(Payslip_Lookup[#Headers]))="","",INDEX(Salary_Calculation[Basic Salary for Target],ROW()-ROW(Payslip_Lookup[#Headers])))</f>
        <v/>
      </c>
      <c r="T435" s="176" t="str">
        <f aca="false">IF(INDEX(Salary_Calculation[Source Row],ROW()-ROW(Payslip_Lookup[#Headers]))="","",INDEX(Salary_Calculation[Gross Salary Before Deductions],ROW()-ROW(Payslip_Lookup[#Headers])))</f>
        <v/>
      </c>
      <c r="U435" s="176" t="str">
        <f aca="false">IF(INDEX(Salary_Calculation[Source Row],ROW()-ROW(Payslip_Lookup[#Headers]))="","",INDEX(Salary_Calculation[missed_days_penalty],ROW()-ROW(Payslip_Lookup[#Headers])))</f>
        <v/>
      </c>
      <c r="V435" s="176" t="str">
        <f aca="false">IF(INDEX(Salary_Calculation[Source Row],ROW()-ROW(Payslip_Lookup[#Headers]))="","",INDEX(Salary_Calculation[Rider Balance],ROW()-ROW(Payslip_Lookup[#Headers])))</f>
        <v/>
      </c>
      <c r="W435" s="176" t="str">
        <f aca="false">IF(INDEX(Salary_Calculation[Source Row],ROW()-ROW(Payslip_Lookup[#Headers]))="","",INDEX(Salary_Calculation[stacking_deduction],ROW()-ROW(Payslip_Lookup[#Headers])))</f>
        <v/>
      </c>
      <c r="X435" s="176" t="str">
        <f aca="false">IF(INDEX(Salary_Calculation[Source Row],ROW()-ROW(Payslip_Lookup[#Headers]))="","",INDEX(Salary_Calculation[Other Deductions],ROW()-ROW(Payslip_Lookup[#Headers])))</f>
        <v/>
      </c>
      <c r="Y435" s="176" t="str">
        <f aca="false">IF(INDEX(Salary_Calculation[Source Row],ROW()-ROW(Payslip_Lookup[#Headers]))="","",INDEX(Salary_Calculation[Total Deductions],ROW()-ROW(Payslip_Lookup[#Headers])))</f>
        <v/>
      </c>
      <c r="Z435" s="176" t="str">
        <f aca="false">IF(INDEX(Salary_Calculation[Source Row],ROW()-ROW(Payslip_Lookup[#Headers]))="","",INDEX(Salary_Calculation[Final Salary],ROW()-ROW(Payslip_Lookup[#Headers])))</f>
        <v/>
      </c>
      <c r="AA435" s="176" t="str">
        <f aca="false">IF(INDEX(Salary_Calculation[Source Row],ROW()-ROW(Payslip_Lookup[#Headers]))="","",INDEX(Salary_Calculation[Negative Balance / Amount Due from Rider],ROW()-ROW(Payslip_Lookup[#Headers])))</f>
        <v/>
      </c>
      <c r="AB435" s="176" t="str">
        <f aca="false">IF(INDEX(Salary_Calculation[Source Row],ROW()-ROW(Payslip_Lookup[#Headers]))="","",INDEX(Salary_Calculation[Total Amount Due from Rider],ROW()-ROW(Payslip_Lookup[#Headers])))</f>
        <v/>
      </c>
      <c r="AC435" s="176" t="str">
        <f aca="false">IF(INDEX(Salary_Calculation[Source Row],ROW()-ROW(Payslip_Lookup[#Headers]))="","",INDEX(Salary_Calculation[Salary Before Other Deductions],ROW()-ROW(Payslip_Lookup[#Headers])))</f>
        <v/>
      </c>
      <c r="AD435" s="171" t="str">
        <f aca="false">IF(INDEX(Salary_Calculation[Source Row],ROW()-ROW(Payslip_Lookup[#Headers]))="","",INDEX(Salary_Calculation[Payment Status],ROW()-ROW(Payslip_Lookup[#Headers])))</f>
        <v/>
      </c>
      <c r="AE435" s="171" t="str">
        <f aca="false">IF(INDEX(Salary_Calculation[Source Row],ROW()-ROW(Payslip_Lookup[#Headers]))="","",INDEX(Salary_Calculation[Notes],ROW()-ROW(Payslip_Lookup[#Headers])))</f>
        <v/>
      </c>
      <c r="AF435" s="171" t="str">
        <f aca="false">IF(INDEX(Salary_Calculation[Source Row],ROW()-ROW(Payslip_Lookup[#Headers]))="","",INDEX(Salary_Calculation[Exception Reason],ROW()-ROW(Payslip_Lookup[#Headers])))</f>
        <v/>
      </c>
      <c r="AG435" s="173" t="str">
        <f aca="false">IF($AD435="Review Required",COUNTIF(AD$2:AD435,"Review Required"),"")</f>
        <v/>
      </c>
      <c r="AH435" s="173" t="str">
        <f aca="false">IF(AND($D435&lt;&gt;"",$B435=Payslip_Print!$C$2),MAX(AH$1:AH434)+1,"")</f>
        <v/>
      </c>
      <c r="AL435" s="178" t="str">
        <f aca="false">IFERROR(INDEX($D$2:$D$501,MATCH(ROW()-1,$AH$2:$AH$501,0)),"")</f>
        <v/>
      </c>
      <c r="AM435" s="179" t="str">
        <f aca="false">IF($Z435="","",IF(AND($C435&gt;=Dash_Start,$C435&lt;Dash_End),$Z435+ROW()/10000000,""))</f>
        <v/>
      </c>
    </row>
    <row r="436" customFormat="false" ht="14.25" hidden="false" customHeight="false" outlineLevel="0" collapsed="false">
      <c r="A436" s="171" t="str">
        <f aca="false">IF(Payslip_Lookup[[#This Row],[Rider ID]]="","",Payslip_Lookup[[#This Row],[Rider ID]]&amp;"|"&amp;Payslip_Lookup[[#This Row],[Month Key]])</f>
        <v/>
      </c>
      <c r="B436" s="172" t="str">
        <f aca="false">IF(ISNUMBER(Payslip_Lookup[[#This Row],[Salary Month]]),DATE(YEAR(Payslip_Lookup[[#This Row],[Salary Month]]),MONTH(Payslip_Lookup[[#This Row],[Salary Month]]),1),"")</f>
        <v/>
      </c>
      <c r="C436" s="172" t="str">
        <f aca="false">IF(INDEX(Salary_Calculation[Source Row],ROW()-ROW(Payslip_Lookup[#Headers]))="","",INDEX(Salary_Calculation[Salary Month],ROW()-ROW(Payslip_Lookup[#Headers])))</f>
        <v/>
      </c>
      <c r="D436" s="173" t="str">
        <f aca="false">IF(INDEX(Salary_Calculation[Source Row],ROW()-ROW(Payslip_Lookup[#Headers]))="","",INDEX(Salary_Calculation[Rider ID],ROW()-ROW(Payslip_Lookup[#Headers])))</f>
        <v/>
      </c>
      <c r="E436" s="171" t="str">
        <f aca="false">IF(INDEX(Salary_Calculation[Source Row],ROW()-ROW(Payslip_Lookup[#Headers]))="","",INDEX(Salary_Calculation[Rider Name],ROW()-ROW(Payslip_Lookup[#Headers])))</f>
        <v/>
      </c>
      <c r="F436" s="173" t="str">
        <f aca="false">IF(INDEX(Salary_Calculation[Source Row],ROW()-ROW(Payslip_Lookup[#Headers]))="","",INDEX(Salary_Calculation[Working Days],ROW()-ROW(Payslip_Lookup[#Headers])))</f>
        <v/>
      </c>
      <c r="G436" s="173" t="str">
        <f aca="false">IF(INDEX(Salary_Calculation[Source Row],ROW()-ROW(Payslip_Lookup[#Headers]))="","",INDEX(Salary_Calculation[Calendar Days],ROW()-ROW(Payslip_Lookup[#Headers])))</f>
        <v/>
      </c>
      <c r="H436" s="174" t="str">
        <f aca="false">IF(INDEX(Salary_Calculation[Source Row],ROW()-ROW(Payslip_Lookup[#Headers]))="","",INDEX(Salary_Calculation[Monthly Target Orders],ROW()-ROW(Payslip_Lookup[#Headers])))</f>
        <v/>
      </c>
      <c r="I436" s="174" t="str">
        <f aca="false">IF(INDEX(Salary_Calculation[Source Row],ROW()-ROW(Payslip_Lookup[#Headers]))="","",INDEX(Salary_Calculation[Rider Target Orders],ROW()-ROW(Payslip_Lookup[#Headers])))</f>
        <v/>
      </c>
      <c r="J436" s="175" t="str">
        <f aca="false">IF(INDEX(Salary_Calculation[Source Row],ROW()-ROW(Payslip_Lookup[#Headers]))="","",INDEX(Salary_Calculation[Completed Orders],ROW()-ROW(Payslip_Lookup[#Headers])))</f>
        <v/>
      </c>
      <c r="K436" s="174" t="str">
        <f aca="false">IF(INDEX(Salary_Calculation[Source Row],ROW()-ROW(Payslip_Lookup[#Headers]))="","",INDEX(Salary_Calculation[Base Order Rate],ROW()-ROW(Payslip_Lookup[#Headers])))</f>
        <v/>
      </c>
      <c r="L436" s="176" t="str">
        <f aca="false">IF(INDEX(Salary_Calculation[Source Row],ROW()-ROW(Payslip_Lookup[#Headers]))="","",INDEX(Salary_Calculation[Basic Payment],ROW()-ROW(Payslip_Lookup[#Headers])))</f>
        <v/>
      </c>
      <c r="M436" s="176" t="str">
        <f aca="false">IF(INDEX(Salary_Calculation[Source Row],ROW()-ROW(Payslip_Lookup[#Headers]))="","",INDEX(Salary_Calculation[Earned Salary],ROW()-ROW(Payslip_Lookup[#Headers])))</f>
        <v/>
      </c>
      <c r="N436" s="174" t="str">
        <f aca="false">IF(INDEX(Salary_Calculation[Source Row],ROW()-ROW(Payslip_Lookup[#Headers]))="","",INDEX(Salary_Calculation[Orders Counted at Base Rate],ROW()-ROW(Payslip_Lookup[#Headers])))</f>
        <v/>
      </c>
      <c r="O436" s="174" t="str">
        <f aca="false">IF(INDEX(Salary_Calculation[Source Row],ROW()-ROW(Payslip_Lookup[#Headers]))="","",INDEX(Salary_Calculation[Missing Orders],ROW()-ROW(Payslip_Lookup[#Headers])))</f>
        <v/>
      </c>
      <c r="P436" s="176" t="str">
        <f aca="false">IF(INDEX(Salary_Calculation[Source Row],ROW()-ROW(Payslip_Lookup[#Headers]))="","",INDEX(Salary_Calculation[Missing-Order Deduction],ROW()-ROW(Payslip_Lookup[#Headers])))</f>
        <v/>
      </c>
      <c r="Q436" s="174" t="str">
        <f aca="false">IF(INDEX(Salary_Calculation[Source Row],ROW()-ROW(Payslip_Lookup[#Headers]))="","",INDEX(Salary_Calculation[Extra Orders],ROW()-ROW(Payslip_Lookup[#Headers])))</f>
        <v/>
      </c>
      <c r="R436" s="176" t="str">
        <f aca="false">IF(INDEX(Salary_Calculation[Source Row],ROW()-ROW(Payslip_Lookup[#Headers]))="","",INDEX(Salary_Calculation[Extra-Order Bonus],ROW()-ROW(Payslip_Lookup[#Headers])))</f>
        <v/>
      </c>
      <c r="S436" s="176" t="str">
        <f aca="false">IF(INDEX(Salary_Calculation[Source Row],ROW()-ROW(Payslip_Lookup[#Headers]))="","",INDEX(Salary_Calculation[Basic Salary for Target],ROW()-ROW(Payslip_Lookup[#Headers])))</f>
        <v/>
      </c>
      <c r="T436" s="176" t="str">
        <f aca="false">IF(INDEX(Salary_Calculation[Source Row],ROW()-ROW(Payslip_Lookup[#Headers]))="","",INDEX(Salary_Calculation[Gross Salary Before Deductions],ROW()-ROW(Payslip_Lookup[#Headers])))</f>
        <v/>
      </c>
      <c r="U436" s="176" t="str">
        <f aca="false">IF(INDEX(Salary_Calculation[Source Row],ROW()-ROW(Payslip_Lookup[#Headers]))="","",INDEX(Salary_Calculation[missed_days_penalty],ROW()-ROW(Payslip_Lookup[#Headers])))</f>
        <v/>
      </c>
      <c r="V436" s="176" t="str">
        <f aca="false">IF(INDEX(Salary_Calculation[Source Row],ROW()-ROW(Payslip_Lookup[#Headers]))="","",INDEX(Salary_Calculation[Rider Balance],ROW()-ROW(Payslip_Lookup[#Headers])))</f>
        <v/>
      </c>
      <c r="W436" s="176" t="str">
        <f aca="false">IF(INDEX(Salary_Calculation[Source Row],ROW()-ROW(Payslip_Lookup[#Headers]))="","",INDEX(Salary_Calculation[stacking_deduction],ROW()-ROW(Payslip_Lookup[#Headers])))</f>
        <v/>
      </c>
      <c r="X436" s="176" t="str">
        <f aca="false">IF(INDEX(Salary_Calculation[Source Row],ROW()-ROW(Payslip_Lookup[#Headers]))="","",INDEX(Salary_Calculation[Other Deductions],ROW()-ROW(Payslip_Lookup[#Headers])))</f>
        <v/>
      </c>
      <c r="Y436" s="176" t="str">
        <f aca="false">IF(INDEX(Salary_Calculation[Source Row],ROW()-ROW(Payslip_Lookup[#Headers]))="","",INDEX(Salary_Calculation[Total Deductions],ROW()-ROW(Payslip_Lookup[#Headers])))</f>
        <v/>
      </c>
      <c r="Z436" s="176" t="str">
        <f aca="false">IF(INDEX(Salary_Calculation[Source Row],ROW()-ROW(Payslip_Lookup[#Headers]))="","",INDEX(Salary_Calculation[Final Salary],ROW()-ROW(Payslip_Lookup[#Headers])))</f>
        <v/>
      </c>
      <c r="AA436" s="176" t="str">
        <f aca="false">IF(INDEX(Salary_Calculation[Source Row],ROW()-ROW(Payslip_Lookup[#Headers]))="","",INDEX(Salary_Calculation[Negative Balance / Amount Due from Rider],ROW()-ROW(Payslip_Lookup[#Headers])))</f>
        <v/>
      </c>
      <c r="AB436" s="176" t="str">
        <f aca="false">IF(INDEX(Salary_Calculation[Source Row],ROW()-ROW(Payslip_Lookup[#Headers]))="","",INDEX(Salary_Calculation[Total Amount Due from Rider],ROW()-ROW(Payslip_Lookup[#Headers])))</f>
        <v/>
      </c>
      <c r="AC436" s="176" t="str">
        <f aca="false">IF(INDEX(Salary_Calculation[Source Row],ROW()-ROW(Payslip_Lookup[#Headers]))="","",INDEX(Salary_Calculation[Salary Before Other Deductions],ROW()-ROW(Payslip_Lookup[#Headers])))</f>
        <v/>
      </c>
      <c r="AD436" s="171" t="str">
        <f aca="false">IF(INDEX(Salary_Calculation[Source Row],ROW()-ROW(Payslip_Lookup[#Headers]))="","",INDEX(Salary_Calculation[Payment Status],ROW()-ROW(Payslip_Lookup[#Headers])))</f>
        <v/>
      </c>
      <c r="AE436" s="171" t="str">
        <f aca="false">IF(INDEX(Salary_Calculation[Source Row],ROW()-ROW(Payslip_Lookup[#Headers]))="","",INDEX(Salary_Calculation[Notes],ROW()-ROW(Payslip_Lookup[#Headers])))</f>
        <v/>
      </c>
      <c r="AF436" s="171" t="str">
        <f aca="false">IF(INDEX(Salary_Calculation[Source Row],ROW()-ROW(Payslip_Lookup[#Headers]))="","",INDEX(Salary_Calculation[Exception Reason],ROW()-ROW(Payslip_Lookup[#Headers])))</f>
        <v/>
      </c>
      <c r="AG436" s="173" t="str">
        <f aca="false">IF($AD436="Review Required",COUNTIF(AD$2:AD436,"Review Required"),"")</f>
        <v/>
      </c>
      <c r="AH436" s="173" t="str">
        <f aca="false">IF(AND($D436&lt;&gt;"",$B436=Payslip_Print!$C$2),MAX(AH$1:AH435)+1,"")</f>
        <v/>
      </c>
      <c r="AL436" s="178" t="str">
        <f aca="false">IFERROR(INDEX($D$2:$D$501,MATCH(ROW()-1,$AH$2:$AH$501,0)),"")</f>
        <v/>
      </c>
      <c r="AM436" s="179" t="str">
        <f aca="false">IF($Z436="","",IF(AND($C436&gt;=Dash_Start,$C436&lt;Dash_End),$Z436+ROW()/10000000,""))</f>
        <v/>
      </c>
    </row>
    <row r="437" customFormat="false" ht="14.25" hidden="false" customHeight="false" outlineLevel="0" collapsed="false">
      <c r="A437" s="171" t="str">
        <f aca="false">IF(Payslip_Lookup[[#This Row],[Rider ID]]="","",Payslip_Lookup[[#This Row],[Rider ID]]&amp;"|"&amp;Payslip_Lookup[[#This Row],[Month Key]])</f>
        <v/>
      </c>
      <c r="B437" s="172" t="str">
        <f aca="false">IF(ISNUMBER(Payslip_Lookup[[#This Row],[Salary Month]]),DATE(YEAR(Payslip_Lookup[[#This Row],[Salary Month]]),MONTH(Payslip_Lookup[[#This Row],[Salary Month]]),1),"")</f>
        <v/>
      </c>
      <c r="C437" s="172" t="str">
        <f aca="false">IF(INDEX(Salary_Calculation[Source Row],ROW()-ROW(Payslip_Lookup[#Headers]))="","",INDEX(Salary_Calculation[Salary Month],ROW()-ROW(Payslip_Lookup[#Headers])))</f>
        <v/>
      </c>
      <c r="D437" s="173" t="str">
        <f aca="false">IF(INDEX(Salary_Calculation[Source Row],ROW()-ROW(Payslip_Lookup[#Headers]))="","",INDEX(Salary_Calculation[Rider ID],ROW()-ROW(Payslip_Lookup[#Headers])))</f>
        <v/>
      </c>
      <c r="E437" s="171" t="str">
        <f aca="false">IF(INDEX(Salary_Calculation[Source Row],ROW()-ROW(Payslip_Lookup[#Headers]))="","",INDEX(Salary_Calculation[Rider Name],ROW()-ROW(Payslip_Lookup[#Headers])))</f>
        <v/>
      </c>
      <c r="F437" s="173" t="str">
        <f aca="false">IF(INDEX(Salary_Calculation[Source Row],ROW()-ROW(Payslip_Lookup[#Headers]))="","",INDEX(Salary_Calculation[Working Days],ROW()-ROW(Payslip_Lookup[#Headers])))</f>
        <v/>
      </c>
      <c r="G437" s="173" t="str">
        <f aca="false">IF(INDEX(Salary_Calculation[Source Row],ROW()-ROW(Payslip_Lookup[#Headers]))="","",INDEX(Salary_Calculation[Calendar Days],ROW()-ROW(Payslip_Lookup[#Headers])))</f>
        <v/>
      </c>
      <c r="H437" s="174" t="str">
        <f aca="false">IF(INDEX(Salary_Calculation[Source Row],ROW()-ROW(Payslip_Lookup[#Headers]))="","",INDEX(Salary_Calculation[Monthly Target Orders],ROW()-ROW(Payslip_Lookup[#Headers])))</f>
        <v/>
      </c>
      <c r="I437" s="174" t="str">
        <f aca="false">IF(INDEX(Salary_Calculation[Source Row],ROW()-ROW(Payslip_Lookup[#Headers]))="","",INDEX(Salary_Calculation[Rider Target Orders],ROW()-ROW(Payslip_Lookup[#Headers])))</f>
        <v/>
      </c>
      <c r="J437" s="175" t="str">
        <f aca="false">IF(INDEX(Salary_Calculation[Source Row],ROW()-ROW(Payslip_Lookup[#Headers]))="","",INDEX(Salary_Calculation[Completed Orders],ROW()-ROW(Payslip_Lookup[#Headers])))</f>
        <v/>
      </c>
      <c r="K437" s="174" t="str">
        <f aca="false">IF(INDEX(Salary_Calculation[Source Row],ROW()-ROW(Payslip_Lookup[#Headers]))="","",INDEX(Salary_Calculation[Base Order Rate],ROW()-ROW(Payslip_Lookup[#Headers])))</f>
        <v/>
      </c>
      <c r="L437" s="176" t="str">
        <f aca="false">IF(INDEX(Salary_Calculation[Source Row],ROW()-ROW(Payslip_Lookup[#Headers]))="","",INDEX(Salary_Calculation[Basic Payment],ROW()-ROW(Payslip_Lookup[#Headers])))</f>
        <v/>
      </c>
      <c r="M437" s="176" t="str">
        <f aca="false">IF(INDEX(Salary_Calculation[Source Row],ROW()-ROW(Payslip_Lookup[#Headers]))="","",INDEX(Salary_Calculation[Earned Salary],ROW()-ROW(Payslip_Lookup[#Headers])))</f>
        <v/>
      </c>
      <c r="N437" s="174" t="str">
        <f aca="false">IF(INDEX(Salary_Calculation[Source Row],ROW()-ROW(Payslip_Lookup[#Headers]))="","",INDEX(Salary_Calculation[Orders Counted at Base Rate],ROW()-ROW(Payslip_Lookup[#Headers])))</f>
        <v/>
      </c>
      <c r="O437" s="174" t="str">
        <f aca="false">IF(INDEX(Salary_Calculation[Source Row],ROW()-ROW(Payslip_Lookup[#Headers]))="","",INDEX(Salary_Calculation[Missing Orders],ROW()-ROW(Payslip_Lookup[#Headers])))</f>
        <v/>
      </c>
      <c r="P437" s="176" t="str">
        <f aca="false">IF(INDEX(Salary_Calculation[Source Row],ROW()-ROW(Payslip_Lookup[#Headers]))="","",INDEX(Salary_Calculation[Missing-Order Deduction],ROW()-ROW(Payslip_Lookup[#Headers])))</f>
        <v/>
      </c>
      <c r="Q437" s="174" t="str">
        <f aca="false">IF(INDEX(Salary_Calculation[Source Row],ROW()-ROW(Payslip_Lookup[#Headers]))="","",INDEX(Salary_Calculation[Extra Orders],ROW()-ROW(Payslip_Lookup[#Headers])))</f>
        <v/>
      </c>
      <c r="R437" s="176" t="str">
        <f aca="false">IF(INDEX(Salary_Calculation[Source Row],ROW()-ROW(Payslip_Lookup[#Headers]))="","",INDEX(Salary_Calculation[Extra-Order Bonus],ROW()-ROW(Payslip_Lookup[#Headers])))</f>
        <v/>
      </c>
      <c r="S437" s="176" t="str">
        <f aca="false">IF(INDEX(Salary_Calculation[Source Row],ROW()-ROW(Payslip_Lookup[#Headers]))="","",INDEX(Salary_Calculation[Basic Salary for Target],ROW()-ROW(Payslip_Lookup[#Headers])))</f>
        <v/>
      </c>
      <c r="T437" s="176" t="str">
        <f aca="false">IF(INDEX(Salary_Calculation[Source Row],ROW()-ROW(Payslip_Lookup[#Headers]))="","",INDEX(Salary_Calculation[Gross Salary Before Deductions],ROW()-ROW(Payslip_Lookup[#Headers])))</f>
        <v/>
      </c>
      <c r="U437" s="176" t="str">
        <f aca="false">IF(INDEX(Salary_Calculation[Source Row],ROW()-ROW(Payslip_Lookup[#Headers]))="","",INDEX(Salary_Calculation[missed_days_penalty],ROW()-ROW(Payslip_Lookup[#Headers])))</f>
        <v/>
      </c>
      <c r="V437" s="176" t="str">
        <f aca="false">IF(INDEX(Salary_Calculation[Source Row],ROW()-ROW(Payslip_Lookup[#Headers]))="","",INDEX(Salary_Calculation[Rider Balance],ROW()-ROW(Payslip_Lookup[#Headers])))</f>
        <v/>
      </c>
      <c r="W437" s="176" t="str">
        <f aca="false">IF(INDEX(Salary_Calculation[Source Row],ROW()-ROW(Payslip_Lookup[#Headers]))="","",INDEX(Salary_Calculation[stacking_deduction],ROW()-ROW(Payslip_Lookup[#Headers])))</f>
        <v/>
      </c>
      <c r="X437" s="176" t="str">
        <f aca="false">IF(INDEX(Salary_Calculation[Source Row],ROW()-ROW(Payslip_Lookup[#Headers]))="","",INDEX(Salary_Calculation[Other Deductions],ROW()-ROW(Payslip_Lookup[#Headers])))</f>
        <v/>
      </c>
      <c r="Y437" s="176" t="str">
        <f aca="false">IF(INDEX(Salary_Calculation[Source Row],ROW()-ROW(Payslip_Lookup[#Headers]))="","",INDEX(Salary_Calculation[Total Deductions],ROW()-ROW(Payslip_Lookup[#Headers])))</f>
        <v/>
      </c>
      <c r="Z437" s="176" t="str">
        <f aca="false">IF(INDEX(Salary_Calculation[Source Row],ROW()-ROW(Payslip_Lookup[#Headers]))="","",INDEX(Salary_Calculation[Final Salary],ROW()-ROW(Payslip_Lookup[#Headers])))</f>
        <v/>
      </c>
      <c r="AA437" s="176" t="str">
        <f aca="false">IF(INDEX(Salary_Calculation[Source Row],ROW()-ROW(Payslip_Lookup[#Headers]))="","",INDEX(Salary_Calculation[Negative Balance / Amount Due from Rider],ROW()-ROW(Payslip_Lookup[#Headers])))</f>
        <v/>
      </c>
      <c r="AB437" s="176" t="str">
        <f aca="false">IF(INDEX(Salary_Calculation[Source Row],ROW()-ROW(Payslip_Lookup[#Headers]))="","",INDEX(Salary_Calculation[Total Amount Due from Rider],ROW()-ROW(Payslip_Lookup[#Headers])))</f>
        <v/>
      </c>
      <c r="AC437" s="176" t="str">
        <f aca="false">IF(INDEX(Salary_Calculation[Source Row],ROW()-ROW(Payslip_Lookup[#Headers]))="","",INDEX(Salary_Calculation[Salary Before Other Deductions],ROW()-ROW(Payslip_Lookup[#Headers])))</f>
        <v/>
      </c>
      <c r="AD437" s="171" t="str">
        <f aca="false">IF(INDEX(Salary_Calculation[Source Row],ROW()-ROW(Payslip_Lookup[#Headers]))="","",INDEX(Salary_Calculation[Payment Status],ROW()-ROW(Payslip_Lookup[#Headers])))</f>
        <v/>
      </c>
      <c r="AE437" s="171" t="str">
        <f aca="false">IF(INDEX(Salary_Calculation[Source Row],ROW()-ROW(Payslip_Lookup[#Headers]))="","",INDEX(Salary_Calculation[Notes],ROW()-ROW(Payslip_Lookup[#Headers])))</f>
        <v/>
      </c>
      <c r="AF437" s="171" t="str">
        <f aca="false">IF(INDEX(Salary_Calculation[Source Row],ROW()-ROW(Payslip_Lookup[#Headers]))="","",INDEX(Salary_Calculation[Exception Reason],ROW()-ROW(Payslip_Lookup[#Headers])))</f>
        <v/>
      </c>
      <c r="AG437" s="173" t="str">
        <f aca="false">IF($AD437="Review Required",COUNTIF(AD$2:AD437,"Review Required"),"")</f>
        <v/>
      </c>
      <c r="AH437" s="173" t="str">
        <f aca="false">IF(AND($D437&lt;&gt;"",$B437=Payslip_Print!$C$2),MAX(AH$1:AH436)+1,"")</f>
        <v/>
      </c>
      <c r="AL437" s="178" t="str">
        <f aca="false">IFERROR(INDEX($D$2:$D$501,MATCH(ROW()-1,$AH$2:$AH$501,0)),"")</f>
        <v/>
      </c>
      <c r="AM437" s="179" t="str">
        <f aca="false">IF($Z437="","",IF(AND($C437&gt;=Dash_Start,$C437&lt;Dash_End),$Z437+ROW()/10000000,""))</f>
        <v/>
      </c>
    </row>
    <row r="438" customFormat="false" ht="14.25" hidden="false" customHeight="false" outlineLevel="0" collapsed="false">
      <c r="A438" s="171" t="str">
        <f aca="false">IF(Payslip_Lookup[[#This Row],[Rider ID]]="","",Payslip_Lookup[[#This Row],[Rider ID]]&amp;"|"&amp;Payslip_Lookup[[#This Row],[Month Key]])</f>
        <v/>
      </c>
      <c r="B438" s="172" t="str">
        <f aca="false">IF(ISNUMBER(Payslip_Lookup[[#This Row],[Salary Month]]),DATE(YEAR(Payslip_Lookup[[#This Row],[Salary Month]]),MONTH(Payslip_Lookup[[#This Row],[Salary Month]]),1),"")</f>
        <v/>
      </c>
      <c r="C438" s="172" t="str">
        <f aca="false">IF(INDEX(Salary_Calculation[Source Row],ROW()-ROW(Payslip_Lookup[#Headers]))="","",INDEX(Salary_Calculation[Salary Month],ROW()-ROW(Payslip_Lookup[#Headers])))</f>
        <v/>
      </c>
      <c r="D438" s="173" t="str">
        <f aca="false">IF(INDEX(Salary_Calculation[Source Row],ROW()-ROW(Payslip_Lookup[#Headers]))="","",INDEX(Salary_Calculation[Rider ID],ROW()-ROW(Payslip_Lookup[#Headers])))</f>
        <v/>
      </c>
      <c r="E438" s="171" t="str">
        <f aca="false">IF(INDEX(Salary_Calculation[Source Row],ROW()-ROW(Payslip_Lookup[#Headers]))="","",INDEX(Salary_Calculation[Rider Name],ROW()-ROW(Payslip_Lookup[#Headers])))</f>
        <v/>
      </c>
      <c r="F438" s="173" t="str">
        <f aca="false">IF(INDEX(Salary_Calculation[Source Row],ROW()-ROW(Payslip_Lookup[#Headers]))="","",INDEX(Salary_Calculation[Working Days],ROW()-ROW(Payslip_Lookup[#Headers])))</f>
        <v/>
      </c>
      <c r="G438" s="173" t="str">
        <f aca="false">IF(INDEX(Salary_Calculation[Source Row],ROW()-ROW(Payslip_Lookup[#Headers]))="","",INDEX(Salary_Calculation[Calendar Days],ROW()-ROW(Payslip_Lookup[#Headers])))</f>
        <v/>
      </c>
      <c r="H438" s="174" t="str">
        <f aca="false">IF(INDEX(Salary_Calculation[Source Row],ROW()-ROW(Payslip_Lookup[#Headers]))="","",INDEX(Salary_Calculation[Monthly Target Orders],ROW()-ROW(Payslip_Lookup[#Headers])))</f>
        <v/>
      </c>
      <c r="I438" s="174" t="str">
        <f aca="false">IF(INDEX(Salary_Calculation[Source Row],ROW()-ROW(Payslip_Lookup[#Headers]))="","",INDEX(Salary_Calculation[Rider Target Orders],ROW()-ROW(Payslip_Lookup[#Headers])))</f>
        <v/>
      </c>
      <c r="J438" s="175" t="str">
        <f aca="false">IF(INDEX(Salary_Calculation[Source Row],ROW()-ROW(Payslip_Lookup[#Headers]))="","",INDEX(Salary_Calculation[Completed Orders],ROW()-ROW(Payslip_Lookup[#Headers])))</f>
        <v/>
      </c>
      <c r="K438" s="174" t="str">
        <f aca="false">IF(INDEX(Salary_Calculation[Source Row],ROW()-ROW(Payslip_Lookup[#Headers]))="","",INDEX(Salary_Calculation[Base Order Rate],ROW()-ROW(Payslip_Lookup[#Headers])))</f>
        <v/>
      </c>
      <c r="L438" s="176" t="str">
        <f aca="false">IF(INDEX(Salary_Calculation[Source Row],ROW()-ROW(Payslip_Lookup[#Headers]))="","",INDEX(Salary_Calculation[Basic Payment],ROW()-ROW(Payslip_Lookup[#Headers])))</f>
        <v/>
      </c>
      <c r="M438" s="176" t="str">
        <f aca="false">IF(INDEX(Salary_Calculation[Source Row],ROW()-ROW(Payslip_Lookup[#Headers]))="","",INDEX(Salary_Calculation[Earned Salary],ROW()-ROW(Payslip_Lookup[#Headers])))</f>
        <v/>
      </c>
      <c r="N438" s="174" t="str">
        <f aca="false">IF(INDEX(Salary_Calculation[Source Row],ROW()-ROW(Payslip_Lookup[#Headers]))="","",INDEX(Salary_Calculation[Orders Counted at Base Rate],ROW()-ROW(Payslip_Lookup[#Headers])))</f>
        <v/>
      </c>
      <c r="O438" s="174" t="str">
        <f aca="false">IF(INDEX(Salary_Calculation[Source Row],ROW()-ROW(Payslip_Lookup[#Headers]))="","",INDEX(Salary_Calculation[Missing Orders],ROW()-ROW(Payslip_Lookup[#Headers])))</f>
        <v/>
      </c>
      <c r="P438" s="176" t="str">
        <f aca="false">IF(INDEX(Salary_Calculation[Source Row],ROW()-ROW(Payslip_Lookup[#Headers]))="","",INDEX(Salary_Calculation[Missing-Order Deduction],ROW()-ROW(Payslip_Lookup[#Headers])))</f>
        <v/>
      </c>
      <c r="Q438" s="174" t="str">
        <f aca="false">IF(INDEX(Salary_Calculation[Source Row],ROW()-ROW(Payslip_Lookup[#Headers]))="","",INDEX(Salary_Calculation[Extra Orders],ROW()-ROW(Payslip_Lookup[#Headers])))</f>
        <v/>
      </c>
      <c r="R438" s="176" t="str">
        <f aca="false">IF(INDEX(Salary_Calculation[Source Row],ROW()-ROW(Payslip_Lookup[#Headers]))="","",INDEX(Salary_Calculation[Extra-Order Bonus],ROW()-ROW(Payslip_Lookup[#Headers])))</f>
        <v/>
      </c>
      <c r="S438" s="176" t="str">
        <f aca="false">IF(INDEX(Salary_Calculation[Source Row],ROW()-ROW(Payslip_Lookup[#Headers]))="","",INDEX(Salary_Calculation[Basic Salary for Target],ROW()-ROW(Payslip_Lookup[#Headers])))</f>
        <v/>
      </c>
      <c r="T438" s="176" t="str">
        <f aca="false">IF(INDEX(Salary_Calculation[Source Row],ROW()-ROW(Payslip_Lookup[#Headers]))="","",INDEX(Salary_Calculation[Gross Salary Before Deductions],ROW()-ROW(Payslip_Lookup[#Headers])))</f>
        <v/>
      </c>
      <c r="U438" s="176" t="str">
        <f aca="false">IF(INDEX(Salary_Calculation[Source Row],ROW()-ROW(Payslip_Lookup[#Headers]))="","",INDEX(Salary_Calculation[missed_days_penalty],ROW()-ROW(Payslip_Lookup[#Headers])))</f>
        <v/>
      </c>
      <c r="V438" s="176" t="str">
        <f aca="false">IF(INDEX(Salary_Calculation[Source Row],ROW()-ROW(Payslip_Lookup[#Headers]))="","",INDEX(Salary_Calculation[Rider Balance],ROW()-ROW(Payslip_Lookup[#Headers])))</f>
        <v/>
      </c>
      <c r="W438" s="176" t="str">
        <f aca="false">IF(INDEX(Salary_Calculation[Source Row],ROW()-ROW(Payslip_Lookup[#Headers]))="","",INDEX(Salary_Calculation[stacking_deduction],ROW()-ROW(Payslip_Lookup[#Headers])))</f>
        <v/>
      </c>
      <c r="X438" s="176" t="str">
        <f aca="false">IF(INDEX(Salary_Calculation[Source Row],ROW()-ROW(Payslip_Lookup[#Headers]))="","",INDEX(Salary_Calculation[Other Deductions],ROW()-ROW(Payslip_Lookup[#Headers])))</f>
        <v/>
      </c>
      <c r="Y438" s="176" t="str">
        <f aca="false">IF(INDEX(Salary_Calculation[Source Row],ROW()-ROW(Payslip_Lookup[#Headers]))="","",INDEX(Salary_Calculation[Total Deductions],ROW()-ROW(Payslip_Lookup[#Headers])))</f>
        <v/>
      </c>
      <c r="Z438" s="176" t="str">
        <f aca="false">IF(INDEX(Salary_Calculation[Source Row],ROW()-ROW(Payslip_Lookup[#Headers]))="","",INDEX(Salary_Calculation[Final Salary],ROW()-ROW(Payslip_Lookup[#Headers])))</f>
        <v/>
      </c>
      <c r="AA438" s="176" t="str">
        <f aca="false">IF(INDEX(Salary_Calculation[Source Row],ROW()-ROW(Payslip_Lookup[#Headers]))="","",INDEX(Salary_Calculation[Negative Balance / Amount Due from Rider],ROW()-ROW(Payslip_Lookup[#Headers])))</f>
        <v/>
      </c>
      <c r="AB438" s="176" t="str">
        <f aca="false">IF(INDEX(Salary_Calculation[Source Row],ROW()-ROW(Payslip_Lookup[#Headers]))="","",INDEX(Salary_Calculation[Total Amount Due from Rider],ROW()-ROW(Payslip_Lookup[#Headers])))</f>
        <v/>
      </c>
      <c r="AC438" s="176" t="str">
        <f aca="false">IF(INDEX(Salary_Calculation[Source Row],ROW()-ROW(Payslip_Lookup[#Headers]))="","",INDEX(Salary_Calculation[Salary Before Other Deductions],ROW()-ROW(Payslip_Lookup[#Headers])))</f>
        <v/>
      </c>
      <c r="AD438" s="171" t="str">
        <f aca="false">IF(INDEX(Salary_Calculation[Source Row],ROW()-ROW(Payslip_Lookup[#Headers]))="","",INDEX(Salary_Calculation[Payment Status],ROW()-ROW(Payslip_Lookup[#Headers])))</f>
        <v/>
      </c>
      <c r="AE438" s="171" t="str">
        <f aca="false">IF(INDEX(Salary_Calculation[Source Row],ROW()-ROW(Payslip_Lookup[#Headers]))="","",INDEX(Salary_Calculation[Notes],ROW()-ROW(Payslip_Lookup[#Headers])))</f>
        <v/>
      </c>
      <c r="AF438" s="171" t="str">
        <f aca="false">IF(INDEX(Salary_Calculation[Source Row],ROW()-ROW(Payslip_Lookup[#Headers]))="","",INDEX(Salary_Calculation[Exception Reason],ROW()-ROW(Payslip_Lookup[#Headers])))</f>
        <v/>
      </c>
      <c r="AG438" s="173" t="str">
        <f aca="false">IF($AD438="Review Required",COUNTIF(AD$2:AD438,"Review Required"),"")</f>
        <v/>
      </c>
      <c r="AH438" s="173" t="str">
        <f aca="false">IF(AND($D438&lt;&gt;"",$B438=Payslip_Print!$C$2),MAX(AH$1:AH437)+1,"")</f>
        <v/>
      </c>
      <c r="AL438" s="178" t="str">
        <f aca="false">IFERROR(INDEX($D$2:$D$501,MATCH(ROW()-1,$AH$2:$AH$501,0)),"")</f>
        <v/>
      </c>
      <c r="AM438" s="179" t="str">
        <f aca="false">IF($Z438="","",IF(AND($C438&gt;=Dash_Start,$C438&lt;Dash_End),$Z438+ROW()/10000000,""))</f>
        <v/>
      </c>
    </row>
    <row r="439" customFormat="false" ht="14.25" hidden="false" customHeight="false" outlineLevel="0" collapsed="false">
      <c r="A439" s="171" t="str">
        <f aca="false">IF(Payslip_Lookup[[#This Row],[Rider ID]]="","",Payslip_Lookup[[#This Row],[Rider ID]]&amp;"|"&amp;Payslip_Lookup[[#This Row],[Month Key]])</f>
        <v/>
      </c>
      <c r="B439" s="172" t="str">
        <f aca="false">IF(ISNUMBER(Payslip_Lookup[[#This Row],[Salary Month]]),DATE(YEAR(Payslip_Lookup[[#This Row],[Salary Month]]),MONTH(Payslip_Lookup[[#This Row],[Salary Month]]),1),"")</f>
        <v/>
      </c>
      <c r="C439" s="172" t="str">
        <f aca="false">IF(INDEX(Salary_Calculation[Source Row],ROW()-ROW(Payslip_Lookup[#Headers]))="","",INDEX(Salary_Calculation[Salary Month],ROW()-ROW(Payslip_Lookup[#Headers])))</f>
        <v/>
      </c>
      <c r="D439" s="173" t="str">
        <f aca="false">IF(INDEX(Salary_Calculation[Source Row],ROW()-ROW(Payslip_Lookup[#Headers]))="","",INDEX(Salary_Calculation[Rider ID],ROW()-ROW(Payslip_Lookup[#Headers])))</f>
        <v/>
      </c>
      <c r="E439" s="171" t="str">
        <f aca="false">IF(INDEX(Salary_Calculation[Source Row],ROW()-ROW(Payslip_Lookup[#Headers]))="","",INDEX(Salary_Calculation[Rider Name],ROW()-ROW(Payslip_Lookup[#Headers])))</f>
        <v/>
      </c>
      <c r="F439" s="173" t="str">
        <f aca="false">IF(INDEX(Salary_Calculation[Source Row],ROW()-ROW(Payslip_Lookup[#Headers]))="","",INDEX(Salary_Calculation[Working Days],ROW()-ROW(Payslip_Lookup[#Headers])))</f>
        <v/>
      </c>
      <c r="G439" s="173" t="str">
        <f aca="false">IF(INDEX(Salary_Calculation[Source Row],ROW()-ROW(Payslip_Lookup[#Headers]))="","",INDEX(Salary_Calculation[Calendar Days],ROW()-ROW(Payslip_Lookup[#Headers])))</f>
        <v/>
      </c>
      <c r="H439" s="174" t="str">
        <f aca="false">IF(INDEX(Salary_Calculation[Source Row],ROW()-ROW(Payslip_Lookup[#Headers]))="","",INDEX(Salary_Calculation[Monthly Target Orders],ROW()-ROW(Payslip_Lookup[#Headers])))</f>
        <v/>
      </c>
      <c r="I439" s="174" t="str">
        <f aca="false">IF(INDEX(Salary_Calculation[Source Row],ROW()-ROW(Payslip_Lookup[#Headers]))="","",INDEX(Salary_Calculation[Rider Target Orders],ROW()-ROW(Payslip_Lookup[#Headers])))</f>
        <v/>
      </c>
      <c r="J439" s="175" t="str">
        <f aca="false">IF(INDEX(Salary_Calculation[Source Row],ROW()-ROW(Payslip_Lookup[#Headers]))="","",INDEX(Salary_Calculation[Completed Orders],ROW()-ROW(Payslip_Lookup[#Headers])))</f>
        <v/>
      </c>
      <c r="K439" s="174" t="str">
        <f aca="false">IF(INDEX(Salary_Calculation[Source Row],ROW()-ROW(Payslip_Lookup[#Headers]))="","",INDEX(Salary_Calculation[Base Order Rate],ROW()-ROW(Payslip_Lookup[#Headers])))</f>
        <v/>
      </c>
      <c r="L439" s="176" t="str">
        <f aca="false">IF(INDEX(Salary_Calculation[Source Row],ROW()-ROW(Payslip_Lookup[#Headers]))="","",INDEX(Salary_Calculation[Basic Payment],ROW()-ROW(Payslip_Lookup[#Headers])))</f>
        <v/>
      </c>
      <c r="M439" s="176" t="str">
        <f aca="false">IF(INDEX(Salary_Calculation[Source Row],ROW()-ROW(Payslip_Lookup[#Headers]))="","",INDEX(Salary_Calculation[Earned Salary],ROW()-ROW(Payslip_Lookup[#Headers])))</f>
        <v/>
      </c>
      <c r="N439" s="174" t="str">
        <f aca="false">IF(INDEX(Salary_Calculation[Source Row],ROW()-ROW(Payslip_Lookup[#Headers]))="","",INDEX(Salary_Calculation[Orders Counted at Base Rate],ROW()-ROW(Payslip_Lookup[#Headers])))</f>
        <v/>
      </c>
      <c r="O439" s="174" t="str">
        <f aca="false">IF(INDEX(Salary_Calculation[Source Row],ROW()-ROW(Payslip_Lookup[#Headers]))="","",INDEX(Salary_Calculation[Missing Orders],ROW()-ROW(Payslip_Lookup[#Headers])))</f>
        <v/>
      </c>
      <c r="P439" s="176" t="str">
        <f aca="false">IF(INDEX(Salary_Calculation[Source Row],ROW()-ROW(Payslip_Lookup[#Headers]))="","",INDEX(Salary_Calculation[Missing-Order Deduction],ROW()-ROW(Payslip_Lookup[#Headers])))</f>
        <v/>
      </c>
      <c r="Q439" s="174" t="str">
        <f aca="false">IF(INDEX(Salary_Calculation[Source Row],ROW()-ROW(Payslip_Lookup[#Headers]))="","",INDEX(Salary_Calculation[Extra Orders],ROW()-ROW(Payslip_Lookup[#Headers])))</f>
        <v/>
      </c>
      <c r="R439" s="176" t="str">
        <f aca="false">IF(INDEX(Salary_Calculation[Source Row],ROW()-ROW(Payslip_Lookup[#Headers]))="","",INDEX(Salary_Calculation[Extra-Order Bonus],ROW()-ROW(Payslip_Lookup[#Headers])))</f>
        <v/>
      </c>
      <c r="S439" s="176" t="str">
        <f aca="false">IF(INDEX(Salary_Calculation[Source Row],ROW()-ROW(Payslip_Lookup[#Headers]))="","",INDEX(Salary_Calculation[Basic Salary for Target],ROW()-ROW(Payslip_Lookup[#Headers])))</f>
        <v/>
      </c>
      <c r="T439" s="176" t="str">
        <f aca="false">IF(INDEX(Salary_Calculation[Source Row],ROW()-ROW(Payslip_Lookup[#Headers]))="","",INDEX(Salary_Calculation[Gross Salary Before Deductions],ROW()-ROW(Payslip_Lookup[#Headers])))</f>
        <v/>
      </c>
      <c r="U439" s="176" t="str">
        <f aca="false">IF(INDEX(Salary_Calculation[Source Row],ROW()-ROW(Payslip_Lookup[#Headers]))="","",INDEX(Salary_Calculation[missed_days_penalty],ROW()-ROW(Payslip_Lookup[#Headers])))</f>
        <v/>
      </c>
      <c r="V439" s="176" t="str">
        <f aca="false">IF(INDEX(Salary_Calculation[Source Row],ROW()-ROW(Payslip_Lookup[#Headers]))="","",INDEX(Salary_Calculation[Rider Balance],ROW()-ROW(Payslip_Lookup[#Headers])))</f>
        <v/>
      </c>
      <c r="W439" s="176" t="str">
        <f aca="false">IF(INDEX(Salary_Calculation[Source Row],ROW()-ROW(Payslip_Lookup[#Headers]))="","",INDEX(Salary_Calculation[stacking_deduction],ROW()-ROW(Payslip_Lookup[#Headers])))</f>
        <v/>
      </c>
      <c r="X439" s="176" t="str">
        <f aca="false">IF(INDEX(Salary_Calculation[Source Row],ROW()-ROW(Payslip_Lookup[#Headers]))="","",INDEX(Salary_Calculation[Other Deductions],ROW()-ROW(Payslip_Lookup[#Headers])))</f>
        <v/>
      </c>
      <c r="Y439" s="176" t="str">
        <f aca="false">IF(INDEX(Salary_Calculation[Source Row],ROW()-ROW(Payslip_Lookup[#Headers]))="","",INDEX(Salary_Calculation[Total Deductions],ROW()-ROW(Payslip_Lookup[#Headers])))</f>
        <v/>
      </c>
      <c r="Z439" s="176" t="str">
        <f aca="false">IF(INDEX(Salary_Calculation[Source Row],ROW()-ROW(Payslip_Lookup[#Headers]))="","",INDEX(Salary_Calculation[Final Salary],ROW()-ROW(Payslip_Lookup[#Headers])))</f>
        <v/>
      </c>
      <c r="AA439" s="176" t="str">
        <f aca="false">IF(INDEX(Salary_Calculation[Source Row],ROW()-ROW(Payslip_Lookup[#Headers]))="","",INDEX(Salary_Calculation[Negative Balance / Amount Due from Rider],ROW()-ROW(Payslip_Lookup[#Headers])))</f>
        <v/>
      </c>
      <c r="AB439" s="176" t="str">
        <f aca="false">IF(INDEX(Salary_Calculation[Source Row],ROW()-ROW(Payslip_Lookup[#Headers]))="","",INDEX(Salary_Calculation[Total Amount Due from Rider],ROW()-ROW(Payslip_Lookup[#Headers])))</f>
        <v/>
      </c>
      <c r="AC439" s="176" t="str">
        <f aca="false">IF(INDEX(Salary_Calculation[Source Row],ROW()-ROW(Payslip_Lookup[#Headers]))="","",INDEX(Salary_Calculation[Salary Before Other Deductions],ROW()-ROW(Payslip_Lookup[#Headers])))</f>
        <v/>
      </c>
      <c r="AD439" s="171" t="str">
        <f aca="false">IF(INDEX(Salary_Calculation[Source Row],ROW()-ROW(Payslip_Lookup[#Headers]))="","",INDEX(Salary_Calculation[Payment Status],ROW()-ROW(Payslip_Lookup[#Headers])))</f>
        <v/>
      </c>
      <c r="AE439" s="171" t="str">
        <f aca="false">IF(INDEX(Salary_Calculation[Source Row],ROW()-ROW(Payslip_Lookup[#Headers]))="","",INDEX(Salary_Calculation[Notes],ROW()-ROW(Payslip_Lookup[#Headers])))</f>
        <v/>
      </c>
      <c r="AF439" s="171" t="str">
        <f aca="false">IF(INDEX(Salary_Calculation[Source Row],ROW()-ROW(Payslip_Lookup[#Headers]))="","",INDEX(Salary_Calculation[Exception Reason],ROW()-ROW(Payslip_Lookup[#Headers])))</f>
        <v/>
      </c>
      <c r="AG439" s="173" t="str">
        <f aca="false">IF($AD439="Review Required",COUNTIF(AD$2:AD439,"Review Required"),"")</f>
        <v/>
      </c>
      <c r="AH439" s="173" t="str">
        <f aca="false">IF(AND($D439&lt;&gt;"",$B439=Payslip_Print!$C$2),MAX(AH$1:AH438)+1,"")</f>
        <v/>
      </c>
      <c r="AL439" s="178" t="str">
        <f aca="false">IFERROR(INDEX($D$2:$D$501,MATCH(ROW()-1,$AH$2:$AH$501,0)),"")</f>
        <v/>
      </c>
      <c r="AM439" s="179" t="str">
        <f aca="false">IF($Z439="","",IF(AND($C439&gt;=Dash_Start,$C439&lt;Dash_End),$Z439+ROW()/10000000,""))</f>
        <v/>
      </c>
    </row>
    <row r="440" customFormat="false" ht="14.25" hidden="false" customHeight="false" outlineLevel="0" collapsed="false">
      <c r="A440" s="171" t="str">
        <f aca="false">IF(Payslip_Lookup[[#This Row],[Rider ID]]="","",Payslip_Lookup[[#This Row],[Rider ID]]&amp;"|"&amp;Payslip_Lookup[[#This Row],[Month Key]])</f>
        <v/>
      </c>
      <c r="B440" s="172" t="str">
        <f aca="false">IF(ISNUMBER(Payslip_Lookup[[#This Row],[Salary Month]]),DATE(YEAR(Payslip_Lookup[[#This Row],[Salary Month]]),MONTH(Payslip_Lookup[[#This Row],[Salary Month]]),1),"")</f>
        <v/>
      </c>
      <c r="C440" s="172" t="str">
        <f aca="false">IF(INDEX(Salary_Calculation[Source Row],ROW()-ROW(Payslip_Lookup[#Headers]))="","",INDEX(Salary_Calculation[Salary Month],ROW()-ROW(Payslip_Lookup[#Headers])))</f>
        <v/>
      </c>
      <c r="D440" s="173" t="str">
        <f aca="false">IF(INDEX(Salary_Calculation[Source Row],ROW()-ROW(Payslip_Lookup[#Headers]))="","",INDEX(Salary_Calculation[Rider ID],ROW()-ROW(Payslip_Lookup[#Headers])))</f>
        <v/>
      </c>
      <c r="E440" s="171" t="str">
        <f aca="false">IF(INDEX(Salary_Calculation[Source Row],ROW()-ROW(Payslip_Lookup[#Headers]))="","",INDEX(Salary_Calculation[Rider Name],ROW()-ROW(Payslip_Lookup[#Headers])))</f>
        <v/>
      </c>
      <c r="F440" s="173" t="str">
        <f aca="false">IF(INDEX(Salary_Calculation[Source Row],ROW()-ROW(Payslip_Lookup[#Headers]))="","",INDEX(Salary_Calculation[Working Days],ROW()-ROW(Payslip_Lookup[#Headers])))</f>
        <v/>
      </c>
      <c r="G440" s="173" t="str">
        <f aca="false">IF(INDEX(Salary_Calculation[Source Row],ROW()-ROW(Payslip_Lookup[#Headers]))="","",INDEX(Salary_Calculation[Calendar Days],ROW()-ROW(Payslip_Lookup[#Headers])))</f>
        <v/>
      </c>
      <c r="H440" s="174" t="str">
        <f aca="false">IF(INDEX(Salary_Calculation[Source Row],ROW()-ROW(Payslip_Lookup[#Headers]))="","",INDEX(Salary_Calculation[Monthly Target Orders],ROW()-ROW(Payslip_Lookup[#Headers])))</f>
        <v/>
      </c>
      <c r="I440" s="174" t="str">
        <f aca="false">IF(INDEX(Salary_Calculation[Source Row],ROW()-ROW(Payslip_Lookup[#Headers]))="","",INDEX(Salary_Calculation[Rider Target Orders],ROW()-ROW(Payslip_Lookup[#Headers])))</f>
        <v/>
      </c>
      <c r="J440" s="175" t="str">
        <f aca="false">IF(INDEX(Salary_Calculation[Source Row],ROW()-ROW(Payslip_Lookup[#Headers]))="","",INDEX(Salary_Calculation[Completed Orders],ROW()-ROW(Payslip_Lookup[#Headers])))</f>
        <v/>
      </c>
      <c r="K440" s="174" t="str">
        <f aca="false">IF(INDEX(Salary_Calculation[Source Row],ROW()-ROW(Payslip_Lookup[#Headers]))="","",INDEX(Salary_Calculation[Base Order Rate],ROW()-ROW(Payslip_Lookup[#Headers])))</f>
        <v/>
      </c>
      <c r="L440" s="176" t="str">
        <f aca="false">IF(INDEX(Salary_Calculation[Source Row],ROW()-ROW(Payslip_Lookup[#Headers]))="","",INDEX(Salary_Calculation[Basic Payment],ROW()-ROW(Payslip_Lookup[#Headers])))</f>
        <v/>
      </c>
      <c r="M440" s="176" t="str">
        <f aca="false">IF(INDEX(Salary_Calculation[Source Row],ROW()-ROW(Payslip_Lookup[#Headers]))="","",INDEX(Salary_Calculation[Earned Salary],ROW()-ROW(Payslip_Lookup[#Headers])))</f>
        <v/>
      </c>
      <c r="N440" s="174" t="str">
        <f aca="false">IF(INDEX(Salary_Calculation[Source Row],ROW()-ROW(Payslip_Lookup[#Headers]))="","",INDEX(Salary_Calculation[Orders Counted at Base Rate],ROW()-ROW(Payslip_Lookup[#Headers])))</f>
        <v/>
      </c>
      <c r="O440" s="174" t="str">
        <f aca="false">IF(INDEX(Salary_Calculation[Source Row],ROW()-ROW(Payslip_Lookup[#Headers]))="","",INDEX(Salary_Calculation[Missing Orders],ROW()-ROW(Payslip_Lookup[#Headers])))</f>
        <v/>
      </c>
      <c r="P440" s="176" t="str">
        <f aca="false">IF(INDEX(Salary_Calculation[Source Row],ROW()-ROW(Payslip_Lookup[#Headers]))="","",INDEX(Salary_Calculation[Missing-Order Deduction],ROW()-ROW(Payslip_Lookup[#Headers])))</f>
        <v/>
      </c>
      <c r="Q440" s="174" t="str">
        <f aca="false">IF(INDEX(Salary_Calculation[Source Row],ROW()-ROW(Payslip_Lookup[#Headers]))="","",INDEX(Salary_Calculation[Extra Orders],ROW()-ROW(Payslip_Lookup[#Headers])))</f>
        <v/>
      </c>
      <c r="R440" s="176" t="str">
        <f aca="false">IF(INDEX(Salary_Calculation[Source Row],ROW()-ROW(Payslip_Lookup[#Headers]))="","",INDEX(Salary_Calculation[Extra-Order Bonus],ROW()-ROW(Payslip_Lookup[#Headers])))</f>
        <v/>
      </c>
      <c r="S440" s="176" t="str">
        <f aca="false">IF(INDEX(Salary_Calculation[Source Row],ROW()-ROW(Payslip_Lookup[#Headers]))="","",INDEX(Salary_Calculation[Basic Salary for Target],ROW()-ROW(Payslip_Lookup[#Headers])))</f>
        <v/>
      </c>
      <c r="T440" s="176" t="str">
        <f aca="false">IF(INDEX(Salary_Calculation[Source Row],ROW()-ROW(Payslip_Lookup[#Headers]))="","",INDEX(Salary_Calculation[Gross Salary Before Deductions],ROW()-ROW(Payslip_Lookup[#Headers])))</f>
        <v/>
      </c>
      <c r="U440" s="176" t="str">
        <f aca="false">IF(INDEX(Salary_Calculation[Source Row],ROW()-ROW(Payslip_Lookup[#Headers]))="","",INDEX(Salary_Calculation[missed_days_penalty],ROW()-ROW(Payslip_Lookup[#Headers])))</f>
        <v/>
      </c>
      <c r="V440" s="176" t="str">
        <f aca="false">IF(INDEX(Salary_Calculation[Source Row],ROW()-ROW(Payslip_Lookup[#Headers]))="","",INDEX(Salary_Calculation[Rider Balance],ROW()-ROW(Payslip_Lookup[#Headers])))</f>
        <v/>
      </c>
      <c r="W440" s="176" t="str">
        <f aca="false">IF(INDEX(Salary_Calculation[Source Row],ROW()-ROW(Payslip_Lookup[#Headers]))="","",INDEX(Salary_Calculation[stacking_deduction],ROW()-ROW(Payslip_Lookup[#Headers])))</f>
        <v/>
      </c>
      <c r="X440" s="176" t="str">
        <f aca="false">IF(INDEX(Salary_Calculation[Source Row],ROW()-ROW(Payslip_Lookup[#Headers]))="","",INDEX(Salary_Calculation[Other Deductions],ROW()-ROW(Payslip_Lookup[#Headers])))</f>
        <v/>
      </c>
      <c r="Y440" s="176" t="str">
        <f aca="false">IF(INDEX(Salary_Calculation[Source Row],ROW()-ROW(Payslip_Lookup[#Headers]))="","",INDEX(Salary_Calculation[Total Deductions],ROW()-ROW(Payslip_Lookup[#Headers])))</f>
        <v/>
      </c>
      <c r="Z440" s="176" t="str">
        <f aca="false">IF(INDEX(Salary_Calculation[Source Row],ROW()-ROW(Payslip_Lookup[#Headers]))="","",INDEX(Salary_Calculation[Final Salary],ROW()-ROW(Payslip_Lookup[#Headers])))</f>
        <v/>
      </c>
      <c r="AA440" s="176" t="str">
        <f aca="false">IF(INDEX(Salary_Calculation[Source Row],ROW()-ROW(Payslip_Lookup[#Headers]))="","",INDEX(Salary_Calculation[Negative Balance / Amount Due from Rider],ROW()-ROW(Payslip_Lookup[#Headers])))</f>
        <v/>
      </c>
      <c r="AB440" s="176" t="str">
        <f aca="false">IF(INDEX(Salary_Calculation[Source Row],ROW()-ROW(Payslip_Lookup[#Headers]))="","",INDEX(Salary_Calculation[Total Amount Due from Rider],ROW()-ROW(Payslip_Lookup[#Headers])))</f>
        <v/>
      </c>
      <c r="AC440" s="176" t="str">
        <f aca="false">IF(INDEX(Salary_Calculation[Source Row],ROW()-ROW(Payslip_Lookup[#Headers]))="","",INDEX(Salary_Calculation[Salary Before Other Deductions],ROW()-ROW(Payslip_Lookup[#Headers])))</f>
        <v/>
      </c>
      <c r="AD440" s="171" t="str">
        <f aca="false">IF(INDEX(Salary_Calculation[Source Row],ROW()-ROW(Payslip_Lookup[#Headers]))="","",INDEX(Salary_Calculation[Payment Status],ROW()-ROW(Payslip_Lookup[#Headers])))</f>
        <v/>
      </c>
      <c r="AE440" s="171" t="str">
        <f aca="false">IF(INDEX(Salary_Calculation[Source Row],ROW()-ROW(Payslip_Lookup[#Headers]))="","",INDEX(Salary_Calculation[Notes],ROW()-ROW(Payslip_Lookup[#Headers])))</f>
        <v/>
      </c>
      <c r="AF440" s="171" t="str">
        <f aca="false">IF(INDEX(Salary_Calculation[Source Row],ROW()-ROW(Payslip_Lookup[#Headers]))="","",INDEX(Salary_Calculation[Exception Reason],ROW()-ROW(Payslip_Lookup[#Headers])))</f>
        <v/>
      </c>
      <c r="AG440" s="173" t="str">
        <f aca="false">IF($AD440="Review Required",COUNTIF(AD$2:AD440,"Review Required"),"")</f>
        <v/>
      </c>
      <c r="AH440" s="173" t="str">
        <f aca="false">IF(AND($D440&lt;&gt;"",$B440=Payslip_Print!$C$2),MAX(AH$1:AH439)+1,"")</f>
        <v/>
      </c>
      <c r="AL440" s="178" t="str">
        <f aca="false">IFERROR(INDEX($D$2:$D$501,MATCH(ROW()-1,$AH$2:$AH$501,0)),"")</f>
        <v/>
      </c>
      <c r="AM440" s="179" t="str">
        <f aca="false">IF($Z440="","",IF(AND($C440&gt;=Dash_Start,$C440&lt;Dash_End),$Z440+ROW()/10000000,""))</f>
        <v/>
      </c>
    </row>
    <row r="441" customFormat="false" ht="14.25" hidden="false" customHeight="false" outlineLevel="0" collapsed="false">
      <c r="A441" s="171" t="str">
        <f aca="false">IF(Payslip_Lookup[[#This Row],[Rider ID]]="","",Payslip_Lookup[[#This Row],[Rider ID]]&amp;"|"&amp;Payslip_Lookup[[#This Row],[Month Key]])</f>
        <v/>
      </c>
      <c r="B441" s="172" t="str">
        <f aca="false">IF(ISNUMBER(Payslip_Lookup[[#This Row],[Salary Month]]),DATE(YEAR(Payslip_Lookup[[#This Row],[Salary Month]]),MONTH(Payslip_Lookup[[#This Row],[Salary Month]]),1),"")</f>
        <v/>
      </c>
      <c r="C441" s="172" t="str">
        <f aca="false">IF(INDEX(Salary_Calculation[Source Row],ROW()-ROW(Payslip_Lookup[#Headers]))="","",INDEX(Salary_Calculation[Salary Month],ROW()-ROW(Payslip_Lookup[#Headers])))</f>
        <v/>
      </c>
      <c r="D441" s="173" t="str">
        <f aca="false">IF(INDEX(Salary_Calculation[Source Row],ROW()-ROW(Payslip_Lookup[#Headers]))="","",INDEX(Salary_Calculation[Rider ID],ROW()-ROW(Payslip_Lookup[#Headers])))</f>
        <v/>
      </c>
      <c r="E441" s="171" t="str">
        <f aca="false">IF(INDEX(Salary_Calculation[Source Row],ROW()-ROW(Payslip_Lookup[#Headers]))="","",INDEX(Salary_Calculation[Rider Name],ROW()-ROW(Payslip_Lookup[#Headers])))</f>
        <v/>
      </c>
      <c r="F441" s="173" t="str">
        <f aca="false">IF(INDEX(Salary_Calculation[Source Row],ROW()-ROW(Payslip_Lookup[#Headers]))="","",INDEX(Salary_Calculation[Working Days],ROW()-ROW(Payslip_Lookup[#Headers])))</f>
        <v/>
      </c>
      <c r="G441" s="173" t="str">
        <f aca="false">IF(INDEX(Salary_Calculation[Source Row],ROW()-ROW(Payslip_Lookup[#Headers]))="","",INDEX(Salary_Calculation[Calendar Days],ROW()-ROW(Payslip_Lookup[#Headers])))</f>
        <v/>
      </c>
      <c r="H441" s="174" t="str">
        <f aca="false">IF(INDEX(Salary_Calculation[Source Row],ROW()-ROW(Payslip_Lookup[#Headers]))="","",INDEX(Salary_Calculation[Monthly Target Orders],ROW()-ROW(Payslip_Lookup[#Headers])))</f>
        <v/>
      </c>
      <c r="I441" s="174" t="str">
        <f aca="false">IF(INDEX(Salary_Calculation[Source Row],ROW()-ROW(Payslip_Lookup[#Headers]))="","",INDEX(Salary_Calculation[Rider Target Orders],ROW()-ROW(Payslip_Lookup[#Headers])))</f>
        <v/>
      </c>
      <c r="J441" s="175" t="str">
        <f aca="false">IF(INDEX(Salary_Calculation[Source Row],ROW()-ROW(Payslip_Lookup[#Headers]))="","",INDEX(Salary_Calculation[Completed Orders],ROW()-ROW(Payslip_Lookup[#Headers])))</f>
        <v/>
      </c>
      <c r="K441" s="174" t="str">
        <f aca="false">IF(INDEX(Salary_Calculation[Source Row],ROW()-ROW(Payslip_Lookup[#Headers]))="","",INDEX(Salary_Calculation[Base Order Rate],ROW()-ROW(Payslip_Lookup[#Headers])))</f>
        <v/>
      </c>
      <c r="L441" s="176" t="str">
        <f aca="false">IF(INDEX(Salary_Calculation[Source Row],ROW()-ROW(Payslip_Lookup[#Headers]))="","",INDEX(Salary_Calculation[Basic Payment],ROW()-ROW(Payslip_Lookup[#Headers])))</f>
        <v/>
      </c>
      <c r="M441" s="176" t="str">
        <f aca="false">IF(INDEX(Salary_Calculation[Source Row],ROW()-ROW(Payslip_Lookup[#Headers]))="","",INDEX(Salary_Calculation[Earned Salary],ROW()-ROW(Payslip_Lookup[#Headers])))</f>
        <v/>
      </c>
      <c r="N441" s="174" t="str">
        <f aca="false">IF(INDEX(Salary_Calculation[Source Row],ROW()-ROW(Payslip_Lookup[#Headers]))="","",INDEX(Salary_Calculation[Orders Counted at Base Rate],ROW()-ROW(Payslip_Lookup[#Headers])))</f>
        <v/>
      </c>
      <c r="O441" s="174" t="str">
        <f aca="false">IF(INDEX(Salary_Calculation[Source Row],ROW()-ROW(Payslip_Lookup[#Headers]))="","",INDEX(Salary_Calculation[Missing Orders],ROW()-ROW(Payslip_Lookup[#Headers])))</f>
        <v/>
      </c>
      <c r="P441" s="176" t="str">
        <f aca="false">IF(INDEX(Salary_Calculation[Source Row],ROW()-ROW(Payslip_Lookup[#Headers]))="","",INDEX(Salary_Calculation[Missing-Order Deduction],ROW()-ROW(Payslip_Lookup[#Headers])))</f>
        <v/>
      </c>
      <c r="Q441" s="174" t="str">
        <f aca="false">IF(INDEX(Salary_Calculation[Source Row],ROW()-ROW(Payslip_Lookup[#Headers]))="","",INDEX(Salary_Calculation[Extra Orders],ROW()-ROW(Payslip_Lookup[#Headers])))</f>
        <v/>
      </c>
      <c r="R441" s="176" t="str">
        <f aca="false">IF(INDEX(Salary_Calculation[Source Row],ROW()-ROW(Payslip_Lookup[#Headers]))="","",INDEX(Salary_Calculation[Extra-Order Bonus],ROW()-ROW(Payslip_Lookup[#Headers])))</f>
        <v/>
      </c>
      <c r="S441" s="176" t="str">
        <f aca="false">IF(INDEX(Salary_Calculation[Source Row],ROW()-ROW(Payslip_Lookup[#Headers]))="","",INDEX(Salary_Calculation[Basic Salary for Target],ROW()-ROW(Payslip_Lookup[#Headers])))</f>
        <v/>
      </c>
      <c r="T441" s="176" t="str">
        <f aca="false">IF(INDEX(Salary_Calculation[Source Row],ROW()-ROW(Payslip_Lookup[#Headers]))="","",INDEX(Salary_Calculation[Gross Salary Before Deductions],ROW()-ROW(Payslip_Lookup[#Headers])))</f>
        <v/>
      </c>
      <c r="U441" s="176" t="str">
        <f aca="false">IF(INDEX(Salary_Calculation[Source Row],ROW()-ROW(Payslip_Lookup[#Headers]))="","",INDEX(Salary_Calculation[missed_days_penalty],ROW()-ROW(Payslip_Lookup[#Headers])))</f>
        <v/>
      </c>
      <c r="V441" s="176" t="str">
        <f aca="false">IF(INDEX(Salary_Calculation[Source Row],ROW()-ROW(Payslip_Lookup[#Headers]))="","",INDEX(Salary_Calculation[Rider Balance],ROW()-ROW(Payslip_Lookup[#Headers])))</f>
        <v/>
      </c>
      <c r="W441" s="176" t="str">
        <f aca="false">IF(INDEX(Salary_Calculation[Source Row],ROW()-ROW(Payslip_Lookup[#Headers]))="","",INDEX(Salary_Calculation[stacking_deduction],ROW()-ROW(Payslip_Lookup[#Headers])))</f>
        <v/>
      </c>
      <c r="X441" s="176" t="str">
        <f aca="false">IF(INDEX(Salary_Calculation[Source Row],ROW()-ROW(Payslip_Lookup[#Headers]))="","",INDEX(Salary_Calculation[Other Deductions],ROW()-ROW(Payslip_Lookup[#Headers])))</f>
        <v/>
      </c>
      <c r="Y441" s="176" t="str">
        <f aca="false">IF(INDEX(Salary_Calculation[Source Row],ROW()-ROW(Payslip_Lookup[#Headers]))="","",INDEX(Salary_Calculation[Total Deductions],ROW()-ROW(Payslip_Lookup[#Headers])))</f>
        <v/>
      </c>
      <c r="Z441" s="176" t="str">
        <f aca="false">IF(INDEX(Salary_Calculation[Source Row],ROW()-ROW(Payslip_Lookup[#Headers]))="","",INDEX(Salary_Calculation[Final Salary],ROW()-ROW(Payslip_Lookup[#Headers])))</f>
        <v/>
      </c>
      <c r="AA441" s="176" t="str">
        <f aca="false">IF(INDEX(Salary_Calculation[Source Row],ROW()-ROW(Payslip_Lookup[#Headers]))="","",INDEX(Salary_Calculation[Negative Balance / Amount Due from Rider],ROW()-ROW(Payslip_Lookup[#Headers])))</f>
        <v/>
      </c>
      <c r="AB441" s="176" t="str">
        <f aca="false">IF(INDEX(Salary_Calculation[Source Row],ROW()-ROW(Payslip_Lookup[#Headers]))="","",INDEX(Salary_Calculation[Total Amount Due from Rider],ROW()-ROW(Payslip_Lookup[#Headers])))</f>
        <v/>
      </c>
      <c r="AC441" s="176" t="str">
        <f aca="false">IF(INDEX(Salary_Calculation[Source Row],ROW()-ROW(Payslip_Lookup[#Headers]))="","",INDEX(Salary_Calculation[Salary Before Other Deductions],ROW()-ROW(Payslip_Lookup[#Headers])))</f>
        <v/>
      </c>
      <c r="AD441" s="171" t="str">
        <f aca="false">IF(INDEX(Salary_Calculation[Source Row],ROW()-ROW(Payslip_Lookup[#Headers]))="","",INDEX(Salary_Calculation[Payment Status],ROW()-ROW(Payslip_Lookup[#Headers])))</f>
        <v/>
      </c>
      <c r="AE441" s="171" t="str">
        <f aca="false">IF(INDEX(Salary_Calculation[Source Row],ROW()-ROW(Payslip_Lookup[#Headers]))="","",INDEX(Salary_Calculation[Notes],ROW()-ROW(Payslip_Lookup[#Headers])))</f>
        <v/>
      </c>
      <c r="AF441" s="171" t="str">
        <f aca="false">IF(INDEX(Salary_Calculation[Source Row],ROW()-ROW(Payslip_Lookup[#Headers]))="","",INDEX(Salary_Calculation[Exception Reason],ROW()-ROW(Payslip_Lookup[#Headers])))</f>
        <v/>
      </c>
      <c r="AG441" s="173" t="str">
        <f aca="false">IF($AD441="Review Required",COUNTIF(AD$2:AD441,"Review Required"),"")</f>
        <v/>
      </c>
      <c r="AH441" s="173" t="str">
        <f aca="false">IF(AND($D441&lt;&gt;"",$B441=Payslip_Print!$C$2),MAX(AH$1:AH440)+1,"")</f>
        <v/>
      </c>
      <c r="AL441" s="178" t="str">
        <f aca="false">IFERROR(INDEX($D$2:$D$501,MATCH(ROW()-1,$AH$2:$AH$501,0)),"")</f>
        <v/>
      </c>
      <c r="AM441" s="179" t="str">
        <f aca="false">IF($Z441="","",IF(AND($C441&gt;=Dash_Start,$C441&lt;Dash_End),$Z441+ROW()/10000000,""))</f>
        <v/>
      </c>
    </row>
    <row r="442" customFormat="false" ht="14.25" hidden="false" customHeight="false" outlineLevel="0" collapsed="false">
      <c r="A442" s="171" t="str">
        <f aca="false">IF(Payslip_Lookup[[#This Row],[Rider ID]]="","",Payslip_Lookup[[#This Row],[Rider ID]]&amp;"|"&amp;Payslip_Lookup[[#This Row],[Month Key]])</f>
        <v/>
      </c>
      <c r="B442" s="172" t="str">
        <f aca="false">IF(ISNUMBER(Payslip_Lookup[[#This Row],[Salary Month]]),DATE(YEAR(Payslip_Lookup[[#This Row],[Salary Month]]),MONTH(Payslip_Lookup[[#This Row],[Salary Month]]),1),"")</f>
        <v/>
      </c>
      <c r="C442" s="172" t="str">
        <f aca="false">IF(INDEX(Salary_Calculation[Source Row],ROW()-ROW(Payslip_Lookup[#Headers]))="","",INDEX(Salary_Calculation[Salary Month],ROW()-ROW(Payslip_Lookup[#Headers])))</f>
        <v/>
      </c>
      <c r="D442" s="173" t="str">
        <f aca="false">IF(INDEX(Salary_Calculation[Source Row],ROW()-ROW(Payslip_Lookup[#Headers]))="","",INDEX(Salary_Calculation[Rider ID],ROW()-ROW(Payslip_Lookup[#Headers])))</f>
        <v/>
      </c>
      <c r="E442" s="171" t="str">
        <f aca="false">IF(INDEX(Salary_Calculation[Source Row],ROW()-ROW(Payslip_Lookup[#Headers]))="","",INDEX(Salary_Calculation[Rider Name],ROW()-ROW(Payslip_Lookup[#Headers])))</f>
        <v/>
      </c>
      <c r="F442" s="173" t="str">
        <f aca="false">IF(INDEX(Salary_Calculation[Source Row],ROW()-ROW(Payslip_Lookup[#Headers]))="","",INDEX(Salary_Calculation[Working Days],ROW()-ROW(Payslip_Lookup[#Headers])))</f>
        <v/>
      </c>
      <c r="G442" s="173" t="str">
        <f aca="false">IF(INDEX(Salary_Calculation[Source Row],ROW()-ROW(Payslip_Lookup[#Headers]))="","",INDEX(Salary_Calculation[Calendar Days],ROW()-ROW(Payslip_Lookup[#Headers])))</f>
        <v/>
      </c>
      <c r="H442" s="174" t="str">
        <f aca="false">IF(INDEX(Salary_Calculation[Source Row],ROW()-ROW(Payslip_Lookup[#Headers]))="","",INDEX(Salary_Calculation[Monthly Target Orders],ROW()-ROW(Payslip_Lookup[#Headers])))</f>
        <v/>
      </c>
      <c r="I442" s="174" t="str">
        <f aca="false">IF(INDEX(Salary_Calculation[Source Row],ROW()-ROW(Payslip_Lookup[#Headers]))="","",INDEX(Salary_Calculation[Rider Target Orders],ROW()-ROW(Payslip_Lookup[#Headers])))</f>
        <v/>
      </c>
      <c r="J442" s="175" t="str">
        <f aca="false">IF(INDEX(Salary_Calculation[Source Row],ROW()-ROW(Payslip_Lookup[#Headers]))="","",INDEX(Salary_Calculation[Completed Orders],ROW()-ROW(Payslip_Lookup[#Headers])))</f>
        <v/>
      </c>
      <c r="K442" s="174" t="str">
        <f aca="false">IF(INDEX(Salary_Calculation[Source Row],ROW()-ROW(Payslip_Lookup[#Headers]))="","",INDEX(Salary_Calculation[Base Order Rate],ROW()-ROW(Payslip_Lookup[#Headers])))</f>
        <v/>
      </c>
      <c r="L442" s="176" t="str">
        <f aca="false">IF(INDEX(Salary_Calculation[Source Row],ROW()-ROW(Payslip_Lookup[#Headers]))="","",INDEX(Salary_Calculation[Basic Payment],ROW()-ROW(Payslip_Lookup[#Headers])))</f>
        <v/>
      </c>
      <c r="M442" s="176" t="str">
        <f aca="false">IF(INDEX(Salary_Calculation[Source Row],ROW()-ROW(Payslip_Lookup[#Headers]))="","",INDEX(Salary_Calculation[Earned Salary],ROW()-ROW(Payslip_Lookup[#Headers])))</f>
        <v/>
      </c>
      <c r="N442" s="174" t="str">
        <f aca="false">IF(INDEX(Salary_Calculation[Source Row],ROW()-ROW(Payslip_Lookup[#Headers]))="","",INDEX(Salary_Calculation[Orders Counted at Base Rate],ROW()-ROW(Payslip_Lookup[#Headers])))</f>
        <v/>
      </c>
      <c r="O442" s="174" t="str">
        <f aca="false">IF(INDEX(Salary_Calculation[Source Row],ROW()-ROW(Payslip_Lookup[#Headers]))="","",INDEX(Salary_Calculation[Missing Orders],ROW()-ROW(Payslip_Lookup[#Headers])))</f>
        <v/>
      </c>
      <c r="P442" s="176" t="str">
        <f aca="false">IF(INDEX(Salary_Calculation[Source Row],ROW()-ROW(Payslip_Lookup[#Headers]))="","",INDEX(Salary_Calculation[Missing-Order Deduction],ROW()-ROW(Payslip_Lookup[#Headers])))</f>
        <v/>
      </c>
      <c r="Q442" s="174" t="str">
        <f aca="false">IF(INDEX(Salary_Calculation[Source Row],ROW()-ROW(Payslip_Lookup[#Headers]))="","",INDEX(Salary_Calculation[Extra Orders],ROW()-ROW(Payslip_Lookup[#Headers])))</f>
        <v/>
      </c>
      <c r="R442" s="176" t="str">
        <f aca="false">IF(INDEX(Salary_Calculation[Source Row],ROW()-ROW(Payslip_Lookup[#Headers]))="","",INDEX(Salary_Calculation[Extra-Order Bonus],ROW()-ROW(Payslip_Lookup[#Headers])))</f>
        <v/>
      </c>
      <c r="S442" s="176" t="str">
        <f aca="false">IF(INDEX(Salary_Calculation[Source Row],ROW()-ROW(Payslip_Lookup[#Headers]))="","",INDEX(Salary_Calculation[Basic Salary for Target],ROW()-ROW(Payslip_Lookup[#Headers])))</f>
        <v/>
      </c>
      <c r="T442" s="176" t="str">
        <f aca="false">IF(INDEX(Salary_Calculation[Source Row],ROW()-ROW(Payslip_Lookup[#Headers]))="","",INDEX(Salary_Calculation[Gross Salary Before Deductions],ROW()-ROW(Payslip_Lookup[#Headers])))</f>
        <v/>
      </c>
      <c r="U442" s="176" t="str">
        <f aca="false">IF(INDEX(Salary_Calculation[Source Row],ROW()-ROW(Payslip_Lookup[#Headers]))="","",INDEX(Salary_Calculation[missed_days_penalty],ROW()-ROW(Payslip_Lookup[#Headers])))</f>
        <v/>
      </c>
      <c r="V442" s="176" t="str">
        <f aca="false">IF(INDEX(Salary_Calculation[Source Row],ROW()-ROW(Payslip_Lookup[#Headers]))="","",INDEX(Salary_Calculation[Rider Balance],ROW()-ROW(Payslip_Lookup[#Headers])))</f>
        <v/>
      </c>
      <c r="W442" s="176" t="str">
        <f aca="false">IF(INDEX(Salary_Calculation[Source Row],ROW()-ROW(Payslip_Lookup[#Headers]))="","",INDEX(Salary_Calculation[stacking_deduction],ROW()-ROW(Payslip_Lookup[#Headers])))</f>
        <v/>
      </c>
      <c r="X442" s="176" t="str">
        <f aca="false">IF(INDEX(Salary_Calculation[Source Row],ROW()-ROW(Payslip_Lookup[#Headers]))="","",INDEX(Salary_Calculation[Other Deductions],ROW()-ROW(Payslip_Lookup[#Headers])))</f>
        <v/>
      </c>
      <c r="Y442" s="176" t="str">
        <f aca="false">IF(INDEX(Salary_Calculation[Source Row],ROW()-ROW(Payslip_Lookup[#Headers]))="","",INDEX(Salary_Calculation[Total Deductions],ROW()-ROW(Payslip_Lookup[#Headers])))</f>
        <v/>
      </c>
      <c r="Z442" s="176" t="str">
        <f aca="false">IF(INDEX(Salary_Calculation[Source Row],ROW()-ROW(Payslip_Lookup[#Headers]))="","",INDEX(Salary_Calculation[Final Salary],ROW()-ROW(Payslip_Lookup[#Headers])))</f>
        <v/>
      </c>
      <c r="AA442" s="176" t="str">
        <f aca="false">IF(INDEX(Salary_Calculation[Source Row],ROW()-ROW(Payslip_Lookup[#Headers]))="","",INDEX(Salary_Calculation[Negative Balance / Amount Due from Rider],ROW()-ROW(Payslip_Lookup[#Headers])))</f>
        <v/>
      </c>
      <c r="AB442" s="176" t="str">
        <f aca="false">IF(INDEX(Salary_Calculation[Source Row],ROW()-ROW(Payslip_Lookup[#Headers]))="","",INDEX(Salary_Calculation[Total Amount Due from Rider],ROW()-ROW(Payslip_Lookup[#Headers])))</f>
        <v/>
      </c>
      <c r="AC442" s="176" t="str">
        <f aca="false">IF(INDEX(Salary_Calculation[Source Row],ROW()-ROW(Payslip_Lookup[#Headers]))="","",INDEX(Salary_Calculation[Salary Before Other Deductions],ROW()-ROW(Payslip_Lookup[#Headers])))</f>
        <v/>
      </c>
      <c r="AD442" s="171" t="str">
        <f aca="false">IF(INDEX(Salary_Calculation[Source Row],ROW()-ROW(Payslip_Lookup[#Headers]))="","",INDEX(Salary_Calculation[Payment Status],ROW()-ROW(Payslip_Lookup[#Headers])))</f>
        <v/>
      </c>
      <c r="AE442" s="171" t="str">
        <f aca="false">IF(INDEX(Salary_Calculation[Source Row],ROW()-ROW(Payslip_Lookup[#Headers]))="","",INDEX(Salary_Calculation[Notes],ROW()-ROW(Payslip_Lookup[#Headers])))</f>
        <v/>
      </c>
      <c r="AF442" s="171" t="str">
        <f aca="false">IF(INDEX(Salary_Calculation[Source Row],ROW()-ROW(Payslip_Lookup[#Headers]))="","",INDEX(Salary_Calculation[Exception Reason],ROW()-ROW(Payslip_Lookup[#Headers])))</f>
        <v/>
      </c>
      <c r="AG442" s="173" t="str">
        <f aca="false">IF($AD442="Review Required",COUNTIF(AD$2:AD442,"Review Required"),"")</f>
        <v/>
      </c>
      <c r="AH442" s="173" t="str">
        <f aca="false">IF(AND($D442&lt;&gt;"",$B442=Payslip_Print!$C$2),MAX(AH$1:AH441)+1,"")</f>
        <v/>
      </c>
      <c r="AL442" s="178" t="str">
        <f aca="false">IFERROR(INDEX($D$2:$D$501,MATCH(ROW()-1,$AH$2:$AH$501,0)),"")</f>
        <v/>
      </c>
      <c r="AM442" s="179" t="str">
        <f aca="false">IF($Z442="","",IF(AND($C442&gt;=Dash_Start,$C442&lt;Dash_End),$Z442+ROW()/10000000,""))</f>
        <v/>
      </c>
    </row>
    <row r="443" customFormat="false" ht="14.25" hidden="false" customHeight="false" outlineLevel="0" collapsed="false">
      <c r="A443" s="171" t="str">
        <f aca="false">IF(Payslip_Lookup[[#This Row],[Rider ID]]="","",Payslip_Lookup[[#This Row],[Rider ID]]&amp;"|"&amp;Payslip_Lookup[[#This Row],[Month Key]])</f>
        <v/>
      </c>
      <c r="B443" s="172" t="str">
        <f aca="false">IF(ISNUMBER(Payslip_Lookup[[#This Row],[Salary Month]]),DATE(YEAR(Payslip_Lookup[[#This Row],[Salary Month]]),MONTH(Payslip_Lookup[[#This Row],[Salary Month]]),1),"")</f>
        <v/>
      </c>
      <c r="C443" s="172" t="str">
        <f aca="false">IF(INDEX(Salary_Calculation[Source Row],ROW()-ROW(Payslip_Lookup[#Headers]))="","",INDEX(Salary_Calculation[Salary Month],ROW()-ROW(Payslip_Lookup[#Headers])))</f>
        <v/>
      </c>
      <c r="D443" s="173" t="str">
        <f aca="false">IF(INDEX(Salary_Calculation[Source Row],ROW()-ROW(Payslip_Lookup[#Headers]))="","",INDEX(Salary_Calculation[Rider ID],ROW()-ROW(Payslip_Lookup[#Headers])))</f>
        <v/>
      </c>
      <c r="E443" s="171" t="str">
        <f aca="false">IF(INDEX(Salary_Calculation[Source Row],ROW()-ROW(Payslip_Lookup[#Headers]))="","",INDEX(Salary_Calculation[Rider Name],ROW()-ROW(Payslip_Lookup[#Headers])))</f>
        <v/>
      </c>
      <c r="F443" s="173" t="str">
        <f aca="false">IF(INDEX(Salary_Calculation[Source Row],ROW()-ROW(Payslip_Lookup[#Headers]))="","",INDEX(Salary_Calculation[Working Days],ROW()-ROW(Payslip_Lookup[#Headers])))</f>
        <v/>
      </c>
      <c r="G443" s="173" t="str">
        <f aca="false">IF(INDEX(Salary_Calculation[Source Row],ROW()-ROW(Payslip_Lookup[#Headers]))="","",INDEX(Salary_Calculation[Calendar Days],ROW()-ROW(Payslip_Lookup[#Headers])))</f>
        <v/>
      </c>
      <c r="H443" s="174" t="str">
        <f aca="false">IF(INDEX(Salary_Calculation[Source Row],ROW()-ROW(Payslip_Lookup[#Headers]))="","",INDEX(Salary_Calculation[Monthly Target Orders],ROW()-ROW(Payslip_Lookup[#Headers])))</f>
        <v/>
      </c>
      <c r="I443" s="174" t="str">
        <f aca="false">IF(INDEX(Salary_Calculation[Source Row],ROW()-ROW(Payslip_Lookup[#Headers]))="","",INDEX(Salary_Calculation[Rider Target Orders],ROW()-ROW(Payslip_Lookup[#Headers])))</f>
        <v/>
      </c>
      <c r="J443" s="175" t="str">
        <f aca="false">IF(INDEX(Salary_Calculation[Source Row],ROW()-ROW(Payslip_Lookup[#Headers]))="","",INDEX(Salary_Calculation[Completed Orders],ROW()-ROW(Payslip_Lookup[#Headers])))</f>
        <v/>
      </c>
      <c r="K443" s="174" t="str">
        <f aca="false">IF(INDEX(Salary_Calculation[Source Row],ROW()-ROW(Payslip_Lookup[#Headers]))="","",INDEX(Salary_Calculation[Base Order Rate],ROW()-ROW(Payslip_Lookup[#Headers])))</f>
        <v/>
      </c>
      <c r="L443" s="176" t="str">
        <f aca="false">IF(INDEX(Salary_Calculation[Source Row],ROW()-ROW(Payslip_Lookup[#Headers]))="","",INDEX(Salary_Calculation[Basic Payment],ROW()-ROW(Payslip_Lookup[#Headers])))</f>
        <v/>
      </c>
      <c r="M443" s="176" t="str">
        <f aca="false">IF(INDEX(Salary_Calculation[Source Row],ROW()-ROW(Payslip_Lookup[#Headers]))="","",INDEX(Salary_Calculation[Earned Salary],ROW()-ROW(Payslip_Lookup[#Headers])))</f>
        <v/>
      </c>
      <c r="N443" s="174" t="str">
        <f aca="false">IF(INDEX(Salary_Calculation[Source Row],ROW()-ROW(Payslip_Lookup[#Headers]))="","",INDEX(Salary_Calculation[Orders Counted at Base Rate],ROW()-ROW(Payslip_Lookup[#Headers])))</f>
        <v/>
      </c>
      <c r="O443" s="174" t="str">
        <f aca="false">IF(INDEX(Salary_Calculation[Source Row],ROW()-ROW(Payslip_Lookup[#Headers]))="","",INDEX(Salary_Calculation[Missing Orders],ROW()-ROW(Payslip_Lookup[#Headers])))</f>
        <v/>
      </c>
      <c r="P443" s="176" t="str">
        <f aca="false">IF(INDEX(Salary_Calculation[Source Row],ROW()-ROW(Payslip_Lookup[#Headers]))="","",INDEX(Salary_Calculation[Missing-Order Deduction],ROW()-ROW(Payslip_Lookup[#Headers])))</f>
        <v/>
      </c>
      <c r="Q443" s="174" t="str">
        <f aca="false">IF(INDEX(Salary_Calculation[Source Row],ROW()-ROW(Payslip_Lookup[#Headers]))="","",INDEX(Salary_Calculation[Extra Orders],ROW()-ROW(Payslip_Lookup[#Headers])))</f>
        <v/>
      </c>
      <c r="R443" s="176" t="str">
        <f aca="false">IF(INDEX(Salary_Calculation[Source Row],ROW()-ROW(Payslip_Lookup[#Headers]))="","",INDEX(Salary_Calculation[Extra-Order Bonus],ROW()-ROW(Payslip_Lookup[#Headers])))</f>
        <v/>
      </c>
      <c r="S443" s="176" t="str">
        <f aca="false">IF(INDEX(Salary_Calculation[Source Row],ROW()-ROW(Payslip_Lookup[#Headers]))="","",INDEX(Salary_Calculation[Basic Salary for Target],ROW()-ROW(Payslip_Lookup[#Headers])))</f>
        <v/>
      </c>
      <c r="T443" s="176" t="str">
        <f aca="false">IF(INDEX(Salary_Calculation[Source Row],ROW()-ROW(Payslip_Lookup[#Headers]))="","",INDEX(Salary_Calculation[Gross Salary Before Deductions],ROW()-ROW(Payslip_Lookup[#Headers])))</f>
        <v/>
      </c>
      <c r="U443" s="176" t="str">
        <f aca="false">IF(INDEX(Salary_Calculation[Source Row],ROW()-ROW(Payslip_Lookup[#Headers]))="","",INDEX(Salary_Calculation[missed_days_penalty],ROW()-ROW(Payslip_Lookup[#Headers])))</f>
        <v/>
      </c>
      <c r="V443" s="176" t="str">
        <f aca="false">IF(INDEX(Salary_Calculation[Source Row],ROW()-ROW(Payslip_Lookup[#Headers]))="","",INDEX(Salary_Calculation[Rider Balance],ROW()-ROW(Payslip_Lookup[#Headers])))</f>
        <v/>
      </c>
      <c r="W443" s="176" t="str">
        <f aca="false">IF(INDEX(Salary_Calculation[Source Row],ROW()-ROW(Payslip_Lookup[#Headers]))="","",INDEX(Salary_Calculation[stacking_deduction],ROW()-ROW(Payslip_Lookup[#Headers])))</f>
        <v/>
      </c>
      <c r="X443" s="176" t="str">
        <f aca="false">IF(INDEX(Salary_Calculation[Source Row],ROW()-ROW(Payslip_Lookup[#Headers]))="","",INDEX(Salary_Calculation[Other Deductions],ROW()-ROW(Payslip_Lookup[#Headers])))</f>
        <v/>
      </c>
      <c r="Y443" s="176" t="str">
        <f aca="false">IF(INDEX(Salary_Calculation[Source Row],ROW()-ROW(Payslip_Lookup[#Headers]))="","",INDEX(Salary_Calculation[Total Deductions],ROW()-ROW(Payslip_Lookup[#Headers])))</f>
        <v/>
      </c>
      <c r="Z443" s="176" t="str">
        <f aca="false">IF(INDEX(Salary_Calculation[Source Row],ROW()-ROW(Payslip_Lookup[#Headers]))="","",INDEX(Salary_Calculation[Final Salary],ROW()-ROW(Payslip_Lookup[#Headers])))</f>
        <v/>
      </c>
      <c r="AA443" s="176" t="str">
        <f aca="false">IF(INDEX(Salary_Calculation[Source Row],ROW()-ROW(Payslip_Lookup[#Headers]))="","",INDEX(Salary_Calculation[Negative Balance / Amount Due from Rider],ROW()-ROW(Payslip_Lookup[#Headers])))</f>
        <v/>
      </c>
      <c r="AB443" s="176" t="str">
        <f aca="false">IF(INDEX(Salary_Calculation[Source Row],ROW()-ROW(Payslip_Lookup[#Headers]))="","",INDEX(Salary_Calculation[Total Amount Due from Rider],ROW()-ROW(Payslip_Lookup[#Headers])))</f>
        <v/>
      </c>
      <c r="AC443" s="176" t="str">
        <f aca="false">IF(INDEX(Salary_Calculation[Source Row],ROW()-ROW(Payslip_Lookup[#Headers]))="","",INDEX(Salary_Calculation[Salary Before Other Deductions],ROW()-ROW(Payslip_Lookup[#Headers])))</f>
        <v/>
      </c>
      <c r="AD443" s="171" t="str">
        <f aca="false">IF(INDEX(Salary_Calculation[Source Row],ROW()-ROW(Payslip_Lookup[#Headers]))="","",INDEX(Salary_Calculation[Payment Status],ROW()-ROW(Payslip_Lookup[#Headers])))</f>
        <v/>
      </c>
      <c r="AE443" s="171" t="str">
        <f aca="false">IF(INDEX(Salary_Calculation[Source Row],ROW()-ROW(Payslip_Lookup[#Headers]))="","",INDEX(Salary_Calculation[Notes],ROW()-ROW(Payslip_Lookup[#Headers])))</f>
        <v/>
      </c>
      <c r="AF443" s="171" t="str">
        <f aca="false">IF(INDEX(Salary_Calculation[Source Row],ROW()-ROW(Payslip_Lookup[#Headers]))="","",INDEX(Salary_Calculation[Exception Reason],ROW()-ROW(Payslip_Lookup[#Headers])))</f>
        <v/>
      </c>
      <c r="AG443" s="173" t="str">
        <f aca="false">IF($AD443="Review Required",COUNTIF(AD$2:AD443,"Review Required"),"")</f>
        <v/>
      </c>
      <c r="AH443" s="173" t="str">
        <f aca="false">IF(AND($D443&lt;&gt;"",$B443=Payslip_Print!$C$2),MAX(AH$1:AH442)+1,"")</f>
        <v/>
      </c>
      <c r="AL443" s="178" t="str">
        <f aca="false">IFERROR(INDEX($D$2:$D$501,MATCH(ROW()-1,$AH$2:$AH$501,0)),"")</f>
        <v/>
      </c>
      <c r="AM443" s="179" t="str">
        <f aca="false">IF($Z443="","",IF(AND($C443&gt;=Dash_Start,$C443&lt;Dash_End),$Z443+ROW()/10000000,""))</f>
        <v/>
      </c>
    </row>
    <row r="444" customFormat="false" ht="14.25" hidden="false" customHeight="false" outlineLevel="0" collapsed="false">
      <c r="A444" s="171" t="str">
        <f aca="false">IF(Payslip_Lookup[[#This Row],[Rider ID]]="","",Payslip_Lookup[[#This Row],[Rider ID]]&amp;"|"&amp;Payslip_Lookup[[#This Row],[Month Key]])</f>
        <v/>
      </c>
      <c r="B444" s="172" t="str">
        <f aca="false">IF(ISNUMBER(Payslip_Lookup[[#This Row],[Salary Month]]),DATE(YEAR(Payslip_Lookup[[#This Row],[Salary Month]]),MONTH(Payslip_Lookup[[#This Row],[Salary Month]]),1),"")</f>
        <v/>
      </c>
      <c r="C444" s="172" t="str">
        <f aca="false">IF(INDEX(Salary_Calculation[Source Row],ROW()-ROW(Payslip_Lookup[#Headers]))="","",INDEX(Salary_Calculation[Salary Month],ROW()-ROW(Payslip_Lookup[#Headers])))</f>
        <v/>
      </c>
      <c r="D444" s="173" t="str">
        <f aca="false">IF(INDEX(Salary_Calculation[Source Row],ROW()-ROW(Payslip_Lookup[#Headers]))="","",INDEX(Salary_Calculation[Rider ID],ROW()-ROW(Payslip_Lookup[#Headers])))</f>
        <v/>
      </c>
      <c r="E444" s="171" t="str">
        <f aca="false">IF(INDEX(Salary_Calculation[Source Row],ROW()-ROW(Payslip_Lookup[#Headers]))="","",INDEX(Salary_Calculation[Rider Name],ROW()-ROW(Payslip_Lookup[#Headers])))</f>
        <v/>
      </c>
      <c r="F444" s="173" t="str">
        <f aca="false">IF(INDEX(Salary_Calculation[Source Row],ROW()-ROW(Payslip_Lookup[#Headers]))="","",INDEX(Salary_Calculation[Working Days],ROW()-ROW(Payslip_Lookup[#Headers])))</f>
        <v/>
      </c>
      <c r="G444" s="173" t="str">
        <f aca="false">IF(INDEX(Salary_Calculation[Source Row],ROW()-ROW(Payslip_Lookup[#Headers]))="","",INDEX(Salary_Calculation[Calendar Days],ROW()-ROW(Payslip_Lookup[#Headers])))</f>
        <v/>
      </c>
      <c r="H444" s="174" t="str">
        <f aca="false">IF(INDEX(Salary_Calculation[Source Row],ROW()-ROW(Payslip_Lookup[#Headers]))="","",INDEX(Salary_Calculation[Monthly Target Orders],ROW()-ROW(Payslip_Lookup[#Headers])))</f>
        <v/>
      </c>
      <c r="I444" s="174" t="str">
        <f aca="false">IF(INDEX(Salary_Calculation[Source Row],ROW()-ROW(Payslip_Lookup[#Headers]))="","",INDEX(Salary_Calculation[Rider Target Orders],ROW()-ROW(Payslip_Lookup[#Headers])))</f>
        <v/>
      </c>
      <c r="J444" s="175" t="str">
        <f aca="false">IF(INDEX(Salary_Calculation[Source Row],ROW()-ROW(Payslip_Lookup[#Headers]))="","",INDEX(Salary_Calculation[Completed Orders],ROW()-ROW(Payslip_Lookup[#Headers])))</f>
        <v/>
      </c>
      <c r="K444" s="174" t="str">
        <f aca="false">IF(INDEX(Salary_Calculation[Source Row],ROW()-ROW(Payslip_Lookup[#Headers]))="","",INDEX(Salary_Calculation[Base Order Rate],ROW()-ROW(Payslip_Lookup[#Headers])))</f>
        <v/>
      </c>
      <c r="L444" s="176" t="str">
        <f aca="false">IF(INDEX(Salary_Calculation[Source Row],ROW()-ROW(Payslip_Lookup[#Headers]))="","",INDEX(Salary_Calculation[Basic Payment],ROW()-ROW(Payslip_Lookup[#Headers])))</f>
        <v/>
      </c>
      <c r="M444" s="176" t="str">
        <f aca="false">IF(INDEX(Salary_Calculation[Source Row],ROW()-ROW(Payslip_Lookup[#Headers]))="","",INDEX(Salary_Calculation[Earned Salary],ROW()-ROW(Payslip_Lookup[#Headers])))</f>
        <v/>
      </c>
      <c r="N444" s="174" t="str">
        <f aca="false">IF(INDEX(Salary_Calculation[Source Row],ROW()-ROW(Payslip_Lookup[#Headers]))="","",INDEX(Salary_Calculation[Orders Counted at Base Rate],ROW()-ROW(Payslip_Lookup[#Headers])))</f>
        <v/>
      </c>
      <c r="O444" s="174" t="str">
        <f aca="false">IF(INDEX(Salary_Calculation[Source Row],ROW()-ROW(Payslip_Lookup[#Headers]))="","",INDEX(Salary_Calculation[Missing Orders],ROW()-ROW(Payslip_Lookup[#Headers])))</f>
        <v/>
      </c>
      <c r="P444" s="176" t="str">
        <f aca="false">IF(INDEX(Salary_Calculation[Source Row],ROW()-ROW(Payslip_Lookup[#Headers]))="","",INDEX(Salary_Calculation[Missing-Order Deduction],ROW()-ROW(Payslip_Lookup[#Headers])))</f>
        <v/>
      </c>
      <c r="Q444" s="174" t="str">
        <f aca="false">IF(INDEX(Salary_Calculation[Source Row],ROW()-ROW(Payslip_Lookup[#Headers]))="","",INDEX(Salary_Calculation[Extra Orders],ROW()-ROW(Payslip_Lookup[#Headers])))</f>
        <v/>
      </c>
      <c r="R444" s="176" t="str">
        <f aca="false">IF(INDEX(Salary_Calculation[Source Row],ROW()-ROW(Payslip_Lookup[#Headers]))="","",INDEX(Salary_Calculation[Extra-Order Bonus],ROW()-ROW(Payslip_Lookup[#Headers])))</f>
        <v/>
      </c>
      <c r="S444" s="176" t="str">
        <f aca="false">IF(INDEX(Salary_Calculation[Source Row],ROW()-ROW(Payslip_Lookup[#Headers]))="","",INDEX(Salary_Calculation[Basic Salary for Target],ROW()-ROW(Payslip_Lookup[#Headers])))</f>
        <v/>
      </c>
      <c r="T444" s="176" t="str">
        <f aca="false">IF(INDEX(Salary_Calculation[Source Row],ROW()-ROW(Payslip_Lookup[#Headers]))="","",INDEX(Salary_Calculation[Gross Salary Before Deductions],ROW()-ROW(Payslip_Lookup[#Headers])))</f>
        <v/>
      </c>
      <c r="U444" s="176" t="str">
        <f aca="false">IF(INDEX(Salary_Calculation[Source Row],ROW()-ROW(Payslip_Lookup[#Headers]))="","",INDEX(Salary_Calculation[missed_days_penalty],ROW()-ROW(Payslip_Lookup[#Headers])))</f>
        <v/>
      </c>
      <c r="V444" s="176" t="str">
        <f aca="false">IF(INDEX(Salary_Calculation[Source Row],ROW()-ROW(Payslip_Lookup[#Headers]))="","",INDEX(Salary_Calculation[Rider Balance],ROW()-ROW(Payslip_Lookup[#Headers])))</f>
        <v/>
      </c>
      <c r="W444" s="176" t="str">
        <f aca="false">IF(INDEX(Salary_Calculation[Source Row],ROW()-ROW(Payslip_Lookup[#Headers]))="","",INDEX(Salary_Calculation[stacking_deduction],ROW()-ROW(Payslip_Lookup[#Headers])))</f>
        <v/>
      </c>
      <c r="X444" s="176" t="str">
        <f aca="false">IF(INDEX(Salary_Calculation[Source Row],ROW()-ROW(Payslip_Lookup[#Headers]))="","",INDEX(Salary_Calculation[Other Deductions],ROW()-ROW(Payslip_Lookup[#Headers])))</f>
        <v/>
      </c>
      <c r="Y444" s="176" t="str">
        <f aca="false">IF(INDEX(Salary_Calculation[Source Row],ROW()-ROW(Payslip_Lookup[#Headers]))="","",INDEX(Salary_Calculation[Total Deductions],ROW()-ROW(Payslip_Lookup[#Headers])))</f>
        <v/>
      </c>
      <c r="Z444" s="176" t="str">
        <f aca="false">IF(INDEX(Salary_Calculation[Source Row],ROW()-ROW(Payslip_Lookup[#Headers]))="","",INDEX(Salary_Calculation[Final Salary],ROW()-ROW(Payslip_Lookup[#Headers])))</f>
        <v/>
      </c>
      <c r="AA444" s="176" t="str">
        <f aca="false">IF(INDEX(Salary_Calculation[Source Row],ROW()-ROW(Payslip_Lookup[#Headers]))="","",INDEX(Salary_Calculation[Negative Balance / Amount Due from Rider],ROW()-ROW(Payslip_Lookup[#Headers])))</f>
        <v/>
      </c>
      <c r="AB444" s="176" t="str">
        <f aca="false">IF(INDEX(Salary_Calculation[Source Row],ROW()-ROW(Payslip_Lookup[#Headers]))="","",INDEX(Salary_Calculation[Total Amount Due from Rider],ROW()-ROW(Payslip_Lookup[#Headers])))</f>
        <v/>
      </c>
      <c r="AC444" s="176" t="str">
        <f aca="false">IF(INDEX(Salary_Calculation[Source Row],ROW()-ROW(Payslip_Lookup[#Headers]))="","",INDEX(Salary_Calculation[Salary Before Other Deductions],ROW()-ROW(Payslip_Lookup[#Headers])))</f>
        <v/>
      </c>
      <c r="AD444" s="171" t="str">
        <f aca="false">IF(INDEX(Salary_Calculation[Source Row],ROW()-ROW(Payslip_Lookup[#Headers]))="","",INDEX(Salary_Calculation[Payment Status],ROW()-ROW(Payslip_Lookup[#Headers])))</f>
        <v/>
      </c>
      <c r="AE444" s="171" t="str">
        <f aca="false">IF(INDEX(Salary_Calculation[Source Row],ROW()-ROW(Payslip_Lookup[#Headers]))="","",INDEX(Salary_Calculation[Notes],ROW()-ROW(Payslip_Lookup[#Headers])))</f>
        <v/>
      </c>
      <c r="AF444" s="171" t="str">
        <f aca="false">IF(INDEX(Salary_Calculation[Source Row],ROW()-ROW(Payslip_Lookup[#Headers]))="","",INDEX(Salary_Calculation[Exception Reason],ROW()-ROW(Payslip_Lookup[#Headers])))</f>
        <v/>
      </c>
      <c r="AG444" s="173" t="str">
        <f aca="false">IF($AD444="Review Required",COUNTIF(AD$2:AD444,"Review Required"),"")</f>
        <v/>
      </c>
      <c r="AH444" s="173" t="str">
        <f aca="false">IF(AND($D444&lt;&gt;"",$B444=Payslip_Print!$C$2),MAX(AH$1:AH443)+1,"")</f>
        <v/>
      </c>
      <c r="AL444" s="178" t="str">
        <f aca="false">IFERROR(INDEX($D$2:$D$501,MATCH(ROW()-1,$AH$2:$AH$501,0)),"")</f>
        <v/>
      </c>
      <c r="AM444" s="179" t="str">
        <f aca="false">IF($Z444="","",IF(AND($C444&gt;=Dash_Start,$C444&lt;Dash_End),$Z444+ROW()/10000000,""))</f>
        <v/>
      </c>
    </row>
    <row r="445" customFormat="false" ht="14.25" hidden="false" customHeight="false" outlineLevel="0" collapsed="false">
      <c r="A445" s="171" t="str">
        <f aca="false">IF(Payslip_Lookup[[#This Row],[Rider ID]]="","",Payslip_Lookup[[#This Row],[Rider ID]]&amp;"|"&amp;Payslip_Lookup[[#This Row],[Month Key]])</f>
        <v/>
      </c>
      <c r="B445" s="172" t="str">
        <f aca="false">IF(ISNUMBER(Payslip_Lookup[[#This Row],[Salary Month]]),DATE(YEAR(Payslip_Lookup[[#This Row],[Salary Month]]),MONTH(Payslip_Lookup[[#This Row],[Salary Month]]),1),"")</f>
        <v/>
      </c>
      <c r="C445" s="172" t="str">
        <f aca="false">IF(INDEX(Salary_Calculation[Source Row],ROW()-ROW(Payslip_Lookup[#Headers]))="","",INDEX(Salary_Calculation[Salary Month],ROW()-ROW(Payslip_Lookup[#Headers])))</f>
        <v/>
      </c>
      <c r="D445" s="173" t="str">
        <f aca="false">IF(INDEX(Salary_Calculation[Source Row],ROW()-ROW(Payslip_Lookup[#Headers]))="","",INDEX(Salary_Calculation[Rider ID],ROW()-ROW(Payslip_Lookup[#Headers])))</f>
        <v/>
      </c>
      <c r="E445" s="171" t="str">
        <f aca="false">IF(INDEX(Salary_Calculation[Source Row],ROW()-ROW(Payslip_Lookup[#Headers]))="","",INDEX(Salary_Calculation[Rider Name],ROW()-ROW(Payslip_Lookup[#Headers])))</f>
        <v/>
      </c>
      <c r="F445" s="173" t="str">
        <f aca="false">IF(INDEX(Salary_Calculation[Source Row],ROW()-ROW(Payslip_Lookup[#Headers]))="","",INDEX(Salary_Calculation[Working Days],ROW()-ROW(Payslip_Lookup[#Headers])))</f>
        <v/>
      </c>
      <c r="G445" s="173" t="str">
        <f aca="false">IF(INDEX(Salary_Calculation[Source Row],ROW()-ROW(Payslip_Lookup[#Headers]))="","",INDEX(Salary_Calculation[Calendar Days],ROW()-ROW(Payslip_Lookup[#Headers])))</f>
        <v/>
      </c>
      <c r="H445" s="174" t="str">
        <f aca="false">IF(INDEX(Salary_Calculation[Source Row],ROW()-ROW(Payslip_Lookup[#Headers]))="","",INDEX(Salary_Calculation[Monthly Target Orders],ROW()-ROW(Payslip_Lookup[#Headers])))</f>
        <v/>
      </c>
      <c r="I445" s="174" t="str">
        <f aca="false">IF(INDEX(Salary_Calculation[Source Row],ROW()-ROW(Payslip_Lookup[#Headers]))="","",INDEX(Salary_Calculation[Rider Target Orders],ROW()-ROW(Payslip_Lookup[#Headers])))</f>
        <v/>
      </c>
      <c r="J445" s="175" t="str">
        <f aca="false">IF(INDEX(Salary_Calculation[Source Row],ROW()-ROW(Payslip_Lookup[#Headers]))="","",INDEX(Salary_Calculation[Completed Orders],ROW()-ROW(Payslip_Lookup[#Headers])))</f>
        <v/>
      </c>
      <c r="K445" s="174" t="str">
        <f aca="false">IF(INDEX(Salary_Calculation[Source Row],ROW()-ROW(Payslip_Lookup[#Headers]))="","",INDEX(Salary_Calculation[Base Order Rate],ROW()-ROW(Payslip_Lookup[#Headers])))</f>
        <v/>
      </c>
      <c r="L445" s="176" t="str">
        <f aca="false">IF(INDEX(Salary_Calculation[Source Row],ROW()-ROW(Payslip_Lookup[#Headers]))="","",INDEX(Salary_Calculation[Basic Payment],ROW()-ROW(Payslip_Lookup[#Headers])))</f>
        <v/>
      </c>
      <c r="M445" s="176" t="str">
        <f aca="false">IF(INDEX(Salary_Calculation[Source Row],ROW()-ROW(Payslip_Lookup[#Headers]))="","",INDEX(Salary_Calculation[Earned Salary],ROW()-ROW(Payslip_Lookup[#Headers])))</f>
        <v/>
      </c>
      <c r="N445" s="174" t="str">
        <f aca="false">IF(INDEX(Salary_Calculation[Source Row],ROW()-ROW(Payslip_Lookup[#Headers]))="","",INDEX(Salary_Calculation[Orders Counted at Base Rate],ROW()-ROW(Payslip_Lookup[#Headers])))</f>
        <v/>
      </c>
      <c r="O445" s="174" t="str">
        <f aca="false">IF(INDEX(Salary_Calculation[Source Row],ROW()-ROW(Payslip_Lookup[#Headers]))="","",INDEX(Salary_Calculation[Missing Orders],ROW()-ROW(Payslip_Lookup[#Headers])))</f>
        <v/>
      </c>
      <c r="P445" s="176" t="str">
        <f aca="false">IF(INDEX(Salary_Calculation[Source Row],ROW()-ROW(Payslip_Lookup[#Headers]))="","",INDEX(Salary_Calculation[Missing-Order Deduction],ROW()-ROW(Payslip_Lookup[#Headers])))</f>
        <v/>
      </c>
      <c r="Q445" s="174" t="str">
        <f aca="false">IF(INDEX(Salary_Calculation[Source Row],ROW()-ROW(Payslip_Lookup[#Headers]))="","",INDEX(Salary_Calculation[Extra Orders],ROW()-ROW(Payslip_Lookup[#Headers])))</f>
        <v/>
      </c>
      <c r="R445" s="176" t="str">
        <f aca="false">IF(INDEX(Salary_Calculation[Source Row],ROW()-ROW(Payslip_Lookup[#Headers]))="","",INDEX(Salary_Calculation[Extra-Order Bonus],ROW()-ROW(Payslip_Lookup[#Headers])))</f>
        <v/>
      </c>
      <c r="S445" s="176" t="str">
        <f aca="false">IF(INDEX(Salary_Calculation[Source Row],ROW()-ROW(Payslip_Lookup[#Headers]))="","",INDEX(Salary_Calculation[Basic Salary for Target],ROW()-ROW(Payslip_Lookup[#Headers])))</f>
        <v/>
      </c>
      <c r="T445" s="176" t="str">
        <f aca="false">IF(INDEX(Salary_Calculation[Source Row],ROW()-ROW(Payslip_Lookup[#Headers]))="","",INDEX(Salary_Calculation[Gross Salary Before Deductions],ROW()-ROW(Payslip_Lookup[#Headers])))</f>
        <v/>
      </c>
      <c r="U445" s="176" t="str">
        <f aca="false">IF(INDEX(Salary_Calculation[Source Row],ROW()-ROW(Payslip_Lookup[#Headers]))="","",INDEX(Salary_Calculation[missed_days_penalty],ROW()-ROW(Payslip_Lookup[#Headers])))</f>
        <v/>
      </c>
      <c r="V445" s="176" t="str">
        <f aca="false">IF(INDEX(Salary_Calculation[Source Row],ROW()-ROW(Payslip_Lookup[#Headers]))="","",INDEX(Salary_Calculation[Rider Balance],ROW()-ROW(Payslip_Lookup[#Headers])))</f>
        <v/>
      </c>
      <c r="W445" s="176" t="str">
        <f aca="false">IF(INDEX(Salary_Calculation[Source Row],ROW()-ROW(Payslip_Lookup[#Headers]))="","",INDEX(Salary_Calculation[stacking_deduction],ROW()-ROW(Payslip_Lookup[#Headers])))</f>
        <v/>
      </c>
      <c r="X445" s="176" t="str">
        <f aca="false">IF(INDEX(Salary_Calculation[Source Row],ROW()-ROW(Payslip_Lookup[#Headers]))="","",INDEX(Salary_Calculation[Other Deductions],ROW()-ROW(Payslip_Lookup[#Headers])))</f>
        <v/>
      </c>
      <c r="Y445" s="176" t="str">
        <f aca="false">IF(INDEX(Salary_Calculation[Source Row],ROW()-ROW(Payslip_Lookup[#Headers]))="","",INDEX(Salary_Calculation[Total Deductions],ROW()-ROW(Payslip_Lookup[#Headers])))</f>
        <v/>
      </c>
      <c r="Z445" s="176" t="str">
        <f aca="false">IF(INDEX(Salary_Calculation[Source Row],ROW()-ROW(Payslip_Lookup[#Headers]))="","",INDEX(Salary_Calculation[Final Salary],ROW()-ROW(Payslip_Lookup[#Headers])))</f>
        <v/>
      </c>
      <c r="AA445" s="176" t="str">
        <f aca="false">IF(INDEX(Salary_Calculation[Source Row],ROW()-ROW(Payslip_Lookup[#Headers]))="","",INDEX(Salary_Calculation[Negative Balance / Amount Due from Rider],ROW()-ROW(Payslip_Lookup[#Headers])))</f>
        <v/>
      </c>
      <c r="AB445" s="176" t="str">
        <f aca="false">IF(INDEX(Salary_Calculation[Source Row],ROW()-ROW(Payslip_Lookup[#Headers]))="","",INDEX(Salary_Calculation[Total Amount Due from Rider],ROW()-ROW(Payslip_Lookup[#Headers])))</f>
        <v/>
      </c>
      <c r="AC445" s="176" t="str">
        <f aca="false">IF(INDEX(Salary_Calculation[Source Row],ROW()-ROW(Payslip_Lookup[#Headers]))="","",INDEX(Salary_Calculation[Salary Before Other Deductions],ROW()-ROW(Payslip_Lookup[#Headers])))</f>
        <v/>
      </c>
      <c r="AD445" s="171" t="str">
        <f aca="false">IF(INDEX(Salary_Calculation[Source Row],ROW()-ROW(Payslip_Lookup[#Headers]))="","",INDEX(Salary_Calculation[Payment Status],ROW()-ROW(Payslip_Lookup[#Headers])))</f>
        <v/>
      </c>
      <c r="AE445" s="171" t="str">
        <f aca="false">IF(INDEX(Salary_Calculation[Source Row],ROW()-ROW(Payslip_Lookup[#Headers]))="","",INDEX(Salary_Calculation[Notes],ROW()-ROW(Payslip_Lookup[#Headers])))</f>
        <v/>
      </c>
      <c r="AF445" s="171" t="str">
        <f aca="false">IF(INDEX(Salary_Calculation[Source Row],ROW()-ROW(Payslip_Lookup[#Headers]))="","",INDEX(Salary_Calculation[Exception Reason],ROW()-ROW(Payslip_Lookup[#Headers])))</f>
        <v/>
      </c>
      <c r="AG445" s="173" t="str">
        <f aca="false">IF($AD445="Review Required",COUNTIF(AD$2:AD445,"Review Required"),"")</f>
        <v/>
      </c>
      <c r="AH445" s="173" t="str">
        <f aca="false">IF(AND($D445&lt;&gt;"",$B445=Payslip_Print!$C$2),MAX(AH$1:AH444)+1,"")</f>
        <v/>
      </c>
      <c r="AL445" s="178" t="str">
        <f aca="false">IFERROR(INDEX($D$2:$D$501,MATCH(ROW()-1,$AH$2:$AH$501,0)),"")</f>
        <v/>
      </c>
      <c r="AM445" s="179" t="str">
        <f aca="false">IF($Z445="","",IF(AND($C445&gt;=Dash_Start,$C445&lt;Dash_End),$Z445+ROW()/10000000,""))</f>
        <v/>
      </c>
    </row>
    <row r="446" customFormat="false" ht="14.25" hidden="false" customHeight="false" outlineLevel="0" collapsed="false">
      <c r="A446" s="171" t="str">
        <f aca="false">IF(Payslip_Lookup[[#This Row],[Rider ID]]="","",Payslip_Lookup[[#This Row],[Rider ID]]&amp;"|"&amp;Payslip_Lookup[[#This Row],[Month Key]])</f>
        <v/>
      </c>
      <c r="B446" s="172" t="str">
        <f aca="false">IF(ISNUMBER(Payslip_Lookup[[#This Row],[Salary Month]]),DATE(YEAR(Payslip_Lookup[[#This Row],[Salary Month]]),MONTH(Payslip_Lookup[[#This Row],[Salary Month]]),1),"")</f>
        <v/>
      </c>
      <c r="C446" s="172" t="str">
        <f aca="false">IF(INDEX(Salary_Calculation[Source Row],ROW()-ROW(Payslip_Lookup[#Headers]))="","",INDEX(Salary_Calculation[Salary Month],ROW()-ROW(Payslip_Lookup[#Headers])))</f>
        <v/>
      </c>
      <c r="D446" s="173" t="str">
        <f aca="false">IF(INDEX(Salary_Calculation[Source Row],ROW()-ROW(Payslip_Lookup[#Headers]))="","",INDEX(Salary_Calculation[Rider ID],ROW()-ROW(Payslip_Lookup[#Headers])))</f>
        <v/>
      </c>
      <c r="E446" s="171" t="str">
        <f aca="false">IF(INDEX(Salary_Calculation[Source Row],ROW()-ROW(Payslip_Lookup[#Headers]))="","",INDEX(Salary_Calculation[Rider Name],ROW()-ROW(Payslip_Lookup[#Headers])))</f>
        <v/>
      </c>
      <c r="F446" s="173" t="str">
        <f aca="false">IF(INDEX(Salary_Calculation[Source Row],ROW()-ROW(Payslip_Lookup[#Headers]))="","",INDEX(Salary_Calculation[Working Days],ROW()-ROW(Payslip_Lookup[#Headers])))</f>
        <v/>
      </c>
      <c r="G446" s="173" t="str">
        <f aca="false">IF(INDEX(Salary_Calculation[Source Row],ROW()-ROW(Payslip_Lookup[#Headers]))="","",INDEX(Salary_Calculation[Calendar Days],ROW()-ROW(Payslip_Lookup[#Headers])))</f>
        <v/>
      </c>
      <c r="H446" s="174" t="str">
        <f aca="false">IF(INDEX(Salary_Calculation[Source Row],ROW()-ROW(Payslip_Lookup[#Headers]))="","",INDEX(Salary_Calculation[Monthly Target Orders],ROW()-ROW(Payslip_Lookup[#Headers])))</f>
        <v/>
      </c>
      <c r="I446" s="174" t="str">
        <f aca="false">IF(INDEX(Salary_Calculation[Source Row],ROW()-ROW(Payslip_Lookup[#Headers]))="","",INDEX(Salary_Calculation[Rider Target Orders],ROW()-ROW(Payslip_Lookup[#Headers])))</f>
        <v/>
      </c>
      <c r="J446" s="175" t="str">
        <f aca="false">IF(INDEX(Salary_Calculation[Source Row],ROW()-ROW(Payslip_Lookup[#Headers]))="","",INDEX(Salary_Calculation[Completed Orders],ROW()-ROW(Payslip_Lookup[#Headers])))</f>
        <v/>
      </c>
      <c r="K446" s="174" t="str">
        <f aca="false">IF(INDEX(Salary_Calculation[Source Row],ROW()-ROW(Payslip_Lookup[#Headers]))="","",INDEX(Salary_Calculation[Base Order Rate],ROW()-ROW(Payslip_Lookup[#Headers])))</f>
        <v/>
      </c>
      <c r="L446" s="176" t="str">
        <f aca="false">IF(INDEX(Salary_Calculation[Source Row],ROW()-ROW(Payslip_Lookup[#Headers]))="","",INDEX(Salary_Calculation[Basic Payment],ROW()-ROW(Payslip_Lookup[#Headers])))</f>
        <v/>
      </c>
      <c r="M446" s="176" t="str">
        <f aca="false">IF(INDEX(Salary_Calculation[Source Row],ROW()-ROW(Payslip_Lookup[#Headers]))="","",INDEX(Salary_Calculation[Earned Salary],ROW()-ROW(Payslip_Lookup[#Headers])))</f>
        <v/>
      </c>
      <c r="N446" s="174" t="str">
        <f aca="false">IF(INDEX(Salary_Calculation[Source Row],ROW()-ROW(Payslip_Lookup[#Headers]))="","",INDEX(Salary_Calculation[Orders Counted at Base Rate],ROW()-ROW(Payslip_Lookup[#Headers])))</f>
        <v/>
      </c>
      <c r="O446" s="174" t="str">
        <f aca="false">IF(INDEX(Salary_Calculation[Source Row],ROW()-ROW(Payslip_Lookup[#Headers]))="","",INDEX(Salary_Calculation[Missing Orders],ROW()-ROW(Payslip_Lookup[#Headers])))</f>
        <v/>
      </c>
      <c r="P446" s="176" t="str">
        <f aca="false">IF(INDEX(Salary_Calculation[Source Row],ROW()-ROW(Payslip_Lookup[#Headers]))="","",INDEX(Salary_Calculation[Missing-Order Deduction],ROW()-ROW(Payslip_Lookup[#Headers])))</f>
        <v/>
      </c>
      <c r="Q446" s="174" t="str">
        <f aca="false">IF(INDEX(Salary_Calculation[Source Row],ROW()-ROW(Payslip_Lookup[#Headers]))="","",INDEX(Salary_Calculation[Extra Orders],ROW()-ROW(Payslip_Lookup[#Headers])))</f>
        <v/>
      </c>
      <c r="R446" s="176" t="str">
        <f aca="false">IF(INDEX(Salary_Calculation[Source Row],ROW()-ROW(Payslip_Lookup[#Headers]))="","",INDEX(Salary_Calculation[Extra-Order Bonus],ROW()-ROW(Payslip_Lookup[#Headers])))</f>
        <v/>
      </c>
      <c r="S446" s="176" t="str">
        <f aca="false">IF(INDEX(Salary_Calculation[Source Row],ROW()-ROW(Payslip_Lookup[#Headers]))="","",INDEX(Salary_Calculation[Basic Salary for Target],ROW()-ROW(Payslip_Lookup[#Headers])))</f>
        <v/>
      </c>
      <c r="T446" s="176" t="str">
        <f aca="false">IF(INDEX(Salary_Calculation[Source Row],ROW()-ROW(Payslip_Lookup[#Headers]))="","",INDEX(Salary_Calculation[Gross Salary Before Deductions],ROW()-ROW(Payslip_Lookup[#Headers])))</f>
        <v/>
      </c>
      <c r="U446" s="176" t="str">
        <f aca="false">IF(INDEX(Salary_Calculation[Source Row],ROW()-ROW(Payslip_Lookup[#Headers]))="","",INDEX(Salary_Calculation[missed_days_penalty],ROW()-ROW(Payslip_Lookup[#Headers])))</f>
        <v/>
      </c>
      <c r="V446" s="176" t="str">
        <f aca="false">IF(INDEX(Salary_Calculation[Source Row],ROW()-ROW(Payslip_Lookup[#Headers]))="","",INDEX(Salary_Calculation[Rider Balance],ROW()-ROW(Payslip_Lookup[#Headers])))</f>
        <v/>
      </c>
      <c r="W446" s="176" t="str">
        <f aca="false">IF(INDEX(Salary_Calculation[Source Row],ROW()-ROW(Payslip_Lookup[#Headers]))="","",INDEX(Salary_Calculation[stacking_deduction],ROW()-ROW(Payslip_Lookup[#Headers])))</f>
        <v/>
      </c>
      <c r="X446" s="176" t="str">
        <f aca="false">IF(INDEX(Salary_Calculation[Source Row],ROW()-ROW(Payslip_Lookup[#Headers]))="","",INDEX(Salary_Calculation[Other Deductions],ROW()-ROW(Payslip_Lookup[#Headers])))</f>
        <v/>
      </c>
      <c r="Y446" s="176" t="str">
        <f aca="false">IF(INDEX(Salary_Calculation[Source Row],ROW()-ROW(Payslip_Lookup[#Headers]))="","",INDEX(Salary_Calculation[Total Deductions],ROW()-ROW(Payslip_Lookup[#Headers])))</f>
        <v/>
      </c>
      <c r="Z446" s="176" t="str">
        <f aca="false">IF(INDEX(Salary_Calculation[Source Row],ROW()-ROW(Payslip_Lookup[#Headers]))="","",INDEX(Salary_Calculation[Final Salary],ROW()-ROW(Payslip_Lookup[#Headers])))</f>
        <v/>
      </c>
      <c r="AA446" s="176" t="str">
        <f aca="false">IF(INDEX(Salary_Calculation[Source Row],ROW()-ROW(Payslip_Lookup[#Headers]))="","",INDEX(Salary_Calculation[Negative Balance / Amount Due from Rider],ROW()-ROW(Payslip_Lookup[#Headers])))</f>
        <v/>
      </c>
      <c r="AB446" s="176" t="str">
        <f aca="false">IF(INDEX(Salary_Calculation[Source Row],ROW()-ROW(Payslip_Lookup[#Headers]))="","",INDEX(Salary_Calculation[Total Amount Due from Rider],ROW()-ROW(Payslip_Lookup[#Headers])))</f>
        <v/>
      </c>
      <c r="AC446" s="176" t="str">
        <f aca="false">IF(INDEX(Salary_Calculation[Source Row],ROW()-ROW(Payslip_Lookup[#Headers]))="","",INDEX(Salary_Calculation[Salary Before Other Deductions],ROW()-ROW(Payslip_Lookup[#Headers])))</f>
        <v/>
      </c>
      <c r="AD446" s="171" t="str">
        <f aca="false">IF(INDEX(Salary_Calculation[Source Row],ROW()-ROW(Payslip_Lookup[#Headers]))="","",INDEX(Salary_Calculation[Payment Status],ROW()-ROW(Payslip_Lookup[#Headers])))</f>
        <v/>
      </c>
      <c r="AE446" s="171" t="str">
        <f aca="false">IF(INDEX(Salary_Calculation[Source Row],ROW()-ROW(Payslip_Lookup[#Headers]))="","",INDEX(Salary_Calculation[Notes],ROW()-ROW(Payslip_Lookup[#Headers])))</f>
        <v/>
      </c>
      <c r="AF446" s="171" t="str">
        <f aca="false">IF(INDEX(Salary_Calculation[Source Row],ROW()-ROW(Payslip_Lookup[#Headers]))="","",INDEX(Salary_Calculation[Exception Reason],ROW()-ROW(Payslip_Lookup[#Headers])))</f>
        <v/>
      </c>
      <c r="AG446" s="173" t="str">
        <f aca="false">IF($AD446="Review Required",COUNTIF(AD$2:AD446,"Review Required"),"")</f>
        <v/>
      </c>
      <c r="AH446" s="173" t="str">
        <f aca="false">IF(AND($D446&lt;&gt;"",$B446=Payslip_Print!$C$2),MAX(AH$1:AH445)+1,"")</f>
        <v/>
      </c>
      <c r="AL446" s="178" t="str">
        <f aca="false">IFERROR(INDEX($D$2:$D$501,MATCH(ROW()-1,$AH$2:$AH$501,0)),"")</f>
        <v/>
      </c>
      <c r="AM446" s="179" t="str">
        <f aca="false">IF($Z446="","",IF(AND($C446&gt;=Dash_Start,$C446&lt;Dash_End),$Z446+ROW()/10000000,""))</f>
        <v/>
      </c>
    </row>
    <row r="447" customFormat="false" ht="14.25" hidden="false" customHeight="false" outlineLevel="0" collapsed="false">
      <c r="A447" s="171" t="str">
        <f aca="false">IF(Payslip_Lookup[[#This Row],[Rider ID]]="","",Payslip_Lookup[[#This Row],[Rider ID]]&amp;"|"&amp;Payslip_Lookup[[#This Row],[Month Key]])</f>
        <v/>
      </c>
      <c r="B447" s="172" t="str">
        <f aca="false">IF(ISNUMBER(Payslip_Lookup[[#This Row],[Salary Month]]),DATE(YEAR(Payslip_Lookup[[#This Row],[Salary Month]]),MONTH(Payslip_Lookup[[#This Row],[Salary Month]]),1),"")</f>
        <v/>
      </c>
      <c r="C447" s="172" t="str">
        <f aca="false">IF(INDEX(Salary_Calculation[Source Row],ROW()-ROW(Payslip_Lookup[#Headers]))="","",INDEX(Salary_Calculation[Salary Month],ROW()-ROW(Payslip_Lookup[#Headers])))</f>
        <v/>
      </c>
      <c r="D447" s="173" t="str">
        <f aca="false">IF(INDEX(Salary_Calculation[Source Row],ROW()-ROW(Payslip_Lookup[#Headers]))="","",INDEX(Salary_Calculation[Rider ID],ROW()-ROW(Payslip_Lookup[#Headers])))</f>
        <v/>
      </c>
      <c r="E447" s="171" t="str">
        <f aca="false">IF(INDEX(Salary_Calculation[Source Row],ROW()-ROW(Payslip_Lookup[#Headers]))="","",INDEX(Salary_Calculation[Rider Name],ROW()-ROW(Payslip_Lookup[#Headers])))</f>
        <v/>
      </c>
      <c r="F447" s="173" t="str">
        <f aca="false">IF(INDEX(Salary_Calculation[Source Row],ROW()-ROW(Payslip_Lookup[#Headers]))="","",INDEX(Salary_Calculation[Working Days],ROW()-ROW(Payslip_Lookup[#Headers])))</f>
        <v/>
      </c>
      <c r="G447" s="173" t="str">
        <f aca="false">IF(INDEX(Salary_Calculation[Source Row],ROW()-ROW(Payslip_Lookup[#Headers]))="","",INDEX(Salary_Calculation[Calendar Days],ROW()-ROW(Payslip_Lookup[#Headers])))</f>
        <v/>
      </c>
      <c r="H447" s="174" t="str">
        <f aca="false">IF(INDEX(Salary_Calculation[Source Row],ROW()-ROW(Payslip_Lookup[#Headers]))="","",INDEX(Salary_Calculation[Monthly Target Orders],ROW()-ROW(Payslip_Lookup[#Headers])))</f>
        <v/>
      </c>
      <c r="I447" s="174" t="str">
        <f aca="false">IF(INDEX(Salary_Calculation[Source Row],ROW()-ROW(Payslip_Lookup[#Headers]))="","",INDEX(Salary_Calculation[Rider Target Orders],ROW()-ROW(Payslip_Lookup[#Headers])))</f>
        <v/>
      </c>
      <c r="J447" s="175" t="str">
        <f aca="false">IF(INDEX(Salary_Calculation[Source Row],ROW()-ROW(Payslip_Lookup[#Headers]))="","",INDEX(Salary_Calculation[Completed Orders],ROW()-ROW(Payslip_Lookup[#Headers])))</f>
        <v/>
      </c>
      <c r="K447" s="174" t="str">
        <f aca="false">IF(INDEX(Salary_Calculation[Source Row],ROW()-ROW(Payslip_Lookup[#Headers]))="","",INDEX(Salary_Calculation[Base Order Rate],ROW()-ROW(Payslip_Lookup[#Headers])))</f>
        <v/>
      </c>
      <c r="L447" s="176" t="str">
        <f aca="false">IF(INDEX(Salary_Calculation[Source Row],ROW()-ROW(Payslip_Lookup[#Headers]))="","",INDEX(Salary_Calculation[Basic Payment],ROW()-ROW(Payslip_Lookup[#Headers])))</f>
        <v/>
      </c>
      <c r="M447" s="176" t="str">
        <f aca="false">IF(INDEX(Salary_Calculation[Source Row],ROW()-ROW(Payslip_Lookup[#Headers]))="","",INDEX(Salary_Calculation[Earned Salary],ROW()-ROW(Payslip_Lookup[#Headers])))</f>
        <v/>
      </c>
      <c r="N447" s="174" t="str">
        <f aca="false">IF(INDEX(Salary_Calculation[Source Row],ROW()-ROW(Payslip_Lookup[#Headers]))="","",INDEX(Salary_Calculation[Orders Counted at Base Rate],ROW()-ROW(Payslip_Lookup[#Headers])))</f>
        <v/>
      </c>
      <c r="O447" s="174" t="str">
        <f aca="false">IF(INDEX(Salary_Calculation[Source Row],ROW()-ROW(Payslip_Lookup[#Headers]))="","",INDEX(Salary_Calculation[Missing Orders],ROW()-ROW(Payslip_Lookup[#Headers])))</f>
        <v/>
      </c>
      <c r="P447" s="176" t="str">
        <f aca="false">IF(INDEX(Salary_Calculation[Source Row],ROW()-ROW(Payslip_Lookup[#Headers]))="","",INDEX(Salary_Calculation[Missing-Order Deduction],ROW()-ROW(Payslip_Lookup[#Headers])))</f>
        <v/>
      </c>
      <c r="Q447" s="174" t="str">
        <f aca="false">IF(INDEX(Salary_Calculation[Source Row],ROW()-ROW(Payslip_Lookup[#Headers]))="","",INDEX(Salary_Calculation[Extra Orders],ROW()-ROW(Payslip_Lookup[#Headers])))</f>
        <v/>
      </c>
      <c r="R447" s="176" t="str">
        <f aca="false">IF(INDEX(Salary_Calculation[Source Row],ROW()-ROW(Payslip_Lookup[#Headers]))="","",INDEX(Salary_Calculation[Extra-Order Bonus],ROW()-ROW(Payslip_Lookup[#Headers])))</f>
        <v/>
      </c>
      <c r="S447" s="176" t="str">
        <f aca="false">IF(INDEX(Salary_Calculation[Source Row],ROW()-ROW(Payslip_Lookup[#Headers]))="","",INDEX(Salary_Calculation[Basic Salary for Target],ROW()-ROW(Payslip_Lookup[#Headers])))</f>
        <v/>
      </c>
      <c r="T447" s="176" t="str">
        <f aca="false">IF(INDEX(Salary_Calculation[Source Row],ROW()-ROW(Payslip_Lookup[#Headers]))="","",INDEX(Salary_Calculation[Gross Salary Before Deductions],ROW()-ROW(Payslip_Lookup[#Headers])))</f>
        <v/>
      </c>
      <c r="U447" s="176" t="str">
        <f aca="false">IF(INDEX(Salary_Calculation[Source Row],ROW()-ROW(Payslip_Lookup[#Headers]))="","",INDEX(Salary_Calculation[missed_days_penalty],ROW()-ROW(Payslip_Lookup[#Headers])))</f>
        <v/>
      </c>
      <c r="V447" s="176" t="str">
        <f aca="false">IF(INDEX(Salary_Calculation[Source Row],ROW()-ROW(Payslip_Lookup[#Headers]))="","",INDEX(Salary_Calculation[Rider Balance],ROW()-ROW(Payslip_Lookup[#Headers])))</f>
        <v/>
      </c>
      <c r="W447" s="176" t="str">
        <f aca="false">IF(INDEX(Salary_Calculation[Source Row],ROW()-ROW(Payslip_Lookup[#Headers]))="","",INDEX(Salary_Calculation[stacking_deduction],ROW()-ROW(Payslip_Lookup[#Headers])))</f>
        <v/>
      </c>
      <c r="X447" s="176" t="str">
        <f aca="false">IF(INDEX(Salary_Calculation[Source Row],ROW()-ROW(Payslip_Lookup[#Headers]))="","",INDEX(Salary_Calculation[Other Deductions],ROW()-ROW(Payslip_Lookup[#Headers])))</f>
        <v/>
      </c>
      <c r="Y447" s="176" t="str">
        <f aca="false">IF(INDEX(Salary_Calculation[Source Row],ROW()-ROW(Payslip_Lookup[#Headers]))="","",INDEX(Salary_Calculation[Total Deductions],ROW()-ROW(Payslip_Lookup[#Headers])))</f>
        <v/>
      </c>
      <c r="Z447" s="176" t="str">
        <f aca="false">IF(INDEX(Salary_Calculation[Source Row],ROW()-ROW(Payslip_Lookup[#Headers]))="","",INDEX(Salary_Calculation[Final Salary],ROW()-ROW(Payslip_Lookup[#Headers])))</f>
        <v/>
      </c>
      <c r="AA447" s="176" t="str">
        <f aca="false">IF(INDEX(Salary_Calculation[Source Row],ROW()-ROW(Payslip_Lookup[#Headers]))="","",INDEX(Salary_Calculation[Negative Balance / Amount Due from Rider],ROW()-ROW(Payslip_Lookup[#Headers])))</f>
        <v/>
      </c>
      <c r="AB447" s="176" t="str">
        <f aca="false">IF(INDEX(Salary_Calculation[Source Row],ROW()-ROW(Payslip_Lookup[#Headers]))="","",INDEX(Salary_Calculation[Total Amount Due from Rider],ROW()-ROW(Payslip_Lookup[#Headers])))</f>
        <v/>
      </c>
      <c r="AC447" s="176" t="str">
        <f aca="false">IF(INDEX(Salary_Calculation[Source Row],ROW()-ROW(Payslip_Lookup[#Headers]))="","",INDEX(Salary_Calculation[Salary Before Other Deductions],ROW()-ROW(Payslip_Lookup[#Headers])))</f>
        <v/>
      </c>
      <c r="AD447" s="171" t="str">
        <f aca="false">IF(INDEX(Salary_Calculation[Source Row],ROW()-ROW(Payslip_Lookup[#Headers]))="","",INDEX(Salary_Calculation[Payment Status],ROW()-ROW(Payslip_Lookup[#Headers])))</f>
        <v/>
      </c>
      <c r="AE447" s="171" t="str">
        <f aca="false">IF(INDEX(Salary_Calculation[Source Row],ROW()-ROW(Payslip_Lookup[#Headers]))="","",INDEX(Salary_Calculation[Notes],ROW()-ROW(Payslip_Lookup[#Headers])))</f>
        <v/>
      </c>
      <c r="AF447" s="171" t="str">
        <f aca="false">IF(INDEX(Salary_Calculation[Source Row],ROW()-ROW(Payslip_Lookup[#Headers]))="","",INDEX(Salary_Calculation[Exception Reason],ROW()-ROW(Payslip_Lookup[#Headers])))</f>
        <v/>
      </c>
      <c r="AG447" s="173" t="str">
        <f aca="false">IF($AD447="Review Required",COUNTIF(AD$2:AD447,"Review Required"),"")</f>
        <v/>
      </c>
      <c r="AH447" s="173" t="str">
        <f aca="false">IF(AND($D447&lt;&gt;"",$B447=Payslip_Print!$C$2),MAX(AH$1:AH446)+1,"")</f>
        <v/>
      </c>
      <c r="AL447" s="178" t="str">
        <f aca="false">IFERROR(INDEX($D$2:$D$501,MATCH(ROW()-1,$AH$2:$AH$501,0)),"")</f>
        <v/>
      </c>
      <c r="AM447" s="179" t="str">
        <f aca="false">IF($Z447="","",IF(AND($C447&gt;=Dash_Start,$C447&lt;Dash_End),$Z447+ROW()/10000000,""))</f>
        <v/>
      </c>
    </row>
    <row r="448" customFormat="false" ht="14.25" hidden="false" customHeight="false" outlineLevel="0" collapsed="false">
      <c r="A448" s="171" t="str">
        <f aca="false">IF(Payslip_Lookup[[#This Row],[Rider ID]]="","",Payslip_Lookup[[#This Row],[Rider ID]]&amp;"|"&amp;Payslip_Lookup[[#This Row],[Month Key]])</f>
        <v/>
      </c>
      <c r="B448" s="172" t="str">
        <f aca="false">IF(ISNUMBER(Payslip_Lookup[[#This Row],[Salary Month]]),DATE(YEAR(Payslip_Lookup[[#This Row],[Salary Month]]),MONTH(Payslip_Lookup[[#This Row],[Salary Month]]),1),"")</f>
        <v/>
      </c>
      <c r="C448" s="172" t="str">
        <f aca="false">IF(INDEX(Salary_Calculation[Source Row],ROW()-ROW(Payslip_Lookup[#Headers]))="","",INDEX(Salary_Calculation[Salary Month],ROW()-ROW(Payslip_Lookup[#Headers])))</f>
        <v/>
      </c>
      <c r="D448" s="173" t="str">
        <f aca="false">IF(INDEX(Salary_Calculation[Source Row],ROW()-ROW(Payslip_Lookup[#Headers]))="","",INDEX(Salary_Calculation[Rider ID],ROW()-ROW(Payslip_Lookup[#Headers])))</f>
        <v/>
      </c>
      <c r="E448" s="171" t="str">
        <f aca="false">IF(INDEX(Salary_Calculation[Source Row],ROW()-ROW(Payslip_Lookup[#Headers]))="","",INDEX(Salary_Calculation[Rider Name],ROW()-ROW(Payslip_Lookup[#Headers])))</f>
        <v/>
      </c>
      <c r="F448" s="173" t="str">
        <f aca="false">IF(INDEX(Salary_Calculation[Source Row],ROW()-ROW(Payslip_Lookup[#Headers]))="","",INDEX(Salary_Calculation[Working Days],ROW()-ROW(Payslip_Lookup[#Headers])))</f>
        <v/>
      </c>
      <c r="G448" s="173" t="str">
        <f aca="false">IF(INDEX(Salary_Calculation[Source Row],ROW()-ROW(Payslip_Lookup[#Headers]))="","",INDEX(Salary_Calculation[Calendar Days],ROW()-ROW(Payslip_Lookup[#Headers])))</f>
        <v/>
      </c>
      <c r="H448" s="174" t="str">
        <f aca="false">IF(INDEX(Salary_Calculation[Source Row],ROW()-ROW(Payslip_Lookup[#Headers]))="","",INDEX(Salary_Calculation[Monthly Target Orders],ROW()-ROW(Payslip_Lookup[#Headers])))</f>
        <v/>
      </c>
      <c r="I448" s="174" t="str">
        <f aca="false">IF(INDEX(Salary_Calculation[Source Row],ROW()-ROW(Payslip_Lookup[#Headers]))="","",INDEX(Salary_Calculation[Rider Target Orders],ROW()-ROW(Payslip_Lookup[#Headers])))</f>
        <v/>
      </c>
      <c r="J448" s="175" t="str">
        <f aca="false">IF(INDEX(Salary_Calculation[Source Row],ROW()-ROW(Payslip_Lookup[#Headers]))="","",INDEX(Salary_Calculation[Completed Orders],ROW()-ROW(Payslip_Lookup[#Headers])))</f>
        <v/>
      </c>
      <c r="K448" s="174" t="str">
        <f aca="false">IF(INDEX(Salary_Calculation[Source Row],ROW()-ROW(Payslip_Lookup[#Headers]))="","",INDEX(Salary_Calculation[Base Order Rate],ROW()-ROW(Payslip_Lookup[#Headers])))</f>
        <v/>
      </c>
      <c r="L448" s="176" t="str">
        <f aca="false">IF(INDEX(Salary_Calculation[Source Row],ROW()-ROW(Payslip_Lookup[#Headers]))="","",INDEX(Salary_Calculation[Basic Payment],ROW()-ROW(Payslip_Lookup[#Headers])))</f>
        <v/>
      </c>
      <c r="M448" s="176" t="str">
        <f aca="false">IF(INDEX(Salary_Calculation[Source Row],ROW()-ROW(Payslip_Lookup[#Headers]))="","",INDEX(Salary_Calculation[Earned Salary],ROW()-ROW(Payslip_Lookup[#Headers])))</f>
        <v/>
      </c>
      <c r="N448" s="174" t="str">
        <f aca="false">IF(INDEX(Salary_Calculation[Source Row],ROW()-ROW(Payslip_Lookup[#Headers]))="","",INDEX(Salary_Calculation[Orders Counted at Base Rate],ROW()-ROW(Payslip_Lookup[#Headers])))</f>
        <v/>
      </c>
      <c r="O448" s="174" t="str">
        <f aca="false">IF(INDEX(Salary_Calculation[Source Row],ROW()-ROW(Payslip_Lookup[#Headers]))="","",INDEX(Salary_Calculation[Missing Orders],ROW()-ROW(Payslip_Lookup[#Headers])))</f>
        <v/>
      </c>
      <c r="P448" s="176" t="str">
        <f aca="false">IF(INDEX(Salary_Calculation[Source Row],ROW()-ROW(Payslip_Lookup[#Headers]))="","",INDEX(Salary_Calculation[Missing-Order Deduction],ROW()-ROW(Payslip_Lookup[#Headers])))</f>
        <v/>
      </c>
      <c r="Q448" s="174" t="str">
        <f aca="false">IF(INDEX(Salary_Calculation[Source Row],ROW()-ROW(Payslip_Lookup[#Headers]))="","",INDEX(Salary_Calculation[Extra Orders],ROW()-ROW(Payslip_Lookup[#Headers])))</f>
        <v/>
      </c>
      <c r="R448" s="176" t="str">
        <f aca="false">IF(INDEX(Salary_Calculation[Source Row],ROW()-ROW(Payslip_Lookup[#Headers]))="","",INDEX(Salary_Calculation[Extra-Order Bonus],ROW()-ROW(Payslip_Lookup[#Headers])))</f>
        <v/>
      </c>
      <c r="S448" s="176" t="str">
        <f aca="false">IF(INDEX(Salary_Calculation[Source Row],ROW()-ROW(Payslip_Lookup[#Headers]))="","",INDEX(Salary_Calculation[Basic Salary for Target],ROW()-ROW(Payslip_Lookup[#Headers])))</f>
        <v/>
      </c>
      <c r="T448" s="176" t="str">
        <f aca="false">IF(INDEX(Salary_Calculation[Source Row],ROW()-ROW(Payslip_Lookup[#Headers]))="","",INDEX(Salary_Calculation[Gross Salary Before Deductions],ROW()-ROW(Payslip_Lookup[#Headers])))</f>
        <v/>
      </c>
      <c r="U448" s="176" t="str">
        <f aca="false">IF(INDEX(Salary_Calculation[Source Row],ROW()-ROW(Payslip_Lookup[#Headers]))="","",INDEX(Salary_Calculation[missed_days_penalty],ROW()-ROW(Payslip_Lookup[#Headers])))</f>
        <v/>
      </c>
      <c r="V448" s="176" t="str">
        <f aca="false">IF(INDEX(Salary_Calculation[Source Row],ROW()-ROW(Payslip_Lookup[#Headers]))="","",INDEX(Salary_Calculation[Rider Balance],ROW()-ROW(Payslip_Lookup[#Headers])))</f>
        <v/>
      </c>
      <c r="W448" s="176" t="str">
        <f aca="false">IF(INDEX(Salary_Calculation[Source Row],ROW()-ROW(Payslip_Lookup[#Headers]))="","",INDEX(Salary_Calculation[stacking_deduction],ROW()-ROW(Payslip_Lookup[#Headers])))</f>
        <v/>
      </c>
      <c r="X448" s="176" t="str">
        <f aca="false">IF(INDEX(Salary_Calculation[Source Row],ROW()-ROW(Payslip_Lookup[#Headers]))="","",INDEX(Salary_Calculation[Other Deductions],ROW()-ROW(Payslip_Lookup[#Headers])))</f>
        <v/>
      </c>
      <c r="Y448" s="176" t="str">
        <f aca="false">IF(INDEX(Salary_Calculation[Source Row],ROW()-ROW(Payslip_Lookup[#Headers]))="","",INDEX(Salary_Calculation[Total Deductions],ROW()-ROW(Payslip_Lookup[#Headers])))</f>
        <v/>
      </c>
      <c r="Z448" s="176" t="str">
        <f aca="false">IF(INDEX(Salary_Calculation[Source Row],ROW()-ROW(Payslip_Lookup[#Headers]))="","",INDEX(Salary_Calculation[Final Salary],ROW()-ROW(Payslip_Lookup[#Headers])))</f>
        <v/>
      </c>
      <c r="AA448" s="176" t="str">
        <f aca="false">IF(INDEX(Salary_Calculation[Source Row],ROW()-ROW(Payslip_Lookup[#Headers]))="","",INDEX(Salary_Calculation[Negative Balance / Amount Due from Rider],ROW()-ROW(Payslip_Lookup[#Headers])))</f>
        <v/>
      </c>
      <c r="AB448" s="176" t="str">
        <f aca="false">IF(INDEX(Salary_Calculation[Source Row],ROW()-ROW(Payslip_Lookup[#Headers]))="","",INDEX(Salary_Calculation[Total Amount Due from Rider],ROW()-ROW(Payslip_Lookup[#Headers])))</f>
        <v/>
      </c>
      <c r="AC448" s="176" t="str">
        <f aca="false">IF(INDEX(Salary_Calculation[Source Row],ROW()-ROW(Payslip_Lookup[#Headers]))="","",INDEX(Salary_Calculation[Salary Before Other Deductions],ROW()-ROW(Payslip_Lookup[#Headers])))</f>
        <v/>
      </c>
      <c r="AD448" s="171" t="str">
        <f aca="false">IF(INDEX(Salary_Calculation[Source Row],ROW()-ROW(Payslip_Lookup[#Headers]))="","",INDEX(Salary_Calculation[Payment Status],ROW()-ROW(Payslip_Lookup[#Headers])))</f>
        <v/>
      </c>
      <c r="AE448" s="171" t="str">
        <f aca="false">IF(INDEX(Salary_Calculation[Source Row],ROW()-ROW(Payslip_Lookup[#Headers]))="","",INDEX(Salary_Calculation[Notes],ROW()-ROW(Payslip_Lookup[#Headers])))</f>
        <v/>
      </c>
      <c r="AF448" s="171" t="str">
        <f aca="false">IF(INDEX(Salary_Calculation[Source Row],ROW()-ROW(Payslip_Lookup[#Headers]))="","",INDEX(Salary_Calculation[Exception Reason],ROW()-ROW(Payslip_Lookup[#Headers])))</f>
        <v/>
      </c>
      <c r="AG448" s="173" t="str">
        <f aca="false">IF($AD448="Review Required",COUNTIF(AD$2:AD448,"Review Required"),"")</f>
        <v/>
      </c>
      <c r="AH448" s="173" t="str">
        <f aca="false">IF(AND($D448&lt;&gt;"",$B448=Payslip_Print!$C$2),MAX(AH$1:AH447)+1,"")</f>
        <v/>
      </c>
      <c r="AL448" s="178" t="str">
        <f aca="false">IFERROR(INDEX($D$2:$D$501,MATCH(ROW()-1,$AH$2:$AH$501,0)),"")</f>
        <v/>
      </c>
      <c r="AM448" s="179" t="str">
        <f aca="false">IF($Z448="","",IF(AND($C448&gt;=Dash_Start,$C448&lt;Dash_End),$Z448+ROW()/10000000,""))</f>
        <v/>
      </c>
    </row>
    <row r="449" customFormat="false" ht="14.25" hidden="false" customHeight="false" outlineLevel="0" collapsed="false">
      <c r="A449" s="171" t="str">
        <f aca="false">IF(Payslip_Lookup[[#This Row],[Rider ID]]="","",Payslip_Lookup[[#This Row],[Rider ID]]&amp;"|"&amp;Payslip_Lookup[[#This Row],[Month Key]])</f>
        <v/>
      </c>
      <c r="B449" s="172" t="str">
        <f aca="false">IF(ISNUMBER(Payslip_Lookup[[#This Row],[Salary Month]]),DATE(YEAR(Payslip_Lookup[[#This Row],[Salary Month]]),MONTH(Payslip_Lookup[[#This Row],[Salary Month]]),1),"")</f>
        <v/>
      </c>
      <c r="C449" s="172" t="str">
        <f aca="false">IF(INDEX(Salary_Calculation[Source Row],ROW()-ROW(Payslip_Lookup[#Headers]))="","",INDEX(Salary_Calculation[Salary Month],ROW()-ROW(Payslip_Lookup[#Headers])))</f>
        <v/>
      </c>
      <c r="D449" s="173" t="str">
        <f aca="false">IF(INDEX(Salary_Calculation[Source Row],ROW()-ROW(Payslip_Lookup[#Headers]))="","",INDEX(Salary_Calculation[Rider ID],ROW()-ROW(Payslip_Lookup[#Headers])))</f>
        <v/>
      </c>
      <c r="E449" s="171" t="str">
        <f aca="false">IF(INDEX(Salary_Calculation[Source Row],ROW()-ROW(Payslip_Lookup[#Headers]))="","",INDEX(Salary_Calculation[Rider Name],ROW()-ROW(Payslip_Lookup[#Headers])))</f>
        <v/>
      </c>
      <c r="F449" s="173" t="str">
        <f aca="false">IF(INDEX(Salary_Calculation[Source Row],ROW()-ROW(Payslip_Lookup[#Headers]))="","",INDEX(Salary_Calculation[Working Days],ROW()-ROW(Payslip_Lookup[#Headers])))</f>
        <v/>
      </c>
      <c r="G449" s="173" t="str">
        <f aca="false">IF(INDEX(Salary_Calculation[Source Row],ROW()-ROW(Payslip_Lookup[#Headers]))="","",INDEX(Salary_Calculation[Calendar Days],ROW()-ROW(Payslip_Lookup[#Headers])))</f>
        <v/>
      </c>
      <c r="H449" s="174" t="str">
        <f aca="false">IF(INDEX(Salary_Calculation[Source Row],ROW()-ROW(Payslip_Lookup[#Headers]))="","",INDEX(Salary_Calculation[Monthly Target Orders],ROW()-ROW(Payslip_Lookup[#Headers])))</f>
        <v/>
      </c>
      <c r="I449" s="174" t="str">
        <f aca="false">IF(INDEX(Salary_Calculation[Source Row],ROW()-ROW(Payslip_Lookup[#Headers]))="","",INDEX(Salary_Calculation[Rider Target Orders],ROW()-ROW(Payslip_Lookup[#Headers])))</f>
        <v/>
      </c>
      <c r="J449" s="175" t="str">
        <f aca="false">IF(INDEX(Salary_Calculation[Source Row],ROW()-ROW(Payslip_Lookup[#Headers]))="","",INDEX(Salary_Calculation[Completed Orders],ROW()-ROW(Payslip_Lookup[#Headers])))</f>
        <v/>
      </c>
      <c r="K449" s="174" t="str">
        <f aca="false">IF(INDEX(Salary_Calculation[Source Row],ROW()-ROW(Payslip_Lookup[#Headers]))="","",INDEX(Salary_Calculation[Base Order Rate],ROW()-ROW(Payslip_Lookup[#Headers])))</f>
        <v/>
      </c>
      <c r="L449" s="176" t="str">
        <f aca="false">IF(INDEX(Salary_Calculation[Source Row],ROW()-ROW(Payslip_Lookup[#Headers]))="","",INDEX(Salary_Calculation[Basic Payment],ROW()-ROW(Payslip_Lookup[#Headers])))</f>
        <v/>
      </c>
      <c r="M449" s="176" t="str">
        <f aca="false">IF(INDEX(Salary_Calculation[Source Row],ROW()-ROW(Payslip_Lookup[#Headers]))="","",INDEX(Salary_Calculation[Earned Salary],ROW()-ROW(Payslip_Lookup[#Headers])))</f>
        <v/>
      </c>
      <c r="N449" s="174" t="str">
        <f aca="false">IF(INDEX(Salary_Calculation[Source Row],ROW()-ROW(Payslip_Lookup[#Headers]))="","",INDEX(Salary_Calculation[Orders Counted at Base Rate],ROW()-ROW(Payslip_Lookup[#Headers])))</f>
        <v/>
      </c>
      <c r="O449" s="174" t="str">
        <f aca="false">IF(INDEX(Salary_Calculation[Source Row],ROW()-ROW(Payslip_Lookup[#Headers]))="","",INDEX(Salary_Calculation[Missing Orders],ROW()-ROW(Payslip_Lookup[#Headers])))</f>
        <v/>
      </c>
      <c r="P449" s="176" t="str">
        <f aca="false">IF(INDEX(Salary_Calculation[Source Row],ROW()-ROW(Payslip_Lookup[#Headers]))="","",INDEX(Salary_Calculation[Missing-Order Deduction],ROW()-ROW(Payslip_Lookup[#Headers])))</f>
        <v/>
      </c>
      <c r="Q449" s="174" t="str">
        <f aca="false">IF(INDEX(Salary_Calculation[Source Row],ROW()-ROW(Payslip_Lookup[#Headers]))="","",INDEX(Salary_Calculation[Extra Orders],ROW()-ROW(Payslip_Lookup[#Headers])))</f>
        <v/>
      </c>
      <c r="R449" s="176" t="str">
        <f aca="false">IF(INDEX(Salary_Calculation[Source Row],ROW()-ROW(Payslip_Lookup[#Headers]))="","",INDEX(Salary_Calculation[Extra-Order Bonus],ROW()-ROW(Payslip_Lookup[#Headers])))</f>
        <v/>
      </c>
      <c r="S449" s="176" t="str">
        <f aca="false">IF(INDEX(Salary_Calculation[Source Row],ROW()-ROW(Payslip_Lookup[#Headers]))="","",INDEX(Salary_Calculation[Basic Salary for Target],ROW()-ROW(Payslip_Lookup[#Headers])))</f>
        <v/>
      </c>
      <c r="T449" s="176" t="str">
        <f aca="false">IF(INDEX(Salary_Calculation[Source Row],ROW()-ROW(Payslip_Lookup[#Headers]))="","",INDEX(Salary_Calculation[Gross Salary Before Deductions],ROW()-ROW(Payslip_Lookup[#Headers])))</f>
        <v/>
      </c>
      <c r="U449" s="176" t="str">
        <f aca="false">IF(INDEX(Salary_Calculation[Source Row],ROW()-ROW(Payslip_Lookup[#Headers]))="","",INDEX(Salary_Calculation[missed_days_penalty],ROW()-ROW(Payslip_Lookup[#Headers])))</f>
        <v/>
      </c>
      <c r="V449" s="176" t="str">
        <f aca="false">IF(INDEX(Salary_Calculation[Source Row],ROW()-ROW(Payslip_Lookup[#Headers]))="","",INDEX(Salary_Calculation[Rider Balance],ROW()-ROW(Payslip_Lookup[#Headers])))</f>
        <v/>
      </c>
      <c r="W449" s="176" t="str">
        <f aca="false">IF(INDEX(Salary_Calculation[Source Row],ROW()-ROW(Payslip_Lookup[#Headers]))="","",INDEX(Salary_Calculation[stacking_deduction],ROW()-ROW(Payslip_Lookup[#Headers])))</f>
        <v/>
      </c>
      <c r="X449" s="176" t="str">
        <f aca="false">IF(INDEX(Salary_Calculation[Source Row],ROW()-ROW(Payslip_Lookup[#Headers]))="","",INDEX(Salary_Calculation[Other Deductions],ROW()-ROW(Payslip_Lookup[#Headers])))</f>
        <v/>
      </c>
      <c r="Y449" s="176" t="str">
        <f aca="false">IF(INDEX(Salary_Calculation[Source Row],ROW()-ROW(Payslip_Lookup[#Headers]))="","",INDEX(Salary_Calculation[Total Deductions],ROW()-ROW(Payslip_Lookup[#Headers])))</f>
        <v/>
      </c>
      <c r="Z449" s="176" t="str">
        <f aca="false">IF(INDEX(Salary_Calculation[Source Row],ROW()-ROW(Payslip_Lookup[#Headers]))="","",INDEX(Salary_Calculation[Final Salary],ROW()-ROW(Payslip_Lookup[#Headers])))</f>
        <v/>
      </c>
      <c r="AA449" s="176" t="str">
        <f aca="false">IF(INDEX(Salary_Calculation[Source Row],ROW()-ROW(Payslip_Lookup[#Headers]))="","",INDEX(Salary_Calculation[Negative Balance / Amount Due from Rider],ROW()-ROW(Payslip_Lookup[#Headers])))</f>
        <v/>
      </c>
      <c r="AB449" s="176" t="str">
        <f aca="false">IF(INDEX(Salary_Calculation[Source Row],ROW()-ROW(Payslip_Lookup[#Headers]))="","",INDEX(Salary_Calculation[Total Amount Due from Rider],ROW()-ROW(Payslip_Lookup[#Headers])))</f>
        <v/>
      </c>
      <c r="AC449" s="176" t="str">
        <f aca="false">IF(INDEX(Salary_Calculation[Source Row],ROW()-ROW(Payslip_Lookup[#Headers]))="","",INDEX(Salary_Calculation[Salary Before Other Deductions],ROW()-ROW(Payslip_Lookup[#Headers])))</f>
        <v/>
      </c>
      <c r="AD449" s="171" t="str">
        <f aca="false">IF(INDEX(Salary_Calculation[Source Row],ROW()-ROW(Payslip_Lookup[#Headers]))="","",INDEX(Salary_Calculation[Payment Status],ROW()-ROW(Payslip_Lookup[#Headers])))</f>
        <v/>
      </c>
      <c r="AE449" s="171" t="str">
        <f aca="false">IF(INDEX(Salary_Calculation[Source Row],ROW()-ROW(Payslip_Lookup[#Headers]))="","",INDEX(Salary_Calculation[Notes],ROW()-ROW(Payslip_Lookup[#Headers])))</f>
        <v/>
      </c>
      <c r="AF449" s="171" t="str">
        <f aca="false">IF(INDEX(Salary_Calculation[Source Row],ROW()-ROW(Payslip_Lookup[#Headers]))="","",INDEX(Salary_Calculation[Exception Reason],ROW()-ROW(Payslip_Lookup[#Headers])))</f>
        <v/>
      </c>
      <c r="AG449" s="173" t="str">
        <f aca="false">IF($AD449="Review Required",COUNTIF(AD$2:AD449,"Review Required"),"")</f>
        <v/>
      </c>
      <c r="AH449" s="173" t="str">
        <f aca="false">IF(AND($D449&lt;&gt;"",$B449=Payslip_Print!$C$2),MAX(AH$1:AH448)+1,"")</f>
        <v/>
      </c>
      <c r="AL449" s="178" t="str">
        <f aca="false">IFERROR(INDEX($D$2:$D$501,MATCH(ROW()-1,$AH$2:$AH$501,0)),"")</f>
        <v/>
      </c>
      <c r="AM449" s="179" t="str">
        <f aca="false">IF($Z449="","",IF(AND($C449&gt;=Dash_Start,$C449&lt;Dash_End),$Z449+ROW()/10000000,""))</f>
        <v/>
      </c>
    </row>
    <row r="450" customFormat="false" ht="14.25" hidden="false" customHeight="false" outlineLevel="0" collapsed="false">
      <c r="A450" s="171" t="str">
        <f aca="false">IF(Payslip_Lookup[[#This Row],[Rider ID]]="","",Payslip_Lookup[[#This Row],[Rider ID]]&amp;"|"&amp;Payslip_Lookup[[#This Row],[Month Key]])</f>
        <v/>
      </c>
      <c r="B450" s="172" t="str">
        <f aca="false">IF(ISNUMBER(Payslip_Lookup[[#This Row],[Salary Month]]),DATE(YEAR(Payslip_Lookup[[#This Row],[Salary Month]]),MONTH(Payslip_Lookup[[#This Row],[Salary Month]]),1),"")</f>
        <v/>
      </c>
      <c r="C450" s="172" t="str">
        <f aca="false">IF(INDEX(Salary_Calculation[Source Row],ROW()-ROW(Payslip_Lookup[#Headers]))="","",INDEX(Salary_Calculation[Salary Month],ROW()-ROW(Payslip_Lookup[#Headers])))</f>
        <v/>
      </c>
      <c r="D450" s="173" t="str">
        <f aca="false">IF(INDEX(Salary_Calculation[Source Row],ROW()-ROW(Payslip_Lookup[#Headers]))="","",INDEX(Salary_Calculation[Rider ID],ROW()-ROW(Payslip_Lookup[#Headers])))</f>
        <v/>
      </c>
      <c r="E450" s="171" t="str">
        <f aca="false">IF(INDEX(Salary_Calculation[Source Row],ROW()-ROW(Payslip_Lookup[#Headers]))="","",INDEX(Salary_Calculation[Rider Name],ROW()-ROW(Payslip_Lookup[#Headers])))</f>
        <v/>
      </c>
      <c r="F450" s="173" t="str">
        <f aca="false">IF(INDEX(Salary_Calculation[Source Row],ROW()-ROW(Payslip_Lookup[#Headers]))="","",INDEX(Salary_Calculation[Working Days],ROW()-ROW(Payslip_Lookup[#Headers])))</f>
        <v/>
      </c>
      <c r="G450" s="173" t="str">
        <f aca="false">IF(INDEX(Salary_Calculation[Source Row],ROW()-ROW(Payslip_Lookup[#Headers]))="","",INDEX(Salary_Calculation[Calendar Days],ROW()-ROW(Payslip_Lookup[#Headers])))</f>
        <v/>
      </c>
      <c r="H450" s="174" t="str">
        <f aca="false">IF(INDEX(Salary_Calculation[Source Row],ROW()-ROW(Payslip_Lookup[#Headers]))="","",INDEX(Salary_Calculation[Monthly Target Orders],ROW()-ROW(Payslip_Lookup[#Headers])))</f>
        <v/>
      </c>
      <c r="I450" s="174" t="str">
        <f aca="false">IF(INDEX(Salary_Calculation[Source Row],ROW()-ROW(Payslip_Lookup[#Headers]))="","",INDEX(Salary_Calculation[Rider Target Orders],ROW()-ROW(Payslip_Lookup[#Headers])))</f>
        <v/>
      </c>
      <c r="J450" s="175" t="str">
        <f aca="false">IF(INDEX(Salary_Calculation[Source Row],ROW()-ROW(Payslip_Lookup[#Headers]))="","",INDEX(Salary_Calculation[Completed Orders],ROW()-ROW(Payslip_Lookup[#Headers])))</f>
        <v/>
      </c>
      <c r="K450" s="174" t="str">
        <f aca="false">IF(INDEX(Salary_Calculation[Source Row],ROW()-ROW(Payslip_Lookup[#Headers]))="","",INDEX(Salary_Calculation[Base Order Rate],ROW()-ROW(Payslip_Lookup[#Headers])))</f>
        <v/>
      </c>
      <c r="L450" s="176" t="str">
        <f aca="false">IF(INDEX(Salary_Calculation[Source Row],ROW()-ROW(Payslip_Lookup[#Headers]))="","",INDEX(Salary_Calculation[Basic Payment],ROW()-ROW(Payslip_Lookup[#Headers])))</f>
        <v/>
      </c>
      <c r="M450" s="176" t="str">
        <f aca="false">IF(INDEX(Salary_Calculation[Source Row],ROW()-ROW(Payslip_Lookup[#Headers]))="","",INDEX(Salary_Calculation[Earned Salary],ROW()-ROW(Payslip_Lookup[#Headers])))</f>
        <v/>
      </c>
      <c r="N450" s="174" t="str">
        <f aca="false">IF(INDEX(Salary_Calculation[Source Row],ROW()-ROW(Payslip_Lookup[#Headers]))="","",INDEX(Salary_Calculation[Orders Counted at Base Rate],ROW()-ROW(Payslip_Lookup[#Headers])))</f>
        <v/>
      </c>
      <c r="O450" s="174" t="str">
        <f aca="false">IF(INDEX(Salary_Calculation[Source Row],ROW()-ROW(Payslip_Lookup[#Headers]))="","",INDEX(Salary_Calculation[Missing Orders],ROW()-ROW(Payslip_Lookup[#Headers])))</f>
        <v/>
      </c>
      <c r="P450" s="176" t="str">
        <f aca="false">IF(INDEX(Salary_Calculation[Source Row],ROW()-ROW(Payslip_Lookup[#Headers]))="","",INDEX(Salary_Calculation[Missing-Order Deduction],ROW()-ROW(Payslip_Lookup[#Headers])))</f>
        <v/>
      </c>
      <c r="Q450" s="174" t="str">
        <f aca="false">IF(INDEX(Salary_Calculation[Source Row],ROW()-ROW(Payslip_Lookup[#Headers]))="","",INDEX(Salary_Calculation[Extra Orders],ROW()-ROW(Payslip_Lookup[#Headers])))</f>
        <v/>
      </c>
      <c r="R450" s="176" t="str">
        <f aca="false">IF(INDEX(Salary_Calculation[Source Row],ROW()-ROW(Payslip_Lookup[#Headers]))="","",INDEX(Salary_Calculation[Extra-Order Bonus],ROW()-ROW(Payslip_Lookup[#Headers])))</f>
        <v/>
      </c>
      <c r="S450" s="176" t="str">
        <f aca="false">IF(INDEX(Salary_Calculation[Source Row],ROW()-ROW(Payslip_Lookup[#Headers]))="","",INDEX(Salary_Calculation[Basic Salary for Target],ROW()-ROW(Payslip_Lookup[#Headers])))</f>
        <v/>
      </c>
      <c r="T450" s="176" t="str">
        <f aca="false">IF(INDEX(Salary_Calculation[Source Row],ROW()-ROW(Payslip_Lookup[#Headers]))="","",INDEX(Salary_Calculation[Gross Salary Before Deductions],ROW()-ROW(Payslip_Lookup[#Headers])))</f>
        <v/>
      </c>
      <c r="U450" s="176" t="str">
        <f aca="false">IF(INDEX(Salary_Calculation[Source Row],ROW()-ROW(Payslip_Lookup[#Headers]))="","",INDEX(Salary_Calculation[missed_days_penalty],ROW()-ROW(Payslip_Lookup[#Headers])))</f>
        <v/>
      </c>
      <c r="V450" s="176" t="str">
        <f aca="false">IF(INDEX(Salary_Calculation[Source Row],ROW()-ROW(Payslip_Lookup[#Headers]))="","",INDEX(Salary_Calculation[Rider Balance],ROW()-ROW(Payslip_Lookup[#Headers])))</f>
        <v/>
      </c>
      <c r="W450" s="176" t="str">
        <f aca="false">IF(INDEX(Salary_Calculation[Source Row],ROW()-ROW(Payslip_Lookup[#Headers]))="","",INDEX(Salary_Calculation[stacking_deduction],ROW()-ROW(Payslip_Lookup[#Headers])))</f>
        <v/>
      </c>
      <c r="X450" s="176" t="str">
        <f aca="false">IF(INDEX(Salary_Calculation[Source Row],ROW()-ROW(Payslip_Lookup[#Headers]))="","",INDEX(Salary_Calculation[Other Deductions],ROW()-ROW(Payslip_Lookup[#Headers])))</f>
        <v/>
      </c>
      <c r="Y450" s="176" t="str">
        <f aca="false">IF(INDEX(Salary_Calculation[Source Row],ROW()-ROW(Payslip_Lookup[#Headers]))="","",INDEX(Salary_Calculation[Total Deductions],ROW()-ROW(Payslip_Lookup[#Headers])))</f>
        <v/>
      </c>
      <c r="Z450" s="176" t="str">
        <f aca="false">IF(INDEX(Salary_Calculation[Source Row],ROW()-ROW(Payslip_Lookup[#Headers]))="","",INDEX(Salary_Calculation[Final Salary],ROW()-ROW(Payslip_Lookup[#Headers])))</f>
        <v/>
      </c>
      <c r="AA450" s="176" t="str">
        <f aca="false">IF(INDEX(Salary_Calculation[Source Row],ROW()-ROW(Payslip_Lookup[#Headers]))="","",INDEX(Salary_Calculation[Negative Balance / Amount Due from Rider],ROW()-ROW(Payslip_Lookup[#Headers])))</f>
        <v/>
      </c>
      <c r="AB450" s="176" t="str">
        <f aca="false">IF(INDEX(Salary_Calculation[Source Row],ROW()-ROW(Payslip_Lookup[#Headers]))="","",INDEX(Salary_Calculation[Total Amount Due from Rider],ROW()-ROW(Payslip_Lookup[#Headers])))</f>
        <v/>
      </c>
      <c r="AC450" s="176" t="str">
        <f aca="false">IF(INDEX(Salary_Calculation[Source Row],ROW()-ROW(Payslip_Lookup[#Headers]))="","",INDEX(Salary_Calculation[Salary Before Other Deductions],ROW()-ROW(Payslip_Lookup[#Headers])))</f>
        <v/>
      </c>
      <c r="AD450" s="171" t="str">
        <f aca="false">IF(INDEX(Salary_Calculation[Source Row],ROW()-ROW(Payslip_Lookup[#Headers]))="","",INDEX(Salary_Calculation[Payment Status],ROW()-ROW(Payslip_Lookup[#Headers])))</f>
        <v/>
      </c>
      <c r="AE450" s="171" t="str">
        <f aca="false">IF(INDEX(Salary_Calculation[Source Row],ROW()-ROW(Payslip_Lookup[#Headers]))="","",INDEX(Salary_Calculation[Notes],ROW()-ROW(Payslip_Lookup[#Headers])))</f>
        <v/>
      </c>
      <c r="AF450" s="171" t="str">
        <f aca="false">IF(INDEX(Salary_Calculation[Source Row],ROW()-ROW(Payslip_Lookup[#Headers]))="","",INDEX(Salary_Calculation[Exception Reason],ROW()-ROW(Payslip_Lookup[#Headers])))</f>
        <v/>
      </c>
      <c r="AG450" s="173" t="str">
        <f aca="false">IF($AD450="Review Required",COUNTIF(AD$2:AD450,"Review Required"),"")</f>
        <v/>
      </c>
      <c r="AH450" s="173" t="str">
        <f aca="false">IF(AND($D450&lt;&gt;"",$B450=Payslip_Print!$C$2),MAX(AH$1:AH449)+1,"")</f>
        <v/>
      </c>
      <c r="AL450" s="178" t="str">
        <f aca="false">IFERROR(INDEX($D$2:$D$501,MATCH(ROW()-1,$AH$2:$AH$501,0)),"")</f>
        <v/>
      </c>
      <c r="AM450" s="179" t="str">
        <f aca="false">IF($Z450="","",IF(AND($C450&gt;=Dash_Start,$C450&lt;Dash_End),$Z450+ROW()/10000000,""))</f>
        <v/>
      </c>
    </row>
    <row r="451" customFormat="false" ht="14.25" hidden="false" customHeight="false" outlineLevel="0" collapsed="false">
      <c r="A451" s="171" t="str">
        <f aca="false">IF(Payslip_Lookup[[#This Row],[Rider ID]]="","",Payslip_Lookup[[#This Row],[Rider ID]]&amp;"|"&amp;Payslip_Lookup[[#This Row],[Month Key]])</f>
        <v/>
      </c>
      <c r="B451" s="172" t="str">
        <f aca="false">IF(ISNUMBER(Payslip_Lookup[[#This Row],[Salary Month]]),DATE(YEAR(Payslip_Lookup[[#This Row],[Salary Month]]),MONTH(Payslip_Lookup[[#This Row],[Salary Month]]),1),"")</f>
        <v/>
      </c>
      <c r="C451" s="172" t="str">
        <f aca="false">IF(INDEX(Salary_Calculation[Source Row],ROW()-ROW(Payslip_Lookup[#Headers]))="","",INDEX(Salary_Calculation[Salary Month],ROW()-ROW(Payslip_Lookup[#Headers])))</f>
        <v/>
      </c>
      <c r="D451" s="173" t="str">
        <f aca="false">IF(INDEX(Salary_Calculation[Source Row],ROW()-ROW(Payslip_Lookup[#Headers]))="","",INDEX(Salary_Calculation[Rider ID],ROW()-ROW(Payslip_Lookup[#Headers])))</f>
        <v/>
      </c>
      <c r="E451" s="171" t="str">
        <f aca="false">IF(INDEX(Salary_Calculation[Source Row],ROW()-ROW(Payslip_Lookup[#Headers]))="","",INDEX(Salary_Calculation[Rider Name],ROW()-ROW(Payslip_Lookup[#Headers])))</f>
        <v/>
      </c>
      <c r="F451" s="173" t="str">
        <f aca="false">IF(INDEX(Salary_Calculation[Source Row],ROW()-ROW(Payslip_Lookup[#Headers]))="","",INDEX(Salary_Calculation[Working Days],ROW()-ROW(Payslip_Lookup[#Headers])))</f>
        <v/>
      </c>
      <c r="G451" s="173" t="str">
        <f aca="false">IF(INDEX(Salary_Calculation[Source Row],ROW()-ROW(Payslip_Lookup[#Headers]))="","",INDEX(Salary_Calculation[Calendar Days],ROW()-ROW(Payslip_Lookup[#Headers])))</f>
        <v/>
      </c>
      <c r="H451" s="174" t="str">
        <f aca="false">IF(INDEX(Salary_Calculation[Source Row],ROW()-ROW(Payslip_Lookup[#Headers]))="","",INDEX(Salary_Calculation[Monthly Target Orders],ROW()-ROW(Payslip_Lookup[#Headers])))</f>
        <v/>
      </c>
      <c r="I451" s="174" t="str">
        <f aca="false">IF(INDEX(Salary_Calculation[Source Row],ROW()-ROW(Payslip_Lookup[#Headers]))="","",INDEX(Salary_Calculation[Rider Target Orders],ROW()-ROW(Payslip_Lookup[#Headers])))</f>
        <v/>
      </c>
      <c r="J451" s="175" t="str">
        <f aca="false">IF(INDEX(Salary_Calculation[Source Row],ROW()-ROW(Payslip_Lookup[#Headers]))="","",INDEX(Salary_Calculation[Completed Orders],ROW()-ROW(Payslip_Lookup[#Headers])))</f>
        <v/>
      </c>
      <c r="K451" s="174" t="str">
        <f aca="false">IF(INDEX(Salary_Calculation[Source Row],ROW()-ROW(Payslip_Lookup[#Headers]))="","",INDEX(Salary_Calculation[Base Order Rate],ROW()-ROW(Payslip_Lookup[#Headers])))</f>
        <v/>
      </c>
      <c r="L451" s="176" t="str">
        <f aca="false">IF(INDEX(Salary_Calculation[Source Row],ROW()-ROW(Payslip_Lookup[#Headers]))="","",INDEX(Salary_Calculation[Basic Payment],ROW()-ROW(Payslip_Lookup[#Headers])))</f>
        <v/>
      </c>
      <c r="M451" s="176" t="str">
        <f aca="false">IF(INDEX(Salary_Calculation[Source Row],ROW()-ROW(Payslip_Lookup[#Headers]))="","",INDEX(Salary_Calculation[Earned Salary],ROW()-ROW(Payslip_Lookup[#Headers])))</f>
        <v/>
      </c>
      <c r="N451" s="174" t="str">
        <f aca="false">IF(INDEX(Salary_Calculation[Source Row],ROW()-ROW(Payslip_Lookup[#Headers]))="","",INDEX(Salary_Calculation[Orders Counted at Base Rate],ROW()-ROW(Payslip_Lookup[#Headers])))</f>
        <v/>
      </c>
      <c r="O451" s="174" t="str">
        <f aca="false">IF(INDEX(Salary_Calculation[Source Row],ROW()-ROW(Payslip_Lookup[#Headers]))="","",INDEX(Salary_Calculation[Missing Orders],ROW()-ROW(Payslip_Lookup[#Headers])))</f>
        <v/>
      </c>
      <c r="P451" s="176" t="str">
        <f aca="false">IF(INDEX(Salary_Calculation[Source Row],ROW()-ROW(Payslip_Lookup[#Headers]))="","",INDEX(Salary_Calculation[Missing-Order Deduction],ROW()-ROW(Payslip_Lookup[#Headers])))</f>
        <v/>
      </c>
      <c r="Q451" s="174" t="str">
        <f aca="false">IF(INDEX(Salary_Calculation[Source Row],ROW()-ROW(Payslip_Lookup[#Headers]))="","",INDEX(Salary_Calculation[Extra Orders],ROW()-ROW(Payslip_Lookup[#Headers])))</f>
        <v/>
      </c>
      <c r="R451" s="176" t="str">
        <f aca="false">IF(INDEX(Salary_Calculation[Source Row],ROW()-ROW(Payslip_Lookup[#Headers]))="","",INDEX(Salary_Calculation[Extra-Order Bonus],ROW()-ROW(Payslip_Lookup[#Headers])))</f>
        <v/>
      </c>
      <c r="S451" s="176" t="str">
        <f aca="false">IF(INDEX(Salary_Calculation[Source Row],ROW()-ROW(Payslip_Lookup[#Headers]))="","",INDEX(Salary_Calculation[Basic Salary for Target],ROW()-ROW(Payslip_Lookup[#Headers])))</f>
        <v/>
      </c>
      <c r="T451" s="176" t="str">
        <f aca="false">IF(INDEX(Salary_Calculation[Source Row],ROW()-ROW(Payslip_Lookup[#Headers]))="","",INDEX(Salary_Calculation[Gross Salary Before Deductions],ROW()-ROW(Payslip_Lookup[#Headers])))</f>
        <v/>
      </c>
      <c r="U451" s="176" t="str">
        <f aca="false">IF(INDEX(Salary_Calculation[Source Row],ROW()-ROW(Payslip_Lookup[#Headers]))="","",INDEX(Salary_Calculation[missed_days_penalty],ROW()-ROW(Payslip_Lookup[#Headers])))</f>
        <v/>
      </c>
      <c r="V451" s="176" t="str">
        <f aca="false">IF(INDEX(Salary_Calculation[Source Row],ROW()-ROW(Payslip_Lookup[#Headers]))="","",INDEX(Salary_Calculation[Rider Balance],ROW()-ROW(Payslip_Lookup[#Headers])))</f>
        <v/>
      </c>
      <c r="W451" s="176" t="str">
        <f aca="false">IF(INDEX(Salary_Calculation[Source Row],ROW()-ROW(Payslip_Lookup[#Headers]))="","",INDEX(Salary_Calculation[stacking_deduction],ROW()-ROW(Payslip_Lookup[#Headers])))</f>
        <v/>
      </c>
      <c r="X451" s="176" t="str">
        <f aca="false">IF(INDEX(Salary_Calculation[Source Row],ROW()-ROW(Payslip_Lookup[#Headers]))="","",INDEX(Salary_Calculation[Other Deductions],ROW()-ROW(Payslip_Lookup[#Headers])))</f>
        <v/>
      </c>
      <c r="Y451" s="176" t="str">
        <f aca="false">IF(INDEX(Salary_Calculation[Source Row],ROW()-ROW(Payslip_Lookup[#Headers]))="","",INDEX(Salary_Calculation[Total Deductions],ROW()-ROW(Payslip_Lookup[#Headers])))</f>
        <v/>
      </c>
      <c r="Z451" s="176" t="str">
        <f aca="false">IF(INDEX(Salary_Calculation[Source Row],ROW()-ROW(Payslip_Lookup[#Headers]))="","",INDEX(Salary_Calculation[Final Salary],ROW()-ROW(Payslip_Lookup[#Headers])))</f>
        <v/>
      </c>
      <c r="AA451" s="176" t="str">
        <f aca="false">IF(INDEX(Salary_Calculation[Source Row],ROW()-ROW(Payslip_Lookup[#Headers]))="","",INDEX(Salary_Calculation[Negative Balance / Amount Due from Rider],ROW()-ROW(Payslip_Lookup[#Headers])))</f>
        <v/>
      </c>
      <c r="AB451" s="176" t="str">
        <f aca="false">IF(INDEX(Salary_Calculation[Source Row],ROW()-ROW(Payslip_Lookup[#Headers]))="","",INDEX(Salary_Calculation[Total Amount Due from Rider],ROW()-ROW(Payslip_Lookup[#Headers])))</f>
        <v/>
      </c>
      <c r="AC451" s="176" t="str">
        <f aca="false">IF(INDEX(Salary_Calculation[Source Row],ROW()-ROW(Payslip_Lookup[#Headers]))="","",INDEX(Salary_Calculation[Salary Before Other Deductions],ROW()-ROW(Payslip_Lookup[#Headers])))</f>
        <v/>
      </c>
      <c r="AD451" s="171" t="str">
        <f aca="false">IF(INDEX(Salary_Calculation[Source Row],ROW()-ROW(Payslip_Lookup[#Headers]))="","",INDEX(Salary_Calculation[Payment Status],ROW()-ROW(Payslip_Lookup[#Headers])))</f>
        <v/>
      </c>
      <c r="AE451" s="171" t="str">
        <f aca="false">IF(INDEX(Salary_Calculation[Source Row],ROW()-ROW(Payslip_Lookup[#Headers]))="","",INDEX(Salary_Calculation[Notes],ROW()-ROW(Payslip_Lookup[#Headers])))</f>
        <v/>
      </c>
      <c r="AF451" s="171" t="str">
        <f aca="false">IF(INDEX(Salary_Calculation[Source Row],ROW()-ROW(Payslip_Lookup[#Headers]))="","",INDEX(Salary_Calculation[Exception Reason],ROW()-ROW(Payslip_Lookup[#Headers])))</f>
        <v/>
      </c>
      <c r="AG451" s="173" t="str">
        <f aca="false">IF($AD451="Review Required",COUNTIF(AD$2:AD451,"Review Required"),"")</f>
        <v/>
      </c>
      <c r="AH451" s="173" t="str">
        <f aca="false">IF(AND($D451&lt;&gt;"",$B451=Payslip_Print!$C$2),MAX(AH$1:AH450)+1,"")</f>
        <v/>
      </c>
      <c r="AL451" s="178" t="str">
        <f aca="false">IFERROR(INDEX($D$2:$D$501,MATCH(ROW()-1,$AH$2:$AH$501,0)),"")</f>
        <v/>
      </c>
      <c r="AM451" s="179" t="str">
        <f aca="false">IF($Z451="","",IF(AND($C451&gt;=Dash_Start,$C451&lt;Dash_End),$Z451+ROW()/10000000,""))</f>
        <v/>
      </c>
    </row>
    <row r="452" customFormat="false" ht="14.25" hidden="false" customHeight="false" outlineLevel="0" collapsed="false">
      <c r="A452" s="171" t="str">
        <f aca="false">IF(Payslip_Lookup[[#This Row],[Rider ID]]="","",Payslip_Lookup[[#This Row],[Rider ID]]&amp;"|"&amp;Payslip_Lookup[[#This Row],[Month Key]])</f>
        <v/>
      </c>
      <c r="B452" s="172" t="str">
        <f aca="false">IF(ISNUMBER(Payslip_Lookup[[#This Row],[Salary Month]]),DATE(YEAR(Payslip_Lookup[[#This Row],[Salary Month]]),MONTH(Payslip_Lookup[[#This Row],[Salary Month]]),1),"")</f>
        <v/>
      </c>
      <c r="C452" s="172" t="str">
        <f aca="false">IF(INDEX(Salary_Calculation[Source Row],ROW()-ROW(Payslip_Lookup[#Headers]))="","",INDEX(Salary_Calculation[Salary Month],ROW()-ROW(Payslip_Lookup[#Headers])))</f>
        <v/>
      </c>
      <c r="D452" s="173" t="str">
        <f aca="false">IF(INDEX(Salary_Calculation[Source Row],ROW()-ROW(Payslip_Lookup[#Headers]))="","",INDEX(Salary_Calculation[Rider ID],ROW()-ROW(Payslip_Lookup[#Headers])))</f>
        <v/>
      </c>
      <c r="E452" s="171" t="str">
        <f aca="false">IF(INDEX(Salary_Calculation[Source Row],ROW()-ROW(Payslip_Lookup[#Headers]))="","",INDEX(Salary_Calculation[Rider Name],ROW()-ROW(Payslip_Lookup[#Headers])))</f>
        <v/>
      </c>
      <c r="F452" s="173" t="str">
        <f aca="false">IF(INDEX(Salary_Calculation[Source Row],ROW()-ROW(Payslip_Lookup[#Headers]))="","",INDEX(Salary_Calculation[Working Days],ROW()-ROW(Payslip_Lookup[#Headers])))</f>
        <v/>
      </c>
      <c r="G452" s="173" t="str">
        <f aca="false">IF(INDEX(Salary_Calculation[Source Row],ROW()-ROW(Payslip_Lookup[#Headers]))="","",INDEX(Salary_Calculation[Calendar Days],ROW()-ROW(Payslip_Lookup[#Headers])))</f>
        <v/>
      </c>
      <c r="H452" s="174" t="str">
        <f aca="false">IF(INDEX(Salary_Calculation[Source Row],ROW()-ROW(Payslip_Lookup[#Headers]))="","",INDEX(Salary_Calculation[Monthly Target Orders],ROW()-ROW(Payslip_Lookup[#Headers])))</f>
        <v/>
      </c>
      <c r="I452" s="174" t="str">
        <f aca="false">IF(INDEX(Salary_Calculation[Source Row],ROW()-ROW(Payslip_Lookup[#Headers]))="","",INDEX(Salary_Calculation[Rider Target Orders],ROW()-ROW(Payslip_Lookup[#Headers])))</f>
        <v/>
      </c>
      <c r="J452" s="175" t="str">
        <f aca="false">IF(INDEX(Salary_Calculation[Source Row],ROW()-ROW(Payslip_Lookup[#Headers]))="","",INDEX(Salary_Calculation[Completed Orders],ROW()-ROW(Payslip_Lookup[#Headers])))</f>
        <v/>
      </c>
      <c r="K452" s="174" t="str">
        <f aca="false">IF(INDEX(Salary_Calculation[Source Row],ROW()-ROW(Payslip_Lookup[#Headers]))="","",INDEX(Salary_Calculation[Base Order Rate],ROW()-ROW(Payslip_Lookup[#Headers])))</f>
        <v/>
      </c>
      <c r="L452" s="176" t="str">
        <f aca="false">IF(INDEX(Salary_Calculation[Source Row],ROW()-ROW(Payslip_Lookup[#Headers]))="","",INDEX(Salary_Calculation[Basic Payment],ROW()-ROW(Payslip_Lookup[#Headers])))</f>
        <v/>
      </c>
      <c r="M452" s="176" t="str">
        <f aca="false">IF(INDEX(Salary_Calculation[Source Row],ROW()-ROW(Payslip_Lookup[#Headers]))="","",INDEX(Salary_Calculation[Earned Salary],ROW()-ROW(Payslip_Lookup[#Headers])))</f>
        <v/>
      </c>
      <c r="N452" s="174" t="str">
        <f aca="false">IF(INDEX(Salary_Calculation[Source Row],ROW()-ROW(Payslip_Lookup[#Headers]))="","",INDEX(Salary_Calculation[Orders Counted at Base Rate],ROW()-ROW(Payslip_Lookup[#Headers])))</f>
        <v/>
      </c>
      <c r="O452" s="174" t="str">
        <f aca="false">IF(INDEX(Salary_Calculation[Source Row],ROW()-ROW(Payslip_Lookup[#Headers]))="","",INDEX(Salary_Calculation[Missing Orders],ROW()-ROW(Payslip_Lookup[#Headers])))</f>
        <v/>
      </c>
      <c r="P452" s="176" t="str">
        <f aca="false">IF(INDEX(Salary_Calculation[Source Row],ROW()-ROW(Payslip_Lookup[#Headers]))="","",INDEX(Salary_Calculation[Missing-Order Deduction],ROW()-ROW(Payslip_Lookup[#Headers])))</f>
        <v/>
      </c>
      <c r="Q452" s="174" t="str">
        <f aca="false">IF(INDEX(Salary_Calculation[Source Row],ROW()-ROW(Payslip_Lookup[#Headers]))="","",INDEX(Salary_Calculation[Extra Orders],ROW()-ROW(Payslip_Lookup[#Headers])))</f>
        <v/>
      </c>
      <c r="R452" s="176" t="str">
        <f aca="false">IF(INDEX(Salary_Calculation[Source Row],ROW()-ROW(Payslip_Lookup[#Headers]))="","",INDEX(Salary_Calculation[Extra-Order Bonus],ROW()-ROW(Payslip_Lookup[#Headers])))</f>
        <v/>
      </c>
      <c r="S452" s="176" t="str">
        <f aca="false">IF(INDEX(Salary_Calculation[Source Row],ROW()-ROW(Payslip_Lookup[#Headers]))="","",INDEX(Salary_Calculation[Basic Salary for Target],ROW()-ROW(Payslip_Lookup[#Headers])))</f>
        <v/>
      </c>
      <c r="T452" s="176" t="str">
        <f aca="false">IF(INDEX(Salary_Calculation[Source Row],ROW()-ROW(Payslip_Lookup[#Headers]))="","",INDEX(Salary_Calculation[Gross Salary Before Deductions],ROW()-ROW(Payslip_Lookup[#Headers])))</f>
        <v/>
      </c>
      <c r="U452" s="176" t="str">
        <f aca="false">IF(INDEX(Salary_Calculation[Source Row],ROW()-ROW(Payslip_Lookup[#Headers]))="","",INDEX(Salary_Calculation[missed_days_penalty],ROW()-ROW(Payslip_Lookup[#Headers])))</f>
        <v/>
      </c>
      <c r="V452" s="176" t="str">
        <f aca="false">IF(INDEX(Salary_Calculation[Source Row],ROW()-ROW(Payslip_Lookup[#Headers]))="","",INDEX(Salary_Calculation[Rider Balance],ROW()-ROW(Payslip_Lookup[#Headers])))</f>
        <v/>
      </c>
      <c r="W452" s="176" t="str">
        <f aca="false">IF(INDEX(Salary_Calculation[Source Row],ROW()-ROW(Payslip_Lookup[#Headers]))="","",INDEX(Salary_Calculation[stacking_deduction],ROW()-ROW(Payslip_Lookup[#Headers])))</f>
        <v/>
      </c>
      <c r="X452" s="176" t="str">
        <f aca="false">IF(INDEX(Salary_Calculation[Source Row],ROW()-ROW(Payslip_Lookup[#Headers]))="","",INDEX(Salary_Calculation[Other Deductions],ROW()-ROW(Payslip_Lookup[#Headers])))</f>
        <v/>
      </c>
      <c r="Y452" s="176" t="str">
        <f aca="false">IF(INDEX(Salary_Calculation[Source Row],ROW()-ROW(Payslip_Lookup[#Headers]))="","",INDEX(Salary_Calculation[Total Deductions],ROW()-ROW(Payslip_Lookup[#Headers])))</f>
        <v/>
      </c>
      <c r="Z452" s="176" t="str">
        <f aca="false">IF(INDEX(Salary_Calculation[Source Row],ROW()-ROW(Payslip_Lookup[#Headers]))="","",INDEX(Salary_Calculation[Final Salary],ROW()-ROW(Payslip_Lookup[#Headers])))</f>
        <v/>
      </c>
      <c r="AA452" s="176" t="str">
        <f aca="false">IF(INDEX(Salary_Calculation[Source Row],ROW()-ROW(Payslip_Lookup[#Headers]))="","",INDEX(Salary_Calculation[Negative Balance / Amount Due from Rider],ROW()-ROW(Payslip_Lookup[#Headers])))</f>
        <v/>
      </c>
      <c r="AB452" s="176" t="str">
        <f aca="false">IF(INDEX(Salary_Calculation[Source Row],ROW()-ROW(Payslip_Lookup[#Headers]))="","",INDEX(Salary_Calculation[Total Amount Due from Rider],ROW()-ROW(Payslip_Lookup[#Headers])))</f>
        <v/>
      </c>
      <c r="AC452" s="176" t="str">
        <f aca="false">IF(INDEX(Salary_Calculation[Source Row],ROW()-ROW(Payslip_Lookup[#Headers]))="","",INDEX(Salary_Calculation[Salary Before Other Deductions],ROW()-ROW(Payslip_Lookup[#Headers])))</f>
        <v/>
      </c>
      <c r="AD452" s="171" t="str">
        <f aca="false">IF(INDEX(Salary_Calculation[Source Row],ROW()-ROW(Payslip_Lookup[#Headers]))="","",INDEX(Salary_Calculation[Payment Status],ROW()-ROW(Payslip_Lookup[#Headers])))</f>
        <v/>
      </c>
      <c r="AE452" s="171" t="str">
        <f aca="false">IF(INDEX(Salary_Calculation[Source Row],ROW()-ROW(Payslip_Lookup[#Headers]))="","",INDEX(Salary_Calculation[Notes],ROW()-ROW(Payslip_Lookup[#Headers])))</f>
        <v/>
      </c>
      <c r="AF452" s="171" t="str">
        <f aca="false">IF(INDEX(Salary_Calculation[Source Row],ROW()-ROW(Payslip_Lookup[#Headers]))="","",INDEX(Salary_Calculation[Exception Reason],ROW()-ROW(Payslip_Lookup[#Headers])))</f>
        <v/>
      </c>
      <c r="AG452" s="173" t="str">
        <f aca="false">IF($AD452="Review Required",COUNTIF(AD$2:AD452,"Review Required"),"")</f>
        <v/>
      </c>
      <c r="AH452" s="173" t="str">
        <f aca="false">IF(AND($D452&lt;&gt;"",$B452=Payslip_Print!$C$2),MAX(AH$1:AH451)+1,"")</f>
        <v/>
      </c>
      <c r="AL452" s="178" t="str">
        <f aca="false">IFERROR(INDEX($D$2:$D$501,MATCH(ROW()-1,$AH$2:$AH$501,0)),"")</f>
        <v/>
      </c>
      <c r="AM452" s="179" t="str">
        <f aca="false">IF($Z452="","",IF(AND($C452&gt;=Dash_Start,$C452&lt;Dash_End),$Z452+ROW()/10000000,""))</f>
        <v/>
      </c>
    </row>
    <row r="453" customFormat="false" ht="14.25" hidden="false" customHeight="false" outlineLevel="0" collapsed="false">
      <c r="A453" s="171" t="str">
        <f aca="false">IF(Payslip_Lookup[[#This Row],[Rider ID]]="","",Payslip_Lookup[[#This Row],[Rider ID]]&amp;"|"&amp;Payslip_Lookup[[#This Row],[Month Key]])</f>
        <v/>
      </c>
      <c r="B453" s="172" t="str">
        <f aca="false">IF(ISNUMBER(Payslip_Lookup[[#This Row],[Salary Month]]),DATE(YEAR(Payslip_Lookup[[#This Row],[Salary Month]]),MONTH(Payslip_Lookup[[#This Row],[Salary Month]]),1),"")</f>
        <v/>
      </c>
      <c r="C453" s="172" t="str">
        <f aca="false">IF(INDEX(Salary_Calculation[Source Row],ROW()-ROW(Payslip_Lookup[#Headers]))="","",INDEX(Salary_Calculation[Salary Month],ROW()-ROW(Payslip_Lookup[#Headers])))</f>
        <v/>
      </c>
      <c r="D453" s="173" t="str">
        <f aca="false">IF(INDEX(Salary_Calculation[Source Row],ROW()-ROW(Payslip_Lookup[#Headers]))="","",INDEX(Salary_Calculation[Rider ID],ROW()-ROW(Payslip_Lookup[#Headers])))</f>
        <v/>
      </c>
      <c r="E453" s="171" t="str">
        <f aca="false">IF(INDEX(Salary_Calculation[Source Row],ROW()-ROW(Payslip_Lookup[#Headers]))="","",INDEX(Salary_Calculation[Rider Name],ROW()-ROW(Payslip_Lookup[#Headers])))</f>
        <v/>
      </c>
      <c r="F453" s="173" t="str">
        <f aca="false">IF(INDEX(Salary_Calculation[Source Row],ROW()-ROW(Payslip_Lookup[#Headers]))="","",INDEX(Salary_Calculation[Working Days],ROW()-ROW(Payslip_Lookup[#Headers])))</f>
        <v/>
      </c>
      <c r="G453" s="173" t="str">
        <f aca="false">IF(INDEX(Salary_Calculation[Source Row],ROW()-ROW(Payslip_Lookup[#Headers]))="","",INDEX(Salary_Calculation[Calendar Days],ROW()-ROW(Payslip_Lookup[#Headers])))</f>
        <v/>
      </c>
      <c r="H453" s="174" t="str">
        <f aca="false">IF(INDEX(Salary_Calculation[Source Row],ROW()-ROW(Payslip_Lookup[#Headers]))="","",INDEX(Salary_Calculation[Monthly Target Orders],ROW()-ROW(Payslip_Lookup[#Headers])))</f>
        <v/>
      </c>
      <c r="I453" s="174" t="str">
        <f aca="false">IF(INDEX(Salary_Calculation[Source Row],ROW()-ROW(Payslip_Lookup[#Headers]))="","",INDEX(Salary_Calculation[Rider Target Orders],ROW()-ROW(Payslip_Lookup[#Headers])))</f>
        <v/>
      </c>
      <c r="J453" s="175" t="str">
        <f aca="false">IF(INDEX(Salary_Calculation[Source Row],ROW()-ROW(Payslip_Lookup[#Headers]))="","",INDEX(Salary_Calculation[Completed Orders],ROW()-ROW(Payslip_Lookup[#Headers])))</f>
        <v/>
      </c>
      <c r="K453" s="174" t="str">
        <f aca="false">IF(INDEX(Salary_Calculation[Source Row],ROW()-ROW(Payslip_Lookup[#Headers]))="","",INDEX(Salary_Calculation[Base Order Rate],ROW()-ROW(Payslip_Lookup[#Headers])))</f>
        <v/>
      </c>
      <c r="L453" s="176" t="str">
        <f aca="false">IF(INDEX(Salary_Calculation[Source Row],ROW()-ROW(Payslip_Lookup[#Headers]))="","",INDEX(Salary_Calculation[Basic Payment],ROW()-ROW(Payslip_Lookup[#Headers])))</f>
        <v/>
      </c>
      <c r="M453" s="176" t="str">
        <f aca="false">IF(INDEX(Salary_Calculation[Source Row],ROW()-ROW(Payslip_Lookup[#Headers]))="","",INDEX(Salary_Calculation[Earned Salary],ROW()-ROW(Payslip_Lookup[#Headers])))</f>
        <v/>
      </c>
      <c r="N453" s="174" t="str">
        <f aca="false">IF(INDEX(Salary_Calculation[Source Row],ROW()-ROW(Payslip_Lookup[#Headers]))="","",INDEX(Salary_Calculation[Orders Counted at Base Rate],ROW()-ROW(Payslip_Lookup[#Headers])))</f>
        <v/>
      </c>
      <c r="O453" s="174" t="str">
        <f aca="false">IF(INDEX(Salary_Calculation[Source Row],ROW()-ROW(Payslip_Lookup[#Headers]))="","",INDEX(Salary_Calculation[Missing Orders],ROW()-ROW(Payslip_Lookup[#Headers])))</f>
        <v/>
      </c>
      <c r="P453" s="176" t="str">
        <f aca="false">IF(INDEX(Salary_Calculation[Source Row],ROW()-ROW(Payslip_Lookup[#Headers]))="","",INDEX(Salary_Calculation[Missing-Order Deduction],ROW()-ROW(Payslip_Lookup[#Headers])))</f>
        <v/>
      </c>
      <c r="Q453" s="174" t="str">
        <f aca="false">IF(INDEX(Salary_Calculation[Source Row],ROW()-ROW(Payslip_Lookup[#Headers]))="","",INDEX(Salary_Calculation[Extra Orders],ROW()-ROW(Payslip_Lookup[#Headers])))</f>
        <v/>
      </c>
      <c r="R453" s="176" t="str">
        <f aca="false">IF(INDEX(Salary_Calculation[Source Row],ROW()-ROW(Payslip_Lookup[#Headers]))="","",INDEX(Salary_Calculation[Extra-Order Bonus],ROW()-ROW(Payslip_Lookup[#Headers])))</f>
        <v/>
      </c>
      <c r="S453" s="176" t="str">
        <f aca="false">IF(INDEX(Salary_Calculation[Source Row],ROW()-ROW(Payslip_Lookup[#Headers]))="","",INDEX(Salary_Calculation[Basic Salary for Target],ROW()-ROW(Payslip_Lookup[#Headers])))</f>
        <v/>
      </c>
      <c r="T453" s="176" t="str">
        <f aca="false">IF(INDEX(Salary_Calculation[Source Row],ROW()-ROW(Payslip_Lookup[#Headers]))="","",INDEX(Salary_Calculation[Gross Salary Before Deductions],ROW()-ROW(Payslip_Lookup[#Headers])))</f>
        <v/>
      </c>
      <c r="U453" s="176" t="str">
        <f aca="false">IF(INDEX(Salary_Calculation[Source Row],ROW()-ROW(Payslip_Lookup[#Headers]))="","",INDEX(Salary_Calculation[missed_days_penalty],ROW()-ROW(Payslip_Lookup[#Headers])))</f>
        <v/>
      </c>
      <c r="V453" s="176" t="str">
        <f aca="false">IF(INDEX(Salary_Calculation[Source Row],ROW()-ROW(Payslip_Lookup[#Headers]))="","",INDEX(Salary_Calculation[Rider Balance],ROW()-ROW(Payslip_Lookup[#Headers])))</f>
        <v/>
      </c>
      <c r="W453" s="176" t="str">
        <f aca="false">IF(INDEX(Salary_Calculation[Source Row],ROW()-ROW(Payslip_Lookup[#Headers]))="","",INDEX(Salary_Calculation[stacking_deduction],ROW()-ROW(Payslip_Lookup[#Headers])))</f>
        <v/>
      </c>
      <c r="X453" s="176" t="str">
        <f aca="false">IF(INDEX(Salary_Calculation[Source Row],ROW()-ROW(Payslip_Lookup[#Headers]))="","",INDEX(Salary_Calculation[Other Deductions],ROW()-ROW(Payslip_Lookup[#Headers])))</f>
        <v/>
      </c>
      <c r="Y453" s="176" t="str">
        <f aca="false">IF(INDEX(Salary_Calculation[Source Row],ROW()-ROW(Payslip_Lookup[#Headers]))="","",INDEX(Salary_Calculation[Total Deductions],ROW()-ROW(Payslip_Lookup[#Headers])))</f>
        <v/>
      </c>
      <c r="Z453" s="176" t="str">
        <f aca="false">IF(INDEX(Salary_Calculation[Source Row],ROW()-ROW(Payslip_Lookup[#Headers]))="","",INDEX(Salary_Calculation[Final Salary],ROW()-ROW(Payslip_Lookup[#Headers])))</f>
        <v/>
      </c>
      <c r="AA453" s="176" t="str">
        <f aca="false">IF(INDEX(Salary_Calculation[Source Row],ROW()-ROW(Payslip_Lookup[#Headers]))="","",INDEX(Salary_Calculation[Negative Balance / Amount Due from Rider],ROW()-ROW(Payslip_Lookup[#Headers])))</f>
        <v/>
      </c>
      <c r="AB453" s="176" t="str">
        <f aca="false">IF(INDEX(Salary_Calculation[Source Row],ROW()-ROW(Payslip_Lookup[#Headers]))="","",INDEX(Salary_Calculation[Total Amount Due from Rider],ROW()-ROW(Payslip_Lookup[#Headers])))</f>
        <v/>
      </c>
      <c r="AC453" s="176" t="str">
        <f aca="false">IF(INDEX(Salary_Calculation[Source Row],ROW()-ROW(Payslip_Lookup[#Headers]))="","",INDEX(Salary_Calculation[Salary Before Other Deductions],ROW()-ROW(Payslip_Lookup[#Headers])))</f>
        <v/>
      </c>
      <c r="AD453" s="171" t="str">
        <f aca="false">IF(INDEX(Salary_Calculation[Source Row],ROW()-ROW(Payslip_Lookup[#Headers]))="","",INDEX(Salary_Calculation[Payment Status],ROW()-ROW(Payslip_Lookup[#Headers])))</f>
        <v/>
      </c>
      <c r="AE453" s="171" t="str">
        <f aca="false">IF(INDEX(Salary_Calculation[Source Row],ROW()-ROW(Payslip_Lookup[#Headers]))="","",INDEX(Salary_Calculation[Notes],ROW()-ROW(Payslip_Lookup[#Headers])))</f>
        <v/>
      </c>
      <c r="AF453" s="171" t="str">
        <f aca="false">IF(INDEX(Salary_Calculation[Source Row],ROW()-ROW(Payslip_Lookup[#Headers]))="","",INDEX(Salary_Calculation[Exception Reason],ROW()-ROW(Payslip_Lookup[#Headers])))</f>
        <v/>
      </c>
      <c r="AG453" s="173" t="str">
        <f aca="false">IF($AD453="Review Required",COUNTIF(AD$2:AD453,"Review Required"),"")</f>
        <v/>
      </c>
      <c r="AH453" s="173" t="str">
        <f aca="false">IF(AND($D453&lt;&gt;"",$B453=Payslip_Print!$C$2),MAX(AH$1:AH452)+1,"")</f>
        <v/>
      </c>
      <c r="AL453" s="178" t="str">
        <f aca="false">IFERROR(INDEX($D$2:$D$501,MATCH(ROW()-1,$AH$2:$AH$501,0)),"")</f>
        <v/>
      </c>
      <c r="AM453" s="179" t="str">
        <f aca="false">IF($Z453="","",IF(AND($C453&gt;=Dash_Start,$C453&lt;Dash_End),$Z453+ROW()/10000000,""))</f>
        <v/>
      </c>
    </row>
    <row r="454" customFormat="false" ht="14.25" hidden="false" customHeight="false" outlineLevel="0" collapsed="false">
      <c r="A454" s="171" t="str">
        <f aca="false">IF(Payslip_Lookup[[#This Row],[Rider ID]]="","",Payslip_Lookup[[#This Row],[Rider ID]]&amp;"|"&amp;Payslip_Lookup[[#This Row],[Month Key]])</f>
        <v/>
      </c>
      <c r="B454" s="172" t="str">
        <f aca="false">IF(ISNUMBER(Payslip_Lookup[[#This Row],[Salary Month]]),DATE(YEAR(Payslip_Lookup[[#This Row],[Salary Month]]),MONTH(Payslip_Lookup[[#This Row],[Salary Month]]),1),"")</f>
        <v/>
      </c>
      <c r="C454" s="172" t="str">
        <f aca="false">IF(INDEX(Salary_Calculation[Source Row],ROW()-ROW(Payslip_Lookup[#Headers]))="","",INDEX(Salary_Calculation[Salary Month],ROW()-ROW(Payslip_Lookup[#Headers])))</f>
        <v/>
      </c>
      <c r="D454" s="173" t="str">
        <f aca="false">IF(INDEX(Salary_Calculation[Source Row],ROW()-ROW(Payslip_Lookup[#Headers]))="","",INDEX(Salary_Calculation[Rider ID],ROW()-ROW(Payslip_Lookup[#Headers])))</f>
        <v/>
      </c>
      <c r="E454" s="171" t="str">
        <f aca="false">IF(INDEX(Salary_Calculation[Source Row],ROW()-ROW(Payslip_Lookup[#Headers]))="","",INDEX(Salary_Calculation[Rider Name],ROW()-ROW(Payslip_Lookup[#Headers])))</f>
        <v/>
      </c>
      <c r="F454" s="173" t="str">
        <f aca="false">IF(INDEX(Salary_Calculation[Source Row],ROW()-ROW(Payslip_Lookup[#Headers]))="","",INDEX(Salary_Calculation[Working Days],ROW()-ROW(Payslip_Lookup[#Headers])))</f>
        <v/>
      </c>
      <c r="G454" s="173" t="str">
        <f aca="false">IF(INDEX(Salary_Calculation[Source Row],ROW()-ROW(Payslip_Lookup[#Headers]))="","",INDEX(Salary_Calculation[Calendar Days],ROW()-ROW(Payslip_Lookup[#Headers])))</f>
        <v/>
      </c>
      <c r="H454" s="174" t="str">
        <f aca="false">IF(INDEX(Salary_Calculation[Source Row],ROW()-ROW(Payslip_Lookup[#Headers]))="","",INDEX(Salary_Calculation[Monthly Target Orders],ROW()-ROW(Payslip_Lookup[#Headers])))</f>
        <v/>
      </c>
      <c r="I454" s="174" t="str">
        <f aca="false">IF(INDEX(Salary_Calculation[Source Row],ROW()-ROW(Payslip_Lookup[#Headers]))="","",INDEX(Salary_Calculation[Rider Target Orders],ROW()-ROW(Payslip_Lookup[#Headers])))</f>
        <v/>
      </c>
      <c r="J454" s="175" t="str">
        <f aca="false">IF(INDEX(Salary_Calculation[Source Row],ROW()-ROW(Payslip_Lookup[#Headers]))="","",INDEX(Salary_Calculation[Completed Orders],ROW()-ROW(Payslip_Lookup[#Headers])))</f>
        <v/>
      </c>
      <c r="K454" s="174" t="str">
        <f aca="false">IF(INDEX(Salary_Calculation[Source Row],ROW()-ROW(Payslip_Lookup[#Headers]))="","",INDEX(Salary_Calculation[Base Order Rate],ROW()-ROW(Payslip_Lookup[#Headers])))</f>
        <v/>
      </c>
      <c r="L454" s="176" t="str">
        <f aca="false">IF(INDEX(Salary_Calculation[Source Row],ROW()-ROW(Payslip_Lookup[#Headers]))="","",INDEX(Salary_Calculation[Basic Payment],ROW()-ROW(Payslip_Lookup[#Headers])))</f>
        <v/>
      </c>
      <c r="M454" s="176" t="str">
        <f aca="false">IF(INDEX(Salary_Calculation[Source Row],ROW()-ROW(Payslip_Lookup[#Headers]))="","",INDEX(Salary_Calculation[Earned Salary],ROW()-ROW(Payslip_Lookup[#Headers])))</f>
        <v/>
      </c>
      <c r="N454" s="174" t="str">
        <f aca="false">IF(INDEX(Salary_Calculation[Source Row],ROW()-ROW(Payslip_Lookup[#Headers]))="","",INDEX(Salary_Calculation[Orders Counted at Base Rate],ROW()-ROW(Payslip_Lookup[#Headers])))</f>
        <v/>
      </c>
      <c r="O454" s="174" t="str">
        <f aca="false">IF(INDEX(Salary_Calculation[Source Row],ROW()-ROW(Payslip_Lookup[#Headers]))="","",INDEX(Salary_Calculation[Missing Orders],ROW()-ROW(Payslip_Lookup[#Headers])))</f>
        <v/>
      </c>
      <c r="P454" s="176" t="str">
        <f aca="false">IF(INDEX(Salary_Calculation[Source Row],ROW()-ROW(Payslip_Lookup[#Headers]))="","",INDEX(Salary_Calculation[Missing-Order Deduction],ROW()-ROW(Payslip_Lookup[#Headers])))</f>
        <v/>
      </c>
      <c r="Q454" s="174" t="str">
        <f aca="false">IF(INDEX(Salary_Calculation[Source Row],ROW()-ROW(Payslip_Lookup[#Headers]))="","",INDEX(Salary_Calculation[Extra Orders],ROW()-ROW(Payslip_Lookup[#Headers])))</f>
        <v/>
      </c>
      <c r="R454" s="176" t="str">
        <f aca="false">IF(INDEX(Salary_Calculation[Source Row],ROW()-ROW(Payslip_Lookup[#Headers]))="","",INDEX(Salary_Calculation[Extra-Order Bonus],ROW()-ROW(Payslip_Lookup[#Headers])))</f>
        <v/>
      </c>
      <c r="S454" s="176" t="str">
        <f aca="false">IF(INDEX(Salary_Calculation[Source Row],ROW()-ROW(Payslip_Lookup[#Headers]))="","",INDEX(Salary_Calculation[Basic Salary for Target],ROW()-ROW(Payslip_Lookup[#Headers])))</f>
        <v/>
      </c>
      <c r="T454" s="176" t="str">
        <f aca="false">IF(INDEX(Salary_Calculation[Source Row],ROW()-ROW(Payslip_Lookup[#Headers]))="","",INDEX(Salary_Calculation[Gross Salary Before Deductions],ROW()-ROW(Payslip_Lookup[#Headers])))</f>
        <v/>
      </c>
      <c r="U454" s="176" t="str">
        <f aca="false">IF(INDEX(Salary_Calculation[Source Row],ROW()-ROW(Payslip_Lookup[#Headers]))="","",INDEX(Salary_Calculation[missed_days_penalty],ROW()-ROW(Payslip_Lookup[#Headers])))</f>
        <v/>
      </c>
      <c r="V454" s="176" t="str">
        <f aca="false">IF(INDEX(Salary_Calculation[Source Row],ROW()-ROW(Payslip_Lookup[#Headers]))="","",INDEX(Salary_Calculation[Rider Balance],ROW()-ROW(Payslip_Lookup[#Headers])))</f>
        <v/>
      </c>
      <c r="W454" s="176" t="str">
        <f aca="false">IF(INDEX(Salary_Calculation[Source Row],ROW()-ROW(Payslip_Lookup[#Headers]))="","",INDEX(Salary_Calculation[stacking_deduction],ROW()-ROW(Payslip_Lookup[#Headers])))</f>
        <v/>
      </c>
      <c r="X454" s="176" t="str">
        <f aca="false">IF(INDEX(Salary_Calculation[Source Row],ROW()-ROW(Payslip_Lookup[#Headers]))="","",INDEX(Salary_Calculation[Other Deductions],ROW()-ROW(Payslip_Lookup[#Headers])))</f>
        <v/>
      </c>
      <c r="Y454" s="176" t="str">
        <f aca="false">IF(INDEX(Salary_Calculation[Source Row],ROW()-ROW(Payslip_Lookup[#Headers]))="","",INDEX(Salary_Calculation[Total Deductions],ROW()-ROW(Payslip_Lookup[#Headers])))</f>
        <v/>
      </c>
      <c r="Z454" s="176" t="str">
        <f aca="false">IF(INDEX(Salary_Calculation[Source Row],ROW()-ROW(Payslip_Lookup[#Headers]))="","",INDEX(Salary_Calculation[Final Salary],ROW()-ROW(Payslip_Lookup[#Headers])))</f>
        <v/>
      </c>
      <c r="AA454" s="176" t="str">
        <f aca="false">IF(INDEX(Salary_Calculation[Source Row],ROW()-ROW(Payslip_Lookup[#Headers]))="","",INDEX(Salary_Calculation[Negative Balance / Amount Due from Rider],ROW()-ROW(Payslip_Lookup[#Headers])))</f>
        <v/>
      </c>
      <c r="AB454" s="176" t="str">
        <f aca="false">IF(INDEX(Salary_Calculation[Source Row],ROW()-ROW(Payslip_Lookup[#Headers]))="","",INDEX(Salary_Calculation[Total Amount Due from Rider],ROW()-ROW(Payslip_Lookup[#Headers])))</f>
        <v/>
      </c>
      <c r="AC454" s="176" t="str">
        <f aca="false">IF(INDEX(Salary_Calculation[Source Row],ROW()-ROW(Payslip_Lookup[#Headers]))="","",INDEX(Salary_Calculation[Salary Before Other Deductions],ROW()-ROW(Payslip_Lookup[#Headers])))</f>
        <v/>
      </c>
      <c r="AD454" s="171" t="str">
        <f aca="false">IF(INDEX(Salary_Calculation[Source Row],ROW()-ROW(Payslip_Lookup[#Headers]))="","",INDEX(Salary_Calculation[Payment Status],ROW()-ROW(Payslip_Lookup[#Headers])))</f>
        <v/>
      </c>
      <c r="AE454" s="171" t="str">
        <f aca="false">IF(INDEX(Salary_Calculation[Source Row],ROW()-ROW(Payslip_Lookup[#Headers]))="","",INDEX(Salary_Calculation[Notes],ROW()-ROW(Payslip_Lookup[#Headers])))</f>
        <v/>
      </c>
      <c r="AF454" s="171" t="str">
        <f aca="false">IF(INDEX(Salary_Calculation[Source Row],ROW()-ROW(Payslip_Lookup[#Headers]))="","",INDEX(Salary_Calculation[Exception Reason],ROW()-ROW(Payslip_Lookup[#Headers])))</f>
        <v/>
      </c>
      <c r="AG454" s="173" t="str">
        <f aca="false">IF($AD454="Review Required",COUNTIF(AD$2:AD454,"Review Required"),"")</f>
        <v/>
      </c>
      <c r="AH454" s="173" t="str">
        <f aca="false">IF(AND($D454&lt;&gt;"",$B454=Payslip_Print!$C$2),MAX(AH$1:AH453)+1,"")</f>
        <v/>
      </c>
      <c r="AL454" s="178" t="str">
        <f aca="false">IFERROR(INDEX($D$2:$D$501,MATCH(ROW()-1,$AH$2:$AH$501,0)),"")</f>
        <v/>
      </c>
      <c r="AM454" s="179" t="str">
        <f aca="false">IF($Z454="","",IF(AND($C454&gt;=Dash_Start,$C454&lt;Dash_End),$Z454+ROW()/10000000,""))</f>
        <v/>
      </c>
    </row>
    <row r="455" customFormat="false" ht="14.25" hidden="false" customHeight="false" outlineLevel="0" collapsed="false">
      <c r="A455" s="171" t="str">
        <f aca="false">IF(Payslip_Lookup[[#This Row],[Rider ID]]="","",Payslip_Lookup[[#This Row],[Rider ID]]&amp;"|"&amp;Payslip_Lookup[[#This Row],[Month Key]])</f>
        <v/>
      </c>
      <c r="B455" s="172" t="str">
        <f aca="false">IF(ISNUMBER(Payslip_Lookup[[#This Row],[Salary Month]]),DATE(YEAR(Payslip_Lookup[[#This Row],[Salary Month]]),MONTH(Payslip_Lookup[[#This Row],[Salary Month]]),1),"")</f>
        <v/>
      </c>
      <c r="C455" s="172" t="str">
        <f aca="false">IF(INDEX(Salary_Calculation[Source Row],ROW()-ROW(Payslip_Lookup[#Headers]))="","",INDEX(Salary_Calculation[Salary Month],ROW()-ROW(Payslip_Lookup[#Headers])))</f>
        <v/>
      </c>
      <c r="D455" s="173" t="str">
        <f aca="false">IF(INDEX(Salary_Calculation[Source Row],ROW()-ROW(Payslip_Lookup[#Headers]))="","",INDEX(Salary_Calculation[Rider ID],ROW()-ROW(Payslip_Lookup[#Headers])))</f>
        <v/>
      </c>
      <c r="E455" s="171" t="str">
        <f aca="false">IF(INDEX(Salary_Calculation[Source Row],ROW()-ROW(Payslip_Lookup[#Headers]))="","",INDEX(Salary_Calculation[Rider Name],ROW()-ROW(Payslip_Lookup[#Headers])))</f>
        <v/>
      </c>
      <c r="F455" s="173" t="str">
        <f aca="false">IF(INDEX(Salary_Calculation[Source Row],ROW()-ROW(Payslip_Lookup[#Headers]))="","",INDEX(Salary_Calculation[Working Days],ROW()-ROW(Payslip_Lookup[#Headers])))</f>
        <v/>
      </c>
      <c r="G455" s="173" t="str">
        <f aca="false">IF(INDEX(Salary_Calculation[Source Row],ROW()-ROW(Payslip_Lookup[#Headers]))="","",INDEX(Salary_Calculation[Calendar Days],ROW()-ROW(Payslip_Lookup[#Headers])))</f>
        <v/>
      </c>
      <c r="H455" s="174" t="str">
        <f aca="false">IF(INDEX(Salary_Calculation[Source Row],ROW()-ROW(Payslip_Lookup[#Headers]))="","",INDEX(Salary_Calculation[Monthly Target Orders],ROW()-ROW(Payslip_Lookup[#Headers])))</f>
        <v/>
      </c>
      <c r="I455" s="174" t="str">
        <f aca="false">IF(INDEX(Salary_Calculation[Source Row],ROW()-ROW(Payslip_Lookup[#Headers]))="","",INDEX(Salary_Calculation[Rider Target Orders],ROW()-ROW(Payslip_Lookup[#Headers])))</f>
        <v/>
      </c>
      <c r="J455" s="175" t="str">
        <f aca="false">IF(INDEX(Salary_Calculation[Source Row],ROW()-ROW(Payslip_Lookup[#Headers]))="","",INDEX(Salary_Calculation[Completed Orders],ROW()-ROW(Payslip_Lookup[#Headers])))</f>
        <v/>
      </c>
      <c r="K455" s="174" t="str">
        <f aca="false">IF(INDEX(Salary_Calculation[Source Row],ROW()-ROW(Payslip_Lookup[#Headers]))="","",INDEX(Salary_Calculation[Base Order Rate],ROW()-ROW(Payslip_Lookup[#Headers])))</f>
        <v/>
      </c>
      <c r="L455" s="176" t="str">
        <f aca="false">IF(INDEX(Salary_Calculation[Source Row],ROW()-ROW(Payslip_Lookup[#Headers]))="","",INDEX(Salary_Calculation[Basic Payment],ROW()-ROW(Payslip_Lookup[#Headers])))</f>
        <v/>
      </c>
      <c r="M455" s="176" t="str">
        <f aca="false">IF(INDEX(Salary_Calculation[Source Row],ROW()-ROW(Payslip_Lookup[#Headers]))="","",INDEX(Salary_Calculation[Earned Salary],ROW()-ROW(Payslip_Lookup[#Headers])))</f>
        <v/>
      </c>
      <c r="N455" s="174" t="str">
        <f aca="false">IF(INDEX(Salary_Calculation[Source Row],ROW()-ROW(Payslip_Lookup[#Headers]))="","",INDEX(Salary_Calculation[Orders Counted at Base Rate],ROW()-ROW(Payslip_Lookup[#Headers])))</f>
        <v/>
      </c>
      <c r="O455" s="174" t="str">
        <f aca="false">IF(INDEX(Salary_Calculation[Source Row],ROW()-ROW(Payslip_Lookup[#Headers]))="","",INDEX(Salary_Calculation[Missing Orders],ROW()-ROW(Payslip_Lookup[#Headers])))</f>
        <v/>
      </c>
      <c r="P455" s="176" t="str">
        <f aca="false">IF(INDEX(Salary_Calculation[Source Row],ROW()-ROW(Payslip_Lookup[#Headers]))="","",INDEX(Salary_Calculation[Missing-Order Deduction],ROW()-ROW(Payslip_Lookup[#Headers])))</f>
        <v/>
      </c>
      <c r="Q455" s="174" t="str">
        <f aca="false">IF(INDEX(Salary_Calculation[Source Row],ROW()-ROW(Payslip_Lookup[#Headers]))="","",INDEX(Salary_Calculation[Extra Orders],ROW()-ROW(Payslip_Lookup[#Headers])))</f>
        <v/>
      </c>
      <c r="R455" s="176" t="str">
        <f aca="false">IF(INDEX(Salary_Calculation[Source Row],ROW()-ROW(Payslip_Lookup[#Headers]))="","",INDEX(Salary_Calculation[Extra-Order Bonus],ROW()-ROW(Payslip_Lookup[#Headers])))</f>
        <v/>
      </c>
      <c r="S455" s="176" t="str">
        <f aca="false">IF(INDEX(Salary_Calculation[Source Row],ROW()-ROW(Payslip_Lookup[#Headers]))="","",INDEX(Salary_Calculation[Basic Salary for Target],ROW()-ROW(Payslip_Lookup[#Headers])))</f>
        <v/>
      </c>
      <c r="T455" s="176" t="str">
        <f aca="false">IF(INDEX(Salary_Calculation[Source Row],ROW()-ROW(Payslip_Lookup[#Headers]))="","",INDEX(Salary_Calculation[Gross Salary Before Deductions],ROW()-ROW(Payslip_Lookup[#Headers])))</f>
        <v/>
      </c>
      <c r="U455" s="176" t="str">
        <f aca="false">IF(INDEX(Salary_Calculation[Source Row],ROW()-ROW(Payslip_Lookup[#Headers]))="","",INDEX(Salary_Calculation[missed_days_penalty],ROW()-ROW(Payslip_Lookup[#Headers])))</f>
        <v/>
      </c>
      <c r="V455" s="176" t="str">
        <f aca="false">IF(INDEX(Salary_Calculation[Source Row],ROW()-ROW(Payslip_Lookup[#Headers]))="","",INDEX(Salary_Calculation[Rider Balance],ROW()-ROW(Payslip_Lookup[#Headers])))</f>
        <v/>
      </c>
      <c r="W455" s="176" t="str">
        <f aca="false">IF(INDEX(Salary_Calculation[Source Row],ROW()-ROW(Payslip_Lookup[#Headers]))="","",INDEX(Salary_Calculation[stacking_deduction],ROW()-ROW(Payslip_Lookup[#Headers])))</f>
        <v/>
      </c>
      <c r="X455" s="176" t="str">
        <f aca="false">IF(INDEX(Salary_Calculation[Source Row],ROW()-ROW(Payslip_Lookup[#Headers]))="","",INDEX(Salary_Calculation[Other Deductions],ROW()-ROW(Payslip_Lookup[#Headers])))</f>
        <v/>
      </c>
      <c r="Y455" s="176" t="str">
        <f aca="false">IF(INDEX(Salary_Calculation[Source Row],ROW()-ROW(Payslip_Lookup[#Headers]))="","",INDEX(Salary_Calculation[Total Deductions],ROW()-ROW(Payslip_Lookup[#Headers])))</f>
        <v/>
      </c>
      <c r="Z455" s="176" t="str">
        <f aca="false">IF(INDEX(Salary_Calculation[Source Row],ROW()-ROW(Payslip_Lookup[#Headers]))="","",INDEX(Salary_Calculation[Final Salary],ROW()-ROW(Payslip_Lookup[#Headers])))</f>
        <v/>
      </c>
      <c r="AA455" s="176" t="str">
        <f aca="false">IF(INDEX(Salary_Calculation[Source Row],ROW()-ROW(Payslip_Lookup[#Headers]))="","",INDEX(Salary_Calculation[Negative Balance / Amount Due from Rider],ROW()-ROW(Payslip_Lookup[#Headers])))</f>
        <v/>
      </c>
      <c r="AB455" s="176" t="str">
        <f aca="false">IF(INDEX(Salary_Calculation[Source Row],ROW()-ROW(Payslip_Lookup[#Headers]))="","",INDEX(Salary_Calculation[Total Amount Due from Rider],ROW()-ROW(Payslip_Lookup[#Headers])))</f>
        <v/>
      </c>
      <c r="AC455" s="176" t="str">
        <f aca="false">IF(INDEX(Salary_Calculation[Source Row],ROW()-ROW(Payslip_Lookup[#Headers]))="","",INDEX(Salary_Calculation[Salary Before Other Deductions],ROW()-ROW(Payslip_Lookup[#Headers])))</f>
        <v/>
      </c>
      <c r="AD455" s="171" t="str">
        <f aca="false">IF(INDEX(Salary_Calculation[Source Row],ROW()-ROW(Payslip_Lookup[#Headers]))="","",INDEX(Salary_Calculation[Payment Status],ROW()-ROW(Payslip_Lookup[#Headers])))</f>
        <v/>
      </c>
      <c r="AE455" s="171" t="str">
        <f aca="false">IF(INDEX(Salary_Calculation[Source Row],ROW()-ROW(Payslip_Lookup[#Headers]))="","",INDEX(Salary_Calculation[Notes],ROW()-ROW(Payslip_Lookup[#Headers])))</f>
        <v/>
      </c>
      <c r="AF455" s="171" t="str">
        <f aca="false">IF(INDEX(Salary_Calculation[Source Row],ROW()-ROW(Payslip_Lookup[#Headers]))="","",INDEX(Salary_Calculation[Exception Reason],ROW()-ROW(Payslip_Lookup[#Headers])))</f>
        <v/>
      </c>
      <c r="AG455" s="173" t="str">
        <f aca="false">IF($AD455="Review Required",COUNTIF(AD$2:AD455,"Review Required"),"")</f>
        <v/>
      </c>
      <c r="AH455" s="173" t="str">
        <f aca="false">IF(AND($D455&lt;&gt;"",$B455=Payslip_Print!$C$2),MAX(AH$1:AH454)+1,"")</f>
        <v/>
      </c>
      <c r="AL455" s="178" t="str">
        <f aca="false">IFERROR(INDEX($D$2:$D$501,MATCH(ROW()-1,$AH$2:$AH$501,0)),"")</f>
        <v/>
      </c>
      <c r="AM455" s="179" t="str">
        <f aca="false">IF($Z455="","",IF(AND($C455&gt;=Dash_Start,$C455&lt;Dash_End),$Z455+ROW()/10000000,""))</f>
        <v/>
      </c>
    </row>
    <row r="456" customFormat="false" ht="14.25" hidden="false" customHeight="false" outlineLevel="0" collapsed="false">
      <c r="A456" s="171" t="str">
        <f aca="false">IF(Payslip_Lookup[[#This Row],[Rider ID]]="","",Payslip_Lookup[[#This Row],[Rider ID]]&amp;"|"&amp;Payslip_Lookup[[#This Row],[Month Key]])</f>
        <v/>
      </c>
      <c r="B456" s="172" t="str">
        <f aca="false">IF(ISNUMBER(Payslip_Lookup[[#This Row],[Salary Month]]),DATE(YEAR(Payslip_Lookup[[#This Row],[Salary Month]]),MONTH(Payslip_Lookup[[#This Row],[Salary Month]]),1),"")</f>
        <v/>
      </c>
      <c r="C456" s="172" t="str">
        <f aca="false">IF(INDEX(Salary_Calculation[Source Row],ROW()-ROW(Payslip_Lookup[#Headers]))="","",INDEX(Salary_Calculation[Salary Month],ROW()-ROW(Payslip_Lookup[#Headers])))</f>
        <v/>
      </c>
      <c r="D456" s="173" t="str">
        <f aca="false">IF(INDEX(Salary_Calculation[Source Row],ROW()-ROW(Payslip_Lookup[#Headers]))="","",INDEX(Salary_Calculation[Rider ID],ROW()-ROW(Payslip_Lookup[#Headers])))</f>
        <v/>
      </c>
      <c r="E456" s="171" t="str">
        <f aca="false">IF(INDEX(Salary_Calculation[Source Row],ROW()-ROW(Payslip_Lookup[#Headers]))="","",INDEX(Salary_Calculation[Rider Name],ROW()-ROW(Payslip_Lookup[#Headers])))</f>
        <v/>
      </c>
      <c r="F456" s="173" t="str">
        <f aca="false">IF(INDEX(Salary_Calculation[Source Row],ROW()-ROW(Payslip_Lookup[#Headers]))="","",INDEX(Salary_Calculation[Working Days],ROW()-ROW(Payslip_Lookup[#Headers])))</f>
        <v/>
      </c>
      <c r="G456" s="173" t="str">
        <f aca="false">IF(INDEX(Salary_Calculation[Source Row],ROW()-ROW(Payslip_Lookup[#Headers]))="","",INDEX(Salary_Calculation[Calendar Days],ROW()-ROW(Payslip_Lookup[#Headers])))</f>
        <v/>
      </c>
      <c r="H456" s="174" t="str">
        <f aca="false">IF(INDEX(Salary_Calculation[Source Row],ROW()-ROW(Payslip_Lookup[#Headers]))="","",INDEX(Salary_Calculation[Monthly Target Orders],ROW()-ROW(Payslip_Lookup[#Headers])))</f>
        <v/>
      </c>
      <c r="I456" s="174" t="str">
        <f aca="false">IF(INDEX(Salary_Calculation[Source Row],ROW()-ROW(Payslip_Lookup[#Headers]))="","",INDEX(Salary_Calculation[Rider Target Orders],ROW()-ROW(Payslip_Lookup[#Headers])))</f>
        <v/>
      </c>
      <c r="J456" s="175" t="str">
        <f aca="false">IF(INDEX(Salary_Calculation[Source Row],ROW()-ROW(Payslip_Lookup[#Headers]))="","",INDEX(Salary_Calculation[Completed Orders],ROW()-ROW(Payslip_Lookup[#Headers])))</f>
        <v/>
      </c>
      <c r="K456" s="174" t="str">
        <f aca="false">IF(INDEX(Salary_Calculation[Source Row],ROW()-ROW(Payslip_Lookup[#Headers]))="","",INDEX(Salary_Calculation[Base Order Rate],ROW()-ROW(Payslip_Lookup[#Headers])))</f>
        <v/>
      </c>
      <c r="L456" s="176" t="str">
        <f aca="false">IF(INDEX(Salary_Calculation[Source Row],ROW()-ROW(Payslip_Lookup[#Headers]))="","",INDEX(Salary_Calculation[Basic Payment],ROW()-ROW(Payslip_Lookup[#Headers])))</f>
        <v/>
      </c>
      <c r="M456" s="176" t="str">
        <f aca="false">IF(INDEX(Salary_Calculation[Source Row],ROW()-ROW(Payslip_Lookup[#Headers]))="","",INDEX(Salary_Calculation[Earned Salary],ROW()-ROW(Payslip_Lookup[#Headers])))</f>
        <v/>
      </c>
      <c r="N456" s="174" t="str">
        <f aca="false">IF(INDEX(Salary_Calculation[Source Row],ROW()-ROW(Payslip_Lookup[#Headers]))="","",INDEX(Salary_Calculation[Orders Counted at Base Rate],ROW()-ROW(Payslip_Lookup[#Headers])))</f>
        <v/>
      </c>
      <c r="O456" s="174" t="str">
        <f aca="false">IF(INDEX(Salary_Calculation[Source Row],ROW()-ROW(Payslip_Lookup[#Headers]))="","",INDEX(Salary_Calculation[Missing Orders],ROW()-ROW(Payslip_Lookup[#Headers])))</f>
        <v/>
      </c>
      <c r="P456" s="176" t="str">
        <f aca="false">IF(INDEX(Salary_Calculation[Source Row],ROW()-ROW(Payslip_Lookup[#Headers]))="","",INDEX(Salary_Calculation[Missing-Order Deduction],ROW()-ROW(Payslip_Lookup[#Headers])))</f>
        <v/>
      </c>
      <c r="Q456" s="174" t="str">
        <f aca="false">IF(INDEX(Salary_Calculation[Source Row],ROW()-ROW(Payslip_Lookup[#Headers]))="","",INDEX(Salary_Calculation[Extra Orders],ROW()-ROW(Payslip_Lookup[#Headers])))</f>
        <v/>
      </c>
      <c r="R456" s="176" t="str">
        <f aca="false">IF(INDEX(Salary_Calculation[Source Row],ROW()-ROW(Payslip_Lookup[#Headers]))="","",INDEX(Salary_Calculation[Extra-Order Bonus],ROW()-ROW(Payslip_Lookup[#Headers])))</f>
        <v/>
      </c>
      <c r="S456" s="176" t="str">
        <f aca="false">IF(INDEX(Salary_Calculation[Source Row],ROW()-ROW(Payslip_Lookup[#Headers]))="","",INDEX(Salary_Calculation[Basic Salary for Target],ROW()-ROW(Payslip_Lookup[#Headers])))</f>
        <v/>
      </c>
      <c r="T456" s="176" t="str">
        <f aca="false">IF(INDEX(Salary_Calculation[Source Row],ROW()-ROW(Payslip_Lookup[#Headers]))="","",INDEX(Salary_Calculation[Gross Salary Before Deductions],ROW()-ROW(Payslip_Lookup[#Headers])))</f>
        <v/>
      </c>
      <c r="U456" s="176" t="str">
        <f aca="false">IF(INDEX(Salary_Calculation[Source Row],ROW()-ROW(Payslip_Lookup[#Headers]))="","",INDEX(Salary_Calculation[missed_days_penalty],ROW()-ROW(Payslip_Lookup[#Headers])))</f>
        <v/>
      </c>
      <c r="V456" s="176" t="str">
        <f aca="false">IF(INDEX(Salary_Calculation[Source Row],ROW()-ROW(Payslip_Lookup[#Headers]))="","",INDEX(Salary_Calculation[Rider Balance],ROW()-ROW(Payslip_Lookup[#Headers])))</f>
        <v/>
      </c>
      <c r="W456" s="176" t="str">
        <f aca="false">IF(INDEX(Salary_Calculation[Source Row],ROW()-ROW(Payslip_Lookup[#Headers]))="","",INDEX(Salary_Calculation[stacking_deduction],ROW()-ROW(Payslip_Lookup[#Headers])))</f>
        <v/>
      </c>
      <c r="X456" s="176" t="str">
        <f aca="false">IF(INDEX(Salary_Calculation[Source Row],ROW()-ROW(Payslip_Lookup[#Headers]))="","",INDEX(Salary_Calculation[Other Deductions],ROW()-ROW(Payslip_Lookup[#Headers])))</f>
        <v/>
      </c>
      <c r="Y456" s="176" t="str">
        <f aca="false">IF(INDEX(Salary_Calculation[Source Row],ROW()-ROW(Payslip_Lookup[#Headers]))="","",INDEX(Salary_Calculation[Total Deductions],ROW()-ROW(Payslip_Lookup[#Headers])))</f>
        <v/>
      </c>
      <c r="Z456" s="176" t="str">
        <f aca="false">IF(INDEX(Salary_Calculation[Source Row],ROW()-ROW(Payslip_Lookup[#Headers]))="","",INDEX(Salary_Calculation[Final Salary],ROW()-ROW(Payslip_Lookup[#Headers])))</f>
        <v/>
      </c>
      <c r="AA456" s="176" t="str">
        <f aca="false">IF(INDEX(Salary_Calculation[Source Row],ROW()-ROW(Payslip_Lookup[#Headers]))="","",INDEX(Salary_Calculation[Negative Balance / Amount Due from Rider],ROW()-ROW(Payslip_Lookup[#Headers])))</f>
        <v/>
      </c>
      <c r="AB456" s="176" t="str">
        <f aca="false">IF(INDEX(Salary_Calculation[Source Row],ROW()-ROW(Payslip_Lookup[#Headers]))="","",INDEX(Salary_Calculation[Total Amount Due from Rider],ROW()-ROW(Payslip_Lookup[#Headers])))</f>
        <v/>
      </c>
      <c r="AC456" s="176" t="str">
        <f aca="false">IF(INDEX(Salary_Calculation[Source Row],ROW()-ROW(Payslip_Lookup[#Headers]))="","",INDEX(Salary_Calculation[Salary Before Other Deductions],ROW()-ROW(Payslip_Lookup[#Headers])))</f>
        <v/>
      </c>
      <c r="AD456" s="171" t="str">
        <f aca="false">IF(INDEX(Salary_Calculation[Source Row],ROW()-ROW(Payslip_Lookup[#Headers]))="","",INDEX(Salary_Calculation[Payment Status],ROW()-ROW(Payslip_Lookup[#Headers])))</f>
        <v/>
      </c>
      <c r="AE456" s="171" t="str">
        <f aca="false">IF(INDEX(Salary_Calculation[Source Row],ROW()-ROW(Payslip_Lookup[#Headers]))="","",INDEX(Salary_Calculation[Notes],ROW()-ROW(Payslip_Lookup[#Headers])))</f>
        <v/>
      </c>
      <c r="AF456" s="171" t="str">
        <f aca="false">IF(INDEX(Salary_Calculation[Source Row],ROW()-ROW(Payslip_Lookup[#Headers]))="","",INDEX(Salary_Calculation[Exception Reason],ROW()-ROW(Payslip_Lookup[#Headers])))</f>
        <v/>
      </c>
      <c r="AG456" s="173" t="str">
        <f aca="false">IF($AD456="Review Required",COUNTIF(AD$2:AD456,"Review Required"),"")</f>
        <v/>
      </c>
      <c r="AH456" s="173" t="str">
        <f aca="false">IF(AND($D456&lt;&gt;"",$B456=Payslip_Print!$C$2),MAX(AH$1:AH455)+1,"")</f>
        <v/>
      </c>
      <c r="AL456" s="178" t="str">
        <f aca="false">IFERROR(INDEX($D$2:$D$501,MATCH(ROW()-1,$AH$2:$AH$501,0)),"")</f>
        <v/>
      </c>
      <c r="AM456" s="179" t="str">
        <f aca="false">IF($Z456="","",IF(AND($C456&gt;=Dash_Start,$C456&lt;Dash_End),$Z456+ROW()/10000000,""))</f>
        <v/>
      </c>
    </row>
    <row r="457" customFormat="false" ht="14.25" hidden="false" customHeight="false" outlineLevel="0" collapsed="false">
      <c r="A457" s="171" t="str">
        <f aca="false">IF(Payslip_Lookup[[#This Row],[Rider ID]]="","",Payslip_Lookup[[#This Row],[Rider ID]]&amp;"|"&amp;Payslip_Lookup[[#This Row],[Month Key]])</f>
        <v/>
      </c>
      <c r="B457" s="172" t="str">
        <f aca="false">IF(ISNUMBER(Payslip_Lookup[[#This Row],[Salary Month]]),DATE(YEAR(Payslip_Lookup[[#This Row],[Salary Month]]),MONTH(Payslip_Lookup[[#This Row],[Salary Month]]),1),"")</f>
        <v/>
      </c>
      <c r="C457" s="172" t="str">
        <f aca="false">IF(INDEX(Salary_Calculation[Source Row],ROW()-ROW(Payslip_Lookup[#Headers]))="","",INDEX(Salary_Calculation[Salary Month],ROW()-ROW(Payslip_Lookup[#Headers])))</f>
        <v/>
      </c>
      <c r="D457" s="173" t="str">
        <f aca="false">IF(INDEX(Salary_Calculation[Source Row],ROW()-ROW(Payslip_Lookup[#Headers]))="","",INDEX(Salary_Calculation[Rider ID],ROW()-ROW(Payslip_Lookup[#Headers])))</f>
        <v/>
      </c>
      <c r="E457" s="171" t="str">
        <f aca="false">IF(INDEX(Salary_Calculation[Source Row],ROW()-ROW(Payslip_Lookup[#Headers]))="","",INDEX(Salary_Calculation[Rider Name],ROW()-ROW(Payslip_Lookup[#Headers])))</f>
        <v/>
      </c>
      <c r="F457" s="173" t="str">
        <f aca="false">IF(INDEX(Salary_Calculation[Source Row],ROW()-ROW(Payslip_Lookup[#Headers]))="","",INDEX(Salary_Calculation[Working Days],ROW()-ROW(Payslip_Lookup[#Headers])))</f>
        <v/>
      </c>
      <c r="G457" s="173" t="str">
        <f aca="false">IF(INDEX(Salary_Calculation[Source Row],ROW()-ROW(Payslip_Lookup[#Headers]))="","",INDEX(Salary_Calculation[Calendar Days],ROW()-ROW(Payslip_Lookup[#Headers])))</f>
        <v/>
      </c>
      <c r="H457" s="174" t="str">
        <f aca="false">IF(INDEX(Salary_Calculation[Source Row],ROW()-ROW(Payslip_Lookup[#Headers]))="","",INDEX(Salary_Calculation[Monthly Target Orders],ROW()-ROW(Payslip_Lookup[#Headers])))</f>
        <v/>
      </c>
      <c r="I457" s="174" t="str">
        <f aca="false">IF(INDEX(Salary_Calculation[Source Row],ROW()-ROW(Payslip_Lookup[#Headers]))="","",INDEX(Salary_Calculation[Rider Target Orders],ROW()-ROW(Payslip_Lookup[#Headers])))</f>
        <v/>
      </c>
      <c r="J457" s="175" t="str">
        <f aca="false">IF(INDEX(Salary_Calculation[Source Row],ROW()-ROW(Payslip_Lookup[#Headers]))="","",INDEX(Salary_Calculation[Completed Orders],ROW()-ROW(Payslip_Lookup[#Headers])))</f>
        <v/>
      </c>
      <c r="K457" s="174" t="str">
        <f aca="false">IF(INDEX(Salary_Calculation[Source Row],ROW()-ROW(Payslip_Lookup[#Headers]))="","",INDEX(Salary_Calculation[Base Order Rate],ROW()-ROW(Payslip_Lookup[#Headers])))</f>
        <v/>
      </c>
      <c r="L457" s="176" t="str">
        <f aca="false">IF(INDEX(Salary_Calculation[Source Row],ROW()-ROW(Payslip_Lookup[#Headers]))="","",INDEX(Salary_Calculation[Basic Payment],ROW()-ROW(Payslip_Lookup[#Headers])))</f>
        <v/>
      </c>
      <c r="M457" s="176" t="str">
        <f aca="false">IF(INDEX(Salary_Calculation[Source Row],ROW()-ROW(Payslip_Lookup[#Headers]))="","",INDEX(Salary_Calculation[Earned Salary],ROW()-ROW(Payslip_Lookup[#Headers])))</f>
        <v/>
      </c>
      <c r="N457" s="174" t="str">
        <f aca="false">IF(INDEX(Salary_Calculation[Source Row],ROW()-ROW(Payslip_Lookup[#Headers]))="","",INDEX(Salary_Calculation[Orders Counted at Base Rate],ROW()-ROW(Payslip_Lookup[#Headers])))</f>
        <v/>
      </c>
      <c r="O457" s="174" t="str">
        <f aca="false">IF(INDEX(Salary_Calculation[Source Row],ROW()-ROW(Payslip_Lookup[#Headers]))="","",INDEX(Salary_Calculation[Missing Orders],ROW()-ROW(Payslip_Lookup[#Headers])))</f>
        <v/>
      </c>
      <c r="P457" s="176" t="str">
        <f aca="false">IF(INDEX(Salary_Calculation[Source Row],ROW()-ROW(Payslip_Lookup[#Headers]))="","",INDEX(Salary_Calculation[Missing-Order Deduction],ROW()-ROW(Payslip_Lookup[#Headers])))</f>
        <v/>
      </c>
      <c r="Q457" s="174" t="str">
        <f aca="false">IF(INDEX(Salary_Calculation[Source Row],ROW()-ROW(Payslip_Lookup[#Headers]))="","",INDEX(Salary_Calculation[Extra Orders],ROW()-ROW(Payslip_Lookup[#Headers])))</f>
        <v/>
      </c>
      <c r="R457" s="176" t="str">
        <f aca="false">IF(INDEX(Salary_Calculation[Source Row],ROW()-ROW(Payslip_Lookup[#Headers]))="","",INDEX(Salary_Calculation[Extra-Order Bonus],ROW()-ROW(Payslip_Lookup[#Headers])))</f>
        <v/>
      </c>
      <c r="S457" s="176" t="str">
        <f aca="false">IF(INDEX(Salary_Calculation[Source Row],ROW()-ROW(Payslip_Lookup[#Headers]))="","",INDEX(Salary_Calculation[Basic Salary for Target],ROW()-ROW(Payslip_Lookup[#Headers])))</f>
        <v/>
      </c>
      <c r="T457" s="176" t="str">
        <f aca="false">IF(INDEX(Salary_Calculation[Source Row],ROW()-ROW(Payslip_Lookup[#Headers]))="","",INDEX(Salary_Calculation[Gross Salary Before Deductions],ROW()-ROW(Payslip_Lookup[#Headers])))</f>
        <v/>
      </c>
      <c r="U457" s="176" t="str">
        <f aca="false">IF(INDEX(Salary_Calculation[Source Row],ROW()-ROW(Payslip_Lookup[#Headers]))="","",INDEX(Salary_Calculation[missed_days_penalty],ROW()-ROW(Payslip_Lookup[#Headers])))</f>
        <v/>
      </c>
      <c r="V457" s="176" t="str">
        <f aca="false">IF(INDEX(Salary_Calculation[Source Row],ROW()-ROW(Payslip_Lookup[#Headers]))="","",INDEX(Salary_Calculation[Rider Balance],ROW()-ROW(Payslip_Lookup[#Headers])))</f>
        <v/>
      </c>
      <c r="W457" s="176" t="str">
        <f aca="false">IF(INDEX(Salary_Calculation[Source Row],ROW()-ROW(Payslip_Lookup[#Headers]))="","",INDEX(Salary_Calculation[stacking_deduction],ROW()-ROW(Payslip_Lookup[#Headers])))</f>
        <v/>
      </c>
      <c r="X457" s="176" t="str">
        <f aca="false">IF(INDEX(Salary_Calculation[Source Row],ROW()-ROW(Payslip_Lookup[#Headers]))="","",INDEX(Salary_Calculation[Other Deductions],ROW()-ROW(Payslip_Lookup[#Headers])))</f>
        <v/>
      </c>
      <c r="Y457" s="176" t="str">
        <f aca="false">IF(INDEX(Salary_Calculation[Source Row],ROW()-ROW(Payslip_Lookup[#Headers]))="","",INDEX(Salary_Calculation[Total Deductions],ROW()-ROW(Payslip_Lookup[#Headers])))</f>
        <v/>
      </c>
      <c r="Z457" s="176" t="str">
        <f aca="false">IF(INDEX(Salary_Calculation[Source Row],ROW()-ROW(Payslip_Lookup[#Headers]))="","",INDEX(Salary_Calculation[Final Salary],ROW()-ROW(Payslip_Lookup[#Headers])))</f>
        <v/>
      </c>
      <c r="AA457" s="176" t="str">
        <f aca="false">IF(INDEX(Salary_Calculation[Source Row],ROW()-ROW(Payslip_Lookup[#Headers]))="","",INDEX(Salary_Calculation[Negative Balance / Amount Due from Rider],ROW()-ROW(Payslip_Lookup[#Headers])))</f>
        <v/>
      </c>
      <c r="AB457" s="176" t="str">
        <f aca="false">IF(INDEX(Salary_Calculation[Source Row],ROW()-ROW(Payslip_Lookup[#Headers]))="","",INDEX(Salary_Calculation[Total Amount Due from Rider],ROW()-ROW(Payslip_Lookup[#Headers])))</f>
        <v/>
      </c>
      <c r="AC457" s="176" t="str">
        <f aca="false">IF(INDEX(Salary_Calculation[Source Row],ROW()-ROW(Payslip_Lookup[#Headers]))="","",INDEX(Salary_Calculation[Salary Before Other Deductions],ROW()-ROW(Payslip_Lookup[#Headers])))</f>
        <v/>
      </c>
      <c r="AD457" s="171" t="str">
        <f aca="false">IF(INDEX(Salary_Calculation[Source Row],ROW()-ROW(Payslip_Lookup[#Headers]))="","",INDEX(Salary_Calculation[Payment Status],ROW()-ROW(Payslip_Lookup[#Headers])))</f>
        <v/>
      </c>
      <c r="AE457" s="171" t="str">
        <f aca="false">IF(INDEX(Salary_Calculation[Source Row],ROW()-ROW(Payslip_Lookup[#Headers]))="","",INDEX(Salary_Calculation[Notes],ROW()-ROW(Payslip_Lookup[#Headers])))</f>
        <v/>
      </c>
      <c r="AF457" s="171" t="str">
        <f aca="false">IF(INDEX(Salary_Calculation[Source Row],ROW()-ROW(Payslip_Lookup[#Headers]))="","",INDEX(Salary_Calculation[Exception Reason],ROW()-ROW(Payslip_Lookup[#Headers])))</f>
        <v/>
      </c>
      <c r="AG457" s="173" t="str">
        <f aca="false">IF($AD457="Review Required",COUNTIF(AD$2:AD457,"Review Required"),"")</f>
        <v/>
      </c>
      <c r="AH457" s="173" t="str">
        <f aca="false">IF(AND($D457&lt;&gt;"",$B457=Payslip_Print!$C$2),MAX(AH$1:AH456)+1,"")</f>
        <v/>
      </c>
      <c r="AL457" s="178" t="str">
        <f aca="false">IFERROR(INDEX($D$2:$D$501,MATCH(ROW()-1,$AH$2:$AH$501,0)),"")</f>
        <v/>
      </c>
      <c r="AM457" s="179" t="str">
        <f aca="false">IF($Z457="","",IF(AND($C457&gt;=Dash_Start,$C457&lt;Dash_End),$Z457+ROW()/10000000,""))</f>
        <v/>
      </c>
    </row>
    <row r="458" customFormat="false" ht="14.25" hidden="false" customHeight="false" outlineLevel="0" collapsed="false">
      <c r="A458" s="171" t="str">
        <f aca="false">IF(Payslip_Lookup[[#This Row],[Rider ID]]="","",Payslip_Lookup[[#This Row],[Rider ID]]&amp;"|"&amp;Payslip_Lookup[[#This Row],[Month Key]])</f>
        <v/>
      </c>
      <c r="B458" s="172" t="str">
        <f aca="false">IF(ISNUMBER(Payslip_Lookup[[#This Row],[Salary Month]]),DATE(YEAR(Payslip_Lookup[[#This Row],[Salary Month]]),MONTH(Payslip_Lookup[[#This Row],[Salary Month]]),1),"")</f>
        <v/>
      </c>
      <c r="C458" s="172" t="str">
        <f aca="false">IF(INDEX(Salary_Calculation[Source Row],ROW()-ROW(Payslip_Lookup[#Headers]))="","",INDEX(Salary_Calculation[Salary Month],ROW()-ROW(Payslip_Lookup[#Headers])))</f>
        <v/>
      </c>
      <c r="D458" s="173" t="str">
        <f aca="false">IF(INDEX(Salary_Calculation[Source Row],ROW()-ROW(Payslip_Lookup[#Headers]))="","",INDEX(Salary_Calculation[Rider ID],ROW()-ROW(Payslip_Lookup[#Headers])))</f>
        <v/>
      </c>
      <c r="E458" s="171" t="str">
        <f aca="false">IF(INDEX(Salary_Calculation[Source Row],ROW()-ROW(Payslip_Lookup[#Headers]))="","",INDEX(Salary_Calculation[Rider Name],ROW()-ROW(Payslip_Lookup[#Headers])))</f>
        <v/>
      </c>
      <c r="F458" s="173" t="str">
        <f aca="false">IF(INDEX(Salary_Calculation[Source Row],ROW()-ROW(Payslip_Lookup[#Headers]))="","",INDEX(Salary_Calculation[Working Days],ROW()-ROW(Payslip_Lookup[#Headers])))</f>
        <v/>
      </c>
      <c r="G458" s="173" t="str">
        <f aca="false">IF(INDEX(Salary_Calculation[Source Row],ROW()-ROW(Payslip_Lookup[#Headers]))="","",INDEX(Salary_Calculation[Calendar Days],ROW()-ROW(Payslip_Lookup[#Headers])))</f>
        <v/>
      </c>
      <c r="H458" s="174" t="str">
        <f aca="false">IF(INDEX(Salary_Calculation[Source Row],ROW()-ROW(Payslip_Lookup[#Headers]))="","",INDEX(Salary_Calculation[Monthly Target Orders],ROW()-ROW(Payslip_Lookup[#Headers])))</f>
        <v/>
      </c>
      <c r="I458" s="174" t="str">
        <f aca="false">IF(INDEX(Salary_Calculation[Source Row],ROW()-ROW(Payslip_Lookup[#Headers]))="","",INDEX(Salary_Calculation[Rider Target Orders],ROW()-ROW(Payslip_Lookup[#Headers])))</f>
        <v/>
      </c>
      <c r="J458" s="175" t="str">
        <f aca="false">IF(INDEX(Salary_Calculation[Source Row],ROW()-ROW(Payslip_Lookup[#Headers]))="","",INDEX(Salary_Calculation[Completed Orders],ROW()-ROW(Payslip_Lookup[#Headers])))</f>
        <v/>
      </c>
      <c r="K458" s="174" t="str">
        <f aca="false">IF(INDEX(Salary_Calculation[Source Row],ROW()-ROW(Payslip_Lookup[#Headers]))="","",INDEX(Salary_Calculation[Base Order Rate],ROW()-ROW(Payslip_Lookup[#Headers])))</f>
        <v/>
      </c>
      <c r="L458" s="176" t="str">
        <f aca="false">IF(INDEX(Salary_Calculation[Source Row],ROW()-ROW(Payslip_Lookup[#Headers]))="","",INDEX(Salary_Calculation[Basic Payment],ROW()-ROW(Payslip_Lookup[#Headers])))</f>
        <v/>
      </c>
      <c r="M458" s="176" t="str">
        <f aca="false">IF(INDEX(Salary_Calculation[Source Row],ROW()-ROW(Payslip_Lookup[#Headers]))="","",INDEX(Salary_Calculation[Earned Salary],ROW()-ROW(Payslip_Lookup[#Headers])))</f>
        <v/>
      </c>
      <c r="N458" s="174" t="str">
        <f aca="false">IF(INDEX(Salary_Calculation[Source Row],ROW()-ROW(Payslip_Lookup[#Headers]))="","",INDEX(Salary_Calculation[Orders Counted at Base Rate],ROW()-ROW(Payslip_Lookup[#Headers])))</f>
        <v/>
      </c>
      <c r="O458" s="174" t="str">
        <f aca="false">IF(INDEX(Salary_Calculation[Source Row],ROW()-ROW(Payslip_Lookup[#Headers]))="","",INDEX(Salary_Calculation[Missing Orders],ROW()-ROW(Payslip_Lookup[#Headers])))</f>
        <v/>
      </c>
      <c r="P458" s="176" t="str">
        <f aca="false">IF(INDEX(Salary_Calculation[Source Row],ROW()-ROW(Payslip_Lookup[#Headers]))="","",INDEX(Salary_Calculation[Missing-Order Deduction],ROW()-ROW(Payslip_Lookup[#Headers])))</f>
        <v/>
      </c>
      <c r="Q458" s="174" t="str">
        <f aca="false">IF(INDEX(Salary_Calculation[Source Row],ROW()-ROW(Payslip_Lookup[#Headers]))="","",INDEX(Salary_Calculation[Extra Orders],ROW()-ROW(Payslip_Lookup[#Headers])))</f>
        <v/>
      </c>
      <c r="R458" s="176" t="str">
        <f aca="false">IF(INDEX(Salary_Calculation[Source Row],ROW()-ROW(Payslip_Lookup[#Headers]))="","",INDEX(Salary_Calculation[Extra-Order Bonus],ROW()-ROW(Payslip_Lookup[#Headers])))</f>
        <v/>
      </c>
      <c r="S458" s="176" t="str">
        <f aca="false">IF(INDEX(Salary_Calculation[Source Row],ROW()-ROW(Payslip_Lookup[#Headers]))="","",INDEX(Salary_Calculation[Basic Salary for Target],ROW()-ROW(Payslip_Lookup[#Headers])))</f>
        <v/>
      </c>
      <c r="T458" s="176" t="str">
        <f aca="false">IF(INDEX(Salary_Calculation[Source Row],ROW()-ROW(Payslip_Lookup[#Headers]))="","",INDEX(Salary_Calculation[Gross Salary Before Deductions],ROW()-ROW(Payslip_Lookup[#Headers])))</f>
        <v/>
      </c>
      <c r="U458" s="176" t="str">
        <f aca="false">IF(INDEX(Salary_Calculation[Source Row],ROW()-ROW(Payslip_Lookup[#Headers]))="","",INDEX(Salary_Calculation[missed_days_penalty],ROW()-ROW(Payslip_Lookup[#Headers])))</f>
        <v/>
      </c>
      <c r="V458" s="176" t="str">
        <f aca="false">IF(INDEX(Salary_Calculation[Source Row],ROW()-ROW(Payslip_Lookup[#Headers]))="","",INDEX(Salary_Calculation[Rider Balance],ROW()-ROW(Payslip_Lookup[#Headers])))</f>
        <v/>
      </c>
      <c r="W458" s="176" t="str">
        <f aca="false">IF(INDEX(Salary_Calculation[Source Row],ROW()-ROW(Payslip_Lookup[#Headers]))="","",INDEX(Salary_Calculation[stacking_deduction],ROW()-ROW(Payslip_Lookup[#Headers])))</f>
        <v/>
      </c>
      <c r="X458" s="176" t="str">
        <f aca="false">IF(INDEX(Salary_Calculation[Source Row],ROW()-ROW(Payslip_Lookup[#Headers]))="","",INDEX(Salary_Calculation[Other Deductions],ROW()-ROW(Payslip_Lookup[#Headers])))</f>
        <v/>
      </c>
      <c r="Y458" s="176" t="str">
        <f aca="false">IF(INDEX(Salary_Calculation[Source Row],ROW()-ROW(Payslip_Lookup[#Headers]))="","",INDEX(Salary_Calculation[Total Deductions],ROW()-ROW(Payslip_Lookup[#Headers])))</f>
        <v/>
      </c>
      <c r="Z458" s="176" t="str">
        <f aca="false">IF(INDEX(Salary_Calculation[Source Row],ROW()-ROW(Payslip_Lookup[#Headers]))="","",INDEX(Salary_Calculation[Final Salary],ROW()-ROW(Payslip_Lookup[#Headers])))</f>
        <v/>
      </c>
      <c r="AA458" s="176" t="str">
        <f aca="false">IF(INDEX(Salary_Calculation[Source Row],ROW()-ROW(Payslip_Lookup[#Headers]))="","",INDEX(Salary_Calculation[Negative Balance / Amount Due from Rider],ROW()-ROW(Payslip_Lookup[#Headers])))</f>
        <v/>
      </c>
      <c r="AB458" s="176" t="str">
        <f aca="false">IF(INDEX(Salary_Calculation[Source Row],ROW()-ROW(Payslip_Lookup[#Headers]))="","",INDEX(Salary_Calculation[Total Amount Due from Rider],ROW()-ROW(Payslip_Lookup[#Headers])))</f>
        <v/>
      </c>
      <c r="AC458" s="176" t="str">
        <f aca="false">IF(INDEX(Salary_Calculation[Source Row],ROW()-ROW(Payslip_Lookup[#Headers]))="","",INDEX(Salary_Calculation[Salary Before Other Deductions],ROW()-ROW(Payslip_Lookup[#Headers])))</f>
        <v/>
      </c>
      <c r="AD458" s="171" t="str">
        <f aca="false">IF(INDEX(Salary_Calculation[Source Row],ROW()-ROW(Payslip_Lookup[#Headers]))="","",INDEX(Salary_Calculation[Payment Status],ROW()-ROW(Payslip_Lookup[#Headers])))</f>
        <v/>
      </c>
      <c r="AE458" s="171" t="str">
        <f aca="false">IF(INDEX(Salary_Calculation[Source Row],ROW()-ROW(Payslip_Lookup[#Headers]))="","",INDEX(Salary_Calculation[Notes],ROW()-ROW(Payslip_Lookup[#Headers])))</f>
        <v/>
      </c>
      <c r="AF458" s="171" t="str">
        <f aca="false">IF(INDEX(Salary_Calculation[Source Row],ROW()-ROW(Payslip_Lookup[#Headers]))="","",INDEX(Salary_Calculation[Exception Reason],ROW()-ROW(Payslip_Lookup[#Headers])))</f>
        <v/>
      </c>
      <c r="AG458" s="173" t="str">
        <f aca="false">IF($AD458="Review Required",COUNTIF(AD$2:AD458,"Review Required"),"")</f>
        <v/>
      </c>
      <c r="AH458" s="173" t="str">
        <f aca="false">IF(AND($D458&lt;&gt;"",$B458=Payslip_Print!$C$2),MAX(AH$1:AH457)+1,"")</f>
        <v/>
      </c>
      <c r="AL458" s="178" t="str">
        <f aca="false">IFERROR(INDEX($D$2:$D$501,MATCH(ROW()-1,$AH$2:$AH$501,0)),"")</f>
        <v/>
      </c>
      <c r="AM458" s="179" t="str">
        <f aca="false">IF($Z458="","",IF(AND($C458&gt;=Dash_Start,$C458&lt;Dash_End),$Z458+ROW()/10000000,""))</f>
        <v/>
      </c>
    </row>
    <row r="459" customFormat="false" ht="14.25" hidden="false" customHeight="false" outlineLevel="0" collapsed="false">
      <c r="A459" s="171" t="str">
        <f aca="false">IF(Payslip_Lookup[[#This Row],[Rider ID]]="","",Payslip_Lookup[[#This Row],[Rider ID]]&amp;"|"&amp;Payslip_Lookup[[#This Row],[Month Key]])</f>
        <v/>
      </c>
      <c r="B459" s="172" t="str">
        <f aca="false">IF(ISNUMBER(Payslip_Lookup[[#This Row],[Salary Month]]),DATE(YEAR(Payslip_Lookup[[#This Row],[Salary Month]]),MONTH(Payslip_Lookup[[#This Row],[Salary Month]]),1),"")</f>
        <v/>
      </c>
      <c r="C459" s="172" t="str">
        <f aca="false">IF(INDEX(Salary_Calculation[Source Row],ROW()-ROW(Payslip_Lookup[#Headers]))="","",INDEX(Salary_Calculation[Salary Month],ROW()-ROW(Payslip_Lookup[#Headers])))</f>
        <v/>
      </c>
      <c r="D459" s="173" t="str">
        <f aca="false">IF(INDEX(Salary_Calculation[Source Row],ROW()-ROW(Payslip_Lookup[#Headers]))="","",INDEX(Salary_Calculation[Rider ID],ROW()-ROW(Payslip_Lookup[#Headers])))</f>
        <v/>
      </c>
      <c r="E459" s="171" t="str">
        <f aca="false">IF(INDEX(Salary_Calculation[Source Row],ROW()-ROW(Payslip_Lookup[#Headers]))="","",INDEX(Salary_Calculation[Rider Name],ROW()-ROW(Payslip_Lookup[#Headers])))</f>
        <v/>
      </c>
      <c r="F459" s="173" t="str">
        <f aca="false">IF(INDEX(Salary_Calculation[Source Row],ROW()-ROW(Payslip_Lookup[#Headers]))="","",INDEX(Salary_Calculation[Working Days],ROW()-ROW(Payslip_Lookup[#Headers])))</f>
        <v/>
      </c>
      <c r="G459" s="173" t="str">
        <f aca="false">IF(INDEX(Salary_Calculation[Source Row],ROW()-ROW(Payslip_Lookup[#Headers]))="","",INDEX(Salary_Calculation[Calendar Days],ROW()-ROW(Payslip_Lookup[#Headers])))</f>
        <v/>
      </c>
      <c r="H459" s="174" t="str">
        <f aca="false">IF(INDEX(Salary_Calculation[Source Row],ROW()-ROW(Payslip_Lookup[#Headers]))="","",INDEX(Salary_Calculation[Monthly Target Orders],ROW()-ROW(Payslip_Lookup[#Headers])))</f>
        <v/>
      </c>
      <c r="I459" s="174" t="str">
        <f aca="false">IF(INDEX(Salary_Calculation[Source Row],ROW()-ROW(Payslip_Lookup[#Headers]))="","",INDEX(Salary_Calculation[Rider Target Orders],ROW()-ROW(Payslip_Lookup[#Headers])))</f>
        <v/>
      </c>
      <c r="J459" s="175" t="str">
        <f aca="false">IF(INDEX(Salary_Calculation[Source Row],ROW()-ROW(Payslip_Lookup[#Headers]))="","",INDEX(Salary_Calculation[Completed Orders],ROW()-ROW(Payslip_Lookup[#Headers])))</f>
        <v/>
      </c>
      <c r="K459" s="174" t="str">
        <f aca="false">IF(INDEX(Salary_Calculation[Source Row],ROW()-ROW(Payslip_Lookup[#Headers]))="","",INDEX(Salary_Calculation[Base Order Rate],ROW()-ROW(Payslip_Lookup[#Headers])))</f>
        <v/>
      </c>
      <c r="L459" s="176" t="str">
        <f aca="false">IF(INDEX(Salary_Calculation[Source Row],ROW()-ROW(Payslip_Lookup[#Headers]))="","",INDEX(Salary_Calculation[Basic Payment],ROW()-ROW(Payslip_Lookup[#Headers])))</f>
        <v/>
      </c>
      <c r="M459" s="176" t="str">
        <f aca="false">IF(INDEX(Salary_Calculation[Source Row],ROW()-ROW(Payslip_Lookup[#Headers]))="","",INDEX(Salary_Calculation[Earned Salary],ROW()-ROW(Payslip_Lookup[#Headers])))</f>
        <v/>
      </c>
      <c r="N459" s="174" t="str">
        <f aca="false">IF(INDEX(Salary_Calculation[Source Row],ROW()-ROW(Payslip_Lookup[#Headers]))="","",INDEX(Salary_Calculation[Orders Counted at Base Rate],ROW()-ROW(Payslip_Lookup[#Headers])))</f>
        <v/>
      </c>
      <c r="O459" s="174" t="str">
        <f aca="false">IF(INDEX(Salary_Calculation[Source Row],ROW()-ROW(Payslip_Lookup[#Headers]))="","",INDEX(Salary_Calculation[Missing Orders],ROW()-ROW(Payslip_Lookup[#Headers])))</f>
        <v/>
      </c>
      <c r="P459" s="176" t="str">
        <f aca="false">IF(INDEX(Salary_Calculation[Source Row],ROW()-ROW(Payslip_Lookup[#Headers]))="","",INDEX(Salary_Calculation[Missing-Order Deduction],ROW()-ROW(Payslip_Lookup[#Headers])))</f>
        <v/>
      </c>
      <c r="Q459" s="174" t="str">
        <f aca="false">IF(INDEX(Salary_Calculation[Source Row],ROW()-ROW(Payslip_Lookup[#Headers]))="","",INDEX(Salary_Calculation[Extra Orders],ROW()-ROW(Payslip_Lookup[#Headers])))</f>
        <v/>
      </c>
      <c r="R459" s="176" t="str">
        <f aca="false">IF(INDEX(Salary_Calculation[Source Row],ROW()-ROW(Payslip_Lookup[#Headers]))="","",INDEX(Salary_Calculation[Extra-Order Bonus],ROW()-ROW(Payslip_Lookup[#Headers])))</f>
        <v/>
      </c>
      <c r="S459" s="176" t="str">
        <f aca="false">IF(INDEX(Salary_Calculation[Source Row],ROW()-ROW(Payslip_Lookup[#Headers]))="","",INDEX(Salary_Calculation[Basic Salary for Target],ROW()-ROW(Payslip_Lookup[#Headers])))</f>
        <v/>
      </c>
      <c r="T459" s="176" t="str">
        <f aca="false">IF(INDEX(Salary_Calculation[Source Row],ROW()-ROW(Payslip_Lookup[#Headers]))="","",INDEX(Salary_Calculation[Gross Salary Before Deductions],ROW()-ROW(Payslip_Lookup[#Headers])))</f>
        <v/>
      </c>
      <c r="U459" s="176" t="str">
        <f aca="false">IF(INDEX(Salary_Calculation[Source Row],ROW()-ROW(Payslip_Lookup[#Headers]))="","",INDEX(Salary_Calculation[missed_days_penalty],ROW()-ROW(Payslip_Lookup[#Headers])))</f>
        <v/>
      </c>
      <c r="V459" s="176" t="str">
        <f aca="false">IF(INDEX(Salary_Calculation[Source Row],ROW()-ROW(Payslip_Lookup[#Headers]))="","",INDEX(Salary_Calculation[Rider Balance],ROW()-ROW(Payslip_Lookup[#Headers])))</f>
        <v/>
      </c>
      <c r="W459" s="176" t="str">
        <f aca="false">IF(INDEX(Salary_Calculation[Source Row],ROW()-ROW(Payslip_Lookup[#Headers]))="","",INDEX(Salary_Calculation[stacking_deduction],ROW()-ROW(Payslip_Lookup[#Headers])))</f>
        <v/>
      </c>
      <c r="X459" s="176" t="str">
        <f aca="false">IF(INDEX(Salary_Calculation[Source Row],ROW()-ROW(Payslip_Lookup[#Headers]))="","",INDEX(Salary_Calculation[Other Deductions],ROW()-ROW(Payslip_Lookup[#Headers])))</f>
        <v/>
      </c>
      <c r="Y459" s="176" t="str">
        <f aca="false">IF(INDEX(Salary_Calculation[Source Row],ROW()-ROW(Payslip_Lookup[#Headers]))="","",INDEX(Salary_Calculation[Total Deductions],ROW()-ROW(Payslip_Lookup[#Headers])))</f>
        <v/>
      </c>
      <c r="Z459" s="176" t="str">
        <f aca="false">IF(INDEX(Salary_Calculation[Source Row],ROW()-ROW(Payslip_Lookup[#Headers]))="","",INDEX(Salary_Calculation[Final Salary],ROW()-ROW(Payslip_Lookup[#Headers])))</f>
        <v/>
      </c>
      <c r="AA459" s="176" t="str">
        <f aca="false">IF(INDEX(Salary_Calculation[Source Row],ROW()-ROW(Payslip_Lookup[#Headers]))="","",INDEX(Salary_Calculation[Negative Balance / Amount Due from Rider],ROW()-ROW(Payslip_Lookup[#Headers])))</f>
        <v/>
      </c>
      <c r="AB459" s="176" t="str">
        <f aca="false">IF(INDEX(Salary_Calculation[Source Row],ROW()-ROW(Payslip_Lookup[#Headers]))="","",INDEX(Salary_Calculation[Total Amount Due from Rider],ROW()-ROW(Payslip_Lookup[#Headers])))</f>
        <v/>
      </c>
      <c r="AC459" s="176" t="str">
        <f aca="false">IF(INDEX(Salary_Calculation[Source Row],ROW()-ROW(Payslip_Lookup[#Headers]))="","",INDEX(Salary_Calculation[Salary Before Other Deductions],ROW()-ROW(Payslip_Lookup[#Headers])))</f>
        <v/>
      </c>
      <c r="AD459" s="171" t="str">
        <f aca="false">IF(INDEX(Salary_Calculation[Source Row],ROW()-ROW(Payslip_Lookup[#Headers]))="","",INDEX(Salary_Calculation[Payment Status],ROW()-ROW(Payslip_Lookup[#Headers])))</f>
        <v/>
      </c>
      <c r="AE459" s="171" t="str">
        <f aca="false">IF(INDEX(Salary_Calculation[Source Row],ROW()-ROW(Payslip_Lookup[#Headers]))="","",INDEX(Salary_Calculation[Notes],ROW()-ROW(Payslip_Lookup[#Headers])))</f>
        <v/>
      </c>
      <c r="AF459" s="171" t="str">
        <f aca="false">IF(INDEX(Salary_Calculation[Source Row],ROW()-ROW(Payslip_Lookup[#Headers]))="","",INDEX(Salary_Calculation[Exception Reason],ROW()-ROW(Payslip_Lookup[#Headers])))</f>
        <v/>
      </c>
      <c r="AG459" s="173" t="str">
        <f aca="false">IF($AD459="Review Required",COUNTIF(AD$2:AD459,"Review Required"),"")</f>
        <v/>
      </c>
      <c r="AH459" s="173" t="str">
        <f aca="false">IF(AND($D459&lt;&gt;"",$B459=Payslip_Print!$C$2),MAX(AH$1:AH458)+1,"")</f>
        <v/>
      </c>
      <c r="AL459" s="178" t="str">
        <f aca="false">IFERROR(INDEX($D$2:$D$501,MATCH(ROW()-1,$AH$2:$AH$501,0)),"")</f>
        <v/>
      </c>
      <c r="AM459" s="179" t="str">
        <f aca="false">IF($Z459="","",IF(AND($C459&gt;=Dash_Start,$C459&lt;Dash_End),$Z459+ROW()/10000000,""))</f>
        <v/>
      </c>
    </row>
    <row r="460" customFormat="false" ht="14.25" hidden="false" customHeight="false" outlineLevel="0" collapsed="false">
      <c r="A460" s="171" t="str">
        <f aca="false">IF(Payslip_Lookup[[#This Row],[Rider ID]]="","",Payslip_Lookup[[#This Row],[Rider ID]]&amp;"|"&amp;Payslip_Lookup[[#This Row],[Month Key]])</f>
        <v/>
      </c>
      <c r="B460" s="172" t="str">
        <f aca="false">IF(ISNUMBER(Payslip_Lookup[[#This Row],[Salary Month]]),DATE(YEAR(Payslip_Lookup[[#This Row],[Salary Month]]),MONTH(Payslip_Lookup[[#This Row],[Salary Month]]),1),"")</f>
        <v/>
      </c>
      <c r="C460" s="172" t="str">
        <f aca="false">IF(INDEX(Salary_Calculation[Source Row],ROW()-ROW(Payslip_Lookup[#Headers]))="","",INDEX(Salary_Calculation[Salary Month],ROW()-ROW(Payslip_Lookup[#Headers])))</f>
        <v/>
      </c>
      <c r="D460" s="173" t="str">
        <f aca="false">IF(INDEX(Salary_Calculation[Source Row],ROW()-ROW(Payslip_Lookup[#Headers]))="","",INDEX(Salary_Calculation[Rider ID],ROW()-ROW(Payslip_Lookup[#Headers])))</f>
        <v/>
      </c>
      <c r="E460" s="171" t="str">
        <f aca="false">IF(INDEX(Salary_Calculation[Source Row],ROW()-ROW(Payslip_Lookup[#Headers]))="","",INDEX(Salary_Calculation[Rider Name],ROW()-ROW(Payslip_Lookup[#Headers])))</f>
        <v/>
      </c>
      <c r="F460" s="173" t="str">
        <f aca="false">IF(INDEX(Salary_Calculation[Source Row],ROW()-ROW(Payslip_Lookup[#Headers]))="","",INDEX(Salary_Calculation[Working Days],ROW()-ROW(Payslip_Lookup[#Headers])))</f>
        <v/>
      </c>
      <c r="G460" s="173" t="str">
        <f aca="false">IF(INDEX(Salary_Calculation[Source Row],ROW()-ROW(Payslip_Lookup[#Headers]))="","",INDEX(Salary_Calculation[Calendar Days],ROW()-ROW(Payslip_Lookup[#Headers])))</f>
        <v/>
      </c>
      <c r="H460" s="174" t="str">
        <f aca="false">IF(INDEX(Salary_Calculation[Source Row],ROW()-ROW(Payslip_Lookup[#Headers]))="","",INDEX(Salary_Calculation[Monthly Target Orders],ROW()-ROW(Payslip_Lookup[#Headers])))</f>
        <v/>
      </c>
      <c r="I460" s="174" t="str">
        <f aca="false">IF(INDEX(Salary_Calculation[Source Row],ROW()-ROW(Payslip_Lookup[#Headers]))="","",INDEX(Salary_Calculation[Rider Target Orders],ROW()-ROW(Payslip_Lookup[#Headers])))</f>
        <v/>
      </c>
      <c r="J460" s="175" t="str">
        <f aca="false">IF(INDEX(Salary_Calculation[Source Row],ROW()-ROW(Payslip_Lookup[#Headers]))="","",INDEX(Salary_Calculation[Completed Orders],ROW()-ROW(Payslip_Lookup[#Headers])))</f>
        <v/>
      </c>
      <c r="K460" s="174" t="str">
        <f aca="false">IF(INDEX(Salary_Calculation[Source Row],ROW()-ROW(Payslip_Lookup[#Headers]))="","",INDEX(Salary_Calculation[Base Order Rate],ROW()-ROW(Payslip_Lookup[#Headers])))</f>
        <v/>
      </c>
      <c r="L460" s="176" t="str">
        <f aca="false">IF(INDEX(Salary_Calculation[Source Row],ROW()-ROW(Payslip_Lookup[#Headers]))="","",INDEX(Salary_Calculation[Basic Payment],ROW()-ROW(Payslip_Lookup[#Headers])))</f>
        <v/>
      </c>
      <c r="M460" s="176" t="str">
        <f aca="false">IF(INDEX(Salary_Calculation[Source Row],ROW()-ROW(Payslip_Lookup[#Headers]))="","",INDEX(Salary_Calculation[Earned Salary],ROW()-ROW(Payslip_Lookup[#Headers])))</f>
        <v/>
      </c>
      <c r="N460" s="174" t="str">
        <f aca="false">IF(INDEX(Salary_Calculation[Source Row],ROW()-ROW(Payslip_Lookup[#Headers]))="","",INDEX(Salary_Calculation[Orders Counted at Base Rate],ROW()-ROW(Payslip_Lookup[#Headers])))</f>
        <v/>
      </c>
      <c r="O460" s="174" t="str">
        <f aca="false">IF(INDEX(Salary_Calculation[Source Row],ROW()-ROW(Payslip_Lookup[#Headers]))="","",INDEX(Salary_Calculation[Missing Orders],ROW()-ROW(Payslip_Lookup[#Headers])))</f>
        <v/>
      </c>
      <c r="P460" s="176" t="str">
        <f aca="false">IF(INDEX(Salary_Calculation[Source Row],ROW()-ROW(Payslip_Lookup[#Headers]))="","",INDEX(Salary_Calculation[Missing-Order Deduction],ROW()-ROW(Payslip_Lookup[#Headers])))</f>
        <v/>
      </c>
      <c r="Q460" s="174" t="str">
        <f aca="false">IF(INDEX(Salary_Calculation[Source Row],ROW()-ROW(Payslip_Lookup[#Headers]))="","",INDEX(Salary_Calculation[Extra Orders],ROW()-ROW(Payslip_Lookup[#Headers])))</f>
        <v/>
      </c>
      <c r="R460" s="176" t="str">
        <f aca="false">IF(INDEX(Salary_Calculation[Source Row],ROW()-ROW(Payslip_Lookup[#Headers]))="","",INDEX(Salary_Calculation[Extra-Order Bonus],ROW()-ROW(Payslip_Lookup[#Headers])))</f>
        <v/>
      </c>
      <c r="S460" s="176" t="str">
        <f aca="false">IF(INDEX(Salary_Calculation[Source Row],ROW()-ROW(Payslip_Lookup[#Headers]))="","",INDEX(Salary_Calculation[Basic Salary for Target],ROW()-ROW(Payslip_Lookup[#Headers])))</f>
        <v/>
      </c>
      <c r="T460" s="176" t="str">
        <f aca="false">IF(INDEX(Salary_Calculation[Source Row],ROW()-ROW(Payslip_Lookup[#Headers]))="","",INDEX(Salary_Calculation[Gross Salary Before Deductions],ROW()-ROW(Payslip_Lookup[#Headers])))</f>
        <v/>
      </c>
      <c r="U460" s="176" t="str">
        <f aca="false">IF(INDEX(Salary_Calculation[Source Row],ROW()-ROW(Payslip_Lookup[#Headers]))="","",INDEX(Salary_Calculation[missed_days_penalty],ROW()-ROW(Payslip_Lookup[#Headers])))</f>
        <v/>
      </c>
      <c r="V460" s="176" t="str">
        <f aca="false">IF(INDEX(Salary_Calculation[Source Row],ROW()-ROW(Payslip_Lookup[#Headers]))="","",INDEX(Salary_Calculation[Rider Balance],ROW()-ROW(Payslip_Lookup[#Headers])))</f>
        <v/>
      </c>
      <c r="W460" s="176" t="str">
        <f aca="false">IF(INDEX(Salary_Calculation[Source Row],ROW()-ROW(Payslip_Lookup[#Headers]))="","",INDEX(Salary_Calculation[stacking_deduction],ROW()-ROW(Payslip_Lookup[#Headers])))</f>
        <v/>
      </c>
      <c r="X460" s="176" t="str">
        <f aca="false">IF(INDEX(Salary_Calculation[Source Row],ROW()-ROW(Payslip_Lookup[#Headers]))="","",INDEX(Salary_Calculation[Other Deductions],ROW()-ROW(Payslip_Lookup[#Headers])))</f>
        <v/>
      </c>
      <c r="Y460" s="176" t="str">
        <f aca="false">IF(INDEX(Salary_Calculation[Source Row],ROW()-ROW(Payslip_Lookup[#Headers]))="","",INDEX(Salary_Calculation[Total Deductions],ROW()-ROW(Payslip_Lookup[#Headers])))</f>
        <v/>
      </c>
      <c r="Z460" s="176" t="str">
        <f aca="false">IF(INDEX(Salary_Calculation[Source Row],ROW()-ROW(Payslip_Lookup[#Headers]))="","",INDEX(Salary_Calculation[Final Salary],ROW()-ROW(Payslip_Lookup[#Headers])))</f>
        <v/>
      </c>
      <c r="AA460" s="176" t="str">
        <f aca="false">IF(INDEX(Salary_Calculation[Source Row],ROW()-ROW(Payslip_Lookup[#Headers]))="","",INDEX(Salary_Calculation[Negative Balance / Amount Due from Rider],ROW()-ROW(Payslip_Lookup[#Headers])))</f>
        <v/>
      </c>
      <c r="AB460" s="176" t="str">
        <f aca="false">IF(INDEX(Salary_Calculation[Source Row],ROW()-ROW(Payslip_Lookup[#Headers]))="","",INDEX(Salary_Calculation[Total Amount Due from Rider],ROW()-ROW(Payslip_Lookup[#Headers])))</f>
        <v/>
      </c>
      <c r="AC460" s="176" t="str">
        <f aca="false">IF(INDEX(Salary_Calculation[Source Row],ROW()-ROW(Payslip_Lookup[#Headers]))="","",INDEX(Salary_Calculation[Salary Before Other Deductions],ROW()-ROW(Payslip_Lookup[#Headers])))</f>
        <v/>
      </c>
      <c r="AD460" s="171" t="str">
        <f aca="false">IF(INDEX(Salary_Calculation[Source Row],ROW()-ROW(Payslip_Lookup[#Headers]))="","",INDEX(Salary_Calculation[Payment Status],ROW()-ROW(Payslip_Lookup[#Headers])))</f>
        <v/>
      </c>
      <c r="AE460" s="171" t="str">
        <f aca="false">IF(INDEX(Salary_Calculation[Source Row],ROW()-ROW(Payslip_Lookup[#Headers]))="","",INDEX(Salary_Calculation[Notes],ROW()-ROW(Payslip_Lookup[#Headers])))</f>
        <v/>
      </c>
      <c r="AF460" s="171" t="str">
        <f aca="false">IF(INDEX(Salary_Calculation[Source Row],ROW()-ROW(Payslip_Lookup[#Headers]))="","",INDEX(Salary_Calculation[Exception Reason],ROW()-ROW(Payslip_Lookup[#Headers])))</f>
        <v/>
      </c>
      <c r="AG460" s="173" t="str">
        <f aca="false">IF($AD460="Review Required",COUNTIF(AD$2:AD460,"Review Required"),"")</f>
        <v/>
      </c>
      <c r="AH460" s="173" t="str">
        <f aca="false">IF(AND($D460&lt;&gt;"",$B460=Payslip_Print!$C$2),MAX(AH$1:AH459)+1,"")</f>
        <v/>
      </c>
      <c r="AL460" s="178" t="str">
        <f aca="false">IFERROR(INDEX($D$2:$D$501,MATCH(ROW()-1,$AH$2:$AH$501,0)),"")</f>
        <v/>
      </c>
      <c r="AM460" s="179" t="str">
        <f aca="false">IF($Z460="","",IF(AND($C460&gt;=Dash_Start,$C460&lt;Dash_End),$Z460+ROW()/10000000,""))</f>
        <v/>
      </c>
    </row>
    <row r="461" customFormat="false" ht="14.25" hidden="false" customHeight="false" outlineLevel="0" collapsed="false">
      <c r="A461" s="171" t="str">
        <f aca="false">IF(Payslip_Lookup[[#This Row],[Rider ID]]="","",Payslip_Lookup[[#This Row],[Rider ID]]&amp;"|"&amp;Payslip_Lookup[[#This Row],[Month Key]])</f>
        <v/>
      </c>
      <c r="B461" s="172" t="str">
        <f aca="false">IF(ISNUMBER(Payslip_Lookup[[#This Row],[Salary Month]]),DATE(YEAR(Payslip_Lookup[[#This Row],[Salary Month]]),MONTH(Payslip_Lookup[[#This Row],[Salary Month]]),1),"")</f>
        <v/>
      </c>
      <c r="C461" s="172" t="str">
        <f aca="false">IF(INDEX(Salary_Calculation[Source Row],ROW()-ROW(Payslip_Lookup[#Headers]))="","",INDEX(Salary_Calculation[Salary Month],ROW()-ROW(Payslip_Lookup[#Headers])))</f>
        <v/>
      </c>
      <c r="D461" s="173" t="str">
        <f aca="false">IF(INDEX(Salary_Calculation[Source Row],ROW()-ROW(Payslip_Lookup[#Headers]))="","",INDEX(Salary_Calculation[Rider ID],ROW()-ROW(Payslip_Lookup[#Headers])))</f>
        <v/>
      </c>
      <c r="E461" s="171" t="str">
        <f aca="false">IF(INDEX(Salary_Calculation[Source Row],ROW()-ROW(Payslip_Lookup[#Headers]))="","",INDEX(Salary_Calculation[Rider Name],ROW()-ROW(Payslip_Lookup[#Headers])))</f>
        <v/>
      </c>
      <c r="F461" s="173" t="str">
        <f aca="false">IF(INDEX(Salary_Calculation[Source Row],ROW()-ROW(Payslip_Lookup[#Headers]))="","",INDEX(Salary_Calculation[Working Days],ROW()-ROW(Payslip_Lookup[#Headers])))</f>
        <v/>
      </c>
      <c r="G461" s="173" t="str">
        <f aca="false">IF(INDEX(Salary_Calculation[Source Row],ROW()-ROW(Payslip_Lookup[#Headers]))="","",INDEX(Salary_Calculation[Calendar Days],ROW()-ROW(Payslip_Lookup[#Headers])))</f>
        <v/>
      </c>
      <c r="H461" s="174" t="str">
        <f aca="false">IF(INDEX(Salary_Calculation[Source Row],ROW()-ROW(Payslip_Lookup[#Headers]))="","",INDEX(Salary_Calculation[Monthly Target Orders],ROW()-ROW(Payslip_Lookup[#Headers])))</f>
        <v/>
      </c>
      <c r="I461" s="174" t="str">
        <f aca="false">IF(INDEX(Salary_Calculation[Source Row],ROW()-ROW(Payslip_Lookup[#Headers]))="","",INDEX(Salary_Calculation[Rider Target Orders],ROW()-ROW(Payslip_Lookup[#Headers])))</f>
        <v/>
      </c>
      <c r="J461" s="175" t="str">
        <f aca="false">IF(INDEX(Salary_Calculation[Source Row],ROW()-ROW(Payslip_Lookup[#Headers]))="","",INDEX(Salary_Calculation[Completed Orders],ROW()-ROW(Payslip_Lookup[#Headers])))</f>
        <v/>
      </c>
      <c r="K461" s="174" t="str">
        <f aca="false">IF(INDEX(Salary_Calculation[Source Row],ROW()-ROW(Payslip_Lookup[#Headers]))="","",INDEX(Salary_Calculation[Base Order Rate],ROW()-ROW(Payslip_Lookup[#Headers])))</f>
        <v/>
      </c>
      <c r="L461" s="176" t="str">
        <f aca="false">IF(INDEX(Salary_Calculation[Source Row],ROW()-ROW(Payslip_Lookup[#Headers]))="","",INDEX(Salary_Calculation[Basic Payment],ROW()-ROW(Payslip_Lookup[#Headers])))</f>
        <v/>
      </c>
      <c r="M461" s="176" t="str">
        <f aca="false">IF(INDEX(Salary_Calculation[Source Row],ROW()-ROW(Payslip_Lookup[#Headers]))="","",INDEX(Salary_Calculation[Earned Salary],ROW()-ROW(Payslip_Lookup[#Headers])))</f>
        <v/>
      </c>
      <c r="N461" s="174" t="str">
        <f aca="false">IF(INDEX(Salary_Calculation[Source Row],ROW()-ROW(Payslip_Lookup[#Headers]))="","",INDEX(Salary_Calculation[Orders Counted at Base Rate],ROW()-ROW(Payslip_Lookup[#Headers])))</f>
        <v/>
      </c>
      <c r="O461" s="174" t="str">
        <f aca="false">IF(INDEX(Salary_Calculation[Source Row],ROW()-ROW(Payslip_Lookup[#Headers]))="","",INDEX(Salary_Calculation[Missing Orders],ROW()-ROW(Payslip_Lookup[#Headers])))</f>
        <v/>
      </c>
      <c r="P461" s="176" t="str">
        <f aca="false">IF(INDEX(Salary_Calculation[Source Row],ROW()-ROW(Payslip_Lookup[#Headers]))="","",INDEX(Salary_Calculation[Missing-Order Deduction],ROW()-ROW(Payslip_Lookup[#Headers])))</f>
        <v/>
      </c>
      <c r="Q461" s="174" t="str">
        <f aca="false">IF(INDEX(Salary_Calculation[Source Row],ROW()-ROW(Payslip_Lookup[#Headers]))="","",INDEX(Salary_Calculation[Extra Orders],ROW()-ROW(Payslip_Lookup[#Headers])))</f>
        <v/>
      </c>
      <c r="R461" s="176" t="str">
        <f aca="false">IF(INDEX(Salary_Calculation[Source Row],ROW()-ROW(Payslip_Lookup[#Headers]))="","",INDEX(Salary_Calculation[Extra-Order Bonus],ROW()-ROW(Payslip_Lookup[#Headers])))</f>
        <v/>
      </c>
      <c r="S461" s="176" t="str">
        <f aca="false">IF(INDEX(Salary_Calculation[Source Row],ROW()-ROW(Payslip_Lookup[#Headers]))="","",INDEX(Salary_Calculation[Basic Salary for Target],ROW()-ROW(Payslip_Lookup[#Headers])))</f>
        <v/>
      </c>
      <c r="T461" s="176" t="str">
        <f aca="false">IF(INDEX(Salary_Calculation[Source Row],ROW()-ROW(Payslip_Lookup[#Headers]))="","",INDEX(Salary_Calculation[Gross Salary Before Deductions],ROW()-ROW(Payslip_Lookup[#Headers])))</f>
        <v/>
      </c>
      <c r="U461" s="176" t="str">
        <f aca="false">IF(INDEX(Salary_Calculation[Source Row],ROW()-ROW(Payslip_Lookup[#Headers]))="","",INDEX(Salary_Calculation[missed_days_penalty],ROW()-ROW(Payslip_Lookup[#Headers])))</f>
        <v/>
      </c>
      <c r="V461" s="176" t="str">
        <f aca="false">IF(INDEX(Salary_Calculation[Source Row],ROW()-ROW(Payslip_Lookup[#Headers]))="","",INDEX(Salary_Calculation[Rider Balance],ROW()-ROW(Payslip_Lookup[#Headers])))</f>
        <v/>
      </c>
      <c r="W461" s="176" t="str">
        <f aca="false">IF(INDEX(Salary_Calculation[Source Row],ROW()-ROW(Payslip_Lookup[#Headers]))="","",INDEX(Salary_Calculation[stacking_deduction],ROW()-ROW(Payslip_Lookup[#Headers])))</f>
        <v/>
      </c>
      <c r="X461" s="176" t="str">
        <f aca="false">IF(INDEX(Salary_Calculation[Source Row],ROW()-ROW(Payslip_Lookup[#Headers]))="","",INDEX(Salary_Calculation[Other Deductions],ROW()-ROW(Payslip_Lookup[#Headers])))</f>
        <v/>
      </c>
      <c r="Y461" s="176" t="str">
        <f aca="false">IF(INDEX(Salary_Calculation[Source Row],ROW()-ROW(Payslip_Lookup[#Headers]))="","",INDEX(Salary_Calculation[Total Deductions],ROW()-ROW(Payslip_Lookup[#Headers])))</f>
        <v/>
      </c>
      <c r="Z461" s="176" t="str">
        <f aca="false">IF(INDEX(Salary_Calculation[Source Row],ROW()-ROW(Payslip_Lookup[#Headers]))="","",INDEX(Salary_Calculation[Final Salary],ROW()-ROW(Payslip_Lookup[#Headers])))</f>
        <v/>
      </c>
      <c r="AA461" s="176" t="str">
        <f aca="false">IF(INDEX(Salary_Calculation[Source Row],ROW()-ROW(Payslip_Lookup[#Headers]))="","",INDEX(Salary_Calculation[Negative Balance / Amount Due from Rider],ROW()-ROW(Payslip_Lookup[#Headers])))</f>
        <v/>
      </c>
      <c r="AB461" s="176" t="str">
        <f aca="false">IF(INDEX(Salary_Calculation[Source Row],ROW()-ROW(Payslip_Lookup[#Headers]))="","",INDEX(Salary_Calculation[Total Amount Due from Rider],ROW()-ROW(Payslip_Lookup[#Headers])))</f>
        <v/>
      </c>
      <c r="AC461" s="176" t="str">
        <f aca="false">IF(INDEX(Salary_Calculation[Source Row],ROW()-ROW(Payslip_Lookup[#Headers]))="","",INDEX(Salary_Calculation[Salary Before Other Deductions],ROW()-ROW(Payslip_Lookup[#Headers])))</f>
        <v/>
      </c>
      <c r="AD461" s="171" t="str">
        <f aca="false">IF(INDEX(Salary_Calculation[Source Row],ROW()-ROW(Payslip_Lookup[#Headers]))="","",INDEX(Salary_Calculation[Payment Status],ROW()-ROW(Payslip_Lookup[#Headers])))</f>
        <v/>
      </c>
      <c r="AE461" s="171" t="str">
        <f aca="false">IF(INDEX(Salary_Calculation[Source Row],ROW()-ROW(Payslip_Lookup[#Headers]))="","",INDEX(Salary_Calculation[Notes],ROW()-ROW(Payslip_Lookup[#Headers])))</f>
        <v/>
      </c>
      <c r="AF461" s="171" t="str">
        <f aca="false">IF(INDEX(Salary_Calculation[Source Row],ROW()-ROW(Payslip_Lookup[#Headers]))="","",INDEX(Salary_Calculation[Exception Reason],ROW()-ROW(Payslip_Lookup[#Headers])))</f>
        <v/>
      </c>
      <c r="AG461" s="173" t="str">
        <f aca="false">IF($AD461="Review Required",COUNTIF(AD$2:AD461,"Review Required"),"")</f>
        <v/>
      </c>
      <c r="AH461" s="173" t="str">
        <f aca="false">IF(AND($D461&lt;&gt;"",$B461=Payslip_Print!$C$2),MAX(AH$1:AH460)+1,"")</f>
        <v/>
      </c>
      <c r="AL461" s="178" t="str">
        <f aca="false">IFERROR(INDEX($D$2:$D$501,MATCH(ROW()-1,$AH$2:$AH$501,0)),"")</f>
        <v/>
      </c>
      <c r="AM461" s="179" t="str">
        <f aca="false">IF($Z461="","",IF(AND($C461&gt;=Dash_Start,$C461&lt;Dash_End),$Z461+ROW()/10000000,""))</f>
        <v/>
      </c>
    </row>
    <row r="462" customFormat="false" ht="14.25" hidden="false" customHeight="false" outlineLevel="0" collapsed="false">
      <c r="A462" s="171" t="str">
        <f aca="false">IF(Payslip_Lookup[[#This Row],[Rider ID]]="","",Payslip_Lookup[[#This Row],[Rider ID]]&amp;"|"&amp;Payslip_Lookup[[#This Row],[Month Key]])</f>
        <v/>
      </c>
      <c r="B462" s="172" t="str">
        <f aca="false">IF(ISNUMBER(Payslip_Lookup[[#This Row],[Salary Month]]),DATE(YEAR(Payslip_Lookup[[#This Row],[Salary Month]]),MONTH(Payslip_Lookup[[#This Row],[Salary Month]]),1),"")</f>
        <v/>
      </c>
      <c r="C462" s="172" t="str">
        <f aca="false">IF(INDEX(Salary_Calculation[Source Row],ROW()-ROW(Payslip_Lookup[#Headers]))="","",INDEX(Salary_Calculation[Salary Month],ROW()-ROW(Payslip_Lookup[#Headers])))</f>
        <v/>
      </c>
      <c r="D462" s="173" t="str">
        <f aca="false">IF(INDEX(Salary_Calculation[Source Row],ROW()-ROW(Payslip_Lookup[#Headers]))="","",INDEX(Salary_Calculation[Rider ID],ROW()-ROW(Payslip_Lookup[#Headers])))</f>
        <v/>
      </c>
      <c r="E462" s="171" t="str">
        <f aca="false">IF(INDEX(Salary_Calculation[Source Row],ROW()-ROW(Payslip_Lookup[#Headers]))="","",INDEX(Salary_Calculation[Rider Name],ROW()-ROW(Payslip_Lookup[#Headers])))</f>
        <v/>
      </c>
      <c r="F462" s="173" t="str">
        <f aca="false">IF(INDEX(Salary_Calculation[Source Row],ROW()-ROW(Payslip_Lookup[#Headers]))="","",INDEX(Salary_Calculation[Working Days],ROW()-ROW(Payslip_Lookup[#Headers])))</f>
        <v/>
      </c>
      <c r="G462" s="173" t="str">
        <f aca="false">IF(INDEX(Salary_Calculation[Source Row],ROW()-ROW(Payslip_Lookup[#Headers]))="","",INDEX(Salary_Calculation[Calendar Days],ROW()-ROW(Payslip_Lookup[#Headers])))</f>
        <v/>
      </c>
      <c r="H462" s="174" t="str">
        <f aca="false">IF(INDEX(Salary_Calculation[Source Row],ROW()-ROW(Payslip_Lookup[#Headers]))="","",INDEX(Salary_Calculation[Monthly Target Orders],ROW()-ROW(Payslip_Lookup[#Headers])))</f>
        <v/>
      </c>
      <c r="I462" s="174" t="str">
        <f aca="false">IF(INDEX(Salary_Calculation[Source Row],ROW()-ROW(Payslip_Lookup[#Headers]))="","",INDEX(Salary_Calculation[Rider Target Orders],ROW()-ROW(Payslip_Lookup[#Headers])))</f>
        <v/>
      </c>
      <c r="J462" s="175" t="str">
        <f aca="false">IF(INDEX(Salary_Calculation[Source Row],ROW()-ROW(Payslip_Lookup[#Headers]))="","",INDEX(Salary_Calculation[Completed Orders],ROW()-ROW(Payslip_Lookup[#Headers])))</f>
        <v/>
      </c>
      <c r="K462" s="174" t="str">
        <f aca="false">IF(INDEX(Salary_Calculation[Source Row],ROW()-ROW(Payslip_Lookup[#Headers]))="","",INDEX(Salary_Calculation[Base Order Rate],ROW()-ROW(Payslip_Lookup[#Headers])))</f>
        <v/>
      </c>
      <c r="L462" s="176" t="str">
        <f aca="false">IF(INDEX(Salary_Calculation[Source Row],ROW()-ROW(Payslip_Lookup[#Headers]))="","",INDEX(Salary_Calculation[Basic Payment],ROW()-ROW(Payslip_Lookup[#Headers])))</f>
        <v/>
      </c>
      <c r="M462" s="176" t="str">
        <f aca="false">IF(INDEX(Salary_Calculation[Source Row],ROW()-ROW(Payslip_Lookup[#Headers]))="","",INDEX(Salary_Calculation[Earned Salary],ROW()-ROW(Payslip_Lookup[#Headers])))</f>
        <v/>
      </c>
      <c r="N462" s="174" t="str">
        <f aca="false">IF(INDEX(Salary_Calculation[Source Row],ROW()-ROW(Payslip_Lookup[#Headers]))="","",INDEX(Salary_Calculation[Orders Counted at Base Rate],ROW()-ROW(Payslip_Lookup[#Headers])))</f>
        <v/>
      </c>
      <c r="O462" s="174" t="str">
        <f aca="false">IF(INDEX(Salary_Calculation[Source Row],ROW()-ROW(Payslip_Lookup[#Headers]))="","",INDEX(Salary_Calculation[Missing Orders],ROW()-ROW(Payslip_Lookup[#Headers])))</f>
        <v/>
      </c>
      <c r="P462" s="176" t="str">
        <f aca="false">IF(INDEX(Salary_Calculation[Source Row],ROW()-ROW(Payslip_Lookup[#Headers]))="","",INDEX(Salary_Calculation[Missing-Order Deduction],ROW()-ROW(Payslip_Lookup[#Headers])))</f>
        <v/>
      </c>
      <c r="Q462" s="174" t="str">
        <f aca="false">IF(INDEX(Salary_Calculation[Source Row],ROW()-ROW(Payslip_Lookup[#Headers]))="","",INDEX(Salary_Calculation[Extra Orders],ROW()-ROW(Payslip_Lookup[#Headers])))</f>
        <v/>
      </c>
      <c r="R462" s="176" t="str">
        <f aca="false">IF(INDEX(Salary_Calculation[Source Row],ROW()-ROW(Payslip_Lookup[#Headers]))="","",INDEX(Salary_Calculation[Extra-Order Bonus],ROW()-ROW(Payslip_Lookup[#Headers])))</f>
        <v/>
      </c>
      <c r="S462" s="176" t="str">
        <f aca="false">IF(INDEX(Salary_Calculation[Source Row],ROW()-ROW(Payslip_Lookup[#Headers]))="","",INDEX(Salary_Calculation[Basic Salary for Target],ROW()-ROW(Payslip_Lookup[#Headers])))</f>
        <v/>
      </c>
      <c r="T462" s="176" t="str">
        <f aca="false">IF(INDEX(Salary_Calculation[Source Row],ROW()-ROW(Payslip_Lookup[#Headers]))="","",INDEX(Salary_Calculation[Gross Salary Before Deductions],ROW()-ROW(Payslip_Lookup[#Headers])))</f>
        <v/>
      </c>
      <c r="U462" s="176" t="str">
        <f aca="false">IF(INDEX(Salary_Calculation[Source Row],ROW()-ROW(Payslip_Lookup[#Headers]))="","",INDEX(Salary_Calculation[missed_days_penalty],ROW()-ROW(Payslip_Lookup[#Headers])))</f>
        <v/>
      </c>
      <c r="V462" s="176" t="str">
        <f aca="false">IF(INDEX(Salary_Calculation[Source Row],ROW()-ROW(Payslip_Lookup[#Headers]))="","",INDEX(Salary_Calculation[Rider Balance],ROW()-ROW(Payslip_Lookup[#Headers])))</f>
        <v/>
      </c>
      <c r="W462" s="176" t="str">
        <f aca="false">IF(INDEX(Salary_Calculation[Source Row],ROW()-ROW(Payslip_Lookup[#Headers]))="","",INDEX(Salary_Calculation[stacking_deduction],ROW()-ROW(Payslip_Lookup[#Headers])))</f>
        <v/>
      </c>
      <c r="X462" s="176" t="str">
        <f aca="false">IF(INDEX(Salary_Calculation[Source Row],ROW()-ROW(Payslip_Lookup[#Headers]))="","",INDEX(Salary_Calculation[Other Deductions],ROW()-ROW(Payslip_Lookup[#Headers])))</f>
        <v/>
      </c>
      <c r="Y462" s="176" t="str">
        <f aca="false">IF(INDEX(Salary_Calculation[Source Row],ROW()-ROW(Payslip_Lookup[#Headers]))="","",INDEX(Salary_Calculation[Total Deductions],ROW()-ROW(Payslip_Lookup[#Headers])))</f>
        <v/>
      </c>
      <c r="Z462" s="176" t="str">
        <f aca="false">IF(INDEX(Salary_Calculation[Source Row],ROW()-ROW(Payslip_Lookup[#Headers]))="","",INDEX(Salary_Calculation[Final Salary],ROW()-ROW(Payslip_Lookup[#Headers])))</f>
        <v/>
      </c>
      <c r="AA462" s="176" t="str">
        <f aca="false">IF(INDEX(Salary_Calculation[Source Row],ROW()-ROW(Payslip_Lookup[#Headers]))="","",INDEX(Salary_Calculation[Negative Balance / Amount Due from Rider],ROW()-ROW(Payslip_Lookup[#Headers])))</f>
        <v/>
      </c>
      <c r="AB462" s="176" t="str">
        <f aca="false">IF(INDEX(Salary_Calculation[Source Row],ROW()-ROW(Payslip_Lookup[#Headers]))="","",INDEX(Salary_Calculation[Total Amount Due from Rider],ROW()-ROW(Payslip_Lookup[#Headers])))</f>
        <v/>
      </c>
      <c r="AC462" s="176" t="str">
        <f aca="false">IF(INDEX(Salary_Calculation[Source Row],ROW()-ROW(Payslip_Lookup[#Headers]))="","",INDEX(Salary_Calculation[Salary Before Other Deductions],ROW()-ROW(Payslip_Lookup[#Headers])))</f>
        <v/>
      </c>
      <c r="AD462" s="171" t="str">
        <f aca="false">IF(INDEX(Salary_Calculation[Source Row],ROW()-ROW(Payslip_Lookup[#Headers]))="","",INDEX(Salary_Calculation[Payment Status],ROW()-ROW(Payslip_Lookup[#Headers])))</f>
        <v/>
      </c>
      <c r="AE462" s="171" t="str">
        <f aca="false">IF(INDEX(Salary_Calculation[Source Row],ROW()-ROW(Payslip_Lookup[#Headers]))="","",INDEX(Salary_Calculation[Notes],ROW()-ROW(Payslip_Lookup[#Headers])))</f>
        <v/>
      </c>
      <c r="AF462" s="171" t="str">
        <f aca="false">IF(INDEX(Salary_Calculation[Source Row],ROW()-ROW(Payslip_Lookup[#Headers]))="","",INDEX(Salary_Calculation[Exception Reason],ROW()-ROW(Payslip_Lookup[#Headers])))</f>
        <v/>
      </c>
      <c r="AG462" s="173" t="str">
        <f aca="false">IF($AD462="Review Required",COUNTIF(AD$2:AD462,"Review Required"),"")</f>
        <v/>
      </c>
      <c r="AH462" s="173" t="str">
        <f aca="false">IF(AND($D462&lt;&gt;"",$B462=Payslip_Print!$C$2),MAX(AH$1:AH461)+1,"")</f>
        <v/>
      </c>
      <c r="AL462" s="178" t="str">
        <f aca="false">IFERROR(INDEX($D$2:$D$501,MATCH(ROW()-1,$AH$2:$AH$501,0)),"")</f>
        <v/>
      </c>
      <c r="AM462" s="179" t="str">
        <f aca="false">IF($Z462="","",IF(AND($C462&gt;=Dash_Start,$C462&lt;Dash_End),$Z462+ROW()/10000000,""))</f>
        <v/>
      </c>
    </row>
    <row r="463" customFormat="false" ht="14.25" hidden="false" customHeight="false" outlineLevel="0" collapsed="false">
      <c r="A463" s="171" t="str">
        <f aca="false">IF(Payslip_Lookup[[#This Row],[Rider ID]]="","",Payslip_Lookup[[#This Row],[Rider ID]]&amp;"|"&amp;Payslip_Lookup[[#This Row],[Month Key]])</f>
        <v/>
      </c>
      <c r="B463" s="172" t="str">
        <f aca="false">IF(ISNUMBER(Payslip_Lookup[[#This Row],[Salary Month]]),DATE(YEAR(Payslip_Lookup[[#This Row],[Salary Month]]),MONTH(Payslip_Lookup[[#This Row],[Salary Month]]),1),"")</f>
        <v/>
      </c>
      <c r="C463" s="172" t="str">
        <f aca="false">IF(INDEX(Salary_Calculation[Source Row],ROW()-ROW(Payslip_Lookup[#Headers]))="","",INDEX(Salary_Calculation[Salary Month],ROW()-ROW(Payslip_Lookup[#Headers])))</f>
        <v/>
      </c>
      <c r="D463" s="173" t="str">
        <f aca="false">IF(INDEX(Salary_Calculation[Source Row],ROW()-ROW(Payslip_Lookup[#Headers]))="","",INDEX(Salary_Calculation[Rider ID],ROW()-ROW(Payslip_Lookup[#Headers])))</f>
        <v/>
      </c>
      <c r="E463" s="171" t="str">
        <f aca="false">IF(INDEX(Salary_Calculation[Source Row],ROW()-ROW(Payslip_Lookup[#Headers]))="","",INDEX(Salary_Calculation[Rider Name],ROW()-ROW(Payslip_Lookup[#Headers])))</f>
        <v/>
      </c>
      <c r="F463" s="173" t="str">
        <f aca="false">IF(INDEX(Salary_Calculation[Source Row],ROW()-ROW(Payslip_Lookup[#Headers]))="","",INDEX(Salary_Calculation[Working Days],ROW()-ROW(Payslip_Lookup[#Headers])))</f>
        <v/>
      </c>
      <c r="G463" s="173" t="str">
        <f aca="false">IF(INDEX(Salary_Calculation[Source Row],ROW()-ROW(Payslip_Lookup[#Headers]))="","",INDEX(Salary_Calculation[Calendar Days],ROW()-ROW(Payslip_Lookup[#Headers])))</f>
        <v/>
      </c>
      <c r="H463" s="174" t="str">
        <f aca="false">IF(INDEX(Salary_Calculation[Source Row],ROW()-ROW(Payslip_Lookup[#Headers]))="","",INDEX(Salary_Calculation[Monthly Target Orders],ROW()-ROW(Payslip_Lookup[#Headers])))</f>
        <v/>
      </c>
      <c r="I463" s="174" t="str">
        <f aca="false">IF(INDEX(Salary_Calculation[Source Row],ROW()-ROW(Payslip_Lookup[#Headers]))="","",INDEX(Salary_Calculation[Rider Target Orders],ROW()-ROW(Payslip_Lookup[#Headers])))</f>
        <v/>
      </c>
      <c r="J463" s="175" t="str">
        <f aca="false">IF(INDEX(Salary_Calculation[Source Row],ROW()-ROW(Payslip_Lookup[#Headers]))="","",INDEX(Salary_Calculation[Completed Orders],ROW()-ROW(Payslip_Lookup[#Headers])))</f>
        <v/>
      </c>
      <c r="K463" s="174" t="str">
        <f aca="false">IF(INDEX(Salary_Calculation[Source Row],ROW()-ROW(Payslip_Lookup[#Headers]))="","",INDEX(Salary_Calculation[Base Order Rate],ROW()-ROW(Payslip_Lookup[#Headers])))</f>
        <v/>
      </c>
      <c r="L463" s="176" t="str">
        <f aca="false">IF(INDEX(Salary_Calculation[Source Row],ROW()-ROW(Payslip_Lookup[#Headers]))="","",INDEX(Salary_Calculation[Basic Payment],ROW()-ROW(Payslip_Lookup[#Headers])))</f>
        <v/>
      </c>
      <c r="M463" s="176" t="str">
        <f aca="false">IF(INDEX(Salary_Calculation[Source Row],ROW()-ROW(Payslip_Lookup[#Headers]))="","",INDEX(Salary_Calculation[Earned Salary],ROW()-ROW(Payslip_Lookup[#Headers])))</f>
        <v/>
      </c>
      <c r="N463" s="174" t="str">
        <f aca="false">IF(INDEX(Salary_Calculation[Source Row],ROW()-ROW(Payslip_Lookup[#Headers]))="","",INDEX(Salary_Calculation[Orders Counted at Base Rate],ROW()-ROW(Payslip_Lookup[#Headers])))</f>
        <v/>
      </c>
      <c r="O463" s="174" t="str">
        <f aca="false">IF(INDEX(Salary_Calculation[Source Row],ROW()-ROW(Payslip_Lookup[#Headers]))="","",INDEX(Salary_Calculation[Missing Orders],ROW()-ROW(Payslip_Lookup[#Headers])))</f>
        <v/>
      </c>
      <c r="P463" s="176" t="str">
        <f aca="false">IF(INDEX(Salary_Calculation[Source Row],ROW()-ROW(Payslip_Lookup[#Headers]))="","",INDEX(Salary_Calculation[Missing-Order Deduction],ROW()-ROW(Payslip_Lookup[#Headers])))</f>
        <v/>
      </c>
      <c r="Q463" s="174" t="str">
        <f aca="false">IF(INDEX(Salary_Calculation[Source Row],ROW()-ROW(Payslip_Lookup[#Headers]))="","",INDEX(Salary_Calculation[Extra Orders],ROW()-ROW(Payslip_Lookup[#Headers])))</f>
        <v/>
      </c>
      <c r="R463" s="176" t="str">
        <f aca="false">IF(INDEX(Salary_Calculation[Source Row],ROW()-ROW(Payslip_Lookup[#Headers]))="","",INDEX(Salary_Calculation[Extra-Order Bonus],ROW()-ROW(Payslip_Lookup[#Headers])))</f>
        <v/>
      </c>
      <c r="S463" s="176" t="str">
        <f aca="false">IF(INDEX(Salary_Calculation[Source Row],ROW()-ROW(Payslip_Lookup[#Headers]))="","",INDEX(Salary_Calculation[Basic Salary for Target],ROW()-ROW(Payslip_Lookup[#Headers])))</f>
        <v/>
      </c>
      <c r="T463" s="176" t="str">
        <f aca="false">IF(INDEX(Salary_Calculation[Source Row],ROW()-ROW(Payslip_Lookup[#Headers]))="","",INDEX(Salary_Calculation[Gross Salary Before Deductions],ROW()-ROW(Payslip_Lookup[#Headers])))</f>
        <v/>
      </c>
      <c r="U463" s="176" t="str">
        <f aca="false">IF(INDEX(Salary_Calculation[Source Row],ROW()-ROW(Payslip_Lookup[#Headers]))="","",INDEX(Salary_Calculation[missed_days_penalty],ROW()-ROW(Payslip_Lookup[#Headers])))</f>
        <v/>
      </c>
      <c r="V463" s="176" t="str">
        <f aca="false">IF(INDEX(Salary_Calculation[Source Row],ROW()-ROW(Payslip_Lookup[#Headers]))="","",INDEX(Salary_Calculation[Rider Balance],ROW()-ROW(Payslip_Lookup[#Headers])))</f>
        <v/>
      </c>
      <c r="W463" s="176" t="str">
        <f aca="false">IF(INDEX(Salary_Calculation[Source Row],ROW()-ROW(Payslip_Lookup[#Headers]))="","",INDEX(Salary_Calculation[stacking_deduction],ROW()-ROW(Payslip_Lookup[#Headers])))</f>
        <v/>
      </c>
      <c r="X463" s="176" t="str">
        <f aca="false">IF(INDEX(Salary_Calculation[Source Row],ROW()-ROW(Payslip_Lookup[#Headers]))="","",INDEX(Salary_Calculation[Other Deductions],ROW()-ROW(Payslip_Lookup[#Headers])))</f>
        <v/>
      </c>
      <c r="Y463" s="176" t="str">
        <f aca="false">IF(INDEX(Salary_Calculation[Source Row],ROW()-ROW(Payslip_Lookup[#Headers]))="","",INDEX(Salary_Calculation[Total Deductions],ROW()-ROW(Payslip_Lookup[#Headers])))</f>
        <v/>
      </c>
      <c r="Z463" s="176" t="str">
        <f aca="false">IF(INDEX(Salary_Calculation[Source Row],ROW()-ROW(Payslip_Lookup[#Headers]))="","",INDEX(Salary_Calculation[Final Salary],ROW()-ROW(Payslip_Lookup[#Headers])))</f>
        <v/>
      </c>
      <c r="AA463" s="176" t="str">
        <f aca="false">IF(INDEX(Salary_Calculation[Source Row],ROW()-ROW(Payslip_Lookup[#Headers]))="","",INDEX(Salary_Calculation[Negative Balance / Amount Due from Rider],ROW()-ROW(Payslip_Lookup[#Headers])))</f>
        <v/>
      </c>
      <c r="AB463" s="176" t="str">
        <f aca="false">IF(INDEX(Salary_Calculation[Source Row],ROW()-ROW(Payslip_Lookup[#Headers]))="","",INDEX(Salary_Calculation[Total Amount Due from Rider],ROW()-ROW(Payslip_Lookup[#Headers])))</f>
        <v/>
      </c>
      <c r="AC463" s="176" t="str">
        <f aca="false">IF(INDEX(Salary_Calculation[Source Row],ROW()-ROW(Payslip_Lookup[#Headers]))="","",INDEX(Salary_Calculation[Salary Before Other Deductions],ROW()-ROW(Payslip_Lookup[#Headers])))</f>
        <v/>
      </c>
      <c r="AD463" s="171" t="str">
        <f aca="false">IF(INDEX(Salary_Calculation[Source Row],ROW()-ROW(Payslip_Lookup[#Headers]))="","",INDEX(Salary_Calculation[Payment Status],ROW()-ROW(Payslip_Lookup[#Headers])))</f>
        <v/>
      </c>
      <c r="AE463" s="171" t="str">
        <f aca="false">IF(INDEX(Salary_Calculation[Source Row],ROW()-ROW(Payslip_Lookup[#Headers]))="","",INDEX(Salary_Calculation[Notes],ROW()-ROW(Payslip_Lookup[#Headers])))</f>
        <v/>
      </c>
      <c r="AF463" s="171" t="str">
        <f aca="false">IF(INDEX(Salary_Calculation[Source Row],ROW()-ROW(Payslip_Lookup[#Headers]))="","",INDEX(Salary_Calculation[Exception Reason],ROW()-ROW(Payslip_Lookup[#Headers])))</f>
        <v/>
      </c>
      <c r="AG463" s="173" t="str">
        <f aca="false">IF($AD463="Review Required",COUNTIF(AD$2:AD463,"Review Required"),"")</f>
        <v/>
      </c>
      <c r="AH463" s="173" t="str">
        <f aca="false">IF(AND($D463&lt;&gt;"",$B463=Payslip_Print!$C$2),MAX(AH$1:AH462)+1,"")</f>
        <v/>
      </c>
      <c r="AL463" s="178" t="str">
        <f aca="false">IFERROR(INDEX($D$2:$D$501,MATCH(ROW()-1,$AH$2:$AH$501,0)),"")</f>
        <v/>
      </c>
      <c r="AM463" s="179" t="str">
        <f aca="false">IF($Z463="","",IF(AND($C463&gt;=Dash_Start,$C463&lt;Dash_End),$Z463+ROW()/10000000,""))</f>
        <v/>
      </c>
    </row>
    <row r="464" customFormat="false" ht="14.25" hidden="false" customHeight="false" outlineLevel="0" collapsed="false">
      <c r="A464" s="171" t="str">
        <f aca="false">IF(Payslip_Lookup[[#This Row],[Rider ID]]="","",Payslip_Lookup[[#This Row],[Rider ID]]&amp;"|"&amp;Payslip_Lookup[[#This Row],[Month Key]])</f>
        <v/>
      </c>
      <c r="B464" s="172" t="str">
        <f aca="false">IF(ISNUMBER(Payslip_Lookup[[#This Row],[Salary Month]]),DATE(YEAR(Payslip_Lookup[[#This Row],[Salary Month]]),MONTH(Payslip_Lookup[[#This Row],[Salary Month]]),1),"")</f>
        <v/>
      </c>
      <c r="C464" s="172" t="str">
        <f aca="false">IF(INDEX(Salary_Calculation[Source Row],ROW()-ROW(Payslip_Lookup[#Headers]))="","",INDEX(Salary_Calculation[Salary Month],ROW()-ROW(Payslip_Lookup[#Headers])))</f>
        <v/>
      </c>
      <c r="D464" s="173" t="str">
        <f aca="false">IF(INDEX(Salary_Calculation[Source Row],ROW()-ROW(Payslip_Lookup[#Headers]))="","",INDEX(Salary_Calculation[Rider ID],ROW()-ROW(Payslip_Lookup[#Headers])))</f>
        <v/>
      </c>
      <c r="E464" s="171" t="str">
        <f aca="false">IF(INDEX(Salary_Calculation[Source Row],ROW()-ROW(Payslip_Lookup[#Headers]))="","",INDEX(Salary_Calculation[Rider Name],ROW()-ROW(Payslip_Lookup[#Headers])))</f>
        <v/>
      </c>
      <c r="F464" s="173" t="str">
        <f aca="false">IF(INDEX(Salary_Calculation[Source Row],ROW()-ROW(Payslip_Lookup[#Headers]))="","",INDEX(Salary_Calculation[Working Days],ROW()-ROW(Payslip_Lookup[#Headers])))</f>
        <v/>
      </c>
      <c r="G464" s="173" t="str">
        <f aca="false">IF(INDEX(Salary_Calculation[Source Row],ROW()-ROW(Payslip_Lookup[#Headers]))="","",INDEX(Salary_Calculation[Calendar Days],ROW()-ROW(Payslip_Lookup[#Headers])))</f>
        <v/>
      </c>
      <c r="H464" s="174" t="str">
        <f aca="false">IF(INDEX(Salary_Calculation[Source Row],ROW()-ROW(Payslip_Lookup[#Headers]))="","",INDEX(Salary_Calculation[Monthly Target Orders],ROW()-ROW(Payslip_Lookup[#Headers])))</f>
        <v/>
      </c>
      <c r="I464" s="174" t="str">
        <f aca="false">IF(INDEX(Salary_Calculation[Source Row],ROW()-ROW(Payslip_Lookup[#Headers]))="","",INDEX(Salary_Calculation[Rider Target Orders],ROW()-ROW(Payslip_Lookup[#Headers])))</f>
        <v/>
      </c>
      <c r="J464" s="175" t="str">
        <f aca="false">IF(INDEX(Salary_Calculation[Source Row],ROW()-ROW(Payslip_Lookup[#Headers]))="","",INDEX(Salary_Calculation[Completed Orders],ROW()-ROW(Payslip_Lookup[#Headers])))</f>
        <v/>
      </c>
      <c r="K464" s="174" t="str">
        <f aca="false">IF(INDEX(Salary_Calculation[Source Row],ROW()-ROW(Payslip_Lookup[#Headers]))="","",INDEX(Salary_Calculation[Base Order Rate],ROW()-ROW(Payslip_Lookup[#Headers])))</f>
        <v/>
      </c>
      <c r="L464" s="176" t="str">
        <f aca="false">IF(INDEX(Salary_Calculation[Source Row],ROW()-ROW(Payslip_Lookup[#Headers]))="","",INDEX(Salary_Calculation[Basic Payment],ROW()-ROW(Payslip_Lookup[#Headers])))</f>
        <v/>
      </c>
      <c r="M464" s="176" t="str">
        <f aca="false">IF(INDEX(Salary_Calculation[Source Row],ROW()-ROW(Payslip_Lookup[#Headers]))="","",INDEX(Salary_Calculation[Earned Salary],ROW()-ROW(Payslip_Lookup[#Headers])))</f>
        <v/>
      </c>
      <c r="N464" s="174" t="str">
        <f aca="false">IF(INDEX(Salary_Calculation[Source Row],ROW()-ROW(Payslip_Lookup[#Headers]))="","",INDEX(Salary_Calculation[Orders Counted at Base Rate],ROW()-ROW(Payslip_Lookup[#Headers])))</f>
        <v/>
      </c>
      <c r="O464" s="174" t="str">
        <f aca="false">IF(INDEX(Salary_Calculation[Source Row],ROW()-ROW(Payslip_Lookup[#Headers]))="","",INDEX(Salary_Calculation[Missing Orders],ROW()-ROW(Payslip_Lookup[#Headers])))</f>
        <v/>
      </c>
      <c r="P464" s="176" t="str">
        <f aca="false">IF(INDEX(Salary_Calculation[Source Row],ROW()-ROW(Payslip_Lookup[#Headers]))="","",INDEX(Salary_Calculation[Missing-Order Deduction],ROW()-ROW(Payslip_Lookup[#Headers])))</f>
        <v/>
      </c>
      <c r="Q464" s="174" t="str">
        <f aca="false">IF(INDEX(Salary_Calculation[Source Row],ROW()-ROW(Payslip_Lookup[#Headers]))="","",INDEX(Salary_Calculation[Extra Orders],ROW()-ROW(Payslip_Lookup[#Headers])))</f>
        <v/>
      </c>
      <c r="R464" s="176" t="str">
        <f aca="false">IF(INDEX(Salary_Calculation[Source Row],ROW()-ROW(Payslip_Lookup[#Headers]))="","",INDEX(Salary_Calculation[Extra-Order Bonus],ROW()-ROW(Payslip_Lookup[#Headers])))</f>
        <v/>
      </c>
      <c r="S464" s="176" t="str">
        <f aca="false">IF(INDEX(Salary_Calculation[Source Row],ROW()-ROW(Payslip_Lookup[#Headers]))="","",INDEX(Salary_Calculation[Basic Salary for Target],ROW()-ROW(Payslip_Lookup[#Headers])))</f>
        <v/>
      </c>
      <c r="T464" s="176" t="str">
        <f aca="false">IF(INDEX(Salary_Calculation[Source Row],ROW()-ROW(Payslip_Lookup[#Headers]))="","",INDEX(Salary_Calculation[Gross Salary Before Deductions],ROW()-ROW(Payslip_Lookup[#Headers])))</f>
        <v/>
      </c>
      <c r="U464" s="176" t="str">
        <f aca="false">IF(INDEX(Salary_Calculation[Source Row],ROW()-ROW(Payslip_Lookup[#Headers]))="","",INDEX(Salary_Calculation[missed_days_penalty],ROW()-ROW(Payslip_Lookup[#Headers])))</f>
        <v/>
      </c>
      <c r="V464" s="176" t="str">
        <f aca="false">IF(INDEX(Salary_Calculation[Source Row],ROW()-ROW(Payslip_Lookup[#Headers]))="","",INDEX(Salary_Calculation[Rider Balance],ROW()-ROW(Payslip_Lookup[#Headers])))</f>
        <v/>
      </c>
      <c r="W464" s="176" t="str">
        <f aca="false">IF(INDEX(Salary_Calculation[Source Row],ROW()-ROW(Payslip_Lookup[#Headers]))="","",INDEX(Salary_Calculation[stacking_deduction],ROW()-ROW(Payslip_Lookup[#Headers])))</f>
        <v/>
      </c>
      <c r="X464" s="176" t="str">
        <f aca="false">IF(INDEX(Salary_Calculation[Source Row],ROW()-ROW(Payslip_Lookup[#Headers]))="","",INDEX(Salary_Calculation[Other Deductions],ROW()-ROW(Payslip_Lookup[#Headers])))</f>
        <v/>
      </c>
      <c r="Y464" s="176" t="str">
        <f aca="false">IF(INDEX(Salary_Calculation[Source Row],ROW()-ROW(Payslip_Lookup[#Headers]))="","",INDEX(Salary_Calculation[Total Deductions],ROW()-ROW(Payslip_Lookup[#Headers])))</f>
        <v/>
      </c>
      <c r="Z464" s="176" t="str">
        <f aca="false">IF(INDEX(Salary_Calculation[Source Row],ROW()-ROW(Payslip_Lookup[#Headers]))="","",INDEX(Salary_Calculation[Final Salary],ROW()-ROW(Payslip_Lookup[#Headers])))</f>
        <v/>
      </c>
      <c r="AA464" s="176" t="str">
        <f aca="false">IF(INDEX(Salary_Calculation[Source Row],ROW()-ROW(Payslip_Lookup[#Headers]))="","",INDEX(Salary_Calculation[Negative Balance / Amount Due from Rider],ROW()-ROW(Payslip_Lookup[#Headers])))</f>
        <v/>
      </c>
      <c r="AB464" s="176" t="str">
        <f aca="false">IF(INDEX(Salary_Calculation[Source Row],ROW()-ROW(Payslip_Lookup[#Headers]))="","",INDEX(Salary_Calculation[Total Amount Due from Rider],ROW()-ROW(Payslip_Lookup[#Headers])))</f>
        <v/>
      </c>
      <c r="AC464" s="176" t="str">
        <f aca="false">IF(INDEX(Salary_Calculation[Source Row],ROW()-ROW(Payslip_Lookup[#Headers]))="","",INDEX(Salary_Calculation[Salary Before Other Deductions],ROW()-ROW(Payslip_Lookup[#Headers])))</f>
        <v/>
      </c>
      <c r="AD464" s="171" t="str">
        <f aca="false">IF(INDEX(Salary_Calculation[Source Row],ROW()-ROW(Payslip_Lookup[#Headers]))="","",INDEX(Salary_Calculation[Payment Status],ROW()-ROW(Payslip_Lookup[#Headers])))</f>
        <v/>
      </c>
      <c r="AE464" s="171" t="str">
        <f aca="false">IF(INDEX(Salary_Calculation[Source Row],ROW()-ROW(Payslip_Lookup[#Headers]))="","",INDEX(Salary_Calculation[Notes],ROW()-ROW(Payslip_Lookup[#Headers])))</f>
        <v/>
      </c>
      <c r="AF464" s="171" t="str">
        <f aca="false">IF(INDEX(Salary_Calculation[Source Row],ROW()-ROW(Payslip_Lookup[#Headers]))="","",INDEX(Salary_Calculation[Exception Reason],ROW()-ROW(Payslip_Lookup[#Headers])))</f>
        <v/>
      </c>
      <c r="AG464" s="173" t="str">
        <f aca="false">IF($AD464="Review Required",COUNTIF(AD$2:AD464,"Review Required"),"")</f>
        <v/>
      </c>
      <c r="AH464" s="173" t="str">
        <f aca="false">IF(AND($D464&lt;&gt;"",$B464=Payslip_Print!$C$2),MAX(AH$1:AH463)+1,"")</f>
        <v/>
      </c>
      <c r="AL464" s="178" t="str">
        <f aca="false">IFERROR(INDEX($D$2:$D$501,MATCH(ROW()-1,$AH$2:$AH$501,0)),"")</f>
        <v/>
      </c>
      <c r="AM464" s="179" t="str">
        <f aca="false">IF($Z464="","",IF(AND($C464&gt;=Dash_Start,$C464&lt;Dash_End),$Z464+ROW()/10000000,""))</f>
        <v/>
      </c>
    </row>
    <row r="465" customFormat="false" ht="14.25" hidden="false" customHeight="false" outlineLevel="0" collapsed="false">
      <c r="A465" s="171" t="str">
        <f aca="false">IF(Payslip_Lookup[[#This Row],[Rider ID]]="","",Payslip_Lookup[[#This Row],[Rider ID]]&amp;"|"&amp;Payslip_Lookup[[#This Row],[Month Key]])</f>
        <v/>
      </c>
      <c r="B465" s="172" t="str">
        <f aca="false">IF(ISNUMBER(Payslip_Lookup[[#This Row],[Salary Month]]),DATE(YEAR(Payslip_Lookup[[#This Row],[Salary Month]]),MONTH(Payslip_Lookup[[#This Row],[Salary Month]]),1),"")</f>
        <v/>
      </c>
      <c r="C465" s="172" t="str">
        <f aca="false">IF(INDEX(Salary_Calculation[Source Row],ROW()-ROW(Payslip_Lookup[#Headers]))="","",INDEX(Salary_Calculation[Salary Month],ROW()-ROW(Payslip_Lookup[#Headers])))</f>
        <v/>
      </c>
      <c r="D465" s="173" t="str">
        <f aca="false">IF(INDEX(Salary_Calculation[Source Row],ROW()-ROW(Payslip_Lookup[#Headers]))="","",INDEX(Salary_Calculation[Rider ID],ROW()-ROW(Payslip_Lookup[#Headers])))</f>
        <v/>
      </c>
      <c r="E465" s="171" t="str">
        <f aca="false">IF(INDEX(Salary_Calculation[Source Row],ROW()-ROW(Payslip_Lookup[#Headers]))="","",INDEX(Salary_Calculation[Rider Name],ROW()-ROW(Payslip_Lookup[#Headers])))</f>
        <v/>
      </c>
      <c r="F465" s="173" t="str">
        <f aca="false">IF(INDEX(Salary_Calculation[Source Row],ROW()-ROW(Payslip_Lookup[#Headers]))="","",INDEX(Salary_Calculation[Working Days],ROW()-ROW(Payslip_Lookup[#Headers])))</f>
        <v/>
      </c>
      <c r="G465" s="173" t="str">
        <f aca="false">IF(INDEX(Salary_Calculation[Source Row],ROW()-ROW(Payslip_Lookup[#Headers]))="","",INDEX(Salary_Calculation[Calendar Days],ROW()-ROW(Payslip_Lookup[#Headers])))</f>
        <v/>
      </c>
      <c r="H465" s="174" t="str">
        <f aca="false">IF(INDEX(Salary_Calculation[Source Row],ROW()-ROW(Payslip_Lookup[#Headers]))="","",INDEX(Salary_Calculation[Monthly Target Orders],ROW()-ROW(Payslip_Lookup[#Headers])))</f>
        <v/>
      </c>
      <c r="I465" s="174" t="str">
        <f aca="false">IF(INDEX(Salary_Calculation[Source Row],ROW()-ROW(Payslip_Lookup[#Headers]))="","",INDEX(Salary_Calculation[Rider Target Orders],ROW()-ROW(Payslip_Lookup[#Headers])))</f>
        <v/>
      </c>
      <c r="J465" s="175" t="str">
        <f aca="false">IF(INDEX(Salary_Calculation[Source Row],ROW()-ROW(Payslip_Lookup[#Headers]))="","",INDEX(Salary_Calculation[Completed Orders],ROW()-ROW(Payslip_Lookup[#Headers])))</f>
        <v/>
      </c>
      <c r="K465" s="174" t="str">
        <f aca="false">IF(INDEX(Salary_Calculation[Source Row],ROW()-ROW(Payslip_Lookup[#Headers]))="","",INDEX(Salary_Calculation[Base Order Rate],ROW()-ROW(Payslip_Lookup[#Headers])))</f>
        <v/>
      </c>
      <c r="L465" s="176" t="str">
        <f aca="false">IF(INDEX(Salary_Calculation[Source Row],ROW()-ROW(Payslip_Lookup[#Headers]))="","",INDEX(Salary_Calculation[Basic Payment],ROW()-ROW(Payslip_Lookup[#Headers])))</f>
        <v/>
      </c>
      <c r="M465" s="176" t="str">
        <f aca="false">IF(INDEX(Salary_Calculation[Source Row],ROW()-ROW(Payslip_Lookup[#Headers]))="","",INDEX(Salary_Calculation[Earned Salary],ROW()-ROW(Payslip_Lookup[#Headers])))</f>
        <v/>
      </c>
      <c r="N465" s="174" t="str">
        <f aca="false">IF(INDEX(Salary_Calculation[Source Row],ROW()-ROW(Payslip_Lookup[#Headers]))="","",INDEX(Salary_Calculation[Orders Counted at Base Rate],ROW()-ROW(Payslip_Lookup[#Headers])))</f>
        <v/>
      </c>
      <c r="O465" s="174" t="str">
        <f aca="false">IF(INDEX(Salary_Calculation[Source Row],ROW()-ROW(Payslip_Lookup[#Headers]))="","",INDEX(Salary_Calculation[Missing Orders],ROW()-ROW(Payslip_Lookup[#Headers])))</f>
        <v/>
      </c>
      <c r="P465" s="176" t="str">
        <f aca="false">IF(INDEX(Salary_Calculation[Source Row],ROW()-ROW(Payslip_Lookup[#Headers]))="","",INDEX(Salary_Calculation[Missing-Order Deduction],ROW()-ROW(Payslip_Lookup[#Headers])))</f>
        <v/>
      </c>
      <c r="Q465" s="174" t="str">
        <f aca="false">IF(INDEX(Salary_Calculation[Source Row],ROW()-ROW(Payslip_Lookup[#Headers]))="","",INDEX(Salary_Calculation[Extra Orders],ROW()-ROW(Payslip_Lookup[#Headers])))</f>
        <v/>
      </c>
      <c r="R465" s="176" t="str">
        <f aca="false">IF(INDEX(Salary_Calculation[Source Row],ROW()-ROW(Payslip_Lookup[#Headers]))="","",INDEX(Salary_Calculation[Extra-Order Bonus],ROW()-ROW(Payslip_Lookup[#Headers])))</f>
        <v/>
      </c>
      <c r="S465" s="176" t="str">
        <f aca="false">IF(INDEX(Salary_Calculation[Source Row],ROW()-ROW(Payslip_Lookup[#Headers]))="","",INDEX(Salary_Calculation[Basic Salary for Target],ROW()-ROW(Payslip_Lookup[#Headers])))</f>
        <v/>
      </c>
      <c r="T465" s="176" t="str">
        <f aca="false">IF(INDEX(Salary_Calculation[Source Row],ROW()-ROW(Payslip_Lookup[#Headers]))="","",INDEX(Salary_Calculation[Gross Salary Before Deductions],ROW()-ROW(Payslip_Lookup[#Headers])))</f>
        <v/>
      </c>
      <c r="U465" s="176" t="str">
        <f aca="false">IF(INDEX(Salary_Calculation[Source Row],ROW()-ROW(Payslip_Lookup[#Headers]))="","",INDEX(Salary_Calculation[missed_days_penalty],ROW()-ROW(Payslip_Lookup[#Headers])))</f>
        <v/>
      </c>
      <c r="V465" s="176" t="str">
        <f aca="false">IF(INDEX(Salary_Calculation[Source Row],ROW()-ROW(Payslip_Lookup[#Headers]))="","",INDEX(Salary_Calculation[Rider Balance],ROW()-ROW(Payslip_Lookup[#Headers])))</f>
        <v/>
      </c>
      <c r="W465" s="176" t="str">
        <f aca="false">IF(INDEX(Salary_Calculation[Source Row],ROW()-ROW(Payslip_Lookup[#Headers]))="","",INDEX(Salary_Calculation[stacking_deduction],ROW()-ROW(Payslip_Lookup[#Headers])))</f>
        <v/>
      </c>
      <c r="X465" s="176" t="str">
        <f aca="false">IF(INDEX(Salary_Calculation[Source Row],ROW()-ROW(Payslip_Lookup[#Headers]))="","",INDEX(Salary_Calculation[Other Deductions],ROW()-ROW(Payslip_Lookup[#Headers])))</f>
        <v/>
      </c>
      <c r="Y465" s="176" t="str">
        <f aca="false">IF(INDEX(Salary_Calculation[Source Row],ROW()-ROW(Payslip_Lookup[#Headers]))="","",INDEX(Salary_Calculation[Total Deductions],ROW()-ROW(Payslip_Lookup[#Headers])))</f>
        <v/>
      </c>
      <c r="Z465" s="176" t="str">
        <f aca="false">IF(INDEX(Salary_Calculation[Source Row],ROW()-ROW(Payslip_Lookup[#Headers]))="","",INDEX(Salary_Calculation[Final Salary],ROW()-ROW(Payslip_Lookup[#Headers])))</f>
        <v/>
      </c>
      <c r="AA465" s="176" t="str">
        <f aca="false">IF(INDEX(Salary_Calculation[Source Row],ROW()-ROW(Payslip_Lookup[#Headers]))="","",INDEX(Salary_Calculation[Negative Balance / Amount Due from Rider],ROW()-ROW(Payslip_Lookup[#Headers])))</f>
        <v/>
      </c>
      <c r="AB465" s="176" t="str">
        <f aca="false">IF(INDEX(Salary_Calculation[Source Row],ROW()-ROW(Payslip_Lookup[#Headers]))="","",INDEX(Salary_Calculation[Total Amount Due from Rider],ROW()-ROW(Payslip_Lookup[#Headers])))</f>
        <v/>
      </c>
      <c r="AC465" s="176" t="str">
        <f aca="false">IF(INDEX(Salary_Calculation[Source Row],ROW()-ROW(Payslip_Lookup[#Headers]))="","",INDEX(Salary_Calculation[Salary Before Other Deductions],ROW()-ROW(Payslip_Lookup[#Headers])))</f>
        <v/>
      </c>
      <c r="AD465" s="171" t="str">
        <f aca="false">IF(INDEX(Salary_Calculation[Source Row],ROW()-ROW(Payslip_Lookup[#Headers]))="","",INDEX(Salary_Calculation[Payment Status],ROW()-ROW(Payslip_Lookup[#Headers])))</f>
        <v/>
      </c>
      <c r="AE465" s="171" t="str">
        <f aca="false">IF(INDEX(Salary_Calculation[Source Row],ROW()-ROW(Payslip_Lookup[#Headers]))="","",INDEX(Salary_Calculation[Notes],ROW()-ROW(Payslip_Lookup[#Headers])))</f>
        <v/>
      </c>
      <c r="AF465" s="171" t="str">
        <f aca="false">IF(INDEX(Salary_Calculation[Source Row],ROW()-ROW(Payslip_Lookup[#Headers]))="","",INDEX(Salary_Calculation[Exception Reason],ROW()-ROW(Payslip_Lookup[#Headers])))</f>
        <v/>
      </c>
      <c r="AG465" s="173" t="str">
        <f aca="false">IF($AD465="Review Required",COUNTIF(AD$2:AD465,"Review Required"),"")</f>
        <v/>
      </c>
      <c r="AH465" s="173" t="str">
        <f aca="false">IF(AND($D465&lt;&gt;"",$B465=Payslip_Print!$C$2),MAX(AH$1:AH464)+1,"")</f>
        <v/>
      </c>
      <c r="AL465" s="178" t="str">
        <f aca="false">IFERROR(INDEX($D$2:$D$501,MATCH(ROW()-1,$AH$2:$AH$501,0)),"")</f>
        <v/>
      </c>
      <c r="AM465" s="179" t="str">
        <f aca="false">IF($Z465="","",IF(AND($C465&gt;=Dash_Start,$C465&lt;Dash_End),$Z465+ROW()/10000000,""))</f>
        <v/>
      </c>
    </row>
    <row r="466" customFormat="false" ht="14.25" hidden="false" customHeight="false" outlineLevel="0" collapsed="false">
      <c r="A466" s="171" t="str">
        <f aca="false">IF(Payslip_Lookup[[#This Row],[Rider ID]]="","",Payslip_Lookup[[#This Row],[Rider ID]]&amp;"|"&amp;Payslip_Lookup[[#This Row],[Month Key]])</f>
        <v/>
      </c>
      <c r="B466" s="172" t="str">
        <f aca="false">IF(ISNUMBER(Payslip_Lookup[[#This Row],[Salary Month]]),DATE(YEAR(Payslip_Lookup[[#This Row],[Salary Month]]),MONTH(Payslip_Lookup[[#This Row],[Salary Month]]),1),"")</f>
        <v/>
      </c>
      <c r="C466" s="172" t="str">
        <f aca="false">IF(INDEX(Salary_Calculation[Source Row],ROW()-ROW(Payslip_Lookup[#Headers]))="","",INDEX(Salary_Calculation[Salary Month],ROW()-ROW(Payslip_Lookup[#Headers])))</f>
        <v/>
      </c>
      <c r="D466" s="173" t="str">
        <f aca="false">IF(INDEX(Salary_Calculation[Source Row],ROW()-ROW(Payslip_Lookup[#Headers]))="","",INDEX(Salary_Calculation[Rider ID],ROW()-ROW(Payslip_Lookup[#Headers])))</f>
        <v/>
      </c>
      <c r="E466" s="171" t="str">
        <f aca="false">IF(INDEX(Salary_Calculation[Source Row],ROW()-ROW(Payslip_Lookup[#Headers]))="","",INDEX(Salary_Calculation[Rider Name],ROW()-ROW(Payslip_Lookup[#Headers])))</f>
        <v/>
      </c>
      <c r="F466" s="173" t="str">
        <f aca="false">IF(INDEX(Salary_Calculation[Source Row],ROW()-ROW(Payslip_Lookup[#Headers]))="","",INDEX(Salary_Calculation[Working Days],ROW()-ROW(Payslip_Lookup[#Headers])))</f>
        <v/>
      </c>
      <c r="G466" s="173" t="str">
        <f aca="false">IF(INDEX(Salary_Calculation[Source Row],ROW()-ROW(Payslip_Lookup[#Headers]))="","",INDEX(Salary_Calculation[Calendar Days],ROW()-ROW(Payslip_Lookup[#Headers])))</f>
        <v/>
      </c>
      <c r="H466" s="174" t="str">
        <f aca="false">IF(INDEX(Salary_Calculation[Source Row],ROW()-ROW(Payslip_Lookup[#Headers]))="","",INDEX(Salary_Calculation[Monthly Target Orders],ROW()-ROW(Payslip_Lookup[#Headers])))</f>
        <v/>
      </c>
      <c r="I466" s="174" t="str">
        <f aca="false">IF(INDEX(Salary_Calculation[Source Row],ROW()-ROW(Payslip_Lookup[#Headers]))="","",INDEX(Salary_Calculation[Rider Target Orders],ROW()-ROW(Payslip_Lookup[#Headers])))</f>
        <v/>
      </c>
      <c r="J466" s="175" t="str">
        <f aca="false">IF(INDEX(Salary_Calculation[Source Row],ROW()-ROW(Payslip_Lookup[#Headers]))="","",INDEX(Salary_Calculation[Completed Orders],ROW()-ROW(Payslip_Lookup[#Headers])))</f>
        <v/>
      </c>
      <c r="K466" s="174" t="str">
        <f aca="false">IF(INDEX(Salary_Calculation[Source Row],ROW()-ROW(Payslip_Lookup[#Headers]))="","",INDEX(Salary_Calculation[Base Order Rate],ROW()-ROW(Payslip_Lookup[#Headers])))</f>
        <v/>
      </c>
      <c r="L466" s="176" t="str">
        <f aca="false">IF(INDEX(Salary_Calculation[Source Row],ROW()-ROW(Payslip_Lookup[#Headers]))="","",INDEX(Salary_Calculation[Basic Payment],ROW()-ROW(Payslip_Lookup[#Headers])))</f>
        <v/>
      </c>
      <c r="M466" s="176" t="str">
        <f aca="false">IF(INDEX(Salary_Calculation[Source Row],ROW()-ROW(Payslip_Lookup[#Headers]))="","",INDEX(Salary_Calculation[Earned Salary],ROW()-ROW(Payslip_Lookup[#Headers])))</f>
        <v/>
      </c>
      <c r="N466" s="174" t="str">
        <f aca="false">IF(INDEX(Salary_Calculation[Source Row],ROW()-ROW(Payslip_Lookup[#Headers]))="","",INDEX(Salary_Calculation[Orders Counted at Base Rate],ROW()-ROW(Payslip_Lookup[#Headers])))</f>
        <v/>
      </c>
      <c r="O466" s="174" t="str">
        <f aca="false">IF(INDEX(Salary_Calculation[Source Row],ROW()-ROW(Payslip_Lookup[#Headers]))="","",INDEX(Salary_Calculation[Missing Orders],ROW()-ROW(Payslip_Lookup[#Headers])))</f>
        <v/>
      </c>
      <c r="P466" s="176" t="str">
        <f aca="false">IF(INDEX(Salary_Calculation[Source Row],ROW()-ROW(Payslip_Lookup[#Headers]))="","",INDEX(Salary_Calculation[Missing-Order Deduction],ROW()-ROW(Payslip_Lookup[#Headers])))</f>
        <v/>
      </c>
      <c r="Q466" s="174" t="str">
        <f aca="false">IF(INDEX(Salary_Calculation[Source Row],ROW()-ROW(Payslip_Lookup[#Headers]))="","",INDEX(Salary_Calculation[Extra Orders],ROW()-ROW(Payslip_Lookup[#Headers])))</f>
        <v/>
      </c>
      <c r="R466" s="176" t="str">
        <f aca="false">IF(INDEX(Salary_Calculation[Source Row],ROW()-ROW(Payslip_Lookup[#Headers]))="","",INDEX(Salary_Calculation[Extra-Order Bonus],ROW()-ROW(Payslip_Lookup[#Headers])))</f>
        <v/>
      </c>
      <c r="S466" s="176" t="str">
        <f aca="false">IF(INDEX(Salary_Calculation[Source Row],ROW()-ROW(Payslip_Lookup[#Headers]))="","",INDEX(Salary_Calculation[Basic Salary for Target],ROW()-ROW(Payslip_Lookup[#Headers])))</f>
        <v/>
      </c>
      <c r="T466" s="176" t="str">
        <f aca="false">IF(INDEX(Salary_Calculation[Source Row],ROW()-ROW(Payslip_Lookup[#Headers]))="","",INDEX(Salary_Calculation[Gross Salary Before Deductions],ROW()-ROW(Payslip_Lookup[#Headers])))</f>
        <v/>
      </c>
      <c r="U466" s="176" t="str">
        <f aca="false">IF(INDEX(Salary_Calculation[Source Row],ROW()-ROW(Payslip_Lookup[#Headers]))="","",INDEX(Salary_Calculation[missed_days_penalty],ROW()-ROW(Payslip_Lookup[#Headers])))</f>
        <v/>
      </c>
      <c r="V466" s="176" t="str">
        <f aca="false">IF(INDEX(Salary_Calculation[Source Row],ROW()-ROW(Payslip_Lookup[#Headers]))="","",INDEX(Salary_Calculation[Rider Balance],ROW()-ROW(Payslip_Lookup[#Headers])))</f>
        <v/>
      </c>
      <c r="W466" s="176" t="str">
        <f aca="false">IF(INDEX(Salary_Calculation[Source Row],ROW()-ROW(Payslip_Lookup[#Headers]))="","",INDEX(Salary_Calculation[stacking_deduction],ROW()-ROW(Payslip_Lookup[#Headers])))</f>
        <v/>
      </c>
      <c r="X466" s="176" t="str">
        <f aca="false">IF(INDEX(Salary_Calculation[Source Row],ROW()-ROW(Payslip_Lookup[#Headers]))="","",INDEX(Salary_Calculation[Other Deductions],ROW()-ROW(Payslip_Lookup[#Headers])))</f>
        <v/>
      </c>
      <c r="Y466" s="176" t="str">
        <f aca="false">IF(INDEX(Salary_Calculation[Source Row],ROW()-ROW(Payslip_Lookup[#Headers]))="","",INDEX(Salary_Calculation[Total Deductions],ROW()-ROW(Payslip_Lookup[#Headers])))</f>
        <v/>
      </c>
      <c r="Z466" s="176" t="str">
        <f aca="false">IF(INDEX(Salary_Calculation[Source Row],ROW()-ROW(Payslip_Lookup[#Headers]))="","",INDEX(Salary_Calculation[Final Salary],ROW()-ROW(Payslip_Lookup[#Headers])))</f>
        <v/>
      </c>
      <c r="AA466" s="176" t="str">
        <f aca="false">IF(INDEX(Salary_Calculation[Source Row],ROW()-ROW(Payslip_Lookup[#Headers]))="","",INDEX(Salary_Calculation[Negative Balance / Amount Due from Rider],ROW()-ROW(Payslip_Lookup[#Headers])))</f>
        <v/>
      </c>
      <c r="AB466" s="176" t="str">
        <f aca="false">IF(INDEX(Salary_Calculation[Source Row],ROW()-ROW(Payslip_Lookup[#Headers]))="","",INDEX(Salary_Calculation[Total Amount Due from Rider],ROW()-ROW(Payslip_Lookup[#Headers])))</f>
        <v/>
      </c>
      <c r="AC466" s="176" t="str">
        <f aca="false">IF(INDEX(Salary_Calculation[Source Row],ROW()-ROW(Payslip_Lookup[#Headers]))="","",INDEX(Salary_Calculation[Salary Before Other Deductions],ROW()-ROW(Payslip_Lookup[#Headers])))</f>
        <v/>
      </c>
      <c r="AD466" s="171" t="str">
        <f aca="false">IF(INDEX(Salary_Calculation[Source Row],ROW()-ROW(Payslip_Lookup[#Headers]))="","",INDEX(Salary_Calculation[Payment Status],ROW()-ROW(Payslip_Lookup[#Headers])))</f>
        <v/>
      </c>
      <c r="AE466" s="171" t="str">
        <f aca="false">IF(INDEX(Salary_Calculation[Source Row],ROW()-ROW(Payslip_Lookup[#Headers]))="","",INDEX(Salary_Calculation[Notes],ROW()-ROW(Payslip_Lookup[#Headers])))</f>
        <v/>
      </c>
      <c r="AF466" s="171" t="str">
        <f aca="false">IF(INDEX(Salary_Calculation[Source Row],ROW()-ROW(Payslip_Lookup[#Headers]))="","",INDEX(Salary_Calculation[Exception Reason],ROW()-ROW(Payslip_Lookup[#Headers])))</f>
        <v/>
      </c>
      <c r="AG466" s="173" t="str">
        <f aca="false">IF($AD466="Review Required",COUNTIF(AD$2:AD466,"Review Required"),"")</f>
        <v/>
      </c>
      <c r="AH466" s="173" t="str">
        <f aca="false">IF(AND($D466&lt;&gt;"",$B466=Payslip_Print!$C$2),MAX(AH$1:AH465)+1,"")</f>
        <v/>
      </c>
      <c r="AL466" s="178" t="str">
        <f aca="false">IFERROR(INDEX($D$2:$D$501,MATCH(ROW()-1,$AH$2:$AH$501,0)),"")</f>
        <v/>
      </c>
      <c r="AM466" s="179" t="str">
        <f aca="false">IF($Z466="","",IF(AND($C466&gt;=Dash_Start,$C466&lt;Dash_End),$Z466+ROW()/10000000,""))</f>
        <v/>
      </c>
    </row>
    <row r="467" customFormat="false" ht="14.25" hidden="false" customHeight="false" outlineLevel="0" collapsed="false">
      <c r="A467" s="171" t="str">
        <f aca="false">IF(Payslip_Lookup[[#This Row],[Rider ID]]="","",Payslip_Lookup[[#This Row],[Rider ID]]&amp;"|"&amp;Payslip_Lookup[[#This Row],[Month Key]])</f>
        <v/>
      </c>
      <c r="B467" s="172" t="str">
        <f aca="false">IF(ISNUMBER(Payslip_Lookup[[#This Row],[Salary Month]]),DATE(YEAR(Payslip_Lookup[[#This Row],[Salary Month]]),MONTH(Payslip_Lookup[[#This Row],[Salary Month]]),1),"")</f>
        <v/>
      </c>
      <c r="C467" s="172" t="str">
        <f aca="false">IF(INDEX(Salary_Calculation[Source Row],ROW()-ROW(Payslip_Lookup[#Headers]))="","",INDEX(Salary_Calculation[Salary Month],ROW()-ROW(Payslip_Lookup[#Headers])))</f>
        <v/>
      </c>
      <c r="D467" s="173" t="str">
        <f aca="false">IF(INDEX(Salary_Calculation[Source Row],ROW()-ROW(Payslip_Lookup[#Headers]))="","",INDEX(Salary_Calculation[Rider ID],ROW()-ROW(Payslip_Lookup[#Headers])))</f>
        <v/>
      </c>
      <c r="E467" s="171" t="str">
        <f aca="false">IF(INDEX(Salary_Calculation[Source Row],ROW()-ROW(Payslip_Lookup[#Headers]))="","",INDEX(Salary_Calculation[Rider Name],ROW()-ROW(Payslip_Lookup[#Headers])))</f>
        <v/>
      </c>
      <c r="F467" s="173" t="str">
        <f aca="false">IF(INDEX(Salary_Calculation[Source Row],ROW()-ROW(Payslip_Lookup[#Headers]))="","",INDEX(Salary_Calculation[Working Days],ROW()-ROW(Payslip_Lookup[#Headers])))</f>
        <v/>
      </c>
      <c r="G467" s="173" t="str">
        <f aca="false">IF(INDEX(Salary_Calculation[Source Row],ROW()-ROW(Payslip_Lookup[#Headers]))="","",INDEX(Salary_Calculation[Calendar Days],ROW()-ROW(Payslip_Lookup[#Headers])))</f>
        <v/>
      </c>
      <c r="H467" s="174" t="str">
        <f aca="false">IF(INDEX(Salary_Calculation[Source Row],ROW()-ROW(Payslip_Lookup[#Headers]))="","",INDEX(Salary_Calculation[Monthly Target Orders],ROW()-ROW(Payslip_Lookup[#Headers])))</f>
        <v/>
      </c>
      <c r="I467" s="174" t="str">
        <f aca="false">IF(INDEX(Salary_Calculation[Source Row],ROW()-ROW(Payslip_Lookup[#Headers]))="","",INDEX(Salary_Calculation[Rider Target Orders],ROW()-ROW(Payslip_Lookup[#Headers])))</f>
        <v/>
      </c>
      <c r="J467" s="175" t="str">
        <f aca="false">IF(INDEX(Salary_Calculation[Source Row],ROW()-ROW(Payslip_Lookup[#Headers]))="","",INDEX(Salary_Calculation[Completed Orders],ROW()-ROW(Payslip_Lookup[#Headers])))</f>
        <v/>
      </c>
      <c r="K467" s="174" t="str">
        <f aca="false">IF(INDEX(Salary_Calculation[Source Row],ROW()-ROW(Payslip_Lookup[#Headers]))="","",INDEX(Salary_Calculation[Base Order Rate],ROW()-ROW(Payslip_Lookup[#Headers])))</f>
        <v/>
      </c>
      <c r="L467" s="176" t="str">
        <f aca="false">IF(INDEX(Salary_Calculation[Source Row],ROW()-ROW(Payslip_Lookup[#Headers]))="","",INDEX(Salary_Calculation[Basic Payment],ROW()-ROW(Payslip_Lookup[#Headers])))</f>
        <v/>
      </c>
      <c r="M467" s="176" t="str">
        <f aca="false">IF(INDEX(Salary_Calculation[Source Row],ROW()-ROW(Payslip_Lookup[#Headers]))="","",INDEX(Salary_Calculation[Earned Salary],ROW()-ROW(Payslip_Lookup[#Headers])))</f>
        <v/>
      </c>
      <c r="N467" s="174" t="str">
        <f aca="false">IF(INDEX(Salary_Calculation[Source Row],ROW()-ROW(Payslip_Lookup[#Headers]))="","",INDEX(Salary_Calculation[Orders Counted at Base Rate],ROW()-ROW(Payslip_Lookup[#Headers])))</f>
        <v/>
      </c>
      <c r="O467" s="174" t="str">
        <f aca="false">IF(INDEX(Salary_Calculation[Source Row],ROW()-ROW(Payslip_Lookup[#Headers]))="","",INDEX(Salary_Calculation[Missing Orders],ROW()-ROW(Payslip_Lookup[#Headers])))</f>
        <v/>
      </c>
      <c r="P467" s="176" t="str">
        <f aca="false">IF(INDEX(Salary_Calculation[Source Row],ROW()-ROW(Payslip_Lookup[#Headers]))="","",INDEX(Salary_Calculation[Missing-Order Deduction],ROW()-ROW(Payslip_Lookup[#Headers])))</f>
        <v/>
      </c>
      <c r="Q467" s="174" t="str">
        <f aca="false">IF(INDEX(Salary_Calculation[Source Row],ROW()-ROW(Payslip_Lookup[#Headers]))="","",INDEX(Salary_Calculation[Extra Orders],ROW()-ROW(Payslip_Lookup[#Headers])))</f>
        <v/>
      </c>
      <c r="R467" s="176" t="str">
        <f aca="false">IF(INDEX(Salary_Calculation[Source Row],ROW()-ROW(Payslip_Lookup[#Headers]))="","",INDEX(Salary_Calculation[Extra-Order Bonus],ROW()-ROW(Payslip_Lookup[#Headers])))</f>
        <v/>
      </c>
      <c r="S467" s="176" t="str">
        <f aca="false">IF(INDEX(Salary_Calculation[Source Row],ROW()-ROW(Payslip_Lookup[#Headers]))="","",INDEX(Salary_Calculation[Basic Salary for Target],ROW()-ROW(Payslip_Lookup[#Headers])))</f>
        <v/>
      </c>
      <c r="T467" s="176" t="str">
        <f aca="false">IF(INDEX(Salary_Calculation[Source Row],ROW()-ROW(Payslip_Lookup[#Headers]))="","",INDEX(Salary_Calculation[Gross Salary Before Deductions],ROW()-ROW(Payslip_Lookup[#Headers])))</f>
        <v/>
      </c>
      <c r="U467" s="176" t="str">
        <f aca="false">IF(INDEX(Salary_Calculation[Source Row],ROW()-ROW(Payslip_Lookup[#Headers]))="","",INDEX(Salary_Calculation[missed_days_penalty],ROW()-ROW(Payslip_Lookup[#Headers])))</f>
        <v/>
      </c>
      <c r="V467" s="176" t="str">
        <f aca="false">IF(INDEX(Salary_Calculation[Source Row],ROW()-ROW(Payslip_Lookup[#Headers]))="","",INDEX(Salary_Calculation[Rider Balance],ROW()-ROW(Payslip_Lookup[#Headers])))</f>
        <v/>
      </c>
      <c r="W467" s="176" t="str">
        <f aca="false">IF(INDEX(Salary_Calculation[Source Row],ROW()-ROW(Payslip_Lookup[#Headers]))="","",INDEX(Salary_Calculation[stacking_deduction],ROW()-ROW(Payslip_Lookup[#Headers])))</f>
        <v/>
      </c>
      <c r="X467" s="176" t="str">
        <f aca="false">IF(INDEX(Salary_Calculation[Source Row],ROW()-ROW(Payslip_Lookup[#Headers]))="","",INDEX(Salary_Calculation[Other Deductions],ROW()-ROW(Payslip_Lookup[#Headers])))</f>
        <v/>
      </c>
      <c r="Y467" s="176" t="str">
        <f aca="false">IF(INDEX(Salary_Calculation[Source Row],ROW()-ROW(Payslip_Lookup[#Headers]))="","",INDEX(Salary_Calculation[Total Deductions],ROW()-ROW(Payslip_Lookup[#Headers])))</f>
        <v/>
      </c>
      <c r="Z467" s="176" t="str">
        <f aca="false">IF(INDEX(Salary_Calculation[Source Row],ROW()-ROW(Payslip_Lookup[#Headers]))="","",INDEX(Salary_Calculation[Final Salary],ROW()-ROW(Payslip_Lookup[#Headers])))</f>
        <v/>
      </c>
      <c r="AA467" s="176" t="str">
        <f aca="false">IF(INDEX(Salary_Calculation[Source Row],ROW()-ROW(Payslip_Lookup[#Headers]))="","",INDEX(Salary_Calculation[Negative Balance / Amount Due from Rider],ROW()-ROW(Payslip_Lookup[#Headers])))</f>
        <v/>
      </c>
      <c r="AB467" s="176" t="str">
        <f aca="false">IF(INDEX(Salary_Calculation[Source Row],ROW()-ROW(Payslip_Lookup[#Headers]))="","",INDEX(Salary_Calculation[Total Amount Due from Rider],ROW()-ROW(Payslip_Lookup[#Headers])))</f>
        <v/>
      </c>
      <c r="AC467" s="176" t="str">
        <f aca="false">IF(INDEX(Salary_Calculation[Source Row],ROW()-ROW(Payslip_Lookup[#Headers]))="","",INDEX(Salary_Calculation[Salary Before Other Deductions],ROW()-ROW(Payslip_Lookup[#Headers])))</f>
        <v/>
      </c>
      <c r="AD467" s="171" t="str">
        <f aca="false">IF(INDEX(Salary_Calculation[Source Row],ROW()-ROW(Payslip_Lookup[#Headers]))="","",INDEX(Salary_Calculation[Payment Status],ROW()-ROW(Payslip_Lookup[#Headers])))</f>
        <v/>
      </c>
      <c r="AE467" s="171" t="str">
        <f aca="false">IF(INDEX(Salary_Calculation[Source Row],ROW()-ROW(Payslip_Lookup[#Headers]))="","",INDEX(Salary_Calculation[Notes],ROW()-ROW(Payslip_Lookup[#Headers])))</f>
        <v/>
      </c>
      <c r="AF467" s="171" t="str">
        <f aca="false">IF(INDEX(Salary_Calculation[Source Row],ROW()-ROW(Payslip_Lookup[#Headers]))="","",INDEX(Salary_Calculation[Exception Reason],ROW()-ROW(Payslip_Lookup[#Headers])))</f>
        <v/>
      </c>
      <c r="AG467" s="173" t="str">
        <f aca="false">IF($AD467="Review Required",COUNTIF(AD$2:AD467,"Review Required"),"")</f>
        <v/>
      </c>
      <c r="AH467" s="173" t="str">
        <f aca="false">IF(AND($D467&lt;&gt;"",$B467=Payslip_Print!$C$2),MAX(AH$1:AH466)+1,"")</f>
        <v/>
      </c>
      <c r="AL467" s="178" t="str">
        <f aca="false">IFERROR(INDEX($D$2:$D$501,MATCH(ROW()-1,$AH$2:$AH$501,0)),"")</f>
        <v/>
      </c>
      <c r="AM467" s="179" t="str">
        <f aca="false">IF($Z467="","",IF(AND($C467&gt;=Dash_Start,$C467&lt;Dash_End),$Z467+ROW()/10000000,""))</f>
        <v/>
      </c>
    </row>
    <row r="468" customFormat="false" ht="14.25" hidden="false" customHeight="false" outlineLevel="0" collapsed="false">
      <c r="A468" s="171" t="str">
        <f aca="false">IF(Payslip_Lookup[[#This Row],[Rider ID]]="","",Payslip_Lookup[[#This Row],[Rider ID]]&amp;"|"&amp;Payslip_Lookup[[#This Row],[Month Key]])</f>
        <v/>
      </c>
      <c r="B468" s="172" t="str">
        <f aca="false">IF(ISNUMBER(Payslip_Lookup[[#This Row],[Salary Month]]),DATE(YEAR(Payslip_Lookup[[#This Row],[Salary Month]]),MONTH(Payslip_Lookup[[#This Row],[Salary Month]]),1),"")</f>
        <v/>
      </c>
      <c r="C468" s="172" t="str">
        <f aca="false">IF(INDEX(Salary_Calculation[Source Row],ROW()-ROW(Payslip_Lookup[#Headers]))="","",INDEX(Salary_Calculation[Salary Month],ROW()-ROW(Payslip_Lookup[#Headers])))</f>
        <v/>
      </c>
      <c r="D468" s="173" t="str">
        <f aca="false">IF(INDEX(Salary_Calculation[Source Row],ROW()-ROW(Payslip_Lookup[#Headers]))="","",INDEX(Salary_Calculation[Rider ID],ROW()-ROW(Payslip_Lookup[#Headers])))</f>
        <v/>
      </c>
      <c r="E468" s="171" t="str">
        <f aca="false">IF(INDEX(Salary_Calculation[Source Row],ROW()-ROW(Payslip_Lookup[#Headers]))="","",INDEX(Salary_Calculation[Rider Name],ROW()-ROW(Payslip_Lookup[#Headers])))</f>
        <v/>
      </c>
      <c r="F468" s="173" t="str">
        <f aca="false">IF(INDEX(Salary_Calculation[Source Row],ROW()-ROW(Payslip_Lookup[#Headers]))="","",INDEX(Salary_Calculation[Working Days],ROW()-ROW(Payslip_Lookup[#Headers])))</f>
        <v/>
      </c>
      <c r="G468" s="173" t="str">
        <f aca="false">IF(INDEX(Salary_Calculation[Source Row],ROW()-ROW(Payslip_Lookup[#Headers]))="","",INDEX(Salary_Calculation[Calendar Days],ROW()-ROW(Payslip_Lookup[#Headers])))</f>
        <v/>
      </c>
      <c r="H468" s="174" t="str">
        <f aca="false">IF(INDEX(Salary_Calculation[Source Row],ROW()-ROW(Payslip_Lookup[#Headers]))="","",INDEX(Salary_Calculation[Monthly Target Orders],ROW()-ROW(Payslip_Lookup[#Headers])))</f>
        <v/>
      </c>
      <c r="I468" s="174" t="str">
        <f aca="false">IF(INDEX(Salary_Calculation[Source Row],ROW()-ROW(Payslip_Lookup[#Headers]))="","",INDEX(Salary_Calculation[Rider Target Orders],ROW()-ROW(Payslip_Lookup[#Headers])))</f>
        <v/>
      </c>
      <c r="J468" s="175" t="str">
        <f aca="false">IF(INDEX(Salary_Calculation[Source Row],ROW()-ROW(Payslip_Lookup[#Headers]))="","",INDEX(Salary_Calculation[Completed Orders],ROW()-ROW(Payslip_Lookup[#Headers])))</f>
        <v/>
      </c>
      <c r="K468" s="174" t="str">
        <f aca="false">IF(INDEX(Salary_Calculation[Source Row],ROW()-ROW(Payslip_Lookup[#Headers]))="","",INDEX(Salary_Calculation[Base Order Rate],ROW()-ROW(Payslip_Lookup[#Headers])))</f>
        <v/>
      </c>
      <c r="L468" s="176" t="str">
        <f aca="false">IF(INDEX(Salary_Calculation[Source Row],ROW()-ROW(Payslip_Lookup[#Headers]))="","",INDEX(Salary_Calculation[Basic Payment],ROW()-ROW(Payslip_Lookup[#Headers])))</f>
        <v/>
      </c>
      <c r="M468" s="176" t="str">
        <f aca="false">IF(INDEX(Salary_Calculation[Source Row],ROW()-ROW(Payslip_Lookup[#Headers]))="","",INDEX(Salary_Calculation[Earned Salary],ROW()-ROW(Payslip_Lookup[#Headers])))</f>
        <v/>
      </c>
      <c r="N468" s="174" t="str">
        <f aca="false">IF(INDEX(Salary_Calculation[Source Row],ROW()-ROW(Payslip_Lookup[#Headers]))="","",INDEX(Salary_Calculation[Orders Counted at Base Rate],ROW()-ROW(Payslip_Lookup[#Headers])))</f>
        <v/>
      </c>
      <c r="O468" s="174" t="str">
        <f aca="false">IF(INDEX(Salary_Calculation[Source Row],ROW()-ROW(Payslip_Lookup[#Headers]))="","",INDEX(Salary_Calculation[Missing Orders],ROW()-ROW(Payslip_Lookup[#Headers])))</f>
        <v/>
      </c>
      <c r="P468" s="176" t="str">
        <f aca="false">IF(INDEX(Salary_Calculation[Source Row],ROW()-ROW(Payslip_Lookup[#Headers]))="","",INDEX(Salary_Calculation[Missing-Order Deduction],ROW()-ROW(Payslip_Lookup[#Headers])))</f>
        <v/>
      </c>
      <c r="Q468" s="174" t="str">
        <f aca="false">IF(INDEX(Salary_Calculation[Source Row],ROW()-ROW(Payslip_Lookup[#Headers]))="","",INDEX(Salary_Calculation[Extra Orders],ROW()-ROW(Payslip_Lookup[#Headers])))</f>
        <v/>
      </c>
      <c r="R468" s="176" t="str">
        <f aca="false">IF(INDEX(Salary_Calculation[Source Row],ROW()-ROW(Payslip_Lookup[#Headers]))="","",INDEX(Salary_Calculation[Extra-Order Bonus],ROW()-ROW(Payslip_Lookup[#Headers])))</f>
        <v/>
      </c>
      <c r="S468" s="176" t="str">
        <f aca="false">IF(INDEX(Salary_Calculation[Source Row],ROW()-ROW(Payslip_Lookup[#Headers]))="","",INDEX(Salary_Calculation[Basic Salary for Target],ROW()-ROW(Payslip_Lookup[#Headers])))</f>
        <v/>
      </c>
      <c r="T468" s="176" t="str">
        <f aca="false">IF(INDEX(Salary_Calculation[Source Row],ROW()-ROW(Payslip_Lookup[#Headers]))="","",INDEX(Salary_Calculation[Gross Salary Before Deductions],ROW()-ROW(Payslip_Lookup[#Headers])))</f>
        <v/>
      </c>
      <c r="U468" s="176" t="str">
        <f aca="false">IF(INDEX(Salary_Calculation[Source Row],ROW()-ROW(Payslip_Lookup[#Headers]))="","",INDEX(Salary_Calculation[missed_days_penalty],ROW()-ROW(Payslip_Lookup[#Headers])))</f>
        <v/>
      </c>
      <c r="V468" s="176" t="str">
        <f aca="false">IF(INDEX(Salary_Calculation[Source Row],ROW()-ROW(Payslip_Lookup[#Headers]))="","",INDEX(Salary_Calculation[Rider Balance],ROW()-ROW(Payslip_Lookup[#Headers])))</f>
        <v/>
      </c>
      <c r="W468" s="176" t="str">
        <f aca="false">IF(INDEX(Salary_Calculation[Source Row],ROW()-ROW(Payslip_Lookup[#Headers]))="","",INDEX(Salary_Calculation[stacking_deduction],ROW()-ROW(Payslip_Lookup[#Headers])))</f>
        <v/>
      </c>
      <c r="X468" s="176" t="str">
        <f aca="false">IF(INDEX(Salary_Calculation[Source Row],ROW()-ROW(Payslip_Lookup[#Headers]))="","",INDEX(Salary_Calculation[Other Deductions],ROW()-ROW(Payslip_Lookup[#Headers])))</f>
        <v/>
      </c>
      <c r="Y468" s="176" t="str">
        <f aca="false">IF(INDEX(Salary_Calculation[Source Row],ROW()-ROW(Payslip_Lookup[#Headers]))="","",INDEX(Salary_Calculation[Total Deductions],ROW()-ROW(Payslip_Lookup[#Headers])))</f>
        <v/>
      </c>
      <c r="Z468" s="176" t="str">
        <f aca="false">IF(INDEX(Salary_Calculation[Source Row],ROW()-ROW(Payslip_Lookup[#Headers]))="","",INDEX(Salary_Calculation[Final Salary],ROW()-ROW(Payslip_Lookup[#Headers])))</f>
        <v/>
      </c>
      <c r="AA468" s="176" t="str">
        <f aca="false">IF(INDEX(Salary_Calculation[Source Row],ROW()-ROW(Payslip_Lookup[#Headers]))="","",INDEX(Salary_Calculation[Negative Balance / Amount Due from Rider],ROW()-ROW(Payslip_Lookup[#Headers])))</f>
        <v/>
      </c>
      <c r="AB468" s="176" t="str">
        <f aca="false">IF(INDEX(Salary_Calculation[Source Row],ROW()-ROW(Payslip_Lookup[#Headers]))="","",INDEX(Salary_Calculation[Total Amount Due from Rider],ROW()-ROW(Payslip_Lookup[#Headers])))</f>
        <v/>
      </c>
      <c r="AC468" s="176" t="str">
        <f aca="false">IF(INDEX(Salary_Calculation[Source Row],ROW()-ROW(Payslip_Lookup[#Headers]))="","",INDEX(Salary_Calculation[Salary Before Other Deductions],ROW()-ROW(Payslip_Lookup[#Headers])))</f>
        <v/>
      </c>
      <c r="AD468" s="171" t="str">
        <f aca="false">IF(INDEX(Salary_Calculation[Source Row],ROW()-ROW(Payslip_Lookup[#Headers]))="","",INDEX(Salary_Calculation[Payment Status],ROW()-ROW(Payslip_Lookup[#Headers])))</f>
        <v/>
      </c>
      <c r="AE468" s="171" t="str">
        <f aca="false">IF(INDEX(Salary_Calculation[Source Row],ROW()-ROW(Payslip_Lookup[#Headers]))="","",INDEX(Salary_Calculation[Notes],ROW()-ROW(Payslip_Lookup[#Headers])))</f>
        <v/>
      </c>
      <c r="AF468" s="171" t="str">
        <f aca="false">IF(INDEX(Salary_Calculation[Source Row],ROW()-ROW(Payslip_Lookup[#Headers]))="","",INDEX(Salary_Calculation[Exception Reason],ROW()-ROW(Payslip_Lookup[#Headers])))</f>
        <v/>
      </c>
      <c r="AG468" s="173" t="str">
        <f aca="false">IF($AD468="Review Required",COUNTIF(AD$2:AD468,"Review Required"),"")</f>
        <v/>
      </c>
      <c r="AH468" s="173" t="str">
        <f aca="false">IF(AND($D468&lt;&gt;"",$B468=Payslip_Print!$C$2),MAX(AH$1:AH467)+1,"")</f>
        <v/>
      </c>
      <c r="AL468" s="178" t="str">
        <f aca="false">IFERROR(INDEX($D$2:$D$501,MATCH(ROW()-1,$AH$2:$AH$501,0)),"")</f>
        <v/>
      </c>
      <c r="AM468" s="179" t="str">
        <f aca="false">IF($Z468="","",IF(AND($C468&gt;=Dash_Start,$C468&lt;Dash_End),$Z468+ROW()/10000000,""))</f>
        <v/>
      </c>
    </row>
    <row r="469" customFormat="false" ht="14.25" hidden="false" customHeight="false" outlineLevel="0" collapsed="false">
      <c r="A469" s="171" t="str">
        <f aca="false">IF(Payslip_Lookup[[#This Row],[Rider ID]]="","",Payslip_Lookup[[#This Row],[Rider ID]]&amp;"|"&amp;Payslip_Lookup[[#This Row],[Month Key]])</f>
        <v/>
      </c>
      <c r="B469" s="172" t="str">
        <f aca="false">IF(ISNUMBER(Payslip_Lookup[[#This Row],[Salary Month]]),DATE(YEAR(Payslip_Lookup[[#This Row],[Salary Month]]),MONTH(Payslip_Lookup[[#This Row],[Salary Month]]),1),"")</f>
        <v/>
      </c>
      <c r="C469" s="172" t="str">
        <f aca="false">IF(INDEX(Salary_Calculation[Source Row],ROW()-ROW(Payslip_Lookup[#Headers]))="","",INDEX(Salary_Calculation[Salary Month],ROW()-ROW(Payslip_Lookup[#Headers])))</f>
        <v/>
      </c>
      <c r="D469" s="173" t="str">
        <f aca="false">IF(INDEX(Salary_Calculation[Source Row],ROW()-ROW(Payslip_Lookup[#Headers]))="","",INDEX(Salary_Calculation[Rider ID],ROW()-ROW(Payslip_Lookup[#Headers])))</f>
        <v/>
      </c>
      <c r="E469" s="171" t="str">
        <f aca="false">IF(INDEX(Salary_Calculation[Source Row],ROW()-ROW(Payslip_Lookup[#Headers]))="","",INDEX(Salary_Calculation[Rider Name],ROW()-ROW(Payslip_Lookup[#Headers])))</f>
        <v/>
      </c>
      <c r="F469" s="173" t="str">
        <f aca="false">IF(INDEX(Salary_Calculation[Source Row],ROW()-ROW(Payslip_Lookup[#Headers]))="","",INDEX(Salary_Calculation[Working Days],ROW()-ROW(Payslip_Lookup[#Headers])))</f>
        <v/>
      </c>
      <c r="G469" s="173" t="str">
        <f aca="false">IF(INDEX(Salary_Calculation[Source Row],ROW()-ROW(Payslip_Lookup[#Headers]))="","",INDEX(Salary_Calculation[Calendar Days],ROW()-ROW(Payslip_Lookup[#Headers])))</f>
        <v/>
      </c>
      <c r="H469" s="174" t="str">
        <f aca="false">IF(INDEX(Salary_Calculation[Source Row],ROW()-ROW(Payslip_Lookup[#Headers]))="","",INDEX(Salary_Calculation[Monthly Target Orders],ROW()-ROW(Payslip_Lookup[#Headers])))</f>
        <v/>
      </c>
      <c r="I469" s="174" t="str">
        <f aca="false">IF(INDEX(Salary_Calculation[Source Row],ROW()-ROW(Payslip_Lookup[#Headers]))="","",INDEX(Salary_Calculation[Rider Target Orders],ROW()-ROW(Payslip_Lookup[#Headers])))</f>
        <v/>
      </c>
      <c r="J469" s="175" t="str">
        <f aca="false">IF(INDEX(Salary_Calculation[Source Row],ROW()-ROW(Payslip_Lookup[#Headers]))="","",INDEX(Salary_Calculation[Completed Orders],ROW()-ROW(Payslip_Lookup[#Headers])))</f>
        <v/>
      </c>
      <c r="K469" s="174" t="str">
        <f aca="false">IF(INDEX(Salary_Calculation[Source Row],ROW()-ROW(Payslip_Lookup[#Headers]))="","",INDEX(Salary_Calculation[Base Order Rate],ROW()-ROW(Payslip_Lookup[#Headers])))</f>
        <v/>
      </c>
      <c r="L469" s="176" t="str">
        <f aca="false">IF(INDEX(Salary_Calculation[Source Row],ROW()-ROW(Payslip_Lookup[#Headers]))="","",INDEX(Salary_Calculation[Basic Payment],ROW()-ROW(Payslip_Lookup[#Headers])))</f>
        <v/>
      </c>
      <c r="M469" s="176" t="str">
        <f aca="false">IF(INDEX(Salary_Calculation[Source Row],ROW()-ROW(Payslip_Lookup[#Headers]))="","",INDEX(Salary_Calculation[Earned Salary],ROW()-ROW(Payslip_Lookup[#Headers])))</f>
        <v/>
      </c>
      <c r="N469" s="174" t="str">
        <f aca="false">IF(INDEX(Salary_Calculation[Source Row],ROW()-ROW(Payslip_Lookup[#Headers]))="","",INDEX(Salary_Calculation[Orders Counted at Base Rate],ROW()-ROW(Payslip_Lookup[#Headers])))</f>
        <v/>
      </c>
      <c r="O469" s="174" t="str">
        <f aca="false">IF(INDEX(Salary_Calculation[Source Row],ROW()-ROW(Payslip_Lookup[#Headers]))="","",INDEX(Salary_Calculation[Missing Orders],ROW()-ROW(Payslip_Lookup[#Headers])))</f>
        <v/>
      </c>
      <c r="P469" s="176" t="str">
        <f aca="false">IF(INDEX(Salary_Calculation[Source Row],ROW()-ROW(Payslip_Lookup[#Headers]))="","",INDEX(Salary_Calculation[Missing-Order Deduction],ROW()-ROW(Payslip_Lookup[#Headers])))</f>
        <v/>
      </c>
      <c r="Q469" s="174" t="str">
        <f aca="false">IF(INDEX(Salary_Calculation[Source Row],ROW()-ROW(Payslip_Lookup[#Headers]))="","",INDEX(Salary_Calculation[Extra Orders],ROW()-ROW(Payslip_Lookup[#Headers])))</f>
        <v/>
      </c>
      <c r="R469" s="176" t="str">
        <f aca="false">IF(INDEX(Salary_Calculation[Source Row],ROW()-ROW(Payslip_Lookup[#Headers]))="","",INDEX(Salary_Calculation[Extra-Order Bonus],ROW()-ROW(Payslip_Lookup[#Headers])))</f>
        <v/>
      </c>
      <c r="S469" s="176" t="str">
        <f aca="false">IF(INDEX(Salary_Calculation[Source Row],ROW()-ROW(Payslip_Lookup[#Headers]))="","",INDEX(Salary_Calculation[Basic Salary for Target],ROW()-ROW(Payslip_Lookup[#Headers])))</f>
        <v/>
      </c>
      <c r="T469" s="176" t="str">
        <f aca="false">IF(INDEX(Salary_Calculation[Source Row],ROW()-ROW(Payslip_Lookup[#Headers]))="","",INDEX(Salary_Calculation[Gross Salary Before Deductions],ROW()-ROW(Payslip_Lookup[#Headers])))</f>
        <v/>
      </c>
      <c r="U469" s="176" t="str">
        <f aca="false">IF(INDEX(Salary_Calculation[Source Row],ROW()-ROW(Payslip_Lookup[#Headers]))="","",INDEX(Salary_Calculation[missed_days_penalty],ROW()-ROW(Payslip_Lookup[#Headers])))</f>
        <v/>
      </c>
      <c r="V469" s="176" t="str">
        <f aca="false">IF(INDEX(Salary_Calculation[Source Row],ROW()-ROW(Payslip_Lookup[#Headers]))="","",INDEX(Salary_Calculation[Rider Balance],ROW()-ROW(Payslip_Lookup[#Headers])))</f>
        <v/>
      </c>
      <c r="W469" s="176" t="str">
        <f aca="false">IF(INDEX(Salary_Calculation[Source Row],ROW()-ROW(Payslip_Lookup[#Headers]))="","",INDEX(Salary_Calculation[stacking_deduction],ROW()-ROW(Payslip_Lookup[#Headers])))</f>
        <v/>
      </c>
      <c r="X469" s="176" t="str">
        <f aca="false">IF(INDEX(Salary_Calculation[Source Row],ROW()-ROW(Payslip_Lookup[#Headers]))="","",INDEX(Salary_Calculation[Other Deductions],ROW()-ROW(Payslip_Lookup[#Headers])))</f>
        <v/>
      </c>
      <c r="Y469" s="176" t="str">
        <f aca="false">IF(INDEX(Salary_Calculation[Source Row],ROW()-ROW(Payslip_Lookup[#Headers]))="","",INDEX(Salary_Calculation[Total Deductions],ROW()-ROW(Payslip_Lookup[#Headers])))</f>
        <v/>
      </c>
      <c r="Z469" s="176" t="str">
        <f aca="false">IF(INDEX(Salary_Calculation[Source Row],ROW()-ROW(Payslip_Lookup[#Headers]))="","",INDEX(Salary_Calculation[Final Salary],ROW()-ROW(Payslip_Lookup[#Headers])))</f>
        <v/>
      </c>
      <c r="AA469" s="176" t="str">
        <f aca="false">IF(INDEX(Salary_Calculation[Source Row],ROW()-ROW(Payslip_Lookup[#Headers]))="","",INDEX(Salary_Calculation[Negative Balance / Amount Due from Rider],ROW()-ROW(Payslip_Lookup[#Headers])))</f>
        <v/>
      </c>
      <c r="AB469" s="176" t="str">
        <f aca="false">IF(INDEX(Salary_Calculation[Source Row],ROW()-ROW(Payslip_Lookup[#Headers]))="","",INDEX(Salary_Calculation[Total Amount Due from Rider],ROW()-ROW(Payslip_Lookup[#Headers])))</f>
        <v/>
      </c>
      <c r="AC469" s="176" t="str">
        <f aca="false">IF(INDEX(Salary_Calculation[Source Row],ROW()-ROW(Payslip_Lookup[#Headers]))="","",INDEX(Salary_Calculation[Salary Before Other Deductions],ROW()-ROW(Payslip_Lookup[#Headers])))</f>
        <v/>
      </c>
      <c r="AD469" s="171" t="str">
        <f aca="false">IF(INDEX(Salary_Calculation[Source Row],ROW()-ROW(Payslip_Lookup[#Headers]))="","",INDEX(Salary_Calculation[Payment Status],ROW()-ROW(Payslip_Lookup[#Headers])))</f>
        <v/>
      </c>
      <c r="AE469" s="171" t="str">
        <f aca="false">IF(INDEX(Salary_Calculation[Source Row],ROW()-ROW(Payslip_Lookup[#Headers]))="","",INDEX(Salary_Calculation[Notes],ROW()-ROW(Payslip_Lookup[#Headers])))</f>
        <v/>
      </c>
      <c r="AF469" s="171" t="str">
        <f aca="false">IF(INDEX(Salary_Calculation[Source Row],ROW()-ROW(Payslip_Lookup[#Headers]))="","",INDEX(Salary_Calculation[Exception Reason],ROW()-ROW(Payslip_Lookup[#Headers])))</f>
        <v/>
      </c>
      <c r="AG469" s="173" t="str">
        <f aca="false">IF($AD469="Review Required",COUNTIF(AD$2:AD469,"Review Required"),"")</f>
        <v/>
      </c>
      <c r="AH469" s="173" t="str">
        <f aca="false">IF(AND($D469&lt;&gt;"",$B469=Payslip_Print!$C$2),MAX(AH$1:AH468)+1,"")</f>
        <v/>
      </c>
      <c r="AL469" s="178" t="str">
        <f aca="false">IFERROR(INDEX($D$2:$D$501,MATCH(ROW()-1,$AH$2:$AH$501,0)),"")</f>
        <v/>
      </c>
      <c r="AM469" s="179" t="str">
        <f aca="false">IF($Z469="","",IF(AND($C469&gt;=Dash_Start,$C469&lt;Dash_End),$Z469+ROW()/10000000,""))</f>
        <v/>
      </c>
    </row>
    <row r="470" customFormat="false" ht="14.25" hidden="false" customHeight="false" outlineLevel="0" collapsed="false">
      <c r="A470" s="171" t="str">
        <f aca="false">IF(Payslip_Lookup[[#This Row],[Rider ID]]="","",Payslip_Lookup[[#This Row],[Rider ID]]&amp;"|"&amp;Payslip_Lookup[[#This Row],[Month Key]])</f>
        <v/>
      </c>
      <c r="B470" s="172" t="str">
        <f aca="false">IF(ISNUMBER(Payslip_Lookup[[#This Row],[Salary Month]]),DATE(YEAR(Payslip_Lookup[[#This Row],[Salary Month]]),MONTH(Payslip_Lookup[[#This Row],[Salary Month]]),1),"")</f>
        <v/>
      </c>
      <c r="C470" s="172" t="str">
        <f aca="false">IF(INDEX(Salary_Calculation[Source Row],ROW()-ROW(Payslip_Lookup[#Headers]))="","",INDEX(Salary_Calculation[Salary Month],ROW()-ROW(Payslip_Lookup[#Headers])))</f>
        <v/>
      </c>
      <c r="D470" s="173" t="str">
        <f aca="false">IF(INDEX(Salary_Calculation[Source Row],ROW()-ROW(Payslip_Lookup[#Headers]))="","",INDEX(Salary_Calculation[Rider ID],ROW()-ROW(Payslip_Lookup[#Headers])))</f>
        <v/>
      </c>
      <c r="E470" s="171" t="str">
        <f aca="false">IF(INDEX(Salary_Calculation[Source Row],ROW()-ROW(Payslip_Lookup[#Headers]))="","",INDEX(Salary_Calculation[Rider Name],ROW()-ROW(Payslip_Lookup[#Headers])))</f>
        <v/>
      </c>
      <c r="F470" s="173" t="str">
        <f aca="false">IF(INDEX(Salary_Calculation[Source Row],ROW()-ROW(Payslip_Lookup[#Headers]))="","",INDEX(Salary_Calculation[Working Days],ROW()-ROW(Payslip_Lookup[#Headers])))</f>
        <v/>
      </c>
      <c r="G470" s="173" t="str">
        <f aca="false">IF(INDEX(Salary_Calculation[Source Row],ROW()-ROW(Payslip_Lookup[#Headers]))="","",INDEX(Salary_Calculation[Calendar Days],ROW()-ROW(Payslip_Lookup[#Headers])))</f>
        <v/>
      </c>
      <c r="H470" s="174" t="str">
        <f aca="false">IF(INDEX(Salary_Calculation[Source Row],ROW()-ROW(Payslip_Lookup[#Headers]))="","",INDEX(Salary_Calculation[Monthly Target Orders],ROW()-ROW(Payslip_Lookup[#Headers])))</f>
        <v/>
      </c>
      <c r="I470" s="174" t="str">
        <f aca="false">IF(INDEX(Salary_Calculation[Source Row],ROW()-ROW(Payslip_Lookup[#Headers]))="","",INDEX(Salary_Calculation[Rider Target Orders],ROW()-ROW(Payslip_Lookup[#Headers])))</f>
        <v/>
      </c>
      <c r="J470" s="175" t="str">
        <f aca="false">IF(INDEX(Salary_Calculation[Source Row],ROW()-ROW(Payslip_Lookup[#Headers]))="","",INDEX(Salary_Calculation[Completed Orders],ROW()-ROW(Payslip_Lookup[#Headers])))</f>
        <v/>
      </c>
      <c r="K470" s="174" t="str">
        <f aca="false">IF(INDEX(Salary_Calculation[Source Row],ROW()-ROW(Payslip_Lookup[#Headers]))="","",INDEX(Salary_Calculation[Base Order Rate],ROW()-ROW(Payslip_Lookup[#Headers])))</f>
        <v/>
      </c>
      <c r="L470" s="176" t="str">
        <f aca="false">IF(INDEX(Salary_Calculation[Source Row],ROW()-ROW(Payslip_Lookup[#Headers]))="","",INDEX(Salary_Calculation[Basic Payment],ROW()-ROW(Payslip_Lookup[#Headers])))</f>
        <v/>
      </c>
      <c r="M470" s="176" t="str">
        <f aca="false">IF(INDEX(Salary_Calculation[Source Row],ROW()-ROW(Payslip_Lookup[#Headers]))="","",INDEX(Salary_Calculation[Earned Salary],ROW()-ROW(Payslip_Lookup[#Headers])))</f>
        <v/>
      </c>
      <c r="N470" s="174" t="str">
        <f aca="false">IF(INDEX(Salary_Calculation[Source Row],ROW()-ROW(Payslip_Lookup[#Headers]))="","",INDEX(Salary_Calculation[Orders Counted at Base Rate],ROW()-ROW(Payslip_Lookup[#Headers])))</f>
        <v/>
      </c>
      <c r="O470" s="174" t="str">
        <f aca="false">IF(INDEX(Salary_Calculation[Source Row],ROW()-ROW(Payslip_Lookup[#Headers]))="","",INDEX(Salary_Calculation[Missing Orders],ROW()-ROW(Payslip_Lookup[#Headers])))</f>
        <v/>
      </c>
      <c r="P470" s="176" t="str">
        <f aca="false">IF(INDEX(Salary_Calculation[Source Row],ROW()-ROW(Payslip_Lookup[#Headers]))="","",INDEX(Salary_Calculation[Missing-Order Deduction],ROW()-ROW(Payslip_Lookup[#Headers])))</f>
        <v/>
      </c>
      <c r="Q470" s="174" t="str">
        <f aca="false">IF(INDEX(Salary_Calculation[Source Row],ROW()-ROW(Payslip_Lookup[#Headers]))="","",INDEX(Salary_Calculation[Extra Orders],ROW()-ROW(Payslip_Lookup[#Headers])))</f>
        <v/>
      </c>
      <c r="R470" s="176" t="str">
        <f aca="false">IF(INDEX(Salary_Calculation[Source Row],ROW()-ROW(Payslip_Lookup[#Headers]))="","",INDEX(Salary_Calculation[Extra-Order Bonus],ROW()-ROW(Payslip_Lookup[#Headers])))</f>
        <v/>
      </c>
      <c r="S470" s="176" t="str">
        <f aca="false">IF(INDEX(Salary_Calculation[Source Row],ROW()-ROW(Payslip_Lookup[#Headers]))="","",INDEX(Salary_Calculation[Basic Salary for Target],ROW()-ROW(Payslip_Lookup[#Headers])))</f>
        <v/>
      </c>
      <c r="T470" s="176" t="str">
        <f aca="false">IF(INDEX(Salary_Calculation[Source Row],ROW()-ROW(Payslip_Lookup[#Headers]))="","",INDEX(Salary_Calculation[Gross Salary Before Deductions],ROW()-ROW(Payslip_Lookup[#Headers])))</f>
        <v/>
      </c>
      <c r="U470" s="176" t="str">
        <f aca="false">IF(INDEX(Salary_Calculation[Source Row],ROW()-ROW(Payslip_Lookup[#Headers]))="","",INDEX(Salary_Calculation[missed_days_penalty],ROW()-ROW(Payslip_Lookup[#Headers])))</f>
        <v/>
      </c>
      <c r="V470" s="176" t="str">
        <f aca="false">IF(INDEX(Salary_Calculation[Source Row],ROW()-ROW(Payslip_Lookup[#Headers]))="","",INDEX(Salary_Calculation[Rider Balance],ROW()-ROW(Payslip_Lookup[#Headers])))</f>
        <v/>
      </c>
      <c r="W470" s="176" t="str">
        <f aca="false">IF(INDEX(Salary_Calculation[Source Row],ROW()-ROW(Payslip_Lookup[#Headers]))="","",INDEX(Salary_Calculation[stacking_deduction],ROW()-ROW(Payslip_Lookup[#Headers])))</f>
        <v/>
      </c>
      <c r="X470" s="176" t="str">
        <f aca="false">IF(INDEX(Salary_Calculation[Source Row],ROW()-ROW(Payslip_Lookup[#Headers]))="","",INDEX(Salary_Calculation[Other Deductions],ROW()-ROW(Payslip_Lookup[#Headers])))</f>
        <v/>
      </c>
      <c r="Y470" s="176" t="str">
        <f aca="false">IF(INDEX(Salary_Calculation[Source Row],ROW()-ROW(Payslip_Lookup[#Headers]))="","",INDEX(Salary_Calculation[Total Deductions],ROW()-ROW(Payslip_Lookup[#Headers])))</f>
        <v/>
      </c>
      <c r="Z470" s="176" t="str">
        <f aca="false">IF(INDEX(Salary_Calculation[Source Row],ROW()-ROW(Payslip_Lookup[#Headers]))="","",INDEX(Salary_Calculation[Final Salary],ROW()-ROW(Payslip_Lookup[#Headers])))</f>
        <v/>
      </c>
      <c r="AA470" s="176" t="str">
        <f aca="false">IF(INDEX(Salary_Calculation[Source Row],ROW()-ROW(Payslip_Lookup[#Headers]))="","",INDEX(Salary_Calculation[Negative Balance / Amount Due from Rider],ROW()-ROW(Payslip_Lookup[#Headers])))</f>
        <v/>
      </c>
      <c r="AB470" s="176" t="str">
        <f aca="false">IF(INDEX(Salary_Calculation[Source Row],ROW()-ROW(Payslip_Lookup[#Headers]))="","",INDEX(Salary_Calculation[Total Amount Due from Rider],ROW()-ROW(Payslip_Lookup[#Headers])))</f>
        <v/>
      </c>
      <c r="AC470" s="176" t="str">
        <f aca="false">IF(INDEX(Salary_Calculation[Source Row],ROW()-ROW(Payslip_Lookup[#Headers]))="","",INDEX(Salary_Calculation[Salary Before Other Deductions],ROW()-ROW(Payslip_Lookup[#Headers])))</f>
        <v/>
      </c>
      <c r="AD470" s="171" t="str">
        <f aca="false">IF(INDEX(Salary_Calculation[Source Row],ROW()-ROW(Payslip_Lookup[#Headers]))="","",INDEX(Salary_Calculation[Payment Status],ROW()-ROW(Payslip_Lookup[#Headers])))</f>
        <v/>
      </c>
      <c r="AE470" s="171" t="str">
        <f aca="false">IF(INDEX(Salary_Calculation[Source Row],ROW()-ROW(Payslip_Lookup[#Headers]))="","",INDEX(Salary_Calculation[Notes],ROW()-ROW(Payslip_Lookup[#Headers])))</f>
        <v/>
      </c>
      <c r="AF470" s="171" t="str">
        <f aca="false">IF(INDEX(Salary_Calculation[Source Row],ROW()-ROW(Payslip_Lookup[#Headers]))="","",INDEX(Salary_Calculation[Exception Reason],ROW()-ROW(Payslip_Lookup[#Headers])))</f>
        <v/>
      </c>
      <c r="AG470" s="173" t="str">
        <f aca="false">IF($AD470="Review Required",COUNTIF(AD$2:AD470,"Review Required"),"")</f>
        <v/>
      </c>
      <c r="AH470" s="173" t="str">
        <f aca="false">IF(AND($D470&lt;&gt;"",$B470=Payslip_Print!$C$2),MAX(AH$1:AH469)+1,"")</f>
        <v/>
      </c>
      <c r="AL470" s="178" t="str">
        <f aca="false">IFERROR(INDEX($D$2:$D$501,MATCH(ROW()-1,$AH$2:$AH$501,0)),"")</f>
        <v/>
      </c>
      <c r="AM470" s="179" t="str">
        <f aca="false">IF($Z470="","",IF(AND($C470&gt;=Dash_Start,$C470&lt;Dash_End),$Z470+ROW()/10000000,""))</f>
        <v/>
      </c>
    </row>
    <row r="471" customFormat="false" ht="14.25" hidden="false" customHeight="false" outlineLevel="0" collapsed="false">
      <c r="A471" s="171" t="str">
        <f aca="false">IF(Payslip_Lookup[[#This Row],[Rider ID]]="","",Payslip_Lookup[[#This Row],[Rider ID]]&amp;"|"&amp;Payslip_Lookup[[#This Row],[Month Key]])</f>
        <v/>
      </c>
      <c r="B471" s="172" t="str">
        <f aca="false">IF(ISNUMBER(Payslip_Lookup[[#This Row],[Salary Month]]),DATE(YEAR(Payslip_Lookup[[#This Row],[Salary Month]]),MONTH(Payslip_Lookup[[#This Row],[Salary Month]]),1),"")</f>
        <v/>
      </c>
      <c r="C471" s="172" t="str">
        <f aca="false">IF(INDEX(Salary_Calculation[Source Row],ROW()-ROW(Payslip_Lookup[#Headers]))="","",INDEX(Salary_Calculation[Salary Month],ROW()-ROW(Payslip_Lookup[#Headers])))</f>
        <v/>
      </c>
      <c r="D471" s="173" t="str">
        <f aca="false">IF(INDEX(Salary_Calculation[Source Row],ROW()-ROW(Payslip_Lookup[#Headers]))="","",INDEX(Salary_Calculation[Rider ID],ROW()-ROW(Payslip_Lookup[#Headers])))</f>
        <v/>
      </c>
      <c r="E471" s="171" t="str">
        <f aca="false">IF(INDEX(Salary_Calculation[Source Row],ROW()-ROW(Payslip_Lookup[#Headers]))="","",INDEX(Salary_Calculation[Rider Name],ROW()-ROW(Payslip_Lookup[#Headers])))</f>
        <v/>
      </c>
      <c r="F471" s="173" t="str">
        <f aca="false">IF(INDEX(Salary_Calculation[Source Row],ROW()-ROW(Payslip_Lookup[#Headers]))="","",INDEX(Salary_Calculation[Working Days],ROW()-ROW(Payslip_Lookup[#Headers])))</f>
        <v/>
      </c>
      <c r="G471" s="173" t="str">
        <f aca="false">IF(INDEX(Salary_Calculation[Source Row],ROW()-ROW(Payslip_Lookup[#Headers]))="","",INDEX(Salary_Calculation[Calendar Days],ROW()-ROW(Payslip_Lookup[#Headers])))</f>
        <v/>
      </c>
      <c r="H471" s="174" t="str">
        <f aca="false">IF(INDEX(Salary_Calculation[Source Row],ROW()-ROW(Payslip_Lookup[#Headers]))="","",INDEX(Salary_Calculation[Monthly Target Orders],ROW()-ROW(Payslip_Lookup[#Headers])))</f>
        <v/>
      </c>
      <c r="I471" s="174" t="str">
        <f aca="false">IF(INDEX(Salary_Calculation[Source Row],ROW()-ROW(Payslip_Lookup[#Headers]))="","",INDEX(Salary_Calculation[Rider Target Orders],ROW()-ROW(Payslip_Lookup[#Headers])))</f>
        <v/>
      </c>
      <c r="J471" s="175" t="str">
        <f aca="false">IF(INDEX(Salary_Calculation[Source Row],ROW()-ROW(Payslip_Lookup[#Headers]))="","",INDEX(Salary_Calculation[Completed Orders],ROW()-ROW(Payslip_Lookup[#Headers])))</f>
        <v/>
      </c>
      <c r="K471" s="174" t="str">
        <f aca="false">IF(INDEX(Salary_Calculation[Source Row],ROW()-ROW(Payslip_Lookup[#Headers]))="","",INDEX(Salary_Calculation[Base Order Rate],ROW()-ROW(Payslip_Lookup[#Headers])))</f>
        <v/>
      </c>
      <c r="L471" s="176" t="str">
        <f aca="false">IF(INDEX(Salary_Calculation[Source Row],ROW()-ROW(Payslip_Lookup[#Headers]))="","",INDEX(Salary_Calculation[Basic Payment],ROW()-ROW(Payslip_Lookup[#Headers])))</f>
        <v/>
      </c>
      <c r="M471" s="176" t="str">
        <f aca="false">IF(INDEX(Salary_Calculation[Source Row],ROW()-ROW(Payslip_Lookup[#Headers]))="","",INDEX(Salary_Calculation[Earned Salary],ROW()-ROW(Payslip_Lookup[#Headers])))</f>
        <v/>
      </c>
      <c r="N471" s="174" t="str">
        <f aca="false">IF(INDEX(Salary_Calculation[Source Row],ROW()-ROW(Payslip_Lookup[#Headers]))="","",INDEX(Salary_Calculation[Orders Counted at Base Rate],ROW()-ROW(Payslip_Lookup[#Headers])))</f>
        <v/>
      </c>
      <c r="O471" s="174" t="str">
        <f aca="false">IF(INDEX(Salary_Calculation[Source Row],ROW()-ROW(Payslip_Lookup[#Headers]))="","",INDEX(Salary_Calculation[Missing Orders],ROW()-ROW(Payslip_Lookup[#Headers])))</f>
        <v/>
      </c>
      <c r="P471" s="176" t="str">
        <f aca="false">IF(INDEX(Salary_Calculation[Source Row],ROW()-ROW(Payslip_Lookup[#Headers]))="","",INDEX(Salary_Calculation[Missing-Order Deduction],ROW()-ROW(Payslip_Lookup[#Headers])))</f>
        <v/>
      </c>
      <c r="Q471" s="174" t="str">
        <f aca="false">IF(INDEX(Salary_Calculation[Source Row],ROW()-ROW(Payslip_Lookup[#Headers]))="","",INDEX(Salary_Calculation[Extra Orders],ROW()-ROW(Payslip_Lookup[#Headers])))</f>
        <v/>
      </c>
      <c r="R471" s="176" t="str">
        <f aca="false">IF(INDEX(Salary_Calculation[Source Row],ROW()-ROW(Payslip_Lookup[#Headers]))="","",INDEX(Salary_Calculation[Extra-Order Bonus],ROW()-ROW(Payslip_Lookup[#Headers])))</f>
        <v/>
      </c>
      <c r="S471" s="176" t="str">
        <f aca="false">IF(INDEX(Salary_Calculation[Source Row],ROW()-ROW(Payslip_Lookup[#Headers]))="","",INDEX(Salary_Calculation[Basic Salary for Target],ROW()-ROW(Payslip_Lookup[#Headers])))</f>
        <v/>
      </c>
      <c r="T471" s="176" t="str">
        <f aca="false">IF(INDEX(Salary_Calculation[Source Row],ROW()-ROW(Payslip_Lookup[#Headers]))="","",INDEX(Salary_Calculation[Gross Salary Before Deductions],ROW()-ROW(Payslip_Lookup[#Headers])))</f>
        <v/>
      </c>
      <c r="U471" s="176" t="str">
        <f aca="false">IF(INDEX(Salary_Calculation[Source Row],ROW()-ROW(Payslip_Lookup[#Headers]))="","",INDEX(Salary_Calculation[missed_days_penalty],ROW()-ROW(Payslip_Lookup[#Headers])))</f>
        <v/>
      </c>
      <c r="V471" s="176" t="str">
        <f aca="false">IF(INDEX(Salary_Calculation[Source Row],ROW()-ROW(Payslip_Lookup[#Headers]))="","",INDEX(Salary_Calculation[Rider Balance],ROW()-ROW(Payslip_Lookup[#Headers])))</f>
        <v/>
      </c>
      <c r="W471" s="176" t="str">
        <f aca="false">IF(INDEX(Salary_Calculation[Source Row],ROW()-ROW(Payslip_Lookup[#Headers]))="","",INDEX(Salary_Calculation[stacking_deduction],ROW()-ROW(Payslip_Lookup[#Headers])))</f>
        <v/>
      </c>
      <c r="X471" s="176" t="str">
        <f aca="false">IF(INDEX(Salary_Calculation[Source Row],ROW()-ROW(Payslip_Lookup[#Headers]))="","",INDEX(Salary_Calculation[Other Deductions],ROW()-ROW(Payslip_Lookup[#Headers])))</f>
        <v/>
      </c>
      <c r="Y471" s="176" t="str">
        <f aca="false">IF(INDEX(Salary_Calculation[Source Row],ROW()-ROW(Payslip_Lookup[#Headers]))="","",INDEX(Salary_Calculation[Total Deductions],ROW()-ROW(Payslip_Lookup[#Headers])))</f>
        <v/>
      </c>
      <c r="Z471" s="176" t="str">
        <f aca="false">IF(INDEX(Salary_Calculation[Source Row],ROW()-ROW(Payslip_Lookup[#Headers]))="","",INDEX(Salary_Calculation[Final Salary],ROW()-ROW(Payslip_Lookup[#Headers])))</f>
        <v/>
      </c>
      <c r="AA471" s="176" t="str">
        <f aca="false">IF(INDEX(Salary_Calculation[Source Row],ROW()-ROW(Payslip_Lookup[#Headers]))="","",INDEX(Salary_Calculation[Negative Balance / Amount Due from Rider],ROW()-ROW(Payslip_Lookup[#Headers])))</f>
        <v/>
      </c>
      <c r="AB471" s="176" t="str">
        <f aca="false">IF(INDEX(Salary_Calculation[Source Row],ROW()-ROW(Payslip_Lookup[#Headers]))="","",INDEX(Salary_Calculation[Total Amount Due from Rider],ROW()-ROW(Payslip_Lookup[#Headers])))</f>
        <v/>
      </c>
      <c r="AC471" s="176" t="str">
        <f aca="false">IF(INDEX(Salary_Calculation[Source Row],ROW()-ROW(Payslip_Lookup[#Headers]))="","",INDEX(Salary_Calculation[Salary Before Other Deductions],ROW()-ROW(Payslip_Lookup[#Headers])))</f>
        <v/>
      </c>
      <c r="AD471" s="171" t="str">
        <f aca="false">IF(INDEX(Salary_Calculation[Source Row],ROW()-ROW(Payslip_Lookup[#Headers]))="","",INDEX(Salary_Calculation[Payment Status],ROW()-ROW(Payslip_Lookup[#Headers])))</f>
        <v/>
      </c>
      <c r="AE471" s="171" t="str">
        <f aca="false">IF(INDEX(Salary_Calculation[Source Row],ROW()-ROW(Payslip_Lookup[#Headers]))="","",INDEX(Salary_Calculation[Notes],ROW()-ROW(Payslip_Lookup[#Headers])))</f>
        <v/>
      </c>
      <c r="AF471" s="171" t="str">
        <f aca="false">IF(INDEX(Salary_Calculation[Source Row],ROW()-ROW(Payslip_Lookup[#Headers]))="","",INDEX(Salary_Calculation[Exception Reason],ROW()-ROW(Payslip_Lookup[#Headers])))</f>
        <v/>
      </c>
      <c r="AG471" s="173" t="str">
        <f aca="false">IF($AD471="Review Required",COUNTIF(AD$2:AD471,"Review Required"),"")</f>
        <v/>
      </c>
      <c r="AH471" s="173" t="str">
        <f aca="false">IF(AND($D471&lt;&gt;"",$B471=Payslip_Print!$C$2),MAX(AH$1:AH470)+1,"")</f>
        <v/>
      </c>
      <c r="AL471" s="178" t="str">
        <f aca="false">IFERROR(INDEX($D$2:$D$501,MATCH(ROW()-1,$AH$2:$AH$501,0)),"")</f>
        <v/>
      </c>
      <c r="AM471" s="179" t="str">
        <f aca="false">IF($Z471="","",IF(AND($C471&gt;=Dash_Start,$C471&lt;Dash_End),$Z471+ROW()/10000000,""))</f>
        <v/>
      </c>
    </row>
    <row r="472" customFormat="false" ht="14.25" hidden="false" customHeight="false" outlineLevel="0" collapsed="false">
      <c r="A472" s="171" t="str">
        <f aca="false">IF(Payslip_Lookup[[#This Row],[Rider ID]]="","",Payslip_Lookup[[#This Row],[Rider ID]]&amp;"|"&amp;Payslip_Lookup[[#This Row],[Month Key]])</f>
        <v/>
      </c>
      <c r="B472" s="172" t="str">
        <f aca="false">IF(ISNUMBER(Payslip_Lookup[[#This Row],[Salary Month]]),DATE(YEAR(Payslip_Lookup[[#This Row],[Salary Month]]),MONTH(Payslip_Lookup[[#This Row],[Salary Month]]),1),"")</f>
        <v/>
      </c>
      <c r="C472" s="172" t="str">
        <f aca="false">IF(INDEX(Salary_Calculation[Source Row],ROW()-ROW(Payslip_Lookup[#Headers]))="","",INDEX(Salary_Calculation[Salary Month],ROW()-ROW(Payslip_Lookup[#Headers])))</f>
        <v/>
      </c>
      <c r="D472" s="173" t="str">
        <f aca="false">IF(INDEX(Salary_Calculation[Source Row],ROW()-ROW(Payslip_Lookup[#Headers]))="","",INDEX(Salary_Calculation[Rider ID],ROW()-ROW(Payslip_Lookup[#Headers])))</f>
        <v/>
      </c>
      <c r="E472" s="171" t="str">
        <f aca="false">IF(INDEX(Salary_Calculation[Source Row],ROW()-ROW(Payslip_Lookup[#Headers]))="","",INDEX(Salary_Calculation[Rider Name],ROW()-ROW(Payslip_Lookup[#Headers])))</f>
        <v/>
      </c>
      <c r="F472" s="173" t="str">
        <f aca="false">IF(INDEX(Salary_Calculation[Source Row],ROW()-ROW(Payslip_Lookup[#Headers]))="","",INDEX(Salary_Calculation[Working Days],ROW()-ROW(Payslip_Lookup[#Headers])))</f>
        <v/>
      </c>
      <c r="G472" s="173" t="str">
        <f aca="false">IF(INDEX(Salary_Calculation[Source Row],ROW()-ROW(Payslip_Lookup[#Headers]))="","",INDEX(Salary_Calculation[Calendar Days],ROW()-ROW(Payslip_Lookup[#Headers])))</f>
        <v/>
      </c>
      <c r="H472" s="174" t="str">
        <f aca="false">IF(INDEX(Salary_Calculation[Source Row],ROW()-ROW(Payslip_Lookup[#Headers]))="","",INDEX(Salary_Calculation[Monthly Target Orders],ROW()-ROW(Payslip_Lookup[#Headers])))</f>
        <v/>
      </c>
      <c r="I472" s="174" t="str">
        <f aca="false">IF(INDEX(Salary_Calculation[Source Row],ROW()-ROW(Payslip_Lookup[#Headers]))="","",INDEX(Salary_Calculation[Rider Target Orders],ROW()-ROW(Payslip_Lookup[#Headers])))</f>
        <v/>
      </c>
      <c r="J472" s="175" t="str">
        <f aca="false">IF(INDEX(Salary_Calculation[Source Row],ROW()-ROW(Payslip_Lookup[#Headers]))="","",INDEX(Salary_Calculation[Completed Orders],ROW()-ROW(Payslip_Lookup[#Headers])))</f>
        <v/>
      </c>
      <c r="K472" s="174" t="str">
        <f aca="false">IF(INDEX(Salary_Calculation[Source Row],ROW()-ROW(Payslip_Lookup[#Headers]))="","",INDEX(Salary_Calculation[Base Order Rate],ROW()-ROW(Payslip_Lookup[#Headers])))</f>
        <v/>
      </c>
      <c r="L472" s="176" t="str">
        <f aca="false">IF(INDEX(Salary_Calculation[Source Row],ROW()-ROW(Payslip_Lookup[#Headers]))="","",INDEX(Salary_Calculation[Basic Payment],ROW()-ROW(Payslip_Lookup[#Headers])))</f>
        <v/>
      </c>
      <c r="M472" s="176" t="str">
        <f aca="false">IF(INDEX(Salary_Calculation[Source Row],ROW()-ROW(Payslip_Lookup[#Headers]))="","",INDEX(Salary_Calculation[Earned Salary],ROW()-ROW(Payslip_Lookup[#Headers])))</f>
        <v/>
      </c>
      <c r="N472" s="174" t="str">
        <f aca="false">IF(INDEX(Salary_Calculation[Source Row],ROW()-ROW(Payslip_Lookup[#Headers]))="","",INDEX(Salary_Calculation[Orders Counted at Base Rate],ROW()-ROW(Payslip_Lookup[#Headers])))</f>
        <v/>
      </c>
      <c r="O472" s="174" t="str">
        <f aca="false">IF(INDEX(Salary_Calculation[Source Row],ROW()-ROW(Payslip_Lookup[#Headers]))="","",INDEX(Salary_Calculation[Missing Orders],ROW()-ROW(Payslip_Lookup[#Headers])))</f>
        <v/>
      </c>
      <c r="P472" s="176" t="str">
        <f aca="false">IF(INDEX(Salary_Calculation[Source Row],ROW()-ROW(Payslip_Lookup[#Headers]))="","",INDEX(Salary_Calculation[Missing-Order Deduction],ROW()-ROW(Payslip_Lookup[#Headers])))</f>
        <v/>
      </c>
      <c r="Q472" s="174" t="str">
        <f aca="false">IF(INDEX(Salary_Calculation[Source Row],ROW()-ROW(Payslip_Lookup[#Headers]))="","",INDEX(Salary_Calculation[Extra Orders],ROW()-ROW(Payslip_Lookup[#Headers])))</f>
        <v/>
      </c>
      <c r="R472" s="176" t="str">
        <f aca="false">IF(INDEX(Salary_Calculation[Source Row],ROW()-ROW(Payslip_Lookup[#Headers]))="","",INDEX(Salary_Calculation[Extra-Order Bonus],ROW()-ROW(Payslip_Lookup[#Headers])))</f>
        <v/>
      </c>
      <c r="S472" s="176" t="str">
        <f aca="false">IF(INDEX(Salary_Calculation[Source Row],ROW()-ROW(Payslip_Lookup[#Headers]))="","",INDEX(Salary_Calculation[Basic Salary for Target],ROW()-ROW(Payslip_Lookup[#Headers])))</f>
        <v/>
      </c>
      <c r="T472" s="176" t="str">
        <f aca="false">IF(INDEX(Salary_Calculation[Source Row],ROW()-ROW(Payslip_Lookup[#Headers]))="","",INDEX(Salary_Calculation[Gross Salary Before Deductions],ROW()-ROW(Payslip_Lookup[#Headers])))</f>
        <v/>
      </c>
      <c r="U472" s="176" t="str">
        <f aca="false">IF(INDEX(Salary_Calculation[Source Row],ROW()-ROW(Payslip_Lookup[#Headers]))="","",INDEX(Salary_Calculation[missed_days_penalty],ROW()-ROW(Payslip_Lookup[#Headers])))</f>
        <v/>
      </c>
      <c r="V472" s="176" t="str">
        <f aca="false">IF(INDEX(Salary_Calculation[Source Row],ROW()-ROW(Payslip_Lookup[#Headers]))="","",INDEX(Salary_Calculation[Rider Balance],ROW()-ROW(Payslip_Lookup[#Headers])))</f>
        <v/>
      </c>
      <c r="W472" s="176" t="str">
        <f aca="false">IF(INDEX(Salary_Calculation[Source Row],ROW()-ROW(Payslip_Lookup[#Headers]))="","",INDEX(Salary_Calculation[stacking_deduction],ROW()-ROW(Payslip_Lookup[#Headers])))</f>
        <v/>
      </c>
      <c r="X472" s="176" t="str">
        <f aca="false">IF(INDEX(Salary_Calculation[Source Row],ROW()-ROW(Payslip_Lookup[#Headers]))="","",INDEX(Salary_Calculation[Other Deductions],ROW()-ROW(Payslip_Lookup[#Headers])))</f>
        <v/>
      </c>
      <c r="Y472" s="176" t="str">
        <f aca="false">IF(INDEX(Salary_Calculation[Source Row],ROW()-ROW(Payslip_Lookup[#Headers]))="","",INDEX(Salary_Calculation[Total Deductions],ROW()-ROW(Payslip_Lookup[#Headers])))</f>
        <v/>
      </c>
      <c r="Z472" s="176" t="str">
        <f aca="false">IF(INDEX(Salary_Calculation[Source Row],ROW()-ROW(Payslip_Lookup[#Headers]))="","",INDEX(Salary_Calculation[Final Salary],ROW()-ROW(Payslip_Lookup[#Headers])))</f>
        <v/>
      </c>
      <c r="AA472" s="176" t="str">
        <f aca="false">IF(INDEX(Salary_Calculation[Source Row],ROW()-ROW(Payslip_Lookup[#Headers]))="","",INDEX(Salary_Calculation[Negative Balance / Amount Due from Rider],ROW()-ROW(Payslip_Lookup[#Headers])))</f>
        <v/>
      </c>
      <c r="AB472" s="176" t="str">
        <f aca="false">IF(INDEX(Salary_Calculation[Source Row],ROW()-ROW(Payslip_Lookup[#Headers]))="","",INDEX(Salary_Calculation[Total Amount Due from Rider],ROW()-ROW(Payslip_Lookup[#Headers])))</f>
        <v/>
      </c>
      <c r="AC472" s="176" t="str">
        <f aca="false">IF(INDEX(Salary_Calculation[Source Row],ROW()-ROW(Payslip_Lookup[#Headers]))="","",INDEX(Salary_Calculation[Salary Before Other Deductions],ROW()-ROW(Payslip_Lookup[#Headers])))</f>
        <v/>
      </c>
      <c r="AD472" s="171" t="str">
        <f aca="false">IF(INDEX(Salary_Calculation[Source Row],ROW()-ROW(Payslip_Lookup[#Headers]))="","",INDEX(Salary_Calculation[Payment Status],ROW()-ROW(Payslip_Lookup[#Headers])))</f>
        <v/>
      </c>
      <c r="AE472" s="171" t="str">
        <f aca="false">IF(INDEX(Salary_Calculation[Source Row],ROW()-ROW(Payslip_Lookup[#Headers]))="","",INDEX(Salary_Calculation[Notes],ROW()-ROW(Payslip_Lookup[#Headers])))</f>
        <v/>
      </c>
      <c r="AF472" s="171" t="str">
        <f aca="false">IF(INDEX(Salary_Calculation[Source Row],ROW()-ROW(Payslip_Lookup[#Headers]))="","",INDEX(Salary_Calculation[Exception Reason],ROW()-ROW(Payslip_Lookup[#Headers])))</f>
        <v/>
      </c>
      <c r="AG472" s="173" t="str">
        <f aca="false">IF($AD472="Review Required",COUNTIF(AD$2:AD472,"Review Required"),"")</f>
        <v/>
      </c>
      <c r="AH472" s="173" t="str">
        <f aca="false">IF(AND($D472&lt;&gt;"",$B472=Payslip_Print!$C$2),MAX(AH$1:AH471)+1,"")</f>
        <v/>
      </c>
      <c r="AL472" s="178" t="str">
        <f aca="false">IFERROR(INDEX($D$2:$D$501,MATCH(ROW()-1,$AH$2:$AH$501,0)),"")</f>
        <v/>
      </c>
      <c r="AM472" s="179" t="str">
        <f aca="false">IF($Z472="","",IF(AND($C472&gt;=Dash_Start,$C472&lt;Dash_End),$Z472+ROW()/10000000,""))</f>
        <v/>
      </c>
    </row>
    <row r="473" customFormat="false" ht="14.25" hidden="false" customHeight="false" outlineLevel="0" collapsed="false">
      <c r="A473" s="171" t="str">
        <f aca="false">IF(Payslip_Lookup[[#This Row],[Rider ID]]="","",Payslip_Lookup[[#This Row],[Rider ID]]&amp;"|"&amp;Payslip_Lookup[[#This Row],[Month Key]])</f>
        <v/>
      </c>
      <c r="B473" s="172" t="str">
        <f aca="false">IF(ISNUMBER(Payslip_Lookup[[#This Row],[Salary Month]]),DATE(YEAR(Payslip_Lookup[[#This Row],[Salary Month]]),MONTH(Payslip_Lookup[[#This Row],[Salary Month]]),1),"")</f>
        <v/>
      </c>
      <c r="C473" s="172" t="str">
        <f aca="false">IF(INDEX(Salary_Calculation[Source Row],ROW()-ROW(Payslip_Lookup[#Headers]))="","",INDEX(Salary_Calculation[Salary Month],ROW()-ROW(Payslip_Lookup[#Headers])))</f>
        <v/>
      </c>
      <c r="D473" s="173" t="str">
        <f aca="false">IF(INDEX(Salary_Calculation[Source Row],ROW()-ROW(Payslip_Lookup[#Headers]))="","",INDEX(Salary_Calculation[Rider ID],ROW()-ROW(Payslip_Lookup[#Headers])))</f>
        <v/>
      </c>
      <c r="E473" s="171" t="str">
        <f aca="false">IF(INDEX(Salary_Calculation[Source Row],ROW()-ROW(Payslip_Lookup[#Headers]))="","",INDEX(Salary_Calculation[Rider Name],ROW()-ROW(Payslip_Lookup[#Headers])))</f>
        <v/>
      </c>
      <c r="F473" s="173" t="str">
        <f aca="false">IF(INDEX(Salary_Calculation[Source Row],ROW()-ROW(Payslip_Lookup[#Headers]))="","",INDEX(Salary_Calculation[Working Days],ROW()-ROW(Payslip_Lookup[#Headers])))</f>
        <v/>
      </c>
      <c r="G473" s="173" t="str">
        <f aca="false">IF(INDEX(Salary_Calculation[Source Row],ROW()-ROW(Payslip_Lookup[#Headers]))="","",INDEX(Salary_Calculation[Calendar Days],ROW()-ROW(Payslip_Lookup[#Headers])))</f>
        <v/>
      </c>
      <c r="H473" s="174" t="str">
        <f aca="false">IF(INDEX(Salary_Calculation[Source Row],ROW()-ROW(Payslip_Lookup[#Headers]))="","",INDEX(Salary_Calculation[Monthly Target Orders],ROW()-ROW(Payslip_Lookup[#Headers])))</f>
        <v/>
      </c>
      <c r="I473" s="174" t="str">
        <f aca="false">IF(INDEX(Salary_Calculation[Source Row],ROW()-ROW(Payslip_Lookup[#Headers]))="","",INDEX(Salary_Calculation[Rider Target Orders],ROW()-ROW(Payslip_Lookup[#Headers])))</f>
        <v/>
      </c>
      <c r="J473" s="175" t="str">
        <f aca="false">IF(INDEX(Salary_Calculation[Source Row],ROW()-ROW(Payslip_Lookup[#Headers]))="","",INDEX(Salary_Calculation[Completed Orders],ROW()-ROW(Payslip_Lookup[#Headers])))</f>
        <v/>
      </c>
      <c r="K473" s="174" t="str">
        <f aca="false">IF(INDEX(Salary_Calculation[Source Row],ROW()-ROW(Payslip_Lookup[#Headers]))="","",INDEX(Salary_Calculation[Base Order Rate],ROW()-ROW(Payslip_Lookup[#Headers])))</f>
        <v/>
      </c>
      <c r="L473" s="176" t="str">
        <f aca="false">IF(INDEX(Salary_Calculation[Source Row],ROW()-ROW(Payslip_Lookup[#Headers]))="","",INDEX(Salary_Calculation[Basic Payment],ROW()-ROW(Payslip_Lookup[#Headers])))</f>
        <v/>
      </c>
      <c r="M473" s="176" t="str">
        <f aca="false">IF(INDEX(Salary_Calculation[Source Row],ROW()-ROW(Payslip_Lookup[#Headers]))="","",INDEX(Salary_Calculation[Earned Salary],ROW()-ROW(Payslip_Lookup[#Headers])))</f>
        <v/>
      </c>
      <c r="N473" s="174" t="str">
        <f aca="false">IF(INDEX(Salary_Calculation[Source Row],ROW()-ROW(Payslip_Lookup[#Headers]))="","",INDEX(Salary_Calculation[Orders Counted at Base Rate],ROW()-ROW(Payslip_Lookup[#Headers])))</f>
        <v/>
      </c>
      <c r="O473" s="174" t="str">
        <f aca="false">IF(INDEX(Salary_Calculation[Source Row],ROW()-ROW(Payslip_Lookup[#Headers]))="","",INDEX(Salary_Calculation[Missing Orders],ROW()-ROW(Payslip_Lookup[#Headers])))</f>
        <v/>
      </c>
      <c r="P473" s="176" t="str">
        <f aca="false">IF(INDEX(Salary_Calculation[Source Row],ROW()-ROW(Payslip_Lookup[#Headers]))="","",INDEX(Salary_Calculation[Missing-Order Deduction],ROW()-ROW(Payslip_Lookup[#Headers])))</f>
        <v/>
      </c>
      <c r="Q473" s="174" t="str">
        <f aca="false">IF(INDEX(Salary_Calculation[Source Row],ROW()-ROW(Payslip_Lookup[#Headers]))="","",INDEX(Salary_Calculation[Extra Orders],ROW()-ROW(Payslip_Lookup[#Headers])))</f>
        <v/>
      </c>
      <c r="R473" s="176" t="str">
        <f aca="false">IF(INDEX(Salary_Calculation[Source Row],ROW()-ROW(Payslip_Lookup[#Headers]))="","",INDEX(Salary_Calculation[Extra-Order Bonus],ROW()-ROW(Payslip_Lookup[#Headers])))</f>
        <v/>
      </c>
      <c r="S473" s="176" t="str">
        <f aca="false">IF(INDEX(Salary_Calculation[Source Row],ROW()-ROW(Payslip_Lookup[#Headers]))="","",INDEX(Salary_Calculation[Basic Salary for Target],ROW()-ROW(Payslip_Lookup[#Headers])))</f>
        <v/>
      </c>
      <c r="T473" s="176" t="str">
        <f aca="false">IF(INDEX(Salary_Calculation[Source Row],ROW()-ROW(Payslip_Lookup[#Headers]))="","",INDEX(Salary_Calculation[Gross Salary Before Deductions],ROW()-ROW(Payslip_Lookup[#Headers])))</f>
        <v/>
      </c>
      <c r="U473" s="176" t="str">
        <f aca="false">IF(INDEX(Salary_Calculation[Source Row],ROW()-ROW(Payslip_Lookup[#Headers]))="","",INDEX(Salary_Calculation[missed_days_penalty],ROW()-ROW(Payslip_Lookup[#Headers])))</f>
        <v/>
      </c>
      <c r="V473" s="176" t="str">
        <f aca="false">IF(INDEX(Salary_Calculation[Source Row],ROW()-ROW(Payslip_Lookup[#Headers]))="","",INDEX(Salary_Calculation[Rider Balance],ROW()-ROW(Payslip_Lookup[#Headers])))</f>
        <v/>
      </c>
      <c r="W473" s="176" t="str">
        <f aca="false">IF(INDEX(Salary_Calculation[Source Row],ROW()-ROW(Payslip_Lookup[#Headers]))="","",INDEX(Salary_Calculation[stacking_deduction],ROW()-ROW(Payslip_Lookup[#Headers])))</f>
        <v/>
      </c>
      <c r="X473" s="176" t="str">
        <f aca="false">IF(INDEX(Salary_Calculation[Source Row],ROW()-ROW(Payslip_Lookup[#Headers]))="","",INDEX(Salary_Calculation[Other Deductions],ROW()-ROW(Payslip_Lookup[#Headers])))</f>
        <v/>
      </c>
      <c r="Y473" s="176" t="str">
        <f aca="false">IF(INDEX(Salary_Calculation[Source Row],ROW()-ROW(Payslip_Lookup[#Headers]))="","",INDEX(Salary_Calculation[Total Deductions],ROW()-ROW(Payslip_Lookup[#Headers])))</f>
        <v/>
      </c>
      <c r="Z473" s="176" t="str">
        <f aca="false">IF(INDEX(Salary_Calculation[Source Row],ROW()-ROW(Payslip_Lookup[#Headers]))="","",INDEX(Salary_Calculation[Final Salary],ROW()-ROW(Payslip_Lookup[#Headers])))</f>
        <v/>
      </c>
      <c r="AA473" s="176" t="str">
        <f aca="false">IF(INDEX(Salary_Calculation[Source Row],ROW()-ROW(Payslip_Lookup[#Headers]))="","",INDEX(Salary_Calculation[Negative Balance / Amount Due from Rider],ROW()-ROW(Payslip_Lookup[#Headers])))</f>
        <v/>
      </c>
      <c r="AB473" s="176" t="str">
        <f aca="false">IF(INDEX(Salary_Calculation[Source Row],ROW()-ROW(Payslip_Lookup[#Headers]))="","",INDEX(Salary_Calculation[Total Amount Due from Rider],ROW()-ROW(Payslip_Lookup[#Headers])))</f>
        <v/>
      </c>
      <c r="AC473" s="176" t="str">
        <f aca="false">IF(INDEX(Salary_Calculation[Source Row],ROW()-ROW(Payslip_Lookup[#Headers]))="","",INDEX(Salary_Calculation[Salary Before Other Deductions],ROW()-ROW(Payslip_Lookup[#Headers])))</f>
        <v/>
      </c>
      <c r="AD473" s="171" t="str">
        <f aca="false">IF(INDEX(Salary_Calculation[Source Row],ROW()-ROW(Payslip_Lookup[#Headers]))="","",INDEX(Salary_Calculation[Payment Status],ROW()-ROW(Payslip_Lookup[#Headers])))</f>
        <v/>
      </c>
      <c r="AE473" s="171" t="str">
        <f aca="false">IF(INDEX(Salary_Calculation[Source Row],ROW()-ROW(Payslip_Lookup[#Headers]))="","",INDEX(Salary_Calculation[Notes],ROW()-ROW(Payslip_Lookup[#Headers])))</f>
        <v/>
      </c>
      <c r="AF473" s="171" t="str">
        <f aca="false">IF(INDEX(Salary_Calculation[Source Row],ROW()-ROW(Payslip_Lookup[#Headers]))="","",INDEX(Salary_Calculation[Exception Reason],ROW()-ROW(Payslip_Lookup[#Headers])))</f>
        <v/>
      </c>
      <c r="AG473" s="173" t="str">
        <f aca="false">IF($AD473="Review Required",COUNTIF(AD$2:AD473,"Review Required"),"")</f>
        <v/>
      </c>
      <c r="AH473" s="173" t="str">
        <f aca="false">IF(AND($D473&lt;&gt;"",$B473=Payslip_Print!$C$2),MAX(AH$1:AH472)+1,"")</f>
        <v/>
      </c>
      <c r="AL473" s="178" t="str">
        <f aca="false">IFERROR(INDEX($D$2:$D$501,MATCH(ROW()-1,$AH$2:$AH$501,0)),"")</f>
        <v/>
      </c>
      <c r="AM473" s="179" t="str">
        <f aca="false">IF($Z473="","",IF(AND($C473&gt;=Dash_Start,$C473&lt;Dash_End),$Z473+ROW()/10000000,""))</f>
        <v/>
      </c>
    </row>
    <row r="474" customFormat="false" ht="14.25" hidden="false" customHeight="false" outlineLevel="0" collapsed="false">
      <c r="A474" s="171" t="str">
        <f aca="false">IF(Payslip_Lookup[[#This Row],[Rider ID]]="","",Payslip_Lookup[[#This Row],[Rider ID]]&amp;"|"&amp;Payslip_Lookup[[#This Row],[Month Key]])</f>
        <v/>
      </c>
      <c r="B474" s="172" t="str">
        <f aca="false">IF(ISNUMBER(Payslip_Lookup[[#This Row],[Salary Month]]),DATE(YEAR(Payslip_Lookup[[#This Row],[Salary Month]]),MONTH(Payslip_Lookup[[#This Row],[Salary Month]]),1),"")</f>
        <v/>
      </c>
      <c r="C474" s="172" t="str">
        <f aca="false">IF(INDEX(Salary_Calculation[Source Row],ROW()-ROW(Payslip_Lookup[#Headers]))="","",INDEX(Salary_Calculation[Salary Month],ROW()-ROW(Payslip_Lookup[#Headers])))</f>
        <v/>
      </c>
      <c r="D474" s="173" t="str">
        <f aca="false">IF(INDEX(Salary_Calculation[Source Row],ROW()-ROW(Payslip_Lookup[#Headers]))="","",INDEX(Salary_Calculation[Rider ID],ROW()-ROW(Payslip_Lookup[#Headers])))</f>
        <v/>
      </c>
      <c r="E474" s="171" t="str">
        <f aca="false">IF(INDEX(Salary_Calculation[Source Row],ROW()-ROW(Payslip_Lookup[#Headers]))="","",INDEX(Salary_Calculation[Rider Name],ROW()-ROW(Payslip_Lookup[#Headers])))</f>
        <v/>
      </c>
      <c r="F474" s="173" t="str">
        <f aca="false">IF(INDEX(Salary_Calculation[Source Row],ROW()-ROW(Payslip_Lookup[#Headers]))="","",INDEX(Salary_Calculation[Working Days],ROW()-ROW(Payslip_Lookup[#Headers])))</f>
        <v/>
      </c>
      <c r="G474" s="173" t="str">
        <f aca="false">IF(INDEX(Salary_Calculation[Source Row],ROW()-ROW(Payslip_Lookup[#Headers]))="","",INDEX(Salary_Calculation[Calendar Days],ROW()-ROW(Payslip_Lookup[#Headers])))</f>
        <v/>
      </c>
      <c r="H474" s="174" t="str">
        <f aca="false">IF(INDEX(Salary_Calculation[Source Row],ROW()-ROW(Payslip_Lookup[#Headers]))="","",INDEX(Salary_Calculation[Monthly Target Orders],ROW()-ROW(Payslip_Lookup[#Headers])))</f>
        <v/>
      </c>
      <c r="I474" s="174" t="str">
        <f aca="false">IF(INDEX(Salary_Calculation[Source Row],ROW()-ROW(Payslip_Lookup[#Headers]))="","",INDEX(Salary_Calculation[Rider Target Orders],ROW()-ROW(Payslip_Lookup[#Headers])))</f>
        <v/>
      </c>
      <c r="J474" s="175" t="str">
        <f aca="false">IF(INDEX(Salary_Calculation[Source Row],ROW()-ROW(Payslip_Lookup[#Headers]))="","",INDEX(Salary_Calculation[Completed Orders],ROW()-ROW(Payslip_Lookup[#Headers])))</f>
        <v/>
      </c>
      <c r="K474" s="174" t="str">
        <f aca="false">IF(INDEX(Salary_Calculation[Source Row],ROW()-ROW(Payslip_Lookup[#Headers]))="","",INDEX(Salary_Calculation[Base Order Rate],ROW()-ROW(Payslip_Lookup[#Headers])))</f>
        <v/>
      </c>
      <c r="L474" s="176" t="str">
        <f aca="false">IF(INDEX(Salary_Calculation[Source Row],ROW()-ROW(Payslip_Lookup[#Headers]))="","",INDEX(Salary_Calculation[Basic Payment],ROW()-ROW(Payslip_Lookup[#Headers])))</f>
        <v/>
      </c>
      <c r="M474" s="176" t="str">
        <f aca="false">IF(INDEX(Salary_Calculation[Source Row],ROW()-ROW(Payslip_Lookup[#Headers]))="","",INDEX(Salary_Calculation[Earned Salary],ROW()-ROW(Payslip_Lookup[#Headers])))</f>
        <v/>
      </c>
      <c r="N474" s="174" t="str">
        <f aca="false">IF(INDEX(Salary_Calculation[Source Row],ROW()-ROW(Payslip_Lookup[#Headers]))="","",INDEX(Salary_Calculation[Orders Counted at Base Rate],ROW()-ROW(Payslip_Lookup[#Headers])))</f>
        <v/>
      </c>
      <c r="O474" s="174" t="str">
        <f aca="false">IF(INDEX(Salary_Calculation[Source Row],ROW()-ROW(Payslip_Lookup[#Headers]))="","",INDEX(Salary_Calculation[Missing Orders],ROW()-ROW(Payslip_Lookup[#Headers])))</f>
        <v/>
      </c>
      <c r="P474" s="176" t="str">
        <f aca="false">IF(INDEX(Salary_Calculation[Source Row],ROW()-ROW(Payslip_Lookup[#Headers]))="","",INDEX(Salary_Calculation[Missing-Order Deduction],ROW()-ROW(Payslip_Lookup[#Headers])))</f>
        <v/>
      </c>
      <c r="Q474" s="174" t="str">
        <f aca="false">IF(INDEX(Salary_Calculation[Source Row],ROW()-ROW(Payslip_Lookup[#Headers]))="","",INDEX(Salary_Calculation[Extra Orders],ROW()-ROW(Payslip_Lookup[#Headers])))</f>
        <v/>
      </c>
      <c r="R474" s="176" t="str">
        <f aca="false">IF(INDEX(Salary_Calculation[Source Row],ROW()-ROW(Payslip_Lookup[#Headers]))="","",INDEX(Salary_Calculation[Extra-Order Bonus],ROW()-ROW(Payslip_Lookup[#Headers])))</f>
        <v/>
      </c>
      <c r="S474" s="176" t="str">
        <f aca="false">IF(INDEX(Salary_Calculation[Source Row],ROW()-ROW(Payslip_Lookup[#Headers]))="","",INDEX(Salary_Calculation[Basic Salary for Target],ROW()-ROW(Payslip_Lookup[#Headers])))</f>
        <v/>
      </c>
      <c r="T474" s="176" t="str">
        <f aca="false">IF(INDEX(Salary_Calculation[Source Row],ROW()-ROW(Payslip_Lookup[#Headers]))="","",INDEX(Salary_Calculation[Gross Salary Before Deductions],ROW()-ROW(Payslip_Lookup[#Headers])))</f>
        <v/>
      </c>
      <c r="U474" s="176" t="str">
        <f aca="false">IF(INDEX(Salary_Calculation[Source Row],ROW()-ROW(Payslip_Lookup[#Headers]))="","",INDEX(Salary_Calculation[missed_days_penalty],ROW()-ROW(Payslip_Lookup[#Headers])))</f>
        <v/>
      </c>
      <c r="V474" s="176" t="str">
        <f aca="false">IF(INDEX(Salary_Calculation[Source Row],ROW()-ROW(Payslip_Lookup[#Headers]))="","",INDEX(Salary_Calculation[Rider Balance],ROW()-ROW(Payslip_Lookup[#Headers])))</f>
        <v/>
      </c>
      <c r="W474" s="176" t="str">
        <f aca="false">IF(INDEX(Salary_Calculation[Source Row],ROW()-ROW(Payslip_Lookup[#Headers]))="","",INDEX(Salary_Calculation[stacking_deduction],ROW()-ROW(Payslip_Lookup[#Headers])))</f>
        <v/>
      </c>
      <c r="X474" s="176" t="str">
        <f aca="false">IF(INDEX(Salary_Calculation[Source Row],ROW()-ROW(Payslip_Lookup[#Headers]))="","",INDEX(Salary_Calculation[Other Deductions],ROW()-ROW(Payslip_Lookup[#Headers])))</f>
        <v/>
      </c>
      <c r="Y474" s="176" t="str">
        <f aca="false">IF(INDEX(Salary_Calculation[Source Row],ROW()-ROW(Payslip_Lookup[#Headers]))="","",INDEX(Salary_Calculation[Total Deductions],ROW()-ROW(Payslip_Lookup[#Headers])))</f>
        <v/>
      </c>
      <c r="Z474" s="176" t="str">
        <f aca="false">IF(INDEX(Salary_Calculation[Source Row],ROW()-ROW(Payslip_Lookup[#Headers]))="","",INDEX(Salary_Calculation[Final Salary],ROW()-ROW(Payslip_Lookup[#Headers])))</f>
        <v/>
      </c>
      <c r="AA474" s="176" t="str">
        <f aca="false">IF(INDEX(Salary_Calculation[Source Row],ROW()-ROW(Payslip_Lookup[#Headers]))="","",INDEX(Salary_Calculation[Negative Balance / Amount Due from Rider],ROW()-ROW(Payslip_Lookup[#Headers])))</f>
        <v/>
      </c>
      <c r="AB474" s="176" t="str">
        <f aca="false">IF(INDEX(Salary_Calculation[Source Row],ROW()-ROW(Payslip_Lookup[#Headers]))="","",INDEX(Salary_Calculation[Total Amount Due from Rider],ROW()-ROW(Payslip_Lookup[#Headers])))</f>
        <v/>
      </c>
      <c r="AC474" s="176" t="str">
        <f aca="false">IF(INDEX(Salary_Calculation[Source Row],ROW()-ROW(Payslip_Lookup[#Headers]))="","",INDEX(Salary_Calculation[Salary Before Other Deductions],ROW()-ROW(Payslip_Lookup[#Headers])))</f>
        <v/>
      </c>
      <c r="AD474" s="171" t="str">
        <f aca="false">IF(INDEX(Salary_Calculation[Source Row],ROW()-ROW(Payslip_Lookup[#Headers]))="","",INDEX(Salary_Calculation[Payment Status],ROW()-ROW(Payslip_Lookup[#Headers])))</f>
        <v/>
      </c>
      <c r="AE474" s="171" t="str">
        <f aca="false">IF(INDEX(Salary_Calculation[Source Row],ROW()-ROW(Payslip_Lookup[#Headers]))="","",INDEX(Salary_Calculation[Notes],ROW()-ROW(Payslip_Lookup[#Headers])))</f>
        <v/>
      </c>
      <c r="AF474" s="171" t="str">
        <f aca="false">IF(INDEX(Salary_Calculation[Source Row],ROW()-ROW(Payslip_Lookup[#Headers]))="","",INDEX(Salary_Calculation[Exception Reason],ROW()-ROW(Payslip_Lookup[#Headers])))</f>
        <v/>
      </c>
      <c r="AG474" s="173" t="str">
        <f aca="false">IF($AD474="Review Required",COUNTIF(AD$2:AD474,"Review Required"),"")</f>
        <v/>
      </c>
      <c r="AH474" s="173" t="str">
        <f aca="false">IF(AND($D474&lt;&gt;"",$B474=Payslip_Print!$C$2),MAX(AH$1:AH473)+1,"")</f>
        <v/>
      </c>
      <c r="AL474" s="178" t="str">
        <f aca="false">IFERROR(INDEX($D$2:$D$501,MATCH(ROW()-1,$AH$2:$AH$501,0)),"")</f>
        <v/>
      </c>
      <c r="AM474" s="179" t="str">
        <f aca="false">IF($Z474="","",IF(AND($C474&gt;=Dash_Start,$C474&lt;Dash_End),$Z474+ROW()/10000000,""))</f>
        <v/>
      </c>
    </row>
    <row r="475" customFormat="false" ht="14.25" hidden="false" customHeight="false" outlineLevel="0" collapsed="false">
      <c r="A475" s="171" t="str">
        <f aca="false">IF(Payslip_Lookup[[#This Row],[Rider ID]]="","",Payslip_Lookup[[#This Row],[Rider ID]]&amp;"|"&amp;Payslip_Lookup[[#This Row],[Month Key]])</f>
        <v/>
      </c>
      <c r="B475" s="172" t="str">
        <f aca="false">IF(ISNUMBER(Payslip_Lookup[[#This Row],[Salary Month]]),DATE(YEAR(Payslip_Lookup[[#This Row],[Salary Month]]),MONTH(Payslip_Lookup[[#This Row],[Salary Month]]),1),"")</f>
        <v/>
      </c>
      <c r="C475" s="172" t="str">
        <f aca="false">IF(INDEX(Salary_Calculation[Source Row],ROW()-ROW(Payslip_Lookup[#Headers]))="","",INDEX(Salary_Calculation[Salary Month],ROW()-ROW(Payslip_Lookup[#Headers])))</f>
        <v/>
      </c>
      <c r="D475" s="173" t="str">
        <f aca="false">IF(INDEX(Salary_Calculation[Source Row],ROW()-ROW(Payslip_Lookup[#Headers]))="","",INDEX(Salary_Calculation[Rider ID],ROW()-ROW(Payslip_Lookup[#Headers])))</f>
        <v/>
      </c>
      <c r="E475" s="171" t="str">
        <f aca="false">IF(INDEX(Salary_Calculation[Source Row],ROW()-ROW(Payslip_Lookup[#Headers]))="","",INDEX(Salary_Calculation[Rider Name],ROW()-ROW(Payslip_Lookup[#Headers])))</f>
        <v/>
      </c>
      <c r="F475" s="173" t="str">
        <f aca="false">IF(INDEX(Salary_Calculation[Source Row],ROW()-ROW(Payslip_Lookup[#Headers]))="","",INDEX(Salary_Calculation[Working Days],ROW()-ROW(Payslip_Lookup[#Headers])))</f>
        <v/>
      </c>
      <c r="G475" s="173" t="str">
        <f aca="false">IF(INDEX(Salary_Calculation[Source Row],ROW()-ROW(Payslip_Lookup[#Headers]))="","",INDEX(Salary_Calculation[Calendar Days],ROW()-ROW(Payslip_Lookup[#Headers])))</f>
        <v/>
      </c>
      <c r="H475" s="174" t="str">
        <f aca="false">IF(INDEX(Salary_Calculation[Source Row],ROW()-ROW(Payslip_Lookup[#Headers]))="","",INDEX(Salary_Calculation[Monthly Target Orders],ROW()-ROW(Payslip_Lookup[#Headers])))</f>
        <v/>
      </c>
      <c r="I475" s="174" t="str">
        <f aca="false">IF(INDEX(Salary_Calculation[Source Row],ROW()-ROW(Payslip_Lookup[#Headers]))="","",INDEX(Salary_Calculation[Rider Target Orders],ROW()-ROW(Payslip_Lookup[#Headers])))</f>
        <v/>
      </c>
      <c r="J475" s="175" t="str">
        <f aca="false">IF(INDEX(Salary_Calculation[Source Row],ROW()-ROW(Payslip_Lookup[#Headers]))="","",INDEX(Salary_Calculation[Completed Orders],ROW()-ROW(Payslip_Lookup[#Headers])))</f>
        <v/>
      </c>
      <c r="K475" s="174" t="str">
        <f aca="false">IF(INDEX(Salary_Calculation[Source Row],ROW()-ROW(Payslip_Lookup[#Headers]))="","",INDEX(Salary_Calculation[Base Order Rate],ROW()-ROW(Payslip_Lookup[#Headers])))</f>
        <v/>
      </c>
      <c r="L475" s="176" t="str">
        <f aca="false">IF(INDEX(Salary_Calculation[Source Row],ROW()-ROW(Payslip_Lookup[#Headers]))="","",INDEX(Salary_Calculation[Basic Payment],ROW()-ROW(Payslip_Lookup[#Headers])))</f>
        <v/>
      </c>
      <c r="M475" s="176" t="str">
        <f aca="false">IF(INDEX(Salary_Calculation[Source Row],ROW()-ROW(Payslip_Lookup[#Headers]))="","",INDEX(Salary_Calculation[Earned Salary],ROW()-ROW(Payslip_Lookup[#Headers])))</f>
        <v/>
      </c>
      <c r="N475" s="174" t="str">
        <f aca="false">IF(INDEX(Salary_Calculation[Source Row],ROW()-ROW(Payslip_Lookup[#Headers]))="","",INDEX(Salary_Calculation[Orders Counted at Base Rate],ROW()-ROW(Payslip_Lookup[#Headers])))</f>
        <v/>
      </c>
      <c r="O475" s="174" t="str">
        <f aca="false">IF(INDEX(Salary_Calculation[Source Row],ROW()-ROW(Payslip_Lookup[#Headers]))="","",INDEX(Salary_Calculation[Missing Orders],ROW()-ROW(Payslip_Lookup[#Headers])))</f>
        <v/>
      </c>
      <c r="P475" s="176" t="str">
        <f aca="false">IF(INDEX(Salary_Calculation[Source Row],ROW()-ROW(Payslip_Lookup[#Headers]))="","",INDEX(Salary_Calculation[Missing-Order Deduction],ROW()-ROW(Payslip_Lookup[#Headers])))</f>
        <v/>
      </c>
      <c r="Q475" s="174" t="str">
        <f aca="false">IF(INDEX(Salary_Calculation[Source Row],ROW()-ROW(Payslip_Lookup[#Headers]))="","",INDEX(Salary_Calculation[Extra Orders],ROW()-ROW(Payslip_Lookup[#Headers])))</f>
        <v/>
      </c>
      <c r="R475" s="176" t="str">
        <f aca="false">IF(INDEX(Salary_Calculation[Source Row],ROW()-ROW(Payslip_Lookup[#Headers]))="","",INDEX(Salary_Calculation[Extra-Order Bonus],ROW()-ROW(Payslip_Lookup[#Headers])))</f>
        <v/>
      </c>
      <c r="S475" s="176" t="str">
        <f aca="false">IF(INDEX(Salary_Calculation[Source Row],ROW()-ROW(Payslip_Lookup[#Headers]))="","",INDEX(Salary_Calculation[Basic Salary for Target],ROW()-ROW(Payslip_Lookup[#Headers])))</f>
        <v/>
      </c>
      <c r="T475" s="176" t="str">
        <f aca="false">IF(INDEX(Salary_Calculation[Source Row],ROW()-ROW(Payslip_Lookup[#Headers]))="","",INDEX(Salary_Calculation[Gross Salary Before Deductions],ROW()-ROW(Payslip_Lookup[#Headers])))</f>
        <v/>
      </c>
      <c r="U475" s="176" t="str">
        <f aca="false">IF(INDEX(Salary_Calculation[Source Row],ROW()-ROW(Payslip_Lookup[#Headers]))="","",INDEX(Salary_Calculation[missed_days_penalty],ROW()-ROW(Payslip_Lookup[#Headers])))</f>
        <v/>
      </c>
      <c r="V475" s="176" t="str">
        <f aca="false">IF(INDEX(Salary_Calculation[Source Row],ROW()-ROW(Payslip_Lookup[#Headers]))="","",INDEX(Salary_Calculation[Rider Balance],ROW()-ROW(Payslip_Lookup[#Headers])))</f>
        <v/>
      </c>
      <c r="W475" s="176" t="str">
        <f aca="false">IF(INDEX(Salary_Calculation[Source Row],ROW()-ROW(Payslip_Lookup[#Headers]))="","",INDEX(Salary_Calculation[stacking_deduction],ROW()-ROW(Payslip_Lookup[#Headers])))</f>
        <v/>
      </c>
      <c r="X475" s="176" t="str">
        <f aca="false">IF(INDEX(Salary_Calculation[Source Row],ROW()-ROW(Payslip_Lookup[#Headers]))="","",INDEX(Salary_Calculation[Other Deductions],ROW()-ROW(Payslip_Lookup[#Headers])))</f>
        <v/>
      </c>
      <c r="Y475" s="176" t="str">
        <f aca="false">IF(INDEX(Salary_Calculation[Source Row],ROW()-ROW(Payslip_Lookup[#Headers]))="","",INDEX(Salary_Calculation[Total Deductions],ROW()-ROW(Payslip_Lookup[#Headers])))</f>
        <v/>
      </c>
      <c r="Z475" s="176" t="str">
        <f aca="false">IF(INDEX(Salary_Calculation[Source Row],ROW()-ROW(Payslip_Lookup[#Headers]))="","",INDEX(Salary_Calculation[Final Salary],ROW()-ROW(Payslip_Lookup[#Headers])))</f>
        <v/>
      </c>
      <c r="AA475" s="176" t="str">
        <f aca="false">IF(INDEX(Salary_Calculation[Source Row],ROW()-ROW(Payslip_Lookup[#Headers]))="","",INDEX(Salary_Calculation[Negative Balance / Amount Due from Rider],ROW()-ROW(Payslip_Lookup[#Headers])))</f>
        <v/>
      </c>
      <c r="AB475" s="176" t="str">
        <f aca="false">IF(INDEX(Salary_Calculation[Source Row],ROW()-ROW(Payslip_Lookup[#Headers]))="","",INDEX(Salary_Calculation[Total Amount Due from Rider],ROW()-ROW(Payslip_Lookup[#Headers])))</f>
        <v/>
      </c>
      <c r="AC475" s="176" t="str">
        <f aca="false">IF(INDEX(Salary_Calculation[Source Row],ROW()-ROW(Payslip_Lookup[#Headers]))="","",INDEX(Salary_Calculation[Salary Before Other Deductions],ROW()-ROW(Payslip_Lookup[#Headers])))</f>
        <v/>
      </c>
      <c r="AD475" s="171" t="str">
        <f aca="false">IF(INDEX(Salary_Calculation[Source Row],ROW()-ROW(Payslip_Lookup[#Headers]))="","",INDEX(Salary_Calculation[Payment Status],ROW()-ROW(Payslip_Lookup[#Headers])))</f>
        <v/>
      </c>
      <c r="AE475" s="171" t="str">
        <f aca="false">IF(INDEX(Salary_Calculation[Source Row],ROW()-ROW(Payslip_Lookup[#Headers]))="","",INDEX(Salary_Calculation[Notes],ROW()-ROW(Payslip_Lookup[#Headers])))</f>
        <v/>
      </c>
      <c r="AF475" s="171" t="str">
        <f aca="false">IF(INDEX(Salary_Calculation[Source Row],ROW()-ROW(Payslip_Lookup[#Headers]))="","",INDEX(Salary_Calculation[Exception Reason],ROW()-ROW(Payslip_Lookup[#Headers])))</f>
        <v/>
      </c>
      <c r="AG475" s="173" t="str">
        <f aca="false">IF($AD475="Review Required",COUNTIF(AD$2:AD475,"Review Required"),"")</f>
        <v/>
      </c>
      <c r="AH475" s="173" t="str">
        <f aca="false">IF(AND($D475&lt;&gt;"",$B475=Payslip_Print!$C$2),MAX(AH$1:AH474)+1,"")</f>
        <v/>
      </c>
      <c r="AL475" s="178" t="str">
        <f aca="false">IFERROR(INDEX($D$2:$D$501,MATCH(ROW()-1,$AH$2:$AH$501,0)),"")</f>
        <v/>
      </c>
      <c r="AM475" s="179" t="str">
        <f aca="false">IF($Z475="","",IF(AND($C475&gt;=Dash_Start,$C475&lt;Dash_End),$Z475+ROW()/10000000,""))</f>
        <v/>
      </c>
    </row>
    <row r="476" customFormat="false" ht="14.25" hidden="false" customHeight="false" outlineLevel="0" collapsed="false">
      <c r="A476" s="171" t="str">
        <f aca="false">IF(Payslip_Lookup[[#This Row],[Rider ID]]="","",Payslip_Lookup[[#This Row],[Rider ID]]&amp;"|"&amp;Payslip_Lookup[[#This Row],[Month Key]])</f>
        <v/>
      </c>
      <c r="B476" s="172" t="str">
        <f aca="false">IF(ISNUMBER(Payslip_Lookup[[#This Row],[Salary Month]]),DATE(YEAR(Payslip_Lookup[[#This Row],[Salary Month]]),MONTH(Payslip_Lookup[[#This Row],[Salary Month]]),1),"")</f>
        <v/>
      </c>
      <c r="C476" s="172" t="str">
        <f aca="false">IF(INDEX(Salary_Calculation[Source Row],ROW()-ROW(Payslip_Lookup[#Headers]))="","",INDEX(Salary_Calculation[Salary Month],ROW()-ROW(Payslip_Lookup[#Headers])))</f>
        <v/>
      </c>
      <c r="D476" s="173" t="str">
        <f aca="false">IF(INDEX(Salary_Calculation[Source Row],ROW()-ROW(Payslip_Lookup[#Headers]))="","",INDEX(Salary_Calculation[Rider ID],ROW()-ROW(Payslip_Lookup[#Headers])))</f>
        <v/>
      </c>
      <c r="E476" s="171" t="str">
        <f aca="false">IF(INDEX(Salary_Calculation[Source Row],ROW()-ROW(Payslip_Lookup[#Headers]))="","",INDEX(Salary_Calculation[Rider Name],ROW()-ROW(Payslip_Lookup[#Headers])))</f>
        <v/>
      </c>
      <c r="F476" s="173" t="str">
        <f aca="false">IF(INDEX(Salary_Calculation[Source Row],ROW()-ROW(Payslip_Lookup[#Headers]))="","",INDEX(Salary_Calculation[Working Days],ROW()-ROW(Payslip_Lookup[#Headers])))</f>
        <v/>
      </c>
      <c r="G476" s="173" t="str">
        <f aca="false">IF(INDEX(Salary_Calculation[Source Row],ROW()-ROW(Payslip_Lookup[#Headers]))="","",INDEX(Salary_Calculation[Calendar Days],ROW()-ROW(Payslip_Lookup[#Headers])))</f>
        <v/>
      </c>
      <c r="H476" s="174" t="str">
        <f aca="false">IF(INDEX(Salary_Calculation[Source Row],ROW()-ROW(Payslip_Lookup[#Headers]))="","",INDEX(Salary_Calculation[Monthly Target Orders],ROW()-ROW(Payslip_Lookup[#Headers])))</f>
        <v/>
      </c>
      <c r="I476" s="174" t="str">
        <f aca="false">IF(INDEX(Salary_Calculation[Source Row],ROW()-ROW(Payslip_Lookup[#Headers]))="","",INDEX(Salary_Calculation[Rider Target Orders],ROW()-ROW(Payslip_Lookup[#Headers])))</f>
        <v/>
      </c>
      <c r="J476" s="175" t="str">
        <f aca="false">IF(INDEX(Salary_Calculation[Source Row],ROW()-ROW(Payslip_Lookup[#Headers]))="","",INDEX(Salary_Calculation[Completed Orders],ROW()-ROW(Payslip_Lookup[#Headers])))</f>
        <v/>
      </c>
      <c r="K476" s="174" t="str">
        <f aca="false">IF(INDEX(Salary_Calculation[Source Row],ROW()-ROW(Payslip_Lookup[#Headers]))="","",INDEX(Salary_Calculation[Base Order Rate],ROW()-ROW(Payslip_Lookup[#Headers])))</f>
        <v/>
      </c>
      <c r="L476" s="176" t="str">
        <f aca="false">IF(INDEX(Salary_Calculation[Source Row],ROW()-ROW(Payslip_Lookup[#Headers]))="","",INDEX(Salary_Calculation[Basic Payment],ROW()-ROW(Payslip_Lookup[#Headers])))</f>
        <v/>
      </c>
      <c r="M476" s="176" t="str">
        <f aca="false">IF(INDEX(Salary_Calculation[Source Row],ROW()-ROW(Payslip_Lookup[#Headers]))="","",INDEX(Salary_Calculation[Earned Salary],ROW()-ROW(Payslip_Lookup[#Headers])))</f>
        <v/>
      </c>
      <c r="N476" s="174" t="str">
        <f aca="false">IF(INDEX(Salary_Calculation[Source Row],ROW()-ROW(Payslip_Lookup[#Headers]))="","",INDEX(Salary_Calculation[Orders Counted at Base Rate],ROW()-ROW(Payslip_Lookup[#Headers])))</f>
        <v/>
      </c>
      <c r="O476" s="174" t="str">
        <f aca="false">IF(INDEX(Salary_Calculation[Source Row],ROW()-ROW(Payslip_Lookup[#Headers]))="","",INDEX(Salary_Calculation[Missing Orders],ROW()-ROW(Payslip_Lookup[#Headers])))</f>
        <v/>
      </c>
      <c r="P476" s="176" t="str">
        <f aca="false">IF(INDEX(Salary_Calculation[Source Row],ROW()-ROW(Payslip_Lookup[#Headers]))="","",INDEX(Salary_Calculation[Missing-Order Deduction],ROW()-ROW(Payslip_Lookup[#Headers])))</f>
        <v/>
      </c>
      <c r="Q476" s="174" t="str">
        <f aca="false">IF(INDEX(Salary_Calculation[Source Row],ROW()-ROW(Payslip_Lookup[#Headers]))="","",INDEX(Salary_Calculation[Extra Orders],ROW()-ROW(Payslip_Lookup[#Headers])))</f>
        <v/>
      </c>
      <c r="R476" s="176" t="str">
        <f aca="false">IF(INDEX(Salary_Calculation[Source Row],ROW()-ROW(Payslip_Lookup[#Headers]))="","",INDEX(Salary_Calculation[Extra-Order Bonus],ROW()-ROW(Payslip_Lookup[#Headers])))</f>
        <v/>
      </c>
      <c r="S476" s="176" t="str">
        <f aca="false">IF(INDEX(Salary_Calculation[Source Row],ROW()-ROW(Payslip_Lookup[#Headers]))="","",INDEX(Salary_Calculation[Basic Salary for Target],ROW()-ROW(Payslip_Lookup[#Headers])))</f>
        <v/>
      </c>
      <c r="T476" s="176" t="str">
        <f aca="false">IF(INDEX(Salary_Calculation[Source Row],ROW()-ROW(Payslip_Lookup[#Headers]))="","",INDEX(Salary_Calculation[Gross Salary Before Deductions],ROW()-ROW(Payslip_Lookup[#Headers])))</f>
        <v/>
      </c>
      <c r="U476" s="176" t="str">
        <f aca="false">IF(INDEX(Salary_Calculation[Source Row],ROW()-ROW(Payslip_Lookup[#Headers]))="","",INDEX(Salary_Calculation[missed_days_penalty],ROW()-ROW(Payslip_Lookup[#Headers])))</f>
        <v/>
      </c>
      <c r="V476" s="176" t="str">
        <f aca="false">IF(INDEX(Salary_Calculation[Source Row],ROW()-ROW(Payslip_Lookup[#Headers]))="","",INDEX(Salary_Calculation[Rider Balance],ROW()-ROW(Payslip_Lookup[#Headers])))</f>
        <v/>
      </c>
      <c r="W476" s="176" t="str">
        <f aca="false">IF(INDEX(Salary_Calculation[Source Row],ROW()-ROW(Payslip_Lookup[#Headers]))="","",INDEX(Salary_Calculation[stacking_deduction],ROW()-ROW(Payslip_Lookup[#Headers])))</f>
        <v/>
      </c>
      <c r="X476" s="176" t="str">
        <f aca="false">IF(INDEX(Salary_Calculation[Source Row],ROW()-ROW(Payslip_Lookup[#Headers]))="","",INDEX(Salary_Calculation[Other Deductions],ROW()-ROW(Payslip_Lookup[#Headers])))</f>
        <v/>
      </c>
      <c r="Y476" s="176" t="str">
        <f aca="false">IF(INDEX(Salary_Calculation[Source Row],ROW()-ROW(Payslip_Lookup[#Headers]))="","",INDEX(Salary_Calculation[Total Deductions],ROW()-ROW(Payslip_Lookup[#Headers])))</f>
        <v/>
      </c>
      <c r="Z476" s="176" t="str">
        <f aca="false">IF(INDEX(Salary_Calculation[Source Row],ROW()-ROW(Payslip_Lookup[#Headers]))="","",INDEX(Salary_Calculation[Final Salary],ROW()-ROW(Payslip_Lookup[#Headers])))</f>
        <v/>
      </c>
      <c r="AA476" s="176" t="str">
        <f aca="false">IF(INDEX(Salary_Calculation[Source Row],ROW()-ROW(Payslip_Lookup[#Headers]))="","",INDEX(Salary_Calculation[Negative Balance / Amount Due from Rider],ROW()-ROW(Payslip_Lookup[#Headers])))</f>
        <v/>
      </c>
      <c r="AB476" s="176" t="str">
        <f aca="false">IF(INDEX(Salary_Calculation[Source Row],ROW()-ROW(Payslip_Lookup[#Headers]))="","",INDEX(Salary_Calculation[Total Amount Due from Rider],ROW()-ROW(Payslip_Lookup[#Headers])))</f>
        <v/>
      </c>
      <c r="AC476" s="176" t="str">
        <f aca="false">IF(INDEX(Salary_Calculation[Source Row],ROW()-ROW(Payslip_Lookup[#Headers]))="","",INDEX(Salary_Calculation[Salary Before Other Deductions],ROW()-ROW(Payslip_Lookup[#Headers])))</f>
        <v/>
      </c>
      <c r="AD476" s="171" t="str">
        <f aca="false">IF(INDEX(Salary_Calculation[Source Row],ROW()-ROW(Payslip_Lookup[#Headers]))="","",INDEX(Salary_Calculation[Payment Status],ROW()-ROW(Payslip_Lookup[#Headers])))</f>
        <v/>
      </c>
      <c r="AE476" s="171" t="str">
        <f aca="false">IF(INDEX(Salary_Calculation[Source Row],ROW()-ROW(Payslip_Lookup[#Headers]))="","",INDEX(Salary_Calculation[Notes],ROW()-ROW(Payslip_Lookup[#Headers])))</f>
        <v/>
      </c>
      <c r="AF476" s="171" t="str">
        <f aca="false">IF(INDEX(Salary_Calculation[Source Row],ROW()-ROW(Payslip_Lookup[#Headers]))="","",INDEX(Salary_Calculation[Exception Reason],ROW()-ROW(Payslip_Lookup[#Headers])))</f>
        <v/>
      </c>
      <c r="AG476" s="173" t="str">
        <f aca="false">IF($AD476="Review Required",COUNTIF(AD$2:AD476,"Review Required"),"")</f>
        <v/>
      </c>
      <c r="AH476" s="173" t="str">
        <f aca="false">IF(AND($D476&lt;&gt;"",$B476=Payslip_Print!$C$2),MAX(AH$1:AH475)+1,"")</f>
        <v/>
      </c>
      <c r="AL476" s="178" t="str">
        <f aca="false">IFERROR(INDEX($D$2:$D$501,MATCH(ROW()-1,$AH$2:$AH$501,0)),"")</f>
        <v/>
      </c>
      <c r="AM476" s="179" t="str">
        <f aca="false">IF($Z476="","",IF(AND($C476&gt;=Dash_Start,$C476&lt;Dash_End),$Z476+ROW()/10000000,""))</f>
        <v/>
      </c>
    </row>
    <row r="477" customFormat="false" ht="14.25" hidden="false" customHeight="false" outlineLevel="0" collapsed="false">
      <c r="A477" s="171" t="str">
        <f aca="false">IF(Payslip_Lookup[[#This Row],[Rider ID]]="","",Payslip_Lookup[[#This Row],[Rider ID]]&amp;"|"&amp;Payslip_Lookup[[#This Row],[Month Key]])</f>
        <v/>
      </c>
      <c r="B477" s="172" t="str">
        <f aca="false">IF(ISNUMBER(Payslip_Lookup[[#This Row],[Salary Month]]),DATE(YEAR(Payslip_Lookup[[#This Row],[Salary Month]]),MONTH(Payslip_Lookup[[#This Row],[Salary Month]]),1),"")</f>
        <v/>
      </c>
      <c r="C477" s="172" t="str">
        <f aca="false">IF(INDEX(Salary_Calculation[Source Row],ROW()-ROW(Payslip_Lookup[#Headers]))="","",INDEX(Salary_Calculation[Salary Month],ROW()-ROW(Payslip_Lookup[#Headers])))</f>
        <v/>
      </c>
      <c r="D477" s="173" t="str">
        <f aca="false">IF(INDEX(Salary_Calculation[Source Row],ROW()-ROW(Payslip_Lookup[#Headers]))="","",INDEX(Salary_Calculation[Rider ID],ROW()-ROW(Payslip_Lookup[#Headers])))</f>
        <v/>
      </c>
      <c r="E477" s="171" t="str">
        <f aca="false">IF(INDEX(Salary_Calculation[Source Row],ROW()-ROW(Payslip_Lookup[#Headers]))="","",INDEX(Salary_Calculation[Rider Name],ROW()-ROW(Payslip_Lookup[#Headers])))</f>
        <v/>
      </c>
      <c r="F477" s="173" t="str">
        <f aca="false">IF(INDEX(Salary_Calculation[Source Row],ROW()-ROW(Payslip_Lookup[#Headers]))="","",INDEX(Salary_Calculation[Working Days],ROW()-ROW(Payslip_Lookup[#Headers])))</f>
        <v/>
      </c>
      <c r="G477" s="173" t="str">
        <f aca="false">IF(INDEX(Salary_Calculation[Source Row],ROW()-ROW(Payslip_Lookup[#Headers]))="","",INDEX(Salary_Calculation[Calendar Days],ROW()-ROW(Payslip_Lookup[#Headers])))</f>
        <v/>
      </c>
      <c r="H477" s="174" t="str">
        <f aca="false">IF(INDEX(Salary_Calculation[Source Row],ROW()-ROW(Payslip_Lookup[#Headers]))="","",INDEX(Salary_Calculation[Monthly Target Orders],ROW()-ROW(Payslip_Lookup[#Headers])))</f>
        <v/>
      </c>
      <c r="I477" s="174" t="str">
        <f aca="false">IF(INDEX(Salary_Calculation[Source Row],ROW()-ROW(Payslip_Lookup[#Headers]))="","",INDEX(Salary_Calculation[Rider Target Orders],ROW()-ROW(Payslip_Lookup[#Headers])))</f>
        <v/>
      </c>
      <c r="J477" s="175" t="str">
        <f aca="false">IF(INDEX(Salary_Calculation[Source Row],ROW()-ROW(Payslip_Lookup[#Headers]))="","",INDEX(Salary_Calculation[Completed Orders],ROW()-ROW(Payslip_Lookup[#Headers])))</f>
        <v/>
      </c>
      <c r="K477" s="174" t="str">
        <f aca="false">IF(INDEX(Salary_Calculation[Source Row],ROW()-ROW(Payslip_Lookup[#Headers]))="","",INDEX(Salary_Calculation[Base Order Rate],ROW()-ROW(Payslip_Lookup[#Headers])))</f>
        <v/>
      </c>
      <c r="L477" s="176" t="str">
        <f aca="false">IF(INDEX(Salary_Calculation[Source Row],ROW()-ROW(Payslip_Lookup[#Headers]))="","",INDEX(Salary_Calculation[Basic Payment],ROW()-ROW(Payslip_Lookup[#Headers])))</f>
        <v/>
      </c>
      <c r="M477" s="176" t="str">
        <f aca="false">IF(INDEX(Salary_Calculation[Source Row],ROW()-ROW(Payslip_Lookup[#Headers]))="","",INDEX(Salary_Calculation[Earned Salary],ROW()-ROW(Payslip_Lookup[#Headers])))</f>
        <v/>
      </c>
      <c r="N477" s="174" t="str">
        <f aca="false">IF(INDEX(Salary_Calculation[Source Row],ROW()-ROW(Payslip_Lookup[#Headers]))="","",INDEX(Salary_Calculation[Orders Counted at Base Rate],ROW()-ROW(Payslip_Lookup[#Headers])))</f>
        <v/>
      </c>
      <c r="O477" s="174" t="str">
        <f aca="false">IF(INDEX(Salary_Calculation[Source Row],ROW()-ROW(Payslip_Lookup[#Headers]))="","",INDEX(Salary_Calculation[Missing Orders],ROW()-ROW(Payslip_Lookup[#Headers])))</f>
        <v/>
      </c>
      <c r="P477" s="176" t="str">
        <f aca="false">IF(INDEX(Salary_Calculation[Source Row],ROW()-ROW(Payslip_Lookup[#Headers]))="","",INDEX(Salary_Calculation[Missing-Order Deduction],ROW()-ROW(Payslip_Lookup[#Headers])))</f>
        <v/>
      </c>
      <c r="Q477" s="174" t="str">
        <f aca="false">IF(INDEX(Salary_Calculation[Source Row],ROW()-ROW(Payslip_Lookup[#Headers]))="","",INDEX(Salary_Calculation[Extra Orders],ROW()-ROW(Payslip_Lookup[#Headers])))</f>
        <v/>
      </c>
      <c r="R477" s="176" t="str">
        <f aca="false">IF(INDEX(Salary_Calculation[Source Row],ROW()-ROW(Payslip_Lookup[#Headers]))="","",INDEX(Salary_Calculation[Extra-Order Bonus],ROW()-ROW(Payslip_Lookup[#Headers])))</f>
        <v/>
      </c>
      <c r="S477" s="176" t="str">
        <f aca="false">IF(INDEX(Salary_Calculation[Source Row],ROW()-ROW(Payslip_Lookup[#Headers]))="","",INDEX(Salary_Calculation[Basic Salary for Target],ROW()-ROW(Payslip_Lookup[#Headers])))</f>
        <v/>
      </c>
      <c r="T477" s="176" t="str">
        <f aca="false">IF(INDEX(Salary_Calculation[Source Row],ROW()-ROW(Payslip_Lookup[#Headers]))="","",INDEX(Salary_Calculation[Gross Salary Before Deductions],ROW()-ROW(Payslip_Lookup[#Headers])))</f>
        <v/>
      </c>
      <c r="U477" s="176" t="str">
        <f aca="false">IF(INDEX(Salary_Calculation[Source Row],ROW()-ROW(Payslip_Lookup[#Headers]))="","",INDEX(Salary_Calculation[missed_days_penalty],ROW()-ROW(Payslip_Lookup[#Headers])))</f>
        <v/>
      </c>
      <c r="V477" s="176" t="str">
        <f aca="false">IF(INDEX(Salary_Calculation[Source Row],ROW()-ROW(Payslip_Lookup[#Headers]))="","",INDEX(Salary_Calculation[Rider Balance],ROW()-ROW(Payslip_Lookup[#Headers])))</f>
        <v/>
      </c>
      <c r="W477" s="176" t="str">
        <f aca="false">IF(INDEX(Salary_Calculation[Source Row],ROW()-ROW(Payslip_Lookup[#Headers]))="","",INDEX(Salary_Calculation[stacking_deduction],ROW()-ROW(Payslip_Lookup[#Headers])))</f>
        <v/>
      </c>
      <c r="X477" s="176" t="str">
        <f aca="false">IF(INDEX(Salary_Calculation[Source Row],ROW()-ROW(Payslip_Lookup[#Headers]))="","",INDEX(Salary_Calculation[Other Deductions],ROW()-ROW(Payslip_Lookup[#Headers])))</f>
        <v/>
      </c>
      <c r="Y477" s="176" t="str">
        <f aca="false">IF(INDEX(Salary_Calculation[Source Row],ROW()-ROW(Payslip_Lookup[#Headers]))="","",INDEX(Salary_Calculation[Total Deductions],ROW()-ROW(Payslip_Lookup[#Headers])))</f>
        <v/>
      </c>
      <c r="Z477" s="176" t="str">
        <f aca="false">IF(INDEX(Salary_Calculation[Source Row],ROW()-ROW(Payslip_Lookup[#Headers]))="","",INDEX(Salary_Calculation[Final Salary],ROW()-ROW(Payslip_Lookup[#Headers])))</f>
        <v/>
      </c>
      <c r="AA477" s="176" t="str">
        <f aca="false">IF(INDEX(Salary_Calculation[Source Row],ROW()-ROW(Payslip_Lookup[#Headers]))="","",INDEX(Salary_Calculation[Negative Balance / Amount Due from Rider],ROW()-ROW(Payslip_Lookup[#Headers])))</f>
        <v/>
      </c>
      <c r="AB477" s="176" t="str">
        <f aca="false">IF(INDEX(Salary_Calculation[Source Row],ROW()-ROW(Payslip_Lookup[#Headers]))="","",INDEX(Salary_Calculation[Total Amount Due from Rider],ROW()-ROW(Payslip_Lookup[#Headers])))</f>
        <v/>
      </c>
      <c r="AC477" s="176" t="str">
        <f aca="false">IF(INDEX(Salary_Calculation[Source Row],ROW()-ROW(Payslip_Lookup[#Headers]))="","",INDEX(Salary_Calculation[Salary Before Other Deductions],ROW()-ROW(Payslip_Lookup[#Headers])))</f>
        <v/>
      </c>
      <c r="AD477" s="171" t="str">
        <f aca="false">IF(INDEX(Salary_Calculation[Source Row],ROW()-ROW(Payslip_Lookup[#Headers]))="","",INDEX(Salary_Calculation[Payment Status],ROW()-ROW(Payslip_Lookup[#Headers])))</f>
        <v/>
      </c>
      <c r="AE477" s="171" t="str">
        <f aca="false">IF(INDEX(Salary_Calculation[Source Row],ROW()-ROW(Payslip_Lookup[#Headers]))="","",INDEX(Salary_Calculation[Notes],ROW()-ROW(Payslip_Lookup[#Headers])))</f>
        <v/>
      </c>
      <c r="AF477" s="171" t="str">
        <f aca="false">IF(INDEX(Salary_Calculation[Source Row],ROW()-ROW(Payslip_Lookup[#Headers]))="","",INDEX(Salary_Calculation[Exception Reason],ROW()-ROW(Payslip_Lookup[#Headers])))</f>
        <v/>
      </c>
      <c r="AG477" s="173" t="str">
        <f aca="false">IF($AD477="Review Required",COUNTIF(AD$2:AD477,"Review Required"),"")</f>
        <v/>
      </c>
      <c r="AH477" s="173" t="str">
        <f aca="false">IF(AND($D477&lt;&gt;"",$B477=Payslip_Print!$C$2),MAX(AH$1:AH476)+1,"")</f>
        <v/>
      </c>
      <c r="AL477" s="178" t="str">
        <f aca="false">IFERROR(INDEX($D$2:$D$501,MATCH(ROW()-1,$AH$2:$AH$501,0)),"")</f>
        <v/>
      </c>
      <c r="AM477" s="179" t="str">
        <f aca="false">IF($Z477="","",IF(AND($C477&gt;=Dash_Start,$C477&lt;Dash_End),$Z477+ROW()/10000000,""))</f>
        <v/>
      </c>
    </row>
    <row r="478" customFormat="false" ht="14.25" hidden="false" customHeight="false" outlineLevel="0" collapsed="false">
      <c r="A478" s="171" t="str">
        <f aca="false">IF(Payslip_Lookup[[#This Row],[Rider ID]]="","",Payslip_Lookup[[#This Row],[Rider ID]]&amp;"|"&amp;Payslip_Lookup[[#This Row],[Month Key]])</f>
        <v/>
      </c>
      <c r="B478" s="172" t="str">
        <f aca="false">IF(ISNUMBER(Payslip_Lookup[[#This Row],[Salary Month]]),DATE(YEAR(Payslip_Lookup[[#This Row],[Salary Month]]),MONTH(Payslip_Lookup[[#This Row],[Salary Month]]),1),"")</f>
        <v/>
      </c>
      <c r="C478" s="172" t="str">
        <f aca="false">IF(INDEX(Salary_Calculation[Source Row],ROW()-ROW(Payslip_Lookup[#Headers]))="","",INDEX(Salary_Calculation[Salary Month],ROW()-ROW(Payslip_Lookup[#Headers])))</f>
        <v/>
      </c>
      <c r="D478" s="173" t="str">
        <f aca="false">IF(INDEX(Salary_Calculation[Source Row],ROW()-ROW(Payslip_Lookup[#Headers]))="","",INDEX(Salary_Calculation[Rider ID],ROW()-ROW(Payslip_Lookup[#Headers])))</f>
        <v/>
      </c>
      <c r="E478" s="171" t="str">
        <f aca="false">IF(INDEX(Salary_Calculation[Source Row],ROW()-ROW(Payslip_Lookup[#Headers]))="","",INDEX(Salary_Calculation[Rider Name],ROW()-ROW(Payslip_Lookup[#Headers])))</f>
        <v/>
      </c>
      <c r="F478" s="173" t="str">
        <f aca="false">IF(INDEX(Salary_Calculation[Source Row],ROW()-ROW(Payslip_Lookup[#Headers]))="","",INDEX(Salary_Calculation[Working Days],ROW()-ROW(Payslip_Lookup[#Headers])))</f>
        <v/>
      </c>
      <c r="G478" s="173" t="str">
        <f aca="false">IF(INDEX(Salary_Calculation[Source Row],ROW()-ROW(Payslip_Lookup[#Headers]))="","",INDEX(Salary_Calculation[Calendar Days],ROW()-ROW(Payslip_Lookup[#Headers])))</f>
        <v/>
      </c>
      <c r="H478" s="174" t="str">
        <f aca="false">IF(INDEX(Salary_Calculation[Source Row],ROW()-ROW(Payslip_Lookup[#Headers]))="","",INDEX(Salary_Calculation[Monthly Target Orders],ROW()-ROW(Payslip_Lookup[#Headers])))</f>
        <v/>
      </c>
      <c r="I478" s="174" t="str">
        <f aca="false">IF(INDEX(Salary_Calculation[Source Row],ROW()-ROW(Payslip_Lookup[#Headers]))="","",INDEX(Salary_Calculation[Rider Target Orders],ROW()-ROW(Payslip_Lookup[#Headers])))</f>
        <v/>
      </c>
      <c r="J478" s="175" t="str">
        <f aca="false">IF(INDEX(Salary_Calculation[Source Row],ROW()-ROW(Payslip_Lookup[#Headers]))="","",INDEX(Salary_Calculation[Completed Orders],ROW()-ROW(Payslip_Lookup[#Headers])))</f>
        <v/>
      </c>
      <c r="K478" s="174" t="str">
        <f aca="false">IF(INDEX(Salary_Calculation[Source Row],ROW()-ROW(Payslip_Lookup[#Headers]))="","",INDEX(Salary_Calculation[Base Order Rate],ROW()-ROW(Payslip_Lookup[#Headers])))</f>
        <v/>
      </c>
      <c r="L478" s="176" t="str">
        <f aca="false">IF(INDEX(Salary_Calculation[Source Row],ROW()-ROW(Payslip_Lookup[#Headers]))="","",INDEX(Salary_Calculation[Basic Payment],ROW()-ROW(Payslip_Lookup[#Headers])))</f>
        <v/>
      </c>
      <c r="M478" s="176" t="str">
        <f aca="false">IF(INDEX(Salary_Calculation[Source Row],ROW()-ROW(Payslip_Lookup[#Headers]))="","",INDEX(Salary_Calculation[Earned Salary],ROW()-ROW(Payslip_Lookup[#Headers])))</f>
        <v/>
      </c>
      <c r="N478" s="174" t="str">
        <f aca="false">IF(INDEX(Salary_Calculation[Source Row],ROW()-ROW(Payslip_Lookup[#Headers]))="","",INDEX(Salary_Calculation[Orders Counted at Base Rate],ROW()-ROW(Payslip_Lookup[#Headers])))</f>
        <v/>
      </c>
      <c r="O478" s="174" t="str">
        <f aca="false">IF(INDEX(Salary_Calculation[Source Row],ROW()-ROW(Payslip_Lookup[#Headers]))="","",INDEX(Salary_Calculation[Missing Orders],ROW()-ROW(Payslip_Lookup[#Headers])))</f>
        <v/>
      </c>
      <c r="P478" s="176" t="str">
        <f aca="false">IF(INDEX(Salary_Calculation[Source Row],ROW()-ROW(Payslip_Lookup[#Headers]))="","",INDEX(Salary_Calculation[Missing-Order Deduction],ROW()-ROW(Payslip_Lookup[#Headers])))</f>
        <v/>
      </c>
      <c r="Q478" s="174" t="str">
        <f aca="false">IF(INDEX(Salary_Calculation[Source Row],ROW()-ROW(Payslip_Lookup[#Headers]))="","",INDEX(Salary_Calculation[Extra Orders],ROW()-ROW(Payslip_Lookup[#Headers])))</f>
        <v/>
      </c>
      <c r="R478" s="176" t="str">
        <f aca="false">IF(INDEX(Salary_Calculation[Source Row],ROW()-ROW(Payslip_Lookup[#Headers]))="","",INDEX(Salary_Calculation[Extra-Order Bonus],ROW()-ROW(Payslip_Lookup[#Headers])))</f>
        <v/>
      </c>
      <c r="S478" s="176" t="str">
        <f aca="false">IF(INDEX(Salary_Calculation[Source Row],ROW()-ROW(Payslip_Lookup[#Headers]))="","",INDEX(Salary_Calculation[Basic Salary for Target],ROW()-ROW(Payslip_Lookup[#Headers])))</f>
        <v/>
      </c>
      <c r="T478" s="176" t="str">
        <f aca="false">IF(INDEX(Salary_Calculation[Source Row],ROW()-ROW(Payslip_Lookup[#Headers]))="","",INDEX(Salary_Calculation[Gross Salary Before Deductions],ROW()-ROW(Payslip_Lookup[#Headers])))</f>
        <v/>
      </c>
      <c r="U478" s="176" t="str">
        <f aca="false">IF(INDEX(Salary_Calculation[Source Row],ROW()-ROW(Payslip_Lookup[#Headers]))="","",INDEX(Salary_Calculation[missed_days_penalty],ROW()-ROW(Payslip_Lookup[#Headers])))</f>
        <v/>
      </c>
      <c r="V478" s="176" t="str">
        <f aca="false">IF(INDEX(Salary_Calculation[Source Row],ROW()-ROW(Payslip_Lookup[#Headers]))="","",INDEX(Salary_Calculation[Rider Balance],ROW()-ROW(Payslip_Lookup[#Headers])))</f>
        <v/>
      </c>
      <c r="W478" s="176" t="str">
        <f aca="false">IF(INDEX(Salary_Calculation[Source Row],ROW()-ROW(Payslip_Lookup[#Headers]))="","",INDEX(Salary_Calculation[stacking_deduction],ROW()-ROW(Payslip_Lookup[#Headers])))</f>
        <v/>
      </c>
      <c r="X478" s="176" t="str">
        <f aca="false">IF(INDEX(Salary_Calculation[Source Row],ROW()-ROW(Payslip_Lookup[#Headers]))="","",INDEX(Salary_Calculation[Other Deductions],ROW()-ROW(Payslip_Lookup[#Headers])))</f>
        <v/>
      </c>
      <c r="Y478" s="176" t="str">
        <f aca="false">IF(INDEX(Salary_Calculation[Source Row],ROW()-ROW(Payslip_Lookup[#Headers]))="","",INDEX(Salary_Calculation[Total Deductions],ROW()-ROW(Payslip_Lookup[#Headers])))</f>
        <v/>
      </c>
      <c r="Z478" s="176" t="str">
        <f aca="false">IF(INDEX(Salary_Calculation[Source Row],ROW()-ROW(Payslip_Lookup[#Headers]))="","",INDEX(Salary_Calculation[Final Salary],ROW()-ROW(Payslip_Lookup[#Headers])))</f>
        <v/>
      </c>
      <c r="AA478" s="176" t="str">
        <f aca="false">IF(INDEX(Salary_Calculation[Source Row],ROW()-ROW(Payslip_Lookup[#Headers]))="","",INDEX(Salary_Calculation[Negative Balance / Amount Due from Rider],ROW()-ROW(Payslip_Lookup[#Headers])))</f>
        <v/>
      </c>
      <c r="AB478" s="176" t="str">
        <f aca="false">IF(INDEX(Salary_Calculation[Source Row],ROW()-ROW(Payslip_Lookup[#Headers]))="","",INDEX(Salary_Calculation[Total Amount Due from Rider],ROW()-ROW(Payslip_Lookup[#Headers])))</f>
        <v/>
      </c>
      <c r="AC478" s="176" t="str">
        <f aca="false">IF(INDEX(Salary_Calculation[Source Row],ROW()-ROW(Payslip_Lookup[#Headers]))="","",INDEX(Salary_Calculation[Salary Before Other Deductions],ROW()-ROW(Payslip_Lookup[#Headers])))</f>
        <v/>
      </c>
      <c r="AD478" s="171" t="str">
        <f aca="false">IF(INDEX(Salary_Calculation[Source Row],ROW()-ROW(Payslip_Lookup[#Headers]))="","",INDEX(Salary_Calculation[Payment Status],ROW()-ROW(Payslip_Lookup[#Headers])))</f>
        <v/>
      </c>
      <c r="AE478" s="171" t="str">
        <f aca="false">IF(INDEX(Salary_Calculation[Source Row],ROW()-ROW(Payslip_Lookup[#Headers]))="","",INDEX(Salary_Calculation[Notes],ROW()-ROW(Payslip_Lookup[#Headers])))</f>
        <v/>
      </c>
      <c r="AF478" s="171" t="str">
        <f aca="false">IF(INDEX(Salary_Calculation[Source Row],ROW()-ROW(Payslip_Lookup[#Headers]))="","",INDEX(Salary_Calculation[Exception Reason],ROW()-ROW(Payslip_Lookup[#Headers])))</f>
        <v/>
      </c>
      <c r="AG478" s="173" t="str">
        <f aca="false">IF($AD478="Review Required",COUNTIF(AD$2:AD478,"Review Required"),"")</f>
        <v/>
      </c>
      <c r="AH478" s="173" t="str">
        <f aca="false">IF(AND($D478&lt;&gt;"",$B478=Payslip_Print!$C$2),MAX(AH$1:AH477)+1,"")</f>
        <v/>
      </c>
      <c r="AL478" s="178" t="str">
        <f aca="false">IFERROR(INDEX($D$2:$D$501,MATCH(ROW()-1,$AH$2:$AH$501,0)),"")</f>
        <v/>
      </c>
      <c r="AM478" s="179" t="str">
        <f aca="false">IF($Z478="","",IF(AND($C478&gt;=Dash_Start,$C478&lt;Dash_End),$Z478+ROW()/10000000,""))</f>
        <v/>
      </c>
    </row>
    <row r="479" customFormat="false" ht="14.25" hidden="false" customHeight="false" outlineLevel="0" collapsed="false">
      <c r="A479" s="171" t="str">
        <f aca="false">IF(Payslip_Lookup[[#This Row],[Rider ID]]="","",Payslip_Lookup[[#This Row],[Rider ID]]&amp;"|"&amp;Payslip_Lookup[[#This Row],[Month Key]])</f>
        <v/>
      </c>
      <c r="B479" s="172" t="str">
        <f aca="false">IF(ISNUMBER(Payslip_Lookup[[#This Row],[Salary Month]]),DATE(YEAR(Payslip_Lookup[[#This Row],[Salary Month]]),MONTH(Payslip_Lookup[[#This Row],[Salary Month]]),1),"")</f>
        <v/>
      </c>
      <c r="C479" s="172" t="str">
        <f aca="false">IF(INDEX(Salary_Calculation[Source Row],ROW()-ROW(Payslip_Lookup[#Headers]))="","",INDEX(Salary_Calculation[Salary Month],ROW()-ROW(Payslip_Lookup[#Headers])))</f>
        <v/>
      </c>
      <c r="D479" s="173" t="str">
        <f aca="false">IF(INDEX(Salary_Calculation[Source Row],ROW()-ROW(Payslip_Lookup[#Headers]))="","",INDEX(Salary_Calculation[Rider ID],ROW()-ROW(Payslip_Lookup[#Headers])))</f>
        <v/>
      </c>
      <c r="E479" s="171" t="str">
        <f aca="false">IF(INDEX(Salary_Calculation[Source Row],ROW()-ROW(Payslip_Lookup[#Headers]))="","",INDEX(Salary_Calculation[Rider Name],ROW()-ROW(Payslip_Lookup[#Headers])))</f>
        <v/>
      </c>
      <c r="F479" s="173" t="str">
        <f aca="false">IF(INDEX(Salary_Calculation[Source Row],ROW()-ROW(Payslip_Lookup[#Headers]))="","",INDEX(Salary_Calculation[Working Days],ROW()-ROW(Payslip_Lookup[#Headers])))</f>
        <v/>
      </c>
      <c r="G479" s="173" t="str">
        <f aca="false">IF(INDEX(Salary_Calculation[Source Row],ROW()-ROW(Payslip_Lookup[#Headers]))="","",INDEX(Salary_Calculation[Calendar Days],ROW()-ROW(Payslip_Lookup[#Headers])))</f>
        <v/>
      </c>
      <c r="H479" s="174" t="str">
        <f aca="false">IF(INDEX(Salary_Calculation[Source Row],ROW()-ROW(Payslip_Lookup[#Headers]))="","",INDEX(Salary_Calculation[Monthly Target Orders],ROW()-ROW(Payslip_Lookup[#Headers])))</f>
        <v/>
      </c>
      <c r="I479" s="174" t="str">
        <f aca="false">IF(INDEX(Salary_Calculation[Source Row],ROW()-ROW(Payslip_Lookup[#Headers]))="","",INDEX(Salary_Calculation[Rider Target Orders],ROW()-ROW(Payslip_Lookup[#Headers])))</f>
        <v/>
      </c>
      <c r="J479" s="175" t="str">
        <f aca="false">IF(INDEX(Salary_Calculation[Source Row],ROW()-ROW(Payslip_Lookup[#Headers]))="","",INDEX(Salary_Calculation[Completed Orders],ROW()-ROW(Payslip_Lookup[#Headers])))</f>
        <v/>
      </c>
      <c r="K479" s="174" t="str">
        <f aca="false">IF(INDEX(Salary_Calculation[Source Row],ROW()-ROW(Payslip_Lookup[#Headers]))="","",INDEX(Salary_Calculation[Base Order Rate],ROW()-ROW(Payslip_Lookup[#Headers])))</f>
        <v/>
      </c>
      <c r="L479" s="176" t="str">
        <f aca="false">IF(INDEX(Salary_Calculation[Source Row],ROW()-ROW(Payslip_Lookup[#Headers]))="","",INDEX(Salary_Calculation[Basic Payment],ROW()-ROW(Payslip_Lookup[#Headers])))</f>
        <v/>
      </c>
      <c r="M479" s="176" t="str">
        <f aca="false">IF(INDEX(Salary_Calculation[Source Row],ROW()-ROW(Payslip_Lookup[#Headers]))="","",INDEX(Salary_Calculation[Earned Salary],ROW()-ROW(Payslip_Lookup[#Headers])))</f>
        <v/>
      </c>
      <c r="N479" s="174" t="str">
        <f aca="false">IF(INDEX(Salary_Calculation[Source Row],ROW()-ROW(Payslip_Lookup[#Headers]))="","",INDEX(Salary_Calculation[Orders Counted at Base Rate],ROW()-ROW(Payslip_Lookup[#Headers])))</f>
        <v/>
      </c>
      <c r="O479" s="174" t="str">
        <f aca="false">IF(INDEX(Salary_Calculation[Source Row],ROW()-ROW(Payslip_Lookup[#Headers]))="","",INDEX(Salary_Calculation[Missing Orders],ROW()-ROW(Payslip_Lookup[#Headers])))</f>
        <v/>
      </c>
      <c r="P479" s="176" t="str">
        <f aca="false">IF(INDEX(Salary_Calculation[Source Row],ROW()-ROW(Payslip_Lookup[#Headers]))="","",INDEX(Salary_Calculation[Missing-Order Deduction],ROW()-ROW(Payslip_Lookup[#Headers])))</f>
        <v/>
      </c>
      <c r="Q479" s="174" t="str">
        <f aca="false">IF(INDEX(Salary_Calculation[Source Row],ROW()-ROW(Payslip_Lookup[#Headers]))="","",INDEX(Salary_Calculation[Extra Orders],ROW()-ROW(Payslip_Lookup[#Headers])))</f>
        <v/>
      </c>
      <c r="R479" s="176" t="str">
        <f aca="false">IF(INDEX(Salary_Calculation[Source Row],ROW()-ROW(Payslip_Lookup[#Headers]))="","",INDEX(Salary_Calculation[Extra-Order Bonus],ROW()-ROW(Payslip_Lookup[#Headers])))</f>
        <v/>
      </c>
      <c r="S479" s="176" t="str">
        <f aca="false">IF(INDEX(Salary_Calculation[Source Row],ROW()-ROW(Payslip_Lookup[#Headers]))="","",INDEX(Salary_Calculation[Basic Salary for Target],ROW()-ROW(Payslip_Lookup[#Headers])))</f>
        <v/>
      </c>
      <c r="T479" s="176" t="str">
        <f aca="false">IF(INDEX(Salary_Calculation[Source Row],ROW()-ROW(Payslip_Lookup[#Headers]))="","",INDEX(Salary_Calculation[Gross Salary Before Deductions],ROW()-ROW(Payslip_Lookup[#Headers])))</f>
        <v/>
      </c>
      <c r="U479" s="176" t="str">
        <f aca="false">IF(INDEX(Salary_Calculation[Source Row],ROW()-ROW(Payslip_Lookup[#Headers]))="","",INDEX(Salary_Calculation[missed_days_penalty],ROW()-ROW(Payslip_Lookup[#Headers])))</f>
        <v/>
      </c>
      <c r="V479" s="176" t="str">
        <f aca="false">IF(INDEX(Salary_Calculation[Source Row],ROW()-ROW(Payslip_Lookup[#Headers]))="","",INDEX(Salary_Calculation[Rider Balance],ROW()-ROW(Payslip_Lookup[#Headers])))</f>
        <v/>
      </c>
      <c r="W479" s="176" t="str">
        <f aca="false">IF(INDEX(Salary_Calculation[Source Row],ROW()-ROW(Payslip_Lookup[#Headers]))="","",INDEX(Salary_Calculation[stacking_deduction],ROW()-ROW(Payslip_Lookup[#Headers])))</f>
        <v/>
      </c>
      <c r="X479" s="176" t="str">
        <f aca="false">IF(INDEX(Salary_Calculation[Source Row],ROW()-ROW(Payslip_Lookup[#Headers]))="","",INDEX(Salary_Calculation[Other Deductions],ROW()-ROW(Payslip_Lookup[#Headers])))</f>
        <v/>
      </c>
      <c r="Y479" s="176" t="str">
        <f aca="false">IF(INDEX(Salary_Calculation[Source Row],ROW()-ROW(Payslip_Lookup[#Headers]))="","",INDEX(Salary_Calculation[Total Deductions],ROW()-ROW(Payslip_Lookup[#Headers])))</f>
        <v/>
      </c>
      <c r="Z479" s="176" t="str">
        <f aca="false">IF(INDEX(Salary_Calculation[Source Row],ROW()-ROW(Payslip_Lookup[#Headers]))="","",INDEX(Salary_Calculation[Final Salary],ROW()-ROW(Payslip_Lookup[#Headers])))</f>
        <v/>
      </c>
      <c r="AA479" s="176" t="str">
        <f aca="false">IF(INDEX(Salary_Calculation[Source Row],ROW()-ROW(Payslip_Lookup[#Headers]))="","",INDEX(Salary_Calculation[Negative Balance / Amount Due from Rider],ROW()-ROW(Payslip_Lookup[#Headers])))</f>
        <v/>
      </c>
      <c r="AB479" s="176" t="str">
        <f aca="false">IF(INDEX(Salary_Calculation[Source Row],ROW()-ROW(Payslip_Lookup[#Headers]))="","",INDEX(Salary_Calculation[Total Amount Due from Rider],ROW()-ROW(Payslip_Lookup[#Headers])))</f>
        <v/>
      </c>
      <c r="AC479" s="176" t="str">
        <f aca="false">IF(INDEX(Salary_Calculation[Source Row],ROW()-ROW(Payslip_Lookup[#Headers]))="","",INDEX(Salary_Calculation[Salary Before Other Deductions],ROW()-ROW(Payslip_Lookup[#Headers])))</f>
        <v/>
      </c>
      <c r="AD479" s="171" t="str">
        <f aca="false">IF(INDEX(Salary_Calculation[Source Row],ROW()-ROW(Payslip_Lookup[#Headers]))="","",INDEX(Salary_Calculation[Payment Status],ROW()-ROW(Payslip_Lookup[#Headers])))</f>
        <v/>
      </c>
      <c r="AE479" s="171" t="str">
        <f aca="false">IF(INDEX(Salary_Calculation[Source Row],ROW()-ROW(Payslip_Lookup[#Headers]))="","",INDEX(Salary_Calculation[Notes],ROW()-ROW(Payslip_Lookup[#Headers])))</f>
        <v/>
      </c>
      <c r="AF479" s="171" t="str">
        <f aca="false">IF(INDEX(Salary_Calculation[Source Row],ROW()-ROW(Payslip_Lookup[#Headers]))="","",INDEX(Salary_Calculation[Exception Reason],ROW()-ROW(Payslip_Lookup[#Headers])))</f>
        <v/>
      </c>
      <c r="AG479" s="173" t="str">
        <f aca="false">IF($AD479="Review Required",COUNTIF(AD$2:AD479,"Review Required"),"")</f>
        <v/>
      </c>
      <c r="AH479" s="173" t="str">
        <f aca="false">IF(AND($D479&lt;&gt;"",$B479=Payslip_Print!$C$2),MAX(AH$1:AH478)+1,"")</f>
        <v/>
      </c>
      <c r="AL479" s="178" t="str">
        <f aca="false">IFERROR(INDEX($D$2:$D$501,MATCH(ROW()-1,$AH$2:$AH$501,0)),"")</f>
        <v/>
      </c>
      <c r="AM479" s="179" t="str">
        <f aca="false">IF($Z479="","",IF(AND($C479&gt;=Dash_Start,$C479&lt;Dash_End),$Z479+ROW()/10000000,""))</f>
        <v/>
      </c>
    </row>
    <row r="480" customFormat="false" ht="14.25" hidden="false" customHeight="false" outlineLevel="0" collapsed="false">
      <c r="A480" s="171" t="str">
        <f aca="false">IF(Payslip_Lookup[[#This Row],[Rider ID]]="","",Payslip_Lookup[[#This Row],[Rider ID]]&amp;"|"&amp;Payslip_Lookup[[#This Row],[Month Key]])</f>
        <v/>
      </c>
      <c r="B480" s="172" t="str">
        <f aca="false">IF(ISNUMBER(Payslip_Lookup[[#This Row],[Salary Month]]),DATE(YEAR(Payslip_Lookup[[#This Row],[Salary Month]]),MONTH(Payslip_Lookup[[#This Row],[Salary Month]]),1),"")</f>
        <v/>
      </c>
      <c r="C480" s="172" t="str">
        <f aca="false">IF(INDEX(Salary_Calculation[Source Row],ROW()-ROW(Payslip_Lookup[#Headers]))="","",INDEX(Salary_Calculation[Salary Month],ROW()-ROW(Payslip_Lookup[#Headers])))</f>
        <v/>
      </c>
      <c r="D480" s="173" t="str">
        <f aca="false">IF(INDEX(Salary_Calculation[Source Row],ROW()-ROW(Payslip_Lookup[#Headers]))="","",INDEX(Salary_Calculation[Rider ID],ROW()-ROW(Payslip_Lookup[#Headers])))</f>
        <v/>
      </c>
      <c r="E480" s="171" t="str">
        <f aca="false">IF(INDEX(Salary_Calculation[Source Row],ROW()-ROW(Payslip_Lookup[#Headers]))="","",INDEX(Salary_Calculation[Rider Name],ROW()-ROW(Payslip_Lookup[#Headers])))</f>
        <v/>
      </c>
      <c r="F480" s="173" t="str">
        <f aca="false">IF(INDEX(Salary_Calculation[Source Row],ROW()-ROW(Payslip_Lookup[#Headers]))="","",INDEX(Salary_Calculation[Working Days],ROW()-ROW(Payslip_Lookup[#Headers])))</f>
        <v/>
      </c>
      <c r="G480" s="173" t="str">
        <f aca="false">IF(INDEX(Salary_Calculation[Source Row],ROW()-ROW(Payslip_Lookup[#Headers]))="","",INDEX(Salary_Calculation[Calendar Days],ROW()-ROW(Payslip_Lookup[#Headers])))</f>
        <v/>
      </c>
      <c r="H480" s="174" t="str">
        <f aca="false">IF(INDEX(Salary_Calculation[Source Row],ROW()-ROW(Payslip_Lookup[#Headers]))="","",INDEX(Salary_Calculation[Monthly Target Orders],ROW()-ROW(Payslip_Lookup[#Headers])))</f>
        <v/>
      </c>
      <c r="I480" s="174" t="str">
        <f aca="false">IF(INDEX(Salary_Calculation[Source Row],ROW()-ROW(Payslip_Lookup[#Headers]))="","",INDEX(Salary_Calculation[Rider Target Orders],ROW()-ROW(Payslip_Lookup[#Headers])))</f>
        <v/>
      </c>
      <c r="J480" s="175" t="str">
        <f aca="false">IF(INDEX(Salary_Calculation[Source Row],ROW()-ROW(Payslip_Lookup[#Headers]))="","",INDEX(Salary_Calculation[Completed Orders],ROW()-ROW(Payslip_Lookup[#Headers])))</f>
        <v/>
      </c>
      <c r="K480" s="174" t="str">
        <f aca="false">IF(INDEX(Salary_Calculation[Source Row],ROW()-ROW(Payslip_Lookup[#Headers]))="","",INDEX(Salary_Calculation[Base Order Rate],ROW()-ROW(Payslip_Lookup[#Headers])))</f>
        <v/>
      </c>
      <c r="L480" s="176" t="str">
        <f aca="false">IF(INDEX(Salary_Calculation[Source Row],ROW()-ROW(Payslip_Lookup[#Headers]))="","",INDEX(Salary_Calculation[Basic Payment],ROW()-ROW(Payslip_Lookup[#Headers])))</f>
        <v/>
      </c>
      <c r="M480" s="176" t="str">
        <f aca="false">IF(INDEX(Salary_Calculation[Source Row],ROW()-ROW(Payslip_Lookup[#Headers]))="","",INDEX(Salary_Calculation[Earned Salary],ROW()-ROW(Payslip_Lookup[#Headers])))</f>
        <v/>
      </c>
      <c r="N480" s="174" t="str">
        <f aca="false">IF(INDEX(Salary_Calculation[Source Row],ROW()-ROW(Payslip_Lookup[#Headers]))="","",INDEX(Salary_Calculation[Orders Counted at Base Rate],ROW()-ROW(Payslip_Lookup[#Headers])))</f>
        <v/>
      </c>
      <c r="O480" s="174" t="str">
        <f aca="false">IF(INDEX(Salary_Calculation[Source Row],ROW()-ROW(Payslip_Lookup[#Headers]))="","",INDEX(Salary_Calculation[Missing Orders],ROW()-ROW(Payslip_Lookup[#Headers])))</f>
        <v/>
      </c>
      <c r="P480" s="176" t="str">
        <f aca="false">IF(INDEX(Salary_Calculation[Source Row],ROW()-ROW(Payslip_Lookup[#Headers]))="","",INDEX(Salary_Calculation[Missing-Order Deduction],ROW()-ROW(Payslip_Lookup[#Headers])))</f>
        <v/>
      </c>
      <c r="Q480" s="174" t="str">
        <f aca="false">IF(INDEX(Salary_Calculation[Source Row],ROW()-ROW(Payslip_Lookup[#Headers]))="","",INDEX(Salary_Calculation[Extra Orders],ROW()-ROW(Payslip_Lookup[#Headers])))</f>
        <v/>
      </c>
      <c r="R480" s="176" t="str">
        <f aca="false">IF(INDEX(Salary_Calculation[Source Row],ROW()-ROW(Payslip_Lookup[#Headers]))="","",INDEX(Salary_Calculation[Extra-Order Bonus],ROW()-ROW(Payslip_Lookup[#Headers])))</f>
        <v/>
      </c>
      <c r="S480" s="176" t="str">
        <f aca="false">IF(INDEX(Salary_Calculation[Source Row],ROW()-ROW(Payslip_Lookup[#Headers]))="","",INDEX(Salary_Calculation[Basic Salary for Target],ROW()-ROW(Payslip_Lookup[#Headers])))</f>
        <v/>
      </c>
      <c r="T480" s="176" t="str">
        <f aca="false">IF(INDEX(Salary_Calculation[Source Row],ROW()-ROW(Payslip_Lookup[#Headers]))="","",INDEX(Salary_Calculation[Gross Salary Before Deductions],ROW()-ROW(Payslip_Lookup[#Headers])))</f>
        <v/>
      </c>
      <c r="U480" s="176" t="str">
        <f aca="false">IF(INDEX(Salary_Calculation[Source Row],ROW()-ROW(Payslip_Lookup[#Headers]))="","",INDEX(Salary_Calculation[missed_days_penalty],ROW()-ROW(Payslip_Lookup[#Headers])))</f>
        <v/>
      </c>
      <c r="V480" s="176" t="str">
        <f aca="false">IF(INDEX(Salary_Calculation[Source Row],ROW()-ROW(Payslip_Lookup[#Headers]))="","",INDEX(Salary_Calculation[Rider Balance],ROW()-ROW(Payslip_Lookup[#Headers])))</f>
        <v/>
      </c>
      <c r="W480" s="176" t="str">
        <f aca="false">IF(INDEX(Salary_Calculation[Source Row],ROW()-ROW(Payslip_Lookup[#Headers]))="","",INDEX(Salary_Calculation[stacking_deduction],ROW()-ROW(Payslip_Lookup[#Headers])))</f>
        <v/>
      </c>
      <c r="X480" s="176" t="str">
        <f aca="false">IF(INDEX(Salary_Calculation[Source Row],ROW()-ROW(Payslip_Lookup[#Headers]))="","",INDEX(Salary_Calculation[Other Deductions],ROW()-ROW(Payslip_Lookup[#Headers])))</f>
        <v/>
      </c>
      <c r="Y480" s="176" t="str">
        <f aca="false">IF(INDEX(Salary_Calculation[Source Row],ROW()-ROW(Payslip_Lookup[#Headers]))="","",INDEX(Salary_Calculation[Total Deductions],ROW()-ROW(Payslip_Lookup[#Headers])))</f>
        <v/>
      </c>
      <c r="Z480" s="176" t="str">
        <f aca="false">IF(INDEX(Salary_Calculation[Source Row],ROW()-ROW(Payslip_Lookup[#Headers]))="","",INDEX(Salary_Calculation[Final Salary],ROW()-ROW(Payslip_Lookup[#Headers])))</f>
        <v/>
      </c>
      <c r="AA480" s="176" t="str">
        <f aca="false">IF(INDEX(Salary_Calculation[Source Row],ROW()-ROW(Payslip_Lookup[#Headers]))="","",INDEX(Salary_Calculation[Negative Balance / Amount Due from Rider],ROW()-ROW(Payslip_Lookup[#Headers])))</f>
        <v/>
      </c>
      <c r="AB480" s="176" t="str">
        <f aca="false">IF(INDEX(Salary_Calculation[Source Row],ROW()-ROW(Payslip_Lookup[#Headers]))="","",INDEX(Salary_Calculation[Total Amount Due from Rider],ROW()-ROW(Payslip_Lookup[#Headers])))</f>
        <v/>
      </c>
      <c r="AC480" s="176" t="str">
        <f aca="false">IF(INDEX(Salary_Calculation[Source Row],ROW()-ROW(Payslip_Lookup[#Headers]))="","",INDEX(Salary_Calculation[Salary Before Other Deductions],ROW()-ROW(Payslip_Lookup[#Headers])))</f>
        <v/>
      </c>
      <c r="AD480" s="171" t="str">
        <f aca="false">IF(INDEX(Salary_Calculation[Source Row],ROW()-ROW(Payslip_Lookup[#Headers]))="","",INDEX(Salary_Calculation[Payment Status],ROW()-ROW(Payslip_Lookup[#Headers])))</f>
        <v/>
      </c>
      <c r="AE480" s="171" t="str">
        <f aca="false">IF(INDEX(Salary_Calculation[Source Row],ROW()-ROW(Payslip_Lookup[#Headers]))="","",INDEX(Salary_Calculation[Notes],ROW()-ROW(Payslip_Lookup[#Headers])))</f>
        <v/>
      </c>
      <c r="AF480" s="171" t="str">
        <f aca="false">IF(INDEX(Salary_Calculation[Source Row],ROW()-ROW(Payslip_Lookup[#Headers]))="","",INDEX(Salary_Calculation[Exception Reason],ROW()-ROW(Payslip_Lookup[#Headers])))</f>
        <v/>
      </c>
      <c r="AG480" s="173" t="str">
        <f aca="false">IF($AD480="Review Required",COUNTIF(AD$2:AD480,"Review Required"),"")</f>
        <v/>
      </c>
      <c r="AH480" s="173" t="str">
        <f aca="false">IF(AND($D480&lt;&gt;"",$B480=Payslip_Print!$C$2),MAX(AH$1:AH479)+1,"")</f>
        <v/>
      </c>
      <c r="AL480" s="178" t="str">
        <f aca="false">IFERROR(INDEX($D$2:$D$501,MATCH(ROW()-1,$AH$2:$AH$501,0)),"")</f>
        <v/>
      </c>
      <c r="AM480" s="179" t="str">
        <f aca="false">IF($Z480="","",IF(AND($C480&gt;=Dash_Start,$C480&lt;Dash_End),$Z480+ROW()/10000000,""))</f>
        <v/>
      </c>
    </row>
    <row r="481" customFormat="false" ht="14.25" hidden="false" customHeight="false" outlineLevel="0" collapsed="false">
      <c r="A481" s="171" t="str">
        <f aca="false">IF(Payslip_Lookup[[#This Row],[Rider ID]]="","",Payslip_Lookup[[#This Row],[Rider ID]]&amp;"|"&amp;Payslip_Lookup[[#This Row],[Month Key]])</f>
        <v/>
      </c>
      <c r="B481" s="172" t="str">
        <f aca="false">IF(ISNUMBER(Payslip_Lookup[[#This Row],[Salary Month]]),DATE(YEAR(Payslip_Lookup[[#This Row],[Salary Month]]),MONTH(Payslip_Lookup[[#This Row],[Salary Month]]),1),"")</f>
        <v/>
      </c>
      <c r="C481" s="172" t="str">
        <f aca="false">IF(INDEX(Salary_Calculation[Source Row],ROW()-ROW(Payslip_Lookup[#Headers]))="","",INDEX(Salary_Calculation[Salary Month],ROW()-ROW(Payslip_Lookup[#Headers])))</f>
        <v/>
      </c>
      <c r="D481" s="173" t="str">
        <f aca="false">IF(INDEX(Salary_Calculation[Source Row],ROW()-ROW(Payslip_Lookup[#Headers]))="","",INDEX(Salary_Calculation[Rider ID],ROW()-ROW(Payslip_Lookup[#Headers])))</f>
        <v/>
      </c>
      <c r="E481" s="171" t="str">
        <f aca="false">IF(INDEX(Salary_Calculation[Source Row],ROW()-ROW(Payslip_Lookup[#Headers]))="","",INDEX(Salary_Calculation[Rider Name],ROW()-ROW(Payslip_Lookup[#Headers])))</f>
        <v/>
      </c>
      <c r="F481" s="173" t="str">
        <f aca="false">IF(INDEX(Salary_Calculation[Source Row],ROW()-ROW(Payslip_Lookup[#Headers]))="","",INDEX(Salary_Calculation[Working Days],ROW()-ROW(Payslip_Lookup[#Headers])))</f>
        <v/>
      </c>
      <c r="G481" s="173" t="str">
        <f aca="false">IF(INDEX(Salary_Calculation[Source Row],ROW()-ROW(Payslip_Lookup[#Headers]))="","",INDEX(Salary_Calculation[Calendar Days],ROW()-ROW(Payslip_Lookup[#Headers])))</f>
        <v/>
      </c>
      <c r="H481" s="174" t="str">
        <f aca="false">IF(INDEX(Salary_Calculation[Source Row],ROW()-ROW(Payslip_Lookup[#Headers]))="","",INDEX(Salary_Calculation[Monthly Target Orders],ROW()-ROW(Payslip_Lookup[#Headers])))</f>
        <v/>
      </c>
      <c r="I481" s="174" t="str">
        <f aca="false">IF(INDEX(Salary_Calculation[Source Row],ROW()-ROW(Payslip_Lookup[#Headers]))="","",INDEX(Salary_Calculation[Rider Target Orders],ROW()-ROW(Payslip_Lookup[#Headers])))</f>
        <v/>
      </c>
      <c r="J481" s="175" t="str">
        <f aca="false">IF(INDEX(Salary_Calculation[Source Row],ROW()-ROW(Payslip_Lookup[#Headers]))="","",INDEX(Salary_Calculation[Completed Orders],ROW()-ROW(Payslip_Lookup[#Headers])))</f>
        <v/>
      </c>
      <c r="K481" s="174" t="str">
        <f aca="false">IF(INDEX(Salary_Calculation[Source Row],ROW()-ROW(Payslip_Lookup[#Headers]))="","",INDEX(Salary_Calculation[Base Order Rate],ROW()-ROW(Payslip_Lookup[#Headers])))</f>
        <v/>
      </c>
      <c r="L481" s="176" t="str">
        <f aca="false">IF(INDEX(Salary_Calculation[Source Row],ROW()-ROW(Payslip_Lookup[#Headers]))="","",INDEX(Salary_Calculation[Basic Payment],ROW()-ROW(Payslip_Lookup[#Headers])))</f>
        <v/>
      </c>
      <c r="M481" s="176" t="str">
        <f aca="false">IF(INDEX(Salary_Calculation[Source Row],ROW()-ROW(Payslip_Lookup[#Headers]))="","",INDEX(Salary_Calculation[Earned Salary],ROW()-ROW(Payslip_Lookup[#Headers])))</f>
        <v/>
      </c>
      <c r="N481" s="174" t="str">
        <f aca="false">IF(INDEX(Salary_Calculation[Source Row],ROW()-ROW(Payslip_Lookup[#Headers]))="","",INDEX(Salary_Calculation[Orders Counted at Base Rate],ROW()-ROW(Payslip_Lookup[#Headers])))</f>
        <v/>
      </c>
      <c r="O481" s="174" t="str">
        <f aca="false">IF(INDEX(Salary_Calculation[Source Row],ROW()-ROW(Payslip_Lookup[#Headers]))="","",INDEX(Salary_Calculation[Missing Orders],ROW()-ROW(Payslip_Lookup[#Headers])))</f>
        <v/>
      </c>
      <c r="P481" s="176" t="str">
        <f aca="false">IF(INDEX(Salary_Calculation[Source Row],ROW()-ROW(Payslip_Lookup[#Headers]))="","",INDEX(Salary_Calculation[Missing-Order Deduction],ROW()-ROW(Payslip_Lookup[#Headers])))</f>
        <v/>
      </c>
      <c r="Q481" s="174" t="str">
        <f aca="false">IF(INDEX(Salary_Calculation[Source Row],ROW()-ROW(Payslip_Lookup[#Headers]))="","",INDEX(Salary_Calculation[Extra Orders],ROW()-ROW(Payslip_Lookup[#Headers])))</f>
        <v/>
      </c>
      <c r="R481" s="176" t="str">
        <f aca="false">IF(INDEX(Salary_Calculation[Source Row],ROW()-ROW(Payslip_Lookup[#Headers]))="","",INDEX(Salary_Calculation[Extra-Order Bonus],ROW()-ROW(Payslip_Lookup[#Headers])))</f>
        <v/>
      </c>
      <c r="S481" s="176" t="str">
        <f aca="false">IF(INDEX(Salary_Calculation[Source Row],ROW()-ROW(Payslip_Lookup[#Headers]))="","",INDEX(Salary_Calculation[Basic Salary for Target],ROW()-ROW(Payslip_Lookup[#Headers])))</f>
        <v/>
      </c>
      <c r="T481" s="176" t="str">
        <f aca="false">IF(INDEX(Salary_Calculation[Source Row],ROW()-ROW(Payslip_Lookup[#Headers]))="","",INDEX(Salary_Calculation[Gross Salary Before Deductions],ROW()-ROW(Payslip_Lookup[#Headers])))</f>
        <v/>
      </c>
      <c r="U481" s="176" t="str">
        <f aca="false">IF(INDEX(Salary_Calculation[Source Row],ROW()-ROW(Payslip_Lookup[#Headers]))="","",INDEX(Salary_Calculation[missed_days_penalty],ROW()-ROW(Payslip_Lookup[#Headers])))</f>
        <v/>
      </c>
      <c r="V481" s="176" t="str">
        <f aca="false">IF(INDEX(Salary_Calculation[Source Row],ROW()-ROW(Payslip_Lookup[#Headers]))="","",INDEX(Salary_Calculation[Rider Balance],ROW()-ROW(Payslip_Lookup[#Headers])))</f>
        <v/>
      </c>
      <c r="W481" s="176" t="str">
        <f aca="false">IF(INDEX(Salary_Calculation[Source Row],ROW()-ROW(Payslip_Lookup[#Headers]))="","",INDEX(Salary_Calculation[stacking_deduction],ROW()-ROW(Payslip_Lookup[#Headers])))</f>
        <v/>
      </c>
      <c r="X481" s="176" t="str">
        <f aca="false">IF(INDEX(Salary_Calculation[Source Row],ROW()-ROW(Payslip_Lookup[#Headers]))="","",INDEX(Salary_Calculation[Other Deductions],ROW()-ROW(Payslip_Lookup[#Headers])))</f>
        <v/>
      </c>
      <c r="Y481" s="176" t="str">
        <f aca="false">IF(INDEX(Salary_Calculation[Source Row],ROW()-ROW(Payslip_Lookup[#Headers]))="","",INDEX(Salary_Calculation[Total Deductions],ROW()-ROW(Payslip_Lookup[#Headers])))</f>
        <v/>
      </c>
      <c r="Z481" s="176" t="str">
        <f aca="false">IF(INDEX(Salary_Calculation[Source Row],ROW()-ROW(Payslip_Lookup[#Headers]))="","",INDEX(Salary_Calculation[Final Salary],ROW()-ROW(Payslip_Lookup[#Headers])))</f>
        <v/>
      </c>
      <c r="AA481" s="176" t="str">
        <f aca="false">IF(INDEX(Salary_Calculation[Source Row],ROW()-ROW(Payslip_Lookup[#Headers]))="","",INDEX(Salary_Calculation[Negative Balance / Amount Due from Rider],ROW()-ROW(Payslip_Lookup[#Headers])))</f>
        <v/>
      </c>
      <c r="AB481" s="176" t="str">
        <f aca="false">IF(INDEX(Salary_Calculation[Source Row],ROW()-ROW(Payslip_Lookup[#Headers]))="","",INDEX(Salary_Calculation[Total Amount Due from Rider],ROW()-ROW(Payslip_Lookup[#Headers])))</f>
        <v/>
      </c>
      <c r="AC481" s="176" t="str">
        <f aca="false">IF(INDEX(Salary_Calculation[Source Row],ROW()-ROW(Payslip_Lookup[#Headers]))="","",INDEX(Salary_Calculation[Salary Before Other Deductions],ROW()-ROW(Payslip_Lookup[#Headers])))</f>
        <v/>
      </c>
      <c r="AD481" s="171" t="str">
        <f aca="false">IF(INDEX(Salary_Calculation[Source Row],ROW()-ROW(Payslip_Lookup[#Headers]))="","",INDEX(Salary_Calculation[Payment Status],ROW()-ROW(Payslip_Lookup[#Headers])))</f>
        <v/>
      </c>
      <c r="AE481" s="171" t="str">
        <f aca="false">IF(INDEX(Salary_Calculation[Source Row],ROW()-ROW(Payslip_Lookup[#Headers]))="","",INDEX(Salary_Calculation[Notes],ROW()-ROW(Payslip_Lookup[#Headers])))</f>
        <v/>
      </c>
      <c r="AF481" s="171" t="str">
        <f aca="false">IF(INDEX(Salary_Calculation[Source Row],ROW()-ROW(Payslip_Lookup[#Headers]))="","",INDEX(Salary_Calculation[Exception Reason],ROW()-ROW(Payslip_Lookup[#Headers])))</f>
        <v/>
      </c>
      <c r="AG481" s="173" t="str">
        <f aca="false">IF($AD481="Review Required",COUNTIF(AD$2:AD481,"Review Required"),"")</f>
        <v/>
      </c>
      <c r="AH481" s="173" t="str">
        <f aca="false">IF(AND($D481&lt;&gt;"",$B481=Payslip_Print!$C$2),MAX(AH$1:AH480)+1,"")</f>
        <v/>
      </c>
      <c r="AL481" s="178" t="str">
        <f aca="false">IFERROR(INDEX($D$2:$D$501,MATCH(ROW()-1,$AH$2:$AH$501,0)),"")</f>
        <v/>
      </c>
      <c r="AM481" s="179" t="str">
        <f aca="false">IF($Z481="","",IF(AND($C481&gt;=Dash_Start,$C481&lt;Dash_End),$Z481+ROW()/10000000,""))</f>
        <v/>
      </c>
    </row>
    <row r="482" customFormat="false" ht="14.25" hidden="false" customHeight="false" outlineLevel="0" collapsed="false">
      <c r="A482" s="171" t="str">
        <f aca="false">IF(Payslip_Lookup[[#This Row],[Rider ID]]="","",Payslip_Lookup[[#This Row],[Rider ID]]&amp;"|"&amp;Payslip_Lookup[[#This Row],[Month Key]])</f>
        <v/>
      </c>
      <c r="B482" s="172" t="str">
        <f aca="false">IF(ISNUMBER(Payslip_Lookup[[#This Row],[Salary Month]]),DATE(YEAR(Payslip_Lookup[[#This Row],[Salary Month]]),MONTH(Payslip_Lookup[[#This Row],[Salary Month]]),1),"")</f>
        <v/>
      </c>
      <c r="C482" s="172" t="str">
        <f aca="false">IF(INDEX(Salary_Calculation[Source Row],ROW()-ROW(Payslip_Lookup[#Headers]))="","",INDEX(Salary_Calculation[Salary Month],ROW()-ROW(Payslip_Lookup[#Headers])))</f>
        <v/>
      </c>
      <c r="D482" s="173" t="str">
        <f aca="false">IF(INDEX(Salary_Calculation[Source Row],ROW()-ROW(Payslip_Lookup[#Headers]))="","",INDEX(Salary_Calculation[Rider ID],ROW()-ROW(Payslip_Lookup[#Headers])))</f>
        <v/>
      </c>
      <c r="E482" s="171" t="str">
        <f aca="false">IF(INDEX(Salary_Calculation[Source Row],ROW()-ROW(Payslip_Lookup[#Headers]))="","",INDEX(Salary_Calculation[Rider Name],ROW()-ROW(Payslip_Lookup[#Headers])))</f>
        <v/>
      </c>
      <c r="F482" s="173" t="str">
        <f aca="false">IF(INDEX(Salary_Calculation[Source Row],ROW()-ROW(Payslip_Lookup[#Headers]))="","",INDEX(Salary_Calculation[Working Days],ROW()-ROW(Payslip_Lookup[#Headers])))</f>
        <v/>
      </c>
      <c r="G482" s="173" t="str">
        <f aca="false">IF(INDEX(Salary_Calculation[Source Row],ROW()-ROW(Payslip_Lookup[#Headers]))="","",INDEX(Salary_Calculation[Calendar Days],ROW()-ROW(Payslip_Lookup[#Headers])))</f>
        <v/>
      </c>
      <c r="H482" s="174" t="str">
        <f aca="false">IF(INDEX(Salary_Calculation[Source Row],ROW()-ROW(Payslip_Lookup[#Headers]))="","",INDEX(Salary_Calculation[Monthly Target Orders],ROW()-ROW(Payslip_Lookup[#Headers])))</f>
        <v/>
      </c>
      <c r="I482" s="174" t="str">
        <f aca="false">IF(INDEX(Salary_Calculation[Source Row],ROW()-ROW(Payslip_Lookup[#Headers]))="","",INDEX(Salary_Calculation[Rider Target Orders],ROW()-ROW(Payslip_Lookup[#Headers])))</f>
        <v/>
      </c>
      <c r="J482" s="175" t="str">
        <f aca="false">IF(INDEX(Salary_Calculation[Source Row],ROW()-ROW(Payslip_Lookup[#Headers]))="","",INDEX(Salary_Calculation[Completed Orders],ROW()-ROW(Payslip_Lookup[#Headers])))</f>
        <v/>
      </c>
      <c r="K482" s="174" t="str">
        <f aca="false">IF(INDEX(Salary_Calculation[Source Row],ROW()-ROW(Payslip_Lookup[#Headers]))="","",INDEX(Salary_Calculation[Base Order Rate],ROW()-ROW(Payslip_Lookup[#Headers])))</f>
        <v/>
      </c>
      <c r="L482" s="176" t="str">
        <f aca="false">IF(INDEX(Salary_Calculation[Source Row],ROW()-ROW(Payslip_Lookup[#Headers]))="","",INDEX(Salary_Calculation[Basic Payment],ROW()-ROW(Payslip_Lookup[#Headers])))</f>
        <v/>
      </c>
      <c r="M482" s="176" t="str">
        <f aca="false">IF(INDEX(Salary_Calculation[Source Row],ROW()-ROW(Payslip_Lookup[#Headers]))="","",INDEX(Salary_Calculation[Earned Salary],ROW()-ROW(Payslip_Lookup[#Headers])))</f>
        <v/>
      </c>
      <c r="N482" s="174" t="str">
        <f aca="false">IF(INDEX(Salary_Calculation[Source Row],ROW()-ROW(Payslip_Lookup[#Headers]))="","",INDEX(Salary_Calculation[Orders Counted at Base Rate],ROW()-ROW(Payslip_Lookup[#Headers])))</f>
        <v/>
      </c>
      <c r="O482" s="174" t="str">
        <f aca="false">IF(INDEX(Salary_Calculation[Source Row],ROW()-ROW(Payslip_Lookup[#Headers]))="","",INDEX(Salary_Calculation[Missing Orders],ROW()-ROW(Payslip_Lookup[#Headers])))</f>
        <v/>
      </c>
      <c r="P482" s="176" t="str">
        <f aca="false">IF(INDEX(Salary_Calculation[Source Row],ROW()-ROW(Payslip_Lookup[#Headers]))="","",INDEX(Salary_Calculation[Missing-Order Deduction],ROW()-ROW(Payslip_Lookup[#Headers])))</f>
        <v/>
      </c>
      <c r="Q482" s="174" t="str">
        <f aca="false">IF(INDEX(Salary_Calculation[Source Row],ROW()-ROW(Payslip_Lookup[#Headers]))="","",INDEX(Salary_Calculation[Extra Orders],ROW()-ROW(Payslip_Lookup[#Headers])))</f>
        <v/>
      </c>
      <c r="R482" s="176" t="str">
        <f aca="false">IF(INDEX(Salary_Calculation[Source Row],ROW()-ROW(Payslip_Lookup[#Headers]))="","",INDEX(Salary_Calculation[Extra-Order Bonus],ROW()-ROW(Payslip_Lookup[#Headers])))</f>
        <v/>
      </c>
      <c r="S482" s="176" t="str">
        <f aca="false">IF(INDEX(Salary_Calculation[Source Row],ROW()-ROW(Payslip_Lookup[#Headers]))="","",INDEX(Salary_Calculation[Basic Salary for Target],ROW()-ROW(Payslip_Lookup[#Headers])))</f>
        <v/>
      </c>
      <c r="T482" s="176" t="str">
        <f aca="false">IF(INDEX(Salary_Calculation[Source Row],ROW()-ROW(Payslip_Lookup[#Headers]))="","",INDEX(Salary_Calculation[Gross Salary Before Deductions],ROW()-ROW(Payslip_Lookup[#Headers])))</f>
        <v/>
      </c>
      <c r="U482" s="176" t="str">
        <f aca="false">IF(INDEX(Salary_Calculation[Source Row],ROW()-ROW(Payslip_Lookup[#Headers]))="","",INDEX(Salary_Calculation[missed_days_penalty],ROW()-ROW(Payslip_Lookup[#Headers])))</f>
        <v/>
      </c>
      <c r="V482" s="176" t="str">
        <f aca="false">IF(INDEX(Salary_Calculation[Source Row],ROW()-ROW(Payslip_Lookup[#Headers]))="","",INDEX(Salary_Calculation[Rider Balance],ROW()-ROW(Payslip_Lookup[#Headers])))</f>
        <v/>
      </c>
      <c r="W482" s="176" t="str">
        <f aca="false">IF(INDEX(Salary_Calculation[Source Row],ROW()-ROW(Payslip_Lookup[#Headers]))="","",INDEX(Salary_Calculation[stacking_deduction],ROW()-ROW(Payslip_Lookup[#Headers])))</f>
        <v/>
      </c>
      <c r="X482" s="176" t="str">
        <f aca="false">IF(INDEX(Salary_Calculation[Source Row],ROW()-ROW(Payslip_Lookup[#Headers]))="","",INDEX(Salary_Calculation[Other Deductions],ROW()-ROW(Payslip_Lookup[#Headers])))</f>
        <v/>
      </c>
      <c r="Y482" s="176" t="str">
        <f aca="false">IF(INDEX(Salary_Calculation[Source Row],ROW()-ROW(Payslip_Lookup[#Headers]))="","",INDEX(Salary_Calculation[Total Deductions],ROW()-ROW(Payslip_Lookup[#Headers])))</f>
        <v/>
      </c>
      <c r="Z482" s="176" t="str">
        <f aca="false">IF(INDEX(Salary_Calculation[Source Row],ROW()-ROW(Payslip_Lookup[#Headers]))="","",INDEX(Salary_Calculation[Final Salary],ROW()-ROW(Payslip_Lookup[#Headers])))</f>
        <v/>
      </c>
      <c r="AA482" s="176" t="str">
        <f aca="false">IF(INDEX(Salary_Calculation[Source Row],ROW()-ROW(Payslip_Lookup[#Headers]))="","",INDEX(Salary_Calculation[Negative Balance / Amount Due from Rider],ROW()-ROW(Payslip_Lookup[#Headers])))</f>
        <v/>
      </c>
      <c r="AB482" s="176" t="str">
        <f aca="false">IF(INDEX(Salary_Calculation[Source Row],ROW()-ROW(Payslip_Lookup[#Headers]))="","",INDEX(Salary_Calculation[Total Amount Due from Rider],ROW()-ROW(Payslip_Lookup[#Headers])))</f>
        <v/>
      </c>
      <c r="AC482" s="176" t="str">
        <f aca="false">IF(INDEX(Salary_Calculation[Source Row],ROW()-ROW(Payslip_Lookup[#Headers]))="","",INDEX(Salary_Calculation[Salary Before Other Deductions],ROW()-ROW(Payslip_Lookup[#Headers])))</f>
        <v/>
      </c>
      <c r="AD482" s="171" t="str">
        <f aca="false">IF(INDEX(Salary_Calculation[Source Row],ROW()-ROW(Payslip_Lookup[#Headers]))="","",INDEX(Salary_Calculation[Payment Status],ROW()-ROW(Payslip_Lookup[#Headers])))</f>
        <v/>
      </c>
      <c r="AE482" s="171" t="str">
        <f aca="false">IF(INDEX(Salary_Calculation[Source Row],ROW()-ROW(Payslip_Lookup[#Headers]))="","",INDEX(Salary_Calculation[Notes],ROW()-ROW(Payslip_Lookup[#Headers])))</f>
        <v/>
      </c>
      <c r="AF482" s="171" t="str">
        <f aca="false">IF(INDEX(Salary_Calculation[Source Row],ROW()-ROW(Payslip_Lookup[#Headers]))="","",INDEX(Salary_Calculation[Exception Reason],ROW()-ROW(Payslip_Lookup[#Headers])))</f>
        <v/>
      </c>
      <c r="AG482" s="173" t="str">
        <f aca="false">IF($AD482="Review Required",COUNTIF(AD$2:AD482,"Review Required"),"")</f>
        <v/>
      </c>
      <c r="AH482" s="173" t="str">
        <f aca="false">IF(AND($D482&lt;&gt;"",$B482=Payslip_Print!$C$2),MAX(AH$1:AH481)+1,"")</f>
        <v/>
      </c>
      <c r="AL482" s="178" t="str">
        <f aca="false">IFERROR(INDEX($D$2:$D$501,MATCH(ROW()-1,$AH$2:$AH$501,0)),"")</f>
        <v/>
      </c>
      <c r="AM482" s="179" t="str">
        <f aca="false">IF($Z482="","",IF(AND($C482&gt;=Dash_Start,$C482&lt;Dash_End),$Z482+ROW()/10000000,""))</f>
        <v/>
      </c>
    </row>
    <row r="483" customFormat="false" ht="14.25" hidden="false" customHeight="false" outlineLevel="0" collapsed="false">
      <c r="A483" s="171" t="str">
        <f aca="false">IF(Payslip_Lookup[[#This Row],[Rider ID]]="","",Payslip_Lookup[[#This Row],[Rider ID]]&amp;"|"&amp;Payslip_Lookup[[#This Row],[Month Key]])</f>
        <v/>
      </c>
      <c r="B483" s="172" t="str">
        <f aca="false">IF(ISNUMBER(Payslip_Lookup[[#This Row],[Salary Month]]),DATE(YEAR(Payslip_Lookup[[#This Row],[Salary Month]]),MONTH(Payslip_Lookup[[#This Row],[Salary Month]]),1),"")</f>
        <v/>
      </c>
      <c r="C483" s="172" t="str">
        <f aca="false">IF(INDEX(Salary_Calculation[Source Row],ROW()-ROW(Payslip_Lookup[#Headers]))="","",INDEX(Salary_Calculation[Salary Month],ROW()-ROW(Payslip_Lookup[#Headers])))</f>
        <v/>
      </c>
      <c r="D483" s="173" t="str">
        <f aca="false">IF(INDEX(Salary_Calculation[Source Row],ROW()-ROW(Payslip_Lookup[#Headers]))="","",INDEX(Salary_Calculation[Rider ID],ROW()-ROW(Payslip_Lookup[#Headers])))</f>
        <v/>
      </c>
      <c r="E483" s="171" t="str">
        <f aca="false">IF(INDEX(Salary_Calculation[Source Row],ROW()-ROW(Payslip_Lookup[#Headers]))="","",INDEX(Salary_Calculation[Rider Name],ROW()-ROW(Payslip_Lookup[#Headers])))</f>
        <v/>
      </c>
      <c r="F483" s="173" t="str">
        <f aca="false">IF(INDEX(Salary_Calculation[Source Row],ROW()-ROW(Payslip_Lookup[#Headers]))="","",INDEX(Salary_Calculation[Working Days],ROW()-ROW(Payslip_Lookup[#Headers])))</f>
        <v/>
      </c>
      <c r="G483" s="173" t="str">
        <f aca="false">IF(INDEX(Salary_Calculation[Source Row],ROW()-ROW(Payslip_Lookup[#Headers]))="","",INDEX(Salary_Calculation[Calendar Days],ROW()-ROW(Payslip_Lookup[#Headers])))</f>
        <v/>
      </c>
      <c r="H483" s="174" t="str">
        <f aca="false">IF(INDEX(Salary_Calculation[Source Row],ROW()-ROW(Payslip_Lookup[#Headers]))="","",INDEX(Salary_Calculation[Monthly Target Orders],ROW()-ROW(Payslip_Lookup[#Headers])))</f>
        <v/>
      </c>
      <c r="I483" s="174" t="str">
        <f aca="false">IF(INDEX(Salary_Calculation[Source Row],ROW()-ROW(Payslip_Lookup[#Headers]))="","",INDEX(Salary_Calculation[Rider Target Orders],ROW()-ROW(Payslip_Lookup[#Headers])))</f>
        <v/>
      </c>
      <c r="J483" s="175" t="str">
        <f aca="false">IF(INDEX(Salary_Calculation[Source Row],ROW()-ROW(Payslip_Lookup[#Headers]))="","",INDEX(Salary_Calculation[Completed Orders],ROW()-ROW(Payslip_Lookup[#Headers])))</f>
        <v/>
      </c>
      <c r="K483" s="174" t="str">
        <f aca="false">IF(INDEX(Salary_Calculation[Source Row],ROW()-ROW(Payslip_Lookup[#Headers]))="","",INDEX(Salary_Calculation[Base Order Rate],ROW()-ROW(Payslip_Lookup[#Headers])))</f>
        <v/>
      </c>
      <c r="L483" s="176" t="str">
        <f aca="false">IF(INDEX(Salary_Calculation[Source Row],ROW()-ROW(Payslip_Lookup[#Headers]))="","",INDEX(Salary_Calculation[Basic Payment],ROW()-ROW(Payslip_Lookup[#Headers])))</f>
        <v/>
      </c>
      <c r="M483" s="176" t="str">
        <f aca="false">IF(INDEX(Salary_Calculation[Source Row],ROW()-ROW(Payslip_Lookup[#Headers]))="","",INDEX(Salary_Calculation[Earned Salary],ROW()-ROW(Payslip_Lookup[#Headers])))</f>
        <v/>
      </c>
      <c r="N483" s="174" t="str">
        <f aca="false">IF(INDEX(Salary_Calculation[Source Row],ROW()-ROW(Payslip_Lookup[#Headers]))="","",INDEX(Salary_Calculation[Orders Counted at Base Rate],ROW()-ROW(Payslip_Lookup[#Headers])))</f>
        <v/>
      </c>
      <c r="O483" s="174" t="str">
        <f aca="false">IF(INDEX(Salary_Calculation[Source Row],ROW()-ROW(Payslip_Lookup[#Headers]))="","",INDEX(Salary_Calculation[Missing Orders],ROW()-ROW(Payslip_Lookup[#Headers])))</f>
        <v/>
      </c>
      <c r="P483" s="176" t="str">
        <f aca="false">IF(INDEX(Salary_Calculation[Source Row],ROW()-ROW(Payslip_Lookup[#Headers]))="","",INDEX(Salary_Calculation[Missing-Order Deduction],ROW()-ROW(Payslip_Lookup[#Headers])))</f>
        <v/>
      </c>
      <c r="Q483" s="174" t="str">
        <f aca="false">IF(INDEX(Salary_Calculation[Source Row],ROW()-ROW(Payslip_Lookup[#Headers]))="","",INDEX(Salary_Calculation[Extra Orders],ROW()-ROW(Payslip_Lookup[#Headers])))</f>
        <v/>
      </c>
      <c r="R483" s="176" t="str">
        <f aca="false">IF(INDEX(Salary_Calculation[Source Row],ROW()-ROW(Payslip_Lookup[#Headers]))="","",INDEX(Salary_Calculation[Extra-Order Bonus],ROW()-ROW(Payslip_Lookup[#Headers])))</f>
        <v/>
      </c>
      <c r="S483" s="176" t="str">
        <f aca="false">IF(INDEX(Salary_Calculation[Source Row],ROW()-ROW(Payslip_Lookup[#Headers]))="","",INDEX(Salary_Calculation[Basic Salary for Target],ROW()-ROW(Payslip_Lookup[#Headers])))</f>
        <v/>
      </c>
      <c r="T483" s="176" t="str">
        <f aca="false">IF(INDEX(Salary_Calculation[Source Row],ROW()-ROW(Payslip_Lookup[#Headers]))="","",INDEX(Salary_Calculation[Gross Salary Before Deductions],ROW()-ROW(Payslip_Lookup[#Headers])))</f>
        <v/>
      </c>
      <c r="U483" s="176" t="str">
        <f aca="false">IF(INDEX(Salary_Calculation[Source Row],ROW()-ROW(Payslip_Lookup[#Headers]))="","",INDEX(Salary_Calculation[missed_days_penalty],ROW()-ROW(Payslip_Lookup[#Headers])))</f>
        <v/>
      </c>
      <c r="V483" s="176" t="str">
        <f aca="false">IF(INDEX(Salary_Calculation[Source Row],ROW()-ROW(Payslip_Lookup[#Headers]))="","",INDEX(Salary_Calculation[Rider Balance],ROW()-ROW(Payslip_Lookup[#Headers])))</f>
        <v/>
      </c>
      <c r="W483" s="176" t="str">
        <f aca="false">IF(INDEX(Salary_Calculation[Source Row],ROW()-ROW(Payslip_Lookup[#Headers]))="","",INDEX(Salary_Calculation[stacking_deduction],ROW()-ROW(Payslip_Lookup[#Headers])))</f>
        <v/>
      </c>
      <c r="X483" s="176" t="str">
        <f aca="false">IF(INDEX(Salary_Calculation[Source Row],ROW()-ROW(Payslip_Lookup[#Headers]))="","",INDEX(Salary_Calculation[Other Deductions],ROW()-ROW(Payslip_Lookup[#Headers])))</f>
        <v/>
      </c>
      <c r="Y483" s="176" t="str">
        <f aca="false">IF(INDEX(Salary_Calculation[Source Row],ROW()-ROW(Payslip_Lookup[#Headers]))="","",INDEX(Salary_Calculation[Total Deductions],ROW()-ROW(Payslip_Lookup[#Headers])))</f>
        <v/>
      </c>
      <c r="Z483" s="176" t="str">
        <f aca="false">IF(INDEX(Salary_Calculation[Source Row],ROW()-ROW(Payslip_Lookup[#Headers]))="","",INDEX(Salary_Calculation[Final Salary],ROW()-ROW(Payslip_Lookup[#Headers])))</f>
        <v/>
      </c>
      <c r="AA483" s="176" t="str">
        <f aca="false">IF(INDEX(Salary_Calculation[Source Row],ROW()-ROW(Payslip_Lookup[#Headers]))="","",INDEX(Salary_Calculation[Negative Balance / Amount Due from Rider],ROW()-ROW(Payslip_Lookup[#Headers])))</f>
        <v/>
      </c>
      <c r="AB483" s="176" t="str">
        <f aca="false">IF(INDEX(Salary_Calculation[Source Row],ROW()-ROW(Payslip_Lookup[#Headers]))="","",INDEX(Salary_Calculation[Total Amount Due from Rider],ROW()-ROW(Payslip_Lookup[#Headers])))</f>
        <v/>
      </c>
      <c r="AC483" s="176" t="str">
        <f aca="false">IF(INDEX(Salary_Calculation[Source Row],ROW()-ROW(Payslip_Lookup[#Headers]))="","",INDEX(Salary_Calculation[Salary Before Other Deductions],ROW()-ROW(Payslip_Lookup[#Headers])))</f>
        <v/>
      </c>
      <c r="AD483" s="171" t="str">
        <f aca="false">IF(INDEX(Salary_Calculation[Source Row],ROW()-ROW(Payslip_Lookup[#Headers]))="","",INDEX(Salary_Calculation[Payment Status],ROW()-ROW(Payslip_Lookup[#Headers])))</f>
        <v/>
      </c>
      <c r="AE483" s="171" t="str">
        <f aca="false">IF(INDEX(Salary_Calculation[Source Row],ROW()-ROW(Payslip_Lookup[#Headers]))="","",INDEX(Salary_Calculation[Notes],ROW()-ROW(Payslip_Lookup[#Headers])))</f>
        <v/>
      </c>
      <c r="AF483" s="171" t="str">
        <f aca="false">IF(INDEX(Salary_Calculation[Source Row],ROW()-ROW(Payslip_Lookup[#Headers]))="","",INDEX(Salary_Calculation[Exception Reason],ROW()-ROW(Payslip_Lookup[#Headers])))</f>
        <v/>
      </c>
      <c r="AG483" s="173" t="str">
        <f aca="false">IF($AD483="Review Required",COUNTIF(AD$2:AD483,"Review Required"),"")</f>
        <v/>
      </c>
      <c r="AH483" s="173" t="str">
        <f aca="false">IF(AND($D483&lt;&gt;"",$B483=Payslip_Print!$C$2),MAX(AH$1:AH482)+1,"")</f>
        <v/>
      </c>
      <c r="AL483" s="178" t="str">
        <f aca="false">IFERROR(INDEX($D$2:$D$501,MATCH(ROW()-1,$AH$2:$AH$501,0)),"")</f>
        <v/>
      </c>
      <c r="AM483" s="179" t="str">
        <f aca="false">IF($Z483="","",IF(AND($C483&gt;=Dash_Start,$C483&lt;Dash_End),$Z483+ROW()/10000000,""))</f>
        <v/>
      </c>
    </row>
    <row r="484" customFormat="false" ht="14.25" hidden="false" customHeight="false" outlineLevel="0" collapsed="false">
      <c r="A484" s="171" t="str">
        <f aca="false">IF(Payslip_Lookup[[#This Row],[Rider ID]]="","",Payslip_Lookup[[#This Row],[Rider ID]]&amp;"|"&amp;Payslip_Lookup[[#This Row],[Month Key]])</f>
        <v/>
      </c>
      <c r="B484" s="172" t="str">
        <f aca="false">IF(ISNUMBER(Payslip_Lookup[[#This Row],[Salary Month]]),DATE(YEAR(Payslip_Lookup[[#This Row],[Salary Month]]),MONTH(Payslip_Lookup[[#This Row],[Salary Month]]),1),"")</f>
        <v/>
      </c>
      <c r="C484" s="172" t="str">
        <f aca="false">IF(INDEX(Salary_Calculation[Source Row],ROW()-ROW(Payslip_Lookup[#Headers]))="","",INDEX(Salary_Calculation[Salary Month],ROW()-ROW(Payslip_Lookup[#Headers])))</f>
        <v/>
      </c>
      <c r="D484" s="173" t="str">
        <f aca="false">IF(INDEX(Salary_Calculation[Source Row],ROW()-ROW(Payslip_Lookup[#Headers]))="","",INDEX(Salary_Calculation[Rider ID],ROW()-ROW(Payslip_Lookup[#Headers])))</f>
        <v/>
      </c>
      <c r="E484" s="171" t="str">
        <f aca="false">IF(INDEX(Salary_Calculation[Source Row],ROW()-ROW(Payslip_Lookup[#Headers]))="","",INDEX(Salary_Calculation[Rider Name],ROW()-ROW(Payslip_Lookup[#Headers])))</f>
        <v/>
      </c>
      <c r="F484" s="173" t="str">
        <f aca="false">IF(INDEX(Salary_Calculation[Source Row],ROW()-ROW(Payslip_Lookup[#Headers]))="","",INDEX(Salary_Calculation[Working Days],ROW()-ROW(Payslip_Lookup[#Headers])))</f>
        <v/>
      </c>
      <c r="G484" s="173" t="str">
        <f aca="false">IF(INDEX(Salary_Calculation[Source Row],ROW()-ROW(Payslip_Lookup[#Headers]))="","",INDEX(Salary_Calculation[Calendar Days],ROW()-ROW(Payslip_Lookup[#Headers])))</f>
        <v/>
      </c>
      <c r="H484" s="174" t="str">
        <f aca="false">IF(INDEX(Salary_Calculation[Source Row],ROW()-ROW(Payslip_Lookup[#Headers]))="","",INDEX(Salary_Calculation[Monthly Target Orders],ROW()-ROW(Payslip_Lookup[#Headers])))</f>
        <v/>
      </c>
      <c r="I484" s="174" t="str">
        <f aca="false">IF(INDEX(Salary_Calculation[Source Row],ROW()-ROW(Payslip_Lookup[#Headers]))="","",INDEX(Salary_Calculation[Rider Target Orders],ROW()-ROW(Payslip_Lookup[#Headers])))</f>
        <v/>
      </c>
      <c r="J484" s="175" t="str">
        <f aca="false">IF(INDEX(Salary_Calculation[Source Row],ROW()-ROW(Payslip_Lookup[#Headers]))="","",INDEX(Salary_Calculation[Completed Orders],ROW()-ROW(Payslip_Lookup[#Headers])))</f>
        <v/>
      </c>
      <c r="K484" s="174" t="str">
        <f aca="false">IF(INDEX(Salary_Calculation[Source Row],ROW()-ROW(Payslip_Lookup[#Headers]))="","",INDEX(Salary_Calculation[Base Order Rate],ROW()-ROW(Payslip_Lookup[#Headers])))</f>
        <v/>
      </c>
      <c r="L484" s="176" t="str">
        <f aca="false">IF(INDEX(Salary_Calculation[Source Row],ROW()-ROW(Payslip_Lookup[#Headers]))="","",INDEX(Salary_Calculation[Basic Payment],ROW()-ROW(Payslip_Lookup[#Headers])))</f>
        <v/>
      </c>
      <c r="M484" s="176" t="str">
        <f aca="false">IF(INDEX(Salary_Calculation[Source Row],ROW()-ROW(Payslip_Lookup[#Headers]))="","",INDEX(Salary_Calculation[Earned Salary],ROW()-ROW(Payslip_Lookup[#Headers])))</f>
        <v/>
      </c>
      <c r="N484" s="174" t="str">
        <f aca="false">IF(INDEX(Salary_Calculation[Source Row],ROW()-ROW(Payslip_Lookup[#Headers]))="","",INDEX(Salary_Calculation[Orders Counted at Base Rate],ROW()-ROW(Payslip_Lookup[#Headers])))</f>
        <v/>
      </c>
      <c r="O484" s="174" t="str">
        <f aca="false">IF(INDEX(Salary_Calculation[Source Row],ROW()-ROW(Payslip_Lookup[#Headers]))="","",INDEX(Salary_Calculation[Missing Orders],ROW()-ROW(Payslip_Lookup[#Headers])))</f>
        <v/>
      </c>
      <c r="P484" s="176" t="str">
        <f aca="false">IF(INDEX(Salary_Calculation[Source Row],ROW()-ROW(Payslip_Lookup[#Headers]))="","",INDEX(Salary_Calculation[Missing-Order Deduction],ROW()-ROW(Payslip_Lookup[#Headers])))</f>
        <v/>
      </c>
      <c r="Q484" s="174" t="str">
        <f aca="false">IF(INDEX(Salary_Calculation[Source Row],ROW()-ROW(Payslip_Lookup[#Headers]))="","",INDEX(Salary_Calculation[Extra Orders],ROW()-ROW(Payslip_Lookup[#Headers])))</f>
        <v/>
      </c>
      <c r="R484" s="176" t="str">
        <f aca="false">IF(INDEX(Salary_Calculation[Source Row],ROW()-ROW(Payslip_Lookup[#Headers]))="","",INDEX(Salary_Calculation[Extra-Order Bonus],ROW()-ROW(Payslip_Lookup[#Headers])))</f>
        <v/>
      </c>
      <c r="S484" s="176" t="str">
        <f aca="false">IF(INDEX(Salary_Calculation[Source Row],ROW()-ROW(Payslip_Lookup[#Headers]))="","",INDEX(Salary_Calculation[Basic Salary for Target],ROW()-ROW(Payslip_Lookup[#Headers])))</f>
        <v/>
      </c>
      <c r="T484" s="176" t="str">
        <f aca="false">IF(INDEX(Salary_Calculation[Source Row],ROW()-ROW(Payslip_Lookup[#Headers]))="","",INDEX(Salary_Calculation[Gross Salary Before Deductions],ROW()-ROW(Payslip_Lookup[#Headers])))</f>
        <v/>
      </c>
      <c r="U484" s="176" t="str">
        <f aca="false">IF(INDEX(Salary_Calculation[Source Row],ROW()-ROW(Payslip_Lookup[#Headers]))="","",INDEX(Salary_Calculation[missed_days_penalty],ROW()-ROW(Payslip_Lookup[#Headers])))</f>
        <v/>
      </c>
      <c r="V484" s="176" t="str">
        <f aca="false">IF(INDEX(Salary_Calculation[Source Row],ROW()-ROW(Payslip_Lookup[#Headers]))="","",INDEX(Salary_Calculation[Rider Balance],ROW()-ROW(Payslip_Lookup[#Headers])))</f>
        <v/>
      </c>
      <c r="W484" s="176" t="str">
        <f aca="false">IF(INDEX(Salary_Calculation[Source Row],ROW()-ROW(Payslip_Lookup[#Headers]))="","",INDEX(Salary_Calculation[stacking_deduction],ROW()-ROW(Payslip_Lookup[#Headers])))</f>
        <v/>
      </c>
      <c r="X484" s="176" t="str">
        <f aca="false">IF(INDEX(Salary_Calculation[Source Row],ROW()-ROW(Payslip_Lookup[#Headers]))="","",INDEX(Salary_Calculation[Other Deductions],ROW()-ROW(Payslip_Lookup[#Headers])))</f>
        <v/>
      </c>
      <c r="Y484" s="176" t="str">
        <f aca="false">IF(INDEX(Salary_Calculation[Source Row],ROW()-ROW(Payslip_Lookup[#Headers]))="","",INDEX(Salary_Calculation[Total Deductions],ROW()-ROW(Payslip_Lookup[#Headers])))</f>
        <v/>
      </c>
      <c r="Z484" s="176" t="str">
        <f aca="false">IF(INDEX(Salary_Calculation[Source Row],ROW()-ROW(Payslip_Lookup[#Headers]))="","",INDEX(Salary_Calculation[Final Salary],ROW()-ROW(Payslip_Lookup[#Headers])))</f>
        <v/>
      </c>
      <c r="AA484" s="176" t="str">
        <f aca="false">IF(INDEX(Salary_Calculation[Source Row],ROW()-ROW(Payslip_Lookup[#Headers]))="","",INDEX(Salary_Calculation[Negative Balance / Amount Due from Rider],ROW()-ROW(Payslip_Lookup[#Headers])))</f>
        <v/>
      </c>
      <c r="AB484" s="176" t="str">
        <f aca="false">IF(INDEX(Salary_Calculation[Source Row],ROW()-ROW(Payslip_Lookup[#Headers]))="","",INDEX(Salary_Calculation[Total Amount Due from Rider],ROW()-ROW(Payslip_Lookup[#Headers])))</f>
        <v/>
      </c>
      <c r="AC484" s="176" t="str">
        <f aca="false">IF(INDEX(Salary_Calculation[Source Row],ROW()-ROW(Payslip_Lookup[#Headers]))="","",INDEX(Salary_Calculation[Salary Before Other Deductions],ROW()-ROW(Payslip_Lookup[#Headers])))</f>
        <v/>
      </c>
      <c r="AD484" s="171" t="str">
        <f aca="false">IF(INDEX(Salary_Calculation[Source Row],ROW()-ROW(Payslip_Lookup[#Headers]))="","",INDEX(Salary_Calculation[Payment Status],ROW()-ROW(Payslip_Lookup[#Headers])))</f>
        <v/>
      </c>
      <c r="AE484" s="171" t="str">
        <f aca="false">IF(INDEX(Salary_Calculation[Source Row],ROW()-ROW(Payslip_Lookup[#Headers]))="","",INDEX(Salary_Calculation[Notes],ROW()-ROW(Payslip_Lookup[#Headers])))</f>
        <v/>
      </c>
      <c r="AF484" s="171" t="str">
        <f aca="false">IF(INDEX(Salary_Calculation[Source Row],ROW()-ROW(Payslip_Lookup[#Headers]))="","",INDEX(Salary_Calculation[Exception Reason],ROW()-ROW(Payslip_Lookup[#Headers])))</f>
        <v/>
      </c>
      <c r="AG484" s="173" t="str">
        <f aca="false">IF($AD484="Review Required",COUNTIF(AD$2:AD484,"Review Required"),"")</f>
        <v/>
      </c>
      <c r="AH484" s="173" t="str">
        <f aca="false">IF(AND($D484&lt;&gt;"",$B484=Payslip_Print!$C$2),MAX(AH$1:AH483)+1,"")</f>
        <v/>
      </c>
      <c r="AL484" s="178" t="str">
        <f aca="false">IFERROR(INDEX($D$2:$D$501,MATCH(ROW()-1,$AH$2:$AH$501,0)),"")</f>
        <v/>
      </c>
      <c r="AM484" s="179" t="str">
        <f aca="false">IF($Z484="","",IF(AND($C484&gt;=Dash_Start,$C484&lt;Dash_End),$Z484+ROW()/10000000,""))</f>
        <v/>
      </c>
    </row>
    <row r="485" customFormat="false" ht="14.25" hidden="false" customHeight="false" outlineLevel="0" collapsed="false">
      <c r="A485" s="171" t="str">
        <f aca="false">IF(Payslip_Lookup[[#This Row],[Rider ID]]="","",Payslip_Lookup[[#This Row],[Rider ID]]&amp;"|"&amp;Payslip_Lookup[[#This Row],[Month Key]])</f>
        <v/>
      </c>
      <c r="B485" s="172" t="str">
        <f aca="false">IF(ISNUMBER(Payslip_Lookup[[#This Row],[Salary Month]]),DATE(YEAR(Payslip_Lookup[[#This Row],[Salary Month]]),MONTH(Payslip_Lookup[[#This Row],[Salary Month]]),1),"")</f>
        <v/>
      </c>
      <c r="C485" s="172" t="str">
        <f aca="false">IF(INDEX(Salary_Calculation[Source Row],ROW()-ROW(Payslip_Lookup[#Headers]))="","",INDEX(Salary_Calculation[Salary Month],ROW()-ROW(Payslip_Lookup[#Headers])))</f>
        <v/>
      </c>
      <c r="D485" s="173" t="str">
        <f aca="false">IF(INDEX(Salary_Calculation[Source Row],ROW()-ROW(Payslip_Lookup[#Headers]))="","",INDEX(Salary_Calculation[Rider ID],ROW()-ROW(Payslip_Lookup[#Headers])))</f>
        <v/>
      </c>
      <c r="E485" s="171" t="str">
        <f aca="false">IF(INDEX(Salary_Calculation[Source Row],ROW()-ROW(Payslip_Lookup[#Headers]))="","",INDEX(Salary_Calculation[Rider Name],ROW()-ROW(Payslip_Lookup[#Headers])))</f>
        <v/>
      </c>
      <c r="F485" s="173" t="str">
        <f aca="false">IF(INDEX(Salary_Calculation[Source Row],ROW()-ROW(Payslip_Lookup[#Headers]))="","",INDEX(Salary_Calculation[Working Days],ROW()-ROW(Payslip_Lookup[#Headers])))</f>
        <v/>
      </c>
      <c r="G485" s="173" t="str">
        <f aca="false">IF(INDEX(Salary_Calculation[Source Row],ROW()-ROW(Payslip_Lookup[#Headers]))="","",INDEX(Salary_Calculation[Calendar Days],ROW()-ROW(Payslip_Lookup[#Headers])))</f>
        <v/>
      </c>
      <c r="H485" s="174" t="str">
        <f aca="false">IF(INDEX(Salary_Calculation[Source Row],ROW()-ROW(Payslip_Lookup[#Headers]))="","",INDEX(Salary_Calculation[Monthly Target Orders],ROW()-ROW(Payslip_Lookup[#Headers])))</f>
        <v/>
      </c>
      <c r="I485" s="174" t="str">
        <f aca="false">IF(INDEX(Salary_Calculation[Source Row],ROW()-ROW(Payslip_Lookup[#Headers]))="","",INDEX(Salary_Calculation[Rider Target Orders],ROW()-ROW(Payslip_Lookup[#Headers])))</f>
        <v/>
      </c>
      <c r="J485" s="175" t="str">
        <f aca="false">IF(INDEX(Salary_Calculation[Source Row],ROW()-ROW(Payslip_Lookup[#Headers]))="","",INDEX(Salary_Calculation[Completed Orders],ROW()-ROW(Payslip_Lookup[#Headers])))</f>
        <v/>
      </c>
      <c r="K485" s="174" t="str">
        <f aca="false">IF(INDEX(Salary_Calculation[Source Row],ROW()-ROW(Payslip_Lookup[#Headers]))="","",INDEX(Salary_Calculation[Base Order Rate],ROW()-ROW(Payslip_Lookup[#Headers])))</f>
        <v/>
      </c>
      <c r="L485" s="176" t="str">
        <f aca="false">IF(INDEX(Salary_Calculation[Source Row],ROW()-ROW(Payslip_Lookup[#Headers]))="","",INDEX(Salary_Calculation[Basic Payment],ROW()-ROW(Payslip_Lookup[#Headers])))</f>
        <v/>
      </c>
      <c r="M485" s="176" t="str">
        <f aca="false">IF(INDEX(Salary_Calculation[Source Row],ROW()-ROW(Payslip_Lookup[#Headers]))="","",INDEX(Salary_Calculation[Earned Salary],ROW()-ROW(Payslip_Lookup[#Headers])))</f>
        <v/>
      </c>
      <c r="N485" s="174" t="str">
        <f aca="false">IF(INDEX(Salary_Calculation[Source Row],ROW()-ROW(Payslip_Lookup[#Headers]))="","",INDEX(Salary_Calculation[Orders Counted at Base Rate],ROW()-ROW(Payslip_Lookup[#Headers])))</f>
        <v/>
      </c>
      <c r="O485" s="174" t="str">
        <f aca="false">IF(INDEX(Salary_Calculation[Source Row],ROW()-ROW(Payslip_Lookup[#Headers]))="","",INDEX(Salary_Calculation[Missing Orders],ROW()-ROW(Payslip_Lookup[#Headers])))</f>
        <v/>
      </c>
      <c r="P485" s="176" t="str">
        <f aca="false">IF(INDEX(Salary_Calculation[Source Row],ROW()-ROW(Payslip_Lookup[#Headers]))="","",INDEX(Salary_Calculation[Missing-Order Deduction],ROW()-ROW(Payslip_Lookup[#Headers])))</f>
        <v/>
      </c>
      <c r="Q485" s="174" t="str">
        <f aca="false">IF(INDEX(Salary_Calculation[Source Row],ROW()-ROW(Payslip_Lookup[#Headers]))="","",INDEX(Salary_Calculation[Extra Orders],ROW()-ROW(Payslip_Lookup[#Headers])))</f>
        <v/>
      </c>
      <c r="R485" s="176" t="str">
        <f aca="false">IF(INDEX(Salary_Calculation[Source Row],ROW()-ROW(Payslip_Lookup[#Headers]))="","",INDEX(Salary_Calculation[Extra-Order Bonus],ROW()-ROW(Payslip_Lookup[#Headers])))</f>
        <v/>
      </c>
      <c r="S485" s="176" t="str">
        <f aca="false">IF(INDEX(Salary_Calculation[Source Row],ROW()-ROW(Payslip_Lookup[#Headers]))="","",INDEX(Salary_Calculation[Basic Salary for Target],ROW()-ROW(Payslip_Lookup[#Headers])))</f>
        <v/>
      </c>
      <c r="T485" s="176" t="str">
        <f aca="false">IF(INDEX(Salary_Calculation[Source Row],ROW()-ROW(Payslip_Lookup[#Headers]))="","",INDEX(Salary_Calculation[Gross Salary Before Deductions],ROW()-ROW(Payslip_Lookup[#Headers])))</f>
        <v/>
      </c>
      <c r="U485" s="176" t="str">
        <f aca="false">IF(INDEX(Salary_Calculation[Source Row],ROW()-ROW(Payslip_Lookup[#Headers]))="","",INDEX(Salary_Calculation[missed_days_penalty],ROW()-ROW(Payslip_Lookup[#Headers])))</f>
        <v/>
      </c>
      <c r="V485" s="176" t="str">
        <f aca="false">IF(INDEX(Salary_Calculation[Source Row],ROW()-ROW(Payslip_Lookup[#Headers]))="","",INDEX(Salary_Calculation[Rider Balance],ROW()-ROW(Payslip_Lookup[#Headers])))</f>
        <v/>
      </c>
      <c r="W485" s="176" t="str">
        <f aca="false">IF(INDEX(Salary_Calculation[Source Row],ROW()-ROW(Payslip_Lookup[#Headers]))="","",INDEX(Salary_Calculation[stacking_deduction],ROW()-ROW(Payslip_Lookup[#Headers])))</f>
        <v/>
      </c>
      <c r="X485" s="176" t="str">
        <f aca="false">IF(INDEX(Salary_Calculation[Source Row],ROW()-ROW(Payslip_Lookup[#Headers]))="","",INDEX(Salary_Calculation[Other Deductions],ROW()-ROW(Payslip_Lookup[#Headers])))</f>
        <v/>
      </c>
      <c r="Y485" s="176" t="str">
        <f aca="false">IF(INDEX(Salary_Calculation[Source Row],ROW()-ROW(Payslip_Lookup[#Headers]))="","",INDEX(Salary_Calculation[Total Deductions],ROW()-ROW(Payslip_Lookup[#Headers])))</f>
        <v/>
      </c>
      <c r="Z485" s="176" t="str">
        <f aca="false">IF(INDEX(Salary_Calculation[Source Row],ROW()-ROW(Payslip_Lookup[#Headers]))="","",INDEX(Salary_Calculation[Final Salary],ROW()-ROW(Payslip_Lookup[#Headers])))</f>
        <v/>
      </c>
      <c r="AA485" s="176" t="str">
        <f aca="false">IF(INDEX(Salary_Calculation[Source Row],ROW()-ROW(Payslip_Lookup[#Headers]))="","",INDEX(Salary_Calculation[Negative Balance / Amount Due from Rider],ROW()-ROW(Payslip_Lookup[#Headers])))</f>
        <v/>
      </c>
      <c r="AB485" s="176" t="str">
        <f aca="false">IF(INDEX(Salary_Calculation[Source Row],ROW()-ROW(Payslip_Lookup[#Headers]))="","",INDEX(Salary_Calculation[Total Amount Due from Rider],ROW()-ROW(Payslip_Lookup[#Headers])))</f>
        <v/>
      </c>
      <c r="AC485" s="176" t="str">
        <f aca="false">IF(INDEX(Salary_Calculation[Source Row],ROW()-ROW(Payslip_Lookup[#Headers]))="","",INDEX(Salary_Calculation[Salary Before Other Deductions],ROW()-ROW(Payslip_Lookup[#Headers])))</f>
        <v/>
      </c>
      <c r="AD485" s="171" t="str">
        <f aca="false">IF(INDEX(Salary_Calculation[Source Row],ROW()-ROW(Payslip_Lookup[#Headers]))="","",INDEX(Salary_Calculation[Payment Status],ROW()-ROW(Payslip_Lookup[#Headers])))</f>
        <v/>
      </c>
      <c r="AE485" s="171" t="str">
        <f aca="false">IF(INDEX(Salary_Calculation[Source Row],ROW()-ROW(Payslip_Lookup[#Headers]))="","",INDEX(Salary_Calculation[Notes],ROW()-ROW(Payslip_Lookup[#Headers])))</f>
        <v/>
      </c>
      <c r="AF485" s="171" t="str">
        <f aca="false">IF(INDEX(Salary_Calculation[Source Row],ROW()-ROW(Payslip_Lookup[#Headers]))="","",INDEX(Salary_Calculation[Exception Reason],ROW()-ROW(Payslip_Lookup[#Headers])))</f>
        <v/>
      </c>
      <c r="AG485" s="173" t="str">
        <f aca="false">IF($AD485="Review Required",COUNTIF(AD$2:AD485,"Review Required"),"")</f>
        <v/>
      </c>
      <c r="AH485" s="173" t="str">
        <f aca="false">IF(AND($D485&lt;&gt;"",$B485=Payslip_Print!$C$2),MAX(AH$1:AH484)+1,"")</f>
        <v/>
      </c>
      <c r="AL485" s="178" t="str">
        <f aca="false">IFERROR(INDEX($D$2:$D$501,MATCH(ROW()-1,$AH$2:$AH$501,0)),"")</f>
        <v/>
      </c>
      <c r="AM485" s="179" t="str">
        <f aca="false">IF($Z485="","",IF(AND($C485&gt;=Dash_Start,$C485&lt;Dash_End),$Z485+ROW()/10000000,""))</f>
        <v/>
      </c>
    </row>
    <row r="486" customFormat="false" ht="14.25" hidden="false" customHeight="false" outlineLevel="0" collapsed="false">
      <c r="A486" s="171" t="str">
        <f aca="false">IF(Payslip_Lookup[[#This Row],[Rider ID]]="","",Payslip_Lookup[[#This Row],[Rider ID]]&amp;"|"&amp;Payslip_Lookup[[#This Row],[Month Key]])</f>
        <v/>
      </c>
      <c r="B486" s="172" t="str">
        <f aca="false">IF(ISNUMBER(Payslip_Lookup[[#This Row],[Salary Month]]),DATE(YEAR(Payslip_Lookup[[#This Row],[Salary Month]]),MONTH(Payslip_Lookup[[#This Row],[Salary Month]]),1),"")</f>
        <v/>
      </c>
      <c r="C486" s="172" t="str">
        <f aca="false">IF(INDEX(Salary_Calculation[Source Row],ROW()-ROW(Payslip_Lookup[#Headers]))="","",INDEX(Salary_Calculation[Salary Month],ROW()-ROW(Payslip_Lookup[#Headers])))</f>
        <v/>
      </c>
      <c r="D486" s="173" t="str">
        <f aca="false">IF(INDEX(Salary_Calculation[Source Row],ROW()-ROW(Payslip_Lookup[#Headers]))="","",INDEX(Salary_Calculation[Rider ID],ROW()-ROW(Payslip_Lookup[#Headers])))</f>
        <v/>
      </c>
      <c r="E486" s="171" t="str">
        <f aca="false">IF(INDEX(Salary_Calculation[Source Row],ROW()-ROW(Payslip_Lookup[#Headers]))="","",INDEX(Salary_Calculation[Rider Name],ROW()-ROW(Payslip_Lookup[#Headers])))</f>
        <v/>
      </c>
      <c r="F486" s="173" t="str">
        <f aca="false">IF(INDEX(Salary_Calculation[Source Row],ROW()-ROW(Payslip_Lookup[#Headers]))="","",INDEX(Salary_Calculation[Working Days],ROW()-ROW(Payslip_Lookup[#Headers])))</f>
        <v/>
      </c>
      <c r="G486" s="173" t="str">
        <f aca="false">IF(INDEX(Salary_Calculation[Source Row],ROW()-ROW(Payslip_Lookup[#Headers]))="","",INDEX(Salary_Calculation[Calendar Days],ROW()-ROW(Payslip_Lookup[#Headers])))</f>
        <v/>
      </c>
      <c r="H486" s="174" t="str">
        <f aca="false">IF(INDEX(Salary_Calculation[Source Row],ROW()-ROW(Payslip_Lookup[#Headers]))="","",INDEX(Salary_Calculation[Monthly Target Orders],ROW()-ROW(Payslip_Lookup[#Headers])))</f>
        <v/>
      </c>
      <c r="I486" s="174" t="str">
        <f aca="false">IF(INDEX(Salary_Calculation[Source Row],ROW()-ROW(Payslip_Lookup[#Headers]))="","",INDEX(Salary_Calculation[Rider Target Orders],ROW()-ROW(Payslip_Lookup[#Headers])))</f>
        <v/>
      </c>
      <c r="J486" s="175" t="str">
        <f aca="false">IF(INDEX(Salary_Calculation[Source Row],ROW()-ROW(Payslip_Lookup[#Headers]))="","",INDEX(Salary_Calculation[Completed Orders],ROW()-ROW(Payslip_Lookup[#Headers])))</f>
        <v/>
      </c>
      <c r="K486" s="174" t="str">
        <f aca="false">IF(INDEX(Salary_Calculation[Source Row],ROW()-ROW(Payslip_Lookup[#Headers]))="","",INDEX(Salary_Calculation[Base Order Rate],ROW()-ROW(Payslip_Lookup[#Headers])))</f>
        <v/>
      </c>
      <c r="L486" s="176" t="str">
        <f aca="false">IF(INDEX(Salary_Calculation[Source Row],ROW()-ROW(Payslip_Lookup[#Headers]))="","",INDEX(Salary_Calculation[Basic Payment],ROW()-ROW(Payslip_Lookup[#Headers])))</f>
        <v/>
      </c>
      <c r="M486" s="176" t="str">
        <f aca="false">IF(INDEX(Salary_Calculation[Source Row],ROW()-ROW(Payslip_Lookup[#Headers]))="","",INDEX(Salary_Calculation[Earned Salary],ROW()-ROW(Payslip_Lookup[#Headers])))</f>
        <v/>
      </c>
      <c r="N486" s="174" t="str">
        <f aca="false">IF(INDEX(Salary_Calculation[Source Row],ROW()-ROW(Payslip_Lookup[#Headers]))="","",INDEX(Salary_Calculation[Orders Counted at Base Rate],ROW()-ROW(Payslip_Lookup[#Headers])))</f>
        <v/>
      </c>
      <c r="O486" s="174" t="str">
        <f aca="false">IF(INDEX(Salary_Calculation[Source Row],ROW()-ROW(Payslip_Lookup[#Headers]))="","",INDEX(Salary_Calculation[Missing Orders],ROW()-ROW(Payslip_Lookup[#Headers])))</f>
        <v/>
      </c>
      <c r="P486" s="176" t="str">
        <f aca="false">IF(INDEX(Salary_Calculation[Source Row],ROW()-ROW(Payslip_Lookup[#Headers]))="","",INDEX(Salary_Calculation[Missing-Order Deduction],ROW()-ROW(Payslip_Lookup[#Headers])))</f>
        <v/>
      </c>
      <c r="Q486" s="174" t="str">
        <f aca="false">IF(INDEX(Salary_Calculation[Source Row],ROW()-ROW(Payslip_Lookup[#Headers]))="","",INDEX(Salary_Calculation[Extra Orders],ROW()-ROW(Payslip_Lookup[#Headers])))</f>
        <v/>
      </c>
      <c r="R486" s="176" t="str">
        <f aca="false">IF(INDEX(Salary_Calculation[Source Row],ROW()-ROW(Payslip_Lookup[#Headers]))="","",INDEX(Salary_Calculation[Extra-Order Bonus],ROW()-ROW(Payslip_Lookup[#Headers])))</f>
        <v/>
      </c>
      <c r="S486" s="176" t="str">
        <f aca="false">IF(INDEX(Salary_Calculation[Source Row],ROW()-ROW(Payslip_Lookup[#Headers]))="","",INDEX(Salary_Calculation[Basic Salary for Target],ROW()-ROW(Payslip_Lookup[#Headers])))</f>
        <v/>
      </c>
      <c r="T486" s="176" t="str">
        <f aca="false">IF(INDEX(Salary_Calculation[Source Row],ROW()-ROW(Payslip_Lookup[#Headers]))="","",INDEX(Salary_Calculation[Gross Salary Before Deductions],ROW()-ROW(Payslip_Lookup[#Headers])))</f>
        <v/>
      </c>
      <c r="U486" s="176" t="str">
        <f aca="false">IF(INDEX(Salary_Calculation[Source Row],ROW()-ROW(Payslip_Lookup[#Headers]))="","",INDEX(Salary_Calculation[missed_days_penalty],ROW()-ROW(Payslip_Lookup[#Headers])))</f>
        <v/>
      </c>
      <c r="V486" s="176" t="str">
        <f aca="false">IF(INDEX(Salary_Calculation[Source Row],ROW()-ROW(Payslip_Lookup[#Headers]))="","",INDEX(Salary_Calculation[Rider Balance],ROW()-ROW(Payslip_Lookup[#Headers])))</f>
        <v/>
      </c>
      <c r="W486" s="176" t="str">
        <f aca="false">IF(INDEX(Salary_Calculation[Source Row],ROW()-ROW(Payslip_Lookup[#Headers]))="","",INDEX(Salary_Calculation[stacking_deduction],ROW()-ROW(Payslip_Lookup[#Headers])))</f>
        <v/>
      </c>
      <c r="X486" s="176" t="str">
        <f aca="false">IF(INDEX(Salary_Calculation[Source Row],ROW()-ROW(Payslip_Lookup[#Headers]))="","",INDEX(Salary_Calculation[Other Deductions],ROW()-ROW(Payslip_Lookup[#Headers])))</f>
        <v/>
      </c>
      <c r="Y486" s="176" t="str">
        <f aca="false">IF(INDEX(Salary_Calculation[Source Row],ROW()-ROW(Payslip_Lookup[#Headers]))="","",INDEX(Salary_Calculation[Total Deductions],ROW()-ROW(Payslip_Lookup[#Headers])))</f>
        <v/>
      </c>
      <c r="Z486" s="176" t="str">
        <f aca="false">IF(INDEX(Salary_Calculation[Source Row],ROW()-ROW(Payslip_Lookup[#Headers]))="","",INDEX(Salary_Calculation[Final Salary],ROW()-ROW(Payslip_Lookup[#Headers])))</f>
        <v/>
      </c>
      <c r="AA486" s="176" t="str">
        <f aca="false">IF(INDEX(Salary_Calculation[Source Row],ROW()-ROW(Payslip_Lookup[#Headers]))="","",INDEX(Salary_Calculation[Negative Balance / Amount Due from Rider],ROW()-ROW(Payslip_Lookup[#Headers])))</f>
        <v/>
      </c>
      <c r="AB486" s="176" t="str">
        <f aca="false">IF(INDEX(Salary_Calculation[Source Row],ROW()-ROW(Payslip_Lookup[#Headers]))="","",INDEX(Salary_Calculation[Total Amount Due from Rider],ROW()-ROW(Payslip_Lookup[#Headers])))</f>
        <v/>
      </c>
      <c r="AC486" s="176" t="str">
        <f aca="false">IF(INDEX(Salary_Calculation[Source Row],ROW()-ROW(Payslip_Lookup[#Headers]))="","",INDEX(Salary_Calculation[Salary Before Other Deductions],ROW()-ROW(Payslip_Lookup[#Headers])))</f>
        <v/>
      </c>
      <c r="AD486" s="171" t="str">
        <f aca="false">IF(INDEX(Salary_Calculation[Source Row],ROW()-ROW(Payslip_Lookup[#Headers]))="","",INDEX(Salary_Calculation[Payment Status],ROW()-ROW(Payslip_Lookup[#Headers])))</f>
        <v/>
      </c>
      <c r="AE486" s="171" t="str">
        <f aca="false">IF(INDEX(Salary_Calculation[Source Row],ROW()-ROW(Payslip_Lookup[#Headers]))="","",INDEX(Salary_Calculation[Notes],ROW()-ROW(Payslip_Lookup[#Headers])))</f>
        <v/>
      </c>
      <c r="AF486" s="171" t="str">
        <f aca="false">IF(INDEX(Salary_Calculation[Source Row],ROW()-ROW(Payslip_Lookup[#Headers]))="","",INDEX(Salary_Calculation[Exception Reason],ROW()-ROW(Payslip_Lookup[#Headers])))</f>
        <v/>
      </c>
      <c r="AG486" s="173" t="str">
        <f aca="false">IF($AD486="Review Required",COUNTIF(AD$2:AD486,"Review Required"),"")</f>
        <v/>
      </c>
      <c r="AH486" s="173" t="str">
        <f aca="false">IF(AND($D486&lt;&gt;"",$B486=Payslip_Print!$C$2),MAX(AH$1:AH485)+1,"")</f>
        <v/>
      </c>
      <c r="AL486" s="178" t="str">
        <f aca="false">IFERROR(INDEX($D$2:$D$501,MATCH(ROW()-1,$AH$2:$AH$501,0)),"")</f>
        <v/>
      </c>
      <c r="AM486" s="179" t="str">
        <f aca="false">IF($Z486="","",IF(AND($C486&gt;=Dash_Start,$C486&lt;Dash_End),$Z486+ROW()/10000000,""))</f>
        <v/>
      </c>
    </row>
    <row r="487" customFormat="false" ht="14.25" hidden="false" customHeight="false" outlineLevel="0" collapsed="false">
      <c r="A487" s="171" t="str">
        <f aca="false">IF(Payslip_Lookup[[#This Row],[Rider ID]]="","",Payslip_Lookup[[#This Row],[Rider ID]]&amp;"|"&amp;Payslip_Lookup[[#This Row],[Month Key]])</f>
        <v/>
      </c>
      <c r="B487" s="172" t="str">
        <f aca="false">IF(ISNUMBER(Payslip_Lookup[[#This Row],[Salary Month]]),DATE(YEAR(Payslip_Lookup[[#This Row],[Salary Month]]),MONTH(Payslip_Lookup[[#This Row],[Salary Month]]),1),"")</f>
        <v/>
      </c>
      <c r="C487" s="172" t="str">
        <f aca="false">IF(INDEX(Salary_Calculation[Source Row],ROW()-ROW(Payslip_Lookup[#Headers]))="","",INDEX(Salary_Calculation[Salary Month],ROW()-ROW(Payslip_Lookup[#Headers])))</f>
        <v/>
      </c>
      <c r="D487" s="173" t="str">
        <f aca="false">IF(INDEX(Salary_Calculation[Source Row],ROW()-ROW(Payslip_Lookup[#Headers]))="","",INDEX(Salary_Calculation[Rider ID],ROW()-ROW(Payslip_Lookup[#Headers])))</f>
        <v/>
      </c>
      <c r="E487" s="171" t="str">
        <f aca="false">IF(INDEX(Salary_Calculation[Source Row],ROW()-ROW(Payslip_Lookup[#Headers]))="","",INDEX(Salary_Calculation[Rider Name],ROW()-ROW(Payslip_Lookup[#Headers])))</f>
        <v/>
      </c>
      <c r="F487" s="173" t="str">
        <f aca="false">IF(INDEX(Salary_Calculation[Source Row],ROW()-ROW(Payslip_Lookup[#Headers]))="","",INDEX(Salary_Calculation[Working Days],ROW()-ROW(Payslip_Lookup[#Headers])))</f>
        <v/>
      </c>
      <c r="G487" s="173" t="str">
        <f aca="false">IF(INDEX(Salary_Calculation[Source Row],ROW()-ROW(Payslip_Lookup[#Headers]))="","",INDEX(Salary_Calculation[Calendar Days],ROW()-ROW(Payslip_Lookup[#Headers])))</f>
        <v/>
      </c>
      <c r="H487" s="174" t="str">
        <f aca="false">IF(INDEX(Salary_Calculation[Source Row],ROW()-ROW(Payslip_Lookup[#Headers]))="","",INDEX(Salary_Calculation[Monthly Target Orders],ROW()-ROW(Payslip_Lookup[#Headers])))</f>
        <v/>
      </c>
      <c r="I487" s="174" t="str">
        <f aca="false">IF(INDEX(Salary_Calculation[Source Row],ROW()-ROW(Payslip_Lookup[#Headers]))="","",INDEX(Salary_Calculation[Rider Target Orders],ROW()-ROW(Payslip_Lookup[#Headers])))</f>
        <v/>
      </c>
      <c r="J487" s="175" t="str">
        <f aca="false">IF(INDEX(Salary_Calculation[Source Row],ROW()-ROW(Payslip_Lookup[#Headers]))="","",INDEX(Salary_Calculation[Completed Orders],ROW()-ROW(Payslip_Lookup[#Headers])))</f>
        <v/>
      </c>
      <c r="K487" s="174" t="str">
        <f aca="false">IF(INDEX(Salary_Calculation[Source Row],ROW()-ROW(Payslip_Lookup[#Headers]))="","",INDEX(Salary_Calculation[Base Order Rate],ROW()-ROW(Payslip_Lookup[#Headers])))</f>
        <v/>
      </c>
      <c r="L487" s="176" t="str">
        <f aca="false">IF(INDEX(Salary_Calculation[Source Row],ROW()-ROW(Payslip_Lookup[#Headers]))="","",INDEX(Salary_Calculation[Basic Payment],ROW()-ROW(Payslip_Lookup[#Headers])))</f>
        <v/>
      </c>
      <c r="M487" s="176" t="str">
        <f aca="false">IF(INDEX(Salary_Calculation[Source Row],ROW()-ROW(Payslip_Lookup[#Headers]))="","",INDEX(Salary_Calculation[Earned Salary],ROW()-ROW(Payslip_Lookup[#Headers])))</f>
        <v/>
      </c>
      <c r="N487" s="174" t="str">
        <f aca="false">IF(INDEX(Salary_Calculation[Source Row],ROW()-ROW(Payslip_Lookup[#Headers]))="","",INDEX(Salary_Calculation[Orders Counted at Base Rate],ROW()-ROW(Payslip_Lookup[#Headers])))</f>
        <v/>
      </c>
      <c r="O487" s="174" t="str">
        <f aca="false">IF(INDEX(Salary_Calculation[Source Row],ROW()-ROW(Payslip_Lookup[#Headers]))="","",INDEX(Salary_Calculation[Missing Orders],ROW()-ROW(Payslip_Lookup[#Headers])))</f>
        <v/>
      </c>
      <c r="P487" s="176" t="str">
        <f aca="false">IF(INDEX(Salary_Calculation[Source Row],ROW()-ROW(Payslip_Lookup[#Headers]))="","",INDEX(Salary_Calculation[Missing-Order Deduction],ROW()-ROW(Payslip_Lookup[#Headers])))</f>
        <v/>
      </c>
      <c r="Q487" s="174" t="str">
        <f aca="false">IF(INDEX(Salary_Calculation[Source Row],ROW()-ROW(Payslip_Lookup[#Headers]))="","",INDEX(Salary_Calculation[Extra Orders],ROW()-ROW(Payslip_Lookup[#Headers])))</f>
        <v/>
      </c>
      <c r="R487" s="176" t="str">
        <f aca="false">IF(INDEX(Salary_Calculation[Source Row],ROW()-ROW(Payslip_Lookup[#Headers]))="","",INDEX(Salary_Calculation[Extra-Order Bonus],ROW()-ROW(Payslip_Lookup[#Headers])))</f>
        <v/>
      </c>
      <c r="S487" s="176" t="str">
        <f aca="false">IF(INDEX(Salary_Calculation[Source Row],ROW()-ROW(Payslip_Lookup[#Headers]))="","",INDEX(Salary_Calculation[Basic Salary for Target],ROW()-ROW(Payslip_Lookup[#Headers])))</f>
        <v/>
      </c>
      <c r="T487" s="176" t="str">
        <f aca="false">IF(INDEX(Salary_Calculation[Source Row],ROW()-ROW(Payslip_Lookup[#Headers]))="","",INDEX(Salary_Calculation[Gross Salary Before Deductions],ROW()-ROW(Payslip_Lookup[#Headers])))</f>
        <v/>
      </c>
      <c r="U487" s="176" t="str">
        <f aca="false">IF(INDEX(Salary_Calculation[Source Row],ROW()-ROW(Payslip_Lookup[#Headers]))="","",INDEX(Salary_Calculation[missed_days_penalty],ROW()-ROW(Payslip_Lookup[#Headers])))</f>
        <v/>
      </c>
      <c r="V487" s="176" t="str">
        <f aca="false">IF(INDEX(Salary_Calculation[Source Row],ROW()-ROW(Payslip_Lookup[#Headers]))="","",INDEX(Salary_Calculation[Rider Balance],ROW()-ROW(Payslip_Lookup[#Headers])))</f>
        <v/>
      </c>
      <c r="W487" s="176" t="str">
        <f aca="false">IF(INDEX(Salary_Calculation[Source Row],ROW()-ROW(Payslip_Lookup[#Headers]))="","",INDEX(Salary_Calculation[stacking_deduction],ROW()-ROW(Payslip_Lookup[#Headers])))</f>
        <v/>
      </c>
      <c r="X487" s="176" t="str">
        <f aca="false">IF(INDEX(Salary_Calculation[Source Row],ROW()-ROW(Payslip_Lookup[#Headers]))="","",INDEX(Salary_Calculation[Other Deductions],ROW()-ROW(Payslip_Lookup[#Headers])))</f>
        <v/>
      </c>
      <c r="Y487" s="176" t="str">
        <f aca="false">IF(INDEX(Salary_Calculation[Source Row],ROW()-ROW(Payslip_Lookup[#Headers]))="","",INDEX(Salary_Calculation[Total Deductions],ROW()-ROW(Payslip_Lookup[#Headers])))</f>
        <v/>
      </c>
      <c r="Z487" s="176" t="str">
        <f aca="false">IF(INDEX(Salary_Calculation[Source Row],ROW()-ROW(Payslip_Lookup[#Headers]))="","",INDEX(Salary_Calculation[Final Salary],ROW()-ROW(Payslip_Lookup[#Headers])))</f>
        <v/>
      </c>
      <c r="AA487" s="176" t="str">
        <f aca="false">IF(INDEX(Salary_Calculation[Source Row],ROW()-ROW(Payslip_Lookup[#Headers]))="","",INDEX(Salary_Calculation[Negative Balance / Amount Due from Rider],ROW()-ROW(Payslip_Lookup[#Headers])))</f>
        <v/>
      </c>
      <c r="AB487" s="176" t="str">
        <f aca="false">IF(INDEX(Salary_Calculation[Source Row],ROW()-ROW(Payslip_Lookup[#Headers]))="","",INDEX(Salary_Calculation[Total Amount Due from Rider],ROW()-ROW(Payslip_Lookup[#Headers])))</f>
        <v/>
      </c>
      <c r="AC487" s="176" t="str">
        <f aca="false">IF(INDEX(Salary_Calculation[Source Row],ROW()-ROW(Payslip_Lookup[#Headers]))="","",INDEX(Salary_Calculation[Salary Before Other Deductions],ROW()-ROW(Payslip_Lookup[#Headers])))</f>
        <v/>
      </c>
      <c r="AD487" s="171" t="str">
        <f aca="false">IF(INDEX(Salary_Calculation[Source Row],ROW()-ROW(Payslip_Lookup[#Headers]))="","",INDEX(Salary_Calculation[Payment Status],ROW()-ROW(Payslip_Lookup[#Headers])))</f>
        <v/>
      </c>
      <c r="AE487" s="171" t="str">
        <f aca="false">IF(INDEX(Salary_Calculation[Source Row],ROW()-ROW(Payslip_Lookup[#Headers]))="","",INDEX(Salary_Calculation[Notes],ROW()-ROW(Payslip_Lookup[#Headers])))</f>
        <v/>
      </c>
      <c r="AF487" s="171" t="str">
        <f aca="false">IF(INDEX(Salary_Calculation[Source Row],ROW()-ROW(Payslip_Lookup[#Headers]))="","",INDEX(Salary_Calculation[Exception Reason],ROW()-ROW(Payslip_Lookup[#Headers])))</f>
        <v/>
      </c>
      <c r="AG487" s="173" t="str">
        <f aca="false">IF($AD487="Review Required",COUNTIF(AD$2:AD487,"Review Required"),"")</f>
        <v/>
      </c>
      <c r="AH487" s="173" t="str">
        <f aca="false">IF(AND($D487&lt;&gt;"",$B487=Payslip_Print!$C$2),MAX(AH$1:AH486)+1,"")</f>
        <v/>
      </c>
      <c r="AL487" s="178" t="str">
        <f aca="false">IFERROR(INDEX($D$2:$D$501,MATCH(ROW()-1,$AH$2:$AH$501,0)),"")</f>
        <v/>
      </c>
      <c r="AM487" s="179" t="str">
        <f aca="false">IF($Z487="","",IF(AND($C487&gt;=Dash_Start,$C487&lt;Dash_End),$Z487+ROW()/10000000,""))</f>
        <v/>
      </c>
    </row>
    <row r="488" customFormat="false" ht="14.25" hidden="false" customHeight="false" outlineLevel="0" collapsed="false">
      <c r="A488" s="171" t="str">
        <f aca="false">IF(Payslip_Lookup[[#This Row],[Rider ID]]="","",Payslip_Lookup[[#This Row],[Rider ID]]&amp;"|"&amp;Payslip_Lookup[[#This Row],[Month Key]])</f>
        <v/>
      </c>
      <c r="B488" s="172" t="str">
        <f aca="false">IF(ISNUMBER(Payslip_Lookup[[#This Row],[Salary Month]]),DATE(YEAR(Payslip_Lookup[[#This Row],[Salary Month]]),MONTH(Payslip_Lookup[[#This Row],[Salary Month]]),1),"")</f>
        <v/>
      </c>
      <c r="C488" s="172" t="str">
        <f aca="false">IF(INDEX(Salary_Calculation[Source Row],ROW()-ROW(Payslip_Lookup[#Headers]))="","",INDEX(Salary_Calculation[Salary Month],ROW()-ROW(Payslip_Lookup[#Headers])))</f>
        <v/>
      </c>
      <c r="D488" s="173" t="str">
        <f aca="false">IF(INDEX(Salary_Calculation[Source Row],ROW()-ROW(Payslip_Lookup[#Headers]))="","",INDEX(Salary_Calculation[Rider ID],ROW()-ROW(Payslip_Lookup[#Headers])))</f>
        <v/>
      </c>
      <c r="E488" s="171" t="str">
        <f aca="false">IF(INDEX(Salary_Calculation[Source Row],ROW()-ROW(Payslip_Lookup[#Headers]))="","",INDEX(Salary_Calculation[Rider Name],ROW()-ROW(Payslip_Lookup[#Headers])))</f>
        <v/>
      </c>
      <c r="F488" s="173" t="str">
        <f aca="false">IF(INDEX(Salary_Calculation[Source Row],ROW()-ROW(Payslip_Lookup[#Headers]))="","",INDEX(Salary_Calculation[Working Days],ROW()-ROW(Payslip_Lookup[#Headers])))</f>
        <v/>
      </c>
      <c r="G488" s="173" t="str">
        <f aca="false">IF(INDEX(Salary_Calculation[Source Row],ROW()-ROW(Payslip_Lookup[#Headers]))="","",INDEX(Salary_Calculation[Calendar Days],ROW()-ROW(Payslip_Lookup[#Headers])))</f>
        <v/>
      </c>
      <c r="H488" s="174" t="str">
        <f aca="false">IF(INDEX(Salary_Calculation[Source Row],ROW()-ROW(Payslip_Lookup[#Headers]))="","",INDEX(Salary_Calculation[Monthly Target Orders],ROW()-ROW(Payslip_Lookup[#Headers])))</f>
        <v/>
      </c>
      <c r="I488" s="174" t="str">
        <f aca="false">IF(INDEX(Salary_Calculation[Source Row],ROW()-ROW(Payslip_Lookup[#Headers]))="","",INDEX(Salary_Calculation[Rider Target Orders],ROW()-ROW(Payslip_Lookup[#Headers])))</f>
        <v/>
      </c>
      <c r="J488" s="175" t="str">
        <f aca="false">IF(INDEX(Salary_Calculation[Source Row],ROW()-ROW(Payslip_Lookup[#Headers]))="","",INDEX(Salary_Calculation[Completed Orders],ROW()-ROW(Payslip_Lookup[#Headers])))</f>
        <v/>
      </c>
      <c r="K488" s="174" t="str">
        <f aca="false">IF(INDEX(Salary_Calculation[Source Row],ROW()-ROW(Payslip_Lookup[#Headers]))="","",INDEX(Salary_Calculation[Base Order Rate],ROW()-ROW(Payslip_Lookup[#Headers])))</f>
        <v/>
      </c>
      <c r="L488" s="176" t="str">
        <f aca="false">IF(INDEX(Salary_Calculation[Source Row],ROW()-ROW(Payslip_Lookup[#Headers]))="","",INDEX(Salary_Calculation[Basic Payment],ROW()-ROW(Payslip_Lookup[#Headers])))</f>
        <v/>
      </c>
      <c r="M488" s="176" t="str">
        <f aca="false">IF(INDEX(Salary_Calculation[Source Row],ROW()-ROW(Payslip_Lookup[#Headers]))="","",INDEX(Salary_Calculation[Earned Salary],ROW()-ROW(Payslip_Lookup[#Headers])))</f>
        <v/>
      </c>
      <c r="N488" s="174" t="str">
        <f aca="false">IF(INDEX(Salary_Calculation[Source Row],ROW()-ROW(Payslip_Lookup[#Headers]))="","",INDEX(Salary_Calculation[Orders Counted at Base Rate],ROW()-ROW(Payslip_Lookup[#Headers])))</f>
        <v/>
      </c>
      <c r="O488" s="174" t="str">
        <f aca="false">IF(INDEX(Salary_Calculation[Source Row],ROW()-ROW(Payslip_Lookup[#Headers]))="","",INDEX(Salary_Calculation[Missing Orders],ROW()-ROW(Payslip_Lookup[#Headers])))</f>
        <v/>
      </c>
      <c r="P488" s="176" t="str">
        <f aca="false">IF(INDEX(Salary_Calculation[Source Row],ROW()-ROW(Payslip_Lookup[#Headers]))="","",INDEX(Salary_Calculation[Missing-Order Deduction],ROW()-ROW(Payslip_Lookup[#Headers])))</f>
        <v/>
      </c>
      <c r="Q488" s="174" t="str">
        <f aca="false">IF(INDEX(Salary_Calculation[Source Row],ROW()-ROW(Payslip_Lookup[#Headers]))="","",INDEX(Salary_Calculation[Extra Orders],ROW()-ROW(Payslip_Lookup[#Headers])))</f>
        <v/>
      </c>
      <c r="R488" s="176" t="str">
        <f aca="false">IF(INDEX(Salary_Calculation[Source Row],ROW()-ROW(Payslip_Lookup[#Headers]))="","",INDEX(Salary_Calculation[Extra-Order Bonus],ROW()-ROW(Payslip_Lookup[#Headers])))</f>
        <v/>
      </c>
      <c r="S488" s="176" t="str">
        <f aca="false">IF(INDEX(Salary_Calculation[Source Row],ROW()-ROW(Payslip_Lookup[#Headers]))="","",INDEX(Salary_Calculation[Basic Salary for Target],ROW()-ROW(Payslip_Lookup[#Headers])))</f>
        <v/>
      </c>
      <c r="T488" s="176" t="str">
        <f aca="false">IF(INDEX(Salary_Calculation[Source Row],ROW()-ROW(Payslip_Lookup[#Headers]))="","",INDEX(Salary_Calculation[Gross Salary Before Deductions],ROW()-ROW(Payslip_Lookup[#Headers])))</f>
        <v/>
      </c>
      <c r="U488" s="176" t="str">
        <f aca="false">IF(INDEX(Salary_Calculation[Source Row],ROW()-ROW(Payslip_Lookup[#Headers]))="","",INDEX(Salary_Calculation[missed_days_penalty],ROW()-ROW(Payslip_Lookup[#Headers])))</f>
        <v/>
      </c>
      <c r="V488" s="176" t="str">
        <f aca="false">IF(INDEX(Salary_Calculation[Source Row],ROW()-ROW(Payslip_Lookup[#Headers]))="","",INDEX(Salary_Calculation[Rider Balance],ROW()-ROW(Payslip_Lookup[#Headers])))</f>
        <v/>
      </c>
      <c r="W488" s="176" t="str">
        <f aca="false">IF(INDEX(Salary_Calculation[Source Row],ROW()-ROW(Payslip_Lookup[#Headers]))="","",INDEX(Salary_Calculation[stacking_deduction],ROW()-ROW(Payslip_Lookup[#Headers])))</f>
        <v/>
      </c>
      <c r="X488" s="176" t="str">
        <f aca="false">IF(INDEX(Salary_Calculation[Source Row],ROW()-ROW(Payslip_Lookup[#Headers]))="","",INDEX(Salary_Calculation[Other Deductions],ROW()-ROW(Payslip_Lookup[#Headers])))</f>
        <v/>
      </c>
      <c r="Y488" s="176" t="str">
        <f aca="false">IF(INDEX(Salary_Calculation[Source Row],ROW()-ROW(Payslip_Lookup[#Headers]))="","",INDEX(Salary_Calculation[Total Deductions],ROW()-ROW(Payslip_Lookup[#Headers])))</f>
        <v/>
      </c>
      <c r="Z488" s="176" t="str">
        <f aca="false">IF(INDEX(Salary_Calculation[Source Row],ROW()-ROW(Payslip_Lookup[#Headers]))="","",INDEX(Salary_Calculation[Final Salary],ROW()-ROW(Payslip_Lookup[#Headers])))</f>
        <v/>
      </c>
      <c r="AA488" s="176" t="str">
        <f aca="false">IF(INDEX(Salary_Calculation[Source Row],ROW()-ROW(Payslip_Lookup[#Headers]))="","",INDEX(Salary_Calculation[Negative Balance / Amount Due from Rider],ROW()-ROW(Payslip_Lookup[#Headers])))</f>
        <v/>
      </c>
      <c r="AB488" s="176" t="str">
        <f aca="false">IF(INDEX(Salary_Calculation[Source Row],ROW()-ROW(Payslip_Lookup[#Headers]))="","",INDEX(Salary_Calculation[Total Amount Due from Rider],ROW()-ROW(Payslip_Lookup[#Headers])))</f>
        <v/>
      </c>
      <c r="AC488" s="176" t="str">
        <f aca="false">IF(INDEX(Salary_Calculation[Source Row],ROW()-ROW(Payslip_Lookup[#Headers]))="","",INDEX(Salary_Calculation[Salary Before Other Deductions],ROW()-ROW(Payslip_Lookup[#Headers])))</f>
        <v/>
      </c>
      <c r="AD488" s="171" t="str">
        <f aca="false">IF(INDEX(Salary_Calculation[Source Row],ROW()-ROW(Payslip_Lookup[#Headers]))="","",INDEX(Salary_Calculation[Payment Status],ROW()-ROW(Payslip_Lookup[#Headers])))</f>
        <v/>
      </c>
      <c r="AE488" s="171" t="str">
        <f aca="false">IF(INDEX(Salary_Calculation[Source Row],ROW()-ROW(Payslip_Lookup[#Headers]))="","",INDEX(Salary_Calculation[Notes],ROW()-ROW(Payslip_Lookup[#Headers])))</f>
        <v/>
      </c>
      <c r="AF488" s="171" t="str">
        <f aca="false">IF(INDEX(Salary_Calculation[Source Row],ROW()-ROW(Payslip_Lookup[#Headers]))="","",INDEX(Salary_Calculation[Exception Reason],ROW()-ROW(Payslip_Lookup[#Headers])))</f>
        <v/>
      </c>
      <c r="AG488" s="173" t="str">
        <f aca="false">IF($AD488="Review Required",COUNTIF(AD$2:AD488,"Review Required"),"")</f>
        <v/>
      </c>
      <c r="AH488" s="173" t="str">
        <f aca="false">IF(AND($D488&lt;&gt;"",$B488=Payslip_Print!$C$2),MAX(AH$1:AH487)+1,"")</f>
        <v/>
      </c>
      <c r="AL488" s="178" t="str">
        <f aca="false">IFERROR(INDEX($D$2:$D$501,MATCH(ROW()-1,$AH$2:$AH$501,0)),"")</f>
        <v/>
      </c>
      <c r="AM488" s="179" t="str">
        <f aca="false">IF($Z488="","",IF(AND($C488&gt;=Dash_Start,$C488&lt;Dash_End),$Z488+ROW()/10000000,""))</f>
        <v/>
      </c>
    </row>
    <row r="489" customFormat="false" ht="14.25" hidden="false" customHeight="false" outlineLevel="0" collapsed="false">
      <c r="A489" s="171" t="str">
        <f aca="false">IF(Payslip_Lookup[[#This Row],[Rider ID]]="","",Payslip_Lookup[[#This Row],[Rider ID]]&amp;"|"&amp;Payslip_Lookup[[#This Row],[Month Key]])</f>
        <v/>
      </c>
      <c r="B489" s="172" t="str">
        <f aca="false">IF(ISNUMBER(Payslip_Lookup[[#This Row],[Salary Month]]),DATE(YEAR(Payslip_Lookup[[#This Row],[Salary Month]]),MONTH(Payslip_Lookup[[#This Row],[Salary Month]]),1),"")</f>
        <v/>
      </c>
      <c r="C489" s="172" t="str">
        <f aca="false">IF(INDEX(Salary_Calculation[Source Row],ROW()-ROW(Payslip_Lookup[#Headers]))="","",INDEX(Salary_Calculation[Salary Month],ROW()-ROW(Payslip_Lookup[#Headers])))</f>
        <v/>
      </c>
      <c r="D489" s="173" t="str">
        <f aca="false">IF(INDEX(Salary_Calculation[Source Row],ROW()-ROW(Payslip_Lookup[#Headers]))="","",INDEX(Salary_Calculation[Rider ID],ROW()-ROW(Payslip_Lookup[#Headers])))</f>
        <v/>
      </c>
      <c r="E489" s="171" t="str">
        <f aca="false">IF(INDEX(Salary_Calculation[Source Row],ROW()-ROW(Payslip_Lookup[#Headers]))="","",INDEX(Salary_Calculation[Rider Name],ROW()-ROW(Payslip_Lookup[#Headers])))</f>
        <v/>
      </c>
      <c r="F489" s="173" t="str">
        <f aca="false">IF(INDEX(Salary_Calculation[Source Row],ROW()-ROW(Payslip_Lookup[#Headers]))="","",INDEX(Salary_Calculation[Working Days],ROW()-ROW(Payslip_Lookup[#Headers])))</f>
        <v/>
      </c>
      <c r="G489" s="173" t="str">
        <f aca="false">IF(INDEX(Salary_Calculation[Source Row],ROW()-ROW(Payslip_Lookup[#Headers]))="","",INDEX(Salary_Calculation[Calendar Days],ROW()-ROW(Payslip_Lookup[#Headers])))</f>
        <v/>
      </c>
      <c r="H489" s="174" t="str">
        <f aca="false">IF(INDEX(Salary_Calculation[Source Row],ROW()-ROW(Payslip_Lookup[#Headers]))="","",INDEX(Salary_Calculation[Monthly Target Orders],ROW()-ROW(Payslip_Lookup[#Headers])))</f>
        <v/>
      </c>
      <c r="I489" s="174" t="str">
        <f aca="false">IF(INDEX(Salary_Calculation[Source Row],ROW()-ROW(Payslip_Lookup[#Headers]))="","",INDEX(Salary_Calculation[Rider Target Orders],ROW()-ROW(Payslip_Lookup[#Headers])))</f>
        <v/>
      </c>
      <c r="J489" s="175" t="str">
        <f aca="false">IF(INDEX(Salary_Calculation[Source Row],ROW()-ROW(Payslip_Lookup[#Headers]))="","",INDEX(Salary_Calculation[Completed Orders],ROW()-ROW(Payslip_Lookup[#Headers])))</f>
        <v/>
      </c>
      <c r="K489" s="174" t="str">
        <f aca="false">IF(INDEX(Salary_Calculation[Source Row],ROW()-ROW(Payslip_Lookup[#Headers]))="","",INDEX(Salary_Calculation[Base Order Rate],ROW()-ROW(Payslip_Lookup[#Headers])))</f>
        <v/>
      </c>
      <c r="L489" s="176" t="str">
        <f aca="false">IF(INDEX(Salary_Calculation[Source Row],ROW()-ROW(Payslip_Lookup[#Headers]))="","",INDEX(Salary_Calculation[Basic Payment],ROW()-ROW(Payslip_Lookup[#Headers])))</f>
        <v/>
      </c>
      <c r="M489" s="176" t="str">
        <f aca="false">IF(INDEX(Salary_Calculation[Source Row],ROW()-ROW(Payslip_Lookup[#Headers]))="","",INDEX(Salary_Calculation[Earned Salary],ROW()-ROW(Payslip_Lookup[#Headers])))</f>
        <v/>
      </c>
      <c r="N489" s="174" t="str">
        <f aca="false">IF(INDEX(Salary_Calculation[Source Row],ROW()-ROW(Payslip_Lookup[#Headers]))="","",INDEX(Salary_Calculation[Orders Counted at Base Rate],ROW()-ROW(Payslip_Lookup[#Headers])))</f>
        <v/>
      </c>
      <c r="O489" s="174" t="str">
        <f aca="false">IF(INDEX(Salary_Calculation[Source Row],ROW()-ROW(Payslip_Lookup[#Headers]))="","",INDEX(Salary_Calculation[Missing Orders],ROW()-ROW(Payslip_Lookup[#Headers])))</f>
        <v/>
      </c>
      <c r="P489" s="176" t="str">
        <f aca="false">IF(INDEX(Salary_Calculation[Source Row],ROW()-ROW(Payslip_Lookup[#Headers]))="","",INDEX(Salary_Calculation[Missing-Order Deduction],ROW()-ROW(Payslip_Lookup[#Headers])))</f>
        <v/>
      </c>
      <c r="Q489" s="174" t="str">
        <f aca="false">IF(INDEX(Salary_Calculation[Source Row],ROW()-ROW(Payslip_Lookup[#Headers]))="","",INDEX(Salary_Calculation[Extra Orders],ROW()-ROW(Payslip_Lookup[#Headers])))</f>
        <v/>
      </c>
      <c r="R489" s="176" t="str">
        <f aca="false">IF(INDEX(Salary_Calculation[Source Row],ROW()-ROW(Payslip_Lookup[#Headers]))="","",INDEX(Salary_Calculation[Extra-Order Bonus],ROW()-ROW(Payslip_Lookup[#Headers])))</f>
        <v/>
      </c>
      <c r="S489" s="176" t="str">
        <f aca="false">IF(INDEX(Salary_Calculation[Source Row],ROW()-ROW(Payslip_Lookup[#Headers]))="","",INDEX(Salary_Calculation[Basic Salary for Target],ROW()-ROW(Payslip_Lookup[#Headers])))</f>
        <v/>
      </c>
      <c r="T489" s="176" t="str">
        <f aca="false">IF(INDEX(Salary_Calculation[Source Row],ROW()-ROW(Payslip_Lookup[#Headers]))="","",INDEX(Salary_Calculation[Gross Salary Before Deductions],ROW()-ROW(Payslip_Lookup[#Headers])))</f>
        <v/>
      </c>
      <c r="U489" s="176" t="str">
        <f aca="false">IF(INDEX(Salary_Calculation[Source Row],ROW()-ROW(Payslip_Lookup[#Headers]))="","",INDEX(Salary_Calculation[missed_days_penalty],ROW()-ROW(Payslip_Lookup[#Headers])))</f>
        <v/>
      </c>
      <c r="V489" s="176" t="str">
        <f aca="false">IF(INDEX(Salary_Calculation[Source Row],ROW()-ROW(Payslip_Lookup[#Headers]))="","",INDEX(Salary_Calculation[Rider Balance],ROW()-ROW(Payslip_Lookup[#Headers])))</f>
        <v/>
      </c>
      <c r="W489" s="176" t="str">
        <f aca="false">IF(INDEX(Salary_Calculation[Source Row],ROW()-ROW(Payslip_Lookup[#Headers]))="","",INDEX(Salary_Calculation[stacking_deduction],ROW()-ROW(Payslip_Lookup[#Headers])))</f>
        <v/>
      </c>
      <c r="X489" s="176" t="str">
        <f aca="false">IF(INDEX(Salary_Calculation[Source Row],ROW()-ROW(Payslip_Lookup[#Headers]))="","",INDEX(Salary_Calculation[Other Deductions],ROW()-ROW(Payslip_Lookup[#Headers])))</f>
        <v/>
      </c>
      <c r="Y489" s="176" t="str">
        <f aca="false">IF(INDEX(Salary_Calculation[Source Row],ROW()-ROW(Payslip_Lookup[#Headers]))="","",INDEX(Salary_Calculation[Total Deductions],ROW()-ROW(Payslip_Lookup[#Headers])))</f>
        <v/>
      </c>
      <c r="Z489" s="176" t="str">
        <f aca="false">IF(INDEX(Salary_Calculation[Source Row],ROW()-ROW(Payslip_Lookup[#Headers]))="","",INDEX(Salary_Calculation[Final Salary],ROW()-ROW(Payslip_Lookup[#Headers])))</f>
        <v/>
      </c>
      <c r="AA489" s="176" t="str">
        <f aca="false">IF(INDEX(Salary_Calculation[Source Row],ROW()-ROW(Payslip_Lookup[#Headers]))="","",INDEX(Salary_Calculation[Negative Balance / Amount Due from Rider],ROW()-ROW(Payslip_Lookup[#Headers])))</f>
        <v/>
      </c>
      <c r="AB489" s="176" t="str">
        <f aca="false">IF(INDEX(Salary_Calculation[Source Row],ROW()-ROW(Payslip_Lookup[#Headers]))="","",INDEX(Salary_Calculation[Total Amount Due from Rider],ROW()-ROW(Payslip_Lookup[#Headers])))</f>
        <v/>
      </c>
      <c r="AC489" s="176" t="str">
        <f aca="false">IF(INDEX(Salary_Calculation[Source Row],ROW()-ROW(Payslip_Lookup[#Headers]))="","",INDEX(Salary_Calculation[Salary Before Other Deductions],ROW()-ROW(Payslip_Lookup[#Headers])))</f>
        <v/>
      </c>
      <c r="AD489" s="171" t="str">
        <f aca="false">IF(INDEX(Salary_Calculation[Source Row],ROW()-ROW(Payslip_Lookup[#Headers]))="","",INDEX(Salary_Calculation[Payment Status],ROW()-ROW(Payslip_Lookup[#Headers])))</f>
        <v/>
      </c>
      <c r="AE489" s="171" t="str">
        <f aca="false">IF(INDEX(Salary_Calculation[Source Row],ROW()-ROW(Payslip_Lookup[#Headers]))="","",INDEX(Salary_Calculation[Notes],ROW()-ROW(Payslip_Lookup[#Headers])))</f>
        <v/>
      </c>
      <c r="AF489" s="171" t="str">
        <f aca="false">IF(INDEX(Salary_Calculation[Source Row],ROW()-ROW(Payslip_Lookup[#Headers]))="","",INDEX(Salary_Calculation[Exception Reason],ROW()-ROW(Payslip_Lookup[#Headers])))</f>
        <v/>
      </c>
      <c r="AG489" s="173" t="str">
        <f aca="false">IF($AD489="Review Required",COUNTIF(AD$2:AD489,"Review Required"),"")</f>
        <v/>
      </c>
      <c r="AH489" s="173" t="str">
        <f aca="false">IF(AND($D489&lt;&gt;"",$B489=Payslip_Print!$C$2),MAX(AH$1:AH488)+1,"")</f>
        <v/>
      </c>
      <c r="AL489" s="178" t="str">
        <f aca="false">IFERROR(INDEX($D$2:$D$501,MATCH(ROW()-1,$AH$2:$AH$501,0)),"")</f>
        <v/>
      </c>
      <c r="AM489" s="179" t="str">
        <f aca="false">IF($Z489="","",IF(AND($C489&gt;=Dash_Start,$C489&lt;Dash_End),$Z489+ROW()/10000000,""))</f>
        <v/>
      </c>
    </row>
    <row r="490" customFormat="false" ht="14.25" hidden="false" customHeight="false" outlineLevel="0" collapsed="false">
      <c r="A490" s="171" t="str">
        <f aca="false">IF(Payslip_Lookup[[#This Row],[Rider ID]]="","",Payslip_Lookup[[#This Row],[Rider ID]]&amp;"|"&amp;Payslip_Lookup[[#This Row],[Month Key]])</f>
        <v/>
      </c>
      <c r="B490" s="172" t="str">
        <f aca="false">IF(ISNUMBER(Payslip_Lookup[[#This Row],[Salary Month]]),DATE(YEAR(Payslip_Lookup[[#This Row],[Salary Month]]),MONTH(Payslip_Lookup[[#This Row],[Salary Month]]),1),"")</f>
        <v/>
      </c>
      <c r="C490" s="172" t="str">
        <f aca="false">IF(INDEX(Salary_Calculation[Source Row],ROW()-ROW(Payslip_Lookup[#Headers]))="","",INDEX(Salary_Calculation[Salary Month],ROW()-ROW(Payslip_Lookup[#Headers])))</f>
        <v/>
      </c>
      <c r="D490" s="173" t="str">
        <f aca="false">IF(INDEX(Salary_Calculation[Source Row],ROW()-ROW(Payslip_Lookup[#Headers]))="","",INDEX(Salary_Calculation[Rider ID],ROW()-ROW(Payslip_Lookup[#Headers])))</f>
        <v/>
      </c>
      <c r="E490" s="171" t="str">
        <f aca="false">IF(INDEX(Salary_Calculation[Source Row],ROW()-ROW(Payslip_Lookup[#Headers]))="","",INDEX(Salary_Calculation[Rider Name],ROW()-ROW(Payslip_Lookup[#Headers])))</f>
        <v/>
      </c>
      <c r="F490" s="173" t="str">
        <f aca="false">IF(INDEX(Salary_Calculation[Source Row],ROW()-ROW(Payslip_Lookup[#Headers]))="","",INDEX(Salary_Calculation[Working Days],ROW()-ROW(Payslip_Lookup[#Headers])))</f>
        <v/>
      </c>
      <c r="G490" s="173" t="str">
        <f aca="false">IF(INDEX(Salary_Calculation[Source Row],ROW()-ROW(Payslip_Lookup[#Headers]))="","",INDEX(Salary_Calculation[Calendar Days],ROW()-ROW(Payslip_Lookup[#Headers])))</f>
        <v/>
      </c>
      <c r="H490" s="174" t="str">
        <f aca="false">IF(INDEX(Salary_Calculation[Source Row],ROW()-ROW(Payslip_Lookup[#Headers]))="","",INDEX(Salary_Calculation[Monthly Target Orders],ROW()-ROW(Payslip_Lookup[#Headers])))</f>
        <v/>
      </c>
      <c r="I490" s="174" t="str">
        <f aca="false">IF(INDEX(Salary_Calculation[Source Row],ROW()-ROW(Payslip_Lookup[#Headers]))="","",INDEX(Salary_Calculation[Rider Target Orders],ROW()-ROW(Payslip_Lookup[#Headers])))</f>
        <v/>
      </c>
      <c r="J490" s="175" t="str">
        <f aca="false">IF(INDEX(Salary_Calculation[Source Row],ROW()-ROW(Payslip_Lookup[#Headers]))="","",INDEX(Salary_Calculation[Completed Orders],ROW()-ROW(Payslip_Lookup[#Headers])))</f>
        <v/>
      </c>
      <c r="K490" s="174" t="str">
        <f aca="false">IF(INDEX(Salary_Calculation[Source Row],ROW()-ROW(Payslip_Lookup[#Headers]))="","",INDEX(Salary_Calculation[Base Order Rate],ROW()-ROW(Payslip_Lookup[#Headers])))</f>
        <v/>
      </c>
      <c r="L490" s="176" t="str">
        <f aca="false">IF(INDEX(Salary_Calculation[Source Row],ROW()-ROW(Payslip_Lookup[#Headers]))="","",INDEX(Salary_Calculation[Basic Payment],ROW()-ROW(Payslip_Lookup[#Headers])))</f>
        <v/>
      </c>
      <c r="M490" s="176" t="str">
        <f aca="false">IF(INDEX(Salary_Calculation[Source Row],ROW()-ROW(Payslip_Lookup[#Headers]))="","",INDEX(Salary_Calculation[Earned Salary],ROW()-ROW(Payslip_Lookup[#Headers])))</f>
        <v/>
      </c>
      <c r="N490" s="174" t="str">
        <f aca="false">IF(INDEX(Salary_Calculation[Source Row],ROW()-ROW(Payslip_Lookup[#Headers]))="","",INDEX(Salary_Calculation[Orders Counted at Base Rate],ROW()-ROW(Payslip_Lookup[#Headers])))</f>
        <v/>
      </c>
      <c r="O490" s="174" t="str">
        <f aca="false">IF(INDEX(Salary_Calculation[Source Row],ROW()-ROW(Payslip_Lookup[#Headers]))="","",INDEX(Salary_Calculation[Missing Orders],ROW()-ROW(Payslip_Lookup[#Headers])))</f>
        <v/>
      </c>
      <c r="P490" s="176" t="str">
        <f aca="false">IF(INDEX(Salary_Calculation[Source Row],ROW()-ROW(Payslip_Lookup[#Headers]))="","",INDEX(Salary_Calculation[Missing-Order Deduction],ROW()-ROW(Payslip_Lookup[#Headers])))</f>
        <v/>
      </c>
      <c r="Q490" s="174" t="str">
        <f aca="false">IF(INDEX(Salary_Calculation[Source Row],ROW()-ROW(Payslip_Lookup[#Headers]))="","",INDEX(Salary_Calculation[Extra Orders],ROW()-ROW(Payslip_Lookup[#Headers])))</f>
        <v/>
      </c>
      <c r="R490" s="176" t="str">
        <f aca="false">IF(INDEX(Salary_Calculation[Source Row],ROW()-ROW(Payslip_Lookup[#Headers]))="","",INDEX(Salary_Calculation[Extra-Order Bonus],ROW()-ROW(Payslip_Lookup[#Headers])))</f>
        <v/>
      </c>
      <c r="S490" s="176" t="str">
        <f aca="false">IF(INDEX(Salary_Calculation[Source Row],ROW()-ROW(Payslip_Lookup[#Headers]))="","",INDEX(Salary_Calculation[Basic Salary for Target],ROW()-ROW(Payslip_Lookup[#Headers])))</f>
        <v/>
      </c>
      <c r="T490" s="176" t="str">
        <f aca="false">IF(INDEX(Salary_Calculation[Source Row],ROW()-ROW(Payslip_Lookup[#Headers]))="","",INDEX(Salary_Calculation[Gross Salary Before Deductions],ROW()-ROW(Payslip_Lookup[#Headers])))</f>
        <v/>
      </c>
      <c r="U490" s="176" t="str">
        <f aca="false">IF(INDEX(Salary_Calculation[Source Row],ROW()-ROW(Payslip_Lookup[#Headers]))="","",INDEX(Salary_Calculation[missed_days_penalty],ROW()-ROW(Payslip_Lookup[#Headers])))</f>
        <v/>
      </c>
      <c r="V490" s="176" t="str">
        <f aca="false">IF(INDEX(Salary_Calculation[Source Row],ROW()-ROW(Payslip_Lookup[#Headers]))="","",INDEX(Salary_Calculation[Rider Balance],ROW()-ROW(Payslip_Lookup[#Headers])))</f>
        <v/>
      </c>
      <c r="W490" s="176" t="str">
        <f aca="false">IF(INDEX(Salary_Calculation[Source Row],ROW()-ROW(Payslip_Lookup[#Headers]))="","",INDEX(Salary_Calculation[stacking_deduction],ROW()-ROW(Payslip_Lookup[#Headers])))</f>
        <v/>
      </c>
      <c r="X490" s="176" t="str">
        <f aca="false">IF(INDEX(Salary_Calculation[Source Row],ROW()-ROW(Payslip_Lookup[#Headers]))="","",INDEX(Salary_Calculation[Other Deductions],ROW()-ROW(Payslip_Lookup[#Headers])))</f>
        <v/>
      </c>
      <c r="Y490" s="176" t="str">
        <f aca="false">IF(INDEX(Salary_Calculation[Source Row],ROW()-ROW(Payslip_Lookup[#Headers]))="","",INDEX(Salary_Calculation[Total Deductions],ROW()-ROW(Payslip_Lookup[#Headers])))</f>
        <v/>
      </c>
      <c r="Z490" s="176" t="str">
        <f aca="false">IF(INDEX(Salary_Calculation[Source Row],ROW()-ROW(Payslip_Lookup[#Headers]))="","",INDEX(Salary_Calculation[Final Salary],ROW()-ROW(Payslip_Lookup[#Headers])))</f>
        <v/>
      </c>
      <c r="AA490" s="176" t="str">
        <f aca="false">IF(INDEX(Salary_Calculation[Source Row],ROW()-ROW(Payslip_Lookup[#Headers]))="","",INDEX(Salary_Calculation[Negative Balance / Amount Due from Rider],ROW()-ROW(Payslip_Lookup[#Headers])))</f>
        <v/>
      </c>
      <c r="AB490" s="176" t="str">
        <f aca="false">IF(INDEX(Salary_Calculation[Source Row],ROW()-ROW(Payslip_Lookup[#Headers]))="","",INDEX(Salary_Calculation[Total Amount Due from Rider],ROW()-ROW(Payslip_Lookup[#Headers])))</f>
        <v/>
      </c>
      <c r="AC490" s="176" t="str">
        <f aca="false">IF(INDEX(Salary_Calculation[Source Row],ROW()-ROW(Payslip_Lookup[#Headers]))="","",INDEX(Salary_Calculation[Salary Before Other Deductions],ROW()-ROW(Payslip_Lookup[#Headers])))</f>
        <v/>
      </c>
      <c r="AD490" s="171" t="str">
        <f aca="false">IF(INDEX(Salary_Calculation[Source Row],ROW()-ROW(Payslip_Lookup[#Headers]))="","",INDEX(Salary_Calculation[Payment Status],ROW()-ROW(Payslip_Lookup[#Headers])))</f>
        <v/>
      </c>
      <c r="AE490" s="171" t="str">
        <f aca="false">IF(INDEX(Salary_Calculation[Source Row],ROW()-ROW(Payslip_Lookup[#Headers]))="","",INDEX(Salary_Calculation[Notes],ROW()-ROW(Payslip_Lookup[#Headers])))</f>
        <v/>
      </c>
      <c r="AF490" s="171" t="str">
        <f aca="false">IF(INDEX(Salary_Calculation[Source Row],ROW()-ROW(Payslip_Lookup[#Headers]))="","",INDEX(Salary_Calculation[Exception Reason],ROW()-ROW(Payslip_Lookup[#Headers])))</f>
        <v/>
      </c>
      <c r="AG490" s="173" t="str">
        <f aca="false">IF($AD490="Review Required",COUNTIF(AD$2:AD490,"Review Required"),"")</f>
        <v/>
      </c>
      <c r="AH490" s="173" t="str">
        <f aca="false">IF(AND($D490&lt;&gt;"",$B490=Payslip_Print!$C$2),MAX(AH$1:AH489)+1,"")</f>
        <v/>
      </c>
      <c r="AL490" s="178" t="str">
        <f aca="false">IFERROR(INDEX($D$2:$D$501,MATCH(ROW()-1,$AH$2:$AH$501,0)),"")</f>
        <v/>
      </c>
      <c r="AM490" s="179" t="str">
        <f aca="false">IF($Z490="","",IF(AND($C490&gt;=Dash_Start,$C490&lt;Dash_End),$Z490+ROW()/10000000,""))</f>
        <v/>
      </c>
    </row>
    <row r="491" customFormat="false" ht="14.25" hidden="false" customHeight="false" outlineLevel="0" collapsed="false">
      <c r="A491" s="171" t="str">
        <f aca="false">IF(Payslip_Lookup[[#This Row],[Rider ID]]="","",Payslip_Lookup[[#This Row],[Rider ID]]&amp;"|"&amp;Payslip_Lookup[[#This Row],[Month Key]])</f>
        <v/>
      </c>
      <c r="B491" s="172" t="str">
        <f aca="false">IF(ISNUMBER(Payslip_Lookup[[#This Row],[Salary Month]]),DATE(YEAR(Payslip_Lookup[[#This Row],[Salary Month]]),MONTH(Payslip_Lookup[[#This Row],[Salary Month]]),1),"")</f>
        <v/>
      </c>
      <c r="C491" s="172" t="str">
        <f aca="false">IF(INDEX(Salary_Calculation[Source Row],ROW()-ROW(Payslip_Lookup[#Headers]))="","",INDEX(Salary_Calculation[Salary Month],ROW()-ROW(Payslip_Lookup[#Headers])))</f>
        <v/>
      </c>
      <c r="D491" s="173" t="str">
        <f aca="false">IF(INDEX(Salary_Calculation[Source Row],ROW()-ROW(Payslip_Lookup[#Headers]))="","",INDEX(Salary_Calculation[Rider ID],ROW()-ROW(Payslip_Lookup[#Headers])))</f>
        <v/>
      </c>
      <c r="E491" s="171" t="str">
        <f aca="false">IF(INDEX(Salary_Calculation[Source Row],ROW()-ROW(Payslip_Lookup[#Headers]))="","",INDEX(Salary_Calculation[Rider Name],ROW()-ROW(Payslip_Lookup[#Headers])))</f>
        <v/>
      </c>
      <c r="F491" s="173" t="str">
        <f aca="false">IF(INDEX(Salary_Calculation[Source Row],ROW()-ROW(Payslip_Lookup[#Headers]))="","",INDEX(Salary_Calculation[Working Days],ROW()-ROW(Payslip_Lookup[#Headers])))</f>
        <v/>
      </c>
      <c r="G491" s="173" t="str">
        <f aca="false">IF(INDEX(Salary_Calculation[Source Row],ROW()-ROW(Payslip_Lookup[#Headers]))="","",INDEX(Salary_Calculation[Calendar Days],ROW()-ROW(Payslip_Lookup[#Headers])))</f>
        <v/>
      </c>
      <c r="H491" s="174" t="str">
        <f aca="false">IF(INDEX(Salary_Calculation[Source Row],ROW()-ROW(Payslip_Lookup[#Headers]))="","",INDEX(Salary_Calculation[Monthly Target Orders],ROW()-ROW(Payslip_Lookup[#Headers])))</f>
        <v/>
      </c>
      <c r="I491" s="174" t="str">
        <f aca="false">IF(INDEX(Salary_Calculation[Source Row],ROW()-ROW(Payslip_Lookup[#Headers]))="","",INDEX(Salary_Calculation[Rider Target Orders],ROW()-ROW(Payslip_Lookup[#Headers])))</f>
        <v/>
      </c>
      <c r="J491" s="175" t="str">
        <f aca="false">IF(INDEX(Salary_Calculation[Source Row],ROW()-ROW(Payslip_Lookup[#Headers]))="","",INDEX(Salary_Calculation[Completed Orders],ROW()-ROW(Payslip_Lookup[#Headers])))</f>
        <v/>
      </c>
      <c r="K491" s="174" t="str">
        <f aca="false">IF(INDEX(Salary_Calculation[Source Row],ROW()-ROW(Payslip_Lookup[#Headers]))="","",INDEX(Salary_Calculation[Base Order Rate],ROW()-ROW(Payslip_Lookup[#Headers])))</f>
        <v/>
      </c>
      <c r="L491" s="176" t="str">
        <f aca="false">IF(INDEX(Salary_Calculation[Source Row],ROW()-ROW(Payslip_Lookup[#Headers]))="","",INDEX(Salary_Calculation[Basic Payment],ROW()-ROW(Payslip_Lookup[#Headers])))</f>
        <v/>
      </c>
      <c r="M491" s="176" t="str">
        <f aca="false">IF(INDEX(Salary_Calculation[Source Row],ROW()-ROW(Payslip_Lookup[#Headers]))="","",INDEX(Salary_Calculation[Earned Salary],ROW()-ROW(Payslip_Lookup[#Headers])))</f>
        <v/>
      </c>
      <c r="N491" s="174" t="str">
        <f aca="false">IF(INDEX(Salary_Calculation[Source Row],ROW()-ROW(Payslip_Lookup[#Headers]))="","",INDEX(Salary_Calculation[Orders Counted at Base Rate],ROW()-ROW(Payslip_Lookup[#Headers])))</f>
        <v/>
      </c>
      <c r="O491" s="174" t="str">
        <f aca="false">IF(INDEX(Salary_Calculation[Source Row],ROW()-ROW(Payslip_Lookup[#Headers]))="","",INDEX(Salary_Calculation[Missing Orders],ROW()-ROW(Payslip_Lookup[#Headers])))</f>
        <v/>
      </c>
      <c r="P491" s="176" t="str">
        <f aca="false">IF(INDEX(Salary_Calculation[Source Row],ROW()-ROW(Payslip_Lookup[#Headers]))="","",INDEX(Salary_Calculation[Missing-Order Deduction],ROW()-ROW(Payslip_Lookup[#Headers])))</f>
        <v/>
      </c>
      <c r="Q491" s="174" t="str">
        <f aca="false">IF(INDEX(Salary_Calculation[Source Row],ROW()-ROW(Payslip_Lookup[#Headers]))="","",INDEX(Salary_Calculation[Extra Orders],ROW()-ROW(Payslip_Lookup[#Headers])))</f>
        <v/>
      </c>
      <c r="R491" s="176" t="str">
        <f aca="false">IF(INDEX(Salary_Calculation[Source Row],ROW()-ROW(Payslip_Lookup[#Headers]))="","",INDEX(Salary_Calculation[Extra-Order Bonus],ROW()-ROW(Payslip_Lookup[#Headers])))</f>
        <v/>
      </c>
      <c r="S491" s="176" t="str">
        <f aca="false">IF(INDEX(Salary_Calculation[Source Row],ROW()-ROW(Payslip_Lookup[#Headers]))="","",INDEX(Salary_Calculation[Basic Salary for Target],ROW()-ROW(Payslip_Lookup[#Headers])))</f>
        <v/>
      </c>
      <c r="T491" s="176" t="str">
        <f aca="false">IF(INDEX(Salary_Calculation[Source Row],ROW()-ROW(Payslip_Lookup[#Headers]))="","",INDEX(Salary_Calculation[Gross Salary Before Deductions],ROW()-ROW(Payslip_Lookup[#Headers])))</f>
        <v/>
      </c>
      <c r="U491" s="176" t="str">
        <f aca="false">IF(INDEX(Salary_Calculation[Source Row],ROW()-ROW(Payslip_Lookup[#Headers]))="","",INDEX(Salary_Calculation[missed_days_penalty],ROW()-ROW(Payslip_Lookup[#Headers])))</f>
        <v/>
      </c>
      <c r="V491" s="176" t="str">
        <f aca="false">IF(INDEX(Salary_Calculation[Source Row],ROW()-ROW(Payslip_Lookup[#Headers]))="","",INDEX(Salary_Calculation[Rider Balance],ROW()-ROW(Payslip_Lookup[#Headers])))</f>
        <v/>
      </c>
      <c r="W491" s="176" t="str">
        <f aca="false">IF(INDEX(Salary_Calculation[Source Row],ROW()-ROW(Payslip_Lookup[#Headers]))="","",INDEX(Salary_Calculation[stacking_deduction],ROW()-ROW(Payslip_Lookup[#Headers])))</f>
        <v/>
      </c>
      <c r="X491" s="176" t="str">
        <f aca="false">IF(INDEX(Salary_Calculation[Source Row],ROW()-ROW(Payslip_Lookup[#Headers]))="","",INDEX(Salary_Calculation[Other Deductions],ROW()-ROW(Payslip_Lookup[#Headers])))</f>
        <v/>
      </c>
      <c r="Y491" s="176" t="str">
        <f aca="false">IF(INDEX(Salary_Calculation[Source Row],ROW()-ROW(Payslip_Lookup[#Headers]))="","",INDEX(Salary_Calculation[Total Deductions],ROW()-ROW(Payslip_Lookup[#Headers])))</f>
        <v/>
      </c>
      <c r="Z491" s="176" t="str">
        <f aca="false">IF(INDEX(Salary_Calculation[Source Row],ROW()-ROW(Payslip_Lookup[#Headers]))="","",INDEX(Salary_Calculation[Final Salary],ROW()-ROW(Payslip_Lookup[#Headers])))</f>
        <v/>
      </c>
      <c r="AA491" s="176" t="str">
        <f aca="false">IF(INDEX(Salary_Calculation[Source Row],ROW()-ROW(Payslip_Lookup[#Headers]))="","",INDEX(Salary_Calculation[Negative Balance / Amount Due from Rider],ROW()-ROW(Payslip_Lookup[#Headers])))</f>
        <v/>
      </c>
      <c r="AB491" s="176" t="str">
        <f aca="false">IF(INDEX(Salary_Calculation[Source Row],ROW()-ROW(Payslip_Lookup[#Headers]))="","",INDEX(Salary_Calculation[Total Amount Due from Rider],ROW()-ROW(Payslip_Lookup[#Headers])))</f>
        <v/>
      </c>
      <c r="AC491" s="176" t="str">
        <f aca="false">IF(INDEX(Salary_Calculation[Source Row],ROW()-ROW(Payslip_Lookup[#Headers]))="","",INDEX(Salary_Calculation[Salary Before Other Deductions],ROW()-ROW(Payslip_Lookup[#Headers])))</f>
        <v/>
      </c>
      <c r="AD491" s="171" t="str">
        <f aca="false">IF(INDEX(Salary_Calculation[Source Row],ROW()-ROW(Payslip_Lookup[#Headers]))="","",INDEX(Salary_Calculation[Payment Status],ROW()-ROW(Payslip_Lookup[#Headers])))</f>
        <v/>
      </c>
      <c r="AE491" s="171" t="str">
        <f aca="false">IF(INDEX(Salary_Calculation[Source Row],ROW()-ROW(Payslip_Lookup[#Headers]))="","",INDEX(Salary_Calculation[Notes],ROW()-ROW(Payslip_Lookup[#Headers])))</f>
        <v/>
      </c>
      <c r="AF491" s="171" t="str">
        <f aca="false">IF(INDEX(Salary_Calculation[Source Row],ROW()-ROW(Payslip_Lookup[#Headers]))="","",INDEX(Salary_Calculation[Exception Reason],ROW()-ROW(Payslip_Lookup[#Headers])))</f>
        <v/>
      </c>
      <c r="AG491" s="173" t="str">
        <f aca="false">IF($AD491="Review Required",COUNTIF(AD$2:AD491,"Review Required"),"")</f>
        <v/>
      </c>
      <c r="AH491" s="173" t="str">
        <f aca="false">IF(AND($D491&lt;&gt;"",$B491=Payslip_Print!$C$2),MAX(AH$1:AH490)+1,"")</f>
        <v/>
      </c>
      <c r="AL491" s="178" t="str">
        <f aca="false">IFERROR(INDEX($D$2:$D$501,MATCH(ROW()-1,$AH$2:$AH$501,0)),"")</f>
        <v/>
      </c>
      <c r="AM491" s="179" t="str">
        <f aca="false">IF($Z491="","",IF(AND($C491&gt;=Dash_Start,$C491&lt;Dash_End),$Z491+ROW()/10000000,""))</f>
        <v/>
      </c>
    </row>
    <row r="492" customFormat="false" ht="14.25" hidden="false" customHeight="false" outlineLevel="0" collapsed="false">
      <c r="A492" s="171" t="str">
        <f aca="false">IF(Payslip_Lookup[[#This Row],[Rider ID]]="","",Payslip_Lookup[[#This Row],[Rider ID]]&amp;"|"&amp;Payslip_Lookup[[#This Row],[Month Key]])</f>
        <v/>
      </c>
      <c r="B492" s="172" t="str">
        <f aca="false">IF(ISNUMBER(Payslip_Lookup[[#This Row],[Salary Month]]),DATE(YEAR(Payslip_Lookup[[#This Row],[Salary Month]]),MONTH(Payslip_Lookup[[#This Row],[Salary Month]]),1),"")</f>
        <v/>
      </c>
      <c r="C492" s="172" t="str">
        <f aca="false">IF(INDEX(Salary_Calculation[Source Row],ROW()-ROW(Payslip_Lookup[#Headers]))="","",INDEX(Salary_Calculation[Salary Month],ROW()-ROW(Payslip_Lookup[#Headers])))</f>
        <v/>
      </c>
      <c r="D492" s="173" t="str">
        <f aca="false">IF(INDEX(Salary_Calculation[Source Row],ROW()-ROW(Payslip_Lookup[#Headers]))="","",INDEX(Salary_Calculation[Rider ID],ROW()-ROW(Payslip_Lookup[#Headers])))</f>
        <v/>
      </c>
      <c r="E492" s="171" t="str">
        <f aca="false">IF(INDEX(Salary_Calculation[Source Row],ROW()-ROW(Payslip_Lookup[#Headers]))="","",INDEX(Salary_Calculation[Rider Name],ROW()-ROW(Payslip_Lookup[#Headers])))</f>
        <v/>
      </c>
      <c r="F492" s="173" t="str">
        <f aca="false">IF(INDEX(Salary_Calculation[Source Row],ROW()-ROW(Payslip_Lookup[#Headers]))="","",INDEX(Salary_Calculation[Working Days],ROW()-ROW(Payslip_Lookup[#Headers])))</f>
        <v/>
      </c>
      <c r="G492" s="173" t="str">
        <f aca="false">IF(INDEX(Salary_Calculation[Source Row],ROW()-ROW(Payslip_Lookup[#Headers]))="","",INDEX(Salary_Calculation[Calendar Days],ROW()-ROW(Payslip_Lookup[#Headers])))</f>
        <v/>
      </c>
      <c r="H492" s="174" t="str">
        <f aca="false">IF(INDEX(Salary_Calculation[Source Row],ROW()-ROW(Payslip_Lookup[#Headers]))="","",INDEX(Salary_Calculation[Monthly Target Orders],ROW()-ROW(Payslip_Lookup[#Headers])))</f>
        <v/>
      </c>
      <c r="I492" s="174" t="str">
        <f aca="false">IF(INDEX(Salary_Calculation[Source Row],ROW()-ROW(Payslip_Lookup[#Headers]))="","",INDEX(Salary_Calculation[Rider Target Orders],ROW()-ROW(Payslip_Lookup[#Headers])))</f>
        <v/>
      </c>
      <c r="J492" s="175" t="str">
        <f aca="false">IF(INDEX(Salary_Calculation[Source Row],ROW()-ROW(Payslip_Lookup[#Headers]))="","",INDEX(Salary_Calculation[Completed Orders],ROW()-ROW(Payslip_Lookup[#Headers])))</f>
        <v/>
      </c>
      <c r="K492" s="174" t="str">
        <f aca="false">IF(INDEX(Salary_Calculation[Source Row],ROW()-ROW(Payslip_Lookup[#Headers]))="","",INDEX(Salary_Calculation[Base Order Rate],ROW()-ROW(Payslip_Lookup[#Headers])))</f>
        <v/>
      </c>
      <c r="L492" s="176" t="str">
        <f aca="false">IF(INDEX(Salary_Calculation[Source Row],ROW()-ROW(Payslip_Lookup[#Headers]))="","",INDEX(Salary_Calculation[Basic Payment],ROW()-ROW(Payslip_Lookup[#Headers])))</f>
        <v/>
      </c>
      <c r="M492" s="176" t="str">
        <f aca="false">IF(INDEX(Salary_Calculation[Source Row],ROW()-ROW(Payslip_Lookup[#Headers]))="","",INDEX(Salary_Calculation[Earned Salary],ROW()-ROW(Payslip_Lookup[#Headers])))</f>
        <v/>
      </c>
      <c r="N492" s="174" t="str">
        <f aca="false">IF(INDEX(Salary_Calculation[Source Row],ROW()-ROW(Payslip_Lookup[#Headers]))="","",INDEX(Salary_Calculation[Orders Counted at Base Rate],ROW()-ROW(Payslip_Lookup[#Headers])))</f>
        <v/>
      </c>
      <c r="O492" s="174" t="str">
        <f aca="false">IF(INDEX(Salary_Calculation[Source Row],ROW()-ROW(Payslip_Lookup[#Headers]))="","",INDEX(Salary_Calculation[Missing Orders],ROW()-ROW(Payslip_Lookup[#Headers])))</f>
        <v/>
      </c>
      <c r="P492" s="176" t="str">
        <f aca="false">IF(INDEX(Salary_Calculation[Source Row],ROW()-ROW(Payslip_Lookup[#Headers]))="","",INDEX(Salary_Calculation[Missing-Order Deduction],ROW()-ROW(Payslip_Lookup[#Headers])))</f>
        <v/>
      </c>
      <c r="Q492" s="174" t="str">
        <f aca="false">IF(INDEX(Salary_Calculation[Source Row],ROW()-ROW(Payslip_Lookup[#Headers]))="","",INDEX(Salary_Calculation[Extra Orders],ROW()-ROW(Payslip_Lookup[#Headers])))</f>
        <v/>
      </c>
      <c r="R492" s="176" t="str">
        <f aca="false">IF(INDEX(Salary_Calculation[Source Row],ROW()-ROW(Payslip_Lookup[#Headers]))="","",INDEX(Salary_Calculation[Extra-Order Bonus],ROW()-ROW(Payslip_Lookup[#Headers])))</f>
        <v/>
      </c>
      <c r="S492" s="176" t="str">
        <f aca="false">IF(INDEX(Salary_Calculation[Source Row],ROW()-ROW(Payslip_Lookup[#Headers]))="","",INDEX(Salary_Calculation[Basic Salary for Target],ROW()-ROW(Payslip_Lookup[#Headers])))</f>
        <v/>
      </c>
      <c r="T492" s="176" t="str">
        <f aca="false">IF(INDEX(Salary_Calculation[Source Row],ROW()-ROW(Payslip_Lookup[#Headers]))="","",INDEX(Salary_Calculation[Gross Salary Before Deductions],ROW()-ROW(Payslip_Lookup[#Headers])))</f>
        <v/>
      </c>
      <c r="U492" s="176" t="str">
        <f aca="false">IF(INDEX(Salary_Calculation[Source Row],ROW()-ROW(Payslip_Lookup[#Headers]))="","",INDEX(Salary_Calculation[missed_days_penalty],ROW()-ROW(Payslip_Lookup[#Headers])))</f>
        <v/>
      </c>
      <c r="V492" s="176" t="str">
        <f aca="false">IF(INDEX(Salary_Calculation[Source Row],ROW()-ROW(Payslip_Lookup[#Headers]))="","",INDEX(Salary_Calculation[Rider Balance],ROW()-ROW(Payslip_Lookup[#Headers])))</f>
        <v/>
      </c>
      <c r="W492" s="176" t="str">
        <f aca="false">IF(INDEX(Salary_Calculation[Source Row],ROW()-ROW(Payslip_Lookup[#Headers]))="","",INDEX(Salary_Calculation[stacking_deduction],ROW()-ROW(Payslip_Lookup[#Headers])))</f>
        <v/>
      </c>
      <c r="X492" s="176" t="str">
        <f aca="false">IF(INDEX(Salary_Calculation[Source Row],ROW()-ROW(Payslip_Lookup[#Headers]))="","",INDEX(Salary_Calculation[Other Deductions],ROW()-ROW(Payslip_Lookup[#Headers])))</f>
        <v/>
      </c>
      <c r="Y492" s="176" t="str">
        <f aca="false">IF(INDEX(Salary_Calculation[Source Row],ROW()-ROW(Payslip_Lookup[#Headers]))="","",INDEX(Salary_Calculation[Total Deductions],ROW()-ROW(Payslip_Lookup[#Headers])))</f>
        <v/>
      </c>
      <c r="Z492" s="176" t="str">
        <f aca="false">IF(INDEX(Salary_Calculation[Source Row],ROW()-ROW(Payslip_Lookup[#Headers]))="","",INDEX(Salary_Calculation[Final Salary],ROW()-ROW(Payslip_Lookup[#Headers])))</f>
        <v/>
      </c>
      <c r="AA492" s="176" t="str">
        <f aca="false">IF(INDEX(Salary_Calculation[Source Row],ROW()-ROW(Payslip_Lookup[#Headers]))="","",INDEX(Salary_Calculation[Negative Balance / Amount Due from Rider],ROW()-ROW(Payslip_Lookup[#Headers])))</f>
        <v/>
      </c>
      <c r="AB492" s="176" t="str">
        <f aca="false">IF(INDEX(Salary_Calculation[Source Row],ROW()-ROW(Payslip_Lookup[#Headers]))="","",INDEX(Salary_Calculation[Total Amount Due from Rider],ROW()-ROW(Payslip_Lookup[#Headers])))</f>
        <v/>
      </c>
      <c r="AC492" s="176" t="str">
        <f aca="false">IF(INDEX(Salary_Calculation[Source Row],ROW()-ROW(Payslip_Lookup[#Headers]))="","",INDEX(Salary_Calculation[Salary Before Other Deductions],ROW()-ROW(Payslip_Lookup[#Headers])))</f>
        <v/>
      </c>
      <c r="AD492" s="171" t="str">
        <f aca="false">IF(INDEX(Salary_Calculation[Source Row],ROW()-ROW(Payslip_Lookup[#Headers]))="","",INDEX(Salary_Calculation[Payment Status],ROW()-ROW(Payslip_Lookup[#Headers])))</f>
        <v/>
      </c>
      <c r="AE492" s="171" t="str">
        <f aca="false">IF(INDEX(Salary_Calculation[Source Row],ROW()-ROW(Payslip_Lookup[#Headers]))="","",INDEX(Salary_Calculation[Notes],ROW()-ROW(Payslip_Lookup[#Headers])))</f>
        <v/>
      </c>
      <c r="AF492" s="171" t="str">
        <f aca="false">IF(INDEX(Salary_Calculation[Source Row],ROW()-ROW(Payslip_Lookup[#Headers]))="","",INDEX(Salary_Calculation[Exception Reason],ROW()-ROW(Payslip_Lookup[#Headers])))</f>
        <v/>
      </c>
      <c r="AG492" s="173" t="str">
        <f aca="false">IF($AD492="Review Required",COUNTIF(AD$2:AD492,"Review Required"),"")</f>
        <v/>
      </c>
      <c r="AH492" s="173" t="str">
        <f aca="false">IF(AND($D492&lt;&gt;"",$B492=Payslip_Print!$C$2),MAX(AH$1:AH491)+1,"")</f>
        <v/>
      </c>
      <c r="AL492" s="178" t="str">
        <f aca="false">IFERROR(INDEX($D$2:$D$501,MATCH(ROW()-1,$AH$2:$AH$501,0)),"")</f>
        <v/>
      </c>
      <c r="AM492" s="179" t="str">
        <f aca="false">IF($Z492="","",IF(AND($C492&gt;=Dash_Start,$C492&lt;Dash_End),$Z492+ROW()/10000000,""))</f>
        <v/>
      </c>
    </row>
    <row r="493" customFormat="false" ht="14.25" hidden="false" customHeight="false" outlineLevel="0" collapsed="false">
      <c r="A493" s="171" t="str">
        <f aca="false">IF(Payslip_Lookup[[#This Row],[Rider ID]]="","",Payslip_Lookup[[#This Row],[Rider ID]]&amp;"|"&amp;Payslip_Lookup[[#This Row],[Month Key]])</f>
        <v/>
      </c>
      <c r="B493" s="172" t="str">
        <f aca="false">IF(ISNUMBER(Payslip_Lookup[[#This Row],[Salary Month]]),DATE(YEAR(Payslip_Lookup[[#This Row],[Salary Month]]),MONTH(Payslip_Lookup[[#This Row],[Salary Month]]),1),"")</f>
        <v/>
      </c>
      <c r="C493" s="172" t="str">
        <f aca="false">IF(INDEX(Salary_Calculation[Source Row],ROW()-ROW(Payslip_Lookup[#Headers]))="","",INDEX(Salary_Calculation[Salary Month],ROW()-ROW(Payslip_Lookup[#Headers])))</f>
        <v/>
      </c>
      <c r="D493" s="173" t="str">
        <f aca="false">IF(INDEX(Salary_Calculation[Source Row],ROW()-ROW(Payslip_Lookup[#Headers]))="","",INDEX(Salary_Calculation[Rider ID],ROW()-ROW(Payslip_Lookup[#Headers])))</f>
        <v/>
      </c>
      <c r="E493" s="171" t="str">
        <f aca="false">IF(INDEX(Salary_Calculation[Source Row],ROW()-ROW(Payslip_Lookup[#Headers]))="","",INDEX(Salary_Calculation[Rider Name],ROW()-ROW(Payslip_Lookup[#Headers])))</f>
        <v/>
      </c>
      <c r="F493" s="173" t="str">
        <f aca="false">IF(INDEX(Salary_Calculation[Source Row],ROW()-ROW(Payslip_Lookup[#Headers]))="","",INDEX(Salary_Calculation[Working Days],ROW()-ROW(Payslip_Lookup[#Headers])))</f>
        <v/>
      </c>
      <c r="G493" s="173" t="str">
        <f aca="false">IF(INDEX(Salary_Calculation[Source Row],ROW()-ROW(Payslip_Lookup[#Headers]))="","",INDEX(Salary_Calculation[Calendar Days],ROW()-ROW(Payslip_Lookup[#Headers])))</f>
        <v/>
      </c>
      <c r="H493" s="174" t="str">
        <f aca="false">IF(INDEX(Salary_Calculation[Source Row],ROW()-ROW(Payslip_Lookup[#Headers]))="","",INDEX(Salary_Calculation[Monthly Target Orders],ROW()-ROW(Payslip_Lookup[#Headers])))</f>
        <v/>
      </c>
      <c r="I493" s="174" t="str">
        <f aca="false">IF(INDEX(Salary_Calculation[Source Row],ROW()-ROW(Payslip_Lookup[#Headers]))="","",INDEX(Salary_Calculation[Rider Target Orders],ROW()-ROW(Payslip_Lookup[#Headers])))</f>
        <v/>
      </c>
      <c r="J493" s="175" t="str">
        <f aca="false">IF(INDEX(Salary_Calculation[Source Row],ROW()-ROW(Payslip_Lookup[#Headers]))="","",INDEX(Salary_Calculation[Completed Orders],ROW()-ROW(Payslip_Lookup[#Headers])))</f>
        <v/>
      </c>
      <c r="K493" s="174" t="str">
        <f aca="false">IF(INDEX(Salary_Calculation[Source Row],ROW()-ROW(Payslip_Lookup[#Headers]))="","",INDEX(Salary_Calculation[Base Order Rate],ROW()-ROW(Payslip_Lookup[#Headers])))</f>
        <v/>
      </c>
      <c r="L493" s="176" t="str">
        <f aca="false">IF(INDEX(Salary_Calculation[Source Row],ROW()-ROW(Payslip_Lookup[#Headers]))="","",INDEX(Salary_Calculation[Basic Payment],ROW()-ROW(Payslip_Lookup[#Headers])))</f>
        <v/>
      </c>
      <c r="M493" s="176" t="str">
        <f aca="false">IF(INDEX(Salary_Calculation[Source Row],ROW()-ROW(Payslip_Lookup[#Headers]))="","",INDEX(Salary_Calculation[Earned Salary],ROW()-ROW(Payslip_Lookup[#Headers])))</f>
        <v/>
      </c>
      <c r="N493" s="174" t="str">
        <f aca="false">IF(INDEX(Salary_Calculation[Source Row],ROW()-ROW(Payslip_Lookup[#Headers]))="","",INDEX(Salary_Calculation[Orders Counted at Base Rate],ROW()-ROW(Payslip_Lookup[#Headers])))</f>
        <v/>
      </c>
      <c r="O493" s="174" t="str">
        <f aca="false">IF(INDEX(Salary_Calculation[Source Row],ROW()-ROW(Payslip_Lookup[#Headers]))="","",INDEX(Salary_Calculation[Missing Orders],ROW()-ROW(Payslip_Lookup[#Headers])))</f>
        <v/>
      </c>
      <c r="P493" s="176" t="str">
        <f aca="false">IF(INDEX(Salary_Calculation[Source Row],ROW()-ROW(Payslip_Lookup[#Headers]))="","",INDEX(Salary_Calculation[Missing-Order Deduction],ROW()-ROW(Payslip_Lookup[#Headers])))</f>
        <v/>
      </c>
      <c r="Q493" s="174" t="str">
        <f aca="false">IF(INDEX(Salary_Calculation[Source Row],ROW()-ROW(Payslip_Lookup[#Headers]))="","",INDEX(Salary_Calculation[Extra Orders],ROW()-ROW(Payslip_Lookup[#Headers])))</f>
        <v/>
      </c>
      <c r="R493" s="176" t="str">
        <f aca="false">IF(INDEX(Salary_Calculation[Source Row],ROW()-ROW(Payslip_Lookup[#Headers]))="","",INDEX(Salary_Calculation[Extra-Order Bonus],ROW()-ROW(Payslip_Lookup[#Headers])))</f>
        <v/>
      </c>
      <c r="S493" s="176" t="str">
        <f aca="false">IF(INDEX(Salary_Calculation[Source Row],ROW()-ROW(Payslip_Lookup[#Headers]))="","",INDEX(Salary_Calculation[Basic Salary for Target],ROW()-ROW(Payslip_Lookup[#Headers])))</f>
        <v/>
      </c>
      <c r="T493" s="176" t="str">
        <f aca="false">IF(INDEX(Salary_Calculation[Source Row],ROW()-ROW(Payslip_Lookup[#Headers]))="","",INDEX(Salary_Calculation[Gross Salary Before Deductions],ROW()-ROW(Payslip_Lookup[#Headers])))</f>
        <v/>
      </c>
      <c r="U493" s="176" t="str">
        <f aca="false">IF(INDEX(Salary_Calculation[Source Row],ROW()-ROW(Payslip_Lookup[#Headers]))="","",INDEX(Salary_Calculation[missed_days_penalty],ROW()-ROW(Payslip_Lookup[#Headers])))</f>
        <v/>
      </c>
      <c r="V493" s="176" t="str">
        <f aca="false">IF(INDEX(Salary_Calculation[Source Row],ROW()-ROW(Payslip_Lookup[#Headers]))="","",INDEX(Salary_Calculation[Rider Balance],ROW()-ROW(Payslip_Lookup[#Headers])))</f>
        <v/>
      </c>
      <c r="W493" s="176" t="str">
        <f aca="false">IF(INDEX(Salary_Calculation[Source Row],ROW()-ROW(Payslip_Lookup[#Headers]))="","",INDEX(Salary_Calculation[stacking_deduction],ROW()-ROW(Payslip_Lookup[#Headers])))</f>
        <v/>
      </c>
      <c r="X493" s="176" t="str">
        <f aca="false">IF(INDEX(Salary_Calculation[Source Row],ROW()-ROW(Payslip_Lookup[#Headers]))="","",INDEX(Salary_Calculation[Other Deductions],ROW()-ROW(Payslip_Lookup[#Headers])))</f>
        <v/>
      </c>
      <c r="Y493" s="176" t="str">
        <f aca="false">IF(INDEX(Salary_Calculation[Source Row],ROW()-ROW(Payslip_Lookup[#Headers]))="","",INDEX(Salary_Calculation[Total Deductions],ROW()-ROW(Payslip_Lookup[#Headers])))</f>
        <v/>
      </c>
      <c r="Z493" s="176" t="str">
        <f aca="false">IF(INDEX(Salary_Calculation[Source Row],ROW()-ROW(Payslip_Lookup[#Headers]))="","",INDEX(Salary_Calculation[Final Salary],ROW()-ROW(Payslip_Lookup[#Headers])))</f>
        <v/>
      </c>
      <c r="AA493" s="176" t="str">
        <f aca="false">IF(INDEX(Salary_Calculation[Source Row],ROW()-ROW(Payslip_Lookup[#Headers]))="","",INDEX(Salary_Calculation[Negative Balance / Amount Due from Rider],ROW()-ROW(Payslip_Lookup[#Headers])))</f>
        <v/>
      </c>
      <c r="AB493" s="176" t="str">
        <f aca="false">IF(INDEX(Salary_Calculation[Source Row],ROW()-ROW(Payslip_Lookup[#Headers]))="","",INDEX(Salary_Calculation[Total Amount Due from Rider],ROW()-ROW(Payslip_Lookup[#Headers])))</f>
        <v/>
      </c>
      <c r="AC493" s="176" t="str">
        <f aca="false">IF(INDEX(Salary_Calculation[Source Row],ROW()-ROW(Payslip_Lookup[#Headers]))="","",INDEX(Salary_Calculation[Salary Before Other Deductions],ROW()-ROW(Payslip_Lookup[#Headers])))</f>
        <v/>
      </c>
      <c r="AD493" s="171" t="str">
        <f aca="false">IF(INDEX(Salary_Calculation[Source Row],ROW()-ROW(Payslip_Lookup[#Headers]))="","",INDEX(Salary_Calculation[Payment Status],ROW()-ROW(Payslip_Lookup[#Headers])))</f>
        <v/>
      </c>
      <c r="AE493" s="171" t="str">
        <f aca="false">IF(INDEX(Salary_Calculation[Source Row],ROW()-ROW(Payslip_Lookup[#Headers]))="","",INDEX(Salary_Calculation[Notes],ROW()-ROW(Payslip_Lookup[#Headers])))</f>
        <v/>
      </c>
      <c r="AF493" s="171" t="str">
        <f aca="false">IF(INDEX(Salary_Calculation[Source Row],ROW()-ROW(Payslip_Lookup[#Headers]))="","",INDEX(Salary_Calculation[Exception Reason],ROW()-ROW(Payslip_Lookup[#Headers])))</f>
        <v/>
      </c>
      <c r="AG493" s="173" t="str">
        <f aca="false">IF($AD493="Review Required",COUNTIF(AD$2:AD493,"Review Required"),"")</f>
        <v/>
      </c>
      <c r="AH493" s="173" t="str">
        <f aca="false">IF(AND($D493&lt;&gt;"",$B493=Payslip_Print!$C$2),MAX(AH$1:AH492)+1,"")</f>
        <v/>
      </c>
      <c r="AL493" s="178" t="str">
        <f aca="false">IFERROR(INDEX($D$2:$D$501,MATCH(ROW()-1,$AH$2:$AH$501,0)),"")</f>
        <v/>
      </c>
      <c r="AM493" s="179" t="str">
        <f aca="false">IF($Z493="","",IF(AND($C493&gt;=Dash_Start,$C493&lt;Dash_End),$Z493+ROW()/10000000,""))</f>
        <v/>
      </c>
    </row>
    <row r="494" customFormat="false" ht="14.25" hidden="false" customHeight="false" outlineLevel="0" collapsed="false">
      <c r="A494" s="171" t="str">
        <f aca="false">IF(Payslip_Lookup[[#This Row],[Rider ID]]="","",Payslip_Lookup[[#This Row],[Rider ID]]&amp;"|"&amp;Payslip_Lookup[[#This Row],[Month Key]])</f>
        <v/>
      </c>
      <c r="B494" s="172" t="str">
        <f aca="false">IF(ISNUMBER(Payslip_Lookup[[#This Row],[Salary Month]]),DATE(YEAR(Payslip_Lookup[[#This Row],[Salary Month]]),MONTH(Payslip_Lookup[[#This Row],[Salary Month]]),1),"")</f>
        <v/>
      </c>
      <c r="C494" s="172" t="str">
        <f aca="false">IF(INDEX(Salary_Calculation[Source Row],ROW()-ROW(Payslip_Lookup[#Headers]))="","",INDEX(Salary_Calculation[Salary Month],ROW()-ROW(Payslip_Lookup[#Headers])))</f>
        <v/>
      </c>
      <c r="D494" s="173" t="str">
        <f aca="false">IF(INDEX(Salary_Calculation[Source Row],ROW()-ROW(Payslip_Lookup[#Headers]))="","",INDEX(Salary_Calculation[Rider ID],ROW()-ROW(Payslip_Lookup[#Headers])))</f>
        <v/>
      </c>
      <c r="E494" s="171" t="str">
        <f aca="false">IF(INDEX(Salary_Calculation[Source Row],ROW()-ROW(Payslip_Lookup[#Headers]))="","",INDEX(Salary_Calculation[Rider Name],ROW()-ROW(Payslip_Lookup[#Headers])))</f>
        <v/>
      </c>
      <c r="F494" s="173" t="str">
        <f aca="false">IF(INDEX(Salary_Calculation[Source Row],ROW()-ROW(Payslip_Lookup[#Headers]))="","",INDEX(Salary_Calculation[Working Days],ROW()-ROW(Payslip_Lookup[#Headers])))</f>
        <v/>
      </c>
      <c r="G494" s="173" t="str">
        <f aca="false">IF(INDEX(Salary_Calculation[Source Row],ROW()-ROW(Payslip_Lookup[#Headers]))="","",INDEX(Salary_Calculation[Calendar Days],ROW()-ROW(Payslip_Lookup[#Headers])))</f>
        <v/>
      </c>
      <c r="H494" s="174" t="str">
        <f aca="false">IF(INDEX(Salary_Calculation[Source Row],ROW()-ROW(Payslip_Lookup[#Headers]))="","",INDEX(Salary_Calculation[Monthly Target Orders],ROW()-ROW(Payslip_Lookup[#Headers])))</f>
        <v/>
      </c>
      <c r="I494" s="174" t="str">
        <f aca="false">IF(INDEX(Salary_Calculation[Source Row],ROW()-ROW(Payslip_Lookup[#Headers]))="","",INDEX(Salary_Calculation[Rider Target Orders],ROW()-ROW(Payslip_Lookup[#Headers])))</f>
        <v/>
      </c>
      <c r="J494" s="175" t="str">
        <f aca="false">IF(INDEX(Salary_Calculation[Source Row],ROW()-ROW(Payslip_Lookup[#Headers]))="","",INDEX(Salary_Calculation[Completed Orders],ROW()-ROW(Payslip_Lookup[#Headers])))</f>
        <v/>
      </c>
      <c r="K494" s="174" t="str">
        <f aca="false">IF(INDEX(Salary_Calculation[Source Row],ROW()-ROW(Payslip_Lookup[#Headers]))="","",INDEX(Salary_Calculation[Base Order Rate],ROW()-ROW(Payslip_Lookup[#Headers])))</f>
        <v/>
      </c>
      <c r="L494" s="176" t="str">
        <f aca="false">IF(INDEX(Salary_Calculation[Source Row],ROW()-ROW(Payslip_Lookup[#Headers]))="","",INDEX(Salary_Calculation[Basic Payment],ROW()-ROW(Payslip_Lookup[#Headers])))</f>
        <v/>
      </c>
      <c r="M494" s="176" t="str">
        <f aca="false">IF(INDEX(Salary_Calculation[Source Row],ROW()-ROW(Payslip_Lookup[#Headers]))="","",INDEX(Salary_Calculation[Earned Salary],ROW()-ROW(Payslip_Lookup[#Headers])))</f>
        <v/>
      </c>
      <c r="N494" s="174" t="str">
        <f aca="false">IF(INDEX(Salary_Calculation[Source Row],ROW()-ROW(Payslip_Lookup[#Headers]))="","",INDEX(Salary_Calculation[Orders Counted at Base Rate],ROW()-ROW(Payslip_Lookup[#Headers])))</f>
        <v/>
      </c>
      <c r="O494" s="174" t="str">
        <f aca="false">IF(INDEX(Salary_Calculation[Source Row],ROW()-ROW(Payslip_Lookup[#Headers]))="","",INDEX(Salary_Calculation[Missing Orders],ROW()-ROW(Payslip_Lookup[#Headers])))</f>
        <v/>
      </c>
      <c r="P494" s="176" t="str">
        <f aca="false">IF(INDEX(Salary_Calculation[Source Row],ROW()-ROW(Payslip_Lookup[#Headers]))="","",INDEX(Salary_Calculation[Missing-Order Deduction],ROW()-ROW(Payslip_Lookup[#Headers])))</f>
        <v/>
      </c>
      <c r="Q494" s="174" t="str">
        <f aca="false">IF(INDEX(Salary_Calculation[Source Row],ROW()-ROW(Payslip_Lookup[#Headers]))="","",INDEX(Salary_Calculation[Extra Orders],ROW()-ROW(Payslip_Lookup[#Headers])))</f>
        <v/>
      </c>
      <c r="R494" s="176" t="str">
        <f aca="false">IF(INDEX(Salary_Calculation[Source Row],ROW()-ROW(Payslip_Lookup[#Headers]))="","",INDEX(Salary_Calculation[Extra-Order Bonus],ROW()-ROW(Payslip_Lookup[#Headers])))</f>
        <v/>
      </c>
      <c r="S494" s="176" t="str">
        <f aca="false">IF(INDEX(Salary_Calculation[Source Row],ROW()-ROW(Payslip_Lookup[#Headers]))="","",INDEX(Salary_Calculation[Basic Salary for Target],ROW()-ROW(Payslip_Lookup[#Headers])))</f>
        <v/>
      </c>
      <c r="T494" s="176" t="str">
        <f aca="false">IF(INDEX(Salary_Calculation[Source Row],ROW()-ROW(Payslip_Lookup[#Headers]))="","",INDEX(Salary_Calculation[Gross Salary Before Deductions],ROW()-ROW(Payslip_Lookup[#Headers])))</f>
        <v/>
      </c>
      <c r="U494" s="176" t="str">
        <f aca="false">IF(INDEX(Salary_Calculation[Source Row],ROW()-ROW(Payslip_Lookup[#Headers]))="","",INDEX(Salary_Calculation[missed_days_penalty],ROW()-ROW(Payslip_Lookup[#Headers])))</f>
        <v/>
      </c>
      <c r="V494" s="176" t="str">
        <f aca="false">IF(INDEX(Salary_Calculation[Source Row],ROW()-ROW(Payslip_Lookup[#Headers]))="","",INDEX(Salary_Calculation[Rider Balance],ROW()-ROW(Payslip_Lookup[#Headers])))</f>
        <v/>
      </c>
      <c r="W494" s="176" t="str">
        <f aca="false">IF(INDEX(Salary_Calculation[Source Row],ROW()-ROW(Payslip_Lookup[#Headers]))="","",INDEX(Salary_Calculation[stacking_deduction],ROW()-ROW(Payslip_Lookup[#Headers])))</f>
        <v/>
      </c>
      <c r="X494" s="176" t="str">
        <f aca="false">IF(INDEX(Salary_Calculation[Source Row],ROW()-ROW(Payslip_Lookup[#Headers]))="","",INDEX(Salary_Calculation[Other Deductions],ROW()-ROW(Payslip_Lookup[#Headers])))</f>
        <v/>
      </c>
      <c r="Y494" s="176" t="str">
        <f aca="false">IF(INDEX(Salary_Calculation[Source Row],ROW()-ROW(Payslip_Lookup[#Headers]))="","",INDEX(Salary_Calculation[Total Deductions],ROW()-ROW(Payslip_Lookup[#Headers])))</f>
        <v/>
      </c>
      <c r="Z494" s="176" t="str">
        <f aca="false">IF(INDEX(Salary_Calculation[Source Row],ROW()-ROW(Payslip_Lookup[#Headers]))="","",INDEX(Salary_Calculation[Final Salary],ROW()-ROW(Payslip_Lookup[#Headers])))</f>
        <v/>
      </c>
      <c r="AA494" s="176" t="str">
        <f aca="false">IF(INDEX(Salary_Calculation[Source Row],ROW()-ROW(Payslip_Lookup[#Headers]))="","",INDEX(Salary_Calculation[Negative Balance / Amount Due from Rider],ROW()-ROW(Payslip_Lookup[#Headers])))</f>
        <v/>
      </c>
      <c r="AB494" s="176" t="str">
        <f aca="false">IF(INDEX(Salary_Calculation[Source Row],ROW()-ROW(Payslip_Lookup[#Headers]))="","",INDEX(Salary_Calculation[Total Amount Due from Rider],ROW()-ROW(Payslip_Lookup[#Headers])))</f>
        <v/>
      </c>
      <c r="AC494" s="176" t="str">
        <f aca="false">IF(INDEX(Salary_Calculation[Source Row],ROW()-ROW(Payslip_Lookup[#Headers]))="","",INDEX(Salary_Calculation[Salary Before Other Deductions],ROW()-ROW(Payslip_Lookup[#Headers])))</f>
        <v/>
      </c>
      <c r="AD494" s="171" t="str">
        <f aca="false">IF(INDEX(Salary_Calculation[Source Row],ROW()-ROW(Payslip_Lookup[#Headers]))="","",INDEX(Salary_Calculation[Payment Status],ROW()-ROW(Payslip_Lookup[#Headers])))</f>
        <v/>
      </c>
      <c r="AE494" s="171" t="str">
        <f aca="false">IF(INDEX(Salary_Calculation[Source Row],ROW()-ROW(Payslip_Lookup[#Headers]))="","",INDEX(Salary_Calculation[Notes],ROW()-ROW(Payslip_Lookup[#Headers])))</f>
        <v/>
      </c>
      <c r="AF494" s="171" t="str">
        <f aca="false">IF(INDEX(Salary_Calculation[Source Row],ROW()-ROW(Payslip_Lookup[#Headers]))="","",INDEX(Salary_Calculation[Exception Reason],ROW()-ROW(Payslip_Lookup[#Headers])))</f>
        <v/>
      </c>
      <c r="AG494" s="173" t="str">
        <f aca="false">IF($AD494="Review Required",COUNTIF(AD$2:AD494,"Review Required"),"")</f>
        <v/>
      </c>
      <c r="AH494" s="173" t="str">
        <f aca="false">IF(AND($D494&lt;&gt;"",$B494=Payslip_Print!$C$2),MAX(AH$1:AH493)+1,"")</f>
        <v/>
      </c>
      <c r="AL494" s="178" t="str">
        <f aca="false">IFERROR(INDEX($D$2:$D$501,MATCH(ROW()-1,$AH$2:$AH$501,0)),"")</f>
        <v/>
      </c>
      <c r="AM494" s="179" t="str">
        <f aca="false">IF($Z494="","",IF(AND($C494&gt;=Dash_Start,$C494&lt;Dash_End),$Z494+ROW()/10000000,""))</f>
        <v/>
      </c>
    </row>
    <row r="495" customFormat="false" ht="14.25" hidden="false" customHeight="false" outlineLevel="0" collapsed="false">
      <c r="A495" s="171" t="str">
        <f aca="false">IF(Payslip_Lookup[[#This Row],[Rider ID]]="","",Payslip_Lookup[[#This Row],[Rider ID]]&amp;"|"&amp;Payslip_Lookup[[#This Row],[Month Key]])</f>
        <v/>
      </c>
      <c r="B495" s="172" t="str">
        <f aca="false">IF(ISNUMBER(Payslip_Lookup[[#This Row],[Salary Month]]),DATE(YEAR(Payslip_Lookup[[#This Row],[Salary Month]]),MONTH(Payslip_Lookup[[#This Row],[Salary Month]]),1),"")</f>
        <v/>
      </c>
      <c r="C495" s="172" t="str">
        <f aca="false">IF(INDEX(Salary_Calculation[Source Row],ROW()-ROW(Payslip_Lookup[#Headers]))="","",INDEX(Salary_Calculation[Salary Month],ROW()-ROW(Payslip_Lookup[#Headers])))</f>
        <v/>
      </c>
      <c r="D495" s="173" t="str">
        <f aca="false">IF(INDEX(Salary_Calculation[Source Row],ROW()-ROW(Payslip_Lookup[#Headers]))="","",INDEX(Salary_Calculation[Rider ID],ROW()-ROW(Payslip_Lookup[#Headers])))</f>
        <v/>
      </c>
      <c r="E495" s="171" t="str">
        <f aca="false">IF(INDEX(Salary_Calculation[Source Row],ROW()-ROW(Payslip_Lookup[#Headers]))="","",INDEX(Salary_Calculation[Rider Name],ROW()-ROW(Payslip_Lookup[#Headers])))</f>
        <v/>
      </c>
      <c r="F495" s="173" t="str">
        <f aca="false">IF(INDEX(Salary_Calculation[Source Row],ROW()-ROW(Payslip_Lookup[#Headers]))="","",INDEX(Salary_Calculation[Working Days],ROW()-ROW(Payslip_Lookup[#Headers])))</f>
        <v/>
      </c>
      <c r="G495" s="173" t="str">
        <f aca="false">IF(INDEX(Salary_Calculation[Source Row],ROW()-ROW(Payslip_Lookup[#Headers]))="","",INDEX(Salary_Calculation[Calendar Days],ROW()-ROW(Payslip_Lookup[#Headers])))</f>
        <v/>
      </c>
      <c r="H495" s="174" t="str">
        <f aca="false">IF(INDEX(Salary_Calculation[Source Row],ROW()-ROW(Payslip_Lookup[#Headers]))="","",INDEX(Salary_Calculation[Monthly Target Orders],ROW()-ROW(Payslip_Lookup[#Headers])))</f>
        <v/>
      </c>
      <c r="I495" s="174" t="str">
        <f aca="false">IF(INDEX(Salary_Calculation[Source Row],ROW()-ROW(Payslip_Lookup[#Headers]))="","",INDEX(Salary_Calculation[Rider Target Orders],ROW()-ROW(Payslip_Lookup[#Headers])))</f>
        <v/>
      </c>
      <c r="J495" s="175" t="str">
        <f aca="false">IF(INDEX(Salary_Calculation[Source Row],ROW()-ROW(Payslip_Lookup[#Headers]))="","",INDEX(Salary_Calculation[Completed Orders],ROW()-ROW(Payslip_Lookup[#Headers])))</f>
        <v/>
      </c>
      <c r="K495" s="174" t="str">
        <f aca="false">IF(INDEX(Salary_Calculation[Source Row],ROW()-ROW(Payslip_Lookup[#Headers]))="","",INDEX(Salary_Calculation[Base Order Rate],ROW()-ROW(Payslip_Lookup[#Headers])))</f>
        <v/>
      </c>
      <c r="L495" s="176" t="str">
        <f aca="false">IF(INDEX(Salary_Calculation[Source Row],ROW()-ROW(Payslip_Lookup[#Headers]))="","",INDEX(Salary_Calculation[Basic Payment],ROW()-ROW(Payslip_Lookup[#Headers])))</f>
        <v/>
      </c>
      <c r="M495" s="176" t="str">
        <f aca="false">IF(INDEX(Salary_Calculation[Source Row],ROW()-ROW(Payslip_Lookup[#Headers]))="","",INDEX(Salary_Calculation[Earned Salary],ROW()-ROW(Payslip_Lookup[#Headers])))</f>
        <v/>
      </c>
      <c r="N495" s="174" t="str">
        <f aca="false">IF(INDEX(Salary_Calculation[Source Row],ROW()-ROW(Payslip_Lookup[#Headers]))="","",INDEX(Salary_Calculation[Orders Counted at Base Rate],ROW()-ROW(Payslip_Lookup[#Headers])))</f>
        <v/>
      </c>
      <c r="O495" s="174" t="str">
        <f aca="false">IF(INDEX(Salary_Calculation[Source Row],ROW()-ROW(Payslip_Lookup[#Headers]))="","",INDEX(Salary_Calculation[Missing Orders],ROW()-ROW(Payslip_Lookup[#Headers])))</f>
        <v/>
      </c>
      <c r="P495" s="176" t="str">
        <f aca="false">IF(INDEX(Salary_Calculation[Source Row],ROW()-ROW(Payslip_Lookup[#Headers]))="","",INDEX(Salary_Calculation[Missing-Order Deduction],ROW()-ROW(Payslip_Lookup[#Headers])))</f>
        <v/>
      </c>
      <c r="Q495" s="174" t="str">
        <f aca="false">IF(INDEX(Salary_Calculation[Source Row],ROW()-ROW(Payslip_Lookup[#Headers]))="","",INDEX(Salary_Calculation[Extra Orders],ROW()-ROW(Payslip_Lookup[#Headers])))</f>
        <v/>
      </c>
      <c r="R495" s="176" t="str">
        <f aca="false">IF(INDEX(Salary_Calculation[Source Row],ROW()-ROW(Payslip_Lookup[#Headers]))="","",INDEX(Salary_Calculation[Extra-Order Bonus],ROW()-ROW(Payslip_Lookup[#Headers])))</f>
        <v/>
      </c>
      <c r="S495" s="176" t="str">
        <f aca="false">IF(INDEX(Salary_Calculation[Source Row],ROW()-ROW(Payslip_Lookup[#Headers]))="","",INDEX(Salary_Calculation[Basic Salary for Target],ROW()-ROW(Payslip_Lookup[#Headers])))</f>
        <v/>
      </c>
      <c r="T495" s="176" t="str">
        <f aca="false">IF(INDEX(Salary_Calculation[Source Row],ROW()-ROW(Payslip_Lookup[#Headers]))="","",INDEX(Salary_Calculation[Gross Salary Before Deductions],ROW()-ROW(Payslip_Lookup[#Headers])))</f>
        <v/>
      </c>
      <c r="U495" s="176" t="str">
        <f aca="false">IF(INDEX(Salary_Calculation[Source Row],ROW()-ROW(Payslip_Lookup[#Headers]))="","",INDEX(Salary_Calculation[missed_days_penalty],ROW()-ROW(Payslip_Lookup[#Headers])))</f>
        <v/>
      </c>
      <c r="V495" s="176" t="str">
        <f aca="false">IF(INDEX(Salary_Calculation[Source Row],ROW()-ROW(Payslip_Lookup[#Headers]))="","",INDEX(Salary_Calculation[Rider Balance],ROW()-ROW(Payslip_Lookup[#Headers])))</f>
        <v/>
      </c>
      <c r="W495" s="176" t="str">
        <f aca="false">IF(INDEX(Salary_Calculation[Source Row],ROW()-ROW(Payslip_Lookup[#Headers]))="","",INDEX(Salary_Calculation[stacking_deduction],ROW()-ROW(Payslip_Lookup[#Headers])))</f>
        <v/>
      </c>
      <c r="X495" s="176" t="str">
        <f aca="false">IF(INDEX(Salary_Calculation[Source Row],ROW()-ROW(Payslip_Lookup[#Headers]))="","",INDEX(Salary_Calculation[Other Deductions],ROW()-ROW(Payslip_Lookup[#Headers])))</f>
        <v/>
      </c>
      <c r="Y495" s="176" t="str">
        <f aca="false">IF(INDEX(Salary_Calculation[Source Row],ROW()-ROW(Payslip_Lookup[#Headers]))="","",INDEX(Salary_Calculation[Total Deductions],ROW()-ROW(Payslip_Lookup[#Headers])))</f>
        <v/>
      </c>
      <c r="Z495" s="176" t="str">
        <f aca="false">IF(INDEX(Salary_Calculation[Source Row],ROW()-ROW(Payslip_Lookup[#Headers]))="","",INDEX(Salary_Calculation[Final Salary],ROW()-ROW(Payslip_Lookup[#Headers])))</f>
        <v/>
      </c>
      <c r="AA495" s="176" t="str">
        <f aca="false">IF(INDEX(Salary_Calculation[Source Row],ROW()-ROW(Payslip_Lookup[#Headers]))="","",INDEX(Salary_Calculation[Negative Balance / Amount Due from Rider],ROW()-ROW(Payslip_Lookup[#Headers])))</f>
        <v/>
      </c>
      <c r="AB495" s="176" t="str">
        <f aca="false">IF(INDEX(Salary_Calculation[Source Row],ROW()-ROW(Payslip_Lookup[#Headers]))="","",INDEX(Salary_Calculation[Total Amount Due from Rider],ROW()-ROW(Payslip_Lookup[#Headers])))</f>
        <v/>
      </c>
      <c r="AC495" s="176" t="str">
        <f aca="false">IF(INDEX(Salary_Calculation[Source Row],ROW()-ROW(Payslip_Lookup[#Headers]))="","",INDEX(Salary_Calculation[Salary Before Other Deductions],ROW()-ROW(Payslip_Lookup[#Headers])))</f>
        <v/>
      </c>
      <c r="AD495" s="171" t="str">
        <f aca="false">IF(INDEX(Salary_Calculation[Source Row],ROW()-ROW(Payslip_Lookup[#Headers]))="","",INDEX(Salary_Calculation[Payment Status],ROW()-ROW(Payslip_Lookup[#Headers])))</f>
        <v/>
      </c>
      <c r="AE495" s="171" t="str">
        <f aca="false">IF(INDEX(Salary_Calculation[Source Row],ROW()-ROW(Payslip_Lookup[#Headers]))="","",INDEX(Salary_Calculation[Notes],ROW()-ROW(Payslip_Lookup[#Headers])))</f>
        <v/>
      </c>
      <c r="AF495" s="171" t="str">
        <f aca="false">IF(INDEX(Salary_Calculation[Source Row],ROW()-ROW(Payslip_Lookup[#Headers]))="","",INDEX(Salary_Calculation[Exception Reason],ROW()-ROW(Payslip_Lookup[#Headers])))</f>
        <v/>
      </c>
      <c r="AG495" s="173" t="str">
        <f aca="false">IF($AD495="Review Required",COUNTIF(AD$2:AD495,"Review Required"),"")</f>
        <v/>
      </c>
      <c r="AH495" s="173" t="str">
        <f aca="false">IF(AND($D495&lt;&gt;"",$B495=Payslip_Print!$C$2),MAX(AH$1:AH494)+1,"")</f>
        <v/>
      </c>
      <c r="AL495" s="178" t="str">
        <f aca="false">IFERROR(INDEX($D$2:$D$501,MATCH(ROW()-1,$AH$2:$AH$501,0)),"")</f>
        <v/>
      </c>
      <c r="AM495" s="179" t="str">
        <f aca="false">IF($Z495="","",IF(AND($C495&gt;=Dash_Start,$C495&lt;Dash_End),$Z495+ROW()/10000000,""))</f>
        <v/>
      </c>
    </row>
    <row r="496" customFormat="false" ht="14.25" hidden="false" customHeight="false" outlineLevel="0" collapsed="false">
      <c r="A496" s="171" t="str">
        <f aca="false">IF(Payslip_Lookup[[#This Row],[Rider ID]]="","",Payslip_Lookup[[#This Row],[Rider ID]]&amp;"|"&amp;Payslip_Lookup[[#This Row],[Month Key]])</f>
        <v/>
      </c>
      <c r="B496" s="172" t="str">
        <f aca="false">IF(ISNUMBER(Payslip_Lookup[[#This Row],[Salary Month]]),DATE(YEAR(Payslip_Lookup[[#This Row],[Salary Month]]),MONTH(Payslip_Lookup[[#This Row],[Salary Month]]),1),"")</f>
        <v/>
      </c>
      <c r="C496" s="172" t="str">
        <f aca="false">IF(INDEX(Salary_Calculation[Source Row],ROW()-ROW(Payslip_Lookup[#Headers]))="","",INDEX(Salary_Calculation[Salary Month],ROW()-ROW(Payslip_Lookup[#Headers])))</f>
        <v/>
      </c>
      <c r="D496" s="173" t="str">
        <f aca="false">IF(INDEX(Salary_Calculation[Source Row],ROW()-ROW(Payslip_Lookup[#Headers]))="","",INDEX(Salary_Calculation[Rider ID],ROW()-ROW(Payslip_Lookup[#Headers])))</f>
        <v/>
      </c>
      <c r="E496" s="171" t="str">
        <f aca="false">IF(INDEX(Salary_Calculation[Source Row],ROW()-ROW(Payslip_Lookup[#Headers]))="","",INDEX(Salary_Calculation[Rider Name],ROW()-ROW(Payslip_Lookup[#Headers])))</f>
        <v/>
      </c>
      <c r="F496" s="173" t="str">
        <f aca="false">IF(INDEX(Salary_Calculation[Source Row],ROW()-ROW(Payslip_Lookup[#Headers]))="","",INDEX(Salary_Calculation[Working Days],ROW()-ROW(Payslip_Lookup[#Headers])))</f>
        <v/>
      </c>
      <c r="G496" s="173" t="str">
        <f aca="false">IF(INDEX(Salary_Calculation[Source Row],ROW()-ROW(Payslip_Lookup[#Headers]))="","",INDEX(Salary_Calculation[Calendar Days],ROW()-ROW(Payslip_Lookup[#Headers])))</f>
        <v/>
      </c>
      <c r="H496" s="174" t="str">
        <f aca="false">IF(INDEX(Salary_Calculation[Source Row],ROW()-ROW(Payslip_Lookup[#Headers]))="","",INDEX(Salary_Calculation[Monthly Target Orders],ROW()-ROW(Payslip_Lookup[#Headers])))</f>
        <v/>
      </c>
      <c r="I496" s="174" t="str">
        <f aca="false">IF(INDEX(Salary_Calculation[Source Row],ROW()-ROW(Payslip_Lookup[#Headers]))="","",INDEX(Salary_Calculation[Rider Target Orders],ROW()-ROW(Payslip_Lookup[#Headers])))</f>
        <v/>
      </c>
      <c r="J496" s="175" t="str">
        <f aca="false">IF(INDEX(Salary_Calculation[Source Row],ROW()-ROW(Payslip_Lookup[#Headers]))="","",INDEX(Salary_Calculation[Completed Orders],ROW()-ROW(Payslip_Lookup[#Headers])))</f>
        <v/>
      </c>
      <c r="K496" s="174" t="str">
        <f aca="false">IF(INDEX(Salary_Calculation[Source Row],ROW()-ROW(Payslip_Lookup[#Headers]))="","",INDEX(Salary_Calculation[Base Order Rate],ROW()-ROW(Payslip_Lookup[#Headers])))</f>
        <v/>
      </c>
      <c r="L496" s="176" t="str">
        <f aca="false">IF(INDEX(Salary_Calculation[Source Row],ROW()-ROW(Payslip_Lookup[#Headers]))="","",INDEX(Salary_Calculation[Basic Payment],ROW()-ROW(Payslip_Lookup[#Headers])))</f>
        <v/>
      </c>
      <c r="M496" s="176" t="str">
        <f aca="false">IF(INDEX(Salary_Calculation[Source Row],ROW()-ROW(Payslip_Lookup[#Headers]))="","",INDEX(Salary_Calculation[Earned Salary],ROW()-ROW(Payslip_Lookup[#Headers])))</f>
        <v/>
      </c>
      <c r="N496" s="174" t="str">
        <f aca="false">IF(INDEX(Salary_Calculation[Source Row],ROW()-ROW(Payslip_Lookup[#Headers]))="","",INDEX(Salary_Calculation[Orders Counted at Base Rate],ROW()-ROW(Payslip_Lookup[#Headers])))</f>
        <v/>
      </c>
      <c r="O496" s="174" t="str">
        <f aca="false">IF(INDEX(Salary_Calculation[Source Row],ROW()-ROW(Payslip_Lookup[#Headers]))="","",INDEX(Salary_Calculation[Missing Orders],ROW()-ROW(Payslip_Lookup[#Headers])))</f>
        <v/>
      </c>
      <c r="P496" s="176" t="str">
        <f aca="false">IF(INDEX(Salary_Calculation[Source Row],ROW()-ROW(Payslip_Lookup[#Headers]))="","",INDEX(Salary_Calculation[Missing-Order Deduction],ROW()-ROW(Payslip_Lookup[#Headers])))</f>
        <v/>
      </c>
      <c r="Q496" s="174" t="str">
        <f aca="false">IF(INDEX(Salary_Calculation[Source Row],ROW()-ROW(Payslip_Lookup[#Headers]))="","",INDEX(Salary_Calculation[Extra Orders],ROW()-ROW(Payslip_Lookup[#Headers])))</f>
        <v/>
      </c>
      <c r="R496" s="176" t="str">
        <f aca="false">IF(INDEX(Salary_Calculation[Source Row],ROW()-ROW(Payslip_Lookup[#Headers]))="","",INDEX(Salary_Calculation[Extra-Order Bonus],ROW()-ROW(Payslip_Lookup[#Headers])))</f>
        <v/>
      </c>
      <c r="S496" s="176" t="str">
        <f aca="false">IF(INDEX(Salary_Calculation[Source Row],ROW()-ROW(Payslip_Lookup[#Headers]))="","",INDEX(Salary_Calculation[Basic Salary for Target],ROW()-ROW(Payslip_Lookup[#Headers])))</f>
        <v/>
      </c>
      <c r="T496" s="176" t="str">
        <f aca="false">IF(INDEX(Salary_Calculation[Source Row],ROW()-ROW(Payslip_Lookup[#Headers]))="","",INDEX(Salary_Calculation[Gross Salary Before Deductions],ROW()-ROW(Payslip_Lookup[#Headers])))</f>
        <v/>
      </c>
      <c r="U496" s="176" t="str">
        <f aca="false">IF(INDEX(Salary_Calculation[Source Row],ROW()-ROW(Payslip_Lookup[#Headers]))="","",INDEX(Salary_Calculation[missed_days_penalty],ROW()-ROW(Payslip_Lookup[#Headers])))</f>
        <v/>
      </c>
      <c r="V496" s="176" t="str">
        <f aca="false">IF(INDEX(Salary_Calculation[Source Row],ROW()-ROW(Payslip_Lookup[#Headers]))="","",INDEX(Salary_Calculation[Rider Balance],ROW()-ROW(Payslip_Lookup[#Headers])))</f>
        <v/>
      </c>
      <c r="W496" s="176" t="str">
        <f aca="false">IF(INDEX(Salary_Calculation[Source Row],ROW()-ROW(Payslip_Lookup[#Headers]))="","",INDEX(Salary_Calculation[stacking_deduction],ROW()-ROW(Payslip_Lookup[#Headers])))</f>
        <v/>
      </c>
      <c r="X496" s="176" t="str">
        <f aca="false">IF(INDEX(Salary_Calculation[Source Row],ROW()-ROW(Payslip_Lookup[#Headers]))="","",INDEX(Salary_Calculation[Other Deductions],ROW()-ROW(Payslip_Lookup[#Headers])))</f>
        <v/>
      </c>
      <c r="Y496" s="176" t="str">
        <f aca="false">IF(INDEX(Salary_Calculation[Source Row],ROW()-ROW(Payslip_Lookup[#Headers]))="","",INDEX(Salary_Calculation[Total Deductions],ROW()-ROW(Payslip_Lookup[#Headers])))</f>
        <v/>
      </c>
      <c r="Z496" s="176" t="str">
        <f aca="false">IF(INDEX(Salary_Calculation[Source Row],ROW()-ROW(Payslip_Lookup[#Headers]))="","",INDEX(Salary_Calculation[Final Salary],ROW()-ROW(Payslip_Lookup[#Headers])))</f>
        <v/>
      </c>
      <c r="AA496" s="176" t="str">
        <f aca="false">IF(INDEX(Salary_Calculation[Source Row],ROW()-ROW(Payslip_Lookup[#Headers]))="","",INDEX(Salary_Calculation[Negative Balance / Amount Due from Rider],ROW()-ROW(Payslip_Lookup[#Headers])))</f>
        <v/>
      </c>
      <c r="AB496" s="176" t="str">
        <f aca="false">IF(INDEX(Salary_Calculation[Source Row],ROW()-ROW(Payslip_Lookup[#Headers]))="","",INDEX(Salary_Calculation[Total Amount Due from Rider],ROW()-ROW(Payslip_Lookup[#Headers])))</f>
        <v/>
      </c>
      <c r="AC496" s="176" t="str">
        <f aca="false">IF(INDEX(Salary_Calculation[Source Row],ROW()-ROW(Payslip_Lookup[#Headers]))="","",INDEX(Salary_Calculation[Salary Before Other Deductions],ROW()-ROW(Payslip_Lookup[#Headers])))</f>
        <v/>
      </c>
      <c r="AD496" s="171" t="str">
        <f aca="false">IF(INDEX(Salary_Calculation[Source Row],ROW()-ROW(Payslip_Lookup[#Headers]))="","",INDEX(Salary_Calculation[Payment Status],ROW()-ROW(Payslip_Lookup[#Headers])))</f>
        <v/>
      </c>
      <c r="AE496" s="171" t="str">
        <f aca="false">IF(INDEX(Salary_Calculation[Source Row],ROW()-ROW(Payslip_Lookup[#Headers]))="","",INDEX(Salary_Calculation[Notes],ROW()-ROW(Payslip_Lookup[#Headers])))</f>
        <v/>
      </c>
      <c r="AF496" s="171" t="str">
        <f aca="false">IF(INDEX(Salary_Calculation[Source Row],ROW()-ROW(Payslip_Lookup[#Headers]))="","",INDEX(Salary_Calculation[Exception Reason],ROW()-ROW(Payslip_Lookup[#Headers])))</f>
        <v/>
      </c>
      <c r="AG496" s="173" t="str">
        <f aca="false">IF($AD496="Review Required",COUNTIF(AD$2:AD496,"Review Required"),"")</f>
        <v/>
      </c>
      <c r="AH496" s="173" t="str">
        <f aca="false">IF(AND($D496&lt;&gt;"",$B496=Payslip_Print!$C$2),MAX(AH$1:AH495)+1,"")</f>
        <v/>
      </c>
      <c r="AL496" s="178" t="str">
        <f aca="false">IFERROR(INDEX($D$2:$D$501,MATCH(ROW()-1,$AH$2:$AH$501,0)),"")</f>
        <v/>
      </c>
      <c r="AM496" s="179" t="str">
        <f aca="false">IF($Z496="","",IF(AND($C496&gt;=Dash_Start,$C496&lt;Dash_End),$Z496+ROW()/10000000,""))</f>
        <v/>
      </c>
    </row>
    <row r="497" customFormat="false" ht="14.25" hidden="false" customHeight="false" outlineLevel="0" collapsed="false">
      <c r="A497" s="171" t="str">
        <f aca="false">IF(Payslip_Lookup[[#This Row],[Rider ID]]="","",Payslip_Lookup[[#This Row],[Rider ID]]&amp;"|"&amp;Payslip_Lookup[[#This Row],[Month Key]])</f>
        <v/>
      </c>
      <c r="B497" s="172" t="str">
        <f aca="false">IF(ISNUMBER(Payslip_Lookup[[#This Row],[Salary Month]]),DATE(YEAR(Payslip_Lookup[[#This Row],[Salary Month]]),MONTH(Payslip_Lookup[[#This Row],[Salary Month]]),1),"")</f>
        <v/>
      </c>
      <c r="C497" s="172" t="str">
        <f aca="false">IF(INDEX(Salary_Calculation[Source Row],ROW()-ROW(Payslip_Lookup[#Headers]))="","",INDEX(Salary_Calculation[Salary Month],ROW()-ROW(Payslip_Lookup[#Headers])))</f>
        <v/>
      </c>
      <c r="D497" s="173" t="str">
        <f aca="false">IF(INDEX(Salary_Calculation[Source Row],ROW()-ROW(Payslip_Lookup[#Headers]))="","",INDEX(Salary_Calculation[Rider ID],ROW()-ROW(Payslip_Lookup[#Headers])))</f>
        <v/>
      </c>
      <c r="E497" s="171" t="str">
        <f aca="false">IF(INDEX(Salary_Calculation[Source Row],ROW()-ROW(Payslip_Lookup[#Headers]))="","",INDEX(Salary_Calculation[Rider Name],ROW()-ROW(Payslip_Lookup[#Headers])))</f>
        <v/>
      </c>
      <c r="F497" s="173" t="str">
        <f aca="false">IF(INDEX(Salary_Calculation[Source Row],ROW()-ROW(Payslip_Lookup[#Headers]))="","",INDEX(Salary_Calculation[Working Days],ROW()-ROW(Payslip_Lookup[#Headers])))</f>
        <v/>
      </c>
      <c r="G497" s="173" t="str">
        <f aca="false">IF(INDEX(Salary_Calculation[Source Row],ROW()-ROW(Payslip_Lookup[#Headers]))="","",INDEX(Salary_Calculation[Calendar Days],ROW()-ROW(Payslip_Lookup[#Headers])))</f>
        <v/>
      </c>
      <c r="H497" s="174" t="str">
        <f aca="false">IF(INDEX(Salary_Calculation[Source Row],ROW()-ROW(Payslip_Lookup[#Headers]))="","",INDEX(Salary_Calculation[Monthly Target Orders],ROW()-ROW(Payslip_Lookup[#Headers])))</f>
        <v/>
      </c>
      <c r="I497" s="174" t="str">
        <f aca="false">IF(INDEX(Salary_Calculation[Source Row],ROW()-ROW(Payslip_Lookup[#Headers]))="","",INDEX(Salary_Calculation[Rider Target Orders],ROW()-ROW(Payslip_Lookup[#Headers])))</f>
        <v/>
      </c>
      <c r="J497" s="175" t="str">
        <f aca="false">IF(INDEX(Salary_Calculation[Source Row],ROW()-ROW(Payslip_Lookup[#Headers]))="","",INDEX(Salary_Calculation[Completed Orders],ROW()-ROW(Payslip_Lookup[#Headers])))</f>
        <v/>
      </c>
      <c r="K497" s="174" t="str">
        <f aca="false">IF(INDEX(Salary_Calculation[Source Row],ROW()-ROW(Payslip_Lookup[#Headers]))="","",INDEX(Salary_Calculation[Base Order Rate],ROW()-ROW(Payslip_Lookup[#Headers])))</f>
        <v/>
      </c>
      <c r="L497" s="176" t="str">
        <f aca="false">IF(INDEX(Salary_Calculation[Source Row],ROW()-ROW(Payslip_Lookup[#Headers]))="","",INDEX(Salary_Calculation[Basic Payment],ROW()-ROW(Payslip_Lookup[#Headers])))</f>
        <v/>
      </c>
      <c r="M497" s="176" t="str">
        <f aca="false">IF(INDEX(Salary_Calculation[Source Row],ROW()-ROW(Payslip_Lookup[#Headers]))="","",INDEX(Salary_Calculation[Earned Salary],ROW()-ROW(Payslip_Lookup[#Headers])))</f>
        <v/>
      </c>
      <c r="N497" s="174" t="str">
        <f aca="false">IF(INDEX(Salary_Calculation[Source Row],ROW()-ROW(Payslip_Lookup[#Headers]))="","",INDEX(Salary_Calculation[Orders Counted at Base Rate],ROW()-ROW(Payslip_Lookup[#Headers])))</f>
        <v/>
      </c>
      <c r="O497" s="174" t="str">
        <f aca="false">IF(INDEX(Salary_Calculation[Source Row],ROW()-ROW(Payslip_Lookup[#Headers]))="","",INDEX(Salary_Calculation[Missing Orders],ROW()-ROW(Payslip_Lookup[#Headers])))</f>
        <v/>
      </c>
      <c r="P497" s="176" t="str">
        <f aca="false">IF(INDEX(Salary_Calculation[Source Row],ROW()-ROW(Payslip_Lookup[#Headers]))="","",INDEX(Salary_Calculation[Missing-Order Deduction],ROW()-ROW(Payslip_Lookup[#Headers])))</f>
        <v/>
      </c>
      <c r="Q497" s="174" t="str">
        <f aca="false">IF(INDEX(Salary_Calculation[Source Row],ROW()-ROW(Payslip_Lookup[#Headers]))="","",INDEX(Salary_Calculation[Extra Orders],ROW()-ROW(Payslip_Lookup[#Headers])))</f>
        <v/>
      </c>
      <c r="R497" s="176" t="str">
        <f aca="false">IF(INDEX(Salary_Calculation[Source Row],ROW()-ROW(Payslip_Lookup[#Headers]))="","",INDEX(Salary_Calculation[Extra-Order Bonus],ROW()-ROW(Payslip_Lookup[#Headers])))</f>
        <v/>
      </c>
      <c r="S497" s="176" t="str">
        <f aca="false">IF(INDEX(Salary_Calculation[Source Row],ROW()-ROW(Payslip_Lookup[#Headers]))="","",INDEX(Salary_Calculation[Basic Salary for Target],ROW()-ROW(Payslip_Lookup[#Headers])))</f>
        <v/>
      </c>
      <c r="T497" s="176" t="str">
        <f aca="false">IF(INDEX(Salary_Calculation[Source Row],ROW()-ROW(Payslip_Lookup[#Headers]))="","",INDEX(Salary_Calculation[Gross Salary Before Deductions],ROW()-ROW(Payslip_Lookup[#Headers])))</f>
        <v/>
      </c>
      <c r="U497" s="176" t="str">
        <f aca="false">IF(INDEX(Salary_Calculation[Source Row],ROW()-ROW(Payslip_Lookup[#Headers]))="","",INDEX(Salary_Calculation[missed_days_penalty],ROW()-ROW(Payslip_Lookup[#Headers])))</f>
        <v/>
      </c>
      <c r="V497" s="176" t="str">
        <f aca="false">IF(INDEX(Salary_Calculation[Source Row],ROW()-ROW(Payslip_Lookup[#Headers]))="","",INDEX(Salary_Calculation[Rider Balance],ROW()-ROW(Payslip_Lookup[#Headers])))</f>
        <v/>
      </c>
      <c r="W497" s="176" t="str">
        <f aca="false">IF(INDEX(Salary_Calculation[Source Row],ROW()-ROW(Payslip_Lookup[#Headers]))="","",INDEX(Salary_Calculation[stacking_deduction],ROW()-ROW(Payslip_Lookup[#Headers])))</f>
        <v/>
      </c>
      <c r="X497" s="176" t="str">
        <f aca="false">IF(INDEX(Salary_Calculation[Source Row],ROW()-ROW(Payslip_Lookup[#Headers]))="","",INDEX(Salary_Calculation[Other Deductions],ROW()-ROW(Payslip_Lookup[#Headers])))</f>
        <v/>
      </c>
      <c r="Y497" s="176" t="str">
        <f aca="false">IF(INDEX(Salary_Calculation[Source Row],ROW()-ROW(Payslip_Lookup[#Headers]))="","",INDEX(Salary_Calculation[Total Deductions],ROW()-ROW(Payslip_Lookup[#Headers])))</f>
        <v/>
      </c>
      <c r="Z497" s="176" t="str">
        <f aca="false">IF(INDEX(Salary_Calculation[Source Row],ROW()-ROW(Payslip_Lookup[#Headers]))="","",INDEX(Salary_Calculation[Final Salary],ROW()-ROW(Payslip_Lookup[#Headers])))</f>
        <v/>
      </c>
      <c r="AA497" s="176" t="str">
        <f aca="false">IF(INDEX(Salary_Calculation[Source Row],ROW()-ROW(Payslip_Lookup[#Headers]))="","",INDEX(Salary_Calculation[Negative Balance / Amount Due from Rider],ROW()-ROW(Payslip_Lookup[#Headers])))</f>
        <v/>
      </c>
      <c r="AB497" s="176" t="str">
        <f aca="false">IF(INDEX(Salary_Calculation[Source Row],ROW()-ROW(Payslip_Lookup[#Headers]))="","",INDEX(Salary_Calculation[Total Amount Due from Rider],ROW()-ROW(Payslip_Lookup[#Headers])))</f>
        <v/>
      </c>
      <c r="AC497" s="176" t="str">
        <f aca="false">IF(INDEX(Salary_Calculation[Source Row],ROW()-ROW(Payslip_Lookup[#Headers]))="","",INDEX(Salary_Calculation[Salary Before Other Deductions],ROW()-ROW(Payslip_Lookup[#Headers])))</f>
        <v/>
      </c>
      <c r="AD497" s="171" t="str">
        <f aca="false">IF(INDEX(Salary_Calculation[Source Row],ROW()-ROW(Payslip_Lookup[#Headers]))="","",INDEX(Salary_Calculation[Payment Status],ROW()-ROW(Payslip_Lookup[#Headers])))</f>
        <v/>
      </c>
      <c r="AE497" s="171" t="str">
        <f aca="false">IF(INDEX(Salary_Calculation[Source Row],ROW()-ROW(Payslip_Lookup[#Headers]))="","",INDEX(Salary_Calculation[Notes],ROW()-ROW(Payslip_Lookup[#Headers])))</f>
        <v/>
      </c>
      <c r="AF497" s="171" t="str">
        <f aca="false">IF(INDEX(Salary_Calculation[Source Row],ROW()-ROW(Payslip_Lookup[#Headers]))="","",INDEX(Salary_Calculation[Exception Reason],ROW()-ROW(Payslip_Lookup[#Headers])))</f>
        <v/>
      </c>
      <c r="AG497" s="173" t="str">
        <f aca="false">IF($AD497="Review Required",COUNTIF(AD$2:AD497,"Review Required"),"")</f>
        <v/>
      </c>
      <c r="AH497" s="173" t="str">
        <f aca="false">IF(AND($D497&lt;&gt;"",$B497=Payslip_Print!$C$2),MAX(AH$1:AH496)+1,"")</f>
        <v/>
      </c>
      <c r="AL497" s="178" t="str">
        <f aca="false">IFERROR(INDEX($D$2:$D$501,MATCH(ROW()-1,$AH$2:$AH$501,0)),"")</f>
        <v/>
      </c>
      <c r="AM497" s="179" t="str">
        <f aca="false">IF($Z497="","",IF(AND($C497&gt;=Dash_Start,$C497&lt;Dash_End),$Z497+ROW()/10000000,""))</f>
        <v/>
      </c>
    </row>
    <row r="498" customFormat="false" ht="14.25" hidden="false" customHeight="false" outlineLevel="0" collapsed="false">
      <c r="A498" s="171" t="str">
        <f aca="false">IF(Payslip_Lookup[[#This Row],[Rider ID]]="","",Payslip_Lookup[[#This Row],[Rider ID]]&amp;"|"&amp;Payslip_Lookup[[#This Row],[Month Key]])</f>
        <v/>
      </c>
      <c r="B498" s="172" t="str">
        <f aca="false">IF(ISNUMBER(Payslip_Lookup[[#This Row],[Salary Month]]),DATE(YEAR(Payslip_Lookup[[#This Row],[Salary Month]]),MONTH(Payslip_Lookup[[#This Row],[Salary Month]]),1),"")</f>
        <v/>
      </c>
      <c r="C498" s="172" t="str">
        <f aca="false">IF(INDEX(Salary_Calculation[Source Row],ROW()-ROW(Payslip_Lookup[#Headers]))="","",INDEX(Salary_Calculation[Salary Month],ROW()-ROW(Payslip_Lookup[#Headers])))</f>
        <v/>
      </c>
      <c r="D498" s="173" t="str">
        <f aca="false">IF(INDEX(Salary_Calculation[Source Row],ROW()-ROW(Payslip_Lookup[#Headers]))="","",INDEX(Salary_Calculation[Rider ID],ROW()-ROW(Payslip_Lookup[#Headers])))</f>
        <v/>
      </c>
      <c r="E498" s="171" t="str">
        <f aca="false">IF(INDEX(Salary_Calculation[Source Row],ROW()-ROW(Payslip_Lookup[#Headers]))="","",INDEX(Salary_Calculation[Rider Name],ROW()-ROW(Payslip_Lookup[#Headers])))</f>
        <v/>
      </c>
      <c r="F498" s="173" t="str">
        <f aca="false">IF(INDEX(Salary_Calculation[Source Row],ROW()-ROW(Payslip_Lookup[#Headers]))="","",INDEX(Salary_Calculation[Working Days],ROW()-ROW(Payslip_Lookup[#Headers])))</f>
        <v/>
      </c>
      <c r="G498" s="173" t="str">
        <f aca="false">IF(INDEX(Salary_Calculation[Source Row],ROW()-ROW(Payslip_Lookup[#Headers]))="","",INDEX(Salary_Calculation[Calendar Days],ROW()-ROW(Payslip_Lookup[#Headers])))</f>
        <v/>
      </c>
      <c r="H498" s="174" t="str">
        <f aca="false">IF(INDEX(Salary_Calculation[Source Row],ROW()-ROW(Payslip_Lookup[#Headers]))="","",INDEX(Salary_Calculation[Monthly Target Orders],ROW()-ROW(Payslip_Lookup[#Headers])))</f>
        <v/>
      </c>
      <c r="I498" s="174" t="str">
        <f aca="false">IF(INDEX(Salary_Calculation[Source Row],ROW()-ROW(Payslip_Lookup[#Headers]))="","",INDEX(Salary_Calculation[Rider Target Orders],ROW()-ROW(Payslip_Lookup[#Headers])))</f>
        <v/>
      </c>
      <c r="J498" s="175" t="str">
        <f aca="false">IF(INDEX(Salary_Calculation[Source Row],ROW()-ROW(Payslip_Lookup[#Headers]))="","",INDEX(Salary_Calculation[Completed Orders],ROW()-ROW(Payslip_Lookup[#Headers])))</f>
        <v/>
      </c>
      <c r="K498" s="174" t="str">
        <f aca="false">IF(INDEX(Salary_Calculation[Source Row],ROW()-ROW(Payslip_Lookup[#Headers]))="","",INDEX(Salary_Calculation[Base Order Rate],ROW()-ROW(Payslip_Lookup[#Headers])))</f>
        <v/>
      </c>
      <c r="L498" s="176" t="str">
        <f aca="false">IF(INDEX(Salary_Calculation[Source Row],ROW()-ROW(Payslip_Lookup[#Headers]))="","",INDEX(Salary_Calculation[Basic Payment],ROW()-ROW(Payslip_Lookup[#Headers])))</f>
        <v/>
      </c>
      <c r="M498" s="176" t="str">
        <f aca="false">IF(INDEX(Salary_Calculation[Source Row],ROW()-ROW(Payslip_Lookup[#Headers]))="","",INDEX(Salary_Calculation[Earned Salary],ROW()-ROW(Payslip_Lookup[#Headers])))</f>
        <v/>
      </c>
      <c r="N498" s="174" t="str">
        <f aca="false">IF(INDEX(Salary_Calculation[Source Row],ROW()-ROW(Payslip_Lookup[#Headers]))="","",INDEX(Salary_Calculation[Orders Counted at Base Rate],ROW()-ROW(Payslip_Lookup[#Headers])))</f>
        <v/>
      </c>
      <c r="O498" s="174" t="str">
        <f aca="false">IF(INDEX(Salary_Calculation[Source Row],ROW()-ROW(Payslip_Lookup[#Headers]))="","",INDEX(Salary_Calculation[Missing Orders],ROW()-ROW(Payslip_Lookup[#Headers])))</f>
        <v/>
      </c>
      <c r="P498" s="176" t="str">
        <f aca="false">IF(INDEX(Salary_Calculation[Source Row],ROW()-ROW(Payslip_Lookup[#Headers]))="","",INDEX(Salary_Calculation[Missing-Order Deduction],ROW()-ROW(Payslip_Lookup[#Headers])))</f>
        <v/>
      </c>
      <c r="Q498" s="174" t="str">
        <f aca="false">IF(INDEX(Salary_Calculation[Source Row],ROW()-ROW(Payslip_Lookup[#Headers]))="","",INDEX(Salary_Calculation[Extra Orders],ROW()-ROW(Payslip_Lookup[#Headers])))</f>
        <v/>
      </c>
      <c r="R498" s="176" t="str">
        <f aca="false">IF(INDEX(Salary_Calculation[Source Row],ROW()-ROW(Payslip_Lookup[#Headers]))="","",INDEX(Salary_Calculation[Extra-Order Bonus],ROW()-ROW(Payslip_Lookup[#Headers])))</f>
        <v/>
      </c>
      <c r="S498" s="176" t="str">
        <f aca="false">IF(INDEX(Salary_Calculation[Source Row],ROW()-ROW(Payslip_Lookup[#Headers]))="","",INDEX(Salary_Calculation[Basic Salary for Target],ROW()-ROW(Payslip_Lookup[#Headers])))</f>
        <v/>
      </c>
      <c r="T498" s="176" t="str">
        <f aca="false">IF(INDEX(Salary_Calculation[Source Row],ROW()-ROW(Payslip_Lookup[#Headers]))="","",INDEX(Salary_Calculation[Gross Salary Before Deductions],ROW()-ROW(Payslip_Lookup[#Headers])))</f>
        <v/>
      </c>
      <c r="U498" s="176" t="str">
        <f aca="false">IF(INDEX(Salary_Calculation[Source Row],ROW()-ROW(Payslip_Lookup[#Headers]))="","",INDEX(Salary_Calculation[missed_days_penalty],ROW()-ROW(Payslip_Lookup[#Headers])))</f>
        <v/>
      </c>
      <c r="V498" s="176" t="str">
        <f aca="false">IF(INDEX(Salary_Calculation[Source Row],ROW()-ROW(Payslip_Lookup[#Headers]))="","",INDEX(Salary_Calculation[Rider Balance],ROW()-ROW(Payslip_Lookup[#Headers])))</f>
        <v/>
      </c>
      <c r="W498" s="176" t="str">
        <f aca="false">IF(INDEX(Salary_Calculation[Source Row],ROW()-ROW(Payslip_Lookup[#Headers]))="","",INDEX(Salary_Calculation[stacking_deduction],ROW()-ROW(Payslip_Lookup[#Headers])))</f>
        <v/>
      </c>
      <c r="X498" s="176" t="str">
        <f aca="false">IF(INDEX(Salary_Calculation[Source Row],ROW()-ROW(Payslip_Lookup[#Headers]))="","",INDEX(Salary_Calculation[Other Deductions],ROW()-ROW(Payslip_Lookup[#Headers])))</f>
        <v/>
      </c>
      <c r="Y498" s="176" t="str">
        <f aca="false">IF(INDEX(Salary_Calculation[Source Row],ROW()-ROW(Payslip_Lookup[#Headers]))="","",INDEX(Salary_Calculation[Total Deductions],ROW()-ROW(Payslip_Lookup[#Headers])))</f>
        <v/>
      </c>
      <c r="Z498" s="176" t="str">
        <f aca="false">IF(INDEX(Salary_Calculation[Source Row],ROW()-ROW(Payslip_Lookup[#Headers]))="","",INDEX(Salary_Calculation[Final Salary],ROW()-ROW(Payslip_Lookup[#Headers])))</f>
        <v/>
      </c>
      <c r="AA498" s="176" t="str">
        <f aca="false">IF(INDEX(Salary_Calculation[Source Row],ROW()-ROW(Payslip_Lookup[#Headers]))="","",INDEX(Salary_Calculation[Negative Balance / Amount Due from Rider],ROW()-ROW(Payslip_Lookup[#Headers])))</f>
        <v/>
      </c>
      <c r="AB498" s="176" t="str">
        <f aca="false">IF(INDEX(Salary_Calculation[Source Row],ROW()-ROW(Payslip_Lookup[#Headers]))="","",INDEX(Salary_Calculation[Total Amount Due from Rider],ROW()-ROW(Payslip_Lookup[#Headers])))</f>
        <v/>
      </c>
      <c r="AC498" s="176" t="str">
        <f aca="false">IF(INDEX(Salary_Calculation[Source Row],ROW()-ROW(Payslip_Lookup[#Headers]))="","",INDEX(Salary_Calculation[Salary Before Other Deductions],ROW()-ROW(Payslip_Lookup[#Headers])))</f>
        <v/>
      </c>
      <c r="AD498" s="171" t="str">
        <f aca="false">IF(INDEX(Salary_Calculation[Source Row],ROW()-ROW(Payslip_Lookup[#Headers]))="","",INDEX(Salary_Calculation[Payment Status],ROW()-ROW(Payslip_Lookup[#Headers])))</f>
        <v/>
      </c>
      <c r="AE498" s="171" t="str">
        <f aca="false">IF(INDEX(Salary_Calculation[Source Row],ROW()-ROW(Payslip_Lookup[#Headers]))="","",INDEX(Salary_Calculation[Notes],ROW()-ROW(Payslip_Lookup[#Headers])))</f>
        <v/>
      </c>
      <c r="AF498" s="171" t="str">
        <f aca="false">IF(INDEX(Salary_Calculation[Source Row],ROW()-ROW(Payslip_Lookup[#Headers]))="","",INDEX(Salary_Calculation[Exception Reason],ROW()-ROW(Payslip_Lookup[#Headers])))</f>
        <v/>
      </c>
      <c r="AG498" s="173" t="str">
        <f aca="false">IF($AD498="Review Required",COUNTIF(AD$2:AD498,"Review Required"),"")</f>
        <v/>
      </c>
      <c r="AH498" s="173" t="str">
        <f aca="false">IF(AND($D498&lt;&gt;"",$B498=Payslip_Print!$C$2),MAX(AH$1:AH497)+1,"")</f>
        <v/>
      </c>
      <c r="AL498" s="178" t="str">
        <f aca="false">IFERROR(INDEX($D$2:$D$501,MATCH(ROW()-1,$AH$2:$AH$501,0)),"")</f>
        <v/>
      </c>
      <c r="AM498" s="179" t="str">
        <f aca="false">IF($Z498="","",IF(AND($C498&gt;=Dash_Start,$C498&lt;Dash_End),$Z498+ROW()/10000000,""))</f>
        <v/>
      </c>
    </row>
    <row r="499" customFormat="false" ht="14.25" hidden="false" customHeight="false" outlineLevel="0" collapsed="false">
      <c r="A499" s="171" t="str">
        <f aca="false">IF(Payslip_Lookup[[#This Row],[Rider ID]]="","",Payslip_Lookup[[#This Row],[Rider ID]]&amp;"|"&amp;Payslip_Lookup[[#This Row],[Month Key]])</f>
        <v/>
      </c>
      <c r="B499" s="172" t="str">
        <f aca="false">IF(ISNUMBER(Payslip_Lookup[[#This Row],[Salary Month]]),DATE(YEAR(Payslip_Lookup[[#This Row],[Salary Month]]),MONTH(Payslip_Lookup[[#This Row],[Salary Month]]),1),"")</f>
        <v/>
      </c>
      <c r="C499" s="172" t="str">
        <f aca="false">IF(INDEX(Salary_Calculation[Source Row],ROW()-ROW(Payslip_Lookup[#Headers]))="","",INDEX(Salary_Calculation[Salary Month],ROW()-ROW(Payslip_Lookup[#Headers])))</f>
        <v/>
      </c>
      <c r="D499" s="173" t="str">
        <f aca="false">IF(INDEX(Salary_Calculation[Source Row],ROW()-ROW(Payslip_Lookup[#Headers]))="","",INDEX(Salary_Calculation[Rider ID],ROW()-ROW(Payslip_Lookup[#Headers])))</f>
        <v/>
      </c>
      <c r="E499" s="171" t="str">
        <f aca="false">IF(INDEX(Salary_Calculation[Source Row],ROW()-ROW(Payslip_Lookup[#Headers]))="","",INDEX(Salary_Calculation[Rider Name],ROW()-ROW(Payslip_Lookup[#Headers])))</f>
        <v/>
      </c>
      <c r="F499" s="173" t="str">
        <f aca="false">IF(INDEX(Salary_Calculation[Source Row],ROW()-ROW(Payslip_Lookup[#Headers]))="","",INDEX(Salary_Calculation[Working Days],ROW()-ROW(Payslip_Lookup[#Headers])))</f>
        <v/>
      </c>
      <c r="G499" s="173" t="str">
        <f aca="false">IF(INDEX(Salary_Calculation[Source Row],ROW()-ROW(Payslip_Lookup[#Headers]))="","",INDEX(Salary_Calculation[Calendar Days],ROW()-ROW(Payslip_Lookup[#Headers])))</f>
        <v/>
      </c>
      <c r="H499" s="174" t="str">
        <f aca="false">IF(INDEX(Salary_Calculation[Source Row],ROW()-ROW(Payslip_Lookup[#Headers]))="","",INDEX(Salary_Calculation[Monthly Target Orders],ROW()-ROW(Payslip_Lookup[#Headers])))</f>
        <v/>
      </c>
      <c r="I499" s="174" t="str">
        <f aca="false">IF(INDEX(Salary_Calculation[Source Row],ROW()-ROW(Payslip_Lookup[#Headers]))="","",INDEX(Salary_Calculation[Rider Target Orders],ROW()-ROW(Payslip_Lookup[#Headers])))</f>
        <v/>
      </c>
      <c r="J499" s="175" t="str">
        <f aca="false">IF(INDEX(Salary_Calculation[Source Row],ROW()-ROW(Payslip_Lookup[#Headers]))="","",INDEX(Salary_Calculation[Completed Orders],ROW()-ROW(Payslip_Lookup[#Headers])))</f>
        <v/>
      </c>
      <c r="K499" s="174" t="str">
        <f aca="false">IF(INDEX(Salary_Calculation[Source Row],ROW()-ROW(Payslip_Lookup[#Headers]))="","",INDEX(Salary_Calculation[Base Order Rate],ROW()-ROW(Payslip_Lookup[#Headers])))</f>
        <v/>
      </c>
      <c r="L499" s="176" t="str">
        <f aca="false">IF(INDEX(Salary_Calculation[Source Row],ROW()-ROW(Payslip_Lookup[#Headers]))="","",INDEX(Salary_Calculation[Basic Payment],ROW()-ROW(Payslip_Lookup[#Headers])))</f>
        <v/>
      </c>
      <c r="M499" s="176" t="str">
        <f aca="false">IF(INDEX(Salary_Calculation[Source Row],ROW()-ROW(Payslip_Lookup[#Headers]))="","",INDEX(Salary_Calculation[Earned Salary],ROW()-ROW(Payslip_Lookup[#Headers])))</f>
        <v/>
      </c>
      <c r="N499" s="174" t="str">
        <f aca="false">IF(INDEX(Salary_Calculation[Source Row],ROW()-ROW(Payslip_Lookup[#Headers]))="","",INDEX(Salary_Calculation[Orders Counted at Base Rate],ROW()-ROW(Payslip_Lookup[#Headers])))</f>
        <v/>
      </c>
      <c r="O499" s="174" t="str">
        <f aca="false">IF(INDEX(Salary_Calculation[Source Row],ROW()-ROW(Payslip_Lookup[#Headers]))="","",INDEX(Salary_Calculation[Missing Orders],ROW()-ROW(Payslip_Lookup[#Headers])))</f>
        <v/>
      </c>
      <c r="P499" s="176" t="str">
        <f aca="false">IF(INDEX(Salary_Calculation[Source Row],ROW()-ROW(Payslip_Lookup[#Headers]))="","",INDEX(Salary_Calculation[Missing-Order Deduction],ROW()-ROW(Payslip_Lookup[#Headers])))</f>
        <v/>
      </c>
      <c r="Q499" s="174" t="str">
        <f aca="false">IF(INDEX(Salary_Calculation[Source Row],ROW()-ROW(Payslip_Lookup[#Headers]))="","",INDEX(Salary_Calculation[Extra Orders],ROW()-ROW(Payslip_Lookup[#Headers])))</f>
        <v/>
      </c>
      <c r="R499" s="176" t="str">
        <f aca="false">IF(INDEX(Salary_Calculation[Source Row],ROW()-ROW(Payslip_Lookup[#Headers]))="","",INDEX(Salary_Calculation[Extra-Order Bonus],ROW()-ROW(Payslip_Lookup[#Headers])))</f>
        <v/>
      </c>
      <c r="S499" s="176" t="str">
        <f aca="false">IF(INDEX(Salary_Calculation[Source Row],ROW()-ROW(Payslip_Lookup[#Headers]))="","",INDEX(Salary_Calculation[Basic Salary for Target],ROW()-ROW(Payslip_Lookup[#Headers])))</f>
        <v/>
      </c>
      <c r="T499" s="176" t="str">
        <f aca="false">IF(INDEX(Salary_Calculation[Source Row],ROW()-ROW(Payslip_Lookup[#Headers]))="","",INDEX(Salary_Calculation[Gross Salary Before Deductions],ROW()-ROW(Payslip_Lookup[#Headers])))</f>
        <v/>
      </c>
      <c r="U499" s="176" t="str">
        <f aca="false">IF(INDEX(Salary_Calculation[Source Row],ROW()-ROW(Payslip_Lookup[#Headers]))="","",INDEX(Salary_Calculation[missed_days_penalty],ROW()-ROW(Payslip_Lookup[#Headers])))</f>
        <v/>
      </c>
      <c r="V499" s="176" t="str">
        <f aca="false">IF(INDEX(Salary_Calculation[Source Row],ROW()-ROW(Payslip_Lookup[#Headers]))="","",INDEX(Salary_Calculation[Rider Balance],ROW()-ROW(Payslip_Lookup[#Headers])))</f>
        <v/>
      </c>
      <c r="W499" s="176" t="str">
        <f aca="false">IF(INDEX(Salary_Calculation[Source Row],ROW()-ROW(Payslip_Lookup[#Headers]))="","",INDEX(Salary_Calculation[stacking_deduction],ROW()-ROW(Payslip_Lookup[#Headers])))</f>
        <v/>
      </c>
      <c r="X499" s="176" t="str">
        <f aca="false">IF(INDEX(Salary_Calculation[Source Row],ROW()-ROW(Payslip_Lookup[#Headers]))="","",INDEX(Salary_Calculation[Other Deductions],ROW()-ROW(Payslip_Lookup[#Headers])))</f>
        <v/>
      </c>
      <c r="Y499" s="176" t="str">
        <f aca="false">IF(INDEX(Salary_Calculation[Source Row],ROW()-ROW(Payslip_Lookup[#Headers]))="","",INDEX(Salary_Calculation[Total Deductions],ROW()-ROW(Payslip_Lookup[#Headers])))</f>
        <v/>
      </c>
      <c r="Z499" s="176" t="str">
        <f aca="false">IF(INDEX(Salary_Calculation[Source Row],ROW()-ROW(Payslip_Lookup[#Headers]))="","",INDEX(Salary_Calculation[Final Salary],ROW()-ROW(Payslip_Lookup[#Headers])))</f>
        <v/>
      </c>
      <c r="AA499" s="176" t="str">
        <f aca="false">IF(INDEX(Salary_Calculation[Source Row],ROW()-ROW(Payslip_Lookup[#Headers]))="","",INDEX(Salary_Calculation[Negative Balance / Amount Due from Rider],ROW()-ROW(Payslip_Lookup[#Headers])))</f>
        <v/>
      </c>
      <c r="AB499" s="176" t="str">
        <f aca="false">IF(INDEX(Salary_Calculation[Source Row],ROW()-ROW(Payslip_Lookup[#Headers]))="","",INDEX(Salary_Calculation[Total Amount Due from Rider],ROW()-ROW(Payslip_Lookup[#Headers])))</f>
        <v/>
      </c>
      <c r="AC499" s="176" t="str">
        <f aca="false">IF(INDEX(Salary_Calculation[Source Row],ROW()-ROW(Payslip_Lookup[#Headers]))="","",INDEX(Salary_Calculation[Salary Before Other Deductions],ROW()-ROW(Payslip_Lookup[#Headers])))</f>
        <v/>
      </c>
      <c r="AD499" s="171" t="str">
        <f aca="false">IF(INDEX(Salary_Calculation[Source Row],ROW()-ROW(Payslip_Lookup[#Headers]))="","",INDEX(Salary_Calculation[Payment Status],ROW()-ROW(Payslip_Lookup[#Headers])))</f>
        <v/>
      </c>
      <c r="AE499" s="171" t="str">
        <f aca="false">IF(INDEX(Salary_Calculation[Source Row],ROW()-ROW(Payslip_Lookup[#Headers]))="","",INDEX(Salary_Calculation[Notes],ROW()-ROW(Payslip_Lookup[#Headers])))</f>
        <v/>
      </c>
      <c r="AF499" s="171" t="str">
        <f aca="false">IF(INDEX(Salary_Calculation[Source Row],ROW()-ROW(Payslip_Lookup[#Headers]))="","",INDEX(Salary_Calculation[Exception Reason],ROW()-ROW(Payslip_Lookup[#Headers])))</f>
        <v/>
      </c>
      <c r="AG499" s="173" t="str">
        <f aca="false">IF($AD499="Review Required",COUNTIF(AD$2:AD499,"Review Required"),"")</f>
        <v/>
      </c>
      <c r="AH499" s="173" t="str">
        <f aca="false">IF(AND($D499&lt;&gt;"",$B499=Payslip_Print!$C$2),MAX(AH$1:AH498)+1,"")</f>
        <v/>
      </c>
      <c r="AL499" s="178" t="str">
        <f aca="false">IFERROR(INDEX($D$2:$D$501,MATCH(ROW()-1,$AH$2:$AH$501,0)),"")</f>
        <v/>
      </c>
      <c r="AM499" s="179" t="str">
        <f aca="false">IF($Z499="","",IF(AND($C499&gt;=Dash_Start,$C499&lt;Dash_End),$Z499+ROW()/10000000,""))</f>
        <v/>
      </c>
    </row>
    <row r="500" customFormat="false" ht="14.25" hidden="false" customHeight="false" outlineLevel="0" collapsed="false">
      <c r="A500" s="171" t="str">
        <f aca="false">IF(Payslip_Lookup[[#This Row],[Rider ID]]="","",Payslip_Lookup[[#This Row],[Rider ID]]&amp;"|"&amp;Payslip_Lookup[[#This Row],[Month Key]])</f>
        <v/>
      </c>
      <c r="B500" s="172" t="str">
        <f aca="false">IF(ISNUMBER(Payslip_Lookup[[#This Row],[Salary Month]]),DATE(YEAR(Payslip_Lookup[[#This Row],[Salary Month]]),MONTH(Payslip_Lookup[[#This Row],[Salary Month]]),1),"")</f>
        <v/>
      </c>
      <c r="C500" s="172" t="str">
        <f aca="false">IF(INDEX(Salary_Calculation[Source Row],ROW()-ROW(Payslip_Lookup[#Headers]))="","",INDEX(Salary_Calculation[Salary Month],ROW()-ROW(Payslip_Lookup[#Headers])))</f>
        <v/>
      </c>
      <c r="D500" s="173" t="str">
        <f aca="false">IF(INDEX(Salary_Calculation[Source Row],ROW()-ROW(Payslip_Lookup[#Headers]))="","",INDEX(Salary_Calculation[Rider ID],ROW()-ROW(Payslip_Lookup[#Headers])))</f>
        <v/>
      </c>
      <c r="E500" s="171" t="str">
        <f aca="false">IF(INDEX(Salary_Calculation[Source Row],ROW()-ROW(Payslip_Lookup[#Headers]))="","",INDEX(Salary_Calculation[Rider Name],ROW()-ROW(Payslip_Lookup[#Headers])))</f>
        <v/>
      </c>
      <c r="F500" s="173" t="str">
        <f aca="false">IF(INDEX(Salary_Calculation[Source Row],ROW()-ROW(Payslip_Lookup[#Headers]))="","",INDEX(Salary_Calculation[Working Days],ROW()-ROW(Payslip_Lookup[#Headers])))</f>
        <v/>
      </c>
      <c r="G500" s="173" t="str">
        <f aca="false">IF(INDEX(Salary_Calculation[Source Row],ROW()-ROW(Payslip_Lookup[#Headers]))="","",INDEX(Salary_Calculation[Calendar Days],ROW()-ROW(Payslip_Lookup[#Headers])))</f>
        <v/>
      </c>
      <c r="H500" s="174" t="str">
        <f aca="false">IF(INDEX(Salary_Calculation[Source Row],ROW()-ROW(Payslip_Lookup[#Headers]))="","",INDEX(Salary_Calculation[Monthly Target Orders],ROW()-ROW(Payslip_Lookup[#Headers])))</f>
        <v/>
      </c>
      <c r="I500" s="174" t="str">
        <f aca="false">IF(INDEX(Salary_Calculation[Source Row],ROW()-ROW(Payslip_Lookup[#Headers]))="","",INDEX(Salary_Calculation[Rider Target Orders],ROW()-ROW(Payslip_Lookup[#Headers])))</f>
        <v/>
      </c>
      <c r="J500" s="175" t="str">
        <f aca="false">IF(INDEX(Salary_Calculation[Source Row],ROW()-ROW(Payslip_Lookup[#Headers]))="","",INDEX(Salary_Calculation[Completed Orders],ROW()-ROW(Payslip_Lookup[#Headers])))</f>
        <v/>
      </c>
      <c r="K500" s="174" t="str">
        <f aca="false">IF(INDEX(Salary_Calculation[Source Row],ROW()-ROW(Payslip_Lookup[#Headers]))="","",INDEX(Salary_Calculation[Base Order Rate],ROW()-ROW(Payslip_Lookup[#Headers])))</f>
        <v/>
      </c>
      <c r="L500" s="176" t="str">
        <f aca="false">IF(INDEX(Salary_Calculation[Source Row],ROW()-ROW(Payslip_Lookup[#Headers]))="","",INDEX(Salary_Calculation[Basic Payment],ROW()-ROW(Payslip_Lookup[#Headers])))</f>
        <v/>
      </c>
      <c r="M500" s="176" t="str">
        <f aca="false">IF(INDEX(Salary_Calculation[Source Row],ROW()-ROW(Payslip_Lookup[#Headers]))="","",INDEX(Salary_Calculation[Earned Salary],ROW()-ROW(Payslip_Lookup[#Headers])))</f>
        <v/>
      </c>
      <c r="N500" s="174" t="str">
        <f aca="false">IF(INDEX(Salary_Calculation[Source Row],ROW()-ROW(Payslip_Lookup[#Headers]))="","",INDEX(Salary_Calculation[Orders Counted at Base Rate],ROW()-ROW(Payslip_Lookup[#Headers])))</f>
        <v/>
      </c>
      <c r="O500" s="174" t="str">
        <f aca="false">IF(INDEX(Salary_Calculation[Source Row],ROW()-ROW(Payslip_Lookup[#Headers]))="","",INDEX(Salary_Calculation[Missing Orders],ROW()-ROW(Payslip_Lookup[#Headers])))</f>
        <v/>
      </c>
      <c r="P500" s="176" t="str">
        <f aca="false">IF(INDEX(Salary_Calculation[Source Row],ROW()-ROW(Payslip_Lookup[#Headers]))="","",INDEX(Salary_Calculation[Missing-Order Deduction],ROW()-ROW(Payslip_Lookup[#Headers])))</f>
        <v/>
      </c>
      <c r="Q500" s="174" t="str">
        <f aca="false">IF(INDEX(Salary_Calculation[Source Row],ROW()-ROW(Payslip_Lookup[#Headers]))="","",INDEX(Salary_Calculation[Extra Orders],ROW()-ROW(Payslip_Lookup[#Headers])))</f>
        <v/>
      </c>
      <c r="R500" s="176" t="str">
        <f aca="false">IF(INDEX(Salary_Calculation[Source Row],ROW()-ROW(Payslip_Lookup[#Headers]))="","",INDEX(Salary_Calculation[Extra-Order Bonus],ROW()-ROW(Payslip_Lookup[#Headers])))</f>
        <v/>
      </c>
      <c r="S500" s="176" t="str">
        <f aca="false">IF(INDEX(Salary_Calculation[Source Row],ROW()-ROW(Payslip_Lookup[#Headers]))="","",INDEX(Salary_Calculation[Basic Salary for Target],ROW()-ROW(Payslip_Lookup[#Headers])))</f>
        <v/>
      </c>
      <c r="T500" s="176" t="str">
        <f aca="false">IF(INDEX(Salary_Calculation[Source Row],ROW()-ROW(Payslip_Lookup[#Headers]))="","",INDEX(Salary_Calculation[Gross Salary Before Deductions],ROW()-ROW(Payslip_Lookup[#Headers])))</f>
        <v/>
      </c>
      <c r="U500" s="176" t="str">
        <f aca="false">IF(INDEX(Salary_Calculation[Source Row],ROW()-ROW(Payslip_Lookup[#Headers]))="","",INDEX(Salary_Calculation[missed_days_penalty],ROW()-ROW(Payslip_Lookup[#Headers])))</f>
        <v/>
      </c>
      <c r="V500" s="176" t="str">
        <f aca="false">IF(INDEX(Salary_Calculation[Source Row],ROW()-ROW(Payslip_Lookup[#Headers]))="","",INDEX(Salary_Calculation[Rider Balance],ROW()-ROW(Payslip_Lookup[#Headers])))</f>
        <v/>
      </c>
      <c r="W500" s="176" t="str">
        <f aca="false">IF(INDEX(Salary_Calculation[Source Row],ROW()-ROW(Payslip_Lookup[#Headers]))="","",INDEX(Salary_Calculation[stacking_deduction],ROW()-ROW(Payslip_Lookup[#Headers])))</f>
        <v/>
      </c>
      <c r="X500" s="176" t="str">
        <f aca="false">IF(INDEX(Salary_Calculation[Source Row],ROW()-ROW(Payslip_Lookup[#Headers]))="","",INDEX(Salary_Calculation[Other Deductions],ROW()-ROW(Payslip_Lookup[#Headers])))</f>
        <v/>
      </c>
      <c r="Y500" s="176" t="str">
        <f aca="false">IF(INDEX(Salary_Calculation[Source Row],ROW()-ROW(Payslip_Lookup[#Headers]))="","",INDEX(Salary_Calculation[Total Deductions],ROW()-ROW(Payslip_Lookup[#Headers])))</f>
        <v/>
      </c>
      <c r="Z500" s="176" t="str">
        <f aca="false">IF(INDEX(Salary_Calculation[Source Row],ROW()-ROW(Payslip_Lookup[#Headers]))="","",INDEX(Salary_Calculation[Final Salary],ROW()-ROW(Payslip_Lookup[#Headers])))</f>
        <v/>
      </c>
      <c r="AA500" s="176" t="str">
        <f aca="false">IF(INDEX(Salary_Calculation[Source Row],ROW()-ROW(Payslip_Lookup[#Headers]))="","",INDEX(Salary_Calculation[Negative Balance / Amount Due from Rider],ROW()-ROW(Payslip_Lookup[#Headers])))</f>
        <v/>
      </c>
      <c r="AB500" s="176" t="str">
        <f aca="false">IF(INDEX(Salary_Calculation[Source Row],ROW()-ROW(Payslip_Lookup[#Headers]))="","",INDEX(Salary_Calculation[Total Amount Due from Rider],ROW()-ROW(Payslip_Lookup[#Headers])))</f>
        <v/>
      </c>
      <c r="AC500" s="176" t="str">
        <f aca="false">IF(INDEX(Salary_Calculation[Source Row],ROW()-ROW(Payslip_Lookup[#Headers]))="","",INDEX(Salary_Calculation[Salary Before Other Deductions],ROW()-ROW(Payslip_Lookup[#Headers])))</f>
        <v/>
      </c>
      <c r="AD500" s="171" t="str">
        <f aca="false">IF(INDEX(Salary_Calculation[Source Row],ROW()-ROW(Payslip_Lookup[#Headers]))="","",INDEX(Salary_Calculation[Payment Status],ROW()-ROW(Payslip_Lookup[#Headers])))</f>
        <v/>
      </c>
      <c r="AE500" s="171" t="str">
        <f aca="false">IF(INDEX(Salary_Calculation[Source Row],ROW()-ROW(Payslip_Lookup[#Headers]))="","",INDEX(Salary_Calculation[Notes],ROW()-ROW(Payslip_Lookup[#Headers])))</f>
        <v/>
      </c>
      <c r="AF500" s="171" t="str">
        <f aca="false">IF(INDEX(Salary_Calculation[Source Row],ROW()-ROW(Payslip_Lookup[#Headers]))="","",INDEX(Salary_Calculation[Exception Reason],ROW()-ROW(Payslip_Lookup[#Headers])))</f>
        <v/>
      </c>
      <c r="AG500" s="173" t="str">
        <f aca="false">IF($AD500="Review Required",COUNTIF(AD$2:AD500,"Review Required"),"")</f>
        <v/>
      </c>
      <c r="AH500" s="173" t="str">
        <f aca="false">IF(AND($D500&lt;&gt;"",$B500=Payslip_Print!$C$2),MAX(AH$1:AH499)+1,"")</f>
        <v/>
      </c>
      <c r="AL500" s="178" t="str">
        <f aca="false">IFERROR(INDEX($D$2:$D$501,MATCH(ROW()-1,$AH$2:$AH$501,0)),"")</f>
        <v/>
      </c>
      <c r="AM500" s="179" t="str">
        <f aca="false">IF($Z500="","",IF(AND($C500&gt;=Dash_Start,$C500&lt;Dash_End),$Z500+ROW()/10000000,""))</f>
        <v/>
      </c>
    </row>
    <row r="501" customFormat="false" ht="14.25" hidden="false" customHeight="false" outlineLevel="0" collapsed="false">
      <c r="A501" s="171" t="str">
        <f aca="false">IF(Payslip_Lookup[[#This Row],[Rider ID]]="","",Payslip_Lookup[[#This Row],[Rider ID]]&amp;"|"&amp;Payslip_Lookup[[#This Row],[Month Key]])</f>
        <v/>
      </c>
      <c r="B501" s="172" t="str">
        <f aca="false">IF(ISNUMBER(Payslip_Lookup[[#This Row],[Salary Month]]),DATE(YEAR(Payslip_Lookup[[#This Row],[Salary Month]]),MONTH(Payslip_Lookup[[#This Row],[Salary Month]]),1),"")</f>
        <v/>
      </c>
      <c r="C501" s="172" t="str">
        <f aca="false">IF(INDEX(Salary_Calculation[Source Row],ROW()-ROW(Payslip_Lookup[#Headers]))="","",INDEX(Salary_Calculation[Salary Month],ROW()-ROW(Payslip_Lookup[#Headers])))</f>
        <v/>
      </c>
      <c r="D501" s="173" t="str">
        <f aca="false">IF(INDEX(Salary_Calculation[Source Row],ROW()-ROW(Payslip_Lookup[#Headers]))="","",INDEX(Salary_Calculation[Rider ID],ROW()-ROW(Payslip_Lookup[#Headers])))</f>
        <v/>
      </c>
      <c r="E501" s="171" t="str">
        <f aca="false">IF(INDEX(Salary_Calculation[Source Row],ROW()-ROW(Payslip_Lookup[#Headers]))="","",INDEX(Salary_Calculation[Rider Name],ROW()-ROW(Payslip_Lookup[#Headers])))</f>
        <v/>
      </c>
      <c r="F501" s="173" t="str">
        <f aca="false">IF(INDEX(Salary_Calculation[Source Row],ROW()-ROW(Payslip_Lookup[#Headers]))="","",INDEX(Salary_Calculation[Working Days],ROW()-ROW(Payslip_Lookup[#Headers])))</f>
        <v/>
      </c>
      <c r="G501" s="173" t="str">
        <f aca="false">IF(INDEX(Salary_Calculation[Source Row],ROW()-ROW(Payslip_Lookup[#Headers]))="","",INDEX(Salary_Calculation[Calendar Days],ROW()-ROW(Payslip_Lookup[#Headers])))</f>
        <v/>
      </c>
      <c r="H501" s="174" t="str">
        <f aca="false">IF(INDEX(Salary_Calculation[Source Row],ROW()-ROW(Payslip_Lookup[#Headers]))="","",INDEX(Salary_Calculation[Monthly Target Orders],ROW()-ROW(Payslip_Lookup[#Headers])))</f>
        <v/>
      </c>
      <c r="I501" s="174" t="str">
        <f aca="false">IF(INDEX(Salary_Calculation[Source Row],ROW()-ROW(Payslip_Lookup[#Headers]))="","",INDEX(Salary_Calculation[Rider Target Orders],ROW()-ROW(Payslip_Lookup[#Headers])))</f>
        <v/>
      </c>
      <c r="J501" s="175" t="str">
        <f aca="false">IF(INDEX(Salary_Calculation[Source Row],ROW()-ROW(Payslip_Lookup[#Headers]))="","",INDEX(Salary_Calculation[Completed Orders],ROW()-ROW(Payslip_Lookup[#Headers])))</f>
        <v/>
      </c>
      <c r="K501" s="174" t="str">
        <f aca="false">IF(INDEX(Salary_Calculation[Source Row],ROW()-ROW(Payslip_Lookup[#Headers]))="","",INDEX(Salary_Calculation[Base Order Rate],ROW()-ROW(Payslip_Lookup[#Headers])))</f>
        <v/>
      </c>
      <c r="L501" s="176" t="str">
        <f aca="false">IF(INDEX(Salary_Calculation[Source Row],ROW()-ROW(Payslip_Lookup[#Headers]))="","",INDEX(Salary_Calculation[Basic Payment],ROW()-ROW(Payslip_Lookup[#Headers])))</f>
        <v/>
      </c>
      <c r="M501" s="176" t="str">
        <f aca="false">IF(INDEX(Salary_Calculation[Source Row],ROW()-ROW(Payslip_Lookup[#Headers]))="","",INDEX(Salary_Calculation[Earned Salary],ROW()-ROW(Payslip_Lookup[#Headers])))</f>
        <v/>
      </c>
      <c r="N501" s="174" t="str">
        <f aca="false">IF(INDEX(Salary_Calculation[Source Row],ROW()-ROW(Payslip_Lookup[#Headers]))="","",INDEX(Salary_Calculation[Orders Counted at Base Rate],ROW()-ROW(Payslip_Lookup[#Headers])))</f>
        <v/>
      </c>
      <c r="O501" s="174" t="str">
        <f aca="false">IF(INDEX(Salary_Calculation[Source Row],ROW()-ROW(Payslip_Lookup[#Headers]))="","",INDEX(Salary_Calculation[Missing Orders],ROW()-ROW(Payslip_Lookup[#Headers])))</f>
        <v/>
      </c>
      <c r="P501" s="176" t="str">
        <f aca="false">IF(INDEX(Salary_Calculation[Source Row],ROW()-ROW(Payslip_Lookup[#Headers]))="","",INDEX(Salary_Calculation[Missing-Order Deduction],ROW()-ROW(Payslip_Lookup[#Headers])))</f>
        <v/>
      </c>
      <c r="Q501" s="174" t="str">
        <f aca="false">IF(INDEX(Salary_Calculation[Source Row],ROW()-ROW(Payslip_Lookup[#Headers]))="","",INDEX(Salary_Calculation[Extra Orders],ROW()-ROW(Payslip_Lookup[#Headers])))</f>
        <v/>
      </c>
      <c r="R501" s="176" t="str">
        <f aca="false">IF(INDEX(Salary_Calculation[Source Row],ROW()-ROW(Payslip_Lookup[#Headers]))="","",INDEX(Salary_Calculation[Extra-Order Bonus],ROW()-ROW(Payslip_Lookup[#Headers])))</f>
        <v/>
      </c>
      <c r="S501" s="176" t="str">
        <f aca="false">IF(INDEX(Salary_Calculation[Source Row],ROW()-ROW(Payslip_Lookup[#Headers]))="","",INDEX(Salary_Calculation[Basic Salary for Target],ROW()-ROW(Payslip_Lookup[#Headers])))</f>
        <v/>
      </c>
      <c r="T501" s="176" t="str">
        <f aca="false">IF(INDEX(Salary_Calculation[Source Row],ROW()-ROW(Payslip_Lookup[#Headers]))="","",INDEX(Salary_Calculation[Gross Salary Before Deductions],ROW()-ROW(Payslip_Lookup[#Headers])))</f>
        <v/>
      </c>
      <c r="U501" s="176" t="str">
        <f aca="false">IF(INDEX(Salary_Calculation[Source Row],ROW()-ROW(Payslip_Lookup[#Headers]))="","",INDEX(Salary_Calculation[missed_days_penalty],ROW()-ROW(Payslip_Lookup[#Headers])))</f>
        <v/>
      </c>
      <c r="V501" s="176" t="str">
        <f aca="false">IF(INDEX(Salary_Calculation[Source Row],ROW()-ROW(Payslip_Lookup[#Headers]))="","",INDEX(Salary_Calculation[Rider Balance],ROW()-ROW(Payslip_Lookup[#Headers])))</f>
        <v/>
      </c>
      <c r="W501" s="176" t="str">
        <f aca="false">IF(INDEX(Salary_Calculation[Source Row],ROW()-ROW(Payslip_Lookup[#Headers]))="","",INDEX(Salary_Calculation[stacking_deduction],ROW()-ROW(Payslip_Lookup[#Headers])))</f>
        <v/>
      </c>
      <c r="X501" s="176" t="str">
        <f aca="false">IF(INDEX(Salary_Calculation[Source Row],ROW()-ROW(Payslip_Lookup[#Headers]))="","",INDEX(Salary_Calculation[Other Deductions],ROW()-ROW(Payslip_Lookup[#Headers])))</f>
        <v/>
      </c>
      <c r="Y501" s="176" t="str">
        <f aca="false">IF(INDEX(Salary_Calculation[Source Row],ROW()-ROW(Payslip_Lookup[#Headers]))="","",INDEX(Salary_Calculation[Total Deductions],ROW()-ROW(Payslip_Lookup[#Headers])))</f>
        <v/>
      </c>
      <c r="Z501" s="176" t="str">
        <f aca="false">IF(INDEX(Salary_Calculation[Source Row],ROW()-ROW(Payslip_Lookup[#Headers]))="","",INDEX(Salary_Calculation[Final Salary],ROW()-ROW(Payslip_Lookup[#Headers])))</f>
        <v/>
      </c>
      <c r="AA501" s="176" t="str">
        <f aca="false">IF(INDEX(Salary_Calculation[Source Row],ROW()-ROW(Payslip_Lookup[#Headers]))="","",INDEX(Salary_Calculation[Negative Balance / Amount Due from Rider],ROW()-ROW(Payslip_Lookup[#Headers])))</f>
        <v/>
      </c>
      <c r="AB501" s="176" t="str">
        <f aca="false">IF(INDEX(Salary_Calculation[Source Row],ROW()-ROW(Payslip_Lookup[#Headers]))="","",INDEX(Salary_Calculation[Total Amount Due from Rider],ROW()-ROW(Payslip_Lookup[#Headers])))</f>
        <v/>
      </c>
      <c r="AC501" s="176" t="str">
        <f aca="false">IF(INDEX(Salary_Calculation[Source Row],ROW()-ROW(Payslip_Lookup[#Headers]))="","",INDEX(Salary_Calculation[Salary Before Other Deductions],ROW()-ROW(Payslip_Lookup[#Headers])))</f>
        <v/>
      </c>
      <c r="AD501" s="171" t="str">
        <f aca="false">IF(INDEX(Salary_Calculation[Source Row],ROW()-ROW(Payslip_Lookup[#Headers]))="","",INDEX(Salary_Calculation[Payment Status],ROW()-ROW(Payslip_Lookup[#Headers])))</f>
        <v/>
      </c>
      <c r="AE501" s="171" t="str">
        <f aca="false">IF(INDEX(Salary_Calculation[Source Row],ROW()-ROW(Payslip_Lookup[#Headers]))="","",INDEX(Salary_Calculation[Notes],ROW()-ROW(Payslip_Lookup[#Headers])))</f>
        <v/>
      </c>
      <c r="AF501" s="171" t="str">
        <f aca="false">IF(INDEX(Salary_Calculation[Source Row],ROW()-ROW(Payslip_Lookup[#Headers]))="","",INDEX(Salary_Calculation[Exception Reason],ROW()-ROW(Payslip_Lookup[#Headers])))</f>
        <v/>
      </c>
      <c r="AG501" s="173" t="str">
        <f aca="false">IF($AD501="Review Required",COUNTIF(AD$2:AD501,"Review Required"),"")</f>
        <v/>
      </c>
      <c r="AH501" s="173" t="str">
        <f aca="false">IF(AND($D501&lt;&gt;"",$B501=Payslip_Print!$C$2),MAX(AH$1:AH500)+1,"")</f>
        <v/>
      </c>
      <c r="AL501" s="178" t="str">
        <f aca="false">IFERROR(INDEX($D$2:$D$501,MATCH(ROW()-1,$AH$2:$AH$501,0)),"")</f>
        <v/>
      </c>
      <c r="AM501" s="179" t="str">
        <f aca="false">IF($Z501="","",IF(AND($C501&gt;=Dash_Start,$C501&lt;Dash_End),$Z501+ROW()/10000000,""))</f>
        <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DC4"/>
    <pageSetUpPr fitToPage="true"/>
  </sheetPr>
  <dimension ref="A1:C20"/>
  <sheetViews>
    <sheetView showFormulas="false" showGridLines="false" showRowColHeaders="true" showZeros="true" rightToLeft="false" tabSelected="false" showOutlineSymbols="true" defaultGridColor="true" view="normal" topLeftCell="B1" colorId="64" zoomScale="100" zoomScaleNormal="100" zoomScalePageLayoutView="100" workbookViewId="0">
      <pane xSplit="0" ySplit="1" topLeftCell="A2" activePane="bottomLeft" state="frozen"/>
      <selection pane="topLeft" activeCell="B1" activeCellId="0" sqref="B1"/>
      <selection pane="bottomLeft" activeCell="A6" activeCellId="0" sqref="A6"/>
    </sheetView>
  </sheetViews>
  <sheetFormatPr defaultColWidth="8.6796875" defaultRowHeight="14.25" zeroHeight="false" outlineLevelRow="0" outlineLevelCol="0"/>
  <cols>
    <col collapsed="false" customWidth="true" hidden="false" outlineLevel="0" max="1" min="1" style="0" width="38"/>
    <col collapsed="false" customWidth="true" hidden="false" outlineLevel="0" max="2" min="2" style="0" width="114.78"/>
  </cols>
  <sheetData>
    <row r="1" customFormat="false" ht="61.5" hidden="false" customHeight="true" outlineLevel="0" collapsed="false">
      <c r="A1" s="132"/>
      <c r="B1" s="133" t="s">
        <v>291</v>
      </c>
    </row>
    <row r="2" customFormat="false" ht="6" hidden="false" customHeight="true" outlineLevel="0" collapsed="false">
      <c r="A2" s="1"/>
      <c r="B2" s="2"/>
      <c r="C2" s="2"/>
    </row>
    <row r="3" customFormat="false" ht="14.25" hidden="false" customHeight="false" outlineLevel="0" collapsed="false">
      <c r="A3" s="180" t="s">
        <v>292</v>
      </c>
      <c r="B3" s="135" t="s">
        <v>293</v>
      </c>
    </row>
    <row r="4" customFormat="false" ht="28.5" hidden="false" customHeight="true" outlineLevel="0" collapsed="false">
      <c r="A4" s="180" t="s">
        <v>294</v>
      </c>
      <c r="B4" s="135" t="s">
        <v>295</v>
      </c>
    </row>
    <row r="5" customFormat="false" ht="14.25" hidden="false" customHeight="false" outlineLevel="0" collapsed="false">
      <c r="A5" s="180" t="s">
        <v>296</v>
      </c>
      <c r="B5" s="135" t="s">
        <v>297</v>
      </c>
    </row>
    <row r="6" customFormat="false" ht="28.5" hidden="false" customHeight="true" outlineLevel="0" collapsed="false">
      <c r="A6" s="180" t="s">
        <v>298</v>
      </c>
      <c r="B6" s="135" t="s">
        <v>299</v>
      </c>
    </row>
    <row r="7" customFormat="false" ht="28.5" hidden="false" customHeight="true" outlineLevel="0" collapsed="false">
      <c r="A7" s="180" t="s">
        <v>300</v>
      </c>
      <c r="B7" s="135" t="s">
        <v>301</v>
      </c>
    </row>
    <row r="8" customFormat="false" ht="14.25" hidden="false" customHeight="false" outlineLevel="0" collapsed="false">
      <c r="A8" s="180" t="s">
        <v>302</v>
      </c>
      <c r="B8" s="135" t="s">
        <v>303</v>
      </c>
    </row>
    <row r="9" customFormat="false" ht="14.25" hidden="false" customHeight="false" outlineLevel="0" collapsed="false">
      <c r="A9" s="180" t="s">
        <v>304</v>
      </c>
      <c r="B9" s="135" t="s">
        <v>305</v>
      </c>
    </row>
    <row r="10" customFormat="false" ht="14.25" hidden="false" customHeight="false" outlineLevel="0" collapsed="false">
      <c r="A10" s="180" t="s">
        <v>306</v>
      </c>
      <c r="B10" s="135" t="s">
        <v>307</v>
      </c>
    </row>
    <row r="11" customFormat="false" ht="28.5" hidden="false" customHeight="true" outlineLevel="0" collapsed="false">
      <c r="A11" s="180" t="s">
        <v>308</v>
      </c>
      <c r="B11" s="135" t="s">
        <v>309</v>
      </c>
    </row>
    <row r="12" customFormat="false" ht="28.5" hidden="false" customHeight="true" outlineLevel="0" collapsed="false">
      <c r="A12" s="180" t="s">
        <v>310</v>
      </c>
      <c r="B12" s="135" t="s">
        <v>311</v>
      </c>
    </row>
    <row r="13" customFormat="false" ht="28.5" hidden="false" customHeight="true" outlineLevel="0" collapsed="false">
      <c r="A13" s="180" t="s">
        <v>312</v>
      </c>
      <c r="B13" s="135" t="s">
        <v>313</v>
      </c>
    </row>
    <row r="14" customFormat="false" ht="14.25" hidden="false" customHeight="false" outlineLevel="0" collapsed="false">
      <c r="A14" s="180" t="s">
        <v>314</v>
      </c>
      <c r="B14" s="135" t="s">
        <v>315</v>
      </c>
    </row>
    <row r="15" customFormat="false" ht="28.35" hidden="false" customHeight="false" outlineLevel="0" collapsed="false">
      <c r="A15" s="180" t="s">
        <v>316</v>
      </c>
      <c r="B15" s="135" t="s">
        <v>317</v>
      </c>
    </row>
    <row r="16" customFormat="false" ht="28.35" hidden="false" customHeight="false" outlineLevel="0" collapsed="false">
      <c r="A16" s="180" t="s">
        <v>318</v>
      </c>
      <c r="B16" s="135" t="s">
        <v>319</v>
      </c>
    </row>
    <row r="17" customFormat="false" ht="28.35" hidden="false" customHeight="false" outlineLevel="0" collapsed="false">
      <c r="A17" s="180" t="s">
        <v>320</v>
      </c>
      <c r="B17" s="135" t="s">
        <v>321</v>
      </c>
    </row>
    <row r="18" customFormat="false" ht="28.35" hidden="false" customHeight="false" outlineLevel="0" collapsed="false">
      <c r="A18" s="180" t="s">
        <v>322</v>
      </c>
      <c r="B18" s="135" t="s">
        <v>323</v>
      </c>
    </row>
    <row r="19" customFormat="false" ht="28.35" hidden="false" customHeight="false" outlineLevel="0" collapsed="false">
      <c r="A19" s="180" t="s">
        <v>324</v>
      </c>
      <c r="B19" s="135" t="s">
        <v>325</v>
      </c>
    </row>
    <row r="20" customFormat="false" ht="14.25" hidden="false" customHeight="false" outlineLevel="0" collapsed="false">
      <c r="A20" s="180" t="s">
        <v>326</v>
      </c>
      <c r="B20" s="135" t="s">
        <v>327</v>
      </c>
    </row>
  </sheetData>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Y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0" sqref="B18"/>
    </sheetView>
  </sheetViews>
  <sheetFormatPr defaultColWidth="8.6796875" defaultRowHeight="14.25" zeroHeight="false" outlineLevelRow="0" outlineLevelCol="0"/>
  <cols>
    <col collapsed="false" customWidth="true" hidden="false" outlineLevel="0" max="25" min="1" style="0" width="25"/>
  </cols>
  <sheetData>
    <row r="1" customFormat="false" ht="57" hidden="false" customHeight="true" outlineLevel="0" collapsed="false">
      <c r="A1" s="140" t="s">
        <v>201</v>
      </c>
      <c r="B1" s="145" t="s">
        <v>328</v>
      </c>
      <c r="C1" s="145" t="s">
        <v>329</v>
      </c>
      <c r="D1" s="145" t="s">
        <v>241</v>
      </c>
      <c r="E1" s="145" t="s">
        <v>242</v>
      </c>
      <c r="F1" s="145" t="s">
        <v>243</v>
      </c>
      <c r="G1" s="145" t="s">
        <v>244</v>
      </c>
      <c r="H1" s="145" t="s">
        <v>245</v>
      </c>
      <c r="I1" s="145" t="s">
        <v>246</v>
      </c>
      <c r="J1" s="145" t="s">
        <v>247</v>
      </c>
      <c r="K1" s="145" t="s">
        <v>248</v>
      </c>
      <c r="L1" s="145" t="s">
        <v>249</v>
      </c>
      <c r="M1" s="145" t="s">
        <v>250</v>
      </c>
      <c r="N1" s="145" t="s">
        <v>330</v>
      </c>
      <c r="O1" s="145" t="s">
        <v>331</v>
      </c>
      <c r="P1" s="145" t="s">
        <v>332</v>
      </c>
      <c r="Q1" s="145" t="s">
        <v>333</v>
      </c>
      <c r="R1" s="145" t="s">
        <v>252</v>
      </c>
      <c r="S1" s="145" t="s">
        <v>253</v>
      </c>
      <c r="T1" s="145" t="s">
        <v>254</v>
      </c>
      <c r="U1" s="145" t="s">
        <v>334</v>
      </c>
      <c r="V1" s="145" t="s">
        <v>335</v>
      </c>
      <c r="W1" s="145" t="s">
        <v>336</v>
      </c>
      <c r="X1" s="145" t="s">
        <v>337</v>
      </c>
      <c r="Y1" s="145" t="s">
        <v>338</v>
      </c>
    </row>
    <row r="2" customFormat="false" ht="14.25" hidden="false" customHeight="false" outlineLevel="0" collapsed="false">
      <c r="A2" s="142" t="s">
        <v>230</v>
      </c>
      <c r="B2" s="142" t="s">
        <v>339</v>
      </c>
      <c r="C2" s="142" t="n">
        <v>310133979100003</v>
      </c>
      <c r="D2" s="142" t="n">
        <v>4734</v>
      </c>
      <c r="E2" s="142" t="n">
        <v>37728</v>
      </c>
      <c r="F2" s="142" t="n">
        <v>-808</v>
      </c>
      <c r="G2" s="142"/>
      <c r="H2" s="142" t="n">
        <v>0</v>
      </c>
      <c r="I2" s="142" t="n">
        <v>-299.5</v>
      </c>
      <c r="J2" s="142" t="n">
        <v>0</v>
      </c>
      <c r="K2" s="142"/>
      <c r="L2" s="142" t="n">
        <v>30723.2081999999</v>
      </c>
      <c r="M2" s="142" t="n">
        <v>-1000</v>
      </c>
      <c r="N2" s="142" t="n">
        <v>5881.5</v>
      </c>
      <c r="O2" s="142" t="n">
        <v>72225.2081999999</v>
      </c>
      <c r="P2" s="142" t="n">
        <v>10833.78123</v>
      </c>
      <c r="Q2" s="142" t="n">
        <v>83058.9894299999</v>
      </c>
      <c r="R2" s="142" t="n">
        <v>0</v>
      </c>
      <c r="S2" s="142" t="n">
        <v>0</v>
      </c>
      <c r="T2" s="142" t="n">
        <v>2670.75</v>
      </c>
      <c r="U2" s="142" t="n">
        <v>0</v>
      </c>
      <c r="V2" s="142" t="n">
        <v>0</v>
      </c>
      <c r="W2" s="142" t="n">
        <v>0</v>
      </c>
      <c r="X2" s="142" t="n">
        <v>2670.75</v>
      </c>
      <c r="Y2" s="142" t="n">
        <v>80388.2394299999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D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4" min="1" style="0" width="25"/>
  </cols>
  <sheetData>
    <row r="1" customFormat="false" ht="14.25" hidden="false" customHeight="false" outlineLevel="0" collapsed="false">
      <c r="A1" s="140" t="s">
        <v>201</v>
      </c>
      <c r="B1" s="140" t="s">
        <v>340</v>
      </c>
      <c r="C1" s="140" t="s">
        <v>341</v>
      </c>
      <c r="D1" s="140" t="s">
        <v>342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2026-09-08T14:00:40Z</dcterms:created>
  <dc:creator>openpyxl</dc:creator>
  <dc:description/>
  <dc:language>en-US</dc:language>
  <cp:lastModifiedBy/>
  <dcterms:modified xsi:type="dcterms:W3CDTF">2026-10-11T10:12:38Z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